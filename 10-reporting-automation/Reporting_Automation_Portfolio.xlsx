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Assumptions" sheetId="3" state="visible" r:id="rId5"/>
    <sheet name="Clean" sheetId="4" state="visible" r:id="rId6"/>
    <sheet name="Maps" sheetId="5" state="visible" r:id="rId7"/>
    <sheet name="Raw_Export" sheetId="6" state="visible" r:id="rId8"/>
  </sheets>
  <definedNames>
    <definedName function="false" hidden="false" localSheetId="1" name="_xlnm.Print_Area" vbProcedure="false">Dashboard!$A$1:$L$69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<sst xmlns="http://schemas.openxmlformats.org/spreadsheetml/2006/main" count="14697" uniqueCount="2675">
  <si>
    <t xml:space="preserve">Weekly Sales Report Automation – Reporting Automation Portfolio Project</t>
  </si>
  <si>
    <t xml:space="preserve">BZME Insights  |  Sector: Retail / Reporting automation  |  Tool: Excel (formula-driven; macro file included)</t>
  </si>
  <si>
    <t xml:space="preserve">BUSINESS PROBLEM</t>
  </si>
  <si>
    <t xml:space="preserve">Every Monday an analyst spends hours cleaning the point-of-sale export (mixed date formats, inconsistent branch and product names, text prices, duplicates and returns) before building the weekly sales report by hand. The work is slow and errors creep in.</t>
  </si>
  <si>
    <t xml:space="preserve">BUSINESS QUESTIONS</t>
  </si>
  <si>
    <t xml:space="preserve">1. Can the cleaning and reporting be done by formulas, so a new export only needs to be pasted in?</t>
  </si>
  <si>
    <t xml:space="preserve">2. How do sales compare with last week by branch, category, product and day?</t>
  </si>
  <si>
    <t xml:space="preserve">3. Which rows were fixed, excluded or flagged, so the report can be trusted?</t>
  </si>
  <si>
    <t xml:space="preserve">4. How much time and money does the automation save?</t>
  </si>
  <si>
    <t xml:space="preserve">HOW THE WORKBOOK IS BUILT</t>
  </si>
  <si>
    <t xml:space="preserve">Raw_Export: 2,221 rows exactly as a POS system might export them (messy on purpose). Paste a new export here each week.</t>
  </si>
  <si>
    <t xml:space="preserve">Maps: lookup tables that standardise branch, product and payment names. Add a new variant here and the next refresh picks it up.</t>
  </si>
  <si>
    <t xml:space="preserve">Clean: one formula row per raw row. It parses dates, standardises names, cleans prices, flags duplicates and returns, and sets an Include flag.</t>
  </si>
  <si>
    <t xml:space="preserve">Assumptions: report week and the time-saving inputs. Blue = input. Dashboard: the weekly report, data-quality log and time-saved calculator.</t>
  </si>
  <si>
    <t xml:space="preserve">The automation folder holds a VBA macro (RefreshReport.bas) and the data folder holds the raw export as a CSV for the macro to import.</t>
  </si>
  <si>
    <t xml:space="preserve">KEY DEFINITIONS</t>
  </si>
  <si>
    <t xml:space="preserve">Include = 1 for rows with status OK or Return. Duplicates, unmapped names and blank quantities are excluded from totals and counted in the log.</t>
  </si>
  <si>
    <t xml:space="preserve">Net sales = sum of quantity x unit price for included rows, so returns reduce sales.</t>
  </si>
  <si>
    <t xml:space="preserve">Change % = (this week - last week) / last week.</t>
  </si>
  <si>
    <t xml:space="preserve">IMPORTANT NOTES</t>
  </si>
  <si>
    <t xml:space="preserve">All data is synthetic and generated for demonstration; no real retailer or POS data is used.</t>
  </si>
  <si>
    <t xml:space="preserve">Macros cannot be stored inside this .xlsx file. To use the macro, save a copy as .xlsm and import RefreshReport.bas (steps in the project README).</t>
  </si>
  <si>
    <t xml:space="preserve">Time-saving inputs are illustrative; a real engagement would time the current process first.</t>
  </si>
  <si>
    <t xml:space="preserve">RECOMMENDATIONS (FRAMEWORK)</t>
  </si>
  <si>
    <t xml:space="preserve">Fix names at the source (POS item master) so fewer rows need mapping.</t>
  </si>
  <si>
    <t xml:space="preserve">Review the unmapped list every week and extend the Maps sheet.</t>
  </si>
  <si>
    <t xml:space="preserve">Once stable, move the pipeline to Power Query or SQL so the refresh is fully hands-off.</t>
  </si>
  <si>
    <t xml:space="preserve">Weekly Sales Report: Automated from a Raw POS Export</t>
  </si>
  <si>
    <t xml:space="preserve">NET SALES (KES)</t>
  </si>
  <si>
    <t xml:space="preserve">VS LAST WEEK</t>
  </si>
  <si>
    <t xml:space="preserve">SALES LINES</t>
  </si>
  <si>
    <t xml:space="preserve">AVG VALUE PER SALES LINE (KES)</t>
  </si>
  <si>
    <t xml:space="preserve">RETURNS (KES)</t>
  </si>
  <si>
    <t xml:space="preserve">M-PESA SHARE OF SALES</t>
  </si>
  <si>
    <t xml:space="preserve">Key findings (update automatically)</t>
  </si>
  <si>
    <t xml:space="preserve">1. Sales by branch</t>
  </si>
  <si>
    <t xml:space="preserve">Branch</t>
  </si>
  <si>
    <t xml:space="preserve">This week (KES)</t>
  </si>
  <si>
    <t xml:space="preserve">Last week (KES)</t>
  </si>
  <si>
    <t xml:space="preserve">Change (KES)</t>
  </si>
  <si>
    <t xml:space="preserve">Change %</t>
  </si>
  <si>
    <t xml:space="preserve">Share of sales</t>
  </si>
  <si>
    <t xml:space="preserve">Nairobi CBD</t>
  </si>
  <si>
    <t xml:space="preserve">Westlands</t>
  </si>
  <si>
    <t xml:space="preserve">Mombasa</t>
  </si>
  <si>
    <t xml:space="preserve">Kisumu</t>
  </si>
  <si>
    <t xml:space="preserve">Nakuru</t>
  </si>
  <si>
    <t xml:space="preserve">All branches</t>
  </si>
  <si>
    <t xml:space="preserve">2. Sales by category</t>
  </si>
  <si>
    <t xml:space="preserve">Category</t>
  </si>
  <si>
    <t xml:space="preserve">Staples</t>
  </si>
  <si>
    <t xml:space="preserve">Dairy &amp; Eggs</t>
  </si>
  <si>
    <t xml:space="preserve">Beverages</t>
  </si>
  <si>
    <t xml:space="preserve">Household</t>
  </si>
  <si>
    <t xml:space="preserve">Personal Care</t>
  </si>
  <si>
    <t xml:space="preserve">Snacks</t>
  </si>
  <si>
    <t xml:space="preserve">All categories</t>
  </si>
  <si>
    <t xml:space="preserve">3. Top 5 products this week</t>
  </si>
  <si>
    <t xml:space="preserve">Product</t>
  </si>
  <si>
    <t xml:space="preserve">Units</t>
  </si>
  <si>
    <t xml:space="preserve">Sales (KES)</t>
  </si>
  <si>
    <t xml:space="preserve">4. Daily trend (Monday to Sunday)</t>
  </si>
  <si>
    <t xml:space="preserve">Day</t>
  </si>
  <si>
    <t xml:space="preserve">Mon</t>
  </si>
  <si>
    <t xml:space="preserve">Tue</t>
  </si>
  <si>
    <t xml:space="preserve">Wed</t>
  </si>
  <si>
    <t xml:space="preserve">Thu</t>
  </si>
  <si>
    <t xml:space="preserve">Fri</t>
  </si>
  <si>
    <t xml:space="preserve">Sat</t>
  </si>
  <si>
    <t xml:space="preserve">Sun</t>
  </si>
  <si>
    <t xml:space="preserve">5. Data quality log: what the automation fixed or flagged (whole export)</t>
  </si>
  <si>
    <t xml:space="preserve">Issue</t>
  </si>
  <si>
    <t xml:space="preserve">Rows</t>
  </si>
  <si>
    <t xml:space="preserve">How it is handled</t>
  </si>
  <si>
    <t xml:space="preserve">Dates stored as text (two formats)</t>
  </si>
  <si>
    <t xml:space="preserve">Parsed to real dates with DATE, MID and MATCH (no locale dependency)</t>
  </si>
  <si>
    <t xml:space="preserve">Duplicate transaction rows</t>
  </si>
  <si>
    <t xml:space="preserve">First occurrence kept, repeats excluded from every total</t>
  </si>
  <si>
    <t xml:space="preserve">Unknown branch or product names</t>
  </si>
  <si>
    <t xml:space="preserve">Flagged for review; add the variant to the Maps sheet and they are included</t>
  </si>
  <si>
    <t xml:space="preserve">Rows with blank quantity</t>
  </si>
  <si>
    <t xml:space="preserve">Excluded from totals and flagged for follow-up with the branch</t>
  </si>
  <si>
    <t xml:space="preserve">Returns (negative quantity)</t>
  </si>
  <si>
    <t xml:space="preserve">Included as negative sales, so net sales are correct</t>
  </si>
  <si>
    <t xml:space="preserve">Prices stored as text (KES or commas)</t>
  </si>
  <si>
    <t xml:space="preserve">Cleaned with SUBSTITUTE and VALUE</t>
  </si>
  <si>
    <t xml:space="preserve">Branch and product name cells standardised</t>
  </si>
  <si>
    <t xml:space="preserve">Mapped to one standard name through lookup tables on the Maps sheet</t>
  </si>
  <si>
    <t xml:space="preserve">6. Time saved by automating the weekly report</t>
  </si>
  <si>
    <t xml:space="preserve">Item</t>
  </si>
  <si>
    <t xml:space="preserve">Value</t>
  </si>
  <si>
    <t xml:space="preserve">Manual effort per run (hours)</t>
  </si>
  <si>
    <t xml:space="preserve">Hours saved per year</t>
  </si>
  <si>
    <t xml:space="preserve">Value of time saved per year (KES)</t>
  </si>
  <si>
    <t xml:space="preserve">Automated effort per run (hours)</t>
  </si>
  <si>
    <t xml:space="preserve">Assumptions &amp; Parameters</t>
  </si>
  <si>
    <t xml:space="preserve">Blue cells are editable inputs. Everything else recalculates from them.</t>
  </si>
  <si>
    <t xml:space="preserve">Assumption</t>
  </si>
  <si>
    <t xml:space="preserve">Comment</t>
  </si>
  <si>
    <t xml:space="preserve">Report week starts (Monday)</t>
  </si>
  <si>
    <t xml:space="preserve">Pick any Monday in the data. The report compares it with the week before.</t>
  </si>
  <si>
    <t xml:space="preserve">Previous week starts</t>
  </si>
  <si>
    <t xml:space="preserve">Calculated.</t>
  </si>
  <si>
    <t xml:space="preserve">Manual effort per run (minutes)</t>
  </si>
  <si>
    <t xml:space="preserve">Time an analyst spends cleaning the export and building the report by hand.</t>
  </si>
  <si>
    <t xml:space="preserve">Automated effort per run (minutes)</t>
  </si>
  <si>
    <t xml:space="preserve">Paste the new export, refresh, check the data-quality log and send.</t>
  </si>
  <si>
    <t xml:space="preserve">Runs per year</t>
  </si>
  <si>
    <t xml:space="preserve">One report each week.</t>
  </si>
  <si>
    <t xml:space="preserve">Analyst cost per hour (KES)</t>
  </si>
  <si>
    <t xml:space="preserve">Illustrative loaded cost.</t>
  </si>
  <si>
    <t xml:space="preserve">Txn ID</t>
  </si>
  <si>
    <t xml:space="preserve">Date</t>
  </si>
  <si>
    <t xml:space="preserve">Qty</t>
  </si>
  <si>
    <t xml:space="preserve">Unit price (KES)</t>
  </si>
  <si>
    <t xml:space="preserve">Amount (KES)</t>
  </si>
  <si>
    <t xml:space="preserve">Payment</t>
  </si>
  <si>
    <t xml:space="preserve">Duplicate?</t>
  </si>
  <si>
    <t xml:space="preserve">Status</t>
  </si>
  <si>
    <t xml:space="preserve">Include</t>
  </si>
  <si>
    <t xml:space="preserve">Week start</t>
  </si>
  <si>
    <t xml:space="preserve">Branch variant (lowercase)</t>
  </si>
  <si>
    <t xml:space="preserve">Standard branch</t>
  </si>
  <si>
    <t xml:space="preserve">Payment variant (lowercase)</t>
  </si>
  <si>
    <t xml:space="preserve">Standard payment</t>
  </si>
  <si>
    <t xml:space="preserve">Product variant (lowercase)</t>
  </si>
  <si>
    <t xml:space="preserve">Standard product</t>
  </si>
  <si>
    <t xml:space="preserve">Product list</t>
  </si>
  <si>
    <t xml:space="preserve">Units (report week)</t>
  </si>
  <si>
    <t xml:space="preserve">Sales (report week, KES)</t>
  </si>
  <si>
    <t xml:space="preserve">nairobi cbd</t>
  </si>
  <si>
    <t xml:space="preserve">m-pesa</t>
  </si>
  <si>
    <t xml:space="preserve">M-Pesa</t>
  </si>
  <si>
    <t xml:space="preserve">unga pembe 2kg</t>
  </si>
  <si>
    <t xml:space="preserve">Unga Pembe 2kg</t>
  </si>
  <si>
    <t xml:space="preserve">nbi cbd</t>
  </si>
  <si>
    <t xml:space="preserve">mpesa</t>
  </si>
  <si>
    <t xml:space="preserve">unga pembe 2 kg</t>
  </si>
  <si>
    <t xml:space="preserve">Rice Pishori 2kg</t>
  </si>
  <si>
    <t xml:space="preserve">westlands</t>
  </si>
  <si>
    <t xml:space="preserve">cash</t>
  </si>
  <si>
    <t xml:space="preserve">Cash</t>
  </si>
  <si>
    <t xml:space="preserve">rice pishori 2kg</t>
  </si>
  <si>
    <t xml:space="preserve">Sugar 2kg</t>
  </si>
  <si>
    <t xml:space="preserve">mombasa</t>
  </si>
  <si>
    <t xml:space="preserve">card</t>
  </si>
  <si>
    <t xml:space="preserve">Card</t>
  </si>
  <si>
    <t xml:space="preserve">rice pishori 2 kg</t>
  </si>
  <si>
    <t xml:space="preserve">Cooking Oil 1L</t>
  </si>
  <si>
    <t xml:space="preserve">msa</t>
  </si>
  <si>
    <t xml:space="preserve">visa</t>
  </si>
  <si>
    <t xml:space="preserve">sugar 2kg</t>
  </si>
  <si>
    <t xml:space="preserve">Salt 500g</t>
  </si>
  <si>
    <t xml:space="preserve">kisumu</t>
  </si>
  <si>
    <t xml:space="preserve">sugar 2 kg</t>
  </si>
  <si>
    <t xml:space="preserve">Spaghetti 400g</t>
  </si>
  <si>
    <t xml:space="preserve">nakuru</t>
  </si>
  <si>
    <t xml:space="preserve">cooking oil 1l</t>
  </si>
  <si>
    <t xml:space="preserve">Fresh Milk 500ml</t>
  </si>
  <si>
    <t xml:space="preserve">cooking oil 1 l</t>
  </si>
  <si>
    <t xml:space="preserve">Yoghurt 500ml</t>
  </si>
  <si>
    <t xml:space="preserve">salt 500g</t>
  </si>
  <si>
    <t xml:space="preserve">Butter 250g</t>
  </si>
  <si>
    <t xml:space="preserve">salt 500 g</t>
  </si>
  <si>
    <t xml:space="preserve">Eggs Tray 30</t>
  </si>
  <si>
    <t xml:space="preserve">spaghetti 400g</t>
  </si>
  <si>
    <t xml:space="preserve">Cheddar 200g</t>
  </si>
  <si>
    <t xml:space="preserve">spaghetti 400 g</t>
  </si>
  <si>
    <t xml:space="preserve">Tea Leaves 250g</t>
  </si>
  <si>
    <t xml:space="preserve">fresh milk 500ml</t>
  </si>
  <si>
    <t xml:space="preserve">Coffee 100g</t>
  </si>
  <si>
    <t xml:space="preserve">fresh milk 500 ml</t>
  </si>
  <si>
    <t xml:space="preserve">Soda 500ml</t>
  </si>
  <si>
    <t xml:space="preserve">yoghurt 500ml</t>
  </si>
  <si>
    <t xml:space="preserve">Juice 1L</t>
  </si>
  <si>
    <t xml:space="preserve">yoghurt 500 ml</t>
  </si>
  <si>
    <t xml:space="preserve">Bottled Water 1.5L</t>
  </si>
  <si>
    <t xml:space="preserve">butter 250g</t>
  </si>
  <si>
    <t xml:space="preserve">Washing Powder 1kg</t>
  </si>
  <si>
    <t xml:space="preserve">butter 250 g</t>
  </si>
  <si>
    <t xml:space="preserve">Dish Soap 750ml</t>
  </si>
  <si>
    <t xml:space="preserve">eggs tray 30</t>
  </si>
  <si>
    <t xml:space="preserve">Toilet Paper 10pk</t>
  </si>
  <si>
    <t xml:space="preserve">cheddar 200g</t>
  </si>
  <si>
    <t xml:space="preserve">Bleach 1L</t>
  </si>
  <si>
    <t xml:space="preserve">cheddar 200 g</t>
  </si>
  <si>
    <t xml:space="preserve">Matches 10pk</t>
  </si>
  <si>
    <t xml:space="preserve">tea leaves 250g</t>
  </si>
  <si>
    <t xml:space="preserve">Bath Soap 175g</t>
  </si>
  <si>
    <t xml:space="preserve">tea leaves 250 g</t>
  </si>
  <si>
    <t xml:space="preserve">Toothpaste 100g</t>
  </si>
  <si>
    <t xml:space="preserve">coffee 100g</t>
  </si>
  <si>
    <t xml:space="preserve">Body Lotion 400ml</t>
  </si>
  <si>
    <t xml:space="preserve">coffee 100 g</t>
  </si>
  <si>
    <t xml:space="preserve">Sanitary Pads 8pk</t>
  </si>
  <si>
    <t xml:space="preserve">soda 500ml</t>
  </si>
  <si>
    <t xml:space="preserve">Deodorant 150ml</t>
  </si>
  <si>
    <t xml:space="preserve">soda 500 ml</t>
  </si>
  <si>
    <t xml:space="preserve">Biscuits 200g</t>
  </si>
  <si>
    <t xml:space="preserve">juice 1l</t>
  </si>
  <si>
    <t xml:space="preserve">Crisps 100g</t>
  </si>
  <si>
    <t xml:space="preserve">juice 1 l</t>
  </si>
  <si>
    <t xml:space="preserve">Chocolate Bar 90g</t>
  </si>
  <si>
    <t xml:space="preserve">bottled water 1.5l</t>
  </si>
  <si>
    <t xml:space="preserve">Peanuts 250g</t>
  </si>
  <si>
    <t xml:space="preserve">bottled water 1.5 l</t>
  </si>
  <si>
    <t xml:space="preserve">Bread Loaf 400g</t>
  </si>
  <si>
    <t xml:space="preserve">washing powder 1kg</t>
  </si>
  <si>
    <t xml:space="preserve">washing powder 1 kg</t>
  </si>
  <si>
    <t xml:space="preserve">dish soap 750ml</t>
  </si>
  <si>
    <t xml:space="preserve">dish soap 750 ml</t>
  </si>
  <si>
    <t xml:space="preserve">toilet paper 10pk</t>
  </si>
  <si>
    <t xml:space="preserve">toilet paper 10 pk</t>
  </si>
  <si>
    <t xml:space="preserve">bleach 1l</t>
  </si>
  <si>
    <t xml:space="preserve">bleach 1 l</t>
  </si>
  <si>
    <t xml:space="preserve">matches 10pk</t>
  </si>
  <si>
    <t xml:space="preserve">matches 10 pk</t>
  </si>
  <si>
    <t xml:space="preserve">bath soap 175g</t>
  </si>
  <si>
    <t xml:space="preserve">bath soap 175 g</t>
  </si>
  <si>
    <t xml:space="preserve">toothpaste 100g</t>
  </si>
  <si>
    <t xml:space="preserve">toothpaste 100 g</t>
  </si>
  <si>
    <t xml:space="preserve">body lotion 400ml</t>
  </si>
  <si>
    <t xml:space="preserve">body lotion 400 ml</t>
  </si>
  <si>
    <t xml:space="preserve">sanitary pads 8pk</t>
  </si>
  <si>
    <t xml:space="preserve">sanitary pads 8 pk</t>
  </si>
  <si>
    <t xml:space="preserve">deodorant 150ml</t>
  </si>
  <si>
    <t xml:space="preserve">deodorant 150 ml</t>
  </si>
  <si>
    <t xml:space="preserve">biscuits 200g</t>
  </si>
  <si>
    <t xml:space="preserve">biscuits 200 g</t>
  </si>
  <si>
    <t xml:space="preserve">crisps 100g</t>
  </si>
  <si>
    <t xml:space="preserve">crisps 100 g</t>
  </si>
  <si>
    <t xml:space="preserve">chocolate bar 90g</t>
  </si>
  <si>
    <t xml:space="preserve">chocolate bar 90 g</t>
  </si>
  <si>
    <t xml:space="preserve">peanuts 250g</t>
  </si>
  <si>
    <t xml:space="preserve">peanuts 250 g</t>
  </si>
  <si>
    <t xml:space="preserve">bread loaf 400g</t>
  </si>
  <si>
    <t xml:space="preserve">bread loaf 400 g</t>
  </si>
  <si>
    <t xml:space="preserve">Unit price</t>
  </si>
  <si>
    <t xml:space="preserve">Cashier</t>
  </si>
  <si>
    <t xml:space="preserve">TXN-100001</t>
  </si>
  <si>
    <t xml:space="preserve">2026-08-31</t>
  </si>
  <si>
    <t xml:space="preserve">NBI CBD</t>
  </si>
  <si>
    <t xml:space="preserve"> Cheddar 200g</t>
  </si>
  <si>
    <t xml:space="preserve">C04</t>
  </si>
  <si>
    <t xml:space="preserve">TXN-100002</t>
  </si>
  <si>
    <t xml:space="preserve">KES 110</t>
  </si>
  <si>
    <t xml:space="preserve">C07</t>
  </si>
  <si>
    <t xml:space="preserve">Mpesa</t>
  </si>
  <si>
    <t xml:space="preserve">TXN-100003</t>
  </si>
  <si>
    <t xml:space="preserve">NAIROBI CBD</t>
  </si>
  <si>
    <t xml:space="preserve"> Juice 1L</t>
  </si>
  <si>
    <t xml:space="preserve">C03</t>
  </si>
  <si>
    <t xml:space="preserve">TXN-100004</t>
  </si>
  <si>
    <t xml:space="preserve">31-Aug-2026</t>
  </si>
  <si>
    <t xml:space="preserve">Nairobi Cbd</t>
  </si>
  <si>
    <t xml:space="preserve">KES 130</t>
  </si>
  <si>
    <t xml:space="preserve">C08</t>
  </si>
  <si>
    <t xml:space="preserve">TXN-100005</t>
  </si>
  <si>
    <t xml:space="preserve"> Body Lotion 400ml</t>
  </si>
  <si>
    <t xml:space="preserve">420</t>
  </si>
  <si>
    <t xml:space="preserve">C05</t>
  </si>
  <si>
    <t xml:space="preserve">TXN-100006</t>
  </si>
  <si>
    <t xml:space="preserve">KES 176</t>
  </si>
  <si>
    <t xml:space="preserve">C01</t>
  </si>
  <si>
    <t xml:space="preserve">TXN-100007</t>
  </si>
  <si>
    <t xml:space="preserve">BISCUITS 200G</t>
  </si>
  <si>
    <t xml:space="preserve">TXN-100008</t>
  </si>
  <si>
    <t xml:space="preserve">C02</t>
  </si>
  <si>
    <t xml:space="preserve">TXN-100009</t>
  </si>
  <si>
    <t xml:space="preserve">KES 380</t>
  </si>
  <si>
    <t xml:space="preserve">C06</t>
  </si>
  <si>
    <t xml:space="preserve">TXN-100010</t>
  </si>
  <si>
    <t xml:space="preserve">KES 195</t>
  </si>
  <si>
    <t xml:space="preserve">TXN-100011</t>
  </si>
  <si>
    <t xml:space="preserve">TXN-100012</t>
  </si>
  <si>
    <t xml:space="preserve">330</t>
  </si>
  <si>
    <t xml:space="preserve">TXN-100013</t>
  </si>
  <si>
    <t xml:space="preserve">DEODORANT 150ML</t>
  </si>
  <si>
    <t xml:space="preserve">TXN-100014</t>
  </si>
  <si>
    <t xml:space="preserve">TXN-100015</t>
  </si>
  <si>
    <t xml:space="preserve"> Cooking Oil 1L</t>
  </si>
  <si>
    <t xml:space="preserve">TXN-100016</t>
  </si>
  <si>
    <t xml:space="preserve">2 </t>
  </si>
  <si>
    <t xml:space="preserve">KES 310</t>
  </si>
  <si>
    <t xml:space="preserve">TXN-100017</t>
  </si>
  <si>
    <t xml:space="preserve">Deodorant 150ml </t>
  </si>
  <si>
    <t xml:space="preserve">TXN-100018</t>
  </si>
  <si>
    <t xml:space="preserve">Cheddar 200g </t>
  </si>
  <si>
    <t xml:space="preserve">TXN-100019</t>
  </si>
  <si>
    <t xml:space="preserve">TXN-100020</t>
  </si>
  <si>
    <t xml:space="preserve">Salt 500g </t>
  </si>
  <si>
    <t xml:space="preserve">TXN-100021</t>
  </si>
  <si>
    <t xml:space="preserve">110</t>
  </si>
  <si>
    <t xml:space="preserve">TXN-100022</t>
  </si>
  <si>
    <t xml:space="preserve">Nairobi CBD </t>
  </si>
  <si>
    <t xml:space="preserve">Tea Leaves 250g </t>
  </si>
  <si>
    <t xml:space="preserve">TXN-100023</t>
  </si>
  <si>
    <t xml:space="preserve">BUTTER 250G</t>
  </si>
  <si>
    <t xml:space="preserve">TXN-100024</t>
  </si>
  <si>
    <t xml:space="preserve">SODA 500ML</t>
  </si>
  <si>
    <t xml:space="preserve">TXN-100025</t>
  </si>
  <si>
    <t xml:space="preserve">bottled water 1.5l x</t>
  </si>
  <si>
    <t xml:space="preserve">90</t>
  </si>
  <si>
    <t xml:space="preserve">TXN-100026</t>
  </si>
  <si>
    <t xml:space="preserve"> Unga Pembe 2kg</t>
  </si>
  <si>
    <t xml:space="preserve">TXN-100027</t>
  </si>
  <si>
    <t xml:space="preserve">CARD</t>
  </si>
  <si>
    <t xml:space="preserve">TXN-100028</t>
  </si>
  <si>
    <t xml:space="preserve">CASH</t>
  </si>
  <si>
    <t xml:space="preserve">TXN-100029</t>
  </si>
  <si>
    <t xml:space="preserve"> Coffee 100g</t>
  </si>
  <si>
    <t xml:space="preserve">TXN-100030</t>
  </si>
  <si>
    <t xml:space="preserve"> Bath Soap 175g</t>
  </si>
  <si>
    <t xml:space="preserve">KES 85</t>
  </si>
  <si>
    <t xml:space="preserve">TXN-100031</t>
  </si>
  <si>
    <t xml:space="preserve">Eggs Tray 30 </t>
  </si>
  <si>
    <t xml:space="preserve">TXN-100032</t>
  </si>
  <si>
    <t xml:space="preserve">160</t>
  </si>
  <si>
    <t xml:space="preserve">TXN-100033</t>
  </si>
  <si>
    <t xml:space="preserve">KES 60</t>
  </si>
  <si>
    <t xml:space="preserve">TXN-100034</t>
  </si>
  <si>
    <t xml:space="preserve">M-PESA</t>
  </si>
  <si>
    <t xml:space="preserve">TXN-100035</t>
  </si>
  <si>
    <t xml:space="preserve">KES 420</t>
  </si>
  <si>
    <t xml:space="preserve">TXN-100036</t>
  </si>
  <si>
    <t xml:space="preserve">95</t>
  </si>
  <si>
    <t xml:space="preserve">TXN-100037</t>
  </si>
  <si>
    <t xml:space="preserve"> Yoghurt 500ml</t>
  </si>
  <si>
    <t xml:space="preserve">TXN-100038</t>
  </si>
  <si>
    <t xml:space="preserve">EGGS TRAY 30</t>
  </si>
  <si>
    <t xml:space="preserve">TXN-100039</t>
  </si>
  <si>
    <t xml:space="preserve">KES 150</t>
  </si>
  <si>
    <t xml:space="preserve">TXN-100040</t>
  </si>
  <si>
    <t xml:space="preserve">Westlands </t>
  </si>
  <si>
    <t xml:space="preserve">TXN-100041</t>
  </si>
  <si>
    <t xml:space="preserve">WESTLANDS</t>
  </si>
  <si>
    <t xml:space="preserve">TXN-100042</t>
  </si>
  <si>
    <t xml:space="preserve">Matches 10pk </t>
  </si>
  <si>
    <t xml:space="preserve">TXN-100043</t>
  </si>
  <si>
    <t xml:space="preserve">360</t>
  </si>
  <si>
    <t xml:space="preserve">TXN-100044</t>
  </si>
  <si>
    <t xml:space="preserve">TXN-100045</t>
  </si>
  <si>
    <t xml:space="preserve">Soda 500ml </t>
  </si>
  <si>
    <t xml:space="preserve">TXN-100046</t>
  </si>
  <si>
    <t xml:space="preserve">60</t>
  </si>
  <si>
    <t xml:space="preserve">TXN-100047</t>
  </si>
  <si>
    <t xml:space="preserve">TXN-100048</t>
  </si>
  <si>
    <t xml:space="preserve">TXN-100049</t>
  </si>
  <si>
    <t xml:space="preserve">TXN-100050</t>
  </si>
  <si>
    <t xml:space="preserve"> Biscuits 200g</t>
  </si>
  <si>
    <t xml:space="preserve">TXN-100051</t>
  </si>
  <si>
    <t xml:space="preserve">TXN-100052</t>
  </si>
  <si>
    <t xml:space="preserve">TXN-100053</t>
  </si>
  <si>
    <t xml:space="preserve">TXN-100054</t>
  </si>
  <si>
    <t xml:space="preserve">TXN-100055</t>
  </si>
  <si>
    <t xml:space="preserve">TXN-100056</t>
  </si>
  <si>
    <t xml:space="preserve">TXN-100057</t>
  </si>
  <si>
    <t xml:space="preserve">Cooking Oil 1L </t>
  </si>
  <si>
    <t xml:space="preserve">KES 297</t>
  </si>
  <si>
    <t xml:space="preserve">TXN-100058</t>
  </si>
  <si>
    <t xml:space="preserve">TXN-100059</t>
  </si>
  <si>
    <t xml:space="preserve">Sugar 2kg </t>
  </si>
  <si>
    <t xml:space="preserve">TXN-100060</t>
  </si>
  <si>
    <t xml:space="preserve">KES 40</t>
  </si>
  <si>
    <t xml:space="preserve">TXN-100061</t>
  </si>
  <si>
    <t xml:space="preserve">TXN-100062</t>
  </si>
  <si>
    <t xml:space="preserve">TXN-100063</t>
  </si>
  <si>
    <t xml:space="preserve">TXN-100064</t>
  </si>
  <si>
    <t xml:space="preserve">MOMBASA</t>
  </si>
  <si>
    <t xml:space="preserve">KES 65</t>
  </si>
  <si>
    <t xml:space="preserve">TXN-100065</t>
  </si>
  <si>
    <t xml:space="preserve">TXN-100066</t>
  </si>
  <si>
    <t xml:space="preserve">TXN-100067</t>
  </si>
  <si>
    <t xml:space="preserve">SALT 500G</t>
  </si>
  <si>
    <t xml:space="preserve">TXN-100068</t>
  </si>
  <si>
    <t xml:space="preserve">MSA</t>
  </si>
  <si>
    <t xml:space="preserve">TXN-100069</t>
  </si>
  <si>
    <t xml:space="preserve">Washing Powder 1kg </t>
  </si>
  <si>
    <t xml:space="preserve">KES 280</t>
  </si>
  <si>
    <t xml:space="preserve">TXN-100070</t>
  </si>
  <si>
    <t xml:space="preserve">KES 330</t>
  </si>
  <si>
    <t xml:space="preserve">TXN-100071</t>
  </si>
  <si>
    <t xml:space="preserve">PEANUTS 250G</t>
  </si>
  <si>
    <t xml:space="preserve">TXN-100072</t>
  </si>
  <si>
    <t xml:space="preserve">KES 90</t>
  </si>
  <si>
    <t xml:space="preserve">TXN-100073</t>
  </si>
  <si>
    <t xml:space="preserve">TXN-100074</t>
  </si>
  <si>
    <t xml:space="preserve">KES 160</t>
  </si>
  <si>
    <t xml:space="preserve">TXN-100075</t>
  </si>
  <si>
    <t xml:space="preserve">TXN-100076</t>
  </si>
  <si>
    <t xml:space="preserve"> Spaghetti 400g</t>
  </si>
  <si>
    <t xml:space="preserve">TXN-100077</t>
  </si>
  <si>
    <t xml:space="preserve">TXN-100078</t>
  </si>
  <si>
    <t xml:space="preserve">TXN-100079</t>
  </si>
  <si>
    <t xml:space="preserve">TXN-100080</t>
  </si>
  <si>
    <t xml:space="preserve">4 </t>
  </si>
  <si>
    <t xml:space="preserve">TXN-100081</t>
  </si>
  <si>
    <t xml:space="preserve">FRESH MILK 500ML</t>
  </si>
  <si>
    <t xml:space="preserve">58</t>
  </si>
  <si>
    <t xml:space="preserve">TXN-100082</t>
  </si>
  <si>
    <t xml:space="preserve">TXN-100083</t>
  </si>
  <si>
    <t xml:space="preserve">DISH SOAP 750ML</t>
  </si>
  <si>
    <t xml:space="preserve">TXN-100084</t>
  </si>
  <si>
    <t xml:space="preserve">1 </t>
  </si>
  <si>
    <t xml:space="preserve">TXN-100085</t>
  </si>
  <si>
    <t xml:space="preserve">COOKING OIL 1L</t>
  </si>
  <si>
    <t xml:space="preserve">TXN-100086</t>
  </si>
  <si>
    <t xml:space="preserve">TXN-100087</t>
  </si>
  <si>
    <t xml:space="preserve"> Matches 10pk</t>
  </si>
  <si>
    <t xml:space="preserve">TXN-100088</t>
  </si>
  <si>
    <t xml:space="preserve">Dish Soap 750ml </t>
  </si>
  <si>
    <t xml:space="preserve">190</t>
  </si>
  <si>
    <t xml:space="preserve">TXN-100089</t>
  </si>
  <si>
    <t xml:space="preserve">KES 58</t>
  </si>
  <si>
    <t xml:space="preserve">TXN-100090</t>
  </si>
  <si>
    <t xml:space="preserve">MATCHES 10PK</t>
  </si>
  <si>
    <t xml:space="preserve">TXN-100091</t>
  </si>
  <si>
    <t xml:space="preserve">Kisumu </t>
  </si>
  <si>
    <t xml:space="preserve">TXN-100092</t>
  </si>
  <si>
    <t xml:space="preserve">KISUMU</t>
  </si>
  <si>
    <t xml:space="preserve">130</t>
  </si>
  <si>
    <t xml:space="preserve">TXN-100093</t>
  </si>
  <si>
    <t xml:space="preserve">85</t>
  </si>
  <si>
    <t xml:space="preserve">TXN-100094</t>
  </si>
  <si>
    <t xml:space="preserve">TXN-100095</t>
  </si>
  <si>
    <t xml:space="preserve">TXN-100096</t>
  </si>
  <si>
    <t xml:space="preserve">TXN-100097</t>
  </si>
  <si>
    <t xml:space="preserve">TXN-100098</t>
  </si>
  <si>
    <t xml:space="preserve">TXN-100099</t>
  </si>
  <si>
    <t xml:space="preserve">TXN-100100</t>
  </si>
  <si>
    <t xml:space="preserve">TXN-100101</t>
  </si>
  <si>
    <t xml:space="preserve">TXN-100102</t>
  </si>
  <si>
    <t xml:space="preserve">TXN-100103</t>
  </si>
  <si>
    <t xml:space="preserve">TXN-100104</t>
  </si>
  <si>
    <t xml:space="preserve">TXN-100105</t>
  </si>
  <si>
    <t xml:space="preserve">BREAD LOAF 400G</t>
  </si>
  <si>
    <t xml:space="preserve">TXN-100106</t>
  </si>
  <si>
    <t xml:space="preserve">SUGAR 2KG</t>
  </si>
  <si>
    <t xml:space="preserve">TXN-102122</t>
  </si>
  <si>
    <t xml:space="preserve">2026-09-13</t>
  </si>
  <si>
    <t xml:space="preserve">CHEDDAR 200G</t>
  </si>
  <si>
    <t xml:space="preserve">TXN-100107</t>
  </si>
  <si>
    <t xml:space="preserve">Nakuru </t>
  </si>
  <si>
    <t xml:space="preserve">KES 350</t>
  </si>
  <si>
    <t xml:space="preserve">TXN-100108</t>
  </si>
  <si>
    <t xml:space="preserve">Toilet Paper 10pk </t>
  </si>
  <si>
    <t xml:space="preserve">TXN-100109</t>
  </si>
  <si>
    <t xml:space="preserve">TXN-100110</t>
  </si>
  <si>
    <t xml:space="preserve">NAKURU</t>
  </si>
  <si>
    <t xml:space="preserve">TXN-100111</t>
  </si>
  <si>
    <t xml:space="preserve">TXN-100112</t>
  </si>
  <si>
    <t xml:space="preserve">TXN-100113</t>
  </si>
  <si>
    <t xml:space="preserve">TXN-100114</t>
  </si>
  <si>
    <t xml:space="preserve">TXN-100115</t>
  </si>
  <si>
    <t xml:space="preserve">TXN-100116</t>
  </si>
  <si>
    <t xml:space="preserve">TXN-100117</t>
  </si>
  <si>
    <t xml:space="preserve">TXN-100118</t>
  </si>
  <si>
    <t xml:space="preserve">65</t>
  </si>
  <si>
    <t xml:space="preserve">TXN-100119</t>
  </si>
  <si>
    <t xml:space="preserve">TXN-100120</t>
  </si>
  <si>
    <t xml:space="preserve">TXN-100121</t>
  </si>
  <si>
    <t xml:space="preserve">JUICE 1L</t>
  </si>
  <si>
    <t xml:space="preserve">TXN-100122</t>
  </si>
  <si>
    <t xml:space="preserve">TXN-100123</t>
  </si>
  <si>
    <t xml:space="preserve">TXN-100124</t>
  </si>
  <si>
    <t xml:space="preserve">TXN-100125</t>
  </si>
  <si>
    <t xml:space="preserve">76</t>
  </si>
  <si>
    <t xml:space="preserve">TXN-100126</t>
  </si>
  <si>
    <t xml:space="preserve">TXN-100127</t>
  </si>
  <si>
    <t xml:space="preserve">2026-09-01</t>
  </si>
  <si>
    <t xml:space="preserve">TXN-100128</t>
  </si>
  <si>
    <t xml:space="preserve">YOGHURT 500ML</t>
  </si>
  <si>
    <t xml:space="preserve">TXN-100129</t>
  </si>
  <si>
    <t xml:space="preserve">TXN-100130</t>
  </si>
  <si>
    <t xml:space="preserve">01-Sep-2026</t>
  </si>
  <si>
    <t xml:space="preserve">Coffee 100g </t>
  </si>
  <si>
    <t xml:space="preserve">TXN-100131</t>
  </si>
  <si>
    <t xml:space="preserve">TXN-100132</t>
  </si>
  <si>
    <t xml:space="preserve">Rice Pishori 2kg </t>
  </si>
  <si>
    <t xml:space="preserve">-4 </t>
  </si>
  <si>
    <t xml:space="preserve">TXN-100133</t>
  </si>
  <si>
    <t xml:space="preserve">TXN-100134</t>
  </si>
  <si>
    <t xml:space="preserve">TXN-100135</t>
  </si>
  <si>
    <t xml:space="preserve">TXN-100136</t>
  </si>
  <si>
    <t xml:space="preserve">TXN-100137</t>
  </si>
  <si>
    <t xml:space="preserve">TXN-100138</t>
  </si>
  <si>
    <t xml:space="preserve">TXN-100139</t>
  </si>
  <si>
    <t xml:space="preserve"> Toothpaste 100g</t>
  </si>
  <si>
    <t xml:space="preserve">TXN-100140</t>
  </si>
  <si>
    <t xml:space="preserve">150</t>
  </si>
  <si>
    <t xml:space="preserve">TXN-100141</t>
  </si>
  <si>
    <t xml:space="preserve">TXN-100142</t>
  </si>
  <si>
    <t xml:space="preserve"> Fresh Milk 500ml</t>
  </si>
  <si>
    <t xml:space="preserve">TXN-100143</t>
  </si>
  <si>
    <t xml:space="preserve">TXN-100144</t>
  </si>
  <si>
    <t xml:space="preserve">TXN-100145</t>
  </si>
  <si>
    <t xml:space="preserve">TXN-100146</t>
  </si>
  <si>
    <t xml:space="preserve">TXN-100147</t>
  </si>
  <si>
    <t xml:space="preserve">KES 54</t>
  </si>
  <si>
    <t xml:space="preserve">TXN-100148</t>
  </si>
  <si>
    <t xml:space="preserve">TXN-100149</t>
  </si>
  <si>
    <t xml:space="preserve">cheddar 200g x</t>
  </si>
  <si>
    <t xml:space="preserve">342</t>
  </si>
  <si>
    <t xml:space="preserve">TXN-100150</t>
  </si>
  <si>
    <t xml:space="preserve">TXN-100151</t>
  </si>
  <si>
    <t xml:space="preserve">120</t>
  </si>
  <si>
    <t xml:space="preserve">TXN-100152</t>
  </si>
  <si>
    <t xml:space="preserve">KES 80</t>
  </si>
  <si>
    <t xml:space="preserve">TXN-100153</t>
  </si>
  <si>
    <t xml:space="preserve">140</t>
  </si>
  <si>
    <t xml:space="preserve">TXN-100154</t>
  </si>
  <si>
    <t xml:space="preserve">TXN-100155</t>
  </si>
  <si>
    <t xml:space="preserve">TXN-100156</t>
  </si>
  <si>
    <t xml:space="preserve">TXN-100157</t>
  </si>
  <si>
    <t xml:space="preserve">TXN-100158</t>
  </si>
  <si>
    <t xml:space="preserve">SANITARY PADS 8PK</t>
  </si>
  <si>
    <t xml:space="preserve">TXN-100159</t>
  </si>
  <si>
    <t xml:space="preserve">TXN-100160</t>
  </si>
  <si>
    <t xml:space="preserve">TXN-100161</t>
  </si>
  <si>
    <t xml:space="preserve">TXN-100162</t>
  </si>
  <si>
    <t xml:space="preserve">Bottled Water 1.5L </t>
  </si>
  <si>
    <t xml:space="preserve">TXN-100163</t>
  </si>
  <si>
    <t xml:space="preserve">TXN-100164</t>
  </si>
  <si>
    <t xml:space="preserve">TXN-100165</t>
  </si>
  <si>
    <t xml:space="preserve">Body Lotion 400ml </t>
  </si>
  <si>
    <t xml:space="preserve">TXN-100166</t>
  </si>
  <si>
    <t xml:space="preserve">TXN-100167</t>
  </si>
  <si>
    <t xml:space="preserve">TXN-100168</t>
  </si>
  <si>
    <t xml:space="preserve">TXN-100169</t>
  </si>
  <si>
    <t xml:space="preserve">TXN-100170</t>
  </si>
  <si>
    <t xml:space="preserve"> Soda 500ml</t>
  </si>
  <si>
    <t xml:space="preserve">TXN-100171</t>
  </si>
  <si>
    <t xml:space="preserve">TXN-100172</t>
  </si>
  <si>
    <t xml:space="preserve">TXN-100173</t>
  </si>
  <si>
    <t xml:space="preserve">TXN-100531</t>
  </si>
  <si>
    <t xml:space="preserve">04-Sep-2026</t>
  </si>
  <si>
    <t xml:space="preserve">TXN-100174</t>
  </si>
  <si>
    <t xml:space="preserve">TXN-100175</t>
  </si>
  <si>
    <t xml:space="preserve">TXN-100176</t>
  </si>
  <si>
    <t xml:space="preserve">toothpaste 100gx</t>
  </si>
  <si>
    <t xml:space="preserve">TXN-100177</t>
  </si>
  <si>
    <t xml:space="preserve">TXN-100178</t>
  </si>
  <si>
    <t xml:space="preserve">TXN-100179</t>
  </si>
  <si>
    <t xml:space="preserve">TXN-100180</t>
  </si>
  <si>
    <t xml:space="preserve">280</t>
  </si>
  <si>
    <t xml:space="preserve">TXN-100181</t>
  </si>
  <si>
    <t xml:space="preserve">TXN-100182</t>
  </si>
  <si>
    <t xml:space="preserve">50</t>
  </si>
  <si>
    <t xml:space="preserve">TXN-100183</t>
  </si>
  <si>
    <t xml:space="preserve">TXN-100184</t>
  </si>
  <si>
    <t xml:space="preserve">TXN-100185</t>
  </si>
  <si>
    <t xml:space="preserve"> Dish Soap 750ml</t>
  </si>
  <si>
    <t xml:space="preserve">KES 190</t>
  </si>
  <si>
    <t xml:space="preserve">TXN-100186</t>
  </si>
  <si>
    <t xml:space="preserve">Mombasa </t>
  </si>
  <si>
    <t xml:space="preserve">TXN-100187</t>
  </si>
  <si>
    <t xml:space="preserve"> Bleach 1L</t>
  </si>
  <si>
    <t xml:space="preserve">KES 144</t>
  </si>
  <si>
    <t xml:space="preserve">TXN-100188</t>
  </si>
  <si>
    <t xml:space="preserve"> Sanitary Pads 8pk</t>
  </si>
  <si>
    <t xml:space="preserve">TXN-100189</t>
  </si>
  <si>
    <t xml:space="preserve">CHOCOLATE BAR 90G</t>
  </si>
  <si>
    <t xml:space="preserve">TXN-100190</t>
  </si>
  <si>
    <t xml:space="preserve">380</t>
  </si>
  <si>
    <t xml:space="preserve">TXN-100191</t>
  </si>
  <si>
    <t xml:space="preserve">TXN-100192</t>
  </si>
  <si>
    <t xml:space="preserve"> Butter 250g</t>
  </si>
  <si>
    <t xml:space="preserve">TXN-100193</t>
  </si>
  <si>
    <t xml:space="preserve">TXN-100194</t>
  </si>
  <si>
    <t xml:space="preserve">TXN-100195</t>
  </si>
  <si>
    <t xml:space="preserve">TXN-100196</t>
  </si>
  <si>
    <t xml:space="preserve">Juice 1L </t>
  </si>
  <si>
    <t xml:space="preserve">TXN-100197</t>
  </si>
  <si>
    <t xml:space="preserve">TXN-100198</t>
  </si>
  <si>
    <t xml:space="preserve">TOOTHPASTE 100G</t>
  </si>
  <si>
    <t xml:space="preserve">TXN-100199</t>
  </si>
  <si>
    <t xml:space="preserve">TXN-100200</t>
  </si>
  <si>
    <t xml:space="preserve">COFFEE 100G</t>
  </si>
  <si>
    <t xml:space="preserve">KES 360</t>
  </si>
  <si>
    <t xml:space="preserve">TXN-100201</t>
  </si>
  <si>
    <t xml:space="preserve">TXN-100202</t>
  </si>
  <si>
    <t xml:space="preserve">TXN-100203</t>
  </si>
  <si>
    <t xml:space="preserve">TXN-100204</t>
  </si>
  <si>
    <t xml:space="preserve">TXN-100205</t>
  </si>
  <si>
    <t xml:space="preserve">KES 50</t>
  </si>
  <si>
    <t xml:space="preserve">TXN-100206</t>
  </si>
  <si>
    <t xml:space="preserve">TXN-100207</t>
  </si>
  <si>
    <t xml:space="preserve">TXN-100208</t>
  </si>
  <si>
    <t xml:space="preserve">TXN-100710</t>
  </si>
  <si>
    <t xml:space="preserve">05-Sep-2026</t>
  </si>
  <si>
    <t xml:space="preserve">TXN-100209</t>
  </si>
  <si>
    <t xml:space="preserve">TXN-100210</t>
  </si>
  <si>
    <t xml:space="preserve">TXN-100211</t>
  </si>
  <si>
    <t xml:space="preserve">TXN-100212</t>
  </si>
  <si>
    <t xml:space="preserve">TXN-100213</t>
  </si>
  <si>
    <t xml:space="preserve">TXN-100214</t>
  </si>
  <si>
    <t xml:space="preserve">TXN-100215</t>
  </si>
  <si>
    <t xml:space="preserve">TXN-100216</t>
  </si>
  <si>
    <t xml:space="preserve">TXN-100217</t>
  </si>
  <si>
    <t xml:space="preserve">TXN-100218</t>
  </si>
  <si>
    <t xml:space="preserve">210</t>
  </si>
  <si>
    <t xml:space="preserve">TXN-100219</t>
  </si>
  <si>
    <t xml:space="preserve">TXN-100220</t>
  </si>
  <si>
    <t xml:space="preserve">TXN-100221</t>
  </si>
  <si>
    <t xml:space="preserve">TXN-100222</t>
  </si>
  <si>
    <t xml:space="preserve"> Eggs Tray 30</t>
  </si>
  <si>
    <t xml:space="preserve">TXN-100223</t>
  </si>
  <si>
    <t xml:space="preserve">TXN-100224</t>
  </si>
  <si>
    <t xml:space="preserve">TXN-100225</t>
  </si>
  <si>
    <t xml:space="preserve">TXN-100226</t>
  </si>
  <si>
    <t xml:space="preserve">TXN-100227</t>
  </si>
  <si>
    <t xml:space="preserve">TXN-100228</t>
  </si>
  <si>
    <t xml:space="preserve">TXN-100229</t>
  </si>
  <si>
    <t xml:space="preserve">TXN-100230</t>
  </si>
  <si>
    <t xml:space="preserve">TXN-100231</t>
  </si>
  <si>
    <t xml:space="preserve">TXN-100232</t>
  </si>
  <si>
    <t xml:space="preserve">TXN-100233</t>
  </si>
  <si>
    <t xml:space="preserve">TXN-100234</t>
  </si>
  <si>
    <t xml:space="preserve">Bleach 1L </t>
  </si>
  <si>
    <t xml:space="preserve">TXN-100433</t>
  </si>
  <si>
    <t xml:space="preserve">03-Sep-2026</t>
  </si>
  <si>
    <t xml:space="preserve">TXN-100235</t>
  </si>
  <si>
    <t xml:space="preserve">TXN-100236</t>
  </si>
  <si>
    <t xml:space="preserve">UNGA PEMBE 2KG</t>
  </si>
  <si>
    <t xml:space="preserve">TXN-100237</t>
  </si>
  <si>
    <t xml:space="preserve">Peanuts 250g </t>
  </si>
  <si>
    <t xml:space="preserve">TXN-100238</t>
  </si>
  <si>
    <t xml:space="preserve">350</t>
  </si>
  <si>
    <t xml:space="preserve">TXN-100239</t>
  </si>
  <si>
    <t xml:space="preserve">TXN-100240</t>
  </si>
  <si>
    <t xml:space="preserve">TXN-100241</t>
  </si>
  <si>
    <t xml:space="preserve">CRISPS 100G</t>
  </si>
  <si>
    <t xml:space="preserve">TXN-100242</t>
  </si>
  <si>
    <t xml:space="preserve">TXN-100243</t>
  </si>
  <si>
    <t xml:space="preserve">TXN-100244</t>
  </si>
  <si>
    <t xml:space="preserve">TXN-100245</t>
  </si>
  <si>
    <t xml:space="preserve">TXN-100246</t>
  </si>
  <si>
    <t xml:space="preserve">72</t>
  </si>
  <si>
    <t xml:space="preserve">TXN-100247</t>
  </si>
  <si>
    <t xml:space="preserve">TXN-100248</t>
  </si>
  <si>
    <t xml:space="preserve"> Tea Leaves 250g</t>
  </si>
  <si>
    <t xml:space="preserve">TXN-100249</t>
  </si>
  <si>
    <t xml:space="preserve">TXN-100250</t>
  </si>
  <si>
    <t xml:space="preserve">TXN-100251</t>
  </si>
  <si>
    <t xml:space="preserve">02-Sep-2026</t>
  </si>
  <si>
    <t xml:space="preserve">TXN-100252</t>
  </si>
  <si>
    <t xml:space="preserve">SPAGHETTI 400G</t>
  </si>
  <si>
    <t xml:space="preserve">TXN-100253</t>
  </si>
  <si>
    <t xml:space="preserve"> Washing Powder 1kg</t>
  </si>
  <si>
    <t xml:space="preserve">TXN-100254</t>
  </si>
  <si>
    <t xml:space="preserve">2026-09-02</t>
  </si>
  <si>
    <t xml:space="preserve">6 </t>
  </si>
  <si>
    <t xml:space="preserve">TXN-100255</t>
  </si>
  <si>
    <t xml:space="preserve">TXN-100256</t>
  </si>
  <si>
    <t xml:space="preserve"> bath soap 175gx</t>
  </si>
  <si>
    <t xml:space="preserve">TXN-100257</t>
  </si>
  <si>
    <t xml:space="preserve">TXN-100258</t>
  </si>
  <si>
    <t xml:space="preserve">TXN-100259</t>
  </si>
  <si>
    <t xml:space="preserve">TXN-100260</t>
  </si>
  <si>
    <t xml:space="preserve">KES 450</t>
  </si>
  <si>
    <t xml:space="preserve">TXN-100261</t>
  </si>
  <si>
    <t xml:space="preserve">TXN-100262</t>
  </si>
  <si>
    <t xml:space="preserve">TXN-100263</t>
  </si>
  <si>
    <t xml:space="preserve">KES 279</t>
  </si>
  <si>
    <t xml:space="preserve">TXN-100264</t>
  </si>
  <si>
    <t xml:space="preserve">KES 378</t>
  </si>
  <si>
    <t xml:space="preserve">TXN-100265</t>
  </si>
  <si>
    <t xml:space="preserve">TXN-100266</t>
  </si>
  <si>
    <t xml:space="preserve">TXN-100267</t>
  </si>
  <si>
    <t xml:space="preserve">TXN-100268</t>
  </si>
  <si>
    <t xml:space="preserve">TXN-100269</t>
  </si>
  <si>
    <t xml:space="preserve">TXN-100270</t>
  </si>
  <si>
    <t xml:space="preserve">TXN-100271</t>
  </si>
  <si>
    <t xml:space="preserve">TXN-100272</t>
  </si>
  <si>
    <t xml:space="preserve">TXN-100273</t>
  </si>
  <si>
    <t xml:space="preserve">81</t>
  </si>
  <si>
    <t xml:space="preserve">TXN-100274</t>
  </si>
  <si>
    <t xml:space="preserve">TXN-100275</t>
  </si>
  <si>
    <t xml:space="preserve">Spaghetti 400g </t>
  </si>
  <si>
    <t xml:space="preserve">TXN-100276</t>
  </si>
  <si>
    <t xml:space="preserve">TXN-100277</t>
  </si>
  <si>
    <t xml:space="preserve">TXN-100278</t>
  </si>
  <si>
    <t xml:space="preserve">TXN-100279</t>
  </si>
  <si>
    <t xml:space="preserve">TXN-100280</t>
  </si>
  <si>
    <t xml:space="preserve">TXN-100281</t>
  </si>
  <si>
    <t xml:space="preserve">TXN-100282</t>
  </si>
  <si>
    <t xml:space="preserve">TXN-100283</t>
  </si>
  <si>
    <t xml:space="preserve">TXN-100284</t>
  </si>
  <si>
    <t xml:space="preserve">TXN-100285</t>
  </si>
  <si>
    <t xml:space="preserve">TXN-100286</t>
  </si>
  <si>
    <t xml:space="preserve">TXN-100287</t>
  </si>
  <si>
    <t xml:space="preserve"> Crisps 100g</t>
  </si>
  <si>
    <t xml:space="preserve">TXN-100288</t>
  </si>
  <si>
    <t xml:space="preserve">TXN-100289</t>
  </si>
  <si>
    <t xml:space="preserve">TXN-100290</t>
  </si>
  <si>
    <t xml:space="preserve">TXN-100291</t>
  </si>
  <si>
    <t xml:space="preserve">Unga Pembe 2kg </t>
  </si>
  <si>
    <t xml:space="preserve">TXN-100292</t>
  </si>
  <si>
    <t xml:space="preserve">TXN-100293</t>
  </si>
  <si>
    <t xml:space="preserve">40</t>
  </si>
  <si>
    <t xml:space="preserve">TXN-100294</t>
  </si>
  <si>
    <t xml:space="preserve">TXN-100295</t>
  </si>
  <si>
    <t xml:space="preserve">TXN-100296</t>
  </si>
  <si>
    <t xml:space="preserve">TXN-100297</t>
  </si>
  <si>
    <t xml:space="preserve">TXN-100298</t>
  </si>
  <si>
    <t xml:space="preserve">TXN-100299</t>
  </si>
  <si>
    <t xml:space="preserve">TXN-100300</t>
  </si>
  <si>
    <t xml:space="preserve">TXN-100301</t>
  </si>
  <si>
    <t xml:space="preserve">TXN-101710</t>
  </si>
  <si>
    <t xml:space="preserve">2026-09-11</t>
  </si>
  <si>
    <t xml:space="preserve">TXN-100302</t>
  </si>
  <si>
    <t xml:space="preserve">TXN-100303</t>
  </si>
  <si>
    <t xml:space="preserve">TXN-100304</t>
  </si>
  <si>
    <t xml:space="preserve">TXN-100305</t>
  </si>
  <si>
    <t xml:space="preserve"> Rice Pishori 2kg</t>
  </si>
  <si>
    <t xml:space="preserve">TXN-100306</t>
  </si>
  <si>
    <t xml:space="preserve"> Deodorant 150ml</t>
  </si>
  <si>
    <t xml:space="preserve">TXN-100307</t>
  </si>
  <si>
    <t xml:space="preserve">TXN-100308</t>
  </si>
  <si>
    <t xml:space="preserve">TXN-100309</t>
  </si>
  <si>
    <t xml:space="preserve">TXN-100310</t>
  </si>
  <si>
    <t xml:space="preserve">TXN-100311</t>
  </si>
  <si>
    <t xml:space="preserve">TXN-100312</t>
  </si>
  <si>
    <t xml:space="preserve">TXN-100313</t>
  </si>
  <si>
    <t xml:space="preserve">117</t>
  </si>
  <si>
    <t xml:space="preserve">TXN-100314</t>
  </si>
  <si>
    <t xml:space="preserve">TXN-100315</t>
  </si>
  <si>
    <t xml:space="preserve"> Bread Loaf 400g</t>
  </si>
  <si>
    <t xml:space="preserve">TXN-100316</t>
  </si>
  <si>
    <t xml:space="preserve">TXN-100317</t>
  </si>
  <si>
    <t xml:space="preserve">TXN-100318</t>
  </si>
  <si>
    <t xml:space="preserve">TXN-100319</t>
  </si>
  <si>
    <t xml:space="preserve">TXN-100320</t>
  </si>
  <si>
    <t xml:space="preserve">TXN-100321</t>
  </si>
  <si>
    <t xml:space="preserve">TXN-100322</t>
  </si>
  <si>
    <t xml:space="preserve">3 </t>
  </si>
  <si>
    <t xml:space="preserve">TXN-100323</t>
  </si>
  <si>
    <t xml:space="preserve">TXN-100324</t>
  </si>
  <si>
    <t xml:space="preserve">TXN-100325</t>
  </si>
  <si>
    <t xml:space="preserve">TXN-100326</t>
  </si>
  <si>
    <t xml:space="preserve">TXN-100327</t>
  </si>
  <si>
    <t xml:space="preserve">TXN-100328</t>
  </si>
  <si>
    <t xml:space="preserve">195</t>
  </si>
  <si>
    <t xml:space="preserve">TXN-100329</t>
  </si>
  <si>
    <t xml:space="preserve">TXN-100330</t>
  </si>
  <si>
    <t xml:space="preserve">TXN-100331</t>
  </si>
  <si>
    <t xml:space="preserve">TXN-100332</t>
  </si>
  <si>
    <t xml:space="preserve">TXN-100333</t>
  </si>
  <si>
    <t xml:space="preserve">TXN-100334</t>
  </si>
  <si>
    <t xml:space="preserve">450</t>
  </si>
  <si>
    <t xml:space="preserve">TXN-100335</t>
  </si>
  <si>
    <t xml:space="preserve">TXN-100336</t>
  </si>
  <si>
    <t xml:space="preserve">TXN-100337</t>
  </si>
  <si>
    <t xml:space="preserve">TXN-100338</t>
  </si>
  <si>
    <t xml:space="preserve">TXN-100339</t>
  </si>
  <si>
    <t xml:space="preserve">TXN-101327</t>
  </si>
  <si>
    <t xml:space="preserve">2026-09-09</t>
  </si>
  <si>
    <t xml:space="preserve">Chocolate Bar 90g </t>
  </si>
  <si>
    <t xml:space="preserve">TXN-100340</t>
  </si>
  <si>
    <t xml:space="preserve">KES 210</t>
  </si>
  <si>
    <t xml:space="preserve">TXN-100341</t>
  </si>
  <si>
    <t xml:space="preserve">TXN-100342</t>
  </si>
  <si>
    <t xml:space="preserve">TXN-100343</t>
  </si>
  <si>
    <t xml:space="preserve">TXN-100344</t>
  </si>
  <si>
    <t xml:space="preserve">TXN-100345</t>
  </si>
  <si>
    <t xml:space="preserve">TXN-100346</t>
  </si>
  <si>
    <t xml:space="preserve">TXN-100347</t>
  </si>
  <si>
    <t xml:space="preserve">TXN-100348</t>
  </si>
  <si>
    <t xml:space="preserve">TXN-100349</t>
  </si>
  <si>
    <t xml:space="preserve">TXN-100350</t>
  </si>
  <si>
    <t xml:space="preserve">TXN-100351</t>
  </si>
  <si>
    <t xml:space="preserve">TXN-100352</t>
  </si>
  <si>
    <t xml:space="preserve">TXN-100353</t>
  </si>
  <si>
    <t xml:space="preserve">TXN-100354</t>
  </si>
  <si>
    <t xml:space="preserve">TXN-100355</t>
  </si>
  <si>
    <t xml:space="preserve">TXN-100356</t>
  </si>
  <si>
    <t xml:space="preserve">TXN-100357</t>
  </si>
  <si>
    <t xml:space="preserve">TXN-100358</t>
  </si>
  <si>
    <t xml:space="preserve">TXN-100359</t>
  </si>
  <si>
    <t xml:space="preserve">TXN-100360</t>
  </si>
  <si>
    <t xml:space="preserve">TXN-100361</t>
  </si>
  <si>
    <t xml:space="preserve">TXN-100362</t>
  </si>
  <si>
    <t xml:space="preserve">TXN-100363</t>
  </si>
  <si>
    <t xml:space="preserve">Sanitary Pads 8pk </t>
  </si>
  <si>
    <t xml:space="preserve">TXN-100364</t>
  </si>
  <si>
    <t xml:space="preserve">TXN-100365</t>
  </si>
  <si>
    <t xml:space="preserve">TXN-100366</t>
  </si>
  <si>
    <t xml:space="preserve">TXN-100367</t>
  </si>
  <si>
    <t xml:space="preserve">TXN-100368</t>
  </si>
  <si>
    <t xml:space="preserve">45</t>
  </si>
  <si>
    <t xml:space="preserve">TXN-100369</t>
  </si>
  <si>
    <t xml:space="preserve">TXN-100370</t>
  </si>
  <si>
    <t xml:space="preserve">TXN-100371</t>
  </si>
  <si>
    <t xml:space="preserve">TXN-100372</t>
  </si>
  <si>
    <t xml:space="preserve">TXN-100373</t>
  </si>
  <si>
    <t xml:space="preserve">TXN-100374</t>
  </si>
  <si>
    <t xml:space="preserve">TXN-100375</t>
  </si>
  <si>
    <t xml:space="preserve">TXN-100654</t>
  </si>
  <si>
    <t xml:space="preserve"> Peanuts 250g</t>
  </si>
  <si>
    <t xml:space="preserve">TXN-100376</t>
  </si>
  <si>
    <t xml:space="preserve">TXN-100377</t>
  </si>
  <si>
    <t xml:space="preserve">TXN-101357</t>
  </si>
  <si>
    <t xml:space="preserve">TXN-100378</t>
  </si>
  <si>
    <t xml:space="preserve">2026-09-03</t>
  </si>
  <si>
    <t xml:space="preserve">TXN-100379</t>
  </si>
  <si>
    <t xml:space="preserve">TXN-100380</t>
  </si>
  <si>
    <t xml:space="preserve">TXN-100381</t>
  </si>
  <si>
    <t xml:space="preserve">TXN-100382</t>
  </si>
  <si>
    <t xml:space="preserve">TXN-101354</t>
  </si>
  <si>
    <t xml:space="preserve">09-Sep-2026</t>
  </si>
  <si>
    <t xml:space="preserve">TXN-100383</t>
  </si>
  <si>
    <t xml:space="preserve">TXN-100384</t>
  </si>
  <si>
    <t xml:space="preserve">TXN-100385</t>
  </si>
  <si>
    <t xml:space="preserve">KES 117</t>
  </si>
  <si>
    <t xml:space="preserve">TXN-100386</t>
  </si>
  <si>
    <t xml:space="preserve">TXN-100387</t>
  </si>
  <si>
    <t xml:space="preserve">TXN-100388</t>
  </si>
  <si>
    <t xml:space="preserve">TXN-100389</t>
  </si>
  <si>
    <t xml:space="preserve">TXN-100390</t>
  </si>
  <si>
    <t xml:space="preserve">TXN-100391</t>
  </si>
  <si>
    <t xml:space="preserve">TXN-100392</t>
  </si>
  <si>
    <t xml:space="preserve">TXN-100393</t>
  </si>
  <si>
    <t xml:space="preserve">Fresh Milk 500ml </t>
  </si>
  <si>
    <t xml:space="preserve">TXN-100394</t>
  </si>
  <si>
    <t xml:space="preserve">TXN-100395</t>
  </si>
  <si>
    <t xml:space="preserve">TXN-100396</t>
  </si>
  <si>
    <t xml:space="preserve">TXN-100397</t>
  </si>
  <si>
    <t xml:space="preserve">bleach 1 lx</t>
  </si>
  <si>
    <t xml:space="preserve">TXN-100398</t>
  </si>
  <si>
    <t xml:space="preserve">TXN-100399</t>
  </si>
  <si>
    <t xml:space="preserve">TXN-100400</t>
  </si>
  <si>
    <t xml:space="preserve">TXN-100401</t>
  </si>
  <si>
    <t xml:space="preserve">TXN-100402</t>
  </si>
  <si>
    <t xml:space="preserve">TXN-100403</t>
  </si>
  <si>
    <t xml:space="preserve">TXN-100404</t>
  </si>
  <si>
    <t xml:space="preserve">TXN-100405</t>
  </si>
  <si>
    <t xml:space="preserve">TXN-100406</t>
  </si>
  <si>
    <t xml:space="preserve">TXN-100407</t>
  </si>
  <si>
    <t xml:space="preserve">TXN-100408</t>
  </si>
  <si>
    <t xml:space="preserve">TXN-100409</t>
  </si>
  <si>
    <t xml:space="preserve">TXN-100410</t>
  </si>
  <si>
    <t xml:space="preserve">TXN-100411</t>
  </si>
  <si>
    <t xml:space="preserve">TXN-100412</t>
  </si>
  <si>
    <t xml:space="preserve">TXN-100413</t>
  </si>
  <si>
    <t xml:space="preserve">TXN-100414</t>
  </si>
  <si>
    <t xml:space="preserve">TXN-100415</t>
  </si>
  <si>
    <t xml:space="preserve">TXN-100416</t>
  </si>
  <si>
    <t xml:space="preserve">TXN-100417</t>
  </si>
  <si>
    <t xml:space="preserve">TXN-100418</t>
  </si>
  <si>
    <t xml:space="preserve">TXN-100419</t>
  </si>
  <si>
    <t xml:space="preserve">TXN-100420</t>
  </si>
  <si>
    <t xml:space="preserve">54</t>
  </si>
  <si>
    <t xml:space="preserve">TXN-100421</t>
  </si>
  <si>
    <t xml:space="preserve">TXN-100422</t>
  </si>
  <si>
    <t xml:space="preserve">TXN-100423</t>
  </si>
  <si>
    <t xml:space="preserve">TXN-100424</t>
  </si>
  <si>
    <t xml:space="preserve">TXN-100425</t>
  </si>
  <si>
    <t xml:space="preserve">TXN-100426</t>
  </si>
  <si>
    <t xml:space="preserve">TXN-100427</t>
  </si>
  <si>
    <t xml:space="preserve">TXN-100428</t>
  </si>
  <si>
    <t xml:space="preserve">TXN-100429</t>
  </si>
  <si>
    <t xml:space="preserve">TXN-100430</t>
  </si>
  <si>
    <t xml:space="preserve">310</t>
  </si>
  <si>
    <t xml:space="preserve">TXN-100431</t>
  </si>
  <si>
    <t xml:space="preserve"> Salt 500g</t>
  </si>
  <si>
    <t xml:space="preserve">TXN-100432</t>
  </si>
  <si>
    <t xml:space="preserve">TXN-100434</t>
  </si>
  <si>
    <t xml:space="preserve">TXN-100435</t>
  </si>
  <si>
    <t xml:space="preserve">TXN-100436</t>
  </si>
  <si>
    <t xml:space="preserve">TXN-100437</t>
  </si>
  <si>
    <t xml:space="preserve">TXN-100438</t>
  </si>
  <si>
    <t xml:space="preserve">TXN-100439</t>
  </si>
  <si>
    <t xml:space="preserve">TXN-100440</t>
  </si>
  <si>
    <t xml:space="preserve">TXN-100441</t>
  </si>
  <si>
    <t xml:space="preserve">TXN-100442</t>
  </si>
  <si>
    <t xml:space="preserve">TXN-100443</t>
  </si>
  <si>
    <t xml:space="preserve"> Sugar 2kg</t>
  </si>
  <si>
    <t xml:space="preserve">TXN-100444</t>
  </si>
  <si>
    <t xml:space="preserve">TXN-100445</t>
  </si>
  <si>
    <t xml:space="preserve">TXN-100446</t>
  </si>
  <si>
    <t xml:space="preserve">TXN-100447</t>
  </si>
  <si>
    <t xml:space="preserve">TXN-100448</t>
  </si>
  <si>
    <t xml:space="preserve">TXN-100449</t>
  </si>
  <si>
    <t xml:space="preserve">TXN-100450</t>
  </si>
  <si>
    <t xml:space="preserve">TXN-100451</t>
  </si>
  <si>
    <t xml:space="preserve">TOILET PAPER 10PK</t>
  </si>
  <si>
    <t xml:space="preserve">TXN-100452</t>
  </si>
  <si>
    <t xml:space="preserve">TXN-100453</t>
  </si>
  <si>
    <t xml:space="preserve">TXN-100454</t>
  </si>
  <si>
    <t xml:space="preserve">TXN-100455</t>
  </si>
  <si>
    <t xml:space="preserve">TXN-100456</t>
  </si>
  <si>
    <t xml:space="preserve">TXN-100457</t>
  </si>
  <si>
    <t xml:space="preserve">TXN-100458</t>
  </si>
  <si>
    <t xml:space="preserve">TXN-100459</t>
  </si>
  <si>
    <t xml:space="preserve">TXN-100460</t>
  </si>
  <si>
    <t xml:space="preserve">TXN-100461</t>
  </si>
  <si>
    <t xml:space="preserve">TXN-100462</t>
  </si>
  <si>
    <t xml:space="preserve">TXN-100463</t>
  </si>
  <si>
    <t xml:space="preserve">TEA LEAVES 250G</t>
  </si>
  <si>
    <t xml:space="preserve">TXN-100464</t>
  </si>
  <si>
    <t xml:space="preserve">TXN-100465</t>
  </si>
  <si>
    <t xml:space="preserve">TXN-100466</t>
  </si>
  <si>
    <t xml:space="preserve">TXN-100712</t>
  </si>
  <si>
    <t xml:space="preserve">2026-09-05</t>
  </si>
  <si>
    <t xml:space="preserve">TXN-100467</t>
  </si>
  <si>
    <t xml:space="preserve">TXN-100468</t>
  </si>
  <si>
    <t xml:space="preserve">TXN-100469</t>
  </si>
  <si>
    <t xml:space="preserve">TXN-100491</t>
  </si>
  <si>
    <t xml:space="preserve">TXN-100470</t>
  </si>
  <si>
    <t xml:space="preserve">TXN-100471</t>
  </si>
  <si>
    <t xml:space="preserve">TXN-100472</t>
  </si>
  <si>
    <t xml:space="preserve">TXN-100473</t>
  </si>
  <si>
    <t xml:space="preserve">TXN-100474</t>
  </si>
  <si>
    <t xml:space="preserve">TXN-100475</t>
  </si>
  <si>
    <t xml:space="preserve">TXN-100476</t>
  </si>
  <si>
    <t xml:space="preserve">TXN-100477</t>
  </si>
  <si>
    <t xml:space="preserve">TXN-100478</t>
  </si>
  <si>
    <t xml:space="preserve">TXN-100479</t>
  </si>
  <si>
    <t xml:space="preserve">TXN-100480</t>
  </si>
  <si>
    <t xml:space="preserve">TXN-100481</t>
  </si>
  <si>
    <t xml:space="preserve">TXN-100482</t>
  </si>
  <si>
    <t xml:space="preserve">TXN-100483</t>
  </si>
  <si>
    <t xml:space="preserve">TXN-100484</t>
  </si>
  <si>
    <t xml:space="preserve">TXN-100485</t>
  </si>
  <si>
    <t xml:space="preserve">TXN-100486</t>
  </si>
  <si>
    <t xml:space="preserve">TXN-100487</t>
  </si>
  <si>
    <t xml:space="preserve">TXN-100488</t>
  </si>
  <si>
    <t xml:space="preserve">WASHING POWDER 1KG</t>
  </si>
  <si>
    <t xml:space="preserve">TXN-100489</t>
  </si>
  <si>
    <t xml:space="preserve">TXN-100490</t>
  </si>
  <si>
    <t xml:space="preserve">TXN-100492</t>
  </si>
  <si>
    <t xml:space="preserve">RICE PISHORI 2KG</t>
  </si>
  <si>
    <t xml:space="preserve">TXN-100493</t>
  </si>
  <si>
    <t xml:space="preserve">TXN-100494</t>
  </si>
  <si>
    <t xml:space="preserve">TXN-100495</t>
  </si>
  <si>
    <t xml:space="preserve">TXN-100496</t>
  </si>
  <si>
    <t xml:space="preserve">KES 120</t>
  </si>
  <si>
    <t xml:space="preserve">TXN-100497</t>
  </si>
  <si>
    <t xml:space="preserve">TXN-100498</t>
  </si>
  <si>
    <t xml:space="preserve">TXN-100499</t>
  </si>
  <si>
    <t xml:space="preserve">TXN-100500</t>
  </si>
  <si>
    <t xml:space="preserve">TXN-100501</t>
  </si>
  <si>
    <t xml:space="preserve">TXN-100502</t>
  </si>
  <si>
    <t xml:space="preserve">TXN-100503</t>
  </si>
  <si>
    <t xml:space="preserve">TXN-100504</t>
  </si>
  <si>
    <t xml:space="preserve">TXN-100505</t>
  </si>
  <si>
    <t xml:space="preserve">TXN-100506</t>
  </si>
  <si>
    <t xml:space="preserve">TXN-100507</t>
  </si>
  <si>
    <t xml:space="preserve">TXN-100508</t>
  </si>
  <si>
    <t xml:space="preserve">matches 10pkx</t>
  </si>
  <si>
    <t xml:space="preserve">TXN-100509</t>
  </si>
  <si>
    <t xml:space="preserve">TXN-100510</t>
  </si>
  <si>
    <t xml:space="preserve">TXN-100511</t>
  </si>
  <si>
    <t xml:space="preserve">TXN-100512</t>
  </si>
  <si>
    <t xml:space="preserve">TXN-100513</t>
  </si>
  <si>
    <t xml:space="preserve">TXN-100514</t>
  </si>
  <si>
    <t xml:space="preserve">2026-09-04</t>
  </si>
  <si>
    <t xml:space="preserve">80</t>
  </si>
  <si>
    <t xml:space="preserve">TXN-101446</t>
  </si>
  <si>
    <t xml:space="preserve">Biscuits 200g </t>
  </si>
  <si>
    <t xml:space="preserve">TXN-100515</t>
  </si>
  <si>
    <t xml:space="preserve">TXN-100516</t>
  </si>
  <si>
    <t xml:space="preserve">TXN-100517</t>
  </si>
  <si>
    <t xml:space="preserve">TXN-100518</t>
  </si>
  <si>
    <t xml:space="preserve">TXN-100519</t>
  </si>
  <si>
    <t xml:space="preserve">TXN-100520</t>
  </si>
  <si>
    <t xml:space="preserve">TXN-100521</t>
  </si>
  <si>
    <t xml:space="preserve">TXN-100522</t>
  </si>
  <si>
    <t xml:space="preserve">TXN-100523</t>
  </si>
  <si>
    <t xml:space="preserve">TXN-100524</t>
  </si>
  <si>
    <t xml:space="preserve">TXN-100525</t>
  </si>
  <si>
    <t xml:space="preserve">TXN-100526</t>
  </si>
  <si>
    <t xml:space="preserve">TXN-100527</t>
  </si>
  <si>
    <t xml:space="preserve">TXN-100528</t>
  </si>
  <si>
    <t xml:space="preserve">TXN-100529</t>
  </si>
  <si>
    <t xml:space="preserve">TXN-100530</t>
  </si>
  <si>
    <t xml:space="preserve">BLEACH 1L</t>
  </si>
  <si>
    <t xml:space="preserve">TXN-100532</t>
  </si>
  <si>
    <t xml:space="preserve">TXN-100533</t>
  </si>
  <si>
    <t xml:space="preserve">TXN-100534</t>
  </si>
  <si>
    <t xml:space="preserve">TXN-100535</t>
  </si>
  <si>
    <t xml:space="preserve">TXN-100536</t>
  </si>
  <si>
    <t xml:space="preserve">TXN-100537</t>
  </si>
  <si>
    <t xml:space="preserve">TXN-100538</t>
  </si>
  <si>
    <t xml:space="preserve">405</t>
  </si>
  <si>
    <t xml:space="preserve">TXN-100539</t>
  </si>
  <si>
    <t xml:space="preserve">TXN-100540</t>
  </si>
  <si>
    <t xml:space="preserve">TXN-100541</t>
  </si>
  <si>
    <t xml:space="preserve">TXN-100542</t>
  </si>
  <si>
    <t xml:space="preserve">TXN-100543</t>
  </si>
  <si>
    <t xml:space="preserve">TXN-100544</t>
  </si>
  <si>
    <t xml:space="preserve">TXN-100545</t>
  </si>
  <si>
    <t xml:space="preserve">TXN-100546</t>
  </si>
  <si>
    <t xml:space="preserve">TXN-100547</t>
  </si>
  <si>
    <t xml:space="preserve">171</t>
  </si>
  <si>
    <t xml:space="preserve">TXN-100548</t>
  </si>
  <si>
    <t xml:space="preserve">TXN-100549</t>
  </si>
  <si>
    <t xml:space="preserve">TXN-100550</t>
  </si>
  <si>
    <t xml:space="preserve"> Bottled Water 1.5L</t>
  </si>
  <si>
    <t xml:space="preserve">TXN-100551</t>
  </si>
  <si>
    <t xml:space="preserve">TXN-100552</t>
  </si>
  <si>
    <t xml:space="preserve">TXN-100553</t>
  </si>
  <si>
    <t xml:space="preserve">TXN-100554</t>
  </si>
  <si>
    <t xml:space="preserve">TXN-100555</t>
  </si>
  <si>
    <t xml:space="preserve">TXN-100556</t>
  </si>
  <si>
    <t xml:space="preserve">TXN-100557</t>
  </si>
  <si>
    <t xml:space="preserve">TXN-100558</t>
  </si>
  <si>
    <t xml:space="preserve">TXN-100559</t>
  </si>
  <si>
    <t xml:space="preserve">TXN-100560</t>
  </si>
  <si>
    <t xml:space="preserve">TXN-100561</t>
  </si>
  <si>
    <t xml:space="preserve">TXN-100562</t>
  </si>
  <si>
    <t xml:space="preserve">TXN-100563</t>
  </si>
  <si>
    <t xml:space="preserve">TXN-100564</t>
  </si>
  <si>
    <t xml:space="preserve">TXN-100565</t>
  </si>
  <si>
    <t xml:space="preserve">TXN-100566</t>
  </si>
  <si>
    <t xml:space="preserve">TXN-100567</t>
  </si>
  <si>
    <t xml:space="preserve">TXN-100568</t>
  </si>
  <si>
    <t xml:space="preserve">TXN-100569</t>
  </si>
  <si>
    <t xml:space="preserve">Bread Loaf 400g </t>
  </si>
  <si>
    <t xml:space="preserve">TXN-100570</t>
  </si>
  <si>
    <t xml:space="preserve">TXN-100571</t>
  </si>
  <si>
    <t xml:space="preserve">279</t>
  </si>
  <si>
    <t xml:space="preserve">TXN-100572</t>
  </si>
  <si>
    <t xml:space="preserve">TXN-100573</t>
  </si>
  <si>
    <t xml:space="preserve">TXN-100574</t>
  </si>
  <si>
    <t xml:space="preserve">BOTTLED WATER 1.5L</t>
  </si>
  <si>
    <t xml:space="preserve">TXN-100575</t>
  </si>
  <si>
    <t xml:space="preserve">99</t>
  </si>
  <si>
    <t xml:space="preserve">TXN-100576</t>
  </si>
  <si>
    <t xml:space="preserve">TXN-100577</t>
  </si>
  <si>
    <t xml:space="preserve">TXN-101438</t>
  </si>
  <si>
    <t xml:space="preserve">TXN-100578</t>
  </si>
  <si>
    <t xml:space="preserve">TXN-100579</t>
  </si>
  <si>
    <t xml:space="preserve">TXN-100580</t>
  </si>
  <si>
    <t xml:space="preserve">TXN-100581</t>
  </si>
  <si>
    <t xml:space="preserve">TXN-100582</t>
  </si>
  <si>
    <t xml:space="preserve">TXN-100583</t>
  </si>
  <si>
    <t xml:space="preserve">TXN-100584</t>
  </si>
  <si>
    <t xml:space="preserve">TXN-100585</t>
  </si>
  <si>
    <t xml:space="preserve">TXN-100586</t>
  </si>
  <si>
    <t xml:space="preserve">TXN-100587</t>
  </si>
  <si>
    <t xml:space="preserve">TXN-100588</t>
  </si>
  <si>
    <t xml:space="preserve">TXN-100589</t>
  </si>
  <si>
    <t xml:space="preserve">TXN-100590</t>
  </si>
  <si>
    <t xml:space="preserve">KES 95</t>
  </si>
  <si>
    <t xml:space="preserve">TXN-100591</t>
  </si>
  <si>
    <t xml:space="preserve">TXN-100592</t>
  </si>
  <si>
    <t xml:space="preserve">TXN-100593</t>
  </si>
  <si>
    <t xml:space="preserve">TXN-100594</t>
  </si>
  <si>
    <t xml:space="preserve">TXN-100595</t>
  </si>
  <si>
    <t xml:space="preserve">TXN-100596</t>
  </si>
  <si>
    <t xml:space="preserve">TXN-100597</t>
  </si>
  <si>
    <t xml:space="preserve">TXN-100598</t>
  </si>
  <si>
    <t xml:space="preserve">TXN-100599</t>
  </si>
  <si>
    <t xml:space="preserve">TXN-100600</t>
  </si>
  <si>
    <t xml:space="preserve">TXN-100601</t>
  </si>
  <si>
    <t xml:space="preserve">TXN-100602</t>
  </si>
  <si>
    <t xml:space="preserve">TXN-100603</t>
  </si>
  <si>
    <t xml:space="preserve">297</t>
  </si>
  <si>
    <t xml:space="preserve">TXN-100604</t>
  </si>
  <si>
    <t xml:space="preserve">TXN-100605</t>
  </si>
  <si>
    <t xml:space="preserve">TXN-100606</t>
  </si>
  <si>
    <t xml:space="preserve">BATH SOAP 175G</t>
  </si>
  <si>
    <t xml:space="preserve">TXN-100607</t>
  </si>
  <si>
    <t xml:space="preserve">TXN-100608</t>
  </si>
  <si>
    <t xml:space="preserve">TXN-100609</t>
  </si>
  <si>
    <t xml:space="preserve">TXN-100610</t>
  </si>
  <si>
    <t xml:space="preserve">TXN-100611</t>
  </si>
  <si>
    <t xml:space="preserve">TXN-100612</t>
  </si>
  <si>
    <t xml:space="preserve">TXN-100613</t>
  </si>
  <si>
    <t xml:space="preserve">TXN-100614</t>
  </si>
  <si>
    <t xml:space="preserve">TXN-100615</t>
  </si>
  <si>
    <t xml:space="preserve">TXN-100616</t>
  </si>
  <si>
    <t xml:space="preserve">TXN-100617</t>
  </si>
  <si>
    <t xml:space="preserve">TXN-100618</t>
  </si>
  <si>
    <t xml:space="preserve">TXN-100619</t>
  </si>
  <si>
    <t xml:space="preserve">TXN-100620</t>
  </si>
  <si>
    <t xml:space="preserve">TXN-100621</t>
  </si>
  <si>
    <t xml:space="preserve">TXN-100622</t>
  </si>
  <si>
    <t xml:space="preserve">TXN-100623</t>
  </si>
  <si>
    <t xml:space="preserve">TXN-100624</t>
  </si>
  <si>
    <t xml:space="preserve">TXN-100625</t>
  </si>
  <si>
    <t xml:space="preserve">TXN-100626</t>
  </si>
  <si>
    <t xml:space="preserve">TXN-100627</t>
  </si>
  <si>
    <t xml:space="preserve">TXN-100628</t>
  </si>
  <si>
    <t xml:space="preserve">TXN-100629</t>
  </si>
  <si>
    <t xml:space="preserve">Bath Soap 175g </t>
  </si>
  <si>
    <t xml:space="preserve">TXN-100630</t>
  </si>
  <si>
    <t xml:space="preserve">TXN-100631</t>
  </si>
  <si>
    <t xml:space="preserve">TXN-100632</t>
  </si>
  <si>
    <t xml:space="preserve">TXN-100633</t>
  </si>
  <si>
    <t xml:space="preserve">TXN-100634</t>
  </si>
  <si>
    <t xml:space="preserve">TXN-100635</t>
  </si>
  <si>
    <t xml:space="preserve">TXN-100636</t>
  </si>
  <si>
    <t xml:space="preserve">TXN-100637</t>
  </si>
  <si>
    <t xml:space="preserve">TXN-100638</t>
  </si>
  <si>
    <t xml:space="preserve">TXN-100639</t>
  </si>
  <si>
    <t xml:space="preserve">TXN-100640</t>
  </si>
  <si>
    <t xml:space="preserve">TXN-100641</t>
  </si>
  <si>
    <t xml:space="preserve">TXN-100642</t>
  </si>
  <si>
    <t xml:space="preserve">TXN-100643</t>
  </si>
  <si>
    <t xml:space="preserve">TXN-100644</t>
  </si>
  <si>
    <t xml:space="preserve">TXN-100645</t>
  </si>
  <si>
    <t xml:space="preserve">TXN-100646</t>
  </si>
  <si>
    <t xml:space="preserve">TXN-100647</t>
  </si>
  <si>
    <t xml:space="preserve">TXN-100648</t>
  </si>
  <si>
    <t xml:space="preserve">TXN-100649</t>
  </si>
  <si>
    <t xml:space="preserve">TXN-100650</t>
  </si>
  <si>
    <t xml:space="preserve">TXN-100651</t>
  </si>
  <si>
    <t xml:space="preserve">TXN-100652</t>
  </si>
  <si>
    <t xml:space="preserve">TXN-100653</t>
  </si>
  <si>
    <t xml:space="preserve">TXN-100655</t>
  </si>
  <si>
    <t xml:space="preserve">TXN-100656</t>
  </si>
  <si>
    <t xml:space="preserve">TXN-100657</t>
  </si>
  <si>
    <t xml:space="preserve">TXN-100658</t>
  </si>
  <si>
    <t xml:space="preserve">TXN-100659</t>
  </si>
  <si>
    <t xml:space="preserve">TXN-100660</t>
  </si>
  <si>
    <t xml:space="preserve">TXN-100661</t>
  </si>
  <si>
    <t xml:space="preserve">TXN-100662</t>
  </si>
  <si>
    <t xml:space="preserve">TXN-100663</t>
  </si>
  <si>
    <t xml:space="preserve">TXN-100664</t>
  </si>
  <si>
    <t xml:space="preserve">TXN-100665</t>
  </si>
  <si>
    <t xml:space="preserve">TXN-100666</t>
  </si>
  <si>
    <t xml:space="preserve">TXN-100667</t>
  </si>
  <si>
    <t xml:space="preserve">TXN-100668</t>
  </si>
  <si>
    <t xml:space="preserve">TXN-100669</t>
  </si>
  <si>
    <t xml:space="preserve">TXN-100670</t>
  </si>
  <si>
    <t xml:space="preserve">TXN-100671</t>
  </si>
  <si>
    <t xml:space="preserve">TXN-100672</t>
  </si>
  <si>
    <t xml:space="preserve">TXN-100673</t>
  </si>
  <si>
    <t xml:space="preserve">TXN-100674</t>
  </si>
  <si>
    <t xml:space="preserve">TXN-100675</t>
  </si>
  <si>
    <t xml:space="preserve">TXN-100676</t>
  </si>
  <si>
    <t xml:space="preserve">TXN-100677</t>
  </si>
  <si>
    <t xml:space="preserve">TXN-100678</t>
  </si>
  <si>
    <t xml:space="preserve">TXN-100679</t>
  </si>
  <si>
    <t xml:space="preserve">TXN-100680</t>
  </si>
  <si>
    <t xml:space="preserve">TXN-100681</t>
  </si>
  <si>
    <t xml:space="preserve">TXN-100682</t>
  </si>
  <si>
    <t xml:space="preserve">TXN-100683</t>
  </si>
  <si>
    <t xml:space="preserve">TXN-100684</t>
  </si>
  <si>
    <t xml:space="preserve">TXN-100685</t>
  </si>
  <si>
    <t xml:space="preserve">TXN-100686</t>
  </si>
  <si>
    <t xml:space="preserve">TXN-100687</t>
  </si>
  <si>
    <t xml:space="preserve">TXN-100688</t>
  </si>
  <si>
    <t xml:space="preserve">TXN-100689</t>
  </si>
  <si>
    <t xml:space="preserve">TXN-100690</t>
  </si>
  <si>
    <t xml:space="preserve">TXN-100691</t>
  </si>
  <si>
    <t xml:space="preserve">TXN-100692</t>
  </si>
  <si>
    <t xml:space="preserve">TXN-100693</t>
  </si>
  <si>
    <t xml:space="preserve">TXN-100694</t>
  </si>
  <si>
    <t xml:space="preserve">TXN-100695</t>
  </si>
  <si>
    <t xml:space="preserve">TXN-100696</t>
  </si>
  <si>
    <t xml:space="preserve">TXN-100697</t>
  </si>
  <si>
    <t xml:space="preserve">TXN-100698</t>
  </si>
  <si>
    <t xml:space="preserve">TXN-100699</t>
  </si>
  <si>
    <t xml:space="preserve">TXN-100700</t>
  </si>
  <si>
    <t xml:space="preserve">TXN-100701</t>
  </si>
  <si>
    <t xml:space="preserve">TXN-100702</t>
  </si>
  <si>
    <t xml:space="preserve">Yoghurt 500ml </t>
  </si>
  <si>
    <t xml:space="preserve">TXN-100703</t>
  </si>
  <si>
    <t xml:space="preserve">TXN-100704</t>
  </si>
  <si>
    <t xml:space="preserve">TXN-100705</t>
  </si>
  <si>
    <t xml:space="preserve">TXN-100706</t>
  </si>
  <si>
    <t xml:space="preserve">TXN-100707</t>
  </si>
  <si>
    <t xml:space="preserve">TXN-100708</t>
  </si>
  <si>
    <t xml:space="preserve">TXN-100709</t>
  </si>
  <si>
    <t xml:space="preserve">TXN-100711</t>
  </si>
  <si>
    <t xml:space="preserve">TXN-100713</t>
  </si>
  <si>
    <t xml:space="preserve">TXN-100714</t>
  </si>
  <si>
    <t xml:space="preserve">TXN-100715</t>
  </si>
  <si>
    <t xml:space="preserve">KES 140</t>
  </si>
  <si>
    <t xml:space="preserve">TXN-100716</t>
  </si>
  <si>
    <t xml:space="preserve">TXN-100717</t>
  </si>
  <si>
    <t xml:space="preserve">TXN-100718</t>
  </si>
  <si>
    <t xml:space="preserve">TXN-100719</t>
  </si>
  <si>
    <t xml:space="preserve">TXN-100720</t>
  </si>
  <si>
    <t xml:space="preserve">BODY LOTION 400ML</t>
  </si>
  <si>
    <t xml:space="preserve">TXN-100721</t>
  </si>
  <si>
    <t xml:space="preserve">TXN-100722</t>
  </si>
  <si>
    <t xml:space="preserve">TXN-100723</t>
  </si>
  <si>
    <t xml:space="preserve">TXN-100724</t>
  </si>
  <si>
    <t xml:space="preserve">TXN-100725</t>
  </si>
  <si>
    <t xml:space="preserve">TXN-100726</t>
  </si>
  <si>
    <t xml:space="preserve">TXN-100727</t>
  </si>
  <si>
    <t xml:space="preserve">TXN-100728</t>
  </si>
  <si>
    <t xml:space="preserve">TXN-100729</t>
  </si>
  <si>
    <t xml:space="preserve">TXN-100730</t>
  </si>
  <si>
    <t xml:space="preserve">KES 315</t>
  </si>
  <si>
    <t xml:space="preserve">TXN-100731</t>
  </si>
  <si>
    <t xml:space="preserve">TXN-100732</t>
  </si>
  <si>
    <t xml:space="preserve">TXN-100733</t>
  </si>
  <si>
    <t xml:space="preserve">TXN-100734</t>
  </si>
  <si>
    <t xml:space="preserve">TXN-100735</t>
  </si>
  <si>
    <t xml:space="preserve">TXN-100736</t>
  </si>
  <si>
    <t xml:space="preserve">TXN-100737</t>
  </si>
  <si>
    <t xml:space="preserve">TXN-100738</t>
  </si>
  <si>
    <t xml:space="preserve">TXN-100739</t>
  </si>
  <si>
    <t xml:space="preserve">TXN-100740</t>
  </si>
  <si>
    <t xml:space="preserve">TXN-100741</t>
  </si>
  <si>
    <t xml:space="preserve">TXN-100742</t>
  </si>
  <si>
    <t xml:space="preserve">TXN-100743</t>
  </si>
  <si>
    <t xml:space="preserve">TXN-100744</t>
  </si>
  <si>
    <t xml:space="preserve">TXN-100745</t>
  </si>
  <si>
    <t xml:space="preserve">TXN-100746</t>
  </si>
  <si>
    <t xml:space="preserve">sugar 2 kgg</t>
  </si>
  <si>
    <t xml:space="preserve">TXN-100747</t>
  </si>
  <si>
    <t xml:space="preserve">TXN-100748</t>
  </si>
  <si>
    <t xml:space="preserve">TXN-100749</t>
  </si>
  <si>
    <t xml:space="preserve">TXN-101054</t>
  </si>
  <si>
    <t xml:space="preserve">2026-09-06</t>
  </si>
  <si>
    <t xml:space="preserve">TXN-100750</t>
  </si>
  <si>
    <t xml:space="preserve">TXN-100751</t>
  </si>
  <si>
    <t xml:space="preserve">TXN-100752</t>
  </si>
  <si>
    <t xml:space="preserve">TXN-100753</t>
  </si>
  <si>
    <t xml:space="preserve">TXN-100754</t>
  </si>
  <si>
    <t xml:space="preserve">TXN-100755</t>
  </si>
  <si>
    <t xml:space="preserve">TXN-100756</t>
  </si>
  <si>
    <t xml:space="preserve">TXN-100757</t>
  </si>
  <si>
    <t xml:space="preserve">TXN-100758</t>
  </si>
  <si>
    <t xml:space="preserve">TXN-100759</t>
  </si>
  <si>
    <t xml:space="preserve">TXN-100760</t>
  </si>
  <si>
    <t xml:space="preserve">TXN-100761</t>
  </si>
  <si>
    <t xml:space="preserve">TXN-100762</t>
  </si>
  <si>
    <t xml:space="preserve">TXN-100763</t>
  </si>
  <si>
    <t xml:space="preserve">TXN-100764</t>
  </si>
  <si>
    <t xml:space="preserve">TXN-100765</t>
  </si>
  <si>
    <t xml:space="preserve">TXN-100766</t>
  </si>
  <si>
    <t xml:space="preserve">TXN-100767</t>
  </si>
  <si>
    <t xml:space="preserve">TXN-100768</t>
  </si>
  <si>
    <t xml:space="preserve">TXN-100769</t>
  </si>
  <si>
    <t xml:space="preserve">TXN-100770</t>
  </si>
  <si>
    <t xml:space="preserve">TXN-100771</t>
  </si>
  <si>
    <t xml:space="preserve">TXN-100772</t>
  </si>
  <si>
    <t xml:space="preserve">TXN-100773</t>
  </si>
  <si>
    <t xml:space="preserve">TXN-100774</t>
  </si>
  <si>
    <t xml:space="preserve">TXN-100775</t>
  </si>
  <si>
    <t xml:space="preserve">TXN-100776</t>
  </si>
  <si>
    <t xml:space="preserve">TXN-100777</t>
  </si>
  <si>
    <t xml:space="preserve">TXN-100778</t>
  </si>
  <si>
    <t xml:space="preserve">TXN-100779</t>
  </si>
  <si>
    <t xml:space="preserve">TXN-100780</t>
  </si>
  <si>
    <t xml:space="preserve">TXN-100781</t>
  </si>
  <si>
    <t xml:space="preserve">TXN-100782</t>
  </si>
  <si>
    <t xml:space="preserve">TXN-100783</t>
  </si>
  <si>
    <t xml:space="preserve">TXN-100784</t>
  </si>
  <si>
    <t xml:space="preserve">TXN-100785</t>
  </si>
  <si>
    <t xml:space="preserve">TXN-100786</t>
  </si>
  <si>
    <t xml:space="preserve">TXN-100787</t>
  </si>
  <si>
    <t xml:space="preserve">TXN-100788</t>
  </si>
  <si>
    <t xml:space="preserve">TXN-100789</t>
  </si>
  <si>
    <t xml:space="preserve">TXN-100790</t>
  </si>
  <si>
    <t xml:space="preserve">TXN-100791</t>
  </si>
  <si>
    <t xml:space="preserve">TXN-100792</t>
  </si>
  <si>
    <t xml:space="preserve">TXN-100793</t>
  </si>
  <si>
    <t xml:space="preserve">TXN-100794</t>
  </si>
  <si>
    <t xml:space="preserve">TXN-100795</t>
  </si>
  <si>
    <t xml:space="preserve">TXN-100796</t>
  </si>
  <si>
    <t xml:space="preserve">TXN-100797</t>
  </si>
  <si>
    <t xml:space="preserve">TXN-100798</t>
  </si>
  <si>
    <t xml:space="preserve">TXN-100799</t>
  </si>
  <si>
    <t xml:space="preserve">TXN-100800</t>
  </si>
  <si>
    <t xml:space="preserve">TXN-100801</t>
  </si>
  <si>
    <t xml:space="preserve">TXN-100802</t>
  </si>
  <si>
    <t xml:space="preserve">TXN-100803</t>
  </si>
  <si>
    <t xml:space="preserve">TXN-100804</t>
  </si>
  <si>
    <t xml:space="preserve">TXN-100805</t>
  </si>
  <si>
    <t xml:space="preserve">TXN-100806</t>
  </si>
  <si>
    <t xml:space="preserve">TXN-100807</t>
  </si>
  <si>
    <t xml:space="preserve">TXN-100808</t>
  </si>
  <si>
    <t xml:space="preserve">TXN-100809</t>
  </si>
  <si>
    <t xml:space="preserve">TXN-100810</t>
  </si>
  <si>
    <t xml:space="preserve">TXN-100811</t>
  </si>
  <si>
    <t xml:space="preserve">TXN-100812</t>
  </si>
  <si>
    <t xml:space="preserve">TXN-100813</t>
  </si>
  <si>
    <t xml:space="preserve">TXN-100814</t>
  </si>
  <si>
    <t xml:space="preserve">TXN-100815</t>
  </si>
  <si>
    <t xml:space="preserve">TXN-100816</t>
  </si>
  <si>
    <t xml:space="preserve">TXN-100817</t>
  </si>
  <si>
    <t xml:space="preserve">TXN-100818</t>
  </si>
  <si>
    <t xml:space="preserve">TXN-100819</t>
  </si>
  <si>
    <t xml:space="preserve">TXN-100820</t>
  </si>
  <si>
    <t xml:space="preserve">TXN-100821</t>
  </si>
  <si>
    <t xml:space="preserve">TXN-100822</t>
  </si>
  <si>
    <t xml:space="preserve">TXN-100823</t>
  </si>
  <si>
    <t xml:space="preserve">TXN-100824</t>
  </si>
  <si>
    <t xml:space="preserve">TXN-100825</t>
  </si>
  <si>
    <t xml:space="preserve">TXN-101226</t>
  </si>
  <si>
    <t xml:space="preserve">2026-09-08</t>
  </si>
  <si>
    <t xml:space="preserve">TXN-100826</t>
  </si>
  <si>
    <t xml:space="preserve">TXN-100827</t>
  </si>
  <si>
    <t xml:space="preserve">TXN-100828</t>
  </si>
  <si>
    <t xml:space="preserve">TXN-100829</t>
  </si>
  <si>
    <t xml:space="preserve">TXN-100830</t>
  </si>
  <si>
    <t xml:space="preserve">TXN-100831</t>
  </si>
  <si>
    <t xml:space="preserve">TXN-100832</t>
  </si>
  <si>
    <t xml:space="preserve">TXN-100833</t>
  </si>
  <si>
    <t xml:space="preserve">TXN-100834</t>
  </si>
  <si>
    <t xml:space="preserve">TXN-100835</t>
  </si>
  <si>
    <t xml:space="preserve">TXN-100836</t>
  </si>
  <si>
    <t xml:space="preserve">TXN-100837</t>
  </si>
  <si>
    <t xml:space="preserve">TXN-100838</t>
  </si>
  <si>
    <t xml:space="preserve">TXN-100839</t>
  </si>
  <si>
    <t xml:space="preserve">TXN-100840</t>
  </si>
  <si>
    <t xml:space="preserve">TXN-100841</t>
  </si>
  <si>
    <t xml:space="preserve">TXN-100842</t>
  </si>
  <si>
    <t xml:space="preserve">KES 189</t>
  </si>
  <si>
    <t xml:space="preserve">TXN-100843</t>
  </si>
  <si>
    <t xml:space="preserve">TXN-100844</t>
  </si>
  <si>
    <t xml:space="preserve"> Toilet Paper 10pk</t>
  </si>
  <si>
    <t xml:space="preserve">TXN-100845</t>
  </si>
  <si>
    <t xml:space="preserve">TXN-100846</t>
  </si>
  <si>
    <t xml:space="preserve">TXN-100847</t>
  </si>
  <si>
    <t xml:space="preserve">TXN-100848</t>
  </si>
  <si>
    <t xml:space="preserve">TXN-100849</t>
  </si>
  <si>
    <t xml:space="preserve">TXN-100850</t>
  </si>
  <si>
    <t xml:space="preserve">TXN-100851</t>
  </si>
  <si>
    <t xml:space="preserve">TXN-100852</t>
  </si>
  <si>
    <t xml:space="preserve">Toothpaste 100g </t>
  </si>
  <si>
    <t xml:space="preserve">TXN-100853</t>
  </si>
  <si>
    <t xml:space="preserve">TXN-100854</t>
  </si>
  <si>
    <t xml:space="preserve">252</t>
  </si>
  <si>
    <t xml:space="preserve">TXN-100855</t>
  </si>
  <si>
    <t xml:space="preserve">TXN-100856</t>
  </si>
  <si>
    <t xml:space="preserve">TXN-100857</t>
  </si>
  <si>
    <t xml:space="preserve">TXN-100858</t>
  </si>
  <si>
    <t xml:space="preserve">TXN-100859</t>
  </si>
  <si>
    <t xml:space="preserve">TXN-100860</t>
  </si>
  <si>
    <t xml:space="preserve">TXN-100861</t>
  </si>
  <si>
    <t xml:space="preserve">TXN-100862</t>
  </si>
  <si>
    <t xml:space="preserve">TXN-100863</t>
  </si>
  <si>
    <t xml:space="preserve">TXN-100864</t>
  </si>
  <si>
    <t xml:space="preserve">TXN-101567</t>
  </si>
  <si>
    <t xml:space="preserve">2026-09-10</t>
  </si>
  <si>
    <t xml:space="preserve">TXN-100865</t>
  </si>
  <si>
    <t xml:space="preserve">TXN-100866</t>
  </si>
  <si>
    <t xml:space="preserve">TXN-100867</t>
  </si>
  <si>
    <t xml:space="preserve">TXN-100868</t>
  </si>
  <si>
    <t xml:space="preserve">TXN-100869</t>
  </si>
  <si>
    <t xml:space="preserve">TXN-100870</t>
  </si>
  <si>
    <t xml:space="preserve">TXN-100871</t>
  </si>
  <si>
    <t xml:space="preserve">TXN-100872</t>
  </si>
  <si>
    <t xml:space="preserve">TXN-100873</t>
  </si>
  <si>
    <t xml:space="preserve">TXN-100874</t>
  </si>
  <si>
    <t xml:space="preserve">TXN-100875</t>
  </si>
  <si>
    <t xml:space="preserve">TXN-100876</t>
  </si>
  <si>
    <t xml:space="preserve">TXN-100877</t>
  </si>
  <si>
    <t xml:space="preserve">TXN-100878</t>
  </si>
  <si>
    <t xml:space="preserve">TXN-100879</t>
  </si>
  <si>
    <t xml:space="preserve">TXN-100880</t>
  </si>
  <si>
    <t xml:space="preserve">TXN-100881</t>
  </si>
  <si>
    <t xml:space="preserve">TXN-100882</t>
  </si>
  <si>
    <t xml:space="preserve">TXN-100883</t>
  </si>
  <si>
    <t xml:space="preserve">TXN-100884</t>
  </si>
  <si>
    <t xml:space="preserve">TXN-100885</t>
  </si>
  <si>
    <t xml:space="preserve">TXN-100886</t>
  </si>
  <si>
    <t xml:space="preserve">TXN-100887</t>
  </si>
  <si>
    <t xml:space="preserve">TXN-100888</t>
  </si>
  <si>
    <t xml:space="preserve">TXN-100889</t>
  </si>
  <si>
    <t xml:space="preserve">TXN-100890</t>
  </si>
  <si>
    <t xml:space="preserve">TXN-100891</t>
  </si>
  <si>
    <t xml:space="preserve">TXN-100892</t>
  </si>
  <si>
    <t xml:space="preserve">TXN-100893</t>
  </si>
  <si>
    <t xml:space="preserve">TXN-100894</t>
  </si>
  <si>
    <t xml:space="preserve">TXN-100895</t>
  </si>
  <si>
    <t xml:space="preserve">TXN-100896</t>
  </si>
  <si>
    <t xml:space="preserve">TXN-100897</t>
  </si>
  <si>
    <t xml:space="preserve">TXN-100898</t>
  </si>
  <si>
    <t xml:space="preserve">TXN-100899</t>
  </si>
  <si>
    <t xml:space="preserve">TXN-100900</t>
  </si>
  <si>
    <t xml:space="preserve">TXN-100901</t>
  </si>
  <si>
    <t xml:space="preserve">TXN-100902</t>
  </si>
  <si>
    <t xml:space="preserve">TXN-100903</t>
  </si>
  <si>
    <t xml:space="preserve">06-Sep-2026</t>
  </si>
  <si>
    <t xml:space="preserve">TXN-100904</t>
  </si>
  <si>
    <t xml:space="preserve">TXN-100905</t>
  </si>
  <si>
    <t xml:space="preserve">TXN-100906</t>
  </si>
  <si>
    <t xml:space="preserve">TXN-100907</t>
  </si>
  <si>
    <t xml:space="preserve">TXN-100908</t>
  </si>
  <si>
    <t xml:space="preserve">TXN-100909</t>
  </si>
  <si>
    <t xml:space="preserve">TXN-100910</t>
  </si>
  <si>
    <t xml:space="preserve">TXN-100911</t>
  </si>
  <si>
    <t xml:space="preserve">TXN-100912</t>
  </si>
  <si>
    <t xml:space="preserve">TXN-100913</t>
  </si>
  <si>
    <t xml:space="preserve">TXN-100914</t>
  </si>
  <si>
    <t xml:space="preserve">TXN-100915</t>
  </si>
  <si>
    <t xml:space="preserve">TXN-100916</t>
  </si>
  <si>
    <t xml:space="preserve">TXN-100917</t>
  </si>
  <si>
    <t xml:space="preserve">TXN-100918</t>
  </si>
  <si>
    <t xml:space="preserve">TXN-100919</t>
  </si>
  <si>
    <t xml:space="preserve">TXN-100920</t>
  </si>
  <si>
    <t xml:space="preserve">TXN-100921</t>
  </si>
  <si>
    <t xml:space="preserve">TXN-100922</t>
  </si>
  <si>
    <t xml:space="preserve">TXN-100923</t>
  </si>
  <si>
    <t xml:space="preserve">TXN-100924</t>
  </si>
  <si>
    <t xml:space="preserve">TXN-100925</t>
  </si>
  <si>
    <t xml:space="preserve">TXN-100926</t>
  </si>
  <si>
    <t xml:space="preserve">TXN-100927</t>
  </si>
  <si>
    <t xml:space="preserve">TXN-100928</t>
  </si>
  <si>
    <t xml:space="preserve">TXN-100929</t>
  </si>
  <si>
    <t xml:space="preserve">TXN-100930</t>
  </si>
  <si>
    <t xml:space="preserve">TXN-100931</t>
  </si>
  <si>
    <t xml:space="preserve">TXN-100932</t>
  </si>
  <si>
    <t xml:space="preserve">TXN-100933</t>
  </si>
  <si>
    <t xml:space="preserve">TXN-100934</t>
  </si>
  <si>
    <t xml:space="preserve">TXN-100935</t>
  </si>
  <si>
    <t xml:space="preserve">TXN-100936</t>
  </si>
  <si>
    <t xml:space="preserve">TXN-100937</t>
  </si>
  <si>
    <t xml:space="preserve">TXN-100938</t>
  </si>
  <si>
    <t xml:space="preserve"> bread loaf 400gx</t>
  </si>
  <si>
    <t xml:space="preserve">TXN-100939</t>
  </si>
  <si>
    <t xml:space="preserve">TXN-100940</t>
  </si>
  <si>
    <t xml:space="preserve">TXN-100941</t>
  </si>
  <si>
    <t xml:space="preserve">TXN-100942</t>
  </si>
  <si>
    <t xml:space="preserve">TXN-100943</t>
  </si>
  <si>
    <t xml:space="preserve">TXN-100944</t>
  </si>
  <si>
    <t xml:space="preserve">TXN-100945</t>
  </si>
  <si>
    <t xml:space="preserve">TXN-100946</t>
  </si>
  <si>
    <t xml:space="preserve">TXN-100947</t>
  </si>
  <si>
    <t xml:space="preserve">TXN-100948</t>
  </si>
  <si>
    <t xml:space="preserve">TXN-100949</t>
  </si>
  <si>
    <t xml:space="preserve">TXN-100950</t>
  </si>
  <si>
    <t xml:space="preserve">TXN-100951</t>
  </si>
  <si>
    <t xml:space="preserve">TXN-100952</t>
  </si>
  <si>
    <t xml:space="preserve">TXN-100953</t>
  </si>
  <si>
    <t xml:space="preserve">TXN-100954</t>
  </si>
  <si>
    <t xml:space="preserve">TXN-100955</t>
  </si>
  <si>
    <t xml:space="preserve">TXN-100956</t>
  </si>
  <si>
    <t xml:space="preserve">TXN-100957</t>
  </si>
  <si>
    <t xml:space="preserve">TXN-100958</t>
  </si>
  <si>
    <t xml:space="preserve">TXN-100959</t>
  </si>
  <si>
    <t xml:space="preserve">TXN-100960</t>
  </si>
  <si>
    <t xml:space="preserve">TXN-100961</t>
  </si>
  <si>
    <t xml:space="preserve">TXN-100962</t>
  </si>
  <si>
    <t xml:space="preserve">TXN-100963</t>
  </si>
  <si>
    <t xml:space="preserve">TXN-100964</t>
  </si>
  <si>
    <t xml:space="preserve">KES 76</t>
  </si>
  <si>
    <t xml:space="preserve">TXN-100965</t>
  </si>
  <si>
    <t xml:space="preserve">TXN-100966</t>
  </si>
  <si>
    <t xml:space="preserve">TXN-100967</t>
  </si>
  <si>
    <t xml:space="preserve">TXN-100968</t>
  </si>
  <si>
    <t xml:space="preserve">TXN-100969</t>
  </si>
  <si>
    <t xml:space="preserve">TXN-100970</t>
  </si>
  <si>
    <t xml:space="preserve">TXN-100971</t>
  </si>
  <si>
    <t xml:space="preserve">TXN-100972</t>
  </si>
  <si>
    <t xml:space="preserve">TXN-100973</t>
  </si>
  <si>
    <t xml:space="preserve">TXN-100974</t>
  </si>
  <si>
    <t xml:space="preserve">TXN-100975</t>
  </si>
  <si>
    <t xml:space="preserve">TXN-100976</t>
  </si>
  <si>
    <t xml:space="preserve">TXN-100977</t>
  </si>
  <si>
    <t xml:space="preserve">TXN-100978</t>
  </si>
  <si>
    <t xml:space="preserve">TXN-100979</t>
  </si>
  <si>
    <t xml:space="preserve">TXN-100980</t>
  </si>
  <si>
    <t xml:space="preserve">TXN-100981</t>
  </si>
  <si>
    <t xml:space="preserve">TXN-100982</t>
  </si>
  <si>
    <t xml:space="preserve">TXN-100983</t>
  </si>
  <si>
    <t xml:space="preserve">TXN-100984</t>
  </si>
  <si>
    <t xml:space="preserve">TXN-100985</t>
  </si>
  <si>
    <t xml:space="preserve">TXN-100986</t>
  </si>
  <si>
    <t xml:space="preserve">TXN-100987</t>
  </si>
  <si>
    <t xml:space="preserve">TXN-100988</t>
  </si>
  <si>
    <t xml:space="preserve">TXN-100989</t>
  </si>
  <si>
    <t xml:space="preserve">TXN-100990</t>
  </si>
  <si>
    <t xml:space="preserve">TXN-100991</t>
  </si>
  <si>
    <t xml:space="preserve">TXN-100992</t>
  </si>
  <si>
    <t xml:space="preserve">TXN-100993</t>
  </si>
  <si>
    <t xml:space="preserve">TXN-100994</t>
  </si>
  <si>
    <t xml:space="preserve">TXN-100995</t>
  </si>
  <si>
    <t xml:space="preserve">TXN-100996</t>
  </si>
  <si>
    <t xml:space="preserve">TXN-100997</t>
  </si>
  <si>
    <t xml:space="preserve">TXN-100998</t>
  </si>
  <si>
    <t xml:space="preserve">TXN-100999</t>
  </si>
  <si>
    <t xml:space="preserve">TXN-101000</t>
  </si>
  <si>
    <t xml:space="preserve">TXN-101001</t>
  </si>
  <si>
    <t xml:space="preserve">TXN-101002</t>
  </si>
  <si>
    <t xml:space="preserve">TXN-101003</t>
  </si>
  <si>
    <t xml:space="preserve">TXN-101004</t>
  </si>
  <si>
    <t xml:space="preserve">TXN-101005</t>
  </si>
  <si>
    <t xml:space="preserve">TXN-101006</t>
  </si>
  <si>
    <t xml:space="preserve">TXN-101007</t>
  </si>
  <si>
    <t xml:space="preserve">TXN-101008</t>
  </si>
  <si>
    <t xml:space="preserve">TXN-101009</t>
  </si>
  <si>
    <t xml:space="preserve">TXN-101010</t>
  </si>
  <si>
    <t xml:space="preserve">TXN-101011</t>
  </si>
  <si>
    <t xml:space="preserve">TXN-101012</t>
  </si>
  <si>
    <t xml:space="preserve">TXN-101013</t>
  </si>
  <si>
    <t xml:space="preserve">TXN-101014</t>
  </si>
  <si>
    <t xml:space="preserve">TXN-101015</t>
  </si>
  <si>
    <t xml:space="preserve">TXN-101016</t>
  </si>
  <si>
    <t xml:space="preserve">TXN-101017</t>
  </si>
  <si>
    <t xml:space="preserve">TXN-101018</t>
  </si>
  <si>
    <t xml:space="preserve">TXN-101019</t>
  </si>
  <si>
    <t xml:space="preserve">TXN-101020</t>
  </si>
  <si>
    <t xml:space="preserve">TXN-101021</t>
  </si>
  <si>
    <t xml:space="preserve">TXN-101022</t>
  </si>
  <si>
    <t xml:space="preserve">TXN-101023</t>
  </si>
  <si>
    <t xml:space="preserve">TXN-101024</t>
  </si>
  <si>
    <t xml:space="preserve">TXN-101025</t>
  </si>
  <si>
    <t xml:space="preserve">TXN-101026</t>
  </si>
  <si>
    <t xml:space="preserve">TXN-101027</t>
  </si>
  <si>
    <t xml:space="preserve">TXN-101028</t>
  </si>
  <si>
    <t xml:space="preserve">TXN-101029</t>
  </si>
  <si>
    <t xml:space="preserve">TXN-101030</t>
  </si>
  <si>
    <t xml:space="preserve">TXN-101031</t>
  </si>
  <si>
    <t xml:space="preserve">TXN-101032</t>
  </si>
  <si>
    <t xml:space="preserve">TXN-101033</t>
  </si>
  <si>
    <t xml:space="preserve">TXN-101034</t>
  </si>
  <si>
    <t xml:space="preserve">TXN-101035</t>
  </si>
  <si>
    <t xml:space="preserve">TXN-101036</t>
  </si>
  <si>
    <t xml:space="preserve">TXN-101037</t>
  </si>
  <si>
    <t xml:space="preserve">TXN-101038</t>
  </si>
  <si>
    <t xml:space="preserve">TXN-101039</t>
  </si>
  <si>
    <t xml:space="preserve">TXN-101040</t>
  </si>
  <si>
    <t xml:space="preserve">TXN-101041</t>
  </si>
  <si>
    <t xml:space="preserve">TXN-101042</t>
  </si>
  <si>
    <t xml:space="preserve">TXN-101043</t>
  </si>
  <si>
    <t xml:space="preserve">TXN-101044</t>
  </si>
  <si>
    <t xml:space="preserve">-6 </t>
  </si>
  <si>
    <t xml:space="preserve">TXN-101045</t>
  </si>
  <si>
    <t xml:space="preserve">TXN-101046</t>
  </si>
  <si>
    <t xml:space="preserve">TXN-101047</t>
  </si>
  <si>
    <t xml:space="preserve">TXN-101048</t>
  </si>
  <si>
    <t xml:space="preserve">TXN-101049</t>
  </si>
  <si>
    <t xml:space="preserve">TXN-101050</t>
  </si>
  <si>
    <t xml:space="preserve">TXN-101051</t>
  </si>
  <si>
    <t xml:space="preserve">TXN-101052</t>
  </si>
  <si>
    <t xml:space="preserve">TXN-101053</t>
  </si>
  <si>
    <t xml:space="preserve">TXN-101055</t>
  </si>
  <si>
    <t xml:space="preserve">TXN-101056</t>
  </si>
  <si>
    <t xml:space="preserve">TXN-101057</t>
  </si>
  <si>
    <t xml:space="preserve">TXN-101058</t>
  </si>
  <si>
    <t xml:space="preserve">TXN-101059</t>
  </si>
  <si>
    <t xml:space="preserve">TXN-101060</t>
  </si>
  <si>
    <t xml:space="preserve">TXN-101061</t>
  </si>
  <si>
    <t xml:space="preserve">TXN-101062</t>
  </si>
  <si>
    <t xml:space="preserve">TXN-101063</t>
  </si>
  <si>
    <t xml:space="preserve">TXN-101064</t>
  </si>
  <si>
    <t xml:space="preserve">TXN-101065</t>
  </si>
  <si>
    <t xml:space="preserve">TXN-101066</t>
  </si>
  <si>
    <t xml:space="preserve">TXN-101067</t>
  </si>
  <si>
    <t xml:space="preserve">TXN-101068</t>
  </si>
  <si>
    <t xml:space="preserve">TXN-101069</t>
  </si>
  <si>
    <t xml:space="preserve">TXN-101070</t>
  </si>
  <si>
    <t xml:space="preserve">TXN-101071</t>
  </si>
  <si>
    <t xml:space="preserve">TXN-101072</t>
  </si>
  <si>
    <t xml:space="preserve">Crisps 100g </t>
  </si>
  <si>
    <t xml:space="preserve">TXN-101073</t>
  </si>
  <si>
    <t xml:space="preserve">TXN-101074</t>
  </si>
  <si>
    <t xml:space="preserve">TXN-101075</t>
  </si>
  <si>
    <t xml:space="preserve">TXN-101076</t>
  </si>
  <si>
    <t xml:space="preserve">07-Sep-2026</t>
  </si>
  <si>
    <t xml:space="preserve">TXN-101077</t>
  </si>
  <si>
    <t xml:space="preserve">TXN-101078</t>
  </si>
  <si>
    <t xml:space="preserve">2026-09-07</t>
  </si>
  <si>
    <t xml:space="preserve">TXN-101079</t>
  </si>
  <si>
    <t xml:space="preserve">TXN-101080</t>
  </si>
  <si>
    <t xml:space="preserve">TXN-101081</t>
  </si>
  <si>
    <t xml:space="preserve">TXN-101082</t>
  </si>
  <si>
    <t xml:space="preserve">TXN-101083</t>
  </si>
  <si>
    <t xml:space="preserve">TXN-101084</t>
  </si>
  <si>
    <t xml:space="preserve">TXN-101085</t>
  </si>
  <si>
    <t xml:space="preserve">TXN-101086</t>
  </si>
  <si>
    <t xml:space="preserve">TXN-101087</t>
  </si>
  <si>
    <t xml:space="preserve">TXN-101088</t>
  </si>
  <si>
    <t xml:space="preserve">TXN-101089</t>
  </si>
  <si>
    <t xml:space="preserve">TXN-101090</t>
  </si>
  <si>
    <t xml:space="preserve">TXN-101091</t>
  </si>
  <si>
    <t xml:space="preserve">TXN-101092</t>
  </si>
  <si>
    <t xml:space="preserve">TXN-101093</t>
  </si>
  <si>
    <t xml:space="preserve">TXN-101094</t>
  </si>
  <si>
    <t xml:space="preserve">TXN-101095</t>
  </si>
  <si>
    <t xml:space="preserve">TXN-101096</t>
  </si>
  <si>
    <t xml:space="preserve">TXN-101097</t>
  </si>
  <si>
    <t xml:space="preserve">TXN-101098</t>
  </si>
  <si>
    <t xml:space="preserve">TXN-101099</t>
  </si>
  <si>
    <t xml:space="preserve">TXN-101100</t>
  </si>
  <si>
    <t xml:space="preserve">TXN-101101</t>
  </si>
  <si>
    <t xml:space="preserve">TXN-101102</t>
  </si>
  <si>
    <t xml:space="preserve">TXN-101103</t>
  </si>
  <si>
    <t xml:space="preserve">TXN-101104</t>
  </si>
  <si>
    <t xml:space="preserve">TXN-101105</t>
  </si>
  <si>
    <t xml:space="preserve">TXN-101106</t>
  </si>
  <si>
    <t xml:space="preserve">TXN-101107</t>
  </si>
  <si>
    <t xml:space="preserve">TXN-101108</t>
  </si>
  <si>
    <t xml:space="preserve">TXN-101109</t>
  </si>
  <si>
    <t xml:space="preserve">TXN-101110</t>
  </si>
  <si>
    <t xml:space="preserve">TXN-101111</t>
  </si>
  <si>
    <t xml:space="preserve">TXN-101112</t>
  </si>
  <si>
    <t xml:space="preserve">TXN-101113</t>
  </si>
  <si>
    <t xml:space="preserve">TXN-101114</t>
  </si>
  <si>
    <t xml:space="preserve">TXN-101115</t>
  </si>
  <si>
    <t xml:space="preserve">KES 252</t>
  </si>
  <si>
    <t xml:space="preserve">TXN-101116</t>
  </si>
  <si>
    <t xml:space="preserve">TXN-101117</t>
  </si>
  <si>
    <t xml:space="preserve">TXN-101118</t>
  </si>
  <si>
    <t xml:space="preserve">TXN-101119</t>
  </si>
  <si>
    <t xml:space="preserve">TXN-101120</t>
  </si>
  <si>
    <t xml:space="preserve">TXN-101121</t>
  </si>
  <si>
    <t xml:space="preserve">TXN-101122</t>
  </si>
  <si>
    <t xml:space="preserve">TXN-101123</t>
  </si>
  <si>
    <t xml:space="preserve">TXN-101124</t>
  </si>
  <si>
    <t xml:space="preserve">KES 45</t>
  </si>
  <si>
    <t xml:space="preserve">TXN-101125</t>
  </si>
  <si>
    <t xml:space="preserve">TXN-101126</t>
  </si>
  <si>
    <t xml:space="preserve">TXN-101127</t>
  </si>
  <si>
    <t xml:space="preserve">TXN-101128</t>
  </si>
  <si>
    <t xml:space="preserve">TXN-101129</t>
  </si>
  <si>
    <t xml:space="preserve">TXN-101130</t>
  </si>
  <si>
    <t xml:space="preserve">TXN-101131</t>
  </si>
  <si>
    <t xml:space="preserve">TXN-101132</t>
  </si>
  <si>
    <t xml:space="preserve">TXN-101133</t>
  </si>
  <si>
    <t xml:space="preserve">TXN-101134</t>
  </si>
  <si>
    <t xml:space="preserve">TXN-101135</t>
  </si>
  <si>
    <t xml:space="preserve">TXN-101136</t>
  </si>
  <si>
    <t xml:space="preserve">TXN-101137</t>
  </si>
  <si>
    <t xml:space="preserve">TXN-101138</t>
  </si>
  <si>
    <t xml:space="preserve">TXN-101139</t>
  </si>
  <si>
    <t xml:space="preserve">TXN-101140</t>
  </si>
  <si>
    <t xml:space="preserve">135</t>
  </si>
  <si>
    <t xml:space="preserve">TXN-101141</t>
  </si>
  <si>
    <t xml:space="preserve">TXN-101142</t>
  </si>
  <si>
    <t xml:space="preserve">TXN-101857</t>
  </si>
  <si>
    <t xml:space="preserve">2026-09-12</t>
  </si>
  <si>
    <t xml:space="preserve">TXN-101143</t>
  </si>
  <si>
    <t xml:space="preserve">TXN-101144</t>
  </si>
  <si>
    <t xml:space="preserve">TXN-101145</t>
  </si>
  <si>
    <t xml:space="preserve">TXN-101146</t>
  </si>
  <si>
    <t xml:space="preserve">TXN-101147</t>
  </si>
  <si>
    <t xml:space="preserve">TXN-101148</t>
  </si>
  <si>
    <t xml:space="preserve">TXN-101149</t>
  </si>
  <si>
    <t xml:space="preserve">TXN-101150</t>
  </si>
  <si>
    <t xml:space="preserve">TXN-101151</t>
  </si>
  <si>
    <t xml:space="preserve">TXN-101862</t>
  </si>
  <si>
    <t xml:space="preserve">12-Sep-2026</t>
  </si>
  <si>
    <t xml:space="preserve">TXN-101152</t>
  </si>
  <si>
    <t xml:space="preserve">TXN-101153</t>
  </si>
  <si>
    <t xml:space="preserve">TXN-101154</t>
  </si>
  <si>
    <t xml:space="preserve">TXN-101155</t>
  </si>
  <si>
    <t xml:space="preserve">TXN-101156</t>
  </si>
  <si>
    <t xml:space="preserve">TXN-101157</t>
  </si>
  <si>
    <t xml:space="preserve">TXN-101158</t>
  </si>
  <si>
    <t xml:space="preserve">TXN-101159</t>
  </si>
  <si>
    <t xml:space="preserve">TXN-101160</t>
  </si>
  <si>
    <t xml:space="preserve">TXN-101161</t>
  </si>
  <si>
    <t xml:space="preserve">TXN-101162</t>
  </si>
  <si>
    <t xml:space="preserve">TXN-101163</t>
  </si>
  <si>
    <t xml:space="preserve">TXN-101164</t>
  </si>
  <si>
    <t xml:space="preserve">TXN-101165</t>
  </si>
  <si>
    <t xml:space="preserve">TXN-101166</t>
  </si>
  <si>
    <t xml:space="preserve">TXN-101167</t>
  </si>
  <si>
    <t xml:space="preserve">TXN-101168</t>
  </si>
  <si>
    <t xml:space="preserve">TXN-101169</t>
  </si>
  <si>
    <t xml:space="preserve">TXN-101170</t>
  </si>
  <si>
    <t xml:space="preserve">TXN-101171</t>
  </si>
  <si>
    <t xml:space="preserve">TXN-101172</t>
  </si>
  <si>
    <t xml:space="preserve">TXN-101173</t>
  </si>
  <si>
    <t xml:space="preserve">TXN-101174</t>
  </si>
  <si>
    <t xml:space="preserve">TXN-101175</t>
  </si>
  <si>
    <t xml:space="preserve">TXN-101176</t>
  </si>
  <si>
    <t xml:space="preserve">TXN-101177</t>
  </si>
  <si>
    <t xml:space="preserve">TXN-101178</t>
  </si>
  <si>
    <t xml:space="preserve">TXN-101179</t>
  </si>
  <si>
    <t xml:space="preserve">TXN-101180</t>
  </si>
  <si>
    <t xml:space="preserve">TXN-101181</t>
  </si>
  <si>
    <t xml:space="preserve">TXN-101182</t>
  </si>
  <si>
    <t xml:space="preserve">TXN-101183</t>
  </si>
  <si>
    <t xml:space="preserve">TXN-101184</t>
  </si>
  <si>
    <t xml:space="preserve">TXN-101185</t>
  </si>
  <si>
    <t xml:space="preserve">TXN-101186</t>
  </si>
  <si>
    <t xml:space="preserve">TXN-101187</t>
  </si>
  <si>
    <t xml:space="preserve">TXN-101188</t>
  </si>
  <si>
    <t xml:space="preserve">TXN-101189</t>
  </si>
  <si>
    <t xml:space="preserve">TXN-101190</t>
  </si>
  <si>
    <t xml:space="preserve">TXN-101191</t>
  </si>
  <si>
    <t xml:space="preserve">TXN-101192</t>
  </si>
  <si>
    <t xml:space="preserve">TXN-101193</t>
  </si>
  <si>
    <t xml:space="preserve">TXN-101194</t>
  </si>
  <si>
    <t xml:space="preserve">TXN-101195</t>
  </si>
  <si>
    <t xml:space="preserve">TXN-101196</t>
  </si>
  <si>
    <t xml:space="preserve">TXN-101197</t>
  </si>
  <si>
    <t xml:space="preserve">TXN-101198</t>
  </si>
  <si>
    <t xml:space="preserve">TXN-101199</t>
  </si>
  <si>
    <t xml:space="preserve">TXN-101200</t>
  </si>
  <si>
    <t xml:space="preserve">TXN-101201</t>
  </si>
  <si>
    <t xml:space="preserve">08-Sep-2026</t>
  </si>
  <si>
    <t xml:space="preserve">TXN-101202</t>
  </si>
  <si>
    <t xml:space="preserve">TXN-101203</t>
  </si>
  <si>
    <t xml:space="preserve">TXN-101204</t>
  </si>
  <si>
    <t xml:space="preserve">TXN-101205</t>
  </si>
  <si>
    <t xml:space="preserve">TXN-101206</t>
  </si>
  <si>
    <t xml:space="preserve">TXN-101207</t>
  </si>
  <si>
    <t xml:space="preserve">TXN-101208</t>
  </si>
  <si>
    <t xml:space="preserve">TXN-101209</t>
  </si>
  <si>
    <t xml:space="preserve">TXN-101210</t>
  </si>
  <si>
    <t xml:space="preserve">TXN-101211</t>
  </si>
  <si>
    <t xml:space="preserve">TXN-101212</t>
  </si>
  <si>
    <t xml:space="preserve">TXN-101213</t>
  </si>
  <si>
    <t xml:space="preserve">TXN-101214</t>
  </si>
  <si>
    <t xml:space="preserve">TXN-101215</t>
  </si>
  <si>
    <t xml:space="preserve">TXN-101216</t>
  </si>
  <si>
    <t xml:space="preserve">TXN-101217</t>
  </si>
  <si>
    <t xml:space="preserve">TXN-101218</t>
  </si>
  <si>
    <t xml:space="preserve">TXN-101219</t>
  </si>
  <si>
    <t xml:space="preserve">TXN-101220</t>
  </si>
  <si>
    <t xml:space="preserve">crisps 100gx</t>
  </si>
  <si>
    <t xml:space="preserve">TXN-101221</t>
  </si>
  <si>
    <t xml:space="preserve">TXN-101222</t>
  </si>
  <si>
    <t xml:space="preserve">TXN-101223</t>
  </si>
  <si>
    <t xml:space="preserve">TXN-101224</t>
  </si>
  <si>
    <t xml:space="preserve">TXN-101225</t>
  </si>
  <si>
    <t xml:space="preserve">TXN-101227</t>
  </si>
  <si>
    <t xml:space="preserve">TXN-101228</t>
  </si>
  <si>
    <t xml:space="preserve">TXN-101229</t>
  </si>
  <si>
    <t xml:space="preserve">TXN-101230</t>
  </si>
  <si>
    <t xml:space="preserve">TXN-101231</t>
  </si>
  <si>
    <t xml:space="preserve">TXN-101232</t>
  </si>
  <si>
    <t xml:space="preserve">TXN-101233</t>
  </si>
  <si>
    <t xml:space="preserve">TXN-101234</t>
  </si>
  <si>
    <t xml:space="preserve">TXN-101235</t>
  </si>
  <si>
    <t xml:space="preserve">TXN-101236</t>
  </si>
  <si>
    <t xml:space="preserve">TXN-101237</t>
  </si>
  <si>
    <t xml:space="preserve">TXN-101238</t>
  </si>
  <si>
    <t xml:space="preserve">TXN-101239</t>
  </si>
  <si>
    <t xml:space="preserve">TXN-101240</t>
  </si>
  <si>
    <t xml:space="preserve">TXN-101241</t>
  </si>
  <si>
    <t xml:space="preserve">TXN-101242</t>
  </si>
  <si>
    <t xml:space="preserve">TXN-101243</t>
  </si>
  <si>
    <t xml:space="preserve">TXN-101244</t>
  </si>
  <si>
    <t xml:space="preserve">TXN-101245</t>
  </si>
  <si>
    <t xml:space="preserve">TXN-101246</t>
  </si>
  <si>
    <t xml:space="preserve">TXN-101247</t>
  </si>
  <si>
    <t xml:space="preserve">TXN-101248</t>
  </si>
  <si>
    <t xml:space="preserve">TXN-101249</t>
  </si>
  <si>
    <t xml:space="preserve">TXN-101250</t>
  </si>
  <si>
    <t xml:space="preserve">TXN-101251</t>
  </si>
  <si>
    <t xml:space="preserve">TXN-101252</t>
  </si>
  <si>
    <t xml:space="preserve">TXN-101253</t>
  </si>
  <si>
    <t xml:space="preserve">TXN-101254</t>
  </si>
  <si>
    <t xml:space="preserve">TXN-101255</t>
  </si>
  <si>
    <t xml:space="preserve">TXN-101256</t>
  </si>
  <si>
    <t xml:space="preserve">TXN-101257</t>
  </si>
  <si>
    <t xml:space="preserve">TXN-101258</t>
  </si>
  <si>
    <t xml:space="preserve">TXN-101259</t>
  </si>
  <si>
    <t xml:space="preserve">TXN-101260</t>
  </si>
  <si>
    <t xml:space="preserve">TXN-101261</t>
  </si>
  <si>
    <t xml:space="preserve">TXN-101262</t>
  </si>
  <si>
    <t xml:space="preserve">TXN-101263</t>
  </si>
  <si>
    <t xml:space="preserve">TXN-101264</t>
  </si>
  <si>
    <t xml:space="preserve">TXN-101265</t>
  </si>
  <si>
    <t xml:space="preserve">TXN-101266</t>
  </si>
  <si>
    <t xml:space="preserve">TXN-101267</t>
  </si>
  <si>
    <t xml:space="preserve">TXN-101268</t>
  </si>
  <si>
    <t xml:space="preserve">eggs tray 30 x</t>
  </si>
  <si>
    <t xml:space="preserve">TXN-101269</t>
  </si>
  <si>
    <t xml:space="preserve">TXN-101270</t>
  </si>
  <si>
    <t xml:space="preserve">TXN-101271</t>
  </si>
  <si>
    <t xml:space="preserve">TXN-101272</t>
  </si>
  <si>
    <t xml:space="preserve">TXN-101273</t>
  </si>
  <si>
    <t xml:space="preserve">TXN-101274</t>
  </si>
  <si>
    <t xml:space="preserve">TXN-101275</t>
  </si>
  <si>
    <t xml:space="preserve">TXN-101276</t>
  </si>
  <si>
    <t xml:space="preserve">TXN-101277</t>
  </si>
  <si>
    <t xml:space="preserve">TXN-101278</t>
  </si>
  <si>
    <t xml:space="preserve">TXN-101279</t>
  </si>
  <si>
    <t xml:space="preserve">TXN-101280</t>
  </si>
  <si>
    <t xml:space="preserve">TXN-101281</t>
  </si>
  <si>
    <t xml:space="preserve">TXN-101282</t>
  </si>
  <si>
    <t xml:space="preserve">TXN-101283</t>
  </si>
  <si>
    <t xml:space="preserve">TXN-101284</t>
  </si>
  <si>
    <t xml:space="preserve">TXN-101285</t>
  </si>
  <si>
    <t xml:space="preserve">TXN-101286</t>
  </si>
  <si>
    <t xml:space="preserve">TXN-101287</t>
  </si>
  <si>
    <t xml:space="preserve">TXN-101288</t>
  </si>
  <si>
    <t xml:space="preserve">TXN-101289</t>
  </si>
  <si>
    <t xml:space="preserve">TXN-101290</t>
  </si>
  <si>
    <t xml:space="preserve">KES 342</t>
  </si>
  <si>
    <t xml:space="preserve">TXN-101291</t>
  </si>
  <si>
    <t xml:space="preserve">TXN-101292</t>
  </si>
  <si>
    <t xml:space="preserve">TXN-101972</t>
  </si>
  <si>
    <t xml:space="preserve">TXN-101293</t>
  </si>
  <si>
    <t xml:space="preserve">TXN-101294</t>
  </si>
  <si>
    <t xml:space="preserve">TXN-101295</t>
  </si>
  <si>
    <t xml:space="preserve">TXN-101296</t>
  </si>
  <si>
    <t xml:space="preserve">TXN-101297</t>
  </si>
  <si>
    <t xml:space="preserve">TXN-101298</t>
  </si>
  <si>
    <t xml:space="preserve">TXN-101299</t>
  </si>
  <si>
    <t xml:space="preserve">TXN-101300</t>
  </si>
  <si>
    <t xml:space="preserve">TXN-101544</t>
  </si>
  <si>
    <t xml:space="preserve">TXN-101301</t>
  </si>
  <si>
    <t xml:space="preserve">TXN-101302</t>
  </si>
  <si>
    <t xml:space="preserve">TXN-101303</t>
  </si>
  <si>
    <t xml:space="preserve">TXN-101304</t>
  </si>
  <si>
    <t xml:space="preserve">TXN-101305</t>
  </si>
  <si>
    <t xml:space="preserve">TXN-101306</t>
  </si>
  <si>
    <t xml:space="preserve">TXN-101307</t>
  </si>
  <si>
    <t xml:space="preserve">TXN-101308</t>
  </si>
  <si>
    <t xml:space="preserve">TXN-101309</t>
  </si>
  <si>
    <t xml:space="preserve">TXN-101310</t>
  </si>
  <si>
    <t xml:space="preserve">TXN-101311</t>
  </si>
  <si>
    <t xml:space="preserve">TXN-101312</t>
  </si>
  <si>
    <t xml:space="preserve">TXN-101313</t>
  </si>
  <si>
    <t xml:space="preserve">TXN-101314</t>
  </si>
  <si>
    <t xml:space="preserve">TXN-101315</t>
  </si>
  <si>
    <t xml:space="preserve">TXN-101316</t>
  </si>
  <si>
    <t xml:space="preserve">TXN-101317</t>
  </si>
  <si>
    <t xml:space="preserve">TXN-101318</t>
  </si>
  <si>
    <t xml:space="preserve">TXN-101319</t>
  </si>
  <si>
    <t xml:space="preserve">TXN-101320</t>
  </si>
  <si>
    <t xml:space="preserve">TXN-101321</t>
  </si>
  <si>
    <t xml:space="preserve">TXN-101322</t>
  </si>
  <si>
    <t xml:space="preserve">TXN-101323</t>
  </si>
  <si>
    <t xml:space="preserve">TXN-101324</t>
  </si>
  <si>
    <t xml:space="preserve">TXN-101325</t>
  </si>
  <si>
    <t xml:space="preserve">TXN-101326</t>
  </si>
  <si>
    <t xml:space="preserve">TXN-101328</t>
  </si>
  <si>
    <t xml:space="preserve">TXN-101329</t>
  </si>
  <si>
    <t xml:space="preserve">TXN-101330</t>
  </si>
  <si>
    <t xml:space="preserve">TXN-101331</t>
  </si>
  <si>
    <t xml:space="preserve">TXN-101332</t>
  </si>
  <si>
    <t xml:space="preserve">TXN-101333</t>
  </si>
  <si>
    <t xml:space="preserve">TXN-101334</t>
  </si>
  <si>
    <t xml:space="preserve">TXN-101335</t>
  </si>
  <si>
    <t xml:space="preserve">TXN-101336</t>
  </si>
  <si>
    <t xml:space="preserve">TXN-101337</t>
  </si>
  <si>
    <t xml:space="preserve">TXN-101338</t>
  </si>
  <si>
    <t xml:space="preserve">TXN-101339</t>
  </si>
  <si>
    <t xml:space="preserve">TXN-101340</t>
  </si>
  <si>
    <t xml:space="preserve">TXN-101341</t>
  </si>
  <si>
    <t xml:space="preserve">TXN-101342</t>
  </si>
  <si>
    <t xml:space="preserve">TXN-101343</t>
  </si>
  <si>
    <t xml:space="preserve">TXN-101344</t>
  </si>
  <si>
    <t xml:space="preserve">TXN-101345</t>
  </si>
  <si>
    <t xml:space="preserve">TXN-101346</t>
  </si>
  <si>
    <t xml:space="preserve">TXN-101347</t>
  </si>
  <si>
    <t xml:space="preserve">TXN-101348</t>
  </si>
  <si>
    <t xml:space="preserve">TXN-101349</t>
  </si>
  <si>
    <t xml:space="preserve">TXN-101350</t>
  </si>
  <si>
    <t xml:space="preserve">TXN-101351</t>
  </si>
  <si>
    <t xml:space="preserve">TXN-101352</t>
  </si>
  <si>
    <t xml:space="preserve">TXN-101353</t>
  </si>
  <si>
    <t xml:space="preserve">TXN-101355</t>
  </si>
  <si>
    <t xml:space="preserve">TXN-101356</t>
  </si>
  <si>
    <t xml:space="preserve">TXN-101358</t>
  </si>
  <si>
    <t xml:space="preserve">TXN-101359</t>
  </si>
  <si>
    <t xml:space="preserve">TXN-101360</t>
  </si>
  <si>
    <t xml:space="preserve">TXN-101361</t>
  </si>
  <si>
    <t xml:space="preserve">TXN-101362</t>
  </si>
  <si>
    <t xml:space="preserve">TXN-101363</t>
  </si>
  <si>
    <t xml:space="preserve">TXN-101364</t>
  </si>
  <si>
    <t xml:space="preserve">TXN-101365</t>
  </si>
  <si>
    <t xml:space="preserve">TXN-101366</t>
  </si>
  <si>
    <t xml:space="preserve">TXN-101367</t>
  </si>
  <si>
    <t xml:space="preserve">salt 500g x</t>
  </si>
  <si>
    <t xml:space="preserve">TXN-101368</t>
  </si>
  <si>
    <t xml:space="preserve">TXN-101369</t>
  </si>
  <si>
    <t xml:space="preserve">TXN-101370</t>
  </si>
  <si>
    <t xml:space="preserve">KES 36</t>
  </si>
  <si>
    <t xml:space="preserve">TXN-101371</t>
  </si>
  <si>
    <t xml:space="preserve">TXN-101372</t>
  </si>
  <si>
    <t xml:space="preserve">TXN-101373</t>
  </si>
  <si>
    <t xml:space="preserve">TXN-101374</t>
  </si>
  <si>
    <t xml:space="preserve">TXN-101375</t>
  </si>
  <si>
    <t xml:space="preserve">TXN-101376</t>
  </si>
  <si>
    <t xml:space="preserve">TXN-101377</t>
  </si>
  <si>
    <t xml:space="preserve">TXN-101378</t>
  </si>
  <si>
    <t xml:space="preserve">TXN-101379</t>
  </si>
  <si>
    <t xml:space="preserve">TXN-101380</t>
  </si>
  <si>
    <t xml:space="preserve">TXN-101381</t>
  </si>
  <si>
    <t xml:space="preserve">TXN-101382</t>
  </si>
  <si>
    <t xml:space="preserve">TXN-101383</t>
  </si>
  <si>
    <t xml:space="preserve">TXN-101384</t>
  </si>
  <si>
    <t xml:space="preserve">TXN-101385</t>
  </si>
  <si>
    <t xml:space="preserve">TXN-101386</t>
  </si>
  <si>
    <t xml:space="preserve">TXN-101387</t>
  </si>
  <si>
    <t xml:space="preserve">TXN-101388</t>
  </si>
  <si>
    <t xml:space="preserve">TXN-101389</t>
  </si>
  <si>
    <t xml:space="preserve">TXN-101390</t>
  </si>
  <si>
    <t xml:space="preserve">TXN-101391</t>
  </si>
  <si>
    <t xml:space="preserve">TXN-101392</t>
  </si>
  <si>
    <t xml:space="preserve">TXN-101393</t>
  </si>
  <si>
    <t xml:space="preserve">TXN-101394</t>
  </si>
  <si>
    <t xml:space="preserve">TXN-101395</t>
  </si>
  <si>
    <t xml:space="preserve">TXN-101396</t>
  </si>
  <si>
    <t xml:space="preserve">TXN-101397</t>
  </si>
  <si>
    <t xml:space="preserve">TXN-101398</t>
  </si>
  <si>
    <t xml:space="preserve">TXN-101399</t>
  </si>
  <si>
    <t xml:space="preserve">TXN-101400</t>
  </si>
  <si>
    <t xml:space="preserve">TXN-101401</t>
  </si>
  <si>
    <t xml:space="preserve">TXN-101402</t>
  </si>
  <si>
    <t xml:space="preserve">TXN-101403</t>
  </si>
  <si>
    <t xml:space="preserve">TXN-101404</t>
  </si>
  <si>
    <t xml:space="preserve">TXN-101405</t>
  </si>
  <si>
    <t xml:space="preserve">TXN-101406</t>
  </si>
  <si>
    <t xml:space="preserve">TXN-101407</t>
  </si>
  <si>
    <t xml:space="preserve">TXN-101408</t>
  </si>
  <si>
    <t xml:space="preserve">TXN-101409</t>
  </si>
  <si>
    <t xml:space="preserve">TXN-101410</t>
  </si>
  <si>
    <t xml:space="preserve">TXN-101411</t>
  </si>
  <si>
    <t xml:space="preserve">TXN-101412</t>
  </si>
  <si>
    <t xml:space="preserve">TXN-101413</t>
  </si>
  <si>
    <t xml:space="preserve">TXN-101414</t>
  </si>
  <si>
    <t xml:space="preserve">TXN-101415</t>
  </si>
  <si>
    <t xml:space="preserve">TXN-101416</t>
  </si>
  <si>
    <t xml:space="preserve">TXN-101417</t>
  </si>
  <si>
    <t xml:space="preserve">TXN-101418</t>
  </si>
  <si>
    <t xml:space="preserve">TXN-101419</t>
  </si>
  <si>
    <t xml:space="preserve">TXN-101420</t>
  </si>
  <si>
    <t xml:space="preserve">TXN-101421</t>
  </si>
  <si>
    <t xml:space="preserve">TXN-101422</t>
  </si>
  <si>
    <t xml:space="preserve">TXN-101423</t>
  </si>
  <si>
    <t xml:space="preserve">TXN-101424</t>
  </si>
  <si>
    <t xml:space="preserve">TXN-101425</t>
  </si>
  <si>
    <t xml:space="preserve">TXN-101426</t>
  </si>
  <si>
    <t xml:space="preserve">TXN-101427</t>
  </si>
  <si>
    <t xml:space="preserve">TXN-101428</t>
  </si>
  <si>
    <t xml:space="preserve">TXN-101429</t>
  </si>
  <si>
    <t xml:space="preserve">TXN-101430</t>
  </si>
  <si>
    <t xml:space="preserve">TXN-101431</t>
  </si>
  <si>
    <t xml:space="preserve">TXN-101432</t>
  </si>
  <si>
    <t xml:space="preserve">TXN-101433</t>
  </si>
  <si>
    <t xml:space="preserve">-1 </t>
  </si>
  <si>
    <t xml:space="preserve">TXN-101434</t>
  </si>
  <si>
    <t xml:space="preserve">TXN-101435</t>
  </si>
  <si>
    <t xml:space="preserve">TXN-101436</t>
  </si>
  <si>
    <t xml:space="preserve">TXN-101437</t>
  </si>
  <si>
    <t xml:space="preserve">TXN-101439</t>
  </si>
  <si>
    <t xml:space="preserve">TXN-101440</t>
  </si>
  <si>
    <t xml:space="preserve">TXN-101441</t>
  </si>
  <si>
    <t xml:space="preserve">TXN-101442</t>
  </si>
  <si>
    <t xml:space="preserve">TXN-101443</t>
  </si>
  <si>
    <t xml:space="preserve">TXN-101444</t>
  </si>
  <si>
    <t xml:space="preserve">TXN-101445</t>
  </si>
  <si>
    <t xml:space="preserve">TXN-101447</t>
  </si>
  <si>
    <t xml:space="preserve">TXN-101448</t>
  </si>
  <si>
    <t xml:space="preserve">TXN-101449</t>
  </si>
  <si>
    <t xml:space="preserve">TXN-101450</t>
  </si>
  <si>
    <t xml:space="preserve">TXN-101451</t>
  </si>
  <si>
    <t xml:space="preserve">TXN-101452</t>
  </si>
  <si>
    <t xml:space="preserve">TXN-101453</t>
  </si>
  <si>
    <t xml:space="preserve">TXN-101454</t>
  </si>
  <si>
    <t xml:space="preserve">TXN-101455</t>
  </si>
  <si>
    <t xml:space="preserve">TXN-101456</t>
  </si>
  <si>
    <t xml:space="preserve">TXN-101457</t>
  </si>
  <si>
    <t xml:space="preserve">378</t>
  </si>
  <si>
    <t xml:space="preserve">TXN-101458</t>
  </si>
  <si>
    <t xml:space="preserve">TXN-101459</t>
  </si>
  <si>
    <t xml:space="preserve">TXN-101460</t>
  </si>
  <si>
    <t xml:space="preserve">TXN-101461</t>
  </si>
  <si>
    <t xml:space="preserve">10-Sep-2026</t>
  </si>
  <si>
    <t xml:space="preserve">TXN-101462</t>
  </si>
  <si>
    <t xml:space="preserve">TXN-101463</t>
  </si>
  <si>
    <t xml:space="preserve">TXN-101464</t>
  </si>
  <si>
    <t xml:space="preserve">TXN-101465</t>
  </si>
  <si>
    <t xml:space="preserve">TXN-101466</t>
  </si>
  <si>
    <t xml:space="preserve">TXN-101467</t>
  </si>
  <si>
    <t xml:space="preserve">TXN-101468</t>
  </si>
  <si>
    <t xml:space="preserve">TXN-101469</t>
  </si>
  <si>
    <t xml:space="preserve">TXN-101470</t>
  </si>
  <si>
    <t xml:space="preserve">TXN-101471</t>
  </si>
  <si>
    <t xml:space="preserve">TXN-101472</t>
  </si>
  <si>
    <t xml:space="preserve">TXN-101473</t>
  </si>
  <si>
    <t xml:space="preserve">TXN-101474</t>
  </si>
  <si>
    <t xml:space="preserve">TXN-101475</t>
  </si>
  <si>
    <t xml:space="preserve">TXN-101476</t>
  </si>
  <si>
    <t xml:space="preserve">TXN-101477</t>
  </si>
  <si>
    <t xml:space="preserve">TXN-101478</t>
  </si>
  <si>
    <t xml:space="preserve">TXN-101479</t>
  </si>
  <si>
    <t xml:space="preserve">TXN-101480</t>
  </si>
  <si>
    <t xml:space="preserve">TXN-101481</t>
  </si>
  <si>
    <t xml:space="preserve">TXN-101482</t>
  </si>
  <si>
    <t xml:space="preserve">TXN-101483</t>
  </si>
  <si>
    <t xml:space="preserve">TXN-101484</t>
  </si>
  <si>
    <t xml:space="preserve">TXN-101485</t>
  </si>
  <si>
    <t xml:space="preserve">TXN-101486</t>
  </si>
  <si>
    <t xml:space="preserve">TXN-101487</t>
  </si>
  <si>
    <t xml:space="preserve">TXN-101488</t>
  </si>
  <si>
    <t xml:space="preserve">TXN-101489</t>
  </si>
  <si>
    <t xml:space="preserve">TXN-101490</t>
  </si>
  <si>
    <t xml:space="preserve">TXN-101491</t>
  </si>
  <si>
    <t xml:space="preserve">TXN-101492</t>
  </si>
  <si>
    <t xml:space="preserve">TXN-101493</t>
  </si>
  <si>
    <t xml:space="preserve">TXN-101494</t>
  </si>
  <si>
    <t xml:space="preserve">TXN-101495</t>
  </si>
  <si>
    <t xml:space="preserve">TXN-101496</t>
  </si>
  <si>
    <t xml:space="preserve">TXN-101497</t>
  </si>
  <si>
    <t xml:space="preserve">TXN-101498</t>
  </si>
  <si>
    <t xml:space="preserve">TXN-101499</t>
  </si>
  <si>
    <t xml:space="preserve">TXN-101500</t>
  </si>
  <si>
    <t xml:space="preserve">TXN-101501</t>
  </si>
  <si>
    <t xml:space="preserve">TXN-101502</t>
  </si>
  <si>
    <t xml:space="preserve">TXN-101503</t>
  </si>
  <si>
    <t xml:space="preserve">TXN-101504</t>
  </si>
  <si>
    <t xml:space="preserve">TXN-101505</t>
  </si>
  <si>
    <t xml:space="preserve">TXN-101506</t>
  </si>
  <si>
    <t xml:space="preserve">TXN-101507</t>
  </si>
  <si>
    <t xml:space="preserve">TXN-101508</t>
  </si>
  <si>
    <t xml:space="preserve">TXN-101509</t>
  </si>
  <si>
    <t xml:space="preserve">TXN-101510</t>
  </si>
  <si>
    <t xml:space="preserve">TXN-101511</t>
  </si>
  <si>
    <t xml:space="preserve">TXN-101512</t>
  </si>
  <si>
    <t xml:space="preserve">TXN-101513</t>
  </si>
  <si>
    <t xml:space="preserve">TXN-101514</t>
  </si>
  <si>
    <t xml:space="preserve">TXN-101515</t>
  </si>
  <si>
    <t xml:space="preserve">TXN-101516</t>
  </si>
  <si>
    <t xml:space="preserve">TXN-101517</t>
  </si>
  <si>
    <t xml:space="preserve">TXN-101518</t>
  </si>
  <si>
    <t xml:space="preserve">TXN-101519</t>
  </si>
  <si>
    <t xml:space="preserve">TXN-101520</t>
  </si>
  <si>
    <t xml:space="preserve">TXN-101521</t>
  </si>
  <si>
    <t xml:space="preserve">TXN-101522</t>
  </si>
  <si>
    <t xml:space="preserve">TXN-101523</t>
  </si>
  <si>
    <t xml:space="preserve">TXN-101524</t>
  </si>
  <si>
    <t xml:space="preserve">TXN-101525</t>
  </si>
  <si>
    <t xml:space="preserve">TXN-101526</t>
  </si>
  <si>
    <t xml:space="preserve">TXN-101527</t>
  </si>
  <si>
    <t xml:space="preserve">TXN-101528</t>
  </si>
  <si>
    <t xml:space="preserve">TXN-101529</t>
  </si>
  <si>
    <t xml:space="preserve">TXN-101530</t>
  </si>
  <si>
    <t xml:space="preserve">TXN-101531</t>
  </si>
  <si>
    <t xml:space="preserve">TXN-101532</t>
  </si>
  <si>
    <t xml:space="preserve">TXN-101533</t>
  </si>
  <si>
    <t xml:space="preserve">TXN-101534</t>
  </si>
  <si>
    <t xml:space="preserve">TXN-101535</t>
  </si>
  <si>
    <t xml:space="preserve">TXN-101536</t>
  </si>
  <si>
    <t xml:space="preserve">TXN-101537</t>
  </si>
  <si>
    <t xml:space="preserve">TXN-101538</t>
  </si>
  <si>
    <t xml:space="preserve">TXN-101539</t>
  </si>
  <si>
    <t xml:space="preserve">TXN-101540</t>
  </si>
  <si>
    <t xml:space="preserve">TXN-101541</t>
  </si>
  <si>
    <t xml:space="preserve">TXN-101542</t>
  </si>
  <si>
    <t xml:space="preserve">TXN-101543</t>
  </si>
  <si>
    <t xml:space="preserve">TXN-101545</t>
  </si>
  <si>
    <t xml:space="preserve">TXN-101546</t>
  </si>
  <si>
    <t xml:space="preserve">TXN-101547</t>
  </si>
  <si>
    <t xml:space="preserve">Butter 250g </t>
  </si>
  <si>
    <t xml:space="preserve">TXN-101548</t>
  </si>
  <si>
    <t xml:space="preserve">TXN-101549</t>
  </si>
  <si>
    <t xml:space="preserve">TXN-101550</t>
  </si>
  <si>
    <t xml:space="preserve">TXN-101551</t>
  </si>
  <si>
    <t xml:space="preserve">TXN-101552</t>
  </si>
  <si>
    <t xml:space="preserve">TXN-101553</t>
  </si>
  <si>
    <t xml:space="preserve">TXN-101554</t>
  </si>
  <si>
    <t xml:space="preserve">TXN-101555</t>
  </si>
  <si>
    <t xml:space="preserve">TXN-101556</t>
  </si>
  <si>
    <t xml:space="preserve">TXN-101557</t>
  </si>
  <si>
    <t xml:space="preserve">TXN-101558</t>
  </si>
  <si>
    <t xml:space="preserve">TXN-101559</t>
  </si>
  <si>
    <t xml:space="preserve">TXN-101560</t>
  </si>
  <si>
    <t xml:space="preserve">TXN-101561</t>
  </si>
  <si>
    <t xml:space="preserve">TXN-101562</t>
  </si>
  <si>
    <t xml:space="preserve">TXN-101563</t>
  </si>
  <si>
    <t xml:space="preserve">TXN-101564</t>
  </si>
  <si>
    <t xml:space="preserve">TXN-101565</t>
  </si>
  <si>
    <t xml:space="preserve">TXN-101566</t>
  </si>
  <si>
    <t xml:space="preserve">TXN-101568</t>
  </si>
  <si>
    <t xml:space="preserve">TXN-101569</t>
  </si>
  <si>
    <t xml:space="preserve">TXN-101570</t>
  </si>
  <si>
    <t xml:space="preserve">TXN-101571</t>
  </si>
  <si>
    <t xml:space="preserve">TXN-101572</t>
  </si>
  <si>
    <t xml:space="preserve">TXN-101573</t>
  </si>
  <si>
    <t xml:space="preserve">TXN-101574</t>
  </si>
  <si>
    <t xml:space="preserve">TXN-101575</t>
  </si>
  <si>
    <t xml:space="preserve">TXN-101576</t>
  </si>
  <si>
    <t xml:space="preserve">TXN-101577</t>
  </si>
  <si>
    <t xml:space="preserve">TXN-101578</t>
  </si>
  <si>
    <t xml:space="preserve">TXN-101579</t>
  </si>
  <si>
    <t xml:space="preserve">TXN-101580</t>
  </si>
  <si>
    <t xml:space="preserve">TXN-101581</t>
  </si>
  <si>
    <t xml:space="preserve">TXN-101582</t>
  </si>
  <si>
    <t xml:space="preserve">TXN-101583</t>
  </si>
  <si>
    <t xml:space="preserve">TXN-101584</t>
  </si>
  <si>
    <t xml:space="preserve">TXN-101585</t>
  </si>
  <si>
    <t xml:space="preserve">TXN-101586</t>
  </si>
  <si>
    <t xml:space="preserve">TXN-101587</t>
  </si>
  <si>
    <t xml:space="preserve">TXN-101588</t>
  </si>
  <si>
    <t xml:space="preserve">TXN-101589</t>
  </si>
  <si>
    <t xml:space="preserve">TXN-101590</t>
  </si>
  <si>
    <t xml:space="preserve">TXN-101591</t>
  </si>
  <si>
    <t xml:space="preserve">TXN-101592</t>
  </si>
  <si>
    <t xml:space="preserve">TXN-101593</t>
  </si>
  <si>
    <t xml:space="preserve">TXN-101594</t>
  </si>
  <si>
    <t xml:space="preserve">TXN-101595</t>
  </si>
  <si>
    <t xml:space="preserve">TXN-101596</t>
  </si>
  <si>
    <t xml:space="preserve">TXN-101597</t>
  </si>
  <si>
    <t xml:space="preserve">TXN-101598</t>
  </si>
  <si>
    <t xml:space="preserve">TXN-101599</t>
  </si>
  <si>
    <t xml:space="preserve">TXN-101600</t>
  </si>
  <si>
    <t xml:space="preserve">TXN-101601</t>
  </si>
  <si>
    <t xml:space="preserve">TXN-101602</t>
  </si>
  <si>
    <t xml:space="preserve">TXN-101603</t>
  </si>
  <si>
    <t xml:space="preserve">11-Sep-2026</t>
  </si>
  <si>
    <t xml:space="preserve">TXN-101604</t>
  </si>
  <si>
    <t xml:space="preserve">TXN-101605</t>
  </si>
  <si>
    <t xml:space="preserve">TXN-101606</t>
  </si>
  <si>
    <t xml:space="preserve">TXN-101607</t>
  </si>
  <si>
    <t xml:space="preserve">TXN-101608</t>
  </si>
  <si>
    <t xml:space="preserve">TXN-101609</t>
  </si>
  <si>
    <t xml:space="preserve">TXN-101610</t>
  </si>
  <si>
    <t xml:space="preserve">TXN-101611</t>
  </si>
  <si>
    <t xml:space="preserve">TXN-101612</t>
  </si>
  <si>
    <t xml:space="preserve">TXN-101613</t>
  </si>
  <si>
    <t xml:space="preserve">TXN-101614</t>
  </si>
  <si>
    <t xml:space="preserve">TXN-101615</t>
  </si>
  <si>
    <t xml:space="preserve">TXN-101616</t>
  </si>
  <si>
    <t xml:space="preserve">TXN-101617</t>
  </si>
  <si>
    <t xml:space="preserve">TXN-101618</t>
  </si>
  <si>
    <t xml:space="preserve">TXN-101619</t>
  </si>
  <si>
    <t xml:space="preserve">TXN-101620</t>
  </si>
  <si>
    <t xml:space="preserve">TXN-101621</t>
  </si>
  <si>
    <t xml:space="preserve">TXN-101622</t>
  </si>
  <si>
    <t xml:space="preserve">TXN-101623</t>
  </si>
  <si>
    <t xml:space="preserve">TXN-101624</t>
  </si>
  <si>
    <t xml:space="preserve">TXN-101625</t>
  </si>
  <si>
    <t xml:space="preserve">TXN-101626</t>
  </si>
  <si>
    <t xml:space="preserve">TXN-101627</t>
  </si>
  <si>
    <t xml:space="preserve">TXN-101628</t>
  </si>
  <si>
    <t xml:space="preserve">TXN-101629</t>
  </si>
  <si>
    <t xml:space="preserve">TXN-101630</t>
  </si>
  <si>
    <t xml:space="preserve">TXN-101631</t>
  </si>
  <si>
    <t xml:space="preserve">TXN-101632</t>
  </si>
  <si>
    <t xml:space="preserve">TXN-101633</t>
  </si>
  <si>
    <t xml:space="preserve">TXN-101634</t>
  </si>
  <si>
    <t xml:space="preserve">TXN-101635</t>
  </si>
  <si>
    <t xml:space="preserve">TXN-101636</t>
  </si>
  <si>
    <t xml:space="preserve">TXN-101637</t>
  </si>
  <si>
    <t xml:space="preserve">TXN-101638</t>
  </si>
  <si>
    <t xml:space="preserve">TXN-101639</t>
  </si>
  <si>
    <t xml:space="preserve">TXN-101640</t>
  </si>
  <si>
    <t xml:space="preserve">TXN-101641</t>
  </si>
  <si>
    <t xml:space="preserve">TXN-101642</t>
  </si>
  <si>
    <t xml:space="preserve">TXN-101643</t>
  </si>
  <si>
    <t xml:space="preserve">TXN-101644</t>
  </si>
  <si>
    <t xml:space="preserve">TXN-101645</t>
  </si>
  <si>
    <t xml:space="preserve">TXN-101646</t>
  </si>
  <si>
    <t xml:space="preserve">TXN-101647</t>
  </si>
  <si>
    <t xml:space="preserve">TXN-101648</t>
  </si>
  <si>
    <t xml:space="preserve">TXN-101649</t>
  </si>
  <si>
    <t xml:space="preserve">TXN-101650</t>
  </si>
  <si>
    <t xml:space="preserve">TXN-101651</t>
  </si>
  <si>
    <t xml:space="preserve">TXN-101652</t>
  </si>
  <si>
    <t xml:space="preserve">TXN-101653</t>
  </si>
  <si>
    <t xml:space="preserve">TXN-101654</t>
  </si>
  <si>
    <t xml:space="preserve">TXN-101655</t>
  </si>
  <si>
    <t xml:space="preserve">TXN-101656</t>
  </si>
  <si>
    <t xml:space="preserve">TXN-101657</t>
  </si>
  <si>
    <t xml:space="preserve">TXN-101658</t>
  </si>
  <si>
    <t xml:space="preserve">TXN-101659</t>
  </si>
  <si>
    <t xml:space="preserve">TXN-101660</t>
  </si>
  <si>
    <t xml:space="preserve">TXN-101661</t>
  </si>
  <si>
    <t xml:space="preserve">TXN-101662</t>
  </si>
  <si>
    <t xml:space="preserve">TXN-101663</t>
  </si>
  <si>
    <t xml:space="preserve"> Chocolate Bar 90g</t>
  </si>
  <si>
    <t xml:space="preserve">TXN-101664</t>
  </si>
  <si>
    <t xml:space="preserve">TXN-101665</t>
  </si>
  <si>
    <t xml:space="preserve">TXN-101666</t>
  </si>
  <si>
    <t xml:space="preserve">TXN-101667</t>
  </si>
  <si>
    <t xml:space="preserve">TXN-101668</t>
  </si>
  <si>
    <t xml:space="preserve">TXN-101669</t>
  </si>
  <si>
    <t xml:space="preserve">eggs tray 30x</t>
  </si>
  <si>
    <t xml:space="preserve">TXN-101670</t>
  </si>
  <si>
    <t xml:space="preserve">TXN-101671</t>
  </si>
  <si>
    <t xml:space="preserve">TXN-101672</t>
  </si>
  <si>
    <t xml:space="preserve">TXN-101673</t>
  </si>
  <si>
    <t xml:space="preserve">TXN-101674</t>
  </si>
  <si>
    <t xml:space="preserve">TXN-101675</t>
  </si>
  <si>
    <t xml:space="preserve">TXN-102132</t>
  </si>
  <si>
    <t xml:space="preserve">13-Sep-2026</t>
  </si>
  <si>
    <t xml:space="preserve">TXN-101676</t>
  </si>
  <si>
    <t xml:space="preserve">TXN-101677</t>
  </si>
  <si>
    <t xml:space="preserve">TXN-101678</t>
  </si>
  <si>
    <t xml:space="preserve">TXN-101679</t>
  </si>
  <si>
    <t xml:space="preserve">TXN-101680</t>
  </si>
  <si>
    <t xml:space="preserve">TXN-101681</t>
  </si>
  <si>
    <t xml:space="preserve">TXN-101682</t>
  </si>
  <si>
    <t xml:space="preserve">TXN-101683</t>
  </si>
  <si>
    <t xml:space="preserve">TXN-101684</t>
  </si>
  <si>
    <t xml:space="preserve">TXN-101685</t>
  </si>
  <si>
    <t xml:space="preserve">cooking oil 1lx</t>
  </si>
  <si>
    <t xml:space="preserve">TXN-101686</t>
  </si>
  <si>
    <t xml:space="preserve">TXN-101687</t>
  </si>
  <si>
    <t xml:space="preserve">TXN-101688</t>
  </si>
  <si>
    <t xml:space="preserve">TXN-101689</t>
  </si>
  <si>
    <t xml:space="preserve">TXN-101690</t>
  </si>
  <si>
    <t xml:space="preserve">TXN-101691</t>
  </si>
  <si>
    <t xml:space="preserve">TXN-101692</t>
  </si>
  <si>
    <t xml:space="preserve">TXN-101693</t>
  </si>
  <si>
    <t xml:space="preserve">TXN-101694</t>
  </si>
  <si>
    <t xml:space="preserve">TXN-101695</t>
  </si>
  <si>
    <t xml:space="preserve">TXN-101696</t>
  </si>
  <si>
    <t xml:space="preserve">TXN-101697</t>
  </si>
  <si>
    <t xml:space="preserve">TXN-101698</t>
  </si>
  <si>
    <t xml:space="preserve">TXN-101699</t>
  </si>
  <si>
    <t xml:space="preserve">TXN-101700</t>
  </si>
  <si>
    <t xml:space="preserve">TXN-101701</t>
  </si>
  <si>
    <t xml:space="preserve">TXN-101702</t>
  </si>
  <si>
    <t xml:space="preserve">TXN-101703</t>
  </si>
  <si>
    <t xml:space="preserve">TXN-101704</t>
  </si>
  <si>
    <t xml:space="preserve">TXN-101705</t>
  </si>
  <si>
    <t xml:space="preserve">TXN-101706</t>
  </si>
  <si>
    <t xml:space="preserve">TXN-101707</t>
  </si>
  <si>
    <t xml:space="preserve">TXN-101708</t>
  </si>
  <si>
    <t xml:space="preserve">TXN-101709</t>
  </si>
  <si>
    <t xml:space="preserve">TXN-101711</t>
  </si>
  <si>
    <t xml:space="preserve">TXN-101712</t>
  </si>
  <si>
    <t xml:space="preserve">TXN-101713</t>
  </si>
  <si>
    <t xml:space="preserve">TXN-101714</t>
  </si>
  <si>
    <t xml:space="preserve">TXN-101715</t>
  </si>
  <si>
    <t xml:space="preserve">TXN-101716</t>
  </si>
  <si>
    <t xml:space="preserve">KES 324</t>
  </si>
  <si>
    <t xml:space="preserve">TXN-101717</t>
  </si>
  <si>
    <t xml:space="preserve">TXN-101718</t>
  </si>
  <si>
    <t xml:space="preserve">TXN-101719</t>
  </si>
  <si>
    <t xml:space="preserve">TXN-101720</t>
  </si>
  <si>
    <t xml:space="preserve">TXN-101721</t>
  </si>
  <si>
    <t xml:space="preserve">TXN-101722</t>
  </si>
  <si>
    <t xml:space="preserve">TXN-101723</t>
  </si>
  <si>
    <t xml:space="preserve">TXN-101724</t>
  </si>
  <si>
    <t xml:space="preserve">TXN-101725</t>
  </si>
  <si>
    <t xml:space="preserve">spaghetti 400gx</t>
  </si>
  <si>
    <t xml:space="preserve">TXN-101726</t>
  </si>
  <si>
    <t xml:space="preserve">TXN-101727</t>
  </si>
  <si>
    <t xml:space="preserve">TXN-101728</t>
  </si>
  <si>
    <t xml:space="preserve">TXN-101729</t>
  </si>
  <si>
    <t xml:space="preserve">TXN-101730</t>
  </si>
  <si>
    <t xml:space="preserve">TXN-101731</t>
  </si>
  <si>
    <t xml:space="preserve">TXN-101732</t>
  </si>
  <si>
    <t xml:space="preserve">TXN-101733</t>
  </si>
  <si>
    <t xml:space="preserve">TXN-101734</t>
  </si>
  <si>
    <t xml:space="preserve">TXN-101735</t>
  </si>
  <si>
    <t xml:space="preserve">TXN-101736</t>
  </si>
  <si>
    <t xml:space="preserve">TXN-101737</t>
  </si>
  <si>
    <t xml:space="preserve">TXN-101738</t>
  </si>
  <si>
    <t xml:space="preserve">TXN-101739</t>
  </si>
  <si>
    <t xml:space="preserve">TXN-101740</t>
  </si>
  <si>
    <t xml:space="preserve">TXN-101741</t>
  </si>
  <si>
    <t xml:space="preserve">TXN-101742</t>
  </si>
  <si>
    <t xml:space="preserve">TXN-101743</t>
  </si>
  <si>
    <t xml:space="preserve">TXN-101744</t>
  </si>
  <si>
    <t xml:space="preserve">TXN-101745</t>
  </si>
  <si>
    <t xml:space="preserve">TXN-101746</t>
  </si>
  <si>
    <t xml:space="preserve">TXN-101747</t>
  </si>
  <si>
    <t xml:space="preserve">TXN-101748</t>
  </si>
  <si>
    <t xml:space="preserve">TXN-101749</t>
  </si>
  <si>
    <t xml:space="preserve">TXN-101750</t>
  </si>
  <si>
    <t xml:space="preserve">TXN-101751</t>
  </si>
  <si>
    <t xml:space="preserve">TXN-101752</t>
  </si>
  <si>
    <t xml:space="preserve">TXN-101753</t>
  </si>
  <si>
    <t xml:space="preserve">TXN-101754</t>
  </si>
  <si>
    <t xml:space="preserve">TXN-101755</t>
  </si>
  <si>
    <t xml:space="preserve">TXN-101756</t>
  </si>
  <si>
    <t xml:space="preserve">TXN-101757</t>
  </si>
  <si>
    <t xml:space="preserve">TXN-101758</t>
  </si>
  <si>
    <t xml:space="preserve">TXN-101759</t>
  </si>
  <si>
    <t xml:space="preserve">TXN-101760</t>
  </si>
  <si>
    <t xml:space="preserve">TXN-101761</t>
  </si>
  <si>
    <t xml:space="preserve">TXN-101762</t>
  </si>
  <si>
    <t xml:space="preserve">TXN-101763</t>
  </si>
  <si>
    <t xml:space="preserve">TXN-101764</t>
  </si>
  <si>
    <t xml:space="preserve">TXN-101765</t>
  </si>
  <si>
    <t xml:space="preserve">TXN-101766</t>
  </si>
  <si>
    <t xml:space="preserve">TXN-101767</t>
  </si>
  <si>
    <t xml:space="preserve">TXN-101768</t>
  </si>
  <si>
    <t xml:space="preserve">TXN-101769</t>
  </si>
  <si>
    <t xml:space="preserve">TXN-101770</t>
  </si>
  <si>
    <t xml:space="preserve">TXN-101771</t>
  </si>
  <si>
    <t xml:space="preserve">TXN-101772</t>
  </si>
  <si>
    <t xml:space="preserve">TXN-101773</t>
  </si>
  <si>
    <t xml:space="preserve">TXN-101774</t>
  </si>
  <si>
    <t xml:space="preserve">TXN-101775</t>
  </si>
  <si>
    <t xml:space="preserve">TXN-101776</t>
  </si>
  <si>
    <t xml:space="preserve">TXN-101777</t>
  </si>
  <si>
    <t xml:space="preserve">TXN-101778</t>
  </si>
  <si>
    <t xml:space="preserve">TXN-101779</t>
  </si>
  <si>
    <t xml:space="preserve">TXN-101780</t>
  </si>
  <si>
    <t xml:space="preserve">TXN-101781</t>
  </si>
  <si>
    <t xml:space="preserve">TXN-101782</t>
  </si>
  <si>
    <t xml:space="preserve">TXN-101783</t>
  </si>
  <si>
    <t xml:space="preserve">TXN-101784</t>
  </si>
  <si>
    <t xml:space="preserve">TXN-101785</t>
  </si>
  <si>
    <t xml:space="preserve">TXN-101786</t>
  </si>
  <si>
    <t xml:space="preserve">TXN-101787</t>
  </si>
  <si>
    <t xml:space="preserve">TXN-101788</t>
  </si>
  <si>
    <t xml:space="preserve">TXN-101789</t>
  </si>
  <si>
    <t xml:space="preserve">TXN-101790</t>
  </si>
  <si>
    <t xml:space="preserve">TXN-101791</t>
  </si>
  <si>
    <t xml:space="preserve">TXN-101792</t>
  </si>
  <si>
    <t xml:space="preserve">TXN-101793</t>
  </si>
  <si>
    <t xml:space="preserve">TXN-101794</t>
  </si>
  <si>
    <t xml:space="preserve">TXN-101795</t>
  </si>
  <si>
    <t xml:space="preserve">TXN-101796</t>
  </si>
  <si>
    <t xml:space="preserve">TXN-101797</t>
  </si>
  <si>
    <t xml:space="preserve">TXN-101798</t>
  </si>
  <si>
    <t xml:space="preserve">TXN-101799</t>
  </si>
  <si>
    <t xml:space="preserve">TXN-101800</t>
  </si>
  <si>
    <t xml:space="preserve">TXN-101801</t>
  </si>
  <si>
    <t xml:space="preserve">TXN-101802</t>
  </si>
  <si>
    <t xml:space="preserve">TXN-101803</t>
  </si>
  <si>
    <t xml:space="preserve">TXN-101804</t>
  </si>
  <si>
    <t xml:space="preserve">TXN-101805</t>
  </si>
  <si>
    <t xml:space="preserve">TXN-101806</t>
  </si>
  <si>
    <t xml:space="preserve">TXN-101807</t>
  </si>
  <si>
    <t xml:space="preserve">TXN-101808</t>
  </si>
  <si>
    <t xml:space="preserve">TXN-101809</t>
  </si>
  <si>
    <t xml:space="preserve">TXN-101810</t>
  </si>
  <si>
    <t xml:space="preserve">TXN-101811</t>
  </si>
  <si>
    <t xml:space="preserve">TXN-101812</t>
  </si>
  <si>
    <t xml:space="preserve">TXN-101813</t>
  </si>
  <si>
    <t xml:space="preserve">TXN-101814</t>
  </si>
  <si>
    <t xml:space="preserve">TXN-101815</t>
  </si>
  <si>
    <t xml:space="preserve">TXN-101816</t>
  </si>
  <si>
    <t xml:space="preserve">TXN-101817</t>
  </si>
  <si>
    <t xml:space="preserve">TXN-101818</t>
  </si>
  <si>
    <t xml:space="preserve">TXN-101819</t>
  </si>
  <si>
    <t xml:space="preserve">TXN-101820</t>
  </si>
  <si>
    <t xml:space="preserve">TXN-101821</t>
  </si>
  <si>
    <t xml:space="preserve">TXN-101822</t>
  </si>
  <si>
    <t xml:space="preserve">TXN-101823</t>
  </si>
  <si>
    <t xml:space="preserve">TXN-101824</t>
  </si>
  <si>
    <t xml:space="preserve">TXN-101825</t>
  </si>
  <si>
    <t xml:space="preserve">TXN-101826</t>
  </si>
  <si>
    <t xml:space="preserve">TXN-101827</t>
  </si>
  <si>
    <t xml:space="preserve">TXN-101828</t>
  </si>
  <si>
    <t xml:space="preserve">189</t>
  </si>
  <si>
    <t xml:space="preserve">TXN-101829</t>
  </si>
  <si>
    <t xml:space="preserve">TXN-101830</t>
  </si>
  <si>
    <t xml:space="preserve">TXN-101831</t>
  </si>
  <si>
    <t xml:space="preserve">TXN-101832</t>
  </si>
  <si>
    <t xml:space="preserve">TXN-101833</t>
  </si>
  <si>
    <t xml:space="preserve">TXN-101834</t>
  </si>
  <si>
    <t xml:space="preserve">TXN-101835</t>
  </si>
  <si>
    <t xml:space="preserve">TXN-101836</t>
  </si>
  <si>
    <t xml:space="preserve">TXN-101837</t>
  </si>
  <si>
    <t xml:space="preserve">TXN-101838</t>
  </si>
  <si>
    <t xml:space="preserve">TXN-101839</t>
  </si>
  <si>
    <t xml:space="preserve">TXN-101840</t>
  </si>
  <si>
    <t xml:space="preserve">TXN-101841</t>
  </si>
  <si>
    <t xml:space="preserve">TXN-101842</t>
  </si>
  <si>
    <t xml:space="preserve">TXN-101843</t>
  </si>
  <si>
    <t xml:space="preserve">TXN-101844</t>
  </si>
  <si>
    <t xml:space="preserve">TXN-101845</t>
  </si>
  <si>
    <t xml:space="preserve">TXN-101846</t>
  </si>
  <si>
    <t xml:space="preserve"> cooking oil 1lx</t>
  </si>
  <si>
    <t xml:space="preserve">TXN-101922</t>
  </si>
  <si>
    <t xml:space="preserve">TXN-101847</t>
  </si>
  <si>
    <t xml:space="preserve">TXN-101848</t>
  </si>
  <si>
    <t xml:space="preserve">TXN-101849</t>
  </si>
  <si>
    <t xml:space="preserve">TXN-101850</t>
  </si>
  <si>
    <t xml:space="preserve">TXN-101851</t>
  </si>
  <si>
    <t xml:space="preserve">TXN-101852</t>
  </si>
  <si>
    <t xml:space="preserve">TXN-101853</t>
  </si>
  <si>
    <t xml:space="preserve">TXN-101854</t>
  </si>
  <si>
    <t xml:space="preserve">TXN-101855</t>
  </si>
  <si>
    <t xml:space="preserve">TXN-101856</t>
  </si>
  <si>
    <t xml:space="preserve">bread loaf 400gx</t>
  </si>
  <si>
    <t xml:space="preserve">TXN-101858</t>
  </si>
  <si>
    <t xml:space="preserve">TXN-101859</t>
  </si>
  <si>
    <t xml:space="preserve">TXN-101860</t>
  </si>
  <si>
    <t xml:space="preserve">TXN-101861</t>
  </si>
  <si>
    <t xml:space="preserve">KES 126</t>
  </si>
  <si>
    <t xml:space="preserve">TXN-101863</t>
  </si>
  <si>
    <t xml:space="preserve">TXN-101864</t>
  </si>
  <si>
    <t xml:space="preserve">TXN-101865</t>
  </si>
  <si>
    <t xml:space="preserve">TXN-101866</t>
  </si>
  <si>
    <t xml:space="preserve">TXN-101867</t>
  </si>
  <si>
    <t xml:space="preserve">TXN-101868</t>
  </si>
  <si>
    <t xml:space="preserve">TXN-101869</t>
  </si>
  <si>
    <t xml:space="preserve">TXN-101870</t>
  </si>
  <si>
    <t xml:space="preserve">TXN-101871</t>
  </si>
  <si>
    <t xml:space="preserve">TXN-101872</t>
  </si>
  <si>
    <t xml:space="preserve">TXN-101873</t>
  </si>
  <si>
    <t xml:space="preserve">TXN-101874</t>
  </si>
  <si>
    <t xml:space="preserve">TXN-101875</t>
  </si>
  <si>
    <t xml:space="preserve">TXN-101876</t>
  </si>
  <si>
    <t xml:space="preserve">TXN-101877</t>
  </si>
  <si>
    <t xml:space="preserve">TXN-101878</t>
  </si>
  <si>
    <t xml:space="preserve">TXN-101879</t>
  </si>
  <si>
    <t xml:space="preserve">TXN-101880</t>
  </si>
  <si>
    <t xml:space="preserve">TXN-101881</t>
  </si>
  <si>
    <t xml:space="preserve">TXN-101882</t>
  </si>
  <si>
    <t xml:space="preserve">TXN-101883</t>
  </si>
  <si>
    <t xml:space="preserve">TXN-101884</t>
  </si>
  <si>
    <t xml:space="preserve">TXN-101885</t>
  </si>
  <si>
    <t xml:space="preserve">TXN-101886</t>
  </si>
  <si>
    <t xml:space="preserve">TXN-101887</t>
  </si>
  <si>
    <t xml:space="preserve">TXN-101888</t>
  </si>
  <si>
    <t xml:space="preserve">TXN-101889</t>
  </si>
  <si>
    <t xml:space="preserve">TXN-101890</t>
  </si>
  <si>
    <t xml:space="preserve">TXN-101891</t>
  </si>
  <si>
    <t xml:space="preserve">TXN-101892</t>
  </si>
  <si>
    <t xml:space="preserve">TXN-101893</t>
  </si>
  <si>
    <t xml:space="preserve">TXN-101894</t>
  </si>
  <si>
    <t xml:space="preserve">KES 171</t>
  </si>
  <si>
    <t xml:space="preserve">TXN-101895</t>
  </si>
  <si>
    <t xml:space="preserve">TXN-101896</t>
  </si>
  <si>
    <t xml:space="preserve">TXN-101897</t>
  </si>
  <si>
    <t xml:space="preserve">TXN-101898</t>
  </si>
  <si>
    <t xml:space="preserve">TXN-101899</t>
  </si>
  <si>
    <t xml:space="preserve">TXN-101900</t>
  </si>
  <si>
    <t xml:space="preserve">TXN-101901</t>
  </si>
  <si>
    <t xml:space="preserve">TXN-101902</t>
  </si>
  <si>
    <t xml:space="preserve">TXN-101903</t>
  </si>
  <si>
    <t xml:space="preserve">TXN-101904</t>
  </si>
  <si>
    <t xml:space="preserve">TXN-101905</t>
  </si>
  <si>
    <t xml:space="preserve">TXN-101906</t>
  </si>
  <si>
    <t xml:space="preserve">TXN-101907</t>
  </si>
  <si>
    <t xml:space="preserve">TXN-101908</t>
  </si>
  <si>
    <t xml:space="preserve">TXN-101909</t>
  </si>
  <si>
    <t xml:space="preserve">KES 72</t>
  </si>
  <si>
    <t xml:space="preserve">TXN-101910</t>
  </si>
  <si>
    <t xml:space="preserve">TXN-101911</t>
  </si>
  <si>
    <t xml:space="preserve">TXN-101912</t>
  </si>
  <si>
    <t xml:space="preserve">TXN-101913</t>
  </si>
  <si>
    <t xml:space="preserve">TXN-101914</t>
  </si>
  <si>
    <t xml:space="preserve">TXN-101915</t>
  </si>
  <si>
    <t xml:space="preserve">TXN-101916</t>
  </si>
  <si>
    <t xml:space="preserve">TXN-101917</t>
  </si>
  <si>
    <t xml:space="preserve">TXN-101918</t>
  </si>
  <si>
    <t xml:space="preserve">TXN-101919</t>
  </si>
  <si>
    <t xml:space="preserve">TXN-101920</t>
  </si>
  <si>
    <t xml:space="preserve">TXN-101921</t>
  </si>
  <si>
    <t xml:space="preserve">TXN-101923</t>
  </si>
  <si>
    <t xml:space="preserve">TXN-101924</t>
  </si>
  <si>
    <t xml:space="preserve">TXN-101925</t>
  </si>
  <si>
    <t xml:space="preserve">TXN-101926</t>
  </si>
  <si>
    <t xml:space="preserve">TXN-101927</t>
  </si>
  <si>
    <t xml:space="preserve">TXN-101928</t>
  </si>
  <si>
    <t xml:space="preserve">TXN-101929</t>
  </si>
  <si>
    <t xml:space="preserve">TXN-101930</t>
  </si>
  <si>
    <t xml:space="preserve">TXN-101931</t>
  </si>
  <si>
    <t xml:space="preserve">TXN-101932</t>
  </si>
  <si>
    <t xml:space="preserve">TXN-101933</t>
  </si>
  <si>
    <t xml:space="preserve">TXN-101934</t>
  </si>
  <si>
    <t xml:space="preserve">TXN-101935</t>
  </si>
  <si>
    <t xml:space="preserve">TXN-101936</t>
  </si>
  <si>
    <t xml:space="preserve">TXN-101937</t>
  </si>
  <si>
    <t xml:space="preserve">TXN-101938</t>
  </si>
  <si>
    <t xml:space="preserve">TXN-101939</t>
  </si>
  <si>
    <t xml:space="preserve">TXN-101940</t>
  </si>
  <si>
    <t xml:space="preserve">TXN-101941</t>
  </si>
  <si>
    <t xml:space="preserve">TXN-101942</t>
  </si>
  <si>
    <t xml:space="preserve">KES 99</t>
  </si>
  <si>
    <t xml:space="preserve">TXN-101943</t>
  </si>
  <si>
    <t xml:space="preserve">TXN-101944</t>
  </si>
  <si>
    <t xml:space="preserve">TXN-101945</t>
  </si>
  <si>
    <t xml:space="preserve">TXN-101946</t>
  </si>
  <si>
    <t xml:space="preserve">TXN-101947</t>
  </si>
  <si>
    <t xml:space="preserve">TXN-101948</t>
  </si>
  <si>
    <t xml:space="preserve">TXN-101949</t>
  </si>
  <si>
    <t xml:space="preserve">TXN-101950</t>
  </si>
  <si>
    <t xml:space="preserve">TXN-101951</t>
  </si>
  <si>
    <t xml:space="preserve">TXN-101952</t>
  </si>
  <si>
    <t xml:space="preserve">TXN-101953</t>
  </si>
  <si>
    <t xml:space="preserve">TXN-101954</t>
  </si>
  <si>
    <t xml:space="preserve">TXN-101955</t>
  </si>
  <si>
    <t xml:space="preserve">TXN-101956</t>
  </si>
  <si>
    <t xml:space="preserve">TXN-101957</t>
  </si>
  <si>
    <t xml:space="preserve">TXN-101958</t>
  </si>
  <si>
    <t xml:space="preserve">TXN-101959</t>
  </si>
  <si>
    <t xml:space="preserve">TXN-101960</t>
  </si>
  <si>
    <t xml:space="preserve">TXN-101961</t>
  </si>
  <si>
    <t xml:space="preserve">TXN-101962</t>
  </si>
  <si>
    <t xml:space="preserve">TXN-101963</t>
  </si>
  <si>
    <t xml:space="preserve">TXN-101964</t>
  </si>
  <si>
    <t xml:space="preserve">TXN-101965</t>
  </si>
  <si>
    <t xml:space="preserve">TXN-101966</t>
  </si>
  <si>
    <t xml:space="preserve">TXN-101967</t>
  </si>
  <si>
    <t xml:space="preserve">TXN-101968</t>
  </si>
  <si>
    <t xml:space="preserve">TXN-101969</t>
  </si>
  <si>
    <t xml:space="preserve">TXN-101970</t>
  </si>
  <si>
    <t xml:space="preserve">TXN-101971</t>
  </si>
  <si>
    <t xml:space="preserve">TXN-101973</t>
  </si>
  <si>
    <t xml:space="preserve">TXN-101974</t>
  </si>
  <si>
    <t xml:space="preserve">TXN-101975</t>
  </si>
  <si>
    <t xml:space="preserve">TXN-101976</t>
  </si>
  <si>
    <t xml:space="preserve">TXN-101977</t>
  </si>
  <si>
    <t xml:space="preserve">TXN-101978</t>
  </si>
  <si>
    <t xml:space="preserve">TXN-101979</t>
  </si>
  <si>
    <t xml:space="preserve">TXN-101980</t>
  </si>
  <si>
    <t xml:space="preserve">TXN-101981</t>
  </si>
  <si>
    <t xml:space="preserve">TXN-101982</t>
  </si>
  <si>
    <t xml:space="preserve">TXN-101983</t>
  </si>
  <si>
    <t xml:space="preserve">TXN-101984</t>
  </si>
  <si>
    <t xml:space="preserve">TXN-101985</t>
  </si>
  <si>
    <t xml:space="preserve">TXN-101986</t>
  </si>
  <si>
    <t xml:space="preserve">TXN-101987</t>
  </si>
  <si>
    <t xml:space="preserve">TXN-101988</t>
  </si>
  <si>
    <t xml:space="preserve">TXN-101989</t>
  </si>
  <si>
    <t xml:space="preserve">TXN-101990</t>
  </si>
  <si>
    <t xml:space="preserve">TXN-101991</t>
  </si>
  <si>
    <t xml:space="preserve">TXN-101992</t>
  </si>
  <si>
    <t xml:space="preserve">TXN-101993</t>
  </si>
  <si>
    <t xml:space="preserve">TXN-101994</t>
  </si>
  <si>
    <t xml:space="preserve">TXN-101995</t>
  </si>
  <si>
    <t xml:space="preserve">TXN-101996</t>
  </si>
  <si>
    <t xml:space="preserve">TXN-101997</t>
  </si>
  <si>
    <t xml:space="preserve">TXN-101998</t>
  </si>
  <si>
    <t xml:space="preserve">TXN-101999</t>
  </si>
  <si>
    <t xml:space="preserve">TXN-102000</t>
  </si>
  <si>
    <t xml:space="preserve">TXN-102001</t>
  </si>
  <si>
    <t xml:space="preserve">TXN-102002</t>
  </si>
  <si>
    <t xml:space="preserve">TXN-102003</t>
  </si>
  <si>
    <t xml:space="preserve">TXN-102004</t>
  </si>
  <si>
    <t xml:space="preserve">TXN-102005</t>
  </si>
  <si>
    <t xml:space="preserve">TXN-102006</t>
  </si>
  <si>
    <t xml:space="preserve">TXN-102007</t>
  </si>
  <si>
    <t xml:space="preserve">TXN-102008</t>
  </si>
  <si>
    <t xml:space="preserve">TXN-102009</t>
  </si>
  <si>
    <t xml:space="preserve">TXN-102010</t>
  </si>
  <si>
    <t xml:space="preserve">TXN-102011</t>
  </si>
  <si>
    <t xml:space="preserve">TXN-102012</t>
  </si>
  <si>
    <t xml:space="preserve">TXN-102013</t>
  </si>
  <si>
    <t xml:space="preserve">TXN-102014</t>
  </si>
  <si>
    <t xml:space="preserve">TXN-102015</t>
  </si>
  <si>
    <t xml:space="preserve">TXN-102016</t>
  </si>
  <si>
    <t xml:space="preserve">TXN-102017</t>
  </si>
  <si>
    <t xml:space="preserve">TXN-102018</t>
  </si>
  <si>
    <t xml:space="preserve">TXN-102019</t>
  </si>
  <si>
    <t xml:space="preserve">TXN-102020</t>
  </si>
  <si>
    <t xml:space="preserve">TXN-102021</t>
  </si>
  <si>
    <t xml:space="preserve">TXN-102022</t>
  </si>
  <si>
    <t xml:space="preserve">TXN-102023</t>
  </si>
  <si>
    <t xml:space="preserve">TXN-102024</t>
  </si>
  <si>
    <t xml:space="preserve">TXN-102025</t>
  </si>
  <si>
    <t xml:space="preserve">TXN-102093</t>
  </si>
  <si>
    <t xml:space="preserve">TXN-102026</t>
  </si>
  <si>
    <t xml:space="preserve">TXN-102027</t>
  </si>
  <si>
    <t xml:space="preserve">TXN-102028</t>
  </si>
  <si>
    <t xml:space="preserve">TXN-102029</t>
  </si>
  <si>
    <t xml:space="preserve">TXN-102030</t>
  </si>
  <si>
    <t xml:space="preserve">TXN-102031</t>
  </si>
  <si>
    <t xml:space="preserve">TXN-102032</t>
  </si>
  <si>
    <t xml:space="preserve">TXN-102033</t>
  </si>
  <si>
    <t xml:space="preserve">TXN-102034</t>
  </si>
  <si>
    <t xml:space="preserve">TXN-102035</t>
  </si>
  <si>
    <t xml:space="preserve">TXN-102036</t>
  </si>
  <si>
    <t xml:space="preserve">TXN-102037</t>
  </si>
  <si>
    <t xml:space="preserve">TXN-102038</t>
  </si>
  <si>
    <t xml:space="preserve">TXN-102039</t>
  </si>
  <si>
    <t xml:space="preserve">TXN-102040</t>
  </si>
  <si>
    <t xml:space="preserve">TXN-102041</t>
  </si>
  <si>
    <t xml:space="preserve">TXN-102042</t>
  </si>
  <si>
    <t xml:space="preserve">TXN-102043</t>
  </si>
  <si>
    <t xml:space="preserve">TXN-102044</t>
  </si>
  <si>
    <t xml:space="preserve">TXN-102045</t>
  </si>
  <si>
    <t xml:space="preserve">TXN-102046</t>
  </si>
  <si>
    <t xml:space="preserve">TXN-102047</t>
  </si>
  <si>
    <t xml:space="preserve">TXN-102048</t>
  </si>
  <si>
    <t xml:space="preserve">TXN-102049</t>
  </si>
  <si>
    <t xml:space="preserve">TXN-102050</t>
  </si>
  <si>
    <t xml:space="preserve">TXN-102051</t>
  </si>
  <si>
    <t xml:space="preserve">TXN-102052</t>
  </si>
  <si>
    <t xml:space="preserve">TXN-102053</t>
  </si>
  <si>
    <t xml:space="preserve">TXN-102054</t>
  </si>
  <si>
    <t xml:space="preserve">TXN-102055</t>
  </si>
  <si>
    <t xml:space="preserve">TXN-102056</t>
  </si>
  <si>
    <t xml:space="preserve">TXN-102057</t>
  </si>
  <si>
    <t xml:space="preserve">TXN-102058</t>
  </si>
  <si>
    <t xml:space="preserve">TXN-102059</t>
  </si>
  <si>
    <t xml:space="preserve">TXN-102060</t>
  </si>
  <si>
    <t xml:space="preserve">TXN-102061</t>
  </si>
  <si>
    <t xml:space="preserve">TXN-102062</t>
  </si>
  <si>
    <t xml:space="preserve">TXN-102063</t>
  </si>
  <si>
    <t xml:space="preserve">TXN-102064</t>
  </si>
  <si>
    <t xml:space="preserve">TXN-102065</t>
  </si>
  <si>
    <t xml:space="preserve">TXN-102066</t>
  </si>
  <si>
    <t xml:space="preserve">TXN-102067</t>
  </si>
  <si>
    <t xml:space="preserve">TXN-102068</t>
  </si>
  <si>
    <t xml:space="preserve">TXN-102069</t>
  </si>
  <si>
    <t xml:space="preserve">TXN-102070</t>
  </si>
  <si>
    <t xml:space="preserve">TXN-102071</t>
  </si>
  <si>
    <t xml:space="preserve">TXN-102072</t>
  </si>
  <si>
    <t xml:space="preserve">TXN-102073</t>
  </si>
  <si>
    <t xml:space="preserve">TXN-102074</t>
  </si>
  <si>
    <t xml:space="preserve">TXN-102075</t>
  </si>
  <si>
    <t xml:space="preserve">TXN-102076</t>
  </si>
  <si>
    <t xml:space="preserve">TXN-102077</t>
  </si>
  <si>
    <t xml:space="preserve">TXN-102078</t>
  </si>
  <si>
    <t xml:space="preserve">TXN-102079</t>
  </si>
  <si>
    <t xml:space="preserve">TXN-102080</t>
  </si>
  <si>
    <t xml:space="preserve">TXN-102081</t>
  </si>
  <si>
    <t xml:space="preserve">TXN-102082</t>
  </si>
  <si>
    <t xml:space="preserve">TXN-102083</t>
  </si>
  <si>
    <t xml:space="preserve">TXN-102084</t>
  </si>
  <si>
    <t xml:space="preserve">TXN-102085</t>
  </si>
  <si>
    <t xml:space="preserve">TXN-102086</t>
  </si>
  <si>
    <t xml:space="preserve">TXN-102087</t>
  </si>
  <si>
    <t xml:space="preserve">TXN-102088</t>
  </si>
  <si>
    <t xml:space="preserve">TXN-102089</t>
  </si>
  <si>
    <t xml:space="preserve">TXN-102090</t>
  </si>
  <si>
    <t xml:space="preserve">TXN-102091</t>
  </si>
  <si>
    <t xml:space="preserve">TXN-102092</t>
  </si>
  <si>
    <t xml:space="preserve">TXN-102094</t>
  </si>
  <si>
    <t xml:space="preserve">TXN-102095</t>
  </si>
  <si>
    <t xml:space="preserve">TXN-102096</t>
  </si>
  <si>
    <t xml:space="preserve">TXN-102097</t>
  </si>
  <si>
    <t xml:space="preserve">TXN-102098</t>
  </si>
  <si>
    <t xml:space="preserve">TXN-102099</t>
  </si>
  <si>
    <t xml:space="preserve">TXN-102100</t>
  </si>
  <si>
    <t xml:space="preserve">TXN-102101</t>
  </si>
  <si>
    <t xml:space="preserve">TXN-102102</t>
  </si>
  <si>
    <t xml:space="preserve">TXN-102103</t>
  </si>
  <si>
    <t xml:space="preserve">TXN-102104</t>
  </si>
  <si>
    <t xml:space="preserve">TXN-102105</t>
  </si>
  <si>
    <t xml:space="preserve">TXN-102106</t>
  </si>
  <si>
    <t xml:space="preserve">TXN-102107</t>
  </si>
  <si>
    <t xml:space="preserve">TXN-102108</t>
  </si>
  <si>
    <t xml:space="preserve">TXN-102109</t>
  </si>
  <si>
    <t xml:space="preserve">TXN-102110</t>
  </si>
  <si>
    <t xml:space="preserve">TXN-102111</t>
  </si>
  <si>
    <t xml:space="preserve">TXN-102112</t>
  </si>
  <si>
    <t xml:space="preserve">TXN-102113</t>
  </si>
  <si>
    <t xml:space="preserve">TXN-102114</t>
  </si>
  <si>
    <t xml:space="preserve">TXN-102115</t>
  </si>
  <si>
    <t xml:space="preserve">TXN-102116</t>
  </si>
  <si>
    <t xml:space="preserve">TXN-102117</t>
  </si>
  <si>
    <t xml:space="preserve">TXN-102118</t>
  </si>
  <si>
    <t xml:space="preserve">TXN-102119</t>
  </si>
  <si>
    <t xml:space="preserve">TXN-102120</t>
  </si>
  <si>
    <t xml:space="preserve">TXN-102121</t>
  </si>
  <si>
    <t xml:space="preserve">TXN-102123</t>
  </si>
  <si>
    <t xml:space="preserve">TXN-102124</t>
  </si>
  <si>
    <t xml:space="preserve">TXN-102125</t>
  </si>
  <si>
    <t xml:space="preserve">TXN-102126</t>
  </si>
  <si>
    <t xml:space="preserve">TXN-102127</t>
  </si>
  <si>
    <t xml:space="preserve">TXN-102128</t>
  </si>
  <si>
    <t xml:space="preserve">TXN-102129</t>
  </si>
  <si>
    <t xml:space="preserve">TXN-102130</t>
  </si>
  <si>
    <t xml:space="preserve">TXN-102131</t>
  </si>
  <si>
    <t xml:space="preserve">TXN-102133</t>
  </si>
  <si>
    <t xml:space="preserve">TXN-102134</t>
  </si>
  <si>
    <t xml:space="preserve">TXN-102135</t>
  </si>
  <si>
    <t xml:space="preserve">TXN-102136</t>
  </si>
  <si>
    <t xml:space="preserve">TXN-102137</t>
  </si>
  <si>
    <t xml:space="preserve">TXN-102138</t>
  </si>
  <si>
    <t xml:space="preserve">TXN-102139</t>
  </si>
  <si>
    <t xml:space="preserve">TXN-102140</t>
  </si>
  <si>
    <t xml:space="preserve">TXN-102141</t>
  </si>
  <si>
    <t xml:space="preserve">TXN-102142</t>
  </si>
  <si>
    <t xml:space="preserve">TXN-102143</t>
  </si>
  <si>
    <t xml:space="preserve">TXN-102144</t>
  </si>
  <si>
    <t xml:space="preserve">TXN-102145</t>
  </si>
  <si>
    <t xml:space="preserve">TXN-102146</t>
  </si>
  <si>
    <t xml:space="preserve">TXN-102147</t>
  </si>
  <si>
    <t xml:space="preserve">TXN-102148</t>
  </si>
  <si>
    <t xml:space="preserve">TXN-102149</t>
  </si>
  <si>
    <t xml:space="preserve">TXN-102150</t>
  </si>
  <si>
    <t xml:space="preserve">TXN-102151</t>
  </si>
  <si>
    <t xml:space="preserve">TXN-102152</t>
  </si>
  <si>
    <t xml:space="preserve">TXN-102153</t>
  </si>
  <si>
    <t xml:space="preserve">TXN-102154</t>
  </si>
  <si>
    <t xml:space="preserve">TXN-102155</t>
  </si>
  <si>
    <t xml:space="preserve">TXN-102156</t>
  </si>
  <si>
    <t xml:space="preserve">TXN-102157</t>
  </si>
  <si>
    <t xml:space="preserve">TXN-102158</t>
  </si>
  <si>
    <t xml:space="preserve">TXN-102159</t>
  </si>
  <si>
    <t xml:space="preserve">TXN-102160</t>
  </si>
  <si>
    <t xml:space="preserve">TXN-102161</t>
  </si>
  <si>
    <t xml:space="preserve">TXN-102162</t>
  </si>
  <si>
    <t xml:space="preserve">TXN-102163</t>
  </si>
  <si>
    <t xml:space="preserve">TXN-102164</t>
  </si>
  <si>
    <t xml:space="preserve">TXN-102165</t>
  </si>
  <si>
    <t xml:space="preserve">TXN-102166</t>
  </si>
  <si>
    <t xml:space="preserve">TXN-102167</t>
  </si>
  <si>
    <t xml:space="preserve">TXN-102168</t>
  </si>
  <si>
    <t xml:space="preserve">TXN-102169</t>
  </si>
  <si>
    <t xml:space="preserve">TXN-102170</t>
  </si>
  <si>
    <t xml:space="preserve">TXN-102171</t>
  </si>
  <si>
    <t xml:space="preserve">coffee 100g x</t>
  </si>
  <si>
    <t xml:space="preserve">TXN-102172</t>
  </si>
  <si>
    <t xml:space="preserve">TXN-102173</t>
  </si>
  <si>
    <t xml:space="preserve">TXN-102174</t>
  </si>
  <si>
    <t xml:space="preserve">TXN-102175</t>
  </si>
  <si>
    <t xml:space="preserve">TXN-102176</t>
  </si>
  <si>
    <t xml:space="preserve">TXN-102177</t>
  </si>
  <si>
    <t xml:space="preserve">TXN-102178</t>
  </si>
</sst>
</file>

<file path=xl/styles.xml><?xml version="1.0" encoding="utf-8"?>
<styleSheet xmlns="http://schemas.openxmlformats.org/spreadsheetml/2006/main">
  <numFmts count="9">
    <numFmt numFmtId="164" formatCode="General"/>
    <numFmt numFmtId="165" formatCode="#,##0"/>
    <numFmt numFmtId="166" formatCode="\+0.0%;\-0.0%"/>
    <numFmt numFmtId="167" formatCode="#,##0;\-#,##0"/>
    <numFmt numFmtId="168" formatCode="0%"/>
    <numFmt numFmtId="169" formatCode="\+#,##0;\-#,##0"/>
    <numFmt numFmtId="170" formatCode="0.0"/>
    <numFmt numFmtId="171" formatCode="0.00"/>
    <numFmt numFmtId="172" formatCode="dd\ mmm\ yyyy"/>
  </numFmts>
  <fonts count="18">
    <font>
      <sz val="11"/>
      <color theme="1"/>
      <name val="Calibri"/>
      <family val="2"/>
      <charset val="1"/>
    </font>
    <font>
      <sz val="10"/>
      <name val="Arial"/>
      <family val="0"/>
    </font>
    <font>
      <sz val="10"/>
      <name val="Arial"/>
      <family val="0"/>
    </font>
    <font>
      <sz val="10"/>
      <name val="Arial"/>
      <family val="0"/>
    </font>
    <font>
      <b val="true"/>
      <sz val="16"/>
      <color rgb="FF5C1A1B"/>
      <name val="Arial"/>
      <family val="0"/>
      <charset val="1"/>
    </font>
    <font>
      <i val="true"/>
      <sz val="10"/>
      <color rgb="FF6B5D54"/>
      <name val="Arial"/>
      <family val="0"/>
      <charset val="1"/>
    </font>
    <font>
      <b val="true"/>
      <sz val="10"/>
      <color rgb="FFFFFFFF"/>
      <name val="Arial"/>
      <family val="0"/>
      <charset val="1"/>
    </font>
    <font>
      <sz val="10"/>
      <color rgb="FF000000"/>
      <name val="Arial"/>
      <family val="0"/>
      <charset val="1"/>
    </font>
    <font>
      <b val="true"/>
      <sz val="18"/>
      <color rgb="FFFFFFFF"/>
      <name val="Arial"/>
      <family val="0"/>
      <charset val="1"/>
    </font>
    <font>
      <i val="true"/>
      <sz val="9"/>
      <color rgb="FF6B5D54"/>
      <name val="Arial"/>
      <family val="0"/>
      <charset val="1"/>
    </font>
    <font>
      <b val="true"/>
      <sz val="8"/>
      <color rgb="FFFFFFFF"/>
      <name val="Arial"/>
      <family val="0"/>
      <charset val="1"/>
    </font>
    <font>
      <b val="true"/>
      <sz val="11"/>
      <color rgb="FFFFFFFF"/>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b val="true"/>
      <sz val="18"/>
      <color rgb="FF000000"/>
      <name val="Calibri"/>
      <family val="2"/>
    </font>
    <font>
      <sz val="10"/>
      <color rgb="FF000000"/>
      <name val="Calibri"/>
      <family val="2"/>
    </font>
    <font>
      <sz val="9"/>
      <color rgb="FF0000FF"/>
      <name val="Arial"/>
      <family val="0"/>
      <charset val="1"/>
    </font>
  </fonts>
  <fills count="6">
    <fill>
      <patternFill patternType="none"/>
    </fill>
    <fill>
      <patternFill patternType="gray125"/>
    </fill>
    <fill>
      <patternFill patternType="solid">
        <fgColor rgb="FF5C1A1B"/>
        <bgColor rgb="FF800000"/>
      </patternFill>
    </fill>
    <fill>
      <patternFill patternType="solid">
        <fgColor rgb="FFC9A66B"/>
        <bgColor rgb="FFF4B6B6"/>
      </patternFill>
    </fill>
    <fill>
      <patternFill patternType="solid">
        <fgColor rgb="FFF6EFE2"/>
        <bgColor rgb="FFFFF2CC"/>
      </patternFill>
    </fill>
    <fill>
      <patternFill patternType="solid">
        <fgColor rgb="FFFFF2CC"/>
        <bgColor rgb="FFF6EFE2"/>
      </patternFill>
    </fill>
  </fills>
  <borders count="3">
    <border diagonalUp="false" diagonalDown="false">
      <left/>
      <right/>
      <top/>
      <bottom/>
      <diagonal/>
    </border>
    <border diagonalUp="false" diagonalDown="false">
      <left style="thin">
        <color rgb="FFD9CFC0"/>
      </left>
      <right style="thin">
        <color rgb="FFD9CFC0"/>
      </right>
      <top style="thin">
        <color rgb="FFD9CFC0"/>
      </top>
      <bottom style="thin">
        <color rgb="FFD9CFC0"/>
      </bottom>
      <diagonal/>
    </border>
    <border diagonalUp="false" diagonalDown="false">
      <left style="thin">
        <color rgb="FFD9CFC0"/>
      </left>
      <right/>
      <top style="thin">
        <color rgb="FFD9CFC0"/>
      </top>
      <bottom style="thin">
        <color rgb="FFD9CF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5" fontId="4" fillId="4" borderId="0" xfId="0" applyFont="true" applyBorder="true" applyAlignment="true" applyProtection="false">
      <alignment horizontal="center" vertical="center" textRotation="0" wrapText="false" indent="0" shrinkToFit="false"/>
      <protection locked="true" hidden="false"/>
    </xf>
    <xf numFmtId="166" fontId="4" fillId="4" borderId="0" xfId="0" applyFont="true" applyBorder="true" applyAlignment="true" applyProtection="false">
      <alignment horizontal="center" vertical="center" textRotation="0" wrapText="false" indent="0" shrinkToFit="false"/>
      <protection locked="true" hidden="false"/>
    </xf>
    <xf numFmtId="167" fontId="4" fillId="4" borderId="0" xfId="0" applyFont="true" applyBorder="true" applyAlignment="true" applyProtection="false">
      <alignment horizontal="center" vertical="center" textRotation="0" wrapText="false" indent="0" shrinkToFit="false"/>
      <protection locked="true" hidden="false"/>
    </xf>
    <xf numFmtId="168" fontId="4" fillId="4" borderId="0"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5" fontId="14" fillId="0" borderId="1" xfId="0" applyFont="true" applyBorder="true" applyAlignment="true" applyProtection="false">
      <alignment horizontal="right" vertical="center" textRotation="0" wrapText="false" indent="0" shrinkToFit="false"/>
      <protection locked="true" hidden="false"/>
    </xf>
    <xf numFmtId="169" fontId="14" fillId="0" borderId="1" xfId="0" applyFont="true" applyBorder="true" applyAlignment="true" applyProtection="false">
      <alignment horizontal="right" vertical="center" textRotation="0" wrapText="false" indent="0" shrinkToFit="false"/>
      <protection locked="true" hidden="false"/>
    </xf>
    <xf numFmtId="166" fontId="14" fillId="0" borderId="1" xfId="0" applyFont="true" applyBorder="true" applyAlignment="true" applyProtection="false">
      <alignment horizontal="right" vertical="center" textRotation="0" wrapText="false" indent="0" shrinkToFit="false"/>
      <protection locked="true" hidden="false"/>
    </xf>
    <xf numFmtId="168" fontId="14" fillId="0" borderId="1" xfId="0" applyFont="true" applyBorder="true" applyAlignment="true" applyProtection="false">
      <alignment horizontal="right"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false" indent="0" shrinkToFit="false"/>
      <protection locked="true" hidden="false"/>
    </xf>
    <xf numFmtId="165" fontId="13" fillId="4" borderId="1" xfId="0" applyFont="true" applyBorder="true" applyAlignment="true" applyProtection="false">
      <alignment horizontal="right" vertical="center" textRotation="0" wrapText="false" indent="0" shrinkToFit="false"/>
      <protection locked="true" hidden="false"/>
    </xf>
    <xf numFmtId="169" fontId="13" fillId="4" borderId="1" xfId="0" applyFont="true" applyBorder="true" applyAlignment="true" applyProtection="false">
      <alignment horizontal="right" vertical="center" textRotation="0" wrapText="false" indent="0" shrinkToFit="false"/>
      <protection locked="true" hidden="false"/>
    </xf>
    <xf numFmtId="166" fontId="13" fillId="4" borderId="1" xfId="0" applyFont="true" applyBorder="true" applyAlignment="true" applyProtection="false">
      <alignment horizontal="right" vertical="center" textRotation="0" wrapText="false" indent="0" shrinkToFit="false"/>
      <protection locked="true" hidden="false"/>
    </xf>
    <xf numFmtId="168" fontId="13" fillId="4" borderId="1" xfId="0" applyFont="true" applyBorder="true" applyAlignment="true" applyProtection="false">
      <alignment horizontal="righ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70" fontId="14" fillId="0" borderId="1" xfId="0" applyFont="true" applyBorder="true" applyAlignment="true" applyProtection="false">
      <alignment horizontal="right" vertical="center" textRotation="0" wrapText="false" indent="0" shrinkToFit="false"/>
      <protection locked="true" hidden="false"/>
    </xf>
    <xf numFmtId="165" fontId="13" fillId="0" borderId="1" xfId="0" applyFont="true" applyBorder="true" applyAlignment="true" applyProtection="false">
      <alignment horizontal="right" vertical="center" textRotation="0" wrapText="false" indent="0" shrinkToFit="false"/>
      <protection locked="true" hidden="false"/>
    </xf>
    <xf numFmtId="171" fontId="14" fillId="0" borderId="1" xfId="0" applyFont="true" applyBorder="true" applyAlignment="true" applyProtection="false">
      <alignment horizontal="right" vertical="center" textRotation="0" wrapText="false" indent="0" shrinkToFit="false"/>
      <protection locked="true" hidden="false"/>
    </xf>
    <xf numFmtId="172" fontId="17" fillId="5"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72" fontId="14" fillId="0" borderId="1" xfId="0" applyFont="true" applyBorder="true" applyAlignment="true" applyProtection="false">
      <alignment horizontal="right" vertical="center" textRotation="0" wrapText="false" indent="0" shrinkToFit="false"/>
      <protection locked="true" hidden="false"/>
    </xf>
    <xf numFmtId="165" fontId="17" fillId="5" borderId="1" xfId="0" applyFont="true" applyBorder="true" applyAlignment="true" applyProtection="false">
      <alignment horizontal="right" vertical="center"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4B6B6"/>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5C1A1B"/>
      <rgbColor rgb="FF008000"/>
      <rgbColor rgb="FF000080"/>
      <rgbColor rgb="FF808000"/>
      <rgbColor rgb="FF800080"/>
      <rgbColor rgb="FF008080"/>
      <rgbColor rgb="FFD9CFC0"/>
      <rgbColor rgb="FF878787"/>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6EFE2"/>
      <rgbColor rgb="FF99CCFF"/>
      <rgbColor rgb="FFFF99CC"/>
      <rgbColor rgb="FFCC99FF"/>
      <rgbColor rgb="FFF4B6B6"/>
      <rgbColor rgb="FF3366FF"/>
      <rgbColor rgb="FF33CCCC"/>
      <rgbColor rgb="FF99CC00"/>
      <rgbColor rgb="FFFFCC00"/>
      <rgbColor rgb="FFFF9900"/>
      <rgbColor rgb="FFFF6600"/>
      <rgbColor rgb="FF6B5D54"/>
      <rgbColor rgb="FFC9A66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branch: this week vs last week</a:t>
            </a:r>
          </a:p>
        </c:rich>
      </c:tx>
      <c:overlay val="0"/>
      <c:spPr>
        <a:noFill/>
        <a:ln w="0">
          <a:noFill/>
        </a:ln>
      </c:spPr>
    </c:title>
    <c:autoTitleDeleted val="0"/>
    <c:plotArea>
      <c:barChart>
        <c:barDir val="col"/>
        <c:grouping val="clustered"/>
        <c:varyColors val="0"/>
        <c:ser>
          <c:idx val="0"/>
          <c:order val="0"/>
          <c:tx>
            <c:strRef>
              <c:f>Dashboard!B17</c:f>
              <c:strCache>
                <c:ptCount val="1"/>
                <c:pt idx="0">
                  <c:v>This week (KES)</c:v>
                </c:pt>
              </c:strCache>
            </c:strRef>
          </c:tx>
          <c:spPr>
            <a:solidFill>
              <a:srgbClr val="5c1a1b"/>
            </a:solidFill>
            <a:ln w="9360">
              <a:solidFill>
                <a:srgbClr val="5c1a1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Dashboard!$A$18:$A$22</c:f>
              <c:strCache>
                <c:ptCount val="5"/>
                <c:pt idx="0">
                  <c:v>Nairobi CBD</c:v>
                </c:pt>
                <c:pt idx="1">
                  <c:v>Westlands</c:v>
                </c:pt>
                <c:pt idx="2">
                  <c:v>Mombasa</c:v>
                </c:pt>
                <c:pt idx="3">
                  <c:v>Kisumu</c:v>
                </c:pt>
                <c:pt idx="4">
                  <c:v>Nakuru</c:v>
                </c:pt>
              </c:strCache>
            </c:strRef>
          </c:cat>
          <c:val>
            <c:numRef>
              <c:f>Dashboard!$B$18:$B$22</c:f>
              <c:numCache>
                <c:formatCode>#,##0</c:formatCode>
                <c:ptCount val="5"/>
                <c:pt idx="0">
                  <c:v>139577</c:v>
                </c:pt>
                <c:pt idx="1">
                  <c:v>92023</c:v>
                </c:pt>
                <c:pt idx="2">
                  <c:v>85567</c:v>
                </c:pt>
                <c:pt idx="3">
                  <c:v>81212</c:v>
                </c:pt>
                <c:pt idx="4">
                  <c:v>74930</c:v>
                </c:pt>
              </c:numCache>
            </c:numRef>
          </c:val>
        </c:ser>
        <c:ser>
          <c:idx val="1"/>
          <c:order val="1"/>
          <c:tx>
            <c:strRef>
              <c:f>Dashboard!C17</c:f>
              <c:strCache>
                <c:ptCount val="1"/>
                <c:pt idx="0">
                  <c:v>Last week (KES)</c:v>
                </c:pt>
              </c:strCache>
            </c:strRef>
          </c:tx>
          <c:spPr>
            <a:solidFill>
              <a:srgbClr val="c9a66b"/>
            </a:solidFill>
            <a:ln w="9360">
              <a:solidFill>
                <a:srgbClr val="c9a66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Dashboard!$A$18:$A$22</c:f>
              <c:strCache>
                <c:ptCount val="5"/>
                <c:pt idx="0">
                  <c:v>Nairobi CBD</c:v>
                </c:pt>
                <c:pt idx="1">
                  <c:v>Westlands</c:v>
                </c:pt>
                <c:pt idx="2">
                  <c:v>Mombasa</c:v>
                </c:pt>
                <c:pt idx="3">
                  <c:v>Kisumu</c:v>
                </c:pt>
                <c:pt idx="4">
                  <c:v>Nakuru</c:v>
                </c:pt>
              </c:strCache>
            </c:strRef>
          </c:cat>
          <c:val>
            <c:numRef>
              <c:f>Dashboard!$C$18:$C$22</c:f>
              <c:numCache>
                <c:formatCode>#,##0</c:formatCode>
                <c:ptCount val="5"/>
                <c:pt idx="0">
                  <c:v>140736</c:v>
                </c:pt>
                <c:pt idx="1">
                  <c:v>104369</c:v>
                </c:pt>
                <c:pt idx="2">
                  <c:v>111676</c:v>
                </c:pt>
                <c:pt idx="3">
                  <c:v>78732</c:v>
                </c:pt>
                <c:pt idx="4">
                  <c:v>81472</c:v>
                </c:pt>
              </c:numCache>
            </c:numRef>
          </c:val>
        </c:ser>
        <c:gapWidth val="150"/>
        <c:overlap val="0"/>
        <c:axId val="60294712"/>
        <c:axId val="40185854"/>
      </c:barChart>
      <c:catAx>
        <c:axId val="602947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185854"/>
        <c:crosses val="autoZero"/>
        <c:auto val="1"/>
        <c:lblAlgn val="ctr"/>
        <c:lblOffset val="100"/>
        <c:noMultiLvlLbl val="0"/>
      </c:catAx>
      <c:valAx>
        <c:axId val="4018585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29471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Daily sales: this week vs last week</a:t>
            </a:r>
          </a:p>
        </c:rich>
      </c:tx>
      <c:overlay val="0"/>
      <c:spPr>
        <a:noFill/>
        <a:ln w="0">
          <a:noFill/>
        </a:ln>
      </c:spPr>
    </c:title>
    <c:autoTitleDeleted val="0"/>
    <c:plotArea>
      <c:barChart>
        <c:barDir val="col"/>
        <c:grouping val="clustered"/>
        <c:varyColors val="0"/>
        <c:ser>
          <c:idx val="0"/>
          <c:order val="0"/>
          <c:tx>
            <c:strRef>
              <c:f>Dashboard!B44</c:f>
              <c:strCache>
                <c:ptCount val="1"/>
                <c:pt idx="0">
                  <c:v>This week (KES)</c:v>
                </c:pt>
              </c:strCache>
            </c:strRef>
          </c:tx>
          <c:spPr>
            <a:solidFill>
              <a:srgbClr val="5c1a1b"/>
            </a:solidFill>
            <a:ln w="9360">
              <a:solidFill>
                <a:srgbClr val="5c1a1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Dashboard!$A$45:$A$51</c:f>
              <c:strCache>
                <c:ptCount val="7"/>
                <c:pt idx="0">
                  <c:v>Mon</c:v>
                </c:pt>
                <c:pt idx="1">
                  <c:v>Tue</c:v>
                </c:pt>
                <c:pt idx="2">
                  <c:v>Wed</c:v>
                </c:pt>
                <c:pt idx="3">
                  <c:v>Thu</c:v>
                </c:pt>
                <c:pt idx="4">
                  <c:v>Fri</c:v>
                </c:pt>
                <c:pt idx="5">
                  <c:v>Sat</c:v>
                </c:pt>
                <c:pt idx="6">
                  <c:v>Sun</c:v>
                </c:pt>
              </c:strCache>
            </c:strRef>
          </c:cat>
          <c:val>
            <c:numRef>
              <c:f>Dashboard!$B$45:$B$51</c:f>
              <c:numCache>
                <c:formatCode>#,##0</c:formatCode>
                <c:ptCount val="7"/>
                <c:pt idx="0">
                  <c:v>59099</c:v>
                </c:pt>
                <c:pt idx="1">
                  <c:v>52905</c:v>
                </c:pt>
                <c:pt idx="2">
                  <c:v>59369</c:v>
                </c:pt>
                <c:pt idx="3">
                  <c:v>64774</c:v>
                </c:pt>
                <c:pt idx="4">
                  <c:v>73919</c:v>
                </c:pt>
                <c:pt idx="5">
                  <c:v>93388</c:v>
                </c:pt>
                <c:pt idx="6">
                  <c:v>69855</c:v>
                </c:pt>
              </c:numCache>
            </c:numRef>
          </c:val>
        </c:ser>
        <c:ser>
          <c:idx val="1"/>
          <c:order val="1"/>
          <c:tx>
            <c:strRef>
              <c:f>Dashboard!C44</c:f>
              <c:strCache>
                <c:ptCount val="1"/>
                <c:pt idx="0">
                  <c:v>Last week (KES)</c:v>
                </c:pt>
              </c:strCache>
            </c:strRef>
          </c:tx>
          <c:spPr>
            <a:solidFill>
              <a:srgbClr val="c9a66b"/>
            </a:solidFill>
            <a:ln w="9360">
              <a:solidFill>
                <a:srgbClr val="c9a66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Dashboard!$A$45:$A$51</c:f>
              <c:strCache>
                <c:ptCount val="7"/>
                <c:pt idx="0">
                  <c:v>Mon</c:v>
                </c:pt>
                <c:pt idx="1">
                  <c:v>Tue</c:v>
                </c:pt>
                <c:pt idx="2">
                  <c:v>Wed</c:v>
                </c:pt>
                <c:pt idx="3">
                  <c:v>Thu</c:v>
                </c:pt>
                <c:pt idx="4">
                  <c:v>Fri</c:v>
                </c:pt>
                <c:pt idx="5">
                  <c:v>Sat</c:v>
                </c:pt>
                <c:pt idx="6">
                  <c:v>Sun</c:v>
                </c:pt>
              </c:strCache>
            </c:strRef>
          </c:cat>
          <c:val>
            <c:numRef>
              <c:f>Dashboard!$C$45:$C$51</c:f>
              <c:numCache>
                <c:formatCode>#,##0</c:formatCode>
                <c:ptCount val="7"/>
                <c:pt idx="0">
                  <c:v>73483</c:v>
                </c:pt>
                <c:pt idx="1">
                  <c:v>55995</c:v>
                </c:pt>
                <c:pt idx="2">
                  <c:v>54338</c:v>
                </c:pt>
                <c:pt idx="3">
                  <c:v>65071</c:v>
                </c:pt>
                <c:pt idx="4">
                  <c:v>80660</c:v>
                </c:pt>
                <c:pt idx="5">
                  <c:v>102470</c:v>
                </c:pt>
                <c:pt idx="6">
                  <c:v>84968</c:v>
                </c:pt>
              </c:numCache>
            </c:numRef>
          </c:val>
        </c:ser>
        <c:gapWidth val="150"/>
        <c:overlap val="0"/>
        <c:axId val="57175030"/>
        <c:axId val="68320367"/>
      </c:barChart>
      <c:catAx>
        <c:axId val="571750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20367"/>
        <c:crosses val="autoZero"/>
        <c:auto val="1"/>
        <c:lblAlgn val="ctr"/>
        <c:lblOffset val="100"/>
        <c:noMultiLvlLbl val="0"/>
      </c:catAx>
      <c:valAx>
        <c:axId val="6832036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17503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16</xdr:row>
      <xdr:rowOff>0</xdr:rowOff>
    </xdr:from>
    <xdr:to>
      <xdr:col>11</xdr:col>
      <xdr:colOff>396360</xdr:colOff>
      <xdr:row>23</xdr:row>
      <xdr:rowOff>23400</xdr:rowOff>
    </xdr:to>
    <xdr:graphicFrame>
      <xdr:nvGraphicFramePr>
        <xdr:cNvPr id="0" name="Chart 1"/>
        <xdr:cNvGraphicFramePr/>
      </xdr:nvGraphicFramePr>
      <xdr:xfrm>
        <a:off x="7894440" y="3828960"/>
        <a:ext cx="3779640" cy="154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10</xdr:col>
      <xdr:colOff>144720</xdr:colOff>
      <xdr:row>50</xdr:row>
      <xdr:rowOff>116640</xdr:rowOff>
    </xdr:to>
    <xdr:graphicFrame>
      <xdr:nvGraphicFramePr>
        <xdr:cNvPr id="1" name="Chart 2"/>
        <xdr:cNvGraphicFramePr/>
      </xdr:nvGraphicFramePr>
      <xdr:xfrm>
        <a:off x="5356800" y="9601200"/>
        <a:ext cx="5219640" cy="158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 collapsed="false" customWidth="true" hidden="false" outlineLevel="0" max="2" min="2" style="0" width="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5" hidden="false" customHeight="true" outlineLevel="0" collapsed="false">
      <c r="A5" s="4" t="s">
        <v>3</v>
      </c>
    </row>
    <row r="7" customFormat="false" ht="15" hidden="false" customHeight="false" outlineLevel="0" collapsed="false">
      <c r="A7" s="3" t="s">
        <v>4</v>
      </c>
    </row>
    <row r="8" customFormat="false" ht="15" hidden="false" customHeight="true" outlineLevel="0" collapsed="false">
      <c r="A8" s="4" t="s">
        <v>5</v>
      </c>
    </row>
    <row r="9" customFormat="false" ht="1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3" customFormat="false" ht="15" hidden="false" customHeight="false" outlineLevel="0" collapsed="false">
      <c r="A13" s="3" t="s">
        <v>9</v>
      </c>
    </row>
    <row r="14" customFormat="false" ht="15" hidden="false" customHeight="true" outlineLevel="0" collapsed="false">
      <c r="A14" s="4" t="s">
        <v>10</v>
      </c>
    </row>
    <row r="15" customFormat="false" ht="30" hidden="false" customHeight="true" outlineLevel="0" collapsed="false">
      <c r="A15" s="4" t="s">
        <v>11</v>
      </c>
    </row>
    <row r="16" customFormat="false" ht="30" hidden="false" customHeight="true" outlineLevel="0" collapsed="false">
      <c r="A16" s="4" t="s">
        <v>12</v>
      </c>
    </row>
    <row r="17" customFormat="false" ht="30" hidden="false" customHeight="true" outlineLevel="0" collapsed="false">
      <c r="A17" s="4" t="s">
        <v>13</v>
      </c>
    </row>
    <row r="18" customFormat="false" ht="30" hidden="false" customHeight="true" outlineLevel="0" collapsed="false">
      <c r="A18" s="4" t="s">
        <v>14</v>
      </c>
    </row>
    <row r="20" customFormat="false" ht="15" hidden="false" customHeight="false" outlineLevel="0" collapsed="false">
      <c r="A20" s="3" t="s">
        <v>15</v>
      </c>
    </row>
    <row r="21" customFormat="false" ht="30" hidden="false" customHeight="true" outlineLevel="0" collapsed="false">
      <c r="A21" s="4" t="s">
        <v>16</v>
      </c>
    </row>
    <row r="22" customFormat="false" ht="15" hidden="false" customHeight="true" outlineLevel="0" collapsed="false">
      <c r="A22" s="4" t="s">
        <v>17</v>
      </c>
    </row>
    <row r="23" customFormat="false" ht="15" hidden="false" customHeight="true" outlineLevel="0" collapsed="false">
      <c r="A23" s="4" t="s">
        <v>18</v>
      </c>
    </row>
    <row r="25" customFormat="false" ht="15" hidden="false" customHeight="false" outlineLevel="0" collapsed="false">
      <c r="A25" s="3" t="s">
        <v>19</v>
      </c>
    </row>
    <row r="26" customFormat="false" ht="15" hidden="false" customHeight="true" outlineLevel="0" collapsed="false">
      <c r="A26" s="4" t="s">
        <v>20</v>
      </c>
    </row>
    <row r="27" customFormat="false" ht="30" hidden="false" customHeight="true" outlineLevel="0" collapsed="false">
      <c r="A27" s="4" t="s">
        <v>21</v>
      </c>
    </row>
    <row r="28" customFormat="false" ht="15" hidden="false" customHeight="true" outlineLevel="0" collapsed="false">
      <c r="A28" s="4" t="s">
        <v>22</v>
      </c>
    </row>
    <row r="30" customFormat="false" ht="15" hidden="false" customHeight="false" outlineLevel="0" collapsed="false">
      <c r="A30" s="3" t="s">
        <v>23</v>
      </c>
    </row>
    <row r="31" customFormat="false" ht="15" hidden="false" customHeight="true" outlineLevel="0" collapsed="false">
      <c r="A31" s="4" t="s">
        <v>24</v>
      </c>
    </row>
    <row r="32" customFormat="false" ht="15" hidden="false" customHeight="true" outlineLevel="0" collapsed="false">
      <c r="A32" s="4" t="s">
        <v>25</v>
      </c>
    </row>
    <row r="33" customFormat="false" ht="15" hidden="false" customHeight="true" outlineLevel="0" collapsed="false">
      <c r="A33" s="4"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 collapsed="false" customWidth="true" hidden="false" outlineLevel="0" max="12" min="5" style="0" width="12"/>
  </cols>
  <sheetData>
    <row r="1" customFormat="false" ht="30" hidden="false" customHeight="true" outlineLevel="0" collapsed="false">
      <c r="A1" s="5" t="s">
        <v>27</v>
      </c>
      <c r="B1" s="6"/>
      <c r="C1" s="6"/>
      <c r="D1" s="6"/>
      <c r="E1" s="6"/>
      <c r="F1" s="6"/>
      <c r="G1" s="6"/>
      <c r="H1" s="6"/>
      <c r="I1" s="6"/>
      <c r="J1" s="6"/>
      <c r="K1" s="6"/>
      <c r="L1" s="6"/>
    </row>
    <row r="2" customFormat="false" ht="15" hidden="false" customHeight="false" outlineLevel="0" collapsed="false">
      <c r="A2" s="7" t="str">
        <f aca="false">"Fictional Kenyan convenience-store chain (5 branches)  |  Synthetic data  |  Week of "&amp;TEXT(Assumptions!$B$4,"d mmm yyyy")&amp;" vs week of "&amp;TEXT(Assumptions!$B$5,"d mmm yyyy")&amp;"  |  Prepared by BZME Insights"</f>
        <v>Fictional Kenyan convenience-store chain (5 branches)  |  Synthetic data  |  Week of 7 Sep 2026 vs week of 31 Aug 2026  |  Prepared by BZME Insights</v>
      </c>
    </row>
    <row r="4" customFormat="false" ht="19.5" hidden="false" customHeight="true" outlineLevel="0" collapsed="false">
      <c r="A4" s="8" t="s">
        <v>28</v>
      </c>
      <c r="B4" s="8"/>
      <c r="C4" s="8" t="s">
        <v>29</v>
      </c>
      <c r="D4" s="8"/>
      <c r="E4" s="8" t="s">
        <v>30</v>
      </c>
      <c r="F4" s="8"/>
      <c r="G4" s="8" t="s">
        <v>31</v>
      </c>
      <c r="H4" s="8"/>
      <c r="I4" s="8" t="s">
        <v>32</v>
      </c>
      <c r="J4" s="8"/>
      <c r="K4" s="8" t="s">
        <v>33</v>
      </c>
      <c r="L4" s="8"/>
    </row>
    <row r="5" customFormat="false" ht="30" hidden="false" customHeight="true" outlineLevel="0" collapsed="false">
      <c r="A5" s="9" t="n">
        <f aca="false">B23</f>
        <v>473309</v>
      </c>
      <c r="B5" s="9"/>
      <c r="C5" s="10" t="n">
        <f aca="false">E23</f>
        <v>-0.0844821416482103</v>
      </c>
      <c r="D5" s="10"/>
      <c r="E5" s="9" t="n">
        <f aca="false">COUNTIFS(Clean!$M$2:$M$3001,Assumptions!$B$4,Clean!$L$2:$L$3001,1)</f>
        <v>1086</v>
      </c>
      <c r="F5" s="9"/>
      <c r="G5" s="9" t="n">
        <f aca="false">IFERROR(A5/E5,0)</f>
        <v>435.827808471455</v>
      </c>
      <c r="H5" s="9"/>
      <c r="I5" s="11" t="n">
        <f aca="false">SUMIFS(Clean!$H$2:$H$3001,Clean!$M$2:$M$3001,Assumptions!$B$4,Clean!$K$2:$K$3001,"Return")</f>
        <v>-11902</v>
      </c>
      <c r="J5" s="11"/>
      <c r="K5" s="12" t="n">
        <f aca="false">IFERROR(SUMIFS(Clean!$H$2:$H$3001,Clean!$M$2:$M$3001,Assumptions!$B$4,Clean!$L$2:$L$3001,1,Clean!$I$2:$I$3001,"M-Pesa")/A5,0)</f>
        <v>0.523364229287844</v>
      </c>
      <c r="L5" s="12"/>
    </row>
    <row r="7" customFormat="false" ht="18" hidden="false" customHeight="true" outlineLevel="0" collapsed="false">
      <c r="A7" s="13" t="s">
        <v>34</v>
      </c>
      <c r="B7" s="6"/>
      <c r="C7" s="6"/>
      <c r="D7" s="6"/>
      <c r="E7" s="6"/>
      <c r="F7" s="6"/>
      <c r="G7" s="6"/>
      <c r="H7" s="6"/>
      <c r="I7" s="6"/>
      <c r="J7" s="6"/>
      <c r="K7" s="6"/>
      <c r="L7" s="6"/>
    </row>
    <row r="8" customFormat="false" ht="18" hidden="false" customHeight="true" outlineLevel="0" collapsed="false">
      <c r="A8" s="14" t="str">
        <f aca="false">"1. Net sales for the week were KES "&amp;TEXT(B23/1000000,"0.00")&amp;"M, "&amp;TEXT(ABS(E23),"0.0%")&amp;IF(E23&gt;=0," up"," down")&amp;" on the previous week."</f>
        <v>1. Net sales for the week were KES 0.47M, 8.4% down on the previous week.</v>
      </c>
      <c r="B8" s="14"/>
      <c r="C8" s="14"/>
      <c r="D8" s="14"/>
      <c r="E8" s="14"/>
      <c r="F8" s="14"/>
      <c r="G8" s="14"/>
      <c r="H8" s="14"/>
      <c r="I8" s="14"/>
      <c r="J8" s="14"/>
      <c r="K8" s="14"/>
      <c r="L8" s="14"/>
    </row>
    <row r="9" customFormat="false" ht="18" hidden="false" customHeight="true" outlineLevel="0" collapsed="false">
      <c r="A9" s="14" t="str">
        <f aca="false">"2. "&amp;INDEX(A18:A22,MATCH(MAX(B18:B22),B18:B22,0))&amp;" is the biggest branch ("&amp;TEXT(MAX(F18:F22),"0%")&amp;" of sales); "&amp;INDEX(A18:A22,MATCH(MIN(E18:E22),E18:E22,0))&amp;" has the weakest growth ("&amp;TEXT(MIN(E18:E22),"+0.0%;-0.0%")&amp;")."</f>
        <v>2. Nairobi CBD is the biggest branch (29% of sales); Mombasa has the weakest growth (-23.4%).</v>
      </c>
      <c r="B9" s="14"/>
      <c r="C9" s="14"/>
      <c r="D9" s="14"/>
      <c r="E9" s="14"/>
      <c r="F9" s="14"/>
      <c r="G9" s="14"/>
      <c r="H9" s="14"/>
      <c r="I9" s="14"/>
      <c r="J9" s="14"/>
      <c r="K9" s="14"/>
      <c r="L9" s="14"/>
    </row>
    <row r="10" customFormat="false" ht="18" hidden="false" customHeight="true" outlineLevel="0" collapsed="false">
      <c r="A10" s="14" t="str">
        <f aca="false">"3. "&amp;INDEX(A27:A32,MATCH(MAX(E27:E32),E27:E32,0))&amp;" grew fastest ("&amp;TEXT(MAX(E27:E32),"+0.0%;-0.0%")&amp;"); "&amp;INDEX(A27:A32,MATCH(MIN(E27:E32),E27:E32,0))&amp;" fell the most ("&amp;TEXT(MIN(E27:E32),"+0.0%;-0.0%")&amp;")."</f>
        <v>3. Snacks grew fastest (+22.8%); Dairy &amp; Eggs fell the most (-26.1%).</v>
      </c>
      <c r="B10" s="14"/>
      <c r="C10" s="14"/>
      <c r="D10" s="14"/>
      <c r="E10" s="14"/>
      <c r="F10" s="14"/>
      <c r="G10" s="14"/>
      <c r="H10" s="14"/>
      <c r="I10" s="14"/>
      <c r="J10" s="14"/>
      <c r="K10" s="14"/>
      <c r="L10" s="14"/>
    </row>
    <row r="11" customFormat="false" ht="18" hidden="false" customHeight="true" outlineLevel="0" collapsed="false">
      <c r="A11" s="14" t="str">
        <f aca="false">"4. Top product this week: "&amp;A37&amp;" (KES "&amp;TEXT(D37,"#,##0")&amp;")."</f>
        <v>4. Top product this week: Cooking Oil 1L (KES 81,180).</v>
      </c>
      <c r="B11" s="14"/>
      <c r="C11" s="14"/>
      <c r="D11" s="14"/>
      <c r="E11" s="14"/>
      <c r="F11" s="14"/>
      <c r="G11" s="14"/>
      <c r="H11" s="14"/>
      <c r="I11" s="14"/>
      <c r="J11" s="14"/>
      <c r="K11" s="14"/>
      <c r="L11" s="14"/>
    </row>
    <row r="12" customFormat="false" ht="18" hidden="false" customHeight="true" outlineLevel="0" collapsed="false">
      <c r="A12" s="14" t="str">
        <f aca="false">"5. Busiest day: "&amp;INDEX(A45:A51,MATCH(MAX(B45:B51),B45:B51,0))&amp;" (KES "&amp;TEXT(MAX(B45:B51),"#,##0")&amp;")."</f>
        <v>5. Busiest day: Sat (KES 93,388).</v>
      </c>
      <c r="B12" s="14"/>
      <c r="C12" s="14"/>
      <c r="D12" s="14"/>
      <c r="E12" s="14"/>
      <c r="F12" s="14"/>
      <c r="G12" s="14"/>
      <c r="H12" s="14"/>
      <c r="I12" s="14"/>
      <c r="J12" s="14"/>
      <c r="K12" s="14"/>
      <c r="L12" s="14"/>
    </row>
    <row r="13" customFormat="false" ht="18" hidden="false" customHeight="true" outlineLevel="0" collapsed="false">
      <c r="A13" s="14" t="str">
        <f aca="false">"6. Data quality: "&amp;(B56+B57+B58)&amp;" of "&amp;TEXT(COUNTIF(Clean!$K$2:$K$3001,"?*"),"#,##0")&amp;" raw rows ("&amp;TEXT((B56+B57+B58)/COUNTIF(Clean!$K$2:$K$3001,"?*"),"0.0%")&amp;") were excluded or flagged: "&amp;B56&amp;" duplicates, "&amp;B57&amp;" unknown names and "&amp;B58&amp;" blank quantities. Dates, prices and names were standardised on the rest."</f>
        <v>6. Data quality: 82 of 2,221 raw rows (3.7%) were excluded or flagged: 43 duplicates, 19 unknown names and 20 blank quantities. Dates, prices and names were standardised on the rest.</v>
      </c>
      <c r="B13" s="14"/>
      <c r="C13" s="14"/>
      <c r="D13" s="14"/>
      <c r="E13" s="14"/>
      <c r="F13" s="14"/>
      <c r="G13" s="14"/>
      <c r="H13" s="14"/>
      <c r="I13" s="14"/>
      <c r="J13" s="14"/>
      <c r="K13" s="14"/>
      <c r="L13" s="14"/>
    </row>
    <row r="14" customFormat="false" ht="18" hidden="false" customHeight="true" outlineLevel="0" collapsed="false">
      <c r="A14" s="14" t="str">
        <f aca="false">"7. Automating this report saves about "&amp;TEXT(B66,"#,##0")&amp;" hours a year (KES "&amp;TEXT(B67,"#,##0")&amp;")."</f>
        <v>7. Automating this report saves about 143 hours a year (KES 100,100).</v>
      </c>
      <c r="B14" s="14"/>
      <c r="C14" s="14"/>
      <c r="D14" s="14"/>
      <c r="E14" s="14"/>
      <c r="F14" s="14"/>
      <c r="G14" s="14"/>
      <c r="H14" s="14"/>
      <c r="I14" s="14"/>
      <c r="J14" s="14"/>
      <c r="K14" s="14"/>
      <c r="L14" s="14"/>
    </row>
    <row r="16" customFormat="false" ht="18" hidden="false" customHeight="true" outlineLevel="0" collapsed="false">
      <c r="A16" s="13" t="s">
        <v>35</v>
      </c>
      <c r="B16" s="6"/>
      <c r="C16" s="6"/>
      <c r="D16" s="6"/>
      <c r="E16" s="6"/>
      <c r="F16" s="6"/>
      <c r="G16" s="6"/>
      <c r="H16" s="6"/>
      <c r="I16" s="6"/>
      <c r="J16" s="6"/>
      <c r="K16" s="6"/>
      <c r="L16" s="6"/>
    </row>
    <row r="17" customFormat="false" ht="30" hidden="false" customHeight="true" outlineLevel="0" collapsed="false">
      <c r="A17" s="15" t="s">
        <v>36</v>
      </c>
      <c r="B17" s="15" t="s">
        <v>37</v>
      </c>
      <c r="C17" s="15" t="s">
        <v>38</v>
      </c>
      <c r="D17" s="15" t="s">
        <v>39</v>
      </c>
      <c r="E17" s="15" t="s">
        <v>40</v>
      </c>
      <c r="F17" s="15" t="s">
        <v>41</v>
      </c>
    </row>
    <row r="18" customFormat="false" ht="15" hidden="false" customHeight="false" outlineLevel="0" collapsed="false">
      <c r="A18" s="16" t="s">
        <v>42</v>
      </c>
      <c r="B18" s="17" t="n">
        <f aca="false">SUMIFS(Clean!$H$2:$H$3001,Clean!$M$2:$M$3001,Assumptions!$B$4,Clean!$L$2:$L$3001,1,Clean!$C$2:$C$3001,A18)</f>
        <v>139577</v>
      </c>
      <c r="C18" s="17" t="n">
        <f aca="false">SUMIFS(Clean!$H$2:$H$3001,Clean!$M$2:$M$3001,Assumptions!$B$5,Clean!$L$2:$L$3001,1,Clean!$C$2:$C$3001,A18)</f>
        <v>140736</v>
      </c>
      <c r="D18" s="18" t="n">
        <f aca="false">B18-C18</f>
        <v>-1159</v>
      </c>
      <c r="E18" s="19" t="n">
        <f aca="false">IFERROR(D18/C18,0)</f>
        <v>-0.00823527739881765</v>
      </c>
      <c r="F18" s="20" t="n">
        <f aca="false">IFERROR(B18/B$23,0)</f>
        <v>0.294896146069481</v>
      </c>
    </row>
    <row r="19" customFormat="false" ht="15" hidden="false" customHeight="false" outlineLevel="0" collapsed="false">
      <c r="A19" s="16" t="s">
        <v>43</v>
      </c>
      <c r="B19" s="17" t="n">
        <f aca="false">SUMIFS(Clean!$H$2:$H$3001,Clean!$M$2:$M$3001,Assumptions!$B$4,Clean!$L$2:$L$3001,1,Clean!$C$2:$C$3001,A19)</f>
        <v>92023</v>
      </c>
      <c r="C19" s="17" t="n">
        <f aca="false">SUMIFS(Clean!$H$2:$H$3001,Clean!$M$2:$M$3001,Assumptions!$B$5,Clean!$L$2:$L$3001,1,Clean!$C$2:$C$3001,A19)</f>
        <v>104369</v>
      </c>
      <c r="D19" s="18" t="n">
        <f aca="false">B19-C19</f>
        <v>-12346</v>
      </c>
      <c r="E19" s="19" t="n">
        <f aca="false">IFERROR(D19/C19,0)</f>
        <v>-0.118291829949506</v>
      </c>
      <c r="F19" s="20" t="n">
        <f aca="false">IFERROR(B19/B$23,0)</f>
        <v>0.194424783809309</v>
      </c>
    </row>
    <row r="20" customFormat="false" ht="15" hidden="false" customHeight="false" outlineLevel="0" collapsed="false">
      <c r="A20" s="16" t="s">
        <v>44</v>
      </c>
      <c r="B20" s="17" t="n">
        <f aca="false">SUMIFS(Clean!$H$2:$H$3001,Clean!$M$2:$M$3001,Assumptions!$B$4,Clean!$L$2:$L$3001,1,Clean!$C$2:$C$3001,A20)</f>
        <v>85567</v>
      </c>
      <c r="C20" s="17" t="n">
        <f aca="false">SUMIFS(Clean!$H$2:$H$3001,Clean!$M$2:$M$3001,Assumptions!$B$5,Clean!$L$2:$L$3001,1,Clean!$C$2:$C$3001,A20)</f>
        <v>111676</v>
      </c>
      <c r="D20" s="18" t="n">
        <f aca="false">B20-C20</f>
        <v>-26109</v>
      </c>
      <c r="E20" s="19" t="n">
        <f aca="false">IFERROR(D20/C20,0)</f>
        <v>-0.233792399441241</v>
      </c>
      <c r="F20" s="20" t="n">
        <f aca="false">IFERROR(B20/B$23,0)</f>
        <v>0.180784645971237</v>
      </c>
    </row>
    <row r="21" customFormat="false" ht="15" hidden="false" customHeight="false" outlineLevel="0" collapsed="false">
      <c r="A21" s="16" t="s">
        <v>45</v>
      </c>
      <c r="B21" s="17" t="n">
        <f aca="false">SUMIFS(Clean!$H$2:$H$3001,Clean!$M$2:$M$3001,Assumptions!$B$4,Clean!$L$2:$L$3001,1,Clean!$C$2:$C$3001,A21)</f>
        <v>81212</v>
      </c>
      <c r="C21" s="17" t="n">
        <f aca="false">SUMIFS(Clean!$H$2:$H$3001,Clean!$M$2:$M$3001,Assumptions!$B$5,Clean!$L$2:$L$3001,1,Clean!$C$2:$C$3001,A21)</f>
        <v>78732</v>
      </c>
      <c r="D21" s="18" t="n">
        <f aca="false">B21-C21</f>
        <v>2480</v>
      </c>
      <c r="E21" s="19" t="n">
        <f aca="false">IFERROR(D21/C21,0)</f>
        <v>0.0314992633236803</v>
      </c>
      <c r="F21" s="20" t="n">
        <f aca="false">IFERROR(B21/B$23,0)</f>
        <v>0.171583468727618</v>
      </c>
    </row>
    <row r="22" customFormat="false" ht="15" hidden="false" customHeight="false" outlineLevel="0" collapsed="false">
      <c r="A22" s="16" t="s">
        <v>46</v>
      </c>
      <c r="B22" s="17" t="n">
        <f aca="false">SUMIFS(Clean!$H$2:$H$3001,Clean!$M$2:$M$3001,Assumptions!$B$4,Clean!$L$2:$L$3001,1,Clean!$C$2:$C$3001,A22)</f>
        <v>74930</v>
      </c>
      <c r="C22" s="17" t="n">
        <f aca="false">SUMIFS(Clean!$H$2:$H$3001,Clean!$M$2:$M$3001,Assumptions!$B$5,Clean!$L$2:$L$3001,1,Clean!$C$2:$C$3001,A22)</f>
        <v>81472</v>
      </c>
      <c r="D22" s="18" t="n">
        <f aca="false">B22-C22</f>
        <v>-6542</v>
      </c>
      <c r="E22" s="19" t="n">
        <f aca="false">IFERROR(D22/C22,0)</f>
        <v>-0.0802975255302435</v>
      </c>
      <c r="F22" s="20" t="n">
        <f aca="false">IFERROR(B22/B$23,0)</f>
        <v>0.158310955422356</v>
      </c>
    </row>
    <row r="23" customFormat="false" ht="15" hidden="false" customHeight="false" outlineLevel="0" collapsed="false">
      <c r="A23" s="21" t="s">
        <v>47</v>
      </c>
      <c r="B23" s="22" t="n">
        <f aca="false">SUM(B18:B22)</f>
        <v>473309</v>
      </c>
      <c r="C23" s="22" t="n">
        <f aca="false">SUM(C18:C22)</f>
        <v>516985</v>
      </c>
      <c r="D23" s="23" t="n">
        <f aca="false">B23-C23</f>
        <v>-43676</v>
      </c>
      <c r="E23" s="24" t="n">
        <f aca="false">IFERROR(D23/C23,0)</f>
        <v>-0.0844821416482103</v>
      </c>
      <c r="F23" s="25" t="n">
        <f aca="false">SUM(F18:F22)</f>
        <v>1</v>
      </c>
    </row>
    <row r="25" customFormat="false" ht="18" hidden="false" customHeight="true" outlineLevel="0" collapsed="false">
      <c r="A25" s="13" t="s">
        <v>48</v>
      </c>
      <c r="B25" s="6"/>
      <c r="C25" s="6"/>
      <c r="D25" s="6"/>
      <c r="E25" s="6"/>
      <c r="F25" s="6"/>
      <c r="G25" s="6"/>
      <c r="H25" s="6"/>
      <c r="I25" s="6"/>
      <c r="J25" s="6"/>
      <c r="K25" s="6"/>
      <c r="L25" s="6"/>
    </row>
    <row r="26" customFormat="false" ht="30" hidden="false" customHeight="true" outlineLevel="0" collapsed="false">
      <c r="A26" s="15" t="s">
        <v>49</v>
      </c>
      <c r="B26" s="15" t="s">
        <v>37</v>
      </c>
      <c r="C26" s="15" t="s">
        <v>38</v>
      </c>
      <c r="D26" s="15" t="s">
        <v>39</v>
      </c>
      <c r="E26" s="15" t="s">
        <v>40</v>
      </c>
      <c r="F26" s="15" t="s">
        <v>41</v>
      </c>
    </row>
    <row r="27" customFormat="false" ht="15" hidden="false" customHeight="false" outlineLevel="0" collapsed="false">
      <c r="A27" s="16" t="s">
        <v>50</v>
      </c>
      <c r="B27" s="17" t="n">
        <f aca="false">SUMIFS(Clean!$H$2:$H$3001,Clean!$M$2:$M$3001,Assumptions!$B$4,Clean!$L$2:$L$3001,1,Clean!$E$2:$E$3001,A27)</f>
        <v>159826</v>
      </c>
      <c r="C27" s="17" t="n">
        <f aca="false">SUMIFS(Clean!$H$2:$H$3001,Clean!$M$2:$M$3001,Assumptions!$B$5,Clean!$L$2:$L$3001,1,Clean!$E$2:$E$3001,A27)</f>
        <v>177969</v>
      </c>
      <c r="D27" s="18" t="n">
        <f aca="false">B27-C27</f>
        <v>-18143</v>
      </c>
      <c r="E27" s="19" t="n">
        <f aca="false">IFERROR(D27/C27,0)</f>
        <v>-0.101944720709787</v>
      </c>
      <c r="F27" s="20" t="n">
        <f aca="false">IFERROR(B27/B$33,0)</f>
        <v>0.337677922879134</v>
      </c>
    </row>
    <row r="28" customFormat="false" ht="15" hidden="false" customHeight="false" outlineLevel="0" collapsed="false">
      <c r="A28" s="16" t="s">
        <v>51</v>
      </c>
      <c r="B28" s="17" t="n">
        <f aca="false">SUMIFS(Clean!$H$2:$H$3001,Clean!$M$2:$M$3001,Assumptions!$B$4,Clean!$L$2:$L$3001,1,Clean!$E$2:$E$3001,A28)</f>
        <v>78213</v>
      </c>
      <c r="C28" s="17" t="n">
        <f aca="false">SUMIFS(Clean!$H$2:$H$3001,Clean!$M$2:$M$3001,Assumptions!$B$5,Clean!$L$2:$L$3001,1,Clean!$E$2:$E$3001,A28)</f>
        <v>105895</v>
      </c>
      <c r="D28" s="18" t="n">
        <f aca="false">B28-C28</f>
        <v>-27682</v>
      </c>
      <c r="E28" s="19" t="n">
        <f aca="false">IFERROR(D28/C28,0)</f>
        <v>-0.261409887152368</v>
      </c>
      <c r="F28" s="20" t="n">
        <f aca="false">IFERROR(B28/B$33,0)</f>
        <v>0.165247227498315</v>
      </c>
    </row>
    <row r="29" customFormat="false" ht="15" hidden="false" customHeight="false" outlineLevel="0" collapsed="false">
      <c r="A29" s="16" t="s">
        <v>52</v>
      </c>
      <c r="B29" s="17" t="n">
        <f aca="false">SUMIFS(Clean!$H$2:$H$3001,Clean!$M$2:$M$3001,Assumptions!$B$4,Clean!$L$2:$L$3001,1,Clean!$E$2:$E$3001,A29)</f>
        <v>67587</v>
      </c>
      <c r="C29" s="17" t="n">
        <f aca="false">SUMIFS(Clean!$H$2:$H$3001,Clean!$M$2:$M$3001,Assumptions!$B$5,Clean!$L$2:$L$3001,1,Clean!$E$2:$E$3001,A29)</f>
        <v>60741</v>
      </c>
      <c r="D29" s="18" t="n">
        <f aca="false">B29-C29</f>
        <v>6846</v>
      </c>
      <c r="E29" s="19" t="n">
        <f aca="false">IFERROR(D29/C29,0)</f>
        <v>0.112708055514397</v>
      </c>
      <c r="F29" s="20" t="n">
        <f aca="false">IFERROR(B29/B$33,0)</f>
        <v>0.142796777580819</v>
      </c>
    </row>
    <row r="30" customFormat="false" ht="15" hidden="false" customHeight="false" outlineLevel="0" collapsed="false">
      <c r="A30" s="16" t="s">
        <v>53</v>
      </c>
      <c r="B30" s="17" t="n">
        <f aca="false">SUMIFS(Clean!$H$2:$H$3001,Clean!$M$2:$M$3001,Assumptions!$B$4,Clean!$L$2:$L$3001,1,Clean!$E$2:$E$3001,A30)</f>
        <v>57299</v>
      </c>
      <c r="C30" s="17" t="n">
        <f aca="false">SUMIFS(Clean!$H$2:$H$3001,Clean!$M$2:$M$3001,Assumptions!$B$5,Clean!$L$2:$L$3001,1,Clean!$E$2:$E$3001,A30)</f>
        <v>67488</v>
      </c>
      <c r="D30" s="18" t="n">
        <f aca="false">B30-C30</f>
        <v>-10189</v>
      </c>
      <c r="E30" s="19" t="n">
        <f aca="false">IFERROR(D30/C30,0)</f>
        <v>-0.150974988146041</v>
      </c>
      <c r="F30" s="20" t="n">
        <f aca="false">IFERROR(B30/B$33,0)</f>
        <v>0.121060448882231</v>
      </c>
    </row>
    <row r="31" customFormat="false" ht="15" hidden="false" customHeight="false" outlineLevel="0" collapsed="false">
      <c r="A31" s="16" t="s">
        <v>54</v>
      </c>
      <c r="B31" s="17" t="n">
        <f aca="false">SUMIFS(Clean!$H$2:$H$3001,Clean!$M$2:$M$3001,Assumptions!$B$4,Clean!$L$2:$L$3001,1,Clean!$E$2:$E$3001,A31)</f>
        <v>72423</v>
      </c>
      <c r="C31" s="17" t="n">
        <f aca="false">SUMIFS(Clean!$H$2:$H$3001,Clean!$M$2:$M$3001,Assumptions!$B$5,Clean!$L$2:$L$3001,1,Clean!$E$2:$E$3001,A31)</f>
        <v>73980</v>
      </c>
      <c r="D31" s="18" t="n">
        <f aca="false">B31-C31</f>
        <v>-1557</v>
      </c>
      <c r="E31" s="19" t="n">
        <f aca="false">IFERROR(D31/C31,0)</f>
        <v>-0.0210462287104623</v>
      </c>
      <c r="F31" s="20" t="n">
        <f aca="false">IFERROR(B31/B$33,0)</f>
        <v>0.153014204251345</v>
      </c>
    </row>
    <row r="32" customFormat="false" ht="15" hidden="false" customHeight="false" outlineLevel="0" collapsed="false">
      <c r="A32" s="16" t="s">
        <v>55</v>
      </c>
      <c r="B32" s="17" t="n">
        <f aca="false">SUMIFS(Clean!$H$2:$H$3001,Clean!$M$2:$M$3001,Assumptions!$B$4,Clean!$L$2:$L$3001,1,Clean!$E$2:$E$3001,A32)</f>
        <v>37961</v>
      </c>
      <c r="C32" s="17" t="n">
        <f aca="false">SUMIFS(Clean!$H$2:$H$3001,Clean!$M$2:$M$3001,Assumptions!$B$5,Clean!$L$2:$L$3001,1,Clean!$E$2:$E$3001,A32)</f>
        <v>30912</v>
      </c>
      <c r="D32" s="18" t="n">
        <f aca="false">B32-C32</f>
        <v>7049</v>
      </c>
      <c r="E32" s="19" t="n">
        <f aca="false">IFERROR(D32/C32,0)</f>
        <v>0.228034420289855</v>
      </c>
      <c r="F32" s="20" t="n">
        <f aca="false">IFERROR(B32/B$33,0)</f>
        <v>0.0802034189081551</v>
      </c>
    </row>
    <row r="33" customFormat="false" ht="15" hidden="false" customHeight="false" outlineLevel="0" collapsed="false">
      <c r="A33" s="21" t="s">
        <v>56</v>
      </c>
      <c r="B33" s="22" t="n">
        <f aca="false">SUM(B27:B32)</f>
        <v>473309</v>
      </c>
      <c r="C33" s="22" t="n">
        <f aca="false">SUM(C27:C32)</f>
        <v>516985</v>
      </c>
      <c r="D33" s="23" t="n">
        <f aca="false">B33-C33</f>
        <v>-43676</v>
      </c>
      <c r="E33" s="24" t="n">
        <f aca="false">IFERROR(D33/C33,0)</f>
        <v>-0.0844821416482103</v>
      </c>
      <c r="F33" s="25" t="n">
        <f aca="false">SUM(F27:F32)</f>
        <v>1</v>
      </c>
    </row>
    <row r="35" customFormat="false" ht="18" hidden="false" customHeight="true" outlineLevel="0" collapsed="false">
      <c r="A35" s="13" t="s">
        <v>57</v>
      </c>
      <c r="B35" s="6"/>
      <c r="C35" s="6"/>
      <c r="D35" s="6"/>
      <c r="E35" s="6"/>
      <c r="F35" s="6"/>
      <c r="G35" s="6"/>
      <c r="H35" s="6"/>
      <c r="I35" s="6"/>
      <c r="J35" s="6"/>
      <c r="K35" s="6"/>
      <c r="L35" s="6"/>
    </row>
    <row r="36" customFormat="false" ht="25.5" hidden="false" customHeight="true" outlineLevel="0" collapsed="false">
      <c r="A36" s="15" t="s">
        <v>58</v>
      </c>
      <c r="B36" s="15" t="s">
        <v>49</v>
      </c>
      <c r="C36" s="15" t="s">
        <v>59</v>
      </c>
      <c r="D36" s="15" t="s">
        <v>60</v>
      </c>
    </row>
    <row r="37" customFormat="false" ht="15" hidden="false" customHeight="false" outlineLevel="0" collapsed="false">
      <c r="A37" s="16" t="str">
        <f aca="false">INDEX(Maps!$K$2:$K$32,MATCH(D37,Maps!$N$2:$N$32,0))</f>
        <v>Cooking Oil 1L</v>
      </c>
      <c r="B37" s="26" t="str">
        <f aca="false">INDEX(Maps!$L$2:$L$32,MATCH(D37,Maps!$N$2:$N$32,0))</f>
        <v>Staples</v>
      </c>
      <c r="C37" s="17" t="n">
        <f aca="false">INDEX(Maps!$M$2:$M$32,MATCH(D37,Maps!$N$2:$N$32,0))</f>
        <v>250</v>
      </c>
      <c r="D37" s="17" t="n">
        <f aca="false">LARGE(Maps!$N$2:$N$32,1)</f>
        <v>81180</v>
      </c>
    </row>
    <row r="38" customFormat="false" ht="15" hidden="false" customHeight="false" outlineLevel="0" collapsed="false">
      <c r="A38" s="16" t="str">
        <f aca="false">INDEX(Maps!$K$2:$K$32,MATCH(D38,Maps!$N$2:$N$32,0))</f>
        <v>Eggs Tray 30</v>
      </c>
      <c r="B38" s="26" t="str">
        <f aca="false">INDEX(Maps!$L$2:$L$32,MATCH(D38,Maps!$N$2:$N$32,0))</f>
        <v>Dairy &amp; Eggs</v>
      </c>
      <c r="C38" s="17" t="n">
        <f aca="false">INDEX(Maps!$M$2:$M$32,MATCH(D38,Maps!$N$2:$N$32,0))</f>
        <v>93</v>
      </c>
      <c r="D38" s="17" t="n">
        <f aca="false">LARGE(Maps!$N$2:$N$32,2)</f>
        <v>41355</v>
      </c>
    </row>
    <row r="39" customFormat="false" ht="15" hidden="false" customHeight="false" outlineLevel="0" collapsed="false">
      <c r="A39" s="16" t="str">
        <f aca="false">INDEX(Maps!$K$2:$K$32,MATCH(D39,Maps!$N$2:$N$32,0))</f>
        <v>Deodorant 150ml</v>
      </c>
      <c r="B39" s="26" t="str">
        <f aca="false">INDEX(Maps!$L$2:$L$32,MATCH(D39,Maps!$N$2:$N$32,0))</f>
        <v>Personal Care</v>
      </c>
      <c r="C39" s="17" t="n">
        <f aca="false">INDEX(Maps!$M$2:$M$32,MATCH(D39,Maps!$N$2:$N$32,0))</f>
        <v>79</v>
      </c>
      <c r="D39" s="17" t="n">
        <f aca="false">LARGE(Maps!$N$2:$N$32,3)</f>
        <v>27405</v>
      </c>
    </row>
    <row r="40" customFormat="false" ht="15" hidden="false" customHeight="false" outlineLevel="0" collapsed="false">
      <c r="A40" s="16" t="str">
        <f aca="false">INDEX(Maps!$K$2:$K$32,MATCH(D40,Maps!$N$2:$N$32,0))</f>
        <v>Sugar 2kg</v>
      </c>
      <c r="B40" s="26" t="str">
        <f aca="false">INDEX(Maps!$L$2:$L$32,MATCH(D40,Maps!$N$2:$N$32,0))</f>
        <v>Staples</v>
      </c>
      <c r="C40" s="17" t="n">
        <f aca="false">INDEX(Maps!$M$2:$M$32,MATCH(D40,Maps!$N$2:$N$32,0))</f>
        <v>80</v>
      </c>
      <c r="D40" s="17" t="n">
        <f aca="false">LARGE(Maps!$N$2:$N$32,4)</f>
        <v>26466</v>
      </c>
    </row>
    <row r="41" customFormat="false" ht="15" hidden="false" customHeight="false" outlineLevel="0" collapsed="false">
      <c r="A41" s="16" t="str">
        <f aca="false">INDEX(Maps!$K$2:$K$32,MATCH(D41,Maps!$N$2:$N$32,0))</f>
        <v>Rice Pishori 2kg</v>
      </c>
      <c r="B41" s="26" t="str">
        <f aca="false">INDEX(Maps!$L$2:$L$32,MATCH(D41,Maps!$N$2:$N$32,0))</f>
        <v>Staples</v>
      </c>
      <c r="C41" s="17" t="n">
        <f aca="false">INDEX(Maps!$M$2:$M$32,MATCH(D41,Maps!$N$2:$N$32,0))</f>
        <v>54</v>
      </c>
      <c r="D41" s="17" t="n">
        <f aca="false">LARGE(Maps!$N$2:$N$32,5)</f>
        <v>22428</v>
      </c>
    </row>
    <row r="43" customFormat="false" ht="18" hidden="false" customHeight="true" outlineLevel="0" collapsed="false">
      <c r="A43" s="13" t="s">
        <v>61</v>
      </c>
      <c r="B43" s="6"/>
      <c r="C43" s="6"/>
      <c r="D43" s="6"/>
      <c r="E43" s="6"/>
      <c r="F43" s="6"/>
      <c r="G43" s="6"/>
      <c r="H43" s="6"/>
      <c r="I43" s="6"/>
      <c r="J43" s="6"/>
      <c r="K43" s="6"/>
      <c r="L43" s="6"/>
    </row>
    <row r="44" customFormat="false" ht="25.5" hidden="false" customHeight="true" outlineLevel="0" collapsed="false">
      <c r="A44" s="15" t="s">
        <v>62</v>
      </c>
      <c r="B44" s="15" t="s">
        <v>37</v>
      </c>
      <c r="C44" s="15" t="s">
        <v>38</v>
      </c>
    </row>
    <row r="45" customFormat="false" ht="15" hidden="false" customHeight="false" outlineLevel="0" collapsed="false">
      <c r="A45" s="16" t="s">
        <v>63</v>
      </c>
      <c r="B45" s="17" t="n">
        <f aca="false">SUMIFS(Clean!$H$2:$H$3001,Clean!$B$2:$B$3001,Assumptions!$B$4+0,Clean!$L$2:$L$3001,1)</f>
        <v>59099</v>
      </c>
      <c r="C45" s="17" t="n">
        <f aca="false">SUMIFS(Clean!$H$2:$H$3001,Clean!$B$2:$B$3001,Assumptions!$B$5+0,Clean!$L$2:$L$3001,1)</f>
        <v>73483</v>
      </c>
    </row>
    <row r="46" customFormat="false" ht="15" hidden="false" customHeight="false" outlineLevel="0" collapsed="false">
      <c r="A46" s="16" t="s">
        <v>64</v>
      </c>
      <c r="B46" s="17" t="n">
        <f aca="false">SUMIFS(Clean!$H$2:$H$3001,Clean!$B$2:$B$3001,Assumptions!$B$4+1,Clean!$L$2:$L$3001,1)</f>
        <v>52905</v>
      </c>
      <c r="C46" s="17" t="n">
        <f aca="false">SUMIFS(Clean!$H$2:$H$3001,Clean!$B$2:$B$3001,Assumptions!$B$5+1,Clean!$L$2:$L$3001,1)</f>
        <v>55995</v>
      </c>
    </row>
    <row r="47" customFormat="false" ht="15" hidden="false" customHeight="false" outlineLevel="0" collapsed="false">
      <c r="A47" s="16" t="s">
        <v>65</v>
      </c>
      <c r="B47" s="17" t="n">
        <f aca="false">SUMIFS(Clean!$H$2:$H$3001,Clean!$B$2:$B$3001,Assumptions!$B$4+2,Clean!$L$2:$L$3001,1)</f>
        <v>59369</v>
      </c>
      <c r="C47" s="17" t="n">
        <f aca="false">SUMIFS(Clean!$H$2:$H$3001,Clean!$B$2:$B$3001,Assumptions!$B$5+2,Clean!$L$2:$L$3001,1)</f>
        <v>54338</v>
      </c>
    </row>
    <row r="48" customFormat="false" ht="15" hidden="false" customHeight="false" outlineLevel="0" collapsed="false">
      <c r="A48" s="16" t="s">
        <v>66</v>
      </c>
      <c r="B48" s="17" t="n">
        <f aca="false">SUMIFS(Clean!$H$2:$H$3001,Clean!$B$2:$B$3001,Assumptions!$B$4+3,Clean!$L$2:$L$3001,1)</f>
        <v>64774</v>
      </c>
      <c r="C48" s="17" t="n">
        <f aca="false">SUMIFS(Clean!$H$2:$H$3001,Clean!$B$2:$B$3001,Assumptions!$B$5+3,Clean!$L$2:$L$3001,1)</f>
        <v>65071</v>
      </c>
    </row>
    <row r="49" customFormat="false" ht="15" hidden="false" customHeight="false" outlineLevel="0" collapsed="false">
      <c r="A49" s="16" t="s">
        <v>67</v>
      </c>
      <c r="B49" s="17" t="n">
        <f aca="false">SUMIFS(Clean!$H$2:$H$3001,Clean!$B$2:$B$3001,Assumptions!$B$4+4,Clean!$L$2:$L$3001,1)</f>
        <v>73919</v>
      </c>
      <c r="C49" s="17" t="n">
        <f aca="false">SUMIFS(Clean!$H$2:$H$3001,Clean!$B$2:$B$3001,Assumptions!$B$5+4,Clean!$L$2:$L$3001,1)</f>
        <v>80660</v>
      </c>
    </row>
    <row r="50" customFormat="false" ht="15" hidden="false" customHeight="false" outlineLevel="0" collapsed="false">
      <c r="A50" s="16" t="s">
        <v>68</v>
      </c>
      <c r="B50" s="17" t="n">
        <f aca="false">SUMIFS(Clean!$H$2:$H$3001,Clean!$B$2:$B$3001,Assumptions!$B$4+5,Clean!$L$2:$L$3001,1)</f>
        <v>93388</v>
      </c>
      <c r="C50" s="17" t="n">
        <f aca="false">SUMIFS(Clean!$H$2:$H$3001,Clean!$B$2:$B$3001,Assumptions!$B$5+5,Clean!$L$2:$L$3001,1)</f>
        <v>102470</v>
      </c>
    </row>
    <row r="51" customFormat="false" ht="15" hidden="false" customHeight="false" outlineLevel="0" collapsed="false">
      <c r="A51" s="16" t="s">
        <v>69</v>
      </c>
      <c r="B51" s="17" t="n">
        <f aca="false">SUMIFS(Clean!$H$2:$H$3001,Clean!$B$2:$B$3001,Assumptions!$B$4+6,Clean!$L$2:$L$3001,1)</f>
        <v>69855</v>
      </c>
      <c r="C51" s="17" t="n">
        <f aca="false">SUMIFS(Clean!$H$2:$H$3001,Clean!$B$2:$B$3001,Assumptions!$B$5+6,Clean!$L$2:$L$3001,1)</f>
        <v>84968</v>
      </c>
    </row>
    <row r="53" customFormat="false" ht="18" hidden="false" customHeight="true" outlineLevel="0" collapsed="false">
      <c r="A53" s="13" t="s">
        <v>70</v>
      </c>
      <c r="B53" s="6"/>
      <c r="C53" s="6"/>
      <c r="D53" s="6"/>
      <c r="E53" s="6"/>
      <c r="F53" s="6"/>
      <c r="G53" s="6"/>
      <c r="H53" s="6"/>
      <c r="I53" s="6"/>
      <c r="J53" s="6"/>
      <c r="K53" s="6"/>
      <c r="L53" s="6"/>
    </row>
    <row r="54" customFormat="false" ht="21.75" hidden="false" customHeight="true" outlineLevel="0" collapsed="false">
      <c r="A54" s="15" t="s">
        <v>71</v>
      </c>
      <c r="B54" s="15" t="s">
        <v>72</v>
      </c>
      <c r="C54" s="15" t="s">
        <v>73</v>
      </c>
      <c r="D54" s="15"/>
      <c r="E54" s="15"/>
      <c r="F54" s="15"/>
      <c r="G54" s="15"/>
      <c r="H54" s="15"/>
    </row>
    <row r="55" customFormat="false" ht="15" hidden="false" customHeight="false" outlineLevel="0" collapsed="false">
      <c r="A55" s="26" t="s">
        <v>74</v>
      </c>
      <c r="B55" s="17" t="n">
        <f aca="false">SUMPRODUCT(--ISTEXT(Raw_Export!$B$2:$B$3001))</f>
        <v>1997</v>
      </c>
      <c r="C55" s="27" t="s">
        <v>75</v>
      </c>
      <c r="D55" s="27"/>
      <c r="E55" s="27"/>
      <c r="F55" s="27"/>
      <c r="G55" s="27"/>
      <c r="H55" s="27"/>
    </row>
    <row r="56" customFormat="false" ht="15" hidden="false" customHeight="false" outlineLevel="0" collapsed="false">
      <c r="A56" s="26" t="s">
        <v>76</v>
      </c>
      <c r="B56" s="17" t="n">
        <f aca="false">COUNTIF(Clean!$K$2:$K$3001,"Duplicate")</f>
        <v>43</v>
      </c>
      <c r="C56" s="27" t="s">
        <v>77</v>
      </c>
      <c r="D56" s="27"/>
      <c r="E56" s="27"/>
      <c r="F56" s="27"/>
      <c r="G56" s="27"/>
      <c r="H56" s="27"/>
    </row>
    <row r="57" customFormat="false" ht="15" hidden="false" customHeight="false" outlineLevel="0" collapsed="false">
      <c r="A57" s="26" t="s">
        <v>78</v>
      </c>
      <c r="B57" s="17" t="n">
        <f aca="false">COUNTIF(Clean!$K$2:$K$3001,"Unmapped")</f>
        <v>19</v>
      </c>
      <c r="C57" s="27" t="s">
        <v>79</v>
      </c>
      <c r="D57" s="27"/>
      <c r="E57" s="27"/>
      <c r="F57" s="27"/>
      <c r="G57" s="27"/>
      <c r="H57" s="27"/>
    </row>
    <row r="58" customFormat="false" ht="15" hidden="false" customHeight="false" outlineLevel="0" collapsed="false">
      <c r="A58" s="26" t="s">
        <v>80</v>
      </c>
      <c r="B58" s="17" t="n">
        <f aca="false">COUNTIF(Clean!$K$2:$K$3001,"Blank qty")</f>
        <v>20</v>
      </c>
      <c r="C58" s="27" t="s">
        <v>81</v>
      </c>
      <c r="D58" s="27"/>
      <c r="E58" s="27"/>
      <c r="F58" s="27"/>
      <c r="G58" s="27"/>
      <c r="H58" s="27"/>
    </row>
    <row r="59" customFormat="false" ht="15" hidden="false" customHeight="false" outlineLevel="0" collapsed="false">
      <c r="A59" s="26" t="s">
        <v>82</v>
      </c>
      <c r="B59" s="17" t="n">
        <f aca="false">COUNTIF(Clean!$K$2:$K$3001,"Return")</f>
        <v>31</v>
      </c>
      <c r="C59" s="27" t="s">
        <v>83</v>
      </c>
      <c r="D59" s="27"/>
      <c r="E59" s="27"/>
      <c r="F59" s="27"/>
      <c r="G59" s="27"/>
      <c r="H59" s="27"/>
    </row>
    <row r="60" customFormat="false" ht="15" hidden="false" customHeight="false" outlineLevel="0" collapsed="false">
      <c r="A60" s="26" t="s">
        <v>84</v>
      </c>
      <c r="B60" s="17" t="n">
        <f aca="false">SUMPRODUCT(--ISTEXT(Raw_Export!$F$2:$F$3001))</f>
        <v>1074</v>
      </c>
      <c r="C60" s="27" t="s">
        <v>85</v>
      </c>
      <c r="D60" s="27"/>
      <c r="E60" s="27"/>
      <c r="F60" s="27"/>
      <c r="G60" s="27"/>
      <c r="H60" s="27"/>
    </row>
    <row r="61" customFormat="false" ht="15" hidden="false" customHeight="false" outlineLevel="0" collapsed="false">
      <c r="A61" s="26" t="s">
        <v>86</v>
      </c>
      <c r="B61" s="17" t="n">
        <f aca="false">SUMPRODUCT(--NOT(EXACT(Clean!$C$2:$C$3001,Raw_Export!$C$2:$C$3001)))+SUMPRODUCT(--NOT(EXACT(Clean!$D$2:$D$3001,Raw_Export!$D$2:$D$3001)))</f>
        <v>2984</v>
      </c>
      <c r="C61" s="27" t="s">
        <v>87</v>
      </c>
      <c r="D61" s="27"/>
      <c r="E61" s="27"/>
      <c r="F61" s="27"/>
      <c r="G61" s="27"/>
      <c r="H61" s="27"/>
    </row>
    <row r="63" customFormat="false" ht="18" hidden="false" customHeight="true" outlineLevel="0" collapsed="false">
      <c r="A63" s="13" t="s">
        <v>88</v>
      </c>
      <c r="B63" s="6"/>
      <c r="C63" s="6"/>
      <c r="D63" s="6"/>
      <c r="E63" s="6"/>
      <c r="F63" s="6"/>
      <c r="G63" s="6"/>
      <c r="H63" s="6"/>
      <c r="I63" s="6"/>
      <c r="J63" s="6"/>
      <c r="K63" s="6"/>
      <c r="L63" s="6"/>
    </row>
    <row r="64" customFormat="false" ht="21.75" hidden="false" customHeight="true" outlineLevel="0" collapsed="false">
      <c r="A64" s="15" t="s">
        <v>89</v>
      </c>
      <c r="B64" s="15" t="s">
        <v>90</v>
      </c>
    </row>
    <row r="65" customFormat="false" ht="15" hidden="false" customHeight="false" outlineLevel="0" collapsed="false">
      <c r="A65" s="26" t="s">
        <v>91</v>
      </c>
      <c r="B65" s="28" t="n">
        <f aca="false">Assumptions!B6/60</f>
        <v>3</v>
      </c>
    </row>
    <row r="66" customFormat="false" ht="15" hidden="false" customHeight="false" outlineLevel="0" collapsed="false">
      <c r="A66" s="16" t="s">
        <v>92</v>
      </c>
      <c r="B66" s="29" t="n">
        <f aca="false">(Assumptions!B6-Assumptions!B7)/60*Assumptions!B8</f>
        <v>143</v>
      </c>
    </row>
    <row r="67" customFormat="false" ht="15" hidden="false" customHeight="false" outlineLevel="0" collapsed="false">
      <c r="A67" s="16" t="s">
        <v>93</v>
      </c>
      <c r="B67" s="29" t="n">
        <f aca="false">B66*Assumptions!B9</f>
        <v>100100</v>
      </c>
    </row>
    <row r="68" customFormat="false" ht="15" hidden="false" customHeight="false" outlineLevel="0" collapsed="false">
      <c r="A68" s="26" t="s">
        <v>94</v>
      </c>
      <c r="B68" s="30" t="n">
        <f aca="false">Assumptions!B7/60</f>
        <v>0.25</v>
      </c>
    </row>
  </sheetData>
  <mergeCells count="27">
    <mergeCell ref="A4:B4"/>
    <mergeCell ref="C4:D4"/>
    <mergeCell ref="E4:F4"/>
    <mergeCell ref="G4:H4"/>
    <mergeCell ref="I4:J4"/>
    <mergeCell ref="K4:L4"/>
    <mergeCell ref="A5:B5"/>
    <mergeCell ref="C5:D5"/>
    <mergeCell ref="E5:F5"/>
    <mergeCell ref="G5:H5"/>
    <mergeCell ref="I5:J5"/>
    <mergeCell ref="K5:L5"/>
    <mergeCell ref="A8:L8"/>
    <mergeCell ref="A9:L9"/>
    <mergeCell ref="A10:L10"/>
    <mergeCell ref="A11:L11"/>
    <mergeCell ref="A12:L12"/>
    <mergeCell ref="A13:L13"/>
    <mergeCell ref="A14:L14"/>
    <mergeCell ref="C54:H54"/>
    <mergeCell ref="C55:H55"/>
    <mergeCell ref="C56:H56"/>
    <mergeCell ref="C57:H57"/>
    <mergeCell ref="C58:H58"/>
    <mergeCell ref="C59:H59"/>
    <mergeCell ref="C60:H60"/>
    <mergeCell ref="C61:H61"/>
  </mergeCells>
  <conditionalFormatting sqref="E18:E23">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E27:E33">
    <cfRule type="cellIs" priority="4" operator="lessThan" aboveAverage="0" equalAverage="0" bottom="0" percent="0" rank="0" text="" dxfId="0">
      <formula>0</formula>
    </cfRule>
    <cfRule type="cellIs" priority="5" operator="greaterThanOrEqual" aboveAverage="0" equalAverage="0" bottom="0" percent="0" rank="0" text="" dxfId="1">
      <formula>0</formula>
    </cfRule>
  </conditionalFormatting>
  <printOptions headings="false" gridLines="false" gridLinesSet="true" horizontalCentered="false" verticalCentered="false"/>
  <pageMargins left="0.3" right="0.3" top="0.3" bottom="0.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90"/>
  </cols>
  <sheetData>
    <row r="1" customFormat="false" ht="19.7" hidden="false" customHeight="false" outlineLevel="0" collapsed="false">
      <c r="A1" s="1" t="s">
        <v>95</v>
      </c>
    </row>
    <row r="2" customFormat="false" ht="15" hidden="false" customHeight="false" outlineLevel="0" collapsed="false">
      <c r="A2" s="7" t="s">
        <v>96</v>
      </c>
    </row>
    <row r="3" customFormat="false" ht="15" hidden="false" customHeight="false" outlineLevel="0" collapsed="false">
      <c r="A3" s="15" t="s">
        <v>97</v>
      </c>
      <c r="B3" s="15" t="s">
        <v>90</v>
      </c>
      <c r="C3" s="15" t="s">
        <v>98</v>
      </c>
    </row>
    <row r="4" customFormat="false" ht="15" hidden="false" customHeight="false" outlineLevel="0" collapsed="false">
      <c r="A4" s="16" t="s">
        <v>99</v>
      </c>
      <c r="B4" s="31" t="n">
        <v>46272</v>
      </c>
      <c r="C4" s="32" t="s">
        <v>100</v>
      </c>
    </row>
    <row r="5" customFormat="false" ht="15" hidden="false" customHeight="false" outlineLevel="0" collapsed="false">
      <c r="A5" s="16" t="s">
        <v>101</v>
      </c>
      <c r="B5" s="33" t="n">
        <f aca="false">B4-7</f>
        <v>46265</v>
      </c>
      <c r="C5" s="32" t="s">
        <v>102</v>
      </c>
    </row>
    <row r="6" customFormat="false" ht="15" hidden="false" customHeight="false" outlineLevel="0" collapsed="false">
      <c r="A6" s="16" t="s">
        <v>103</v>
      </c>
      <c r="B6" s="34" t="n">
        <v>180</v>
      </c>
      <c r="C6" s="32" t="s">
        <v>104</v>
      </c>
    </row>
    <row r="7" customFormat="false" ht="15" hidden="false" customHeight="false" outlineLevel="0" collapsed="false">
      <c r="A7" s="16" t="s">
        <v>105</v>
      </c>
      <c r="B7" s="34" t="n">
        <v>15</v>
      </c>
      <c r="C7" s="32" t="s">
        <v>106</v>
      </c>
    </row>
    <row r="8" customFormat="false" ht="15" hidden="false" customHeight="false" outlineLevel="0" collapsed="false">
      <c r="A8" s="16" t="s">
        <v>107</v>
      </c>
      <c r="B8" s="34" t="n">
        <v>52</v>
      </c>
      <c r="C8" s="32" t="s">
        <v>108</v>
      </c>
    </row>
    <row r="9" customFormat="false" ht="15" hidden="false" customHeight="false" outlineLevel="0" collapsed="false">
      <c r="A9" s="16" t="s">
        <v>109</v>
      </c>
      <c r="B9" s="34" t="n">
        <v>700</v>
      </c>
      <c r="C9" s="32"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4"/>
    <col collapsed="false" customWidth="true" hidden="false" outlineLevel="0" max="4" min="4" style="0" width="22"/>
    <col collapsed="false" customWidth="true" hidden="false" outlineLevel="0" max="5" min="5" style="0" width="14"/>
    <col collapsed="false" customWidth="true" hidden="false" outlineLevel="0" max="6" min="6" style="0" width="7"/>
    <col collapsed="false" customWidth="true" hidden="false" outlineLevel="0" max="8" min="7" style="0" width="12"/>
    <col collapsed="false" customWidth="true" hidden="false" outlineLevel="0" max="9" min="9" style="0" width="10"/>
    <col collapsed="false" customWidth="true" hidden="false" outlineLevel="0" max="11" min="10" style="0" width="11"/>
    <col collapsed="false" customWidth="true" hidden="false" outlineLevel="0" max="12" min="12" style="0" width="8"/>
    <col collapsed="false" customWidth="true" hidden="false" outlineLevel="0" max="13" min="13" style="0" width="13"/>
  </cols>
  <sheetData>
    <row r="1" customFormat="false" ht="27.75" hidden="false" customHeight="true" outlineLevel="0" collapsed="false">
      <c r="A1" s="35" t="s">
        <v>111</v>
      </c>
      <c r="B1" s="35" t="s">
        <v>112</v>
      </c>
      <c r="C1" s="35" t="s">
        <v>36</v>
      </c>
      <c r="D1" s="35" t="s">
        <v>58</v>
      </c>
      <c r="E1" s="35" t="s">
        <v>49</v>
      </c>
      <c r="F1" s="35" t="s">
        <v>113</v>
      </c>
      <c r="G1" s="35" t="s">
        <v>114</v>
      </c>
      <c r="H1" s="35" t="s">
        <v>115</v>
      </c>
      <c r="I1" s="35" t="s">
        <v>116</v>
      </c>
      <c r="J1" s="35" t="s">
        <v>117</v>
      </c>
      <c r="K1" s="35" t="s">
        <v>118</v>
      </c>
      <c r="L1" s="35" t="s">
        <v>119</v>
      </c>
      <c r="M1" s="35" t="s">
        <v>120</v>
      </c>
    </row>
    <row r="2" customFormat="false" ht="15" hidden="false" customHeight="false" outlineLevel="0" collapsed="false">
      <c r="A2" s="36" t="str">
        <f aca="false">IF(Raw_Export!$A2="","",TRIM(Raw_Export!A2))</f>
        <v>TXN-100001</v>
      </c>
      <c r="B2" s="37" t="n">
        <f aca="false">IF(Raw_Export!$A2="","",IF(ISNUMBER(Raw_Export!B2),Raw_Export!B2,IF(MID(TRIM(Raw_Export!B2),5,1)="-",DATE(LEFT(TRIM(Raw_Export!B2),4),MID(TRIM(Raw_Export!B2),6,2),RIGHT(TRIM(Raw_Export!B2),2)),DATE(RIGHT(TRIM(Raw_Export!B2),4),MATCH(MID(TRIM(Raw_Export!B2),4,3),{"Jan","Feb","Mar","Apr","May","Jun","Jul","Aug","Sep","Oct","Nov","Dec"},0),LEFT(TRIM(Raw_Export!B2),2)))))</f>
        <v>46265</v>
      </c>
      <c r="C2" s="36" t="str">
        <f aca="false">IF(Raw_Export!$A2="","",IFERROR(VLOOKUP(LOWER(TRIM(Raw_Export!C2)),Maps!$A$2:$B$20,2,FALSE()),"UNMAPPED"))</f>
        <v>Nairobi CBD</v>
      </c>
      <c r="D2" s="36" t="str">
        <f aca="false">IF(Raw_Export!$A2="","",IFERROR(VLOOKUP(LOWER(TRIM(Raw_Export!D2)),Maps!$G$2:$I$80,2,FALSE()),"UNMAPPED"))</f>
        <v>Cheddar 200g</v>
      </c>
      <c r="E2" s="36" t="str">
        <f aca="false">IF(Raw_Export!$A2="","",IFERROR(VLOOKUP(LOWER(TRIM(Raw_Export!D2)),Maps!$G$2:$I$80,3,FALSE()),"UNMAPPED"))</f>
        <v>Dairy &amp; Eggs</v>
      </c>
      <c r="F2" s="36" t="n">
        <f aca="false">IF(Raw_Export!$A2="","",IFERROR(VALUE(TRIM(Raw_Export!E2)),0))</f>
        <v>6</v>
      </c>
      <c r="G2" s="38" t="n">
        <f aca="false">IF(Raw_Export!$A2="","",IFERROR(VALUE(SUBSTITUTE(SUBSTITUTE(UPPER(TRIM(Raw_Export!F2)),"KES",""),",","")),0))</f>
        <v>380</v>
      </c>
      <c r="H2" s="38" t="n">
        <f aca="false">IF(Raw_Export!$A2="","",F2*G2)</f>
        <v>2280</v>
      </c>
      <c r="I2" s="36" t="str">
        <f aca="false">IF(Raw_Export!$A2="","",IFERROR(VLOOKUP(LOWER(TRIM(Raw_Export!H2)),Maps!$D$2:$E$12,2,FALSE()),"Other"))</f>
        <v>Cash</v>
      </c>
      <c r="J2" s="36" t="str">
        <f aca="false">IF(Raw_Export!$A2="","",IF(COUNTIF($A$2:A2,A2)&gt;1,"Duplicate",""))</f>
        <v/>
      </c>
      <c r="K2" s="36" t="str">
        <f aca="false">IF(Raw_Export!$A2="","",IF(J2="Duplicate","Duplicate",IF(OR(C2="UNMAPPED",D2="UNMAPPED"),"Unmapped",IF(F2=0,"Blank qty",IF(F2&lt;0,"Return","OK")))))</f>
        <v>OK</v>
      </c>
      <c r="L2" s="36" t="n">
        <f aca="false">IF(Raw_Export!$A2="","",IF(OR(K2="OK",K2="Return"),1,0))</f>
        <v>1</v>
      </c>
      <c r="M2" s="37" t="n">
        <f aca="false">IF(Raw_Export!$A2="","",B2-WEEKDAY(B2,2)+1)</f>
        <v>46265</v>
      </c>
    </row>
    <row r="3" customFormat="false" ht="15" hidden="false" customHeight="false" outlineLevel="0" collapsed="false">
      <c r="A3" s="36" t="str">
        <f aca="false">IF(Raw_Export!$A3="","",TRIM(Raw_Export!A3))</f>
        <v>TXN-100002</v>
      </c>
      <c r="B3" s="37" t="n">
        <f aca="false">IF(Raw_Export!$A3="","",IF(ISNUMBER(Raw_Export!B3),Raw_Export!B3,IF(MID(TRIM(Raw_Export!B3),5,1)="-",DATE(LEFT(TRIM(Raw_Export!B3),4),MID(TRIM(Raw_Export!B3),6,2),RIGHT(TRIM(Raw_Export!B3),2)),DATE(RIGHT(TRIM(Raw_Export!B3),4),MATCH(MID(TRIM(Raw_Export!B3),4,3),{"Jan","Feb","Mar","Apr","May","Jun","Jul","Aug","Sep","Oct","Nov","Dec"},0),LEFT(TRIM(Raw_Export!B3),2)))))</f>
        <v>46265</v>
      </c>
      <c r="C3" s="36" t="str">
        <f aca="false">IF(Raw_Export!$A3="","",IFERROR(VLOOKUP(LOWER(TRIM(Raw_Export!C3)),Maps!$A$2:$B$20,2,FALSE()),"UNMAPPED"))</f>
        <v>Nairobi CBD</v>
      </c>
      <c r="D3" s="36" t="str">
        <f aca="false">IF(Raw_Export!$A3="","",IFERROR(VLOOKUP(LOWER(TRIM(Raw_Export!D3)),Maps!$G$2:$I$80,2,FALSE()),"UNMAPPED"))</f>
        <v>Spaghetti 400g</v>
      </c>
      <c r="E3" s="36" t="str">
        <f aca="false">IF(Raw_Export!$A3="","",IFERROR(VLOOKUP(LOWER(TRIM(Raw_Export!D3)),Maps!$G$2:$I$80,3,FALSE()),"UNMAPPED"))</f>
        <v>Staples</v>
      </c>
      <c r="F3" s="36" t="n">
        <f aca="false">IF(Raw_Export!$A3="","",IFERROR(VALUE(TRIM(Raw_Export!E3)),0))</f>
        <v>1</v>
      </c>
      <c r="G3" s="38" t="n">
        <f aca="false">IF(Raw_Export!$A3="","",IFERROR(VALUE(SUBSTITUTE(SUBSTITUTE(UPPER(TRIM(Raw_Export!F3)),"KES",""),",","")),0))</f>
        <v>110</v>
      </c>
      <c r="H3" s="38" t="n">
        <f aca="false">IF(Raw_Export!$A3="","",F3*G3)</f>
        <v>110</v>
      </c>
      <c r="I3" s="36" t="str">
        <f aca="false">IF(Raw_Export!$A3="","",IFERROR(VLOOKUP(LOWER(TRIM(Raw_Export!H3)),Maps!$D$2:$E$12,2,FALSE()),"Other"))</f>
        <v>M-Pesa</v>
      </c>
      <c r="J3" s="36" t="str">
        <f aca="false">IF(Raw_Export!$A3="","",IF(COUNTIF($A$2:A3,A3)&gt;1,"Duplicate",""))</f>
        <v/>
      </c>
      <c r="K3" s="36" t="str">
        <f aca="false">IF(Raw_Export!$A3="","",IF(J3="Duplicate","Duplicate",IF(OR(C3="UNMAPPED",D3="UNMAPPED"),"Unmapped",IF(F3=0,"Blank qty",IF(F3&lt;0,"Return","OK")))))</f>
        <v>OK</v>
      </c>
      <c r="L3" s="36" t="n">
        <f aca="false">IF(Raw_Export!$A3="","",IF(OR(K3="OK",K3="Return"),1,0))</f>
        <v>1</v>
      </c>
      <c r="M3" s="37" t="n">
        <f aca="false">IF(Raw_Export!$A3="","",B3-WEEKDAY(B3,2)+1)</f>
        <v>46265</v>
      </c>
    </row>
    <row r="4" customFormat="false" ht="15" hidden="false" customHeight="false" outlineLevel="0" collapsed="false">
      <c r="A4" s="36" t="str">
        <f aca="false">IF(Raw_Export!$A4="","",TRIM(Raw_Export!A4))</f>
        <v>TXN-100003</v>
      </c>
      <c r="B4" s="37" t="n">
        <f aca="false">IF(Raw_Export!$A4="","",IF(ISNUMBER(Raw_Export!B4),Raw_Export!B4,IF(MID(TRIM(Raw_Export!B4),5,1)="-",DATE(LEFT(TRIM(Raw_Export!B4),4),MID(TRIM(Raw_Export!B4),6,2),RIGHT(TRIM(Raw_Export!B4),2)),DATE(RIGHT(TRIM(Raw_Export!B4),4),MATCH(MID(TRIM(Raw_Export!B4),4,3),{"Jan","Feb","Mar","Apr","May","Jun","Jul","Aug","Sep","Oct","Nov","Dec"},0),LEFT(TRIM(Raw_Export!B4),2)))))</f>
        <v>46265</v>
      </c>
      <c r="C4" s="36" t="str">
        <f aca="false">IF(Raw_Export!$A4="","",IFERROR(VLOOKUP(LOWER(TRIM(Raw_Export!C4)),Maps!$A$2:$B$20,2,FALSE()),"UNMAPPED"))</f>
        <v>Nairobi CBD</v>
      </c>
      <c r="D4" s="36" t="str">
        <f aca="false">IF(Raw_Export!$A4="","",IFERROR(VLOOKUP(LOWER(TRIM(Raw_Export!D4)),Maps!$G$2:$I$80,2,FALSE()),"UNMAPPED"))</f>
        <v>Juice 1L</v>
      </c>
      <c r="E4" s="36" t="str">
        <f aca="false">IF(Raw_Export!$A4="","",IFERROR(VLOOKUP(LOWER(TRIM(Raw_Export!D4)),Maps!$G$2:$I$80,3,FALSE()),"UNMAPPED"))</f>
        <v>Beverages</v>
      </c>
      <c r="F4" s="36" t="n">
        <f aca="false">IF(Raw_Export!$A4="","",IFERROR(VALUE(TRIM(Raw_Export!E4)),0))</f>
        <v>1</v>
      </c>
      <c r="G4" s="38" t="n">
        <f aca="false">IF(Raw_Export!$A4="","",IFERROR(VALUE(SUBSTITUTE(SUBSTITUTE(UPPER(TRIM(Raw_Export!F4)),"KES",""),",","")),0))</f>
        <v>210</v>
      </c>
      <c r="H4" s="38" t="n">
        <f aca="false">IF(Raw_Export!$A4="","",F4*G4)</f>
        <v>210</v>
      </c>
      <c r="I4" s="36" t="str">
        <f aca="false">IF(Raw_Export!$A4="","",IFERROR(VLOOKUP(LOWER(TRIM(Raw_Export!H4)),Maps!$D$2:$E$12,2,FALSE()),"Other"))</f>
        <v>Cash</v>
      </c>
      <c r="J4" s="36" t="str">
        <f aca="false">IF(Raw_Export!$A4="","",IF(COUNTIF($A$2:A4,A4)&gt;1,"Duplicate",""))</f>
        <v/>
      </c>
      <c r="K4" s="36" t="str">
        <f aca="false">IF(Raw_Export!$A4="","",IF(J4="Duplicate","Duplicate",IF(OR(C4="UNMAPPED",D4="UNMAPPED"),"Unmapped",IF(F4=0,"Blank qty",IF(F4&lt;0,"Return","OK")))))</f>
        <v>OK</v>
      </c>
      <c r="L4" s="36" t="n">
        <f aca="false">IF(Raw_Export!$A4="","",IF(OR(K4="OK",K4="Return"),1,0))</f>
        <v>1</v>
      </c>
      <c r="M4" s="37" t="n">
        <f aca="false">IF(Raw_Export!$A4="","",B4-WEEKDAY(B4,2)+1)</f>
        <v>46265</v>
      </c>
    </row>
    <row r="5" customFormat="false" ht="15" hidden="false" customHeight="false" outlineLevel="0" collapsed="false">
      <c r="A5" s="36" t="str">
        <f aca="false">IF(Raw_Export!$A5="","",TRIM(Raw_Export!A5))</f>
        <v>TXN-100004</v>
      </c>
      <c r="B5" s="37" t="n">
        <f aca="false">IF(Raw_Export!$A5="","",IF(ISNUMBER(Raw_Export!B5),Raw_Export!B5,IF(MID(TRIM(Raw_Export!B5),5,1)="-",DATE(LEFT(TRIM(Raw_Export!B5),4),MID(TRIM(Raw_Export!B5),6,2),RIGHT(TRIM(Raw_Export!B5),2)),DATE(RIGHT(TRIM(Raw_Export!B5),4),MATCH(MID(TRIM(Raw_Export!B5),4,3),{"Jan","Feb","Mar","Apr","May","Jun","Jul","Aug","Sep","Oct","Nov","Dec"},0),LEFT(TRIM(Raw_Export!B5),2)))))</f>
        <v>46265</v>
      </c>
      <c r="C5" s="36" t="str">
        <f aca="false">IF(Raw_Export!$A5="","",IFERROR(VLOOKUP(LOWER(TRIM(Raw_Export!C5)),Maps!$A$2:$B$20,2,FALSE()),"UNMAPPED"))</f>
        <v>Nairobi CBD</v>
      </c>
      <c r="D5" s="36" t="str">
        <f aca="false">IF(Raw_Export!$A5="","",IFERROR(VLOOKUP(LOWER(TRIM(Raw_Export!D5)),Maps!$G$2:$I$80,2,FALSE()),"UNMAPPED"))</f>
        <v>Peanuts 250g</v>
      </c>
      <c r="E5" s="36" t="str">
        <f aca="false">IF(Raw_Export!$A5="","",IFERROR(VLOOKUP(LOWER(TRIM(Raw_Export!D5)),Maps!$G$2:$I$80,3,FALSE()),"UNMAPPED"))</f>
        <v>Snacks</v>
      </c>
      <c r="F5" s="36" t="n">
        <f aca="false">IF(Raw_Export!$A5="","",IFERROR(VALUE(TRIM(Raw_Export!E5)),0))</f>
        <v>2</v>
      </c>
      <c r="G5" s="38" t="n">
        <f aca="false">IF(Raw_Export!$A5="","",IFERROR(VALUE(SUBSTITUTE(SUBSTITUTE(UPPER(TRIM(Raw_Export!F5)),"KES",""),",","")),0))</f>
        <v>130</v>
      </c>
      <c r="H5" s="38" t="n">
        <f aca="false">IF(Raw_Export!$A5="","",F5*G5)</f>
        <v>260</v>
      </c>
      <c r="I5" s="36" t="str">
        <f aca="false">IF(Raw_Export!$A5="","",IFERROR(VLOOKUP(LOWER(TRIM(Raw_Export!H5)),Maps!$D$2:$E$12,2,FALSE()),"Other"))</f>
        <v>Cash</v>
      </c>
      <c r="J5" s="36" t="str">
        <f aca="false">IF(Raw_Export!$A5="","",IF(COUNTIF($A$2:A5,A5)&gt;1,"Duplicate",""))</f>
        <v/>
      </c>
      <c r="K5" s="36" t="str">
        <f aca="false">IF(Raw_Export!$A5="","",IF(J5="Duplicate","Duplicate",IF(OR(C5="UNMAPPED",D5="UNMAPPED"),"Unmapped",IF(F5=0,"Blank qty",IF(F5&lt;0,"Return","OK")))))</f>
        <v>OK</v>
      </c>
      <c r="L5" s="36" t="n">
        <f aca="false">IF(Raw_Export!$A5="","",IF(OR(K5="OK",K5="Return"),1,0))</f>
        <v>1</v>
      </c>
      <c r="M5" s="37" t="n">
        <f aca="false">IF(Raw_Export!$A5="","",B5-WEEKDAY(B5,2)+1)</f>
        <v>46265</v>
      </c>
    </row>
    <row r="6" customFormat="false" ht="15" hidden="false" customHeight="false" outlineLevel="0" collapsed="false">
      <c r="A6" s="36" t="str">
        <f aca="false">IF(Raw_Export!$A6="","",TRIM(Raw_Export!A6))</f>
        <v>TXN-100005</v>
      </c>
      <c r="B6" s="37" t="n">
        <f aca="false">IF(Raw_Export!$A6="","",IF(ISNUMBER(Raw_Export!B6),Raw_Export!B6,IF(MID(TRIM(Raw_Export!B6),5,1)="-",DATE(LEFT(TRIM(Raw_Export!B6),4),MID(TRIM(Raw_Export!B6),6,2),RIGHT(TRIM(Raw_Export!B6),2)),DATE(RIGHT(TRIM(Raw_Export!B6),4),MATCH(MID(TRIM(Raw_Export!B6),4,3),{"Jan","Feb","Mar","Apr","May","Jun","Jul","Aug","Sep","Oct","Nov","Dec"},0),LEFT(TRIM(Raw_Export!B6),2)))))</f>
        <v>46265</v>
      </c>
      <c r="C6" s="36" t="str">
        <f aca="false">IF(Raw_Export!$A6="","",IFERROR(VLOOKUP(LOWER(TRIM(Raw_Export!C6)),Maps!$A$2:$B$20,2,FALSE()),"UNMAPPED"))</f>
        <v>Nairobi CBD</v>
      </c>
      <c r="D6" s="36" t="str">
        <f aca="false">IF(Raw_Export!$A6="","",IFERROR(VLOOKUP(LOWER(TRIM(Raw_Export!D6)),Maps!$G$2:$I$80,2,FALSE()),"UNMAPPED"))</f>
        <v>Body Lotion 400ml</v>
      </c>
      <c r="E6" s="36" t="str">
        <f aca="false">IF(Raw_Export!$A6="","",IFERROR(VLOOKUP(LOWER(TRIM(Raw_Export!D6)),Maps!$G$2:$I$80,3,FALSE()),"UNMAPPED"))</f>
        <v>Personal Care</v>
      </c>
      <c r="F6" s="36" t="n">
        <f aca="false">IF(Raw_Export!$A6="","",IFERROR(VALUE(TRIM(Raw_Export!E6)),0))</f>
        <v>4</v>
      </c>
      <c r="G6" s="38" t="n">
        <f aca="false">IF(Raw_Export!$A6="","",IFERROR(VALUE(SUBSTITUTE(SUBSTITUTE(UPPER(TRIM(Raw_Export!F6)),"KES",""),",","")),0))</f>
        <v>420</v>
      </c>
      <c r="H6" s="38" t="n">
        <f aca="false">IF(Raw_Export!$A6="","",F6*G6)</f>
        <v>1680</v>
      </c>
      <c r="I6" s="36" t="str">
        <f aca="false">IF(Raw_Export!$A6="","",IFERROR(VLOOKUP(LOWER(TRIM(Raw_Export!H6)),Maps!$D$2:$E$12,2,FALSE()),"Other"))</f>
        <v>Cash</v>
      </c>
      <c r="J6" s="36" t="str">
        <f aca="false">IF(Raw_Export!$A6="","",IF(COUNTIF($A$2:A6,A6)&gt;1,"Duplicate",""))</f>
        <v/>
      </c>
      <c r="K6" s="36" t="str">
        <f aca="false">IF(Raw_Export!$A6="","",IF(J6="Duplicate","Duplicate",IF(OR(C6="UNMAPPED",D6="UNMAPPED"),"Unmapped",IF(F6=0,"Blank qty",IF(F6&lt;0,"Return","OK")))))</f>
        <v>OK</v>
      </c>
      <c r="L6" s="36" t="n">
        <f aca="false">IF(Raw_Export!$A6="","",IF(OR(K6="OK",K6="Return"),1,0))</f>
        <v>1</v>
      </c>
      <c r="M6" s="37" t="n">
        <f aca="false">IF(Raw_Export!$A6="","",B6-WEEKDAY(B6,2)+1)</f>
        <v>46265</v>
      </c>
    </row>
    <row r="7" customFormat="false" ht="15" hidden="false" customHeight="false" outlineLevel="0" collapsed="false">
      <c r="A7" s="36" t="str">
        <f aca="false">IF(Raw_Export!$A7="","",TRIM(Raw_Export!A7))</f>
        <v>TXN-100006</v>
      </c>
      <c r="B7" s="37" t="n">
        <f aca="false">IF(Raw_Export!$A7="","",IF(ISNUMBER(Raw_Export!B7),Raw_Export!B7,IF(MID(TRIM(Raw_Export!B7),5,1)="-",DATE(LEFT(TRIM(Raw_Export!B7),4),MID(TRIM(Raw_Export!B7),6,2),RIGHT(TRIM(Raw_Export!B7),2)),DATE(RIGHT(TRIM(Raw_Export!B7),4),MATCH(MID(TRIM(Raw_Export!B7),4,3),{"Jan","Feb","Mar","Apr","May","Jun","Jul","Aug","Sep","Oct","Nov","Dec"},0),LEFT(TRIM(Raw_Export!B7),2)))))</f>
        <v>46265</v>
      </c>
      <c r="C7" s="36" t="str">
        <f aca="false">IF(Raw_Export!$A7="","",IFERROR(VLOOKUP(LOWER(TRIM(Raw_Export!C7)),Maps!$A$2:$B$20,2,FALSE()),"UNMAPPED"))</f>
        <v>Nairobi CBD</v>
      </c>
      <c r="D7" s="36" t="str">
        <f aca="false">IF(Raw_Export!$A7="","",IFERROR(VLOOKUP(LOWER(TRIM(Raw_Export!D7)),Maps!$G$2:$I$80,2,FALSE()),"UNMAPPED"))</f>
        <v>Toothpaste 100g</v>
      </c>
      <c r="E7" s="36" t="str">
        <f aca="false">IF(Raw_Export!$A7="","",IFERROR(VLOOKUP(LOWER(TRIM(Raw_Export!D7)),Maps!$G$2:$I$80,3,FALSE()),"UNMAPPED"))</f>
        <v>Personal Care</v>
      </c>
      <c r="F7" s="36" t="n">
        <f aca="false">IF(Raw_Export!$A7="","",IFERROR(VALUE(TRIM(Raw_Export!E7)),0))</f>
        <v>2</v>
      </c>
      <c r="G7" s="38" t="n">
        <f aca="false">IF(Raw_Export!$A7="","",IFERROR(VALUE(SUBSTITUTE(SUBSTITUTE(UPPER(TRIM(Raw_Export!F7)),"KES",""),",","")),0))</f>
        <v>176</v>
      </c>
      <c r="H7" s="38" t="n">
        <f aca="false">IF(Raw_Export!$A7="","",F7*G7)</f>
        <v>352</v>
      </c>
      <c r="I7" s="36" t="str">
        <f aca="false">IF(Raw_Export!$A7="","",IFERROR(VLOOKUP(LOWER(TRIM(Raw_Export!H7)),Maps!$D$2:$E$12,2,FALSE()),"Other"))</f>
        <v>Cash</v>
      </c>
      <c r="J7" s="36" t="str">
        <f aca="false">IF(Raw_Export!$A7="","",IF(COUNTIF($A$2:A7,A7)&gt;1,"Duplicate",""))</f>
        <v/>
      </c>
      <c r="K7" s="36" t="str">
        <f aca="false">IF(Raw_Export!$A7="","",IF(J7="Duplicate","Duplicate",IF(OR(C7="UNMAPPED",D7="UNMAPPED"),"Unmapped",IF(F7=0,"Blank qty",IF(F7&lt;0,"Return","OK")))))</f>
        <v>OK</v>
      </c>
      <c r="L7" s="36" t="n">
        <f aca="false">IF(Raw_Export!$A7="","",IF(OR(K7="OK",K7="Return"),1,0))</f>
        <v>1</v>
      </c>
      <c r="M7" s="37" t="n">
        <f aca="false">IF(Raw_Export!$A7="","",B7-WEEKDAY(B7,2)+1)</f>
        <v>46265</v>
      </c>
    </row>
    <row r="8" customFormat="false" ht="15" hidden="false" customHeight="false" outlineLevel="0" collapsed="false">
      <c r="A8" s="36" t="str">
        <f aca="false">IF(Raw_Export!$A8="","",TRIM(Raw_Export!A8))</f>
        <v>TXN-100007</v>
      </c>
      <c r="B8" s="37" t="n">
        <f aca="false">IF(Raw_Export!$A8="","",IF(ISNUMBER(Raw_Export!B8),Raw_Export!B8,IF(MID(TRIM(Raw_Export!B8),5,1)="-",DATE(LEFT(TRIM(Raw_Export!B8),4),MID(TRIM(Raw_Export!B8),6,2),RIGHT(TRIM(Raw_Export!B8),2)),DATE(RIGHT(TRIM(Raw_Export!B8),4),MATCH(MID(TRIM(Raw_Export!B8),4,3),{"Jan","Feb","Mar","Apr","May","Jun","Jul","Aug","Sep","Oct","Nov","Dec"},0),LEFT(TRIM(Raw_Export!B8),2)))))</f>
        <v>46265</v>
      </c>
      <c r="C8" s="36" t="str">
        <f aca="false">IF(Raw_Export!$A8="","",IFERROR(VLOOKUP(LOWER(TRIM(Raw_Export!C8)),Maps!$A$2:$B$20,2,FALSE()),"UNMAPPED"))</f>
        <v>Nairobi CBD</v>
      </c>
      <c r="D8" s="36" t="str">
        <f aca="false">IF(Raw_Export!$A8="","",IFERROR(VLOOKUP(LOWER(TRIM(Raw_Export!D8)),Maps!$G$2:$I$80,2,FALSE()),"UNMAPPED"))</f>
        <v>Biscuits 200g</v>
      </c>
      <c r="E8" s="36" t="str">
        <f aca="false">IF(Raw_Export!$A8="","",IFERROR(VLOOKUP(LOWER(TRIM(Raw_Export!D8)),Maps!$G$2:$I$80,3,FALSE()),"UNMAPPED"))</f>
        <v>Snacks</v>
      </c>
      <c r="F8" s="36" t="n">
        <f aca="false">IF(Raw_Export!$A8="","",IFERROR(VALUE(TRIM(Raw_Export!E8)),0))</f>
        <v>1</v>
      </c>
      <c r="G8" s="38" t="n">
        <f aca="false">IF(Raw_Export!$A8="","",IFERROR(VALUE(SUBSTITUTE(SUBSTITUTE(UPPER(TRIM(Raw_Export!F8)),"KES",""),",","")),0))</f>
        <v>95</v>
      </c>
      <c r="H8" s="38" t="n">
        <f aca="false">IF(Raw_Export!$A8="","",F8*G8)</f>
        <v>95</v>
      </c>
      <c r="I8" s="36" t="str">
        <f aca="false">IF(Raw_Export!$A8="","",IFERROR(VLOOKUP(LOWER(TRIM(Raw_Export!H8)),Maps!$D$2:$E$12,2,FALSE()),"Other"))</f>
        <v>M-Pesa</v>
      </c>
      <c r="J8" s="36" t="str">
        <f aca="false">IF(Raw_Export!$A8="","",IF(COUNTIF($A$2:A8,A8)&gt;1,"Duplicate",""))</f>
        <v/>
      </c>
      <c r="K8" s="36" t="str">
        <f aca="false">IF(Raw_Export!$A8="","",IF(J8="Duplicate","Duplicate",IF(OR(C8="UNMAPPED",D8="UNMAPPED"),"Unmapped",IF(F8=0,"Blank qty",IF(F8&lt;0,"Return","OK")))))</f>
        <v>OK</v>
      </c>
      <c r="L8" s="36" t="n">
        <f aca="false">IF(Raw_Export!$A8="","",IF(OR(K8="OK",K8="Return"),1,0))</f>
        <v>1</v>
      </c>
      <c r="M8" s="37" t="n">
        <f aca="false">IF(Raw_Export!$A8="","",B8-WEEKDAY(B8,2)+1)</f>
        <v>46265</v>
      </c>
    </row>
    <row r="9" customFormat="false" ht="15" hidden="false" customHeight="false" outlineLevel="0" collapsed="false">
      <c r="A9" s="36" t="str">
        <f aca="false">IF(Raw_Export!$A9="","",TRIM(Raw_Export!A9))</f>
        <v>TXN-100008</v>
      </c>
      <c r="B9" s="37" t="n">
        <f aca="false">IF(Raw_Export!$A9="","",IF(ISNUMBER(Raw_Export!B9),Raw_Export!B9,IF(MID(TRIM(Raw_Export!B9),5,1)="-",DATE(LEFT(TRIM(Raw_Export!B9),4),MID(TRIM(Raw_Export!B9),6,2),RIGHT(TRIM(Raw_Export!B9),2)),DATE(RIGHT(TRIM(Raw_Export!B9),4),MATCH(MID(TRIM(Raw_Export!B9),4,3),{"Jan","Feb","Mar","Apr","May","Jun","Jul","Aug","Sep","Oct","Nov","Dec"},0),LEFT(TRIM(Raw_Export!B9),2)))))</f>
        <v>46265</v>
      </c>
      <c r="C9" s="36" t="str">
        <f aca="false">IF(Raw_Export!$A9="","",IFERROR(VLOOKUP(LOWER(TRIM(Raw_Export!C9)),Maps!$A$2:$B$20,2,FALSE()),"UNMAPPED"))</f>
        <v>Nairobi CBD</v>
      </c>
      <c r="D9" s="36" t="str">
        <f aca="false">IF(Raw_Export!$A9="","",IFERROR(VLOOKUP(LOWER(TRIM(Raw_Export!D9)),Maps!$G$2:$I$80,2,FALSE()),"UNMAPPED"))</f>
        <v>Cooking Oil 1L</v>
      </c>
      <c r="E9" s="36" t="str">
        <f aca="false">IF(Raw_Export!$A9="","",IFERROR(VLOOKUP(LOWER(TRIM(Raw_Export!D9)),Maps!$G$2:$I$80,3,FALSE()),"UNMAPPED"))</f>
        <v>Staples</v>
      </c>
      <c r="F9" s="36" t="n">
        <f aca="false">IF(Raw_Export!$A9="","",IFERROR(VALUE(TRIM(Raw_Export!E9)),0))</f>
        <v>1</v>
      </c>
      <c r="G9" s="38" t="n">
        <f aca="false">IF(Raw_Export!$A9="","",IFERROR(VALUE(SUBSTITUTE(SUBSTITUTE(UPPER(TRIM(Raw_Export!F9)),"KES",""),",","")),0))</f>
        <v>330</v>
      </c>
      <c r="H9" s="38" t="n">
        <f aca="false">IF(Raw_Export!$A9="","",F9*G9)</f>
        <v>330</v>
      </c>
      <c r="I9" s="36" t="str">
        <f aca="false">IF(Raw_Export!$A9="","",IFERROR(VLOOKUP(LOWER(TRIM(Raw_Export!H9)),Maps!$D$2:$E$12,2,FALSE()),"Other"))</f>
        <v>Cash</v>
      </c>
      <c r="J9" s="36" t="str">
        <f aca="false">IF(Raw_Export!$A9="","",IF(COUNTIF($A$2:A9,A9)&gt;1,"Duplicate",""))</f>
        <v/>
      </c>
      <c r="K9" s="36" t="str">
        <f aca="false">IF(Raw_Export!$A9="","",IF(J9="Duplicate","Duplicate",IF(OR(C9="UNMAPPED",D9="UNMAPPED"),"Unmapped",IF(F9=0,"Blank qty",IF(F9&lt;0,"Return","OK")))))</f>
        <v>OK</v>
      </c>
      <c r="L9" s="36" t="n">
        <f aca="false">IF(Raw_Export!$A9="","",IF(OR(K9="OK",K9="Return"),1,0))</f>
        <v>1</v>
      </c>
      <c r="M9" s="37" t="n">
        <f aca="false">IF(Raw_Export!$A9="","",B9-WEEKDAY(B9,2)+1)</f>
        <v>46265</v>
      </c>
    </row>
    <row r="10" customFormat="false" ht="15" hidden="false" customHeight="false" outlineLevel="0" collapsed="false">
      <c r="A10" s="36" t="str">
        <f aca="false">IF(Raw_Export!$A10="","",TRIM(Raw_Export!A10))</f>
        <v>TXN-100009</v>
      </c>
      <c r="B10" s="37" t="n">
        <f aca="false">IF(Raw_Export!$A10="","",IF(ISNUMBER(Raw_Export!B10),Raw_Export!B10,IF(MID(TRIM(Raw_Export!B10),5,1)="-",DATE(LEFT(TRIM(Raw_Export!B10),4),MID(TRIM(Raw_Export!B10),6,2),RIGHT(TRIM(Raw_Export!B10),2)),DATE(RIGHT(TRIM(Raw_Export!B10),4),MATCH(MID(TRIM(Raw_Export!B10),4,3),{"Jan","Feb","Mar","Apr","May","Jun","Jul","Aug","Sep","Oct","Nov","Dec"},0),LEFT(TRIM(Raw_Export!B10),2)))))</f>
        <v>46265</v>
      </c>
      <c r="C10" s="36" t="str">
        <f aca="false">IF(Raw_Export!$A10="","",IFERROR(VLOOKUP(LOWER(TRIM(Raw_Export!C10)),Maps!$A$2:$B$20,2,FALSE()),"UNMAPPED"))</f>
        <v>Nairobi CBD</v>
      </c>
      <c r="D10" s="36" t="str">
        <f aca="false">IF(Raw_Export!$A10="","",IFERROR(VLOOKUP(LOWER(TRIM(Raw_Export!D10)),Maps!$G$2:$I$80,2,FALSE()),"UNMAPPED"))</f>
        <v>Toilet Paper 10pk</v>
      </c>
      <c r="E10" s="36" t="str">
        <f aca="false">IF(Raw_Export!$A10="","",IFERROR(VLOOKUP(LOWER(TRIM(Raw_Export!D10)),Maps!$G$2:$I$80,3,FALSE()),"UNMAPPED"))</f>
        <v>Household</v>
      </c>
      <c r="F10" s="36" t="n">
        <f aca="false">IF(Raw_Export!$A10="","",IFERROR(VALUE(TRIM(Raw_Export!E10)),0))</f>
        <v>1</v>
      </c>
      <c r="G10" s="38" t="n">
        <f aca="false">IF(Raw_Export!$A10="","",IFERROR(VALUE(SUBSTITUTE(SUBSTITUTE(UPPER(TRIM(Raw_Export!F10)),"KES",""),",","")),0))</f>
        <v>380</v>
      </c>
      <c r="H10" s="38" t="n">
        <f aca="false">IF(Raw_Export!$A10="","",F10*G10)</f>
        <v>380</v>
      </c>
      <c r="I10" s="36" t="str">
        <f aca="false">IF(Raw_Export!$A10="","",IFERROR(VLOOKUP(LOWER(TRIM(Raw_Export!H10)),Maps!$D$2:$E$12,2,FALSE()),"Other"))</f>
        <v>M-Pesa</v>
      </c>
      <c r="J10" s="36" t="str">
        <f aca="false">IF(Raw_Export!$A10="","",IF(COUNTIF($A$2:A10,A10)&gt;1,"Duplicate",""))</f>
        <v/>
      </c>
      <c r="K10" s="36" t="str">
        <f aca="false">IF(Raw_Export!$A10="","",IF(J10="Duplicate","Duplicate",IF(OR(C10="UNMAPPED",D10="UNMAPPED"),"Unmapped",IF(F10=0,"Blank qty",IF(F10&lt;0,"Return","OK")))))</f>
        <v>OK</v>
      </c>
      <c r="L10" s="36" t="n">
        <f aca="false">IF(Raw_Export!$A10="","",IF(OR(K10="OK",K10="Return"),1,0))</f>
        <v>1</v>
      </c>
      <c r="M10" s="37" t="n">
        <f aca="false">IF(Raw_Export!$A10="","",B10-WEEKDAY(B10,2)+1)</f>
        <v>46265</v>
      </c>
    </row>
    <row r="11" customFormat="false" ht="15" hidden="false" customHeight="false" outlineLevel="0" collapsed="false">
      <c r="A11" s="36" t="str">
        <f aca="false">IF(Raw_Export!$A11="","",TRIM(Raw_Export!A11))</f>
        <v>TXN-100010</v>
      </c>
      <c r="B11" s="37" t="n">
        <f aca="false">IF(Raw_Export!$A11="","",IF(ISNUMBER(Raw_Export!B11),Raw_Export!B11,IF(MID(TRIM(Raw_Export!B11),5,1)="-",DATE(LEFT(TRIM(Raw_Export!B11),4),MID(TRIM(Raw_Export!B11),6,2),RIGHT(TRIM(Raw_Export!B11),2)),DATE(RIGHT(TRIM(Raw_Export!B11),4),MATCH(MID(TRIM(Raw_Export!B11),4,3),{"Jan","Feb","Mar","Apr","May","Jun","Jul","Aug","Sep","Oct","Nov","Dec"},0),LEFT(TRIM(Raw_Export!B11),2)))))</f>
        <v>46265</v>
      </c>
      <c r="C11" s="36" t="str">
        <f aca="false">IF(Raw_Export!$A11="","",IFERROR(VLOOKUP(LOWER(TRIM(Raw_Export!C11)),Maps!$A$2:$B$20,2,FALSE()),"UNMAPPED"))</f>
        <v>Nairobi CBD</v>
      </c>
      <c r="D11" s="36" t="str">
        <f aca="false">IF(Raw_Export!$A11="","",IFERROR(VLOOKUP(LOWER(TRIM(Raw_Export!D11)),Maps!$G$2:$I$80,2,FALSE()),"UNMAPPED"))</f>
        <v>Toothpaste 100g</v>
      </c>
      <c r="E11" s="36" t="str">
        <f aca="false">IF(Raw_Export!$A11="","",IFERROR(VLOOKUP(LOWER(TRIM(Raw_Export!D11)),Maps!$G$2:$I$80,3,FALSE()),"UNMAPPED"))</f>
        <v>Personal Care</v>
      </c>
      <c r="F11" s="36" t="n">
        <f aca="false">IF(Raw_Export!$A11="","",IFERROR(VALUE(TRIM(Raw_Export!E11)),0))</f>
        <v>2</v>
      </c>
      <c r="G11" s="38" t="n">
        <f aca="false">IF(Raw_Export!$A11="","",IFERROR(VALUE(SUBSTITUTE(SUBSTITUTE(UPPER(TRIM(Raw_Export!F11)),"KES",""),",","")),0))</f>
        <v>195</v>
      </c>
      <c r="H11" s="38" t="n">
        <f aca="false">IF(Raw_Export!$A11="","",F11*G11)</f>
        <v>390</v>
      </c>
      <c r="I11" s="36" t="str">
        <f aca="false">IF(Raw_Export!$A11="","",IFERROR(VLOOKUP(LOWER(TRIM(Raw_Export!H11)),Maps!$D$2:$E$12,2,FALSE()),"Other"))</f>
        <v>M-Pesa</v>
      </c>
      <c r="J11" s="36" t="str">
        <f aca="false">IF(Raw_Export!$A11="","",IF(COUNTIF($A$2:A11,A11)&gt;1,"Duplicate",""))</f>
        <v/>
      </c>
      <c r="K11" s="36" t="str">
        <f aca="false">IF(Raw_Export!$A11="","",IF(J11="Duplicate","Duplicate",IF(OR(C11="UNMAPPED",D11="UNMAPPED"),"Unmapped",IF(F11=0,"Blank qty",IF(F11&lt;0,"Return","OK")))))</f>
        <v>OK</v>
      </c>
      <c r="L11" s="36" t="n">
        <f aca="false">IF(Raw_Export!$A11="","",IF(OR(K11="OK",K11="Return"),1,0))</f>
        <v>1</v>
      </c>
      <c r="M11" s="37" t="n">
        <f aca="false">IF(Raw_Export!$A11="","",B11-WEEKDAY(B11,2)+1)</f>
        <v>46265</v>
      </c>
    </row>
    <row r="12" customFormat="false" ht="15" hidden="false" customHeight="false" outlineLevel="0" collapsed="false">
      <c r="A12" s="36" t="str">
        <f aca="false">IF(Raw_Export!$A12="","",TRIM(Raw_Export!A12))</f>
        <v>TXN-100011</v>
      </c>
      <c r="B12" s="37" t="n">
        <f aca="false">IF(Raw_Export!$A12="","",IF(ISNUMBER(Raw_Export!B12),Raw_Export!B12,IF(MID(TRIM(Raw_Export!B12),5,1)="-",DATE(LEFT(TRIM(Raw_Export!B12),4),MID(TRIM(Raw_Export!B12),6,2),RIGHT(TRIM(Raw_Export!B12),2)),DATE(RIGHT(TRIM(Raw_Export!B12),4),MATCH(MID(TRIM(Raw_Export!B12),4,3),{"Jan","Feb","Mar","Apr","May","Jun","Jul","Aug","Sep","Oct","Nov","Dec"},0),LEFT(TRIM(Raw_Export!B12),2)))))</f>
        <v>46265</v>
      </c>
      <c r="C12" s="36" t="str">
        <f aca="false">IF(Raw_Export!$A12="","",IFERROR(VLOOKUP(LOWER(TRIM(Raw_Export!C12)),Maps!$A$2:$B$20,2,FALSE()),"UNMAPPED"))</f>
        <v>Nairobi CBD</v>
      </c>
      <c r="D12" s="36" t="str">
        <f aca="false">IF(Raw_Export!$A12="","",IFERROR(VLOOKUP(LOWER(TRIM(Raw_Export!D12)),Maps!$G$2:$I$80,2,FALSE()),"UNMAPPED"))</f>
        <v>Tea Leaves 250g</v>
      </c>
      <c r="E12" s="36" t="str">
        <f aca="false">IF(Raw_Export!$A12="","",IFERROR(VLOOKUP(LOWER(TRIM(Raw_Export!D12)),Maps!$G$2:$I$80,3,FALSE()),"UNMAPPED"))</f>
        <v>Beverages</v>
      </c>
      <c r="F12" s="36" t="n">
        <f aca="false">IF(Raw_Export!$A12="","",IFERROR(VALUE(TRIM(Raw_Export!E12)),0))</f>
        <v>4</v>
      </c>
      <c r="G12" s="38" t="n">
        <f aca="false">IF(Raw_Export!$A12="","",IFERROR(VALUE(SUBSTITUTE(SUBSTITUTE(UPPER(TRIM(Raw_Export!F12)),"KES",""),",","")),0))</f>
        <v>150</v>
      </c>
      <c r="H12" s="38" t="n">
        <f aca="false">IF(Raw_Export!$A12="","",F12*G12)</f>
        <v>600</v>
      </c>
      <c r="I12" s="36" t="str">
        <f aca="false">IF(Raw_Export!$A12="","",IFERROR(VLOOKUP(LOWER(TRIM(Raw_Export!H12)),Maps!$D$2:$E$12,2,FALSE()),"Other"))</f>
        <v>Cash</v>
      </c>
      <c r="J12" s="36" t="str">
        <f aca="false">IF(Raw_Export!$A12="","",IF(COUNTIF($A$2:A12,A12)&gt;1,"Duplicate",""))</f>
        <v/>
      </c>
      <c r="K12" s="36" t="str">
        <f aca="false">IF(Raw_Export!$A12="","",IF(J12="Duplicate","Duplicate",IF(OR(C12="UNMAPPED",D12="UNMAPPED"),"Unmapped",IF(F12=0,"Blank qty",IF(F12&lt;0,"Return","OK")))))</f>
        <v>OK</v>
      </c>
      <c r="L12" s="36" t="n">
        <f aca="false">IF(Raw_Export!$A12="","",IF(OR(K12="OK",K12="Return"),1,0))</f>
        <v>1</v>
      </c>
      <c r="M12" s="37" t="n">
        <f aca="false">IF(Raw_Export!$A12="","",B12-WEEKDAY(B12,2)+1)</f>
        <v>46265</v>
      </c>
    </row>
    <row r="13" customFormat="false" ht="15" hidden="false" customHeight="false" outlineLevel="0" collapsed="false">
      <c r="A13" s="36" t="str">
        <f aca="false">IF(Raw_Export!$A13="","",TRIM(Raw_Export!A13))</f>
        <v>TXN-100012</v>
      </c>
      <c r="B13" s="37" t="n">
        <f aca="false">IF(Raw_Export!$A13="","",IF(ISNUMBER(Raw_Export!B13),Raw_Export!B13,IF(MID(TRIM(Raw_Export!B13),5,1)="-",DATE(LEFT(TRIM(Raw_Export!B13),4),MID(TRIM(Raw_Export!B13),6,2),RIGHT(TRIM(Raw_Export!B13),2)),DATE(RIGHT(TRIM(Raw_Export!B13),4),MATCH(MID(TRIM(Raw_Export!B13),4,3),{"Jan","Feb","Mar","Apr","May","Jun","Jul","Aug","Sep","Oct","Nov","Dec"},0),LEFT(TRIM(Raw_Export!B13),2)))))</f>
        <v>46265</v>
      </c>
      <c r="C13" s="36" t="str">
        <f aca="false">IF(Raw_Export!$A13="","",IFERROR(VLOOKUP(LOWER(TRIM(Raw_Export!C13)),Maps!$A$2:$B$20,2,FALSE()),"UNMAPPED"))</f>
        <v>Nairobi CBD</v>
      </c>
      <c r="D13" s="36" t="str">
        <f aca="false">IF(Raw_Export!$A13="","",IFERROR(VLOOKUP(LOWER(TRIM(Raw_Export!D13)),Maps!$G$2:$I$80,2,FALSE()),"UNMAPPED"))</f>
        <v>Sugar 2kg</v>
      </c>
      <c r="E13" s="36" t="str">
        <f aca="false">IF(Raw_Export!$A13="","",IFERROR(VLOOKUP(LOWER(TRIM(Raw_Export!D13)),Maps!$G$2:$I$80,3,FALSE()),"UNMAPPED"))</f>
        <v>Staples</v>
      </c>
      <c r="F13" s="36" t="n">
        <f aca="false">IF(Raw_Export!$A13="","",IFERROR(VALUE(TRIM(Raw_Export!E13)),0))</f>
        <v>1</v>
      </c>
      <c r="G13" s="38" t="n">
        <f aca="false">IF(Raw_Export!$A13="","",IFERROR(VALUE(SUBSTITUTE(SUBSTITUTE(UPPER(TRIM(Raw_Export!F13)),"KES",""),",","")),0))</f>
        <v>330</v>
      </c>
      <c r="H13" s="38" t="n">
        <f aca="false">IF(Raw_Export!$A13="","",F13*G13)</f>
        <v>330</v>
      </c>
      <c r="I13" s="36" t="str">
        <f aca="false">IF(Raw_Export!$A13="","",IFERROR(VLOOKUP(LOWER(TRIM(Raw_Export!H13)),Maps!$D$2:$E$12,2,FALSE()),"Other"))</f>
        <v>Cash</v>
      </c>
      <c r="J13" s="36" t="str">
        <f aca="false">IF(Raw_Export!$A13="","",IF(COUNTIF($A$2:A13,A13)&gt;1,"Duplicate",""))</f>
        <v/>
      </c>
      <c r="K13" s="36" t="str">
        <f aca="false">IF(Raw_Export!$A13="","",IF(J13="Duplicate","Duplicate",IF(OR(C13="UNMAPPED",D13="UNMAPPED"),"Unmapped",IF(F13=0,"Blank qty",IF(F13&lt;0,"Return","OK")))))</f>
        <v>OK</v>
      </c>
      <c r="L13" s="36" t="n">
        <f aca="false">IF(Raw_Export!$A13="","",IF(OR(K13="OK",K13="Return"),1,0))</f>
        <v>1</v>
      </c>
      <c r="M13" s="37" t="n">
        <f aca="false">IF(Raw_Export!$A13="","",B13-WEEKDAY(B13,2)+1)</f>
        <v>46265</v>
      </c>
    </row>
    <row r="14" customFormat="false" ht="15" hidden="false" customHeight="false" outlineLevel="0" collapsed="false">
      <c r="A14" s="36" t="str">
        <f aca="false">IF(Raw_Export!$A14="","",TRIM(Raw_Export!A14))</f>
        <v>TXN-100013</v>
      </c>
      <c r="B14" s="37" t="n">
        <f aca="false">IF(Raw_Export!$A14="","",IF(ISNUMBER(Raw_Export!B14),Raw_Export!B14,IF(MID(TRIM(Raw_Export!B14),5,1)="-",DATE(LEFT(TRIM(Raw_Export!B14),4),MID(TRIM(Raw_Export!B14),6,2),RIGHT(TRIM(Raw_Export!B14),2)),DATE(RIGHT(TRIM(Raw_Export!B14),4),MATCH(MID(TRIM(Raw_Export!B14),4,3),{"Jan","Feb","Mar","Apr","May","Jun","Jul","Aug","Sep","Oct","Nov","Dec"},0),LEFT(TRIM(Raw_Export!B14),2)))))</f>
        <v>46265</v>
      </c>
      <c r="C14" s="36" t="str">
        <f aca="false">IF(Raw_Export!$A14="","",IFERROR(VLOOKUP(LOWER(TRIM(Raw_Export!C14)),Maps!$A$2:$B$20,2,FALSE()),"UNMAPPED"))</f>
        <v>Nairobi CBD</v>
      </c>
      <c r="D14" s="36" t="str">
        <f aca="false">IF(Raw_Export!$A14="","",IFERROR(VLOOKUP(LOWER(TRIM(Raw_Export!D14)),Maps!$G$2:$I$80,2,FALSE()),"UNMAPPED"))</f>
        <v>Deodorant 150ml</v>
      </c>
      <c r="E14" s="36" t="str">
        <f aca="false">IF(Raw_Export!$A14="","",IFERROR(VLOOKUP(LOWER(TRIM(Raw_Export!D14)),Maps!$G$2:$I$80,3,FALSE()),"UNMAPPED"))</f>
        <v>Personal Care</v>
      </c>
      <c r="F14" s="36" t="n">
        <f aca="false">IF(Raw_Export!$A14="","",IFERROR(VALUE(TRIM(Raw_Export!E14)),0))</f>
        <v>3</v>
      </c>
      <c r="G14" s="38" t="n">
        <f aca="false">IF(Raw_Export!$A14="","",IFERROR(VALUE(SUBSTITUTE(SUBSTITUTE(UPPER(TRIM(Raw_Export!F14)),"KES",""),",","")),0))</f>
        <v>350</v>
      </c>
      <c r="H14" s="38" t="n">
        <f aca="false">IF(Raw_Export!$A14="","",F14*G14)</f>
        <v>1050</v>
      </c>
      <c r="I14" s="36" t="str">
        <f aca="false">IF(Raw_Export!$A14="","",IFERROR(VLOOKUP(LOWER(TRIM(Raw_Export!H14)),Maps!$D$2:$E$12,2,FALSE()),"Other"))</f>
        <v>Cash</v>
      </c>
      <c r="J14" s="36" t="str">
        <f aca="false">IF(Raw_Export!$A14="","",IF(COUNTIF($A$2:A14,A14)&gt;1,"Duplicate",""))</f>
        <v/>
      </c>
      <c r="K14" s="36" t="str">
        <f aca="false">IF(Raw_Export!$A14="","",IF(J14="Duplicate","Duplicate",IF(OR(C14="UNMAPPED",D14="UNMAPPED"),"Unmapped",IF(F14=0,"Blank qty",IF(F14&lt;0,"Return","OK")))))</f>
        <v>OK</v>
      </c>
      <c r="L14" s="36" t="n">
        <f aca="false">IF(Raw_Export!$A14="","",IF(OR(K14="OK",K14="Return"),1,0))</f>
        <v>1</v>
      </c>
      <c r="M14" s="37" t="n">
        <f aca="false">IF(Raw_Export!$A14="","",B14-WEEKDAY(B14,2)+1)</f>
        <v>46265</v>
      </c>
    </row>
    <row r="15" customFormat="false" ht="15" hidden="false" customHeight="false" outlineLevel="0" collapsed="false">
      <c r="A15" s="36" t="str">
        <f aca="false">IF(Raw_Export!$A15="","",TRIM(Raw_Export!A15))</f>
        <v>TXN-100014</v>
      </c>
      <c r="B15" s="37" t="n">
        <f aca="false">IF(Raw_Export!$A15="","",IF(ISNUMBER(Raw_Export!B15),Raw_Export!B15,IF(MID(TRIM(Raw_Export!B15),5,1)="-",DATE(LEFT(TRIM(Raw_Export!B15),4),MID(TRIM(Raw_Export!B15),6,2),RIGHT(TRIM(Raw_Export!B15),2)),DATE(RIGHT(TRIM(Raw_Export!B15),4),MATCH(MID(TRIM(Raw_Export!B15),4,3),{"Jan","Feb","Mar","Apr","May","Jun","Jul","Aug","Sep","Oct","Nov","Dec"},0),LEFT(TRIM(Raw_Export!B15),2)))))</f>
        <v>46265</v>
      </c>
      <c r="C15" s="36" t="str">
        <f aca="false">IF(Raw_Export!$A15="","",IFERROR(VLOOKUP(LOWER(TRIM(Raw_Export!C15)),Maps!$A$2:$B$20,2,FALSE()),"UNMAPPED"))</f>
        <v>Nairobi CBD</v>
      </c>
      <c r="D15" s="36" t="str">
        <f aca="false">IF(Raw_Export!$A15="","",IFERROR(VLOOKUP(LOWER(TRIM(Raw_Export!D15)),Maps!$G$2:$I$80,2,FALSE()),"UNMAPPED"))</f>
        <v>Bread Loaf 400g</v>
      </c>
      <c r="E15" s="36" t="str">
        <f aca="false">IF(Raw_Export!$A15="","",IFERROR(VLOOKUP(LOWER(TRIM(Raw_Export!D15)),Maps!$G$2:$I$80,3,FALSE()),"UNMAPPED"))</f>
        <v>Snacks</v>
      </c>
      <c r="F15" s="36" t="n">
        <f aca="false">IF(Raw_Export!$A15="","",IFERROR(VALUE(TRIM(Raw_Export!E15)),0))</f>
        <v>1</v>
      </c>
      <c r="G15" s="38" t="n">
        <f aca="false">IF(Raw_Export!$A15="","",IFERROR(VALUE(SUBSTITUTE(SUBSTITUTE(UPPER(TRIM(Raw_Export!F15)),"KES",""),",","")),0))</f>
        <v>65</v>
      </c>
      <c r="H15" s="38" t="n">
        <f aca="false">IF(Raw_Export!$A15="","",F15*G15)</f>
        <v>65</v>
      </c>
      <c r="I15" s="36" t="str">
        <f aca="false">IF(Raw_Export!$A15="","",IFERROR(VLOOKUP(LOWER(TRIM(Raw_Export!H15)),Maps!$D$2:$E$12,2,FALSE()),"Other"))</f>
        <v>Cash</v>
      </c>
      <c r="J15" s="36" t="str">
        <f aca="false">IF(Raw_Export!$A15="","",IF(COUNTIF($A$2:A15,A15)&gt;1,"Duplicate",""))</f>
        <v/>
      </c>
      <c r="K15" s="36" t="str">
        <f aca="false">IF(Raw_Export!$A15="","",IF(J15="Duplicate","Duplicate",IF(OR(C15="UNMAPPED",D15="UNMAPPED"),"Unmapped",IF(F15=0,"Blank qty",IF(F15&lt;0,"Return","OK")))))</f>
        <v>OK</v>
      </c>
      <c r="L15" s="36" t="n">
        <f aca="false">IF(Raw_Export!$A15="","",IF(OR(K15="OK",K15="Return"),1,0))</f>
        <v>1</v>
      </c>
      <c r="M15" s="37" t="n">
        <f aca="false">IF(Raw_Export!$A15="","",B15-WEEKDAY(B15,2)+1)</f>
        <v>46265</v>
      </c>
    </row>
    <row r="16" customFormat="false" ht="15" hidden="false" customHeight="false" outlineLevel="0" collapsed="false">
      <c r="A16" s="36" t="str">
        <f aca="false">IF(Raw_Export!$A16="","",TRIM(Raw_Export!A16))</f>
        <v>TXN-100015</v>
      </c>
      <c r="B16" s="37" t="n">
        <f aca="false">IF(Raw_Export!$A16="","",IF(ISNUMBER(Raw_Export!B16),Raw_Export!B16,IF(MID(TRIM(Raw_Export!B16),5,1)="-",DATE(LEFT(TRIM(Raw_Export!B16),4),MID(TRIM(Raw_Export!B16),6,2),RIGHT(TRIM(Raw_Export!B16),2)),DATE(RIGHT(TRIM(Raw_Export!B16),4),MATCH(MID(TRIM(Raw_Export!B16),4,3),{"Jan","Feb","Mar","Apr","May","Jun","Jul","Aug","Sep","Oct","Nov","Dec"},0),LEFT(TRIM(Raw_Export!B16),2)))))</f>
        <v>46265</v>
      </c>
      <c r="C16" s="36" t="str">
        <f aca="false">IF(Raw_Export!$A16="","",IFERROR(VLOOKUP(LOWER(TRIM(Raw_Export!C16)),Maps!$A$2:$B$20,2,FALSE()),"UNMAPPED"))</f>
        <v>Nairobi CBD</v>
      </c>
      <c r="D16" s="36" t="str">
        <f aca="false">IF(Raw_Export!$A16="","",IFERROR(VLOOKUP(LOWER(TRIM(Raw_Export!D16)),Maps!$G$2:$I$80,2,FALSE()),"UNMAPPED"))</f>
        <v>Cooking Oil 1L</v>
      </c>
      <c r="E16" s="36" t="str">
        <f aca="false">IF(Raw_Export!$A16="","",IFERROR(VLOOKUP(LOWER(TRIM(Raw_Export!D16)),Maps!$G$2:$I$80,3,FALSE()),"UNMAPPED"))</f>
        <v>Staples</v>
      </c>
      <c r="F16" s="36" t="n">
        <f aca="false">IF(Raw_Export!$A16="","",IFERROR(VALUE(TRIM(Raw_Export!E16)),0))</f>
        <v>1</v>
      </c>
      <c r="G16" s="38" t="n">
        <f aca="false">IF(Raw_Export!$A16="","",IFERROR(VALUE(SUBSTITUTE(SUBSTITUTE(UPPER(TRIM(Raw_Export!F16)),"KES",""),",","")),0))</f>
        <v>330</v>
      </c>
      <c r="H16" s="38" t="n">
        <f aca="false">IF(Raw_Export!$A16="","",F16*G16)</f>
        <v>330</v>
      </c>
      <c r="I16" s="36" t="str">
        <f aca="false">IF(Raw_Export!$A16="","",IFERROR(VLOOKUP(LOWER(TRIM(Raw_Export!H16)),Maps!$D$2:$E$12,2,FALSE()),"Other"))</f>
        <v>M-Pesa</v>
      </c>
      <c r="J16" s="36" t="str">
        <f aca="false">IF(Raw_Export!$A16="","",IF(COUNTIF($A$2:A16,A16)&gt;1,"Duplicate",""))</f>
        <v/>
      </c>
      <c r="K16" s="36" t="str">
        <f aca="false">IF(Raw_Export!$A16="","",IF(J16="Duplicate","Duplicate",IF(OR(C16="UNMAPPED",D16="UNMAPPED"),"Unmapped",IF(F16=0,"Blank qty",IF(F16&lt;0,"Return","OK")))))</f>
        <v>OK</v>
      </c>
      <c r="L16" s="36" t="n">
        <f aca="false">IF(Raw_Export!$A16="","",IF(OR(K16="OK",K16="Return"),1,0))</f>
        <v>1</v>
      </c>
      <c r="M16" s="37" t="n">
        <f aca="false">IF(Raw_Export!$A16="","",B16-WEEKDAY(B16,2)+1)</f>
        <v>46265</v>
      </c>
    </row>
    <row r="17" customFormat="false" ht="15" hidden="false" customHeight="false" outlineLevel="0" collapsed="false">
      <c r="A17" s="36" t="str">
        <f aca="false">IF(Raw_Export!$A17="","",TRIM(Raw_Export!A17))</f>
        <v>TXN-100016</v>
      </c>
      <c r="B17" s="37" t="n">
        <f aca="false">IF(Raw_Export!$A17="","",IF(ISNUMBER(Raw_Export!B17),Raw_Export!B17,IF(MID(TRIM(Raw_Export!B17),5,1)="-",DATE(LEFT(TRIM(Raw_Export!B17),4),MID(TRIM(Raw_Export!B17),6,2),RIGHT(TRIM(Raw_Export!B17),2)),DATE(RIGHT(TRIM(Raw_Export!B17),4),MATCH(MID(TRIM(Raw_Export!B17),4,3),{"Jan","Feb","Mar","Apr","May","Jun","Jul","Aug","Sep","Oct","Nov","Dec"},0),LEFT(TRIM(Raw_Export!B17),2)))))</f>
        <v>46265</v>
      </c>
      <c r="C17" s="36" t="str">
        <f aca="false">IF(Raw_Export!$A17="","",IFERROR(VLOOKUP(LOWER(TRIM(Raw_Export!C17)),Maps!$A$2:$B$20,2,FALSE()),"UNMAPPED"))</f>
        <v>Nairobi CBD</v>
      </c>
      <c r="D17" s="36" t="str">
        <f aca="false">IF(Raw_Export!$A17="","",IFERROR(VLOOKUP(LOWER(TRIM(Raw_Export!D17)),Maps!$G$2:$I$80,2,FALSE()),"UNMAPPED"))</f>
        <v>Butter 250g</v>
      </c>
      <c r="E17" s="36" t="str">
        <f aca="false">IF(Raw_Export!$A17="","",IFERROR(VLOOKUP(LOWER(TRIM(Raw_Export!D17)),Maps!$G$2:$I$80,3,FALSE()),"UNMAPPED"))</f>
        <v>Dairy &amp; Eggs</v>
      </c>
      <c r="F17" s="36" t="n">
        <f aca="false">IF(Raw_Export!$A17="","",IFERROR(VALUE(TRIM(Raw_Export!E17)),0))</f>
        <v>2</v>
      </c>
      <c r="G17" s="38" t="n">
        <f aca="false">IF(Raw_Export!$A17="","",IFERROR(VALUE(SUBSTITUTE(SUBSTITUTE(UPPER(TRIM(Raw_Export!F17)),"KES",""),",","")),0))</f>
        <v>310</v>
      </c>
      <c r="H17" s="38" t="n">
        <f aca="false">IF(Raw_Export!$A17="","",F17*G17)</f>
        <v>620</v>
      </c>
      <c r="I17" s="36" t="str">
        <f aca="false">IF(Raw_Export!$A17="","",IFERROR(VLOOKUP(LOWER(TRIM(Raw_Export!H17)),Maps!$D$2:$E$12,2,FALSE()),"Other"))</f>
        <v>Card</v>
      </c>
      <c r="J17" s="36" t="str">
        <f aca="false">IF(Raw_Export!$A17="","",IF(COUNTIF($A$2:A17,A17)&gt;1,"Duplicate",""))</f>
        <v/>
      </c>
      <c r="K17" s="36" t="str">
        <f aca="false">IF(Raw_Export!$A17="","",IF(J17="Duplicate","Duplicate",IF(OR(C17="UNMAPPED",D17="UNMAPPED"),"Unmapped",IF(F17=0,"Blank qty",IF(F17&lt;0,"Return","OK")))))</f>
        <v>OK</v>
      </c>
      <c r="L17" s="36" t="n">
        <f aca="false">IF(Raw_Export!$A17="","",IF(OR(K17="OK",K17="Return"),1,0))</f>
        <v>1</v>
      </c>
      <c r="M17" s="37" t="n">
        <f aca="false">IF(Raw_Export!$A17="","",B17-WEEKDAY(B17,2)+1)</f>
        <v>46265</v>
      </c>
    </row>
    <row r="18" customFormat="false" ht="15" hidden="false" customHeight="false" outlineLevel="0" collapsed="false">
      <c r="A18" s="36" t="str">
        <f aca="false">IF(Raw_Export!$A18="","",TRIM(Raw_Export!A18))</f>
        <v>TXN-100017</v>
      </c>
      <c r="B18" s="37" t="n">
        <f aca="false">IF(Raw_Export!$A18="","",IF(ISNUMBER(Raw_Export!B18),Raw_Export!B18,IF(MID(TRIM(Raw_Export!B18),5,1)="-",DATE(LEFT(TRIM(Raw_Export!B18),4),MID(TRIM(Raw_Export!B18),6,2),RIGHT(TRIM(Raw_Export!B18),2)),DATE(RIGHT(TRIM(Raw_Export!B18),4),MATCH(MID(TRIM(Raw_Export!B18),4,3),{"Jan","Feb","Mar","Apr","May","Jun","Jul","Aug","Sep","Oct","Nov","Dec"},0),LEFT(TRIM(Raw_Export!B18),2)))))</f>
        <v>46265</v>
      </c>
      <c r="C18" s="36" t="str">
        <f aca="false">IF(Raw_Export!$A18="","",IFERROR(VLOOKUP(LOWER(TRIM(Raw_Export!C18)),Maps!$A$2:$B$20,2,FALSE()),"UNMAPPED"))</f>
        <v>Nairobi CBD</v>
      </c>
      <c r="D18" s="36" t="str">
        <f aca="false">IF(Raw_Export!$A18="","",IFERROR(VLOOKUP(LOWER(TRIM(Raw_Export!D18)),Maps!$G$2:$I$80,2,FALSE()),"UNMAPPED"))</f>
        <v>Deodorant 150ml</v>
      </c>
      <c r="E18" s="36" t="str">
        <f aca="false">IF(Raw_Export!$A18="","",IFERROR(VLOOKUP(LOWER(TRIM(Raw_Export!D18)),Maps!$G$2:$I$80,3,FALSE()),"UNMAPPED"))</f>
        <v>Personal Care</v>
      </c>
      <c r="F18" s="36" t="n">
        <f aca="false">IF(Raw_Export!$A18="","",IFERROR(VALUE(TRIM(Raw_Export!E18)),0))</f>
        <v>1</v>
      </c>
      <c r="G18" s="38" t="n">
        <f aca="false">IF(Raw_Export!$A18="","",IFERROR(VALUE(SUBSTITUTE(SUBSTITUTE(UPPER(TRIM(Raw_Export!F18)),"KES",""),",","")),0))</f>
        <v>315</v>
      </c>
      <c r="H18" s="38" t="n">
        <f aca="false">IF(Raw_Export!$A18="","",F18*G18)</f>
        <v>315</v>
      </c>
      <c r="I18" s="36" t="str">
        <f aca="false">IF(Raw_Export!$A18="","",IFERROR(VLOOKUP(LOWER(TRIM(Raw_Export!H18)),Maps!$D$2:$E$12,2,FALSE()),"Other"))</f>
        <v>M-Pesa</v>
      </c>
      <c r="J18" s="36" t="str">
        <f aca="false">IF(Raw_Export!$A18="","",IF(COUNTIF($A$2:A18,A18)&gt;1,"Duplicate",""))</f>
        <v/>
      </c>
      <c r="K18" s="36" t="str">
        <f aca="false">IF(Raw_Export!$A18="","",IF(J18="Duplicate","Duplicate",IF(OR(C18="UNMAPPED",D18="UNMAPPED"),"Unmapped",IF(F18=0,"Blank qty",IF(F18&lt;0,"Return","OK")))))</f>
        <v>OK</v>
      </c>
      <c r="L18" s="36" t="n">
        <f aca="false">IF(Raw_Export!$A18="","",IF(OR(K18="OK",K18="Return"),1,0))</f>
        <v>1</v>
      </c>
      <c r="M18" s="37" t="n">
        <f aca="false">IF(Raw_Export!$A18="","",B18-WEEKDAY(B18,2)+1)</f>
        <v>46265</v>
      </c>
    </row>
    <row r="19" customFormat="false" ht="15" hidden="false" customHeight="false" outlineLevel="0" collapsed="false">
      <c r="A19" s="36" t="str">
        <f aca="false">IF(Raw_Export!$A19="","",TRIM(Raw_Export!A19))</f>
        <v>TXN-100018</v>
      </c>
      <c r="B19" s="37" t="n">
        <f aca="false">IF(Raw_Export!$A19="","",IF(ISNUMBER(Raw_Export!B19),Raw_Export!B19,IF(MID(TRIM(Raw_Export!B19),5,1)="-",DATE(LEFT(TRIM(Raw_Export!B19),4),MID(TRIM(Raw_Export!B19),6,2),RIGHT(TRIM(Raw_Export!B19),2)),DATE(RIGHT(TRIM(Raw_Export!B19),4),MATCH(MID(TRIM(Raw_Export!B19),4,3),{"Jan","Feb","Mar","Apr","May","Jun","Jul","Aug","Sep","Oct","Nov","Dec"},0),LEFT(TRIM(Raw_Export!B19),2)))))</f>
        <v>46265</v>
      </c>
      <c r="C19" s="36" t="str">
        <f aca="false">IF(Raw_Export!$A19="","",IFERROR(VLOOKUP(LOWER(TRIM(Raw_Export!C19)),Maps!$A$2:$B$20,2,FALSE()),"UNMAPPED"))</f>
        <v>Nairobi CBD</v>
      </c>
      <c r="D19" s="36" t="str">
        <f aca="false">IF(Raw_Export!$A19="","",IFERROR(VLOOKUP(LOWER(TRIM(Raw_Export!D19)),Maps!$G$2:$I$80,2,FALSE()),"UNMAPPED"))</f>
        <v>Cheddar 200g</v>
      </c>
      <c r="E19" s="36" t="str">
        <f aca="false">IF(Raw_Export!$A19="","",IFERROR(VLOOKUP(LOWER(TRIM(Raw_Export!D19)),Maps!$G$2:$I$80,3,FALSE()),"UNMAPPED"))</f>
        <v>Dairy &amp; Eggs</v>
      </c>
      <c r="F19" s="36" t="n">
        <f aca="false">IF(Raw_Export!$A19="","",IFERROR(VALUE(TRIM(Raw_Export!E19)),0))</f>
        <v>6</v>
      </c>
      <c r="G19" s="38" t="n">
        <f aca="false">IF(Raw_Export!$A19="","",IFERROR(VALUE(SUBSTITUTE(SUBSTITUTE(UPPER(TRIM(Raw_Export!F19)),"KES",""),",","")),0))</f>
        <v>380</v>
      </c>
      <c r="H19" s="38" t="n">
        <f aca="false">IF(Raw_Export!$A19="","",F19*G19)</f>
        <v>2280</v>
      </c>
      <c r="I19" s="36" t="str">
        <f aca="false">IF(Raw_Export!$A19="","",IFERROR(VLOOKUP(LOWER(TRIM(Raw_Export!H19)),Maps!$D$2:$E$12,2,FALSE()),"Other"))</f>
        <v>M-Pesa</v>
      </c>
      <c r="J19" s="36" t="str">
        <f aca="false">IF(Raw_Export!$A19="","",IF(COUNTIF($A$2:A19,A19)&gt;1,"Duplicate",""))</f>
        <v/>
      </c>
      <c r="K19" s="36" t="str">
        <f aca="false">IF(Raw_Export!$A19="","",IF(J19="Duplicate","Duplicate",IF(OR(C19="UNMAPPED",D19="UNMAPPED"),"Unmapped",IF(F19=0,"Blank qty",IF(F19&lt;0,"Return","OK")))))</f>
        <v>OK</v>
      </c>
      <c r="L19" s="36" t="n">
        <f aca="false">IF(Raw_Export!$A19="","",IF(OR(K19="OK",K19="Return"),1,0))</f>
        <v>1</v>
      </c>
      <c r="M19" s="37" t="n">
        <f aca="false">IF(Raw_Export!$A19="","",B19-WEEKDAY(B19,2)+1)</f>
        <v>46265</v>
      </c>
    </row>
    <row r="20" customFormat="false" ht="15" hidden="false" customHeight="false" outlineLevel="0" collapsed="false">
      <c r="A20" s="36" t="str">
        <f aca="false">IF(Raw_Export!$A20="","",TRIM(Raw_Export!A20))</f>
        <v>TXN-100019</v>
      </c>
      <c r="B20" s="37" t="n">
        <f aca="false">IF(Raw_Export!$A20="","",IF(ISNUMBER(Raw_Export!B20),Raw_Export!B20,IF(MID(TRIM(Raw_Export!B20),5,1)="-",DATE(LEFT(TRIM(Raw_Export!B20),4),MID(TRIM(Raw_Export!B20),6,2),RIGHT(TRIM(Raw_Export!B20),2)),DATE(RIGHT(TRIM(Raw_Export!B20),4),MATCH(MID(TRIM(Raw_Export!B20),4,3),{"Jan","Feb","Mar","Apr","May","Jun","Jul","Aug","Sep","Oct","Nov","Dec"},0),LEFT(TRIM(Raw_Export!B20),2)))))</f>
        <v>46265</v>
      </c>
      <c r="C20" s="36" t="str">
        <f aca="false">IF(Raw_Export!$A20="","",IFERROR(VLOOKUP(LOWER(TRIM(Raw_Export!C20)),Maps!$A$2:$B$20,2,FALSE()),"UNMAPPED"))</f>
        <v>Nairobi CBD</v>
      </c>
      <c r="D20" s="36" t="str">
        <f aca="false">IF(Raw_Export!$A20="","",IFERROR(VLOOKUP(LOWER(TRIM(Raw_Export!D20)),Maps!$G$2:$I$80,2,FALSE()),"UNMAPPED"))</f>
        <v>Chocolate Bar 90g</v>
      </c>
      <c r="E20" s="36" t="str">
        <f aca="false">IF(Raw_Export!$A20="","",IFERROR(VLOOKUP(LOWER(TRIM(Raw_Export!D20)),Maps!$G$2:$I$80,3,FALSE()),"UNMAPPED"))</f>
        <v>Snacks</v>
      </c>
      <c r="F20" s="36" t="n">
        <f aca="false">IF(Raw_Export!$A20="","",IFERROR(VALUE(TRIM(Raw_Export!E20)),0))</f>
        <v>1</v>
      </c>
      <c r="G20" s="38" t="n">
        <f aca="false">IF(Raw_Export!$A20="","",IFERROR(VALUE(SUBSTITUTE(SUBSTITUTE(UPPER(TRIM(Raw_Export!F20)),"KES",""),",","")),0))</f>
        <v>140</v>
      </c>
      <c r="H20" s="38" t="n">
        <f aca="false">IF(Raw_Export!$A20="","",F20*G20)</f>
        <v>140</v>
      </c>
      <c r="I20" s="36" t="str">
        <f aca="false">IF(Raw_Export!$A20="","",IFERROR(VLOOKUP(LOWER(TRIM(Raw_Export!H20)),Maps!$D$2:$E$12,2,FALSE()),"Other"))</f>
        <v>Cash</v>
      </c>
      <c r="J20" s="36" t="str">
        <f aca="false">IF(Raw_Export!$A20="","",IF(COUNTIF($A$2:A20,A20)&gt;1,"Duplicate",""))</f>
        <v/>
      </c>
      <c r="K20" s="36" t="str">
        <f aca="false">IF(Raw_Export!$A20="","",IF(J20="Duplicate","Duplicate",IF(OR(C20="UNMAPPED",D20="UNMAPPED"),"Unmapped",IF(F20=0,"Blank qty",IF(F20&lt;0,"Return","OK")))))</f>
        <v>OK</v>
      </c>
      <c r="L20" s="36" t="n">
        <f aca="false">IF(Raw_Export!$A20="","",IF(OR(K20="OK",K20="Return"),1,0))</f>
        <v>1</v>
      </c>
      <c r="M20" s="37" t="n">
        <f aca="false">IF(Raw_Export!$A20="","",B20-WEEKDAY(B20,2)+1)</f>
        <v>46265</v>
      </c>
    </row>
    <row r="21" customFormat="false" ht="15" hidden="false" customHeight="false" outlineLevel="0" collapsed="false">
      <c r="A21" s="36" t="str">
        <f aca="false">IF(Raw_Export!$A21="","",TRIM(Raw_Export!A21))</f>
        <v>TXN-100020</v>
      </c>
      <c r="B21" s="37" t="n">
        <f aca="false">IF(Raw_Export!$A21="","",IF(ISNUMBER(Raw_Export!B21),Raw_Export!B21,IF(MID(TRIM(Raw_Export!B21),5,1)="-",DATE(LEFT(TRIM(Raw_Export!B21),4),MID(TRIM(Raw_Export!B21),6,2),RIGHT(TRIM(Raw_Export!B21),2)),DATE(RIGHT(TRIM(Raw_Export!B21),4),MATCH(MID(TRIM(Raw_Export!B21),4,3),{"Jan","Feb","Mar","Apr","May","Jun","Jul","Aug","Sep","Oct","Nov","Dec"},0),LEFT(TRIM(Raw_Export!B21),2)))))</f>
        <v>46265</v>
      </c>
      <c r="C21" s="36" t="str">
        <f aca="false">IF(Raw_Export!$A21="","",IFERROR(VLOOKUP(LOWER(TRIM(Raw_Export!C21)),Maps!$A$2:$B$20,2,FALSE()),"UNMAPPED"))</f>
        <v>Nairobi CBD</v>
      </c>
      <c r="D21" s="36" t="str">
        <f aca="false">IF(Raw_Export!$A21="","",IFERROR(VLOOKUP(LOWER(TRIM(Raw_Export!D21)),Maps!$G$2:$I$80,2,FALSE()),"UNMAPPED"))</f>
        <v>Salt 500g</v>
      </c>
      <c r="E21" s="36" t="str">
        <f aca="false">IF(Raw_Export!$A21="","",IFERROR(VLOOKUP(LOWER(TRIM(Raw_Export!D21)),Maps!$G$2:$I$80,3,FALSE()),"UNMAPPED"))</f>
        <v>Staples</v>
      </c>
      <c r="F21" s="36" t="n">
        <f aca="false">IF(Raw_Export!$A21="","",IFERROR(VALUE(TRIM(Raw_Export!E21)),0))</f>
        <v>4</v>
      </c>
      <c r="G21" s="38" t="n">
        <f aca="false">IF(Raw_Export!$A21="","",IFERROR(VALUE(SUBSTITUTE(SUBSTITUTE(UPPER(TRIM(Raw_Export!F21)),"KES",""),",","")),0))</f>
        <v>36</v>
      </c>
      <c r="H21" s="38" t="n">
        <f aca="false">IF(Raw_Export!$A21="","",F21*G21)</f>
        <v>144</v>
      </c>
      <c r="I21" s="36" t="str">
        <f aca="false">IF(Raw_Export!$A21="","",IFERROR(VLOOKUP(LOWER(TRIM(Raw_Export!H21)),Maps!$D$2:$E$12,2,FALSE()),"Other"))</f>
        <v>Cash</v>
      </c>
      <c r="J21" s="36" t="str">
        <f aca="false">IF(Raw_Export!$A21="","",IF(COUNTIF($A$2:A21,A21)&gt;1,"Duplicate",""))</f>
        <v/>
      </c>
      <c r="K21" s="36" t="str">
        <f aca="false">IF(Raw_Export!$A21="","",IF(J21="Duplicate","Duplicate",IF(OR(C21="UNMAPPED",D21="UNMAPPED"),"Unmapped",IF(F21=0,"Blank qty",IF(F21&lt;0,"Return","OK")))))</f>
        <v>OK</v>
      </c>
      <c r="L21" s="36" t="n">
        <f aca="false">IF(Raw_Export!$A21="","",IF(OR(K21="OK",K21="Return"),1,0))</f>
        <v>1</v>
      </c>
      <c r="M21" s="37" t="n">
        <f aca="false">IF(Raw_Export!$A21="","",B21-WEEKDAY(B21,2)+1)</f>
        <v>46265</v>
      </c>
    </row>
    <row r="22" customFormat="false" ht="15" hidden="false" customHeight="false" outlineLevel="0" collapsed="false">
      <c r="A22" s="36" t="str">
        <f aca="false">IF(Raw_Export!$A22="","",TRIM(Raw_Export!A22))</f>
        <v>TXN-100021</v>
      </c>
      <c r="B22" s="37" t="n">
        <f aca="false">IF(Raw_Export!$A22="","",IF(ISNUMBER(Raw_Export!B22),Raw_Export!B22,IF(MID(TRIM(Raw_Export!B22),5,1)="-",DATE(LEFT(TRIM(Raw_Export!B22),4),MID(TRIM(Raw_Export!B22),6,2),RIGHT(TRIM(Raw_Export!B22),2)),DATE(RIGHT(TRIM(Raw_Export!B22),4),MATCH(MID(TRIM(Raw_Export!B22),4,3),{"Jan","Feb","Mar","Apr","May","Jun","Jul","Aug","Sep","Oct","Nov","Dec"},0),LEFT(TRIM(Raw_Export!B22),2)))))</f>
        <v>46265</v>
      </c>
      <c r="C22" s="36" t="str">
        <f aca="false">IF(Raw_Export!$A22="","",IFERROR(VLOOKUP(LOWER(TRIM(Raw_Export!C22)),Maps!$A$2:$B$20,2,FALSE()),"UNMAPPED"))</f>
        <v>Nairobi CBD</v>
      </c>
      <c r="D22" s="36" t="str">
        <f aca="false">IF(Raw_Export!$A22="","",IFERROR(VLOOKUP(LOWER(TRIM(Raw_Export!D22)),Maps!$G$2:$I$80,2,FALSE()),"UNMAPPED"))</f>
        <v>Spaghetti 400g</v>
      </c>
      <c r="E22" s="36" t="str">
        <f aca="false">IF(Raw_Export!$A22="","",IFERROR(VLOOKUP(LOWER(TRIM(Raw_Export!D22)),Maps!$G$2:$I$80,3,FALSE()),"UNMAPPED"))</f>
        <v>Staples</v>
      </c>
      <c r="F22" s="36" t="n">
        <f aca="false">IF(Raw_Export!$A22="","",IFERROR(VALUE(TRIM(Raw_Export!E22)),0))</f>
        <v>6</v>
      </c>
      <c r="G22" s="38" t="n">
        <f aca="false">IF(Raw_Export!$A22="","",IFERROR(VALUE(SUBSTITUTE(SUBSTITUTE(UPPER(TRIM(Raw_Export!F22)),"KES",""),",","")),0))</f>
        <v>110</v>
      </c>
      <c r="H22" s="38" t="n">
        <f aca="false">IF(Raw_Export!$A22="","",F22*G22)</f>
        <v>660</v>
      </c>
      <c r="I22" s="36" t="str">
        <f aca="false">IF(Raw_Export!$A22="","",IFERROR(VLOOKUP(LOWER(TRIM(Raw_Export!H22)),Maps!$D$2:$E$12,2,FALSE()),"Other"))</f>
        <v>M-Pesa</v>
      </c>
      <c r="J22" s="36" t="str">
        <f aca="false">IF(Raw_Export!$A22="","",IF(COUNTIF($A$2:A22,A22)&gt;1,"Duplicate",""))</f>
        <v/>
      </c>
      <c r="K22" s="36" t="str">
        <f aca="false">IF(Raw_Export!$A22="","",IF(J22="Duplicate","Duplicate",IF(OR(C22="UNMAPPED",D22="UNMAPPED"),"Unmapped",IF(F22=0,"Blank qty",IF(F22&lt;0,"Return","OK")))))</f>
        <v>OK</v>
      </c>
      <c r="L22" s="36" t="n">
        <f aca="false">IF(Raw_Export!$A22="","",IF(OR(K22="OK",K22="Return"),1,0))</f>
        <v>1</v>
      </c>
      <c r="M22" s="37" t="n">
        <f aca="false">IF(Raw_Export!$A22="","",B22-WEEKDAY(B22,2)+1)</f>
        <v>46265</v>
      </c>
    </row>
    <row r="23" customFormat="false" ht="15" hidden="false" customHeight="false" outlineLevel="0" collapsed="false">
      <c r="A23" s="36" t="str">
        <f aca="false">IF(Raw_Export!$A23="","",TRIM(Raw_Export!A23))</f>
        <v>TXN-100022</v>
      </c>
      <c r="B23" s="37" t="n">
        <f aca="false">IF(Raw_Export!$A23="","",IF(ISNUMBER(Raw_Export!B23),Raw_Export!B23,IF(MID(TRIM(Raw_Export!B23),5,1)="-",DATE(LEFT(TRIM(Raw_Export!B23),4),MID(TRIM(Raw_Export!B23),6,2),RIGHT(TRIM(Raw_Export!B23),2)),DATE(RIGHT(TRIM(Raw_Export!B23),4),MATCH(MID(TRIM(Raw_Export!B23),4,3),{"Jan","Feb","Mar","Apr","May","Jun","Jul","Aug","Sep","Oct","Nov","Dec"},0),LEFT(TRIM(Raw_Export!B23),2)))))</f>
        <v>46265</v>
      </c>
      <c r="C23" s="36" t="str">
        <f aca="false">IF(Raw_Export!$A23="","",IFERROR(VLOOKUP(LOWER(TRIM(Raw_Export!C23)),Maps!$A$2:$B$20,2,FALSE()),"UNMAPPED"))</f>
        <v>Nairobi CBD</v>
      </c>
      <c r="D23" s="36" t="str">
        <f aca="false">IF(Raw_Export!$A23="","",IFERROR(VLOOKUP(LOWER(TRIM(Raw_Export!D23)),Maps!$G$2:$I$80,2,FALSE()),"UNMAPPED"))</f>
        <v>Tea Leaves 250g</v>
      </c>
      <c r="E23" s="36" t="str">
        <f aca="false">IF(Raw_Export!$A23="","",IFERROR(VLOOKUP(LOWER(TRIM(Raw_Export!D23)),Maps!$G$2:$I$80,3,FALSE()),"UNMAPPED"))</f>
        <v>Beverages</v>
      </c>
      <c r="F23" s="36" t="n">
        <f aca="false">IF(Raw_Export!$A23="","",IFERROR(VALUE(TRIM(Raw_Export!E23)),0))</f>
        <v>6</v>
      </c>
      <c r="G23" s="38" t="n">
        <f aca="false">IF(Raw_Export!$A23="","",IFERROR(VALUE(SUBSTITUTE(SUBSTITUTE(UPPER(TRIM(Raw_Export!F23)),"KES",""),",","")),0))</f>
        <v>150</v>
      </c>
      <c r="H23" s="38" t="n">
        <f aca="false">IF(Raw_Export!$A23="","",F23*G23)</f>
        <v>900</v>
      </c>
      <c r="I23" s="36" t="str">
        <f aca="false">IF(Raw_Export!$A23="","",IFERROR(VLOOKUP(LOWER(TRIM(Raw_Export!H23)),Maps!$D$2:$E$12,2,FALSE()),"Other"))</f>
        <v>M-Pesa</v>
      </c>
      <c r="J23" s="36" t="str">
        <f aca="false">IF(Raw_Export!$A23="","",IF(COUNTIF($A$2:A23,A23)&gt;1,"Duplicate",""))</f>
        <v/>
      </c>
      <c r="K23" s="36" t="str">
        <f aca="false">IF(Raw_Export!$A23="","",IF(J23="Duplicate","Duplicate",IF(OR(C23="UNMAPPED",D23="UNMAPPED"),"Unmapped",IF(F23=0,"Blank qty",IF(F23&lt;0,"Return","OK")))))</f>
        <v>OK</v>
      </c>
      <c r="L23" s="36" t="n">
        <f aca="false">IF(Raw_Export!$A23="","",IF(OR(K23="OK",K23="Return"),1,0))</f>
        <v>1</v>
      </c>
      <c r="M23" s="37" t="n">
        <f aca="false">IF(Raw_Export!$A23="","",B23-WEEKDAY(B23,2)+1)</f>
        <v>46265</v>
      </c>
    </row>
    <row r="24" customFormat="false" ht="15" hidden="false" customHeight="false" outlineLevel="0" collapsed="false">
      <c r="A24" s="36" t="str">
        <f aca="false">IF(Raw_Export!$A24="","",TRIM(Raw_Export!A24))</f>
        <v>TXN-100023</v>
      </c>
      <c r="B24" s="37" t="n">
        <f aca="false">IF(Raw_Export!$A24="","",IF(ISNUMBER(Raw_Export!B24),Raw_Export!B24,IF(MID(TRIM(Raw_Export!B24),5,1)="-",DATE(LEFT(TRIM(Raw_Export!B24),4),MID(TRIM(Raw_Export!B24),6,2),RIGHT(TRIM(Raw_Export!B24),2)),DATE(RIGHT(TRIM(Raw_Export!B24),4),MATCH(MID(TRIM(Raw_Export!B24),4,3),{"Jan","Feb","Mar","Apr","May","Jun","Jul","Aug","Sep","Oct","Nov","Dec"},0),LEFT(TRIM(Raw_Export!B24),2)))))</f>
        <v>46265</v>
      </c>
      <c r="C24" s="36" t="str">
        <f aca="false">IF(Raw_Export!$A24="","",IFERROR(VLOOKUP(LOWER(TRIM(Raw_Export!C24)),Maps!$A$2:$B$20,2,FALSE()),"UNMAPPED"))</f>
        <v>Nairobi CBD</v>
      </c>
      <c r="D24" s="36" t="str">
        <f aca="false">IF(Raw_Export!$A24="","",IFERROR(VLOOKUP(LOWER(TRIM(Raw_Export!D24)),Maps!$G$2:$I$80,2,FALSE()),"UNMAPPED"))</f>
        <v>Butter 250g</v>
      </c>
      <c r="E24" s="36" t="str">
        <f aca="false">IF(Raw_Export!$A24="","",IFERROR(VLOOKUP(LOWER(TRIM(Raw_Export!D24)),Maps!$G$2:$I$80,3,FALSE()),"UNMAPPED"))</f>
        <v>Dairy &amp; Eggs</v>
      </c>
      <c r="F24" s="36" t="n">
        <f aca="false">IF(Raw_Export!$A24="","",IFERROR(VALUE(TRIM(Raw_Export!E24)),0))</f>
        <v>6</v>
      </c>
      <c r="G24" s="38" t="n">
        <f aca="false">IF(Raw_Export!$A24="","",IFERROR(VALUE(SUBSTITUTE(SUBSTITUTE(UPPER(TRIM(Raw_Export!F24)),"KES",""),",","")),0))</f>
        <v>310</v>
      </c>
      <c r="H24" s="38" t="n">
        <f aca="false">IF(Raw_Export!$A24="","",F24*G24)</f>
        <v>1860</v>
      </c>
      <c r="I24" s="36" t="str">
        <f aca="false">IF(Raw_Export!$A24="","",IFERROR(VLOOKUP(LOWER(TRIM(Raw_Export!H24)),Maps!$D$2:$E$12,2,FALSE()),"Other"))</f>
        <v>M-Pesa</v>
      </c>
      <c r="J24" s="36" t="str">
        <f aca="false">IF(Raw_Export!$A24="","",IF(COUNTIF($A$2:A24,A24)&gt;1,"Duplicate",""))</f>
        <v/>
      </c>
      <c r="K24" s="36" t="str">
        <f aca="false">IF(Raw_Export!$A24="","",IF(J24="Duplicate","Duplicate",IF(OR(C24="UNMAPPED",D24="UNMAPPED"),"Unmapped",IF(F24=0,"Blank qty",IF(F24&lt;0,"Return","OK")))))</f>
        <v>OK</v>
      </c>
      <c r="L24" s="36" t="n">
        <f aca="false">IF(Raw_Export!$A24="","",IF(OR(K24="OK",K24="Return"),1,0))</f>
        <v>1</v>
      </c>
      <c r="M24" s="37" t="n">
        <f aca="false">IF(Raw_Export!$A24="","",B24-WEEKDAY(B24,2)+1)</f>
        <v>46265</v>
      </c>
    </row>
    <row r="25" customFormat="false" ht="15" hidden="false" customHeight="false" outlineLevel="0" collapsed="false">
      <c r="A25" s="36" t="str">
        <f aca="false">IF(Raw_Export!$A25="","",TRIM(Raw_Export!A25))</f>
        <v>TXN-100024</v>
      </c>
      <c r="B25" s="37" t="n">
        <f aca="false">IF(Raw_Export!$A25="","",IF(ISNUMBER(Raw_Export!B25),Raw_Export!B25,IF(MID(TRIM(Raw_Export!B25),5,1)="-",DATE(LEFT(TRIM(Raw_Export!B25),4),MID(TRIM(Raw_Export!B25),6,2),RIGHT(TRIM(Raw_Export!B25),2)),DATE(RIGHT(TRIM(Raw_Export!B25),4),MATCH(MID(TRIM(Raw_Export!B25),4,3),{"Jan","Feb","Mar","Apr","May","Jun","Jul","Aug","Sep","Oct","Nov","Dec"},0),LEFT(TRIM(Raw_Export!B25),2)))))</f>
        <v>46265</v>
      </c>
      <c r="C25" s="36" t="str">
        <f aca="false">IF(Raw_Export!$A25="","",IFERROR(VLOOKUP(LOWER(TRIM(Raw_Export!C25)),Maps!$A$2:$B$20,2,FALSE()),"UNMAPPED"))</f>
        <v>Nairobi CBD</v>
      </c>
      <c r="D25" s="36" t="str">
        <f aca="false">IF(Raw_Export!$A25="","",IFERROR(VLOOKUP(LOWER(TRIM(Raw_Export!D25)),Maps!$G$2:$I$80,2,FALSE()),"UNMAPPED"))</f>
        <v>Soda 500ml</v>
      </c>
      <c r="E25" s="36" t="str">
        <f aca="false">IF(Raw_Export!$A25="","",IFERROR(VLOOKUP(LOWER(TRIM(Raw_Export!D25)),Maps!$G$2:$I$80,3,FALSE()),"UNMAPPED"))</f>
        <v>Beverages</v>
      </c>
      <c r="F25" s="36" t="n">
        <f aca="false">IF(Raw_Export!$A25="","",IFERROR(VALUE(TRIM(Raw_Export!E25)),0))</f>
        <v>4</v>
      </c>
      <c r="G25" s="38" t="n">
        <f aca="false">IF(Raw_Export!$A25="","",IFERROR(VALUE(SUBSTITUTE(SUBSTITUTE(UPPER(TRIM(Raw_Export!F25)),"KES",""),",","")),0))</f>
        <v>60</v>
      </c>
      <c r="H25" s="38" t="n">
        <f aca="false">IF(Raw_Export!$A25="","",F25*G25)</f>
        <v>240</v>
      </c>
      <c r="I25" s="36" t="str">
        <f aca="false">IF(Raw_Export!$A25="","",IFERROR(VLOOKUP(LOWER(TRIM(Raw_Export!H25)),Maps!$D$2:$E$12,2,FALSE()),"Other"))</f>
        <v>M-Pesa</v>
      </c>
      <c r="J25" s="36" t="str">
        <f aca="false">IF(Raw_Export!$A25="","",IF(COUNTIF($A$2:A25,A25)&gt;1,"Duplicate",""))</f>
        <v/>
      </c>
      <c r="K25" s="36" t="str">
        <f aca="false">IF(Raw_Export!$A25="","",IF(J25="Duplicate","Duplicate",IF(OR(C25="UNMAPPED",D25="UNMAPPED"),"Unmapped",IF(F25=0,"Blank qty",IF(F25&lt;0,"Return","OK")))))</f>
        <v>OK</v>
      </c>
      <c r="L25" s="36" t="n">
        <f aca="false">IF(Raw_Export!$A25="","",IF(OR(K25="OK",K25="Return"),1,0))</f>
        <v>1</v>
      </c>
      <c r="M25" s="37" t="n">
        <f aca="false">IF(Raw_Export!$A25="","",B25-WEEKDAY(B25,2)+1)</f>
        <v>46265</v>
      </c>
    </row>
    <row r="26" customFormat="false" ht="15" hidden="false" customHeight="false" outlineLevel="0" collapsed="false">
      <c r="A26" s="36" t="str">
        <f aca="false">IF(Raw_Export!$A26="","",TRIM(Raw_Export!A26))</f>
        <v>TXN-100025</v>
      </c>
      <c r="B26" s="37" t="n">
        <f aca="false">IF(Raw_Export!$A26="","",IF(ISNUMBER(Raw_Export!B26),Raw_Export!B26,IF(MID(TRIM(Raw_Export!B26),5,1)="-",DATE(LEFT(TRIM(Raw_Export!B26),4),MID(TRIM(Raw_Export!B26),6,2),RIGHT(TRIM(Raw_Export!B26),2)),DATE(RIGHT(TRIM(Raw_Export!B26),4),MATCH(MID(TRIM(Raw_Export!B26),4,3),{"Jan","Feb","Mar","Apr","May","Jun","Jul","Aug","Sep","Oct","Nov","Dec"},0),LEFT(TRIM(Raw_Export!B26),2)))))</f>
        <v>46265</v>
      </c>
      <c r="C26" s="36" t="str">
        <f aca="false">IF(Raw_Export!$A26="","",IFERROR(VLOOKUP(LOWER(TRIM(Raw_Export!C26)),Maps!$A$2:$B$20,2,FALSE()),"UNMAPPED"))</f>
        <v>Nairobi CBD</v>
      </c>
      <c r="D26" s="36" t="str">
        <f aca="false">IF(Raw_Export!$A26="","",IFERROR(VLOOKUP(LOWER(TRIM(Raw_Export!D26)),Maps!$G$2:$I$80,2,FALSE()),"UNMAPPED"))</f>
        <v>UNMAPPED</v>
      </c>
      <c r="E26" s="36" t="str">
        <f aca="false">IF(Raw_Export!$A26="","",IFERROR(VLOOKUP(LOWER(TRIM(Raw_Export!D26)),Maps!$G$2:$I$80,3,FALSE()),"UNMAPPED"))</f>
        <v>UNMAPPED</v>
      </c>
      <c r="F26" s="36" t="n">
        <f aca="false">IF(Raw_Export!$A26="","",IFERROR(VALUE(TRIM(Raw_Export!E26)),0))</f>
        <v>1</v>
      </c>
      <c r="G26" s="38" t="n">
        <f aca="false">IF(Raw_Export!$A26="","",IFERROR(VALUE(SUBSTITUTE(SUBSTITUTE(UPPER(TRIM(Raw_Export!F26)),"KES",""),",","")),0))</f>
        <v>90</v>
      </c>
      <c r="H26" s="38" t="n">
        <f aca="false">IF(Raw_Export!$A26="","",F26*G26)</f>
        <v>90</v>
      </c>
      <c r="I26" s="36" t="str">
        <f aca="false">IF(Raw_Export!$A26="","",IFERROR(VLOOKUP(LOWER(TRIM(Raw_Export!H26)),Maps!$D$2:$E$12,2,FALSE()),"Other"))</f>
        <v>Card</v>
      </c>
      <c r="J26" s="36" t="str">
        <f aca="false">IF(Raw_Export!$A26="","",IF(COUNTIF($A$2:A26,A26)&gt;1,"Duplicate",""))</f>
        <v/>
      </c>
      <c r="K26" s="36" t="str">
        <f aca="false">IF(Raw_Export!$A26="","",IF(J26="Duplicate","Duplicate",IF(OR(C26="UNMAPPED",D26="UNMAPPED"),"Unmapped",IF(F26=0,"Blank qty",IF(F26&lt;0,"Return","OK")))))</f>
        <v>Unmapped</v>
      </c>
      <c r="L26" s="36" t="n">
        <f aca="false">IF(Raw_Export!$A26="","",IF(OR(K26="OK",K26="Return"),1,0))</f>
        <v>0</v>
      </c>
      <c r="M26" s="37" t="n">
        <f aca="false">IF(Raw_Export!$A26="","",B26-WEEKDAY(B26,2)+1)</f>
        <v>46265</v>
      </c>
    </row>
    <row r="27" customFormat="false" ht="15" hidden="false" customHeight="false" outlineLevel="0" collapsed="false">
      <c r="A27" s="36" t="str">
        <f aca="false">IF(Raw_Export!$A27="","",TRIM(Raw_Export!A27))</f>
        <v>TXN-100026</v>
      </c>
      <c r="B27" s="37" t="n">
        <f aca="false">IF(Raw_Export!$A27="","",IF(ISNUMBER(Raw_Export!B27),Raw_Export!B27,IF(MID(TRIM(Raw_Export!B27),5,1)="-",DATE(LEFT(TRIM(Raw_Export!B27),4),MID(TRIM(Raw_Export!B27),6,2),RIGHT(TRIM(Raw_Export!B27),2)),DATE(RIGHT(TRIM(Raw_Export!B27),4),MATCH(MID(TRIM(Raw_Export!B27),4,3),{"Jan","Feb","Mar","Apr","May","Jun","Jul","Aug","Sep","Oct","Nov","Dec"},0),LEFT(TRIM(Raw_Export!B27),2)))))</f>
        <v>46265</v>
      </c>
      <c r="C27" s="36" t="str">
        <f aca="false">IF(Raw_Export!$A27="","",IFERROR(VLOOKUP(LOWER(TRIM(Raw_Export!C27)),Maps!$A$2:$B$20,2,FALSE()),"UNMAPPED"))</f>
        <v>Nairobi CBD</v>
      </c>
      <c r="D27" s="36" t="str">
        <f aca="false">IF(Raw_Export!$A27="","",IFERROR(VLOOKUP(LOWER(TRIM(Raw_Export!D27)),Maps!$G$2:$I$80,2,FALSE()),"UNMAPPED"))</f>
        <v>Unga Pembe 2kg</v>
      </c>
      <c r="E27" s="36" t="str">
        <f aca="false">IF(Raw_Export!$A27="","",IFERROR(VLOOKUP(LOWER(TRIM(Raw_Export!D27)),Maps!$G$2:$I$80,3,FALSE()),"UNMAPPED"))</f>
        <v>Staples</v>
      </c>
      <c r="F27" s="36" t="n">
        <f aca="false">IF(Raw_Export!$A27="","",IFERROR(VALUE(TRIM(Raw_Export!E27)),0))</f>
        <v>3</v>
      </c>
      <c r="G27" s="38" t="n">
        <f aca="false">IF(Raw_Export!$A27="","",IFERROR(VALUE(SUBSTITUTE(SUBSTITUTE(UPPER(TRIM(Raw_Export!F27)),"KES",""),",","")),0))</f>
        <v>190</v>
      </c>
      <c r="H27" s="38" t="n">
        <f aca="false">IF(Raw_Export!$A27="","",F27*G27)</f>
        <v>570</v>
      </c>
      <c r="I27" s="36" t="str">
        <f aca="false">IF(Raw_Export!$A27="","",IFERROR(VLOOKUP(LOWER(TRIM(Raw_Export!H27)),Maps!$D$2:$E$12,2,FALSE()),"Other"))</f>
        <v>M-Pesa</v>
      </c>
      <c r="J27" s="36" t="str">
        <f aca="false">IF(Raw_Export!$A27="","",IF(COUNTIF($A$2:A27,A27)&gt;1,"Duplicate",""))</f>
        <v/>
      </c>
      <c r="K27" s="36" t="str">
        <f aca="false">IF(Raw_Export!$A27="","",IF(J27="Duplicate","Duplicate",IF(OR(C27="UNMAPPED",D27="UNMAPPED"),"Unmapped",IF(F27=0,"Blank qty",IF(F27&lt;0,"Return","OK")))))</f>
        <v>OK</v>
      </c>
      <c r="L27" s="36" t="n">
        <f aca="false">IF(Raw_Export!$A27="","",IF(OR(K27="OK",K27="Return"),1,0))</f>
        <v>1</v>
      </c>
      <c r="M27" s="37" t="n">
        <f aca="false">IF(Raw_Export!$A27="","",B27-WEEKDAY(B27,2)+1)</f>
        <v>46265</v>
      </c>
    </row>
    <row r="28" customFormat="false" ht="15" hidden="false" customHeight="false" outlineLevel="0" collapsed="false">
      <c r="A28" s="36" t="str">
        <f aca="false">IF(Raw_Export!$A28="","",TRIM(Raw_Export!A28))</f>
        <v>TXN-100027</v>
      </c>
      <c r="B28" s="37" t="n">
        <f aca="false">IF(Raw_Export!$A28="","",IF(ISNUMBER(Raw_Export!B28),Raw_Export!B28,IF(MID(TRIM(Raw_Export!B28),5,1)="-",DATE(LEFT(TRIM(Raw_Export!B28),4),MID(TRIM(Raw_Export!B28),6,2),RIGHT(TRIM(Raw_Export!B28),2)),DATE(RIGHT(TRIM(Raw_Export!B28),4),MATCH(MID(TRIM(Raw_Export!B28),4,3),{"Jan","Feb","Mar","Apr","May","Jun","Jul","Aug","Sep","Oct","Nov","Dec"},0),LEFT(TRIM(Raw_Export!B28),2)))))</f>
        <v>46265</v>
      </c>
      <c r="C28" s="36" t="str">
        <f aca="false">IF(Raw_Export!$A28="","",IFERROR(VLOOKUP(LOWER(TRIM(Raw_Export!C28)),Maps!$A$2:$B$20,2,FALSE()),"UNMAPPED"))</f>
        <v>Nairobi CBD</v>
      </c>
      <c r="D28" s="36" t="str">
        <f aca="false">IF(Raw_Export!$A28="","",IFERROR(VLOOKUP(LOWER(TRIM(Raw_Export!D28)),Maps!$G$2:$I$80,2,FALSE()),"UNMAPPED"))</f>
        <v>Coffee 100g</v>
      </c>
      <c r="E28" s="36" t="str">
        <f aca="false">IF(Raw_Export!$A28="","",IFERROR(VLOOKUP(LOWER(TRIM(Raw_Export!D28)),Maps!$G$2:$I$80,3,FALSE()),"UNMAPPED"))</f>
        <v>Beverages</v>
      </c>
      <c r="F28" s="36" t="n">
        <f aca="false">IF(Raw_Export!$A28="","",IFERROR(VALUE(TRIM(Raw_Export!E28)),0))</f>
        <v>6</v>
      </c>
      <c r="G28" s="38" t="n">
        <f aca="false">IF(Raw_Export!$A28="","",IFERROR(VALUE(SUBSTITUTE(SUBSTITUTE(UPPER(TRIM(Raw_Export!F28)),"KES",""),",","")),0))</f>
        <v>360</v>
      </c>
      <c r="H28" s="38" t="n">
        <f aca="false">IF(Raw_Export!$A28="","",F28*G28)</f>
        <v>2160</v>
      </c>
      <c r="I28" s="36" t="str">
        <f aca="false">IF(Raw_Export!$A28="","",IFERROR(VLOOKUP(LOWER(TRIM(Raw_Export!H28)),Maps!$D$2:$E$12,2,FALSE()),"Other"))</f>
        <v>Card</v>
      </c>
      <c r="J28" s="36" t="str">
        <f aca="false">IF(Raw_Export!$A28="","",IF(COUNTIF($A$2:A28,A28)&gt;1,"Duplicate",""))</f>
        <v/>
      </c>
      <c r="K28" s="36" t="str">
        <f aca="false">IF(Raw_Export!$A28="","",IF(J28="Duplicate","Duplicate",IF(OR(C28="UNMAPPED",D28="UNMAPPED"),"Unmapped",IF(F28=0,"Blank qty",IF(F28&lt;0,"Return","OK")))))</f>
        <v>OK</v>
      </c>
      <c r="L28" s="36" t="n">
        <f aca="false">IF(Raw_Export!$A28="","",IF(OR(K28="OK",K28="Return"),1,0))</f>
        <v>1</v>
      </c>
      <c r="M28" s="37" t="n">
        <f aca="false">IF(Raw_Export!$A28="","",B28-WEEKDAY(B28,2)+1)</f>
        <v>46265</v>
      </c>
    </row>
    <row r="29" customFormat="false" ht="15" hidden="false" customHeight="false" outlineLevel="0" collapsed="false">
      <c r="A29" s="36" t="str">
        <f aca="false">IF(Raw_Export!$A29="","",TRIM(Raw_Export!A29))</f>
        <v>TXN-100028</v>
      </c>
      <c r="B29" s="37" t="n">
        <f aca="false">IF(Raw_Export!$A29="","",IF(ISNUMBER(Raw_Export!B29),Raw_Export!B29,IF(MID(TRIM(Raw_Export!B29),5,1)="-",DATE(LEFT(TRIM(Raw_Export!B29),4),MID(TRIM(Raw_Export!B29),6,2),RIGHT(TRIM(Raw_Export!B29),2)),DATE(RIGHT(TRIM(Raw_Export!B29),4),MATCH(MID(TRIM(Raw_Export!B29),4,3),{"Jan","Feb","Mar","Apr","May","Jun","Jul","Aug","Sep","Oct","Nov","Dec"},0),LEFT(TRIM(Raw_Export!B29),2)))))</f>
        <v>46265</v>
      </c>
      <c r="C29" s="36" t="str">
        <f aca="false">IF(Raw_Export!$A29="","",IFERROR(VLOOKUP(LOWER(TRIM(Raw_Export!C29)),Maps!$A$2:$B$20,2,FALSE()),"UNMAPPED"))</f>
        <v>Nairobi CBD</v>
      </c>
      <c r="D29" s="36" t="str">
        <f aca="false">IF(Raw_Export!$A29="","",IFERROR(VLOOKUP(LOWER(TRIM(Raw_Export!D29)),Maps!$G$2:$I$80,2,FALSE()),"UNMAPPED"))</f>
        <v>Cooking Oil 1L</v>
      </c>
      <c r="E29" s="36" t="str">
        <f aca="false">IF(Raw_Export!$A29="","",IFERROR(VLOOKUP(LOWER(TRIM(Raw_Export!D29)),Maps!$G$2:$I$80,3,FALSE()),"UNMAPPED"))</f>
        <v>Staples</v>
      </c>
      <c r="F29" s="36" t="n">
        <f aca="false">IF(Raw_Export!$A29="","",IFERROR(VALUE(TRIM(Raw_Export!E29)),0))</f>
        <v>6</v>
      </c>
      <c r="G29" s="38" t="n">
        <f aca="false">IF(Raw_Export!$A29="","",IFERROR(VALUE(SUBSTITUTE(SUBSTITUTE(UPPER(TRIM(Raw_Export!F29)),"KES",""),",","")),0))</f>
        <v>330</v>
      </c>
      <c r="H29" s="38" t="n">
        <f aca="false">IF(Raw_Export!$A29="","",F29*G29)</f>
        <v>1980</v>
      </c>
      <c r="I29" s="36" t="str">
        <f aca="false">IF(Raw_Export!$A29="","",IFERROR(VLOOKUP(LOWER(TRIM(Raw_Export!H29)),Maps!$D$2:$E$12,2,FALSE()),"Other"))</f>
        <v>Cash</v>
      </c>
      <c r="J29" s="36" t="str">
        <f aca="false">IF(Raw_Export!$A29="","",IF(COUNTIF($A$2:A29,A29)&gt;1,"Duplicate",""))</f>
        <v/>
      </c>
      <c r="K29" s="36" t="str">
        <f aca="false">IF(Raw_Export!$A29="","",IF(J29="Duplicate","Duplicate",IF(OR(C29="UNMAPPED",D29="UNMAPPED"),"Unmapped",IF(F29=0,"Blank qty",IF(F29&lt;0,"Return","OK")))))</f>
        <v>OK</v>
      </c>
      <c r="L29" s="36" t="n">
        <f aca="false">IF(Raw_Export!$A29="","",IF(OR(K29="OK",K29="Return"),1,0))</f>
        <v>1</v>
      </c>
      <c r="M29" s="37" t="n">
        <f aca="false">IF(Raw_Export!$A29="","",B29-WEEKDAY(B29,2)+1)</f>
        <v>46265</v>
      </c>
    </row>
    <row r="30" customFormat="false" ht="15" hidden="false" customHeight="false" outlineLevel="0" collapsed="false">
      <c r="A30" s="36" t="str">
        <f aca="false">IF(Raw_Export!$A30="","",TRIM(Raw_Export!A30))</f>
        <v>TXN-100029</v>
      </c>
      <c r="B30" s="37" t="n">
        <f aca="false">IF(Raw_Export!$A30="","",IF(ISNUMBER(Raw_Export!B30),Raw_Export!B30,IF(MID(TRIM(Raw_Export!B30),5,1)="-",DATE(LEFT(TRIM(Raw_Export!B30),4),MID(TRIM(Raw_Export!B30),6,2),RIGHT(TRIM(Raw_Export!B30),2)),DATE(RIGHT(TRIM(Raw_Export!B30),4),MATCH(MID(TRIM(Raw_Export!B30),4,3),{"Jan","Feb","Mar","Apr","May","Jun","Jul","Aug","Sep","Oct","Nov","Dec"},0),LEFT(TRIM(Raw_Export!B30),2)))))</f>
        <v>46265</v>
      </c>
      <c r="C30" s="36" t="str">
        <f aca="false">IF(Raw_Export!$A30="","",IFERROR(VLOOKUP(LOWER(TRIM(Raw_Export!C30)),Maps!$A$2:$B$20,2,FALSE()),"UNMAPPED"))</f>
        <v>Nairobi CBD</v>
      </c>
      <c r="D30" s="36" t="str">
        <f aca="false">IF(Raw_Export!$A30="","",IFERROR(VLOOKUP(LOWER(TRIM(Raw_Export!D30)),Maps!$G$2:$I$80,2,FALSE()),"UNMAPPED"))</f>
        <v>Coffee 100g</v>
      </c>
      <c r="E30" s="36" t="str">
        <f aca="false">IF(Raw_Export!$A30="","",IFERROR(VLOOKUP(LOWER(TRIM(Raw_Export!D30)),Maps!$G$2:$I$80,3,FALSE()),"UNMAPPED"))</f>
        <v>Beverages</v>
      </c>
      <c r="F30" s="36" t="n">
        <f aca="false">IF(Raw_Export!$A30="","",IFERROR(VALUE(TRIM(Raw_Export!E30)),0))</f>
        <v>6</v>
      </c>
      <c r="G30" s="38" t="n">
        <f aca="false">IF(Raw_Export!$A30="","",IFERROR(VALUE(SUBSTITUTE(SUBSTITUTE(UPPER(TRIM(Raw_Export!F30)),"KES",""),",","")),0))</f>
        <v>360</v>
      </c>
      <c r="H30" s="38" t="n">
        <f aca="false">IF(Raw_Export!$A30="","",F30*G30)</f>
        <v>2160</v>
      </c>
      <c r="I30" s="36" t="str">
        <f aca="false">IF(Raw_Export!$A30="","",IFERROR(VLOOKUP(LOWER(TRIM(Raw_Export!H30)),Maps!$D$2:$E$12,2,FALSE()),"Other"))</f>
        <v>M-Pesa</v>
      </c>
      <c r="J30" s="36" t="str">
        <f aca="false">IF(Raw_Export!$A30="","",IF(COUNTIF($A$2:A30,A30)&gt;1,"Duplicate",""))</f>
        <v/>
      </c>
      <c r="K30" s="36" t="str">
        <f aca="false">IF(Raw_Export!$A30="","",IF(J30="Duplicate","Duplicate",IF(OR(C30="UNMAPPED",D30="UNMAPPED"),"Unmapped",IF(F30=0,"Blank qty",IF(F30&lt;0,"Return","OK")))))</f>
        <v>OK</v>
      </c>
      <c r="L30" s="36" t="n">
        <f aca="false">IF(Raw_Export!$A30="","",IF(OR(K30="OK",K30="Return"),1,0))</f>
        <v>1</v>
      </c>
      <c r="M30" s="37" t="n">
        <f aca="false">IF(Raw_Export!$A30="","",B30-WEEKDAY(B30,2)+1)</f>
        <v>46265</v>
      </c>
    </row>
    <row r="31" customFormat="false" ht="15" hidden="false" customHeight="false" outlineLevel="0" collapsed="false">
      <c r="A31" s="36" t="str">
        <f aca="false">IF(Raw_Export!$A31="","",TRIM(Raw_Export!A31))</f>
        <v>TXN-100030</v>
      </c>
      <c r="B31" s="37" t="n">
        <f aca="false">IF(Raw_Export!$A31="","",IF(ISNUMBER(Raw_Export!B31),Raw_Export!B31,IF(MID(TRIM(Raw_Export!B31),5,1)="-",DATE(LEFT(TRIM(Raw_Export!B31),4),MID(TRIM(Raw_Export!B31),6,2),RIGHT(TRIM(Raw_Export!B31),2)),DATE(RIGHT(TRIM(Raw_Export!B31),4),MATCH(MID(TRIM(Raw_Export!B31),4,3),{"Jan","Feb","Mar","Apr","May","Jun","Jul","Aug","Sep","Oct","Nov","Dec"},0),LEFT(TRIM(Raw_Export!B31),2)))))</f>
        <v>46265</v>
      </c>
      <c r="C31" s="36" t="str">
        <f aca="false">IF(Raw_Export!$A31="","",IFERROR(VLOOKUP(LOWER(TRIM(Raw_Export!C31)),Maps!$A$2:$B$20,2,FALSE()),"UNMAPPED"))</f>
        <v>Nairobi CBD</v>
      </c>
      <c r="D31" s="36" t="str">
        <f aca="false">IF(Raw_Export!$A31="","",IFERROR(VLOOKUP(LOWER(TRIM(Raw_Export!D31)),Maps!$G$2:$I$80,2,FALSE()),"UNMAPPED"))</f>
        <v>Bath Soap 175g</v>
      </c>
      <c r="E31" s="36" t="str">
        <f aca="false">IF(Raw_Export!$A31="","",IFERROR(VLOOKUP(LOWER(TRIM(Raw_Export!D31)),Maps!$G$2:$I$80,3,FALSE()),"UNMAPPED"))</f>
        <v>Personal Care</v>
      </c>
      <c r="F31" s="36" t="n">
        <f aca="false">IF(Raw_Export!$A31="","",IFERROR(VALUE(TRIM(Raw_Export!E31)),0))</f>
        <v>1</v>
      </c>
      <c r="G31" s="38" t="n">
        <f aca="false">IF(Raw_Export!$A31="","",IFERROR(VALUE(SUBSTITUTE(SUBSTITUTE(UPPER(TRIM(Raw_Export!F31)),"KES",""),",","")),0))</f>
        <v>85</v>
      </c>
      <c r="H31" s="38" t="n">
        <f aca="false">IF(Raw_Export!$A31="","",F31*G31)</f>
        <v>85</v>
      </c>
      <c r="I31" s="36" t="str">
        <f aca="false">IF(Raw_Export!$A31="","",IFERROR(VLOOKUP(LOWER(TRIM(Raw_Export!H31)),Maps!$D$2:$E$12,2,FALSE()),"Other"))</f>
        <v>Card</v>
      </c>
      <c r="J31" s="36" t="str">
        <f aca="false">IF(Raw_Export!$A31="","",IF(COUNTIF($A$2:A31,A31)&gt;1,"Duplicate",""))</f>
        <v/>
      </c>
      <c r="K31" s="36" t="str">
        <f aca="false">IF(Raw_Export!$A31="","",IF(J31="Duplicate","Duplicate",IF(OR(C31="UNMAPPED",D31="UNMAPPED"),"Unmapped",IF(F31=0,"Blank qty",IF(F31&lt;0,"Return","OK")))))</f>
        <v>OK</v>
      </c>
      <c r="L31" s="36" t="n">
        <f aca="false">IF(Raw_Export!$A31="","",IF(OR(K31="OK",K31="Return"),1,0))</f>
        <v>1</v>
      </c>
      <c r="M31" s="37" t="n">
        <f aca="false">IF(Raw_Export!$A31="","",B31-WEEKDAY(B31,2)+1)</f>
        <v>46265</v>
      </c>
    </row>
    <row r="32" customFormat="false" ht="15" hidden="false" customHeight="false" outlineLevel="0" collapsed="false">
      <c r="A32" s="36" t="str">
        <f aca="false">IF(Raw_Export!$A32="","",TRIM(Raw_Export!A32))</f>
        <v>TXN-100031</v>
      </c>
      <c r="B32" s="37" t="n">
        <f aca="false">IF(Raw_Export!$A32="","",IF(ISNUMBER(Raw_Export!B32),Raw_Export!B32,IF(MID(TRIM(Raw_Export!B32),5,1)="-",DATE(LEFT(TRIM(Raw_Export!B32),4),MID(TRIM(Raw_Export!B32),6,2),RIGHT(TRIM(Raw_Export!B32),2)),DATE(RIGHT(TRIM(Raw_Export!B32),4),MATCH(MID(TRIM(Raw_Export!B32),4,3),{"Jan","Feb","Mar","Apr","May","Jun","Jul","Aug","Sep","Oct","Nov","Dec"},0),LEFT(TRIM(Raw_Export!B32),2)))))</f>
        <v>46265</v>
      </c>
      <c r="C32" s="36" t="str">
        <f aca="false">IF(Raw_Export!$A32="","",IFERROR(VLOOKUP(LOWER(TRIM(Raw_Export!C32)),Maps!$A$2:$B$20,2,FALSE()),"UNMAPPED"))</f>
        <v>Nairobi CBD</v>
      </c>
      <c r="D32" s="36" t="str">
        <f aca="false">IF(Raw_Export!$A32="","",IFERROR(VLOOKUP(LOWER(TRIM(Raw_Export!D32)),Maps!$G$2:$I$80,2,FALSE()),"UNMAPPED"))</f>
        <v>Eggs Tray 30</v>
      </c>
      <c r="E32" s="36" t="str">
        <f aca="false">IF(Raw_Export!$A32="","",IFERROR(VLOOKUP(LOWER(TRIM(Raw_Export!D32)),Maps!$G$2:$I$80,3,FALSE()),"UNMAPPED"))</f>
        <v>Dairy &amp; Eggs</v>
      </c>
      <c r="F32" s="36" t="n">
        <f aca="false">IF(Raw_Export!$A32="","",IFERROR(VALUE(TRIM(Raw_Export!E32)),0))</f>
        <v>2</v>
      </c>
      <c r="G32" s="38" t="n">
        <f aca="false">IF(Raw_Export!$A32="","",IFERROR(VALUE(SUBSTITUTE(SUBSTITUTE(UPPER(TRIM(Raw_Export!F32)),"KES",""),",","")),0))</f>
        <v>450</v>
      </c>
      <c r="H32" s="38" t="n">
        <f aca="false">IF(Raw_Export!$A32="","",F32*G32)</f>
        <v>900</v>
      </c>
      <c r="I32" s="36" t="str">
        <f aca="false">IF(Raw_Export!$A32="","",IFERROR(VLOOKUP(LOWER(TRIM(Raw_Export!H32)),Maps!$D$2:$E$12,2,FALSE()),"Other"))</f>
        <v>Card</v>
      </c>
      <c r="J32" s="36" t="str">
        <f aca="false">IF(Raw_Export!$A32="","",IF(COUNTIF($A$2:A32,A32)&gt;1,"Duplicate",""))</f>
        <v/>
      </c>
      <c r="K32" s="36" t="str">
        <f aca="false">IF(Raw_Export!$A32="","",IF(J32="Duplicate","Duplicate",IF(OR(C32="UNMAPPED",D32="UNMAPPED"),"Unmapped",IF(F32=0,"Blank qty",IF(F32&lt;0,"Return","OK")))))</f>
        <v>OK</v>
      </c>
      <c r="L32" s="36" t="n">
        <f aca="false">IF(Raw_Export!$A32="","",IF(OR(K32="OK",K32="Return"),1,0))</f>
        <v>1</v>
      </c>
      <c r="M32" s="37" t="n">
        <f aca="false">IF(Raw_Export!$A32="","",B32-WEEKDAY(B32,2)+1)</f>
        <v>46265</v>
      </c>
    </row>
    <row r="33" customFormat="false" ht="15" hidden="false" customHeight="false" outlineLevel="0" collapsed="false">
      <c r="A33" s="36" t="str">
        <f aca="false">IF(Raw_Export!$A33="","",TRIM(Raw_Export!A33))</f>
        <v>TXN-100032</v>
      </c>
      <c r="B33" s="37" t="n">
        <f aca="false">IF(Raw_Export!$A33="","",IF(ISNUMBER(Raw_Export!B33),Raw_Export!B33,IF(MID(TRIM(Raw_Export!B33),5,1)="-",DATE(LEFT(TRIM(Raw_Export!B33),4),MID(TRIM(Raw_Export!B33),6,2),RIGHT(TRIM(Raw_Export!B33),2)),DATE(RIGHT(TRIM(Raw_Export!B33),4),MATCH(MID(TRIM(Raw_Export!B33),4,3),{"Jan","Feb","Mar","Apr","May","Jun","Jul","Aug","Sep","Oct","Nov","Dec"},0),LEFT(TRIM(Raw_Export!B33),2)))))</f>
        <v>46265</v>
      </c>
      <c r="C33" s="36" t="str">
        <f aca="false">IF(Raw_Export!$A33="","",IFERROR(VLOOKUP(LOWER(TRIM(Raw_Export!C33)),Maps!$A$2:$B$20,2,FALSE()),"UNMAPPED"))</f>
        <v>Nairobi CBD</v>
      </c>
      <c r="D33" s="36" t="str">
        <f aca="false">IF(Raw_Export!$A33="","",IFERROR(VLOOKUP(LOWER(TRIM(Raw_Export!D33)),Maps!$G$2:$I$80,2,FALSE()),"UNMAPPED"))</f>
        <v>Bleach 1L</v>
      </c>
      <c r="E33" s="36" t="str">
        <f aca="false">IF(Raw_Export!$A33="","",IFERROR(VLOOKUP(LOWER(TRIM(Raw_Export!D33)),Maps!$G$2:$I$80,3,FALSE()),"UNMAPPED"))</f>
        <v>Household</v>
      </c>
      <c r="F33" s="36" t="n">
        <f aca="false">IF(Raw_Export!$A33="","",IFERROR(VALUE(TRIM(Raw_Export!E33)),0))</f>
        <v>4</v>
      </c>
      <c r="G33" s="38" t="n">
        <f aca="false">IF(Raw_Export!$A33="","",IFERROR(VALUE(SUBSTITUTE(SUBSTITUTE(UPPER(TRIM(Raw_Export!F33)),"KES",""),",","")),0))</f>
        <v>160</v>
      </c>
      <c r="H33" s="38" t="n">
        <f aca="false">IF(Raw_Export!$A33="","",F33*G33)</f>
        <v>640</v>
      </c>
      <c r="I33" s="36" t="str">
        <f aca="false">IF(Raw_Export!$A33="","",IFERROR(VLOOKUP(LOWER(TRIM(Raw_Export!H33)),Maps!$D$2:$E$12,2,FALSE()),"Other"))</f>
        <v>Cash</v>
      </c>
      <c r="J33" s="36" t="str">
        <f aca="false">IF(Raw_Export!$A33="","",IF(COUNTIF($A$2:A33,A33)&gt;1,"Duplicate",""))</f>
        <v/>
      </c>
      <c r="K33" s="36" t="str">
        <f aca="false">IF(Raw_Export!$A33="","",IF(J33="Duplicate","Duplicate",IF(OR(C33="UNMAPPED",D33="UNMAPPED"),"Unmapped",IF(F33=0,"Blank qty",IF(F33&lt;0,"Return","OK")))))</f>
        <v>OK</v>
      </c>
      <c r="L33" s="36" t="n">
        <f aca="false">IF(Raw_Export!$A33="","",IF(OR(K33="OK",K33="Return"),1,0))</f>
        <v>1</v>
      </c>
      <c r="M33" s="37" t="n">
        <f aca="false">IF(Raw_Export!$A33="","",B33-WEEKDAY(B33,2)+1)</f>
        <v>46265</v>
      </c>
    </row>
    <row r="34" customFormat="false" ht="15" hidden="false" customHeight="false" outlineLevel="0" collapsed="false">
      <c r="A34" s="36" t="str">
        <f aca="false">IF(Raw_Export!$A34="","",TRIM(Raw_Export!A34))</f>
        <v>TXN-100033</v>
      </c>
      <c r="B34" s="37" t="n">
        <f aca="false">IF(Raw_Export!$A34="","",IF(ISNUMBER(Raw_Export!B34),Raw_Export!B34,IF(MID(TRIM(Raw_Export!B34),5,1)="-",DATE(LEFT(TRIM(Raw_Export!B34),4),MID(TRIM(Raw_Export!B34),6,2),RIGHT(TRIM(Raw_Export!B34),2)),DATE(RIGHT(TRIM(Raw_Export!B34),4),MATCH(MID(TRIM(Raw_Export!B34),4,3),{"Jan","Feb","Mar","Apr","May","Jun","Jul","Aug","Sep","Oct","Nov","Dec"},0),LEFT(TRIM(Raw_Export!B34),2)))))</f>
        <v>46265</v>
      </c>
      <c r="C34" s="36" t="str">
        <f aca="false">IF(Raw_Export!$A34="","",IFERROR(VLOOKUP(LOWER(TRIM(Raw_Export!C34)),Maps!$A$2:$B$20,2,FALSE()),"UNMAPPED"))</f>
        <v>Nairobi CBD</v>
      </c>
      <c r="D34" s="36" t="str">
        <f aca="false">IF(Raw_Export!$A34="","",IFERROR(VLOOKUP(LOWER(TRIM(Raw_Export!D34)),Maps!$G$2:$I$80,2,FALSE()),"UNMAPPED"))</f>
        <v>Soda 500ml</v>
      </c>
      <c r="E34" s="36" t="str">
        <f aca="false">IF(Raw_Export!$A34="","",IFERROR(VLOOKUP(LOWER(TRIM(Raw_Export!D34)),Maps!$G$2:$I$80,3,FALSE()),"UNMAPPED"))</f>
        <v>Beverages</v>
      </c>
      <c r="F34" s="36" t="n">
        <f aca="false">IF(Raw_Export!$A34="","",IFERROR(VALUE(TRIM(Raw_Export!E34)),0))</f>
        <v>1</v>
      </c>
      <c r="G34" s="38" t="n">
        <f aca="false">IF(Raw_Export!$A34="","",IFERROR(VALUE(SUBSTITUTE(SUBSTITUTE(UPPER(TRIM(Raw_Export!F34)),"KES",""),",","")),0))</f>
        <v>60</v>
      </c>
      <c r="H34" s="38" t="n">
        <f aca="false">IF(Raw_Export!$A34="","",F34*G34)</f>
        <v>60</v>
      </c>
      <c r="I34" s="36" t="str">
        <f aca="false">IF(Raw_Export!$A34="","",IFERROR(VLOOKUP(LOWER(TRIM(Raw_Export!H34)),Maps!$D$2:$E$12,2,FALSE()),"Other"))</f>
        <v>Cash</v>
      </c>
      <c r="J34" s="36" t="str">
        <f aca="false">IF(Raw_Export!$A34="","",IF(COUNTIF($A$2:A34,A34)&gt;1,"Duplicate",""))</f>
        <v/>
      </c>
      <c r="K34" s="36" t="str">
        <f aca="false">IF(Raw_Export!$A34="","",IF(J34="Duplicate","Duplicate",IF(OR(C34="UNMAPPED",D34="UNMAPPED"),"Unmapped",IF(F34=0,"Blank qty",IF(F34&lt;0,"Return","OK")))))</f>
        <v>OK</v>
      </c>
      <c r="L34" s="36" t="n">
        <f aca="false">IF(Raw_Export!$A34="","",IF(OR(K34="OK",K34="Return"),1,0))</f>
        <v>1</v>
      </c>
      <c r="M34" s="37" t="n">
        <f aca="false">IF(Raw_Export!$A34="","",B34-WEEKDAY(B34,2)+1)</f>
        <v>46265</v>
      </c>
    </row>
    <row r="35" customFormat="false" ht="15" hidden="false" customHeight="false" outlineLevel="0" collapsed="false">
      <c r="A35" s="36" t="str">
        <f aca="false">IF(Raw_Export!$A35="","",TRIM(Raw_Export!A35))</f>
        <v>TXN-100034</v>
      </c>
      <c r="B35" s="37" t="n">
        <f aca="false">IF(Raw_Export!$A35="","",IF(ISNUMBER(Raw_Export!B35),Raw_Export!B35,IF(MID(TRIM(Raw_Export!B35),5,1)="-",DATE(LEFT(TRIM(Raw_Export!B35),4),MID(TRIM(Raw_Export!B35),6,2),RIGHT(TRIM(Raw_Export!B35),2)),DATE(RIGHT(TRIM(Raw_Export!B35),4),MATCH(MID(TRIM(Raw_Export!B35),4,3),{"Jan","Feb","Mar","Apr","May","Jun","Jul","Aug","Sep","Oct","Nov","Dec"},0),LEFT(TRIM(Raw_Export!B35),2)))))</f>
        <v>46265</v>
      </c>
      <c r="C35" s="36" t="str">
        <f aca="false">IF(Raw_Export!$A35="","",IFERROR(VLOOKUP(LOWER(TRIM(Raw_Export!C35)),Maps!$A$2:$B$20,2,FALSE()),"UNMAPPED"))</f>
        <v>Nairobi CBD</v>
      </c>
      <c r="D35" s="36" t="str">
        <f aca="false">IF(Raw_Export!$A35="","",IFERROR(VLOOKUP(LOWER(TRIM(Raw_Export!D35)),Maps!$G$2:$I$80,2,FALSE()),"UNMAPPED"))</f>
        <v>Peanuts 250g</v>
      </c>
      <c r="E35" s="36" t="str">
        <f aca="false">IF(Raw_Export!$A35="","",IFERROR(VLOOKUP(LOWER(TRIM(Raw_Export!D35)),Maps!$G$2:$I$80,3,FALSE()),"UNMAPPED"))</f>
        <v>Snacks</v>
      </c>
      <c r="F35" s="36" t="n">
        <f aca="false">IF(Raw_Export!$A35="","",IFERROR(VALUE(TRIM(Raw_Export!E35)),0))</f>
        <v>2</v>
      </c>
      <c r="G35" s="38" t="n">
        <f aca="false">IF(Raw_Export!$A35="","",IFERROR(VALUE(SUBSTITUTE(SUBSTITUTE(UPPER(TRIM(Raw_Export!F35)),"KES",""),",","")),0))</f>
        <v>130</v>
      </c>
      <c r="H35" s="38" t="n">
        <f aca="false">IF(Raw_Export!$A35="","",F35*G35)</f>
        <v>260</v>
      </c>
      <c r="I35" s="36" t="str">
        <f aca="false">IF(Raw_Export!$A35="","",IFERROR(VLOOKUP(LOWER(TRIM(Raw_Export!H35)),Maps!$D$2:$E$12,2,FALSE()),"Other"))</f>
        <v>M-Pesa</v>
      </c>
      <c r="J35" s="36" t="str">
        <f aca="false">IF(Raw_Export!$A35="","",IF(COUNTIF($A$2:A35,A35)&gt;1,"Duplicate",""))</f>
        <v/>
      </c>
      <c r="K35" s="36" t="str">
        <f aca="false">IF(Raw_Export!$A35="","",IF(J35="Duplicate","Duplicate",IF(OR(C35="UNMAPPED",D35="UNMAPPED"),"Unmapped",IF(F35=0,"Blank qty",IF(F35&lt;0,"Return","OK")))))</f>
        <v>OK</v>
      </c>
      <c r="L35" s="36" t="n">
        <f aca="false">IF(Raw_Export!$A35="","",IF(OR(K35="OK",K35="Return"),1,0))</f>
        <v>1</v>
      </c>
      <c r="M35" s="37" t="n">
        <f aca="false">IF(Raw_Export!$A35="","",B35-WEEKDAY(B35,2)+1)</f>
        <v>46265</v>
      </c>
    </row>
    <row r="36" customFormat="false" ht="15" hidden="false" customHeight="false" outlineLevel="0" collapsed="false">
      <c r="A36" s="36" t="str">
        <f aca="false">IF(Raw_Export!$A36="","",TRIM(Raw_Export!A36))</f>
        <v>TXN-100035</v>
      </c>
      <c r="B36" s="37" t="n">
        <f aca="false">IF(Raw_Export!$A36="","",IF(ISNUMBER(Raw_Export!B36),Raw_Export!B36,IF(MID(TRIM(Raw_Export!B36),5,1)="-",DATE(LEFT(TRIM(Raw_Export!B36),4),MID(TRIM(Raw_Export!B36),6,2),RIGHT(TRIM(Raw_Export!B36),2)),DATE(RIGHT(TRIM(Raw_Export!B36),4),MATCH(MID(TRIM(Raw_Export!B36),4,3),{"Jan","Feb","Mar","Apr","May","Jun","Jul","Aug","Sep","Oct","Nov","Dec"},0),LEFT(TRIM(Raw_Export!B36),2)))))</f>
        <v>46265</v>
      </c>
      <c r="C36" s="36" t="str">
        <f aca="false">IF(Raw_Export!$A36="","",IFERROR(VLOOKUP(LOWER(TRIM(Raw_Export!C36)),Maps!$A$2:$B$20,2,FALSE()),"UNMAPPED"))</f>
        <v>Nairobi CBD</v>
      </c>
      <c r="D36" s="36" t="str">
        <f aca="false">IF(Raw_Export!$A36="","",IFERROR(VLOOKUP(LOWER(TRIM(Raw_Export!D36)),Maps!$G$2:$I$80,2,FALSE()),"UNMAPPED"))</f>
        <v>Body Lotion 400ml</v>
      </c>
      <c r="E36" s="36" t="str">
        <f aca="false">IF(Raw_Export!$A36="","",IFERROR(VLOOKUP(LOWER(TRIM(Raw_Export!D36)),Maps!$G$2:$I$80,3,FALSE()),"UNMAPPED"))</f>
        <v>Personal Care</v>
      </c>
      <c r="F36" s="36" t="n">
        <f aca="false">IF(Raw_Export!$A36="","",IFERROR(VALUE(TRIM(Raw_Export!E36)),0))</f>
        <v>1</v>
      </c>
      <c r="G36" s="38" t="n">
        <f aca="false">IF(Raw_Export!$A36="","",IFERROR(VALUE(SUBSTITUTE(SUBSTITUTE(UPPER(TRIM(Raw_Export!F36)),"KES",""),",","")),0))</f>
        <v>420</v>
      </c>
      <c r="H36" s="38" t="n">
        <f aca="false">IF(Raw_Export!$A36="","",F36*G36)</f>
        <v>420</v>
      </c>
      <c r="I36" s="36" t="str">
        <f aca="false">IF(Raw_Export!$A36="","",IFERROR(VLOOKUP(LOWER(TRIM(Raw_Export!H36)),Maps!$D$2:$E$12,2,FALSE()),"Other"))</f>
        <v>Cash</v>
      </c>
      <c r="J36" s="36" t="str">
        <f aca="false">IF(Raw_Export!$A36="","",IF(COUNTIF($A$2:A36,A36)&gt;1,"Duplicate",""))</f>
        <v/>
      </c>
      <c r="K36" s="36" t="str">
        <f aca="false">IF(Raw_Export!$A36="","",IF(J36="Duplicate","Duplicate",IF(OR(C36="UNMAPPED",D36="UNMAPPED"),"Unmapped",IF(F36=0,"Blank qty",IF(F36&lt;0,"Return","OK")))))</f>
        <v>OK</v>
      </c>
      <c r="L36" s="36" t="n">
        <f aca="false">IF(Raw_Export!$A36="","",IF(OR(K36="OK",K36="Return"),1,0))</f>
        <v>1</v>
      </c>
      <c r="M36" s="37" t="n">
        <f aca="false">IF(Raw_Export!$A36="","",B36-WEEKDAY(B36,2)+1)</f>
        <v>46265</v>
      </c>
    </row>
    <row r="37" customFormat="false" ht="15" hidden="false" customHeight="false" outlineLevel="0" collapsed="false">
      <c r="A37" s="36" t="str">
        <f aca="false">IF(Raw_Export!$A37="","",TRIM(Raw_Export!A37))</f>
        <v>TXN-100036</v>
      </c>
      <c r="B37" s="37" t="n">
        <f aca="false">IF(Raw_Export!$A37="","",IF(ISNUMBER(Raw_Export!B37),Raw_Export!B37,IF(MID(TRIM(Raw_Export!B37),5,1)="-",DATE(LEFT(TRIM(Raw_Export!B37),4),MID(TRIM(Raw_Export!B37),6,2),RIGHT(TRIM(Raw_Export!B37),2)),DATE(RIGHT(TRIM(Raw_Export!B37),4),MATCH(MID(TRIM(Raw_Export!B37),4,3),{"Jan","Feb","Mar","Apr","May","Jun","Jul","Aug","Sep","Oct","Nov","Dec"},0),LEFT(TRIM(Raw_Export!B37),2)))))</f>
        <v>46265</v>
      </c>
      <c r="C37" s="36" t="str">
        <f aca="false">IF(Raw_Export!$A37="","",IFERROR(VLOOKUP(LOWER(TRIM(Raw_Export!C37)),Maps!$A$2:$B$20,2,FALSE()),"UNMAPPED"))</f>
        <v>Westlands</v>
      </c>
      <c r="D37" s="36" t="str">
        <f aca="false">IF(Raw_Export!$A37="","",IFERROR(VLOOKUP(LOWER(TRIM(Raw_Export!D37)),Maps!$G$2:$I$80,2,FALSE()),"UNMAPPED"))</f>
        <v>Biscuits 200g</v>
      </c>
      <c r="E37" s="36" t="str">
        <f aca="false">IF(Raw_Export!$A37="","",IFERROR(VLOOKUP(LOWER(TRIM(Raw_Export!D37)),Maps!$G$2:$I$80,3,FALSE()),"UNMAPPED"))</f>
        <v>Snacks</v>
      </c>
      <c r="F37" s="36" t="n">
        <f aca="false">IF(Raw_Export!$A37="","",IFERROR(VALUE(TRIM(Raw_Export!E37)),0))</f>
        <v>3</v>
      </c>
      <c r="G37" s="38" t="n">
        <f aca="false">IF(Raw_Export!$A37="","",IFERROR(VALUE(SUBSTITUTE(SUBSTITUTE(UPPER(TRIM(Raw_Export!F37)),"KES",""),",","")),0))</f>
        <v>95</v>
      </c>
      <c r="H37" s="38" t="n">
        <f aca="false">IF(Raw_Export!$A37="","",F37*G37)</f>
        <v>285</v>
      </c>
      <c r="I37" s="36" t="str">
        <f aca="false">IF(Raw_Export!$A37="","",IFERROR(VLOOKUP(LOWER(TRIM(Raw_Export!H37)),Maps!$D$2:$E$12,2,FALSE()),"Other"))</f>
        <v>Card</v>
      </c>
      <c r="J37" s="36" t="str">
        <f aca="false">IF(Raw_Export!$A37="","",IF(COUNTIF($A$2:A37,A37)&gt;1,"Duplicate",""))</f>
        <v/>
      </c>
      <c r="K37" s="36" t="str">
        <f aca="false">IF(Raw_Export!$A37="","",IF(J37="Duplicate","Duplicate",IF(OR(C37="UNMAPPED",D37="UNMAPPED"),"Unmapped",IF(F37=0,"Blank qty",IF(F37&lt;0,"Return","OK")))))</f>
        <v>OK</v>
      </c>
      <c r="L37" s="36" t="n">
        <f aca="false">IF(Raw_Export!$A37="","",IF(OR(K37="OK",K37="Return"),1,0))</f>
        <v>1</v>
      </c>
      <c r="M37" s="37" t="n">
        <f aca="false">IF(Raw_Export!$A37="","",B37-WEEKDAY(B37,2)+1)</f>
        <v>46265</v>
      </c>
    </row>
    <row r="38" customFormat="false" ht="15" hidden="false" customHeight="false" outlineLevel="0" collapsed="false">
      <c r="A38" s="36" t="str">
        <f aca="false">IF(Raw_Export!$A38="","",TRIM(Raw_Export!A38))</f>
        <v>TXN-100037</v>
      </c>
      <c r="B38" s="37" t="n">
        <f aca="false">IF(Raw_Export!$A38="","",IF(ISNUMBER(Raw_Export!B38),Raw_Export!B38,IF(MID(TRIM(Raw_Export!B38),5,1)="-",DATE(LEFT(TRIM(Raw_Export!B38),4),MID(TRIM(Raw_Export!B38),6,2),RIGHT(TRIM(Raw_Export!B38),2)),DATE(RIGHT(TRIM(Raw_Export!B38),4),MATCH(MID(TRIM(Raw_Export!B38),4,3),{"Jan","Feb","Mar","Apr","May","Jun","Jul","Aug","Sep","Oct","Nov","Dec"},0),LEFT(TRIM(Raw_Export!B38),2)))))</f>
        <v>46265</v>
      </c>
      <c r="C38" s="36" t="str">
        <f aca="false">IF(Raw_Export!$A38="","",IFERROR(VLOOKUP(LOWER(TRIM(Raw_Export!C38)),Maps!$A$2:$B$20,2,FALSE()),"UNMAPPED"))</f>
        <v>Westlands</v>
      </c>
      <c r="D38" s="36" t="str">
        <f aca="false">IF(Raw_Export!$A38="","",IFERROR(VLOOKUP(LOWER(TRIM(Raw_Export!D38)),Maps!$G$2:$I$80,2,FALSE()),"UNMAPPED"))</f>
        <v>Yoghurt 500ml</v>
      </c>
      <c r="E38" s="36" t="str">
        <f aca="false">IF(Raw_Export!$A38="","",IFERROR(VLOOKUP(LOWER(TRIM(Raw_Export!D38)),Maps!$G$2:$I$80,3,FALSE()),"UNMAPPED"))</f>
        <v>Dairy &amp; Eggs</v>
      </c>
      <c r="F38" s="36" t="n">
        <f aca="false">IF(Raw_Export!$A38="","",IFERROR(VALUE(TRIM(Raw_Export!E38)),0))</f>
        <v>3</v>
      </c>
      <c r="G38" s="38" t="n">
        <f aca="false">IF(Raw_Export!$A38="","",IFERROR(VALUE(SUBSTITUTE(SUBSTITUTE(UPPER(TRIM(Raw_Export!F38)),"KES",""),",","")),0))</f>
        <v>120</v>
      </c>
      <c r="H38" s="38" t="n">
        <f aca="false">IF(Raw_Export!$A38="","",F38*G38)</f>
        <v>360</v>
      </c>
      <c r="I38" s="36" t="str">
        <f aca="false">IF(Raw_Export!$A38="","",IFERROR(VLOOKUP(LOWER(TRIM(Raw_Export!H38)),Maps!$D$2:$E$12,2,FALSE()),"Other"))</f>
        <v>Cash</v>
      </c>
      <c r="J38" s="36" t="str">
        <f aca="false">IF(Raw_Export!$A38="","",IF(COUNTIF($A$2:A38,A38)&gt;1,"Duplicate",""))</f>
        <v/>
      </c>
      <c r="K38" s="36" t="str">
        <f aca="false">IF(Raw_Export!$A38="","",IF(J38="Duplicate","Duplicate",IF(OR(C38="UNMAPPED",D38="UNMAPPED"),"Unmapped",IF(F38=0,"Blank qty",IF(F38&lt;0,"Return","OK")))))</f>
        <v>OK</v>
      </c>
      <c r="L38" s="36" t="n">
        <f aca="false">IF(Raw_Export!$A38="","",IF(OR(K38="OK",K38="Return"),1,0))</f>
        <v>1</v>
      </c>
      <c r="M38" s="37" t="n">
        <f aca="false">IF(Raw_Export!$A38="","",B38-WEEKDAY(B38,2)+1)</f>
        <v>46265</v>
      </c>
    </row>
    <row r="39" customFormat="false" ht="15" hidden="false" customHeight="false" outlineLevel="0" collapsed="false">
      <c r="A39" s="36" t="str">
        <f aca="false">IF(Raw_Export!$A39="","",TRIM(Raw_Export!A39))</f>
        <v>TXN-100038</v>
      </c>
      <c r="B39" s="37" t="n">
        <f aca="false">IF(Raw_Export!$A39="","",IF(ISNUMBER(Raw_Export!B39),Raw_Export!B39,IF(MID(TRIM(Raw_Export!B39),5,1)="-",DATE(LEFT(TRIM(Raw_Export!B39),4),MID(TRIM(Raw_Export!B39),6,2),RIGHT(TRIM(Raw_Export!B39),2)),DATE(RIGHT(TRIM(Raw_Export!B39),4),MATCH(MID(TRIM(Raw_Export!B39),4,3),{"Jan","Feb","Mar","Apr","May","Jun","Jul","Aug","Sep","Oct","Nov","Dec"},0),LEFT(TRIM(Raw_Export!B39),2)))))</f>
        <v>46265</v>
      </c>
      <c r="C39" s="36" t="str">
        <f aca="false">IF(Raw_Export!$A39="","",IFERROR(VLOOKUP(LOWER(TRIM(Raw_Export!C39)),Maps!$A$2:$B$20,2,FALSE()),"UNMAPPED"))</f>
        <v>Westlands</v>
      </c>
      <c r="D39" s="36" t="str">
        <f aca="false">IF(Raw_Export!$A39="","",IFERROR(VLOOKUP(LOWER(TRIM(Raw_Export!D39)),Maps!$G$2:$I$80,2,FALSE()),"UNMAPPED"))</f>
        <v>Eggs Tray 30</v>
      </c>
      <c r="E39" s="36" t="str">
        <f aca="false">IF(Raw_Export!$A39="","",IFERROR(VLOOKUP(LOWER(TRIM(Raw_Export!D39)),Maps!$G$2:$I$80,3,FALSE()),"UNMAPPED"))</f>
        <v>Dairy &amp; Eggs</v>
      </c>
      <c r="F39" s="36" t="n">
        <f aca="false">IF(Raw_Export!$A39="","",IFERROR(VALUE(TRIM(Raw_Export!E39)),0))</f>
        <v>6</v>
      </c>
      <c r="G39" s="38" t="n">
        <f aca="false">IF(Raw_Export!$A39="","",IFERROR(VALUE(SUBSTITUTE(SUBSTITUTE(UPPER(TRIM(Raw_Export!F39)),"KES",""),",","")),0))</f>
        <v>450</v>
      </c>
      <c r="H39" s="38" t="n">
        <f aca="false">IF(Raw_Export!$A39="","",F39*G39)</f>
        <v>2700</v>
      </c>
      <c r="I39" s="36" t="str">
        <f aca="false">IF(Raw_Export!$A39="","",IFERROR(VLOOKUP(LOWER(TRIM(Raw_Export!H39)),Maps!$D$2:$E$12,2,FALSE()),"Other"))</f>
        <v>M-Pesa</v>
      </c>
      <c r="J39" s="36" t="str">
        <f aca="false">IF(Raw_Export!$A39="","",IF(COUNTIF($A$2:A39,A39)&gt;1,"Duplicate",""))</f>
        <v/>
      </c>
      <c r="K39" s="36" t="str">
        <f aca="false">IF(Raw_Export!$A39="","",IF(J39="Duplicate","Duplicate",IF(OR(C39="UNMAPPED",D39="UNMAPPED"),"Unmapped",IF(F39=0,"Blank qty",IF(F39&lt;0,"Return","OK")))))</f>
        <v>OK</v>
      </c>
      <c r="L39" s="36" t="n">
        <f aca="false">IF(Raw_Export!$A39="","",IF(OR(K39="OK",K39="Return"),1,0))</f>
        <v>1</v>
      </c>
      <c r="M39" s="37" t="n">
        <f aca="false">IF(Raw_Export!$A39="","",B39-WEEKDAY(B39,2)+1)</f>
        <v>46265</v>
      </c>
    </row>
    <row r="40" customFormat="false" ht="15" hidden="false" customHeight="false" outlineLevel="0" collapsed="false">
      <c r="A40" s="36" t="str">
        <f aca="false">IF(Raw_Export!$A40="","",TRIM(Raw_Export!A40))</f>
        <v>TXN-100039</v>
      </c>
      <c r="B40" s="37" t="n">
        <f aca="false">IF(Raw_Export!$A40="","",IF(ISNUMBER(Raw_Export!B40),Raw_Export!B40,IF(MID(TRIM(Raw_Export!B40),5,1)="-",DATE(LEFT(TRIM(Raw_Export!B40),4),MID(TRIM(Raw_Export!B40),6,2),RIGHT(TRIM(Raw_Export!B40),2)),DATE(RIGHT(TRIM(Raw_Export!B40),4),MATCH(MID(TRIM(Raw_Export!B40),4,3),{"Jan","Feb","Mar","Apr","May","Jun","Jul","Aug","Sep","Oct","Nov","Dec"},0),LEFT(TRIM(Raw_Export!B40),2)))))</f>
        <v>46265</v>
      </c>
      <c r="C40" s="36" t="str">
        <f aca="false">IF(Raw_Export!$A40="","",IFERROR(VLOOKUP(LOWER(TRIM(Raw_Export!C40)),Maps!$A$2:$B$20,2,FALSE()),"UNMAPPED"))</f>
        <v>Westlands</v>
      </c>
      <c r="D40" s="36" t="str">
        <f aca="false">IF(Raw_Export!$A40="","",IFERROR(VLOOKUP(LOWER(TRIM(Raw_Export!D40)),Maps!$G$2:$I$80,2,FALSE()),"UNMAPPED"))</f>
        <v>Tea Leaves 250g</v>
      </c>
      <c r="E40" s="36" t="str">
        <f aca="false">IF(Raw_Export!$A40="","",IFERROR(VLOOKUP(LOWER(TRIM(Raw_Export!D40)),Maps!$G$2:$I$80,3,FALSE()),"UNMAPPED"))</f>
        <v>Beverages</v>
      </c>
      <c r="F40" s="36" t="n">
        <f aca="false">IF(Raw_Export!$A40="","",IFERROR(VALUE(TRIM(Raw_Export!E40)),0))</f>
        <v>2</v>
      </c>
      <c r="G40" s="38" t="n">
        <f aca="false">IF(Raw_Export!$A40="","",IFERROR(VALUE(SUBSTITUTE(SUBSTITUTE(UPPER(TRIM(Raw_Export!F40)),"KES",""),",","")),0))</f>
        <v>150</v>
      </c>
      <c r="H40" s="38" t="n">
        <f aca="false">IF(Raw_Export!$A40="","",F40*G40)</f>
        <v>300</v>
      </c>
      <c r="I40" s="36" t="str">
        <f aca="false">IF(Raw_Export!$A40="","",IFERROR(VLOOKUP(LOWER(TRIM(Raw_Export!H40)),Maps!$D$2:$E$12,2,FALSE()),"Other"))</f>
        <v>M-Pesa</v>
      </c>
      <c r="J40" s="36" t="str">
        <f aca="false">IF(Raw_Export!$A40="","",IF(COUNTIF($A$2:A40,A40)&gt;1,"Duplicate",""))</f>
        <v/>
      </c>
      <c r="K40" s="36" t="str">
        <f aca="false">IF(Raw_Export!$A40="","",IF(J40="Duplicate","Duplicate",IF(OR(C40="UNMAPPED",D40="UNMAPPED"),"Unmapped",IF(F40=0,"Blank qty",IF(F40&lt;0,"Return","OK")))))</f>
        <v>OK</v>
      </c>
      <c r="L40" s="36" t="n">
        <f aca="false">IF(Raw_Export!$A40="","",IF(OR(K40="OK",K40="Return"),1,0))</f>
        <v>1</v>
      </c>
      <c r="M40" s="37" t="n">
        <f aca="false">IF(Raw_Export!$A40="","",B40-WEEKDAY(B40,2)+1)</f>
        <v>46265</v>
      </c>
    </row>
    <row r="41" customFormat="false" ht="15" hidden="false" customHeight="false" outlineLevel="0" collapsed="false">
      <c r="A41" s="36" t="str">
        <f aca="false">IF(Raw_Export!$A41="","",TRIM(Raw_Export!A41))</f>
        <v>TXN-100040</v>
      </c>
      <c r="B41" s="37" t="n">
        <f aca="false">IF(Raw_Export!$A41="","",IF(ISNUMBER(Raw_Export!B41),Raw_Export!B41,IF(MID(TRIM(Raw_Export!B41),5,1)="-",DATE(LEFT(TRIM(Raw_Export!B41),4),MID(TRIM(Raw_Export!B41),6,2),RIGHT(TRIM(Raw_Export!B41),2)),DATE(RIGHT(TRIM(Raw_Export!B41),4),MATCH(MID(TRIM(Raw_Export!B41),4,3),{"Jan","Feb","Mar","Apr","May","Jun","Jul","Aug","Sep","Oct","Nov","Dec"},0),LEFT(TRIM(Raw_Export!B41),2)))))</f>
        <v>46265</v>
      </c>
      <c r="C41" s="36" t="str">
        <f aca="false">IF(Raw_Export!$A41="","",IFERROR(VLOOKUP(LOWER(TRIM(Raw_Export!C41)),Maps!$A$2:$B$20,2,FALSE()),"UNMAPPED"))</f>
        <v>Westlands</v>
      </c>
      <c r="D41" s="36" t="str">
        <f aca="false">IF(Raw_Export!$A41="","",IFERROR(VLOOKUP(LOWER(TRIM(Raw_Export!D41)),Maps!$G$2:$I$80,2,FALSE()),"UNMAPPED"))</f>
        <v>Bottled Water 1.5L</v>
      </c>
      <c r="E41" s="36" t="str">
        <f aca="false">IF(Raw_Export!$A41="","",IFERROR(VLOOKUP(LOWER(TRIM(Raw_Export!D41)),Maps!$G$2:$I$80,3,FALSE()),"UNMAPPED"))</f>
        <v>Beverages</v>
      </c>
      <c r="F41" s="36" t="n">
        <f aca="false">IF(Raw_Export!$A41="","",IFERROR(VALUE(TRIM(Raw_Export!E41)),0))</f>
        <v>2</v>
      </c>
      <c r="G41" s="38" t="n">
        <f aca="false">IF(Raw_Export!$A41="","",IFERROR(VALUE(SUBSTITUTE(SUBSTITUTE(UPPER(TRIM(Raw_Export!F41)),"KES",""),",","")),0))</f>
        <v>81</v>
      </c>
      <c r="H41" s="38" t="n">
        <f aca="false">IF(Raw_Export!$A41="","",F41*G41)</f>
        <v>162</v>
      </c>
      <c r="I41" s="36" t="str">
        <f aca="false">IF(Raw_Export!$A41="","",IFERROR(VLOOKUP(LOWER(TRIM(Raw_Export!H41)),Maps!$D$2:$E$12,2,FALSE()),"Other"))</f>
        <v>Card</v>
      </c>
      <c r="J41" s="36" t="str">
        <f aca="false">IF(Raw_Export!$A41="","",IF(COUNTIF($A$2:A41,A41)&gt;1,"Duplicate",""))</f>
        <v/>
      </c>
      <c r="K41" s="36" t="str">
        <f aca="false">IF(Raw_Export!$A41="","",IF(J41="Duplicate","Duplicate",IF(OR(C41="UNMAPPED",D41="UNMAPPED"),"Unmapped",IF(F41=0,"Blank qty",IF(F41&lt;0,"Return","OK")))))</f>
        <v>OK</v>
      </c>
      <c r="L41" s="36" t="n">
        <f aca="false">IF(Raw_Export!$A41="","",IF(OR(K41="OK",K41="Return"),1,0))</f>
        <v>1</v>
      </c>
      <c r="M41" s="37" t="n">
        <f aca="false">IF(Raw_Export!$A41="","",B41-WEEKDAY(B41,2)+1)</f>
        <v>46265</v>
      </c>
    </row>
    <row r="42" customFormat="false" ht="15" hidden="false" customHeight="false" outlineLevel="0" collapsed="false">
      <c r="A42" s="36" t="str">
        <f aca="false">IF(Raw_Export!$A42="","",TRIM(Raw_Export!A42))</f>
        <v>TXN-100041</v>
      </c>
      <c r="B42" s="37" t="n">
        <f aca="false">IF(Raw_Export!$A42="","",IF(ISNUMBER(Raw_Export!B42),Raw_Export!B42,IF(MID(TRIM(Raw_Export!B42),5,1)="-",DATE(LEFT(TRIM(Raw_Export!B42),4),MID(TRIM(Raw_Export!B42),6,2),RIGHT(TRIM(Raw_Export!B42),2)),DATE(RIGHT(TRIM(Raw_Export!B42),4),MATCH(MID(TRIM(Raw_Export!B42),4,3),{"Jan","Feb","Mar","Apr","May","Jun","Jul","Aug","Sep","Oct","Nov","Dec"},0),LEFT(TRIM(Raw_Export!B42),2)))))</f>
        <v>46265</v>
      </c>
      <c r="C42" s="36" t="str">
        <f aca="false">IF(Raw_Export!$A42="","",IFERROR(VLOOKUP(LOWER(TRIM(Raw_Export!C42)),Maps!$A$2:$B$20,2,FALSE()),"UNMAPPED"))</f>
        <v>Westlands</v>
      </c>
      <c r="D42" s="36" t="str">
        <f aca="false">IF(Raw_Export!$A42="","",IFERROR(VLOOKUP(LOWER(TRIM(Raw_Export!D42)),Maps!$G$2:$I$80,2,FALSE()),"UNMAPPED"))</f>
        <v>Bottled Water 1.5L</v>
      </c>
      <c r="E42" s="36" t="str">
        <f aca="false">IF(Raw_Export!$A42="","",IFERROR(VLOOKUP(LOWER(TRIM(Raw_Export!D42)),Maps!$G$2:$I$80,3,FALSE()),"UNMAPPED"))</f>
        <v>Beverages</v>
      </c>
      <c r="F42" s="36" t="n">
        <f aca="false">IF(Raw_Export!$A42="","",IFERROR(VALUE(TRIM(Raw_Export!E42)),0))</f>
        <v>4</v>
      </c>
      <c r="G42" s="38" t="n">
        <f aca="false">IF(Raw_Export!$A42="","",IFERROR(VALUE(SUBSTITUTE(SUBSTITUTE(UPPER(TRIM(Raw_Export!F42)),"KES",""),",","")),0))</f>
        <v>90</v>
      </c>
      <c r="H42" s="38" t="n">
        <f aca="false">IF(Raw_Export!$A42="","",F42*G42)</f>
        <v>360</v>
      </c>
      <c r="I42" s="36" t="str">
        <f aca="false">IF(Raw_Export!$A42="","",IFERROR(VLOOKUP(LOWER(TRIM(Raw_Export!H42)),Maps!$D$2:$E$12,2,FALSE()),"Other"))</f>
        <v>M-Pesa</v>
      </c>
      <c r="J42" s="36" t="str">
        <f aca="false">IF(Raw_Export!$A42="","",IF(COUNTIF($A$2:A42,A42)&gt;1,"Duplicate",""))</f>
        <v/>
      </c>
      <c r="K42" s="36" t="str">
        <f aca="false">IF(Raw_Export!$A42="","",IF(J42="Duplicate","Duplicate",IF(OR(C42="UNMAPPED",D42="UNMAPPED"),"Unmapped",IF(F42=0,"Blank qty",IF(F42&lt;0,"Return","OK")))))</f>
        <v>OK</v>
      </c>
      <c r="L42" s="36" t="n">
        <f aca="false">IF(Raw_Export!$A42="","",IF(OR(K42="OK",K42="Return"),1,0))</f>
        <v>1</v>
      </c>
      <c r="M42" s="37" t="n">
        <f aca="false">IF(Raw_Export!$A42="","",B42-WEEKDAY(B42,2)+1)</f>
        <v>46265</v>
      </c>
    </row>
    <row r="43" customFormat="false" ht="15" hidden="false" customHeight="false" outlineLevel="0" collapsed="false">
      <c r="A43" s="36" t="str">
        <f aca="false">IF(Raw_Export!$A43="","",TRIM(Raw_Export!A43))</f>
        <v>TXN-100042</v>
      </c>
      <c r="B43" s="37" t="n">
        <f aca="false">IF(Raw_Export!$A43="","",IF(ISNUMBER(Raw_Export!B43),Raw_Export!B43,IF(MID(TRIM(Raw_Export!B43),5,1)="-",DATE(LEFT(TRIM(Raw_Export!B43),4),MID(TRIM(Raw_Export!B43),6,2),RIGHT(TRIM(Raw_Export!B43),2)),DATE(RIGHT(TRIM(Raw_Export!B43),4),MATCH(MID(TRIM(Raw_Export!B43),4,3),{"Jan","Feb","Mar","Apr","May","Jun","Jul","Aug","Sep","Oct","Nov","Dec"},0),LEFT(TRIM(Raw_Export!B43),2)))))</f>
        <v>46265</v>
      </c>
      <c r="C43" s="36" t="str">
        <f aca="false">IF(Raw_Export!$A43="","",IFERROR(VLOOKUP(LOWER(TRIM(Raw_Export!C43)),Maps!$A$2:$B$20,2,FALSE()),"UNMAPPED"))</f>
        <v>Westlands</v>
      </c>
      <c r="D43" s="36" t="str">
        <f aca="false">IF(Raw_Export!$A43="","",IFERROR(VLOOKUP(LOWER(TRIM(Raw_Export!D43)),Maps!$G$2:$I$80,2,FALSE()),"UNMAPPED"))</f>
        <v>Matches 10pk</v>
      </c>
      <c r="E43" s="36" t="str">
        <f aca="false">IF(Raw_Export!$A43="","",IFERROR(VLOOKUP(LOWER(TRIM(Raw_Export!D43)),Maps!$G$2:$I$80,3,FALSE()),"UNMAPPED"))</f>
        <v>Household</v>
      </c>
      <c r="F43" s="36" t="n">
        <f aca="false">IF(Raw_Export!$A43="","",IFERROR(VALUE(TRIM(Raw_Export!E43)),0))</f>
        <v>2</v>
      </c>
      <c r="G43" s="38" t="n">
        <f aca="false">IF(Raw_Export!$A43="","",IFERROR(VALUE(SUBSTITUTE(SUBSTITUTE(UPPER(TRIM(Raw_Export!F43)),"KES",""),",","")),0))</f>
        <v>50</v>
      </c>
      <c r="H43" s="38" t="n">
        <f aca="false">IF(Raw_Export!$A43="","",F43*G43)</f>
        <v>100</v>
      </c>
      <c r="I43" s="36" t="str">
        <f aca="false">IF(Raw_Export!$A43="","",IFERROR(VLOOKUP(LOWER(TRIM(Raw_Export!H43)),Maps!$D$2:$E$12,2,FALSE()),"Other"))</f>
        <v>Cash</v>
      </c>
      <c r="J43" s="36" t="str">
        <f aca="false">IF(Raw_Export!$A43="","",IF(COUNTIF($A$2:A43,A43)&gt;1,"Duplicate",""))</f>
        <v/>
      </c>
      <c r="K43" s="36" t="str">
        <f aca="false">IF(Raw_Export!$A43="","",IF(J43="Duplicate","Duplicate",IF(OR(C43="UNMAPPED",D43="UNMAPPED"),"Unmapped",IF(F43=0,"Blank qty",IF(F43&lt;0,"Return","OK")))))</f>
        <v>OK</v>
      </c>
      <c r="L43" s="36" t="n">
        <f aca="false">IF(Raw_Export!$A43="","",IF(OR(K43="OK",K43="Return"),1,0))</f>
        <v>1</v>
      </c>
      <c r="M43" s="37" t="n">
        <f aca="false">IF(Raw_Export!$A43="","",B43-WEEKDAY(B43,2)+1)</f>
        <v>46265</v>
      </c>
    </row>
    <row r="44" customFormat="false" ht="15" hidden="false" customHeight="false" outlineLevel="0" collapsed="false">
      <c r="A44" s="36" t="str">
        <f aca="false">IF(Raw_Export!$A44="","",TRIM(Raw_Export!A44))</f>
        <v>TXN-100043</v>
      </c>
      <c r="B44" s="37" t="n">
        <f aca="false">IF(Raw_Export!$A44="","",IF(ISNUMBER(Raw_Export!B44),Raw_Export!B44,IF(MID(TRIM(Raw_Export!B44),5,1)="-",DATE(LEFT(TRIM(Raw_Export!B44),4),MID(TRIM(Raw_Export!B44),6,2),RIGHT(TRIM(Raw_Export!B44),2)),DATE(RIGHT(TRIM(Raw_Export!B44),4),MATCH(MID(TRIM(Raw_Export!B44),4,3),{"Jan","Feb","Mar","Apr","May","Jun","Jul","Aug","Sep","Oct","Nov","Dec"},0),LEFT(TRIM(Raw_Export!B44),2)))))</f>
        <v>46265</v>
      </c>
      <c r="C44" s="36" t="str">
        <f aca="false">IF(Raw_Export!$A44="","",IFERROR(VLOOKUP(LOWER(TRIM(Raw_Export!C44)),Maps!$A$2:$B$20,2,FALSE()),"UNMAPPED"))</f>
        <v>Westlands</v>
      </c>
      <c r="D44" s="36" t="str">
        <f aca="false">IF(Raw_Export!$A44="","",IFERROR(VLOOKUP(LOWER(TRIM(Raw_Export!D44)),Maps!$G$2:$I$80,2,FALSE()),"UNMAPPED"))</f>
        <v>Coffee 100g</v>
      </c>
      <c r="E44" s="36" t="str">
        <f aca="false">IF(Raw_Export!$A44="","",IFERROR(VLOOKUP(LOWER(TRIM(Raw_Export!D44)),Maps!$G$2:$I$80,3,FALSE()),"UNMAPPED"))</f>
        <v>Beverages</v>
      </c>
      <c r="F44" s="36" t="n">
        <f aca="false">IF(Raw_Export!$A44="","",IFERROR(VALUE(TRIM(Raw_Export!E44)),0))</f>
        <v>1</v>
      </c>
      <c r="G44" s="38" t="n">
        <f aca="false">IF(Raw_Export!$A44="","",IFERROR(VALUE(SUBSTITUTE(SUBSTITUTE(UPPER(TRIM(Raw_Export!F44)),"KES",""),",","")),0))</f>
        <v>360</v>
      </c>
      <c r="H44" s="38" t="n">
        <f aca="false">IF(Raw_Export!$A44="","",F44*G44)</f>
        <v>360</v>
      </c>
      <c r="I44" s="36" t="str">
        <f aca="false">IF(Raw_Export!$A44="","",IFERROR(VLOOKUP(LOWER(TRIM(Raw_Export!H44)),Maps!$D$2:$E$12,2,FALSE()),"Other"))</f>
        <v>M-Pesa</v>
      </c>
      <c r="J44" s="36" t="str">
        <f aca="false">IF(Raw_Export!$A44="","",IF(COUNTIF($A$2:A44,A44)&gt;1,"Duplicate",""))</f>
        <v/>
      </c>
      <c r="K44" s="36" t="str">
        <f aca="false">IF(Raw_Export!$A44="","",IF(J44="Duplicate","Duplicate",IF(OR(C44="UNMAPPED",D44="UNMAPPED"),"Unmapped",IF(F44=0,"Blank qty",IF(F44&lt;0,"Return","OK")))))</f>
        <v>OK</v>
      </c>
      <c r="L44" s="36" t="n">
        <f aca="false">IF(Raw_Export!$A44="","",IF(OR(K44="OK",K44="Return"),1,0))</f>
        <v>1</v>
      </c>
      <c r="M44" s="37" t="n">
        <f aca="false">IF(Raw_Export!$A44="","",B44-WEEKDAY(B44,2)+1)</f>
        <v>46265</v>
      </c>
    </row>
    <row r="45" customFormat="false" ht="15" hidden="false" customHeight="false" outlineLevel="0" collapsed="false">
      <c r="A45" s="36" t="str">
        <f aca="false">IF(Raw_Export!$A45="","",TRIM(Raw_Export!A45))</f>
        <v>TXN-100044</v>
      </c>
      <c r="B45" s="37" t="n">
        <f aca="false">IF(Raw_Export!$A45="","",IF(ISNUMBER(Raw_Export!B45),Raw_Export!B45,IF(MID(TRIM(Raw_Export!B45),5,1)="-",DATE(LEFT(TRIM(Raw_Export!B45),4),MID(TRIM(Raw_Export!B45),6,2),RIGHT(TRIM(Raw_Export!B45),2)),DATE(RIGHT(TRIM(Raw_Export!B45),4),MATCH(MID(TRIM(Raw_Export!B45),4,3),{"Jan","Feb","Mar","Apr","May","Jun","Jul","Aug","Sep","Oct","Nov","Dec"},0),LEFT(TRIM(Raw_Export!B45),2)))))</f>
        <v>46265</v>
      </c>
      <c r="C45" s="36" t="str">
        <f aca="false">IF(Raw_Export!$A45="","",IFERROR(VLOOKUP(LOWER(TRIM(Raw_Export!C45)),Maps!$A$2:$B$20,2,FALSE()),"UNMAPPED"))</f>
        <v>Westlands</v>
      </c>
      <c r="D45" s="36" t="str">
        <f aca="false">IF(Raw_Export!$A45="","",IFERROR(VLOOKUP(LOWER(TRIM(Raw_Export!D45)),Maps!$G$2:$I$80,2,FALSE()),"UNMAPPED"))</f>
        <v>Eggs Tray 30</v>
      </c>
      <c r="E45" s="36" t="str">
        <f aca="false">IF(Raw_Export!$A45="","",IFERROR(VLOOKUP(LOWER(TRIM(Raw_Export!D45)),Maps!$G$2:$I$80,3,FALSE()),"UNMAPPED"))</f>
        <v>Dairy &amp; Eggs</v>
      </c>
      <c r="F45" s="36" t="n">
        <f aca="false">IF(Raw_Export!$A45="","",IFERROR(VALUE(TRIM(Raw_Export!E45)),0))</f>
        <v>4</v>
      </c>
      <c r="G45" s="38" t="n">
        <f aca="false">IF(Raw_Export!$A45="","",IFERROR(VALUE(SUBSTITUTE(SUBSTITUTE(UPPER(TRIM(Raw_Export!F45)),"KES",""),",","")),0))</f>
        <v>450</v>
      </c>
      <c r="H45" s="38" t="n">
        <f aca="false">IF(Raw_Export!$A45="","",F45*G45)</f>
        <v>1800</v>
      </c>
      <c r="I45" s="36" t="str">
        <f aca="false">IF(Raw_Export!$A45="","",IFERROR(VLOOKUP(LOWER(TRIM(Raw_Export!H45)),Maps!$D$2:$E$12,2,FALSE()),"Other"))</f>
        <v>M-Pesa</v>
      </c>
      <c r="J45" s="36" t="str">
        <f aca="false">IF(Raw_Export!$A45="","",IF(COUNTIF($A$2:A45,A45)&gt;1,"Duplicate",""))</f>
        <v/>
      </c>
      <c r="K45" s="36" t="str">
        <f aca="false">IF(Raw_Export!$A45="","",IF(J45="Duplicate","Duplicate",IF(OR(C45="UNMAPPED",D45="UNMAPPED"),"Unmapped",IF(F45=0,"Blank qty",IF(F45&lt;0,"Return","OK")))))</f>
        <v>OK</v>
      </c>
      <c r="L45" s="36" t="n">
        <f aca="false">IF(Raw_Export!$A45="","",IF(OR(K45="OK",K45="Return"),1,0))</f>
        <v>1</v>
      </c>
      <c r="M45" s="37" t="n">
        <f aca="false">IF(Raw_Export!$A45="","",B45-WEEKDAY(B45,2)+1)</f>
        <v>46265</v>
      </c>
    </row>
    <row r="46" customFormat="false" ht="15" hidden="false" customHeight="false" outlineLevel="0" collapsed="false">
      <c r="A46" s="36" t="str">
        <f aca="false">IF(Raw_Export!$A46="","",TRIM(Raw_Export!A46))</f>
        <v>TXN-100045</v>
      </c>
      <c r="B46" s="37" t="n">
        <f aca="false">IF(Raw_Export!$A46="","",IF(ISNUMBER(Raw_Export!B46),Raw_Export!B46,IF(MID(TRIM(Raw_Export!B46),5,1)="-",DATE(LEFT(TRIM(Raw_Export!B46),4),MID(TRIM(Raw_Export!B46),6,2),RIGHT(TRIM(Raw_Export!B46),2)),DATE(RIGHT(TRIM(Raw_Export!B46),4),MATCH(MID(TRIM(Raw_Export!B46),4,3),{"Jan","Feb","Mar","Apr","May","Jun","Jul","Aug","Sep","Oct","Nov","Dec"},0),LEFT(TRIM(Raw_Export!B46),2)))))</f>
        <v>46265</v>
      </c>
      <c r="C46" s="36" t="str">
        <f aca="false">IF(Raw_Export!$A46="","",IFERROR(VLOOKUP(LOWER(TRIM(Raw_Export!C46)),Maps!$A$2:$B$20,2,FALSE()),"UNMAPPED"))</f>
        <v>Westlands</v>
      </c>
      <c r="D46" s="36" t="str">
        <f aca="false">IF(Raw_Export!$A46="","",IFERROR(VLOOKUP(LOWER(TRIM(Raw_Export!D46)),Maps!$G$2:$I$80,2,FALSE()),"UNMAPPED"))</f>
        <v>Soda 500ml</v>
      </c>
      <c r="E46" s="36" t="str">
        <f aca="false">IF(Raw_Export!$A46="","",IFERROR(VLOOKUP(LOWER(TRIM(Raw_Export!D46)),Maps!$G$2:$I$80,3,FALSE()),"UNMAPPED"))</f>
        <v>Beverages</v>
      </c>
      <c r="F46" s="36" t="n">
        <f aca="false">IF(Raw_Export!$A46="","",IFERROR(VALUE(TRIM(Raw_Export!E46)),0))</f>
        <v>3</v>
      </c>
      <c r="G46" s="38" t="n">
        <f aca="false">IF(Raw_Export!$A46="","",IFERROR(VALUE(SUBSTITUTE(SUBSTITUTE(UPPER(TRIM(Raw_Export!F46)),"KES",""),",","")),0))</f>
        <v>60</v>
      </c>
      <c r="H46" s="38" t="n">
        <f aca="false">IF(Raw_Export!$A46="","",F46*G46)</f>
        <v>180</v>
      </c>
      <c r="I46" s="36" t="str">
        <f aca="false">IF(Raw_Export!$A46="","",IFERROR(VLOOKUP(LOWER(TRIM(Raw_Export!H46)),Maps!$D$2:$E$12,2,FALSE()),"Other"))</f>
        <v>M-Pesa</v>
      </c>
      <c r="J46" s="36" t="str">
        <f aca="false">IF(Raw_Export!$A46="","",IF(COUNTIF($A$2:A46,A46)&gt;1,"Duplicate",""))</f>
        <v/>
      </c>
      <c r="K46" s="36" t="str">
        <f aca="false">IF(Raw_Export!$A46="","",IF(J46="Duplicate","Duplicate",IF(OR(C46="UNMAPPED",D46="UNMAPPED"),"Unmapped",IF(F46=0,"Blank qty",IF(F46&lt;0,"Return","OK")))))</f>
        <v>OK</v>
      </c>
      <c r="L46" s="36" t="n">
        <f aca="false">IF(Raw_Export!$A46="","",IF(OR(K46="OK",K46="Return"),1,0))</f>
        <v>1</v>
      </c>
      <c r="M46" s="37" t="n">
        <f aca="false">IF(Raw_Export!$A46="","",B46-WEEKDAY(B46,2)+1)</f>
        <v>46265</v>
      </c>
    </row>
    <row r="47" customFormat="false" ht="15" hidden="false" customHeight="false" outlineLevel="0" collapsed="false">
      <c r="A47" s="36" t="str">
        <f aca="false">IF(Raw_Export!$A47="","",TRIM(Raw_Export!A47))</f>
        <v>TXN-100046</v>
      </c>
      <c r="B47" s="37" t="n">
        <f aca="false">IF(Raw_Export!$A47="","",IF(ISNUMBER(Raw_Export!B47),Raw_Export!B47,IF(MID(TRIM(Raw_Export!B47),5,1)="-",DATE(LEFT(TRIM(Raw_Export!B47),4),MID(TRIM(Raw_Export!B47),6,2),RIGHT(TRIM(Raw_Export!B47),2)),DATE(RIGHT(TRIM(Raw_Export!B47),4),MATCH(MID(TRIM(Raw_Export!B47),4,3),{"Jan","Feb","Mar","Apr","May","Jun","Jul","Aug","Sep","Oct","Nov","Dec"},0),LEFT(TRIM(Raw_Export!B47),2)))))</f>
        <v>46265</v>
      </c>
      <c r="C47" s="36" t="str">
        <f aca="false">IF(Raw_Export!$A47="","",IFERROR(VLOOKUP(LOWER(TRIM(Raw_Export!C47)),Maps!$A$2:$B$20,2,FALSE()),"UNMAPPED"))</f>
        <v>Westlands</v>
      </c>
      <c r="D47" s="36" t="str">
        <f aca="false">IF(Raw_Export!$A47="","",IFERROR(VLOOKUP(LOWER(TRIM(Raw_Export!D47)),Maps!$G$2:$I$80,2,FALSE()),"UNMAPPED"))</f>
        <v>Soda 500ml</v>
      </c>
      <c r="E47" s="36" t="str">
        <f aca="false">IF(Raw_Export!$A47="","",IFERROR(VLOOKUP(LOWER(TRIM(Raw_Export!D47)),Maps!$G$2:$I$80,3,FALSE()),"UNMAPPED"))</f>
        <v>Beverages</v>
      </c>
      <c r="F47" s="36" t="n">
        <f aca="false">IF(Raw_Export!$A47="","",IFERROR(VALUE(TRIM(Raw_Export!E47)),0))</f>
        <v>2</v>
      </c>
      <c r="G47" s="38" t="n">
        <f aca="false">IF(Raw_Export!$A47="","",IFERROR(VALUE(SUBSTITUTE(SUBSTITUTE(UPPER(TRIM(Raw_Export!F47)),"KES",""),",","")),0))</f>
        <v>60</v>
      </c>
      <c r="H47" s="38" t="n">
        <f aca="false">IF(Raw_Export!$A47="","",F47*G47)</f>
        <v>120</v>
      </c>
      <c r="I47" s="36" t="str">
        <f aca="false">IF(Raw_Export!$A47="","",IFERROR(VLOOKUP(LOWER(TRIM(Raw_Export!H47)),Maps!$D$2:$E$12,2,FALSE()),"Other"))</f>
        <v>M-Pesa</v>
      </c>
      <c r="J47" s="36" t="str">
        <f aca="false">IF(Raw_Export!$A47="","",IF(COUNTIF($A$2:A47,A47)&gt;1,"Duplicate",""))</f>
        <v/>
      </c>
      <c r="K47" s="36" t="str">
        <f aca="false">IF(Raw_Export!$A47="","",IF(J47="Duplicate","Duplicate",IF(OR(C47="UNMAPPED",D47="UNMAPPED"),"Unmapped",IF(F47=0,"Blank qty",IF(F47&lt;0,"Return","OK")))))</f>
        <v>OK</v>
      </c>
      <c r="L47" s="36" t="n">
        <f aca="false">IF(Raw_Export!$A47="","",IF(OR(K47="OK",K47="Return"),1,0))</f>
        <v>1</v>
      </c>
      <c r="M47" s="37" t="n">
        <f aca="false">IF(Raw_Export!$A47="","",B47-WEEKDAY(B47,2)+1)</f>
        <v>46265</v>
      </c>
    </row>
    <row r="48" customFormat="false" ht="15" hidden="false" customHeight="false" outlineLevel="0" collapsed="false">
      <c r="A48" s="36" t="str">
        <f aca="false">IF(Raw_Export!$A48="","",TRIM(Raw_Export!A48))</f>
        <v>TXN-100047</v>
      </c>
      <c r="B48" s="37" t="n">
        <f aca="false">IF(Raw_Export!$A48="","",IF(ISNUMBER(Raw_Export!B48),Raw_Export!B48,IF(MID(TRIM(Raw_Export!B48),5,1)="-",DATE(LEFT(TRIM(Raw_Export!B48),4),MID(TRIM(Raw_Export!B48),6,2),RIGHT(TRIM(Raw_Export!B48),2)),DATE(RIGHT(TRIM(Raw_Export!B48),4),MATCH(MID(TRIM(Raw_Export!B48),4,3),{"Jan","Feb","Mar","Apr","May","Jun","Jul","Aug","Sep","Oct","Nov","Dec"},0),LEFT(TRIM(Raw_Export!B48),2)))))</f>
        <v>46265</v>
      </c>
      <c r="C48" s="36" t="str">
        <f aca="false">IF(Raw_Export!$A48="","",IFERROR(VLOOKUP(LOWER(TRIM(Raw_Export!C48)),Maps!$A$2:$B$20,2,FALSE()),"UNMAPPED"))</f>
        <v>Westlands</v>
      </c>
      <c r="D48" s="36" t="str">
        <f aca="false">IF(Raw_Export!$A48="","",IFERROR(VLOOKUP(LOWER(TRIM(Raw_Export!D48)),Maps!$G$2:$I$80,2,FALSE()),"UNMAPPED"))</f>
        <v>Soda 500ml</v>
      </c>
      <c r="E48" s="36" t="str">
        <f aca="false">IF(Raw_Export!$A48="","",IFERROR(VLOOKUP(LOWER(TRIM(Raw_Export!D48)),Maps!$G$2:$I$80,3,FALSE()),"UNMAPPED"))</f>
        <v>Beverages</v>
      </c>
      <c r="F48" s="36" t="n">
        <f aca="false">IF(Raw_Export!$A48="","",IFERROR(VALUE(TRIM(Raw_Export!E48)),0))</f>
        <v>1</v>
      </c>
      <c r="G48" s="38" t="n">
        <f aca="false">IF(Raw_Export!$A48="","",IFERROR(VALUE(SUBSTITUTE(SUBSTITUTE(UPPER(TRIM(Raw_Export!F48)),"KES",""),",","")),0))</f>
        <v>60</v>
      </c>
      <c r="H48" s="38" t="n">
        <f aca="false">IF(Raw_Export!$A48="","",F48*G48)</f>
        <v>60</v>
      </c>
      <c r="I48" s="36" t="str">
        <f aca="false">IF(Raw_Export!$A48="","",IFERROR(VLOOKUP(LOWER(TRIM(Raw_Export!H48)),Maps!$D$2:$E$12,2,FALSE()),"Other"))</f>
        <v>Cash</v>
      </c>
      <c r="J48" s="36" t="str">
        <f aca="false">IF(Raw_Export!$A48="","",IF(COUNTIF($A$2:A48,A48)&gt;1,"Duplicate",""))</f>
        <v/>
      </c>
      <c r="K48" s="36" t="str">
        <f aca="false">IF(Raw_Export!$A48="","",IF(J48="Duplicate","Duplicate",IF(OR(C48="UNMAPPED",D48="UNMAPPED"),"Unmapped",IF(F48=0,"Blank qty",IF(F48&lt;0,"Return","OK")))))</f>
        <v>OK</v>
      </c>
      <c r="L48" s="36" t="n">
        <f aca="false">IF(Raw_Export!$A48="","",IF(OR(K48="OK",K48="Return"),1,0))</f>
        <v>1</v>
      </c>
      <c r="M48" s="37" t="n">
        <f aca="false">IF(Raw_Export!$A48="","",B48-WEEKDAY(B48,2)+1)</f>
        <v>46265</v>
      </c>
    </row>
    <row r="49" customFormat="false" ht="15" hidden="false" customHeight="false" outlineLevel="0" collapsed="false">
      <c r="A49" s="36" t="str">
        <f aca="false">IF(Raw_Export!$A49="","",TRIM(Raw_Export!A49))</f>
        <v>TXN-100048</v>
      </c>
      <c r="B49" s="37" t="n">
        <f aca="false">IF(Raw_Export!$A49="","",IF(ISNUMBER(Raw_Export!B49),Raw_Export!B49,IF(MID(TRIM(Raw_Export!B49),5,1)="-",DATE(LEFT(TRIM(Raw_Export!B49),4),MID(TRIM(Raw_Export!B49),6,2),RIGHT(TRIM(Raw_Export!B49),2)),DATE(RIGHT(TRIM(Raw_Export!B49),4),MATCH(MID(TRIM(Raw_Export!B49),4,3),{"Jan","Feb","Mar","Apr","May","Jun","Jul","Aug","Sep","Oct","Nov","Dec"},0),LEFT(TRIM(Raw_Export!B49),2)))))</f>
        <v>46265</v>
      </c>
      <c r="C49" s="36" t="str">
        <f aca="false">IF(Raw_Export!$A49="","",IFERROR(VLOOKUP(LOWER(TRIM(Raw_Export!C49)),Maps!$A$2:$B$20,2,FALSE()),"UNMAPPED"))</f>
        <v>Westlands</v>
      </c>
      <c r="D49" s="36" t="str">
        <f aca="false">IF(Raw_Export!$A49="","",IFERROR(VLOOKUP(LOWER(TRIM(Raw_Export!D49)),Maps!$G$2:$I$80,2,FALSE()),"UNMAPPED"))</f>
        <v>Sanitary Pads 8pk</v>
      </c>
      <c r="E49" s="36" t="str">
        <f aca="false">IF(Raw_Export!$A49="","",IFERROR(VLOOKUP(LOWER(TRIM(Raw_Export!D49)),Maps!$G$2:$I$80,3,FALSE()),"UNMAPPED"))</f>
        <v>Personal Care</v>
      </c>
      <c r="F49" s="36" t="n">
        <f aca="false">IF(Raw_Export!$A49="","",IFERROR(VALUE(TRIM(Raw_Export!E49)),0))</f>
        <v>1</v>
      </c>
      <c r="G49" s="38" t="n">
        <f aca="false">IF(Raw_Export!$A49="","",IFERROR(VALUE(SUBSTITUTE(SUBSTITUTE(UPPER(TRIM(Raw_Export!F49)),"KES",""),",","")),0))</f>
        <v>130</v>
      </c>
      <c r="H49" s="38" t="n">
        <f aca="false">IF(Raw_Export!$A49="","",F49*G49)</f>
        <v>130</v>
      </c>
      <c r="I49" s="36" t="str">
        <f aca="false">IF(Raw_Export!$A49="","",IFERROR(VLOOKUP(LOWER(TRIM(Raw_Export!H49)),Maps!$D$2:$E$12,2,FALSE()),"Other"))</f>
        <v>M-Pesa</v>
      </c>
      <c r="J49" s="36" t="str">
        <f aca="false">IF(Raw_Export!$A49="","",IF(COUNTIF($A$2:A49,A49)&gt;1,"Duplicate",""))</f>
        <v/>
      </c>
      <c r="K49" s="36" t="str">
        <f aca="false">IF(Raw_Export!$A49="","",IF(J49="Duplicate","Duplicate",IF(OR(C49="UNMAPPED",D49="UNMAPPED"),"Unmapped",IF(F49=0,"Blank qty",IF(F49&lt;0,"Return","OK")))))</f>
        <v>OK</v>
      </c>
      <c r="L49" s="36" t="n">
        <f aca="false">IF(Raw_Export!$A49="","",IF(OR(K49="OK",K49="Return"),1,0))</f>
        <v>1</v>
      </c>
      <c r="M49" s="37" t="n">
        <f aca="false">IF(Raw_Export!$A49="","",B49-WEEKDAY(B49,2)+1)</f>
        <v>46265</v>
      </c>
    </row>
    <row r="50" customFormat="false" ht="15" hidden="false" customHeight="false" outlineLevel="0" collapsed="false">
      <c r="A50" s="36" t="str">
        <f aca="false">IF(Raw_Export!$A50="","",TRIM(Raw_Export!A50))</f>
        <v>TXN-100049</v>
      </c>
      <c r="B50" s="37" t="n">
        <f aca="false">IF(Raw_Export!$A50="","",IF(ISNUMBER(Raw_Export!B50),Raw_Export!B50,IF(MID(TRIM(Raw_Export!B50),5,1)="-",DATE(LEFT(TRIM(Raw_Export!B50),4),MID(TRIM(Raw_Export!B50),6,2),RIGHT(TRIM(Raw_Export!B50),2)),DATE(RIGHT(TRIM(Raw_Export!B50),4),MATCH(MID(TRIM(Raw_Export!B50),4,3),{"Jan","Feb","Mar","Apr","May","Jun","Jul","Aug","Sep","Oct","Nov","Dec"},0),LEFT(TRIM(Raw_Export!B50),2)))))</f>
        <v>46265</v>
      </c>
      <c r="C50" s="36" t="str">
        <f aca="false">IF(Raw_Export!$A50="","",IFERROR(VLOOKUP(LOWER(TRIM(Raw_Export!C50)),Maps!$A$2:$B$20,2,FALSE()),"UNMAPPED"))</f>
        <v>Westlands</v>
      </c>
      <c r="D50" s="36" t="str">
        <f aca="false">IF(Raw_Export!$A50="","",IFERROR(VLOOKUP(LOWER(TRIM(Raw_Export!D50)),Maps!$G$2:$I$80,2,FALSE()),"UNMAPPED"))</f>
        <v>Cooking Oil 1L</v>
      </c>
      <c r="E50" s="36" t="str">
        <f aca="false">IF(Raw_Export!$A50="","",IFERROR(VLOOKUP(LOWER(TRIM(Raw_Export!D50)),Maps!$G$2:$I$80,3,FALSE()),"UNMAPPED"))</f>
        <v>Staples</v>
      </c>
      <c r="F50" s="36" t="n">
        <f aca="false">IF(Raw_Export!$A50="","",IFERROR(VALUE(TRIM(Raw_Export!E50)),0))</f>
        <v>2</v>
      </c>
      <c r="G50" s="38" t="n">
        <f aca="false">IF(Raw_Export!$A50="","",IFERROR(VALUE(SUBSTITUTE(SUBSTITUTE(UPPER(TRIM(Raw_Export!F50)),"KES",""),",","")),0))</f>
        <v>330</v>
      </c>
      <c r="H50" s="38" t="n">
        <f aca="false">IF(Raw_Export!$A50="","",F50*G50)</f>
        <v>660</v>
      </c>
      <c r="I50" s="36" t="str">
        <f aca="false">IF(Raw_Export!$A50="","",IFERROR(VLOOKUP(LOWER(TRIM(Raw_Export!H50)),Maps!$D$2:$E$12,2,FALSE()),"Other"))</f>
        <v>Card</v>
      </c>
      <c r="J50" s="36" t="str">
        <f aca="false">IF(Raw_Export!$A50="","",IF(COUNTIF($A$2:A50,A50)&gt;1,"Duplicate",""))</f>
        <v/>
      </c>
      <c r="K50" s="36" t="str">
        <f aca="false">IF(Raw_Export!$A50="","",IF(J50="Duplicate","Duplicate",IF(OR(C50="UNMAPPED",D50="UNMAPPED"),"Unmapped",IF(F50=0,"Blank qty",IF(F50&lt;0,"Return","OK")))))</f>
        <v>OK</v>
      </c>
      <c r="L50" s="36" t="n">
        <f aca="false">IF(Raw_Export!$A50="","",IF(OR(K50="OK",K50="Return"),1,0))</f>
        <v>1</v>
      </c>
      <c r="M50" s="37" t="n">
        <f aca="false">IF(Raw_Export!$A50="","",B50-WEEKDAY(B50,2)+1)</f>
        <v>46265</v>
      </c>
    </row>
    <row r="51" customFormat="false" ht="15" hidden="false" customHeight="false" outlineLevel="0" collapsed="false">
      <c r="A51" s="36" t="str">
        <f aca="false">IF(Raw_Export!$A51="","",TRIM(Raw_Export!A51))</f>
        <v>TXN-100050</v>
      </c>
      <c r="B51" s="37" t="n">
        <f aca="false">IF(Raw_Export!$A51="","",IF(ISNUMBER(Raw_Export!B51),Raw_Export!B51,IF(MID(TRIM(Raw_Export!B51),5,1)="-",DATE(LEFT(TRIM(Raw_Export!B51),4),MID(TRIM(Raw_Export!B51),6,2),RIGHT(TRIM(Raw_Export!B51),2)),DATE(RIGHT(TRIM(Raw_Export!B51),4),MATCH(MID(TRIM(Raw_Export!B51),4,3),{"Jan","Feb","Mar","Apr","May","Jun","Jul","Aug","Sep","Oct","Nov","Dec"},0),LEFT(TRIM(Raw_Export!B51),2)))))</f>
        <v>46265</v>
      </c>
      <c r="C51" s="36" t="str">
        <f aca="false">IF(Raw_Export!$A51="","",IFERROR(VLOOKUP(LOWER(TRIM(Raw_Export!C51)),Maps!$A$2:$B$20,2,FALSE()),"UNMAPPED"))</f>
        <v>Westlands</v>
      </c>
      <c r="D51" s="36" t="str">
        <f aca="false">IF(Raw_Export!$A51="","",IFERROR(VLOOKUP(LOWER(TRIM(Raw_Export!D51)),Maps!$G$2:$I$80,2,FALSE()),"UNMAPPED"))</f>
        <v>Biscuits 200g</v>
      </c>
      <c r="E51" s="36" t="str">
        <f aca="false">IF(Raw_Export!$A51="","",IFERROR(VLOOKUP(LOWER(TRIM(Raw_Export!D51)),Maps!$G$2:$I$80,3,FALSE()),"UNMAPPED"))</f>
        <v>Snacks</v>
      </c>
      <c r="F51" s="36" t="n">
        <f aca="false">IF(Raw_Export!$A51="","",IFERROR(VALUE(TRIM(Raw_Export!E51)),0))</f>
        <v>1</v>
      </c>
      <c r="G51" s="38" t="n">
        <f aca="false">IF(Raw_Export!$A51="","",IFERROR(VALUE(SUBSTITUTE(SUBSTITUTE(UPPER(TRIM(Raw_Export!F51)),"KES",""),",","")),0))</f>
        <v>95</v>
      </c>
      <c r="H51" s="38" t="n">
        <f aca="false">IF(Raw_Export!$A51="","",F51*G51)</f>
        <v>95</v>
      </c>
      <c r="I51" s="36" t="str">
        <f aca="false">IF(Raw_Export!$A51="","",IFERROR(VLOOKUP(LOWER(TRIM(Raw_Export!H51)),Maps!$D$2:$E$12,2,FALSE()),"Other"))</f>
        <v>Cash</v>
      </c>
      <c r="J51" s="36" t="str">
        <f aca="false">IF(Raw_Export!$A51="","",IF(COUNTIF($A$2:A51,A51)&gt;1,"Duplicate",""))</f>
        <v/>
      </c>
      <c r="K51" s="36" t="str">
        <f aca="false">IF(Raw_Export!$A51="","",IF(J51="Duplicate","Duplicate",IF(OR(C51="UNMAPPED",D51="UNMAPPED"),"Unmapped",IF(F51=0,"Blank qty",IF(F51&lt;0,"Return","OK")))))</f>
        <v>OK</v>
      </c>
      <c r="L51" s="36" t="n">
        <f aca="false">IF(Raw_Export!$A51="","",IF(OR(K51="OK",K51="Return"),1,0))</f>
        <v>1</v>
      </c>
      <c r="M51" s="37" t="n">
        <f aca="false">IF(Raw_Export!$A51="","",B51-WEEKDAY(B51,2)+1)</f>
        <v>46265</v>
      </c>
    </row>
    <row r="52" customFormat="false" ht="15" hidden="false" customHeight="false" outlineLevel="0" collapsed="false">
      <c r="A52" s="36" t="str">
        <f aca="false">IF(Raw_Export!$A52="","",TRIM(Raw_Export!A52))</f>
        <v>TXN-100051</v>
      </c>
      <c r="B52" s="37" t="n">
        <f aca="false">IF(Raw_Export!$A52="","",IF(ISNUMBER(Raw_Export!B52),Raw_Export!B52,IF(MID(TRIM(Raw_Export!B52),5,1)="-",DATE(LEFT(TRIM(Raw_Export!B52),4),MID(TRIM(Raw_Export!B52),6,2),RIGHT(TRIM(Raw_Export!B52),2)),DATE(RIGHT(TRIM(Raw_Export!B52),4),MATCH(MID(TRIM(Raw_Export!B52),4,3),{"Jan","Feb","Mar","Apr","May","Jun","Jul","Aug","Sep","Oct","Nov","Dec"},0),LEFT(TRIM(Raw_Export!B52),2)))))</f>
        <v>46265</v>
      </c>
      <c r="C52" s="36" t="str">
        <f aca="false">IF(Raw_Export!$A52="","",IFERROR(VLOOKUP(LOWER(TRIM(Raw_Export!C52)),Maps!$A$2:$B$20,2,FALSE()),"UNMAPPED"))</f>
        <v>Westlands</v>
      </c>
      <c r="D52" s="36" t="str">
        <f aca="false">IF(Raw_Export!$A52="","",IFERROR(VLOOKUP(LOWER(TRIM(Raw_Export!D52)),Maps!$G$2:$I$80,2,FALSE()),"UNMAPPED"))</f>
        <v>Bottled Water 1.5L</v>
      </c>
      <c r="E52" s="36" t="str">
        <f aca="false">IF(Raw_Export!$A52="","",IFERROR(VLOOKUP(LOWER(TRIM(Raw_Export!D52)),Maps!$G$2:$I$80,3,FALSE()),"UNMAPPED"))</f>
        <v>Beverages</v>
      </c>
      <c r="F52" s="36" t="n">
        <f aca="false">IF(Raw_Export!$A52="","",IFERROR(VALUE(TRIM(Raw_Export!E52)),0))</f>
        <v>1</v>
      </c>
      <c r="G52" s="38" t="n">
        <f aca="false">IF(Raw_Export!$A52="","",IFERROR(VALUE(SUBSTITUTE(SUBSTITUTE(UPPER(TRIM(Raw_Export!F52)),"KES",""),",","")),0))</f>
        <v>81</v>
      </c>
      <c r="H52" s="38" t="n">
        <f aca="false">IF(Raw_Export!$A52="","",F52*G52)</f>
        <v>81</v>
      </c>
      <c r="I52" s="36" t="str">
        <f aca="false">IF(Raw_Export!$A52="","",IFERROR(VLOOKUP(LOWER(TRIM(Raw_Export!H52)),Maps!$D$2:$E$12,2,FALSE()),"Other"))</f>
        <v>Card</v>
      </c>
      <c r="J52" s="36" t="str">
        <f aca="false">IF(Raw_Export!$A52="","",IF(COUNTIF($A$2:A52,A52)&gt;1,"Duplicate",""))</f>
        <v/>
      </c>
      <c r="K52" s="36" t="str">
        <f aca="false">IF(Raw_Export!$A52="","",IF(J52="Duplicate","Duplicate",IF(OR(C52="UNMAPPED",D52="UNMAPPED"),"Unmapped",IF(F52=0,"Blank qty",IF(F52&lt;0,"Return","OK")))))</f>
        <v>OK</v>
      </c>
      <c r="L52" s="36" t="n">
        <f aca="false">IF(Raw_Export!$A52="","",IF(OR(K52="OK",K52="Return"),1,0))</f>
        <v>1</v>
      </c>
      <c r="M52" s="37" t="n">
        <f aca="false">IF(Raw_Export!$A52="","",B52-WEEKDAY(B52,2)+1)</f>
        <v>46265</v>
      </c>
    </row>
    <row r="53" customFormat="false" ht="15" hidden="false" customHeight="false" outlineLevel="0" collapsed="false">
      <c r="A53" s="36" t="str">
        <f aca="false">IF(Raw_Export!$A53="","",TRIM(Raw_Export!A53))</f>
        <v>TXN-100052</v>
      </c>
      <c r="B53" s="37" t="n">
        <f aca="false">IF(Raw_Export!$A53="","",IF(ISNUMBER(Raw_Export!B53),Raw_Export!B53,IF(MID(TRIM(Raw_Export!B53),5,1)="-",DATE(LEFT(TRIM(Raw_Export!B53),4),MID(TRIM(Raw_Export!B53),6,2),RIGHT(TRIM(Raw_Export!B53),2)),DATE(RIGHT(TRIM(Raw_Export!B53),4),MATCH(MID(TRIM(Raw_Export!B53),4,3),{"Jan","Feb","Mar","Apr","May","Jun","Jul","Aug","Sep","Oct","Nov","Dec"},0),LEFT(TRIM(Raw_Export!B53),2)))))</f>
        <v>46265</v>
      </c>
      <c r="C53" s="36" t="str">
        <f aca="false">IF(Raw_Export!$A53="","",IFERROR(VLOOKUP(LOWER(TRIM(Raw_Export!C53)),Maps!$A$2:$B$20,2,FALSE()),"UNMAPPED"))</f>
        <v>Westlands</v>
      </c>
      <c r="D53" s="36" t="str">
        <f aca="false">IF(Raw_Export!$A53="","",IFERROR(VLOOKUP(LOWER(TRIM(Raw_Export!D53)),Maps!$G$2:$I$80,2,FALSE()),"UNMAPPED"))</f>
        <v>Toothpaste 100g</v>
      </c>
      <c r="E53" s="36" t="str">
        <f aca="false">IF(Raw_Export!$A53="","",IFERROR(VLOOKUP(LOWER(TRIM(Raw_Export!D53)),Maps!$G$2:$I$80,3,FALSE()),"UNMAPPED"))</f>
        <v>Personal Care</v>
      </c>
      <c r="F53" s="36" t="n">
        <f aca="false">IF(Raw_Export!$A53="","",IFERROR(VALUE(TRIM(Raw_Export!E53)),0))</f>
        <v>1</v>
      </c>
      <c r="G53" s="38" t="n">
        <f aca="false">IF(Raw_Export!$A53="","",IFERROR(VALUE(SUBSTITUTE(SUBSTITUTE(UPPER(TRIM(Raw_Export!F53)),"KES",""),",","")),0))</f>
        <v>176</v>
      </c>
      <c r="H53" s="38" t="n">
        <f aca="false">IF(Raw_Export!$A53="","",F53*G53)</f>
        <v>176</v>
      </c>
      <c r="I53" s="36" t="str">
        <f aca="false">IF(Raw_Export!$A53="","",IFERROR(VLOOKUP(LOWER(TRIM(Raw_Export!H53)),Maps!$D$2:$E$12,2,FALSE()),"Other"))</f>
        <v>M-Pesa</v>
      </c>
      <c r="J53" s="36" t="str">
        <f aca="false">IF(Raw_Export!$A53="","",IF(COUNTIF($A$2:A53,A53)&gt;1,"Duplicate",""))</f>
        <v/>
      </c>
      <c r="K53" s="36" t="str">
        <f aca="false">IF(Raw_Export!$A53="","",IF(J53="Duplicate","Duplicate",IF(OR(C53="UNMAPPED",D53="UNMAPPED"),"Unmapped",IF(F53=0,"Blank qty",IF(F53&lt;0,"Return","OK")))))</f>
        <v>OK</v>
      </c>
      <c r="L53" s="36" t="n">
        <f aca="false">IF(Raw_Export!$A53="","",IF(OR(K53="OK",K53="Return"),1,0))</f>
        <v>1</v>
      </c>
      <c r="M53" s="37" t="n">
        <f aca="false">IF(Raw_Export!$A53="","",B53-WEEKDAY(B53,2)+1)</f>
        <v>46265</v>
      </c>
    </row>
    <row r="54" customFormat="false" ht="15" hidden="false" customHeight="false" outlineLevel="0" collapsed="false">
      <c r="A54" s="36" t="str">
        <f aca="false">IF(Raw_Export!$A54="","",TRIM(Raw_Export!A54))</f>
        <v>TXN-100053</v>
      </c>
      <c r="B54" s="37" t="n">
        <f aca="false">IF(Raw_Export!$A54="","",IF(ISNUMBER(Raw_Export!B54),Raw_Export!B54,IF(MID(TRIM(Raw_Export!B54),5,1)="-",DATE(LEFT(TRIM(Raw_Export!B54),4),MID(TRIM(Raw_Export!B54),6,2),RIGHT(TRIM(Raw_Export!B54),2)),DATE(RIGHT(TRIM(Raw_Export!B54),4),MATCH(MID(TRIM(Raw_Export!B54),4,3),{"Jan","Feb","Mar","Apr","May","Jun","Jul","Aug","Sep","Oct","Nov","Dec"},0),LEFT(TRIM(Raw_Export!B54),2)))))</f>
        <v>46265</v>
      </c>
      <c r="C54" s="36" t="str">
        <f aca="false">IF(Raw_Export!$A54="","",IFERROR(VLOOKUP(LOWER(TRIM(Raw_Export!C54)),Maps!$A$2:$B$20,2,FALSE()),"UNMAPPED"))</f>
        <v>Westlands</v>
      </c>
      <c r="D54" s="36" t="str">
        <f aca="false">IF(Raw_Export!$A54="","",IFERROR(VLOOKUP(LOWER(TRIM(Raw_Export!D54)),Maps!$G$2:$I$80,2,FALSE()),"UNMAPPED"))</f>
        <v>Bottled Water 1.5L</v>
      </c>
      <c r="E54" s="36" t="str">
        <f aca="false">IF(Raw_Export!$A54="","",IFERROR(VLOOKUP(LOWER(TRIM(Raw_Export!D54)),Maps!$G$2:$I$80,3,FALSE()),"UNMAPPED"))</f>
        <v>Beverages</v>
      </c>
      <c r="F54" s="36" t="n">
        <f aca="false">IF(Raw_Export!$A54="","",IFERROR(VALUE(TRIM(Raw_Export!E54)),0))</f>
        <v>1</v>
      </c>
      <c r="G54" s="38" t="n">
        <f aca="false">IF(Raw_Export!$A54="","",IFERROR(VALUE(SUBSTITUTE(SUBSTITUTE(UPPER(TRIM(Raw_Export!F54)),"KES",""),",","")),0))</f>
        <v>90</v>
      </c>
      <c r="H54" s="38" t="n">
        <f aca="false">IF(Raw_Export!$A54="","",F54*G54)</f>
        <v>90</v>
      </c>
      <c r="I54" s="36" t="str">
        <f aca="false">IF(Raw_Export!$A54="","",IFERROR(VLOOKUP(LOWER(TRIM(Raw_Export!H54)),Maps!$D$2:$E$12,2,FALSE()),"Other"))</f>
        <v>Cash</v>
      </c>
      <c r="J54" s="36" t="str">
        <f aca="false">IF(Raw_Export!$A54="","",IF(COUNTIF($A$2:A54,A54)&gt;1,"Duplicate",""))</f>
        <v/>
      </c>
      <c r="K54" s="36" t="str">
        <f aca="false">IF(Raw_Export!$A54="","",IF(J54="Duplicate","Duplicate",IF(OR(C54="UNMAPPED",D54="UNMAPPED"),"Unmapped",IF(F54=0,"Blank qty",IF(F54&lt;0,"Return","OK")))))</f>
        <v>OK</v>
      </c>
      <c r="L54" s="36" t="n">
        <f aca="false">IF(Raw_Export!$A54="","",IF(OR(K54="OK",K54="Return"),1,0))</f>
        <v>1</v>
      </c>
      <c r="M54" s="37" t="n">
        <f aca="false">IF(Raw_Export!$A54="","",B54-WEEKDAY(B54,2)+1)</f>
        <v>46265</v>
      </c>
    </row>
    <row r="55" customFormat="false" ht="15" hidden="false" customHeight="false" outlineLevel="0" collapsed="false">
      <c r="A55" s="36" t="str">
        <f aca="false">IF(Raw_Export!$A55="","",TRIM(Raw_Export!A55))</f>
        <v>TXN-100054</v>
      </c>
      <c r="B55" s="37" t="n">
        <f aca="false">IF(Raw_Export!$A55="","",IF(ISNUMBER(Raw_Export!B55),Raw_Export!B55,IF(MID(TRIM(Raw_Export!B55),5,1)="-",DATE(LEFT(TRIM(Raw_Export!B55),4),MID(TRIM(Raw_Export!B55),6,2),RIGHT(TRIM(Raw_Export!B55),2)),DATE(RIGHT(TRIM(Raw_Export!B55),4),MATCH(MID(TRIM(Raw_Export!B55),4,3),{"Jan","Feb","Mar","Apr","May","Jun","Jul","Aug","Sep","Oct","Nov","Dec"},0),LEFT(TRIM(Raw_Export!B55),2)))))</f>
        <v>46265</v>
      </c>
      <c r="C55" s="36" t="str">
        <f aca="false">IF(Raw_Export!$A55="","",IFERROR(VLOOKUP(LOWER(TRIM(Raw_Export!C55)),Maps!$A$2:$B$20,2,FALSE()),"UNMAPPED"))</f>
        <v>Westlands</v>
      </c>
      <c r="D55" s="36" t="str">
        <f aca="false">IF(Raw_Export!$A55="","",IFERROR(VLOOKUP(LOWER(TRIM(Raw_Export!D55)),Maps!$G$2:$I$80,2,FALSE()),"UNMAPPED"))</f>
        <v>Cheddar 200g</v>
      </c>
      <c r="E55" s="36" t="str">
        <f aca="false">IF(Raw_Export!$A55="","",IFERROR(VLOOKUP(LOWER(TRIM(Raw_Export!D55)),Maps!$G$2:$I$80,3,FALSE()),"UNMAPPED"))</f>
        <v>Dairy &amp; Eggs</v>
      </c>
      <c r="F55" s="36" t="n">
        <f aca="false">IF(Raw_Export!$A55="","",IFERROR(VALUE(TRIM(Raw_Export!E55)),0))</f>
        <v>6</v>
      </c>
      <c r="G55" s="38" t="n">
        <f aca="false">IF(Raw_Export!$A55="","",IFERROR(VALUE(SUBSTITUTE(SUBSTITUTE(UPPER(TRIM(Raw_Export!F55)),"KES",""),",","")),0))</f>
        <v>380</v>
      </c>
      <c r="H55" s="38" t="n">
        <f aca="false">IF(Raw_Export!$A55="","",F55*G55)</f>
        <v>2280</v>
      </c>
      <c r="I55" s="36" t="str">
        <f aca="false">IF(Raw_Export!$A55="","",IFERROR(VLOOKUP(LOWER(TRIM(Raw_Export!H55)),Maps!$D$2:$E$12,2,FALSE()),"Other"))</f>
        <v>Cash</v>
      </c>
      <c r="J55" s="36" t="str">
        <f aca="false">IF(Raw_Export!$A55="","",IF(COUNTIF($A$2:A55,A55)&gt;1,"Duplicate",""))</f>
        <v/>
      </c>
      <c r="K55" s="36" t="str">
        <f aca="false">IF(Raw_Export!$A55="","",IF(J55="Duplicate","Duplicate",IF(OR(C55="UNMAPPED",D55="UNMAPPED"),"Unmapped",IF(F55=0,"Blank qty",IF(F55&lt;0,"Return","OK")))))</f>
        <v>OK</v>
      </c>
      <c r="L55" s="36" t="n">
        <f aca="false">IF(Raw_Export!$A55="","",IF(OR(K55="OK",K55="Return"),1,0))</f>
        <v>1</v>
      </c>
      <c r="M55" s="37" t="n">
        <f aca="false">IF(Raw_Export!$A55="","",B55-WEEKDAY(B55,2)+1)</f>
        <v>46265</v>
      </c>
    </row>
    <row r="56" customFormat="false" ht="15" hidden="false" customHeight="false" outlineLevel="0" collapsed="false">
      <c r="A56" s="36" t="str">
        <f aca="false">IF(Raw_Export!$A56="","",TRIM(Raw_Export!A56))</f>
        <v>TXN-100055</v>
      </c>
      <c r="B56" s="37" t="n">
        <f aca="false">IF(Raw_Export!$A56="","",IF(ISNUMBER(Raw_Export!B56),Raw_Export!B56,IF(MID(TRIM(Raw_Export!B56),5,1)="-",DATE(LEFT(TRIM(Raw_Export!B56),4),MID(TRIM(Raw_Export!B56),6,2),RIGHT(TRIM(Raw_Export!B56),2)),DATE(RIGHT(TRIM(Raw_Export!B56),4),MATCH(MID(TRIM(Raw_Export!B56),4,3),{"Jan","Feb","Mar","Apr","May","Jun","Jul","Aug","Sep","Oct","Nov","Dec"},0),LEFT(TRIM(Raw_Export!B56),2)))))</f>
        <v>46265</v>
      </c>
      <c r="C56" s="36" t="str">
        <f aca="false">IF(Raw_Export!$A56="","",IFERROR(VLOOKUP(LOWER(TRIM(Raw_Export!C56)),Maps!$A$2:$B$20,2,FALSE()),"UNMAPPED"))</f>
        <v>Westlands</v>
      </c>
      <c r="D56" s="36" t="str">
        <f aca="false">IF(Raw_Export!$A56="","",IFERROR(VLOOKUP(LOWER(TRIM(Raw_Export!D56)),Maps!$G$2:$I$80,2,FALSE()),"UNMAPPED"))</f>
        <v>Matches 10pk</v>
      </c>
      <c r="E56" s="36" t="str">
        <f aca="false">IF(Raw_Export!$A56="","",IFERROR(VLOOKUP(LOWER(TRIM(Raw_Export!D56)),Maps!$G$2:$I$80,3,FALSE()),"UNMAPPED"))</f>
        <v>Household</v>
      </c>
      <c r="F56" s="36" t="n">
        <f aca="false">IF(Raw_Export!$A56="","",IFERROR(VALUE(TRIM(Raw_Export!E56)),0))</f>
        <v>1</v>
      </c>
      <c r="G56" s="38" t="n">
        <f aca="false">IF(Raw_Export!$A56="","",IFERROR(VALUE(SUBSTITUTE(SUBSTITUTE(UPPER(TRIM(Raw_Export!F56)),"KES",""),",","")),0))</f>
        <v>50</v>
      </c>
      <c r="H56" s="38" t="n">
        <f aca="false">IF(Raw_Export!$A56="","",F56*G56)</f>
        <v>50</v>
      </c>
      <c r="I56" s="36" t="str">
        <f aca="false">IF(Raw_Export!$A56="","",IFERROR(VLOOKUP(LOWER(TRIM(Raw_Export!H56)),Maps!$D$2:$E$12,2,FALSE()),"Other"))</f>
        <v>Cash</v>
      </c>
      <c r="J56" s="36" t="str">
        <f aca="false">IF(Raw_Export!$A56="","",IF(COUNTIF($A$2:A56,A56)&gt;1,"Duplicate",""))</f>
        <v/>
      </c>
      <c r="K56" s="36" t="str">
        <f aca="false">IF(Raw_Export!$A56="","",IF(J56="Duplicate","Duplicate",IF(OR(C56="UNMAPPED",D56="UNMAPPED"),"Unmapped",IF(F56=0,"Blank qty",IF(F56&lt;0,"Return","OK")))))</f>
        <v>OK</v>
      </c>
      <c r="L56" s="36" t="n">
        <f aca="false">IF(Raw_Export!$A56="","",IF(OR(K56="OK",K56="Return"),1,0))</f>
        <v>1</v>
      </c>
      <c r="M56" s="37" t="n">
        <f aca="false">IF(Raw_Export!$A56="","",B56-WEEKDAY(B56,2)+1)</f>
        <v>46265</v>
      </c>
    </row>
    <row r="57" customFormat="false" ht="15" hidden="false" customHeight="false" outlineLevel="0" collapsed="false">
      <c r="A57" s="36" t="str">
        <f aca="false">IF(Raw_Export!$A57="","",TRIM(Raw_Export!A57))</f>
        <v>TXN-100056</v>
      </c>
      <c r="B57" s="37" t="n">
        <f aca="false">IF(Raw_Export!$A57="","",IF(ISNUMBER(Raw_Export!B57),Raw_Export!B57,IF(MID(TRIM(Raw_Export!B57),5,1)="-",DATE(LEFT(TRIM(Raw_Export!B57),4),MID(TRIM(Raw_Export!B57),6,2),RIGHT(TRIM(Raw_Export!B57),2)),DATE(RIGHT(TRIM(Raw_Export!B57),4),MATCH(MID(TRIM(Raw_Export!B57),4,3),{"Jan","Feb","Mar","Apr","May","Jun","Jul","Aug","Sep","Oct","Nov","Dec"},0),LEFT(TRIM(Raw_Export!B57),2)))))</f>
        <v>46265</v>
      </c>
      <c r="C57" s="36" t="str">
        <f aca="false">IF(Raw_Export!$A57="","",IFERROR(VLOOKUP(LOWER(TRIM(Raw_Export!C57)),Maps!$A$2:$B$20,2,FALSE()),"UNMAPPED"))</f>
        <v>Westlands</v>
      </c>
      <c r="D57" s="36" t="str">
        <f aca="false">IF(Raw_Export!$A57="","",IFERROR(VLOOKUP(LOWER(TRIM(Raw_Export!D57)),Maps!$G$2:$I$80,2,FALSE()),"UNMAPPED"))</f>
        <v>Spaghetti 400g</v>
      </c>
      <c r="E57" s="36" t="str">
        <f aca="false">IF(Raw_Export!$A57="","",IFERROR(VLOOKUP(LOWER(TRIM(Raw_Export!D57)),Maps!$G$2:$I$80,3,FALSE()),"UNMAPPED"))</f>
        <v>Staples</v>
      </c>
      <c r="F57" s="36" t="n">
        <f aca="false">IF(Raw_Export!$A57="","",IFERROR(VALUE(TRIM(Raw_Export!E57)),0))</f>
        <v>2</v>
      </c>
      <c r="G57" s="38" t="n">
        <f aca="false">IF(Raw_Export!$A57="","",IFERROR(VALUE(SUBSTITUTE(SUBSTITUTE(UPPER(TRIM(Raw_Export!F57)),"KES",""),",","")),0))</f>
        <v>110</v>
      </c>
      <c r="H57" s="38" t="n">
        <f aca="false">IF(Raw_Export!$A57="","",F57*G57)</f>
        <v>220</v>
      </c>
      <c r="I57" s="36" t="str">
        <f aca="false">IF(Raw_Export!$A57="","",IFERROR(VLOOKUP(LOWER(TRIM(Raw_Export!H57)),Maps!$D$2:$E$12,2,FALSE()),"Other"))</f>
        <v>Card</v>
      </c>
      <c r="J57" s="36" t="str">
        <f aca="false">IF(Raw_Export!$A57="","",IF(COUNTIF($A$2:A57,A57)&gt;1,"Duplicate",""))</f>
        <v/>
      </c>
      <c r="K57" s="36" t="str">
        <f aca="false">IF(Raw_Export!$A57="","",IF(J57="Duplicate","Duplicate",IF(OR(C57="UNMAPPED",D57="UNMAPPED"),"Unmapped",IF(F57=0,"Blank qty",IF(F57&lt;0,"Return","OK")))))</f>
        <v>OK</v>
      </c>
      <c r="L57" s="36" t="n">
        <f aca="false">IF(Raw_Export!$A57="","",IF(OR(K57="OK",K57="Return"),1,0))</f>
        <v>1</v>
      </c>
      <c r="M57" s="37" t="n">
        <f aca="false">IF(Raw_Export!$A57="","",B57-WEEKDAY(B57,2)+1)</f>
        <v>46265</v>
      </c>
    </row>
    <row r="58" customFormat="false" ht="15" hidden="false" customHeight="false" outlineLevel="0" collapsed="false">
      <c r="A58" s="36" t="str">
        <f aca="false">IF(Raw_Export!$A58="","",TRIM(Raw_Export!A58))</f>
        <v>TXN-100057</v>
      </c>
      <c r="B58" s="37" t="n">
        <f aca="false">IF(Raw_Export!$A58="","",IF(ISNUMBER(Raw_Export!B58),Raw_Export!B58,IF(MID(TRIM(Raw_Export!B58),5,1)="-",DATE(LEFT(TRIM(Raw_Export!B58),4),MID(TRIM(Raw_Export!B58),6,2),RIGHT(TRIM(Raw_Export!B58),2)),DATE(RIGHT(TRIM(Raw_Export!B58),4),MATCH(MID(TRIM(Raw_Export!B58),4,3),{"Jan","Feb","Mar","Apr","May","Jun","Jul","Aug","Sep","Oct","Nov","Dec"},0),LEFT(TRIM(Raw_Export!B58),2)))))</f>
        <v>46265</v>
      </c>
      <c r="C58" s="36" t="str">
        <f aca="false">IF(Raw_Export!$A58="","",IFERROR(VLOOKUP(LOWER(TRIM(Raw_Export!C58)),Maps!$A$2:$B$20,2,FALSE()),"UNMAPPED"))</f>
        <v>Westlands</v>
      </c>
      <c r="D58" s="36" t="str">
        <f aca="false">IF(Raw_Export!$A58="","",IFERROR(VLOOKUP(LOWER(TRIM(Raw_Export!D58)),Maps!$G$2:$I$80,2,FALSE()),"UNMAPPED"))</f>
        <v>Cooking Oil 1L</v>
      </c>
      <c r="E58" s="36" t="str">
        <f aca="false">IF(Raw_Export!$A58="","",IFERROR(VLOOKUP(LOWER(TRIM(Raw_Export!D58)),Maps!$G$2:$I$80,3,FALSE()),"UNMAPPED"))</f>
        <v>Staples</v>
      </c>
      <c r="F58" s="36" t="n">
        <f aca="false">IF(Raw_Export!$A58="","",IFERROR(VALUE(TRIM(Raw_Export!E58)),0))</f>
        <v>2</v>
      </c>
      <c r="G58" s="38" t="n">
        <f aca="false">IF(Raw_Export!$A58="","",IFERROR(VALUE(SUBSTITUTE(SUBSTITUTE(UPPER(TRIM(Raw_Export!F58)),"KES",""),",","")),0))</f>
        <v>297</v>
      </c>
      <c r="H58" s="38" t="n">
        <f aca="false">IF(Raw_Export!$A58="","",F58*G58)</f>
        <v>594</v>
      </c>
      <c r="I58" s="36" t="str">
        <f aca="false">IF(Raw_Export!$A58="","",IFERROR(VLOOKUP(LOWER(TRIM(Raw_Export!H58)),Maps!$D$2:$E$12,2,FALSE()),"Other"))</f>
        <v>Cash</v>
      </c>
      <c r="J58" s="36" t="str">
        <f aca="false">IF(Raw_Export!$A58="","",IF(COUNTIF($A$2:A58,A58)&gt;1,"Duplicate",""))</f>
        <v/>
      </c>
      <c r="K58" s="36" t="str">
        <f aca="false">IF(Raw_Export!$A58="","",IF(J58="Duplicate","Duplicate",IF(OR(C58="UNMAPPED",D58="UNMAPPED"),"Unmapped",IF(F58=0,"Blank qty",IF(F58&lt;0,"Return","OK")))))</f>
        <v>OK</v>
      </c>
      <c r="L58" s="36" t="n">
        <f aca="false">IF(Raw_Export!$A58="","",IF(OR(K58="OK",K58="Return"),1,0))</f>
        <v>1</v>
      </c>
      <c r="M58" s="37" t="n">
        <f aca="false">IF(Raw_Export!$A58="","",B58-WEEKDAY(B58,2)+1)</f>
        <v>46265</v>
      </c>
    </row>
    <row r="59" customFormat="false" ht="15" hidden="false" customHeight="false" outlineLevel="0" collapsed="false">
      <c r="A59" s="36" t="str">
        <f aca="false">IF(Raw_Export!$A59="","",TRIM(Raw_Export!A59))</f>
        <v>TXN-100058</v>
      </c>
      <c r="B59" s="37" t="n">
        <f aca="false">IF(Raw_Export!$A59="","",IF(ISNUMBER(Raw_Export!B59),Raw_Export!B59,IF(MID(TRIM(Raw_Export!B59),5,1)="-",DATE(LEFT(TRIM(Raw_Export!B59),4),MID(TRIM(Raw_Export!B59),6,2),RIGHT(TRIM(Raw_Export!B59),2)),DATE(RIGHT(TRIM(Raw_Export!B59),4),MATCH(MID(TRIM(Raw_Export!B59),4,3),{"Jan","Feb","Mar","Apr","May","Jun","Jul","Aug","Sep","Oct","Nov","Dec"},0),LEFT(TRIM(Raw_Export!B59),2)))))</f>
        <v>46265</v>
      </c>
      <c r="C59" s="36" t="str">
        <f aca="false">IF(Raw_Export!$A59="","",IFERROR(VLOOKUP(LOWER(TRIM(Raw_Export!C59)),Maps!$A$2:$B$20,2,FALSE()),"UNMAPPED"))</f>
        <v>Westlands</v>
      </c>
      <c r="D59" s="36" t="str">
        <f aca="false">IF(Raw_Export!$A59="","",IFERROR(VLOOKUP(LOWER(TRIM(Raw_Export!D59)),Maps!$G$2:$I$80,2,FALSE()),"UNMAPPED"))</f>
        <v>Biscuits 200g</v>
      </c>
      <c r="E59" s="36" t="str">
        <f aca="false">IF(Raw_Export!$A59="","",IFERROR(VLOOKUP(LOWER(TRIM(Raw_Export!D59)),Maps!$G$2:$I$80,3,FALSE()),"UNMAPPED"))</f>
        <v>Snacks</v>
      </c>
      <c r="F59" s="36" t="n">
        <f aca="false">IF(Raw_Export!$A59="","",IFERROR(VALUE(TRIM(Raw_Export!E59)),0))</f>
        <v>1</v>
      </c>
      <c r="G59" s="38" t="n">
        <f aca="false">IF(Raw_Export!$A59="","",IFERROR(VALUE(SUBSTITUTE(SUBSTITUTE(UPPER(TRIM(Raw_Export!F59)),"KES",""),",","")),0))</f>
        <v>95</v>
      </c>
      <c r="H59" s="38" t="n">
        <f aca="false">IF(Raw_Export!$A59="","",F59*G59)</f>
        <v>95</v>
      </c>
      <c r="I59" s="36" t="str">
        <f aca="false">IF(Raw_Export!$A59="","",IFERROR(VLOOKUP(LOWER(TRIM(Raw_Export!H59)),Maps!$D$2:$E$12,2,FALSE()),"Other"))</f>
        <v>M-Pesa</v>
      </c>
      <c r="J59" s="36" t="str">
        <f aca="false">IF(Raw_Export!$A59="","",IF(COUNTIF($A$2:A59,A59)&gt;1,"Duplicate",""))</f>
        <v/>
      </c>
      <c r="K59" s="36" t="str">
        <f aca="false">IF(Raw_Export!$A59="","",IF(J59="Duplicate","Duplicate",IF(OR(C59="UNMAPPED",D59="UNMAPPED"),"Unmapped",IF(F59=0,"Blank qty",IF(F59&lt;0,"Return","OK")))))</f>
        <v>OK</v>
      </c>
      <c r="L59" s="36" t="n">
        <f aca="false">IF(Raw_Export!$A59="","",IF(OR(K59="OK",K59="Return"),1,0))</f>
        <v>1</v>
      </c>
      <c r="M59" s="37" t="n">
        <f aca="false">IF(Raw_Export!$A59="","",B59-WEEKDAY(B59,2)+1)</f>
        <v>46265</v>
      </c>
    </row>
    <row r="60" customFormat="false" ht="15" hidden="false" customHeight="false" outlineLevel="0" collapsed="false">
      <c r="A60" s="36" t="str">
        <f aca="false">IF(Raw_Export!$A60="","",TRIM(Raw_Export!A60))</f>
        <v>TXN-100059</v>
      </c>
      <c r="B60" s="37" t="n">
        <f aca="false">IF(Raw_Export!$A60="","",IF(ISNUMBER(Raw_Export!B60),Raw_Export!B60,IF(MID(TRIM(Raw_Export!B60),5,1)="-",DATE(LEFT(TRIM(Raw_Export!B60),4),MID(TRIM(Raw_Export!B60),6,2),RIGHT(TRIM(Raw_Export!B60),2)),DATE(RIGHT(TRIM(Raw_Export!B60),4),MATCH(MID(TRIM(Raw_Export!B60),4,3),{"Jan","Feb","Mar","Apr","May","Jun","Jul","Aug","Sep","Oct","Nov","Dec"},0),LEFT(TRIM(Raw_Export!B60),2)))))</f>
        <v>46265</v>
      </c>
      <c r="C60" s="36" t="str">
        <f aca="false">IF(Raw_Export!$A60="","",IFERROR(VLOOKUP(LOWER(TRIM(Raw_Export!C60)),Maps!$A$2:$B$20,2,FALSE()),"UNMAPPED"))</f>
        <v>Westlands</v>
      </c>
      <c r="D60" s="36" t="str">
        <f aca="false">IF(Raw_Export!$A60="","",IFERROR(VLOOKUP(LOWER(TRIM(Raw_Export!D60)),Maps!$G$2:$I$80,2,FALSE()),"UNMAPPED"))</f>
        <v>Sugar 2kg</v>
      </c>
      <c r="E60" s="36" t="str">
        <f aca="false">IF(Raw_Export!$A60="","",IFERROR(VLOOKUP(LOWER(TRIM(Raw_Export!D60)),Maps!$G$2:$I$80,3,FALSE()),"UNMAPPED"))</f>
        <v>Staples</v>
      </c>
      <c r="F60" s="36" t="n">
        <f aca="false">IF(Raw_Export!$A60="","",IFERROR(VALUE(TRIM(Raw_Export!E60)),0))</f>
        <v>2</v>
      </c>
      <c r="G60" s="38" t="n">
        <f aca="false">IF(Raw_Export!$A60="","",IFERROR(VALUE(SUBSTITUTE(SUBSTITUTE(UPPER(TRIM(Raw_Export!F60)),"KES",""),",","")),0))</f>
        <v>297</v>
      </c>
      <c r="H60" s="38" t="n">
        <f aca="false">IF(Raw_Export!$A60="","",F60*G60)</f>
        <v>594</v>
      </c>
      <c r="I60" s="36" t="str">
        <f aca="false">IF(Raw_Export!$A60="","",IFERROR(VLOOKUP(LOWER(TRIM(Raw_Export!H60)),Maps!$D$2:$E$12,2,FALSE()),"Other"))</f>
        <v>M-Pesa</v>
      </c>
      <c r="J60" s="36" t="str">
        <f aca="false">IF(Raw_Export!$A60="","",IF(COUNTIF($A$2:A60,A60)&gt;1,"Duplicate",""))</f>
        <v/>
      </c>
      <c r="K60" s="36" t="str">
        <f aca="false">IF(Raw_Export!$A60="","",IF(J60="Duplicate","Duplicate",IF(OR(C60="UNMAPPED",D60="UNMAPPED"),"Unmapped",IF(F60=0,"Blank qty",IF(F60&lt;0,"Return","OK")))))</f>
        <v>OK</v>
      </c>
      <c r="L60" s="36" t="n">
        <f aca="false">IF(Raw_Export!$A60="","",IF(OR(K60="OK",K60="Return"),1,0))</f>
        <v>1</v>
      </c>
      <c r="M60" s="37" t="n">
        <f aca="false">IF(Raw_Export!$A60="","",B60-WEEKDAY(B60,2)+1)</f>
        <v>46265</v>
      </c>
    </row>
    <row r="61" customFormat="false" ht="15" hidden="false" customHeight="false" outlineLevel="0" collapsed="false">
      <c r="A61" s="36" t="str">
        <f aca="false">IF(Raw_Export!$A61="","",TRIM(Raw_Export!A61))</f>
        <v>TXN-100060</v>
      </c>
      <c r="B61" s="37" t="n">
        <f aca="false">IF(Raw_Export!$A61="","",IF(ISNUMBER(Raw_Export!B61),Raw_Export!B61,IF(MID(TRIM(Raw_Export!B61),5,1)="-",DATE(LEFT(TRIM(Raw_Export!B61),4),MID(TRIM(Raw_Export!B61),6,2),RIGHT(TRIM(Raw_Export!B61),2)),DATE(RIGHT(TRIM(Raw_Export!B61),4),MATCH(MID(TRIM(Raw_Export!B61),4,3),{"Jan","Feb","Mar","Apr","May","Jun","Jul","Aug","Sep","Oct","Nov","Dec"},0),LEFT(TRIM(Raw_Export!B61),2)))))</f>
        <v>46265</v>
      </c>
      <c r="C61" s="36" t="str">
        <f aca="false">IF(Raw_Export!$A61="","",IFERROR(VLOOKUP(LOWER(TRIM(Raw_Export!C61)),Maps!$A$2:$B$20,2,FALSE()),"UNMAPPED"))</f>
        <v>Westlands</v>
      </c>
      <c r="D61" s="36" t="str">
        <f aca="false">IF(Raw_Export!$A61="","",IFERROR(VLOOKUP(LOWER(TRIM(Raw_Export!D61)),Maps!$G$2:$I$80,2,FALSE()),"UNMAPPED"))</f>
        <v>Salt 500g</v>
      </c>
      <c r="E61" s="36" t="str">
        <f aca="false">IF(Raw_Export!$A61="","",IFERROR(VLOOKUP(LOWER(TRIM(Raw_Export!D61)),Maps!$G$2:$I$80,3,FALSE()),"UNMAPPED"))</f>
        <v>Staples</v>
      </c>
      <c r="F61" s="36" t="n">
        <f aca="false">IF(Raw_Export!$A61="","",IFERROR(VALUE(TRIM(Raw_Export!E61)),0))</f>
        <v>2</v>
      </c>
      <c r="G61" s="38" t="n">
        <f aca="false">IF(Raw_Export!$A61="","",IFERROR(VALUE(SUBSTITUTE(SUBSTITUTE(UPPER(TRIM(Raw_Export!F61)),"KES",""),",","")),0))</f>
        <v>40</v>
      </c>
      <c r="H61" s="38" t="n">
        <f aca="false">IF(Raw_Export!$A61="","",F61*G61)</f>
        <v>80</v>
      </c>
      <c r="I61" s="36" t="str">
        <f aca="false">IF(Raw_Export!$A61="","",IFERROR(VLOOKUP(LOWER(TRIM(Raw_Export!H61)),Maps!$D$2:$E$12,2,FALSE()),"Other"))</f>
        <v>M-Pesa</v>
      </c>
      <c r="J61" s="36" t="str">
        <f aca="false">IF(Raw_Export!$A61="","",IF(COUNTIF($A$2:A61,A61)&gt;1,"Duplicate",""))</f>
        <v/>
      </c>
      <c r="K61" s="36" t="str">
        <f aca="false">IF(Raw_Export!$A61="","",IF(J61="Duplicate","Duplicate",IF(OR(C61="UNMAPPED",D61="UNMAPPED"),"Unmapped",IF(F61=0,"Blank qty",IF(F61&lt;0,"Return","OK")))))</f>
        <v>OK</v>
      </c>
      <c r="L61" s="36" t="n">
        <f aca="false">IF(Raw_Export!$A61="","",IF(OR(K61="OK",K61="Return"),1,0))</f>
        <v>1</v>
      </c>
      <c r="M61" s="37" t="n">
        <f aca="false">IF(Raw_Export!$A61="","",B61-WEEKDAY(B61,2)+1)</f>
        <v>46265</v>
      </c>
    </row>
    <row r="62" customFormat="false" ht="15" hidden="false" customHeight="false" outlineLevel="0" collapsed="false">
      <c r="A62" s="36" t="str">
        <f aca="false">IF(Raw_Export!$A62="","",TRIM(Raw_Export!A62))</f>
        <v>TXN-100061</v>
      </c>
      <c r="B62" s="37" t="n">
        <f aca="false">IF(Raw_Export!$A62="","",IF(ISNUMBER(Raw_Export!B62),Raw_Export!B62,IF(MID(TRIM(Raw_Export!B62),5,1)="-",DATE(LEFT(TRIM(Raw_Export!B62),4),MID(TRIM(Raw_Export!B62),6,2),RIGHT(TRIM(Raw_Export!B62),2)),DATE(RIGHT(TRIM(Raw_Export!B62),4),MATCH(MID(TRIM(Raw_Export!B62),4,3),{"Jan","Feb","Mar","Apr","May","Jun","Jul","Aug","Sep","Oct","Nov","Dec"},0),LEFT(TRIM(Raw_Export!B62),2)))))</f>
        <v>46265</v>
      </c>
      <c r="C62" s="36" t="str">
        <f aca="false">IF(Raw_Export!$A62="","",IFERROR(VLOOKUP(LOWER(TRIM(Raw_Export!C62)),Maps!$A$2:$B$20,2,FALSE()),"UNMAPPED"))</f>
        <v>Westlands</v>
      </c>
      <c r="D62" s="36" t="str">
        <f aca="false">IF(Raw_Export!$A62="","",IFERROR(VLOOKUP(LOWER(TRIM(Raw_Export!D62)),Maps!$G$2:$I$80,2,FALSE()),"UNMAPPED"))</f>
        <v>Cooking Oil 1L</v>
      </c>
      <c r="E62" s="36" t="str">
        <f aca="false">IF(Raw_Export!$A62="","",IFERROR(VLOOKUP(LOWER(TRIM(Raw_Export!D62)),Maps!$G$2:$I$80,3,FALSE()),"UNMAPPED"))</f>
        <v>Staples</v>
      </c>
      <c r="F62" s="36" t="n">
        <f aca="false">IF(Raw_Export!$A62="","",IFERROR(VALUE(TRIM(Raw_Export!E62)),0))</f>
        <v>2</v>
      </c>
      <c r="G62" s="38" t="n">
        <f aca="false">IF(Raw_Export!$A62="","",IFERROR(VALUE(SUBSTITUTE(SUBSTITUTE(UPPER(TRIM(Raw_Export!F62)),"KES",""),",","")),0))</f>
        <v>330</v>
      </c>
      <c r="H62" s="38" t="n">
        <f aca="false">IF(Raw_Export!$A62="","",F62*G62)</f>
        <v>660</v>
      </c>
      <c r="I62" s="36" t="str">
        <f aca="false">IF(Raw_Export!$A62="","",IFERROR(VLOOKUP(LOWER(TRIM(Raw_Export!H62)),Maps!$D$2:$E$12,2,FALSE()),"Other"))</f>
        <v>Cash</v>
      </c>
      <c r="J62" s="36" t="str">
        <f aca="false">IF(Raw_Export!$A62="","",IF(COUNTIF($A$2:A62,A62)&gt;1,"Duplicate",""))</f>
        <v/>
      </c>
      <c r="K62" s="36" t="str">
        <f aca="false">IF(Raw_Export!$A62="","",IF(J62="Duplicate","Duplicate",IF(OR(C62="UNMAPPED",D62="UNMAPPED"),"Unmapped",IF(F62=0,"Blank qty",IF(F62&lt;0,"Return","OK")))))</f>
        <v>OK</v>
      </c>
      <c r="L62" s="36" t="n">
        <f aca="false">IF(Raw_Export!$A62="","",IF(OR(K62="OK",K62="Return"),1,0))</f>
        <v>1</v>
      </c>
      <c r="M62" s="37" t="n">
        <f aca="false">IF(Raw_Export!$A62="","",B62-WEEKDAY(B62,2)+1)</f>
        <v>46265</v>
      </c>
    </row>
    <row r="63" customFormat="false" ht="15" hidden="false" customHeight="false" outlineLevel="0" collapsed="false">
      <c r="A63" s="36" t="str">
        <f aca="false">IF(Raw_Export!$A63="","",TRIM(Raw_Export!A63))</f>
        <v>TXN-100062</v>
      </c>
      <c r="B63" s="37" t="n">
        <f aca="false">IF(Raw_Export!$A63="","",IF(ISNUMBER(Raw_Export!B63),Raw_Export!B63,IF(MID(TRIM(Raw_Export!B63),5,1)="-",DATE(LEFT(TRIM(Raw_Export!B63),4),MID(TRIM(Raw_Export!B63),6,2),RIGHT(TRIM(Raw_Export!B63),2)),DATE(RIGHT(TRIM(Raw_Export!B63),4),MATCH(MID(TRIM(Raw_Export!B63),4,3),{"Jan","Feb","Mar","Apr","May","Jun","Jul","Aug","Sep","Oct","Nov","Dec"},0),LEFT(TRIM(Raw_Export!B63),2)))))</f>
        <v>46265</v>
      </c>
      <c r="C63" s="36" t="str">
        <f aca="false">IF(Raw_Export!$A63="","",IFERROR(VLOOKUP(LOWER(TRIM(Raw_Export!C63)),Maps!$A$2:$B$20,2,FALSE()),"UNMAPPED"))</f>
        <v>Westlands</v>
      </c>
      <c r="D63" s="36" t="str">
        <f aca="false">IF(Raw_Export!$A63="","",IFERROR(VLOOKUP(LOWER(TRIM(Raw_Export!D63)),Maps!$G$2:$I$80,2,FALSE()),"UNMAPPED"))</f>
        <v>Cooking Oil 1L</v>
      </c>
      <c r="E63" s="36" t="str">
        <f aca="false">IF(Raw_Export!$A63="","",IFERROR(VLOOKUP(LOWER(TRIM(Raw_Export!D63)),Maps!$G$2:$I$80,3,FALSE()),"UNMAPPED"))</f>
        <v>Staples</v>
      </c>
      <c r="F63" s="36" t="n">
        <f aca="false">IF(Raw_Export!$A63="","",IFERROR(VALUE(TRIM(Raw_Export!E63)),0))</f>
        <v>3</v>
      </c>
      <c r="G63" s="38" t="n">
        <f aca="false">IF(Raw_Export!$A63="","",IFERROR(VALUE(SUBSTITUTE(SUBSTITUTE(UPPER(TRIM(Raw_Export!F63)),"KES",""),",","")),0))</f>
        <v>330</v>
      </c>
      <c r="H63" s="38" t="n">
        <f aca="false">IF(Raw_Export!$A63="","",F63*G63)</f>
        <v>990</v>
      </c>
      <c r="I63" s="36" t="str">
        <f aca="false">IF(Raw_Export!$A63="","",IFERROR(VLOOKUP(LOWER(TRIM(Raw_Export!H63)),Maps!$D$2:$E$12,2,FALSE()),"Other"))</f>
        <v>Cash</v>
      </c>
      <c r="J63" s="36" t="str">
        <f aca="false">IF(Raw_Export!$A63="","",IF(COUNTIF($A$2:A63,A63)&gt;1,"Duplicate",""))</f>
        <v/>
      </c>
      <c r="K63" s="36" t="str">
        <f aca="false">IF(Raw_Export!$A63="","",IF(J63="Duplicate","Duplicate",IF(OR(C63="UNMAPPED",D63="UNMAPPED"),"Unmapped",IF(F63=0,"Blank qty",IF(F63&lt;0,"Return","OK")))))</f>
        <v>OK</v>
      </c>
      <c r="L63" s="36" t="n">
        <f aca="false">IF(Raw_Export!$A63="","",IF(OR(K63="OK",K63="Return"),1,0))</f>
        <v>1</v>
      </c>
      <c r="M63" s="37" t="n">
        <f aca="false">IF(Raw_Export!$A63="","",B63-WEEKDAY(B63,2)+1)</f>
        <v>46265</v>
      </c>
    </row>
    <row r="64" customFormat="false" ht="15" hidden="false" customHeight="false" outlineLevel="0" collapsed="false">
      <c r="A64" s="36" t="str">
        <f aca="false">IF(Raw_Export!$A64="","",TRIM(Raw_Export!A64))</f>
        <v>TXN-100063</v>
      </c>
      <c r="B64" s="37" t="n">
        <f aca="false">IF(Raw_Export!$A64="","",IF(ISNUMBER(Raw_Export!B64),Raw_Export!B64,IF(MID(TRIM(Raw_Export!B64),5,1)="-",DATE(LEFT(TRIM(Raw_Export!B64),4),MID(TRIM(Raw_Export!B64),6,2),RIGHT(TRIM(Raw_Export!B64),2)),DATE(RIGHT(TRIM(Raw_Export!B64),4),MATCH(MID(TRIM(Raw_Export!B64),4,3),{"Jan","Feb","Mar","Apr","May","Jun","Jul","Aug","Sep","Oct","Nov","Dec"},0),LEFT(TRIM(Raw_Export!B64),2)))))</f>
        <v>46265</v>
      </c>
      <c r="C64" s="36" t="str">
        <f aca="false">IF(Raw_Export!$A64="","",IFERROR(VLOOKUP(LOWER(TRIM(Raw_Export!C64)),Maps!$A$2:$B$20,2,FALSE()),"UNMAPPED"))</f>
        <v>Westlands</v>
      </c>
      <c r="D64" s="36" t="str">
        <f aca="false">IF(Raw_Export!$A64="","",IFERROR(VLOOKUP(LOWER(TRIM(Raw_Export!D64)),Maps!$G$2:$I$80,2,FALSE()),"UNMAPPED"))</f>
        <v>Soda 500ml</v>
      </c>
      <c r="E64" s="36" t="str">
        <f aca="false">IF(Raw_Export!$A64="","",IFERROR(VLOOKUP(LOWER(TRIM(Raw_Export!D64)),Maps!$G$2:$I$80,3,FALSE()),"UNMAPPED"))</f>
        <v>Beverages</v>
      </c>
      <c r="F64" s="36" t="n">
        <f aca="false">IF(Raw_Export!$A64="","",IFERROR(VALUE(TRIM(Raw_Export!E64)),0))</f>
        <v>4</v>
      </c>
      <c r="G64" s="38" t="n">
        <f aca="false">IF(Raw_Export!$A64="","",IFERROR(VALUE(SUBSTITUTE(SUBSTITUTE(UPPER(TRIM(Raw_Export!F64)),"KES",""),",","")),0))</f>
        <v>60</v>
      </c>
      <c r="H64" s="38" t="n">
        <f aca="false">IF(Raw_Export!$A64="","",F64*G64)</f>
        <v>240</v>
      </c>
      <c r="I64" s="36" t="str">
        <f aca="false">IF(Raw_Export!$A64="","",IFERROR(VLOOKUP(LOWER(TRIM(Raw_Export!H64)),Maps!$D$2:$E$12,2,FALSE()),"Other"))</f>
        <v>M-Pesa</v>
      </c>
      <c r="J64" s="36" t="str">
        <f aca="false">IF(Raw_Export!$A64="","",IF(COUNTIF($A$2:A64,A64)&gt;1,"Duplicate",""))</f>
        <v/>
      </c>
      <c r="K64" s="36" t="str">
        <f aca="false">IF(Raw_Export!$A64="","",IF(J64="Duplicate","Duplicate",IF(OR(C64="UNMAPPED",D64="UNMAPPED"),"Unmapped",IF(F64=0,"Blank qty",IF(F64&lt;0,"Return","OK")))))</f>
        <v>OK</v>
      </c>
      <c r="L64" s="36" t="n">
        <f aca="false">IF(Raw_Export!$A64="","",IF(OR(K64="OK",K64="Return"),1,0))</f>
        <v>1</v>
      </c>
      <c r="M64" s="37" t="n">
        <f aca="false">IF(Raw_Export!$A64="","",B64-WEEKDAY(B64,2)+1)</f>
        <v>46265</v>
      </c>
    </row>
    <row r="65" customFormat="false" ht="15" hidden="false" customHeight="false" outlineLevel="0" collapsed="false">
      <c r="A65" s="36" t="str">
        <f aca="false">IF(Raw_Export!$A65="","",TRIM(Raw_Export!A65))</f>
        <v>TXN-100064</v>
      </c>
      <c r="B65" s="37" t="n">
        <f aca="false">IF(Raw_Export!$A65="","",IF(ISNUMBER(Raw_Export!B65),Raw_Export!B65,IF(MID(TRIM(Raw_Export!B65),5,1)="-",DATE(LEFT(TRIM(Raw_Export!B65),4),MID(TRIM(Raw_Export!B65),6,2),RIGHT(TRIM(Raw_Export!B65),2)),DATE(RIGHT(TRIM(Raw_Export!B65),4),MATCH(MID(TRIM(Raw_Export!B65),4,3),{"Jan","Feb","Mar","Apr","May","Jun","Jul","Aug","Sep","Oct","Nov","Dec"},0),LEFT(TRIM(Raw_Export!B65),2)))))</f>
        <v>46265</v>
      </c>
      <c r="C65" s="36" t="str">
        <f aca="false">IF(Raw_Export!$A65="","",IFERROR(VLOOKUP(LOWER(TRIM(Raw_Export!C65)),Maps!$A$2:$B$20,2,FALSE()),"UNMAPPED"))</f>
        <v>Mombasa</v>
      </c>
      <c r="D65" s="36" t="str">
        <f aca="false">IF(Raw_Export!$A65="","",IFERROR(VLOOKUP(LOWER(TRIM(Raw_Export!D65)),Maps!$G$2:$I$80,2,FALSE()),"UNMAPPED"))</f>
        <v>Fresh Milk 500ml</v>
      </c>
      <c r="E65" s="36" t="str">
        <f aca="false">IF(Raw_Export!$A65="","",IFERROR(VLOOKUP(LOWER(TRIM(Raw_Export!D65)),Maps!$G$2:$I$80,3,FALSE()),"UNMAPPED"))</f>
        <v>Dairy &amp; Eggs</v>
      </c>
      <c r="F65" s="36" t="n">
        <f aca="false">IF(Raw_Export!$A65="","",IFERROR(VALUE(TRIM(Raw_Export!E65)),0))</f>
        <v>6</v>
      </c>
      <c r="G65" s="38" t="n">
        <f aca="false">IF(Raw_Export!$A65="","",IFERROR(VALUE(SUBSTITUTE(SUBSTITUTE(UPPER(TRIM(Raw_Export!F65)),"KES",""),",","")),0))</f>
        <v>65</v>
      </c>
      <c r="H65" s="38" t="n">
        <f aca="false">IF(Raw_Export!$A65="","",F65*G65)</f>
        <v>390</v>
      </c>
      <c r="I65" s="36" t="str">
        <f aca="false">IF(Raw_Export!$A65="","",IFERROR(VLOOKUP(LOWER(TRIM(Raw_Export!H65)),Maps!$D$2:$E$12,2,FALSE()),"Other"))</f>
        <v>Cash</v>
      </c>
      <c r="J65" s="36" t="str">
        <f aca="false">IF(Raw_Export!$A65="","",IF(COUNTIF($A$2:A65,A65)&gt;1,"Duplicate",""))</f>
        <v/>
      </c>
      <c r="K65" s="36" t="str">
        <f aca="false">IF(Raw_Export!$A65="","",IF(J65="Duplicate","Duplicate",IF(OR(C65="UNMAPPED",D65="UNMAPPED"),"Unmapped",IF(F65=0,"Blank qty",IF(F65&lt;0,"Return","OK")))))</f>
        <v>OK</v>
      </c>
      <c r="L65" s="36" t="n">
        <f aca="false">IF(Raw_Export!$A65="","",IF(OR(K65="OK",K65="Return"),1,0))</f>
        <v>1</v>
      </c>
      <c r="M65" s="37" t="n">
        <f aca="false">IF(Raw_Export!$A65="","",B65-WEEKDAY(B65,2)+1)</f>
        <v>46265</v>
      </c>
    </row>
    <row r="66" customFormat="false" ht="15" hidden="false" customHeight="false" outlineLevel="0" collapsed="false">
      <c r="A66" s="36" t="str">
        <f aca="false">IF(Raw_Export!$A66="","",TRIM(Raw_Export!A66))</f>
        <v>TXN-100065</v>
      </c>
      <c r="B66" s="37" t="n">
        <f aca="false">IF(Raw_Export!$A66="","",IF(ISNUMBER(Raw_Export!B66),Raw_Export!B66,IF(MID(TRIM(Raw_Export!B66),5,1)="-",DATE(LEFT(TRIM(Raw_Export!B66),4),MID(TRIM(Raw_Export!B66),6,2),RIGHT(TRIM(Raw_Export!B66),2)),DATE(RIGHT(TRIM(Raw_Export!B66),4),MATCH(MID(TRIM(Raw_Export!B66),4,3),{"Jan","Feb","Mar","Apr","May","Jun","Jul","Aug","Sep","Oct","Nov","Dec"},0),LEFT(TRIM(Raw_Export!B66),2)))))</f>
        <v>46265</v>
      </c>
      <c r="C66" s="36" t="str">
        <f aca="false">IF(Raw_Export!$A66="","",IFERROR(VLOOKUP(LOWER(TRIM(Raw_Export!C66)),Maps!$A$2:$B$20,2,FALSE()),"UNMAPPED"))</f>
        <v>Mombasa</v>
      </c>
      <c r="D66" s="36" t="str">
        <f aca="false">IF(Raw_Export!$A66="","",IFERROR(VLOOKUP(LOWER(TRIM(Raw_Export!D66)),Maps!$G$2:$I$80,2,FALSE()),"UNMAPPED"))</f>
        <v>Bleach 1L</v>
      </c>
      <c r="E66" s="36" t="str">
        <f aca="false">IF(Raw_Export!$A66="","",IFERROR(VLOOKUP(LOWER(TRIM(Raw_Export!D66)),Maps!$G$2:$I$80,3,FALSE()),"UNMAPPED"))</f>
        <v>Household</v>
      </c>
      <c r="F66" s="36" t="n">
        <f aca="false">IF(Raw_Export!$A66="","",IFERROR(VALUE(TRIM(Raw_Export!E66)),0))</f>
        <v>4</v>
      </c>
      <c r="G66" s="38" t="n">
        <f aca="false">IF(Raw_Export!$A66="","",IFERROR(VALUE(SUBSTITUTE(SUBSTITUTE(UPPER(TRIM(Raw_Export!F66)),"KES",""),",","")),0))</f>
        <v>160</v>
      </c>
      <c r="H66" s="38" t="n">
        <f aca="false">IF(Raw_Export!$A66="","",F66*G66)</f>
        <v>640</v>
      </c>
      <c r="I66" s="36" t="str">
        <f aca="false">IF(Raw_Export!$A66="","",IFERROR(VLOOKUP(LOWER(TRIM(Raw_Export!H66)),Maps!$D$2:$E$12,2,FALSE()),"Other"))</f>
        <v>Cash</v>
      </c>
      <c r="J66" s="36" t="str">
        <f aca="false">IF(Raw_Export!$A66="","",IF(COUNTIF($A$2:A66,A66)&gt;1,"Duplicate",""))</f>
        <v/>
      </c>
      <c r="K66" s="36" t="str">
        <f aca="false">IF(Raw_Export!$A66="","",IF(J66="Duplicate","Duplicate",IF(OR(C66="UNMAPPED",D66="UNMAPPED"),"Unmapped",IF(F66=0,"Blank qty",IF(F66&lt;0,"Return","OK")))))</f>
        <v>OK</v>
      </c>
      <c r="L66" s="36" t="n">
        <f aca="false">IF(Raw_Export!$A66="","",IF(OR(K66="OK",K66="Return"),1,0))</f>
        <v>1</v>
      </c>
      <c r="M66" s="37" t="n">
        <f aca="false">IF(Raw_Export!$A66="","",B66-WEEKDAY(B66,2)+1)</f>
        <v>46265</v>
      </c>
    </row>
    <row r="67" customFormat="false" ht="15" hidden="false" customHeight="false" outlineLevel="0" collapsed="false">
      <c r="A67" s="36" t="str">
        <f aca="false">IF(Raw_Export!$A67="","",TRIM(Raw_Export!A67))</f>
        <v>TXN-100066</v>
      </c>
      <c r="B67" s="37" t="n">
        <f aca="false">IF(Raw_Export!$A67="","",IF(ISNUMBER(Raw_Export!B67),Raw_Export!B67,IF(MID(TRIM(Raw_Export!B67),5,1)="-",DATE(LEFT(TRIM(Raw_Export!B67),4),MID(TRIM(Raw_Export!B67),6,2),RIGHT(TRIM(Raw_Export!B67),2)),DATE(RIGHT(TRIM(Raw_Export!B67),4),MATCH(MID(TRIM(Raw_Export!B67),4,3),{"Jan","Feb","Mar","Apr","May","Jun","Jul","Aug","Sep","Oct","Nov","Dec"},0),LEFT(TRIM(Raw_Export!B67),2)))))</f>
        <v>46265</v>
      </c>
      <c r="C67" s="36" t="str">
        <f aca="false">IF(Raw_Export!$A67="","",IFERROR(VLOOKUP(LOWER(TRIM(Raw_Export!C67)),Maps!$A$2:$B$20,2,FALSE()),"UNMAPPED"))</f>
        <v>Mombasa</v>
      </c>
      <c r="D67" s="36" t="str">
        <f aca="false">IF(Raw_Export!$A67="","",IFERROR(VLOOKUP(LOWER(TRIM(Raw_Export!D67)),Maps!$G$2:$I$80,2,FALSE()),"UNMAPPED"))</f>
        <v>Cooking Oil 1L</v>
      </c>
      <c r="E67" s="36" t="str">
        <f aca="false">IF(Raw_Export!$A67="","",IFERROR(VLOOKUP(LOWER(TRIM(Raw_Export!D67)),Maps!$G$2:$I$80,3,FALSE()),"UNMAPPED"))</f>
        <v>Staples</v>
      </c>
      <c r="F67" s="36" t="n">
        <f aca="false">IF(Raw_Export!$A67="","",IFERROR(VALUE(TRIM(Raw_Export!E67)),0))</f>
        <v>6</v>
      </c>
      <c r="G67" s="38" t="n">
        <f aca="false">IF(Raw_Export!$A67="","",IFERROR(VALUE(SUBSTITUTE(SUBSTITUTE(UPPER(TRIM(Raw_Export!F67)),"KES",""),",","")),0))</f>
        <v>330</v>
      </c>
      <c r="H67" s="38" t="n">
        <f aca="false">IF(Raw_Export!$A67="","",F67*G67)</f>
        <v>1980</v>
      </c>
      <c r="I67" s="36" t="str">
        <f aca="false">IF(Raw_Export!$A67="","",IFERROR(VLOOKUP(LOWER(TRIM(Raw_Export!H67)),Maps!$D$2:$E$12,2,FALSE()),"Other"))</f>
        <v>M-Pesa</v>
      </c>
      <c r="J67" s="36" t="str">
        <f aca="false">IF(Raw_Export!$A67="","",IF(COUNTIF($A$2:A67,A67)&gt;1,"Duplicate",""))</f>
        <v/>
      </c>
      <c r="K67" s="36" t="str">
        <f aca="false">IF(Raw_Export!$A67="","",IF(J67="Duplicate","Duplicate",IF(OR(C67="UNMAPPED",D67="UNMAPPED"),"Unmapped",IF(F67=0,"Blank qty",IF(F67&lt;0,"Return","OK")))))</f>
        <v>OK</v>
      </c>
      <c r="L67" s="36" t="n">
        <f aca="false">IF(Raw_Export!$A67="","",IF(OR(K67="OK",K67="Return"),1,0))</f>
        <v>1</v>
      </c>
      <c r="M67" s="37" t="n">
        <f aca="false">IF(Raw_Export!$A67="","",B67-WEEKDAY(B67,2)+1)</f>
        <v>46265</v>
      </c>
    </row>
    <row r="68" customFormat="false" ht="15" hidden="false" customHeight="false" outlineLevel="0" collapsed="false">
      <c r="A68" s="36" t="str">
        <f aca="false">IF(Raw_Export!$A68="","",TRIM(Raw_Export!A68))</f>
        <v>TXN-100067</v>
      </c>
      <c r="B68" s="37" t="n">
        <f aca="false">IF(Raw_Export!$A68="","",IF(ISNUMBER(Raw_Export!B68),Raw_Export!B68,IF(MID(TRIM(Raw_Export!B68),5,1)="-",DATE(LEFT(TRIM(Raw_Export!B68),4),MID(TRIM(Raw_Export!B68),6,2),RIGHT(TRIM(Raw_Export!B68),2)),DATE(RIGHT(TRIM(Raw_Export!B68),4),MATCH(MID(TRIM(Raw_Export!B68),4,3),{"Jan","Feb","Mar","Apr","May","Jun","Jul","Aug","Sep","Oct","Nov","Dec"},0),LEFT(TRIM(Raw_Export!B68),2)))))</f>
        <v>46265</v>
      </c>
      <c r="C68" s="36" t="str">
        <f aca="false">IF(Raw_Export!$A68="","",IFERROR(VLOOKUP(LOWER(TRIM(Raw_Export!C68)),Maps!$A$2:$B$20,2,FALSE()),"UNMAPPED"))</f>
        <v>Mombasa</v>
      </c>
      <c r="D68" s="36" t="str">
        <f aca="false">IF(Raw_Export!$A68="","",IFERROR(VLOOKUP(LOWER(TRIM(Raw_Export!D68)),Maps!$G$2:$I$80,2,FALSE()),"UNMAPPED"))</f>
        <v>Salt 500g</v>
      </c>
      <c r="E68" s="36" t="str">
        <f aca="false">IF(Raw_Export!$A68="","",IFERROR(VLOOKUP(LOWER(TRIM(Raw_Export!D68)),Maps!$G$2:$I$80,3,FALSE()),"UNMAPPED"))</f>
        <v>Staples</v>
      </c>
      <c r="F68" s="36" t="n">
        <f aca="false">IF(Raw_Export!$A68="","",IFERROR(VALUE(TRIM(Raw_Export!E68)),0))</f>
        <v>2</v>
      </c>
      <c r="G68" s="38" t="n">
        <f aca="false">IF(Raw_Export!$A68="","",IFERROR(VALUE(SUBSTITUTE(SUBSTITUTE(UPPER(TRIM(Raw_Export!F68)),"KES",""),",","")),0))</f>
        <v>40</v>
      </c>
      <c r="H68" s="38" t="n">
        <f aca="false">IF(Raw_Export!$A68="","",F68*G68)</f>
        <v>80</v>
      </c>
      <c r="I68" s="36" t="str">
        <f aca="false">IF(Raw_Export!$A68="","",IFERROR(VLOOKUP(LOWER(TRIM(Raw_Export!H68)),Maps!$D$2:$E$12,2,FALSE()),"Other"))</f>
        <v>Cash</v>
      </c>
      <c r="J68" s="36" t="str">
        <f aca="false">IF(Raw_Export!$A68="","",IF(COUNTIF($A$2:A68,A68)&gt;1,"Duplicate",""))</f>
        <v/>
      </c>
      <c r="K68" s="36" t="str">
        <f aca="false">IF(Raw_Export!$A68="","",IF(J68="Duplicate","Duplicate",IF(OR(C68="UNMAPPED",D68="UNMAPPED"),"Unmapped",IF(F68=0,"Blank qty",IF(F68&lt;0,"Return","OK")))))</f>
        <v>OK</v>
      </c>
      <c r="L68" s="36" t="n">
        <f aca="false">IF(Raw_Export!$A68="","",IF(OR(K68="OK",K68="Return"),1,0))</f>
        <v>1</v>
      </c>
      <c r="M68" s="37" t="n">
        <f aca="false">IF(Raw_Export!$A68="","",B68-WEEKDAY(B68,2)+1)</f>
        <v>46265</v>
      </c>
    </row>
    <row r="69" customFormat="false" ht="15" hidden="false" customHeight="false" outlineLevel="0" collapsed="false">
      <c r="A69" s="36" t="str">
        <f aca="false">IF(Raw_Export!$A69="","",TRIM(Raw_Export!A69))</f>
        <v>TXN-100068</v>
      </c>
      <c r="B69" s="37" t="n">
        <f aca="false">IF(Raw_Export!$A69="","",IF(ISNUMBER(Raw_Export!B69),Raw_Export!B69,IF(MID(TRIM(Raw_Export!B69),5,1)="-",DATE(LEFT(TRIM(Raw_Export!B69),4),MID(TRIM(Raw_Export!B69),6,2),RIGHT(TRIM(Raw_Export!B69),2)),DATE(RIGHT(TRIM(Raw_Export!B69),4),MATCH(MID(TRIM(Raw_Export!B69),4,3),{"Jan","Feb","Mar","Apr","May","Jun","Jul","Aug","Sep","Oct","Nov","Dec"},0),LEFT(TRIM(Raw_Export!B69),2)))))</f>
        <v>46265</v>
      </c>
      <c r="C69" s="36" t="str">
        <f aca="false">IF(Raw_Export!$A69="","",IFERROR(VLOOKUP(LOWER(TRIM(Raw_Export!C69)),Maps!$A$2:$B$20,2,FALSE()),"UNMAPPED"))</f>
        <v>Mombasa</v>
      </c>
      <c r="D69" s="36" t="str">
        <f aca="false">IF(Raw_Export!$A69="","",IFERROR(VLOOKUP(LOWER(TRIM(Raw_Export!D69)),Maps!$G$2:$I$80,2,FALSE()),"UNMAPPED"))</f>
        <v>Bath Soap 175g</v>
      </c>
      <c r="E69" s="36" t="str">
        <f aca="false">IF(Raw_Export!$A69="","",IFERROR(VLOOKUP(LOWER(TRIM(Raw_Export!D69)),Maps!$G$2:$I$80,3,FALSE()),"UNMAPPED"))</f>
        <v>Personal Care</v>
      </c>
      <c r="F69" s="36" t="n">
        <f aca="false">IF(Raw_Export!$A69="","",IFERROR(VALUE(TRIM(Raw_Export!E69)),0))</f>
        <v>4</v>
      </c>
      <c r="G69" s="38" t="n">
        <f aca="false">IF(Raw_Export!$A69="","",IFERROR(VALUE(SUBSTITUTE(SUBSTITUTE(UPPER(TRIM(Raw_Export!F69)),"KES",""),",","")),0))</f>
        <v>85</v>
      </c>
      <c r="H69" s="38" t="n">
        <f aca="false">IF(Raw_Export!$A69="","",F69*G69)</f>
        <v>340</v>
      </c>
      <c r="I69" s="36" t="str">
        <f aca="false">IF(Raw_Export!$A69="","",IFERROR(VLOOKUP(LOWER(TRIM(Raw_Export!H69)),Maps!$D$2:$E$12,2,FALSE()),"Other"))</f>
        <v>Card</v>
      </c>
      <c r="J69" s="36" t="str">
        <f aca="false">IF(Raw_Export!$A69="","",IF(COUNTIF($A$2:A69,A69)&gt;1,"Duplicate",""))</f>
        <v/>
      </c>
      <c r="K69" s="36" t="str">
        <f aca="false">IF(Raw_Export!$A69="","",IF(J69="Duplicate","Duplicate",IF(OR(C69="UNMAPPED",D69="UNMAPPED"),"Unmapped",IF(F69=0,"Blank qty",IF(F69&lt;0,"Return","OK")))))</f>
        <v>OK</v>
      </c>
      <c r="L69" s="36" t="n">
        <f aca="false">IF(Raw_Export!$A69="","",IF(OR(K69="OK",K69="Return"),1,0))</f>
        <v>1</v>
      </c>
      <c r="M69" s="37" t="n">
        <f aca="false">IF(Raw_Export!$A69="","",B69-WEEKDAY(B69,2)+1)</f>
        <v>46265</v>
      </c>
    </row>
    <row r="70" customFormat="false" ht="15" hidden="false" customHeight="false" outlineLevel="0" collapsed="false">
      <c r="A70" s="36" t="str">
        <f aca="false">IF(Raw_Export!$A70="","",TRIM(Raw_Export!A70))</f>
        <v>TXN-100069</v>
      </c>
      <c r="B70" s="37" t="n">
        <f aca="false">IF(Raw_Export!$A70="","",IF(ISNUMBER(Raw_Export!B70),Raw_Export!B70,IF(MID(TRIM(Raw_Export!B70),5,1)="-",DATE(LEFT(TRIM(Raw_Export!B70),4),MID(TRIM(Raw_Export!B70),6,2),RIGHT(TRIM(Raw_Export!B70),2)),DATE(RIGHT(TRIM(Raw_Export!B70),4),MATCH(MID(TRIM(Raw_Export!B70),4,3),{"Jan","Feb","Mar","Apr","May","Jun","Jul","Aug","Sep","Oct","Nov","Dec"},0),LEFT(TRIM(Raw_Export!B70),2)))))</f>
        <v>46265</v>
      </c>
      <c r="C70" s="36" t="str">
        <f aca="false">IF(Raw_Export!$A70="","",IFERROR(VLOOKUP(LOWER(TRIM(Raw_Export!C70)),Maps!$A$2:$B$20,2,FALSE()),"UNMAPPED"))</f>
        <v>Mombasa</v>
      </c>
      <c r="D70" s="36" t="str">
        <f aca="false">IF(Raw_Export!$A70="","",IFERROR(VLOOKUP(LOWER(TRIM(Raw_Export!D70)),Maps!$G$2:$I$80,2,FALSE()),"UNMAPPED"))</f>
        <v>Washing Powder 1kg</v>
      </c>
      <c r="E70" s="36" t="str">
        <f aca="false">IF(Raw_Export!$A70="","",IFERROR(VLOOKUP(LOWER(TRIM(Raw_Export!D70)),Maps!$G$2:$I$80,3,FALSE()),"UNMAPPED"))</f>
        <v>Household</v>
      </c>
      <c r="F70" s="36" t="n">
        <f aca="false">IF(Raw_Export!$A70="","",IFERROR(VALUE(TRIM(Raw_Export!E70)),0))</f>
        <v>4</v>
      </c>
      <c r="G70" s="38" t="n">
        <f aca="false">IF(Raw_Export!$A70="","",IFERROR(VALUE(SUBSTITUTE(SUBSTITUTE(UPPER(TRIM(Raw_Export!F70)),"KES",""),",","")),0))</f>
        <v>280</v>
      </c>
      <c r="H70" s="38" t="n">
        <f aca="false">IF(Raw_Export!$A70="","",F70*G70)</f>
        <v>1120</v>
      </c>
      <c r="I70" s="36" t="str">
        <f aca="false">IF(Raw_Export!$A70="","",IFERROR(VLOOKUP(LOWER(TRIM(Raw_Export!H70)),Maps!$D$2:$E$12,2,FALSE()),"Other"))</f>
        <v>Cash</v>
      </c>
      <c r="J70" s="36" t="str">
        <f aca="false">IF(Raw_Export!$A70="","",IF(COUNTIF($A$2:A70,A70)&gt;1,"Duplicate",""))</f>
        <v/>
      </c>
      <c r="K70" s="36" t="str">
        <f aca="false">IF(Raw_Export!$A70="","",IF(J70="Duplicate","Duplicate",IF(OR(C70="UNMAPPED",D70="UNMAPPED"),"Unmapped",IF(F70=0,"Blank qty",IF(F70&lt;0,"Return","OK")))))</f>
        <v>OK</v>
      </c>
      <c r="L70" s="36" t="n">
        <f aca="false">IF(Raw_Export!$A70="","",IF(OR(K70="OK",K70="Return"),1,0))</f>
        <v>1</v>
      </c>
      <c r="M70" s="37" t="n">
        <f aca="false">IF(Raw_Export!$A70="","",B70-WEEKDAY(B70,2)+1)</f>
        <v>46265</v>
      </c>
    </row>
    <row r="71" customFormat="false" ht="15" hidden="false" customHeight="false" outlineLevel="0" collapsed="false">
      <c r="A71" s="36" t="str">
        <f aca="false">IF(Raw_Export!$A71="","",TRIM(Raw_Export!A71))</f>
        <v>TXN-100070</v>
      </c>
      <c r="B71" s="37" t="n">
        <f aca="false">IF(Raw_Export!$A71="","",IF(ISNUMBER(Raw_Export!B71),Raw_Export!B71,IF(MID(TRIM(Raw_Export!B71),5,1)="-",DATE(LEFT(TRIM(Raw_Export!B71),4),MID(TRIM(Raw_Export!B71),6,2),RIGHT(TRIM(Raw_Export!B71),2)),DATE(RIGHT(TRIM(Raw_Export!B71),4),MATCH(MID(TRIM(Raw_Export!B71),4,3),{"Jan","Feb","Mar","Apr","May","Jun","Jul","Aug","Sep","Oct","Nov","Dec"},0),LEFT(TRIM(Raw_Export!B71),2)))))</f>
        <v>46265</v>
      </c>
      <c r="C71" s="36" t="str">
        <f aca="false">IF(Raw_Export!$A71="","",IFERROR(VLOOKUP(LOWER(TRIM(Raw_Export!C71)),Maps!$A$2:$B$20,2,FALSE()),"UNMAPPED"))</f>
        <v>Mombasa</v>
      </c>
      <c r="D71" s="36" t="str">
        <f aca="false">IF(Raw_Export!$A71="","",IFERROR(VLOOKUP(LOWER(TRIM(Raw_Export!D71)),Maps!$G$2:$I$80,2,FALSE()),"UNMAPPED"))</f>
        <v>Sugar 2kg</v>
      </c>
      <c r="E71" s="36" t="str">
        <f aca="false">IF(Raw_Export!$A71="","",IFERROR(VLOOKUP(LOWER(TRIM(Raw_Export!D71)),Maps!$G$2:$I$80,3,FALSE()),"UNMAPPED"))</f>
        <v>Staples</v>
      </c>
      <c r="F71" s="36" t="n">
        <f aca="false">IF(Raw_Export!$A71="","",IFERROR(VALUE(TRIM(Raw_Export!E71)),0))</f>
        <v>6</v>
      </c>
      <c r="G71" s="38" t="n">
        <f aca="false">IF(Raw_Export!$A71="","",IFERROR(VALUE(SUBSTITUTE(SUBSTITUTE(UPPER(TRIM(Raw_Export!F71)),"KES",""),",","")),0))</f>
        <v>330</v>
      </c>
      <c r="H71" s="38" t="n">
        <f aca="false">IF(Raw_Export!$A71="","",F71*G71)</f>
        <v>1980</v>
      </c>
      <c r="I71" s="36" t="str">
        <f aca="false">IF(Raw_Export!$A71="","",IFERROR(VLOOKUP(LOWER(TRIM(Raw_Export!H71)),Maps!$D$2:$E$12,2,FALSE()),"Other"))</f>
        <v>M-Pesa</v>
      </c>
      <c r="J71" s="36" t="str">
        <f aca="false">IF(Raw_Export!$A71="","",IF(COUNTIF($A$2:A71,A71)&gt;1,"Duplicate",""))</f>
        <v/>
      </c>
      <c r="K71" s="36" t="str">
        <f aca="false">IF(Raw_Export!$A71="","",IF(J71="Duplicate","Duplicate",IF(OR(C71="UNMAPPED",D71="UNMAPPED"),"Unmapped",IF(F71=0,"Blank qty",IF(F71&lt;0,"Return","OK")))))</f>
        <v>OK</v>
      </c>
      <c r="L71" s="36" t="n">
        <f aca="false">IF(Raw_Export!$A71="","",IF(OR(K71="OK",K71="Return"),1,0))</f>
        <v>1</v>
      </c>
      <c r="M71" s="37" t="n">
        <f aca="false">IF(Raw_Export!$A71="","",B71-WEEKDAY(B71,2)+1)</f>
        <v>46265</v>
      </c>
    </row>
    <row r="72" customFormat="false" ht="15" hidden="false" customHeight="false" outlineLevel="0" collapsed="false">
      <c r="A72" s="36" t="str">
        <f aca="false">IF(Raw_Export!$A72="","",TRIM(Raw_Export!A72))</f>
        <v>TXN-100071</v>
      </c>
      <c r="B72" s="37" t="n">
        <f aca="false">IF(Raw_Export!$A72="","",IF(ISNUMBER(Raw_Export!B72),Raw_Export!B72,IF(MID(TRIM(Raw_Export!B72),5,1)="-",DATE(LEFT(TRIM(Raw_Export!B72),4),MID(TRIM(Raw_Export!B72),6,2),RIGHT(TRIM(Raw_Export!B72),2)),DATE(RIGHT(TRIM(Raw_Export!B72),4),MATCH(MID(TRIM(Raw_Export!B72),4,3),{"Jan","Feb","Mar","Apr","May","Jun","Jul","Aug","Sep","Oct","Nov","Dec"},0),LEFT(TRIM(Raw_Export!B72),2)))))</f>
        <v>46265</v>
      </c>
      <c r="C72" s="36" t="str">
        <f aca="false">IF(Raw_Export!$A72="","",IFERROR(VLOOKUP(LOWER(TRIM(Raw_Export!C72)),Maps!$A$2:$B$20,2,FALSE()),"UNMAPPED"))</f>
        <v>Mombasa</v>
      </c>
      <c r="D72" s="36" t="str">
        <f aca="false">IF(Raw_Export!$A72="","",IFERROR(VLOOKUP(LOWER(TRIM(Raw_Export!D72)),Maps!$G$2:$I$80,2,FALSE()),"UNMAPPED"))</f>
        <v>Peanuts 250g</v>
      </c>
      <c r="E72" s="36" t="str">
        <f aca="false">IF(Raw_Export!$A72="","",IFERROR(VLOOKUP(LOWER(TRIM(Raw_Export!D72)),Maps!$G$2:$I$80,3,FALSE()),"UNMAPPED"))</f>
        <v>Snacks</v>
      </c>
      <c r="F72" s="36" t="n">
        <f aca="false">IF(Raw_Export!$A72="","",IFERROR(VALUE(TRIM(Raw_Export!E72)),0))</f>
        <v>1</v>
      </c>
      <c r="G72" s="38" t="n">
        <f aca="false">IF(Raw_Export!$A72="","",IFERROR(VALUE(SUBSTITUTE(SUBSTITUTE(UPPER(TRIM(Raw_Export!F72)),"KES",""),",","")),0))</f>
        <v>130</v>
      </c>
      <c r="H72" s="38" t="n">
        <f aca="false">IF(Raw_Export!$A72="","",F72*G72)</f>
        <v>130</v>
      </c>
      <c r="I72" s="36" t="str">
        <f aca="false">IF(Raw_Export!$A72="","",IFERROR(VLOOKUP(LOWER(TRIM(Raw_Export!H72)),Maps!$D$2:$E$12,2,FALSE()),"Other"))</f>
        <v>M-Pesa</v>
      </c>
      <c r="J72" s="36" t="str">
        <f aca="false">IF(Raw_Export!$A72="","",IF(COUNTIF($A$2:A72,A72)&gt;1,"Duplicate",""))</f>
        <v/>
      </c>
      <c r="K72" s="36" t="str">
        <f aca="false">IF(Raw_Export!$A72="","",IF(J72="Duplicate","Duplicate",IF(OR(C72="UNMAPPED",D72="UNMAPPED"),"Unmapped",IF(F72=0,"Blank qty",IF(F72&lt;0,"Return","OK")))))</f>
        <v>OK</v>
      </c>
      <c r="L72" s="36" t="n">
        <f aca="false">IF(Raw_Export!$A72="","",IF(OR(K72="OK",K72="Return"),1,0))</f>
        <v>1</v>
      </c>
      <c r="M72" s="37" t="n">
        <f aca="false">IF(Raw_Export!$A72="","",B72-WEEKDAY(B72,2)+1)</f>
        <v>46265</v>
      </c>
    </row>
    <row r="73" customFormat="false" ht="15" hidden="false" customHeight="false" outlineLevel="0" collapsed="false">
      <c r="A73" s="36" t="str">
        <f aca="false">IF(Raw_Export!$A73="","",TRIM(Raw_Export!A73))</f>
        <v>TXN-100072</v>
      </c>
      <c r="B73" s="37" t="n">
        <f aca="false">IF(Raw_Export!$A73="","",IF(ISNUMBER(Raw_Export!B73),Raw_Export!B73,IF(MID(TRIM(Raw_Export!B73),5,1)="-",DATE(LEFT(TRIM(Raw_Export!B73),4),MID(TRIM(Raw_Export!B73),6,2),RIGHT(TRIM(Raw_Export!B73),2)),DATE(RIGHT(TRIM(Raw_Export!B73),4),MATCH(MID(TRIM(Raw_Export!B73),4,3),{"Jan","Feb","Mar","Apr","May","Jun","Jul","Aug","Sep","Oct","Nov","Dec"},0),LEFT(TRIM(Raw_Export!B73),2)))))</f>
        <v>46265</v>
      </c>
      <c r="C73" s="36" t="str">
        <f aca="false">IF(Raw_Export!$A73="","",IFERROR(VLOOKUP(LOWER(TRIM(Raw_Export!C73)),Maps!$A$2:$B$20,2,FALSE()),"UNMAPPED"))</f>
        <v>Mombasa</v>
      </c>
      <c r="D73" s="36" t="str">
        <f aca="false">IF(Raw_Export!$A73="","",IFERROR(VLOOKUP(LOWER(TRIM(Raw_Export!D73)),Maps!$G$2:$I$80,2,FALSE()),"UNMAPPED"))</f>
        <v>Bottled Water 1.5L</v>
      </c>
      <c r="E73" s="36" t="str">
        <f aca="false">IF(Raw_Export!$A73="","",IFERROR(VLOOKUP(LOWER(TRIM(Raw_Export!D73)),Maps!$G$2:$I$80,3,FALSE()),"UNMAPPED"))</f>
        <v>Beverages</v>
      </c>
      <c r="F73" s="36" t="n">
        <f aca="false">IF(Raw_Export!$A73="","",IFERROR(VALUE(TRIM(Raw_Export!E73)),0))</f>
        <v>2</v>
      </c>
      <c r="G73" s="38" t="n">
        <f aca="false">IF(Raw_Export!$A73="","",IFERROR(VALUE(SUBSTITUTE(SUBSTITUTE(UPPER(TRIM(Raw_Export!F73)),"KES",""),",","")),0))</f>
        <v>90</v>
      </c>
      <c r="H73" s="38" t="n">
        <f aca="false">IF(Raw_Export!$A73="","",F73*G73)</f>
        <v>180</v>
      </c>
      <c r="I73" s="36" t="str">
        <f aca="false">IF(Raw_Export!$A73="","",IFERROR(VLOOKUP(LOWER(TRIM(Raw_Export!H73)),Maps!$D$2:$E$12,2,FALSE()),"Other"))</f>
        <v>Cash</v>
      </c>
      <c r="J73" s="36" t="str">
        <f aca="false">IF(Raw_Export!$A73="","",IF(COUNTIF($A$2:A73,A73)&gt;1,"Duplicate",""))</f>
        <v/>
      </c>
      <c r="K73" s="36" t="str">
        <f aca="false">IF(Raw_Export!$A73="","",IF(J73="Duplicate","Duplicate",IF(OR(C73="UNMAPPED",D73="UNMAPPED"),"Unmapped",IF(F73=0,"Blank qty",IF(F73&lt;0,"Return","OK")))))</f>
        <v>OK</v>
      </c>
      <c r="L73" s="36" t="n">
        <f aca="false">IF(Raw_Export!$A73="","",IF(OR(K73="OK",K73="Return"),1,0))</f>
        <v>1</v>
      </c>
      <c r="M73" s="37" t="n">
        <f aca="false">IF(Raw_Export!$A73="","",B73-WEEKDAY(B73,2)+1)</f>
        <v>46265</v>
      </c>
    </row>
    <row r="74" customFormat="false" ht="15" hidden="false" customHeight="false" outlineLevel="0" collapsed="false">
      <c r="A74" s="36" t="str">
        <f aca="false">IF(Raw_Export!$A74="","",TRIM(Raw_Export!A74))</f>
        <v>TXN-100073</v>
      </c>
      <c r="B74" s="37" t="n">
        <f aca="false">IF(Raw_Export!$A74="","",IF(ISNUMBER(Raw_Export!B74),Raw_Export!B74,IF(MID(TRIM(Raw_Export!B74),5,1)="-",DATE(LEFT(TRIM(Raw_Export!B74),4),MID(TRIM(Raw_Export!B74),6,2),RIGHT(TRIM(Raw_Export!B74),2)),DATE(RIGHT(TRIM(Raw_Export!B74),4),MATCH(MID(TRIM(Raw_Export!B74),4,3),{"Jan","Feb","Mar","Apr","May","Jun","Jul","Aug","Sep","Oct","Nov","Dec"},0),LEFT(TRIM(Raw_Export!B74),2)))))</f>
        <v>46265</v>
      </c>
      <c r="C74" s="36" t="str">
        <f aca="false">IF(Raw_Export!$A74="","",IFERROR(VLOOKUP(LOWER(TRIM(Raw_Export!C74)),Maps!$A$2:$B$20,2,FALSE()),"UNMAPPED"))</f>
        <v>Mombasa</v>
      </c>
      <c r="D74" s="36" t="str">
        <f aca="false">IF(Raw_Export!$A74="","",IFERROR(VLOOKUP(LOWER(TRIM(Raw_Export!D74)),Maps!$G$2:$I$80,2,FALSE()),"UNMAPPED"))</f>
        <v>Soda 500ml</v>
      </c>
      <c r="E74" s="36" t="str">
        <f aca="false">IF(Raw_Export!$A74="","",IFERROR(VLOOKUP(LOWER(TRIM(Raw_Export!D74)),Maps!$G$2:$I$80,3,FALSE()),"UNMAPPED"))</f>
        <v>Beverages</v>
      </c>
      <c r="F74" s="36" t="n">
        <f aca="false">IF(Raw_Export!$A74="","",IFERROR(VALUE(TRIM(Raw_Export!E74)),0))</f>
        <v>6</v>
      </c>
      <c r="G74" s="38" t="n">
        <f aca="false">IF(Raw_Export!$A74="","",IFERROR(VALUE(SUBSTITUTE(SUBSTITUTE(UPPER(TRIM(Raw_Export!F74)),"KES",""),",","")),0))</f>
        <v>60</v>
      </c>
      <c r="H74" s="38" t="n">
        <f aca="false">IF(Raw_Export!$A74="","",F74*G74)</f>
        <v>360</v>
      </c>
      <c r="I74" s="36" t="str">
        <f aca="false">IF(Raw_Export!$A74="","",IFERROR(VLOOKUP(LOWER(TRIM(Raw_Export!H74)),Maps!$D$2:$E$12,2,FALSE()),"Other"))</f>
        <v>Cash</v>
      </c>
      <c r="J74" s="36" t="str">
        <f aca="false">IF(Raw_Export!$A74="","",IF(COUNTIF($A$2:A74,A74)&gt;1,"Duplicate",""))</f>
        <v/>
      </c>
      <c r="K74" s="36" t="str">
        <f aca="false">IF(Raw_Export!$A74="","",IF(J74="Duplicate","Duplicate",IF(OR(C74="UNMAPPED",D74="UNMAPPED"),"Unmapped",IF(F74=0,"Blank qty",IF(F74&lt;0,"Return","OK")))))</f>
        <v>OK</v>
      </c>
      <c r="L74" s="36" t="n">
        <f aca="false">IF(Raw_Export!$A74="","",IF(OR(K74="OK",K74="Return"),1,0))</f>
        <v>1</v>
      </c>
      <c r="M74" s="37" t="n">
        <f aca="false">IF(Raw_Export!$A74="","",B74-WEEKDAY(B74,2)+1)</f>
        <v>46265</v>
      </c>
    </row>
    <row r="75" customFormat="false" ht="15" hidden="false" customHeight="false" outlineLevel="0" collapsed="false">
      <c r="A75" s="36" t="str">
        <f aca="false">IF(Raw_Export!$A75="","",TRIM(Raw_Export!A75))</f>
        <v>TXN-100074</v>
      </c>
      <c r="B75" s="37" t="n">
        <f aca="false">IF(Raw_Export!$A75="","",IF(ISNUMBER(Raw_Export!B75),Raw_Export!B75,IF(MID(TRIM(Raw_Export!B75),5,1)="-",DATE(LEFT(TRIM(Raw_Export!B75),4),MID(TRIM(Raw_Export!B75),6,2),RIGHT(TRIM(Raw_Export!B75),2)),DATE(RIGHT(TRIM(Raw_Export!B75),4),MATCH(MID(TRIM(Raw_Export!B75),4,3),{"Jan","Feb","Mar","Apr","May","Jun","Jul","Aug","Sep","Oct","Nov","Dec"},0),LEFT(TRIM(Raw_Export!B75),2)))))</f>
        <v>46265</v>
      </c>
      <c r="C75" s="36" t="str">
        <f aca="false">IF(Raw_Export!$A75="","",IFERROR(VLOOKUP(LOWER(TRIM(Raw_Export!C75)),Maps!$A$2:$B$20,2,FALSE()),"UNMAPPED"))</f>
        <v>Mombasa</v>
      </c>
      <c r="D75" s="36" t="str">
        <f aca="false">IF(Raw_Export!$A75="","",IFERROR(VLOOKUP(LOWER(TRIM(Raw_Export!D75)),Maps!$G$2:$I$80,2,FALSE()),"UNMAPPED"))</f>
        <v>Bleach 1L</v>
      </c>
      <c r="E75" s="36" t="str">
        <f aca="false">IF(Raw_Export!$A75="","",IFERROR(VLOOKUP(LOWER(TRIM(Raw_Export!D75)),Maps!$G$2:$I$80,3,FALSE()),"UNMAPPED"))</f>
        <v>Household</v>
      </c>
      <c r="F75" s="36" t="n">
        <f aca="false">IF(Raw_Export!$A75="","",IFERROR(VALUE(TRIM(Raw_Export!E75)),0))</f>
        <v>3</v>
      </c>
      <c r="G75" s="38" t="n">
        <f aca="false">IF(Raw_Export!$A75="","",IFERROR(VALUE(SUBSTITUTE(SUBSTITUTE(UPPER(TRIM(Raw_Export!F75)),"KES",""),",","")),0))</f>
        <v>160</v>
      </c>
      <c r="H75" s="38" t="n">
        <f aca="false">IF(Raw_Export!$A75="","",F75*G75)</f>
        <v>480</v>
      </c>
      <c r="I75" s="36" t="str">
        <f aca="false">IF(Raw_Export!$A75="","",IFERROR(VLOOKUP(LOWER(TRIM(Raw_Export!H75)),Maps!$D$2:$E$12,2,FALSE()),"Other"))</f>
        <v>Card</v>
      </c>
      <c r="J75" s="36" t="str">
        <f aca="false">IF(Raw_Export!$A75="","",IF(COUNTIF($A$2:A75,A75)&gt;1,"Duplicate",""))</f>
        <v/>
      </c>
      <c r="K75" s="36" t="str">
        <f aca="false">IF(Raw_Export!$A75="","",IF(J75="Duplicate","Duplicate",IF(OR(C75="UNMAPPED",D75="UNMAPPED"),"Unmapped",IF(F75=0,"Blank qty",IF(F75&lt;0,"Return","OK")))))</f>
        <v>OK</v>
      </c>
      <c r="L75" s="36" t="n">
        <f aca="false">IF(Raw_Export!$A75="","",IF(OR(K75="OK",K75="Return"),1,0))</f>
        <v>1</v>
      </c>
      <c r="M75" s="37" t="n">
        <f aca="false">IF(Raw_Export!$A75="","",B75-WEEKDAY(B75,2)+1)</f>
        <v>46265</v>
      </c>
    </row>
    <row r="76" customFormat="false" ht="15" hidden="false" customHeight="false" outlineLevel="0" collapsed="false">
      <c r="A76" s="36" t="str">
        <f aca="false">IF(Raw_Export!$A76="","",TRIM(Raw_Export!A76))</f>
        <v>TXN-100075</v>
      </c>
      <c r="B76" s="37" t="n">
        <f aca="false">IF(Raw_Export!$A76="","",IF(ISNUMBER(Raw_Export!B76),Raw_Export!B76,IF(MID(TRIM(Raw_Export!B76),5,1)="-",DATE(LEFT(TRIM(Raw_Export!B76),4),MID(TRIM(Raw_Export!B76),6,2),RIGHT(TRIM(Raw_Export!B76),2)),DATE(RIGHT(TRIM(Raw_Export!B76),4),MATCH(MID(TRIM(Raw_Export!B76),4,3),{"Jan","Feb","Mar","Apr","May","Jun","Jul","Aug","Sep","Oct","Nov","Dec"},0),LEFT(TRIM(Raw_Export!B76),2)))))</f>
        <v>46265</v>
      </c>
      <c r="C76" s="36" t="str">
        <f aca="false">IF(Raw_Export!$A76="","",IFERROR(VLOOKUP(LOWER(TRIM(Raw_Export!C76)),Maps!$A$2:$B$20,2,FALSE()),"UNMAPPED"))</f>
        <v>Mombasa</v>
      </c>
      <c r="D76" s="36" t="str">
        <f aca="false">IF(Raw_Export!$A76="","",IFERROR(VLOOKUP(LOWER(TRIM(Raw_Export!D76)),Maps!$G$2:$I$80,2,FALSE()),"UNMAPPED"))</f>
        <v>Eggs Tray 30</v>
      </c>
      <c r="E76" s="36" t="str">
        <f aca="false">IF(Raw_Export!$A76="","",IFERROR(VLOOKUP(LOWER(TRIM(Raw_Export!D76)),Maps!$G$2:$I$80,3,FALSE()),"UNMAPPED"))</f>
        <v>Dairy &amp; Eggs</v>
      </c>
      <c r="F76" s="36" t="n">
        <f aca="false">IF(Raw_Export!$A76="","",IFERROR(VALUE(TRIM(Raw_Export!E76)),0))</f>
        <v>3</v>
      </c>
      <c r="G76" s="38" t="n">
        <f aca="false">IF(Raw_Export!$A76="","",IFERROR(VALUE(SUBSTITUTE(SUBSTITUTE(UPPER(TRIM(Raw_Export!F76)),"KES",""),",","")),0))</f>
        <v>450</v>
      </c>
      <c r="H76" s="38" t="n">
        <f aca="false">IF(Raw_Export!$A76="","",F76*G76)</f>
        <v>1350</v>
      </c>
      <c r="I76" s="36" t="str">
        <f aca="false">IF(Raw_Export!$A76="","",IFERROR(VLOOKUP(LOWER(TRIM(Raw_Export!H76)),Maps!$D$2:$E$12,2,FALSE()),"Other"))</f>
        <v>Cash</v>
      </c>
      <c r="J76" s="36" t="str">
        <f aca="false">IF(Raw_Export!$A76="","",IF(COUNTIF($A$2:A76,A76)&gt;1,"Duplicate",""))</f>
        <v/>
      </c>
      <c r="K76" s="36" t="str">
        <f aca="false">IF(Raw_Export!$A76="","",IF(J76="Duplicate","Duplicate",IF(OR(C76="UNMAPPED",D76="UNMAPPED"),"Unmapped",IF(F76=0,"Blank qty",IF(F76&lt;0,"Return","OK")))))</f>
        <v>OK</v>
      </c>
      <c r="L76" s="36" t="n">
        <f aca="false">IF(Raw_Export!$A76="","",IF(OR(K76="OK",K76="Return"),1,0))</f>
        <v>1</v>
      </c>
      <c r="M76" s="37" t="n">
        <f aca="false">IF(Raw_Export!$A76="","",B76-WEEKDAY(B76,2)+1)</f>
        <v>46265</v>
      </c>
    </row>
    <row r="77" customFormat="false" ht="15" hidden="false" customHeight="false" outlineLevel="0" collapsed="false">
      <c r="A77" s="36" t="str">
        <f aca="false">IF(Raw_Export!$A77="","",TRIM(Raw_Export!A77))</f>
        <v>TXN-100076</v>
      </c>
      <c r="B77" s="37" t="n">
        <f aca="false">IF(Raw_Export!$A77="","",IF(ISNUMBER(Raw_Export!B77),Raw_Export!B77,IF(MID(TRIM(Raw_Export!B77),5,1)="-",DATE(LEFT(TRIM(Raw_Export!B77),4),MID(TRIM(Raw_Export!B77),6,2),RIGHT(TRIM(Raw_Export!B77),2)),DATE(RIGHT(TRIM(Raw_Export!B77),4),MATCH(MID(TRIM(Raw_Export!B77),4,3),{"Jan","Feb","Mar","Apr","May","Jun","Jul","Aug","Sep","Oct","Nov","Dec"},0),LEFT(TRIM(Raw_Export!B77),2)))))</f>
        <v>46265</v>
      </c>
      <c r="C77" s="36" t="str">
        <f aca="false">IF(Raw_Export!$A77="","",IFERROR(VLOOKUP(LOWER(TRIM(Raw_Export!C77)),Maps!$A$2:$B$20,2,FALSE()),"UNMAPPED"))</f>
        <v>Mombasa</v>
      </c>
      <c r="D77" s="36" t="str">
        <f aca="false">IF(Raw_Export!$A77="","",IFERROR(VLOOKUP(LOWER(TRIM(Raw_Export!D77)),Maps!$G$2:$I$80,2,FALSE()),"UNMAPPED"))</f>
        <v>Spaghetti 400g</v>
      </c>
      <c r="E77" s="36" t="str">
        <f aca="false">IF(Raw_Export!$A77="","",IFERROR(VLOOKUP(LOWER(TRIM(Raw_Export!D77)),Maps!$G$2:$I$80,3,FALSE()),"UNMAPPED"))</f>
        <v>Staples</v>
      </c>
      <c r="F77" s="36" t="n">
        <f aca="false">IF(Raw_Export!$A77="","",IFERROR(VALUE(TRIM(Raw_Export!E77)),0))</f>
        <v>2</v>
      </c>
      <c r="G77" s="38" t="n">
        <f aca="false">IF(Raw_Export!$A77="","",IFERROR(VALUE(SUBSTITUTE(SUBSTITUTE(UPPER(TRIM(Raw_Export!F77)),"KES",""),",","")),0))</f>
        <v>110</v>
      </c>
      <c r="H77" s="38" t="n">
        <f aca="false">IF(Raw_Export!$A77="","",F77*G77)</f>
        <v>220</v>
      </c>
      <c r="I77" s="36" t="str">
        <f aca="false">IF(Raw_Export!$A77="","",IFERROR(VLOOKUP(LOWER(TRIM(Raw_Export!H77)),Maps!$D$2:$E$12,2,FALSE()),"Other"))</f>
        <v>Cash</v>
      </c>
      <c r="J77" s="36" t="str">
        <f aca="false">IF(Raw_Export!$A77="","",IF(COUNTIF($A$2:A77,A77)&gt;1,"Duplicate",""))</f>
        <v/>
      </c>
      <c r="K77" s="36" t="str">
        <f aca="false">IF(Raw_Export!$A77="","",IF(J77="Duplicate","Duplicate",IF(OR(C77="UNMAPPED",D77="UNMAPPED"),"Unmapped",IF(F77=0,"Blank qty",IF(F77&lt;0,"Return","OK")))))</f>
        <v>OK</v>
      </c>
      <c r="L77" s="36" t="n">
        <f aca="false">IF(Raw_Export!$A77="","",IF(OR(K77="OK",K77="Return"),1,0))</f>
        <v>1</v>
      </c>
      <c r="M77" s="37" t="n">
        <f aca="false">IF(Raw_Export!$A77="","",B77-WEEKDAY(B77,2)+1)</f>
        <v>46265</v>
      </c>
    </row>
    <row r="78" customFormat="false" ht="15" hidden="false" customHeight="false" outlineLevel="0" collapsed="false">
      <c r="A78" s="36" t="str">
        <f aca="false">IF(Raw_Export!$A78="","",TRIM(Raw_Export!A78))</f>
        <v>TXN-100077</v>
      </c>
      <c r="B78" s="37" t="n">
        <f aca="false">IF(Raw_Export!$A78="","",IF(ISNUMBER(Raw_Export!B78),Raw_Export!B78,IF(MID(TRIM(Raw_Export!B78),5,1)="-",DATE(LEFT(TRIM(Raw_Export!B78),4),MID(TRIM(Raw_Export!B78),6,2),RIGHT(TRIM(Raw_Export!B78),2)),DATE(RIGHT(TRIM(Raw_Export!B78),4),MATCH(MID(TRIM(Raw_Export!B78),4,3),{"Jan","Feb","Mar","Apr","May","Jun","Jul","Aug","Sep","Oct","Nov","Dec"},0),LEFT(TRIM(Raw_Export!B78),2)))))</f>
        <v>46265</v>
      </c>
      <c r="C78" s="36" t="str">
        <f aca="false">IF(Raw_Export!$A78="","",IFERROR(VLOOKUP(LOWER(TRIM(Raw_Export!C78)),Maps!$A$2:$B$20,2,FALSE()),"UNMAPPED"))</f>
        <v>Mombasa</v>
      </c>
      <c r="D78" s="36" t="str">
        <f aca="false">IF(Raw_Export!$A78="","",IFERROR(VLOOKUP(LOWER(TRIM(Raw_Export!D78)),Maps!$G$2:$I$80,2,FALSE()),"UNMAPPED"))</f>
        <v>Bath Soap 175g</v>
      </c>
      <c r="E78" s="36" t="str">
        <f aca="false">IF(Raw_Export!$A78="","",IFERROR(VLOOKUP(LOWER(TRIM(Raw_Export!D78)),Maps!$G$2:$I$80,3,FALSE()),"UNMAPPED"))</f>
        <v>Personal Care</v>
      </c>
      <c r="F78" s="36" t="n">
        <f aca="false">IF(Raw_Export!$A78="","",IFERROR(VALUE(TRIM(Raw_Export!E78)),0))</f>
        <v>2</v>
      </c>
      <c r="G78" s="38" t="n">
        <f aca="false">IF(Raw_Export!$A78="","",IFERROR(VALUE(SUBSTITUTE(SUBSTITUTE(UPPER(TRIM(Raw_Export!F78)),"KES",""),",","")),0))</f>
        <v>85</v>
      </c>
      <c r="H78" s="38" t="n">
        <f aca="false">IF(Raw_Export!$A78="","",F78*G78)</f>
        <v>170</v>
      </c>
      <c r="I78" s="36" t="str">
        <f aca="false">IF(Raw_Export!$A78="","",IFERROR(VLOOKUP(LOWER(TRIM(Raw_Export!H78)),Maps!$D$2:$E$12,2,FALSE()),"Other"))</f>
        <v>Cash</v>
      </c>
      <c r="J78" s="36" t="str">
        <f aca="false">IF(Raw_Export!$A78="","",IF(COUNTIF($A$2:A78,A78)&gt;1,"Duplicate",""))</f>
        <v/>
      </c>
      <c r="K78" s="36" t="str">
        <f aca="false">IF(Raw_Export!$A78="","",IF(J78="Duplicate","Duplicate",IF(OR(C78="UNMAPPED",D78="UNMAPPED"),"Unmapped",IF(F78=0,"Blank qty",IF(F78&lt;0,"Return","OK")))))</f>
        <v>OK</v>
      </c>
      <c r="L78" s="36" t="n">
        <f aca="false">IF(Raw_Export!$A78="","",IF(OR(K78="OK",K78="Return"),1,0))</f>
        <v>1</v>
      </c>
      <c r="M78" s="37" t="n">
        <f aca="false">IF(Raw_Export!$A78="","",B78-WEEKDAY(B78,2)+1)</f>
        <v>46265</v>
      </c>
    </row>
    <row r="79" customFormat="false" ht="15" hidden="false" customHeight="false" outlineLevel="0" collapsed="false">
      <c r="A79" s="36" t="str">
        <f aca="false">IF(Raw_Export!$A79="","",TRIM(Raw_Export!A79))</f>
        <v>TXN-100078</v>
      </c>
      <c r="B79" s="37" t="n">
        <f aca="false">IF(Raw_Export!$A79="","",IF(ISNUMBER(Raw_Export!B79),Raw_Export!B79,IF(MID(TRIM(Raw_Export!B79),5,1)="-",DATE(LEFT(TRIM(Raw_Export!B79),4),MID(TRIM(Raw_Export!B79),6,2),RIGHT(TRIM(Raw_Export!B79),2)),DATE(RIGHT(TRIM(Raw_Export!B79),4),MATCH(MID(TRIM(Raw_Export!B79),4,3),{"Jan","Feb","Mar","Apr","May","Jun","Jul","Aug","Sep","Oct","Nov","Dec"},0),LEFT(TRIM(Raw_Export!B79),2)))))</f>
        <v>46265</v>
      </c>
      <c r="C79" s="36" t="str">
        <f aca="false">IF(Raw_Export!$A79="","",IFERROR(VLOOKUP(LOWER(TRIM(Raw_Export!C79)),Maps!$A$2:$B$20,2,FALSE()),"UNMAPPED"))</f>
        <v>Mombasa</v>
      </c>
      <c r="D79" s="36" t="str">
        <f aca="false">IF(Raw_Export!$A79="","",IFERROR(VLOOKUP(LOWER(TRIM(Raw_Export!D79)),Maps!$G$2:$I$80,2,FALSE()),"UNMAPPED"))</f>
        <v>Salt 500g</v>
      </c>
      <c r="E79" s="36" t="str">
        <f aca="false">IF(Raw_Export!$A79="","",IFERROR(VLOOKUP(LOWER(TRIM(Raw_Export!D79)),Maps!$G$2:$I$80,3,FALSE()),"UNMAPPED"))</f>
        <v>Staples</v>
      </c>
      <c r="F79" s="36" t="n">
        <f aca="false">IF(Raw_Export!$A79="","",IFERROR(VALUE(TRIM(Raw_Export!E79)),0))</f>
        <v>1</v>
      </c>
      <c r="G79" s="38" t="n">
        <f aca="false">IF(Raw_Export!$A79="","",IFERROR(VALUE(SUBSTITUTE(SUBSTITUTE(UPPER(TRIM(Raw_Export!F79)),"KES",""),",","")),0))</f>
        <v>36</v>
      </c>
      <c r="H79" s="38" t="n">
        <f aca="false">IF(Raw_Export!$A79="","",F79*G79)</f>
        <v>36</v>
      </c>
      <c r="I79" s="36" t="str">
        <f aca="false">IF(Raw_Export!$A79="","",IFERROR(VLOOKUP(LOWER(TRIM(Raw_Export!H79)),Maps!$D$2:$E$12,2,FALSE()),"Other"))</f>
        <v>M-Pesa</v>
      </c>
      <c r="J79" s="36" t="str">
        <f aca="false">IF(Raw_Export!$A79="","",IF(COUNTIF($A$2:A79,A79)&gt;1,"Duplicate",""))</f>
        <v/>
      </c>
      <c r="K79" s="36" t="str">
        <f aca="false">IF(Raw_Export!$A79="","",IF(J79="Duplicate","Duplicate",IF(OR(C79="UNMAPPED",D79="UNMAPPED"),"Unmapped",IF(F79=0,"Blank qty",IF(F79&lt;0,"Return","OK")))))</f>
        <v>OK</v>
      </c>
      <c r="L79" s="36" t="n">
        <f aca="false">IF(Raw_Export!$A79="","",IF(OR(K79="OK",K79="Return"),1,0))</f>
        <v>1</v>
      </c>
      <c r="M79" s="37" t="n">
        <f aca="false">IF(Raw_Export!$A79="","",B79-WEEKDAY(B79,2)+1)</f>
        <v>46265</v>
      </c>
    </row>
    <row r="80" customFormat="false" ht="15" hidden="false" customHeight="false" outlineLevel="0" collapsed="false">
      <c r="A80" s="36" t="str">
        <f aca="false">IF(Raw_Export!$A80="","",TRIM(Raw_Export!A80))</f>
        <v>TXN-100079</v>
      </c>
      <c r="B80" s="37" t="n">
        <f aca="false">IF(Raw_Export!$A80="","",IF(ISNUMBER(Raw_Export!B80),Raw_Export!B80,IF(MID(TRIM(Raw_Export!B80),5,1)="-",DATE(LEFT(TRIM(Raw_Export!B80),4),MID(TRIM(Raw_Export!B80),6,2),RIGHT(TRIM(Raw_Export!B80),2)),DATE(RIGHT(TRIM(Raw_Export!B80),4),MATCH(MID(TRIM(Raw_Export!B80),4,3),{"Jan","Feb","Mar","Apr","May","Jun","Jul","Aug","Sep","Oct","Nov","Dec"},0),LEFT(TRIM(Raw_Export!B80),2)))))</f>
        <v>46265</v>
      </c>
      <c r="C80" s="36" t="str">
        <f aca="false">IF(Raw_Export!$A80="","",IFERROR(VLOOKUP(LOWER(TRIM(Raw_Export!C80)),Maps!$A$2:$B$20,2,FALSE()),"UNMAPPED"))</f>
        <v>Mombasa</v>
      </c>
      <c r="D80" s="36" t="str">
        <f aca="false">IF(Raw_Export!$A80="","",IFERROR(VLOOKUP(LOWER(TRIM(Raw_Export!D80)),Maps!$G$2:$I$80,2,FALSE()),"UNMAPPED"))</f>
        <v>Soda 500ml</v>
      </c>
      <c r="E80" s="36" t="str">
        <f aca="false">IF(Raw_Export!$A80="","",IFERROR(VLOOKUP(LOWER(TRIM(Raw_Export!D80)),Maps!$G$2:$I$80,3,FALSE()),"UNMAPPED"))</f>
        <v>Beverages</v>
      </c>
      <c r="F80" s="36" t="n">
        <f aca="false">IF(Raw_Export!$A80="","",IFERROR(VALUE(TRIM(Raw_Export!E80)),0))</f>
        <v>1</v>
      </c>
      <c r="G80" s="38" t="n">
        <f aca="false">IF(Raw_Export!$A80="","",IFERROR(VALUE(SUBSTITUTE(SUBSTITUTE(UPPER(TRIM(Raw_Export!F80)),"KES",""),",","")),0))</f>
        <v>60</v>
      </c>
      <c r="H80" s="38" t="n">
        <f aca="false">IF(Raw_Export!$A80="","",F80*G80)</f>
        <v>60</v>
      </c>
      <c r="I80" s="36" t="str">
        <f aca="false">IF(Raw_Export!$A80="","",IFERROR(VLOOKUP(LOWER(TRIM(Raw_Export!H80)),Maps!$D$2:$E$12,2,FALSE()),"Other"))</f>
        <v>M-Pesa</v>
      </c>
      <c r="J80" s="36" t="str">
        <f aca="false">IF(Raw_Export!$A80="","",IF(COUNTIF($A$2:A80,A80)&gt;1,"Duplicate",""))</f>
        <v/>
      </c>
      <c r="K80" s="36" t="str">
        <f aca="false">IF(Raw_Export!$A80="","",IF(J80="Duplicate","Duplicate",IF(OR(C80="UNMAPPED",D80="UNMAPPED"),"Unmapped",IF(F80=0,"Blank qty",IF(F80&lt;0,"Return","OK")))))</f>
        <v>OK</v>
      </c>
      <c r="L80" s="36" t="n">
        <f aca="false">IF(Raw_Export!$A80="","",IF(OR(K80="OK",K80="Return"),1,0))</f>
        <v>1</v>
      </c>
      <c r="M80" s="37" t="n">
        <f aca="false">IF(Raw_Export!$A80="","",B80-WEEKDAY(B80,2)+1)</f>
        <v>46265</v>
      </c>
    </row>
    <row r="81" customFormat="false" ht="15" hidden="false" customHeight="false" outlineLevel="0" collapsed="false">
      <c r="A81" s="36" t="str">
        <f aca="false">IF(Raw_Export!$A81="","",TRIM(Raw_Export!A81))</f>
        <v>TXN-100080</v>
      </c>
      <c r="B81" s="37" t="n">
        <f aca="false">IF(Raw_Export!$A81="","",IF(ISNUMBER(Raw_Export!B81),Raw_Export!B81,IF(MID(TRIM(Raw_Export!B81),5,1)="-",DATE(LEFT(TRIM(Raw_Export!B81),4),MID(TRIM(Raw_Export!B81),6,2),RIGHT(TRIM(Raw_Export!B81),2)),DATE(RIGHT(TRIM(Raw_Export!B81),4),MATCH(MID(TRIM(Raw_Export!B81),4,3),{"Jan","Feb","Mar","Apr","May","Jun","Jul","Aug","Sep","Oct","Nov","Dec"},0),LEFT(TRIM(Raw_Export!B81),2)))))</f>
        <v>46265</v>
      </c>
      <c r="C81" s="36" t="str">
        <f aca="false">IF(Raw_Export!$A81="","",IFERROR(VLOOKUP(LOWER(TRIM(Raw_Export!C81)),Maps!$A$2:$B$20,2,FALSE()),"UNMAPPED"))</f>
        <v>Mombasa</v>
      </c>
      <c r="D81" s="36" t="str">
        <f aca="false">IF(Raw_Export!$A81="","",IFERROR(VLOOKUP(LOWER(TRIM(Raw_Export!D81)),Maps!$G$2:$I$80,2,FALSE()),"UNMAPPED"))</f>
        <v>Coffee 100g</v>
      </c>
      <c r="E81" s="36" t="str">
        <f aca="false">IF(Raw_Export!$A81="","",IFERROR(VLOOKUP(LOWER(TRIM(Raw_Export!D81)),Maps!$G$2:$I$80,3,FALSE()),"UNMAPPED"))</f>
        <v>Beverages</v>
      </c>
      <c r="F81" s="36" t="n">
        <f aca="false">IF(Raw_Export!$A81="","",IFERROR(VALUE(TRIM(Raw_Export!E81)),0))</f>
        <v>4</v>
      </c>
      <c r="G81" s="38" t="n">
        <f aca="false">IF(Raw_Export!$A81="","",IFERROR(VALUE(SUBSTITUTE(SUBSTITUTE(UPPER(TRIM(Raw_Export!F81)),"KES",""),",","")),0))</f>
        <v>360</v>
      </c>
      <c r="H81" s="38" t="n">
        <f aca="false">IF(Raw_Export!$A81="","",F81*G81)</f>
        <v>1440</v>
      </c>
      <c r="I81" s="36" t="str">
        <f aca="false">IF(Raw_Export!$A81="","",IFERROR(VLOOKUP(LOWER(TRIM(Raw_Export!H81)),Maps!$D$2:$E$12,2,FALSE()),"Other"))</f>
        <v>Card</v>
      </c>
      <c r="J81" s="36" t="str">
        <f aca="false">IF(Raw_Export!$A81="","",IF(COUNTIF($A$2:A81,A81)&gt;1,"Duplicate",""))</f>
        <v/>
      </c>
      <c r="K81" s="36" t="str">
        <f aca="false">IF(Raw_Export!$A81="","",IF(J81="Duplicate","Duplicate",IF(OR(C81="UNMAPPED",D81="UNMAPPED"),"Unmapped",IF(F81=0,"Blank qty",IF(F81&lt;0,"Return","OK")))))</f>
        <v>OK</v>
      </c>
      <c r="L81" s="36" t="n">
        <f aca="false">IF(Raw_Export!$A81="","",IF(OR(K81="OK",K81="Return"),1,0))</f>
        <v>1</v>
      </c>
      <c r="M81" s="37" t="n">
        <f aca="false">IF(Raw_Export!$A81="","",B81-WEEKDAY(B81,2)+1)</f>
        <v>46265</v>
      </c>
    </row>
    <row r="82" customFormat="false" ht="15" hidden="false" customHeight="false" outlineLevel="0" collapsed="false">
      <c r="A82" s="36" t="str">
        <f aca="false">IF(Raw_Export!$A82="","",TRIM(Raw_Export!A82))</f>
        <v>TXN-100081</v>
      </c>
      <c r="B82" s="37" t="n">
        <f aca="false">IF(Raw_Export!$A82="","",IF(ISNUMBER(Raw_Export!B82),Raw_Export!B82,IF(MID(TRIM(Raw_Export!B82),5,1)="-",DATE(LEFT(TRIM(Raw_Export!B82),4),MID(TRIM(Raw_Export!B82),6,2),RIGHT(TRIM(Raw_Export!B82),2)),DATE(RIGHT(TRIM(Raw_Export!B82),4),MATCH(MID(TRIM(Raw_Export!B82),4,3),{"Jan","Feb","Mar","Apr","May","Jun","Jul","Aug","Sep","Oct","Nov","Dec"},0),LEFT(TRIM(Raw_Export!B82),2)))))</f>
        <v>46265</v>
      </c>
      <c r="C82" s="36" t="str">
        <f aca="false">IF(Raw_Export!$A82="","",IFERROR(VLOOKUP(LOWER(TRIM(Raw_Export!C82)),Maps!$A$2:$B$20,2,FALSE()),"UNMAPPED"))</f>
        <v>Mombasa</v>
      </c>
      <c r="D82" s="36" t="str">
        <f aca="false">IF(Raw_Export!$A82="","",IFERROR(VLOOKUP(LOWER(TRIM(Raw_Export!D82)),Maps!$G$2:$I$80,2,FALSE()),"UNMAPPED"))</f>
        <v>Fresh Milk 500ml</v>
      </c>
      <c r="E82" s="36" t="str">
        <f aca="false">IF(Raw_Export!$A82="","",IFERROR(VLOOKUP(LOWER(TRIM(Raw_Export!D82)),Maps!$G$2:$I$80,3,FALSE()),"UNMAPPED"))</f>
        <v>Dairy &amp; Eggs</v>
      </c>
      <c r="F82" s="36" t="n">
        <f aca="false">IF(Raw_Export!$A82="","",IFERROR(VALUE(TRIM(Raw_Export!E82)),0))</f>
        <v>4</v>
      </c>
      <c r="G82" s="38" t="n">
        <f aca="false">IF(Raw_Export!$A82="","",IFERROR(VALUE(SUBSTITUTE(SUBSTITUTE(UPPER(TRIM(Raw_Export!F82)),"KES",""),",","")),0))</f>
        <v>58</v>
      </c>
      <c r="H82" s="38" t="n">
        <f aca="false">IF(Raw_Export!$A82="","",F82*G82)</f>
        <v>232</v>
      </c>
      <c r="I82" s="36" t="str">
        <f aca="false">IF(Raw_Export!$A82="","",IFERROR(VLOOKUP(LOWER(TRIM(Raw_Export!H82)),Maps!$D$2:$E$12,2,FALSE()),"Other"))</f>
        <v>M-Pesa</v>
      </c>
      <c r="J82" s="36" t="str">
        <f aca="false">IF(Raw_Export!$A82="","",IF(COUNTIF($A$2:A82,A82)&gt;1,"Duplicate",""))</f>
        <v/>
      </c>
      <c r="K82" s="36" t="str">
        <f aca="false">IF(Raw_Export!$A82="","",IF(J82="Duplicate","Duplicate",IF(OR(C82="UNMAPPED",D82="UNMAPPED"),"Unmapped",IF(F82=0,"Blank qty",IF(F82&lt;0,"Return","OK")))))</f>
        <v>OK</v>
      </c>
      <c r="L82" s="36" t="n">
        <f aca="false">IF(Raw_Export!$A82="","",IF(OR(K82="OK",K82="Return"),1,0))</f>
        <v>1</v>
      </c>
      <c r="M82" s="37" t="n">
        <f aca="false">IF(Raw_Export!$A82="","",B82-WEEKDAY(B82,2)+1)</f>
        <v>46265</v>
      </c>
    </row>
    <row r="83" customFormat="false" ht="15" hidden="false" customHeight="false" outlineLevel="0" collapsed="false">
      <c r="A83" s="36" t="str">
        <f aca="false">IF(Raw_Export!$A83="","",TRIM(Raw_Export!A83))</f>
        <v>TXN-100082</v>
      </c>
      <c r="B83" s="37" t="n">
        <f aca="false">IF(Raw_Export!$A83="","",IF(ISNUMBER(Raw_Export!B83),Raw_Export!B83,IF(MID(TRIM(Raw_Export!B83),5,1)="-",DATE(LEFT(TRIM(Raw_Export!B83),4),MID(TRIM(Raw_Export!B83),6,2),RIGHT(TRIM(Raw_Export!B83),2)),DATE(RIGHT(TRIM(Raw_Export!B83),4),MATCH(MID(TRIM(Raw_Export!B83),4,3),{"Jan","Feb","Mar","Apr","May","Jun","Jul","Aug","Sep","Oct","Nov","Dec"},0),LEFT(TRIM(Raw_Export!B83),2)))))</f>
        <v>46265</v>
      </c>
      <c r="C83" s="36" t="str">
        <f aca="false">IF(Raw_Export!$A83="","",IFERROR(VLOOKUP(LOWER(TRIM(Raw_Export!C83)),Maps!$A$2:$B$20,2,FALSE()),"UNMAPPED"))</f>
        <v>Mombasa</v>
      </c>
      <c r="D83" s="36" t="str">
        <f aca="false">IF(Raw_Export!$A83="","",IFERROR(VLOOKUP(LOWER(TRIM(Raw_Export!D83)),Maps!$G$2:$I$80,2,FALSE()),"UNMAPPED"))</f>
        <v>Unga Pembe 2kg</v>
      </c>
      <c r="E83" s="36" t="str">
        <f aca="false">IF(Raw_Export!$A83="","",IFERROR(VLOOKUP(LOWER(TRIM(Raw_Export!D83)),Maps!$G$2:$I$80,3,FALSE()),"UNMAPPED"))</f>
        <v>Staples</v>
      </c>
      <c r="F83" s="36" t="n">
        <f aca="false">IF(Raw_Export!$A83="","",IFERROR(VALUE(TRIM(Raw_Export!E83)),0))</f>
        <v>1</v>
      </c>
      <c r="G83" s="38" t="n">
        <f aca="false">IF(Raw_Export!$A83="","",IFERROR(VALUE(SUBSTITUTE(SUBSTITUTE(UPPER(TRIM(Raw_Export!F83)),"KES",""),",","")),0))</f>
        <v>190</v>
      </c>
      <c r="H83" s="38" t="n">
        <f aca="false">IF(Raw_Export!$A83="","",F83*G83)</f>
        <v>190</v>
      </c>
      <c r="I83" s="36" t="str">
        <f aca="false">IF(Raw_Export!$A83="","",IFERROR(VLOOKUP(LOWER(TRIM(Raw_Export!H83)),Maps!$D$2:$E$12,2,FALSE()),"Other"))</f>
        <v>M-Pesa</v>
      </c>
      <c r="J83" s="36" t="str">
        <f aca="false">IF(Raw_Export!$A83="","",IF(COUNTIF($A$2:A83,A83)&gt;1,"Duplicate",""))</f>
        <v/>
      </c>
      <c r="K83" s="36" t="str">
        <f aca="false">IF(Raw_Export!$A83="","",IF(J83="Duplicate","Duplicate",IF(OR(C83="UNMAPPED",D83="UNMAPPED"),"Unmapped",IF(F83=0,"Blank qty",IF(F83&lt;0,"Return","OK")))))</f>
        <v>OK</v>
      </c>
      <c r="L83" s="36" t="n">
        <f aca="false">IF(Raw_Export!$A83="","",IF(OR(K83="OK",K83="Return"),1,0))</f>
        <v>1</v>
      </c>
      <c r="M83" s="37" t="n">
        <f aca="false">IF(Raw_Export!$A83="","",B83-WEEKDAY(B83,2)+1)</f>
        <v>46265</v>
      </c>
    </row>
    <row r="84" customFormat="false" ht="15" hidden="false" customHeight="false" outlineLevel="0" collapsed="false">
      <c r="A84" s="36" t="str">
        <f aca="false">IF(Raw_Export!$A84="","",TRIM(Raw_Export!A84))</f>
        <v>TXN-100083</v>
      </c>
      <c r="B84" s="37" t="n">
        <f aca="false">IF(Raw_Export!$A84="","",IF(ISNUMBER(Raw_Export!B84),Raw_Export!B84,IF(MID(TRIM(Raw_Export!B84),5,1)="-",DATE(LEFT(TRIM(Raw_Export!B84),4),MID(TRIM(Raw_Export!B84),6,2),RIGHT(TRIM(Raw_Export!B84),2)),DATE(RIGHT(TRIM(Raw_Export!B84),4),MATCH(MID(TRIM(Raw_Export!B84),4,3),{"Jan","Feb","Mar","Apr","May","Jun","Jul","Aug","Sep","Oct","Nov","Dec"},0),LEFT(TRIM(Raw_Export!B84),2)))))</f>
        <v>46265</v>
      </c>
      <c r="C84" s="36" t="str">
        <f aca="false">IF(Raw_Export!$A84="","",IFERROR(VLOOKUP(LOWER(TRIM(Raw_Export!C84)),Maps!$A$2:$B$20,2,FALSE()),"UNMAPPED"))</f>
        <v>Mombasa</v>
      </c>
      <c r="D84" s="36" t="str">
        <f aca="false">IF(Raw_Export!$A84="","",IFERROR(VLOOKUP(LOWER(TRIM(Raw_Export!D84)),Maps!$G$2:$I$80,2,FALSE()),"UNMAPPED"))</f>
        <v>Dish Soap 750ml</v>
      </c>
      <c r="E84" s="36" t="str">
        <f aca="false">IF(Raw_Export!$A84="","",IFERROR(VLOOKUP(LOWER(TRIM(Raw_Export!D84)),Maps!$G$2:$I$80,3,FALSE()),"UNMAPPED"))</f>
        <v>Household</v>
      </c>
      <c r="F84" s="36" t="n">
        <f aca="false">IF(Raw_Export!$A84="","",IFERROR(VALUE(TRIM(Raw_Export!E84)),0))</f>
        <v>4</v>
      </c>
      <c r="G84" s="38" t="n">
        <f aca="false">IF(Raw_Export!$A84="","",IFERROR(VALUE(SUBSTITUTE(SUBSTITUTE(UPPER(TRIM(Raw_Export!F84)),"KES",""),",","")),0))</f>
        <v>190</v>
      </c>
      <c r="H84" s="38" t="n">
        <f aca="false">IF(Raw_Export!$A84="","",F84*G84)</f>
        <v>760</v>
      </c>
      <c r="I84" s="36" t="str">
        <f aca="false">IF(Raw_Export!$A84="","",IFERROR(VLOOKUP(LOWER(TRIM(Raw_Export!H84)),Maps!$D$2:$E$12,2,FALSE()),"Other"))</f>
        <v>Card</v>
      </c>
      <c r="J84" s="36" t="str">
        <f aca="false">IF(Raw_Export!$A84="","",IF(COUNTIF($A$2:A84,A84)&gt;1,"Duplicate",""))</f>
        <v/>
      </c>
      <c r="K84" s="36" t="str">
        <f aca="false">IF(Raw_Export!$A84="","",IF(J84="Duplicate","Duplicate",IF(OR(C84="UNMAPPED",D84="UNMAPPED"),"Unmapped",IF(F84=0,"Blank qty",IF(F84&lt;0,"Return","OK")))))</f>
        <v>OK</v>
      </c>
      <c r="L84" s="36" t="n">
        <f aca="false">IF(Raw_Export!$A84="","",IF(OR(K84="OK",K84="Return"),1,0))</f>
        <v>1</v>
      </c>
      <c r="M84" s="37" t="n">
        <f aca="false">IF(Raw_Export!$A84="","",B84-WEEKDAY(B84,2)+1)</f>
        <v>46265</v>
      </c>
    </row>
    <row r="85" customFormat="false" ht="15" hidden="false" customHeight="false" outlineLevel="0" collapsed="false">
      <c r="A85" s="36" t="str">
        <f aca="false">IF(Raw_Export!$A85="","",TRIM(Raw_Export!A85))</f>
        <v>TXN-100084</v>
      </c>
      <c r="B85" s="37" t="n">
        <f aca="false">IF(Raw_Export!$A85="","",IF(ISNUMBER(Raw_Export!B85),Raw_Export!B85,IF(MID(TRIM(Raw_Export!B85),5,1)="-",DATE(LEFT(TRIM(Raw_Export!B85),4),MID(TRIM(Raw_Export!B85),6,2),RIGHT(TRIM(Raw_Export!B85),2)),DATE(RIGHT(TRIM(Raw_Export!B85),4),MATCH(MID(TRIM(Raw_Export!B85),4,3),{"Jan","Feb","Mar","Apr","May","Jun","Jul","Aug","Sep","Oct","Nov","Dec"},0),LEFT(TRIM(Raw_Export!B85),2)))))</f>
        <v>46265</v>
      </c>
      <c r="C85" s="36" t="str">
        <f aca="false">IF(Raw_Export!$A85="","",IFERROR(VLOOKUP(LOWER(TRIM(Raw_Export!C85)),Maps!$A$2:$B$20,2,FALSE()),"UNMAPPED"))</f>
        <v>Mombasa</v>
      </c>
      <c r="D85" s="36" t="str">
        <f aca="false">IF(Raw_Export!$A85="","",IFERROR(VLOOKUP(LOWER(TRIM(Raw_Export!D85)),Maps!$G$2:$I$80,2,FALSE()),"UNMAPPED"))</f>
        <v>Soda 500ml</v>
      </c>
      <c r="E85" s="36" t="str">
        <f aca="false">IF(Raw_Export!$A85="","",IFERROR(VLOOKUP(LOWER(TRIM(Raw_Export!D85)),Maps!$G$2:$I$80,3,FALSE()),"UNMAPPED"))</f>
        <v>Beverages</v>
      </c>
      <c r="F85" s="36" t="n">
        <f aca="false">IF(Raw_Export!$A85="","",IFERROR(VALUE(TRIM(Raw_Export!E85)),0))</f>
        <v>1</v>
      </c>
      <c r="G85" s="38" t="n">
        <f aca="false">IF(Raw_Export!$A85="","",IFERROR(VALUE(SUBSTITUTE(SUBSTITUTE(UPPER(TRIM(Raw_Export!F85)),"KES",""),",","")),0))</f>
        <v>60</v>
      </c>
      <c r="H85" s="38" t="n">
        <f aca="false">IF(Raw_Export!$A85="","",F85*G85)</f>
        <v>60</v>
      </c>
      <c r="I85" s="36" t="str">
        <f aca="false">IF(Raw_Export!$A85="","",IFERROR(VLOOKUP(LOWER(TRIM(Raw_Export!H85)),Maps!$D$2:$E$12,2,FALSE()),"Other"))</f>
        <v>M-Pesa</v>
      </c>
      <c r="J85" s="36" t="str">
        <f aca="false">IF(Raw_Export!$A85="","",IF(COUNTIF($A$2:A85,A85)&gt;1,"Duplicate",""))</f>
        <v/>
      </c>
      <c r="K85" s="36" t="str">
        <f aca="false">IF(Raw_Export!$A85="","",IF(J85="Duplicate","Duplicate",IF(OR(C85="UNMAPPED",D85="UNMAPPED"),"Unmapped",IF(F85=0,"Blank qty",IF(F85&lt;0,"Return","OK")))))</f>
        <v>OK</v>
      </c>
      <c r="L85" s="36" t="n">
        <f aca="false">IF(Raw_Export!$A85="","",IF(OR(K85="OK",K85="Return"),1,0))</f>
        <v>1</v>
      </c>
      <c r="M85" s="37" t="n">
        <f aca="false">IF(Raw_Export!$A85="","",B85-WEEKDAY(B85,2)+1)</f>
        <v>46265</v>
      </c>
    </row>
    <row r="86" customFormat="false" ht="15" hidden="false" customHeight="false" outlineLevel="0" collapsed="false">
      <c r="A86" s="36" t="str">
        <f aca="false">IF(Raw_Export!$A86="","",TRIM(Raw_Export!A86))</f>
        <v>TXN-100085</v>
      </c>
      <c r="B86" s="37" t="n">
        <f aca="false">IF(Raw_Export!$A86="","",IF(ISNUMBER(Raw_Export!B86),Raw_Export!B86,IF(MID(TRIM(Raw_Export!B86),5,1)="-",DATE(LEFT(TRIM(Raw_Export!B86),4),MID(TRIM(Raw_Export!B86),6,2),RIGHT(TRIM(Raw_Export!B86),2)),DATE(RIGHT(TRIM(Raw_Export!B86),4),MATCH(MID(TRIM(Raw_Export!B86),4,3),{"Jan","Feb","Mar","Apr","May","Jun","Jul","Aug","Sep","Oct","Nov","Dec"},0),LEFT(TRIM(Raw_Export!B86),2)))))</f>
        <v>46265</v>
      </c>
      <c r="C86" s="36" t="str">
        <f aca="false">IF(Raw_Export!$A86="","",IFERROR(VLOOKUP(LOWER(TRIM(Raw_Export!C86)),Maps!$A$2:$B$20,2,FALSE()),"UNMAPPED"))</f>
        <v>Mombasa</v>
      </c>
      <c r="D86" s="36" t="str">
        <f aca="false">IF(Raw_Export!$A86="","",IFERROR(VLOOKUP(LOWER(TRIM(Raw_Export!D86)),Maps!$G$2:$I$80,2,FALSE()),"UNMAPPED"))</f>
        <v>Cooking Oil 1L</v>
      </c>
      <c r="E86" s="36" t="str">
        <f aca="false">IF(Raw_Export!$A86="","",IFERROR(VLOOKUP(LOWER(TRIM(Raw_Export!D86)),Maps!$G$2:$I$80,3,FALSE()),"UNMAPPED"))</f>
        <v>Staples</v>
      </c>
      <c r="F86" s="36" t="n">
        <f aca="false">IF(Raw_Export!$A86="","",IFERROR(VALUE(TRIM(Raw_Export!E86)),0))</f>
        <v>2</v>
      </c>
      <c r="G86" s="38" t="n">
        <f aca="false">IF(Raw_Export!$A86="","",IFERROR(VALUE(SUBSTITUTE(SUBSTITUTE(UPPER(TRIM(Raw_Export!F86)),"KES",""),",","")),0))</f>
        <v>330</v>
      </c>
      <c r="H86" s="38" t="n">
        <f aca="false">IF(Raw_Export!$A86="","",F86*G86)</f>
        <v>660</v>
      </c>
      <c r="I86" s="36" t="str">
        <f aca="false">IF(Raw_Export!$A86="","",IFERROR(VLOOKUP(LOWER(TRIM(Raw_Export!H86)),Maps!$D$2:$E$12,2,FALSE()),"Other"))</f>
        <v>M-Pesa</v>
      </c>
      <c r="J86" s="36" t="str">
        <f aca="false">IF(Raw_Export!$A86="","",IF(COUNTIF($A$2:A86,A86)&gt;1,"Duplicate",""))</f>
        <v/>
      </c>
      <c r="K86" s="36" t="str">
        <f aca="false">IF(Raw_Export!$A86="","",IF(J86="Duplicate","Duplicate",IF(OR(C86="UNMAPPED",D86="UNMAPPED"),"Unmapped",IF(F86=0,"Blank qty",IF(F86&lt;0,"Return","OK")))))</f>
        <v>OK</v>
      </c>
      <c r="L86" s="36" t="n">
        <f aca="false">IF(Raw_Export!$A86="","",IF(OR(K86="OK",K86="Return"),1,0))</f>
        <v>1</v>
      </c>
      <c r="M86" s="37" t="n">
        <f aca="false">IF(Raw_Export!$A86="","",B86-WEEKDAY(B86,2)+1)</f>
        <v>46265</v>
      </c>
    </row>
    <row r="87" customFormat="false" ht="15" hidden="false" customHeight="false" outlineLevel="0" collapsed="false">
      <c r="A87" s="36" t="str">
        <f aca="false">IF(Raw_Export!$A87="","",TRIM(Raw_Export!A87))</f>
        <v>TXN-100086</v>
      </c>
      <c r="B87" s="37" t="n">
        <f aca="false">IF(Raw_Export!$A87="","",IF(ISNUMBER(Raw_Export!B87),Raw_Export!B87,IF(MID(TRIM(Raw_Export!B87),5,1)="-",DATE(LEFT(TRIM(Raw_Export!B87),4),MID(TRIM(Raw_Export!B87),6,2),RIGHT(TRIM(Raw_Export!B87),2)),DATE(RIGHT(TRIM(Raw_Export!B87),4),MATCH(MID(TRIM(Raw_Export!B87),4,3),{"Jan","Feb","Mar","Apr","May","Jun","Jul","Aug","Sep","Oct","Nov","Dec"},0),LEFT(TRIM(Raw_Export!B87),2)))))</f>
        <v>46265</v>
      </c>
      <c r="C87" s="36" t="str">
        <f aca="false">IF(Raw_Export!$A87="","",IFERROR(VLOOKUP(LOWER(TRIM(Raw_Export!C87)),Maps!$A$2:$B$20,2,FALSE()),"UNMAPPED"))</f>
        <v>Mombasa</v>
      </c>
      <c r="D87" s="36" t="str">
        <f aca="false">IF(Raw_Export!$A87="","",IFERROR(VLOOKUP(LOWER(TRIM(Raw_Export!D87)),Maps!$G$2:$I$80,2,FALSE()),"UNMAPPED"))</f>
        <v>Yoghurt 500ml</v>
      </c>
      <c r="E87" s="36" t="str">
        <f aca="false">IF(Raw_Export!$A87="","",IFERROR(VLOOKUP(LOWER(TRIM(Raw_Export!D87)),Maps!$G$2:$I$80,3,FALSE()),"UNMAPPED"))</f>
        <v>Dairy &amp; Eggs</v>
      </c>
      <c r="F87" s="36" t="n">
        <f aca="false">IF(Raw_Export!$A87="","",IFERROR(VALUE(TRIM(Raw_Export!E87)),0))</f>
        <v>1</v>
      </c>
      <c r="G87" s="38" t="n">
        <f aca="false">IF(Raw_Export!$A87="","",IFERROR(VALUE(SUBSTITUTE(SUBSTITUTE(UPPER(TRIM(Raw_Export!F87)),"KES",""),",","")),0))</f>
        <v>120</v>
      </c>
      <c r="H87" s="38" t="n">
        <f aca="false">IF(Raw_Export!$A87="","",F87*G87)</f>
        <v>120</v>
      </c>
      <c r="I87" s="36" t="str">
        <f aca="false">IF(Raw_Export!$A87="","",IFERROR(VLOOKUP(LOWER(TRIM(Raw_Export!H87)),Maps!$D$2:$E$12,2,FALSE()),"Other"))</f>
        <v>Cash</v>
      </c>
      <c r="J87" s="36" t="str">
        <f aca="false">IF(Raw_Export!$A87="","",IF(COUNTIF($A$2:A87,A87)&gt;1,"Duplicate",""))</f>
        <v/>
      </c>
      <c r="K87" s="36" t="str">
        <f aca="false">IF(Raw_Export!$A87="","",IF(J87="Duplicate","Duplicate",IF(OR(C87="UNMAPPED",D87="UNMAPPED"),"Unmapped",IF(F87=0,"Blank qty",IF(F87&lt;0,"Return","OK")))))</f>
        <v>OK</v>
      </c>
      <c r="L87" s="36" t="n">
        <f aca="false">IF(Raw_Export!$A87="","",IF(OR(K87="OK",K87="Return"),1,0))</f>
        <v>1</v>
      </c>
      <c r="M87" s="37" t="n">
        <f aca="false">IF(Raw_Export!$A87="","",B87-WEEKDAY(B87,2)+1)</f>
        <v>46265</v>
      </c>
    </row>
    <row r="88" customFormat="false" ht="15" hidden="false" customHeight="false" outlineLevel="0" collapsed="false">
      <c r="A88" s="36" t="str">
        <f aca="false">IF(Raw_Export!$A88="","",TRIM(Raw_Export!A88))</f>
        <v>TXN-100087</v>
      </c>
      <c r="B88" s="37" t="n">
        <f aca="false">IF(Raw_Export!$A88="","",IF(ISNUMBER(Raw_Export!B88),Raw_Export!B88,IF(MID(TRIM(Raw_Export!B88),5,1)="-",DATE(LEFT(TRIM(Raw_Export!B88),4),MID(TRIM(Raw_Export!B88),6,2),RIGHT(TRIM(Raw_Export!B88),2)),DATE(RIGHT(TRIM(Raw_Export!B88),4),MATCH(MID(TRIM(Raw_Export!B88),4,3),{"Jan","Feb","Mar","Apr","May","Jun","Jul","Aug","Sep","Oct","Nov","Dec"},0),LEFT(TRIM(Raw_Export!B88),2)))))</f>
        <v>46265</v>
      </c>
      <c r="C88" s="36" t="str">
        <f aca="false">IF(Raw_Export!$A88="","",IFERROR(VLOOKUP(LOWER(TRIM(Raw_Export!C88)),Maps!$A$2:$B$20,2,FALSE()),"UNMAPPED"))</f>
        <v>Kisumu</v>
      </c>
      <c r="D88" s="36" t="str">
        <f aca="false">IF(Raw_Export!$A88="","",IFERROR(VLOOKUP(LOWER(TRIM(Raw_Export!D88)),Maps!$G$2:$I$80,2,FALSE()),"UNMAPPED"))</f>
        <v>Matches 10pk</v>
      </c>
      <c r="E88" s="36" t="str">
        <f aca="false">IF(Raw_Export!$A88="","",IFERROR(VLOOKUP(LOWER(TRIM(Raw_Export!D88)),Maps!$G$2:$I$80,3,FALSE()),"UNMAPPED"))</f>
        <v>Household</v>
      </c>
      <c r="F88" s="36" t="n">
        <f aca="false">IF(Raw_Export!$A88="","",IFERROR(VALUE(TRIM(Raw_Export!E88)),0))</f>
        <v>4</v>
      </c>
      <c r="G88" s="38" t="n">
        <f aca="false">IF(Raw_Export!$A88="","",IFERROR(VALUE(SUBSTITUTE(SUBSTITUTE(UPPER(TRIM(Raw_Export!F88)),"KES",""),",","")),0))</f>
        <v>50</v>
      </c>
      <c r="H88" s="38" t="n">
        <f aca="false">IF(Raw_Export!$A88="","",F88*G88)</f>
        <v>200</v>
      </c>
      <c r="I88" s="36" t="str">
        <f aca="false">IF(Raw_Export!$A88="","",IFERROR(VLOOKUP(LOWER(TRIM(Raw_Export!H88)),Maps!$D$2:$E$12,2,FALSE()),"Other"))</f>
        <v>Card</v>
      </c>
      <c r="J88" s="36" t="str">
        <f aca="false">IF(Raw_Export!$A88="","",IF(COUNTIF($A$2:A88,A88)&gt;1,"Duplicate",""))</f>
        <v/>
      </c>
      <c r="K88" s="36" t="str">
        <f aca="false">IF(Raw_Export!$A88="","",IF(J88="Duplicate","Duplicate",IF(OR(C88="UNMAPPED",D88="UNMAPPED"),"Unmapped",IF(F88=0,"Blank qty",IF(F88&lt;0,"Return","OK")))))</f>
        <v>OK</v>
      </c>
      <c r="L88" s="36" t="n">
        <f aca="false">IF(Raw_Export!$A88="","",IF(OR(K88="OK",K88="Return"),1,0))</f>
        <v>1</v>
      </c>
      <c r="M88" s="37" t="n">
        <f aca="false">IF(Raw_Export!$A88="","",B88-WEEKDAY(B88,2)+1)</f>
        <v>46265</v>
      </c>
    </row>
    <row r="89" customFormat="false" ht="15" hidden="false" customHeight="false" outlineLevel="0" collapsed="false">
      <c r="A89" s="36" t="str">
        <f aca="false">IF(Raw_Export!$A89="","",TRIM(Raw_Export!A89))</f>
        <v>TXN-100088</v>
      </c>
      <c r="B89" s="37" t="n">
        <f aca="false">IF(Raw_Export!$A89="","",IF(ISNUMBER(Raw_Export!B89),Raw_Export!B89,IF(MID(TRIM(Raw_Export!B89),5,1)="-",DATE(LEFT(TRIM(Raw_Export!B89),4),MID(TRIM(Raw_Export!B89),6,2),RIGHT(TRIM(Raw_Export!B89),2)),DATE(RIGHT(TRIM(Raw_Export!B89),4),MATCH(MID(TRIM(Raw_Export!B89),4,3),{"Jan","Feb","Mar","Apr","May","Jun","Jul","Aug","Sep","Oct","Nov","Dec"},0),LEFT(TRIM(Raw_Export!B89),2)))))</f>
        <v>46265</v>
      </c>
      <c r="C89" s="36" t="str">
        <f aca="false">IF(Raw_Export!$A89="","",IFERROR(VLOOKUP(LOWER(TRIM(Raw_Export!C89)),Maps!$A$2:$B$20,2,FALSE()),"UNMAPPED"))</f>
        <v>Kisumu</v>
      </c>
      <c r="D89" s="36" t="str">
        <f aca="false">IF(Raw_Export!$A89="","",IFERROR(VLOOKUP(LOWER(TRIM(Raw_Export!D89)),Maps!$G$2:$I$80,2,FALSE()),"UNMAPPED"))</f>
        <v>Dish Soap 750ml</v>
      </c>
      <c r="E89" s="36" t="str">
        <f aca="false">IF(Raw_Export!$A89="","",IFERROR(VLOOKUP(LOWER(TRIM(Raw_Export!D89)),Maps!$G$2:$I$80,3,FALSE()),"UNMAPPED"))</f>
        <v>Household</v>
      </c>
      <c r="F89" s="36" t="n">
        <f aca="false">IF(Raw_Export!$A89="","",IFERROR(VALUE(TRIM(Raw_Export!E89)),0))</f>
        <v>2</v>
      </c>
      <c r="G89" s="38" t="n">
        <f aca="false">IF(Raw_Export!$A89="","",IFERROR(VALUE(SUBSTITUTE(SUBSTITUTE(UPPER(TRIM(Raw_Export!F89)),"KES",""),",","")),0))</f>
        <v>190</v>
      </c>
      <c r="H89" s="38" t="n">
        <f aca="false">IF(Raw_Export!$A89="","",F89*G89)</f>
        <v>380</v>
      </c>
      <c r="I89" s="36" t="str">
        <f aca="false">IF(Raw_Export!$A89="","",IFERROR(VLOOKUP(LOWER(TRIM(Raw_Export!H89)),Maps!$D$2:$E$12,2,FALSE()),"Other"))</f>
        <v>Cash</v>
      </c>
      <c r="J89" s="36" t="str">
        <f aca="false">IF(Raw_Export!$A89="","",IF(COUNTIF($A$2:A89,A89)&gt;1,"Duplicate",""))</f>
        <v/>
      </c>
      <c r="K89" s="36" t="str">
        <f aca="false">IF(Raw_Export!$A89="","",IF(J89="Duplicate","Duplicate",IF(OR(C89="UNMAPPED",D89="UNMAPPED"),"Unmapped",IF(F89=0,"Blank qty",IF(F89&lt;0,"Return","OK")))))</f>
        <v>OK</v>
      </c>
      <c r="L89" s="36" t="n">
        <f aca="false">IF(Raw_Export!$A89="","",IF(OR(K89="OK",K89="Return"),1,0))</f>
        <v>1</v>
      </c>
      <c r="M89" s="37" t="n">
        <f aca="false">IF(Raw_Export!$A89="","",B89-WEEKDAY(B89,2)+1)</f>
        <v>46265</v>
      </c>
    </row>
    <row r="90" customFormat="false" ht="15" hidden="false" customHeight="false" outlineLevel="0" collapsed="false">
      <c r="A90" s="36" t="str">
        <f aca="false">IF(Raw_Export!$A90="","",TRIM(Raw_Export!A90))</f>
        <v>TXN-100089</v>
      </c>
      <c r="B90" s="37" t="n">
        <f aca="false">IF(Raw_Export!$A90="","",IF(ISNUMBER(Raw_Export!B90),Raw_Export!B90,IF(MID(TRIM(Raw_Export!B90),5,1)="-",DATE(LEFT(TRIM(Raw_Export!B90),4),MID(TRIM(Raw_Export!B90),6,2),RIGHT(TRIM(Raw_Export!B90),2)),DATE(RIGHT(TRIM(Raw_Export!B90),4),MATCH(MID(TRIM(Raw_Export!B90),4,3),{"Jan","Feb","Mar","Apr","May","Jun","Jul","Aug","Sep","Oct","Nov","Dec"},0),LEFT(TRIM(Raw_Export!B90),2)))))</f>
        <v>46265</v>
      </c>
      <c r="C90" s="36" t="str">
        <f aca="false">IF(Raw_Export!$A90="","",IFERROR(VLOOKUP(LOWER(TRIM(Raw_Export!C90)),Maps!$A$2:$B$20,2,FALSE()),"UNMAPPED"))</f>
        <v>Kisumu</v>
      </c>
      <c r="D90" s="36" t="str">
        <f aca="false">IF(Raw_Export!$A90="","",IFERROR(VLOOKUP(LOWER(TRIM(Raw_Export!D90)),Maps!$G$2:$I$80,2,FALSE()),"UNMAPPED"))</f>
        <v>Fresh Milk 500ml</v>
      </c>
      <c r="E90" s="36" t="str">
        <f aca="false">IF(Raw_Export!$A90="","",IFERROR(VLOOKUP(LOWER(TRIM(Raw_Export!D90)),Maps!$G$2:$I$80,3,FALSE()),"UNMAPPED"))</f>
        <v>Dairy &amp; Eggs</v>
      </c>
      <c r="F90" s="36" t="n">
        <f aca="false">IF(Raw_Export!$A90="","",IFERROR(VALUE(TRIM(Raw_Export!E90)),0))</f>
        <v>2</v>
      </c>
      <c r="G90" s="38" t="n">
        <f aca="false">IF(Raw_Export!$A90="","",IFERROR(VALUE(SUBSTITUTE(SUBSTITUTE(UPPER(TRIM(Raw_Export!F90)),"KES",""),",","")),0))</f>
        <v>58</v>
      </c>
      <c r="H90" s="38" t="n">
        <f aca="false">IF(Raw_Export!$A90="","",F90*G90)</f>
        <v>116</v>
      </c>
      <c r="I90" s="36" t="str">
        <f aca="false">IF(Raw_Export!$A90="","",IFERROR(VLOOKUP(LOWER(TRIM(Raw_Export!H90)),Maps!$D$2:$E$12,2,FALSE()),"Other"))</f>
        <v>Card</v>
      </c>
      <c r="J90" s="36" t="str">
        <f aca="false">IF(Raw_Export!$A90="","",IF(COUNTIF($A$2:A90,A90)&gt;1,"Duplicate",""))</f>
        <v/>
      </c>
      <c r="K90" s="36" t="str">
        <f aca="false">IF(Raw_Export!$A90="","",IF(J90="Duplicate","Duplicate",IF(OR(C90="UNMAPPED",D90="UNMAPPED"),"Unmapped",IF(F90=0,"Blank qty",IF(F90&lt;0,"Return","OK")))))</f>
        <v>OK</v>
      </c>
      <c r="L90" s="36" t="n">
        <f aca="false">IF(Raw_Export!$A90="","",IF(OR(K90="OK",K90="Return"),1,0))</f>
        <v>1</v>
      </c>
      <c r="M90" s="37" t="n">
        <f aca="false">IF(Raw_Export!$A90="","",B90-WEEKDAY(B90,2)+1)</f>
        <v>46265</v>
      </c>
    </row>
    <row r="91" customFormat="false" ht="15" hidden="false" customHeight="false" outlineLevel="0" collapsed="false">
      <c r="A91" s="36" t="str">
        <f aca="false">IF(Raw_Export!$A91="","",TRIM(Raw_Export!A91))</f>
        <v>TXN-100090</v>
      </c>
      <c r="B91" s="37" t="n">
        <f aca="false">IF(Raw_Export!$A91="","",IF(ISNUMBER(Raw_Export!B91),Raw_Export!B91,IF(MID(TRIM(Raw_Export!B91),5,1)="-",DATE(LEFT(TRIM(Raw_Export!B91),4),MID(TRIM(Raw_Export!B91),6,2),RIGHT(TRIM(Raw_Export!B91),2)),DATE(RIGHT(TRIM(Raw_Export!B91),4),MATCH(MID(TRIM(Raw_Export!B91),4,3),{"Jan","Feb","Mar","Apr","May","Jun","Jul","Aug","Sep","Oct","Nov","Dec"},0),LEFT(TRIM(Raw_Export!B91),2)))))</f>
        <v>46265</v>
      </c>
      <c r="C91" s="36" t="str">
        <f aca="false">IF(Raw_Export!$A91="","",IFERROR(VLOOKUP(LOWER(TRIM(Raw_Export!C91)),Maps!$A$2:$B$20,2,FALSE()),"UNMAPPED"))</f>
        <v>Kisumu</v>
      </c>
      <c r="D91" s="36" t="str">
        <f aca="false">IF(Raw_Export!$A91="","",IFERROR(VLOOKUP(LOWER(TRIM(Raw_Export!D91)),Maps!$G$2:$I$80,2,FALSE()),"UNMAPPED"))</f>
        <v>Matches 10pk</v>
      </c>
      <c r="E91" s="36" t="str">
        <f aca="false">IF(Raw_Export!$A91="","",IFERROR(VLOOKUP(LOWER(TRIM(Raw_Export!D91)),Maps!$G$2:$I$80,3,FALSE()),"UNMAPPED"))</f>
        <v>Household</v>
      </c>
      <c r="F91" s="36" t="n">
        <f aca="false">IF(Raw_Export!$A91="","",IFERROR(VALUE(TRIM(Raw_Export!E91)),0))</f>
        <v>1</v>
      </c>
      <c r="G91" s="38" t="n">
        <f aca="false">IF(Raw_Export!$A91="","",IFERROR(VALUE(SUBSTITUTE(SUBSTITUTE(UPPER(TRIM(Raw_Export!F91)),"KES",""),",","")),0))</f>
        <v>50</v>
      </c>
      <c r="H91" s="38" t="n">
        <f aca="false">IF(Raw_Export!$A91="","",F91*G91)</f>
        <v>50</v>
      </c>
      <c r="I91" s="36" t="str">
        <f aca="false">IF(Raw_Export!$A91="","",IFERROR(VLOOKUP(LOWER(TRIM(Raw_Export!H91)),Maps!$D$2:$E$12,2,FALSE()),"Other"))</f>
        <v>M-Pesa</v>
      </c>
      <c r="J91" s="36" t="str">
        <f aca="false">IF(Raw_Export!$A91="","",IF(COUNTIF($A$2:A91,A91)&gt;1,"Duplicate",""))</f>
        <v/>
      </c>
      <c r="K91" s="36" t="str">
        <f aca="false">IF(Raw_Export!$A91="","",IF(J91="Duplicate","Duplicate",IF(OR(C91="UNMAPPED",D91="UNMAPPED"),"Unmapped",IF(F91=0,"Blank qty",IF(F91&lt;0,"Return","OK")))))</f>
        <v>OK</v>
      </c>
      <c r="L91" s="36" t="n">
        <f aca="false">IF(Raw_Export!$A91="","",IF(OR(K91="OK",K91="Return"),1,0))</f>
        <v>1</v>
      </c>
      <c r="M91" s="37" t="n">
        <f aca="false">IF(Raw_Export!$A91="","",B91-WEEKDAY(B91,2)+1)</f>
        <v>46265</v>
      </c>
    </row>
    <row r="92" customFormat="false" ht="15" hidden="false" customHeight="false" outlineLevel="0" collapsed="false">
      <c r="A92" s="36" t="str">
        <f aca="false">IF(Raw_Export!$A92="","",TRIM(Raw_Export!A92))</f>
        <v>TXN-100091</v>
      </c>
      <c r="B92" s="37" t="n">
        <f aca="false">IF(Raw_Export!$A92="","",IF(ISNUMBER(Raw_Export!B92),Raw_Export!B92,IF(MID(TRIM(Raw_Export!B92),5,1)="-",DATE(LEFT(TRIM(Raw_Export!B92),4),MID(TRIM(Raw_Export!B92),6,2),RIGHT(TRIM(Raw_Export!B92),2)),DATE(RIGHT(TRIM(Raw_Export!B92),4),MATCH(MID(TRIM(Raw_Export!B92),4,3),{"Jan","Feb","Mar","Apr","May","Jun","Jul","Aug","Sep","Oct","Nov","Dec"},0),LEFT(TRIM(Raw_Export!B92),2)))))</f>
        <v>46265</v>
      </c>
      <c r="C92" s="36" t="str">
        <f aca="false">IF(Raw_Export!$A92="","",IFERROR(VLOOKUP(LOWER(TRIM(Raw_Export!C92)),Maps!$A$2:$B$20,2,FALSE()),"UNMAPPED"))</f>
        <v>Kisumu</v>
      </c>
      <c r="D92" s="36" t="str">
        <f aca="false">IF(Raw_Export!$A92="","",IFERROR(VLOOKUP(LOWER(TRIM(Raw_Export!D92)),Maps!$G$2:$I$80,2,FALSE()),"UNMAPPED"))</f>
        <v>Cooking Oil 1L</v>
      </c>
      <c r="E92" s="36" t="str">
        <f aca="false">IF(Raw_Export!$A92="","",IFERROR(VLOOKUP(LOWER(TRIM(Raw_Export!D92)),Maps!$G$2:$I$80,3,FALSE()),"UNMAPPED"))</f>
        <v>Staples</v>
      </c>
      <c r="F92" s="36" t="n">
        <f aca="false">IF(Raw_Export!$A92="","",IFERROR(VALUE(TRIM(Raw_Export!E92)),0))</f>
        <v>6</v>
      </c>
      <c r="G92" s="38" t="n">
        <f aca="false">IF(Raw_Export!$A92="","",IFERROR(VALUE(SUBSTITUTE(SUBSTITUTE(UPPER(TRIM(Raw_Export!F92)),"KES",""),",","")),0))</f>
        <v>330</v>
      </c>
      <c r="H92" s="38" t="n">
        <f aca="false">IF(Raw_Export!$A92="","",F92*G92)</f>
        <v>1980</v>
      </c>
      <c r="I92" s="36" t="str">
        <f aca="false">IF(Raw_Export!$A92="","",IFERROR(VLOOKUP(LOWER(TRIM(Raw_Export!H92)),Maps!$D$2:$E$12,2,FALSE()),"Other"))</f>
        <v>M-Pesa</v>
      </c>
      <c r="J92" s="36" t="str">
        <f aca="false">IF(Raw_Export!$A92="","",IF(COUNTIF($A$2:A92,A92)&gt;1,"Duplicate",""))</f>
        <v/>
      </c>
      <c r="K92" s="36" t="str">
        <f aca="false">IF(Raw_Export!$A92="","",IF(J92="Duplicate","Duplicate",IF(OR(C92="UNMAPPED",D92="UNMAPPED"),"Unmapped",IF(F92=0,"Blank qty",IF(F92&lt;0,"Return","OK")))))</f>
        <v>OK</v>
      </c>
      <c r="L92" s="36" t="n">
        <f aca="false">IF(Raw_Export!$A92="","",IF(OR(K92="OK",K92="Return"),1,0))</f>
        <v>1</v>
      </c>
      <c r="M92" s="37" t="n">
        <f aca="false">IF(Raw_Export!$A92="","",B92-WEEKDAY(B92,2)+1)</f>
        <v>46265</v>
      </c>
    </row>
    <row r="93" customFormat="false" ht="15" hidden="false" customHeight="false" outlineLevel="0" collapsed="false">
      <c r="A93" s="36" t="str">
        <f aca="false">IF(Raw_Export!$A93="","",TRIM(Raw_Export!A93))</f>
        <v>TXN-100092</v>
      </c>
      <c r="B93" s="37" t="n">
        <f aca="false">IF(Raw_Export!$A93="","",IF(ISNUMBER(Raw_Export!B93),Raw_Export!B93,IF(MID(TRIM(Raw_Export!B93),5,1)="-",DATE(LEFT(TRIM(Raw_Export!B93),4),MID(TRIM(Raw_Export!B93),6,2),RIGHT(TRIM(Raw_Export!B93),2)),DATE(RIGHT(TRIM(Raw_Export!B93),4),MATCH(MID(TRIM(Raw_Export!B93),4,3),{"Jan","Feb","Mar","Apr","May","Jun","Jul","Aug","Sep","Oct","Nov","Dec"},0),LEFT(TRIM(Raw_Export!B93),2)))))</f>
        <v>46265</v>
      </c>
      <c r="C93" s="36" t="str">
        <f aca="false">IF(Raw_Export!$A93="","",IFERROR(VLOOKUP(LOWER(TRIM(Raw_Export!C93)),Maps!$A$2:$B$20,2,FALSE()),"UNMAPPED"))</f>
        <v>Kisumu</v>
      </c>
      <c r="D93" s="36" t="str">
        <f aca="false">IF(Raw_Export!$A93="","",IFERROR(VLOOKUP(LOWER(TRIM(Raw_Export!D93)),Maps!$G$2:$I$80,2,FALSE()),"UNMAPPED"))</f>
        <v>Sanitary Pads 8pk</v>
      </c>
      <c r="E93" s="36" t="str">
        <f aca="false">IF(Raw_Export!$A93="","",IFERROR(VLOOKUP(LOWER(TRIM(Raw_Export!D93)),Maps!$G$2:$I$80,3,FALSE()),"UNMAPPED"))</f>
        <v>Personal Care</v>
      </c>
      <c r="F93" s="36" t="n">
        <f aca="false">IF(Raw_Export!$A93="","",IFERROR(VALUE(TRIM(Raw_Export!E93)),0))</f>
        <v>1</v>
      </c>
      <c r="G93" s="38" t="n">
        <f aca="false">IF(Raw_Export!$A93="","",IFERROR(VALUE(SUBSTITUTE(SUBSTITUTE(UPPER(TRIM(Raw_Export!F93)),"KES",""),",","")),0))</f>
        <v>130</v>
      </c>
      <c r="H93" s="38" t="n">
        <f aca="false">IF(Raw_Export!$A93="","",F93*G93)</f>
        <v>130</v>
      </c>
      <c r="I93" s="36" t="str">
        <f aca="false">IF(Raw_Export!$A93="","",IFERROR(VLOOKUP(LOWER(TRIM(Raw_Export!H93)),Maps!$D$2:$E$12,2,FALSE()),"Other"))</f>
        <v>M-Pesa</v>
      </c>
      <c r="J93" s="36" t="str">
        <f aca="false">IF(Raw_Export!$A93="","",IF(COUNTIF($A$2:A93,A93)&gt;1,"Duplicate",""))</f>
        <v/>
      </c>
      <c r="K93" s="36" t="str">
        <f aca="false">IF(Raw_Export!$A93="","",IF(J93="Duplicate","Duplicate",IF(OR(C93="UNMAPPED",D93="UNMAPPED"),"Unmapped",IF(F93=0,"Blank qty",IF(F93&lt;0,"Return","OK")))))</f>
        <v>OK</v>
      </c>
      <c r="L93" s="36" t="n">
        <f aca="false">IF(Raw_Export!$A93="","",IF(OR(K93="OK",K93="Return"),1,0))</f>
        <v>1</v>
      </c>
      <c r="M93" s="37" t="n">
        <f aca="false">IF(Raw_Export!$A93="","",B93-WEEKDAY(B93,2)+1)</f>
        <v>46265</v>
      </c>
    </row>
    <row r="94" customFormat="false" ht="15" hidden="false" customHeight="false" outlineLevel="0" collapsed="false">
      <c r="A94" s="36" t="str">
        <f aca="false">IF(Raw_Export!$A94="","",TRIM(Raw_Export!A94))</f>
        <v>TXN-100093</v>
      </c>
      <c r="B94" s="37" t="n">
        <f aca="false">IF(Raw_Export!$A94="","",IF(ISNUMBER(Raw_Export!B94),Raw_Export!B94,IF(MID(TRIM(Raw_Export!B94),5,1)="-",DATE(LEFT(TRIM(Raw_Export!B94),4),MID(TRIM(Raw_Export!B94),6,2),RIGHT(TRIM(Raw_Export!B94),2)),DATE(RIGHT(TRIM(Raw_Export!B94),4),MATCH(MID(TRIM(Raw_Export!B94),4,3),{"Jan","Feb","Mar","Apr","May","Jun","Jul","Aug","Sep","Oct","Nov","Dec"},0),LEFT(TRIM(Raw_Export!B94),2)))))</f>
        <v>46265</v>
      </c>
      <c r="C94" s="36" t="str">
        <f aca="false">IF(Raw_Export!$A94="","",IFERROR(VLOOKUP(LOWER(TRIM(Raw_Export!C94)),Maps!$A$2:$B$20,2,FALSE()),"UNMAPPED"))</f>
        <v>Kisumu</v>
      </c>
      <c r="D94" s="36" t="str">
        <f aca="false">IF(Raw_Export!$A94="","",IFERROR(VLOOKUP(LOWER(TRIM(Raw_Export!D94)),Maps!$G$2:$I$80,2,FALSE()),"UNMAPPED"))</f>
        <v>Bath Soap 175g</v>
      </c>
      <c r="E94" s="36" t="str">
        <f aca="false">IF(Raw_Export!$A94="","",IFERROR(VLOOKUP(LOWER(TRIM(Raw_Export!D94)),Maps!$G$2:$I$80,3,FALSE()),"UNMAPPED"))</f>
        <v>Personal Care</v>
      </c>
      <c r="F94" s="36" t="n">
        <f aca="false">IF(Raw_Export!$A94="","",IFERROR(VALUE(TRIM(Raw_Export!E94)),0))</f>
        <v>1</v>
      </c>
      <c r="G94" s="38" t="n">
        <f aca="false">IF(Raw_Export!$A94="","",IFERROR(VALUE(SUBSTITUTE(SUBSTITUTE(UPPER(TRIM(Raw_Export!F94)),"KES",""),",","")),0))</f>
        <v>85</v>
      </c>
      <c r="H94" s="38" t="n">
        <f aca="false">IF(Raw_Export!$A94="","",F94*G94)</f>
        <v>85</v>
      </c>
      <c r="I94" s="36" t="str">
        <f aca="false">IF(Raw_Export!$A94="","",IFERROR(VLOOKUP(LOWER(TRIM(Raw_Export!H94)),Maps!$D$2:$E$12,2,FALSE()),"Other"))</f>
        <v>M-Pesa</v>
      </c>
      <c r="J94" s="36" t="str">
        <f aca="false">IF(Raw_Export!$A94="","",IF(COUNTIF($A$2:A94,A94)&gt;1,"Duplicate",""))</f>
        <v/>
      </c>
      <c r="K94" s="36" t="str">
        <f aca="false">IF(Raw_Export!$A94="","",IF(J94="Duplicate","Duplicate",IF(OR(C94="UNMAPPED",D94="UNMAPPED"),"Unmapped",IF(F94=0,"Blank qty",IF(F94&lt;0,"Return","OK")))))</f>
        <v>OK</v>
      </c>
      <c r="L94" s="36" t="n">
        <f aca="false">IF(Raw_Export!$A94="","",IF(OR(K94="OK",K94="Return"),1,0))</f>
        <v>1</v>
      </c>
      <c r="M94" s="37" t="n">
        <f aca="false">IF(Raw_Export!$A94="","",B94-WEEKDAY(B94,2)+1)</f>
        <v>46265</v>
      </c>
    </row>
    <row r="95" customFormat="false" ht="15" hidden="false" customHeight="false" outlineLevel="0" collapsed="false">
      <c r="A95" s="36" t="str">
        <f aca="false">IF(Raw_Export!$A95="","",TRIM(Raw_Export!A95))</f>
        <v>TXN-100094</v>
      </c>
      <c r="B95" s="37" t="n">
        <f aca="false">IF(Raw_Export!$A95="","",IF(ISNUMBER(Raw_Export!B95),Raw_Export!B95,IF(MID(TRIM(Raw_Export!B95),5,1)="-",DATE(LEFT(TRIM(Raw_Export!B95),4),MID(TRIM(Raw_Export!B95),6,2),RIGHT(TRIM(Raw_Export!B95),2)),DATE(RIGHT(TRIM(Raw_Export!B95),4),MATCH(MID(TRIM(Raw_Export!B95),4,3),{"Jan","Feb","Mar","Apr","May","Jun","Jul","Aug","Sep","Oct","Nov","Dec"},0),LEFT(TRIM(Raw_Export!B95),2)))))</f>
        <v>46265</v>
      </c>
      <c r="C95" s="36" t="str">
        <f aca="false">IF(Raw_Export!$A95="","",IFERROR(VLOOKUP(LOWER(TRIM(Raw_Export!C95)),Maps!$A$2:$B$20,2,FALSE()),"UNMAPPED"))</f>
        <v>Kisumu</v>
      </c>
      <c r="D95" s="36" t="str">
        <f aca="false">IF(Raw_Export!$A95="","",IFERROR(VLOOKUP(LOWER(TRIM(Raw_Export!D95)),Maps!$G$2:$I$80,2,FALSE()),"UNMAPPED"))</f>
        <v>Butter 250g</v>
      </c>
      <c r="E95" s="36" t="str">
        <f aca="false">IF(Raw_Export!$A95="","",IFERROR(VLOOKUP(LOWER(TRIM(Raw_Export!D95)),Maps!$G$2:$I$80,3,FALSE()),"UNMAPPED"))</f>
        <v>Dairy &amp; Eggs</v>
      </c>
      <c r="F95" s="36" t="n">
        <f aca="false">IF(Raw_Export!$A95="","",IFERROR(VALUE(TRIM(Raw_Export!E95)),0))</f>
        <v>1</v>
      </c>
      <c r="G95" s="38" t="n">
        <f aca="false">IF(Raw_Export!$A95="","",IFERROR(VALUE(SUBSTITUTE(SUBSTITUTE(UPPER(TRIM(Raw_Export!F95)),"KES",""),",","")),0))</f>
        <v>310</v>
      </c>
      <c r="H95" s="38" t="n">
        <f aca="false">IF(Raw_Export!$A95="","",F95*G95)</f>
        <v>310</v>
      </c>
      <c r="I95" s="36" t="str">
        <f aca="false">IF(Raw_Export!$A95="","",IFERROR(VLOOKUP(LOWER(TRIM(Raw_Export!H95)),Maps!$D$2:$E$12,2,FALSE()),"Other"))</f>
        <v>Cash</v>
      </c>
      <c r="J95" s="36" t="str">
        <f aca="false">IF(Raw_Export!$A95="","",IF(COUNTIF($A$2:A95,A95)&gt;1,"Duplicate",""))</f>
        <v/>
      </c>
      <c r="K95" s="36" t="str">
        <f aca="false">IF(Raw_Export!$A95="","",IF(J95="Duplicate","Duplicate",IF(OR(C95="UNMAPPED",D95="UNMAPPED"),"Unmapped",IF(F95=0,"Blank qty",IF(F95&lt;0,"Return","OK")))))</f>
        <v>OK</v>
      </c>
      <c r="L95" s="36" t="n">
        <f aca="false">IF(Raw_Export!$A95="","",IF(OR(K95="OK",K95="Return"),1,0))</f>
        <v>1</v>
      </c>
      <c r="M95" s="37" t="n">
        <f aca="false">IF(Raw_Export!$A95="","",B95-WEEKDAY(B95,2)+1)</f>
        <v>46265</v>
      </c>
    </row>
    <row r="96" customFormat="false" ht="15" hidden="false" customHeight="false" outlineLevel="0" collapsed="false">
      <c r="A96" s="36" t="str">
        <f aca="false">IF(Raw_Export!$A96="","",TRIM(Raw_Export!A96))</f>
        <v>TXN-100095</v>
      </c>
      <c r="B96" s="37" t="n">
        <f aca="false">IF(Raw_Export!$A96="","",IF(ISNUMBER(Raw_Export!B96),Raw_Export!B96,IF(MID(TRIM(Raw_Export!B96),5,1)="-",DATE(LEFT(TRIM(Raw_Export!B96),4),MID(TRIM(Raw_Export!B96),6,2),RIGHT(TRIM(Raw_Export!B96),2)),DATE(RIGHT(TRIM(Raw_Export!B96),4),MATCH(MID(TRIM(Raw_Export!B96),4,3),{"Jan","Feb","Mar","Apr","May","Jun","Jul","Aug","Sep","Oct","Nov","Dec"},0),LEFT(TRIM(Raw_Export!B96),2)))))</f>
        <v>46265</v>
      </c>
      <c r="C96" s="36" t="str">
        <f aca="false">IF(Raw_Export!$A96="","",IFERROR(VLOOKUP(LOWER(TRIM(Raw_Export!C96)),Maps!$A$2:$B$20,2,FALSE()),"UNMAPPED"))</f>
        <v>Kisumu</v>
      </c>
      <c r="D96" s="36" t="str">
        <f aca="false">IF(Raw_Export!$A96="","",IFERROR(VLOOKUP(LOWER(TRIM(Raw_Export!D96)),Maps!$G$2:$I$80,2,FALSE()),"UNMAPPED"))</f>
        <v>Soda 500ml</v>
      </c>
      <c r="E96" s="36" t="str">
        <f aca="false">IF(Raw_Export!$A96="","",IFERROR(VLOOKUP(LOWER(TRIM(Raw_Export!D96)),Maps!$G$2:$I$80,3,FALSE()),"UNMAPPED"))</f>
        <v>Beverages</v>
      </c>
      <c r="F96" s="36" t="n">
        <f aca="false">IF(Raw_Export!$A96="","",IFERROR(VALUE(TRIM(Raw_Export!E96)),0))</f>
        <v>4</v>
      </c>
      <c r="G96" s="38" t="n">
        <f aca="false">IF(Raw_Export!$A96="","",IFERROR(VALUE(SUBSTITUTE(SUBSTITUTE(UPPER(TRIM(Raw_Export!F96)),"KES",""),",","")),0))</f>
        <v>60</v>
      </c>
      <c r="H96" s="38" t="n">
        <f aca="false">IF(Raw_Export!$A96="","",F96*G96)</f>
        <v>240</v>
      </c>
      <c r="I96" s="36" t="str">
        <f aca="false">IF(Raw_Export!$A96="","",IFERROR(VLOOKUP(LOWER(TRIM(Raw_Export!H96)),Maps!$D$2:$E$12,2,FALSE()),"Other"))</f>
        <v>Cash</v>
      </c>
      <c r="J96" s="36" t="str">
        <f aca="false">IF(Raw_Export!$A96="","",IF(COUNTIF($A$2:A96,A96)&gt;1,"Duplicate",""))</f>
        <v/>
      </c>
      <c r="K96" s="36" t="str">
        <f aca="false">IF(Raw_Export!$A96="","",IF(J96="Duplicate","Duplicate",IF(OR(C96="UNMAPPED",D96="UNMAPPED"),"Unmapped",IF(F96=0,"Blank qty",IF(F96&lt;0,"Return","OK")))))</f>
        <v>OK</v>
      </c>
      <c r="L96" s="36" t="n">
        <f aca="false">IF(Raw_Export!$A96="","",IF(OR(K96="OK",K96="Return"),1,0))</f>
        <v>1</v>
      </c>
      <c r="M96" s="37" t="n">
        <f aca="false">IF(Raw_Export!$A96="","",B96-WEEKDAY(B96,2)+1)</f>
        <v>46265</v>
      </c>
    </row>
    <row r="97" customFormat="false" ht="15" hidden="false" customHeight="false" outlineLevel="0" collapsed="false">
      <c r="A97" s="36" t="str">
        <f aca="false">IF(Raw_Export!$A97="","",TRIM(Raw_Export!A97))</f>
        <v>TXN-100096</v>
      </c>
      <c r="B97" s="37" t="n">
        <f aca="false">IF(Raw_Export!$A97="","",IF(ISNUMBER(Raw_Export!B97),Raw_Export!B97,IF(MID(TRIM(Raw_Export!B97),5,1)="-",DATE(LEFT(TRIM(Raw_Export!B97),4),MID(TRIM(Raw_Export!B97),6,2),RIGHT(TRIM(Raw_Export!B97),2)),DATE(RIGHT(TRIM(Raw_Export!B97),4),MATCH(MID(TRIM(Raw_Export!B97),4,3),{"Jan","Feb","Mar","Apr","May","Jun","Jul","Aug","Sep","Oct","Nov","Dec"},0),LEFT(TRIM(Raw_Export!B97),2)))))</f>
        <v>46265</v>
      </c>
      <c r="C97" s="36" t="str">
        <f aca="false">IF(Raw_Export!$A97="","",IFERROR(VLOOKUP(LOWER(TRIM(Raw_Export!C97)),Maps!$A$2:$B$20,2,FALSE()),"UNMAPPED"))</f>
        <v>Kisumu</v>
      </c>
      <c r="D97" s="36" t="str">
        <f aca="false">IF(Raw_Export!$A97="","",IFERROR(VLOOKUP(LOWER(TRIM(Raw_Export!D97)),Maps!$G$2:$I$80,2,FALSE()),"UNMAPPED"))</f>
        <v>Bleach 1L</v>
      </c>
      <c r="E97" s="36" t="str">
        <f aca="false">IF(Raw_Export!$A97="","",IFERROR(VLOOKUP(LOWER(TRIM(Raw_Export!D97)),Maps!$G$2:$I$80,3,FALSE()),"UNMAPPED"))</f>
        <v>Household</v>
      </c>
      <c r="F97" s="36" t="n">
        <f aca="false">IF(Raw_Export!$A97="","",IFERROR(VALUE(TRIM(Raw_Export!E97)),0))</f>
        <v>2</v>
      </c>
      <c r="G97" s="38" t="n">
        <f aca="false">IF(Raw_Export!$A97="","",IFERROR(VALUE(SUBSTITUTE(SUBSTITUTE(UPPER(TRIM(Raw_Export!F97)),"KES",""),",","")),0))</f>
        <v>160</v>
      </c>
      <c r="H97" s="38" t="n">
        <f aca="false">IF(Raw_Export!$A97="","",F97*G97)</f>
        <v>320</v>
      </c>
      <c r="I97" s="36" t="str">
        <f aca="false">IF(Raw_Export!$A97="","",IFERROR(VLOOKUP(LOWER(TRIM(Raw_Export!H97)),Maps!$D$2:$E$12,2,FALSE()),"Other"))</f>
        <v>M-Pesa</v>
      </c>
      <c r="J97" s="36" t="str">
        <f aca="false">IF(Raw_Export!$A97="","",IF(COUNTIF($A$2:A97,A97)&gt;1,"Duplicate",""))</f>
        <v/>
      </c>
      <c r="K97" s="36" t="str">
        <f aca="false">IF(Raw_Export!$A97="","",IF(J97="Duplicate","Duplicate",IF(OR(C97="UNMAPPED",D97="UNMAPPED"),"Unmapped",IF(F97=0,"Blank qty",IF(F97&lt;0,"Return","OK")))))</f>
        <v>OK</v>
      </c>
      <c r="L97" s="36" t="n">
        <f aca="false">IF(Raw_Export!$A97="","",IF(OR(K97="OK",K97="Return"),1,0))</f>
        <v>1</v>
      </c>
      <c r="M97" s="37" t="n">
        <f aca="false">IF(Raw_Export!$A97="","",B97-WEEKDAY(B97,2)+1)</f>
        <v>46265</v>
      </c>
    </row>
    <row r="98" customFormat="false" ht="15" hidden="false" customHeight="false" outlineLevel="0" collapsed="false">
      <c r="A98" s="36" t="str">
        <f aca="false">IF(Raw_Export!$A98="","",TRIM(Raw_Export!A98))</f>
        <v>TXN-100097</v>
      </c>
      <c r="B98" s="37" t="n">
        <f aca="false">IF(Raw_Export!$A98="","",IF(ISNUMBER(Raw_Export!B98),Raw_Export!B98,IF(MID(TRIM(Raw_Export!B98),5,1)="-",DATE(LEFT(TRIM(Raw_Export!B98),4),MID(TRIM(Raw_Export!B98),6,2),RIGHT(TRIM(Raw_Export!B98),2)),DATE(RIGHT(TRIM(Raw_Export!B98),4),MATCH(MID(TRIM(Raw_Export!B98),4,3),{"Jan","Feb","Mar","Apr","May","Jun","Jul","Aug","Sep","Oct","Nov","Dec"},0),LEFT(TRIM(Raw_Export!B98),2)))))</f>
        <v>46265</v>
      </c>
      <c r="C98" s="36" t="str">
        <f aca="false">IF(Raw_Export!$A98="","",IFERROR(VLOOKUP(LOWER(TRIM(Raw_Export!C98)),Maps!$A$2:$B$20,2,FALSE()),"UNMAPPED"))</f>
        <v>Kisumu</v>
      </c>
      <c r="D98" s="36" t="str">
        <f aca="false">IF(Raw_Export!$A98="","",IFERROR(VLOOKUP(LOWER(TRIM(Raw_Export!D98)),Maps!$G$2:$I$80,2,FALSE()),"UNMAPPED"))</f>
        <v>Bread Loaf 400g</v>
      </c>
      <c r="E98" s="36" t="str">
        <f aca="false">IF(Raw_Export!$A98="","",IFERROR(VLOOKUP(LOWER(TRIM(Raw_Export!D98)),Maps!$G$2:$I$80,3,FALSE()),"UNMAPPED"))</f>
        <v>Snacks</v>
      </c>
      <c r="F98" s="36" t="n">
        <f aca="false">IF(Raw_Export!$A98="","",IFERROR(VALUE(TRIM(Raw_Export!E98)),0))</f>
        <v>3</v>
      </c>
      <c r="G98" s="38" t="n">
        <f aca="false">IF(Raw_Export!$A98="","",IFERROR(VALUE(SUBSTITUTE(SUBSTITUTE(UPPER(TRIM(Raw_Export!F98)),"KES",""),",","")),0))</f>
        <v>65</v>
      </c>
      <c r="H98" s="38" t="n">
        <f aca="false">IF(Raw_Export!$A98="","",F98*G98)</f>
        <v>195</v>
      </c>
      <c r="I98" s="36" t="str">
        <f aca="false">IF(Raw_Export!$A98="","",IFERROR(VLOOKUP(LOWER(TRIM(Raw_Export!H98)),Maps!$D$2:$E$12,2,FALSE()),"Other"))</f>
        <v>M-Pesa</v>
      </c>
      <c r="J98" s="36" t="str">
        <f aca="false">IF(Raw_Export!$A98="","",IF(COUNTIF($A$2:A98,A98)&gt;1,"Duplicate",""))</f>
        <v/>
      </c>
      <c r="K98" s="36" t="str">
        <f aca="false">IF(Raw_Export!$A98="","",IF(J98="Duplicate","Duplicate",IF(OR(C98="UNMAPPED",D98="UNMAPPED"),"Unmapped",IF(F98=0,"Blank qty",IF(F98&lt;0,"Return","OK")))))</f>
        <v>OK</v>
      </c>
      <c r="L98" s="36" t="n">
        <f aca="false">IF(Raw_Export!$A98="","",IF(OR(K98="OK",K98="Return"),1,0))</f>
        <v>1</v>
      </c>
      <c r="M98" s="37" t="n">
        <f aca="false">IF(Raw_Export!$A98="","",B98-WEEKDAY(B98,2)+1)</f>
        <v>46265</v>
      </c>
    </row>
    <row r="99" customFormat="false" ht="15" hidden="false" customHeight="false" outlineLevel="0" collapsed="false">
      <c r="A99" s="36" t="str">
        <f aca="false">IF(Raw_Export!$A99="","",TRIM(Raw_Export!A99))</f>
        <v>TXN-100098</v>
      </c>
      <c r="B99" s="37" t="n">
        <f aca="false">IF(Raw_Export!$A99="","",IF(ISNUMBER(Raw_Export!B99),Raw_Export!B99,IF(MID(TRIM(Raw_Export!B99),5,1)="-",DATE(LEFT(TRIM(Raw_Export!B99),4),MID(TRIM(Raw_Export!B99),6,2),RIGHT(TRIM(Raw_Export!B99),2)),DATE(RIGHT(TRIM(Raw_Export!B99),4),MATCH(MID(TRIM(Raw_Export!B99),4,3),{"Jan","Feb","Mar","Apr","May","Jun","Jul","Aug","Sep","Oct","Nov","Dec"},0),LEFT(TRIM(Raw_Export!B99),2)))))</f>
        <v>46265</v>
      </c>
      <c r="C99" s="36" t="str">
        <f aca="false">IF(Raw_Export!$A99="","",IFERROR(VLOOKUP(LOWER(TRIM(Raw_Export!C99)),Maps!$A$2:$B$20,2,FALSE()),"UNMAPPED"))</f>
        <v>Kisumu</v>
      </c>
      <c r="D99" s="36" t="str">
        <f aca="false">IF(Raw_Export!$A99="","",IFERROR(VLOOKUP(LOWER(TRIM(Raw_Export!D99)),Maps!$G$2:$I$80,2,FALSE()),"UNMAPPED"))</f>
        <v>Body Lotion 400ml</v>
      </c>
      <c r="E99" s="36" t="str">
        <f aca="false">IF(Raw_Export!$A99="","",IFERROR(VLOOKUP(LOWER(TRIM(Raw_Export!D99)),Maps!$G$2:$I$80,3,FALSE()),"UNMAPPED"))</f>
        <v>Personal Care</v>
      </c>
      <c r="F99" s="36" t="n">
        <f aca="false">IF(Raw_Export!$A99="","",IFERROR(VALUE(TRIM(Raw_Export!E99)),0))</f>
        <v>6</v>
      </c>
      <c r="G99" s="38" t="n">
        <f aca="false">IF(Raw_Export!$A99="","",IFERROR(VALUE(SUBSTITUTE(SUBSTITUTE(UPPER(TRIM(Raw_Export!F99)),"KES",""),",","")),0))</f>
        <v>420</v>
      </c>
      <c r="H99" s="38" t="n">
        <f aca="false">IF(Raw_Export!$A99="","",F99*G99)</f>
        <v>2520</v>
      </c>
      <c r="I99" s="36" t="str">
        <f aca="false">IF(Raw_Export!$A99="","",IFERROR(VLOOKUP(LOWER(TRIM(Raw_Export!H99)),Maps!$D$2:$E$12,2,FALSE()),"Other"))</f>
        <v>M-Pesa</v>
      </c>
      <c r="J99" s="36" t="str">
        <f aca="false">IF(Raw_Export!$A99="","",IF(COUNTIF($A$2:A99,A99)&gt;1,"Duplicate",""))</f>
        <v/>
      </c>
      <c r="K99" s="36" t="str">
        <f aca="false">IF(Raw_Export!$A99="","",IF(J99="Duplicate","Duplicate",IF(OR(C99="UNMAPPED",D99="UNMAPPED"),"Unmapped",IF(F99=0,"Blank qty",IF(F99&lt;0,"Return","OK")))))</f>
        <v>OK</v>
      </c>
      <c r="L99" s="36" t="n">
        <f aca="false">IF(Raw_Export!$A99="","",IF(OR(K99="OK",K99="Return"),1,0))</f>
        <v>1</v>
      </c>
      <c r="M99" s="37" t="n">
        <f aca="false">IF(Raw_Export!$A99="","",B99-WEEKDAY(B99,2)+1)</f>
        <v>46265</v>
      </c>
    </row>
    <row r="100" customFormat="false" ht="15" hidden="false" customHeight="false" outlineLevel="0" collapsed="false">
      <c r="A100" s="36" t="str">
        <f aca="false">IF(Raw_Export!$A100="","",TRIM(Raw_Export!A100))</f>
        <v>TXN-100099</v>
      </c>
      <c r="B100" s="37" t="n">
        <f aca="false">IF(Raw_Export!$A100="","",IF(ISNUMBER(Raw_Export!B100),Raw_Export!B100,IF(MID(TRIM(Raw_Export!B100),5,1)="-",DATE(LEFT(TRIM(Raw_Export!B100),4),MID(TRIM(Raw_Export!B100),6,2),RIGHT(TRIM(Raw_Export!B100),2)),DATE(RIGHT(TRIM(Raw_Export!B100),4),MATCH(MID(TRIM(Raw_Export!B100),4,3),{"Jan","Feb","Mar","Apr","May","Jun","Jul","Aug","Sep","Oct","Nov","Dec"},0),LEFT(TRIM(Raw_Export!B100),2)))))</f>
        <v>46265</v>
      </c>
      <c r="C100" s="36" t="str">
        <f aca="false">IF(Raw_Export!$A100="","",IFERROR(VLOOKUP(LOWER(TRIM(Raw_Export!C100)),Maps!$A$2:$B$20,2,FALSE()),"UNMAPPED"))</f>
        <v>Kisumu</v>
      </c>
      <c r="D100" s="36" t="str">
        <f aca="false">IF(Raw_Export!$A100="","",IFERROR(VLOOKUP(LOWER(TRIM(Raw_Export!D100)),Maps!$G$2:$I$80,2,FALSE()),"UNMAPPED"))</f>
        <v>Peanuts 250g</v>
      </c>
      <c r="E100" s="36" t="str">
        <f aca="false">IF(Raw_Export!$A100="","",IFERROR(VLOOKUP(LOWER(TRIM(Raw_Export!D100)),Maps!$G$2:$I$80,3,FALSE()),"UNMAPPED"))</f>
        <v>Snacks</v>
      </c>
      <c r="F100" s="36" t="n">
        <f aca="false">IF(Raw_Export!$A100="","",IFERROR(VALUE(TRIM(Raw_Export!E100)),0))</f>
        <v>1</v>
      </c>
      <c r="G100" s="38" t="n">
        <f aca="false">IF(Raw_Export!$A100="","",IFERROR(VALUE(SUBSTITUTE(SUBSTITUTE(UPPER(TRIM(Raw_Export!F100)),"KES",""),",","")),0))</f>
        <v>130</v>
      </c>
      <c r="H100" s="38" t="n">
        <f aca="false">IF(Raw_Export!$A100="","",F100*G100)</f>
        <v>130</v>
      </c>
      <c r="I100" s="36" t="str">
        <f aca="false">IF(Raw_Export!$A100="","",IFERROR(VLOOKUP(LOWER(TRIM(Raw_Export!H100)),Maps!$D$2:$E$12,2,FALSE()),"Other"))</f>
        <v>Cash</v>
      </c>
      <c r="J100" s="36" t="str">
        <f aca="false">IF(Raw_Export!$A100="","",IF(COUNTIF($A$2:A100,A100)&gt;1,"Duplicate",""))</f>
        <v/>
      </c>
      <c r="K100" s="36" t="str">
        <f aca="false">IF(Raw_Export!$A100="","",IF(J100="Duplicate","Duplicate",IF(OR(C100="UNMAPPED",D100="UNMAPPED"),"Unmapped",IF(F100=0,"Blank qty",IF(F100&lt;0,"Return","OK")))))</f>
        <v>OK</v>
      </c>
      <c r="L100" s="36" t="n">
        <f aca="false">IF(Raw_Export!$A100="","",IF(OR(K100="OK",K100="Return"),1,0))</f>
        <v>1</v>
      </c>
      <c r="M100" s="37" t="n">
        <f aca="false">IF(Raw_Export!$A100="","",B100-WEEKDAY(B100,2)+1)</f>
        <v>46265</v>
      </c>
    </row>
    <row r="101" customFormat="false" ht="15" hidden="false" customHeight="false" outlineLevel="0" collapsed="false">
      <c r="A101" s="36" t="str">
        <f aca="false">IF(Raw_Export!$A101="","",TRIM(Raw_Export!A101))</f>
        <v>TXN-100100</v>
      </c>
      <c r="B101" s="37" t="n">
        <f aca="false">IF(Raw_Export!$A101="","",IF(ISNUMBER(Raw_Export!B101),Raw_Export!B101,IF(MID(TRIM(Raw_Export!B101),5,1)="-",DATE(LEFT(TRIM(Raw_Export!B101),4),MID(TRIM(Raw_Export!B101),6,2),RIGHT(TRIM(Raw_Export!B101),2)),DATE(RIGHT(TRIM(Raw_Export!B101),4),MATCH(MID(TRIM(Raw_Export!B101),4,3),{"Jan","Feb","Mar","Apr","May","Jun","Jul","Aug","Sep","Oct","Nov","Dec"},0),LEFT(TRIM(Raw_Export!B101),2)))))</f>
        <v>46265</v>
      </c>
      <c r="C101" s="36" t="str">
        <f aca="false">IF(Raw_Export!$A101="","",IFERROR(VLOOKUP(LOWER(TRIM(Raw_Export!C101)),Maps!$A$2:$B$20,2,FALSE()),"UNMAPPED"))</f>
        <v>Kisumu</v>
      </c>
      <c r="D101" s="36" t="str">
        <f aca="false">IF(Raw_Export!$A101="","",IFERROR(VLOOKUP(LOWER(TRIM(Raw_Export!D101)),Maps!$G$2:$I$80,2,FALSE()),"UNMAPPED"))</f>
        <v>Peanuts 250g</v>
      </c>
      <c r="E101" s="36" t="str">
        <f aca="false">IF(Raw_Export!$A101="","",IFERROR(VLOOKUP(LOWER(TRIM(Raw_Export!D101)),Maps!$G$2:$I$80,3,FALSE()),"UNMAPPED"))</f>
        <v>Snacks</v>
      </c>
      <c r="F101" s="36" t="n">
        <f aca="false">IF(Raw_Export!$A101="","",IFERROR(VALUE(TRIM(Raw_Export!E101)),0))</f>
        <v>3</v>
      </c>
      <c r="G101" s="38" t="n">
        <f aca="false">IF(Raw_Export!$A101="","",IFERROR(VALUE(SUBSTITUTE(SUBSTITUTE(UPPER(TRIM(Raw_Export!F101)),"KES",""),",","")),0))</f>
        <v>130</v>
      </c>
      <c r="H101" s="38" t="n">
        <f aca="false">IF(Raw_Export!$A101="","",F101*G101)</f>
        <v>390</v>
      </c>
      <c r="I101" s="36" t="str">
        <f aca="false">IF(Raw_Export!$A101="","",IFERROR(VLOOKUP(LOWER(TRIM(Raw_Export!H101)),Maps!$D$2:$E$12,2,FALSE()),"Other"))</f>
        <v>M-Pesa</v>
      </c>
      <c r="J101" s="36" t="str">
        <f aca="false">IF(Raw_Export!$A101="","",IF(COUNTIF($A$2:A101,A101)&gt;1,"Duplicate",""))</f>
        <v/>
      </c>
      <c r="K101" s="36" t="str">
        <f aca="false">IF(Raw_Export!$A101="","",IF(J101="Duplicate","Duplicate",IF(OR(C101="UNMAPPED",D101="UNMAPPED"),"Unmapped",IF(F101=0,"Blank qty",IF(F101&lt;0,"Return","OK")))))</f>
        <v>OK</v>
      </c>
      <c r="L101" s="36" t="n">
        <f aca="false">IF(Raw_Export!$A101="","",IF(OR(K101="OK",K101="Return"),1,0))</f>
        <v>1</v>
      </c>
      <c r="M101" s="37" t="n">
        <f aca="false">IF(Raw_Export!$A101="","",B101-WEEKDAY(B101,2)+1)</f>
        <v>46265</v>
      </c>
    </row>
    <row r="102" customFormat="false" ht="15" hidden="false" customHeight="false" outlineLevel="0" collapsed="false">
      <c r="A102" s="36" t="str">
        <f aca="false">IF(Raw_Export!$A102="","",TRIM(Raw_Export!A102))</f>
        <v>TXN-100101</v>
      </c>
      <c r="B102" s="37" t="n">
        <f aca="false">IF(Raw_Export!$A102="","",IF(ISNUMBER(Raw_Export!B102),Raw_Export!B102,IF(MID(TRIM(Raw_Export!B102),5,1)="-",DATE(LEFT(TRIM(Raw_Export!B102),4),MID(TRIM(Raw_Export!B102),6,2),RIGHT(TRIM(Raw_Export!B102),2)),DATE(RIGHT(TRIM(Raw_Export!B102),4),MATCH(MID(TRIM(Raw_Export!B102),4,3),{"Jan","Feb","Mar","Apr","May","Jun","Jul","Aug","Sep","Oct","Nov","Dec"},0),LEFT(TRIM(Raw_Export!B102),2)))))</f>
        <v>46265</v>
      </c>
      <c r="C102" s="36" t="str">
        <f aca="false">IF(Raw_Export!$A102="","",IFERROR(VLOOKUP(LOWER(TRIM(Raw_Export!C102)),Maps!$A$2:$B$20,2,FALSE()),"UNMAPPED"))</f>
        <v>Kisumu</v>
      </c>
      <c r="D102" s="36" t="str">
        <f aca="false">IF(Raw_Export!$A102="","",IFERROR(VLOOKUP(LOWER(TRIM(Raw_Export!D102)),Maps!$G$2:$I$80,2,FALSE()),"UNMAPPED"))</f>
        <v>Sanitary Pads 8pk</v>
      </c>
      <c r="E102" s="36" t="str">
        <f aca="false">IF(Raw_Export!$A102="","",IFERROR(VLOOKUP(LOWER(TRIM(Raw_Export!D102)),Maps!$G$2:$I$80,3,FALSE()),"UNMAPPED"))</f>
        <v>Personal Care</v>
      </c>
      <c r="F102" s="36" t="n">
        <f aca="false">IF(Raw_Export!$A102="","",IFERROR(VALUE(TRIM(Raw_Export!E102)),0))</f>
        <v>3</v>
      </c>
      <c r="G102" s="38" t="n">
        <f aca="false">IF(Raw_Export!$A102="","",IFERROR(VALUE(SUBSTITUTE(SUBSTITUTE(UPPER(TRIM(Raw_Export!F102)),"KES",""),",","")),0))</f>
        <v>130</v>
      </c>
      <c r="H102" s="38" t="n">
        <f aca="false">IF(Raw_Export!$A102="","",F102*G102)</f>
        <v>390</v>
      </c>
      <c r="I102" s="36" t="str">
        <f aca="false">IF(Raw_Export!$A102="","",IFERROR(VLOOKUP(LOWER(TRIM(Raw_Export!H102)),Maps!$D$2:$E$12,2,FALSE()),"Other"))</f>
        <v>Card</v>
      </c>
      <c r="J102" s="36" t="str">
        <f aca="false">IF(Raw_Export!$A102="","",IF(COUNTIF($A$2:A102,A102)&gt;1,"Duplicate",""))</f>
        <v/>
      </c>
      <c r="K102" s="36" t="str">
        <f aca="false">IF(Raw_Export!$A102="","",IF(J102="Duplicate","Duplicate",IF(OR(C102="UNMAPPED",D102="UNMAPPED"),"Unmapped",IF(F102=0,"Blank qty",IF(F102&lt;0,"Return","OK")))))</f>
        <v>OK</v>
      </c>
      <c r="L102" s="36" t="n">
        <f aca="false">IF(Raw_Export!$A102="","",IF(OR(K102="OK",K102="Return"),1,0))</f>
        <v>1</v>
      </c>
      <c r="M102" s="37" t="n">
        <f aca="false">IF(Raw_Export!$A102="","",B102-WEEKDAY(B102,2)+1)</f>
        <v>46265</v>
      </c>
    </row>
    <row r="103" customFormat="false" ht="15" hidden="false" customHeight="false" outlineLevel="0" collapsed="false">
      <c r="A103" s="36" t="str">
        <f aca="false">IF(Raw_Export!$A103="","",TRIM(Raw_Export!A103))</f>
        <v>TXN-100102</v>
      </c>
      <c r="B103" s="37" t="n">
        <f aca="false">IF(Raw_Export!$A103="","",IF(ISNUMBER(Raw_Export!B103),Raw_Export!B103,IF(MID(TRIM(Raw_Export!B103),5,1)="-",DATE(LEFT(TRIM(Raw_Export!B103),4),MID(TRIM(Raw_Export!B103),6,2),RIGHT(TRIM(Raw_Export!B103),2)),DATE(RIGHT(TRIM(Raw_Export!B103),4),MATCH(MID(TRIM(Raw_Export!B103),4,3),{"Jan","Feb","Mar","Apr","May","Jun","Jul","Aug","Sep","Oct","Nov","Dec"},0),LEFT(TRIM(Raw_Export!B103),2)))))</f>
        <v>46265</v>
      </c>
      <c r="C103" s="36" t="str">
        <f aca="false">IF(Raw_Export!$A103="","",IFERROR(VLOOKUP(LOWER(TRIM(Raw_Export!C103)),Maps!$A$2:$B$20,2,FALSE()),"UNMAPPED"))</f>
        <v>Kisumu</v>
      </c>
      <c r="D103" s="36" t="str">
        <f aca="false">IF(Raw_Export!$A103="","",IFERROR(VLOOKUP(LOWER(TRIM(Raw_Export!D103)),Maps!$G$2:$I$80,2,FALSE()),"UNMAPPED"))</f>
        <v>Sugar 2kg</v>
      </c>
      <c r="E103" s="36" t="str">
        <f aca="false">IF(Raw_Export!$A103="","",IFERROR(VLOOKUP(LOWER(TRIM(Raw_Export!D103)),Maps!$G$2:$I$80,3,FALSE()),"UNMAPPED"))</f>
        <v>Staples</v>
      </c>
      <c r="F103" s="36" t="n">
        <f aca="false">IF(Raw_Export!$A103="","",IFERROR(VALUE(TRIM(Raw_Export!E103)),0))</f>
        <v>2</v>
      </c>
      <c r="G103" s="38" t="n">
        <f aca="false">IF(Raw_Export!$A103="","",IFERROR(VALUE(SUBSTITUTE(SUBSTITUTE(UPPER(TRIM(Raw_Export!F103)),"KES",""),",","")),0))</f>
        <v>330</v>
      </c>
      <c r="H103" s="38" t="n">
        <f aca="false">IF(Raw_Export!$A103="","",F103*G103)</f>
        <v>660</v>
      </c>
      <c r="I103" s="36" t="str">
        <f aca="false">IF(Raw_Export!$A103="","",IFERROR(VLOOKUP(LOWER(TRIM(Raw_Export!H103)),Maps!$D$2:$E$12,2,FALSE()),"Other"))</f>
        <v>Card</v>
      </c>
      <c r="J103" s="36" t="str">
        <f aca="false">IF(Raw_Export!$A103="","",IF(COUNTIF($A$2:A103,A103)&gt;1,"Duplicate",""))</f>
        <v/>
      </c>
      <c r="K103" s="36" t="str">
        <f aca="false">IF(Raw_Export!$A103="","",IF(J103="Duplicate","Duplicate",IF(OR(C103="UNMAPPED",D103="UNMAPPED"),"Unmapped",IF(F103=0,"Blank qty",IF(F103&lt;0,"Return","OK")))))</f>
        <v>OK</v>
      </c>
      <c r="L103" s="36" t="n">
        <f aca="false">IF(Raw_Export!$A103="","",IF(OR(K103="OK",K103="Return"),1,0))</f>
        <v>1</v>
      </c>
      <c r="M103" s="37" t="n">
        <f aca="false">IF(Raw_Export!$A103="","",B103-WEEKDAY(B103,2)+1)</f>
        <v>46265</v>
      </c>
    </row>
    <row r="104" customFormat="false" ht="15" hidden="false" customHeight="false" outlineLevel="0" collapsed="false">
      <c r="A104" s="36" t="str">
        <f aca="false">IF(Raw_Export!$A104="","",TRIM(Raw_Export!A104))</f>
        <v>TXN-100103</v>
      </c>
      <c r="B104" s="37" t="n">
        <f aca="false">IF(Raw_Export!$A104="","",IF(ISNUMBER(Raw_Export!B104),Raw_Export!B104,IF(MID(TRIM(Raw_Export!B104),5,1)="-",DATE(LEFT(TRIM(Raw_Export!B104),4),MID(TRIM(Raw_Export!B104),6,2),RIGHT(TRIM(Raw_Export!B104),2)),DATE(RIGHT(TRIM(Raw_Export!B104),4),MATCH(MID(TRIM(Raw_Export!B104),4,3),{"Jan","Feb","Mar","Apr","May","Jun","Jul","Aug","Sep","Oct","Nov","Dec"},0),LEFT(TRIM(Raw_Export!B104),2)))))</f>
        <v>46265</v>
      </c>
      <c r="C104" s="36" t="str">
        <f aca="false">IF(Raw_Export!$A104="","",IFERROR(VLOOKUP(LOWER(TRIM(Raw_Export!C104)),Maps!$A$2:$B$20,2,FALSE()),"UNMAPPED"))</f>
        <v>Kisumu</v>
      </c>
      <c r="D104" s="36" t="str">
        <f aca="false">IF(Raw_Export!$A104="","",IFERROR(VLOOKUP(LOWER(TRIM(Raw_Export!D104)),Maps!$G$2:$I$80,2,FALSE()),"UNMAPPED"))</f>
        <v>Cooking Oil 1L</v>
      </c>
      <c r="E104" s="36" t="str">
        <f aca="false">IF(Raw_Export!$A104="","",IFERROR(VLOOKUP(LOWER(TRIM(Raw_Export!D104)),Maps!$G$2:$I$80,3,FALSE()),"UNMAPPED"))</f>
        <v>Staples</v>
      </c>
      <c r="F104" s="36" t="n">
        <f aca="false">IF(Raw_Export!$A104="","",IFERROR(VALUE(TRIM(Raw_Export!E104)),0))</f>
        <v>2</v>
      </c>
      <c r="G104" s="38" t="n">
        <f aca="false">IF(Raw_Export!$A104="","",IFERROR(VALUE(SUBSTITUTE(SUBSTITUTE(UPPER(TRIM(Raw_Export!F104)),"KES",""),",","")),0))</f>
        <v>330</v>
      </c>
      <c r="H104" s="38" t="n">
        <f aca="false">IF(Raw_Export!$A104="","",F104*G104)</f>
        <v>660</v>
      </c>
      <c r="I104" s="36" t="str">
        <f aca="false">IF(Raw_Export!$A104="","",IFERROR(VLOOKUP(LOWER(TRIM(Raw_Export!H104)),Maps!$D$2:$E$12,2,FALSE()),"Other"))</f>
        <v>Cash</v>
      </c>
      <c r="J104" s="36" t="str">
        <f aca="false">IF(Raw_Export!$A104="","",IF(COUNTIF($A$2:A104,A104)&gt;1,"Duplicate",""))</f>
        <v/>
      </c>
      <c r="K104" s="36" t="str">
        <f aca="false">IF(Raw_Export!$A104="","",IF(J104="Duplicate","Duplicate",IF(OR(C104="UNMAPPED",D104="UNMAPPED"),"Unmapped",IF(F104=0,"Blank qty",IF(F104&lt;0,"Return","OK")))))</f>
        <v>OK</v>
      </c>
      <c r="L104" s="36" t="n">
        <f aca="false">IF(Raw_Export!$A104="","",IF(OR(K104="OK",K104="Return"),1,0))</f>
        <v>1</v>
      </c>
      <c r="M104" s="37" t="n">
        <f aca="false">IF(Raw_Export!$A104="","",B104-WEEKDAY(B104,2)+1)</f>
        <v>46265</v>
      </c>
    </row>
    <row r="105" customFormat="false" ht="15" hidden="false" customHeight="false" outlineLevel="0" collapsed="false">
      <c r="A105" s="36" t="str">
        <f aca="false">IF(Raw_Export!$A105="","",TRIM(Raw_Export!A105))</f>
        <v>TXN-100104</v>
      </c>
      <c r="B105" s="37" t="n">
        <f aca="false">IF(Raw_Export!$A105="","",IF(ISNUMBER(Raw_Export!B105),Raw_Export!B105,IF(MID(TRIM(Raw_Export!B105),5,1)="-",DATE(LEFT(TRIM(Raw_Export!B105),4),MID(TRIM(Raw_Export!B105),6,2),RIGHT(TRIM(Raw_Export!B105),2)),DATE(RIGHT(TRIM(Raw_Export!B105),4),MATCH(MID(TRIM(Raw_Export!B105),4,3),{"Jan","Feb","Mar","Apr","May","Jun","Jul","Aug","Sep","Oct","Nov","Dec"},0),LEFT(TRIM(Raw_Export!B105),2)))))</f>
        <v>46265</v>
      </c>
      <c r="C105" s="36" t="str">
        <f aca="false">IF(Raw_Export!$A105="","",IFERROR(VLOOKUP(LOWER(TRIM(Raw_Export!C105)),Maps!$A$2:$B$20,2,FALSE()),"UNMAPPED"))</f>
        <v>Kisumu</v>
      </c>
      <c r="D105" s="36" t="str">
        <f aca="false">IF(Raw_Export!$A105="","",IFERROR(VLOOKUP(LOWER(TRIM(Raw_Export!D105)),Maps!$G$2:$I$80,2,FALSE()),"UNMAPPED"))</f>
        <v>Cooking Oil 1L</v>
      </c>
      <c r="E105" s="36" t="str">
        <f aca="false">IF(Raw_Export!$A105="","",IFERROR(VLOOKUP(LOWER(TRIM(Raw_Export!D105)),Maps!$G$2:$I$80,3,FALSE()),"UNMAPPED"))</f>
        <v>Staples</v>
      </c>
      <c r="F105" s="36" t="n">
        <f aca="false">IF(Raw_Export!$A105="","",IFERROR(VALUE(TRIM(Raw_Export!E105)),0))</f>
        <v>6</v>
      </c>
      <c r="G105" s="38" t="n">
        <f aca="false">IF(Raw_Export!$A105="","",IFERROR(VALUE(SUBSTITUTE(SUBSTITUTE(UPPER(TRIM(Raw_Export!F105)),"KES",""),",","")),0))</f>
        <v>330</v>
      </c>
      <c r="H105" s="38" t="n">
        <f aca="false">IF(Raw_Export!$A105="","",F105*G105)</f>
        <v>1980</v>
      </c>
      <c r="I105" s="36" t="str">
        <f aca="false">IF(Raw_Export!$A105="","",IFERROR(VLOOKUP(LOWER(TRIM(Raw_Export!H105)),Maps!$D$2:$E$12,2,FALSE()),"Other"))</f>
        <v>Cash</v>
      </c>
      <c r="J105" s="36" t="str">
        <f aca="false">IF(Raw_Export!$A105="","",IF(COUNTIF($A$2:A105,A105)&gt;1,"Duplicate",""))</f>
        <v/>
      </c>
      <c r="K105" s="36" t="str">
        <f aca="false">IF(Raw_Export!$A105="","",IF(J105="Duplicate","Duplicate",IF(OR(C105="UNMAPPED",D105="UNMAPPED"),"Unmapped",IF(F105=0,"Blank qty",IF(F105&lt;0,"Return","OK")))))</f>
        <v>OK</v>
      </c>
      <c r="L105" s="36" t="n">
        <f aca="false">IF(Raw_Export!$A105="","",IF(OR(K105="OK",K105="Return"),1,0))</f>
        <v>1</v>
      </c>
      <c r="M105" s="37" t="n">
        <f aca="false">IF(Raw_Export!$A105="","",B105-WEEKDAY(B105,2)+1)</f>
        <v>46265</v>
      </c>
    </row>
    <row r="106" customFormat="false" ht="15" hidden="false" customHeight="false" outlineLevel="0" collapsed="false">
      <c r="A106" s="36" t="str">
        <f aca="false">IF(Raw_Export!$A106="","",TRIM(Raw_Export!A106))</f>
        <v>TXN-100105</v>
      </c>
      <c r="B106" s="37" t="n">
        <f aca="false">IF(Raw_Export!$A106="","",IF(ISNUMBER(Raw_Export!B106),Raw_Export!B106,IF(MID(TRIM(Raw_Export!B106),5,1)="-",DATE(LEFT(TRIM(Raw_Export!B106),4),MID(TRIM(Raw_Export!B106),6,2),RIGHT(TRIM(Raw_Export!B106),2)),DATE(RIGHT(TRIM(Raw_Export!B106),4),MATCH(MID(TRIM(Raw_Export!B106),4,3),{"Jan","Feb","Mar","Apr","May","Jun","Jul","Aug","Sep","Oct","Nov","Dec"},0),LEFT(TRIM(Raw_Export!B106),2)))))</f>
        <v>46265</v>
      </c>
      <c r="C106" s="36" t="str">
        <f aca="false">IF(Raw_Export!$A106="","",IFERROR(VLOOKUP(LOWER(TRIM(Raw_Export!C106)),Maps!$A$2:$B$20,2,FALSE()),"UNMAPPED"))</f>
        <v>Kisumu</v>
      </c>
      <c r="D106" s="36" t="str">
        <f aca="false">IF(Raw_Export!$A106="","",IFERROR(VLOOKUP(LOWER(TRIM(Raw_Export!D106)),Maps!$G$2:$I$80,2,FALSE()),"UNMAPPED"))</f>
        <v>Bread Loaf 400g</v>
      </c>
      <c r="E106" s="36" t="str">
        <f aca="false">IF(Raw_Export!$A106="","",IFERROR(VLOOKUP(LOWER(TRIM(Raw_Export!D106)),Maps!$G$2:$I$80,3,FALSE()),"UNMAPPED"))</f>
        <v>Snacks</v>
      </c>
      <c r="F106" s="36" t="n">
        <f aca="false">IF(Raw_Export!$A106="","",IFERROR(VALUE(TRIM(Raw_Export!E106)),0))</f>
        <v>1</v>
      </c>
      <c r="G106" s="38" t="n">
        <f aca="false">IF(Raw_Export!$A106="","",IFERROR(VALUE(SUBSTITUTE(SUBSTITUTE(UPPER(TRIM(Raw_Export!F106)),"KES",""),",","")),0))</f>
        <v>65</v>
      </c>
      <c r="H106" s="38" t="n">
        <f aca="false">IF(Raw_Export!$A106="","",F106*G106)</f>
        <v>65</v>
      </c>
      <c r="I106" s="36" t="str">
        <f aca="false">IF(Raw_Export!$A106="","",IFERROR(VLOOKUP(LOWER(TRIM(Raw_Export!H106)),Maps!$D$2:$E$12,2,FALSE()),"Other"))</f>
        <v>Card</v>
      </c>
      <c r="J106" s="36" t="str">
        <f aca="false">IF(Raw_Export!$A106="","",IF(COUNTIF($A$2:A106,A106)&gt;1,"Duplicate",""))</f>
        <v/>
      </c>
      <c r="K106" s="36" t="str">
        <f aca="false">IF(Raw_Export!$A106="","",IF(J106="Duplicate","Duplicate",IF(OR(C106="UNMAPPED",D106="UNMAPPED"),"Unmapped",IF(F106=0,"Blank qty",IF(F106&lt;0,"Return","OK")))))</f>
        <v>OK</v>
      </c>
      <c r="L106" s="36" t="n">
        <f aca="false">IF(Raw_Export!$A106="","",IF(OR(K106="OK",K106="Return"),1,0))</f>
        <v>1</v>
      </c>
      <c r="M106" s="37" t="n">
        <f aca="false">IF(Raw_Export!$A106="","",B106-WEEKDAY(B106,2)+1)</f>
        <v>46265</v>
      </c>
    </row>
    <row r="107" customFormat="false" ht="15" hidden="false" customHeight="false" outlineLevel="0" collapsed="false">
      <c r="A107" s="36" t="str">
        <f aca="false">IF(Raw_Export!$A107="","",TRIM(Raw_Export!A107))</f>
        <v>TXN-100106</v>
      </c>
      <c r="B107" s="37" t="n">
        <f aca="false">IF(Raw_Export!$A107="","",IF(ISNUMBER(Raw_Export!B107),Raw_Export!B107,IF(MID(TRIM(Raw_Export!B107),5,1)="-",DATE(LEFT(TRIM(Raw_Export!B107),4),MID(TRIM(Raw_Export!B107),6,2),RIGHT(TRIM(Raw_Export!B107),2)),DATE(RIGHT(TRIM(Raw_Export!B107),4),MATCH(MID(TRIM(Raw_Export!B107),4,3),{"Jan","Feb","Mar","Apr","May","Jun","Jul","Aug","Sep","Oct","Nov","Dec"},0),LEFT(TRIM(Raw_Export!B107),2)))))</f>
        <v>46265</v>
      </c>
      <c r="C107" s="36" t="str">
        <f aca="false">IF(Raw_Export!$A107="","",IFERROR(VLOOKUP(LOWER(TRIM(Raw_Export!C107)),Maps!$A$2:$B$20,2,FALSE()),"UNMAPPED"))</f>
        <v>Nakuru</v>
      </c>
      <c r="D107" s="36" t="str">
        <f aca="false">IF(Raw_Export!$A107="","",IFERROR(VLOOKUP(LOWER(TRIM(Raw_Export!D107)),Maps!$G$2:$I$80,2,FALSE()),"UNMAPPED"))</f>
        <v>Sugar 2kg</v>
      </c>
      <c r="E107" s="36" t="str">
        <f aca="false">IF(Raw_Export!$A107="","",IFERROR(VLOOKUP(LOWER(TRIM(Raw_Export!D107)),Maps!$G$2:$I$80,3,FALSE()),"UNMAPPED"))</f>
        <v>Staples</v>
      </c>
      <c r="F107" s="36" t="n">
        <f aca="false">IF(Raw_Export!$A107="","",IFERROR(VALUE(TRIM(Raw_Export!E107)),0))</f>
        <v>3</v>
      </c>
      <c r="G107" s="38" t="n">
        <f aca="false">IF(Raw_Export!$A107="","",IFERROR(VALUE(SUBSTITUTE(SUBSTITUTE(UPPER(TRIM(Raw_Export!F107)),"KES",""),",","")),0))</f>
        <v>330</v>
      </c>
      <c r="H107" s="38" t="n">
        <f aca="false">IF(Raw_Export!$A107="","",F107*G107)</f>
        <v>990</v>
      </c>
      <c r="I107" s="36" t="str">
        <f aca="false">IF(Raw_Export!$A107="","",IFERROR(VLOOKUP(LOWER(TRIM(Raw_Export!H107)),Maps!$D$2:$E$12,2,FALSE()),"Other"))</f>
        <v>Card</v>
      </c>
      <c r="J107" s="36" t="str">
        <f aca="false">IF(Raw_Export!$A107="","",IF(COUNTIF($A$2:A107,A107)&gt;1,"Duplicate",""))</f>
        <v/>
      </c>
      <c r="K107" s="36" t="str">
        <f aca="false">IF(Raw_Export!$A107="","",IF(J107="Duplicate","Duplicate",IF(OR(C107="UNMAPPED",D107="UNMAPPED"),"Unmapped",IF(F107=0,"Blank qty",IF(F107&lt;0,"Return","OK")))))</f>
        <v>OK</v>
      </c>
      <c r="L107" s="36" t="n">
        <f aca="false">IF(Raw_Export!$A107="","",IF(OR(K107="OK",K107="Return"),1,0))</f>
        <v>1</v>
      </c>
      <c r="M107" s="37" t="n">
        <f aca="false">IF(Raw_Export!$A107="","",B107-WEEKDAY(B107,2)+1)</f>
        <v>46265</v>
      </c>
    </row>
    <row r="108" customFormat="false" ht="15" hidden="false" customHeight="false" outlineLevel="0" collapsed="false">
      <c r="A108" s="36" t="str">
        <f aca="false">IF(Raw_Export!$A108="","",TRIM(Raw_Export!A108))</f>
        <v>TXN-102122</v>
      </c>
      <c r="B108" s="37" t="n">
        <f aca="false">IF(Raw_Export!$A108="","",IF(ISNUMBER(Raw_Export!B108),Raw_Export!B108,IF(MID(TRIM(Raw_Export!B108),5,1)="-",DATE(LEFT(TRIM(Raw_Export!B108),4),MID(TRIM(Raw_Export!B108),6,2),RIGHT(TRIM(Raw_Export!B108),2)),DATE(RIGHT(TRIM(Raw_Export!B108),4),MATCH(MID(TRIM(Raw_Export!B108),4,3),{"Jan","Feb","Mar","Apr","May","Jun","Jul","Aug","Sep","Oct","Nov","Dec"},0),LEFT(TRIM(Raw_Export!B108),2)))))</f>
        <v>46278</v>
      </c>
      <c r="C108" s="36" t="str">
        <f aca="false">IF(Raw_Export!$A108="","",IFERROR(VLOOKUP(LOWER(TRIM(Raw_Export!C108)),Maps!$A$2:$B$20,2,FALSE()),"UNMAPPED"))</f>
        <v>Kisumu</v>
      </c>
      <c r="D108" s="36" t="str">
        <f aca="false">IF(Raw_Export!$A108="","",IFERROR(VLOOKUP(LOWER(TRIM(Raw_Export!D108)),Maps!$G$2:$I$80,2,FALSE()),"UNMAPPED"))</f>
        <v>Cheddar 200g</v>
      </c>
      <c r="E108" s="36" t="str">
        <f aca="false">IF(Raw_Export!$A108="","",IFERROR(VLOOKUP(LOWER(TRIM(Raw_Export!D108)),Maps!$G$2:$I$80,3,FALSE()),"UNMAPPED"))</f>
        <v>Dairy &amp; Eggs</v>
      </c>
      <c r="F108" s="36" t="n">
        <f aca="false">IF(Raw_Export!$A108="","",IFERROR(VALUE(TRIM(Raw_Export!E108)),0))</f>
        <v>1</v>
      </c>
      <c r="G108" s="38" t="n">
        <f aca="false">IF(Raw_Export!$A108="","",IFERROR(VALUE(SUBSTITUTE(SUBSTITUTE(UPPER(TRIM(Raw_Export!F108)),"KES",""),",","")),0))</f>
        <v>380</v>
      </c>
      <c r="H108" s="38" t="n">
        <f aca="false">IF(Raw_Export!$A108="","",F108*G108)</f>
        <v>380</v>
      </c>
      <c r="I108" s="36" t="str">
        <f aca="false">IF(Raw_Export!$A108="","",IFERROR(VLOOKUP(LOWER(TRIM(Raw_Export!H108)),Maps!$D$2:$E$12,2,FALSE()),"Other"))</f>
        <v>Cash</v>
      </c>
      <c r="J108" s="36" t="str">
        <f aca="false">IF(Raw_Export!$A108="","",IF(COUNTIF($A$2:A108,A108)&gt;1,"Duplicate",""))</f>
        <v/>
      </c>
      <c r="K108" s="36" t="str">
        <f aca="false">IF(Raw_Export!$A108="","",IF(J108="Duplicate","Duplicate",IF(OR(C108="UNMAPPED",D108="UNMAPPED"),"Unmapped",IF(F108=0,"Blank qty",IF(F108&lt;0,"Return","OK")))))</f>
        <v>OK</v>
      </c>
      <c r="L108" s="36" t="n">
        <f aca="false">IF(Raw_Export!$A108="","",IF(OR(K108="OK",K108="Return"),1,0))</f>
        <v>1</v>
      </c>
      <c r="M108" s="37" t="n">
        <f aca="false">IF(Raw_Export!$A108="","",B108-WEEKDAY(B108,2)+1)</f>
        <v>46272</v>
      </c>
    </row>
    <row r="109" customFormat="false" ht="15" hidden="false" customHeight="false" outlineLevel="0" collapsed="false">
      <c r="A109" s="36" t="str">
        <f aca="false">IF(Raw_Export!$A109="","",TRIM(Raw_Export!A109))</f>
        <v>TXN-100107</v>
      </c>
      <c r="B109" s="37" t="n">
        <f aca="false">IF(Raw_Export!$A109="","",IF(ISNUMBER(Raw_Export!B109),Raw_Export!B109,IF(MID(TRIM(Raw_Export!B109),5,1)="-",DATE(LEFT(TRIM(Raw_Export!B109),4),MID(TRIM(Raw_Export!B109),6,2),RIGHT(TRIM(Raw_Export!B109),2)),DATE(RIGHT(TRIM(Raw_Export!B109),4),MATCH(MID(TRIM(Raw_Export!B109),4,3),{"Jan","Feb","Mar","Apr","May","Jun","Jul","Aug","Sep","Oct","Nov","Dec"},0),LEFT(TRIM(Raw_Export!B109),2)))))</f>
        <v>46265</v>
      </c>
      <c r="C109" s="36" t="str">
        <f aca="false">IF(Raw_Export!$A109="","",IFERROR(VLOOKUP(LOWER(TRIM(Raw_Export!C109)),Maps!$A$2:$B$20,2,FALSE()),"UNMAPPED"))</f>
        <v>Nakuru</v>
      </c>
      <c r="D109" s="36" t="str">
        <f aca="false">IF(Raw_Export!$A109="","",IFERROR(VLOOKUP(LOWER(TRIM(Raw_Export!D109)),Maps!$G$2:$I$80,2,FALSE()),"UNMAPPED"))</f>
        <v>Deodorant 150ml</v>
      </c>
      <c r="E109" s="36" t="str">
        <f aca="false">IF(Raw_Export!$A109="","",IFERROR(VLOOKUP(LOWER(TRIM(Raw_Export!D109)),Maps!$G$2:$I$80,3,FALSE()),"UNMAPPED"))</f>
        <v>Personal Care</v>
      </c>
      <c r="F109" s="36" t="n">
        <f aca="false">IF(Raw_Export!$A109="","",IFERROR(VALUE(TRIM(Raw_Export!E109)),0))</f>
        <v>6</v>
      </c>
      <c r="G109" s="38" t="n">
        <f aca="false">IF(Raw_Export!$A109="","",IFERROR(VALUE(SUBSTITUTE(SUBSTITUTE(UPPER(TRIM(Raw_Export!F109)),"KES",""),",","")),0))</f>
        <v>350</v>
      </c>
      <c r="H109" s="38" t="n">
        <f aca="false">IF(Raw_Export!$A109="","",F109*G109)</f>
        <v>2100</v>
      </c>
      <c r="I109" s="36" t="str">
        <f aca="false">IF(Raw_Export!$A109="","",IFERROR(VLOOKUP(LOWER(TRIM(Raw_Export!H109)),Maps!$D$2:$E$12,2,FALSE()),"Other"))</f>
        <v>M-Pesa</v>
      </c>
      <c r="J109" s="36" t="str">
        <f aca="false">IF(Raw_Export!$A109="","",IF(COUNTIF($A$2:A109,A109)&gt;1,"Duplicate",""))</f>
        <v/>
      </c>
      <c r="K109" s="36" t="str">
        <f aca="false">IF(Raw_Export!$A109="","",IF(J109="Duplicate","Duplicate",IF(OR(C109="UNMAPPED",D109="UNMAPPED"),"Unmapped",IF(F109=0,"Blank qty",IF(F109&lt;0,"Return","OK")))))</f>
        <v>OK</v>
      </c>
      <c r="L109" s="36" t="n">
        <f aca="false">IF(Raw_Export!$A109="","",IF(OR(K109="OK",K109="Return"),1,0))</f>
        <v>1</v>
      </c>
      <c r="M109" s="37" t="n">
        <f aca="false">IF(Raw_Export!$A109="","",B109-WEEKDAY(B109,2)+1)</f>
        <v>46265</v>
      </c>
    </row>
    <row r="110" customFormat="false" ht="15" hidden="false" customHeight="false" outlineLevel="0" collapsed="false">
      <c r="A110" s="36" t="str">
        <f aca="false">IF(Raw_Export!$A110="","",TRIM(Raw_Export!A110))</f>
        <v>TXN-100108</v>
      </c>
      <c r="B110" s="37" t="n">
        <f aca="false">IF(Raw_Export!$A110="","",IF(ISNUMBER(Raw_Export!B110),Raw_Export!B110,IF(MID(TRIM(Raw_Export!B110),5,1)="-",DATE(LEFT(TRIM(Raw_Export!B110),4),MID(TRIM(Raw_Export!B110),6,2),RIGHT(TRIM(Raw_Export!B110),2)),DATE(RIGHT(TRIM(Raw_Export!B110),4),MATCH(MID(TRIM(Raw_Export!B110),4,3),{"Jan","Feb","Mar","Apr","May","Jun","Jul","Aug","Sep","Oct","Nov","Dec"},0),LEFT(TRIM(Raw_Export!B110),2)))))</f>
        <v>46265</v>
      </c>
      <c r="C110" s="36" t="str">
        <f aca="false">IF(Raw_Export!$A110="","",IFERROR(VLOOKUP(LOWER(TRIM(Raw_Export!C110)),Maps!$A$2:$B$20,2,FALSE()),"UNMAPPED"))</f>
        <v>Nakuru</v>
      </c>
      <c r="D110" s="36" t="str">
        <f aca="false">IF(Raw_Export!$A110="","",IFERROR(VLOOKUP(LOWER(TRIM(Raw_Export!D110)),Maps!$G$2:$I$80,2,FALSE()),"UNMAPPED"))</f>
        <v>Toilet Paper 10pk</v>
      </c>
      <c r="E110" s="36" t="str">
        <f aca="false">IF(Raw_Export!$A110="","",IFERROR(VLOOKUP(LOWER(TRIM(Raw_Export!D110)),Maps!$G$2:$I$80,3,FALSE()),"UNMAPPED"))</f>
        <v>Household</v>
      </c>
      <c r="F110" s="36" t="n">
        <f aca="false">IF(Raw_Export!$A110="","",IFERROR(VALUE(TRIM(Raw_Export!E110)),0))</f>
        <v>1</v>
      </c>
      <c r="G110" s="38" t="n">
        <f aca="false">IF(Raw_Export!$A110="","",IFERROR(VALUE(SUBSTITUTE(SUBSTITUTE(UPPER(TRIM(Raw_Export!F110)),"KES",""),",","")),0))</f>
        <v>380</v>
      </c>
      <c r="H110" s="38" t="n">
        <f aca="false">IF(Raw_Export!$A110="","",F110*G110)</f>
        <v>380</v>
      </c>
      <c r="I110" s="36" t="str">
        <f aca="false">IF(Raw_Export!$A110="","",IFERROR(VLOOKUP(LOWER(TRIM(Raw_Export!H110)),Maps!$D$2:$E$12,2,FALSE()),"Other"))</f>
        <v>M-Pesa</v>
      </c>
      <c r="J110" s="36" t="str">
        <f aca="false">IF(Raw_Export!$A110="","",IF(COUNTIF($A$2:A110,A110)&gt;1,"Duplicate",""))</f>
        <v/>
      </c>
      <c r="K110" s="36" t="str">
        <f aca="false">IF(Raw_Export!$A110="","",IF(J110="Duplicate","Duplicate",IF(OR(C110="UNMAPPED",D110="UNMAPPED"),"Unmapped",IF(F110=0,"Blank qty",IF(F110&lt;0,"Return","OK")))))</f>
        <v>OK</v>
      </c>
      <c r="L110" s="36" t="n">
        <f aca="false">IF(Raw_Export!$A110="","",IF(OR(K110="OK",K110="Return"),1,0))</f>
        <v>1</v>
      </c>
      <c r="M110" s="37" t="n">
        <f aca="false">IF(Raw_Export!$A110="","",B110-WEEKDAY(B110,2)+1)</f>
        <v>46265</v>
      </c>
    </row>
    <row r="111" customFormat="false" ht="15" hidden="false" customHeight="false" outlineLevel="0" collapsed="false">
      <c r="A111" s="36" t="str">
        <f aca="false">IF(Raw_Export!$A111="","",TRIM(Raw_Export!A111))</f>
        <v>TXN-100109</v>
      </c>
      <c r="B111" s="37" t="n">
        <f aca="false">IF(Raw_Export!$A111="","",IF(ISNUMBER(Raw_Export!B111),Raw_Export!B111,IF(MID(TRIM(Raw_Export!B111),5,1)="-",DATE(LEFT(TRIM(Raw_Export!B111),4),MID(TRIM(Raw_Export!B111),6,2),RIGHT(TRIM(Raw_Export!B111),2)),DATE(RIGHT(TRIM(Raw_Export!B111),4),MATCH(MID(TRIM(Raw_Export!B111),4,3),{"Jan","Feb","Mar","Apr","May","Jun","Jul","Aug","Sep","Oct","Nov","Dec"},0),LEFT(TRIM(Raw_Export!B111),2)))))</f>
        <v>46265</v>
      </c>
      <c r="C111" s="36" t="str">
        <f aca="false">IF(Raw_Export!$A111="","",IFERROR(VLOOKUP(LOWER(TRIM(Raw_Export!C111)),Maps!$A$2:$B$20,2,FALSE()),"UNMAPPED"))</f>
        <v>Nakuru</v>
      </c>
      <c r="D111" s="36" t="str">
        <f aca="false">IF(Raw_Export!$A111="","",IFERROR(VLOOKUP(LOWER(TRIM(Raw_Export!D111)),Maps!$G$2:$I$80,2,FALSE()),"UNMAPPED"))</f>
        <v>Cooking Oil 1L</v>
      </c>
      <c r="E111" s="36" t="str">
        <f aca="false">IF(Raw_Export!$A111="","",IFERROR(VLOOKUP(LOWER(TRIM(Raw_Export!D111)),Maps!$G$2:$I$80,3,FALSE()),"UNMAPPED"))</f>
        <v>Staples</v>
      </c>
      <c r="F111" s="36" t="n">
        <f aca="false">IF(Raw_Export!$A111="","",IFERROR(VALUE(TRIM(Raw_Export!E111)),0))</f>
        <v>1</v>
      </c>
      <c r="G111" s="38" t="n">
        <f aca="false">IF(Raw_Export!$A111="","",IFERROR(VALUE(SUBSTITUTE(SUBSTITUTE(UPPER(TRIM(Raw_Export!F111)),"KES",""),",","")),0))</f>
        <v>330</v>
      </c>
      <c r="H111" s="38" t="n">
        <f aca="false">IF(Raw_Export!$A111="","",F111*G111)</f>
        <v>330</v>
      </c>
      <c r="I111" s="36" t="str">
        <f aca="false">IF(Raw_Export!$A111="","",IFERROR(VLOOKUP(LOWER(TRIM(Raw_Export!H111)),Maps!$D$2:$E$12,2,FALSE()),"Other"))</f>
        <v>M-Pesa</v>
      </c>
      <c r="J111" s="36" t="str">
        <f aca="false">IF(Raw_Export!$A111="","",IF(COUNTIF($A$2:A111,A111)&gt;1,"Duplicate",""))</f>
        <v/>
      </c>
      <c r="K111" s="36" t="str">
        <f aca="false">IF(Raw_Export!$A111="","",IF(J111="Duplicate","Duplicate",IF(OR(C111="UNMAPPED",D111="UNMAPPED"),"Unmapped",IF(F111=0,"Blank qty",IF(F111&lt;0,"Return","OK")))))</f>
        <v>OK</v>
      </c>
      <c r="L111" s="36" t="n">
        <f aca="false">IF(Raw_Export!$A111="","",IF(OR(K111="OK",K111="Return"),1,0))</f>
        <v>1</v>
      </c>
      <c r="M111" s="37" t="n">
        <f aca="false">IF(Raw_Export!$A111="","",B111-WEEKDAY(B111,2)+1)</f>
        <v>46265</v>
      </c>
    </row>
    <row r="112" customFormat="false" ht="15" hidden="false" customHeight="false" outlineLevel="0" collapsed="false">
      <c r="A112" s="36" t="str">
        <f aca="false">IF(Raw_Export!$A112="","",TRIM(Raw_Export!A112))</f>
        <v>TXN-100110</v>
      </c>
      <c r="B112" s="37" t="n">
        <f aca="false">IF(Raw_Export!$A112="","",IF(ISNUMBER(Raw_Export!B112),Raw_Export!B112,IF(MID(TRIM(Raw_Export!B112),5,1)="-",DATE(LEFT(TRIM(Raw_Export!B112),4),MID(TRIM(Raw_Export!B112),6,2),RIGHT(TRIM(Raw_Export!B112),2)),DATE(RIGHT(TRIM(Raw_Export!B112),4),MATCH(MID(TRIM(Raw_Export!B112),4,3),{"Jan","Feb","Mar","Apr","May","Jun","Jul","Aug","Sep","Oct","Nov","Dec"},0),LEFT(TRIM(Raw_Export!B112),2)))))</f>
        <v>46265</v>
      </c>
      <c r="C112" s="36" t="str">
        <f aca="false">IF(Raw_Export!$A112="","",IFERROR(VLOOKUP(LOWER(TRIM(Raw_Export!C112)),Maps!$A$2:$B$20,2,FALSE()),"UNMAPPED"))</f>
        <v>Nakuru</v>
      </c>
      <c r="D112" s="36" t="str">
        <f aca="false">IF(Raw_Export!$A112="","",IFERROR(VLOOKUP(LOWER(TRIM(Raw_Export!D112)),Maps!$G$2:$I$80,2,FALSE()),"UNMAPPED"))</f>
        <v>Crisps 100g</v>
      </c>
      <c r="E112" s="36" t="str">
        <f aca="false">IF(Raw_Export!$A112="","",IFERROR(VLOOKUP(LOWER(TRIM(Raw_Export!D112)),Maps!$G$2:$I$80,3,FALSE()),"UNMAPPED"))</f>
        <v>Snacks</v>
      </c>
      <c r="F112" s="36" t="n">
        <f aca="false">IF(Raw_Export!$A112="","",IFERROR(VALUE(TRIM(Raw_Export!E112)),0))</f>
        <v>2</v>
      </c>
      <c r="G112" s="38" t="n">
        <f aca="false">IF(Raw_Export!$A112="","",IFERROR(VALUE(SUBSTITUTE(SUBSTITUTE(UPPER(TRIM(Raw_Export!F112)),"KES",""),",","")),0))</f>
        <v>80</v>
      </c>
      <c r="H112" s="38" t="n">
        <f aca="false">IF(Raw_Export!$A112="","",F112*G112)</f>
        <v>160</v>
      </c>
      <c r="I112" s="36" t="str">
        <f aca="false">IF(Raw_Export!$A112="","",IFERROR(VLOOKUP(LOWER(TRIM(Raw_Export!H112)),Maps!$D$2:$E$12,2,FALSE()),"Other"))</f>
        <v>M-Pesa</v>
      </c>
      <c r="J112" s="36" t="str">
        <f aca="false">IF(Raw_Export!$A112="","",IF(COUNTIF($A$2:A112,A112)&gt;1,"Duplicate",""))</f>
        <v/>
      </c>
      <c r="K112" s="36" t="str">
        <f aca="false">IF(Raw_Export!$A112="","",IF(J112="Duplicate","Duplicate",IF(OR(C112="UNMAPPED",D112="UNMAPPED"),"Unmapped",IF(F112=0,"Blank qty",IF(F112&lt;0,"Return","OK")))))</f>
        <v>OK</v>
      </c>
      <c r="L112" s="36" t="n">
        <f aca="false">IF(Raw_Export!$A112="","",IF(OR(K112="OK",K112="Return"),1,0))</f>
        <v>1</v>
      </c>
      <c r="M112" s="37" t="n">
        <f aca="false">IF(Raw_Export!$A112="","",B112-WEEKDAY(B112,2)+1)</f>
        <v>46265</v>
      </c>
    </row>
    <row r="113" customFormat="false" ht="15" hidden="false" customHeight="false" outlineLevel="0" collapsed="false">
      <c r="A113" s="36" t="str">
        <f aca="false">IF(Raw_Export!$A113="","",TRIM(Raw_Export!A113))</f>
        <v>TXN-100111</v>
      </c>
      <c r="B113" s="37" t="n">
        <f aca="false">IF(Raw_Export!$A113="","",IF(ISNUMBER(Raw_Export!B113),Raw_Export!B113,IF(MID(TRIM(Raw_Export!B113),5,1)="-",DATE(LEFT(TRIM(Raw_Export!B113),4),MID(TRIM(Raw_Export!B113),6,2),RIGHT(TRIM(Raw_Export!B113),2)),DATE(RIGHT(TRIM(Raw_Export!B113),4),MATCH(MID(TRIM(Raw_Export!B113),4,3),{"Jan","Feb","Mar","Apr","May","Jun","Jul","Aug","Sep","Oct","Nov","Dec"},0),LEFT(TRIM(Raw_Export!B113),2)))))</f>
        <v>46265</v>
      </c>
      <c r="C113" s="36" t="str">
        <f aca="false">IF(Raw_Export!$A113="","",IFERROR(VLOOKUP(LOWER(TRIM(Raw_Export!C113)),Maps!$A$2:$B$20,2,FALSE()),"UNMAPPED"))</f>
        <v>Nakuru</v>
      </c>
      <c r="D113" s="36" t="str">
        <f aca="false">IF(Raw_Export!$A113="","",IFERROR(VLOOKUP(LOWER(TRIM(Raw_Export!D113)),Maps!$G$2:$I$80,2,FALSE()),"UNMAPPED"))</f>
        <v>Toothpaste 100g</v>
      </c>
      <c r="E113" s="36" t="str">
        <f aca="false">IF(Raw_Export!$A113="","",IFERROR(VLOOKUP(LOWER(TRIM(Raw_Export!D113)),Maps!$G$2:$I$80,3,FALSE()),"UNMAPPED"))</f>
        <v>Personal Care</v>
      </c>
      <c r="F113" s="36" t="n">
        <f aca="false">IF(Raw_Export!$A113="","",IFERROR(VALUE(TRIM(Raw_Export!E113)),0))</f>
        <v>1</v>
      </c>
      <c r="G113" s="38" t="n">
        <f aca="false">IF(Raw_Export!$A113="","",IFERROR(VALUE(SUBSTITUTE(SUBSTITUTE(UPPER(TRIM(Raw_Export!F113)),"KES",""),",","")),0))</f>
        <v>195</v>
      </c>
      <c r="H113" s="38" t="n">
        <f aca="false">IF(Raw_Export!$A113="","",F113*G113)</f>
        <v>195</v>
      </c>
      <c r="I113" s="36" t="str">
        <f aca="false">IF(Raw_Export!$A113="","",IFERROR(VLOOKUP(LOWER(TRIM(Raw_Export!H113)),Maps!$D$2:$E$12,2,FALSE()),"Other"))</f>
        <v>Cash</v>
      </c>
      <c r="J113" s="36" t="str">
        <f aca="false">IF(Raw_Export!$A113="","",IF(COUNTIF($A$2:A113,A113)&gt;1,"Duplicate",""))</f>
        <v/>
      </c>
      <c r="K113" s="36" t="str">
        <f aca="false">IF(Raw_Export!$A113="","",IF(J113="Duplicate","Duplicate",IF(OR(C113="UNMAPPED",D113="UNMAPPED"),"Unmapped",IF(F113=0,"Blank qty",IF(F113&lt;0,"Return","OK")))))</f>
        <v>OK</v>
      </c>
      <c r="L113" s="36" t="n">
        <f aca="false">IF(Raw_Export!$A113="","",IF(OR(K113="OK",K113="Return"),1,0))</f>
        <v>1</v>
      </c>
      <c r="M113" s="37" t="n">
        <f aca="false">IF(Raw_Export!$A113="","",B113-WEEKDAY(B113,2)+1)</f>
        <v>46265</v>
      </c>
    </row>
    <row r="114" customFormat="false" ht="15" hidden="false" customHeight="false" outlineLevel="0" collapsed="false">
      <c r="A114" s="36" t="str">
        <f aca="false">IF(Raw_Export!$A114="","",TRIM(Raw_Export!A114))</f>
        <v>TXN-100112</v>
      </c>
      <c r="B114" s="37" t="n">
        <f aca="false">IF(Raw_Export!$A114="","",IF(ISNUMBER(Raw_Export!B114),Raw_Export!B114,IF(MID(TRIM(Raw_Export!B114),5,1)="-",DATE(LEFT(TRIM(Raw_Export!B114),4),MID(TRIM(Raw_Export!B114),6,2),RIGHT(TRIM(Raw_Export!B114),2)),DATE(RIGHT(TRIM(Raw_Export!B114),4),MATCH(MID(TRIM(Raw_Export!B114),4,3),{"Jan","Feb","Mar","Apr","May","Jun","Jul","Aug","Sep","Oct","Nov","Dec"},0),LEFT(TRIM(Raw_Export!B114),2)))))</f>
        <v>46265</v>
      </c>
      <c r="C114" s="36" t="str">
        <f aca="false">IF(Raw_Export!$A114="","",IFERROR(VLOOKUP(LOWER(TRIM(Raw_Export!C114)),Maps!$A$2:$B$20,2,FALSE()),"UNMAPPED"))</f>
        <v>Nakuru</v>
      </c>
      <c r="D114" s="36" t="str">
        <f aca="false">IF(Raw_Export!$A114="","",IFERROR(VLOOKUP(LOWER(TRIM(Raw_Export!D114)),Maps!$G$2:$I$80,2,FALSE()),"UNMAPPED"))</f>
        <v>Bleach 1L</v>
      </c>
      <c r="E114" s="36" t="str">
        <f aca="false">IF(Raw_Export!$A114="","",IFERROR(VLOOKUP(LOWER(TRIM(Raw_Export!D114)),Maps!$G$2:$I$80,3,FALSE()),"UNMAPPED"))</f>
        <v>Household</v>
      </c>
      <c r="F114" s="36" t="n">
        <f aca="false">IF(Raw_Export!$A114="","",IFERROR(VALUE(TRIM(Raw_Export!E114)),0))</f>
        <v>2</v>
      </c>
      <c r="G114" s="38" t="n">
        <f aca="false">IF(Raw_Export!$A114="","",IFERROR(VALUE(SUBSTITUTE(SUBSTITUTE(UPPER(TRIM(Raw_Export!F114)),"KES",""),",","")),0))</f>
        <v>160</v>
      </c>
      <c r="H114" s="38" t="n">
        <f aca="false">IF(Raw_Export!$A114="","",F114*G114)</f>
        <v>320</v>
      </c>
      <c r="I114" s="36" t="str">
        <f aca="false">IF(Raw_Export!$A114="","",IFERROR(VLOOKUP(LOWER(TRIM(Raw_Export!H114)),Maps!$D$2:$E$12,2,FALSE()),"Other"))</f>
        <v>Cash</v>
      </c>
      <c r="J114" s="36" t="str">
        <f aca="false">IF(Raw_Export!$A114="","",IF(COUNTIF($A$2:A114,A114)&gt;1,"Duplicate",""))</f>
        <v/>
      </c>
      <c r="K114" s="36" t="str">
        <f aca="false">IF(Raw_Export!$A114="","",IF(J114="Duplicate","Duplicate",IF(OR(C114="UNMAPPED",D114="UNMAPPED"),"Unmapped",IF(F114=0,"Blank qty",IF(F114&lt;0,"Return","OK")))))</f>
        <v>OK</v>
      </c>
      <c r="L114" s="36" t="n">
        <f aca="false">IF(Raw_Export!$A114="","",IF(OR(K114="OK",K114="Return"),1,0))</f>
        <v>1</v>
      </c>
      <c r="M114" s="37" t="n">
        <f aca="false">IF(Raw_Export!$A114="","",B114-WEEKDAY(B114,2)+1)</f>
        <v>46265</v>
      </c>
    </row>
    <row r="115" customFormat="false" ht="15" hidden="false" customHeight="false" outlineLevel="0" collapsed="false">
      <c r="A115" s="36" t="str">
        <f aca="false">IF(Raw_Export!$A115="","",TRIM(Raw_Export!A115))</f>
        <v>TXN-100113</v>
      </c>
      <c r="B115" s="37" t="n">
        <f aca="false">IF(Raw_Export!$A115="","",IF(ISNUMBER(Raw_Export!B115),Raw_Export!B115,IF(MID(TRIM(Raw_Export!B115),5,1)="-",DATE(LEFT(TRIM(Raw_Export!B115),4),MID(TRIM(Raw_Export!B115),6,2),RIGHT(TRIM(Raw_Export!B115),2)),DATE(RIGHT(TRIM(Raw_Export!B115),4),MATCH(MID(TRIM(Raw_Export!B115),4,3),{"Jan","Feb","Mar","Apr","May","Jun","Jul","Aug","Sep","Oct","Nov","Dec"},0),LEFT(TRIM(Raw_Export!B115),2)))))</f>
        <v>46265</v>
      </c>
      <c r="C115" s="36" t="str">
        <f aca="false">IF(Raw_Export!$A115="","",IFERROR(VLOOKUP(LOWER(TRIM(Raw_Export!C115)),Maps!$A$2:$B$20,2,FALSE()),"UNMAPPED"))</f>
        <v>Nakuru</v>
      </c>
      <c r="D115" s="36" t="str">
        <f aca="false">IF(Raw_Export!$A115="","",IFERROR(VLOOKUP(LOWER(TRIM(Raw_Export!D115)),Maps!$G$2:$I$80,2,FALSE()),"UNMAPPED"))</f>
        <v>Tea Leaves 250g</v>
      </c>
      <c r="E115" s="36" t="str">
        <f aca="false">IF(Raw_Export!$A115="","",IFERROR(VLOOKUP(LOWER(TRIM(Raw_Export!D115)),Maps!$G$2:$I$80,3,FALSE()),"UNMAPPED"))</f>
        <v>Beverages</v>
      </c>
      <c r="F115" s="36" t="n">
        <f aca="false">IF(Raw_Export!$A115="","",IFERROR(VALUE(TRIM(Raw_Export!E115)),0))</f>
        <v>3</v>
      </c>
      <c r="G115" s="38" t="n">
        <f aca="false">IF(Raw_Export!$A115="","",IFERROR(VALUE(SUBSTITUTE(SUBSTITUTE(UPPER(TRIM(Raw_Export!F115)),"KES",""),",","")),0))</f>
        <v>150</v>
      </c>
      <c r="H115" s="38" t="n">
        <f aca="false">IF(Raw_Export!$A115="","",F115*G115)</f>
        <v>450</v>
      </c>
      <c r="I115" s="36" t="str">
        <f aca="false">IF(Raw_Export!$A115="","",IFERROR(VLOOKUP(LOWER(TRIM(Raw_Export!H115)),Maps!$D$2:$E$12,2,FALSE()),"Other"))</f>
        <v>Cash</v>
      </c>
      <c r="J115" s="36" t="str">
        <f aca="false">IF(Raw_Export!$A115="","",IF(COUNTIF($A$2:A115,A115)&gt;1,"Duplicate",""))</f>
        <v/>
      </c>
      <c r="K115" s="36" t="str">
        <f aca="false">IF(Raw_Export!$A115="","",IF(J115="Duplicate","Duplicate",IF(OR(C115="UNMAPPED",D115="UNMAPPED"),"Unmapped",IF(F115=0,"Blank qty",IF(F115&lt;0,"Return","OK")))))</f>
        <v>OK</v>
      </c>
      <c r="L115" s="36" t="n">
        <f aca="false">IF(Raw_Export!$A115="","",IF(OR(K115="OK",K115="Return"),1,0))</f>
        <v>1</v>
      </c>
      <c r="M115" s="37" t="n">
        <f aca="false">IF(Raw_Export!$A115="","",B115-WEEKDAY(B115,2)+1)</f>
        <v>46265</v>
      </c>
    </row>
    <row r="116" customFormat="false" ht="15" hidden="false" customHeight="false" outlineLevel="0" collapsed="false">
      <c r="A116" s="36" t="str">
        <f aca="false">IF(Raw_Export!$A116="","",TRIM(Raw_Export!A116))</f>
        <v>TXN-100114</v>
      </c>
      <c r="B116" s="37" t="n">
        <f aca="false">IF(Raw_Export!$A116="","",IF(ISNUMBER(Raw_Export!B116),Raw_Export!B116,IF(MID(TRIM(Raw_Export!B116),5,1)="-",DATE(LEFT(TRIM(Raw_Export!B116),4),MID(TRIM(Raw_Export!B116),6,2),RIGHT(TRIM(Raw_Export!B116),2)),DATE(RIGHT(TRIM(Raw_Export!B116),4),MATCH(MID(TRIM(Raw_Export!B116),4,3),{"Jan","Feb","Mar","Apr","May","Jun","Jul","Aug","Sep","Oct","Nov","Dec"},0),LEFT(TRIM(Raw_Export!B116),2)))))</f>
        <v>46265</v>
      </c>
      <c r="C116" s="36" t="str">
        <f aca="false">IF(Raw_Export!$A116="","",IFERROR(VLOOKUP(LOWER(TRIM(Raw_Export!C116)),Maps!$A$2:$B$20,2,FALSE()),"UNMAPPED"))</f>
        <v>Nakuru</v>
      </c>
      <c r="D116" s="36" t="str">
        <f aca="false">IF(Raw_Export!$A116="","",IFERROR(VLOOKUP(LOWER(TRIM(Raw_Export!D116)),Maps!$G$2:$I$80,2,FALSE()),"UNMAPPED"))</f>
        <v>Washing Powder 1kg</v>
      </c>
      <c r="E116" s="36" t="str">
        <f aca="false">IF(Raw_Export!$A116="","",IFERROR(VLOOKUP(LOWER(TRIM(Raw_Export!D116)),Maps!$G$2:$I$80,3,FALSE()),"UNMAPPED"))</f>
        <v>Household</v>
      </c>
      <c r="F116" s="36" t="n">
        <f aca="false">IF(Raw_Export!$A116="","",IFERROR(VALUE(TRIM(Raw_Export!E116)),0))</f>
        <v>-3</v>
      </c>
      <c r="G116" s="38" t="n">
        <f aca="false">IF(Raw_Export!$A116="","",IFERROR(VALUE(SUBSTITUTE(SUBSTITUTE(UPPER(TRIM(Raw_Export!F116)),"KES",""),",","")),0))</f>
        <v>280</v>
      </c>
      <c r="H116" s="38" t="n">
        <f aca="false">IF(Raw_Export!$A116="","",F116*G116)</f>
        <v>-840</v>
      </c>
      <c r="I116" s="36" t="str">
        <f aca="false">IF(Raw_Export!$A116="","",IFERROR(VLOOKUP(LOWER(TRIM(Raw_Export!H116)),Maps!$D$2:$E$12,2,FALSE()),"Other"))</f>
        <v>Cash</v>
      </c>
      <c r="J116" s="36" t="str">
        <f aca="false">IF(Raw_Export!$A116="","",IF(COUNTIF($A$2:A116,A116)&gt;1,"Duplicate",""))</f>
        <v/>
      </c>
      <c r="K116" s="36" t="str">
        <f aca="false">IF(Raw_Export!$A116="","",IF(J116="Duplicate","Duplicate",IF(OR(C116="UNMAPPED",D116="UNMAPPED"),"Unmapped",IF(F116=0,"Blank qty",IF(F116&lt;0,"Return","OK")))))</f>
        <v>Return</v>
      </c>
      <c r="L116" s="36" t="n">
        <f aca="false">IF(Raw_Export!$A116="","",IF(OR(K116="OK",K116="Return"),1,0))</f>
        <v>1</v>
      </c>
      <c r="M116" s="37" t="n">
        <f aca="false">IF(Raw_Export!$A116="","",B116-WEEKDAY(B116,2)+1)</f>
        <v>46265</v>
      </c>
    </row>
    <row r="117" customFormat="false" ht="15" hidden="false" customHeight="false" outlineLevel="0" collapsed="false">
      <c r="A117" s="36" t="str">
        <f aca="false">IF(Raw_Export!$A117="","",TRIM(Raw_Export!A117))</f>
        <v>TXN-100115</v>
      </c>
      <c r="B117" s="37" t="n">
        <f aca="false">IF(Raw_Export!$A117="","",IF(ISNUMBER(Raw_Export!B117),Raw_Export!B117,IF(MID(TRIM(Raw_Export!B117),5,1)="-",DATE(LEFT(TRIM(Raw_Export!B117),4),MID(TRIM(Raw_Export!B117),6,2),RIGHT(TRIM(Raw_Export!B117),2)),DATE(RIGHT(TRIM(Raw_Export!B117),4),MATCH(MID(TRIM(Raw_Export!B117),4,3),{"Jan","Feb","Mar","Apr","May","Jun","Jul","Aug","Sep","Oct","Nov","Dec"},0),LEFT(TRIM(Raw_Export!B117),2)))))</f>
        <v>46265</v>
      </c>
      <c r="C117" s="36" t="str">
        <f aca="false">IF(Raw_Export!$A117="","",IFERROR(VLOOKUP(LOWER(TRIM(Raw_Export!C117)),Maps!$A$2:$B$20,2,FALSE()),"UNMAPPED"))</f>
        <v>Nakuru</v>
      </c>
      <c r="D117" s="36" t="str">
        <f aca="false">IF(Raw_Export!$A117="","",IFERROR(VLOOKUP(LOWER(TRIM(Raw_Export!D117)),Maps!$G$2:$I$80,2,FALSE()),"UNMAPPED"))</f>
        <v>Body Lotion 400ml</v>
      </c>
      <c r="E117" s="36" t="str">
        <f aca="false">IF(Raw_Export!$A117="","",IFERROR(VLOOKUP(LOWER(TRIM(Raw_Export!D117)),Maps!$G$2:$I$80,3,FALSE()),"UNMAPPED"))</f>
        <v>Personal Care</v>
      </c>
      <c r="F117" s="36" t="n">
        <f aca="false">IF(Raw_Export!$A117="","",IFERROR(VALUE(TRIM(Raw_Export!E117)),0))</f>
        <v>1</v>
      </c>
      <c r="G117" s="38" t="n">
        <f aca="false">IF(Raw_Export!$A117="","",IFERROR(VALUE(SUBSTITUTE(SUBSTITUTE(UPPER(TRIM(Raw_Export!F117)),"KES",""),",","")),0))</f>
        <v>420</v>
      </c>
      <c r="H117" s="38" t="n">
        <f aca="false">IF(Raw_Export!$A117="","",F117*G117)</f>
        <v>420</v>
      </c>
      <c r="I117" s="36" t="str">
        <f aca="false">IF(Raw_Export!$A117="","",IFERROR(VLOOKUP(LOWER(TRIM(Raw_Export!H117)),Maps!$D$2:$E$12,2,FALSE()),"Other"))</f>
        <v>Cash</v>
      </c>
      <c r="J117" s="36" t="str">
        <f aca="false">IF(Raw_Export!$A117="","",IF(COUNTIF($A$2:A117,A117)&gt;1,"Duplicate",""))</f>
        <v/>
      </c>
      <c r="K117" s="36" t="str">
        <f aca="false">IF(Raw_Export!$A117="","",IF(J117="Duplicate","Duplicate",IF(OR(C117="UNMAPPED",D117="UNMAPPED"),"Unmapped",IF(F117=0,"Blank qty",IF(F117&lt;0,"Return","OK")))))</f>
        <v>OK</v>
      </c>
      <c r="L117" s="36" t="n">
        <f aca="false">IF(Raw_Export!$A117="","",IF(OR(K117="OK",K117="Return"),1,0))</f>
        <v>1</v>
      </c>
      <c r="M117" s="37" t="n">
        <f aca="false">IF(Raw_Export!$A117="","",B117-WEEKDAY(B117,2)+1)</f>
        <v>46265</v>
      </c>
    </row>
    <row r="118" customFormat="false" ht="15" hidden="false" customHeight="false" outlineLevel="0" collapsed="false">
      <c r="A118" s="36" t="str">
        <f aca="false">IF(Raw_Export!$A118="","",TRIM(Raw_Export!A118))</f>
        <v>TXN-100116</v>
      </c>
      <c r="B118" s="37" t="n">
        <f aca="false">IF(Raw_Export!$A118="","",IF(ISNUMBER(Raw_Export!B118),Raw_Export!B118,IF(MID(TRIM(Raw_Export!B118),5,1)="-",DATE(LEFT(TRIM(Raw_Export!B118),4),MID(TRIM(Raw_Export!B118),6,2),RIGHT(TRIM(Raw_Export!B118),2)),DATE(RIGHT(TRIM(Raw_Export!B118),4),MATCH(MID(TRIM(Raw_Export!B118),4,3),{"Jan","Feb","Mar","Apr","May","Jun","Jul","Aug","Sep","Oct","Nov","Dec"},0),LEFT(TRIM(Raw_Export!B118),2)))))</f>
        <v>46265</v>
      </c>
      <c r="C118" s="36" t="str">
        <f aca="false">IF(Raw_Export!$A118="","",IFERROR(VLOOKUP(LOWER(TRIM(Raw_Export!C118)),Maps!$A$2:$B$20,2,FALSE()),"UNMAPPED"))</f>
        <v>Nakuru</v>
      </c>
      <c r="D118" s="36" t="str">
        <f aca="false">IF(Raw_Export!$A118="","",IFERROR(VLOOKUP(LOWER(TRIM(Raw_Export!D118)),Maps!$G$2:$I$80,2,FALSE()),"UNMAPPED"))</f>
        <v>Cooking Oil 1L</v>
      </c>
      <c r="E118" s="36" t="str">
        <f aca="false">IF(Raw_Export!$A118="","",IFERROR(VLOOKUP(LOWER(TRIM(Raw_Export!D118)),Maps!$G$2:$I$80,3,FALSE()),"UNMAPPED"))</f>
        <v>Staples</v>
      </c>
      <c r="F118" s="36" t="n">
        <f aca="false">IF(Raw_Export!$A118="","",IFERROR(VALUE(TRIM(Raw_Export!E118)),0))</f>
        <v>6</v>
      </c>
      <c r="G118" s="38" t="n">
        <f aca="false">IF(Raw_Export!$A118="","",IFERROR(VALUE(SUBSTITUTE(SUBSTITUTE(UPPER(TRIM(Raw_Export!F118)),"KES",""),",","")),0))</f>
        <v>330</v>
      </c>
      <c r="H118" s="38" t="n">
        <f aca="false">IF(Raw_Export!$A118="","",F118*G118)</f>
        <v>1980</v>
      </c>
      <c r="I118" s="36" t="str">
        <f aca="false">IF(Raw_Export!$A118="","",IFERROR(VLOOKUP(LOWER(TRIM(Raw_Export!H118)),Maps!$D$2:$E$12,2,FALSE()),"Other"))</f>
        <v>Card</v>
      </c>
      <c r="J118" s="36" t="str">
        <f aca="false">IF(Raw_Export!$A118="","",IF(COUNTIF($A$2:A118,A118)&gt;1,"Duplicate",""))</f>
        <v/>
      </c>
      <c r="K118" s="36" t="str">
        <f aca="false">IF(Raw_Export!$A118="","",IF(J118="Duplicate","Duplicate",IF(OR(C118="UNMAPPED",D118="UNMAPPED"),"Unmapped",IF(F118=0,"Blank qty",IF(F118&lt;0,"Return","OK")))))</f>
        <v>OK</v>
      </c>
      <c r="L118" s="36" t="n">
        <f aca="false">IF(Raw_Export!$A118="","",IF(OR(K118="OK",K118="Return"),1,0))</f>
        <v>1</v>
      </c>
      <c r="M118" s="37" t="n">
        <f aca="false">IF(Raw_Export!$A118="","",B118-WEEKDAY(B118,2)+1)</f>
        <v>46265</v>
      </c>
    </row>
    <row r="119" customFormat="false" ht="15" hidden="false" customHeight="false" outlineLevel="0" collapsed="false">
      <c r="A119" s="36" t="str">
        <f aca="false">IF(Raw_Export!$A119="","",TRIM(Raw_Export!A119))</f>
        <v>TXN-100117</v>
      </c>
      <c r="B119" s="37" t="n">
        <f aca="false">IF(Raw_Export!$A119="","",IF(ISNUMBER(Raw_Export!B119),Raw_Export!B119,IF(MID(TRIM(Raw_Export!B119),5,1)="-",DATE(LEFT(TRIM(Raw_Export!B119),4),MID(TRIM(Raw_Export!B119),6,2),RIGHT(TRIM(Raw_Export!B119),2)),DATE(RIGHT(TRIM(Raw_Export!B119),4),MATCH(MID(TRIM(Raw_Export!B119),4,3),{"Jan","Feb","Mar","Apr","May","Jun","Jul","Aug","Sep","Oct","Nov","Dec"},0),LEFT(TRIM(Raw_Export!B119),2)))))</f>
        <v>46265</v>
      </c>
      <c r="C119" s="36" t="str">
        <f aca="false">IF(Raw_Export!$A119="","",IFERROR(VLOOKUP(LOWER(TRIM(Raw_Export!C119)),Maps!$A$2:$B$20,2,FALSE()),"UNMAPPED"))</f>
        <v>Nakuru</v>
      </c>
      <c r="D119" s="36" t="str">
        <f aca="false">IF(Raw_Export!$A119="","",IFERROR(VLOOKUP(LOWER(TRIM(Raw_Export!D119)),Maps!$G$2:$I$80,2,FALSE()),"UNMAPPED"))</f>
        <v>Tea Leaves 250g</v>
      </c>
      <c r="E119" s="36" t="str">
        <f aca="false">IF(Raw_Export!$A119="","",IFERROR(VLOOKUP(LOWER(TRIM(Raw_Export!D119)),Maps!$G$2:$I$80,3,FALSE()),"UNMAPPED"))</f>
        <v>Beverages</v>
      </c>
      <c r="F119" s="36" t="n">
        <f aca="false">IF(Raw_Export!$A119="","",IFERROR(VALUE(TRIM(Raw_Export!E119)),0))</f>
        <v>4</v>
      </c>
      <c r="G119" s="38" t="n">
        <f aca="false">IF(Raw_Export!$A119="","",IFERROR(VALUE(SUBSTITUTE(SUBSTITUTE(UPPER(TRIM(Raw_Export!F119)),"KES",""),",","")),0))</f>
        <v>150</v>
      </c>
      <c r="H119" s="38" t="n">
        <f aca="false">IF(Raw_Export!$A119="","",F119*G119)</f>
        <v>600</v>
      </c>
      <c r="I119" s="36" t="str">
        <f aca="false">IF(Raw_Export!$A119="","",IFERROR(VLOOKUP(LOWER(TRIM(Raw_Export!H119)),Maps!$D$2:$E$12,2,FALSE()),"Other"))</f>
        <v>Card</v>
      </c>
      <c r="J119" s="36" t="str">
        <f aca="false">IF(Raw_Export!$A119="","",IF(COUNTIF($A$2:A119,A119)&gt;1,"Duplicate",""))</f>
        <v/>
      </c>
      <c r="K119" s="36" t="str">
        <f aca="false">IF(Raw_Export!$A119="","",IF(J119="Duplicate","Duplicate",IF(OR(C119="UNMAPPED",D119="UNMAPPED"),"Unmapped",IF(F119=0,"Blank qty",IF(F119&lt;0,"Return","OK")))))</f>
        <v>OK</v>
      </c>
      <c r="L119" s="36" t="n">
        <f aca="false">IF(Raw_Export!$A119="","",IF(OR(K119="OK",K119="Return"),1,0))</f>
        <v>1</v>
      </c>
      <c r="M119" s="37" t="n">
        <f aca="false">IF(Raw_Export!$A119="","",B119-WEEKDAY(B119,2)+1)</f>
        <v>46265</v>
      </c>
    </row>
    <row r="120" customFormat="false" ht="15" hidden="false" customHeight="false" outlineLevel="0" collapsed="false">
      <c r="A120" s="36" t="str">
        <f aca="false">IF(Raw_Export!$A120="","",TRIM(Raw_Export!A120))</f>
        <v>TXN-100118</v>
      </c>
      <c r="B120" s="37" t="n">
        <f aca="false">IF(Raw_Export!$A120="","",IF(ISNUMBER(Raw_Export!B120),Raw_Export!B120,IF(MID(TRIM(Raw_Export!B120),5,1)="-",DATE(LEFT(TRIM(Raw_Export!B120),4),MID(TRIM(Raw_Export!B120),6,2),RIGHT(TRIM(Raw_Export!B120),2)),DATE(RIGHT(TRIM(Raw_Export!B120),4),MATCH(MID(TRIM(Raw_Export!B120),4,3),{"Jan","Feb","Mar","Apr","May","Jun","Jul","Aug","Sep","Oct","Nov","Dec"},0),LEFT(TRIM(Raw_Export!B120),2)))))</f>
        <v>46265</v>
      </c>
      <c r="C120" s="36" t="str">
        <f aca="false">IF(Raw_Export!$A120="","",IFERROR(VLOOKUP(LOWER(TRIM(Raw_Export!C120)),Maps!$A$2:$B$20,2,FALSE()),"UNMAPPED"))</f>
        <v>Nakuru</v>
      </c>
      <c r="D120" s="36" t="str">
        <f aca="false">IF(Raw_Export!$A120="","",IFERROR(VLOOKUP(LOWER(TRIM(Raw_Export!D120)),Maps!$G$2:$I$80,2,FALSE()),"UNMAPPED"))</f>
        <v>Fresh Milk 500ml</v>
      </c>
      <c r="E120" s="36" t="str">
        <f aca="false">IF(Raw_Export!$A120="","",IFERROR(VLOOKUP(LOWER(TRIM(Raw_Export!D120)),Maps!$G$2:$I$80,3,FALSE()),"UNMAPPED"))</f>
        <v>Dairy &amp; Eggs</v>
      </c>
      <c r="F120" s="36" t="n">
        <f aca="false">IF(Raw_Export!$A120="","",IFERROR(VALUE(TRIM(Raw_Export!E120)),0))</f>
        <v>1</v>
      </c>
      <c r="G120" s="38" t="n">
        <f aca="false">IF(Raw_Export!$A120="","",IFERROR(VALUE(SUBSTITUTE(SUBSTITUTE(UPPER(TRIM(Raw_Export!F120)),"KES",""),",","")),0))</f>
        <v>65</v>
      </c>
      <c r="H120" s="38" t="n">
        <f aca="false">IF(Raw_Export!$A120="","",F120*G120)</f>
        <v>65</v>
      </c>
      <c r="I120" s="36" t="str">
        <f aca="false">IF(Raw_Export!$A120="","",IFERROR(VLOOKUP(LOWER(TRIM(Raw_Export!H120)),Maps!$D$2:$E$12,2,FALSE()),"Other"))</f>
        <v>Card</v>
      </c>
      <c r="J120" s="36" t="str">
        <f aca="false">IF(Raw_Export!$A120="","",IF(COUNTIF($A$2:A120,A120)&gt;1,"Duplicate",""))</f>
        <v/>
      </c>
      <c r="K120" s="36" t="str">
        <f aca="false">IF(Raw_Export!$A120="","",IF(J120="Duplicate","Duplicate",IF(OR(C120="UNMAPPED",D120="UNMAPPED"),"Unmapped",IF(F120=0,"Blank qty",IF(F120&lt;0,"Return","OK")))))</f>
        <v>OK</v>
      </c>
      <c r="L120" s="36" t="n">
        <f aca="false">IF(Raw_Export!$A120="","",IF(OR(K120="OK",K120="Return"),1,0))</f>
        <v>1</v>
      </c>
      <c r="M120" s="37" t="n">
        <f aca="false">IF(Raw_Export!$A120="","",B120-WEEKDAY(B120,2)+1)</f>
        <v>46265</v>
      </c>
    </row>
    <row r="121" customFormat="false" ht="15" hidden="false" customHeight="false" outlineLevel="0" collapsed="false">
      <c r="A121" s="36" t="str">
        <f aca="false">IF(Raw_Export!$A121="","",TRIM(Raw_Export!A121))</f>
        <v>TXN-100119</v>
      </c>
      <c r="B121" s="37" t="n">
        <f aca="false">IF(Raw_Export!$A121="","",IF(ISNUMBER(Raw_Export!B121),Raw_Export!B121,IF(MID(TRIM(Raw_Export!B121),5,1)="-",DATE(LEFT(TRIM(Raw_Export!B121),4),MID(TRIM(Raw_Export!B121),6,2),RIGHT(TRIM(Raw_Export!B121),2)),DATE(RIGHT(TRIM(Raw_Export!B121),4),MATCH(MID(TRIM(Raw_Export!B121),4,3),{"Jan","Feb","Mar","Apr","May","Jun","Jul","Aug","Sep","Oct","Nov","Dec"},0),LEFT(TRIM(Raw_Export!B121),2)))))</f>
        <v>46265</v>
      </c>
      <c r="C121" s="36" t="str">
        <f aca="false">IF(Raw_Export!$A121="","",IFERROR(VLOOKUP(LOWER(TRIM(Raw_Export!C121)),Maps!$A$2:$B$20,2,FALSE()),"UNMAPPED"))</f>
        <v>Nakuru</v>
      </c>
      <c r="D121" s="36" t="str">
        <f aca="false">IF(Raw_Export!$A121="","",IFERROR(VLOOKUP(LOWER(TRIM(Raw_Export!D121)),Maps!$G$2:$I$80,2,FALSE()),"UNMAPPED"))</f>
        <v>Deodorant 150ml</v>
      </c>
      <c r="E121" s="36" t="str">
        <f aca="false">IF(Raw_Export!$A121="","",IFERROR(VLOOKUP(LOWER(TRIM(Raw_Export!D121)),Maps!$G$2:$I$80,3,FALSE()),"UNMAPPED"))</f>
        <v>Personal Care</v>
      </c>
      <c r="F121" s="36" t="n">
        <f aca="false">IF(Raw_Export!$A121="","",IFERROR(VALUE(TRIM(Raw_Export!E121)),0))</f>
        <v>1</v>
      </c>
      <c r="G121" s="38" t="n">
        <f aca="false">IF(Raw_Export!$A121="","",IFERROR(VALUE(SUBSTITUTE(SUBSTITUTE(UPPER(TRIM(Raw_Export!F121)),"KES",""),",","")),0))</f>
        <v>350</v>
      </c>
      <c r="H121" s="38" t="n">
        <f aca="false">IF(Raw_Export!$A121="","",F121*G121)</f>
        <v>350</v>
      </c>
      <c r="I121" s="36" t="str">
        <f aca="false">IF(Raw_Export!$A121="","",IFERROR(VLOOKUP(LOWER(TRIM(Raw_Export!H121)),Maps!$D$2:$E$12,2,FALSE()),"Other"))</f>
        <v>Cash</v>
      </c>
      <c r="J121" s="36" t="str">
        <f aca="false">IF(Raw_Export!$A121="","",IF(COUNTIF($A$2:A121,A121)&gt;1,"Duplicate",""))</f>
        <v/>
      </c>
      <c r="K121" s="36" t="str">
        <f aca="false">IF(Raw_Export!$A121="","",IF(J121="Duplicate","Duplicate",IF(OR(C121="UNMAPPED",D121="UNMAPPED"),"Unmapped",IF(F121=0,"Blank qty",IF(F121&lt;0,"Return","OK")))))</f>
        <v>OK</v>
      </c>
      <c r="L121" s="36" t="n">
        <f aca="false">IF(Raw_Export!$A121="","",IF(OR(K121="OK",K121="Return"),1,0))</f>
        <v>1</v>
      </c>
      <c r="M121" s="37" t="n">
        <f aca="false">IF(Raw_Export!$A121="","",B121-WEEKDAY(B121,2)+1)</f>
        <v>46265</v>
      </c>
    </row>
    <row r="122" customFormat="false" ht="15" hidden="false" customHeight="false" outlineLevel="0" collapsed="false">
      <c r="A122" s="36" t="str">
        <f aca="false">IF(Raw_Export!$A122="","",TRIM(Raw_Export!A122))</f>
        <v>TXN-100120</v>
      </c>
      <c r="B122" s="37" t="n">
        <f aca="false">IF(Raw_Export!$A122="","",IF(ISNUMBER(Raw_Export!B122),Raw_Export!B122,IF(MID(TRIM(Raw_Export!B122),5,1)="-",DATE(LEFT(TRIM(Raw_Export!B122),4),MID(TRIM(Raw_Export!B122),6,2),RIGHT(TRIM(Raw_Export!B122),2)),DATE(RIGHT(TRIM(Raw_Export!B122),4),MATCH(MID(TRIM(Raw_Export!B122),4,3),{"Jan","Feb","Mar","Apr","May","Jun","Jul","Aug","Sep","Oct","Nov","Dec"},0),LEFT(TRIM(Raw_Export!B122),2)))))</f>
        <v>46265</v>
      </c>
      <c r="C122" s="36" t="str">
        <f aca="false">IF(Raw_Export!$A122="","",IFERROR(VLOOKUP(LOWER(TRIM(Raw_Export!C122)),Maps!$A$2:$B$20,2,FALSE()),"UNMAPPED"))</f>
        <v>Nakuru</v>
      </c>
      <c r="D122" s="36" t="str">
        <f aca="false">IF(Raw_Export!$A122="","",IFERROR(VLOOKUP(LOWER(TRIM(Raw_Export!D122)),Maps!$G$2:$I$80,2,FALSE()),"UNMAPPED"))</f>
        <v>Spaghetti 400g</v>
      </c>
      <c r="E122" s="36" t="str">
        <f aca="false">IF(Raw_Export!$A122="","",IFERROR(VLOOKUP(LOWER(TRIM(Raw_Export!D122)),Maps!$G$2:$I$80,3,FALSE()),"UNMAPPED"))</f>
        <v>Staples</v>
      </c>
      <c r="F122" s="36" t="n">
        <f aca="false">IF(Raw_Export!$A122="","",IFERROR(VALUE(TRIM(Raw_Export!E122)),0))</f>
        <v>6</v>
      </c>
      <c r="G122" s="38" t="n">
        <f aca="false">IF(Raw_Export!$A122="","",IFERROR(VALUE(SUBSTITUTE(SUBSTITUTE(UPPER(TRIM(Raw_Export!F122)),"KES",""),",","")),0))</f>
        <v>110</v>
      </c>
      <c r="H122" s="38" t="n">
        <f aca="false">IF(Raw_Export!$A122="","",F122*G122)</f>
        <v>660</v>
      </c>
      <c r="I122" s="36" t="str">
        <f aca="false">IF(Raw_Export!$A122="","",IFERROR(VLOOKUP(LOWER(TRIM(Raw_Export!H122)),Maps!$D$2:$E$12,2,FALSE()),"Other"))</f>
        <v>Card</v>
      </c>
      <c r="J122" s="36" t="str">
        <f aca="false">IF(Raw_Export!$A122="","",IF(COUNTIF($A$2:A122,A122)&gt;1,"Duplicate",""))</f>
        <v/>
      </c>
      <c r="K122" s="36" t="str">
        <f aca="false">IF(Raw_Export!$A122="","",IF(J122="Duplicate","Duplicate",IF(OR(C122="UNMAPPED",D122="UNMAPPED"),"Unmapped",IF(F122=0,"Blank qty",IF(F122&lt;0,"Return","OK")))))</f>
        <v>OK</v>
      </c>
      <c r="L122" s="36" t="n">
        <f aca="false">IF(Raw_Export!$A122="","",IF(OR(K122="OK",K122="Return"),1,0))</f>
        <v>1</v>
      </c>
      <c r="M122" s="37" t="n">
        <f aca="false">IF(Raw_Export!$A122="","",B122-WEEKDAY(B122,2)+1)</f>
        <v>46265</v>
      </c>
    </row>
    <row r="123" customFormat="false" ht="15" hidden="false" customHeight="false" outlineLevel="0" collapsed="false">
      <c r="A123" s="36" t="str">
        <f aca="false">IF(Raw_Export!$A123="","",TRIM(Raw_Export!A123))</f>
        <v>TXN-100121</v>
      </c>
      <c r="B123" s="37" t="n">
        <f aca="false">IF(Raw_Export!$A123="","",IF(ISNUMBER(Raw_Export!B123),Raw_Export!B123,IF(MID(TRIM(Raw_Export!B123),5,1)="-",DATE(LEFT(TRIM(Raw_Export!B123),4),MID(TRIM(Raw_Export!B123),6,2),RIGHT(TRIM(Raw_Export!B123),2)),DATE(RIGHT(TRIM(Raw_Export!B123),4),MATCH(MID(TRIM(Raw_Export!B123),4,3),{"Jan","Feb","Mar","Apr","May","Jun","Jul","Aug","Sep","Oct","Nov","Dec"},0),LEFT(TRIM(Raw_Export!B123),2)))))</f>
        <v>46265</v>
      </c>
      <c r="C123" s="36" t="str">
        <f aca="false">IF(Raw_Export!$A123="","",IFERROR(VLOOKUP(LOWER(TRIM(Raw_Export!C123)),Maps!$A$2:$B$20,2,FALSE()),"UNMAPPED"))</f>
        <v>Nakuru</v>
      </c>
      <c r="D123" s="36" t="str">
        <f aca="false">IF(Raw_Export!$A123="","",IFERROR(VLOOKUP(LOWER(TRIM(Raw_Export!D123)),Maps!$G$2:$I$80,2,FALSE()),"UNMAPPED"))</f>
        <v>Juice 1L</v>
      </c>
      <c r="E123" s="36" t="str">
        <f aca="false">IF(Raw_Export!$A123="","",IFERROR(VLOOKUP(LOWER(TRIM(Raw_Export!D123)),Maps!$G$2:$I$80,3,FALSE()),"UNMAPPED"))</f>
        <v>Beverages</v>
      </c>
      <c r="F123" s="36" t="n">
        <f aca="false">IF(Raw_Export!$A123="","",IFERROR(VALUE(TRIM(Raw_Export!E123)),0))</f>
        <v>2</v>
      </c>
      <c r="G123" s="38" t="n">
        <f aca="false">IF(Raw_Export!$A123="","",IFERROR(VALUE(SUBSTITUTE(SUBSTITUTE(UPPER(TRIM(Raw_Export!F123)),"KES",""),",","")),0))</f>
        <v>210</v>
      </c>
      <c r="H123" s="38" t="n">
        <f aca="false">IF(Raw_Export!$A123="","",F123*G123)</f>
        <v>420</v>
      </c>
      <c r="I123" s="36" t="str">
        <f aca="false">IF(Raw_Export!$A123="","",IFERROR(VLOOKUP(LOWER(TRIM(Raw_Export!H123)),Maps!$D$2:$E$12,2,FALSE()),"Other"))</f>
        <v>M-Pesa</v>
      </c>
      <c r="J123" s="36" t="str">
        <f aca="false">IF(Raw_Export!$A123="","",IF(COUNTIF($A$2:A123,A123)&gt;1,"Duplicate",""))</f>
        <v/>
      </c>
      <c r="K123" s="36" t="str">
        <f aca="false">IF(Raw_Export!$A123="","",IF(J123="Duplicate","Duplicate",IF(OR(C123="UNMAPPED",D123="UNMAPPED"),"Unmapped",IF(F123=0,"Blank qty",IF(F123&lt;0,"Return","OK")))))</f>
        <v>OK</v>
      </c>
      <c r="L123" s="36" t="n">
        <f aca="false">IF(Raw_Export!$A123="","",IF(OR(K123="OK",K123="Return"),1,0))</f>
        <v>1</v>
      </c>
      <c r="M123" s="37" t="n">
        <f aca="false">IF(Raw_Export!$A123="","",B123-WEEKDAY(B123,2)+1)</f>
        <v>46265</v>
      </c>
    </row>
    <row r="124" customFormat="false" ht="15" hidden="false" customHeight="false" outlineLevel="0" collapsed="false">
      <c r="A124" s="36" t="str">
        <f aca="false">IF(Raw_Export!$A124="","",TRIM(Raw_Export!A124))</f>
        <v>TXN-100122</v>
      </c>
      <c r="B124" s="37" t="n">
        <f aca="false">IF(Raw_Export!$A124="","",IF(ISNUMBER(Raw_Export!B124),Raw_Export!B124,IF(MID(TRIM(Raw_Export!B124),5,1)="-",DATE(LEFT(TRIM(Raw_Export!B124),4),MID(TRIM(Raw_Export!B124),6,2),RIGHT(TRIM(Raw_Export!B124),2)),DATE(RIGHT(TRIM(Raw_Export!B124),4),MATCH(MID(TRIM(Raw_Export!B124),4,3),{"Jan","Feb","Mar","Apr","May","Jun","Jul","Aug","Sep","Oct","Nov","Dec"},0),LEFT(TRIM(Raw_Export!B124),2)))))</f>
        <v>46265</v>
      </c>
      <c r="C124" s="36" t="str">
        <f aca="false">IF(Raw_Export!$A124="","",IFERROR(VLOOKUP(LOWER(TRIM(Raw_Export!C124)),Maps!$A$2:$B$20,2,FALSE()),"UNMAPPED"))</f>
        <v>Nakuru</v>
      </c>
      <c r="D124" s="36" t="str">
        <f aca="false">IF(Raw_Export!$A124="","",IFERROR(VLOOKUP(LOWER(TRIM(Raw_Export!D124)),Maps!$G$2:$I$80,2,FALSE()),"UNMAPPED"))</f>
        <v>Soda 500ml</v>
      </c>
      <c r="E124" s="36" t="str">
        <f aca="false">IF(Raw_Export!$A124="","",IFERROR(VLOOKUP(LOWER(TRIM(Raw_Export!D124)),Maps!$G$2:$I$80,3,FALSE()),"UNMAPPED"))</f>
        <v>Beverages</v>
      </c>
      <c r="F124" s="36" t="n">
        <f aca="false">IF(Raw_Export!$A124="","",IFERROR(VALUE(TRIM(Raw_Export!E124)),0))</f>
        <v>6</v>
      </c>
      <c r="G124" s="38" t="n">
        <f aca="false">IF(Raw_Export!$A124="","",IFERROR(VALUE(SUBSTITUTE(SUBSTITUTE(UPPER(TRIM(Raw_Export!F124)),"KES",""),",","")),0))</f>
        <v>60</v>
      </c>
      <c r="H124" s="38" t="n">
        <f aca="false">IF(Raw_Export!$A124="","",F124*G124)</f>
        <v>360</v>
      </c>
      <c r="I124" s="36" t="str">
        <f aca="false">IF(Raw_Export!$A124="","",IFERROR(VLOOKUP(LOWER(TRIM(Raw_Export!H124)),Maps!$D$2:$E$12,2,FALSE()),"Other"))</f>
        <v>M-Pesa</v>
      </c>
      <c r="J124" s="36" t="str">
        <f aca="false">IF(Raw_Export!$A124="","",IF(COUNTIF($A$2:A124,A124)&gt;1,"Duplicate",""))</f>
        <v/>
      </c>
      <c r="K124" s="36" t="str">
        <f aca="false">IF(Raw_Export!$A124="","",IF(J124="Duplicate","Duplicate",IF(OR(C124="UNMAPPED",D124="UNMAPPED"),"Unmapped",IF(F124=0,"Blank qty",IF(F124&lt;0,"Return","OK")))))</f>
        <v>OK</v>
      </c>
      <c r="L124" s="36" t="n">
        <f aca="false">IF(Raw_Export!$A124="","",IF(OR(K124="OK",K124="Return"),1,0))</f>
        <v>1</v>
      </c>
      <c r="M124" s="37" t="n">
        <f aca="false">IF(Raw_Export!$A124="","",B124-WEEKDAY(B124,2)+1)</f>
        <v>46265</v>
      </c>
    </row>
    <row r="125" customFormat="false" ht="15" hidden="false" customHeight="false" outlineLevel="0" collapsed="false">
      <c r="A125" s="36" t="str">
        <f aca="false">IF(Raw_Export!$A125="","",TRIM(Raw_Export!A125))</f>
        <v>TXN-100123</v>
      </c>
      <c r="B125" s="37" t="n">
        <f aca="false">IF(Raw_Export!$A125="","",IF(ISNUMBER(Raw_Export!B125),Raw_Export!B125,IF(MID(TRIM(Raw_Export!B125),5,1)="-",DATE(LEFT(TRIM(Raw_Export!B125),4),MID(TRIM(Raw_Export!B125),6,2),RIGHT(TRIM(Raw_Export!B125),2)),DATE(RIGHT(TRIM(Raw_Export!B125),4),MATCH(MID(TRIM(Raw_Export!B125),4,3),{"Jan","Feb","Mar","Apr","May","Jun","Jul","Aug","Sep","Oct","Nov","Dec"},0),LEFT(TRIM(Raw_Export!B125),2)))))</f>
        <v>46265</v>
      </c>
      <c r="C125" s="36" t="str">
        <f aca="false">IF(Raw_Export!$A125="","",IFERROR(VLOOKUP(LOWER(TRIM(Raw_Export!C125)),Maps!$A$2:$B$20,2,FALSE()),"UNMAPPED"))</f>
        <v>Nakuru</v>
      </c>
      <c r="D125" s="36" t="str">
        <f aca="false">IF(Raw_Export!$A125="","",IFERROR(VLOOKUP(LOWER(TRIM(Raw_Export!D125)),Maps!$G$2:$I$80,2,FALSE()),"UNMAPPED"))</f>
        <v>Cooking Oil 1L</v>
      </c>
      <c r="E125" s="36" t="str">
        <f aca="false">IF(Raw_Export!$A125="","",IFERROR(VLOOKUP(LOWER(TRIM(Raw_Export!D125)),Maps!$G$2:$I$80,3,FALSE()),"UNMAPPED"))</f>
        <v>Staples</v>
      </c>
      <c r="F125" s="36" t="n">
        <f aca="false">IF(Raw_Export!$A125="","",IFERROR(VALUE(TRIM(Raw_Export!E125)),0))</f>
        <v>2</v>
      </c>
      <c r="G125" s="38" t="n">
        <f aca="false">IF(Raw_Export!$A125="","",IFERROR(VALUE(SUBSTITUTE(SUBSTITUTE(UPPER(TRIM(Raw_Export!F125)),"KES",""),",","")),0))</f>
        <v>330</v>
      </c>
      <c r="H125" s="38" t="n">
        <f aca="false">IF(Raw_Export!$A125="","",F125*G125)</f>
        <v>660</v>
      </c>
      <c r="I125" s="36" t="str">
        <f aca="false">IF(Raw_Export!$A125="","",IFERROR(VLOOKUP(LOWER(TRIM(Raw_Export!H125)),Maps!$D$2:$E$12,2,FALSE()),"Other"))</f>
        <v>Cash</v>
      </c>
      <c r="J125" s="36" t="str">
        <f aca="false">IF(Raw_Export!$A125="","",IF(COUNTIF($A$2:A125,A125)&gt;1,"Duplicate",""))</f>
        <v/>
      </c>
      <c r="K125" s="36" t="str">
        <f aca="false">IF(Raw_Export!$A125="","",IF(J125="Duplicate","Duplicate",IF(OR(C125="UNMAPPED",D125="UNMAPPED"),"Unmapped",IF(F125=0,"Blank qty",IF(F125&lt;0,"Return","OK")))))</f>
        <v>OK</v>
      </c>
      <c r="L125" s="36" t="n">
        <f aca="false">IF(Raw_Export!$A125="","",IF(OR(K125="OK",K125="Return"),1,0))</f>
        <v>1</v>
      </c>
      <c r="M125" s="37" t="n">
        <f aca="false">IF(Raw_Export!$A125="","",B125-WEEKDAY(B125,2)+1)</f>
        <v>46265</v>
      </c>
    </row>
    <row r="126" customFormat="false" ht="15" hidden="false" customHeight="false" outlineLevel="0" collapsed="false">
      <c r="A126" s="36" t="str">
        <f aca="false">IF(Raw_Export!$A126="","",TRIM(Raw_Export!A126))</f>
        <v>TXN-100124</v>
      </c>
      <c r="B126" s="37" t="n">
        <f aca="false">IF(Raw_Export!$A126="","",IF(ISNUMBER(Raw_Export!B126),Raw_Export!B126,IF(MID(TRIM(Raw_Export!B126),5,1)="-",DATE(LEFT(TRIM(Raw_Export!B126),4),MID(TRIM(Raw_Export!B126),6,2),RIGHT(TRIM(Raw_Export!B126),2)),DATE(RIGHT(TRIM(Raw_Export!B126),4),MATCH(MID(TRIM(Raw_Export!B126),4,3),{"Jan","Feb","Mar","Apr","May","Jun","Jul","Aug","Sep","Oct","Nov","Dec"},0),LEFT(TRIM(Raw_Export!B126),2)))))</f>
        <v>46265</v>
      </c>
      <c r="C126" s="36" t="str">
        <f aca="false">IF(Raw_Export!$A126="","",IFERROR(VLOOKUP(LOWER(TRIM(Raw_Export!C126)),Maps!$A$2:$B$20,2,FALSE()),"UNMAPPED"))</f>
        <v>Nakuru</v>
      </c>
      <c r="D126" s="36" t="str">
        <f aca="false">IF(Raw_Export!$A126="","",IFERROR(VLOOKUP(LOWER(TRIM(Raw_Export!D126)),Maps!$G$2:$I$80,2,FALSE()),"UNMAPPED"))</f>
        <v>Eggs Tray 30</v>
      </c>
      <c r="E126" s="36" t="str">
        <f aca="false">IF(Raw_Export!$A126="","",IFERROR(VLOOKUP(LOWER(TRIM(Raw_Export!D126)),Maps!$G$2:$I$80,3,FALSE()),"UNMAPPED"))</f>
        <v>Dairy &amp; Eggs</v>
      </c>
      <c r="F126" s="36" t="n">
        <f aca="false">IF(Raw_Export!$A126="","",IFERROR(VALUE(TRIM(Raw_Export!E126)),0))</f>
        <v>3</v>
      </c>
      <c r="G126" s="38" t="n">
        <f aca="false">IF(Raw_Export!$A126="","",IFERROR(VALUE(SUBSTITUTE(SUBSTITUTE(UPPER(TRIM(Raw_Export!F126)),"KES",""),",","")),0))</f>
        <v>450</v>
      </c>
      <c r="H126" s="38" t="n">
        <f aca="false">IF(Raw_Export!$A126="","",F126*G126)</f>
        <v>1350</v>
      </c>
      <c r="I126" s="36" t="str">
        <f aca="false">IF(Raw_Export!$A126="","",IFERROR(VLOOKUP(LOWER(TRIM(Raw_Export!H126)),Maps!$D$2:$E$12,2,FALSE()),"Other"))</f>
        <v>Cash</v>
      </c>
      <c r="J126" s="36" t="str">
        <f aca="false">IF(Raw_Export!$A126="","",IF(COUNTIF($A$2:A126,A126)&gt;1,"Duplicate",""))</f>
        <v/>
      </c>
      <c r="K126" s="36" t="str">
        <f aca="false">IF(Raw_Export!$A126="","",IF(J126="Duplicate","Duplicate",IF(OR(C126="UNMAPPED",D126="UNMAPPED"),"Unmapped",IF(F126=0,"Blank qty",IF(F126&lt;0,"Return","OK")))))</f>
        <v>OK</v>
      </c>
      <c r="L126" s="36" t="n">
        <f aca="false">IF(Raw_Export!$A126="","",IF(OR(K126="OK",K126="Return"),1,0))</f>
        <v>1</v>
      </c>
      <c r="M126" s="37" t="n">
        <f aca="false">IF(Raw_Export!$A126="","",B126-WEEKDAY(B126,2)+1)</f>
        <v>46265</v>
      </c>
    </row>
    <row r="127" customFormat="false" ht="15" hidden="false" customHeight="false" outlineLevel="0" collapsed="false">
      <c r="A127" s="36" t="str">
        <f aca="false">IF(Raw_Export!$A127="","",TRIM(Raw_Export!A127))</f>
        <v>TXN-100125</v>
      </c>
      <c r="B127" s="37" t="n">
        <f aca="false">IF(Raw_Export!$A127="","",IF(ISNUMBER(Raw_Export!B127),Raw_Export!B127,IF(MID(TRIM(Raw_Export!B127),5,1)="-",DATE(LEFT(TRIM(Raw_Export!B127),4),MID(TRIM(Raw_Export!B127),6,2),RIGHT(TRIM(Raw_Export!B127),2)),DATE(RIGHT(TRIM(Raw_Export!B127),4),MATCH(MID(TRIM(Raw_Export!B127),4,3),{"Jan","Feb","Mar","Apr","May","Jun","Jul","Aug","Sep","Oct","Nov","Dec"},0),LEFT(TRIM(Raw_Export!B127),2)))))</f>
        <v>46265</v>
      </c>
      <c r="C127" s="36" t="str">
        <f aca="false">IF(Raw_Export!$A127="","",IFERROR(VLOOKUP(LOWER(TRIM(Raw_Export!C127)),Maps!$A$2:$B$20,2,FALSE()),"UNMAPPED"))</f>
        <v>Nakuru</v>
      </c>
      <c r="D127" s="36" t="str">
        <f aca="false">IF(Raw_Export!$A127="","",IFERROR(VLOOKUP(LOWER(TRIM(Raw_Export!D127)),Maps!$G$2:$I$80,2,FALSE()),"UNMAPPED"))</f>
        <v>Bath Soap 175g</v>
      </c>
      <c r="E127" s="36" t="str">
        <f aca="false">IF(Raw_Export!$A127="","",IFERROR(VLOOKUP(LOWER(TRIM(Raw_Export!D127)),Maps!$G$2:$I$80,3,FALSE()),"UNMAPPED"))</f>
        <v>Personal Care</v>
      </c>
      <c r="F127" s="36" t="n">
        <f aca="false">IF(Raw_Export!$A127="","",IFERROR(VALUE(TRIM(Raw_Export!E127)),0))</f>
        <v>1</v>
      </c>
      <c r="G127" s="38" t="n">
        <f aca="false">IF(Raw_Export!$A127="","",IFERROR(VALUE(SUBSTITUTE(SUBSTITUTE(UPPER(TRIM(Raw_Export!F127)),"KES",""),",","")),0))</f>
        <v>76</v>
      </c>
      <c r="H127" s="38" t="n">
        <f aca="false">IF(Raw_Export!$A127="","",F127*G127)</f>
        <v>76</v>
      </c>
      <c r="I127" s="36" t="str">
        <f aca="false">IF(Raw_Export!$A127="","",IFERROR(VLOOKUP(LOWER(TRIM(Raw_Export!H127)),Maps!$D$2:$E$12,2,FALSE()),"Other"))</f>
        <v>M-Pesa</v>
      </c>
      <c r="J127" s="36" t="str">
        <f aca="false">IF(Raw_Export!$A127="","",IF(COUNTIF($A$2:A127,A127)&gt;1,"Duplicate",""))</f>
        <v/>
      </c>
      <c r="K127" s="36" t="str">
        <f aca="false">IF(Raw_Export!$A127="","",IF(J127="Duplicate","Duplicate",IF(OR(C127="UNMAPPED",D127="UNMAPPED"),"Unmapped",IF(F127=0,"Blank qty",IF(F127&lt;0,"Return","OK")))))</f>
        <v>OK</v>
      </c>
      <c r="L127" s="36" t="n">
        <f aca="false">IF(Raw_Export!$A127="","",IF(OR(K127="OK",K127="Return"),1,0))</f>
        <v>1</v>
      </c>
      <c r="M127" s="37" t="n">
        <f aca="false">IF(Raw_Export!$A127="","",B127-WEEKDAY(B127,2)+1)</f>
        <v>46265</v>
      </c>
    </row>
    <row r="128" customFormat="false" ht="15" hidden="false" customHeight="false" outlineLevel="0" collapsed="false">
      <c r="A128" s="36" t="str">
        <f aca="false">IF(Raw_Export!$A128="","",TRIM(Raw_Export!A128))</f>
        <v>TXN-100126</v>
      </c>
      <c r="B128" s="37" t="n">
        <f aca="false">IF(Raw_Export!$A128="","",IF(ISNUMBER(Raw_Export!B128),Raw_Export!B128,IF(MID(TRIM(Raw_Export!B128),5,1)="-",DATE(LEFT(TRIM(Raw_Export!B128),4),MID(TRIM(Raw_Export!B128),6,2),RIGHT(TRIM(Raw_Export!B128),2)),DATE(RIGHT(TRIM(Raw_Export!B128),4),MATCH(MID(TRIM(Raw_Export!B128),4,3),{"Jan","Feb","Mar","Apr","May","Jun","Jul","Aug","Sep","Oct","Nov","Dec"},0),LEFT(TRIM(Raw_Export!B128),2)))))</f>
        <v>46266</v>
      </c>
      <c r="C128" s="36" t="str">
        <f aca="false">IF(Raw_Export!$A128="","",IFERROR(VLOOKUP(LOWER(TRIM(Raw_Export!C128)),Maps!$A$2:$B$20,2,FALSE()),"UNMAPPED"))</f>
        <v>Nairobi CBD</v>
      </c>
      <c r="D128" s="36" t="str">
        <f aca="false">IF(Raw_Export!$A128="","",IFERROR(VLOOKUP(LOWER(TRIM(Raw_Export!D128)),Maps!$G$2:$I$80,2,FALSE()),"UNMAPPED"))</f>
        <v>Fresh Milk 500ml</v>
      </c>
      <c r="E128" s="36" t="str">
        <f aca="false">IF(Raw_Export!$A128="","",IFERROR(VLOOKUP(LOWER(TRIM(Raw_Export!D128)),Maps!$G$2:$I$80,3,FALSE()),"UNMAPPED"))</f>
        <v>Dairy &amp; Eggs</v>
      </c>
      <c r="F128" s="36" t="n">
        <f aca="false">IF(Raw_Export!$A128="","",IFERROR(VALUE(TRIM(Raw_Export!E128)),0))</f>
        <v>1</v>
      </c>
      <c r="G128" s="38" t="n">
        <f aca="false">IF(Raw_Export!$A128="","",IFERROR(VALUE(SUBSTITUTE(SUBSTITUTE(UPPER(TRIM(Raw_Export!F128)),"KES",""),",","")),0))</f>
        <v>65</v>
      </c>
      <c r="H128" s="38" t="n">
        <f aca="false">IF(Raw_Export!$A128="","",F128*G128)</f>
        <v>65</v>
      </c>
      <c r="I128" s="36" t="str">
        <f aca="false">IF(Raw_Export!$A128="","",IFERROR(VLOOKUP(LOWER(TRIM(Raw_Export!H128)),Maps!$D$2:$E$12,2,FALSE()),"Other"))</f>
        <v>Cash</v>
      </c>
      <c r="J128" s="36" t="str">
        <f aca="false">IF(Raw_Export!$A128="","",IF(COUNTIF($A$2:A128,A128)&gt;1,"Duplicate",""))</f>
        <v/>
      </c>
      <c r="K128" s="36" t="str">
        <f aca="false">IF(Raw_Export!$A128="","",IF(J128="Duplicate","Duplicate",IF(OR(C128="UNMAPPED",D128="UNMAPPED"),"Unmapped",IF(F128=0,"Blank qty",IF(F128&lt;0,"Return","OK")))))</f>
        <v>OK</v>
      </c>
      <c r="L128" s="36" t="n">
        <f aca="false">IF(Raw_Export!$A128="","",IF(OR(K128="OK",K128="Return"),1,0))</f>
        <v>1</v>
      </c>
      <c r="M128" s="37" t="n">
        <f aca="false">IF(Raw_Export!$A128="","",B128-WEEKDAY(B128,2)+1)</f>
        <v>46265</v>
      </c>
    </row>
    <row r="129" customFormat="false" ht="15" hidden="false" customHeight="false" outlineLevel="0" collapsed="false">
      <c r="A129" s="36" t="str">
        <f aca="false">IF(Raw_Export!$A129="","",TRIM(Raw_Export!A129))</f>
        <v>TXN-100127</v>
      </c>
      <c r="B129" s="37" t="n">
        <f aca="false">IF(Raw_Export!$A129="","",IF(ISNUMBER(Raw_Export!B129),Raw_Export!B129,IF(MID(TRIM(Raw_Export!B129),5,1)="-",DATE(LEFT(TRIM(Raw_Export!B129),4),MID(TRIM(Raw_Export!B129),6,2),RIGHT(TRIM(Raw_Export!B129),2)),DATE(RIGHT(TRIM(Raw_Export!B129),4),MATCH(MID(TRIM(Raw_Export!B129),4,3),{"Jan","Feb","Mar","Apr","May","Jun","Jul","Aug","Sep","Oct","Nov","Dec"},0),LEFT(TRIM(Raw_Export!B129),2)))))</f>
        <v>46266</v>
      </c>
      <c r="C129" s="36" t="str">
        <f aca="false">IF(Raw_Export!$A129="","",IFERROR(VLOOKUP(LOWER(TRIM(Raw_Export!C129)),Maps!$A$2:$B$20,2,FALSE()),"UNMAPPED"))</f>
        <v>Nairobi CBD</v>
      </c>
      <c r="D129" s="36" t="str">
        <f aca="false">IF(Raw_Export!$A129="","",IFERROR(VLOOKUP(LOWER(TRIM(Raw_Export!D129)),Maps!$G$2:$I$80,2,FALSE()),"UNMAPPED"))</f>
        <v>Cooking Oil 1L</v>
      </c>
      <c r="E129" s="36" t="str">
        <f aca="false">IF(Raw_Export!$A129="","",IFERROR(VLOOKUP(LOWER(TRIM(Raw_Export!D129)),Maps!$G$2:$I$80,3,FALSE()),"UNMAPPED"))</f>
        <v>Staples</v>
      </c>
      <c r="F129" s="36" t="n">
        <f aca="false">IF(Raw_Export!$A129="","",IFERROR(VALUE(TRIM(Raw_Export!E129)),0))</f>
        <v>2</v>
      </c>
      <c r="G129" s="38" t="n">
        <f aca="false">IF(Raw_Export!$A129="","",IFERROR(VALUE(SUBSTITUTE(SUBSTITUTE(UPPER(TRIM(Raw_Export!F129)),"KES",""),",","")),0))</f>
        <v>330</v>
      </c>
      <c r="H129" s="38" t="n">
        <f aca="false">IF(Raw_Export!$A129="","",F129*G129)</f>
        <v>660</v>
      </c>
      <c r="I129" s="36" t="str">
        <f aca="false">IF(Raw_Export!$A129="","",IFERROR(VLOOKUP(LOWER(TRIM(Raw_Export!H129)),Maps!$D$2:$E$12,2,FALSE()),"Other"))</f>
        <v>M-Pesa</v>
      </c>
      <c r="J129" s="36" t="str">
        <f aca="false">IF(Raw_Export!$A129="","",IF(COUNTIF($A$2:A129,A129)&gt;1,"Duplicate",""))</f>
        <v/>
      </c>
      <c r="K129" s="36" t="str">
        <f aca="false">IF(Raw_Export!$A129="","",IF(J129="Duplicate","Duplicate",IF(OR(C129="UNMAPPED",D129="UNMAPPED"),"Unmapped",IF(F129=0,"Blank qty",IF(F129&lt;0,"Return","OK")))))</f>
        <v>OK</v>
      </c>
      <c r="L129" s="36" t="n">
        <f aca="false">IF(Raw_Export!$A129="","",IF(OR(K129="OK",K129="Return"),1,0))</f>
        <v>1</v>
      </c>
      <c r="M129" s="37" t="n">
        <f aca="false">IF(Raw_Export!$A129="","",B129-WEEKDAY(B129,2)+1)</f>
        <v>46265</v>
      </c>
    </row>
    <row r="130" customFormat="false" ht="15" hidden="false" customHeight="false" outlineLevel="0" collapsed="false">
      <c r="A130" s="36" t="str">
        <f aca="false">IF(Raw_Export!$A130="","",TRIM(Raw_Export!A130))</f>
        <v>TXN-100128</v>
      </c>
      <c r="B130" s="37" t="n">
        <f aca="false">IF(Raw_Export!$A130="","",IF(ISNUMBER(Raw_Export!B130),Raw_Export!B130,IF(MID(TRIM(Raw_Export!B130),5,1)="-",DATE(LEFT(TRIM(Raw_Export!B130),4),MID(TRIM(Raw_Export!B130),6,2),RIGHT(TRIM(Raw_Export!B130),2)),DATE(RIGHT(TRIM(Raw_Export!B130),4),MATCH(MID(TRIM(Raw_Export!B130),4,3),{"Jan","Feb","Mar","Apr","May","Jun","Jul","Aug","Sep","Oct","Nov","Dec"},0),LEFT(TRIM(Raw_Export!B130),2)))))</f>
        <v>46266</v>
      </c>
      <c r="C130" s="36" t="str">
        <f aca="false">IF(Raw_Export!$A130="","",IFERROR(VLOOKUP(LOWER(TRIM(Raw_Export!C130)),Maps!$A$2:$B$20,2,FALSE()),"UNMAPPED"))</f>
        <v>Nairobi CBD</v>
      </c>
      <c r="D130" s="36" t="str">
        <f aca="false">IF(Raw_Export!$A130="","",IFERROR(VLOOKUP(LOWER(TRIM(Raw_Export!D130)),Maps!$G$2:$I$80,2,FALSE()),"UNMAPPED"))</f>
        <v>Yoghurt 500ml</v>
      </c>
      <c r="E130" s="36" t="str">
        <f aca="false">IF(Raw_Export!$A130="","",IFERROR(VLOOKUP(LOWER(TRIM(Raw_Export!D130)),Maps!$G$2:$I$80,3,FALSE()),"UNMAPPED"))</f>
        <v>Dairy &amp; Eggs</v>
      </c>
      <c r="F130" s="36" t="n">
        <f aca="false">IF(Raw_Export!$A130="","",IFERROR(VALUE(TRIM(Raw_Export!E130)),0))</f>
        <v>4</v>
      </c>
      <c r="G130" s="38" t="n">
        <f aca="false">IF(Raw_Export!$A130="","",IFERROR(VALUE(SUBSTITUTE(SUBSTITUTE(UPPER(TRIM(Raw_Export!F130)),"KES",""),",","")),0))</f>
        <v>120</v>
      </c>
      <c r="H130" s="38" t="n">
        <f aca="false">IF(Raw_Export!$A130="","",F130*G130)</f>
        <v>480</v>
      </c>
      <c r="I130" s="36" t="str">
        <f aca="false">IF(Raw_Export!$A130="","",IFERROR(VLOOKUP(LOWER(TRIM(Raw_Export!H130)),Maps!$D$2:$E$12,2,FALSE()),"Other"))</f>
        <v>Cash</v>
      </c>
      <c r="J130" s="36" t="str">
        <f aca="false">IF(Raw_Export!$A130="","",IF(COUNTIF($A$2:A130,A130)&gt;1,"Duplicate",""))</f>
        <v/>
      </c>
      <c r="K130" s="36" t="str">
        <f aca="false">IF(Raw_Export!$A130="","",IF(J130="Duplicate","Duplicate",IF(OR(C130="UNMAPPED",D130="UNMAPPED"),"Unmapped",IF(F130=0,"Blank qty",IF(F130&lt;0,"Return","OK")))))</f>
        <v>OK</v>
      </c>
      <c r="L130" s="36" t="n">
        <f aca="false">IF(Raw_Export!$A130="","",IF(OR(K130="OK",K130="Return"),1,0))</f>
        <v>1</v>
      </c>
      <c r="M130" s="37" t="n">
        <f aca="false">IF(Raw_Export!$A130="","",B130-WEEKDAY(B130,2)+1)</f>
        <v>46265</v>
      </c>
    </row>
    <row r="131" customFormat="false" ht="15" hidden="false" customHeight="false" outlineLevel="0" collapsed="false">
      <c r="A131" s="36" t="str">
        <f aca="false">IF(Raw_Export!$A131="","",TRIM(Raw_Export!A131))</f>
        <v>TXN-100129</v>
      </c>
      <c r="B131" s="37" t="n">
        <f aca="false">IF(Raw_Export!$A131="","",IF(ISNUMBER(Raw_Export!B131),Raw_Export!B131,IF(MID(TRIM(Raw_Export!B131),5,1)="-",DATE(LEFT(TRIM(Raw_Export!B131),4),MID(TRIM(Raw_Export!B131),6,2),RIGHT(TRIM(Raw_Export!B131),2)),DATE(RIGHT(TRIM(Raw_Export!B131),4),MATCH(MID(TRIM(Raw_Export!B131),4,3),{"Jan","Feb","Mar","Apr","May","Jun","Jul","Aug","Sep","Oct","Nov","Dec"},0),LEFT(TRIM(Raw_Export!B131),2)))))</f>
        <v>46266</v>
      </c>
      <c r="C131" s="36" t="str">
        <f aca="false">IF(Raw_Export!$A131="","",IFERROR(VLOOKUP(LOWER(TRIM(Raw_Export!C131)),Maps!$A$2:$B$20,2,FALSE()),"UNMAPPED"))</f>
        <v>Nairobi CBD</v>
      </c>
      <c r="D131" s="36" t="str">
        <f aca="false">IF(Raw_Export!$A131="","",IFERROR(VLOOKUP(LOWER(TRIM(Raw_Export!D131)),Maps!$G$2:$I$80,2,FALSE()),"UNMAPPED"))</f>
        <v>Spaghetti 400g</v>
      </c>
      <c r="E131" s="36" t="str">
        <f aca="false">IF(Raw_Export!$A131="","",IFERROR(VLOOKUP(LOWER(TRIM(Raw_Export!D131)),Maps!$G$2:$I$80,3,FALSE()),"UNMAPPED"))</f>
        <v>Staples</v>
      </c>
      <c r="F131" s="36" t="n">
        <f aca="false">IF(Raw_Export!$A131="","",IFERROR(VALUE(TRIM(Raw_Export!E131)),0))</f>
        <v>3</v>
      </c>
      <c r="G131" s="38" t="n">
        <f aca="false">IF(Raw_Export!$A131="","",IFERROR(VALUE(SUBSTITUTE(SUBSTITUTE(UPPER(TRIM(Raw_Export!F131)),"KES",""),",","")),0))</f>
        <v>110</v>
      </c>
      <c r="H131" s="38" t="n">
        <f aca="false">IF(Raw_Export!$A131="","",F131*G131)</f>
        <v>330</v>
      </c>
      <c r="I131" s="36" t="str">
        <f aca="false">IF(Raw_Export!$A131="","",IFERROR(VLOOKUP(LOWER(TRIM(Raw_Export!H131)),Maps!$D$2:$E$12,2,FALSE()),"Other"))</f>
        <v>Cash</v>
      </c>
      <c r="J131" s="36" t="str">
        <f aca="false">IF(Raw_Export!$A131="","",IF(COUNTIF($A$2:A131,A131)&gt;1,"Duplicate",""))</f>
        <v/>
      </c>
      <c r="K131" s="36" t="str">
        <f aca="false">IF(Raw_Export!$A131="","",IF(J131="Duplicate","Duplicate",IF(OR(C131="UNMAPPED",D131="UNMAPPED"),"Unmapped",IF(F131=0,"Blank qty",IF(F131&lt;0,"Return","OK")))))</f>
        <v>OK</v>
      </c>
      <c r="L131" s="36" t="n">
        <f aca="false">IF(Raw_Export!$A131="","",IF(OR(K131="OK",K131="Return"),1,0))</f>
        <v>1</v>
      </c>
      <c r="M131" s="37" t="n">
        <f aca="false">IF(Raw_Export!$A131="","",B131-WEEKDAY(B131,2)+1)</f>
        <v>46265</v>
      </c>
    </row>
    <row r="132" customFormat="false" ht="15" hidden="false" customHeight="false" outlineLevel="0" collapsed="false">
      <c r="A132" s="36" t="str">
        <f aca="false">IF(Raw_Export!$A132="","",TRIM(Raw_Export!A132))</f>
        <v>TXN-100130</v>
      </c>
      <c r="B132" s="37" t="n">
        <f aca="false">IF(Raw_Export!$A132="","",IF(ISNUMBER(Raw_Export!B132),Raw_Export!B132,IF(MID(TRIM(Raw_Export!B132),5,1)="-",DATE(LEFT(TRIM(Raw_Export!B132),4),MID(TRIM(Raw_Export!B132),6,2),RIGHT(TRIM(Raw_Export!B132),2)),DATE(RIGHT(TRIM(Raw_Export!B132),4),MATCH(MID(TRIM(Raw_Export!B132),4,3),{"Jan","Feb","Mar","Apr","May","Jun","Jul","Aug","Sep","Oct","Nov","Dec"},0),LEFT(TRIM(Raw_Export!B132),2)))))</f>
        <v>46266</v>
      </c>
      <c r="C132" s="36" t="str">
        <f aca="false">IF(Raw_Export!$A132="","",IFERROR(VLOOKUP(LOWER(TRIM(Raw_Export!C132)),Maps!$A$2:$B$20,2,FALSE()),"UNMAPPED"))</f>
        <v>Nairobi CBD</v>
      </c>
      <c r="D132" s="36" t="str">
        <f aca="false">IF(Raw_Export!$A132="","",IFERROR(VLOOKUP(LOWER(TRIM(Raw_Export!D132)),Maps!$G$2:$I$80,2,FALSE()),"UNMAPPED"))</f>
        <v>Coffee 100g</v>
      </c>
      <c r="E132" s="36" t="str">
        <f aca="false">IF(Raw_Export!$A132="","",IFERROR(VLOOKUP(LOWER(TRIM(Raw_Export!D132)),Maps!$G$2:$I$80,3,FALSE()),"UNMAPPED"))</f>
        <v>Beverages</v>
      </c>
      <c r="F132" s="36" t="n">
        <f aca="false">IF(Raw_Export!$A132="","",IFERROR(VALUE(TRIM(Raw_Export!E132)),0))</f>
        <v>1</v>
      </c>
      <c r="G132" s="38" t="n">
        <f aca="false">IF(Raw_Export!$A132="","",IFERROR(VALUE(SUBSTITUTE(SUBSTITUTE(UPPER(TRIM(Raw_Export!F132)),"KES",""),",","")),0))</f>
        <v>360</v>
      </c>
      <c r="H132" s="38" t="n">
        <f aca="false">IF(Raw_Export!$A132="","",F132*G132)</f>
        <v>360</v>
      </c>
      <c r="I132" s="36" t="str">
        <f aca="false">IF(Raw_Export!$A132="","",IFERROR(VLOOKUP(LOWER(TRIM(Raw_Export!H132)),Maps!$D$2:$E$12,2,FALSE()),"Other"))</f>
        <v>Cash</v>
      </c>
      <c r="J132" s="36" t="str">
        <f aca="false">IF(Raw_Export!$A132="","",IF(COUNTIF($A$2:A132,A132)&gt;1,"Duplicate",""))</f>
        <v/>
      </c>
      <c r="K132" s="36" t="str">
        <f aca="false">IF(Raw_Export!$A132="","",IF(J132="Duplicate","Duplicate",IF(OR(C132="UNMAPPED",D132="UNMAPPED"),"Unmapped",IF(F132=0,"Blank qty",IF(F132&lt;0,"Return","OK")))))</f>
        <v>OK</v>
      </c>
      <c r="L132" s="36" t="n">
        <f aca="false">IF(Raw_Export!$A132="","",IF(OR(K132="OK",K132="Return"),1,0))</f>
        <v>1</v>
      </c>
      <c r="M132" s="37" t="n">
        <f aca="false">IF(Raw_Export!$A132="","",B132-WEEKDAY(B132,2)+1)</f>
        <v>46265</v>
      </c>
    </row>
    <row r="133" customFormat="false" ht="15" hidden="false" customHeight="false" outlineLevel="0" collapsed="false">
      <c r="A133" s="36" t="str">
        <f aca="false">IF(Raw_Export!$A133="","",TRIM(Raw_Export!A133))</f>
        <v>TXN-100131</v>
      </c>
      <c r="B133" s="37" t="n">
        <f aca="false">IF(Raw_Export!$A133="","",IF(ISNUMBER(Raw_Export!B133),Raw_Export!B133,IF(MID(TRIM(Raw_Export!B133),5,1)="-",DATE(LEFT(TRIM(Raw_Export!B133),4),MID(TRIM(Raw_Export!B133),6,2),RIGHT(TRIM(Raw_Export!B133),2)),DATE(RIGHT(TRIM(Raw_Export!B133),4),MATCH(MID(TRIM(Raw_Export!B133),4,3),{"Jan","Feb","Mar","Apr","May","Jun","Jul","Aug","Sep","Oct","Nov","Dec"},0),LEFT(TRIM(Raw_Export!B133),2)))))</f>
        <v>46266</v>
      </c>
      <c r="C133" s="36" t="str">
        <f aca="false">IF(Raw_Export!$A133="","",IFERROR(VLOOKUP(LOWER(TRIM(Raw_Export!C133)),Maps!$A$2:$B$20,2,FALSE()),"UNMAPPED"))</f>
        <v>Nairobi CBD</v>
      </c>
      <c r="D133" s="36" t="str">
        <f aca="false">IF(Raw_Export!$A133="","",IFERROR(VLOOKUP(LOWER(TRIM(Raw_Export!D133)),Maps!$G$2:$I$80,2,FALSE()),"UNMAPPED"))</f>
        <v>Spaghetti 400g</v>
      </c>
      <c r="E133" s="36" t="str">
        <f aca="false">IF(Raw_Export!$A133="","",IFERROR(VLOOKUP(LOWER(TRIM(Raw_Export!D133)),Maps!$G$2:$I$80,3,FALSE()),"UNMAPPED"))</f>
        <v>Staples</v>
      </c>
      <c r="F133" s="36" t="n">
        <f aca="false">IF(Raw_Export!$A133="","",IFERROR(VALUE(TRIM(Raw_Export!E133)),0))</f>
        <v>1</v>
      </c>
      <c r="G133" s="38" t="n">
        <f aca="false">IF(Raw_Export!$A133="","",IFERROR(VALUE(SUBSTITUTE(SUBSTITUTE(UPPER(TRIM(Raw_Export!F133)),"KES",""),",","")),0))</f>
        <v>110</v>
      </c>
      <c r="H133" s="38" t="n">
        <f aca="false">IF(Raw_Export!$A133="","",F133*G133)</f>
        <v>110</v>
      </c>
      <c r="I133" s="36" t="str">
        <f aca="false">IF(Raw_Export!$A133="","",IFERROR(VLOOKUP(LOWER(TRIM(Raw_Export!H133)),Maps!$D$2:$E$12,2,FALSE()),"Other"))</f>
        <v>M-Pesa</v>
      </c>
      <c r="J133" s="36" t="str">
        <f aca="false">IF(Raw_Export!$A133="","",IF(COUNTIF($A$2:A133,A133)&gt;1,"Duplicate",""))</f>
        <v/>
      </c>
      <c r="K133" s="36" t="str">
        <f aca="false">IF(Raw_Export!$A133="","",IF(J133="Duplicate","Duplicate",IF(OR(C133="UNMAPPED",D133="UNMAPPED"),"Unmapped",IF(F133=0,"Blank qty",IF(F133&lt;0,"Return","OK")))))</f>
        <v>OK</v>
      </c>
      <c r="L133" s="36" t="n">
        <f aca="false">IF(Raw_Export!$A133="","",IF(OR(K133="OK",K133="Return"),1,0))</f>
        <v>1</v>
      </c>
      <c r="M133" s="37" t="n">
        <f aca="false">IF(Raw_Export!$A133="","",B133-WEEKDAY(B133,2)+1)</f>
        <v>46265</v>
      </c>
    </row>
    <row r="134" customFormat="false" ht="15" hidden="false" customHeight="false" outlineLevel="0" collapsed="false">
      <c r="A134" s="36" t="str">
        <f aca="false">IF(Raw_Export!$A134="","",TRIM(Raw_Export!A134))</f>
        <v>TXN-100132</v>
      </c>
      <c r="B134" s="37" t="n">
        <f aca="false">IF(Raw_Export!$A134="","",IF(ISNUMBER(Raw_Export!B134),Raw_Export!B134,IF(MID(TRIM(Raw_Export!B134),5,1)="-",DATE(LEFT(TRIM(Raw_Export!B134),4),MID(TRIM(Raw_Export!B134),6,2),RIGHT(TRIM(Raw_Export!B134),2)),DATE(RIGHT(TRIM(Raw_Export!B134),4),MATCH(MID(TRIM(Raw_Export!B134),4,3),{"Jan","Feb","Mar","Apr","May","Jun","Jul","Aug","Sep","Oct","Nov","Dec"},0),LEFT(TRIM(Raw_Export!B134),2)))))</f>
        <v>46266</v>
      </c>
      <c r="C134" s="36" t="str">
        <f aca="false">IF(Raw_Export!$A134="","",IFERROR(VLOOKUP(LOWER(TRIM(Raw_Export!C134)),Maps!$A$2:$B$20,2,FALSE()),"UNMAPPED"))</f>
        <v>Nairobi CBD</v>
      </c>
      <c r="D134" s="36" t="str">
        <f aca="false">IF(Raw_Export!$A134="","",IFERROR(VLOOKUP(LOWER(TRIM(Raw_Export!D134)),Maps!$G$2:$I$80,2,FALSE()),"UNMAPPED"))</f>
        <v>Rice Pishori 2kg</v>
      </c>
      <c r="E134" s="36" t="str">
        <f aca="false">IF(Raw_Export!$A134="","",IFERROR(VLOOKUP(LOWER(TRIM(Raw_Export!D134)),Maps!$G$2:$I$80,3,FALSE()),"UNMAPPED"))</f>
        <v>Staples</v>
      </c>
      <c r="F134" s="36" t="n">
        <f aca="false">IF(Raw_Export!$A134="","",IFERROR(VALUE(TRIM(Raw_Export!E134)),0))</f>
        <v>-4</v>
      </c>
      <c r="G134" s="38" t="n">
        <f aca="false">IF(Raw_Export!$A134="","",IFERROR(VALUE(SUBSTITUTE(SUBSTITUTE(UPPER(TRIM(Raw_Export!F134)),"KES",""),",","")),0))</f>
        <v>420</v>
      </c>
      <c r="H134" s="38" t="n">
        <f aca="false">IF(Raw_Export!$A134="","",F134*G134)</f>
        <v>-1680</v>
      </c>
      <c r="I134" s="36" t="str">
        <f aca="false">IF(Raw_Export!$A134="","",IFERROR(VLOOKUP(LOWER(TRIM(Raw_Export!H134)),Maps!$D$2:$E$12,2,FALSE()),"Other"))</f>
        <v>M-Pesa</v>
      </c>
      <c r="J134" s="36" t="str">
        <f aca="false">IF(Raw_Export!$A134="","",IF(COUNTIF($A$2:A134,A134)&gt;1,"Duplicate",""))</f>
        <v/>
      </c>
      <c r="K134" s="36" t="str">
        <f aca="false">IF(Raw_Export!$A134="","",IF(J134="Duplicate","Duplicate",IF(OR(C134="UNMAPPED",D134="UNMAPPED"),"Unmapped",IF(F134=0,"Blank qty",IF(F134&lt;0,"Return","OK")))))</f>
        <v>Return</v>
      </c>
      <c r="L134" s="36" t="n">
        <f aca="false">IF(Raw_Export!$A134="","",IF(OR(K134="OK",K134="Return"),1,0))</f>
        <v>1</v>
      </c>
      <c r="M134" s="37" t="n">
        <f aca="false">IF(Raw_Export!$A134="","",B134-WEEKDAY(B134,2)+1)</f>
        <v>46265</v>
      </c>
    </row>
    <row r="135" customFormat="false" ht="15" hidden="false" customHeight="false" outlineLevel="0" collapsed="false">
      <c r="A135" s="36" t="str">
        <f aca="false">IF(Raw_Export!$A135="","",TRIM(Raw_Export!A135))</f>
        <v>TXN-100133</v>
      </c>
      <c r="B135" s="37" t="n">
        <f aca="false">IF(Raw_Export!$A135="","",IF(ISNUMBER(Raw_Export!B135),Raw_Export!B135,IF(MID(TRIM(Raw_Export!B135),5,1)="-",DATE(LEFT(TRIM(Raw_Export!B135),4),MID(TRIM(Raw_Export!B135),6,2),RIGHT(TRIM(Raw_Export!B135),2)),DATE(RIGHT(TRIM(Raw_Export!B135),4),MATCH(MID(TRIM(Raw_Export!B135),4,3),{"Jan","Feb","Mar","Apr","May","Jun","Jul","Aug","Sep","Oct","Nov","Dec"},0),LEFT(TRIM(Raw_Export!B135),2)))))</f>
        <v>46266</v>
      </c>
      <c r="C135" s="36" t="str">
        <f aca="false">IF(Raw_Export!$A135="","",IFERROR(VLOOKUP(LOWER(TRIM(Raw_Export!C135)),Maps!$A$2:$B$20,2,FALSE()),"UNMAPPED"))</f>
        <v>Nairobi CBD</v>
      </c>
      <c r="D135" s="36" t="str">
        <f aca="false">IF(Raw_Export!$A135="","",IFERROR(VLOOKUP(LOWER(TRIM(Raw_Export!D135)),Maps!$G$2:$I$80,2,FALSE()),"UNMAPPED"))</f>
        <v>Cooking Oil 1L</v>
      </c>
      <c r="E135" s="36" t="str">
        <f aca="false">IF(Raw_Export!$A135="","",IFERROR(VLOOKUP(LOWER(TRIM(Raw_Export!D135)),Maps!$G$2:$I$80,3,FALSE()),"UNMAPPED"))</f>
        <v>Staples</v>
      </c>
      <c r="F135" s="36" t="n">
        <f aca="false">IF(Raw_Export!$A135="","",IFERROR(VALUE(TRIM(Raw_Export!E135)),0))</f>
        <v>1</v>
      </c>
      <c r="G135" s="38" t="n">
        <f aca="false">IF(Raw_Export!$A135="","",IFERROR(VALUE(SUBSTITUTE(SUBSTITUTE(UPPER(TRIM(Raw_Export!F135)),"KES",""),",","")),0))</f>
        <v>330</v>
      </c>
      <c r="H135" s="38" t="n">
        <f aca="false">IF(Raw_Export!$A135="","",F135*G135)</f>
        <v>330</v>
      </c>
      <c r="I135" s="36" t="str">
        <f aca="false">IF(Raw_Export!$A135="","",IFERROR(VLOOKUP(LOWER(TRIM(Raw_Export!H135)),Maps!$D$2:$E$12,2,FALSE()),"Other"))</f>
        <v>Card</v>
      </c>
      <c r="J135" s="36" t="str">
        <f aca="false">IF(Raw_Export!$A135="","",IF(COUNTIF($A$2:A135,A135)&gt;1,"Duplicate",""))</f>
        <v/>
      </c>
      <c r="K135" s="36" t="str">
        <f aca="false">IF(Raw_Export!$A135="","",IF(J135="Duplicate","Duplicate",IF(OR(C135="UNMAPPED",D135="UNMAPPED"),"Unmapped",IF(F135=0,"Blank qty",IF(F135&lt;0,"Return","OK")))))</f>
        <v>OK</v>
      </c>
      <c r="L135" s="36" t="n">
        <f aca="false">IF(Raw_Export!$A135="","",IF(OR(K135="OK",K135="Return"),1,0))</f>
        <v>1</v>
      </c>
      <c r="M135" s="37" t="n">
        <f aca="false">IF(Raw_Export!$A135="","",B135-WEEKDAY(B135,2)+1)</f>
        <v>46265</v>
      </c>
    </row>
    <row r="136" customFormat="false" ht="15" hidden="false" customHeight="false" outlineLevel="0" collapsed="false">
      <c r="A136" s="36" t="str">
        <f aca="false">IF(Raw_Export!$A136="","",TRIM(Raw_Export!A136))</f>
        <v>TXN-100134</v>
      </c>
      <c r="B136" s="37" t="n">
        <f aca="false">IF(Raw_Export!$A136="","",IF(ISNUMBER(Raw_Export!B136),Raw_Export!B136,IF(MID(TRIM(Raw_Export!B136),5,1)="-",DATE(LEFT(TRIM(Raw_Export!B136),4),MID(TRIM(Raw_Export!B136),6,2),RIGHT(TRIM(Raw_Export!B136),2)),DATE(RIGHT(TRIM(Raw_Export!B136),4),MATCH(MID(TRIM(Raw_Export!B136),4,3),{"Jan","Feb","Mar","Apr","May","Jun","Jul","Aug","Sep","Oct","Nov","Dec"},0),LEFT(TRIM(Raw_Export!B136),2)))))</f>
        <v>46266</v>
      </c>
      <c r="C136" s="36" t="str">
        <f aca="false">IF(Raw_Export!$A136="","",IFERROR(VLOOKUP(LOWER(TRIM(Raw_Export!C136)),Maps!$A$2:$B$20,2,FALSE()),"UNMAPPED"))</f>
        <v>Nairobi CBD</v>
      </c>
      <c r="D136" s="36" t="str">
        <f aca="false">IF(Raw_Export!$A136="","",IFERROR(VLOOKUP(LOWER(TRIM(Raw_Export!D136)),Maps!$G$2:$I$80,2,FALSE()),"UNMAPPED"))</f>
        <v>Fresh Milk 500ml</v>
      </c>
      <c r="E136" s="36" t="str">
        <f aca="false">IF(Raw_Export!$A136="","",IFERROR(VLOOKUP(LOWER(TRIM(Raw_Export!D136)),Maps!$G$2:$I$80,3,FALSE()),"UNMAPPED"))</f>
        <v>Dairy &amp; Eggs</v>
      </c>
      <c r="F136" s="36" t="n">
        <f aca="false">IF(Raw_Export!$A136="","",IFERROR(VALUE(TRIM(Raw_Export!E136)),0))</f>
        <v>3</v>
      </c>
      <c r="G136" s="38" t="n">
        <f aca="false">IF(Raw_Export!$A136="","",IFERROR(VALUE(SUBSTITUTE(SUBSTITUTE(UPPER(TRIM(Raw_Export!F136)),"KES",""),",","")),0))</f>
        <v>58</v>
      </c>
      <c r="H136" s="38" t="n">
        <f aca="false">IF(Raw_Export!$A136="","",F136*G136)</f>
        <v>174</v>
      </c>
      <c r="I136" s="36" t="str">
        <f aca="false">IF(Raw_Export!$A136="","",IFERROR(VLOOKUP(LOWER(TRIM(Raw_Export!H136)),Maps!$D$2:$E$12,2,FALSE()),"Other"))</f>
        <v>Card</v>
      </c>
      <c r="J136" s="36" t="str">
        <f aca="false">IF(Raw_Export!$A136="","",IF(COUNTIF($A$2:A136,A136)&gt;1,"Duplicate",""))</f>
        <v/>
      </c>
      <c r="K136" s="36" t="str">
        <f aca="false">IF(Raw_Export!$A136="","",IF(J136="Duplicate","Duplicate",IF(OR(C136="UNMAPPED",D136="UNMAPPED"),"Unmapped",IF(F136=0,"Blank qty",IF(F136&lt;0,"Return","OK")))))</f>
        <v>OK</v>
      </c>
      <c r="L136" s="36" t="n">
        <f aca="false">IF(Raw_Export!$A136="","",IF(OR(K136="OK",K136="Return"),1,0))</f>
        <v>1</v>
      </c>
      <c r="M136" s="37" t="n">
        <f aca="false">IF(Raw_Export!$A136="","",B136-WEEKDAY(B136,2)+1)</f>
        <v>46265</v>
      </c>
    </row>
    <row r="137" customFormat="false" ht="15" hidden="false" customHeight="false" outlineLevel="0" collapsed="false">
      <c r="A137" s="36" t="str">
        <f aca="false">IF(Raw_Export!$A137="","",TRIM(Raw_Export!A137))</f>
        <v>TXN-100135</v>
      </c>
      <c r="B137" s="37" t="n">
        <f aca="false">IF(Raw_Export!$A137="","",IF(ISNUMBER(Raw_Export!B137),Raw_Export!B137,IF(MID(TRIM(Raw_Export!B137),5,1)="-",DATE(LEFT(TRIM(Raw_Export!B137),4),MID(TRIM(Raw_Export!B137),6,2),RIGHT(TRIM(Raw_Export!B137),2)),DATE(RIGHT(TRIM(Raw_Export!B137),4),MATCH(MID(TRIM(Raw_Export!B137),4,3),{"Jan","Feb","Mar","Apr","May","Jun","Jul","Aug","Sep","Oct","Nov","Dec"},0),LEFT(TRIM(Raw_Export!B137),2)))))</f>
        <v>46266</v>
      </c>
      <c r="C137" s="36" t="str">
        <f aca="false">IF(Raw_Export!$A137="","",IFERROR(VLOOKUP(LOWER(TRIM(Raw_Export!C137)),Maps!$A$2:$B$20,2,FALSE()),"UNMAPPED"))</f>
        <v>Nairobi CBD</v>
      </c>
      <c r="D137" s="36" t="str">
        <f aca="false">IF(Raw_Export!$A137="","",IFERROR(VLOOKUP(LOWER(TRIM(Raw_Export!D137)),Maps!$G$2:$I$80,2,FALSE()),"UNMAPPED"))</f>
        <v>Soda 500ml</v>
      </c>
      <c r="E137" s="36" t="str">
        <f aca="false">IF(Raw_Export!$A137="","",IFERROR(VLOOKUP(LOWER(TRIM(Raw_Export!D137)),Maps!$G$2:$I$80,3,FALSE()),"UNMAPPED"))</f>
        <v>Beverages</v>
      </c>
      <c r="F137" s="36" t="n">
        <f aca="false">IF(Raw_Export!$A137="","",IFERROR(VALUE(TRIM(Raw_Export!E137)),0))</f>
        <v>1</v>
      </c>
      <c r="G137" s="38" t="n">
        <f aca="false">IF(Raw_Export!$A137="","",IFERROR(VALUE(SUBSTITUTE(SUBSTITUTE(UPPER(TRIM(Raw_Export!F137)),"KES",""),",","")),0))</f>
        <v>60</v>
      </c>
      <c r="H137" s="38" t="n">
        <f aca="false">IF(Raw_Export!$A137="","",F137*G137)</f>
        <v>60</v>
      </c>
      <c r="I137" s="36" t="str">
        <f aca="false">IF(Raw_Export!$A137="","",IFERROR(VLOOKUP(LOWER(TRIM(Raw_Export!H137)),Maps!$D$2:$E$12,2,FALSE()),"Other"))</f>
        <v>Cash</v>
      </c>
      <c r="J137" s="36" t="str">
        <f aca="false">IF(Raw_Export!$A137="","",IF(COUNTIF($A$2:A137,A137)&gt;1,"Duplicate",""))</f>
        <v/>
      </c>
      <c r="K137" s="36" t="str">
        <f aca="false">IF(Raw_Export!$A137="","",IF(J137="Duplicate","Duplicate",IF(OR(C137="UNMAPPED",D137="UNMAPPED"),"Unmapped",IF(F137=0,"Blank qty",IF(F137&lt;0,"Return","OK")))))</f>
        <v>OK</v>
      </c>
      <c r="L137" s="36" t="n">
        <f aca="false">IF(Raw_Export!$A137="","",IF(OR(K137="OK",K137="Return"),1,0))</f>
        <v>1</v>
      </c>
      <c r="M137" s="37" t="n">
        <f aca="false">IF(Raw_Export!$A137="","",B137-WEEKDAY(B137,2)+1)</f>
        <v>46265</v>
      </c>
    </row>
    <row r="138" customFormat="false" ht="15" hidden="false" customHeight="false" outlineLevel="0" collapsed="false">
      <c r="A138" s="36" t="str">
        <f aca="false">IF(Raw_Export!$A138="","",TRIM(Raw_Export!A138))</f>
        <v>TXN-100136</v>
      </c>
      <c r="B138" s="37" t="n">
        <f aca="false">IF(Raw_Export!$A138="","",IF(ISNUMBER(Raw_Export!B138),Raw_Export!B138,IF(MID(TRIM(Raw_Export!B138),5,1)="-",DATE(LEFT(TRIM(Raw_Export!B138),4),MID(TRIM(Raw_Export!B138),6,2),RIGHT(TRIM(Raw_Export!B138),2)),DATE(RIGHT(TRIM(Raw_Export!B138),4),MATCH(MID(TRIM(Raw_Export!B138),4,3),{"Jan","Feb","Mar","Apr","May","Jun","Jul","Aug","Sep","Oct","Nov","Dec"},0),LEFT(TRIM(Raw_Export!B138),2)))))</f>
        <v>46266</v>
      </c>
      <c r="C138" s="36" t="str">
        <f aca="false">IF(Raw_Export!$A138="","",IFERROR(VLOOKUP(LOWER(TRIM(Raw_Export!C138)),Maps!$A$2:$B$20,2,FALSE()),"UNMAPPED"))</f>
        <v>Nairobi CBD</v>
      </c>
      <c r="D138" s="36" t="str">
        <f aca="false">IF(Raw_Export!$A138="","",IFERROR(VLOOKUP(LOWER(TRIM(Raw_Export!D138)),Maps!$G$2:$I$80,2,FALSE()),"UNMAPPED"))</f>
        <v>Bath Soap 175g</v>
      </c>
      <c r="E138" s="36" t="str">
        <f aca="false">IF(Raw_Export!$A138="","",IFERROR(VLOOKUP(LOWER(TRIM(Raw_Export!D138)),Maps!$G$2:$I$80,3,FALSE()),"UNMAPPED"))</f>
        <v>Personal Care</v>
      </c>
      <c r="F138" s="36" t="n">
        <f aca="false">IF(Raw_Export!$A138="","",IFERROR(VALUE(TRIM(Raw_Export!E138)),0))</f>
        <v>1</v>
      </c>
      <c r="G138" s="38" t="n">
        <f aca="false">IF(Raw_Export!$A138="","",IFERROR(VALUE(SUBSTITUTE(SUBSTITUTE(UPPER(TRIM(Raw_Export!F138)),"KES",""),",","")),0))</f>
        <v>85</v>
      </c>
      <c r="H138" s="38" t="n">
        <f aca="false">IF(Raw_Export!$A138="","",F138*G138)</f>
        <v>85</v>
      </c>
      <c r="I138" s="36" t="str">
        <f aca="false">IF(Raw_Export!$A138="","",IFERROR(VLOOKUP(LOWER(TRIM(Raw_Export!H138)),Maps!$D$2:$E$12,2,FALSE()),"Other"))</f>
        <v>Card</v>
      </c>
      <c r="J138" s="36" t="str">
        <f aca="false">IF(Raw_Export!$A138="","",IF(COUNTIF($A$2:A138,A138)&gt;1,"Duplicate",""))</f>
        <v/>
      </c>
      <c r="K138" s="36" t="str">
        <f aca="false">IF(Raw_Export!$A138="","",IF(J138="Duplicate","Duplicate",IF(OR(C138="UNMAPPED",D138="UNMAPPED"),"Unmapped",IF(F138=0,"Blank qty",IF(F138&lt;0,"Return","OK")))))</f>
        <v>OK</v>
      </c>
      <c r="L138" s="36" t="n">
        <f aca="false">IF(Raw_Export!$A138="","",IF(OR(K138="OK",K138="Return"),1,0))</f>
        <v>1</v>
      </c>
      <c r="M138" s="37" t="n">
        <f aca="false">IF(Raw_Export!$A138="","",B138-WEEKDAY(B138,2)+1)</f>
        <v>46265</v>
      </c>
    </row>
    <row r="139" customFormat="false" ht="15" hidden="false" customHeight="false" outlineLevel="0" collapsed="false">
      <c r="A139" s="36" t="str">
        <f aca="false">IF(Raw_Export!$A139="","",TRIM(Raw_Export!A139))</f>
        <v>TXN-100137</v>
      </c>
      <c r="B139" s="37" t="n">
        <f aca="false">IF(Raw_Export!$A139="","",IF(ISNUMBER(Raw_Export!B139),Raw_Export!B139,IF(MID(TRIM(Raw_Export!B139),5,1)="-",DATE(LEFT(TRIM(Raw_Export!B139),4),MID(TRIM(Raw_Export!B139),6,2),RIGHT(TRIM(Raw_Export!B139),2)),DATE(RIGHT(TRIM(Raw_Export!B139),4),MATCH(MID(TRIM(Raw_Export!B139),4,3),{"Jan","Feb","Mar","Apr","May","Jun","Jul","Aug","Sep","Oct","Nov","Dec"},0),LEFT(TRIM(Raw_Export!B139),2)))))</f>
        <v>46266</v>
      </c>
      <c r="C139" s="36" t="str">
        <f aca="false">IF(Raw_Export!$A139="","",IFERROR(VLOOKUP(LOWER(TRIM(Raw_Export!C139)),Maps!$A$2:$B$20,2,FALSE()),"UNMAPPED"))</f>
        <v>Nairobi CBD</v>
      </c>
      <c r="D139" s="36" t="str">
        <f aca="false">IF(Raw_Export!$A139="","",IFERROR(VLOOKUP(LOWER(TRIM(Raw_Export!D139)),Maps!$G$2:$I$80,2,FALSE()),"UNMAPPED"))</f>
        <v>Crisps 100g</v>
      </c>
      <c r="E139" s="36" t="str">
        <f aca="false">IF(Raw_Export!$A139="","",IFERROR(VLOOKUP(LOWER(TRIM(Raw_Export!D139)),Maps!$G$2:$I$80,3,FALSE()),"UNMAPPED"))</f>
        <v>Snacks</v>
      </c>
      <c r="F139" s="36" t="n">
        <f aca="false">IF(Raw_Export!$A139="","",IFERROR(VALUE(TRIM(Raw_Export!E139)),0))</f>
        <v>1</v>
      </c>
      <c r="G139" s="38" t="n">
        <f aca="false">IF(Raw_Export!$A139="","",IFERROR(VALUE(SUBSTITUTE(SUBSTITUTE(UPPER(TRIM(Raw_Export!F139)),"KES",""),",","")),0))</f>
        <v>80</v>
      </c>
      <c r="H139" s="38" t="n">
        <f aca="false">IF(Raw_Export!$A139="","",F139*G139)</f>
        <v>80</v>
      </c>
      <c r="I139" s="36" t="str">
        <f aca="false">IF(Raw_Export!$A139="","",IFERROR(VLOOKUP(LOWER(TRIM(Raw_Export!H139)),Maps!$D$2:$E$12,2,FALSE()),"Other"))</f>
        <v>M-Pesa</v>
      </c>
      <c r="J139" s="36" t="str">
        <f aca="false">IF(Raw_Export!$A139="","",IF(COUNTIF($A$2:A139,A139)&gt;1,"Duplicate",""))</f>
        <v/>
      </c>
      <c r="K139" s="36" t="str">
        <f aca="false">IF(Raw_Export!$A139="","",IF(J139="Duplicate","Duplicate",IF(OR(C139="UNMAPPED",D139="UNMAPPED"),"Unmapped",IF(F139=0,"Blank qty",IF(F139&lt;0,"Return","OK")))))</f>
        <v>OK</v>
      </c>
      <c r="L139" s="36" t="n">
        <f aca="false">IF(Raw_Export!$A139="","",IF(OR(K139="OK",K139="Return"),1,0))</f>
        <v>1</v>
      </c>
      <c r="M139" s="37" t="n">
        <f aca="false">IF(Raw_Export!$A139="","",B139-WEEKDAY(B139,2)+1)</f>
        <v>46265</v>
      </c>
    </row>
    <row r="140" customFormat="false" ht="15" hidden="false" customHeight="false" outlineLevel="0" collapsed="false">
      <c r="A140" s="36" t="str">
        <f aca="false">IF(Raw_Export!$A140="","",TRIM(Raw_Export!A140))</f>
        <v>TXN-100138</v>
      </c>
      <c r="B140" s="37" t="n">
        <f aca="false">IF(Raw_Export!$A140="","",IF(ISNUMBER(Raw_Export!B140),Raw_Export!B140,IF(MID(TRIM(Raw_Export!B140),5,1)="-",DATE(LEFT(TRIM(Raw_Export!B140),4),MID(TRIM(Raw_Export!B140),6,2),RIGHT(TRIM(Raw_Export!B140),2)),DATE(RIGHT(TRIM(Raw_Export!B140),4),MATCH(MID(TRIM(Raw_Export!B140),4,3),{"Jan","Feb","Mar","Apr","May","Jun","Jul","Aug","Sep","Oct","Nov","Dec"},0),LEFT(TRIM(Raw_Export!B140),2)))))</f>
        <v>46266</v>
      </c>
      <c r="C140" s="36" t="str">
        <f aca="false">IF(Raw_Export!$A140="","",IFERROR(VLOOKUP(LOWER(TRIM(Raw_Export!C140)),Maps!$A$2:$B$20,2,FALSE()),"UNMAPPED"))</f>
        <v>Nairobi CBD</v>
      </c>
      <c r="D140" s="36" t="str">
        <f aca="false">IF(Raw_Export!$A140="","",IFERROR(VLOOKUP(LOWER(TRIM(Raw_Export!D140)),Maps!$G$2:$I$80,2,FALSE()),"UNMAPPED"))</f>
        <v>Deodorant 150ml</v>
      </c>
      <c r="E140" s="36" t="str">
        <f aca="false">IF(Raw_Export!$A140="","",IFERROR(VLOOKUP(LOWER(TRIM(Raw_Export!D140)),Maps!$G$2:$I$80,3,FALSE()),"UNMAPPED"))</f>
        <v>Personal Care</v>
      </c>
      <c r="F140" s="36" t="n">
        <f aca="false">IF(Raw_Export!$A140="","",IFERROR(VALUE(TRIM(Raw_Export!E140)),0))</f>
        <v>2</v>
      </c>
      <c r="G140" s="38" t="n">
        <f aca="false">IF(Raw_Export!$A140="","",IFERROR(VALUE(SUBSTITUTE(SUBSTITUTE(UPPER(TRIM(Raw_Export!F140)),"KES",""),",","")),0))</f>
        <v>315</v>
      </c>
      <c r="H140" s="38" t="n">
        <f aca="false">IF(Raw_Export!$A140="","",F140*G140)</f>
        <v>630</v>
      </c>
      <c r="I140" s="36" t="str">
        <f aca="false">IF(Raw_Export!$A140="","",IFERROR(VLOOKUP(LOWER(TRIM(Raw_Export!H140)),Maps!$D$2:$E$12,2,FALSE()),"Other"))</f>
        <v>Cash</v>
      </c>
      <c r="J140" s="36" t="str">
        <f aca="false">IF(Raw_Export!$A140="","",IF(COUNTIF($A$2:A140,A140)&gt;1,"Duplicate",""))</f>
        <v/>
      </c>
      <c r="K140" s="36" t="str">
        <f aca="false">IF(Raw_Export!$A140="","",IF(J140="Duplicate","Duplicate",IF(OR(C140="UNMAPPED",D140="UNMAPPED"),"Unmapped",IF(F140=0,"Blank qty",IF(F140&lt;0,"Return","OK")))))</f>
        <v>OK</v>
      </c>
      <c r="L140" s="36" t="n">
        <f aca="false">IF(Raw_Export!$A140="","",IF(OR(K140="OK",K140="Return"),1,0))</f>
        <v>1</v>
      </c>
      <c r="M140" s="37" t="n">
        <f aca="false">IF(Raw_Export!$A140="","",B140-WEEKDAY(B140,2)+1)</f>
        <v>46265</v>
      </c>
    </row>
    <row r="141" customFormat="false" ht="15" hidden="false" customHeight="false" outlineLevel="0" collapsed="false">
      <c r="A141" s="36" t="str">
        <f aca="false">IF(Raw_Export!$A141="","",TRIM(Raw_Export!A141))</f>
        <v>TXN-100139</v>
      </c>
      <c r="B141" s="37" t="n">
        <f aca="false">IF(Raw_Export!$A141="","",IF(ISNUMBER(Raw_Export!B141),Raw_Export!B141,IF(MID(TRIM(Raw_Export!B141),5,1)="-",DATE(LEFT(TRIM(Raw_Export!B141),4),MID(TRIM(Raw_Export!B141),6,2),RIGHT(TRIM(Raw_Export!B141),2)),DATE(RIGHT(TRIM(Raw_Export!B141),4),MATCH(MID(TRIM(Raw_Export!B141),4,3),{"Jan","Feb","Mar","Apr","May","Jun","Jul","Aug","Sep","Oct","Nov","Dec"},0),LEFT(TRIM(Raw_Export!B141),2)))))</f>
        <v>46266</v>
      </c>
      <c r="C141" s="36" t="str">
        <f aca="false">IF(Raw_Export!$A141="","",IFERROR(VLOOKUP(LOWER(TRIM(Raw_Export!C141)),Maps!$A$2:$B$20,2,FALSE()),"UNMAPPED"))</f>
        <v>Nairobi CBD</v>
      </c>
      <c r="D141" s="36" t="str">
        <f aca="false">IF(Raw_Export!$A141="","",IFERROR(VLOOKUP(LOWER(TRIM(Raw_Export!D141)),Maps!$G$2:$I$80,2,FALSE()),"UNMAPPED"))</f>
        <v>Toothpaste 100g</v>
      </c>
      <c r="E141" s="36" t="str">
        <f aca="false">IF(Raw_Export!$A141="","",IFERROR(VLOOKUP(LOWER(TRIM(Raw_Export!D141)),Maps!$G$2:$I$80,3,FALSE()),"UNMAPPED"))</f>
        <v>Personal Care</v>
      </c>
      <c r="F141" s="36" t="n">
        <f aca="false">IF(Raw_Export!$A141="","",IFERROR(VALUE(TRIM(Raw_Export!E141)),0))</f>
        <v>6</v>
      </c>
      <c r="G141" s="38" t="n">
        <f aca="false">IF(Raw_Export!$A141="","",IFERROR(VALUE(SUBSTITUTE(SUBSTITUTE(UPPER(TRIM(Raw_Export!F141)),"KES",""),",","")),0))</f>
        <v>195</v>
      </c>
      <c r="H141" s="38" t="n">
        <f aca="false">IF(Raw_Export!$A141="","",F141*G141)</f>
        <v>1170</v>
      </c>
      <c r="I141" s="36" t="str">
        <f aca="false">IF(Raw_Export!$A141="","",IFERROR(VLOOKUP(LOWER(TRIM(Raw_Export!H141)),Maps!$D$2:$E$12,2,FALSE()),"Other"))</f>
        <v>M-Pesa</v>
      </c>
      <c r="J141" s="36" t="str">
        <f aca="false">IF(Raw_Export!$A141="","",IF(COUNTIF($A$2:A141,A141)&gt;1,"Duplicate",""))</f>
        <v/>
      </c>
      <c r="K141" s="36" t="str">
        <f aca="false">IF(Raw_Export!$A141="","",IF(J141="Duplicate","Duplicate",IF(OR(C141="UNMAPPED",D141="UNMAPPED"),"Unmapped",IF(F141=0,"Blank qty",IF(F141&lt;0,"Return","OK")))))</f>
        <v>OK</v>
      </c>
      <c r="L141" s="36" t="n">
        <f aca="false">IF(Raw_Export!$A141="","",IF(OR(K141="OK",K141="Return"),1,0))</f>
        <v>1</v>
      </c>
      <c r="M141" s="37" t="n">
        <f aca="false">IF(Raw_Export!$A141="","",B141-WEEKDAY(B141,2)+1)</f>
        <v>46265</v>
      </c>
    </row>
    <row r="142" customFormat="false" ht="15" hidden="false" customHeight="false" outlineLevel="0" collapsed="false">
      <c r="A142" s="36" t="str">
        <f aca="false">IF(Raw_Export!$A142="","",TRIM(Raw_Export!A142))</f>
        <v>TXN-100140</v>
      </c>
      <c r="B142" s="37" t="n">
        <f aca="false">IF(Raw_Export!$A142="","",IF(ISNUMBER(Raw_Export!B142),Raw_Export!B142,IF(MID(TRIM(Raw_Export!B142),5,1)="-",DATE(LEFT(TRIM(Raw_Export!B142),4),MID(TRIM(Raw_Export!B142),6,2),RIGHT(TRIM(Raw_Export!B142),2)),DATE(RIGHT(TRIM(Raw_Export!B142),4),MATCH(MID(TRIM(Raw_Export!B142),4,3),{"Jan","Feb","Mar","Apr","May","Jun","Jul","Aug","Sep","Oct","Nov","Dec"},0),LEFT(TRIM(Raw_Export!B142),2)))))</f>
        <v>46266</v>
      </c>
      <c r="C142" s="36" t="str">
        <f aca="false">IF(Raw_Export!$A142="","",IFERROR(VLOOKUP(LOWER(TRIM(Raw_Export!C142)),Maps!$A$2:$B$20,2,FALSE()),"UNMAPPED"))</f>
        <v>Nairobi CBD</v>
      </c>
      <c r="D142" s="36" t="str">
        <f aca="false">IF(Raw_Export!$A142="","",IFERROR(VLOOKUP(LOWER(TRIM(Raw_Export!D142)),Maps!$G$2:$I$80,2,FALSE()),"UNMAPPED"))</f>
        <v>Tea Leaves 250g</v>
      </c>
      <c r="E142" s="36" t="str">
        <f aca="false">IF(Raw_Export!$A142="","",IFERROR(VLOOKUP(LOWER(TRIM(Raw_Export!D142)),Maps!$G$2:$I$80,3,FALSE()),"UNMAPPED"))</f>
        <v>Beverages</v>
      </c>
      <c r="F142" s="36" t="n">
        <f aca="false">IF(Raw_Export!$A142="","",IFERROR(VALUE(TRIM(Raw_Export!E142)),0))</f>
        <v>1</v>
      </c>
      <c r="G142" s="38" t="n">
        <f aca="false">IF(Raw_Export!$A142="","",IFERROR(VALUE(SUBSTITUTE(SUBSTITUTE(UPPER(TRIM(Raw_Export!F142)),"KES",""),",","")),0))</f>
        <v>150</v>
      </c>
      <c r="H142" s="38" t="n">
        <f aca="false">IF(Raw_Export!$A142="","",F142*G142)</f>
        <v>150</v>
      </c>
      <c r="I142" s="36" t="str">
        <f aca="false">IF(Raw_Export!$A142="","",IFERROR(VLOOKUP(LOWER(TRIM(Raw_Export!H142)),Maps!$D$2:$E$12,2,FALSE()),"Other"))</f>
        <v>Card</v>
      </c>
      <c r="J142" s="36" t="str">
        <f aca="false">IF(Raw_Export!$A142="","",IF(COUNTIF($A$2:A142,A142)&gt;1,"Duplicate",""))</f>
        <v/>
      </c>
      <c r="K142" s="36" t="str">
        <f aca="false">IF(Raw_Export!$A142="","",IF(J142="Duplicate","Duplicate",IF(OR(C142="UNMAPPED",D142="UNMAPPED"),"Unmapped",IF(F142=0,"Blank qty",IF(F142&lt;0,"Return","OK")))))</f>
        <v>OK</v>
      </c>
      <c r="L142" s="36" t="n">
        <f aca="false">IF(Raw_Export!$A142="","",IF(OR(K142="OK",K142="Return"),1,0))</f>
        <v>1</v>
      </c>
      <c r="M142" s="37" t="n">
        <f aca="false">IF(Raw_Export!$A142="","",B142-WEEKDAY(B142,2)+1)</f>
        <v>46265</v>
      </c>
    </row>
    <row r="143" customFormat="false" ht="15" hidden="false" customHeight="false" outlineLevel="0" collapsed="false">
      <c r="A143" s="36" t="str">
        <f aca="false">IF(Raw_Export!$A143="","",TRIM(Raw_Export!A143))</f>
        <v>TXN-100141</v>
      </c>
      <c r="B143" s="37" t="n">
        <f aca="false">IF(Raw_Export!$A143="","",IF(ISNUMBER(Raw_Export!B143),Raw_Export!B143,IF(MID(TRIM(Raw_Export!B143),5,1)="-",DATE(LEFT(TRIM(Raw_Export!B143),4),MID(TRIM(Raw_Export!B143),6,2),RIGHT(TRIM(Raw_Export!B143),2)),DATE(RIGHT(TRIM(Raw_Export!B143),4),MATCH(MID(TRIM(Raw_Export!B143),4,3),{"Jan","Feb","Mar","Apr","May","Jun","Jul","Aug","Sep","Oct","Nov","Dec"},0),LEFT(TRIM(Raw_Export!B143),2)))))</f>
        <v>46266</v>
      </c>
      <c r="C143" s="36" t="str">
        <f aca="false">IF(Raw_Export!$A143="","",IFERROR(VLOOKUP(LOWER(TRIM(Raw_Export!C143)),Maps!$A$2:$B$20,2,FALSE()),"UNMAPPED"))</f>
        <v>Nairobi CBD</v>
      </c>
      <c r="D143" s="36" t="str">
        <f aca="false">IF(Raw_Export!$A143="","",IFERROR(VLOOKUP(LOWER(TRIM(Raw_Export!D143)),Maps!$G$2:$I$80,2,FALSE()),"UNMAPPED"))</f>
        <v>Rice Pishori 2kg</v>
      </c>
      <c r="E143" s="36" t="str">
        <f aca="false">IF(Raw_Export!$A143="","",IFERROR(VLOOKUP(LOWER(TRIM(Raw_Export!D143)),Maps!$G$2:$I$80,3,FALSE()),"UNMAPPED"))</f>
        <v>Staples</v>
      </c>
      <c r="F143" s="36" t="n">
        <f aca="false">IF(Raw_Export!$A143="","",IFERROR(VALUE(TRIM(Raw_Export!E143)),0))</f>
        <v>3</v>
      </c>
      <c r="G143" s="38" t="n">
        <f aca="false">IF(Raw_Export!$A143="","",IFERROR(VALUE(SUBSTITUTE(SUBSTITUTE(UPPER(TRIM(Raw_Export!F143)),"KES",""),",","")),0))</f>
        <v>378</v>
      </c>
      <c r="H143" s="38" t="n">
        <f aca="false">IF(Raw_Export!$A143="","",F143*G143)</f>
        <v>1134</v>
      </c>
      <c r="I143" s="36" t="str">
        <f aca="false">IF(Raw_Export!$A143="","",IFERROR(VLOOKUP(LOWER(TRIM(Raw_Export!H143)),Maps!$D$2:$E$12,2,FALSE()),"Other"))</f>
        <v>Cash</v>
      </c>
      <c r="J143" s="36" t="str">
        <f aca="false">IF(Raw_Export!$A143="","",IF(COUNTIF($A$2:A143,A143)&gt;1,"Duplicate",""))</f>
        <v/>
      </c>
      <c r="K143" s="36" t="str">
        <f aca="false">IF(Raw_Export!$A143="","",IF(J143="Duplicate","Duplicate",IF(OR(C143="UNMAPPED",D143="UNMAPPED"),"Unmapped",IF(F143=0,"Blank qty",IF(F143&lt;0,"Return","OK")))))</f>
        <v>OK</v>
      </c>
      <c r="L143" s="36" t="n">
        <f aca="false">IF(Raw_Export!$A143="","",IF(OR(K143="OK",K143="Return"),1,0))</f>
        <v>1</v>
      </c>
      <c r="M143" s="37" t="n">
        <f aca="false">IF(Raw_Export!$A143="","",B143-WEEKDAY(B143,2)+1)</f>
        <v>46265</v>
      </c>
    </row>
    <row r="144" customFormat="false" ht="15" hidden="false" customHeight="false" outlineLevel="0" collapsed="false">
      <c r="A144" s="36" t="str">
        <f aca="false">IF(Raw_Export!$A144="","",TRIM(Raw_Export!A144))</f>
        <v>TXN-100142</v>
      </c>
      <c r="B144" s="37" t="n">
        <f aca="false">IF(Raw_Export!$A144="","",IF(ISNUMBER(Raw_Export!B144),Raw_Export!B144,IF(MID(TRIM(Raw_Export!B144),5,1)="-",DATE(LEFT(TRIM(Raw_Export!B144),4),MID(TRIM(Raw_Export!B144),6,2),RIGHT(TRIM(Raw_Export!B144),2)),DATE(RIGHT(TRIM(Raw_Export!B144),4),MATCH(MID(TRIM(Raw_Export!B144),4,3),{"Jan","Feb","Mar","Apr","May","Jun","Jul","Aug","Sep","Oct","Nov","Dec"},0),LEFT(TRIM(Raw_Export!B144),2)))))</f>
        <v>46266</v>
      </c>
      <c r="C144" s="36" t="str">
        <f aca="false">IF(Raw_Export!$A144="","",IFERROR(VLOOKUP(LOWER(TRIM(Raw_Export!C144)),Maps!$A$2:$B$20,2,FALSE()),"UNMAPPED"))</f>
        <v>Nairobi CBD</v>
      </c>
      <c r="D144" s="36" t="str">
        <f aca="false">IF(Raw_Export!$A144="","",IFERROR(VLOOKUP(LOWER(TRIM(Raw_Export!D144)),Maps!$G$2:$I$80,2,FALSE()),"UNMAPPED"))</f>
        <v>Fresh Milk 500ml</v>
      </c>
      <c r="E144" s="36" t="str">
        <f aca="false">IF(Raw_Export!$A144="","",IFERROR(VLOOKUP(LOWER(TRIM(Raw_Export!D144)),Maps!$G$2:$I$80,3,FALSE()),"UNMAPPED"))</f>
        <v>Dairy &amp; Eggs</v>
      </c>
      <c r="F144" s="36" t="n">
        <f aca="false">IF(Raw_Export!$A144="","",IFERROR(VALUE(TRIM(Raw_Export!E144)),0))</f>
        <v>1</v>
      </c>
      <c r="G144" s="38" t="n">
        <f aca="false">IF(Raw_Export!$A144="","",IFERROR(VALUE(SUBSTITUTE(SUBSTITUTE(UPPER(TRIM(Raw_Export!F144)),"KES",""),",","")),0))</f>
        <v>65</v>
      </c>
      <c r="H144" s="38" t="n">
        <f aca="false">IF(Raw_Export!$A144="","",F144*G144)</f>
        <v>65</v>
      </c>
      <c r="I144" s="36" t="str">
        <f aca="false">IF(Raw_Export!$A144="","",IFERROR(VLOOKUP(LOWER(TRIM(Raw_Export!H144)),Maps!$D$2:$E$12,2,FALSE()),"Other"))</f>
        <v>M-Pesa</v>
      </c>
      <c r="J144" s="36" t="str">
        <f aca="false">IF(Raw_Export!$A144="","",IF(COUNTIF($A$2:A144,A144)&gt;1,"Duplicate",""))</f>
        <v/>
      </c>
      <c r="K144" s="36" t="str">
        <f aca="false">IF(Raw_Export!$A144="","",IF(J144="Duplicate","Duplicate",IF(OR(C144="UNMAPPED",D144="UNMAPPED"),"Unmapped",IF(F144=0,"Blank qty",IF(F144&lt;0,"Return","OK")))))</f>
        <v>OK</v>
      </c>
      <c r="L144" s="36" t="n">
        <f aca="false">IF(Raw_Export!$A144="","",IF(OR(K144="OK",K144="Return"),1,0))</f>
        <v>1</v>
      </c>
      <c r="M144" s="37" t="n">
        <f aca="false">IF(Raw_Export!$A144="","",B144-WEEKDAY(B144,2)+1)</f>
        <v>46265</v>
      </c>
    </row>
    <row r="145" customFormat="false" ht="15" hidden="false" customHeight="false" outlineLevel="0" collapsed="false">
      <c r="A145" s="36" t="str">
        <f aca="false">IF(Raw_Export!$A145="","",TRIM(Raw_Export!A145))</f>
        <v>TXN-100143</v>
      </c>
      <c r="B145" s="37" t="n">
        <f aca="false">IF(Raw_Export!$A145="","",IF(ISNUMBER(Raw_Export!B145),Raw_Export!B145,IF(MID(TRIM(Raw_Export!B145),5,1)="-",DATE(LEFT(TRIM(Raw_Export!B145),4),MID(TRIM(Raw_Export!B145),6,2),RIGHT(TRIM(Raw_Export!B145),2)),DATE(RIGHT(TRIM(Raw_Export!B145),4),MATCH(MID(TRIM(Raw_Export!B145),4,3),{"Jan","Feb","Mar","Apr","May","Jun","Jul","Aug","Sep","Oct","Nov","Dec"},0),LEFT(TRIM(Raw_Export!B145),2)))))</f>
        <v>46266</v>
      </c>
      <c r="C145" s="36" t="str">
        <f aca="false">IF(Raw_Export!$A145="","",IFERROR(VLOOKUP(LOWER(TRIM(Raw_Export!C145)),Maps!$A$2:$B$20,2,FALSE()),"UNMAPPED"))</f>
        <v>Nairobi CBD</v>
      </c>
      <c r="D145" s="36" t="str">
        <f aca="false">IF(Raw_Export!$A145="","",IFERROR(VLOOKUP(LOWER(TRIM(Raw_Export!D145)),Maps!$G$2:$I$80,2,FALSE()),"UNMAPPED"))</f>
        <v>Juice 1L</v>
      </c>
      <c r="E145" s="36" t="str">
        <f aca="false">IF(Raw_Export!$A145="","",IFERROR(VLOOKUP(LOWER(TRIM(Raw_Export!D145)),Maps!$G$2:$I$80,3,FALSE()),"UNMAPPED"))</f>
        <v>Beverages</v>
      </c>
      <c r="F145" s="36" t="n">
        <f aca="false">IF(Raw_Export!$A145="","",IFERROR(VALUE(TRIM(Raw_Export!E145)),0))</f>
        <v>3</v>
      </c>
      <c r="G145" s="38" t="n">
        <f aca="false">IF(Raw_Export!$A145="","",IFERROR(VALUE(SUBSTITUTE(SUBSTITUTE(UPPER(TRIM(Raw_Export!F145)),"KES",""),",","")),0))</f>
        <v>210</v>
      </c>
      <c r="H145" s="38" t="n">
        <f aca="false">IF(Raw_Export!$A145="","",F145*G145)</f>
        <v>630</v>
      </c>
      <c r="I145" s="36" t="str">
        <f aca="false">IF(Raw_Export!$A145="","",IFERROR(VLOOKUP(LOWER(TRIM(Raw_Export!H145)),Maps!$D$2:$E$12,2,FALSE()),"Other"))</f>
        <v>Cash</v>
      </c>
      <c r="J145" s="36" t="str">
        <f aca="false">IF(Raw_Export!$A145="","",IF(COUNTIF($A$2:A145,A145)&gt;1,"Duplicate",""))</f>
        <v/>
      </c>
      <c r="K145" s="36" t="str">
        <f aca="false">IF(Raw_Export!$A145="","",IF(J145="Duplicate","Duplicate",IF(OR(C145="UNMAPPED",D145="UNMAPPED"),"Unmapped",IF(F145=0,"Blank qty",IF(F145&lt;0,"Return","OK")))))</f>
        <v>OK</v>
      </c>
      <c r="L145" s="36" t="n">
        <f aca="false">IF(Raw_Export!$A145="","",IF(OR(K145="OK",K145="Return"),1,0))</f>
        <v>1</v>
      </c>
      <c r="M145" s="37" t="n">
        <f aca="false">IF(Raw_Export!$A145="","",B145-WEEKDAY(B145,2)+1)</f>
        <v>46265</v>
      </c>
    </row>
    <row r="146" customFormat="false" ht="15" hidden="false" customHeight="false" outlineLevel="0" collapsed="false">
      <c r="A146" s="36" t="str">
        <f aca="false">IF(Raw_Export!$A146="","",TRIM(Raw_Export!A146))</f>
        <v>TXN-100144</v>
      </c>
      <c r="B146" s="37" t="n">
        <f aca="false">IF(Raw_Export!$A146="","",IF(ISNUMBER(Raw_Export!B146),Raw_Export!B146,IF(MID(TRIM(Raw_Export!B146),5,1)="-",DATE(LEFT(TRIM(Raw_Export!B146),4),MID(TRIM(Raw_Export!B146),6,2),RIGHT(TRIM(Raw_Export!B146),2)),DATE(RIGHT(TRIM(Raw_Export!B146),4),MATCH(MID(TRIM(Raw_Export!B146),4,3),{"Jan","Feb","Mar","Apr","May","Jun","Jul","Aug","Sep","Oct","Nov","Dec"},0),LEFT(TRIM(Raw_Export!B146),2)))))</f>
        <v>46266</v>
      </c>
      <c r="C146" s="36" t="str">
        <f aca="false">IF(Raw_Export!$A146="","",IFERROR(VLOOKUP(LOWER(TRIM(Raw_Export!C146)),Maps!$A$2:$B$20,2,FALSE()),"UNMAPPED"))</f>
        <v>Nairobi CBD</v>
      </c>
      <c r="D146" s="36" t="str">
        <f aca="false">IF(Raw_Export!$A146="","",IFERROR(VLOOKUP(LOWER(TRIM(Raw_Export!D146)),Maps!$G$2:$I$80,2,FALSE()),"UNMAPPED"))</f>
        <v>Peanuts 250g</v>
      </c>
      <c r="E146" s="36" t="str">
        <f aca="false">IF(Raw_Export!$A146="","",IFERROR(VLOOKUP(LOWER(TRIM(Raw_Export!D146)),Maps!$G$2:$I$80,3,FALSE()),"UNMAPPED"))</f>
        <v>Snacks</v>
      </c>
      <c r="F146" s="36" t="n">
        <f aca="false">IF(Raw_Export!$A146="","",IFERROR(VALUE(TRIM(Raw_Export!E146)),0))</f>
        <v>2</v>
      </c>
      <c r="G146" s="38" t="n">
        <f aca="false">IF(Raw_Export!$A146="","",IFERROR(VALUE(SUBSTITUTE(SUBSTITUTE(UPPER(TRIM(Raw_Export!F146)),"KES",""),",","")),0))</f>
        <v>130</v>
      </c>
      <c r="H146" s="38" t="n">
        <f aca="false">IF(Raw_Export!$A146="","",F146*G146)</f>
        <v>260</v>
      </c>
      <c r="I146" s="36" t="str">
        <f aca="false">IF(Raw_Export!$A146="","",IFERROR(VLOOKUP(LOWER(TRIM(Raw_Export!H146)),Maps!$D$2:$E$12,2,FALSE()),"Other"))</f>
        <v>M-Pesa</v>
      </c>
      <c r="J146" s="36" t="str">
        <f aca="false">IF(Raw_Export!$A146="","",IF(COUNTIF($A$2:A146,A146)&gt;1,"Duplicate",""))</f>
        <v/>
      </c>
      <c r="K146" s="36" t="str">
        <f aca="false">IF(Raw_Export!$A146="","",IF(J146="Duplicate","Duplicate",IF(OR(C146="UNMAPPED",D146="UNMAPPED"),"Unmapped",IF(F146=0,"Blank qty",IF(F146&lt;0,"Return","OK")))))</f>
        <v>OK</v>
      </c>
      <c r="L146" s="36" t="n">
        <f aca="false">IF(Raw_Export!$A146="","",IF(OR(K146="OK",K146="Return"),1,0))</f>
        <v>1</v>
      </c>
      <c r="M146" s="37" t="n">
        <f aca="false">IF(Raw_Export!$A146="","",B146-WEEKDAY(B146,2)+1)</f>
        <v>46265</v>
      </c>
    </row>
    <row r="147" customFormat="false" ht="15" hidden="false" customHeight="false" outlineLevel="0" collapsed="false">
      <c r="A147" s="36" t="str">
        <f aca="false">IF(Raw_Export!$A147="","",TRIM(Raw_Export!A147))</f>
        <v>TXN-100145</v>
      </c>
      <c r="B147" s="37" t="n">
        <f aca="false">IF(Raw_Export!$A147="","",IF(ISNUMBER(Raw_Export!B147),Raw_Export!B147,IF(MID(TRIM(Raw_Export!B147),5,1)="-",DATE(LEFT(TRIM(Raw_Export!B147),4),MID(TRIM(Raw_Export!B147),6,2),RIGHT(TRIM(Raw_Export!B147),2)),DATE(RIGHT(TRIM(Raw_Export!B147),4),MATCH(MID(TRIM(Raw_Export!B147),4,3),{"Jan","Feb","Mar","Apr","May","Jun","Jul","Aug","Sep","Oct","Nov","Dec"},0),LEFT(TRIM(Raw_Export!B147),2)))))</f>
        <v>46266</v>
      </c>
      <c r="C147" s="36" t="str">
        <f aca="false">IF(Raw_Export!$A147="","",IFERROR(VLOOKUP(LOWER(TRIM(Raw_Export!C147)),Maps!$A$2:$B$20,2,FALSE()),"UNMAPPED"))</f>
        <v>Nairobi CBD</v>
      </c>
      <c r="D147" s="36" t="str">
        <f aca="false">IF(Raw_Export!$A147="","",IFERROR(VLOOKUP(LOWER(TRIM(Raw_Export!D147)),Maps!$G$2:$I$80,2,FALSE()),"UNMAPPED"))</f>
        <v>Spaghetti 400g</v>
      </c>
      <c r="E147" s="36" t="str">
        <f aca="false">IF(Raw_Export!$A147="","",IFERROR(VLOOKUP(LOWER(TRIM(Raw_Export!D147)),Maps!$G$2:$I$80,3,FALSE()),"UNMAPPED"))</f>
        <v>Staples</v>
      </c>
      <c r="F147" s="36" t="n">
        <f aca="false">IF(Raw_Export!$A147="","",IFERROR(VALUE(TRIM(Raw_Export!E147)),0))</f>
        <v>2</v>
      </c>
      <c r="G147" s="38" t="n">
        <f aca="false">IF(Raw_Export!$A147="","",IFERROR(VALUE(SUBSTITUTE(SUBSTITUTE(UPPER(TRIM(Raw_Export!F147)),"KES",""),",","")),0))</f>
        <v>110</v>
      </c>
      <c r="H147" s="38" t="n">
        <f aca="false">IF(Raw_Export!$A147="","",F147*G147)</f>
        <v>220</v>
      </c>
      <c r="I147" s="36" t="str">
        <f aca="false">IF(Raw_Export!$A147="","",IFERROR(VLOOKUP(LOWER(TRIM(Raw_Export!H147)),Maps!$D$2:$E$12,2,FALSE()),"Other"))</f>
        <v>Cash</v>
      </c>
      <c r="J147" s="36" t="str">
        <f aca="false">IF(Raw_Export!$A147="","",IF(COUNTIF($A$2:A147,A147)&gt;1,"Duplicate",""))</f>
        <v/>
      </c>
      <c r="K147" s="36" t="str">
        <f aca="false">IF(Raw_Export!$A147="","",IF(J147="Duplicate","Duplicate",IF(OR(C147="UNMAPPED",D147="UNMAPPED"),"Unmapped",IF(F147=0,"Blank qty",IF(F147&lt;0,"Return","OK")))))</f>
        <v>OK</v>
      </c>
      <c r="L147" s="36" t="n">
        <f aca="false">IF(Raw_Export!$A147="","",IF(OR(K147="OK",K147="Return"),1,0))</f>
        <v>1</v>
      </c>
      <c r="M147" s="37" t="n">
        <f aca="false">IF(Raw_Export!$A147="","",B147-WEEKDAY(B147,2)+1)</f>
        <v>46265</v>
      </c>
    </row>
    <row r="148" customFormat="false" ht="15" hidden="false" customHeight="false" outlineLevel="0" collapsed="false">
      <c r="A148" s="36" t="str">
        <f aca="false">IF(Raw_Export!$A148="","",TRIM(Raw_Export!A148))</f>
        <v>TXN-100146</v>
      </c>
      <c r="B148" s="37" t="n">
        <f aca="false">IF(Raw_Export!$A148="","",IF(ISNUMBER(Raw_Export!B148),Raw_Export!B148,IF(MID(TRIM(Raw_Export!B148),5,1)="-",DATE(LEFT(TRIM(Raw_Export!B148),4),MID(TRIM(Raw_Export!B148),6,2),RIGHT(TRIM(Raw_Export!B148),2)),DATE(RIGHT(TRIM(Raw_Export!B148),4),MATCH(MID(TRIM(Raw_Export!B148),4,3),{"Jan","Feb","Mar","Apr","May","Jun","Jul","Aug","Sep","Oct","Nov","Dec"},0),LEFT(TRIM(Raw_Export!B148),2)))))</f>
        <v>46266</v>
      </c>
      <c r="C148" s="36" t="str">
        <f aca="false">IF(Raw_Export!$A148="","",IFERROR(VLOOKUP(LOWER(TRIM(Raw_Export!C148)),Maps!$A$2:$B$20,2,FALSE()),"UNMAPPED"))</f>
        <v>Nairobi CBD</v>
      </c>
      <c r="D148" s="36" t="str">
        <f aca="false">IF(Raw_Export!$A148="","",IFERROR(VLOOKUP(LOWER(TRIM(Raw_Export!D148)),Maps!$G$2:$I$80,2,FALSE()),"UNMAPPED"))</f>
        <v>Peanuts 250g</v>
      </c>
      <c r="E148" s="36" t="str">
        <f aca="false">IF(Raw_Export!$A148="","",IFERROR(VLOOKUP(LOWER(TRIM(Raw_Export!D148)),Maps!$G$2:$I$80,3,FALSE()),"UNMAPPED"))</f>
        <v>Snacks</v>
      </c>
      <c r="F148" s="36" t="n">
        <f aca="false">IF(Raw_Export!$A148="","",IFERROR(VALUE(TRIM(Raw_Export!E148)),0))</f>
        <v>2</v>
      </c>
      <c r="G148" s="38" t="n">
        <f aca="false">IF(Raw_Export!$A148="","",IFERROR(VALUE(SUBSTITUTE(SUBSTITUTE(UPPER(TRIM(Raw_Export!F148)),"KES",""),",","")),0))</f>
        <v>130</v>
      </c>
      <c r="H148" s="38" t="n">
        <f aca="false">IF(Raw_Export!$A148="","",F148*G148)</f>
        <v>260</v>
      </c>
      <c r="I148" s="36" t="str">
        <f aca="false">IF(Raw_Export!$A148="","",IFERROR(VLOOKUP(LOWER(TRIM(Raw_Export!H148)),Maps!$D$2:$E$12,2,FALSE()),"Other"))</f>
        <v>Card</v>
      </c>
      <c r="J148" s="36" t="str">
        <f aca="false">IF(Raw_Export!$A148="","",IF(COUNTIF($A$2:A148,A148)&gt;1,"Duplicate",""))</f>
        <v/>
      </c>
      <c r="K148" s="36" t="str">
        <f aca="false">IF(Raw_Export!$A148="","",IF(J148="Duplicate","Duplicate",IF(OR(C148="UNMAPPED",D148="UNMAPPED"),"Unmapped",IF(F148=0,"Blank qty",IF(F148&lt;0,"Return","OK")))))</f>
        <v>OK</v>
      </c>
      <c r="L148" s="36" t="n">
        <f aca="false">IF(Raw_Export!$A148="","",IF(OR(K148="OK",K148="Return"),1,0))</f>
        <v>1</v>
      </c>
      <c r="M148" s="37" t="n">
        <f aca="false">IF(Raw_Export!$A148="","",B148-WEEKDAY(B148,2)+1)</f>
        <v>46265</v>
      </c>
    </row>
    <row r="149" customFormat="false" ht="15" hidden="false" customHeight="false" outlineLevel="0" collapsed="false">
      <c r="A149" s="36" t="str">
        <f aca="false">IF(Raw_Export!$A149="","",TRIM(Raw_Export!A149))</f>
        <v>TXN-100147</v>
      </c>
      <c r="B149" s="37" t="n">
        <f aca="false">IF(Raw_Export!$A149="","",IF(ISNUMBER(Raw_Export!B149),Raw_Export!B149,IF(MID(TRIM(Raw_Export!B149),5,1)="-",DATE(LEFT(TRIM(Raw_Export!B149),4),MID(TRIM(Raw_Export!B149),6,2),RIGHT(TRIM(Raw_Export!B149),2)),DATE(RIGHT(TRIM(Raw_Export!B149),4),MATCH(MID(TRIM(Raw_Export!B149),4,3),{"Jan","Feb","Mar","Apr","May","Jun","Jul","Aug","Sep","Oct","Nov","Dec"},0),LEFT(TRIM(Raw_Export!B149),2)))))</f>
        <v>46266</v>
      </c>
      <c r="C149" s="36" t="str">
        <f aca="false">IF(Raw_Export!$A149="","",IFERROR(VLOOKUP(LOWER(TRIM(Raw_Export!C149)),Maps!$A$2:$B$20,2,FALSE()),"UNMAPPED"))</f>
        <v>Nairobi CBD</v>
      </c>
      <c r="D149" s="36" t="str">
        <f aca="false">IF(Raw_Export!$A149="","",IFERROR(VLOOKUP(LOWER(TRIM(Raw_Export!D149)),Maps!$G$2:$I$80,2,FALSE()),"UNMAPPED"))</f>
        <v>Soda 500ml</v>
      </c>
      <c r="E149" s="36" t="str">
        <f aca="false">IF(Raw_Export!$A149="","",IFERROR(VLOOKUP(LOWER(TRIM(Raw_Export!D149)),Maps!$G$2:$I$80,3,FALSE()),"UNMAPPED"))</f>
        <v>Beverages</v>
      </c>
      <c r="F149" s="36" t="n">
        <f aca="false">IF(Raw_Export!$A149="","",IFERROR(VALUE(TRIM(Raw_Export!E149)),0))</f>
        <v>2</v>
      </c>
      <c r="G149" s="38" t="n">
        <f aca="false">IF(Raw_Export!$A149="","",IFERROR(VALUE(SUBSTITUTE(SUBSTITUTE(UPPER(TRIM(Raw_Export!F149)),"KES",""),",","")),0))</f>
        <v>54</v>
      </c>
      <c r="H149" s="38" t="n">
        <f aca="false">IF(Raw_Export!$A149="","",F149*G149)</f>
        <v>108</v>
      </c>
      <c r="I149" s="36" t="str">
        <f aca="false">IF(Raw_Export!$A149="","",IFERROR(VLOOKUP(LOWER(TRIM(Raw_Export!H149)),Maps!$D$2:$E$12,2,FALSE()),"Other"))</f>
        <v>Cash</v>
      </c>
      <c r="J149" s="36" t="str">
        <f aca="false">IF(Raw_Export!$A149="","",IF(COUNTIF($A$2:A149,A149)&gt;1,"Duplicate",""))</f>
        <v/>
      </c>
      <c r="K149" s="36" t="str">
        <f aca="false">IF(Raw_Export!$A149="","",IF(J149="Duplicate","Duplicate",IF(OR(C149="UNMAPPED",D149="UNMAPPED"),"Unmapped",IF(F149=0,"Blank qty",IF(F149&lt;0,"Return","OK")))))</f>
        <v>OK</v>
      </c>
      <c r="L149" s="36" t="n">
        <f aca="false">IF(Raw_Export!$A149="","",IF(OR(K149="OK",K149="Return"),1,0))</f>
        <v>1</v>
      </c>
      <c r="M149" s="37" t="n">
        <f aca="false">IF(Raw_Export!$A149="","",B149-WEEKDAY(B149,2)+1)</f>
        <v>46265</v>
      </c>
    </row>
    <row r="150" customFormat="false" ht="15" hidden="false" customHeight="false" outlineLevel="0" collapsed="false">
      <c r="A150" s="36" t="str">
        <f aca="false">IF(Raw_Export!$A150="","",TRIM(Raw_Export!A150))</f>
        <v>TXN-100148</v>
      </c>
      <c r="B150" s="37" t="n">
        <f aca="false">IF(Raw_Export!$A150="","",IF(ISNUMBER(Raw_Export!B150),Raw_Export!B150,IF(MID(TRIM(Raw_Export!B150),5,1)="-",DATE(LEFT(TRIM(Raw_Export!B150),4),MID(TRIM(Raw_Export!B150),6,2),RIGHT(TRIM(Raw_Export!B150),2)),DATE(RIGHT(TRIM(Raw_Export!B150),4),MATCH(MID(TRIM(Raw_Export!B150),4,3),{"Jan","Feb","Mar","Apr","May","Jun","Jul","Aug","Sep","Oct","Nov","Dec"},0),LEFT(TRIM(Raw_Export!B150),2)))))</f>
        <v>46266</v>
      </c>
      <c r="C150" s="36" t="str">
        <f aca="false">IF(Raw_Export!$A150="","",IFERROR(VLOOKUP(LOWER(TRIM(Raw_Export!C150)),Maps!$A$2:$B$20,2,FALSE()),"UNMAPPED"))</f>
        <v>Nairobi CBD</v>
      </c>
      <c r="D150" s="36" t="str">
        <f aca="false">IF(Raw_Export!$A150="","",IFERROR(VLOOKUP(LOWER(TRIM(Raw_Export!D150)),Maps!$G$2:$I$80,2,FALSE()),"UNMAPPED"))</f>
        <v>Salt 500g</v>
      </c>
      <c r="E150" s="36" t="str">
        <f aca="false">IF(Raw_Export!$A150="","",IFERROR(VLOOKUP(LOWER(TRIM(Raw_Export!D150)),Maps!$G$2:$I$80,3,FALSE()),"UNMAPPED"))</f>
        <v>Staples</v>
      </c>
      <c r="F150" s="36" t="n">
        <f aca="false">IF(Raw_Export!$A150="","",IFERROR(VALUE(TRIM(Raw_Export!E150)),0))</f>
        <v>1</v>
      </c>
      <c r="G150" s="38" t="n">
        <f aca="false">IF(Raw_Export!$A150="","",IFERROR(VALUE(SUBSTITUTE(SUBSTITUTE(UPPER(TRIM(Raw_Export!F150)),"KES",""),",","")),0))</f>
        <v>40</v>
      </c>
      <c r="H150" s="38" t="n">
        <f aca="false">IF(Raw_Export!$A150="","",F150*G150)</f>
        <v>40</v>
      </c>
      <c r="I150" s="36" t="str">
        <f aca="false">IF(Raw_Export!$A150="","",IFERROR(VLOOKUP(LOWER(TRIM(Raw_Export!H150)),Maps!$D$2:$E$12,2,FALSE()),"Other"))</f>
        <v>M-Pesa</v>
      </c>
      <c r="J150" s="36" t="str">
        <f aca="false">IF(Raw_Export!$A150="","",IF(COUNTIF($A$2:A150,A150)&gt;1,"Duplicate",""))</f>
        <v/>
      </c>
      <c r="K150" s="36" t="str">
        <f aca="false">IF(Raw_Export!$A150="","",IF(J150="Duplicate","Duplicate",IF(OR(C150="UNMAPPED",D150="UNMAPPED"),"Unmapped",IF(F150=0,"Blank qty",IF(F150&lt;0,"Return","OK")))))</f>
        <v>OK</v>
      </c>
      <c r="L150" s="36" t="n">
        <f aca="false">IF(Raw_Export!$A150="","",IF(OR(K150="OK",K150="Return"),1,0))</f>
        <v>1</v>
      </c>
      <c r="M150" s="37" t="n">
        <f aca="false">IF(Raw_Export!$A150="","",B150-WEEKDAY(B150,2)+1)</f>
        <v>46265</v>
      </c>
    </row>
    <row r="151" customFormat="false" ht="15" hidden="false" customHeight="false" outlineLevel="0" collapsed="false">
      <c r="A151" s="36" t="str">
        <f aca="false">IF(Raw_Export!$A151="","",TRIM(Raw_Export!A151))</f>
        <v>TXN-100149</v>
      </c>
      <c r="B151" s="37" t="n">
        <f aca="false">IF(Raw_Export!$A151="","",IF(ISNUMBER(Raw_Export!B151),Raw_Export!B151,IF(MID(TRIM(Raw_Export!B151),5,1)="-",DATE(LEFT(TRIM(Raw_Export!B151),4),MID(TRIM(Raw_Export!B151),6,2),RIGHT(TRIM(Raw_Export!B151),2)),DATE(RIGHT(TRIM(Raw_Export!B151),4),MATCH(MID(TRIM(Raw_Export!B151),4,3),{"Jan","Feb","Mar","Apr","May","Jun","Jul","Aug","Sep","Oct","Nov","Dec"},0),LEFT(TRIM(Raw_Export!B151),2)))))</f>
        <v>46266</v>
      </c>
      <c r="C151" s="36" t="str">
        <f aca="false">IF(Raw_Export!$A151="","",IFERROR(VLOOKUP(LOWER(TRIM(Raw_Export!C151)),Maps!$A$2:$B$20,2,FALSE()),"UNMAPPED"))</f>
        <v>Nairobi CBD</v>
      </c>
      <c r="D151" s="36" t="str">
        <f aca="false">IF(Raw_Export!$A151="","",IFERROR(VLOOKUP(LOWER(TRIM(Raw_Export!D151)),Maps!$G$2:$I$80,2,FALSE()),"UNMAPPED"))</f>
        <v>UNMAPPED</v>
      </c>
      <c r="E151" s="36" t="str">
        <f aca="false">IF(Raw_Export!$A151="","",IFERROR(VLOOKUP(LOWER(TRIM(Raw_Export!D151)),Maps!$G$2:$I$80,3,FALSE()),"UNMAPPED"))</f>
        <v>UNMAPPED</v>
      </c>
      <c r="F151" s="36" t="n">
        <f aca="false">IF(Raw_Export!$A151="","",IFERROR(VALUE(TRIM(Raw_Export!E151)),0))</f>
        <v>1</v>
      </c>
      <c r="G151" s="38" t="n">
        <f aca="false">IF(Raw_Export!$A151="","",IFERROR(VALUE(SUBSTITUTE(SUBSTITUTE(UPPER(TRIM(Raw_Export!F151)),"KES",""),",","")),0))</f>
        <v>342</v>
      </c>
      <c r="H151" s="38" t="n">
        <f aca="false">IF(Raw_Export!$A151="","",F151*G151)</f>
        <v>342</v>
      </c>
      <c r="I151" s="36" t="str">
        <f aca="false">IF(Raw_Export!$A151="","",IFERROR(VLOOKUP(LOWER(TRIM(Raw_Export!H151)),Maps!$D$2:$E$12,2,FALSE()),"Other"))</f>
        <v>Card</v>
      </c>
      <c r="J151" s="36" t="str">
        <f aca="false">IF(Raw_Export!$A151="","",IF(COUNTIF($A$2:A151,A151)&gt;1,"Duplicate",""))</f>
        <v/>
      </c>
      <c r="K151" s="36" t="str">
        <f aca="false">IF(Raw_Export!$A151="","",IF(J151="Duplicate","Duplicate",IF(OR(C151="UNMAPPED",D151="UNMAPPED"),"Unmapped",IF(F151=0,"Blank qty",IF(F151&lt;0,"Return","OK")))))</f>
        <v>Unmapped</v>
      </c>
      <c r="L151" s="36" t="n">
        <f aca="false">IF(Raw_Export!$A151="","",IF(OR(K151="OK",K151="Return"),1,0))</f>
        <v>0</v>
      </c>
      <c r="M151" s="37" t="n">
        <f aca="false">IF(Raw_Export!$A151="","",B151-WEEKDAY(B151,2)+1)</f>
        <v>46265</v>
      </c>
    </row>
    <row r="152" customFormat="false" ht="15" hidden="false" customHeight="false" outlineLevel="0" collapsed="false">
      <c r="A152" s="36" t="str">
        <f aca="false">IF(Raw_Export!$A152="","",TRIM(Raw_Export!A152))</f>
        <v>TXN-100150</v>
      </c>
      <c r="B152" s="37" t="n">
        <f aca="false">IF(Raw_Export!$A152="","",IF(ISNUMBER(Raw_Export!B152),Raw_Export!B152,IF(MID(TRIM(Raw_Export!B152),5,1)="-",DATE(LEFT(TRIM(Raw_Export!B152),4),MID(TRIM(Raw_Export!B152),6,2),RIGHT(TRIM(Raw_Export!B152),2)),DATE(RIGHT(TRIM(Raw_Export!B152),4),MATCH(MID(TRIM(Raw_Export!B152),4,3),{"Jan","Feb","Mar","Apr","May","Jun","Jul","Aug","Sep","Oct","Nov","Dec"},0),LEFT(TRIM(Raw_Export!B152),2)))))</f>
        <v>46266</v>
      </c>
      <c r="C152" s="36" t="str">
        <f aca="false">IF(Raw_Export!$A152="","",IFERROR(VLOOKUP(LOWER(TRIM(Raw_Export!C152)),Maps!$A$2:$B$20,2,FALSE()),"UNMAPPED"))</f>
        <v>Nairobi CBD</v>
      </c>
      <c r="D152" s="36" t="str">
        <f aca="false">IF(Raw_Export!$A152="","",IFERROR(VLOOKUP(LOWER(TRIM(Raw_Export!D152)),Maps!$G$2:$I$80,2,FALSE()),"UNMAPPED"))</f>
        <v>Sugar 2kg</v>
      </c>
      <c r="E152" s="36" t="str">
        <f aca="false">IF(Raw_Export!$A152="","",IFERROR(VLOOKUP(LOWER(TRIM(Raw_Export!D152)),Maps!$G$2:$I$80,3,FALSE()),"UNMAPPED"))</f>
        <v>Staples</v>
      </c>
      <c r="F152" s="36" t="n">
        <f aca="false">IF(Raw_Export!$A152="","",IFERROR(VALUE(TRIM(Raw_Export!E152)),0))</f>
        <v>2</v>
      </c>
      <c r="G152" s="38" t="n">
        <f aca="false">IF(Raw_Export!$A152="","",IFERROR(VALUE(SUBSTITUTE(SUBSTITUTE(UPPER(TRIM(Raw_Export!F152)),"KES",""),",","")),0))</f>
        <v>330</v>
      </c>
      <c r="H152" s="38" t="n">
        <f aca="false">IF(Raw_Export!$A152="","",F152*G152)</f>
        <v>660</v>
      </c>
      <c r="I152" s="36" t="str">
        <f aca="false">IF(Raw_Export!$A152="","",IFERROR(VLOOKUP(LOWER(TRIM(Raw_Export!H152)),Maps!$D$2:$E$12,2,FALSE()),"Other"))</f>
        <v>Card</v>
      </c>
      <c r="J152" s="36" t="str">
        <f aca="false">IF(Raw_Export!$A152="","",IF(COUNTIF($A$2:A152,A152)&gt;1,"Duplicate",""))</f>
        <v/>
      </c>
      <c r="K152" s="36" t="str">
        <f aca="false">IF(Raw_Export!$A152="","",IF(J152="Duplicate","Duplicate",IF(OR(C152="UNMAPPED",D152="UNMAPPED"),"Unmapped",IF(F152=0,"Blank qty",IF(F152&lt;0,"Return","OK")))))</f>
        <v>OK</v>
      </c>
      <c r="L152" s="36" t="n">
        <f aca="false">IF(Raw_Export!$A152="","",IF(OR(K152="OK",K152="Return"),1,0))</f>
        <v>1</v>
      </c>
      <c r="M152" s="37" t="n">
        <f aca="false">IF(Raw_Export!$A152="","",B152-WEEKDAY(B152,2)+1)</f>
        <v>46265</v>
      </c>
    </row>
    <row r="153" customFormat="false" ht="15" hidden="false" customHeight="false" outlineLevel="0" collapsed="false">
      <c r="A153" s="36" t="str">
        <f aca="false">IF(Raw_Export!$A153="","",TRIM(Raw_Export!A153))</f>
        <v>TXN-100151</v>
      </c>
      <c r="B153" s="37" t="n">
        <f aca="false">IF(Raw_Export!$A153="","",IF(ISNUMBER(Raw_Export!B153),Raw_Export!B153,IF(MID(TRIM(Raw_Export!B153),5,1)="-",DATE(LEFT(TRIM(Raw_Export!B153),4),MID(TRIM(Raw_Export!B153),6,2),RIGHT(TRIM(Raw_Export!B153),2)),DATE(RIGHT(TRIM(Raw_Export!B153),4),MATCH(MID(TRIM(Raw_Export!B153),4,3),{"Jan","Feb","Mar","Apr","May","Jun","Jul","Aug","Sep","Oct","Nov","Dec"},0),LEFT(TRIM(Raw_Export!B153),2)))))</f>
        <v>46266</v>
      </c>
      <c r="C153" s="36" t="str">
        <f aca="false">IF(Raw_Export!$A153="","",IFERROR(VLOOKUP(LOWER(TRIM(Raw_Export!C153)),Maps!$A$2:$B$20,2,FALSE()),"UNMAPPED"))</f>
        <v>Nairobi CBD</v>
      </c>
      <c r="D153" s="36" t="str">
        <f aca="false">IF(Raw_Export!$A153="","",IFERROR(VLOOKUP(LOWER(TRIM(Raw_Export!D153)),Maps!$G$2:$I$80,2,FALSE()),"UNMAPPED"))</f>
        <v>Yoghurt 500ml</v>
      </c>
      <c r="E153" s="36" t="str">
        <f aca="false">IF(Raw_Export!$A153="","",IFERROR(VLOOKUP(LOWER(TRIM(Raw_Export!D153)),Maps!$G$2:$I$80,3,FALSE()),"UNMAPPED"))</f>
        <v>Dairy &amp; Eggs</v>
      </c>
      <c r="F153" s="36" t="n">
        <f aca="false">IF(Raw_Export!$A153="","",IFERROR(VALUE(TRIM(Raw_Export!E153)),0))</f>
        <v>4</v>
      </c>
      <c r="G153" s="38" t="n">
        <f aca="false">IF(Raw_Export!$A153="","",IFERROR(VALUE(SUBSTITUTE(SUBSTITUTE(UPPER(TRIM(Raw_Export!F153)),"KES",""),",","")),0))</f>
        <v>120</v>
      </c>
      <c r="H153" s="38" t="n">
        <f aca="false">IF(Raw_Export!$A153="","",F153*G153)</f>
        <v>480</v>
      </c>
      <c r="I153" s="36" t="str">
        <f aca="false">IF(Raw_Export!$A153="","",IFERROR(VLOOKUP(LOWER(TRIM(Raw_Export!H153)),Maps!$D$2:$E$12,2,FALSE()),"Other"))</f>
        <v>M-Pesa</v>
      </c>
      <c r="J153" s="36" t="str">
        <f aca="false">IF(Raw_Export!$A153="","",IF(COUNTIF($A$2:A153,A153)&gt;1,"Duplicate",""))</f>
        <v/>
      </c>
      <c r="K153" s="36" t="str">
        <f aca="false">IF(Raw_Export!$A153="","",IF(J153="Duplicate","Duplicate",IF(OR(C153="UNMAPPED",D153="UNMAPPED"),"Unmapped",IF(F153=0,"Blank qty",IF(F153&lt;0,"Return","OK")))))</f>
        <v>OK</v>
      </c>
      <c r="L153" s="36" t="n">
        <f aca="false">IF(Raw_Export!$A153="","",IF(OR(K153="OK",K153="Return"),1,0))</f>
        <v>1</v>
      </c>
      <c r="M153" s="37" t="n">
        <f aca="false">IF(Raw_Export!$A153="","",B153-WEEKDAY(B153,2)+1)</f>
        <v>46265</v>
      </c>
    </row>
    <row r="154" customFormat="false" ht="15" hidden="false" customHeight="false" outlineLevel="0" collapsed="false">
      <c r="A154" s="36" t="str">
        <f aca="false">IF(Raw_Export!$A154="","",TRIM(Raw_Export!A154))</f>
        <v>TXN-100152</v>
      </c>
      <c r="B154" s="37" t="n">
        <f aca="false">IF(Raw_Export!$A154="","",IF(ISNUMBER(Raw_Export!B154),Raw_Export!B154,IF(MID(TRIM(Raw_Export!B154),5,1)="-",DATE(LEFT(TRIM(Raw_Export!B154),4),MID(TRIM(Raw_Export!B154),6,2),RIGHT(TRIM(Raw_Export!B154),2)),DATE(RIGHT(TRIM(Raw_Export!B154),4),MATCH(MID(TRIM(Raw_Export!B154),4,3),{"Jan","Feb","Mar","Apr","May","Jun","Jul","Aug","Sep","Oct","Nov","Dec"},0),LEFT(TRIM(Raw_Export!B154),2)))))</f>
        <v>46266</v>
      </c>
      <c r="C154" s="36" t="str">
        <f aca="false">IF(Raw_Export!$A154="","",IFERROR(VLOOKUP(LOWER(TRIM(Raw_Export!C154)),Maps!$A$2:$B$20,2,FALSE()),"UNMAPPED"))</f>
        <v>Nairobi CBD</v>
      </c>
      <c r="D154" s="36" t="str">
        <f aca="false">IF(Raw_Export!$A154="","",IFERROR(VLOOKUP(LOWER(TRIM(Raw_Export!D154)),Maps!$G$2:$I$80,2,FALSE()),"UNMAPPED"))</f>
        <v>Crisps 100g</v>
      </c>
      <c r="E154" s="36" t="str">
        <f aca="false">IF(Raw_Export!$A154="","",IFERROR(VLOOKUP(LOWER(TRIM(Raw_Export!D154)),Maps!$G$2:$I$80,3,FALSE()),"UNMAPPED"))</f>
        <v>Snacks</v>
      </c>
      <c r="F154" s="36" t="n">
        <f aca="false">IF(Raw_Export!$A154="","",IFERROR(VALUE(TRIM(Raw_Export!E154)),0))</f>
        <v>2</v>
      </c>
      <c r="G154" s="38" t="n">
        <f aca="false">IF(Raw_Export!$A154="","",IFERROR(VALUE(SUBSTITUTE(SUBSTITUTE(UPPER(TRIM(Raw_Export!F154)),"KES",""),",","")),0))</f>
        <v>80</v>
      </c>
      <c r="H154" s="38" t="n">
        <f aca="false">IF(Raw_Export!$A154="","",F154*G154)</f>
        <v>160</v>
      </c>
      <c r="I154" s="36" t="str">
        <f aca="false">IF(Raw_Export!$A154="","",IFERROR(VLOOKUP(LOWER(TRIM(Raw_Export!H154)),Maps!$D$2:$E$12,2,FALSE()),"Other"))</f>
        <v>Cash</v>
      </c>
      <c r="J154" s="36" t="str">
        <f aca="false">IF(Raw_Export!$A154="","",IF(COUNTIF($A$2:A154,A154)&gt;1,"Duplicate",""))</f>
        <v/>
      </c>
      <c r="K154" s="36" t="str">
        <f aca="false">IF(Raw_Export!$A154="","",IF(J154="Duplicate","Duplicate",IF(OR(C154="UNMAPPED",D154="UNMAPPED"),"Unmapped",IF(F154=0,"Blank qty",IF(F154&lt;0,"Return","OK")))))</f>
        <v>OK</v>
      </c>
      <c r="L154" s="36" t="n">
        <f aca="false">IF(Raw_Export!$A154="","",IF(OR(K154="OK",K154="Return"),1,0))</f>
        <v>1</v>
      </c>
      <c r="M154" s="37" t="n">
        <f aca="false">IF(Raw_Export!$A154="","",B154-WEEKDAY(B154,2)+1)</f>
        <v>46265</v>
      </c>
    </row>
    <row r="155" customFormat="false" ht="15" hidden="false" customHeight="false" outlineLevel="0" collapsed="false">
      <c r="A155" s="36" t="str">
        <f aca="false">IF(Raw_Export!$A155="","",TRIM(Raw_Export!A155))</f>
        <v>TXN-100153</v>
      </c>
      <c r="B155" s="37" t="n">
        <f aca="false">IF(Raw_Export!$A155="","",IF(ISNUMBER(Raw_Export!B155),Raw_Export!B155,IF(MID(TRIM(Raw_Export!B155),5,1)="-",DATE(LEFT(TRIM(Raw_Export!B155),4),MID(TRIM(Raw_Export!B155),6,2),RIGHT(TRIM(Raw_Export!B155),2)),DATE(RIGHT(TRIM(Raw_Export!B155),4),MATCH(MID(TRIM(Raw_Export!B155),4,3),{"Jan","Feb","Mar","Apr","May","Jun","Jul","Aug","Sep","Oct","Nov","Dec"},0),LEFT(TRIM(Raw_Export!B155),2)))))</f>
        <v>46266</v>
      </c>
      <c r="C155" s="36" t="str">
        <f aca="false">IF(Raw_Export!$A155="","",IFERROR(VLOOKUP(LOWER(TRIM(Raw_Export!C155)),Maps!$A$2:$B$20,2,FALSE()),"UNMAPPED"))</f>
        <v>Nairobi CBD</v>
      </c>
      <c r="D155" s="36" t="str">
        <f aca="false">IF(Raw_Export!$A155="","",IFERROR(VLOOKUP(LOWER(TRIM(Raw_Export!D155)),Maps!$G$2:$I$80,2,FALSE()),"UNMAPPED"))</f>
        <v>Chocolate Bar 90g</v>
      </c>
      <c r="E155" s="36" t="str">
        <f aca="false">IF(Raw_Export!$A155="","",IFERROR(VLOOKUP(LOWER(TRIM(Raw_Export!D155)),Maps!$G$2:$I$80,3,FALSE()),"UNMAPPED"))</f>
        <v>Snacks</v>
      </c>
      <c r="F155" s="36" t="n">
        <f aca="false">IF(Raw_Export!$A155="","",IFERROR(VALUE(TRIM(Raw_Export!E155)),0))</f>
        <v>6</v>
      </c>
      <c r="G155" s="38" t="n">
        <f aca="false">IF(Raw_Export!$A155="","",IFERROR(VALUE(SUBSTITUTE(SUBSTITUTE(UPPER(TRIM(Raw_Export!F155)),"KES",""),",","")),0))</f>
        <v>140</v>
      </c>
      <c r="H155" s="38" t="n">
        <f aca="false">IF(Raw_Export!$A155="","",F155*G155)</f>
        <v>840</v>
      </c>
      <c r="I155" s="36" t="str">
        <f aca="false">IF(Raw_Export!$A155="","",IFERROR(VLOOKUP(LOWER(TRIM(Raw_Export!H155)),Maps!$D$2:$E$12,2,FALSE()),"Other"))</f>
        <v>M-Pesa</v>
      </c>
      <c r="J155" s="36" t="str">
        <f aca="false">IF(Raw_Export!$A155="","",IF(COUNTIF($A$2:A155,A155)&gt;1,"Duplicate",""))</f>
        <v/>
      </c>
      <c r="K155" s="36" t="str">
        <f aca="false">IF(Raw_Export!$A155="","",IF(J155="Duplicate","Duplicate",IF(OR(C155="UNMAPPED",D155="UNMAPPED"),"Unmapped",IF(F155=0,"Blank qty",IF(F155&lt;0,"Return","OK")))))</f>
        <v>OK</v>
      </c>
      <c r="L155" s="36" t="n">
        <f aca="false">IF(Raw_Export!$A155="","",IF(OR(K155="OK",K155="Return"),1,0))</f>
        <v>1</v>
      </c>
      <c r="M155" s="37" t="n">
        <f aca="false">IF(Raw_Export!$A155="","",B155-WEEKDAY(B155,2)+1)</f>
        <v>46265</v>
      </c>
    </row>
    <row r="156" customFormat="false" ht="15" hidden="false" customHeight="false" outlineLevel="0" collapsed="false">
      <c r="A156" s="36" t="str">
        <f aca="false">IF(Raw_Export!$A156="","",TRIM(Raw_Export!A156))</f>
        <v>TXN-100154</v>
      </c>
      <c r="B156" s="37" t="n">
        <f aca="false">IF(Raw_Export!$A156="","",IF(ISNUMBER(Raw_Export!B156),Raw_Export!B156,IF(MID(TRIM(Raw_Export!B156),5,1)="-",DATE(LEFT(TRIM(Raw_Export!B156),4),MID(TRIM(Raw_Export!B156),6,2),RIGHT(TRIM(Raw_Export!B156),2)),DATE(RIGHT(TRIM(Raw_Export!B156),4),MATCH(MID(TRIM(Raw_Export!B156),4,3),{"Jan","Feb","Mar","Apr","May","Jun","Jul","Aug","Sep","Oct","Nov","Dec"},0),LEFT(TRIM(Raw_Export!B156),2)))))</f>
        <v>46266</v>
      </c>
      <c r="C156" s="36" t="str">
        <f aca="false">IF(Raw_Export!$A156="","",IFERROR(VLOOKUP(LOWER(TRIM(Raw_Export!C156)),Maps!$A$2:$B$20,2,FALSE()),"UNMAPPED"))</f>
        <v>Nairobi CBD</v>
      </c>
      <c r="D156" s="36" t="str">
        <f aca="false">IF(Raw_Export!$A156="","",IFERROR(VLOOKUP(LOWER(TRIM(Raw_Export!D156)),Maps!$G$2:$I$80,2,FALSE()),"UNMAPPED"))</f>
        <v>Biscuits 200g</v>
      </c>
      <c r="E156" s="36" t="str">
        <f aca="false">IF(Raw_Export!$A156="","",IFERROR(VLOOKUP(LOWER(TRIM(Raw_Export!D156)),Maps!$G$2:$I$80,3,FALSE()),"UNMAPPED"))</f>
        <v>Snacks</v>
      </c>
      <c r="F156" s="36" t="n">
        <f aca="false">IF(Raw_Export!$A156="","",IFERROR(VALUE(TRIM(Raw_Export!E156)),0))</f>
        <v>2</v>
      </c>
      <c r="G156" s="38" t="n">
        <f aca="false">IF(Raw_Export!$A156="","",IFERROR(VALUE(SUBSTITUTE(SUBSTITUTE(UPPER(TRIM(Raw_Export!F156)),"KES",""),",","")),0))</f>
        <v>95</v>
      </c>
      <c r="H156" s="38" t="n">
        <f aca="false">IF(Raw_Export!$A156="","",F156*G156)</f>
        <v>190</v>
      </c>
      <c r="I156" s="36" t="str">
        <f aca="false">IF(Raw_Export!$A156="","",IFERROR(VLOOKUP(LOWER(TRIM(Raw_Export!H156)),Maps!$D$2:$E$12,2,FALSE()),"Other"))</f>
        <v>Cash</v>
      </c>
      <c r="J156" s="36" t="str">
        <f aca="false">IF(Raw_Export!$A156="","",IF(COUNTIF($A$2:A156,A156)&gt;1,"Duplicate",""))</f>
        <v/>
      </c>
      <c r="K156" s="36" t="str">
        <f aca="false">IF(Raw_Export!$A156="","",IF(J156="Duplicate","Duplicate",IF(OR(C156="UNMAPPED",D156="UNMAPPED"),"Unmapped",IF(F156=0,"Blank qty",IF(F156&lt;0,"Return","OK")))))</f>
        <v>OK</v>
      </c>
      <c r="L156" s="36" t="n">
        <f aca="false">IF(Raw_Export!$A156="","",IF(OR(K156="OK",K156="Return"),1,0))</f>
        <v>1</v>
      </c>
      <c r="M156" s="37" t="n">
        <f aca="false">IF(Raw_Export!$A156="","",B156-WEEKDAY(B156,2)+1)</f>
        <v>46265</v>
      </c>
    </row>
    <row r="157" customFormat="false" ht="15" hidden="false" customHeight="false" outlineLevel="0" collapsed="false">
      <c r="A157" s="36" t="str">
        <f aca="false">IF(Raw_Export!$A157="","",TRIM(Raw_Export!A157))</f>
        <v>TXN-100155</v>
      </c>
      <c r="B157" s="37" t="n">
        <f aca="false">IF(Raw_Export!$A157="","",IF(ISNUMBER(Raw_Export!B157),Raw_Export!B157,IF(MID(TRIM(Raw_Export!B157),5,1)="-",DATE(LEFT(TRIM(Raw_Export!B157),4),MID(TRIM(Raw_Export!B157),6,2),RIGHT(TRIM(Raw_Export!B157),2)),DATE(RIGHT(TRIM(Raw_Export!B157),4),MATCH(MID(TRIM(Raw_Export!B157),4,3),{"Jan","Feb","Mar","Apr","May","Jun","Jul","Aug","Sep","Oct","Nov","Dec"},0),LEFT(TRIM(Raw_Export!B157),2)))))</f>
        <v>46266</v>
      </c>
      <c r="C157" s="36" t="str">
        <f aca="false">IF(Raw_Export!$A157="","",IFERROR(VLOOKUP(LOWER(TRIM(Raw_Export!C157)),Maps!$A$2:$B$20,2,FALSE()),"UNMAPPED"))</f>
        <v>Nairobi CBD</v>
      </c>
      <c r="D157" s="36" t="str">
        <f aca="false">IF(Raw_Export!$A157="","",IFERROR(VLOOKUP(LOWER(TRIM(Raw_Export!D157)),Maps!$G$2:$I$80,2,FALSE()),"UNMAPPED"))</f>
        <v>Cooking Oil 1L</v>
      </c>
      <c r="E157" s="36" t="str">
        <f aca="false">IF(Raw_Export!$A157="","",IFERROR(VLOOKUP(LOWER(TRIM(Raw_Export!D157)),Maps!$G$2:$I$80,3,FALSE()),"UNMAPPED"))</f>
        <v>Staples</v>
      </c>
      <c r="F157" s="36" t="n">
        <f aca="false">IF(Raw_Export!$A157="","",IFERROR(VALUE(TRIM(Raw_Export!E157)),0))</f>
        <v>2</v>
      </c>
      <c r="G157" s="38" t="n">
        <f aca="false">IF(Raw_Export!$A157="","",IFERROR(VALUE(SUBSTITUTE(SUBSTITUTE(UPPER(TRIM(Raw_Export!F157)),"KES",""),",","")),0))</f>
        <v>330</v>
      </c>
      <c r="H157" s="38" t="n">
        <f aca="false">IF(Raw_Export!$A157="","",F157*G157)</f>
        <v>660</v>
      </c>
      <c r="I157" s="36" t="str">
        <f aca="false">IF(Raw_Export!$A157="","",IFERROR(VLOOKUP(LOWER(TRIM(Raw_Export!H157)),Maps!$D$2:$E$12,2,FALSE()),"Other"))</f>
        <v>M-Pesa</v>
      </c>
      <c r="J157" s="36" t="str">
        <f aca="false">IF(Raw_Export!$A157="","",IF(COUNTIF($A$2:A157,A157)&gt;1,"Duplicate",""))</f>
        <v/>
      </c>
      <c r="K157" s="36" t="str">
        <f aca="false">IF(Raw_Export!$A157="","",IF(J157="Duplicate","Duplicate",IF(OR(C157="UNMAPPED",D157="UNMAPPED"),"Unmapped",IF(F157=0,"Blank qty",IF(F157&lt;0,"Return","OK")))))</f>
        <v>OK</v>
      </c>
      <c r="L157" s="36" t="n">
        <f aca="false">IF(Raw_Export!$A157="","",IF(OR(K157="OK",K157="Return"),1,0))</f>
        <v>1</v>
      </c>
      <c r="M157" s="37" t="n">
        <f aca="false">IF(Raw_Export!$A157="","",B157-WEEKDAY(B157,2)+1)</f>
        <v>46265</v>
      </c>
    </row>
    <row r="158" customFormat="false" ht="15" hidden="false" customHeight="false" outlineLevel="0" collapsed="false">
      <c r="A158" s="36" t="str">
        <f aca="false">IF(Raw_Export!$A158="","",TRIM(Raw_Export!A158))</f>
        <v>TXN-100156</v>
      </c>
      <c r="B158" s="37" t="n">
        <f aca="false">IF(Raw_Export!$A158="","",IF(ISNUMBER(Raw_Export!B158),Raw_Export!B158,IF(MID(TRIM(Raw_Export!B158),5,1)="-",DATE(LEFT(TRIM(Raw_Export!B158),4),MID(TRIM(Raw_Export!B158),6,2),RIGHT(TRIM(Raw_Export!B158),2)),DATE(RIGHT(TRIM(Raw_Export!B158),4),MATCH(MID(TRIM(Raw_Export!B158),4,3),{"Jan","Feb","Mar","Apr","May","Jun","Jul","Aug","Sep","Oct","Nov","Dec"},0),LEFT(TRIM(Raw_Export!B158),2)))))</f>
        <v>46266</v>
      </c>
      <c r="C158" s="36" t="str">
        <f aca="false">IF(Raw_Export!$A158="","",IFERROR(VLOOKUP(LOWER(TRIM(Raw_Export!C158)),Maps!$A$2:$B$20,2,FALSE()),"UNMAPPED"))</f>
        <v>Nairobi CBD</v>
      </c>
      <c r="D158" s="36" t="str">
        <f aca="false">IF(Raw_Export!$A158="","",IFERROR(VLOOKUP(LOWER(TRIM(Raw_Export!D158)),Maps!$G$2:$I$80,2,FALSE()),"UNMAPPED"))</f>
        <v>Sanitary Pads 8pk</v>
      </c>
      <c r="E158" s="36" t="str">
        <f aca="false">IF(Raw_Export!$A158="","",IFERROR(VLOOKUP(LOWER(TRIM(Raw_Export!D158)),Maps!$G$2:$I$80,3,FALSE()),"UNMAPPED"))</f>
        <v>Personal Care</v>
      </c>
      <c r="F158" s="36" t="n">
        <f aca="false">IF(Raw_Export!$A158="","",IFERROR(VALUE(TRIM(Raw_Export!E158)),0))</f>
        <v>1</v>
      </c>
      <c r="G158" s="38" t="n">
        <f aca="false">IF(Raw_Export!$A158="","",IFERROR(VALUE(SUBSTITUTE(SUBSTITUTE(UPPER(TRIM(Raw_Export!F158)),"KES",""),",","")),0))</f>
        <v>130</v>
      </c>
      <c r="H158" s="38" t="n">
        <f aca="false">IF(Raw_Export!$A158="","",F158*G158)</f>
        <v>130</v>
      </c>
      <c r="I158" s="36" t="str">
        <f aca="false">IF(Raw_Export!$A158="","",IFERROR(VLOOKUP(LOWER(TRIM(Raw_Export!H158)),Maps!$D$2:$E$12,2,FALSE()),"Other"))</f>
        <v>Card</v>
      </c>
      <c r="J158" s="36" t="str">
        <f aca="false">IF(Raw_Export!$A158="","",IF(COUNTIF($A$2:A158,A158)&gt;1,"Duplicate",""))</f>
        <v/>
      </c>
      <c r="K158" s="36" t="str">
        <f aca="false">IF(Raw_Export!$A158="","",IF(J158="Duplicate","Duplicate",IF(OR(C158="UNMAPPED",D158="UNMAPPED"),"Unmapped",IF(F158=0,"Blank qty",IF(F158&lt;0,"Return","OK")))))</f>
        <v>OK</v>
      </c>
      <c r="L158" s="36" t="n">
        <f aca="false">IF(Raw_Export!$A158="","",IF(OR(K158="OK",K158="Return"),1,0))</f>
        <v>1</v>
      </c>
      <c r="M158" s="37" t="n">
        <f aca="false">IF(Raw_Export!$A158="","",B158-WEEKDAY(B158,2)+1)</f>
        <v>46265</v>
      </c>
    </row>
    <row r="159" customFormat="false" ht="15" hidden="false" customHeight="false" outlineLevel="0" collapsed="false">
      <c r="A159" s="36" t="str">
        <f aca="false">IF(Raw_Export!$A159="","",TRIM(Raw_Export!A159))</f>
        <v>TXN-100157</v>
      </c>
      <c r="B159" s="37" t="n">
        <f aca="false">IF(Raw_Export!$A159="","",IF(ISNUMBER(Raw_Export!B159),Raw_Export!B159,IF(MID(TRIM(Raw_Export!B159),5,1)="-",DATE(LEFT(TRIM(Raw_Export!B159),4),MID(TRIM(Raw_Export!B159),6,2),RIGHT(TRIM(Raw_Export!B159),2)),DATE(RIGHT(TRIM(Raw_Export!B159),4),MATCH(MID(TRIM(Raw_Export!B159),4,3),{"Jan","Feb","Mar","Apr","May","Jun","Jul","Aug","Sep","Oct","Nov","Dec"},0),LEFT(TRIM(Raw_Export!B159),2)))))</f>
        <v>46266</v>
      </c>
      <c r="C159" s="36" t="str">
        <f aca="false">IF(Raw_Export!$A159="","",IFERROR(VLOOKUP(LOWER(TRIM(Raw_Export!C159)),Maps!$A$2:$B$20,2,FALSE()),"UNMAPPED"))</f>
        <v>Westlands</v>
      </c>
      <c r="D159" s="36" t="str">
        <f aca="false">IF(Raw_Export!$A159="","",IFERROR(VLOOKUP(LOWER(TRIM(Raw_Export!D159)),Maps!$G$2:$I$80,2,FALSE()),"UNMAPPED"))</f>
        <v>Dish Soap 750ml</v>
      </c>
      <c r="E159" s="36" t="str">
        <f aca="false">IF(Raw_Export!$A159="","",IFERROR(VLOOKUP(LOWER(TRIM(Raw_Export!D159)),Maps!$G$2:$I$80,3,FALSE()),"UNMAPPED"))</f>
        <v>Household</v>
      </c>
      <c r="F159" s="36" t="n">
        <f aca="false">IF(Raw_Export!$A159="","",IFERROR(VALUE(TRIM(Raw_Export!E159)),0))</f>
        <v>1</v>
      </c>
      <c r="G159" s="38" t="n">
        <f aca="false">IF(Raw_Export!$A159="","",IFERROR(VALUE(SUBSTITUTE(SUBSTITUTE(UPPER(TRIM(Raw_Export!F159)),"KES",""),",","")),0))</f>
        <v>171</v>
      </c>
      <c r="H159" s="38" t="n">
        <f aca="false">IF(Raw_Export!$A159="","",F159*G159)</f>
        <v>171</v>
      </c>
      <c r="I159" s="36" t="str">
        <f aca="false">IF(Raw_Export!$A159="","",IFERROR(VLOOKUP(LOWER(TRIM(Raw_Export!H159)),Maps!$D$2:$E$12,2,FALSE()),"Other"))</f>
        <v>Card</v>
      </c>
      <c r="J159" s="36" t="str">
        <f aca="false">IF(Raw_Export!$A159="","",IF(COUNTIF($A$2:A159,A159)&gt;1,"Duplicate",""))</f>
        <v/>
      </c>
      <c r="K159" s="36" t="str">
        <f aca="false">IF(Raw_Export!$A159="","",IF(J159="Duplicate","Duplicate",IF(OR(C159="UNMAPPED",D159="UNMAPPED"),"Unmapped",IF(F159=0,"Blank qty",IF(F159&lt;0,"Return","OK")))))</f>
        <v>OK</v>
      </c>
      <c r="L159" s="36" t="n">
        <f aca="false">IF(Raw_Export!$A159="","",IF(OR(K159="OK",K159="Return"),1,0))</f>
        <v>1</v>
      </c>
      <c r="M159" s="37" t="n">
        <f aca="false">IF(Raw_Export!$A159="","",B159-WEEKDAY(B159,2)+1)</f>
        <v>46265</v>
      </c>
    </row>
    <row r="160" customFormat="false" ht="15" hidden="false" customHeight="false" outlineLevel="0" collapsed="false">
      <c r="A160" s="36" t="str">
        <f aca="false">IF(Raw_Export!$A160="","",TRIM(Raw_Export!A160))</f>
        <v>TXN-100158</v>
      </c>
      <c r="B160" s="37" t="n">
        <f aca="false">IF(Raw_Export!$A160="","",IF(ISNUMBER(Raw_Export!B160),Raw_Export!B160,IF(MID(TRIM(Raw_Export!B160),5,1)="-",DATE(LEFT(TRIM(Raw_Export!B160),4),MID(TRIM(Raw_Export!B160),6,2),RIGHT(TRIM(Raw_Export!B160),2)),DATE(RIGHT(TRIM(Raw_Export!B160),4),MATCH(MID(TRIM(Raw_Export!B160),4,3),{"Jan","Feb","Mar","Apr","May","Jun","Jul","Aug","Sep","Oct","Nov","Dec"},0),LEFT(TRIM(Raw_Export!B160),2)))))</f>
        <v>46266</v>
      </c>
      <c r="C160" s="36" t="str">
        <f aca="false">IF(Raw_Export!$A160="","",IFERROR(VLOOKUP(LOWER(TRIM(Raw_Export!C160)),Maps!$A$2:$B$20,2,FALSE()),"UNMAPPED"))</f>
        <v>Westlands</v>
      </c>
      <c r="D160" s="36" t="str">
        <f aca="false">IF(Raw_Export!$A160="","",IFERROR(VLOOKUP(LOWER(TRIM(Raw_Export!D160)),Maps!$G$2:$I$80,2,FALSE()),"UNMAPPED"))</f>
        <v>Sanitary Pads 8pk</v>
      </c>
      <c r="E160" s="36" t="str">
        <f aca="false">IF(Raw_Export!$A160="","",IFERROR(VLOOKUP(LOWER(TRIM(Raw_Export!D160)),Maps!$G$2:$I$80,3,FALSE()),"UNMAPPED"))</f>
        <v>Personal Care</v>
      </c>
      <c r="F160" s="36" t="n">
        <f aca="false">IF(Raw_Export!$A160="","",IFERROR(VALUE(TRIM(Raw_Export!E160)),0))</f>
        <v>1</v>
      </c>
      <c r="G160" s="38" t="n">
        <f aca="false">IF(Raw_Export!$A160="","",IFERROR(VALUE(SUBSTITUTE(SUBSTITUTE(UPPER(TRIM(Raw_Export!F160)),"KES",""),",","")),0))</f>
        <v>130</v>
      </c>
      <c r="H160" s="38" t="n">
        <f aca="false">IF(Raw_Export!$A160="","",F160*G160)</f>
        <v>130</v>
      </c>
      <c r="I160" s="36" t="str">
        <f aca="false">IF(Raw_Export!$A160="","",IFERROR(VLOOKUP(LOWER(TRIM(Raw_Export!H160)),Maps!$D$2:$E$12,2,FALSE()),"Other"))</f>
        <v>M-Pesa</v>
      </c>
      <c r="J160" s="36" t="str">
        <f aca="false">IF(Raw_Export!$A160="","",IF(COUNTIF($A$2:A160,A160)&gt;1,"Duplicate",""))</f>
        <v/>
      </c>
      <c r="K160" s="36" t="str">
        <f aca="false">IF(Raw_Export!$A160="","",IF(J160="Duplicate","Duplicate",IF(OR(C160="UNMAPPED",D160="UNMAPPED"),"Unmapped",IF(F160=0,"Blank qty",IF(F160&lt;0,"Return","OK")))))</f>
        <v>OK</v>
      </c>
      <c r="L160" s="36" t="n">
        <f aca="false">IF(Raw_Export!$A160="","",IF(OR(K160="OK",K160="Return"),1,0))</f>
        <v>1</v>
      </c>
      <c r="M160" s="37" t="n">
        <f aca="false">IF(Raw_Export!$A160="","",B160-WEEKDAY(B160,2)+1)</f>
        <v>46265</v>
      </c>
    </row>
    <row r="161" customFormat="false" ht="15" hidden="false" customHeight="false" outlineLevel="0" collapsed="false">
      <c r="A161" s="36" t="str">
        <f aca="false">IF(Raw_Export!$A161="","",TRIM(Raw_Export!A161))</f>
        <v>TXN-100159</v>
      </c>
      <c r="B161" s="37" t="n">
        <f aca="false">IF(Raw_Export!$A161="","",IF(ISNUMBER(Raw_Export!B161),Raw_Export!B161,IF(MID(TRIM(Raw_Export!B161),5,1)="-",DATE(LEFT(TRIM(Raw_Export!B161),4),MID(TRIM(Raw_Export!B161),6,2),RIGHT(TRIM(Raw_Export!B161),2)),DATE(RIGHT(TRIM(Raw_Export!B161),4),MATCH(MID(TRIM(Raw_Export!B161),4,3),{"Jan","Feb","Mar","Apr","May","Jun","Jul","Aug","Sep","Oct","Nov","Dec"},0),LEFT(TRIM(Raw_Export!B161),2)))))</f>
        <v>46266</v>
      </c>
      <c r="C161" s="36" t="str">
        <f aca="false">IF(Raw_Export!$A161="","",IFERROR(VLOOKUP(LOWER(TRIM(Raw_Export!C161)),Maps!$A$2:$B$20,2,FALSE()),"UNMAPPED"))</f>
        <v>Westlands</v>
      </c>
      <c r="D161" s="36" t="str">
        <f aca="false">IF(Raw_Export!$A161="","",IFERROR(VLOOKUP(LOWER(TRIM(Raw_Export!D161)),Maps!$G$2:$I$80,2,FALSE()),"UNMAPPED"))</f>
        <v>Bread Loaf 400g</v>
      </c>
      <c r="E161" s="36" t="str">
        <f aca="false">IF(Raw_Export!$A161="","",IFERROR(VLOOKUP(LOWER(TRIM(Raw_Export!D161)),Maps!$G$2:$I$80,3,FALSE()),"UNMAPPED"))</f>
        <v>Snacks</v>
      </c>
      <c r="F161" s="36" t="n">
        <f aca="false">IF(Raw_Export!$A161="","",IFERROR(VALUE(TRIM(Raw_Export!E161)),0))</f>
        <v>1</v>
      </c>
      <c r="G161" s="38" t="n">
        <f aca="false">IF(Raw_Export!$A161="","",IFERROR(VALUE(SUBSTITUTE(SUBSTITUTE(UPPER(TRIM(Raw_Export!F161)),"KES",""),",","")),0))</f>
        <v>65</v>
      </c>
      <c r="H161" s="38" t="n">
        <f aca="false">IF(Raw_Export!$A161="","",F161*G161)</f>
        <v>65</v>
      </c>
      <c r="I161" s="36" t="str">
        <f aca="false">IF(Raw_Export!$A161="","",IFERROR(VLOOKUP(LOWER(TRIM(Raw_Export!H161)),Maps!$D$2:$E$12,2,FALSE()),"Other"))</f>
        <v>M-Pesa</v>
      </c>
      <c r="J161" s="36" t="str">
        <f aca="false">IF(Raw_Export!$A161="","",IF(COUNTIF($A$2:A161,A161)&gt;1,"Duplicate",""))</f>
        <v/>
      </c>
      <c r="K161" s="36" t="str">
        <f aca="false">IF(Raw_Export!$A161="","",IF(J161="Duplicate","Duplicate",IF(OR(C161="UNMAPPED",D161="UNMAPPED"),"Unmapped",IF(F161=0,"Blank qty",IF(F161&lt;0,"Return","OK")))))</f>
        <v>OK</v>
      </c>
      <c r="L161" s="36" t="n">
        <f aca="false">IF(Raw_Export!$A161="","",IF(OR(K161="OK",K161="Return"),1,0))</f>
        <v>1</v>
      </c>
      <c r="M161" s="37" t="n">
        <f aca="false">IF(Raw_Export!$A161="","",B161-WEEKDAY(B161,2)+1)</f>
        <v>46265</v>
      </c>
    </row>
    <row r="162" customFormat="false" ht="15" hidden="false" customHeight="false" outlineLevel="0" collapsed="false">
      <c r="A162" s="36" t="str">
        <f aca="false">IF(Raw_Export!$A162="","",TRIM(Raw_Export!A162))</f>
        <v>TXN-100160</v>
      </c>
      <c r="B162" s="37" t="n">
        <f aca="false">IF(Raw_Export!$A162="","",IF(ISNUMBER(Raw_Export!B162),Raw_Export!B162,IF(MID(TRIM(Raw_Export!B162),5,1)="-",DATE(LEFT(TRIM(Raw_Export!B162),4),MID(TRIM(Raw_Export!B162),6,2),RIGHT(TRIM(Raw_Export!B162),2)),DATE(RIGHT(TRIM(Raw_Export!B162),4),MATCH(MID(TRIM(Raw_Export!B162),4,3),{"Jan","Feb","Mar","Apr","May","Jun","Jul","Aug","Sep","Oct","Nov","Dec"},0),LEFT(TRIM(Raw_Export!B162),2)))))</f>
        <v>46266</v>
      </c>
      <c r="C162" s="36" t="str">
        <f aca="false">IF(Raw_Export!$A162="","",IFERROR(VLOOKUP(LOWER(TRIM(Raw_Export!C162)),Maps!$A$2:$B$20,2,FALSE()),"UNMAPPED"))</f>
        <v>Westlands</v>
      </c>
      <c r="D162" s="36" t="str">
        <f aca="false">IF(Raw_Export!$A162="","",IFERROR(VLOOKUP(LOWER(TRIM(Raw_Export!D162)),Maps!$G$2:$I$80,2,FALSE()),"UNMAPPED"))</f>
        <v>Deodorant 150ml</v>
      </c>
      <c r="E162" s="36" t="str">
        <f aca="false">IF(Raw_Export!$A162="","",IFERROR(VLOOKUP(LOWER(TRIM(Raw_Export!D162)),Maps!$G$2:$I$80,3,FALSE()),"UNMAPPED"))</f>
        <v>Personal Care</v>
      </c>
      <c r="F162" s="36" t="n">
        <f aca="false">IF(Raw_Export!$A162="","",IFERROR(VALUE(TRIM(Raw_Export!E162)),0))</f>
        <v>2</v>
      </c>
      <c r="G162" s="38" t="n">
        <f aca="false">IF(Raw_Export!$A162="","",IFERROR(VALUE(SUBSTITUTE(SUBSTITUTE(UPPER(TRIM(Raw_Export!F162)),"KES",""),",","")),0))</f>
        <v>350</v>
      </c>
      <c r="H162" s="38" t="n">
        <f aca="false">IF(Raw_Export!$A162="","",F162*G162)</f>
        <v>700</v>
      </c>
      <c r="I162" s="36" t="str">
        <f aca="false">IF(Raw_Export!$A162="","",IFERROR(VLOOKUP(LOWER(TRIM(Raw_Export!H162)),Maps!$D$2:$E$12,2,FALSE()),"Other"))</f>
        <v>Cash</v>
      </c>
      <c r="J162" s="36" t="str">
        <f aca="false">IF(Raw_Export!$A162="","",IF(COUNTIF($A$2:A162,A162)&gt;1,"Duplicate",""))</f>
        <v/>
      </c>
      <c r="K162" s="36" t="str">
        <f aca="false">IF(Raw_Export!$A162="","",IF(J162="Duplicate","Duplicate",IF(OR(C162="UNMAPPED",D162="UNMAPPED"),"Unmapped",IF(F162=0,"Blank qty",IF(F162&lt;0,"Return","OK")))))</f>
        <v>OK</v>
      </c>
      <c r="L162" s="36" t="n">
        <f aca="false">IF(Raw_Export!$A162="","",IF(OR(K162="OK",K162="Return"),1,0))</f>
        <v>1</v>
      </c>
      <c r="M162" s="37" t="n">
        <f aca="false">IF(Raw_Export!$A162="","",B162-WEEKDAY(B162,2)+1)</f>
        <v>46265</v>
      </c>
    </row>
    <row r="163" customFormat="false" ht="15" hidden="false" customHeight="false" outlineLevel="0" collapsed="false">
      <c r="A163" s="36" t="str">
        <f aca="false">IF(Raw_Export!$A163="","",TRIM(Raw_Export!A163))</f>
        <v>TXN-100161</v>
      </c>
      <c r="B163" s="37" t="n">
        <f aca="false">IF(Raw_Export!$A163="","",IF(ISNUMBER(Raw_Export!B163),Raw_Export!B163,IF(MID(TRIM(Raw_Export!B163),5,1)="-",DATE(LEFT(TRIM(Raw_Export!B163),4),MID(TRIM(Raw_Export!B163),6,2),RIGHT(TRIM(Raw_Export!B163),2)),DATE(RIGHT(TRIM(Raw_Export!B163),4),MATCH(MID(TRIM(Raw_Export!B163),4,3),{"Jan","Feb","Mar","Apr","May","Jun","Jul","Aug","Sep","Oct","Nov","Dec"},0),LEFT(TRIM(Raw_Export!B163),2)))))</f>
        <v>46266</v>
      </c>
      <c r="C163" s="36" t="str">
        <f aca="false">IF(Raw_Export!$A163="","",IFERROR(VLOOKUP(LOWER(TRIM(Raw_Export!C163)),Maps!$A$2:$B$20,2,FALSE()),"UNMAPPED"))</f>
        <v>Westlands</v>
      </c>
      <c r="D163" s="36" t="str">
        <f aca="false">IF(Raw_Export!$A163="","",IFERROR(VLOOKUP(LOWER(TRIM(Raw_Export!D163)),Maps!$G$2:$I$80,2,FALSE()),"UNMAPPED"))</f>
        <v>Eggs Tray 30</v>
      </c>
      <c r="E163" s="36" t="str">
        <f aca="false">IF(Raw_Export!$A163="","",IFERROR(VLOOKUP(LOWER(TRIM(Raw_Export!D163)),Maps!$G$2:$I$80,3,FALSE()),"UNMAPPED"))</f>
        <v>Dairy &amp; Eggs</v>
      </c>
      <c r="F163" s="36" t="n">
        <f aca="false">IF(Raw_Export!$A163="","",IFERROR(VALUE(TRIM(Raw_Export!E163)),0))</f>
        <v>6</v>
      </c>
      <c r="G163" s="38" t="n">
        <f aca="false">IF(Raw_Export!$A163="","",IFERROR(VALUE(SUBSTITUTE(SUBSTITUTE(UPPER(TRIM(Raw_Export!F163)),"KES",""),",","")),0))</f>
        <v>450</v>
      </c>
      <c r="H163" s="38" t="n">
        <f aca="false">IF(Raw_Export!$A163="","",F163*G163)</f>
        <v>2700</v>
      </c>
      <c r="I163" s="36" t="str">
        <f aca="false">IF(Raw_Export!$A163="","",IFERROR(VLOOKUP(LOWER(TRIM(Raw_Export!H163)),Maps!$D$2:$E$12,2,FALSE()),"Other"))</f>
        <v>Cash</v>
      </c>
      <c r="J163" s="36" t="str">
        <f aca="false">IF(Raw_Export!$A163="","",IF(COUNTIF($A$2:A163,A163)&gt;1,"Duplicate",""))</f>
        <v/>
      </c>
      <c r="K163" s="36" t="str">
        <f aca="false">IF(Raw_Export!$A163="","",IF(J163="Duplicate","Duplicate",IF(OR(C163="UNMAPPED",D163="UNMAPPED"),"Unmapped",IF(F163=0,"Blank qty",IF(F163&lt;0,"Return","OK")))))</f>
        <v>OK</v>
      </c>
      <c r="L163" s="36" t="n">
        <f aca="false">IF(Raw_Export!$A163="","",IF(OR(K163="OK",K163="Return"),1,0))</f>
        <v>1</v>
      </c>
      <c r="M163" s="37" t="n">
        <f aca="false">IF(Raw_Export!$A163="","",B163-WEEKDAY(B163,2)+1)</f>
        <v>46265</v>
      </c>
    </row>
    <row r="164" customFormat="false" ht="15" hidden="false" customHeight="false" outlineLevel="0" collapsed="false">
      <c r="A164" s="36" t="str">
        <f aca="false">IF(Raw_Export!$A164="","",TRIM(Raw_Export!A164))</f>
        <v>TXN-100162</v>
      </c>
      <c r="B164" s="37" t="n">
        <f aca="false">IF(Raw_Export!$A164="","",IF(ISNUMBER(Raw_Export!B164),Raw_Export!B164,IF(MID(TRIM(Raw_Export!B164),5,1)="-",DATE(LEFT(TRIM(Raw_Export!B164),4),MID(TRIM(Raw_Export!B164),6,2),RIGHT(TRIM(Raw_Export!B164),2)),DATE(RIGHT(TRIM(Raw_Export!B164),4),MATCH(MID(TRIM(Raw_Export!B164),4,3),{"Jan","Feb","Mar","Apr","May","Jun","Jul","Aug","Sep","Oct","Nov","Dec"},0),LEFT(TRIM(Raw_Export!B164),2)))))</f>
        <v>46266</v>
      </c>
      <c r="C164" s="36" t="str">
        <f aca="false">IF(Raw_Export!$A164="","",IFERROR(VLOOKUP(LOWER(TRIM(Raw_Export!C164)),Maps!$A$2:$B$20,2,FALSE()),"UNMAPPED"))</f>
        <v>Westlands</v>
      </c>
      <c r="D164" s="36" t="str">
        <f aca="false">IF(Raw_Export!$A164="","",IFERROR(VLOOKUP(LOWER(TRIM(Raw_Export!D164)),Maps!$G$2:$I$80,2,FALSE()),"UNMAPPED"))</f>
        <v>Bottled Water 1.5L</v>
      </c>
      <c r="E164" s="36" t="str">
        <f aca="false">IF(Raw_Export!$A164="","",IFERROR(VLOOKUP(LOWER(TRIM(Raw_Export!D164)),Maps!$G$2:$I$80,3,FALSE()),"UNMAPPED"))</f>
        <v>Beverages</v>
      </c>
      <c r="F164" s="36" t="n">
        <f aca="false">IF(Raw_Export!$A164="","",IFERROR(VALUE(TRIM(Raw_Export!E164)),0))</f>
        <v>2</v>
      </c>
      <c r="G164" s="38" t="n">
        <f aca="false">IF(Raw_Export!$A164="","",IFERROR(VALUE(SUBSTITUTE(SUBSTITUTE(UPPER(TRIM(Raw_Export!F164)),"KES",""),",","")),0))</f>
        <v>90</v>
      </c>
      <c r="H164" s="38" t="n">
        <f aca="false">IF(Raw_Export!$A164="","",F164*G164)</f>
        <v>180</v>
      </c>
      <c r="I164" s="36" t="str">
        <f aca="false">IF(Raw_Export!$A164="","",IFERROR(VLOOKUP(LOWER(TRIM(Raw_Export!H164)),Maps!$D$2:$E$12,2,FALSE()),"Other"))</f>
        <v>M-Pesa</v>
      </c>
      <c r="J164" s="36" t="str">
        <f aca="false">IF(Raw_Export!$A164="","",IF(COUNTIF($A$2:A164,A164)&gt;1,"Duplicate",""))</f>
        <v/>
      </c>
      <c r="K164" s="36" t="str">
        <f aca="false">IF(Raw_Export!$A164="","",IF(J164="Duplicate","Duplicate",IF(OR(C164="UNMAPPED",D164="UNMAPPED"),"Unmapped",IF(F164=0,"Blank qty",IF(F164&lt;0,"Return","OK")))))</f>
        <v>OK</v>
      </c>
      <c r="L164" s="36" t="n">
        <f aca="false">IF(Raw_Export!$A164="","",IF(OR(K164="OK",K164="Return"),1,0))</f>
        <v>1</v>
      </c>
      <c r="M164" s="37" t="n">
        <f aca="false">IF(Raw_Export!$A164="","",B164-WEEKDAY(B164,2)+1)</f>
        <v>46265</v>
      </c>
    </row>
    <row r="165" customFormat="false" ht="15" hidden="false" customHeight="false" outlineLevel="0" collapsed="false">
      <c r="A165" s="36" t="str">
        <f aca="false">IF(Raw_Export!$A165="","",TRIM(Raw_Export!A165))</f>
        <v>TXN-100163</v>
      </c>
      <c r="B165" s="37" t="n">
        <f aca="false">IF(Raw_Export!$A165="","",IF(ISNUMBER(Raw_Export!B165),Raw_Export!B165,IF(MID(TRIM(Raw_Export!B165),5,1)="-",DATE(LEFT(TRIM(Raw_Export!B165),4),MID(TRIM(Raw_Export!B165),6,2),RIGHT(TRIM(Raw_Export!B165),2)),DATE(RIGHT(TRIM(Raw_Export!B165),4),MATCH(MID(TRIM(Raw_Export!B165),4,3),{"Jan","Feb","Mar","Apr","May","Jun","Jul","Aug","Sep","Oct","Nov","Dec"},0),LEFT(TRIM(Raw_Export!B165),2)))))</f>
        <v>46266</v>
      </c>
      <c r="C165" s="36" t="str">
        <f aca="false">IF(Raw_Export!$A165="","",IFERROR(VLOOKUP(LOWER(TRIM(Raw_Export!C165)),Maps!$A$2:$B$20,2,FALSE()),"UNMAPPED"))</f>
        <v>Westlands</v>
      </c>
      <c r="D165" s="36" t="str">
        <f aca="false">IF(Raw_Export!$A165="","",IFERROR(VLOOKUP(LOWER(TRIM(Raw_Export!D165)),Maps!$G$2:$I$80,2,FALSE()),"UNMAPPED"))</f>
        <v>Deodorant 150ml</v>
      </c>
      <c r="E165" s="36" t="str">
        <f aca="false">IF(Raw_Export!$A165="","",IFERROR(VLOOKUP(LOWER(TRIM(Raw_Export!D165)),Maps!$G$2:$I$80,3,FALSE()),"UNMAPPED"))</f>
        <v>Personal Care</v>
      </c>
      <c r="F165" s="36" t="n">
        <f aca="false">IF(Raw_Export!$A165="","",IFERROR(VALUE(TRIM(Raw_Export!E165)),0))</f>
        <v>1</v>
      </c>
      <c r="G165" s="38" t="n">
        <f aca="false">IF(Raw_Export!$A165="","",IFERROR(VALUE(SUBSTITUTE(SUBSTITUTE(UPPER(TRIM(Raw_Export!F165)),"KES",""),",","")),0))</f>
        <v>350</v>
      </c>
      <c r="H165" s="38" t="n">
        <f aca="false">IF(Raw_Export!$A165="","",F165*G165)</f>
        <v>350</v>
      </c>
      <c r="I165" s="36" t="str">
        <f aca="false">IF(Raw_Export!$A165="","",IFERROR(VLOOKUP(LOWER(TRIM(Raw_Export!H165)),Maps!$D$2:$E$12,2,FALSE()),"Other"))</f>
        <v>M-Pesa</v>
      </c>
      <c r="J165" s="36" t="str">
        <f aca="false">IF(Raw_Export!$A165="","",IF(COUNTIF($A$2:A165,A165)&gt;1,"Duplicate",""))</f>
        <v/>
      </c>
      <c r="K165" s="36" t="str">
        <f aca="false">IF(Raw_Export!$A165="","",IF(J165="Duplicate","Duplicate",IF(OR(C165="UNMAPPED",D165="UNMAPPED"),"Unmapped",IF(F165=0,"Blank qty",IF(F165&lt;0,"Return","OK")))))</f>
        <v>OK</v>
      </c>
      <c r="L165" s="36" t="n">
        <f aca="false">IF(Raw_Export!$A165="","",IF(OR(K165="OK",K165="Return"),1,0))</f>
        <v>1</v>
      </c>
      <c r="M165" s="37" t="n">
        <f aca="false">IF(Raw_Export!$A165="","",B165-WEEKDAY(B165,2)+1)</f>
        <v>46265</v>
      </c>
    </row>
    <row r="166" customFormat="false" ht="15" hidden="false" customHeight="false" outlineLevel="0" collapsed="false">
      <c r="A166" s="36" t="str">
        <f aca="false">IF(Raw_Export!$A166="","",TRIM(Raw_Export!A166))</f>
        <v>TXN-100164</v>
      </c>
      <c r="B166" s="37" t="n">
        <f aca="false">IF(Raw_Export!$A166="","",IF(ISNUMBER(Raw_Export!B166),Raw_Export!B166,IF(MID(TRIM(Raw_Export!B166),5,1)="-",DATE(LEFT(TRIM(Raw_Export!B166),4),MID(TRIM(Raw_Export!B166),6,2),RIGHT(TRIM(Raw_Export!B166),2)),DATE(RIGHT(TRIM(Raw_Export!B166),4),MATCH(MID(TRIM(Raw_Export!B166),4,3),{"Jan","Feb","Mar","Apr","May","Jun","Jul","Aug","Sep","Oct","Nov","Dec"},0),LEFT(TRIM(Raw_Export!B166),2)))))</f>
        <v>46266</v>
      </c>
      <c r="C166" s="36" t="str">
        <f aca="false">IF(Raw_Export!$A166="","",IFERROR(VLOOKUP(LOWER(TRIM(Raw_Export!C166)),Maps!$A$2:$B$20,2,FALSE()),"UNMAPPED"))</f>
        <v>Westlands</v>
      </c>
      <c r="D166" s="36" t="str">
        <f aca="false">IF(Raw_Export!$A166="","",IFERROR(VLOOKUP(LOWER(TRIM(Raw_Export!D166)),Maps!$G$2:$I$80,2,FALSE()),"UNMAPPED"))</f>
        <v>Fresh Milk 500ml</v>
      </c>
      <c r="E166" s="36" t="str">
        <f aca="false">IF(Raw_Export!$A166="","",IFERROR(VLOOKUP(LOWER(TRIM(Raw_Export!D166)),Maps!$G$2:$I$80,3,FALSE()),"UNMAPPED"))</f>
        <v>Dairy &amp; Eggs</v>
      </c>
      <c r="F166" s="36" t="n">
        <f aca="false">IF(Raw_Export!$A166="","",IFERROR(VALUE(TRIM(Raw_Export!E166)),0))</f>
        <v>1</v>
      </c>
      <c r="G166" s="38" t="n">
        <f aca="false">IF(Raw_Export!$A166="","",IFERROR(VALUE(SUBSTITUTE(SUBSTITUTE(UPPER(TRIM(Raw_Export!F166)),"KES",""),",","")),0))</f>
        <v>65</v>
      </c>
      <c r="H166" s="38" t="n">
        <f aca="false">IF(Raw_Export!$A166="","",F166*G166)</f>
        <v>65</v>
      </c>
      <c r="I166" s="36" t="str">
        <f aca="false">IF(Raw_Export!$A166="","",IFERROR(VLOOKUP(LOWER(TRIM(Raw_Export!H166)),Maps!$D$2:$E$12,2,FALSE()),"Other"))</f>
        <v>M-Pesa</v>
      </c>
      <c r="J166" s="36" t="str">
        <f aca="false">IF(Raw_Export!$A166="","",IF(COUNTIF($A$2:A166,A166)&gt;1,"Duplicate",""))</f>
        <v/>
      </c>
      <c r="K166" s="36" t="str">
        <f aca="false">IF(Raw_Export!$A166="","",IF(J166="Duplicate","Duplicate",IF(OR(C166="UNMAPPED",D166="UNMAPPED"),"Unmapped",IF(F166=0,"Blank qty",IF(F166&lt;0,"Return","OK")))))</f>
        <v>OK</v>
      </c>
      <c r="L166" s="36" t="n">
        <f aca="false">IF(Raw_Export!$A166="","",IF(OR(K166="OK",K166="Return"),1,0))</f>
        <v>1</v>
      </c>
      <c r="M166" s="37" t="n">
        <f aca="false">IF(Raw_Export!$A166="","",B166-WEEKDAY(B166,2)+1)</f>
        <v>46265</v>
      </c>
    </row>
    <row r="167" customFormat="false" ht="15" hidden="false" customHeight="false" outlineLevel="0" collapsed="false">
      <c r="A167" s="36" t="str">
        <f aca="false">IF(Raw_Export!$A167="","",TRIM(Raw_Export!A167))</f>
        <v>TXN-100165</v>
      </c>
      <c r="B167" s="37" t="n">
        <f aca="false">IF(Raw_Export!$A167="","",IF(ISNUMBER(Raw_Export!B167),Raw_Export!B167,IF(MID(TRIM(Raw_Export!B167),5,1)="-",DATE(LEFT(TRIM(Raw_Export!B167),4),MID(TRIM(Raw_Export!B167),6,2),RIGHT(TRIM(Raw_Export!B167),2)),DATE(RIGHT(TRIM(Raw_Export!B167),4),MATCH(MID(TRIM(Raw_Export!B167),4,3),{"Jan","Feb","Mar","Apr","May","Jun","Jul","Aug","Sep","Oct","Nov","Dec"},0),LEFT(TRIM(Raw_Export!B167),2)))))</f>
        <v>46266</v>
      </c>
      <c r="C167" s="36" t="str">
        <f aca="false">IF(Raw_Export!$A167="","",IFERROR(VLOOKUP(LOWER(TRIM(Raw_Export!C167)),Maps!$A$2:$B$20,2,FALSE()),"UNMAPPED"))</f>
        <v>Westlands</v>
      </c>
      <c r="D167" s="36" t="str">
        <f aca="false">IF(Raw_Export!$A167="","",IFERROR(VLOOKUP(LOWER(TRIM(Raw_Export!D167)),Maps!$G$2:$I$80,2,FALSE()),"UNMAPPED"))</f>
        <v>Body Lotion 400ml</v>
      </c>
      <c r="E167" s="36" t="str">
        <f aca="false">IF(Raw_Export!$A167="","",IFERROR(VLOOKUP(LOWER(TRIM(Raw_Export!D167)),Maps!$G$2:$I$80,3,FALSE()),"UNMAPPED"))</f>
        <v>Personal Care</v>
      </c>
      <c r="F167" s="36" t="n">
        <f aca="false">IF(Raw_Export!$A167="","",IFERROR(VALUE(TRIM(Raw_Export!E167)),0))</f>
        <v>3</v>
      </c>
      <c r="G167" s="38" t="n">
        <f aca="false">IF(Raw_Export!$A167="","",IFERROR(VALUE(SUBSTITUTE(SUBSTITUTE(UPPER(TRIM(Raw_Export!F167)),"KES",""),",","")),0))</f>
        <v>420</v>
      </c>
      <c r="H167" s="38" t="n">
        <f aca="false">IF(Raw_Export!$A167="","",F167*G167)</f>
        <v>1260</v>
      </c>
      <c r="I167" s="36" t="str">
        <f aca="false">IF(Raw_Export!$A167="","",IFERROR(VLOOKUP(LOWER(TRIM(Raw_Export!H167)),Maps!$D$2:$E$12,2,FALSE()),"Other"))</f>
        <v>Cash</v>
      </c>
      <c r="J167" s="36" t="str">
        <f aca="false">IF(Raw_Export!$A167="","",IF(COUNTIF($A$2:A167,A167)&gt;1,"Duplicate",""))</f>
        <v/>
      </c>
      <c r="K167" s="36" t="str">
        <f aca="false">IF(Raw_Export!$A167="","",IF(J167="Duplicate","Duplicate",IF(OR(C167="UNMAPPED",D167="UNMAPPED"),"Unmapped",IF(F167=0,"Blank qty",IF(F167&lt;0,"Return","OK")))))</f>
        <v>OK</v>
      </c>
      <c r="L167" s="36" t="n">
        <f aca="false">IF(Raw_Export!$A167="","",IF(OR(K167="OK",K167="Return"),1,0))</f>
        <v>1</v>
      </c>
      <c r="M167" s="37" t="n">
        <f aca="false">IF(Raw_Export!$A167="","",B167-WEEKDAY(B167,2)+1)</f>
        <v>46265</v>
      </c>
    </row>
    <row r="168" customFormat="false" ht="15" hidden="false" customHeight="false" outlineLevel="0" collapsed="false">
      <c r="A168" s="36" t="str">
        <f aca="false">IF(Raw_Export!$A168="","",TRIM(Raw_Export!A168))</f>
        <v>TXN-100166</v>
      </c>
      <c r="B168" s="37" t="n">
        <f aca="false">IF(Raw_Export!$A168="","",IF(ISNUMBER(Raw_Export!B168),Raw_Export!B168,IF(MID(TRIM(Raw_Export!B168),5,1)="-",DATE(LEFT(TRIM(Raw_Export!B168),4),MID(TRIM(Raw_Export!B168),6,2),RIGHT(TRIM(Raw_Export!B168),2)),DATE(RIGHT(TRIM(Raw_Export!B168),4),MATCH(MID(TRIM(Raw_Export!B168),4,3),{"Jan","Feb","Mar","Apr","May","Jun","Jul","Aug","Sep","Oct","Nov","Dec"},0),LEFT(TRIM(Raw_Export!B168),2)))))</f>
        <v>46266</v>
      </c>
      <c r="C168" s="36" t="str">
        <f aca="false">IF(Raw_Export!$A168="","",IFERROR(VLOOKUP(LOWER(TRIM(Raw_Export!C168)),Maps!$A$2:$B$20,2,FALSE()),"UNMAPPED"))</f>
        <v>Westlands</v>
      </c>
      <c r="D168" s="36" t="str">
        <f aca="false">IF(Raw_Export!$A168="","",IFERROR(VLOOKUP(LOWER(TRIM(Raw_Export!D168)),Maps!$G$2:$I$80,2,FALSE()),"UNMAPPED"))</f>
        <v>Fresh Milk 500ml</v>
      </c>
      <c r="E168" s="36" t="str">
        <f aca="false">IF(Raw_Export!$A168="","",IFERROR(VLOOKUP(LOWER(TRIM(Raw_Export!D168)),Maps!$G$2:$I$80,3,FALSE()),"UNMAPPED"))</f>
        <v>Dairy &amp; Eggs</v>
      </c>
      <c r="F168" s="36" t="n">
        <f aca="false">IF(Raw_Export!$A168="","",IFERROR(VALUE(TRIM(Raw_Export!E168)),0))</f>
        <v>2</v>
      </c>
      <c r="G168" s="38" t="n">
        <f aca="false">IF(Raw_Export!$A168="","",IFERROR(VALUE(SUBSTITUTE(SUBSTITUTE(UPPER(TRIM(Raw_Export!F168)),"KES",""),",","")),0))</f>
        <v>65</v>
      </c>
      <c r="H168" s="38" t="n">
        <f aca="false">IF(Raw_Export!$A168="","",F168*G168)</f>
        <v>130</v>
      </c>
      <c r="I168" s="36" t="str">
        <f aca="false">IF(Raw_Export!$A168="","",IFERROR(VLOOKUP(LOWER(TRIM(Raw_Export!H168)),Maps!$D$2:$E$12,2,FALSE()),"Other"))</f>
        <v>M-Pesa</v>
      </c>
      <c r="J168" s="36" t="str">
        <f aca="false">IF(Raw_Export!$A168="","",IF(COUNTIF($A$2:A168,A168)&gt;1,"Duplicate",""))</f>
        <v/>
      </c>
      <c r="K168" s="36" t="str">
        <f aca="false">IF(Raw_Export!$A168="","",IF(J168="Duplicate","Duplicate",IF(OR(C168="UNMAPPED",D168="UNMAPPED"),"Unmapped",IF(F168=0,"Blank qty",IF(F168&lt;0,"Return","OK")))))</f>
        <v>OK</v>
      </c>
      <c r="L168" s="36" t="n">
        <f aca="false">IF(Raw_Export!$A168="","",IF(OR(K168="OK",K168="Return"),1,0))</f>
        <v>1</v>
      </c>
      <c r="M168" s="37" t="n">
        <f aca="false">IF(Raw_Export!$A168="","",B168-WEEKDAY(B168,2)+1)</f>
        <v>46265</v>
      </c>
    </row>
    <row r="169" customFormat="false" ht="15" hidden="false" customHeight="false" outlineLevel="0" collapsed="false">
      <c r="A169" s="36" t="str">
        <f aca="false">IF(Raw_Export!$A169="","",TRIM(Raw_Export!A169))</f>
        <v>TXN-100167</v>
      </c>
      <c r="B169" s="37" t="n">
        <f aca="false">IF(Raw_Export!$A169="","",IF(ISNUMBER(Raw_Export!B169),Raw_Export!B169,IF(MID(TRIM(Raw_Export!B169),5,1)="-",DATE(LEFT(TRIM(Raw_Export!B169),4),MID(TRIM(Raw_Export!B169),6,2),RIGHT(TRIM(Raw_Export!B169),2)),DATE(RIGHT(TRIM(Raw_Export!B169),4),MATCH(MID(TRIM(Raw_Export!B169),4,3),{"Jan","Feb","Mar","Apr","May","Jun","Jul","Aug","Sep","Oct","Nov","Dec"},0),LEFT(TRIM(Raw_Export!B169),2)))))</f>
        <v>46266</v>
      </c>
      <c r="C169" s="36" t="str">
        <f aca="false">IF(Raw_Export!$A169="","",IFERROR(VLOOKUP(LOWER(TRIM(Raw_Export!C169)),Maps!$A$2:$B$20,2,FALSE()),"UNMAPPED"))</f>
        <v>Westlands</v>
      </c>
      <c r="D169" s="36" t="str">
        <f aca="false">IF(Raw_Export!$A169="","",IFERROR(VLOOKUP(LOWER(TRIM(Raw_Export!D169)),Maps!$G$2:$I$80,2,FALSE()),"UNMAPPED"))</f>
        <v>Bread Loaf 400g</v>
      </c>
      <c r="E169" s="36" t="str">
        <f aca="false">IF(Raw_Export!$A169="","",IFERROR(VLOOKUP(LOWER(TRIM(Raw_Export!D169)),Maps!$G$2:$I$80,3,FALSE()),"UNMAPPED"))</f>
        <v>Snacks</v>
      </c>
      <c r="F169" s="36" t="n">
        <f aca="false">IF(Raw_Export!$A169="","",IFERROR(VALUE(TRIM(Raw_Export!E169)),0))</f>
        <v>1</v>
      </c>
      <c r="G169" s="38" t="n">
        <f aca="false">IF(Raw_Export!$A169="","",IFERROR(VALUE(SUBSTITUTE(SUBSTITUTE(UPPER(TRIM(Raw_Export!F169)),"KES",""),",","")),0))</f>
        <v>65</v>
      </c>
      <c r="H169" s="38" t="n">
        <f aca="false">IF(Raw_Export!$A169="","",F169*G169)</f>
        <v>65</v>
      </c>
      <c r="I169" s="36" t="str">
        <f aca="false">IF(Raw_Export!$A169="","",IFERROR(VLOOKUP(LOWER(TRIM(Raw_Export!H169)),Maps!$D$2:$E$12,2,FALSE()),"Other"))</f>
        <v>Cash</v>
      </c>
      <c r="J169" s="36" t="str">
        <f aca="false">IF(Raw_Export!$A169="","",IF(COUNTIF($A$2:A169,A169)&gt;1,"Duplicate",""))</f>
        <v/>
      </c>
      <c r="K169" s="36" t="str">
        <f aca="false">IF(Raw_Export!$A169="","",IF(J169="Duplicate","Duplicate",IF(OR(C169="UNMAPPED",D169="UNMAPPED"),"Unmapped",IF(F169=0,"Blank qty",IF(F169&lt;0,"Return","OK")))))</f>
        <v>OK</v>
      </c>
      <c r="L169" s="36" t="n">
        <f aca="false">IF(Raw_Export!$A169="","",IF(OR(K169="OK",K169="Return"),1,0))</f>
        <v>1</v>
      </c>
      <c r="M169" s="37" t="n">
        <f aca="false">IF(Raw_Export!$A169="","",B169-WEEKDAY(B169,2)+1)</f>
        <v>46265</v>
      </c>
    </row>
    <row r="170" customFormat="false" ht="15" hidden="false" customHeight="false" outlineLevel="0" collapsed="false">
      <c r="A170" s="36" t="str">
        <f aca="false">IF(Raw_Export!$A170="","",TRIM(Raw_Export!A170))</f>
        <v>TXN-100168</v>
      </c>
      <c r="B170" s="37" t="n">
        <f aca="false">IF(Raw_Export!$A170="","",IF(ISNUMBER(Raw_Export!B170),Raw_Export!B170,IF(MID(TRIM(Raw_Export!B170),5,1)="-",DATE(LEFT(TRIM(Raw_Export!B170),4),MID(TRIM(Raw_Export!B170),6,2),RIGHT(TRIM(Raw_Export!B170),2)),DATE(RIGHT(TRIM(Raw_Export!B170),4),MATCH(MID(TRIM(Raw_Export!B170),4,3),{"Jan","Feb","Mar","Apr","May","Jun","Jul","Aug","Sep","Oct","Nov","Dec"},0),LEFT(TRIM(Raw_Export!B170),2)))))</f>
        <v>46266</v>
      </c>
      <c r="C170" s="36" t="str">
        <f aca="false">IF(Raw_Export!$A170="","",IFERROR(VLOOKUP(LOWER(TRIM(Raw_Export!C170)),Maps!$A$2:$B$20,2,FALSE()),"UNMAPPED"))</f>
        <v>Westlands</v>
      </c>
      <c r="D170" s="36" t="str">
        <f aca="false">IF(Raw_Export!$A170="","",IFERROR(VLOOKUP(LOWER(TRIM(Raw_Export!D170)),Maps!$G$2:$I$80,2,FALSE()),"UNMAPPED"))</f>
        <v>Cooking Oil 1L</v>
      </c>
      <c r="E170" s="36" t="str">
        <f aca="false">IF(Raw_Export!$A170="","",IFERROR(VLOOKUP(LOWER(TRIM(Raw_Export!D170)),Maps!$G$2:$I$80,3,FALSE()),"UNMAPPED"))</f>
        <v>Staples</v>
      </c>
      <c r="F170" s="36" t="n">
        <f aca="false">IF(Raw_Export!$A170="","",IFERROR(VALUE(TRIM(Raw_Export!E170)),0))</f>
        <v>1</v>
      </c>
      <c r="G170" s="38" t="n">
        <f aca="false">IF(Raw_Export!$A170="","",IFERROR(VALUE(SUBSTITUTE(SUBSTITUTE(UPPER(TRIM(Raw_Export!F170)),"KES",""),",","")),0))</f>
        <v>330</v>
      </c>
      <c r="H170" s="38" t="n">
        <f aca="false">IF(Raw_Export!$A170="","",F170*G170)</f>
        <v>330</v>
      </c>
      <c r="I170" s="36" t="str">
        <f aca="false">IF(Raw_Export!$A170="","",IFERROR(VLOOKUP(LOWER(TRIM(Raw_Export!H170)),Maps!$D$2:$E$12,2,FALSE()),"Other"))</f>
        <v>Cash</v>
      </c>
      <c r="J170" s="36" t="str">
        <f aca="false">IF(Raw_Export!$A170="","",IF(COUNTIF($A$2:A170,A170)&gt;1,"Duplicate",""))</f>
        <v/>
      </c>
      <c r="K170" s="36" t="str">
        <f aca="false">IF(Raw_Export!$A170="","",IF(J170="Duplicate","Duplicate",IF(OR(C170="UNMAPPED",D170="UNMAPPED"),"Unmapped",IF(F170=0,"Blank qty",IF(F170&lt;0,"Return","OK")))))</f>
        <v>OK</v>
      </c>
      <c r="L170" s="36" t="n">
        <f aca="false">IF(Raw_Export!$A170="","",IF(OR(K170="OK",K170="Return"),1,0))</f>
        <v>1</v>
      </c>
      <c r="M170" s="37" t="n">
        <f aca="false">IF(Raw_Export!$A170="","",B170-WEEKDAY(B170,2)+1)</f>
        <v>46265</v>
      </c>
    </row>
    <row r="171" customFormat="false" ht="15" hidden="false" customHeight="false" outlineLevel="0" collapsed="false">
      <c r="A171" s="36" t="str">
        <f aca="false">IF(Raw_Export!$A171="","",TRIM(Raw_Export!A171))</f>
        <v>TXN-100169</v>
      </c>
      <c r="B171" s="37" t="n">
        <f aca="false">IF(Raw_Export!$A171="","",IF(ISNUMBER(Raw_Export!B171),Raw_Export!B171,IF(MID(TRIM(Raw_Export!B171),5,1)="-",DATE(LEFT(TRIM(Raw_Export!B171),4),MID(TRIM(Raw_Export!B171),6,2),RIGHT(TRIM(Raw_Export!B171),2)),DATE(RIGHT(TRIM(Raw_Export!B171),4),MATCH(MID(TRIM(Raw_Export!B171),4,3),{"Jan","Feb","Mar","Apr","May","Jun","Jul","Aug","Sep","Oct","Nov","Dec"},0),LEFT(TRIM(Raw_Export!B171),2)))))</f>
        <v>46266</v>
      </c>
      <c r="C171" s="36" t="str">
        <f aca="false">IF(Raw_Export!$A171="","",IFERROR(VLOOKUP(LOWER(TRIM(Raw_Export!C171)),Maps!$A$2:$B$20,2,FALSE()),"UNMAPPED"))</f>
        <v>Westlands</v>
      </c>
      <c r="D171" s="36" t="str">
        <f aca="false">IF(Raw_Export!$A171="","",IFERROR(VLOOKUP(LOWER(TRIM(Raw_Export!D171)),Maps!$G$2:$I$80,2,FALSE()),"UNMAPPED"))</f>
        <v>Cheddar 200g</v>
      </c>
      <c r="E171" s="36" t="str">
        <f aca="false">IF(Raw_Export!$A171="","",IFERROR(VLOOKUP(LOWER(TRIM(Raw_Export!D171)),Maps!$G$2:$I$80,3,FALSE()),"UNMAPPED"))</f>
        <v>Dairy &amp; Eggs</v>
      </c>
      <c r="F171" s="36" t="n">
        <f aca="false">IF(Raw_Export!$A171="","",IFERROR(VALUE(TRIM(Raw_Export!E171)),0))</f>
        <v>1</v>
      </c>
      <c r="G171" s="38" t="n">
        <f aca="false">IF(Raw_Export!$A171="","",IFERROR(VALUE(SUBSTITUTE(SUBSTITUTE(UPPER(TRIM(Raw_Export!F171)),"KES",""),",","")),0))</f>
        <v>342</v>
      </c>
      <c r="H171" s="38" t="n">
        <f aca="false">IF(Raw_Export!$A171="","",F171*G171)</f>
        <v>342</v>
      </c>
      <c r="I171" s="36" t="str">
        <f aca="false">IF(Raw_Export!$A171="","",IFERROR(VLOOKUP(LOWER(TRIM(Raw_Export!H171)),Maps!$D$2:$E$12,2,FALSE()),"Other"))</f>
        <v>M-Pesa</v>
      </c>
      <c r="J171" s="36" t="str">
        <f aca="false">IF(Raw_Export!$A171="","",IF(COUNTIF($A$2:A171,A171)&gt;1,"Duplicate",""))</f>
        <v/>
      </c>
      <c r="K171" s="36" t="str">
        <f aca="false">IF(Raw_Export!$A171="","",IF(J171="Duplicate","Duplicate",IF(OR(C171="UNMAPPED",D171="UNMAPPED"),"Unmapped",IF(F171=0,"Blank qty",IF(F171&lt;0,"Return","OK")))))</f>
        <v>OK</v>
      </c>
      <c r="L171" s="36" t="n">
        <f aca="false">IF(Raw_Export!$A171="","",IF(OR(K171="OK",K171="Return"),1,0))</f>
        <v>1</v>
      </c>
      <c r="M171" s="37" t="n">
        <f aca="false">IF(Raw_Export!$A171="","",B171-WEEKDAY(B171,2)+1)</f>
        <v>46265</v>
      </c>
    </row>
    <row r="172" customFormat="false" ht="15" hidden="false" customHeight="false" outlineLevel="0" collapsed="false">
      <c r="A172" s="36" t="str">
        <f aca="false">IF(Raw_Export!$A172="","",TRIM(Raw_Export!A172))</f>
        <v>TXN-100170</v>
      </c>
      <c r="B172" s="37" t="n">
        <f aca="false">IF(Raw_Export!$A172="","",IF(ISNUMBER(Raw_Export!B172),Raw_Export!B172,IF(MID(TRIM(Raw_Export!B172),5,1)="-",DATE(LEFT(TRIM(Raw_Export!B172),4),MID(TRIM(Raw_Export!B172),6,2),RIGHT(TRIM(Raw_Export!B172),2)),DATE(RIGHT(TRIM(Raw_Export!B172),4),MATCH(MID(TRIM(Raw_Export!B172),4,3),{"Jan","Feb","Mar","Apr","May","Jun","Jul","Aug","Sep","Oct","Nov","Dec"},0),LEFT(TRIM(Raw_Export!B172),2)))))</f>
        <v>46266</v>
      </c>
      <c r="C172" s="36" t="str">
        <f aca="false">IF(Raw_Export!$A172="","",IFERROR(VLOOKUP(LOWER(TRIM(Raw_Export!C172)),Maps!$A$2:$B$20,2,FALSE()),"UNMAPPED"))</f>
        <v>Westlands</v>
      </c>
      <c r="D172" s="36" t="str">
        <f aca="false">IF(Raw_Export!$A172="","",IFERROR(VLOOKUP(LOWER(TRIM(Raw_Export!D172)),Maps!$G$2:$I$80,2,FALSE()),"UNMAPPED"))</f>
        <v>Soda 500ml</v>
      </c>
      <c r="E172" s="36" t="str">
        <f aca="false">IF(Raw_Export!$A172="","",IFERROR(VLOOKUP(LOWER(TRIM(Raw_Export!D172)),Maps!$G$2:$I$80,3,FALSE()),"UNMAPPED"))</f>
        <v>Beverages</v>
      </c>
      <c r="F172" s="36" t="n">
        <f aca="false">IF(Raw_Export!$A172="","",IFERROR(VALUE(TRIM(Raw_Export!E172)),0))</f>
        <v>1</v>
      </c>
      <c r="G172" s="38" t="n">
        <f aca="false">IF(Raw_Export!$A172="","",IFERROR(VALUE(SUBSTITUTE(SUBSTITUTE(UPPER(TRIM(Raw_Export!F172)),"KES",""),",","")),0))</f>
        <v>60</v>
      </c>
      <c r="H172" s="38" t="n">
        <f aca="false">IF(Raw_Export!$A172="","",F172*G172)</f>
        <v>60</v>
      </c>
      <c r="I172" s="36" t="str">
        <f aca="false">IF(Raw_Export!$A172="","",IFERROR(VLOOKUP(LOWER(TRIM(Raw_Export!H172)),Maps!$D$2:$E$12,2,FALSE()),"Other"))</f>
        <v>M-Pesa</v>
      </c>
      <c r="J172" s="36" t="str">
        <f aca="false">IF(Raw_Export!$A172="","",IF(COUNTIF($A$2:A172,A172)&gt;1,"Duplicate",""))</f>
        <v/>
      </c>
      <c r="K172" s="36" t="str">
        <f aca="false">IF(Raw_Export!$A172="","",IF(J172="Duplicate","Duplicate",IF(OR(C172="UNMAPPED",D172="UNMAPPED"),"Unmapped",IF(F172=0,"Blank qty",IF(F172&lt;0,"Return","OK")))))</f>
        <v>OK</v>
      </c>
      <c r="L172" s="36" t="n">
        <f aca="false">IF(Raw_Export!$A172="","",IF(OR(K172="OK",K172="Return"),1,0))</f>
        <v>1</v>
      </c>
      <c r="M172" s="37" t="n">
        <f aca="false">IF(Raw_Export!$A172="","",B172-WEEKDAY(B172,2)+1)</f>
        <v>46265</v>
      </c>
    </row>
    <row r="173" customFormat="false" ht="15" hidden="false" customHeight="false" outlineLevel="0" collapsed="false">
      <c r="A173" s="36" t="str">
        <f aca="false">IF(Raw_Export!$A173="","",TRIM(Raw_Export!A173))</f>
        <v>TXN-100171</v>
      </c>
      <c r="B173" s="37" t="n">
        <f aca="false">IF(Raw_Export!$A173="","",IF(ISNUMBER(Raw_Export!B173),Raw_Export!B173,IF(MID(TRIM(Raw_Export!B173),5,1)="-",DATE(LEFT(TRIM(Raw_Export!B173),4),MID(TRIM(Raw_Export!B173),6,2),RIGHT(TRIM(Raw_Export!B173),2)),DATE(RIGHT(TRIM(Raw_Export!B173),4),MATCH(MID(TRIM(Raw_Export!B173),4,3),{"Jan","Feb","Mar","Apr","May","Jun","Jul","Aug","Sep","Oct","Nov","Dec"},0),LEFT(TRIM(Raw_Export!B173),2)))))</f>
        <v>46266</v>
      </c>
      <c r="C173" s="36" t="str">
        <f aca="false">IF(Raw_Export!$A173="","",IFERROR(VLOOKUP(LOWER(TRIM(Raw_Export!C173)),Maps!$A$2:$B$20,2,FALSE()),"UNMAPPED"))</f>
        <v>Westlands</v>
      </c>
      <c r="D173" s="36" t="str">
        <f aca="false">IF(Raw_Export!$A173="","",IFERROR(VLOOKUP(LOWER(TRIM(Raw_Export!D173)),Maps!$G$2:$I$80,2,FALSE()),"UNMAPPED"))</f>
        <v>Soda 500ml</v>
      </c>
      <c r="E173" s="36" t="str">
        <f aca="false">IF(Raw_Export!$A173="","",IFERROR(VLOOKUP(LOWER(TRIM(Raw_Export!D173)),Maps!$G$2:$I$80,3,FALSE()),"UNMAPPED"))</f>
        <v>Beverages</v>
      </c>
      <c r="F173" s="36" t="n">
        <f aca="false">IF(Raw_Export!$A173="","",IFERROR(VALUE(TRIM(Raw_Export!E173)),0))</f>
        <v>4</v>
      </c>
      <c r="G173" s="38" t="n">
        <f aca="false">IF(Raw_Export!$A173="","",IFERROR(VALUE(SUBSTITUTE(SUBSTITUTE(UPPER(TRIM(Raw_Export!F173)),"KES",""),",","")),0))</f>
        <v>60</v>
      </c>
      <c r="H173" s="38" t="n">
        <f aca="false">IF(Raw_Export!$A173="","",F173*G173)</f>
        <v>240</v>
      </c>
      <c r="I173" s="36" t="str">
        <f aca="false">IF(Raw_Export!$A173="","",IFERROR(VLOOKUP(LOWER(TRIM(Raw_Export!H173)),Maps!$D$2:$E$12,2,FALSE()),"Other"))</f>
        <v>M-Pesa</v>
      </c>
      <c r="J173" s="36" t="str">
        <f aca="false">IF(Raw_Export!$A173="","",IF(COUNTIF($A$2:A173,A173)&gt;1,"Duplicate",""))</f>
        <v/>
      </c>
      <c r="K173" s="36" t="str">
        <f aca="false">IF(Raw_Export!$A173="","",IF(J173="Duplicate","Duplicate",IF(OR(C173="UNMAPPED",D173="UNMAPPED"),"Unmapped",IF(F173=0,"Blank qty",IF(F173&lt;0,"Return","OK")))))</f>
        <v>OK</v>
      </c>
      <c r="L173" s="36" t="n">
        <f aca="false">IF(Raw_Export!$A173="","",IF(OR(K173="OK",K173="Return"),1,0))</f>
        <v>1</v>
      </c>
      <c r="M173" s="37" t="n">
        <f aca="false">IF(Raw_Export!$A173="","",B173-WEEKDAY(B173,2)+1)</f>
        <v>46265</v>
      </c>
    </row>
    <row r="174" customFormat="false" ht="15" hidden="false" customHeight="false" outlineLevel="0" collapsed="false">
      <c r="A174" s="36" t="str">
        <f aca="false">IF(Raw_Export!$A174="","",TRIM(Raw_Export!A174))</f>
        <v>TXN-100172</v>
      </c>
      <c r="B174" s="37" t="n">
        <f aca="false">IF(Raw_Export!$A174="","",IF(ISNUMBER(Raw_Export!B174),Raw_Export!B174,IF(MID(TRIM(Raw_Export!B174),5,1)="-",DATE(LEFT(TRIM(Raw_Export!B174),4),MID(TRIM(Raw_Export!B174),6,2),RIGHT(TRIM(Raw_Export!B174),2)),DATE(RIGHT(TRIM(Raw_Export!B174),4),MATCH(MID(TRIM(Raw_Export!B174),4,3),{"Jan","Feb","Mar","Apr","May","Jun","Jul","Aug","Sep","Oct","Nov","Dec"},0),LEFT(TRIM(Raw_Export!B174),2)))))</f>
        <v>46266</v>
      </c>
      <c r="C174" s="36" t="str">
        <f aca="false">IF(Raw_Export!$A174="","",IFERROR(VLOOKUP(LOWER(TRIM(Raw_Export!C174)),Maps!$A$2:$B$20,2,FALSE()),"UNMAPPED"))</f>
        <v>Westlands</v>
      </c>
      <c r="D174" s="36" t="str">
        <f aca="false">IF(Raw_Export!$A174="","",IFERROR(VLOOKUP(LOWER(TRIM(Raw_Export!D174)),Maps!$G$2:$I$80,2,FALSE()),"UNMAPPED"))</f>
        <v>Deodorant 150ml</v>
      </c>
      <c r="E174" s="36" t="str">
        <f aca="false">IF(Raw_Export!$A174="","",IFERROR(VLOOKUP(LOWER(TRIM(Raw_Export!D174)),Maps!$G$2:$I$80,3,FALSE()),"UNMAPPED"))</f>
        <v>Personal Care</v>
      </c>
      <c r="F174" s="36" t="n">
        <f aca="false">IF(Raw_Export!$A174="","",IFERROR(VALUE(TRIM(Raw_Export!E174)),0))</f>
        <v>1</v>
      </c>
      <c r="G174" s="38" t="n">
        <f aca="false">IF(Raw_Export!$A174="","",IFERROR(VALUE(SUBSTITUTE(SUBSTITUTE(UPPER(TRIM(Raw_Export!F174)),"KES",""),",","")),0))</f>
        <v>350</v>
      </c>
      <c r="H174" s="38" t="n">
        <f aca="false">IF(Raw_Export!$A174="","",F174*G174)</f>
        <v>350</v>
      </c>
      <c r="I174" s="36" t="str">
        <f aca="false">IF(Raw_Export!$A174="","",IFERROR(VLOOKUP(LOWER(TRIM(Raw_Export!H174)),Maps!$D$2:$E$12,2,FALSE()),"Other"))</f>
        <v>Cash</v>
      </c>
      <c r="J174" s="36" t="str">
        <f aca="false">IF(Raw_Export!$A174="","",IF(COUNTIF($A$2:A174,A174)&gt;1,"Duplicate",""))</f>
        <v/>
      </c>
      <c r="K174" s="36" t="str">
        <f aca="false">IF(Raw_Export!$A174="","",IF(J174="Duplicate","Duplicate",IF(OR(C174="UNMAPPED",D174="UNMAPPED"),"Unmapped",IF(F174=0,"Blank qty",IF(F174&lt;0,"Return","OK")))))</f>
        <v>OK</v>
      </c>
      <c r="L174" s="36" t="n">
        <f aca="false">IF(Raw_Export!$A174="","",IF(OR(K174="OK",K174="Return"),1,0))</f>
        <v>1</v>
      </c>
      <c r="M174" s="37" t="n">
        <f aca="false">IF(Raw_Export!$A174="","",B174-WEEKDAY(B174,2)+1)</f>
        <v>46265</v>
      </c>
    </row>
    <row r="175" customFormat="false" ht="15" hidden="false" customHeight="false" outlineLevel="0" collapsed="false">
      <c r="A175" s="36" t="str">
        <f aca="false">IF(Raw_Export!$A175="","",TRIM(Raw_Export!A175))</f>
        <v>TXN-100173</v>
      </c>
      <c r="B175" s="37" t="n">
        <f aca="false">IF(Raw_Export!$A175="","",IF(ISNUMBER(Raw_Export!B175),Raw_Export!B175,IF(MID(TRIM(Raw_Export!B175),5,1)="-",DATE(LEFT(TRIM(Raw_Export!B175),4),MID(TRIM(Raw_Export!B175),6,2),RIGHT(TRIM(Raw_Export!B175),2)),DATE(RIGHT(TRIM(Raw_Export!B175),4),MATCH(MID(TRIM(Raw_Export!B175),4,3),{"Jan","Feb","Mar","Apr","May","Jun","Jul","Aug","Sep","Oct","Nov","Dec"},0),LEFT(TRIM(Raw_Export!B175),2)))))</f>
        <v>46266</v>
      </c>
      <c r="C175" s="36" t="str">
        <f aca="false">IF(Raw_Export!$A175="","",IFERROR(VLOOKUP(LOWER(TRIM(Raw_Export!C175)),Maps!$A$2:$B$20,2,FALSE()),"UNMAPPED"))</f>
        <v>Westlands</v>
      </c>
      <c r="D175" s="36" t="str">
        <f aca="false">IF(Raw_Export!$A175="","",IFERROR(VLOOKUP(LOWER(TRIM(Raw_Export!D175)),Maps!$G$2:$I$80,2,FALSE()),"UNMAPPED"))</f>
        <v>Fresh Milk 500ml</v>
      </c>
      <c r="E175" s="36" t="str">
        <f aca="false">IF(Raw_Export!$A175="","",IFERROR(VLOOKUP(LOWER(TRIM(Raw_Export!D175)),Maps!$G$2:$I$80,3,FALSE()),"UNMAPPED"))</f>
        <v>Dairy &amp; Eggs</v>
      </c>
      <c r="F175" s="36" t="n">
        <f aca="false">IF(Raw_Export!$A175="","",IFERROR(VALUE(TRIM(Raw_Export!E175)),0))</f>
        <v>4</v>
      </c>
      <c r="G175" s="38" t="n">
        <f aca="false">IF(Raw_Export!$A175="","",IFERROR(VALUE(SUBSTITUTE(SUBSTITUTE(UPPER(TRIM(Raw_Export!F175)),"KES",""),",","")),0))</f>
        <v>65</v>
      </c>
      <c r="H175" s="38" t="n">
        <f aca="false">IF(Raw_Export!$A175="","",F175*G175)</f>
        <v>260</v>
      </c>
      <c r="I175" s="36" t="str">
        <f aca="false">IF(Raw_Export!$A175="","",IFERROR(VLOOKUP(LOWER(TRIM(Raw_Export!H175)),Maps!$D$2:$E$12,2,FALSE()),"Other"))</f>
        <v>M-Pesa</v>
      </c>
      <c r="J175" s="36" t="str">
        <f aca="false">IF(Raw_Export!$A175="","",IF(COUNTIF($A$2:A175,A175)&gt;1,"Duplicate",""))</f>
        <v/>
      </c>
      <c r="K175" s="36" t="str">
        <f aca="false">IF(Raw_Export!$A175="","",IF(J175="Duplicate","Duplicate",IF(OR(C175="UNMAPPED",D175="UNMAPPED"),"Unmapped",IF(F175=0,"Blank qty",IF(F175&lt;0,"Return","OK")))))</f>
        <v>OK</v>
      </c>
      <c r="L175" s="36" t="n">
        <f aca="false">IF(Raw_Export!$A175="","",IF(OR(K175="OK",K175="Return"),1,0))</f>
        <v>1</v>
      </c>
      <c r="M175" s="37" t="n">
        <f aca="false">IF(Raw_Export!$A175="","",B175-WEEKDAY(B175,2)+1)</f>
        <v>46265</v>
      </c>
    </row>
    <row r="176" customFormat="false" ht="15" hidden="false" customHeight="false" outlineLevel="0" collapsed="false">
      <c r="A176" s="36" t="str">
        <f aca="false">IF(Raw_Export!$A176="","",TRIM(Raw_Export!A176))</f>
        <v>TXN-100531</v>
      </c>
      <c r="B176" s="37" t="n">
        <f aca="false">IF(Raw_Export!$A176="","",IF(ISNUMBER(Raw_Export!B176),Raw_Export!B176,IF(MID(TRIM(Raw_Export!B176),5,1)="-",DATE(LEFT(TRIM(Raw_Export!B176),4),MID(TRIM(Raw_Export!B176),6,2),RIGHT(TRIM(Raw_Export!B176),2)),DATE(RIGHT(TRIM(Raw_Export!B176),4),MATCH(MID(TRIM(Raw_Export!B176),4,3),{"Jan","Feb","Mar","Apr","May","Jun","Jul","Aug","Sep","Oct","Nov","Dec"},0),LEFT(TRIM(Raw_Export!B176),2)))))</f>
        <v>46269</v>
      </c>
      <c r="C176" s="36" t="str">
        <f aca="false">IF(Raw_Export!$A176="","",IFERROR(VLOOKUP(LOWER(TRIM(Raw_Export!C176)),Maps!$A$2:$B$20,2,FALSE()),"UNMAPPED"))</f>
        <v>Nairobi CBD</v>
      </c>
      <c r="D176" s="36" t="str">
        <f aca="false">IF(Raw_Export!$A176="","",IFERROR(VLOOKUP(LOWER(TRIM(Raw_Export!D176)),Maps!$G$2:$I$80,2,FALSE()),"UNMAPPED"))</f>
        <v>Dish Soap 750ml</v>
      </c>
      <c r="E176" s="36" t="str">
        <f aca="false">IF(Raw_Export!$A176="","",IFERROR(VLOOKUP(LOWER(TRIM(Raw_Export!D176)),Maps!$G$2:$I$80,3,FALSE()),"UNMAPPED"))</f>
        <v>Household</v>
      </c>
      <c r="F176" s="36" t="n">
        <f aca="false">IF(Raw_Export!$A176="","",IFERROR(VALUE(TRIM(Raw_Export!E176)),0))</f>
        <v>3</v>
      </c>
      <c r="G176" s="38" t="n">
        <f aca="false">IF(Raw_Export!$A176="","",IFERROR(VALUE(SUBSTITUTE(SUBSTITUTE(UPPER(TRIM(Raw_Export!F176)),"KES",""),",","")),0))</f>
        <v>190</v>
      </c>
      <c r="H176" s="38" t="n">
        <f aca="false">IF(Raw_Export!$A176="","",F176*G176)</f>
        <v>570</v>
      </c>
      <c r="I176" s="36" t="str">
        <f aca="false">IF(Raw_Export!$A176="","",IFERROR(VLOOKUP(LOWER(TRIM(Raw_Export!H176)),Maps!$D$2:$E$12,2,FALSE()),"Other"))</f>
        <v>Cash</v>
      </c>
      <c r="J176" s="36" t="str">
        <f aca="false">IF(Raw_Export!$A176="","",IF(COUNTIF($A$2:A176,A176)&gt;1,"Duplicate",""))</f>
        <v/>
      </c>
      <c r="K176" s="36" t="str">
        <f aca="false">IF(Raw_Export!$A176="","",IF(J176="Duplicate","Duplicate",IF(OR(C176="UNMAPPED",D176="UNMAPPED"),"Unmapped",IF(F176=0,"Blank qty",IF(F176&lt;0,"Return","OK")))))</f>
        <v>OK</v>
      </c>
      <c r="L176" s="36" t="n">
        <f aca="false">IF(Raw_Export!$A176="","",IF(OR(K176="OK",K176="Return"),1,0))</f>
        <v>1</v>
      </c>
      <c r="M176" s="37" t="n">
        <f aca="false">IF(Raw_Export!$A176="","",B176-WEEKDAY(B176,2)+1)</f>
        <v>46265</v>
      </c>
    </row>
    <row r="177" customFormat="false" ht="15" hidden="false" customHeight="false" outlineLevel="0" collapsed="false">
      <c r="A177" s="36" t="str">
        <f aca="false">IF(Raw_Export!$A177="","",TRIM(Raw_Export!A177))</f>
        <v>TXN-100174</v>
      </c>
      <c r="B177" s="37" t="n">
        <f aca="false">IF(Raw_Export!$A177="","",IF(ISNUMBER(Raw_Export!B177),Raw_Export!B177,IF(MID(TRIM(Raw_Export!B177),5,1)="-",DATE(LEFT(TRIM(Raw_Export!B177),4),MID(TRIM(Raw_Export!B177),6,2),RIGHT(TRIM(Raw_Export!B177),2)),DATE(RIGHT(TRIM(Raw_Export!B177),4),MATCH(MID(TRIM(Raw_Export!B177),4,3),{"Jan","Feb","Mar","Apr","May","Jun","Jul","Aug","Sep","Oct","Nov","Dec"},0),LEFT(TRIM(Raw_Export!B177),2)))))</f>
        <v>46266</v>
      </c>
      <c r="C177" s="36" t="str">
        <f aca="false">IF(Raw_Export!$A177="","",IFERROR(VLOOKUP(LOWER(TRIM(Raw_Export!C177)),Maps!$A$2:$B$20,2,FALSE()),"UNMAPPED"))</f>
        <v>Westlands</v>
      </c>
      <c r="D177" s="36" t="str">
        <f aca="false">IF(Raw_Export!$A177="","",IFERROR(VLOOKUP(LOWER(TRIM(Raw_Export!D177)),Maps!$G$2:$I$80,2,FALSE()),"UNMAPPED"))</f>
        <v>Matches 10pk</v>
      </c>
      <c r="E177" s="36" t="str">
        <f aca="false">IF(Raw_Export!$A177="","",IFERROR(VLOOKUP(LOWER(TRIM(Raw_Export!D177)),Maps!$G$2:$I$80,3,FALSE()),"UNMAPPED"))</f>
        <v>Household</v>
      </c>
      <c r="F177" s="36" t="n">
        <f aca="false">IF(Raw_Export!$A177="","",IFERROR(VALUE(TRIM(Raw_Export!E177)),0))</f>
        <v>1</v>
      </c>
      <c r="G177" s="38" t="n">
        <f aca="false">IF(Raw_Export!$A177="","",IFERROR(VALUE(SUBSTITUTE(SUBSTITUTE(UPPER(TRIM(Raw_Export!F177)),"KES",""),",","")),0))</f>
        <v>50</v>
      </c>
      <c r="H177" s="38" t="n">
        <f aca="false">IF(Raw_Export!$A177="","",F177*G177)</f>
        <v>50</v>
      </c>
      <c r="I177" s="36" t="str">
        <f aca="false">IF(Raw_Export!$A177="","",IFERROR(VLOOKUP(LOWER(TRIM(Raw_Export!H177)),Maps!$D$2:$E$12,2,FALSE()),"Other"))</f>
        <v>M-Pesa</v>
      </c>
      <c r="J177" s="36" t="str">
        <f aca="false">IF(Raw_Export!$A177="","",IF(COUNTIF($A$2:A177,A177)&gt;1,"Duplicate",""))</f>
        <v/>
      </c>
      <c r="K177" s="36" t="str">
        <f aca="false">IF(Raw_Export!$A177="","",IF(J177="Duplicate","Duplicate",IF(OR(C177="UNMAPPED",D177="UNMAPPED"),"Unmapped",IF(F177=0,"Blank qty",IF(F177&lt;0,"Return","OK")))))</f>
        <v>OK</v>
      </c>
      <c r="L177" s="36" t="n">
        <f aca="false">IF(Raw_Export!$A177="","",IF(OR(K177="OK",K177="Return"),1,0))</f>
        <v>1</v>
      </c>
      <c r="M177" s="37" t="n">
        <f aca="false">IF(Raw_Export!$A177="","",B177-WEEKDAY(B177,2)+1)</f>
        <v>46265</v>
      </c>
    </row>
    <row r="178" customFormat="false" ht="15" hidden="false" customHeight="false" outlineLevel="0" collapsed="false">
      <c r="A178" s="36" t="str">
        <f aca="false">IF(Raw_Export!$A178="","",TRIM(Raw_Export!A178))</f>
        <v>TXN-100175</v>
      </c>
      <c r="B178" s="37" t="n">
        <f aca="false">IF(Raw_Export!$A178="","",IF(ISNUMBER(Raw_Export!B178),Raw_Export!B178,IF(MID(TRIM(Raw_Export!B178),5,1)="-",DATE(LEFT(TRIM(Raw_Export!B178),4),MID(TRIM(Raw_Export!B178),6,2),RIGHT(TRIM(Raw_Export!B178),2)),DATE(RIGHT(TRIM(Raw_Export!B178),4),MATCH(MID(TRIM(Raw_Export!B178),4,3),{"Jan","Feb","Mar","Apr","May","Jun","Jul","Aug","Sep","Oct","Nov","Dec"},0),LEFT(TRIM(Raw_Export!B178),2)))))</f>
        <v>46266</v>
      </c>
      <c r="C178" s="36" t="str">
        <f aca="false">IF(Raw_Export!$A178="","",IFERROR(VLOOKUP(LOWER(TRIM(Raw_Export!C178)),Maps!$A$2:$B$20,2,FALSE()),"UNMAPPED"))</f>
        <v>Westlands</v>
      </c>
      <c r="D178" s="36" t="str">
        <f aca="false">IF(Raw_Export!$A178="","",IFERROR(VLOOKUP(LOWER(TRIM(Raw_Export!D178)),Maps!$G$2:$I$80,2,FALSE()),"UNMAPPED"))</f>
        <v>Fresh Milk 500ml</v>
      </c>
      <c r="E178" s="36" t="str">
        <f aca="false">IF(Raw_Export!$A178="","",IFERROR(VLOOKUP(LOWER(TRIM(Raw_Export!D178)),Maps!$G$2:$I$80,3,FALSE()),"UNMAPPED"))</f>
        <v>Dairy &amp; Eggs</v>
      </c>
      <c r="F178" s="36" t="n">
        <f aca="false">IF(Raw_Export!$A178="","",IFERROR(VALUE(TRIM(Raw_Export!E178)),0))</f>
        <v>6</v>
      </c>
      <c r="G178" s="38" t="n">
        <f aca="false">IF(Raw_Export!$A178="","",IFERROR(VALUE(SUBSTITUTE(SUBSTITUTE(UPPER(TRIM(Raw_Export!F178)),"KES",""),",","")),0))</f>
        <v>65</v>
      </c>
      <c r="H178" s="38" t="n">
        <f aca="false">IF(Raw_Export!$A178="","",F178*G178)</f>
        <v>390</v>
      </c>
      <c r="I178" s="36" t="str">
        <f aca="false">IF(Raw_Export!$A178="","",IFERROR(VLOOKUP(LOWER(TRIM(Raw_Export!H178)),Maps!$D$2:$E$12,2,FALSE()),"Other"))</f>
        <v>Cash</v>
      </c>
      <c r="J178" s="36" t="str">
        <f aca="false">IF(Raw_Export!$A178="","",IF(COUNTIF($A$2:A178,A178)&gt;1,"Duplicate",""))</f>
        <v/>
      </c>
      <c r="K178" s="36" t="str">
        <f aca="false">IF(Raw_Export!$A178="","",IF(J178="Duplicate","Duplicate",IF(OR(C178="UNMAPPED",D178="UNMAPPED"),"Unmapped",IF(F178=0,"Blank qty",IF(F178&lt;0,"Return","OK")))))</f>
        <v>OK</v>
      </c>
      <c r="L178" s="36" t="n">
        <f aca="false">IF(Raw_Export!$A178="","",IF(OR(K178="OK",K178="Return"),1,0))</f>
        <v>1</v>
      </c>
      <c r="M178" s="37" t="n">
        <f aca="false">IF(Raw_Export!$A178="","",B178-WEEKDAY(B178,2)+1)</f>
        <v>46265</v>
      </c>
    </row>
    <row r="179" customFormat="false" ht="15" hidden="false" customHeight="false" outlineLevel="0" collapsed="false">
      <c r="A179" s="36" t="str">
        <f aca="false">IF(Raw_Export!$A179="","",TRIM(Raw_Export!A179))</f>
        <v>TXN-100176</v>
      </c>
      <c r="B179" s="37" t="n">
        <f aca="false">IF(Raw_Export!$A179="","",IF(ISNUMBER(Raw_Export!B179),Raw_Export!B179,IF(MID(TRIM(Raw_Export!B179),5,1)="-",DATE(LEFT(TRIM(Raw_Export!B179),4),MID(TRIM(Raw_Export!B179),6,2),RIGHT(TRIM(Raw_Export!B179),2)),DATE(RIGHT(TRIM(Raw_Export!B179),4),MATCH(MID(TRIM(Raw_Export!B179),4,3),{"Jan","Feb","Mar","Apr","May","Jun","Jul","Aug","Sep","Oct","Nov","Dec"},0),LEFT(TRIM(Raw_Export!B179),2)))))</f>
        <v>46266</v>
      </c>
      <c r="C179" s="36" t="str">
        <f aca="false">IF(Raw_Export!$A179="","",IFERROR(VLOOKUP(LOWER(TRIM(Raw_Export!C179)),Maps!$A$2:$B$20,2,FALSE()),"UNMAPPED"))</f>
        <v>Westlands</v>
      </c>
      <c r="D179" s="36" t="str">
        <f aca="false">IF(Raw_Export!$A179="","",IFERROR(VLOOKUP(LOWER(TRIM(Raw_Export!D179)),Maps!$G$2:$I$80,2,FALSE()),"UNMAPPED"))</f>
        <v>UNMAPPED</v>
      </c>
      <c r="E179" s="36" t="str">
        <f aca="false">IF(Raw_Export!$A179="","",IFERROR(VLOOKUP(LOWER(TRIM(Raw_Export!D179)),Maps!$G$2:$I$80,3,FALSE()),"UNMAPPED"))</f>
        <v>UNMAPPED</v>
      </c>
      <c r="F179" s="36" t="n">
        <f aca="false">IF(Raw_Export!$A179="","",IFERROR(VALUE(TRIM(Raw_Export!E179)),0))</f>
        <v>4</v>
      </c>
      <c r="G179" s="38" t="n">
        <f aca="false">IF(Raw_Export!$A179="","",IFERROR(VALUE(SUBSTITUTE(SUBSTITUTE(UPPER(TRIM(Raw_Export!F179)),"KES",""),",","")),0))</f>
        <v>195</v>
      </c>
      <c r="H179" s="38" t="n">
        <f aca="false">IF(Raw_Export!$A179="","",F179*G179)</f>
        <v>780</v>
      </c>
      <c r="I179" s="36" t="str">
        <f aca="false">IF(Raw_Export!$A179="","",IFERROR(VLOOKUP(LOWER(TRIM(Raw_Export!H179)),Maps!$D$2:$E$12,2,FALSE()),"Other"))</f>
        <v>Cash</v>
      </c>
      <c r="J179" s="36" t="str">
        <f aca="false">IF(Raw_Export!$A179="","",IF(COUNTIF($A$2:A179,A179)&gt;1,"Duplicate",""))</f>
        <v/>
      </c>
      <c r="K179" s="36" t="str">
        <f aca="false">IF(Raw_Export!$A179="","",IF(J179="Duplicate","Duplicate",IF(OR(C179="UNMAPPED",D179="UNMAPPED"),"Unmapped",IF(F179=0,"Blank qty",IF(F179&lt;0,"Return","OK")))))</f>
        <v>Unmapped</v>
      </c>
      <c r="L179" s="36" t="n">
        <f aca="false">IF(Raw_Export!$A179="","",IF(OR(K179="OK",K179="Return"),1,0))</f>
        <v>0</v>
      </c>
      <c r="M179" s="37" t="n">
        <f aca="false">IF(Raw_Export!$A179="","",B179-WEEKDAY(B179,2)+1)</f>
        <v>46265</v>
      </c>
    </row>
    <row r="180" customFormat="false" ht="15" hidden="false" customHeight="false" outlineLevel="0" collapsed="false">
      <c r="A180" s="36" t="str">
        <f aca="false">IF(Raw_Export!$A180="","",TRIM(Raw_Export!A180))</f>
        <v>TXN-100177</v>
      </c>
      <c r="B180" s="37" t="n">
        <f aca="false">IF(Raw_Export!$A180="","",IF(ISNUMBER(Raw_Export!B180),Raw_Export!B180,IF(MID(TRIM(Raw_Export!B180),5,1)="-",DATE(LEFT(TRIM(Raw_Export!B180),4),MID(TRIM(Raw_Export!B180),6,2),RIGHT(TRIM(Raw_Export!B180),2)),DATE(RIGHT(TRIM(Raw_Export!B180),4),MATCH(MID(TRIM(Raw_Export!B180),4,3),{"Jan","Feb","Mar","Apr","May","Jun","Jul","Aug","Sep","Oct","Nov","Dec"},0),LEFT(TRIM(Raw_Export!B180),2)))))</f>
        <v>46266</v>
      </c>
      <c r="C180" s="36" t="str">
        <f aca="false">IF(Raw_Export!$A180="","",IFERROR(VLOOKUP(LOWER(TRIM(Raw_Export!C180)),Maps!$A$2:$B$20,2,FALSE()),"UNMAPPED"))</f>
        <v>Westlands</v>
      </c>
      <c r="D180" s="36" t="str">
        <f aca="false">IF(Raw_Export!$A180="","",IFERROR(VLOOKUP(LOWER(TRIM(Raw_Export!D180)),Maps!$G$2:$I$80,2,FALSE()),"UNMAPPED"))</f>
        <v>Sugar 2kg</v>
      </c>
      <c r="E180" s="36" t="str">
        <f aca="false">IF(Raw_Export!$A180="","",IFERROR(VLOOKUP(LOWER(TRIM(Raw_Export!D180)),Maps!$G$2:$I$80,3,FALSE()),"UNMAPPED"))</f>
        <v>Staples</v>
      </c>
      <c r="F180" s="36" t="n">
        <f aca="false">IF(Raw_Export!$A180="","",IFERROR(VALUE(TRIM(Raw_Export!E180)),0))</f>
        <v>6</v>
      </c>
      <c r="G180" s="38" t="n">
        <f aca="false">IF(Raw_Export!$A180="","",IFERROR(VALUE(SUBSTITUTE(SUBSTITUTE(UPPER(TRIM(Raw_Export!F180)),"KES",""),",","")),0))</f>
        <v>330</v>
      </c>
      <c r="H180" s="38" t="n">
        <f aca="false">IF(Raw_Export!$A180="","",F180*G180)</f>
        <v>1980</v>
      </c>
      <c r="I180" s="36" t="str">
        <f aca="false">IF(Raw_Export!$A180="","",IFERROR(VLOOKUP(LOWER(TRIM(Raw_Export!H180)),Maps!$D$2:$E$12,2,FALSE()),"Other"))</f>
        <v>Cash</v>
      </c>
      <c r="J180" s="36" t="str">
        <f aca="false">IF(Raw_Export!$A180="","",IF(COUNTIF($A$2:A180,A180)&gt;1,"Duplicate",""))</f>
        <v/>
      </c>
      <c r="K180" s="36" t="str">
        <f aca="false">IF(Raw_Export!$A180="","",IF(J180="Duplicate","Duplicate",IF(OR(C180="UNMAPPED",D180="UNMAPPED"),"Unmapped",IF(F180=0,"Blank qty",IF(F180&lt;0,"Return","OK")))))</f>
        <v>OK</v>
      </c>
      <c r="L180" s="36" t="n">
        <f aca="false">IF(Raw_Export!$A180="","",IF(OR(K180="OK",K180="Return"),1,0))</f>
        <v>1</v>
      </c>
      <c r="M180" s="37" t="n">
        <f aca="false">IF(Raw_Export!$A180="","",B180-WEEKDAY(B180,2)+1)</f>
        <v>46265</v>
      </c>
    </row>
    <row r="181" customFormat="false" ht="15" hidden="false" customHeight="false" outlineLevel="0" collapsed="false">
      <c r="A181" s="36" t="str">
        <f aca="false">IF(Raw_Export!$A181="","",TRIM(Raw_Export!A181))</f>
        <v>TXN-100178</v>
      </c>
      <c r="B181" s="37" t="n">
        <f aca="false">IF(Raw_Export!$A181="","",IF(ISNUMBER(Raw_Export!B181),Raw_Export!B181,IF(MID(TRIM(Raw_Export!B181),5,1)="-",DATE(LEFT(TRIM(Raw_Export!B181),4),MID(TRIM(Raw_Export!B181),6,2),RIGHT(TRIM(Raw_Export!B181),2)),DATE(RIGHT(TRIM(Raw_Export!B181),4),MATCH(MID(TRIM(Raw_Export!B181),4,3),{"Jan","Feb","Mar","Apr","May","Jun","Jul","Aug","Sep","Oct","Nov","Dec"},0),LEFT(TRIM(Raw_Export!B181),2)))))</f>
        <v>46266</v>
      </c>
      <c r="C181" s="36" t="str">
        <f aca="false">IF(Raw_Export!$A181="","",IFERROR(VLOOKUP(LOWER(TRIM(Raw_Export!C181)),Maps!$A$2:$B$20,2,FALSE()),"UNMAPPED"))</f>
        <v>Westlands</v>
      </c>
      <c r="D181" s="36" t="str">
        <f aca="false">IF(Raw_Export!$A181="","",IFERROR(VLOOKUP(LOWER(TRIM(Raw_Export!D181)),Maps!$G$2:$I$80,2,FALSE()),"UNMAPPED"))</f>
        <v>Peanuts 250g</v>
      </c>
      <c r="E181" s="36" t="str">
        <f aca="false">IF(Raw_Export!$A181="","",IFERROR(VLOOKUP(LOWER(TRIM(Raw_Export!D181)),Maps!$G$2:$I$80,3,FALSE()),"UNMAPPED"))</f>
        <v>Snacks</v>
      </c>
      <c r="F181" s="36" t="n">
        <f aca="false">IF(Raw_Export!$A181="","",IFERROR(VALUE(TRIM(Raw_Export!E181)),0))</f>
        <v>6</v>
      </c>
      <c r="G181" s="38" t="n">
        <f aca="false">IF(Raw_Export!$A181="","",IFERROR(VALUE(SUBSTITUTE(SUBSTITUTE(UPPER(TRIM(Raw_Export!F181)),"KES",""),",","")),0))</f>
        <v>130</v>
      </c>
      <c r="H181" s="38" t="n">
        <f aca="false">IF(Raw_Export!$A181="","",F181*G181)</f>
        <v>780</v>
      </c>
      <c r="I181" s="36" t="str">
        <f aca="false">IF(Raw_Export!$A181="","",IFERROR(VLOOKUP(LOWER(TRIM(Raw_Export!H181)),Maps!$D$2:$E$12,2,FALSE()),"Other"))</f>
        <v>M-Pesa</v>
      </c>
      <c r="J181" s="36" t="str">
        <f aca="false">IF(Raw_Export!$A181="","",IF(COUNTIF($A$2:A181,A181)&gt;1,"Duplicate",""))</f>
        <v/>
      </c>
      <c r="K181" s="36" t="str">
        <f aca="false">IF(Raw_Export!$A181="","",IF(J181="Duplicate","Duplicate",IF(OR(C181="UNMAPPED",D181="UNMAPPED"),"Unmapped",IF(F181=0,"Blank qty",IF(F181&lt;0,"Return","OK")))))</f>
        <v>OK</v>
      </c>
      <c r="L181" s="36" t="n">
        <f aca="false">IF(Raw_Export!$A181="","",IF(OR(K181="OK",K181="Return"),1,0))</f>
        <v>1</v>
      </c>
      <c r="M181" s="37" t="n">
        <f aca="false">IF(Raw_Export!$A181="","",B181-WEEKDAY(B181,2)+1)</f>
        <v>46265</v>
      </c>
    </row>
    <row r="182" customFormat="false" ht="15" hidden="false" customHeight="false" outlineLevel="0" collapsed="false">
      <c r="A182" s="36" t="str">
        <f aca="false">IF(Raw_Export!$A182="","",TRIM(Raw_Export!A182))</f>
        <v>TXN-100179</v>
      </c>
      <c r="B182" s="37" t="n">
        <f aca="false">IF(Raw_Export!$A182="","",IF(ISNUMBER(Raw_Export!B182),Raw_Export!B182,IF(MID(TRIM(Raw_Export!B182),5,1)="-",DATE(LEFT(TRIM(Raw_Export!B182),4),MID(TRIM(Raw_Export!B182),6,2),RIGHT(TRIM(Raw_Export!B182),2)),DATE(RIGHT(TRIM(Raw_Export!B182),4),MATCH(MID(TRIM(Raw_Export!B182),4,3),{"Jan","Feb","Mar","Apr","May","Jun","Jul","Aug","Sep","Oct","Nov","Dec"},0),LEFT(TRIM(Raw_Export!B182),2)))))</f>
        <v>46266</v>
      </c>
      <c r="C182" s="36" t="str">
        <f aca="false">IF(Raw_Export!$A182="","",IFERROR(VLOOKUP(LOWER(TRIM(Raw_Export!C182)),Maps!$A$2:$B$20,2,FALSE()),"UNMAPPED"))</f>
        <v>Westlands</v>
      </c>
      <c r="D182" s="36" t="str">
        <f aca="false">IF(Raw_Export!$A182="","",IFERROR(VLOOKUP(LOWER(TRIM(Raw_Export!D182)),Maps!$G$2:$I$80,2,FALSE()),"UNMAPPED"))</f>
        <v>Toilet Paper 10pk</v>
      </c>
      <c r="E182" s="36" t="str">
        <f aca="false">IF(Raw_Export!$A182="","",IFERROR(VLOOKUP(LOWER(TRIM(Raw_Export!D182)),Maps!$G$2:$I$80,3,FALSE()),"UNMAPPED"))</f>
        <v>Household</v>
      </c>
      <c r="F182" s="36" t="n">
        <f aca="false">IF(Raw_Export!$A182="","",IFERROR(VALUE(TRIM(Raw_Export!E182)),0))</f>
        <v>4</v>
      </c>
      <c r="G182" s="38" t="n">
        <f aca="false">IF(Raw_Export!$A182="","",IFERROR(VALUE(SUBSTITUTE(SUBSTITUTE(UPPER(TRIM(Raw_Export!F182)),"KES",""),",","")),0))</f>
        <v>380</v>
      </c>
      <c r="H182" s="38" t="n">
        <f aca="false">IF(Raw_Export!$A182="","",F182*G182)</f>
        <v>1520</v>
      </c>
      <c r="I182" s="36" t="str">
        <f aca="false">IF(Raw_Export!$A182="","",IFERROR(VLOOKUP(LOWER(TRIM(Raw_Export!H182)),Maps!$D$2:$E$12,2,FALSE()),"Other"))</f>
        <v>Cash</v>
      </c>
      <c r="J182" s="36" t="str">
        <f aca="false">IF(Raw_Export!$A182="","",IF(COUNTIF($A$2:A182,A182)&gt;1,"Duplicate",""))</f>
        <v/>
      </c>
      <c r="K182" s="36" t="str">
        <f aca="false">IF(Raw_Export!$A182="","",IF(J182="Duplicate","Duplicate",IF(OR(C182="UNMAPPED",D182="UNMAPPED"),"Unmapped",IF(F182=0,"Blank qty",IF(F182&lt;0,"Return","OK")))))</f>
        <v>OK</v>
      </c>
      <c r="L182" s="36" t="n">
        <f aca="false">IF(Raw_Export!$A182="","",IF(OR(K182="OK",K182="Return"),1,0))</f>
        <v>1</v>
      </c>
      <c r="M182" s="37" t="n">
        <f aca="false">IF(Raw_Export!$A182="","",B182-WEEKDAY(B182,2)+1)</f>
        <v>46265</v>
      </c>
    </row>
    <row r="183" customFormat="false" ht="15" hidden="false" customHeight="false" outlineLevel="0" collapsed="false">
      <c r="A183" s="36" t="str">
        <f aca="false">IF(Raw_Export!$A183="","",TRIM(Raw_Export!A183))</f>
        <v>TXN-100180</v>
      </c>
      <c r="B183" s="37" t="n">
        <f aca="false">IF(Raw_Export!$A183="","",IF(ISNUMBER(Raw_Export!B183),Raw_Export!B183,IF(MID(TRIM(Raw_Export!B183),5,1)="-",DATE(LEFT(TRIM(Raw_Export!B183),4),MID(TRIM(Raw_Export!B183),6,2),RIGHT(TRIM(Raw_Export!B183),2)),DATE(RIGHT(TRIM(Raw_Export!B183),4),MATCH(MID(TRIM(Raw_Export!B183),4,3),{"Jan","Feb","Mar","Apr","May","Jun","Jul","Aug","Sep","Oct","Nov","Dec"},0),LEFT(TRIM(Raw_Export!B183),2)))))</f>
        <v>46266</v>
      </c>
      <c r="C183" s="36" t="str">
        <f aca="false">IF(Raw_Export!$A183="","",IFERROR(VLOOKUP(LOWER(TRIM(Raw_Export!C183)),Maps!$A$2:$B$20,2,FALSE()),"UNMAPPED"))</f>
        <v>Westlands</v>
      </c>
      <c r="D183" s="36" t="str">
        <f aca="false">IF(Raw_Export!$A183="","",IFERROR(VLOOKUP(LOWER(TRIM(Raw_Export!D183)),Maps!$G$2:$I$80,2,FALSE()),"UNMAPPED"))</f>
        <v>Washing Powder 1kg</v>
      </c>
      <c r="E183" s="36" t="str">
        <f aca="false">IF(Raw_Export!$A183="","",IFERROR(VLOOKUP(LOWER(TRIM(Raw_Export!D183)),Maps!$G$2:$I$80,3,FALSE()),"UNMAPPED"))</f>
        <v>Household</v>
      </c>
      <c r="F183" s="36" t="n">
        <f aca="false">IF(Raw_Export!$A183="","",IFERROR(VALUE(TRIM(Raw_Export!E183)),0))</f>
        <v>1</v>
      </c>
      <c r="G183" s="38" t="n">
        <f aca="false">IF(Raw_Export!$A183="","",IFERROR(VALUE(SUBSTITUTE(SUBSTITUTE(UPPER(TRIM(Raw_Export!F183)),"KES",""),",","")),0))</f>
        <v>280</v>
      </c>
      <c r="H183" s="38" t="n">
        <f aca="false">IF(Raw_Export!$A183="","",F183*G183)</f>
        <v>280</v>
      </c>
      <c r="I183" s="36" t="str">
        <f aca="false">IF(Raw_Export!$A183="","",IFERROR(VLOOKUP(LOWER(TRIM(Raw_Export!H183)),Maps!$D$2:$E$12,2,FALSE()),"Other"))</f>
        <v>M-Pesa</v>
      </c>
      <c r="J183" s="36" t="str">
        <f aca="false">IF(Raw_Export!$A183="","",IF(COUNTIF($A$2:A183,A183)&gt;1,"Duplicate",""))</f>
        <v/>
      </c>
      <c r="K183" s="36" t="str">
        <f aca="false">IF(Raw_Export!$A183="","",IF(J183="Duplicate","Duplicate",IF(OR(C183="UNMAPPED",D183="UNMAPPED"),"Unmapped",IF(F183=0,"Blank qty",IF(F183&lt;0,"Return","OK")))))</f>
        <v>OK</v>
      </c>
      <c r="L183" s="36" t="n">
        <f aca="false">IF(Raw_Export!$A183="","",IF(OR(K183="OK",K183="Return"),1,0))</f>
        <v>1</v>
      </c>
      <c r="M183" s="37" t="n">
        <f aca="false">IF(Raw_Export!$A183="","",B183-WEEKDAY(B183,2)+1)</f>
        <v>46265</v>
      </c>
    </row>
    <row r="184" customFormat="false" ht="15" hidden="false" customHeight="false" outlineLevel="0" collapsed="false">
      <c r="A184" s="36" t="str">
        <f aca="false">IF(Raw_Export!$A184="","",TRIM(Raw_Export!A184))</f>
        <v>TXN-100181</v>
      </c>
      <c r="B184" s="37" t="n">
        <f aca="false">IF(Raw_Export!$A184="","",IF(ISNUMBER(Raw_Export!B184),Raw_Export!B184,IF(MID(TRIM(Raw_Export!B184),5,1)="-",DATE(LEFT(TRIM(Raw_Export!B184),4),MID(TRIM(Raw_Export!B184),6,2),RIGHT(TRIM(Raw_Export!B184),2)),DATE(RIGHT(TRIM(Raw_Export!B184),4),MATCH(MID(TRIM(Raw_Export!B184),4,3),{"Jan","Feb","Mar","Apr","May","Jun","Jul","Aug","Sep","Oct","Nov","Dec"},0),LEFT(TRIM(Raw_Export!B184),2)))))</f>
        <v>46266</v>
      </c>
      <c r="C184" s="36" t="str">
        <f aca="false">IF(Raw_Export!$A184="","",IFERROR(VLOOKUP(LOWER(TRIM(Raw_Export!C184)),Maps!$A$2:$B$20,2,FALSE()),"UNMAPPED"))</f>
        <v>Westlands</v>
      </c>
      <c r="D184" s="36" t="str">
        <f aca="false">IF(Raw_Export!$A184="","",IFERROR(VLOOKUP(LOWER(TRIM(Raw_Export!D184)),Maps!$G$2:$I$80,2,FALSE()),"UNMAPPED"))</f>
        <v>Juice 1L</v>
      </c>
      <c r="E184" s="36" t="str">
        <f aca="false">IF(Raw_Export!$A184="","",IFERROR(VLOOKUP(LOWER(TRIM(Raw_Export!D184)),Maps!$G$2:$I$80,3,FALSE()),"UNMAPPED"))</f>
        <v>Beverages</v>
      </c>
      <c r="F184" s="36" t="n">
        <f aca="false">IF(Raw_Export!$A184="","",IFERROR(VALUE(TRIM(Raw_Export!E184)),0))</f>
        <v>1</v>
      </c>
      <c r="G184" s="38" t="n">
        <f aca="false">IF(Raw_Export!$A184="","",IFERROR(VALUE(SUBSTITUTE(SUBSTITUTE(UPPER(TRIM(Raw_Export!F184)),"KES",""),",","")),0))</f>
        <v>210</v>
      </c>
      <c r="H184" s="38" t="n">
        <f aca="false">IF(Raw_Export!$A184="","",F184*G184)</f>
        <v>210</v>
      </c>
      <c r="I184" s="36" t="str">
        <f aca="false">IF(Raw_Export!$A184="","",IFERROR(VLOOKUP(LOWER(TRIM(Raw_Export!H184)),Maps!$D$2:$E$12,2,FALSE()),"Other"))</f>
        <v>Card</v>
      </c>
      <c r="J184" s="36" t="str">
        <f aca="false">IF(Raw_Export!$A184="","",IF(COUNTIF($A$2:A184,A184)&gt;1,"Duplicate",""))</f>
        <v/>
      </c>
      <c r="K184" s="36" t="str">
        <f aca="false">IF(Raw_Export!$A184="","",IF(J184="Duplicate","Duplicate",IF(OR(C184="UNMAPPED",D184="UNMAPPED"),"Unmapped",IF(F184=0,"Blank qty",IF(F184&lt;0,"Return","OK")))))</f>
        <v>OK</v>
      </c>
      <c r="L184" s="36" t="n">
        <f aca="false">IF(Raw_Export!$A184="","",IF(OR(K184="OK",K184="Return"),1,0))</f>
        <v>1</v>
      </c>
      <c r="M184" s="37" t="n">
        <f aca="false">IF(Raw_Export!$A184="","",B184-WEEKDAY(B184,2)+1)</f>
        <v>46265</v>
      </c>
    </row>
    <row r="185" customFormat="false" ht="15" hidden="false" customHeight="false" outlineLevel="0" collapsed="false">
      <c r="A185" s="36" t="str">
        <f aca="false">IF(Raw_Export!$A185="","",TRIM(Raw_Export!A185))</f>
        <v>TXN-100182</v>
      </c>
      <c r="B185" s="37" t="n">
        <f aca="false">IF(Raw_Export!$A185="","",IF(ISNUMBER(Raw_Export!B185),Raw_Export!B185,IF(MID(TRIM(Raw_Export!B185),5,1)="-",DATE(LEFT(TRIM(Raw_Export!B185),4),MID(TRIM(Raw_Export!B185),6,2),RIGHT(TRIM(Raw_Export!B185),2)),DATE(RIGHT(TRIM(Raw_Export!B185),4),MATCH(MID(TRIM(Raw_Export!B185),4,3),{"Jan","Feb","Mar","Apr","May","Jun","Jul","Aug","Sep","Oct","Nov","Dec"},0),LEFT(TRIM(Raw_Export!B185),2)))))</f>
        <v>46266</v>
      </c>
      <c r="C185" s="36" t="str">
        <f aca="false">IF(Raw_Export!$A185="","",IFERROR(VLOOKUP(LOWER(TRIM(Raw_Export!C185)),Maps!$A$2:$B$20,2,FALSE()),"UNMAPPED"))</f>
        <v>Westlands</v>
      </c>
      <c r="D185" s="36" t="str">
        <f aca="false">IF(Raw_Export!$A185="","",IFERROR(VLOOKUP(LOWER(TRIM(Raw_Export!D185)),Maps!$G$2:$I$80,2,FALSE()),"UNMAPPED"))</f>
        <v>Matches 10pk</v>
      </c>
      <c r="E185" s="36" t="str">
        <f aca="false">IF(Raw_Export!$A185="","",IFERROR(VLOOKUP(LOWER(TRIM(Raw_Export!D185)),Maps!$G$2:$I$80,3,FALSE()),"UNMAPPED"))</f>
        <v>Household</v>
      </c>
      <c r="F185" s="36" t="n">
        <f aca="false">IF(Raw_Export!$A185="","",IFERROR(VALUE(TRIM(Raw_Export!E185)),0))</f>
        <v>1</v>
      </c>
      <c r="G185" s="38" t="n">
        <f aca="false">IF(Raw_Export!$A185="","",IFERROR(VALUE(SUBSTITUTE(SUBSTITUTE(UPPER(TRIM(Raw_Export!F185)),"KES",""),",","")),0))</f>
        <v>50</v>
      </c>
      <c r="H185" s="38" t="n">
        <f aca="false">IF(Raw_Export!$A185="","",F185*G185)</f>
        <v>50</v>
      </c>
      <c r="I185" s="36" t="str">
        <f aca="false">IF(Raw_Export!$A185="","",IFERROR(VLOOKUP(LOWER(TRIM(Raw_Export!H185)),Maps!$D$2:$E$12,2,FALSE()),"Other"))</f>
        <v>M-Pesa</v>
      </c>
      <c r="J185" s="36" t="str">
        <f aca="false">IF(Raw_Export!$A185="","",IF(COUNTIF($A$2:A185,A185)&gt;1,"Duplicate",""))</f>
        <v/>
      </c>
      <c r="K185" s="36" t="str">
        <f aca="false">IF(Raw_Export!$A185="","",IF(J185="Duplicate","Duplicate",IF(OR(C185="UNMAPPED",D185="UNMAPPED"),"Unmapped",IF(F185=0,"Blank qty",IF(F185&lt;0,"Return","OK")))))</f>
        <v>OK</v>
      </c>
      <c r="L185" s="36" t="n">
        <f aca="false">IF(Raw_Export!$A185="","",IF(OR(K185="OK",K185="Return"),1,0))</f>
        <v>1</v>
      </c>
      <c r="M185" s="37" t="n">
        <f aca="false">IF(Raw_Export!$A185="","",B185-WEEKDAY(B185,2)+1)</f>
        <v>46265</v>
      </c>
    </row>
    <row r="186" customFormat="false" ht="15" hidden="false" customHeight="false" outlineLevel="0" collapsed="false">
      <c r="A186" s="36" t="str">
        <f aca="false">IF(Raw_Export!$A186="","",TRIM(Raw_Export!A186))</f>
        <v>TXN-100183</v>
      </c>
      <c r="B186" s="37" t="n">
        <f aca="false">IF(Raw_Export!$A186="","",IF(ISNUMBER(Raw_Export!B186),Raw_Export!B186,IF(MID(TRIM(Raw_Export!B186),5,1)="-",DATE(LEFT(TRIM(Raw_Export!B186),4),MID(TRIM(Raw_Export!B186),6,2),RIGHT(TRIM(Raw_Export!B186),2)),DATE(RIGHT(TRIM(Raw_Export!B186),4),MATCH(MID(TRIM(Raw_Export!B186),4,3),{"Jan","Feb","Mar","Apr","May","Jun","Jul","Aug","Sep","Oct","Nov","Dec"},0),LEFT(TRIM(Raw_Export!B186),2)))))</f>
        <v>46266</v>
      </c>
      <c r="C186" s="36" t="str">
        <f aca="false">IF(Raw_Export!$A186="","",IFERROR(VLOOKUP(LOWER(TRIM(Raw_Export!C186)),Maps!$A$2:$B$20,2,FALSE()),"UNMAPPED"))</f>
        <v>Westlands</v>
      </c>
      <c r="D186" s="36" t="str">
        <f aca="false">IF(Raw_Export!$A186="","",IFERROR(VLOOKUP(LOWER(TRIM(Raw_Export!D186)),Maps!$G$2:$I$80,2,FALSE()),"UNMAPPED"))</f>
        <v>Cooking Oil 1L</v>
      </c>
      <c r="E186" s="36" t="str">
        <f aca="false">IF(Raw_Export!$A186="","",IFERROR(VLOOKUP(LOWER(TRIM(Raw_Export!D186)),Maps!$G$2:$I$80,3,FALSE()),"UNMAPPED"))</f>
        <v>Staples</v>
      </c>
      <c r="F186" s="36" t="n">
        <f aca="false">IF(Raw_Export!$A186="","",IFERROR(VALUE(TRIM(Raw_Export!E186)),0))</f>
        <v>1</v>
      </c>
      <c r="G186" s="38" t="n">
        <f aca="false">IF(Raw_Export!$A186="","",IFERROR(VALUE(SUBSTITUTE(SUBSTITUTE(UPPER(TRIM(Raw_Export!F186)),"KES",""),",","")),0))</f>
        <v>330</v>
      </c>
      <c r="H186" s="38" t="n">
        <f aca="false">IF(Raw_Export!$A186="","",F186*G186)</f>
        <v>330</v>
      </c>
      <c r="I186" s="36" t="str">
        <f aca="false">IF(Raw_Export!$A186="","",IFERROR(VLOOKUP(LOWER(TRIM(Raw_Export!H186)),Maps!$D$2:$E$12,2,FALSE()),"Other"))</f>
        <v>M-Pesa</v>
      </c>
      <c r="J186" s="36" t="str">
        <f aca="false">IF(Raw_Export!$A186="","",IF(COUNTIF($A$2:A186,A186)&gt;1,"Duplicate",""))</f>
        <v/>
      </c>
      <c r="K186" s="36" t="str">
        <f aca="false">IF(Raw_Export!$A186="","",IF(J186="Duplicate","Duplicate",IF(OR(C186="UNMAPPED",D186="UNMAPPED"),"Unmapped",IF(F186=0,"Blank qty",IF(F186&lt;0,"Return","OK")))))</f>
        <v>OK</v>
      </c>
      <c r="L186" s="36" t="n">
        <f aca="false">IF(Raw_Export!$A186="","",IF(OR(K186="OK",K186="Return"),1,0))</f>
        <v>1</v>
      </c>
      <c r="M186" s="37" t="n">
        <f aca="false">IF(Raw_Export!$A186="","",B186-WEEKDAY(B186,2)+1)</f>
        <v>46265</v>
      </c>
    </row>
    <row r="187" customFormat="false" ht="15" hidden="false" customHeight="false" outlineLevel="0" collapsed="false">
      <c r="A187" s="36" t="str">
        <f aca="false">IF(Raw_Export!$A187="","",TRIM(Raw_Export!A187))</f>
        <v>TXN-100184</v>
      </c>
      <c r="B187" s="37" t="n">
        <f aca="false">IF(Raw_Export!$A187="","",IF(ISNUMBER(Raw_Export!B187),Raw_Export!B187,IF(MID(TRIM(Raw_Export!B187),5,1)="-",DATE(LEFT(TRIM(Raw_Export!B187),4),MID(TRIM(Raw_Export!B187),6,2),RIGHT(TRIM(Raw_Export!B187),2)),DATE(RIGHT(TRIM(Raw_Export!B187),4),MATCH(MID(TRIM(Raw_Export!B187),4,3),{"Jan","Feb","Mar","Apr","May","Jun","Jul","Aug","Sep","Oct","Nov","Dec"},0),LEFT(TRIM(Raw_Export!B187),2)))))</f>
        <v>46266</v>
      </c>
      <c r="C187" s="36" t="str">
        <f aca="false">IF(Raw_Export!$A187="","",IFERROR(VLOOKUP(LOWER(TRIM(Raw_Export!C187)),Maps!$A$2:$B$20,2,FALSE()),"UNMAPPED"))</f>
        <v>Westlands</v>
      </c>
      <c r="D187" s="36" t="str">
        <f aca="false">IF(Raw_Export!$A187="","",IFERROR(VLOOKUP(LOWER(TRIM(Raw_Export!D187)),Maps!$G$2:$I$80,2,FALSE()),"UNMAPPED"))</f>
        <v>Cooking Oil 1L</v>
      </c>
      <c r="E187" s="36" t="str">
        <f aca="false">IF(Raw_Export!$A187="","",IFERROR(VLOOKUP(LOWER(TRIM(Raw_Export!D187)),Maps!$G$2:$I$80,3,FALSE()),"UNMAPPED"))</f>
        <v>Staples</v>
      </c>
      <c r="F187" s="36" t="n">
        <f aca="false">IF(Raw_Export!$A187="","",IFERROR(VALUE(TRIM(Raw_Export!E187)),0))</f>
        <v>0</v>
      </c>
      <c r="G187" s="38" t="n">
        <f aca="false">IF(Raw_Export!$A187="","",IFERROR(VALUE(SUBSTITUTE(SUBSTITUTE(UPPER(TRIM(Raw_Export!F187)),"KES",""),",","")),0))</f>
        <v>330</v>
      </c>
      <c r="H187" s="38" t="n">
        <f aca="false">IF(Raw_Export!$A187="","",F187*G187)</f>
        <v>0</v>
      </c>
      <c r="I187" s="36" t="str">
        <f aca="false">IF(Raw_Export!$A187="","",IFERROR(VLOOKUP(LOWER(TRIM(Raw_Export!H187)),Maps!$D$2:$E$12,2,FALSE()),"Other"))</f>
        <v>M-Pesa</v>
      </c>
      <c r="J187" s="36" t="str">
        <f aca="false">IF(Raw_Export!$A187="","",IF(COUNTIF($A$2:A187,A187)&gt;1,"Duplicate",""))</f>
        <v/>
      </c>
      <c r="K187" s="36" t="str">
        <f aca="false">IF(Raw_Export!$A187="","",IF(J187="Duplicate","Duplicate",IF(OR(C187="UNMAPPED",D187="UNMAPPED"),"Unmapped",IF(F187=0,"Blank qty",IF(F187&lt;0,"Return","OK")))))</f>
        <v>Blank qty</v>
      </c>
      <c r="L187" s="36" t="n">
        <f aca="false">IF(Raw_Export!$A187="","",IF(OR(K187="OK",K187="Return"),1,0))</f>
        <v>0</v>
      </c>
      <c r="M187" s="37" t="n">
        <f aca="false">IF(Raw_Export!$A187="","",B187-WEEKDAY(B187,2)+1)</f>
        <v>46265</v>
      </c>
    </row>
    <row r="188" customFormat="false" ht="15" hidden="false" customHeight="false" outlineLevel="0" collapsed="false">
      <c r="A188" s="36" t="str">
        <f aca="false">IF(Raw_Export!$A188="","",TRIM(Raw_Export!A188))</f>
        <v>TXN-100185</v>
      </c>
      <c r="B188" s="37" t="n">
        <f aca="false">IF(Raw_Export!$A188="","",IF(ISNUMBER(Raw_Export!B188),Raw_Export!B188,IF(MID(TRIM(Raw_Export!B188),5,1)="-",DATE(LEFT(TRIM(Raw_Export!B188),4),MID(TRIM(Raw_Export!B188),6,2),RIGHT(TRIM(Raw_Export!B188),2)),DATE(RIGHT(TRIM(Raw_Export!B188),4),MATCH(MID(TRIM(Raw_Export!B188),4,3),{"Jan","Feb","Mar","Apr","May","Jun","Jul","Aug","Sep","Oct","Nov","Dec"},0),LEFT(TRIM(Raw_Export!B188),2)))))</f>
        <v>46266</v>
      </c>
      <c r="C188" s="36" t="str">
        <f aca="false">IF(Raw_Export!$A188="","",IFERROR(VLOOKUP(LOWER(TRIM(Raw_Export!C188)),Maps!$A$2:$B$20,2,FALSE()),"UNMAPPED"))</f>
        <v>Mombasa</v>
      </c>
      <c r="D188" s="36" t="str">
        <f aca="false">IF(Raw_Export!$A188="","",IFERROR(VLOOKUP(LOWER(TRIM(Raw_Export!D188)),Maps!$G$2:$I$80,2,FALSE()),"UNMAPPED"))</f>
        <v>Dish Soap 750ml</v>
      </c>
      <c r="E188" s="36" t="str">
        <f aca="false">IF(Raw_Export!$A188="","",IFERROR(VLOOKUP(LOWER(TRIM(Raw_Export!D188)),Maps!$G$2:$I$80,3,FALSE()),"UNMAPPED"))</f>
        <v>Household</v>
      </c>
      <c r="F188" s="36" t="n">
        <f aca="false">IF(Raw_Export!$A188="","",IFERROR(VALUE(TRIM(Raw_Export!E188)),0))</f>
        <v>2</v>
      </c>
      <c r="G188" s="38" t="n">
        <f aca="false">IF(Raw_Export!$A188="","",IFERROR(VALUE(SUBSTITUTE(SUBSTITUTE(UPPER(TRIM(Raw_Export!F188)),"KES",""),",","")),0))</f>
        <v>190</v>
      </c>
      <c r="H188" s="38" t="n">
        <f aca="false">IF(Raw_Export!$A188="","",F188*G188)</f>
        <v>380</v>
      </c>
      <c r="I188" s="36" t="str">
        <f aca="false">IF(Raw_Export!$A188="","",IFERROR(VLOOKUP(LOWER(TRIM(Raw_Export!H188)),Maps!$D$2:$E$12,2,FALSE()),"Other"))</f>
        <v>M-Pesa</v>
      </c>
      <c r="J188" s="36" t="str">
        <f aca="false">IF(Raw_Export!$A188="","",IF(COUNTIF($A$2:A188,A188)&gt;1,"Duplicate",""))</f>
        <v/>
      </c>
      <c r="K188" s="36" t="str">
        <f aca="false">IF(Raw_Export!$A188="","",IF(J188="Duplicate","Duplicate",IF(OR(C188="UNMAPPED",D188="UNMAPPED"),"Unmapped",IF(F188=0,"Blank qty",IF(F188&lt;0,"Return","OK")))))</f>
        <v>OK</v>
      </c>
      <c r="L188" s="36" t="n">
        <f aca="false">IF(Raw_Export!$A188="","",IF(OR(K188="OK",K188="Return"),1,0))</f>
        <v>1</v>
      </c>
      <c r="M188" s="37" t="n">
        <f aca="false">IF(Raw_Export!$A188="","",B188-WEEKDAY(B188,2)+1)</f>
        <v>46265</v>
      </c>
    </row>
    <row r="189" customFormat="false" ht="15" hidden="false" customHeight="false" outlineLevel="0" collapsed="false">
      <c r="A189" s="36" t="str">
        <f aca="false">IF(Raw_Export!$A189="","",TRIM(Raw_Export!A189))</f>
        <v>TXN-100186</v>
      </c>
      <c r="B189" s="37" t="n">
        <f aca="false">IF(Raw_Export!$A189="","",IF(ISNUMBER(Raw_Export!B189),Raw_Export!B189,IF(MID(TRIM(Raw_Export!B189),5,1)="-",DATE(LEFT(TRIM(Raw_Export!B189),4),MID(TRIM(Raw_Export!B189),6,2),RIGHT(TRIM(Raw_Export!B189),2)),DATE(RIGHT(TRIM(Raw_Export!B189),4),MATCH(MID(TRIM(Raw_Export!B189),4,3),{"Jan","Feb","Mar","Apr","May","Jun","Jul","Aug","Sep","Oct","Nov","Dec"},0),LEFT(TRIM(Raw_Export!B189),2)))))</f>
        <v>46266</v>
      </c>
      <c r="C189" s="36" t="str">
        <f aca="false">IF(Raw_Export!$A189="","",IFERROR(VLOOKUP(LOWER(TRIM(Raw_Export!C189)),Maps!$A$2:$B$20,2,FALSE()),"UNMAPPED"))</f>
        <v>Mombasa</v>
      </c>
      <c r="D189" s="36" t="str">
        <f aca="false">IF(Raw_Export!$A189="","",IFERROR(VLOOKUP(LOWER(TRIM(Raw_Export!D189)),Maps!$G$2:$I$80,2,FALSE()),"UNMAPPED"))</f>
        <v>Matches 10pk</v>
      </c>
      <c r="E189" s="36" t="str">
        <f aca="false">IF(Raw_Export!$A189="","",IFERROR(VLOOKUP(LOWER(TRIM(Raw_Export!D189)),Maps!$G$2:$I$80,3,FALSE()),"UNMAPPED"))</f>
        <v>Household</v>
      </c>
      <c r="F189" s="36" t="n">
        <f aca="false">IF(Raw_Export!$A189="","",IFERROR(VALUE(TRIM(Raw_Export!E189)),0))</f>
        <v>1</v>
      </c>
      <c r="G189" s="38" t="n">
        <f aca="false">IF(Raw_Export!$A189="","",IFERROR(VALUE(SUBSTITUTE(SUBSTITUTE(UPPER(TRIM(Raw_Export!F189)),"KES",""),",","")),0))</f>
        <v>50</v>
      </c>
      <c r="H189" s="38" t="n">
        <f aca="false">IF(Raw_Export!$A189="","",F189*G189)</f>
        <v>50</v>
      </c>
      <c r="I189" s="36" t="str">
        <f aca="false">IF(Raw_Export!$A189="","",IFERROR(VLOOKUP(LOWER(TRIM(Raw_Export!H189)),Maps!$D$2:$E$12,2,FALSE()),"Other"))</f>
        <v>M-Pesa</v>
      </c>
      <c r="J189" s="36" t="str">
        <f aca="false">IF(Raw_Export!$A189="","",IF(COUNTIF($A$2:A189,A189)&gt;1,"Duplicate",""))</f>
        <v/>
      </c>
      <c r="K189" s="36" t="str">
        <f aca="false">IF(Raw_Export!$A189="","",IF(J189="Duplicate","Duplicate",IF(OR(C189="UNMAPPED",D189="UNMAPPED"),"Unmapped",IF(F189=0,"Blank qty",IF(F189&lt;0,"Return","OK")))))</f>
        <v>OK</v>
      </c>
      <c r="L189" s="36" t="n">
        <f aca="false">IF(Raw_Export!$A189="","",IF(OR(K189="OK",K189="Return"),1,0))</f>
        <v>1</v>
      </c>
      <c r="M189" s="37" t="n">
        <f aca="false">IF(Raw_Export!$A189="","",B189-WEEKDAY(B189,2)+1)</f>
        <v>46265</v>
      </c>
    </row>
    <row r="190" customFormat="false" ht="15" hidden="false" customHeight="false" outlineLevel="0" collapsed="false">
      <c r="A190" s="36" t="str">
        <f aca="false">IF(Raw_Export!$A190="","",TRIM(Raw_Export!A190))</f>
        <v>TXN-100187</v>
      </c>
      <c r="B190" s="37" t="n">
        <f aca="false">IF(Raw_Export!$A190="","",IF(ISNUMBER(Raw_Export!B190),Raw_Export!B190,IF(MID(TRIM(Raw_Export!B190),5,1)="-",DATE(LEFT(TRIM(Raw_Export!B190),4),MID(TRIM(Raw_Export!B190),6,2),RIGHT(TRIM(Raw_Export!B190),2)),DATE(RIGHT(TRIM(Raw_Export!B190),4),MATCH(MID(TRIM(Raw_Export!B190),4,3),{"Jan","Feb","Mar","Apr","May","Jun","Jul","Aug","Sep","Oct","Nov","Dec"},0),LEFT(TRIM(Raw_Export!B190),2)))))</f>
        <v>46266</v>
      </c>
      <c r="C190" s="36" t="str">
        <f aca="false">IF(Raw_Export!$A190="","",IFERROR(VLOOKUP(LOWER(TRIM(Raw_Export!C190)),Maps!$A$2:$B$20,2,FALSE()),"UNMAPPED"))</f>
        <v>Mombasa</v>
      </c>
      <c r="D190" s="36" t="str">
        <f aca="false">IF(Raw_Export!$A190="","",IFERROR(VLOOKUP(LOWER(TRIM(Raw_Export!D190)),Maps!$G$2:$I$80,2,FALSE()),"UNMAPPED"))</f>
        <v>Bleach 1L</v>
      </c>
      <c r="E190" s="36" t="str">
        <f aca="false">IF(Raw_Export!$A190="","",IFERROR(VLOOKUP(LOWER(TRIM(Raw_Export!D190)),Maps!$G$2:$I$80,3,FALSE()),"UNMAPPED"))</f>
        <v>Household</v>
      </c>
      <c r="F190" s="36" t="n">
        <f aca="false">IF(Raw_Export!$A190="","",IFERROR(VALUE(TRIM(Raw_Export!E190)),0))</f>
        <v>2</v>
      </c>
      <c r="G190" s="38" t="n">
        <f aca="false">IF(Raw_Export!$A190="","",IFERROR(VALUE(SUBSTITUTE(SUBSTITUTE(UPPER(TRIM(Raw_Export!F190)),"KES",""),",","")),0))</f>
        <v>144</v>
      </c>
      <c r="H190" s="38" t="n">
        <f aca="false">IF(Raw_Export!$A190="","",F190*G190)</f>
        <v>288</v>
      </c>
      <c r="I190" s="36" t="str">
        <f aca="false">IF(Raw_Export!$A190="","",IFERROR(VLOOKUP(LOWER(TRIM(Raw_Export!H190)),Maps!$D$2:$E$12,2,FALSE()),"Other"))</f>
        <v>Cash</v>
      </c>
      <c r="J190" s="36" t="str">
        <f aca="false">IF(Raw_Export!$A190="","",IF(COUNTIF($A$2:A190,A190)&gt;1,"Duplicate",""))</f>
        <v/>
      </c>
      <c r="K190" s="36" t="str">
        <f aca="false">IF(Raw_Export!$A190="","",IF(J190="Duplicate","Duplicate",IF(OR(C190="UNMAPPED",D190="UNMAPPED"),"Unmapped",IF(F190=0,"Blank qty",IF(F190&lt;0,"Return","OK")))))</f>
        <v>OK</v>
      </c>
      <c r="L190" s="36" t="n">
        <f aca="false">IF(Raw_Export!$A190="","",IF(OR(K190="OK",K190="Return"),1,0))</f>
        <v>1</v>
      </c>
      <c r="M190" s="37" t="n">
        <f aca="false">IF(Raw_Export!$A190="","",B190-WEEKDAY(B190,2)+1)</f>
        <v>46265</v>
      </c>
    </row>
    <row r="191" customFormat="false" ht="15" hidden="false" customHeight="false" outlineLevel="0" collapsed="false">
      <c r="A191" s="36" t="str">
        <f aca="false">IF(Raw_Export!$A191="","",TRIM(Raw_Export!A191))</f>
        <v>TXN-100188</v>
      </c>
      <c r="B191" s="37" t="n">
        <f aca="false">IF(Raw_Export!$A191="","",IF(ISNUMBER(Raw_Export!B191),Raw_Export!B191,IF(MID(TRIM(Raw_Export!B191),5,1)="-",DATE(LEFT(TRIM(Raw_Export!B191),4),MID(TRIM(Raw_Export!B191),6,2),RIGHT(TRIM(Raw_Export!B191),2)),DATE(RIGHT(TRIM(Raw_Export!B191),4),MATCH(MID(TRIM(Raw_Export!B191),4,3),{"Jan","Feb","Mar","Apr","May","Jun","Jul","Aug","Sep","Oct","Nov","Dec"},0),LEFT(TRIM(Raw_Export!B191),2)))))</f>
        <v>46266</v>
      </c>
      <c r="C191" s="36" t="str">
        <f aca="false">IF(Raw_Export!$A191="","",IFERROR(VLOOKUP(LOWER(TRIM(Raw_Export!C191)),Maps!$A$2:$B$20,2,FALSE()),"UNMAPPED"))</f>
        <v>Mombasa</v>
      </c>
      <c r="D191" s="36" t="str">
        <f aca="false">IF(Raw_Export!$A191="","",IFERROR(VLOOKUP(LOWER(TRIM(Raw_Export!D191)),Maps!$G$2:$I$80,2,FALSE()),"UNMAPPED"))</f>
        <v>Sanitary Pads 8pk</v>
      </c>
      <c r="E191" s="36" t="str">
        <f aca="false">IF(Raw_Export!$A191="","",IFERROR(VLOOKUP(LOWER(TRIM(Raw_Export!D191)),Maps!$G$2:$I$80,3,FALSE()),"UNMAPPED"))</f>
        <v>Personal Care</v>
      </c>
      <c r="F191" s="36" t="n">
        <f aca="false">IF(Raw_Export!$A191="","",IFERROR(VALUE(TRIM(Raw_Export!E191)),0))</f>
        <v>2</v>
      </c>
      <c r="G191" s="38" t="n">
        <f aca="false">IF(Raw_Export!$A191="","",IFERROR(VALUE(SUBSTITUTE(SUBSTITUTE(UPPER(TRIM(Raw_Export!F191)),"KES",""),",","")),0))</f>
        <v>130</v>
      </c>
      <c r="H191" s="38" t="n">
        <f aca="false">IF(Raw_Export!$A191="","",F191*G191)</f>
        <v>260</v>
      </c>
      <c r="I191" s="36" t="str">
        <f aca="false">IF(Raw_Export!$A191="","",IFERROR(VLOOKUP(LOWER(TRIM(Raw_Export!H191)),Maps!$D$2:$E$12,2,FALSE()),"Other"))</f>
        <v>M-Pesa</v>
      </c>
      <c r="J191" s="36" t="str">
        <f aca="false">IF(Raw_Export!$A191="","",IF(COUNTIF($A$2:A191,A191)&gt;1,"Duplicate",""))</f>
        <v/>
      </c>
      <c r="K191" s="36" t="str">
        <f aca="false">IF(Raw_Export!$A191="","",IF(J191="Duplicate","Duplicate",IF(OR(C191="UNMAPPED",D191="UNMAPPED"),"Unmapped",IF(F191=0,"Blank qty",IF(F191&lt;0,"Return","OK")))))</f>
        <v>OK</v>
      </c>
      <c r="L191" s="36" t="n">
        <f aca="false">IF(Raw_Export!$A191="","",IF(OR(K191="OK",K191="Return"),1,0))</f>
        <v>1</v>
      </c>
      <c r="M191" s="37" t="n">
        <f aca="false">IF(Raw_Export!$A191="","",B191-WEEKDAY(B191,2)+1)</f>
        <v>46265</v>
      </c>
    </row>
    <row r="192" customFormat="false" ht="15" hidden="false" customHeight="false" outlineLevel="0" collapsed="false">
      <c r="A192" s="36" t="str">
        <f aca="false">IF(Raw_Export!$A192="","",TRIM(Raw_Export!A192))</f>
        <v>TXN-100189</v>
      </c>
      <c r="B192" s="37" t="n">
        <f aca="false">IF(Raw_Export!$A192="","",IF(ISNUMBER(Raw_Export!B192),Raw_Export!B192,IF(MID(TRIM(Raw_Export!B192),5,1)="-",DATE(LEFT(TRIM(Raw_Export!B192),4),MID(TRIM(Raw_Export!B192),6,2),RIGHT(TRIM(Raw_Export!B192),2)),DATE(RIGHT(TRIM(Raw_Export!B192),4),MATCH(MID(TRIM(Raw_Export!B192),4,3),{"Jan","Feb","Mar","Apr","May","Jun","Jul","Aug","Sep","Oct","Nov","Dec"},0),LEFT(TRIM(Raw_Export!B192),2)))))</f>
        <v>46266</v>
      </c>
      <c r="C192" s="36" t="str">
        <f aca="false">IF(Raw_Export!$A192="","",IFERROR(VLOOKUP(LOWER(TRIM(Raw_Export!C192)),Maps!$A$2:$B$20,2,FALSE()),"UNMAPPED"))</f>
        <v>Mombasa</v>
      </c>
      <c r="D192" s="36" t="str">
        <f aca="false">IF(Raw_Export!$A192="","",IFERROR(VLOOKUP(LOWER(TRIM(Raw_Export!D192)),Maps!$G$2:$I$80,2,FALSE()),"UNMAPPED"))</f>
        <v>Chocolate Bar 90g</v>
      </c>
      <c r="E192" s="36" t="str">
        <f aca="false">IF(Raw_Export!$A192="","",IFERROR(VLOOKUP(LOWER(TRIM(Raw_Export!D192)),Maps!$G$2:$I$80,3,FALSE()),"UNMAPPED"))</f>
        <v>Snacks</v>
      </c>
      <c r="F192" s="36" t="n">
        <f aca="false">IF(Raw_Export!$A192="","",IFERROR(VALUE(TRIM(Raw_Export!E192)),0))</f>
        <v>1</v>
      </c>
      <c r="G192" s="38" t="n">
        <f aca="false">IF(Raw_Export!$A192="","",IFERROR(VALUE(SUBSTITUTE(SUBSTITUTE(UPPER(TRIM(Raw_Export!F192)),"KES",""),",","")),0))</f>
        <v>140</v>
      </c>
      <c r="H192" s="38" t="n">
        <f aca="false">IF(Raw_Export!$A192="","",F192*G192)</f>
        <v>140</v>
      </c>
      <c r="I192" s="36" t="str">
        <f aca="false">IF(Raw_Export!$A192="","",IFERROR(VLOOKUP(LOWER(TRIM(Raw_Export!H192)),Maps!$D$2:$E$12,2,FALSE()),"Other"))</f>
        <v>M-Pesa</v>
      </c>
      <c r="J192" s="36" t="str">
        <f aca="false">IF(Raw_Export!$A192="","",IF(COUNTIF($A$2:A192,A192)&gt;1,"Duplicate",""))</f>
        <v/>
      </c>
      <c r="K192" s="36" t="str">
        <f aca="false">IF(Raw_Export!$A192="","",IF(J192="Duplicate","Duplicate",IF(OR(C192="UNMAPPED",D192="UNMAPPED"),"Unmapped",IF(F192=0,"Blank qty",IF(F192&lt;0,"Return","OK")))))</f>
        <v>OK</v>
      </c>
      <c r="L192" s="36" t="n">
        <f aca="false">IF(Raw_Export!$A192="","",IF(OR(K192="OK",K192="Return"),1,0))</f>
        <v>1</v>
      </c>
      <c r="M192" s="37" t="n">
        <f aca="false">IF(Raw_Export!$A192="","",B192-WEEKDAY(B192,2)+1)</f>
        <v>46265</v>
      </c>
    </row>
    <row r="193" customFormat="false" ht="15" hidden="false" customHeight="false" outlineLevel="0" collapsed="false">
      <c r="A193" s="36" t="str">
        <f aca="false">IF(Raw_Export!$A193="","",TRIM(Raw_Export!A193))</f>
        <v>TXN-100190</v>
      </c>
      <c r="B193" s="37" t="n">
        <f aca="false">IF(Raw_Export!$A193="","",IF(ISNUMBER(Raw_Export!B193),Raw_Export!B193,IF(MID(TRIM(Raw_Export!B193),5,1)="-",DATE(LEFT(TRIM(Raw_Export!B193),4),MID(TRIM(Raw_Export!B193),6,2),RIGHT(TRIM(Raw_Export!B193),2)),DATE(RIGHT(TRIM(Raw_Export!B193),4),MATCH(MID(TRIM(Raw_Export!B193),4,3),{"Jan","Feb","Mar","Apr","May","Jun","Jul","Aug","Sep","Oct","Nov","Dec"},0),LEFT(TRIM(Raw_Export!B193),2)))))</f>
        <v>46266</v>
      </c>
      <c r="C193" s="36" t="str">
        <f aca="false">IF(Raw_Export!$A193="","",IFERROR(VLOOKUP(LOWER(TRIM(Raw_Export!C193)),Maps!$A$2:$B$20,2,FALSE()),"UNMAPPED"))</f>
        <v>Mombasa</v>
      </c>
      <c r="D193" s="36" t="str">
        <f aca="false">IF(Raw_Export!$A193="","",IFERROR(VLOOKUP(LOWER(TRIM(Raw_Export!D193)),Maps!$G$2:$I$80,2,FALSE()),"UNMAPPED"))</f>
        <v>Cheddar 200g</v>
      </c>
      <c r="E193" s="36" t="str">
        <f aca="false">IF(Raw_Export!$A193="","",IFERROR(VLOOKUP(LOWER(TRIM(Raw_Export!D193)),Maps!$G$2:$I$80,3,FALSE()),"UNMAPPED"))</f>
        <v>Dairy &amp; Eggs</v>
      </c>
      <c r="F193" s="36" t="n">
        <f aca="false">IF(Raw_Export!$A193="","",IFERROR(VALUE(TRIM(Raw_Export!E193)),0))</f>
        <v>4</v>
      </c>
      <c r="G193" s="38" t="n">
        <f aca="false">IF(Raw_Export!$A193="","",IFERROR(VALUE(SUBSTITUTE(SUBSTITUTE(UPPER(TRIM(Raw_Export!F193)),"KES",""),",","")),0))</f>
        <v>380</v>
      </c>
      <c r="H193" s="38" t="n">
        <f aca="false">IF(Raw_Export!$A193="","",F193*G193)</f>
        <v>1520</v>
      </c>
      <c r="I193" s="36" t="str">
        <f aca="false">IF(Raw_Export!$A193="","",IFERROR(VLOOKUP(LOWER(TRIM(Raw_Export!H193)),Maps!$D$2:$E$12,2,FALSE()),"Other"))</f>
        <v>M-Pesa</v>
      </c>
      <c r="J193" s="36" t="str">
        <f aca="false">IF(Raw_Export!$A193="","",IF(COUNTIF($A$2:A193,A193)&gt;1,"Duplicate",""))</f>
        <v/>
      </c>
      <c r="K193" s="36" t="str">
        <f aca="false">IF(Raw_Export!$A193="","",IF(J193="Duplicate","Duplicate",IF(OR(C193="UNMAPPED",D193="UNMAPPED"),"Unmapped",IF(F193=0,"Blank qty",IF(F193&lt;0,"Return","OK")))))</f>
        <v>OK</v>
      </c>
      <c r="L193" s="36" t="n">
        <f aca="false">IF(Raw_Export!$A193="","",IF(OR(K193="OK",K193="Return"),1,0))</f>
        <v>1</v>
      </c>
      <c r="M193" s="37" t="n">
        <f aca="false">IF(Raw_Export!$A193="","",B193-WEEKDAY(B193,2)+1)</f>
        <v>46265</v>
      </c>
    </row>
    <row r="194" customFormat="false" ht="15" hidden="false" customHeight="false" outlineLevel="0" collapsed="false">
      <c r="A194" s="36" t="str">
        <f aca="false">IF(Raw_Export!$A194="","",TRIM(Raw_Export!A194))</f>
        <v>TXN-100191</v>
      </c>
      <c r="B194" s="37" t="n">
        <f aca="false">IF(Raw_Export!$A194="","",IF(ISNUMBER(Raw_Export!B194),Raw_Export!B194,IF(MID(TRIM(Raw_Export!B194),5,1)="-",DATE(LEFT(TRIM(Raw_Export!B194),4),MID(TRIM(Raw_Export!B194),6,2),RIGHT(TRIM(Raw_Export!B194),2)),DATE(RIGHT(TRIM(Raw_Export!B194),4),MATCH(MID(TRIM(Raw_Export!B194),4,3),{"Jan","Feb","Mar","Apr","May","Jun","Jul","Aug","Sep","Oct","Nov","Dec"},0),LEFT(TRIM(Raw_Export!B194),2)))))</f>
        <v>46266</v>
      </c>
      <c r="C194" s="36" t="str">
        <f aca="false">IF(Raw_Export!$A194="","",IFERROR(VLOOKUP(LOWER(TRIM(Raw_Export!C194)),Maps!$A$2:$B$20,2,FALSE()),"UNMAPPED"))</f>
        <v>Mombasa</v>
      </c>
      <c r="D194" s="36" t="str">
        <f aca="false">IF(Raw_Export!$A194="","",IFERROR(VLOOKUP(LOWER(TRIM(Raw_Export!D194)),Maps!$G$2:$I$80,2,FALSE()),"UNMAPPED"))</f>
        <v>Fresh Milk 500ml</v>
      </c>
      <c r="E194" s="36" t="str">
        <f aca="false">IF(Raw_Export!$A194="","",IFERROR(VLOOKUP(LOWER(TRIM(Raw_Export!D194)),Maps!$G$2:$I$80,3,FALSE()),"UNMAPPED"))</f>
        <v>Dairy &amp; Eggs</v>
      </c>
      <c r="F194" s="36" t="n">
        <f aca="false">IF(Raw_Export!$A194="","",IFERROR(VALUE(TRIM(Raw_Export!E194)),0))</f>
        <v>6</v>
      </c>
      <c r="G194" s="38" t="n">
        <f aca="false">IF(Raw_Export!$A194="","",IFERROR(VALUE(SUBSTITUTE(SUBSTITUTE(UPPER(TRIM(Raw_Export!F194)),"KES",""),",","")),0))</f>
        <v>65</v>
      </c>
      <c r="H194" s="38" t="n">
        <f aca="false">IF(Raw_Export!$A194="","",F194*G194)</f>
        <v>390</v>
      </c>
      <c r="I194" s="36" t="str">
        <f aca="false">IF(Raw_Export!$A194="","",IFERROR(VLOOKUP(LOWER(TRIM(Raw_Export!H194)),Maps!$D$2:$E$12,2,FALSE()),"Other"))</f>
        <v>M-Pesa</v>
      </c>
      <c r="J194" s="36" t="str">
        <f aca="false">IF(Raw_Export!$A194="","",IF(COUNTIF($A$2:A194,A194)&gt;1,"Duplicate",""))</f>
        <v/>
      </c>
      <c r="K194" s="36" t="str">
        <f aca="false">IF(Raw_Export!$A194="","",IF(J194="Duplicate","Duplicate",IF(OR(C194="UNMAPPED",D194="UNMAPPED"),"Unmapped",IF(F194=0,"Blank qty",IF(F194&lt;0,"Return","OK")))))</f>
        <v>OK</v>
      </c>
      <c r="L194" s="36" t="n">
        <f aca="false">IF(Raw_Export!$A194="","",IF(OR(K194="OK",K194="Return"),1,0))</f>
        <v>1</v>
      </c>
      <c r="M194" s="37" t="n">
        <f aca="false">IF(Raw_Export!$A194="","",B194-WEEKDAY(B194,2)+1)</f>
        <v>46265</v>
      </c>
    </row>
    <row r="195" customFormat="false" ht="15" hidden="false" customHeight="false" outlineLevel="0" collapsed="false">
      <c r="A195" s="36" t="str">
        <f aca="false">IF(Raw_Export!$A195="","",TRIM(Raw_Export!A195))</f>
        <v>TXN-100192</v>
      </c>
      <c r="B195" s="37" t="n">
        <f aca="false">IF(Raw_Export!$A195="","",IF(ISNUMBER(Raw_Export!B195),Raw_Export!B195,IF(MID(TRIM(Raw_Export!B195),5,1)="-",DATE(LEFT(TRIM(Raw_Export!B195),4),MID(TRIM(Raw_Export!B195),6,2),RIGHT(TRIM(Raw_Export!B195),2)),DATE(RIGHT(TRIM(Raw_Export!B195),4),MATCH(MID(TRIM(Raw_Export!B195),4,3),{"Jan","Feb","Mar","Apr","May","Jun","Jul","Aug","Sep","Oct","Nov","Dec"},0),LEFT(TRIM(Raw_Export!B195),2)))))</f>
        <v>46266</v>
      </c>
      <c r="C195" s="36" t="str">
        <f aca="false">IF(Raw_Export!$A195="","",IFERROR(VLOOKUP(LOWER(TRIM(Raw_Export!C195)),Maps!$A$2:$B$20,2,FALSE()),"UNMAPPED"))</f>
        <v>Mombasa</v>
      </c>
      <c r="D195" s="36" t="str">
        <f aca="false">IF(Raw_Export!$A195="","",IFERROR(VLOOKUP(LOWER(TRIM(Raw_Export!D195)),Maps!$G$2:$I$80,2,FALSE()),"UNMAPPED"))</f>
        <v>Butter 250g</v>
      </c>
      <c r="E195" s="36" t="str">
        <f aca="false">IF(Raw_Export!$A195="","",IFERROR(VLOOKUP(LOWER(TRIM(Raw_Export!D195)),Maps!$G$2:$I$80,3,FALSE()),"UNMAPPED"))</f>
        <v>Dairy &amp; Eggs</v>
      </c>
      <c r="F195" s="36" t="n">
        <f aca="false">IF(Raw_Export!$A195="","",IFERROR(VALUE(TRIM(Raw_Export!E195)),0))</f>
        <v>6</v>
      </c>
      <c r="G195" s="38" t="n">
        <f aca="false">IF(Raw_Export!$A195="","",IFERROR(VALUE(SUBSTITUTE(SUBSTITUTE(UPPER(TRIM(Raw_Export!F195)),"KES",""),",","")),0))</f>
        <v>310</v>
      </c>
      <c r="H195" s="38" t="n">
        <f aca="false">IF(Raw_Export!$A195="","",F195*G195)</f>
        <v>1860</v>
      </c>
      <c r="I195" s="36" t="str">
        <f aca="false">IF(Raw_Export!$A195="","",IFERROR(VLOOKUP(LOWER(TRIM(Raw_Export!H195)),Maps!$D$2:$E$12,2,FALSE()),"Other"))</f>
        <v>M-Pesa</v>
      </c>
      <c r="J195" s="36" t="str">
        <f aca="false">IF(Raw_Export!$A195="","",IF(COUNTIF($A$2:A195,A195)&gt;1,"Duplicate",""))</f>
        <v/>
      </c>
      <c r="K195" s="36" t="str">
        <f aca="false">IF(Raw_Export!$A195="","",IF(J195="Duplicate","Duplicate",IF(OR(C195="UNMAPPED",D195="UNMAPPED"),"Unmapped",IF(F195=0,"Blank qty",IF(F195&lt;0,"Return","OK")))))</f>
        <v>OK</v>
      </c>
      <c r="L195" s="36" t="n">
        <f aca="false">IF(Raw_Export!$A195="","",IF(OR(K195="OK",K195="Return"),1,0))</f>
        <v>1</v>
      </c>
      <c r="M195" s="37" t="n">
        <f aca="false">IF(Raw_Export!$A195="","",B195-WEEKDAY(B195,2)+1)</f>
        <v>46265</v>
      </c>
    </row>
    <row r="196" customFormat="false" ht="15" hidden="false" customHeight="false" outlineLevel="0" collapsed="false">
      <c r="A196" s="36" t="str">
        <f aca="false">IF(Raw_Export!$A196="","",TRIM(Raw_Export!A196))</f>
        <v>TXN-100193</v>
      </c>
      <c r="B196" s="37" t="n">
        <f aca="false">IF(Raw_Export!$A196="","",IF(ISNUMBER(Raw_Export!B196),Raw_Export!B196,IF(MID(TRIM(Raw_Export!B196),5,1)="-",DATE(LEFT(TRIM(Raw_Export!B196),4),MID(TRIM(Raw_Export!B196),6,2),RIGHT(TRIM(Raw_Export!B196),2)),DATE(RIGHT(TRIM(Raw_Export!B196),4),MATCH(MID(TRIM(Raw_Export!B196),4,3),{"Jan","Feb","Mar","Apr","May","Jun","Jul","Aug","Sep","Oct","Nov","Dec"},0),LEFT(TRIM(Raw_Export!B196),2)))))</f>
        <v>46266</v>
      </c>
      <c r="C196" s="36" t="str">
        <f aca="false">IF(Raw_Export!$A196="","",IFERROR(VLOOKUP(LOWER(TRIM(Raw_Export!C196)),Maps!$A$2:$B$20,2,FALSE()),"UNMAPPED"))</f>
        <v>Mombasa</v>
      </c>
      <c r="D196" s="36" t="str">
        <f aca="false">IF(Raw_Export!$A196="","",IFERROR(VLOOKUP(LOWER(TRIM(Raw_Export!D196)),Maps!$G$2:$I$80,2,FALSE()),"UNMAPPED"))</f>
        <v>Tea Leaves 250g</v>
      </c>
      <c r="E196" s="36" t="str">
        <f aca="false">IF(Raw_Export!$A196="","",IFERROR(VLOOKUP(LOWER(TRIM(Raw_Export!D196)),Maps!$G$2:$I$80,3,FALSE()),"UNMAPPED"))</f>
        <v>Beverages</v>
      </c>
      <c r="F196" s="36" t="n">
        <f aca="false">IF(Raw_Export!$A196="","",IFERROR(VALUE(TRIM(Raw_Export!E196)),0))</f>
        <v>2</v>
      </c>
      <c r="G196" s="38" t="n">
        <f aca="false">IF(Raw_Export!$A196="","",IFERROR(VALUE(SUBSTITUTE(SUBSTITUTE(UPPER(TRIM(Raw_Export!F196)),"KES",""),",","")),0))</f>
        <v>150</v>
      </c>
      <c r="H196" s="38" t="n">
        <f aca="false">IF(Raw_Export!$A196="","",F196*G196)</f>
        <v>300</v>
      </c>
      <c r="I196" s="36" t="str">
        <f aca="false">IF(Raw_Export!$A196="","",IFERROR(VLOOKUP(LOWER(TRIM(Raw_Export!H196)),Maps!$D$2:$E$12,2,FALSE()),"Other"))</f>
        <v>M-Pesa</v>
      </c>
      <c r="J196" s="36" t="str">
        <f aca="false">IF(Raw_Export!$A196="","",IF(COUNTIF($A$2:A196,A196)&gt;1,"Duplicate",""))</f>
        <v/>
      </c>
      <c r="K196" s="36" t="str">
        <f aca="false">IF(Raw_Export!$A196="","",IF(J196="Duplicate","Duplicate",IF(OR(C196="UNMAPPED",D196="UNMAPPED"),"Unmapped",IF(F196=0,"Blank qty",IF(F196&lt;0,"Return","OK")))))</f>
        <v>OK</v>
      </c>
      <c r="L196" s="36" t="n">
        <f aca="false">IF(Raw_Export!$A196="","",IF(OR(K196="OK",K196="Return"),1,0))</f>
        <v>1</v>
      </c>
      <c r="M196" s="37" t="n">
        <f aca="false">IF(Raw_Export!$A196="","",B196-WEEKDAY(B196,2)+1)</f>
        <v>46265</v>
      </c>
    </row>
    <row r="197" customFormat="false" ht="15" hidden="false" customHeight="false" outlineLevel="0" collapsed="false">
      <c r="A197" s="36" t="str">
        <f aca="false">IF(Raw_Export!$A197="","",TRIM(Raw_Export!A197))</f>
        <v>TXN-100194</v>
      </c>
      <c r="B197" s="37" t="n">
        <f aca="false">IF(Raw_Export!$A197="","",IF(ISNUMBER(Raw_Export!B197),Raw_Export!B197,IF(MID(TRIM(Raw_Export!B197),5,1)="-",DATE(LEFT(TRIM(Raw_Export!B197),4),MID(TRIM(Raw_Export!B197),6,2),RIGHT(TRIM(Raw_Export!B197),2)),DATE(RIGHT(TRIM(Raw_Export!B197),4),MATCH(MID(TRIM(Raw_Export!B197),4,3),{"Jan","Feb","Mar","Apr","May","Jun","Jul","Aug","Sep","Oct","Nov","Dec"},0),LEFT(TRIM(Raw_Export!B197),2)))))</f>
        <v>46266</v>
      </c>
      <c r="C197" s="36" t="str">
        <f aca="false">IF(Raw_Export!$A197="","",IFERROR(VLOOKUP(LOWER(TRIM(Raw_Export!C197)),Maps!$A$2:$B$20,2,FALSE()),"UNMAPPED"))</f>
        <v>Mombasa</v>
      </c>
      <c r="D197" s="36" t="str">
        <f aca="false">IF(Raw_Export!$A197="","",IFERROR(VLOOKUP(LOWER(TRIM(Raw_Export!D197)),Maps!$G$2:$I$80,2,FALSE()),"UNMAPPED"))</f>
        <v>Soda 500ml</v>
      </c>
      <c r="E197" s="36" t="str">
        <f aca="false">IF(Raw_Export!$A197="","",IFERROR(VLOOKUP(LOWER(TRIM(Raw_Export!D197)),Maps!$G$2:$I$80,3,FALSE()),"UNMAPPED"))</f>
        <v>Beverages</v>
      </c>
      <c r="F197" s="36" t="n">
        <f aca="false">IF(Raw_Export!$A197="","",IFERROR(VALUE(TRIM(Raw_Export!E197)),0))</f>
        <v>6</v>
      </c>
      <c r="G197" s="38" t="n">
        <f aca="false">IF(Raw_Export!$A197="","",IFERROR(VALUE(SUBSTITUTE(SUBSTITUTE(UPPER(TRIM(Raw_Export!F197)),"KES",""),",","")),0))</f>
        <v>54</v>
      </c>
      <c r="H197" s="38" t="n">
        <f aca="false">IF(Raw_Export!$A197="","",F197*G197)</f>
        <v>324</v>
      </c>
      <c r="I197" s="36" t="str">
        <f aca="false">IF(Raw_Export!$A197="","",IFERROR(VLOOKUP(LOWER(TRIM(Raw_Export!H197)),Maps!$D$2:$E$12,2,FALSE()),"Other"))</f>
        <v>Card</v>
      </c>
      <c r="J197" s="36" t="str">
        <f aca="false">IF(Raw_Export!$A197="","",IF(COUNTIF($A$2:A197,A197)&gt;1,"Duplicate",""))</f>
        <v/>
      </c>
      <c r="K197" s="36" t="str">
        <f aca="false">IF(Raw_Export!$A197="","",IF(J197="Duplicate","Duplicate",IF(OR(C197="UNMAPPED",D197="UNMAPPED"),"Unmapped",IF(F197=0,"Blank qty",IF(F197&lt;0,"Return","OK")))))</f>
        <v>OK</v>
      </c>
      <c r="L197" s="36" t="n">
        <f aca="false">IF(Raw_Export!$A197="","",IF(OR(K197="OK",K197="Return"),1,0))</f>
        <v>1</v>
      </c>
      <c r="M197" s="37" t="n">
        <f aca="false">IF(Raw_Export!$A197="","",B197-WEEKDAY(B197,2)+1)</f>
        <v>46265</v>
      </c>
    </row>
    <row r="198" customFormat="false" ht="15" hidden="false" customHeight="false" outlineLevel="0" collapsed="false">
      <c r="A198" s="36" t="str">
        <f aca="false">IF(Raw_Export!$A198="","",TRIM(Raw_Export!A198))</f>
        <v>TXN-100195</v>
      </c>
      <c r="B198" s="37" t="n">
        <f aca="false">IF(Raw_Export!$A198="","",IF(ISNUMBER(Raw_Export!B198),Raw_Export!B198,IF(MID(TRIM(Raw_Export!B198),5,1)="-",DATE(LEFT(TRIM(Raw_Export!B198),4),MID(TRIM(Raw_Export!B198),6,2),RIGHT(TRIM(Raw_Export!B198),2)),DATE(RIGHT(TRIM(Raw_Export!B198),4),MATCH(MID(TRIM(Raw_Export!B198),4,3),{"Jan","Feb","Mar","Apr","May","Jun","Jul","Aug","Sep","Oct","Nov","Dec"},0),LEFT(TRIM(Raw_Export!B198),2)))))</f>
        <v>46266</v>
      </c>
      <c r="C198" s="36" t="str">
        <f aca="false">IF(Raw_Export!$A198="","",IFERROR(VLOOKUP(LOWER(TRIM(Raw_Export!C198)),Maps!$A$2:$B$20,2,FALSE()),"UNMAPPED"))</f>
        <v>Mombasa</v>
      </c>
      <c r="D198" s="36" t="str">
        <f aca="false">IF(Raw_Export!$A198="","",IFERROR(VLOOKUP(LOWER(TRIM(Raw_Export!D198)),Maps!$G$2:$I$80,2,FALSE()),"UNMAPPED"))</f>
        <v>Soda 500ml</v>
      </c>
      <c r="E198" s="36" t="str">
        <f aca="false">IF(Raw_Export!$A198="","",IFERROR(VLOOKUP(LOWER(TRIM(Raw_Export!D198)),Maps!$G$2:$I$80,3,FALSE()),"UNMAPPED"))</f>
        <v>Beverages</v>
      </c>
      <c r="F198" s="36" t="n">
        <f aca="false">IF(Raw_Export!$A198="","",IFERROR(VALUE(TRIM(Raw_Export!E198)),0))</f>
        <v>4</v>
      </c>
      <c r="G198" s="38" t="n">
        <f aca="false">IF(Raw_Export!$A198="","",IFERROR(VALUE(SUBSTITUTE(SUBSTITUTE(UPPER(TRIM(Raw_Export!F198)),"KES",""),",","")),0))</f>
        <v>60</v>
      </c>
      <c r="H198" s="38" t="n">
        <f aca="false">IF(Raw_Export!$A198="","",F198*G198)</f>
        <v>240</v>
      </c>
      <c r="I198" s="36" t="str">
        <f aca="false">IF(Raw_Export!$A198="","",IFERROR(VLOOKUP(LOWER(TRIM(Raw_Export!H198)),Maps!$D$2:$E$12,2,FALSE()),"Other"))</f>
        <v>Cash</v>
      </c>
      <c r="J198" s="36" t="str">
        <f aca="false">IF(Raw_Export!$A198="","",IF(COUNTIF($A$2:A198,A198)&gt;1,"Duplicate",""))</f>
        <v/>
      </c>
      <c r="K198" s="36" t="str">
        <f aca="false">IF(Raw_Export!$A198="","",IF(J198="Duplicate","Duplicate",IF(OR(C198="UNMAPPED",D198="UNMAPPED"),"Unmapped",IF(F198=0,"Blank qty",IF(F198&lt;0,"Return","OK")))))</f>
        <v>OK</v>
      </c>
      <c r="L198" s="36" t="n">
        <f aca="false">IF(Raw_Export!$A198="","",IF(OR(K198="OK",K198="Return"),1,0))</f>
        <v>1</v>
      </c>
      <c r="M198" s="37" t="n">
        <f aca="false">IF(Raw_Export!$A198="","",B198-WEEKDAY(B198,2)+1)</f>
        <v>46265</v>
      </c>
    </row>
    <row r="199" customFormat="false" ht="15" hidden="false" customHeight="false" outlineLevel="0" collapsed="false">
      <c r="A199" s="36" t="str">
        <f aca="false">IF(Raw_Export!$A199="","",TRIM(Raw_Export!A199))</f>
        <v>TXN-100196</v>
      </c>
      <c r="B199" s="37" t="n">
        <f aca="false">IF(Raw_Export!$A199="","",IF(ISNUMBER(Raw_Export!B199),Raw_Export!B199,IF(MID(TRIM(Raw_Export!B199),5,1)="-",DATE(LEFT(TRIM(Raw_Export!B199),4),MID(TRIM(Raw_Export!B199),6,2),RIGHT(TRIM(Raw_Export!B199),2)),DATE(RIGHT(TRIM(Raw_Export!B199),4),MATCH(MID(TRIM(Raw_Export!B199),4,3),{"Jan","Feb","Mar","Apr","May","Jun","Jul","Aug","Sep","Oct","Nov","Dec"},0),LEFT(TRIM(Raw_Export!B199),2)))))</f>
        <v>46266</v>
      </c>
      <c r="C199" s="36" t="str">
        <f aca="false">IF(Raw_Export!$A199="","",IFERROR(VLOOKUP(LOWER(TRIM(Raw_Export!C199)),Maps!$A$2:$B$20,2,FALSE()),"UNMAPPED"))</f>
        <v>Mombasa</v>
      </c>
      <c r="D199" s="36" t="str">
        <f aca="false">IF(Raw_Export!$A199="","",IFERROR(VLOOKUP(LOWER(TRIM(Raw_Export!D199)),Maps!$G$2:$I$80,2,FALSE()),"UNMAPPED"))</f>
        <v>Juice 1L</v>
      </c>
      <c r="E199" s="36" t="str">
        <f aca="false">IF(Raw_Export!$A199="","",IFERROR(VLOOKUP(LOWER(TRIM(Raw_Export!D199)),Maps!$G$2:$I$80,3,FALSE()),"UNMAPPED"))</f>
        <v>Beverages</v>
      </c>
      <c r="F199" s="36" t="n">
        <f aca="false">IF(Raw_Export!$A199="","",IFERROR(VALUE(TRIM(Raw_Export!E199)),0))</f>
        <v>4</v>
      </c>
      <c r="G199" s="38" t="n">
        <f aca="false">IF(Raw_Export!$A199="","",IFERROR(VALUE(SUBSTITUTE(SUBSTITUTE(UPPER(TRIM(Raw_Export!F199)),"KES",""),",","")),0))</f>
        <v>210</v>
      </c>
      <c r="H199" s="38" t="n">
        <f aca="false">IF(Raw_Export!$A199="","",F199*G199)</f>
        <v>840</v>
      </c>
      <c r="I199" s="36" t="str">
        <f aca="false">IF(Raw_Export!$A199="","",IFERROR(VLOOKUP(LOWER(TRIM(Raw_Export!H199)),Maps!$D$2:$E$12,2,FALSE()),"Other"))</f>
        <v>M-Pesa</v>
      </c>
      <c r="J199" s="36" t="str">
        <f aca="false">IF(Raw_Export!$A199="","",IF(COUNTIF($A$2:A199,A199)&gt;1,"Duplicate",""))</f>
        <v/>
      </c>
      <c r="K199" s="36" t="str">
        <f aca="false">IF(Raw_Export!$A199="","",IF(J199="Duplicate","Duplicate",IF(OR(C199="UNMAPPED",D199="UNMAPPED"),"Unmapped",IF(F199=0,"Blank qty",IF(F199&lt;0,"Return","OK")))))</f>
        <v>OK</v>
      </c>
      <c r="L199" s="36" t="n">
        <f aca="false">IF(Raw_Export!$A199="","",IF(OR(K199="OK",K199="Return"),1,0))</f>
        <v>1</v>
      </c>
      <c r="M199" s="37" t="n">
        <f aca="false">IF(Raw_Export!$A199="","",B199-WEEKDAY(B199,2)+1)</f>
        <v>46265</v>
      </c>
    </row>
    <row r="200" customFormat="false" ht="15" hidden="false" customHeight="false" outlineLevel="0" collapsed="false">
      <c r="A200" s="36" t="str">
        <f aca="false">IF(Raw_Export!$A200="","",TRIM(Raw_Export!A200))</f>
        <v>TXN-100197</v>
      </c>
      <c r="B200" s="37" t="n">
        <f aca="false">IF(Raw_Export!$A200="","",IF(ISNUMBER(Raw_Export!B200),Raw_Export!B200,IF(MID(TRIM(Raw_Export!B200),5,1)="-",DATE(LEFT(TRIM(Raw_Export!B200),4),MID(TRIM(Raw_Export!B200),6,2),RIGHT(TRIM(Raw_Export!B200),2)),DATE(RIGHT(TRIM(Raw_Export!B200),4),MATCH(MID(TRIM(Raw_Export!B200),4,3),{"Jan","Feb","Mar","Apr","May","Jun","Jul","Aug","Sep","Oct","Nov","Dec"},0),LEFT(TRIM(Raw_Export!B200),2)))))</f>
        <v>46266</v>
      </c>
      <c r="C200" s="36" t="str">
        <f aca="false">IF(Raw_Export!$A200="","",IFERROR(VLOOKUP(LOWER(TRIM(Raw_Export!C200)),Maps!$A$2:$B$20,2,FALSE()),"UNMAPPED"))</f>
        <v>Mombasa</v>
      </c>
      <c r="D200" s="36" t="str">
        <f aca="false">IF(Raw_Export!$A200="","",IFERROR(VLOOKUP(LOWER(TRIM(Raw_Export!D200)),Maps!$G$2:$I$80,2,FALSE()),"UNMAPPED"))</f>
        <v>Cooking Oil 1L</v>
      </c>
      <c r="E200" s="36" t="str">
        <f aca="false">IF(Raw_Export!$A200="","",IFERROR(VLOOKUP(LOWER(TRIM(Raw_Export!D200)),Maps!$G$2:$I$80,3,FALSE()),"UNMAPPED"))</f>
        <v>Staples</v>
      </c>
      <c r="F200" s="36" t="n">
        <f aca="false">IF(Raw_Export!$A200="","",IFERROR(VALUE(TRIM(Raw_Export!E200)),0))</f>
        <v>3</v>
      </c>
      <c r="G200" s="38" t="n">
        <f aca="false">IF(Raw_Export!$A200="","",IFERROR(VALUE(SUBSTITUTE(SUBSTITUTE(UPPER(TRIM(Raw_Export!F200)),"KES",""),",","")),0))</f>
        <v>330</v>
      </c>
      <c r="H200" s="38" t="n">
        <f aca="false">IF(Raw_Export!$A200="","",F200*G200)</f>
        <v>990</v>
      </c>
      <c r="I200" s="36" t="str">
        <f aca="false">IF(Raw_Export!$A200="","",IFERROR(VLOOKUP(LOWER(TRIM(Raw_Export!H200)),Maps!$D$2:$E$12,2,FALSE()),"Other"))</f>
        <v>M-Pesa</v>
      </c>
      <c r="J200" s="36" t="str">
        <f aca="false">IF(Raw_Export!$A200="","",IF(COUNTIF($A$2:A200,A200)&gt;1,"Duplicate",""))</f>
        <v/>
      </c>
      <c r="K200" s="36" t="str">
        <f aca="false">IF(Raw_Export!$A200="","",IF(J200="Duplicate","Duplicate",IF(OR(C200="UNMAPPED",D200="UNMAPPED"),"Unmapped",IF(F200=0,"Blank qty",IF(F200&lt;0,"Return","OK")))))</f>
        <v>OK</v>
      </c>
      <c r="L200" s="36" t="n">
        <f aca="false">IF(Raw_Export!$A200="","",IF(OR(K200="OK",K200="Return"),1,0))</f>
        <v>1</v>
      </c>
      <c r="M200" s="37" t="n">
        <f aca="false">IF(Raw_Export!$A200="","",B200-WEEKDAY(B200,2)+1)</f>
        <v>46265</v>
      </c>
    </row>
    <row r="201" customFormat="false" ht="15" hidden="false" customHeight="false" outlineLevel="0" collapsed="false">
      <c r="A201" s="36" t="str">
        <f aca="false">IF(Raw_Export!$A201="","",TRIM(Raw_Export!A201))</f>
        <v>TXN-100198</v>
      </c>
      <c r="B201" s="37" t="n">
        <f aca="false">IF(Raw_Export!$A201="","",IF(ISNUMBER(Raw_Export!B201),Raw_Export!B201,IF(MID(TRIM(Raw_Export!B201),5,1)="-",DATE(LEFT(TRIM(Raw_Export!B201),4),MID(TRIM(Raw_Export!B201),6,2),RIGHT(TRIM(Raw_Export!B201),2)),DATE(RIGHT(TRIM(Raw_Export!B201),4),MATCH(MID(TRIM(Raw_Export!B201),4,3),{"Jan","Feb","Mar","Apr","May","Jun","Jul","Aug","Sep","Oct","Nov","Dec"},0),LEFT(TRIM(Raw_Export!B201),2)))))</f>
        <v>46266</v>
      </c>
      <c r="C201" s="36" t="str">
        <f aca="false">IF(Raw_Export!$A201="","",IFERROR(VLOOKUP(LOWER(TRIM(Raw_Export!C201)),Maps!$A$2:$B$20,2,FALSE()),"UNMAPPED"))</f>
        <v>Mombasa</v>
      </c>
      <c r="D201" s="36" t="str">
        <f aca="false">IF(Raw_Export!$A201="","",IFERROR(VLOOKUP(LOWER(TRIM(Raw_Export!D201)),Maps!$G$2:$I$80,2,FALSE()),"UNMAPPED"))</f>
        <v>Toothpaste 100g</v>
      </c>
      <c r="E201" s="36" t="str">
        <f aca="false">IF(Raw_Export!$A201="","",IFERROR(VLOOKUP(LOWER(TRIM(Raw_Export!D201)),Maps!$G$2:$I$80,3,FALSE()),"UNMAPPED"))</f>
        <v>Personal Care</v>
      </c>
      <c r="F201" s="36" t="n">
        <f aca="false">IF(Raw_Export!$A201="","",IFERROR(VALUE(TRIM(Raw_Export!E201)),0))</f>
        <v>2</v>
      </c>
      <c r="G201" s="38" t="n">
        <f aca="false">IF(Raw_Export!$A201="","",IFERROR(VALUE(SUBSTITUTE(SUBSTITUTE(UPPER(TRIM(Raw_Export!F201)),"KES",""),",","")),0))</f>
        <v>195</v>
      </c>
      <c r="H201" s="38" t="n">
        <f aca="false">IF(Raw_Export!$A201="","",F201*G201)</f>
        <v>390</v>
      </c>
      <c r="I201" s="36" t="str">
        <f aca="false">IF(Raw_Export!$A201="","",IFERROR(VLOOKUP(LOWER(TRIM(Raw_Export!H201)),Maps!$D$2:$E$12,2,FALSE()),"Other"))</f>
        <v>M-Pesa</v>
      </c>
      <c r="J201" s="36" t="str">
        <f aca="false">IF(Raw_Export!$A201="","",IF(COUNTIF($A$2:A201,A201)&gt;1,"Duplicate",""))</f>
        <v/>
      </c>
      <c r="K201" s="36" t="str">
        <f aca="false">IF(Raw_Export!$A201="","",IF(J201="Duplicate","Duplicate",IF(OR(C201="UNMAPPED",D201="UNMAPPED"),"Unmapped",IF(F201=0,"Blank qty",IF(F201&lt;0,"Return","OK")))))</f>
        <v>OK</v>
      </c>
      <c r="L201" s="36" t="n">
        <f aca="false">IF(Raw_Export!$A201="","",IF(OR(K201="OK",K201="Return"),1,0))</f>
        <v>1</v>
      </c>
      <c r="M201" s="37" t="n">
        <f aca="false">IF(Raw_Export!$A201="","",B201-WEEKDAY(B201,2)+1)</f>
        <v>46265</v>
      </c>
    </row>
    <row r="202" customFormat="false" ht="15" hidden="false" customHeight="false" outlineLevel="0" collapsed="false">
      <c r="A202" s="36" t="str">
        <f aca="false">IF(Raw_Export!$A202="","",TRIM(Raw_Export!A202))</f>
        <v>TXN-100199</v>
      </c>
      <c r="B202" s="37" t="n">
        <f aca="false">IF(Raw_Export!$A202="","",IF(ISNUMBER(Raw_Export!B202),Raw_Export!B202,IF(MID(TRIM(Raw_Export!B202),5,1)="-",DATE(LEFT(TRIM(Raw_Export!B202),4),MID(TRIM(Raw_Export!B202),6,2),RIGHT(TRIM(Raw_Export!B202),2)),DATE(RIGHT(TRIM(Raw_Export!B202),4),MATCH(MID(TRIM(Raw_Export!B202),4,3),{"Jan","Feb","Mar","Apr","May","Jun","Jul","Aug","Sep","Oct","Nov","Dec"},0),LEFT(TRIM(Raw_Export!B202),2)))))</f>
        <v>46266</v>
      </c>
      <c r="C202" s="36" t="str">
        <f aca="false">IF(Raw_Export!$A202="","",IFERROR(VLOOKUP(LOWER(TRIM(Raw_Export!C202)),Maps!$A$2:$B$20,2,FALSE()),"UNMAPPED"))</f>
        <v>Mombasa</v>
      </c>
      <c r="D202" s="36" t="str">
        <f aca="false">IF(Raw_Export!$A202="","",IFERROR(VLOOKUP(LOWER(TRIM(Raw_Export!D202)),Maps!$G$2:$I$80,2,FALSE()),"UNMAPPED"))</f>
        <v>Soda 500ml</v>
      </c>
      <c r="E202" s="36" t="str">
        <f aca="false">IF(Raw_Export!$A202="","",IFERROR(VLOOKUP(LOWER(TRIM(Raw_Export!D202)),Maps!$G$2:$I$80,3,FALSE()),"UNMAPPED"))</f>
        <v>Beverages</v>
      </c>
      <c r="F202" s="36" t="n">
        <f aca="false">IF(Raw_Export!$A202="","",IFERROR(VALUE(TRIM(Raw_Export!E202)),0))</f>
        <v>1</v>
      </c>
      <c r="G202" s="38" t="n">
        <f aca="false">IF(Raw_Export!$A202="","",IFERROR(VALUE(SUBSTITUTE(SUBSTITUTE(UPPER(TRIM(Raw_Export!F202)),"KES",""),",","")),0))</f>
        <v>60</v>
      </c>
      <c r="H202" s="38" t="n">
        <f aca="false">IF(Raw_Export!$A202="","",F202*G202)</f>
        <v>60</v>
      </c>
      <c r="I202" s="36" t="str">
        <f aca="false">IF(Raw_Export!$A202="","",IFERROR(VLOOKUP(LOWER(TRIM(Raw_Export!H202)),Maps!$D$2:$E$12,2,FALSE()),"Other"))</f>
        <v>Cash</v>
      </c>
      <c r="J202" s="36" t="str">
        <f aca="false">IF(Raw_Export!$A202="","",IF(COUNTIF($A$2:A202,A202)&gt;1,"Duplicate",""))</f>
        <v/>
      </c>
      <c r="K202" s="36" t="str">
        <f aca="false">IF(Raw_Export!$A202="","",IF(J202="Duplicate","Duplicate",IF(OR(C202="UNMAPPED",D202="UNMAPPED"),"Unmapped",IF(F202=0,"Blank qty",IF(F202&lt;0,"Return","OK")))))</f>
        <v>OK</v>
      </c>
      <c r="L202" s="36" t="n">
        <f aca="false">IF(Raw_Export!$A202="","",IF(OR(K202="OK",K202="Return"),1,0))</f>
        <v>1</v>
      </c>
      <c r="M202" s="37" t="n">
        <f aca="false">IF(Raw_Export!$A202="","",B202-WEEKDAY(B202,2)+1)</f>
        <v>46265</v>
      </c>
    </row>
    <row r="203" customFormat="false" ht="15" hidden="false" customHeight="false" outlineLevel="0" collapsed="false">
      <c r="A203" s="36" t="str">
        <f aca="false">IF(Raw_Export!$A203="","",TRIM(Raw_Export!A203))</f>
        <v>TXN-100200</v>
      </c>
      <c r="B203" s="37" t="n">
        <f aca="false">IF(Raw_Export!$A203="","",IF(ISNUMBER(Raw_Export!B203),Raw_Export!B203,IF(MID(TRIM(Raw_Export!B203),5,1)="-",DATE(LEFT(TRIM(Raw_Export!B203),4),MID(TRIM(Raw_Export!B203),6,2),RIGHT(TRIM(Raw_Export!B203),2)),DATE(RIGHT(TRIM(Raw_Export!B203),4),MATCH(MID(TRIM(Raw_Export!B203),4,3),{"Jan","Feb","Mar","Apr","May","Jun","Jul","Aug","Sep","Oct","Nov","Dec"},0),LEFT(TRIM(Raw_Export!B203),2)))))</f>
        <v>46266</v>
      </c>
      <c r="C203" s="36" t="str">
        <f aca="false">IF(Raw_Export!$A203="","",IFERROR(VLOOKUP(LOWER(TRIM(Raw_Export!C203)),Maps!$A$2:$B$20,2,FALSE()),"UNMAPPED"))</f>
        <v>Mombasa</v>
      </c>
      <c r="D203" s="36" t="str">
        <f aca="false">IF(Raw_Export!$A203="","",IFERROR(VLOOKUP(LOWER(TRIM(Raw_Export!D203)),Maps!$G$2:$I$80,2,FALSE()),"UNMAPPED"))</f>
        <v>Coffee 100g</v>
      </c>
      <c r="E203" s="36" t="str">
        <f aca="false">IF(Raw_Export!$A203="","",IFERROR(VLOOKUP(LOWER(TRIM(Raw_Export!D203)),Maps!$G$2:$I$80,3,FALSE()),"UNMAPPED"))</f>
        <v>Beverages</v>
      </c>
      <c r="F203" s="36" t="n">
        <f aca="false">IF(Raw_Export!$A203="","",IFERROR(VALUE(TRIM(Raw_Export!E203)),0))</f>
        <v>1</v>
      </c>
      <c r="G203" s="38" t="n">
        <f aca="false">IF(Raw_Export!$A203="","",IFERROR(VALUE(SUBSTITUTE(SUBSTITUTE(UPPER(TRIM(Raw_Export!F203)),"KES",""),",","")),0))</f>
        <v>360</v>
      </c>
      <c r="H203" s="38" t="n">
        <f aca="false">IF(Raw_Export!$A203="","",F203*G203)</f>
        <v>360</v>
      </c>
      <c r="I203" s="36" t="str">
        <f aca="false">IF(Raw_Export!$A203="","",IFERROR(VLOOKUP(LOWER(TRIM(Raw_Export!H203)),Maps!$D$2:$E$12,2,FALSE()),"Other"))</f>
        <v>Cash</v>
      </c>
      <c r="J203" s="36" t="str">
        <f aca="false">IF(Raw_Export!$A203="","",IF(COUNTIF($A$2:A203,A203)&gt;1,"Duplicate",""))</f>
        <v/>
      </c>
      <c r="K203" s="36" t="str">
        <f aca="false">IF(Raw_Export!$A203="","",IF(J203="Duplicate","Duplicate",IF(OR(C203="UNMAPPED",D203="UNMAPPED"),"Unmapped",IF(F203=0,"Blank qty",IF(F203&lt;0,"Return","OK")))))</f>
        <v>OK</v>
      </c>
      <c r="L203" s="36" t="n">
        <f aca="false">IF(Raw_Export!$A203="","",IF(OR(K203="OK",K203="Return"),1,0))</f>
        <v>1</v>
      </c>
      <c r="M203" s="37" t="n">
        <f aca="false">IF(Raw_Export!$A203="","",B203-WEEKDAY(B203,2)+1)</f>
        <v>46265</v>
      </c>
    </row>
    <row r="204" customFormat="false" ht="15" hidden="false" customHeight="false" outlineLevel="0" collapsed="false">
      <c r="A204" s="36" t="str">
        <f aca="false">IF(Raw_Export!$A204="","",TRIM(Raw_Export!A204))</f>
        <v>TXN-100201</v>
      </c>
      <c r="B204" s="37" t="n">
        <f aca="false">IF(Raw_Export!$A204="","",IF(ISNUMBER(Raw_Export!B204),Raw_Export!B204,IF(MID(TRIM(Raw_Export!B204),5,1)="-",DATE(LEFT(TRIM(Raw_Export!B204),4),MID(TRIM(Raw_Export!B204),6,2),RIGHT(TRIM(Raw_Export!B204),2)),DATE(RIGHT(TRIM(Raw_Export!B204),4),MATCH(MID(TRIM(Raw_Export!B204),4,3),{"Jan","Feb","Mar","Apr","May","Jun","Jul","Aug","Sep","Oct","Nov","Dec"},0),LEFT(TRIM(Raw_Export!B204),2)))))</f>
        <v>46266</v>
      </c>
      <c r="C204" s="36" t="str">
        <f aca="false">IF(Raw_Export!$A204="","",IFERROR(VLOOKUP(LOWER(TRIM(Raw_Export!C204)),Maps!$A$2:$B$20,2,FALSE()),"UNMAPPED"))</f>
        <v>Mombasa</v>
      </c>
      <c r="D204" s="36" t="str">
        <f aca="false">IF(Raw_Export!$A204="","",IFERROR(VLOOKUP(LOWER(TRIM(Raw_Export!D204)),Maps!$G$2:$I$80,2,FALSE()),"UNMAPPED"))</f>
        <v>Yoghurt 500ml</v>
      </c>
      <c r="E204" s="36" t="str">
        <f aca="false">IF(Raw_Export!$A204="","",IFERROR(VLOOKUP(LOWER(TRIM(Raw_Export!D204)),Maps!$G$2:$I$80,3,FALSE()),"UNMAPPED"))</f>
        <v>Dairy &amp; Eggs</v>
      </c>
      <c r="F204" s="36" t="n">
        <f aca="false">IF(Raw_Export!$A204="","",IFERROR(VALUE(TRIM(Raw_Export!E204)),0))</f>
        <v>2</v>
      </c>
      <c r="G204" s="38" t="n">
        <f aca="false">IF(Raw_Export!$A204="","",IFERROR(VALUE(SUBSTITUTE(SUBSTITUTE(UPPER(TRIM(Raw_Export!F204)),"KES",""),",","")),0))</f>
        <v>120</v>
      </c>
      <c r="H204" s="38" t="n">
        <f aca="false">IF(Raw_Export!$A204="","",F204*G204)</f>
        <v>240</v>
      </c>
      <c r="I204" s="36" t="str">
        <f aca="false">IF(Raw_Export!$A204="","",IFERROR(VLOOKUP(LOWER(TRIM(Raw_Export!H204)),Maps!$D$2:$E$12,2,FALSE()),"Other"))</f>
        <v>Cash</v>
      </c>
      <c r="J204" s="36" t="str">
        <f aca="false">IF(Raw_Export!$A204="","",IF(COUNTIF($A$2:A204,A204)&gt;1,"Duplicate",""))</f>
        <v/>
      </c>
      <c r="K204" s="36" t="str">
        <f aca="false">IF(Raw_Export!$A204="","",IF(J204="Duplicate","Duplicate",IF(OR(C204="UNMAPPED",D204="UNMAPPED"),"Unmapped",IF(F204=0,"Blank qty",IF(F204&lt;0,"Return","OK")))))</f>
        <v>OK</v>
      </c>
      <c r="L204" s="36" t="n">
        <f aca="false">IF(Raw_Export!$A204="","",IF(OR(K204="OK",K204="Return"),1,0))</f>
        <v>1</v>
      </c>
      <c r="M204" s="37" t="n">
        <f aca="false">IF(Raw_Export!$A204="","",B204-WEEKDAY(B204,2)+1)</f>
        <v>46265</v>
      </c>
    </row>
    <row r="205" customFormat="false" ht="15" hidden="false" customHeight="false" outlineLevel="0" collapsed="false">
      <c r="A205" s="36" t="str">
        <f aca="false">IF(Raw_Export!$A205="","",TRIM(Raw_Export!A205))</f>
        <v>TXN-100202</v>
      </c>
      <c r="B205" s="37" t="n">
        <f aca="false">IF(Raw_Export!$A205="","",IF(ISNUMBER(Raw_Export!B205),Raw_Export!B205,IF(MID(TRIM(Raw_Export!B205),5,1)="-",DATE(LEFT(TRIM(Raw_Export!B205),4),MID(TRIM(Raw_Export!B205),6,2),RIGHT(TRIM(Raw_Export!B205),2)),DATE(RIGHT(TRIM(Raw_Export!B205),4),MATCH(MID(TRIM(Raw_Export!B205),4,3),{"Jan","Feb","Mar","Apr","May","Jun","Jul","Aug","Sep","Oct","Nov","Dec"},0),LEFT(TRIM(Raw_Export!B205),2)))))</f>
        <v>46266</v>
      </c>
      <c r="C205" s="36" t="str">
        <f aca="false">IF(Raw_Export!$A205="","",IFERROR(VLOOKUP(LOWER(TRIM(Raw_Export!C205)),Maps!$A$2:$B$20,2,FALSE()),"UNMAPPED"))</f>
        <v>Mombasa</v>
      </c>
      <c r="D205" s="36" t="str">
        <f aca="false">IF(Raw_Export!$A205="","",IFERROR(VLOOKUP(LOWER(TRIM(Raw_Export!D205)),Maps!$G$2:$I$80,2,FALSE()),"UNMAPPED"))</f>
        <v>Washing Powder 1kg</v>
      </c>
      <c r="E205" s="36" t="str">
        <f aca="false">IF(Raw_Export!$A205="","",IFERROR(VLOOKUP(LOWER(TRIM(Raw_Export!D205)),Maps!$G$2:$I$80,3,FALSE()),"UNMAPPED"))</f>
        <v>Household</v>
      </c>
      <c r="F205" s="36" t="n">
        <f aca="false">IF(Raw_Export!$A205="","",IFERROR(VALUE(TRIM(Raw_Export!E205)),0))</f>
        <v>1</v>
      </c>
      <c r="G205" s="38" t="n">
        <f aca="false">IF(Raw_Export!$A205="","",IFERROR(VALUE(SUBSTITUTE(SUBSTITUTE(UPPER(TRIM(Raw_Export!F205)),"KES",""),",","")),0))</f>
        <v>280</v>
      </c>
      <c r="H205" s="38" t="n">
        <f aca="false">IF(Raw_Export!$A205="","",F205*G205)</f>
        <v>280</v>
      </c>
      <c r="I205" s="36" t="str">
        <f aca="false">IF(Raw_Export!$A205="","",IFERROR(VLOOKUP(LOWER(TRIM(Raw_Export!H205)),Maps!$D$2:$E$12,2,FALSE()),"Other"))</f>
        <v>M-Pesa</v>
      </c>
      <c r="J205" s="36" t="str">
        <f aca="false">IF(Raw_Export!$A205="","",IF(COUNTIF($A$2:A205,A205)&gt;1,"Duplicate",""))</f>
        <v/>
      </c>
      <c r="K205" s="36" t="str">
        <f aca="false">IF(Raw_Export!$A205="","",IF(J205="Duplicate","Duplicate",IF(OR(C205="UNMAPPED",D205="UNMAPPED"),"Unmapped",IF(F205=0,"Blank qty",IF(F205&lt;0,"Return","OK")))))</f>
        <v>OK</v>
      </c>
      <c r="L205" s="36" t="n">
        <f aca="false">IF(Raw_Export!$A205="","",IF(OR(K205="OK",K205="Return"),1,0))</f>
        <v>1</v>
      </c>
      <c r="M205" s="37" t="n">
        <f aca="false">IF(Raw_Export!$A205="","",B205-WEEKDAY(B205,2)+1)</f>
        <v>46265</v>
      </c>
    </row>
    <row r="206" customFormat="false" ht="15" hidden="false" customHeight="false" outlineLevel="0" collapsed="false">
      <c r="A206" s="36" t="str">
        <f aca="false">IF(Raw_Export!$A206="","",TRIM(Raw_Export!A206))</f>
        <v>TXN-100203</v>
      </c>
      <c r="B206" s="37" t="n">
        <f aca="false">IF(Raw_Export!$A206="","",IF(ISNUMBER(Raw_Export!B206),Raw_Export!B206,IF(MID(TRIM(Raw_Export!B206),5,1)="-",DATE(LEFT(TRIM(Raw_Export!B206),4),MID(TRIM(Raw_Export!B206),6,2),RIGHT(TRIM(Raw_Export!B206),2)),DATE(RIGHT(TRIM(Raw_Export!B206),4),MATCH(MID(TRIM(Raw_Export!B206),4,3),{"Jan","Feb","Mar","Apr","May","Jun","Jul","Aug","Sep","Oct","Nov","Dec"},0),LEFT(TRIM(Raw_Export!B206),2)))))</f>
        <v>46266</v>
      </c>
      <c r="C206" s="36" t="str">
        <f aca="false">IF(Raw_Export!$A206="","",IFERROR(VLOOKUP(LOWER(TRIM(Raw_Export!C206)),Maps!$A$2:$B$20,2,FALSE()),"UNMAPPED"))</f>
        <v>Mombasa</v>
      </c>
      <c r="D206" s="36" t="str">
        <f aca="false">IF(Raw_Export!$A206="","",IFERROR(VLOOKUP(LOWER(TRIM(Raw_Export!D206)),Maps!$G$2:$I$80,2,FALSE()),"UNMAPPED"))</f>
        <v>Toilet Paper 10pk</v>
      </c>
      <c r="E206" s="36" t="str">
        <f aca="false">IF(Raw_Export!$A206="","",IFERROR(VLOOKUP(LOWER(TRIM(Raw_Export!D206)),Maps!$G$2:$I$80,3,FALSE()),"UNMAPPED"))</f>
        <v>Household</v>
      </c>
      <c r="F206" s="36" t="n">
        <f aca="false">IF(Raw_Export!$A206="","",IFERROR(VALUE(TRIM(Raw_Export!E206)),0))</f>
        <v>3</v>
      </c>
      <c r="G206" s="38" t="n">
        <f aca="false">IF(Raw_Export!$A206="","",IFERROR(VALUE(SUBSTITUTE(SUBSTITUTE(UPPER(TRIM(Raw_Export!F206)),"KES",""),",","")),0))</f>
        <v>380</v>
      </c>
      <c r="H206" s="38" t="n">
        <f aca="false">IF(Raw_Export!$A206="","",F206*G206)</f>
        <v>1140</v>
      </c>
      <c r="I206" s="36" t="str">
        <f aca="false">IF(Raw_Export!$A206="","",IFERROR(VLOOKUP(LOWER(TRIM(Raw_Export!H206)),Maps!$D$2:$E$12,2,FALSE()),"Other"))</f>
        <v>M-Pesa</v>
      </c>
      <c r="J206" s="36" t="str">
        <f aca="false">IF(Raw_Export!$A206="","",IF(COUNTIF($A$2:A206,A206)&gt;1,"Duplicate",""))</f>
        <v/>
      </c>
      <c r="K206" s="36" t="str">
        <f aca="false">IF(Raw_Export!$A206="","",IF(J206="Duplicate","Duplicate",IF(OR(C206="UNMAPPED",D206="UNMAPPED"),"Unmapped",IF(F206=0,"Blank qty",IF(F206&lt;0,"Return","OK")))))</f>
        <v>OK</v>
      </c>
      <c r="L206" s="36" t="n">
        <f aca="false">IF(Raw_Export!$A206="","",IF(OR(K206="OK",K206="Return"),1,0))</f>
        <v>1</v>
      </c>
      <c r="M206" s="37" t="n">
        <f aca="false">IF(Raw_Export!$A206="","",B206-WEEKDAY(B206,2)+1)</f>
        <v>46265</v>
      </c>
    </row>
    <row r="207" customFormat="false" ht="15" hidden="false" customHeight="false" outlineLevel="0" collapsed="false">
      <c r="A207" s="36" t="str">
        <f aca="false">IF(Raw_Export!$A207="","",TRIM(Raw_Export!A207))</f>
        <v>TXN-100204</v>
      </c>
      <c r="B207" s="37" t="n">
        <f aca="false">IF(Raw_Export!$A207="","",IF(ISNUMBER(Raw_Export!B207),Raw_Export!B207,IF(MID(TRIM(Raw_Export!B207),5,1)="-",DATE(LEFT(TRIM(Raw_Export!B207),4),MID(TRIM(Raw_Export!B207),6,2),RIGHT(TRIM(Raw_Export!B207),2)),DATE(RIGHT(TRIM(Raw_Export!B207),4),MATCH(MID(TRIM(Raw_Export!B207),4,3),{"Jan","Feb","Mar","Apr","May","Jun","Jul","Aug","Sep","Oct","Nov","Dec"},0),LEFT(TRIM(Raw_Export!B207),2)))))</f>
        <v>46266</v>
      </c>
      <c r="C207" s="36" t="str">
        <f aca="false">IF(Raw_Export!$A207="","",IFERROR(VLOOKUP(LOWER(TRIM(Raw_Export!C207)),Maps!$A$2:$B$20,2,FALSE()),"UNMAPPED"))</f>
        <v>Mombasa</v>
      </c>
      <c r="D207" s="36" t="str">
        <f aca="false">IF(Raw_Export!$A207="","",IFERROR(VLOOKUP(LOWER(TRIM(Raw_Export!D207)),Maps!$G$2:$I$80,2,FALSE()),"UNMAPPED"))</f>
        <v>Soda 500ml</v>
      </c>
      <c r="E207" s="36" t="str">
        <f aca="false">IF(Raw_Export!$A207="","",IFERROR(VLOOKUP(LOWER(TRIM(Raw_Export!D207)),Maps!$G$2:$I$80,3,FALSE()),"UNMAPPED"))</f>
        <v>Beverages</v>
      </c>
      <c r="F207" s="36" t="n">
        <f aca="false">IF(Raw_Export!$A207="","",IFERROR(VALUE(TRIM(Raw_Export!E207)),0))</f>
        <v>6</v>
      </c>
      <c r="G207" s="38" t="n">
        <f aca="false">IF(Raw_Export!$A207="","",IFERROR(VALUE(SUBSTITUTE(SUBSTITUTE(UPPER(TRIM(Raw_Export!F207)),"KES",""),",","")),0))</f>
        <v>60</v>
      </c>
      <c r="H207" s="38" t="n">
        <f aca="false">IF(Raw_Export!$A207="","",F207*G207)</f>
        <v>360</v>
      </c>
      <c r="I207" s="36" t="str">
        <f aca="false">IF(Raw_Export!$A207="","",IFERROR(VLOOKUP(LOWER(TRIM(Raw_Export!H207)),Maps!$D$2:$E$12,2,FALSE()),"Other"))</f>
        <v>Card</v>
      </c>
      <c r="J207" s="36" t="str">
        <f aca="false">IF(Raw_Export!$A207="","",IF(COUNTIF($A$2:A207,A207)&gt;1,"Duplicate",""))</f>
        <v/>
      </c>
      <c r="K207" s="36" t="str">
        <f aca="false">IF(Raw_Export!$A207="","",IF(J207="Duplicate","Duplicate",IF(OR(C207="UNMAPPED",D207="UNMAPPED"),"Unmapped",IF(F207=0,"Blank qty",IF(F207&lt;0,"Return","OK")))))</f>
        <v>OK</v>
      </c>
      <c r="L207" s="36" t="n">
        <f aca="false">IF(Raw_Export!$A207="","",IF(OR(K207="OK",K207="Return"),1,0))</f>
        <v>1</v>
      </c>
      <c r="M207" s="37" t="n">
        <f aca="false">IF(Raw_Export!$A207="","",B207-WEEKDAY(B207,2)+1)</f>
        <v>46265</v>
      </c>
    </row>
    <row r="208" customFormat="false" ht="15" hidden="false" customHeight="false" outlineLevel="0" collapsed="false">
      <c r="A208" s="36" t="str">
        <f aca="false">IF(Raw_Export!$A208="","",TRIM(Raw_Export!A208))</f>
        <v>TXN-100205</v>
      </c>
      <c r="B208" s="37" t="n">
        <f aca="false">IF(Raw_Export!$A208="","",IF(ISNUMBER(Raw_Export!B208),Raw_Export!B208,IF(MID(TRIM(Raw_Export!B208),5,1)="-",DATE(LEFT(TRIM(Raw_Export!B208),4),MID(TRIM(Raw_Export!B208),6,2),RIGHT(TRIM(Raw_Export!B208),2)),DATE(RIGHT(TRIM(Raw_Export!B208),4),MATCH(MID(TRIM(Raw_Export!B208),4,3),{"Jan","Feb","Mar","Apr","May","Jun","Jul","Aug","Sep","Oct","Nov","Dec"},0),LEFT(TRIM(Raw_Export!B208),2)))))</f>
        <v>46266</v>
      </c>
      <c r="C208" s="36" t="str">
        <f aca="false">IF(Raw_Export!$A208="","",IFERROR(VLOOKUP(LOWER(TRIM(Raw_Export!C208)),Maps!$A$2:$B$20,2,FALSE()),"UNMAPPED"))</f>
        <v>Mombasa</v>
      </c>
      <c r="D208" s="36" t="str">
        <f aca="false">IF(Raw_Export!$A208="","",IFERROR(VLOOKUP(LOWER(TRIM(Raw_Export!D208)),Maps!$G$2:$I$80,2,FALSE()),"UNMAPPED"))</f>
        <v>Matches 10pk</v>
      </c>
      <c r="E208" s="36" t="str">
        <f aca="false">IF(Raw_Export!$A208="","",IFERROR(VLOOKUP(LOWER(TRIM(Raw_Export!D208)),Maps!$G$2:$I$80,3,FALSE()),"UNMAPPED"))</f>
        <v>Household</v>
      </c>
      <c r="F208" s="36" t="n">
        <f aca="false">IF(Raw_Export!$A208="","",IFERROR(VALUE(TRIM(Raw_Export!E208)),0))</f>
        <v>1</v>
      </c>
      <c r="G208" s="38" t="n">
        <f aca="false">IF(Raw_Export!$A208="","",IFERROR(VALUE(SUBSTITUTE(SUBSTITUTE(UPPER(TRIM(Raw_Export!F208)),"KES",""),",","")),0))</f>
        <v>50</v>
      </c>
      <c r="H208" s="38" t="n">
        <f aca="false">IF(Raw_Export!$A208="","",F208*G208)</f>
        <v>50</v>
      </c>
      <c r="I208" s="36" t="str">
        <f aca="false">IF(Raw_Export!$A208="","",IFERROR(VLOOKUP(LOWER(TRIM(Raw_Export!H208)),Maps!$D$2:$E$12,2,FALSE()),"Other"))</f>
        <v>Cash</v>
      </c>
      <c r="J208" s="36" t="str">
        <f aca="false">IF(Raw_Export!$A208="","",IF(COUNTIF($A$2:A208,A208)&gt;1,"Duplicate",""))</f>
        <v/>
      </c>
      <c r="K208" s="36" t="str">
        <f aca="false">IF(Raw_Export!$A208="","",IF(J208="Duplicate","Duplicate",IF(OR(C208="UNMAPPED",D208="UNMAPPED"),"Unmapped",IF(F208=0,"Blank qty",IF(F208&lt;0,"Return","OK")))))</f>
        <v>OK</v>
      </c>
      <c r="L208" s="36" t="n">
        <f aca="false">IF(Raw_Export!$A208="","",IF(OR(K208="OK",K208="Return"),1,0))</f>
        <v>1</v>
      </c>
      <c r="M208" s="37" t="n">
        <f aca="false">IF(Raw_Export!$A208="","",B208-WEEKDAY(B208,2)+1)</f>
        <v>46265</v>
      </c>
    </row>
    <row r="209" customFormat="false" ht="15" hidden="false" customHeight="false" outlineLevel="0" collapsed="false">
      <c r="A209" s="36" t="str">
        <f aca="false">IF(Raw_Export!$A209="","",TRIM(Raw_Export!A209))</f>
        <v>TXN-100206</v>
      </c>
      <c r="B209" s="37" t="n">
        <f aca="false">IF(Raw_Export!$A209="","",IF(ISNUMBER(Raw_Export!B209),Raw_Export!B209,IF(MID(TRIM(Raw_Export!B209),5,1)="-",DATE(LEFT(TRIM(Raw_Export!B209),4),MID(TRIM(Raw_Export!B209),6,2),RIGHT(TRIM(Raw_Export!B209),2)),DATE(RIGHT(TRIM(Raw_Export!B209),4),MATCH(MID(TRIM(Raw_Export!B209),4,3),{"Jan","Feb","Mar","Apr","May","Jun","Jul","Aug","Sep","Oct","Nov","Dec"},0),LEFT(TRIM(Raw_Export!B209),2)))))</f>
        <v>46266</v>
      </c>
      <c r="C209" s="36" t="str">
        <f aca="false">IF(Raw_Export!$A209="","",IFERROR(VLOOKUP(LOWER(TRIM(Raw_Export!C209)),Maps!$A$2:$B$20,2,FALSE()),"UNMAPPED"))</f>
        <v>Mombasa</v>
      </c>
      <c r="D209" s="36" t="str">
        <f aca="false">IF(Raw_Export!$A209="","",IFERROR(VLOOKUP(LOWER(TRIM(Raw_Export!D209)),Maps!$G$2:$I$80,2,FALSE()),"UNMAPPED"))</f>
        <v>Cooking Oil 1L</v>
      </c>
      <c r="E209" s="36" t="str">
        <f aca="false">IF(Raw_Export!$A209="","",IFERROR(VLOOKUP(LOWER(TRIM(Raw_Export!D209)),Maps!$G$2:$I$80,3,FALSE()),"UNMAPPED"))</f>
        <v>Staples</v>
      </c>
      <c r="F209" s="36" t="n">
        <f aca="false">IF(Raw_Export!$A209="","",IFERROR(VALUE(TRIM(Raw_Export!E209)),0))</f>
        <v>6</v>
      </c>
      <c r="G209" s="38" t="n">
        <f aca="false">IF(Raw_Export!$A209="","",IFERROR(VALUE(SUBSTITUTE(SUBSTITUTE(UPPER(TRIM(Raw_Export!F209)),"KES",""),",","")),0))</f>
        <v>330</v>
      </c>
      <c r="H209" s="38" t="n">
        <f aca="false">IF(Raw_Export!$A209="","",F209*G209)</f>
        <v>1980</v>
      </c>
      <c r="I209" s="36" t="str">
        <f aca="false">IF(Raw_Export!$A209="","",IFERROR(VLOOKUP(LOWER(TRIM(Raw_Export!H209)),Maps!$D$2:$E$12,2,FALSE()),"Other"))</f>
        <v>Cash</v>
      </c>
      <c r="J209" s="36" t="str">
        <f aca="false">IF(Raw_Export!$A209="","",IF(COUNTIF($A$2:A209,A209)&gt;1,"Duplicate",""))</f>
        <v/>
      </c>
      <c r="K209" s="36" t="str">
        <f aca="false">IF(Raw_Export!$A209="","",IF(J209="Duplicate","Duplicate",IF(OR(C209="UNMAPPED",D209="UNMAPPED"),"Unmapped",IF(F209=0,"Blank qty",IF(F209&lt;0,"Return","OK")))))</f>
        <v>OK</v>
      </c>
      <c r="L209" s="36" t="n">
        <f aca="false">IF(Raw_Export!$A209="","",IF(OR(K209="OK",K209="Return"),1,0))</f>
        <v>1</v>
      </c>
      <c r="M209" s="37" t="n">
        <f aca="false">IF(Raw_Export!$A209="","",B209-WEEKDAY(B209,2)+1)</f>
        <v>46265</v>
      </c>
    </row>
    <row r="210" customFormat="false" ht="15" hidden="false" customHeight="false" outlineLevel="0" collapsed="false">
      <c r="A210" s="36" t="str">
        <f aca="false">IF(Raw_Export!$A210="","",TRIM(Raw_Export!A210))</f>
        <v>TXN-100207</v>
      </c>
      <c r="B210" s="37" t="n">
        <f aca="false">IF(Raw_Export!$A210="","",IF(ISNUMBER(Raw_Export!B210),Raw_Export!B210,IF(MID(TRIM(Raw_Export!B210),5,1)="-",DATE(LEFT(TRIM(Raw_Export!B210),4),MID(TRIM(Raw_Export!B210),6,2),RIGHT(TRIM(Raw_Export!B210),2)),DATE(RIGHT(TRIM(Raw_Export!B210),4),MATCH(MID(TRIM(Raw_Export!B210),4,3),{"Jan","Feb","Mar","Apr","May","Jun","Jul","Aug","Sep","Oct","Nov","Dec"},0),LEFT(TRIM(Raw_Export!B210),2)))))</f>
        <v>46266</v>
      </c>
      <c r="C210" s="36" t="str">
        <f aca="false">IF(Raw_Export!$A210="","",IFERROR(VLOOKUP(LOWER(TRIM(Raw_Export!C210)),Maps!$A$2:$B$20,2,FALSE()),"UNMAPPED"))</f>
        <v>Mombasa</v>
      </c>
      <c r="D210" s="36" t="str">
        <f aca="false">IF(Raw_Export!$A210="","",IFERROR(VLOOKUP(LOWER(TRIM(Raw_Export!D210)),Maps!$G$2:$I$80,2,FALSE()),"UNMAPPED"))</f>
        <v>Bread Loaf 400g</v>
      </c>
      <c r="E210" s="36" t="str">
        <f aca="false">IF(Raw_Export!$A210="","",IFERROR(VLOOKUP(LOWER(TRIM(Raw_Export!D210)),Maps!$G$2:$I$80,3,FALSE()),"UNMAPPED"))</f>
        <v>Snacks</v>
      </c>
      <c r="F210" s="36" t="n">
        <f aca="false">IF(Raw_Export!$A210="","",IFERROR(VALUE(TRIM(Raw_Export!E210)),0))</f>
        <v>1</v>
      </c>
      <c r="G210" s="38" t="n">
        <f aca="false">IF(Raw_Export!$A210="","",IFERROR(VALUE(SUBSTITUTE(SUBSTITUTE(UPPER(TRIM(Raw_Export!F210)),"KES",""),",","")),0))</f>
        <v>65</v>
      </c>
      <c r="H210" s="38" t="n">
        <f aca="false">IF(Raw_Export!$A210="","",F210*G210)</f>
        <v>65</v>
      </c>
      <c r="I210" s="36" t="str">
        <f aca="false">IF(Raw_Export!$A210="","",IFERROR(VLOOKUP(LOWER(TRIM(Raw_Export!H210)),Maps!$D$2:$E$12,2,FALSE()),"Other"))</f>
        <v>Cash</v>
      </c>
      <c r="J210" s="36" t="str">
        <f aca="false">IF(Raw_Export!$A210="","",IF(COUNTIF($A$2:A210,A210)&gt;1,"Duplicate",""))</f>
        <v/>
      </c>
      <c r="K210" s="36" t="str">
        <f aca="false">IF(Raw_Export!$A210="","",IF(J210="Duplicate","Duplicate",IF(OR(C210="UNMAPPED",D210="UNMAPPED"),"Unmapped",IF(F210=0,"Blank qty",IF(F210&lt;0,"Return","OK")))))</f>
        <v>OK</v>
      </c>
      <c r="L210" s="36" t="n">
        <f aca="false">IF(Raw_Export!$A210="","",IF(OR(K210="OK",K210="Return"),1,0))</f>
        <v>1</v>
      </c>
      <c r="M210" s="37" t="n">
        <f aca="false">IF(Raw_Export!$A210="","",B210-WEEKDAY(B210,2)+1)</f>
        <v>46265</v>
      </c>
    </row>
    <row r="211" customFormat="false" ht="15" hidden="false" customHeight="false" outlineLevel="0" collapsed="false">
      <c r="A211" s="36" t="str">
        <f aca="false">IF(Raw_Export!$A211="","",TRIM(Raw_Export!A211))</f>
        <v>TXN-100208</v>
      </c>
      <c r="B211" s="37" t="n">
        <f aca="false">IF(Raw_Export!$A211="","",IF(ISNUMBER(Raw_Export!B211),Raw_Export!B211,IF(MID(TRIM(Raw_Export!B211),5,1)="-",DATE(LEFT(TRIM(Raw_Export!B211),4),MID(TRIM(Raw_Export!B211),6,2),RIGHT(TRIM(Raw_Export!B211),2)),DATE(RIGHT(TRIM(Raw_Export!B211),4),MATCH(MID(TRIM(Raw_Export!B211),4,3),{"Jan","Feb","Mar","Apr","May","Jun","Jul","Aug","Sep","Oct","Nov","Dec"},0),LEFT(TRIM(Raw_Export!B211),2)))))</f>
        <v>46266</v>
      </c>
      <c r="C211" s="36" t="str">
        <f aca="false">IF(Raw_Export!$A211="","",IFERROR(VLOOKUP(LOWER(TRIM(Raw_Export!C211)),Maps!$A$2:$B$20,2,FALSE()),"UNMAPPED"))</f>
        <v>Mombasa</v>
      </c>
      <c r="D211" s="36" t="str">
        <f aca="false">IF(Raw_Export!$A211="","",IFERROR(VLOOKUP(LOWER(TRIM(Raw_Export!D211)),Maps!$G$2:$I$80,2,FALSE()),"UNMAPPED"))</f>
        <v>Soda 500ml</v>
      </c>
      <c r="E211" s="36" t="str">
        <f aca="false">IF(Raw_Export!$A211="","",IFERROR(VLOOKUP(LOWER(TRIM(Raw_Export!D211)),Maps!$G$2:$I$80,3,FALSE()),"UNMAPPED"))</f>
        <v>Beverages</v>
      </c>
      <c r="F211" s="36" t="n">
        <f aca="false">IF(Raw_Export!$A211="","",IFERROR(VALUE(TRIM(Raw_Export!E211)),0))</f>
        <v>6</v>
      </c>
      <c r="G211" s="38" t="n">
        <f aca="false">IF(Raw_Export!$A211="","",IFERROR(VALUE(SUBSTITUTE(SUBSTITUTE(UPPER(TRIM(Raw_Export!F211)),"KES",""),",","")),0))</f>
        <v>60</v>
      </c>
      <c r="H211" s="38" t="n">
        <f aca="false">IF(Raw_Export!$A211="","",F211*G211)</f>
        <v>360</v>
      </c>
      <c r="I211" s="36" t="str">
        <f aca="false">IF(Raw_Export!$A211="","",IFERROR(VLOOKUP(LOWER(TRIM(Raw_Export!H211)),Maps!$D$2:$E$12,2,FALSE()),"Other"))</f>
        <v>Cash</v>
      </c>
      <c r="J211" s="36" t="str">
        <f aca="false">IF(Raw_Export!$A211="","",IF(COUNTIF($A$2:A211,A211)&gt;1,"Duplicate",""))</f>
        <v/>
      </c>
      <c r="K211" s="36" t="str">
        <f aca="false">IF(Raw_Export!$A211="","",IF(J211="Duplicate","Duplicate",IF(OR(C211="UNMAPPED",D211="UNMAPPED"),"Unmapped",IF(F211=0,"Blank qty",IF(F211&lt;0,"Return","OK")))))</f>
        <v>OK</v>
      </c>
      <c r="L211" s="36" t="n">
        <f aca="false">IF(Raw_Export!$A211="","",IF(OR(K211="OK",K211="Return"),1,0))</f>
        <v>1</v>
      </c>
      <c r="M211" s="37" t="n">
        <f aca="false">IF(Raw_Export!$A211="","",B211-WEEKDAY(B211,2)+1)</f>
        <v>46265</v>
      </c>
    </row>
    <row r="212" customFormat="false" ht="15" hidden="false" customHeight="false" outlineLevel="0" collapsed="false">
      <c r="A212" s="36" t="str">
        <f aca="false">IF(Raw_Export!$A212="","",TRIM(Raw_Export!A212))</f>
        <v>TXN-100710</v>
      </c>
      <c r="B212" s="37" t="n">
        <f aca="false">IF(Raw_Export!$A212="","",IF(ISNUMBER(Raw_Export!B212),Raw_Export!B212,IF(MID(TRIM(Raw_Export!B212),5,1)="-",DATE(LEFT(TRIM(Raw_Export!B212),4),MID(TRIM(Raw_Export!B212),6,2),RIGHT(TRIM(Raw_Export!B212),2)),DATE(RIGHT(TRIM(Raw_Export!B212),4),MATCH(MID(TRIM(Raw_Export!B212),4,3),{"Jan","Feb","Mar","Apr","May","Jun","Jul","Aug","Sep","Oct","Nov","Dec"},0),LEFT(TRIM(Raw_Export!B212),2)))))</f>
        <v>46270</v>
      </c>
      <c r="C212" s="36" t="str">
        <f aca="false">IF(Raw_Export!$A212="","",IFERROR(VLOOKUP(LOWER(TRIM(Raw_Export!C212)),Maps!$A$2:$B$20,2,FALSE()),"UNMAPPED"))</f>
        <v>Nairobi CBD</v>
      </c>
      <c r="D212" s="36" t="str">
        <f aca="false">IF(Raw_Export!$A212="","",IFERROR(VLOOKUP(LOWER(TRIM(Raw_Export!D212)),Maps!$G$2:$I$80,2,FALSE()),"UNMAPPED"))</f>
        <v>Washing Powder 1kg</v>
      </c>
      <c r="E212" s="36" t="str">
        <f aca="false">IF(Raw_Export!$A212="","",IFERROR(VLOOKUP(LOWER(TRIM(Raw_Export!D212)),Maps!$G$2:$I$80,3,FALSE()),"UNMAPPED"))</f>
        <v>Household</v>
      </c>
      <c r="F212" s="36" t="n">
        <f aca="false">IF(Raw_Export!$A212="","",IFERROR(VALUE(TRIM(Raw_Export!E212)),0))</f>
        <v>1</v>
      </c>
      <c r="G212" s="38" t="n">
        <f aca="false">IF(Raw_Export!$A212="","",IFERROR(VALUE(SUBSTITUTE(SUBSTITUTE(UPPER(TRIM(Raw_Export!F212)),"KES",""),",","")),0))</f>
        <v>280</v>
      </c>
      <c r="H212" s="38" t="n">
        <f aca="false">IF(Raw_Export!$A212="","",F212*G212)</f>
        <v>280</v>
      </c>
      <c r="I212" s="36" t="str">
        <f aca="false">IF(Raw_Export!$A212="","",IFERROR(VLOOKUP(LOWER(TRIM(Raw_Export!H212)),Maps!$D$2:$E$12,2,FALSE()),"Other"))</f>
        <v>Cash</v>
      </c>
      <c r="J212" s="36" t="str">
        <f aca="false">IF(Raw_Export!$A212="","",IF(COUNTIF($A$2:A212,A212)&gt;1,"Duplicate",""))</f>
        <v/>
      </c>
      <c r="K212" s="36" t="str">
        <f aca="false">IF(Raw_Export!$A212="","",IF(J212="Duplicate","Duplicate",IF(OR(C212="UNMAPPED",D212="UNMAPPED"),"Unmapped",IF(F212=0,"Blank qty",IF(F212&lt;0,"Return","OK")))))</f>
        <v>OK</v>
      </c>
      <c r="L212" s="36" t="n">
        <f aca="false">IF(Raw_Export!$A212="","",IF(OR(K212="OK",K212="Return"),1,0))</f>
        <v>1</v>
      </c>
      <c r="M212" s="37" t="n">
        <f aca="false">IF(Raw_Export!$A212="","",B212-WEEKDAY(B212,2)+1)</f>
        <v>46265</v>
      </c>
    </row>
    <row r="213" customFormat="false" ht="15" hidden="false" customHeight="false" outlineLevel="0" collapsed="false">
      <c r="A213" s="36" t="str">
        <f aca="false">IF(Raw_Export!$A213="","",TRIM(Raw_Export!A213))</f>
        <v>TXN-100209</v>
      </c>
      <c r="B213" s="37" t="n">
        <f aca="false">IF(Raw_Export!$A213="","",IF(ISNUMBER(Raw_Export!B213),Raw_Export!B213,IF(MID(TRIM(Raw_Export!B213),5,1)="-",DATE(LEFT(TRIM(Raw_Export!B213),4),MID(TRIM(Raw_Export!B213),6,2),RIGHT(TRIM(Raw_Export!B213),2)),DATE(RIGHT(TRIM(Raw_Export!B213),4),MATCH(MID(TRIM(Raw_Export!B213),4,3),{"Jan","Feb","Mar","Apr","May","Jun","Jul","Aug","Sep","Oct","Nov","Dec"},0),LEFT(TRIM(Raw_Export!B213),2)))))</f>
        <v>46266</v>
      </c>
      <c r="C213" s="36" t="str">
        <f aca="false">IF(Raw_Export!$A213="","",IFERROR(VLOOKUP(LOWER(TRIM(Raw_Export!C213)),Maps!$A$2:$B$20,2,FALSE()),"UNMAPPED"))</f>
        <v>Mombasa</v>
      </c>
      <c r="D213" s="36" t="str">
        <f aca="false">IF(Raw_Export!$A213="","",IFERROR(VLOOKUP(LOWER(TRIM(Raw_Export!D213)),Maps!$G$2:$I$80,2,FALSE()),"UNMAPPED"))</f>
        <v>Yoghurt 500ml</v>
      </c>
      <c r="E213" s="36" t="str">
        <f aca="false">IF(Raw_Export!$A213="","",IFERROR(VLOOKUP(LOWER(TRIM(Raw_Export!D213)),Maps!$G$2:$I$80,3,FALSE()),"UNMAPPED"))</f>
        <v>Dairy &amp; Eggs</v>
      </c>
      <c r="F213" s="36" t="n">
        <f aca="false">IF(Raw_Export!$A213="","",IFERROR(VALUE(TRIM(Raw_Export!E213)),0))</f>
        <v>6</v>
      </c>
      <c r="G213" s="38" t="n">
        <f aca="false">IF(Raw_Export!$A213="","",IFERROR(VALUE(SUBSTITUTE(SUBSTITUTE(UPPER(TRIM(Raw_Export!F213)),"KES",""),",","")),0))</f>
        <v>120</v>
      </c>
      <c r="H213" s="38" t="n">
        <f aca="false">IF(Raw_Export!$A213="","",F213*G213)</f>
        <v>720</v>
      </c>
      <c r="I213" s="36" t="str">
        <f aca="false">IF(Raw_Export!$A213="","",IFERROR(VLOOKUP(LOWER(TRIM(Raw_Export!H213)),Maps!$D$2:$E$12,2,FALSE()),"Other"))</f>
        <v>Cash</v>
      </c>
      <c r="J213" s="36" t="str">
        <f aca="false">IF(Raw_Export!$A213="","",IF(COUNTIF($A$2:A213,A213)&gt;1,"Duplicate",""))</f>
        <v/>
      </c>
      <c r="K213" s="36" t="str">
        <f aca="false">IF(Raw_Export!$A213="","",IF(J213="Duplicate","Duplicate",IF(OR(C213="UNMAPPED",D213="UNMAPPED"),"Unmapped",IF(F213=0,"Blank qty",IF(F213&lt;0,"Return","OK")))))</f>
        <v>OK</v>
      </c>
      <c r="L213" s="36" t="n">
        <f aca="false">IF(Raw_Export!$A213="","",IF(OR(K213="OK",K213="Return"),1,0))</f>
        <v>1</v>
      </c>
      <c r="M213" s="37" t="n">
        <f aca="false">IF(Raw_Export!$A213="","",B213-WEEKDAY(B213,2)+1)</f>
        <v>46265</v>
      </c>
    </row>
    <row r="214" customFormat="false" ht="15" hidden="false" customHeight="false" outlineLevel="0" collapsed="false">
      <c r="A214" s="36" t="str">
        <f aca="false">IF(Raw_Export!$A214="","",TRIM(Raw_Export!A214))</f>
        <v>TXN-100210</v>
      </c>
      <c r="B214" s="37" t="n">
        <f aca="false">IF(Raw_Export!$A214="","",IF(ISNUMBER(Raw_Export!B214),Raw_Export!B214,IF(MID(TRIM(Raw_Export!B214),5,1)="-",DATE(LEFT(TRIM(Raw_Export!B214),4),MID(TRIM(Raw_Export!B214),6,2),RIGHT(TRIM(Raw_Export!B214),2)),DATE(RIGHT(TRIM(Raw_Export!B214),4),MATCH(MID(TRIM(Raw_Export!B214),4,3),{"Jan","Feb","Mar","Apr","May","Jun","Jul","Aug","Sep","Oct","Nov","Dec"},0),LEFT(TRIM(Raw_Export!B214),2)))))</f>
        <v>46266</v>
      </c>
      <c r="C214" s="36" t="str">
        <f aca="false">IF(Raw_Export!$A214="","",IFERROR(VLOOKUP(LOWER(TRIM(Raw_Export!C214)),Maps!$A$2:$B$20,2,FALSE()),"UNMAPPED"))</f>
        <v>Mombasa</v>
      </c>
      <c r="D214" s="36" t="str">
        <f aca="false">IF(Raw_Export!$A214="","",IFERROR(VLOOKUP(LOWER(TRIM(Raw_Export!D214)),Maps!$G$2:$I$80,2,FALSE()),"UNMAPPED"))</f>
        <v>Fresh Milk 500ml</v>
      </c>
      <c r="E214" s="36" t="str">
        <f aca="false">IF(Raw_Export!$A214="","",IFERROR(VLOOKUP(LOWER(TRIM(Raw_Export!D214)),Maps!$G$2:$I$80,3,FALSE()),"UNMAPPED"))</f>
        <v>Dairy &amp; Eggs</v>
      </c>
      <c r="F214" s="36" t="n">
        <f aca="false">IF(Raw_Export!$A214="","",IFERROR(VALUE(TRIM(Raw_Export!E214)),0))</f>
        <v>3</v>
      </c>
      <c r="G214" s="38" t="n">
        <f aca="false">IF(Raw_Export!$A214="","",IFERROR(VALUE(SUBSTITUTE(SUBSTITUTE(UPPER(TRIM(Raw_Export!F214)),"KES",""),",","")),0))</f>
        <v>65</v>
      </c>
      <c r="H214" s="38" t="n">
        <f aca="false">IF(Raw_Export!$A214="","",F214*G214)</f>
        <v>195</v>
      </c>
      <c r="I214" s="36" t="str">
        <f aca="false">IF(Raw_Export!$A214="","",IFERROR(VLOOKUP(LOWER(TRIM(Raw_Export!H214)),Maps!$D$2:$E$12,2,FALSE()),"Other"))</f>
        <v>Card</v>
      </c>
      <c r="J214" s="36" t="str">
        <f aca="false">IF(Raw_Export!$A214="","",IF(COUNTIF($A$2:A214,A214)&gt;1,"Duplicate",""))</f>
        <v/>
      </c>
      <c r="K214" s="36" t="str">
        <f aca="false">IF(Raw_Export!$A214="","",IF(J214="Duplicate","Duplicate",IF(OR(C214="UNMAPPED",D214="UNMAPPED"),"Unmapped",IF(F214=0,"Blank qty",IF(F214&lt;0,"Return","OK")))))</f>
        <v>OK</v>
      </c>
      <c r="L214" s="36" t="n">
        <f aca="false">IF(Raw_Export!$A214="","",IF(OR(K214="OK",K214="Return"),1,0))</f>
        <v>1</v>
      </c>
      <c r="M214" s="37" t="n">
        <f aca="false">IF(Raw_Export!$A214="","",B214-WEEKDAY(B214,2)+1)</f>
        <v>46265</v>
      </c>
    </row>
    <row r="215" customFormat="false" ht="15" hidden="false" customHeight="false" outlineLevel="0" collapsed="false">
      <c r="A215" s="36" t="str">
        <f aca="false">IF(Raw_Export!$A215="","",TRIM(Raw_Export!A215))</f>
        <v>TXN-100211</v>
      </c>
      <c r="B215" s="37" t="n">
        <f aca="false">IF(Raw_Export!$A215="","",IF(ISNUMBER(Raw_Export!B215),Raw_Export!B215,IF(MID(TRIM(Raw_Export!B215),5,1)="-",DATE(LEFT(TRIM(Raw_Export!B215),4),MID(TRIM(Raw_Export!B215),6,2),RIGHT(TRIM(Raw_Export!B215),2)),DATE(RIGHT(TRIM(Raw_Export!B215),4),MATCH(MID(TRIM(Raw_Export!B215),4,3),{"Jan","Feb","Mar","Apr","May","Jun","Jul","Aug","Sep","Oct","Nov","Dec"},0),LEFT(TRIM(Raw_Export!B215),2)))))</f>
        <v>46266</v>
      </c>
      <c r="C215" s="36" t="str">
        <f aca="false">IF(Raw_Export!$A215="","",IFERROR(VLOOKUP(LOWER(TRIM(Raw_Export!C215)),Maps!$A$2:$B$20,2,FALSE()),"UNMAPPED"))</f>
        <v>Mombasa</v>
      </c>
      <c r="D215" s="36" t="str">
        <f aca="false">IF(Raw_Export!$A215="","",IFERROR(VLOOKUP(LOWER(TRIM(Raw_Export!D215)),Maps!$G$2:$I$80,2,FALSE()),"UNMAPPED"))</f>
        <v>Unga Pembe 2kg</v>
      </c>
      <c r="E215" s="36" t="str">
        <f aca="false">IF(Raw_Export!$A215="","",IFERROR(VLOOKUP(LOWER(TRIM(Raw_Export!D215)),Maps!$G$2:$I$80,3,FALSE()),"UNMAPPED"))</f>
        <v>Staples</v>
      </c>
      <c r="F215" s="36" t="n">
        <f aca="false">IF(Raw_Export!$A215="","",IFERROR(VALUE(TRIM(Raw_Export!E215)),0))</f>
        <v>4</v>
      </c>
      <c r="G215" s="38" t="n">
        <f aca="false">IF(Raw_Export!$A215="","",IFERROR(VALUE(SUBSTITUTE(SUBSTITUTE(UPPER(TRIM(Raw_Export!F215)),"KES",""),",","")),0))</f>
        <v>190</v>
      </c>
      <c r="H215" s="38" t="n">
        <f aca="false">IF(Raw_Export!$A215="","",F215*G215)</f>
        <v>760</v>
      </c>
      <c r="I215" s="36" t="str">
        <f aca="false">IF(Raw_Export!$A215="","",IFERROR(VLOOKUP(LOWER(TRIM(Raw_Export!H215)),Maps!$D$2:$E$12,2,FALSE()),"Other"))</f>
        <v>Cash</v>
      </c>
      <c r="J215" s="36" t="str">
        <f aca="false">IF(Raw_Export!$A215="","",IF(COUNTIF($A$2:A215,A215)&gt;1,"Duplicate",""))</f>
        <v/>
      </c>
      <c r="K215" s="36" t="str">
        <f aca="false">IF(Raw_Export!$A215="","",IF(J215="Duplicate","Duplicate",IF(OR(C215="UNMAPPED",D215="UNMAPPED"),"Unmapped",IF(F215=0,"Blank qty",IF(F215&lt;0,"Return","OK")))))</f>
        <v>OK</v>
      </c>
      <c r="L215" s="36" t="n">
        <f aca="false">IF(Raw_Export!$A215="","",IF(OR(K215="OK",K215="Return"),1,0))</f>
        <v>1</v>
      </c>
      <c r="M215" s="37" t="n">
        <f aca="false">IF(Raw_Export!$A215="","",B215-WEEKDAY(B215,2)+1)</f>
        <v>46265</v>
      </c>
    </row>
    <row r="216" customFormat="false" ht="15" hidden="false" customHeight="false" outlineLevel="0" collapsed="false">
      <c r="A216" s="36" t="str">
        <f aca="false">IF(Raw_Export!$A216="","",TRIM(Raw_Export!A216))</f>
        <v>TXN-100212</v>
      </c>
      <c r="B216" s="37" t="n">
        <f aca="false">IF(Raw_Export!$A216="","",IF(ISNUMBER(Raw_Export!B216),Raw_Export!B216,IF(MID(TRIM(Raw_Export!B216),5,1)="-",DATE(LEFT(TRIM(Raw_Export!B216),4),MID(TRIM(Raw_Export!B216),6,2),RIGHT(TRIM(Raw_Export!B216),2)),DATE(RIGHT(TRIM(Raw_Export!B216),4),MATCH(MID(TRIM(Raw_Export!B216),4,3),{"Jan","Feb","Mar","Apr","May","Jun","Jul","Aug","Sep","Oct","Nov","Dec"},0),LEFT(TRIM(Raw_Export!B216),2)))))</f>
        <v>46266</v>
      </c>
      <c r="C216" s="36" t="str">
        <f aca="false">IF(Raw_Export!$A216="","",IFERROR(VLOOKUP(LOWER(TRIM(Raw_Export!C216)),Maps!$A$2:$B$20,2,FALSE()),"UNMAPPED"))</f>
        <v>Kisumu</v>
      </c>
      <c r="D216" s="36" t="str">
        <f aca="false">IF(Raw_Export!$A216="","",IFERROR(VLOOKUP(LOWER(TRIM(Raw_Export!D216)),Maps!$G$2:$I$80,2,FALSE()),"UNMAPPED"))</f>
        <v>Sugar 2kg</v>
      </c>
      <c r="E216" s="36" t="str">
        <f aca="false">IF(Raw_Export!$A216="","",IFERROR(VLOOKUP(LOWER(TRIM(Raw_Export!D216)),Maps!$G$2:$I$80,3,FALSE()),"UNMAPPED"))</f>
        <v>Staples</v>
      </c>
      <c r="F216" s="36" t="n">
        <f aca="false">IF(Raw_Export!$A216="","",IFERROR(VALUE(TRIM(Raw_Export!E216)),0))</f>
        <v>6</v>
      </c>
      <c r="G216" s="38" t="n">
        <f aca="false">IF(Raw_Export!$A216="","",IFERROR(VALUE(SUBSTITUTE(SUBSTITUTE(UPPER(TRIM(Raw_Export!F216)),"KES",""),",","")),0))</f>
        <v>330</v>
      </c>
      <c r="H216" s="38" t="n">
        <f aca="false">IF(Raw_Export!$A216="","",F216*G216)</f>
        <v>1980</v>
      </c>
      <c r="I216" s="36" t="str">
        <f aca="false">IF(Raw_Export!$A216="","",IFERROR(VLOOKUP(LOWER(TRIM(Raw_Export!H216)),Maps!$D$2:$E$12,2,FALSE()),"Other"))</f>
        <v>M-Pesa</v>
      </c>
      <c r="J216" s="36" t="str">
        <f aca="false">IF(Raw_Export!$A216="","",IF(COUNTIF($A$2:A216,A216)&gt;1,"Duplicate",""))</f>
        <v/>
      </c>
      <c r="K216" s="36" t="str">
        <f aca="false">IF(Raw_Export!$A216="","",IF(J216="Duplicate","Duplicate",IF(OR(C216="UNMAPPED",D216="UNMAPPED"),"Unmapped",IF(F216=0,"Blank qty",IF(F216&lt;0,"Return","OK")))))</f>
        <v>OK</v>
      </c>
      <c r="L216" s="36" t="n">
        <f aca="false">IF(Raw_Export!$A216="","",IF(OR(K216="OK",K216="Return"),1,0))</f>
        <v>1</v>
      </c>
      <c r="M216" s="37" t="n">
        <f aca="false">IF(Raw_Export!$A216="","",B216-WEEKDAY(B216,2)+1)</f>
        <v>46265</v>
      </c>
    </row>
    <row r="217" customFormat="false" ht="15" hidden="false" customHeight="false" outlineLevel="0" collapsed="false">
      <c r="A217" s="36" t="str">
        <f aca="false">IF(Raw_Export!$A217="","",TRIM(Raw_Export!A217))</f>
        <v>TXN-100213</v>
      </c>
      <c r="B217" s="37" t="n">
        <f aca="false">IF(Raw_Export!$A217="","",IF(ISNUMBER(Raw_Export!B217),Raw_Export!B217,IF(MID(TRIM(Raw_Export!B217),5,1)="-",DATE(LEFT(TRIM(Raw_Export!B217),4),MID(TRIM(Raw_Export!B217),6,2),RIGHT(TRIM(Raw_Export!B217),2)),DATE(RIGHT(TRIM(Raw_Export!B217),4),MATCH(MID(TRIM(Raw_Export!B217),4,3),{"Jan","Feb","Mar","Apr","May","Jun","Jul","Aug","Sep","Oct","Nov","Dec"},0),LEFT(TRIM(Raw_Export!B217),2)))))</f>
        <v>46266</v>
      </c>
      <c r="C217" s="36" t="str">
        <f aca="false">IF(Raw_Export!$A217="","",IFERROR(VLOOKUP(LOWER(TRIM(Raw_Export!C217)),Maps!$A$2:$B$20,2,FALSE()),"UNMAPPED"))</f>
        <v>Kisumu</v>
      </c>
      <c r="D217" s="36" t="str">
        <f aca="false">IF(Raw_Export!$A217="","",IFERROR(VLOOKUP(LOWER(TRIM(Raw_Export!D217)),Maps!$G$2:$I$80,2,FALSE()),"UNMAPPED"))</f>
        <v>Toilet Paper 10pk</v>
      </c>
      <c r="E217" s="36" t="str">
        <f aca="false">IF(Raw_Export!$A217="","",IFERROR(VLOOKUP(LOWER(TRIM(Raw_Export!D217)),Maps!$G$2:$I$80,3,FALSE()),"UNMAPPED"))</f>
        <v>Household</v>
      </c>
      <c r="F217" s="36" t="n">
        <f aca="false">IF(Raw_Export!$A217="","",IFERROR(VALUE(TRIM(Raw_Export!E217)),0))</f>
        <v>6</v>
      </c>
      <c r="G217" s="38" t="n">
        <f aca="false">IF(Raw_Export!$A217="","",IFERROR(VALUE(SUBSTITUTE(SUBSTITUTE(UPPER(TRIM(Raw_Export!F217)),"KES",""),",","")),0))</f>
        <v>380</v>
      </c>
      <c r="H217" s="38" t="n">
        <f aca="false">IF(Raw_Export!$A217="","",F217*G217)</f>
        <v>2280</v>
      </c>
      <c r="I217" s="36" t="str">
        <f aca="false">IF(Raw_Export!$A217="","",IFERROR(VLOOKUP(LOWER(TRIM(Raw_Export!H217)),Maps!$D$2:$E$12,2,FALSE()),"Other"))</f>
        <v>Card</v>
      </c>
      <c r="J217" s="36" t="str">
        <f aca="false">IF(Raw_Export!$A217="","",IF(COUNTIF($A$2:A217,A217)&gt;1,"Duplicate",""))</f>
        <v/>
      </c>
      <c r="K217" s="36" t="str">
        <f aca="false">IF(Raw_Export!$A217="","",IF(J217="Duplicate","Duplicate",IF(OR(C217="UNMAPPED",D217="UNMAPPED"),"Unmapped",IF(F217=0,"Blank qty",IF(F217&lt;0,"Return","OK")))))</f>
        <v>OK</v>
      </c>
      <c r="L217" s="36" t="n">
        <f aca="false">IF(Raw_Export!$A217="","",IF(OR(K217="OK",K217="Return"),1,0))</f>
        <v>1</v>
      </c>
      <c r="M217" s="37" t="n">
        <f aca="false">IF(Raw_Export!$A217="","",B217-WEEKDAY(B217,2)+1)</f>
        <v>46265</v>
      </c>
    </row>
    <row r="218" customFormat="false" ht="15" hidden="false" customHeight="false" outlineLevel="0" collapsed="false">
      <c r="A218" s="36" t="str">
        <f aca="false">IF(Raw_Export!$A218="","",TRIM(Raw_Export!A218))</f>
        <v>TXN-100214</v>
      </c>
      <c r="B218" s="37" t="n">
        <f aca="false">IF(Raw_Export!$A218="","",IF(ISNUMBER(Raw_Export!B218),Raw_Export!B218,IF(MID(TRIM(Raw_Export!B218),5,1)="-",DATE(LEFT(TRIM(Raw_Export!B218),4),MID(TRIM(Raw_Export!B218),6,2),RIGHT(TRIM(Raw_Export!B218),2)),DATE(RIGHT(TRIM(Raw_Export!B218),4),MATCH(MID(TRIM(Raw_Export!B218),4,3),{"Jan","Feb","Mar","Apr","May","Jun","Jul","Aug","Sep","Oct","Nov","Dec"},0),LEFT(TRIM(Raw_Export!B218),2)))))</f>
        <v>46266</v>
      </c>
      <c r="C218" s="36" t="str">
        <f aca="false">IF(Raw_Export!$A218="","",IFERROR(VLOOKUP(LOWER(TRIM(Raw_Export!C218)),Maps!$A$2:$B$20,2,FALSE()),"UNMAPPED"))</f>
        <v>Kisumu</v>
      </c>
      <c r="D218" s="36" t="str">
        <f aca="false">IF(Raw_Export!$A218="","",IFERROR(VLOOKUP(LOWER(TRIM(Raw_Export!D218)),Maps!$G$2:$I$80,2,FALSE()),"UNMAPPED"))</f>
        <v>Biscuits 200g</v>
      </c>
      <c r="E218" s="36" t="str">
        <f aca="false">IF(Raw_Export!$A218="","",IFERROR(VLOOKUP(LOWER(TRIM(Raw_Export!D218)),Maps!$G$2:$I$80,3,FALSE()),"UNMAPPED"))</f>
        <v>Snacks</v>
      </c>
      <c r="F218" s="36" t="n">
        <f aca="false">IF(Raw_Export!$A218="","",IFERROR(VALUE(TRIM(Raw_Export!E218)),0))</f>
        <v>1</v>
      </c>
      <c r="G218" s="38" t="n">
        <f aca="false">IF(Raw_Export!$A218="","",IFERROR(VALUE(SUBSTITUTE(SUBSTITUTE(UPPER(TRIM(Raw_Export!F218)),"KES",""),",","")),0))</f>
        <v>95</v>
      </c>
      <c r="H218" s="38" t="n">
        <f aca="false">IF(Raw_Export!$A218="","",F218*G218)</f>
        <v>95</v>
      </c>
      <c r="I218" s="36" t="str">
        <f aca="false">IF(Raw_Export!$A218="","",IFERROR(VLOOKUP(LOWER(TRIM(Raw_Export!H218)),Maps!$D$2:$E$12,2,FALSE()),"Other"))</f>
        <v>Card</v>
      </c>
      <c r="J218" s="36" t="str">
        <f aca="false">IF(Raw_Export!$A218="","",IF(COUNTIF($A$2:A218,A218)&gt;1,"Duplicate",""))</f>
        <v/>
      </c>
      <c r="K218" s="36" t="str">
        <f aca="false">IF(Raw_Export!$A218="","",IF(J218="Duplicate","Duplicate",IF(OR(C218="UNMAPPED",D218="UNMAPPED"),"Unmapped",IF(F218=0,"Blank qty",IF(F218&lt;0,"Return","OK")))))</f>
        <v>OK</v>
      </c>
      <c r="L218" s="36" t="n">
        <f aca="false">IF(Raw_Export!$A218="","",IF(OR(K218="OK",K218="Return"),1,0))</f>
        <v>1</v>
      </c>
      <c r="M218" s="37" t="n">
        <f aca="false">IF(Raw_Export!$A218="","",B218-WEEKDAY(B218,2)+1)</f>
        <v>46265</v>
      </c>
    </row>
    <row r="219" customFormat="false" ht="15" hidden="false" customHeight="false" outlineLevel="0" collapsed="false">
      <c r="A219" s="36" t="str">
        <f aca="false">IF(Raw_Export!$A219="","",TRIM(Raw_Export!A219))</f>
        <v>TXN-100215</v>
      </c>
      <c r="B219" s="37" t="n">
        <f aca="false">IF(Raw_Export!$A219="","",IF(ISNUMBER(Raw_Export!B219),Raw_Export!B219,IF(MID(TRIM(Raw_Export!B219),5,1)="-",DATE(LEFT(TRIM(Raw_Export!B219),4),MID(TRIM(Raw_Export!B219),6,2),RIGHT(TRIM(Raw_Export!B219),2)),DATE(RIGHT(TRIM(Raw_Export!B219),4),MATCH(MID(TRIM(Raw_Export!B219),4,3),{"Jan","Feb","Mar","Apr","May","Jun","Jul","Aug","Sep","Oct","Nov","Dec"},0),LEFT(TRIM(Raw_Export!B219),2)))))</f>
        <v>46266</v>
      </c>
      <c r="C219" s="36" t="str">
        <f aca="false">IF(Raw_Export!$A219="","",IFERROR(VLOOKUP(LOWER(TRIM(Raw_Export!C219)),Maps!$A$2:$B$20,2,FALSE()),"UNMAPPED"))</f>
        <v>Kisumu</v>
      </c>
      <c r="D219" s="36" t="str">
        <f aca="false">IF(Raw_Export!$A219="","",IFERROR(VLOOKUP(LOWER(TRIM(Raw_Export!D219)),Maps!$G$2:$I$80,2,FALSE()),"UNMAPPED"))</f>
        <v>Dish Soap 750ml</v>
      </c>
      <c r="E219" s="36" t="str">
        <f aca="false">IF(Raw_Export!$A219="","",IFERROR(VLOOKUP(LOWER(TRIM(Raw_Export!D219)),Maps!$G$2:$I$80,3,FALSE()),"UNMAPPED"))</f>
        <v>Household</v>
      </c>
      <c r="F219" s="36" t="n">
        <f aca="false">IF(Raw_Export!$A219="","",IFERROR(VALUE(TRIM(Raw_Export!E219)),0))</f>
        <v>1</v>
      </c>
      <c r="G219" s="38" t="n">
        <f aca="false">IF(Raw_Export!$A219="","",IFERROR(VALUE(SUBSTITUTE(SUBSTITUTE(UPPER(TRIM(Raw_Export!F219)),"KES",""),",","")),0))</f>
        <v>190</v>
      </c>
      <c r="H219" s="38" t="n">
        <f aca="false">IF(Raw_Export!$A219="","",F219*G219)</f>
        <v>190</v>
      </c>
      <c r="I219" s="36" t="str">
        <f aca="false">IF(Raw_Export!$A219="","",IFERROR(VLOOKUP(LOWER(TRIM(Raw_Export!H219)),Maps!$D$2:$E$12,2,FALSE()),"Other"))</f>
        <v>M-Pesa</v>
      </c>
      <c r="J219" s="36" t="str">
        <f aca="false">IF(Raw_Export!$A219="","",IF(COUNTIF($A$2:A219,A219)&gt;1,"Duplicate",""))</f>
        <v/>
      </c>
      <c r="K219" s="36" t="str">
        <f aca="false">IF(Raw_Export!$A219="","",IF(J219="Duplicate","Duplicate",IF(OR(C219="UNMAPPED",D219="UNMAPPED"),"Unmapped",IF(F219=0,"Blank qty",IF(F219&lt;0,"Return","OK")))))</f>
        <v>OK</v>
      </c>
      <c r="L219" s="36" t="n">
        <f aca="false">IF(Raw_Export!$A219="","",IF(OR(K219="OK",K219="Return"),1,0))</f>
        <v>1</v>
      </c>
      <c r="M219" s="37" t="n">
        <f aca="false">IF(Raw_Export!$A219="","",B219-WEEKDAY(B219,2)+1)</f>
        <v>46265</v>
      </c>
    </row>
    <row r="220" customFormat="false" ht="15" hidden="false" customHeight="false" outlineLevel="0" collapsed="false">
      <c r="A220" s="36" t="str">
        <f aca="false">IF(Raw_Export!$A220="","",TRIM(Raw_Export!A220))</f>
        <v>TXN-100216</v>
      </c>
      <c r="B220" s="37" t="n">
        <f aca="false">IF(Raw_Export!$A220="","",IF(ISNUMBER(Raw_Export!B220),Raw_Export!B220,IF(MID(TRIM(Raw_Export!B220),5,1)="-",DATE(LEFT(TRIM(Raw_Export!B220),4),MID(TRIM(Raw_Export!B220),6,2),RIGHT(TRIM(Raw_Export!B220),2)),DATE(RIGHT(TRIM(Raw_Export!B220),4),MATCH(MID(TRIM(Raw_Export!B220),4,3),{"Jan","Feb","Mar","Apr","May","Jun","Jul","Aug","Sep","Oct","Nov","Dec"},0),LEFT(TRIM(Raw_Export!B220),2)))))</f>
        <v>46266</v>
      </c>
      <c r="C220" s="36" t="str">
        <f aca="false">IF(Raw_Export!$A220="","",IFERROR(VLOOKUP(LOWER(TRIM(Raw_Export!C220)),Maps!$A$2:$B$20,2,FALSE()),"UNMAPPED"))</f>
        <v>Kisumu</v>
      </c>
      <c r="D220" s="36" t="str">
        <f aca="false">IF(Raw_Export!$A220="","",IFERROR(VLOOKUP(LOWER(TRIM(Raw_Export!D220)),Maps!$G$2:$I$80,2,FALSE()),"UNMAPPED"))</f>
        <v>Peanuts 250g</v>
      </c>
      <c r="E220" s="36" t="str">
        <f aca="false">IF(Raw_Export!$A220="","",IFERROR(VLOOKUP(LOWER(TRIM(Raw_Export!D220)),Maps!$G$2:$I$80,3,FALSE()),"UNMAPPED"))</f>
        <v>Snacks</v>
      </c>
      <c r="F220" s="36" t="n">
        <f aca="false">IF(Raw_Export!$A220="","",IFERROR(VALUE(TRIM(Raw_Export!E220)),0))</f>
        <v>4</v>
      </c>
      <c r="G220" s="38" t="n">
        <f aca="false">IF(Raw_Export!$A220="","",IFERROR(VALUE(SUBSTITUTE(SUBSTITUTE(UPPER(TRIM(Raw_Export!F220)),"KES",""),",","")),0))</f>
        <v>130</v>
      </c>
      <c r="H220" s="38" t="n">
        <f aca="false">IF(Raw_Export!$A220="","",F220*G220)</f>
        <v>520</v>
      </c>
      <c r="I220" s="36" t="str">
        <f aca="false">IF(Raw_Export!$A220="","",IFERROR(VLOOKUP(LOWER(TRIM(Raw_Export!H220)),Maps!$D$2:$E$12,2,FALSE()),"Other"))</f>
        <v>Cash</v>
      </c>
      <c r="J220" s="36" t="str">
        <f aca="false">IF(Raw_Export!$A220="","",IF(COUNTIF($A$2:A220,A220)&gt;1,"Duplicate",""))</f>
        <v/>
      </c>
      <c r="K220" s="36" t="str">
        <f aca="false">IF(Raw_Export!$A220="","",IF(J220="Duplicate","Duplicate",IF(OR(C220="UNMAPPED",D220="UNMAPPED"),"Unmapped",IF(F220=0,"Blank qty",IF(F220&lt;0,"Return","OK")))))</f>
        <v>OK</v>
      </c>
      <c r="L220" s="36" t="n">
        <f aca="false">IF(Raw_Export!$A220="","",IF(OR(K220="OK",K220="Return"),1,0))</f>
        <v>1</v>
      </c>
      <c r="M220" s="37" t="n">
        <f aca="false">IF(Raw_Export!$A220="","",B220-WEEKDAY(B220,2)+1)</f>
        <v>46265</v>
      </c>
    </row>
    <row r="221" customFormat="false" ht="15" hidden="false" customHeight="false" outlineLevel="0" collapsed="false">
      <c r="A221" s="36" t="str">
        <f aca="false">IF(Raw_Export!$A221="","",TRIM(Raw_Export!A221))</f>
        <v>TXN-100217</v>
      </c>
      <c r="B221" s="37" t="n">
        <f aca="false">IF(Raw_Export!$A221="","",IF(ISNUMBER(Raw_Export!B221),Raw_Export!B221,IF(MID(TRIM(Raw_Export!B221),5,1)="-",DATE(LEFT(TRIM(Raw_Export!B221),4),MID(TRIM(Raw_Export!B221),6,2),RIGHT(TRIM(Raw_Export!B221),2)),DATE(RIGHT(TRIM(Raw_Export!B221),4),MATCH(MID(TRIM(Raw_Export!B221),4,3),{"Jan","Feb","Mar","Apr","May","Jun","Jul","Aug","Sep","Oct","Nov","Dec"},0),LEFT(TRIM(Raw_Export!B221),2)))))</f>
        <v>46266</v>
      </c>
      <c r="C221" s="36" t="str">
        <f aca="false">IF(Raw_Export!$A221="","",IFERROR(VLOOKUP(LOWER(TRIM(Raw_Export!C221)),Maps!$A$2:$B$20,2,FALSE()),"UNMAPPED"))</f>
        <v>Kisumu</v>
      </c>
      <c r="D221" s="36" t="str">
        <f aca="false">IF(Raw_Export!$A221="","",IFERROR(VLOOKUP(LOWER(TRIM(Raw_Export!D221)),Maps!$G$2:$I$80,2,FALSE()),"UNMAPPED"))</f>
        <v>Soda 500ml</v>
      </c>
      <c r="E221" s="36" t="str">
        <f aca="false">IF(Raw_Export!$A221="","",IFERROR(VLOOKUP(LOWER(TRIM(Raw_Export!D221)),Maps!$G$2:$I$80,3,FALSE()),"UNMAPPED"))</f>
        <v>Beverages</v>
      </c>
      <c r="F221" s="36" t="n">
        <f aca="false">IF(Raw_Export!$A221="","",IFERROR(VALUE(TRIM(Raw_Export!E221)),0))</f>
        <v>2</v>
      </c>
      <c r="G221" s="38" t="n">
        <f aca="false">IF(Raw_Export!$A221="","",IFERROR(VALUE(SUBSTITUTE(SUBSTITUTE(UPPER(TRIM(Raw_Export!F221)),"KES",""),",","")),0))</f>
        <v>60</v>
      </c>
      <c r="H221" s="38" t="n">
        <f aca="false">IF(Raw_Export!$A221="","",F221*G221)</f>
        <v>120</v>
      </c>
      <c r="I221" s="36" t="str">
        <f aca="false">IF(Raw_Export!$A221="","",IFERROR(VLOOKUP(LOWER(TRIM(Raw_Export!H221)),Maps!$D$2:$E$12,2,FALSE()),"Other"))</f>
        <v>M-Pesa</v>
      </c>
      <c r="J221" s="36" t="str">
        <f aca="false">IF(Raw_Export!$A221="","",IF(COUNTIF($A$2:A221,A221)&gt;1,"Duplicate",""))</f>
        <v/>
      </c>
      <c r="K221" s="36" t="str">
        <f aca="false">IF(Raw_Export!$A221="","",IF(J221="Duplicate","Duplicate",IF(OR(C221="UNMAPPED",D221="UNMAPPED"),"Unmapped",IF(F221=0,"Blank qty",IF(F221&lt;0,"Return","OK")))))</f>
        <v>OK</v>
      </c>
      <c r="L221" s="36" t="n">
        <f aca="false">IF(Raw_Export!$A221="","",IF(OR(K221="OK",K221="Return"),1,0))</f>
        <v>1</v>
      </c>
      <c r="M221" s="37" t="n">
        <f aca="false">IF(Raw_Export!$A221="","",B221-WEEKDAY(B221,2)+1)</f>
        <v>46265</v>
      </c>
    </row>
    <row r="222" customFormat="false" ht="15" hidden="false" customHeight="false" outlineLevel="0" collapsed="false">
      <c r="A222" s="36" t="str">
        <f aca="false">IF(Raw_Export!$A222="","",TRIM(Raw_Export!A222))</f>
        <v>TXN-100218</v>
      </c>
      <c r="B222" s="37" t="n">
        <f aca="false">IF(Raw_Export!$A222="","",IF(ISNUMBER(Raw_Export!B222),Raw_Export!B222,IF(MID(TRIM(Raw_Export!B222),5,1)="-",DATE(LEFT(TRIM(Raw_Export!B222),4),MID(TRIM(Raw_Export!B222),6,2),RIGHT(TRIM(Raw_Export!B222),2)),DATE(RIGHT(TRIM(Raw_Export!B222),4),MATCH(MID(TRIM(Raw_Export!B222),4,3),{"Jan","Feb","Mar","Apr","May","Jun","Jul","Aug","Sep","Oct","Nov","Dec"},0),LEFT(TRIM(Raw_Export!B222),2)))))</f>
        <v>46266</v>
      </c>
      <c r="C222" s="36" t="str">
        <f aca="false">IF(Raw_Export!$A222="","",IFERROR(VLOOKUP(LOWER(TRIM(Raw_Export!C222)),Maps!$A$2:$B$20,2,FALSE()),"UNMAPPED"))</f>
        <v>Kisumu</v>
      </c>
      <c r="D222" s="36" t="str">
        <f aca="false">IF(Raw_Export!$A222="","",IFERROR(VLOOKUP(LOWER(TRIM(Raw_Export!D222)),Maps!$G$2:$I$80,2,FALSE()),"UNMAPPED"))</f>
        <v>Juice 1L</v>
      </c>
      <c r="E222" s="36" t="str">
        <f aca="false">IF(Raw_Export!$A222="","",IFERROR(VLOOKUP(LOWER(TRIM(Raw_Export!D222)),Maps!$G$2:$I$80,3,FALSE()),"UNMAPPED"))</f>
        <v>Beverages</v>
      </c>
      <c r="F222" s="36" t="n">
        <f aca="false">IF(Raw_Export!$A222="","",IFERROR(VALUE(TRIM(Raw_Export!E222)),0))</f>
        <v>3</v>
      </c>
      <c r="G222" s="38" t="n">
        <f aca="false">IF(Raw_Export!$A222="","",IFERROR(VALUE(SUBSTITUTE(SUBSTITUTE(UPPER(TRIM(Raw_Export!F222)),"KES",""),",","")),0))</f>
        <v>210</v>
      </c>
      <c r="H222" s="38" t="n">
        <f aca="false">IF(Raw_Export!$A222="","",F222*G222)</f>
        <v>630</v>
      </c>
      <c r="I222" s="36" t="str">
        <f aca="false">IF(Raw_Export!$A222="","",IFERROR(VLOOKUP(LOWER(TRIM(Raw_Export!H222)),Maps!$D$2:$E$12,2,FALSE()),"Other"))</f>
        <v>Cash</v>
      </c>
      <c r="J222" s="36" t="str">
        <f aca="false">IF(Raw_Export!$A222="","",IF(COUNTIF($A$2:A222,A222)&gt;1,"Duplicate",""))</f>
        <v/>
      </c>
      <c r="K222" s="36" t="str">
        <f aca="false">IF(Raw_Export!$A222="","",IF(J222="Duplicate","Duplicate",IF(OR(C222="UNMAPPED",D222="UNMAPPED"),"Unmapped",IF(F222=0,"Blank qty",IF(F222&lt;0,"Return","OK")))))</f>
        <v>OK</v>
      </c>
      <c r="L222" s="36" t="n">
        <f aca="false">IF(Raw_Export!$A222="","",IF(OR(K222="OK",K222="Return"),1,0))</f>
        <v>1</v>
      </c>
      <c r="M222" s="37" t="n">
        <f aca="false">IF(Raw_Export!$A222="","",B222-WEEKDAY(B222,2)+1)</f>
        <v>46265</v>
      </c>
    </row>
    <row r="223" customFormat="false" ht="15" hidden="false" customHeight="false" outlineLevel="0" collapsed="false">
      <c r="A223" s="36" t="str">
        <f aca="false">IF(Raw_Export!$A223="","",TRIM(Raw_Export!A223))</f>
        <v>TXN-100219</v>
      </c>
      <c r="B223" s="37" t="n">
        <f aca="false">IF(Raw_Export!$A223="","",IF(ISNUMBER(Raw_Export!B223),Raw_Export!B223,IF(MID(TRIM(Raw_Export!B223),5,1)="-",DATE(LEFT(TRIM(Raw_Export!B223),4),MID(TRIM(Raw_Export!B223),6,2),RIGHT(TRIM(Raw_Export!B223),2)),DATE(RIGHT(TRIM(Raw_Export!B223),4),MATCH(MID(TRIM(Raw_Export!B223),4,3),{"Jan","Feb","Mar","Apr","May","Jun","Jul","Aug","Sep","Oct","Nov","Dec"},0),LEFT(TRIM(Raw_Export!B223),2)))))</f>
        <v>46266</v>
      </c>
      <c r="C223" s="36" t="str">
        <f aca="false">IF(Raw_Export!$A223="","",IFERROR(VLOOKUP(LOWER(TRIM(Raw_Export!C223)),Maps!$A$2:$B$20,2,FALSE()),"UNMAPPED"))</f>
        <v>Kisumu</v>
      </c>
      <c r="D223" s="36" t="str">
        <f aca="false">IF(Raw_Export!$A223="","",IFERROR(VLOOKUP(LOWER(TRIM(Raw_Export!D223)),Maps!$G$2:$I$80,2,FALSE()),"UNMAPPED"))</f>
        <v>Salt 500g</v>
      </c>
      <c r="E223" s="36" t="str">
        <f aca="false">IF(Raw_Export!$A223="","",IFERROR(VLOOKUP(LOWER(TRIM(Raw_Export!D223)),Maps!$G$2:$I$80,3,FALSE()),"UNMAPPED"))</f>
        <v>Staples</v>
      </c>
      <c r="F223" s="36" t="n">
        <f aca="false">IF(Raw_Export!$A223="","",IFERROR(VALUE(TRIM(Raw_Export!E223)),0))</f>
        <v>0</v>
      </c>
      <c r="G223" s="38" t="n">
        <f aca="false">IF(Raw_Export!$A223="","",IFERROR(VALUE(SUBSTITUTE(SUBSTITUTE(UPPER(TRIM(Raw_Export!F223)),"KES",""),",","")),0))</f>
        <v>40</v>
      </c>
      <c r="H223" s="38" t="n">
        <f aca="false">IF(Raw_Export!$A223="","",F223*G223)</f>
        <v>0</v>
      </c>
      <c r="I223" s="36" t="str">
        <f aca="false">IF(Raw_Export!$A223="","",IFERROR(VLOOKUP(LOWER(TRIM(Raw_Export!H223)),Maps!$D$2:$E$12,2,FALSE()),"Other"))</f>
        <v>M-Pesa</v>
      </c>
      <c r="J223" s="36" t="str">
        <f aca="false">IF(Raw_Export!$A223="","",IF(COUNTIF($A$2:A223,A223)&gt;1,"Duplicate",""))</f>
        <v/>
      </c>
      <c r="K223" s="36" t="str">
        <f aca="false">IF(Raw_Export!$A223="","",IF(J223="Duplicate","Duplicate",IF(OR(C223="UNMAPPED",D223="UNMAPPED"),"Unmapped",IF(F223=0,"Blank qty",IF(F223&lt;0,"Return","OK")))))</f>
        <v>Blank qty</v>
      </c>
      <c r="L223" s="36" t="n">
        <f aca="false">IF(Raw_Export!$A223="","",IF(OR(K223="OK",K223="Return"),1,0))</f>
        <v>0</v>
      </c>
      <c r="M223" s="37" t="n">
        <f aca="false">IF(Raw_Export!$A223="","",B223-WEEKDAY(B223,2)+1)</f>
        <v>46265</v>
      </c>
    </row>
    <row r="224" customFormat="false" ht="15" hidden="false" customHeight="false" outlineLevel="0" collapsed="false">
      <c r="A224" s="36" t="str">
        <f aca="false">IF(Raw_Export!$A224="","",TRIM(Raw_Export!A224))</f>
        <v>TXN-100220</v>
      </c>
      <c r="B224" s="37" t="n">
        <f aca="false">IF(Raw_Export!$A224="","",IF(ISNUMBER(Raw_Export!B224),Raw_Export!B224,IF(MID(TRIM(Raw_Export!B224),5,1)="-",DATE(LEFT(TRIM(Raw_Export!B224),4),MID(TRIM(Raw_Export!B224),6,2),RIGHT(TRIM(Raw_Export!B224),2)),DATE(RIGHT(TRIM(Raw_Export!B224),4),MATCH(MID(TRIM(Raw_Export!B224),4,3),{"Jan","Feb","Mar","Apr","May","Jun","Jul","Aug","Sep","Oct","Nov","Dec"},0),LEFT(TRIM(Raw_Export!B224),2)))))</f>
        <v>46266</v>
      </c>
      <c r="C224" s="36" t="str">
        <f aca="false">IF(Raw_Export!$A224="","",IFERROR(VLOOKUP(LOWER(TRIM(Raw_Export!C224)),Maps!$A$2:$B$20,2,FALSE()),"UNMAPPED"))</f>
        <v>Kisumu</v>
      </c>
      <c r="D224" s="36" t="str">
        <f aca="false">IF(Raw_Export!$A224="","",IFERROR(VLOOKUP(LOWER(TRIM(Raw_Export!D224)),Maps!$G$2:$I$80,2,FALSE()),"UNMAPPED"))</f>
        <v>Cooking Oil 1L</v>
      </c>
      <c r="E224" s="36" t="str">
        <f aca="false">IF(Raw_Export!$A224="","",IFERROR(VLOOKUP(LOWER(TRIM(Raw_Export!D224)),Maps!$G$2:$I$80,3,FALSE()),"UNMAPPED"))</f>
        <v>Staples</v>
      </c>
      <c r="F224" s="36" t="n">
        <f aca="false">IF(Raw_Export!$A224="","",IFERROR(VALUE(TRIM(Raw_Export!E224)),0))</f>
        <v>4</v>
      </c>
      <c r="G224" s="38" t="n">
        <f aca="false">IF(Raw_Export!$A224="","",IFERROR(VALUE(SUBSTITUTE(SUBSTITUTE(UPPER(TRIM(Raw_Export!F224)),"KES",""),",","")),0))</f>
        <v>297</v>
      </c>
      <c r="H224" s="38" t="n">
        <f aca="false">IF(Raw_Export!$A224="","",F224*G224)</f>
        <v>1188</v>
      </c>
      <c r="I224" s="36" t="str">
        <f aca="false">IF(Raw_Export!$A224="","",IFERROR(VLOOKUP(LOWER(TRIM(Raw_Export!H224)),Maps!$D$2:$E$12,2,FALSE()),"Other"))</f>
        <v>Cash</v>
      </c>
      <c r="J224" s="36" t="str">
        <f aca="false">IF(Raw_Export!$A224="","",IF(COUNTIF($A$2:A224,A224)&gt;1,"Duplicate",""))</f>
        <v/>
      </c>
      <c r="K224" s="36" t="str">
        <f aca="false">IF(Raw_Export!$A224="","",IF(J224="Duplicate","Duplicate",IF(OR(C224="UNMAPPED",D224="UNMAPPED"),"Unmapped",IF(F224=0,"Blank qty",IF(F224&lt;0,"Return","OK")))))</f>
        <v>OK</v>
      </c>
      <c r="L224" s="36" t="n">
        <f aca="false">IF(Raw_Export!$A224="","",IF(OR(K224="OK",K224="Return"),1,0))</f>
        <v>1</v>
      </c>
      <c r="M224" s="37" t="n">
        <f aca="false">IF(Raw_Export!$A224="","",B224-WEEKDAY(B224,2)+1)</f>
        <v>46265</v>
      </c>
    </row>
    <row r="225" customFormat="false" ht="15" hidden="false" customHeight="false" outlineLevel="0" collapsed="false">
      <c r="A225" s="36" t="str">
        <f aca="false">IF(Raw_Export!$A225="","",TRIM(Raw_Export!A225))</f>
        <v>TXN-100221</v>
      </c>
      <c r="B225" s="37" t="n">
        <f aca="false">IF(Raw_Export!$A225="","",IF(ISNUMBER(Raw_Export!B225),Raw_Export!B225,IF(MID(TRIM(Raw_Export!B225),5,1)="-",DATE(LEFT(TRIM(Raw_Export!B225),4),MID(TRIM(Raw_Export!B225),6,2),RIGHT(TRIM(Raw_Export!B225),2)),DATE(RIGHT(TRIM(Raw_Export!B225),4),MATCH(MID(TRIM(Raw_Export!B225),4,3),{"Jan","Feb","Mar","Apr","May","Jun","Jul","Aug","Sep","Oct","Nov","Dec"},0),LEFT(TRIM(Raw_Export!B225),2)))))</f>
        <v>46266</v>
      </c>
      <c r="C225" s="36" t="str">
        <f aca="false">IF(Raw_Export!$A225="","",IFERROR(VLOOKUP(LOWER(TRIM(Raw_Export!C225)),Maps!$A$2:$B$20,2,FALSE()),"UNMAPPED"))</f>
        <v>Kisumu</v>
      </c>
      <c r="D225" s="36" t="str">
        <f aca="false">IF(Raw_Export!$A225="","",IFERROR(VLOOKUP(LOWER(TRIM(Raw_Export!D225)),Maps!$G$2:$I$80,2,FALSE()),"UNMAPPED"))</f>
        <v>Cooking Oil 1L</v>
      </c>
      <c r="E225" s="36" t="str">
        <f aca="false">IF(Raw_Export!$A225="","",IFERROR(VLOOKUP(LOWER(TRIM(Raw_Export!D225)),Maps!$G$2:$I$80,3,FALSE()),"UNMAPPED"))</f>
        <v>Staples</v>
      </c>
      <c r="F225" s="36" t="n">
        <f aca="false">IF(Raw_Export!$A225="","",IFERROR(VALUE(TRIM(Raw_Export!E225)),0))</f>
        <v>3</v>
      </c>
      <c r="G225" s="38" t="n">
        <f aca="false">IF(Raw_Export!$A225="","",IFERROR(VALUE(SUBSTITUTE(SUBSTITUTE(UPPER(TRIM(Raw_Export!F225)),"KES",""),",","")),0))</f>
        <v>330</v>
      </c>
      <c r="H225" s="38" t="n">
        <f aca="false">IF(Raw_Export!$A225="","",F225*G225)</f>
        <v>990</v>
      </c>
      <c r="I225" s="36" t="str">
        <f aca="false">IF(Raw_Export!$A225="","",IFERROR(VLOOKUP(LOWER(TRIM(Raw_Export!H225)),Maps!$D$2:$E$12,2,FALSE()),"Other"))</f>
        <v>M-Pesa</v>
      </c>
      <c r="J225" s="36" t="str">
        <f aca="false">IF(Raw_Export!$A225="","",IF(COUNTIF($A$2:A225,A225)&gt;1,"Duplicate",""))</f>
        <v/>
      </c>
      <c r="K225" s="36" t="str">
        <f aca="false">IF(Raw_Export!$A225="","",IF(J225="Duplicate","Duplicate",IF(OR(C225="UNMAPPED",D225="UNMAPPED"),"Unmapped",IF(F225=0,"Blank qty",IF(F225&lt;0,"Return","OK")))))</f>
        <v>OK</v>
      </c>
      <c r="L225" s="36" t="n">
        <f aca="false">IF(Raw_Export!$A225="","",IF(OR(K225="OK",K225="Return"),1,0))</f>
        <v>1</v>
      </c>
      <c r="M225" s="37" t="n">
        <f aca="false">IF(Raw_Export!$A225="","",B225-WEEKDAY(B225,2)+1)</f>
        <v>46265</v>
      </c>
    </row>
    <row r="226" customFormat="false" ht="15" hidden="false" customHeight="false" outlineLevel="0" collapsed="false">
      <c r="A226" s="36" t="str">
        <f aca="false">IF(Raw_Export!$A226="","",TRIM(Raw_Export!A226))</f>
        <v>TXN-100222</v>
      </c>
      <c r="B226" s="37" t="n">
        <f aca="false">IF(Raw_Export!$A226="","",IF(ISNUMBER(Raw_Export!B226),Raw_Export!B226,IF(MID(TRIM(Raw_Export!B226),5,1)="-",DATE(LEFT(TRIM(Raw_Export!B226),4),MID(TRIM(Raw_Export!B226),6,2),RIGHT(TRIM(Raw_Export!B226),2)),DATE(RIGHT(TRIM(Raw_Export!B226),4),MATCH(MID(TRIM(Raw_Export!B226),4,3),{"Jan","Feb","Mar","Apr","May","Jun","Jul","Aug","Sep","Oct","Nov","Dec"},0),LEFT(TRIM(Raw_Export!B226),2)))))</f>
        <v>46266</v>
      </c>
      <c r="C226" s="36" t="str">
        <f aca="false">IF(Raw_Export!$A226="","",IFERROR(VLOOKUP(LOWER(TRIM(Raw_Export!C226)),Maps!$A$2:$B$20,2,FALSE()),"UNMAPPED"))</f>
        <v>Kisumu</v>
      </c>
      <c r="D226" s="36" t="str">
        <f aca="false">IF(Raw_Export!$A226="","",IFERROR(VLOOKUP(LOWER(TRIM(Raw_Export!D226)),Maps!$G$2:$I$80,2,FALSE()),"UNMAPPED"))</f>
        <v>Eggs Tray 30</v>
      </c>
      <c r="E226" s="36" t="str">
        <f aca="false">IF(Raw_Export!$A226="","",IFERROR(VLOOKUP(LOWER(TRIM(Raw_Export!D226)),Maps!$G$2:$I$80,3,FALSE()),"UNMAPPED"))</f>
        <v>Dairy &amp; Eggs</v>
      </c>
      <c r="F226" s="36" t="n">
        <f aca="false">IF(Raw_Export!$A226="","",IFERROR(VALUE(TRIM(Raw_Export!E226)),0))</f>
        <v>-3</v>
      </c>
      <c r="G226" s="38" t="n">
        <f aca="false">IF(Raw_Export!$A226="","",IFERROR(VALUE(SUBSTITUTE(SUBSTITUTE(UPPER(TRIM(Raw_Export!F226)),"KES",""),",","")),0))</f>
        <v>450</v>
      </c>
      <c r="H226" s="38" t="n">
        <f aca="false">IF(Raw_Export!$A226="","",F226*G226)</f>
        <v>-1350</v>
      </c>
      <c r="I226" s="36" t="str">
        <f aca="false">IF(Raw_Export!$A226="","",IFERROR(VLOOKUP(LOWER(TRIM(Raw_Export!H226)),Maps!$D$2:$E$12,2,FALSE()),"Other"))</f>
        <v>M-Pesa</v>
      </c>
      <c r="J226" s="36" t="str">
        <f aca="false">IF(Raw_Export!$A226="","",IF(COUNTIF($A$2:A226,A226)&gt;1,"Duplicate",""))</f>
        <v/>
      </c>
      <c r="K226" s="36" t="str">
        <f aca="false">IF(Raw_Export!$A226="","",IF(J226="Duplicate","Duplicate",IF(OR(C226="UNMAPPED",D226="UNMAPPED"),"Unmapped",IF(F226=0,"Blank qty",IF(F226&lt;0,"Return","OK")))))</f>
        <v>Return</v>
      </c>
      <c r="L226" s="36" t="n">
        <f aca="false">IF(Raw_Export!$A226="","",IF(OR(K226="OK",K226="Return"),1,0))</f>
        <v>1</v>
      </c>
      <c r="M226" s="37" t="n">
        <f aca="false">IF(Raw_Export!$A226="","",B226-WEEKDAY(B226,2)+1)</f>
        <v>46265</v>
      </c>
    </row>
    <row r="227" customFormat="false" ht="15" hidden="false" customHeight="false" outlineLevel="0" collapsed="false">
      <c r="A227" s="36" t="str">
        <f aca="false">IF(Raw_Export!$A227="","",TRIM(Raw_Export!A227))</f>
        <v>TXN-100223</v>
      </c>
      <c r="B227" s="37" t="n">
        <f aca="false">IF(Raw_Export!$A227="","",IF(ISNUMBER(Raw_Export!B227),Raw_Export!B227,IF(MID(TRIM(Raw_Export!B227),5,1)="-",DATE(LEFT(TRIM(Raw_Export!B227),4),MID(TRIM(Raw_Export!B227),6,2),RIGHT(TRIM(Raw_Export!B227),2)),DATE(RIGHT(TRIM(Raw_Export!B227),4),MATCH(MID(TRIM(Raw_Export!B227),4,3),{"Jan","Feb","Mar","Apr","May","Jun","Jul","Aug","Sep","Oct","Nov","Dec"},0),LEFT(TRIM(Raw_Export!B227),2)))))</f>
        <v>46266</v>
      </c>
      <c r="C227" s="36" t="str">
        <f aca="false">IF(Raw_Export!$A227="","",IFERROR(VLOOKUP(LOWER(TRIM(Raw_Export!C227)),Maps!$A$2:$B$20,2,FALSE()),"UNMAPPED"))</f>
        <v>Kisumu</v>
      </c>
      <c r="D227" s="36" t="str">
        <f aca="false">IF(Raw_Export!$A227="","",IFERROR(VLOOKUP(LOWER(TRIM(Raw_Export!D227)),Maps!$G$2:$I$80,2,FALSE()),"UNMAPPED"))</f>
        <v>Peanuts 250g</v>
      </c>
      <c r="E227" s="36" t="str">
        <f aca="false">IF(Raw_Export!$A227="","",IFERROR(VLOOKUP(LOWER(TRIM(Raw_Export!D227)),Maps!$G$2:$I$80,3,FALSE()),"UNMAPPED"))</f>
        <v>Snacks</v>
      </c>
      <c r="F227" s="36" t="n">
        <f aca="false">IF(Raw_Export!$A227="","",IFERROR(VALUE(TRIM(Raw_Export!E227)),0))</f>
        <v>2</v>
      </c>
      <c r="G227" s="38" t="n">
        <f aca="false">IF(Raw_Export!$A227="","",IFERROR(VALUE(SUBSTITUTE(SUBSTITUTE(UPPER(TRIM(Raw_Export!F227)),"KES",""),",","")),0))</f>
        <v>130</v>
      </c>
      <c r="H227" s="38" t="n">
        <f aca="false">IF(Raw_Export!$A227="","",F227*G227)</f>
        <v>260</v>
      </c>
      <c r="I227" s="36" t="str">
        <f aca="false">IF(Raw_Export!$A227="","",IFERROR(VLOOKUP(LOWER(TRIM(Raw_Export!H227)),Maps!$D$2:$E$12,2,FALSE()),"Other"))</f>
        <v>M-Pesa</v>
      </c>
      <c r="J227" s="36" t="str">
        <f aca="false">IF(Raw_Export!$A227="","",IF(COUNTIF($A$2:A227,A227)&gt;1,"Duplicate",""))</f>
        <v/>
      </c>
      <c r="K227" s="36" t="str">
        <f aca="false">IF(Raw_Export!$A227="","",IF(J227="Duplicate","Duplicate",IF(OR(C227="UNMAPPED",D227="UNMAPPED"),"Unmapped",IF(F227=0,"Blank qty",IF(F227&lt;0,"Return","OK")))))</f>
        <v>OK</v>
      </c>
      <c r="L227" s="36" t="n">
        <f aca="false">IF(Raw_Export!$A227="","",IF(OR(K227="OK",K227="Return"),1,0))</f>
        <v>1</v>
      </c>
      <c r="M227" s="37" t="n">
        <f aca="false">IF(Raw_Export!$A227="","",B227-WEEKDAY(B227,2)+1)</f>
        <v>46265</v>
      </c>
    </row>
    <row r="228" customFormat="false" ht="15" hidden="false" customHeight="false" outlineLevel="0" collapsed="false">
      <c r="A228" s="36" t="str">
        <f aca="false">IF(Raw_Export!$A228="","",TRIM(Raw_Export!A228))</f>
        <v>TXN-100224</v>
      </c>
      <c r="B228" s="37" t="n">
        <f aca="false">IF(Raw_Export!$A228="","",IF(ISNUMBER(Raw_Export!B228),Raw_Export!B228,IF(MID(TRIM(Raw_Export!B228),5,1)="-",DATE(LEFT(TRIM(Raw_Export!B228),4),MID(TRIM(Raw_Export!B228),6,2),RIGHT(TRIM(Raw_Export!B228),2)),DATE(RIGHT(TRIM(Raw_Export!B228),4),MATCH(MID(TRIM(Raw_Export!B228),4,3),{"Jan","Feb","Mar","Apr","May","Jun","Jul","Aug","Sep","Oct","Nov","Dec"},0),LEFT(TRIM(Raw_Export!B228),2)))))</f>
        <v>46266</v>
      </c>
      <c r="C228" s="36" t="str">
        <f aca="false">IF(Raw_Export!$A228="","",IFERROR(VLOOKUP(LOWER(TRIM(Raw_Export!C228)),Maps!$A$2:$B$20,2,FALSE()),"UNMAPPED"))</f>
        <v>Kisumu</v>
      </c>
      <c r="D228" s="36" t="str">
        <f aca="false">IF(Raw_Export!$A228="","",IFERROR(VLOOKUP(LOWER(TRIM(Raw_Export!D228)),Maps!$G$2:$I$80,2,FALSE()),"UNMAPPED"))</f>
        <v>Coffee 100g</v>
      </c>
      <c r="E228" s="36" t="str">
        <f aca="false">IF(Raw_Export!$A228="","",IFERROR(VLOOKUP(LOWER(TRIM(Raw_Export!D228)),Maps!$G$2:$I$80,3,FALSE()),"UNMAPPED"))</f>
        <v>Beverages</v>
      </c>
      <c r="F228" s="36" t="n">
        <f aca="false">IF(Raw_Export!$A228="","",IFERROR(VALUE(TRIM(Raw_Export!E228)),0))</f>
        <v>1</v>
      </c>
      <c r="G228" s="38" t="n">
        <f aca="false">IF(Raw_Export!$A228="","",IFERROR(VALUE(SUBSTITUTE(SUBSTITUTE(UPPER(TRIM(Raw_Export!F228)),"KES",""),",","")),0))</f>
        <v>360</v>
      </c>
      <c r="H228" s="38" t="n">
        <f aca="false">IF(Raw_Export!$A228="","",F228*G228)</f>
        <v>360</v>
      </c>
      <c r="I228" s="36" t="str">
        <f aca="false">IF(Raw_Export!$A228="","",IFERROR(VLOOKUP(LOWER(TRIM(Raw_Export!H228)),Maps!$D$2:$E$12,2,FALSE()),"Other"))</f>
        <v>M-Pesa</v>
      </c>
      <c r="J228" s="36" t="str">
        <f aca="false">IF(Raw_Export!$A228="","",IF(COUNTIF($A$2:A228,A228)&gt;1,"Duplicate",""))</f>
        <v/>
      </c>
      <c r="K228" s="36" t="str">
        <f aca="false">IF(Raw_Export!$A228="","",IF(J228="Duplicate","Duplicate",IF(OR(C228="UNMAPPED",D228="UNMAPPED"),"Unmapped",IF(F228=0,"Blank qty",IF(F228&lt;0,"Return","OK")))))</f>
        <v>OK</v>
      </c>
      <c r="L228" s="36" t="n">
        <f aca="false">IF(Raw_Export!$A228="","",IF(OR(K228="OK",K228="Return"),1,0))</f>
        <v>1</v>
      </c>
      <c r="M228" s="37" t="n">
        <f aca="false">IF(Raw_Export!$A228="","",B228-WEEKDAY(B228,2)+1)</f>
        <v>46265</v>
      </c>
    </row>
    <row r="229" customFormat="false" ht="15" hidden="false" customHeight="false" outlineLevel="0" collapsed="false">
      <c r="A229" s="36" t="str">
        <f aca="false">IF(Raw_Export!$A229="","",TRIM(Raw_Export!A229))</f>
        <v>TXN-100225</v>
      </c>
      <c r="B229" s="37" t="n">
        <f aca="false">IF(Raw_Export!$A229="","",IF(ISNUMBER(Raw_Export!B229),Raw_Export!B229,IF(MID(TRIM(Raw_Export!B229),5,1)="-",DATE(LEFT(TRIM(Raw_Export!B229),4),MID(TRIM(Raw_Export!B229),6,2),RIGHT(TRIM(Raw_Export!B229),2)),DATE(RIGHT(TRIM(Raw_Export!B229),4),MATCH(MID(TRIM(Raw_Export!B229),4,3),{"Jan","Feb","Mar","Apr","May","Jun","Jul","Aug","Sep","Oct","Nov","Dec"},0),LEFT(TRIM(Raw_Export!B229),2)))))</f>
        <v>46266</v>
      </c>
      <c r="C229" s="36" t="str">
        <f aca="false">IF(Raw_Export!$A229="","",IFERROR(VLOOKUP(LOWER(TRIM(Raw_Export!C229)),Maps!$A$2:$B$20,2,FALSE()),"UNMAPPED"))</f>
        <v>Kisumu</v>
      </c>
      <c r="D229" s="36" t="str">
        <f aca="false">IF(Raw_Export!$A229="","",IFERROR(VLOOKUP(LOWER(TRIM(Raw_Export!D229)),Maps!$G$2:$I$80,2,FALSE()),"UNMAPPED"))</f>
        <v>Toothpaste 100g</v>
      </c>
      <c r="E229" s="36" t="str">
        <f aca="false">IF(Raw_Export!$A229="","",IFERROR(VLOOKUP(LOWER(TRIM(Raw_Export!D229)),Maps!$G$2:$I$80,3,FALSE()),"UNMAPPED"))</f>
        <v>Personal Care</v>
      </c>
      <c r="F229" s="36" t="n">
        <f aca="false">IF(Raw_Export!$A229="","",IFERROR(VALUE(TRIM(Raw_Export!E229)),0))</f>
        <v>2</v>
      </c>
      <c r="G229" s="38" t="n">
        <f aca="false">IF(Raw_Export!$A229="","",IFERROR(VALUE(SUBSTITUTE(SUBSTITUTE(UPPER(TRIM(Raw_Export!F229)),"KES",""),",","")),0))</f>
        <v>195</v>
      </c>
      <c r="H229" s="38" t="n">
        <f aca="false">IF(Raw_Export!$A229="","",F229*G229)</f>
        <v>390</v>
      </c>
      <c r="I229" s="36" t="str">
        <f aca="false">IF(Raw_Export!$A229="","",IFERROR(VLOOKUP(LOWER(TRIM(Raw_Export!H229)),Maps!$D$2:$E$12,2,FALSE()),"Other"))</f>
        <v>Cash</v>
      </c>
      <c r="J229" s="36" t="str">
        <f aca="false">IF(Raw_Export!$A229="","",IF(COUNTIF($A$2:A229,A229)&gt;1,"Duplicate",""))</f>
        <v/>
      </c>
      <c r="K229" s="36" t="str">
        <f aca="false">IF(Raw_Export!$A229="","",IF(J229="Duplicate","Duplicate",IF(OR(C229="UNMAPPED",D229="UNMAPPED"),"Unmapped",IF(F229=0,"Blank qty",IF(F229&lt;0,"Return","OK")))))</f>
        <v>OK</v>
      </c>
      <c r="L229" s="36" t="n">
        <f aca="false">IF(Raw_Export!$A229="","",IF(OR(K229="OK",K229="Return"),1,0))</f>
        <v>1</v>
      </c>
      <c r="M229" s="37" t="n">
        <f aca="false">IF(Raw_Export!$A229="","",B229-WEEKDAY(B229,2)+1)</f>
        <v>46265</v>
      </c>
    </row>
    <row r="230" customFormat="false" ht="15" hidden="false" customHeight="false" outlineLevel="0" collapsed="false">
      <c r="A230" s="36" t="str">
        <f aca="false">IF(Raw_Export!$A230="","",TRIM(Raw_Export!A230))</f>
        <v>TXN-100226</v>
      </c>
      <c r="B230" s="37" t="n">
        <f aca="false">IF(Raw_Export!$A230="","",IF(ISNUMBER(Raw_Export!B230),Raw_Export!B230,IF(MID(TRIM(Raw_Export!B230),5,1)="-",DATE(LEFT(TRIM(Raw_Export!B230),4),MID(TRIM(Raw_Export!B230),6,2),RIGHT(TRIM(Raw_Export!B230),2)),DATE(RIGHT(TRIM(Raw_Export!B230),4),MATCH(MID(TRIM(Raw_Export!B230),4,3),{"Jan","Feb","Mar","Apr","May","Jun","Jul","Aug","Sep","Oct","Nov","Dec"},0),LEFT(TRIM(Raw_Export!B230),2)))))</f>
        <v>46266</v>
      </c>
      <c r="C230" s="36" t="str">
        <f aca="false">IF(Raw_Export!$A230="","",IFERROR(VLOOKUP(LOWER(TRIM(Raw_Export!C230)),Maps!$A$2:$B$20,2,FALSE()),"UNMAPPED"))</f>
        <v>Kisumu</v>
      </c>
      <c r="D230" s="36" t="str">
        <f aca="false">IF(Raw_Export!$A230="","",IFERROR(VLOOKUP(LOWER(TRIM(Raw_Export!D230)),Maps!$G$2:$I$80,2,FALSE()),"UNMAPPED"))</f>
        <v>Cooking Oil 1L</v>
      </c>
      <c r="E230" s="36" t="str">
        <f aca="false">IF(Raw_Export!$A230="","",IFERROR(VLOOKUP(LOWER(TRIM(Raw_Export!D230)),Maps!$G$2:$I$80,3,FALSE()),"UNMAPPED"))</f>
        <v>Staples</v>
      </c>
      <c r="F230" s="36" t="n">
        <f aca="false">IF(Raw_Export!$A230="","",IFERROR(VALUE(TRIM(Raw_Export!E230)),0))</f>
        <v>2</v>
      </c>
      <c r="G230" s="38" t="n">
        <f aca="false">IF(Raw_Export!$A230="","",IFERROR(VALUE(SUBSTITUTE(SUBSTITUTE(UPPER(TRIM(Raw_Export!F230)),"KES",""),",","")),0))</f>
        <v>330</v>
      </c>
      <c r="H230" s="38" t="n">
        <f aca="false">IF(Raw_Export!$A230="","",F230*G230)</f>
        <v>660</v>
      </c>
      <c r="I230" s="36" t="str">
        <f aca="false">IF(Raw_Export!$A230="","",IFERROR(VLOOKUP(LOWER(TRIM(Raw_Export!H230)),Maps!$D$2:$E$12,2,FALSE()),"Other"))</f>
        <v>Cash</v>
      </c>
      <c r="J230" s="36" t="str">
        <f aca="false">IF(Raw_Export!$A230="","",IF(COUNTIF($A$2:A230,A230)&gt;1,"Duplicate",""))</f>
        <v/>
      </c>
      <c r="K230" s="36" t="str">
        <f aca="false">IF(Raw_Export!$A230="","",IF(J230="Duplicate","Duplicate",IF(OR(C230="UNMAPPED",D230="UNMAPPED"),"Unmapped",IF(F230=0,"Blank qty",IF(F230&lt;0,"Return","OK")))))</f>
        <v>OK</v>
      </c>
      <c r="L230" s="36" t="n">
        <f aca="false">IF(Raw_Export!$A230="","",IF(OR(K230="OK",K230="Return"),1,0))</f>
        <v>1</v>
      </c>
      <c r="M230" s="37" t="n">
        <f aca="false">IF(Raw_Export!$A230="","",B230-WEEKDAY(B230,2)+1)</f>
        <v>46265</v>
      </c>
    </row>
    <row r="231" customFormat="false" ht="15" hidden="false" customHeight="false" outlineLevel="0" collapsed="false">
      <c r="A231" s="36" t="str">
        <f aca="false">IF(Raw_Export!$A231="","",TRIM(Raw_Export!A231))</f>
        <v>TXN-100227</v>
      </c>
      <c r="B231" s="37" t="n">
        <f aca="false">IF(Raw_Export!$A231="","",IF(ISNUMBER(Raw_Export!B231),Raw_Export!B231,IF(MID(TRIM(Raw_Export!B231),5,1)="-",DATE(LEFT(TRIM(Raw_Export!B231),4),MID(TRIM(Raw_Export!B231),6,2),RIGHT(TRIM(Raw_Export!B231),2)),DATE(RIGHT(TRIM(Raw_Export!B231),4),MATCH(MID(TRIM(Raw_Export!B231),4,3),{"Jan","Feb","Mar","Apr","May","Jun","Jul","Aug","Sep","Oct","Nov","Dec"},0),LEFT(TRIM(Raw_Export!B231),2)))))</f>
        <v>46266</v>
      </c>
      <c r="C231" s="36" t="str">
        <f aca="false">IF(Raw_Export!$A231="","",IFERROR(VLOOKUP(LOWER(TRIM(Raw_Export!C231)),Maps!$A$2:$B$20,2,FALSE()),"UNMAPPED"))</f>
        <v>Kisumu</v>
      </c>
      <c r="D231" s="36" t="str">
        <f aca="false">IF(Raw_Export!$A231="","",IFERROR(VLOOKUP(LOWER(TRIM(Raw_Export!D231)),Maps!$G$2:$I$80,2,FALSE()),"UNMAPPED"))</f>
        <v>Cooking Oil 1L</v>
      </c>
      <c r="E231" s="36" t="str">
        <f aca="false">IF(Raw_Export!$A231="","",IFERROR(VLOOKUP(LOWER(TRIM(Raw_Export!D231)),Maps!$G$2:$I$80,3,FALSE()),"UNMAPPED"))</f>
        <v>Staples</v>
      </c>
      <c r="F231" s="36" t="n">
        <f aca="false">IF(Raw_Export!$A231="","",IFERROR(VALUE(TRIM(Raw_Export!E231)),0))</f>
        <v>1</v>
      </c>
      <c r="G231" s="38" t="n">
        <f aca="false">IF(Raw_Export!$A231="","",IFERROR(VALUE(SUBSTITUTE(SUBSTITUTE(UPPER(TRIM(Raw_Export!F231)),"KES",""),",","")),0))</f>
        <v>297</v>
      </c>
      <c r="H231" s="38" t="n">
        <f aca="false">IF(Raw_Export!$A231="","",F231*G231)</f>
        <v>297</v>
      </c>
      <c r="I231" s="36" t="str">
        <f aca="false">IF(Raw_Export!$A231="","",IFERROR(VLOOKUP(LOWER(TRIM(Raw_Export!H231)),Maps!$D$2:$E$12,2,FALSE()),"Other"))</f>
        <v>Cash</v>
      </c>
      <c r="J231" s="36" t="str">
        <f aca="false">IF(Raw_Export!$A231="","",IF(COUNTIF($A$2:A231,A231)&gt;1,"Duplicate",""))</f>
        <v/>
      </c>
      <c r="K231" s="36" t="str">
        <f aca="false">IF(Raw_Export!$A231="","",IF(J231="Duplicate","Duplicate",IF(OR(C231="UNMAPPED",D231="UNMAPPED"),"Unmapped",IF(F231=0,"Blank qty",IF(F231&lt;0,"Return","OK")))))</f>
        <v>OK</v>
      </c>
      <c r="L231" s="36" t="n">
        <f aca="false">IF(Raw_Export!$A231="","",IF(OR(K231="OK",K231="Return"),1,0))</f>
        <v>1</v>
      </c>
      <c r="M231" s="37" t="n">
        <f aca="false">IF(Raw_Export!$A231="","",B231-WEEKDAY(B231,2)+1)</f>
        <v>46265</v>
      </c>
    </row>
    <row r="232" customFormat="false" ht="15" hidden="false" customHeight="false" outlineLevel="0" collapsed="false">
      <c r="A232" s="36" t="str">
        <f aca="false">IF(Raw_Export!$A232="","",TRIM(Raw_Export!A232))</f>
        <v>TXN-100228</v>
      </c>
      <c r="B232" s="37" t="n">
        <f aca="false">IF(Raw_Export!$A232="","",IF(ISNUMBER(Raw_Export!B232),Raw_Export!B232,IF(MID(TRIM(Raw_Export!B232),5,1)="-",DATE(LEFT(TRIM(Raw_Export!B232),4),MID(TRIM(Raw_Export!B232),6,2),RIGHT(TRIM(Raw_Export!B232),2)),DATE(RIGHT(TRIM(Raw_Export!B232),4),MATCH(MID(TRIM(Raw_Export!B232),4,3),{"Jan","Feb","Mar","Apr","May","Jun","Jul","Aug","Sep","Oct","Nov","Dec"},0),LEFT(TRIM(Raw_Export!B232),2)))))</f>
        <v>46266</v>
      </c>
      <c r="C232" s="36" t="str">
        <f aca="false">IF(Raw_Export!$A232="","",IFERROR(VLOOKUP(LOWER(TRIM(Raw_Export!C232)),Maps!$A$2:$B$20,2,FALSE()),"UNMAPPED"))</f>
        <v>Kisumu</v>
      </c>
      <c r="D232" s="36" t="str">
        <f aca="false">IF(Raw_Export!$A232="","",IFERROR(VLOOKUP(LOWER(TRIM(Raw_Export!D232)),Maps!$G$2:$I$80,2,FALSE()),"UNMAPPED"))</f>
        <v>Bleach 1L</v>
      </c>
      <c r="E232" s="36" t="str">
        <f aca="false">IF(Raw_Export!$A232="","",IFERROR(VLOOKUP(LOWER(TRIM(Raw_Export!D232)),Maps!$G$2:$I$80,3,FALSE()),"UNMAPPED"))</f>
        <v>Household</v>
      </c>
      <c r="F232" s="36" t="n">
        <f aca="false">IF(Raw_Export!$A232="","",IFERROR(VALUE(TRIM(Raw_Export!E232)),0))</f>
        <v>2</v>
      </c>
      <c r="G232" s="38" t="n">
        <f aca="false">IF(Raw_Export!$A232="","",IFERROR(VALUE(SUBSTITUTE(SUBSTITUTE(UPPER(TRIM(Raw_Export!F232)),"KES",""),",","")),0))</f>
        <v>160</v>
      </c>
      <c r="H232" s="38" t="n">
        <f aca="false">IF(Raw_Export!$A232="","",F232*G232)</f>
        <v>320</v>
      </c>
      <c r="I232" s="36" t="str">
        <f aca="false">IF(Raw_Export!$A232="","",IFERROR(VLOOKUP(LOWER(TRIM(Raw_Export!H232)),Maps!$D$2:$E$12,2,FALSE()),"Other"))</f>
        <v>M-Pesa</v>
      </c>
      <c r="J232" s="36" t="str">
        <f aca="false">IF(Raw_Export!$A232="","",IF(COUNTIF($A$2:A232,A232)&gt;1,"Duplicate",""))</f>
        <v/>
      </c>
      <c r="K232" s="36" t="str">
        <f aca="false">IF(Raw_Export!$A232="","",IF(J232="Duplicate","Duplicate",IF(OR(C232="UNMAPPED",D232="UNMAPPED"),"Unmapped",IF(F232=0,"Blank qty",IF(F232&lt;0,"Return","OK")))))</f>
        <v>OK</v>
      </c>
      <c r="L232" s="36" t="n">
        <f aca="false">IF(Raw_Export!$A232="","",IF(OR(K232="OK",K232="Return"),1,0))</f>
        <v>1</v>
      </c>
      <c r="M232" s="37" t="n">
        <f aca="false">IF(Raw_Export!$A232="","",B232-WEEKDAY(B232,2)+1)</f>
        <v>46265</v>
      </c>
    </row>
    <row r="233" customFormat="false" ht="15" hidden="false" customHeight="false" outlineLevel="0" collapsed="false">
      <c r="A233" s="36" t="str">
        <f aca="false">IF(Raw_Export!$A233="","",TRIM(Raw_Export!A233))</f>
        <v>TXN-100229</v>
      </c>
      <c r="B233" s="37" t="n">
        <f aca="false">IF(Raw_Export!$A233="","",IF(ISNUMBER(Raw_Export!B233),Raw_Export!B233,IF(MID(TRIM(Raw_Export!B233),5,1)="-",DATE(LEFT(TRIM(Raw_Export!B233),4),MID(TRIM(Raw_Export!B233),6,2),RIGHT(TRIM(Raw_Export!B233),2)),DATE(RIGHT(TRIM(Raw_Export!B233),4),MATCH(MID(TRIM(Raw_Export!B233),4,3),{"Jan","Feb","Mar","Apr","May","Jun","Jul","Aug","Sep","Oct","Nov","Dec"},0),LEFT(TRIM(Raw_Export!B233),2)))))</f>
        <v>46266</v>
      </c>
      <c r="C233" s="36" t="str">
        <f aca="false">IF(Raw_Export!$A233="","",IFERROR(VLOOKUP(LOWER(TRIM(Raw_Export!C233)),Maps!$A$2:$B$20,2,FALSE()),"UNMAPPED"))</f>
        <v>Kisumu</v>
      </c>
      <c r="D233" s="36" t="str">
        <f aca="false">IF(Raw_Export!$A233="","",IFERROR(VLOOKUP(LOWER(TRIM(Raw_Export!D233)),Maps!$G$2:$I$80,2,FALSE()),"UNMAPPED"))</f>
        <v>Peanuts 250g</v>
      </c>
      <c r="E233" s="36" t="str">
        <f aca="false">IF(Raw_Export!$A233="","",IFERROR(VLOOKUP(LOWER(TRIM(Raw_Export!D233)),Maps!$G$2:$I$80,3,FALSE()),"UNMAPPED"))</f>
        <v>Snacks</v>
      </c>
      <c r="F233" s="36" t="n">
        <f aca="false">IF(Raw_Export!$A233="","",IFERROR(VALUE(TRIM(Raw_Export!E233)),0))</f>
        <v>4</v>
      </c>
      <c r="G233" s="38" t="n">
        <f aca="false">IF(Raw_Export!$A233="","",IFERROR(VALUE(SUBSTITUTE(SUBSTITUTE(UPPER(TRIM(Raw_Export!F233)),"KES",""),",","")),0))</f>
        <v>130</v>
      </c>
      <c r="H233" s="38" t="n">
        <f aca="false">IF(Raw_Export!$A233="","",F233*G233)</f>
        <v>520</v>
      </c>
      <c r="I233" s="36" t="str">
        <f aca="false">IF(Raw_Export!$A233="","",IFERROR(VLOOKUP(LOWER(TRIM(Raw_Export!H233)),Maps!$D$2:$E$12,2,FALSE()),"Other"))</f>
        <v>M-Pesa</v>
      </c>
      <c r="J233" s="36" t="str">
        <f aca="false">IF(Raw_Export!$A233="","",IF(COUNTIF($A$2:A233,A233)&gt;1,"Duplicate",""))</f>
        <v/>
      </c>
      <c r="K233" s="36" t="str">
        <f aca="false">IF(Raw_Export!$A233="","",IF(J233="Duplicate","Duplicate",IF(OR(C233="UNMAPPED",D233="UNMAPPED"),"Unmapped",IF(F233=0,"Blank qty",IF(F233&lt;0,"Return","OK")))))</f>
        <v>OK</v>
      </c>
      <c r="L233" s="36" t="n">
        <f aca="false">IF(Raw_Export!$A233="","",IF(OR(K233="OK",K233="Return"),1,0))</f>
        <v>1</v>
      </c>
      <c r="M233" s="37" t="n">
        <f aca="false">IF(Raw_Export!$A233="","",B233-WEEKDAY(B233,2)+1)</f>
        <v>46265</v>
      </c>
    </row>
    <row r="234" customFormat="false" ht="15" hidden="false" customHeight="false" outlineLevel="0" collapsed="false">
      <c r="A234" s="36" t="str">
        <f aca="false">IF(Raw_Export!$A234="","",TRIM(Raw_Export!A234))</f>
        <v>TXN-100230</v>
      </c>
      <c r="B234" s="37" t="n">
        <f aca="false">IF(Raw_Export!$A234="","",IF(ISNUMBER(Raw_Export!B234),Raw_Export!B234,IF(MID(TRIM(Raw_Export!B234),5,1)="-",DATE(LEFT(TRIM(Raw_Export!B234),4),MID(TRIM(Raw_Export!B234),6,2),RIGHT(TRIM(Raw_Export!B234),2)),DATE(RIGHT(TRIM(Raw_Export!B234),4),MATCH(MID(TRIM(Raw_Export!B234),4,3),{"Jan","Feb","Mar","Apr","May","Jun","Jul","Aug","Sep","Oct","Nov","Dec"},0),LEFT(TRIM(Raw_Export!B234),2)))))</f>
        <v>46266</v>
      </c>
      <c r="C234" s="36" t="str">
        <f aca="false">IF(Raw_Export!$A234="","",IFERROR(VLOOKUP(LOWER(TRIM(Raw_Export!C234)),Maps!$A$2:$B$20,2,FALSE()),"UNMAPPED"))</f>
        <v>Kisumu</v>
      </c>
      <c r="D234" s="36" t="str">
        <f aca="false">IF(Raw_Export!$A234="","",IFERROR(VLOOKUP(LOWER(TRIM(Raw_Export!D234)),Maps!$G$2:$I$80,2,FALSE()),"UNMAPPED"))</f>
        <v>Fresh Milk 500ml</v>
      </c>
      <c r="E234" s="36" t="str">
        <f aca="false">IF(Raw_Export!$A234="","",IFERROR(VLOOKUP(LOWER(TRIM(Raw_Export!D234)),Maps!$G$2:$I$80,3,FALSE()),"UNMAPPED"))</f>
        <v>Dairy &amp; Eggs</v>
      </c>
      <c r="F234" s="36" t="n">
        <f aca="false">IF(Raw_Export!$A234="","",IFERROR(VALUE(TRIM(Raw_Export!E234)),0))</f>
        <v>6</v>
      </c>
      <c r="G234" s="38" t="n">
        <f aca="false">IF(Raw_Export!$A234="","",IFERROR(VALUE(SUBSTITUTE(SUBSTITUTE(UPPER(TRIM(Raw_Export!F234)),"KES",""),",","")),0))</f>
        <v>65</v>
      </c>
      <c r="H234" s="38" t="n">
        <f aca="false">IF(Raw_Export!$A234="","",F234*G234)</f>
        <v>390</v>
      </c>
      <c r="I234" s="36" t="str">
        <f aca="false">IF(Raw_Export!$A234="","",IFERROR(VLOOKUP(LOWER(TRIM(Raw_Export!H234)),Maps!$D$2:$E$12,2,FALSE()),"Other"))</f>
        <v>M-Pesa</v>
      </c>
      <c r="J234" s="36" t="str">
        <f aca="false">IF(Raw_Export!$A234="","",IF(COUNTIF($A$2:A234,A234)&gt;1,"Duplicate",""))</f>
        <v/>
      </c>
      <c r="K234" s="36" t="str">
        <f aca="false">IF(Raw_Export!$A234="","",IF(J234="Duplicate","Duplicate",IF(OR(C234="UNMAPPED",D234="UNMAPPED"),"Unmapped",IF(F234=0,"Blank qty",IF(F234&lt;0,"Return","OK")))))</f>
        <v>OK</v>
      </c>
      <c r="L234" s="36" t="n">
        <f aca="false">IF(Raw_Export!$A234="","",IF(OR(K234="OK",K234="Return"),1,0))</f>
        <v>1</v>
      </c>
      <c r="M234" s="37" t="n">
        <f aca="false">IF(Raw_Export!$A234="","",B234-WEEKDAY(B234,2)+1)</f>
        <v>46265</v>
      </c>
    </row>
    <row r="235" customFormat="false" ht="15" hidden="false" customHeight="false" outlineLevel="0" collapsed="false">
      <c r="A235" s="36" t="str">
        <f aca="false">IF(Raw_Export!$A235="","",TRIM(Raw_Export!A235))</f>
        <v>TXN-100231</v>
      </c>
      <c r="B235" s="37" t="n">
        <f aca="false">IF(Raw_Export!$A235="","",IF(ISNUMBER(Raw_Export!B235),Raw_Export!B235,IF(MID(TRIM(Raw_Export!B235),5,1)="-",DATE(LEFT(TRIM(Raw_Export!B235),4),MID(TRIM(Raw_Export!B235),6,2),RIGHT(TRIM(Raw_Export!B235),2)),DATE(RIGHT(TRIM(Raw_Export!B235),4),MATCH(MID(TRIM(Raw_Export!B235),4,3),{"Jan","Feb","Mar","Apr","May","Jun","Jul","Aug","Sep","Oct","Nov","Dec"},0),LEFT(TRIM(Raw_Export!B235),2)))))</f>
        <v>46266</v>
      </c>
      <c r="C235" s="36" t="str">
        <f aca="false">IF(Raw_Export!$A235="","",IFERROR(VLOOKUP(LOWER(TRIM(Raw_Export!C235)),Maps!$A$2:$B$20,2,FALSE()),"UNMAPPED"))</f>
        <v>Nakuru</v>
      </c>
      <c r="D235" s="36" t="str">
        <f aca="false">IF(Raw_Export!$A235="","",IFERROR(VLOOKUP(LOWER(TRIM(Raw_Export!D235)),Maps!$G$2:$I$80,2,FALSE()),"UNMAPPED"))</f>
        <v>Unga Pembe 2kg</v>
      </c>
      <c r="E235" s="36" t="str">
        <f aca="false">IF(Raw_Export!$A235="","",IFERROR(VLOOKUP(LOWER(TRIM(Raw_Export!D235)),Maps!$G$2:$I$80,3,FALSE()),"UNMAPPED"))</f>
        <v>Staples</v>
      </c>
      <c r="F235" s="36" t="n">
        <f aca="false">IF(Raw_Export!$A235="","",IFERROR(VALUE(TRIM(Raw_Export!E235)),0))</f>
        <v>2</v>
      </c>
      <c r="G235" s="38" t="n">
        <f aca="false">IF(Raw_Export!$A235="","",IFERROR(VALUE(SUBSTITUTE(SUBSTITUTE(UPPER(TRIM(Raw_Export!F235)),"KES",""),",","")),0))</f>
        <v>190</v>
      </c>
      <c r="H235" s="38" t="n">
        <f aca="false">IF(Raw_Export!$A235="","",F235*G235)</f>
        <v>380</v>
      </c>
      <c r="I235" s="36" t="str">
        <f aca="false">IF(Raw_Export!$A235="","",IFERROR(VLOOKUP(LOWER(TRIM(Raw_Export!H235)),Maps!$D$2:$E$12,2,FALSE()),"Other"))</f>
        <v>Card</v>
      </c>
      <c r="J235" s="36" t="str">
        <f aca="false">IF(Raw_Export!$A235="","",IF(COUNTIF($A$2:A235,A235)&gt;1,"Duplicate",""))</f>
        <v/>
      </c>
      <c r="K235" s="36" t="str">
        <f aca="false">IF(Raw_Export!$A235="","",IF(J235="Duplicate","Duplicate",IF(OR(C235="UNMAPPED",D235="UNMAPPED"),"Unmapped",IF(F235=0,"Blank qty",IF(F235&lt;0,"Return","OK")))))</f>
        <v>OK</v>
      </c>
      <c r="L235" s="36" t="n">
        <f aca="false">IF(Raw_Export!$A235="","",IF(OR(K235="OK",K235="Return"),1,0))</f>
        <v>1</v>
      </c>
      <c r="M235" s="37" t="n">
        <f aca="false">IF(Raw_Export!$A235="","",B235-WEEKDAY(B235,2)+1)</f>
        <v>46265</v>
      </c>
    </row>
    <row r="236" customFormat="false" ht="15" hidden="false" customHeight="false" outlineLevel="0" collapsed="false">
      <c r="A236" s="36" t="str">
        <f aca="false">IF(Raw_Export!$A236="","",TRIM(Raw_Export!A236))</f>
        <v>TXN-100232</v>
      </c>
      <c r="B236" s="37" t="n">
        <f aca="false">IF(Raw_Export!$A236="","",IF(ISNUMBER(Raw_Export!B236),Raw_Export!B236,IF(MID(TRIM(Raw_Export!B236),5,1)="-",DATE(LEFT(TRIM(Raw_Export!B236),4),MID(TRIM(Raw_Export!B236),6,2),RIGHT(TRIM(Raw_Export!B236),2)),DATE(RIGHT(TRIM(Raw_Export!B236),4),MATCH(MID(TRIM(Raw_Export!B236),4,3),{"Jan","Feb","Mar","Apr","May","Jun","Jul","Aug","Sep","Oct","Nov","Dec"},0),LEFT(TRIM(Raw_Export!B236),2)))))</f>
        <v>46266</v>
      </c>
      <c r="C236" s="36" t="str">
        <f aca="false">IF(Raw_Export!$A236="","",IFERROR(VLOOKUP(LOWER(TRIM(Raw_Export!C236)),Maps!$A$2:$B$20,2,FALSE()),"UNMAPPED"))</f>
        <v>Nakuru</v>
      </c>
      <c r="D236" s="36" t="str">
        <f aca="false">IF(Raw_Export!$A236="","",IFERROR(VLOOKUP(LOWER(TRIM(Raw_Export!D236)),Maps!$G$2:$I$80,2,FALSE()),"UNMAPPED"))</f>
        <v>Juice 1L</v>
      </c>
      <c r="E236" s="36" t="str">
        <f aca="false">IF(Raw_Export!$A236="","",IFERROR(VLOOKUP(LOWER(TRIM(Raw_Export!D236)),Maps!$G$2:$I$80,3,FALSE()),"UNMAPPED"))</f>
        <v>Beverages</v>
      </c>
      <c r="F236" s="36" t="n">
        <f aca="false">IF(Raw_Export!$A236="","",IFERROR(VALUE(TRIM(Raw_Export!E236)),0))</f>
        <v>6</v>
      </c>
      <c r="G236" s="38" t="n">
        <f aca="false">IF(Raw_Export!$A236="","",IFERROR(VALUE(SUBSTITUTE(SUBSTITUTE(UPPER(TRIM(Raw_Export!F236)),"KES",""),",","")),0))</f>
        <v>210</v>
      </c>
      <c r="H236" s="38" t="n">
        <f aca="false">IF(Raw_Export!$A236="","",F236*G236)</f>
        <v>1260</v>
      </c>
      <c r="I236" s="36" t="str">
        <f aca="false">IF(Raw_Export!$A236="","",IFERROR(VLOOKUP(LOWER(TRIM(Raw_Export!H236)),Maps!$D$2:$E$12,2,FALSE()),"Other"))</f>
        <v>M-Pesa</v>
      </c>
      <c r="J236" s="36" t="str">
        <f aca="false">IF(Raw_Export!$A236="","",IF(COUNTIF($A$2:A236,A236)&gt;1,"Duplicate",""))</f>
        <v/>
      </c>
      <c r="K236" s="36" t="str">
        <f aca="false">IF(Raw_Export!$A236="","",IF(J236="Duplicate","Duplicate",IF(OR(C236="UNMAPPED",D236="UNMAPPED"),"Unmapped",IF(F236=0,"Blank qty",IF(F236&lt;0,"Return","OK")))))</f>
        <v>OK</v>
      </c>
      <c r="L236" s="36" t="n">
        <f aca="false">IF(Raw_Export!$A236="","",IF(OR(K236="OK",K236="Return"),1,0))</f>
        <v>1</v>
      </c>
      <c r="M236" s="37" t="n">
        <f aca="false">IF(Raw_Export!$A236="","",B236-WEEKDAY(B236,2)+1)</f>
        <v>46265</v>
      </c>
    </row>
    <row r="237" customFormat="false" ht="15" hidden="false" customHeight="false" outlineLevel="0" collapsed="false">
      <c r="A237" s="36" t="str">
        <f aca="false">IF(Raw_Export!$A237="","",TRIM(Raw_Export!A237))</f>
        <v>TXN-100233</v>
      </c>
      <c r="B237" s="37" t="n">
        <f aca="false">IF(Raw_Export!$A237="","",IF(ISNUMBER(Raw_Export!B237),Raw_Export!B237,IF(MID(TRIM(Raw_Export!B237),5,1)="-",DATE(LEFT(TRIM(Raw_Export!B237),4),MID(TRIM(Raw_Export!B237),6,2),RIGHT(TRIM(Raw_Export!B237),2)),DATE(RIGHT(TRIM(Raw_Export!B237),4),MATCH(MID(TRIM(Raw_Export!B237),4,3),{"Jan","Feb","Mar","Apr","May","Jun","Jul","Aug","Sep","Oct","Nov","Dec"},0),LEFT(TRIM(Raw_Export!B237),2)))))</f>
        <v>46266</v>
      </c>
      <c r="C237" s="36" t="str">
        <f aca="false">IF(Raw_Export!$A237="","",IFERROR(VLOOKUP(LOWER(TRIM(Raw_Export!C237)),Maps!$A$2:$B$20,2,FALSE()),"UNMAPPED"))</f>
        <v>Nakuru</v>
      </c>
      <c r="D237" s="36" t="str">
        <f aca="false">IF(Raw_Export!$A237="","",IFERROR(VLOOKUP(LOWER(TRIM(Raw_Export!D237)),Maps!$G$2:$I$80,2,FALSE()),"UNMAPPED"))</f>
        <v>Coffee 100g</v>
      </c>
      <c r="E237" s="36" t="str">
        <f aca="false">IF(Raw_Export!$A237="","",IFERROR(VLOOKUP(LOWER(TRIM(Raw_Export!D237)),Maps!$G$2:$I$80,3,FALSE()),"UNMAPPED"))</f>
        <v>Beverages</v>
      </c>
      <c r="F237" s="36" t="n">
        <f aca="false">IF(Raw_Export!$A237="","",IFERROR(VALUE(TRIM(Raw_Export!E237)),0))</f>
        <v>1</v>
      </c>
      <c r="G237" s="38" t="n">
        <f aca="false">IF(Raw_Export!$A237="","",IFERROR(VALUE(SUBSTITUTE(SUBSTITUTE(UPPER(TRIM(Raw_Export!F237)),"KES",""),",","")),0))</f>
        <v>360</v>
      </c>
      <c r="H237" s="38" t="n">
        <f aca="false">IF(Raw_Export!$A237="","",F237*G237)</f>
        <v>360</v>
      </c>
      <c r="I237" s="36" t="str">
        <f aca="false">IF(Raw_Export!$A237="","",IFERROR(VLOOKUP(LOWER(TRIM(Raw_Export!H237)),Maps!$D$2:$E$12,2,FALSE()),"Other"))</f>
        <v>Cash</v>
      </c>
      <c r="J237" s="36" t="str">
        <f aca="false">IF(Raw_Export!$A237="","",IF(COUNTIF($A$2:A237,A237)&gt;1,"Duplicate",""))</f>
        <v/>
      </c>
      <c r="K237" s="36" t="str">
        <f aca="false">IF(Raw_Export!$A237="","",IF(J237="Duplicate","Duplicate",IF(OR(C237="UNMAPPED",D237="UNMAPPED"),"Unmapped",IF(F237=0,"Blank qty",IF(F237&lt;0,"Return","OK")))))</f>
        <v>OK</v>
      </c>
      <c r="L237" s="36" t="n">
        <f aca="false">IF(Raw_Export!$A237="","",IF(OR(K237="OK",K237="Return"),1,0))</f>
        <v>1</v>
      </c>
      <c r="M237" s="37" t="n">
        <f aca="false">IF(Raw_Export!$A237="","",B237-WEEKDAY(B237,2)+1)</f>
        <v>46265</v>
      </c>
    </row>
    <row r="238" customFormat="false" ht="15" hidden="false" customHeight="false" outlineLevel="0" collapsed="false">
      <c r="A238" s="36" t="str">
        <f aca="false">IF(Raw_Export!$A238="","",TRIM(Raw_Export!A238))</f>
        <v>TXN-100234</v>
      </c>
      <c r="B238" s="37" t="n">
        <f aca="false">IF(Raw_Export!$A238="","",IF(ISNUMBER(Raw_Export!B238),Raw_Export!B238,IF(MID(TRIM(Raw_Export!B238),5,1)="-",DATE(LEFT(TRIM(Raw_Export!B238),4),MID(TRIM(Raw_Export!B238),6,2),RIGHT(TRIM(Raw_Export!B238),2)),DATE(RIGHT(TRIM(Raw_Export!B238),4),MATCH(MID(TRIM(Raw_Export!B238),4,3),{"Jan","Feb","Mar","Apr","May","Jun","Jul","Aug","Sep","Oct","Nov","Dec"},0),LEFT(TRIM(Raw_Export!B238),2)))))</f>
        <v>46266</v>
      </c>
      <c r="C238" s="36" t="str">
        <f aca="false">IF(Raw_Export!$A238="","",IFERROR(VLOOKUP(LOWER(TRIM(Raw_Export!C238)),Maps!$A$2:$B$20,2,FALSE()),"UNMAPPED"))</f>
        <v>Nakuru</v>
      </c>
      <c r="D238" s="36" t="str">
        <f aca="false">IF(Raw_Export!$A238="","",IFERROR(VLOOKUP(LOWER(TRIM(Raw_Export!D238)),Maps!$G$2:$I$80,2,FALSE()),"UNMAPPED"))</f>
        <v>Bleach 1L</v>
      </c>
      <c r="E238" s="36" t="str">
        <f aca="false">IF(Raw_Export!$A238="","",IFERROR(VLOOKUP(LOWER(TRIM(Raw_Export!D238)),Maps!$G$2:$I$80,3,FALSE()),"UNMAPPED"))</f>
        <v>Household</v>
      </c>
      <c r="F238" s="36" t="n">
        <f aca="false">IF(Raw_Export!$A238="","",IFERROR(VALUE(TRIM(Raw_Export!E238)),0))</f>
        <v>1</v>
      </c>
      <c r="G238" s="38" t="n">
        <f aca="false">IF(Raw_Export!$A238="","",IFERROR(VALUE(SUBSTITUTE(SUBSTITUTE(UPPER(TRIM(Raw_Export!F238)),"KES",""),",","")),0))</f>
        <v>160</v>
      </c>
      <c r="H238" s="38" t="n">
        <f aca="false">IF(Raw_Export!$A238="","",F238*G238)</f>
        <v>160</v>
      </c>
      <c r="I238" s="36" t="str">
        <f aca="false">IF(Raw_Export!$A238="","",IFERROR(VLOOKUP(LOWER(TRIM(Raw_Export!H238)),Maps!$D$2:$E$12,2,FALSE()),"Other"))</f>
        <v>Cash</v>
      </c>
      <c r="J238" s="36" t="str">
        <f aca="false">IF(Raw_Export!$A238="","",IF(COUNTIF($A$2:A238,A238)&gt;1,"Duplicate",""))</f>
        <v/>
      </c>
      <c r="K238" s="36" t="str">
        <f aca="false">IF(Raw_Export!$A238="","",IF(J238="Duplicate","Duplicate",IF(OR(C238="UNMAPPED",D238="UNMAPPED"),"Unmapped",IF(F238=0,"Blank qty",IF(F238&lt;0,"Return","OK")))))</f>
        <v>OK</v>
      </c>
      <c r="L238" s="36" t="n">
        <f aca="false">IF(Raw_Export!$A238="","",IF(OR(K238="OK",K238="Return"),1,0))</f>
        <v>1</v>
      </c>
      <c r="M238" s="37" t="n">
        <f aca="false">IF(Raw_Export!$A238="","",B238-WEEKDAY(B238,2)+1)</f>
        <v>46265</v>
      </c>
    </row>
    <row r="239" customFormat="false" ht="15" hidden="false" customHeight="false" outlineLevel="0" collapsed="false">
      <c r="A239" s="36" t="str">
        <f aca="false">IF(Raw_Export!$A239="","",TRIM(Raw_Export!A239))</f>
        <v>TXN-100433</v>
      </c>
      <c r="B239" s="37" t="n">
        <f aca="false">IF(Raw_Export!$A239="","",IF(ISNUMBER(Raw_Export!B239),Raw_Export!B239,IF(MID(TRIM(Raw_Export!B239),5,1)="-",DATE(LEFT(TRIM(Raw_Export!B239),4),MID(TRIM(Raw_Export!B239),6,2),RIGHT(TRIM(Raw_Export!B239),2)),DATE(RIGHT(TRIM(Raw_Export!B239),4),MATCH(MID(TRIM(Raw_Export!B239),4,3),{"Jan","Feb","Mar","Apr","May","Jun","Jul","Aug","Sep","Oct","Nov","Dec"},0),LEFT(TRIM(Raw_Export!B239),2)))))</f>
        <v>46268</v>
      </c>
      <c r="C239" s="36" t="str">
        <f aca="false">IF(Raw_Export!$A239="","",IFERROR(VLOOKUP(LOWER(TRIM(Raw_Export!C239)),Maps!$A$2:$B$20,2,FALSE()),"UNMAPPED"))</f>
        <v>Westlands</v>
      </c>
      <c r="D239" s="36" t="str">
        <f aca="false">IF(Raw_Export!$A239="","",IFERROR(VLOOKUP(LOWER(TRIM(Raw_Export!D239)),Maps!$G$2:$I$80,2,FALSE()),"UNMAPPED"))</f>
        <v>Fresh Milk 500ml</v>
      </c>
      <c r="E239" s="36" t="str">
        <f aca="false">IF(Raw_Export!$A239="","",IFERROR(VLOOKUP(LOWER(TRIM(Raw_Export!D239)),Maps!$G$2:$I$80,3,FALSE()),"UNMAPPED"))</f>
        <v>Dairy &amp; Eggs</v>
      </c>
      <c r="F239" s="36" t="n">
        <f aca="false">IF(Raw_Export!$A239="","",IFERROR(VALUE(TRIM(Raw_Export!E239)),0))</f>
        <v>1</v>
      </c>
      <c r="G239" s="38" t="n">
        <f aca="false">IF(Raw_Export!$A239="","",IFERROR(VALUE(SUBSTITUTE(SUBSTITUTE(UPPER(TRIM(Raw_Export!F239)),"KES",""),",","")),0))</f>
        <v>65</v>
      </c>
      <c r="H239" s="38" t="n">
        <f aca="false">IF(Raw_Export!$A239="","",F239*G239)</f>
        <v>65</v>
      </c>
      <c r="I239" s="36" t="str">
        <f aca="false">IF(Raw_Export!$A239="","",IFERROR(VLOOKUP(LOWER(TRIM(Raw_Export!H239)),Maps!$D$2:$E$12,2,FALSE()),"Other"))</f>
        <v>Cash</v>
      </c>
      <c r="J239" s="36" t="str">
        <f aca="false">IF(Raw_Export!$A239="","",IF(COUNTIF($A$2:A239,A239)&gt;1,"Duplicate",""))</f>
        <v/>
      </c>
      <c r="K239" s="36" t="str">
        <f aca="false">IF(Raw_Export!$A239="","",IF(J239="Duplicate","Duplicate",IF(OR(C239="UNMAPPED",D239="UNMAPPED"),"Unmapped",IF(F239=0,"Blank qty",IF(F239&lt;0,"Return","OK")))))</f>
        <v>OK</v>
      </c>
      <c r="L239" s="36" t="n">
        <f aca="false">IF(Raw_Export!$A239="","",IF(OR(K239="OK",K239="Return"),1,0))</f>
        <v>1</v>
      </c>
      <c r="M239" s="37" t="n">
        <f aca="false">IF(Raw_Export!$A239="","",B239-WEEKDAY(B239,2)+1)</f>
        <v>46265</v>
      </c>
    </row>
    <row r="240" customFormat="false" ht="15" hidden="false" customHeight="false" outlineLevel="0" collapsed="false">
      <c r="A240" s="36" t="str">
        <f aca="false">IF(Raw_Export!$A240="","",TRIM(Raw_Export!A240))</f>
        <v>TXN-100235</v>
      </c>
      <c r="B240" s="37" t="n">
        <f aca="false">IF(Raw_Export!$A240="","",IF(ISNUMBER(Raw_Export!B240),Raw_Export!B240,IF(MID(TRIM(Raw_Export!B240),5,1)="-",DATE(LEFT(TRIM(Raw_Export!B240),4),MID(TRIM(Raw_Export!B240),6,2),RIGHT(TRIM(Raw_Export!B240),2)),DATE(RIGHT(TRIM(Raw_Export!B240),4),MATCH(MID(TRIM(Raw_Export!B240),4,3),{"Jan","Feb","Mar","Apr","May","Jun","Jul","Aug","Sep","Oct","Nov","Dec"},0),LEFT(TRIM(Raw_Export!B240),2)))))</f>
        <v>46266</v>
      </c>
      <c r="C240" s="36" t="str">
        <f aca="false">IF(Raw_Export!$A240="","",IFERROR(VLOOKUP(LOWER(TRIM(Raw_Export!C240)),Maps!$A$2:$B$20,2,FALSE()),"UNMAPPED"))</f>
        <v>Nakuru</v>
      </c>
      <c r="D240" s="36" t="str">
        <f aca="false">IF(Raw_Export!$A240="","",IFERROR(VLOOKUP(LOWER(TRIM(Raw_Export!D240)),Maps!$G$2:$I$80,2,FALSE()),"UNMAPPED"))</f>
        <v>Soda 500ml</v>
      </c>
      <c r="E240" s="36" t="str">
        <f aca="false">IF(Raw_Export!$A240="","",IFERROR(VLOOKUP(LOWER(TRIM(Raw_Export!D240)),Maps!$G$2:$I$80,3,FALSE()),"UNMAPPED"))</f>
        <v>Beverages</v>
      </c>
      <c r="F240" s="36" t="n">
        <f aca="false">IF(Raw_Export!$A240="","",IFERROR(VALUE(TRIM(Raw_Export!E240)),0))</f>
        <v>1</v>
      </c>
      <c r="G240" s="38" t="n">
        <f aca="false">IF(Raw_Export!$A240="","",IFERROR(VALUE(SUBSTITUTE(SUBSTITUTE(UPPER(TRIM(Raw_Export!F240)),"KES",""),",","")),0))</f>
        <v>60</v>
      </c>
      <c r="H240" s="38" t="n">
        <f aca="false">IF(Raw_Export!$A240="","",F240*G240)</f>
        <v>60</v>
      </c>
      <c r="I240" s="36" t="str">
        <f aca="false">IF(Raw_Export!$A240="","",IFERROR(VLOOKUP(LOWER(TRIM(Raw_Export!H240)),Maps!$D$2:$E$12,2,FALSE()),"Other"))</f>
        <v>M-Pesa</v>
      </c>
      <c r="J240" s="36" t="str">
        <f aca="false">IF(Raw_Export!$A240="","",IF(COUNTIF($A$2:A240,A240)&gt;1,"Duplicate",""))</f>
        <v/>
      </c>
      <c r="K240" s="36" t="str">
        <f aca="false">IF(Raw_Export!$A240="","",IF(J240="Duplicate","Duplicate",IF(OR(C240="UNMAPPED",D240="UNMAPPED"),"Unmapped",IF(F240=0,"Blank qty",IF(F240&lt;0,"Return","OK")))))</f>
        <v>OK</v>
      </c>
      <c r="L240" s="36" t="n">
        <f aca="false">IF(Raw_Export!$A240="","",IF(OR(K240="OK",K240="Return"),1,0))</f>
        <v>1</v>
      </c>
      <c r="M240" s="37" t="n">
        <f aca="false">IF(Raw_Export!$A240="","",B240-WEEKDAY(B240,2)+1)</f>
        <v>46265</v>
      </c>
    </row>
    <row r="241" customFormat="false" ht="15" hidden="false" customHeight="false" outlineLevel="0" collapsed="false">
      <c r="A241" s="36" t="str">
        <f aca="false">IF(Raw_Export!$A241="","",TRIM(Raw_Export!A241))</f>
        <v>TXN-100236</v>
      </c>
      <c r="B241" s="37" t="n">
        <f aca="false">IF(Raw_Export!$A241="","",IF(ISNUMBER(Raw_Export!B241),Raw_Export!B241,IF(MID(TRIM(Raw_Export!B241),5,1)="-",DATE(LEFT(TRIM(Raw_Export!B241),4),MID(TRIM(Raw_Export!B241),6,2),RIGHT(TRIM(Raw_Export!B241),2)),DATE(RIGHT(TRIM(Raw_Export!B241),4),MATCH(MID(TRIM(Raw_Export!B241),4,3),{"Jan","Feb","Mar","Apr","May","Jun","Jul","Aug","Sep","Oct","Nov","Dec"},0),LEFT(TRIM(Raw_Export!B241),2)))))</f>
        <v>46266</v>
      </c>
      <c r="C241" s="36" t="str">
        <f aca="false">IF(Raw_Export!$A241="","",IFERROR(VLOOKUP(LOWER(TRIM(Raw_Export!C241)),Maps!$A$2:$B$20,2,FALSE()),"UNMAPPED"))</f>
        <v>Nakuru</v>
      </c>
      <c r="D241" s="36" t="str">
        <f aca="false">IF(Raw_Export!$A241="","",IFERROR(VLOOKUP(LOWER(TRIM(Raw_Export!D241)),Maps!$G$2:$I$80,2,FALSE()),"UNMAPPED"))</f>
        <v>Unga Pembe 2kg</v>
      </c>
      <c r="E241" s="36" t="str">
        <f aca="false">IF(Raw_Export!$A241="","",IFERROR(VLOOKUP(LOWER(TRIM(Raw_Export!D241)),Maps!$G$2:$I$80,3,FALSE()),"UNMAPPED"))</f>
        <v>Staples</v>
      </c>
      <c r="F241" s="36" t="n">
        <f aca="false">IF(Raw_Export!$A241="","",IFERROR(VALUE(TRIM(Raw_Export!E241)),0))</f>
        <v>1</v>
      </c>
      <c r="G241" s="38" t="n">
        <f aca="false">IF(Raw_Export!$A241="","",IFERROR(VALUE(SUBSTITUTE(SUBSTITUTE(UPPER(TRIM(Raw_Export!F241)),"KES",""),",","")),0))</f>
        <v>190</v>
      </c>
      <c r="H241" s="38" t="n">
        <f aca="false">IF(Raw_Export!$A241="","",F241*G241)</f>
        <v>190</v>
      </c>
      <c r="I241" s="36" t="str">
        <f aca="false">IF(Raw_Export!$A241="","",IFERROR(VLOOKUP(LOWER(TRIM(Raw_Export!H241)),Maps!$D$2:$E$12,2,FALSE()),"Other"))</f>
        <v>Card</v>
      </c>
      <c r="J241" s="36" t="str">
        <f aca="false">IF(Raw_Export!$A241="","",IF(COUNTIF($A$2:A241,A241)&gt;1,"Duplicate",""))</f>
        <v/>
      </c>
      <c r="K241" s="36" t="str">
        <f aca="false">IF(Raw_Export!$A241="","",IF(J241="Duplicate","Duplicate",IF(OR(C241="UNMAPPED",D241="UNMAPPED"),"Unmapped",IF(F241=0,"Blank qty",IF(F241&lt;0,"Return","OK")))))</f>
        <v>OK</v>
      </c>
      <c r="L241" s="36" t="n">
        <f aca="false">IF(Raw_Export!$A241="","",IF(OR(K241="OK",K241="Return"),1,0))</f>
        <v>1</v>
      </c>
      <c r="M241" s="37" t="n">
        <f aca="false">IF(Raw_Export!$A241="","",B241-WEEKDAY(B241,2)+1)</f>
        <v>46265</v>
      </c>
    </row>
    <row r="242" customFormat="false" ht="15" hidden="false" customHeight="false" outlineLevel="0" collapsed="false">
      <c r="A242" s="36" t="str">
        <f aca="false">IF(Raw_Export!$A242="","",TRIM(Raw_Export!A242))</f>
        <v>TXN-100237</v>
      </c>
      <c r="B242" s="37" t="n">
        <f aca="false">IF(Raw_Export!$A242="","",IF(ISNUMBER(Raw_Export!B242),Raw_Export!B242,IF(MID(TRIM(Raw_Export!B242),5,1)="-",DATE(LEFT(TRIM(Raw_Export!B242),4),MID(TRIM(Raw_Export!B242),6,2),RIGHT(TRIM(Raw_Export!B242),2)),DATE(RIGHT(TRIM(Raw_Export!B242),4),MATCH(MID(TRIM(Raw_Export!B242),4,3),{"Jan","Feb","Mar","Apr","May","Jun","Jul","Aug","Sep","Oct","Nov","Dec"},0),LEFT(TRIM(Raw_Export!B242),2)))))</f>
        <v>46266</v>
      </c>
      <c r="C242" s="36" t="str">
        <f aca="false">IF(Raw_Export!$A242="","",IFERROR(VLOOKUP(LOWER(TRIM(Raw_Export!C242)),Maps!$A$2:$B$20,2,FALSE()),"UNMAPPED"))</f>
        <v>Nakuru</v>
      </c>
      <c r="D242" s="36" t="str">
        <f aca="false">IF(Raw_Export!$A242="","",IFERROR(VLOOKUP(LOWER(TRIM(Raw_Export!D242)),Maps!$G$2:$I$80,2,FALSE()),"UNMAPPED"))</f>
        <v>Peanuts 250g</v>
      </c>
      <c r="E242" s="36" t="str">
        <f aca="false">IF(Raw_Export!$A242="","",IFERROR(VLOOKUP(LOWER(TRIM(Raw_Export!D242)),Maps!$G$2:$I$80,3,FALSE()),"UNMAPPED"))</f>
        <v>Snacks</v>
      </c>
      <c r="F242" s="36" t="n">
        <f aca="false">IF(Raw_Export!$A242="","",IFERROR(VALUE(TRIM(Raw_Export!E242)),0))</f>
        <v>3</v>
      </c>
      <c r="G242" s="38" t="n">
        <f aca="false">IF(Raw_Export!$A242="","",IFERROR(VALUE(SUBSTITUTE(SUBSTITUTE(UPPER(TRIM(Raw_Export!F242)),"KES",""),",","")),0))</f>
        <v>130</v>
      </c>
      <c r="H242" s="38" t="n">
        <f aca="false">IF(Raw_Export!$A242="","",F242*G242)</f>
        <v>390</v>
      </c>
      <c r="I242" s="36" t="str">
        <f aca="false">IF(Raw_Export!$A242="","",IFERROR(VLOOKUP(LOWER(TRIM(Raw_Export!H242)),Maps!$D$2:$E$12,2,FALSE()),"Other"))</f>
        <v>M-Pesa</v>
      </c>
      <c r="J242" s="36" t="str">
        <f aca="false">IF(Raw_Export!$A242="","",IF(COUNTIF($A$2:A242,A242)&gt;1,"Duplicate",""))</f>
        <v/>
      </c>
      <c r="K242" s="36" t="str">
        <f aca="false">IF(Raw_Export!$A242="","",IF(J242="Duplicate","Duplicate",IF(OR(C242="UNMAPPED",D242="UNMAPPED"),"Unmapped",IF(F242=0,"Blank qty",IF(F242&lt;0,"Return","OK")))))</f>
        <v>OK</v>
      </c>
      <c r="L242" s="36" t="n">
        <f aca="false">IF(Raw_Export!$A242="","",IF(OR(K242="OK",K242="Return"),1,0))</f>
        <v>1</v>
      </c>
      <c r="M242" s="37" t="n">
        <f aca="false">IF(Raw_Export!$A242="","",B242-WEEKDAY(B242,2)+1)</f>
        <v>46265</v>
      </c>
    </row>
    <row r="243" customFormat="false" ht="15" hidden="false" customHeight="false" outlineLevel="0" collapsed="false">
      <c r="A243" s="36" t="str">
        <f aca="false">IF(Raw_Export!$A243="","",TRIM(Raw_Export!A243))</f>
        <v>TXN-100238</v>
      </c>
      <c r="B243" s="37" t="n">
        <f aca="false">IF(Raw_Export!$A243="","",IF(ISNUMBER(Raw_Export!B243),Raw_Export!B243,IF(MID(TRIM(Raw_Export!B243),5,1)="-",DATE(LEFT(TRIM(Raw_Export!B243),4),MID(TRIM(Raw_Export!B243),6,2),RIGHT(TRIM(Raw_Export!B243),2)),DATE(RIGHT(TRIM(Raw_Export!B243),4),MATCH(MID(TRIM(Raw_Export!B243),4,3),{"Jan","Feb","Mar","Apr","May","Jun","Jul","Aug","Sep","Oct","Nov","Dec"},0),LEFT(TRIM(Raw_Export!B243),2)))))</f>
        <v>46266</v>
      </c>
      <c r="C243" s="36" t="str">
        <f aca="false">IF(Raw_Export!$A243="","",IFERROR(VLOOKUP(LOWER(TRIM(Raw_Export!C243)),Maps!$A$2:$B$20,2,FALSE()),"UNMAPPED"))</f>
        <v>Nakuru</v>
      </c>
      <c r="D243" s="36" t="str">
        <f aca="false">IF(Raw_Export!$A243="","",IFERROR(VLOOKUP(LOWER(TRIM(Raw_Export!D243)),Maps!$G$2:$I$80,2,FALSE()),"UNMAPPED"))</f>
        <v>Deodorant 150ml</v>
      </c>
      <c r="E243" s="36" t="str">
        <f aca="false">IF(Raw_Export!$A243="","",IFERROR(VLOOKUP(LOWER(TRIM(Raw_Export!D243)),Maps!$G$2:$I$80,3,FALSE()),"UNMAPPED"))</f>
        <v>Personal Care</v>
      </c>
      <c r="F243" s="36" t="n">
        <f aca="false">IF(Raw_Export!$A243="","",IFERROR(VALUE(TRIM(Raw_Export!E243)),0))</f>
        <v>1</v>
      </c>
      <c r="G243" s="38" t="n">
        <f aca="false">IF(Raw_Export!$A243="","",IFERROR(VALUE(SUBSTITUTE(SUBSTITUTE(UPPER(TRIM(Raw_Export!F243)),"KES",""),",","")),0))</f>
        <v>350</v>
      </c>
      <c r="H243" s="38" t="n">
        <f aca="false">IF(Raw_Export!$A243="","",F243*G243)</f>
        <v>350</v>
      </c>
      <c r="I243" s="36" t="str">
        <f aca="false">IF(Raw_Export!$A243="","",IFERROR(VLOOKUP(LOWER(TRIM(Raw_Export!H243)),Maps!$D$2:$E$12,2,FALSE()),"Other"))</f>
        <v>M-Pesa</v>
      </c>
      <c r="J243" s="36" t="str">
        <f aca="false">IF(Raw_Export!$A243="","",IF(COUNTIF($A$2:A243,A243)&gt;1,"Duplicate",""))</f>
        <v/>
      </c>
      <c r="K243" s="36" t="str">
        <f aca="false">IF(Raw_Export!$A243="","",IF(J243="Duplicate","Duplicate",IF(OR(C243="UNMAPPED",D243="UNMAPPED"),"Unmapped",IF(F243=0,"Blank qty",IF(F243&lt;0,"Return","OK")))))</f>
        <v>OK</v>
      </c>
      <c r="L243" s="36" t="n">
        <f aca="false">IF(Raw_Export!$A243="","",IF(OR(K243="OK",K243="Return"),1,0))</f>
        <v>1</v>
      </c>
      <c r="M243" s="37" t="n">
        <f aca="false">IF(Raw_Export!$A243="","",B243-WEEKDAY(B243,2)+1)</f>
        <v>46265</v>
      </c>
    </row>
    <row r="244" customFormat="false" ht="15" hidden="false" customHeight="false" outlineLevel="0" collapsed="false">
      <c r="A244" s="36" t="str">
        <f aca="false">IF(Raw_Export!$A244="","",TRIM(Raw_Export!A244))</f>
        <v>TXN-100239</v>
      </c>
      <c r="B244" s="37" t="n">
        <f aca="false">IF(Raw_Export!$A244="","",IF(ISNUMBER(Raw_Export!B244),Raw_Export!B244,IF(MID(TRIM(Raw_Export!B244),5,1)="-",DATE(LEFT(TRIM(Raw_Export!B244),4),MID(TRIM(Raw_Export!B244),6,2),RIGHT(TRIM(Raw_Export!B244),2)),DATE(RIGHT(TRIM(Raw_Export!B244),4),MATCH(MID(TRIM(Raw_Export!B244),4,3),{"Jan","Feb","Mar","Apr","May","Jun","Jul","Aug","Sep","Oct","Nov","Dec"},0),LEFT(TRIM(Raw_Export!B244),2)))))</f>
        <v>46266</v>
      </c>
      <c r="C244" s="36" t="str">
        <f aca="false">IF(Raw_Export!$A244="","",IFERROR(VLOOKUP(LOWER(TRIM(Raw_Export!C244)),Maps!$A$2:$B$20,2,FALSE()),"UNMAPPED"))</f>
        <v>Nakuru</v>
      </c>
      <c r="D244" s="36" t="str">
        <f aca="false">IF(Raw_Export!$A244="","",IFERROR(VLOOKUP(LOWER(TRIM(Raw_Export!D244)),Maps!$G$2:$I$80,2,FALSE()),"UNMAPPED"))</f>
        <v>Deodorant 150ml</v>
      </c>
      <c r="E244" s="36" t="str">
        <f aca="false">IF(Raw_Export!$A244="","",IFERROR(VLOOKUP(LOWER(TRIM(Raw_Export!D244)),Maps!$G$2:$I$80,3,FALSE()),"UNMAPPED"))</f>
        <v>Personal Care</v>
      </c>
      <c r="F244" s="36" t="n">
        <f aca="false">IF(Raw_Export!$A244="","",IFERROR(VALUE(TRIM(Raw_Export!E244)),0))</f>
        <v>3</v>
      </c>
      <c r="G244" s="38" t="n">
        <f aca="false">IF(Raw_Export!$A244="","",IFERROR(VALUE(SUBSTITUTE(SUBSTITUTE(UPPER(TRIM(Raw_Export!F244)),"KES",""),",","")),0))</f>
        <v>350</v>
      </c>
      <c r="H244" s="38" t="n">
        <f aca="false">IF(Raw_Export!$A244="","",F244*G244)</f>
        <v>1050</v>
      </c>
      <c r="I244" s="36" t="str">
        <f aca="false">IF(Raw_Export!$A244="","",IFERROR(VLOOKUP(LOWER(TRIM(Raw_Export!H244)),Maps!$D$2:$E$12,2,FALSE()),"Other"))</f>
        <v>Cash</v>
      </c>
      <c r="J244" s="36" t="str">
        <f aca="false">IF(Raw_Export!$A244="","",IF(COUNTIF($A$2:A244,A244)&gt;1,"Duplicate",""))</f>
        <v/>
      </c>
      <c r="K244" s="36" t="str">
        <f aca="false">IF(Raw_Export!$A244="","",IF(J244="Duplicate","Duplicate",IF(OR(C244="UNMAPPED",D244="UNMAPPED"),"Unmapped",IF(F244=0,"Blank qty",IF(F244&lt;0,"Return","OK")))))</f>
        <v>OK</v>
      </c>
      <c r="L244" s="36" t="n">
        <f aca="false">IF(Raw_Export!$A244="","",IF(OR(K244="OK",K244="Return"),1,0))</f>
        <v>1</v>
      </c>
      <c r="M244" s="37" t="n">
        <f aca="false">IF(Raw_Export!$A244="","",B244-WEEKDAY(B244,2)+1)</f>
        <v>46265</v>
      </c>
    </row>
    <row r="245" customFormat="false" ht="15" hidden="false" customHeight="false" outlineLevel="0" collapsed="false">
      <c r="A245" s="36" t="str">
        <f aca="false">IF(Raw_Export!$A245="","",TRIM(Raw_Export!A245))</f>
        <v>TXN-100240</v>
      </c>
      <c r="B245" s="37" t="n">
        <f aca="false">IF(Raw_Export!$A245="","",IF(ISNUMBER(Raw_Export!B245),Raw_Export!B245,IF(MID(TRIM(Raw_Export!B245),5,1)="-",DATE(LEFT(TRIM(Raw_Export!B245),4),MID(TRIM(Raw_Export!B245),6,2),RIGHT(TRIM(Raw_Export!B245),2)),DATE(RIGHT(TRIM(Raw_Export!B245),4),MATCH(MID(TRIM(Raw_Export!B245),4,3),{"Jan","Feb","Mar","Apr","May","Jun","Jul","Aug","Sep","Oct","Nov","Dec"},0),LEFT(TRIM(Raw_Export!B245),2)))))</f>
        <v>46266</v>
      </c>
      <c r="C245" s="36" t="str">
        <f aca="false">IF(Raw_Export!$A245="","",IFERROR(VLOOKUP(LOWER(TRIM(Raw_Export!C245)),Maps!$A$2:$B$20,2,FALSE()),"UNMAPPED"))</f>
        <v>Nakuru</v>
      </c>
      <c r="D245" s="36" t="str">
        <f aca="false">IF(Raw_Export!$A245="","",IFERROR(VLOOKUP(LOWER(TRIM(Raw_Export!D245)),Maps!$G$2:$I$80,2,FALSE()),"UNMAPPED"))</f>
        <v>Cheddar 200g</v>
      </c>
      <c r="E245" s="36" t="str">
        <f aca="false">IF(Raw_Export!$A245="","",IFERROR(VLOOKUP(LOWER(TRIM(Raw_Export!D245)),Maps!$G$2:$I$80,3,FALSE()),"UNMAPPED"))</f>
        <v>Dairy &amp; Eggs</v>
      </c>
      <c r="F245" s="36" t="n">
        <f aca="false">IF(Raw_Export!$A245="","",IFERROR(VALUE(TRIM(Raw_Export!E245)),0))</f>
        <v>1</v>
      </c>
      <c r="G245" s="38" t="n">
        <f aca="false">IF(Raw_Export!$A245="","",IFERROR(VALUE(SUBSTITUTE(SUBSTITUTE(UPPER(TRIM(Raw_Export!F245)),"KES",""),",","")),0))</f>
        <v>380</v>
      </c>
      <c r="H245" s="38" t="n">
        <f aca="false">IF(Raw_Export!$A245="","",F245*G245)</f>
        <v>380</v>
      </c>
      <c r="I245" s="36" t="str">
        <f aca="false">IF(Raw_Export!$A245="","",IFERROR(VLOOKUP(LOWER(TRIM(Raw_Export!H245)),Maps!$D$2:$E$12,2,FALSE()),"Other"))</f>
        <v>M-Pesa</v>
      </c>
      <c r="J245" s="36" t="str">
        <f aca="false">IF(Raw_Export!$A245="","",IF(COUNTIF($A$2:A245,A245)&gt;1,"Duplicate",""))</f>
        <v/>
      </c>
      <c r="K245" s="36" t="str">
        <f aca="false">IF(Raw_Export!$A245="","",IF(J245="Duplicate","Duplicate",IF(OR(C245="UNMAPPED",D245="UNMAPPED"),"Unmapped",IF(F245=0,"Blank qty",IF(F245&lt;0,"Return","OK")))))</f>
        <v>OK</v>
      </c>
      <c r="L245" s="36" t="n">
        <f aca="false">IF(Raw_Export!$A245="","",IF(OR(K245="OK",K245="Return"),1,0))</f>
        <v>1</v>
      </c>
      <c r="M245" s="37" t="n">
        <f aca="false">IF(Raw_Export!$A245="","",B245-WEEKDAY(B245,2)+1)</f>
        <v>46265</v>
      </c>
    </row>
    <row r="246" customFormat="false" ht="15" hidden="false" customHeight="false" outlineLevel="0" collapsed="false">
      <c r="A246" s="36" t="str">
        <f aca="false">IF(Raw_Export!$A246="","",TRIM(Raw_Export!A246))</f>
        <v>TXN-100241</v>
      </c>
      <c r="B246" s="37" t="n">
        <f aca="false">IF(Raw_Export!$A246="","",IF(ISNUMBER(Raw_Export!B246),Raw_Export!B246,IF(MID(TRIM(Raw_Export!B246),5,1)="-",DATE(LEFT(TRIM(Raw_Export!B246),4),MID(TRIM(Raw_Export!B246),6,2),RIGHT(TRIM(Raw_Export!B246),2)),DATE(RIGHT(TRIM(Raw_Export!B246),4),MATCH(MID(TRIM(Raw_Export!B246),4,3),{"Jan","Feb","Mar","Apr","May","Jun","Jul","Aug","Sep","Oct","Nov","Dec"},0),LEFT(TRIM(Raw_Export!B246),2)))))</f>
        <v>46266</v>
      </c>
      <c r="C246" s="36" t="str">
        <f aca="false">IF(Raw_Export!$A246="","",IFERROR(VLOOKUP(LOWER(TRIM(Raw_Export!C246)),Maps!$A$2:$B$20,2,FALSE()),"UNMAPPED"))</f>
        <v>Nakuru</v>
      </c>
      <c r="D246" s="36" t="str">
        <f aca="false">IF(Raw_Export!$A246="","",IFERROR(VLOOKUP(LOWER(TRIM(Raw_Export!D246)),Maps!$G$2:$I$80,2,FALSE()),"UNMAPPED"))</f>
        <v>Crisps 100g</v>
      </c>
      <c r="E246" s="36" t="str">
        <f aca="false">IF(Raw_Export!$A246="","",IFERROR(VLOOKUP(LOWER(TRIM(Raw_Export!D246)),Maps!$G$2:$I$80,3,FALSE()),"UNMAPPED"))</f>
        <v>Snacks</v>
      </c>
      <c r="F246" s="36" t="n">
        <f aca="false">IF(Raw_Export!$A246="","",IFERROR(VALUE(TRIM(Raw_Export!E246)),0))</f>
        <v>1</v>
      </c>
      <c r="G246" s="38" t="n">
        <f aca="false">IF(Raw_Export!$A246="","",IFERROR(VALUE(SUBSTITUTE(SUBSTITUTE(UPPER(TRIM(Raw_Export!F246)),"KES",""),",","")),0))</f>
        <v>80</v>
      </c>
      <c r="H246" s="38" t="n">
        <f aca="false">IF(Raw_Export!$A246="","",F246*G246)</f>
        <v>80</v>
      </c>
      <c r="I246" s="36" t="str">
        <f aca="false">IF(Raw_Export!$A246="","",IFERROR(VLOOKUP(LOWER(TRIM(Raw_Export!H246)),Maps!$D$2:$E$12,2,FALSE()),"Other"))</f>
        <v>M-Pesa</v>
      </c>
      <c r="J246" s="36" t="str">
        <f aca="false">IF(Raw_Export!$A246="","",IF(COUNTIF($A$2:A246,A246)&gt;1,"Duplicate",""))</f>
        <v/>
      </c>
      <c r="K246" s="36" t="str">
        <f aca="false">IF(Raw_Export!$A246="","",IF(J246="Duplicate","Duplicate",IF(OR(C246="UNMAPPED",D246="UNMAPPED"),"Unmapped",IF(F246=0,"Blank qty",IF(F246&lt;0,"Return","OK")))))</f>
        <v>OK</v>
      </c>
      <c r="L246" s="36" t="n">
        <f aca="false">IF(Raw_Export!$A246="","",IF(OR(K246="OK",K246="Return"),1,0))</f>
        <v>1</v>
      </c>
      <c r="M246" s="37" t="n">
        <f aca="false">IF(Raw_Export!$A246="","",B246-WEEKDAY(B246,2)+1)</f>
        <v>46265</v>
      </c>
    </row>
    <row r="247" customFormat="false" ht="15" hidden="false" customHeight="false" outlineLevel="0" collapsed="false">
      <c r="A247" s="36" t="str">
        <f aca="false">IF(Raw_Export!$A247="","",TRIM(Raw_Export!A247))</f>
        <v>TXN-100242</v>
      </c>
      <c r="B247" s="37" t="n">
        <f aca="false">IF(Raw_Export!$A247="","",IF(ISNUMBER(Raw_Export!B247),Raw_Export!B247,IF(MID(TRIM(Raw_Export!B247),5,1)="-",DATE(LEFT(TRIM(Raw_Export!B247),4),MID(TRIM(Raw_Export!B247),6,2),RIGHT(TRIM(Raw_Export!B247),2)),DATE(RIGHT(TRIM(Raw_Export!B247),4),MATCH(MID(TRIM(Raw_Export!B247),4,3),{"Jan","Feb","Mar","Apr","May","Jun","Jul","Aug","Sep","Oct","Nov","Dec"},0),LEFT(TRIM(Raw_Export!B247),2)))))</f>
        <v>46266</v>
      </c>
      <c r="C247" s="36" t="str">
        <f aca="false">IF(Raw_Export!$A247="","",IFERROR(VLOOKUP(LOWER(TRIM(Raw_Export!C247)),Maps!$A$2:$B$20,2,FALSE()),"UNMAPPED"))</f>
        <v>Nakuru</v>
      </c>
      <c r="D247" s="36" t="str">
        <f aca="false">IF(Raw_Export!$A247="","",IFERROR(VLOOKUP(LOWER(TRIM(Raw_Export!D247)),Maps!$G$2:$I$80,2,FALSE()),"UNMAPPED"))</f>
        <v>Salt 500g</v>
      </c>
      <c r="E247" s="36" t="str">
        <f aca="false">IF(Raw_Export!$A247="","",IFERROR(VLOOKUP(LOWER(TRIM(Raw_Export!D247)),Maps!$G$2:$I$80,3,FALSE()),"UNMAPPED"))</f>
        <v>Staples</v>
      </c>
      <c r="F247" s="36" t="n">
        <f aca="false">IF(Raw_Export!$A247="","",IFERROR(VALUE(TRIM(Raw_Export!E247)),0))</f>
        <v>1</v>
      </c>
      <c r="G247" s="38" t="n">
        <f aca="false">IF(Raw_Export!$A247="","",IFERROR(VALUE(SUBSTITUTE(SUBSTITUTE(UPPER(TRIM(Raw_Export!F247)),"KES",""),",","")),0))</f>
        <v>40</v>
      </c>
      <c r="H247" s="38" t="n">
        <f aca="false">IF(Raw_Export!$A247="","",F247*G247)</f>
        <v>40</v>
      </c>
      <c r="I247" s="36" t="str">
        <f aca="false">IF(Raw_Export!$A247="","",IFERROR(VLOOKUP(LOWER(TRIM(Raw_Export!H247)),Maps!$D$2:$E$12,2,FALSE()),"Other"))</f>
        <v>M-Pesa</v>
      </c>
      <c r="J247" s="36" t="str">
        <f aca="false">IF(Raw_Export!$A247="","",IF(COUNTIF($A$2:A247,A247)&gt;1,"Duplicate",""))</f>
        <v/>
      </c>
      <c r="K247" s="36" t="str">
        <f aca="false">IF(Raw_Export!$A247="","",IF(J247="Duplicate","Duplicate",IF(OR(C247="UNMAPPED",D247="UNMAPPED"),"Unmapped",IF(F247=0,"Blank qty",IF(F247&lt;0,"Return","OK")))))</f>
        <v>OK</v>
      </c>
      <c r="L247" s="36" t="n">
        <f aca="false">IF(Raw_Export!$A247="","",IF(OR(K247="OK",K247="Return"),1,0))</f>
        <v>1</v>
      </c>
      <c r="M247" s="37" t="n">
        <f aca="false">IF(Raw_Export!$A247="","",B247-WEEKDAY(B247,2)+1)</f>
        <v>46265</v>
      </c>
    </row>
    <row r="248" customFormat="false" ht="15" hidden="false" customHeight="false" outlineLevel="0" collapsed="false">
      <c r="A248" s="36" t="str">
        <f aca="false">IF(Raw_Export!$A248="","",TRIM(Raw_Export!A248))</f>
        <v>TXN-100243</v>
      </c>
      <c r="B248" s="37" t="n">
        <f aca="false">IF(Raw_Export!$A248="","",IF(ISNUMBER(Raw_Export!B248),Raw_Export!B248,IF(MID(TRIM(Raw_Export!B248),5,1)="-",DATE(LEFT(TRIM(Raw_Export!B248),4),MID(TRIM(Raw_Export!B248),6,2),RIGHT(TRIM(Raw_Export!B248),2)),DATE(RIGHT(TRIM(Raw_Export!B248),4),MATCH(MID(TRIM(Raw_Export!B248),4,3),{"Jan","Feb","Mar","Apr","May","Jun","Jul","Aug","Sep","Oct","Nov","Dec"},0),LEFT(TRIM(Raw_Export!B248),2)))))</f>
        <v>46266</v>
      </c>
      <c r="C248" s="36" t="str">
        <f aca="false">IF(Raw_Export!$A248="","",IFERROR(VLOOKUP(LOWER(TRIM(Raw_Export!C248)),Maps!$A$2:$B$20,2,FALSE()),"UNMAPPED"))</f>
        <v>Nakuru</v>
      </c>
      <c r="D248" s="36" t="str">
        <f aca="false">IF(Raw_Export!$A248="","",IFERROR(VLOOKUP(LOWER(TRIM(Raw_Export!D248)),Maps!$G$2:$I$80,2,FALSE()),"UNMAPPED"))</f>
        <v>Cooking Oil 1L</v>
      </c>
      <c r="E248" s="36" t="str">
        <f aca="false">IF(Raw_Export!$A248="","",IFERROR(VLOOKUP(LOWER(TRIM(Raw_Export!D248)),Maps!$G$2:$I$80,3,FALSE()),"UNMAPPED"))</f>
        <v>Staples</v>
      </c>
      <c r="F248" s="36" t="n">
        <f aca="false">IF(Raw_Export!$A248="","",IFERROR(VALUE(TRIM(Raw_Export!E248)),0))</f>
        <v>3</v>
      </c>
      <c r="G248" s="38" t="n">
        <f aca="false">IF(Raw_Export!$A248="","",IFERROR(VALUE(SUBSTITUTE(SUBSTITUTE(UPPER(TRIM(Raw_Export!F248)),"KES",""),",","")),0))</f>
        <v>330</v>
      </c>
      <c r="H248" s="38" t="n">
        <f aca="false">IF(Raw_Export!$A248="","",F248*G248)</f>
        <v>990</v>
      </c>
      <c r="I248" s="36" t="str">
        <f aca="false">IF(Raw_Export!$A248="","",IFERROR(VLOOKUP(LOWER(TRIM(Raw_Export!H248)),Maps!$D$2:$E$12,2,FALSE()),"Other"))</f>
        <v>M-Pesa</v>
      </c>
      <c r="J248" s="36" t="str">
        <f aca="false">IF(Raw_Export!$A248="","",IF(COUNTIF($A$2:A248,A248)&gt;1,"Duplicate",""))</f>
        <v/>
      </c>
      <c r="K248" s="36" t="str">
        <f aca="false">IF(Raw_Export!$A248="","",IF(J248="Duplicate","Duplicate",IF(OR(C248="UNMAPPED",D248="UNMAPPED"),"Unmapped",IF(F248=0,"Blank qty",IF(F248&lt;0,"Return","OK")))))</f>
        <v>OK</v>
      </c>
      <c r="L248" s="36" t="n">
        <f aca="false">IF(Raw_Export!$A248="","",IF(OR(K248="OK",K248="Return"),1,0))</f>
        <v>1</v>
      </c>
      <c r="M248" s="37" t="n">
        <f aca="false">IF(Raw_Export!$A248="","",B248-WEEKDAY(B248,2)+1)</f>
        <v>46265</v>
      </c>
    </row>
    <row r="249" customFormat="false" ht="15" hidden="false" customHeight="false" outlineLevel="0" collapsed="false">
      <c r="A249" s="36" t="str">
        <f aca="false">IF(Raw_Export!$A249="","",TRIM(Raw_Export!A249))</f>
        <v>TXN-100244</v>
      </c>
      <c r="B249" s="37" t="n">
        <f aca="false">IF(Raw_Export!$A249="","",IF(ISNUMBER(Raw_Export!B249),Raw_Export!B249,IF(MID(TRIM(Raw_Export!B249),5,1)="-",DATE(LEFT(TRIM(Raw_Export!B249),4),MID(TRIM(Raw_Export!B249),6,2),RIGHT(TRIM(Raw_Export!B249),2)),DATE(RIGHT(TRIM(Raw_Export!B249),4),MATCH(MID(TRIM(Raw_Export!B249),4,3),{"Jan","Feb","Mar","Apr","May","Jun","Jul","Aug","Sep","Oct","Nov","Dec"},0),LEFT(TRIM(Raw_Export!B249),2)))))</f>
        <v>46266</v>
      </c>
      <c r="C249" s="36" t="str">
        <f aca="false">IF(Raw_Export!$A249="","",IFERROR(VLOOKUP(LOWER(TRIM(Raw_Export!C249)),Maps!$A$2:$B$20,2,FALSE()),"UNMAPPED"))</f>
        <v>Nakuru</v>
      </c>
      <c r="D249" s="36" t="str">
        <f aca="false">IF(Raw_Export!$A249="","",IFERROR(VLOOKUP(LOWER(TRIM(Raw_Export!D249)),Maps!$G$2:$I$80,2,FALSE()),"UNMAPPED"))</f>
        <v>Bottled Water 1.5L</v>
      </c>
      <c r="E249" s="36" t="str">
        <f aca="false">IF(Raw_Export!$A249="","",IFERROR(VLOOKUP(LOWER(TRIM(Raw_Export!D249)),Maps!$G$2:$I$80,3,FALSE()),"UNMAPPED"))</f>
        <v>Beverages</v>
      </c>
      <c r="F249" s="36" t="n">
        <f aca="false">IF(Raw_Export!$A249="","",IFERROR(VALUE(TRIM(Raw_Export!E249)),0))</f>
        <v>4</v>
      </c>
      <c r="G249" s="38" t="n">
        <f aca="false">IF(Raw_Export!$A249="","",IFERROR(VALUE(SUBSTITUTE(SUBSTITUTE(UPPER(TRIM(Raw_Export!F249)),"KES",""),",","")),0))</f>
        <v>90</v>
      </c>
      <c r="H249" s="38" t="n">
        <f aca="false">IF(Raw_Export!$A249="","",F249*G249)</f>
        <v>360</v>
      </c>
      <c r="I249" s="36" t="str">
        <f aca="false">IF(Raw_Export!$A249="","",IFERROR(VLOOKUP(LOWER(TRIM(Raw_Export!H249)),Maps!$D$2:$E$12,2,FALSE()),"Other"))</f>
        <v>M-Pesa</v>
      </c>
      <c r="J249" s="36" t="str">
        <f aca="false">IF(Raw_Export!$A249="","",IF(COUNTIF($A$2:A249,A249)&gt;1,"Duplicate",""))</f>
        <v/>
      </c>
      <c r="K249" s="36" t="str">
        <f aca="false">IF(Raw_Export!$A249="","",IF(J249="Duplicate","Duplicate",IF(OR(C249="UNMAPPED",D249="UNMAPPED"),"Unmapped",IF(F249=0,"Blank qty",IF(F249&lt;0,"Return","OK")))))</f>
        <v>OK</v>
      </c>
      <c r="L249" s="36" t="n">
        <f aca="false">IF(Raw_Export!$A249="","",IF(OR(K249="OK",K249="Return"),1,0))</f>
        <v>1</v>
      </c>
      <c r="M249" s="37" t="n">
        <f aca="false">IF(Raw_Export!$A249="","",B249-WEEKDAY(B249,2)+1)</f>
        <v>46265</v>
      </c>
    </row>
    <row r="250" customFormat="false" ht="15" hidden="false" customHeight="false" outlineLevel="0" collapsed="false">
      <c r="A250" s="36" t="str">
        <f aca="false">IF(Raw_Export!$A250="","",TRIM(Raw_Export!A250))</f>
        <v>TXN-100245</v>
      </c>
      <c r="B250" s="37" t="n">
        <f aca="false">IF(Raw_Export!$A250="","",IF(ISNUMBER(Raw_Export!B250),Raw_Export!B250,IF(MID(TRIM(Raw_Export!B250),5,1)="-",DATE(LEFT(TRIM(Raw_Export!B250),4),MID(TRIM(Raw_Export!B250),6,2),RIGHT(TRIM(Raw_Export!B250),2)),DATE(RIGHT(TRIM(Raw_Export!B250),4),MATCH(MID(TRIM(Raw_Export!B250),4,3),{"Jan","Feb","Mar","Apr","May","Jun","Jul","Aug","Sep","Oct","Nov","Dec"},0),LEFT(TRIM(Raw_Export!B250),2)))))</f>
        <v>46266</v>
      </c>
      <c r="C250" s="36" t="str">
        <f aca="false">IF(Raw_Export!$A250="","",IFERROR(VLOOKUP(LOWER(TRIM(Raw_Export!C250)),Maps!$A$2:$B$20,2,FALSE()),"UNMAPPED"))</f>
        <v>Nakuru</v>
      </c>
      <c r="D250" s="36" t="str">
        <f aca="false">IF(Raw_Export!$A250="","",IFERROR(VLOOKUP(LOWER(TRIM(Raw_Export!D250)),Maps!$G$2:$I$80,2,FALSE()),"UNMAPPED"))</f>
        <v>Spaghetti 400g</v>
      </c>
      <c r="E250" s="36" t="str">
        <f aca="false">IF(Raw_Export!$A250="","",IFERROR(VLOOKUP(LOWER(TRIM(Raw_Export!D250)),Maps!$G$2:$I$80,3,FALSE()),"UNMAPPED"))</f>
        <v>Staples</v>
      </c>
      <c r="F250" s="36" t="n">
        <f aca="false">IF(Raw_Export!$A250="","",IFERROR(VALUE(TRIM(Raw_Export!E250)),0))</f>
        <v>2</v>
      </c>
      <c r="G250" s="38" t="n">
        <f aca="false">IF(Raw_Export!$A250="","",IFERROR(VALUE(SUBSTITUTE(SUBSTITUTE(UPPER(TRIM(Raw_Export!F250)),"KES",""),",","")),0))</f>
        <v>110</v>
      </c>
      <c r="H250" s="38" t="n">
        <f aca="false">IF(Raw_Export!$A250="","",F250*G250)</f>
        <v>220</v>
      </c>
      <c r="I250" s="36" t="str">
        <f aca="false">IF(Raw_Export!$A250="","",IFERROR(VLOOKUP(LOWER(TRIM(Raw_Export!H250)),Maps!$D$2:$E$12,2,FALSE()),"Other"))</f>
        <v>Card</v>
      </c>
      <c r="J250" s="36" t="str">
        <f aca="false">IF(Raw_Export!$A250="","",IF(COUNTIF($A$2:A250,A250)&gt;1,"Duplicate",""))</f>
        <v/>
      </c>
      <c r="K250" s="36" t="str">
        <f aca="false">IF(Raw_Export!$A250="","",IF(J250="Duplicate","Duplicate",IF(OR(C250="UNMAPPED",D250="UNMAPPED"),"Unmapped",IF(F250=0,"Blank qty",IF(F250&lt;0,"Return","OK")))))</f>
        <v>OK</v>
      </c>
      <c r="L250" s="36" t="n">
        <f aca="false">IF(Raw_Export!$A250="","",IF(OR(K250="OK",K250="Return"),1,0))</f>
        <v>1</v>
      </c>
      <c r="M250" s="37" t="n">
        <f aca="false">IF(Raw_Export!$A250="","",B250-WEEKDAY(B250,2)+1)</f>
        <v>46265</v>
      </c>
    </row>
    <row r="251" customFormat="false" ht="15" hidden="false" customHeight="false" outlineLevel="0" collapsed="false">
      <c r="A251" s="36" t="str">
        <f aca="false">IF(Raw_Export!$A251="","",TRIM(Raw_Export!A251))</f>
        <v>TXN-100246</v>
      </c>
      <c r="B251" s="37" t="n">
        <f aca="false">IF(Raw_Export!$A251="","",IF(ISNUMBER(Raw_Export!B251),Raw_Export!B251,IF(MID(TRIM(Raw_Export!B251),5,1)="-",DATE(LEFT(TRIM(Raw_Export!B251),4),MID(TRIM(Raw_Export!B251),6,2),RIGHT(TRIM(Raw_Export!B251),2)),DATE(RIGHT(TRIM(Raw_Export!B251),4),MATCH(MID(TRIM(Raw_Export!B251),4,3),{"Jan","Feb","Mar","Apr","May","Jun","Jul","Aug","Sep","Oct","Nov","Dec"},0),LEFT(TRIM(Raw_Export!B251),2)))))</f>
        <v>46266</v>
      </c>
      <c r="C251" s="36" t="str">
        <f aca="false">IF(Raw_Export!$A251="","",IFERROR(VLOOKUP(LOWER(TRIM(Raw_Export!C251)),Maps!$A$2:$B$20,2,FALSE()),"UNMAPPED"))</f>
        <v>Nakuru</v>
      </c>
      <c r="D251" s="36" t="str">
        <f aca="false">IF(Raw_Export!$A251="","",IFERROR(VLOOKUP(LOWER(TRIM(Raw_Export!D251)),Maps!$G$2:$I$80,2,FALSE()),"UNMAPPED"))</f>
        <v>Crisps 100g</v>
      </c>
      <c r="E251" s="36" t="str">
        <f aca="false">IF(Raw_Export!$A251="","",IFERROR(VLOOKUP(LOWER(TRIM(Raw_Export!D251)),Maps!$G$2:$I$80,3,FALSE()),"UNMAPPED"))</f>
        <v>Snacks</v>
      </c>
      <c r="F251" s="36" t="n">
        <f aca="false">IF(Raw_Export!$A251="","",IFERROR(VALUE(TRIM(Raw_Export!E251)),0))</f>
        <v>2</v>
      </c>
      <c r="G251" s="38" t="n">
        <f aca="false">IF(Raw_Export!$A251="","",IFERROR(VALUE(SUBSTITUTE(SUBSTITUTE(UPPER(TRIM(Raw_Export!F251)),"KES",""),",","")),0))</f>
        <v>72</v>
      </c>
      <c r="H251" s="38" t="n">
        <f aca="false">IF(Raw_Export!$A251="","",F251*G251)</f>
        <v>144</v>
      </c>
      <c r="I251" s="36" t="str">
        <f aca="false">IF(Raw_Export!$A251="","",IFERROR(VLOOKUP(LOWER(TRIM(Raw_Export!H251)),Maps!$D$2:$E$12,2,FALSE()),"Other"))</f>
        <v>M-Pesa</v>
      </c>
      <c r="J251" s="36" t="str">
        <f aca="false">IF(Raw_Export!$A251="","",IF(COUNTIF($A$2:A251,A251)&gt;1,"Duplicate",""))</f>
        <v/>
      </c>
      <c r="K251" s="36" t="str">
        <f aca="false">IF(Raw_Export!$A251="","",IF(J251="Duplicate","Duplicate",IF(OR(C251="UNMAPPED",D251="UNMAPPED"),"Unmapped",IF(F251=0,"Blank qty",IF(F251&lt;0,"Return","OK")))))</f>
        <v>OK</v>
      </c>
      <c r="L251" s="36" t="n">
        <f aca="false">IF(Raw_Export!$A251="","",IF(OR(K251="OK",K251="Return"),1,0))</f>
        <v>1</v>
      </c>
      <c r="M251" s="37" t="n">
        <f aca="false">IF(Raw_Export!$A251="","",B251-WEEKDAY(B251,2)+1)</f>
        <v>46265</v>
      </c>
    </row>
    <row r="252" customFormat="false" ht="15" hidden="false" customHeight="false" outlineLevel="0" collapsed="false">
      <c r="A252" s="36" t="str">
        <f aca="false">IF(Raw_Export!$A252="","",TRIM(Raw_Export!A252))</f>
        <v>TXN-100247</v>
      </c>
      <c r="B252" s="37" t="n">
        <f aca="false">IF(Raw_Export!$A252="","",IF(ISNUMBER(Raw_Export!B252),Raw_Export!B252,IF(MID(TRIM(Raw_Export!B252),5,1)="-",DATE(LEFT(TRIM(Raw_Export!B252),4),MID(TRIM(Raw_Export!B252),6,2),RIGHT(TRIM(Raw_Export!B252),2)),DATE(RIGHT(TRIM(Raw_Export!B252),4),MATCH(MID(TRIM(Raw_Export!B252),4,3),{"Jan","Feb","Mar","Apr","May","Jun","Jul","Aug","Sep","Oct","Nov","Dec"},0),LEFT(TRIM(Raw_Export!B252),2)))))</f>
        <v>46266</v>
      </c>
      <c r="C252" s="36" t="str">
        <f aca="false">IF(Raw_Export!$A252="","",IFERROR(VLOOKUP(LOWER(TRIM(Raw_Export!C252)),Maps!$A$2:$B$20,2,FALSE()),"UNMAPPED"))</f>
        <v>Nakuru</v>
      </c>
      <c r="D252" s="36" t="str">
        <f aca="false">IF(Raw_Export!$A252="","",IFERROR(VLOOKUP(LOWER(TRIM(Raw_Export!D252)),Maps!$G$2:$I$80,2,FALSE()),"UNMAPPED"))</f>
        <v>Salt 500g</v>
      </c>
      <c r="E252" s="36" t="str">
        <f aca="false">IF(Raw_Export!$A252="","",IFERROR(VLOOKUP(LOWER(TRIM(Raw_Export!D252)),Maps!$G$2:$I$80,3,FALSE()),"UNMAPPED"))</f>
        <v>Staples</v>
      </c>
      <c r="F252" s="36" t="n">
        <f aca="false">IF(Raw_Export!$A252="","",IFERROR(VALUE(TRIM(Raw_Export!E252)),0))</f>
        <v>4</v>
      </c>
      <c r="G252" s="38" t="n">
        <f aca="false">IF(Raw_Export!$A252="","",IFERROR(VALUE(SUBSTITUTE(SUBSTITUTE(UPPER(TRIM(Raw_Export!F252)),"KES",""),",","")),0))</f>
        <v>40</v>
      </c>
      <c r="H252" s="38" t="n">
        <f aca="false">IF(Raw_Export!$A252="","",F252*G252)</f>
        <v>160</v>
      </c>
      <c r="I252" s="36" t="str">
        <f aca="false">IF(Raw_Export!$A252="","",IFERROR(VLOOKUP(LOWER(TRIM(Raw_Export!H252)),Maps!$D$2:$E$12,2,FALSE()),"Other"))</f>
        <v>Card</v>
      </c>
      <c r="J252" s="36" t="str">
        <f aca="false">IF(Raw_Export!$A252="","",IF(COUNTIF($A$2:A252,A252)&gt;1,"Duplicate",""))</f>
        <v/>
      </c>
      <c r="K252" s="36" t="str">
        <f aca="false">IF(Raw_Export!$A252="","",IF(J252="Duplicate","Duplicate",IF(OR(C252="UNMAPPED",D252="UNMAPPED"),"Unmapped",IF(F252=0,"Blank qty",IF(F252&lt;0,"Return","OK")))))</f>
        <v>OK</v>
      </c>
      <c r="L252" s="36" t="n">
        <f aca="false">IF(Raw_Export!$A252="","",IF(OR(K252="OK",K252="Return"),1,0))</f>
        <v>1</v>
      </c>
      <c r="M252" s="37" t="n">
        <f aca="false">IF(Raw_Export!$A252="","",B252-WEEKDAY(B252,2)+1)</f>
        <v>46265</v>
      </c>
    </row>
    <row r="253" customFormat="false" ht="15" hidden="false" customHeight="false" outlineLevel="0" collapsed="false">
      <c r="A253" s="36" t="str">
        <f aca="false">IF(Raw_Export!$A253="","",TRIM(Raw_Export!A253))</f>
        <v>TXN-100248</v>
      </c>
      <c r="B253" s="37" t="n">
        <f aca="false">IF(Raw_Export!$A253="","",IF(ISNUMBER(Raw_Export!B253),Raw_Export!B253,IF(MID(TRIM(Raw_Export!B253),5,1)="-",DATE(LEFT(TRIM(Raw_Export!B253),4),MID(TRIM(Raw_Export!B253),6,2),RIGHT(TRIM(Raw_Export!B253),2)),DATE(RIGHT(TRIM(Raw_Export!B253),4),MATCH(MID(TRIM(Raw_Export!B253),4,3),{"Jan","Feb","Mar","Apr","May","Jun","Jul","Aug","Sep","Oct","Nov","Dec"},0),LEFT(TRIM(Raw_Export!B253),2)))))</f>
        <v>46266</v>
      </c>
      <c r="C253" s="36" t="str">
        <f aca="false">IF(Raw_Export!$A253="","",IFERROR(VLOOKUP(LOWER(TRIM(Raw_Export!C253)),Maps!$A$2:$B$20,2,FALSE()),"UNMAPPED"))</f>
        <v>Nakuru</v>
      </c>
      <c r="D253" s="36" t="str">
        <f aca="false">IF(Raw_Export!$A253="","",IFERROR(VLOOKUP(LOWER(TRIM(Raw_Export!D253)),Maps!$G$2:$I$80,2,FALSE()),"UNMAPPED"))</f>
        <v>Tea Leaves 250g</v>
      </c>
      <c r="E253" s="36" t="str">
        <f aca="false">IF(Raw_Export!$A253="","",IFERROR(VLOOKUP(LOWER(TRIM(Raw_Export!D253)),Maps!$G$2:$I$80,3,FALSE()),"UNMAPPED"))</f>
        <v>Beverages</v>
      </c>
      <c r="F253" s="36" t="n">
        <f aca="false">IF(Raw_Export!$A253="","",IFERROR(VALUE(TRIM(Raw_Export!E253)),0))</f>
        <v>4</v>
      </c>
      <c r="G253" s="38" t="n">
        <f aca="false">IF(Raw_Export!$A253="","",IFERROR(VALUE(SUBSTITUTE(SUBSTITUTE(UPPER(TRIM(Raw_Export!F253)),"KES",""),",","")),0))</f>
        <v>150</v>
      </c>
      <c r="H253" s="38" t="n">
        <f aca="false">IF(Raw_Export!$A253="","",F253*G253)</f>
        <v>600</v>
      </c>
      <c r="I253" s="36" t="str">
        <f aca="false">IF(Raw_Export!$A253="","",IFERROR(VLOOKUP(LOWER(TRIM(Raw_Export!H253)),Maps!$D$2:$E$12,2,FALSE()),"Other"))</f>
        <v>M-Pesa</v>
      </c>
      <c r="J253" s="36" t="str">
        <f aca="false">IF(Raw_Export!$A253="","",IF(COUNTIF($A$2:A253,A253)&gt;1,"Duplicate",""))</f>
        <v/>
      </c>
      <c r="K253" s="36" t="str">
        <f aca="false">IF(Raw_Export!$A253="","",IF(J253="Duplicate","Duplicate",IF(OR(C253="UNMAPPED",D253="UNMAPPED"),"Unmapped",IF(F253=0,"Blank qty",IF(F253&lt;0,"Return","OK")))))</f>
        <v>OK</v>
      </c>
      <c r="L253" s="36" t="n">
        <f aca="false">IF(Raw_Export!$A253="","",IF(OR(K253="OK",K253="Return"),1,0))</f>
        <v>1</v>
      </c>
      <c r="M253" s="37" t="n">
        <f aca="false">IF(Raw_Export!$A253="","",B253-WEEKDAY(B253,2)+1)</f>
        <v>46265</v>
      </c>
    </row>
    <row r="254" customFormat="false" ht="15" hidden="false" customHeight="false" outlineLevel="0" collapsed="false">
      <c r="A254" s="36" t="str">
        <f aca="false">IF(Raw_Export!$A254="","",TRIM(Raw_Export!A254))</f>
        <v>TXN-100249</v>
      </c>
      <c r="B254" s="37" t="n">
        <f aca="false">IF(Raw_Export!$A254="","",IF(ISNUMBER(Raw_Export!B254),Raw_Export!B254,IF(MID(TRIM(Raw_Export!B254),5,1)="-",DATE(LEFT(TRIM(Raw_Export!B254),4),MID(TRIM(Raw_Export!B254),6,2),RIGHT(TRIM(Raw_Export!B254),2)),DATE(RIGHT(TRIM(Raw_Export!B254),4),MATCH(MID(TRIM(Raw_Export!B254),4,3),{"Jan","Feb","Mar","Apr","May","Jun","Jul","Aug","Sep","Oct","Nov","Dec"},0),LEFT(TRIM(Raw_Export!B254),2)))))</f>
        <v>46266</v>
      </c>
      <c r="C254" s="36" t="str">
        <f aca="false">IF(Raw_Export!$A254="","",IFERROR(VLOOKUP(LOWER(TRIM(Raw_Export!C254)),Maps!$A$2:$B$20,2,FALSE()),"UNMAPPED"))</f>
        <v>Nakuru</v>
      </c>
      <c r="D254" s="36" t="str">
        <f aca="false">IF(Raw_Export!$A254="","",IFERROR(VLOOKUP(LOWER(TRIM(Raw_Export!D254)),Maps!$G$2:$I$80,2,FALSE()),"UNMAPPED"))</f>
        <v>Cheddar 200g</v>
      </c>
      <c r="E254" s="36" t="str">
        <f aca="false">IF(Raw_Export!$A254="","",IFERROR(VLOOKUP(LOWER(TRIM(Raw_Export!D254)),Maps!$G$2:$I$80,3,FALSE()),"UNMAPPED"))</f>
        <v>Dairy &amp; Eggs</v>
      </c>
      <c r="F254" s="36" t="n">
        <f aca="false">IF(Raw_Export!$A254="","",IFERROR(VALUE(TRIM(Raw_Export!E254)),0))</f>
        <v>6</v>
      </c>
      <c r="G254" s="38" t="n">
        <f aca="false">IF(Raw_Export!$A254="","",IFERROR(VALUE(SUBSTITUTE(SUBSTITUTE(UPPER(TRIM(Raw_Export!F254)),"KES",""),",","")),0))</f>
        <v>380</v>
      </c>
      <c r="H254" s="38" t="n">
        <f aca="false">IF(Raw_Export!$A254="","",F254*G254)</f>
        <v>2280</v>
      </c>
      <c r="I254" s="36" t="str">
        <f aca="false">IF(Raw_Export!$A254="","",IFERROR(VLOOKUP(LOWER(TRIM(Raw_Export!H254)),Maps!$D$2:$E$12,2,FALSE()),"Other"))</f>
        <v>M-Pesa</v>
      </c>
      <c r="J254" s="36" t="str">
        <f aca="false">IF(Raw_Export!$A254="","",IF(COUNTIF($A$2:A254,A254)&gt;1,"Duplicate",""))</f>
        <v/>
      </c>
      <c r="K254" s="36" t="str">
        <f aca="false">IF(Raw_Export!$A254="","",IF(J254="Duplicate","Duplicate",IF(OR(C254="UNMAPPED",D254="UNMAPPED"),"Unmapped",IF(F254=0,"Blank qty",IF(F254&lt;0,"Return","OK")))))</f>
        <v>OK</v>
      </c>
      <c r="L254" s="36" t="n">
        <f aca="false">IF(Raw_Export!$A254="","",IF(OR(K254="OK",K254="Return"),1,0))</f>
        <v>1</v>
      </c>
      <c r="M254" s="37" t="n">
        <f aca="false">IF(Raw_Export!$A254="","",B254-WEEKDAY(B254,2)+1)</f>
        <v>46265</v>
      </c>
    </row>
    <row r="255" customFormat="false" ht="15" hidden="false" customHeight="false" outlineLevel="0" collapsed="false">
      <c r="A255" s="36" t="str">
        <f aca="false">IF(Raw_Export!$A255="","",TRIM(Raw_Export!A255))</f>
        <v>TXN-100250</v>
      </c>
      <c r="B255" s="37" t="n">
        <f aca="false">IF(Raw_Export!$A255="","",IF(ISNUMBER(Raw_Export!B255),Raw_Export!B255,IF(MID(TRIM(Raw_Export!B255),5,1)="-",DATE(LEFT(TRIM(Raw_Export!B255),4),MID(TRIM(Raw_Export!B255),6,2),RIGHT(TRIM(Raw_Export!B255),2)),DATE(RIGHT(TRIM(Raw_Export!B255),4),MATCH(MID(TRIM(Raw_Export!B255),4,3),{"Jan","Feb","Mar","Apr","May","Jun","Jul","Aug","Sep","Oct","Nov","Dec"},0),LEFT(TRIM(Raw_Export!B255),2)))))</f>
        <v>46266</v>
      </c>
      <c r="C255" s="36" t="str">
        <f aca="false">IF(Raw_Export!$A255="","",IFERROR(VLOOKUP(LOWER(TRIM(Raw_Export!C255)),Maps!$A$2:$B$20,2,FALSE()),"UNMAPPED"))</f>
        <v>Nakuru</v>
      </c>
      <c r="D255" s="36" t="str">
        <f aca="false">IF(Raw_Export!$A255="","",IFERROR(VLOOKUP(LOWER(TRIM(Raw_Export!D255)),Maps!$G$2:$I$80,2,FALSE()),"UNMAPPED"))</f>
        <v>Cooking Oil 1L</v>
      </c>
      <c r="E255" s="36" t="str">
        <f aca="false">IF(Raw_Export!$A255="","",IFERROR(VLOOKUP(LOWER(TRIM(Raw_Export!D255)),Maps!$G$2:$I$80,3,FALSE()),"UNMAPPED"))</f>
        <v>Staples</v>
      </c>
      <c r="F255" s="36" t="n">
        <f aca="false">IF(Raw_Export!$A255="","",IFERROR(VALUE(TRIM(Raw_Export!E255)),0))</f>
        <v>1</v>
      </c>
      <c r="G255" s="38" t="n">
        <f aca="false">IF(Raw_Export!$A255="","",IFERROR(VALUE(SUBSTITUTE(SUBSTITUTE(UPPER(TRIM(Raw_Export!F255)),"KES",""),",","")),0))</f>
        <v>330</v>
      </c>
      <c r="H255" s="38" t="n">
        <f aca="false">IF(Raw_Export!$A255="","",F255*G255)</f>
        <v>330</v>
      </c>
      <c r="I255" s="36" t="str">
        <f aca="false">IF(Raw_Export!$A255="","",IFERROR(VLOOKUP(LOWER(TRIM(Raw_Export!H255)),Maps!$D$2:$E$12,2,FALSE()),"Other"))</f>
        <v>Card</v>
      </c>
      <c r="J255" s="36" t="str">
        <f aca="false">IF(Raw_Export!$A255="","",IF(COUNTIF($A$2:A255,A255)&gt;1,"Duplicate",""))</f>
        <v/>
      </c>
      <c r="K255" s="36" t="str">
        <f aca="false">IF(Raw_Export!$A255="","",IF(J255="Duplicate","Duplicate",IF(OR(C255="UNMAPPED",D255="UNMAPPED"),"Unmapped",IF(F255=0,"Blank qty",IF(F255&lt;0,"Return","OK")))))</f>
        <v>OK</v>
      </c>
      <c r="L255" s="36" t="n">
        <f aca="false">IF(Raw_Export!$A255="","",IF(OR(K255="OK",K255="Return"),1,0))</f>
        <v>1</v>
      </c>
      <c r="M255" s="37" t="n">
        <f aca="false">IF(Raw_Export!$A255="","",B255-WEEKDAY(B255,2)+1)</f>
        <v>46265</v>
      </c>
    </row>
    <row r="256" customFormat="false" ht="15" hidden="false" customHeight="false" outlineLevel="0" collapsed="false">
      <c r="A256" s="36" t="str">
        <f aca="false">IF(Raw_Export!$A256="","",TRIM(Raw_Export!A256))</f>
        <v>TXN-100251</v>
      </c>
      <c r="B256" s="37" t="n">
        <f aca="false">IF(Raw_Export!$A256="","",IF(ISNUMBER(Raw_Export!B256),Raw_Export!B256,IF(MID(TRIM(Raw_Export!B256),5,1)="-",DATE(LEFT(TRIM(Raw_Export!B256),4),MID(TRIM(Raw_Export!B256),6,2),RIGHT(TRIM(Raw_Export!B256),2)),DATE(RIGHT(TRIM(Raw_Export!B256),4),MATCH(MID(TRIM(Raw_Export!B256),4,3),{"Jan","Feb","Mar","Apr","May","Jun","Jul","Aug","Sep","Oct","Nov","Dec"},0),LEFT(TRIM(Raw_Export!B256),2)))))</f>
        <v>46267</v>
      </c>
      <c r="C256" s="36" t="str">
        <f aca="false">IF(Raw_Export!$A256="","",IFERROR(VLOOKUP(LOWER(TRIM(Raw_Export!C256)),Maps!$A$2:$B$20,2,FALSE()),"UNMAPPED"))</f>
        <v>Nairobi CBD</v>
      </c>
      <c r="D256" s="36" t="str">
        <f aca="false">IF(Raw_Export!$A256="","",IFERROR(VLOOKUP(LOWER(TRIM(Raw_Export!D256)),Maps!$G$2:$I$80,2,FALSE()),"UNMAPPED"))</f>
        <v>Washing Powder 1kg</v>
      </c>
      <c r="E256" s="36" t="str">
        <f aca="false">IF(Raw_Export!$A256="","",IFERROR(VLOOKUP(LOWER(TRIM(Raw_Export!D256)),Maps!$G$2:$I$80,3,FALSE()),"UNMAPPED"))</f>
        <v>Household</v>
      </c>
      <c r="F256" s="36" t="n">
        <f aca="false">IF(Raw_Export!$A256="","",IFERROR(VALUE(TRIM(Raw_Export!E256)),0))</f>
        <v>1</v>
      </c>
      <c r="G256" s="38" t="n">
        <f aca="false">IF(Raw_Export!$A256="","",IFERROR(VALUE(SUBSTITUTE(SUBSTITUTE(UPPER(TRIM(Raw_Export!F256)),"KES",""),",","")),0))</f>
        <v>280</v>
      </c>
      <c r="H256" s="38" t="n">
        <f aca="false">IF(Raw_Export!$A256="","",F256*G256)</f>
        <v>280</v>
      </c>
      <c r="I256" s="36" t="str">
        <f aca="false">IF(Raw_Export!$A256="","",IFERROR(VLOOKUP(LOWER(TRIM(Raw_Export!H256)),Maps!$D$2:$E$12,2,FALSE()),"Other"))</f>
        <v>Cash</v>
      </c>
      <c r="J256" s="36" t="str">
        <f aca="false">IF(Raw_Export!$A256="","",IF(COUNTIF($A$2:A256,A256)&gt;1,"Duplicate",""))</f>
        <v/>
      </c>
      <c r="K256" s="36" t="str">
        <f aca="false">IF(Raw_Export!$A256="","",IF(J256="Duplicate","Duplicate",IF(OR(C256="UNMAPPED",D256="UNMAPPED"),"Unmapped",IF(F256=0,"Blank qty",IF(F256&lt;0,"Return","OK")))))</f>
        <v>OK</v>
      </c>
      <c r="L256" s="36" t="n">
        <f aca="false">IF(Raw_Export!$A256="","",IF(OR(K256="OK",K256="Return"),1,0))</f>
        <v>1</v>
      </c>
      <c r="M256" s="37" t="n">
        <f aca="false">IF(Raw_Export!$A256="","",B256-WEEKDAY(B256,2)+1)</f>
        <v>46265</v>
      </c>
    </row>
    <row r="257" customFormat="false" ht="15" hidden="false" customHeight="false" outlineLevel="0" collapsed="false">
      <c r="A257" s="36" t="str">
        <f aca="false">IF(Raw_Export!$A257="","",TRIM(Raw_Export!A257))</f>
        <v>TXN-100252</v>
      </c>
      <c r="B257" s="37" t="n">
        <f aca="false">IF(Raw_Export!$A257="","",IF(ISNUMBER(Raw_Export!B257),Raw_Export!B257,IF(MID(TRIM(Raw_Export!B257),5,1)="-",DATE(LEFT(TRIM(Raw_Export!B257),4),MID(TRIM(Raw_Export!B257),6,2),RIGHT(TRIM(Raw_Export!B257),2)),DATE(RIGHT(TRIM(Raw_Export!B257),4),MATCH(MID(TRIM(Raw_Export!B257),4,3),{"Jan","Feb","Mar","Apr","May","Jun","Jul","Aug","Sep","Oct","Nov","Dec"},0),LEFT(TRIM(Raw_Export!B257),2)))))</f>
        <v>46267</v>
      </c>
      <c r="C257" s="36" t="str">
        <f aca="false">IF(Raw_Export!$A257="","",IFERROR(VLOOKUP(LOWER(TRIM(Raw_Export!C257)),Maps!$A$2:$B$20,2,FALSE()),"UNMAPPED"))</f>
        <v>Nairobi CBD</v>
      </c>
      <c r="D257" s="36" t="str">
        <f aca="false">IF(Raw_Export!$A257="","",IFERROR(VLOOKUP(LOWER(TRIM(Raw_Export!D257)),Maps!$G$2:$I$80,2,FALSE()),"UNMAPPED"))</f>
        <v>Spaghetti 400g</v>
      </c>
      <c r="E257" s="36" t="str">
        <f aca="false">IF(Raw_Export!$A257="","",IFERROR(VLOOKUP(LOWER(TRIM(Raw_Export!D257)),Maps!$G$2:$I$80,3,FALSE()),"UNMAPPED"))</f>
        <v>Staples</v>
      </c>
      <c r="F257" s="36" t="n">
        <f aca="false">IF(Raw_Export!$A257="","",IFERROR(VALUE(TRIM(Raw_Export!E257)),0))</f>
        <v>2</v>
      </c>
      <c r="G257" s="38" t="n">
        <f aca="false">IF(Raw_Export!$A257="","",IFERROR(VALUE(SUBSTITUTE(SUBSTITUTE(UPPER(TRIM(Raw_Export!F257)),"KES",""),",","")),0))</f>
        <v>110</v>
      </c>
      <c r="H257" s="38" t="n">
        <f aca="false">IF(Raw_Export!$A257="","",F257*G257)</f>
        <v>220</v>
      </c>
      <c r="I257" s="36" t="str">
        <f aca="false">IF(Raw_Export!$A257="","",IFERROR(VLOOKUP(LOWER(TRIM(Raw_Export!H257)),Maps!$D$2:$E$12,2,FALSE()),"Other"))</f>
        <v>M-Pesa</v>
      </c>
      <c r="J257" s="36" t="str">
        <f aca="false">IF(Raw_Export!$A257="","",IF(COUNTIF($A$2:A257,A257)&gt;1,"Duplicate",""))</f>
        <v/>
      </c>
      <c r="K257" s="36" t="str">
        <f aca="false">IF(Raw_Export!$A257="","",IF(J257="Duplicate","Duplicate",IF(OR(C257="UNMAPPED",D257="UNMAPPED"),"Unmapped",IF(F257=0,"Blank qty",IF(F257&lt;0,"Return","OK")))))</f>
        <v>OK</v>
      </c>
      <c r="L257" s="36" t="n">
        <f aca="false">IF(Raw_Export!$A257="","",IF(OR(K257="OK",K257="Return"),1,0))</f>
        <v>1</v>
      </c>
      <c r="M257" s="37" t="n">
        <f aca="false">IF(Raw_Export!$A257="","",B257-WEEKDAY(B257,2)+1)</f>
        <v>46265</v>
      </c>
    </row>
    <row r="258" customFormat="false" ht="15" hidden="false" customHeight="false" outlineLevel="0" collapsed="false">
      <c r="A258" s="36" t="str">
        <f aca="false">IF(Raw_Export!$A258="","",TRIM(Raw_Export!A258))</f>
        <v>TXN-100253</v>
      </c>
      <c r="B258" s="37" t="n">
        <f aca="false">IF(Raw_Export!$A258="","",IF(ISNUMBER(Raw_Export!B258),Raw_Export!B258,IF(MID(TRIM(Raw_Export!B258),5,1)="-",DATE(LEFT(TRIM(Raw_Export!B258),4),MID(TRIM(Raw_Export!B258),6,2),RIGHT(TRIM(Raw_Export!B258),2)),DATE(RIGHT(TRIM(Raw_Export!B258),4),MATCH(MID(TRIM(Raw_Export!B258),4,3),{"Jan","Feb","Mar","Apr","May","Jun","Jul","Aug","Sep","Oct","Nov","Dec"},0),LEFT(TRIM(Raw_Export!B258),2)))))</f>
        <v>46267</v>
      </c>
      <c r="C258" s="36" t="str">
        <f aca="false">IF(Raw_Export!$A258="","",IFERROR(VLOOKUP(LOWER(TRIM(Raw_Export!C258)),Maps!$A$2:$B$20,2,FALSE()),"UNMAPPED"))</f>
        <v>Nairobi CBD</v>
      </c>
      <c r="D258" s="36" t="str">
        <f aca="false">IF(Raw_Export!$A258="","",IFERROR(VLOOKUP(LOWER(TRIM(Raw_Export!D258)),Maps!$G$2:$I$80,2,FALSE()),"UNMAPPED"))</f>
        <v>Washing Powder 1kg</v>
      </c>
      <c r="E258" s="36" t="str">
        <f aca="false">IF(Raw_Export!$A258="","",IFERROR(VLOOKUP(LOWER(TRIM(Raw_Export!D258)),Maps!$G$2:$I$80,3,FALSE()),"UNMAPPED"))</f>
        <v>Household</v>
      </c>
      <c r="F258" s="36" t="n">
        <f aca="false">IF(Raw_Export!$A258="","",IFERROR(VALUE(TRIM(Raw_Export!E258)),0))</f>
        <v>1</v>
      </c>
      <c r="G258" s="38" t="n">
        <f aca="false">IF(Raw_Export!$A258="","",IFERROR(VALUE(SUBSTITUTE(SUBSTITUTE(UPPER(TRIM(Raw_Export!F258)),"KES",""),",","")),0))</f>
        <v>280</v>
      </c>
      <c r="H258" s="38" t="n">
        <f aca="false">IF(Raw_Export!$A258="","",F258*G258)</f>
        <v>280</v>
      </c>
      <c r="I258" s="36" t="str">
        <f aca="false">IF(Raw_Export!$A258="","",IFERROR(VLOOKUP(LOWER(TRIM(Raw_Export!H258)),Maps!$D$2:$E$12,2,FALSE()),"Other"))</f>
        <v>M-Pesa</v>
      </c>
      <c r="J258" s="36" t="str">
        <f aca="false">IF(Raw_Export!$A258="","",IF(COUNTIF($A$2:A258,A258)&gt;1,"Duplicate",""))</f>
        <v/>
      </c>
      <c r="K258" s="36" t="str">
        <f aca="false">IF(Raw_Export!$A258="","",IF(J258="Duplicate","Duplicate",IF(OR(C258="UNMAPPED",D258="UNMAPPED"),"Unmapped",IF(F258=0,"Blank qty",IF(F258&lt;0,"Return","OK")))))</f>
        <v>OK</v>
      </c>
      <c r="L258" s="36" t="n">
        <f aca="false">IF(Raw_Export!$A258="","",IF(OR(K258="OK",K258="Return"),1,0))</f>
        <v>1</v>
      </c>
      <c r="M258" s="37" t="n">
        <f aca="false">IF(Raw_Export!$A258="","",B258-WEEKDAY(B258,2)+1)</f>
        <v>46265</v>
      </c>
    </row>
    <row r="259" customFormat="false" ht="15" hidden="false" customHeight="false" outlineLevel="0" collapsed="false">
      <c r="A259" s="36" t="str">
        <f aca="false">IF(Raw_Export!$A259="","",TRIM(Raw_Export!A259))</f>
        <v>TXN-100254</v>
      </c>
      <c r="B259" s="37" t="n">
        <f aca="false">IF(Raw_Export!$A259="","",IF(ISNUMBER(Raw_Export!B259),Raw_Export!B259,IF(MID(TRIM(Raw_Export!B259),5,1)="-",DATE(LEFT(TRIM(Raw_Export!B259),4),MID(TRIM(Raw_Export!B259),6,2),RIGHT(TRIM(Raw_Export!B259),2)),DATE(RIGHT(TRIM(Raw_Export!B259),4),MATCH(MID(TRIM(Raw_Export!B259),4,3),{"Jan","Feb","Mar","Apr","May","Jun","Jul","Aug","Sep","Oct","Nov","Dec"},0),LEFT(TRIM(Raw_Export!B259),2)))))</f>
        <v>46267</v>
      </c>
      <c r="C259" s="36" t="str">
        <f aca="false">IF(Raw_Export!$A259="","",IFERROR(VLOOKUP(LOWER(TRIM(Raw_Export!C259)),Maps!$A$2:$B$20,2,FALSE()),"UNMAPPED"))</f>
        <v>Nairobi CBD</v>
      </c>
      <c r="D259" s="36" t="str">
        <f aca="false">IF(Raw_Export!$A259="","",IFERROR(VLOOKUP(LOWER(TRIM(Raw_Export!D259)),Maps!$G$2:$I$80,2,FALSE()),"UNMAPPED"))</f>
        <v>Spaghetti 400g</v>
      </c>
      <c r="E259" s="36" t="str">
        <f aca="false">IF(Raw_Export!$A259="","",IFERROR(VLOOKUP(LOWER(TRIM(Raw_Export!D259)),Maps!$G$2:$I$80,3,FALSE()),"UNMAPPED"))</f>
        <v>Staples</v>
      </c>
      <c r="F259" s="36" t="n">
        <f aca="false">IF(Raw_Export!$A259="","",IFERROR(VALUE(TRIM(Raw_Export!E259)),0))</f>
        <v>6</v>
      </c>
      <c r="G259" s="38" t="n">
        <f aca="false">IF(Raw_Export!$A259="","",IFERROR(VALUE(SUBSTITUTE(SUBSTITUTE(UPPER(TRIM(Raw_Export!F259)),"KES",""),",","")),0))</f>
        <v>110</v>
      </c>
      <c r="H259" s="38" t="n">
        <f aca="false">IF(Raw_Export!$A259="","",F259*G259)</f>
        <v>660</v>
      </c>
      <c r="I259" s="36" t="str">
        <f aca="false">IF(Raw_Export!$A259="","",IFERROR(VLOOKUP(LOWER(TRIM(Raw_Export!H259)),Maps!$D$2:$E$12,2,FALSE()),"Other"))</f>
        <v>Cash</v>
      </c>
      <c r="J259" s="36" t="str">
        <f aca="false">IF(Raw_Export!$A259="","",IF(COUNTIF($A$2:A259,A259)&gt;1,"Duplicate",""))</f>
        <v/>
      </c>
      <c r="K259" s="36" t="str">
        <f aca="false">IF(Raw_Export!$A259="","",IF(J259="Duplicate","Duplicate",IF(OR(C259="UNMAPPED",D259="UNMAPPED"),"Unmapped",IF(F259=0,"Blank qty",IF(F259&lt;0,"Return","OK")))))</f>
        <v>OK</v>
      </c>
      <c r="L259" s="36" t="n">
        <f aca="false">IF(Raw_Export!$A259="","",IF(OR(K259="OK",K259="Return"),1,0))</f>
        <v>1</v>
      </c>
      <c r="M259" s="37" t="n">
        <f aca="false">IF(Raw_Export!$A259="","",B259-WEEKDAY(B259,2)+1)</f>
        <v>46265</v>
      </c>
    </row>
    <row r="260" customFormat="false" ht="15" hidden="false" customHeight="false" outlineLevel="0" collapsed="false">
      <c r="A260" s="36" t="str">
        <f aca="false">IF(Raw_Export!$A260="","",TRIM(Raw_Export!A260))</f>
        <v>TXN-100255</v>
      </c>
      <c r="B260" s="37" t="n">
        <f aca="false">IF(Raw_Export!$A260="","",IF(ISNUMBER(Raw_Export!B260),Raw_Export!B260,IF(MID(TRIM(Raw_Export!B260),5,1)="-",DATE(LEFT(TRIM(Raw_Export!B260),4),MID(TRIM(Raw_Export!B260),6,2),RIGHT(TRIM(Raw_Export!B260),2)),DATE(RIGHT(TRIM(Raw_Export!B260),4),MATCH(MID(TRIM(Raw_Export!B260),4,3),{"Jan","Feb","Mar","Apr","May","Jun","Jul","Aug","Sep","Oct","Nov","Dec"},0),LEFT(TRIM(Raw_Export!B260),2)))))</f>
        <v>46267</v>
      </c>
      <c r="C260" s="36" t="str">
        <f aca="false">IF(Raw_Export!$A260="","",IFERROR(VLOOKUP(LOWER(TRIM(Raw_Export!C260)),Maps!$A$2:$B$20,2,FALSE()),"UNMAPPED"))</f>
        <v>Nairobi CBD</v>
      </c>
      <c r="D260" s="36" t="str">
        <f aca="false">IF(Raw_Export!$A260="","",IFERROR(VLOOKUP(LOWER(TRIM(Raw_Export!D260)),Maps!$G$2:$I$80,2,FALSE()),"UNMAPPED"))</f>
        <v>Bath Soap 175g</v>
      </c>
      <c r="E260" s="36" t="str">
        <f aca="false">IF(Raw_Export!$A260="","",IFERROR(VLOOKUP(LOWER(TRIM(Raw_Export!D260)),Maps!$G$2:$I$80,3,FALSE()),"UNMAPPED"))</f>
        <v>Personal Care</v>
      </c>
      <c r="F260" s="36" t="n">
        <f aca="false">IF(Raw_Export!$A260="","",IFERROR(VALUE(TRIM(Raw_Export!E260)),0))</f>
        <v>4</v>
      </c>
      <c r="G260" s="38" t="n">
        <f aca="false">IF(Raw_Export!$A260="","",IFERROR(VALUE(SUBSTITUTE(SUBSTITUTE(UPPER(TRIM(Raw_Export!F260)),"KES",""),",","")),0))</f>
        <v>85</v>
      </c>
      <c r="H260" s="38" t="n">
        <f aca="false">IF(Raw_Export!$A260="","",F260*G260)</f>
        <v>340</v>
      </c>
      <c r="I260" s="36" t="str">
        <f aca="false">IF(Raw_Export!$A260="","",IFERROR(VLOOKUP(LOWER(TRIM(Raw_Export!H260)),Maps!$D$2:$E$12,2,FALSE()),"Other"))</f>
        <v>M-Pesa</v>
      </c>
      <c r="J260" s="36" t="str">
        <f aca="false">IF(Raw_Export!$A260="","",IF(COUNTIF($A$2:A260,A260)&gt;1,"Duplicate",""))</f>
        <v/>
      </c>
      <c r="K260" s="36" t="str">
        <f aca="false">IF(Raw_Export!$A260="","",IF(J260="Duplicate","Duplicate",IF(OR(C260="UNMAPPED",D260="UNMAPPED"),"Unmapped",IF(F260=0,"Blank qty",IF(F260&lt;0,"Return","OK")))))</f>
        <v>OK</v>
      </c>
      <c r="L260" s="36" t="n">
        <f aca="false">IF(Raw_Export!$A260="","",IF(OR(K260="OK",K260="Return"),1,0))</f>
        <v>1</v>
      </c>
      <c r="M260" s="37" t="n">
        <f aca="false">IF(Raw_Export!$A260="","",B260-WEEKDAY(B260,2)+1)</f>
        <v>46265</v>
      </c>
    </row>
    <row r="261" customFormat="false" ht="15" hidden="false" customHeight="false" outlineLevel="0" collapsed="false">
      <c r="A261" s="36" t="str">
        <f aca="false">IF(Raw_Export!$A261="","",TRIM(Raw_Export!A261))</f>
        <v>TXN-100256</v>
      </c>
      <c r="B261" s="37" t="n">
        <f aca="false">IF(Raw_Export!$A261="","",IF(ISNUMBER(Raw_Export!B261),Raw_Export!B261,IF(MID(TRIM(Raw_Export!B261),5,1)="-",DATE(LEFT(TRIM(Raw_Export!B261),4),MID(TRIM(Raw_Export!B261),6,2),RIGHT(TRIM(Raw_Export!B261),2)),DATE(RIGHT(TRIM(Raw_Export!B261),4),MATCH(MID(TRIM(Raw_Export!B261),4,3),{"Jan","Feb","Mar","Apr","May","Jun","Jul","Aug","Sep","Oct","Nov","Dec"},0),LEFT(TRIM(Raw_Export!B261),2)))))</f>
        <v>46267</v>
      </c>
      <c r="C261" s="36" t="str">
        <f aca="false">IF(Raw_Export!$A261="","",IFERROR(VLOOKUP(LOWER(TRIM(Raw_Export!C261)),Maps!$A$2:$B$20,2,FALSE()),"UNMAPPED"))</f>
        <v>Nairobi CBD</v>
      </c>
      <c r="D261" s="36" t="str">
        <f aca="false">IF(Raw_Export!$A261="","",IFERROR(VLOOKUP(LOWER(TRIM(Raw_Export!D261)),Maps!$G$2:$I$80,2,FALSE()),"UNMAPPED"))</f>
        <v>UNMAPPED</v>
      </c>
      <c r="E261" s="36" t="str">
        <f aca="false">IF(Raw_Export!$A261="","",IFERROR(VLOOKUP(LOWER(TRIM(Raw_Export!D261)),Maps!$G$2:$I$80,3,FALSE()),"UNMAPPED"))</f>
        <v>UNMAPPED</v>
      </c>
      <c r="F261" s="36" t="n">
        <f aca="false">IF(Raw_Export!$A261="","",IFERROR(VALUE(TRIM(Raw_Export!E261)),0))</f>
        <v>1</v>
      </c>
      <c r="G261" s="38" t="n">
        <f aca="false">IF(Raw_Export!$A261="","",IFERROR(VALUE(SUBSTITUTE(SUBSTITUTE(UPPER(TRIM(Raw_Export!F261)),"KES",""),",","")),0))</f>
        <v>85</v>
      </c>
      <c r="H261" s="38" t="n">
        <f aca="false">IF(Raw_Export!$A261="","",F261*G261)</f>
        <v>85</v>
      </c>
      <c r="I261" s="36" t="str">
        <f aca="false">IF(Raw_Export!$A261="","",IFERROR(VLOOKUP(LOWER(TRIM(Raw_Export!H261)),Maps!$D$2:$E$12,2,FALSE()),"Other"))</f>
        <v>M-Pesa</v>
      </c>
      <c r="J261" s="36" t="str">
        <f aca="false">IF(Raw_Export!$A261="","",IF(COUNTIF($A$2:A261,A261)&gt;1,"Duplicate",""))</f>
        <v/>
      </c>
      <c r="K261" s="36" t="str">
        <f aca="false">IF(Raw_Export!$A261="","",IF(J261="Duplicate","Duplicate",IF(OR(C261="UNMAPPED",D261="UNMAPPED"),"Unmapped",IF(F261=0,"Blank qty",IF(F261&lt;0,"Return","OK")))))</f>
        <v>Unmapped</v>
      </c>
      <c r="L261" s="36" t="n">
        <f aca="false">IF(Raw_Export!$A261="","",IF(OR(K261="OK",K261="Return"),1,0))</f>
        <v>0</v>
      </c>
      <c r="M261" s="37" t="n">
        <f aca="false">IF(Raw_Export!$A261="","",B261-WEEKDAY(B261,2)+1)</f>
        <v>46265</v>
      </c>
    </row>
    <row r="262" customFormat="false" ht="15" hidden="false" customHeight="false" outlineLevel="0" collapsed="false">
      <c r="A262" s="36" t="str">
        <f aca="false">IF(Raw_Export!$A262="","",TRIM(Raw_Export!A262))</f>
        <v>TXN-100257</v>
      </c>
      <c r="B262" s="37" t="n">
        <f aca="false">IF(Raw_Export!$A262="","",IF(ISNUMBER(Raw_Export!B262),Raw_Export!B262,IF(MID(TRIM(Raw_Export!B262),5,1)="-",DATE(LEFT(TRIM(Raw_Export!B262),4),MID(TRIM(Raw_Export!B262),6,2),RIGHT(TRIM(Raw_Export!B262),2)),DATE(RIGHT(TRIM(Raw_Export!B262),4),MATCH(MID(TRIM(Raw_Export!B262),4,3),{"Jan","Feb","Mar","Apr","May","Jun","Jul","Aug","Sep","Oct","Nov","Dec"},0),LEFT(TRIM(Raw_Export!B262),2)))))</f>
        <v>46267</v>
      </c>
      <c r="C262" s="36" t="str">
        <f aca="false">IF(Raw_Export!$A262="","",IFERROR(VLOOKUP(LOWER(TRIM(Raw_Export!C262)),Maps!$A$2:$B$20,2,FALSE()),"UNMAPPED"))</f>
        <v>Nairobi CBD</v>
      </c>
      <c r="D262" s="36" t="str">
        <f aca="false">IF(Raw_Export!$A262="","",IFERROR(VLOOKUP(LOWER(TRIM(Raw_Export!D262)),Maps!$G$2:$I$80,2,FALSE()),"UNMAPPED"))</f>
        <v>Butter 250g</v>
      </c>
      <c r="E262" s="36" t="str">
        <f aca="false">IF(Raw_Export!$A262="","",IFERROR(VLOOKUP(LOWER(TRIM(Raw_Export!D262)),Maps!$G$2:$I$80,3,FALSE()),"UNMAPPED"))</f>
        <v>Dairy &amp; Eggs</v>
      </c>
      <c r="F262" s="36" t="n">
        <f aca="false">IF(Raw_Export!$A262="","",IFERROR(VALUE(TRIM(Raw_Export!E262)),0))</f>
        <v>1</v>
      </c>
      <c r="G262" s="38" t="n">
        <f aca="false">IF(Raw_Export!$A262="","",IFERROR(VALUE(SUBSTITUTE(SUBSTITUTE(UPPER(TRIM(Raw_Export!F262)),"KES",""),",","")),0))</f>
        <v>310</v>
      </c>
      <c r="H262" s="38" t="n">
        <f aca="false">IF(Raw_Export!$A262="","",F262*G262)</f>
        <v>310</v>
      </c>
      <c r="I262" s="36" t="str">
        <f aca="false">IF(Raw_Export!$A262="","",IFERROR(VLOOKUP(LOWER(TRIM(Raw_Export!H262)),Maps!$D$2:$E$12,2,FALSE()),"Other"))</f>
        <v>M-Pesa</v>
      </c>
      <c r="J262" s="36" t="str">
        <f aca="false">IF(Raw_Export!$A262="","",IF(COUNTIF($A$2:A262,A262)&gt;1,"Duplicate",""))</f>
        <v/>
      </c>
      <c r="K262" s="36" t="str">
        <f aca="false">IF(Raw_Export!$A262="","",IF(J262="Duplicate","Duplicate",IF(OR(C262="UNMAPPED",D262="UNMAPPED"),"Unmapped",IF(F262=0,"Blank qty",IF(F262&lt;0,"Return","OK")))))</f>
        <v>OK</v>
      </c>
      <c r="L262" s="36" t="n">
        <f aca="false">IF(Raw_Export!$A262="","",IF(OR(K262="OK",K262="Return"),1,0))</f>
        <v>1</v>
      </c>
      <c r="M262" s="37" t="n">
        <f aca="false">IF(Raw_Export!$A262="","",B262-WEEKDAY(B262,2)+1)</f>
        <v>46265</v>
      </c>
    </row>
    <row r="263" customFormat="false" ht="15" hidden="false" customHeight="false" outlineLevel="0" collapsed="false">
      <c r="A263" s="36" t="str">
        <f aca="false">IF(Raw_Export!$A263="","",TRIM(Raw_Export!A263))</f>
        <v>TXN-100258</v>
      </c>
      <c r="B263" s="37" t="n">
        <f aca="false">IF(Raw_Export!$A263="","",IF(ISNUMBER(Raw_Export!B263),Raw_Export!B263,IF(MID(TRIM(Raw_Export!B263),5,1)="-",DATE(LEFT(TRIM(Raw_Export!B263),4),MID(TRIM(Raw_Export!B263),6,2),RIGHT(TRIM(Raw_Export!B263),2)),DATE(RIGHT(TRIM(Raw_Export!B263),4),MATCH(MID(TRIM(Raw_Export!B263),4,3),{"Jan","Feb","Mar","Apr","May","Jun","Jul","Aug","Sep","Oct","Nov","Dec"},0),LEFT(TRIM(Raw_Export!B263),2)))))</f>
        <v>46267</v>
      </c>
      <c r="C263" s="36" t="str">
        <f aca="false">IF(Raw_Export!$A263="","",IFERROR(VLOOKUP(LOWER(TRIM(Raw_Export!C263)),Maps!$A$2:$B$20,2,FALSE()),"UNMAPPED"))</f>
        <v>Nairobi CBD</v>
      </c>
      <c r="D263" s="36" t="str">
        <f aca="false">IF(Raw_Export!$A263="","",IFERROR(VLOOKUP(LOWER(TRIM(Raw_Export!D263)),Maps!$G$2:$I$80,2,FALSE()),"UNMAPPED"))</f>
        <v>Peanuts 250g</v>
      </c>
      <c r="E263" s="36" t="str">
        <f aca="false">IF(Raw_Export!$A263="","",IFERROR(VLOOKUP(LOWER(TRIM(Raw_Export!D263)),Maps!$G$2:$I$80,3,FALSE()),"UNMAPPED"))</f>
        <v>Snacks</v>
      </c>
      <c r="F263" s="36" t="n">
        <f aca="false">IF(Raw_Export!$A263="","",IFERROR(VALUE(TRIM(Raw_Export!E263)),0))</f>
        <v>4</v>
      </c>
      <c r="G263" s="38" t="n">
        <f aca="false">IF(Raw_Export!$A263="","",IFERROR(VALUE(SUBSTITUTE(SUBSTITUTE(UPPER(TRIM(Raw_Export!F263)),"KES",""),",","")),0))</f>
        <v>130</v>
      </c>
      <c r="H263" s="38" t="n">
        <f aca="false">IF(Raw_Export!$A263="","",F263*G263)</f>
        <v>520</v>
      </c>
      <c r="I263" s="36" t="str">
        <f aca="false">IF(Raw_Export!$A263="","",IFERROR(VLOOKUP(LOWER(TRIM(Raw_Export!H263)),Maps!$D$2:$E$12,2,FALSE()),"Other"))</f>
        <v>Cash</v>
      </c>
      <c r="J263" s="36" t="str">
        <f aca="false">IF(Raw_Export!$A263="","",IF(COUNTIF($A$2:A263,A263)&gt;1,"Duplicate",""))</f>
        <v/>
      </c>
      <c r="K263" s="36" t="str">
        <f aca="false">IF(Raw_Export!$A263="","",IF(J263="Duplicate","Duplicate",IF(OR(C263="UNMAPPED",D263="UNMAPPED"),"Unmapped",IF(F263=0,"Blank qty",IF(F263&lt;0,"Return","OK")))))</f>
        <v>OK</v>
      </c>
      <c r="L263" s="36" t="n">
        <f aca="false">IF(Raw_Export!$A263="","",IF(OR(K263="OK",K263="Return"),1,0))</f>
        <v>1</v>
      </c>
      <c r="M263" s="37" t="n">
        <f aca="false">IF(Raw_Export!$A263="","",B263-WEEKDAY(B263,2)+1)</f>
        <v>46265</v>
      </c>
    </row>
    <row r="264" customFormat="false" ht="15" hidden="false" customHeight="false" outlineLevel="0" collapsed="false">
      <c r="A264" s="36" t="str">
        <f aca="false">IF(Raw_Export!$A264="","",TRIM(Raw_Export!A264))</f>
        <v>TXN-100259</v>
      </c>
      <c r="B264" s="37" t="n">
        <f aca="false">IF(Raw_Export!$A264="","",IF(ISNUMBER(Raw_Export!B264),Raw_Export!B264,IF(MID(TRIM(Raw_Export!B264),5,1)="-",DATE(LEFT(TRIM(Raw_Export!B264),4),MID(TRIM(Raw_Export!B264),6,2),RIGHT(TRIM(Raw_Export!B264),2)),DATE(RIGHT(TRIM(Raw_Export!B264),4),MATCH(MID(TRIM(Raw_Export!B264),4,3),{"Jan","Feb","Mar","Apr","May","Jun","Jul","Aug","Sep","Oct","Nov","Dec"},0),LEFT(TRIM(Raw_Export!B264),2)))))</f>
        <v>46267</v>
      </c>
      <c r="C264" s="36" t="str">
        <f aca="false">IF(Raw_Export!$A264="","",IFERROR(VLOOKUP(LOWER(TRIM(Raw_Export!C264)),Maps!$A$2:$B$20,2,FALSE()),"UNMAPPED"))</f>
        <v>Nairobi CBD</v>
      </c>
      <c r="D264" s="36" t="str">
        <f aca="false">IF(Raw_Export!$A264="","",IFERROR(VLOOKUP(LOWER(TRIM(Raw_Export!D264)),Maps!$G$2:$I$80,2,FALSE()),"UNMAPPED"))</f>
        <v>Rice Pishori 2kg</v>
      </c>
      <c r="E264" s="36" t="str">
        <f aca="false">IF(Raw_Export!$A264="","",IFERROR(VLOOKUP(LOWER(TRIM(Raw_Export!D264)),Maps!$G$2:$I$80,3,FALSE()),"UNMAPPED"))</f>
        <v>Staples</v>
      </c>
      <c r="F264" s="36" t="n">
        <f aca="false">IF(Raw_Export!$A264="","",IFERROR(VALUE(TRIM(Raw_Export!E264)),0))</f>
        <v>1</v>
      </c>
      <c r="G264" s="38" t="n">
        <f aca="false">IF(Raw_Export!$A264="","",IFERROR(VALUE(SUBSTITUTE(SUBSTITUTE(UPPER(TRIM(Raw_Export!F264)),"KES",""),",","")),0))</f>
        <v>420</v>
      </c>
      <c r="H264" s="38" t="n">
        <f aca="false">IF(Raw_Export!$A264="","",F264*G264)</f>
        <v>420</v>
      </c>
      <c r="I264" s="36" t="str">
        <f aca="false">IF(Raw_Export!$A264="","",IFERROR(VLOOKUP(LOWER(TRIM(Raw_Export!H264)),Maps!$D$2:$E$12,2,FALSE()),"Other"))</f>
        <v>M-Pesa</v>
      </c>
      <c r="J264" s="36" t="str">
        <f aca="false">IF(Raw_Export!$A264="","",IF(COUNTIF($A$2:A264,A264)&gt;1,"Duplicate",""))</f>
        <v/>
      </c>
      <c r="K264" s="36" t="str">
        <f aca="false">IF(Raw_Export!$A264="","",IF(J264="Duplicate","Duplicate",IF(OR(C264="UNMAPPED",D264="UNMAPPED"),"Unmapped",IF(F264=0,"Blank qty",IF(F264&lt;0,"Return","OK")))))</f>
        <v>OK</v>
      </c>
      <c r="L264" s="36" t="n">
        <f aca="false">IF(Raw_Export!$A264="","",IF(OR(K264="OK",K264="Return"),1,0))</f>
        <v>1</v>
      </c>
      <c r="M264" s="37" t="n">
        <f aca="false">IF(Raw_Export!$A264="","",B264-WEEKDAY(B264,2)+1)</f>
        <v>46265</v>
      </c>
    </row>
    <row r="265" customFormat="false" ht="15" hidden="false" customHeight="false" outlineLevel="0" collapsed="false">
      <c r="A265" s="36" t="str">
        <f aca="false">IF(Raw_Export!$A265="","",TRIM(Raw_Export!A265))</f>
        <v>TXN-100260</v>
      </c>
      <c r="B265" s="37" t="n">
        <f aca="false">IF(Raw_Export!$A265="","",IF(ISNUMBER(Raw_Export!B265),Raw_Export!B265,IF(MID(TRIM(Raw_Export!B265),5,1)="-",DATE(LEFT(TRIM(Raw_Export!B265),4),MID(TRIM(Raw_Export!B265),6,2),RIGHT(TRIM(Raw_Export!B265),2)),DATE(RIGHT(TRIM(Raw_Export!B265),4),MATCH(MID(TRIM(Raw_Export!B265),4,3),{"Jan","Feb","Mar","Apr","May","Jun","Jul","Aug","Sep","Oct","Nov","Dec"},0),LEFT(TRIM(Raw_Export!B265),2)))))</f>
        <v>46267</v>
      </c>
      <c r="C265" s="36" t="str">
        <f aca="false">IF(Raw_Export!$A265="","",IFERROR(VLOOKUP(LOWER(TRIM(Raw_Export!C265)),Maps!$A$2:$B$20,2,FALSE()),"UNMAPPED"))</f>
        <v>Nairobi CBD</v>
      </c>
      <c r="D265" s="36" t="str">
        <f aca="false">IF(Raw_Export!$A265="","",IFERROR(VLOOKUP(LOWER(TRIM(Raw_Export!D265)),Maps!$G$2:$I$80,2,FALSE()),"UNMAPPED"))</f>
        <v>Eggs Tray 30</v>
      </c>
      <c r="E265" s="36" t="str">
        <f aca="false">IF(Raw_Export!$A265="","",IFERROR(VLOOKUP(LOWER(TRIM(Raw_Export!D265)),Maps!$G$2:$I$80,3,FALSE()),"UNMAPPED"))</f>
        <v>Dairy &amp; Eggs</v>
      </c>
      <c r="F265" s="36" t="n">
        <f aca="false">IF(Raw_Export!$A265="","",IFERROR(VALUE(TRIM(Raw_Export!E265)),0))</f>
        <v>2</v>
      </c>
      <c r="G265" s="38" t="n">
        <f aca="false">IF(Raw_Export!$A265="","",IFERROR(VALUE(SUBSTITUTE(SUBSTITUTE(UPPER(TRIM(Raw_Export!F265)),"KES",""),",","")),0))</f>
        <v>450</v>
      </c>
      <c r="H265" s="38" t="n">
        <f aca="false">IF(Raw_Export!$A265="","",F265*G265)</f>
        <v>900</v>
      </c>
      <c r="I265" s="36" t="str">
        <f aca="false">IF(Raw_Export!$A265="","",IFERROR(VLOOKUP(LOWER(TRIM(Raw_Export!H265)),Maps!$D$2:$E$12,2,FALSE()),"Other"))</f>
        <v>Cash</v>
      </c>
      <c r="J265" s="36" t="str">
        <f aca="false">IF(Raw_Export!$A265="","",IF(COUNTIF($A$2:A265,A265)&gt;1,"Duplicate",""))</f>
        <v/>
      </c>
      <c r="K265" s="36" t="str">
        <f aca="false">IF(Raw_Export!$A265="","",IF(J265="Duplicate","Duplicate",IF(OR(C265="UNMAPPED",D265="UNMAPPED"),"Unmapped",IF(F265=0,"Blank qty",IF(F265&lt;0,"Return","OK")))))</f>
        <v>OK</v>
      </c>
      <c r="L265" s="36" t="n">
        <f aca="false">IF(Raw_Export!$A265="","",IF(OR(K265="OK",K265="Return"),1,0))</f>
        <v>1</v>
      </c>
      <c r="M265" s="37" t="n">
        <f aca="false">IF(Raw_Export!$A265="","",B265-WEEKDAY(B265,2)+1)</f>
        <v>46265</v>
      </c>
    </row>
    <row r="266" customFormat="false" ht="15" hidden="false" customHeight="false" outlineLevel="0" collapsed="false">
      <c r="A266" s="36" t="str">
        <f aca="false">IF(Raw_Export!$A266="","",TRIM(Raw_Export!A266))</f>
        <v>TXN-100261</v>
      </c>
      <c r="B266" s="37" t="n">
        <f aca="false">IF(Raw_Export!$A266="","",IF(ISNUMBER(Raw_Export!B266),Raw_Export!B266,IF(MID(TRIM(Raw_Export!B266),5,1)="-",DATE(LEFT(TRIM(Raw_Export!B266),4),MID(TRIM(Raw_Export!B266),6,2),RIGHT(TRIM(Raw_Export!B266),2)),DATE(RIGHT(TRIM(Raw_Export!B266),4),MATCH(MID(TRIM(Raw_Export!B266),4,3),{"Jan","Feb","Mar","Apr","May","Jun","Jul","Aug","Sep","Oct","Nov","Dec"},0),LEFT(TRIM(Raw_Export!B266),2)))))</f>
        <v>46267</v>
      </c>
      <c r="C266" s="36" t="str">
        <f aca="false">IF(Raw_Export!$A266="","",IFERROR(VLOOKUP(LOWER(TRIM(Raw_Export!C266)),Maps!$A$2:$B$20,2,FALSE()),"UNMAPPED"))</f>
        <v>Nairobi CBD</v>
      </c>
      <c r="D266" s="36" t="str">
        <f aca="false">IF(Raw_Export!$A266="","",IFERROR(VLOOKUP(LOWER(TRIM(Raw_Export!D266)),Maps!$G$2:$I$80,2,FALSE()),"UNMAPPED"))</f>
        <v>Unga Pembe 2kg</v>
      </c>
      <c r="E266" s="36" t="str">
        <f aca="false">IF(Raw_Export!$A266="","",IFERROR(VLOOKUP(LOWER(TRIM(Raw_Export!D266)),Maps!$G$2:$I$80,3,FALSE()),"UNMAPPED"))</f>
        <v>Staples</v>
      </c>
      <c r="F266" s="36" t="n">
        <f aca="false">IF(Raw_Export!$A266="","",IFERROR(VALUE(TRIM(Raw_Export!E266)),0))</f>
        <v>1</v>
      </c>
      <c r="G266" s="38" t="n">
        <f aca="false">IF(Raw_Export!$A266="","",IFERROR(VALUE(SUBSTITUTE(SUBSTITUTE(UPPER(TRIM(Raw_Export!F266)),"KES",""),",","")),0))</f>
        <v>190</v>
      </c>
      <c r="H266" s="38" t="n">
        <f aca="false">IF(Raw_Export!$A266="","",F266*G266)</f>
        <v>190</v>
      </c>
      <c r="I266" s="36" t="str">
        <f aca="false">IF(Raw_Export!$A266="","",IFERROR(VLOOKUP(LOWER(TRIM(Raw_Export!H266)),Maps!$D$2:$E$12,2,FALSE()),"Other"))</f>
        <v>Cash</v>
      </c>
      <c r="J266" s="36" t="str">
        <f aca="false">IF(Raw_Export!$A266="","",IF(COUNTIF($A$2:A266,A266)&gt;1,"Duplicate",""))</f>
        <v/>
      </c>
      <c r="K266" s="36" t="str">
        <f aca="false">IF(Raw_Export!$A266="","",IF(J266="Duplicate","Duplicate",IF(OR(C266="UNMAPPED",D266="UNMAPPED"),"Unmapped",IF(F266=0,"Blank qty",IF(F266&lt;0,"Return","OK")))))</f>
        <v>OK</v>
      </c>
      <c r="L266" s="36" t="n">
        <f aca="false">IF(Raw_Export!$A266="","",IF(OR(K266="OK",K266="Return"),1,0))</f>
        <v>1</v>
      </c>
      <c r="M266" s="37" t="n">
        <f aca="false">IF(Raw_Export!$A266="","",B266-WEEKDAY(B266,2)+1)</f>
        <v>46265</v>
      </c>
    </row>
    <row r="267" customFormat="false" ht="15" hidden="false" customHeight="false" outlineLevel="0" collapsed="false">
      <c r="A267" s="36" t="str">
        <f aca="false">IF(Raw_Export!$A267="","",TRIM(Raw_Export!A267))</f>
        <v>TXN-100262</v>
      </c>
      <c r="B267" s="37" t="n">
        <f aca="false">IF(Raw_Export!$A267="","",IF(ISNUMBER(Raw_Export!B267),Raw_Export!B267,IF(MID(TRIM(Raw_Export!B267),5,1)="-",DATE(LEFT(TRIM(Raw_Export!B267),4),MID(TRIM(Raw_Export!B267),6,2),RIGHT(TRIM(Raw_Export!B267),2)),DATE(RIGHT(TRIM(Raw_Export!B267),4),MATCH(MID(TRIM(Raw_Export!B267),4,3),{"Jan","Feb","Mar","Apr","May","Jun","Jul","Aug","Sep","Oct","Nov","Dec"},0),LEFT(TRIM(Raw_Export!B267),2)))))</f>
        <v>46267</v>
      </c>
      <c r="C267" s="36" t="str">
        <f aca="false">IF(Raw_Export!$A267="","",IFERROR(VLOOKUP(LOWER(TRIM(Raw_Export!C267)),Maps!$A$2:$B$20,2,FALSE()),"UNMAPPED"))</f>
        <v>Nairobi CBD</v>
      </c>
      <c r="D267" s="36" t="str">
        <f aca="false">IF(Raw_Export!$A267="","",IFERROR(VLOOKUP(LOWER(TRIM(Raw_Export!D267)),Maps!$G$2:$I$80,2,FALSE()),"UNMAPPED"))</f>
        <v>Sugar 2kg</v>
      </c>
      <c r="E267" s="36" t="str">
        <f aca="false">IF(Raw_Export!$A267="","",IFERROR(VLOOKUP(LOWER(TRIM(Raw_Export!D267)),Maps!$G$2:$I$80,3,FALSE()),"UNMAPPED"))</f>
        <v>Staples</v>
      </c>
      <c r="F267" s="36" t="n">
        <f aca="false">IF(Raw_Export!$A267="","",IFERROR(VALUE(TRIM(Raw_Export!E267)),0))</f>
        <v>1</v>
      </c>
      <c r="G267" s="38" t="n">
        <f aca="false">IF(Raw_Export!$A267="","",IFERROR(VALUE(SUBSTITUTE(SUBSTITUTE(UPPER(TRIM(Raw_Export!F267)),"KES",""),",","")),0))</f>
        <v>330</v>
      </c>
      <c r="H267" s="38" t="n">
        <f aca="false">IF(Raw_Export!$A267="","",F267*G267)</f>
        <v>330</v>
      </c>
      <c r="I267" s="36" t="str">
        <f aca="false">IF(Raw_Export!$A267="","",IFERROR(VLOOKUP(LOWER(TRIM(Raw_Export!H267)),Maps!$D$2:$E$12,2,FALSE()),"Other"))</f>
        <v>M-Pesa</v>
      </c>
      <c r="J267" s="36" t="str">
        <f aca="false">IF(Raw_Export!$A267="","",IF(COUNTIF($A$2:A267,A267)&gt;1,"Duplicate",""))</f>
        <v/>
      </c>
      <c r="K267" s="36" t="str">
        <f aca="false">IF(Raw_Export!$A267="","",IF(J267="Duplicate","Duplicate",IF(OR(C267="UNMAPPED",D267="UNMAPPED"),"Unmapped",IF(F267=0,"Blank qty",IF(F267&lt;0,"Return","OK")))))</f>
        <v>OK</v>
      </c>
      <c r="L267" s="36" t="n">
        <f aca="false">IF(Raw_Export!$A267="","",IF(OR(K267="OK",K267="Return"),1,0))</f>
        <v>1</v>
      </c>
      <c r="M267" s="37" t="n">
        <f aca="false">IF(Raw_Export!$A267="","",B267-WEEKDAY(B267,2)+1)</f>
        <v>46265</v>
      </c>
    </row>
    <row r="268" customFormat="false" ht="15" hidden="false" customHeight="false" outlineLevel="0" collapsed="false">
      <c r="A268" s="36" t="str">
        <f aca="false">IF(Raw_Export!$A268="","",TRIM(Raw_Export!A268))</f>
        <v>TXN-100263</v>
      </c>
      <c r="B268" s="37" t="n">
        <f aca="false">IF(Raw_Export!$A268="","",IF(ISNUMBER(Raw_Export!B268),Raw_Export!B268,IF(MID(TRIM(Raw_Export!B268),5,1)="-",DATE(LEFT(TRIM(Raw_Export!B268),4),MID(TRIM(Raw_Export!B268),6,2),RIGHT(TRIM(Raw_Export!B268),2)),DATE(RIGHT(TRIM(Raw_Export!B268),4),MATCH(MID(TRIM(Raw_Export!B268),4,3),{"Jan","Feb","Mar","Apr","May","Jun","Jul","Aug","Sep","Oct","Nov","Dec"},0),LEFT(TRIM(Raw_Export!B268),2)))))</f>
        <v>46267</v>
      </c>
      <c r="C268" s="36" t="str">
        <f aca="false">IF(Raw_Export!$A268="","",IFERROR(VLOOKUP(LOWER(TRIM(Raw_Export!C268)),Maps!$A$2:$B$20,2,FALSE()),"UNMAPPED"))</f>
        <v>Nairobi CBD</v>
      </c>
      <c r="D268" s="36" t="str">
        <f aca="false">IF(Raw_Export!$A268="","",IFERROR(VLOOKUP(LOWER(TRIM(Raw_Export!D268)),Maps!$G$2:$I$80,2,FALSE()),"UNMAPPED"))</f>
        <v>Butter 250g</v>
      </c>
      <c r="E268" s="36" t="str">
        <f aca="false">IF(Raw_Export!$A268="","",IFERROR(VLOOKUP(LOWER(TRIM(Raw_Export!D268)),Maps!$G$2:$I$80,3,FALSE()),"UNMAPPED"))</f>
        <v>Dairy &amp; Eggs</v>
      </c>
      <c r="F268" s="36" t="n">
        <f aca="false">IF(Raw_Export!$A268="","",IFERROR(VALUE(TRIM(Raw_Export!E268)),0))</f>
        <v>1</v>
      </c>
      <c r="G268" s="38" t="n">
        <f aca="false">IF(Raw_Export!$A268="","",IFERROR(VALUE(SUBSTITUTE(SUBSTITUTE(UPPER(TRIM(Raw_Export!F268)),"KES",""),",","")),0))</f>
        <v>279</v>
      </c>
      <c r="H268" s="38" t="n">
        <f aca="false">IF(Raw_Export!$A268="","",F268*G268)</f>
        <v>279</v>
      </c>
      <c r="I268" s="36" t="str">
        <f aca="false">IF(Raw_Export!$A268="","",IFERROR(VLOOKUP(LOWER(TRIM(Raw_Export!H268)),Maps!$D$2:$E$12,2,FALSE()),"Other"))</f>
        <v>M-Pesa</v>
      </c>
      <c r="J268" s="36" t="str">
        <f aca="false">IF(Raw_Export!$A268="","",IF(COUNTIF($A$2:A268,A268)&gt;1,"Duplicate",""))</f>
        <v/>
      </c>
      <c r="K268" s="36" t="str">
        <f aca="false">IF(Raw_Export!$A268="","",IF(J268="Duplicate","Duplicate",IF(OR(C268="UNMAPPED",D268="UNMAPPED"),"Unmapped",IF(F268=0,"Blank qty",IF(F268&lt;0,"Return","OK")))))</f>
        <v>OK</v>
      </c>
      <c r="L268" s="36" t="n">
        <f aca="false">IF(Raw_Export!$A268="","",IF(OR(K268="OK",K268="Return"),1,0))</f>
        <v>1</v>
      </c>
      <c r="M268" s="37" t="n">
        <f aca="false">IF(Raw_Export!$A268="","",B268-WEEKDAY(B268,2)+1)</f>
        <v>46265</v>
      </c>
    </row>
    <row r="269" customFormat="false" ht="15" hidden="false" customHeight="false" outlineLevel="0" collapsed="false">
      <c r="A269" s="36" t="str">
        <f aca="false">IF(Raw_Export!$A269="","",TRIM(Raw_Export!A269))</f>
        <v>TXN-100264</v>
      </c>
      <c r="B269" s="37" t="n">
        <f aca="false">IF(Raw_Export!$A269="","",IF(ISNUMBER(Raw_Export!B269),Raw_Export!B269,IF(MID(TRIM(Raw_Export!B269),5,1)="-",DATE(LEFT(TRIM(Raw_Export!B269),4),MID(TRIM(Raw_Export!B269),6,2),RIGHT(TRIM(Raw_Export!B269),2)),DATE(RIGHT(TRIM(Raw_Export!B269),4),MATCH(MID(TRIM(Raw_Export!B269),4,3),{"Jan","Feb","Mar","Apr","May","Jun","Jul","Aug","Sep","Oct","Nov","Dec"},0),LEFT(TRIM(Raw_Export!B269),2)))))</f>
        <v>46267</v>
      </c>
      <c r="C269" s="36" t="str">
        <f aca="false">IF(Raw_Export!$A269="","",IFERROR(VLOOKUP(LOWER(TRIM(Raw_Export!C269)),Maps!$A$2:$B$20,2,FALSE()),"UNMAPPED"))</f>
        <v>Nairobi CBD</v>
      </c>
      <c r="D269" s="36" t="str">
        <f aca="false">IF(Raw_Export!$A269="","",IFERROR(VLOOKUP(LOWER(TRIM(Raw_Export!D269)),Maps!$G$2:$I$80,2,FALSE()),"UNMAPPED"))</f>
        <v>Body Lotion 400ml</v>
      </c>
      <c r="E269" s="36" t="str">
        <f aca="false">IF(Raw_Export!$A269="","",IFERROR(VLOOKUP(LOWER(TRIM(Raw_Export!D269)),Maps!$G$2:$I$80,3,FALSE()),"UNMAPPED"))</f>
        <v>Personal Care</v>
      </c>
      <c r="F269" s="36" t="n">
        <f aca="false">IF(Raw_Export!$A269="","",IFERROR(VALUE(TRIM(Raw_Export!E269)),0))</f>
        <v>4</v>
      </c>
      <c r="G269" s="38" t="n">
        <f aca="false">IF(Raw_Export!$A269="","",IFERROR(VALUE(SUBSTITUTE(SUBSTITUTE(UPPER(TRIM(Raw_Export!F269)),"KES",""),",","")),0))</f>
        <v>378</v>
      </c>
      <c r="H269" s="38" t="n">
        <f aca="false">IF(Raw_Export!$A269="","",F269*G269)</f>
        <v>1512</v>
      </c>
      <c r="I269" s="36" t="str">
        <f aca="false">IF(Raw_Export!$A269="","",IFERROR(VLOOKUP(LOWER(TRIM(Raw_Export!H269)),Maps!$D$2:$E$12,2,FALSE()),"Other"))</f>
        <v>Cash</v>
      </c>
      <c r="J269" s="36" t="str">
        <f aca="false">IF(Raw_Export!$A269="","",IF(COUNTIF($A$2:A269,A269)&gt;1,"Duplicate",""))</f>
        <v/>
      </c>
      <c r="K269" s="36" t="str">
        <f aca="false">IF(Raw_Export!$A269="","",IF(J269="Duplicate","Duplicate",IF(OR(C269="UNMAPPED",D269="UNMAPPED"),"Unmapped",IF(F269=0,"Blank qty",IF(F269&lt;0,"Return","OK")))))</f>
        <v>OK</v>
      </c>
      <c r="L269" s="36" t="n">
        <f aca="false">IF(Raw_Export!$A269="","",IF(OR(K269="OK",K269="Return"),1,0))</f>
        <v>1</v>
      </c>
      <c r="M269" s="37" t="n">
        <f aca="false">IF(Raw_Export!$A269="","",B269-WEEKDAY(B269,2)+1)</f>
        <v>46265</v>
      </c>
    </row>
    <row r="270" customFormat="false" ht="15" hidden="false" customHeight="false" outlineLevel="0" collapsed="false">
      <c r="A270" s="36" t="str">
        <f aca="false">IF(Raw_Export!$A270="","",TRIM(Raw_Export!A270))</f>
        <v>TXN-100265</v>
      </c>
      <c r="B270" s="37" t="n">
        <f aca="false">IF(Raw_Export!$A270="","",IF(ISNUMBER(Raw_Export!B270),Raw_Export!B270,IF(MID(TRIM(Raw_Export!B270),5,1)="-",DATE(LEFT(TRIM(Raw_Export!B270),4),MID(TRIM(Raw_Export!B270),6,2),RIGHT(TRIM(Raw_Export!B270),2)),DATE(RIGHT(TRIM(Raw_Export!B270),4),MATCH(MID(TRIM(Raw_Export!B270),4,3),{"Jan","Feb","Mar","Apr","May","Jun","Jul","Aug","Sep","Oct","Nov","Dec"},0),LEFT(TRIM(Raw_Export!B270),2)))))</f>
        <v>46267</v>
      </c>
      <c r="C270" s="36" t="str">
        <f aca="false">IF(Raw_Export!$A270="","",IFERROR(VLOOKUP(LOWER(TRIM(Raw_Export!C270)),Maps!$A$2:$B$20,2,FALSE()),"UNMAPPED"))</f>
        <v>Nairobi CBD</v>
      </c>
      <c r="D270" s="36" t="str">
        <f aca="false">IF(Raw_Export!$A270="","",IFERROR(VLOOKUP(LOWER(TRIM(Raw_Export!D270)),Maps!$G$2:$I$80,2,FALSE()),"UNMAPPED"))</f>
        <v>Cooking Oil 1L</v>
      </c>
      <c r="E270" s="36" t="str">
        <f aca="false">IF(Raw_Export!$A270="","",IFERROR(VLOOKUP(LOWER(TRIM(Raw_Export!D270)),Maps!$G$2:$I$80,3,FALSE()),"UNMAPPED"))</f>
        <v>Staples</v>
      </c>
      <c r="F270" s="36" t="n">
        <f aca="false">IF(Raw_Export!$A270="","",IFERROR(VALUE(TRIM(Raw_Export!E270)),0))</f>
        <v>3</v>
      </c>
      <c r="G270" s="38" t="n">
        <f aca="false">IF(Raw_Export!$A270="","",IFERROR(VALUE(SUBSTITUTE(SUBSTITUTE(UPPER(TRIM(Raw_Export!F270)),"KES",""),",","")),0))</f>
        <v>330</v>
      </c>
      <c r="H270" s="38" t="n">
        <f aca="false">IF(Raw_Export!$A270="","",F270*G270)</f>
        <v>990</v>
      </c>
      <c r="I270" s="36" t="str">
        <f aca="false">IF(Raw_Export!$A270="","",IFERROR(VLOOKUP(LOWER(TRIM(Raw_Export!H270)),Maps!$D$2:$E$12,2,FALSE()),"Other"))</f>
        <v>M-Pesa</v>
      </c>
      <c r="J270" s="36" t="str">
        <f aca="false">IF(Raw_Export!$A270="","",IF(COUNTIF($A$2:A270,A270)&gt;1,"Duplicate",""))</f>
        <v/>
      </c>
      <c r="K270" s="36" t="str">
        <f aca="false">IF(Raw_Export!$A270="","",IF(J270="Duplicate","Duplicate",IF(OR(C270="UNMAPPED",D270="UNMAPPED"),"Unmapped",IF(F270=0,"Blank qty",IF(F270&lt;0,"Return","OK")))))</f>
        <v>OK</v>
      </c>
      <c r="L270" s="36" t="n">
        <f aca="false">IF(Raw_Export!$A270="","",IF(OR(K270="OK",K270="Return"),1,0))</f>
        <v>1</v>
      </c>
      <c r="M270" s="37" t="n">
        <f aca="false">IF(Raw_Export!$A270="","",B270-WEEKDAY(B270,2)+1)</f>
        <v>46265</v>
      </c>
    </row>
    <row r="271" customFormat="false" ht="15" hidden="false" customHeight="false" outlineLevel="0" collapsed="false">
      <c r="A271" s="36" t="str">
        <f aca="false">IF(Raw_Export!$A271="","",TRIM(Raw_Export!A271))</f>
        <v>TXN-100266</v>
      </c>
      <c r="B271" s="37" t="n">
        <f aca="false">IF(Raw_Export!$A271="","",IF(ISNUMBER(Raw_Export!B271),Raw_Export!B271,IF(MID(TRIM(Raw_Export!B271),5,1)="-",DATE(LEFT(TRIM(Raw_Export!B271),4),MID(TRIM(Raw_Export!B271),6,2),RIGHT(TRIM(Raw_Export!B271),2)),DATE(RIGHT(TRIM(Raw_Export!B271),4),MATCH(MID(TRIM(Raw_Export!B271),4,3),{"Jan","Feb","Mar","Apr","May","Jun","Jul","Aug","Sep","Oct","Nov","Dec"},0),LEFT(TRIM(Raw_Export!B271),2)))))</f>
        <v>46267</v>
      </c>
      <c r="C271" s="36" t="str">
        <f aca="false">IF(Raw_Export!$A271="","",IFERROR(VLOOKUP(LOWER(TRIM(Raw_Export!C271)),Maps!$A$2:$B$20,2,FALSE()),"UNMAPPED"))</f>
        <v>Nairobi CBD</v>
      </c>
      <c r="D271" s="36" t="str">
        <f aca="false">IF(Raw_Export!$A271="","",IFERROR(VLOOKUP(LOWER(TRIM(Raw_Export!D271)),Maps!$G$2:$I$80,2,FALSE()),"UNMAPPED"))</f>
        <v>Soda 500ml</v>
      </c>
      <c r="E271" s="36" t="str">
        <f aca="false">IF(Raw_Export!$A271="","",IFERROR(VLOOKUP(LOWER(TRIM(Raw_Export!D271)),Maps!$G$2:$I$80,3,FALSE()),"UNMAPPED"))</f>
        <v>Beverages</v>
      </c>
      <c r="F271" s="36" t="n">
        <f aca="false">IF(Raw_Export!$A271="","",IFERROR(VALUE(TRIM(Raw_Export!E271)),0))</f>
        <v>1</v>
      </c>
      <c r="G271" s="38" t="n">
        <f aca="false">IF(Raw_Export!$A271="","",IFERROR(VALUE(SUBSTITUTE(SUBSTITUTE(UPPER(TRIM(Raw_Export!F271)),"KES",""),",","")),0))</f>
        <v>60</v>
      </c>
      <c r="H271" s="38" t="n">
        <f aca="false">IF(Raw_Export!$A271="","",F271*G271)</f>
        <v>60</v>
      </c>
      <c r="I271" s="36" t="str">
        <f aca="false">IF(Raw_Export!$A271="","",IFERROR(VLOOKUP(LOWER(TRIM(Raw_Export!H271)),Maps!$D$2:$E$12,2,FALSE()),"Other"))</f>
        <v>Card</v>
      </c>
      <c r="J271" s="36" t="str">
        <f aca="false">IF(Raw_Export!$A271="","",IF(COUNTIF($A$2:A271,A271)&gt;1,"Duplicate",""))</f>
        <v/>
      </c>
      <c r="K271" s="36" t="str">
        <f aca="false">IF(Raw_Export!$A271="","",IF(J271="Duplicate","Duplicate",IF(OR(C271="UNMAPPED",D271="UNMAPPED"),"Unmapped",IF(F271=0,"Blank qty",IF(F271&lt;0,"Return","OK")))))</f>
        <v>OK</v>
      </c>
      <c r="L271" s="36" t="n">
        <f aca="false">IF(Raw_Export!$A271="","",IF(OR(K271="OK",K271="Return"),1,0))</f>
        <v>1</v>
      </c>
      <c r="M271" s="37" t="n">
        <f aca="false">IF(Raw_Export!$A271="","",B271-WEEKDAY(B271,2)+1)</f>
        <v>46265</v>
      </c>
    </row>
    <row r="272" customFormat="false" ht="15" hidden="false" customHeight="false" outlineLevel="0" collapsed="false">
      <c r="A272" s="36" t="str">
        <f aca="false">IF(Raw_Export!$A272="","",TRIM(Raw_Export!A272))</f>
        <v>TXN-100267</v>
      </c>
      <c r="B272" s="37" t="n">
        <f aca="false">IF(Raw_Export!$A272="","",IF(ISNUMBER(Raw_Export!B272),Raw_Export!B272,IF(MID(TRIM(Raw_Export!B272),5,1)="-",DATE(LEFT(TRIM(Raw_Export!B272),4),MID(TRIM(Raw_Export!B272),6,2),RIGHT(TRIM(Raw_Export!B272),2)),DATE(RIGHT(TRIM(Raw_Export!B272),4),MATCH(MID(TRIM(Raw_Export!B272),4,3),{"Jan","Feb","Mar","Apr","May","Jun","Jul","Aug","Sep","Oct","Nov","Dec"},0),LEFT(TRIM(Raw_Export!B272),2)))))</f>
        <v>46267</v>
      </c>
      <c r="C272" s="36" t="str">
        <f aca="false">IF(Raw_Export!$A272="","",IFERROR(VLOOKUP(LOWER(TRIM(Raw_Export!C272)),Maps!$A$2:$B$20,2,FALSE()),"UNMAPPED"))</f>
        <v>Nairobi CBD</v>
      </c>
      <c r="D272" s="36" t="str">
        <f aca="false">IF(Raw_Export!$A272="","",IFERROR(VLOOKUP(LOWER(TRIM(Raw_Export!D272)),Maps!$G$2:$I$80,2,FALSE()),"UNMAPPED"))</f>
        <v>Cheddar 200g</v>
      </c>
      <c r="E272" s="36" t="str">
        <f aca="false">IF(Raw_Export!$A272="","",IFERROR(VLOOKUP(LOWER(TRIM(Raw_Export!D272)),Maps!$G$2:$I$80,3,FALSE()),"UNMAPPED"))</f>
        <v>Dairy &amp; Eggs</v>
      </c>
      <c r="F272" s="36" t="n">
        <f aca="false">IF(Raw_Export!$A272="","",IFERROR(VALUE(TRIM(Raw_Export!E272)),0))</f>
        <v>2</v>
      </c>
      <c r="G272" s="38" t="n">
        <f aca="false">IF(Raw_Export!$A272="","",IFERROR(VALUE(SUBSTITUTE(SUBSTITUTE(UPPER(TRIM(Raw_Export!F272)),"KES",""),",","")),0))</f>
        <v>380</v>
      </c>
      <c r="H272" s="38" t="n">
        <f aca="false">IF(Raw_Export!$A272="","",F272*G272)</f>
        <v>760</v>
      </c>
      <c r="I272" s="36" t="str">
        <f aca="false">IF(Raw_Export!$A272="","",IFERROR(VLOOKUP(LOWER(TRIM(Raw_Export!H272)),Maps!$D$2:$E$12,2,FALSE()),"Other"))</f>
        <v>M-Pesa</v>
      </c>
      <c r="J272" s="36" t="str">
        <f aca="false">IF(Raw_Export!$A272="","",IF(COUNTIF($A$2:A272,A272)&gt;1,"Duplicate",""))</f>
        <v/>
      </c>
      <c r="K272" s="36" t="str">
        <f aca="false">IF(Raw_Export!$A272="","",IF(J272="Duplicate","Duplicate",IF(OR(C272="UNMAPPED",D272="UNMAPPED"),"Unmapped",IF(F272=0,"Blank qty",IF(F272&lt;0,"Return","OK")))))</f>
        <v>OK</v>
      </c>
      <c r="L272" s="36" t="n">
        <f aca="false">IF(Raw_Export!$A272="","",IF(OR(K272="OK",K272="Return"),1,0))</f>
        <v>1</v>
      </c>
      <c r="M272" s="37" t="n">
        <f aca="false">IF(Raw_Export!$A272="","",B272-WEEKDAY(B272,2)+1)</f>
        <v>46265</v>
      </c>
    </row>
    <row r="273" customFormat="false" ht="15" hidden="false" customHeight="false" outlineLevel="0" collapsed="false">
      <c r="A273" s="36" t="str">
        <f aca="false">IF(Raw_Export!$A273="","",TRIM(Raw_Export!A273))</f>
        <v>TXN-100268</v>
      </c>
      <c r="B273" s="37" t="n">
        <f aca="false">IF(Raw_Export!$A273="","",IF(ISNUMBER(Raw_Export!B273),Raw_Export!B273,IF(MID(TRIM(Raw_Export!B273),5,1)="-",DATE(LEFT(TRIM(Raw_Export!B273),4),MID(TRIM(Raw_Export!B273),6,2),RIGHT(TRIM(Raw_Export!B273),2)),DATE(RIGHT(TRIM(Raw_Export!B273),4),MATCH(MID(TRIM(Raw_Export!B273),4,3),{"Jan","Feb","Mar","Apr","May","Jun","Jul","Aug","Sep","Oct","Nov","Dec"},0),LEFT(TRIM(Raw_Export!B273),2)))))</f>
        <v>46267</v>
      </c>
      <c r="C273" s="36" t="str">
        <f aca="false">IF(Raw_Export!$A273="","",IFERROR(VLOOKUP(LOWER(TRIM(Raw_Export!C273)),Maps!$A$2:$B$20,2,FALSE()),"UNMAPPED"))</f>
        <v>Nairobi CBD</v>
      </c>
      <c r="D273" s="36" t="str">
        <f aca="false">IF(Raw_Export!$A273="","",IFERROR(VLOOKUP(LOWER(TRIM(Raw_Export!D273)),Maps!$G$2:$I$80,2,FALSE()),"UNMAPPED"))</f>
        <v>Soda 500ml</v>
      </c>
      <c r="E273" s="36" t="str">
        <f aca="false">IF(Raw_Export!$A273="","",IFERROR(VLOOKUP(LOWER(TRIM(Raw_Export!D273)),Maps!$G$2:$I$80,3,FALSE()),"UNMAPPED"))</f>
        <v>Beverages</v>
      </c>
      <c r="F273" s="36" t="n">
        <f aca="false">IF(Raw_Export!$A273="","",IFERROR(VALUE(TRIM(Raw_Export!E273)),0))</f>
        <v>2</v>
      </c>
      <c r="G273" s="38" t="n">
        <f aca="false">IF(Raw_Export!$A273="","",IFERROR(VALUE(SUBSTITUTE(SUBSTITUTE(UPPER(TRIM(Raw_Export!F273)),"KES",""),",","")),0))</f>
        <v>60</v>
      </c>
      <c r="H273" s="38" t="n">
        <f aca="false">IF(Raw_Export!$A273="","",F273*G273)</f>
        <v>120</v>
      </c>
      <c r="I273" s="36" t="str">
        <f aca="false">IF(Raw_Export!$A273="","",IFERROR(VLOOKUP(LOWER(TRIM(Raw_Export!H273)),Maps!$D$2:$E$12,2,FALSE()),"Other"))</f>
        <v>M-Pesa</v>
      </c>
      <c r="J273" s="36" t="str">
        <f aca="false">IF(Raw_Export!$A273="","",IF(COUNTIF($A$2:A273,A273)&gt;1,"Duplicate",""))</f>
        <v/>
      </c>
      <c r="K273" s="36" t="str">
        <f aca="false">IF(Raw_Export!$A273="","",IF(J273="Duplicate","Duplicate",IF(OR(C273="UNMAPPED",D273="UNMAPPED"),"Unmapped",IF(F273=0,"Blank qty",IF(F273&lt;0,"Return","OK")))))</f>
        <v>OK</v>
      </c>
      <c r="L273" s="36" t="n">
        <f aca="false">IF(Raw_Export!$A273="","",IF(OR(K273="OK",K273="Return"),1,0))</f>
        <v>1</v>
      </c>
      <c r="M273" s="37" t="n">
        <f aca="false">IF(Raw_Export!$A273="","",B273-WEEKDAY(B273,2)+1)</f>
        <v>46265</v>
      </c>
    </row>
    <row r="274" customFormat="false" ht="15" hidden="false" customHeight="false" outlineLevel="0" collapsed="false">
      <c r="A274" s="36" t="str">
        <f aca="false">IF(Raw_Export!$A274="","",TRIM(Raw_Export!A274))</f>
        <v>TXN-100269</v>
      </c>
      <c r="B274" s="37" t="n">
        <f aca="false">IF(Raw_Export!$A274="","",IF(ISNUMBER(Raw_Export!B274),Raw_Export!B274,IF(MID(TRIM(Raw_Export!B274),5,1)="-",DATE(LEFT(TRIM(Raw_Export!B274),4),MID(TRIM(Raw_Export!B274),6,2),RIGHT(TRIM(Raw_Export!B274),2)),DATE(RIGHT(TRIM(Raw_Export!B274),4),MATCH(MID(TRIM(Raw_Export!B274),4,3),{"Jan","Feb","Mar","Apr","May","Jun","Jul","Aug","Sep","Oct","Nov","Dec"},0),LEFT(TRIM(Raw_Export!B274),2)))))</f>
        <v>46267</v>
      </c>
      <c r="C274" s="36" t="str">
        <f aca="false">IF(Raw_Export!$A274="","",IFERROR(VLOOKUP(LOWER(TRIM(Raw_Export!C274)),Maps!$A$2:$B$20,2,FALSE()),"UNMAPPED"))</f>
        <v>Nairobi CBD</v>
      </c>
      <c r="D274" s="36" t="str">
        <f aca="false">IF(Raw_Export!$A274="","",IFERROR(VLOOKUP(LOWER(TRIM(Raw_Export!D274)),Maps!$G$2:$I$80,2,FALSE()),"UNMAPPED"))</f>
        <v>Deodorant 150ml</v>
      </c>
      <c r="E274" s="36" t="str">
        <f aca="false">IF(Raw_Export!$A274="","",IFERROR(VLOOKUP(LOWER(TRIM(Raw_Export!D274)),Maps!$G$2:$I$80,3,FALSE()),"UNMAPPED"))</f>
        <v>Personal Care</v>
      </c>
      <c r="F274" s="36" t="n">
        <f aca="false">IF(Raw_Export!$A274="","",IFERROR(VALUE(TRIM(Raw_Export!E274)),0))</f>
        <v>6</v>
      </c>
      <c r="G274" s="38" t="n">
        <f aca="false">IF(Raw_Export!$A274="","",IFERROR(VALUE(SUBSTITUTE(SUBSTITUTE(UPPER(TRIM(Raw_Export!F274)),"KES",""),",","")),0))</f>
        <v>350</v>
      </c>
      <c r="H274" s="38" t="n">
        <f aca="false">IF(Raw_Export!$A274="","",F274*G274)</f>
        <v>2100</v>
      </c>
      <c r="I274" s="36" t="str">
        <f aca="false">IF(Raw_Export!$A274="","",IFERROR(VLOOKUP(LOWER(TRIM(Raw_Export!H274)),Maps!$D$2:$E$12,2,FALSE()),"Other"))</f>
        <v>M-Pesa</v>
      </c>
      <c r="J274" s="36" t="str">
        <f aca="false">IF(Raw_Export!$A274="","",IF(COUNTIF($A$2:A274,A274)&gt;1,"Duplicate",""))</f>
        <v/>
      </c>
      <c r="K274" s="36" t="str">
        <f aca="false">IF(Raw_Export!$A274="","",IF(J274="Duplicate","Duplicate",IF(OR(C274="UNMAPPED",D274="UNMAPPED"),"Unmapped",IF(F274=0,"Blank qty",IF(F274&lt;0,"Return","OK")))))</f>
        <v>OK</v>
      </c>
      <c r="L274" s="36" t="n">
        <f aca="false">IF(Raw_Export!$A274="","",IF(OR(K274="OK",K274="Return"),1,0))</f>
        <v>1</v>
      </c>
      <c r="M274" s="37" t="n">
        <f aca="false">IF(Raw_Export!$A274="","",B274-WEEKDAY(B274,2)+1)</f>
        <v>46265</v>
      </c>
    </row>
    <row r="275" customFormat="false" ht="15" hidden="false" customHeight="false" outlineLevel="0" collapsed="false">
      <c r="A275" s="36" t="str">
        <f aca="false">IF(Raw_Export!$A275="","",TRIM(Raw_Export!A275))</f>
        <v>TXN-100270</v>
      </c>
      <c r="B275" s="37" t="n">
        <f aca="false">IF(Raw_Export!$A275="","",IF(ISNUMBER(Raw_Export!B275),Raw_Export!B275,IF(MID(TRIM(Raw_Export!B275),5,1)="-",DATE(LEFT(TRIM(Raw_Export!B275),4),MID(TRIM(Raw_Export!B275),6,2),RIGHT(TRIM(Raw_Export!B275),2)),DATE(RIGHT(TRIM(Raw_Export!B275),4),MATCH(MID(TRIM(Raw_Export!B275),4,3),{"Jan","Feb","Mar","Apr","May","Jun","Jul","Aug","Sep","Oct","Nov","Dec"},0),LEFT(TRIM(Raw_Export!B275),2)))))</f>
        <v>46267</v>
      </c>
      <c r="C275" s="36" t="str">
        <f aca="false">IF(Raw_Export!$A275="","",IFERROR(VLOOKUP(LOWER(TRIM(Raw_Export!C275)),Maps!$A$2:$B$20,2,FALSE()),"UNMAPPED"))</f>
        <v>Nairobi CBD</v>
      </c>
      <c r="D275" s="36" t="str">
        <f aca="false">IF(Raw_Export!$A275="","",IFERROR(VLOOKUP(LOWER(TRIM(Raw_Export!D275)),Maps!$G$2:$I$80,2,FALSE()),"UNMAPPED"))</f>
        <v>Peanuts 250g</v>
      </c>
      <c r="E275" s="36" t="str">
        <f aca="false">IF(Raw_Export!$A275="","",IFERROR(VLOOKUP(LOWER(TRIM(Raw_Export!D275)),Maps!$G$2:$I$80,3,FALSE()),"UNMAPPED"))</f>
        <v>Snacks</v>
      </c>
      <c r="F275" s="36" t="n">
        <f aca="false">IF(Raw_Export!$A275="","",IFERROR(VALUE(TRIM(Raw_Export!E275)),0))</f>
        <v>-3</v>
      </c>
      <c r="G275" s="38" t="n">
        <f aca="false">IF(Raw_Export!$A275="","",IFERROR(VALUE(SUBSTITUTE(SUBSTITUTE(UPPER(TRIM(Raw_Export!F275)),"KES",""),",","")),0))</f>
        <v>130</v>
      </c>
      <c r="H275" s="38" t="n">
        <f aca="false">IF(Raw_Export!$A275="","",F275*G275)</f>
        <v>-390</v>
      </c>
      <c r="I275" s="36" t="str">
        <f aca="false">IF(Raw_Export!$A275="","",IFERROR(VLOOKUP(LOWER(TRIM(Raw_Export!H275)),Maps!$D$2:$E$12,2,FALSE()),"Other"))</f>
        <v>M-Pesa</v>
      </c>
      <c r="J275" s="36" t="str">
        <f aca="false">IF(Raw_Export!$A275="","",IF(COUNTIF($A$2:A275,A275)&gt;1,"Duplicate",""))</f>
        <v/>
      </c>
      <c r="K275" s="36" t="str">
        <f aca="false">IF(Raw_Export!$A275="","",IF(J275="Duplicate","Duplicate",IF(OR(C275="UNMAPPED",D275="UNMAPPED"),"Unmapped",IF(F275=0,"Blank qty",IF(F275&lt;0,"Return","OK")))))</f>
        <v>Return</v>
      </c>
      <c r="L275" s="36" t="n">
        <f aca="false">IF(Raw_Export!$A275="","",IF(OR(K275="OK",K275="Return"),1,0))</f>
        <v>1</v>
      </c>
      <c r="M275" s="37" t="n">
        <f aca="false">IF(Raw_Export!$A275="","",B275-WEEKDAY(B275,2)+1)</f>
        <v>46265</v>
      </c>
    </row>
    <row r="276" customFormat="false" ht="15" hidden="false" customHeight="false" outlineLevel="0" collapsed="false">
      <c r="A276" s="36" t="str">
        <f aca="false">IF(Raw_Export!$A276="","",TRIM(Raw_Export!A276))</f>
        <v>TXN-100271</v>
      </c>
      <c r="B276" s="37" t="n">
        <f aca="false">IF(Raw_Export!$A276="","",IF(ISNUMBER(Raw_Export!B276),Raw_Export!B276,IF(MID(TRIM(Raw_Export!B276),5,1)="-",DATE(LEFT(TRIM(Raw_Export!B276),4),MID(TRIM(Raw_Export!B276),6,2),RIGHT(TRIM(Raw_Export!B276),2)),DATE(RIGHT(TRIM(Raw_Export!B276),4),MATCH(MID(TRIM(Raw_Export!B276),4,3),{"Jan","Feb","Mar","Apr","May","Jun","Jul","Aug","Sep","Oct","Nov","Dec"},0),LEFT(TRIM(Raw_Export!B276),2)))))</f>
        <v>46267</v>
      </c>
      <c r="C276" s="36" t="str">
        <f aca="false">IF(Raw_Export!$A276="","",IFERROR(VLOOKUP(LOWER(TRIM(Raw_Export!C276)),Maps!$A$2:$B$20,2,FALSE()),"UNMAPPED"))</f>
        <v>Nairobi CBD</v>
      </c>
      <c r="D276" s="36" t="str">
        <f aca="false">IF(Raw_Export!$A276="","",IFERROR(VLOOKUP(LOWER(TRIM(Raw_Export!D276)),Maps!$G$2:$I$80,2,FALSE()),"UNMAPPED"))</f>
        <v>Matches 10pk</v>
      </c>
      <c r="E276" s="36" t="str">
        <f aca="false">IF(Raw_Export!$A276="","",IFERROR(VLOOKUP(LOWER(TRIM(Raw_Export!D276)),Maps!$G$2:$I$80,3,FALSE()),"UNMAPPED"))</f>
        <v>Household</v>
      </c>
      <c r="F276" s="36" t="n">
        <f aca="false">IF(Raw_Export!$A276="","",IFERROR(VALUE(TRIM(Raw_Export!E276)),0))</f>
        <v>6</v>
      </c>
      <c r="G276" s="38" t="n">
        <f aca="false">IF(Raw_Export!$A276="","",IFERROR(VALUE(SUBSTITUTE(SUBSTITUTE(UPPER(TRIM(Raw_Export!F276)),"KES",""),",","")),0))</f>
        <v>50</v>
      </c>
      <c r="H276" s="38" t="n">
        <f aca="false">IF(Raw_Export!$A276="","",F276*G276)</f>
        <v>300</v>
      </c>
      <c r="I276" s="36" t="str">
        <f aca="false">IF(Raw_Export!$A276="","",IFERROR(VLOOKUP(LOWER(TRIM(Raw_Export!H276)),Maps!$D$2:$E$12,2,FALSE()),"Other"))</f>
        <v>M-Pesa</v>
      </c>
      <c r="J276" s="36" t="str">
        <f aca="false">IF(Raw_Export!$A276="","",IF(COUNTIF($A$2:A276,A276)&gt;1,"Duplicate",""))</f>
        <v/>
      </c>
      <c r="K276" s="36" t="str">
        <f aca="false">IF(Raw_Export!$A276="","",IF(J276="Duplicate","Duplicate",IF(OR(C276="UNMAPPED",D276="UNMAPPED"),"Unmapped",IF(F276=0,"Blank qty",IF(F276&lt;0,"Return","OK")))))</f>
        <v>OK</v>
      </c>
      <c r="L276" s="36" t="n">
        <f aca="false">IF(Raw_Export!$A276="","",IF(OR(K276="OK",K276="Return"),1,0))</f>
        <v>1</v>
      </c>
      <c r="M276" s="37" t="n">
        <f aca="false">IF(Raw_Export!$A276="","",B276-WEEKDAY(B276,2)+1)</f>
        <v>46265</v>
      </c>
    </row>
    <row r="277" customFormat="false" ht="15" hidden="false" customHeight="false" outlineLevel="0" collapsed="false">
      <c r="A277" s="36" t="str">
        <f aca="false">IF(Raw_Export!$A277="","",TRIM(Raw_Export!A277))</f>
        <v>TXN-100272</v>
      </c>
      <c r="B277" s="37" t="n">
        <f aca="false">IF(Raw_Export!$A277="","",IF(ISNUMBER(Raw_Export!B277),Raw_Export!B277,IF(MID(TRIM(Raw_Export!B277),5,1)="-",DATE(LEFT(TRIM(Raw_Export!B277),4),MID(TRIM(Raw_Export!B277),6,2),RIGHT(TRIM(Raw_Export!B277),2)),DATE(RIGHT(TRIM(Raw_Export!B277),4),MATCH(MID(TRIM(Raw_Export!B277),4,3),{"Jan","Feb","Mar","Apr","May","Jun","Jul","Aug","Sep","Oct","Nov","Dec"},0),LEFT(TRIM(Raw_Export!B277),2)))))</f>
        <v>46267</v>
      </c>
      <c r="C277" s="36" t="str">
        <f aca="false">IF(Raw_Export!$A277="","",IFERROR(VLOOKUP(LOWER(TRIM(Raw_Export!C277)),Maps!$A$2:$B$20,2,FALSE()),"UNMAPPED"))</f>
        <v>Nairobi CBD</v>
      </c>
      <c r="D277" s="36" t="str">
        <f aca="false">IF(Raw_Export!$A277="","",IFERROR(VLOOKUP(LOWER(TRIM(Raw_Export!D277)),Maps!$G$2:$I$80,2,FALSE()),"UNMAPPED"))</f>
        <v>Crisps 100g</v>
      </c>
      <c r="E277" s="36" t="str">
        <f aca="false">IF(Raw_Export!$A277="","",IFERROR(VLOOKUP(LOWER(TRIM(Raw_Export!D277)),Maps!$G$2:$I$80,3,FALSE()),"UNMAPPED"))</f>
        <v>Snacks</v>
      </c>
      <c r="F277" s="36" t="n">
        <f aca="false">IF(Raw_Export!$A277="","",IFERROR(VALUE(TRIM(Raw_Export!E277)),0))</f>
        <v>4</v>
      </c>
      <c r="G277" s="38" t="n">
        <f aca="false">IF(Raw_Export!$A277="","",IFERROR(VALUE(SUBSTITUTE(SUBSTITUTE(UPPER(TRIM(Raw_Export!F277)),"KES",""),",","")),0))</f>
        <v>80</v>
      </c>
      <c r="H277" s="38" t="n">
        <f aca="false">IF(Raw_Export!$A277="","",F277*G277)</f>
        <v>320</v>
      </c>
      <c r="I277" s="36" t="str">
        <f aca="false">IF(Raw_Export!$A277="","",IFERROR(VLOOKUP(LOWER(TRIM(Raw_Export!H277)),Maps!$D$2:$E$12,2,FALSE()),"Other"))</f>
        <v>Card</v>
      </c>
      <c r="J277" s="36" t="str">
        <f aca="false">IF(Raw_Export!$A277="","",IF(COUNTIF($A$2:A277,A277)&gt;1,"Duplicate",""))</f>
        <v/>
      </c>
      <c r="K277" s="36" t="str">
        <f aca="false">IF(Raw_Export!$A277="","",IF(J277="Duplicate","Duplicate",IF(OR(C277="UNMAPPED",D277="UNMAPPED"),"Unmapped",IF(F277=0,"Blank qty",IF(F277&lt;0,"Return","OK")))))</f>
        <v>OK</v>
      </c>
      <c r="L277" s="36" t="n">
        <f aca="false">IF(Raw_Export!$A277="","",IF(OR(K277="OK",K277="Return"),1,0))</f>
        <v>1</v>
      </c>
      <c r="M277" s="37" t="n">
        <f aca="false">IF(Raw_Export!$A277="","",B277-WEEKDAY(B277,2)+1)</f>
        <v>46265</v>
      </c>
    </row>
    <row r="278" customFormat="false" ht="15" hidden="false" customHeight="false" outlineLevel="0" collapsed="false">
      <c r="A278" s="36" t="str">
        <f aca="false">IF(Raw_Export!$A278="","",TRIM(Raw_Export!A278))</f>
        <v>TXN-100273</v>
      </c>
      <c r="B278" s="37" t="n">
        <f aca="false">IF(Raw_Export!$A278="","",IF(ISNUMBER(Raw_Export!B278),Raw_Export!B278,IF(MID(TRIM(Raw_Export!B278),5,1)="-",DATE(LEFT(TRIM(Raw_Export!B278),4),MID(TRIM(Raw_Export!B278),6,2),RIGHT(TRIM(Raw_Export!B278),2)),DATE(RIGHT(TRIM(Raw_Export!B278),4),MATCH(MID(TRIM(Raw_Export!B278),4,3),{"Jan","Feb","Mar","Apr","May","Jun","Jul","Aug","Sep","Oct","Nov","Dec"},0),LEFT(TRIM(Raw_Export!B278),2)))))</f>
        <v>46267</v>
      </c>
      <c r="C278" s="36" t="str">
        <f aca="false">IF(Raw_Export!$A278="","",IFERROR(VLOOKUP(LOWER(TRIM(Raw_Export!C278)),Maps!$A$2:$B$20,2,FALSE()),"UNMAPPED"))</f>
        <v>Nairobi CBD</v>
      </c>
      <c r="D278" s="36" t="str">
        <f aca="false">IF(Raw_Export!$A278="","",IFERROR(VLOOKUP(LOWER(TRIM(Raw_Export!D278)),Maps!$G$2:$I$80,2,FALSE()),"UNMAPPED"))</f>
        <v>Bottled Water 1.5L</v>
      </c>
      <c r="E278" s="36" t="str">
        <f aca="false">IF(Raw_Export!$A278="","",IFERROR(VLOOKUP(LOWER(TRIM(Raw_Export!D278)),Maps!$G$2:$I$80,3,FALSE()),"UNMAPPED"))</f>
        <v>Beverages</v>
      </c>
      <c r="F278" s="36" t="n">
        <f aca="false">IF(Raw_Export!$A278="","",IFERROR(VALUE(TRIM(Raw_Export!E278)),0))</f>
        <v>4</v>
      </c>
      <c r="G278" s="38" t="n">
        <f aca="false">IF(Raw_Export!$A278="","",IFERROR(VALUE(SUBSTITUTE(SUBSTITUTE(UPPER(TRIM(Raw_Export!F278)),"KES",""),",","")),0))</f>
        <v>81</v>
      </c>
      <c r="H278" s="38" t="n">
        <f aca="false">IF(Raw_Export!$A278="","",F278*G278)</f>
        <v>324</v>
      </c>
      <c r="I278" s="36" t="str">
        <f aca="false">IF(Raw_Export!$A278="","",IFERROR(VLOOKUP(LOWER(TRIM(Raw_Export!H278)),Maps!$D$2:$E$12,2,FALSE()),"Other"))</f>
        <v>M-Pesa</v>
      </c>
      <c r="J278" s="36" t="str">
        <f aca="false">IF(Raw_Export!$A278="","",IF(COUNTIF($A$2:A278,A278)&gt;1,"Duplicate",""))</f>
        <v/>
      </c>
      <c r="K278" s="36" t="str">
        <f aca="false">IF(Raw_Export!$A278="","",IF(J278="Duplicate","Duplicate",IF(OR(C278="UNMAPPED",D278="UNMAPPED"),"Unmapped",IF(F278=0,"Blank qty",IF(F278&lt;0,"Return","OK")))))</f>
        <v>OK</v>
      </c>
      <c r="L278" s="36" t="n">
        <f aca="false">IF(Raw_Export!$A278="","",IF(OR(K278="OK",K278="Return"),1,0))</f>
        <v>1</v>
      </c>
      <c r="M278" s="37" t="n">
        <f aca="false">IF(Raw_Export!$A278="","",B278-WEEKDAY(B278,2)+1)</f>
        <v>46265</v>
      </c>
    </row>
    <row r="279" customFormat="false" ht="15" hidden="false" customHeight="false" outlineLevel="0" collapsed="false">
      <c r="A279" s="36" t="str">
        <f aca="false">IF(Raw_Export!$A279="","",TRIM(Raw_Export!A279))</f>
        <v>TXN-100274</v>
      </c>
      <c r="B279" s="37" t="n">
        <f aca="false">IF(Raw_Export!$A279="","",IF(ISNUMBER(Raw_Export!B279),Raw_Export!B279,IF(MID(TRIM(Raw_Export!B279),5,1)="-",DATE(LEFT(TRIM(Raw_Export!B279),4),MID(TRIM(Raw_Export!B279),6,2),RIGHT(TRIM(Raw_Export!B279),2)),DATE(RIGHT(TRIM(Raw_Export!B279),4),MATCH(MID(TRIM(Raw_Export!B279),4,3),{"Jan","Feb","Mar","Apr","May","Jun","Jul","Aug","Sep","Oct","Nov","Dec"},0),LEFT(TRIM(Raw_Export!B279),2)))))</f>
        <v>46267</v>
      </c>
      <c r="C279" s="36" t="str">
        <f aca="false">IF(Raw_Export!$A279="","",IFERROR(VLOOKUP(LOWER(TRIM(Raw_Export!C279)),Maps!$A$2:$B$20,2,FALSE()),"UNMAPPED"))</f>
        <v>Nairobi CBD</v>
      </c>
      <c r="D279" s="36" t="str">
        <f aca="false">IF(Raw_Export!$A279="","",IFERROR(VLOOKUP(LOWER(TRIM(Raw_Export!D279)),Maps!$G$2:$I$80,2,FALSE()),"UNMAPPED"))</f>
        <v>Soda 500ml</v>
      </c>
      <c r="E279" s="36" t="str">
        <f aca="false">IF(Raw_Export!$A279="","",IFERROR(VLOOKUP(LOWER(TRIM(Raw_Export!D279)),Maps!$G$2:$I$80,3,FALSE()),"UNMAPPED"))</f>
        <v>Beverages</v>
      </c>
      <c r="F279" s="36" t="n">
        <f aca="false">IF(Raw_Export!$A279="","",IFERROR(VALUE(TRIM(Raw_Export!E279)),0))</f>
        <v>2</v>
      </c>
      <c r="G279" s="38" t="n">
        <f aca="false">IF(Raw_Export!$A279="","",IFERROR(VALUE(SUBSTITUTE(SUBSTITUTE(UPPER(TRIM(Raw_Export!F279)),"KES",""),",","")),0))</f>
        <v>60</v>
      </c>
      <c r="H279" s="38" t="n">
        <f aca="false">IF(Raw_Export!$A279="","",F279*G279)</f>
        <v>120</v>
      </c>
      <c r="I279" s="36" t="str">
        <f aca="false">IF(Raw_Export!$A279="","",IFERROR(VLOOKUP(LOWER(TRIM(Raw_Export!H279)),Maps!$D$2:$E$12,2,FALSE()),"Other"))</f>
        <v>M-Pesa</v>
      </c>
      <c r="J279" s="36" t="str">
        <f aca="false">IF(Raw_Export!$A279="","",IF(COUNTIF($A$2:A279,A279)&gt;1,"Duplicate",""))</f>
        <v/>
      </c>
      <c r="K279" s="36" t="str">
        <f aca="false">IF(Raw_Export!$A279="","",IF(J279="Duplicate","Duplicate",IF(OR(C279="UNMAPPED",D279="UNMAPPED"),"Unmapped",IF(F279=0,"Blank qty",IF(F279&lt;0,"Return","OK")))))</f>
        <v>OK</v>
      </c>
      <c r="L279" s="36" t="n">
        <f aca="false">IF(Raw_Export!$A279="","",IF(OR(K279="OK",K279="Return"),1,0))</f>
        <v>1</v>
      </c>
      <c r="M279" s="37" t="n">
        <f aca="false">IF(Raw_Export!$A279="","",B279-WEEKDAY(B279,2)+1)</f>
        <v>46265</v>
      </c>
    </row>
    <row r="280" customFormat="false" ht="15" hidden="false" customHeight="false" outlineLevel="0" collapsed="false">
      <c r="A280" s="36" t="str">
        <f aca="false">IF(Raw_Export!$A280="","",TRIM(Raw_Export!A280))</f>
        <v>TXN-100275</v>
      </c>
      <c r="B280" s="37" t="n">
        <f aca="false">IF(Raw_Export!$A280="","",IF(ISNUMBER(Raw_Export!B280),Raw_Export!B280,IF(MID(TRIM(Raw_Export!B280),5,1)="-",DATE(LEFT(TRIM(Raw_Export!B280),4),MID(TRIM(Raw_Export!B280),6,2),RIGHT(TRIM(Raw_Export!B280),2)),DATE(RIGHT(TRIM(Raw_Export!B280),4),MATCH(MID(TRIM(Raw_Export!B280),4,3),{"Jan","Feb","Mar","Apr","May","Jun","Jul","Aug","Sep","Oct","Nov","Dec"},0),LEFT(TRIM(Raw_Export!B280),2)))))</f>
        <v>46267</v>
      </c>
      <c r="C280" s="36" t="str">
        <f aca="false">IF(Raw_Export!$A280="","",IFERROR(VLOOKUP(LOWER(TRIM(Raw_Export!C280)),Maps!$A$2:$B$20,2,FALSE()),"UNMAPPED"))</f>
        <v>Nairobi CBD</v>
      </c>
      <c r="D280" s="36" t="str">
        <f aca="false">IF(Raw_Export!$A280="","",IFERROR(VLOOKUP(LOWER(TRIM(Raw_Export!D280)),Maps!$G$2:$I$80,2,FALSE()),"UNMAPPED"))</f>
        <v>Spaghetti 400g</v>
      </c>
      <c r="E280" s="36" t="str">
        <f aca="false">IF(Raw_Export!$A280="","",IFERROR(VLOOKUP(LOWER(TRIM(Raw_Export!D280)),Maps!$G$2:$I$80,3,FALSE()),"UNMAPPED"))</f>
        <v>Staples</v>
      </c>
      <c r="F280" s="36" t="n">
        <f aca="false">IF(Raw_Export!$A280="","",IFERROR(VALUE(TRIM(Raw_Export!E280)),0))</f>
        <v>2</v>
      </c>
      <c r="G280" s="38" t="n">
        <f aca="false">IF(Raw_Export!$A280="","",IFERROR(VALUE(SUBSTITUTE(SUBSTITUTE(UPPER(TRIM(Raw_Export!F280)),"KES",""),",","")),0))</f>
        <v>110</v>
      </c>
      <c r="H280" s="38" t="n">
        <f aca="false">IF(Raw_Export!$A280="","",F280*G280)</f>
        <v>220</v>
      </c>
      <c r="I280" s="36" t="str">
        <f aca="false">IF(Raw_Export!$A280="","",IFERROR(VLOOKUP(LOWER(TRIM(Raw_Export!H280)),Maps!$D$2:$E$12,2,FALSE()),"Other"))</f>
        <v>Cash</v>
      </c>
      <c r="J280" s="36" t="str">
        <f aca="false">IF(Raw_Export!$A280="","",IF(COUNTIF($A$2:A280,A280)&gt;1,"Duplicate",""))</f>
        <v/>
      </c>
      <c r="K280" s="36" t="str">
        <f aca="false">IF(Raw_Export!$A280="","",IF(J280="Duplicate","Duplicate",IF(OR(C280="UNMAPPED",D280="UNMAPPED"),"Unmapped",IF(F280=0,"Blank qty",IF(F280&lt;0,"Return","OK")))))</f>
        <v>OK</v>
      </c>
      <c r="L280" s="36" t="n">
        <f aca="false">IF(Raw_Export!$A280="","",IF(OR(K280="OK",K280="Return"),1,0))</f>
        <v>1</v>
      </c>
      <c r="M280" s="37" t="n">
        <f aca="false">IF(Raw_Export!$A280="","",B280-WEEKDAY(B280,2)+1)</f>
        <v>46265</v>
      </c>
    </row>
    <row r="281" customFormat="false" ht="15" hidden="false" customHeight="false" outlineLevel="0" collapsed="false">
      <c r="A281" s="36" t="str">
        <f aca="false">IF(Raw_Export!$A281="","",TRIM(Raw_Export!A281))</f>
        <v>TXN-100276</v>
      </c>
      <c r="B281" s="37" t="n">
        <f aca="false">IF(Raw_Export!$A281="","",IF(ISNUMBER(Raw_Export!B281),Raw_Export!B281,IF(MID(TRIM(Raw_Export!B281),5,1)="-",DATE(LEFT(TRIM(Raw_Export!B281),4),MID(TRIM(Raw_Export!B281),6,2),RIGHT(TRIM(Raw_Export!B281),2)),DATE(RIGHT(TRIM(Raw_Export!B281),4),MATCH(MID(TRIM(Raw_Export!B281),4,3),{"Jan","Feb","Mar","Apr","May","Jun","Jul","Aug","Sep","Oct","Nov","Dec"},0),LEFT(TRIM(Raw_Export!B281),2)))))</f>
        <v>46267</v>
      </c>
      <c r="C281" s="36" t="str">
        <f aca="false">IF(Raw_Export!$A281="","",IFERROR(VLOOKUP(LOWER(TRIM(Raw_Export!C281)),Maps!$A$2:$B$20,2,FALSE()),"UNMAPPED"))</f>
        <v>Nairobi CBD</v>
      </c>
      <c r="D281" s="36" t="str">
        <f aca="false">IF(Raw_Export!$A281="","",IFERROR(VLOOKUP(LOWER(TRIM(Raw_Export!D281)),Maps!$G$2:$I$80,2,FALSE()),"UNMAPPED"))</f>
        <v>Sugar 2kg</v>
      </c>
      <c r="E281" s="36" t="str">
        <f aca="false">IF(Raw_Export!$A281="","",IFERROR(VLOOKUP(LOWER(TRIM(Raw_Export!D281)),Maps!$G$2:$I$80,3,FALSE()),"UNMAPPED"))</f>
        <v>Staples</v>
      </c>
      <c r="F281" s="36" t="n">
        <f aca="false">IF(Raw_Export!$A281="","",IFERROR(VALUE(TRIM(Raw_Export!E281)),0))</f>
        <v>1</v>
      </c>
      <c r="G281" s="38" t="n">
        <f aca="false">IF(Raw_Export!$A281="","",IFERROR(VALUE(SUBSTITUTE(SUBSTITUTE(UPPER(TRIM(Raw_Export!F281)),"KES",""),",","")),0))</f>
        <v>330</v>
      </c>
      <c r="H281" s="38" t="n">
        <f aca="false">IF(Raw_Export!$A281="","",F281*G281)</f>
        <v>330</v>
      </c>
      <c r="I281" s="36" t="str">
        <f aca="false">IF(Raw_Export!$A281="","",IFERROR(VLOOKUP(LOWER(TRIM(Raw_Export!H281)),Maps!$D$2:$E$12,2,FALSE()),"Other"))</f>
        <v>Cash</v>
      </c>
      <c r="J281" s="36" t="str">
        <f aca="false">IF(Raw_Export!$A281="","",IF(COUNTIF($A$2:A281,A281)&gt;1,"Duplicate",""))</f>
        <v/>
      </c>
      <c r="K281" s="36" t="str">
        <f aca="false">IF(Raw_Export!$A281="","",IF(J281="Duplicate","Duplicate",IF(OR(C281="UNMAPPED",D281="UNMAPPED"),"Unmapped",IF(F281=0,"Blank qty",IF(F281&lt;0,"Return","OK")))))</f>
        <v>OK</v>
      </c>
      <c r="L281" s="36" t="n">
        <f aca="false">IF(Raw_Export!$A281="","",IF(OR(K281="OK",K281="Return"),1,0))</f>
        <v>1</v>
      </c>
      <c r="M281" s="37" t="n">
        <f aca="false">IF(Raw_Export!$A281="","",B281-WEEKDAY(B281,2)+1)</f>
        <v>46265</v>
      </c>
    </row>
    <row r="282" customFormat="false" ht="15" hidden="false" customHeight="false" outlineLevel="0" collapsed="false">
      <c r="A282" s="36" t="str">
        <f aca="false">IF(Raw_Export!$A282="","",TRIM(Raw_Export!A282))</f>
        <v>TXN-100277</v>
      </c>
      <c r="B282" s="37" t="n">
        <f aca="false">IF(Raw_Export!$A282="","",IF(ISNUMBER(Raw_Export!B282),Raw_Export!B282,IF(MID(TRIM(Raw_Export!B282),5,1)="-",DATE(LEFT(TRIM(Raw_Export!B282),4),MID(TRIM(Raw_Export!B282),6,2),RIGHT(TRIM(Raw_Export!B282),2)),DATE(RIGHT(TRIM(Raw_Export!B282),4),MATCH(MID(TRIM(Raw_Export!B282),4,3),{"Jan","Feb","Mar","Apr","May","Jun","Jul","Aug","Sep","Oct","Nov","Dec"},0),LEFT(TRIM(Raw_Export!B282),2)))))</f>
        <v>46267</v>
      </c>
      <c r="C282" s="36" t="str">
        <f aca="false">IF(Raw_Export!$A282="","",IFERROR(VLOOKUP(LOWER(TRIM(Raw_Export!C282)),Maps!$A$2:$B$20,2,FALSE()),"UNMAPPED"))</f>
        <v>Nairobi CBD</v>
      </c>
      <c r="D282" s="36" t="str">
        <f aca="false">IF(Raw_Export!$A282="","",IFERROR(VLOOKUP(LOWER(TRIM(Raw_Export!D282)),Maps!$G$2:$I$80,2,FALSE()),"UNMAPPED"))</f>
        <v>Spaghetti 400g</v>
      </c>
      <c r="E282" s="36" t="str">
        <f aca="false">IF(Raw_Export!$A282="","",IFERROR(VLOOKUP(LOWER(TRIM(Raw_Export!D282)),Maps!$G$2:$I$80,3,FALSE()),"UNMAPPED"))</f>
        <v>Staples</v>
      </c>
      <c r="F282" s="36" t="n">
        <f aca="false">IF(Raw_Export!$A282="","",IFERROR(VALUE(TRIM(Raw_Export!E282)),0))</f>
        <v>2</v>
      </c>
      <c r="G282" s="38" t="n">
        <f aca="false">IF(Raw_Export!$A282="","",IFERROR(VALUE(SUBSTITUTE(SUBSTITUTE(UPPER(TRIM(Raw_Export!F282)),"KES",""),",","")),0))</f>
        <v>110</v>
      </c>
      <c r="H282" s="38" t="n">
        <f aca="false">IF(Raw_Export!$A282="","",F282*G282)</f>
        <v>220</v>
      </c>
      <c r="I282" s="36" t="str">
        <f aca="false">IF(Raw_Export!$A282="","",IFERROR(VLOOKUP(LOWER(TRIM(Raw_Export!H282)),Maps!$D$2:$E$12,2,FALSE()),"Other"))</f>
        <v>M-Pesa</v>
      </c>
      <c r="J282" s="36" t="str">
        <f aca="false">IF(Raw_Export!$A282="","",IF(COUNTIF($A$2:A282,A282)&gt;1,"Duplicate",""))</f>
        <v/>
      </c>
      <c r="K282" s="36" t="str">
        <f aca="false">IF(Raw_Export!$A282="","",IF(J282="Duplicate","Duplicate",IF(OR(C282="UNMAPPED",D282="UNMAPPED"),"Unmapped",IF(F282=0,"Blank qty",IF(F282&lt;0,"Return","OK")))))</f>
        <v>OK</v>
      </c>
      <c r="L282" s="36" t="n">
        <f aca="false">IF(Raw_Export!$A282="","",IF(OR(K282="OK",K282="Return"),1,0))</f>
        <v>1</v>
      </c>
      <c r="M282" s="37" t="n">
        <f aca="false">IF(Raw_Export!$A282="","",B282-WEEKDAY(B282,2)+1)</f>
        <v>46265</v>
      </c>
    </row>
    <row r="283" customFormat="false" ht="15" hidden="false" customHeight="false" outlineLevel="0" collapsed="false">
      <c r="A283" s="36" t="str">
        <f aca="false">IF(Raw_Export!$A283="","",TRIM(Raw_Export!A283))</f>
        <v>TXN-100278</v>
      </c>
      <c r="B283" s="37" t="n">
        <f aca="false">IF(Raw_Export!$A283="","",IF(ISNUMBER(Raw_Export!B283),Raw_Export!B283,IF(MID(TRIM(Raw_Export!B283),5,1)="-",DATE(LEFT(TRIM(Raw_Export!B283),4),MID(TRIM(Raw_Export!B283),6,2),RIGHT(TRIM(Raw_Export!B283),2)),DATE(RIGHT(TRIM(Raw_Export!B283),4),MATCH(MID(TRIM(Raw_Export!B283),4,3),{"Jan","Feb","Mar","Apr","May","Jun","Jul","Aug","Sep","Oct","Nov","Dec"},0),LEFT(TRIM(Raw_Export!B283),2)))))</f>
        <v>46267</v>
      </c>
      <c r="C283" s="36" t="str">
        <f aca="false">IF(Raw_Export!$A283="","",IFERROR(VLOOKUP(LOWER(TRIM(Raw_Export!C283)),Maps!$A$2:$B$20,2,FALSE()),"UNMAPPED"))</f>
        <v>Nairobi CBD</v>
      </c>
      <c r="D283" s="36" t="str">
        <f aca="false">IF(Raw_Export!$A283="","",IFERROR(VLOOKUP(LOWER(TRIM(Raw_Export!D283)),Maps!$G$2:$I$80,2,FALSE()),"UNMAPPED"))</f>
        <v>Soda 500ml</v>
      </c>
      <c r="E283" s="36" t="str">
        <f aca="false">IF(Raw_Export!$A283="","",IFERROR(VLOOKUP(LOWER(TRIM(Raw_Export!D283)),Maps!$G$2:$I$80,3,FALSE()),"UNMAPPED"))</f>
        <v>Beverages</v>
      </c>
      <c r="F283" s="36" t="n">
        <f aca="false">IF(Raw_Export!$A283="","",IFERROR(VALUE(TRIM(Raw_Export!E283)),0))</f>
        <v>2</v>
      </c>
      <c r="G283" s="38" t="n">
        <f aca="false">IF(Raw_Export!$A283="","",IFERROR(VALUE(SUBSTITUTE(SUBSTITUTE(UPPER(TRIM(Raw_Export!F283)),"KES",""),",","")),0))</f>
        <v>60</v>
      </c>
      <c r="H283" s="38" t="n">
        <f aca="false">IF(Raw_Export!$A283="","",F283*G283)</f>
        <v>120</v>
      </c>
      <c r="I283" s="36" t="str">
        <f aca="false">IF(Raw_Export!$A283="","",IFERROR(VLOOKUP(LOWER(TRIM(Raw_Export!H283)),Maps!$D$2:$E$12,2,FALSE()),"Other"))</f>
        <v>M-Pesa</v>
      </c>
      <c r="J283" s="36" t="str">
        <f aca="false">IF(Raw_Export!$A283="","",IF(COUNTIF($A$2:A283,A283)&gt;1,"Duplicate",""))</f>
        <v/>
      </c>
      <c r="K283" s="36" t="str">
        <f aca="false">IF(Raw_Export!$A283="","",IF(J283="Duplicate","Duplicate",IF(OR(C283="UNMAPPED",D283="UNMAPPED"),"Unmapped",IF(F283=0,"Blank qty",IF(F283&lt;0,"Return","OK")))))</f>
        <v>OK</v>
      </c>
      <c r="L283" s="36" t="n">
        <f aca="false">IF(Raw_Export!$A283="","",IF(OR(K283="OK",K283="Return"),1,0))</f>
        <v>1</v>
      </c>
      <c r="M283" s="37" t="n">
        <f aca="false">IF(Raw_Export!$A283="","",B283-WEEKDAY(B283,2)+1)</f>
        <v>46265</v>
      </c>
    </row>
    <row r="284" customFormat="false" ht="15" hidden="false" customHeight="false" outlineLevel="0" collapsed="false">
      <c r="A284" s="36" t="str">
        <f aca="false">IF(Raw_Export!$A284="","",TRIM(Raw_Export!A284))</f>
        <v>TXN-100279</v>
      </c>
      <c r="B284" s="37" t="n">
        <f aca="false">IF(Raw_Export!$A284="","",IF(ISNUMBER(Raw_Export!B284),Raw_Export!B284,IF(MID(TRIM(Raw_Export!B284),5,1)="-",DATE(LEFT(TRIM(Raw_Export!B284),4),MID(TRIM(Raw_Export!B284),6,2),RIGHT(TRIM(Raw_Export!B284),2)),DATE(RIGHT(TRIM(Raw_Export!B284),4),MATCH(MID(TRIM(Raw_Export!B284),4,3),{"Jan","Feb","Mar","Apr","May","Jun","Jul","Aug","Sep","Oct","Nov","Dec"},0),LEFT(TRIM(Raw_Export!B284),2)))))</f>
        <v>46267</v>
      </c>
      <c r="C284" s="36" t="str">
        <f aca="false">IF(Raw_Export!$A284="","",IFERROR(VLOOKUP(LOWER(TRIM(Raw_Export!C284)),Maps!$A$2:$B$20,2,FALSE()),"UNMAPPED"))</f>
        <v>Nairobi CBD</v>
      </c>
      <c r="D284" s="36" t="str">
        <f aca="false">IF(Raw_Export!$A284="","",IFERROR(VLOOKUP(LOWER(TRIM(Raw_Export!D284)),Maps!$G$2:$I$80,2,FALSE()),"UNMAPPED"))</f>
        <v>Cooking Oil 1L</v>
      </c>
      <c r="E284" s="36" t="str">
        <f aca="false">IF(Raw_Export!$A284="","",IFERROR(VLOOKUP(LOWER(TRIM(Raw_Export!D284)),Maps!$G$2:$I$80,3,FALSE()),"UNMAPPED"))</f>
        <v>Staples</v>
      </c>
      <c r="F284" s="36" t="n">
        <f aca="false">IF(Raw_Export!$A284="","",IFERROR(VALUE(TRIM(Raw_Export!E284)),0))</f>
        <v>2</v>
      </c>
      <c r="G284" s="38" t="n">
        <f aca="false">IF(Raw_Export!$A284="","",IFERROR(VALUE(SUBSTITUTE(SUBSTITUTE(UPPER(TRIM(Raw_Export!F284)),"KES",""),",","")),0))</f>
        <v>330</v>
      </c>
      <c r="H284" s="38" t="n">
        <f aca="false">IF(Raw_Export!$A284="","",F284*G284)</f>
        <v>660</v>
      </c>
      <c r="I284" s="36" t="str">
        <f aca="false">IF(Raw_Export!$A284="","",IFERROR(VLOOKUP(LOWER(TRIM(Raw_Export!H284)),Maps!$D$2:$E$12,2,FALSE()),"Other"))</f>
        <v>M-Pesa</v>
      </c>
      <c r="J284" s="36" t="str">
        <f aca="false">IF(Raw_Export!$A284="","",IF(COUNTIF($A$2:A284,A284)&gt;1,"Duplicate",""))</f>
        <v/>
      </c>
      <c r="K284" s="36" t="str">
        <f aca="false">IF(Raw_Export!$A284="","",IF(J284="Duplicate","Duplicate",IF(OR(C284="UNMAPPED",D284="UNMAPPED"),"Unmapped",IF(F284=0,"Blank qty",IF(F284&lt;0,"Return","OK")))))</f>
        <v>OK</v>
      </c>
      <c r="L284" s="36" t="n">
        <f aca="false">IF(Raw_Export!$A284="","",IF(OR(K284="OK",K284="Return"),1,0))</f>
        <v>1</v>
      </c>
      <c r="M284" s="37" t="n">
        <f aca="false">IF(Raw_Export!$A284="","",B284-WEEKDAY(B284,2)+1)</f>
        <v>46265</v>
      </c>
    </row>
    <row r="285" customFormat="false" ht="15" hidden="false" customHeight="false" outlineLevel="0" collapsed="false">
      <c r="A285" s="36" t="str">
        <f aca="false">IF(Raw_Export!$A285="","",TRIM(Raw_Export!A285))</f>
        <v>TXN-100280</v>
      </c>
      <c r="B285" s="37" t="n">
        <f aca="false">IF(Raw_Export!$A285="","",IF(ISNUMBER(Raw_Export!B285),Raw_Export!B285,IF(MID(TRIM(Raw_Export!B285),5,1)="-",DATE(LEFT(TRIM(Raw_Export!B285),4),MID(TRIM(Raw_Export!B285),6,2),RIGHT(TRIM(Raw_Export!B285),2)),DATE(RIGHT(TRIM(Raw_Export!B285),4),MATCH(MID(TRIM(Raw_Export!B285),4,3),{"Jan","Feb","Mar","Apr","May","Jun","Jul","Aug","Sep","Oct","Nov","Dec"},0),LEFT(TRIM(Raw_Export!B285),2)))))</f>
        <v>46267</v>
      </c>
      <c r="C285" s="36" t="str">
        <f aca="false">IF(Raw_Export!$A285="","",IFERROR(VLOOKUP(LOWER(TRIM(Raw_Export!C285)),Maps!$A$2:$B$20,2,FALSE()),"UNMAPPED"))</f>
        <v>Nairobi CBD</v>
      </c>
      <c r="D285" s="36" t="str">
        <f aca="false">IF(Raw_Export!$A285="","",IFERROR(VLOOKUP(LOWER(TRIM(Raw_Export!D285)),Maps!$G$2:$I$80,2,FALSE()),"UNMAPPED"))</f>
        <v>Cooking Oil 1L</v>
      </c>
      <c r="E285" s="36" t="str">
        <f aca="false">IF(Raw_Export!$A285="","",IFERROR(VLOOKUP(LOWER(TRIM(Raw_Export!D285)),Maps!$G$2:$I$80,3,FALSE()),"UNMAPPED"))</f>
        <v>Staples</v>
      </c>
      <c r="F285" s="36" t="n">
        <f aca="false">IF(Raw_Export!$A285="","",IFERROR(VALUE(TRIM(Raw_Export!E285)),0))</f>
        <v>0</v>
      </c>
      <c r="G285" s="38" t="n">
        <f aca="false">IF(Raw_Export!$A285="","",IFERROR(VALUE(SUBSTITUTE(SUBSTITUTE(UPPER(TRIM(Raw_Export!F285)),"KES",""),",","")),0))</f>
        <v>330</v>
      </c>
      <c r="H285" s="38" t="n">
        <f aca="false">IF(Raw_Export!$A285="","",F285*G285)</f>
        <v>0</v>
      </c>
      <c r="I285" s="36" t="str">
        <f aca="false">IF(Raw_Export!$A285="","",IFERROR(VLOOKUP(LOWER(TRIM(Raw_Export!H285)),Maps!$D$2:$E$12,2,FALSE()),"Other"))</f>
        <v>M-Pesa</v>
      </c>
      <c r="J285" s="36" t="str">
        <f aca="false">IF(Raw_Export!$A285="","",IF(COUNTIF($A$2:A285,A285)&gt;1,"Duplicate",""))</f>
        <v/>
      </c>
      <c r="K285" s="36" t="str">
        <f aca="false">IF(Raw_Export!$A285="","",IF(J285="Duplicate","Duplicate",IF(OR(C285="UNMAPPED",D285="UNMAPPED"),"Unmapped",IF(F285=0,"Blank qty",IF(F285&lt;0,"Return","OK")))))</f>
        <v>Blank qty</v>
      </c>
      <c r="L285" s="36" t="n">
        <f aca="false">IF(Raw_Export!$A285="","",IF(OR(K285="OK",K285="Return"),1,0))</f>
        <v>0</v>
      </c>
      <c r="M285" s="37" t="n">
        <f aca="false">IF(Raw_Export!$A285="","",B285-WEEKDAY(B285,2)+1)</f>
        <v>46265</v>
      </c>
    </row>
    <row r="286" customFormat="false" ht="15" hidden="false" customHeight="false" outlineLevel="0" collapsed="false">
      <c r="A286" s="36" t="str">
        <f aca="false">IF(Raw_Export!$A286="","",TRIM(Raw_Export!A286))</f>
        <v>TXN-100281</v>
      </c>
      <c r="B286" s="37" t="n">
        <f aca="false">IF(Raw_Export!$A286="","",IF(ISNUMBER(Raw_Export!B286),Raw_Export!B286,IF(MID(TRIM(Raw_Export!B286),5,1)="-",DATE(LEFT(TRIM(Raw_Export!B286),4),MID(TRIM(Raw_Export!B286),6,2),RIGHT(TRIM(Raw_Export!B286),2)),DATE(RIGHT(TRIM(Raw_Export!B286),4),MATCH(MID(TRIM(Raw_Export!B286),4,3),{"Jan","Feb","Mar","Apr","May","Jun","Jul","Aug","Sep","Oct","Nov","Dec"},0),LEFT(TRIM(Raw_Export!B286),2)))))</f>
        <v>46267</v>
      </c>
      <c r="C286" s="36" t="str">
        <f aca="false">IF(Raw_Export!$A286="","",IFERROR(VLOOKUP(LOWER(TRIM(Raw_Export!C286)),Maps!$A$2:$B$20,2,FALSE()),"UNMAPPED"))</f>
        <v>Nairobi CBD</v>
      </c>
      <c r="D286" s="36" t="str">
        <f aca="false">IF(Raw_Export!$A286="","",IFERROR(VLOOKUP(LOWER(TRIM(Raw_Export!D286)),Maps!$G$2:$I$80,2,FALSE()),"UNMAPPED"))</f>
        <v>Fresh Milk 500ml</v>
      </c>
      <c r="E286" s="36" t="str">
        <f aca="false">IF(Raw_Export!$A286="","",IFERROR(VLOOKUP(LOWER(TRIM(Raw_Export!D286)),Maps!$G$2:$I$80,3,FALSE()),"UNMAPPED"))</f>
        <v>Dairy &amp; Eggs</v>
      </c>
      <c r="F286" s="36" t="n">
        <f aca="false">IF(Raw_Export!$A286="","",IFERROR(VALUE(TRIM(Raw_Export!E286)),0))</f>
        <v>6</v>
      </c>
      <c r="G286" s="38" t="n">
        <f aca="false">IF(Raw_Export!$A286="","",IFERROR(VALUE(SUBSTITUTE(SUBSTITUTE(UPPER(TRIM(Raw_Export!F286)),"KES",""),",","")),0))</f>
        <v>65</v>
      </c>
      <c r="H286" s="38" t="n">
        <f aca="false">IF(Raw_Export!$A286="","",F286*G286)</f>
        <v>390</v>
      </c>
      <c r="I286" s="36" t="str">
        <f aca="false">IF(Raw_Export!$A286="","",IFERROR(VLOOKUP(LOWER(TRIM(Raw_Export!H286)),Maps!$D$2:$E$12,2,FALSE()),"Other"))</f>
        <v>Card</v>
      </c>
      <c r="J286" s="36" t="str">
        <f aca="false">IF(Raw_Export!$A286="","",IF(COUNTIF($A$2:A286,A286)&gt;1,"Duplicate",""))</f>
        <v/>
      </c>
      <c r="K286" s="36" t="str">
        <f aca="false">IF(Raw_Export!$A286="","",IF(J286="Duplicate","Duplicate",IF(OR(C286="UNMAPPED",D286="UNMAPPED"),"Unmapped",IF(F286=0,"Blank qty",IF(F286&lt;0,"Return","OK")))))</f>
        <v>OK</v>
      </c>
      <c r="L286" s="36" t="n">
        <f aca="false">IF(Raw_Export!$A286="","",IF(OR(K286="OK",K286="Return"),1,0))</f>
        <v>1</v>
      </c>
      <c r="M286" s="37" t="n">
        <f aca="false">IF(Raw_Export!$A286="","",B286-WEEKDAY(B286,2)+1)</f>
        <v>46265</v>
      </c>
    </row>
    <row r="287" customFormat="false" ht="15" hidden="false" customHeight="false" outlineLevel="0" collapsed="false">
      <c r="A287" s="36" t="str">
        <f aca="false">IF(Raw_Export!$A287="","",TRIM(Raw_Export!A287))</f>
        <v>TXN-100282</v>
      </c>
      <c r="B287" s="37" t="n">
        <f aca="false">IF(Raw_Export!$A287="","",IF(ISNUMBER(Raw_Export!B287),Raw_Export!B287,IF(MID(TRIM(Raw_Export!B287),5,1)="-",DATE(LEFT(TRIM(Raw_Export!B287),4),MID(TRIM(Raw_Export!B287),6,2),RIGHT(TRIM(Raw_Export!B287),2)),DATE(RIGHT(TRIM(Raw_Export!B287),4),MATCH(MID(TRIM(Raw_Export!B287),4,3),{"Jan","Feb","Mar","Apr","May","Jun","Jul","Aug","Sep","Oct","Nov","Dec"},0),LEFT(TRIM(Raw_Export!B287),2)))))</f>
        <v>46267</v>
      </c>
      <c r="C287" s="36" t="str">
        <f aca="false">IF(Raw_Export!$A287="","",IFERROR(VLOOKUP(LOWER(TRIM(Raw_Export!C287)),Maps!$A$2:$B$20,2,FALSE()),"UNMAPPED"))</f>
        <v>Nairobi CBD</v>
      </c>
      <c r="D287" s="36" t="str">
        <f aca="false">IF(Raw_Export!$A287="","",IFERROR(VLOOKUP(LOWER(TRIM(Raw_Export!D287)),Maps!$G$2:$I$80,2,FALSE()),"UNMAPPED"))</f>
        <v>Matches 10pk</v>
      </c>
      <c r="E287" s="36" t="str">
        <f aca="false">IF(Raw_Export!$A287="","",IFERROR(VLOOKUP(LOWER(TRIM(Raw_Export!D287)),Maps!$G$2:$I$80,3,FALSE()),"UNMAPPED"))</f>
        <v>Household</v>
      </c>
      <c r="F287" s="36" t="n">
        <f aca="false">IF(Raw_Export!$A287="","",IFERROR(VALUE(TRIM(Raw_Export!E287)),0))</f>
        <v>1</v>
      </c>
      <c r="G287" s="38" t="n">
        <f aca="false">IF(Raw_Export!$A287="","",IFERROR(VALUE(SUBSTITUTE(SUBSTITUTE(UPPER(TRIM(Raw_Export!F287)),"KES",""),",","")),0))</f>
        <v>50</v>
      </c>
      <c r="H287" s="38" t="n">
        <f aca="false">IF(Raw_Export!$A287="","",F287*G287)</f>
        <v>50</v>
      </c>
      <c r="I287" s="36" t="str">
        <f aca="false">IF(Raw_Export!$A287="","",IFERROR(VLOOKUP(LOWER(TRIM(Raw_Export!H287)),Maps!$D$2:$E$12,2,FALSE()),"Other"))</f>
        <v>M-Pesa</v>
      </c>
      <c r="J287" s="36" t="str">
        <f aca="false">IF(Raw_Export!$A287="","",IF(COUNTIF($A$2:A287,A287)&gt;1,"Duplicate",""))</f>
        <v/>
      </c>
      <c r="K287" s="36" t="str">
        <f aca="false">IF(Raw_Export!$A287="","",IF(J287="Duplicate","Duplicate",IF(OR(C287="UNMAPPED",D287="UNMAPPED"),"Unmapped",IF(F287=0,"Blank qty",IF(F287&lt;0,"Return","OK")))))</f>
        <v>OK</v>
      </c>
      <c r="L287" s="36" t="n">
        <f aca="false">IF(Raw_Export!$A287="","",IF(OR(K287="OK",K287="Return"),1,0))</f>
        <v>1</v>
      </c>
      <c r="M287" s="37" t="n">
        <f aca="false">IF(Raw_Export!$A287="","",B287-WEEKDAY(B287,2)+1)</f>
        <v>46265</v>
      </c>
    </row>
    <row r="288" customFormat="false" ht="15" hidden="false" customHeight="false" outlineLevel="0" collapsed="false">
      <c r="A288" s="36" t="str">
        <f aca="false">IF(Raw_Export!$A288="","",TRIM(Raw_Export!A288))</f>
        <v>TXN-100283</v>
      </c>
      <c r="B288" s="37" t="n">
        <f aca="false">IF(Raw_Export!$A288="","",IF(ISNUMBER(Raw_Export!B288),Raw_Export!B288,IF(MID(TRIM(Raw_Export!B288),5,1)="-",DATE(LEFT(TRIM(Raw_Export!B288),4),MID(TRIM(Raw_Export!B288),6,2),RIGHT(TRIM(Raw_Export!B288),2)),DATE(RIGHT(TRIM(Raw_Export!B288),4),MATCH(MID(TRIM(Raw_Export!B288),4,3),{"Jan","Feb","Mar","Apr","May","Jun","Jul","Aug","Sep","Oct","Nov","Dec"},0),LEFT(TRIM(Raw_Export!B288),2)))))</f>
        <v>46267</v>
      </c>
      <c r="C288" s="36" t="str">
        <f aca="false">IF(Raw_Export!$A288="","",IFERROR(VLOOKUP(LOWER(TRIM(Raw_Export!C288)),Maps!$A$2:$B$20,2,FALSE()),"UNMAPPED"))</f>
        <v>Nairobi CBD</v>
      </c>
      <c r="D288" s="36" t="str">
        <f aca="false">IF(Raw_Export!$A288="","",IFERROR(VLOOKUP(LOWER(TRIM(Raw_Export!D288)),Maps!$G$2:$I$80,2,FALSE()),"UNMAPPED"))</f>
        <v>Bleach 1L</v>
      </c>
      <c r="E288" s="36" t="str">
        <f aca="false">IF(Raw_Export!$A288="","",IFERROR(VLOOKUP(LOWER(TRIM(Raw_Export!D288)),Maps!$G$2:$I$80,3,FALSE()),"UNMAPPED"))</f>
        <v>Household</v>
      </c>
      <c r="F288" s="36" t="n">
        <f aca="false">IF(Raw_Export!$A288="","",IFERROR(VALUE(TRIM(Raw_Export!E288)),0))</f>
        <v>4</v>
      </c>
      <c r="G288" s="38" t="n">
        <f aca="false">IF(Raw_Export!$A288="","",IFERROR(VALUE(SUBSTITUTE(SUBSTITUTE(UPPER(TRIM(Raw_Export!F288)),"KES",""),",","")),0))</f>
        <v>160</v>
      </c>
      <c r="H288" s="38" t="n">
        <f aca="false">IF(Raw_Export!$A288="","",F288*G288)</f>
        <v>640</v>
      </c>
      <c r="I288" s="36" t="str">
        <f aca="false">IF(Raw_Export!$A288="","",IFERROR(VLOOKUP(LOWER(TRIM(Raw_Export!H288)),Maps!$D$2:$E$12,2,FALSE()),"Other"))</f>
        <v>M-Pesa</v>
      </c>
      <c r="J288" s="36" t="str">
        <f aca="false">IF(Raw_Export!$A288="","",IF(COUNTIF($A$2:A288,A288)&gt;1,"Duplicate",""))</f>
        <v/>
      </c>
      <c r="K288" s="36" t="str">
        <f aca="false">IF(Raw_Export!$A288="","",IF(J288="Duplicate","Duplicate",IF(OR(C288="UNMAPPED",D288="UNMAPPED"),"Unmapped",IF(F288=0,"Blank qty",IF(F288&lt;0,"Return","OK")))))</f>
        <v>OK</v>
      </c>
      <c r="L288" s="36" t="n">
        <f aca="false">IF(Raw_Export!$A288="","",IF(OR(K288="OK",K288="Return"),1,0))</f>
        <v>1</v>
      </c>
      <c r="M288" s="37" t="n">
        <f aca="false">IF(Raw_Export!$A288="","",B288-WEEKDAY(B288,2)+1)</f>
        <v>46265</v>
      </c>
    </row>
    <row r="289" customFormat="false" ht="15" hidden="false" customHeight="false" outlineLevel="0" collapsed="false">
      <c r="A289" s="36" t="str">
        <f aca="false">IF(Raw_Export!$A289="","",TRIM(Raw_Export!A289))</f>
        <v>TXN-100284</v>
      </c>
      <c r="B289" s="37" t="n">
        <f aca="false">IF(Raw_Export!$A289="","",IF(ISNUMBER(Raw_Export!B289),Raw_Export!B289,IF(MID(TRIM(Raw_Export!B289),5,1)="-",DATE(LEFT(TRIM(Raw_Export!B289),4),MID(TRIM(Raw_Export!B289),6,2),RIGHT(TRIM(Raw_Export!B289),2)),DATE(RIGHT(TRIM(Raw_Export!B289),4),MATCH(MID(TRIM(Raw_Export!B289),4,3),{"Jan","Feb","Mar","Apr","May","Jun","Jul","Aug","Sep","Oct","Nov","Dec"},0),LEFT(TRIM(Raw_Export!B289),2)))))</f>
        <v>46267</v>
      </c>
      <c r="C289" s="36" t="str">
        <f aca="false">IF(Raw_Export!$A289="","",IFERROR(VLOOKUP(LOWER(TRIM(Raw_Export!C289)),Maps!$A$2:$B$20,2,FALSE()),"UNMAPPED"))</f>
        <v>Nairobi CBD</v>
      </c>
      <c r="D289" s="36" t="str">
        <f aca="false">IF(Raw_Export!$A289="","",IFERROR(VLOOKUP(LOWER(TRIM(Raw_Export!D289)),Maps!$G$2:$I$80,2,FALSE()),"UNMAPPED"))</f>
        <v>Juice 1L</v>
      </c>
      <c r="E289" s="36" t="str">
        <f aca="false">IF(Raw_Export!$A289="","",IFERROR(VLOOKUP(LOWER(TRIM(Raw_Export!D289)),Maps!$G$2:$I$80,3,FALSE()),"UNMAPPED"))</f>
        <v>Beverages</v>
      </c>
      <c r="F289" s="36" t="n">
        <f aca="false">IF(Raw_Export!$A289="","",IFERROR(VALUE(TRIM(Raw_Export!E289)),0))</f>
        <v>1</v>
      </c>
      <c r="G289" s="38" t="n">
        <f aca="false">IF(Raw_Export!$A289="","",IFERROR(VALUE(SUBSTITUTE(SUBSTITUTE(UPPER(TRIM(Raw_Export!F289)),"KES",""),",","")),0))</f>
        <v>210</v>
      </c>
      <c r="H289" s="38" t="n">
        <f aca="false">IF(Raw_Export!$A289="","",F289*G289)</f>
        <v>210</v>
      </c>
      <c r="I289" s="36" t="str">
        <f aca="false">IF(Raw_Export!$A289="","",IFERROR(VLOOKUP(LOWER(TRIM(Raw_Export!H289)),Maps!$D$2:$E$12,2,FALSE()),"Other"))</f>
        <v>M-Pesa</v>
      </c>
      <c r="J289" s="36" t="str">
        <f aca="false">IF(Raw_Export!$A289="","",IF(COUNTIF($A$2:A289,A289)&gt;1,"Duplicate",""))</f>
        <v/>
      </c>
      <c r="K289" s="36" t="str">
        <f aca="false">IF(Raw_Export!$A289="","",IF(J289="Duplicate","Duplicate",IF(OR(C289="UNMAPPED",D289="UNMAPPED"),"Unmapped",IF(F289=0,"Blank qty",IF(F289&lt;0,"Return","OK")))))</f>
        <v>OK</v>
      </c>
      <c r="L289" s="36" t="n">
        <f aca="false">IF(Raw_Export!$A289="","",IF(OR(K289="OK",K289="Return"),1,0))</f>
        <v>1</v>
      </c>
      <c r="M289" s="37" t="n">
        <f aca="false">IF(Raw_Export!$A289="","",B289-WEEKDAY(B289,2)+1)</f>
        <v>46265</v>
      </c>
    </row>
    <row r="290" customFormat="false" ht="15" hidden="false" customHeight="false" outlineLevel="0" collapsed="false">
      <c r="A290" s="36" t="str">
        <f aca="false">IF(Raw_Export!$A290="","",TRIM(Raw_Export!A290))</f>
        <v>TXN-100285</v>
      </c>
      <c r="B290" s="37" t="n">
        <f aca="false">IF(Raw_Export!$A290="","",IF(ISNUMBER(Raw_Export!B290),Raw_Export!B290,IF(MID(TRIM(Raw_Export!B290),5,1)="-",DATE(LEFT(TRIM(Raw_Export!B290),4),MID(TRIM(Raw_Export!B290),6,2),RIGHT(TRIM(Raw_Export!B290),2)),DATE(RIGHT(TRIM(Raw_Export!B290),4),MATCH(MID(TRIM(Raw_Export!B290),4,3),{"Jan","Feb","Mar","Apr","May","Jun","Jul","Aug","Sep","Oct","Nov","Dec"},0),LEFT(TRIM(Raw_Export!B290),2)))))</f>
        <v>46267</v>
      </c>
      <c r="C290" s="36" t="str">
        <f aca="false">IF(Raw_Export!$A290="","",IFERROR(VLOOKUP(LOWER(TRIM(Raw_Export!C290)),Maps!$A$2:$B$20,2,FALSE()),"UNMAPPED"))</f>
        <v>Nairobi CBD</v>
      </c>
      <c r="D290" s="36" t="str">
        <f aca="false">IF(Raw_Export!$A290="","",IFERROR(VLOOKUP(LOWER(TRIM(Raw_Export!D290)),Maps!$G$2:$I$80,2,FALSE()),"UNMAPPED"))</f>
        <v>Cooking Oil 1L</v>
      </c>
      <c r="E290" s="36" t="str">
        <f aca="false">IF(Raw_Export!$A290="","",IFERROR(VLOOKUP(LOWER(TRIM(Raw_Export!D290)),Maps!$G$2:$I$80,3,FALSE()),"UNMAPPED"))</f>
        <v>Staples</v>
      </c>
      <c r="F290" s="36" t="n">
        <f aca="false">IF(Raw_Export!$A290="","",IFERROR(VALUE(TRIM(Raw_Export!E290)),0))</f>
        <v>2</v>
      </c>
      <c r="G290" s="38" t="n">
        <f aca="false">IF(Raw_Export!$A290="","",IFERROR(VALUE(SUBSTITUTE(SUBSTITUTE(UPPER(TRIM(Raw_Export!F290)),"KES",""),",","")),0))</f>
        <v>330</v>
      </c>
      <c r="H290" s="38" t="n">
        <f aca="false">IF(Raw_Export!$A290="","",F290*G290)</f>
        <v>660</v>
      </c>
      <c r="I290" s="36" t="str">
        <f aca="false">IF(Raw_Export!$A290="","",IFERROR(VLOOKUP(LOWER(TRIM(Raw_Export!H290)),Maps!$D$2:$E$12,2,FALSE()),"Other"))</f>
        <v>M-Pesa</v>
      </c>
      <c r="J290" s="36" t="str">
        <f aca="false">IF(Raw_Export!$A290="","",IF(COUNTIF($A$2:A290,A290)&gt;1,"Duplicate",""))</f>
        <v/>
      </c>
      <c r="K290" s="36" t="str">
        <f aca="false">IF(Raw_Export!$A290="","",IF(J290="Duplicate","Duplicate",IF(OR(C290="UNMAPPED",D290="UNMAPPED"),"Unmapped",IF(F290=0,"Blank qty",IF(F290&lt;0,"Return","OK")))))</f>
        <v>OK</v>
      </c>
      <c r="L290" s="36" t="n">
        <f aca="false">IF(Raw_Export!$A290="","",IF(OR(K290="OK",K290="Return"),1,0))</f>
        <v>1</v>
      </c>
      <c r="M290" s="37" t="n">
        <f aca="false">IF(Raw_Export!$A290="","",B290-WEEKDAY(B290,2)+1)</f>
        <v>46265</v>
      </c>
    </row>
    <row r="291" customFormat="false" ht="15" hidden="false" customHeight="false" outlineLevel="0" collapsed="false">
      <c r="A291" s="36" t="str">
        <f aca="false">IF(Raw_Export!$A291="","",TRIM(Raw_Export!A291))</f>
        <v>TXN-100286</v>
      </c>
      <c r="B291" s="37" t="n">
        <f aca="false">IF(Raw_Export!$A291="","",IF(ISNUMBER(Raw_Export!B291),Raw_Export!B291,IF(MID(TRIM(Raw_Export!B291),5,1)="-",DATE(LEFT(TRIM(Raw_Export!B291),4),MID(TRIM(Raw_Export!B291),6,2),RIGHT(TRIM(Raw_Export!B291),2)),DATE(RIGHT(TRIM(Raw_Export!B291),4),MATCH(MID(TRIM(Raw_Export!B291),4,3),{"Jan","Feb","Mar","Apr","May","Jun","Jul","Aug","Sep","Oct","Nov","Dec"},0),LEFT(TRIM(Raw_Export!B291),2)))))</f>
        <v>46267</v>
      </c>
      <c r="C291" s="36" t="str">
        <f aca="false">IF(Raw_Export!$A291="","",IFERROR(VLOOKUP(LOWER(TRIM(Raw_Export!C291)),Maps!$A$2:$B$20,2,FALSE()),"UNMAPPED"))</f>
        <v>Westlands</v>
      </c>
      <c r="D291" s="36" t="str">
        <f aca="false">IF(Raw_Export!$A291="","",IFERROR(VLOOKUP(LOWER(TRIM(Raw_Export!D291)),Maps!$G$2:$I$80,2,FALSE()),"UNMAPPED"))</f>
        <v>Unga Pembe 2kg</v>
      </c>
      <c r="E291" s="36" t="str">
        <f aca="false">IF(Raw_Export!$A291="","",IFERROR(VLOOKUP(LOWER(TRIM(Raw_Export!D291)),Maps!$G$2:$I$80,3,FALSE()),"UNMAPPED"))</f>
        <v>Staples</v>
      </c>
      <c r="F291" s="36" t="n">
        <f aca="false">IF(Raw_Export!$A291="","",IFERROR(VALUE(TRIM(Raw_Export!E291)),0))</f>
        <v>1</v>
      </c>
      <c r="G291" s="38" t="n">
        <f aca="false">IF(Raw_Export!$A291="","",IFERROR(VALUE(SUBSTITUTE(SUBSTITUTE(UPPER(TRIM(Raw_Export!F291)),"KES",""),",","")),0))</f>
        <v>190</v>
      </c>
      <c r="H291" s="38" t="n">
        <f aca="false">IF(Raw_Export!$A291="","",F291*G291)</f>
        <v>190</v>
      </c>
      <c r="I291" s="36" t="str">
        <f aca="false">IF(Raw_Export!$A291="","",IFERROR(VLOOKUP(LOWER(TRIM(Raw_Export!H291)),Maps!$D$2:$E$12,2,FALSE()),"Other"))</f>
        <v>Cash</v>
      </c>
      <c r="J291" s="36" t="str">
        <f aca="false">IF(Raw_Export!$A291="","",IF(COUNTIF($A$2:A291,A291)&gt;1,"Duplicate",""))</f>
        <v/>
      </c>
      <c r="K291" s="36" t="str">
        <f aca="false">IF(Raw_Export!$A291="","",IF(J291="Duplicate","Duplicate",IF(OR(C291="UNMAPPED",D291="UNMAPPED"),"Unmapped",IF(F291=0,"Blank qty",IF(F291&lt;0,"Return","OK")))))</f>
        <v>OK</v>
      </c>
      <c r="L291" s="36" t="n">
        <f aca="false">IF(Raw_Export!$A291="","",IF(OR(K291="OK",K291="Return"),1,0))</f>
        <v>1</v>
      </c>
      <c r="M291" s="37" t="n">
        <f aca="false">IF(Raw_Export!$A291="","",B291-WEEKDAY(B291,2)+1)</f>
        <v>46265</v>
      </c>
    </row>
    <row r="292" customFormat="false" ht="15" hidden="false" customHeight="false" outlineLevel="0" collapsed="false">
      <c r="A292" s="36" t="str">
        <f aca="false">IF(Raw_Export!$A292="","",TRIM(Raw_Export!A292))</f>
        <v>TXN-100287</v>
      </c>
      <c r="B292" s="37" t="n">
        <f aca="false">IF(Raw_Export!$A292="","",IF(ISNUMBER(Raw_Export!B292),Raw_Export!B292,IF(MID(TRIM(Raw_Export!B292),5,1)="-",DATE(LEFT(TRIM(Raw_Export!B292),4),MID(TRIM(Raw_Export!B292),6,2),RIGHT(TRIM(Raw_Export!B292),2)),DATE(RIGHT(TRIM(Raw_Export!B292),4),MATCH(MID(TRIM(Raw_Export!B292),4,3),{"Jan","Feb","Mar","Apr","May","Jun","Jul","Aug","Sep","Oct","Nov","Dec"},0),LEFT(TRIM(Raw_Export!B292),2)))))</f>
        <v>46267</v>
      </c>
      <c r="C292" s="36" t="str">
        <f aca="false">IF(Raw_Export!$A292="","",IFERROR(VLOOKUP(LOWER(TRIM(Raw_Export!C292)),Maps!$A$2:$B$20,2,FALSE()),"UNMAPPED"))</f>
        <v>Westlands</v>
      </c>
      <c r="D292" s="36" t="str">
        <f aca="false">IF(Raw_Export!$A292="","",IFERROR(VLOOKUP(LOWER(TRIM(Raw_Export!D292)),Maps!$G$2:$I$80,2,FALSE()),"UNMAPPED"))</f>
        <v>Crisps 100g</v>
      </c>
      <c r="E292" s="36" t="str">
        <f aca="false">IF(Raw_Export!$A292="","",IFERROR(VLOOKUP(LOWER(TRIM(Raw_Export!D292)),Maps!$G$2:$I$80,3,FALSE()),"UNMAPPED"))</f>
        <v>Snacks</v>
      </c>
      <c r="F292" s="36" t="n">
        <f aca="false">IF(Raw_Export!$A292="","",IFERROR(VALUE(TRIM(Raw_Export!E292)),0))</f>
        <v>2</v>
      </c>
      <c r="G292" s="38" t="n">
        <f aca="false">IF(Raw_Export!$A292="","",IFERROR(VALUE(SUBSTITUTE(SUBSTITUTE(UPPER(TRIM(Raw_Export!F292)),"KES",""),",","")),0))</f>
        <v>80</v>
      </c>
      <c r="H292" s="38" t="n">
        <f aca="false">IF(Raw_Export!$A292="","",F292*G292)</f>
        <v>160</v>
      </c>
      <c r="I292" s="36" t="str">
        <f aca="false">IF(Raw_Export!$A292="","",IFERROR(VLOOKUP(LOWER(TRIM(Raw_Export!H292)),Maps!$D$2:$E$12,2,FALSE()),"Other"))</f>
        <v>Card</v>
      </c>
      <c r="J292" s="36" t="str">
        <f aca="false">IF(Raw_Export!$A292="","",IF(COUNTIF($A$2:A292,A292)&gt;1,"Duplicate",""))</f>
        <v/>
      </c>
      <c r="K292" s="36" t="str">
        <f aca="false">IF(Raw_Export!$A292="","",IF(J292="Duplicate","Duplicate",IF(OR(C292="UNMAPPED",D292="UNMAPPED"),"Unmapped",IF(F292=0,"Blank qty",IF(F292&lt;0,"Return","OK")))))</f>
        <v>OK</v>
      </c>
      <c r="L292" s="36" t="n">
        <f aca="false">IF(Raw_Export!$A292="","",IF(OR(K292="OK",K292="Return"),1,0))</f>
        <v>1</v>
      </c>
      <c r="M292" s="37" t="n">
        <f aca="false">IF(Raw_Export!$A292="","",B292-WEEKDAY(B292,2)+1)</f>
        <v>46265</v>
      </c>
    </row>
    <row r="293" customFormat="false" ht="15" hidden="false" customHeight="false" outlineLevel="0" collapsed="false">
      <c r="A293" s="36" t="str">
        <f aca="false">IF(Raw_Export!$A293="","",TRIM(Raw_Export!A293))</f>
        <v>TXN-100288</v>
      </c>
      <c r="B293" s="37" t="n">
        <f aca="false">IF(Raw_Export!$A293="","",IF(ISNUMBER(Raw_Export!B293),Raw_Export!B293,IF(MID(TRIM(Raw_Export!B293),5,1)="-",DATE(LEFT(TRIM(Raw_Export!B293),4),MID(TRIM(Raw_Export!B293),6,2),RIGHT(TRIM(Raw_Export!B293),2)),DATE(RIGHT(TRIM(Raw_Export!B293),4),MATCH(MID(TRIM(Raw_Export!B293),4,3),{"Jan","Feb","Mar","Apr","May","Jun","Jul","Aug","Sep","Oct","Nov","Dec"},0),LEFT(TRIM(Raw_Export!B293),2)))))</f>
        <v>46267</v>
      </c>
      <c r="C293" s="36" t="str">
        <f aca="false">IF(Raw_Export!$A293="","",IFERROR(VLOOKUP(LOWER(TRIM(Raw_Export!C293)),Maps!$A$2:$B$20,2,FALSE()),"UNMAPPED"))</f>
        <v>Westlands</v>
      </c>
      <c r="D293" s="36" t="str">
        <f aca="false">IF(Raw_Export!$A293="","",IFERROR(VLOOKUP(LOWER(TRIM(Raw_Export!D293)),Maps!$G$2:$I$80,2,FALSE()),"UNMAPPED"))</f>
        <v>Washing Powder 1kg</v>
      </c>
      <c r="E293" s="36" t="str">
        <f aca="false">IF(Raw_Export!$A293="","",IFERROR(VLOOKUP(LOWER(TRIM(Raw_Export!D293)),Maps!$G$2:$I$80,3,FALSE()),"UNMAPPED"))</f>
        <v>Household</v>
      </c>
      <c r="F293" s="36" t="n">
        <f aca="false">IF(Raw_Export!$A293="","",IFERROR(VALUE(TRIM(Raw_Export!E293)),0))</f>
        <v>1</v>
      </c>
      <c r="G293" s="38" t="n">
        <f aca="false">IF(Raw_Export!$A293="","",IFERROR(VALUE(SUBSTITUTE(SUBSTITUTE(UPPER(TRIM(Raw_Export!F293)),"KES",""),",","")),0))</f>
        <v>280</v>
      </c>
      <c r="H293" s="38" t="n">
        <f aca="false">IF(Raw_Export!$A293="","",F293*G293)</f>
        <v>280</v>
      </c>
      <c r="I293" s="36" t="str">
        <f aca="false">IF(Raw_Export!$A293="","",IFERROR(VLOOKUP(LOWER(TRIM(Raw_Export!H293)),Maps!$D$2:$E$12,2,FALSE()),"Other"))</f>
        <v>M-Pesa</v>
      </c>
      <c r="J293" s="36" t="str">
        <f aca="false">IF(Raw_Export!$A293="","",IF(COUNTIF($A$2:A293,A293)&gt;1,"Duplicate",""))</f>
        <v/>
      </c>
      <c r="K293" s="36" t="str">
        <f aca="false">IF(Raw_Export!$A293="","",IF(J293="Duplicate","Duplicate",IF(OR(C293="UNMAPPED",D293="UNMAPPED"),"Unmapped",IF(F293=0,"Blank qty",IF(F293&lt;0,"Return","OK")))))</f>
        <v>OK</v>
      </c>
      <c r="L293" s="36" t="n">
        <f aca="false">IF(Raw_Export!$A293="","",IF(OR(K293="OK",K293="Return"),1,0))</f>
        <v>1</v>
      </c>
      <c r="M293" s="37" t="n">
        <f aca="false">IF(Raw_Export!$A293="","",B293-WEEKDAY(B293,2)+1)</f>
        <v>46265</v>
      </c>
    </row>
    <row r="294" customFormat="false" ht="15" hidden="false" customHeight="false" outlineLevel="0" collapsed="false">
      <c r="A294" s="36" t="str">
        <f aca="false">IF(Raw_Export!$A294="","",TRIM(Raw_Export!A294))</f>
        <v>TXN-100289</v>
      </c>
      <c r="B294" s="37" t="n">
        <f aca="false">IF(Raw_Export!$A294="","",IF(ISNUMBER(Raw_Export!B294),Raw_Export!B294,IF(MID(TRIM(Raw_Export!B294),5,1)="-",DATE(LEFT(TRIM(Raw_Export!B294),4),MID(TRIM(Raw_Export!B294),6,2),RIGHT(TRIM(Raw_Export!B294),2)),DATE(RIGHT(TRIM(Raw_Export!B294),4),MATCH(MID(TRIM(Raw_Export!B294),4,3),{"Jan","Feb","Mar","Apr","May","Jun","Jul","Aug","Sep","Oct","Nov","Dec"},0),LEFT(TRIM(Raw_Export!B294),2)))))</f>
        <v>46267</v>
      </c>
      <c r="C294" s="36" t="str">
        <f aca="false">IF(Raw_Export!$A294="","",IFERROR(VLOOKUP(LOWER(TRIM(Raw_Export!C294)),Maps!$A$2:$B$20,2,FALSE()),"UNMAPPED"))</f>
        <v>Westlands</v>
      </c>
      <c r="D294" s="36" t="str">
        <f aca="false">IF(Raw_Export!$A294="","",IFERROR(VLOOKUP(LOWER(TRIM(Raw_Export!D294)),Maps!$G$2:$I$80,2,FALSE()),"UNMAPPED"))</f>
        <v>Soda 500ml</v>
      </c>
      <c r="E294" s="36" t="str">
        <f aca="false">IF(Raw_Export!$A294="","",IFERROR(VLOOKUP(LOWER(TRIM(Raw_Export!D294)),Maps!$G$2:$I$80,3,FALSE()),"UNMAPPED"))</f>
        <v>Beverages</v>
      </c>
      <c r="F294" s="36" t="n">
        <f aca="false">IF(Raw_Export!$A294="","",IFERROR(VALUE(TRIM(Raw_Export!E294)),0))</f>
        <v>2</v>
      </c>
      <c r="G294" s="38" t="n">
        <f aca="false">IF(Raw_Export!$A294="","",IFERROR(VALUE(SUBSTITUTE(SUBSTITUTE(UPPER(TRIM(Raw_Export!F294)),"KES",""),",","")),0))</f>
        <v>60</v>
      </c>
      <c r="H294" s="38" t="n">
        <f aca="false">IF(Raw_Export!$A294="","",F294*G294)</f>
        <v>120</v>
      </c>
      <c r="I294" s="36" t="str">
        <f aca="false">IF(Raw_Export!$A294="","",IFERROR(VLOOKUP(LOWER(TRIM(Raw_Export!H294)),Maps!$D$2:$E$12,2,FALSE()),"Other"))</f>
        <v>M-Pesa</v>
      </c>
      <c r="J294" s="36" t="str">
        <f aca="false">IF(Raw_Export!$A294="","",IF(COUNTIF($A$2:A294,A294)&gt;1,"Duplicate",""))</f>
        <v/>
      </c>
      <c r="K294" s="36" t="str">
        <f aca="false">IF(Raw_Export!$A294="","",IF(J294="Duplicate","Duplicate",IF(OR(C294="UNMAPPED",D294="UNMAPPED"),"Unmapped",IF(F294=0,"Blank qty",IF(F294&lt;0,"Return","OK")))))</f>
        <v>OK</v>
      </c>
      <c r="L294" s="36" t="n">
        <f aca="false">IF(Raw_Export!$A294="","",IF(OR(K294="OK",K294="Return"),1,0))</f>
        <v>1</v>
      </c>
      <c r="M294" s="37" t="n">
        <f aca="false">IF(Raw_Export!$A294="","",B294-WEEKDAY(B294,2)+1)</f>
        <v>46265</v>
      </c>
    </row>
    <row r="295" customFormat="false" ht="15" hidden="false" customHeight="false" outlineLevel="0" collapsed="false">
      <c r="A295" s="36" t="str">
        <f aca="false">IF(Raw_Export!$A295="","",TRIM(Raw_Export!A295))</f>
        <v>TXN-100290</v>
      </c>
      <c r="B295" s="37" t="n">
        <f aca="false">IF(Raw_Export!$A295="","",IF(ISNUMBER(Raw_Export!B295),Raw_Export!B295,IF(MID(TRIM(Raw_Export!B295),5,1)="-",DATE(LEFT(TRIM(Raw_Export!B295),4),MID(TRIM(Raw_Export!B295),6,2),RIGHT(TRIM(Raw_Export!B295),2)),DATE(RIGHT(TRIM(Raw_Export!B295),4),MATCH(MID(TRIM(Raw_Export!B295),4,3),{"Jan","Feb","Mar","Apr","May","Jun","Jul","Aug","Sep","Oct","Nov","Dec"},0),LEFT(TRIM(Raw_Export!B295),2)))))</f>
        <v>46267</v>
      </c>
      <c r="C295" s="36" t="str">
        <f aca="false">IF(Raw_Export!$A295="","",IFERROR(VLOOKUP(LOWER(TRIM(Raw_Export!C295)),Maps!$A$2:$B$20,2,FALSE()),"UNMAPPED"))</f>
        <v>Westlands</v>
      </c>
      <c r="D295" s="36" t="str">
        <f aca="false">IF(Raw_Export!$A295="","",IFERROR(VLOOKUP(LOWER(TRIM(Raw_Export!D295)),Maps!$G$2:$I$80,2,FALSE()),"UNMAPPED"))</f>
        <v>Matches 10pk</v>
      </c>
      <c r="E295" s="36" t="str">
        <f aca="false">IF(Raw_Export!$A295="","",IFERROR(VLOOKUP(LOWER(TRIM(Raw_Export!D295)),Maps!$G$2:$I$80,3,FALSE()),"UNMAPPED"))</f>
        <v>Household</v>
      </c>
      <c r="F295" s="36" t="n">
        <f aca="false">IF(Raw_Export!$A295="","",IFERROR(VALUE(TRIM(Raw_Export!E295)),0))</f>
        <v>2</v>
      </c>
      <c r="G295" s="38" t="n">
        <f aca="false">IF(Raw_Export!$A295="","",IFERROR(VALUE(SUBSTITUTE(SUBSTITUTE(UPPER(TRIM(Raw_Export!F295)),"KES",""),",","")),0))</f>
        <v>50</v>
      </c>
      <c r="H295" s="38" t="n">
        <f aca="false">IF(Raw_Export!$A295="","",F295*G295)</f>
        <v>100</v>
      </c>
      <c r="I295" s="36" t="str">
        <f aca="false">IF(Raw_Export!$A295="","",IFERROR(VLOOKUP(LOWER(TRIM(Raw_Export!H295)),Maps!$D$2:$E$12,2,FALSE()),"Other"))</f>
        <v>M-Pesa</v>
      </c>
      <c r="J295" s="36" t="str">
        <f aca="false">IF(Raw_Export!$A295="","",IF(COUNTIF($A$2:A295,A295)&gt;1,"Duplicate",""))</f>
        <v/>
      </c>
      <c r="K295" s="36" t="str">
        <f aca="false">IF(Raw_Export!$A295="","",IF(J295="Duplicate","Duplicate",IF(OR(C295="UNMAPPED",D295="UNMAPPED"),"Unmapped",IF(F295=0,"Blank qty",IF(F295&lt;0,"Return","OK")))))</f>
        <v>OK</v>
      </c>
      <c r="L295" s="36" t="n">
        <f aca="false">IF(Raw_Export!$A295="","",IF(OR(K295="OK",K295="Return"),1,0))</f>
        <v>1</v>
      </c>
      <c r="M295" s="37" t="n">
        <f aca="false">IF(Raw_Export!$A295="","",B295-WEEKDAY(B295,2)+1)</f>
        <v>46265</v>
      </c>
    </row>
    <row r="296" customFormat="false" ht="15" hidden="false" customHeight="false" outlineLevel="0" collapsed="false">
      <c r="A296" s="36" t="str">
        <f aca="false">IF(Raw_Export!$A296="","",TRIM(Raw_Export!A296))</f>
        <v>TXN-100291</v>
      </c>
      <c r="B296" s="37" t="n">
        <f aca="false">IF(Raw_Export!$A296="","",IF(ISNUMBER(Raw_Export!B296),Raw_Export!B296,IF(MID(TRIM(Raw_Export!B296),5,1)="-",DATE(LEFT(TRIM(Raw_Export!B296),4),MID(TRIM(Raw_Export!B296),6,2),RIGHT(TRIM(Raw_Export!B296),2)),DATE(RIGHT(TRIM(Raw_Export!B296),4),MATCH(MID(TRIM(Raw_Export!B296),4,3),{"Jan","Feb","Mar","Apr","May","Jun","Jul","Aug","Sep","Oct","Nov","Dec"},0),LEFT(TRIM(Raw_Export!B296),2)))))</f>
        <v>46267</v>
      </c>
      <c r="C296" s="36" t="str">
        <f aca="false">IF(Raw_Export!$A296="","",IFERROR(VLOOKUP(LOWER(TRIM(Raw_Export!C296)),Maps!$A$2:$B$20,2,FALSE()),"UNMAPPED"))</f>
        <v>Westlands</v>
      </c>
      <c r="D296" s="36" t="str">
        <f aca="false">IF(Raw_Export!$A296="","",IFERROR(VLOOKUP(LOWER(TRIM(Raw_Export!D296)),Maps!$G$2:$I$80,2,FALSE()),"UNMAPPED"))</f>
        <v>Unga Pembe 2kg</v>
      </c>
      <c r="E296" s="36" t="str">
        <f aca="false">IF(Raw_Export!$A296="","",IFERROR(VLOOKUP(LOWER(TRIM(Raw_Export!D296)),Maps!$G$2:$I$80,3,FALSE()),"UNMAPPED"))</f>
        <v>Staples</v>
      </c>
      <c r="F296" s="36" t="n">
        <f aca="false">IF(Raw_Export!$A296="","",IFERROR(VALUE(TRIM(Raw_Export!E296)),0))</f>
        <v>2</v>
      </c>
      <c r="G296" s="38" t="n">
        <f aca="false">IF(Raw_Export!$A296="","",IFERROR(VALUE(SUBSTITUTE(SUBSTITUTE(UPPER(TRIM(Raw_Export!F296)),"KES",""),",","")),0))</f>
        <v>190</v>
      </c>
      <c r="H296" s="38" t="n">
        <f aca="false">IF(Raw_Export!$A296="","",F296*G296)</f>
        <v>380</v>
      </c>
      <c r="I296" s="36" t="str">
        <f aca="false">IF(Raw_Export!$A296="","",IFERROR(VLOOKUP(LOWER(TRIM(Raw_Export!H296)),Maps!$D$2:$E$12,2,FALSE()),"Other"))</f>
        <v>Cash</v>
      </c>
      <c r="J296" s="36" t="str">
        <f aca="false">IF(Raw_Export!$A296="","",IF(COUNTIF($A$2:A296,A296)&gt;1,"Duplicate",""))</f>
        <v/>
      </c>
      <c r="K296" s="36" t="str">
        <f aca="false">IF(Raw_Export!$A296="","",IF(J296="Duplicate","Duplicate",IF(OR(C296="UNMAPPED",D296="UNMAPPED"),"Unmapped",IF(F296=0,"Blank qty",IF(F296&lt;0,"Return","OK")))))</f>
        <v>OK</v>
      </c>
      <c r="L296" s="36" t="n">
        <f aca="false">IF(Raw_Export!$A296="","",IF(OR(K296="OK",K296="Return"),1,0))</f>
        <v>1</v>
      </c>
      <c r="M296" s="37" t="n">
        <f aca="false">IF(Raw_Export!$A296="","",B296-WEEKDAY(B296,2)+1)</f>
        <v>46265</v>
      </c>
    </row>
    <row r="297" customFormat="false" ht="15" hidden="false" customHeight="false" outlineLevel="0" collapsed="false">
      <c r="A297" s="36" t="str">
        <f aca="false">IF(Raw_Export!$A297="","",TRIM(Raw_Export!A297))</f>
        <v>TXN-100292</v>
      </c>
      <c r="B297" s="37" t="n">
        <f aca="false">IF(Raw_Export!$A297="","",IF(ISNUMBER(Raw_Export!B297),Raw_Export!B297,IF(MID(TRIM(Raw_Export!B297),5,1)="-",DATE(LEFT(TRIM(Raw_Export!B297),4),MID(TRIM(Raw_Export!B297),6,2),RIGHT(TRIM(Raw_Export!B297),2)),DATE(RIGHT(TRIM(Raw_Export!B297),4),MATCH(MID(TRIM(Raw_Export!B297),4,3),{"Jan","Feb","Mar","Apr","May","Jun","Jul","Aug","Sep","Oct","Nov","Dec"},0),LEFT(TRIM(Raw_Export!B297),2)))))</f>
        <v>46267</v>
      </c>
      <c r="C297" s="36" t="str">
        <f aca="false">IF(Raw_Export!$A297="","",IFERROR(VLOOKUP(LOWER(TRIM(Raw_Export!C297)),Maps!$A$2:$B$20,2,FALSE()),"UNMAPPED"))</f>
        <v>Westlands</v>
      </c>
      <c r="D297" s="36" t="str">
        <f aca="false">IF(Raw_Export!$A297="","",IFERROR(VLOOKUP(LOWER(TRIM(Raw_Export!D297)),Maps!$G$2:$I$80,2,FALSE()),"UNMAPPED"))</f>
        <v>Coffee 100g</v>
      </c>
      <c r="E297" s="36" t="str">
        <f aca="false">IF(Raw_Export!$A297="","",IFERROR(VLOOKUP(LOWER(TRIM(Raw_Export!D297)),Maps!$G$2:$I$80,3,FALSE()),"UNMAPPED"))</f>
        <v>Beverages</v>
      </c>
      <c r="F297" s="36" t="n">
        <f aca="false">IF(Raw_Export!$A297="","",IFERROR(VALUE(TRIM(Raw_Export!E297)),0))</f>
        <v>1</v>
      </c>
      <c r="G297" s="38" t="n">
        <f aca="false">IF(Raw_Export!$A297="","",IFERROR(VALUE(SUBSTITUTE(SUBSTITUTE(UPPER(TRIM(Raw_Export!F297)),"KES",""),",","")),0))</f>
        <v>360</v>
      </c>
      <c r="H297" s="38" t="n">
        <f aca="false">IF(Raw_Export!$A297="","",F297*G297)</f>
        <v>360</v>
      </c>
      <c r="I297" s="36" t="str">
        <f aca="false">IF(Raw_Export!$A297="","",IFERROR(VLOOKUP(LOWER(TRIM(Raw_Export!H297)),Maps!$D$2:$E$12,2,FALSE()),"Other"))</f>
        <v>Cash</v>
      </c>
      <c r="J297" s="36" t="str">
        <f aca="false">IF(Raw_Export!$A297="","",IF(COUNTIF($A$2:A297,A297)&gt;1,"Duplicate",""))</f>
        <v/>
      </c>
      <c r="K297" s="36" t="str">
        <f aca="false">IF(Raw_Export!$A297="","",IF(J297="Duplicate","Duplicate",IF(OR(C297="UNMAPPED",D297="UNMAPPED"),"Unmapped",IF(F297=0,"Blank qty",IF(F297&lt;0,"Return","OK")))))</f>
        <v>OK</v>
      </c>
      <c r="L297" s="36" t="n">
        <f aca="false">IF(Raw_Export!$A297="","",IF(OR(K297="OK",K297="Return"),1,0))</f>
        <v>1</v>
      </c>
      <c r="M297" s="37" t="n">
        <f aca="false">IF(Raw_Export!$A297="","",B297-WEEKDAY(B297,2)+1)</f>
        <v>46265</v>
      </c>
    </row>
    <row r="298" customFormat="false" ht="15" hidden="false" customHeight="false" outlineLevel="0" collapsed="false">
      <c r="A298" s="36" t="str">
        <f aca="false">IF(Raw_Export!$A298="","",TRIM(Raw_Export!A298))</f>
        <v>TXN-100293</v>
      </c>
      <c r="B298" s="37" t="n">
        <f aca="false">IF(Raw_Export!$A298="","",IF(ISNUMBER(Raw_Export!B298),Raw_Export!B298,IF(MID(TRIM(Raw_Export!B298),5,1)="-",DATE(LEFT(TRIM(Raw_Export!B298),4),MID(TRIM(Raw_Export!B298),6,2),RIGHT(TRIM(Raw_Export!B298),2)),DATE(RIGHT(TRIM(Raw_Export!B298),4),MATCH(MID(TRIM(Raw_Export!B298),4,3),{"Jan","Feb","Mar","Apr","May","Jun","Jul","Aug","Sep","Oct","Nov","Dec"},0),LEFT(TRIM(Raw_Export!B298),2)))))</f>
        <v>46267</v>
      </c>
      <c r="C298" s="36" t="str">
        <f aca="false">IF(Raw_Export!$A298="","",IFERROR(VLOOKUP(LOWER(TRIM(Raw_Export!C298)),Maps!$A$2:$B$20,2,FALSE()),"UNMAPPED"))</f>
        <v>Westlands</v>
      </c>
      <c r="D298" s="36" t="str">
        <f aca="false">IF(Raw_Export!$A298="","",IFERROR(VLOOKUP(LOWER(TRIM(Raw_Export!D298)),Maps!$G$2:$I$80,2,FALSE()),"UNMAPPED"))</f>
        <v>Salt 500g</v>
      </c>
      <c r="E298" s="36" t="str">
        <f aca="false">IF(Raw_Export!$A298="","",IFERROR(VLOOKUP(LOWER(TRIM(Raw_Export!D298)),Maps!$G$2:$I$80,3,FALSE()),"UNMAPPED"))</f>
        <v>Staples</v>
      </c>
      <c r="F298" s="36" t="n">
        <f aca="false">IF(Raw_Export!$A298="","",IFERROR(VALUE(TRIM(Raw_Export!E298)),0))</f>
        <v>4</v>
      </c>
      <c r="G298" s="38" t="n">
        <f aca="false">IF(Raw_Export!$A298="","",IFERROR(VALUE(SUBSTITUTE(SUBSTITUTE(UPPER(TRIM(Raw_Export!F298)),"KES",""),",","")),0))</f>
        <v>40</v>
      </c>
      <c r="H298" s="38" t="n">
        <f aca="false">IF(Raw_Export!$A298="","",F298*G298)</f>
        <v>160</v>
      </c>
      <c r="I298" s="36" t="str">
        <f aca="false">IF(Raw_Export!$A298="","",IFERROR(VLOOKUP(LOWER(TRIM(Raw_Export!H298)),Maps!$D$2:$E$12,2,FALSE()),"Other"))</f>
        <v>Cash</v>
      </c>
      <c r="J298" s="36" t="str">
        <f aca="false">IF(Raw_Export!$A298="","",IF(COUNTIF($A$2:A298,A298)&gt;1,"Duplicate",""))</f>
        <v/>
      </c>
      <c r="K298" s="36" t="str">
        <f aca="false">IF(Raw_Export!$A298="","",IF(J298="Duplicate","Duplicate",IF(OR(C298="UNMAPPED",D298="UNMAPPED"),"Unmapped",IF(F298=0,"Blank qty",IF(F298&lt;0,"Return","OK")))))</f>
        <v>OK</v>
      </c>
      <c r="L298" s="36" t="n">
        <f aca="false">IF(Raw_Export!$A298="","",IF(OR(K298="OK",K298="Return"),1,0))</f>
        <v>1</v>
      </c>
      <c r="M298" s="37" t="n">
        <f aca="false">IF(Raw_Export!$A298="","",B298-WEEKDAY(B298,2)+1)</f>
        <v>46265</v>
      </c>
    </row>
    <row r="299" customFormat="false" ht="15" hidden="false" customHeight="false" outlineLevel="0" collapsed="false">
      <c r="A299" s="36" t="str">
        <f aca="false">IF(Raw_Export!$A299="","",TRIM(Raw_Export!A299))</f>
        <v>TXN-100294</v>
      </c>
      <c r="B299" s="37" t="n">
        <f aca="false">IF(Raw_Export!$A299="","",IF(ISNUMBER(Raw_Export!B299),Raw_Export!B299,IF(MID(TRIM(Raw_Export!B299),5,1)="-",DATE(LEFT(TRIM(Raw_Export!B299),4),MID(TRIM(Raw_Export!B299),6,2),RIGHT(TRIM(Raw_Export!B299),2)),DATE(RIGHT(TRIM(Raw_Export!B299),4),MATCH(MID(TRIM(Raw_Export!B299),4,3),{"Jan","Feb","Mar","Apr","May","Jun","Jul","Aug","Sep","Oct","Nov","Dec"},0),LEFT(TRIM(Raw_Export!B299),2)))))</f>
        <v>46267</v>
      </c>
      <c r="C299" s="36" t="str">
        <f aca="false">IF(Raw_Export!$A299="","",IFERROR(VLOOKUP(LOWER(TRIM(Raw_Export!C299)),Maps!$A$2:$B$20,2,FALSE()),"UNMAPPED"))</f>
        <v>Westlands</v>
      </c>
      <c r="D299" s="36" t="str">
        <f aca="false">IF(Raw_Export!$A299="","",IFERROR(VLOOKUP(LOWER(TRIM(Raw_Export!D299)),Maps!$G$2:$I$80,2,FALSE()),"UNMAPPED"))</f>
        <v>Tea Leaves 250g</v>
      </c>
      <c r="E299" s="36" t="str">
        <f aca="false">IF(Raw_Export!$A299="","",IFERROR(VLOOKUP(LOWER(TRIM(Raw_Export!D299)),Maps!$G$2:$I$80,3,FALSE()),"UNMAPPED"))</f>
        <v>Beverages</v>
      </c>
      <c r="F299" s="36" t="n">
        <f aca="false">IF(Raw_Export!$A299="","",IFERROR(VALUE(TRIM(Raw_Export!E299)),0))</f>
        <v>1</v>
      </c>
      <c r="G299" s="38" t="n">
        <f aca="false">IF(Raw_Export!$A299="","",IFERROR(VALUE(SUBSTITUTE(SUBSTITUTE(UPPER(TRIM(Raw_Export!F299)),"KES",""),",","")),0))</f>
        <v>150</v>
      </c>
      <c r="H299" s="38" t="n">
        <f aca="false">IF(Raw_Export!$A299="","",F299*G299)</f>
        <v>150</v>
      </c>
      <c r="I299" s="36" t="str">
        <f aca="false">IF(Raw_Export!$A299="","",IFERROR(VLOOKUP(LOWER(TRIM(Raw_Export!H299)),Maps!$D$2:$E$12,2,FALSE()),"Other"))</f>
        <v>Cash</v>
      </c>
      <c r="J299" s="36" t="str">
        <f aca="false">IF(Raw_Export!$A299="","",IF(COUNTIF($A$2:A299,A299)&gt;1,"Duplicate",""))</f>
        <v/>
      </c>
      <c r="K299" s="36" t="str">
        <f aca="false">IF(Raw_Export!$A299="","",IF(J299="Duplicate","Duplicate",IF(OR(C299="UNMAPPED",D299="UNMAPPED"),"Unmapped",IF(F299=0,"Blank qty",IF(F299&lt;0,"Return","OK")))))</f>
        <v>OK</v>
      </c>
      <c r="L299" s="36" t="n">
        <f aca="false">IF(Raw_Export!$A299="","",IF(OR(K299="OK",K299="Return"),1,0))</f>
        <v>1</v>
      </c>
      <c r="M299" s="37" t="n">
        <f aca="false">IF(Raw_Export!$A299="","",B299-WEEKDAY(B299,2)+1)</f>
        <v>46265</v>
      </c>
    </row>
    <row r="300" customFormat="false" ht="15" hidden="false" customHeight="false" outlineLevel="0" collapsed="false">
      <c r="A300" s="36" t="str">
        <f aca="false">IF(Raw_Export!$A300="","",TRIM(Raw_Export!A300))</f>
        <v>TXN-100295</v>
      </c>
      <c r="B300" s="37" t="n">
        <f aca="false">IF(Raw_Export!$A300="","",IF(ISNUMBER(Raw_Export!B300),Raw_Export!B300,IF(MID(TRIM(Raw_Export!B300),5,1)="-",DATE(LEFT(TRIM(Raw_Export!B300),4),MID(TRIM(Raw_Export!B300),6,2),RIGHT(TRIM(Raw_Export!B300),2)),DATE(RIGHT(TRIM(Raw_Export!B300),4),MATCH(MID(TRIM(Raw_Export!B300),4,3),{"Jan","Feb","Mar","Apr","May","Jun","Jul","Aug","Sep","Oct","Nov","Dec"},0),LEFT(TRIM(Raw_Export!B300),2)))))</f>
        <v>46267</v>
      </c>
      <c r="C300" s="36" t="str">
        <f aca="false">IF(Raw_Export!$A300="","",IFERROR(VLOOKUP(LOWER(TRIM(Raw_Export!C300)),Maps!$A$2:$B$20,2,FALSE()),"UNMAPPED"))</f>
        <v>Westlands</v>
      </c>
      <c r="D300" s="36" t="str">
        <f aca="false">IF(Raw_Export!$A300="","",IFERROR(VLOOKUP(LOWER(TRIM(Raw_Export!D300)),Maps!$G$2:$I$80,2,FALSE()),"UNMAPPED"))</f>
        <v>Dish Soap 750ml</v>
      </c>
      <c r="E300" s="36" t="str">
        <f aca="false">IF(Raw_Export!$A300="","",IFERROR(VLOOKUP(LOWER(TRIM(Raw_Export!D300)),Maps!$G$2:$I$80,3,FALSE()),"UNMAPPED"))</f>
        <v>Household</v>
      </c>
      <c r="F300" s="36" t="n">
        <f aca="false">IF(Raw_Export!$A300="","",IFERROR(VALUE(TRIM(Raw_Export!E300)),0))</f>
        <v>4</v>
      </c>
      <c r="G300" s="38" t="n">
        <f aca="false">IF(Raw_Export!$A300="","",IFERROR(VALUE(SUBSTITUTE(SUBSTITUTE(UPPER(TRIM(Raw_Export!F300)),"KES",""),",","")),0))</f>
        <v>190</v>
      </c>
      <c r="H300" s="38" t="n">
        <f aca="false">IF(Raw_Export!$A300="","",F300*G300)</f>
        <v>760</v>
      </c>
      <c r="I300" s="36" t="str">
        <f aca="false">IF(Raw_Export!$A300="","",IFERROR(VLOOKUP(LOWER(TRIM(Raw_Export!H300)),Maps!$D$2:$E$12,2,FALSE()),"Other"))</f>
        <v>M-Pesa</v>
      </c>
      <c r="J300" s="36" t="str">
        <f aca="false">IF(Raw_Export!$A300="","",IF(COUNTIF($A$2:A300,A300)&gt;1,"Duplicate",""))</f>
        <v/>
      </c>
      <c r="K300" s="36" t="str">
        <f aca="false">IF(Raw_Export!$A300="","",IF(J300="Duplicate","Duplicate",IF(OR(C300="UNMAPPED",D300="UNMAPPED"),"Unmapped",IF(F300=0,"Blank qty",IF(F300&lt;0,"Return","OK")))))</f>
        <v>OK</v>
      </c>
      <c r="L300" s="36" t="n">
        <f aca="false">IF(Raw_Export!$A300="","",IF(OR(K300="OK",K300="Return"),1,0))</f>
        <v>1</v>
      </c>
      <c r="M300" s="37" t="n">
        <f aca="false">IF(Raw_Export!$A300="","",B300-WEEKDAY(B300,2)+1)</f>
        <v>46265</v>
      </c>
    </row>
    <row r="301" customFormat="false" ht="15" hidden="false" customHeight="false" outlineLevel="0" collapsed="false">
      <c r="A301" s="36" t="str">
        <f aca="false">IF(Raw_Export!$A301="","",TRIM(Raw_Export!A301))</f>
        <v>TXN-100296</v>
      </c>
      <c r="B301" s="37" t="n">
        <f aca="false">IF(Raw_Export!$A301="","",IF(ISNUMBER(Raw_Export!B301),Raw_Export!B301,IF(MID(TRIM(Raw_Export!B301),5,1)="-",DATE(LEFT(TRIM(Raw_Export!B301),4),MID(TRIM(Raw_Export!B301),6,2),RIGHT(TRIM(Raw_Export!B301),2)),DATE(RIGHT(TRIM(Raw_Export!B301),4),MATCH(MID(TRIM(Raw_Export!B301),4,3),{"Jan","Feb","Mar","Apr","May","Jun","Jul","Aug","Sep","Oct","Nov","Dec"},0),LEFT(TRIM(Raw_Export!B301),2)))))</f>
        <v>46267</v>
      </c>
      <c r="C301" s="36" t="str">
        <f aca="false">IF(Raw_Export!$A301="","",IFERROR(VLOOKUP(LOWER(TRIM(Raw_Export!C301)),Maps!$A$2:$B$20,2,FALSE()),"UNMAPPED"))</f>
        <v>Westlands</v>
      </c>
      <c r="D301" s="36" t="str">
        <f aca="false">IF(Raw_Export!$A301="","",IFERROR(VLOOKUP(LOWER(TRIM(Raw_Export!D301)),Maps!$G$2:$I$80,2,FALSE()),"UNMAPPED"))</f>
        <v>Fresh Milk 500ml</v>
      </c>
      <c r="E301" s="36" t="str">
        <f aca="false">IF(Raw_Export!$A301="","",IFERROR(VLOOKUP(LOWER(TRIM(Raw_Export!D301)),Maps!$G$2:$I$80,3,FALSE()),"UNMAPPED"))</f>
        <v>Dairy &amp; Eggs</v>
      </c>
      <c r="F301" s="36" t="n">
        <f aca="false">IF(Raw_Export!$A301="","",IFERROR(VALUE(TRIM(Raw_Export!E301)),0))</f>
        <v>1</v>
      </c>
      <c r="G301" s="38" t="n">
        <f aca="false">IF(Raw_Export!$A301="","",IFERROR(VALUE(SUBSTITUTE(SUBSTITUTE(UPPER(TRIM(Raw_Export!F301)),"KES",""),",","")),0))</f>
        <v>65</v>
      </c>
      <c r="H301" s="38" t="n">
        <f aca="false">IF(Raw_Export!$A301="","",F301*G301)</f>
        <v>65</v>
      </c>
      <c r="I301" s="36" t="str">
        <f aca="false">IF(Raw_Export!$A301="","",IFERROR(VLOOKUP(LOWER(TRIM(Raw_Export!H301)),Maps!$D$2:$E$12,2,FALSE()),"Other"))</f>
        <v>M-Pesa</v>
      </c>
      <c r="J301" s="36" t="str">
        <f aca="false">IF(Raw_Export!$A301="","",IF(COUNTIF($A$2:A301,A301)&gt;1,"Duplicate",""))</f>
        <v/>
      </c>
      <c r="K301" s="36" t="str">
        <f aca="false">IF(Raw_Export!$A301="","",IF(J301="Duplicate","Duplicate",IF(OR(C301="UNMAPPED",D301="UNMAPPED"),"Unmapped",IF(F301=0,"Blank qty",IF(F301&lt;0,"Return","OK")))))</f>
        <v>OK</v>
      </c>
      <c r="L301" s="36" t="n">
        <f aca="false">IF(Raw_Export!$A301="","",IF(OR(K301="OK",K301="Return"),1,0))</f>
        <v>1</v>
      </c>
      <c r="M301" s="37" t="n">
        <f aca="false">IF(Raw_Export!$A301="","",B301-WEEKDAY(B301,2)+1)</f>
        <v>46265</v>
      </c>
    </row>
    <row r="302" customFormat="false" ht="15" hidden="false" customHeight="false" outlineLevel="0" collapsed="false">
      <c r="A302" s="36" t="str">
        <f aca="false">IF(Raw_Export!$A302="","",TRIM(Raw_Export!A302))</f>
        <v>TXN-100297</v>
      </c>
      <c r="B302" s="37" t="n">
        <f aca="false">IF(Raw_Export!$A302="","",IF(ISNUMBER(Raw_Export!B302),Raw_Export!B302,IF(MID(TRIM(Raw_Export!B302),5,1)="-",DATE(LEFT(TRIM(Raw_Export!B302),4),MID(TRIM(Raw_Export!B302),6,2),RIGHT(TRIM(Raw_Export!B302),2)),DATE(RIGHT(TRIM(Raw_Export!B302),4),MATCH(MID(TRIM(Raw_Export!B302),4,3),{"Jan","Feb","Mar","Apr","May","Jun","Jul","Aug","Sep","Oct","Nov","Dec"},0),LEFT(TRIM(Raw_Export!B302),2)))))</f>
        <v>46267</v>
      </c>
      <c r="C302" s="36" t="str">
        <f aca="false">IF(Raw_Export!$A302="","",IFERROR(VLOOKUP(LOWER(TRIM(Raw_Export!C302)),Maps!$A$2:$B$20,2,FALSE()),"UNMAPPED"))</f>
        <v>Westlands</v>
      </c>
      <c r="D302" s="36" t="str">
        <f aca="false">IF(Raw_Export!$A302="","",IFERROR(VLOOKUP(LOWER(TRIM(Raw_Export!D302)),Maps!$G$2:$I$80,2,FALSE()),"UNMAPPED"))</f>
        <v>Cooking Oil 1L</v>
      </c>
      <c r="E302" s="36" t="str">
        <f aca="false">IF(Raw_Export!$A302="","",IFERROR(VLOOKUP(LOWER(TRIM(Raw_Export!D302)),Maps!$G$2:$I$80,3,FALSE()),"UNMAPPED"))</f>
        <v>Staples</v>
      </c>
      <c r="F302" s="36" t="n">
        <f aca="false">IF(Raw_Export!$A302="","",IFERROR(VALUE(TRIM(Raw_Export!E302)),0))</f>
        <v>1</v>
      </c>
      <c r="G302" s="38" t="n">
        <f aca="false">IF(Raw_Export!$A302="","",IFERROR(VALUE(SUBSTITUTE(SUBSTITUTE(UPPER(TRIM(Raw_Export!F302)),"KES",""),",","")),0))</f>
        <v>330</v>
      </c>
      <c r="H302" s="38" t="n">
        <f aca="false">IF(Raw_Export!$A302="","",F302*G302)</f>
        <v>330</v>
      </c>
      <c r="I302" s="36" t="str">
        <f aca="false">IF(Raw_Export!$A302="","",IFERROR(VLOOKUP(LOWER(TRIM(Raw_Export!H302)),Maps!$D$2:$E$12,2,FALSE()),"Other"))</f>
        <v>M-Pesa</v>
      </c>
      <c r="J302" s="36" t="str">
        <f aca="false">IF(Raw_Export!$A302="","",IF(COUNTIF($A$2:A302,A302)&gt;1,"Duplicate",""))</f>
        <v/>
      </c>
      <c r="K302" s="36" t="str">
        <f aca="false">IF(Raw_Export!$A302="","",IF(J302="Duplicate","Duplicate",IF(OR(C302="UNMAPPED",D302="UNMAPPED"),"Unmapped",IF(F302=0,"Blank qty",IF(F302&lt;0,"Return","OK")))))</f>
        <v>OK</v>
      </c>
      <c r="L302" s="36" t="n">
        <f aca="false">IF(Raw_Export!$A302="","",IF(OR(K302="OK",K302="Return"),1,0))</f>
        <v>1</v>
      </c>
      <c r="M302" s="37" t="n">
        <f aca="false">IF(Raw_Export!$A302="","",B302-WEEKDAY(B302,2)+1)</f>
        <v>46265</v>
      </c>
    </row>
    <row r="303" customFormat="false" ht="15" hidden="false" customHeight="false" outlineLevel="0" collapsed="false">
      <c r="A303" s="36" t="str">
        <f aca="false">IF(Raw_Export!$A303="","",TRIM(Raw_Export!A303))</f>
        <v>TXN-100298</v>
      </c>
      <c r="B303" s="37" t="n">
        <f aca="false">IF(Raw_Export!$A303="","",IF(ISNUMBER(Raw_Export!B303),Raw_Export!B303,IF(MID(TRIM(Raw_Export!B303),5,1)="-",DATE(LEFT(TRIM(Raw_Export!B303),4),MID(TRIM(Raw_Export!B303),6,2),RIGHT(TRIM(Raw_Export!B303),2)),DATE(RIGHT(TRIM(Raw_Export!B303),4),MATCH(MID(TRIM(Raw_Export!B303),4,3),{"Jan","Feb","Mar","Apr","May","Jun","Jul","Aug","Sep","Oct","Nov","Dec"},0),LEFT(TRIM(Raw_Export!B303),2)))))</f>
        <v>46267</v>
      </c>
      <c r="C303" s="36" t="str">
        <f aca="false">IF(Raw_Export!$A303="","",IFERROR(VLOOKUP(LOWER(TRIM(Raw_Export!C303)),Maps!$A$2:$B$20,2,FALSE()),"UNMAPPED"))</f>
        <v>Westlands</v>
      </c>
      <c r="D303" s="36" t="str">
        <f aca="false">IF(Raw_Export!$A303="","",IFERROR(VLOOKUP(LOWER(TRIM(Raw_Export!D303)),Maps!$G$2:$I$80,2,FALSE()),"UNMAPPED"))</f>
        <v>Unga Pembe 2kg</v>
      </c>
      <c r="E303" s="36" t="str">
        <f aca="false">IF(Raw_Export!$A303="","",IFERROR(VLOOKUP(LOWER(TRIM(Raw_Export!D303)),Maps!$G$2:$I$80,3,FALSE()),"UNMAPPED"))</f>
        <v>Staples</v>
      </c>
      <c r="F303" s="36" t="n">
        <f aca="false">IF(Raw_Export!$A303="","",IFERROR(VALUE(TRIM(Raw_Export!E303)),0))</f>
        <v>4</v>
      </c>
      <c r="G303" s="38" t="n">
        <f aca="false">IF(Raw_Export!$A303="","",IFERROR(VALUE(SUBSTITUTE(SUBSTITUTE(UPPER(TRIM(Raw_Export!F303)),"KES",""),",","")),0))</f>
        <v>190</v>
      </c>
      <c r="H303" s="38" t="n">
        <f aca="false">IF(Raw_Export!$A303="","",F303*G303)</f>
        <v>760</v>
      </c>
      <c r="I303" s="36" t="str">
        <f aca="false">IF(Raw_Export!$A303="","",IFERROR(VLOOKUP(LOWER(TRIM(Raw_Export!H303)),Maps!$D$2:$E$12,2,FALSE()),"Other"))</f>
        <v>Card</v>
      </c>
      <c r="J303" s="36" t="str">
        <f aca="false">IF(Raw_Export!$A303="","",IF(COUNTIF($A$2:A303,A303)&gt;1,"Duplicate",""))</f>
        <v/>
      </c>
      <c r="K303" s="36" t="str">
        <f aca="false">IF(Raw_Export!$A303="","",IF(J303="Duplicate","Duplicate",IF(OR(C303="UNMAPPED",D303="UNMAPPED"),"Unmapped",IF(F303=0,"Blank qty",IF(F303&lt;0,"Return","OK")))))</f>
        <v>OK</v>
      </c>
      <c r="L303" s="36" t="n">
        <f aca="false">IF(Raw_Export!$A303="","",IF(OR(K303="OK",K303="Return"),1,0))</f>
        <v>1</v>
      </c>
      <c r="M303" s="37" t="n">
        <f aca="false">IF(Raw_Export!$A303="","",B303-WEEKDAY(B303,2)+1)</f>
        <v>46265</v>
      </c>
    </row>
    <row r="304" customFormat="false" ht="15" hidden="false" customHeight="false" outlineLevel="0" collapsed="false">
      <c r="A304" s="36" t="str">
        <f aca="false">IF(Raw_Export!$A304="","",TRIM(Raw_Export!A304))</f>
        <v>TXN-100299</v>
      </c>
      <c r="B304" s="37" t="n">
        <f aca="false">IF(Raw_Export!$A304="","",IF(ISNUMBER(Raw_Export!B304),Raw_Export!B304,IF(MID(TRIM(Raw_Export!B304),5,1)="-",DATE(LEFT(TRIM(Raw_Export!B304),4),MID(TRIM(Raw_Export!B304),6,2),RIGHT(TRIM(Raw_Export!B304),2)),DATE(RIGHT(TRIM(Raw_Export!B304),4),MATCH(MID(TRIM(Raw_Export!B304),4,3),{"Jan","Feb","Mar","Apr","May","Jun","Jul","Aug","Sep","Oct","Nov","Dec"},0),LEFT(TRIM(Raw_Export!B304),2)))))</f>
        <v>46267</v>
      </c>
      <c r="C304" s="36" t="str">
        <f aca="false">IF(Raw_Export!$A304="","",IFERROR(VLOOKUP(LOWER(TRIM(Raw_Export!C304)),Maps!$A$2:$B$20,2,FALSE()),"UNMAPPED"))</f>
        <v>Westlands</v>
      </c>
      <c r="D304" s="36" t="str">
        <f aca="false">IF(Raw_Export!$A304="","",IFERROR(VLOOKUP(LOWER(TRIM(Raw_Export!D304)),Maps!$G$2:$I$80,2,FALSE()),"UNMAPPED"))</f>
        <v>Toilet Paper 10pk</v>
      </c>
      <c r="E304" s="36" t="str">
        <f aca="false">IF(Raw_Export!$A304="","",IFERROR(VLOOKUP(LOWER(TRIM(Raw_Export!D304)),Maps!$G$2:$I$80,3,FALSE()),"UNMAPPED"))</f>
        <v>Household</v>
      </c>
      <c r="F304" s="36" t="n">
        <f aca="false">IF(Raw_Export!$A304="","",IFERROR(VALUE(TRIM(Raw_Export!E304)),0))</f>
        <v>0</v>
      </c>
      <c r="G304" s="38" t="n">
        <f aca="false">IF(Raw_Export!$A304="","",IFERROR(VALUE(SUBSTITUTE(SUBSTITUTE(UPPER(TRIM(Raw_Export!F304)),"KES",""),",","")),0))</f>
        <v>380</v>
      </c>
      <c r="H304" s="38" t="n">
        <f aca="false">IF(Raw_Export!$A304="","",F304*G304)</f>
        <v>0</v>
      </c>
      <c r="I304" s="36" t="str">
        <f aca="false">IF(Raw_Export!$A304="","",IFERROR(VLOOKUP(LOWER(TRIM(Raw_Export!H304)),Maps!$D$2:$E$12,2,FALSE()),"Other"))</f>
        <v>M-Pesa</v>
      </c>
      <c r="J304" s="36" t="str">
        <f aca="false">IF(Raw_Export!$A304="","",IF(COUNTIF($A$2:A304,A304)&gt;1,"Duplicate",""))</f>
        <v/>
      </c>
      <c r="K304" s="36" t="str">
        <f aca="false">IF(Raw_Export!$A304="","",IF(J304="Duplicate","Duplicate",IF(OR(C304="UNMAPPED",D304="UNMAPPED"),"Unmapped",IF(F304=0,"Blank qty",IF(F304&lt;0,"Return","OK")))))</f>
        <v>Blank qty</v>
      </c>
      <c r="L304" s="36" t="n">
        <f aca="false">IF(Raw_Export!$A304="","",IF(OR(K304="OK",K304="Return"),1,0))</f>
        <v>0</v>
      </c>
      <c r="M304" s="37" t="n">
        <f aca="false">IF(Raw_Export!$A304="","",B304-WEEKDAY(B304,2)+1)</f>
        <v>46265</v>
      </c>
    </row>
    <row r="305" customFormat="false" ht="15" hidden="false" customHeight="false" outlineLevel="0" collapsed="false">
      <c r="A305" s="36" t="str">
        <f aca="false">IF(Raw_Export!$A305="","",TRIM(Raw_Export!A305))</f>
        <v>TXN-100300</v>
      </c>
      <c r="B305" s="37" t="n">
        <f aca="false">IF(Raw_Export!$A305="","",IF(ISNUMBER(Raw_Export!B305),Raw_Export!B305,IF(MID(TRIM(Raw_Export!B305),5,1)="-",DATE(LEFT(TRIM(Raw_Export!B305),4),MID(TRIM(Raw_Export!B305),6,2),RIGHT(TRIM(Raw_Export!B305),2)),DATE(RIGHT(TRIM(Raw_Export!B305),4),MATCH(MID(TRIM(Raw_Export!B305),4,3),{"Jan","Feb","Mar","Apr","May","Jun","Jul","Aug","Sep","Oct","Nov","Dec"},0),LEFT(TRIM(Raw_Export!B305),2)))))</f>
        <v>46267</v>
      </c>
      <c r="C305" s="36" t="str">
        <f aca="false">IF(Raw_Export!$A305="","",IFERROR(VLOOKUP(LOWER(TRIM(Raw_Export!C305)),Maps!$A$2:$B$20,2,FALSE()),"UNMAPPED"))</f>
        <v>Westlands</v>
      </c>
      <c r="D305" s="36" t="str">
        <f aca="false">IF(Raw_Export!$A305="","",IFERROR(VLOOKUP(LOWER(TRIM(Raw_Export!D305)),Maps!$G$2:$I$80,2,FALSE()),"UNMAPPED"))</f>
        <v>Cooking Oil 1L</v>
      </c>
      <c r="E305" s="36" t="str">
        <f aca="false">IF(Raw_Export!$A305="","",IFERROR(VLOOKUP(LOWER(TRIM(Raw_Export!D305)),Maps!$G$2:$I$80,3,FALSE()),"UNMAPPED"))</f>
        <v>Staples</v>
      </c>
      <c r="F305" s="36" t="n">
        <f aca="false">IF(Raw_Export!$A305="","",IFERROR(VALUE(TRIM(Raw_Export!E305)),0))</f>
        <v>1</v>
      </c>
      <c r="G305" s="38" t="n">
        <f aca="false">IF(Raw_Export!$A305="","",IFERROR(VALUE(SUBSTITUTE(SUBSTITUTE(UPPER(TRIM(Raw_Export!F305)),"KES",""),",","")),0))</f>
        <v>330</v>
      </c>
      <c r="H305" s="38" t="n">
        <f aca="false">IF(Raw_Export!$A305="","",F305*G305)</f>
        <v>330</v>
      </c>
      <c r="I305" s="36" t="str">
        <f aca="false">IF(Raw_Export!$A305="","",IFERROR(VLOOKUP(LOWER(TRIM(Raw_Export!H305)),Maps!$D$2:$E$12,2,FALSE()),"Other"))</f>
        <v>M-Pesa</v>
      </c>
      <c r="J305" s="36" t="str">
        <f aca="false">IF(Raw_Export!$A305="","",IF(COUNTIF($A$2:A305,A305)&gt;1,"Duplicate",""))</f>
        <v/>
      </c>
      <c r="K305" s="36" t="str">
        <f aca="false">IF(Raw_Export!$A305="","",IF(J305="Duplicate","Duplicate",IF(OR(C305="UNMAPPED",D305="UNMAPPED"),"Unmapped",IF(F305=0,"Blank qty",IF(F305&lt;0,"Return","OK")))))</f>
        <v>OK</v>
      </c>
      <c r="L305" s="36" t="n">
        <f aca="false">IF(Raw_Export!$A305="","",IF(OR(K305="OK",K305="Return"),1,0))</f>
        <v>1</v>
      </c>
      <c r="M305" s="37" t="n">
        <f aca="false">IF(Raw_Export!$A305="","",B305-WEEKDAY(B305,2)+1)</f>
        <v>46265</v>
      </c>
    </row>
    <row r="306" customFormat="false" ht="15" hidden="false" customHeight="false" outlineLevel="0" collapsed="false">
      <c r="A306" s="36" t="str">
        <f aca="false">IF(Raw_Export!$A306="","",TRIM(Raw_Export!A306))</f>
        <v>TXN-100301</v>
      </c>
      <c r="B306" s="37" t="n">
        <f aca="false">IF(Raw_Export!$A306="","",IF(ISNUMBER(Raw_Export!B306),Raw_Export!B306,IF(MID(TRIM(Raw_Export!B306),5,1)="-",DATE(LEFT(TRIM(Raw_Export!B306),4),MID(TRIM(Raw_Export!B306),6,2),RIGHT(TRIM(Raw_Export!B306),2)),DATE(RIGHT(TRIM(Raw_Export!B306),4),MATCH(MID(TRIM(Raw_Export!B306),4,3),{"Jan","Feb","Mar","Apr","May","Jun","Jul","Aug","Sep","Oct","Nov","Dec"},0),LEFT(TRIM(Raw_Export!B306),2)))))</f>
        <v>46267</v>
      </c>
      <c r="C306" s="36" t="str">
        <f aca="false">IF(Raw_Export!$A306="","",IFERROR(VLOOKUP(LOWER(TRIM(Raw_Export!C306)),Maps!$A$2:$B$20,2,FALSE()),"UNMAPPED"))</f>
        <v>Westlands</v>
      </c>
      <c r="D306" s="36" t="str">
        <f aca="false">IF(Raw_Export!$A306="","",IFERROR(VLOOKUP(LOWER(TRIM(Raw_Export!D306)),Maps!$G$2:$I$80,2,FALSE()),"UNMAPPED"))</f>
        <v>Bottled Water 1.5L</v>
      </c>
      <c r="E306" s="36" t="str">
        <f aca="false">IF(Raw_Export!$A306="","",IFERROR(VLOOKUP(LOWER(TRIM(Raw_Export!D306)),Maps!$G$2:$I$80,3,FALSE()),"UNMAPPED"))</f>
        <v>Beverages</v>
      </c>
      <c r="F306" s="36" t="n">
        <f aca="false">IF(Raw_Export!$A306="","",IFERROR(VALUE(TRIM(Raw_Export!E306)),0))</f>
        <v>4</v>
      </c>
      <c r="G306" s="38" t="n">
        <f aca="false">IF(Raw_Export!$A306="","",IFERROR(VALUE(SUBSTITUTE(SUBSTITUTE(UPPER(TRIM(Raw_Export!F306)),"KES",""),",","")),0))</f>
        <v>90</v>
      </c>
      <c r="H306" s="38" t="n">
        <f aca="false">IF(Raw_Export!$A306="","",F306*G306)</f>
        <v>360</v>
      </c>
      <c r="I306" s="36" t="str">
        <f aca="false">IF(Raw_Export!$A306="","",IFERROR(VLOOKUP(LOWER(TRIM(Raw_Export!H306)),Maps!$D$2:$E$12,2,FALSE()),"Other"))</f>
        <v>M-Pesa</v>
      </c>
      <c r="J306" s="36" t="str">
        <f aca="false">IF(Raw_Export!$A306="","",IF(COUNTIF($A$2:A306,A306)&gt;1,"Duplicate",""))</f>
        <v/>
      </c>
      <c r="K306" s="36" t="str">
        <f aca="false">IF(Raw_Export!$A306="","",IF(J306="Duplicate","Duplicate",IF(OR(C306="UNMAPPED",D306="UNMAPPED"),"Unmapped",IF(F306=0,"Blank qty",IF(F306&lt;0,"Return","OK")))))</f>
        <v>OK</v>
      </c>
      <c r="L306" s="36" t="n">
        <f aca="false">IF(Raw_Export!$A306="","",IF(OR(K306="OK",K306="Return"),1,0))</f>
        <v>1</v>
      </c>
      <c r="M306" s="37" t="n">
        <f aca="false">IF(Raw_Export!$A306="","",B306-WEEKDAY(B306,2)+1)</f>
        <v>46265</v>
      </c>
    </row>
    <row r="307" customFormat="false" ht="15" hidden="false" customHeight="false" outlineLevel="0" collapsed="false">
      <c r="A307" s="36" t="str">
        <f aca="false">IF(Raw_Export!$A307="","",TRIM(Raw_Export!A307))</f>
        <v>TXN-101710</v>
      </c>
      <c r="B307" s="37" t="n">
        <f aca="false">IF(Raw_Export!$A307="","",IF(ISNUMBER(Raw_Export!B307),Raw_Export!B307,IF(MID(TRIM(Raw_Export!B307),5,1)="-",DATE(LEFT(TRIM(Raw_Export!B307),4),MID(TRIM(Raw_Export!B307),6,2),RIGHT(TRIM(Raw_Export!B307),2)),DATE(RIGHT(TRIM(Raw_Export!B307),4),MATCH(MID(TRIM(Raw_Export!B307),4,3),{"Jan","Feb","Mar","Apr","May","Jun","Jul","Aug","Sep","Oct","Nov","Dec"},0),LEFT(TRIM(Raw_Export!B307),2)))))</f>
        <v>46276</v>
      </c>
      <c r="C307" s="36" t="str">
        <f aca="false">IF(Raw_Export!$A307="","",IFERROR(VLOOKUP(LOWER(TRIM(Raw_Export!C307)),Maps!$A$2:$B$20,2,FALSE()),"UNMAPPED"))</f>
        <v>Mombasa</v>
      </c>
      <c r="D307" s="36" t="str">
        <f aca="false">IF(Raw_Export!$A307="","",IFERROR(VLOOKUP(LOWER(TRIM(Raw_Export!D307)),Maps!$G$2:$I$80,2,FALSE()),"UNMAPPED"))</f>
        <v>Toilet Paper 10pk</v>
      </c>
      <c r="E307" s="36" t="str">
        <f aca="false">IF(Raw_Export!$A307="","",IFERROR(VLOOKUP(LOWER(TRIM(Raw_Export!D307)),Maps!$G$2:$I$80,3,FALSE()),"UNMAPPED"))</f>
        <v>Household</v>
      </c>
      <c r="F307" s="36" t="n">
        <f aca="false">IF(Raw_Export!$A307="","",IFERROR(VALUE(TRIM(Raw_Export!E307)),0))</f>
        <v>2</v>
      </c>
      <c r="G307" s="38" t="n">
        <f aca="false">IF(Raw_Export!$A307="","",IFERROR(VALUE(SUBSTITUTE(SUBSTITUTE(UPPER(TRIM(Raw_Export!F307)),"KES",""),",","")),0))</f>
        <v>380</v>
      </c>
      <c r="H307" s="38" t="n">
        <f aca="false">IF(Raw_Export!$A307="","",F307*G307)</f>
        <v>760</v>
      </c>
      <c r="I307" s="36" t="str">
        <f aca="false">IF(Raw_Export!$A307="","",IFERROR(VLOOKUP(LOWER(TRIM(Raw_Export!H307)),Maps!$D$2:$E$12,2,FALSE()),"Other"))</f>
        <v>Cash</v>
      </c>
      <c r="J307" s="36" t="str">
        <f aca="false">IF(Raw_Export!$A307="","",IF(COUNTIF($A$2:A307,A307)&gt;1,"Duplicate",""))</f>
        <v/>
      </c>
      <c r="K307" s="36" t="str">
        <f aca="false">IF(Raw_Export!$A307="","",IF(J307="Duplicate","Duplicate",IF(OR(C307="UNMAPPED",D307="UNMAPPED"),"Unmapped",IF(F307=0,"Blank qty",IF(F307&lt;0,"Return","OK")))))</f>
        <v>OK</v>
      </c>
      <c r="L307" s="36" t="n">
        <f aca="false">IF(Raw_Export!$A307="","",IF(OR(K307="OK",K307="Return"),1,0))</f>
        <v>1</v>
      </c>
      <c r="M307" s="37" t="n">
        <f aca="false">IF(Raw_Export!$A307="","",B307-WEEKDAY(B307,2)+1)</f>
        <v>46272</v>
      </c>
    </row>
    <row r="308" customFormat="false" ht="15" hidden="false" customHeight="false" outlineLevel="0" collapsed="false">
      <c r="A308" s="36" t="str">
        <f aca="false">IF(Raw_Export!$A308="","",TRIM(Raw_Export!A308))</f>
        <v>TXN-100302</v>
      </c>
      <c r="B308" s="37" t="n">
        <f aca="false">IF(Raw_Export!$A308="","",IF(ISNUMBER(Raw_Export!B308),Raw_Export!B308,IF(MID(TRIM(Raw_Export!B308),5,1)="-",DATE(LEFT(TRIM(Raw_Export!B308),4),MID(TRIM(Raw_Export!B308),6,2),RIGHT(TRIM(Raw_Export!B308),2)),DATE(RIGHT(TRIM(Raw_Export!B308),4),MATCH(MID(TRIM(Raw_Export!B308),4,3),{"Jan","Feb","Mar","Apr","May","Jun","Jul","Aug","Sep","Oct","Nov","Dec"},0),LEFT(TRIM(Raw_Export!B308),2)))))</f>
        <v>46267</v>
      </c>
      <c r="C308" s="36" t="str">
        <f aca="false">IF(Raw_Export!$A308="","",IFERROR(VLOOKUP(LOWER(TRIM(Raw_Export!C308)),Maps!$A$2:$B$20,2,FALSE()),"UNMAPPED"))</f>
        <v>Westlands</v>
      </c>
      <c r="D308" s="36" t="str">
        <f aca="false">IF(Raw_Export!$A308="","",IFERROR(VLOOKUP(LOWER(TRIM(Raw_Export!D308)),Maps!$G$2:$I$80,2,FALSE()),"UNMAPPED"))</f>
        <v>Soda 500ml</v>
      </c>
      <c r="E308" s="36" t="str">
        <f aca="false">IF(Raw_Export!$A308="","",IFERROR(VLOOKUP(LOWER(TRIM(Raw_Export!D308)),Maps!$G$2:$I$80,3,FALSE()),"UNMAPPED"))</f>
        <v>Beverages</v>
      </c>
      <c r="F308" s="36" t="n">
        <f aca="false">IF(Raw_Export!$A308="","",IFERROR(VALUE(TRIM(Raw_Export!E308)),0))</f>
        <v>1</v>
      </c>
      <c r="G308" s="38" t="n">
        <f aca="false">IF(Raw_Export!$A308="","",IFERROR(VALUE(SUBSTITUTE(SUBSTITUTE(UPPER(TRIM(Raw_Export!F308)),"KES",""),",","")),0))</f>
        <v>60</v>
      </c>
      <c r="H308" s="38" t="n">
        <f aca="false">IF(Raw_Export!$A308="","",F308*G308)</f>
        <v>60</v>
      </c>
      <c r="I308" s="36" t="str">
        <f aca="false">IF(Raw_Export!$A308="","",IFERROR(VLOOKUP(LOWER(TRIM(Raw_Export!H308)),Maps!$D$2:$E$12,2,FALSE()),"Other"))</f>
        <v>M-Pesa</v>
      </c>
      <c r="J308" s="36" t="str">
        <f aca="false">IF(Raw_Export!$A308="","",IF(COUNTIF($A$2:A308,A308)&gt;1,"Duplicate",""))</f>
        <v/>
      </c>
      <c r="K308" s="36" t="str">
        <f aca="false">IF(Raw_Export!$A308="","",IF(J308="Duplicate","Duplicate",IF(OR(C308="UNMAPPED",D308="UNMAPPED"),"Unmapped",IF(F308=0,"Blank qty",IF(F308&lt;0,"Return","OK")))))</f>
        <v>OK</v>
      </c>
      <c r="L308" s="36" t="n">
        <f aca="false">IF(Raw_Export!$A308="","",IF(OR(K308="OK",K308="Return"),1,0))</f>
        <v>1</v>
      </c>
      <c r="M308" s="37" t="n">
        <f aca="false">IF(Raw_Export!$A308="","",B308-WEEKDAY(B308,2)+1)</f>
        <v>46265</v>
      </c>
    </row>
    <row r="309" customFormat="false" ht="15" hidden="false" customHeight="false" outlineLevel="0" collapsed="false">
      <c r="A309" s="36" t="str">
        <f aca="false">IF(Raw_Export!$A309="","",TRIM(Raw_Export!A309))</f>
        <v>TXN-100303</v>
      </c>
      <c r="B309" s="37" t="n">
        <f aca="false">IF(Raw_Export!$A309="","",IF(ISNUMBER(Raw_Export!B309),Raw_Export!B309,IF(MID(TRIM(Raw_Export!B309),5,1)="-",DATE(LEFT(TRIM(Raw_Export!B309),4),MID(TRIM(Raw_Export!B309),6,2),RIGHT(TRIM(Raw_Export!B309),2)),DATE(RIGHT(TRIM(Raw_Export!B309),4),MATCH(MID(TRIM(Raw_Export!B309),4,3),{"Jan","Feb","Mar","Apr","May","Jun","Jul","Aug","Sep","Oct","Nov","Dec"},0),LEFT(TRIM(Raw_Export!B309),2)))))</f>
        <v>46267</v>
      </c>
      <c r="C309" s="36" t="str">
        <f aca="false">IF(Raw_Export!$A309="","",IFERROR(VLOOKUP(LOWER(TRIM(Raw_Export!C309)),Maps!$A$2:$B$20,2,FALSE()),"UNMAPPED"))</f>
        <v>Westlands</v>
      </c>
      <c r="D309" s="36" t="str">
        <f aca="false">IF(Raw_Export!$A309="","",IFERROR(VLOOKUP(LOWER(TRIM(Raw_Export!D309)),Maps!$G$2:$I$80,2,FALSE()),"UNMAPPED"))</f>
        <v>Toothpaste 100g</v>
      </c>
      <c r="E309" s="36" t="str">
        <f aca="false">IF(Raw_Export!$A309="","",IFERROR(VLOOKUP(LOWER(TRIM(Raw_Export!D309)),Maps!$G$2:$I$80,3,FALSE()),"UNMAPPED"))</f>
        <v>Personal Care</v>
      </c>
      <c r="F309" s="36" t="n">
        <f aca="false">IF(Raw_Export!$A309="","",IFERROR(VALUE(TRIM(Raw_Export!E309)),0))</f>
        <v>1</v>
      </c>
      <c r="G309" s="38" t="n">
        <f aca="false">IF(Raw_Export!$A309="","",IFERROR(VALUE(SUBSTITUTE(SUBSTITUTE(UPPER(TRIM(Raw_Export!F309)),"KES",""),",","")),0))</f>
        <v>195</v>
      </c>
      <c r="H309" s="38" t="n">
        <f aca="false">IF(Raw_Export!$A309="","",F309*G309)</f>
        <v>195</v>
      </c>
      <c r="I309" s="36" t="str">
        <f aca="false">IF(Raw_Export!$A309="","",IFERROR(VLOOKUP(LOWER(TRIM(Raw_Export!H309)),Maps!$D$2:$E$12,2,FALSE()),"Other"))</f>
        <v>Card</v>
      </c>
      <c r="J309" s="36" t="str">
        <f aca="false">IF(Raw_Export!$A309="","",IF(COUNTIF($A$2:A309,A309)&gt;1,"Duplicate",""))</f>
        <v/>
      </c>
      <c r="K309" s="36" t="str">
        <f aca="false">IF(Raw_Export!$A309="","",IF(J309="Duplicate","Duplicate",IF(OR(C309="UNMAPPED",D309="UNMAPPED"),"Unmapped",IF(F309=0,"Blank qty",IF(F309&lt;0,"Return","OK")))))</f>
        <v>OK</v>
      </c>
      <c r="L309" s="36" t="n">
        <f aca="false">IF(Raw_Export!$A309="","",IF(OR(K309="OK",K309="Return"),1,0))</f>
        <v>1</v>
      </c>
      <c r="M309" s="37" t="n">
        <f aca="false">IF(Raw_Export!$A309="","",B309-WEEKDAY(B309,2)+1)</f>
        <v>46265</v>
      </c>
    </row>
    <row r="310" customFormat="false" ht="15" hidden="false" customHeight="false" outlineLevel="0" collapsed="false">
      <c r="A310" s="36" t="str">
        <f aca="false">IF(Raw_Export!$A310="","",TRIM(Raw_Export!A310))</f>
        <v>TXN-100304</v>
      </c>
      <c r="B310" s="37" t="n">
        <f aca="false">IF(Raw_Export!$A310="","",IF(ISNUMBER(Raw_Export!B310),Raw_Export!B310,IF(MID(TRIM(Raw_Export!B310),5,1)="-",DATE(LEFT(TRIM(Raw_Export!B310),4),MID(TRIM(Raw_Export!B310),6,2),RIGHT(TRIM(Raw_Export!B310),2)),DATE(RIGHT(TRIM(Raw_Export!B310),4),MATCH(MID(TRIM(Raw_Export!B310),4,3),{"Jan","Feb","Mar","Apr","May","Jun","Jul","Aug","Sep","Oct","Nov","Dec"},0),LEFT(TRIM(Raw_Export!B310),2)))))</f>
        <v>46267</v>
      </c>
      <c r="C310" s="36" t="str">
        <f aca="false">IF(Raw_Export!$A310="","",IFERROR(VLOOKUP(LOWER(TRIM(Raw_Export!C310)),Maps!$A$2:$B$20,2,FALSE()),"UNMAPPED"))</f>
        <v>Westlands</v>
      </c>
      <c r="D310" s="36" t="str">
        <f aca="false">IF(Raw_Export!$A310="","",IFERROR(VLOOKUP(LOWER(TRIM(Raw_Export!D310)),Maps!$G$2:$I$80,2,FALSE()),"UNMAPPED"))</f>
        <v>Fresh Milk 500ml</v>
      </c>
      <c r="E310" s="36" t="str">
        <f aca="false">IF(Raw_Export!$A310="","",IFERROR(VLOOKUP(LOWER(TRIM(Raw_Export!D310)),Maps!$G$2:$I$80,3,FALSE()),"UNMAPPED"))</f>
        <v>Dairy &amp; Eggs</v>
      </c>
      <c r="F310" s="36" t="n">
        <f aca="false">IF(Raw_Export!$A310="","",IFERROR(VALUE(TRIM(Raw_Export!E310)),0))</f>
        <v>4</v>
      </c>
      <c r="G310" s="38" t="n">
        <f aca="false">IF(Raw_Export!$A310="","",IFERROR(VALUE(SUBSTITUTE(SUBSTITUTE(UPPER(TRIM(Raw_Export!F310)),"KES",""),",","")),0))</f>
        <v>58</v>
      </c>
      <c r="H310" s="38" t="n">
        <f aca="false">IF(Raw_Export!$A310="","",F310*G310)</f>
        <v>232</v>
      </c>
      <c r="I310" s="36" t="str">
        <f aca="false">IF(Raw_Export!$A310="","",IFERROR(VLOOKUP(LOWER(TRIM(Raw_Export!H310)),Maps!$D$2:$E$12,2,FALSE()),"Other"))</f>
        <v>Cash</v>
      </c>
      <c r="J310" s="36" t="str">
        <f aca="false">IF(Raw_Export!$A310="","",IF(COUNTIF($A$2:A310,A310)&gt;1,"Duplicate",""))</f>
        <v/>
      </c>
      <c r="K310" s="36" t="str">
        <f aca="false">IF(Raw_Export!$A310="","",IF(J310="Duplicate","Duplicate",IF(OR(C310="UNMAPPED",D310="UNMAPPED"),"Unmapped",IF(F310=0,"Blank qty",IF(F310&lt;0,"Return","OK")))))</f>
        <v>OK</v>
      </c>
      <c r="L310" s="36" t="n">
        <f aca="false">IF(Raw_Export!$A310="","",IF(OR(K310="OK",K310="Return"),1,0))</f>
        <v>1</v>
      </c>
      <c r="M310" s="37" t="n">
        <f aca="false">IF(Raw_Export!$A310="","",B310-WEEKDAY(B310,2)+1)</f>
        <v>46265</v>
      </c>
    </row>
    <row r="311" customFormat="false" ht="15" hidden="false" customHeight="false" outlineLevel="0" collapsed="false">
      <c r="A311" s="36" t="str">
        <f aca="false">IF(Raw_Export!$A311="","",TRIM(Raw_Export!A311))</f>
        <v>TXN-100305</v>
      </c>
      <c r="B311" s="37" t="n">
        <f aca="false">IF(Raw_Export!$A311="","",IF(ISNUMBER(Raw_Export!B311),Raw_Export!B311,IF(MID(TRIM(Raw_Export!B311),5,1)="-",DATE(LEFT(TRIM(Raw_Export!B311),4),MID(TRIM(Raw_Export!B311),6,2),RIGHT(TRIM(Raw_Export!B311),2)),DATE(RIGHT(TRIM(Raw_Export!B311),4),MATCH(MID(TRIM(Raw_Export!B311),4,3),{"Jan","Feb","Mar","Apr","May","Jun","Jul","Aug","Sep","Oct","Nov","Dec"},0),LEFT(TRIM(Raw_Export!B311),2)))))</f>
        <v>46267</v>
      </c>
      <c r="C311" s="36" t="str">
        <f aca="false">IF(Raw_Export!$A311="","",IFERROR(VLOOKUP(LOWER(TRIM(Raw_Export!C311)),Maps!$A$2:$B$20,2,FALSE()),"UNMAPPED"))</f>
        <v>Westlands</v>
      </c>
      <c r="D311" s="36" t="str">
        <f aca="false">IF(Raw_Export!$A311="","",IFERROR(VLOOKUP(LOWER(TRIM(Raw_Export!D311)),Maps!$G$2:$I$80,2,FALSE()),"UNMAPPED"))</f>
        <v>Rice Pishori 2kg</v>
      </c>
      <c r="E311" s="36" t="str">
        <f aca="false">IF(Raw_Export!$A311="","",IFERROR(VLOOKUP(LOWER(TRIM(Raw_Export!D311)),Maps!$G$2:$I$80,3,FALSE()),"UNMAPPED"))</f>
        <v>Staples</v>
      </c>
      <c r="F311" s="36" t="n">
        <f aca="false">IF(Raw_Export!$A311="","",IFERROR(VALUE(TRIM(Raw_Export!E311)),0))</f>
        <v>2</v>
      </c>
      <c r="G311" s="38" t="n">
        <f aca="false">IF(Raw_Export!$A311="","",IFERROR(VALUE(SUBSTITUTE(SUBSTITUTE(UPPER(TRIM(Raw_Export!F311)),"KES",""),",","")),0))</f>
        <v>420</v>
      </c>
      <c r="H311" s="38" t="n">
        <f aca="false">IF(Raw_Export!$A311="","",F311*G311)</f>
        <v>840</v>
      </c>
      <c r="I311" s="36" t="str">
        <f aca="false">IF(Raw_Export!$A311="","",IFERROR(VLOOKUP(LOWER(TRIM(Raw_Export!H311)),Maps!$D$2:$E$12,2,FALSE()),"Other"))</f>
        <v>M-Pesa</v>
      </c>
      <c r="J311" s="36" t="str">
        <f aca="false">IF(Raw_Export!$A311="","",IF(COUNTIF($A$2:A311,A311)&gt;1,"Duplicate",""))</f>
        <v/>
      </c>
      <c r="K311" s="36" t="str">
        <f aca="false">IF(Raw_Export!$A311="","",IF(J311="Duplicate","Duplicate",IF(OR(C311="UNMAPPED",D311="UNMAPPED"),"Unmapped",IF(F311=0,"Blank qty",IF(F311&lt;0,"Return","OK")))))</f>
        <v>OK</v>
      </c>
      <c r="L311" s="36" t="n">
        <f aca="false">IF(Raw_Export!$A311="","",IF(OR(K311="OK",K311="Return"),1,0))</f>
        <v>1</v>
      </c>
      <c r="M311" s="37" t="n">
        <f aca="false">IF(Raw_Export!$A311="","",B311-WEEKDAY(B311,2)+1)</f>
        <v>46265</v>
      </c>
    </row>
    <row r="312" customFormat="false" ht="15" hidden="false" customHeight="false" outlineLevel="0" collapsed="false">
      <c r="A312" s="36" t="str">
        <f aca="false">IF(Raw_Export!$A312="","",TRIM(Raw_Export!A312))</f>
        <v>TXN-100306</v>
      </c>
      <c r="B312" s="37" t="n">
        <f aca="false">IF(Raw_Export!$A312="","",IF(ISNUMBER(Raw_Export!B312),Raw_Export!B312,IF(MID(TRIM(Raw_Export!B312),5,1)="-",DATE(LEFT(TRIM(Raw_Export!B312),4),MID(TRIM(Raw_Export!B312),6,2),RIGHT(TRIM(Raw_Export!B312),2)),DATE(RIGHT(TRIM(Raw_Export!B312),4),MATCH(MID(TRIM(Raw_Export!B312),4,3),{"Jan","Feb","Mar","Apr","May","Jun","Jul","Aug","Sep","Oct","Nov","Dec"},0),LEFT(TRIM(Raw_Export!B312),2)))))</f>
        <v>46267</v>
      </c>
      <c r="C312" s="36" t="str">
        <f aca="false">IF(Raw_Export!$A312="","",IFERROR(VLOOKUP(LOWER(TRIM(Raw_Export!C312)),Maps!$A$2:$B$20,2,FALSE()),"UNMAPPED"))</f>
        <v>Westlands</v>
      </c>
      <c r="D312" s="36" t="str">
        <f aca="false">IF(Raw_Export!$A312="","",IFERROR(VLOOKUP(LOWER(TRIM(Raw_Export!D312)),Maps!$G$2:$I$80,2,FALSE()),"UNMAPPED"))</f>
        <v>Deodorant 150ml</v>
      </c>
      <c r="E312" s="36" t="str">
        <f aca="false">IF(Raw_Export!$A312="","",IFERROR(VLOOKUP(LOWER(TRIM(Raw_Export!D312)),Maps!$G$2:$I$80,3,FALSE()),"UNMAPPED"))</f>
        <v>Personal Care</v>
      </c>
      <c r="F312" s="36" t="n">
        <f aca="false">IF(Raw_Export!$A312="","",IFERROR(VALUE(TRIM(Raw_Export!E312)),0))</f>
        <v>1</v>
      </c>
      <c r="G312" s="38" t="n">
        <f aca="false">IF(Raw_Export!$A312="","",IFERROR(VALUE(SUBSTITUTE(SUBSTITUTE(UPPER(TRIM(Raw_Export!F312)),"KES",""),",","")),0))</f>
        <v>350</v>
      </c>
      <c r="H312" s="38" t="n">
        <f aca="false">IF(Raw_Export!$A312="","",F312*G312)</f>
        <v>350</v>
      </c>
      <c r="I312" s="36" t="str">
        <f aca="false">IF(Raw_Export!$A312="","",IFERROR(VLOOKUP(LOWER(TRIM(Raw_Export!H312)),Maps!$D$2:$E$12,2,FALSE()),"Other"))</f>
        <v>M-Pesa</v>
      </c>
      <c r="J312" s="36" t="str">
        <f aca="false">IF(Raw_Export!$A312="","",IF(COUNTIF($A$2:A312,A312)&gt;1,"Duplicate",""))</f>
        <v/>
      </c>
      <c r="K312" s="36" t="str">
        <f aca="false">IF(Raw_Export!$A312="","",IF(J312="Duplicate","Duplicate",IF(OR(C312="UNMAPPED",D312="UNMAPPED"),"Unmapped",IF(F312=0,"Blank qty",IF(F312&lt;0,"Return","OK")))))</f>
        <v>OK</v>
      </c>
      <c r="L312" s="36" t="n">
        <f aca="false">IF(Raw_Export!$A312="","",IF(OR(K312="OK",K312="Return"),1,0))</f>
        <v>1</v>
      </c>
      <c r="M312" s="37" t="n">
        <f aca="false">IF(Raw_Export!$A312="","",B312-WEEKDAY(B312,2)+1)</f>
        <v>46265</v>
      </c>
    </row>
    <row r="313" customFormat="false" ht="15" hidden="false" customHeight="false" outlineLevel="0" collapsed="false">
      <c r="A313" s="36" t="str">
        <f aca="false">IF(Raw_Export!$A313="","",TRIM(Raw_Export!A313))</f>
        <v>TXN-100307</v>
      </c>
      <c r="B313" s="37" t="n">
        <f aca="false">IF(Raw_Export!$A313="","",IF(ISNUMBER(Raw_Export!B313),Raw_Export!B313,IF(MID(TRIM(Raw_Export!B313),5,1)="-",DATE(LEFT(TRIM(Raw_Export!B313),4),MID(TRIM(Raw_Export!B313),6,2),RIGHT(TRIM(Raw_Export!B313),2)),DATE(RIGHT(TRIM(Raw_Export!B313),4),MATCH(MID(TRIM(Raw_Export!B313),4,3),{"Jan","Feb","Mar","Apr","May","Jun","Jul","Aug","Sep","Oct","Nov","Dec"},0),LEFT(TRIM(Raw_Export!B313),2)))))</f>
        <v>46267</v>
      </c>
      <c r="C313" s="36" t="str">
        <f aca="false">IF(Raw_Export!$A313="","",IFERROR(VLOOKUP(LOWER(TRIM(Raw_Export!C313)),Maps!$A$2:$B$20,2,FALSE()),"UNMAPPED"))</f>
        <v>Westlands</v>
      </c>
      <c r="D313" s="36" t="str">
        <f aca="false">IF(Raw_Export!$A313="","",IFERROR(VLOOKUP(LOWER(TRIM(Raw_Export!D313)),Maps!$G$2:$I$80,2,FALSE()),"UNMAPPED"))</f>
        <v>Cooking Oil 1L</v>
      </c>
      <c r="E313" s="36" t="str">
        <f aca="false">IF(Raw_Export!$A313="","",IFERROR(VLOOKUP(LOWER(TRIM(Raw_Export!D313)),Maps!$G$2:$I$80,3,FALSE()),"UNMAPPED"))</f>
        <v>Staples</v>
      </c>
      <c r="F313" s="36" t="n">
        <f aca="false">IF(Raw_Export!$A313="","",IFERROR(VALUE(TRIM(Raw_Export!E313)),0))</f>
        <v>2</v>
      </c>
      <c r="G313" s="38" t="n">
        <f aca="false">IF(Raw_Export!$A313="","",IFERROR(VALUE(SUBSTITUTE(SUBSTITUTE(UPPER(TRIM(Raw_Export!F313)),"KES",""),",","")),0))</f>
        <v>330</v>
      </c>
      <c r="H313" s="38" t="n">
        <f aca="false">IF(Raw_Export!$A313="","",F313*G313)</f>
        <v>660</v>
      </c>
      <c r="I313" s="36" t="str">
        <f aca="false">IF(Raw_Export!$A313="","",IFERROR(VLOOKUP(LOWER(TRIM(Raw_Export!H313)),Maps!$D$2:$E$12,2,FALSE()),"Other"))</f>
        <v>Cash</v>
      </c>
      <c r="J313" s="36" t="str">
        <f aca="false">IF(Raw_Export!$A313="","",IF(COUNTIF($A$2:A313,A313)&gt;1,"Duplicate",""))</f>
        <v/>
      </c>
      <c r="K313" s="36" t="str">
        <f aca="false">IF(Raw_Export!$A313="","",IF(J313="Duplicate","Duplicate",IF(OR(C313="UNMAPPED",D313="UNMAPPED"),"Unmapped",IF(F313=0,"Blank qty",IF(F313&lt;0,"Return","OK")))))</f>
        <v>OK</v>
      </c>
      <c r="L313" s="36" t="n">
        <f aca="false">IF(Raw_Export!$A313="","",IF(OR(K313="OK",K313="Return"),1,0))</f>
        <v>1</v>
      </c>
      <c r="M313" s="37" t="n">
        <f aca="false">IF(Raw_Export!$A313="","",B313-WEEKDAY(B313,2)+1)</f>
        <v>46265</v>
      </c>
    </row>
    <row r="314" customFormat="false" ht="15" hidden="false" customHeight="false" outlineLevel="0" collapsed="false">
      <c r="A314" s="36" t="str">
        <f aca="false">IF(Raw_Export!$A314="","",TRIM(Raw_Export!A314))</f>
        <v>TXN-100308</v>
      </c>
      <c r="B314" s="37" t="n">
        <f aca="false">IF(Raw_Export!$A314="","",IF(ISNUMBER(Raw_Export!B314),Raw_Export!B314,IF(MID(TRIM(Raw_Export!B314),5,1)="-",DATE(LEFT(TRIM(Raw_Export!B314),4),MID(TRIM(Raw_Export!B314),6,2),RIGHT(TRIM(Raw_Export!B314),2)),DATE(RIGHT(TRIM(Raw_Export!B314),4),MATCH(MID(TRIM(Raw_Export!B314),4,3),{"Jan","Feb","Mar","Apr","May","Jun","Jul","Aug","Sep","Oct","Nov","Dec"},0),LEFT(TRIM(Raw_Export!B314),2)))))</f>
        <v>46267</v>
      </c>
      <c r="C314" s="36" t="str">
        <f aca="false">IF(Raw_Export!$A314="","",IFERROR(VLOOKUP(LOWER(TRIM(Raw_Export!C314)),Maps!$A$2:$B$20,2,FALSE()),"UNMAPPED"))</f>
        <v>Westlands</v>
      </c>
      <c r="D314" s="36" t="str">
        <f aca="false">IF(Raw_Export!$A314="","",IFERROR(VLOOKUP(LOWER(TRIM(Raw_Export!D314)),Maps!$G$2:$I$80,2,FALSE()),"UNMAPPED"))</f>
        <v>Peanuts 250g</v>
      </c>
      <c r="E314" s="36" t="str">
        <f aca="false">IF(Raw_Export!$A314="","",IFERROR(VLOOKUP(LOWER(TRIM(Raw_Export!D314)),Maps!$G$2:$I$80,3,FALSE()),"UNMAPPED"))</f>
        <v>Snacks</v>
      </c>
      <c r="F314" s="36" t="n">
        <f aca="false">IF(Raw_Export!$A314="","",IFERROR(VALUE(TRIM(Raw_Export!E314)),0))</f>
        <v>6</v>
      </c>
      <c r="G314" s="38" t="n">
        <f aca="false">IF(Raw_Export!$A314="","",IFERROR(VALUE(SUBSTITUTE(SUBSTITUTE(UPPER(TRIM(Raw_Export!F314)),"KES",""),",","")),0))</f>
        <v>130</v>
      </c>
      <c r="H314" s="38" t="n">
        <f aca="false">IF(Raw_Export!$A314="","",F314*G314)</f>
        <v>780</v>
      </c>
      <c r="I314" s="36" t="str">
        <f aca="false">IF(Raw_Export!$A314="","",IFERROR(VLOOKUP(LOWER(TRIM(Raw_Export!H314)),Maps!$D$2:$E$12,2,FALSE()),"Other"))</f>
        <v>M-Pesa</v>
      </c>
      <c r="J314" s="36" t="str">
        <f aca="false">IF(Raw_Export!$A314="","",IF(COUNTIF($A$2:A314,A314)&gt;1,"Duplicate",""))</f>
        <v/>
      </c>
      <c r="K314" s="36" t="str">
        <f aca="false">IF(Raw_Export!$A314="","",IF(J314="Duplicate","Duplicate",IF(OR(C314="UNMAPPED",D314="UNMAPPED"),"Unmapped",IF(F314=0,"Blank qty",IF(F314&lt;0,"Return","OK")))))</f>
        <v>OK</v>
      </c>
      <c r="L314" s="36" t="n">
        <f aca="false">IF(Raw_Export!$A314="","",IF(OR(K314="OK",K314="Return"),1,0))</f>
        <v>1</v>
      </c>
      <c r="M314" s="37" t="n">
        <f aca="false">IF(Raw_Export!$A314="","",B314-WEEKDAY(B314,2)+1)</f>
        <v>46265</v>
      </c>
    </row>
    <row r="315" customFormat="false" ht="15" hidden="false" customHeight="false" outlineLevel="0" collapsed="false">
      <c r="A315" s="36" t="str">
        <f aca="false">IF(Raw_Export!$A315="","",TRIM(Raw_Export!A315))</f>
        <v>TXN-100309</v>
      </c>
      <c r="B315" s="37" t="n">
        <f aca="false">IF(Raw_Export!$A315="","",IF(ISNUMBER(Raw_Export!B315),Raw_Export!B315,IF(MID(TRIM(Raw_Export!B315),5,1)="-",DATE(LEFT(TRIM(Raw_Export!B315),4),MID(TRIM(Raw_Export!B315),6,2),RIGHT(TRIM(Raw_Export!B315),2)),DATE(RIGHT(TRIM(Raw_Export!B315),4),MATCH(MID(TRIM(Raw_Export!B315),4,3),{"Jan","Feb","Mar","Apr","May","Jun","Jul","Aug","Sep","Oct","Nov","Dec"},0),LEFT(TRIM(Raw_Export!B315),2)))))</f>
        <v>46267</v>
      </c>
      <c r="C315" s="36" t="str">
        <f aca="false">IF(Raw_Export!$A315="","",IFERROR(VLOOKUP(LOWER(TRIM(Raw_Export!C315)),Maps!$A$2:$B$20,2,FALSE()),"UNMAPPED"))</f>
        <v>Westlands</v>
      </c>
      <c r="D315" s="36" t="str">
        <f aca="false">IF(Raw_Export!$A315="","",IFERROR(VLOOKUP(LOWER(TRIM(Raw_Export!D315)),Maps!$G$2:$I$80,2,FALSE()),"UNMAPPED"))</f>
        <v>Soda 500ml</v>
      </c>
      <c r="E315" s="36" t="str">
        <f aca="false">IF(Raw_Export!$A315="","",IFERROR(VLOOKUP(LOWER(TRIM(Raw_Export!D315)),Maps!$G$2:$I$80,3,FALSE()),"UNMAPPED"))</f>
        <v>Beverages</v>
      </c>
      <c r="F315" s="36" t="n">
        <f aca="false">IF(Raw_Export!$A315="","",IFERROR(VALUE(TRIM(Raw_Export!E315)),0))</f>
        <v>4</v>
      </c>
      <c r="G315" s="38" t="n">
        <f aca="false">IF(Raw_Export!$A315="","",IFERROR(VALUE(SUBSTITUTE(SUBSTITUTE(UPPER(TRIM(Raw_Export!F315)),"KES",""),",","")),0))</f>
        <v>60</v>
      </c>
      <c r="H315" s="38" t="n">
        <f aca="false">IF(Raw_Export!$A315="","",F315*G315)</f>
        <v>240</v>
      </c>
      <c r="I315" s="36" t="str">
        <f aca="false">IF(Raw_Export!$A315="","",IFERROR(VLOOKUP(LOWER(TRIM(Raw_Export!H315)),Maps!$D$2:$E$12,2,FALSE()),"Other"))</f>
        <v>Cash</v>
      </c>
      <c r="J315" s="36" t="str">
        <f aca="false">IF(Raw_Export!$A315="","",IF(COUNTIF($A$2:A315,A315)&gt;1,"Duplicate",""))</f>
        <v/>
      </c>
      <c r="K315" s="36" t="str">
        <f aca="false">IF(Raw_Export!$A315="","",IF(J315="Duplicate","Duplicate",IF(OR(C315="UNMAPPED",D315="UNMAPPED"),"Unmapped",IF(F315=0,"Blank qty",IF(F315&lt;0,"Return","OK")))))</f>
        <v>OK</v>
      </c>
      <c r="L315" s="36" t="n">
        <f aca="false">IF(Raw_Export!$A315="","",IF(OR(K315="OK",K315="Return"),1,0))</f>
        <v>1</v>
      </c>
      <c r="M315" s="37" t="n">
        <f aca="false">IF(Raw_Export!$A315="","",B315-WEEKDAY(B315,2)+1)</f>
        <v>46265</v>
      </c>
    </row>
    <row r="316" customFormat="false" ht="15" hidden="false" customHeight="false" outlineLevel="0" collapsed="false">
      <c r="A316" s="36" t="str">
        <f aca="false">IF(Raw_Export!$A316="","",TRIM(Raw_Export!A316))</f>
        <v>TXN-100310</v>
      </c>
      <c r="B316" s="37" t="n">
        <f aca="false">IF(Raw_Export!$A316="","",IF(ISNUMBER(Raw_Export!B316),Raw_Export!B316,IF(MID(TRIM(Raw_Export!B316),5,1)="-",DATE(LEFT(TRIM(Raw_Export!B316),4),MID(TRIM(Raw_Export!B316),6,2),RIGHT(TRIM(Raw_Export!B316),2)),DATE(RIGHT(TRIM(Raw_Export!B316),4),MATCH(MID(TRIM(Raw_Export!B316),4,3),{"Jan","Feb","Mar","Apr","May","Jun","Jul","Aug","Sep","Oct","Nov","Dec"},0),LEFT(TRIM(Raw_Export!B316),2)))))</f>
        <v>46267</v>
      </c>
      <c r="C316" s="36" t="str">
        <f aca="false">IF(Raw_Export!$A316="","",IFERROR(VLOOKUP(LOWER(TRIM(Raw_Export!C316)),Maps!$A$2:$B$20,2,FALSE()),"UNMAPPED"))</f>
        <v>Westlands</v>
      </c>
      <c r="D316" s="36" t="str">
        <f aca="false">IF(Raw_Export!$A316="","",IFERROR(VLOOKUP(LOWER(TRIM(Raw_Export!D316)),Maps!$G$2:$I$80,2,FALSE()),"UNMAPPED"))</f>
        <v>Toilet Paper 10pk</v>
      </c>
      <c r="E316" s="36" t="str">
        <f aca="false">IF(Raw_Export!$A316="","",IFERROR(VLOOKUP(LOWER(TRIM(Raw_Export!D316)),Maps!$G$2:$I$80,3,FALSE()),"UNMAPPED"))</f>
        <v>Household</v>
      </c>
      <c r="F316" s="36" t="n">
        <f aca="false">IF(Raw_Export!$A316="","",IFERROR(VALUE(TRIM(Raw_Export!E316)),0))</f>
        <v>1</v>
      </c>
      <c r="G316" s="38" t="n">
        <f aca="false">IF(Raw_Export!$A316="","",IFERROR(VALUE(SUBSTITUTE(SUBSTITUTE(UPPER(TRIM(Raw_Export!F316)),"KES",""),",","")),0))</f>
        <v>380</v>
      </c>
      <c r="H316" s="38" t="n">
        <f aca="false">IF(Raw_Export!$A316="","",F316*G316)</f>
        <v>380</v>
      </c>
      <c r="I316" s="36" t="str">
        <f aca="false">IF(Raw_Export!$A316="","",IFERROR(VLOOKUP(LOWER(TRIM(Raw_Export!H316)),Maps!$D$2:$E$12,2,FALSE()),"Other"))</f>
        <v>M-Pesa</v>
      </c>
      <c r="J316" s="36" t="str">
        <f aca="false">IF(Raw_Export!$A316="","",IF(COUNTIF($A$2:A316,A316)&gt;1,"Duplicate",""))</f>
        <v/>
      </c>
      <c r="K316" s="36" t="str">
        <f aca="false">IF(Raw_Export!$A316="","",IF(J316="Duplicate","Duplicate",IF(OR(C316="UNMAPPED",D316="UNMAPPED"),"Unmapped",IF(F316=0,"Blank qty",IF(F316&lt;0,"Return","OK")))))</f>
        <v>OK</v>
      </c>
      <c r="L316" s="36" t="n">
        <f aca="false">IF(Raw_Export!$A316="","",IF(OR(K316="OK",K316="Return"),1,0))</f>
        <v>1</v>
      </c>
      <c r="M316" s="37" t="n">
        <f aca="false">IF(Raw_Export!$A316="","",B316-WEEKDAY(B316,2)+1)</f>
        <v>46265</v>
      </c>
    </row>
    <row r="317" customFormat="false" ht="15" hidden="false" customHeight="false" outlineLevel="0" collapsed="false">
      <c r="A317" s="36" t="str">
        <f aca="false">IF(Raw_Export!$A317="","",TRIM(Raw_Export!A317))</f>
        <v>TXN-100311</v>
      </c>
      <c r="B317" s="37" t="n">
        <f aca="false">IF(Raw_Export!$A317="","",IF(ISNUMBER(Raw_Export!B317),Raw_Export!B317,IF(MID(TRIM(Raw_Export!B317),5,1)="-",DATE(LEFT(TRIM(Raw_Export!B317),4),MID(TRIM(Raw_Export!B317),6,2),RIGHT(TRIM(Raw_Export!B317),2)),DATE(RIGHT(TRIM(Raw_Export!B317),4),MATCH(MID(TRIM(Raw_Export!B317),4,3),{"Jan","Feb","Mar","Apr","May","Jun","Jul","Aug","Sep","Oct","Nov","Dec"},0),LEFT(TRIM(Raw_Export!B317),2)))))</f>
        <v>46267</v>
      </c>
      <c r="C317" s="36" t="str">
        <f aca="false">IF(Raw_Export!$A317="","",IFERROR(VLOOKUP(LOWER(TRIM(Raw_Export!C317)),Maps!$A$2:$B$20,2,FALSE()),"UNMAPPED"))</f>
        <v>Westlands</v>
      </c>
      <c r="D317" s="36" t="str">
        <f aca="false">IF(Raw_Export!$A317="","",IFERROR(VLOOKUP(LOWER(TRIM(Raw_Export!D317)),Maps!$G$2:$I$80,2,FALSE()),"UNMAPPED"))</f>
        <v>Cheddar 200g</v>
      </c>
      <c r="E317" s="36" t="str">
        <f aca="false">IF(Raw_Export!$A317="","",IFERROR(VLOOKUP(LOWER(TRIM(Raw_Export!D317)),Maps!$G$2:$I$80,3,FALSE()),"UNMAPPED"))</f>
        <v>Dairy &amp; Eggs</v>
      </c>
      <c r="F317" s="36" t="n">
        <f aca="false">IF(Raw_Export!$A317="","",IFERROR(VALUE(TRIM(Raw_Export!E317)),0))</f>
        <v>2</v>
      </c>
      <c r="G317" s="38" t="n">
        <f aca="false">IF(Raw_Export!$A317="","",IFERROR(VALUE(SUBSTITUTE(SUBSTITUTE(UPPER(TRIM(Raw_Export!F317)),"KES",""),",","")),0))</f>
        <v>380</v>
      </c>
      <c r="H317" s="38" t="n">
        <f aca="false">IF(Raw_Export!$A317="","",F317*G317)</f>
        <v>760</v>
      </c>
      <c r="I317" s="36" t="str">
        <f aca="false">IF(Raw_Export!$A317="","",IFERROR(VLOOKUP(LOWER(TRIM(Raw_Export!H317)),Maps!$D$2:$E$12,2,FALSE()),"Other"))</f>
        <v>M-Pesa</v>
      </c>
      <c r="J317" s="36" t="str">
        <f aca="false">IF(Raw_Export!$A317="","",IF(COUNTIF($A$2:A317,A317)&gt;1,"Duplicate",""))</f>
        <v/>
      </c>
      <c r="K317" s="36" t="str">
        <f aca="false">IF(Raw_Export!$A317="","",IF(J317="Duplicate","Duplicate",IF(OR(C317="UNMAPPED",D317="UNMAPPED"),"Unmapped",IF(F317=0,"Blank qty",IF(F317&lt;0,"Return","OK")))))</f>
        <v>OK</v>
      </c>
      <c r="L317" s="36" t="n">
        <f aca="false">IF(Raw_Export!$A317="","",IF(OR(K317="OK",K317="Return"),1,0))</f>
        <v>1</v>
      </c>
      <c r="M317" s="37" t="n">
        <f aca="false">IF(Raw_Export!$A317="","",B317-WEEKDAY(B317,2)+1)</f>
        <v>46265</v>
      </c>
    </row>
    <row r="318" customFormat="false" ht="15" hidden="false" customHeight="false" outlineLevel="0" collapsed="false">
      <c r="A318" s="36" t="str">
        <f aca="false">IF(Raw_Export!$A318="","",TRIM(Raw_Export!A318))</f>
        <v>TXN-100312</v>
      </c>
      <c r="B318" s="37" t="n">
        <f aca="false">IF(Raw_Export!$A318="","",IF(ISNUMBER(Raw_Export!B318),Raw_Export!B318,IF(MID(TRIM(Raw_Export!B318),5,1)="-",DATE(LEFT(TRIM(Raw_Export!B318),4),MID(TRIM(Raw_Export!B318),6,2),RIGHT(TRIM(Raw_Export!B318),2)),DATE(RIGHT(TRIM(Raw_Export!B318),4),MATCH(MID(TRIM(Raw_Export!B318),4,3),{"Jan","Feb","Mar","Apr","May","Jun","Jul","Aug","Sep","Oct","Nov","Dec"},0),LEFT(TRIM(Raw_Export!B318),2)))))</f>
        <v>46267</v>
      </c>
      <c r="C318" s="36" t="str">
        <f aca="false">IF(Raw_Export!$A318="","",IFERROR(VLOOKUP(LOWER(TRIM(Raw_Export!C318)),Maps!$A$2:$B$20,2,FALSE()),"UNMAPPED"))</f>
        <v>Westlands</v>
      </c>
      <c r="D318" s="36" t="str">
        <f aca="false">IF(Raw_Export!$A318="","",IFERROR(VLOOKUP(LOWER(TRIM(Raw_Export!D318)),Maps!$G$2:$I$80,2,FALSE()),"UNMAPPED"))</f>
        <v>Bath Soap 175g</v>
      </c>
      <c r="E318" s="36" t="str">
        <f aca="false">IF(Raw_Export!$A318="","",IFERROR(VLOOKUP(LOWER(TRIM(Raw_Export!D318)),Maps!$G$2:$I$80,3,FALSE()),"UNMAPPED"))</f>
        <v>Personal Care</v>
      </c>
      <c r="F318" s="36" t="n">
        <f aca="false">IF(Raw_Export!$A318="","",IFERROR(VALUE(TRIM(Raw_Export!E318)),0))</f>
        <v>2</v>
      </c>
      <c r="G318" s="38" t="n">
        <f aca="false">IF(Raw_Export!$A318="","",IFERROR(VALUE(SUBSTITUTE(SUBSTITUTE(UPPER(TRIM(Raw_Export!F318)),"KES",""),",","")),0))</f>
        <v>85</v>
      </c>
      <c r="H318" s="38" t="n">
        <f aca="false">IF(Raw_Export!$A318="","",F318*G318)</f>
        <v>170</v>
      </c>
      <c r="I318" s="36" t="str">
        <f aca="false">IF(Raw_Export!$A318="","",IFERROR(VLOOKUP(LOWER(TRIM(Raw_Export!H318)),Maps!$D$2:$E$12,2,FALSE()),"Other"))</f>
        <v>M-Pesa</v>
      </c>
      <c r="J318" s="36" t="str">
        <f aca="false">IF(Raw_Export!$A318="","",IF(COUNTIF($A$2:A318,A318)&gt;1,"Duplicate",""))</f>
        <v/>
      </c>
      <c r="K318" s="36" t="str">
        <f aca="false">IF(Raw_Export!$A318="","",IF(J318="Duplicate","Duplicate",IF(OR(C318="UNMAPPED",D318="UNMAPPED"),"Unmapped",IF(F318=0,"Blank qty",IF(F318&lt;0,"Return","OK")))))</f>
        <v>OK</v>
      </c>
      <c r="L318" s="36" t="n">
        <f aca="false">IF(Raw_Export!$A318="","",IF(OR(K318="OK",K318="Return"),1,0))</f>
        <v>1</v>
      </c>
      <c r="M318" s="37" t="n">
        <f aca="false">IF(Raw_Export!$A318="","",B318-WEEKDAY(B318,2)+1)</f>
        <v>46265</v>
      </c>
    </row>
    <row r="319" customFormat="false" ht="15" hidden="false" customHeight="false" outlineLevel="0" collapsed="false">
      <c r="A319" s="36" t="str">
        <f aca="false">IF(Raw_Export!$A319="","",TRIM(Raw_Export!A319))</f>
        <v>TXN-100313</v>
      </c>
      <c r="B319" s="37" t="n">
        <f aca="false">IF(Raw_Export!$A319="","",IF(ISNUMBER(Raw_Export!B319),Raw_Export!B319,IF(MID(TRIM(Raw_Export!B319),5,1)="-",DATE(LEFT(TRIM(Raw_Export!B319),4),MID(TRIM(Raw_Export!B319),6,2),RIGHT(TRIM(Raw_Export!B319),2)),DATE(RIGHT(TRIM(Raw_Export!B319),4),MATCH(MID(TRIM(Raw_Export!B319),4,3),{"Jan","Feb","Mar","Apr","May","Jun","Jul","Aug","Sep","Oct","Nov","Dec"},0),LEFT(TRIM(Raw_Export!B319),2)))))</f>
        <v>46267</v>
      </c>
      <c r="C319" s="36" t="str">
        <f aca="false">IF(Raw_Export!$A319="","",IFERROR(VLOOKUP(LOWER(TRIM(Raw_Export!C319)),Maps!$A$2:$B$20,2,FALSE()),"UNMAPPED"))</f>
        <v>Westlands</v>
      </c>
      <c r="D319" s="36" t="str">
        <f aca="false">IF(Raw_Export!$A319="","",IFERROR(VLOOKUP(LOWER(TRIM(Raw_Export!D319)),Maps!$G$2:$I$80,2,FALSE()),"UNMAPPED"))</f>
        <v>Peanuts 250g</v>
      </c>
      <c r="E319" s="36" t="str">
        <f aca="false">IF(Raw_Export!$A319="","",IFERROR(VLOOKUP(LOWER(TRIM(Raw_Export!D319)),Maps!$G$2:$I$80,3,FALSE()),"UNMAPPED"))</f>
        <v>Snacks</v>
      </c>
      <c r="F319" s="36" t="n">
        <f aca="false">IF(Raw_Export!$A319="","",IFERROR(VALUE(TRIM(Raw_Export!E319)),0))</f>
        <v>4</v>
      </c>
      <c r="G319" s="38" t="n">
        <f aca="false">IF(Raw_Export!$A319="","",IFERROR(VALUE(SUBSTITUTE(SUBSTITUTE(UPPER(TRIM(Raw_Export!F319)),"KES",""),",","")),0))</f>
        <v>117</v>
      </c>
      <c r="H319" s="38" t="n">
        <f aca="false">IF(Raw_Export!$A319="","",F319*G319)</f>
        <v>468</v>
      </c>
      <c r="I319" s="36" t="str">
        <f aca="false">IF(Raw_Export!$A319="","",IFERROR(VLOOKUP(LOWER(TRIM(Raw_Export!H319)),Maps!$D$2:$E$12,2,FALSE()),"Other"))</f>
        <v>M-Pesa</v>
      </c>
      <c r="J319" s="36" t="str">
        <f aca="false">IF(Raw_Export!$A319="","",IF(COUNTIF($A$2:A319,A319)&gt;1,"Duplicate",""))</f>
        <v/>
      </c>
      <c r="K319" s="36" t="str">
        <f aca="false">IF(Raw_Export!$A319="","",IF(J319="Duplicate","Duplicate",IF(OR(C319="UNMAPPED",D319="UNMAPPED"),"Unmapped",IF(F319=0,"Blank qty",IF(F319&lt;0,"Return","OK")))))</f>
        <v>OK</v>
      </c>
      <c r="L319" s="36" t="n">
        <f aca="false">IF(Raw_Export!$A319="","",IF(OR(K319="OK",K319="Return"),1,0))</f>
        <v>1</v>
      </c>
      <c r="M319" s="37" t="n">
        <f aca="false">IF(Raw_Export!$A319="","",B319-WEEKDAY(B319,2)+1)</f>
        <v>46265</v>
      </c>
    </row>
    <row r="320" customFormat="false" ht="15" hidden="false" customHeight="false" outlineLevel="0" collapsed="false">
      <c r="A320" s="36" t="str">
        <f aca="false">IF(Raw_Export!$A320="","",TRIM(Raw_Export!A320))</f>
        <v>TXN-100314</v>
      </c>
      <c r="B320" s="37" t="n">
        <f aca="false">IF(Raw_Export!$A320="","",IF(ISNUMBER(Raw_Export!B320),Raw_Export!B320,IF(MID(TRIM(Raw_Export!B320),5,1)="-",DATE(LEFT(TRIM(Raw_Export!B320),4),MID(TRIM(Raw_Export!B320),6,2),RIGHT(TRIM(Raw_Export!B320),2)),DATE(RIGHT(TRIM(Raw_Export!B320),4),MATCH(MID(TRIM(Raw_Export!B320),4,3),{"Jan","Feb","Mar","Apr","May","Jun","Jul","Aug","Sep","Oct","Nov","Dec"},0),LEFT(TRIM(Raw_Export!B320),2)))))</f>
        <v>46267</v>
      </c>
      <c r="C320" s="36" t="str">
        <f aca="false">IF(Raw_Export!$A320="","",IFERROR(VLOOKUP(LOWER(TRIM(Raw_Export!C320)),Maps!$A$2:$B$20,2,FALSE()),"UNMAPPED"))</f>
        <v>Mombasa</v>
      </c>
      <c r="D320" s="36" t="str">
        <f aca="false">IF(Raw_Export!$A320="","",IFERROR(VLOOKUP(LOWER(TRIM(Raw_Export!D320)),Maps!$G$2:$I$80,2,FALSE()),"UNMAPPED"))</f>
        <v>Cheddar 200g</v>
      </c>
      <c r="E320" s="36" t="str">
        <f aca="false">IF(Raw_Export!$A320="","",IFERROR(VLOOKUP(LOWER(TRIM(Raw_Export!D320)),Maps!$G$2:$I$80,3,FALSE()),"UNMAPPED"))</f>
        <v>Dairy &amp; Eggs</v>
      </c>
      <c r="F320" s="36" t="n">
        <f aca="false">IF(Raw_Export!$A320="","",IFERROR(VALUE(TRIM(Raw_Export!E320)),0))</f>
        <v>4</v>
      </c>
      <c r="G320" s="38" t="n">
        <f aca="false">IF(Raw_Export!$A320="","",IFERROR(VALUE(SUBSTITUTE(SUBSTITUTE(UPPER(TRIM(Raw_Export!F320)),"KES",""),",","")),0))</f>
        <v>380</v>
      </c>
      <c r="H320" s="38" t="n">
        <f aca="false">IF(Raw_Export!$A320="","",F320*G320)</f>
        <v>1520</v>
      </c>
      <c r="I320" s="36" t="str">
        <f aca="false">IF(Raw_Export!$A320="","",IFERROR(VLOOKUP(LOWER(TRIM(Raw_Export!H320)),Maps!$D$2:$E$12,2,FALSE()),"Other"))</f>
        <v>Cash</v>
      </c>
      <c r="J320" s="36" t="str">
        <f aca="false">IF(Raw_Export!$A320="","",IF(COUNTIF($A$2:A320,A320)&gt;1,"Duplicate",""))</f>
        <v/>
      </c>
      <c r="K320" s="36" t="str">
        <f aca="false">IF(Raw_Export!$A320="","",IF(J320="Duplicate","Duplicate",IF(OR(C320="UNMAPPED",D320="UNMAPPED"),"Unmapped",IF(F320=0,"Blank qty",IF(F320&lt;0,"Return","OK")))))</f>
        <v>OK</v>
      </c>
      <c r="L320" s="36" t="n">
        <f aca="false">IF(Raw_Export!$A320="","",IF(OR(K320="OK",K320="Return"),1,0))</f>
        <v>1</v>
      </c>
      <c r="M320" s="37" t="n">
        <f aca="false">IF(Raw_Export!$A320="","",B320-WEEKDAY(B320,2)+1)</f>
        <v>46265</v>
      </c>
    </row>
    <row r="321" customFormat="false" ht="15" hidden="false" customHeight="false" outlineLevel="0" collapsed="false">
      <c r="A321" s="36" t="str">
        <f aca="false">IF(Raw_Export!$A321="","",TRIM(Raw_Export!A321))</f>
        <v>TXN-100315</v>
      </c>
      <c r="B321" s="37" t="n">
        <f aca="false">IF(Raw_Export!$A321="","",IF(ISNUMBER(Raw_Export!B321),Raw_Export!B321,IF(MID(TRIM(Raw_Export!B321),5,1)="-",DATE(LEFT(TRIM(Raw_Export!B321),4),MID(TRIM(Raw_Export!B321),6,2),RIGHT(TRIM(Raw_Export!B321),2)),DATE(RIGHT(TRIM(Raw_Export!B321),4),MATCH(MID(TRIM(Raw_Export!B321),4,3),{"Jan","Feb","Mar","Apr","May","Jun","Jul","Aug","Sep","Oct","Nov","Dec"},0),LEFT(TRIM(Raw_Export!B321),2)))))</f>
        <v>46267</v>
      </c>
      <c r="C321" s="36" t="str">
        <f aca="false">IF(Raw_Export!$A321="","",IFERROR(VLOOKUP(LOWER(TRIM(Raw_Export!C321)),Maps!$A$2:$B$20,2,FALSE()),"UNMAPPED"))</f>
        <v>Mombasa</v>
      </c>
      <c r="D321" s="36" t="str">
        <f aca="false">IF(Raw_Export!$A321="","",IFERROR(VLOOKUP(LOWER(TRIM(Raw_Export!D321)),Maps!$G$2:$I$80,2,FALSE()),"UNMAPPED"))</f>
        <v>Bread Loaf 400g</v>
      </c>
      <c r="E321" s="36" t="str">
        <f aca="false">IF(Raw_Export!$A321="","",IFERROR(VLOOKUP(LOWER(TRIM(Raw_Export!D321)),Maps!$G$2:$I$80,3,FALSE()),"UNMAPPED"))</f>
        <v>Snacks</v>
      </c>
      <c r="F321" s="36" t="n">
        <f aca="false">IF(Raw_Export!$A321="","",IFERROR(VALUE(TRIM(Raw_Export!E321)),0))</f>
        <v>2</v>
      </c>
      <c r="G321" s="38" t="n">
        <f aca="false">IF(Raw_Export!$A321="","",IFERROR(VALUE(SUBSTITUTE(SUBSTITUTE(UPPER(TRIM(Raw_Export!F321)),"KES",""),",","")),0))</f>
        <v>65</v>
      </c>
      <c r="H321" s="38" t="n">
        <f aca="false">IF(Raw_Export!$A321="","",F321*G321)</f>
        <v>130</v>
      </c>
      <c r="I321" s="36" t="str">
        <f aca="false">IF(Raw_Export!$A321="","",IFERROR(VLOOKUP(LOWER(TRIM(Raw_Export!H321)),Maps!$D$2:$E$12,2,FALSE()),"Other"))</f>
        <v>Card</v>
      </c>
      <c r="J321" s="36" t="str">
        <f aca="false">IF(Raw_Export!$A321="","",IF(COUNTIF($A$2:A321,A321)&gt;1,"Duplicate",""))</f>
        <v/>
      </c>
      <c r="K321" s="36" t="str">
        <f aca="false">IF(Raw_Export!$A321="","",IF(J321="Duplicate","Duplicate",IF(OR(C321="UNMAPPED",D321="UNMAPPED"),"Unmapped",IF(F321=0,"Blank qty",IF(F321&lt;0,"Return","OK")))))</f>
        <v>OK</v>
      </c>
      <c r="L321" s="36" t="n">
        <f aca="false">IF(Raw_Export!$A321="","",IF(OR(K321="OK",K321="Return"),1,0))</f>
        <v>1</v>
      </c>
      <c r="M321" s="37" t="n">
        <f aca="false">IF(Raw_Export!$A321="","",B321-WEEKDAY(B321,2)+1)</f>
        <v>46265</v>
      </c>
    </row>
    <row r="322" customFormat="false" ht="15" hidden="false" customHeight="false" outlineLevel="0" collapsed="false">
      <c r="A322" s="36" t="str">
        <f aca="false">IF(Raw_Export!$A322="","",TRIM(Raw_Export!A322))</f>
        <v>TXN-100316</v>
      </c>
      <c r="B322" s="37" t="n">
        <f aca="false">IF(Raw_Export!$A322="","",IF(ISNUMBER(Raw_Export!B322),Raw_Export!B322,IF(MID(TRIM(Raw_Export!B322),5,1)="-",DATE(LEFT(TRIM(Raw_Export!B322),4),MID(TRIM(Raw_Export!B322),6,2),RIGHT(TRIM(Raw_Export!B322),2)),DATE(RIGHT(TRIM(Raw_Export!B322),4),MATCH(MID(TRIM(Raw_Export!B322),4,3),{"Jan","Feb","Mar","Apr","May","Jun","Jul","Aug","Sep","Oct","Nov","Dec"},0),LEFT(TRIM(Raw_Export!B322),2)))))</f>
        <v>46267</v>
      </c>
      <c r="C322" s="36" t="str">
        <f aca="false">IF(Raw_Export!$A322="","",IFERROR(VLOOKUP(LOWER(TRIM(Raw_Export!C322)),Maps!$A$2:$B$20,2,FALSE()),"UNMAPPED"))</f>
        <v>Mombasa</v>
      </c>
      <c r="D322" s="36" t="str">
        <f aca="false">IF(Raw_Export!$A322="","",IFERROR(VLOOKUP(LOWER(TRIM(Raw_Export!D322)),Maps!$G$2:$I$80,2,FALSE()),"UNMAPPED"))</f>
        <v>Sugar 2kg</v>
      </c>
      <c r="E322" s="36" t="str">
        <f aca="false">IF(Raw_Export!$A322="","",IFERROR(VLOOKUP(LOWER(TRIM(Raw_Export!D322)),Maps!$G$2:$I$80,3,FALSE()),"UNMAPPED"))</f>
        <v>Staples</v>
      </c>
      <c r="F322" s="36" t="n">
        <f aca="false">IF(Raw_Export!$A322="","",IFERROR(VALUE(TRIM(Raw_Export!E322)),0))</f>
        <v>1</v>
      </c>
      <c r="G322" s="38" t="n">
        <f aca="false">IF(Raw_Export!$A322="","",IFERROR(VALUE(SUBSTITUTE(SUBSTITUTE(UPPER(TRIM(Raw_Export!F322)),"KES",""),",","")),0))</f>
        <v>330</v>
      </c>
      <c r="H322" s="38" t="n">
        <f aca="false">IF(Raw_Export!$A322="","",F322*G322)</f>
        <v>330</v>
      </c>
      <c r="I322" s="36" t="str">
        <f aca="false">IF(Raw_Export!$A322="","",IFERROR(VLOOKUP(LOWER(TRIM(Raw_Export!H322)),Maps!$D$2:$E$12,2,FALSE()),"Other"))</f>
        <v>M-Pesa</v>
      </c>
      <c r="J322" s="36" t="str">
        <f aca="false">IF(Raw_Export!$A322="","",IF(COUNTIF($A$2:A322,A322)&gt;1,"Duplicate",""))</f>
        <v/>
      </c>
      <c r="K322" s="36" t="str">
        <f aca="false">IF(Raw_Export!$A322="","",IF(J322="Duplicate","Duplicate",IF(OR(C322="UNMAPPED",D322="UNMAPPED"),"Unmapped",IF(F322=0,"Blank qty",IF(F322&lt;0,"Return","OK")))))</f>
        <v>OK</v>
      </c>
      <c r="L322" s="36" t="n">
        <f aca="false">IF(Raw_Export!$A322="","",IF(OR(K322="OK",K322="Return"),1,0))</f>
        <v>1</v>
      </c>
      <c r="M322" s="37" t="n">
        <f aca="false">IF(Raw_Export!$A322="","",B322-WEEKDAY(B322,2)+1)</f>
        <v>46265</v>
      </c>
    </row>
    <row r="323" customFormat="false" ht="15" hidden="false" customHeight="false" outlineLevel="0" collapsed="false">
      <c r="A323" s="36" t="str">
        <f aca="false">IF(Raw_Export!$A323="","",TRIM(Raw_Export!A323))</f>
        <v>TXN-100317</v>
      </c>
      <c r="B323" s="37" t="n">
        <f aca="false">IF(Raw_Export!$A323="","",IF(ISNUMBER(Raw_Export!B323),Raw_Export!B323,IF(MID(TRIM(Raw_Export!B323),5,1)="-",DATE(LEFT(TRIM(Raw_Export!B323),4),MID(TRIM(Raw_Export!B323),6,2),RIGHT(TRIM(Raw_Export!B323),2)),DATE(RIGHT(TRIM(Raw_Export!B323),4),MATCH(MID(TRIM(Raw_Export!B323),4,3),{"Jan","Feb","Mar","Apr","May","Jun","Jul","Aug","Sep","Oct","Nov","Dec"},0),LEFT(TRIM(Raw_Export!B323),2)))))</f>
        <v>46267</v>
      </c>
      <c r="C323" s="36" t="str">
        <f aca="false">IF(Raw_Export!$A323="","",IFERROR(VLOOKUP(LOWER(TRIM(Raw_Export!C323)),Maps!$A$2:$B$20,2,FALSE()),"UNMAPPED"))</f>
        <v>Mombasa</v>
      </c>
      <c r="D323" s="36" t="str">
        <f aca="false">IF(Raw_Export!$A323="","",IFERROR(VLOOKUP(LOWER(TRIM(Raw_Export!D323)),Maps!$G$2:$I$80,2,FALSE()),"UNMAPPED"))</f>
        <v>Coffee 100g</v>
      </c>
      <c r="E323" s="36" t="str">
        <f aca="false">IF(Raw_Export!$A323="","",IFERROR(VLOOKUP(LOWER(TRIM(Raw_Export!D323)),Maps!$G$2:$I$80,3,FALSE()),"UNMAPPED"))</f>
        <v>Beverages</v>
      </c>
      <c r="F323" s="36" t="n">
        <f aca="false">IF(Raw_Export!$A323="","",IFERROR(VALUE(TRIM(Raw_Export!E323)),0))</f>
        <v>4</v>
      </c>
      <c r="G323" s="38" t="n">
        <f aca="false">IF(Raw_Export!$A323="","",IFERROR(VALUE(SUBSTITUTE(SUBSTITUTE(UPPER(TRIM(Raw_Export!F323)),"KES",""),",","")),0))</f>
        <v>360</v>
      </c>
      <c r="H323" s="38" t="n">
        <f aca="false">IF(Raw_Export!$A323="","",F323*G323)</f>
        <v>1440</v>
      </c>
      <c r="I323" s="36" t="str">
        <f aca="false">IF(Raw_Export!$A323="","",IFERROR(VLOOKUP(LOWER(TRIM(Raw_Export!H323)),Maps!$D$2:$E$12,2,FALSE()),"Other"))</f>
        <v>M-Pesa</v>
      </c>
      <c r="J323" s="36" t="str">
        <f aca="false">IF(Raw_Export!$A323="","",IF(COUNTIF($A$2:A323,A323)&gt;1,"Duplicate",""))</f>
        <v/>
      </c>
      <c r="K323" s="36" t="str">
        <f aca="false">IF(Raw_Export!$A323="","",IF(J323="Duplicate","Duplicate",IF(OR(C323="UNMAPPED",D323="UNMAPPED"),"Unmapped",IF(F323=0,"Blank qty",IF(F323&lt;0,"Return","OK")))))</f>
        <v>OK</v>
      </c>
      <c r="L323" s="36" t="n">
        <f aca="false">IF(Raw_Export!$A323="","",IF(OR(K323="OK",K323="Return"),1,0))</f>
        <v>1</v>
      </c>
      <c r="M323" s="37" t="n">
        <f aca="false">IF(Raw_Export!$A323="","",B323-WEEKDAY(B323,2)+1)</f>
        <v>46265</v>
      </c>
    </row>
    <row r="324" customFormat="false" ht="15" hidden="false" customHeight="false" outlineLevel="0" collapsed="false">
      <c r="A324" s="36" t="str">
        <f aca="false">IF(Raw_Export!$A324="","",TRIM(Raw_Export!A324))</f>
        <v>TXN-100318</v>
      </c>
      <c r="B324" s="37" t="n">
        <f aca="false">IF(Raw_Export!$A324="","",IF(ISNUMBER(Raw_Export!B324),Raw_Export!B324,IF(MID(TRIM(Raw_Export!B324),5,1)="-",DATE(LEFT(TRIM(Raw_Export!B324),4),MID(TRIM(Raw_Export!B324),6,2),RIGHT(TRIM(Raw_Export!B324),2)),DATE(RIGHT(TRIM(Raw_Export!B324),4),MATCH(MID(TRIM(Raw_Export!B324),4,3),{"Jan","Feb","Mar","Apr","May","Jun","Jul","Aug","Sep","Oct","Nov","Dec"},0),LEFT(TRIM(Raw_Export!B324),2)))))</f>
        <v>46267</v>
      </c>
      <c r="C324" s="36" t="str">
        <f aca="false">IF(Raw_Export!$A324="","",IFERROR(VLOOKUP(LOWER(TRIM(Raw_Export!C324)),Maps!$A$2:$B$20,2,FALSE()),"UNMAPPED"))</f>
        <v>Mombasa</v>
      </c>
      <c r="D324" s="36" t="str">
        <f aca="false">IF(Raw_Export!$A324="","",IFERROR(VLOOKUP(LOWER(TRIM(Raw_Export!D324)),Maps!$G$2:$I$80,2,FALSE()),"UNMAPPED"))</f>
        <v>Unga Pembe 2kg</v>
      </c>
      <c r="E324" s="36" t="str">
        <f aca="false">IF(Raw_Export!$A324="","",IFERROR(VLOOKUP(LOWER(TRIM(Raw_Export!D324)),Maps!$G$2:$I$80,3,FALSE()),"UNMAPPED"))</f>
        <v>Staples</v>
      </c>
      <c r="F324" s="36" t="n">
        <f aca="false">IF(Raw_Export!$A324="","",IFERROR(VALUE(TRIM(Raw_Export!E324)),0))</f>
        <v>1</v>
      </c>
      <c r="G324" s="38" t="n">
        <f aca="false">IF(Raw_Export!$A324="","",IFERROR(VALUE(SUBSTITUTE(SUBSTITUTE(UPPER(TRIM(Raw_Export!F324)),"KES",""),",","")),0))</f>
        <v>190</v>
      </c>
      <c r="H324" s="38" t="n">
        <f aca="false">IF(Raw_Export!$A324="","",F324*G324)</f>
        <v>190</v>
      </c>
      <c r="I324" s="36" t="str">
        <f aca="false">IF(Raw_Export!$A324="","",IFERROR(VLOOKUP(LOWER(TRIM(Raw_Export!H324)),Maps!$D$2:$E$12,2,FALSE()),"Other"))</f>
        <v>Cash</v>
      </c>
      <c r="J324" s="36" t="str">
        <f aca="false">IF(Raw_Export!$A324="","",IF(COUNTIF($A$2:A324,A324)&gt;1,"Duplicate",""))</f>
        <v/>
      </c>
      <c r="K324" s="36" t="str">
        <f aca="false">IF(Raw_Export!$A324="","",IF(J324="Duplicate","Duplicate",IF(OR(C324="UNMAPPED",D324="UNMAPPED"),"Unmapped",IF(F324=0,"Blank qty",IF(F324&lt;0,"Return","OK")))))</f>
        <v>OK</v>
      </c>
      <c r="L324" s="36" t="n">
        <f aca="false">IF(Raw_Export!$A324="","",IF(OR(K324="OK",K324="Return"),1,0))</f>
        <v>1</v>
      </c>
      <c r="M324" s="37" t="n">
        <f aca="false">IF(Raw_Export!$A324="","",B324-WEEKDAY(B324,2)+1)</f>
        <v>46265</v>
      </c>
    </row>
    <row r="325" customFormat="false" ht="15" hidden="false" customHeight="false" outlineLevel="0" collapsed="false">
      <c r="A325" s="36" t="str">
        <f aca="false">IF(Raw_Export!$A325="","",TRIM(Raw_Export!A325))</f>
        <v>TXN-100319</v>
      </c>
      <c r="B325" s="37" t="n">
        <f aca="false">IF(Raw_Export!$A325="","",IF(ISNUMBER(Raw_Export!B325),Raw_Export!B325,IF(MID(TRIM(Raw_Export!B325),5,1)="-",DATE(LEFT(TRIM(Raw_Export!B325),4),MID(TRIM(Raw_Export!B325),6,2),RIGHT(TRIM(Raw_Export!B325),2)),DATE(RIGHT(TRIM(Raw_Export!B325),4),MATCH(MID(TRIM(Raw_Export!B325),4,3),{"Jan","Feb","Mar","Apr","May","Jun","Jul","Aug","Sep","Oct","Nov","Dec"},0),LEFT(TRIM(Raw_Export!B325),2)))))</f>
        <v>46267</v>
      </c>
      <c r="C325" s="36" t="str">
        <f aca="false">IF(Raw_Export!$A325="","",IFERROR(VLOOKUP(LOWER(TRIM(Raw_Export!C325)),Maps!$A$2:$B$20,2,FALSE()),"UNMAPPED"))</f>
        <v>Mombasa</v>
      </c>
      <c r="D325" s="36" t="str">
        <f aca="false">IF(Raw_Export!$A325="","",IFERROR(VLOOKUP(LOWER(TRIM(Raw_Export!D325)),Maps!$G$2:$I$80,2,FALSE()),"UNMAPPED"))</f>
        <v>Yoghurt 500ml</v>
      </c>
      <c r="E325" s="36" t="str">
        <f aca="false">IF(Raw_Export!$A325="","",IFERROR(VLOOKUP(LOWER(TRIM(Raw_Export!D325)),Maps!$G$2:$I$80,3,FALSE()),"UNMAPPED"))</f>
        <v>Dairy &amp; Eggs</v>
      </c>
      <c r="F325" s="36" t="n">
        <f aca="false">IF(Raw_Export!$A325="","",IFERROR(VALUE(TRIM(Raw_Export!E325)),0))</f>
        <v>1</v>
      </c>
      <c r="G325" s="38" t="n">
        <f aca="false">IF(Raw_Export!$A325="","",IFERROR(VALUE(SUBSTITUTE(SUBSTITUTE(UPPER(TRIM(Raw_Export!F325)),"KES",""),",","")),0))</f>
        <v>120</v>
      </c>
      <c r="H325" s="38" t="n">
        <f aca="false">IF(Raw_Export!$A325="","",F325*G325)</f>
        <v>120</v>
      </c>
      <c r="I325" s="36" t="str">
        <f aca="false">IF(Raw_Export!$A325="","",IFERROR(VLOOKUP(LOWER(TRIM(Raw_Export!H325)),Maps!$D$2:$E$12,2,FALSE()),"Other"))</f>
        <v>Cash</v>
      </c>
      <c r="J325" s="36" t="str">
        <f aca="false">IF(Raw_Export!$A325="","",IF(COUNTIF($A$2:A325,A325)&gt;1,"Duplicate",""))</f>
        <v/>
      </c>
      <c r="K325" s="36" t="str">
        <f aca="false">IF(Raw_Export!$A325="","",IF(J325="Duplicate","Duplicate",IF(OR(C325="UNMAPPED",D325="UNMAPPED"),"Unmapped",IF(F325=0,"Blank qty",IF(F325&lt;0,"Return","OK")))))</f>
        <v>OK</v>
      </c>
      <c r="L325" s="36" t="n">
        <f aca="false">IF(Raw_Export!$A325="","",IF(OR(K325="OK",K325="Return"),1,0))</f>
        <v>1</v>
      </c>
      <c r="M325" s="37" t="n">
        <f aca="false">IF(Raw_Export!$A325="","",B325-WEEKDAY(B325,2)+1)</f>
        <v>46265</v>
      </c>
    </row>
    <row r="326" customFormat="false" ht="15" hidden="false" customHeight="false" outlineLevel="0" collapsed="false">
      <c r="A326" s="36" t="str">
        <f aca="false">IF(Raw_Export!$A326="","",TRIM(Raw_Export!A326))</f>
        <v>TXN-100320</v>
      </c>
      <c r="B326" s="37" t="n">
        <f aca="false">IF(Raw_Export!$A326="","",IF(ISNUMBER(Raw_Export!B326),Raw_Export!B326,IF(MID(TRIM(Raw_Export!B326),5,1)="-",DATE(LEFT(TRIM(Raw_Export!B326),4),MID(TRIM(Raw_Export!B326),6,2),RIGHT(TRIM(Raw_Export!B326),2)),DATE(RIGHT(TRIM(Raw_Export!B326),4),MATCH(MID(TRIM(Raw_Export!B326),4,3),{"Jan","Feb","Mar","Apr","May","Jun","Jul","Aug","Sep","Oct","Nov","Dec"},0),LEFT(TRIM(Raw_Export!B326),2)))))</f>
        <v>46267</v>
      </c>
      <c r="C326" s="36" t="str">
        <f aca="false">IF(Raw_Export!$A326="","",IFERROR(VLOOKUP(LOWER(TRIM(Raw_Export!C326)),Maps!$A$2:$B$20,2,FALSE()),"UNMAPPED"))</f>
        <v>Mombasa</v>
      </c>
      <c r="D326" s="36" t="str">
        <f aca="false">IF(Raw_Export!$A326="","",IFERROR(VLOOKUP(LOWER(TRIM(Raw_Export!D326)),Maps!$G$2:$I$80,2,FALSE()),"UNMAPPED"))</f>
        <v>Spaghetti 400g</v>
      </c>
      <c r="E326" s="36" t="str">
        <f aca="false">IF(Raw_Export!$A326="","",IFERROR(VLOOKUP(LOWER(TRIM(Raw_Export!D326)),Maps!$G$2:$I$80,3,FALSE()),"UNMAPPED"))</f>
        <v>Staples</v>
      </c>
      <c r="F326" s="36" t="n">
        <f aca="false">IF(Raw_Export!$A326="","",IFERROR(VALUE(TRIM(Raw_Export!E326)),0))</f>
        <v>6</v>
      </c>
      <c r="G326" s="38" t="n">
        <f aca="false">IF(Raw_Export!$A326="","",IFERROR(VALUE(SUBSTITUTE(SUBSTITUTE(UPPER(TRIM(Raw_Export!F326)),"KES",""),",","")),0))</f>
        <v>110</v>
      </c>
      <c r="H326" s="38" t="n">
        <f aca="false">IF(Raw_Export!$A326="","",F326*G326)</f>
        <v>660</v>
      </c>
      <c r="I326" s="36" t="str">
        <f aca="false">IF(Raw_Export!$A326="","",IFERROR(VLOOKUP(LOWER(TRIM(Raw_Export!H326)),Maps!$D$2:$E$12,2,FALSE()),"Other"))</f>
        <v>Cash</v>
      </c>
      <c r="J326" s="36" t="str">
        <f aca="false">IF(Raw_Export!$A326="","",IF(COUNTIF($A$2:A326,A326)&gt;1,"Duplicate",""))</f>
        <v/>
      </c>
      <c r="K326" s="36" t="str">
        <f aca="false">IF(Raw_Export!$A326="","",IF(J326="Duplicate","Duplicate",IF(OR(C326="UNMAPPED",D326="UNMAPPED"),"Unmapped",IF(F326=0,"Blank qty",IF(F326&lt;0,"Return","OK")))))</f>
        <v>OK</v>
      </c>
      <c r="L326" s="36" t="n">
        <f aca="false">IF(Raw_Export!$A326="","",IF(OR(K326="OK",K326="Return"),1,0))</f>
        <v>1</v>
      </c>
      <c r="M326" s="37" t="n">
        <f aca="false">IF(Raw_Export!$A326="","",B326-WEEKDAY(B326,2)+1)</f>
        <v>46265</v>
      </c>
    </row>
    <row r="327" customFormat="false" ht="15" hidden="false" customHeight="false" outlineLevel="0" collapsed="false">
      <c r="A327" s="36" t="str">
        <f aca="false">IF(Raw_Export!$A327="","",TRIM(Raw_Export!A327))</f>
        <v>TXN-100321</v>
      </c>
      <c r="B327" s="37" t="n">
        <f aca="false">IF(Raw_Export!$A327="","",IF(ISNUMBER(Raw_Export!B327),Raw_Export!B327,IF(MID(TRIM(Raw_Export!B327),5,1)="-",DATE(LEFT(TRIM(Raw_Export!B327),4),MID(TRIM(Raw_Export!B327),6,2),RIGHT(TRIM(Raw_Export!B327),2)),DATE(RIGHT(TRIM(Raw_Export!B327),4),MATCH(MID(TRIM(Raw_Export!B327),4,3),{"Jan","Feb","Mar","Apr","May","Jun","Jul","Aug","Sep","Oct","Nov","Dec"},0),LEFT(TRIM(Raw_Export!B327),2)))))</f>
        <v>46267</v>
      </c>
      <c r="C327" s="36" t="str">
        <f aca="false">IF(Raw_Export!$A327="","",IFERROR(VLOOKUP(LOWER(TRIM(Raw_Export!C327)),Maps!$A$2:$B$20,2,FALSE()),"UNMAPPED"))</f>
        <v>Mombasa</v>
      </c>
      <c r="D327" s="36" t="str">
        <f aca="false">IF(Raw_Export!$A327="","",IFERROR(VLOOKUP(LOWER(TRIM(Raw_Export!D327)),Maps!$G$2:$I$80,2,FALSE()),"UNMAPPED"))</f>
        <v>Cooking Oil 1L</v>
      </c>
      <c r="E327" s="36" t="str">
        <f aca="false">IF(Raw_Export!$A327="","",IFERROR(VLOOKUP(LOWER(TRIM(Raw_Export!D327)),Maps!$G$2:$I$80,3,FALSE()),"UNMAPPED"))</f>
        <v>Staples</v>
      </c>
      <c r="F327" s="36" t="n">
        <f aca="false">IF(Raw_Export!$A327="","",IFERROR(VALUE(TRIM(Raw_Export!E327)),0))</f>
        <v>4</v>
      </c>
      <c r="G327" s="38" t="n">
        <f aca="false">IF(Raw_Export!$A327="","",IFERROR(VALUE(SUBSTITUTE(SUBSTITUTE(UPPER(TRIM(Raw_Export!F327)),"KES",""),",","")),0))</f>
        <v>330</v>
      </c>
      <c r="H327" s="38" t="n">
        <f aca="false">IF(Raw_Export!$A327="","",F327*G327)</f>
        <v>1320</v>
      </c>
      <c r="I327" s="36" t="str">
        <f aca="false">IF(Raw_Export!$A327="","",IFERROR(VLOOKUP(LOWER(TRIM(Raw_Export!H327)),Maps!$D$2:$E$12,2,FALSE()),"Other"))</f>
        <v>M-Pesa</v>
      </c>
      <c r="J327" s="36" t="str">
        <f aca="false">IF(Raw_Export!$A327="","",IF(COUNTIF($A$2:A327,A327)&gt;1,"Duplicate",""))</f>
        <v/>
      </c>
      <c r="K327" s="36" t="str">
        <f aca="false">IF(Raw_Export!$A327="","",IF(J327="Duplicate","Duplicate",IF(OR(C327="UNMAPPED",D327="UNMAPPED"),"Unmapped",IF(F327=0,"Blank qty",IF(F327&lt;0,"Return","OK")))))</f>
        <v>OK</v>
      </c>
      <c r="L327" s="36" t="n">
        <f aca="false">IF(Raw_Export!$A327="","",IF(OR(K327="OK",K327="Return"),1,0))</f>
        <v>1</v>
      </c>
      <c r="M327" s="37" t="n">
        <f aca="false">IF(Raw_Export!$A327="","",B327-WEEKDAY(B327,2)+1)</f>
        <v>46265</v>
      </c>
    </row>
    <row r="328" customFormat="false" ht="15" hidden="false" customHeight="false" outlineLevel="0" collapsed="false">
      <c r="A328" s="36" t="str">
        <f aca="false">IF(Raw_Export!$A328="","",TRIM(Raw_Export!A328))</f>
        <v>TXN-100322</v>
      </c>
      <c r="B328" s="37" t="n">
        <f aca="false">IF(Raw_Export!$A328="","",IF(ISNUMBER(Raw_Export!B328),Raw_Export!B328,IF(MID(TRIM(Raw_Export!B328),5,1)="-",DATE(LEFT(TRIM(Raw_Export!B328),4),MID(TRIM(Raw_Export!B328),6,2),RIGHT(TRIM(Raw_Export!B328),2)),DATE(RIGHT(TRIM(Raw_Export!B328),4),MATCH(MID(TRIM(Raw_Export!B328),4,3),{"Jan","Feb","Mar","Apr","May","Jun","Jul","Aug","Sep","Oct","Nov","Dec"},0),LEFT(TRIM(Raw_Export!B328),2)))))</f>
        <v>46267</v>
      </c>
      <c r="C328" s="36" t="str">
        <f aca="false">IF(Raw_Export!$A328="","",IFERROR(VLOOKUP(LOWER(TRIM(Raw_Export!C328)),Maps!$A$2:$B$20,2,FALSE()),"UNMAPPED"))</f>
        <v>Mombasa</v>
      </c>
      <c r="D328" s="36" t="str">
        <f aca="false">IF(Raw_Export!$A328="","",IFERROR(VLOOKUP(LOWER(TRIM(Raw_Export!D328)),Maps!$G$2:$I$80,2,FALSE()),"UNMAPPED"))</f>
        <v>Soda 500ml</v>
      </c>
      <c r="E328" s="36" t="str">
        <f aca="false">IF(Raw_Export!$A328="","",IFERROR(VLOOKUP(LOWER(TRIM(Raw_Export!D328)),Maps!$G$2:$I$80,3,FALSE()),"UNMAPPED"))</f>
        <v>Beverages</v>
      </c>
      <c r="F328" s="36" t="n">
        <f aca="false">IF(Raw_Export!$A328="","",IFERROR(VALUE(TRIM(Raw_Export!E328)),0))</f>
        <v>3</v>
      </c>
      <c r="G328" s="38" t="n">
        <f aca="false">IF(Raw_Export!$A328="","",IFERROR(VALUE(SUBSTITUTE(SUBSTITUTE(UPPER(TRIM(Raw_Export!F328)),"KES",""),",","")),0))</f>
        <v>60</v>
      </c>
      <c r="H328" s="38" t="n">
        <f aca="false">IF(Raw_Export!$A328="","",F328*G328)</f>
        <v>180</v>
      </c>
      <c r="I328" s="36" t="str">
        <f aca="false">IF(Raw_Export!$A328="","",IFERROR(VLOOKUP(LOWER(TRIM(Raw_Export!H328)),Maps!$D$2:$E$12,2,FALSE()),"Other"))</f>
        <v>Cash</v>
      </c>
      <c r="J328" s="36" t="str">
        <f aca="false">IF(Raw_Export!$A328="","",IF(COUNTIF($A$2:A328,A328)&gt;1,"Duplicate",""))</f>
        <v/>
      </c>
      <c r="K328" s="36" t="str">
        <f aca="false">IF(Raw_Export!$A328="","",IF(J328="Duplicate","Duplicate",IF(OR(C328="UNMAPPED",D328="UNMAPPED"),"Unmapped",IF(F328=0,"Blank qty",IF(F328&lt;0,"Return","OK")))))</f>
        <v>OK</v>
      </c>
      <c r="L328" s="36" t="n">
        <f aca="false">IF(Raw_Export!$A328="","",IF(OR(K328="OK",K328="Return"),1,0))</f>
        <v>1</v>
      </c>
      <c r="M328" s="37" t="n">
        <f aca="false">IF(Raw_Export!$A328="","",B328-WEEKDAY(B328,2)+1)</f>
        <v>46265</v>
      </c>
    </row>
    <row r="329" customFormat="false" ht="15" hidden="false" customHeight="false" outlineLevel="0" collapsed="false">
      <c r="A329" s="36" t="str">
        <f aca="false">IF(Raw_Export!$A329="","",TRIM(Raw_Export!A329))</f>
        <v>TXN-100323</v>
      </c>
      <c r="B329" s="37" t="n">
        <f aca="false">IF(Raw_Export!$A329="","",IF(ISNUMBER(Raw_Export!B329),Raw_Export!B329,IF(MID(TRIM(Raw_Export!B329),5,1)="-",DATE(LEFT(TRIM(Raw_Export!B329),4),MID(TRIM(Raw_Export!B329),6,2),RIGHT(TRIM(Raw_Export!B329),2)),DATE(RIGHT(TRIM(Raw_Export!B329),4),MATCH(MID(TRIM(Raw_Export!B329),4,3),{"Jan","Feb","Mar","Apr","May","Jun","Jul","Aug","Sep","Oct","Nov","Dec"},0),LEFT(TRIM(Raw_Export!B329),2)))))</f>
        <v>46267</v>
      </c>
      <c r="C329" s="36" t="str">
        <f aca="false">IF(Raw_Export!$A329="","",IFERROR(VLOOKUP(LOWER(TRIM(Raw_Export!C329)),Maps!$A$2:$B$20,2,FALSE()),"UNMAPPED"))</f>
        <v>Mombasa</v>
      </c>
      <c r="D329" s="36" t="str">
        <f aca="false">IF(Raw_Export!$A329="","",IFERROR(VLOOKUP(LOWER(TRIM(Raw_Export!D329)),Maps!$G$2:$I$80,2,FALSE()),"UNMAPPED"))</f>
        <v>Bottled Water 1.5L</v>
      </c>
      <c r="E329" s="36" t="str">
        <f aca="false">IF(Raw_Export!$A329="","",IFERROR(VLOOKUP(LOWER(TRIM(Raw_Export!D329)),Maps!$G$2:$I$80,3,FALSE()),"UNMAPPED"))</f>
        <v>Beverages</v>
      </c>
      <c r="F329" s="36" t="n">
        <f aca="false">IF(Raw_Export!$A329="","",IFERROR(VALUE(TRIM(Raw_Export!E329)),0))</f>
        <v>1</v>
      </c>
      <c r="G329" s="38" t="n">
        <f aca="false">IF(Raw_Export!$A329="","",IFERROR(VALUE(SUBSTITUTE(SUBSTITUTE(UPPER(TRIM(Raw_Export!F329)),"KES",""),",","")),0))</f>
        <v>90</v>
      </c>
      <c r="H329" s="38" t="n">
        <f aca="false">IF(Raw_Export!$A329="","",F329*G329)</f>
        <v>90</v>
      </c>
      <c r="I329" s="36" t="str">
        <f aca="false">IF(Raw_Export!$A329="","",IFERROR(VLOOKUP(LOWER(TRIM(Raw_Export!H329)),Maps!$D$2:$E$12,2,FALSE()),"Other"))</f>
        <v>M-Pesa</v>
      </c>
      <c r="J329" s="36" t="str">
        <f aca="false">IF(Raw_Export!$A329="","",IF(COUNTIF($A$2:A329,A329)&gt;1,"Duplicate",""))</f>
        <v/>
      </c>
      <c r="K329" s="36" t="str">
        <f aca="false">IF(Raw_Export!$A329="","",IF(J329="Duplicate","Duplicate",IF(OR(C329="UNMAPPED",D329="UNMAPPED"),"Unmapped",IF(F329=0,"Blank qty",IF(F329&lt;0,"Return","OK")))))</f>
        <v>OK</v>
      </c>
      <c r="L329" s="36" t="n">
        <f aca="false">IF(Raw_Export!$A329="","",IF(OR(K329="OK",K329="Return"),1,0))</f>
        <v>1</v>
      </c>
      <c r="M329" s="37" t="n">
        <f aca="false">IF(Raw_Export!$A329="","",B329-WEEKDAY(B329,2)+1)</f>
        <v>46265</v>
      </c>
    </row>
    <row r="330" customFormat="false" ht="15" hidden="false" customHeight="false" outlineLevel="0" collapsed="false">
      <c r="A330" s="36" t="str">
        <f aca="false">IF(Raw_Export!$A330="","",TRIM(Raw_Export!A330))</f>
        <v>TXN-100324</v>
      </c>
      <c r="B330" s="37" t="n">
        <f aca="false">IF(Raw_Export!$A330="","",IF(ISNUMBER(Raw_Export!B330),Raw_Export!B330,IF(MID(TRIM(Raw_Export!B330),5,1)="-",DATE(LEFT(TRIM(Raw_Export!B330),4),MID(TRIM(Raw_Export!B330),6,2),RIGHT(TRIM(Raw_Export!B330),2)),DATE(RIGHT(TRIM(Raw_Export!B330),4),MATCH(MID(TRIM(Raw_Export!B330),4,3),{"Jan","Feb","Mar","Apr","May","Jun","Jul","Aug","Sep","Oct","Nov","Dec"},0),LEFT(TRIM(Raw_Export!B330),2)))))</f>
        <v>46267</v>
      </c>
      <c r="C330" s="36" t="str">
        <f aca="false">IF(Raw_Export!$A330="","",IFERROR(VLOOKUP(LOWER(TRIM(Raw_Export!C330)),Maps!$A$2:$B$20,2,FALSE()),"UNMAPPED"))</f>
        <v>Mombasa</v>
      </c>
      <c r="D330" s="36" t="str">
        <f aca="false">IF(Raw_Export!$A330="","",IFERROR(VLOOKUP(LOWER(TRIM(Raw_Export!D330)),Maps!$G$2:$I$80,2,FALSE()),"UNMAPPED"))</f>
        <v>Bread Loaf 400g</v>
      </c>
      <c r="E330" s="36" t="str">
        <f aca="false">IF(Raw_Export!$A330="","",IFERROR(VLOOKUP(LOWER(TRIM(Raw_Export!D330)),Maps!$G$2:$I$80,3,FALSE()),"UNMAPPED"))</f>
        <v>Snacks</v>
      </c>
      <c r="F330" s="36" t="n">
        <f aca="false">IF(Raw_Export!$A330="","",IFERROR(VALUE(TRIM(Raw_Export!E330)),0))</f>
        <v>2</v>
      </c>
      <c r="G330" s="38" t="n">
        <f aca="false">IF(Raw_Export!$A330="","",IFERROR(VALUE(SUBSTITUTE(SUBSTITUTE(UPPER(TRIM(Raw_Export!F330)),"KES",""),",","")),0))</f>
        <v>65</v>
      </c>
      <c r="H330" s="38" t="n">
        <f aca="false">IF(Raw_Export!$A330="","",F330*G330)</f>
        <v>130</v>
      </c>
      <c r="I330" s="36" t="str">
        <f aca="false">IF(Raw_Export!$A330="","",IFERROR(VLOOKUP(LOWER(TRIM(Raw_Export!H330)),Maps!$D$2:$E$12,2,FALSE()),"Other"))</f>
        <v>M-Pesa</v>
      </c>
      <c r="J330" s="36" t="str">
        <f aca="false">IF(Raw_Export!$A330="","",IF(COUNTIF($A$2:A330,A330)&gt;1,"Duplicate",""))</f>
        <v/>
      </c>
      <c r="K330" s="36" t="str">
        <f aca="false">IF(Raw_Export!$A330="","",IF(J330="Duplicate","Duplicate",IF(OR(C330="UNMAPPED",D330="UNMAPPED"),"Unmapped",IF(F330=0,"Blank qty",IF(F330&lt;0,"Return","OK")))))</f>
        <v>OK</v>
      </c>
      <c r="L330" s="36" t="n">
        <f aca="false">IF(Raw_Export!$A330="","",IF(OR(K330="OK",K330="Return"),1,0))</f>
        <v>1</v>
      </c>
      <c r="M330" s="37" t="n">
        <f aca="false">IF(Raw_Export!$A330="","",B330-WEEKDAY(B330,2)+1)</f>
        <v>46265</v>
      </c>
    </row>
    <row r="331" customFormat="false" ht="15" hidden="false" customHeight="false" outlineLevel="0" collapsed="false">
      <c r="A331" s="36" t="str">
        <f aca="false">IF(Raw_Export!$A331="","",TRIM(Raw_Export!A331))</f>
        <v>TXN-100325</v>
      </c>
      <c r="B331" s="37" t="n">
        <f aca="false">IF(Raw_Export!$A331="","",IF(ISNUMBER(Raw_Export!B331),Raw_Export!B331,IF(MID(TRIM(Raw_Export!B331),5,1)="-",DATE(LEFT(TRIM(Raw_Export!B331),4),MID(TRIM(Raw_Export!B331),6,2),RIGHT(TRIM(Raw_Export!B331),2)),DATE(RIGHT(TRIM(Raw_Export!B331),4),MATCH(MID(TRIM(Raw_Export!B331),4,3),{"Jan","Feb","Mar","Apr","May","Jun","Jul","Aug","Sep","Oct","Nov","Dec"},0),LEFT(TRIM(Raw_Export!B331),2)))))</f>
        <v>46267</v>
      </c>
      <c r="C331" s="36" t="str">
        <f aca="false">IF(Raw_Export!$A331="","",IFERROR(VLOOKUP(LOWER(TRIM(Raw_Export!C331)),Maps!$A$2:$B$20,2,FALSE()),"UNMAPPED"))</f>
        <v>Mombasa</v>
      </c>
      <c r="D331" s="36" t="str">
        <f aca="false">IF(Raw_Export!$A331="","",IFERROR(VLOOKUP(LOWER(TRIM(Raw_Export!D331)),Maps!$G$2:$I$80,2,FALSE()),"UNMAPPED"))</f>
        <v>Sanitary Pads 8pk</v>
      </c>
      <c r="E331" s="36" t="str">
        <f aca="false">IF(Raw_Export!$A331="","",IFERROR(VLOOKUP(LOWER(TRIM(Raw_Export!D331)),Maps!$G$2:$I$80,3,FALSE()),"UNMAPPED"))</f>
        <v>Personal Care</v>
      </c>
      <c r="F331" s="36" t="n">
        <f aca="false">IF(Raw_Export!$A331="","",IFERROR(VALUE(TRIM(Raw_Export!E331)),0))</f>
        <v>1</v>
      </c>
      <c r="G331" s="38" t="n">
        <f aca="false">IF(Raw_Export!$A331="","",IFERROR(VALUE(SUBSTITUTE(SUBSTITUTE(UPPER(TRIM(Raw_Export!F331)),"KES",""),",","")),0))</f>
        <v>130</v>
      </c>
      <c r="H331" s="38" t="n">
        <f aca="false">IF(Raw_Export!$A331="","",F331*G331)</f>
        <v>130</v>
      </c>
      <c r="I331" s="36" t="str">
        <f aca="false">IF(Raw_Export!$A331="","",IFERROR(VLOOKUP(LOWER(TRIM(Raw_Export!H331)),Maps!$D$2:$E$12,2,FALSE()),"Other"))</f>
        <v>M-Pesa</v>
      </c>
      <c r="J331" s="36" t="str">
        <f aca="false">IF(Raw_Export!$A331="","",IF(COUNTIF($A$2:A331,A331)&gt;1,"Duplicate",""))</f>
        <v/>
      </c>
      <c r="K331" s="36" t="str">
        <f aca="false">IF(Raw_Export!$A331="","",IF(J331="Duplicate","Duplicate",IF(OR(C331="UNMAPPED",D331="UNMAPPED"),"Unmapped",IF(F331=0,"Blank qty",IF(F331&lt;0,"Return","OK")))))</f>
        <v>OK</v>
      </c>
      <c r="L331" s="36" t="n">
        <f aca="false">IF(Raw_Export!$A331="","",IF(OR(K331="OK",K331="Return"),1,0))</f>
        <v>1</v>
      </c>
      <c r="M331" s="37" t="n">
        <f aca="false">IF(Raw_Export!$A331="","",B331-WEEKDAY(B331,2)+1)</f>
        <v>46265</v>
      </c>
    </row>
    <row r="332" customFormat="false" ht="15" hidden="false" customHeight="false" outlineLevel="0" collapsed="false">
      <c r="A332" s="36" t="str">
        <f aca="false">IF(Raw_Export!$A332="","",TRIM(Raw_Export!A332))</f>
        <v>TXN-100326</v>
      </c>
      <c r="B332" s="37" t="n">
        <f aca="false">IF(Raw_Export!$A332="","",IF(ISNUMBER(Raw_Export!B332),Raw_Export!B332,IF(MID(TRIM(Raw_Export!B332),5,1)="-",DATE(LEFT(TRIM(Raw_Export!B332),4),MID(TRIM(Raw_Export!B332),6,2),RIGHT(TRIM(Raw_Export!B332),2)),DATE(RIGHT(TRIM(Raw_Export!B332),4),MATCH(MID(TRIM(Raw_Export!B332),4,3),{"Jan","Feb","Mar","Apr","May","Jun","Jul","Aug","Sep","Oct","Nov","Dec"},0),LEFT(TRIM(Raw_Export!B332),2)))))</f>
        <v>46267</v>
      </c>
      <c r="C332" s="36" t="str">
        <f aca="false">IF(Raw_Export!$A332="","",IFERROR(VLOOKUP(LOWER(TRIM(Raw_Export!C332)),Maps!$A$2:$B$20,2,FALSE()),"UNMAPPED"))</f>
        <v>Mombasa</v>
      </c>
      <c r="D332" s="36" t="str">
        <f aca="false">IF(Raw_Export!$A332="","",IFERROR(VLOOKUP(LOWER(TRIM(Raw_Export!D332)),Maps!$G$2:$I$80,2,FALSE()),"UNMAPPED"))</f>
        <v>Peanuts 250g</v>
      </c>
      <c r="E332" s="36" t="str">
        <f aca="false">IF(Raw_Export!$A332="","",IFERROR(VLOOKUP(LOWER(TRIM(Raw_Export!D332)),Maps!$G$2:$I$80,3,FALSE()),"UNMAPPED"))</f>
        <v>Snacks</v>
      </c>
      <c r="F332" s="36" t="n">
        <f aca="false">IF(Raw_Export!$A332="","",IFERROR(VALUE(TRIM(Raw_Export!E332)),0))</f>
        <v>2</v>
      </c>
      <c r="G332" s="38" t="n">
        <f aca="false">IF(Raw_Export!$A332="","",IFERROR(VALUE(SUBSTITUTE(SUBSTITUTE(UPPER(TRIM(Raw_Export!F332)),"KES",""),",","")),0))</f>
        <v>130</v>
      </c>
      <c r="H332" s="38" t="n">
        <f aca="false">IF(Raw_Export!$A332="","",F332*G332)</f>
        <v>260</v>
      </c>
      <c r="I332" s="36" t="str">
        <f aca="false">IF(Raw_Export!$A332="","",IFERROR(VLOOKUP(LOWER(TRIM(Raw_Export!H332)),Maps!$D$2:$E$12,2,FALSE()),"Other"))</f>
        <v>M-Pesa</v>
      </c>
      <c r="J332" s="36" t="str">
        <f aca="false">IF(Raw_Export!$A332="","",IF(COUNTIF($A$2:A332,A332)&gt;1,"Duplicate",""))</f>
        <v/>
      </c>
      <c r="K332" s="36" t="str">
        <f aca="false">IF(Raw_Export!$A332="","",IF(J332="Duplicate","Duplicate",IF(OR(C332="UNMAPPED",D332="UNMAPPED"),"Unmapped",IF(F332=0,"Blank qty",IF(F332&lt;0,"Return","OK")))))</f>
        <v>OK</v>
      </c>
      <c r="L332" s="36" t="n">
        <f aca="false">IF(Raw_Export!$A332="","",IF(OR(K332="OK",K332="Return"),1,0))</f>
        <v>1</v>
      </c>
      <c r="M332" s="37" t="n">
        <f aca="false">IF(Raw_Export!$A332="","",B332-WEEKDAY(B332,2)+1)</f>
        <v>46265</v>
      </c>
    </row>
    <row r="333" customFormat="false" ht="15" hidden="false" customHeight="false" outlineLevel="0" collapsed="false">
      <c r="A333" s="36" t="str">
        <f aca="false">IF(Raw_Export!$A333="","",TRIM(Raw_Export!A333))</f>
        <v>TXN-100327</v>
      </c>
      <c r="B333" s="37" t="n">
        <f aca="false">IF(Raw_Export!$A333="","",IF(ISNUMBER(Raw_Export!B333),Raw_Export!B333,IF(MID(TRIM(Raw_Export!B333),5,1)="-",DATE(LEFT(TRIM(Raw_Export!B333),4),MID(TRIM(Raw_Export!B333),6,2),RIGHT(TRIM(Raw_Export!B333),2)),DATE(RIGHT(TRIM(Raw_Export!B333),4),MATCH(MID(TRIM(Raw_Export!B333),4,3),{"Jan","Feb","Mar","Apr","May","Jun","Jul","Aug","Sep","Oct","Nov","Dec"},0),LEFT(TRIM(Raw_Export!B333),2)))))</f>
        <v>46267</v>
      </c>
      <c r="C333" s="36" t="str">
        <f aca="false">IF(Raw_Export!$A333="","",IFERROR(VLOOKUP(LOWER(TRIM(Raw_Export!C333)),Maps!$A$2:$B$20,2,FALSE()),"UNMAPPED"))</f>
        <v>Mombasa</v>
      </c>
      <c r="D333" s="36" t="str">
        <f aca="false">IF(Raw_Export!$A333="","",IFERROR(VLOOKUP(LOWER(TRIM(Raw_Export!D333)),Maps!$G$2:$I$80,2,FALSE()),"UNMAPPED"))</f>
        <v>Bath Soap 175g</v>
      </c>
      <c r="E333" s="36" t="str">
        <f aca="false">IF(Raw_Export!$A333="","",IFERROR(VLOOKUP(LOWER(TRIM(Raw_Export!D333)),Maps!$G$2:$I$80,3,FALSE()),"UNMAPPED"))</f>
        <v>Personal Care</v>
      </c>
      <c r="F333" s="36" t="n">
        <f aca="false">IF(Raw_Export!$A333="","",IFERROR(VALUE(TRIM(Raw_Export!E333)),0))</f>
        <v>1</v>
      </c>
      <c r="G333" s="38" t="n">
        <f aca="false">IF(Raw_Export!$A333="","",IFERROR(VALUE(SUBSTITUTE(SUBSTITUTE(UPPER(TRIM(Raw_Export!F333)),"KES",""),",","")),0))</f>
        <v>85</v>
      </c>
      <c r="H333" s="38" t="n">
        <f aca="false">IF(Raw_Export!$A333="","",F333*G333)</f>
        <v>85</v>
      </c>
      <c r="I333" s="36" t="str">
        <f aca="false">IF(Raw_Export!$A333="","",IFERROR(VLOOKUP(LOWER(TRIM(Raw_Export!H333)),Maps!$D$2:$E$12,2,FALSE()),"Other"))</f>
        <v>Cash</v>
      </c>
      <c r="J333" s="36" t="str">
        <f aca="false">IF(Raw_Export!$A333="","",IF(COUNTIF($A$2:A333,A333)&gt;1,"Duplicate",""))</f>
        <v/>
      </c>
      <c r="K333" s="36" t="str">
        <f aca="false">IF(Raw_Export!$A333="","",IF(J333="Duplicate","Duplicate",IF(OR(C333="UNMAPPED",D333="UNMAPPED"),"Unmapped",IF(F333=0,"Blank qty",IF(F333&lt;0,"Return","OK")))))</f>
        <v>OK</v>
      </c>
      <c r="L333" s="36" t="n">
        <f aca="false">IF(Raw_Export!$A333="","",IF(OR(K333="OK",K333="Return"),1,0))</f>
        <v>1</v>
      </c>
      <c r="M333" s="37" t="n">
        <f aca="false">IF(Raw_Export!$A333="","",B333-WEEKDAY(B333,2)+1)</f>
        <v>46265</v>
      </c>
    </row>
    <row r="334" customFormat="false" ht="15" hidden="false" customHeight="false" outlineLevel="0" collapsed="false">
      <c r="A334" s="36" t="str">
        <f aca="false">IF(Raw_Export!$A334="","",TRIM(Raw_Export!A334))</f>
        <v>TXN-100328</v>
      </c>
      <c r="B334" s="37" t="n">
        <f aca="false">IF(Raw_Export!$A334="","",IF(ISNUMBER(Raw_Export!B334),Raw_Export!B334,IF(MID(TRIM(Raw_Export!B334),5,1)="-",DATE(LEFT(TRIM(Raw_Export!B334),4),MID(TRIM(Raw_Export!B334),6,2),RIGHT(TRIM(Raw_Export!B334),2)),DATE(RIGHT(TRIM(Raw_Export!B334),4),MATCH(MID(TRIM(Raw_Export!B334),4,3),{"Jan","Feb","Mar","Apr","May","Jun","Jul","Aug","Sep","Oct","Nov","Dec"},0),LEFT(TRIM(Raw_Export!B334),2)))))</f>
        <v>46267</v>
      </c>
      <c r="C334" s="36" t="str">
        <f aca="false">IF(Raw_Export!$A334="","",IFERROR(VLOOKUP(LOWER(TRIM(Raw_Export!C334)),Maps!$A$2:$B$20,2,FALSE()),"UNMAPPED"))</f>
        <v>Mombasa</v>
      </c>
      <c r="D334" s="36" t="str">
        <f aca="false">IF(Raw_Export!$A334="","",IFERROR(VLOOKUP(LOWER(TRIM(Raw_Export!D334)),Maps!$G$2:$I$80,2,FALSE()),"UNMAPPED"))</f>
        <v>Toothpaste 100g</v>
      </c>
      <c r="E334" s="36" t="str">
        <f aca="false">IF(Raw_Export!$A334="","",IFERROR(VLOOKUP(LOWER(TRIM(Raw_Export!D334)),Maps!$G$2:$I$80,3,FALSE()),"UNMAPPED"))</f>
        <v>Personal Care</v>
      </c>
      <c r="F334" s="36" t="n">
        <f aca="false">IF(Raw_Export!$A334="","",IFERROR(VALUE(TRIM(Raw_Export!E334)),0))</f>
        <v>3</v>
      </c>
      <c r="G334" s="38" t="n">
        <f aca="false">IF(Raw_Export!$A334="","",IFERROR(VALUE(SUBSTITUTE(SUBSTITUTE(UPPER(TRIM(Raw_Export!F334)),"KES",""),",","")),0))</f>
        <v>195</v>
      </c>
      <c r="H334" s="38" t="n">
        <f aca="false">IF(Raw_Export!$A334="","",F334*G334)</f>
        <v>585</v>
      </c>
      <c r="I334" s="36" t="str">
        <f aca="false">IF(Raw_Export!$A334="","",IFERROR(VLOOKUP(LOWER(TRIM(Raw_Export!H334)),Maps!$D$2:$E$12,2,FALSE()),"Other"))</f>
        <v>Cash</v>
      </c>
      <c r="J334" s="36" t="str">
        <f aca="false">IF(Raw_Export!$A334="","",IF(COUNTIF($A$2:A334,A334)&gt;1,"Duplicate",""))</f>
        <v/>
      </c>
      <c r="K334" s="36" t="str">
        <f aca="false">IF(Raw_Export!$A334="","",IF(J334="Duplicate","Duplicate",IF(OR(C334="UNMAPPED",D334="UNMAPPED"),"Unmapped",IF(F334=0,"Blank qty",IF(F334&lt;0,"Return","OK")))))</f>
        <v>OK</v>
      </c>
      <c r="L334" s="36" t="n">
        <f aca="false">IF(Raw_Export!$A334="","",IF(OR(K334="OK",K334="Return"),1,0))</f>
        <v>1</v>
      </c>
      <c r="M334" s="37" t="n">
        <f aca="false">IF(Raw_Export!$A334="","",B334-WEEKDAY(B334,2)+1)</f>
        <v>46265</v>
      </c>
    </row>
    <row r="335" customFormat="false" ht="15" hidden="false" customHeight="false" outlineLevel="0" collapsed="false">
      <c r="A335" s="36" t="str">
        <f aca="false">IF(Raw_Export!$A335="","",TRIM(Raw_Export!A335))</f>
        <v>TXN-100329</v>
      </c>
      <c r="B335" s="37" t="n">
        <f aca="false">IF(Raw_Export!$A335="","",IF(ISNUMBER(Raw_Export!B335),Raw_Export!B335,IF(MID(TRIM(Raw_Export!B335),5,1)="-",DATE(LEFT(TRIM(Raw_Export!B335),4),MID(TRIM(Raw_Export!B335),6,2),RIGHT(TRIM(Raw_Export!B335),2)),DATE(RIGHT(TRIM(Raw_Export!B335),4),MATCH(MID(TRIM(Raw_Export!B335),4,3),{"Jan","Feb","Mar","Apr","May","Jun","Jul","Aug","Sep","Oct","Nov","Dec"},0),LEFT(TRIM(Raw_Export!B335),2)))))</f>
        <v>46267</v>
      </c>
      <c r="C335" s="36" t="str">
        <f aca="false">IF(Raw_Export!$A335="","",IFERROR(VLOOKUP(LOWER(TRIM(Raw_Export!C335)),Maps!$A$2:$B$20,2,FALSE()),"UNMAPPED"))</f>
        <v>Mombasa</v>
      </c>
      <c r="D335" s="36" t="str">
        <f aca="false">IF(Raw_Export!$A335="","",IFERROR(VLOOKUP(LOWER(TRIM(Raw_Export!D335)),Maps!$G$2:$I$80,2,FALSE()),"UNMAPPED"))</f>
        <v>Rice Pishori 2kg</v>
      </c>
      <c r="E335" s="36" t="str">
        <f aca="false">IF(Raw_Export!$A335="","",IFERROR(VLOOKUP(LOWER(TRIM(Raw_Export!D335)),Maps!$G$2:$I$80,3,FALSE()),"UNMAPPED"))</f>
        <v>Staples</v>
      </c>
      <c r="F335" s="36" t="n">
        <f aca="false">IF(Raw_Export!$A335="","",IFERROR(VALUE(TRIM(Raw_Export!E335)),0))</f>
        <v>1</v>
      </c>
      <c r="G335" s="38" t="n">
        <f aca="false">IF(Raw_Export!$A335="","",IFERROR(VALUE(SUBSTITUTE(SUBSTITUTE(UPPER(TRIM(Raw_Export!F335)),"KES",""),",","")),0))</f>
        <v>378</v>
      </c>
      <c r="H335" s="38" t="n">
        <f aca="false">IF(Raw_Export!$A335="","",F335*G335)</f>
        <v>378</v>
      </c>
      <c r="I335" s="36" t="str">
        <f aca="false">IF(Raw_Export!$A335="","",IFERROR(VLOOKUP(LOWER(TRIM(Raw_Export!H335)),Maps!$D$2:$E$12,2,FALSE()),"Other"))</f>
        <v>M-Pesa</v>
      </c>
      <c r="J335" s="36" t="str">
        <f aca="false">IF(Raw_Export!$A335="","",IF(COUNTIF($A$2:A335,A335)&gt;1,"Duplicate",""))</f>
        <v/>
      </c>
      <c r="K335" s="36" t="str">
        <f aca="false">IF(Raw_Export!$A335="","",IF(J335="Duplicate","Duplicate",IF(OR(C335="UNMAPPED",D335="UNMAPPED"),"Unmapped",IF(F335=0,"Blank qty",IF(F335&lt;0,"Return","OK")))))</f>
        <v>OK</v>
      </c>
      <c r="L335" s="36" t="n">
        <f aca="false">IF(Raw_Export!$A335="","",IF(OR(K335="OK",K335="Return"),1,0))</f>
        <v>1</v>
      </c>
      <c r="M335" s="37" t="n">
        <f aca="false">IF(Raw_Export!$A335="","",B335-WEEKDAY(B335,2)+1)</f>
        <v>46265</v>
      </c>
    </row>
    <row r="336" customFormat="false" ht="15" hidden="false" customHeight="false" outlineLevel="0" collapsed="false">
      <c r="A336" s="36" t="str">
        <f aca="false">IF(Raw_Export!$A336="","",TRIM(Raw_Export!A336))</f>
        <v>TXN-100330</v>
      </c>
      <c r="B336" s="37" t="n">
        <f aca="false">IF(Raw_Export!$A336="","",IF(ISNUMBER(Raw_Export!B336),Raw_Export!B336,IF(MID(TRIM(Raw_Export!B336),5,1)="-",DATE(LEFT(TRIM(Raw_Export!B336),4),MID(TRIM(Raw_Export!B336),6,2),RIGHT(TRIM(Raw_Export!B336),2)),DATE(RIGHT(TRIM(Raw_Export!B336),4),MATCH(MID(TRIM(Raw_Export!B336),4,3),{"Jan","Feb","Mar","Apr","May","Jun","Jul","Aug","Sep","Oct","Nov","Dec"},0),LEFT(TRIM(Raw_Export!B336),2)))))</f>
        <v>46267</v>
      </c>
      <c r="C336" s="36" t="str">
        <f aca="false">IF(Raw_Export!$A336="","",IFERROR(VLOOKUP(LOWER(TRIM(Raw_Export!C336)),Maps!$A$2:$B$20,2,FALSE()),"UNMAPPED"))</f>
        <v>Mombasa</v>
      </c>
      <c r="D336" s="36" t="str">
        <f aca="false">IF(Raw_Export!$A336="","",IFERROR(VLOOKUP(LOWER(TRIM(Raw_Export!D336)),Maps!$G$2:$I$80,2,FALSE()),"UNMAPPED"))</f>
        <v>Tea Leaves 250g</v>
      </c>
      <c r="E336" s="36" t="str">
        <f aca="false">IF(Raw_Export!$A336="","",IFERROR(VLOOKUP(LOWER(TRIM(Raw_Export!D336)),Maps!$G$2:$I$80,3,FALSE()),"UNMAPPED"))</f>
        <v>Beverages</v>
      </c>
      <c r="F336" s="36" t="n">
        <f aca="false">IF(Raw_Export!$A336="","",IFERROR(VALUE(TRIM(Raw_Export!E336)),0))</f>
        <v>4</v>
      </c>
      <c r="G336" s="38" t="n">
        <f aca="false">IF(Raw_Export!$A336="","",IFERROR(VALUE(SUBSTITUTE(SUBSTITUTE(UPPER(TRIM(Raw_Export!F336)),"KES",""),",","")),0))</f>
        <v>150</v>
      </c>
      <c r="H336" s="38" t="n">
        <f aca="false">IF(Raw_Export!$A336="","",F336*G336)</f>
        <v>600</v>
      </c>
      <c r="I336" s="36" t="str">
        <f aca="false">IF(Raw_Export!$A336="","",IFERROR(VLOOKUP(LOWER(TRIM(Raw_Export!H336)),Maps!$D$2:$E$12,2,FALSE()),"Other"))</f>
        <v>Cash</v>
      </c>
      <c r="J336" s="36" t="str">
        <f aca="false">IF(Raw_Export!$A336="","",IF(COUNTIF($A$2:A336,A336)&gt;1,"Duplicate",""))</f>
        <v/>
      </c>
      <c r="K336" s="36" t="str">
        <f aca="false">IF(Raw_Export!$A336="","",IF(J336="Duplicate","Duplicate",IF(OR(C336="UNMAPPED",D336="UNMAPPED"),"Unmapped",IF(F336=0,"Blank qty",IF(F336&lt;0,"Return","OK")))))</f>
        <v>OK</v>
      </c>
      <c r="L336" s="36" t="n">
        <f aca="false">IF(Raw_Export!$A336="","",IF(OR(K336="OK",K336="Return"),1,0))</f>
        <v>1</v>
      </c>
      <c r="M336" s="37" t="n">
        <f aca="false">IF(Raw_Export!$A336="","",B336-WEEKDAY(B336,2)+1)</f>
        <v>46265</v>
      </c>
    </row>
    <row r="337" customFormat="false" ht="15" hidden="false" customHeight="false" outlineLevel="0" collapsed="false">
      <c r="A337" s="36" t="str">
        <f aca="false">IF(Raw_Export!$A337="","",TRIM(Raw_Export!A337))</f>
        <v>TXN-100331</v>
      </c>
      <c r="B337" s="37" t="n">
        <f aca="false">IF(Raw_Export!$A337="","",IF(ISNUMBER(Raw_Export!B337),Raw_Export!B337,IF(MID(TRIM(Raw_Export!B337),5,1)="-",DATE(LEFT(TRIM(Raw_Export!B337),4),MID(TRIM(Raw_Export!B337),6,2),RIGHT(TRIM(Raw_Export!B337),2)),DATE(RIGHT(TRIM(Raw_Export!B337),4),MATCH(MID(TRIM(Raw_Export!B337),4,3),{"Jan","Feb","Mar","Apr","May","Jun","Jul","Aug","Sep","Oct","Nov","Dec"},0),LEFT(TRIM(Raw_Export!B337),2)))))</f>
        <v>46267</v>
      </c>
      <c r="C337" s="36" t="str">
        <f aca="false">IF(Raw_Export!$A337="","",IFERROR(VLOOKUP(LOWER(TRIM(Raw_Export!C337)),Maps!$A$2:$B$20,2,FALSE()),"UNMAPPED"))</f>
        <v>Mombasa</v>
      </c>
      <c r="D337" s="36" t="str">
        <f aca="false">IF(Raw_Export!$A337="","",IFERROR(VLOOKUP(LOWER(TRIM(Raw_Export!D337)),Maps!$G$2:$I$80,2,FALSE()),"UNMAPPED"))</f>
        <v>Sugar 2kg</v>
      </c>
      <c r="E337" s="36" t="str">
        <f aca="false">IF(Raw_Export!$A337="","",IFERROR(VLOOKUP(LOWER(TRIM(Raw_Export!D337)),Maps!$G$2:$I$80,3,FALSE()),"UNMAPPED"))</f>
        <v>Staples</v>
      </c>
      <c r="F337" s="36" t="n">
        <f aca="false">IF(Raw_Export!$A337="","",IFERROR(VALUE(TRIM(Raw_Export!E337)),0))</f>
        <v>3</v>
      </c>
      <c r="G337" s="38" t="n">
        <f aca="false">IF(Raw_Export!$A337="","",IFERROR(VALUE(SUBSTITUTE(SUBSTITUTE(UPPER(TRIM(Raw_Export!F337)),"KES",""),",","")),0))</f>
        <v>330</v>
      </c>
      <c r="H337" s="38" t="n">
        <f aca="false">IF(Raw_Export!$A337="","",F337*G337)</f>
        <v>990</v>
      </c>
      <c r="I337" s="36" t="str">
        <f aca="false">IF(Raw_Export!$A337="","",IFERROR(VLOOKUP(LOWER(TRIM(Raw_Export!H337)),Maps!$D$2:$E$12,2,FALSE()),"Other"))</f>
        <v>M-Pesa</v>
      </c>
      <c r="J337" s="36" t="str">
        <f aca="false">IF(Raw_Export!$A337="","",IF(COUNTIF($A$2:A337,A337)&gt;1,"Duplicate",""))</f>
        <v/>
      </c>
      <c r="K337" s="36" t="str">
        <f aca="false">IF(Raw_Export!$A337="","",IF(J337="Duplicate","Duplicate",IF(OR(C337="UNMAPPED",D337="UNMAPPED"),"Unmapped",IF(F337=0,"Blank qty",IF(F337&lt;0,"Return","OK")))))</f>
        <v>OK</v>
      </c>
      <c r="L337" s="36" t="n">
        <f aca="false">IF(Raw_Export!$A337="","",IF(OR(K337="OK",K337="Return"),1,0))</f>
        <v>1</v>
      </c>
      <c r="M337" s="37" t="n">
        <f aca="false">IF(Raw_Export!$A337="","",B337-WEEKDAY(B337,2)+1)</f>
        <v>46265</v>
      </c>
    </row>
    <row r="338" customFormat="false" ht="15" hidden="false" customHeight="false" outlineLevel="0" collapsed="false">
      <c r="A338" s="36" t="str">
        <f aca="false">IF(Raw_Export!$A338="","",TRIM(Raw_Export!A338))</f>
        <v>TXN-100332</v>
      </c>
      <c r="B338" s="37" t="n">
        <f aca="false">IF(Raw_Export!$A338="","",IF(ISNUMBER(Raw_Export!B338),Raw_Export!B338,IF(MID(TRIM(Raw_Export!B338),5,1)="-",DATE(LEFT(TRIM(Raw_Export!B338),4),MID(TRIM(Raw_Export!B338),6,2),RIGHT(TRIM(Raw_Export!B338),2)),DATE(RIGHT(TRIM(Raw_Export!B338),4),MATCH(MID(TRIM(Raw_Export!B338),4,3),{"Jan","Feb","Mar","Apr","May","Jun","Jul","Aug","Sep","Oct","Nov","Dec"},0),LEFT(TRIM(Raw_Export!B338),2)))))</f>
        <v>46267</v>
      </c>
      <c r="C338" s="36" t="str">
        <f aca="false">IF(Raw_Export!$A338="","",IFERROR(VLOOKUP(LOWER(TRIM(Raw_Export!C338)),Maps!$A$2:$B$20,2,FALSE()),"UNMAPPED"))</f>
        <v>Mombasa</v>
      </c>
      <c r="D338" s="36" t="str">
        <f aca="false">IF(Raw_Export!$A338="","",IFERROR(VLOOKUP(LOWER(TRIM(Raw_Export!D338)),Maps!$G$2:$I$80,2,FALSE()),"UNMAPPED"))</f>
        <v>Coffee 100g</v>
      </c>
      <c r="E338" s="36" t="str">
        <f aca="false">IF(Raw_Export!$A338="","",IFERROR(VLOOKUP(LOWER(TRIM(Raw_Export!D338)),Maps!$G$2:$I$80,3,FALSE()),"UNMAPPED"))</f>
        <v>Beverages</v>
      </c>
      <c r="F338" s="36" t="n">
        <f aca="false">IF(Raw_Export!$A338="","",IFERROR(VALUE(TRIM(Raw_Export!E338)),0))</f>
        <v>2</v>
      </c>
      <c r="G338" s="38" t="n">
        <f aca="false">IF(Raw_Export!$A338="","",IFERROR(VALUE(SUBSTITUTE(SUBSTITUTE(UPPER(TRIM(Raw_Export!F338)),"KES",""),",","")),0))</f>
        <v>360</v>
      </c>
      <c r="H338" s="38" t="n">
        <f aca="false">IF(Raw_Export!$A338="","",F338*G338)</f>
        <v>720</v>
      </c>
      <c r="I338" s="36" t="str">
        <f aca="false">IF(Raw_Export!$A338="","",IFERROR(VLOOKUP(LOWER(TRIM(Raw_Export!H338)),Maps!$D$2:$E$12,2,FALSE()),"Other"))</f>
        <v>M-Pesa</v>
      </c>
      <c r="J338" s="36" t="str">
        <f aca="false">IF(Raw_Export!$A338="","",IF(COUNTIF($A$2:A338,A338)&gt;1,"Duplicate",""))</f>
        <v/>
      </c>
      <c r="K338" s="36" t="str">
        <f aca="false">IF(Raw_Export!$A338="","",IF(J338="Duplicate","Duplicate",IF(OR(C338="UNMAPPED",D338="UNMAPPED"),"Unmapped",IF(F338=0,"Blank qty",IF(F338&lt;0,"Return","OK")))))</f>
        <v>OK</v>
      </c>
      <c r="L338" s="36" t="n">
        <f aca="false">IF(Raw_Export!$A338="","",IF(OR(K338="OK",K338="Return"),1,0))</f>
        <v>1</v>
      </c>
      <c r="M338" s="37" t="n">
        <f aca="false">IF(Raw_Export!$A338="","",B338-WEEKDAY(B338,2)+1)</f>
        <v>46265</v>
      </c>
    </row>
    <row r="339" customFormat="false" ht="15" hidden="false" customHeight="false" outlineLevel="0" collapsed="false">
      <c r="A339" s="36" t="str">
        <f aca="false">IF(Raw_Export!$A339="","",TRIM(Raw_Export!A339))</f>
        <v>TXN-100333</v>
      </c>
      <c r="B339" s="37" t="n">
        <f aca="false">IF(Raw_Export!$A339="","",IF(ISNUMBER(Raw_Export!B339),Raw_Export!B339,IF(MID(TRIM(Raw_Export!B339),5,1)="-",DATE(LEFT(TRIM(Raw_Export!B339),4),MID(TRIM(Raw_Export!B339),6,2),RIGHT(TRIM(Raw_Export!B339),2)),DATE(RIGHT(TRIM(Raw_Export!B339),4),MATCH(MID(TRIM(Raw_Export!B339),4,3),{"Jan","Feb","Mar","Apr","May","Jun","Jul","Aug","Sep","Oct","Nov","Dec"},0),LEFT(TRIM(Raw_Export!B339),2)))))</f>
        <v>46267</v>
      </c>
      <c r="C339" s="36" t="str">
        <f aca="false">IF(Raw_Export!$A339="","",IFERROR(VLOOKUP(LOWER(TRIM(Raw_Export!C339)),Maps!$A$2:$B$20,2,FALSE()),"UNMAPPED"))</f>
        <v>Mombasa</v>
      </c>
      <c r="D339" s="36" t="str">
        <f aca="false">IF(Raw_Export!$A339="","",IFERROR(VLOOKUP(LOWER(TRIM(Raw_Export!D339)),Maps!$G$2:$I$80,2,FALSE()),"UNMAPPED"))</f>
        <v>Cooking Oil 1L</v>
      </c>
      <c r="E339" s="36" t="str">
        <f aca="false">IF(Raw_Export!$A339="","",IFERROR(VLOOKUP(LOWER(TRIM(Raw_Export!D339)),Maps!$G$2:$I$80,3,FALSE()),"UNMAPPED"))</f>
        <v>Staples</v>
      </c>
      <c r="F339" s="36" t="n">
        <f aca="false">IF(Raw_Export!$A339="","",IFERROR(VALUE(TRIM(Raw_Export!E339)),0))</f>
        <v>1</v>
      </c>
      <c r="G339" s="38" t="n">
        <f aca="false">IF(Raw_Export!$A339="","",IFERROR(VALUE(SUBSTITUTE(SUBSTITUTE(UPPER(TRIM(Raw_Export!F339)),"KES",""),",","")),0))</f>
        <v>330</v>
      </c>
      <c r="H339" s="38" t="n">
        <f aca="false">IF(Raw_Export!$A339="","",F339*G339)</f>
        <v>330</v>
      </c>
      <c r="I339" s="36" t="str">
        <f aca="false">IF(Raw_Export!$A339="","",IFERROR(VLOOKUP(LOWER(TRIM(Raw_Export!H339)),Maps!$D$2:$E$12,2,FALSE()),"Other"))</f>
        <v>M-Pesa</v>
      </c>
      <c r="J339" s="36" t="str">
        <f aca="false">IF(Raw_Export!$A339="","",IF(COUNTIF($A$2:A339,A339)&gt;1,"Duplicate",""))</f>
        <v/>
      </c>
      <c r="K339" s="36" t="str">
        <f aca="false">IF(Raw_Export!$A339="","",IF(J339="Duplicate","Duplicate",IF(OR(C339="UNMAPPED",D339="UNMAPPED"),"Unmapped",IF(F339=0,"Blank qty",IF(F339&lt;0,"Return","OK")))))</f>
        <v>OK</v>
      </c>
      <c r="L339" s="36" t="n">
        <f aca="false">IF(Raw_Export!$A339="","",IF(OR(K339="OK",K339="Return"),1,0))</f>
        <v>1</v>
      </c>
      <c r="M339" s="37" t="n">
        <f aca="false">IF(Raw_Export!$A339="","",B339-WEEKDAY(B339,2)+1)</f>
        <v>46265</v>
      </c>
    </row>
    <row r="340" customFormat="false" ht="15" hidden="false" customHeight="false" outlineLevel="0" collapsed="false">
      <c r="A340" s="36" t="str">
        <f aca="false">IF(Raw_Export!$A340="","",TRIM(Raw_Export!A340))</f>
        <v>TXN-100334</v>
      </c>
      <c r="B340" s="37" t="n">
        <f aca="false">IF(Raw_Export!$A340="","",IF(ISNUMBER(Raw_Export!B340),Raw_Export!B340,IF(MID(TRIM(Raw_Export!B340),5,1)="-",DATE(LEFT(TRIM(Raw_Export!B340),4),MID(TRIM(Raw_Export!B340),6,2),RIGHT(TRIM(Raw_Export!B340),2)),DATE(RIGHT(TRIM(Raw_Export!B340),4),MATCH(MID(TRIM(Raw_Export!B340),4,3),{"Jan","Feb","Mar","Apr","May","Jun","Jul","Aug","Sep","Oct","Nov","Dec"},0),LEFT(TRIM(Raw_Export!B340),2)))))</f>
        <v>46267</v>
      </c>
      <c r="C340" s="36" t="str">
        <f aca="false">IF(Raw_Export!$A340="","",IFERROR(VLOOKUP(LOWER(TRIM(Raw_Export!C340)),Maps!$A$2:$B$20,2,FALSE()),"UNMAPPED"))</f>
        <v>Mombasa</v>
      </c>
      <c r="D340" s="36" t="str">
        <f aca="false">IF(Raw_Export!$A340="","",IFERROR(VLOOKUP(LOWER(TRIM(Raw_Export!D340)),Maps!$G$2:$I$80,2,FALSE()),"UNMAPPED"))</f>
        <v>Eggs Tray 30</v>
      </c>
      <c r="E340" s="36" t="str">
        <f aca="false">IF(Raw_Export!$A340="","",IFERROR(VLOOKUP(LOWER(TRIM(Raw_Export!D340)),Maps!$G$2:$I$80,3,FALSE()),"UNMAPPED"))</f>
        <v>Dairy &amp; Eggs</v>
      </c>
      <c r="F340" s="36" t="n">
        <f aca="false">IF(Raw_Export!$A340="","",IFERROR(VALUE(TRIM(Raw_Export!E340)),0))</f>
        <v>1</v>
      </c>
      <c r="G340" s="38" t="n">
        <f aca="false">IF(Raw_Export!$A340="","",IFERROR(VALUE(SUBSTITUTE(SUBSTITUTE(UPPER(TRIM(Raw_Export!F340)),"KES",""),",","")),0))</f>
        <v>450</v>
      </c>
      <c r="H340" s="38" t="n">
        <f aca="false">IF(Raw_Export!$A340="","",F340*G340)</f>
        <v>450</v>
      </c>
      <c r="I340" s="36" t="str">
        <f aca="false">IF(Raw_Export!$A340="","",IFERROR(VLOOKUP(LOWER(TRIM(Raw_Export!H340)),Maps!$D$2:$E$12,2,FALSE()),"Other"))</f>
        <v>M-Pesa</v>
      </c>
      <c r="J340" s="36" t="str">
        <f aca="false">IF(Raw_Export!$A340="","",IF(COUNTIF($A$2:A340,A340)&gt;1,"Duplicate",""))</f>
        <v/>
      </c>
      <c r="K340" s="36" t="str">
        <f aca="false">IF(Raw_Export!$A340="","",IF(J340="Duplicate","Duplicate",IF(OR(C340="UNMAPPED",D340="UNMAPPED"),"Unmapped",IF(F340=0,"Blank qty",IF(F340&lt;0,"Return","OK")))))</f>
        <v>OK</v>
      </c>
      <c r="L340" s="36" t="n">
        <f aca="false">IF(Raw_Export!$A340="","",IF(OR(K340="OK",K340="Return"),1,0))</f>
        <v>1</v>
      </c>
      <c r="M340" s="37" t="n">
        <f aca="false">IF(Raw_Export!$A340="","",B340-WEEKDAY(B340,2)+1)</f>
        <v>46265</v>
      </c>
    </row>
    <row r="341" customFormat="false" ht="15" hidden="false" customHeight="false" outlineLevel="0" collapsed="false">
      <c r="A341" s="36" t="str">
        <f aca="false">IF(Raw_Export!$A341="","",TRIM(Raw_Export!A341))</f>
        <v>TXN-100335</v>
      </c>
      <c r="B341" s="37" t="n">
        <f aca="false">IF(Raw_Export!$A341="","",IF(ISNUMBER(Raw_Export!B341),Raw_Export!B341,IF(MID(TRIM(Raw_Export!B341),5,1)="-",DATE(LEFT(TRIM(Raw_Export!B341),4),MID(TRIM(Raw_Export!B341),6,2),RIGHT(TRIM(Raw_Export!B341),2)),DATE(RIGHT(TRIM(Raw_Export!B341),4),MATCH(MID(TRIM(Raw_Export!B341),4,3),{"Jan","Feb","Mar","Apr","May","Jun","Jul","Aug","Sep","Oct","Nov","Dec"},0),LEFT(TRIM(Raw_Export!B341),2)))))</f>
        <v>46267</v>
      </c>
      <c r="C341" s="36" t="str">
        <f aca="false">IF(Raw_Export!$A341="","",IFERROR(VLOOKUP(LOWER(TRIM(Raw_Export!C341)),Maps!$A$2:$B$20,2,FALSE()),"UNMAPPED"))</f>
        <v>Mombasa</v>
      </c>
      <c r="D341" s="36" t="str">
        <f aca="false">IF(Raw_Export!$A341="","",IFERROR(VLOOKUP(LOWER(TRIM(Raw_Export!D341)),Maps!$G$2:$I$80,2,FALSE()),"UNMAPPED"))</f>
        <v>Dish Soap 750ml</v>
      </c>
      <c r="E341" s="36" t="str">
        <f aca="false">IF(Raw_Export!$A341="","",IFERROR(VLOOKUP(LOWER(TRIM(Raw_Export!D341)),Maps!$G$2:$I$80,3,FALSE()),"UNMAPPED"))</f>
        <v>Household</v>
      </c>
      <c r="F341" s="36" t="n">
        <f aca="false">IF(Raw_Export!$A341="","",IFERROR(VALUE(TRIM(Raw_Export!E341)),0))</f>
        <v>1</v>
      </c>
      <c r="G341" s="38" t="n">
        <f aca="false">IF(Raw_Export!$A341="","",IFERROR(VALUE(SUBSTITUTE(SUBSTITUTE(UPPER(TRIM(Raw_Export!F341)),"KES",""),",","")),0))</f>
        <v>190</v>
      </c>
      <c r="H341" s="38" t="n">
        <f aca="false">IF(Raw_Export!$A341="","",F341*G341)</f>
        <v>190</v>
      </c>
      <c r="I341" s="36" t="str">
        <f aca="false">IF(Raw_Export!$A341="","",IFERROR(VLOOKUP(LOWER(TRIM(Raw_Export!H341)),Maps!$D$2:$E$12,2,FALSE()),"Other"))</f>
        <v>Cash</v>
      </c>
      <c r="J341" s="36" t="str">
        <f aca="false">IF(Raw_Export!$A341="","",IF(COUNTIF($A$2:A341,A341)&gt;1,"Duplicate",""))</f>
        <v/>
      </c>
      <c r="K341" s="36" t="str">
        <f aca="false">IF(Raw_Export!$A341="","",IF(J341="Duplicate","Duplicate",IF(OR(C341="UNMAPPED",D341="UNMAPPED"),"Unmapped",IF(F341=0,"Blank qty",IF(F341&lt;0,"Return","OK")))))</f>
        <v>OK</v>
      </c>
      <c r="L341" s="36" t="n">
        <f aca="false">IF(Raw_Export!$A341="","",IF(OR(K341="OK",K341="Return"),1,0))</f>
        <v>1</v>
      </c>
      <c r="M341" s="37" t="n">
        <f aca="false">IF(Raw_Export!$A341="","",B341-WEEKDAY(B341,2)+1)</f>
        <v>46265</v>
      </c>
    </row>
    <row r="342" customFormat="false" ht="15" hidden="false" customHeight="false" outlineLevel="0" collapsed="false">
      <c r="A342" s="36" t="str">
        <f aca="false">IF(Raw_Export!$A342="","",TRIM(Raw_Export!A342))</f>
        <v>TXN-100336</v>
      </c>
      <c r="B342" s="37" t="n">
        <f aca="false">IF(Raw_Export!$A342="","",IF(ISNUMBER(Raw_Export!B342),Raw_Export!B342,IF(MID(TRIM(Raw_Export!B342),5,1)="-",DATE(LEFT(TRIM(Raw_Export!B342),4),MID(TRIM(Raw_Export!B342),6,2),RIGHT(TRIM(Raw_Export!B342),2)),DATE(RIGHT(TRIM(Raw_Export!B342),4),MATCH(MID(TRIM(Raw_Export!B342),4,3),{"Jan","Feb","Mar","Apr","May","Jun","Jul","Aug","Sep","Oct","Nov","Dec"},0),LEFT(TRIM(Raw_Export!B342),2)))))</f>
        <v>46267</v>
      </c>
      <c r="C342" s="36" t="str">
        <f aca="false">IF(Raw_Export!$A342="","",IFERROR(VLOOKUP(LOWER(TRIM(Raw_Export!C342)),Maps!$A$2:$B$20,2,FALSE()),"UNMAPPED"))</f>
        <v>Mombasa</v>
      </c>
      <c r="D342" s="36" t="str">
        <f aca="false">IF(Raw_Export!$A342="","",IFERROR(VLOOKUP(LOWER(TRIM(Raw_Export!D342)),Maps!$G$2:$I$80,2,FALSE()),"UNMAPPED"))</f>
        <v>Soda 500ml</v>
      </c>
      <c r="E342" s="36" t="str">
        <f aca="false">IF(Raw_Export!$A342="","",IFERROR(VLOOKUP(LOWER(TRIM(Raw_Export!D342)),Maps!$G$2:$I$80,3,FALSE()),"UNMAPPED"))</f>
        <v>Beverages</v>
      </c>
      <c r="F342" s="36" t="n">
        <f aca="false">IF(Raw_Export!$A342="","",IFERROR(VALUE(TRIM(Raw_Export!E342)),0))</f>
        <v>0</v>
      </c>
      <c r="G342" s="38" t="n">
        <f aca="false">IF(Raw_Export!$A342="","",IFERROR(VALUE(SUBSTITUTE(SUBSTITUTE(UPPER(TRIM(Raw_Export!F342)),"KES",""),",","")),0))</f>
        <v>60</v>
      </c>
      <c r="H342" s="38" t="n">
        <f aca="false">IF(Raw_Export!$A342="","",F342*G342)</f>
        <v>0</v>
      </c>
      <c r="I342" s="36" t="str">
        <f aca="false">IF(Raw_Export!$A342="","",IFERROR(VLOOKUP(LOWER(TRIM(Raw_Export!H342)),Maps!$D$2:$E$12,2,FALSE()),"Other"))</f>
        <v>Cash</v>
      </c>
      <c r="J342" s="36" t="str">
        <f aca="false">IF(Raw_Export!$A342="","",IF(COUNTIF($A$2:A342,A342)&gt;1,"Duplicate",""))</f>
        <v/>
      </c>
      <c r="K342" s="36" t="str">
        <f aca="false">IF(Raw_Export!$A342="","",IF(J342="Duplicate","Duplicate",IF(OR(C342="UNMAPPED",D342="UNMAPPED"),"Unmapped",IF(F342=0,"Blank qty",IF(F342&lt;0,"Return","OK")))))</f>
        <v>Blank qty</v>
      </c>
      <c r="L342" s="36" t="n">
        <f aca="false">IF(Raw_Export!$A342="","",IF(OR(K342="OK",K342="Return"),1,0))</f>
        <v>0</v>
      </c>
      <c r="M342" s="37" t="n">
        <f aca="false">IF(Raw_Export!$A342="","",B342-WEEKDAY(B342,2)+1)</f>
        <v>46265</v>
      </c>
    </row>
    <row r="343" customFormat="false" ht="15" hidden="false" customHeight="false" outlineLevel="0" collapsed="false">
      <c r="A343" s="36" t="str">
        <f aca="false">IF(Raw_Export!$A343="","",TRIM(Raw_Export!A343))</f>
        <v>TXN-100337</v>
      </c>
      <c r="B343" s="37" t="n">
        <f aca="false">IF(Raw_Export!$A343="","",IF(ISNUMBER(Raw_Export!B343),Raw_Export!B343,IF(MID(TRIM(Raw_Export!B343),5,1)="-",DATE(LEFT(TRIM(Raw_Export!B343),4),MID(TRIM(Raw_Export!B343),6,2),RIGHT(TRIM(Raw_Export!B343),2)),DATE(RIGHT(TRIM(Raw_Export!B343),4),MATCH(MID(TRIM(Raw_Export!B343),4,3),{"Jan","Feb","Mar","Apr","May","Jun","Jul","Aug","Sep","Oct","Nov","Dec"},0),LEFT(TRIM(Raw_Export!B343),2)))))</f>
        <v>46267</v>
      </c>
      <c r="C343" s="36" t="str">
        <f aca="false">IF(Raw_Export!$A343="","",IFERROR(VLOOKUP(LOWER(TRIM(Raw_Export!C343)),Maps!$A$2:$B$20,2,FALSE()),"UNMAPPED"))</f>
        <v>Mombasa</v>
      </c>
      <c r="D343" s="36" t="str">
        <f aca="false">IF(Raw_Export!$A343="","",IFERROR(VLOOKUP(LOWER(TRIM(Raw_Export!D343)),Maps!$G$2:$I$80,2,FALSE()),"UNMAPPED"))</f>
        <v>Cooking Oil 1L</v>
      </c>
      <c r="E343" s="36" t="str">
        <f aca="false">IF(Raw_Export!$A343="","",IFERROR(VLOOKUP(LOWER(TRIM(Raw_Export!D343)),Maps!$G$2:$I$80,3,FALSE()),"UNMAPPED"))</f>
        <v>Staples</v>
      </c>
      <c r="F343" s="36" t="n">
        <f aca="false">IF(Raw_Export!$A343="","",IFERROR(VALUE(TRIM(Raw_Export!E343)),0))</f>
        <v>4</v>
      </c>
      <c r="G343" s="38" t="n">
        <f aca="false">IF(Raw_Export!$A343="","",IFERROR(VALUE(SUBSTITUTE(SUBSTITUTE(UPPER(TRIM(Raw_Export!F343)),"KES",""),",","")),0))</f>
        <v>330</v>
      </c>
      <c r="H343" s="38" t="n">
        <f aca="false">IF(Raw_Export!$A343="","",F343*G343)</f>
        <v>1320</v>
      </c>
      <c r="I343" s="36" t="str">
        <f aca="false">IF(Raw_Export!$A343="","",IFERROR(VLOOKUP(LOWER(TRIM(Raw_Export!H343)),Maps!$D$2:$E$12,2,FALSE()),"Other"))</f>
        <v>M-Pesa</v>
      </c>
      <c r="J343" s="36" t="str">
        <f aca="false">IF(Raw_Export!$A343="","",IF(COUNTIF($A$2:A343,A343)&gt;1,"Duplicate",""))</f>
        <v/>
      </c>
      <c r="K343" s="36" t="str">
        <f aca="false">IF(Raw_Export!$A343="","",IF(J343="Duplicate","Duplicate",IF(OR(C343="UNMAPPED",D343="UNMAPPED"),"Unmapped",IF(F343=0,"Blank qty",IF(F343&lt;0,"Return","OK")))))</f>
        <v>OK</v>
      </c>
      <c r="L343" s="36" t="n">
        <f aca="false">IF(Raw_Export!$A343="","",IF(OR(K343="OK",K343="Return"),1,0))</f>
        <v>1</v>
      </c>
      <c r="M343" s="37" t="n">
        <f aca="false">IF(Raw_Export!$A343="","",B343-WEEKDAY(B343,2)+1)</f>
        <v>46265</v>
      </c>
    </row>
    <row r="344" customFormat="false" ht="15" hidden="false" customHeight="false" outlineLevel="0" collapsed="false">
      <c r="A344" s="36" t="str">
        <f aca="false">IF(Raw_Export!$A344="","",TRIM(Raw_Export!A344))</f>
        <v>TXN-100338</v>
      </c>
      <c r="B344" s="37" t="n">
        <f aca="false">IF(Raw_Export!$A344="","",IF(ISNUMBER(Raw_Export!B344),Raw_Export!B344,IF(MID(TRIM(Raw_Export!B344),5,1)="-",DATE(LEFT(TRIM(Raw_Export!B344),4),MID(TRIM(Raw_Export!B344),6,2),RIGHT(TRIM(Raw_Export!B344),2)),DATE(RIGHT(TRIM(Raw_Export!B344),4),MATCH(MID(TRIM(Raw_Export!B344),4,3),{"Jan","Feb","Mar","Apr","May","Jun","Jul","Aug","Sep","Oct","Nov","Dec"},0),LEFT(TRIM(Raw_Export!B344),2)))))</f>
        <v>46267</v>
      </c>
      <c r="C344" s="36" t="str">
        <f aca="false">IF(Raw_Export!$A344="","",IFERROR(VLOOKUP(LOWER(TRIM(Raw_Export!C344)),Maps!$A$2:$B$20,2,FALSE()),"UNMAPPED"))</f>
        <v>Kisumu</v>
      </c>
      <c r="D344" s="36" t="str">
        <f aca="false">IF(Raw_Export!$A344="","",IFERROR(VLOOKUP(LOWER(TRIM(Raw_Export!D344)),Maps!$G$2:$I$80,2,FALSE()),"UNMAPPED"))</f>
        <v>Cooking Oil 1L</v>
      </c>
      <c r="E344" s="36" t="str">
        <f aca="false">IF(Raw_Export!$A344="","",IFERROR(VLOOKUP(LOWER(TRIM(Raw_Export!D344)),Maps!$G$2:$I$80,3,FALSE()),"UNMAPPED"))</f>
        <v>Staples</v>
      </c>
      <c r="F344" s="36" t="n">
        <f aca="false">IF(Raw_Export!$A344="","",IFERROR(VALUE(TRIM(Raw_Export!E344)),0))</f>
        <v>4</v>
      </c>
      <c r="G344" s="38" t="n">
        <f aca="false">IF(Raw_Export!$A344="","",IFERROR(VALUE(SUBSTITUTE(SUBSTITUTE(UPPER(TRIM(Raw_Export!F344)),"KES",""),",","")),0))</f>
        <v>330</v>
      </c>
      <c r="H344" s="38" t="n">
        <f aca="false">IF(Raw_Export!$A344="","",F344*G344)</f>
        <v>1320</v>
      </c>
      <c r="I344" s="36" t="str">
        <f aca="false">IF(Raw_Export!$A344="","",IFERROR(VLOOKUP(LOWER(TRIM(Raw_Export!H344)),Maps!$D$2:$E$12,2,FALSE()),"Other"))</f>
        <v>Card</v>
      </c>
      <c r="J344" s="36" t="str">
        <f aca="false">IF(Raw_Export!$A344="","",IF(COUNTIF($A$2:A344,A344)&gt;1,"Duplicate",""))</f>
        <v/>
      </c>
      <c r="K344" s="36" t="str">
        <f aca="false">IF(Raw_Export!$A344="","",IF(J344="Duplicate","Duplicate",IF(OR(C344="UNMAPPED",D344="UNMAPPED"),"Unmapped",IF(F344=0,"Blank qty",IF(F344&lt;0,"Return","OK")))))</f>
        <v>OK</v>
      </c>
      <c r="L344" s="36" t="n">
        <f aca="false">IF(Raw_Export!$A344="","",IF(OR(K344="OK",K344="Return"),1,0))</f>
        <v>1</v>
      </c>
      <c r="M344" s="37" t="n">
        <f aca="false">IF(Raw_Export!$A344="","",B344-WEEKDAY(B344,2)+1)</f>
        <v>46265</v>
      </c>
    </row>
    <row r="345" customFormat="false" ht="15" hidden="false" customHeight="false" outlineLevel="0" collapsed="false">
      <c r="A345" s="36" t="str">
        <f aca="false">IF(Raw_Export!$A345="","",TRIM(Raw_Export!A345))</f>
        <v>TXN-100339</v>
      </c>
      <c r="B345" s="37" t="n">
        <f aca="false">IF(Raw_Export!$A345="","",IF(ISNUMBER(Raw_Export!B345),Raw_Export!B345,IF(MID(TRIM(Raw_Export!B345),5,1)="-",DATE(LEFT(TRIM(Raw_Export!B345),4),MID(TRIM(Raw_Export!B345),6,2),RIGHT(TRIM(Raw_Export!B345),2)),DATE(RIGHT(TRIM(Raw_Export!B345),4),MATCH(MID(TRIM(Raw_Export!B345),4,3),{"Jan","Feb","Mar","Apr","May","Jun","Jul","Aug","Sep","Oct","Nov","Dec"},0),LEFT(TRIM(Raw_Export!B345),2)))))</f>
        <v>46267</v>
      </c>
      <c r="C345" s="36" t="str">
        <f aca="false">IF(Raw_Export!$A345="","",IFERROR(VLOOKUP(LOWER(TRIM(Raw_Export!C345)),Maps!$A$2:$B$20,2,FALSE()),"UNMAPPED"))</f>
        <v>Kisumu</v>
      </c>
      <c r="D345" s="36" t="str">
        <f aca="false">IF(Raw_Export!$A345="","",IFERROR(VLOOKUP(LOWER(TRIM(Raw_Export!D345)),Maps!$G$2:$I$80,2,FALSE()),"UNMAPPED"))</f>
        <v>Peanuts 250g</v>
      </c>
      <c r="E345" s="36" t="str">
        <f aca="false">IF(Raw_Export!$A345="","",IFERROR(VLOOKUP(LOWER(TRIM(Raw_Export!D345)),Maps!$G$2:$I$80,3,FALSE()),"UNMAPPED"))</f>
        <v>Snacks</v>
      </c>
      <c r="F345" s="36" t="n">
        <f aca="false">IF(Raw_Export!$A345="","",IFERROR(VALUE(TRIM(Raw_Export!E345)),0))</f>
        <v>6</v>
      </c>
      <c r="G345" s="38" t="n">
        <f aca="false">IF(Raw_Export!$A345="","",IFERROR(VALUE(SUBSTITUTE(SUBSTITUTE(UPPER(TRIM(Raw_Export!F345)),"KES",""),",","")),0))</f>
        <v>130</v>
      </c>
      <c r="H345" s="38" t="n">
        <f aca="false">IF(Raw_Export!$A345="","",F345*G345)</f>
        <v>780</v>
      </c>
      <c r="I345" s="36" t="str">
        <f aca="false">IF(Raw_Export!$A345="","",IFERROR(VLOOKUP(LOWER(TRIM(Raw_Export!H345)),Maps!$D$2:$E$12,2,FALSE()),"Other"))</f>
        <v>M-Pesa</v>
      </c>
      <c r="J345" s="36" t="str">
        <f aca="false">IF(Raw_Export!$A345="","",IF(COUNTIF($A$2:A345,A345)&gt;1,"Duplicate",""))</f>
        <v/>
      </c>
      <c r="K345" s="36" t="str">
        <f aca="false">IF(Raw_Export!$A345="","",IF(J345="Duplicate","Duplicate",IF(OR(C345="UNMAPPED",D345="UNMAPPED"),"Unmapped",IF(F345=0,"Blank qty",IF(F345&lt;0,"Return","OK")))))</f>
        <v>OK</v>
      </c>
      <c r="L345" s="36" t="n">
        <f aca="false">IF(Raw_Export!$A345="","",IF(OR(K345="OK",K345="Return"),1,0))</f>
        <v>1</v>
      </c>
      <c r="M345" s="37" t="n">
        <f aca="false">IF(Raw_Export!$A345="","",B345-WEEKDAY(B345,2)+1)</f>
        <v>46265</v>
      </c>
    </row>
    <row r="346" customFormat="false" ht="15" hidden="false" customHeight="false" outlineLevel="0" collapsed="false">
      <c r="A346" s="36" t="str">
        <f aca="false">IF(Raw_Export!$A346="","",TRIM(Raw_Export!A346))</f>
        <v>TXN-101327</v>
      </c>
      <c r="B346" s="37" t="n">
        <f aca="false">IF(Raw_Export!$A346="","",IF(ISNUMBER(Raw_Export!B346),Raw_Export!B346,IF(MID(TRIM(Raw_Export!B346),5,1)="-",DATE(LEFT(TRIM(Raw_Export!B346),4),MID(TRIM(Raw_Export!B346),6,2),RIGHT(TRIM(Raw_Export!B346),2)),DATE(RIGHT(TRIM(Raw_Export!B346),4),MATCH(MID(TRIM(Raw_Export!B346),4,3),{"Jan","Feb","Mar","Apr","May","Jun","Jul","Aug","Sep","Oct","Nov","Dec"},0),LEFT(TRIM(Raw_Export!B346),2)))))</f>
        <v>46274</v>
      </c>
      <c r="C346" s="36" t="str">
        <f aca="false">IF(Raw_Export!$A346="","",IFERROR(VLOOKUP(LOWER(TRIM(Raw_Export!C346)),Maps!$A$2:$B$20,2,FALSE()),"UNMAPPED"))</f>
        <v>Nairobi CBD</v>
      </c>
      <c r="D346" s="36" t="str">
        <f aca="false">IF(Raw_Export!$A346="","",IFERROR(VLOOKUP(LOWER(TRIM(Raw_Export!D346)),Maps!$G$2:$I$80,2,FALSE()),"UNMAPPED"))</f>
        <v>Chocolate Bar 90g</v>
      </c>
      <c r="E346" s="36" t="str">
        <f aca="false">IF(Raw_Export!$A346="","",IFERROR(VLOOKUP(LOWER(TRIM(Raw_Export!D346)),Maps!$G$2:$I$80,3,FALSE()),"UNMAPPED"))</f>
        <v>Snacks</v>
      </c>
      <c r="F346" s="36" t="n">
        <f aca="false">IF(Raw_Export!$A346="","",IFERROR(VALUE(TRIM(Raw_Export!E346)),0))</f>
        <v>1</v>
      </c>
      <c r="G346" s="38" t="n">
        <f aca="false">IF(Raw_Export!$A346="","",IFERROR(VALUE(SUBSTITUTE(SUBSTITUTE(UPPER(TRIM(Raw_Export!F346)),"KES",""),",","")),0))</f>
        <v>140</v>
      </c>
      <c r="H346" s="38" t="n">
        <f aca="false">IF(Raw_Export!$A346="","",F346*G346)</f>
        <v>140</v>
      </c>
      <c r="I346" s="36" t="str">
        <f aca="false">IF(Raw_Export!$A346="","",IFERROR(VLOOKUP(LOWER(TRIM(Raw_Export!H346)),Maps!$D$2:$E$12,2,FALSE()),"Other"))</f>
        <v>Card</v>
      </c>
      <c r="J346" s="36" t="str">
        <f aca="false">IF(Raw_Export!$A346="","",IF(COUNTIF($A$2:A346,A346)&gt;1,"Duplicate",""))</f>
        <v/>
      </c>
      <c r="K346" s="36" t="str">
        <f aca="false">IF(Raw_Export!$A346="","",IF(J346="Duplicate","Duplicate",IF(OR(C346="UNMAPPED",D346="UNMAPPED"),"Unmapped",IF(F346=0,"Blank qty",IF(F346&lt;0,"Return","OK")))))</f>
        <v>OK</v>
      </c>
      <c r="L346" s="36" t="n">
        <f aca="false">IF(Raw_Export!$A346="","",IF(OR(K346="OK",K346="Return"),1,0))</f>
        <v>1</v>
      </c>
      <c r="M346" s="37" t="n">
        <f aca="false">IF(Raw_Export!$A346="","",B346-WEEKDAY(B346,2)+1)</f>
        <v>46272</v>
      </c>
    </row>
    <row r="347" customFormat="false" ht="15" hidden="false" customHeight="false" outlineLevel="0" collapsed="false">
      <c r="A347" s="36" t="str">
        <f aca="false">IF(Raw_Export!$A347="","",TRIM(Raw_Export!A347))</f>
        <v>TXN-100340</v>
      </c>
      <c r="B347" s="37" t="n">
        <f aca="false">IF(Raw_Export!$A347="","",IF(ISNUMBER(Raw_Export!B347),Raw_Export!B347,IF(MID(TRIM(Raw_Export!B347),5,1)="-",DATE(LEFT(TRIM(Raw_Export!B347),4),MID(TRIM(Raw_Export!B347),6,2),RIGHT(TRIM(Raw_Export!B347),2)),DATE(RIGHT(TRIM(Raw_Export!B347),4),MATCH(MID(TRIM(Raw_Export!B347),4,3),{"Jan","Feb","Mar","Apr","May","Jun","Jul","Aug","Sep","Oct","Nov","Dec"},0),LEFT(TRIM(Raw_Export!B347),2)))))</f>
        <v>46267</v>
      </c>
      <c r="C347" s="36" t="str">
        <f aca="false">IF(Raw_Export!$A347="","",IFERROR(VLOOKUP(LOWER(TRIM(Raw_Export!C347)),Maps!$A$2:$B$20,2,FALSE()),"UNMAPPED"))</f>
        <v>Kisumu</v>
      </c>
      <c r="D347" s="36" t="str">
        <f aca="false">IF(Raw_Export!$A347="","",IFERROR(VLOOKUP(LOWER(TRIM(Raw_Export!D347)),Maps!$G$2:$I$80,2,FALSE()),"UNMAPPED"))</f>
        <v>Juice 1L</v>
      </c>
      <c r="E347" s="36" t="str">
        <f aca="false">IF(Raw_Export!$A347="","",IFERROR(VLOOKUP(LOWER(TRIM(Raw_Export!D347)),Maps!$G$2:$I$80,3,FALSE()),"UNMAPPED"))</f>
        <v>Beverages</v>
      </c>
      <c r="F347" s="36" t="n">
        <f aca="false">IF(Raw_Export!$A347="","",IFERROR(VALUE(TRIM(Raw_Export!E347)),0))</f>
        <v>2</v>
      </c>
      <c r="G347" s="38" t="n">
        <f aca="false">IF(Raw_Export!$A347="","",IFERROR(VALUE(SUBSTITUTE(SUBSTITUTE(UPPER(TRIM(Raw_Export!F347)),"KES",""),",","")),0))</f>
        <v>210</v>
      </c>
      <c r="H347" s="38" t="n">
        <f aca="false">IF(Raw_Export!$A347="","",F347*G347)</f>
        <v>420</v>
      </c>
      <c r="I347" s="36" t="str">
        <f aca="false">IF(Raw_Export!$A347="","",IFERROR(VLOOKUP(LOWER(TRIM(Raw_Export!H347)),Maps!$D$2:$E$12,2,FALSE()),"Other"))</f>
        <v>M-Pesa</v>
      </c>
      <c r="J347" s="36" t="str">
        <f aca="false">IF(Raw_Export!$A347="","",IF(COUNTIF($A$2:A347,A347)&gt;1,"Duplicate",""))</f>
        <v/>
      </c>
      <c r="K347" s="36" t="str">
        <f aca="false">IF(Raw_Export!$A347="","",IF(J347="Duplicate","Duplicate",IF(OR(C347="UNMAPPED",D347="UNMAPPED"),"Unmapped",IF(F347=0,"Blank qty",IF(F347&lt;0,"Return","OK")))))</f>
        <v>OK</v>
      </c>
      <c r="L347" s="36" t="n">
        <f aca="false">IF(Raw_Export!$A347="","",IF(OR(K347="OK",K347="Return"),1,0))</f>
        <v>1</v>
      </c>
      <c r="M347" s="37" t="n">
        <f aca="false">IF(Raw_Export!$A347="","",B347-WEEKDAY(B347,2)+1)</f>
        <v>46265</v>
      </c>
    </row>
    <row r="348" customFormat="false" ht="15" hidden="false" customHeight="false" outlineLevel="0" collapsed="false">
      <c r="A348" s="36" t="str">
        <f aca="false">IF(Raw_Export!$A348="","",TRIM(Raw_Export!A348))</f>
        <v>TXN-100341</v>
      </c>
      <c r="B348" s="37" t="n">
        <f aca="false">IF(Raw_Export!$A348="","",IF(ISNUMBER(Raw_Export!B348),Raw_Export!B348,IF(MID(TRIM(Raw_Export!B348),5,1)="-",DATE(LEFT(TRIM(Raw_Export!B348),4),MID(TRIM(Raw_Export!B348),6,2),RIGHT(TRIM(Raw_Export!B348),2)),DATE(RIGHT(TRIM(Raw_Export!B348),4),MATCH(MID(TRIM(Raw_Export!B348),4,3),{"Jan","Feb","Mar","Apr","May","Jun","Jul","Aug","Sep","Oct","Nov","Dec"},0),LEFT(TRIM(Raw_Export!B348),2)))))</f>
        <v>46267</v>
      </c>
      <c r="C348" s="36" t="str">
        <f aca="false">IF(Raw_Export!$A348="","",IFERROR(VLOOKUP(LOWER(TRIM(Raw_Export!C348)),Maps!$A$2:$B$20,2,FALSE()),"UNMAPPED"))</f>
        <v>Kisumu</v>
      </c>
      <c r="D348" s="36" t="str">
        <f aca="false">IF(Raw_Export!$A348="","",IFERROR(VLOOKUP(LOWER(TRIM(Raw_Export!D348)),Maps!$G$2:$I$80,2,FALSE()),"UNMAPPED"))</f>
        <v>Bleach 1L</v>
      </c>
      <c r="E348" s="36" t="str">
        <f aca="false">IF(Raw_Export!$A348="","",IFERROR(VLOOKUP(LOWER(TRIM(Raw_Export!D348)),Maps!$G$2:$I$80,3,FALSE()),"UNMAPPED"))</f>
        <v>Household</v>
      </c>
      <c r="F348" s="36" t="n">
        <f aca="false">IF(Raw_Export!$A348="","",IFERROR(VALUE(TRIM(Raw_Export!E348)),0))</f>
        <v>1</v>
      </c>
      <c r="G348" s="38" t="n">
        <f aca="false">IF(Raw_Export!$A348="","",IFERROR(VALUE(SUBSTITUTE(SUBSTITUTE(UPPER(TRIM(Raw_Export!F348)),"KES",""),",","")),0))</f>
        <v>160</v>
      </c>
      <c r="H348" s="38" t="n">
        <f aca="false">IF(Raw_Export!$A348="","",F348*G348)</f>
        <v>160</v>
      </c>
      <c r="I348" s="36" t="str">
        <f aca="false">IF(Raw_Export!$A348="","",IFERROR(VLOOKUP(LOWER(TRIM(Raw_Export!H348)),Maps!$D$2:$E$12,2,FALSE()),"Other"))</f>
        <v>Card</v>
      </c>
      <c r="J348" s="36" t="str">
        <f aca="false">IF(Raw_Export!$A348="","",IF(COUNTIF($A$2:A348,A348)&gt;1,"Duplicate",""))</f>
        <v/>
      </c>
      <c r="K348" s="36" t="str">
        <f aca="false">IF(Raw_Export!$A348="","",IF(J348="Duplicate","Duplicate",IF(OR(C348="UNMAPPED",D348="UNMAPPED"),"Unmapped",IF(F348=0,"Blank qty",IF(F348&lt;0,"Return","OK")))))</f>
        <v>OK</v>
      </c>
      <c r="L348" s="36" t="n">
        <f aca="false">IF(Raw_Export!$A348="","",IF(OR(K348="OK",K348="Return"),1,0))</f>
        <v>1</v>
      </c>
      <c r="M348" s="37" t="n">
        <f aca="false">IF(Raw_Export!$A348="","",B348-WEEKDAY(B348,2)+1)</f>
        <v>46265</v>
      </c>
    </row>
    <row r="349" customFormat="false" ht="15" hidden="false" customHeight="false" outlineLevel="0" collapsed="false">
      <c r="A349" s="36" t="str">
        <f aca="false">IF(Raw_Export!$A349="","",TRIM(Raw_Export!A349))</f>
        <v>TXN-100342</v>
      </c>
      <c r="B349" s="37" t="n">
        <f aca="false">IF(Raw_Export!$A349="","",IF(ISNUMBER(Raw_Export!B349),Raw_Export!B349,IF(MID(TRIM(Raw_Export!B349),5,1)="-",DATE(LEFT(TRIM(Raw_Export!B349),4),MID(TRIM(Raw_Export!B349),6,2),RIGHT(TRIM(Raw_Export!B349),2)),DATE(RIGHT(TRIM(Raw_Export!B349),4),MATCH(MID(TRIM(Raw_Export!B349),4,3),{"Jan","Feb","Mar","Apr","May","Jun","Jul","Aug","Sep","Oct","Nov","Dec"},0),LEFT(TRIM(Raw_Export!B349),2)))))</f>
        <v>46267</v>
      </c>
      <c r="C349" s="36" t="str">
        <f aca="false">IF(Raw_Export!$A349="","",IFERROR(VLOOKUP(LOWER(TRIM(Raw_Export!C349)),Maps!$A$2:$B$20,2,FALSE()),"UNMAPPED"))</f>
        <v>Kisumu</v>
      </c>
      <c r="D349" s="36" t="str">
        <f aca="false">IF(Raw_Export!$A349="","",IFERROR(VLOOKUP(LOWER(TRIM(Raw_Export!D349)),Maps!$G$2:$I$80,2,FALSE()),"UNMAPPED"))</f>
        <v>Unga Pembe 2kg</v>
      </c>
      <c r="E349" s="36" t="str">
        <f aca="false">IF(Raw_Export!$A349="","",IFERROR(VLOOKUP(LOWER(TRIM(Raw_Export!D349)),Maps!$G$2:$I$80,3,FALSE()),"UNMAPPED"))</f>
        <v>Staples</v>
      </c>
      <c r="F349" s="36" t="n">
        <f aca="false">IF(Raw_Export!$A349="","",IFERROR(VALUE(TRIM(Raw_Export!E349)),0))</f>
        <v>6</v>
      </c>
      <c r="G349" s="38" t="n">
        <f aca="false">IF(Raw_Export!$A349="","",IFERROR(VALUE(SUBSTITUTE(SUBSTITUTE(UPPER(TRIM(Raw_Export!F349)),"KES",""),",","")),0))</f>
        <v>171</v>
      </c>
      <c r="H349" s="38" t="n">
        <f aca="false">IF(Raw_Export!$A349="","",F349*G349)</f>
        <v>1026</v>
      </c>
      <c r="I349" s="36" t="str">
        <f aca="false">IF(Raw_Export!$A349="","",IFERROR(VLOOKUP(LOWER(TRIM(Raw_Export!H349)),Maps!$D$2:$E$12,2,FALSE()),"Other"))</f>
        <v>Cash</v>
      </c>
      <c r="J349" s="36" t="str">
        <f aca="false">IF(Raw_Export!$A349="","",IF(COUNTIF($A$2:A349,A349)&gt;1,"Duplicate",""))</f>
        <v/>
      </c>
      <c r="K349" s="36" t="str">
        <f aca="false">IF(Raw_Export!$A349="","",IF(J349="Duplicate","Duplicate",IF(OR(C349="UNMAPPED",D349="UNMAPPED"),"Unmapped",IF(F349=0,"Blank qty",IF(F349&lt;0,"Return","OK")))))</f>
        <v>OK</v>
      </c>
      <c r="L349" s="36" t="n">
        <f aca="false">IF(Raw_Export!$A349="","",IF(OR(K349="OK",K349="Return"),1,0))</f>
        <v>1</v>
      </c>
      <c r="M349" s="37" t="n">
        <f aca="false">IF(Raw_Export!$A349="","",B349-WEEKDAY(B349,2)+1)</f>
        <v>46265</v>
      </c>
    </row>
    <row r="350" customFormat="false" ht="15" hidden="false" customHeight="false" outlineLevel="0" collapsed="false">
      <c r="A350" s="36" t="str">
        <f aca="false">IF(Raw_Export!$A350="","",TRIM(Raw_Export!A350))</f>
        <v>TXN-100343</v>
      </c>
      <c r="B350" s="37" t="n">
        <f aca="false">IF(Raw_Export!$A350="","",IF(ISNUMBER(Raw_Export!B350),Raw_Export!B350,IF(MID(TRIM(Raw_Export!B350),5,1)="-",DATE(LEFT(TRIM(Raw_Export!B350),4),MID(TRIM(Raw_Export!B350),6,2),RIGHT(TRIM(Raw_Export!B350),2)),DATE(RIGHT(TRIM(Raw_Export!B350),4),MATCH(MID(TRIM(Raw_Export!B350),4,3),{"Jan","Feb","Mar","Apr","May","Jun","Jul","Aug","Sep","Oct","Nov","Dec"},0),LEFT(TRIM(Raw_Export!B350),2)))))</f>
        <v>46267</v>
      </c>
      <c r="C350" s="36" t="str">
        <f aca="false">IF(Raw_Export!$A350="","",IFERROR(VLOOKUP(LOWER(TRIM(Raw_Export!C350)),Maps!$A$2:$B$20,2,FALSE()),"UNMAPPED"))</f>
        <v>Kisumu</v>
      </c>
      <c r="D350" s="36" t="str">
        <f aca="false">IF(Raw_Export!$A350="","",IFERROR(VLOOKUP(LOWER(TRIM(Raw_Export!D350)),Maps!$G$2:$I$80,2,FALSE()),"UNMAPPED"))</f>
        <v>Crisps 100g</v>
      </c>
      <c r="E350" s="36" t="str">
        <f aca="false">IF(Raw_Export!$A350="","",IFERROR(VLOOKUP(LOWER(TRIM(Raw_Export!D350)),Maps!$G$2:$I$80,3,FALSE()),"UNMAPPED"))</f>
        <v>Snacks</v>
      </c>
      <c r="F350" s="36" t="n">
        <f aca="false">IF(Raw_Export!$A350="","",IFERROR(VALUE(TRIM(Raw_Export!E350)),0))</f>
        <v>1</v>
      </c>
      <c r="G350" s="38" t="n">
        <f aca="false">IF(Raw_Export!$A350="","",IFERROR(VALUE(SUBSTITUTE(SUBSTITUTE(UPPER(TRIM(Raw_Export!F350)),"KES",""),",","")),0))</f>
        <v>80</v>
      </c>
      <c r="H350" s="38" t="n">
        <f aca="false">IF(Raw_Export!$A350="","",F350*G350)</f>
        <v>80</v>
      </c>
      <c r="I350" s="36" t="str">
        <f aca="false">IF(Raw_Export!$A350="","",IFERROR(VLOOKUP(LOWER(TRIM(Raw_Export!H350)),Maps!$D$2:$E$12,2,FALSE()),"Other"))</f>
        <v>Card</v>
      </c>
      <c r="J350" s="36" t="str">
        <f aca="false">IF(Raw_Export!$A350="","",IF(COUNTIF($A$2:A350,A350)&gt;1,"Duplicate",""))</f>
        <v/>
      </c>
      <c r="K350" s="36" t="str">
        <f aca="false">IF(Raw_Export!$A350="","",IF(J350="Duplicate","Duplicate",IF(OR(C350="UNMAPPED",D350="UNMAPPED"),"Unmapped",IF(F350=0,"Blank qty",IF(F350&lt;0,"Return","OK")))))</f>
        <v>OK</v>
      </c>
      <c r="L350" s="36" t="n">
        <f aca="false">IF(Raw_Export!$A350="","",IF(OR(K350="OK",K350="Return"),1,0))</f>
        <v>1</v>
      </c>
      <c r="M350" s="37" t="n">
        <f aca="false">IF(Raw_Export!$A350="","",B350-WEEKDAY(B350,2)+1)</f>
        <v>46265</v>
      </c>
    </row>
    <row r="351" customFormat="false" ht="15" hidden="false" customHeight="false" outlineLevel="0" collapsed="false">
      <c r="A351" s="36" t="str">
        <f aca="false">IF(Raw_Export!$A351="","",TRIM(Raw_Export!A351))</f>
        <v>TXN-100344</v>
      </c>
      <c r="B351" s="37" t="n">
        <f aca="false">IF(Raw_Export!$A351="","",IF(ISNUMBER(Raw_Export!B351),Raw_Export!B351,IF(MID(TRIM(Raw_Export!B351),5,1)="-",DATE(LEFT(TRIM(Raw_Export!B351),4),MID(TRIM(Raw_Export!B351),6,2),RIGHT(TRIM(Raw_Export!B351),2)),DATE(RIGHT(TRIM(Raw_Export!B351),4),MATCH(MID(TRIM(Raw_Export!B351),4,3),{"Jan","Feb","Mar","Apr","May","Jun","Jul","Aug","Sep","Oct","Nov","Dec"},0),LEFT(TRIM(Raw_Export!B351),2)))))</f>
        <v>46267</v>
      </c>
      <c r="C351" s="36" t="str">
        <f aca="false">IF(Raw_Export!$A351="","",IFERROR(VLOOKUP(LOWER(TRIM(Raw_Export!C351)),Maps!$A$2:$B$20,2,FALSE()),"UNMAPPED"))</f>
        <v>Kisumu</v>
      </c>
      <c r="D351" s="36" t="str">
        <f aca="false">IF(Raw_Export!$A351="","",IFERROR(VLOOKUP(LOWER(TRIM(Raw_Export!D351)),Maps!$G$2:$I$80,2,FALSE()),"UNMAPPED"))</f>
        <v>Spaghetti 400g</v>
      </c>
      <c r="E351" s="36" t="str">
        <f aca="false">IF(Raw_Export!$A351="","",IFERROR(VLOOKUP(LOWER(TRIM(Raw_Export!D351)),Maps!$G$2:$I$80,3,FALSE()),"UNMAPPED"))</f>
        <v>Staples</v>
      </c>
      <c r="F351" s="36" t="n">
        <f aca="false">IF(Raw_Export!$A351="","",IFERROR(VALUE(TRIM(Raw_Export!E351)),0))</f>
        <v>3</v>
      </c>
      <c r="G351" s="38" t="n">
        <f aca="false">IF(Raw_Export!$A351="","",IFERROR(VALUE(SUBSTITUTE(SUBSTITUTE(UPPER(TRIM(Raw_Export!F351)),"KES",""),",","")),0))</f>
        <v>110</v>
      </c>
      <c r="H351" s="38" t="n">
        <f aca="false">IF(Raw_Export!$A351="","",F351*G351)</f>
        <v>330</v>
      </c>
      <c r="I351" s="36" t="str">
        <f aca="false">IF(Raw_Export!$A351="","",IFERROR(VLOOKUP(LOWER(TRIM(Raw_Export!H351)),Maps!$D$2:$E$12,2,FALSE()),"Other"))</f>
        <v>Card</v>
      </c>
      <c r="J351" s="36" t="str">
        <f aca="false">IF(Raw_Export!$A351="","",IF(COUNTIF($A$2:A351,A351)&gt;1,"Duplicate",""))</f>
        <v/>
      </c>
      <c r="K351" s="36" t="str">
        <f aca="false">IF(Raw_Export!$A351="","",IF(J351="Duplicate","Duplicate",IF(OR(C351="UNMAPPED",D351="UNMAPPED"),"Unmapped",IF(F351=0,"Blank qty",IF(F351&lt;0,"Return","OK")))))</f>
        <v>OK</v>
      </c>
      <c r="L351" s="36" t="n">
        <f aca="false">IF(Raw_Export!$A351="","",IF(OR(K351="OK",K351="Return"),1,0))</f>
        <v>1</v>
      </c>
      <c r="M351" s="37" t="n">
        <f aca="false">IF(Raw_Export!$A351="","",B351-WEEKDAY(B351,2)+1)</f>
        <v>46265</v>
      </c>
    </row>
    <row r="352" customFormat="false" ht="15" hidden="false" customHeight="false" outlineLevel="0" collapsed="false">
      <c r="A352" s="36" t="str">
        <f aca="false">IF(Raw_Export!$A352="","",TRIM(Raw_Export!A352))</f>
        <v>TXN-100345</v>
      </c>
      <c r="B352" s="37" t="n">
        <f aca="false">IF(Raw_Export!$A352="","",IF(ISNUMBER(Raw_Export!B352),Raw_Export!B352,IF(MID(TRIM(Raw_Export!B352),5,1)="-",DATE(LEFT(TRIM(Raw_Export!B352),4),MID(TRIM(Raw_Export!B352),6,2),RIGHT(TRIM(Raw_Export!B352),2)),DATE(RIGHT(TRIM(Raw_Export!B352),4),MATCH(MID(TRIM(Raw_Export!B352),4,3),{"Jan","Feb","Mar","Apr","May","Jun","Jul","Aug","Sep","Oct","Nov","Dec"},0),LEFT(TRIM(Raw_Export!B352),2)))))</f>
        <v>46267</v>
      </c>
      <c r="C352" s="36" t="str">
        <f aca="false">IF(Raw_Export!$A352="","",IFERROR(VLOOKUP(LOWER(TRIM(Raw_Export!C352)),Maps!$A$2:$B$20,2,FALSE()),"UNMAPPED"))</f>
        <v>Kisumu</v>
      </c>
      <c r="D352" s="36" t="str">
        <f aca="false">IF(Raw_Export!$A352="","",IFERROR(VLOOKUP(LOWER(TRIM(Raw_Export!D352)),Maps!$G$2:$I$80,2,FALSE()),"UNMAPPED"))</f>
        <v>Bottled Water 1.5L</v>
      </c>
      <c r="E352" s="36" t="str">
        <f aca="false">IF(Raw_Export!$A352="","",IFERROR(VLOOKUP(LOWER(TRIM(Raw_Export!D352)),Maps!$G$2:$I$80,3,FALSE()),"UNMAPPED"))</f>
        <v>Beverages</v>
      </c>
      <c r="F352" s="36" t="n">
        <f aca="false">IF(Raw_Export!$A352="","",IFERROR(VALUE(TRIM(Raw_Export!E352)),0))</f>
        <v>3</v>
      </c>
      <c r="G352" s="38" t="n">
        <f aca="false">IF(Raw_Export!$A352="","",IFERROR(VALUE(SUBSTITUTE(SUBSTITUTE(UPPER(TRIM(Raw_Export!F352)),"KES",""),",","")),0))</f>
        <v>81</v>
      </c>
      <c r="H352" s="38" t="n">
        <f aca="false">IF(Raw_Export!$A352="","",F352*G352)</f>
        <v>243</v>
      </c>
      <c r="I352" s="36" t="str">
        <f aca="false">IF(Raw_Export!$A352="","",IFERROR(VLOOKUP(LOWER(TRIM(Raw_Export!H352)),Maps!$D$2:$E$12,2,FALSE()),"Other"))</f>
        <v>M-Pesa</v>
      </c>
      <c r="J352" s="36" t="str">
        <f aca="false">IF(Raw_Export!$A352="","",IF(COUNTIF($A$2:A352,A352)&gt;1,"Duplicate",""))</f>
        <v/>
      </c>
      <c r="K352" s="36" t="str">
        <f aca="false">IF(Raw_Export!$A352="","",IF(J352="Duplicate","Duplicate",IF(OR(C352="UNMAPPED",D352="UNMAPPED"),"Unmapped",IF(F352=0,"Blank qty",IF(F352&lt;0,"Return","OK")))))</f>
        <v>OK</v>
      </c>
      <c r="L352" s="36" t="n">
        <f aca="false">IF(Raw_Export!$A352="","",IF(OR(K352="OK",K352="Return"),1,0))</f>
        <v>1</v>
      </c>
      <c r="M352" s="37" t="n">
        <f aca="false">IF(Raw_Export!$A352="","",B352-WEEKDAY(B352,2)+1)</f>
        <v>46265</v>
      </c>
    </row>
    <row r="353" customFormat="false" ht="15" hidden="false" customHeight="false" outlineLevel="0" collapsed="false">
      <c r="A353" s="36" t="str">
        <f aca="false">IF(Raw_Export!$A353="","",TRIM(Raw_Export!A353))</f>
        <v>TXN-100346</v>
      </c>
      <c r="B353" s="37" t="n">
        <f aca="false">IF(Raw_Export!$A353="","",IF(ISNUMBER(Raw_Export!B353),Raw_Export!B353,IF(MID(TRIM(Raw_Export!B353),5,1)="-",DATE(LEFT(TRIM(Raw_Export!B353),4),MID(TRIM(Raw_Export!B353),6,2),RIGHT(TRIM(Raw_Export!B353),2)),DATE(RIGHT(TRIM(Raw_Export!B353),4),MATCH(MID(TRIM(Raw_Export!B353),4,3),{"Jan","Feb","Mar","Apr","May","Jun","Jul","Aug","Sep","Oct","Nov","Dec"},0),LEFT(TRIM(Raw_Export!B353),2)))))</f>
        <v>46267</v>
      </c>
      <c r="C353" s="36" t="str">
        <f aca="false">IF(Raw_Export!$A353="","",IFERROR(VLOOKUP(LOWER(TRIM(Raw_Export!C353)),Maps!$A$2:$B$20,2,FALSE()),"UNMAPPED"))</f>
        <v>Kisumu</v>
      </c>
      <c r="D353" s="36" t="str">
        <f aca="false">IF(Raw_Export!$A353="","",IFERROR(VLOOKUP(LOWER(TRIM(Raw_Export!D353)),Maps!$G$2:$I$80,2,FALSE()),"UNMAPPED"))</f>
        <v>Bread Loaf 400g</v>
      </c>
      <c r="E353" s="36" t="str">
        <f aca="false">IF(Raw_Export!$A353="","",IFERROR(VLOOKUP(LOWER(TRIM(Raw_Export!D353)),Maps!$G$2:$I$80,3,FALSE()),"UNMAPPED"))</f>
        <v>Snacks</v>
      </c>
      <c r="F353" s="36" t="n">
        <f aca="false">IF(Raw_Export!$A353="","",IFERROR(VALUE(TRIM(Raw_Export!E353)),0))</f>
        <v>2</v>
      </c>
      <c r="G353" s="38" t="n">
        <f aca="false">IF(Raw_Export!$A353="","",IFERROR(VALUE(SUBSTITUTE(SUBSTITUTE(UPPER(TRIM(Raw_Export!F353)),"KES",""),",","")),0))</f>
        <v>58</v>
      </c>
      <c r="H353" s="38" t="n">
        <f aca="false">IF(Raw_Export!$A353="","",F353*G353)</f>
        <v>116</v>
      </c>
      <c r="I353" s="36" t="str">
        <f aca="false">IF(Raw_Export!$A353="","",IFERROR(VLOOKUP(LOWER(TRIM(Raw_Export!H353)),Maps!$D$2:$E$12,2,FALSE()),"Other"))</f>
        <v>Cash</v>
      </c>
      <c r="J353" s="36" t="str">
        <f aca="false">IF(Raw_Export!$A353="","",IF(COUNTIF($A$2:A353,A353)&gt;1,"Duplicate",""))</f>
        <v/>
      </c>
      <c r="K353" s="36" t="str">
        <f aca="false">IF(Raw_Export!$A353="","",IF(J353="Duplicate","Duplicate",IF(OR(C353="UNMAPPED",D353="UNMAPPED"),"Unmapped",IF(F353=0,"Blank qty",IF(F353&lt;0,"Return","OK")))))</f>
        <v>OK</v>
      </c>
      <c r="L353" s="36" t="n">
        <f aca="false">IF(Raw_Export!$A353="","",IF(OR(K353="OK",K353="Return"),1,0))</f>
        <v>1</v>
      </c>
      <c r="M353" s="37" t="n">
        <f aca="false">IF(Raw_Export!$A353="","",B353-WEEKDAY(B353,2)+1)</f>
        <v>46265</v>
      </c>
    </row>
    <row r="354" customFormat="false" ht="15" hidden="false" customHeight="false" outlineLevel="0" collapsed="false">
      <c r="A354" s="36" t="str">
        <f aca="false">IF(Raw_Export!$A354="","",TRIM(Raw_Export!A354))</f>
        <v>TXN-100347</v>
      </c>
      <c r="B354" s="37" t="n">
        <f aca="false">IF(Raw_Export!$A354="","",IF(ISNUMBER(Raw_Export!B354),Raw_Export!B354,IF(MID(TRIM(Raw_Export!B354),5,1)="-",DATE(LEFT(TRIM(Raw_Export!B354),4),MID(TRIM(Raw_Export!B354),6,2),RIGHT(TRIM(Raw_Export!B354),2)),DATE(RIGHT(TRIM(Raw_Export!B354),4),MATCH(MID(TRIM(Raw_Export!B354),4,3),{"Jan","Feb","Mar","Apr","May","Jun","Jul","Aug","Sep","Oct","Nov","Dec"},0),LEFT(TRIM(Raw_Export!B354),2)))))</f>
        <v>46267</v>
      </c>
      <c r="C354" s="36" t="str">
        <f aca="false">IF(Raw_Export!$A354="","",IFERROR(VLOOKUP(LOWER(TRIM(Raw_Export!C354)),Maps!$A$2:$B$20,2,FALSE()),"UNMAPPED"))</f>
        <v>Kisumu</v>
      </c>
      <c r="D354" s="36" t="str">
        <f aca="false">IF(Raw_Export!$A354="","",IFERROR(VLOOKUP(LOWER(TRIM(Raw_Export!D354)),Maps!$G$2:$I$80,2,FALSE()),"UNMAPPED"))</f>
        <v>Washing Powder 1kg</v>
      </c>
      <c r="E354" s="36" t="str">
        <f aca="false">IF(Raw_Export!$A354="","",IFERROR(VLOOKUP(LOWER(TRIM(Raw_Export!D354)),Maps!$G$2:$I$80,3,FALSE()),"UNMAPPED"))</f>
        <v>Household</v>
      </c>
      <c r="F354" s="36" t="n">
        <f aca="false">IF(Raw_Export!$A354="","",IFERROR(VALUE(TRIM(Raw_Export!E354)),0))</f>
        <v>3</v>
      </c>
      <c r="G354" s="38" t="n">
        <f aca="false">IF(Raw_Export!$A354="","",IFERROR(VALUE(SUBSTITUTE(SUBSTITUTE(UPPER(TRIM(Raw_Export!F354)),"KES",""),",","")),0))</f>
        <v>280</v>
      </c>
      <c r="H354" s="38" t="n">
        <f aca="false">IF(Raw_Export!$A354="","",F354*G354)</f>
        <v>840</v>
      </c>
      <c r="I354" s="36" t="str">
        <f aca="false">IF(Raw_Export!$A354="","",IFERROR(VLOOKUP(LOWER(TRIM(Raw_Export!H354)),Maps!$D$2:$E$12,2,FALSE()),"Other"))</f>
        <v>M-Pesa</v>
      </c>
      <c r="J354" s="36" t="str">
        <f aca="false">IF(Raw_Export!$A354="","",IF(COUNTIF($A$2:A354,A354)&gt;1,"Duplicate",""))</f>
        <v/>
      </c>
      <c r="K354" s="36" t="str">
        <f aca="false">IF(Raw_Export!$A354="","",IF(J354="Duplicate","Duplicate",IF(OR(C354="UNMAPPED",D354="UNMAPPED"),"Unmapped",IF(F354=0,"Blank qty",IF(F354&lt;0,"Return","OK")))))</f>
        <v>OK</v>
      </c>
      <c r="L354" s="36" t="n">
        <f aca="false">IF(Raw_Export!$A354="","",IF(OR(K354="OK",K354="Return"),1,0))</f>
        <v>1</v>
      </c>
      <c r="M354" s="37" t="n">
        <f aca="false">IF(Raw_Export!$A354="","",B354-WEEKDAY(B354,2)+1)</f>
        <v>46265</v>
      </c>
    </row>
    <row r="355" customFormat="false" ht="15" hidden="false" customHeight="false" outlineLevel="0" collapsed="false">
      <c r="A355" s="36" t="str">
        <f aca="false">IF(Raw_Export!$A355="","",TRIM(Raw_Export!A355))</f>
        <v>TXN-100348</v>
      </c>
      <c r="B355" s="37" t="n">
        <f aca="false">IF(Raw_Export!$A355="","",IF(ISNUMBER(Raw_Export!B355),Raw_Export!B355,IF(MID(TRIM(Raw_Export!B355),5,1)="-",DATE(LEFT(TRIM(Raw_Export!B355),4),MID(TRIM(Raw_Export!B355),6,2),RIGHT(TRIM(Raw_Export!B355),2)),DATE(RIGHT(TRIM(Raw_Export!B355),4),MATCH(MID(TRIM(Raw_Export!B355),4,3),{"Jan","Feb","Mar","Apr","May","Jun","Jul","Aug","Sep","Oct","Nov","Dec"},0),LEFT(TRIM(Raw_Export!B355),2)))))</f>
        <v>46267</v>
      </c>
      <c r="C355" s="36" t="str">
        <f aca="false">IF(Raw_Export!$A355="","",IFERROR(VLOOKUP(LOWER(TRIM(Raw_Export!C355)),Maps!$A$2:$B$20,2,FALSE()),"UNMAPPED"))</f>
        <v>Kisumu</v>
      </c>
      <c r="D355" s="36" t="str">
        <f aca="false">IF(Raw_Export!$A355="","",IFERROR(VLOOKUP(LOWER(TRIM(Raw_Export!D355)),Maps!$G$2:$I$80,2,FALSE()),"UNMAPPED"))</f>
        <v>Bath Soap 175g</v>
      </c>
      <c r="E355" s="36" t="str">
        <f aca="false">IF(Raw_Export!$A355="","",IFERROR(VLOOKUP(LOWER(TRIM(Raw_Export!D355)),Maps!$G$2:$I$80,3,FALSE()),"UNMAPPED"))</f>
        <v>Personal Care</v>
      </c>
      <c r="F355" s="36" t="n">
        <f aca="false">IF(Raw_Export!$A355="","",IFERROR(VALUE(TRIM(Raw_Export!E355)),0))</f>
        <v>1</v>
      </c>
      <c r="G355" s="38" t="n">
        <f aca="false">IF(Raw_Export!$A355="","",IFERROR(VALUE(SUBSTITUTE(SUBSTITUTE(UPPER(TRIM(Raw_Export!F355)),"KES",""),",","")),0))</f>
        <v>85</v>
      </c>
      <c r="H355" s="38" t="n">
        <f aca="false">IF(Raw_Export!$A355="","",F355*G355)</f>
        <v>85</v>
      </c>
      <c r="I355" s="36" t="str">
        <f aca="false">IF(Raw_Export!$A355="","",IFERROR(VLOOKUP(LOWER(TRIM(Raw_Export!H355)),Maps!$D$2:$E$12,2,FALSE()),"Other"))</f>
        <v>M-Pesa</v>
      </c>
      <c r="J355" s="36" t="str">
        <f aca="false">IF(Raw_Export!$A355="","",IF(COUNTIF($A$2:A355,A355)&gt;1,"Duplicate",""))</f>
        <v/>
      </c>
      <c r="K355" s="36" t="str">
        <f aca="false">IF(Raw_Export!$A355="","",IF(J355="Duplicate","Duplicate",IF(OR(C355="UNMAPPED",D355="UNMAPPED"),"Unmapped",IF(F355=0,"Blank qty",IF(F355&lt;0,"Return","OK")))))</f>
        <v>OK</v>
      </c>
      <c r="L355" s="36" t="n">
        <f aca="false">IF(Raw_Export!$A355="","",IF(OR(K355="OK",K355="Return"),1,0))</f>
        <v>1</v>
      </c>
      <c r="M355" s="37" t="n">
        <f aca="false">IF(Raw_Export!$A355="","",B355-WEEKDAY(B355,2)+1)</f>
        <v>46265</v>
      </c>
    </row>
    <row r="356" customFormat="false" ht="15" hidden="false" customHeight="false" outlineLevel="0" collapsed="false">
      <c r="A356" s="36" t="str">
        <f aca="false">IF(Raw_Export!$A356="","",TRIM(Raw_Export!A356))</f>
        <v>TXN-100349</v>
      </c>
      <c r="B356" s="37" t="n">
        <f aca="false">IF(Raw_Export!$A356="","",IF(ISNUMBER(Raw_Export!B356),Raw_Export!B356,IF(MID(TRIM(Raw_Export!B356),5,1)="-",DATE(LEFT(TRIM(Raw_Export!B356),4),MID(TRIM(Raw_Export!B356),6,2),RIGHT(TRIM(Raw_Export!B356),2)),DATE(RIGHT(TRIM(Raw_Export!B356),4),MATCH(MID(TRIM(Raw_Export!B356),4,3),{"Jan","Feb","Mar","Apr","May","Jun","Jul","Aug","Sep","Oct","Nov","Dec"},0),LEFT(TRIM(Raw_Export!B356),2)))))</f>
        <v>46267</v>
      </c>
      <c r="C356" s="36" t="str">
        <f aca="false">IF(Raw_Export!$A356="","",IFERROR(VLOOKUP(LOWER(TRIM(Raw_Export!C356)),Maps!$A$2:$B$20,2,FALSE()),"UNMAPPED"))</f>
        <v>Kisumu</v>
      </c>
      <c r="D356" s="36" t="str">
        <f aca="false">IF(Raw_Export!$A356="","",IFERROR(VLOOKUP(LOWER(TRIM(Raw_Export!D356)),Maps!$G$2:$I$80,2,FALSE()),"UNMAPPED"))</f>
        <v>Eggs Tray 30</v>
      </c>
      <c r="E356" s="36" t="str">
        <f aca="false">IF(Raw_Export!$A356="","",IFERROR(VLOOKUP(LOWER(TRIM(Raw_Export!D356)),Maps!$G$2:$I$80,3,FALSE()),"UNMAPPED"))</f>
        <v>Dairy &amp; Eggs</v>
      </c>
      <c r="F356" s="36" t="n">
        <f aca="false">IF(Raw_Export!$A356="","",IFERROR(VALUE(TRIM(Raw_Export!E356)),0))</f>
        <v>1</v>
      </c>
      <c r="G356" s="38" t="n">
        <f aca="false">IF(Raw_Export!$A356="","",IFERROR(VALUE(SUBSTITUTE(SUBSTITUTE(UPPER(TRIM(Raw_Export!F356)),"KES",""),",","")),0))</f>
        <v>450</v>
      </c>
      <c r="H356" s="38" t="n">
        <f aca="false">IF(Raw_Export!$A356="","",F356*G356)</f>
        <v>450</v>
      </c>
      <c r="I356" s="36" t="str">
        <f aca="false">IF(Raw_Export!$A356="","",IFERROR(VLOOKUP(LOWER(TRIM(Raw_Export!H356)),Maps!$D$2:$E$12,2,FALSE()),"Other"))</f>
        <v>Cash</v>
      </c>
      <c r="J356" s="36" t="str">
        <f aca="false">IF(Raw_Export!$A356="","",IF(COUNTIF($A$2:A356,A356)&gt;1,"Duplicate",""))</f>
        <v/>
      </c>
      <c r="K356" s="36" t="str">
        <f aca="false">IF(Raw_Export!$A356="","",IF(J356="Duplicate","Duplicate",IF(OR(C356="UNMAPPED",D356="UNMAPPED"),"Unmapped",IF(F356=0,"Blank qty",IF(F356&lt;0,"Return","OK")))))</f>
        <v>OK</v>
      </c>
      <c r="L356" s="36" t="n">
        <f aca="false">IF(Raw_Export!$A356="","",IF(OR(K356="OK",K356="Return"),1,0))</f>
        <v>1</v>
      </c>
      <c r="M356" s="37" t="n">
        <f aca="false">IF(Raw_Export!$A356="","",B356-WEEKDAY(B356,2)+1)</f>
        <v>46265</v>
      </c>
    </row>
    <row r="357" customFormat="false" ht="15" hidden="false" customHeight="false" outlineLevel="0" collapsed="false">
      <c r="A357" s="36" t="str">
        <f aca="false">IF(Raw_Export!$A357="","",TRIM(Raw_Export!A357))</f>
        <v>TXN-100350</v>
      </c>
      <c r="B357" s="37" t="n">
        <f aca="false">IF(Raw_Export!$A357="","",IF(ISNUMBER(Raw_Export!B357),Raw_Export!B357,IF(MID(TRIM(Raw_Export!B357),5,1)="-",DATE(LEFT(TRIM(Raw_Export!B357),4),MID(TRIM(Raw_Export!B357),6,2),RIGHT(TRIM(Raw_Export!B357),2)),DATE(RIGHT(TRIM(Raw_Export!B357),4),MATCH(MID(TRIM(Raw_Export!B357),4,3),{"Jan","Feb","Mar","Apr","May","Jun","Jul","Aug","Sep","Oct","Nov","Dec"},0),LEFT(TRIM(Raw_Export!B357),2)))))</f>
        <v>46267</v>
      </c>
      <c r="C357" s="36" t="str">
        <f aca="false">IF(Raw_Export!$A357="","",IFERROR(VLOOKUP(LOWER(TRIM(Raw_Export!C357)),Maps!$A$2:$B$20,2,FALSE()),"UNMAPPED"))</f>
        <v>Kisumu</v>
      </c>
      <c r="D357" s="36" t="str">
        <f aca="false">IF(Raw_Export!$A357="","",IFERROR(VLOOKUP(LOWER(TRIM(Raw_Export!D357)),Maps!$G$2:$I$80,2,FALSE()),"UNMAPPED"))</f>
        <v>Soda 500ml</v>
      </c>
      <c r="E357" s="36" t="str">
        <f aca="false">IF(Raw_Export!$A357="","",IFERROR(VLOOKUP(LOWER(TRIM(Raw_Export!D357)),Maps!$G$2:$I$80,3,FALSE()),"UNMAPPED"))</f>
        <v>Beverages</v>
      </c>
      <c r="F357" s="36" t="n">
        <f aca="false">IF(Raw_Export!$A357="","",IFERROR(VALUE(TRIM(Raw_Export!E357)),0))</f>
        <v>6</v>
      </c>
      <c r="G357" s="38" t="n">
        <f aca="false">IF(Raw_Export!$A357="","",IFERROR(VALUE(SUBSTITUTE(SUBSTITUTE(UPPER(TRIM(Raw_Export!F357)),"KES",""),",","")),0))</f>
        <v>60</v>
      </c>
      <c r="H357" s="38" t="n">
        <f aca="false">IF(Raw_Export!$A357="","",F357*G357)</f>
        <v>360</v>
      </c>
      <c r="I357" s="36" t="str">
        <f aca="false">IF(Raw_Export!$A357="","",IFERROR(VLOOKUP(LOWER(TRIM(Raw_Export!H357)),Maps!$D$2:$E$12,2,FALSE()),"Other"))</f>
        <v>M-Pesa</v>
      </c>
      <c r="J357" s="36" t="str">
        <f aca="false">IF(Raw_Export!$A357="","",IF(COUNTIF($A$2:A357,A357)&gt;1,"Duplicate",""))</f>
        <v/>
      </c>
      <c r="K357" s="36" t="str">
        <f aca="false">IF(Raw_Export!$A357="","",IF(J357="Duplicate","Duplicate",IF(OR(C357="UNMAPPED",D357="UNMAPPED"),"Unmapped",IF(F357=0,"Blank qty",IF(F357&lt;0,"Return","OK")))))</f>
        <v>OK</v>
      </c>
      <c r="L357" s="36" t="n">
        <f aca="false">IF(Raw_Export!$A357="","",IF(OR(K357="OK",K357="Return"),1,0))</f>
        <v>1</v>
      </c>
      <c r="M357" s="37" t="n">
        <f aca="false">IF(Raw_Export!$A357="","",B357-WEEKDAY(B357,2)+1)</f>
        <v>46265</v>
      </c>
    </row>
    <row r="358" customFormat="false" ht="15" hidden="false" customHeight="false" outlineLevel="0" collapsed="false">
      <c r="A358" s="36" t="str">
        <f aca="false">IF(Raw_Export!$A358="","",TRIM(Raw_Export!A358))</f>
        <v>TXN-100351</v>
      </c>
      <c r="B358" s="37" t="n">
        <f aca="false">IF(Raw_Export!$A358="","",IF(ISNUMBER(Raw_Export!B358),Raw_Export!B358,IF(MID(TRIM(Raw_Export!B358),5,1)="-",DATE(LEFT(TRIM(Raw_Export!B358),4),MID(TRIM(Raw_Export!B358),6,2),RIGHT(TRIM(Raw_Export!B358),2)),DATE(RIGHT(TRIM(Raw_Export!B358),4),MATCH(MID(TRIM(Raw_Export!B358),4,3),{"Jan","Feb","Mar","Apr","May","Jun","Jul","Aug","Sep","Oct","Nov","Dec"},0),LEFT(TRIM(Raw_Export!B358),2)))))</f>
        <v>46267</v>
      </c>
      <c r="C358" s="36" t="str">
        <f aca="false">IF(Raw_Export!$A358="","",IFERROR(VLOOKUP(LOWER(TRIM(Raw_Export!C358)),Maps!$A$2:$B$20,2,FALSE()),"UNMAPPED"))</f>
        <v>Kisumu</v>
      </c>
      <c r="D358" s="36" t="str">
        <f aca="false">IF(Raw_Export!$A358="","",IFERROR(VLOOKUP(LOWER(TRIM(Raw_Export!D358)),Maps!$G$2:$I$80,2,FALSE()),"UNMAPPED"))</f>
        <v>Fresh Milk 500ml</v>
      </c>
      <c r="E358" s="36" t="str">
        <f aca="false">IF(Raw_Export!$A358="","",IFERROR(VLOOKUP(LOWER(TRIM(Raw_Export!D358)),Maps!$G$2:$I$80,3,FALSE()),"UNMAPPED"))</f>
        <v>Dairy &amp; Eggs</v>
      </c>
      <c r="F358" s="36" t="n">
        <f aca="false">IF(Raw_Export!$A358="","",IFERROR(VALUE(TRIM(Raw_Export!E358)),0))</f>
        <v>6</v>
      </c>
      <c r="G358" s="38" t="n">
        <f aca="false">IF(Raw_Export!$A358="","",IFERROR(VALUE(SUBSTITUTE(SUBSTITUTE(UPPER(TRIM(Raw_Export!F358)),"KES",""),",","")),0))</f>
        <v>65</v>
      </c>
      <c r="H358" s="38" t="n">
        <f aca="false">IF(Raw_Export!$A358="","",F358*G358)</f>
        <v>390</v>
      </c>
      <c r="I358" s="36" t="str">
        <f aca="false">IF(Raw_Export!$A358="","",IFERROR(VLOOKUP(LOWER(TRIM(Raw_Export!H358)),Maps!$D$2:$E$12,2,FALSE()),"Other"))</f>
        <v>Cash</v>
      </c>
      <c r="J358" s="36" t="str">
        <f aca="false">IF(Raw_Export!$A358="","",IF(COUNTIF($A$2:A358,A358)&gt;1,"Duplicate",""))</f>
        <v/>
      </c>
      <c r="K358" s="36" t="str">
        <f aca="false">IF(Raw_Export!$A358="","",IF(J358="Duplicate","Duplicate",IF(OR(C358="UNMAPPED",D358="UNMAPPED"),"Unmapped",IF(F358=0,"Blank qty",IF(F358&lt;0,"Return","OK")))))</f>
        <v>OK</v>
      </c>
      <c r="L358" s="36" t="n">
        <f aca="false">IF(Raw_Export!$A358="","",IF(OR(K358="OK",K358="Return"),1,0))</f>
        <v>1</v>
      </c>
      <c r="M358" s="37" t="n">
        <f aca="false">IF(Raw_Export!$A358="","",B358-WEEKDAY(B358,2)+1)</f>
        <v>46265</v>
      </c>
    </row>
    <row r="359" customFormat="false" ht="15" hidden="false" customHeight="false" outlineLevel="0" collapsed="false">
      <c r="A359" s="36" t="str">
        <f aca="false">IF(Raw_Export!$A359="","",TRIM(Raw_Export!A359))</f>
        <v>TXN-100352</v>
      </c>
      <c r="B359" s="37" t="n">
        <f aca="false">IF(Raw_Export!$A359="","",IF(ISNUMBER(Raw_Export!B359),Raw_Export!B359,IF(MID(TRIM(Raw_Export!B359),5,1)="-",DATE(LEFT(TRIM(Raw_Export!B359),4),MID(TRIM(Raw_Export!B359),6,2),RIGHT(TRIM(Raw_Export!B359),2)),DATE(RIGHT(TRIM(Raw_Export!B359),4),MATCH(MID(TRIM(Raw_Export!B359),4,3),{"Jan","Feb","Mar","Apr","May","Jun","Jul","Aug","Sep","Oct","Nov","Dec"},0),LEFT(TRIM(Raw_Export!B359),2)))))</f>
        <v>46267</v>
      </c>
      <c r="C359" s="36" t="str">
        <f aca="false">IF(Raw_Export!$A359="","",IFERROR(VLOOKUP(LOWER(TRIM(Raw_Export!C359)),Maps!$A$2:$B$20,2,FALSE()),"UNMAPPED"))</f>
        <v>Kisumu</v>
      </c>
      <c r="D359" s="36" t="str">
        <f aca="false">IF(Raw_Export!$A359="","",IFERROR(VLOOKUP(LOWER(TRIM(Raw_Export!D359)),Maps!$G$2:$I$80,2,FALSE()),"UNMAPPED"))</f>
        <v>Unga Pembe 2kg</v>
      </c>
      <c r="E359" s="36" t="str">
        <f aca="false">IF(Raw_Export!$A359="","",IFERROR(VLOOKUP(LOWER(TRIM(Raw_Export!D359)),Maps!$G$2:$I$80,3,FALSE()),"UNMAPPED"))</f>
        <v>Staples</v>
      </c>
      <c r="F359" s="36" t="n">
        <f aca="false">IF(Raw_Export!$A359="","",IFERROR(VALUE(TRIM(Raw_Export!E359)),0))</f>
        <v>1</v>
      </c>
      <c r="G359" s="38" t="n">
        <f aca="false">IF(Raw_Export!$A359="","",IFERROR(VALUE(SUBSTITUTE(SUBSTITUTE(UPPER(TRIM(Raw_Export!F359)),"KES",""),",","")),0))</f>
        <v>190</v>
      </c>
      <c r="H359" s="38" t="n">
        <f aca="false">IF(Raw_Export!$A359="","",F359*G359)</f>
        <v>190</v>
      </c>
      <c r="I359" s="36" t="str">
        <f aca="false">IF(Raw_Export!$A359="","",IFERROR(VLOOKUP(LOWER(TRIM(Raw_Export!H359)),Maps!$D$2:$E$12,2,FALSE()),"Other"))</f>
        <v>Card</v>
      </c>
      <c r="J359" s="36" t="str">
        <f aca="false">IF(Raw_Export!$A359="","",IF(COUNTIF($A$2:A359,A359)&gt;1,"Duplicate",""))</f>
        <v/>
      </c>
      <c r="K359" s="36" t="str">
        <f aca="false">IF(Raw_Export!$A359="","",IF(J359="Duplicate","Duplicate",IF(OR(C359="UNMAPPED",D359="UNMAPPED"),"Unmapped",IF(F359=0,"Blank qty",IF(F359&lt;0,"Return","OK")))))</f>
        <v>OK</v>
      </c>
      <c r="L359" s="36" t="n">
        <f aca="false">IF(Raw_Export!$A359="","",IF(OR(K359="OK",K359="Return"),1,0))</f>
        <v>1</v>
      </c>
      <c r="M359" s="37" t="n">
        <f aca="false">IF(Raw_Export!$A359="","",B359-WEEKDAY(B359,2)+1)</f>
        <v>46265</v>
      </c>
    </row>
    <row r="360" customFormat="false" ht="15" hidden="false" customHeight="false" outlineLevel="0" collapsed="false">
      <c r="A360" s="36" t="str">
        <f aca="false">IF(Raw_Export!$A360="","",TRIM(Raw_Export!A360))</f>
        <v>TXN-100353</v>
      </c>
      <c r="B360" s="37" t="n">
        <f aca="false">IF(Raw_Export!$A360="","",IF(ISNUMBER(Raw_Export!B360),Raw_Export!B360,IF(MID(TRIM(Raw_Export!B360),5,1)="-",DATE(LEFT(TRIM(Raw_Export!B360),4),MID(TRIM(Raw_Export!B360),6,2),RIGHT(TRIM(Raw_Export!B360),2)),DATE(RIGHT(TRIM(Raw_Export!B360),4),MATCH(MID(TRIM(Raw_Export!B360),4,3),{"Jan","Feb","Mar","Apr","May","Jun","Jul","Aug","Sep","Oct","Nov","Dec"},0),LEFT(TRIM(Raw_Export!B360),2)))))</f>
        <v>46267</v>
      </c>
      <c r="C360" s="36" t="str">
        <f aca="false">IF(Raw_Export!$A360="","",IFERROR(VLOOKUP(LOWER(TRIM(Raw_Export!C360)),Maps!$A$2:$B$20,2,FALSE()),"UNMAPPED"))</f>
        <v>Kisumu</v>
      </c>
      <c r="D360" s="36" t="str">
        <f aca="false">IF(Raw_Export!$A360="","",IFERROR(VLOOKUP(LOWER(TRIM(Raw_Export!D360)),Maps!$G$2:$I$80,2,FALSE()),"UNMAPPED"))</f>
        <v>Sanitary Pads 8pk</v>
      </c>
      <c r="E360" s="36" t="str">
        <f aca="false">IF(Raw_Export!$A360="","",IFERROR(VLOOKUP(LOWER(TRIM(Raw_Export!D360)),Maps!$G$2:$I$80,3,FALSE()),"UNMAPPED"))</f>
        <v>Personal Care</v>
      </c>
      <c r="F360" s="36" t="n">
        <f aca="false">IF(Raw_Export!$A360="","",IFERROR(VALUE(TRIM(Raw_Export!E360)),0))</f>
        <v>2</v>
      </c>
      <c r="G360" s="38" t="n">
        <f aca="false">IF(Raw_Export!$A360="","",IFERROR(VALUE(SUBSTITUTE(SUBSTITUTE(UPPER(TRIM(Raw_Export!F360)),"KES",""),",","")),0))</f>
        <v>130</v>
      </c>
      <c r="H360" s="38" t="n">
        <f aca="false">IF(Raw_Export!$A360="","",F360*G360)</f>
        <v>260</v>
      </c>
      <c r="I360" s="36" t="str">
        <f aca="false">IF(Raw_Export!$A360="","",IFERROR(VLOOKUP(LOWER(TRIM(Raw_Export!H360)),Maps!$D$2:$E$12,2,FALSE()),"Other"))</f>
        <v>Cash</v>
      </c>
      <c r="J360" s="36" t="str">
        <f aca="false">IF(Raw_Export!$A360="","",IF(COUNTIF($A$2:A360,A360)&gt;1,"Duplicate",""))</f>
        <v/>
      </c>
      <c r="K360" s="36" t="str">
        <f aca="false">IF(Raw_Export!$A360="","",IF(J360="Duplicate","Duplicate",IF(OR(C360="UNMAPPED",D360="UNMAPPED"),"Unmapped",IF(F360=0,"Blank qty",IF(F360&lt;0,"Return","OK")))))</f>
        <v>OK</v>
      </c>
      <c r="L360" s="36" t="n">
        <f aca="false">IF(Raw_Export!$A360="","",IF(OR(K360="OK",K360="Return"),1,0))</f>
        <v>1</v>
      </c>
      <c r="M360" s="37" t="n">
        <f aca="false">IF(Raw_Export!$A360="","",B360-WEEKDAY(B360,2)+1)</f>
        <v>46265</v>
      </c>
    </row>
    <row r="361" customFormat="false" ht="15" hidden="false" customHeight="false" outlineLevel="0" collapsed="false">
      <c r="A361" s="36" t="str">
        <f aca="false">IF(Raw_Export!$A361="","",TRIM(Raw_Export!A361))</f>
        <v>TXN-100354</v>
      </c>
      <c r="B361" s="37" t="n">
        <f aca="false">IF(Raw_Export!$A361="","",IF(ISNUMBER(Raw_Export!B361),Raw_Export!B361,IF(MID(TRIM(Raw_Export!B361),5,1)="-",DATE(LEFT(TRIM(Raw_Export!B361),4),MID(TRIM(Raw_Export!B361),6,2),RIGHT(TRIM(Raw_Export!B361),2)),DATE(RIGHT(TRIM(Raw_Export!B361),4),MATCH(MID(TRIM(Raw_Export!B361),4,3),{"Jan","Feb","Mar","Apr","May","Jun","Jul","Aug","Sep","Oct","Nov","Dec"},0),LEFT(TRIM(Raw_Export!B361),2)))))</f>
        <v>46267</v>
      </c>
      <c r="C361" s="36" t="str">
        <f aca="false">IF(Raw_Export!$A361="","",IFERROR(VLOOKUP(LOWER(TRIM(Raw_Export!C361)),Maps!$A$2:$B$20,2,FALSE()),"UNMAPPED"))</f>
        <v>Kisumu</v>
      </c>
      <c r="D361" s="36" t="str">
        <f aca="false">IF(Raw_Export!$A361="","",IFERROR(VLOOKUP(LOWER(TRIM(Raw_Export!D361)),Maps!$G$2:$I$80,2,FALSE()),"UNMAPPED"))</f>
        <v>Spaghetti 400g</v>
      </c>
      <c r="E361" s="36" t="str">
        <f aca="false">IF(Raw_Export!$A361="","",IFERROR(VLOOKUP(LOWER(TRIM(Raw_Export!D361)),Maps!$G$2:$I$80,3,FALSE()),"UNMAPPED"))</f>
        <v>Staples</v>
      </c>
      <c r="F361" s="36" t="n">
        <f aca="false">IF(Raw_Export!$A361="","",IFERROR(VALUE(TRIM(Raw_Export!E361)),0))</f>
        <v>1</v>
      </c>
      <c r="G361" s="38" t="n">
        <f aca="false">IF(Raw_Export!$A361="","",IFERROR(VALUE(SUBSTITUTE(SUBSTITUTE(UPPER(TRIM(Raw_Export!F361)),"KES",""),",","")),0))</f>
        <v>110</v>
      </c>
      <c r="H361" s="38" t="n">
        <f aca="false">IF(Raw_Export!$A361="","",F361*G361)</f>
        <v>110</v>
      </c>
      <c r="I361" s="36" t="str">
        <f aca="false">IF(Raw_Export!$A361="","",IFERROR(VLOOKUP(LOWER(TRIM(Raw_Export!H361)),Maps!$D$2:$E$12,2,FALSE()),"Other"))</f>
        <v>M-Pesa</v>
      </c>
      <c r="J361" s="36" t="str">
        <f aca="false">IF(Raw_Export!$A361="","",IF(COUNTIF($A$2:A361,A361)&gt;1,"Duplicate",""))</f>
        <v/>
      </c>
      <c r="K361" s="36" t="str">
        <f aca="false">IF(Raw_Export!$A361="","",IF(J361="Duplicate","Duplicate",IF(OR(C361="UNMAPPED",D361="UNMAPPED"),"Unmapped",IF(F361=0,"Blank qty",IF(F361&lt;0,"Return","OK")))))</f>
        <v>OK</v>
      </c>
      <c r="L361" s="36" t="n">
        <f aca="false">IF(Raw_Export!$A361="","",IF(OR(K361="OK",K361="Return"),1,0))</f>
        <v>1</v>
      </c>
      <c r="M361" s="37" t="n">
        <f aca="false">IF(Raw_Export!$A361="","",B361-WEEKDAY(B361,2)+1)</f>
        <v>46265</v>
      </c>
    </row>
    <row r="362" customFormat="false" ht="15" hidden="false" customHeight="false" outlineLevel="0" collapsed="false">
      <c r="A362" s="36" t="str">
        <f aca="false">IF(Raw_Export!$A362="","",TRIM(Raw_Export!A362))</f>
        <v>TXN-100355</v>
      </c>
      <c r="B362" s="37" t="n">
        <f aca="false">IF(Raw_Export!$A362="","",IF(ISNUMBER(Raw_Export!B362),Raw_Export!B362,IF(MID(TRIM(Raw_Export!B362),5,1)="-",DATE(LEFT(TRIM(Raw_Export!B362),4),MID(TRIM(Raw_Export!B362),6,2),RIGHT(TRIM(Raw_Export!B362),2)),DATE(RIGHT(TRIM(Raw_Export!B362),4),MATCH(MID(TRIM(Raw_Export!B362),4,3),{"Jan","Feb","Mar","Apr","May","Jun","Jul","Aug","Sep","Oct","Nov","Dec"},0),LEFT(TRIM(Raw_Export!B362),2)))))</f>
        <v>46267</v>
      </c>
      <c r="C362" s="36" t="str">
        <f aca="false">IF(Raw_Export!$A362="","",IFERROR(VLOOKUP(LOWER(TRIM(Raw_Export!C362)),Maps!$A$2:$B$20,2,FALSE()),"UNMAPPED"))</f>
        <v>Kisumu</v>
      </c>
      <c r="D362" s="36" t="str">
        <f aca="false">IF(Raw_Export!$A362="","",IFERROR(VLOOKUP(LOWER(TRIM(Raw_Export!D362)),Maps!$G$2:$I$80,2,FALSE()),"UNMAPPED"))</f>
        <v>Bread Loaf 400g</v>
      </c>
      <c r="E362" s="36" t="str">
        <f aca="false">IF(Raw_Export!$A362="","",IFERROR(VLOOKUP(LOWER(TRIM(Raw_Export!D362)),Maps!$G$2:$I$80,3,FALSE()),"UNMAPPED"))</f>
        <v>Snacks</v>
      </c>
      <c r="F362" s="36" t="n">
        <f aca="false">IF(Raw_Export!$A362="","",IFERROR(VALUE(TRIM(Raw_Export!E362)),0))</f>
        <v>4</v>
      </c>
      <c r="G362" s="38" t="n">
        <f aca="false">IF(Raw_Export!$A362="","",IFERROR(VALUE(SUBSTITUTE(SUBSTITUTE(UPPER(TRIM(Raw_Export!F362)),"KES",""),",","")),0))</f>
        <v>65</v>
      </c>
      <c r="H362" s="38" t="n">
        <f aca="false">IF(Raw_Export!$A362="","",F362*G362)</f>
        <v>260</v>
      </c>
      <c r="I362" s="36" t="str">
        <f aca="false">IF(Raw_Export!$A362="","",IFERROR(VLOOKUP(LOWER(TRIM(Raw_Export!H362)),Maps!$D$2:$E$12,2,FALSE()),"Other"))</f>
        <v>Cash</v>
      </c>
      <c r="J362" s="36" t="str">
        <f aca="false">IF(Raw_Export!$A362="","",IF(COUNTIF($A$2:A362,A362)&gt;1,"Duplicate",""))</f>
        <v/>
      </c>
      <c r="K362" s="36" t="str">
        <f aca="false">IF(Raw_Export!$A362="","",IF(J362="Duplicate","Duplicate",IF(OR(C362="UNMAPPED",D362="UNMAPPED"),"Unmapped",IF(F362=0,"Blank qty",IF(F362&lt;0,"Return","OK")))))</f>
        <v>OK</v>
      </c>
      <c r="L362" s="36" t="n">
        <f aca="false">IF(Raw_Export!$A362="","",IF(OR(K362="OK",K362="Return"),1,0))</f>
        <v>1</v>
      </c>
      <c r="M362" s="37" t="n">
        <f aca="false">IF(Raw_Export!$A362="","",B362-WEEKDAY(B362,2)+1)</f>
        <v>46265</v>
      </c>
    </row>
    <row r="363" customFormat="false" ht="15" hidden="false" customHeight="false" outlineLevel="0" collapsed="false">
      <c r="A363" s="36" t="str">
        <f aca="false">IF(Raw_Export!$A363="","",TRIM(Raw_Export!A363))</f>
        <v>TXN-100356</v>
      </c>
      <c r="B363" s="37" t="n">
        <f aca="false">IF(Raw_Export!$A363="","",IF(ISNUMBER(Raw_Export!B363),Raw_Export!B363,IF(MID(TRIM(Raw_Export!B363),5,1)="-",DATE(LEFT(TRIM(Raw_Export!B363),4),MID(TRIM(Raw_Export!B363),6,2),RIGHT(TRIM(Raw_Export!B363),2)),DATE(RIGHT(TRIM(Raw_Export!B363),4),MATCH(MID(TRIM(Raw_Export!B363),4,3),{"Jan","Feb","Mar","Apr","May","Jun","Jul","Aug","Sep","Oct","Nov","Dec"},0),LEFT(TRIM(Raw_Export!B363),2)))))</f>
        <v>46267</v>
      </c>
      <c r="C363" s="36" t="str">
        <f aca="false">IF(Raw_Export!$A363="","",IFERROR(VLOOKUP(LOWER(TRIM(Raw_Export!C363)),Maps!$A$2:$B$20,2,FALSE()),"UNMAPPED"))</f>
        <v>Kisumu</v>
      </c>
      <c r="D363" s="36" t="str">
        <f aca="false">IF(Raw_Export!$A363="","",IFERROR(VLOOKUP(LOWER(TRIM(Raw_Export!D363)),Maps!$G$2:$I$80,2,FALSE()),"UNMAPPED"))</f>
        <v>Peanuts 250g</v>
      </c>
      <c r="E363" s="36" t="str">
        <f aca="false">IF(Raw_Export!$A363="","",IFERROR(VLOOKUP(LOWER(TRIM(Raw_Export!D363)),Maps!$G$2:$I$80,3,FALSE()),"UNMAPPED"))</f>
        <v>Snacks</v>
      </c>
      <c r="F363" s="36" t="n">
        <f aca="false">IF(Raw_Export!$A363="","",IFERROR(VALUE(TRIM(Raw_Export!E363)),0))</f>
        <v>1</v>
      </c>
      <c r="G363" s="38" t="n">
        <f aca="false">IF(Raw_Export!$A363="","",IFERROR(VALUE(SUBSTITUTE(SUBSTITUTE(UPPER(TRIM(Raw_Export!F363)),"KES",""),",","")),0))</f>
        <v>130</v>
      </c>
      <c r="H363" s="38" t="n">
        <f aca="false">IF(Raw_Export!$A363="","",F363*G363)</f>
        <v>130</v>
      </c>
      <c r="I363" s="36" t="str">
        <f aca="false">IF(Raw_Export!$A363="","",IFERROR(VLOOKUP(LOWER(TRIM(Raw_Export!H363)),Maps!$D$2:$E$12,2,FALSE()),"Other"))</f>
        <v>Cash</v>
      </c>
      <c r="J363" s="36" t="str">
        <f aca="false">IF(Raw_Export!$A363="","",IF(COUNTIF($A$2:A363,A363)&gt;1,"Duplicate",""))</f>
        <v/>
      </c>
      <c r="K363" s="36" t="str">
        <f aca="false">IF(Raw_Export!$A363="","",IF(J363="Duplicate","Duplicate",IF(OR(C363="UNMAPPED",D363="UNMAPPED"),"Unmapped",IF(F363=0,"Blank qty",IF(F363&lt;0,"Return","OK")))))</f>
        <v>OK</v>
      </c>
      <c r="L363" s="36" t="n">
        <f aca="false">IF(Raw_Export!$A363="","",IF(OR(K363="OK",K363="Return"),1,0))</f>
        <v>1</v>
      </c>
      <c r="M363" s="37" t="n">
        <f aca="false">IF(Raw_Export!$A363="","",B363-WEEKDAY(B363,2)+1)</f>
        <v>46265</v>
      </c>
    </row>
    <row r="364" customFormat="false" ht="15" hidden="false" customHeight="false" outlineLevel="0" collapsed="false">
      <c r="A364" s="36" t="str">
        <f aca="false">IF(Raw_Export!$A364="","",TRIM(Raw_Export!A364))</f>
        <v>TXN-100357</v>
      </c>
      <c r="B364" s="37" t="n">
        <f aca="false">IF(Raw_Export!$A364="","",IF(ISNUMBER(Raw_Export!B364),Raw_Export!B364,IF(MID(TRIM(Raw_Export!B364),5,1)="-",DATE(LEFT(TRIM(Raw_Export!B364),4),MID(TRIM(Raw_Export!B364),6,2),RIGHT(TRIM(Raw_Export!B364),2)),DATE(RIGHT(TRIM(Raw_Export!B364),4),MATCH(MID(TRIM(Raw_Export!B364),4,3),{"Jan","Feb","Mar","Apr","May","Jun","Jul","Aug","Sep","Oct","Nov","Dec"},0),LEFT(TRIM(Raw_Export!B364),2)))))</f>
        <v>46267</v>
      </c>
      <c r="C364" s="36" t="str">
        <f aca="false">IF(Raw_Export!$A364="","",IFERROR(VLOOKUP(LOWER(TRIM(Raw_Export!C364)),Maps!$A$2:$B$20,2,FALSE()),"UNMAPPED"))</f>
        <v>Kisumu</v>
      </c>
      <c r="D364" s="36" t="str">
        <f aca="false">IF(Raw_Export!$A364="","",IFERROR(VLOOKUP(LOWER(TRIM(Raw_Export!D364)),Maps!$G$2:$I$80,2,FALSE()),"UNMAPPED"))</f>
        <v>Rice Pishori 2kg</v>
      </c>
      <c r="E364" s="36" t="str">
        <f aca="false">IF(Raw_Export!$A364="","",IFERROR(VLOOKUP(LOWER(TRIM(Raw_Export!D364)),Maps!$G$2:$I$80,3,FALSE()),"UNMAPPED"))</f>
        <v>Staples</v>
      </c>
      <c r="F364" s="36" t="n">
        <f aca="false">IF(Raw_Export!$A364="","",IFERROR(VALUE(TRIM(Raw_Export!E364)),0))</f>
        <v>1</v>
      </c>
      <c r="G364" s="38" t="n">
        <f aca="false">IF(Raw_Export!$A364="","",IFERROR(VALUE(SUBSTITUTE(SUBSTITUTE(UPPER(TRIM(Raw_Export!F364)),"KES",""),",","")),0))</f>
        <v>420</v>
      </c>
      <c r="H364" s="38" t="n">
        <f aca="false">IF(Raw_Export!$A364="","",F364*G364)</f>
        <v>420</v>
      </c>
      <c r="I364" s="36" t="str">
        <f aca="false">IF(Raw_Export!$A364="","",IFERROR(VLOOKUP(LOWER(TRIM(Raw_Export!H364)),Maps!$D$2:$E$12,2,FALSE()),"Other"))</f>
        <v>M-Pesa</v>
      </c>
      <c r="J364" s="36" t="str">
        <f aca="false">IF(Raw_Export!$A364="","",IF(COUNTIF($A$2:A364,A364)&gt;1,"Duplicate",""))</f>
        <v/>
      </c>
      <c r="K364" s="36" t="str">
        <f aca="false">IF(Raw_Export!$A364="","",IF(J364="Duplicate","Duplicate",IF(OR(C364="UNMAPPED",D364="UNMAPPED"),"Unmapped",IF(F364=0,"Blank qty",IF(F364&lt;0,"Return","OK")))))</f>
        <v>OK</v>
      </c>
      <c r="L364" s="36" t="n">
        <f aca="false">IF(Raw_Export!$A364="","",IF(OR(K364="OK",K364="Return"),1,0))</f>
        <v>1</v>
      </c>
      <c r="M364" s="37" t="n">
        <f aca="false">IF(Raw_Export!$A364="","",B364-WEEKDAY(B364,2)+1)</f>
        <v>46265</v>
      </c>
    </row>
    <row r="365" customFormat="false" ht="15" hidden="false" customHeight="false" outlineLevel="0" collapsed="false">
      <c r="A365" s="36" t="str">
        <f aca="false">IF(Raw_Export!$A365="","",TRIM(Raw_Export!A365))</f>
        <v>TXN-100358</v>
      </c>
      <c r="B365" s="37" t="n">
        <f aca="false">IF(Raw_Export!$A365="","",IF(ISNUMBER(Raw_Export!B365),Raw_Export!B365,IF(MID(TRIM(Raw_Export!B365),5,1)="-",DATE(LEFT(TRIM(Raw_Export!B365),4),MID(TRIM(Raw_Export!B365),6,2),RIGHT(TRIM(Raw_Export!B365),2)),DATE(RIGHT(TRIM(Raw_Export!B365),4),MATCH(MID(TRIM(Raw_Export!B365),4,3),{"Jan","Feb","Mar","Apr","May","Jun","Jul","Aug","Sep","Oct","Nov","Dec"},0),LEFT(TRIM(Raw_Export!B365),2)))))</f>
        <v>46267</v>
      </c>
      <c r="C365" s="36" t="str">
        <f aca="false">IF(Raw_Export!$A365="","",IFERROR(VLOOKUP(LOWER(TRIM(Raw_Export!C365)),Maps!$A$2:$B$20,2,FALSE()),"UNMAPPED"))</f>
        <v>Kisumu</v>
      </c>
      <c r="D365" s="36" t="str">
        <f aca="false">IF(Raw_Export!$A365="","",IFERROR(VLOOKUP(LOWER(TRIM(Raw_Export!D365)),Maps!$G$2:$I$80,2,FALSE()),"UNMAPPED"))</f>
        <v>Soda 500ml</v>
      </c>
      <c r="E365" s="36" t="str">
        <f aca="false">IF(Raw_Export!$A365="","",IFERROR(VLOOKUP(LOWER(TRIM(Raw_Export!D365)),Maps!$G$2:$I$80,3,FALSE()),"UNMAPPED"))</f>
        <v>Beverages</v>
      </c>
      <c r="F365" s="36" t="n">
        <f aca="false">IF(Raw_Export!$A365="","",IFERROR(VALUE(TRIM(Raw_Export!E365)),0))</f>
        <v>1</v>
      </c>
      <c r="G365" s="38" t="n">
        <f aca="false">IF(Raw_Export!$A365="","",IFERROR(VALUE(SUBSTITUTE(SUBSTITUTE(UPPER(TRIM(Raw_Export!F365)),"KES",""),",","")),0))</f>
        <v>60</v>
      </c>
      <c r="H365" s="38" t="n">
        <f aca="false">IF(Raw_Export!$A365="","",F365*G365)</f>
        <v>60</v>
      </c>
      <c r="I365" s="36" t="str">
        <f aca="false">IF(Raw_Export!$A365="","",IFERROR(VLOOKUP(LOWER(TRIM(Raw_Export!H365)),Maps!$D$2:$E$12,2,FALSE()),"Other"))</f>
        <v>M-Pesa</v>
      </c>
      <c r="J365" s="36" t="str">
        <f aca="false">IF(Raw_Export!$A365="","",IF(COUNTIF($A$2:A365,A365)&gt;1,"Duplicate",""))</f>
        <v/>
      </c>
      <c r="K365" s="36" t="str">
        <f aca="false">IF(Raw_Export!$A365="","",IF(J365="Duplicate","Duplicate",IF(OR(C365="UNMAPPED",D365="UNMAPPED"),"Unmapped",IF(F365=0,"Blank qty",IF(F365&lt;0,"Return","OK")))))</f>
        <v>OK</v>
      </c>
      <c r="L365" s="36" t="n">
        <f aca="false">IF(Raw_Export!$A365="","",IF(OR(K365="OK",K365="Return"),1,0))</f>
        <v>1</v>
      </c>
      <c r="M365" s="37" t="n">
        <f aca="false">IF(Raw_Export!$A365="","",B365-WEEKDAY(B365,2)+1)</f>
        <v>46265</v>
      </c>
    </row>
    <row r="366" customFormat="false" ht="15" hidden="false" customHeight="false" outlineLevel="0" collapsed="false">
      <c r="A366" s="36" t="str">
        <f aca="false">IF(Raw_Export!$A366="","",TRIM(Raw_Export!A366))</f>
        <v>TXN-100359</v>
      </c>
      <c r="B366" s="37" t="n">
        <f aca="false">IF(Raw_Export!$A366="","",IF(ISNUMBER(Raw_Export!B366),Raw_Export!B366,IF(MID(TRIM(Raw_Export!B366),5,1)="-",DATE(LEFT(TRIM(Raw_Export!B366),4),MID(TRIM(Raw_Export!B366),6,2),RIGHT(TRIM(Raw_Export!B366),2)),DATE(RIGHT(TRIM(Raw_Export!B366),4),MATCH(MID(TRIM(Raw_Export!B366),4,3),{"Jan","Feb","Mar","Apr","May","Jun","Jul","Aug","Sep","Oct","Nov","Dec"},0),LEFT(TRIM(Raw_Export!B366),2)))))</f>
        <v>46267</v>
      </c>
      <c r="C366" s="36" t="str">
        <f aca="false">IF(Raw_Export!$A366="","",IFERROR(VLOOKUP(LOWER(TRIM(Raw_Export!C366)),Maps!$A$2:$B$20,2,FALSE()),"UNMAPPED"))</f>
        <v>Nakuru</v>
      </c>
      <c r="D366" s="36" t="str">
        <f aca="false">IF(Raw_Export!$A366="","",IFERROR(VLOOKUP(LOWER(TRIM(Raw_Export!D366)),Maps!$G$2:$I$80,2,FALSE()),"UNMAPPED"))</f>
        <v>Cooking Oil 1L</v>
      </c>
      <c r="E366" s="36" t="str">
        <f aca="false">IF(Raw_Export!$A366="","",IFERROR(VLOOKUP(LOWER(TRIM(Raw_Export!D366)),Maps!$G$2:$I$80,3,FALSE()),"UNMAPPED"))</f>
        <v>Staples</v>
      </c>
      <c r="F366" s="36" t="n">
        <f aca="false">IF(Raw_Export!$A366="","",IFERROR(VALUE(TRIM(Raw_Export!E366)),0))</f>
        <v>2</v>
      </c>
      <c r="G366" s="38" t="n">
        <f aca="false">IF(Raw_Export!$A366="","",IFERROR(VALUE(SUBSTITUTE(SUBSTITUTE(UPPER(TRIM(Raw_Export!F366)),"KES",""),",","")),0))</f>
        <v>330</v>
      </c>
      <c r="H366" s="38" t="n">
        <f aca="false">IF(Raw_Export!$A366="","",F366*G366)</f>
        <v>660</v>
      </c>
      <c r="I366" s="36" t="str">
        <f aca="false">IF(Raw_Export!$A366="","",IFERROR(VLOOKUP(LOWER(TRIM(Raw_Export!H366)),Maps!$D$2:$E$12,2,FALSE()),"Other"))</f>
        <v>Cash</v>
      </c>
      <c r="J366" s="36" t="str">
        <f aca="false">IF(Raw_Export!$A366="","",IF(COUNTIF($A$2:A366,A366)&gt;1,"Duplicate",""))</f>
        <v/>
      </c>
      <c r="K366" s="36" t="str">
        <f aca="false">IF(Raw_Export!$A366="","",IF(J366="Duplicate","Duplicate",IF(OR(C366="UNMAPPED",D366="UNMAPPED"),"Unmapped",IF(F366=0,"Blank qty",IF(F366&lt;0,"Return","OK")))))</f>
        <v>OK</v>
      </c>
      <c r="L366" s="36" t="n">
        <f aca="false">IF(Raw_Export!$A366="","",IF(OR(K366="OK",K366="Return"),1,0))</f>
        <v>1</v>
      </c>
      <c r="M366" s="37" t="n">
        <f aca="false">IF(Raw_Export!$A366="","",B366-WEEKDAY(B366,2)+1)</f>
        <v>46265</v>
      </c>
    </row>
    <row r="367" customFormat="false" ht="15" hidden="false" customHeight="false" outlineLevel="0" collapsed="false">
      <c r="A367" s="36" t="str">
        <f aca="false">IF(Raw_Export!$A367="","",TRIM(Raw_Export!A367))</f>
        <v>TXN-100360</v>
      </c>
      <c r="B367" s="37" t="n">
        <f aca="false">IF(Raw_Export!$A367="","",IF(ISNUMBER(Raw_Export!B367),Raw_Export!B367,IF(MID(TRIM(Raw_Export!B367),5,1)="-",DATE(LEFT(TRIM(Raw_Export!B367),4),MID(TRIM(Raw_Export!B367),6,2),RIGHT(TRIM(Raw_Export!B367),2)),DATE(RIGHT(TRIM(Raw_Export!B367),4),MATCH(MID(TRIM(Raw_Export!B367),4,3),{"Jan","Feb","Mar","Apr","May","Jun","Jul","Aug","Sep","Oct","Nov","Dec"},0),LEFT(TRIM(Raw_Export!B367),2)))))</f>
        <v>46267</v>
      </c>
      <c r="C367" s="36" t="str">
        <f aca="false">IF(Raw_Export!$A367="","",IFERROR(VLOOKUP(LOWER(TRIM(Raw_Export!C367)),Maps!$A$2:$B$20,2,FALSE()),"UNMAPPED"))</f>
        <v>Nakuru</v>
      </c>
      <c r="D367" s="36" t="str">
        <f aca="false">IF(Raw_Export!$A367="","",IFERROR(VLOOKUP(LOWER(TRIM(Raw_Export!D367)),Maps!$G$2:$I$80,2,FALSE()),"UNMAPPED"))</f>
        <v>Spaghetti 400g</v>
      </c>
      <c r="E367" s="36" t="str">
        <f aca="false">IF(Raw_Export!$A367="","",IFERROR(VLOOKUP(LOWER(TRIM(Raw_Export!D367)),Maps!$G$2:$I$80,3,FALSE()),"UNMAPPED"))</f>
        <v>Staples</v>
      </c>
      <c r="F367" s="36" t="n">
        <f aca="false">IF(Raw_Export!$A367="","",IFERROR(VALUE(TRIM(Raw_Export!E367)),0))</f>
        <v>4</v>
      </c>
      <c r="G367" s="38" t="n">
        <f aca="false">IF(Raw_Export!$A367="","",IFERROR(VALUE(SUBSTITUTE(SUBSTITUTE(UPPER(TRIM(Raw_Export!F367)),"KES",""),",","")),0))</f>
        <v>110</v>
      </c>
      <c r="H367" s="38" t="n">
        <f aca="false">IF(Raw_Export!$A367="","",F367*G367)</f>
        <v>440</v>
      </c>
      <c r="I367" s="36" t="str">
        <f aca="false">IF(Raw_Export!$A367="","",IFERROR(VLOOKUP(LOWER(TRIM(Raw_Export!H367)),Maps!$D$2:$E$12,2,FALSE()),"Other"))</f>
        <v>Cash</v>
      </c>
      <c r="J367" s="36" t="str">
        <f aca="false">IF(Raw_Export!$A367="","",IF(COUNTIF($A$2:A367,A367)&gt;1,"Duplicate",""))</f>
        <v/>
      </c>
      <c r="K367" s="36" t="str">
        <f aca="false">IF(Raw_Export!$A367="","",IF(J367="Duplicate","Duplicate",IF(OR(C367="UNMAPPED",D367="UNMAPPED"),"Unmapped",IF(F367=0,"Blank qty",IF(F367&lt;0,"Return","OK")))))</f>
        <v>OK</v>
      </c>
      <c r="L367" s="36" t="n">
        <f aca="false">IF(Raw_Export!$A367="","",IF(OR(K367="OK",K367="Return"),1,0))</f>
        <v>1</v>
      </c>
      <c r="M367" s="37" t="n">
        <f aca="false">IF(Raw_Export!$A367="","",B367-WEEKDAY(B367,2)+1)</f>
        <v>46265</v>
      </c>
    </row>
    <row r="368" customFormat="false" ht="15" hidden="false" customHeight="false" outlineLevel="0" collapsed="false">
      <c r="A368" s="36" t="str">
        <f aca="false">IF(Raw_Export!$A368="","",TRIM(Raw_Export!A368))</f>
        <v>TXN-100361</v>
      </c>
      <c r="B368" s="37" t="n">
        <f aca="false">IF(Raw_Export!$A368="","",IF(ISNUMBER(Raw_Export!B368),Raw_Export!B368,IF(MID(TRIM(Raw_Export!B368),5,1)="-",DATE(LEFT(TRIM(Raw_Export!B368),4),MID(TRIM(Raw_Export!B368),6,2),RIGHT(TRIM(Raw_Export!B368),2)),DATE(RIGHT(TRIM(Raw_Export!B368),4),MATCH(MID(TRIM(Raw_Export!B368),4,3),{"Jan","Feb","Mar","Apr","May","Jun","Jul","Aug","Sep","Oct","Nov","Dec"},0),LEFT(TRIM(Raw_Export!B368),2)))))</f>
        <v>46267</v>
      </c>
      <c r="C368" s="36" t="str">
        <f aca="false">IF(Raw_Export!$A368="","",IFERROR(VLOOKUP(LOWER(TRIM(Raw_Export!C368)),Maps!$A$2:$B$20,2,FALSE()),"UNMAPPED"))</f>
        <v>Nakuru</v>
      </c>
      <c r="D368" s="36" t="str">
        <f aca="false">IF(Raw_Export!$A368="","",IFERROR(VLOOKUP(LOWER(TRIM(Raw_Export!D368)),Maps!$G$2:$I$80,2,FALSE()),"UNMAPPED"))</f>
        <v>Soda 500ml</v>
      </c>
      <c r="E368" s="36" t="str">
        <f aca="false">IF(Raw_Export!$A368="","",IFERROR(VLOOKUP(LOWER(TRIM(Raw_Export!D368)),Maps!$G$2:$I$80,3,FALSE()),"UNMAPPED"))</f>
        <v>Beverages</v>
      </c>
      <c r="F368" s="36" t="n">
        <f aca="false">IF(Raw_Export!$A368="","",IFERROR(VALUE(TRIM(Raw_Export!E368)),0))</f>
        <v>2</v>
      </c>
      <c r="G368" s="38" t="n">
        <f aca="false">IF(Raw_Export!$A368="","",IFERROR(VALUE(SUBSTITUTE(SUBSTITUTE(UPPER(TRIM(Raw_Export!F368)),"KES",""),",","")),0))</f>
        <v>60</v>
      </c>
      <c r="H368" s="38" t="n">
        <f aca="false">IF(Raw_Export!$A368="","",F368*G368)</f>
        <v>120</v>
      </c>
      <c r="I368" s="36" t="str">
        <f aca="false">IF(Raw_Export!$A368="","",IFERROR(VLOOKUP(LOWER(TRIM(Raw_Export!H368)),Maps!$D$2:$E$12,2,FALSE()),"Other"))</f>
        <v>M-Pesa</v>
      </c>
      <c r="J368" s="36" t="str">
        <f aca="false">IF(Raw_Export!$A368="","",IF(COUNTIF($A$2:A368,A368)&gt;1,"Duplicate",""))</f>
        <v/>
      </c>
      <c r="K368" s="36" t="str">
        <f aca="false">IF(Raw_Export!$A368="","",IF(J368="Duplicate","Duplicate",IF(OR(C368="UNMAPPED",D368="UNMAPPED"),"Unmapped",IF(F368=0,"Blank qty",IF(F368&lt;0,"Return","OK")))))</f>
        <v>OK</v>
      </c>
      <c r="L368" s="36" t="n">
        <f aca="false">IF(Raw_Export!$A368="","",IF(OR(K368="OK",K368="Return"),1,0))</f>
        <v>1</v>
      </c>
      <c r="M368" s="37" t="n">
        <f aca="false">IF(Raw_Export!$A368="","",B368-WEEKDAY(B368,2)+1)</f>
        <v>46265</v>
      </c>
    </row>
    <row r="369" customFormat="false" ht="15" hidden="false" customHeight="false" outlineLevel="0" collapsed="false">
      <c r="A369" s="36" t="str">
        <f aca="false">IF(Raw_Export!$A369="","",TRIM(Raw_Export!A369))</f>
        <v>TXN-100362</v>
      </c>
      <c r="B369" s="37" t="n">
        <f aca="false">IF(Raw_Export!$A369="","",IF(ISNUMBER(Raw_Export!B369),Raw_Export!B369,IF(MID(TRIM(Raw_Export!B369),5,1)="-",DATE(LEFT(TRIM(Raw_Export!B369),4),MID(TRIM(Raw_Export!B369),6,2),RIGHT(TRIM(Raw_Export!B369),2)),DATE(RIGHT(TRIM(Raw_Export!B369),4),MATCH(MID(TRIM(Raw_Export!B369),4,3),{"Jan","Feb","Mar","Apr","May","Jun","Jul","Aug","Sep","Oct","Nov","Dec"},0),LEFT(TRIM(Raw_Export!B369),2)))))</f>
        <v>46267</v>
      </c>
      <c r="C369" s="36" t="str">
        <f aca="false">IF(Raw_Export!$A369="","",IFERROR(VLOOKUP(LOWER(TRIM(Raw_Export!C369)),Maps!$A$2:$B$20,2,FALSE()),"UNMAPPED"))</f>
        <v>Nakuru</v>
      </c>
      <c r="D369" s="36" t="str">
        <f aca="false">IF(Raw_Export!$A369="","",IFERROR(VLOOKUP(LOWER(TRIM(Raw_Export!D369)),Maps!$G$2:$I$80,2,FALSE()),"UNMAPPED"))</f>
        <v>Spaghetti 400g</v>
      </c>
      <c r="E369" s="36" t="str">
        <f aca="false">IF(Raw_Export!$A369="","",IFERROR(VLOOKUP(LOWER(TRIM(Raw_Export!D369)),Maps!$G$2:$I$80,3,FALSE()),"UNMAPPED"))</f>
        <v>Staples</v>
      </c>
      <c r="F369" s="36" t="n">
        <f aca="false">IF(Raw_Export!$A369="","",IFERROR(VALUE(TRIM(Raw_Export!E369)),0))</f>
        <v>2</v>
      </c>
      <c r="G369" s="38" t="n">
        <f aca="false">IF(Raw_Export!$A369="","",IFERROR(VALUE(SUBSTITUTE(SUBSTITUTE(UPPER(TRIM(Raw_Export!F369)),"KES",""),",","")),0))</f>
        <v>110</v>
      </c>
      <c r="H369" s="38" t="n">
        <f aca="false">IF(Raw_Export!$A369="","",F369*G369)</f>
        <v>220</v>
      </c>
      <c r="I369" s="36" t="str">
        <f aca="false">IF(Raw_Export!$A369="","",IFERROR(VLOOKUP(LOWER(TRIM(Raw_Export!H369)),Maps!$D$2:$E$12,2,FALSE()),"Other"))</f>
        <v>M-Pesa</v>
      </c>
      <c r="J369" s="36" t="str">
        <f aca="false">IF(Raw_Export!$A369="","",IF(COUNTIF($A$2:A369,A369)&gt;1,"Duplicate",""))</f>
        <v/>
      </c>
      <c r="K369" s="36" t="str">
        <f aca="false">IF(Raw_Export!$A369="","",IF(J369="Duplicate","Duplicate",IF(OR(C369="UNMAPPED",D369="UNMAPPED"),"Unmapped",IF(F369=0,"Blank qty",IF(F369&lt;0,"Return","OK")))))</f>
        <v>OK</v>
      </c>
      <c r="L369" s="36" t="n">
        <f aca="false">IF(Raw_Export!$A369="","",IF(OR(K369="OK",K369="Return"),1,0))</f>
        <v>1</v>
      </c>
      <c r="M369" s="37" t="n">
        <f aca="false">IF(Raw_Export!$A369="","",B369-WEEKDAY(B369,2)+1)</f>
        <v>46265</v>
      </c>
    </row>
    <row r="370" customFormat="false" ht="15" hidden="false" customHeight="false" outlineLevel="0" collapsed="false">
      <c r="A370" s="36" t="str">
        <f aca="false">IF(Raw_Export!$A370="","",TRIM(Raw_Export!A370))</f>
        <v>TXN-100363</v>
      </c>
      <c r="B370" s="37" t="n">
        <f aca="false">IF(Raw_Export!$A370="","",IF(ISNUMBER(Raw_Export!B370),Raw_Export!B370,IF(MID(TRIM(Raw_Export!B370),5,1)="-",DATE(LEFT(TRIM(Raw_Export!B370),4),MID(TRIM(Raw_Export!B370),6,2),RIGHT(TRIM(Raw_Export!B370),2)),DATE(RIGHT(TRIM(Raw_Export!B370),4),MATCH(MID(TRIM(Raw_Export!B370),4,3),{"Jan","Feb","Mar","Apr","May","Jun","Jul","Aug","Sep","Oct","Nov","Dec"},0),LEFT(TRIM(Raw_Export!B370),2)))))</f>
        <v>46267</v>
      </c>
      <c r="C370" s="36" t="str">
        <f aca="false">IF(Raw_Export!$A370="","",IFERROR(VLOOKUP(LOWER(TRIM(Raw_Export!C370)),Maps!$A$2:$B$20,2,FALSE()),"UNMAPPED"))</f>
        <v>Nakuru</v>
      </c>
      <c r="D370" s="36" t="str">
        <f aca="false">IF(Raw_Export!$A370="","",IFERROR(VLOOKUP(LOWER(TRIM(Raw_Export!D370)),Maps!$G$2:$I$80,2,FALSE()),"UNMAPPED"))</f>
        <v>Sanitary Pads 8pk</v>
      </c>
      <c r="E370" s="36" t="str">
        <f aca="false">IF(Raw_Export!$A370="","",IFERROR(VLOOKUP(LOWER(TRIM(Raw_Export!D370)),Maps!$G$2:$I$80,3,FALSE()),"UNMAPPED"))</f>
        <v>Personal Care</v>
      </c>
      <c r="F370" s="36" t="n">
        <f aca="false">IF(Raw_Export!$A370="","",IFERROR(VALUE(TRIM(Raw_Export!E370)),0))</f>
        <v>1</v>
      </c>
      <c r="G370" s="38" t="n">
        <f aca="false">IF(Raw_Export!$A370="","",IFERROR(VALUE(SUBSTITUTE(SUBSTITUTE(UPPER(TRIM(Raw_Export!F370)),"KES",""),",","")),0))</f>
        <v>130</v>
      </c>
      <c r="H370" s="38" t="n">
        <f aca="false">IF(Raw_Export!$A370="","",F370*G370)</f>
        <v>130</v>
      </c>
      <c r="I370" s="36" t="str">
        <f aca="false">IF(Raw_Export!$A370="","",IFERROR(VLOOKUP(LOWER(TRIM(Raw_Export!H370)),Maps!$D$2:$E$12,2,FALSE()),"Other"))</f>
        <v>Cash</v>
      </c>
      <c r="J370" s="36" t="str">
        <f aca="false">IF(Raw_Export!$A370="","",IF(COUNTIF($A$2:A370,A370)&gt;1,"Duplicate",""))</f>
        <v/>
      </c>
      <c r="K370" s="36" t="str">
        <f aca="false">IF(Raw_Export!$A370="","",IF(J370="Duplicate","Duplicate",IF(OR(C370="UNMAPPED",D370="UNMAPPED"),"Unmapped",IF(F370=0,"Blank qty",IF(F370&lt;0,"Return","OK")))))</f>
        <v>OK</v>
      </c>
      <c r="L370" s="36" t="n">
        <f aca="false">IF(Raw_Export!$A370="","",IF(OR(K370="OK",K370="Return"),1,0))</f>
        <v>1</v>
      </c>
      <c r="M370" s="37" t="n">
        <f aca="false">IF(Raw_Export!$A370="","",B370-WEEKDAY(B370,2)+1)</f>
        <v>46265</v>
      </c>
    </row>
    <row r="371" customFormat="false" ht="15" hidden="false" customHeight="false" outlineLevel="0" collapsed="false">
      <c r="A371" s="36" t="str">
        <f aca="false">IF(Raw_Export!$A371="","",TRIM(Raw_Export!A371))</f>
        <v>TXN-100364</v>
      </c>
      <c r="B371" s="37" t="n">
        <f aca="false">IF(Raw_Export!$A371="","",IF(ISNUMBER(Raw_Export!B371),Raw_Export!B371,IF(MID(TRIM(Raw_Export!B371),5,1)="-",DATE(LEFT(TRIM(Raw_Export!B371),4),MID(TRIM(Raw_Export!B371),6,2),RIGHT(TRIM(Raw_Export!B371),2)),DATE(RIGHT(TRIM(Raw_Export!B371),4),MATCH(MID(TRIM(Raw_Export!B371),4,3),{"Jan","Feb","Mar","Apr","May","Jun","Jul","Aug","Sep","Oct","Nov","Dec"},0),LEFT(TRIM(Raw_Export!B371),2)))))</f>
        <v>46267</v>
      </c>
      <c r="C371" s="36" t="str">
        <f aca="false">IF(Raw_Export!$A371="","",IFERROR(VLOOKUP(LOWER(TRIM(Raw_Export!C371)),Maps!$A$2:$B$20,2,FALSE()),"UNMAPPED"))</f>
        <v>Nakuru</v>
      </c>
      <c r="D371" s="36" t="str">
        <f aca="false">IF(Raw_Export!$A371="","",IFERROR(VLOOKUP(LOWER(TRIM(Raw_Export!D371)),Maps!$G$2:$I$80,2,FALSE()),"UNMAPPED"))</f>
        <v>Chocolate Bar 90g</v>
      </c>
      <c r="E371" s="36" t="str">
        <f aca="false">IF(Raw_Export!$A371="","",IFERROR(VLOOKUP(LOWER(TRIM(Raw_Export!D371)),Maps!$G$2:$I$80,3,FALSE()),"UNMAPPED"))</f>
        <v>Snacks</v>
      </c>
      <c r="F371" s="36" t="n">
        <f aca="false">IF(Raw_Export!$A371="","",IFERROR(VALUE(TRIM(Raw_Export!E371)),0))</f>
        <v>4</v>
      </c>
      <c r="G371" s="38" t="n">
        <f aca="false">IF(Raw_Export!$A371="","",IFERROR(VALUE(SUBSTITUTE(SUBSTITUTE(UPPER(TRIM(Raw_Export!F371)),"KES",""),",","")),0))</f>
        <v>140</v>
      </c>
      <c r="H371" s="38" t="n">
        <f aca="false">IF(Raw_Export!$A371="","",F371*G371)</f>
        <v>560</v>
      </c>
      <c r="I371" s="36" t="str">
        <f aca="false">IF(Raw_Export!$A371="","",IFERROR(VLOOKUP(LOWER(TRIM(Raw_Export!H371)),Maps!$D$2:$E$12,2,FALSE()),"Other"))</f>
        <v>M-Pesa</v>
      </c>
      <c r="J371" s="36" t="str">
        <f aca="false">IF(Raw_Export!$A371="","",IF(COUNTIF($A$2:A371,A371)&gt;1,"Duplicate",""))</f>
        <v/>
      </c>
      <c r="K371" s="36" t="str">
        <f aca="false">IF(Raw_Export!$A371="","",IF(J371="Duplicate","Duplicate",IF(OR(C371="UNMAPPED",D371="UNMAPPED"),"Unmapped",IF(F371=0,"Blank qty",IF(F371&lt;0,"Return","OK")))))</f>
        <v>OK</v>
      </c>
      <c r="L371" s="36" t="n">
        <f aca="false">IF(Raw_Export!$A371="","",IF(OR(K371="OK",K371="Return"),1,0))</f>
        <v>1</v>
      </c>
      <c r="M371" s="37" t="n">
        <f aca="false">IF(Raw_Export!$A371="","",B371-WEEKDAY(B371,2)+1)</f>
        <v>46265</v>
      </c>
    </row>
    <row r="372" customFormat="false" ht="15" hidden="false" customHeight="false" outlineLevel="0" collapsed="false">
      <c r="A372" s="36" t="str">
        <f aca="false">IF(Raw_Export!$A372="","",TRIM(Raw_Export!A372))</f>
        <v>TXN-100365</v>
      </c>
      <c r="B372" s="37" t="n">
        <f aca="false">IF(Raw_Export!$A372="","",IF(ISNUMBER(Raw_Export!B372),Raw_Export!B372,IF(MID(TRIM(Raw_Export!B372),5,1)="-",DATE(LEFT(TRIM(Raw_Export!B372),4),MID(TRIM(Raw_Export!B372),6,2),RIGHT(TRIM(Raw_Export!B372),2)),DATE(RIGHT(TRIM(Raw_Export!B372),4),MATCH(MID(TRIM(Raw_Export!B372),4,3),{"Jan","Feb","Mar","Apr","May","Jun","Jul","Aug","Sep","Oct","Nov","Dec"},0),LEFT(TRIM(Raw_Export!B372),2)))))</f>
        <v>46267</v>
      </c>
      <c r="C372" s="36" t="str">
        <f aca="false">IF(Raw_Export!$A372="","",IFERROR(VLOOKUP(LOWER(TRIM(Raw_Export!C372)),Maps!$A$2:$B$20,2,FALSE()),"UNMAPPED"))</f>
        <v>Nakuru</v>
      </c>
      <c r="D372" s="36" t="str">
        <f aca="false">IF(Raw_Export!$A372="","",IFERROR(VLOOKUP(LOWER(TRIM(Raw_Export!D372)),Maps!$G$2:$I$80,2,FALSE()),"UNMAPPED"))</f>
        <v>Matches 10pk</v>
      </c>
      <c r="E372" s="36" t="str">
        <f aca="false">IF(Raw_Export!$A372="","",IFERROR(VLOOKUP(LOWER(TRIM(Raw_Export!D372)),Maps!$G$2:$I$80,3,FALSE()),"UNMAPPED"))</f>
        <v>Household</v>
      </c>
      <c r="F372" s="36" t="n">
        <f aca="false">IF(Raw_Export!$A372="","",IFERROR(VALUE(TRIM(Raw_Export!E372)),0))</f>
        <v>3</v>
      </c>
      <c r="G372" s="38" t="n">
        <f aca="false">IF(Raw_Export!$A372="","",IFERROR(VALUE(SUBSTITUTE(SUBSTITUTE(UPPER(TRIM(Raw_Export!F372)),"KES",""),",","")),0))</f>
        <v>50</v>
      </c>
      <c r="H372" s="38" t="n">
        <f aca="false">IF(Raw_Export!$A372="","",F372*G372)</f>
        <v>150</v>
      </c>
      <c r="I372" s="36" t="str">
        <f aca="false">IF(Raw_Export!$A372="","",IFERROR(VLOOKUP(LOWER(TRIM(Raw_Export!H372)),Maps!$D$2:$E$12,2,FALSE()),"Other"))</f>
        <v>Card</v>
      </c>
      <c r="J372" s="36" t="str">
        <f aca="false">IF(Raw_Export!$A372="","",IF(COUNTIF($A$2:A372,A372)&gt;1,"Duplicate",""))</f>
        <v/>
      </c>
      <c r="K372" s="36" t="str">
        <f aca="false">IF(Raw_Export!$A372="","",IF(J372="Duplicate","Duplicate",IF(OR(C372="UNMAPPED",D372="UNMAPPED"),"Unmapped",IF(F372=0,"Blank qty",IF(F372&lt;0,"Return","OK")))))</f>
        <v>OK</v>
      </c>
      <c r="L372" s="36" t="n">
        <f aca="false">IF(Raw_Export!$A372="","",IF(OR(K372="OK",K372="Return"),1,0))</f>
        <v>1</v>
      </c>
      <c r="M372" s="37" t="n">
        <f aca="false">IF(Raw_Export!$A372="","",B372-WEEKDAY(B372,2)+1)</f>
        <v>46265</v>
      </c>
    </row>
    <row r="373" customFormat="false" ht="15" hidden="false" customHeight="false" outlineLevel="0" collapsed="false">
      <c r="A373" s="36" t="str">
        <f aca="false">IF(Raw_Export!$A373="","",TRIM(Raw_Export!A373))</f>
        <v>TXN-100366</v>
      </c>
      <c r="B373" s="37" t="n">
        <f aca="false">IF(Raw_Export!$A373="","",IF(ISNUMBER(Raw_Export!B373),Raw_Export!B373,IF(MID(TRIM(Raw_Export!B373),5,1)="-",DATE(LEFT(TRIM(Raw_Export!B373),4),MID(TRIM(Raw_Export!B373),6,2),RIGHT(TRIM(Raw_Export!B373),2)),DATE(RIGHT(TRIM(Raw_Export!B373),4),MATCH(MID(TRIM(Raw_Export!B373),4,3),{"Jan","Feb","Mar","Apr","May","Jun","Jul","Aug","Sep","Oct","Nov","Dec"},0),LEFT(TRIM(Raw_Export!B373),2)))))</f>
        <v>46267</v>
      </c>
      <c r="C373" s="36" t="str">
        <f aca="false">IF(Raw_Export!$A373="","",IFERROR(VLOOKUP(LOWER(TRIM(Raw_Export!C373)),Maps!$A$2:$B$20,2,FALSE()),"UNMAPPED"))</f>
        <v>Nakuru</v>
      </c>
      <c r="D373" s="36" t="str">
        <f aca="false">IF(Raw_Export!$A373="","",IFERROR(VLOOKUP(LOWER(TRIM(Raw_Export!D373)),Maps!$G$2:$I$80,2,FALSE()),"UNMAPPED"))</f>
        <v>Cooking Oil 1L</v>
      </c>
      <c r="E373" s="36" t="str">
        <f aca="false">IF(Raw_Export!$A373="","",IFERROR(VLOOKUP(LOWER(TRIM(Raw_Export!D373)),Maps!$G$2:$I$80,3,FALSE()),"UNMAPPED"))</f>
        <v>Staples</v>
      </c>
      <c r="F373" s="36" t="n">
        <f aca="false">IF(Raw_Export!$A373="","",IFERROR(VALUE(TRIM(Raw_Export!E373)),0))</f>
        <v>2</v>
      </c>
      <c r="G373" s="38" t="n">
        <f aca="false">IF(Raw_Export!$A373="","",IFERROR(VALUE(SUBSTITUTE(SUBSTITUTE(UPPER(TRIM(Raw_Export!F373)),"KES",""),",","")),0))</f>
        <v>330</v>
      </c>
      <c r="H373" s="38" t="n">
        <f aca="false">IF(Raw_Export!$A373="","",F373*G373)</f>
        <v>660</v>
      </c>
      <c r="I373" s="36" t="str">
        <f aca="false">IF(Raw_Export!$A373="","",IFERROR(VLOOKUP(LOWER(TRIM(Raw_Export!H373)),Maps!$D$2:$E$12,2,FALSE()),"Other"))</f>
        <v>M-Pesa</v>
      </c>
      <c r="J373" s="36" t="str">
        <f aca="false">IF(Raw_Export!$A373="","",IF(COUNTIF($A$2:A373,A373)&gt;1,"Duplicate",""))</f>
        <v/>
      </c>
      <c r="K373" s="36" t="str">
        <f aca="false">IF(Raw_Export!$A373="","",IF(J373="Duplicate","Duplicate",IF(OR(C373="UNMAPPED",D373="UNMAPPED"),"Unmapped",IF(F373=0,"Blank qty",IF(F373&lt;0,"Return","OK")))))</f>
        <v>OK</v>
      </c>
      <c r="L373" s="36" t="n">
        <f aca="false">IF(Raw_Export!$A373="","",IF(OR(K373="OK",K373="Return"),1,0))</f>
        <v>1</v>
      </c>
      <c r="M373" s="37" t="n">
        <f aca="false">IF(Raw_Export!$A373="","",B373-WEEKDAY(B373,2)+1)</f>
        <v>46265</v>
      </c>
    </row>
    <row r="374" customFormat="false" ht="15" hidden="false" customHeight="false" outlineLevel="0" collapsed="false">
      <c r="A374" s="36" t="str">
        <f aca="false">IF(Raw_Export!$A374="","",TRIM(Raw_Export!A374))</f>
        <v>TXN-100367</v>
      </c>
      <c r="B374" s="37" t="n">
        <f aca="false">IF(Raw_Export!$A374="","",IF(ISNUMBER(Raw_Export!B374),Raw_Export!B374,IF(MID(TRIM(Raw_Export!B374),5,1)="-",DATE(LEFT(TRIM(Raw_Export!B374),4),MID(TRIM(Raw_Export!B374),6,2),RIGHT(TRIM(Raw_Export!B374),2)),DATE(RIGHT(TRIM(Raw_Export!B374),4),MATCH(MID(TRIM(Raw_Export!B374),4,3),{"Jan","Feb","Mar","Apr","May","Jun","Jul","Aug","Sep","Oct","Nov","Dec"},0),LEFT(TRIM(Raw_Export!B374),2)))))</f>
        <v>46267</v>
      </c>
      <c r="C374" s="36" t="str">
        <f aca="false">IF(Raw_Export!$A374="","",IFERROR(VLOOKUP(LOWER(TRIM(Raw_Export!C374)),Maps!$A$2:$B$20,2,FALSE()),"UNMAPPED"))</f>
        <v>Nakuru</v>
      </c>
      <c r="D374" s="36" t="str">
        <f aca="false">IF(Raw_Export!$A374="","",IFERROR(VLOOKUP(LOWER(TRIM(Raw_Export!D374)),Maps!$G$2:$I$80,2,FALSE()),"UNMAPPED"))</f>
        <v>Washing Powder 1kg</v>
      </c>
      <c r="E374" s="36" t="str">
        <f aca="false">IF(Raw_Export!$A374="","",IFERROR(VLOOKUP(LOWER(TRIM(Raw_Export!D374)),Maps!$G$2:$I$80,3,FALSE()),"UNMAPPED"))</f>
        <v>Household</v>
      </c>
      <c r="F374" s="36" t="n">
        <f aca="false">IF(Raw_Export!$A374="","",IFERROR(VALUE(TRIM(Raw_Export!E374)),0))</f>
        <v>2</v>
      </c>
      <c r="G374" s="38" t="n">
        <f aca="false">IF(Raw_Export!$A374="","",IFERROR(VALUE(SUBSTITUTE(SUBSTITUTE(UPPER(TRIM(Raw_Export!F374)),"KES",""),",","")),0))</f>
        <v>280</v>
      </c>
      <c r="H374" s="38" t="n">
        <f aca="false">IF(Raw_Export!$A374="","",F374*G374)</f>
        <v>560</v>
      </c>
      <c r="I374" s="36" t="str">
        <f aca="false">IF(Raw_Export!$A374="","",IFERROR(VLOOKUP(LOWER(TRIM(Raw_Export!H374)),Maps!$D$2:$E$12,2,FALSE()),"Other"))</f>
        <v>Cash</v>
      </c>
      <c r="J374" s="36" t="str">
        <f aca="false">IF(Raw_Export!$A374="","",IF(COUNTIF($A$2:A374,A374)&gt;1,"Duplicate",""))</f>
        <v/>
      </c>
      <c r="K374" s="36" t="str">
        <f aca="false">IF(Raw_Export!$A374="","",IF(J374="Duplicate","Duplicate",IF(OR(C374="UNMAPPED",D374="UNMAPPED"),"Unmapped",IF(F374=0,"Blank qty",IF(F374&lt;0,"Return","OK")))))</f>
        <v>OK</v>
      </c>
      <c r="L374" s="36" t="n">
        <f aca="false">IF(Raw_Export!$A374="","",IF(OR(K374="OK",K374="Return"),1,0))</f>
        <v>1</v>
      </c>
      <c r="M374" s="37" t="n">
        <f aca="false">IF(Raw_Export!$A374="","",B374-WEEKDAY(B374,2)+1)</f>
        <v>46265</v>
      </c>
    </row>
    <row r="375" customFormat="false" ht="15" hidden="false" customHeight="false" outlineLevel="0" collapsed="false">
      <c r="A375" s="36" t="str">
        <f aca="false">IF(Raw_Export!$A375="","",TRIM(Raw_Export!A375))</f>
        <v>TXN-100368</v>
      </c>
      <c r="B375" s="37" t="n">
        <f aca="false">IF(Raw_Export!$A375="","",IF(ISNUMBER(Raw_Export!B375),Raw_Export!B375,IF(MID(TRIM(Raw_Export!B375),5,1)="-",DATE(LEFT(TRIM(Raw_Export!B375),4),MID(TRIM(Raw_Export!B375),6,2),RIGHT(TRIM(Raw_Export!B375),2)),DATE(RIGHT(TRIM(Raw_Export!B375),4),MATCH(MID(TRIM(Raw_Export!B375),4,3),{"Jan","Feb","Mar","Apr","May","Jun","Jul","Aug","Sep","Oct","Nov","Dec"},0),LEFT(TRIM(Raw_Export!B375),2)))))</f>
        <v>46267</v>
      </c>
      <c r="C375" s="36" t="str">
        <f aca="false">IF(Raw_Export!$A375="","",IFERROR(VLOOKUP(LOWER(TRIM(Raw_Export!C375)),Maps!$A$2:$B$20,2,FALSE()),"UNMAPPED"))</f>
        <v>Nakuru</v>
      </c>
      <c r="D375" s="36" t="str">
        <f aca="false">IF(Raw_Export!$A375="","",IFERROR(VLOOKUP(LOWER(TRIM(Raw_Export!D375)),Maps!$G$2:$I$80,2,FALSE()),"UNMAPPED"))</f>
        <v>Matches 10pk</v>
      </c>
      <c r="E375" s="36" t="str">
        <f aca="false">IF(Raw_Export!$A375="","",IFERROR(VLOOKUP(LOWER(TRIM(Raw_Export!D375)),Maps!$G$2:$I$80,3,FALSE()),"UNMAPPED"))</f>
        <v>Household</v>
      </c>
      <c r="F375" s="36" t="n">
        <f aca="false">IF(Raw_Export!$A375="","",IFERROR(VALUE(TRIM(Raw_Export!E375)),0))</f>
        <v>1</v>
      </c>
      <c r="G375" s="38" t="n">
        <f aca="false">IF(Raw_Export!$A375="","",IFERROR(VALUE(SUBSTITUTE(SUBSTITUTE(UPPER(TRIM(Raw_Export!F375)),"KES",""),",","")),0))</f>
        <v>45</v>
      </c>
      <c r="H375" s="38" t="n">
        <f aca="false">IF(Raw_Export!$A375="","",F375*G375)</f>
        <v>45</v>
      </c>
      <c r="I375" s="36" t="str">
        <f aca="false">IF(Raw_Export!$A375="","",IFERROR(VLOOKUP(LOWER(TRIM(Raw_Export!H375)),Maps!$D$2:$E$12,2,FALSE()),"Other"))</f>
        <v>Cash</v>
      </c>
      <c r="J375" s="36" t="str">
        <f aca="false">IF(Raw_Export!$A375="","",IF(COUNTIF($A$2:A375,A375)&gt;1,"Duplicate",""))</f>
        <v/>
      </c>
      <c r="K375" s="36" t="str">
        <f aca="false">IF(Raw_Export!$A375="","",IF(J375="Duplicate","Duplicate",IF(OR(C375="UNMAPPED",D375="UNMAPPED"),"Unmapped",IF(F375=0,"Blank qty",IF(F375&lt;0,"Return","OK")))))</f>
        <v>OK</v>
      </c>
      <c r="L375" s="36" t="n">
        <f aca="false">IF(Raw_Export!$A375="","",IF(OR(K375="OK",K375="Return"),1,0))</f>
        <v>1</v>
      </c>
      <c r="M375" s="37" t="n">
        <f aca="false">IF(Raw_Export!$A375="","",B375-WEEKDAY(B375,2)+1)</f>
        <v>46265</v>
      </c>
    </row>
    <row r="376" customFormat="false" ht="15" hidden="false" customHeight="false" outlineLevel="0" collapsed="false">
      <c r="A376" s="36" t="str">
        <f aca="false">IF(Raw_Export!$A376="","",TRIM(Raw_Export!A376))</f>
        <v>TXN-100369</v>
      </c>
      <c r="B376" s="37" t="n">
        <f aca="false">IF(Raw_Export!$A376="","",IF(ISNUMBER(Raw_Export!B376),Raw_Export!B376,IF(MID(TRIM(Raw_Export!B376),5,1)="-",DATE(LEFT(TRIM(Raw_Export!B376),4),MID(TRIM(Raw_Export!B376),6,2),RIGHT(TRIM(Raw_Export!B376),2)),DATE(RIGHT(TRIM(Raw_Export!B376),4),MATCH(MID(TRIM(Raw_Export!B376),4,3),{"Jan","Feb","Mar","Apr","May","Jun","Jul","Aug","Sep","Oct","Nov","Dec"},0),LEFT(TRIM(Raw_Export!B376),2)))))</f>
        <v>46267</v>
      </c>
      <c r="C376" s="36" t="str">
        <f aca="false">IF(Raw_Export!$A376="","",IFERROR(VLOOKUP(LOWER(TRIM(Raw_Export!C376)),Maps!$A$2:$B$20,2,FALSE()),"UNMAPPED"))</f>
        <v>Nakuru</v>
      </c>
      <c r="D376" s="36" t="str">
        <f aca="false">IF(Raw_Export!$A376="","",IFERROR(VLOOKUP(LOWER(TRIM(Raw_Export!D376)),Maps!$G$2:$I$80,2,FALSE()),"UNMAPPED"))</f>
        <v>Rice Pishori 2kg</v>
      </c>
      <c r="E376" s="36" t="str">
        <f aca="false">IF(Raw_Export!$A376="","",IFERROR(VLOOKUP(LOWER(TRIM(Raw_Export!D376)),Maps!$G$2:$I$80,3,FALSE()),"UNMAPPED"))</f>
        <v>Staples</v>
      </c>
      <c r="F376" s="36" t="n">
        <f aca="false">IF(Raw_Export!$A376="","",IFERROR(VALUE(TRIM(Raw_Export!E376)),0))</f>
        <v>4</v>
      </c>
      <c r="G376" s="38" t="n">
        <f aca="false">IF(Raw_Export!$A376="","",IFERROR(VALUE(SUBSTITUTE(SUBSTITUTE(UPPER(TRIM(Raw_Export!F376)),"KES",""),",","")),0))</f>
        <v>420</v>
      </c>
      <c r="H376" s="38" t="n">
        <f aca="false">IF(Raw_Export!$A376="","",F376*G376)</f>
        <v>1680</v>
      </c>
      <c r="I376" s="36" t="str">
        <f aca="false">IF(Raw_Export!$A376="","",IFERROR(VLOOKUP(LOWER(TRIM(Raw_Export!H376)),Maps!$D$2:$E$12,2,FALSE()),"Other"))</f>
        <v>M-Pesa</v>
      </c>
      <c r="J376" s="36" t="str">
        <f aca="false">IF(Raw_Export!$A376="","",IF(COUNTIF($A$2:A376,A376)&gt;1,"Duplicate",""))</f>
        <v/>
      </c>
      <c r="K376" s="36" t="str">
        <f aca="false">IF(Raw_Export!$A376="","",IF(J376="Duplicate","Duplicate",IF(OR(C376="UNMAPPED",D376="UNMAPPED"),"Unmapped",IF(F376=0,"Blank qty",IF(F376&lt;0,"Return","OK")))))</f>
        <v>OK</v>
      </c>
      <c r="L376" s="36" t="n">
        <f aca="false">IF(Raw_Export!$A376="","",IF(OR(K376="OK",K376="Return"),1,0))</f>
        <v>1</v>
      </c>
      <c r="M376" s="37" t="n">
        <f aca="false">IF(Raw_Export!$A376="","",B376-WEEKDAY(B376,2)+1)</f>
        <v>46265</v>
      </c>
    </row>
    <row r="377" customFormat="false" ht="15" hidden="false" customHeight="false" outlineLevel="0" collapsed="false">
      <c r="A377" s="36" t="str">
        <f aca="false">IF(Raw_Export!$A377="","",TRIM(Raw_Export!A377))</f>
        <v>TXN-100370</v>
      </c>
      <c r="B377" s="37" t="n">
        <f aca="false">IF(Raw_Export!$A377="","",IF(ISNUMBER(Raw_Export!B377),Raw_Export!B377,IF(MID(TRIM(Raw_Export!B377),5,1)="-",DATE(LEFT(TRIM(Raw_Export!B377),4),MID(TRIM(Raw_Export!B377),6,2),RIGHT(TRIM(Raw_Export!B377),2)),DATE(RIGHT(TRIM(Raw_Export!B377),4),MATCH(MID(TRIM(Raw_Export!B377),4,3),{"Jan","Feb","Mar","Apr","May","Jun","Jul","Aug","Sep","Oct","Nov","Dec"},0),LEFT(TRIM(Raw_Export!B377),2)))))</f>
        <v>46267</v>
      </c>
      <c r="C377" s="36" t="str">
        <f aca="false">IF(Raw_Export!$A377="","",IFERROR(VLOOKUP(LOWER(TRIM(Raw_Export!C377)),Maps!$A$2:$B$20,2,FALSE()),"UNMAPPED"))</f>
        <v>Nakuru</v>
      </c>
      <c r="D377" s="36" t="str">
        <f aca="false">IF(Raw_Export!$A377="","",IFERROR(VLOOKUP(LOWER(TRIM(Raw_Export!D377)),Maps!$G$2:$I$80,2,FALSE()),"UNMAPPED"))</f>
        <v>Eggs Tray 30</v>
      </c>
      <c r="E377" s="36" t="str">
        <f aca="false">IF(Raw_Export!$A377="","",IFERROR(VLOOKUP(LOWER(TRIM(Raw_Export!D377)),Maps!$G$2:$I$80,3,FALSE()),"UNMAPPED"))</f>
        <v>Dairy &amp; Eggs</v>
      </c>
      <c r="F377" s="36" t="n">
        <f aca="false">IF(Raw_Export!$A377="","",IFERROR(VALUE(TRIM(Raw_Export!E377)),0))</f>
        <v>1</v>
      </c>
      <c r="G377" s="38" t="n">
        <f aca="false">IF(Raw_Export!$A377="","",IFERROR(VALUE(SUBSTITUTE(SUBSTITUTE(UPPER(TRIM(Raw_Export!F377)),"KES",""),",","")),0))</f>
        <v>450</v>
      </c>
      <c r="H377" s="38" t="n">
        <f aca="false">IF(Raw_Export!$A377="","",F377*G377)</f>
        <v>450</v>
      </c>
      <c r="I377" s="36" t="str">
        <f aca="false">IF(Raw_Export!$A377="","",IFERROR(VLOOKUP(LOWER(TRIM(Raw_Export!H377)),Maps!$D$2:$E$12,2,FALSE()),"Other"))</f>
        <v>M-Pesa</v>
      </c>
      <c r="J377" s="36" t="str">
        <f aca="false">IF(Raw_Export!$A377="","",IF(COUNTIF($A$2:A377,A377)&gt;1,"Duplicate",""))</f>
        <v/>
      </c>
      <c r="K377" s="36" t="str">
        <f aca="false">IF(Raw_Export!$A377="","",IF(J377="Duplicate","Duplicate",IF(OR(C377="UNMAPPED",D377="UNMAPPED"),"Unmapped",IF(F377=0,"Blank qty",IF(F377&lt;0,"Return","OK")))))</f>
        <v>OK</v>
      </c>
      <c r="L377" s="36" t="n">
        <f aca="false">IF(Raw_Export!$A377="","",IF(OR(K377="OK",K377="Return"),1,0))</f>
        <v>1</v>
      </c>
      <c r="M377" s="37" t="n">
        <f aca="false">IF(Raw_Export!$A377="","",B377-WEEKDAY(B377,2)+1)</f>
        <v>46265</v>
      </c>
    </row>
    <row r="378" customFormat="false" ht="15" hidden="false" customHeight="false" outlineLevel="0" collapsed="false">
      <c r="A378" s="36" t="str">
        <f aca="false">IF(Raw_Export!$A378="","",TRIM(Raw_Export!A378))</f>
        <v>TXN-100371</v>
      </c>
      <c r="B378" s="37" t="n">
        <f aca="false">IF(Raw_Export!$A378="","",IF(ISNUMBER(Raw_Export!B378),Raw_Export!B378,IF(MID(TRIM(Raw_Export!B378),5,1)="-",DATE(LEFT(TRIM(Raw_Export!B378),4),MID(TRIM(Raw_Export!B378),6,2),RIGHT(TRIM(Raw_Export!B378),2)),DATE(RIGHT(TRIM(Raw_Export!B378),4),MATCH(MID(TRIM(Raw_Export!B378),4,3),{"Jan","Feb","Mar","Apr","May","Jun","Jul","Aug","Sep","Oct","Nov","Dec"},0),LEFT(TRIM(Raw_Export!B378),2)))))</f>
        <v>46267</v>
      </c>
      <c r="C378" s="36" t="str">
        <f aca="false">IF(Raw_Export!$A378="","",IFERROR(VLOOKUP(LOWER(TRIM(Raw_Export!C378)),Maps!$A$2:$B$20,2,FALSE()),"UNMAPPED"))</f>
        <v>Nakuru</v>
      </c>
      <c r="D378" s="36" t="str">
        <f aca="false">IF(Raw_Export!$A378="","",IFERROR(VLOOKUP(LOWER(TRIM(Raw_Export!D378)),Maps!$G$2:$I$80,2,FALSE()),"UNMAPPED"))</f>
        <v>Matches 10pk</v>
      </c>
      <c r="E378" s="36" t="str">
        <f aca="false">IF(Raw_Export!$A378="","",IFERROR(VLOOKUP(LOWER(TRIM(Raw_Export!D378)),Maps!$G$2:$I$80,3,FALSE()),"UNMAPPED"))</f>
        <v>Household</v>
      </c>
      <c r="F378" s="36" t="n">
        <f aca="false">IF(Raw_Export!$A378="","",IFERROR(VALUE(TRIM(Raw_Export!E378)),0))</f>
        <v>6</v>
      </c>
      <c r="G378" s="38" t="n">
        <f aca="false">IF(Raw_Export!$A378="","",IFERROR(VALUE(SUBSTITUTE(SUBSTITUTE(UPPER(TRIM(Raw_Export!F378)),"KES",""),",","")),0))</f>
        <v>50</v>
      </c>
      <c r="H378" s="38" t="n">
        <f aca="false">IF(Raw_Export!$A378="","",F378*G378)</f>
        <v>300</v>
      </c>
      <c r="I378" s="36" t="str">
        <f aca="false">IF(Raw_Export!$A378="","",IFERROR(VLOOKUP(LOWER(TRIM(Raw_Export!H378)),Maps!$D$2:$E$12,2,FALSE()),"Other"))</f>
        <v>M-Pesa</v>
      </c>
      <c r="J378" s="36" t="str">
        <f aca="false">IF(Raw_Export!$A378="","",IF(COUNTIF($A$2:A378,A378)&gt;1,"Duplicate",""))</f>
        <v/>
      </c>
      <c r="K378" s="36" t="str">
        <f aca="false">IF(Raw_Export!$A378="","",IF(J378="Duplicate","Duplicate",IF(OR(C378="UNMAPPED",D378="UNMAPPED"),"Unmapped",IF(F378=0,"Blank qty",IF(F378&lt;0,"Return","OK")))))</f>
        <v>OK</v>
      </c>
      <c r="L378" s="36" t="n">
        <f aca="false">IF(Raw_Export!$A378="","",IF(OR(K378="OK",K378="Return"),1,0))</f>
        <v>1</v>
      </c>
      <c r="M378" s="37" t="n">
        <f aca="false">IF(Raw_Export!$A378="","",B378-WEEKDAY(B378,2)+1)</f>
        <v>46265</v>
      </c>
    </row>
    <row r="379" customFormat="false" ht="15" hidden="false" customHeight="false" outlineLevel="0" collapsed="false">
      <c r="A379" s="36" t="str">
        <f aca="false">IF(Raw_Export!$A379="","",TRIM(Raw_Export!A379))</f>
        <v>TXN-100372</v>
      </c>
      <c r="B379" s="37" t="n">
        <f aca="false">IF(Raw_Export!$A379="","",IF(ISNUMBER(Raw_Export!B379),Raw_Export!B379,IF(MID(TRIM(Raw_Export!B379),5,1)="-",DATE(LEFT(TRIM(Raw_Export!B379),4),MID(TRIM(Raw_Export!B379),6,2),RIGHT(TRIM(Raw_Export!B379),2)),DATE(RIGHT(TRIM(Raw_Export!B379),4),MATCH(MID(TRIM(Raw_Export!B379),4,3),{"Jan","Feb","Mar","Apr","May","Jun","Jul","Aug","Sep","Oct","Nov","Dec"},0),LEFT(TRIM(Raw_Export!B379),2)))))</f>
        <v>46267</v>
      </c>
      <c r="C379" s="36" t="str">
        <f aca="false">IF(Raw_Export!$A379="","",IFERROR(VLOOKUP(LOWER(TRIM(Raw_Export!C379)),Maps!$A$2:$B$20,2,FALSE()),"UNMAPPED"))</f>
        <v>Nakuru</v>
      </c>
      <c r="D379" s="36" t="str">
        <f aca="false">IF(Raw_Export!$A379="","",IFERROR(VLOOKUP(LOWER(TRIM(Raw_Export!D379)),Maps!$G$2:$I$80,2,FALSE()),"UNMAPPED"))</f>
        <v>Eggs Tray 30</v>
      </c>
      <c r="E379" s="36" t="str">
        <f aca="false">IF(Raw_Export!$A379="","",IFERROR(VLOOKUP(LOWER(TRIM(Raw_Export!D379)),Maps!$G$2:$I$80,3,FALSE()),"UNMAPPED"))</f>
        <v>Dairy &amp; Eggs</v>
      </c>
      <c r="F379" s="36" t="n">
        <f aca="false">IF(Raw_Export!$A379="","",IFERROR(VALUE(TRIM(Raw_Export!E379)),0))</f>
        <v>3</v>
      </c>
      <c r="G379" s="38" t="n">
        <f aca="false">IF(Raw_Export!$A379="","",IFERROR(VALUE(SUBSTITUTE(SUBSTITUTE(UPPER(TRIM(Raw_Export!F379)),"KES",""),",","")),0))</f>
        <v>450</v>
      </c>
      <c r="H379" s="38" t="n">
        <f aca="false">IF(Raw_Export!$A379="","",F379*G379)</f>
        <v>1350</v>
      </c>
      <c r="I379" s="36" t="str">
        <f aca="false">IF(Raw_Export!$A379="","",IFERROR(VLOOKUP(LOWER(TRIM(Raw_Export!H379)),Maps!$D$2:$E$12,2,FALSE()),"Other"))</f>
        <v>Cash</v>
      </c>
      <c r="J379" s="36" t="str">
        <f aca="false">IF(Raw_Export!$A379="","",IF(COUNTIF($A$2:A379,A379)&gt;1,"Duplicate",""))</f>
        <v/>
      </c>
      <c r="K379" s="36" t="str">
        <f aca="false">IF(Raw_Export!$A379="","",IF(J379="Duplicate","Duplicate",IF(OR(C379="UNMAPPED",D379="UNMAPPED"),"Unmapped",IF(F379=0,"Blank qty",IF(F379&lt;0,"Return","OK")))))</f>
        <v>OK</v>
      </c>
      <c r="L379" s="36" t="n">
        <f aca="false">IF(Raw_Export!$A379="","",IF(OR(K379="OK",K379="Return"),1,0))</f>
        <v>1</v>
      </c>
      <c r="M379" s="37" t="n">
        <f aca="false">IF(Raw_Export!$A379="","",B379-WEEKDAY(B379,2)+1)</f>
        <v>46265</v>
      </c>
    </row>
    <row r="380" customFormat="false" ht="15" hidden="false" customHeight="false" outlineLevel="0" collapsed="false">
      <c r="A380" s="36" t="str">
        <f aca="false">IF(Raw_Export!$A380="","",TRIM(Raw_Export!A380))</f>
        <v>TXN-100373</v>
      </c>
      <c r="B380" s="37" t="n">
        <f aca="false">IF(Raw_Export!$A380="","",IF(ISNUMBER(Raw_Export!B380),Raw_Export!B380,IF(MID(TRIM(Raw_Export!B380),5,1)="-",DATE(LEFT(TRIM(Raw_Export!B380),4),MID(TRIM(Raw_Export!B380),6,2),RIGHT(TRIM(Raw_Export!B380),2)),DATE(RIGHT(TRIM(Raw_Export!B380),4),MATCH(MID(TRIM(Raw_Export!B380),4,3),{"Jan","Feb","Mar","Apr","May","Jun","Jul","Aug","Sep","Oct","Nov","Dec"},0),LEFT(TRIM(Raw_Export!B380),2)))))</f>
        <v>46267</v>
      </c>
      <c r="C380" s="36" t="str">
        <f aca="false">IF(Raw_Export!$A380="","",IFERROR(VLOOKUP(LOWER(TRIM(Raw_Export!C380)),Maps!$A$2:$B$20,2,FALSE()),"UNMAPPED"))</f>
        <v>Nakuru</v>
      </c>
      <c r="D380" s="36" t="str">
        <f aca="false">IF(Raw_Export!$A380="","",IFERROR(VLOOKUP(LOWER(TRIM(Raw_Export!D380)),Maps!$G$2:$I$80,2,FALSE()),"UNMAPPED"))</f>
        <v>Salt 500g</v>
      </c>
      <c r="E380" s="36" t="str">
        <f aca="false">IF(Raw_Export!$A380="","",IFERROR(VLOOKUP(LOWER(TRIM(Raw_Export!D380)),Maps!$G$2:$I$80,3,FALSE()),"UNMAPPED"))</f>
        <v>Staples</v>
      </c>
      <c r="F380" s="36" t="n">
        <f aca="false">IF(Raw_Export!$A380="","",IFERROR(VALUE(TRIM(Raw_Export!E380)),0))</f>
        <v>4</v>
      </c>
      <c r="G380" s="38" t="n">
        <f aca="false">IF(Raw_Export!$A380="","",IFERROR(VALUE(SUBSTITUTE(SUBSTITUTE(UPPER(TRIM(Raw_Export!F380)),"KES",""),",","")),0))</f>
        <v>40</v>
      </c>
      <c r="H380" s="38" t="n">
        <f aca="false">IF(Raw_Export!$A380="","",F380*G380)</f>
        <v>160</v>
      </c>
      <c r="I380" s="36" t="str">
        <f aca="false">IF(Raw_Export!$A380="","",IFERROR(VLOOKUP(LOWER(TRIM(Raw_Export!H380)),Maps!$D$2:$E$12,2,FALSE()),"Other"))</f>
        <v>M-Pesa</v>
      </c>
      <c r="J380" s="36" t="str">
        <f aca="false">IF(Raw_Export!$A380="","",IF(COUNTIF($A$2:A380,A380)&gt;1,"Duplicate",""))</f>
        <v/>
      </c>
      <c r="K380" s="36" t="str">
        <f aca="false">IF(Raw_Export!$A380="","",IF(J380="Duplicate","Duplicate",IF(OR(C380="UNMAPPED",D380="UNMAPPED"),"Unmapped",IF(F380=0,"Blank qty",IF(F380&lt;0,"Return","OK")))))</f>
        <v>OK</v>
      </c>
      <c r="L380" s="36" t="n">
        <f aca="false">IF(Raw_Export!$A380="","",IF(OR(K380="OK",K380="Return"),1,0))</f>
        <v>1</v>
      </c>
      <c r="M380" s="37" t="n">
        <f aca="false">IF(Raw_Export!$A380="","",B380-WEEKDAY(B380,2)+1)</f>
        <v>46265</v>
      </c>
    </row>
    <row r="381" customFormat="false" ht="15" hidden="false" customHeight="false" outlineLevel="0" collapsed="false">
      <c r="A381" s="36" t="str">
        <f aca="false">IF(Raw_Export!$A381="","",TRIM(Raw_Export!A381))</f>
        <v>TXN-100374</v>
      </c>
      <c r="B381" s="37" t="n">
        <f aca="false">IF(Raw_Export!$A381="","",IF(ISNUMBER(Raw_Export!B381),Raw_Export!B381,IF(MID(TRIM(Raw_Export!B381),5,1)="-",DATE(LEFT(TRIM(Raw_Export!B381),4),MID(TRIM(Raw_Export!B381),6,2),RIGHT(TRIM(Raw_Export!B381),2)),DATE(RIGHT(TRIM(Raw_Export!B381),4),MATCH(MID(TRIM(Raw_Export!B381),4,3),{"Jan","Feb","Mar","Apr","May","Jun","Jul","Aug","Sep","Oct","Nov","Dec"},0),LEFT(TRIM(Raw_Export!B381),2)))))</f>
        <v>46267</v>
      </c>
      <c r="C381" s="36" t="str">
        <f aca="false">IF(Raw_Export!$A381="","",IFERROR(VLOOKUP(LOWER(TRIM(Raw_Export!C381)),Maps!$A$2:$B$20,2,FALSE()),"UNMAPPED"))</f>
        <v>Nakuru</v>
      </c>
      <c r="D381" s="36" t="str">
        <f aca="false">IF(Raw_Export!$A381="","",IFERROR(VLOOKUP(LOWER(TRIM(Raw_Export!D381)),Maps!$G$2:$I$80,2,FALSE()),"UNMAPPED"))</f>
        <v>Soda 500ml</v>
      </c>
      <c r="E381" s="36" t="str">
        <f aca="false">IF(Raw_Export!$A381="","",IFERROR(VLOOKUP(LOWER(TRIM(Raw_Export!D381)),Maps!$G$2:$I$80,3,FALSE()),"UNMAPPED"))</f>
        <v>Beverages</v>
      </c>
      <c r="F381" s="36" t="n">
        <f aca="false">IF(Raw_Export!$A381="","",IFERROR(VALUE(TRIM(Raw_Export!E381)),0))</f>
        <v>3</v>
      </c>
      <c r="G381" s="38" t="n">
        <f aca="false">IF(Raw_Export!$A381="","",IFERROR(VALUE(SUBSTITUTE(SUBSTITUTE(UPPER(TRIM(Raw_Export!F381)),"KES",""),",","")),0))</f>
        <v>60</v>
      </c>
      <c r="H381" s="38" t="n">
        <f aca="false">IF(Raw_Export!$A381="","",F381*G381)</f>
        <v>180</v>
      </c>
      <c r="I381" s="36" t="str">
        <f aca="false">IF(Raw_Export!$A381="","",IFERROR(VLOOKUP(LOWER(TRIM(Raw_Export!H381)),Maps!$D$2:$E$12,2,FALSE()),"Other"))</f>
        <v>M-Pesa</v>
      </c>
      <c r="J381" s="36" t="str">
        <f aca="false">IF(Raw_Export!$A381="","",IF(COUNTIF($A$2:A381,A381)&gt;1,"Duplicate",""))</f>
        <v/>
      </c>
      <c r="K381" s="36" t="str">
        <f aca="false">IF(Raw_Export!$A381="","",IF(J381="Duplicate","Duplicate",IF(OR(C381="UNMAPPED",D381="UNMAPPED"),"Unmapped",IF(F381=0,"Blank qty",IF(F381&lt;0,"Return","OK")))))</f>
        <v>OK</v>
      </c>
      <c r="L381" s="36" t="n">
        <f aca="false">IF(Raw_Export!$A381="","",IF(OR(K381="OK",K381="Return"),1,0))</f>
        <v>1</v>
      </c>
      <c r="M381" s="37" t="n">
        <f aca="false">IF(Raw_Export!$A381="","",B381-WEEKDAY(B381,2)+1)</f>
        <v>46265</v>
      </c>
    </row>
    <row r="382" customFormat="false" ht="15" hidden="false" customHeight="false" outlineLevel="0" collapsed="false">
      <c r="A382" s="36" t="str">
        <f aca="false">IF(Raw_Export!$A382="","",TRIM(Raw_Export!A382))</f>
        <v>TXN-100375</v>
      </c>
      <c r="B382" s="37" t="n">
        <f aca="false">IF(Raw_Export!$A382="","",IF(ISNUMBER(Raw_Export!B382),Raw_Export!B382,IF(MID(TRIM(Raw_Export!B382),5,1)="-",DATE(LEFT(TRIM(Raw_Export!B382),4),MID(TRIM(Raw_Export!B382),6,2),RIGHT(TRIM(Raw_Export!B382),2)),DATE(RIGHT(TRIM(Raw_Export!B382),4),MATCH(MID(TRIM(Raw_Export!B382),4,3),{"Jan","Feb","Mar","Apr","May","Jun","Jul","Aug","Sep","Oct","Nov","Dec"},0),LEFT(TRIM(Raw_Export!B382),2)))))</f>
        <v>46267</v>
      </c>
      <c r="C382" s="36" t="str">
        <f aca="false">IF(Raw_Export!$A382="","",IFERROR(VLOOKUP(LOWER(TRIM(Raw_Export!C382)),Maps!$A$2:$B$20,2,FALSE()),"UNMAPPED"))</f>
        <v>Nakuru</v>
      </c>
      <c r="D382" s="36" t="str">
        <f aca="false">IF(Raw_Export!$A382="","",IFERROR(VLOOKUP(LOWER(TRIM(Raw_Export!D382)),Maps!$G$2:$I$80,2,FALSE()),"UNMAPPED"))</f>
        <v>Cheddar 200g</v>
      </c>
      <c r="E382" s="36" t="str">
        <f aca="false">IF(Raw_Export!$A382="","",IFERROR(VLOOKUP(LOWER(TRIM(Raw_Export!D382)),Maps!$G$2:$I$80,3,FALSE()),"UNMAPPED"))</f>
        <v>Dairy &amp; Eggs</v>
      </c>
      <c r="F382" s="36" t="n">
        <f aca="false">IF(Raw_Export!$A382="","",IFERROR(VALUE(TRIM(Raw_Export!E382)),0))</f>
        <v>4</v>
      </c>
      <c r="G382" s="38" t="n">
        <f aca="false">IF(Raw_Export!$A382="","",IFERROR(VALUE(SUBSTITUTE(SUBSTITUTE(UPPER(TRIM(Raw_Export!F382)),"KES",""),",","")),0))</f>
        <v>380</v>
      </c>
      <c r="H382" s="38" t="n">
        <f aca="false">IF(Raw_Export!$A382="","",F382*G382)</f>
        <v>1520</v>
      </c>
      <c r="I382" s="36" t="str">
        <f aca="false">IF(Raw_Export!$A382="","",IFERROR(VLOOKUP(LOWER(TRIM(Raw_Export!H382)),Maps!$D$2:$E$12,2,FALSE()),"Other"))</f>
        <v>Cash</v>
      </c>
      <c r="J382" s="36" t="str">
        <f aca="false">IF(Raw_Export!$A382="","",IF(COUNTIF($A$2:A382,A382)&gt;1,"Duplicate",""))</f>
        <v/>
      </c>
      <c r="K382" s="36" t="str">
        <f aca="false">IF(Raw_Export!$A382="","",IF(J382="Duplicate","Duplicate",IF(OR(C382="UNMAPPED",D382="UNMAPPED"),"Unmapped",IF(F382=0,"Blank qty",IF(F382&lt;0,"Return","OK")))))</f>
        <v>OK</v>
      </c>
      <c r="L382" s="36" t="n">
        <f aca="false">IF(Raw_Export!$A382="","",IF(OR(K382="OK",K382="Return"),1,0))</f>
        <v>1</v>
      </c>
      <c r="M382" s="37" t="n">
        <f aca="false">IF(Raw_Export!$A382="","",B382-WEEKDAY(B382,2)+1)</f>
        <v>46265</v>
      </c>
    </row>
    <row r="383" customFormat="false" ht="15" hidden="false" customHeight="false" outlineLevel="0" collapsed="false">
      <c r="A383" s="36" t="str">
        <f aca="false">IF(Raw_Export!$A383="","",TRIM(Raw_Export!A383))</f>
        <v>TXN-100654</v>
      </c>
      <c r="B383" s="37" t="n">
        <f aca="false">IF(Raw_Export!$A383="","",IF(ISNUMBER(Raw_Export!B383),Raw_Export!B383,IF(MID(TRIM(Raw_Export!B383),5,1)="-",DATE(LEFT(TRIM(Raw_Export!B383),4),MID(TRIM(Raw_Export!B383),6,2),RIGHT(TRIM(Raw_Export!B383),2)),DATE(RIGHT(TRIM(Raw_Export!B383),4),MATCH(MID(TRIM(Raw_Export!B383),4,3),{"Jan","Feb","Mar","Apr","May","Jun","Jul","Aug","Sep","Oct","Nov","Dec"},0),LEFT(TRIM(Raw_Export!B383),2)))))</f>
        <v>46269</v>
      </c>
      <c r="C383" s="36" t="str">
        <f aca="false">IF(Raw_Export!$A383="","",IFERROR(VLOOKUP(LOWER(TRIM(Raw_Export!C383)),Maps!$A$2:$B$20,2,FALSE()),"UNMAPPED"))</f>
        <v>Kisumu</v>
      </c>
      <c r="D383" s="36" t="str">
        <f aca="false">IF(Raw_Export!$A383="","",IFERROR(VLOOKUP(LOWER(TRIM(Raw_Export!D383)),Maps!$G$2:$I$80,2,FALSE()),"UNMAPPED"))</f>
        <v>Peanuts 250g</v>
      </c>
      <c r="E383" s="36" t="str">
        <f aca="false">IF(Raw_Export!$A383="","",IFERROR(VLOOKUP(LOWER(TRIM(Raw_Export!D383)),Maps!$G$2:$I$80,3,FALSE()),"UNMAPPED"))</f>
        <v>Snacks</v>
      </c>
      <c r="F383" s="36" t="n">
        <f aca="false">IF(Raw_Export!$A383="","",IFERROR(VALUE(TRIM(Raw_Export!E383)),0))</f>
        <v>1</v>
      </c>
      <c r="G383" s="38" t="n">
        <f aca="false">IF(Raw_Export!$A383="","",IFERROR(VALUE(SUBSTITUTE(SUBSTITUTE(UPPER(TRIM(Raw_Export!F383)),"KES",""),",","")),0))</f>
        <v>130</v>
      </c>
      <c r="H383" s="38" t="n">
        <f aca="false">IF(Raw_Export!$A383="","",F383*G383)</f>
        <v>130</v>
      </c>
      <c r="I383" s="36" t="str">
        <f aca="false">IF(Raw_Export!$A383="","",IFERROR(VLOOKUP(LOWER(TRIM(Raw_Export!H383)),Maps!$D$2:$E$12,2,FALSE()),"Other"))</f>
        <v>Cash</v>
      </c>
      <c r="J383" s="36" t="str">
        <f aca="false">IF(Raw_Export!$A383="","",IF(COUNTIF($A$2:A383,A383)&gt;1,"Duplicate",""))</f>
        <v/>
      </c>
      <c r="K383" s="36" t="str">
        <f aca="false">IF(Raw_Export!$A383="","",IF(J383="Duplicate","Duplicate",IF(OR(C383="UNMAPPED",D383="UNMAPPED"),"Unmapped",IF(F383=0,"Blank qty",IF(F383&lt;0,"Return","OK")))))</f>
        <v>OK</v>
      </c>
      <c r="L383" s="36" t="n">
        <f aca="false">IF(Raw_Export!$A383="","",IF(OR(K383="OK",K383="Return"),1,0))</f>
        <v>1</v>
      </c>
      <c r="M383" s="37" t="n">
        <f aca="false">IF(Raw_Export!$A383="","",B383-WEEKDAY(B383,2)+1)</f>
        <v>46265</v>
      </c>
    </row>
    <row r="384" customFormat="false" ht="15" hidden="false" customHeight="false" outlineLevel="0" collapsed="false">
      <c r="A384" s="36" t="str">
        <f aca="false">IF(Raw_Export!$A384="","",TRIM(Raw_Export!A384))</f>
        <v>TXN-100376</v>
      </c>
      <c r="B384" s="37" t="n">
        <f aca="false">IF(Raw_Export!$A384="","",IF(ISNUMBER(Raw_Export!B384),Raw_Export!B384,IF(MID(TRIM(Raw_Export!B384),5,1)="-",DATE(LEFT(TRIM(Raw_Export!B384),4),MID(TRIM(Raw_Export!B384),6,2),RIGHT(TRIM(Raw_Export!B384),2)),DATE(RIGHT(TRIM(Raw_Export!B384),4),MATCH(MID(TRIM(Raw_Export!B384),4,3),{"Jan","Feb","Mar","Apr","May","Jun","Jul","Aug","Sep","Oct","Nov","Dec"},0),LEFT(TRIM(Raw_Export!B384),2)))))</f>
        <v>46267</v>
      </c>
      <c r="C384" s="36" t="str">
        <f aca="false">IF(Raw_Export!$A384="","",IFERROR(VLOOKUP(LOWER(TRIM(Raw_Export!C384)),Maps!$A$2:$B$20,2,FALSE()),"UNMAPPED"))</f>
        <v>Nakuru</v>
      </c>
      <c r="D384" s="36" t="str">
        <f aca="false">IF(Raw_Export!$A384="","",IFERROR(VLOOKUP(LOWER(TRIM(Raw_Export!D384)),Maps!$G$2:$I$80,2,FALSE()),"UNMAPPED"))</f>
        <v>Washing Powder 1kg</v>
      </c>
      <c r="E384" s="36" t="str">
        <f aca="false">IF(Raw_Export!$A384="","",IFERROR(VLOOKUP(LOWER(TRIM(Raw_Export!D384)),Maps!$G$2:$I$80,3,FALSE()),"UNMAPPED"))</f>
        <v>Household</v>
      </c>
      <c r="F384" s="36" t="n">
        <f aca="false">IF(Raw_Export!$A384="","",IFERROR(VALUE(TRIM(Raw_Export!E384)),0))</f>
        <v>2</v>
      </c>
      <c r="G384" s="38" t="n">
        <f aca="false">IF(Raw_Export!$A384="","",IFERROR(VALUE(SUBSTITUTE(SUBSTITUTE(UPPER(TRIM(Raw_Export!F384)),"KES",""),",","")),0))</f>
        <v>280</v>
      </c>
      <c r="H384" s="38" t="n">
        <f aca="false">IF(Raw_Export!$A384="","",F384*G384)</f>
        <v>560</v>
      </c>
      <c r="I384" s="36" t="str">
        <f aca="false">IF(Raw_Export!$A384="","",IFERROR(VLOOKUP(LOWER(TRIM(Raw_Export!H384)),Maps!$D$2:$E$12,2,FALSE()),"Other"))</f>
        <v>Card</v>
      </c>
      <c r="J384" s="36" t="str">
        <f aca="false">IF(Raw_Export!$A384="","",IF(COUNTIF($A$2:A384,A384)&gt;1,"Duplicate",""))</f>
        <v/>
      </c>
      <c r="K384" s="36" t="str">
        <f aca="false">IF(Raw_Export!$A384="","",IF(J384="Duplicate","Duplicate",IF(OR(C384="UNMAPPED",D384="UNMAPPED"),"Unmapped",IF(F384=0,"Blank qty",IF(F384&lt;0,"Return","OK")))))</f>
        <v>OK</v>
      </c>
      <c r="L384" s="36" t="n">
        <f aca="false">IF(Raw_Export!$A384="","",IF(OR(K384="OK",K384="Return"),1,0))</f>
        <v>1</v>
      </c>
      <c r="M384" s="37" t="n">
        <f aca="false">IF(Raw_Export!$A384="","",B384-WEEKDAY(B384,2)+1)</f>
        <v>46265</v>
      </c>
    </row>
    <row r="385" customFormat="false" ht="15" hidden="false" customHeight="false" outlineLevel="0" collapsed="false">
      <c r="A385" s="36" t="str">
        <f aca="false">IF(Raw_Export!$A385="","",TRIM(Raw_Export!A385))</f>
        <v>TXN-100377</v>
      </c>
      <c r="B385" s="37" t="n">
        <f aca="false">IF(Raw_Export!$A385="","",IF(ISNUMBER(Raw_Export!B385),Raw_Export!B385,IF(MID(TRIM(Raw_Export!B385),5,1)="-",DATE(LEFT(TRIM(Raw_Export!B385),4),MID(TRIM(Raw_Export!B385),6,2),RIGHT(TRIM(Raw_Export!B385),2)),DATE(RIGHT(TRIM(Raw_Export!B385),4),MATCH(MID(TRIM(Raw_Export!B385),4,3),{"Jan","Feb","Mar","Apr","May","Jun","Jul","Aug","Sep","Oct","Nov","Dec"},0),LEFT(TRIM(Raw_Export!B385),2)))))</f>
        <v>46267</v>
      </c>
      <c r="C385" s="36" t="str">
        <f aca="false">IF(Raw_Export!$A385="","",IFERROR(VLOOKUP(LOWER(TRIM(Raw_Export!C385)),Maps!$A$2:$B$20,2,FALSE()),"UNMAPPED"))</f>
        <v>Nakuru</v>
      </c>
      <c r="D385" s="36" t="str">
        <f aca="false">IF(Raw_Export!$A385="","",IFERROR(VLOOKUP(LOWER(TRIM(Raw_Export!D385)),Maps!$G$2:$I$80,2,FALSE()),"UNMAPPED"))</f>
        <v>Cooking Oil 1L</v>
      </c>
      <c r="E385" s="36" t="str">
        <f aca="false">IF(Raw_Export!$A385="","",IFERROR(VLOOKUP(LOWER(TRIM(Raw_Export!D385)),Maps!$G$2:$I$80,3,FALSE()),"UNMAPPED"))</f>
        <v>Staples</v>
      </c>
      <c r="F385" s="36" t="n">
        <f aca="false">IF(Raw_Export!$A385="","",IFERROR(VALUE(TRIM(Raw_Export!E385)),0))</f>
        <v>1</v>
      </c>
      <c r="G385" s="38" t="n">
        <f aca="false">IF(Raw_Export!$A385="","",IFERROR(VALUE(SUBSTITUTE(SUBSTITUTE(UPPER(TRIM(Raw_Export!F385)),"KES",""),",","")),0))</f>
        <v>330</v>
      </c>
      <c r="H385" s="38" t="n">
        <f aca="false">IF(Raw_Export!$A385="","",F385*G385)</f>
        <v>330</v>
      </c>
      <c r="I385" s="36" t="str">
        <f aca="false">IF(Raw_Export!$A385="","",IFERROR(VLOOKUP(LOWER(TRIM(Raw_Export!H385)),Maps!$D$2:$E$12,2,FALSE()),"Other"))</f>
        <v>Cash</v>
      </c>
      <c r="J385" s="36" t="str">
        <f aca="false">IF(Raw_Export!$A385="","",IF(COUNTIF($A$2:A385,A385)&gt;1,"Duplicate",""))</f>
        <v/>
      </c>
      <c r="K385" s="36" t="str">
        <f aca="false">IF(Raw_Export!$A385="","",IF(J385="Duplicate","Duplicate",IF(OR(C385="UNMAPPED",D385="UNMAPPED"),"Unmapped",IF(F385=0,"Blank qty",IF(F385&lt;0,"Return","OK")))))</f>
        <v>OK</v>
      </c>
      <c r="L385" s="36" t="n">
        <f aca="false">IF(Raw_Export!$A385="","",IF(OR(K385="OK",K385="Return"),1,0))</f>
        <v>1</v>
      </c>
      <c r="M385" s="37" t="n">
        <f aca="false">IF(Raw_Export!$A385="","",B385-WEEKDAY(B385,2)+1)</f>
        <v>46265</v>
      </c>
    </row>
    <row r="386" customFormat="false" ht="15" hidden="false" customHeight="false" outlineLevel="0" collapsed="false">
      <c r="A386" s="36" t="str">
        <f aca="false">IF(Raw_Export!$A386="","",TRIM(Raw_Export!A386))</f>
        <v>TXN-101357</v>
      </c>
      <c r="B386" s="37" t="n">
        <f aca="false">IF(Raw_Export!$A386="","",IF(ISNUMBER(Raw_Export!B386),Raw_Export!B386,IF(MID(TRIM(Raw_Export!B386),5,1)="-",DATE(LEFT(TRIM(Raw_Export!B386),4),MID(TRIM(Raw_Export!B386),6,2),RIGHT(TRIM(Raw_Export!B386),2)),DATE(RIGHT(TRIM(Raw_Export!B386),4),MATCH(MID(TRIM(Raw_Export!B386),4,3),{"Jan","Feb","Mar","Apr","May","Jun","Jul","Aug","Sep","Oct","Nov","Dec"},0),LEFT(TRIM(Raw_Export!B386),2)))))</f>
        <v>46274</v>
      </c>
      <c r="C386" s="36" t="str">
        <f aca="false">IF(Raw_Export!$A386="","",IFERROR(VLOOKUP(LOWER(TRIM(Raw_Export!C386)),Maps!$A$2:$B$20,2,FALSE()),"UNMAPPED"))</f>
        <v>Nairobi CBD</v>
      </c>
      <c r="D386" s="36" t="str">
        <f aca="false">IF(Raw_Export!$A386="","",IFERROR(VLOOKUP(LOWER(TRIM(Raw_Export!D386)),Maps!$G$2:$I$80,2,FALSE()),"UNMAPPED"))</f>
        <v>Peanuts 250g</v>
      </c>
      <c r="E386" s="36" t="str">
        <f aca="false">IF(Raw_Export!$A386="","",IFERROR(VLOOKUP(LOWER(TRIM(Raw_Export!D386)),Maps!$G$2:$I$80,3,FALSE()),"UNMAPPED"))</f>
        <v>Snacks</v>
      </c>
      <c r="F386" s="36" t="n">
        <f aca="false">IF(Raw_Export!$A386="","",IFERROR(VALUE(TRIM(Raw_Export!E386)),0))</f>
        <v>2</v>
      </c>
      <c r="G386" s="38" t="n">
        <f aca="false">IF(Raw_Export!$A386="","",IFERROR(VALUE(SUBSTITUTE(SUBSTITUTE(UPPER(TRIM(Raw_Export!F386)),"KES",""),",","")),0))</f>
        <v>130</v>
      </c>
      <c r="H386" s="38" t="n">
        <f aca="false">IF(Raw_Export!$A386="","",F386*G386)</f>
        <v>260</v>
      </c>
      <c r="I386" s="36" t="str">
        <f aca="false">IF(Raw_Export!$A386="","",IFERROR(VLOOKUP(LOWER(TRIM(Raw_Export!H386)),Maps!$D$2:$E$12,2,FALSE()),"Other"))</f>
        <v>M-Pesa</v>
      </c>
      <c r="J386" s="36" t="str">
        <f aca="false">IF(Raw_Export!$A386="","",IF(COUNTIF($A$2:A386,A386)&gt;1,"Duplicate",""))</f>
        <v/>
      </c>
      <c r="K386" s="36" t="str">
        <f aca="false">IF(Raw_Export!$A386="","",IF(J386="Duplicate","Duplicate",IF(OR(C386="UNMAPPED",D386="UNMAPPED"),"Unmapped",IF(F386=0,"Blank qty",IF(F386&lt;0,"Return","OK")))))</f>
        <v>OK</v>
      </c>
      <c r="L386" s="36" t="n">
        <f aca="false">IF(Raw_Export!$A386="","",IF(OR(K386="OK",K386="Return"),1,0))</f>
        <v>1</v>
      </c>
      <c r="M386" s="37" t="n">
        <f aca="false">IF(Raw_Export!$A386="","",B386-WEEKDAY(B386,2)+1)</f>
        <v>46272</v>
      </c>
    </row>
    <row r="387" customFormat="false" ht="15" hidden="false" customHeight="false" outlineLevel="0" collapsed="false">
      <c r="A387" s="36" t="str">
        <f aca="false">IF(Raw_Export!$A387="","",TRIM(Raw_Export!A387))</f>
        <v>TXN-100378</v>
      </c>
      <c r="B387" s="37" t="n">
        <f aca="false">IF(Raw_Export!$A387="","",IF(ISNUMBER(Raw_Export!B387),Raw_Export!B387,IF(MID(TRIM(Raw_Export!B387),5,1)="-",DATE(LEFT(TRIM(Raw_Export!B387),4),MID(TRIM(Raw_Export!B387),6,2),RIGHT(TRIM(Raw_Export!B387),2)),DATE(RIGHT(TRIM(Raw_Export!B387),4),MATCH(MID(TRIM(Raw_Export!B387),4,3),{"Jan","Feb","Mar","Apr","May","Jun","Jul","Aug","Sep","Oct","Nov","Dec"},0),LEFT(TRIM(Raw_Export!B387),2)))))</f>
        <v>46268</v>
      </c>
      <c r="C387" s="36" t="str">
        <f aca="false">IF(Raw_Export!$A387="","",IFERROR(VLOOKUP(LOWER(TRIM(Raw_Export!C387)),Maps!$A$2:$B$20,2,FALSE()),"UNMAPPED"))</f>
        <v>Nairobi CBD</v>
      </c>
      <c r="D387" s="36" t="str">
        <f aca="false">IF(Raw_Export!$A387="","",IFERROR(VLOOKUP(LOWER(TRIM(Raw_Export!D387)),Maps!$G$2:$I$80,2,FALSE()),"UNMAPPED"))</f>
        <v>Bleach 1L</v>
      </c>
      <c r="E387" s="36" t="str">
        <f aca="false">IF(Raw_Export!$A387="","",IFERROR(VLOOKUP(LOWER(TRIM(Raw_Export!D387)),Maps!$G$2:$I$80,3,FALSE()),"UNMAPPED"))</f>
        <v>Household</v>
      </c>
      <c r="F387" s="36" t="n">
        <f aca="false">IF(Raw_Export!$A387="","",IFERROR(VALUE(TRIM(Raw_Export!E387)),0))</f>
        <v>1</v>
      </c>
      <c r="G387" s="38" t="n">
        <f aca="false">IF(Raw_Export!$A387="","",IFERROR(VALUE(SUBSTITUTE(SUBSTITUTE(UPPER(TRIM(Raw_Export!F387)),"KES",""),",","")),0))</f>
        <v>160</v>
      </c>
      <c r="H387" s="38" t="n">
        <f aca="false">IF(Raw_Export!$A387="","",F387*G387)</f>
        <v>160</v>
      </c>
      <c r="I387" s="36" t="str">
        <f aca="false">IF(Raw_Export!$A387="","",IFERROR(VLOOKUP(LOWER(TRIM(Raw_Export!H387)),Maps!$D$2:$E$12,2,FALSE()),"Other"))</f>
        <v>Cash</v>
      </c>
      <c r="J387" s="36" t="str">
        <f aca="false">IF(Raw_Export!$A387="","",IF(COUNTIF($A$2:A387,A387)&gt;1,"Duplicate",""))</f>
        <v/>
      </c>
      <c r="K387" s="36" t="str">
        <f aca="false">IF(Raw_Export!$A387="","",IF(J387="Duplicate","Duplicate",IF(OR(C387="UNMAPPED",D387="UNMAPPED"),"Unmapped",IF(F387=0,"Blank qty",IF(F387&lt;0,"Return","OK")))))</f>
        <v>OK</v>
      </c>
      <c r="L387" s="36" t="n">
        <f aca="false">IF(Raw_Export!$A387="","",IF(OR(K387="OK",K387="Return"),1,0))</f>
        <v>1</v>
      </c>
      <c r="M387" s="37" t="n">
        <f aca="false">IF(Raw_Export!$A387="","",B387-WEEKDAY(B387,2)+1)</f>
        <v>46265</v>
      </c>
    </row>
    <row r="388" customFormat="false" ht="15" hidden="false" customHeight="false" outlineLevel="0" collapsed="false">
      <c r="A388" s="36" t="str">
        <f aca="false">IF(Raw_Export!$A388="","",TRIM(Raw_Export!A388))</f>
        <v>TXN-100379</v>
      </c>
      <c r="B388" s="37" t="n">
        <f aca="false">IF(Raw_Export!$A388="","",IF(ISNUMBER(Raw_Export!B388),Raw_Export!B388,IF(MID(TRIM(Raw_Export!B388),5,1)="-",DATE(LEFT(TRIM(Raw_Export!B388),4),MID(TRIM(Raw_Export!B388),6,2),RIGHT(TRIM(Raw_Export!B388),2)),DATE(RIGHT(TRIM(Raw_Export!B388),4),MATCH(MID(TRIM(Raw_Export!B388),4,3),{"Jan","Feb","Mar","Apr","May","Jun","Jul","Aug","Sep","Oct","Nov","Dec"},0),LEFT(TRIM(Raw_Export!B388),2)))))</f>
        <v>46268</v>
      </c>
      <c r="C388" s="36" t="str">
        <f aca="false">IF(Raw_Export!$A388="","",IFERROR(VLOOKUP(LOWER(TRIM(Raw_Export!C388)),Maps!$A$2:$B$20,2,FALSE()),"UNMAPPED"))</f>
        <v>Nairobi CBD</v>
      </c>
      <c r="D388" s="36" t="str">
        <f aca="false">IF(Raw_Export!$A388="","",IFERROR(VLOOKUP(LOWER(TRIM(Raw_Export!D388)),Maps!$G$2:$I$80,2,FALSE()),"UNMAPPED"))</f>
        <v>Yoghurt 500ml</v>
      </c>
      <c r="E388" s="36" t="str">
        <f aca="false">IF(Raw_Export!$A388="","",IFERROR(VLOOKUP(LOWER(TRIM(Raw_Export!D388)),Maps!$G$2:$I$80,3,FALSE()),"UNMAPPED"))</f>
        <v>Dairy &amp; Eggs</v>
      </c>
      <c r="F388" s="36" t="n">
        <f aca="false">IF(Raw_Export!$A388="","",IFERROR(VALUE(TRIM(Raw_Export!E388)),0))</f>
        <v>1</v>
      </c>
      <c r="G388" s="38" t="n">
        <f aca="false">IF(Raw_Export!$A388="","",IFERROR(VALUE(SUBSTITUTE(SUBSTITUTE(UPPER(TRIM(Raw_Export!F388)),"KES",""),",","")),0))</f>
        <v>120</v>
      </c>
      <c r="H388" s="38" t="n">
        <f aca="false">IF(Raw_Export!$A388="","",F388*G388)</f>
        <v>120</v>
      </c>
      <c r="I388" s="36" t="str">
        <f aca="false">IF(Raw_Export!$A388="","",IFERROR(VLOOKUP(LOWER(TRIM(Raw_Export!H388)),Maps!$D$2:$E$12,2,FALSE()),"Other"))</f>
        <v>Card</v>
      </c>
      <c r="J388" s="36" t="str">
        <f aca="false">IF(Raw_Export!$A388="","",IF(COUNTIF($A$2:A388,A388)&gt;1,"Duplicate",""))</f>
        <v/>
      </c>
      <c r="K388" s="36" t="str">
        <f aca="false">IF(Raw_Export!$A388="","",IF(J388="Duplicate","Duplicate",IF(OR(C388="UNMAPPED",D388="UNMAPPED"),"Unmapped",IF(F388=0,"Blank qty",IF(F388&lt;0,"Return","OK")))))</f>
        <v>OK</v>
      </c>
      <c r="L388" s="36" t="n">
        <f aca="false">IF(Raw_Export!$A388="","",IF(OR(K388="OK",K388="Return"),1,0))</f>
        <v>1</v>
      </c>
      <c r="M388" s="37" t="n">
        <f aca="false">IF(Raw_Export!$A388="","",B388-WEEKDAY(B388,2)+1)</f>
        <v>46265</v>
      </c>
    </row>
    <row r="389" customFormat="false" ht="15" hidden="false" customHeight="false" outlineLevel="0" collapsed="false">
      <c r="A389" s="36" t="str">
        <f aca="false">IF(Raw_Export!$A389="","",TRIM(Raw_Export!A389))</f>
        <v>TXN-100380</v>
      </c>
      <c r="B389" s="37" t="n">
        <f aca="false">IF(Raw_Export!$A389="","",IF(ISNUMBER(Raw_Export!B389),Raw_Export!B389,IF(MID(TRIM(Raw_Export!B389),5,1)="-",DATE(LEFT(TRIM(Raw_Export!B389),4),MID(TRIM(Raw_Export!B389),6,2),RIGHT(TRIM(Raw_Export!B389),2)),DATE(RIGHT(TRIM(Raw_Export!B389),4),MATCH(MID(TRIM(Raw_Export!B389),4,3),{"Jan","Feb","Mar","Apr","May","Jun","Jul","Aug","Sep","Oct","Nov","Dec"},0),LEFT(TRIM(Raw_Export!B389),2)))))</f>
        <v>46268</v>
      </c>
      <c r="C389" s="36" t="str">
        <f aca="false">IF(Raw_Export!$A389="","",IFERROR(VLOOKUP(LOWER(TRIM(Raw_Export!C389)),Maps!$A$2:$B$20,2,FALSE()),"UNMAPPED"))</f>
        <v>Nairobi CBD</v>
      </c>
      <c r="D389" s="36" t="str">
        <f aca="false">IF(Raw_Export!$A389="","",IFERROR(VLOOKUP(LOWER(TRIM(Raw_Export!D389)),Maps!$G$2:$I$80,2,FALSE()),"UNMAPPED"))</f>
        <v>Butter 250g</v>
      </c>
      <c r="E389" s="36" t="str">
        <f aca="false">IF(Raw_Export!$A389="","",IFERROR(VLOOKUP(LOWER(TRIM(Raw_Export!D389)),Maps!$G$2:$I$80,3,FALSE()),"UNMAPPED"))</f>
        <v>Dairy &amp; Eggs</v>
      </c>
      <c r="F389" s="36" t="n">
        <f aca="false">IF(Raw_Export!$A389="","",IFERROR(VALUE(TRIM(Raw_Export!E389)),0))</f>
        <v>3</v>
      </c>
      <c r="G389" s="38" t="n">
        <f aca="false">IF(Raw_Export!$A389="","",IFERROR(VALUE(SUBSTITUTE(SUBSTITUTE(UPPER(TRIM(Raw_Export!F389)),"KES",""),",","")),0))</f>
        <v>310</v>
      </c>
      <c r="H389" s="38" t="n">
        <f aca="false">IF(Raw_Export!$A389="","",F389*G389)</f>
        <v>930</v>
      </c>
      <c r="I389" s="36" t="str">
        <f aca="false">IF(Raw_Export!$A389="","",IFERROR(VLOOKUP(LOWER(TRIM(Raw_Export!H389)),Maps!$D$2:$E$12,2,FALSE()),"Other"))</f>
        <v>Cash</v>
      </c>
      <c r="J389" s="36" t="str">
        <f aca="false">IF(Raw_Export!$A389="","",IF(COUNTIF($A$2:A389,A389)&gt;1,"Duplicate",""))</f>
        <v/>
      </c>
      <c r="K389" s="36" t="str">
        <f aca="false">IF(Raw_Export!$A389="","",IF(J389="Duplicate","Duplicate",IF(OR(C389="UNMAPPED",D389="UNMAPPED"),"Unmapped",IF(F389=0,"Blank qty",IF(F389&lt;0,"Return","OK")))))</f>
        <v>OK</v>
      </c>
      <c r="L389" s="36" t="n">
        <f aca="false">IF(Raw_Export!$A389="","",IF(OR(K389="OK",K389="Return"),1,0))</f>
        <v>1</v>
      </c>
      <c r="M389" s="37" t="n">
        <f aca="false">IF(Raw_Export!$A389="","",B389-WEEKDAY(B389,2)+1)</f>
        <v>46265</v>
      </c>
    </row>
    <row r="390" customFormat="false" ht="15" hidden="false" customHeight="false" outlineLevel="0" collapsed="false">
      <c r="A390" s="36" t="str">
        <f aca="false">IF(Raw_Export!$A390="","",TRIM(Raw_Export!A390))</f>
        <v>TXN-100381</v>
      </c>
      <c r="B390" s="37" t="n">
        <f aca="false">IF(Raw_Export!$A390="","",IF(ISNUMBER(Raw_Export!B390),Raw_Export!B390,IF(MID(TRIM(Raw_Export!B390),5,1)="-",DATE(LEFT(TRIM(Raw_Export!B390),4),MID(TRIM(Raw_Export!B390),6,2),RIGHT(TRIM(Raw_Export!B390),2)),DATE(RIGHT(TRIM(Raw_Export!B390),4),MATCH(MID(TRIM(Raw_Export!B390),4,3),{"Jan","Feb","Mar","Apr","May","Jun","Jul","Aug","Sep","Oct","Nov","Dec"},0),LEFT(TRIM(Raw_Export!B390),2)))))</f>
        <v>46268</v>
      </c>
      <c r="C390" s="36" t="str">
        <f aca="false">IF(Raw_Export!$A390="","",IFERROR(VLOOKUP(LOWER(TRIM(Raw_Export!C390)),Maps!$A$2:$B$20,2,FALSE()),"UNMAPPED"))</f>
        <v>Nairobi CBD</v>
      </c>
      <c r="D390" s="36" t="str">
        <f aca="false">IF(Raw_Export!$A390="","",IFERROR(VLOOKUP(LOWER(TRIM(Raw_Export!D390)),Maps!$G$2:$I$80,2,FALSE()),"UNMAPPED"))</f>
        <v>Fresh Milk 500ml</v>
      </c>
      <c r="E390" s="36" t="str">
        <f aca="false">IF(Raw_Export!$A390="","",IFERROR(VLOOKUP(LOWER(TRIM(Raw_Export!D390)),Maps!$G$2:$I$80,3,FALSE()),"UNMAPPED"))</f>
        <v>Dairy &amp; Eggs</v>
      </c>
      <c r="F390" s="36" t="n">
        <f aca="false">IF(Raw_Export!$A390="","",IFERROR(VALUE(TRIM(Raw_Export!E390)),0))</f>
        <v>1</v>
      </c>
      <c r="G390" s="38" t="n">
        <f aca="false">IF(Raw_Export!$A390="","",IFERROR(VALUE(SUBSTITUTE(SUBSTITUTE(UPPER(TRIM(Raw_Export!F390)),"KES",""),",","")),0))</f>
        <v>58</v>
      </c>
      <c r="H390" s="38" t="n">
        <f aca="false">IF(Raw_Export!$A390="","",F390*G390)</f>
        <v>58</v>
      </c>
      <c r="I390" s="36" t="str">
        <f aca="false">IF(Raw_Export!$A390="","",IFERROR(VLOOKUP(LOWER(TRIM(Raw_Export!H390)),Maps!$D$2:$E$12,2,FALSE()),"Other"))</f>
        <v>Cash</v>
      </c>
      <c r="J390" s="36" t="str">
        <f aca="false">IF(Raw_Export!$A390="","",IF(COUNTIF($A$2:A390,A390)&gt;1,"Duplicate",""))</f>
        <v/>
      </c>
      <c r="K390" s="36" t="str">
        <f aca="false">IF(Raw_Export!$A390="","",IF(J390="Duplicate","Duplicate",IF(OR(C390="UNMAPPED",D390="UNMAPPED"),"Unmapped",IF(F390=0,"Blank qty",IF(F390&lt;0,"Return","OK")))))</f>
        <v>OK</v>
      </c>
      <c r="L390" s="36" t="n">
        <f aca="false">IF(Raw_Export!$A390="","",IF(OR(K390="OK",K390="Return"),1,0))</f>
        <v>1</v>
      </c>
      <c r="M390" s="37" t="n">
        <f aca="false">IF(Raw_Export!$A390="","",B390-WEEKDAY(B390,2)+1)</f>
        <v>46265</v>
      </c>
    </row>
    <row r="391" customFormat="false" ht="15" hidden="false" customHeight="false" outlineLevel="0" collapsed="false">
      <c r="A391" s="36" t="str">
        <f aca="false">IF(Raw_Export!$A391="","",TRIM(Raw_Export!A391))</f>
        <v>TXN-100382</v>
      </c>
      <c r="B391" s="37" t="n">
        <f aca="false">IF(Raw_Export!$A391="","",IF(ISNUMBER(Raw_Export!B391),Raw_Export!B391,IF(MID(TRIM(Raw_Export!B391),5,1)="-",DATE(LEFT(TRIM(Raw_Export!B391),4),MID(TRIM(Raw_Export!B391),6,2),RIGHT(TRIM(Raw_Export!B391),2)),DATE(RIGHT(TRIM(Raw_Export!B391),4),MATCH(MID(TRIM(Raw_Export!B391),4,3),{"Jan","Feb","Mar","Apr","May","Jun","Jul","Aug","Sep","Oct","Nov","Dec"},0),LEFT(TRIM(Raw_Export!B391),2)))))</f>
        <v>46268</v>
      </c>
      <c r="C391" s="36" t="str">
        <f aca="false">IF(Raw_Export!$A391="","",IFERROR(VLOOKUP(LOWER(TRIM(Raw_Export!C391)),Maps!$A$2:$B$20,2,FALSE()),"UNMAPPED"))</f>
        <v>Nairobi CBD</v>
      </c>
      <c r="D391" s="36" t="str">
        <f aca="false">IF(Raw_Export!$A391="","",IFERROR(VLOOKUP(LOWER(TRIM(Raw_Export!D391)),Maps!$G$2:$I$80,2,FALSE()),"UNMAPPED"))</f>
        <v>Deodorant 150ml</v>
      </c>
      <c r="E391" s="36" t="str">
        <f aca="false">IF(Raw_Export!$A391="","",IFERROR(VLOOKUP(LOWER(TRIM(Raw_Export!D391)),Maps!$G$2:$I$80,3,FALSE()),"UNMAPPED"))</f>
        <v>Personal Care</v>
      </c>
      <c r="F391" s="36" t="n">
        <f aca="false">IF(Raw_Export!$A391="","",IFERROR(VALUE(TRIM(Raw_Export!E391)),0))</f>
        <v>1</v>
      </c>
      <c r="G391" s="38" t="n">
        <f aca="false">IF(Raw_Export!$A391="","",IFERROR(VALUE(SUBSTITUTE(SUBSTITUTE(UPPER(TRIM(Raw_Export!F391)),"KES",""),",","")),0))</f>
        <v>350</v>
      </c>
      <c r="H391" s="38" t="n">
        <f aca="false">IF(Raw_Export!$A391="","",F391*G391)</f>
        <v>350</v>
      </c>
      <c r="I391" s="36" t="str">
        <f aca="false">IF(Raw_Export!$A391="","",IFERROR(VLOOKUP(LOWER(TRIM(Raw_Export!H391)),Maps!$D$2:$E$12,2,FALSE()),"Other"))</f>
        <v>M-Pesa</v>
      </c>
      <c r="J391" s="36" t="str">
        <f aca="false">IF(Raw_Export!$A391="","",IF(COUNTIF($A$2:A391,A391)&gt;1,"Duplicate",""))</f>
        <v/>
      </c>
      <c r="K391" s="36" t="str">
        <f aca="false">IF(Raw_Export!$A391="","",IF(J391="Duplicate","Duplicate",IF(OR(C391="UNMAPPED",D391="UNMAPPED"),"Unmapped",IF(F391=0,"Blank qty",IF(F391&lt;0,"Return","OK")))))</f>
        <v>OK</v>
      </c>
      <c r="L391" s="36" t="n">
        <f aca="false">IF(Raw_Export!$A391="","",IF(OR(K391="OK",K391="Return"),1,0))</f>
        <v>1</v>
      </c>
      <c r="M391" s="37" t="n">
        <f aca="false">IF(Raw_Export!$A391="","",B391-WEEKDAY(B391,2)+1)</f>
        <v>46265</v>
      </c>
    </row>
    <row r="392" customFormat="false" ht="15" hidden="false" customHeight="false" outlineLevel="0" collapsed="false">
      <c r="A392" s="36" t="str">
        <f aca="false">IF(Raw_Export!$A392="","",TRIM(Raw_Export!A392))</f>
        <v>TXN-101354</v>
      </c>
      <c r="B392" s="37" t="n">
        <f aca="false">IF(Raw_Export!$A392="","",IF(ISNUMBER(Raw_Export!B392),Raw_Export!B392,IF(MID(TRIM(Raw_Export!B392),5,1)="-",DATE(LEFT(TRIM(Raw_Export!B392),4),MID(TRIM(Raw_Export!B392),6,2),RIGHT(TRIM(Raw_Export!B392),2)),DATE(RIGHT(TRIM(Raw_Export!B392),4),MATCH(MID(TRIM(Raw_Export!B392),4,3),{"Jan","Feb","Mar","Apr","May","Jun","Jul","Aug","Sep","Oct","Nov","Dec"},0),LEFT(TRIM(Raw_Export!B392),2)))))</f>
        <v>46274</v>
      </c>
      <c r="C392" s="36" t="str">
        <f aca="false">IF(Raw_Export!$A392="","",IFERROR(VLOOKUP(LOWER(TRIM(Raw_Export!C392)),Maps!$A$2:$B$20,2,FALSE()),"UNMAPPED"))</f>
        <v>Nairobi CBD</v>
      </c>
      <c r="D392" s="36" t="str">
        <f aca="false">IF(Raw_Export!$A392="","",IFERROR(VLOOKUP(LOWER(TRIM(Raw_Export!D392)),Maps!$G$2:$I$80,2,FALSE()),"UNMAPPED"))</f>
        <v>Sanitary Pads 8pk</v>
      </c>
      <c r="E392" s="36" t="str">
        <f aca="false">IF(Raw_Export!$A392="","",IFERROR(VLOOKUP(LOWER(TRIM(Raw_Export!D392)),Maps!$G$2:$I$80,3,FALSE()),"UNMAPPED"))</f>
        <v>Personal Care</v>
      </c>
      <c r="F392" s="36" t="n">
        <f aca="false">IF(Raw_Export!$A392="","",IFERROR(VALUE(TRIM(Raw_Export!E392)),0))</f>
        <v>1</v>
      </c>
      <c r="G392" s="38" t="n">
        <f aca="false">IF(Raw_Export!$A392="","",IFERROR(VALUE(SUBSTITUTE(SUBSTITUTE(UPPER(TRIM(Raw_Export!F392)),"KES",""),",","")),0))</f>
        <v>130</v>
      </c>
      <c r="H392" s="38" t="n">
        <f aca="false">IF(Raw_Export!$A392="","",F392*G392)</f>
        <v>130</v>
      </c>
      <c r="I392" s="36" t="str">
        <f aca="false">IF(Raw_Export!$A392="","",IFERROR(VLOOKUP(LOWER(TRIM(Raw_Export!H392)),Maps!$D$2:$E$12,2,FALSE()),"Other"))</f>
        <v>Cash</v>
      </c>
      <c r="J392" s="36" t="str">
        <f aca="false">IF(Raw_Export!$A392="","",IF(COUNTIF($A$2:A392,A392)&gt;1,"Duplicate",""))</f>
        <v/>
      </c>
      <c r="K392" s="36" t="str">
        <f aca="false">IF(Raw_Export!$A392="","",IF(J392="Duplicate","Duplicate",IF(OR(C392="UNMAPPED",D392="UNMAPPED"),"Unmapped",IF(F392=0,"Blank qty",IF(F392&lt;0,"Return","OK")))))</f>
        <v>OK</v>
      </c>
      <c r="L392" s="36" t="n">
        <f aca="false">IF(Raw_Export!$A392="","",IF(OR(K392="OK",K392="Return"),1,0))</f>
        <v>1</v>
      </c>
      <c r="M392" s="37" t="n">
        <f aca="false">IF(Raw_Export!$A392="","",B392-WEEKDAY(B392,2)+1)</f>
        <v>46272</v>
      </c>
    </row>
    <row r="393" customFormat="false" ht="15" hidden="false" customHeight="false" outlineLevel="0" collapsed="false">
      <c r="A393" s="36" t="str">
        <f aca="false">IF(Raw_Export!$A393="","",TRIM(Raw_Export!A393))</f>
        <v>TXN-100383</v>
      </c>
      <c r="B393" s="37" t="n">
        <f aca="false">IF(Raw_Export!$A393="","",IF(ISNUMBER(Raw_Export!B393),Raw_Export!B393,IF(MID(TRIM(Raw_Export!B393),5,1)="-",DATE(LEFT(TRIM(Raw_Export!B393),4),MID(TRIM(Raw_Export!B393),6,2),RIGHT(TRIM(Raw_Export!B393),2)),DATE(RIGHT(TRIM(Raw_Export!B393),4),MATCH(MID(TRIM(Raw_Export!B393),4,3),{"Jan","Feb","Mar","Apr","May","Jun","Jul","Aug","Sep","Oct","Nov","Dec"},0),LEFT(TRIM(Raw_Export!B393),2)))))</f>
        <v>46268</v>
      </c>
      <c r="C393" s="36" t="str">
        <f aca="false">IF(Raw_Export!$A393="","",IFERROR(VLOOKUP(LOWER(TRIM(Raw_Export!C393)),Maps!$A$2:$B$20,2,FALSE()),"UNMAPPED"))</f>
        <v>Nairobi CBD</v>
      </c>
      <c r="D393" s="36" t="str">
        <f aca="false">IF(Raw_Export!$A393="","",IFERROR(VLOOKUP(LOWER(TRIM(Raw_Export!D393)),Maps!$G$2:$I$80,2,FALSE()),"UNMAPPED"))</f>
        <v>Body Lotion 400ml</v>
      </c>
      <c r="E393" s="36" t="str">
        <f aca="false">IF(Raw_Export!$A393="","",IFERROR(VLOOKUP(LOWER(TRIM(Raw_Export!D393)),Maps!$G$2:$I$80,3,FALSE()),"UNMAPPED"))</f>
        <v>Personal Care</v>
      </c>
      <c r="F393" s="36" t="n">
        <f aca="false">IF(Raw_Export!$A393="","",IFERROR(VALUE(TRIM(Raw_Export!E393)),0))</f>
        <v>1</v>
      </c>
      <c r="G393" s="38" t="n">
        <f aca="false">IF(Raw_Export!$A393="","",IFERROR(VALUE(SUBSTITUTE(SUBSTITUTE(UPPER(TRIM(Raw_Export!F393)),"KES",""),",","")),0))</f>
        <v>420</v>
      </c>
      <c r="H393" s="38" t="n">
        <f aca="false">IF(Raw_Export!$A393="","",F393*G393)</f>
        <v>420</v>
      </c>
      <c r="I393" s="36" t="str">
        <f aca="false">IF(Raw_Export!$A393="","",IFERROR(VLOOKUP(LOWER(TRIM(Raw_Export!H393)),Maps!$D$2:$E$12,2,FALSE()),"Other"))</f>
        <v>Card</v>
      </c>
      <c r="J393" s="36" t="str">
        <f aca="false">IF(Raw_Export!$A393="","",IF(COUNTIF($A$2:A393,A393)&gt;1,"Duplicate",""))</f>
        <v/>
      </c>
      <c r="K393" s="36" t="str">
        <f aca="false">IF(Raw_Export!$A393="","",IF(J393="Duplicate","Duplicate",IF(OR(C393="UNMAPPED",D393="UNMAPPED"),"Unmapped",IF(F393=0,"Blank qty",IF(F393&lt;0,"Return","OK")))))</f>
        <v>OK</v>
      </c>
      <c r="L393" s="36" t="n">
        <f aca="false">IF(Raw_Export!$A393="","",IF(OR(K393="OK",K393="Return"),1,0))</f>
        <v>1</v>
      </c>
      <c r="M393" s="37" t="n">
        <f aca="false">IF(Raw_Export!$A393="","",B393-WEEKDAY(B393,2)+1)</f>
        <v>46265</v>
      </c>
    </row>
    <row r="394" customFormat="false" ht="15" hidden="false" customHeight="false" outlineLevel="0" collapsed="false">
      <c r="A394" s="36" t="str">
        <f aca="false">IF(Raw_Export!$A394="","",TRIM(Raw_Export!A394))</f>
        <v>TXN-100384</v>
      </c>
      <c r="B394" s="37" t="n">
        <f aca="false">IF(Raw_Export!$A394="","",IF(ISNUMBER(Raw_Export!B394),Raw_Export!B394,IF(MID(TRIM(Raw_Export!B394),5,1)="-",DATE(LEFT(TRIM(Raw_Export!B394),4),MID(TRIM(Raw_Export!B394),6,2),RIGHT(TRIM(Raw_Export!B394),2)),DATE(RIGHT(TRIM(Raw_Export!B394),4),MATCH(MID(TRIM(Raw_Export!B394),4,3),{"Jan","Feb","Mar","Apr","May","Jun","Jul","Aug","Sep","Oct","Nov","Dec"},0),LEFT(TRIM(Raw_Export!B394),2)))))</f>
        <v>46268</v>
      </c>
      <c r="C394" s="36" t="str">
        <f aca="false">IF(Raw_Export!$A394="","",IFERROR(VLOOKUP(LOWER(TRIM(Raw_Export!C394)),Maps!$A$2:$B$20,2,FALSE()),"UNMAPPED"))</f>
        <v>Nairobi CBD</v>
      </c>
      <c r="D394" s="36" t="str">
        <f aca="false">IF(Raw_Export!$A394="","",IFERROR(VLOOKUP(LOWER(TRIM(Raw_Export!D394)),Maps!$G$2:$I$80,2,FALSE()),"UNMAPPED"))</f>
        <v>Bottled Water 1.5L</v>
      </c>
      <c r="E394" s="36" t="str">
        <f aca="false">IF(Raw_Export!$A394="","",IFERROR(VLOOKUP(LOWER(TRIM(Raw_Export!D394)),Maps!$G$2:$I$80,3,FALSE()),"UNMAPPED"))</f>
        <v>Beverages</v>
      </c>
      <c r="F394" s="36" t="n">
        <f aca="false">IF(Raw_Export!$A394="","",IFERROR(VALUE(TRIM(Raw_Export!E394)),0))</f>
        <v>2</v>
      </c>
      <c r="G394" s="38" t="n">
        <f aca="false">IF(Raw_Export!$A394="","",IFERROR(VALUE(SUBSTITUTE(SUBSTITUTE(UPPER(TRIM(Raw_Export!F394)),"KES",""),",","")),0))</f>
        <v>90</v>
      </c>
      <c r="H394" s="38" t="n">
        <f aca="false">IF(Raw_Export!$A394="","",F394*G394)</f>
        <v>180</v>
      </c>
      <c r="I394" s="36" t="str">
        <f aca="false">IF(Raw_Export!$A394="","",IFERROR(VLOOKUP(LOWER(TRIM(Raw_Export!H394)),Maps!$D$2:$E$12,2,FALSE()),"Other"))</f>
        <v>M-Pesa</v>
      </c>
      <c r="J394" s="36" t="str">
        <f aca="false">IF(Raw_Export!$A394="","",IF(COUNTIF($A$2:A394,A394)&gt;1,"Duplicate",""))</f>
        <v/>
      </c>
      <c r="K394" s="36" t="str">
        <f aca="false">IF(Raw_Export!$A394="","",IF(J394="Duplicate","Duplicate",IF(OR(C394="UNMAPPED",D394="UNMAPPED"),"Unmapped",IF(F394=0,"Blank qty",IF(F394&lt;0,"Return","OK")))))</f>
        <v>OK</v>
      </c>
      <c r="L394" s="36" t="n">
        <f aca="false">IF(Raw_Export!$A394="","",IF(OR(K394="OK",K394="Return"),1,0))</f>
        <v>1</v>
      </c>
      <c r="M394" s="37" t="n">
        <f aca="false">IF(Raw_Export!$A394="","",B394-WEEKDAY(B394,2)+1)</f>
        <v>46265</v>
      </c>
    </row>
    <row r="395" customFormat="false" ht="15" hidden="false" customHeight="false" outlineLevel="0" collapsed="false">
      <c r="A395" s="36" t="str">
        <f aca="false">IF(Raw_Export!$A395="","",TRIM(Raw_Export!A395))</f>
        <v>TXN-100385</v>
      </c>
      <c r="B395" s="37" t="n">
        <f aca="false">IF(Raw_Export!$A395="","",IF(ISNUMBER(Raw_Export!B395),Raw_Export!B395,IF(MID(TRIM(Raw_Export!B395),5,1)="-",DATE(LEFT(TRIM(Raw_Export!B395),4),MID(TRIM(Raw_Export!B395),6,2),RIGHT(TRIM(Raw_Export!B395),2)),DATE(RIGHT(TRIM(Raw_Export!B395),4),MATCH(MID(TRIM(Raw_Export!B395),4,3),{"Jan","Feb","Mar","Apr","May","Jun","Jul","Aug","Sep","Oct","Nov","Dec"},0),LEFT(TRIM(Raw_Export!B395),2)))))</f>
        <v>46268</v>
      </c>
      <c r="C395" s="36" t="str">
        <f aca="false">IF(Raw_Export!$A395="","",IFERROR(VLOOKUP(LOWER(TRIM(Raw_Export!C395)),Maps!$A$2:$B$20,2,FALSE()),"UNMAPPED"))</f>
        <v>Nairobi CBD</v>
      </c>
      <c r="D395" s="36" t="str">
        <f aca="false">IF(Raw_Export!$A395="","",IFERROR(VLOOKUP(LOWER(TRIM(Raw_Export!D395)),Maps!$G$2:$I$80,2,FALSE()),"UNMAPPED"))</f>
        <v>Peanuts 250g</v>
      </c>
      <c r="E395" s="36" t="str">
        <f aca="false">IF(Raw_Export!$A395="","",IFERROR(VLOOKUP(LOWER(TRIM(Raw_Export!D395)),Maps!$G$2:$I$80,3,FALSE()),"UNMAPPED"))</f>
        <v>Snacks</v>
      </c>
      <c r="F395" s="36" t="n">
        <f aca="false">IF(Raw_Export!$A395="","",IFERROR(VALUE(TRIM(Raw_Export!E395)),0))</f>
        <v>1</v>
      </c>
      <c r="G395" s="38" t="n">
        <f aca="false">IF(Raw_Export!$A395="","",IFERROR(VALUE(SUBSTITUTE(SUBSTITUTE(UPPER(TRIM(Raw_Export!F395)),"KES",""),",","")),0))</f>
        <v>117</v>
      </c>
      <c r="H395" s="38" t="n">
        <f aca="false">IF(Raw_Export!$A395="","",F395*G395)</f>
        <v>117</v>
      </c>
      <c r="I395" s="36" t="str">
        <f aca="false">IF(Raw_Export!$A395="","",IFERROR(VLOOKUP(LOWER(TRIM(Raw_Export!H395)),Maps!$D$2:$E$12,2,FALSE()),"Other"))</f>
        <v>M-Pesa</v>
      </c>
      <c r="J395" s="36" t="str">
        <f aca="false">IF(Raw_Export!$A395="","",IF(COUNTIF($A$2:A395,A395)&gt;1,"Duplicate",""))</f>
        <v/>
      </c>
      <c r="K395" s="36" t="str">
        <f aca="false">IF(Raw_Export!$A395="","",IF(J395="Duplicate","Duplicate",IF(OR(C395="UNMAPPED",D395="UNMAPPED"),"Unmapped",IF(F395=0,"Blank qty",IF(F395&lt;0,"Return","OK")))))</f>
        <v>OK</v>
      </c>
      <c r="L395" s="36" t="n">
        <f aca="false">IF(Raw_Export!$A395="","",IF(OR(K395="OK",K395="Return"),1,0))</f>
        <v>1</v>
      </c>
      <c r="M395" s="37" t="n">
        <f aca="false">IF(Raw_Export!$A395="","",B395-WEEKDAY(B395,2)+1)</f>
        <v>46265</v>
      </c>
    </row>
    <row r="396" customFormat="false" ht="15" hidden="false" customHeight="false" outlineLevel="0" collapsed="false">
      <c r="A396" s="36" t="str">
        <f aca="false">IF(Raw_Export!$A396="","",TRIM(Raw_Export!A396))</f>
        <v>TXN-100386</v>
      </c>
      <c r="B396" s="37" t="n">
        <f aca="false">IF(Raw_Export!$A396="","",IF(ISNUMBER(Raw_Export!B396),Raw_Export!B396,IF(MID(TRIM(Raw_Export!B396),5,1)="-",DATE(LEFT(TRIM(Raw_Export!B396),4),MID(TRIM(Raw_Export!B396),6,2),RIGHT(TRIM(Raw_Export!B396),2)),DATE(RIGHT(TRIM(Raw_Export!B396),4),MATCH(MID(TRIM(Raw_Export!B396),4,3),{"Jan","Feb","Mar","Apr","May","Jun","Jul","Aug","Sep","Oct","Nov","Dec"},0),LEFT(TRIM(Raw_Export!B396),2)))))</f>
        <v>46268</v>
      </c>
      <c r="C396" s="36" t="str">
        <f aca="false">IF(Raw_Export!$A396="","",IFERROR(VLOOKUP(LOWER(TRIM(Raw_Export!C396)),Maps!$A$2:$B$20,2,FALSE()),"UNMAPPED"))</f>
        <v>Nairobi CBD</v>
      </c>
      <c r="D396" s="36" t="str">
        <f aca="false">IF(Raw_Export!$A396="","",IFERROR(VLOOKUP(LOWER(TRIM(Raw_Export!D396)),Maps!$G$2:$I$80,2,FALSE()),"UNMAPPED"))</f>
        <v>Matches 10pk</v>
      </c>
      <c r="E396" s="36" t="str">
        <f aca="false">IF(Raw_Export!$A396="","",IFERROR(VLOOKUP(LOWER(TRIM(Raw_Export!D396)),Maps!$G$2:$I$80,3,FALSE()),"UNMAPPED"))</f>
        <v>Household</v>
      </c>
      <c r="F396" s="36" t="n">
        <f aca="false">IF(Raw_Export!$A396="","",IFERROR(VALUE(TRIM(Raw_Export!E396)),0))</f>
        <v>2</v>
      </c>
      <c r="G396" s="38" t="n">
        <f aca="false">IF(Raw_Export!$A396="","",IFERROR(VALUE(SUBSTITUTE(SUBSTITUTE(UPPER(TRIM(Raw_Export!F396)),"KES",""),",","")),0))</f>
        <v>50</v>
      </c>
      <c r="H396" s="38" t="n">
        <f aca="false">IF(Raw_Export!$A396="","",F396*G396)</f>
        <v>100</v>
      </c>
      <c r="I396" s="36" t="str">
        <f aca="false">IF(Raw_Export!$A396="","",IFERROR(VLOOKUP(LOWER(TRIM(Raw_Export!H396)),Maps!$D$2:$E$12,2,FALSE()),"Other"))</f>
        <v>M-Pesa</v>
      </c>
      <c r="J396" s="36" t="str">
        <f aca="false">IF(Raw_Export!$A396="","",IF(COUNTIF($A$2:A396,A396)&gt;1,"Duplicate",""))</f>
        <v/>
      </c>
      <c r="K396" s="36" t="str">
        <f aca="false">IF(Raw_Export!$A396="","",IF(J396="Duplicate","Duplicate",IF(OR(C396="UNMAPPED",D396="UNMAPPED"),"Unmapped",IF(F396=0,"Blank qty",IF(F396&lt;0,"Return","OK")))))</f>
        <v>OK</v>
      </c>
      <c r="L396" s="36" t="n">
        <f aca="false">IF(Raw_Export!$A396="","",IF(OR(K396="OK",K396="Return"),1,0))</f>
        <v>1</v>
      </c>
      <c r="M396" s="37" t="n">
        <f aca="false">IF(Raw_Export!$A396="","",B396-WEEKDAY(B396,2)+1)</f>
        <v>46265</v>
      </c>
    </row>
    <row r="397" customFormat="false" ht="15" hidden="false" customHeight="false" outlineLevel="0" collapsed="false">
      <c r="A397" s="36" t="str">
        <f aca="false">IF(Raw_Export!$A397="","",TRIM(Raw_Export!A397))</f>
        <v>TXN-100387</v>
      </c>
      <c r="B397" s="37" t="n">
        <f aca="false">IF(Raw_Export!$A397="","",IF(ISNUMBER(Raw_Export!B397),Raw_Export!B397,IF(MID(TRIM(Raw_Export!B397),5,1)="-",DATE(LEFT(TRIM(Raw_Export!B397),4),MID(TRIM(Raw_Export!B397),6,2),RIGHT(TRIM(Raw_Export!B397),2)),DATE(RIGHT(TRIM(Raw_Export!B397),4),MATCH(MID(TRIM(Raw_Export!B397),4,3),{"Jan","Feb","Mar","Apr","May","Jun","Jul","Aug","Sep","Oct","Nov","Dec"},0),LEFT(TRIM(Raw_Export!B397),2)))))</f>
        <v>46268</v>
      </c>
      <c r="C397" s="36" t="str">
        <f aca="false">IF(Raw_Export!$A397="","",IFERROR(VLOOKUP(LOWER(TRIM(Raw_Export!C397)),Maps!$A$2:$B$20,2,FALSE()),"UNMAPPED"))</f>
        <v>Nairobi CBD</v>
      </c>
      <c r="D397" s="36" t="str">
        <f aca="false">IF(Raw_Export!$A397="","",IFERROR(VLOOKUP(LOWER(TRIM(Raw_Export!D397)),Maps!$G$2:$I$80,2,FALSE()),"UNMAPPED"))</f>
        <v>Sanitary Pads 8pk</v>
      </c>
      <c r="E397" s="36" t="str">
        <f aca="false">IF(Raw_Export!$A397="","",IFERROR(VLOOKUP(LOWER(TRIM(Raw_Export!D397)),Maps!$G$2:$I$80,3,FALSE()),"UNMAPPED"))</f>
        <v>Personal Care</v>
      </c>
      <c r="F397" s="36" t="n">
        <f aca="false">IF(Raw_Export!$A397="","",IFERROR(VALUE(TRIM(Raw_Export!E397)),0))</f>
        <v>1</v>
      </c>
      <c r="G397" s="38" t="n">
        <f aca="false">IF(Raw_Export!$A397="","",IFERROR(VALUE(SUBSTITUTE(SUBSTITUTE(UPPER(TRIM(Raw_Export!F397)),"KES",""),",","")),0))</f>
        <v>130</v>
      </c>
      <c r="H397" s="38" t="n">
        <f aca="false">IF(Raw_Export!$A397="","",F397*G397)</f>
        <v>130</v>
      </c>
      <c r="I397" s="36" t="str">
        <f aca="false">IF(Raw_Export!$A397="","",IFERROR(VLOOKUP(LOWER(TRIM(Raw_Export!H397)),Maps!$D$2:$E$12,2,FALSE()),"Other"))</f>
        <v>M-Pesa</v>
      </c>
      <c r="J397" s="36" t="str">
        <f aca="false">IF(Raw_Export!$A397="","",IF(COUNTIF($A$2:A397,A397)&gt;1,"Duplicate",""))</f>
        <v/>
      </c>
      <c r="K397" s="36" t="str">
        <f aca="false">IF(Raw_Export!$A397="","",IF(J397="Duplicate","Duplicate",IF(OR(C397="UNMAPPED",D397="UNMAPPED"),"Unmapped",IF(F397=0,"Blank qty",IF(F397&lt;0,"Return","OK")))))</f>
        <v>OK</v>
      </c>
      <c r="L397" s="36" t="n">
        <f aca="false">IF(Raw_Export!$A397="","",IF(OR(K397="OK",K397="Return"),1,0))</f>
        <v>1</v>
      </c>
      <c r="M397" s="37" t="n">
        <f aca="false">IF(Raw_Export!$A397="","",B397-WEEKDAY(B397,2)+1)</f>
        <v>46265</v>
      </c>
    </row>
    <row r="398" customFormat="false" ht="15" hidden="false" customHeight="false" outlineLevel="0" collapsed="false">
      <c r="A398" s="36" t="str">
        <f aca="false">IF(Raw_Export!$A398="","",TRIM(Raw_Export!A398))</f>
        <v>TXN-100388</v>
      </c>
      <c r="B398" s="37" t="n">
        <f aca="false">IF(Raw_Export!$A398="","",IF(ISNUMBER(Raw_Export!B398),Raw_Export!B398,IF(MID(TRIM(Raw_Export!B398),5,1)="-",DATE(LEFT(TRIM(Raw_Export!B398),4),MID(TRIM(Raw_Export!B398),6,2),RIGHT(TRIM(Raw_Export!B398),2)),DATE(RIGHT(TRIM(Raw_Export!B398),4),MATCH(MID(TRIM(Raw_Export!B398),4,3),{"Jan","Feb","Mar","Apr","May","Jun","Jul","Aug","Sep","Oct","Nov","Dec"},0),LEFT(TRIM(Raw_Export!B398),2)))))</f>
        <v>46268</v>
      </c>
      <c r="C398" s="36" t="str">
        <f aca="false">IF(Raw_Export!$A398="","",IFERROR(VLOOKUP(LOWER(TRIM(Raw_Export!C398)),Maps!$A$2:$B$20,2,FALSE()),"UNMAPPED"))</f>
        <v>Nairobi CBD</v>
      </c>
      <c r="D398" s="36" t="str">
        <f aca="false">IF(Raw_Export!$A398="","",IFERROR(VLOOKUP(LOWER(TRIM(Raw_Export!D398)),Maps!$G$2:$I$80,2,FALSE()),"UNMAPPED"))</f>
        <v>Bread Loaf 400g</v>
      </c>
      <c r="E398" s="36" t="str">
        <f aca="false">IF(Raw_Export!$A398="","",IFERROR(VLOOKUP(LOWER(TRIM(Raw_Export!D398)),Maps!$G$2:$I$80,3,FALSE()),"UNMAPPED"))</f>
        <v>Snacks</v>
      </c>
      <c r="F398" s="36" t="n">
        <f aca="false">IF(Raw_Export!$A398="","",IFERROR(VALUE(TRIM(Raw_Export!E398)),0))</f>
        <v>2</v>
      </c>
      <c r="G398" s="38" t="n">
        <f aca="false">IF(Raw_Export!$A398="","",IFERROR(VALUE(SUBSTITUTE(SUBSTITUTE(UPPER(TRIM(Raw_Export!F398)),"KES",""),",","")),0))</f>
        <v>65</v>
      </c>
      <c r="H398" s="38" t="n">
        <f aca="false">IF(Raw_Export!$A398="","",F398*G398)</f>
        <v>130</v>
      </c>
      <c r="I398" s="36" t="str">
        <f aca="false">IF(Raw_Export!$A398="","",IFERROR(VLOOKUP(LOWER(TRIM(Raw_Export!H398)),Maps!$D$2:$E$12,2,FALSE()),"Other"))</f>
        <v>M-Pesa</v>
      </c>
      <c r="J398" s="36" t="str">
        <f aca="false">IF(Raw_Export!$A398="","",IF(COUNTIF($A$2:A398,A398)&gt;1,"Duplicate",""))</f>
        <v/>
      </c>
      <c r="K398" s="36" t="str">
        <f aca="false">IF(Raw_Export!$A398="","",IF(J398="Duplicate","Duplicate",IF(OR(C398="UNMAPPED",D398="UNMAPPED"),"Unmapped",IF(F398=0,"Blank qty",IF(F398&lt;0,"Return","OK")))))</f>
        <v>OK</v>
      </c>
      <c r="L398" s="36" t="n">
        <f aca="false">IF(Raw_Export!$A398="","",IF(OR(K398="OK",K398="Return"),1,0))</f>
        <v>1</v>
      </c>
      <c r="M398" s="37" t="n">
        <f aca="false">IF(Raw_Export!$A398="","",B398-WEEKDAY(B398,2)+1)</f>
        <v>46265</v>
      </c>
    </row>
    <row r="399" customFormat="false" ht="15" hidden="false" customHeight="false" outlineLevel="0" collapsed="false">
      <c r="A399" s="36" t="str">
        <f aca="false">IF(Raw_Export!$A399="","",TRIM(Raw_Export!A399))</f>
        <v>TXN-100389</v>
      </c>
      <c r="B399" s="37" t="n">
        <f aca="false">IF(Raw_Export!$A399="","",IF(ISNUMBER(Raw_Export!B399),Raw_Export!B399,IF(MID(TRIM(Raw_Export!B399),5,1)="-",DATE(LEFT(TRIM(Raw_Export!B399),4),MID(TRIM(Raw_Export!B399),6,2),RIGHT(TRIM(Raw_Export!B399),2)),DATE(RIGHT(TRIM(Raw_Export!B399),4),MATCH(MID(TRIM(Raw_Export!B399),4,3),{"Jan","Feb","Mar","Apr","May","Jun","Jul","Aug","Sep","Oct","Nov","Dec"},0),LEFT(TRIM(Raw_Export!B399),2)))))</f>
        <v>46268</v>
      </c>
      <c r="C399" s="36" t="str">
        <f aca="false">IF(Raw_Export!$A399="","",IFERROR(VLOOKUP(LOWER(TRIM(Raw_Export!C399)),Maps!$A$2:$B$20,2,FALSE()),"UNMAPPED"))</f>
        <v>Nairobi CBD</v>
      </c>
      <c r="D399" s="36" t="str">
        <f aca="false">IF(Raw_Export!$A399="","",IFERROR(VLOOKUP(LOWER(TRIM(Raw_Export!D399)),Maps!$G$2:$I$80,2,FALSE()),"UNMAPPED"))</f>
        <v>Unga Pembe 2kg</v>
      </c>
      <c r="E399" s="36" t="str">
        <f aca="false">IF(Raw_Export!$A399="","",IFERROR(VLOOKUP(LOWER(TRIM(Raw_Export!D399)),Maps!$G$2:$I$80,3,FALSE()),"UNMAPPED"))</f>
        <v>Staples</v>
      </c>
      <c r="F399" s="36" t="n">
        <f aca="false">IF(Raw_Export!$A399="","",IFERROR(VALUE(TRIM(Raw_Export!E399)),0))</f>
        <v>6</v>
      </c>
      <c r="G399" s="38" t="n">
        <f aca="false">IF(Raw_Export!$A399="","",IFERROR(VALUE(SUBSTITUTE(SUBSTITUTE(UPPER(TRIM(Raw_Export!F399)),"KES",""),",","")),0))</f>
        <v>190</v>
      </c>
      <c r="H399" s="38" t="n">
        <f aca="false">IF(Raw_Export!$A399="","",F399*G399)</f>
        <v>1140</v>
      </c>
      <c r="I399" s="36" t="str">
        <f aca="false">IF(Raw_Export!$A399="","",IFERROR(VLOOKUP(LOWER(TRIM(Raw_Export!H399)),Maps!$D$2:$E$12,2,FALSE()),"Other"))</f>
        <v>Cash</v>
      </c>
      <c r="J399" s="36" t="str">
        <f aca="false">IF(Raw_Export!$A399="","",IF(COUNTIF($A$2:A399,A399)&gt;1,"Duplicate",""))</f>
        <v/>
      </c>
      <c r="K399" s="36" t="str">
        <f aca="false">IF(Raw_Export!$A399="","",IF(J399="Duplicate","Duplicate",IF(OR(C399="UNMAPPED",D399="UNMAPPED"),"Unmapped",IF(F399=0,"Blank qty",IF(F399&lt;0,"Return","OK")))))</f>
        <v>OK</v>
      </c>
      <c r="L399" s="36" t="n">
        <f aca="false">IF(Raw_Export!$A399="","",IF(OR(K399="OK",K399="Return"),1,0))</f>
        <v>1</v>
      </c>
      <c r="M399" s="37" t="n">
        <f aca="false">IF(Raw_Export!$A399="","",B399-WEEKDAY(B399,2)+1)</f>
        <v>46265</v>
      </c>
    </row>
    <row r="400" customFormat="false" ht="15" hidden="false" customHeight="false" outlineLevel="0" collapsed="false">
      <c r="A400" s="36" t="str">
        <f aca="false">IF(Raw_Export!$A400="","",TRIM(Raw_Export!A400))</f>
        <v>TXN-100390</v>
      </c>
      <c r="B400" s="37" t="n">
        <f aca="false">IF(Raw_Export!$A400="","",IF(ISNUMBER(Raw_Export!B400),Raw_Export!B400,IF(MID(TRIM(Raw_Export!B400),5,1)="-",DATE(LEFT(TRIM(Raw_Export!B400),4),MID(TRIM(Raw_Export!B400),6,2),RIGHT(TRIM(Raw_Export!B400),2)),DATE(RIGHT(TRIM(Raw_Export!B400),4),MATCH(MID(TRIM(Raw_Export!B400),4,3),{"Jan","Feb","Mar","Apr","May","Jun","Jul","Aug","Sep","Oct","Nov","Dec"},0),LEFT(TRIM(Raw_Export!B400),2)))))</f>
        <v>46268</v>
      </c>
      <c r="C400" s="36" t="str">
        <f aca="false">IF(Raw_Export!$A400="","",IFERROR(VLOOKUP(LOWER(TRIM(Raw_Export!C400)),Maps!$A$2:$B$20,2,FALSE()),"UNMAPPED"))</f>
        <v>Nairobi CBD</v>
      </c>
      <c r="D400" s="36" t="str">
        <f aca="false">IF(Raw_Export!$A400="","",IFERROR(VLOOKUP(LOWER(TRIM(Raw_Export!D400)),Maps!$G$2:$I$80,2,FALSE()),"UNMAPPED"))</f>
        <v>Cooking Oil 1L</v>
      </c>
      <c r="E400" s="36" t="str">
        <f aca="false">IF(Raw_Export!$A400="","",IFERROR(VLOOKUP(LOWER(TRIM(Raw_Export!D400)),Maps!$G$2:$I$80,3,FALSE()),"UNMAPPED"))</f>
        <v>Staples</v>
      </c>
      <c r="F400" s="36" t="n">
        <f aca="false">IF(Raw_Export!$A400="","",IFERROR(VALUE(TRIM(Raw_Export!E400)),0))</f>
        <v>2</v>
      </c>
      <c r="G400" s="38" t="n">
        <f aca="false">IF(Raw_Export!$A400="","",IFERROR(VALUE(SUBSTITUTE(SUBSTITUTE(UPPER(TRIM(Raw_Export!F400)),"KES",""),",","")),0))</f>
        <v>330</v>
      </c>
      <c r="H400" s="38" t="n">
        <f aca="false">IF(Raw_Export!$A400="","",F400*G400)</f>
        <v>660</v>
      </c>
      <c r="I400" s="36" t="str">
        <f aca="false">IF(Raw_Export!$A400="","",IFERROR(VLOOKUP(LOWER(TRIM(Raw_Export!H400)),Maps!$D$2:$E$12,2,FALSE()),"Other"))</f>
        <v>Cash</v>
      </c>
      <c r="J400" s="36" t="str">
        <f aca="false">IF(Raw_Export!$A400="","",IF(COUNTIF($A$2:A400,A400)&gt;1,"Duplicate",""))</f>
        <v/>
      </c>
      <c r="K400" s="36" t="str">
        <f aca="false">IF(Raw_Export!$A400="","",IF(J400="Duplicate","Duplicate",IF(OR(C400="UNMAPPED",D400="UNMAPPED"),"Unmapped",IF(F400=0,"Blank qty",IF(F400&lt;0,"Return","OK")))))</f>
        <v>OK</v>
      </c>
      <c r="L400" s="36" t="n">
        <f aca="false">IF(Raw_Export!$A400="","",IF(OR(K400="OK",K400="Return"),1,0))</f>
        <v>1</v>
      </c>
      <c r="M400" s="37" t="n">
        <f aca="false">IF(Raw_Export!$A400="","",B400-WEEKDAY(B400,2)+1)</f>
        <v>46265</v>
      </c>
    </row>
    <row r="401" customFormat="false" ht="15" hidden="false" customHeight="false" outlineLevel="0" collapsed="false">
      <c r="A401" s="36" t="str">
        <f aca="false">IF(Raw_Export!$A401="","",TRIM(Raw_Export!A401))</f>
        <v>TXN-100391</v>
      </c>
      <c r="B401" s="37" t="n">
        <f aca="false">IF(Raw_Export!$A401="","",IF(ISNUMBER(Raw_Export!B401),Raw_Export!B401,IF(MID(TRIM(Raw_Export!B401),5,1)="-",DATE(LEFT(TRIM(Raw_Export!B401),4),MID(TRIM(Raw_Export!B401),6,2),RIGHT(TRIM(Raw_Export!B401),2)),DATE(RIGHT(TRIM(Raw_Export!B401),4),MATCH(MID(TRIM(Raw_Export!B401),4,3),{"Jan","Feb","Mar","Apr","May","Jun","Jul","Aug","Sep","Oct","Nov","Dec"},0),LEFT(TRIM(Raw_Export!B401),2)))))</f>
        <v>46268</v>
      </c>
      <c r="C401" s="36" t="str">
        <f aca="false">IF(Raw_Export!$A401="","",IFERROR(VLOOKUP(LOWER(TRIM(Raw_Export!C401)),Maps!$A$2:$B$20,2,FALSE()),"UNMAPPED"))</f>
        <v>Nairobi CBD</v>
      </c>
      <c r="D401" s="36" t="str">
        <f aca="false">IF(Raw_Export!$A401="","",IFERROR(VLOOKUP(LOWER(TRIM(Raw_Export!D401)),Maps!$G$2:$I$80,2,FALSE()),"UNMAPPED"))</f>
        <v>Spaghetti 400g</v>
      </c>
      <c r="E401" s="36" t="str">
        <f aca="false">IF(Raw_Export!$A401="","",IFERROR(VLOOKUP(LOWER(TRIM(Raw_Export!D401)),Maps!$G$2:$I$80,3,FALSE()),"UNMAPPED"))</f>
        <v>Staples</v>
      </c>
      <c r="F401" s="36" t="n">
        <f aca="false">IF(Raw_Export!$A401="","",IFERROR(VALUE(TRIM(Raw_Export!E401)),0))</f>
        <v>1</v>
      </c>
      <c r="G401" s="38" t="n">
        <f aca="false">IF(Raw_Export!$A401="","",IFERROR(VALUE(SUBSTITUTE(SUBSTITUTE(UPPER(TRIM(Raw_Export!F401)),"KES",""),",","")),0))</f>
        <v>110</v>
      </c>
      <c r="H401" s="38" t="n">
        <f aca="false">IF(Raw_Export!$A401="","",F401*G401)</f>
        <v>110</v>
      </c>
      <c r="I401" s="36" t="str">
        <f aca="false">IF(Raw_Export!$A401="","",IFERROR(VLOOKUP(LOWER(TRIM(Raw_Export!H401)),Maps!$D$2:$E$12,2,FALSE()),"Other"))</f>
        <v>M-Pesa</v>
      </c>
      <c r="J401" s="36" t="str">
        <f aca="false">IF(Raw_Export!$A401="","",IF(COUNTIF($A$2:A401,A401)&gt;1,"Duplicate",""))</f>
        <v/>
      </c>
      <c r="K401" s="36" t="str">
        <f aca="false">IF(Raw_Export!$A401="","",IF(J401="Duplicate","Duplicate",IF(OR(C401="UNMAPPED",D401="UNMAPPED"),"Unmapped",IF(F401=0,"Blank qty",IF(F401&lt;0,"Return","OK")))))</f>
        <v>OK</v>
      </c>
      <c r="L401" s="36" t="n">
        <f aca="false">IF(Raw_Export!$A401="","",IF(OR(K401="OK",K401="Return"),1,0))</f>
        <v>1</v>
      </c>
      <c r="M401" s="37" t="n">
        <f aca="false">IF(Raw_Export!$A401="","",B401-WEEKDAY(B401,2)+1)</f>
        <v>46265</v>
      </c>
    </row>
    <row r="402" customFormat="false" ht="15" hidden="false" customHeight="false" outlineLevel="0" collapsed="false">
      <c r="A402" s="36" t="str">
        <f aca="false">IF(Raw_Export!$A402="","",TRIM(Raw_Export!A402))</f>
        <v>TXN-100392</v>
      </c>
      <c r="B402" s="37" t="n">
        <f aca="false">IF(Raw_Export!$A402="","",IF(ISNUMBER(Raw_Export!B402),Raw_Export!B402,IF(MID(TRIM(Raw_Export!B402),5,1)="-",DATE(LEFT(TRIM(Raw_Export!B402),4),MID(TRIM(Raw_Export!B402),6,2),RIGHT(TRIM(Raw_Export!B402),2)),DATE(RIGHT(TRIM(Raw_Export!B402),4),MATCH(MID(TRIM(Raw_Export!B402),4,3),{"Jan","Feb","Mar","Apr","May","Jun","Jul","Aug","Sep","Oct","Nov","Dec"},0),LEFT(TRIM(Raw_Export!B402),2)))))</f>
        <v>46268</v>
      </c>
      <c r="C402" s="36" t="str">
        <f aca="false">IF(Raw_Export!$A402="","",IFERROR(VLOOKUP(LOWER(TRIM(Raw_Export!C402)),Maps!$A$2:$B$20,2,FALSE()),"UNMAPPED"))</f>
        <v>Nairobi CBD</v>
      </c>
      <c r="D402" s="36" t="str">
        <f aca="false">IF(Raw_Export!$A402="","",IFERROR(VLOOKUP(LOWER(TRIM(Raw_Export!D402)),Maps!$G$2:$I$80,2,FALSE()),"UNMAPPED"))</f>
        <v>Bath Soap 175g</v>
      </c>
      <c r="E402" s="36" t="str">
        <f aca="false">IF(Raw_Export!$A402="","",IFERROR(VLOOKUP(LOWER(TRIM(Raw_Export!D402)),Maps!$G$2:$I$80,3,FALSE()),"UNMAPPED"))</f>
        <v>Personal Care</v>
      </c>
      <c r="F402" s="36" t="n">
        <f aca="false">IF(Raw_Export!$A402="","",IFERROR(VALUE(TRIM(Raw_Export!E402)),0))</f>
        <v>6</v>
      </c>
      <c r="G402" s="38" t="n">
        <f aca="false">IF(Raw_Export!$A402="","",IFERROR(VALUE(SUBSTITUTE(SUBSTITUTE(UPPER(TRIM(Raw_Export!F402)),"KES",""),",","")),0))</f>
        <v>85</v>
      </c>
      <c r="H402" s="38" t="n">
        <f aca="false">IF(Raw_Export!$A402="","",F402*G402)</f>
        <v>510</v>
      </c>
      <c r="I402" s="36" t="str">
        <f aca="false">IF(Raw_Export!$A402="","",IFERROR(VLOOKUP(LOWER(TRIM(Raw_Export!H402)),Maps!$D$2:$E$12,2,FALSE()),"Other"))</f>
        <v>M-Pesa</v>
      </c>
      <c r="J402" s="36" t="str">
        <f aca="false">IF(Raw_Export!$A402="","",IF(COUNTIF($A$2:A402,A402)&gt;1,"Duplicate",""))</f>
        <v/>
      </c>
      <c r="K402" s="36" t="str">
        <f aca="false">IF(Raw_Export!$A402="","",IF(J402="Duplicate","Duplicate",IF(OR(C402="UNMAPPED",D402="UNMAPPED"),"Unmapped",IF(F402=0,"Blank qty",IF(F402&lt;0,"Return","OK")))))</f>
        <v>OK</v>
      </c>
      <c r="L402" s="36" t="n">
        <f aca="false">IF(Raw_Export!$A402="","",IF(OR(K402="OK",K402="Return"),1,0))</f>
        <v>1</v>
      </c>
      <c r="M402" s="37" t="n">
        <f aca="false">IF(Raw_Export!$A402="","",B402-WEEKDAY(B402,2)+1)</f>
        <v>46265</v>
      </c>
    </row>
    <row r="403" customFormat="false" ht="15" hidden="false" customHeight="false" outlineLevel="0" collapsed="false">
      <c r="A403" s="36" t="str">
        <f aca="false">IF(Raw_Export!$A403="","",TRIM(Raw_Export!A403))</f>
        <v>TXN-100393</v>
      </c>
      <c r="B403" s="37" t="n">
        <f aca="false">IF(Raw_Export!$A403="","",IF(ISNUMBER(Raw_Export!B403),Raw_Export!B403,IF(MID(TRIM(Raw_Export!B403),5,1)="-",DATE(LEFT(TRIM(Raw_Export!B403),4),MID(TRIM(Raw_Export!B403),6,2),RIGHT(TRIM(Raw_Export!B403),2)),DATE(RIGHT(TRIM(Raw_Export!B403),4),MATCH(MID(TRIM(Raw_Export!B403),4,3),{"Jan","Feb","Mar","Apr","May","Jun","Jul","Aug","Sep","Oct","Nov","Dec"},0),LEFT(TRIM(Raw_Export!B403),2)))))</f>
        <v>46268</v>
      </c>
      <c r="C403" s="36" t="str">
        <f aca="false">IF(Raw_Export!$A403="","",IFERROR(VLOOKUP(LOWER(TRIM(Raw_Export!C403)),Maps!$A$2:$B$20,2,FALSE()),"UNMAPPED"))</f>
        <v>Nairobi CBD</v>
      </c>
      <c r="D403" s="36" t="str">
        <f aca="false">IF(Raw_Export!$A403="","",IFERROR(VLOOKUP(LOWER(TRIM(Raw_Export!D403)),Maps!$G$2:$I$80,2,FALSE()),"UNMAPPED"))</f>
        <v>Fresh Milk 500ml</v>
      </c>
      <c r="E403" s="36" t="str">
        <f aca="false">IF(Raw_Export!$A403="","",IFERROR(VLOOKUP(LOWER(TRIM(Raw_Export!D403)),Maps!$G$2:$I$80,3,FALSE()),"UNMAPPED"))</f>
        <v>Dairy &amp; Eggs</v>
      </c>
      <c r="F403" s="36" t="n">
        <f aca="false">IF(Raw_Export!$A403="","",IFERROR(VALUE(TRIM(Raw_Export!E403)),0))</f>
        <v>6</v>
      </c>
      <c r="G403" s="38" t="n">
        <f aca="false">IF(Raw_Export!$A403="","",IFERROR(VALUE(SUBSTITUTE(SUBSTITUTE(UPPER(TRIM(Raw_Export!F403)),"KES",""),",","")),0))</f>
        <v>65</v>
      </c>
      <c r="H403" s="38" t="n">
        <f aca="false">IF(Raw_Export!$A403="","",F403*G403)</f>
        <v>390</v>
      </c>
      <c r="I403" s="36" t="str">
        <f aca="false">IF(Raw_Export!$A403="","",IFERROR(VLOOKUP(LOWER(TRIM(Raw_Export!H403)),Maps!$D$2:$E$12,2,FALSE()),"Other"))</f>
        <v>Cash</v>
      </c>
      <c r="J403" s="36" t="str">
        <f aca="false">IF(Raw_Export!$A403="","",IF(COUNTIF($A$2:A403,A403)&gt;1,"Duplicate",""))</f>
        <v/>
      </c>
      <c r="K403" s="36" t="str">
        <f aca="false">IF(Raw_Export!$A403="","",IF(J403="Duplicate","Duplicate",IF(OR(C403="UNMAPPED",D403="UNMAPPED"),"Unmapped",IF(F403=0,"Blank qty",IF(F403&lt;0,"Return","OK")))))</f>
        <v>OK</v>
      </c>
      <c r="L403" s="36" t="n">
        <f aca="false">IF(Raw_Export!$A403="","",IF(OR(K403="OK",K403="Return"),1,0))</f>
        <v>1</v>
      </c>
      <c r="M403" s="37" t="n">
        <f aca="false">IF(Raw_Export!$A403="","",B403-WEEKDAY(B403,2)+1)</f>
        <v>46265</v>
      </c>
    </row>
    <row r="404" customFormat="false" ht="15" hidden="false" customHeight="false" outlineLevel="0" collapsed="false">
      <c r="A404" s="36" t="str">
        <f aca="false">IF(Raw_Export!$A404="","",TRIM(Raw_Export!A404))</f>
        <v>TXN-100394</v>
      </c>
      <c r="B404" s="37" t="n">
        <f aca="false">IF(Raw_Export!$A404="","",IF(ISNUMBER(Raw_Export!B404),Raw_Export!B404,IF(MID(TRIM(Raw_Export!B404),5,1)="-",DATE(LEFT(TRIM(Raw_Export!B404),4),MID(TRIM(Raw_Export!B404),6,2),RIGHT(TRIM(Raw_Export!B404),2)),DATE(RIGHT(TRIM(Raw_Export!B404),4),MATCH(MID(TRIM(Raw_Export!B404),4,3),{"Jan","Feb","Mar","Apr","May","Jun","Jul","Aug","Sep","Oct","Nov","Dec"},0),LEFT(TRIM(Raw_Export!B404),2)))))</f>
        <v>46268</v>
      </c>
      <c r="C404" s="36" t="str">
        <f aca="false">IF(Raw_Export!$A404="","",IFERROR(VLOOKUP(LOWER(TRIM(Raw_Export!C404)),Maps!$A$2:$B$20,2,FALSE()),"UNMAPPED"))</f>
        <v>Nairobi CBD</v>
      </c>
      <c r="D404" s="36" t="str">
        <f aca="false">IF(Raw_Export!$A404="","",IFERROR(VLOOKUP(LOWER(TRIM(Raw_Export!D404)),Maps!$G$2:$I$80,2,FALSE()),"UNMAPPED"))</f>
        <v>Cooking Oil 1L</v>
      </c>
      <c r="E404" s="36" t="str">
        <f aca="false">IF(Raw_Export!$A404="","",IFERROR(VLOOKUP(LOWER(TRIM(Raw_Export!D404)),Maps!$G$2:$I$80,3,FALSE()),"UNMAPPED"))</f>
        <v>Staples</v>
      </c>
      <c r="F404" s="36" t="n">
        <f aca="false">IF(Raw_Export!$A404="","",IFERROR(VALUE(TRIM(Raw_Export!E404)),0))</f>
        <v>2</v>
      </c>
      <c r="G404" s="38" t="n">
        <f aca="false">IF(Raw_Export!$A404="","",IFERROR(VALUE(SUBSTITUTE(SUBSTITUTE(UPPER(TRIM(Raw_Export!F404)),"KES",""),",","")),0))</f>
        <v>330</v>
      </c>
      <c r="H404" s="38" t="n">
        <f aca="false">IF(Raw_Export!$A404="","",F404*G404)</f>
        <v>660</v>
      </c>
      <c r="I404" s="36" t="str">
        <f aca="false">IF(Raw_Export!$A404="","",IFERROR(VLOOKUP(LOWER(TRIM(Raw_Export!H404)),Maps!$D$2:$E$12,2,FALSE()),"Other"))</f>
        <v>Cash</v>
      </c>
      <c r="J404" s="36" t="str">
        <f aca="false">IF(Raw_Export!$A404="","",IF(COUNTIF($A$2:A404,A404)&gt;1,"Duplicate",""))</f>
        <v/>
      </c>
      <c r="K404" s="36" t="str">
        <f aca="false">IF(Raw_Export!$A404="","",IF(J404="Duplicate","Duplicate",IF(OR(C404="UNMAPPED",D404="UNMAPPED"),"Unmapped",IF(F404=0,"Blank qty",IF(F404&lt;0,"Return","OK")))))</f>
        <v>OK</v>
      </c>
      <c r="L404" s="36" t="n">
        <f aca="false">IF(Raw_Export!$A404="","",IF(OR(K404="OK",K404="Return"),1,0))</f>
        <v>1</v>
      </c>
      <c r="M404" s="37" t="n">
        <f aca="false">IF(Raw_Export!$A404="","",B404-WEEKDAY(B404,2)+1)</f>
        <v>46265</v>
      </c>
    </row>
    <row r="405" customFormat="false" ht="15" hidden="false" customHeight="false" outlineLevel="0" collapsed="false">
      <c r="A405" s="36" t="str">
        <f aca="false">IF(Raw_Export!$A405="","",TRIM(Raw_Export!A405))</f>
        <v>TXN-100395</v>
      </c>
      <c r="B405" s="37" t="n">
        <f aca="false">IF(Raw_Export!$A405="","",IF(ISNUMBER(Raw_Export!B405),Raw_Export!B405,IF(MID(TRIM(Raw_Export!B405),5,1)="-",DATE(LEFT(TRIM(Raw_Export!B405),4),MID(TRIM(Raw_Export!B405),6,2),RIGHT(TRIM(Raw_Export!B405),2)),DATE(RIGHT(TRIM(Raw_Export!B405),4),MATCH(MID(TRIM(Raw_Export!B405),4,3),{"Jan","Feb","Mar","Apr","May","Jun","Jul","Aug","Sep","Oct","Nov","Dec"},0),LEFT(TRIM(Raw_Export!B405),2)))))</f>
        <v>46268</v>
      </c>
      <c r="C405" s="36" t="str">
        <f aca="false">IF(Raw_Export!$A405="","",IFERROR(VLOOKUP(LOWER(TRIM(Raw_Export!C405)),Maps!$A$2:$B$20,2,FALSE()),"UNMAPPED"))</f>
        <v>Nairobi CBD</v>
      </c>
      <c r="D405" s="36" t="str">
        <f aca="false">IF(Raw_Export!$A405="","",IFERROR(VLOOKUP(LOWER(TRIM(Raw_Export!D405)),Maps!$G$2:$I$80,2,FALSE()),"UNMAPPED"))</f>
        <v>Cooking Oil 1L</v>
      </c>
      <c r="E405" s="36" t="str">
        <f aca="false">IF(Raw_Export!$A405="","",IFERROR(VLOOKUP(LOWER(TRIM(Raw_Export!D405)),Maps!$G$2:$I$80,3,FALSE()),"UNMAPPED"))</f>
        <v>Staples</v>
      </c>
      <c r="F405" s="36" t="n">
        <f aca="false">IF(Raw_Export!$A405="","",IFERROR(VALUE(TRIM(Raw_Export!E405)),0))</f>
        <v>1</v>
      </c>
      <c r="G405" s="38" t="n">
        <f aca="false">IF(Raw_Export!$A405="","",IFERROR(VALUE(SUBSTITUTE(SUBSTITUTE(UPPER(TRIM(Raw_Export!F405)),"KES",""),",","")),0))</f>
        <v>330</v>
      </c>
      <c r="H405" s="38" t="n">
        <f aca="false">IF(Raw_Export!$A405="","",F405*G405)</f>
        <v>330</v>
      </c>
      <c r="I405" s="36" t="str">
        <f aca="false">IF(Raw_Export!$A405="","",IFERROR(VLOOKUP(LOWER(TRIM(Raw_Export!H405)),Maps!$D$2:$E$12,2,FALSE()),"Other"))</f>
        <v>Card</v>
      </c>
      <c r="J405" s="36" t="str">
        <f aca="false">IF(Raw_Export!$A405="","",IF(COUNTIF($A$2:A405,A405)&gt;1,"Duplicate",""))</f>
        <v/>
      </c>
      <c r="K405" s="36" t="str">
        <f aca="false">IF(Raw_Export!$A405="","",IF(J405="Duplicate","Duplicate",IF(OR(C405="UNMAPPED",D405="UNMAPPED"),"Unmapped",IF(F405=0,"Blank qty",IF(F405&lt;0,"Return","OK")))))</f>
        <v>OK</v>
      </c>
      <c r="L405" s="36" t="n">
        <f aca="false">IF(Raw_Export!$A405="","",IF(OR(K405="OK",K405="Return"),1,0))</f>
        <v>1</v>
      </c>
      <c r="M405" s="37" t="n">
        <f aca="false">IF(Raw_Export!$A405="","",B405-WEEKDAY(B405,2)+1)</f>
        <v>46265</v>
      </c>
    </row>
    <row r="406" customFormat="false" ht="15" hidden="false" customHeight="false" outlineLevel="0" collapsed="false">
      <c r="A406" s="36" t="str">
        <f aca="false">IF(Raw_Export!$A406="","",TRIM(Raw_Export!A406))</f>
        <v>TXN-100396</v>
      </c>
      <c r="B406" s="37" t="n">
        <f aca="false">IF(Raw_Export!$A406="","",IF(ISNUMBER(Raw_Export!B406),Raw_Export!B406,IF(MID(TRIM(Raw_Export!B406),5,1)="-",DATE(LEFT(TRIM(Raw_Export!B406),4),MID(TRIM(Raw_Export!B406),6,2),RIGHT(TRIM(Raw_Export!B406),2)),DATE(RIGHT(TRIM(Raw_Export!B406),4),MATCH(MID(TRIM(Raw_Export!B406),4,3),{"Jan","Feb","Mar","Apr","May","Jun","Jul","Aug","Sep","Oct","Nov","Dec"},0),LEFT(TRIM(Raw_Export!B406),2)))))</f>
        <v>46268</v>
      </c>
      <c r="C406" s="36" t="str">
        <f aca="false">IF(Raw_Export!$A406="","",IFERROR(VLOOKUP(LOWER(TRIM(Raw_Export!C406)),Maps!$A$2:$B$20,2,FALSE()),"UNMAPPED"))</f>
        <v>Nairobi CBD</v>
      </c>
      <c r="D406" s="36" t="str">
        <f aca="false">IF(Raw_Export!$A406="","",IFERROR(VLOOKUP(LOWER(TRIM(Raw_Export!D406)),Maps!$G$2:$I$80,2,FALSE()),"UNMAPPED"))</f>
        <v>Washing Powder 1kg</v>
      </c>
      <c r="E406" s="36" t="str">
        <f aca="false">IF(Raw_Export!$A406="","",IFERROR(VLOOKUP(LOWER(TRIM(Raw_Export!D406)),Maps!$G$2:$I$80,3,FALSE()),"UNMAPPED"))</f>
        <v>Household</v>
      </c>
      <c r="F406" s="36" t="n">
        <f aca="false">IF(Raw_Export!$A406="","",IFERROR(VALUE(TRIM(Raw_Export!E406)),0))</f>
        <v>4</v>
      </c>
      <c r="G406" s="38" t="n">
        <f aca="false">IF(Raw_Export!$A406="","",IFERROR(VALUE(SUBSTITUTE(SUBSTITUTE(UPPER(TRIM(Raw_Export!F406)),"KES",""),",","")),0))</f>
        <v>280</v>
      </c>
      <c r="H406" s="38" t="n">
        <f aca="false">IF(Raw_Export!$A406="","",F406*G406)</f>
        <v>1120</v>
      </c>
      <c r="I406" s="36" t="str">
        <f aca="false">IF(Raw_Export!$A406="","",IFERROR(VLOOKUP(LOWER(TRIM(Raw_Export!H406)),Maps!$D$2:$E$12,2,FALSE()),"Other"))</f>
        <v>M-Pesa</v>
      </c>
      <c r="J406" s="36" t="str">
        <f aca="false">IF(Raw_Export!$A406="","",IF(COUNTIF($A$2:A406,A406)&gt;1,"Duplicate",""))</f>
        <v/>
      </c>
      <c r="K406" s="36" t="str">
        <f aca="false">IF(Raw_Export!$A406="","",IF(J406="Duplicate","Duplicate",IF(OR(C406="UNMAPPED",D406="UNMAPPED"),"Unmapped",IF(F406=0,"Blank qty",IF(F406&lt;0,"Return","OK")))))</f>
        <v>OK</v>
      </c>
      <c r="L406" s="36" t="n">
        <f aca="false">IF(Raw_Export!$A406="","",IF(OR(K406="OK",K406="Return"),1,0))</f>
        <v>1</v>
      </c>
      <c r="M406" s="37" t="n">
        <f aca="false">IF(Raw_Export!$A406="","",B406-WEEKDAY(B406,2)+1)</f>
        <v>46265</v>
      </c>
    </row>
    <row r="407" customFormat="false" ht="15" hidden="false" customHeight="false" outlineLevel="0" collapsed="false">
      <c r="A407" s="36" t="str">
        <f aca="false">IF(Raw_Export!$A407="","",TRIM(Raw_Export!A407))</f>
        <v>TXN-100397</v>
      </c>
      <c r="B407" s="37" t="n">
        <f aca="false">IF(Raw_Export!$A407="","",IF(ISNUMBER(Raw_Export!B407),Raw_Export!B407,IF(MID(TRIM(Raw_Export!B407),5,1)="-",DATE(LEFT(TRIM(Raw_Export!B407),4),MID(TRIM(Raw_Export!B407),6,2),RIGHT(TRIM(Raw_Export!B407),2)),DATE(RIGHT(TRIM(Raw_Export!B407),4),MATCH(MID(TRIM(Raw_Export!B407),4,3),{"Jan","Feb","Mar","Apr","May","Jun","Jul","Aug","Sep","Oct","Nov","Dec"},0),LEFT(TRIM(Raw_Export!B407),2)))))</f>
        <v>46268</v>
      </c>
      <c r="C407" s="36" t="str">
        <f aca="false">IF(Raw_Export!$A407="","",IFERROR(VLOOKUP(LOWER(TRIM(Raw_Export!C407)),Maps!$A$2:$B$20,2,FALSE()),"UNMAPPED"))</f>
        <v>Nairobi CBD</v>
      </c>
      <c r="D407" s="36" t="str">
        <f aca="false">IF(Raw_Export!$A407="","",IFERROR(VLOOKUP(LOWER(TRIM(Raw_Export!D407)),Maps!$G$2:$I$80,2,FALSE()),"UNMAPPED"))</f>
        <v>UNMAPPED</v>
      </c>
      <c r="E407" s="36" t="str">
        <f aca="false">IF(Raw_Export!$A407="","",IFERROR(VLOOKUP(LOWER(TRIM(Raw_Export!D407)),Maps!$G$2:$I$80,3,FALSE()),"UNMAPPED"))</f>
        <v>UNMAPPED</v>
      </c>
      <c r="F407" s="36" t="n">
        <f aca="false">IF(Raw_Export!$A407="","",IFERROR(VALUE(TRIM(Raw_Export!E407)),0))</f>
        <v>1</v>
      </c>
      <c r="G407" s="38" t="n">
        <f aca="false">IF(Raw_Export!$A407="","",IFERROR(VALUE(SUBSTITUTE(SUBSTITUTE(UPPER(TRIM(Raw_Export!F407)),"KES",""),",","")),0))</f>
        <v>160</v>
      </c>
      <c r="H407" s="38" t="n">
        <f aca="false">IF(Raw_Export!$A407="","",F407*G407)</f>
        <v>160</v>
      </c>
      <c r="I407" s="36" t="str">
        <f aca="false">IF(Raw_Export!$A407="","",IFERROR(VLOOKUP(LOWER(TRIM(Raw_Export!H407)),Maps!$D$2:$E$12,2,FALSE()),"Other"))</f>
        <v>Cash</v>
      </c>
      <c r="J407" s="36" t="str">
        <f aca="false">IF(Raw_Export!$A407="","",IF(COUNTIF($A$2:A407,A407)&gt;1,"Duplicate",""))</f>
        <v/>
      </c>
      <c r="K407" s="36" t="str">
        <f aca="false">IF(Raw_Export!$A407="","",IF(J407="Duplicate","Duplicate",IF(OR(C407="UNMAPPED",D407="UNMAPPED"),"Unmapped",IF(F407=0,"Blank qty",IF(F407&lt;0,"Return","OK")))))</f>
        <v>Unmapped</v>
      </c>
      <c r="L407" s="36" t="n">
        <f aca="false">IF(Raw_Export!$A407="","",IF(OR(K407="OK",K407="Return"),1,0))</f>
        <v>0</v>
      </c>
      <c r="M407" s="37" t="n">
        <f aca="false">IF(Raw_Export!$A407="","",B407-WEEKDAY(B407,2)+1)</f>
        <v>46265</v>
      </c>
    </row>
    <row r="408" customFormat="false" ht="15" hidden="false" customHeight="false" outlineLevel="0" collapsed="false">
      <c r="A408" s="36" t="str">
        <f aca="false">IF(Raw_Export!$A408="","",TRIM(Raw_Export!A408))</f>
        <v>TXN-100398</v>
      </c>
      <c r="B408" s="37" t="n">
        <f aca="false">IF(Raw_Export!$A408="","",IF(ISNUMBER(Raw_Export!B408),Raw_Export!B408,IF(MID(TRIM(Raw_Export!B408),5,1)="-",DATE(LEFT(TRIM(Raw_Export!B408),4),MID(TRIM(Raw_Export!B408),6,2),RIGHT(TRIM(Raw_Export!B408),2)),DATE(RIGHT(TRIM(Raw_Export!B408),4),MATCH(MID(TRIM(Raw_Export!B408),4,3),{"Jan","Feb","Mar","Apr","May","Jun","Jul","Aug","Sep","Oct","Nov","Dec"},0),LEFT(TRIM(Raw_Export!B408),2)))))</f>
        <v>46268</v>
      </c>
      <c r="C408" s="36" t="str">
        <f aca="false">IF(Raw_Export!$A408="","",IFERROR(VLOOKUP(LOWER(TRIM(Raw_Export!C408)),Maps!$A$2:$B$20,2,FALSE()),"UNMAPPED"))</f>
        <v>Nairobi CBD</v>
      </c>
      <c r="D408" s="36" t="str">
        <f aca="false">IF(Raw_Export!$A408="","",IFERROR(VLOOKUP(LOWER(TRIM(Raw_Export!D408)),Maps!$G$2:$I$80,2,FALSE()),"UNMAPPED"))</f>
        <v>Peanuts 250g</v>
      </c>
      <c r="E408" s="36" t="str">
        <f aca="false">IF(Raw_Export!$A408="","",IFERROR(VLOOKUP(LOWER(TRIM(Raw_Export!D408)),Maps!$G$2:$I$80,3,FALSE()),"UNMAPPED"))</f>
        <v>Snacks</v>
      </c>
      <c r="F408" s="36" t="n">
        <f aca="false">IF(Raw_Export!$A408="","",IFERROR(VALUE(TRIM(Raw_Export!E408)),0))</f>
        <v>1</v>
      </c>
      <c r="G408" s="38" t="n">
        <f aca="false">IF(Raw_Export!$A408="","",IFERROR(VALUE(SUBSTITUTE(SUBSTITUTE(UPPER(TRIM(Raw_Export!F408)),"KES",""),",","")),0))</f>
        <v>130</v>
      </c>
      <c r="H408" s="38" t="n">
        <f aca="false">IF(Raw_Export!$A408="","",F408*G408)</f>
        <v>130</v>
      </c>
      <c r="I408" s="36" t="str">
        <f aca="false">IF(Raw_Export!$A408="","",IFERROR(VLOOKUP(LOWER(TRIM(Raw_Export!H408)),Maps!$D$2:$E$12,2,FALSE()),"Other"))</f>
        <v>M-Pesa</v>
      </c>
      <c r="J408" s="36" t="str">
        <f aca="false">IF(Raw_Export!$A408="","",IF(COUNTIF($A$2:A408,A408)&gt;1,"Duplicate",""))</f>
        <v/>
      </c>
      <c r="K408" s="36" t="str">
        <f aca="false">IF(Raw_Export!$A408="","",IF(J408="Duplicate","Duplicate",IF(OR(C408="UNMAPPED",D408="UNMAPPED"),"Unmapped",IF(F408=0,"Blank qty",IF(F408&lt;0,"Return","OK")))))</f>
        <v>OK</v>
      </c>
      <c r="L408" s="36" t="n">
        <f aca="false">IF(Raw_Export!$A408="","",IF(OR(K408="OK",K408="Return"),1,0))</f>
        <v>1</v>
      </c>
      <c r="M408" s="37" t="n">
        <f aca="false">IF(Raw_Export!$A408="","",B408-WEEKDAY(B408,2)+1)</f>
        <v>46265</v>
      </c>
    </row>
    <row r="409" customFormat="false" ht="15" hidden="false" customHeight="false" outlineLevel="0" collapsed="false">
      <c r="A409" s="36" t="str">
        <f aca="false">IF(Raw_Export!$A409="","",TRIM(Raw_Export!A409))</f>
        <v>TXN-100399</v>
      </c>
      <c r="B409" s="37" t="n">
        <f aca="false">IF(Raw_Export!$A409="","",IF(ISNUMBER(Raw_Export!B409),Raw_Export!B409,IF(MID(TRIM(Raw_Export!B409),5,1)="-",DATE(LEFT(TRIM(Raw_Export!B409),4),MID(TRIM(Raw_Export!B409),6,2),RIGHT(TRIM(Raw_Export!B409),2)),DATE(RIGHT(TRIM(Raw_Export!B409),4),MATCH(MID(TRIM(Raw_Export!B409),4,3),{"Jan","Feb","Mar","Apr","May","Jun","Jul","Aug","Sep","Oct","Nov","Dec"},0),LEFT(TRIM(Raw_Export!B409),2)))))</f>
        <v>46268</v>
      </c>
      <c r="C409" s="36" t="str">
        <f aca="false">IF(Raw_Export!$A409="","",IFERROR(VLOOKUP(LOWER(TRIM(Raw_Export!C409)),Maps!$A$2:$B$20,2,FALSE()),"UNMAPPED"))</f>
        <v>Nairobi CBD</v>
      </c>
      <c r="D409" s="36" t="str">
        <f aca="false">IF(Raw_Export!$A409="","",IFERROR(VLOOKUP(LOWER(TRIM(Raw_Export!D409)),Maps!$G$2:$I$80,2,FALSE()),"UNMAPPED"))</f>
        <v>Washing Powder 1kg</v>
      </c>
      <c r="E409" s="36" t="str">
        <f aca="false">IF(Raw_Export!$A409="","",IFERROR(VLOOKUP(LOWER(TRIM(Raw_Export!D409)),Maps!$G$2:$I$80,3,FALSE()),"UNMAPPED"))</f>
        <v>Household</v>
      </c>
      <c r="F409" s="36" t="n">
        <f aca="false">IF(Raw_Export!$A409="","",IFERROR(VALUE(TRIM(Raw_Export!E409)),0))</f>
        <v>2</v>
      </c>
      <c r="G409" s="38" t="n">
        <f aca="false">IF(Raw_Export!$A409="","",IFERROR(VALUE(SUBSTITUTE(SUBSTITUTE(UPPER(TRIM(Raw_Export!F409)),"KES",""),",","")),0))</f>
        <v>280</v>
      </c>
      <c r="H409" s="38" t="n">
        <f aca="false">IF(Raw_Export!$A409="","",F409*G409)</f>
        <v>560</v>
      </c>
      <c r="I409" s="36" t="str">
        <f aca="false">IF(Raw_Export!$A409="","",IFERROR(VLOOKUP(LOWER(TRIM(Raw_Export!H409)),Maps!$D$2:$E$12,2,FALSE()),"Other"))</f>
        <v>M-Pesa</v>
      </c>
      <c r="J409" s="36" t="str">
        <f aca="false">IF(Raw_Export!$A409="","",IF(COUNTIF($A$2:A409,A409)&gt;1,"Duplicate",""))</f>
        <v/>
      </c>
      <c r="K409" s="36" t="str">
        <f aca="false">IF(Raw_Export!$A409="","",IF(J409="Duplicate","Duplicate",IF(OR(C409="UNMAPPED",D409="UNMAPPED"),"Unmapped",IF(F409=0,"Blank qty",IF(F409&lt;0,"Return","OK")))))</f>
        <v>OK</v>
      </c>
      <c r="L409" s="36" t="n">
        <f aca="false">IF(Raw_Export!$A409="","",IF(OR(K409="OK",K409="Return"),1,0))</f>
        <v>1</v>
      </c>
      <c r="M409" s="37" t="n">
        <f aca="false">IF(Raw_Export!$A409="","",B409-WEEKDAY(B409,2)+1)</f>
        <v>46265</v>
      </c>
    </row>
    <row r="410" customFormat="false" ht="15" hidden="false" customHeight="false" outlineLevel="0" collapsed="false">
      <c r="A410" s="36" t="str">
        <f aca="false">IF(Raw_Export!$A410="","",TRIM(Raw_Export!A410))</f>
        <v>TXN-100400</v>
      </c>
      <c r="B410" s="37" t="n">
        <f aca="false">IF(Raw_Export!$A410="","",IF(ISNUMBER(Raw_Export!B410),Raw_Export!B410,IF(MID(TRIM(Raw_Export!B410),5,1)="-",DATE(LEFT(TRIM(Raw_Export!B410),4),MID(TRIM(Raw_Export!B410),6,2),RIGHT(TRIM(Raw_Export!B410),2)),DATE(RIGHT(TRIM(Raw_Export!B410),4),MATCH(MID(TRIM(Raw_Export!B410),4,3),{"Jan","Feb","Mar","Apr","May","Jun","Jul","Aug","Sep","Oct","Nov","Dec"},0),LEFT(TRIM(Raw_Export!B410),2)))))</f>
        <v>46268</v>
      </c>
      <c r="C410" s="36" t="str">
        <f aca="false">IF(Raw_Export!$A410="","",IFERROR(VLOOKUP(LOWER(TRIM(Raw_Export!C410)),Maps!$A$2:$B$20,2,FALSE()),"UNMAPPED"))</f>
        <v>Nairobi CBD</v>
      </c>
      <c r="D410" s="36" t="str">
        <f aca="false">IF(Raw_Export!$A410="","",IFERROR(VLOOKUP(LOWER(TRIM(Raw_Export!D410)),Maps!$G$2:$I$80,2,FALSE()),"UNMAPPED"))</f>
        <v>Cooking Oil 1L</v>
      </c>
      <c r="E410" s="36" t="str">
        <f aca="false">IF(Raw_Export!$A410="","",IFERROR(VLOOKUP(LOWER(TRIM(Raw_Export!D410)),Maps!$G$2:$I$80,3,FALSE()),"UNMAPPED"))</f>
        <v>Staples</v>
      </c>
      <c r="F410" s="36" t="n">
        <f aca="false">IF(Raw_Export!$A410="","",IFERROR(VALUE(TRIM(Raw_Export!E410)),0))</f>
        <v>1</v>
      </c>
      <c r="G410" s="38" t="n">
        <f aca="false">IF(Raw_Export!$A410="","",IFERROR(VALUE(SUBSTITUTE(SUBSTITUTE(UPPER(TRIM(Raw_Export!F410)),"KES",""),",","")),0))</f>
        <v>330</v>
      </c>
      <c r="H410" s="38" t="n">
        <f aca="false">IF(Raw_Export!$A410="","",F410*G410)</f>
        <v>330</v>
      </c>
      <c r="I410" s="36" t="str">
        <f aca="false">IF(Raw_Export!$A410="","",IFERROR(VLOOKUP(LOWER(TRIM(Raw_Export!H410)),Maps!$D$2:$E$12,2,FALSE()),"Other"))</f>
        <v>Card</v>
      </c>
      <c r="J410" s="36" t="str">
        <f aca="false">IF(Raw_Export!$A410="","",IF(COUNTIF($A$2:A410,A410)&gt;1,"Duplicate",""))</f>
        <v/>
      </c>
      <c r="K410" s="36" t="str">
        <f aca="false">IF(Raw_Export!$A410="","",IF(J410="Duplicate","Duplicate",IF(OR(C410="UNMAPPED",D410="UNMAPPED"),"Unmapped",IF(F410=0,"Blank qty",IF(F410&lt;0,"Return","OK")))))</f>
        <v>OK</v>
      </c>
      <c r="L410" s="36" t="n">
        <f aca="false">IF(Raw_Export!$A410="","",IF(OR(K410="OK",K410="Return"),1,0))</f>
        <v>1</v>
      </c>
      <c r="M410" s="37" t="n">
        <f aca="false">IF(Raw_Export!$A410="","",B410-WEEKDAY(B410,2)+1)</f>
        <v>46265</v>
      </c>
    </row>
    <row r="411" customFormat="false" ht="15" hidden="false" customHeight="false" outlineLevel="0" collapsed="false">
      <c r="A411" s="36" t="str">
        <f aca="false">IF(Raw_Export!$A411="","",TRIM(Raw_Export!A411))</f>
        <v>TXN-100401</v>
      </c>
      <c r="B411" s="37" t="n">
        <f aca="false">IF(Raw_Export!$A411="","",IF(ISNUMBER(Raw_Export!B411),Raw_Export!B411,IF(MID(TRIM(Raw_Export!B411),5,1)="-",DATE(LEFT(TRIM(Raw_Export!B411),4),MID(TRIM(Raw_Export!B411),6,2),RIGHT(TRIM(Raw_Export!B411),2)),DATE(RIGHT(TRIM(Raw_Export!B411),4),MATCH(MID(TRIM(Raw_Export!B411),4,3),{"Jan","Feb","Mar","Apr","May","Jun","Jul","Aug","Sep","Oct","Nov","Dec"},0),LEFT(TRIM(Raw_Export!B411),2)))))</f>
        <v>46268</v>
      </c>
      <c r="C411" s="36" t="str">
        <f aca="false">IF(Raw_Export!$A411="","",IFERROR(VLOOKUP(LOWER(TRIM(Raw_Export!C411)),Maps!$A$2:$B$20,2,FALSE()),"UNMAPPED"))</f>
        <v>Nairobi CBD</v>
      </c>
      <c r="D411" s="36" t="str">
        <f aca="false">IF(Raw_Export!$A411="","",IFERROR(VLOOKUP(LOWER(TRIM(Raw_Export!D411)),Maps!$G$2:$I$80,2,FALSE()),"UNMAPPED"))</f>
        <v>Fresh Milk 500ml</v>
      </c>
      <c r="E411" s="36" t="str">
        <f aca="false">IF(Raw_Export!$A411="","",IFERROR(VLOOKUP(LOWER(TRIM(Raw_Export!D411)),Maps!$G$2:$I$80,3,FALSE()),"UNMAPPED"))</f>
        <v>Dairy &amp; Eggs</v>
      </c>
      <c r="F411" s="36" t="n">
        <f aca="false">IF(Raw_Export!$A411="","",IFERROR(VALUE(TRIM(Raw_Export!E411)),0))</f>
        <v>1</v>
      </c>
      <c r="G411" s="38" t="n">
        <f aca="false">IF(Raw_Export!$A411="","",IFERROR(VALUE(SUBSTITUTE(SUBSTITUTE(UPPER(TRIM(Raw_Export!F411)),"KES",""),",","")),0))</f>
        <v>65</v>
      </c>
      <c r="H411" s="38" t="n">
        <f aca="false">IF(Raw_Export!$A411="","",F411*G411)</f>
        <v>65</v>
      </c>
      <c r="I411" s="36" t="str">
        <f aca="false">IF(Raw_Export!$A411="","",IFERROR(VLOOKUP(LOWER(TRIM(Raw_Export!H411)),Maps!$D$2:$E$12,2,FALSE()),"Other"))</f>
        <v>M-Pesa</v>
      </c>
      <c r="J411" s="36" t="str">
        <f aca="false">IF(Raw_Export!$A411="","",IF(COUNTIF($A$2:A411,A411)&gt;1,"Duplicate",""))</f>
        <v/>
      </c>
      <c r="K411" s="36" t="str">
        <f aca="false">IF(Raw_Export!$A411="","",IF(J411="Duplicate","Duplicate",IF(OR(C411="UNMAPPED",D411="UNMAPPED"),"Unmapped",IF(F411=0,"Blank qty",IF(F411&lt;0,"Return","OK")))))</f>
        <v>OK</v>
      </c>
      <c r="L411" s="36" t="n">
        <f aca="false">IF(Raw_Export!$A411="","",IF(OR(K411="OK",K411="Return"),1,0))</f>
        <v>1</v>
      </c>
      <c r="M411" s="37" t="n">
        <f aca="false">IF(Raw_Export!$A411="","",B411-WEEKDAY(B411,2)+1)</f>
        <v>46265</v>
      </c>
    </row>
    <row r="412" customFormat="false" ht="15" hidden="false" customHeight="false" outlineLevel="0" collapsed="false">
      <c r="A412" s="36" t="str">
        <f aca="false">IF(Raw_Export!$A412="","",TRIM(Raw_Export!A412))</f>
        <v>TXN-100402</v>
      </c>
      <c r="B412" s="37" t="n">
        <f aca="false">IF(Raw_Export!$A412="","",IF(ISNUMBER(Raw_Export!B412),Raw_Export!B412,IF(MID(TRIM(Raw_Export!B412),5,1)="-",DATE(LEFT(TRIM(Raw_Export!B412),4),MID(TRIM(Raw_Export!B412),6,2),RIGHT(TRIM(Raw_Export!B412),2)),DATE(RIGHT(TRIM(Raw_Export!B412),4),MATCH(MID(TRIM(Raw_Export!B412),4,3),{"Jan","Feb","Mar","Apr","May","Jun","Jul","Aug","Sep","Oct","Nov","Dec"},0),LEFT(TRIM(Raw_Export!B412),2)))))</f>
        <v>46268</v>
      </c>
      <c r="C412" s="36" t="str">
        <f aca="false">IF(Raw_Export!$A412="","",IFERROR(VLOOKUP(LOWER(TRIM(Raw_Export!C412)),Maps!$A$2:$B$20,2,FALSE()),"UNMAPPED"))</f>
        <v>Nairobi CBD</v>
      </c>
      <c r="D412" s="36" t="str">
        <f aca="false">IF(Raw_Export!$A412="","",IFERROR(VLOOKUP(LOWER(TRIM(Raw_Export!D412)),Maps!$G$2:$I$80,2,FALSE()),"UNMAPPED"))</f>
        <v>Washing Powder 1kg</v>
      </c>
      <c r="E412" s="36" t="str">
        <f aca="false">IF(Raw_Export!$A412="","",IFERROR(VLOOKUP(LOWER(TRIM(Raw_Export!D412)),Maps!$G$2:$I$80,3,FALSE()),"UNMAPPED"))</f>
        <v>Household</v>
      </c>
      <c r="F412" s="36" t="n">
        <f aca="false">IF(Raw_Export!$A412="","",IFERROR(VALUE(TRIM(Raw_Export!E412)),0))</f>
        <v>6</v>
      </c>
      <c r="G412" s="38" t="n">
        <f aca="false">IF(Raw_Export!$A412="","",IFERROR(VALUE(SUBSTITUTE(SUBSTITUTE(UPPER(TRIM(Raw_Export!F412)),"KES",""),",","")),0))</f>
        <v>280</v>
      </c>
      <c r="H412" s="38" t="n">
        <f aca="false">IF(Raw_Export!$A412="","",F412*G412)</f>
        <v>1680</v>
      </c>
      <c r="I412" s="36" t="str">
        <f aca="false">IF(Raw_Export!$A412="","",IFERROR(VLOOKUP(LOWER(TRIM(Raw_Export!H412)),Maps!$D$2:$E$12,2,FALSE()),"Other"))</f>
        <v>Cash</v>
      </c>
      <c r="J412" s="36" t="str">
        <f aca="false">IF(Raw_Export!$A412="","",IF(COUNTIF($A$2:A412,A412)&gt;1,"Duplicate",""))</f>
        <v/>
      </c>
      <c r="K412" s="36" t="str">
        <f aca="false">IF(Raw_Export!$A412="","",IF(J412="Duplicate","Duplicate",IF(OR(C412="UNMAPPED",D412="UNMAPPED"),"Unmapped",IF(F412=0,"Blank qty",IF(F412&lt;0,"Return","OK")))))</f>
        <v>OK</v>
      </c>
      <c r="L412" s="36" t="n">
        <f aca="false">IF(Raw_Export!$A412="","",IF(OR(K412="OK",K412="Return"),1,0))</f>
        <v>1</v>
      </c>
      <c r="M412" s="37" t="n">
        <f aca="false">IF(Raw_Export!$A412="","",B412-WEEKDAY(B412,2)+1)</f>
        <v>46265</v>
      </c>
    </row>
    <row r="413" customFormat="false" ht="15" hidden="false" customHeight="false" outlineLevel="0" collapsed="false">
      <c r="A413" s="36" t="str">
        <f aca="false">IF(Raw_Export!$A413="","",TRIM(Raw_Export!A413))</f>
        <v>TXN-100403</v>
      </c>
      <c r="B413" s="37" t="n">
        <f aca="false">IF(Raw_Export!$A413="","",IF(ISNUMBER(Raw_Export!B413),Raw_Export!B413,IF(MID(TRIM(Raw_Export!B413),5,1)="-",DATE(LEFT(TRIM(Raw_Export!B413),4),MID(TRIM(Raw_Export!B413),6,2),RIGHT(TRIM(Raw_Export!B413),2)),DATE(RIGHT(TRIM(Raw_Export!B413),4),MATCH(MID(TRIM(Raw_Export!B413),4,3),{"Jan","Feb","Mar","Apr","May","Jun","Jul","Aug","Sep","Oct","Nov","Dec"},0),LEFT(TRIM(Raw_Export!B413),2)))))</f>
        <v>46268</v>
      </c>
      <c r="C413" s="36" t="str">
        <f aca="false">IF(Raw_Export!$A413="","",IFERROR(VLOOKUP(LOWER(TRIM(Raw_Export!C413)),Maps!$A$2:$B$20,2,FALSE()),"UNMAPPED"))</f>
        <v>Nairobi CBD</v>
      </c>
      <c r="D413" s="36" t="str">
        <f aca="false">IF(Raw_Export!$A413="","",IFERROR(VLOOKUP(LOWER(TRIM(Raw_Export!D413)),Maps!$G$2:$I$80,2,FALSE()),"UNMAPPED"))</f>
        <v>Bread Loaf 400g</v>
      </c>
      <c r="E413" s="36" t="str">
        <f aca="false">IF(Raw_Export!$A413="","",IFERROR(VLOOKUP(LOWER(TRIM(Raw_Export!D413)),Maps!$G$2:$I$80,3,FALSE()),"UNMAPPED"))</f>
        <v>Snacks</v>
      </c>
      <c r="F413" s="36" t="n">
        <f aca="false">IF(Raw_Export!$A413="","",IFERROR(VALUE(TRIM(Raw_Export!E413)),0))</f>
        <v>2</v>
      </c>
      <c r="G413" s="38" t="n">
        <f aca="false">IF(Raw_Export!$A413="","",IFERROR(VALUE(SUBSTITUTE(SUBSTITUTE(UPPER(TRIM(Raw_Export!F413)),"KES",""),",","")),0))</f>
        <v>65</v>
      </c>
      <c r="H413" s="38" t="n">
        <f aca="false">IF(Raw_Export!$A413="","",F413*G413)</f>
        <v>130</v>
      </c>
      <c r="I413" s="36" t="str">
        <f aca="false">IF(Raw_Export!$A413="","",IFERROR(VLOOKUP(LOWER(TRIM(Raw_Export!H413)),Maps!$D$2:$E$12,2,FALSE()),"Other"))</f>
        <v>M-Pesa</v>
      </c>
      <c r="J413" s="36" t="str">
        <f aca="false">IF(Raw_Export!$A413="","",IF(COUNTIF($A$2:A413,A413)&gt;1,"Duplicate",""))</f>
        <v/>
      </c>
      <c r="K413" s="36" t="str">
        <f aca="false">IF(Raw_Export!$A413="","",IF(J413="Duplicate","Duplicate",IF(OR(C413="UNMAPPED",D413="UNMAPPED"),"Unmapped",IF(F413=0,"Blank qty",IF(F413&lt;0,"Return","OK")))))</f>
        <v>OK</v>
      </c>
      <c r="L413" s="36" t="n">
        <f aca="false">IF(Raw_Export!$A413="","",IF(OR(K413="OK",K413="Return"),1,0))</f>
        <v>1</v>
      </c>
      <c r="M413" s="37" t="n">
        <f aca="false">IF(Raw_Export!$A413="","",B413-WEEKDAY(B413,2)+1)</f>
        <v>46265</v>
      </c>
    </row>
    <row r="414" customFormat="false" ht="15" hidden="false" customHeight="false" outlineLevel="0" collapsed="false">
      <c r="A414" s="36" t="str">
        <f aca="false">IF(Raw_Export!$A414="","",TRIM(Raw_Export!A414))</f>
        <v>TXN-100404</v>
      </c>
      <c r="B414" s="37" t="n">
        <f aca="false">IF(Raw_Export!$A414="","",IF(ISNUMBER(Raw_Export!B414),Raw_Export!B414,IF(MID(TRIM(Raw_Export!B414),5,1)="-",DATE(LEFT(TRIM(Raw_Export!B414),4),MID(TRIM(Raw_Export!B414),6,2),RIGHT(TRIM(Raw_Export!B414),2)),DATE(RIGHT(TRIM(Raw_Export!B414),4),MATCH(MID(TRIM(Raw_Export!B414),4,3),{"Jan","Feb","Mar","Apr","May","Jun","Jul","Aug","Sep","Oct","Nov","Dec"},0),LEFT(TRIM(Raw_Export!B414),2)))))</f>
        <v>46268</v>
      </c>
      <c r="C414" s="36" t="str">
        <f aca="false">IF(Raw_Export!$A414="","",IFERROR(VLOOKUP(LOWER(TRIM(Raw_Export!C414)),Maps!$A$2:$B$20,2,FALSE()),"UNMAPPED"))</f>
        <v>Nairobi CBD</v>
      </c>
      <c r="D414" s="36" t="str">
        <f aca="false">IF(Raw_Export!$A414="","",IFERROR(VLOOKUP(LOWER(TRIM(Raw_Export!D414)),Maps!$G$2:$I$80,2,FALSE()),"UNMAPPED"))</f>
        <v>Washing Powder 1kg</v>
      </c>
      <c r="E414" s="36" t="str">
        <f aca="false">IF(Raw_Export!$A414="","",IFERROR(VLOOKUP(LOWER(TRIM(Raw_Export!D414)),Maps!$G$2:$I$80,3,FALSE()),"UNMAPPED"))</f>
        <v>Household</v>
      </c>
      <c r="F414" s="36" t="n">
        <f aca="false">IF(Raw_Export!$A414="","",IFERROR(VALUE(TRIM(Raw_Export!E414)),0))</f>
        <v>1</v>
      </c>
      <c r="G414" s="38" t="n">
        <f aca="false">IF(Raw_Export!$A414="","",IFERROR(VALUE(SUBSTITUTE(SUBSTITUTE(UPPER(TRIM(Raw_Export!F414)),"KES",""),",","")),0))</f>
        <v>280</v>
      </c>
      <c r="H414" s="38" t="n">
        <f aca="false">IF(Raw_Export!$A414="","",F414*G414)</f>
        <v>280</v>
      </c>
      <c r="I414" s="36" t="str">
        <f aca="false">IF(Raw_Export!$A414="","",IFERROR(VLOOKUP(LOWER(TRIM(Raw_Export!H414)),Maps!$D$2:$E$12,2,FALSE()),"Other"))</f>
        <v>Cash</v>
      </c>
      <c r="J414" s="36" t="str">
        <f aca="false">IF(Raw_Export!$A414="","",IF(COUNTIF($A$2:A414,A414)&gt;1,"Duplicate",""))</f>
        <v/>
      </c>
      <c r="K414" s="36" t="str">
        <f aca="false">IF(Raw_Export!$A414="","",IF(J414="Duplicate","Duplicate",IF(OR(C414="UNMAPPED",D414="UNMAPPED"),"Unmapped",IF(F414=0,"Blank qty",IF(F414&lt;0,"Return","OK")))))</f>
        <v>OK</v>
      </c>
      <c r="L414" s="36" t="n">
        <f aca="false">IF(Raw_Export!$A414="","",IF(OR(K414="OK",K414="Return"),1,0))</f>
        <v>1</v>
      </c>
      <c r="M414" s="37" t="n">
        <f aca="false">IF(Raw_Export!$A414="","",B414-WEEKDAY(B414,2)+1)</f>
        <v>46265</v>
      </c>
    </row>
    <row r="415" customFormat="false" ht="15" hidden="false" customHeight="false" outlineLevel="0" collapsed="false">
      <c r="A415" s="36" t="str">
        <f aca="false">IF(Raw_Export!$A415="","",TRIM(Raw_Export!A415))</f>
        <v>TXN-100405</v>
      </c>
      <c r="B415" s="37" t="n">
        <f aca="false">IF(Raw_Export!$A415="","",IF(ISNUMBER(Raw_Export!B415),Raw_Export!B415,IF(MID(TRIM(Raw_Export!B415),5,1)="-",DATE(LEFT(TRIM(Raw_Export!B415),4),MID(TRIM(Raw_Export!B415),6,2),RIGHT(TRIM(Raw_Export!B415),2)),DATE(RIGHT(TRIM(Raw_Export!B415),4),MATCH(MID(TRIM(Raw_Export!B415),4,3),{"Jan","Feb","Mar","Apr","May","Jun","Jul","Aug","Sep","Oct","Nov","Dec"},0),LEFT(TRIM(Raw_Export!B415),2)))))</f>
        <v>46268</v>
      </c>
      <c r="C415" s="36" t="str">
        <f aca="false">IF(Raw_Export!$A415="","",IFERROR(VLOOKUP(LOWER(TRIM(Raw_Export!C415)),Maps!$A$2:$B$20,2,FALSE()),"UNMAPPED"))</f>
        <v>Nairobi CBD</v>
      </c>
      <c r="D415" s="36" t="str">
        <f aca="false">IF(Raw_Export!$A415="","",IFERROR(VLOOKUP(LOWER(TRIM(Raw_Export!D415)),Maps!$G$2:$I$80,2,FALSE()),"UNMAPPED"))</f>
        <v>Chocolate Bar 90g</v>
      </c>
      <c r="E415" s="36" t="str">
        <f aca="false">IF(Raw_Export!$A415="","",IFERROR(VLOOKUP(LOWER(TRIM(Raw_Export!D415)),Maps!$G$2:$I$80,3,FALSE()),"UNMAPPED"))</f>
        <v>Snacks</v>
      </c>
      <c r="F415" s="36" t="n">
        <f aca="false">IF(Raw_Export!$A415="","",IFERROR(VALUE(TRIM(Raw_Export!E415)),0))</f>
        <v>1</v>
      </c>
      <c r="G415" s="38" t="n">
        <f aca="false">IF(Raw_Export!$A415="","",IFERROR(VALUE(SUBSTITUTE(SUBSTITUTE(UPPER(TRIM(Raw_Export!F415)),"KES",""),",","")),0))</f>
        <v>140</v>
      </c>
      <c r="H415" s="38" t="n">
        <f aca="false">IF(Raw_Export!$A415="","",F415*G415)</f>
        <v>140</v>
      </c>
      <c r="I415" s="36" t="str">
        <f aca="false">IF(Raw_Export!$A415="","",IFERROR(VLOOKUP(LOWER(TRIM(Raw_Export!H415)),Maps!$D$2:$E$12,2,FALSE()),"Other"))</f>
        <v>Card</v>
      </c>
      <c r="J415" s="36" t="str">
        <f aca="false">IF(Raw_Export!$A415="","",IF(COUNTIF($A$2:A415,A415)&gt;1,"Duplicate",""))</f>
        <v/>
      </c>
      <c r="K415" s="36" t="str">
        <f aca="false">IF(Raw_Export!$A415="","",IF(J415="Duplicate","Duplicate",IF(OR(C415="UNMAPPED",D415="UNMAPPED"),"Unmapped",IF(F415=0,"Blank qty",IF(F415&lt;0,"Return","OK")))))</f>
        <v>OK</v>
      </c>
      <c r="L415" s="36" t="n">
        <f aca="false">IF(Raw_Export!$A415="","",IF(OR(K415="OK",K415="Return"),1,0))</f>
        <v>1</v>
      </c>
      <c r="M415" s="37" t="n">
        <f aca="false">IF(Raw_Export!$A415="","",B415-WEEKDAY(B415,2)+1)</f>
        <v>46265</v>
      </c>
    </row>
    <row r="416" customFormat="false" ht="15" hidden="false" customHeight="false" outlineLevel="0" collapsed="false">
      <c r="A416" s="36" t="str">
        <f aca="false">IF(Raw_Export!$A416="","",TRIM(Raw_Export!A416))</f>
        <v>TXN-100406</v>
      </c>
      <c r="B416" s="37" t="n">
        <f aca="false">IF(Raw_Export!$A416="","",IF(ISNUMBER(Raw_Export!B416),Raw_Export!B416,IF(MID(TRIM(Raw_Export!B416),5,1)="-",DATE(LEFT(TRIM(Raw_Export!B416),4),MID(TRIM(Raw_Export!B416),6,2),RIGHT(TRIM(Raw_Export!B416),2)),DATE(RIGHT(TRIM(Raw_Export!B416),4),MATCH(MID(TRIM(Raw_Export!B416),4,3),{"Jan","Feb","Mar","Apr","May","Jun","Jul","Aug","Sep","Oct","Nov","Dec"},0),LEFT(TRIM(Raw_Export!B416),2)))))</f>
        <v>46268</v>
      </c>
      <c r="C416" s="36" t="str">
        <f aca="false">IF(Raw_Export!$A416="","",IFERROR(VLOOKUP(LOWER(TRIM(Raw_Export!C416)),Maps!$A$2:$B$20,2,FALSE()),"UNMAPPED"))</f>
        <v>Nairobi CBD</v>
      </c>
      <c r="D416" s="36" t="str">
        <f aca="false">IF(Raw_Export!$A416="","",IFERROR(VLOOKUP(LOWER(TRIM(Raw_Export!D416)),Maps!$G$2:$I$80,2,FALSE()),"UNMAPPED"))</f>
        <v>Deodorant 150ml</v>
      </c>
      <c r="E416" s="36" t="str">
        <f aca="false">IF(Raw_Export!$A416="","",IFERROR(VLOOKUP(LOWER(TRIM(Raw_Export!D416)),Maps!$G$2:$I$80,3,FALSE()),"UNMAPPED"))</f>
        <v>Personal Care</v>
      </c>
      <c r="F416" s="36" t="n">
        <f aca="false">IF(Raw_Export!$A416="","",IFERROR(VALUE(TRIM(Raw_Export!E416)),0))</f>
        <v>2</v>
      </c>
      <c r="G416" s="38" t="n">
        <f aca="false">IF(Raw_Export!$A416="","",IFERROR(VALUE(SUBSTITUTE(SUBSTITUTE(UPPER(TRIM(Raw_Export!F416)),"KES",""),",","")),0))</f>
        <v>350</v>
      </c>
      <c r="H416" s="38" t="n">
        <f aca="false">IF(Raw_Export!$A416="","",F416*G416)</f>
        <v>700</v>
      </c>
      <c r="I416" s="36" t="str">
        <f aca="false">IF(Raw_Export!$A416="","",IFERROR(VLOOKUP(LOWER(TRIM(Raw_Export!H416)),Maps!$D$2:$E$12,2,FALSE()),"Other"))</f>
        <v>Cash</v>
      </c>
      <c r="J416" s="36" t="str">
        <f aca="false">IF(Raw_Export!$A416="","",IF(COUNTIF($A$2:A416,A416)&gt;1,"Duplicate",""))</f>
        <v/>
      </c>
      <c r="K416" s="36" t="str">
        <f aca="false">IF(Raw_Export!$A416="","",IF(J416="Duplicate","Duplicate",IF(OR(C416="UNMAPPED",D416="UNMAPPED"),"Unmapped",IF(F416=0,"Blank qty",IF(F416&lt;0,"Return","OK")))))</f>
        <v>OK</v>
      </c>
      <c r="L416" s="36" t="n">
        <f aca="false">IF(Raw_Export!$A416="","",IF(OR(K416="OK",K416="Return"),1,0))</f>
        <v>1</v>
      </c>
      <c r="M416" s="37" t="n">
        <f aca="false">IF(Raw_Export!$A416="","",B416-WEEKDAY(B416,2)+1)</f>
        <v>46265</v>
      </c>
    </row>
    <row r="417" customFormat="false" ht="15" hidden="false" customHeight="false" outlineLevel="0" collapsed="false">
      <c r="A417" s="36" t="str">
        <f aca="false">IF(Raw_Export!$A417="","",TRIM(Raw_Export!A417))</f>
        <v>TXN-100407</v>
      </c>
      <c r="B417" s="37" t="n">
        <f aca="false">IF(Raw_Export!$A417="","",IF(ISNUMBER(Raw_Export!B417),Raw_Export!B417,IF(MID(TRIM(Raw_Export!B417),5,1)="-",DATE(LEFT(TRIM(Raw_Export!B417),4),MID(TRIM(Raw_Export!B417),6,2),RIGHT(TRIM(Raw_Export!B417),2)),DATE(RIGHT(TRIM(Raw_Export!B417),4),MATCH(MID(TRIM(Raw_Export!B417),4,3),{"Jan","Feb","Mar","Apr","May","Jun","Jul","Aug","Sep","Oct","Nov","Dec"},0),LEFT(TRIM(Raw_Export!B417),2)))))</f>
        <v>46268</v>
      </c>
      <c r="C417" s="36" t="str">
        <f aca="false">IF(Raw_Export!$A417="","",IFERROR(VLOOKUP(LOWER(TRIM(Raw_Export!C417)),Maps!$A$2:$B$20,2,FALSE()),"UNMAPPED"))</f>
        <v>Nairobi CBD</v>
      </c>
      <c r="D417" s="36" t="str">
        <f aca="false">IF(Raw_Export!$A417="","",IFERROR(VLOOKUP(LOWER(TRIM(Raw_Export!D417)),Maps!$G$2:$I$80,2,FALSE()),"UNMAPPED"))</f>
        <v>Sugar 2kg</v>
      </c>
      <c r="E417" s="36" t="str">
        <f aca="false">IF(Raw_Export!$A417="","",IFERROR(VLOOKUP(LOWER(TRIM(Raw_Export!D417)),Maps!$G$2:$I$80,3,FALSE()),"UNMAPPED"))</f>
        <v>Staples</v>
      </c>
      <c r="F417" s="36" t="n">
        <f aca="false">IF(Raw_Export!$A417="","",IFERROR(VALUE(TRIM(Raw_Export!E417)),0))</f>
        <v>1</v>
      </c>
      <c r="G417" s="38" t="n">
        <f aca="false">IF(Raw_Export!$A417="","",IFERROR(VALUE(SUBSTITUTE(SUBSTITUTE(UPPER(TRIM(Raw_Export!F417)),"KES",""),",","")),0))</f>
        <v>330</v>
      </c>
      <c r="H417" s="38" t="n">
        <f aca="false">IF(Raw_Export!$A417="","",F417*G417)</f>
        <v>330</v>
      </c>
      <c r="I417" s="36" t="str">
        <f aca="false">IF(Raw_Export!$A417="","",IFERROR(VLOOKUP(LOWER(TRIM(Raw_Export!H417)),Maps!$D$2:$E$12,2,FALSE()),"Other"))</f>
        <v>M-Pesa</v>
      </c>
      <c r="J417" s="36" t="str">
        <f aca="false">IF(Raw_Export!$A417="","",IF(COUNTIF($A$2:A417,A417)&gt;1,"Duplicate",""))</f>
        <v/>
      </c>
      <c r="K417" s="36" t="str">
        <f aca="false">IF(Raw_Export!$A417="","",IF(J417="Duplicate","Duplicate",IF(OR(C417="UNMAPPED",D417="UNMAPPED"),"Unmapped",IF(F417=0,"Blank qty",IF(F417&lt;0,"Return","OK")))))</f>
        <v>OK</v>
      </c>
      <c r="L417" s="36" t="n">
        <f aca="false">IF(Raw_Export!$A417="","",IF(OR(K417="OK",K417="Return"),1,0))</f>
        <v>1</v>
      </c>
      <c r="M417" s="37" t="n">
        <f aca="false">IF(Raw_Export!$A417="","",B417-WEEKDAY(B417,2)+1)</f>
        <v>46265</v>
      </c>
    </row>
    <row r="418" customFormat="false" ht="15" hidden="false" customHeight="false" outlineLevel="0" collapsed="false">
      <c r="A418" s="36" t="str">
        <f aca="false">IF(Raw_Export!$A418="","",TRIM(Raw_Export!A418))</f>
        <v>TXN-100408</v>
      </c>
      <c r="B418" s="37" t="n">
        <f aca="false">IF(Raw_Export!$A418="","",IF(ISNUMBER(Raw_Export!B418),Raw_Export!B418,IF(MID(TRIM(Raw_Export!B418),5,1)="-",DATE(LEFT(TRIM(Raw_Export!B418),4),MID(TRIM(Raw_Export!B418),6,2),RIGHT(TRIM(Raw_Export!B418),2)),DATE(RIGHT(TRIM(Raw_Export!B418),4),MATCH(MID(TRIM(Raw_Export!B418),4,3),{"Jan","Feb","Mar","Apr","May","Jun","Jul","Aug","Sep","Oct","Nov","Dec"},0),LEFT(TRIM(Raw_Export!B418),2)))))</f>
        <v>46268</v>
      </c>
      <c r="C418" s="36" t="str">
        <f aca="false">IF(Raw_Export!$A418="","",IFERROR(VLOOKUP(LOWER(TRIM(Raw_Export!C418)),Maps!$A$2:$B$20,2,FALSE()),"UNMAPPED"))</f>
        <v>Nairobi CBD</v>
      </c>
      <c r="D418" s="36" t="str">
        <f aca="false">IF(Raw_Export!$A418="","",IFERROR(VLOOKUP(LOWER(TRIM(Raw_Export!D418)),Maps!$G$2:$I$80,2,FALSE()),"UNMAPPED"))</f>
        <v>Juice 1L</v>
      </c>
      <c r="E418" s="36" t="str">
        <f aca="false">IF(Raw_Export!$A418="","",IFERROR(VLOOKUP(LOWER(TRIM(Raw_Export!D418)),Maps!$G$2:$I$80,3,FALSE()),"UNMAPPED"))</f>
        <v>Beverages</v>
      </c>
      <c r="F418" s="36" t="n">
        <f aca="false">IF(Raw_Export!$A418="","",IFERROR(VALUE(TRIM(Raw_Export!E418)),0))</f>
        <v>1</v>
      </c>
      <c r="G418" s="38" t="n">
        <f aca="false">IF(Raw_Export!$A418="","",IFERROR(VALUE(SUBSTITUTE(SUBSTITUTE(UPPER(TRIM(Raw_Export!F418)),"KES",""),",","")),0))</f>
        <v>210</v>
      </c>
      <c r="H418" s="38" t="n">
        <f aca="false">IF(Raw_Export!$A418="","",F418*G418)</f>
        <v>210</v>
      </c>
      <c r="I418" s="36" t="str">
        <f aca="false">IF(Raw_Export!$A418="","",IFERROR(VLOOKUP(LOWER(TRIM(Raw_Export!H418)),Maps!$D$2:$E$12,2,FALSE()),"Other"))</f>
        <v>Cash</v>
      </c>
      <c r="J418" s="36" t="str">
        <f aca="false">IF(Raw_Export!$A418="","",IF(COUNTIF($A$2:A418,A418)&gt;1,"Duplicate",""))</f>
        <v/>
      </c>
      <c r="K418" s="36" t="str">
        <f aca="false">IF(Raw_Export!$A418="","",IF(J418="Duplicate","Duplicate",IF(OR(C418="UNMAPPED",D418="UNMAPPED"),"Unmapped",IF(F418=0,"Blank qty",IF(F418&lt;0,"Return","OK")))))</f>
        <v>OK</v>
      </c>
      <c r="L418" s="36" t="n">
        <f aca="false">IF(Raw_Export!$A418="","",IF(OR(K418="OK",K418="Return"),1,0))</f>
        <v>1</v>
      </c>
      <c r="M418" s="37" t="n">
        <f aca="false">IF(Raw_Export!$A418="","",B418-WEEKDAY(B418,2)+1)</f>
        <v>46265</v>
      </c>
    </row>
    <row r="419" customFormat="false" ht="15" hidden="false" customHeight="false" outlineLevel="0" collapsed="false">
      <c r="A419" s="36" t="str">
        <f aca="false">IF(Raw_Export!$A419="","",TRIM(Raw_Export!A419))</f>
        <v>TXN-100409</v>
      </c>
      <c r="B419" s="37" t="n">
        <f aca="false">IF(Raw_Export!$A419="","",IF(ISNUMBER(Raw_Export!B419),Raw_Export!B419,IF(MID(TRIM(Raw_Export!B419),5,1)="-",DATE(LEFT(TRIM(Raw_Export!B419),4),MID(TRIM(Raw_Export!B419),6,2),RIGHT(TRIM(Raw_Export!B419),2)),DATE(RIGHT(TRIM(Raw_Export!B419),4),MATCH(MID(TRIM(Raw_Export!B419),4,3),{"Jan","Feb","Mar","Apr","May","Jun","Jul","Aug","Sep","Oct","Nov","Dec"},0),LEFT(TRIM(Raw_Export!B419),2)))))</f>
        <v>46268</v>
      </c>
      <c r="C419" s="36" t="str">
        <f aca="false">IF(Raw_Export!$A419="","",IFERROR(VLOOKUP(LOWER(TRIM(Raw_Export!C419)),Maps!$A$2:$B$20,2,FALSE()),"UNMAPPED"))</f>
        <v>Nairobi CBD</v>
      </c>
      <c r="D419" s="36" t="str">
        <f aca="false">IF(Raw_Export!$A419="","",IFERROR(VLOOKUP(LOWER(TRIM(Raw_Export!D419)),Maps!$G$2:$I$80,2,FALSE()),"UNMAPPED"))</f>
        <v>Bread Loaf 400g</v>
      </c>
      <c r="E419" s="36" t="str">
        <f aca="false">IF(Raw_Export!$A419="","",IFERROR(VLOOKUP(LOWER(TRIM(Raw_Export!D419)),Maps!$G$2:$I$80,3,FALSE()),"UNMAPPED"))</f>
        <v>Snacks</v>
      </c>
      <c r="F419" s="36" t="n">
        <f aca="false">IF(Raw_Export!$A419="","",IFERROR(VALUE(TRIM(Raw_Export!E419)),0))</f>
        <v>6</v>
      </c>
      <c r="G419" s="38" t="n">
        <f aca="false">IF(Raw_Export!$A419="","",IFERROR(VALUE(SUBSTITUTE(SUBSTITUTE(UPPER(TRIM(Raw_Export!F419)),"KES",""),",","")),0))</f>
        <v>65</v>
      </c>
      <c r="H419" s="38" t="n">
        <f aca="false">IF(Raw_Export!$A419="","",F419*G419)</f>
        <v>390</v>
      </c>
      <c r="I419" s="36" t="str">
        <f aca="false">IF(Raw_Export!$A419="","",IFERROR(VLOOKUP(LOWER(TRIM(Raw_Export!H419)),Maps!$D$2:$E$12,2,FALSE()),"Other"))</f>
        <v>Cash</v>
      </c>
      <c r="J419" s="36" t="str">
        <f aca="false">IF(Raw_Export!$A419="","",IF(COUNTIF($A$2:A419,A419)&gt;1,"Duplicate",""))</f>
        <v/>
      </c>
      <c r="K419" s="36" t="str">
        <f aca="false">IF(Raw_Export!$A419="","",IF(J419="Duplicate","Duplicate",IF(OR(C419="UNMAPPED",D419="UNMAPPED"),"Unmapped",IF(F419=0,"Blank qty",IF(F419&lt;0,"Return","OK")))))</f>
        <v>OK</v>
      </c>
      <c r="L419" s="36" t="n">
        <f aca="false">IF(Raw_Export!$A419="","",IF(OR(K419="OK",K419="Return"),1,0))</f>
        <v>1</v>
      </c>
      <c r="M419" s="37" t="n">
        <f aca="false">IF(Raw_Export!$A419="","",B419-WEEKDAY(B419,2)+1)</f>
        <v>46265</v>
      </c>
    </row>
    <row r="420" customFormat="false" ht="15" hidden="false" customHeight="false" outlineLevel="0" collapsed="false">
      <c r="A420" s="36" t="str">
        <f aca="false">IF(Raw_Export!$A420="","",TRIM(Raw_Export!A420))</f>
        <v>TXN-100410</v>
      </c>
      <c r="B420" s="37" t="n">
        <f aca="false">IF(Raw_Export!$A420="","",IF(ISNUMBER(Raw_Export!B420),Raw_Export!B420,IF(MID(TRIM(Raw_Export!B420),5,1)="-",DATE(LEFT(TRIM(Raw_Export!B420),4),MID(TRIM(Raw_Export!B420),6,2),RIGHT(TRIM(Raw_Export!B420),2)),DATE(RIGHT(TRIM(Raw_Export!B420),4),MATCH(MID(TRIM(Raw_Export!B420),4,3),{"Jan","Feb","Mar","Apr","May","Jun","Jul","Aug","Sep","Oct","Nov","Dec"},0),LEFT(TRIM(Raw_Export!B420),2)))))</f>
        <v>46268</v>
      </c>
      <c r="C420" s="36" t="str">
        <f aca="false">IF(Raw_Export!$A420="","",IFERROR(VLOOKUP(LOWER(TRIM(Raw_Export!C420)),Maps!$A$2:$B$20,2,FALSE()),"UNMAPPED"))</f>
        <v>Nairobi CBD</v>
      </c>
      <c r="D420" s="36" t="str">
        <f aca="false">IF(Raw_Export!$A420="","",IFERROR(VLOOKUP(LOWER(TRIM(Raw_Export!D420)),Maps!$G$2:$I$80,2,FALSE()),"UNMAPPED"))</f>
        <v>Sugar 2kg</v>
      </c>
      <c r="E420" s="36" t="str">
        <f aca="false">IF(Raw_Export!$A420="","",IFERROR(VLOOKUP(LOWER(TRIM(Raw_Export!D420)),Maps!$G$2:$I$80,3,FALSE()),"UNMAPPED"))</f>
        <v>Staples</v>
      </c>
      <c r="F420" s="36" t="n">
        <f aca="false">IF(Raw_Export!$A420="","",IFERROR(VALUE(TRIM(Raw_Export!E420)),0))</f>
        <v>1</v>
      </c>
      <c r="G420" s="38" t="n">
        <f aca="false">IF(Raw_Export!$A420="","",IFERROR(VALUE(SUBSTITUTE(SUBSTITUTE(UPPER(TRIM(Raw_Export!F420)),"KES",""),",","")),0))</f>
        <v>330</v>
      </c>
      <c r="H420" s="38" t="n">
        <f aca="false">IF(Raw_Export!$A420="","",F420*G420)</f>
        <v>330</v>
      </c>
      <c r="I420" s="36" t="str">
        <f aca="false">IF(Raw_Export!$A420="","",IFERROR(VLOOKUP(LOWER(TRIM(Raw_Export!H420)),Maps!$D$2:$E$12,2,FALSE()),"Other"))</f>
        <v>Card</v>
      </c>
      <c r="J420" s="36" t="str">
        <f aca="false">IF(Raw_Export!$A420="","",IF(COUNTIF($A$2:A420,A420)&gt;1,"Duplicate",""))</f>
        <v/>
      </c>
      <c r="K420" s="36" t="str">
        <f aca="false">IF(Raw_Export!$A420="","",IF(J420="Duplicate","Duplicate",IF(OR(C420="UNMAPPED",D420="UNMAPPED"),"Unmapped",IF(F420=0,"Blank qty",IF(F420&lt;0,"Return","OK")))))</f>
        <v>OK</v>
      </c>
      <c r="L420" s="36" t="n">
        <f aca="false">IF(Raw_Export!$A420="","",IF(OR(K420="OK",K420="Return"),1,0))</f>
        <v>1</v>
      </c>
      <c r="M420" s="37" t="n">
        <f aca="false">IF(Raw_Export!$A420="","",B420-WEEKDAY(B420,2)+1)</f>
        <v>46265</v>
      </c>
    </row>
    <row r="421" customFormat="false" ht="15" hidden="false" customHeight="false" outlineLevel="0" collapsed="false">
      <c r="A421" s="36" t="str">
        <f aca="false">IF(Raw_Export!$A421="","",TRIM(Raw_Export!A421))</f>
        <v>TXN-100411</v>
      </c>
      <c r="B421" s="37" t="n">
        <f aca="false">IF(Raw_Export!$A421="","",IF(ISNUMBER(Raw_Export!B421),Raw_Export!B421,IF(MID(TRIM(Raw_Export!B421),5,1)="-",DATE(LEFT(TRIM(Raw_Export!B421),4),MID(TRIM(Raw_Export!B421),6,2),RIGHT(TRIM(Raw_Export!B421),2)),DATE(RIGHT(TRIM(Raw_Export!B421),4),MATCH(MID(TRIM(Raw_Export!B421),4,3),{"Jan","Feb","Mar","Apr","May","Jun","Jul","Aug","Sep","Oct","Nov","Dec"},0),LEFT(TRIM(Raw_Export!B421),2)))))</f>
        <v>46268</v>
      </c>
      <c r="C421" s="36" t="str">
        <f aca="false">IF(Raw_Export!$A421="","",IFERROR(VLOOKUP(LOWER(TRIM(Raw_Export!C421)),Maps!$A$2:$B$20,2,FALSE()),"UNMAPPED"))</f>
        <v>Nairobi CBD</v>
      </c>
      <c r="D421" s="36" t="str">
        <f aca="false">IF(Raw_Export!$A421="","",IFERROR(VLOOKUP(LOWER(TRIM(Raw_Export!D421)),Maps!$G$2:$I$80,2,FALSE()),"UNMAPPED"))</f>
        <v>Spaghetti 400g</v>
      </c>
      <c r="E421" s="36" t="str">
        <f aca="false">IF(Raw_Export!$A421="","",IFERROR(VLOOKUP(LOWER(TRIM(Raw_Export!D421)),Maps!$G$2:$I$80,3,FALSE()),"UNMAPPED"))</f>
        <v>Staples</v>
      </c>
      <c r="F421" s="36" t="n">
        <f aca="false">IF(Raw_Export!$A421="","",IFERROR(VALUE(TRIM(Raw_Export!E421)),0))</f>
        <v>1</v>
      </c>
      <c r="G421" s="38" t="n">
        <f aca="false">IF(Raw_Export!$A421="","",IFERROR(VALUE(SUBSTITUTE(SUBSTITUTE(UPPER(TRIM(Raw_Export!F421)),"KES",""),",","")),0))</f>
        <v>110</v>
      </c>
      <c r="H421" s="38" t="n">
        <f aca="false">IF(Raw_Export!$A421="","",F421*G421)</f>
        <v>110</v>
      </c>
      <c r="I421" s="36" t="str">
        <f aca="false">IF(Raw_Export!$A421="","",IFERROR(VLOOKUP(LOWER(TRIM(Raw_Export!H421)),Maps!$D$2:$E$12,2,FALSE()),"Other"))</f>
        <v>M-Pesa</v>
      </c>
      <c r="J421" s="36" t="str">
        <f aca="false">IF(Raw_Export!$A421="","",IF(COUNTIF($A$2:A421,A421)&gt;1,"Duplicate",""))</f>
        <v/>
      </c>
      <c r="K421" s="36" t="str">
        <f aca="false">IF(Raw_Export!$A421="","",IF(J421="Duplicate","Duplicate",IF(OR(C421="UNMAPPED",D421="UNMAPPED"),"Unmapped",IF(F421=0,"Blank qty",IF(F421&lt;0,"Return","OK")))))</f>
        <v>OK</v>
      </c>
      <c r="L421" s="36" t="n">
        <f aca="false">IF(Raw_Export!$A421="","",IF(OR(K421="OK",K421="Return"),1,0))</f>
        <v>1</v>
      </c>
      <c r="M421" s="37" t="n">
        <f aca="false">IF(Raw_Export!$A421="","",B421-WEEKDAY(B421,2)+1)</f>
        <v>46265</v>
      </c>
    </row>
    <row r="422" customFormat="false" ht="15" hidden="false" customHeight="false" outlineLevel="0" collapsed="false">
      <c r="A422" s="36" t="str">
        <f aca="false">IF(Raw_Export!$A422="","",TRIM(Raw_Export!A422))</f>
        <v>TXN-100412</v>
      </c>
      <c r="B422" s="37" t="n">
        <f aca="false">IF(Raw_Export!$A422="","",IF(ISNUMBER(Raw_Export!B422),Raw_Export!B422,IF(MID(TRIM(Raw_Export!B422),5,1)="-",DATE(LEFT(TRIM(Raw_Export!B422),4),MID(TRIM(Raw_Export!B422),6,2),RIGHT(TRIM(Raw_Export!B422),2)),DATE(RIGHT(TRIM(Raw_Export!B422),4),MATCH(MID(TRIM(Raw_Export!B422),4,3),{"Jan","Feb","Mar","Apr","May","Jun","Jul","Aug","Sep","Oct","Nov","Dec"},0),LEFT(TRIM(Raw_Export!B422),2)))))</f>
        <v>46268</v>
      </c>
      <c r="C422" s="36" t="str">
        <f aca="false">IF(Raw_Export!$A422="","",IFERROR(VLOOKUP(LOWER(TRIM(Raw_Export!C422)),Maps!$A$2:$B$20,2,FALSE()),"UNMAPPED"))</f>
        <v>Nairobi CBD</v>
      </c>
      <c r="D422" s="36" t="str">
        <f aca="false">IF(Raw_Export!$A422="","",IFERROR(VLOOKUP(LOWER(TRIM(Raw_Export!D422)),Maps!$G$2:$I$80,2,FALSE()),"UNMAPPED"))</f>
        <v>Deodorant 150ml</v>
      </c>
      <c r="E422" s="36" t="str">
        <f aca="false">IF(Raw_Export!$A422="","",IFERROR(VLOOKUP(LOWER(TRIM(Raw_Export!D422)),Maps!$G$2:$I$80,3,FALSE()),"UNMAPPED"))</f>
        <v>Personal Care</v>
      </c>
      <c r="F422" s="36" t="n">
        <f aca="false">IF(Raw_Export!$A422="","",IFERROR(VALUE(TRIM(Raw_Export!E422)),0))</f>
        <v>4</v>
      </c>
      <c r="G422" s="38" t="n">
        <f aca="false">IF(Raw_Export!$A422="","",IFERROR(VALUE(SUBSTITUTE(SUBSTITUTE(UPPER(TRIM(Raw_Export!F422)),"KES",""),",","")),0))</f>
        <v>350</v>
      </c>
      <c r="H422" s="38" t="n">
        <f aca="false">IF(Raw_Export!$A422="","",F422*G422)</f>
        <v>1400</v>
      </c>
      <c r="I422" s="36" t="str">
        <f aca="false">IF(Raw_Export!$A422="","",IFERROR(VLOOKUP(LOWER(TRIM(Raw_Export!H422)),Maps!$D$2:$E$12,2,FALSE()),"Other"))</f>
        <v>Cash</v>
      </c>
      <c r="J422" s="36" t="str">
        <f aca="false">IF(Raw_Export!$A422="","",IF(COUNTIF($A$2:A422,A422)&gt;1,"Duplicate",""))</f>
        <v/>
      </c>
      <c r="K422" s="36" t="str">
        <f aca="false">IF(Raw_Export!$A422="","",IF(J422="Duplicate","Duplicate",IF(OR(C422="UNMAPPED",D422="UNMAPPED"),"Unmapped",IF(F422=0,"Blank qty",IF(F422&lt;0,"Return","OK")))))</f>
        <v>OK</v>
      </c>
      <c r="L422" s="36" t="n">
        <f aca="false">IF(Raw_Export!$A422="","",IF(OR(K422="OK",K422="Return"),1,0))</f>
        <v>1</v>
      </c>
      <c r="M422" s="37" t="n">
        <f aca="false">IF(Raw_Export!$A422="","",B422-WEEKDAY(B422,2)+1)</f>
        <v>46265</v>
      </c>
    </row>
    <row r="423" customFormat="false" ht="15" hidden="false" customHeight="false" outlineLevel="0" collapsed="false">
      <c r="A423" s="36" t="str">
        <f aca="false">IF(Raw_Export!$A423="","",TRIM(Raw_Export!A423))</f>
        <v>TXN-100413</v>
      </c>
      <c r="B423" s="37" t="n">
        <f aca="false">IF(Raw_Export!$A423="","",IF(ISNUMBER(Raw_Export!B423),Raw_Export!B423,IF(MID(TRIM(Raw_Export!B423),5,1)="-",DATE(LEFT(TRIM(Raw_Export!B423),4),MID(TRIM(Raw_Export!B423),6,2),RIGHT(TRIM(Raw_Export!B423),2)),DATE(RIGHT(TRIM(Raw_Export!B423),4),MATCH(MID(TRIM(Raw_Export!B423),4,3),{"Jan","Feb","Mar","Apr","May","Jun","Jul","Aug","Sep","Oct","Nov","Dec"},0),LEFT(TRIM(Raw_Export!B423),2)))))</f>
        <v>46268</v>
      </c>
      <c r="C423" s="36" t="str">
        <f aca="false">IF(Raw_Export!$A423="","",IFERROR(VLOOKUP(LOWER(TRIM(Raw_Export!C423)),Maps!$A$2:$B$20,2,FALSE()),"UNMAPPED"))</f>
        <v>Nairobi CBD</v>
      </c>
      <c r="D423" s="36" t="str">
        <f aca="false">IF(Raw_Export!$A423="","",IFERROR(VLOOKUP(LOWER(TRIM(Raw_Export!D423)),Maps!$G$2:$I$80,2,FALSE()),"UNMAPPED"))</f>
        <v>Peanuts 250g</v>
      </c>
      <c r="E423" s="36" t="str">
        <f aca="false">IF(Raw_Export!$A423="","",IFERROR(VLOOKUP(LOWER(TRIM(Raw_Export!D423)),Maps!$G$2:$I$80,3,FALSE()),"UNMAPPED"))</f>
        <v>Snacks</v>
      </c>
      <c r="F423" s="36" t="n">
        <f aca="false">IF(Raw_Export!$A423="","",IFERROR(VALUE(TRIM(Raw_Export!E423)),0))</f>
        <v>2</v>
      </c>
      <c r="G423" s="38" t="n">
        <f aca="false">IF(Raw_Export!$A423="","",IFERROR(VALUE(SUBSTITUTE(SUBSTITUTE(UPPER(TRIM(Raw_Export!F423)),"KES",""),",","")),0))</f>
        <v>130</v>
      </c>
      <c r="H423" s="38" t="n">
        <f aca="false">IF(Raw_Export!$A423="","",F423*G423)</f>
        <v>260</v>
      </c>
      <c r="I423" s="36" t="str">
        <f aca="false">IF(Raw_Export!$A423="","",IFERROR(VLOOKUP(LOWER(TRIM(Raw_Export!H423)),Maps!$D$2:$E$12,2,FALSE()),"Other"))</f>
        <v>Card</v>
      </c>
      <c r="J423" s="36" t="str">
        <f aca="false">IF(Raw_Export!$A423="","",IF(COUNTIF($A$2:A423,A423)&gt;1,"Duplicate",""))</f>
        <v/>
      </c>
      <c r="K423" s="36" t="str">
        <f aca="false">IF(Raw_Export!$A423="","",IF(J423="Duplicate","Duplicate",IF(OR(C423="UNMAPPED",D423="UNMAPPED"),"Unmapped",IF(F423=0,"Blank qty",IF(F423&lt;0,"Return","OK")))))</f>
        <v>OK</v>
      </c>
      <c r="L423" s="36" t="n">
        <f aca="false">IF(Raw_Export!$A423="","",IF(OR(K423="OK",K423="Return"),1,0))</f>
        <v>1</v>
      </c>
      <c r="M423" s="37" t="n">
        <f aca="false">IF(Raw_Export!$A423="","",B423-WEEKDAY(B423,2)+1)</f>
        <v>46265</v>
      </c>
    </row>
    <row r="424" customFormat="false" ht="15" hidden="false" customHeight="false" outlineLevel="0" collapsed="false">
      <c r="A424" s="36" t="str">
        <f aca="false">IF(Raw_Export!$A424="","",TRIM(Raw_Export!A424))</f>
        <v>TXN-100414</v>
      </c>
      <c r="B424" s="37" t="n">
        <f aca="false">IF(Raw_Export!$A424="","",IF(ISNUMBER(Raw_Export!B424),Raw_Export!B424,IF(MID(TRIM(Raw_Export!B424),5,1)="-",DATE(LEFT(TRIM(Raw_Export!B424),4),MID(TRIM(Raw_Export!B424),6,2),RIGHT(TRIM(Raw_Export!B424),2)),DATE(RIGHT(TRIM(Raw_Export!B424),4),MATCH(MID(TRIM(Raw_Export!B424),4,3),{"Jan","Feb","Mar","Apr","May","Jun","Jul","Aug","Sep","Oct","Nov","Dec"},0),LEFT(TRIM(Raw_Export!B424),2)))))</f>
        <v>46268</v>
      </c>
      <c r="C424" s="36" t="str">
        <f aca="false">IF(Raw_Export!$A424="","",IFERROR(VLOOKUP(LOWER(TRIM(Raw_Export!C424)),Maps!$A$2:$B$20,2,FALSE()),"UNMAPPED"))</f>
        <v>Nairobi CBD</v>
      </c>
      <c r="D424" s="36" t="str">
        <f aca="false">IF(Raw_Export!$A424="","",IFERROR(VLOOKUP(LOWER(TRIM(Raw_Export!D424)),Maps!$G$2:$I$80,2,FALSE()),"UNMAPPED"))</f>
        <v>Toothpaste 100g</v>
      </c>
      <c r="E424" s="36" t="str">
        <f aca="false">IF(Raw_Export!$A424="","",IFERROR(VLOOKUP(LOWER(TRIM(Raw_Export!D424)),Maps!$G$2:$I$80,3,FALSE()),"UNMAPPED"))</f>
        <v>Personal Care</v>
      </c>
      <c r="F424" s="36" t="n">
        <f aca="false">IF(Raw_Export!$A424="","",IFERROR(VALUE(TRIM(Raw_Export!E424)),0))</f>
        <v>4</v>
      </c>
      <c r="G424" s="38" t="n">
        <f aca="false">IF(Raw_Export!$A424="","",IFERROR(VALUE(SUBSTITUTE(SUBSTITUTE(UPPER(TRIM(Raw_Export!F424)),"KES",""),",","")),0))</f>
        <v>195</v>
      </c>
      <c r="H424" s="38" t="n">
        <f aca="false">IF(Raw_Export!$A424="","",F424*G424)</f>
        <v>780</v>
      </c>
      <c r="I424" s="36" t="str">
        <f aca="false">IF(Raw_Export!$A424="","",IFERROR(VLOOKUP(LOWER(TRIM(Raw_Export!H424)),Maps!$D$2:$E$12,2,FALSE()),"Other"))</f>
        <v>M-Pesa</v>
      </c>
      <c r="J424" s="36" t="str">
        <f aca="false">IF(Raw_Export!$A424="","",IF(COUNTIF($A$2:A424,A424)&gt;1,"Duplicate",""))</f>
        <v/>
      </c>
      <c r="K424" s="36" t="str">
        <f aca="false">IF(Raw_Export!$A424="","",IF(J424="Duplicate","Duplicate",IF(OR(C424="UNMAPPED",D424="UNMAPPED"),"Unmapped",IF(F424=0,"Blank qty",IF(F424&lt;0,"Return","OK")))))</f>
        <v>OK</v>
      </c>
      <c r="L424" s="36" t="n">
        <f aca="false">IF(Raw_Export!$A424="","",IF(OR(K424="OK",K424="Return"),1,0))</f>
        <v>1</v>
      </c>
      <c r="M424" s="37" t="n">
        <f aca="false">IF(Raw_Export!$A424="","",B424-WEEKDAY(B424,2)+1)</f>
        <v>46265</v>
      </c>
    </row>
    <row r="425" customFormat="false" ht="15" hidden="false" customHeight="false" outlineLevel="0" collapsed="false">
      <c r="A425" s="36" t="str">
        <f aca="false">IF(Raw_Export!$A425="","",TRIM(Raw_Export!A425))</f>
        <v>TXN-100415</v>
      </c>
      <c r="B425" s="37" t="n">
        <f aca="false">IF(Raw_Export!$A425="","",IF(ISNUMBER(Raw_Export!B425),Raw_Export!B425,IF(MID(TRIM(Raw_Export!B425),5,1)="-",DATE(LEFT(TRIM(Raw_Export!B425),4),MID(TRIM(Raw_Export!B425),6,2),RIGHT(TRIM(Raw_Export!B425),2)),DATE(RIGHT(TRIM(Raw_Export!B425),4),MATCH(MID(TRIM(Raw_Export!B425),4,3),{"Jan","Feb","Mar","Apr","May","Jun","Jul","Aug","Sep","Oct","Nov","Dec"},0),LEFT(TRIM(Raw_Export!B425),2)))))</f>
        <v>46268</v>
      </c>
      <c r="C425" s="36" t="str">
        <f aca="false">IF(Raw_Export!$A425="","",IFERROR(VLOOKUP(LOWER(TRIM(Raw_Export!C425)),Maps!$A$2:$B$20,2,FALSE()),"UNMAPPED"))</f>
        <v>Nairobi CBD</v>
      </c>
      <c r="D425" s="36" t="str">
        <f aca="false">IF(Raw_Export!$A425="","",IFERROR(VLOOKUP(LOWER(TRIM(Raw_Export!D425)),Maps!$G$2:$I$80,2,FALSE()),"UNMAPPED"))</f>
        <v>Matches 10pk</v>
      </c>
      <c r="E425" s="36" t="str">
        <f aca="false">IF(Raw_Export!$A425="","",IFERROR(VLOOKUP(LOWER(TRIM(Raw_Export!D425)),Maps!$G$2:$I$80,3,FALSE()),"UNMAPPED"))</f>
        <v>Household</v>
      </c>
      <c r="F425" s="36" t="n">
        <f aca="false">IF(Raw_Export!$A425="","",IFERROR(VALUE(TRIM(Raw_Export!E425)),0))</f>
        <v>1</v>
      </c>
      <c r="G425" s="38" t="n">
        <f aca="false">IF(Raw_Export!$A425="","",IFERROR(VALUE(SUBSTITUTE(SUBSTITUTE(UPPER(TRIM(Raw_Export!F425)),"KES",""),",","")),0))</f>
        <v>50</v>
      </c>
      <c r="H425" s="38" t="n">
        <f aca="false">IF(Raw_Export!$A425="","",F425*G425)</f>
        <v>50</v>
      </c>
      <c r="I425" s="36" t="str">
        <f aca="false">IF(Raw_Export!$A425="","",IFERROR(VLOOKUP(LOWER(TRIM(Raw_Export!H425)),Maps!$D$2:$E$12,2,FALSE()),"Other"))</f>
        <v>M-Pesa</v>
      </c>
      <c r="J425" s="36" t="str">
        <f aca="false">IF(Raw_Export!$A425="","",IF(COUNTIF($A$2:A425,A425)&gt;1,"Duplicate",""))</f>
        <v/>
      </c>
      <c r="K425" s="36" t="str">
        <f aca="false">IF(Raw_Export!$A425="","",IF(J425="Duplicate","Duplicate",IF(OR(C425="UNMAPPED",D425="UNMAPPED"),"Unmapped",IF(F425=0,"Blank qty",IF(F425&lt;0,"Return","OK")))))</f>
        <v>OK</v>
      </c>
      <c r="L425" s="36" t="n">
        <f aca="false">IF(Raw_Export!$A425="","",IF(OR(K425="OK",K425="Return"),1,0))</f>
        <v>1</v>
      </c>
      <c r="M425" s="37" t="n">
        <f aca="false">IF(Raw_Export!$A425="","",B425-WEEKDAY(B425,2)+1)</f>
        <v>46265</v>
      </c>
    </row>
    <row r="426" customFormat="false" ht="15" hidden="false" customHeight="false" outlineLevel="0" collapsed="false">
      <c r="A426" s="36" t="str">
        <f aca="false">IF(Raw_Export!$A426="","",TRIM(Raw_Export!A426))</f>
        <v>TXN-100416</v>
      </c>
      <c r="B426" s="37" t="n">
        <f aca="false">IF(Raw_Export!$A426="","",IF(ISNUMBER(Raw_Export!B426),Raw_Export!B426,IF(MID(TRIM(Raw_Export!B426),5,1)="-",DATE(LEFT(TRIM(Raw_Export!B426),4),MID(TRIM(Raw_Export!B426),6,2),RIGHT(TRIM(Raw_Export!B426),2)),DATE(RIGHT(TRIM(Raw_Export!B426),4),MATCH(MID(TRIM(Raw_Export!B426),4,3),{"Jan","Feb","Mar","Apr","May","Jun","Jul","Aug","Sep","Oct","Nov","Dec"},0),LEFT(TRIM(Raw_Export!B426),2)))))</f>
        <v>46268</v>
      </c>
      <c r="C426" s="36" t="str">
        <f aca="false">IF(Raw_Export!$A426="","",IFERROR(VLOOKUP(LOWER(TRIM(Raw_Export!C426)),Maps!$A$2:$B$20,2,FALSE()),"UNMAPPED"))</f>
        <v>Nairobi CBD</v>
      </c>
      <c r="D426" s="36" t="str">
        <f aca="false">IF(Raw_Export!$A426="","",IFERROR(VLOOKUP(LOWER(TRIM(Raw_Export!D426)),Maps!$G$2:$I$80,2,FALSE()),"UNMAPPED"))</f>
        <v>Soda 500ml</v>
      </c>
      <c r="E426" s="36" t="str">
        <f aca="false">IF(Raw_Export!$A426="","",IFERROR(VLOOKUP(LOWER(TRIM(Raw_Export!D426)),Maps!$G$2:$I$80,3,FALSE()),"UNMAPPED"))</f>
        <v>Beverages</v>
      </c>
      <c r="F426" s="36" t="n">
        <f aca="false">IF(Raw_Export!$A426="","",IFERROR(VALUE(TRIM(Raw_Export!E426)),0))</f>
        <v>1</v>
      </c>
      <c r="G426" s="38" t="n">
        <f aca="false">IF(Raw_Export!$A426="","",IFERROR(VALUE(SUBSTITUTE(SUBSTITUTE(UPPER(TRIM(Raw_Export!F426)),"KES",""),",","")),0))</f>
        <v>60</v>
      </c>
      <c r="H426" s="38" t="n">
        <f aca="false">IF(Raw_Export!$A426="","",F426*G426)</f>
        <v>60</v>
      </c>
      <c r="I426" s="36" t="str">
        <f aca="false">IF(Raw_Export!$A426="","",IFERROR(VLOOKUP(LOWER(TRIM(Raw_Export!H426)),Maps!$D$2:$E$12,2,FALSE()),"Other"))</f>
        <v>M-Pesa</v>
      </c>
      <c r="J426" s="36" t="str">
        <f aca="false">IF(Raw_Export!$A426="","",IF(COUNTIF($A$2:A426,A426)&gt;1,"Duplicate",""))</f>
        <v/>
      </c>
      <c r="K426" s="36" t="str">
        <f aca="false">IF(Raw_Export!$A426="","",IF(J426="Duplicate","Duplicate",IF(OR(C426="UNMAPPED",D426="UNMAPPED"),"Unmapped",IF(F426=0,"Blank qty",IF(F426&lt;0,"Return","OK")))))</f>
        <v>OK</v>
      </c>
      <c r="L426" s="36" t="n">
        <f aca="false">IF(Raw_Export!$A426="","",IF(OR(K426="OK",K426="Return"),1,0))</f>
        <v>1</v>
      </c>
      <c r="M426" s="37" t="n">
        <f aca="false">IF(Raw_Export!$A426="","",B426-WEEKDAY(B426,2)+1)</f>
        <v>46265</v>
      </c>
    </row>
    <row r="427" customFormat="false" ht="15" hidden="false" customHeight="false" outlineLevel="0" collapsed="false">
      <c r="A427" s="36" t="str">
        <f aca="false">IF(Raw_Export!$A427="","",TRIM(Raw_Export!A427))</f>
        <v>TXN-100417</v>
      </c>
      <c r="B427" s="37" t="n">
        <f aca="false">IF(Raw_Export!$A427="","",IF(ISNUMBER(Raw_Export!B427),Raw_Export!B427,IF(MID(TRIM(Raw_Export!B427),5,1)="-",DATE(LEFT(TRIM(Raw_Export!B427),4),MID(TRIM(Raw_Export!B427),6,2),RIGHT(TRIM(Raw_Export!B427),2)),DATE(RIGHT(TRIM(Raw_Export!B427),4),MATCH(MID(TRIM(Raw_Export!B427),4,3),{"Jan","Feb","Mar","Apr","May","Jun","Jul","Aug","Sep","Oct","Nov","Dec"},0),LEFT(TRIM(Raw_Export!B427),2)))))</f>
        <v>46268</v>
      </c>
      <c r="C427" s="36" t="str">
        <f aca="false">IF(Raw_Export!$A427="","",IFERROR(VLOOKUP(LOWER(TRIM(Raw_Export!C427)),Maps!$A$2:$B$20,2,FALSE()),"UNMAPPED"))</f>
        <v>Westlands</v>
      </c>
      <c r="D427" s="36" t="str">
        <f aca="false">IF(Raw_Export!$A427="","",IFERROR(VLOOKUP(LOWER(TRIM(Raw_Export!D427)),Maps!$G$2:$I$80,2,FALSE()),"UNMAPPED"))</f>
        <v>Bread Loaf 400g</v>
      </c>
      <c r="E427" s="36" t="str">
        <f aca="false">IF(Raw_Export!$A427="","",IFERROR(VLOOKUP(LOWER(TRIM(Raw_Export!D427)),Maps!$G$2:$I$80,3,FALSE()),"UNMAPPED"))</f>
        <v>Snacks</v>
      </c>
      <c r="F427" s="36" t="n">
        <f aca="false">IF(Raw_Export!$A427="","",IFERROR(VALUE(TRIM(Raw_Export!E427)),0))</f>
        <v>3</v>
      </c>
      <c r="G427" s="38" t="n">
        <f aca="false">IF(Raw_Export!$A427="","",IFERROR(VALUE(SUBSTITUTE(SUBSTITUTE(UPPER(TRIM(Raw_Export!F427)),"KES",""),",","")),0))</f>
        <v>65</v>
      </c>
      <c r="H427" s="38" t="n">
        <f aca="false">IF(Raw_Export!$A427="","",F427*G427)</f>
        <v>195</v>
      </c>
      <c r="I427" s="36" t="str">
        <f aca="false">IF(Raw_Export!$A427="","",IFERROR(VLOOKUP(LOWER(TRIM(Raw_Export!H427)),Maps!$D$2:$E$12,2,FALSE()),"Other"))</f>
        <v>M-Pesa</v>
      </c>
      <c r="J427" s="36" t="str">
        <f aca="false">IF(Raw_Export!$A427="","",IF(COUNTIF($A$2:A427,A427)&gt;1,"Duplicate",""))</f>
        <v/>
      </c>
      <c r="K427" s="36" t="str">
        <f aca="false">IF(Raw_Export!$A427="","",IF(J427="Duplicate","Duplicate",IF(OR(C427="UNMAPPED",D427="UNMAPPED"),"Unmapped",IF(F427=0,"Blank qty",IF(F427&lt;0,"Return","OK")))))</f>
        <v>OK</v>
      </c>
      <c r="L427" s="36" t="n">
        <f aca="false">IF(Raw_Export!$A427="","",IF(OR(K427="OK",K427="Return"),1,0))</f>
        <v>1</v>
      </c>
      <c r="M427" s="37" t="n">
        <f aca="false">IF(Raw_Export!$A427="","",B427-WEEKDAY(B427,2)+1)</f>
        <v>46265</v>
      </c>
    </row>
    <row r="428" customFormat="false" ht="15" hidden="false" customHeight="false" outlineLevel="0" collapsed="false">
      <c r="A428" s="36" t="str">
        <f aca="false">IF(Raw_Export!$A428="","",TRIM(Raw_Export!A428))</f>
        <v>TXN-100418</v>
      </c>
      <c r="B428" s="37" t="n">
        <f aca="false">IF(Raw_Export!$A428="","",IF(ISNUMBER(Raw_Export!B428),Raw_Export!B428,IF(MID(TRIM(Raw_Export!B428),5,1)="-",DATE(LEFT(TRIM(Raw_Export!B428),4),MID(TRIM(Raw_Export!B428),6,2),RIGHT(TRIM(Raw_Export!B428),2)),DATE(RIGHT(TRIM(Raw_Export!B428),4),MATCH(MID(TRIM(Raw_Export!B428),4,3),{"Jan","Feb","Mar","Apr","May","Jun","Jul","Aug","Sep","Oct","Nov","Dec"},0),LEFT(TRIM(Raw_Export!B428),2)))))</f>
        <v>46268</v>
      </c>
      <c r="C428" s="36" t="str">
        <f aca="false">IF(Raw_Export!$A428="","",IFERROR(VLOOKUP(LOWER(TRIM(Raw_Export!C428)),Maps!$A$2:$B$20,2,FALSE()),"UNMAPPED"))</f>
        <v>Westlands</v>
      </c>
      <c r="D428" s="36" t="str">
        <f aca="false">IF(Raw_Export!$A428="","",IFERROR(VLOOKUP(LOWER(TRIM(Raw_Export!D428)),Maps!$G$2:$I$80,2,FALSE()),"UNMAPPED"))</f>
        <v>Tea Leaves 250g</v>
      </c>
      <c r="E428" s="36" t="str">
        <f aca="false">IF(Raw_Export!$A428="","",IFERROR(VLOOKUP(LOWER(TRIM(Raw_Export!D428)),Maps!$G$2:$I$80,3,FALSE()),"UNMAPPED"))</f>
        <v>Beverages</v>
      </c>
      <c r="F428" s="36" t="n">
        <f aca="false">IF(Raw_Export!$A428="","",IFERROR(VALUE(TRIM(Raw_Export!E428)),0))</f>
        <v>1</v>
      </c>
      <c r="G428" s="38" t="n">
        <f aca="false">IF(Raw_Export!$A428="","",IFERROR(VALUE(SUBSTITUTE(SUBSTITUTE(UPPER(TRIM(Raw_Export!F428)),"KES",""),",","")),0))</f>
        <v>150</v>
      </c>
      <c r="H428" s="38" t="n">
        <f aca="false">IF(Raw_Export!$A428="","",F428*G428)</f>
        <v>150</v>
      </c>
      <c r="I428" s="36" t="str">
        <f aca="false">IF(Raw_Export!$A428="","",IFERROR(VLOOKUP(LOWER(TRIM(Raw_Export!H428)),Maps!$D$2:$E$12,2,FALSE()),"Other"))</f>
        <v>M-Pesa</v>
      </c>
      <c r="J428" s="36" t="str">
        <f aca="false">IF(Raw_Export!$A428="","",IF(COUNTIF($A$2:A428,A428)&gt;1,"Duplicate",""))</f>
        <v/>
      </c>
      <c r="K428" s="36" t="str">
        <f aca="false">IF(Raw_Export!$A428="","",IF(J428="Duplicate","Duplicate",IF(OR(C428="UNMAPPED",D428="UNMAPPED"),"Unmapped",IF(F428=0,"Blank qty",IF(F428&lt;0,"Return","OK")))))</f>
        <v>OK</v>
      </c>
      <c r="L428" s="36" t="n">
        <f aca="false">IF(Raw_Export!$A428="","",IF(OR(K428="OK",K428="Return"),1,0))</f>
        <v>1</v>
      </c>
      <c r="M428" s="37" t="n">
        <f aca="false">IF(Raw_Export!$A428="","",B428-WEEKDAY(B428,2)+1)</f>
        <v>46265</v>
      </c>
    </row>
    <row r="429" customFormat="false" ht="15" hidden="false" customHeight="false" outlineLevel="0" collapsed="false">
      <c r="A429" s="36" t="str">
        <f aca="false">IF(Raw_Export!$A429="","",TRIM(Raw_Export!A429))</f>
        <v>TXN-100419</v>
      </c>
      <c r="B429" s="37" t="n">
        <f aca="false">IF(Raw_Export!$A429="","",IF(ISNUMBER(Raw_Export!B429),Raw_Export!B429,IF(MID(TRIM(Raw_Export!B429),5,1)="-",DATE(LEFT(TRIM(Raw_Export!B429),4),MID(TRIM(Raw_Export!B429),6,2),RIGHT(TRIM(Raw_Export!B429),2)),DATE(RIGHT(TRIM(Raw_Export!B429),4),MATCH(MID(TRIM(Raw_Export!B429),4,3),{"Jan","Feb","Mar","Apr","May","Jun","Jul","Aug","Sep","Oct","Nov","Dec"},0),LEFT(TRIM(Raw_Export!B429),2)))))</f>
        <v>46268</v>
      </c>
      <c r="C429" s="36" t="str">
        <f aca="false">IF(Raw_Export!$A429="","",IFERROR(VLOOKUP(LOWER(TRIM(Raw_Export!C429)),Maps!$A$2:$B$20,2,FALSE()),"UNMAPPED"))</f>
        <v>Westlands</v>
      </c>
      <c r="D429" s="36" t="str">
        <f aca="false">IF(Raw_Export!$A429="","",IFERROR(VLOOKUP(LOWER(TRIM(Raw_Export!D429)),Maps!$G$2:$I$80,2,FALSE()),"UNMAPPED"))</f>
        <v>Peanuts 250g</v>
      </c>
      <c r="E429" s="36" t="str">
        <f aca="false">IF(Raw_Export!$A429="","",IFERROR(VLOOKUP(LOWER(TRIM(Raw_Export!D429)),Maps!$G$2:$I$80,3,FALSE()),"UNMAPPED"))</f>
        <v>Snacks</v>
      </c>
      <c r="F429" s="36" t="n">
        <f aca="false">IF(Raw_Export!$A429="","",IFERROR(VALUE(TRIM(Raw_Export!E429)),0))</f>
        <v>2</v>
      </c>
      <c r="G429" s="38" t="n">
        <f aca="false">IF(Raw_Export!$A429="","",IFERROR(VALUE(SUBSTITUTE(SUBSTITUTE(UPPER(TRIM(Raw_Export!F429)),"KES",""),",","")),0))</f>
        <v>130</v>
      </c>
      <c r="H429" s="38" t="n">
        <f aca="false">IF(Raw_Export!$A429="","",F429*G429)</f>
        <v>260</v>
      </c>
      <c r="I429" s="36" t="str">
        <f aca="false">IF(Raw_Export!$A429="","",IFERROR(VLOOKUP(LOWER(TRIM(Raw_Export!H429)),Maps!$D$2:$E$12,2,FALSE()),"Other"))</f>
        <v>M-Pesa</v>
      </c>
      <c r="J429" s="36" t="str">
        <f aca="false">IF(Raw_Export!$A429="","",IF(COUNTIF($A$2:A429,A429)&gt;1,"Duplicate",""))</f>
        <v/>
      </c>
      <c r="K429" s="36" t="str">
        <f aca="false">IF(Raw_Export!$A429="","",IF(J429="Duplicate","Duplicate",IF(OR(C429="UNMAPPED",D429="UNMAPPED"),"Unmapped",IF(F429=0,"Blank qty",IF(F429&lt;0,"Return","OK")))))</f>
        <v>OK</v>
      </c>
      <c r="L429" s="36" t="n">
        <f aca="false">IF(Raw_Export!$A429="","",IF(OR(K429="OK",K429="Return"),1,0))</f>
        <v>1</v>
      </c>
      <c r="M429" s="37" t="n">
        <f aca="false">IF(Raw_Export!$A429="","",B429-WEEKDAY(B429,2)+1)</f>
        <v>46265</v>
      </c>
    </row>
    <row r="430" customFormat="false" ht="15" hidden="false" customHeight="false" outlineLevel="0" collapsed="false">
      <c r="A430" s="36" t="str">
        <f aca="false">IF(Raw_Export!$A430="","",TRIM(Raw_Export!A430))</f>
        <v>TXN-100420</v>
      </c>
      <c r="B430" s="37" t="n">
        <f aca="false">IF(Raw_Export!$A430="","",IF(ISNUMBER(Raw_Export!B430),Raw_Export!B430,IF(MID(TRIM(Raw_Export!B430),5,1)="-",DATE(LEFT(TRIM(Raw_Export!B430),4),MID(TRIM(Raw_Export!B430),6,2),RIGHT(TRIM(Raw_Export!B430),2)),DATE(RIGHT(TRIM(Raw_Export!B430),4),MATCH(MID(TRIM(Raw_Export!B430),4,3),{"Jan","Feb","Mar","Apr","May","Jun","Jul","Aug","Sep","Oct","Nov","Dec"},0),LEFT(TRIM(Raw_Export!B430),2)))))</f>
        <v>46268</v>
      </c>
      <c r="C430" s="36" t="str">
        <f aca="false">IF(Raw_Export!$A430="","",IFERROR(VLOOKUP(LOWER(TRIM(Raw_Export!C430)),Maps!$A$2:$B$20,2,FALSE()),"UNMAPPED"))</f>
        <v>Westlands</v>
      </c>
      <c r="D430" s="36" t="str">
        <f aca="false">IF(Raw_Export!$A430="","",IFERROR(VLOOKUP(LOWER(TRIM(Raw_Export!D430)),Maps!$G$2:$I$80,2,FALSE()),"UNMAPPED"))</f>
        <v>Soda 500ml</v>
      </c>
      <c r="E430" s="36" t="str">
        <f aca="false">IF(Raw_Export!$A430="","",IFERROR(VLOOKUP(LOWER(TRIM(Raw_Export!D430)),Maps!$G$2:$I$80,3,FALSE()),"UNMAPPED"))</f>
        <v>Beverages</v>
      </c>
      <c r="F430" s="36" t="n">
        <f aca="false">IF(Raw_Export!$A430="","",IFERROR(VALUE(TRIM(Raw_Export!E430)),0))</f>
        <v>3</v>
      </c>
      <c r="G430" s="38" t="n">
        <f aca="false">IF(Raw_Export!$A430="","",IFERROR(VALUE(SUBSTITUTE(SUBSTITUTE(UPPER(TRIM(Raw_Export!F430)),"KES",""),",","")),0))</f>
        <v>54</v>
      </c>
      <c r="H430" s="38" t="n">
        <f aca="false">IF(Raw_Export!$A430="","",F430*G430)</f>
        <v>162</v>
      </c>
      <c r="I430" s="36" t="str">
        <f aca="false">IF(Raw_Export!$A430="","",IFERROR(VLOOKUP(LOWER(TRIM(Raw_Export!H430)),Maps!$D$2:$E$12,2,FALSE()),"Other"))</f>
        <v>Cash</v>
      </c>
      <c r="J430" s="36" t="str">
        <f aca="false">IF(Raw_Export!$A430="","",IF(COUNTIF($A$2:A430,A430)&gt;1,"Duplicate",""))</f>
        <v/>
      </c>
      <c r="K430" s="36" t="str">
        <f aca="false">IF(Raw_Export!$A430="","",IF(J430="Duplicate","Duplicate",IF(OR(C430="UNMAPPED",D430="UNMAPPED"),"Unmapped",IF(F430=0,"Blank qty",IF(F430&lt;0,"Return","OK")))))</f>
        <v>OK</v>
      </c>
      <c r="L430" s="36" t="n">
        <f aca="false">IF(Raw_Export!$A430="","",IF(OR(K430="OK",K430="Return"),1,0))</f>
        <v>1</v>
      </c>
      <c r="M430" s="37" t="n">
        <f aca="false">IF(Raw_Export!$A430="","",B430-WEEKDAY(B430,2)+1)</f>
        <v>46265</v>
      </c>
    </row>
    <row r="431" customFormat="false" ht="15" hidden="false" customHeight="false" outlineLevel="0" collapsed="false">
      <c r="A431" s="36" t="str">
        <f aca="false">IF(Raw_Export!$A431="","",TRIM(Raw_Export!A431))</f>
        <v>TXN-100421</v>
      </c>
      <c r="B431" s="37" t="n">
        <f aca="false">IF(Raw_Export!$A431="","",IF(ISNUMBER(Raw_Export!B431),Raw_Export!B431,IF(MID(TRIM(Raw_Export!B431),5,1)="-",DATE(LEFT(TRIM(Raw_Export!B431),4),MID(TRIM(Raw_Export!B431),6,2),RIGHT(TRIM(Raw_Export!B431),2)),DATE(RIGHT(TRIM(Raw_Export!B431),4),MATCH(MID(TRIM(Raw_Export!B431),4,3),{"Jan","Feb","Mar","Apr","May","Jun","Jul","Aug","Sep","Oct","Nov","Dec"},0),LEFT(TRIM(Raw_Export!B431),2)))))</f>
        <v>46268</v>
      </c>
      <c r="C431" s="36" t="str">
        <f aca="false">IF(Raw_Export!$A431="","",IFERROR(VLOOKUP(LOWER(TRIM(Raw_Export!C431)),Maps!$A$2:$B$20,2,FALSE()),"UNMAPPED"))</f>
        <v>Westlands</v>
      </c>
      <c r="D431" s="36" t="str">
        <f aca="false">IF(Raw_Export!$A431="","",IFERROR(VLOOKUP(LOWER(TRIM(Raw_Export!D431)),Maps!$G$2:$I$80,2,FALSE()),"UNMAPPED"))</f>
        <v>Soda 500ml</v>
      </c>
      <c r="E431" s="36" t="str">
        <f aca="false">IF(Raw_Export!$A431="","",IFERROR(VLOOKUP(LOWER(TRIM(Raw_Export!D431)),Maps!$G$2:$I$80,3,FALSE()),"UNMAPPED"))</f>
        <v>Beverages</v>
      </c>
      <c r="F431" s="36" t="n">
        <f aca="false">IF(Raw_Export!$A431="","",IFERROR(VALUE(TRIM(Raw_Export!E431)),0))</f>
        <v>1</v>
      </c>
      <c r="G431" s="38" t="n">
        <f aca="false">IF(Raw_Export!$A431="","",IFERROR(VALUE(SUBSTITUTE(SUBSTITUTE(UPPER(TRIM(Raw_Export!F431)),"KES",""),",","")),0))</f>
        <v>60</v>
      </c>
      <c r="H431" s="38" t="n">
        <f aca="false">IF(Raw_Export!$A431="","",F431*G431)</f>
        <v>60</v>
      </c>
      <c r="I431" s="36" t="str">
        <f aca="false">IF(Raw_Export!$A431="","",IFERROR(VLOOKUP(LOWER(TRIM(Raw_Export!H431)),Maps!$D$2:$E$12,2,FALSE()),"Other"))</f>
        <v>M-Pesa</v>
      </c>
      <c r="J431" s="36" t="str">
        <f aca="false">IF(Raw_Export!$A431="","",IF(COUNTIF($A$2:A431,A431)&gt;1,"Duplicate",""))</f>
        <v/>
      </c>
      <c r="K431" s="36" t="str">
        <f aca="false">IF(Raw_Export!$A431="","",IF(J431="Duplicate","Duplicate",IF(OR(C431="UNMAPPED",D431="UNMAPPED"),"Unmapped",IF(F431=0,"Blank qty",IF(F431&lt;0,"Return","OK")))))</f>
        <v>OK</v>
      </c>
      <c r="L431" s="36" t="n">
        <f aca="false">IF(Raw_Export!$A431="","",IF(OR(K431="OK",K431="Return"),1,0))</f>
        <v>1</v>
      </c>
      <c r="M431" s="37" t="n">
        <f aca="false">IF(Raw_Export!$A431="","",B431-WEEKDAY(B431,2)+1)</f>
        <v>46265</v>
      </c>
    </row>
    <row r="432" customFormat="false" ht="15" hidden="false" customHeight="false" outlineLevel="0" collapsed="false">
      <c r="A432" s="36" t="str">
        <f aca="false">IF(Raw_Export!$A432="","",TRIM(Raw_Export!A432))</f>
        <v>TXN-100422</v>
      </c>
      <c r="B432" s="37" t="n">
        <f aca="false">IF(Raw_Export!$A432="","",IF(ISNUMBER(Raw_Export!B432),Raw_Export!B432,IF(MID(TRIM(Raw_Export!B432),5,1)="-",DATE(LEFT(TRIM(Raw_Export!B432),4),MID(TRIM(Raw_Export!B432),6,2),RIGHT(TRIM(Raw_Export!B432),2)),DATE(RIGHT(TRIM(Raw_Export!B432),4),MATCH(MID(TRIM(Raw_Export!B432),4,3),{"Jan","Feb","Mar","Apr","May","Jun","Jul","Aug","Sep","Oct","Nov","Dec"},0),LEFT(TRIM(Raw_Export!B432),2)))))</f>
        <v>46268</v>
      </c>
      <c r="C432" s="36" t="str">
        <f aca="false">IF(Raw_Export!$A432="","",IFERROR(VLOOKUP(LOWER(TRIM(Raw_Export!C432)),Maps!$A$2:$B$20,2,FALSE()),"UNMAPPED"))</f>
        <v>Westlands</v>
      </c>
      <c r="D432" s="36" t="str">
        <f aca="false">IF(Raw_Export!$A432="","",IFERROR(VLOOKUP(LOWER(TRIM(Raw_Export!D432)),Maps!$G$2:$I$80,2,FALSE()),"UNMAPPED"))</f>
        <v>Cooking Oil 1L</v>
      </c>
      <c r="E432" s="36" t="str">
        <f aca="false">IF(Raw_Export!$A432="","",IFERROR(VLOOKUP(LOWER(TRIM(Raw_Export!D432)),Maps!$G$2:$I$80,3,FALSE()),"UNMAPPED"))</f>
        <v>Staples</v>
      </c>
      <c r="F432" s="36" t="n">
        <f aca="false">IF(Raw_Export!$A432="","",IFERROR(VALUE(TRIM(Raw_Export!E432)),0))</f>
        <v>2</v>
      </c>
      <c r="G432" s="38" t="n">
        <f aca="false">IF(Raw_Export!$A432="","",IFERROR(VALUE(SUBSTITUTE(SUBSTITUTE(UPPER(TRIM(Raw_Export!F432)),"KES",""),",","")),0))</f>
        <v>330</v>
      </c>
      <c r="H432" s="38" t="n">
        <f aca="false">IF(Raw_Export!$A432="","",F432*G432)</f>
        <v>660</v>
      </c>
      <c r="I432" s="36" t="str">
        <f aca="false">IF(Raw_Export!$A432="","",IFERROR(VLOOKUP(LOWER(TRIM(Raw_Export!H432)),Maps!$D$2:$E$12,2,FALSE()),"Other"))</f>
        <v>M-Pesa</v>
      </c>
      <c r="J432" s="36" t="str">
        <f aca="false">IF(Raw_Export!$A432="","",IF(COUNTIF($A$2:A432,A432)&gt;1,"Duplicate",""))</f>
        <v/>
      </c>
      <c r="K432" s="36" t="str">
        <f aca="false">IF(Raw_Export!$A432="","",IF(J432="Duplicate","Duplicate",IF(OR(C432="UNMAPPED",D432="UNMAPPED"),"Unmapped",IF(F432=0,"Blank qty",IF(F432&lt;0,"Return","OK")))))</f>
        <v>OK</v>
      </c>
      <c r="L432" s="36" t="n">
        <f aca="false">IF(Raw_Export!$A432="","",IF(OR(K432="OK",K432="Return"),1,0))</f>
        <v>1</v>
      </c>
      <c r="M432" s="37" t="n">
        <f aca="false">IF(Raw_Export!$A432="","",B432-WEEKDAY(B432,2)+1)</f>
        <v>46265</v>
      </c>
    </row>
    <row r="433" customFormat="false" ht="15" hidden="false" customHeight="false" outlineLevel="0" collapsed="false">
      <c r="A433" s="36" t="str">
        <f aca="false">IF(Raw_Export!$A433="","",TRIM(Raw_Export!A433))</f>
        <v>TXN-100423</v>
      </c>
      <c r="B433" s="37" t="n">
        <f aca="false">IF(Raw_Export!$A433="","",IF(ISNUMBER(Raw_Export!B433),Raw_Export!B433,IF(MID(TRIM(Raw_Export!B433),5,1)="-",DATE(LEFT(TRIM(Raw_Export!B433),4),MID(TRIM(Raw_Export!B433),6,2),RIGHT(TRIM(Raw_Export!B433),2)),DATE(RIGHT(TRIM(Raw_Export!B433),4),MATCH(MID(TRIM(Raw_Export!B433),4,3),{"Jan","Feb","Mar","Apr","May","Jun","Jul","Aug","Sep","Oct","Nov","Dec"},0),LEFT(TRIM(Raw_Export!B433),2)))))</f>
        <v>46268</v>
      </c>
      <c r="C433" s="36" t="str">
        <f aca="false">IF(Raw_Export!$A433="","",IFERROR(VLOOKUP(LOWER(TRIM(Raw_Export!C433)),Maps!$A$2:$B$20,2,FALSE()),"UNMAPPED"))</f>
        <v>Westlands</v>
      </c>
      <c r="D433" s="36" t="str">
        <f aca="false">IF(Raw_Export!$A433="","",IFERROR(VLOOKUP(LOWER(TRIM(Raw_Export!D433)),Maps!$G$2:$I$80,2,FALSE()),"UNMAPPED"))</f>
        <v>Rice Pishori 2kg</v>
      </c>
      <c r="E433" s="36" t="str">
        <f aca="false">IF(Raw_Export!$A433="","",IFERROR(VLOOKUP(LOWER(TRIM(Raw_Export!D433)),Maps!$G$2:$I$80,3,FALSE()),"UNMAPPED"))</f>
        <v>Staples</v>
      </c>
      <c r="F433" s="36" t="n">
        <f aca="false">IF(Raw_Export!$A433="","",IFERROR(VALUE(TRIM(Raw_Export!E433)),0))</f>
        <v>1</v>
      </c>
      <c r="G433" s="38" t="n">
        <f aca="false">IF(Raw_Export!$A433="","",IFERROR(VALUE(SUBSTITUTE(SUBSTITUTE(UPPER(TRIM(Raw_Export!F433)),"KES",""),",","")),0))</f>
        <v>420</v>
      </c>
      <c r="H433" s="38" t="n">
        <f aca="false">IF(Raw_Export!$A433="","",F433*G433)</f>
        <v>420</v>
      </c>
      <c r="I433" s="36" t="str">
        <f aca="false">IF(Raw_Export!$A433="","",IFERROR(VLOOKUP(LOWER(TRIM(Raw_Export!H433)),Maps!$D$2:$E$12,2,FALSE()),"Other"))</f>
        <v>Card</v>
      </c>
      <c r="J433" s="36" t="str">
        <f aca="false">IF(Raw_Export!$A433="","",IF(COUNTIF($A$2:A433,A433)&gt;1,"Duplicate",""))</f>
        <v/>
      </c>
      <c r="K433" s="36" t="str">
        <f aca="false">IF(Raw_Export!$A433="","",IF(J433="Duplicate","Duplicate",IF(OR(C433="UNMAPPED",D433="UNMAPPED"),"Unmapped",IF(F433=0,"Blank qty",IF(F433&lt;0,"Return","OK")))))</f>
        <v>OK</v>
      </c>
      <c r="L433" s="36" t="n">
        <f aca="false">IF(Raw_Export!$A433="","",IF(OR(K433="OK",K433="Return"),1,0))</f>
        <v>1</v>
      </c>
      <c r="M433" s="37" t="n">
        <f aca="false">IF(Raw_Export!$A433="","",B433-WEEKDAY(B433,2)+1)</f>
        <v>46265</v>
      </c>
    </row>
    <row r="434" customFormat="false" ht="15" hidden="false" customHeight="false" outlineLevel="0" collapsed="false">
      <c r="A434" s="36" t="str">
        <f aca="false">IF(Raw_Export!$A434="","",TRIM(Raw_Export!A434))</f>
        <v>TXN-100424</v>
      </c>
      <c r="B434" s="37" t="n">
        <f aca="false">IF(Raw_Export!$A434="","",IF(ISNUMBER(Raw_Export!B434),Raw_Export!B434,IF(MID(TRIM(Raw_Export!B434),5,1)="-",DATE(LEFT(TRIM(Raw_Export!B434),4),MID(TRIM(Raw_Export!B434),6,2),RIGHT(TRIM(Raw_Export!B434),2)),DATE(RIGHT(TRIM(Raw_Export!B434),4),MATCH(MID(TRIM(Raw_Export!B434),4,3),{"Jan","Feb","Mar","Apr","May","Jun","Jul","Aug","Sep","Oct","Nov","Dec"},0),LEFT(TRIM(Raw_Export!B434),2)))))</f>
        <v>46268</v>
      </c>
      <c r="C434" s="36" t="str">
        <f aca="false">IF(Raw_Export!$A434="","",IFERROR(VLOOKUP(LOWER(TRIM(Raw_Export!C434)),Maps!$A$2:$B$20,2,FALSE()),"UNMAPPED"))</f>
        <v>Westlands</v>
      </c>
      <c r="D434" s="36" t="str">
        <f aca="false">IF(Raw_Export!$A434="","",IFERROR(VLOOKUP(LOWER(TRIM(Raw_Export!D434)),Maps!$G$2:$I$80,2,FALSE()),"UNMAPPED"))</f>
        <v>Unga Pembe 2kg</v>
      </c>
      <c r="E434" s="36" t="str">
        <f aca="false">IF(Raw_Export!$A434="","",IFERROR(VLOOKUP(LOWER(TRIM(Raw_Export!D434)),Maps!$G$2:$I$80,3,FALSE()),"UNMAPPED"))</f>
        <v>Staples</v>
      </c>
      <c r="F434" s="36" t="n">
        <f aca="false">IF(Raw_Export!$A434="","",IFERROR(VALUE(TRIM(Raw_Export!E434)),0))</f>
        <v>-1</v>
      </c>
      <c r="G434" s="38" t="n">
        <f aca="false">IF(Raw_Export!$A434="","",IFERROR(VALUE(SUBSTITUTE(SUBSTITUTE(UPPER(TRIM(Raw_Export!F434)),"KES",""),",","")),0))</f>
        <v>190</v>
      </c>
      <c r="H434" s="38" t="n">
        <f aca="false">IF(Raw_Export!$A434="","",F434*G434)</f>
        <v>-190</v>
      </c>
      <c r="I434" s="36" t="str">
        <f aca="false">IF(Raw_Export!$A434="","",IFERROR(VLOOKUP(LOWER(TRIM(Raw_Export!H434)),Maps!$D$2:$E$12,2,FALSE()),"Other"))</f>
        <v>M-Pesa</v>
      </c>
      <c r="J434" s="36" t="str">
        <f aca="false">IF(Raw_Export!$A434="","",IF(COUNTIF($A$2:A434,A434)&gt;1,"Duplicate",""))</f>
        <v/>
      </c>
      <c r="K434" s="36" t="str">
        <f aca="false">IF(Raw_Export!$A434="","",IF(J434="Duplicate","Duplicate",IF(OR(C434="UNMAPPED",D434="UNMAPPED"),"Unmapped",IF(F434=0,"Blank qty",IF(F434&lt;0,"Return","OK")))))</f>
        <v>Return</v>
      </c>
      <c r="L434" s="36" t="n">
        <f aca="false">IF(Raw_Export!$A434="","",IF(OR(K434="OK",K434="Return"),1,0))</f>
        <v>1</v>
      </c>
      <c r="M434" s="37" t="n">
        <f aca="false">IF(Raw_Export!$A434="","",B434-WEEKDAY(B434,2)+1)</f>
        <v>46265</v>
      </c>
    </row>
    <row r="435" customFormat="false" ht="15" hidden="false" customHeight="false" outlineLevel="0" collapsed="false">
      <c r="A435" s="36" t="str">
        <f aca="false">IF(Raw_Export!$A435="","",TRIM(Raw_Export!A435))</f>
        <v>TXN-100425</v>
      </c>
      <c r="B435" s="37" t="n">
        <f aca="false">IF(Raw_Export!$A435="","",IF(ISNUMBER(Raw_Export!B435),Raw_Export!B435,IF(MID(TRIM(Raw_Export!B435),5,1)="-",DATE(LEFT(TRIM(Raw_Export!B435),4),MID(TRIM(Raw_Export!B435),6,2),RIGHT(TRIM(Raw_Export!B435),2)),DATE(RIGHT(TRIM(Raw_Export!B435),4),MATCH(MID(TRIM(Raw_Export!B435),4,3),{"Jan","Feb","Mar","Apr","May","Jun","Jul","Aug","Sep","Oct","Nov","Dec"},0),LEFT(TRIM(Raw_Export!B435),2)))))</f>
        <v>46268</v>
      </c>
      <c r="C435" s="36" t="str">
        <f aca="false">IF(Raw_Export!$A435="","",IFERROR(VLOOKUP(LOWER(TRIM(Raw_Export!C435)),Maps!$A$2:$B$20,2,FALSE()),"UNMAPPED"))</f>
        <v>Westlands</v>
      </c>
      <c r="D435" s="36" t="str">
        <f aca="false">IF(Raw_Export!$A435="","",IFERROR(VLOOKUP(LOWER(TRIM(Raw_Export!D435)),Maps!$G$2:$I$80,2,FALSE()),"UNMAPPED"))</f>
        <v>Matches 10pk</v>
      </c>
      <c r="E435" s="36" t="str">
        <f aca="false">IF(Raw_Export!$A435="","",IFERROR(VLOOKUP(LOWER(TRIM(Raw_Export!D435)),Maps!$G$2:$I$80,3,FALSE()),"UNMAPPED"))</f>
        <v>Household</v>
      </c>
      <c r="F435" s="36" t="n">
        <f aca="false">IF(Raw_Export!$A435="","",IFERROR(VALUE(TRIM(Raw_Export!E435)),0))</f>
        <v>0</v>
      </c>
      <c r="G435" s="38" t="n">
        <f aca="false">IF(Raw_Export!$A435="","",IFERROR(VALUE(SUBSTITUTE(SUBSTITUTE(UPPER(TRIM(Raw_Export!F435)),"KES",""),",","")),0))</f>
        <v>50</v>
      </c>
      <c r="H435" s="38" t="n">
        <f aca="false">IF(Raw_Export!$A435="","",F435*G435)</f>
        <v>0</v>
      </c>
      <c r="I435" s="36" t="str">
        <f aca="false">IF(Raw_Export!$A435="","",IFERROR(VLOOKUP(LOWER(TRIM(Raw_Export!H435)),Maps!$D$2:$E$12,2,FALSE()),"Other"))</f>
        <v>M-Pesa</v>
      </c>
      <c r="J435" s="36" t="str">
        <f aca="false">IF(Raw_Export!$A435="","",IF(COUNTIF($A$2:A435,A435)&gt;1,"Duplicate",""))</f>
        <v/>
      </c>
      <c r="K435" s="36" t="str">
        <f aca="false">IF(Raw_Export!$A435="","",IF(J435="Duplicate","Duplicate",IF(OR(C435="UNMAPPED",D435="UNMAPPED"),"Unmapped",IF(F435=0,"Blank qty",IF(F435&lt;0,"Return","OK")))))</f>
        <v>Blank qty</v>
      </c>
      <c r="L435" s="36" t="n">
        <f aca="false">IF(Raw_Export!$A435="","",IF(OR(K435="OK",K435="Return"),1,0))</f>
        <v>0</v>
      </c>
      <c r="M435" s="37" t="n">
        <f aca="false">IF(Raw_Export!$A435="","",B435-WEEKDAY(B435,2)+1)</f>
        <v>46265</v>
      </c>
    </row>
    <row r="436" customFormat="false" ht="15" hidden="false" customHeight="false" outlineLevel="0" collapsed="false">
      <c r="A436" s="36" t="str">
        <f aca="false">IF(Raw_Export!$A436="","",TRIM(Raw_Export!A436))</f>
        <v>TXN-100426</v>
      </c>
      <c r="B436" s="37" t="n">
        <f aca="false">IF(Raw_Export!$A436="","",IF(ISNUMBER(Raw_Export!B436),Raw_Export!B436,IF(MID(TRIM(Raw_Export!B436),5,1)="-",DATE(LEFT(TRIM(Raw_Export!B436),4),MID(TRIM(Raw_Export!B436),6,2),RIGHT(TRIM(Raw_Export!B436),2)),DATE(RIGHT(TRIM(Raw_Export!B436),4),MATCH(MID(TRIM(Raw_Export!B436),4,3),{"Jan","Feb","Mar","Apr","May","Jun","Jul","Aug","Sep","Oct","Nov","Dec"},0),LEFT(TRIM(Raw_Export!B436),2)))))</f>
        <v>46268</v>
      </c>
      <c r="C436" s="36" t="str">
        <f aca="false">IF(Raw_Export!$A436="","",IFERROR(VLOOKUP(LOWER(TRIM(Raw_Export!C436)),Maps!$A$2:$B$20,2,FALSE()),"UNMAPPED"))</f>
        <v>Westlands</v>
      </c>
      <c r="D436" s="36" t="str">
        <f aca="false">IF(Raw_Export!$A436="","",IFERROR(VLOOKUP(LOWER(TRIM(Raw_Export!D436)),Maps!$G$2:$I$80,2,FALSE()),"UNMAPPED"))</f>
        <v>Spaghetti 400g</v>
      </c>
      <c r="E436" s="36" t="str">
        <f aca="false">IF(Raw_Export!$A436="","",IFERROR(VLOOKUP(LOWER(TRIM(Raw_Export!D436)),Maps!$G$2:$I$80,3,FALSE()),"UNMAPPED"))</f>
        <v>Staples</v>
      </c>
      <c r="F436" s="36" t="n">
        <f aca="false">IF(Raw_Export!$A436="","",IFERROR(VALUE(TRIM(Raw_Export!E436)),0))</f>
        <v>6</v>
      </c>
      <c r="G436" s="38" t="n">
        <f aca="false">IF(Raw_Export!$A436="","",IFERROR(VALUE(SUBSTITUTE(SUBSTITUTE(UPPER(TRIM(Raw_Export!F436)),"KES",""),",","")),0))</f>
        <v>110</v>
      </c>
      <c r="H436" s="38" t="n">
        <f aca="false">IF(Raw_Export!$A436="","",F436*G436)</f>
        <v>660</v>
      </c>
      <c r="I436" s="36" t="str">
        <f aca="false">IF(Raw_Export!$A436="","",IFERROR(VLOOKUP(LOWER(TRIM(Raw_Export!H436)),Maps!$D$2:$E$12,2,FALSE()),"Other"))</f>
        <v>Cash</v>
      </c>
      <c r="J436" s="36" t="str">
        <f aca="false">IF(Raw_Export!$A436="","",IF(COUNTIF($A$2:A436,A436)&gt;1,"Duplicate",""))</f>
        <v/>
      </c>
      <c r="K436" s="36" t="str">
        <f aca="false">IF(Raw_Export!$A436="","",IF(J436="Duplicate","Duplicate",IF(OR(C436="UNMAPPED",D436="UNMAPPED"),"Unmapped",IF(F436=0,"Blank qty",IF(F436&lt;0,"Return","OK")))))</f>
        <v>OK</v>
      </c>
      <c r="L436" s="36" t="n">
        <f aca="false">IF(Raw_Export!$A436="","",IF(OR(K436="OK",K436="Return"),1,0))</f>
        <v>1</v>
      </c>
      <c r="M436" s="37" t="n">
        <f aca="false">IF(Raw_Export!$A436="","",B436-WEEKDAY(B436,2)+1)</f>
        <v>46265</v>
      </c>
    </row>
    <row r="437" customFormat="false" ht="15" hidden="false" customHeight="false" outlineLevel="0" collapsed="false">
      <c r="A437" s="36" t="str">
        <f aca="false">IF(Raw_Export!$A437="","",TRIM(Raw_Export!A437))</f>
        <v>TXN-100427</v>
      </c>
      <c r="B437" s="37" t="n">
        <f aca="false">IF(Raw_Export!$A437="","",IF(ISNUMBER(Raw_Export!B437),Raw_Export!B437,IF(MID(TRIM(Raw_Export!B437),5,1)="-",DATE(LEFT(TRIM(Raw_Export!B437),4),MID(TRIM(Raw_Export!B437),6,2),RIGHT(TRIM(Raw_Export!B437),2)),DATE(RIGHT(TRIM(Raw_Export!B437),4),MATCH(MID(TRIM(Raw_Export!B437),4,3),{"Jan","Feb","Mar","Apr","May","Jun","Jul","Aug","Sep","Oct","Nov","Dec"},0),LEFT(TRIM(Raw_Export!B437),2)))))</f>
        <v>46268</v>
      </c>
      <c r="C437" s="36" t="str">
        <f aca="false">IF(Raw_Export!$A437="","",IFERROR(VLOOKUP(LOWER(TRIM(Raw_Export!C437)),Maps!$A$2:$B$20,2,FALSE()),"UNMAPPED"))</f>
        <v>Westlands</v>
      </c>
      <c r="D437" s="36" t="str">
        <f aca="false">IF(Raw_Export!$A437="","",IFERROR(VLOOKUP(LOWER(TRIM(Raw_Export!D437)),Maps!$G$2:$I$80,2,FALSE()),"UNMAPPED"))</f>
        <v>Bread Loaf 400g</v>
      </c>
      <c r="E437" s="36" t="str">
        <f aca="false">IF(Raw_Export!$A437="","",IFERROR(VLOOKUP(LOWER(TRIM(Raw_Export!D437)),Maps!$G$2:$I$80,3,FALSE()),"UNMAPPED"))</f>
        <v>Snacks</v>
      </c>
      <c r="F437" s="36" t="n">
        <f aca="false">IF(Raw_Export!$A437="","",IFERROR(VALUE(TRIM(Raw_Export!E437)),0))</f>
        <v>3</v>
      </c>
      <c r="G437" s="38" t="n">
        <f aca="false">IF(Raw_Export!$A437="","",IFERROR(VALUE(SUBSTITUTE(SUBSTITUTE(UPPER(TRIM(Raw_Export!F437)),"KES",""),",","")),0))</f>
        <v>65</v>
      </c>
      <c r="H437" s="38" t="n">
        <f aca="false">IF(Raw_Export!$A437="","",F437*G437)</f>
        <v>195</v>
      </c>
      <c r="I437" s="36" t="str">
        <f aca="false">IF(Raw_Export!$A437="","",IFERROR(VLOOKUP(LOWER(TRIM(Raw_Export!H437)),Maps!$D$2:$E$12,2,FALSE()),"Other"))</f>
        <v>M-Pesa</v>
      </c>
      <c r="J437" s="36" t="str">
        <f aca="false">IF(Raw_Export!$A437="","",IF(COUNTIF($A$2:A437,A437)&gt;1,"Duplicate",""))</f>
        <v/>
      </c>
      <c r="K437" s="36" t="str">
        <f aca="false">IF(Raw_Export!$A437="","",IF(J437="Duplicate","Duplicate",IF(OR(C437="UNMAPPED",D437="UNMAPPED"),"Unmapped",IF(F437=0,"Blank qty",IF(F437&lt;0,"Return","OK")))))</f>
        <v>OK</v>
      </c>
      <c r="L437" s="36" t="n">
        <f aca="false">IF(Raw_Export!$A437="","",IF(OR(K437="OK",K437="Return"),1,0))</f>
        <v>1</v>
      </c>
      <c r="M437" s="37" t="n">
        <f aca="false">IF(Raw_Export!$A437="","",B437-WEEKDAY(B437,2)+1)</f>
        <v>46265</v>
      </c>
    </row>
    <row r="438" customFormat="false" ht="15" hidden="false" customHeight="false" outlineLevel="0" collapsed="false">
      <c r="A438" s="36" t="str">
        <f aca="false">IF(Raw_Export!$A438="","",TRIM(Raw_Export!A438))</f>
        <v>TXN-100428</v>
      </c>
      <c r="B438" s="37" t="n">
        <f aca="false">IF(Raw_Export!$A438="","",IF(ISNUMBER(Raw_Export!B438),Raw_Export!B438,IF(MID(TRIM(Raw_Export!B438),5,1)="-",DATE(LEFT(TRIM(Raw_Export!B438),4),MID(TRIM(Raw_Export!B438),6,2),RIGHT(TRIM(Raw_Export!B438),2)),DATE(RIGHT(TRIM(Raw_Export!B438),4),MATCH(MID(TRIM(Raw_Export!B438),4,3),{"Jan","Feb","Mar","Apr","May","Jun","Jul","Aug","Sep","Oct","Nov","Dec"},0),LEFT(TRIM(Raw_Export!B438),2)))))</f>
        <v>46268</v>
      </c>
      <c r="C438" s="36" t="str">
        <f aca="false">IF(Raw_Export!$A438="","",IFERROR(VLOOKUP(LOWER(TRIM(Raw_Export!C438)),Maps!$A$2:$B$20,2,FALSE()),"UNMAPPED"))</f>
        <v>Westlands</v>
      </c>
      <c r="D438" s="36" t="str">
        <f aca="false">IF(Raw_Export!$A438="","",IFERROR(VLOOKUP(LOWER(TRIM(Raw_Export!D438)),Maps!$G$2:$I$80,2,FALSE()),"UNMAPPED"))</f>
        <v>Soda 500ml</v>
      </c>
      <c r="E438" s="36" t="str">
        <f aca="false">IF(Raw_Export!$A438="","",IFERROR(VLOOKUP(LOWER(TRIM(Raw_Export!D438)),Maps!$G$2:$I$80,3,FALSE()),"UNMAPPED"))</f>
        <v>Beverages</v>
      </c>
      <c r="F438" s="36" t="n">
        <f aca="false">IF(Raw_Export!$A438="","",IFERROR(VALUE(TRIM(Raw_Export!E438)),0))</f>
        <v>1</v>
      </c>
      <c r="G438" s="38" t="n">
        <f aca="false">IF(Raw_Export!$A438="","",IFERROR(VALUE(SUBSTITUTE(SUBSTITUTE(UPPER(TRIM(Raw_Export!F438)),"KES",""),",","")),0))</f>
        <v>60</v>
      </c>
      <c r="H438" s="38" t="n">
        <f aca="false">IF(Raw_Export!$A438="","",F438*G438)</f>
        <v>60</v>
      </c>
      <c r="I438" s="36" t="str">
        <f aca="false">IF(Raw_Export!$A438="","",IFERROR(VLOOKUP(LOWER(TRIM(Raw_Export!H438)),Maps!$D$2:$E$12,2,FALSE()),"Other"))</f>
        <v>M-Pesa</v>
      </c>
      <c r="J438" s="36" t="str">
        <f aca="false">IF(Raw_Export!$A438="","",IF(COUNTIF($A$2:A438,A438)&gt;1,"Duplicate",""))</f>
        <v/>
      </c>
      <c r="K438" s="36" t="str">
        <f aca="false">IF(Raw_Export!$A438="","",IF(J438="Duplicate","Duplicate",IF(OR(C438="UNMAPPED",D438="UNMAPPED"),"Unmapped",IF(F438=0,"Blank qty",IF(F438&lt;0,"Return","OK")))))</f>
        <v>OK</v>
      </c>
      <c r="L438" s="36" t="n">
        <f aca="false">IF(Raw_Export!$A438="","",IF(OR(K438="OK",K438="Return"),1,0))</f>
        <v>1</v>
      </c>
      <c r="M438" s="37" t="n">
        <f aca="false">IF(Raw_Export!$A438="","",B438-WEEKDAY(B438,2)+1)</f>
        <v>46265</v>
      </c>
    </row>
    <row r="439" customFormat="false" ht="15" hidden="false" customHeight="false" outlineLevel="0" collapsed="false">
      <c r="A439" s="36" t="str">
        <f aca="false">IF(Raw_Export!$A439="","",TRIM(Raw_Export!A439))</f>
        <v>TXN-100429</v>
      </c>
      <c r="B439" s="37" t="n">
        <f aca="false">IF(Raw_Export!$A439="","",IF(ISNUMBER(Raw_Export!B439),Raw_Export!B439,IF(MID(TRIM(Raw_Export!B439),5,1)="-",DATE(LEFT(TRIM(Raw_Export!B439),4),MID(TRIM(Raw_Export!B439),6,2),RIGHT(TRIM(Raw_Export!B439),2)),DATE(RIGHT(TRIM(Raw_Export!B439),4),MATCH(MID(TRIM(Raw_Export!B439),4,3),{"Jan","Feb","Mar","Apr","May","Jun","Jul","Aug","Sep","Oct","Nov","Dec"},0),LEFT(TRIM(Raw_Export!B439),2)))))</f>
        <v>46268</v>
      </c>
      <c r="C439" s="36" t="str">
        <f aca="false">IF(Raw_Export!$A439="","",IFERROR(VLOOKUP(LOWER(TRIM(Raw_Export!C439)),Maps!$A$2:$B$20,2,FALSE()),"UNMAPPED"))</f>
        <v>Westlands</v>
      </c>
      <c r="D439" s="36" t="str">
        <f aca="false">IF(Raw_Export!$A439="","",IFERROR(VLOOKUP(LOWER(TRIM(Raw_Export!D439)),Maps!$G$2:$I$80,2,FALSE()),"UNMAPPED"))</f>
        <v>Bottled Water 1.5L</v>
      </c>
      <c r="E439" s="36" t="str">
        <f aca="false">IF(Raw_Export!$A439="","",IFERROR(VLOOKUP(LOWER(TRIM(Raw_Export!D439)),Maps!$G$2:$I$80,3,FALSE()),"UNMAPPED"))</f>
        <v>Beverages</v>
      </c>
      <c r="F439" s="36" t="n">
        <f aca="false">IF(Raw_Export!$A439="","",IFERROR(VALUE(TRIM(Raw_Export!E439)),0))</f>
        <v>6</v>
      </c>
      <c r="G439" s="38" t="n">
        <f aca="false">IF(Raw_Export!$A439="","",IFERROR(VALUE(SUBSTITUTE(SUBSTITUTE(UPPER(TRIM(Raw_Export!F439)),"KES",""),",","")),0))</f>
        <v>90</v>
      </c>
      <c r="H439" s="38" t="n">
        <f aca="false">IF(Raw_Export!$A439="","",F439*G439)</f>
        <v>540</v>
      </c>
      <c r="I439" s="36" t="str">
        <f aca="false">IF(Raw_Export!$A439="","",IFERROR(VLOOKUP(LOWER(TRIM(Raw_Export!H439)),Maps!$D$2:$E$12,2,FALSE()),"Other"))</f>
        <v>Cash</v>
      </c>
      <c r="J439" s="36" t="str">
        <f aca="false">IF(Raw_Export!$A439="","",IF(COUNTIF($A$2:A439,A439)&gt;1,"Duplicate",""))</f>
        <v/>
      </c>
      <c r="K439" s="36" t="str">
        <f aca="false">IF(Raw_Export!$A439="","",IF(J439="Duplicate","Duplicate",IF(OR(C439="UNMAPPED",D439="UNMAPPED"),"Unmapped",IF(F439=0,"Blank qty",IF(F439&lt;0,"Return","OK")))))</f>
        <v>OK</v>
      </c>
      <c r="L439" s="36" t="n">
        <f aca="false">IF(Raw_Export!$A439="","",IF(OR(K439="OK",K439="Return"),1,0))</f>
        <v>1</v>
      </c>
      <c r="M439" s="37" t="n">
        <f aca="false">IF(Raw_Export!$A439="","",B439-WEEKDAY(B439,2)+1)</f>
        <v>46265</v>
      </c>
    </row>
    <row r="440" customFormat="false" ht="15" hidden="false" customHeight="false" outlineLevel="0" collapsed="false">
      <c r="A440" s="36" t="str">
        <f aca="false">IF(Raw_Export!$A440="","",TRIM(Raw_Export!A440))</f>
        <v>TXN-100430</v>
      </c>
      <c r="B440" s="37" t="n">
        <f aca="false">IF(Raw_Export!$A440="","",IF(ISNUMBER(Raw_Export!B440),Raw_Export!B440,IF(MID(TRIM(Raw_Export!B440),5,1)="-",DATE(LEFT(TRIM(Raw_Export!B440),4),MID(TRIM(Raw_Export!B440),6,2),RIGHT(TRIM(Raw_Export!B440),2)),DATE(RIGHT(TRIM(Raw_Export!B440),4),MATCH(MID(TRIM(Raw_Export!B440),4,3),{"Jan","Feb","Mar","Apr","May","Jun","Jul","Aug","Sep","Oct","Nov","Dec"},0),LEFT(TRIM(Raw_Export!B440),2)))))</f>
        <v>46268</v>
      </c>
      <c r="C440" s="36" t="str">
        <f aca="false">IF(Raw_Export!$A440="","",IFERROR(VLOOKUP(LOWER(TRIM(Raw_Export!C440)),Maps!$A$2:$B$20,2,FALSE()),"UNMAPPED"))</f>
        <v>Westlands</v>
      </c>
      <c r="D440" s="36" t="str">
        <f aca="false">IF(Raw_Export!$A440="","",IFERROR(VLOOKUP(LOWER(TRIM(Raw_Export!D440)),Maps!$G$2:$I$80,2,FALSE()),"UNMAPPED"))</f>
        <v>Butter 250g</v>
      </c>
      <c r="E440" s="36" t="str">
        <f aca="false">IF(Raw_Export!$A440="","",IFERROR(VLOOKUP(LOWER(TRIM(Raw_Export!D440)),Maps!$G$2:$I$80,3,FALSE()),"UNMAPPED"))</f>
        <v>Dairy &amp; Eggs</v>
      </c>
      <c r="F440" s="36" t="n">
        <f aca="false">IF(Raw_Export!$A440="","",IFERROR(VALUE(TRIM(Raw_Export!E440)),0))</f>
        <v>6</v>
      </c>
      <c r="G440" s="38" t="n">
        <f aca="false">IF(Raw_Export!$A440="","",IFERROR(VALUE(SUBSTITUTE(SUBSTITUTE(UPPER(TRIM(Raw_Export!F440)),"KES",""),",","")),0))</f>
        <v>310</v>
      </c>
      <c r="H440" s="38" t="n">
        <f aca="false">IF(Raw_Export!$A440="","",F440*G440)</f>
        <v>1860</v>
      </c>
      <c r="I440" s="36" t="str">
        <f aca="false">IF(Raw_Export!$A440="","",IFERROR(VLOOKUP(LOWER(TRIM(Raw_Export!H440)),Maps!$D$2:$E$12,2,FALSE()),"Other"))</f>
        <v>Cash</v>
      </c>
      <c r="J440" s="36" t="str">
        <f aca="false">IF(Raw_Export!$A440="","",IF(COUNTIF($A$2:A440,A440)&gt;1,"Duplicate",""))</f>
        <v/>
      </c>
      <c r="K440" s="36" t="str">
        <f aca="false">IF(Raw_Export!$A440="","",IF(J440="Duplicate","Duplicate",IF(OR(C440="UNMAPPED",D440="UNMAPPED"),"Unmapped",IF(F440=0,"Blank qty",IF(F440&lt;0,"Return","OK")))))</f>
        <v>OK</v>
      </c>
      <c r="L440" s="36" t="n">
        <f aca="false">IF(Raw_Export!$A440="","",IF(OR(K440="OK",K440="Return"),1,0))</f>
        <v>1</v>
      </c>
      <c r="M440" s="37" t="n">
        <f aca="false">IF(Raw_Export!$A440="","",B440-WEEKDAY(B440,2)+1)</f>
        <v>46265</v>
      </c>
    </row>
    <row r="441" customFormat="false" ht="15" hidden="false" customHeight="false" outlineLevel="0" collapsed="false">
      <c r="A441" s="36" t="str">
        <f aca="false">IF(Raw_Export!$A441="","",TRIM(Raw_Export!A441))</f>
        <v>TXN-100431</v>
      </c>
      <c r="B441" s="37" t="n">
        <f aca="false">IF(Raw_Export!$A441="","",IF(ISNUMBER(Raw_Export!B441),Raw_Export!B441,IF(MID(TRIM(Raw_Export!B441),5,1)="-",DATE(LEFT(TRIM(Raw_Export!B441),4),MID(TRIM(Raw_Export!B441),6,2),RIGHT(TRIM(Raw_Export!B441),2)),DATE(RIGHT(TRIM(Raw_Export!B441),4),MATCH(MID(TRIM(Raw_Export!B441),4,3),{"Jan","Feb","Mar","Apr","May","Jun","Jul","Aug","Sep","Oct","Nov","Dec"},0),LEFT(TRIM(Raw_Export!B441),2)))))</f>
        <v>46268</v>
      </c>
      <c r="C441" s="36" t="str">
        <f aca="false">IF(Raw_Export!$A441="","",IFERROR(VLOOKUP(LOWER(TRIM(Raw_Export!C441)),Maps!$A$2:$B$20,2,FALSE()),"UNMAPPED"))</f>
        <v>Westlands</v>
      </c>
      <c r="D441" s="36" t="str">
        <f aca="false">IF(Raw_Export!$A441="","",IFERROR(VLOOKUP(LOWER(TRIM(Raw_Export!D441)),Maps!$G$2:$I$80,2,FALSE()),"UNMAPPED"))</f>
        <v>Salt 500g</v>
      </c>
      <c r="E441" s="36" t="str">
        <f aca="false">IF(Raw_Export!$A441="","",IFERROR(VLOOKUP(LOWER(TRIM(Raw_Export!D441)),Maps!$G$2:$I$80,3,FALSE()),"UNMAPPED"))</f>
        <v>Staples</v>
      </c>
      <c r="F441" s="36" t="n">
        <f aca="false">IF(Raw_Export!$A441="","",IFERROR(VALUE(TRIM(Raw_Export!E441)),0))</f>
        <v>1</v>
      </c>
      <c r="G441" s="38" t="n">
        <f aca="false">IF(Raw_Export!$A441="","",IFERROR(VALUE(SUBSTITUTE(SUBSTITUTE(UPPER(TRIM(Raw_Export!F441)),"KES",""),",","")),0))</f>
        <v>40</v>
      </c>
      <c r="H441" s="38" t="n">
        <f aca="false">IF(Raw_Export!$A441="","",F441*G441)</f>
        <v>40</v>
      </c>
      <c r="I441" s="36" t="str">
        <f aca="false">IF(Raw_Export!$A441="","",IFERROR(VLOOKUP(LOWER(TRIM(Raw_Export!H441)),Maps!$D$2:$E$12,2,FALSE()),"Other"))</f>
        <v>Cash</v>
      </c>
      <c r="J441" s="36" t="str">
        <f aca="false">IF(Raw_Export!$A441="","",IF(COUNTIF($A$2:A441,A441)&gt;1,"Duplicate",""))</f>
        <v/>
      </c>
      <c r="K441" s="36" t="str">
        <f aca="false">IF(Raw_Export!$A441="","",IF(J441="Duplicate","Duplicate",IF(OR(C441="UNMAPPED",D441="UNMAPPED"),"Unmapped",IF(F441=0,"Blank qty",IF(F441&lt;0,"Return","OK")))))</f>
        <v>OK</v>
      </c>
      <c r="L441" s="36" t="n">
        <f aca="false">IF(Raw_Export!$A441="","",IF(OR(K441="OK",K441="Return"),1,0))</f>
        <v>1</v>
      </c>
      <c r="M441" s="37" t="n">
        <f aca="false">IF(Raw_Export!$A441="","",B441-WEEKDAY(B441,2)+1)</f>
        <v>46265</v>
      </c>
    </row>
    <row r="442" customFormat="false" ht="15" hidden="false" customHeight="false" outlineLevel="0" collapsed="false">
      <c r="A442" s="36" t="str">
        <f aca="false">IF(Raw_Export!$A442="","",TRIM(Raw_Export!A442))</f>
        <v>TXN-100432</v>
      </c>
      <c r="B442" s="37" t="n">
        <f aca="false">IF(Raw_Export!$A442="","",IF(ISNUMBER(Raw_Export!B442),Raw_Export!B442,IF(MID(TRIM(Raw_Export!B442),5,1)="-",DATE(LEFT(TRIM(Raw_Export!B442),4),MID(TRIM(Raw_Export!B442),6,2),RIGHT(TRIM(Raw_Export!B442),2)),DATE(RIGHT(TRIM(Raw_Export!B442),4),MATCH(MID(TRIM(Raw_Export!B442),4,3),{"Jan","Feb","Mar","Apr","May","Jun","Jul","Aug","Sep","Oct","Nov","Dec"},0),LEFT(TRIM(Raw_Export!B442),2)))))</f>
        <v>46268</v>
      </c>
      <c r="C442" s="36" t="str">
        <f aca="false">IF(Raw_Export!$A442="","",IFERROR(VLOOKUP(LOWER(TRIM(Raw_Export!C442)),Maps!$A$2:$B$20,2,FALSE()),"UNMAPPED"))</f>
        <v>Westlands</v>
      </c>
      <c r="D442" s="36" t="str">
        <f aca="false">IF(Raw_Export!$A442="","",IFERROR(VLOOKUP(LOWER(TRIM(Raw_Export!D442)),Maps!$G$2:$I$80,2,FALSE()),"UNMAPPED"))</f>
        <v>Toilet Paper 10pk</v>
      </c>
      <c r="E442" s="36" t="str">
        <f aca="false">IF(Raw_Export!$A442="","",IFERROR(VLOOKUP(LOWER(TRIM(Raw_Export!D442)),Maps!$G$2:$I$80,3,FALSE()),"UNMAPPED"))</f>
        <v>Household</v>
      </c>
      <c r="F442" s="36" t="n">
        <f aca="false">IF(Raw_Export!$A442="","",IFERROR(VALUE(TRIM(Raw_Export!E442)),0))</f>
        <v>1</v>
      </c>
      <c r="G442" s="38" t="n">
        <f aca="false">IF(Raw_Export!$A442="","",IFERROR(VALUE(SUBSTITUTE(SUBSTITUTE(UPPER(TRIM(Raw_Export!F442)),"KES",""),",","")),0))</f>
        <v>380</v>
      </c>
      <c r="H442" s="38" t="n">
        <f aca="false">IF(Raw_Export!$A442="","",F442*G442)</f>
        <v>380</v>
      </c>
      <c r="I442" s="36" t="str">
        <f aca="false">IF(Raw_Export!$A442="","",IFERROR(VLOOKUP(LOWER(TRIM(Raw_Export!H442)),Maps!$D$2:$E$12,2,FALSE()),"Other"))</f>
        <v>M-Pesa</v>
      </c>
      <c r="J442" s="36" t="str">
        <f aca="false">IF(Raw_Export!$A442="","",IF(COUNTIF($A$2:A442,A442)&gt;1,"Duplicate",""))</f>
        <v/>
      </c>
      <c r="K442" s="36" t="str">
        <f aca="false">IF(Raw_Export!$A442="","",IF(J442="Duplicate","Duplicate",IF(OR(C442="UNMAPPED",D442="UNMAPPED"),"Unmapped",IF(F442=0,"Blank qty",IF(F442&lt;0,"Return","OK")))))</f>
        <v>OK</v>
      </c>
      <c r="L442" s="36" t="n">
        <f aca="false">IF(Raw_Export!$A442="","",IF(OR(K442="OK",K442="Return"),1,0))</f>
        <v>1</v>
      </c>
      <c r="M442" s="37" t="n">
        <f aca="false">IF(Raw_Export!$A442="","",B442-WEEKDAY(B442,2)+1)</f>
        <v>46265</v>
      </c>
    </row>
    <row r="443" customFormat="false" ht="15" hidden="false" customHeight="false" outlineLevel="0" collapsed="false">
      <c r="A443" s="36" t="str">
        <f aca="false">IF(Raw_Export!$A443="","",TRIM(Raw_Export!A443))</f>
        <v>TXN-100433</v>
      </c>
      <c r="B443" s="37" t="n">
        <f aca="false">IF(Raw_Export!$A443="","",IF(ISNUMBER(Raw_Export!B443),Raw_Export!B443,IF(MID(TRIM(Raw_Export!B443),5,1)="-",DATE(LEFT(TRIM(Raw_Export!B443),4),MID(TRIM(Raw_Export!B443),6,2),RIGHT(TRIM(Raw_Export!B443),2)),DATE(RIGHT(TRIM(Raw_Export!B443),4),MATCH(MID(TRIM(Raw_Export!B443),4,3),{"Jan","Feb","Mar","Apr","May","Jun","Jul","Aug","Sep","Oct","Nov","Dec"},0),LEFT(TRIM(Raw_Export!B443),2)))))</f>
        <v>46268</v>
      </c>
      <c r="C443" s="36" t="str">
        <f aca="false">IF(Raw_Export!$A443="","",IFERROR(VLOOKUP(LOWER(TRIM(Raw_Export!C443)),Maps!$A$2:$B$20,2,FALSE()),"UNMAPPED"))</f>
        <v>Westlands</v>
      </c>
      <c r="D443" s="36" t="str">
        <f aca="false">IF(Raw_Export!$A443="","",IFERROR(VLOOKUP(LOWER(TRIM(Raw_Export!D443)),Maps!$G$2:$I$80,2,FALSE()),"UNMAPPED"))</f>
        <v>Fresh Milk 500ml</v>
      </c>
      <c r="E443" s="36" t="str">
        <f aca="false">IF(Raw_Export!$A443="","",IFERROR(VLOOKUP(LOWER(TRIM(Raw_Export!D443)),Maps!$G$2:$I$80,3,FALSE()),"UNMAPPED"))</f>
        <v>Dairy &amp; Eggs</v>
      </c>
      <c r="F443" s="36" t="n">
        <f aca="false">IF(Raw_Export!$A443="","",IFERROR(VALUE(TRIM(Raw_Export!E443)),0))</f>
        <v>1</v>
      </c>
      <c r="G443" s="38" t="n">
        <f aca="false">IF(Raw_Export!$A443="","",IFERROR(VALUE(SUBSTITUTE(SUBSTITUTE(UPPER(TRIM(Raw_Export!F443)),"KES",""),",","")),0))</f>
        <v>65</v>
      </c>
      <c r="H443" s="38" t="n">
        <f aca="false">IF(Raw_Export!$A443="","",F443*G443)</f>
        <v>65</v>
      </c>
      <c r="I443" s="36" t="str">
        <f aca="false">IF(Raw_Export!$A443="","",IFERROR(VLOOKUP(LOWER(TRIM(Raw_Export!H443)),Maps!$D$2:$E$12,2,FALSE()),"Other"))</f>
        <v>Cash</v>
      </c>
      <c r="J443" s="36" t="str">
        <f aca="false">IF(Raw_Export!$A443="","",IF(COUNTIF($A$2:A443,A443)&gt;1,"Duplicate",""))</f>
        <v>Duplicate</v>
      </c>
      <c r="K443" s="36" t="str">
        <f aca="false">IF(Raw_Export!$A443="","",IF(J443="Duplicate","Duplicate",IF(OR(C443="UNMAPPED",D443="UNMAPPED"),"Unmapped",IF(F443=0,"Blank qty",IF(F443&lt;0,"Return","OK")))))</f>
        <v>Duplicate</v>
      </c>
      <c r="L443" s="36" t="n">
        <f aca="false">IF(Raw_Export!$A443="","",IF(OR(K443="OK",K443="Return"),1,0))</f>
        <v>0</v>
      </c>
      <c r="M443" s="37" t="n">
        <f aca="false">IF(Raw_Export!$A443="","",B443-WEEKDAY(B443,2)+1)</f>
        <v>46265</v>
      </c>
    </row>
    <row r="444" customFormat="false" ht="15" hidden="false" customHeight="false" outlineLevel="0" collapsed="false">
      <c r="A444" s="36" t="str">
        <f aca="false">IF(Raw_Export!$A444="","",TRIM(Raw_Export!A444))</f>
        <v>TXN-100434</v>
      </c>
      <c r="B444" s="37" t="n">
        <f aca="false">IF(Raw_Export!$A444="","",IF(ISNUMBER(Raw_Export!B444),Raw_Export!B444,IF(MID(TRIM(Raw_Export!B444),5,1)="-",DATE(LEFT(TRIM(Raw_Export!B444),4),MID(TRIM(Raw_Export!B444),6,2),RIGHT(TRIM(Raw_Export!B444),2)),DATE(RIGHT(TRIM(Raw_Export!B444),4),MATCH(MID(TRIM(Raw_Export!B444),4,3),{"Jan","Feb","Mar","Apr","May","Jun","Jul","Aug","Sep","Oct","Nov","Dec"},0),LEFT(TRIM(Raw_Export!B444),2)))))</f>
        <v>46268</v>
      </c>
      <c r="C444" s="36" t="str">
        <f aca="false">IF(Raw_Export!$A444="","",IFERROR(VLOOKUP(LOWER(TRIM(Raw_Export!C444)),Maps!$A$2:$B$20,2,FALSE()),"UNMAPPED"))</f>
        <v>Westlands</v>
      </c>
      <c r="D444" s="36" t="str">
        <f aca="false">IF(Raw_Export!$A444="","",IFERROR(VLOOKUP(LOWER(TRIM(Raw_Export!D444)),Maps!$G$2:$I$80,2,FALSE()),"UNMAPPED"))</f>
        <v>Cooking Oil 1L</v>
      </c>
      <c r="E444" s="36" t="str">
        <f aca="false">IF(Raw_Export!$A444="","",IFERROR(VLOOKUP(LOWER(TRIM(Raw_Export!D444)),Maps!$G$2:$I$80,3,FALSE()),"UNMAPPED"))</f>
        <v>Staples</v>
      </c>
      <c r="F444" s="36" t="n">
        <f aca="false">IF(Raw_Export!$A444="","",IFERROR(VALUE(TRIM(Raw_Export!E444)),0))</f>
        <v>2</v>
      </c>
      <c r="G444" s="38" t="n">
        <f aca="false">IF(Raw_Export!$A444="","",IFERROR(VALUE(SUBSTITUTE(SUBSTITUTE(UPPER(TRIM(Raw_Export!F444)),"KES",""),",","")),0))</f>
        <v>330</v>
      </c>
      <c r="H444" s="38" t="n">
        <f aca="false">IF(Raw_Export!$A444="","",F444*G444)</f>
        <v>660</v>
      </c>
      <c r="I444" s="36" t="str">
        <f aca="false">IF(Raw_Export!$A444="","",IFERROR(VLOOKUP(LOWER(TRIM(Raw_Export!H444)),Maps!$D$2:$E$12,2,FALSE()),"Other"))</f>
        <v>M-Pesa</v>
      </c>
      <c r="J444" s="36" t="str">
        <f aca="false">IF(Raw_Export!$A444="","",IF(COUNTIF($A$2:A444,A444)&gt;1,"Duplicate",""))</f>
        <v/>
      </c>
      <c r="K444" s="36" t="str">
        <f aca="false">IF(Raw_Export!$A444="","",IF(J444="Duplicate","Duplicate",IF(OR(C444="UNMAPPED",D444="UNMAPPED"),"Unmapped",IF(F444=0,"Blank qty",IF(F444&lt;0,"Return","OK")))))</f>
        <v>OK</v>
      </c>
      <c r="L444" s="36" t="n">
        <f aca="false">IF(Raw_Export!$A444="","",IF(OR(K444="OK",K444="Return"),1,0))</f>
        <v>1</v>
      </c>
      <c r="M444" s="37" t="n">
        <f aca="false">IF(Raw_Export!$A444="","",B444-WEEKDAY(B444,2)+1)</f>
        <v>46265</v>
      </c>
    </row>
    <row r="445" customFormat="false" ht="15" hidden="false" customHeight="false" outlineLevel="0" collapsed="false">
      <c r="A445" s="36" t="str">
        <f aca="false">IF(Raw_Export!$A445="","",TRIM(Raw_Export!A445))</f>
        <v>TXN-100435</v>
      </c>
      <c r="B445" s="37" t="n">
        <f aca="false">IF(Raw_Export!$A445="","",IF(ISNUMBER(Raw_Export!B445),Raw_Export!B445,IF(MID(TRIM(Raw_Export!B445),5,1)="-",DATE(LEFT(TRIM(Raw_Export!B445),4),MID(TRIM(Raw_Export!B445),6,2),RIGHT(TRIM(Raw_Export!B445),2)),DATE(RIGHT(TRIM(Raw_Export!B445),4),MATCH(MID(TRIM(Raw_Export!B445),4,3),{"Jan","Feb","Mar","Apr","May","Jun","Jul","Aug","Sep","Oct","Nov","Dec"},0),LEFT(TRIM(Raw_Export!B445),2)))))</f>
        <v>46268</v>
      </c>
      <c r="C445" s="36" t="str">
        <f aca="false">IF(Raw_Export!$A445="","",IFERROR(VLOOKUP(LOWER(TRIM(Raw_Export!C445)),Maps!$A$2:$B$20,2,FALSE()),"UNMAPPED"))</f>
        <v>Westlands</v>
      </c>
      <c r="D445" s="36" t="str">
        <f aca="false">IF(Raw_Export!$A445="","",IFERROR(VLOOKUP(LOWER(TRIM(Raw_Export!D445)),Maps!$G$2:$I$80,2,FALSE()),"UNMAPPED"))</f>
        <v>Matches 10pk</v>
      </c>
      <c r="E445" s="36" t="str">
        <f aca="false">IF(Raw_Export!$A445="","",IFERROR(VLOOKUP(LOWER(TRIM(Raw_Export!D445)),Maps!$G$2:$I$80,3,FALSE()),"UNMAPPED"))</f>
        <v>Household</v>
      </c>
      <c r="F445" s="36" t="n">
        <f aca="false">IF(Raw_Export!$A445="","",IFERROR(VALUE(TRIM(Raw_Export!E445)),0))</f>
        <v>1</v>
      </c>
      <c r="G445" s="38" t="n">
        <f aca="false">IF(Raw_Export!$A445="","",IFERROR(VALUE(SUBSTITUTE(SUBSTITUTE(UPPER(TRIM(Raw_Export!F445)),"KES",""),",","")),0))</f>
        <v>50</v>
      </c>
      <c r="H445" s="38" t="n">
        <f aca="false">IF(Raw_Export!$A445="","",F445*G445)</f>
        <v>50</v>
      </c>
      <c r="I445" s="36" t="str">
        <f aca="false">IF(Raw_Export!$A445="","",IFERROR(VLOOKUP(LOWER(TRIM(Raw_Export!H445)),Maps!$D$2:$E$12,2,FALSE()),"Other"))</f>
        <v>M-Pesa</v>
      </c>
      <c r="J445" s="36" t="str">
        <f aca="false">IF(Raw_Export!$A445="","",IF(COUNTIF($A$2:A445,A445)&gt;1,"Duplicate",""))</f>
        <v/>
      </c>
      <c r="K445" s="36" t="str">
        <f aca="false">IF(Raw_Export!$A445="","",IF(J445="Duplicate","Duplicate",IF(OR(C445="UNMAPPED",D445="UNMAPPED"),"Unmapped",IF(F445=0,"Blank qty",IF(F445&lt;0,"Return","OK")))))</f>
        <v>OK</v>
      </c>
      <c r="L445" s="36" t="n">
        <f aca="false">IF(Raw_Export!$A445="","",IF(OR(K445="OK",K445="Return"),1,0))</f>
        <v>1</v>
      </c>
      <c r="M445" s="37" t="n">
        <f aca="false">IF(Raw_Export!$A445="","",B445-WEEKDAY(B445,2)+1)</f>
        <v>46265</v>
      </c>
    </row>
    <row r="446" customFormat="false" ht="15" hidden="false" customHeight="false" outlineLevel="0" collapsed="false">
      <c r="A446" s="36" t="str">
        <f aca="false">IF(Raw_Export!$A446="","",TRIM(Raw_Export!A446))</f>
        <v>TXN-100436</v>
      </c>
      <c r="B446" s="37" t="n">
        <f aca="false">IF(Raw_Export!$A446="","",IF(ISNUMBER(Raw_Export!B446),Raw_Export!B446,IF(MID(TRIM(Raw_Export!B446),5,1)="-",DATE(LEFT(TRIM(Raw_Export!B446),4),MID(TRIM(Raw_Export!B446),6,2),RIGHT(TRIM(Raw_Export!B446),2)),DATE(RIGHT(TRIM(Raw_Export!B446),4),MATCH(MID(TRIM(Raw_Export!B446),4,3),{"Jan","Feb","Mar","Apr","May","Jun","Jul","Aug","Sep","Oct","Nov","Dec"},0),LEFT(TRIM(Raw_Export!B446),2)))))</f>
        <v>46268</v>
      </c>
      <c r="C446" s="36" t="str">
        <f aca="false">IF(Raw_Export!$A446="","",IFERROR(VLOOKUP(LOWER(TRIM(Raw_Export!C446)),Maps!$A$2:$B$20,2,FALSE()),"UNMAPPED"))</f>
        <v>Westlands</v>
      </c>
      <c r="D446" s="36" t="str">
        <f aca="false">IF(Raw_Export!$A446="","",IFERROR(VLOOKUP(LOWER(TRIM(Raw_Export!D446)),Maps!$G$2:$I$80,2,FALSE()),"UNMAPPED"))</f>
        <v>Soda 500ml</v>
      </c>
      <c r="E446" s="36" t="str">
        <f aca="false">IF(Raw_Export!$A446="","",IFERROR(VLOOKUP(LOWER(TRIM(Raw_Export!D446)),Maps!$G$2:$I$80,3,FALSE()),"UNMAPPED"))</f>
        <v>Beverages</v>
      </c>
      <c r="F446" s="36" t="n">
        <f aca="false">IF(Raw_Export!$A446="","",IFERROR(VALUE(TRIM(Raw_Export!E446)),0))</f>
        <v>2</v>
      </c>
      <c r="G446" s="38" t="n">
        <f aca="false">IF(Raw_Export!$A446="","",IFERROR(VALUE(SUBSTITUTE(SUBSTITUTE(UPPER(TRIM(Raw_Export!F446)),"KES",""),",","")),0))</f>
        <v>60</v>
      </c>
      <c r="H446" s="38" t="n">
        <f aca="false">IF(Raw_Export!$A446="","",F446*G446)</f>
        <v>120</v>
      </c>
      <c r="I446" s="36" t="str">
        <f aca="false">IF(Raw_Export!$A446="","",IFERROR(VLOOKUP(LOWER(TRIM(Raw_Export!H446)),Maps!$D$2:$E$12,2,FALSE()),"Other"))</f>
        <v>Cash</v>
      </c>
      <c r="J446" s="36" t="str">
        <f aca="false">IF(Raw_Export!$A446="","",IF(COUNTIF($A$2:A446,A446)&gt;1,"Duplicate",""))</f>
        <v/>
      </c>
      <c r="K446" s="36" t="str">
        <f aca="false">IF(Raw_Export!$A446="","",IF(J446="Duplicate","Duplicate",IF(OR(C446="UNMAPPED",D446="UNMAPPED"),"Unmapped",IF(F446=0,"Blank qty",IF(F446&lt;0,"Return","OK")))))</f>
        <v>OK</v>
      </c>
      <c r="L446" s="36" t="n">
        <f aca="false">IF(Raw_Export!$A446="","",IF(OR(K446="OK",K446="Return"),1,0))</f>
        <v>1</v>
      </c>
      <c r="M446" s="37" t="n">
        <f aca="false">IF(Raw_Export!$A446="","",B446-WEEKDAY(B446,2)+1)</f>
        <v>46265</v>
      </c>
    </row>
    <row r="447" customFormat="false" ht="15" hidden="false" customHeight="false" outlineLevel="0" collapsed="false">
      <c r="A447" s="36" t="str">
        <f aca="false">IF(Raw_Export!$A447="","",TRIM(Raw_Export!A447))</f>
        <v>TXN-100437</v>
      </c>
      <c r="B447" s="37" t="n">
        <f aca="false">IF(Raw_Export!$A447="","",IF(ISNUMBER(Raw_Export!B447),Raw_Export!B447,IF(MID(TRIM(Raw_Export!B447),5,1)="-",DATE(LEFT(TRIM(Raw_Export!B447),4),MID(TRIM(Raw_Export!B447),6,2),RIGHT(TRIM(Raw_Export!B447),2)),DATE(RIGHT(TRIM(Raw_Export!B447),4),MATCH(MID(TRIM(Raw_Export!B447),4,3),{"Jan","Feb","Mar","Apr","May","Jun","Jul","Aug","Sep","Oct","Nov","Dec"},0),LEFT(TRIM(Raw_Export!B447),2)))))</f>
        <v>46268</v>
      </c>
      <c r="C447" s="36" t="str">
        <f aca="false">IF(Raw_Export!$A447="","",IFERROR(VLOOKUP(LOWER(TRIM(Raw_Export!C447)),Maps!$A$2:$B$20,2,FALSE()),"UNMAPPED"))</f>
        <v>Westlands</v>
      </c>
      <c r="D447" s="36" t="str">
        <f aca="false">IF(Raw_Export!$A447="","",IFERROR(VLOOKUP(LOWER(TRIM(Raw_Export!D447)),Maps!$G$2:$I$80,2,FALSE()),"UNMAPPED"))</f>
        <v>Sugar 2kg</v>
      </c>
      <c r="E447" s="36" t="str">
        <f aca="false">IF(Raw_Export!$A447="","",IFERROR(VLOOKUP(LOWER(TRIM(Raw_Export!D447)),Maps!$G$2:$I$80,3,FALSE()),"UNMAPPED"))</f>
        <v>Staples</v>
      </c>
      <c r="F447" s="36" t="n">
        <f aca="false">IF(Raw_Export!$A447="","",IFERROR(VALUE(TRIM(Raw_Export!E447)),0))</f>
        <v>1</v>
      </c>
      <c r="G447" s="38" t="n">
        <f aca="false">IF(Raw_Export!$A447="","",IFERROR(VALUE(SUBSTITUTE(SUBSTITUTE(UPPER(TRIM(Raw_Export!F447)),"KES",""),",","")),0))</f>
        <v>330</v>
      </c>
      <c r="H447" s="38" t="n">
        <f aca="false">IF(Raw_Export!$A447="","",F447*G447)</f>
        <v>330</v>
      </c>
      <c r="I447" s="36" t="str">
        <f aca="false">IF(Raw_Export!$A447="","",IFERROR(VLOOKUP(LOWER(TRIM(Raw_Export!H447)),Maps!$D$2:$E$12,2,FALSE()),"Other"))</f>
        <v>M-Pesa</v>
      </c>
      <c r="J447" s="36" t="str">
        <f aca="false">IF(Raw_Export!$A447="","",IF(COUNTIF($A$2:A447,A447)&gt;1,"Duplicate",""))</f>
        <v/>
      </c>
      <c r="K447" s="36" t="str">
        <f aca="false">IF(Raw_Export!$A447="","",IF(J447="Duplicate","Duplicate",IF(OR(C447="UNMAPPED",D447="UNMAPPED"),"Unmapped",IF(F447=0,"Blank qty",IF(F447&lt;0,"Return","OK")))))</f>
        <v>OK</v>
      </c>
      <c r="L447" s="36" t="n">
        <f aca="false">IF(Raw_Export!$A447="","",IF(OR(K447="OK",K447="Return"),1,0))</f>
        <v>1</v>
      </c>
      <c r="M447" s="37" t="n">
        <f aca="false">IF(Raw_Export!$A447="","",B447-WEEKDAY(B447,2)+1)</f>
        <v>46265</v>
      </c>
    </row>
    <row r="448" customFormat="false" ht="15" hidden="false" customHeight="false" outlineLevel="0" collapsed="false">
      <c r="A448" s="36" t="str">
        <f aca="false">IF(Raw_Export!$A448="","",TRIM(Raw_Export!A448))</f>
        <v>TXN-100438</v>
      </c>
      <c r="B448" s="37" t="n">
        <f aca="false">IF(Raw_Export!$A448="","",IF(ISNUMBER(Raw_Export!B448),Raw_Export!B448,IF(MID(TRIM(Raw_Export!B448),5,1)="-",DATE(LEFT(TRIM(Raw_Export!B448),4),MID(TRIM(Raw_Export!B448),6,2),RIGHT(TRIM(Raw_Export!B448),2)),DATE(RIGHT(TRIM(Raw_Export!B448),4),MATCH(MID(TRIM(Raw_Export!B448),4,3),{"Jan","Feb","Mar","Apr","May","Jun","Jul","Aug","Sep","Oct","Nov","Dec"},0),LEFT(TRIM(Raw_Export!B448),2)))))</f>
        <v>46268</v>
      </c>
      <c r="C448" s="36" t="str">
        <f aca="false">IF(Raw_Export!$A448="","",IFERROR(VLOOKUP(LOWER(TRIM(Raw_Export!C448)),Maps!$A$2:$B$20,2,FALSE()),"UNMAPPED"))</f>
        <v>Westlands</v>
      </c>
      <c r="D448" s="36" t="str">
        <f aca="false">IF(Raw_Export!$A448="","",IFERROR(VLOOKUP(LOWER(TRIM(Raw_Export!D448)),Maps!$G$2:$I$80,2,FALSE()),"UNMAPPED"))</f>
        <v>Peanuts 250g</v>
      </c>
      <c r="E448" s="36" t="str">
        <f aca="false">IF(Raw_Export!$A448="","",IFERROR(VLOOKUP(LOWER(TRIM(Raw_Export!D448)),Maps!$G$2:$I$80,3,FALSE()),"UNMAPPED"))</f>
        <v>Snacks</v>
      </c>
      <c r="F448" s="36" t="n">
        <f aca="false">IF(Raw_Export!$A448="","",IFERROR(VALUE(TRIM(Raw_Export!E448)),0))</f>
        <v>2</v>
      </c>
      <c r="G448" s="38" t="n">
        <f aca="false">IF(Raw_Export!$A448="","",IFERROR(VALUE(SUBSTITUTE(SUBSTITUTE(UPPER(TRIM(Raw_Export!F448)),"KES",""),",","")),0))</f>
        <v>130</v>
      </c>
      <c r="H448" s="38" t="n">
        <f aca="false">IF(Raw_Export!$A448="","",F448*G448)</f>
        <v>260</v>
      </c>
      <c r="I448" s="36" t="str">
        <f aca="false">IF(Raw_Export!$A448="","",IFERROR(VLOOKUP(LOWER(TRIM(Raw_Export!H448)),Maps!$D$2:$E$12,2,FALSE()),"Other"))</f>
        <v>Cash</v>
      </c>
      <c r="J448" s="36" t="str">
        <f aca="false">IF(Raw_Export!$A448="","",IF(COUNTIF($A$2:A448,A448)&gt;1,"Duplicate",""))</f>
        <v/>
      </c>
      <c r="K448" s="36" t="str">
        <f aca="false">IF(Raw_Export!$A448="","",IF(J448="Duplicate","Duplicate",IF(OR(C448="UNMAPPED",D448="UNMAPPED"),"Unmapped",IF(F448=0,"Blank qty",IF(F448&lt;0,"Return","OK")))))</f>
        <v>OK</v>
      </c>
      <c r="L448" s="36" t="n">
        <f aca="false">IF(Raw_Export!$A448="","",IF(OR(K448="OK",K448="Return"),1,0))</f>
        <v>1</v>
      </c>
      <c r="M448" s="37" t="n">
        <f aca="false">IF(Raw_Export!$A448="","",B448-WEEKDAY(B448,2)+1)</f>
        <v>46265</v>
      </c>
    </row>
    <row r="449" customFormat="false" ht="15" hidden="false" customHeight="false" outlineLevel="0" collapsed="false">
      <c r="A449" s="36" t="str">
        <f aca="false">IF(Raw_Export!$A449="","",TRIM(Raw_Export!A449))</f>
        <v>TXN-100439</v>
      </c>
      <c r="B449" s="37" t="n">
        <f aca="false">IF(Raw_Export!$A449="","",IF(ISNUMBER(Raw_Export!B449),Raw_Export!B449,IF(MID(TRIM(Raw_Export!B449),5,1)="-",DATE(LEFT(TRIM(Raw_Export!B449),4),MID(TRIM(Raw_Export!B449),6,2),RIGHT(TRIM(Raw_Export!B449),2)),DATE(RIGHT(TRIM(Raw_Export!B449),4),MATCH(MID(TRIM(Raw_Export!B449),4,3),{"Jan","Feb","Mar","Apr","May","Jun","Jul","Aug","Sep","Oct","Nov","Dec"},0),LEFT(TRIM(Raw_Export!B449),2)))))</f>
        <v>46268</v>
      </c>
      <c r="C449" s="36" t="str">
        <f aca="false">IF(Raw_Export!$A449="","",IFERROR(VLOOKUP(LOWER(TRIM(Raw_Export!C449)),Maps!$A$2:$B$20,2,FALSE()),"UNMAPPED"))</f>
        <v>Westlands</v>
      </c>
      <c r="D449" s="36" t="str">
        <f aca="false">IF(Raw_Export!$A449="","",IFERROR(VLOOKUP(LOWER(TRIM(Raw_Export!D449)),Maps!$G$2:$I$80,2,FALSE()),"UNMAPPED"))</f>
        <v>Peanuts 250g</v>
      </c>
      <c r="E449" s="36" t="str">
        <f aca="false">IF(Raw_Export!$A449="","",IFERROR(VLOOKUP(LOWER(TRIM(Raw_Export!D449)),Maps!$G$2:$I$80,3,FALSE()),"UNMAPPED"))</f>
        <v>Snacks</v>
      </c>
      <c r="F449" s="36" t="n">
        <f aca="false">IF(Raw_Export!$A449="","",IFERROR(VALUE(TRIM(Raw_Export!E449)),0))</f>
        <v>6</v>
      </c>
      <c r="G449" s="38" t="n">
        <f aca="false">IF(Raw_Export!$A449="","",IFERROR(VALUE(SUBSTITUTE(SUBSTITUTE(UPPER(TRIM(Raw_Export!F449)),"KES",""),",","")),0))</f>
        <v>130</v>
      </c>
      <c r="H449" s="38" t="n">
        <f aca="false">IF(Raw_Export!$A449="","",F449*G449)</f>
        <v>780</v>
      </c>
      <c r="I449" s="36" t="str">
        <f aca="false">IF(Raw_Export!$A449="","",IFERROR(VLOOKUP(LOWER(TRIM(Raw_Export!H449)),Maps!$D$2:$E$12,2,FALSE()),"Other"))</f>
        <v>Cash</v>
      </c>
      <c r="J449" s="36" t="str">
        <f aca="false">IF(Raw_Export!$A449="","",IF(COUNTIF($A$2:A449,A449)&gt;1,"Duplicate",""))</f>
        <v/>
      </c>
      <c r="K449" s="36" t="str">
        <f aca="false">IF(Raw_Export!$A449="","",IF(J449="Duplicate","Duplicate",IF(OR(C449="UNMAPPED",D449="UNMAPPED"),"Unmapped",IF(F449=0,"Blank qty",IF(F449&lt;0,"Return","OK")))))</f>
        <v>OK</v>
      </c>
      <c r="L449" s="36" t="n">
        <f aca="false">IF(Raw_Export!$A449="","",IF(OR(K449="OK",K449="Return"),1,0))</f>
        <v>1</v>
      </c>
      <c r="M449" s="37" t="n">
        <f aca="false">IF(Raw_Export!$A449="","",B449-WEEKDAY(B449,2)+1)</f>
        <v>46265</v>
      </c>
    </row>
    <row r="450" customFormat="false" ht="15" hidden="false" customHeight="false" outlineLevel="0" collapsed="false">
      <c r="A450" s="36" t="str">
        <f aca="false">IF(Raw_Export!$A450="","",TRIM(Raw_Export!A450))</f>
        <v>TXN-100440</v>
      </c>
      <c r="B450" s="37" t="n">
        <f aca="false">IF(Raw_Export!$A450="","",IF(ISNUMBER(Raw_Export!B450),Raw_Export!B450,IF(MID(TRIM(Raw_Export!B450),5,1)="-",DATE(LEFT(TRIM(Raw_Export!B450),4),MID(TRIM(Raw_Export!B450),6,2),RIGHT(TRIM(Raw_Export!B450),2)),DATE(RIGHT(TRIM(Raw_Export!B450),4),MATCH(MID(TRIM(Raw_Export!B450),4,3),{"Jan","Feb","Mar","Apr","May","Jun","Jul","Aug","Sep","Oct","Nov","Dec"},0),LEFT(TRIM(Raw_Export!B450),2)))))</f>
        <v>46268</v>
      </c>
      <c r="C450" s="36" t="str">
        <f aca="false">IF(Raw_Export!$A450="","",IFERROR(VLOOKUP(LOWER(TRIM(Raw_Export!C450)),Maps!$A$2:$B$20,2,FALSE()),"UNMAPPED"))</f>
        <v>Westlands</v>
      </c>
      <c r="D450" s="36" t="str">
        <f aca="false">IF(Raw_Export!$A450="","",IFERROR(VLOOKUP(LOWER(TRIM(Raw_Export!D450)),Maps!$G$2:$I$80,2,FALSE()),"UNMAPPED"))</f>
        <v>Peanuts 250g</v>
      </c>
      <c r="E450" s="36" t="str">
        <f aca="false">IF(Raw_Export!$A450="","",IFERROR(VLOOKUP(LOWER(TRIM(Raw_Export!D450)),Maps!$G$2:$I$80,3,FALSE()),"UNMAPPED"))</f>
        <v>Snacks</v>
      </c>
      <c r="F450" s="36" t="n">
        <f aca="false">IF(Raw_Export!$A450="","",IFERROR(VALUE(TRIM(Raw_Export!E450)),0))</f>
        <v>2</v>
      </c>
      <c r="G450" s="38" t="n">
        <f aca="false">IF(Raw_Export!$A450="","",IFERROR(VALUE(SUBSTITUTE(SUBSTITUTE(UPPER(TRIM(Raw_Export!F450)),"KES",""),",","")),0))</f>
        <v>130</v>
      </c>
      <c r="H450" s="38" t="n">
        <f aca="false">IF(Raw_Export!$A450="","",F450*G450)</f>
        <v>260</v>
      </c>
      <c r="I450" s="36" t="str">
        <f aca="false">IF(Raw_Export!$A450="","",IFERROR(VLOOKUP(LOWER(TRIM(Raw_Export!H450)),Maps!$D$2:$E$12,2,FALSE()),"Other"))</f>
        <v>Cash</v>
      </c>
      <c r="J450" s="36" t="str">
        <f aca="false">IF(Raw_Export!$A450="","",IF(COUNTIF($A$2:A450,A450)&gt;1,"Duplicate",""))</f>
        <v/>
      </c>
      <c r="K450" s="36" t="str">
        <f aca="false">IF(Raw_Export!$A450="","",IF(J450="Duplicate","Duplicate",IF(OR(C450="UNMAPPED",D450="UNMAPPED"),"Unmapped",IF(F450=0,"Blank qty",IF(F450&lt;0,"Return","OK")))))</f>
        <v>OK</v>
      </c>
      <c r="L450" s="36" t="n">
        <f aca="false">IF(Raw_Export!$A450="","",IF(OR(K450="OK",K450="Return"),1,0))</f>
        <v>1</v>
      </c>
      <c r="M450" s="37" t="n">
        <f aca="false">IF(Raw_Export!$A450="","",B450-WEEKDAY(B450,2)+1)</f>
        <v>46265</v>
      </c>
    </row>
    <row r="451" customFormat="false" ht="15" hidden="false" customHeight="false" outlineLevel="0" collapsed="false">
      <c r="A451" s="36" t="str">
        <f aca="false">IF(Raw_Export!$A451="","",TRIM(Raw_Export!A451))</f>
        <v>TXN-100441</v>
      </c>
      <c r="B451" s="37" t="n">
        <f aca="false">IF(Raw_Export!$A451="","",IF(ISNUMBER(Raw_Export!B451),Raw_Export!B451,IF(MID(TRIM(Raw_Export!B451),5,1)="-",DATE(LEFT(TRIM(Raw_Export!B451),4),MID(TRIM(Raw_Export!B451),6,2),RIGHT(TRIM(Raw_Export!B451),2)),DATE(RIGHT(TRIM(Raw_Export!B451),4),MATCH(MID(TRIM(Raw_Export!B451),4,3),{"Jan","Feb","Mar","Apr","May","Jun","Jul","Aug","Sep","Oct","Nov","Dec"},0),LEFT(TRIM(Raw_Export!B451),2)))))</f>
        <v>46268</v>
      </c>
      <c r="C451" s="36" t="str">
        <f aca="false">IF(Raw_Export!$A451="","",IFERROR(VLOOKUP(LOWER(TRIM(Raw_Export!C451)),Maps!$A$2:$B$20,2,FALSE()),"UNMAPPED"))</f>
        <v>Westlands</v>
      </c>
      <c r="D451" s="36" t="str">
        <f aca="false">IF(Raw_Export!$A451="","",IFERROR(VLOOKUP(LOWER(TRIM(Raw_Export!D451)),Maps!$G$2:$I$80,2,FALSE()),"UNMAPPED"))</f>
        <v>Deodorant 150ml</v>
      </c>
      <c r="E451" s="36" t="str">
        <f aca="false">IF(Raw_Export!$A451="","",IFERROR(VLOOKUP(LOWER(TRIM(Raw_Export!D451)),Maps!$G$2:$I$80,3,FALSE()),"UNMAPPED"))</f>
        <v>Personal Care</v>
      </c>
      <c r="F451" s="36" t="n">
        <f aca="false">IF(Raw_Export!$A451="","",IFERROR(VALUE(TRIM(Raw_Export!E451)),0))</f>
        <v>2</v>
      </c>
      <c r="G451" s="38" t="n">
        <f aca="false">IF(Raw_Export!$A451="","",IFERROR(VALUE(SUBSTITUTE(SUBSTITUTE(UPPER(TRIM(Raw_Export!F451)),"KES",""),",","")),0))</f>
        <v>350</v>
      </c>
      <c r="H451" s="38" t="n">
        <f aca="false">IF(Raw_Export!$A451="","",F451*G451)</f>
        <v>700</v>
      </c>
      <c r="I451" s="36" t="str">
        <f aca="false">IF(Raw_Export!$A451="","",IFERROR(VLOOKUP(LOWER(TRIM(Raw_Export!H451)),Maps!$D$2:$E$12,2,FALSE()),"Other"))</f>
        <v>Cash</v>
      </c>
      <c r="J451" s="36" t="str">
        <f aca="false">IF(Raw_Export!$A451="","",IF(COUNTIF($A$2:A451,A451)&gt;1,"Duplicate",""))</f>
        <v/>
      </c>
      <c r="K451" s="36" t="str">
        <f aca="false">IF(Raw_Export!$A451="","",IF(J451="Duplicate","Duplicate",IF(OR(C451="UNMAPPED",D451="UNMAPPED"),"Unmapped",IF(F451=0,"Blank qty",IF(F451&lt;0,"Return","OK")))))</f>
        <v>OK</v>
      </c>
      <c r="L451" s="36" t="n">
        <f aca="false">IF(Raw_Export!$A451="","",IF(OR(K451="OK",K451="Return"),1,0))</f>
        <v>1</v>
      </c>
      <c r="M451" s="37" t="n">
        <f aca="false">IF(Raw_Export!$A451="","",B451-WEEKDAY(B451,2)+1)</f>
        <v>46265</v>
      </c>
    </row>
    <row r="452" customFormat="false" ht="15" hidden="false" customHeight="false" outlineLevel="0" collapsed="false">
      <c r="A452" s="36" t="str">
        <f aca="false">IF(Raw_Export!$A452="","",TRIM(Raw_Export!A452))</f>
        <v>TXN-100442</v>
      </c>
      <c r="B452" s="37" t="n">
        <f aca="false">IF(Raw_Export!$A452="","",IF(ISNUMBER(Raw_Export!B452),Raw_Export!B452,IF(MID(TRIM(Raw_Export!B452),5,1)="-",DATE(LEFT(TRIM(Raw_Export!B452),4),MID(TRIM(Raw_Export!B452),6,2),RIGHT(TRIM(Raw_Export!B452),2)),DATE(RIGHT(TRIM(Raw_Export!B452),4),MATCH(MID(TRIM(Raw_Export!B452),4,3),{"Jan","Feb","Mar","Apr","May","Jun","Jul","Aug","Sep","Oct","Nov","Dec"},0),LEFT(TRIM(Raw_Export!B452),2)))))</f>
        <v>46268</v>
      </c>
      <c r="C452" s="36" t="str">
        <f aca="false">IF(Raw_Export!$A452="","",IFERROR(VLOOKUP(LOWER(TRIM(Raw_Export!C452)),Maps!$A$2:$B$20,2,FALSE()),"UNMAPPED"))</f>
        <v>Westlands</v>
      </c>
      <c r="D452" s="36" t="str">
        <f aca="false">IF(Raw_Export!$A452="","",IFERROR(VLOOKUP(LOWER(TRIM(Raw_Export!D452)),Maps!$G$2:$I$80,2,FALSE()),"UNMAPPED"))</f>
        <v>Chocolate Bar 90g</v>
      </c>
      <c r="E452" s="36" t="str">
        <f aca="false">IF(Raw_Export!$A452="","",IFERROR(VLOOKUP(LOWER(TRIM(Raw_Export!D452)),Maps!$G$2:$I$80,3,FALSE()),"UNMAPPED"))</f>
        <v>Snacks</v>
      </c>
      <c r="F452" s="36" t="n">
        <f aca="false">IF(Raw_Export!$A452="","",IFERROR(VALUE(TRIM(Raw_Export!E452)),0))</f>
        <v>1</v>
      </c>
      <c r="G452" s="38" t="n">
        <f aca="false">IF(Raw_Export!$A452="","",IFERROR(VALUE(SUBSTITUTE(SUBSTITUTE(UPPER(TRIM(Raw_Export!F452)),"KES",""),",","")),0))</f>
        <v>140</v>
      </c>
      <c r="H452" s="38" t="n">
        <f aca="false">IF(Raw_Export!$A452="","",F452*G452)</f>
        <v>140</v>
      </c>
      <c r="I452" s="36" t="str">
        <f aca="false">IF(Raw_Export!$A452="","",IFERROR(VLOOKUP(LOWER(TRIM(Raw_Export!H452)),Maps!$D$2:$E$12,2,FALSE()),"Other"))</f>
        <v>M-Pesa</v>
      </c>
      <c r="J452" s="36" t="str">
        <f aca="false">IF(Raw_Export!$A452="","",IF(COUNTIF($A$2:A452,A452)&gt;1,"Duplicate",""))</f>
        <v/>
      </c>
      <c r="K452" s="36" t="str">
        <f aca="false">IF(Raw_Export!$A452="","",IF(J452="Duplicate","Duplicate",IF(OR(C452="UNMAPPED",D452="UNMAPPED"),"Unmapped",IF(F452=0,"Blank qty",IF(F452&lt;0,"Return","OK")))))</f>
        <v>OK</v>
      </c>
      <c r="L452" s="36" t="n">
        <f aca="false">IF(Raw_Export!$A452="","",IF(OR(K452="OK",K452="Return"),1,0))</f>
        <v>1</v>
      </c>
      <c r="M452" s="37" t="n">
        <f aca="false">IF(Raw_Export!$A452="","",B452-WEEKDAY(B452,2)+1)</f>
        <v>46265</v>
      </c>
    </row>
    <row r="453" customFormat="false" ht="15" hidden="false" customHeight="false" outlineLevel="0" collapsed="false">
      <c r="A453" s="36" t="str">
        <f aca="false">IF(Raw_Export!$A453="","",TRIM(Raw_Export!A453))</f>
        <v>TXN-100443</v>
      </c>
      <c r="B453" s="37" t="n">
        <f aca="false">IF(Raw_Export!$A453="","",IF(ISNUMBER(Raw_Export!B453),Raw_Export!B453,IF(MID(TRIM(Raw_Export!B453),5,1)="-",DATE(LEFT(TRIM(Raw_Export!B453),4),MID(TRIM(Raw_Export!B453),6,2),RIGHT(TRIM(Raw_Export!B453),2)),DATE(RIGHT(TRIM(Raw_Export!B453),4),MATCH(MID(TRIM(Raw_Export!B453),4,3),{"Jan","Feb","Mar","Apr","May","Jun","Jul","Aug","Sep","Oct","Nov","Dec"},0),LEFT(TRIM(Raw_Export!B453),2)))))</f>
        <v>46268</v>
      </c>
      <c r="C453" s="36" t="str">
        <f aca="false">IF(Raw_Export!$A453="","",IFERROR(VLOOKUP(LOWER(TRIM(Raw_Export!C453)),Maps!$A$2:$B$20,2,FALSE()),"UNMAPPED"))</f>
        <v>Westlands</v>
      </c>
      <c r="D453" s="36" t="str">
        <f aca="false">IF(Raw_Export!$A453="","",IFERROR(VLOOKUP(LOWER(TRIM(Raw_Export!D453)),Maps!$G$2:$I$80,2,FALSE()),"UNMAPPED"))</f>
        <v>Sugar 2kg</v>
      </c>
      <c r="E453" s="36" t="str">
        <f aca="false">IF(Raw_Export!$A453="","",IFERROR(VLOOKUP(LOWER(TRIM(Raw_Export!D453)),Maps!$G$2:$I$80,3,FALSE()),"UNMAPPED"))</f>
        <v>Staples</v>
      </c>
      <c r="F453" s="36" t="n">
        <f aca="false">IF(Raw_Export!$A453="","",IFERROR(VALUE(TRIM(Raw_Export!E453)),0))</f>
        <v>1</v>
      </c>
      <c r="G453" s="38" t="n">
        <f aca="false">IF(Raw_Export!$A453="","",IFERROR(VALUE(SUBSTITUTE(SUBSTITUTE(UPPER(TRIM(Raw_Export!F453)),"KES",""),",","")),0))</f>
        <v>330</v>
      </c>
      <c r="H453" s="38" t="n">
        <f aca="false">IF(Raw_Export!$A453="","",F453*G453)</f>
        <v>330</v>
      </c>
      <c r="I453" s="36" t="str">
        <f aca="false">IF(Raw_Export!$A453="","",IFERROR(VLOOKUP(LOWER(TRIM(Raw_Export!H453)),Maps!$D$2:$E$12,2,FALSE()),"Other"))</f>
        <v>M-Pesa</v>
      </c>
      <c r="J453" s="36" t="str">
        <f aca="false">IF(Raw_Export!$A453="","",IF(COUNTIF($A$2:A453,A453)&gt;1,"Duplicate",""))</f>
        <v/>
      </c>
      <c r="K453" s="36" t="str">
        <f aca="false">IF(Raw_Export!$A453="","",IF(J453="Duplicate","Duplicate",IF(OR(C453="UNMAPPED",D453="UNMAPPED"),"Unmapped",IF(F453=0,"Blank qty",IF(F453&lt;0,"Return","OK")))))</f>
        <v>OK</v>
      </c>
      <c r="L453" s="36" t="n">
        <f aca="false">IF(Raw_Export!$A453="","",IF(OR(K453="OK",K453="Return"),1,0))</f>
        <v>1</v>
      </c>
      <c r="M453" s="37" t="n">
        <f aca="false">IF(Raw_Export!$A453="","",B453-WEEKDAY(B453,2)+1)</f>
        <v>46265</v>
      </c>
    </row>
    <row r="454" customFormat="false" ht="15" hidden="false" customHeight="false" outlineLevel="0" collapsed="false">
      <c r="A454" s="36" t="str">
        <f aca="false">IF(Raw_Export!$A454="","",TRIM(Raw_Export!A454))</f>
        <v>TXN-100444</v>
      </c>
      <c r="B454" s="37" t="n">
        <f aca="false">IF(Raw_Export!$A454="","",IF(ISNUMBER(Raw_Export!B454),Raw_Export!B454,IF(MID(TRIM(Raw_Export!B454),5,1)="-",DATE(LEFT(TRIM(Raw_Export!B454),4),MID(TRIM(Raw_Export!B454),6,2),RIGHT(TRIM(Raw_Export!B454),2)),DATE(RIGHT(TRIM(Raw_Export!B454),4),MATCH(MID(TRIM(Raw_Export!B454),4,3),{"Jan","Feb","Mar","Apr","May","Jun","Jul","Aug","Sep","Oct","Nov","Dec"},0),LEFT(TRIM(Raw_Export!B454),2)))))</f>
        <v>46268</v>
      </c>
      <c r="C454" s="36" t="str">
        <f aca="false">IF(Raw_Export!$A454="","",IFERROR(VLOOKUP(LOWER(TRIM(Raw_Export!C454)),Maps!$A$2:$B$20,2,FALSE()),"UNMAPPED"))</f>
        <v>Westlands</v>
      </c>
      <c r="D454" s="36" t="str">
        <f aca="false">IF(Raw_Export!$A454="","",IFERROR(VLOOKUP(LOWER(TRIM(Raw_Export!D454)),Maps!$G$2:$I$80,2,FALSE()),"UNMAPPED"))</f>
        <v>Sanitary Pads 8pk</v>
      </c>
      <c r="E454" s="36" t="str">
        <f aca="false">IF(Raw_Export!$A454="","",IFERROR(VLOOKUP(LOWER(TRIM(Raw_Export!D454)),Maps!$G$2:$I$80,3,FALSE()),"UNMAPPED"))</f>
        <v>Personal Care</v>
      </c>
      <c r="F454" s="36" t="n">
        <f aca="false">IF(Raw_Export!$A454="","",IFERROR(VALUE(TRIM(Raw_Export!E454)),0))</f>
        <v>1</v>
      </c>
      <c r="G454" s="38" t="n">
        <f aca="false">IF(Raw_Export!$A454="","",IFERROR(VALUE(SUBSTITUTE(SUBSTITUTE(UPPER(TRIM(Raw_Export!F454)),"KES",""),",","")),0))</f>
        <v>130</v>
      </c>
      <c r="H454" s="38" t="n">
        <f aca="false">IF(Raw_Export!$A454="","",F454*G454)</f>
        <v>130</v>
      </c>
      <c r="I454" s="36" t="str">
        <f aca="false">IF(Raw_Export!$A454="","",IFERROR(VLOOKUP(LOWER(TRIM(Raw_Export!H454)),Maps!$D$2:$E$12,2,FALSE()),"Other"))</f>
        <v>M-Pesa</v>
      </c>
      <c r="J454" s="36" t="str">
        <f aca="false">IF(Raw_Export!$A454="","",IF(COUNTIF($A$2:A454,A454)&gt;1,"Duplicate",""))</f>
        <v/>
      </c>
      <c r="K454" s="36" t="str">
        <f aca="false">IF(Raw_Export!$A454="","",IF(J454="Duplicate","Duplicate",IF(OR(C454="UNMAPPED",D454="UNMAPPED"),"Unmapped",IF(F454=0,"Blank qty",IF(F454&lt;0,"Return","OK")))))</f>
        <v>OK</v>
      </c>
      <c r="L454" s="36" t="n">
        <f aca="false">IF(Raw_Export!$A454="","",IF(OR(K454="OK",K454="Return"),1,0))</f>
        <v>1</v>
      </c>
      <c r="M454" s="37" t="n">
        <f aca="false">IF(Raw_Export!$A454="","",B454-WEEKDAY(B454,2)+1)</f>
        <v>46265</v>
      </c>
    </row>
    <row r="455" customFormat="false" ht="15" hidden="false" customHeight="false" outlineLevel="0" collapsed="false">
      <c r="A455" s="36" t="str">
        <f aca="false">IF(Raw_Export!$A455="","",TRIM(Raw_Export!A455))</f>
        <v>TXN-100445</v>
      </c>
      <c r="B455" s="37" t="n">
        <f aca="false">IF(Raw_Export!$A455="","",IF(ISNUMBER(Raw_Export!B455),Raw_Export!B455,IF(MID(TRIM(Raw_Export!B455),5,1)="-",DATE(LEFT(TRIM(Raw_Export!B455),4),MID(TRIM(Raw_Export!B455),6,2),RIGHT(TRIM(Raw_Export!B455),2)),DATE(RIGHT(TRIM(Raw_Export!B455),4),MATCH(MID(TRIM(Raw_Export!B455),4,3),{"Jan","Feb","Mar","Apr","May","Jun","Jul","Aug","Sep","Oct","Nov","Dec"},0),LEFT(TRIM(Raw_Export!B455),2)))))</f>
        <v>46268</v>
      </c>
      <c r="C455" s="36" t="str">
        <f aca="false">IF(Raw_Export!$A455="","",IFERROR(VLOOKUP(LOWER(TRIM(Raw_Export!C455)),Maps!$A$2:$B$20,2,FALSE()),"UNMAPPED"))</f>
        <v>Westlands</v>
      </c>
      <c r="D455" s="36" t="str">
        <f aca="false">IF(Raw_Export!$A455="","",IFERROR(VLOOKUP(LOWER(TRIM(Raw_Export!D455)),Maps!$G$2:$I$80,2,FALSE()),"UNMAPPED"))</f>
        <v>Bottled Water 1.5L</v>
      </c>
      <c r="E455" s="36" t="str">
        <f aca="false">IF(Raw_Export!$A455="","",IFERROR(VLOOKUP(LOWER(TRIM(Raw_Export!D455)),Maps!$G$2:$I$80,3,FALSE()),"UNMAPPED"))</f>
        <v>Beverages</v>
      </c>
      <c r="F455" s="36" t="n">
        <f aca="false">IF(Raw_Export!$A455="","",IFERROR(VALUE(TRIM(Raw_Export!E455)),0))</f>
        <v>6</v>
      </c>
      <c r="G455" s="38" t="n">
        <f aca="false">IF(Raw_Export!$A455="","",IFERROR(VALUE(SUBSTITUTE(SUBSTITUTE(UPPER(TRIM(Raw_Export!F455)),"KES",""),",","")),0))</f>
        <v>90</v>
      </c>
      <c r="H455" s="38" t="n">
        <f aca="false">IF(Raw_Export!$A455="","",F455*G455)</f>
        <v>540</v>
      </c>
      <c r="I455" s="36" t="str">
        <f aca="false">IF(Raw_Export!$A455="","",IFERROR(VLOOKUP(LOWER(TRIM(Raw_Export!H455)),Maps!$D$2:$E$12,2,FALSE()),"Other"))</f>
        <v>Cash</v>
      </c>
      <c r="J455" s="36" t="str">
        <f aca="false">IF(Raw_Export!$A455="","",IF(COUNTIF($A$2:A455,A455)&gt;1,"Duplicate",""))</f>
        <v/>
      </c>
      <c r="K455" s="36" t="str">
        <f aca="false">IF(Raw_Export!$A455="","",IF(J455="Duplicate","Duplicate",IF(OR(C455="UNMAPPED",D455="UNMAPPED"),"Unmapped",IF(F455=0,"Blank qty",IF(F455&lt;0,"Return","OK")))))</f>
        <v>OK</v>
      </c>
      <c r="L455" s="36" t="n">
        <f aca="false">IF(Raw_Export!$A455="","",IF(OR(K455="OK",K455="Return"),1,0))</f>
        <v>1</v>
      </c>
      <c r="M455" s="37" t="n">
        <f aca="false">IF(Raw_Export!$A455="","",B455-WEEKDAY(B455,2)+1)</f>
        <v>46265</v>
      </c>
    </row>
    <row r="456" customFormat="false" ht="15" hidden="false" customHeight="false" outlineLevel="0" collapsed="false">
      <c r="A456" s="36" t="str">
        <f aca="false">IF(Raw_Export!$A456="","",TRIM(Raw_Export!A456))</f>
        <v>TXN-100446</v>
      </c>
      <c r="B456" s="37" t="n">
        <f aca="false">IF(Raw_Export!$A456="","",IF(ISNUMBER(Raw_Export!B456),Raw_Export!B456,IF(MID(TRIM(Raw_Export!B456),5,1)="-",DATE(LEFT(TRIM(Raw_Export!B456),4),MID(TRIM(Raw_Export!B456),6,2),RIGHT(TRIM(Raw_Export!B456),2)),DATE(RIGHT(TRIM(Raw_Export!B456),4),MATCH(MID(TRIM(Raw_Export!B456),4,3),{"Jan","Feb","Mar","Apr","May","Jun","Jul","Aug","Sep","Oct","Nov","Dec"},0),LEFT(TRIM(Raw_Export!B456),2)))))</f>
        <v>46268</v>
      </c>
      <c r="C456" s="36" t="str">
        <f aca="false">IF(Raw_Export!$A456="","",IFERROR(VLOOKUP(LOWER(TRIM(Raw_Export!C456)),Maps!$A$2:$B$20,2,FALSE()),"UNMAPPED"))</f>
        <v>Westlands</v>
      </c>
      <c r="D456" s="36" t="str">
        <f aca="false">IF(Raw_Export!$A456="","",IFERROR(VLOOKUP(LOWER(TRIM(Raw_Export!D456)),Maps!$G$2:$I$80,2,FALSE()),"UNMAPPED"))</f>
        <v>Soda 500ml</v>
      </c>
      <c r="E456" s="36" t="str">
        <f aca="false">IF(Raw_Export!$A456="","",IFERROR(VLOOKUP(LOWER(TRIM(Raw_Export!D456)),Maps!$G$2:$I$80,3,FALSE()),"UNMAPPED"))</f>
        <v>Beverages</v>
      </c>
      <c r="F456" s="36" t="n">
        <f aca="false">IF(Raw_Export!$A456="","",IFERROR(VALUE(TRIM(Raw_Export!E456)),0))</f>
        <v>4</v>
      </c>
      <c r="G456" s="38" t="n">
        <f aca="false">IF(Raw_Export!$A456="","",IFERROR(VALUE(SUBSTITUTE(SUBSTITUTE(UPPER(TRIM(Raw_Export!F456)),"KES",""),",","")),0))</f>
        <v>60</v>
      </c>
      <c r="H456" s="38" t="n">
        <f aca="false">IF(Raw_Export!$A456="","",F456*G456)</f>
        <v>240</v>
      </c>
      <c r="I456" s="36" t="str">
        <f aca="false">IF(Raw_Export!$A456="","",IFERROR(VLOOKUP(LOWER(TRIM(Raw_Export!H456)),Maps!$D$2:$E$12,2,FALSE()),"Other"))</f>
        <v>M-Pesa</v>
      </c>
      <c r="J456" s="36" t="str">
        <f aca="false">IF(Raw_Export!$A456="","",IF(COUNTIF($A$2:A456,A456)&gt;1,"Duplicate",""))</f>
        <v/>
      </c>
      <c r="K456" s="36" t="str">
        <f aca="false">IF(Raw_Export!$A456="","",IF(J456="Duplicate","Duplicate",IF(OR(C456="UNMAPPED",D456="UNMAPPED"),"Unmapped",IF(F456=0,"Blank qty",IF(F456&lt;0,"Return","OK")))))</f>
        <v>OK</v>
      </c>
      <c r="L456" s="36" t="n">
        <f aca="false">IF(Raw_Export!$A456="","",IF(OR(K456="OK",K456="Return"),1,0))</f>
        <v>1</v>
      </c>
      <c r="M456" s="37" t="n">
        <f aca="false">IF(Raw_Export!$A456="","",B456-WEEKDAY(B456,2)+1)</f>
        <v>46265</v>
      </c>
    </row>
    <row r="457" customFormat="false" ht="15" hidden="false" customHeight="false" outlineLevel="0" collapsed="false">
      <c r="A457" s="36" t="str">
        <f aca="false">IF(Raw_Export!$A457="","",TRIM(Raw_Export!A457))</f>
        <v>TXN-100447</v>
      </c>
      <c r="B457" s="37" t="n">
        <f aca="false">IF(Raw_Export!$A457="","",IF(ISNUMBER(Raw_Export!B457),Raw_Export!B457,IF(MID(TRIM(Raw_Export!B457),5,1)="-",DATE(LEFT(TRIM(Raw_Export!B457),4),MID(TRIM(Raw_Export!B457),6,2),RIGHT(TRIM(Raw_Export!B457),2)),DATE(RIGHT(TRIM(Raw_Export!B457),4),MATCH(MID(TRIM(Raw_Export!B457),4,3),{"Jan","Feb","Mar","Apr","May","Jun","Jul","Aug","Sep","Oct","Nov","Dec"},0),LEFT(TRIM(Raw_Export!B457),2)))))</f>
        <v>46268</v>
      </c>
      <c r="C457" s="36" t="str">
        <f aca="false">IF(Raw_Export!$A457="","",IFERROR(VLOOKUP(LOWER(TRIM(Raw_Export!C457)),Maps!$A$2:$B$20,2,FALSE()),"UNMAPPED"))</f>
        <v>Mombasa</v>
      </c>
      <c r="D457" s="36" t="str">
        <f aca="false">IF(Raw_Export!$A457="","",IFERROR(VLOOKUP(LOWER(TRIM(Raw_Export!D457)),Maps!$G$2:$I$80,2,FALSE()),"UNMAPPED"))</f>
        <v>Yoghurt 500ml</v>
      </c>
      <c r="E457" s="36" t="str">
        <f aca="false">IF(Raw_Export!$A457="","",IFERROR(VLOOKUP(LOWER(TRIM(Raw_Export!D457)),Maps!$G$2:$I$80,3,FALSE()),"UNMAPPED"))</f>
        <v>Dairy &amp; Eggs</v>
      </c>
      <c r="F457" s="36" t="n">
        <f aca="false">IF(Raw_Export!$A457="","",IFERROR(VALUE(TRIM(Raw_Export!E457)),0))</f>
        <v>4</v>
      </c>
      <c r="G457" s="38" t="n">
        <f aca="false">IF(Raw_Export!$A457="","",IFERROR(VALUE(SUBSTITUTE(SUBSTITUTE(UPPER(TRIM(Raw_Export!F457)),"KES",""),",","")),0))</f>
        <v>120</v>
      </c>
      <c r="H457" s="38" t="n">
        <f aca="false">IF(Raw_Export!$A457="","",F457*G457)</f>
        <v>480</v>
      </c>
      <c r="I457" s="36" t="str">
        <f aca="false">IF(Raw_Export!$A457="","",IFERROR(VLOOKUP(LOWER(TRIM(Raw_Export!H457)),Maps!$D$2:$E$12,2,FALSE()),"Other"))</f>
        <v>Card</v>
      </c>
      <c r="J457" s="36" t="str">
        <f aca="false">IF(Raw_Export!$A457="","",IF(COUNTIF($A$2:A457,A457)&gt;1,"Duplicate",""))</f>
        <v/>
      </c>
      <c r="K457" s="36" t="str">
        <f aca="false">IF(Raw_Export!$A457="","",IF(J457="Duplicate","Duplicate",IF(OR(C457="UNMAPPED",D457="UNMAPPED"),"Unmapped",IF(F457=0,"Blank qty",IF(F457&lt;0,"Return","OK")))))</f>
        <v>OK</v>
      </c>
      <c r="L457" s="36" t="n">
        <f aca="false">IF(Raw_Export!$A457="","",IF(OR(K457="OK",K457="Return"),1,0))</f>
        <v>1</v>
      </c>
      <c r="M457" s="37" t="n">
        <f aca="false">IF(Raw_Export!$A457="","",B457-WEEKDAY(B457,2)+1)</f>
        <v>46265</v>
      </c>
    </row>
    <row r="458" customFormat="false" ht="15" hidden="false" customHeight="false" outlineLevel="0" collapsed="false">
      <c r="A458" s="36" t="str">
        <f aca="false">IF(Raw_Export!$A458="","",TRIM(Raw_Export!A458))</f>
        <v>TXN-100448</v>
      </c>
      <c r="B458" s="37" t="n">
        <f aca="false">IF(Raw_Export!$A458="","",IF(ISNUMBER(Raw_Export!B458),Raw_Export!B458,IF(MID(TRIM(Raw_Export!B458),5,1)="-",DATE(LEFT(TRIM(Raw_Export!B458),4),MID(TRIM(Raw_Export!B458),6,2),RIGHT(TRIM(Raw_Export!B458),2)),DATE(RIGHT(TRIM(Raw_Export!B458),4),MATCH(MID(TRIM(Raw_Export!B458),4,3),{"Jan","Feb","Mar","Apr","May","Jun","Jul","Aug","Sep","Oct","Nov","Dec"},0),LEFT(TRIM(Raw_Export!B458),2)))))</f>
        <v>46268</v>
      </c>
      <c r="C458" s="36" t="str">
        <f aca="false">IF(Raw_Export!$A458="","",IFERROR(VLOOKUP(LOWER(TRIM(Raw_Export!C458)),Maps!$A$2:$B$20,2,FALSE()),"UNMAPPED"))</f>
        <v>Mombasa</v>
      </c>
      <c r="D458" s="36" t="str">
        <f aca="false">IF(Raw_Export!$A458="","",IFERROR(VLOOKUP(LOWER(TRIM(Raw_Export!D458)),Maps!$G$2:$I$80,2,FALSE()),"UNMAPPED"))</f>
        <v>Unga Pembe 2kg</v>
      </c>
      <c r="E458" s="36" t="str">
        <f aca="false">IF(Raw_Export!$A458="","",IFERROR(VLOOKUP(LOWER(TRIM(Raw_Export!D458)),Maps!$G$2:$I$80,3,FALSE()),"UNMAPPED"))</f>
        <v>Staples</v>
      </c>
      <c r="F458" s="36" t="n">
        <f aca="false">IF(Raw_Export!$A458="","",IFERROR(VALUE(TRIM(Raw_Export!E458)),0))</f>
        <v>1</v>
      </c>
      <c r="G458" s="38" t="n">
        <f aca="false">IF(Raw_Export!$A458="","",IFERROR(VALUE(SUBSTITUTE(SUBSTITUTE(UPPER(TRIM(Raw_Export!F458)),"KES",""),",","")),0))</f>
        <v>190</v>
      </c>
      <c r="H458" s="38" t="n">
        <f aca="false">IF(Raw_Export!$A458="","",F458*G458)</f>
        <v>190</v>
      </c>
      <c r="I458" s="36" t="str">
        <f aca="false">IF(Raw_Export!$A458="","",IFERROR(VLOOKUP(LOWER(TRIM(Raw_Export!H458)),Maps!$D$2:$E$12,2,FALSE()),"Other"))</f>
        <v>M-Pesa</v>
      </c>
      <c r="J458" s="36" t="str">
        <f aca="false">IF(Raw_Export!$A458="","",IF(COUNTIF($A$2:A458,A458)&gt;1,"Duplicate",""))</f>
        <v/>
      </c>
      <c r="K458" s="36" t="str">
        <f aca="false">IF(Raw_Export!$A458="","",IF(J458="Duplicate","Duplicate",IF(OR(C458="UNMAPPED",D458="UNMAPPED"),"Unmapped",IF(F458=0,"Blank qty",IF(F458&lt;0,"Return","OK")))))</f>
        <v>OK</v>
      </c>
      <c r="L458" s="36" t="n">
        <f aca="false">IF(Raw_Export!$A458="","",IF(OR(K458="OK",K458="Return"),1,0))</f>
        <v>1</v>
      </c>
      <c r="M458" s="37" t="n">
        <f aca="false">IF(Raw_Export!$A458="","",B458-WEEKDAY(B458,2)+1)</f>
        <v>46265</v>
      </c>
    </row>
    <row r="459" customFormat="false" ht="15" hidden="false" customHeight="false" outlineLevel="0" collapsed="false">
      <c r="A459" s="36" t="str">
        <f aca="false">IF(Raw_Export!$A459="","",TRIM(Raw_Export!A459))</f>
        <v>TXN-100449</v>
      </c>
      <c r="B459" s="37" t="n">
        <f aca="false">IF(Raw_Export!$A459="","",IF(ISNUMBER(Raw_Export!B459),Raw_Export!B459,IF(MID(TRIM(Raw_Export!B459),5,1)="-",DATE(LEFT(TRIM(Raw_Export!B459),4),MID(TRIM(Raw_Export!B459),6,2),RIGHT(TRIM(Raw_Export!B459),2)),DATE(RIGHT(TRIM(Raw_Export!B459),4),MATCH(MID(TRIM(Raw_Export!B459),4,3),{"Jan","Feb","Mar","Apr","May","Jun","Jul","Aug","Sep","Oct","Nov","Dec"},0),LEFT(TRIM(Raw_Export!B459),2)))))</f>
        <v>46268</v>
      </c>
      <c r="C459" s="36" t="str">
        <f aca="false">IF(Raw_Export!$A459="","",IFERROR(VLOOKUP(LOWER(TRIM(Raw_Export!C459)),Maps!$A$2:$B$20,2,FALSE()),"UNMAPPED"))</f>
        <v>Mombasa</v>
      </c>
      <c r="D459" s="36" t="str">
        <f aca="false">IF(Raw_Export!$A459="","",IFERROR(VLOOKUP(LOWER(TRIM(Raw_Export!D459)),Maps!$G$2:$I$80,2,FALSE()),"UNMAPPED"))</f>
        <v>Dish Soap 750ml</v>
      </c>
      <c r="E459" s="36" t="str">
        <f aca="false">IF(Raw_Export!$A459="","",IFERROR(VLOOKUP(LOWER(TRIM(Raw_Export!D459)),Maps!$G$2:$I$80,3,FALSE()),"UNMAPPED"))</f>
        <v>Household</v>
      </c>
      <c r="F459" s="36" t="n">
        <f aca="false">IF(Raw_Export!$A459="","",IFERROR(VALUE(TRIM(Raw_Export!E459)),0))</f>
        <v>3</v>
      </c>
      <c r="G459" s="38" t="n">
        <f aca="false">IF(Raw_Export!$A459="","",IFERROR(VALUE(SUBSTITUTE(SUBSTITUTE(UPPER(TRIM(Raw_Export!F459)),"KES",""),",","")),0))</f>
        <v>190</v>
      </c>
      <c r="H459" s="38" t="n">
        <f aca="false">IF(Raw_Export!$A459="","",F459*G459)</f>
        <v>570</v>
      </c>
      <c r="I459" s="36" t="str">
        <f aca="false">IF(Raw_Export!$A459="","",IFERROR(VLOOKUP(LOWER(TRIM(Raw_Export!H459)),Maps!$D$2:$E$12,2,FALSE()),"Other"))</f>
        <v>Cash</v>
      </c>
      <c r="J459" s="36" t="str">
        <f aca="false">IF(Raw_Export!$A459="","",IF(COUNTIF($A$2:A459,A459)&gt;1,"Duplicate",""))</f>
        <v/>
      </c>
      <c r="K459" s="36" t="str">
        <f aca="false">IF(Raw_Export!$A459="","",IF(J459="Duplicate","Duplicate",IF(OR(C459="UNMAPPED",D459="UNMAPPED"),"Unmapped",IF(F459=0,"Blank qty",IF(F459&lt;0,"Return","OK")))))</f>
        <v>OK</v>
      </c>
      <c r="L459" s="36" t="n">
        <f aca="false">IF(Raw_Export!$A459="","",IF(OR(K459="OK",K459="Return"),1,0))</f>
        <v>1</v>
      </c>
      <c r="M459" s="37" t="n">
        <f aca="false">IF(Raw_Export!$A459="","",B459-WEEKDAY(B459,2)+1)</f>
        <v>46265</v>
      </c>
    </row>
    <row r="460" customFormat="false" ht="15" hidden="false" customHeight="false" outlineLevel="0" collapsed="false">
      <c r="A460" s="36" t="str">
        <f aca="false">IF(Raw_Export!$A460="","",TRIM(Raw_Export!A460))</f>
        <v>TXN-100450</v>
      </c>
      <c r="B460" s="37" t="n">
        <f aca="false">IF(Raw_Export!$A460="","",IF(ISNUMBER(Raw_Export!B460),Raw_Export!B460,IF(MID(TRIM(Raw_Export!B460),5,1)="-",DATE(LEFT(TRIM(Raw_Export!B460),4),MID(TRIM(Raw_Export!B460),6,2),RIGHT(TRIM(Raw_Export!B460),2)),DATE(RIGHT(TRIM(Raw_Export!B460),4),MATCH(MID(TRIM(Raw_Export!B460),4,3),{"Jan","Feb","Mar","Apr","May","Jun","Jul","Aug","Sep","Oct","Nov","Dec"},0),LEFT(TRIM(Raw_Export!B460),2)))))</f>
        <v>46268</v>
      </c>
      <c r="C460" s="36" t="str">
        <f aca="false">IF(Raw_Export!$A460="","",IFERROR(VLOOKUP(LOWER(TRIM(Raw_Export!C460)),Maps!$A$2:$B$20,2,FALSE()),"UNMAPPED"))</f>
        <v>Mombasa</v>
      </c>
      <c r="D460" s="36" t="str">
        <f aca="false">IF(Raw_Export!$A460="","",IFERROR(VLOOKUP(LOWER(TRIM(Raw_Export!D460)),Maps!$G$2:$I$80,2,FALSE()),"UNMAPPED"))</f>
        <v>Bath Soap 175g</v>
      </c>
      <c r="E460" s="36" t="str">
        <f aca="false">IF(Raw_Export!$A460="","",IFERROR(VLOOKUP(LOWER(TRIM(Raw_Export!D460)),Maps!$G$2:$I$80,3,FALSE()),"UNMAPPED"))</f>
        <v>Personal Care</v>
      </c>
      <c r="F460" s="36" t="n">
        <f aca="false">IF(Raw_Export!$A460="","",IFERROR(VALUE(TRIM(Raw_Export!E460)),0))</f>
        <v>1</v>
      </c>
      <c r="G460" s="38" t="n">
        <f aca="false">IF(Raw_Export!$A460="","",IFERROR(VALUE(SUBSTITUTE(SUBSTITUTE(UPPER(TRIM(Raw_Export!F460)),"KES",""),",","")),0))</f>
        <v>85</v>
      </c>
      <c r="H460" s="38" t="n">
        <f aca="false">IF(Raw_Export!$A460="","",F460*G460)</f>
        <v>85</v>
      </c>
      <c r="I460" s="36" t="str">
        <f aca="false">IF(Raw_Export!$A460="","",IFERROR(VLOOKUP(LOWER(TRIM(Raw_Export!H460)),Maps!$D$2:$E$12,2,FALSE()),"Other"))</f>
        <v>M-Pesa</v>
      </c>
      <c r="J460" s="36" t="str">
        <f aca="false">IF(Raw_Export!$A460="","",IF(COUNTIF($A$2:A460,A460)&gt;1,"Duplicate",""))</f>
        <v/>
      </c>
      <c r="K460" s="36" t="str">
        <f aca="false">IF(Raw_Export!$A460="","",IF(J460="Duplicate","Duplicate",IF(OR(C460="UNMAPPED",D460="UNMAPPED"),"Unmapped",IF(F460=0,"Blank qty",IF(F460&lt;0,"Return","OK")))))</f>
        <v>OK</v>
      </c>
      <c r="L460" s="36" t="n">
        <f aca="false">IF(Raw_Export!$A460="","",IF(OR(K460="OK",K460="Return"),1,0))</f>
        <v>1</v>
      </c>
      <c r="M460" s="37" t="n">
        <f aca="false">IF(Raw_Export!$A460="","",B460-WEEKDAY(B460,2)+1)</f>
        <v>46265</v>
      </c>
    </row>
    <row r="461" customFormat="false" ht="15" hidden="false" customHeight="false" outlineLevel="0" collapsed="false">
      <c r="A461" s="36" t="str">
        <f aca="false">IF(Raw_Export!$A461="","",TRIM(Raw_Export!A461))</f>
        <v>TXN-100451</v>
      </c>
      <c r="B461" s="37" t="n">
        <f aca="false">IF(Raw_Export!$A461="","",IF(ISNUMBER(Raw_Export!B461),Raw_Export!B461,IF(MID(TRIM(Raw_Export!B461),5,1)="-",DATE(LEFT(TRIM(Raw_Export!B461),4),MID(TRIM(Raw_Export!B461),6,2),RIGHT(TRIM(Raw_Export!B461),2)),DATE(RIGHT(TRIM(Raw_Export!B461),4),MATCH(MID(TRIM(Raw_Export!B461),4,3),{"Jan","Feb","Mar","Apr","May","Jun","Jul","Aug","Sep","Oct","Nov","Dec"},0),LEFT(TRIM(Raw_Export!B461),2)))))</f>
        <v>46268</v>
      </c>
      <c r="C461" s="36" t="str">
        <f aca="false">IF(Raw_Export!$A461="","",IFERROR(VLOOKUP(LOWER(TRIM(Raw_Export!C461)),Maps!$A$2:$B$20,2,FALSE()),"UNMAPPED"))</f>
        <v>Mombasa</v>
      </c>
      <c r="D461" s="36" t="str">
        <f aca="false">IF(Raw_Export!$A461="","",IFERROR(VLOOKUP(LOWER(TRIM(Raw_Export!D461)),Maps!$G$2:$I$80,2,FALSE()),"UNMAPPED"))</f>
        <v>Toilet Paper 10pk</v>
      </c>
      <c r="E461" s="36" t="str">
        <f aca="false">IF(Raw_Export!$A461="","",IFERROR(VLOOKUP(LOWER(TRIM(Raw_Export!D461)),Maps!$G$2:$I$80,3,FALSE()),"UNMAPPED"))</f>
        <v>Household</v>
      </c>
      <c r="F461" s="36" t="n">
        <f aca="false">IF(Raw_Export!$A461="","",IFERROR(VALUE(TRIM(Raw_Export!E461)),0))</f>
        <v>3</v>
      </c>
      <c r="G461" s="38" t="n">
        <f aca="false">IF(Raw_Export!$A461="","",IFERROR(VALUE(SUBSTITUTE(SUBSTITUTE(UPPER(TRIM(Raw_Export!F461)),"KES",""),",","")),0))</f>
        <v>380</v>
      </c>
      <c r="H461" s="38" t="n">
        <f aca="false">IF(Raw_Export!$A461="","",F461*G461)</f>
        <v>1140</v>
      </c>
      <c r="I461" s="36" t="str">
        <f aca="false">IF(Raw_Export!$A461="","",IFERROR(VLOOKUP(LOWER(TRIM(Raw_Export!H461)),Maps!$D$2:$E$12,2,FALSE()),"Other"))</f>
        <v>M-Pesa</v>
      </c>
      <c r="J461" s="36" t="str">
        <f aca="false">IF(Raw_Export!$A461="","",IF(COUNTIF($A$2:A461,A461)&gt;1,"Duplicate",""))</f>
        <v/>
      </c>
      <c r="K461" s="36" t="str">
        <f aca="false">IF(Raw_Export!$A461="","",IF(J461="Duplicate","Duplicate",IF(OR(C461="UNMAPPED",D461="UNMAPPED"),"Unmapped",IF(F461=0,"Blank qty",IF(F461&lt;0,"Return","OK")))))</f>
        <v>OK</v>
      </c>
      <c r="L461" s="36" t="n">
        <f aca="false">IF(Raw_Export!$A461="","",IF(OR(K461="OK",K461="Return"),1,0))</f>
        <v>1</v>
      </c>
      <c r="M461" s="37" t="n">
        <f aca="false">IF(Raw_Export!$A461="","",B461-WEEKDAY(B461,2)+1)</f>
        <v>46265</v>
      </c>
    </row>
    <row r="462" customFormat="false" ht="15" hidden="false" customHeight="false" outlineLevel="0" collapsed="false">
      <c r="A462" s="36" t="str">
        <f aca="false">IF(Raw_Export!$A462="","",TRIM(Raw_Export!A462))</f>
        <v>TXN-100452</v>
      </c>
      <c r="B462" s="37" t="n">
        <f aca="false">IF(Raw_Export!$A462="","",IF(ISNUMBER(Raw_Export!B462),Raw_Export!B462,IF(MID(TRIM(Raw_Export!B462),5,1)="-",DATE(LEFT(TRIM(Raw_Export!B462),4),MID(TRIM(Raw_Export!B462),6,2),RIGHT(TRIM(Raw_Export!B462),2)),DATE(RIGHT(TRIM(Raw_Export!B462),4),MATCH(MID(TRIM(Raw_Export!B462),4,3),{"Jan","Feb","Mar","Apr","May","Jun","Jul","Aug","Sep","Oct","Nov","Dec"},0),LEFT(TRIM(Raw_Export!B462),2)))))</f>
        <v>46268</v>
      </c>
      <c r="C462" s="36" t="str">
        <f aca="false">IF(Raw_Export!$A462="","",IFERROR(VLOOKUP(LOWER(TRIM(Raw_Export!C462)),Maps!$A$2:$B$20,2,FALSE()),"UNMAPPED"))</f>
        <v>Mombasa</v>
      </c>
      <c r="D462" s="36" t="str">
        <f aca="false">IF(Raw_Export!$A462="","",IFERROR(VLOOKUP(LOWER(TRIM(Raw_Export!D462)),Maps!$G$2:$I$80,2,FALSE()),"UNMAPPED"))</f>
        <v>Eggs Tray 30</v>
      </c>
      <c r="E462" s="36" t="str">
        <f aca="false">IF(Raw_Export!$A462="","",IFERROR(VLOOKUP(LOWER(TRIM(Raw_Export!D462)),Maps!$G$2:$I$80,3,FALSE()),"UNMAPPED"))</f>
        <v>Dairy &amp; Eggs</v>
      </c>
      <c r="F462" s="36" t="n">
        <f aca="false">IF(Raw_Export!$A462="","",IFERROR(VALUE(TRIM(Raw_Export!E462)),0))</f>
        <v>2</v>
      </c>
      <c r="G462" s="38" t="n">
        <f aca="false">IF(Raw_Export!$A462="","",IFERROR(VALUE(SUBSTITUTE(SUBSTITUTE(UPPER(TRIM(Raw_Export!F462)),"KES",""),",","")),0))</f>
        <v>450</v>
      </c>
      <c r="H462" s="38" t="n">
        <f aca="false">IF(Raw_Export!$A462="","",F462*G462)</f>
        <v>900</v>
      </c>
      <c r="I462" s="36" t="str">
        <f aca="false">IF(Raw_Export!$A462="","",IFERROR(VLOOKUP(LOWER(TRIM(Raw_Export!H462)),Maps!$D$2:$E$12,2,FALSE()),"Other"))</f>
        <v>Cash</v>
      </c>
      <c r="J462" s="36" t="str">
        <f aca="false">IF(Raw_Export!$A462="","",IF(COUNTIF($A$2:A462,A462)&gt;1,"Duplicate",""))</f>
        <v/>
      </c>
      <c r="K462" s="36" t="str">
        <f aca="false">IF(Raw_Export!$A462="","",IF(J462="Duplicate","Duplicate",IF(OR(C462="UNMAPPED",D462="UNMAPPED"),"Unmapped",IF(F462=0,"Blank qty",IF(F462&lt;0,"Return","OK")))))</f>
        <v>OK</v>
      </c>
      <c r="L462" s="36" t="n">
        <f aca="false">IF(Raw_Export!$A462="","",IF(OR(K462="OK",K462="Return"),1,0))</f>
        <v>1</v>
      </c>
      <c r="M462" s="37" t="n">
        <f aca="false">IF(Raw_Export!$A462="","",B462-WEEKDAY(B462,2)+1)</f>
        <v>46265</v>
      </c>
    </row>
    <row r="463" customFormat="false" ht="15" hidden="false" customHeight="false" outlineLevel="0" collapsed="false">
      <c r="A463" s="36" t="str">
        <f aca="false">IF(Raw_Export!$A463="","",TRIM(Raw_Export!A463))</f>
        <v>TXN-100453</v>
      </c>
      <c r="B463" s="37" t="n">
        <f aca="false">IF(Raw_Export!$A463="","",IF(ISNUMBER(Raw_Export!B463),Raw_Export!B463,IF(MID(TRIM(Raw_Export!B463),5,1)="-",DATE(LEFT(TRIM(Raw_Export!B463),4),MID(TRIM(Raw_Export!B463),6,2),RIGHT(TRIM(Raw_Export!B463),2)),DATE(RIGHT(TRIM(Raw_Export!B463),4),MATCH(MID(TRIM(Raw_Export!B463),4,3),{"Jan","Feb","Mar","Apr","May","Jun","Jul","Aug","Sep","Oct","Nov","Dec"},0),LEFT(TRIM(Raw_Export!B463),2)))))</f>
        <v>46268</v>
      </c>
      <c r="C463" s="36" t="str">
        <f aca="false">IF(Raw_Export!$A463="","",IFERROR(VLOOKUP(LOWER(TRIM(Raw_Export!C463)),Maps!$A$2:$B$20,2,FALSE()),"UNMAPPED"))</f>
        <v>Mombasa</v>
      </c>
      <c r="D463" s="36" t="str">
        <f aca="false">IF(Raw_Export!$A463="","",IFERROR(VLOOKUP(LOWER(TRIM(Raw_Export!D463)),Maps!$G$2:$I$80,2,FALSE()),"UNMAPPED"))</f>
        <v>Body Lotion 400ml</v>
      </c>
      <c r="E463" s="36" t="str">
        <f aca="false">IF(Raw_Export!$A463="","",IFERROR(VLOOKUP(LOWER(TRIM(Raw_Export!D463)),Maps!$G$2:$I$80,3,FALSE()),"UNMAPPED"))</f>
        <v>Personal Care</v>
      </c>
      <c r="F463" s="36" t="n">
        <f aca="false">IF(Raw_Export!$A463="","",IFERROR(VALUE(TRIM(Raw_Export!E463)),0))</f>
        <v>3</v>
      </c>
      <c r="G463" s="38" t="n">
        <f aca="false">IF(Raw_Export!$A463="","",IFERROR(VALUE(SUBSTITUTE(SUBSTITUTE(UPPER(TRIM(Raw_Export!F463)),"KES",""),",","")),0))</f>
        <v>420</v>
      </c>
      <c r="H463" s="38" t="n">
        <f aca="false">IF(Raw_Export!$A463="","",F463*G463)</f>
        <v>1260</v>
      </c>
      <c r="I463" s="36" t="str">
        <f aca="false">IF(Raw_Export!$A463="","",IFERROR(VLOOKUP(LOWER(TRIM(Raw_Export!H463)),Maps!$D$2:$E$12,2,FALSE()),"Other"))</f>
        <v>Cash</v>
      </c>
      <c r="J463" s="36" t="str">
        <f aca="false">IF(Raw_Export!$A463="","",IF(COUNTIF($A$2:A463,A463)&gt;1,"Duplicate",""))</f>
        <v/>
      </c>
      <c r="K463" s="36" t="str">
        <f aca="false">IF(Raw_Export!$A463="","",IF(J463="Duplicate","Duplicate",IF(OR(C463="UNMAPPED",D463="UNMAPPED"),"Unmapped",IF(F463=0,"Blank qty",IF(F463&lt;0,"Return","OK")))))</f>
        <v>OK</v>
      </c>
      <c r="L463" s="36" t="n">
        <f aca="false">IF(Raw_Export!$A463="","",IF(OR(K463="OK",K463="Return"),1,0))</f>
        <v>1</v>
      </c>
      <c r="M463" s="37" t="n">
        <f aca="false">IF(Raw_Export!$A463="","",B463-WEEKDAY(B463,2)+1)</f>
        <v>46265</v>
      </c>
    </row>
    <row r="464" customFormat="false" ht="15" hidden="false" customHeight="false" outlineLevel="0" collapsed="false">
      <c r="A464" s="36" t="str">
        <f aca="false">IF(Raw_Export!$A464="","",TRIM(Raw_Export!A464))</f>
        <v>TXN-100454</v>
      </c>
      <c r="B464" s="37" t="n">
        <f aca="false">IF(Raw_Export!$A464="","",IF(ISNUMBER(Raw_Export!B464),Raw_Export!B464,IF(MID(TRIM(Raw_Export!B464),5,1)="-",DATE(LEFT(TRIM(Raw_Export!B464),4),MID(TRIM(Raw_Export!B464),6,2),RIGHT(TRIM(Raw_Export!B464),2)),DATE(RIGHT(TRIM(Raw_Export!B464),4),MATCH(MID(TRIM(Raw_Export!B464),4,3),{"Jan","Feb","Mar","Apr","May","Jun","Jul","Aug","Sep","Oct","Nov","Dec"},0),LEFT(TRIM(Raw_Export!B464),2)))))</f>
        <v>46268</v>
      </c>
      <c r="C464" s="36" t="str">
        <f aca="false">IF(Raw_Export!$A464="","",IFERROR(VLOOKUP(LOWER(TRIM(Raw_Export!C464)),Maps!$A$2:$B$20,2,FALSE()),"UNMAPPED"))</f>
        <v>Mombasa</v>
      </c>
      <c r="D464" s="36" t="str">
        <f aca="false">IF(Raw_Export!$A464="","",IFERROR(VLOOKUP(LOWER(TRIM(Raw_Export!D464)),Maps!$G$2:$I$80,2,FALSE()),"UNMAPPED"))</f>
        <v>Washing Powder 1kg</v>
      </c>
      <c r="E464" s="36" t="str">
        <f aca="false">IF(Raw_Export!$A464="","",IFERROR(VLOOKUP(LOWER(TRIM(Raw_Export!D464)),Maps!$G$2:$I$80,3,FALSE()),"UNMAPPED"))</f>
        <v>Household</v>
      </c>
      <c r="F464" s="36" t="n">
        <f aca="false">IF(Raw_Export!$A464="","",IFERROR(VALUE(TRIM(Raw_Export!E464)),0))</f>
        <v>3</v>
      </c>
      <c r="G464" s="38" t="n">
        <f aca="false">IF(Raw_Export!$A464="","",IFERROR(VALUE(SUBSTITUTE(SUBSTITUTE(UPPER(TRIM(Raw_Export!F464)),"KES",""),",","")),0))</f>
        <v>280</v>
      </c>
      <c r="H464" s="38" t="n">
        <f aca="false">IF(Raw_Export!$A464="","",F464*G464)</f>
        <v>840</v>
      </c>
      <c r="I464" s="36" t="str">
        <f aca="false">IF(Raw_Export!$A464="","",IFERROR(VLOOKUP(LOWER(TRIM(Raw_Export!H464)),Maps!$D$2:$E$12,2,FALSE()),"Other"))</f>
        <v>Cash</v>
      </c>
      <c r="J464" s="36" t="str">
        <f aca="false">IF(Raw_Export!$A464="","",IF(COUNTIF($A$2:A464,A464)&gt;1,"Duplicate",""))</f>
        <v/>
      </c>
      <c r="K464" s="36" t="str">
        <f aca="false">IF(Raw_Export!$A464="","",IF(J464="Duplicate","Duplicate",IF(OR(C464="UNMAPPED",D464="UNMAPPED"),"Unmapped",IF(F464=0,"Blank qty",IF(F464&lt;0,"Return","OK")))))</f>
        <v>OK</v>
      </c>
      <c r="L464" s="36" t="n">
        <f aca="false">IF(Raw_Export!$A464="","",IF(OR(K464="OK",K464="Return"),1,0))</f>
        <v>1</v>
      </c>
      <c r="M464" s="37" t="n">
        <f aca="false">IF(Raw_Export!$A464="","",B464-WEEKDAY(B464,2)+1)</f>
        <v>46265</v>
      </c>
    </row>
    <row r="465" customFormat="false" ht="15" hidden="false" customHeight="false" outlineLevel="0" collapsed="false">
      <c r="A465" s="36" t="str">
        <f aca="false">IF(Raw_Export!$A465="","",TRIM(Raw_Export!A465))</f>
        <v>TXN-100455</v>
      </c>
      <c r="B465" s="37" t="n">
        <f aca="false">IF(Raw_Export!$A465="","",IF(ISNUMBER(Raw_Export!B465),Raw_Export!B465,IF(MID(TRIM(Raw_Export!B465),5,1)="-",DATE(LEFT(TRIM(Raw_Export!B465),4),MID(TRIM(Raw_Export!B465),6,2),RIGHT(TRIM(Raw_Export!B465),2)),DATE(RIGHT(TRIM(Raw_Export!B465),4),MATCH(MID(TRIM(Raw_Export!B465),4,3),{"Jan","Feb","Mar","Apr","May","Jun","Jul","Aug","Sep","Oct","Nov","Dec"},0),LEFT(TRIM(Raw_Export!B465),2)))))</f>
        <v>46268</v>
      </c>
      <c r="C465" s="36" t="str">
        <f aca="false">IF(Raw_Export!$A465="","",IFERROR(VLOOKUP(LOWER(TRIM(Raw_Export!C465)),Maps!$A$2:$B$20,2,FALSE()),"UNMAPPED"))</f>
        <v>Mombasa</v>
      </c>
      <c r="D465" s="36" t="str">
        <f aca="false">IF(Raw_Export!$A465="","",IFERROR(VLOOKUP(LOWER(TRIM(Raw_Export!D465)),Maps!$G$2:$I$80,2,FALSE()),"UNMAPPED"))</f>
        <v>Deodorant 150ml</v>
      </c>
      <c r="E465" s="36" t="str">
        <f aca="false">IF(Raw_Export!$A465="","",IFERROR(VLOOKUP(LOWER(TRIM(Raw_Export!D465)),Maps!$G$2:$I$80,3,FALSE()),"UNMAPPED"))</f>
        <v>Personal Care</v>
      </c>
      <c r="F465" s="36" t="n">
        <f aca="false">IF(Raw_Export!$A465="","",IFERROR(VALUE(TRIM(Raw_Export!E465)),0))</f>
        <v>4</v>
      </c>
      <c r="G465" s="38" t="n">
        <f aca="false">IF(Raw_Export!$A465="","",IFERROR(VALUE(SUBSTITUTE(SUBSTITUTE(UPPER(TRIM(Raw_Export!F465)),"KES",""),",","")),0))</f>
        <v>350</v>
      </c>
      <c r="H465" s="38" t="n">
        <f aca="false">IF(Raw_Export!$A465="","",F465*G465)</f>
        <v>1400</v>
      </c>
      <c r="I465" s="36" t="str">
        <f aca="false">IF(Raw_Export!$A465="","",IFERROR(VLOOKUP(LOWER(TRIM(Raw_Export!H465)),Maps!$D$2:$E$12,2,FALSE()),"Other"))</f>
        <v>M-Pesa</v>
      </c>
      <c r="J465" s="36" t="str">
        <f aca="false">IF(Raw_Export!$A465="","",IF(COUNTIF($A$2:A465,A465)&gt;1,"Duplicate",""))</f>
        <v/>
      </c>
      <c r="K465" s="36" t="str">
        <f aca="false">IF(Raw_Export!$A465="","",IF(J465="Duplicate","Duplicate",IF(OR(C465="UNMAPPED",D465="UNMAPPED"),"Unmapped",IF(F465=0,"Blank qty",IF(F465&lt;0,"Return","OK")))))</f>
        <v>OK</v>
      </c>
      <c r="L465" s="36" t="n">
        <f aca="false">IF(Raw_Export!$A465="","",IF(OR(K465="OK",K465="Return"),1,0))</f>
        <v>1</v>
      </c>
      <c r="M465" s="37" t="n">
        <f aca="false">IF(Raw_Export!$A465="","",B465-WEEKDAY(B465,2)+1)</f>
        <v>46265</v>
      </c>
    </row>
    <row r="466" customFormat="false" ht="15" hidden="false" customHeight="false" outlineLevel="0" collapsed="false">
      <c r="A466" s="36" t="str">
        <f aca="false">IF(Raw_Export!$A466="","",TRIM(Raw_Export!A466))</f>
        <v>TXN-100456</v>
      </c>
      <c r="B466" s="37" t="n">
        <f aca="false">IF(Raw_Export!$A466="","",IF(ISNUMBER(Raw_Export!B466),Raw_Export!B466,IF(MID(TRIM(Raw_Export!B466),5,1)="-",DATE(LEFT(TRIM(Raw_Export!B466),4),MID(TRIM(Raw_Export!B466),6,2),RIGHT(TRIM(Raw_Export!B466),2)),DATE(RIGHT(TRIM(Raw_Export!B466),4),MATCH(MID(TRIM(Raw_Export!B466),4,3),{"Jan","Feb","Mar","Apr","May","Jun","Jul","Aug","Sep","Oct","Nov","Dec"},0),LEFT(TRIM(Raw_Export!B466),2)))))</f>
        <v>46268</v>
      </c>
      <c r="C466" s="36" t="str">
        <f aca="false">IF(Raw_Export!$A466="","",IFERROR(VLOOKUP(LOWER(TRIM(Raw_Export!C466)),Maps!$A$2:$B$20,2,FALSE()),"UNMAPPED"))</f>
        <v>Mombasa</v>
      </c>
      <c r="D466" s="36" t="str">
        <f aca="false">IF(Raw_Export!$A466="","",IFERROR(VLOOKUP(LOWER(TRIM(Raw_Export!D466)),Maps!$G$2:$I$80,2,FALSE()),"UNMAPPED"))</f>
        <v>Bath Soap 175g</v>
      </c>
      <c r="E466" s="36" t="str">
        <f aca="false">IF(Raw_Export!$A466="","",IFERROR(VLOOKUP(LOWER(TRIM(Raw_Export!D466)),Maps!$G$2:$I$80,3,FALSE()),"UNMAPPED"))</f>
        <v>Personal Care</v>
      </c>
      <c r="F466" s="36" t="n">
        <f aca="false">IF(Raw_Export!$A466="","",IFERROR(VALUE(TRIM(Raw_Export!E466)),0))</f>
        <v>3</v>
      </c>
      <c r="G466" s="38" t="n">
        <f aca="false">IF(Raw_Export!$A466="","",IFERROR(VALUE(SUBSTITUTE(SUBSTITUTE(UPPER(TRIM(Raw_Export!F466)),"KES",""),",","")),0))</f>
        <v>85</v>
      </c>
      <c r="H466" s="38" t="n">
        <f aca="false">IF(Raw_Export!$A466="","",F466*G466)</f>
        <v>255</v>
      </c>
      <c r="I466" s="36" t="str">
        <f aca="false">IF(Raw_Export!$A466="","",IFERROR(VLOOKUP(LOWER(TRIM(Raw_Export!H466)),Maps!$D$2:$E$12,2,FALSE()),"Other"))</f>
        <v>M-Pesa</v>
      </c>
      <c r="J466" s="36" t="str">
        <f aca="false">IF(Raw_Export!$A466="","",IF(COUNTIF($A$2:A466,A466)&gt;1,"Duplicate",""))</f>
        <v/>
      </c>
      <c r="K466" s="36" t="str">
        <f aca="false">IF(Raw_Export!$A466="","",IF(J466="Duplicate","Duplicate",IF(OR(C466="UNMAPPED",D466="UNMAPPED"),"Unmapped",IF(F466=0,"Blank qty",IF(F466&lt;0,"Return","OK")))))</f>
        <v>OK</v>
      </c>
      <c r="L466" s="36" t="n">
        <f aca="false">IF(Raw_Export!$A466="","",IF(OR(K466="OK",K466="Return"),1,0))</f>
        <v>1</v>
      </c>
      <c r="M466" s="37" t="n">
        <f aca="false">IF(Raw_Export!$A466="","",B466-WEEKDAY(B466,2)+1)</f>
        <v>46265</v>
      </c>
    </row>
    <row r="467" customFormat="false" ht="15" hidden="false" customHeight="false" outlineLevel="0" collapsed="false">
      <c r="A467" s="36" t="str">
        <f aca="false">IF(Raw_Export!$A467="","",TRIM(Raw_Export!A467))</f>
        <v>TXN-100457</v>
      </c>
      <c r="B467" s="37" t="n">
        <f aca="false">IF(Raw_Export!$A467="","",IF(ISNUMBER(Raw_Export!B467),Raw_Export!B467,IF(MID(TRIM(Raw_Export!B467),5,1)="-",DATE(LEFT(TRIM(Raw_Export!B467),4),MID(TRIM(Raw_Export!B467),6,2),RIGHT(TRIM(Raw_Export!B467),2)),DATE(RIGHT(TRIM(Raw_Export!B467),4),MATCH(MID(TRIM(Raw_Export!B467),4,3),{"Jan","Feb","Mar","Apr","May","Jun","Jul","Aug","Sep","Oct","Nov","Dec"},0),LEFT(TRIM(Raw_Export!B467),2)))))</f>
        <v>46268</v>
      </c>
      <c r="C467" s="36" t="str">
        <f aca="false">IF(Raw_Export!$A467="","",IFERROR(VLOOKUP(LOWER(TRIM(Raw_Export!C467)),Maps!$A$2:$B$20,2,FALSE()),"UNMAPPED"))</f>
        <v>Mombasa</v>
      </c>
      <c r="D467" s="36" t="str">
        <f aca="false">IF(Raw_Export!$A467="","",IFERROR(VLOOKUP(LOWER(TRIM(Raw_Export!D467)),Maps!$G$2:$I$80,2,FALSE()),"UNMAPPED"))</f>
        <v>Unga Pembe 2kg</v>
      </c>
      <c r="E467" s="36" t="str">
        <f aca="false">IF(Raw_Export!$A467="","",IFERROR(VLOOKUP(LOWER(TRIM(Raw_Export!D467)),Maps!$G$2:$I$80,3,FALSE()),"UNMAPPED"))</f>
        <v>Staples</v>
      </c>
      <c r="F467" s="36" t="n">
        <f aca="false">IF(Raw_Export!$A467="","",IFERROR(VALUE(TRIM(Raw_Export!E467)),0))</f>
        <v>2</v>
      </c>
      <c r="G467" s="38" t="n">
        <f aca="false">IF(Raw_Export!$A467="","",IFERROR(VALUE(SUBSTITUTE(SUBSTITUTE(UPPER(TRIM(Raw_Export!F467)),"KES",""),",","")),0))</f>
        <v>190</v>
      </c>
      <c r="H467" s="38" t="n">
        <f aca="false">IF(Raw_Export!$A467="","",F467*G467)</f>
        <v>380</v>
      </c>
      <c r="I467" s="36" t="str">
        <f aca="false">IF(Raw_Export!$A467="","",IFERROR(VLOOKUP(LOWER(TRIM(Raw_Export!H467)),Maps!$D$2:$E$12,2,FALSE()),"Other"))</f>
        <v>M-Pesa</v>
      </c>
      <c r="J467" s="36" t="str">
        <f aca="false">IF(Raw_Export!$A467="","",IF(COUNTIF($A$2:A467,A467)&gt;1,"Duplicate",""))</f>
        <v/>
      </c>
      <c r="K467" s="36" t="str">
        <f aca="false">IF(Raw_Export!$A467="","",IF(J467="Duplicate","Duplicate",IF(OR(C467="UNMAPPED",D467="UNMAPPED"),"Unmapped",IF(F467=0,"Blank qty",IF(F467&lt;0,"Return","OK")))))</f>
        <v>OK</v>
      </c>
      <c r="L467" s="36" t="n">
        <f aca="false">IF(Raw_Export!$A467="","",IF(OR(K467="OK",K467="Return"),1,0))</f>
        <v>1</v>
      </c>
      <c r="M467" s="37" t="n">
        <f aca="false">IF(Raw_Export!$A467="","",B467-WEEKDAY(B467,2)+1)</f>
        <v>46265</v>
      </c>
    </row>
    <row r="468" customFormat="false" ht="15" hidden="false" customHeight="false" outlineLevel="0" collapsed="false">
      <c r="A468" s="36" t="str">
        <f aca="false">IF(Raw_Export!$A468="","",TRIM(Raw_Export!A468))</f>
        <v>TXN-100458</v>
      </c>
      <c r="B468" s="37" t="n">
        <f aca="false">IF(Raw_Export!$A468="","",IF(ISNUMBER(Raw_Export!B468),Raw_Export!B468,IF(MID(TRIM(Raw_Export!B468),5,1)="-",DATE(LEFT(TRIM(Raw_Export!B468),4),MID(TRIM(Raw_Export!B468),6,2),RIGHT(TRIM(Raw_Export!B468),2)),DATE(RIGHT(TRIM(Raw_Export!B468),4),MATCH(MID(TRIM(Raw_Export!B468),4,3),{"Jan","Feb","Mar","Apr","May","Jun","Jul","Aug","Sep","Oct","Nov","Dec"},0),LEFT(TRIM(Raw_Export!B468),2)))))</f>
        <v>46268</v>
      </c>
      <c r="C468" s="36" t="str">
        <f aca="false">IF(Raw_Export!$A468="","",IFERROR(VLOOKUP(LOWER(TRIM(Raw_Export!C468)),Maps!$A$2:$B$20,2,FALSE()),"UNMAPPED"))</f>
        <v>Mombasa</v>
      </c>
      <c r="D468" s="36" t="str">
        <f aca="false">IF(Raw_Export!$A468="","",IFERROR(VLOOKUP(LOWER(TRIM(Raw_Export!D468)),Maps!$G$2:$I$80,2,FALSE()),"UNMAPPED"))</f>
        <v>Tea Leaves 250g</v>
      </c>
      <c r="E468" s="36" t="str">
        <f aca="false">IF(Raw_Export!$A468="","",IFERROR(VLOOKUP(LOWER(TRIM(Raw_Export!D468)),Maps!$G$2:$I$80,3,FALSE()),"UNMAPPED"))</f>
        <v>Beverages</v>
      </c>
      <c r="F468" s="36" t="n">
        <f aca="false">IF(Raw_Export!$A468="","",IFERROR(VALUE(TRIM(Raw_Export!E468)),0))</f>
        <v>2</v>
      </c>
      <c r="G468" s="38" t="n">
        <f aca="false">IF(Raw_Export!$A468="","",IFERROR(VALUE(SUBSTITUTE(SUBSTITUTE(UPPER(TRIM(Raw_Export!F468)),"KES",""),",","")),0))</f>
        <v>150</v>
      </c>
      <c r="H468" s="38" t="n">
        <f aca="false">IF(Raw_Export!$A468="","",F468*G468)</f>
        <v>300</v>
      </c>
      <c r="I468" s="36" t="str">
        <f aca="false">IF(Raw_Export!$A468="","",IFERROR(VLOOKUP(LOWER(TRIM(Raw_Export!H468)),Maps!$D$2:$E$12,2,FALSE()),"Other"))</f>
        <v>M-Pesa</v>
      </c>
      <c r="J468" s="36" t="str">
        <f aca="false">IF(Raw_Export!$A468="","",IF(COUNTIF($A$2:A468,A468)&gt;1,"Duplicate",""))</f>
        <v/>
      </c>
      <c r="K468" s="36" t="str">
        <f aca="false">IF(Raw_Export!$A468="","",IF(J468="Duplicate","Duplicate",IF(OR(C468="UNMAPPED",D468="UNMAPPED"),"Unmapped",IF(F468=0,"Blank qty",IF(F468&lt;0,"Return","OK")))))</f>
        <v>OK</v>
      </c>
      <c r="L468" s="36" t="n">
        <f aca="false">IF(Raw_Export!$A468="","",IF(OR(K468="OK",K468="Return"),1,0))</f>
        <v>1</v>
      </c>
      <c r="M468" s="37" t="n">
        <f aca="false">IF(Raw_Export!$A468="","",B468-WEEKDAY(B468,2)+1)</f>
        <v>46265</v>
      </c>
    </row>
    <row r="469" customFormat="false" ht="15" hidden="false" customHeight="false" outlineLevel="0" collapsed="false">
      <c r="A469" s="36" t="str">
        <f aca="false">IF(Raw_Export!$A469="","",TRIM(Raw_Export!A469))</f>
        <v>TXN-100459</v>
      </c>
      <c r="B469" s="37" t="n">
        <f aca="false">IF(Raw_Export!$A469="","",IF(ISNUMBER(Raw_Export!B469),Raw_Export!B469,IF(MID(TRIM(Raw_Export!B469),5,1)="-",DATE(LEFT(TRIM(Raw_Export!B469),4),MID(TRIM(Raw_Export!B469),6,2),RIGHT(TRIM(Raw_Export!B469),2)),DATE(RIGHT(TRIM(Raw_Export!B469),4),MATCH(MID(TRIM(Raw_Export!B469),4,3),{"Jan","Feb","Mar","Apr","May","Jun","Jul","Aug","Sep","Oct","Nov","Dec"},0),LEFT(TRIM(Raw_Export!B469),2)))))</f>
        <v>46268</v>
      </c>
      <c r="C469" s="36" t="str">
        <f aca="false">IF(Raw_Export!$A469="","",IFERROR(VLOOKUP(LOWER(TRIM(Raw_Export!C469)),Maps!$A$2:$B$20,2,FALSE()),"UNMAPPED"))</f>
        <v>Mombasa</v>
      </c>
      <c r="D469" s="36" t="str">
        <f aca="false">IF(Raw_Export!$A469="","",IFERROR(VLOOKUP(LOWER(TRIM(Raw_Export!D469)),Maps!$G$2:$I$80,2,FALSE()),"UNMAPPED"))</f>
        <v>Coffee 100g</v>
      </c>
      <c r="E469" s="36" t="str">
        <f aca="false">IF(Raw_Export!$A469="","",IFERROR(VLOOKUP(LOWER(TRIM(Raw_Export!D469)),Maps!$G$2:$I$80,3,FALSE()),"UNMAPPED"))</f>
        <v>Beverages</v>
      </c>
      <c r="F469" s="36" t="n">
        <f aca="false">IF(Raw_Export!$A469="","",IFERROR(VALUE(TRIM(Raw_Export!E469)),0))</f>
        <v>1</v>
      </c>
      <c r="G469" s="38" t="n">
        <f aca="false">IF(Raw_Export!$A469="","",IFERROR(VALUE(SUBSTITUTE(SUBSTITUTE(UPPER(TRIM(Raw_Export!F469)),"KES",""),",","")),0))</f>
        <v>360</v>
      </c>
      <c r="H469" s="38" t="n">
        <f aca="false">IF(Raw_Export!$A469="","",F469*G469)</f>
        <v>360</v>
      </c>
      <c r="I469" s="36" t="str">
        <f aca="false">IF(Raw_Export!$A469="","",IFERROR(VLOOKUP(LOWER(TRIM(Raw_Export!H469)),Maps!$D$2:$E$12,2,FALSE()),"Other"))</f>
        <v>M-Pesa</v>
      </c>
      <c r="J469" s="36" t="str">
        <f aca="false">IF(Raw_Export!$A469="","",IF(COUNTIF($A$2:A469,A469)&gt;1,"Duplicate",""))</f>
        <v/>
      </c>
      <c r="K469" s="36" t="str">
        <f aca="false">IF(Raw_Export!$A469="","",IF(J469="Duplicate","Duplicate",IF(OR(C469="UNMAPPED",D469="UNMAPPED"),"Unmapped",IF(F469=0,"Blank qty",IF(F469&lt;0,"Return","OK")))))</f>
        <v>OK</v>
      </c>
      <c r="L469" s="36" t="n">
        <f aca="false">IF(Raw_Export!$A469="","",IF(OR(K469="OK",K469="Return"),1,0))</f>
        <v>1</v>
      </c>
      <c r="M469" s="37" t="n">
        <f aca="false">IF(Raw_Export!$A469="","",B469-WEEKDAY(B469,2)+1)</f>
        <v>46265</v>
      </c>
    </row>
    <row r="470" customFormat="false" ht="15" hidden="false" customHeight="false" outlineLevel="0" collapsed="false">
      <c r="A470" s="36" t="str">
        <f aca="false">IF(Raw_Export!$A470="","",TRIM(Raw_Export!A470))</f>
        <v>TXN-100460</v>
      </c>
      <c r="B470" s="37" t="n">
        <f aca="false">IF(Raw_Export!$A470="","",IF(ISNUMBER(Raw_Export!B470),Raw_Export!B470,IF(MID(TRIM(Raw_Export!B470),5,1)="-",DATE(LEFT(TRIM(Raw_Export!B470),4),MID(TRIM(Raw_Export!B470),6,2),RIGHT(TRIM(Raw_Export!B470),2)),DATE(RIGHT(TRIM(Raw_Export!B470),4),MATCH(MID(TRIM(Raw_Export!B470),4,3),{"Jan","Feb","Mar","Apr","May","Jun","Jul","Aug","Sep","Oct","Nov","Dec"},0),LEFT(TRIM(Raw_Export!B470),2)))))</f>
        <v>46268</v>
      </c>
      <c r="C470" s="36" t="str">
        <f aca="false">IF(Raw_Export!$A470="","",IFERROR(VLOOKUP(LOWER(TRIM(Raw_Export!C470)),Maps!$A$2:$B$20,2,FALSE()),"UNMAPPED"))</f>
        <v>Mombasa</v>
      </c>
      <c r="D470" s="36" t="str">
        <f aca="false">IF(Raw_Export!$A470="","",IFERROR(VLOOKUP(LOWER(TRIM(Raw_Export!D470)),Maps!$G$2:$I$80,2,FALSE()),"UNMAPPED"))</f>
        <v>Sanitary Pads 8pk</v>
      </c>
      <c r="E470" s="36" t="str">
        <f aca="false">IF(Raw_Export!$A470="","",IFERROR(VLOOKUP(LOWER(TRIM(Raw_Export!D470)),Maps!$G$2:$I$80,3,FALSE()),"UNMAPPED"))</f>
        <v>Personal Care</v>
      </c>
      <c r="F470" s="36" t="n">
        <f aca="false">IF(Raw_Export!$A470="","",IFERROR(VALUE(TRIM(Raw_Export!E470)),0))</f>
        <v>3</v>
      </c>
      <c r="G470" s="38" t="n">
        <f aca="false">IF(Raw_Export!$A470="","",IFERROR(VALUE(SUBSTITUTE(SUBSTITUTE(UPPER(TRIM(Raw_Export!F470)),"KES",""),",","")),0))</f>
        <v>130</v>
      </c>
      <c r="H470" s="38" t="n">
        <f aca="false">IF(Raw_Export!$A470="","",F470*G470)</f>
        <v>390</v>
      </c>
      <c r="I470" s="36" t="str">
        <f aca="false">IF(Raw_Export!$A470="","",IFERROR(VLOOKUP(LOWER(TRIM(Raw_Export!H470)),Maps!$D$2:$E$12,2,FALSE()),"Other"))</f>
        <v>M-Pesa</v>
      </c>
      <c r="J470" s="36" t="str">
        <f aca="false">IF(Raw_Export!$A470="","",IF(COUNTIF($A$2:A470,A470)&gt;1,"Duplicate",""))</f>
        <v/>
      </c>
      <c r="K470" s="36" t="str">
        <f aca="false">IF(Raw_Export!$A470="","",IF(J470="Duplicate","Duplicate",IF(OR(C470="UNMAPPED",D470="UNMAPPED"),"Unmapped",IF(F470=0,"Blank qty",IF(F470&lt;0,"Return","OK")))))</f>
        <v>OK</v>
      </c>
      <c r="L470" s="36" t="n">
        <f aca="false">IF(Raw_Export!$A470="","",IF(OR(K470="OK",K470="Return"),1,0))</f>
        <v>1</v>
      </c>
      <c r="M470" s="37" t="n">
        <f aca="false">IF(Raw_Export!$A470="","",B470-WEEKDAY(B470,2)+1)</f>
        <v>46265</v>
      </c>
    </row>
    <row r="471" customFormat="false" ht="15" hidden="false" customHeight="false" outlineLevel="0" collapsed="false">
      <c r="A471" s="36" t="str">
        <f aca="false">IF(Raw_Export!$A471="","",TRIM(Raw_Export!A471))</f>
        <v>TXN-100461</v>
      </c>
      <c r="B471" s="37" t="n">
        <f aca="false">IF(Raw_Export!$A471="","",IF(ISNUMBER(Raw_Export!B471),Raw_Export!B471,IF(MID(TRIM(Raw_Export!B471),5,1)="-",DATE(LEFT(TRIM(Raw_Export!B471),4),MID(TRIM(Raw_Export!B471),6,2),RIGHT(TRIM(Raw_Export!B471),2)),DATE(RIGHT(TRIM(Raw_Export!B471),4),MATCH(MID(TRIM(Raw_Export!B471),4,3),{"Jan","Feb","Mar","Apr","May","Jun","Jul","Aug","Sep","Oct","Nov","Dec"},0),LEFT(TRIM(Raw_Export!B471),2)))))</f>
        <v>46268</v>
      </c>
      <c r="C471" s="36" t="str">
        <f aca="false">IF(Raw_Export!$A471="","",IFERROR(VLOOKUP(LOWER(TRIM(Raw_Export!C471)),Maps!$A$2:$B$20,2,FALSE()),"UNMAPPED"))</f>
        <v>Mombasa</v>
      </c>
      <c r="D471" s="36" t="str">
        <f aca="false">IF(Raw_Export!$A471="","",IFERROR(VLOOKUP(LOWER(TRIM(Raw_Export!D471)),Maps!$G$2:$I$80,2,FALSE()),"UNMAPPED"))</f>
        <v>Cheddar 200g</v>
      </c>
      <c r="E471" s="36" t="str">
        <f aca="false">IF(Raw_Export!$A471="","",IFERROR(VLOOKUP(LOWER(TRIM(Raw_Export!D471)),Maps!$G$2:$I$80,3,FALSE()),"UNMAPPED"))</f>
        <v>Dairy &amp; Eggs</v>
      </c>
      <c r="F471" s="36" t="n">
        <f aca="false">IF(Raw_Export!$A471="","",IFERROR(VALUE(TRIM(Raw_Export!E471)),0))</f>
        <v>1</v>
      </c>
      <c r="G471" s="38" t="n">
        <f aca="false">IF(Raw_Export!$A471="","",IFERROR(VALUE(SUBSTITUTE(SUBSTITUTE(UPPER(TRIM(Raw_Export!F471)),"KES",""),",","")),0))</f>
        <v>380</v>
      </c>
      <c r="H471" s="38" t="n">
        <f aca="false">IF(Raw_Export!$A471="","",F471*G471)</f>
        <v>380</v>
      </c>
      <c r="I471" s="36" t="str">
        <f aca="false">IF(Raw_Export!$A471="","",IFERROR(VLOOKUP(LOWER(TRIM(Raw_Export!H471)),Maps!$D$2:$E$12,2,FALSE()),"Other"))</f>
        <v>M-Pesa</v>
      </c>
      <c r="J471" s="36" t="str">
        <f aca="false">IF(Raw_Export!$A471="","",IF(COUNTIF($A$2:A471,A471)&gt;1,"Duplicate",""))</f>
        <v/>
      </c>
      <c r="K471" s="36" t="str">
        <f aca="false">IF(Raw_Export!$A471="","",IF(J471="Duplicate","Duplicate",IF(OR(C471="UNMAPPED",D471="UNMAPPED"),"Unmapped",IF(F471=0,"Blank qty",IF(F471&lt;0,"Return","OK")))))</f>
        <v>OK</v>
      </c>
      <c r="L471" s="36" t="n">
        <f aca="false">IF(Raw_Export!$A471="","",IF(OR(K471="OK",K471="Return"),1,0))</f>
        <v>1</v>
      </c>
      <c r="M471" s="37" t="n">
        <f aca="false">IF(Raw_Export!$A471="","",B471-WEEKDAY(B471,2)+1)</f>
        <v>46265</v>
      </c>
    </row>
    <row r="472" customFormat="false" ht="15" hidden="false" customHeight="false" outlineLevel="0" collapsed="false">
      <c r="A472" s="36" t="str">
        <f aca="false">IF(Raw_Export!$A472="","",TRIM(Raw_Export!A472))</f>
        <v>TXN-100462</v>
      </c>
      <c r="B472" s="37" t="n">
        <f aca="false">IF(Raw_Export!$A472="","",IF(ISNUMBER(Raw_Export!B472),Raw_Export!B472,IF(MID(TRIM(Raw_Export!B472),5,1)="-",DATE(LEFT(TRIM(Raw_Export!B472),4),MID(TRIM(Raw_Export!B472),6,2),RIGHT(TRIM(Raw_Export!B472),2)),DATE(RIGHT(TRIM(Raw_Export!B472),4),MATCH(MID(TRIM(Raw_Export!B472),4,3),{"Jan","Feb","Mar","Apr","May","Jun","Jul","Aug","Sep","Oct","Nov","Dec"},0),LEFT(TRIM(Raw_Export!B472),2)))))</f>
        <v>46268</v>
      </c>
      <c r="C472" s="36" t="str">
        <f aca="false">IF(Raw_Export!$A472="","",IFERROR(VLOOKUP(LOWER(TRIM(Raw_Export!C472)),Maps!$A$2:$B$20,2,FALSE()),"UNMAPPED"))</f>
        <v>Mombasa</v>
      </c>
      <c r="D472" s="36" t="str">
        <f aca="false">IF(Raw_Export!$A472="","",IFERROR(VLOOKUP(LOWER(TRIM(Raw_Export!D472)),Maps!$G$2:$I$80,2,FALSE()),"UNMAPPED"))</f>
        <v>Soda 500ml</v>
      </c>
      <c r="E472" s="36" t="str">
        <f aca="false">IF(Raw_Export!$A472="","",IFERROR(VLOOKUP(LOWER(TRIM(Raw_Export!D472)),Maps!$G$2:$I$80,3,FALSE()),"UNMAPPED"))</f>
        <v>Beverages</v>
      </c>
      <c r="F472" s="36" t="n">
        <f aca="false">IF(Raw_Export!$A472="","",IFERROR(VALUE(TRIM(Raw_Export!E472)),0))</f>
        <v>1</v>
      </c>
      <c r="G472" s="38" t="n">
        <f aca="false">IF(Raw_Export!$A472="","",IFERROR(VALUE(SUBSTITUTE(SUBSTITUTE(UPPER(TRIM(Raw_Export!F472)),"KES",""),",","")),0))</f>
        <v>60</v>
      </c>
      <c r="H472" s="38" t="n">
        <f aca="false">IF(Raw_Export!$A472="","",F472*G472)</f>
        <v>60</v>
      </c>
      <c r="I472" s="36" t="str">
        <f aca="false">IF(Raw_Export!$A472="","",IFERROR(VLOOKUP(LOWER(TRIM(Raw_Export!H472)),Maps!$D$2:$E$12,2,FALSE()),"Other"))</f>
        <v>M-Pesa</v>
      </c>
      <c r="J472" s="36" t="str">
        <f aca="false">IF(Raw_Export!$A472="","",IF(COUNTIF($A$2:A472,A472)&gt;1,"Duplicate",""))</f>
        <v/>
      </c>
      <c r="K472" s="36" t="str">
        <f aca="false">IF(Raw_Export!$A472="","",IF(J472="Duplicate","Duplicate",IF(OR(C472="UNMAPPED",D472="UNMAPPED"),"Unmapped",IF(F472=0,"Blank qty",IF(F472&lt;0,"Return","OK")))))</f>
        <v>OK</v>
      </c>
      <c r="L472" s="36" t="n">
        <f aca="false">IF(Raw_Export!$A472="","",IF(OR(K472="OK",K472="Return"),1,0))</f>
        <v>1</v>
      </c>
      <c r="M472" s="37" t="n">
        <f aca="false">IF(Raw_Export!$A472="","",B472-WEEKDAY(B472,2)+1)</f>
        <v>46265</v>
      </c>
    </row>
    <row r="473" customFormat="false" ht="15" hidden="false" customHeight="false" outlineLevel="0" collapsed="false">
      <c r="A473" s="36" t="str">
        <f aca="false">IF(Raw_Export!$A473="","",TRIM(Raw_Export!A473))</f>
        <v>TXN-100463</v>
      </c>
      <c r="B473" s="37" t="n">
        <f aca="false">IF(Raw_Export!$A473="","",IF(ISNUMBER(Raw_Export!B473),Raw_Export!B473,IF(MID(TRIM(Raw_Export!B473),5,1)="-",DATE(LEFT(TRIM(Raw_Export!B473),4),MID(TRIM(Raw_Export!B473),6,2),RIGHT(TRIM(Raw_Export!B473),2)),DATE(RIGHT(TRIM(Raw_Export!B473),4),MATCH(MID(TRIM(Raw_Export!B473),4,3),{"Jan","Feb","Mar","Apr","May","Jun","Jul","Aug","Sep","Oct","Nov","Dec"},0),LEFT(TRIM(Raw_Export!B473),2)))))</f>
        <v>46268</v>
      </c>
      <c r="C473" s="36" t="str">
        <f aca="false">IF(Raw_Export!$A473="","",IFERROR(VLOOKUP(LOWER(TRIM(Raw_Export!C473)),Maps!$A$2:$B$20,2,FALSE()),"UNMAPPED"))</f>
        <v>Mombasa</v>
      </c>
      <c r="D473" s="36" t="str">
        <f aca="false">IF(Raw_Export!$A473="","",IFERROR(VLOOKUP(LOWER(TRIM(Raw_Export!D473)),Maps!$G$2:$I$80,2,FALSE()),"UNMAPPED"))</f>
        <v>Tea Leaves 250g</v>
      </c>
      <c r="E473" s="36" t="str">
        <f aca="false">IF(Raw_Export!$A473="","",IFERROR(VLOOKUP(LOWER(TRIM(Raw_Export!D473)),Maps!$G$2:$I$80,3,FALSE()),"UNMAPPED"))</f>
        <v>Beverages</v>
      </c>
      <c r="F473" s="36" t="n">
        <f aca="false">IF(Raw_Export!$A473="","",IFERROR(VALUE(TRIM(Raw_Export!E473)),0))</f>
        <v>1</v>
      </c>
      <c r="G473" s="38" t="n">
        <f aca="false">IF(Raw_Export!$A473="","",IFERROR(VALUE(SUBSTITUTE(SUBSTITUTE(UPPER(TRIM(Raw_Export!F473)),"KES",""),",","")),0))</f>
        <v>150</v>
      </c>
      <c r="H473" s="38" t="n">
        <f aca="false">IF(Raw_Export!$A473="","",F473*G473)</f>
        <v>150</v>
      </c>
      <c r="I473" s="36" t="str">
        <f aca="false">IF(Raw_Export!$A473="","",IFERROR(VLOOKUP(LOWER(TRIM(Raw_Export!H473)),Maps!$D$2:$E$12,2,FALSE()),"Other"))</f>
        <v>Cash</v>
      </c>
      <c r="J473" s="36" t="str">
        <f aca="false">IF(Raw_Export!$A473="","",IF(COUNTIF($A$2:A473,A473)&gt;1,"Duplicate",""))</f>
        <v/>
      </c>
      <c r="K473" s="36" t="str">
        <f aca="false">IF(Raw_Export!$A473="","",IF(J473="Duplicate","Duplicate",IF(OR(C473="UNMAPPED",D473="UNMAPPED"),"Unmapped",IF(F473=0,"Blank qty",IF(F473&lt;0,"Return","OK")))))</f>
        <v>OK</v>
      </c>
      <c r="L473" s="36" t="n">
        <f aca="false">IF(Raw_Export!$A473="","",IF(OR(K473="OK",K473="Return"),1,0))</f>
        <v>1</v>
      </c>
      <c r="M473" s="37" t="n">
        <f aca="false">IF(Raw_Export!$A473="","",B473-WEEKDAY(B473,2)+1)</f>
        <v>46265</v>
      </c>
    </row>
    <row r="474" customFormat="false" ht="15" hidden="false" customHeight="false" outlineLevel="0" collapsed="false">
      <c r="A474" s="36" t="str">
        <f aca="false">IF(Raw_Export!$A474="","",TRIM(Raw_Export!A474))</f>
        <v>TXN-100464</v>
      </c>
      <c r="B474" s="37" t="n">
        <f aca="false">IF(Raw_Export!$A474="","",IF(ISNUMBER(Raw_Export!B474),Raw_Export!B474,IF(MID(TRIM(Raw_Export!B474),5,1)="-",DATE(LEFT(TRIM(Raw_Export!B474),4),MID(TRIM(Raw_Export!B474),6,2),RIGHT(TRIM(Raw_Export!B474),2)),DATE(RIGHT(TRIM(Raw_Export!B474),4),MATCH(MID(TRIM(Raw_Export!B474),4,3),{"Jan","Feb","Mar","Apr","May","Jun","Jul","Aug","Sep","Oct","Nov","Dec"},0),LEFT(TRIM(Raw_Export!B474),2)))))</f>
        <v>46268</v>
      </c>
      <c r="C474" s="36" t="str">
        <f aca="false">IF(Raw_Export!$A474="","",IFERROR(VLOOKUP(LOWER(TRIM(Raw_Export!C474)),Maps!$A$2:$B$20,2,FALSE()),"UNMAPPED"))</f>
        <v>Mombasa</v>
      </c>
      <c r="D474" s="36" t="str">
        <f aca="false">IF(Raw_Export!$A474="","",IFERROR(VLOOKUP(LOWER(TRIM(Raw_Export!D474)),Maps!$G$2:$I$80,2,FALSE()),"UNMAPPED"))</f>
        <v>Deodorant 150ml</v>
      </c>
      <c r="E474" s="36" t="str">
        <f aca="false">IF(Raw_Export!$A474="","",IFERROR(VLOOKUP(LOWER(TRIM(Raw_Export!D474)),Maps!$G$2:$I$80,3,FALSE()),"UNMAPPED"))</f>
        <v>Personal Care</v>
      </c>
      <c r="F474" s="36" t="n">
        <f aca="false">IF(Raw_Export!$A474="","",IFERROR(VALUE(TRIM(Raw_Export!E474)),0))</f>
        <v>2</v>
      </c>
      <c r="G474" s="38" t="n">
        <f aca="false">IF(Raw_Export!$A474="","",IFERROR(VALUE(SUBSTITUTE(SUBSTITUTE(UPPER(TRIM(Raw_Export!F474)),"KES",""),",","")),0))</f>
        <v>350</v>
      </c>
      <c r="H474" s="38" t="n">
        <f aca="false">IF(Raw_Export!$A474="","",F474*G474)</f>
        <v>700</v>
      </c>
      <c r="I474" s="36" t="str">
        <f aca="false">IF(Raw_Export!$A474="","",IFERROR(VLOOKUP(LOWER(TRIM(Raw_Export!H474)),Maps!$D$2:$E$12,2,FALSE()),"Other"))</f>
        <v>Cash</v>
      </c>
      <c r="J474" s="36" t="str">
        <f aca="false">IF(Raw_Export!$A474="","",IF(COUNTIF($A$2:A474,A474)&gt;1,"Duplicate",""))</f>
        <v/>
      </c>
      <c r="K474" s="36" t="str">
        <f aca="false">IF(Raw_Export!$A474="","",IF(J474="Duplicate","Duplicate",IF(OR(C474="UNMAPPED",D474="UNMAPPED"),"Unmapped",IF(F474=0,"Blank qty",IF(F474&lt;0,"Return","OK")))))</f>
        <v>OK</v>
      </c>
      <c r="L474" s="36" t="n">
        <f aca="false">IF(Raw_Export!$A474="","",IF(OR(K474="OK",K474="Return"),1,0))</f>
        <v>1</v>
      </c>
      <c r="M474" s="37" t="n">
        <f aca="false">IF(Raw_Export!$A474="","",B474-WEEKDAY(B474,2)+1)</f>
        <v>46265</v>
      </c>
    </row>
    <row r="475" customFormat="false" ht="15" hidden="false" customHeight="false" outlineLevel="0" collapsed="false">
      <c r="A475" s="36" t="str">
        <f aca="false">IF(Raw_Export!$A475="","",TRIM(Raw_Export!A475))</f>
        <v>TXN-100465</v>
      </c>
      <c r="B475" s="37" t="n">
        <f aca="false">IF(Raw_Export!$A475="","",IF(ISNUMBER(Raw_Export!B475),Raw_Export!B475,IF(MID(TRIM(Raw_Export!B475),5,1)="-",DATE(LEFT(TRIM(Raw_Export!B475),4),MID(TRIM(Raw_Export!B475),6,2),RIGHT(TRIM(Raw_Export!B475),2)),DATE(RIGHT(TRIM(Raw_Export!B475),4),MATCH(MID(TRIM(Raw_Export!B475),4,3),{"Jan","Feb","Mar","Apr","May","Jun","Jul","Aug","Sep","Oct","Nov","Dec"},0),LEFT(TRIM(Raw_Export!B475),2)))))</f>
        <v>46268</v>
      </c>
      <c r="C475" s="36" t="str">
        <f aca="false">IF(Raw_Export!$A475="","",IFERROR(VLOOKUP(LOWER(TRIM(Raw_Export!C475)),Maps!$A$2:$B$20,2,FALSE()),"UNMAPPED"))</f>
        <v>Mombasa</v>
      </c>
      <c r="D475" s="36" t="str">
        <f aca="false">IF(Raw_Export!$A475="","",IFERROR(VLOOKUP(LOWER(TRIM(Raw_Export!D475)),Maps!$G$2:$I$80,2,FALSE()),"UNMAPPED"))</f>
        <v>Soda 500ml</v>
      </c>
      <c r="E475" s="36" t="str">
        <f aca="false">IF(Raw_Export!$A475="","",IFERROR(VLOOKUP(LOWER(TRIM(Raw_Export!D475)),Maps!$G$2:$I$80,3,FALSE()),"UNMAPPED"))</f>
        <v>Beverages</v>
      </c>
      <c r="F475" s="36" t="n">
        <f aca="false">IF(Raw_Export!$A475="","",IFERROR(VALUE(TRIM(Raw_Export!E475)),0))</f>
        <v>6</v>
      </c>
      <c r="G475" s="38" t="n">
        <f aca="false">IF(Raw_Export!$A475="","",IFERROR(VALUE(SUBSTITUTE(SUBSTITUTE(UPPER(TRIM(Raw_Export!F475)),"KES",""),",","")),0))</f>
        <v>60</v>
      </c>
      <c r="H475" s="38" t="n">
        <f aca="false">IF(Raw_Export!$A475="","",F475*G475)</f>
        <v>360</v>
      </c>
      <c r="I475" s="36" t="str">
        <f aca="false">IF(Raw_Export!$A475="","",IFERROR(VLOOKUP(LOWER(TRIM(Raw_Export!H475)),Maps!$D$2:$E$12,2,FALSE()),"Other"))</f>
        <v>Cash</v>
      </c>
      <c r="J475" s="36" t="str">
        <f aca="false">IF(Raw_Export!$A475="","",IF(COUNTIF($A$2:A475,A475)&gt;1,"Duplicate",""))</f>
        <v/>
      </c>
      <c r="K475" s="36" t="str">
        <f aca="false">IF(Raw_Export!$A475="","",IF(J475="Duplicate","Duplicate",IF(OR(C475="UNMAPPED",D475="UNMAPPED"),"Unmapped",IF(F475=0,"Blank qty",IF(F475&lt;0,"Return","OK")))))</f>
        <v>OK</v>
      </c>
      <c r="L475" s="36" t="n">
        <f aca="false">IF(Raw_Export!$A475="","",IF(OR(K475="OK",K475="Return"),1,0))</f>
        <v>1</v>
      </c>
      <c r="M475" s="37" t="n">
        <f aca="false">IF(Raw_Export!$A475="","",B475-WEEKDAY(B475,2)+1)</f>
        <v>46265</v>
      </c>
    </row>
    <row r="476" customFormat="false" ht="15" hidden="false" customHeight="false" outlineLevel="0" collapsed="false">
      <c r="A476" s="36" t="str">
        <f aca="false">IF(Raw_Export!$A476="","",TRIM(Raw_Export!A476))</f>
        <v>TXN-100466</v>
      </c>
      <c r="B476" s="37" t="n">
        <f aca="false">IF(Raw_Export!$A476="","",IF(ISNUMBER(Raw_Export!B476),Raw_Export!B476,IF(MID(TRIM(Raw_Export!B476),5,1)="-",DATE(LEFT(TRIM(Raw_Export!B476),4),MID(TRIM(Raw_Export!B476),6,2),RIGHT(TRIM(Raw_Export!B476),2)),DATE(RIGHT(TRIM(Raw_Export!B476),4),MATCH(MID(TRIM(Raw_Export!B476),4,3),{"Jan","Feb","Mar","Apr","May","Jun","Jul","Aug","Sep","Oct","Nov","Dec"},0),LEFT(TRIM(Raw_Export!B476),2)))))</f>
        <v>46268</v>
      </c>
      <c r="C476" s="36" t="str">
        <f aca="false">IF(Raw_Export!$A476="","",IFERROR(VLOOKUP(LOWER(TRIM(Raw_Export!C476)),Maps!$A$2:$B$20,2,FALSE()),"UNMAPPED"))</f>
        <v>Mombasa</v>
      </c>
      <c r="D476" s="36" t="str">
        <f aca="false">IF(Raw_Export!$A476="","",IFERROR(VLOOKUP(LOWER(TRIM(Raw_Export!D476)),Maps!$G$2:$I$80,2,FALSE()),"UNMAPPED"))</f>
        <v>Unga Pembe 2kg</v>
      </c>
      <c r="E476" s="36" t="str">
        <f aca="false">IF(Raw_Export!$A476="","",IFERROR(VLOOKUP(LOWER(TRIM(Raw_Export!D476)),Maps!$G$2:$I$80,3,FALSE()),"UNMAPPED"))</f>
        <v>Staples</v>
      </c>
      <c r="F476" s="36" t="n">
        <f aca="false">IF(Raw_Export!$A476="","",IFERROR(VALUE(TRIM(Raw_Export!E476)),0))</f>
        <v>6</v>
      </c>
      <c r="G476" s="38" t="n">
        <f aca="false">IF(Raw_Export!$A476="","",IFERROR(VALUE(SUBSTITUTE(SUBSTITUTE(UPPER(TRIM(Raw_Export!F476)),"KES",""),",","")),0))</f>
        <v>190</v>
      </c>
      <c r="H476" s="38" t="n">
        <f aca="false">IF(Raw_Export!$A476="","",F476*G476)</f>
        <v>1140</v>
      </c>
      <c r="I476" s="36" t="str">
        <f aca="false">IF(Raw_Export!$A476="","",IFERROR(VLOOKUP(LOWER(TRIM(Raw_Export!H476)),Maps!$D$2:$E$12,2,FALSE()),"Other"))</f>
        <v>Cash</v>
      </c>
      <c r="J476" s="36" t="str">
        <f aca="false">IF(Raw_Export!$A476="","",IF(COUNTIF($A$2:A476,A476)&gt;1,"Duplicate",""))</f>
        <v/>
      </c>
      <c r="K476" s="36" t="str">
        <f aca="false">IF(Raw_Export!$A476="","",IF(J476="Duplicate","Duplicate",IF(OR(C476="UNMAPPED",D476="UNMAPPED"),"Unmapped",IF(F476=0,"Blank qty",IF(F476&lt;0,"Return","OK")))))</f>
        <v>OK</v>
      </c>
      <c r="L476" s="36" t="n">
        <f aca="false">IF(Raw_Export!$A476="","",IF(OR(K476="OK",K476="Return"),1,0))</f>
        <v>1</v>
      </c>
      <c r="M476" s="37" t="n">
        <f aca="false">IF(Raw_Export!$A476="","",B476-WEEKDAY(B476,2)+1)</f>
        <v>46265</v>
      </c>
    </row>
    <row r="477" customFormat="false" ht="15" hidden="false" customHeight="false" outlineLevel="0" collapsed="false">
      <c r="A477" s="36" t="str">
        <f aca="false">IF(Raw_Export!$A477="","",TRIM(Raw_Export!A477))</f>
        <v>TXN-100712</v>
      </c>
      <c r="B477" s="37" t="n">
        <f aca="false">IF(Raw_Export!$A477="","",IF(ISNUMBER(Raw_Export!B477),Raw_Export!B477,IF(MID(TRIM(Raw_Export!B477),5,1)="-",DATE(LEFT(TRIM(Raw_Export!B477),4),MID(TRIM(Raw_Export!B477),6,2),RIGHT(TRIM(Raw_Export!B477),2)),DATE(RIGHT(TRIM(Raw_Export!B477),4),MATCH(MID(TRIM(Raw_Export!B477),4,3),{"Jan","Feb","Mar","Apr","May","Jun","Jul","Aug","Sep","Oct","Nov","Dec"},0),LEFT(TRIM(Raw_Export!B477),2)))))</f>
        <v>46270</v>
      </c>
      <c r="C477" s="36" t="str">
        <f aca="false">IF(Raw_Export!$A477="","",IFERROR(VLOOKUP(LOWER(TRIM(Raw_Export!C477)),Maps!$A$2:$B$20,2,FALSE()),"UNMAPPED"))</f>
        <v>Nairobi CBD</v>
      </c>
      <c r="D477" s="36" t="str">
        <f aca="false">IF(Raw_Export!$A477="","",IFERROR(VLOOKUP(LOWER(TRIM(Raw_Export!D477)),Maps!$G$2:$I$80,2,FALSE()),"UNMAPPED"))</f>
        <v>Salt 500g</v>
      </c>
      <c r="E477" s="36" t="str">
        <f aca="false">IF(Raw_Export!$A477="","",IFERROR(VLOOKUP(LOWER(TRIM(Raw_Export!D477)),Maps!$G$2:$I$80,3,FALSE()),"UNMAPPED"))</f>
        <v>Staples</v>
      </c>
      <c r="F477" s="36" t="n">
        <f aca="false">IF(Raw_Export!$A477="","",IFERROR(VALUE(TRIM(Raw_Export!E477)),0))</f>
        <v>6</v>
      </c>
      <c r="G477" s="38" t="n">
        <f aca="false">IF(Raw_Export!$A477="","",IFERROR(VALUE(SUBSTITUTE(SUBSTITUTE(UPPER(TRIM(Raw_Export!F477)),"KES",""),",","")),0))</f>
        <v>40</v>
      </c>
      <c r="H477" s="38" t="n">
        <f aca="false">IF(Raw_Export!$A477="","",F477*G477)</f>
        <v>240</v>
      </c>
      <c r="I477" s="36" t="str">
        <f aca="false">IF(Raw_Export!$A477="","",IFERROR(VLOOKUP(LOWER(TRIM(Raw_Export!H477)),Maps!$D$2:$E$12,2,FALSE()),"Other"))</f>
        <v>M-Pesa</v>
      </c>
      <c r="J477" s="36" t="str">
        <f aca="false">IF(Raw_Export!$A477="","",IF(COUNTIF($A$2:A477,A477)&gt;1,"Duplicate",""))</f>
        <v/>
      </c>
      <c r="K477" s="36" t="str">
        <f aca="false">IF(Raw_Export!$A477="","",IF(J477="Duplicate","Duplicate",IF(OR(C477="UNMAPPED",D477="UNMAPPED"),"Unmapped",IF(F477=0,"Blank qty",IF(F477&lt;0,"Return","OK")))))</f>
        <v>OK</v>
      </c>
      <c r="L477" s="36" t="n">
        <f aca="false">IF(Raw_Export!$A477="","",IF(OR(K477="OK",K477="Return"),1,0))</f>
        <v>1</v>
      </c>
      <c r="M477" s="37" t="n">
        <f aca="false">IF(Raw_Export!$A477="","",B477-WEEKDAY(B477,2)+1)</f>
        <v>46265</v>
      </c>
    </row>
    <row r="478" customFormat="false" ht="15" hidden="false" customHeight="false" outlineLevel="0" collapsed="false">
      <c r="A478" s="36" t="str">
        <f aca="false">IF(Raw_Export!$A478="","",TRIM(Raw_Export!A478))</f>
        <v>TXN-100467</v>
      </c>
      <c r="B478" s="37" t="n">
        <f aca="false">IF(Raw_Export!$A478="","",IF(ISNUMBER(Raw_Export!B478),Raw_Export!B478,IF(MID(TRIM(Raw_Export!B478),5,1)="-",DATE(LEFT(TRIM(Raw_Export!B478),4),MID(TRIM(Raw_Export!B478),6,2),RIGHT(TRIM(Raw_Export!B478),2)),DATE(RIGHT(TRIM(Raw_Export!B478),4),MATCH(MID(TRIM(Raw_Export!B478),4,3),{"Jan","Feb","Mar","Apr","May","Jun","Jul","Aug","Sep","Oct","Nov","Dec"},0),LEFT(TRIM(Raw_Export!B478),2)))))</f>
        <v>46268</v>
      </c>
      <c r="C478" s="36" t="str">
        <f aca="false">IF(Raw_Export!$A478="","",IFERROR(VLOOKUP(LOWER(TRIM(Raw_Export!C478)),Maps!$A$2:$B$20,2,FALSE()),"UNMAPPED"))</f>
        <v>Mombasa</v>
      </c>
      <c r="D478" s="36" t="str">
        <f aca="false">IF(Raw_Export!$A478="","",IFERROR(VLOOKUP(LOWER(TRIM(Raw_Export!D478)),Maps!$G$2:$I$80,2,FALSE()),"UNMAPPED"))</f>
        <v>Yoghurt 500ml</v>
      </c>
      <c r="E478" s="36" t="str">
        <f aca="false">IF(Raw_Export!$A478="","",IFERROR(VLOOKUP(LOWER(TRIM(Raw_Export!D478)),Maps!$G$2:$I$80,3,FALSE()),"UNMAPPED"))</f>
        <v>Dairy &amp; Eggs</v>
      </c>
      <c r="F478" s="36" t="n">
        <f aca="false">IF(Raw_Export!$A478="","",IFERROR(VALUE(TRIM(Raw_Export!E478)),0))</f>
        <v>6</v>
      </c>
      <c r="G478" s="38" t="n">
        <f aca="false">IF(Raw_Export!$A478="","",IFERROR(VALUE(SUBSTITUTE(SUBSTITUTE(UPPER(TRIM(Raw_Export!F478)),"KES",""),",","")),0))</f>
        <v>120</v>
      </c>
      <c r="H478" s="38" t="n">
        <f aca="false">IF(Raw_Export!$A478="","",F478*G478)</f>
        <v>720</v>
      </c>
      <c r="I478" s="36" t="str">
        <f aca="false">IF(Raw_Export!$A478="","",IFERROR(VLOOKUP(LOWER(TRIM(Raw_Export!H478)),Maps!$D$2:$E$12,2,FALSE()),"Other"))</f>
        <v>Cash</v>
      </c>
      <c r="J478" s="36" t="str">
        <f aca="false">IF(Raw_Export!$A478="","",IF(COUNTIF($A$2:A478,A478)&gt;1,"Duplicate",""))</f>
        <v/>
      </c>
      <c r="K478" s="36" t="str">
        <f aca="false">IF(Raw_Export!$A478="","",IF(J478="Duplicate","Duplicate",IF(OR(C478="UNMAPPED",D478="UNMAPPED"),"Unmapped",IF(F478=0,"Blank qty",IF(F478&lt;0,"Return","OK")))))</f>
        <v>OK</v>
      </c>
      <c r="L478" s="36" t="n">
        <f aca="false">IF(Raw_Export!$A478="","",IF(OR(K478="OK",K478="Return"),1,0))</f>
        <v>1</v>
      </c>
      <c r="M478" s="37" t="n">
        <f aca="false">IF(Raw_Export!$A478="","",B478-WEEKDAY(B478,2)+1)</f>
        <v>46265</v>
      </c>
    </row>
    <row r="479" customFormat="false" ht="15" hidden="false" customHeight="false" outlineLevel="0" collapsed="false">
      <c r="A479" s="36" t="str">
        <f aca="false">IF(Raw_Export!$A479="","",TRIM(Raw_Export!A479))</f>
        <v>TXN-100468</v>
      </c>
      <c r="B479" s="37" t="n">
        <f aca="false">IF(Raw_Export!$A479="","",IF(ISNUMBER(Raw_Export!B479),Raw_Export!B479,IF(MID(TRIM(Raw_Export!B479),5,1)="-",DATE(LEFT(TRIM(Raw_Export!B479),4),MID(TRIM(Raw_Export!B479),6,2),RIGHT(TRIM(Raw_Export!B479),2)),DATE(RIGHT(TRIM(Raw_Export!B479),4),MATCH(MID(TRIM(Raw_Export!B479),4,3),{"Jan","Feb","Mar","Apr","May","Jun","Jul","Aug","Sep","Oct","Nov","Dec"},0),LEFT(TRIM(Raw_Export!B479),2)))))</f>
        <v>46268</v>
      </c>
      <c r="C479" s="36" t="str">
        <f aca="false">IF(Raw_Export!$A479="","",IFERROR(VLOOKUP(LOWER(TRIM(Raw_Export!C479)),Maps!$A$2:$B$20,2,FALSE()),"UNMAPPED"))</f>
        <v>Mombasa</v>
      </c>
      <c r="D479" s="36" t="str">
        <f aca="false">IF(Raw_Export!$A479="","",IFERROR(VLOOKUP(LOWER(TRIM(Raw_Export!D479)),Maps!$G$2:$I$80,2,FALSE()),"UNMAPPED"))</f>
        <v>Tea Leaves 250g</v>
      </c>
      <c r="E479" s="36" t="str">
        <f aca="false">IF(Raw_Export!$A479="","",IFERROR(VLOOKUP(LOWER(TRIM(Raw_Export!D479)),Maps!$G$2:$I$80,3,FALSE()),"UNMAPPED"))</f>
        <v>Beverages</v>
      </c>
      <c r="F479" s="36" t="n">
        <f aca="false">IF(Raw_Export!$A479="","",IFERROR(VALUE(TRIM(Raw_Export!E479)),0))</f>
        <v>2</v>
      </c>
      <c r="G479" s="38" t="n">
        <f aca="false">IF(Raw_Export!$A479="","",IFERROR(VALUE(SUBSTITUTE(SUBSTITUTE(UPPER(TRIM(Raw_Export!F479)),"KES",""),",","")),0))</f>
        <v>150</v>
      </c>
      <c r="H479" s="38" t="n">
        <f aca="false">IF(Raw_Export!$A479="","",F479*G479)</f>
        <v>300</v>
      </c>
      <c r="I479" s="36" t="str">
        <f aca="false">IF(Raw_Export!$A479="","",IFERROR(VLOOKUP(LOWER(TRIM(Raw_Export!H479)),Maps!$D$2:$E$12,2,FALSE()),"Other"))</f>
        <v>Cash</v>
      </c>
      <c r="J479" s="36" t="str">
        <f aca="false">IF(Raw_Export!$A479="","",IF(COUNTIF($A$2:A479,A479)&gt;1,"Duplicate",""))</f>
        <v/>
      </c>
      <c r="K479" s="36" t="str">
        <f aca="false">IF(Raw_Export!$A479="","",IF(J479="Duplicate","Duplicate",IF(OR(C479="UNMAPPED",D479="UNMAPPED"),"Unmapped",IF(F479=0,"Blank qty",IF(F479&lt;0,"Return","OK")))))</f>
        <v>OK</v>
      </c>
      <c r="L479" s="36" t="n">
        <f aca="false">IF(Raw_Export!$A479="","",IF(OR(K479="OK",K479="Return"),1,0))</f>
        <v>1</v>
      </c>
      <c r="M479" s="37" t="n">
        <f aca="false">IF(Raw_Export!$A479="","",B479-WEEKDAY(B479,2)+1)</f>
        <v>46265</v>
      </c>
    </row>
    <row r="480" customFormat="false" ht="15" hidden="false" customHeight="false" outlineLevel="0" collapsed="false">
      <c r="A480" s="36" t="str">
        <f aca="false">IF(Raw_Export!$A480="","",TRIM(Raw_Export!A480))</f>
        <v>TXN-100469</v>
      </c>
      <c r="B480" s="37" t="n">
        <f aca="false">IF(Raw_Export!$A480="","",IF(ISNUMBER(Raw_Export!B480),Raw_Export!B480,IF(MID(TRIM(Raw_Export!B480),5,1)="-",DATE(LEFT(TRIM(Raw_Export!B480),4),MID(TRIM(Raw_Export!B480),6,2),RIGHT(TRIM(Raw_Export!B480),2)),DATE(RIGHT(TRIM(Raw_Export!B480),4),MATCH(MID(TRIM(Raw_Export!B480),4,3),{"Jan","Feb","Mar","Apr","May","Jun","Jul","Aug","Sep","Oct","Nov","Dec"},0),LEFT(TRIM(Raw_Export!B480),2)))))</f>
        <v>46268</v>
      </c>
      <c r="C480" s="36" t="str">
        <f aca="false">IF(Raw_Export!$A480="","",IFERROR(VLOOKUP(LOWER(TRIM(Raw_Export!C480)),Maps!$A$2:$B$20,2,FALSE()),"UNMAPPED"))</f>
        <v>Mombasa</v>
      </c>
      <c r="D480" s="36" t="str">
        <f aca="false">IF(Raw_Export!$A480="","",IFERROR(VLOOKUP(LOWER(TRIM(Raw_Export!D480)),Maps!$G$2:$I$80,2,FALSE()),"UNMAPPED"))</f>
        <v>Bath Soap 175g</v>
      </c>
      <c r="E480" s="36" t="str">
        <f aca="false">IF(Raw_Export!$A480="","",IFERROR(VLOOKUP(LOWER(TRIM(Raw_Export!D480)),Maps!$G$2:$I$80,3,FALSE()),"UNMAPPED"))</f>
        <v>Personal Care</v>
      </c>
      <c r="F480" s="36" t="n">
        <f aca="false">IF(Raw_Export!$A480="","",IFERROR(VALUE(TRIM(Raw_Export!E480)),0))</f>
        <v>1</v>
      </c>
      <c r="G480" s="38" t="n">
        <f aca="false">IF(Raw_Export!$A480="","",IFERROR(VALUE(SUBSTITUTE(SUBSTITUTE(UPPER(TRIM(Raw_Export!F480)),"KES",""),",","")),0))</f>
        <v>85</v>
      </c>
      <c r="H480" s="38" t="n">
        <f aca="false">IF(Raw_Export!$A480="","",F480*G480)</f>
        <v>85</v>
      </c>
      <c r="I480" s="36" t="str">
        <f aca="false">IF(Raw_Export!$A480="","",IFERROR(VLOOKUP(LOWER(TRIM(Raw_Export!H480)),Maps!$D$2:$E$12,2,FALSE()),"Other"))</f>
        <v>M-Pesa</v>
      </c>
      <c r="J480" s="36" t="str">
        <f aca="false">IF(Raw_Export!$A480="","",IF(COUNTIF($A$2:A480,A480)&gt;1,"Duplicate",""))</f>
        <v/>
      </c>
      <c r="K480" s="36" t="str">
        <f aca="false">IF(Raw_Export!$A480="","",IF(J480="Duplicate","Duplicate",IF(OR(C480="UNMAPPED",D480="UNMAPPED"),"Unmapped",IF(F480=0,"Blank qty",IF(F480&lt;0,"Return","OK")))))</f>
        <v>OK</v>
      </c>
      <c r="L480" s="36" t="n">
        <f aca="false">IF(Raw_Export!$A480="","",IF(OR(K480="OK",K480="Return"),1,0))</f>
        <v>1</v>
      </c>
      <c r="M480" s="37" t="n">
        <f aca="false">IF(Raw_Export!$A480="","",B480-WEEKDAY(B480,2)+1)</f>
        <v>46265</v>
      </c>
    </row>
    <row r="481" customFormat="false" ht="15" hidden="false" customHeight="false" outlineLevel="0" collapsed="false">
      <c r="A481" s="36" t="str">
        <f aca="false">IF(Raw_Export!$A481="","",TRIM(Raw_Export!A481))</f>
        <v>TXN-100491</v>
      </c>
      <c r="B481" s="37" t="n">
        <f aca="false">IF(Raw_Export!$A481="","",IF(ISNUMBER(Raw_Export!B481),Raw_Export!B481,IF(MID(TRIM(Raw_Export!B481),5,1)="-",DATE(LEFT(TRIM(Raw_Export!B481),4),MID(TRIM(Raw_Export!B481),6,2),RIGHT(TRIM(Raw_Export!B481),2)),DATE(RIGHT(TRIM(Raw_Export!B481),4),MATCH(MID(TRIM(Raw_Export!B481),4,3),{"Jan","Feb","Mar","Apr","May","Jun","Jul","Aug","Sep","Oct","Nov","Dec"},0),LEFT(TRIM(Raw_Export!B481),2)))))</f>
        <v>46268</v>
      </c>
      <c r="C481" s="36" t="str">
        <f aca="false">IF(Raw_Export!$A481="","",IFERROR(VLOOKUP(LOWER(TRIM(Raw_Export!C481)),Maps!$A$2:$B$20,2,FALSE()),"UNMAPPED"))</f>
        <v>Kisumu</v>
      </c>
      <c r="D481" s="36" t="str">
        <f aca="false">IF(Raw_Export!$A481="","",IFERROR(VLOOKUP(LOWER(TRIM(Raw_Export!D481)),Maps!$G$2:$I$80,2,FALSE()),"UNMAPPED"))</f>
        <v>Salt 500g</v>
      </c>
      <c r="E481" s="36" t="str">
        <f aca="false">IF(Raw_Export!$A481="","",IFERROR(VLOOKUP(LOWER(TRIM(Raw_Export!D481)),Maps!$G$2:$I$80,3,FALSE()),"UNMAPPED"))</f>
        <v>Staples</v>
      </c>
      <c r="F481" s="36" t="n">
        <f aca="false">IF(Raw_Export!$A481="","",IFERROR(VALUE(TRIM(Raw_Export!E481)),0))</f>
        <v>2</v>
      </c>
      <c r="G481" s="38" t="n">
        <f aca="false">IF(Raw_Export!$A481="","",IFERROR(VALUE(SUBSTITUTE(SUBSTITUTE(UPPER(TRIM(Raw_Export!F481)),"KES",""),",","")),0))</f>
        <v>40</v>
      </c>
      <c r="H481" s="38" t="n">
        <f aca="false">IF(Raw_Export!$A481="","",F481*G481)</f>
        <v>80</v>
      </c>
      <c r="I481" s="36" t="str">
        <f aca="false">IF(Raw_Export!$A481="","",IFERROR(VLOOKUP(LOWER(TRIM(Raw_Export!H481)),Maps!$D$2:$E$12,2,FALSE()),"Other"))</f>
        <v>M-Pesa</v>
      </c>
      <c r="J481" s="36" t="str">
        <f aca="false">IF(Raw_Export!$A481="","",IF(COUNTIF($A$2:A481,A481)&gt;1,"Duplicate",""))</f>
        <v/>
      </c>
      <c r="K481" s="36" t="str">
        <f aca="false">IF(Raw_Export!$A481="","",IF(J481="Duplicate","Duplicate",IF(OR(C481="UNMAPPED",D481="UNMAPPED"),"Unmapped",IF(F481=0,"Blank qty",IF(F481&lt;0,"Return","OK")))))</f>
        <v>OK</v>
      </c>
      <c r="L481" s="36" t="n">
        <f aca="false">IF(Raw_Export!$A481="","",IF(OR(K481="OK",K481="Return"),1,0))</f>
        <v>1</v>
      </c>
      <c r="M481" s="37" t="n">
        <f aca="false">IF(Raw_Export!$A481="","",B481-WEEKDAY(B481,2)+1)</f>
        <v>46265</v>
      </c>
    </row>
    <row r="482" customFormat="false" ht="15" hidden="false" customHeight="false" outlineLevel="0" collapsed="false">
      <c r="A482" s="36" t="str">
        <f aca="false">IF(Raw_Export!$A482="","",TRIM(Raw_Export!A482))</f>
        <v>TXN-100470</v>
      </c>
      <c r="B482" s="37" t="n">
        <f aca="false">IF(Raw_Export!$A482="","",IF(ISNUMBER(Raw_Export!B482),Raw_Export!B482,IF(MID(TRIM(Raw_Export!B482),5,1)="-",DATE(LEFT(TRIM(Raw_Export!B482),4),MID(TRIM(Raw_Export!B482),6,2),RIGHT(TRIM(Raw_Export!B482),2)),DATE(RIGHT(TRIM(Raw_Export!B482),4),MATCH(MID(TRIM(Raw_Export!B482),4,3),{"Jan","Feb","Mar","Apr","May","Jun","Jul","Aug","Sep","Oct","Nov","Dec"},0),LEFT(TRIM(Raw_Export!B482),2)))))</f>
        <v>46268</v>
      </c>
      <c r="C482" s="36" t="str">
        <f aca="false">IF(Raw_Export!$A482="","",IFERROR(VLOOKUP(LOWER(TRIM(Raw_Export!C482)),Maps!$A$2:$B$20,2,FALSE()),"UNMAPPED"))</f>
        <v>Mombasa</v>
      </c>
      <c r="D482" s="36" t="str">
        <f aca="false">IF(Raw_Export!$A482="","",IFERROR(VLOOKUP(LOWER(TRIM(Raw_Export!D482)),Maps!$G$2:$I$80,2,FALSE()),"UNMAPPED"))</f>
        <v>Matches 10pk</v>
      </c>
      <c r="E482" s="36" t="str">
        <f aca="false">IF(Raw_Export!$A482="","",IFERROR(VLOOKUP(LOWER(TRIM(Raw_Export!D482)),Maps!$G$2:$I$80,3,FALSE()),"UNMAPPED"))</f>
        <v>Household</v>
      </c>
      <c r="F482" s="36" t="n">
        <f aca="false">IF(Raw_Export!$A482="","",IFERROR(VALUE(TRIM(Raw_Export!E482)),0))</f>
        <v>6</v>
      </c>
      <c r="G482" s="38" t="n">
        <f aca="false">IF(Raw_Export!$A482="","",IFERROR(VALUE(SUBSTITUTE(SUBSTITUTE(UPPER(TRIM(Raw_Export!F482)),"KES",""),",","")),0))</f>
        <v>50</v>
      </c>
      <c r="H482" s="38" t="n">
        <f aca="false">IF(Raw_Export!$A482="","",F482*G482)</f>
        <v>300</v>
      </c>
      <c r="I482" s="36" t="str">
        <f aca="false">IF(Raw_Export!$A482="","",IFERROR(VLOOKUP(LOWER(TRIM(Raw_Export!H482)),Maps!$D$2:$E$12,2,FALSE()),"Other"))</f>
        <v>Cash</v>
      </c>
      <c r="J482" s="36" t="str">
        <f aca="false">IF(Raw_Export!$A482="","",IF(COUNTIF($A$2:A482,A482)&gt;1,"Duplicate",""))</f>
        <v/>
      </c>
      <c r="K482" s="36" t="str">
        <f aca="false">IF(Raw_Export!$A482="","",IF(J482="Duplicate","Duplicate",IF(OR(C482="UNMAPPED",D482="UNMAPPED"),"Unmapped",IF(F482=0,"Blank qty",IF(F482&lt;0,"Return","OK")))))</f>
        <v>OK</v>
      </c>
      <c r="L482" s="36" t="n">
        <f aca="false">IF(Raw_Export!$A482="","",IF(OR(K482="OK",K482="Return"),1,0))</f>
        <v>1</v>
      </c>
      <c r="M482" s="37" t="n">
        <f aca="false">IF(Raw_Export!$A482="","",B482-WEEKDAY(B482,2)+1)</f>
        <v>46265</v>
      </c>
    </row>
    <row r="483" customFormat="false" ht="15" hidden="false" customHeight="false" outlineLevel="0" collapsed="false">
      <c r="A483" s="36" t="str">
        <f aca="false">IF(Raw_Export!$A483="","",TRIM(Raw_Export!A483))</f>
        <v>TXN-100471</v>
      </c>
      <c r="B483" s="37" t="n">
        <f aca="false">IF(Raw_Export!$A483="","",IF(ISNUMBER(Raw_Export!B483),Raw_Export!B483,IF(MID(TRIM(Raw_Export!B483),5,1)="-",DATE(LEFT(TRIM(Raw_Export!B483),4),MID(TRIM(Raw_Export!B483),6,2),RIGHT(TRIM(Raw_Export!B483),2)),DATE(RIGHT(TRIM(Raw_Export!B483),4),MATCH(MID(TRIM(Raw_Export!B483),4,3),{"Jan","Feb","Mar","Apr","May","Jun","Jul","Aug","Sep","Oct","Nov","Dec"},0),LEFT(TRIM(Raw_Export!B483),2)))))</f>
        <v>46268</v>
      </c>
      <c r="C483" s="36" t="str">
        <f aca="false">IF(Raw_Export!$A483="","",IFERROR(VLOOKUP(LOWER(TRIM(Raw_Export!C483)),Maps!$A$2:$B$20,2,FALSE()),"UNMAPPED"))</f>
        <v>Mombasa</v>
      </c>
      <c r="D483" s="36" t="str">
        <f aca="false">IF(Raw_Export!$A483="","",IFERROR(VLOOKUP(LOWER(TRIM(Raw_Export!D483)),Maps!$G$2:$I$80,2,FALSE()),"UNMAPPED"))</f>
        <v>Eggs Tray 30</v>
      </c>
      <c r="E483" s="36" t="str">
        <f aca="false">IF(Raw_Export!$A483="","",IFERROR(VLOOKUP(LOWER(TRIM(Raw_Export!D483)),Maps!$G$2:$I$80,3,FALSE()),"UNMAPPED"))</f>
        <v>Dairy &amp; Eggs</v>
      </c>
      <c r="F483" s="36" t="n">
        <f aca="false">IF(Raw_Export!$A483="","",IFERROR(VALUE(TRIM(Raw_Export!E483)),0))</f>
        <v>4</v>
      </c>
      <c r="G483" s="38" t="n">
        <f aca="false">IF(Raw_Export!$A483="","",IFERROR(VALUE(SUBSTITUTE(SUBSTITUTE(UPPER(TRIM(Raw_Export!F483)),"KES",""),",","")),0))</f>
        <v>450</v>
      </c>
      <c r="H483" s="38" t="n">
        <f aca="false">IF(Raw_Export!$A483="","",F483*G483)</f>
        <v>1800</v>
      </c>
      <c r="I483" s="36" t="str">
        <f aca="false">IF(Raw_Export!$A483="","",IFERROR(VLOOKUP(LOWER(TRIM(Raw_Export!H483)),Maps!$D$2:$E$12,2,FALSE()),"Other"))</f>
        <v>M-Pesa</v>
      </c>
      <c r="J483" s="36" t="str">
        <f aca="false">IF(Raw_Export!$A483="","",IF(COUNTIF($A$2:A483,A483)&gt;1,"Duplicate",""))</f>
        <v/>
      </c>
      <c r="K483" s="36" t="str">
        <f aca="false">IF(Raw_Export!$A483="","",IF(J483="Duplicate","Duplicate",IF(OR(C483="UNMAPPED",D483="UNMAPPED"),"Unmapped",IF(F483=0,"Blank qty",IF(F483&lt;0,"Return","OK")))))</f>
        <v>OK</v>
      </c>
      <c r="L483" s="36" t="n">
        <f aca="false">IF(Raw_Export!$A483="","",IF(OR(K483="OK",K483="Return"),1,0))</f>
        <v>1</v>
      </c>
      <c r="M483" s="37" t="n">
        <f aca="false">IF(Raw_Export!$A483="","",B483-WEEKDAY(B483,2)+1)</f>
        <v>46265</v>
      </c>
    </row>
    <row r="484" customFormat="false" ht="15" hidden="false" customHeight="false" outlineLevel="0" collapsed="false">
      <c r="A484" s="36" t="str">
        <f aca="false">IF(Raw_Export!$A484="","",TRIM(Raw_Export!A484))</f>
        <v>TXN-100472</v>
      </c>
      <c r="B484" s="37" t="n">
        <f aca="false">IF(Raw_Export!$A484="","",IF(ISNUMBER(Raw_Export!B484),Raw_Export!B484,IF(MID(TRIM(Raw_Export!B484),5,1)="-",DATE(LEFT(TRIM(Raw_Export!B484),4),MID(TRIM(Raw_Export!B484),6,2),RIGHT(TRIM(Raw_Export!B484),2)),DATE(RIGHT(TRIM(Raw_Export!B484),4),MATCH(MID(TRIM(Raw_Export!B484),4,3),{"Jan","Feb","Mar","Apr","May","Jun","Jul","Aug","Sep","Oct","Nov","Dec"},0),LEFT(TRIM(Raw_Export!B484),2)))))</f>
        <v>46268</v>
      </c>
      <c r="C484" s="36" t="str">
        <f aca="false">IF(Raw_Export!$A484="","",IFERROR(VLOOKUP(LOWER(TRIM(Raw_Export!C484)),Maps!$A$2:$B$20,2,FALSE()),"UNMAPPED"))</f>
        <v>Mombasa</v>
      </c>
      <c r="D484" s="36" t="str">
        <f aca="false">IF(Raw_Export!$A484="","",IFERROR(VLOOKUP(LOWER(TRIM(Raw_Export!D484)),Maps!$G$2:$I$80,2,FALSE()),"UNMAPPED"))</f>
        <v>Cheddar 200g</v>
      </c>
      <c r="E484" s="36" t="str">
        <f aca="false">IF(Raw_Export!$A484="","",IFERROR(VLOOKUP(LOWER(TRIM(Raw_Export!D484)),Maps!$G$2:$I$80,3,FALSE()),"UNMAPPED"))</f>
        <v>Dairy &amp; Eggs</v>
      </c>
      <c r="F484" s="36" t="n">
        <f aca="false">IF(Raw_Export!$A484="","",IFERROR(VALUE(TRIM(Raw_Export!E484)),0))</f>
        <v>2</v>
      </c>
      <c r="G484" s="38" t="n">
        <f aca="false">IF(Raw_Export!$A484="","",IFERROR(VALUE(SUBSTITUTE(SUBSTITUTE(UPPER(TRIM(Raw_Export!F484)),"KES",""),",","")),0))</f>
        <v>380</v>
      </c>
      <c r="H484" s="38" t="n">
        <f aca="false">IF(Raw_Export!$A484="","",F484*G484)</f>
        <v>760</v>
      </c>
      <c r="I484" s="36" t="str">
        <f aca="false">IF(Raw_Export!$A484="","",IFERROR(VLOOKUP(LOWER(TRIM(Raw_Export!H484)),Maps!$D$2:$E$12,2,FALSE()),"Other"))</f>
        <v>M-Pesa</v>
      </c>
      <c r="J484" s="36" t="str">
        <f aca="false">IF(Raw_Export!$A484="","",IF(COUNTIF($A$2:A484,A484)&gt;1,"Duplicate",""))</f>
        <v/>
      </c>
      <c r="K484" s="36" t="str">
        <f aca="false">IF(Raw_Export!$A484="","",IF(J484="Duplicate","Duplicate",IF(OR(C484="UNMAPPED",D484="UNMAPPED"),"Unmapped",IF(F484=0,"Blank qty",IF(F484&lt;0,"Return","OK")))))</f>
        <v>OK</v>
      </c>
      <c r="L484" s="36" t="n">
        <f aca="false">IF(Raw_Export!$A484="","",IF(OR(K484="OK",K484="Return"),1,0))</f>
        <v>1</v>
      </c>
      <c r="M484" s="37" t="n">
        <f aca="false">IF(Raw_Export!$A484="","",B484-WEEKDAY(B484,2)+1)</f>
        <v>46265</v>
      </c>
    </row>
    <row r="485" customFormat="false" ht="15" hidden="false" customHeight="false" outlineLevel="0" collapsed="false">
      <c r="A485" s="36" t="str">
        <f aca="false">IF(Raw_Export!$A485="","",TRIM(Raw_Export!A485))</f>
        <v>TXN-100473</v>
      </c>
      <c r="B485" s="37" t="n">
        <f aca="false">IF(Raw_Export!$A485="","",IF(ISNUMBER(Raw_Export!B485),Raw_Export!B485,IF(MID(TRIM(Raw_Export!B485),5,1)="-",DATE(LEFT(TRIM(Raw_Export!B485),4),MID(TRIM(Raw_Export!B485),6,2),RIGHT(TRIM(Raw_Export!B485),2)),DATE(RIGHT(TRIM(Raw_Export!B485),4),MATCH(MID(TRIM(Raw_Export!B485),4,3),{"Jan","Feb","Mar","Apr","May","Jun","Jul","Aug","Sep","Oct","Nov","Dec"},0),LEFT(TRIM(Raw_Export!B485),2)))))</f>
        <v>46268</v>
      </c>
      <c r="C485" s="36" t="str">
        <f aca="false">IF(Raw_Export!$A485="","",IFERROR(VLOOKUP(LOWER(TRIM(Raw_Export!C485)),Maps!$A$2:$B$20,2,FALSE()),"UNMAPPED"))</f>
        <v>Mombasa</v>
      </c>
      <c r="D485" s="36" t="str">
        <f aca="false">IF(Raw_Export!$A485="","",IFERROR(VLOOKUP(LOWER(TRIM(Raw_Export!D485)),Maps!$G$2:$I$80,2,FALSE()),"UNMAPPED"))</f>
        <v>Soda 500ml</v>
      </c>
      <c r="E485" s="36" t="str">
        <f aca="false">IF(Raw_Export!$A485="","",IFERROR(VLOOKUP(LOWER(TRIM(Raw_Export!D485)),Maps!$G$2:$I$80,3,FALSE()),"UNMAPPED"))</f>
        <v>Beverages</v>
      </c>
      <c r="F485" s="36" t="n">
        <f aca="false">IF(Raw_Export!$A485="","",IFERROR(VALUE(TRIM(Raw_Export!E485)),0))</f>
        <v>2</v>
      </c>
      <c r="G485" s="38" t="n">
        <f aca="false">IF(Raw_Export!$A485="","",IFERROR(VALUE(SUBSTITUTE(SUBSTITUTE(UPPER(TRIM(Raw_Export!F485)),"KES",""),",","")),0))</f>
        <v>60</v>
      </c>
      <c r="H485" s="38" t="n">
        <f aca="false">IF(Raw_Export!$A485="","",F485*G485)</f>
        <v>120</v>
      </c>
      <c r="I485" s="36" t="str">
        <f aca="false">IF(Raw_Export!$A485="","",IFERROR(VLOOKUP(LOWER(TRIM(Raw_Export!H485)),Maps!$D$2:$E$12,2,FALSE()),"Other"))</f>
        <v>Cash</v>
      </c>
      <c r="J485" s="36" t="str">
        <f aca="false">IF(Raw_Export!$A485="","",IF(COUNTIF($A$2:A485,A485)&gt;1,"Duplicate",""))</f>
        <v/>
      </c>
      <c r="K485" s="36" t="str">
        <f aca="false">IF(Raw_Export!$A485="","",IF(J485="Duplicate","Duplicate",IF(OR(C485="UNMAPPED",D485="UNMAPPED"),"Unmapped",IF(F485=0,"Blank qty",IF(F485&lt;0,"Return","OK")))))</f>
        <v>OK</v>
      </c>
      <c r="L485" s="36" t="n">
        <f aca="false">IF(Raw_Export!$A485="","",IF(OR(K485="OK",K485="Return"),1,0))</f>
        <v>1</v>
      </c>
      <c r="M485" s="37" t="n">
        <f aca="false">IF(Raw_Export!$A485="","",B485-WEEKDAY(B485,2)+1)</f>
        <v>46265</v>
      </c>
    </row>
    <row r="486" customFormat="false" ht="15" hidden="false" customHeight="false" outlineLevel="0" collapsed="false">
      <c r="A486" s="36" t="str">
        <f aca="false">IF(Raw_Export!$A486="","",TRIM(Raw_Export!A486))</f>
        <v>TXN-100474</v>
      </c>
      <c r="B486" s="37" t="n">
        <f aca="false">IF(Raw_Export!$A486="","",IF(ISNUMBER(Raw_Export!B486),Raw_Export!B486,IF(MID(TRIM(Raw_Export!B486),5,1)="-",DATE(LEFT(TRIM(Raw_Export!B486),4),MID(TRIM(Raw_Export!B486),6,2),RIGHT(TRIM(Raw_Export!B486),2)),DATE(RIGHT(TRIM(Raw_Export!B486),4),MATCH(MID(TRIM(Raw_Export!B486),4,3),{"Jan","Feb","Mar","Apr","May","Jun","Jul","Aug","Sep","Oct","Nov","Dec"},0),LEFT(TRIM(Raw_Export!B486),2)))))</f>
        <v>46268</v>
      </c>
      <c r="C486" s="36" t="str">
        <f aca="false">IF(Raw_Export!$A486="","",IFERROR(VLOOKUP(LOWER(TRIM(Raw_Export!C486)),Maps!$A$2:$B$20,2,FALSE()),"UNMAPPED"))</f>
        <v>Kisumu</v>
      </c>
      <c r="D486" s="36" t="str">
        <f aca="false">IF(Raw_Export!$A486="","",IFERROR(VLOOKUP(LOWER(TRIM(Raw_Export!D486)),Maps!$G$2:$I$80,2,FALSE()),"UNMAPPED"))</f>
        <v>Dish Soap 750ml</v>
      </c>
      <c r="E486" s="36" t="str">
        <f aca="false">IF(Raw_Export!$A486="","",IFERROR(VLOOKUP(LOWER(TRIM(Raw_Export!D486)),Maps!$G$2:$I$80,3,FALSE()),"UNMAPPED"))</f>
        <v>Household</v>
      </c>
      <c r="F486" s="36" t="n">
        <f aca="false">IF(Raw_Export!$A486="","",IFERROR(VALUE(TRIM(Raw_Export!E486)),0))</f>
        <v>1</v>
      </c>
      <c r="G486" s="38" t="n">
        <f aca="false">IF(Raw_Export!$A486="","",IFERROR(VALUE(SUBSTITUTE(SUBSTITUTE(UPPER(TRIM(Raw_Export!F486)),"KES",""),",","")),0))</f>
        <v>190</v>
      </c>
      <c r="H486" s="38" t="n">
        <f aca="false">IF(Raw_Export!$A486="","",F486*G486)</f>
        <v>190</v>
      </c>
      <c r="I486" s="36" t="str">
        <f aca="false">IF(Raw_Export!$A486="","",IFERROR(VLOOKUP(LOWER(TRIM(Raw_Export!H486)),Maps!$D$2:$E$12,2,FALSE()),"Other"))</f>
        <v>Card</v>
      </c>
      <c r="J486" s="36" t="str">
        <f aca="false">IF(Raw_Export!$A486="","",IF(COUNTIF($A$2:A486,A486)&gt;1,"Duplicate",""))</f>
        <v/>
      </c>
      <c r="K486" s="36" t="str">
        <f aca="false">IF(Raw_Export!$A486="","",IF(J486="Duplicate","Duplicate",IF(OR(C486="UNMAPPED",D486="UNMAPPED"),"Unmapped",IF(F486=0,"Blank qty",IF(F486&lt;0,"Return","OK")))))</f>
        <v>OK</v>
      </c>
      <c r="L486" s="36" t="n">
        <f aca="false">IF(Raw_Export!$A486="","",IF(OR(K486="OK",K486="Return"),1,0))</f>
        <v>1</v>
      </c>
      <c r="M486" s="37" t="n">
        <f aca="false">IF(Raw_Export!$A486="","",B486-WEEKDAY(B486,2)+1)</f>
        <v>46265</v>
      </c>
    </row>
    <row r="487" customFormat="false" ht="15" hidden="false" customHeight="false" outlineLevel="0" collapsed="false">
      <c r="A487" s="36" t="str">
        <f aca="false">IF(Raw_Export!$A487="","",TRIM(Raw_Export!A487))</f>
        <v>TXN-100475</v>
      </c>
      <c r="B487" s="37" t="n">
        <f aca="false">IF(Raw_Export!$A487="","",IF(ISNUMBER(Raw_Export!B487),Raw_Export!B487,IF(MID(TRIM(Raw_Export!B487),5,1)="-",DATE(LEFT(TRIM(Raw_Export!B487),4),MID(TRIM(Raw_Export!B487),6,2),RIGHT(TRIM(Raw_Export!B487),2)),DATE(RIGHT(TRIM(Raw_Export!B487),4),MATCH(MID(TRIM(Raw_Export!B487),4,3),{"Jan","Feb","Mar","Apr","May","Jun","Jul","Aug","Sep","Oct","Nov","Dec"},0),LEFT(TRIM(Raw_Export!B487),2)))))</f>
        <v>46268</v>
      </c>
      <c r="C487" s="36" t="str">
        <f aca="false">IF(Raw_Export!$A487="","",IFERROR(VLOOKUP(LOWER(TRIM(Raw_Export!C487)),Maps!$A$2:$B$20,2,FALSE()),"UNMAPPED"))</f>
        <v>Kisumu</v>
      </c>
      <c r="D487" s="36" t="str">
        <f aca="false">IF(Raw_Export!$A487="","",IFERROR(VLOOKUP(LOWER(TRIM(Raw_Export!D487)),Maps!$G$2:$I$80,2,FALSE()),"UNMAPPED"))</f>
        <v>Cooking Oil 1L</v>
      </c>
      <c r="E487" s="36" t="str">
        <f aca="false">IF(Raw_Export!$A487="","",IFERROR(VLOOKUP(LOWER(TRIM(Raw_Export!D487)),Maps!$G$2:$I$80,3,FALSE()),"UNMAPPED"))</f>
        <v>Staples</v>
      </c>
      <c r="F487" s="36" t="n">
        <f aca="false">IF(Raw_Export!$A487="","",IFERROR(VALUE(TRIM(Raw_Export!E487)),0))</f>
        <v>1</v>
      </c>
      <c r="G487" s="38" t="n">
        <f aca="false">IF(Raw_Export!$A487="","",IFERROR(VALUE(SUBSTITUTE(SUBSTITUTE(UPPER(TRIM(Raw_Export!F487)),"KES",""),",","")),0))</f>
        <v>330</v>
      </c>
      <c r="H487" s="38" t="n">
        <f aca="false">IF(Raw_Export!$A487="","",F487*G487)</f>
        <v>330</v>
      </c>
      <c r="I487" s="36" t="str">
        <f aca="false">IF(Raw_Export!$A487="","",IFERROR(VLOOKUP(LOWER(TRIM(Raw_Export!H487)),Maps!$D$2:$E$12,2,FALSE()),"Other"))</f>
        <v>M-Pesa</v>
      </c>
      <c r="J487" s="36" t="str">
        <f aca="false">IF(Raw_Export!$A487="","",IF(COUNTIF($A$2:A487,A487)&gt;1,"Duplicate",""))</f>
        <v/>
      </c>
      <c r="K487" s="36" t="str">
        <f aca="false">IF(Raw_Export!$A487="","",IF(J487="Duplicate","Duplicate",IF(OR(C487="UNMAPPED",D487="UNMAPPED"),"Unmapped",IF(F487=0,"Blank qty",IF(F487&lt;0,"Return","OK")))))</f>
        <v>OK</v>
      </c>
      <c r="L487" s="36" t="n">
        <f aca="false">IF(Raw_Export!$A487="","",IF(OR(K487="OK",K487="Return"),1,0))</f>
        <v>1</v>
      </c>
      <c r="M487" s="37" t="n">
        <f aca="false">IF(Raw_Export!$A487="","",B487-WEEKDAY(B487,2)+1)</f>
        <v>46265</v>
      </c>
    </row>
    <row r="488" customFormat="false" ht="15" hidden="false" customHeight="false" outlineLevel="0" collapsed="false">
      <c r="A488" s="36" t="str">
        <f aca="false">IF(Raw_Export!$A488="","",TRIM(Raw_Export!A488))</f>
        <v>TXN-100476</v>
      </c>
      <c r="B488" s="37" t="n">
        <f aca="false">IF(Raw_Export!$A488="","",IF(ISNUMBER(Raw_Export!B488),Raw_Export!B488,IF(MID(TRIM(Raw_Export!B488),5,1)="-",DATE(LEFT(TRIM(Raw_Export!B488),4),MID(TRIM(Raw_Export!B488),6,2),RIGHT(TRIM(Raw_Export!B488),2)),DATE(RIGHT(TRIM(Raw_Export!B488),4),MATCH(MID(TRIM(Raw_Export!B488),4,3),{"Jan","Feb","Mar","Apr","May","Jun","Jul","Aug","Sep","Oct","Nov","Dec"},0),LEFT(TRIM(Raw_Export!B488),2)))))</f>
        <v>46268</v>
      </c>
      <c r="C488" s="36" t="str">
        <f aca="false">IF(Raw_Export!$A488="","",IFERROR(VLOOKUP(LOWER(TRIM(Raw_Export!C488)),Maps!$A$2:$B$20,2,FALSE()),"UNMAPPED"))</f>
        <v>Kisumu</v>
      </c>
      <c r="D488" s="36" t="str">
        <f aca="false">IF(Raw_Export!$A488="","",IFERROR(VLOOKUP(LOWER(TRIM(Raw_Export!D488)),Maps!$G$2:$I$80,2,FALSE()),"UNMAPPED"))</f>
        <v>Peanuts 250g</v>
      </c>
      <c r="E488" s="36" t="str">
        <f aca="false">IF(Raw_Export!$A488="","",IFERROR(VLOOKUP(LOWER(TRIM(Raw_Export!D488)),Maps!$G$2:$I$80,3,FALSE()),"UNMAPPED"))</f>
        <v>Snacks</v>
      </c>
      <c r="F488" s="36" t="n">
        <f aca="false">IF(Raw_Export!$A488="","",IFERROR(VALUE(TRIM(Raw_Export!E488)),0))</f>
        <v>3</v>
      </c>
      <c r="G488" s="38" t="n">
        <f aca="false">IF(Raw_Export!$A488="","",IFERROR(VALUE(SUBSTITUTE(SUBSTITUTE(UPPER(TRIM(Raw_Export!F488)),"KES",""),",","")),0))</f>
        <v>130</v>
      </c>
      <c r="H488" s="38" t="n">
        <f aca="false">IF(Raw_Export!$A488="","",F488*G488)</f>
        <v>390</v>
      </c>
      <c r="I488" s="36" t="str">
        <f aca="false">IF(Raw_Export!$A488="","",IFERROR(VLOOKUP(LOWER(TRIM(Raw_Export!H488)),Maps!$D$2:$E$12,2,FALSE()),"Other"))</f>
        <v>M-Pesa</v>
      </c>
      <c r="J488" s="36" t="str">
        <f aca="false">IF(Raw_Export!$A488="","",IF(COUNTIF($A$2:A488,A488)&gt;1,"Duplicate",""))</f>
        <v/>
      </c>
      <c r="K488" s="36" t="str">
        <f aca="false">IF(Raw_Export!$A488="","",IF(J488="Duplicate","Duplicate",IF(OR(C488="UNMAPPED",D488="UNMAPPED"),"Unmapped",IF(F488=0,"Blank qty",IF(F488&lt;0,"Return","OK")))))</f>
        <v>OK</v>
      </c>
      <c r="L488" s="36" t="n">
        <f aca="false">IF(Raw_Export!$A488="","",IF(OR(K488="OK",K488="Return"),1,0))</f>
        <v>1</v>
      </c>
      <c r="M488" s="37" t="n">
        <f aca="false">IF(Raw_Export!$A488="","",B488-WEEKDAY(B488,2)+1)</f>
        <v>46265</v>
      </c>
    </row>
    <row r="489" customFormat="false" ht="15" hidden="false" customHeight="false" outlineLevel="0" collapsed="false">
      <c r="A489" s="36" t="str">
        <f aca="false">IF(Raw_Export!$A489="","",TRIM(Raw_Export!A489))</f>
        <v>TXN-100477</v>
      </c>
      <c r="B489" s="37" t="n">
        <f aca="false">IF(Raw_Export!$A489="","",IF(ISNUMBER(Raw_Export!B489),Raw_Export!B489,IF(MID(TRIM(Raw_Export!B489),5,1)="-",DATE(LEFT(TRIM(Raw_Export!B489),4),MID(TRIM(Raw_Export!B489),6,2),RIGHT(TRIM(Raw_Export!B489),2)),DATE(RIGHT(TRIM(Raw_Export!B489),4),MATCH(MID(TRIM(Raw_Export!B489),4,3),{"Jan","Feb","Mar","Apr","May","Jun","Jul","Aug","Sep","Oct","Nov","Dec"},0),LEFT(TRIM(Raw_Export!B489),2)))))</f>
        <v>46268</v>
      </c>
      <c r="C489" s="36" t="str">
        <f aca="false">IF(Raw_Export!$A489="","",IFERROR(VLOOKUP(LOWER(TRIM(Raw_Export!C489)),Maps!$A$2:$B$20,2,FALSE()),"UNMAPPED"))</f>
        <v>Kisumu</v>
      </c>
      <c r="D489" s="36" t="str">
        <f aca="false">IF(Raw_Export!$A489="","",IFERROR(VLOOKUP(LOWER(TRIM(Raw_Export!D489)),Maps!$G$2:$I$80,2,FALSE()),"UNMAPPED"))</f>
        <v>Soda 500ml</v>
      </c>
      <c r="E489" s="36" t="str">
        <f aca="false">IF(Raw_Export!$A489="","",IFERROR(VLOOKUP(LOWER(TRIM(Raw_Export!D489)),Maps!$G$2:$I$80,3,FALSE()),"UNMAPPED"))</f>
        <v>Beverages</v>
      </c>
      <c r="F489" s="36" t="n">
        <f aca="false">IF(Raw_Export!$A489="","",IFERROR(VALUE(TRIM(Raw_Export!E489)),0))</f>
        <v>2</v>
      </c>
      <c r="G489" s="38" t="n">
        <f aca="false">IF(Raw_Export!$A489="","",IFERROR(VALUE(SUBSTITUTE(SUBSTITUTE(UPPER(TRIM(Raw_Export!F489)),"KES",""),",","")),0))</f>
        <v>60</v>
      </c>
      <c r="H489" s="38" t="n">
        <f aca="false">IF(Raw_Export!$A489="","",F489*G489)</f>
        <v>120</v>
      </c>
      <c r="I489" s="36" t="str">
        <f aca="false">IF(Raw_Export!$A489="","",IFERROR(VLOOKUP(LOWER(TRIM(Raw_Export!H489)),Maps!$D$2:$E$12,2,FALSE()),"Other"))</f>
        <v>Card</v>
      </c>
      <c r="J489" s="36" t="str">
        <f aca="false">IF(Raw_Export!$A489="","",IF(COUNTIF($A$2:A489,A489)&gt;1,"Duplicate",""))</f>
        <v/>
      </c>
      <c r="K489" s="36" t="str">
        <f aca="false">IF(Raw_Export!$A489="","",IF(J489="Duplicate","Duplicate",IF(OR(C489="UNMAPPED",D489="UNMAPPED"),"Unmapped",IF(F489=0,"Blank qty",IF(F489&lt;0,"Return","OK")))))</f>
        <v>OK</v>
      </c>
      <c r="L489" s="36" t="n">
        <f aca="false">IF(Raw_Export!$A489="","",IF(OR(K489="OK",K489="Return"),1,0))</f>
        <v>1</v>
      </c>
      <c r="M489" s="37" t="n">
        <f aca="false">IF(Raw_Export!$A489="","",B489-WEEKDAY(B489,2)+1)</f>
        <v>46265</v>
      </c>
    </row>
    <row r="490" customFormat="false" ht="15" hidden="false" customHeight="false" outlineLevel="0" collapsed="false">
      <c r="A490" s="36" t="str">
        <f aca="false">IF(Raw_Export!$A490="","",TRIM(Raw_Export!A490))</f>
        <v>TXN-100478</v>
      </c>
      <c r="B490" s="37" t="n">
        <f aca="false">IF(Raw_Export!$A490="","",IF(ISNUMBER(Raw_Export!B490),Raw_Export!B490,IF(MID(TRIM(Raw_Export!B490),5,1)="-",DATE(LEFT(TRIM(Raw_Export!B490),4),MID(TRIM(Raw_Export!B490),6,2),RIGHT(TRIM(Raw_Export!B490),2)),DATE(RIGHT(TRIM(Raw_Export!B490),4),MATCH(MID(TRIM(Raw_Export!B490),4,3),{"Jan","Feb","Mar","Apr","May","Jun","Jul","Aug","Sep","Oct","Nov","Dec"},0),LEFT(TRIM(Raw_Export!B490),2)))))</f>
        <v>46268</v>
      </c>
      <c r="C490" s="36" t="str">
        <f aca="false">IF(Raw_Export!$A490="","",IFERROR(VLOOKUP(LOWER(TRIM(Raw_Export!C490)),Maps!$A$2:$B$20,2,FALSE()),"UNMAPPED"))</f>
        <v>Kisumu</v>
      </c>
      <c r="D490" s="36" t="str">
        <f aca="false">IF(Raw_Export!$A490="","",IFERROR(VLOOKUP(LOWER(TRIM(Raw_Export!D490)),Maps!$G$2:$I$80,2,FALSE()),"UNMAPPED"))</f>
        <v>Matches 10pk</v>
      </c>
      <c r="E490" s="36" t="str">
        <f aca="false">IF(Raw_Export!$A490="","",IFERROR(VLOOKUP(LOWER(TRIM(Raw_Export!D490)),Maps!$G$2:$I$80,3,FALSE()),"UNMAPPED"))</f>
        <v>Household</v>
      </c>
      <c r="F490" s="36" t="n">
        <f aca="false">IF(Raw_Export!$A490="","",IFERROR(VALUE(TRIM(Raw_Export!E490)),0))</f>
        <v>2</v>
      </c>
      <c r="G490" s="38" t="n">
        <f aca="false">IF(Raw_Export!$A490="","",IFERROR(VALUE(SUBSTITUTE(SUBSTITUTE(UPPER(TRIM(Raw_Export!F490)),"KES",""),",","")),0))</f>
        <v>50</v>
      </c>
      <c r="H490" s="38" t="n">
        <f aca="false">IF(Raw_Export!$A490="","",F490*G490)</f>
        <v>100</v>
      </c>
      <c r="I490" s="36" t="str">
        <f aca="false">IF(Raw_Export!$A490="","",IFERROR(VLOOKUP(LOWER(TRIM(Raw_Export!H490)),Maps!$D$2:$E$12,2,FALSE()),"Other"))</f>
        <v>M-Pesa</v>
      </c>
      <c r="J490" s="36" t="str">
        <f aca="false">IF(Raw_Export!$A490="","",IF(COUNTIF($A$2:A490,A490)&gt;1,"Duplicate",""))</f>
        <v/>
      </c>
      <c r="K490" s="36" t="str">
        <f aca="false">IF(Raw_Export!$A490="","",IF(J490="Duplicate","Duplicate",IF(OR(C490="UNMAPPED",D490="UNMAPPED"),"Unmapped",IF(F490=0,"Blank qty",IF(F490&lt;0,"Return","OK")))))</f>
        <v>OK</v>
      </c>
      <c r="L490" s="36" t="n">
        <f aca="false">IF(Raw_Export!$A490="","",IF(OR(K490="OK",K490="Return"),1,0))</f>
        <v>1</v>
      </c>
      <c r="M490" s="37" t="n">
        <f aca="false">IF(Raw_Export!$A490="","",B490-WEEKDAY(B490,2)+1)</f>
        <v>46265</v>
      </c>
    </row>
    <row r="491" customFormat="false" ht="15" hidden="false" customHeight="false" outlineLevel="0" collapsed="false">
      <c r="A491" s="36" t="str">
        <f aca="false">IF(Raw_Export!$A491="","",TRIM(Raw_Export!A491))</f>
        <v>TXN-100479</v>
      </c>
      <c r="B491" s="37" t="n">
        <f aca="false">IF(Raw_Export!$A491="","",IF(ISNUMBER(Raw_Export!B491),Raw_Export!B491,IF(MID(TRIM(Raw_Export!B491),5,1)="-",DATE(LEFT(TRIM(Raw_Export!B491),4),MID(TRIM(Raw_Export!B491),6,2),RIGHT(TRIM(Raw_Export!B491),2)),DATE(RIGHT(TRIM(Raw_Export!B491),4),MATCH(MID(TRIM(Raw_Export!B491),4,3),{"Jan","Feb","Mar","Apr","May","Jun","Jul","Aug","Sep","Oct","Nov","Dec"},0),LEFT(TRIM(Raw_Export!B491),2)))))</f>
        <v>46268</v>
      </c>
      <c r="C491" s="36" t="str">
        <f aca="false">IF(Raw_Export!$A491="","",IFERROR(VLOOKUP(LOWER(TRIM(Raw_Export!C491)),Maps!$A$2:$B$20,2,FALSE()),"UNMAPPED"))</f>
        <v>Kisumu</v>
      </c>
      <c r="D491" s="36" t="str">
        <f aca="false">IF(Raw_Export!$A491="","",IFERROR(VLOOKUP(LOWER(TRIM(Raw_Export!D491)),Maps!$G$2:$I$80,2,FALSE()),"UNMAPPED"))</f>
        <v>Bath Soap 175g</v>
      </c>
      <c r="E491" s="36" t="str">
        <f aca="false">IF(Raw_Export!$A491="","",IFERROR(VLOOKUP(LOWER(TRIM(Raw_Export!D491)),Maps!$G$2:$I$80,3,FALSE()),"UNMAPPED"))</f>
        <v>Personal Care</v>
      </c>
      <c r="F491" s="36" t="n">
        <f aca="false">IF(Raw_Export!$A491="","",IFERROR(VALUE(TRIM(Raw_Export!E491)),0))</f>
        <v>4</v>
      </c>
      <c r="G491" s="38" t="n">
        <f aca="false">IF(Raw_Export!$A491="","",IFERROR(VALUE(SUBSTITUTE(SUBSTITUTE(UPPER(TRIM(Raw_Export!F491)),"KES",""),",","")),0))</f>
        <v>76</v>
      </c>
      <c r="H491" s="38" t="n">
        <f aca="false">IF(Raw_Export!$A491="","",F491*G491)</f>
        <v>304</v>
      </c>
      <c r="I491" s="36" t="str">
        <f aca="false">IF(Raw_Export!$A491="","",IFERROR(VLOOKUP(LOWER(TRIM(Raw_Export!H491)),Maps!$D$2:$E$12,2,FALSE()),"Other"))</f>
        <v>Card</v>
      </c>
      <c r="J491" s="36" t="str">
        <f aca="false">IF(Raw_Export!$A491="","",IF(COUNTIF($A$2:A491,A491)&gt;1,"Duplicate",""))</f>
        <v/>
      </c>
      <c r="K491" s="36" t="str">
        <f aca="false">IF(Raw_Export!$A491="","",IF(J491="Duplicate","Duplicate",IF(OR(C491="UNMAPPED",D491="UNMAPPED"),"Unmapped",IF(F491=0,"Blank qty",IF(F491&lt;0,"Return","OK")))))</f>
        <v>OK</v>
      </c>
      <c r="L491" s="36" t="n">
        <f aca="false">IF(Raw_Export!$A491="","",IF(OR(K491="OK",K491="Return"),1,0))</f>
        <v>1</v>
      </c>
      <c r="M491" s="37" t="n">
        <f aca="false">IF(Raw_Export!$A491="","",B491-WEEKDAY(B491,2)+1)</f>
        <v>46265</v>
      </c>
    </row>
    <row r="492" customFormat="false" ht="15" hidden="false" customHeight="false" outlineLevel="0" collapsed="false">
      <c r="A492" s="36" t="str">
        <f aca="false">IF(Raw_Export!$A492="","",TRIM(Raw_Export!A492))</f>
        <v>TXN-100480</v>
      </c>
      <c r="B492" s="37" t="n">
        <f aca="false">IF(Raw_Export!$A492="","",IF(ISNUMBER(Raw_Export!B492),Raw_Export!B492,IF(MID(TRIM(Raw_Export!B492),5,1)="-",DATE(LEFT(TRIM(Raw_Export!B492),4),MID(TRIM(Raw_Export!B492),6,2),RIGHT(TRIM(Raw_Export!B492),2)),DATE(RIGHT(TRIM(Raw_Export!B492),4),MATCH(MID(TRIM(Raw_Export!B492),4,3),{"Jan","Feb","Mar","Apr","May","Jun","Jul","Aug","Sep","Oct","Nov","Dec"},0),LEFT(TRIM(Raw_Export!B492),2)))))</f>
        <v>46268</v>
      </c>
      <c r="C492" s="36" t="str">
        <f aca="false">IF(Raw_Export!$A492="","",IFERROR(VLOOKUP(LOWER(TRIM(Raw_Export!C492)),Maps!$A$2:$B$20,2,FALSE()),"UNMAPPED"))</f>
        <v>Kisumu</v>
      </c>
      <c r="D492" s="36" t="str">
        <f aca="false">IF(Raw_Export!$A492="","",IFERROR(VLOOKUP(LOWER(TRIM(Raw_Export!D492)),Maps!$G$2:$I$80,2,FALSE()),"UNMAPPED"))</f>
        <v>Sanitary Pads 8pk</v>
      </c>
      <c r="E492" s="36" t="str">
        <f aca="false">IF(Raw_Export!$A492="","",IFERROR(VLOOKUP(LOWER(TRIM(Raw_Export!D492)),Maps!$G$2:$I$80,3,FALSE()),"UNMAPPED"))</f>
        <v>Personal Care</v>
      </c>
      <c r="F492" s="36" t="n">
        <f aca="false">IF(Raw_Export!$A492="","",IFERROR(VALUE(TRIM(Raw_Export!E492)),0))</f>
        <v>2</v>
      </c>
      <c r="G492" s="38" t="n">
        <f aca="false">IF(Raw_Export!$A492="","",IFERROR(VALUE(SUBSTITUTE(SUBSTITUTE(UPPER(TRIM(Raw_Export!F492)),"KES",""),",","")),0))</f>
        <v>130</v>
      </c>
      <c r="H492" s="38" t="n">
        <f aca="false">IF(Raw_Export!$A492="","",F492*G492)</f>
        <v>260</v>
      </c>
      <c r="I492" s="36" t="str">
        <f aca="false">IF(Raw_Export!$A492="","",IFERROR(VLOOKUP(LOWER(TRIM(Raw_Export!H492)),Maps!$D$2:$E$12,2,FALSE()),"Other"))</f>
        <v>M-Pesa</v>
      </c>
      <c r="J492" s="36" t="str">
        <f aca="false">IF(Raw_Export!$A492="","",IF(COUNTIF($A$2:A492,A492)&gt;1,"Duplicate",""))</f>
        <v/>
      </c>
      <c r="K492" s="36" t="str">
        <f aca="false">IF(Raw_Export!$A492="","",IF(J492="Duplicate","Duplicate",IF(OR(C492="UNMAPPED",D492="UNMAPPED"),"Unmapped",IF(F492=0,"Blank qty",IF(F492&lt;0,"Return","OK")))))</f>
        <v>OK</v>
      </c>
      <c r="L492" s="36" t="n">
        <f aca="false">IF(Raw_Export!$A492="","",IF(OR(K492="OK",K492="Return"),1,0))</f>
        <v>1</v>
      </c>
      <c r="M492" s="37" t="n">
        <f aca="false">IF(Raw_Export!$A492="","",B492-WEEKDAY(B492,2)+1)</f>
        <v>46265</v>
      </c>
    </row>
    <row r="493" customFormat="false" ht="15" hidden="false" customHeight="false" outlineLevel="0" collapsed="false">
      <c r="A493" s="36" t="str">
        <f aca="false">IF(Raw_Export!$A493="","",TRIM(Raw_Export!A493))</f>
        <v>TXN-100481</v>
      </c>
      <c r="B493" s="37" t="n">
        <f aca="false">IF(Raw_Export!$A493="","",IF(ISNUMBER(Raw_Export!B493),Raw_Export!B493,IF(MID(TRIM(Raw_Export!B493),5,1)="-",DATE(LEFT(TRIM(Raw_Export!B493),4),MID(TRIM(Raw_Export!B493),6,2),RIGHT(TRIM(Raw_Export!B493),2)),DATE(RIGHT(TRIM(Raw_Export!B493),4),MATCH(MID(TRIM(Raw_Export!B493),4,3),{"Jan","Feb","Mar","Apr","May","Jun","Jul","Aug","Sep","Oct","Nov","Dec"},0),LEFT(TRIM(Raw_Export!B493),2)))))</f>
        <v>46268</v>
      </c>
      <c r="C493" s="36" t="str">
        <f aca="false">IF(Raw_Export!$A493="","",IFERROR(VLOOKUP(LOWER(TRIM(Raw_Export!C493)),Maps!$A$2:$B$20,2,FALSE()),"UNMAPPED"))</f>
        <v>Kisumu</v>
      </c>
      <c r="D493" s="36" t="str">
        <f aca="false">IF(Raw_Export!$A493="","",IFERROR(VLOOKUP(LOWER(TRIM(Raw_Export!D493)),Maps!$G$2:$I$80,2,FALSE()),"UNMAPPED"))</f>
        <v>Cooking Oil 1L</v>
      </c>
      <c r="E493" s="36" t="str">
        <f aca="false">IF(Raw_Export!$A493="","",IFERROR(VLOOKUP(LOWER(TRIM(Raw_Export!D493)),Maps!$G$2:$I$80,3,FALSE()),"UNMAPPED"))</f>
        <v>Staples</v>
      </c>
      <c r="F493" s="36" t="n">
        <f aca="false">IF(Raw_Export!$A493="","",IFERROR(VALUE(TRIM(Raw_Export!E493)),0))</f>
        <v>0</v>
      </c>
      <c r="G493" s="38" t="n">
        <f aca="false">IF(Raw_Export!$A493="","",IFERROR(VALUE(SUBSTITUTE(SUBSTITUTE(UPPER(TRIM(Raw_Export!F493)),"KES",""),",","")),0))</f>
        <v>330</v>
      </c>
      <c r="H493" s="38" t="n">
        <f aca="false">IF(Raw_Export!$A493="","",F493*G493)</f>
        <v>0</v>
      </c>
      <c r="I493" s="36" t="str">
        <f aca="false">IF(Raw_Export!$A493="","",IFERROR(VLOOKUP(LOWER(TRIM(Raw_Export!H493)),Maps!$D$2:$E$12,2,FALSE()),"Other"))</f>
        <v>Card</v>
      </c>
      <c r="J493" s="36" t="str">
        <f aca="false">IF(Raw_Export!$A493="","",IF(COUNTIF($A$2:A493,A493)&gt;1,"Duplicate",""))</f>
        <v/>
      </c>
      <c r="K493" s="36" t="str">
        <f aca="false">IF(Raw_Export!$A493="","",IF(J493="Duplicate","Duplicate",IF(OR(C493="UNMAPPED",D493="UNMAPPED"),"Unmapped",IF(F493=0,"Blank qty",IF(F493&lt;0,"Return","OK")))))</f>
        <v>Blank qty</v>
      </c>
      <c r="L493" s="36" t="n">
        <f aca="false">IF(Raw_Export!$A493="","",IF(OR(K493="OK",K493="Return"),1,0))</f>
        <v>0</v>
      </c>
      <c r="M493" s="37" t="n">
        <f aca="false">IF(Raw_Export!$A493="","",B493-WEEKDAY(B493,2)+1)</f>
        <v>46265</v>
      </c>
    </row>
    <row r="494" customFormat="false" ht="15" hidden="false" customHeight="false" outlineLevel="0" collapsed="false">
      <c r="A494" s="36" t="str">
        <f aca="false">IF(Raw_Export!$A494="","",TRIM(Raw_Export!A494))</f>
        <v>TXN-100482</v>
      </c>
      <c r="B494" s="37" t="n">
        <f aca="false">IF(Raw_Export!$A494="","",IF(ISNUMBER(Raw_Export!B494),Raw_Export!B494,IF(MID(TRIM(Raw_Export!B494),5,1)="-",DATE(LEFT(TRIM(Raw_Export!B494),4),MID(TRIM(Raw_Export!B494),6,2),RIGHT(TRIM(Raw_Export!B494),2)),DATE(RIGHT(TRIM(Raw_Export!B494),4),MATCH(MID(TRIM(Raw_Export!B494),4,3),{"Jan","Feb","Mar","Apr","May","Jun","Jul","Aug","Sep","Oct","Nov","Dec"},0),LEFT(TRIM(Raw_Export!B494),2)))))</f>
        <v>46268</v>
      </c>
      <c r="C494" s="36" t="str">
        <f aca="false">IF(Raw_Export!$A494="","",IFERROR(VLOOKUP(LOWER(TRIM(Raw_Export!C494)),Maps!$A$2:$B$20,2,FALSE()),"UNMAPPED"))</f>
        <v>Kisumu</v>
      </c>
      <c r="D494" s="36" t="str">
        <f aca="false">IF(Raw_Export!$A494="","",IFERROR(VLOOKUP(LOWER(TRIM(Raw_Export!D494)),Maps!$G$2:$I$80,2,FALSE()),"UNMAPPED"))</f>
        <v>Soda 500ml</v>
      </c>
      <c r="E494" s="36" t="str">
        <f aca="false">IF(Raw_Export!$A494="","",IFERROR(VLOOKUP(LOWER(TRIM(Raw_Export!D494)),Maps!$G$2:$I$80,3,FALSE()),"UNMAPPED"))</f>
        <v>Beverages</v>
      </c>
      <c r="F494" s="36" t="n">
        <f aca="false">IF(Raw_Export!$A494="","",IFERROR(VALUE(TRIM(Raw_Export!E494)),0))</f>
        <v>1</v>
      </c>
      <c r="G494" s="38" t="n">
        <f aca="false">IF(Raw_Export!$A494="","",IFERROR(VALUE(SUBSTITUTE(SUBSTITUTE(UPPER(TRIM(Raw_Export!F494)),"KES",""),",","")),0))</f>
        <v>60</v>
      </c>
      <c r="H494" s="38" t="n">
        <f aca="false">IF(Raw_Export!$A494="","",F494*G494)</f>
        <v>60</v>
      </c>
      <c r="I494" s="36" t="str">
        <f aca="false">IF(Raw_Export!$A494="","",IFERROR(VLOOKUP(LOWER(TRIM(Raw_Export!H494)),Maps!$D$2:$E$12,2,FALSE()),"Other"))</f>
        <v>Cash</v>
      </c>
      <c r="J494" s="36" t="str">
        <f aca="false">IF(Raw_Export!$A494="","",IF(COUNTIF($A$2:A494,A494)&gt;1,"Duplicate",""))</f>
        <v/>
      </c>
      <c r="K494" s="36" t="str">
        <f aca="false">IF(Raw_Export!$A494="","",IF(J494="Duplicate","Duplicate",IF(OR(C494="UNMAPPED",D494="UNMAPPED"),"Unmapped",IF(F494=0,"Blank qty",IF(F494&lt;0,"Return","OK")))))</f>
        <v>OK</v>
      </c>
      <c r="L494" s="36" t="n">
        <f aca="false">IF(Raw_Export!$A494="","",IF(OR(K494="OK",K494="Return"),1,0))</f>
        <v>1</v>
      </c>
      <c r="M494" s="37" t="n">
        <f aca="false">IF(Raw_Export!$A494="","",B494-WEEKDAY(B494,2)+1)</f>
        <v>46265</v>
      </c>
    </row>
    <row r="495" customFormat="false" ht="15" hidden="false" customHeight="false" outlineLevel="0" collapsed="false">
      <c r="A495" s="36" t="str">
        <f aca="false">IF(Raw_Export!$A495="","",TRIM(Raw_Export!A495))</f>
        <v>TXN-100483</v>
      </c>
      <c r="B495" s="37" t="n">
        <f aca="false">IF(Raw_Export!$A495="","",IF(ISNUMBER(Raw_Export!B495),Raw_Export!B495,IF(MID(TRIM(Raw_Export!B495),5,1)="-",DATE(LEFT(TRIM(Raw_Export!B495),4),MID(TRIM(Raw_Export!B495),6,2),RIGHT(TRIM(Raw_Export!B495),2)),DATE(RIGHT(TRIM(Raw_Export!B495),4),MATCH(MID(TRIM(Raw_Export!B495),4,3),{"Jan","Feb","Mar","Apr","May","Jun","Jul","Aug","Sep","Oct","Nov","Dec"},0),LEFT(TRIM(Raw_Export!B495),2)))))</f>
        <v>46268</v>
      </c>
      <c r="C495" s="36" t="str">
        <f aca="false">IF(Raw_Export!$A495="","",IFERROR(VLOOKUP(LOWER(TRIM(Raw_Export!C495)),Maps!$A$2:$B$20,2,FALSE()),"UNMAPPED"))</f>
        <v>Kisumu</v>
      </c>
      <c r="D495" s="36" t="str">
        <f aca="false">IF(Raw_Export!$A495="","",IFERROR(VLOOKUP(LOWER(TRIM(Raw_Export!D495)),Maps!$G$2:$I$80,2,FALSE()),"UNMAPPED"))</f>
        <v>Cooking Oil 1L</v>
      </c>
      <c r="E495" s="36" t="str">
        <f aca="false">IF(Raw_Export!$A495="","",IFERROR(VLOOKUP(LOWER(TRIM(Raw_Export!D495)),Maps!$G$2:$I$80,3,FALSE()),"UNMAPPED"))</f>
        <v>Staples</v>
      </c>
      <c r="F495" s="36" t="n">
        <f aca="false">IF(Raw_Export!$A495="","",IFERROR(VALUE(TRIM(Raw_Export!E495)),0))</f>
        <v>2</v>
      </c>
      <c r="G495" s="38" t="n">
        <f aca="false">IF(Raw_Export!$A495="","",IFERROR(VALUE(SUBSTITUTE(SUBSTITUTE(UPPER(TRIM(Raw_Export!F495)),"KES",""),",","")),0))</f>
        <v>330</v>
      </c>
      <c r="H495" s="38" t="n">
        <f aca="false">IF(Raw_Export!$A495="","",F495*G495)</f>
        <v>660</v>
      </c>
      <c r="I495" s="36" t="str">
        <f aca="false">IF(Raw_Export!$A495="","",IFERROR(VLOOKUP(LOWER(TRIM(Raw_Export!H495)),Maps!$D$2:$E$12,2,FALSE()),"Other"))</f>
        <v>M-Pesa</v>
      </c>
      <c r="J495" s="36" t="str">
        <f aca="false">IF(Raw_Export!$A495="","",IF(COUNTIF($A$2:A495,A495)&gt;1,"Duplicate",""))</f>
        <v/>
      </c>
      <c r="K495" s="36" t="str">
        <f aca="false">IF(Raw_Export!$A495="","",IF(J495="Duplicate","Duplicate",IF(OR(C495="UNMAPPED",D495="UNMAPPED"),"Unmapped",IF(F495=0,"Blank qty",IF(F495&lt;0,"Return","OK")))))</f>
        <v>OK</v>
      </c>
      <c r="L495" s="36" t="n">
        <f aca="false">IF(Raw_Export!$A495="","",IF(OR(K495="OK",K495="Return"),1,0))</f>
        <v>1</v>
      </c>
      <c r="M495" s="37" t="n">
        <f aca="false">IF(Raw_Export!$A495="","",B495-WEEKDAY(B495,2)+1)</f>
        <v>46265</v>
      </c>
    </row>
    <row r="496" customFormat="false" ht="15" hidden="false" customHeight="false" outlineLevel="0" collapsed="false">
      <c r="A496" s="36" t="str">
        <f aca="false">IF(Raw_Export!$A496="","",TRIM(Raw_Export!A496))</f>
        <v>TXN-100484</v>
      </c>
      <c r="B496" s="37" t="n">
        <f aca="false">IF(Raw_Export!$A496="","",IF(ISNUMBER(Raw_Export!B496),Raw_Export!B496,IF(MID(TRIM(Raw_Export!B496),5,1)="-",DATE(LEFT(TRIM(Raw_Export!B496),4),MID(TRIM(Raw_Export!B496),6,2),RIGHT(TRIM(Raw_Export!B496),2)),DATE(RIGHT(TRIM(Raw_Export!B496),4),MATCH(MID(TRIM(Raw_Export!B496),4,3),{"Jan","Feb","Mar","Apr","May","Jun","Jul","Aug","Sep","Oct","Nov","Dec"},0),LEFT(TRIM(Raw_Export!B496),2)))))</f>
        <v>46268</v>
      </c>
      <c r="C496" s="36" t="str">
        <f aca="false">IF(Raw_Export!$A496="","",IFERROR(VLOOKUP(LOWER(TRIM(Raw_Export!C496)),Maps!$A$2:$B$20,2,FALSE()),"UNMAPPED"))</f>
        <v>Kisumu</v>
      </c>
      <c r="D496" s="36" t="str">
        <f aca="false">IF(Raw_Export!$A496="","",IFERROR(VLOOKUP(LOWER(TRIM(Raw_Export!D496)),Maps!$G$2:$I$80,2,FALSE()),"UNMAPPED"))</f>
        <v>Juice 1L</v>
      </c>
      <c r="E496" s="36" t="str">
        <f aca="false">IF(Raw_Export!$A496="","",IFERROR(VLOOKUP(LOWER(TRIM(Raw_Export!D496)),Maps!$G$2:$I$80,3,FALSE()),"UNMAPPED"))</f>
        <v>Beverages</v>
      </c>
      <c r="F496" s="36" t="n">
        <f aca="false">IF(Raw_Export!$A496="","",IFERROR(VALUE(TRIM(Raw_Export!E496)),0))</f>
        <v>6</v>
      </c>
      <c r="G496" s="38" t="n">
        <f aca="false">IF(Raw_Export!$A496="","",IFERROR(VALUE(SUBSTITUTE(SUBSTITUTE(UPPER(TRIM(Raw_Export!F496)),"KES",""),",","")),0))</f>
        <v>210</v>
      </c>
      <c r="H496" s="38" t="n">
        <f aca="false">IF(Raw_Export!$A496="","",F496*G496)</f>
        <v>1260</v>
      </c>
      <c r="I496" s="36" t="str">
        <f aca="false">IF(Raw_Export!$A496="","",IFERROR(VLOOKUP(LOWER(TRIM(Raw_Export!H496)),Maps!$D$2:$E$12,2,FALSE()),"Other"))</f>
        <v>Cash</v>
      </c>
      <c r="J496" s="36" t="str">
        <f aca="false">IF(Raw_Export!$A496="","",IF(COUNTIF($A$2:A496,A496)&gt;1,"Duplicate",""))</f>
        <v/>
      </c>
      <c r="K496" s="36" t="str">
        <f aca="false">IF(Raw_Export!$A496="","",IF(J496="Duplicate","Duplicate",IF(OR(C496="UNMAPPED",D496="UNMAPPED"),"Unmapped",IF(F496=0,"Blank qty",IF(F496&lt;0,"Return","OK")))))</f>
        <v>OK</v>
      </c>
      <c r="L496" s="36" t="n">
        <f aca="false">IF(Raw_Export!$A496="","",IF(OR(K496="OK",K496="Return"),1,0))</f>
        <v>1</v>
      </c>
      <c r="M496" s="37" t="n">
        <f aca="false">IF(Raw_Export!$A496="","",B496-WEEKDAY(B496,2)+1)</f>
        <v>46265</v>
      </c>
    </row>
    <row r="497" customFormat="false" ht="15" hidden="false" customHeight="false" outlineLevel="0" collapsed="false">
      <c r="A497" s="36" t="str">
        <f aca="false">IF(Raw_Export!$A497="","",TRIM(Raw_Export!A497))</f>
        <v>TXN-100485</v>
      </c>
      <c r="B497" s="37" t="n">
        <f aca="false">IF(Raw_Export!$A497="","",IF(ISNUMBER(Raw_Export!B497),Raw_Export!B497,IF(MID(TRIM(Raw_Export!B497),5,1)="-",DATE(LEFT(TRIM(Raw_Export!B497),4),MID(TRIM(Raw_Export!B497),6,2),RIGHT(TRIM(Raw_Export!B497),2)),DATE(RIGHT(TRIM(Raw_Export!B497),4),MATCH(MID(TRIM(Raw_Export!B497),4,3),{"Jan","Feb","Mar","Apr","May","Jun","Jul","Aug","Sep","Oct","Nov","Dec"},0),LEFT(TRIM(Raw_Export!B497),2)))))</f>
        <v>46268</v>
      </c>
      <c r="C497" s="36" t="str">
        <f aca="false">IF(Raw_Export!$A497="","",IFERROR(VLOOKUP(LOWER(TRIM(Raw_Export!C497)),Maps!$A$2:$B$20,2,FALSE()),"UNMAPPED"))</f>
        <v>Kisumu</v>
      </c>
      <c r="D497" s="36" t="str">
        <f aca="false">IF(Raw_Export!$A497="","",IFERROR(VLOOKUP(LOWER(TRIM(Raw_Export!D497)),Maps!$G$2:$I$80,2,FALSE()),"UNMAPPED"))</f>
        <v>Toilet Paper 10pk</v>
      </c>
      <c r="E497" s="36" t="str">
        <f aca="false">IF(Raw_Export!$A497="","",IFERROR(VLOOKUP(LOWER(TRIM(Raw_Export!D497)),Maps!$G$2:$I$80,3,FALSE()),"UNMAPPED"))</f>
        <v>Household</v>
      </c>
      <c r="F497" s="36" t="n">
        <f aca="false">IF(Raw_Export!$A497="","",IFERROR(VALUE(TRIM(Raw_Export!E497)),0))</f>
        <v>6</v>
      </c>
      <c r="G497" s="38" t="n">
        <f aca="false">IF(Raw_Export!$A497="","",IFERROR(VALUE(SUBSTITUTE(SUBSTITUTE(UPPER(TRIM(Raw_Export!F497)),"KES",""),",","")),0))</f>
        <v>380</v>
      </c>
      <c r="H497" s="38" t="n">
        <f aca="false">IF(Raw_Export!$A497="","",F497*G497)</f>
        <v>2280</v>
      </c>
      <c r="I497" s="36" t="str">
        <f aca="false">IF(Raw_Export!$A497="","",IFERROR(VLOOKUP(LOWER(TRIM(Raw_Export!H497)),Maps!$D$2:$E$12,2,FALSE()),"Other"))</f>
        <v>M-Pesa</v>
      </c>
      <c r="J497" s="36" t="str">
        <f aca="false">IF(Raw_Export!$A497="","",IF(COUNTIF($A$2:A497,A497)&gt;1,"Duplicate",""))</f>
        <v/>
      </c>
      <c r="K497" s="36" t="str">
        <f aca="false">IF(Raw_Export!$A497="","",IF(J497="Duplicate","Duplicate",IF(OR(C497="UNMAPPED",D497="UNMAPPED"),"Unmapped",IF(F497=0,"Blank qty",IF(F497&lt;0,"Return","OK")))))</f>
        <v>OK</v>
      </c>
      <c r="L497" s="36" t="n">
        <f aca="false">IF(Raw_Export!$A497="","",IF(OR(K497="OK",K497="Return"),1,0))</f>
        <v>1</v>
      </c>
      <c r="M497" s="37" t="n">
        <f aca="false">IF(Raw_Export!$A497="","",B497-WEEKDAY(B497,2)+1)</f>
        <v>46265</v>
      </c>
    </row>
    <row r="498" customFormat="false" ht="15" hidden="false" customHeight="false" outlineLevel="0" collapsed="false">
      <c r="A498" s="36" t="str">
        <f aca="false">IF(Raw_Export!$A498="","",TRIM(Raw_Export!A498))</f>
        <v>TXN-100486</v>
      </c>
      <c r="B498" s="37" t="n">
        <f aca="false">IF(Raw_Export!$A498="","",IF(ISNUMBER(Raw_Export!B498),Raw_Export!B498,IF(MID(TRIM(Raw_Export!B498),5,1)="-",DATE(LEFT(TRIM(Raw_Export!B498),4),MID(TRIM(Raw_Export!B498),6,2),RIGHT(TRIM(Raw_Export!B498),2)),DATE(RIGHT(TRIM(Raw_Export!B498),4),MATCH(MID(TRIM(Raw_Export!B498),4,3),{"Jan","Feb","Mar","Apr","May","Jun","Jul","Aug","Sep","Oct","Nov","Dec"},0),LEFT(TRIM(Raw_Export!B498),2)))))</f>
        <v>46268</v>
      </c>
      <c r="C498" s="36" t="str">
        <f aca="false">IF(Raw_Export!$A498="","",IFERROR(VLOOKUP(LOWER(TRIM(Raw_Export!C498)),Maps!$A$2:$B$20,2,FALSE()),"UNMAPPED"))</f>
        <v>Kisumu</v>
      </c>
      <c r="D498" s="36" t="str">
        <f aca="false">IF(Raw_Export!$A498="","",IFERROR(VLOOKUP(LOWER(TRIM(Raw_Export!D498)),Maps!$G$2:$I$80,2,FALSE()),"UNMAPPED"))</f>
        <v>Sanitary Pads 8pk</v>
      </c>
      <c r="E498" s="36" t="str">
        <f aca="false">IF(Raw_Export!$A498="","",IFERROR(VLOOKUP(LOWER(TRIM(Raw_Export!D498)),Maps!$G$2:$I$80,3,FALSE()),"UNMAPPED"))</f>
        <v>Personal Care</v>
      </c>
      <c r="F498" s="36" t="n">
        <f aca="false">IF(Raw_Export!$A498="","",IFERROR(VALUE(TRIM(Raw_Export!E498)),0))</f>
        <v>2</v>
      </c>
      <c r="G498" s="38" t="n">
        <f aca="false">IF(Raw_Export!$A498="","",IFERROR(VALUE(SUBSTITUTE(SUBSTITUTE(UPPER(TRIM(Raw_Export!F498)),"KES",""),",","")),0))</f>
        <v>130</v>
      </c>
      <c r="H498" s="38" t="n">
        <f aca="false">IF(Raw_Export!$A498="","",F498*G498)</f>
        <v>260</v>
      </c>
      <c r="I498" s="36" t="str">
        <f aca="false">IF(Raw_Export!$A498="","",IFERROR(VLOOKUP(LOWER(TRIM(Raw_Export!H498)),Maps!$D$2:$E$12,2,FALSE()),"Other"))</f>
        <v>M-Pesa</v>
      </c>
      <c r="J498" s="36" t="str">
        <f aca="false">IF(Raw_Export!$A498="","",IF(COUNTIF($A$2:A498,A498)&gt;1,"Duplicate",""))</f>
        <v/>
      </c>
      <c r="K498" s="36" t="str">
        <f aca="false">IF(Raw_Export!$A498="","",IF(J498="Duplicate","Duplicate",IF(OR(C498="UNMAPPED",D498="UNMAPPED"),"Unmapped",IF(F498=0,"Blank qty",IF(F498&lt;0,"Return","OK")))))</f>
        <v>OK</v>
      </c>
      <c r="L498" s="36" t="n">
        <f aca="false">IF(Raw_Export!$A498="","",IF(OR(K498="OK",K498="Return"),1,0))</f>
        <v>1</v>
      </c>
      <c r="M498" s="37" t="n">
        <f aca="false">IF(Raw_Export!$A498="","",B498-WEEKDAY(B498,2)+1)</f>
        <v>46265</v>
      </c>
    </row>
    <row r="499" customFormat="false" ht="15" hidden="false" customHeight="false" outlineLevel="0" collapsed="false">
      <c r="A499" s="36" t="str">
        <f aca="false">IF(Raw_Export!$A499="","",TRIM(Raw_Export!A499))</f>
        <v>TXN-100487</v>
      </c>
      <c r="B499" s="37" t="n">
        <f aca="false">IF(Raw_Export!$A499="","",IF(ISNUMBER(Raw_Export!B499),Raw_Export!B499,IF(MID(TRIM(Raw_Export!B499),5,1)="-",DATE(LEFT(TRIM(Raw_Export!B499),4),MID(TRIM(Raw_Export!B499),6,2),RIGHT(TRIM(Raw_Export!B499),2)),DATE(RIGHT(TRIM(Raw_Export!B499),4),MATCH(MID(TRIM(Raw_Export!B499),4,3),{"Jan","Feb","Mar","Apr","May","Jun","Jul","Aug","Sep","Oct","Nov","Dec"},0),LEFT(TRIM(Raw_Export!B499),2)))))</f>
        <v>46268</v>
      </c>
      <c r="C499" s="36" t="str">
        <f aca="false">IF(Raw_Export!$A499="","",IFERROR(VLOOKUP(LOWER(TRIM(Raw_Export!C499)),Maps!$A$2:$B$20,2,FALSE()),"UNMAPPED"))</f>
        <v>Kisumu</v>
      </c>
      <c r="D499" s="36" t="str">
        <f aca="false">IF(Raw_Export!$A499="","",IFERROR(VLOOKUP(LOWER(TRIM(Raw_Export!D499)),Maps!$G$2:$I$80,2,FALSE()),"UNMAPPED"))</f>
        <v>Sugar 2kg</v>
      </c>
      <c r="E499" s="36" t="str">
        <f aca="false">IF(Raw_Export!$A499="","",IFERROR(VLOOKUP(LOWER(TRIM(Raw_Export!D499)),Maps!$G$2:$I$80,3,FALSE()),"UNMAPPED"))</f>
        <v>Staples</v>
      </c>
      <c r="F499" s="36" t="n">
        <f aca="false">IF(Raw_Export!$A499="","",IFERROR(VALUE(TRIM(Raw_Export!E499)),0))</f>
        <v>3</v>
      </c>
      <c r="G499" s="38" t="n">
        <f aca="false">IF(Raw_Export!$A499="","",IFERROR(VALUE(SUBSTITUTE(SUBSTITUTE(UPPER(TRIM(Raw_Export!F499)),"KES",""),",","")),0))</f>
        <v>330</v>
      </c>
      <c r="H499" s="38" t="n">
        <f aca="false">IF(Raw_Export!$A499="","",F499*G499)</f>
        <v>990</v>
      </c>
      <c r="I499" s="36" t="str">
        <f aca="false">IF(Raw_Export!$A499="","",IFERROR(VLOOKUP(LOWER(TRIM(Raw_Export!H499)),Maps!$D$2:$E$12,2,FALSE()),"Other"))</f>
        <v>Cash</v>
      </c>
      <c r="J499" s="36" t="str">
        <f aca="false">IF(Raw_Export!$A499="","",IF(COUNTIF($A$2:A499,A499)&gt;1,"Duplicate",""))</f>
        <v/>
      </c>
      <c r="K499" s="36" t="str">
        <f aca="false">IF(Raw_Export!$A499="","",IF(J499="Duplicate","Duplicate",IF(OR(C499="UNMAPPED",D499="UNMAPPED"),"Unmapped",IF(F499=0,"Blank qty",IF(F499&lt;0,"Return","OK")))))</f>
        <v>OK</v>
      </c>
      <c r="L499" s="36" t="n">
        <f aca="false">IF(Raw_Export!$A499="","",IF(OR(K499="OK",K499="Return"),1,0))</f>
        <v>1</v>
      </c>
      <c r="M499" s="37" t="n">
        <f aca="false">IF(Raw_Export!$A499="","",B499-WEEKDAY(B499,2)+1)</f>
        <v>46265</v>
      </c>
    </row>
    <row r="500" customFormat="false" ht="15" hidden="false" customHeight="false" outlineLevel="0" collapsed="false">
      <c r="A500" s="36" t="str">
        <f aca="false">IF(Raw_Export!$A500="","",TRIM(Raw_Export!A500))</f>
        <v>TXN-100488</v>
      </c>
      <c r="B500" s="37" t="n">
        <f aca="false">IF(Raw_Export!$A500="","",IF(ISNUMBER(Raw_Export!B500),Raw_Export!B500,IF(MID(TRIM(Raw_Export!B500),5,1)="-",DATE(LEFT(TRIM(Raw_Export!B500),4),MID(TRIM(Raw_Export!B500),6,2),RIGHT(TRIM(Raw_Export!B500),2)),DATE(RIGHT(TRIM(Raw_Export!B500),4),MATCH(MID(TRIM(Raw_Export!B500),4,3),{"Jan","Feb","Mar","Apr","May","Jun","Jul","Aug","Sep","Oct","Nov","Dec"},0),LEFT(TRIM(Raw_Export!B500),2)))))</f>
        <v>46268</v>
      </c>
      <c r="C500" s="36" t="str">
        <f aca="false">IF(Raw_Export!$A500="","",IFERROR(VLOOKUP(LOWER(TRIM(Raw_Export!C500)),Maps!$A$2:$B$20,2,FALSE()),"UNMAPPED"))</f>
        <v>Kisumu</v>
      </c>
      <c r="D500" s="36" t="str">
        <f aca="false">IF(Raw_Export!$A500="","",IFERROR(VLOOKUP(LOWER(TRIM(Raw_Export!D500)),Maps!$G$2:$I$80,2,FALSE()),"UNMAPPED"))</f>
        <v>Washing Powder 1kg</v>
      </c>
      <c r="E500" s="36" t="str">
        <f aca="false">IF(Raw_Export!$A500="","",IFERROR(VLOOKUP(LOWER(TRIM(Raw_Export!D500)),Maps!$G$2:$I$80,3,FALSE()),"UNMAPPED"))</f>
        <v>Household</v>
      </c>
      <c r="F500" s="36" t="n">
        <f aca="false">IF(Raw_Export!$A500="","",IFERROR(VALUE(TRIM(Raw_Export!E500)),0))</f>
        <v>3</v>
      </c>
      <c r="G500" s="38" t="n">
        <f aca="false">IF(Raw_Export!$A500="","",IFERROR(VALUE(SUBSTITUTE(SUBSTITUTE(UPPER(TRIM(Raw_Export!F500)),"KES",""),",","")),0))</f>
        <v>280</v>
      </c>
      <c r="H500" s="38" t="n">
        <f aca="false">IF(Raw_Export!$A500="","",F500*G500)</f>
        <v>840</v>
      </c>
      <c r="I500" s="36" t="str">
        <f aca="false">IF(Raw_Export!$A500="","",IFERROR(VLOOKUP(LOWER(TRIM(Raw_Export!H500)),Maps!$D$2:$E$12,2,FALSE()),"Other"))</f>
        <v>Cash</v>
      </c>
      <c r="J500" s="36" t="str">
        <f aca="false">IF(Raw_Export!$A500="","",IF(COUNTIF($A$2:A500,A500)&gt;1,"Duplicate",""))</f>
        <v/>
      </c>
      <c r="K500" s="36" t="str">
        <f aca="false">IF(Raw_Export!$A500="","",IF(J500="Duplicate","Duplicate",IF(OR(C500="UNMAPPED",D500="UNMAPPED"),"Unmapped",IF(F500=0,"Blank qty",IF(F500&lt;0,"Return","OK")))))</f>
        <v>OK</v>
      </c>
      <c r="L500" s="36" t="n">
        <f aca="false">IF(Raw_Export!$A500="","",IF(OR(K500="OK",K500="Return"),1,0))</f>
        <v>1</v>
      </c>
      <c r="M500" s="37" t="n">
        <f aca="false">IF(Raw_Export!$A500="","",B500-WEEKDAY(B500,2)+1)</f>
        <v>46265</v>
      </c>
    </row>
    <row r="501" customFormat="false" ht="15" hidden="false" customHeight="false" outlineLevel="0" collapsed="false">
      <c r="A501" s="36" t="str">
        <f aca="false">IF(Raw_Export!$A501="","",TRIM(Raw_Export!A501))</f>
        <v>TXN-100489</v>
      </c>
      <c r="B501" s="37" t="n">
        <f aca="false">IF(Raw_Export!$A501="","",IF(ISNUMBER(Raw_Export!B501),Raw_Export!B501,IF(MID(TRIM(Raw_Export!B501),5,1)="-",DATE(LEFT(TRIM(Raw_Export!B501),4),MID(TRIM(Raw_Export!B501),6,2),RIGHT(TRIM(Raw_Export!B501),2)),DATE(RIGHT(TRIM(Raw_Export!B501),4),MATCH(MID(TRIM(Raw_Export!B501),4,3),{"Jan","Feb","Mar","Apr","May","Jun","Jul","Aug","Sep","Oct","Nov","Dec"},0),LEFT(TRIM(Raw_Export!B501),2)))))</f>
        <v>46268</v>
      </c>
      <c r="C501" s="36" t="str">
        <f aca="false">IF(Raw_Export!$A501="","",IFERROR(VLOOKUP(LOWER(TRIM(Raw_Export!C501)),Maps!$A$2:$B$20,2,FALSE()),"UNMAPPED"))</f>
        <v>Kisumu</v>
      </c>
      <c r="D501" s="36" t="str">
        <f aca="false">IF(Raw_Export!$A501="","",IFERROR(VLOOKUP(LOWER(TRIM(Raw_Export!D501)),Maps!$G$2:$I$80,2,FALSE()),"UNMAPPED"))</f>
        <v>Spaghetti 400g</v>
      </c>
      <c r="E501" s="36" t="str">
        <f aca="false">IF(Raw_Export!$A501="","",IFERROR(VLOOKUP(LOWER(TRIM(Raw_Export!D501)),Maps!$G$2:$I$80,3,FALSE()),"UNMAPPED"))</f>
        <v>Staples</v>
      </c>
      <c r="F501" s="36" t="n">
        <f aca="false">IF(Raw_Export!$A501="","",IFERROR(VALUE(TRIM(Raw_Export!E501)),0))</f>
        <v>6</v>
      </c>
      <c r="G501" s="38" t="n">
        <f aca="false">IF(Raw_Export!$A501="","",IFERROR(VALUE(SUBSTITUTE(SUBSTITUTE(UPPER(TRIM(Raw_Export!F501)),"KES",""),",","")),0))</f>
        <v>110</v>
      </c>
      <c r="H501" s="38" t="n">
        <f aca="false">IF(Raw_Export!$A501="","",F501*G501)</f>
        <v>660</v>
      </c>
      <c r="I501" s="36" t="str">
        <f aca="false">IF(Raw_Export!$A501="","",IFERROR(VLOOKUP(LOWER(TRIM(Raw_Export!H501)),Maps!$D$2:$E$12,2,FALSE()),"Other"))</f>
        <v>M-Pesa</v>
      </c>
      <c r="J501" s="36" t="str">
        <f aca="false">IF(Raw_Export!$A501="","",IF(COUNTIF($A$2:A501,A501)&gt;1,"Duplicate",""))</f>
        <v/>
      </c>
      <c r="K501" s="36" t="str">
        <f aca="false">IF(Raw_Export!$A501="","",IF(J501="Duplicate","Duplicate",IF(OR(C501="UNMAPPED",D501="UNMAPPED"),"Unmapped",IF(F501=0,"Blank qty",IF(F501&lt;0,"Return","OK")))))</f>
        <v>OK</v>
      </c>
      <c r="L501" s="36" t="n">
        <f aca="false">IF(Raw_Export!$A501="","",IF(OR(K501="OK",K501="Return"),1,0))</f>
        <v>1</v>
      </c>
      <c r="M501" s="37" t="n">
        <f aca="false">IF(Raw_Export!$A501="","",B501-WEEKDAY(B501,2)+1)</f>
        <v>46265</v>
      </c>
    </row>
    <row r="502" customFormat="false" ht="15" hidden="false" customHeight="false" outlineLevel="0" collapsed="false">
      <c r="A502" s="36" t="str">
        <f aca="false">IF(Raw_Export!$A502="","",TRIM(Raw_Export!A502))</f>
        <v>TXN-100490</v>
      </c>
      <c r="B502" s="37" t="n">
        <f aca="false">IF(Raw_Export!$A502="","",IF(ISNUMBER(Raw_Export!B502),Raw_Export!B502,IF(MID(TRIM(Raw_Export!B502),5,1)="-",DATE(LEFT(TRIM(Raw_Export!B502),4),MID(TRIM(Raw_Export!B502),6,2),RIGHT(TRIM(Raw_Export!B502),2)),DATE(RIGHT(TRIM(Raw_Export!B502),4),MATCH(MID(TRIM(Raw_Export!B502),4,3),{"Jan","Feb","Mar","Apr","May","Jun","Jul","Aug","Sep","Oct","Nov","Dec"},0),LEFT(TRIM(Raw_Export!B502),2)))))</f>
        <v>46268</v>
      </c>
      <c r="C502" s="36" t="str">
        <f aca="false">IF(Raw_Export!$A502="","",IFERROR(VLOOKUP(LOWER(TRIM(Raw_Export!C502)),Maps!$A$2:$B$20,2,FALSE()),"UNMAPPED"))</f>
        <v>Kisumu</v>
      </c>
      <c r="D502" s="36" t="str">
        <f aca="false">IF(Raw_Export!$A502="","",IFERROR(VLOOKUP(LOWER(TRIM(Raw_Export!D502)),Maps!$G$2:$I$80,2,FALSE()),"UNMAPPED"))</f>
        <v>Bath Soap 175g</v>
      </c>
      <c r="E502" s="36" t="str">
        <f aca="false">IF(Raw_Export!$A502="","",IFERROR(VLOOKUP(LOWER(TRIM(Raw_Export!D502)),Maps!$G$2:$I$80,3,FALSE()),"UNMAPPED"))</f>
        <v>Personal Care</v>
      </c>
      <c r="F502" s="36" t="n">
        <f aca="false">IF(Raw_Export!$A502="","",IFERROR(VALUE(TRIM(Raw_Export!E502)),0))</f>
        <v>3</v>
      </c>
      <c r="G502" s="38" t="n">
        <f aca="false">IF(Raw_Export!$A502="","",IFERROR(VALUE(SUBSTITUTE(SUBSTITUTE(UPPER(TRIM(Raw_Export!F502)),"KES",""),",","")),0))</f>
        <v>85</v>
      </c>
      <c r="H502" s="38" t="n">
        <f aca="false">IF(Raw_Export!$A502="","",F502*G502)</f>
        <v>255</v>
      </c>
      <c r="I502" s="36" t="str">
        <f aca="false">IF(Raw_Export!$A502="","",IFERROR(VLOOKUP(LOWER(TRIM(Raw_Export!H502)),Maps!$D$2:$E$12,2,FALSE()),"Other"))</f>
        <v>Card</v>
      </c>
      <c r="J502" s="36" t="str">
        <f aca="false">IF(Raw_Export!$A502="","",IF(COUNTIF($A$2:A502,A502)&gt;1,"Duplicate",""))</f>
        <v/>
      </c>
      <c r="K502" s="36" t="str">
        <f aca="false">IF(Raw_Export!$A502="","",IF(J502="Duplicate","Duplicate",IF(OR(C502="UNMAPPED",D502="UNMAPPED"),"Unmapped",IF(F502=0,"Blank qty",IF(F502&lt;0,"Return","OK")))))</f>
        <v>OK</v>
      </c>
      <c r="L502" s="36" t="n">
        <f aca="false">IF(Raw_Export!$A502="","",IF(OR(K502="OK",K502="Return"),1,0))</f>
        <v>1</v>
      </c>
      <c r="M502" s="37" t="n">
        <f aca="false">IF(Raw_Export!$A502="","",B502-WEEKDAY(B502,2)+1)</f>
        <v>46265</v>
      </c>
    </row>
    <row r="503" customFormat="false" ht="15" hidden="false" customHeight="false" outlineLevel="0" collapsed="false">
      <c r="A503" s="36" t="str">
        <f aca="false">IF(Raw_Export!$A503="","",TRIM(Raw_Export!A503))</f>
        <v>TXN-100491</v>
      </c>
      <c r="B503" s="37" t="n">
        <f aca="false">IF(Raw_Export!$A503="","",IF(ISNUMBER(Raw_Export!B503),Raw_Export!B503,IF(MID(TRIM(Raw_Export!B503),5,1)="-",DATE(LEFT(TRIM(Raw_Export!B503),4),MID(TRIM(Raw_Export!B503),6,2),RIGHT(TRIM(Raw_Export!B503),2)),DATE(RIGHT(TRIM(Raw_Export!B503),4),MATCH(MID(TRIM(Raw_Export!B503),4,3),{"Jan","Feb","Mar","Apr","May","Jun","Jul","Aug","Sep","Oct","Nov","Dec"},0),LEFT(TRIM(Raw_Export!B503),2)))))</f>
        <v>46268</v>
      </c>
      <c r="C503" s="36" t="str">
        <f aca="false">IF(Raw_Export!$A503="","",IFERROR(VLOOKUP(LOWER(TRIM(Raw_Export!C503)),Maps!$A$2:$B$20,2,FALSE()),"UNMAPPED"))</f>
        <v>Kisumu</v>
      </c>
      <c r="D503" s="36" t="str">
        <f aca="false">IF(Raw_Export!$A503="","",IFERROR(VLOOKUP(LOWER(TRIM(Raw_Export!D503)),Maps!$G$2:$I$80,2,FALSE()),"UNMAPPED"))</f>
        <v>Salt 500g</v>
      </c>
      <c r="E503" s="36" t="str">
        <f aca="false">IF(Raw_Export!$A503="","",IFERROR(VLOOKUP(LOWER(TRIM(Raw_Export!D503)),Maps!$G$2:$I$80,3,FALSE()),"UNMAPPED"))</f>
        <v>Staples</v>
      </c>
      <c r="F503" s="36" t="n">
        <f aca="false">IF(Raw_Export!$A503="","",IFERROR(VALUE(TRIM(Raw_Export!E503)),0))</f>
        <v>2</v>
      </c>
      <c r="G503" s="38" t="n">
        <f aca="false">IF(Raw_Export!$A503="","",IFERROR(VALUE(SUBSTITUTE(SUBSTITUTE(UPPER(TRIM(Raw_Export!F503)),"KES",""),",","")),0))</f>
        <v>40</v>
      </c>
      <c r="H503" s="38" t="n">
        <f aca="false">IF(Raw_Export!$A503="","",F503*G503)</f>
        <v>80</v>
      </c>
      <c r="I503" s="36" t="str">
        <f aca="false">IF(Raw_Export!$A503="","",IFERROR(VLOOKUP(LOWER(TRIM(Raw_Export!H503)),Maps!$D$2:$E$12,2,FALSE()),"Other"))</f>
        <v>M-Pesa</v>
      </c>
      <c r="J503" s="36" t="str">
        <f aca="false">IF(Raw_Export!$A503="","",IF(COUNTIF($A$2:A503,A503)&gt;1,"Duplicate",""))</f>
        <v>Duplicate</v>
      </c>
      <c r="K503" s="36" t="str">
        <f aca="false">IF(Raw_Export!$A503="","",IF(J503="Duplicate","Duplicate",IF(OR(C503="UNMAPPED",D503="UNMAPPED"),"Unmapped",IF(F503=0,"Blank qty",IF(F503&lt;0,"Return","OK")))))</f>
        <v>Duplicate</v>
      </c>
      <c r="L503" s="36" t="n">
        <f aca="false">IF(Raw_Export!$A503="","",IF(OR(K503="OK",K503="Return"),1,0))</f>
        <v>0</v>
      </c>
      <c r="M503" s="37" t="n">
        <f aca="false">IF(Raw_Export!$A503="","",B503-WEEKDAY(B503,2)+1)</f>
        <v>46265</v>
      </c>
    </row>
    <row r="504" customFormat="false" ht="15" hidden="false" customHeight="false" outlineLevel="0" collapsed="false">
      <c r="A504" s="36" t="str">
        <f aca="false">IF(Raw_Export!$A504="","",TRIM(Raw_Export!A504))</f>
        <v>TXN-100492</v>
      </c>
      <c r="B504" s="37" t="n">
        <f aca="false">IF(Raw_Export!$A504="","",IF(ISNUMBER(Raw_Export!B504),Raw_Export!B504,IF(MID(TRIM(Raw_Export!B504),5,1)="-",DATE(LEFT(TRIM(Raw_Export!B504),4),MID(TRIM(Raw_Export!B504),6,2),RIGHT(TRIM(Raw_Export!B504),2)),DATE(RIGHT(TRIM(Raw_Export!B504),4),MATCH(MID(TRIM(Raw_Export!B504),4,3),{"Jan","Feb","Mar","Apr","May","Jun","Jul","Aug","Sep","Oct","Nov","Dec"},0),LEFT(TRIM(Raw_Export!B504),2)))))</f>
        <v>46268</v>
      </c>
      <c r="C504" s="36" t="str">
        <f aca="false">IF(Raw_Export!$A504="","",IFERROR(VLOOKUP(LOWER(TRIM(Raw_Export!C504)),Maps!$A$2:$B$20,2,FALSE()),"UNMAPPED"))</f>
        <v>Kisumu</v>
      </c>
      <c r="D504" s="36" t="str">
        <f aca="false">IF(Raw_Export!$A504="","",IFERROR(VLOOKUP(LOWER(TRIM(Raw_Export!D504)),Maps!$G$2:$I$80,2,FALSE()),"UNMAPPED"))</f>
        <v>Rice Pishori 2kg</v>
      </c>
      <c r="E504" s="36" t="str">
        <f aca="false">IF(Raw_Export!$A504="","",IFERROR(VLOOKUP(LOWER(TRIM(Raw_Export!D504)),Maps!$G$2:$I$80,3,FALSE()),"UNMAPPED"))</f>
        <v>Staples</v>
      </c>
      <c r="F504" s="36" t="n">
        <f aca="false">IF(Raw_Export!$A504="","",IFERROR(VALUE(TRIM(Raw_Export!E504)),0))</f>
        <v>1</v>
      </c>
      <c r="G504" s="38" t="n">
        <f aca="false">IF(Raw_Export!$A504="","",IFERROR(VALUE(SUBSTITUTE(SUBSTITUTE(UPPER(TRIM(Raw_Export!F504)),"KES",""),",","")),0))</f>
        <v>420</v>
      </c>
      <c r="H504" s="38" t="n">
        <f aca="false">IF(Raw_Export!$A504="","",F504*G504)</f>
        <v>420</v>
      </c>
      <c r="I504" s="36" t="str">
        <f aca="false">IF(Raw_Export!$A504="","",IFERROR(VLOOKUP(LOWER(TRIM(Raw_Export!H504)),Maps!$D$2:$E$12,2,FALSE()),"Other"))</f>
        <v>Cash</v>
      </c>
      <c r="J504" s="36" t="str">
        <f aca="false">IF(Raw_Export!$A504="","",IF(COUNTIF($A$2:A504,A504)&gt;1,"Duplicate",""))</f>
        <v/>
      </c>
      <c r="K504" s="36" t="str">
        <f aca="false">IF(Raw_Export!$A504="","",IF(J504="Duplicate","Duplicate",IF(OR(C504="UNMAPPED",D504="UNMAPPED"),"Unmapped",IF(F504=0,"Blank qty",IF(F504&lt;0,"Return","OK")))))</f>
        <v>OK</v>
      </c>
      <c r="L504" s="36" t="n">
        <f aca="false">IF(Raw_Export!$A504="","",IF(OR(K504="OK",K504="Return"),1,0))</f>
        <v>1</v>
      </c>
      <c r="M504" s="37" t="n">
        <f aca="false">IF(Raw_Export!$A504="","",B504-WEEKDAY(B504,2)+1)</f>
        <v>46265</v>
      </c>
    </row>
    <row r="505" customFormat="false" ht="15" hidden="false" customHeight="false" outlineLevel="0" collapsed="false">
      <c r="A505" s="36" t="str">
        <f aca="false">IF(Raw_Export!$A505="","",TRIM(Raw_Export!A505))</f>
        <v>TXN-100493</v>
      </c>
      <c r="B505" s="37" t="n">
        <f aca="false">IF(Raw_Export!$A505="","",IF(ISNUMBER(Raw_Export!B505),Raw_Export!B505,IF(MID(TRIM(Raw_Export!B505),5,1)="-",DATE(LEFT(TRIM(Raw_Export!B505),4),MID(TRIM(Raw_Export!B505),6,2),RIGHT(TRIM(Raw_Export!B505),2)),DATE(RIGHT(TRIM(Raw_Export!B505),4),MATCH(MID(TRIM(Raw_Export!B505),4,3),{"Jan","Feb","Mar","Apr","May","Jun","Jul","Aug","Sep","Oct","Nov","Dec"},0),LEFT(TRIM(Raw_Export!B505),2)))))</f>
        <v>46268</v>
      </c>
      <c r="C505" s="36" t="str">
        <f aca="false">IF(Raw_Export!$A505="","",IFERROR(VLOOKUP(LOWER(TRIM(Raw_Export!C505)),Maps!$A$2:$B$20,2,FALSE()),"UNMAPPED"))</f>
        <v>Kisumu</v>
      </c>
      <c r="D505" s="36" t="str">
        <f aca="false">IF(Raw_Export!$A505="","",IFERROR(VLOOKUP(LOWER(TRIM(Raw_Export!D505)),Maps!$G$2:$I$80,2,FALSE()),"UNMAPPED"))</f>
        <v>Dish Soap 750ml</v>
      </c>
      <c r="E505" s="36" t="str">
        <f aca="false">IF(Raw_Export!$A505="","",IFERROR(VLOOKUP(LOWER(TRIM(Raw_Export!D505)),Maps!$G$2:$I$80,3,FALSE()),"UNMAPPED"))</f>
        <v>Household</v>
      </c>
      <c r="F505" s="36" t="n">
        <f aca="false">IF(Raw_Export!$A505="","",IFERROR(VALUE(TRIM(Raw_Export!E505)),0))</f>
        <v>4</v>
      </c>
      <c r="G505" s="38" t="n">
        <f aca="false">IF(Raw_Export!$A505="","",IFERROR(VALUE(SUBSTITUTE(SUBSTITUTE(UPPER(TRIM(Raw_Export!F505)),"KES",""),",","")),0))</f>
        <v>190</v>
      </c>
      <c r="H505" s="38" t="n">
        <f aca="false">IF(Raw_Export!$A505="","",F505*G505)</f>
        <v>760</v>
      </c>
      <c r="I505" s="36" t="str">
        <f aca="false">IF(Raw_Export!$A505="","",IFERROR(VLOOKUP(LOWER(TRIM(Raw_Export!H505)),Maps!$D$2:$E$12,2,FALSE()),"Other"))</f>
        <v>Card</v>
      </c>
      <c r="J505" s="36" t="str">
        <f aca="false">IF(Raw_Export!$A505="","",IF(COUNTIF($A$2:A505,A505)&gt;1,"Duplicate",""))</f>
        <v/>
      </c>
      <c r="K505" s="36" t="str">
        <f aca="false">IF(Raw_Export!$A505="","",IF(J505="Duplicate","Duplicate",IF(OR(C505="UNMAPPED",D505="UNMAPPED"),"Unmapped",IF(F505=0,"Blank qty",IF(F505&lt;0,"Return","OK")))))</f>
        <v>OK</v>
      </c>
      <c r="L505" s="36" t="n">
        <f aca="false">IF(Raw_Export!$A505="","",IF(OR(K505="OK",K505="Return"),1,0))</f>
        <v>1</v>
      </c>
      <c r="M505" s="37" t="n">
        <f aca="false">IF(Raw_Export!$A505="","",B505-WEEKDAY(B505,2)+1)</f>
        <v>46265</v>
      </c>
    </row>
    <row r="506" customFormat="false" ht="15" hidden="false" customHeight="false" outlineLevel="0" collapsed="false">
      <c r="A506" s="36" t="str">
        <f aca="false">IF(Raw_Export!$A506="","",TRIM(Raw_Export!A506))</f>
        <v>TXN-100494</v>
      </c>
      <c r="B506" s="37" t="n">
        <f aca="false">IF(Raw_Export!$A506="","",IF(ISNUMBER(Raw_Export!B506),Raw_Export!B506,IF(MID(TRIM(Raw_Export!B506),5,1)="-",DATE(LEFT(TRIM(Raw_Export!B506),4),MID(TRIM(Raw_Export!B506),6,2),RIGHT(TRIM(Raw_Export!B506),2)),DATE(RIGHT(TRIM(Raw_Export!B506),4),MATCH(MID(TRIM(Raw_Export!B506),4,3),{"Jan","Feb","Mar","Apr","May","Jun","Jul","Aug","Sep","Oct","Nov","Dec"},0),LEFT(TRIM(Raw_Export!B506),2)))))</f>
        <v>46268</v>
      </c>
      <c r="C506" s="36" t="str">
        <f aca="false">IF(Raw_Export!$A506="","",IFERROR(VLOOKUP(LOWER(TRIM(Raw_Export!C506)),Maps!$A$2:$B$20,2,FALSE()),"UNMAPPED"))</f>
        <v>Nakuru</v>
      </c>
      <c r="D506" s="36" t="str">
        <f aca="false">IF(Raw_Export!$A506="","",IFERROR(VLOOKUP(LOWER(TRIM(Raw_Export!D506)),Maps!$G$2:$I$80,2,FALSE()),"UNMAPPED"))</f>
        <v>Toilet Paper 10pk</v>
      </c>
      <c r="E506" s="36" t="str">
        <f aca="false">IF(Raw_Export!$A506="","",IFERROR(VLOOKUP(LOWER(TRIM(Raw_Export!D506)),Maps!$G$2:$I$80,3,FALSE()),"UNMAPPED"))</f>
        <v>Household</v>
      </c>
      <c r="F506" s="36" t="n">
        <f aca="false">IF(Raw_Export!$A506="","",IFERROR(VALUE(TRIM(Raw_Export!E506)),0))</f>
        <v>4</v>
      </c>
      <c r="G506" s="38" t="n">
        <f aca="false">IF(Raw_Export!$A506="","",IFERROR(VALUE(SUBSTITUTE(SUBSTITUTE(UPPER(TRIM(Raw_Export!F506)),"KES",""),",","")),0))</f>
        <v>380</v>
      </c>
      <c r="H506" s="38" t="n">
        <f aca="false">IF(Raw_Export!$A506="","",F506*G506)</f>
        <v>1520</v>
      </c>
      <c r="I506" s="36" t="str">
        <f aca="false">IF(Raw_Export!$A506="","",IFERROR(VLOOKUP(LOWER(TRIM(Raw_Export!H506)),Maps!$D$2:$E$12,2,FALSE()),"Other"))</f>
        <v>Cash</v>
      </c>
      <c r="J506" s="36" t="str">
        <f aca="false">IF(Raw_Export!$A506="","",IF(COUNTIF($A$2:A506,A506)&gt;1,"Duplicate",""))</f>
        <v/>
      </c>
      <c r="K506" s="36" t="str">
        <f aca="false">IF(Raw_Export!$A506="","",IF(J506="Duplicate","Duplicate",IF(OR(C506="UNMAPPED",D506="UNMAPPED"),"Unmapped",IF(F506=0,"Blank qty",IF(F506&lt;0,"Return","OK")))))</f>
        <v>OK</v>
      </c>
      <c r="L506" s="36" t="n">
        <f aca="false">IF(Raw_Export!$A506="","",IF(OR(K506="OK",K506="Return"),1,0))</f>
        <v>1</v>
      </c>
      <c r="M506" s="37" t="n">
        <f aca="false">IF(Raw_Export!$A506="","",B506-WEEKDAY(B506,2)+1)</f>
        <v>46265</v>
      </c>
    </row>
    <row r="507" customFormat="false" ht="15" hidden="false" customHeight="false" outlineLevel="0" collapsed="false">
      <c r="A507" s="36" t="str">
        <f aca="false">IF(Raw_Export!$A507="","",TRIM(Raw_Export!A507))</f>
        <v>TXN-100495</v>
      </c>
      <c r="B507" s="37" t="n">
        <f aca="false">IF(Raw_Export!$A507="","",IF(ISNUMBER(Raw_Export!B507),Raw_Export!B507,IF(MID(TRIM(Raw_Export!B507),5,1)="-",DATE(LEFT(TRIM(Raw_Export!B507),4),MID(TRIM(Raw_Export!B507),6,2),RIGHT(TRIM(Raw_Export!B507),2)),DATE(RIGHT(TRIM(Raw_Export!B507),4),MATCH(MID(TRIM(Raw_Export!B507),4,3),{"Jan","Feb","Mar","Apr","May","Jun","Jul","Aug","Sep","Oct","Nov","Dec"},0),LEFT(TRIM(Raw_Export!B507),2)))))</f>
        <v>46268</v>
      </c>
      <c r="C507" s="36" t="str">
        <f aca="false">IF(Raw_Export!$A507="","",IFERROR(VLOOKUP(LOWER(TRIM(Raw_Export!C507)),Maps!$A$2:$B$20,2,FALSE()),"UNMAPPED"))</f>
        <v>Nakuru</v>
      </c>
      <c r="D507" s="36" t="str">
        <f aca="false">IF(Raw_Export!$A507="","",IFERROR(VLOOKUP(LOWER(TRIM(Raw_Export!D507)),Maps!$G$2:$I$80,2,FALSE()),"UNMAPPED"))</f>
        <v>Juice 1L</v>
      </c>
      <c r="E507" s="36" t="str">
        <f aca="false">IF(Raw_Export!$A507="","",IFERROR(VLOOKUP(LOWER(TRIM(Raw_Export!D507)),Maps!$G$2:$I$80,3,FALSE()),"UNMAPPED"))</f>
        <v>Beverages</v>
      </c>
      <c r="F507" s="36" t="n">
        <f aca="false">IF(Raw_Export!$A507="","",IFERROR(VALUE(TRIM(Raw_Export!E507)),0))</f>
        <v>6</v>
      </c>
      <c r="G507" s="38" t="n">
        <f aca="false">IF(Raw_Export!$A507="","",IFERROR(VALUE(SUBSTITUTE(SUBSTITUTE(UPPER(TRIM(Raw_Export!F507)),"KES",""),",","")),0))</f>
        <v>210</v>
      </c>
      <c r="H507" s="38" t="n">
        <f aca="false">IF(Raw_Export!$A507="","",F507*G507)</f>
        <v>1260</v>
      </c>
      <c r="I507" s="36" t="str">
        <f aca="false">IF(Raw_Export!$A507="","",IFERROR(VLOOKUP(LOWER(TRIM(Raw_Export!H507)),Maps!$D$2:$E$12,2,FALSE()),"Other"))</f>
        <v>Cash</v>
      </c>
      <c r="J507" s="36" t="str">
        <f aca="false">IF(Raw_Export!$A507="","",IF(COUNTIF($A$2:A507,A507)&gt;1,"Duplicate",""))</f>
        <v/>
      </c>
      <c r="K507" s="36" t="str">
        <f aca="false">IF(Raw_Export!$A507="","",IF(J507="Duplicate","Duplicate",IF(OR(C507="UNMAPPED",D507="UNMAPPED"),"Unmapped",IF(F507=0,"Blank qty",IF(F507&lt;0,"Return","OK")))))</f>
        <v>OK</v>
      </c>
      <c r="L507" s="36" t="n">
        <f aca="false">IF(Raw_Export!$A507="","",IF(OR(K507="OK",K507="Return"),1,0))</f>
        <v>1</v>
      </c>
      <c r="M507" s="37" t="n">
        <f aca="false">IF(Raw_Export!$A507="","",B507-WEEKDAY(B507,2)+1)</f>
        <v>46265</v>
      </c>
    </row>
    <row r="508" customFormat="false" ht="15" hidden="false" customHeight="false" outlineLevel="0" collapsed="false">
      <c r="A508" s="36" t="str">
        <f aca="false">IF(Raw_Export!$A508="","",TRIM(Raw_Export!A508))</f>
        <v>TXN-100496</v>
      </c>
      <c r="B508" s="37" t="n">
        <f aca="false">IF(Raw_Export!$A508="","",IF(ISNUMBER(Raw_Export!B508),Raw_Export!B508,IF(MID(TRIM(Raw_Export!B508),5,1)="-",DATE(LEFT(TRIM(Raw_Export!B508),4),MID(TRIM(Raw_Export!B508),6,2),RIGHT(TRIM(Raw_Export!B508),2)),DATE(RIGHT(TRIM(Raw_Export!B508),4),MATCH(MID(TRIM(Raw_Export!B508),4,3),{"Jan","Feb","Mar","Apr","May","Jun","Jul","Aug","Sep","Oct","Nov","Dec"},0),LEFT(TRIM(Raw_Export!B508),2)))))</f>
        <v>46268</v>
      </c>
      <c r="C508" s="36" t="str">
        <f aca="false">IF(Raw_Export!$A508="","",IFERROR(VLOOKUP(LOWER(TRIM(Raw_Export!C508)),Maps!$A$2:$B$20,2,FALSE()),"UNMAPPED"))</f>
        <v>Nakuru</v>
      </c>
      <c r="D508" s="36" t="str">
        <f aca="false">IF(Raw_Export!$A508="","",IFERROR(VLOOKUP(LOWER(TRIM(Raw_Export!D508)),Maps!$G$2:$I$80,2,FALSE()),"UNMAPPED"))</f>
        <v>Yoghurt 500ml</v>
      </c>
      <c r="E508" s="36" t="str">
        <f aca="false">IF(Raw_Export!$A508="","",IFERROR(VLOOKUP(LOWER(TRIM(Raw_Export!D508)),Maps!$G$2:$I$80,3,FALSE()),"UNMAPPED"))</f>
        <v>Dairy &amp; Eggs</v>
      </c>
      <c r="F508" s="36" t="n">
        <f aca="false">IF(Raw_Export!$A508="","",IFERROR(VALUE(TRIM(Raw_Export!E508)),0))</f>
        <v>6</v>
      </c>
      <c r="G508" s="38" t="n">
        <f aca="false">IF(Raw_Export!$A508="","",IFERROR(VALUE(SUBSTITUTE(SUBSTITUTE(UPPER(TRIM(Raw_Export!F508)),"KES",""),",","")),0))</f>
        <v>120</v>
      </c>
      <c r="H508" s="38" t="n">
        <f aca="false">IF(Raw_Export!$A508="","",F508*G508)</f>
        <v>720</v>
      </c>
      <c r="I508" s="36" t="str">
        <f aca="false">IF(Raw_Export!$A508="","",IFERROR(VLOOKUP(LOWER(TRIM(Raw_Export!H508)),Maps!$D$2:$E$12,2,FALSE()),"Other"))</f>
        <v>Cash</v>
      </c>
      <c r="J508" s="36" t="str">
        <f aca="false">IF(Raw_Export!$A508="","",IF(COUNTIF($A$2:A508,A508)&gt;1,"Duplicate",""))</f>
        <v/>
      </c>
      <c r="K508" s="36" t="str">
        <f aca="false">IF(Raw_Export!$A508="","",IF(J508="Duplicate","Duplicate",IF(OR(C508="UNMAPPED",D508="UNMAPPED"),"Unmapped",IF(F508=0,"Blank qty",IF(F508&lt;0,"Return","OK")))))</f>
        <v>OK</v>
      </c>
      <c r="L508" s="36" t="n">
        <f aca="false">IF(Raw_Export!$A508="","",IF(OR(K508="OK",K508="Return"),1,0))</f>
        <v>1</v>
      </c>
      <c r="M508" s="37" t="n">
        <f aca="false">IF(Raw_Export!$A508="","",B508-WEEKDAY(B508,2)+1)</f>
        <v>46265</v>
      </c>
    </row>
    <row r="509" customFormat="false" ht="15" hidden="false" customHeight="false" outlineLevel="0" collapsed="false">
      <c r="A509" s="36" t="str">
        <f aca="false">IF(Raw_Export!$A509="","",TRIM(Raw_Export!A509))</f>
        <v>TXN-100497</v>
      </c>
      <c r="B509" s="37" t="n">
        <f aca="false">IF(Raw_Export!$A509="","",IF(ISNUMBER(Raw_Export!B509),Raw_Export!B509,IF(MID(TRIM(Raw_Export!B509),5,1)="-",DATE(LEFT(TRIM(Raw_Export!B509),4),MID(TRIM(Raw_Export!B509),6,2),RIGHT(TRIM(Raw_Export!B509),2)),DATE(RIGHT(TRIM(Raw_Export!B509),4),MATCH(MID(TRIM(Raw_Export!B509),4,3),{"Jan","Feb","Mar","Apr","May","Jun","Jul","Aug","Sep","Oct","Nov","Dec"},0),LEFT(TRIM(Raw_Export!B509),2)))))</f>
        <v>46268</v>
      </c>
      <c r="C509" s="36" t="str">
        <f aca="false">IF(Raw_Export!$A509="","",IFERROR(VLOOKUP(LOWER(TRIM(Raw_Export!C509)),Maps!$A$2:$B$20,2,FALSE()),"UNMAPPED"))</f>
        <v>Nakuru</v>
      </c>
      <c r="D509" s="36" t="str">
        <f aca="false">IF(Raw_Export!$A509="","",IFERROR(VLOOKUP(LOWER(TRIM(Raw_Export!D509)),Maps!$G$2:$I$80,2,FALSE()),"UNMAPPED"))</f>
        <v>Cheddar 200g</v>
      </c>
      <c r="E509" s="36" t="str">
        <f aca="false">IF(Raw_Export!$A509="","",IFERROR(VLOOKUP(LOWER(TRIM(Raw_Export!D509)),Maps!$G$2:$I$80,3,FALSE()),"UNMAPPED"))</f>
        <v>Dairy &amp; Eggs</v>
      </c>
      <c r="F509" s="36" t="n">
        <f aca="false">IF(Raw_Export!$A509="","",IFERROR(VALUE(TRIM(Raw_Export!E509)),0))</f>
        <v>1</v>
      </c>
      <c r="G509" s="38" t="n">
        <f aca="false">IF(Raw_Export!$A509="","",IFERROR(VALUE(SUBSTITUTE(SUBSTITUTE(UPPER(TRIM(Raw_Export!F509)),"KES",""),",","")),0))</f>
        <v>380</v>
      </c>
      <c r="H509" s="38" t="n">
        <f aca="false">IF(Raw_Export!$A509="","",F509*G509)</f>
        <v>380</v>
      </c>
      <c r="I509" s="36" t="str">
        <f aca="false">IF(Raw_Export!$A509="","",IFERROR(VLOOKUP(LOWER(TRIM(Raw_Export!H509)),Maps!$D$2:$E$12,2,FALSE()),"Other"))</f>
        <v>M-Pesa</v>
      </c>
      <c r="J509" s="36" t="str">
        <f aca="false">IF(Raw_Export!$A509="","",IF(COUNTIF($A$2:A509,A509)&gt;1,"Duplicate",""))</f>
        <v/>
      </c>
      <c r="K509" s="36" t="str">
        <f aca="false">IF(Raw_Export!$A509="","",IF(J509="Duplicate","Duplicate",IF(OR(C509="UNMAPPED",D509="UNMAPPED"),"Unmapped",IF(F509=0,"Blank qty",IF(F509&lt;0,"Return","OK")))))</f>
        <v>OK</v>
      </c>
      <c r="L509" s="36" t="n">
        <f aca="false">IF(Raw_Export!$A509="","",IF(OR(K509="OK",K509="Return"),1,0))</f>
        <v>1</v>
      </c>
      <c r="M509" s="37" t="n">
        <f aca="false">IF(Raw_Export!$A509="","",B509-WEEKDAY(B509,2)+1)</f>
        <v>46265</v>
      </c>
    </row>
    <row r="510" customFormat="false" ht="15" hidden="false" customHeight="false" outlineLevel="0" collapsed="false">
      <c r="A510" s="36" t="str">
        <f aca="false">IF(Raw_Export!$A510="","",TRIM(Raw_Export!A510))</f>
        <v>TXN-100498</v>
      </c>
      <c r="B510" s="37" t="n">
        <f aca="false">IF(Raw_Export!$A510="","",IF(ISNUMBER(Raw_Export!B510),Raw_Export!B510,IF(MID(TRIM(Raw_Export!B510),5,1)="-",DATE(LEFT(TRIM(Raw_Export!B510),4),MID(TRIM(Raw_Export!B510),6,2),RIGHT(TRIM(Raw_Export!B510),2)),DATE(RIGHT(TRIM(Raw_Export!B510),4),MATCH(MID(TRIM(Raw_Export!B510),4,3),{"Jan","Feb","Mar","Apr","May","Jun","Jul","Aug","Sep","Oct","Nov","Dec"},0),LEFT(TRIM(Raw_Export!B510),2)))))</f>
        <v>46268</v>
      </c>
      <c r="C510" s="36" t="str">
        <f aca="false">IF(Raw_Export!$A510="","",IFERROR(VLOOKUP(LOWER(TRIM(Raw_Export!C510)),Maps!$A$2:$B$20,2,FALSE()),"UNMAPPED"))</f>
        <v>Nakuru</v>
      </c>
      <c r="D510" s="36" t="str">
        <f aca="false">IF(Raw_Export!$A510="","",IFERROR(VLOOKUP(LOWER(TRIM(Raw_Export!D510)),Maps!$G$2:$I$80,2,FALSE()),"UNMAPPED"))</f>
        <v>Cooking Oil 1L</v>
      </c>
      <c r="E510" s="36" t="str">
        <f aca="false">IF(Raw_Export!$A510="","",IFERROR(VLOOKUP(LOWER(TRIM(Raw_Export!D510)),Maps!$G$2:$I$80,3,FALSE()),"UNMAPPED"))</f>
        <v>Staples</v>
      </c>
      <c r="F510" s="36" t="n">
        <f aca="false">IF(Raw_Export!$A510="","",IFERROR(VALUE(TRIM(Raw_Export!E510)),0))</f>
        <v>6</v>
      </c>
      <c r="G510" s="38" t="n">
        <f aca="false">IF(Raw_Export!$A510="","",IFERROR(VALUE(SUBSTITUTE(SUBSTITUTE(UPPER(TRIM(Raw_Export!F510)),"KES",""),",","")),0))</f>
        <v>330</v>
      </c>
      <c r="H510" s="38" t="n">
        <f aca="false">IF(Raw_Export!$A510="","",F510*G510)</f>
        <v>1980</v>
      </c>
      <c r="I510" s="36" t="str">
        <f aca="false">IF(Raw_Export!$A510="","",IFERROR(VLOOKUP(LOWER(TRIM(Raw_Export!H510)),Maps!$D$2:$E$12,2,FALSE()),"Other"))</f>
        <v>Cash</v>
      </c>
      <c r="J510" s="36" t="str">
        <f aca="false">IF(Raw_Export!$A510="","",IF(COUNTIF($A$2:A510,A510)&gt;1,"Duplicate",""))</f>
        <v/>
      </c>
      <c r="K510" s="36" t="str">
        <f aca="false">IF(Raw_Export!$A510="","",IF(J510="Duplicate","Duplicate",IF(OR(C510="UNMAPPED",D510="UNMAPPED"),"Unmapped",IF(F510=0,"Blank qty",IF(F510&lt;0,"Return","OK")))))</f>
        <v>OK</v>
      </c>
      <c r="L510" s="36" t="n">
        <f aca="false">IF(Raw_Export!$A510="","",IF(OR(K510="OK",K510="Return"),1,0))</f>
        <v>1</v>
      </c>
      <c r="M510" s="37" t="n">
        <f aca="false">IF(Raw_Export!$A510="","",B510-WEEKDAY(B510,2)+1)</f>
        <v>46265</v>
      </c>
    </row>
    <row r="511" customFormat="false" ht="15" hidden="false" customHeight="false" outlineLevel="0" collapsed="false">
      <c r="A511" s="36" t="str">
        <f aca="false">IF(Raw_Export!$A511="","",TRIM(Raw_Export!A511))</f>
        <v>TXN-100499</v>
      </c>
      <c r="B511" s="37" t="n">
        <f aca="false">IF(Raw_Export!$A511="","",IF(ISNUMBER(Raw_Export!B511),Raw_Export!B511,IF(MID(TRIM(Raw_Export!B511),5,1)="-",DATE(LEFT(TRIM(Raw_Export!B511),4),MID(TRIM(Raw_Export!B511),6,2),RIGHT(TRIM(Raw_Export!B511),2)),DATE(RIGHT(TRIM(Raw_Export!B511),4),MATCH(MID(TRIM(Raw_Export!B511),4,3),{"Jan","Feb","Mar","Apr","May","Jun","Jul","Aug","Sep","Oct","Nov","Dec"},0),LEFT(TRIM(Raw_Export!B511),2)))))</f>
        <v>46268</v>
      </c>
      <c r="C511" s="36" t="str">
        <f aca="false">IF(Raw_Export!$A511="","",IFERROR(VLOOKUP(LOWER(TRIM(Raw_Export!C511)),Maps!$A$2:$B$20,2,FALSE()),"UNMAPPED"))</f>
        <v>Nakuru</v>
      </c>
      <c r="D511" s="36" t="str">
        <f aca="false">IF(Raw_Export!$A511="","",IFERROR(VLOOKUP(LOWER(TRIM(Raw_Export!D511)),Maps!$G$2:$I$80,2,FALSE()),"UNMAPPED"))</f>
        <v>Juice 1L</v>
      </c>
      <c r="E511" s="36" t="str">
        <f aca="false">IF(Raw_Export!$A511="","",IFERROR(VLOOKUP(LOWER(TRIM(Raw_Export!D511)),Maps!$G$2:$I$80,3,FALSE()),"UNMAPPED"))</f>
        <v>Beverages</v>
      </c>
      <c r="F511" s="36" t="n">
        <f aca="false">IF(Raw_Export!$A511="","",IFERROR(VALUE(TRIM(Raw_Export!E511)),0))</f>
        <v>6</v>
      </c>
      <c r="G511" s="38" t="n">
        <f aca="false">IF(Raw_Export!$A511="","",IFERROR(VALUE(SUBSTITUTE(SUBSTITUTE(UPPER(TRIM(Raw_Export!F511)),"KES",""),",","")),0))</f>
        <v>210</v>
      </c>
      <c r="H511" s="38" t="n">
        <f aca="false">IF(Raw_Export!$A511="","",F511*G511)</f>
        <v>1260</v>
      </c>
      <c r="I511" s="36" t="str">
        <f aca="false">IF(Raw_Export!$A511="","",IFERROR(VLOOKUP(LOWER(TRIM(Raw_Export!H511)),Maps!$D$2:$E$12,2,FALSE()),"Other"))</f>
        <v>Card</v>
      </c>
      <c r="J511" s="36" t="str">
        <f aca="false">IF(Raw_Export!$A511="","",IF(COUNTIF($A$2:A511,A511)&gt;1,"Duplicate",""))</f>
        <v/>
      </c>
      <c r="K511" s="36" t="str">
        <f aca="false">IF(Raw_Export!$A511="","",IF(J511="Duplicate","Duplicate",IF(OR(C511="UNMAPPED",D511="UNMAPPED"),"Unmapped",IF(F511=0,"Blank qty",IF(F511&lt;0,"Return","OK")))))</f>
        <v>OK</v>
      </c>
      <c r="L511" s="36" t="n">
        <f aca="false">IF(Raw_Export!$A511="","",IF(OR(K511="OK",K511="Return"),1,0))</f>
        <v>1</v>
      </c>
      <c r="M511" s="37" t="n">
        <f aca="false">IF(Raw_Export!$A511="","",B511-WEEKDAY(B511,2)+1)</f>
        <v>46265</v>
      </c>
    </row>
    <row r="512" customFormat="false" ht="15" hidden="false" customHeight="false" outlineLevel="0" collapsed="false">
      <c r="A512" s="36" t="str">
        <f aca="false">IF(Raw_Export!$A512="","",TRIM(Raw_Export!A512))</f>
        <v>TXN-100500</v>
      </c>
      <c r="B512" s="37" t="n">
        <f aca="false">IF(Raw_Export!$A512="","",IF(ISNUMBER(Raw_Export!B512),Raw_Export!B512,IF(MID(TRIM(Raw_Export!B512),5,1)="-",DATE(LEFT(TRIM(Raw_Export!B512),4),MID(TRIM(Raw_Export!B512),6,2),RIGHT(TRIM(Raw_Export!B512),2)),DATE(RIGHT(TRIM(Raw_Export!B512),4),MATCH(MID(TRIM(Raw_Export!B512),4,3),{"Jan","Feb","Mar","Apr","May","Jun","Jul","Aug","Sep","Oct","Nov","Dec"},0),LEFT(TRIM(Raw_Export!B512),2)))))</f>
        <v>46268</v>
      </c>
      <c r="C512" s="36" t="str">
        <f aca="false">IF(Raw_Export!$A512="","",IFERROR(VLOOKUP(LOWER(TRIM(Raw_Export!C512)),Maps!$A$2:$B$20,2,FALSE()),"UNMAPPED"))</f>
        <v>Nakuru</v>
      </c>
      <c r="D512" s="36" t="str">
        <f aca="false">IF(Raw_Export!$A512="","",IFERROR(VLOOKUP(LOWER(TRIM(Raw_Export!D512)),Maps!$G$2:$I$80,2,FALSE()),"UNMAPPED"))</f>
        <v>Washing Powder 1kg</v>
      </c>
      <c r="E512" s="36" t="str">
        <f aca="false">IF(Raw_Export!$A512="","",IFERROR(VLOOKUP(LOWER(TRIM(Raw_Export!D512)),Maps!$G$2:$I$80,3,FALSE()),"UNMAPPED"))</f>
        <v>Household</v>
      </c>
      <c r="F512" s="36" t="n">
        <f aca="false">IF(Raw_Export!$A512="","",IFERROR(VALUE(TRIM(Raw_Export!E512)),0))</f>
        <v>4</v>
      </c>
      <c r="G512" s="38" t="n">
        <f aca="false">IF(Raw_Export!$A512="","",IFERROR(VALUE(SUBSTITUTE(SUBSTITUTE(UPPER(TRIM(Raw_Export!F512)),"KES",""),",","")),0))</f>
        <v>280</v>
      </c>
      <c r="H512" s="38" t="n">
        <f aca="false">IF(Raw_Export!$A512="","",F512*G512)</f>
        <v>1120</v>
      </c>
      <c r="I512" s="36" t="str">
        <f aca="false">IF(Raw_Export!$A512="","",IFERROR(VLOOKUP(LOWER(TRIM(Raw_Export!H512)),Maps!$D$2:$E$12,2,FALSE()),"Other"))</f>
        <v>Cash</v>
      </c>
      <c r="J512" s="36" t="str">
        <f aca="false">IF(Raw_Export!$A512="","",IF(COUNTIF($A$2:A512,A512)&gt;1,"Duplicate",""))</f>
        <v/>
      </c>
      <c r="K512" s="36" t="str">
        <f aca="false">IF(Raw_Export!$A512="","",IF(J512="Duplicate","Duplicate",IF(OR(C512="UNMAPPED",D512="UNMAPPED"),"Unmapped",IF(F512=0,"Blank qty",IF(F512&lt;0,"Return","OK")))))</f>
        <v>OK</v>
      </c>
      <c r="L512" s="36" t="n">
        <f aca="false">IF(Raw_Export!$A512="","",IF(OR(K512="OK",K512="Return"),1,0))</f>
        <v>1</v>
      </c>
      <c r="M512" s="37" t="n">
        <f aca="false">IF(Raw_Export!$A512="","",B512-WEEKDAY(B512,2)+1)</f>
        <v>46265</v>
      </c>
    </row>
    <row r="513" customFormat="false" ht="15" hidden="false" customHeight="false" outlineLevel="0" collapsed="false">
      <c r="A513" s="36" t="str">
        <f aca="false">IF(Raw_Export!$A513="","",TRIM(Raw_Export!A513))</f>
        <v>TXN-100501</v>
      </c>
      <c r="B513" s="37" t="n">
        <f aca="false">IF(Raw_Export!$A513="","",IF(ISNUMBER(Raw_Export!B513),Raw_Export!B513,IF(MID(TRIM(Raw_Export!B513),5,1)="-",DATE(LEFT(TRIM(Raw_Export!B513),4),MID(TRIM(Raw_Export!B513),6,2),RIGHT(TRIM(Raw_Export!B513),2)),DATE(RIGHT(TRIM(Raw_Export!B513),4),MATCH(MID(TRIM(Raw_Export!B513),4,3),{"Jan","Feb","Mar","Apr","May","Jun","Jul","Aug","Sep","Oct","Nov","Dec"},0),LEFT(TRIM(Raw_Export!B513),2)))))</f>
        <v>46268</v>
      </c>
      <c r="C513" s="36" t="str">
        <f aca="false">IF(Raw_Export!$A513="","",IFERROR(VLOOKUP(LOWER(TRIM(Raw_Export!C513)),Maps!$A$2:$B$20,2,FALSE()),"UNMAPPED"))</f>
        <v>Nakuru</v>
      </c>
      <c r="D513" s="36" t="str">
        <f aca="false">IF(Raw_Export!$A513="","",IFERROR(VLOOKUP(LOWER(TRIM(Raw_Export!D513)),Maps!$G$2:$I$80,2,FALSE()),"UNMAPPED"))</f>
        <v>Cooking Oil 1L</v>
      </c>
      <c r="E513" s="36" t="str">
        <f aca="false">IF(Raw_Export!$A513="","",IFERROR(VLOOKUP(LOWER(TRIM(Raw_Export!D513)),Maps!$G$2:$I$80,3,FALSE()),"UNMAPPED"))</f>
        <v>Staples</v>
      </c>
      <c r="F513" s="36" t="n">
        <f aca="false">IF(Raw_Export!$A513="","",IFERROR(VALUE(TRIM(Raw_Export!E513)),0))</f>
        <v>2</v>
      </c>
      <c r="G513" s="38" t="n">
        <f aca="false">IF(Raw_Export!$A513="","",IFERROR(VALUE(SUBSTITUTE(SUBSTITUTE(UPPER(TRIM(Raw_Export!F513)),"KES",""),",","")),0))</f>
        <v>330</v>
      </c>
      <c r="H513" s="38" t="n">
        <f aca="false">IF(Raw_Export!$A513="","",F513*G513)</f>
        <v>660</v>
      </c>
      <c r="I513" s="36" t="str">
        <f aca="false">IF(Raw_Export!$A513="","",IFERROR(VLOOKUP(LOWER(TRIM(Raw_Export!H513)),Maps!$D$2:$E$12,2,FALSE()),"Other"))</f>
        <v>Cash</v>
      </c>
      <c r="J513" s="36" t="str">
        <f aca="false">IF(Raw_Export!$A513="","",IF(COUNTIF($A$2:A513,A513)&gt;1,"Duplicate",""))</f>
        <v/>
      </c>
      <c r="K513" s="36" t="str">
        <f aca="false">IF(Raw_Export!$A513="","",IF(J513="Duplicate","Duplicate",IF(OR(C513="UNMAPPED",D513="UNMAPPED"),"Unmapped",IF(F513=0,"Blank qty",IF(F513&lt;0,"Return","OK")))))</f>
        <v>OK</v>
      </c>
      <c r="L513" s="36" t="n">
        <f aca="false">IF(Raw_Export!$A513="","",IF(OR(K513="OK",K513="Return"),1,0))</f>
        <v>1</v>
      </c>
      <c r="M513" s="37" t="n">
        <f aca="false">IF(Raw_Export!$A513="","",B513-WEEKDAY(B513,2)+1)</f>
        <v>46265</v>
      </c>
    </row>
    <row r="514" customFormat="false" ht="15" hidden="false" customHeight="false" outlineLevel="0" collapsed="false">
      <c r="A514" s="36" t="str">
        <f aca="false">IF(Raw_Export!$A514="","",TRIM(Raw_Export!A514))</f>
        <v>TXN-100502</v>
      </c>
      <c r="B514" s="37" t="n">
        <f aca="false">IF(Raw_Export!$A514="","",IF(ISNUMBER(Raw_Export!B514),Raw_Export!B514,IF(MID(TRIM(Raw_Export!B514),5,1)="-",DATE(LEFT(TRIM(Raw_Export!B514),4),MID(TRIM(Raw_Export!B514),6,2),RIGHT(TRIM(Raw_Export!B514),2)),DATE(RIGHT(TRIM(Raw_Export!B514),4),MATCH(MID(TRIM(Raw_Export!B514),4,3),{"Jan","Feb","Mar","Apr","May","Jun","Jul","Aug","Sep","Oct","Nov","Dec"},0),LEFT(TRIM(Raw_Export!B514),2)))))</f>
        <v>46268</v>
      </c>
      <c r="C514" s="36" t="str">
        <f aca="false">IF(Raw_Export!$A514="","",IFERROR(VLOOKUP(LOWER(TRIM(Raw_Export!C514)),Maps!$A$2:$B$20,2,FALSE()),"UNMAPPED"))</f>
        <v>Nakuru</v>
      </c>
      <c r="D514" s="36" t="str">
        <f aca="false">IF(Raw_Export!$A514="","",IFERROR(VLOOKUP(LOWER(TRIM(Raw_Export!D514)),Maps!$G$2:$I$80,2,FALSE()),"UNMAPPED"))</f>
        <v>Fresh Milk 500ml</v>
      </c>
      <c r="E514" s="36" t="str">
        <f aca="false">IF(Raw_Export!$A514="","",IFERROR(VLOOKUP(LOWER(TRIM(Raw_Export!D514)),Maps!$G$2:$I$80,3,FALSE()),"UNMAPPED"))</f>
        <v>Dairy &amp; Eggs</v>
      </c>
      <c r="F514" s="36" t="n">
        <f aca="false">IF(Raw_Export!$A514="","",IFERROR(VALUE(TRIM(Raw_Export!E514)),0))</f>
        <v>1</v>
      </c>
      <c r="G514" s="38" t="n">
        <f aca="false">IF(Raw_Export!$A514="","",IFERROR(VALUE(SUBSTITUTE(SUBSTITUTE(UPPER(TRIM(Raw_Export!F514)),"KES",""),",","")),0))</f>
        <v>65</v>
      </c>
      <c r="H514" s="38" t="n">
        <f aca="false">IF(Raw_Export!$A514="","",F514*G514)</f>
        <v>65</v>
      </c>
      <c r="I514" s="36" t="str">
        <f aca="false">IF(Raw_Export!$A514="","",IFERROR(VLOOKUP(LOWER(TRIM(Raw_Export!H514)),Maps!$D$2:$E$12,2,FALSE()),"Other"))</f>
        <v>Cash</v>
      </c>
      <c r="J514" s="36" t="str">
        <f aca="false">IF(Raw_Export!$A514="","",IF(COUNTIF($A$2:A514,A514)&gt;1,"Duplicate",""))</f>
        <v/>
      </c>
      <c r="K514" s="36" t="str">
        <f aca="false">IF(Raw_Export!$A514="","",IF(J514="Duplicate","Duplicate",IF(OR(C514="UNMAPPED",D514="UNMAPPED"),"Unmapped",IF(F514=0,"Blank qty",IF(F514&lt;0,"Return","OK")))))</f>
        <v>OK</v>
      </c>
      <c r="L514" s="36" t="n">
        <f aca="false">IF(Raw_Export!$A514="","",IF(OR(K514="OK",K514="Return"),1,0))</f>
        <v>1</v>
      </c>
      <c r="M514" s="37" t="n">
        <f aca="false">IF(Raw_Export!$A514="","",B514-WEEKDAY(B514,2)+1)</f>
        <v>46265</v>
      </c>
    </row>
    <row r="515" customFormat="false" ht="15" hidden="false" customHeight="false" outlineLevel="0" collapsed="false">
      <c r="A515" s="36" t="str">
        <f aca="false">IF(Raw_Export!$A515="","",TRIM(Raw_Export!A515))</f>
        <v>TXN-100503</v>
      </c>
      <c r="B515" s="37" t="n">
        <f aca="false">IF(Raw_Export!$A515="","",IF(ISNUMBER(Raw_Export!B515),Raw_Export!B515,IF(MID(TRIM(Raw_Export!B515),5,1)="-",DATE(LEFT(TRIM(Raw_Export!B515),4),MID(TRIM(Raw_Export!B515),6,2),RIGHT(TRIM(Raw_Export!B515),2)),DATE(RIGHT(TRIM(Raw_Export!B515),4),MATCH(MID(TRIM(Raw_Export!B515),4,3),{"Jan","Feb","Mar","Apr","May","Jun","Jul","Aug","Sep","Oct","Nov","Dec"},0),LEFT(TRIM(Raw_Export!B515),2)))))</f>
        <v>46268</v>
      </c>
      <c r="C515" s="36" t="str">
        <f aca="false">IF(Raw_Export!$A515="","",IFERROR(VLOOKUP(LOWER(TRIM(Raw_Export!C515)),Maps!$A$2:$B$20,2,FALSE()),"UNMAPPED"))</f>
        <v>Nakuru</v>
      </c>
      <c r="D515" s="36" t="str">
        <f aca="false">IF(Raw_Export!$A515="","",IFERROR(VLOOKUP(LOWER(TRIM(Raw_Export!D515)),Maps!$G$2:$I$80,2,FALSE()),"UNMAPPED"))</f>
        <v>Matches 10pk</v>
      </c>
      <c r="E515" s="36" t="str">
        <f aca="false">IF(Raw_Export!$A515="","",IFERROR(VLOOKUP(LOWER(TRIM(Raw_Export!D515)),Maps!$G$2:$I$80,3,FALSE()),"UNMAPPED"))</f>
        <v>Household</v>
      </c>
      <c r="F515" s="36" t="n">
        <f aca="false">IF(Raw_Export!$A515="","",IFERROR(VALUE(TRIM(Raw_Export!E515)),0))</f>
        <v>1</v>
      </c>
      <c r="G515" s="38" t="n">
        <f aca="false">IF(Raw_Export!$A515="","",IFERROR(VALUE(SUBSTITUTE(SUBSTITUTE(UPPER(TRIM(Raw_Export!F515)),"KES",""),",","")),0))</f>
        <v>50</v>
      </c>
      <c r="H515" s="38" t="n">
        <f aca="false">IF(Raw_Export!$A515="","",F515*G515)</f>
        <v>50</v>
      </c>
      <c r="I515" s="36" t="str">
        <f aca="false">IF(Raw_Export!$A515="","",IFERROR(VLOOKUP(LOWER(TRIM(Raw_Export!H515)),Maps!$D$2:$E$12,2,FALSE()),"Other"))</f>
        <v>M-Pesa</v>
      </c>
      <c r="J515" s="36" t="str">
        <f aca="false">IF(Raw_Export!$A515="","",IF(COUNTIF($A$2:A515,A515)&gt;1,"Duplicate",""))</f>
        <v/>
      </c>
      <c r="K515" s="36" t="str">
        <f aca="false">IF(Raw_Export!$A515="","",IF(J515="Duplicate","Duplicate",IF(OR(C515="UNMAPPED",D515="UNMAPPED"),"Unmapped",IF(F515=0,"Blank qty",IF(F515&lt;0,"Return","OK")))))</f>
        <v>OK</v>
      </c>
      <c r="L515" s="36" t="n">
        <f aca="false">IF(Raw_Export!$A515="","",IF(OR(K515="OK",K515="Return"),1,0))</f>
        <v>1</v>
      </c>
      <c r="M515" s="37" t="n">
        <f aca="false">IF(Raw_Export!$A515="","",B515-WEEKDAY(B515,2)+1)</f>
        <v>46265</v>
      </c>
    </row>
    <row r="516" customFormat="false" ht="15" hidden="false" customHeight="false" outlineLevel="0" collapsed="false">
      <c r="A516" s="36" t="str">
        <f aca="false">IF(Raw_Export!$A516="","",TRIM(Raw_Export!A516))</f>
        <v>TXN-100504</v>
      </c>
      <c r="B516" s="37" t="n">
        <f aca="false">IF(Raw_Export!$A516="","",IF(ISNUMBER(Raw_Export!B516),Raw_Export!B516,IF(MID(TRIM(Raw_Export!B516),5,1)="-",DATE(LEFT(TRIM(Raw_Export!B516),4),MID(TRIM(Raw_Export!B516),6,2),RIGHT(TRIM(Raw_Export!B516),2)),DATE(RIGHT(TRIM(Raw_Export!B516),4),MATCH(MID(TRIM(Raw_Export!B516),4,3),{"Jan","Feb","Mar","Apr","May","Jun","Jul","Aug","Sep","Oct","Nov","Dec"},0),LEFT(TRIM(Raw_Export!B516),2)))))</f>
        <v>46268</v>
      </c>
      <c r="C516" s="36" t="str">
        <f aca="false">IF(Raw_Export!$A516="","",IFERROR(VLOOKUP(LOWER(TRIM(Raw_Export!C516)),Maps!$A$2:$B$20,2,FALSE()),"UNMAPPED"))</f>
        <v>Nakuru</v>
      </c>
      <c r="D516" s="36" t="str">
        <f aca="false">IF(Raw_Export!$A516="","",IFERROR(VLOOKUP(LOWER(TRIM(Raw_Export!D516)),Maps!$G$2:$I$80,2,FALSE()),"UNMAPPED"))</f>
        <v>Juice 1L</v>
      </c>
      <c r="E516" s="36" t="str">
        <f aca="false">IF(Raw_Export!$A516="","",IFERROR(VLOOKUP(LOWER(TRIM(Raw_Export!D516)),Maps!$G$2:$I$80,3,FALSE()),"UNMAPPED"))</f>
        <v>Beverages</v>
      </c>
      <c r="F516" s="36" t="n">
        <f aca="false">IF(Raw_Export!$A516="","",IFERROR(VALUE(TRIM(Raw_Export!E516)),0))</f>
        <v>1</v>
      </c>
      <c r="G516" s="38" t="n">
        <f aca="false">IF(Raw_Export!$A516="","",IFERROR(VALUE(SUBSTITUTE(SUBSTITUTE(UPPER(TRIM(Raw_Export!F516)),"KES",""),",","")),0))</f>
        <v>210</v>
      </c>
      <c r="H516" s="38" t="n">
        <f aca="false">IF(Raw_Export!$A516="","",F516*G516)</f>
        <v>210</v>
      </c>
      <c r="I516" s="36" t="str">
        <f aca="false">IF(Raw_Export!$A516="","",IFERROR(VLOOKUP(LOWER(TRIM(Raw_Export!H516)),Maps!$D$2:$E$12,2,FALSE()),"Other"))</f>
        <v>M-Pesa</v>
      </c>
      <c r="J516" s="36" t="str">
        <f aca="false">IF(Raw_Export!$A516="","",IF(COUNTIF($A$2:A516,A516)&gt;1,"Duplicate",""))</f>
        <v/>
      </c>
      <c r="K516" s="36" t="str">
        <f aca="false">IF(Raw_Export!$A516="","",IF(J516="Duplicate","Duplicate",IF(OR(C516="UNMAPPED",D516="UNMAPPED"),"Unmapped",IF(F516=0,"Blank qty",IF(F516&lt;0,"Return","OK")))))</f>
        <v>OK</v>
      </c>
      <c r="L516" s="36" t="n">
        <f aca="false">IF(Raw_Export!$A516="","",IF(OR(K516="OK",K516="Return"),1,0))</f>
        <v>1</v>
      </c>
      <c r="M516" s="37" t="n">
        <f aca="false">IF(Raw_Export!$A516="","",B516-WEEKDAY(B516,2)+1)</f>
        <v>46265</v>
      </c>
    </row>
    <row r="517" customFormat="false" ht="15" hidden="false" customHeight="false" outlineLevel="0" collapsed="false">
      <c r="A517" s="36" t="str">
        <f aca="false">IF(Raw_Export!$A517="","",TRIM(Raw_Export!A517))</f>
        <v>TXN-100505</v>
      </c>
      <c r="B517" s="37" t="n">
        <f aca="false">IF(Raw_Export!$A517="","",IF(ISNUMBER(Raw_Export!B517),Raw_Export!B517,IF(MID(TRIM(Raw_Export!B517),5,1)="-",DATE(LEFT(TRIM(Raw_Export!B517),4),MID(TRIM(Raw_Export!B517),6,2),RIGHT(TRIM(Raw_Export!B517),2)),DATE(RIGHT(TRIM(Raw_Export!B517),4),MATCH(MID(TRIM(Raw_Export!B517),4,3),{"Jan","Feb","Mar","Apr","May","Jun","Jul","Aug","Sep","Oct","Nov","Dec"},0),LEFT(TRIM(Raw_Export!B517),2)))))</f>
        <v>46268</v>
      </c>
      <c r="C517" s="36" t="str">
        <f aca="false">IF(Raw_Export!$A517="","",IFERROR(VLOOKUP(LOWER(TRIM(Raw_Export!C517)),Maps!$A$2:$B$20,2,FALSE()),"UNMAPPED"))</f>
        <v>Nakuru</v>
      </c>
      <c r="D517" s="36" t="str">
        <f aca="false">IF(Raw_Export!$A517="","",IFERROR(VLOOKUP(LOWER(TRIM(Raw_Export!D517)),Maps!$G$2:$I$80,2,FALSE()),"UNMAPPED"))</f>
        <v>Toothpaste 100g</v>
      </c>
      <c r="E517" s="36" t="str">
        <f aca="false">IF(Raw_Export!$A517="","",IFERROR(VLOOKUP(LOWER(TRIM(Raw_Export!D517)),Maps!$G$2:$I$80,3,FALSE()),"UNMAPPED"))</f>
        <v>Personal Care</v>
      </c>
      <c r="F517" s="36" t="n">
        <f aca="false">IF(Raw_Export!$A517="","",IFERROR(VALUE(TRIM(Raw_Export!E517)),0))</f>
        <v>1</v>
      </c>
      <c r="G517" s="38" t="n">
        <f aca="false">IF(Raw_Export!$A517="","",IFERROR(VALUE(SUBSTITUTE(SUBSTITUTE(UPPER(TRIM(Raw_Export!F517)),"KES",""),",","")),0))</f>
        <v>195</v>
      </c>
      <c r="H517" s="38" t="n">
        <f aca="false">IF(Raw_Export!$A517="","",F517*G517)</f>
        <v>195</v>
      </c>
      <c r="I517" s="36" t="str">
        <f aca="false">IF(Raw_Export!$A517="","",IFERROR(VLOOKUP(LOWER(TRIM(Raw_Export!H517)),Maps!$D$2:$E$12,2,FALSE()),"Other"))</f>
        <v>Card</v>
      </c>
      <c r="J517" s="36" t="str">
        <f aca="false">IF(Raw_Export!$A517="","",IF(COUNTIF($A$2:A517,A517)&gt;1,"Duplicate",""))</f>
        <v/>
      </c>
      <c r="K517" s="36" t="str">
        <f aca="false">IF(Raw_Export!$A517="","",IF(J517="Duplicate","Duplicate",IF(OR(C517="UNMAPPED",D517="UNMAPPED"),"Unmapped",IF(F517=0,"Blank qty",IF(F517&lt;0,"Return","OK")))))</f>
        <v>OK</v>
      </c>
      <c r="L517" s="36" t="n">
        <f aca="false">IF(Raw_Export!$A517="","",IF(OR(K517="OK",K517="Return"),1,0))</f>
        <v>1</v>
      </c>
      <c r="M517" s="37" t="n">
        <f aca="false">IF(Raw_Export!$A517="","",B517-WEEKDAY(B517,2)+1)</f>
        <v>46265</v>
      </c>
    </row>
    <row r="518" customFormat="false" ht="15" hidden="false" customHeight="false" outlineLevel="0" collapsed="false">
      <c r="A518" s="36" t="str">
        <f aca="false">IF(Raw_Export!$A518="","",TRIM(Raw_Export!A518))</f>
        <v>TXN-100506</v>
      </c>
      <c r="B518" s="37" t="n">
        <f aca="false">IF(Raw_Export!$A518="","",IF(ISNUMBER(Raw_Export!B518),Raw_Export!B518,IF(MID(TRIM(Raw_Export!B518),5,1)="-",DATE(LEFT(TRIM(Raw_Export!B518),4),MID(TRIM(Raw_Export!B518),6,2),RIGHT(TRIM(Raw_Export!B518),2)),DATE(RIGHT(TRIM(Raw_Export!B518),4),MATCH(MID(TRIM(Raw_Export!B518),4,3),{"Jan","Feb","Mar","Apr","May","Jun","Jul","Aug","Sep","Oct","Nov","Dec"},0),LEFT(TRIM(Raw_Export!B518),2)))))</f>
        <v>46268</v>
      </c>
      <c r="C518" s="36" t="str">
        <f aca="false">IF(Raw_Export!$A518="","",IFERROR(VLOOKUP(LOWER(TRIM(Raw_Export!C518)),Maps!$A$2:$B$20,2,FALSE()),"UNMAPPED"))</f>
        <v>Nakuru</v>
      </c>
      <c r="D518" s="36" t="str">
        <f aca="false">IF(Raw_Export!$A518="","",IFERROR(VLOOKUP(LOWER(TRIM(Raw_Export!D518)),Maps!$G$2:$I$80,2,FALSE()),"UNMAPPED"))</f>
        <v>Crisps 100g</v>
      </c>
      <c r="E518" s="36" t="str">
        <f aca="false">IF(Raw_Export!$A518="","",IFERROR(VLOOKUP(LOWER(TRIM(Raw_Export!D518)),Maps!$G$2:$I$80,3,FALSE()),"UNMAPPED"))</f>
        <v>Snacks</v>
      </c>
      <c r="F518" s="36" t="n">
        <f aca="false">IF(Raw_Export!$A518="","",IFERROR(VALUE(TRIM(Raw_Export!E518)),0))</f>
        <v>1</v>
      </c>
      <c r="G518" s="38" t="n">
        <f aca="false">IF(Raw_Export!$A518="","",IFERROR(VALUE(SUBSTITUTE(SUBSTITUTE(UPPER(TRIM(Raw_Export!F518)),"KES",""),",","")),0))</f>
        <v>80</v>
      </c>
      <c r="H518" s="38" t="n">
        <f aca="false">IF(Raw_Export!$A518="","",F518*G518)</f>
        <v>80</v>
      </c>
      <c r="I518" s="36" t="str">
        <f aca="false">IF(Raw_Export!$A518="","",IFERROR(VLOOKUP(LOWER(TRIM(Raw_Export!H518)),Maps!$D$2:$E$12,2,FALSE()),"Other"))</f>
        <v>M-Pesa</v>
      </c>
      <c r="J518" s="36" t="str">
        <f aca="false">IF(Raw_Export!$A518="","",IF(COUNTIF($A$2:A518,A518)&gt;1,"Duplicate",""))</f>
        <v/>
      </c>
      <c r="K518" s="36" t="str">
        <f aca="false">IF(Raw_Export!$A518="","",IF(J518="Duplicate","Duplicate",IF(OR(C518="UNMAPPED",D518="UNMAPPED"),"Unmapped",IF(F518=0,"Blank qty",IF(F518&lt;0,"Return","OK")))))</f>
        <v>OK</v>
      </c>
      <c r="L518" s="36" t="n">
        <f aca="false">IF(Raw_Export!$A518="","",IF(OR(K518="OK",K518="Return"),1,0))</f>
        <v>1</v>
      </c>
      <c r="M518" s="37" t="n">
        <f aca="false">IF(Raw_Export!$A518="","",B518-WEEKDAY(B518,2)+1)</f>
        <v>46265</v>
      </c>
    </row>
    <row r="519" customFormat="false" ht="15" hidden="false" customHeight="false" outlineLevel="0" collapsed="false">
      <c r="A519" s="36" t="str">
        <f aca="false">IF(Raw_Export!$A519="","",TRIM(Raw_Export!A519))</f>
        <v>TXN-100507</v>
      </c>
      <c r="B519" s="37" t="n">
        <f aca="false">IF(Raw_Export!$A519="","",IF(ISNUMBER(Raw_Export!B519),Raw_Export!B519,IF(MID(TRIM(Raw_Export!B519),5,1)="-",DATE(LEFT(TRIM(Raw_Export!B519),4),MID(TRIM(Raw_Export!B519),6,2),RIGHT(TRIM(Raw_Export!B519),2)),DATE(RIGHT(TRIM(Raw_Export!B519),4),MATCH(MID(TRIM(Raw_Export!B519),4,3),{"Jan","Feb","Mar","Apr","May","Jun","Jul","Aug","Sep","Oct","Nov","Dec"},0),LEFT(TRIM(Raw_Export!B519),2)))))</f>
        <v>46268</v>
      </c>
      <c r="C519" s="36" t="str">
        <f aca="false">IF(Raw_Export!$A519="","",IFERROR(VLOOKUP(LOWER(TRIM(Raw_Export!C519)),Maps!$A$2:$B$20,2,FALSE()),"UNMAPPED"))</f>
        <v>Nakuru</v>
      </c>
      <c r="D519" s="36" t="str">
        <f aca="false">IF(Raw_Export!$A519="","",IFERROR(VLOOKUP(LOWER(TRIM(Raw_Export!D519)),Maps!$G$2:$I$80,2,FALSE()),"UNMAPPED"))</f>
        <v>Coffee 100g</v>
      </c>
      <c r="E519" s="36" t="str">
        <f aca="false">IF(Raw_Export!$A519="","",IFERROR(VLOOKUP(LOWER(TRIM(Raw_Export!D519)),Maps!$G$2:$I$80,3,FALSE()),"UNMAPPED"))</f>
        <v>Beverages</v>
      </c>
      <c r="F519" s="36" t="n">
        <f aca="false">IF(Raw_Export!$A519="","",IFERROR(VALUE(TRIM(Raw_Export!E519)),0))</f>
        <v>2</v>
      </c>
      <c r="G519" s="38" t="n">
        <f aca="false">IF(Raw_Export!$A519="","",IFERROR(VALUE(SUBSTITUTE(SUBSTITUTE(UPPER(TRIM(Raw_Export!F519)),"KES",""),",","")),0))</f>
        <v>360</v>
      </c>
      <c r="H519" s="38" t="n">
        <f aca="false">IF(Raw_Export!$A519="","",F519*G519)</f>
        <v>720</v>
      </c>
      <c r="I519" s="36" t="str">
        <f aca="false">IF(Raw_Export!$A519="","",IFERROR(VLOOKUP(LOWER(TRIM(Raw_Export!H519)),Maps!$D$2:$E$12,2,FALSE()),"Other"))</f>
        <v>Card</v>
      </c>
      <c r="J519" s="36" t="str">
        <f aca="false">IF(Raw_Export!$A519="","",IF(COUNTIF($A$2:A519,A519)&gt;1,"Duplicate",""))</f>
        <v/>
      </c>
      <c r="K519" s="36" t="str">
        <f aca="false">IF(Raw_Export!$A519="","",IF(J519="Duplicate","Duplicate",IF(OR(C519="UNMAPPED",D519="UNMAPPED"),"Unmapped",IF(F519=0,"Blank qty",IF(F519&lt;0,"Return","OK")))))</f>
        <v>OK</v>
      </c>
      <c r="L519" s="36" t="n">
        <f aca="false">IF(Raw_Export!$A519="","",IF(OR(K519="OK",K519="Return"),1,0))</f>
        <v>1</v>
      </c>
      <c r="M519" s="37" t="n">
        <f aca="false">IF(Raw_Export!$A519="","",B519-WEEKDAY(B519,2)+1)</f>
        <v>46265</v>
      </c>
    </row>
    <row r="520" customFormat="false" ht="15" hidden="false" customHeight="false" outlineLevel="0" collapsed="false">
      <c r="A520" s="36" t="str">
        <f aca="false">IF(Raw_Export!$A520="","",TRIM(Raw_Export!A520))</f>
        <v>TXN-100508</v>
      </c>
      <c r="B520" s="37" t="n">
        <f aca="false">IF(Raw_Export!$A520="","",IF(ISNUMBER(Raw_Export!B520),Raw_Export!B520,IF(MID(TRIM(Raw_Export!B520),5,1)="-",DATE(LEFT(TRIM(Raw_Export!B520),4),MID(TRIM(Raw_Export!B520),6,2),RIGHT(TRIM(Raw_Export!B520),2)),DATE(RIGHT(TRIM(Raw_Export!B520),4),MATCH(MID(TRIM(Raw_Export!B520),4,3),{"Jan","Feb","Mar","Apr","May","Jun","Jul","Aug","Sep","Oct","Nov","Dec"},0),LEFT(TRIM(Raw_Export!B520),2)))))</f>
        <v>46268</v>
      </c>
      <c r="C520" s="36" t="str">
        <f aca="false">IF(Raw_Export!$A520="","",IFERROR(VLOOKUP(LOWER(TRIM(Raw_Export!C520)),Maps!$A$2:$B$20,2,FALSE()),"UNMAPPED"))</f>
        <v>Nakuru</v>
      </c>
      <c r="D520" s="36" t="str">
        <f aca="false">IF(Raw_Export!$A520="","",IFERROR(VLOOKUP(LOWER(TRIM(Raw_Export!D520)),Maps!$G$2:$I$80,2,FALSE()),"UNMAPPED"))</f>
        <v>UNMAPPED</v>
      </c>
      <c r="E520" s="36" t="str">
        <f aca="false">IF(Raw_Export!$A520="","",IFERROR(VLOOKUP(LOWER(TRIM(Raw_Export!D520)),Maps!$G$2:$I$80,3,FALSE()),"UNMAPPED"))</f>
        <v>UNMAPPED</v>
      </c>
      <c r="F520" s="36" t="n">
        <f aca="false">IF(Raw_Export!$A520="","",IFERROR(VALUE(TRIM(Raw_Export!E520)),0))</f>
        <v>1</v>
      </c>
      <c r="G520" s="38" t="n">
        <f aca="false">IF(Raw_Export!$A520="","",IFERROR(VALUE(SUBSTITUTE(SUBSTITUTE(UPPER(TRIM(Raw_Export!F520)),"KES",""),",","")),0))</f>
        <v>50</v>
      </c>
      <c r="H520" s="38" t="n">
        <f aca="false">IF(Raw_Export!$A520="","",F520*G520)</f>
        <v>50</v>
      </c>
      <c r="I520" s="36" t="str">
        <f aca="false">IF(Raw_Export!$A520="","",IFERROR(VLOOKUP(LOWER(TRIM(Raw_Export!H520)),Maps!$D$2:$E$12,2,FALSE()),"Other"))</f>
        <v>M-Pesa</v>
      </c>
      <c r="J520" s="36" t="str">
        <f aca="false">IF(Raw_Export!$A520="","",IF(COUNTIF($A$2:A520,A520)&gt;1,"Duplicate",""))</f>
        <v/>
      </c>
      <c r="K520" s="36" t="str">
        <f aca="false">IF(Raw_Export!$A520="","",IF(J520="Duplicate","Duplicate",IF(OR(C520="UNMAPPED",D520="UNMAPPED"),"Unmapped",IF(F520=0,"Blank qty",IF(F520&lt;0,"Return","OK")))))</f>
        <v>Unmapped</v>
      </c>
      <c r="L520" s="36" t="n">
        <f aca="false">IF(Raw_Export!$A520="","",IF(OR(K520="OK",K520="Return"),1,0))</f>
        <v>0</v>
      </c>
      <c r="M520" s="37" t="n">
        <f aca="false">IF(Raw_Export!$A520="","",B520-WEEKDAY(B520,2)+1)</f>
        <v>46265</v>
      </c>
    </row>
    <row r="521" customFormat="false" ht="15" hidden="false" customHeight="false" outlineLevel="0" collapsed="false">
      <c r="A521" s="36" t="str">
        <f aca="false">IF(Raw_Export!$A521="","",TRIM(Raw_Export!A521))</f>
        <v>TXN-100509</v>
      </c>
      <c r="B521" s="37" t="n">
        <f aca="false">IF(Raw_Export!$A521="","",IF(ISNUMBER(Raw_Export!B521),Raw_Export!B521,IF(MID(TRIM(Raw_Export!B521),5,1)="-",DATE(LEFT(TRIM(Raw_Export!B521),4),MID(TRIM(Raw_Export!B521),6,2),RIGHT(TRIM(Raw_Export!B521),2)),DATE(RIGHT(TRIM(Raw_Export!B521),4),MATCH(MID(TRIM(Raw_Export!B521),4,3),{"Jan","Feb","Mar","Apr","May","Jun","Jul","Aug","Sep","Oct","Nov","Dec"},0),LEFT(TRIM(Raw_Export!B521),2)))))</f>
        <v>46268</v>
      </c>
      <c r="C521" s="36" t="str">
        <f aca="false">IF(Raw_Export!$A521="","",IFERROR(VLOOKUP(LOWER(TRIM(Raw_Export!C521)),Maps!$A$2:$B$20,2,FALSE()),"UNMAPPED"))</f>
        <v>Nakuru</v>
      </c>
      <c r="D521" s="36" t="str">
        <f aca="false">IF(Raw_Export!$A521="","",IFERROR(VLOOKUP(LOWER(TRIM(Raw_Export!D521)),Maps!$G$2:$I$80,2,FALSE()),"UNMAPPED"))</f>
        <v>Peanuts 250g</v>
      </c>
      <c r="E521" s="36" t="str">
        <f aca="false">IF(Raw_Export!$A521="","",IFERROR(VLOOKUP(LOWER(TRIM(Raw_Export!D521)),Maps!$G$2:$I$80,3,FALSE()),"UNMAPPED"))</f>
        <v>Snacks</v>
      </c>
      <c r="F521" s="36" t="n">
        <f aca="false">IF(Raw_Export!$A521="","",IFERROR(VALUE(TRIM(Raw_Export!E521)),0))</f>
        <v>1</v>
      </c>
      <c r="G521" s="38" t="n">
        <f aca="false">IF(Raw_Export!$A521="","",IFERROR(VALUE(SUBSTITUTE(SUBSTITUTE(UPPER(TRIM(Raw_Export!F521)),"KES",""),",","")),0))</f>
        <v>130</v>
      </c>
      <c r="H521" s="38" t="n">
        <f aca="false">IF(Raw_Export!$A521="","",F521*G521)</f>
        <v>130</v>
      </c>
      <c r="I521" s="36" t="str">
        <f aca="false">IF(Raw_Export!$A521="","",IFERROR(VLOOKUP(LOWER(TRIM(Raw_Export!H521)),Maps!$D$2:$E$12,2,FALSE()),"Other"))</f>
        <v>M-Pesa</v>
      </c>
      <c r="J521" s="36" t="str">
        <f aca="false">IF(Raw_Export!$A521="","",IF(COUNTIF($A$2:A521,A521)&gt;1,"Duplicate",""))</f>
        <v/>
      </c>
      <c r="K521" s="36" t="str">
        <f aca="false">IF(Raw_Export!$A521="","",IF(J521="Duplicate","Duplicate",IF(OR(C521="UNMAPPED",D521="UNMAPPED"),"Unmapped",IF(F521=0,"Blank qty",IF(F521&lt;0,"Return","OK")))))</f>
        <v>OK</v>
      </c>
      <c r="L521" s="36" t="n">
        <f aca="false">IF(Raw_Export!$A521="","",IF(OR(K521="OK",K521="Return"),1,0))</f>
        <v>1</v>
      </c>
      <c r="M521" s="37" t="n">
        <f aca="false">IF(Raw_Export!$A521="","",B521-WEEKDAY(B521,2)+1)</f>
        <v>46265</v>
      </c>
    </row>
    <row r="522" customFormat="false" ht="15" hidden="false" customHeight="false" outlineLevel="0" collapsed="false">
      <c r="A522" s="36" t="str">
        <f aca="false">IF(Raw_Export!$A522="","",TRIM(Raw_Export!A522))</f>
        <v>TXN-100510</v>
      </c>
      <c r="B522" s="37" t="n">
        <f aca="false">IF(Raw_Export!$A522="","",IF(ISNUMBER(Raw_Export!B522),Raw_Export!B522,IF(MID(TRIM(Raw_Export!B522),5,1)="-",DATE(LEFT(TRIM(Raw_Export!B522),4),MID(TRIM(Raw_Export!B522),6,2),RIGHT(TRIM(Raw_Export!B522),2)),DATE(RIGHT(TRIM(Raw_Export!B522),4),MATCH(MID(TRIM(Raw_Export!B522),4,3),{"Jan","Feb","Mar","Apr","May","Jun","Jul","Aug","Sep","Oct","Nov","Dec"},0),LEFT(TRIM(Raw_Export!B522),2)))))</f>
        <v>46268</v>
      </c>
      <c r="C522" s="36" t="str">
        <f aca="false">IF(Raw_Export!$A522="","",IFERROR(VLOOKUP(LOWER(TRIM(Raw_Export!C522)),Maps!$A$2:$B$20,2,FALSE()),"UNMAPPED"))</f>
        <v>Nakuru</v>
      </c>
      <c r="D522" s="36" t="str">
        <f aca="false">IF(Raw_Export!$A522="","",IFERROR(VLOOKUP(LOWER(TRIM(Raw_Export!D522)),Maps!$G$2:$I$80,2,FALSE()),"UNMAPPED"))</f>
        <v>Juice 1L</v>
      </c>
      <c r="E522" s="36" t="str">
        <f aca="false">IF(Raw_Export!$A522="","",IFERROR(VLOOKUP(LOWER(TRIM(Raw_Export!D522)),Maps!$G$2:$I$80,3,FALSE()),"UNMAPPED"))</f>
        <v>Beverages</v>
      </c>
      <c r="F522" s="36" t="n">
        <f aca="false">IF(Raw_Export!$A522="","",IFERROR(VALUE(TRIM(Raw_Export!E522)),0))</f>
        <v>2</v>
      </c>
      <c r="G522" s="38" t="n">
        <f aca="false">IF(Raw_Export!$A522="","",IFERROR(VALUE(SUBSTITUTE(SUBSTITUTE(UPPER(TRIM(Raw_Export!F522)),"KES",""),",","")),0))</f>
        <v>210</v>
      </c>
      <c r="H522" s="38" t="n">
        <f aca="false">IF(Raw_Export!$A522="","",F522*G522)</f>
        <v>420</v>
      </c>
      <c r="I522" s="36" t="str">
        <f aca="false">IF(Raw_Export!$A522="","",IFERROR(VLOOKUP(LOWER(TRIM(Raw_Export!H522)),Maps!$D$2:$E$12,2,FALSE()),"Other"))</f>
        <v>Card</v>
      </c>
      <c r="J522" s="36" t="str">
        <f aca="false">IF(Raw_Export!$A522="","",IF(COUNTIF($A$2:A522,A522)&gt;1,"Duplicate",""))</f>
        <v/>
      </c>
      <c r="K522" s="36" t="str">
        <f aca="false">IF(Raw_Export!$A522="","",IF(J522="Duplicate","Duplicate",IF(OR(C522="UNMAPPED",D522="UNMAPPED"),"Unmapped",IF(F522=0,"Blank qty",IF(F522&lt;0,"Return","OK")))))</f>
        <v>OK</v>
      </c>
      <c r="L522" s="36" t="n">
        <f aca="false">IF(Raw_Export!$A522="","",IF(OR(K522="OK",K522="Return"),1,0))</f>
        <v>1</v>
      </c>
      <c r="M522" s="37" t="n">
        <f aca="false">IF(Raw_Export!$A522="","",B522-WEEKDAY(B522,2)+1)</f>
        <v>46265</v>
      </c>
    </row>
    <row r="523" customFormat="false" ht="15" hidden="false" customHeight="false" outlineLevel="0" collapsed="false">
      <c r="A523" s="36" t="str">
        <f aca="false">IF(Raw_Export!$A523="","",TRIM(Raw_Export!A523))</f>
        <v>TXN-100511</v>
      </c>
      <c r="B523" s="37" t="n">
        <f aca="false">IF(Raw_Export!$A523="","",IF(ISNUMBER(Raw_Export!B523),Raw_Export!B523,IF(MID(TRIM(Raw_Export!B523),5,1)="-",DATE(LEFT(TRIM(Raw_Export!B523),4),MID(TRIM(Raw_Export!B523),6,2),RIGHT(TRIM(Raw_Export!B523),2)),DATE(RIGHT(TRIM(Raw_Export!B523),4),MATCH(MID(TRIM(Raw_Export!B523),4,3),{"Jan","Feb","Mar","Apr","May","Jun","Jul","Aug","Sep","Oct","Nov","Dec"},0),LEFT(TRIM(Raw_Export!B523),2)))))</f>
        <v>46268</v>
      </c>
      <c r="C523" s="36" t="str">
        <f aca="false">IF(Raw_Export!$A523="","",IFERROR(VLOOKUP(LOWER(TRIM(Raw_Export!C523)),Maps!$A$2:$B$20,2,FALSE()),"UNMAPPED"))</f>
        <v>Nakuru</v>
      </c>
      <c r="D523" s="36" t="str">
        <f aca="false">IF(Raw_Export!$A523="","",IFERROR(VLOOKUP(LOWER(TRIM(Raw_Export!D523)),Maps!$G$2:$I$80,2,FALSE()),"UNMAPPED"))</f>
        <v>Tea Leaves 250g</v>
      </c>
      <c r="E523" s="36" t="str">
        <f aca="false">IF(Raw_Export!$A523="","",IFERROR(VLOOKUP(LOWER(TRIM(Raw_Export!D523)),Maps!$G$2:$I$80,3,FALSE()),"UNMAPPED"))</f>
        <v>Beverages</v>
      </c>
      <c r="F523" s="36" t="n">
        <f aca="false">IF(Raw_Export!$A523="","",IFERROR(VALUE(TRIM(Raw_Export!E523)),0))</f>
        <v>1</v>
      </c>
      <c r="G523" s="38" t="n">
        <f aca="false">IF(Raw_Export!$A523="","",IFERROR(VALUE(SUBSTITUTE(SUBSTITUTE(UPPER(TRIM(Raw_Export!F523)),"KES",""),",","")),0))</f>
        <v>150</v>
      </c>
      <c r="H523" s="38" t="n">
        <f aca="false">IF(Raw_Export!$A523="","",F523*G523)</f>
        <v>150</v>
      </c>
      <c r="I523" s="36" t="str">
        <f aca="false">IF(Raw_Export!$A523="","",IFERROR(VLOOKUP(LOWER(TRIM(Raw_Export!H523)),Maps!$D$2:$E$12,2,FALSE()),"Other"))</f>
        <v>M-Pesa</v>
      </c>
      <c r="J523" s="36" t="str">
        <f aca="false">IF(Raw_Export!$A523="","",IF(COUNTIF($A$2:A523,A523)&gt;1,"Duplicate",""))</f>
        <v/>
      </c>
      <c r="K523" s="36" t="str">
        <f aca="false">IF(Raw_Export!$A523="","",IF(J523="Duplicate","Duplicate",IF(OR(C523="UNMAPPED",D523="UNMAPPED"),"Unmapped",IF(F523=0,"Blank qty",IF(F523&lt;0,"Return","OK")))))</f>
        <v>OK</v>
      </c>
      <c r="L523" s="36" t="n">
        <f aca="false">IF(Raw_Export!$A523="","",IF(OR(K523="OK",K523="Return"),1,0))</f>
        <v>1</v>
      </c>
      <c r="M523" s="37" t="n">
        <f aca="false">IF(Raw_Export!$A523="","",B523-WEEKDAY(B523,2)+1)</f>
        <v>46265</v>
      </c>
    </row>
    <row r="524" customFormat="false" ht="15" hidden="false" customHeight="false" outlineLevel="0" collapsed="false">
      <c r="A524" s="36" t="str">
        <f aca="false">IF(Raw_Export!$A524="","",TRIM(Raw_Export!A524))</f>
        <v>TXN-100512</v>
      </c>
      <c r="B524" s="37" t="n">
        <f aca="false">IF(Raw_Export!$A524="","",IF(ISNUMBER(Raw_Export!B524),Raw_Export!B524,IF(MID(TRIM(Raw_Export!B524),5,1)="-",DATE(LEFT(TRIM(Raw_Export!B524),4),MID(TRIM(Raw_Export!B524),6,2),RIGHT(TRIM(Raw_Export!B524),2)),DATE(RIGHT(TRIM(Raw_Export!B524),4),MATCH(MID(TRIM(Raw_Export!B524),4,3),{"Jan","Feb","Mar","Apr","May","Jun","Jul","Aug","Sep","Oct","Nov","Dec"},0),LEFT(TRIM(Raw_Export!B524),2)))))</f>
        <v>46268</v>
      </c>
      <c r="C524" s="36" t="str">
        <f aca="false">IF(Raw_Export!$A524="","",IFERROR(VLOOKUP(LOWER(TRIM(Raw_Export!C524)),Maps!$A$2:$B$20,2,FALSE()),"UNMAPPED"))</f>
        <v>Nakuru</v>
      </c>
      <c r="D524" s="36" t="str">
        <f aca="false">IF(Raw_Export!$A524="","",IFERROR(VLOOKUP(LOWER(TRIM(Raw_Export!D524)),Maps!$G$2:$I$80,2,FALSE()),"UNMAPPED"))</f>
        <v>Matches 10pk</v>
      </c>
      <c r="E524" s="36" t="str">
        <f aca="false">IF(Raw_Export!$A524="","",IFERROR(VLOOKUP(LOWER(TRIM(Raw_Export!D524)),Maps!$G$2:$I$80,3,FALSE()),"UNMAPPED"))</f>
        <v>Household</v>
      </c>
      <c r="F524" s="36" t="n">
        <f aca="false">IF(Raw_Export!$A524="","",IFERROR(VALUE(TRIM(Raw_Export!E524)),0))</f>
        <v>4</v>
      </c>
      <c r="G524" s="38" t="n">
        <f aca="false">IF(Raw_Export!$A524="","",IFERROR(VALUE(SUBSTITUTE(SUBSTITUTE(UPPER(TRIM(Raw_Export!F524)),"KES",""),",","")),0))</f>
        <v>50</v>
      </c>
      <c r="H524" s="38" t="n">
        <f aca="false">IF(Raw_Export!$A524="","",F524*G524)</f>
        <v>200</v>
      </c>
      <c r="I524" s="36" t="str">
        <f aca="false">IF(Raw_Export!$A524="","",IFERROR(VLOOKUP(LOWER(TRIM(Raw_Export!H524)),Maps!$D$2:$E$12,2,FALSE()),"Other"))</f>
        <v>M-Pesa</v>
      </c>
      <c r="J524" s="36" t="str">
        <f aca="false">IF(Raw_Export!$A524="","",IF(COUNTIF($A$2:A524,A524)&gt;1,"Duplicate",""))</f>
        <v/>
      </c>
      <c r="K524" s="36" t="str">
        <f aca="false">IF(Raw_Export!$A524="","",IF(J524="Duplicate","Duplicate",IF(OR(C524="UNMAPPED",D524="UNMAPPED"),"Unmapped",IF(F524=0,"Blank qty",IF(F524&lt;0,"Return","OK")))))</f>
        <v>OK</v>
      </c>
      <c r="L524" s="36" t="n">
        <f aca="false">IF(Raw_Export!$A524="","",IF(OR(K524="OK",K524="Return"),1,0))</f>
        <v>1</v>
      </c>
      <c r="M524" s="37" t="n">
        <f aca="false">IF(Raw_Export!$A524="","",B524-WEEKDAY(B524,2)+1)</f>
        <v>46265</v>
      </c>
    </row>
    <row r="525" customFormat="false" ht="15" hidden="false" customHeight="false" outlineLevel="0" collapsed="false">
      <c r="A525" s="36" t="str">
        <f aca="false">IF(Raw_Export!$A525="","",TRIM(Raw_Export!A525))</f>
        <v>TXN-100513</v>
      </c>
      <c r="B525" s="37" t="n">
        <f aca="false">IF(Raw_Export!$A525="","",IF(ISNUMBER(Raw_Export!B525),Raw_Export!B525,IF(MID(TRIM(Raw_Export!B525),5,1)="-",DATE(LEFT(TRIM(Raw_Export!B525),4),MID(TRIM(Raw_Export!B525),6,2),RIGHT(TRIM(Raw_Export!B525),2)),DATE(RIGHT(TRIM(Raw_Export!B525),4),MATCH(MID(TRIM(Raw_Export!B525),4,3),{"Jan","Feb","Mar","Apr","May","Jun","Jul","Aug","Sep","Oct","Nov","Dec"},0),LEFT(TRIM(Raw_Export!B525),2)))))</f>
        <v>46268</v>
      </c>
      <c r="C525" s="36" t="str">
        <f aca="false">IF(Raw_Export!$A525="","",IFERROR(VLOOKUP(LOWER(TRIM(Raw_Export!C525)),Maps!$A$2:$B$20,2,FALSE()),"UNMAPPED"))</f>
        <v>Nakuru</v>
      </c>
      <c r="D525" s="36" t="str">
        <f aca="false">IF(Raw_Export!$A525="","",IFERROR(VLOOKUP(LOWER(TRIM(Raw_Export!D525)),Maps!$G$2:$I$80,2,FALSE()),"UNMAPPED"))</f>
        <v>Eggs Tray 30</v>
      </c>
      <c r="E525" s="36" t="str">
        <f aca="false">IF(Raw_Export!$A525="","",IFERROR(VLOOKUP(LOWER(TRIM(Raw_Export!D525)),Maps!$G$2:$I$80,3,FALSE()),"UNMAPPED"))</f>
        <v>Dairy &amp; Eggs</v>
      </c>
      <c r="F525" s="36" t="n">
        <f aca="false">IF(Raw_Export!$A525="","",IFERROR(VALUE(TRIM(Raw_Export!E525)),0))</f>
        <v>6</v>
      </c>
      <c r="G525" s="38" t="n">
        <f aca="false">IF(Raw_Export!$A525="","",IFERROR(VALUE(SUBSTITUTE(SUBSTITUTE(UPPER(TRIM(Raw_Export!F525)),"KES",""),",","")),0))</f>
        <v>450</v>
      </c>
      <c r="H525" s="38" t="n">
        <f aca="false">IF(Raw_Export!$A525="","",F525*G525)</f>
        <v>2700</v>
      </c>
      <c r="I525" s="36" t="str">
        <f aca="false">IF(Raw_Export!$A525="","",IFERROR(VLOOKUP(LOWER(TRIM(Raw_Export!H525)),Maps!$D$2:$E$12,2,FALSE()),"Other"))</f>
        <v>M-Pesa</v>
      </c>
      <c r="J525" s="36" t="str">
        <f aca="false">IF(Raw_Export!$A525="","",IF(COUNTIF($A$2:A525,A525)&gt;1,"Duplicate",""))</f>
        <v/>
      </c>
      <c r="K525" s="36" t="str">
        <f aca="false">IF(Raw_Export!$A525="","",IF(J525="Duplicate","Duplicate",IF(OR(C525="UNMAPPED",D525="UNMAPPED"),"Unmapped",IF(F525=0,"Blank qty",IF(F525&lt;0,"Return","OK")))))</f>
        <v>OK</v>
      </c>
      <c r="L525" s="36" t="n">
        <f aca="false">IF(Raw_Export!$A525="","",IF(OR(K525="OK",K525="Return"),1,0))</f>
        <v>1</v>
      </c>
      <c r="M525" s="37" t="n">
        <f aca="false">IF(Raw_Export!$A525="","",B525-WEEKDAY(B525,2)+1)</f>
        <v>46265</v>
      </c>
    </row>
    <row r="526" customFormat="false" ht="15" hidden="false" customHeight="false" outlineLevel="0" collapsed="false">
      <c r="A526" s="36" t="str">
        <f aca="false">IF(Raw_Export!$A526="","",TRIM(Raw_Export!A526))</f>
        <v>TXN-100514</v>
      </c>
      <c r="B526" s="37" t="n">
        <f aca="false">IF(Raw_Export!$A526="","",IF(ISNUMBER(Raw_Export!B526),Raw_Export!B526,IF(MID(TRIM(Raw_Export!B526),5,1)="-",DATE(LEFT(TRIM(Raw_Export!B526),4),MID(TRIM(Raw_Export!B526),6,2),RIGHT(TRIM(Raw_Export!B526),2)),DATE(RIGHT(TRIM(Raw_Export!B526),4),MATCH(MID(TRIM(Raw_Export!B526),4,3),{"Jan","Feb","Mar","Apr","May","Jun","Jul","Aug","Sep","Oct","Nov","Dec"},0),LEFT(TRIM(Raw_Export!B526),2)))))</f>
        <v>46269</v>
      </c>
      <c r="C526" s="36" t="str">
        <f aca="false">IF(Raw_Export!$A526="","",IFERROR(VLOOKUP(LOWER(TRIM(Raw_Export!C526)),Maps!$A$2:$B$20,2,FALSE()),"UNMAPPED"))</f>
        <v>Nairobi CBD</v>
      </c>
      <c r="D526" s="36" t="str">
        <f aca="false">IF(Raw_Export!$A526="","",IFERROR(VLOOKUP(LOWER(TRIM(Raw_Export!D526)),Maps!$G$2:$I$80,2,FALSE()),"UNMAPPED"))</f>
        <v>Crisps 100g</v>
      </c>
      <c r="E526" s="36" t="str">
        <f aca="false">IF(Raw_Export!$A526="","",IFERROR(VLOOKUP(LOWER(TRIM(Raw_Export!D526)),Maps!$G$2:$I$80,3,FALSE()),"UNMAPPED"))</f>
        <v>Snacks</v>
      </c>
      <c r="F526" s="36" t="n">
        <f aca="false">IF(Raw_Export!$A526="","",IFERROR(VALUE(TRIM(Raw_Export!E526)),0))</f>
        <v>1</v>
      </c>
      <c r="G526" s="38" t="n">
        <f aca="false">IF(Raw_Export!$A526="","",IFERROR(VALUE(SUBSTITUTE(SUBSTITUTE(UPPER(TRIM(Raw_Export!F526)),"KES",""),",","")),0))</f>
        <v>80</v>
      </c>
      <c r="H526" s="38" t="n">
        <f aca="false">IF(Raw_Export!$A526="","",F526*G526)</f>
        <v>80</v>
      </c>
      <c r="I526" s="36" t="str">
        <f aca="false">IF(Raw_Export!$A526="","",IFERROR(VLOOKUP(LOWER(TRIM(Raw_Export!H526)),Maps!$D$2:$E$12,2,FALSE()),"Other"))</f>
        <v>Cash</v>
      </c>
      <c r="J526" s="36" t="str">
        <f aca="false">IF(Raw_Export!$A526="","",IF(COUNTIF($A$2:A526,A526)&gt;1,"Duplicate",""))</f>
        <v/>
      </c>
      <c r="K526" s="36" t="str">
        <f aca="false">IF(Raw_Export!$A526="","",IF(J526="Duplicate","Duplicate",IF(OR(C526="UNMAPPED",D526="UNMAPPED"),"Unmapped",IF(F526=0,"Blank qty",IF(F526&lt;0,"Return","OK")))))</f>
        <v>OK</v>
      </c>
      <c r="L526" s="36" t="n">
        <f aca="false">IF(Raw_Export!$A526="","",IF(OR(K526="OK",K526="Return"),1,0))</f>
        <v>1</v>
      </c>
      <c r="M526" s="37" t="n">
        <f aca="false">IF(Raw_Export!$A526="","",B526-WEEKDAY(B526,2)+1)</f>
        <v>46265</v>
      </c>
    </row>
    <row r="527" customFormat="false" ht="15" hidden="false" customHeight="false" outlineLevel="0" collapsed="false">
      <c r="A527" s="36" t="str">
        <f aca="false">IF(Raw_Export!$A527="","",TRIM(Raw_Export!A527))</f>
        <v>TXN-101446</v>
      </c>
      <c r="B527" s="37" t="n">
        <f aca="false">IF(Raw_Export!$A527="","",IF(ISNUMBER(Raw_Export!B527),Raw_Export!B527,IF(MID(TRIM(Raw_Export!B527),5,1)="-",DATE(LEFT(TRIM(Raw_Export!B527),4),MID(TRIM(Raw_Export!B527),6,2),RIGHT(TRIM(Raw_Export!B527),2)),DATE(RIGHT(TRIM(Raw_Export!B527),4),MATCH(MID(TRIM(Raw_Export!B527),4,3),{"Jan","Feb","Mar","Apr","May","Jun","Jul","Aug","Sep","Oct","Nov","Dec"},0),LEFT(TRIM(Raw_Export!B527),2)))))</f>
        <v>46274</v>
      </c>
      <c r="C527" s="36" t="str">
        <f aca="false">IF(Raw_Export!$A527="","",IFERROR(VLOOKUP(LOWER(TRIM(Raw_Export!C527)),Maps!$A$2:$B$20,2,FALSE()),"UNMAPPED"))</f>
        <v>Nakuru</v>
      </c>
      <c r="D527" s="36" t="str">
        <f aca="false">IF(Raw_Export!$A527="","",IFERROR(VLOOKUP(LOWER(TRIM(Raw_Export!D527)),Maps!$G$2:$I$80,2,FALSE()),"UNMAPPED"))</f>
        <v>Biscuits 200g</v>
      </c>
      <c r="E527" s="36" t="str">
        <f aca="false">IF(Raw_Export!$A527="","",IFERROR(VLOOKUP(LOWER(TRIM(Raw_Export!D527)),Maps!$G$2:$I$80,3,FALSE()),"UNMAPPED"))</f>
        <v>Snacks</v>
      </c>
      <c r="F527" s="36" t="n">
        <f aca="false">IF(Raw_Export!$A527="","",IFERROR(VALUE(TRIM(Raw_Export!E527)),0))</f>
        <v>1</v>
      </c>
      <c r="G527" s="38" t="n">
        <f aca="false">IF(Raw_Export!$A527="","",IFERROR(VALUE(SUBSTITUTE(SUBSTITUTE(UPPER(TRIM(Raw_Export!F527)),"KES",""),",","")),0))</f>
        <v>95</v>
      </c>
      <c r="H527" s="38" t="n">
        <f aca="false">IF(Raw_Export!$A527="","",F527*G527)</f>
        <v>95</v>
      </c>
      <c r="I527" s="36" t="str">
        <f aca="false">IF(Raw_Export!$A527="","",IFERROR(VLOOKUP(LOWER(TRIM(Raw_Export!H527)),Maps!$D$2:$E$12,2,FALSE()),"Other"))</f>
        <v>Cash</v>
      </c>
      <c r="J527" s="36" t="str">
        <f aca="false">IF(Raw_Export!$A527="","",IF(COUNTIF($A$2:A527,A527)&gt;1,"Duplicate",""))</f>
        <v/>
      </c>
      <c r="K527" s="36" t="str">
        <f aca="false">IF(Raw_Export!$A527="","",IF(J527="Duplicate","Duplicate",IF(OR(C527="UNMAPPED",D527="UNMAPPED"),"Unmapped",IF(F527=0,"Blank qty",IF(F527&lt;0,"Return","OK")))))</f>
        <v>OK</v>
      </c>
      <c r="L527" s="36" t="n">
        <f aca="false">IF(Raw_Export!$A527="","",IF(OR(K527="OK",K527="Return"),1,0))</f>
        <v>1</v>
      </c>
      <c r="M527" s="37" t="n">
        <f aca="false">IF(Raw_Export!$A527="","",B527-WEEKDAY(B527,2)+1)</f>
        <v>46272</v>
      </c>
    </row>
    <row r="528" customFormat="false" ht="15" hidden="false" customHeight="false" outlineLevel="0" collapsed="false">
      <c r="A528" s="36" t="str">
        <f aca="false">IF(Raw_Export!$A528="","",TRIM(Raw_Export!A528))</f>
        <v>TXN-100515</v>
      </c>
      <c r="B528" s="37" t="n">
        <f aca="false">IF(Raw_Export!$A528="","",IF(ISNUMBER(Raw_Export!B528),Raw_Export!B528,IF(MID(TRIM(Raw_Export!B528),5,1)="-",DATE(LEFT(TRIM(Raw_Export!B528),4),MID(TRIM(Raw_Export!B528),6,2),RIGHT(TRIM(Raw_Export!B528),2)),DATE(RIGHT(TRIM(Raw_Export!B528),4),MATCH(MID(TRIM(Raw_Export!B528),4,3),{"Jan","Feb","Mar","Apr","May","Jun","Jul","Aug","Sep","Oct","Nov","Dec"},0),LEFT(TRIM(Raw_Export!B528),2)))))</f>
        <v>46269</v>
      </c>
      <c r="C528" s="36" t="str">
        <f aca="false">IF(Raw_Export!$A528="","",IFERROR(VLOOKUP(LOWER(TRIM(Raw_Export!C528)),Maps!$A$2:$B$20,2,FALSE()),"UNMAPPED"))</f>
        <v>Nairobi CBD</v>
      </c>
      <c r="D528" s="36" t="str">
        <f aca="false">IF(Raw_Export!$A528="","",IFERROR(VLOOKUP(LOWER(TRIM(Raw_Export!D528)),Maps!$G$2:$I$80,2,FALSE()),"UNMAPPED"))</f>
        <v>Cheddar 200g</v>
      </c>
      <c r="E528" s="36" t="str">
        <f aca="false">IF(Raw_Export!$A528="","",IFERROR(VLOOKUP(LOWER(TRIM(Raw_Export!D528)),Maps!$G$2:$I$80,3,FALSE()),"UNMAPPED"))</f>
        <v>Dairy &amp; Eggs</v>
      </c>
      <c r="F528" s="36" t="n">
        <f aca="false">IF(Raw_Export!$A528="","",IFERROR(VALUE(TRIM(Raw_Export!E528)),0))</f>
        <v>4</v>
      </c>
      <c r="G528" s="38" t="n">
        <f aca="false">IF(Raw_Export!$A528="","",IFERROR(VALUE(SUBSTITUTE(SUBSTITUTE(UPPER(TRIM(Raw_Export!F528)),"KES",""),",","")),0))</f>
        <v>380</v>
      </c>
      <c r="H528" s="38" t="n">
        <f aca="false">IF(Raw_Export!$A528="","",F528*G528)</f>
        <v>1520</v>
      </c>
      <c r="I528" s="36" t="str">
        <f aca="false">IF(Raw_Export!$A528="","",IFERROR(VLOOKUP(LOWER(TRIM(Raw_Export!H528)),Maps!$D$2:$E$12,2,FALSE()),"Other"))</f>
        <v>Cash</v>
      </c>
      <c r="J528" s="36" t="str">
        <f aca="false">IF(Raw_Export!$A528="","",IF(COUNTIF($A$2:A528,A528)&gt;1,"Duplicate",""))</f>
        <v/>
      </c>
      <c r="K528" s="36" t="str">
        <f aca="false">IF(Raw_Export!$A528="","",IF(J528="Duplicate","Duplicate",IF(OR(C528="UNMAPPED",D528="UNMAPPED"),"Unmapped",IF(F528=0,"Blank qty",IF(F528&lt;0,"Return","OK")))))</f>
        <v>OK</v>
      </c>
      <c r="L528" s="36" t="n">
        <f aca="false">IF(Raw_Export!$A528="","",IF(OR(K528="OK",K528="Return"),1,0))</f>
        <v>1</v>
      </c>
      <c r="M528" s="37" t="n">
        <f aca="false">IF(Raw_Export!$A528="","",B528-WEEKDAY(B528,2)+1)</f>
        <v>46265</v>
      </c>
    </row>
    <row r="529" customFormat="false" ht="15" hidden="false" customHeight="false" outlineLevel="0" collapsed="false">
      <c r="A529" s="36" t="str">
        <f aca="false">IF(Raw_Export!$A529="","",TRIM(Raw_Export!A529))</f>
        <v>TXN-100516</v>
      </c>
      <c r="B529" s="37" t="n">
        <f aca="false">IF(Raw_Export!$A529="","",IF(ISNUMBER(Raw_Export!B529),Raw_Export!B529,IF(MID(TRIM(Raw_Export!B529),5,1)="-",DATE(LEFT(TRIM(Raw_Export!B529),4),MID(TRIM(Raw_Export!B529),6,2),RIGHT(TRIM(Raw_Export!B529),2)),DATE(RIGHT(TRIM(Raw_Export!B529),4),MATCH(MID(TRIM(Raw_Export!B529),4,3),{"Jan","Feb","Mar","Apr","May","Jun","Jul","Aug","Sep","Oct","Nov","Dec"},0),LEFT(TRIM(Raw_Export!B529),2)))))</f>
        <v>46269</v>
      </c>
      <c r="C529" s="36" t="str">
        <f aca="false">IF(Raw_Export!$A529="","",IFERROR(VLOOKUP(LOWER(TRIM(Raw_Export!C529)),Maps!$A$2:$B$20,2,FALSE()),"UNMAPPED"))</f>
        <v>Nairobi CBD</v>
      </c>
      <c r="D529" s="36" t="str">
        <f aca="false">IF(Raw_Export!$A529="","",IFERROR(VLOOKUP(LOWER(TRIM(Raw_Export!D529)),Maps!$G$2:$I$80,2,FALSE()),"UNMAPPED"))</f>
        <v>Yoghurt 500ml</v>
      </c>
      <c r="E529" s="36" t="str">
        <f aca="false">IF(Raw_Export!$A529="","",IFERROR(VLOOKUP(LOWER(TRIM(Raw_Export!D529)),Maps!$G$2:$I$80,3,FALSE()),"UNMAPPED"))</f>
        <v>Dairy &amp; Eggs</v>
      </c>
      <c r="F529" s="36" t="n">
        <f aca="false">IF(Raw_Export!$A529="","",IFERROR(VALUE(TRIM(Raw_Export!E529)),0))</f>
        <v>6</v>
      </c>
      <c r="G529" s="38" t="n">
        <f aca="false">IF(Raw_Export!$A529="","",IFERROR(VALUE(SUBSTITUTE(SUBSTITUTE(UPPER(TRIM(Raw_Export!F529)),"KES",""),",","")),0))</f>
        <v>120</v>
      </c>
      <c r="H529" s="38" t="n">
        <f aca="false">IF(Raw_Export!$A529="","",F529*G529)</f>
        <v>720</v>
      </c>
      <c r="I529" s="36" t="str">
        <f aca="false">IF(Raw_Export!$A529="","",IFERROR(VLOOKUP(LOWER(TRIM(Raw_Export!H529)),Maps!$D$2:$E$12,2,FALSE()),"Other"))</f>
        <v>M-Pesa</v>
      </c>
      <c r="J529" s="36" t="str">
        <f aca="false">IF(Raw_Export!$A529="","",IF(COUNTIF($A$2:A529,A529)&gt;1,"Duplicate",""))</f>
        <v/>
      </c>
      <c r="K529" s="36" t="str">
        <f aca="false">IF(Raw_Export!$A529="","",IF(J529="Duplicate","Duplicate",IF(OR(C529="UNMAPPED",D529="UNMAPPED"),"Unmapped",IF(F529=0,"Blank qty",IF(F529&lt;0,"Return","OK")))))</f>
        <v>OK</v>
      </c>
      <c r="L529" s="36" t="n">
        <f aca="false">IF(Raw_Export!$A529="","",IF(OR(K529="OK",K529="Return"),1,0))</f>
        <v>1</v>
      </c>
      <c r="M529" s="37" t="n">
        <f aca="false">IF(Raw_Export!$A529="","",B529-WEEKDAY(B529,2)+1)</f>
        <v>46265</v>
      </c>
    </row>
    <row r="530" customFormat="false" ht="15" hidden="false" customHeight="false" outlineLevel="0" collapsed="false">
      <c r="A530" s="36" t="str">
        <f aca="false">IF(Raw_Export!$A530="","",TRIM(Raw_Export!A530))</f>
        <v>TXN-100517</v>
      </c>
      <c r="B530" s="37" t="n">
        <f aca="false">IF(Raw_Export!$A530="","",IF(ISNUMBER(Raw_Export!B530),Raw_Export!B530,IF(MID(TRIM(Raw_Export!B530),5,1)="-",DATE(LEFT(TRIM(Raw_Export!B530),4),MID(TRIM(Raw_Export!B530),6,2),RIGHT(TRIM(Raw_Export!B530),2)),DATE(RIGHT(TRIM(Raw_Export!B530),4),MATCH(MID(TRIM(Raw_Export!B530),4,3),{"Jan","Feb","Mar","Apr","May","Jun","Jul","Aug","Sep","Oct","Nov","Dec"},0),LEFT(TRIM(Raw_Export!B530),2)))))</f>
        <v>46269</v>
      </c>
      <c r="C530" s="36" t="str">
        <f aca="false">IF(Raw_Export!$A530="","",IFERROR(VLOOKUP(LOWER(TRIM(Raw_Export!C530)),Maps!$A$2:$B$20,2,FALSE()),"UNMAPPED"))</f>
        <v>Nairobi CBD</v>
      </c>
      <c r="D530" s="36" t="str">
        <f aca="false">IF(Raw_Export!$A530="","",IFERROR(VLOOKUP(LOWER(TRIM(Raw_Export!D530)),Maps!$G$2:$I$80,2,FALSE()),"UNMAPPED"))</f>
        <v>Body Lotion 400ml</v>
      </c>
      <c r="E530" s="36" t="str">
        <f aca="false">IF(Raw_Export!$A530="","",IFERROR(VLOOKUP(LOWER(TRIM(Raw_Export!D530)),Maps!$G$2:$I$80,3,FALSE()),"UNMAPPED"))</f>
        <v>Personal Care</v>
      </c>
      <c r="F530" s="36" t="n">
        <f aca="false">IF(Raw_Export!$A530="","",IFERROR(VALUE(TRIM(Raw_Export!E530)),0))</f>
        <v>6</v>
      </c>
      <c r="G530" s="38" t="n">
        <f aca="false">IF(Raw_Export!$A530="","",IFERROR(VALUE(SUBSTITUTE(SUBSTITUTE(UPPER(TRIM(Raw_Export!F530)),"KES",""),",","")),0))</f>
        <v>420</v>
      </c>
      <c r="H530" s="38" t="n">
        <f aca="false">IF(Raw_Export!$A530="","",F530*G530)</f>
        <v>2520</v>
      </c>
      <c r="I530" s="36" t="str">
        <f aca="false">IF(Raw_Export!$A530="","",IFERROR(VLOOKUP(LOWER(TRIM(Raw_Export!H530)),Maps!$D$2:$E$12,2,FALSE()),"Other"))</f>
        <v>Cash</v>
      </c>
      <c r="J530" s="36" t="str">
        <f aca="false">IF(Raw_Export!$A530="","",IF(COUNTIF($A$2:A530,A530)&gt;1,"Duplicate",""))</f>
        <v/>
      </c>
      <c r="K530" s="36" t="str">
        <f aca="false">IF(Raw_Export!$A530="","",IF(J530="Duplicate","Duplicate",IF(OR(C530="UNMAPPED",D530="UNMAPPED"),"Unmapped",IF(F530=0,"Blank qty",IF(F530&lt;0,"Return","OK")))))</f>
        <v>OK</v>
      </c>
      <c r="L530" s="36" t="n">
        <f aca="false">IF(Raw_Export!$A530="","",IF(OR(K530="OK",K530="Return"),1,0))</f>
        <v>1</v>
      </c>
      <c r="M530" s="37" t="n">
        <f aca="false">IF(Raw_Export!$A530="","",B530-WEEKDAY(B530,2)+1)</f>
        <v>46265</v>
      </c>
    </row>
    <row r="531" customFormat="false" ht="15" hidden="false" customHeight="false" outlineLevel="0" collapsed="false">
      <c r="A531" s="36" t="str">
        <f aca="false">IF(Raw_Export!$A531="","",TRIM(Raw_Export!A531))</f>
        <v>TXN-100518</v>
      </c>
      <c r="B531" s="37" t="n">
        <f aca="false">IF(Raw_Export!$A531="","",IF(ISNUMBER(Raw_Export!B531),Raw_Export!B531,IF(MID(TRIM(Raw_Export!B531),5,1)="-",DATE(LEFT(TRIM(Raw_Export!B531),4),MID(TRIM(Raw_Export!B531),6,2),RIGHT(TRIM(Raw_Export!B531),2)),DATE(RIGHT(TRIM(Raw_Export!B531),4),MATCH(MID(TRIM(Raw_Export!B531),4,3),{"Jan","Feb","Mar","Apr","May","Jun","Jul","Aug","Sep","Oct","Nov","Dec"},0),LEFT(TRIM(Raw_Export!B531),2)))))</f>
        <v>46269</v>
      </c>
      <c r="C531" s="36" t="str">
        <f aca="false">IF(Raw_Export!$A531="","",IFERROR(VLOOKUP(LOWER(TRIM(Raw_Export!C531)),Maps!$A$2:$B$20,2,FALSE()),"UNMAPPED"))</f>
        <v>Nairobi CBD</v>
      </c>
      <c r="D531" s="36" t="str">
        <f aca="false">IF(Raw_Export!$A531="","",IFERROR(VLOOKUP(LOWER(TRIM(Raw_Export!D531)),Maps!$G$2:$I$80,2,FALSE()),"UNMAPPED"))</f>
        <v>Cooking Oil 1L</v>
      </c>
      <c r="E531" s="36" t="str">
        <f aca="false">IF(Raw_Export!$A531="","",IFERROR(VLOOKUP(LOWER(TRIM(Raw_Export!D531)),Maps!$G$2:$I$80,3,FALSE()),"UNMAPPED"))</f>
        <v>Staples</v>
      </c>
      <c r="F531" s="36" t="n">
        <f aca="false">IF(Raw_Export!$A531="","",IFERROR(VALUE(TRIM(Raw_Export!E531)),0))</f>
        <v>6</v>
      </c>
      <c r="G531" s="38" t="n">
        <f aca="false">IF(Raw_Export!$A531="","",IFERROR(VALUE(SUBSTITUTE(SUBSTITUTE(UPPER(TRIM(Raw_Export!F531)),"KES",""),",","")),0))</f>
        <v>330</v>
      </c>
      <c r="H531" s="38" t="n">
        <f aca="false">IF(Raw_Export!$A531="","",F531*G531)</f>
        <v>1980</v>
      </c>
      <c r="I531" s="36" t="str">
        <f aca="false">IF(Raw_Export!$A531="","",IFERROR(VLOOKUP(LOWER(TRIM(Raw_Export!H531)),Maps!$D$2:$E$12,2,FALSE()),"Other"))</f>
        <v>M-Pesa</v>
      </c>
      <c r="J531" s="36" t="str">
        <f aca="false">IF(Raw_Export!$A531="","",IF(COUNTIF($A$2:A531,A531)&gt;1,"Duplicate",""))</f>
        <v/>
      </c>
      <c r="K531" s="36" t="str">
        <f aca="false">IF(Raw_Export!$A531="","",IF(J531="Duplicate","Duplicate",IF(OR(C531="UNMAPPED",D531="UNMAPPED"),"Unmapped",IF(F531=0,"Blank qty",IF(F531&lt;0,"Return","OK")))))</f>
        <v>OK</v>
      </c>
      <c r="L531" s="36" t="n">
        <f aca="false">IF(Raw_Export!$A531="","",IF(OR(K531="OK",K531="Return"),1,0))</f>
        <v>1</v>
      </c>
      <c r="M531" s="37" t="n">
        <f aca="false">IF(Raw_Export!$A531="","",B531-WEEKDAY(B531,2)+1)</f>
        <v>46265</v>
      </c>
    </row>
    <row r="532" customFormat="false" ht="15" hidden="false" customHeight="false" outlineLevel="0" collapsed="false">
      <c r="A532" s="36" t="str">
        <f aca="false">IF(Raw_Export!$A532="","",TRIM(Raw_Export!A532))</f>
        <v>TXN-100519</v>
      </c>
      <c r="B532" s="37" t="n">
        <f aca="false">IF(Raw_Export!$A532="","",IF(ISNUMBER(Raw_Export!B532),Raw_Export!B532,IF(MID(TRIM(Raw_Export!B532),5,1)="-",DATE(LEFT(TRIM(Raw_Export!B532),4),MID(TRIM(Raw_Export!B532),6,2),RIGHT(TRIM(Raw_Export!B532),2)),DATE(RIGHT(TRIM(Raw_Export!B532),4),MATCH(MID(TRIM(Raw_Export!B532),4,3),{"Jan","Feb","Mar","Apr","May","Jun","Jul","Aug","Sep","Oct","Nov","Dec"},0),LEFT(TRIM(Raw_Export!B532),2)))))</f>
        <v>46269</v>
      </c>
      <c r="C532" s="36" t="str">
        <f aca="false">IF(Raw_Export!$A532="","",IFERROR(VLOOKUP(LOWER(TRIM(Raw_Export!C532)),Maps!$A$2:$B$20,2,FALSE()),"UNMAPPED"))</f>
        <v>Nairobi CBD</v>
      </c>
      <c r="D532" s="36" t="str">
        <f aca="false">IF(Raw_Export!$A532="","",IFERROR(VLOOKUP(LOWER(TRIM(Raw_Export!D532)),Maps!$G$2:$I$80,2,FALSE()),"UNMAPPED"))</f>
        <v>Butter 250g</v>
      </c>
      <c r="E532" s="36" t="str">
        <f aca="false">IF(Raw_Export!$A532="","",IFERROR(VLOOKUP(LOWER(TRIM(Raw_Export!D532)),Maps!$G$2:$I$80,3,FALSE()),"UNMAPPED"))</f>
        <v>Dairy &amp; Eggs</v>
      </c>
      <c r="F532" s="36" t="n">
        <f aca="false">IF(Raw_Export!$A532="","",IFERROR(VALUE(TRIM(Raw_Export!E532)),0))</f>
        <v>2</v>
      </c>
      <c r="G532" s="38" t="n">
        <f aca="false">IF(Raw_Export!$A532="","",IFERROR(VALUE(SUBSTITUTE(SUBSTITUTE(UPPER(TRIM(Raw_Export!F532)),"KES",""),",","")),0))</f>
        <v>310</v>
      </c>
      <c r="H532" s="38" t="n">
        <f aca="false">IF(Raw_Export!$A532="","",F532*G532)</f>
        <v>620</v>
      </c>
      <c r="I532" s="36" t="str">
        <f aca="false">IF(Raw_Export!$A532="","",IFERROR(VLOOKUP(LOWER(TRIM(Raw_Export!H532)),Maps!$D$2:$E$12,2,FALSE()),"Other"))</f>
        <v>M-Pesa</v>
      </c>
      <c r="J532" s="36" t="str">
        <f aca="false">IF(Raw_Export!$A532="","",IF(COUNTIF($A$2:A532,A532)&gt;1,"Duplicate",""))</f>
        <v/>
      </c>
      <c r="K532" s="36" t="str">
        <f aca="false">IF(Raw_Export!$A532="","",IF(J532="Duplicate","Duplicate",IF(OR(C532="UNMAPPED",D532="UNMAPPED"),"Unmapped",IF(F532=0,"Blank qty",IF(F532&lt;0,"Return","OK")))))</f>
        <v>OK</v>
      </c>
      <c r="L532" s="36" t="n">
        <f aca="false">IF(Raw_Export!$A532="","",IF(OR(K532="OK",K532="Return"),1,0))</f>
        <v>1</v>
      </c>
      <c r="M532" s="37" t="n">
        <f aca="false">IF(Raw_Export!$A532="","",B532-WEEKDAY(B532,2)+1)</f>
        <v>46265</v>
      </c>
    </row>
    <row r="533" customFormat="false" ht="15" hidden="false" customHeight="false" outlineLevel="0" collapsed="false">
      <c r="A533" s="36" t="str">
        <f aca="false">IF(Raw_Export!$A533="","",TRIM(Raw_Export!A533))</f>
        <v>TXN-100520</v>
      </c>
      <c r="B533" s="37" t="n">
        <f aca="false">IF(Raw_Export!$A533="","",IF(ISNUMBER(Raw_Export!B533),Raw_Export!B533,IF(MID(TRIM(Raw_Export!B533),5,1)="-",DATE(LEFT(TRIM(Raw_Export!B533),4),MID(TRIM(Raw_Export!B533),6,2),RIGHT(TRIM(Raw_Export!B533),2)),DATE(RIGHT(TRIM(Raw_Export!B533),4),MATCH(MID(TRIM(Raw_Export!B533),4,3),{"Jan","Feb","Mar","Apr","May","Jun","Jul","Aug","Sep","Oct","Nov","Dec"},0),LEFT(TRIM(Raw_Export!B533),2)))))</f>
        <v>46269</v>
      </c>
      <c r="C533" s="36" t="str">
        <f aca="false">IF(Raw_Export!$A533="","",IFERROR(VLOOKUP(LOWER(TRIM(Raw_Export!C533)),Maps!$A$2:$B$20,2,FALSE()),"UNMAPPED"))</f>
        <v>Nairobi CBD</v>
      </c>
      <c r="D533" s="36" t="str">
        <f aca="false">IF(Raw_Export!$A533="","",IFERROR(VLOOKUP(LOWER(TRIM(Raw_Export!D533)),Maps!$G$2:$I$80,2,FALSE()),"UNMAPPED"))</f>
        <v>Biscuits 200g</v>
      </c>
      <c r="E533" s="36" t="str">
        <f aca="false">IF(Raw_Export!$A533="","",IFERROR(VLOOKUP(LOWER(TRIM(Raw_Export!D533)),Maps!$G$2:$I$80,3,FALSE()),"UNMAPPED"))</f>
        <v>Snacks</v>
      </c>
      <c r="F533" s="36" t="n">
        <f aca="false">IF(Raw_Export!$A533="","",IFERROR(VALUE(TRIM(Raw_Export!E533)),0))</f>
        <v>1</v>
      </c>
      <c r="G533" s="38" t="n">
        <f aca="false">IF(Raw_Export!$A533="","",IFERROR(VALUE(SUBSTITUTE(SUBSTITUTE(UPPER(TRIM(Raw_Export!F533)),"KES",""),",","")),0))</f>
        <v>95</v>
      </c>
      <c r="H533" s="38" t="n">
        <f aca="false">IF(Raw_Export!$A533="","",F533*G533)</f>
        <v>95</v>
      </c>
      <c r="I533" s="36" t="str">
        <f aca="false">IF(Raw_Export!$A533="","",IFERROR(VLOOKUP(LOWER(TRIM(Raw_Export!H533)),Maps!$D$2:$E$12,2,FALSE()),"Other"))</f>
        <v>M-Pesa</v>
      </c>
      <c r="J533" s="36" t="str">
        <f aca="false">IF(Raw_Export!$A533="","",IF(COUNTIF($A$2:A533,A533)&gt;1,"Duplicate",""))</f>
        <v/>
      </c>
      <c r="K533" s="36" t="str">
        <f aca="false">IF(Raw_Export!$A533="","",IF(J533="Duplicate","Duplicate",IF(OR(C533="UNMAPPED",D533="UNMAPPED"),"Unmapped",IF(F533=0,"Blank qty",IF(F533&lt;0,"Return","OK")))))</f>
        <v>OK</v>
      </c>
      <c r="L533" s="36" t="n">
        <f aca="false">IF(Raw_Export!$A533="","",IF(OR(K533="OK",K533="Return"),1,0))</f>
        <v>1</v>
      </c>
      <c r="M533" s="37" t="n">
        <f aca="false">IF(Raw_Export!$A533="","",B533-WEEKDAY(B533,2)+1)</f>
        <v>46265</v>
      </c>
    </row>
    <row r="534" customFormat="false" ht="15" hidden="false" customHeight="false" outlineLevel="0" collapsed="false">
      <c r="A534" s="36" t="str">
        <f aca="false">IF(Raw_Export!$A534="","",TRIM(Raw_Export!A534))</f>
        <v>TXN-100521</v>
      </c>
      <c r="B534" s="37" t="n">
        <f aca="false">IF(Raw_Export!$A534="","",IF(ISNUMBER(Raw_Export!B534),Raw_Export!B534,IF(MID(TRIM(Raw_Export!B534),5,1)="-",DATE(LEFT(TRIM(Raw_Export!B534),4),MID(TRIM(Raw_Export!B534),6,2),RIGHT(TRIM(Raw_Export!B534),2)),DATE(RIGHT(TRIM(Raw_Export!B534),4),MATCH(MID(TRIM(Raw_Export!B534),4,3),{"Jan","Feb","Mar","Apr","May","Jun","Jul","Aug","Sep","Oct","Nov","Dec"},0),LEFT(TRIM(Raw_Export!B534),2)))))</f>
        <v>46269</v>
      </c>
      <c r="C534" s="36" t="str">
        <f aca="false">IF(Raw_Export!$A534="","",IFERROR(VLOOKUP(LOWER(TRIM(Raw_Export!C534)),Maps!$A$2:$B$20,2,FALSE()),"UNMAPPED"))</f>
        <v>Nairobi CBD</v>
      </c>
      <c r="D534" s="36" t="str">
        <f aca="false">IF(Raw_Export!$A534="","",IFERROR(VLOOKUP(LOWER(TRIM(Raw_Export!D534)),Maps!$G$2:$I$80,2,FALSE()),"UNMAPPED"))</f>
        <v>Sugar 2kg</v>
      </c>
      <c r="E534" s="36" t="str">
        <f aca="false">IF(Raw_Export!$A534="","",IFERROR(VLOOKUP(LOWER(TRIM(Raw_Export!D534)),Maps!$G$2:$I$80,3,FALSE()),"UNMAPPED"))</f>
        <v>Staples</v>
      </c>
      <c r="F534" s="36" t="n">
        <f aca="false">IF(Raw_Export!$A534="","",IFERROR(VALUE(TRIM(Raw_Export!E534)),0))</f>
        <v>1</v>
      </c>
      <c r="G534" s="38" t="n">
        <f aca="false">IF(Raw_Export!$A534="","",IFERROR(VALUE(SUBSTITUTE(SUBSTITUTE(UPPER(TRIM(Raw_Export!F534)),"KES",""),",","")),0))</f>
        <v>330</v>
      </c>
      <c r="H534" s="38" t="n">
        <f aca="false">IF(Raw_Export!$A534="","",F534*G534)</f>
        <v>330</v>
      </c>
      <c r="I534" s="36" t="str">
        <f aca="false">IF(Raw_Export!$A534="","",IFERROR(VLOOKUP(LOWER(TRIM(Raw_Export!H534)),Maps!$D$2:$E$12,2,FALSE()),"Other"))</f>
        <v>Cash</v>
      </c>
      <c r="J534" s="36" t="str">
        <f aca="false">IF(Raw_Export!$A534="","",IF(COUNTIF($A$2:A534,A534)&gt;1,"Duplicate",""))</f>
        <v/>
      </c>
      <c r="K534" s="36" t="str">
        <f aca="false">IF(Raw_Export!$A534="","",IF(J534="Duplicate","Duplicate",IF(OR(C534="UNMAPPED",D534="UNMAPPED"),"Unmapped",IF(F534=0,"Blank qty",IF(F534&lt;0,"Return","OK")))))</f>
        <v>OK</v>
      </c>
      <c r="L534" s="36" t="n">
        <f aca="false">IF(Raw_Export!$A534="","",IF(OR(K534="OK",K534="Return"),1,0))</f>
        <v>1</v>
      </c>
      <c r="M534" s="37" t="n">
        <f aca="false">IF(Raw_Export!$A534="","",B534-WEEKDAY(B534,2)+1)</f>
        <v>46265</v>
      </c>
    </row>
    <row r="535" customFormat="false" ht="15" hidden="false" customHeight="false" outlineLevel="0" collapsed="false">
      <c r="A535" s="36" t="str">
        <f aca="false">IF(Raw_Export!$A535="","",TRIM(Raw_Export!A535))</f>
        <v>TXN-100522</v>
      </c>
      <c r="B535" s="37" t="n">
        <f aca="false">IF(Raw_Export!$A535="","",IF(ISNUMBER(Raw_Export!B535),Raw_Export!B535,IF(MID(TRIM(Raw_Export!B535),5,1)="-",DATE(LEFT(TRIM(Raw_Export!B535),4),MID(TRIM(Raw_Export!B535),6,2),RIGHT(TRIM(Raw_Export!B535),2)),DATE(RIGHT(TRIM(Raw_Export!B535),4),MATCH(MID(TRIM(Raw_Export!B535),4,3),{"Jan","Feb","Mar","Apr","May","Jun","Jul","Aug","Sep","Oct","Nov","Dec"},0),LEFT(TRIM(Raw_Export!B535),2)))))</f>
        <v>46269</v>
      </c>
      <c r="C535" s="36" t="str">
        <f aca="false">IF(Raw_Export!$A535="","",IFERROR(VLOOKUP(LOWER(TRIM(Raw_Export!C535)),Maps!$A$2:$B$20,2,FALSE()),"UNMAPPED"))</f>
        <v>Nairobi CBD</v>
      </c>
      <c r="D535" s="36" t="str">
        <f aca="false">IF(Raw_Export!$A535="","",IFERROR(VLOOKUP(LOWER(TRIM(Raw_Export!D535)),Maps!$G$2:$I$80,2,FALSE()),"UNMAPPED"))</f>
        <v>Fresh Milk 500ml</v>
      </c>
      <c r="E535" s="36" t="str">
        <f aca="false">IF(Raw_Export!$A535="","",IFERROR(VLOOKUP(LOWER(TRIM(Raw_Export!D535)),Maps!$G$2:$I$80,3,FALSE()),"UNMAPPED"))</f>
        <v>Dairy &amp; Eggs</v>
      </c>
      <c r="F535" s="36" t="n">
        <f aca="false">IF(Raw_Export!$A535="","",IFERROR(VALUE(TRIM(Raw_Export!E535)),0))</f>
        <v>1</v>
      </c>
      <c r="G535" s="38" t="n">
        <f aca="false">IF(Raw_Export!$A535="","",IFERROR(VALUE(SUBSTITUTE(SUBSTITUTE(UPPER(TRIM(Raw_Export!F535)),"KES",""),",","")),0))</f>
        <v>65</v>
      </c>
      <c r="H535" s="38" t="n">
        <f aca="false">IF(Raw_Export!$A535="","",F535*G535)</f>
        <v>65</v>
      </c>
      <c r="I535" s="36" t="str">
        <f aca="false">IF(Raw_Export!$A535="","",IFERROR(VLOOKUP(LOWER(TRIM(Raw_Export!H535)),Maps!$D$2:$E$12,2,FALSE()),"Other"))</f>
        <v>Card</v>
      </c>
      <c r="J535" s="36" t="str">
        <f aca="false">IF(Raw_Export!$A535="","",IF(COUNTIF($A$2:A535,A535)&gt;1,"Duplicate",""))</f>
        <v/>
      </c>
      <c r="K535" s="36" t="str">
        <f aca="false">IF(Raw_Export!$A535="","",IF(J535="Duplicate","Duplicate",IF(OR(C535="UNMAPPED",D535="UNMAPPED"),"Unmapped",IF(F535=0,"Blank qty",IF(F535&lt;0,"Return","OK")))))</f>
        <v>OK</v>
      </c>
      <c r="L535" s="36" t="n">
        <f aca="false">IF(Raw_Export!$A535="","",IF(OR(K535="OK",K535="Return"),1,0))</f>
        <v>1</v>
      </c>
      <c r="M535" s="37" t="n">
        <f aca="false">IF(Raw_Export!$A535="","",B535-WEEKDAY(B535,2)+1)</f>
        <v>46265</v>
      </c>
    </row>
    <row r="536" customFormat="false" ht="15" hidden="false" customHeight="false" outlineLevel="0" collapsed="false">
      <c r="A536" s="36" t="str">
        <f aca="false">IF(Raw_Export!$A536="","",TRIM(Raw_Export!A536))</f>
        <v>TXN-100523</v>
      </c>
      <c r="B536" s="37" t="n">
        <f aca="false">IF(Raw_Export!$A536="","",IF(ISNUMBER(Raw_Export!B536),Raw_Export!B536,IF(MID(TRIM(Raw_Export!B536),5,1)="-",DATE(LEFT(TRIM(Raw_Export!B536),4),MID(TRIM(Raw_Export!B536),6,2),RIGHT(TRIM(Raw_Export!B536),2)),DATE(RIGHT(TRIM(Raw_Export!B536),4),MATCH(MID(TRIM(Raw_Export!B536),4,3),{"Jan","Feb","Mar","Apr","May","Jun","Jul","Aug","Sep","Oct","Nov","Dec"},0),LEFT(TRIM(Raw_Export!B536),2)))))</f>
        <v>46269</v>
      </c>
      <c r="C536" s="36" t="str">
        <f aca="false">IF(Raw_Export!$A536="","",IFERROR(VLOOKUP(LOWER(TRIM(Raw_Export!C536)),Maps!$A$2:$B$20,2,FALSE()),"UNMAPPED"))</f>
        <v>Nairobi CBD</v>
      </c>
      <c r="D536" s="36" t="str">
        <f aca="false">IF(Raw_Export!$A536="","",IFERROR(VLOOKUP(LOWER(TRIM(Raw_Export!D536)),Maps!$G$2:$I$80,2,FALSE()),"UNMAPPED"))</f>
        <v>Fresh Milk 500ml</v>
      </c>
      <c r="E536" s="36" t="str">
        <f aca="false">IF(Raw_Export!$A536="","",IFERROR(VLOOKUP(LOWER(TRIM(Raw_Export!D536)),Maps!$G$2:$I$80,3,FALSE()),"UNMAPPED"))</f>
        <v>Dairy &amp; Eggs</v>
      </c>
      <c r="F536" s="36" t="n">
        <f aca="false">IF(Raw_Export!$A536="","",IFERROR(VALUE(TRIM(Raw_Export!E536)),0))</f>
        <v>3</v>
      </c>
      <c r="G536" s="38" t="n">
        <f aca="false">IF(Raw_Export!$A536="","",IFERROR(VALUE(SUBSTITUTE(SUBSTITUTE(UPPER(TRIM(Raw_Export!F536)),"KES",""),",","")),0))</f>
        <v>65</v>
      </c>
      <c r="H536" s="38" t="n">
        <f aca="false">IF(Raw_Export!$A536="","",F536*G536)</f>
        <v>195</v>
      </c>
      <c r="I536" s="36" t="str">
        <f aca="false">IF(Raw_Export!$A536="","",IFERROR(VLOOKUP(LOWER(TRIM(Raw_Export!H536)),Maps!$D$2:$E$12,2,FALSE()),"Other"))</f>
        <v>Cash</v>
      </c>
      <c r="J536" s="36" t="str">
        <f aca="false">IF(Raw_Export!$A536="","",IF(COUNTIF($A$2:A536,A536)&gt;1,"Duplicate",""))</f>
        <v/>
      </c>
      <c r="K536" s="36" t="str">
        <f aca="false">IF(Raw_Export!$A536="","",IF(J536="Duplicate","Duplicate",IF(OR(C536="UNMAPPED",D536="UNMAPPED"),"Unmapped",IF(F536=0,"Blank qty",IF(F536&lt;0,"Return","OK")))))</f>
        <v>OK</v>
      </c>
      <c r="L536" s="36" t="n">
        <f aca="false">IF(Raw_Export!$A536="","",IF(OR(K536="OK",K536="Return"),1,0))</f>
        <v>1</v>
      </c>
      <c r="M536" s="37" t="n">
        <f aca="false">IF(Raw_Export!$A536="","",B536-WEEKDAY(B536,2)+1)</f>
        <v>46265</v>
      </c>
    </row>
    <row r="537" customFormat="false" ht="15" hidden="false" customHeight="false" outlineLevel="0" collapsed="false">
      <c r="A537" s="36" t="str">
        <f aca="false">IF(Raw_Export!$A537="","",TRIM(Raw_Export!A537))</f>
        <v>TXN-100524</v>
      </c>
      <c r="B537" s="37" t="n">
        <f aca="false">IF(Raw_Export!$A537="","",IF(ISNUMBER(Raw_Export!B537),Raw_Export!B537,IF(MID(TRIM(Raw_Export!B537),5,1)="-",DATE(LEFT(TRIM(Raw_Export!B537),4),MID(TRIM(Raw_Export!B537),6,2),RIGHT(TRIM(Raw_Export!B537),2)),DATE(RIGHT(TRIM(Raw_Export!B537),4),MATCH(MID(TRIM(Raw_Export!B537),4,3),{"Jan","Feb","Mar","Apr","May","Jun","Jul","Aug","Sep","Oct","Nov","Dec"},0),LEFT(TRIM(Raw_Export!B537),2)))))</f>
        <v>46269</v>
      </c>
      <c r="C537" s="36" t="str">
        <f aca="false">IF(Raw_Export!$A537="","",IFERROR(VLOOKUP(LOWER(TRIM(Raw_Export!C537)),Maps!$A$2:$B$20,2,FALSE()),"UNMAPPED"))</f>
        <v>Nairobi CBD</v>
      </c>
      <c r="D537" s="36" t="str">
        <f aca="false">IF(Raw_Export!$A537="","",IFERROR(VLOOKUP(LOWER(TRIM(Raw_Export!D537)),Maps!$G$2:$I$80,2,FALSE()),"UNMAPPED"))</f>
        <v>Matches 10pk</v>
      </c>
      <c r="E537" s="36" t="str">
        <f aca="false">IF(Raw_Export!$A537="","",IFERROR(VLOOKUP(LOWER(TRIM(Raw_Export!D537)),Maps!$G$2:$I$80,3,FALSE()),"UNMAPPED"))</f>
        <v>Household</v>
      </c>
      <c r="F537" s="36" t="n">
        <f aca="false">IF(Raw_Export!$A537="","",IFERROR(VALUE(TRIM(Raw_Export!E537)),0))</f>
        <v>2</v>
      </c>
      <c r="G537" s="38" t="n">
        <f aca="false">IF(Raw_Export!$A537="","",IFERROR(VALUE(SUBSTITUTE(SUBSTITUTE(UPPER(TRIM(Raw_Export!F537)),"KES",""),",","")),0))</f>
        <v>50</v>
      </c>
      <c r="H537" s="38" t="n">
        <f aca="false">IF(Raw_Export!$A537="","",F537*G537)</f>
        <v>100</v>
      </c>
      <c r="I537" s="36" t="str">
        <f aca="false">IF(Raw_Export!$A537="","",IFERROR(VLOOKUP(LOWER(TRIM(Raw_Export!H537)),Maps!$D$2:$E$12,2,FALSE()),"Other"))</f>
        <v>M-Pesa</v>
      </c>
      <c r="J537" s="36" t="str">
        <f aca="false">IF(Raw_Export!$A537="","",IF(COUNTIF($A$2:A537,A537)&gt;1,"Duplicate",""))</f>
        <v/>
      </c>
      <c r="K537" s="36" t="str">
        <f aca="false">IF(Raw_Export!$A537="","",IF(J537="Duplicate","Duplicate",IF(OR(C537="UNMAPPED",D537="UNMAPPED"),"Unmapped",IF(F537=0,"Blank qty",IF(F537&lt;0,"Return","OK")))))</f>
        <v>OK</v>
      </c>
      <c r="L537" s="36" t="n">
        <f aca="false">IF(Raw_Export!$A537="","",IF(OR(K537="OK",K537="Return"),1,0))</f>
        <v>1</v>
      </c>
      <c r="M537" s="37" t="n">
        <f aca="false">IF(Raw_Export!$A537="","",B537-WEEKDAY(B537,2)+1)</f>
        <v>46265</v>
      </c>
    </row>
    <row r="538" customFormat="false" ht="15" hidden="false" customHeight="false" outlineLevel="0" collapsed="false">
      <c r="A538" s="36" t="str">
        <f aca="false">IF(Raw_Export!$A538="","",TRIM(Raw_Export!A538))</f>
        <v>TXN-100525</v>
      </c>
      <c r="B538" s="37" t="n">
        <f aca="false">IF(Raw_Export!$A538="","",IF(ISNUMBER(Raw_Export!B538),Raw_Export!B538,IF(MID(TRIM(Raw_Export!B538),5,1)="-",DATE(LEFT(TRIM(Raw_Export!B538),4),MID(TRIM(Raw_Export!B538),6,2),RIGHT(TRIM(Raw_Export!B538),2)),DATE(RIGHT(TRIM(Raw_Export!B538),4),MATCH(MID(TRIM(Raw_Export!B538),4,3),{"Jan","Feb","Mar","Apr","May","Jun","Jul","Aug","Sep","Oct","Nov","Dec"},0),LEFT(TRIM(Raw_Export!B538),2)))))</f>
        <v>46269</v>
      </c>
      <c r="C538" s="36" t="str">
        <f aca="false">IF(Raw_Export!$A538="","",IFERROR(VLOOKUP(LOWER(TRIM(Raw_Export!C538)),Maps!$A$2:$B$20,2,FALSE()),"UNMAPPED"))</f>
        <v>Nairobi CBD</v>
      </c>
      <c r="D538" s="36" t="str">
        <f aca="false">IF(Raw_Export!$A538="","",IFERROR(VLOOKUP(LOWER(TRIM(Raw_Export!D538)),Maps!$G$2:$I$80,2,FALSE()),"UNMAPPED"))</f>
        <v>Cooking Oil 1L</v>
      </c>
      <c r="E538" s="36" t="str">
        <f aca="false">IF(Raw_Export!$A538="","",IFERROR(VLOOKUP(LOWER(TRIM(Raw_Export!D538)),Maps!$G$2:$I$80,3,FALSE()),"UNMAPPED"))</f>
        <v>Staples</v>
      </c>
      <c r="F538" s="36" t="n">
        <f aca="false">IF(Raw_Export!$A538="","",IFERROR(VALUE(TRIM(Raw_Export!E538)),0))</f>
        <v>3</v>
      </c>
      <c r="G538" s="38" t="n">
        <f aca="false">IF(Raw_Export!$A538="","",IFERROR(VALUE(SUBSTITUTE(SUBSTITUTE(UPPER(TRIM(Raw_Export!F538)),"KES",""),",","")),0))</f>
        <v>330</v>
      </c>
      <c r="H538" s="38" t="n">
        <f aca="false">IF(Raw_Export!$A538="","",F538*G538)</f>
        <v>990</v>
      </c>
      <c r="I538" s="36" t="str">
        <f aca="false">IF(Raw_Export!$A538="","",IFERROR(VLOOKUP(LOWER(TRIM(Raw_Export!H538)),Maps!$D$2:$E$12,2,FALSE()),"Other"))</f>
        <v>Card</v>
      </c>
      <c r="J538" s="36" t="str">
        <f aca="false">IF(Raw_Export!$A538="","",IF(COUNTIF($A$2:A538,A538)&gt;1,"Duplicate",""))</f>
        <v/>
      </c>
      <c r="K538" s="36" t="str">
        <f aca="false">IF(Raw_Export!$A538="","",IF(J538="Duplicate","Duplicate",IF(OR(C538="UNMAPPED",D538="UNMAPPED"),"Unmapped",IF(F538=0,"Blank qty",IF(F538&lt;0,"Return","OK")))))</f>
        <v>OK</v>
      </c>
      <c r="L538" s="36" t="n">
        <f aca="false">IF(Raw_Export!$A538="","",IF(OR(K538="OK",K538="Return"),1,0))</f>
        <v>1</v>
      </c>
      <c r="M538" s="37" t="n">
        <f aca="false">IF(Raw_Export!$A538="","",B538-WEEKDAY(B538,2)+1)</f>
        <v>46265</v>
      </c>
    </row>
    <row r="539" customFormat="false" ht="15" hidden="false" customHeight="false" outlineLevel="0" collapsed="false">
      <c r="A539" s="36" t="str">
        <f aca="false">IF(Raw_Export!$A539="","",TRIM(Raw_Export!A539))</f>
        <v>TXN-100526</v>
      </c>
      <c r="B539" s="37" t="n">
        <f aca="false">IF(Raw_Export!$A539="","",IF(ISNUMBER(Raw_Export!B539),Raw_Export!B539,IF(MID(TRIM(Raw_Export!B539),5,1)="-",DATE(LEFT(TRIM(Raw_Export!B539),4),MID(TRIM(Raw_Export!B539),6,2),RIGHT(TRIM(Raw_Export!B539),2)),DATE(RIGHT(TRIM(Raw_Export!B539),4),MATCH(MID(TRIM(Raw_Export!B539),4,3),{"Jan","Feb","Mar","Apr","May","Jun","Jul","Aug","Sep","Oct","Nov","Dec"},0),LEFT(TRIM(Raw_Export!B539),2)))))</f>
        <v>46269</v>
      </c>
      <c r="C539" s="36" t="str">
        <f aca="false">IF(Raw_Export!$A539="","",IFERROR(VLOOKUP(LOWER(TRIM(Raw_Export!C539)),Maps!$A$2:$B$20,2,FALSE()),"UNMAPPED"))</f>
        <v>Nairobi CBD</v>
      </c>
      <c r="D539" s="36" t="str">
        <f aca="false">IF(Raw_Export!$A539="","",IFERROR(VLOOKUP(LOWER(TRIM(Raw_Export!D539)),Maps!$G$2:$I$80,2,FALSE()),"UNMAPPED"))</f>
        <v>Eggs Tray 30</v>
      </c>
      <c r="E539" s="36" t="str">
        <f aca="false">IF(Raw_Export!$A539="","",IFERROR(VLOOKUP(LOWER(TRIM(Raw_Export!D539)),Maps!$G$2:$I$80,3,FALSE()),"UNMAPPED"))</f>
        <v>Dairy &amp; Eggs</v>
      </c>
      <c r="F539" s="36" t="n">
        <f aca="false">IF(Raw_Export!$A539="","",IFERROR(VALUE(TRIM(Raw_Export!E539)),0))</f>
        <v>3</v>
      </c>
      <c r="G539" s="38" t="n">
        <f aca="false">IF(Raw_Export!$A539="","",IFERROR(VALUE(SUBSTITUTE(SUBSTITUTE(UPPER(TRIM(Raw_Export!F539)),"KES",""),",","")),0))</f>
        <v>450</v>
      </c>
      <c r="H539" s="38" t="n">
        <f aca="false">IF(Raw_Export!$A539="","",F539*G539)</f>
        <v>1350</v>
      </c>
      <c r="I539" s="36" t="str">
        <f aca="false">IF(Raw_Export!$A539="","",IFERROR(VLOOKUP(LOWER(TRIM(Raw_Export!H539)),Maps!$D$2:$E$12,2,FALSE()),"Other"))</f>
        <v>M-Pesa</v>
      </c>
      <c r="J539" s="36" t="str">
        <f aca="false">IF(Raw_Export!$A539="","",IF(COUNTIF($A$2:A539,A539)&gt;1,"Duplicate",""))</f>
        <v/>
      </c>
      <c r="K539" s="36" t="str">
        <f aca="false">IF(Raw_Export!$A539="","",IF(J539="Duplicate","Duplicate",IF(OR(C539="UNMAPPED",D539="UNMAPPED"),"Unmapped",IF(F539=0,"Blank qty",IF(F539&lt;0,"Return","OK")))))</f>
        <v>OK</v>
      </c>
      <c r="L539" s="36" t="n">
        <f aca="false">IF(Raw_Export!$A539="","",IF(OR(K539="OK",K539="Return"),1,0))</f>
        <v>1</v>
      </c>
      <c r="M539" s="37" t="n">
        <f aca="false">IF(Raw_Export!$A539="","",B539-WEEKDAY(B539,2)+1)</f>
        <v>46265</v>
      </c>
    </row>
    <row r="540" customFormat="false" ht="15" hidden="false" customHeight="false" outlineLevel="0" collapsed="false">
      <c r="A540" s="36" t="str">
        <f aca="false">IF(Raw_Export!$A540="","",TRIM(Raw_Export!A540))</f>
        <v>TXN-100527</v>
      </c>
      <c r="B540" s="37" t="n">
        <f aca="false">IF(Raw_Export!$A540="","",IF(ISNUMBER(Raw_Export!B540),Raw_Export!B540,IF(MID(TRIM(Raw_Export!B540),5,1)="-",DATE(LEFT(TRIM(Raw_Export!B540),4),MID(TRIM(Raw_Export!B540),6,2),RIGHT(TRIM(Raw_Export!B540),2)),DATE(RIGHT(TRIM(Raw_Export!B540),4),MATCH(MID(TRIM(Raw_Export!B540),4,3),{"Jan","Feb","Mar","Apr","May","Jun","Jul","Aug","Sep","Oct","Nov","Dec"},0),LEFT(TRIM(Raw_Export!B540),2)))))</f>
        <v>46269</v>
      </c>
      <c r="C540" s="36" t="str">
        <f aca="false">IF(Raw_Export!$A540="","",IFERROR(VLOOKUP(LOWER(TRIM(Raw_Export!C540)),Maps!$A$2:$B$20,2,FALSE()),"UNMAPPED"))</f>
        <v>Nairobi CBD</v>
      </c>
      <c r="D540" s="36" t="str">
        <f aca="false">IF(Raw_Export!$A540="","",IFERROR(VLOOKUP(LOWER(TRIM(Raw_Export!D540)),Maps!$G$2:$I$80,2,FALSE()),"UNMAPPED"))</f>
        <v>Fresh Milk 500ml</v>
      </c>
      <c r="E540" s="36" t="str">
        <f aca="false">IF(Raw_Export!$A540="","",IFERROR(VLOOKUP(LOWER(TRIM(Raw_Export!D540)),Maps!$G$2:$I$80,3,FALSE()),"UNMAPPED"))</f>
        <v>Dairy &amp; Eggs</v>
      </c>
      <c r="F540" s="36" t="n">
        <f aca="false">IF(Raw_Export!$A540="","",IFERROR(VALUE(TRIM(Raw_Export!E540)),0))</f>
        <v>2</v>
      </c>
      <c r="G540" s="38" t="n">
        <f aca="false">IF(Raw_Export!$A540="","",IFERROR(VALUE(SUBSTITUTE(SUBSTITUTE(UPPER(TRIM(Raw_Export!F540)),"KES",""),",","")),0))</f>
        <v>65</v>
      </c>
      <c r="H540" s="38" t="n">
        <f aca="false">IF(Raw_Export!$A540="","",F540*G540)</f>
        <v>130</v>
      </c>
      <c r="I540" s="36" t="str">
        <f aca="false">IF(Raw_Export!$A540="","",IFERROR(VLOOKUP(LOWER(TRIM(Raw_Export!H540)),Maps!$D$2:$E$12,2,FALSE()),"Other"))</f>
        <v>Cash</v>
      </c>
      <c r="J540" s="36" t="str">
        <f aca="false">IF(Raw_Export!$A540="","",IF(COUNTIF($A$2:A540,A540)&gt;1,"Duplicate",""))</f>
        <v/>
      </c>
      <c r="K540" s="36" t="str">
        <f aca="false">IF(Raw_Export!$A540="","",IF(J540="Duplicate","Duplicate",IF(OR(C540="UNMAPPED",D540="UNMAPPED"),"Unmapped",IF(F540=0,"Blank qty",IF(F540&lt;0,"Return","OK")))))</f>
        <v>OK</v>
      </c>
      <c r="L540" s="36" t="n">
        <f aca="false">IF(Raw_Export!$A540="","",IF(OR(K540="OK",K540="Return"),1,0))</f>
        <v>1</v>
      </c>
      <c r="M540" s="37" t="n">
        <f aca="false">IF(Raw_Export!$A540="","",B540-WEEKDAY(B540,2)+1)</f>
        <v>46265</v>
      </c>
    </row>
    <row r="541" customFormat="false" ht="15" hidden="false" customHeight="false" outlineLevel="0" collapsed="false">
      <c r="A541" s="36" t="str">
        <f aca="false">IF(Raw_Export!$A541="","",TRIM(Raw_Export!A541))</f>
        <v>TXN-100528</v>
      </c>
      <c r="B541" s="37" t="n">
        <f aca="false">IF(Raw_Export!$A541="","",IF(ISNUMBER(Raw_Export!B541),Raw_Export!B541,IF(MID(TRIM(Raw_Export!B541),5,1)="-",DATE(LEFT(TRIM(Raw_Export!B541),4),MID(TRIM(Raw_Export!B541),6,2),RIGHT(TRIM(Raw_Export!B541),2)),DATE(RIGHT(TRIM(Raw_Export!B541),4),MATCH(MID(TRIM(Raw_Export!B541),4,3),{"Jan","Feb","Mar","Apr","May","Jun","Jul","Aug","Sep","Oct","Nov","Dec"},0),LEFT(TRIM(Raw_Export!B541),2)))))</f>
        <v>46269</v>
      </c>
      <c r="C541" s="36" t="str">
        <f aca="false">IF(Raw_Export!$A541="","",IFERROR(VLOOKUP(LOWER(TRIM(Raw_Export!C541)),Maps!$A$2:$B$20,2,FALSE()),"UNMAPPED"))</f>
        <v>Nairobi CBD</v>
      </c>
      <c r="D541" s="36" t="str">
        <f aca="false">IF(Raw_Export!$A541="","",IFERROR(VLOOKUP(LOWER(TRIM(Raw_Export!D541)),Maps!$G$2:$I$80,2,FALSE()),"UNMAPPED"))</f>
        <v>Soda 500ml</v>
      </c>
      <c r="E541" s="36" t="str">
        <f aca="false">IF(Raw_Export!$A541="","",IFERROR(VLOOKUP(LOWER(TRIM(Raw_Export!D541)),Maps!$G$2:$I$80,3,FALSE()),"UNMAPPED"))</f>
        <v>Beverages</v>
      </c>
      <c r="F541" s="36" t="n">
        <f aca="false">IF(Raw_Export!$A541="","",IFERROR(VALUE(TRIM(Raw_Export!E541)),0))</f>
        <v>1</v>
      </c>
      <c r="G541" s="38" t="n">
        <f aca="false">IF(Raw_Export!$A541="","",IFERROR(VALUE(SUBSTITUTE(SUBSTITUTE(UPPER(TRIM(Raw_Export!F541)),"KES",""),",","")),0))</f>
        <v>60</v>
      </c>
      <c r="H541" s="38" t="n">
        <f aca="false">IF(Raw_Export!$A541="","",F541*G541)</f>
        <v>60</v>
      </c>
      <c r="I541" s="36" t="str">
        <f aca="false">IF(Raw_Export!$A541="","",IFERROR(VLOOKUP(LOWER(TRIM(Raw_Export!H541)),Maps!$D$2:$E$12,2,FALSE()),"Other"))</f>
        <v>M-Pesa</v>
      </c>
      <c r="J541" s="36" t="str">
        <f aca="false">IF(Raw_Export!$A541="","",IF(COUNTIF($A$2:A541,A541)&gt;1,"Duplicate",""))</f>
        <v/>
      </c>
      <c r="K541" s="36" t="str">
        <f aca="false">IF(Raw_Export!$A541="","",IF(J541="Duplicate","Duplicate",IF(OR(C541="UNMAPPED",D541="UNMAPPED"),"Unmapped",IF(F541=0,"Blank qty",IF(F541&lt;0,"Return","OK")))))</f>
        <v>OK</v>
      </c>
      <c r="L541" s="36" t="n">
        <f aca="false">IF(Raw_Export!$A541="","",IF(OR(K541="OK",K541="Return"),1,0))</f>
        <v>1</v>
      </c>
      <c r="M541" s="37" t="n">
        <f aca="false">IF(Raw_Export!$A541="","",B541-WEEKDAY(B541,2)+1)</f>
        <v>46265</v>
      </c>
    </row>
    <row r="542" customFormat="false" ht="15" hidden="false" customHeight="false" outlineLevel="0" collapsed="false">
      <c r="A542" s="36" t="str">
        <f aca="false">IF(Raw_Export!$A542="","",TRIM(Raw_Export!A542))</f>
        <v>TXN-100529</v>
      </c>
      <c r="B542" s="37" t="n">
        <f aca="false">IF(Raw_Export!$A542="","",IF(ISNUMBER(Raw_Export!B542),Raw_Export!B542,IF(MID(TRIM(Raw_Export!B542),5,1)="-",DATE(LEFT(TRIM(Raw_Export!B542),4),MID(TRIM(Raw_Export!B542),6,2),RIGHT(TRIM(Raw_Export!B542),2)),DATE(RIGHT(TRIM(Raw_Export!B542),4),MATCH(MID(TRIM(Raw_Export!B542),4,3),{"Jan","Feb","Mar","Apr","May","Jun","Jul","Aug","Sep","Oct","Nov","Dec"},0),LEFT(TRIM(Raw_Export!B542),2)))))</f>
        <v>46269</v>
      </c>
      <c r="C542" s="36" t="str">
        <f aca="false">IF(Raw_Export!$A542="","",IFERROR(VLOOKUP(LOWER(TRIM(Raw_Export!C542)),Maps!$A$2:$B$20,2,FALSE()),"UNMAPPED"))</f>
        <v>Nairobi CBD</v>
      </c>
      <c r="D542" s="36" t="str">
        <f aca="false">IF(Raw_Export!$A542="","",IFERROR(VLOOKUP(LOWER(TRIM(Raw_Export!D542)),Maps!$G$2:$I$80,2,FALSE()),"UNMAPPED"))</f>
        <v>Fresh Milk 500ml</v>
      </c>
      <c r="E542" s="36" t="str">
        <f aca="false">IF(Raw_Export!$A542="","",IFERROR(VLOOKUP(LOWER(TRIM(Raw_Export!D542)),Maps!$G$2:$I$80,3,FALSE()),"UNMAPPED"))</f>
        <v>Dairy &amp; Eggs</v>
      </c>
      <c r="F542" s="36" t="n">
        <f aca="false">IF(Raw_Export!$A542="","",IFERROR(VALUE(TRIM(Raw_Export!E542)),0))</f>
        <v>6</v>
      </c>
      <c r="G542" s="38" t="n">
        <f aca="false">IF(Raw_Export!$A542="","",IFERROR(VALUE(SUBSTITUTE(SUBSTITUTE(UPPER(TRIM(Raw_Export!F542)),"KES",""),",","")),0))</f>
        <v>65</v>
      </c>
      <c r="H542" s="38" t="n">
        <f aca="false">IF(Raw_Export!$A542="","",F542*G542)</f>
        <v>390</v>
      </c>
      <c r="I542" s="36" t="str">
        <f aca="false">IF(Raw_Export!$A542="","",IFERROR(VLOOKUP(LOWER(TRIM(Raw_Export!H542)),Maps!$D$2:$E$12,2,FALSE()),"Other"))</f>
        <v>Cash</v>
      </c>
      <c r="J542" s="36" t="str">
        <f aca="false">IF(Raw_Export!$A542="","",IF(COUNTIF($A$2:A542,A542)&gt;1,"Duplicate",""))</f>
        <v/>
      </c>
      <c r="K542" s="36" t="str">
        <f aca="false">IF(Raw_Export!$A542="","",IF(J542="Duplicate","Duplicate",IF(OR(C542="UNMAPPED",D542="UNMAPPED"),"Unmapped",IF(F542=0,"Blank qty",IF(F542&lt;0,"Return","OK")))))</f>
        <v>OK</v>
      </c>
      <c r="L542" s="36" t="n">
        <f aca="false">IF(Raw_Export!$A542="","",IF(OR(K542="OK",K542="Return"),1,0))</f>
        <v>1</v>
      </c>
      <c r="M542" s="37" t="n">
        <f aca="false">IF(Raw_Export!$A542="","",B542-WEEKDAY(B542,2)+1)</f>
        <v>46265</v>
      </c>
    </row>
    <row r="543" customFormat="false" ht="15" hidden="false" customHeight="false" outlineLevel="0" collapsed="false">
      <c r="A543" s="36" t="str">
        <f aca="false">IF(Raw_Export!$A543="","",TRIM(Raw_Export!A543))</f>
        <v>TXN-100530</v>
      </c>
      <c r="B543" s="37" t="n">
        <f aca="false">IF(Raw_Export!$A543="","",IF(ISNUMBER(Raw_Export!B543),Raw_Export!B543,IF(MID(TRIM(Raw_Export!B543),5,1)="-",DATE(LEFT(TRIM(Raw_Export!B543),4),MID(TRIM(Raw_Export!B543),6,2),RIGHT(TRIM(Raw_Export!B543),2)),DATE(RIGHT(TRIM(Raw_Export!B543),4),MATCH(MID(TRIM(Raw_Export!B543),4,3),{"Jan","Feb","Mar","Apr","May","Jun","Jul","Aug","Sep","Oct","Nov","Dec"},0),LEFT(TRIM(Raw_Export!B543),2)))))</f>
        <v>46269</v>
      </c>
      <c r="C543" s="36" t="str">
        <f aca="false">IF(Raw_Export!$A543="","",IFERROR(VLOOKUP(LOWER(TRIM(Raw_Export!C543)),Maps!$A$2:$B$20,2,FALSE()),"UNMAPPED"))</f>
        <v>Nairobi CBD</v>
      </c>
      <c r="D543" s="36" t="str">
        <f aca="false">IF(Raw_Export!$A543="","",IFERROR(VLOOKUP(LOWER(TRIM(Raw_Export!D543)),Maps!$G$2:$I$80,2,FALSE()),"UNMAPPED"))</f>
        <v>Bleach 1L</v>
      </c>
      <c r="E543" s="36" t="str">
        <f aca="false">IF(Raw_Export!$A543="","",IFERROR(VLOOKUP(LOWER(TRIM(Raw_Export!D543)),Maps!$G$2:$I$80,3,FALSE()),"UNMAPPED"))</f>
        <v>Household</v>
      </c>
      <c r="F543" s="36" t="n">
        <f aca="false">IF(Raw_Export!$A543="","",IFERROR(VALUE(TRIM(Raw_Export!E543)),0))</f>
        <v>1</v>
      </c>
      <c r="G543" s="38" t="n">
        <f aca="false">IF(Raw_Export!$A543="","",IFERROR(VALUE(SUBSTITUTE(SUBSTITUTE(UPPER(TRIM(Raw_Export!F543)),"KES",""),",","")),0))</f>
        <v>160</v>
      </c>
      <c r="H543" s="38" t="n">
        <f aca="false">IF(Raw_Export!$A543="","",F543*G543)</f>
        <v>160</v>
      </c>
      <c r="I543" s="36" t="str">
        <f aca="false">IF(Raw_Export!$A543="","",IFERROR(VLOOKUP(LOWER(TRIM(Raw_Export!H543)),Maps!$D$2:$E$12,2,FALSE()),"Other"))</f>
        <v>Cash</v>
      </c>
      <c r="J543" s="36" t="str">
        <f aca="false">IF(Raw_Export!$A543="","",IF(COUNTIF($A$2:A543,A543)&gt;1,"Duplicate",""))</f>
        <v/>
      </c>
      <c r="K543" s="36" t="str">
        <f aca="false">IF(Raw_Export!$A543="","",IF(J543="Duplicate","Duplicate",IF(OR(C543="UNMAPPED",D543="UNMAPPED"),"Unmapped",IF(F543=0,"Blank qty",IF(F543&lt;0,"Return","OK")))))</f>
        <v>OK</v>
      </c>
      <c r="L543" s="36" t="n">
        <f aca="false">IF(Raw_Export!$A543="","",IF(OR(K543="OK",K543="Return"),1,0))</f>
        <v>1</v>
      </c>
      <c r="M543" s="37" t="n">
        <f aca="false">IF(Raw_Export!$A543="","",B543-WEEKDAY(B543,2)+1)</f>
        <v>46265</v>
      </c>
    </row>
    <row r="544" customFormat="false" ht="15" hidden="false" customHeight="false" outlineLevel="0" collapsed="false">
      <c r="A544" s="36" t="str">
        <f aca="false">IF(Raw_Export!$A544="","",TRIM(Raw_Export!A544))</f>
        <v>TXN-100531</v>
      </c>
      <c r="B544" s="37" t="n">
        <f aca="false">IF(Raw_Export!$A544="","",IF(ISNUMBER(Raw_Export!B544),Raw_Export!B544,IF(MID(TRIM(Raw_Export!B544),5,1)="-",DATE(LEFT(TRIM(Raw_Export!B544),4),MID(TRIM(Raw_Export!B544),6,2),RIGHT(TRIM(Raw_Export!B544),2)),DATE(RIGHT(TRIM(Raw_Export!B544),4),MATCH(MID(TRIM(Raw_Export!B544),4,3),{"Jan","Feb","Mar","Apr","May","Jun","Jul","Aug","Sep","Oct","Nov","Dec"},0),LEFT(TRIM(Raw_Export!B544),2)))))</f>
        <v>46269</v>
      </c>
      <c r="C544" s="36" t="str">
        <f aca="false">IF(Raw_Export!$A544="","",IFERROR(VLOOKUP(LOWER(TRIM(Raw_Export!C544)),Maps!$A$2:$B$20,2,FALSE()),"UNMAPPED"))</f>
        <v>Nairobi CBD</v>
      </c>
      <c r="D544" s="36" t="str">
        <f aca="false">IF(Raw_Export!$A544="","",IFERROR(VLOOKUP(LOWER(TRIM(Raw_Export!D544)),Maps!$G$2:$I$80,2,FALSE()),"UNMAPPED"))</f>
        <v>Dish Soap 750ml</v>
      </c>
      <c r="E544" s="36" t="str">
        <f aca="false">IF(Raw_Export!$A544="","",IFERROR(VLOOKUP(LOWER(TRIM(Raw_Export!D544)),Maps!$G$2:$I$80,3,FALSE()),"UNMAPPED"))</f>
        <v>Household</v>
      </c>
      <c r="F544" s="36" t="n">
        <f aca="false">IF(Raw_Export!$A544="","",IFERROR(VALUE(TRIM(Raw_Export!E544)),0))</f>
        <v>3</v>
      </c>
      <c r="G544" s="38" t="n">
        <f aca="false">IF(Raw_Export!$A544="","",IFERROR(VALUE(SUBSTITUTE(SUBSTITUTE(UPPER(TRIM(Raw_Export!F544)),"KES",""),",","")),0))</f>
        <v>190</v>
      </c>
      <c r="H544" s="38" t="n">
        <f aca="false">IF(Raw_Export!$A544="","",F544*G544)</f>
        <v>570</v>
      </c>
      <c r="I544" s="36" t="str">
        <f aca="false">IF(Raw_Export!$A544="","",IFERROR(VLOOKUP(LOWER(TRIM(Raw_Export!H544)),Maps!$D$2:$E$12,2,FALSE()),"Other"))</f>
        <v>Cash</v>
      </c>
      <c r="J544" s="36" t="str">
        <f aca="false">IF(Raw_Export!$A544="","",IF(COUNTIF($A$2:A544,A544)&gt;1,"Duplicate",""))</f>
        <v>Duplicate</v>
      </c>
      <c r="K544" s="36" t="str">
        <f aca="false">IF(Raw_Export!$A544="","",IF(J544="Duplicate","Duplicate",IF(OR(C544="UNMAPPED",D544="UNMAPPED"),"Unmapped",IF(F544=0,"Blank qty",IF(F544&lt;0,"Return","OK")))))</f>
        <v>Duplicate</v>
      </c>
      <c r="L544" s="36" t="n">
        <f aca="false">IF(Raw_Export!$A544="","",IF(OR(K544="OK",K544="Return"),1,0))</f>
        <v>0</v>
      </c>
      <c r="M544" s="37" t="n">
        <f aca="false">IF(Raw_Export!$A544="","",B544-WEEKDAY(B544,2)+1)</f>
        <v>46265</v>
      </c>
    </row>
    <row r="545" customFormat="false" ht="15" hidden="false" customHeight="false" outlineLevel="0" collapsed="false">
      <c r="A545" s="36" t="str">
        <f aca="false">IF(Raw_Export!$A545="","",TRIM(Raw_Export!A545))</f>
        <v>TXN-100532</v>
      </c>
      <c r="B545" s="37" t="n">
        <f aca="false">IF(Raw_Export!$A545="","",IF(ISNUMBER(Raw_Export!B545),Raw_Export!B545,IF(MID(TRIM(Raw_Export!B545),5,1)="-",DATE(LEFT(TRIM(Raw_Export!B545),4),MID(TRIM(Raw_Export!B545),6,2),RIGHT(TRIM(Raw_Export!B545),2)),DATE(RIGHT(TRIM(Raw_Export!B545),4),MATCH(MID(TRIM(Raw_Export!B545),4,3),{"Jan","Feb","Mar","Apr","May","Jun","Jul","Aug","Sep","Oct","Nov","Dec"},0),LEFT(TRIM(Raw_Export!B545),2)))))</f>
        <v>46269</v>
      </c>
      <c r="C545" s="36" t="str">
        <f aca="false">IF(Raw_Export!$A545="","",IFERROR(VLOOKUP(LOWER(TRIM(Raw_Export!C545)),Maps!$A$2:$B$20,2,FALSE()),"UNMAPPED"))</f>
        <v>Nairobi CBD</v>
      </c>
      <c r="D545" s="36" t="str">
        <f aca="false">IF(Raw_Export!$A545="","",IFERROR(VLOOKUP(LOWER(TRIM(Raw_Export!D545)),Maps!$G$2:$I$80,2,FALSE()),"UNMAPPED"))</f>
        <v>Fresh Milk 500ml</v>
      </c>
      <c r="E545" s="36" t="str">
        <f aca="false">IF(Raw_Export!$A545="","",IFERROR(VLOOKUP(LOWER(TRIM(Raw_Export!D545)),Maps!$G$2:$I$80,3,FALSE()),"UNMAPPED"))</f>
        <v>Dairy &amp; Eggs</v>
      </c>
      <c r="F545" s="36" t="n">
        <f aca="false">IF(Raw_Export!$A545="","",IFERROR(VALUE(TRIM(Raw_Export!E545)),0))</f>
        <v>1</v>
      </c>
      <c r="G545" s="38" t="n">
        <f aca="false">IF(Raw_Export!$A545="","",IFERROR(VALUE(SUBSTITUTE(SUBSTITUTE(UPPER(TRIM(Raw_Export!F545)),"KES",""),",","")),0))</f>
        <v>65</v>
      </c>
      <c r="H545" s="38" t="n">
        <f aca="false">IF(Raw_Export!$A545="","",F545*G545)</f>
        <v>65</v>
      </c>
      <c r="I545" s="36" t="str">
        <f aca="false">IF(Raw_Export!$A545="","",IFERROR(VLOOKUP(LOWER(TRIM(Raw_Export!H545)),Maps!$D$2:$E$12,2,FALSE()),"Other"))</f>
        <v>Cash</v>
      </c>
      <c r="J545" s="36" t="str">
        <f aca="false">IF(Raw_Export!$A545="","",IF(COUNTIF($A$2:A545,A545)&gt;1,"Duplicate",""))</f>
        <v/>
      </c>
      <c r="K545" s="36" t="str">
        <f aca="false">IF(Raw_Export!$A545="","",IF(J545="Duplicate","Duplicate",IF(OR(C545="UNMAPPED",D545="UNMAPPED"),"Unmapped",IF(F545=0,"Blank qty",IF(F545&lt;0,"Return","OK")))))</f>
        <v>OK</v>
      </c>
      <c r="L545" s="36" t="n">
        <f aca="false">IF(Raw_Export!$A545="","",IF(OR(K545="OK",K545="Return"),1,0))</f>
        <v>1</v>
      </c>
      <c r="M545" s="37" t="n">
        <f aca="false">IF(Raw_Export!$A545="","",B545-WEEKDAY(B545,2)+1)</f>
        <v>46265</v>
      </c>
    </row>
    <row r="546" customFormat="false" ht="15" hidden="false" customHeight="false" outlineLevel="0" collapsed="false">
      <c r="A546" s="36" t="str">
        <f aca="false">IF(Raw_Export!$A546="","",TRIM(Raw_Export!A546))</f>
        <v>TXN-100533</v>
      </c>
      <c r="B546" s="37" t="n">
        <f aca="false">IF(Raw_Export!$A546="","",IF(ISNUMBER(Raw_Export!B546),Raw_Export!B546,IF(MID(TRIM(Raw_Export!B546),5,1)="-",DATE(LEFT(TRIM(Raw_Export!B546),4),MID(TRIM(Raw_Export!B546),6,2),RIGHT(TRIM(Raw_Export!B546),2)),DATE(RIGHT(TRIM(Raw_Export!B546),4),MATCH(MID(TRIM(Raw_Export!B546),4,3),{"Jan","Feb","Mar","Apr","May","Jun","Jul","Aug","Sep","Oct","Nov","Dec"},0),LEFT(TRIM(Raw_Export!B546),2)))))</f>
        <v>46269</v>
      </c>
      <c r="C546" s="36" t="str">
        <f aca="false">IF(Raw_Export!$A546="","",IFERROR(VLOOKUP(LOWER(TRIM(Raw_Export!C546)),Maps!$A$2:$B$20,2,FALSE()),"UNMAPPED"))</f>
        <v>Nairobi CBD</v>
      </c>
      <c r="D546" s="36" t="str">
        <f aca="false">IF(Raw_Export!$A546="","",IFERROR(VLOOKUP(LOWER(TRIM(Raw_Export!D546)),Maps!$G$2:$I$80,2,FALSE()),"UNMAPPED"))</f>
        <v>Deodorant 150ml</v>
      </c>
      <c r="E546" s="36" t="str">
        <f aca="false">IF(Raw_Export!$A546="","",IFERROR(VLOOKUP(LOWER(TRIM(Raw_Export!D546)),Maps!$G$2:$I$80,3,FALSE()),"UNMAPPED"))</f>
        <v>Personal Care</v>
      </c>
      <c r="F546" s="36" t="n">
        <f aca="false">IF(Raw_Export!$A546="","",IFERROR(VALUE(TRIM(Raw_Export!E546)),0))</f>
        <v>1</v>
      </c>
      <c r="G546" s="38" t="n">
        <f aca="false">IF(Raw_Export!$A546="","",IFERROR(VALUE(SUBSTITUTE(SUBSTITUTE(UPPER(TRIM(Raw_Export!F546)),"KES",""),",","")),0))</f>
        <v>350</v>
      </c>
      <c r="H546" s="38" t="n">
        <f aca="false">IF(Raw_Export!$A546="","",F546*G546)</f>
        <v>350</v>
      </c>
      <c r="I546" s="36" t="str">
        <f aca="false">IF(Raw_Export!$A546="","",IFERROR(VLOOKUP(LOWER(TRIM(Raw_Export!H546)),Maps!$D$2:$E$12,2,FALSE()),"Other"))</f>
        <v>Cash</v>
      </c>
      <c r="J546" s="36" t="str">
        <f aca="false">IF(Raw_Export!$A546="","",IF(COUNTIF($A$2:A546,A546)&gt;1,"Duplicate",""))</f>
        <v/>
      </c>
      <c r="K546" s="36" t="str">
        <f aca="false">IF(Raw_Export!$A546="","",IF(J546="Duplicate","Duplicate",IF(OR(C546="UNMAPPED",D546="UNMAPPED"),"Unmapped",IF(F546=0,"Blank qty",IF(F546&lt;0,"Return","OK")))))</f>
        <v>OK</v>
      </c>
      <c r="L546" s="36" t="n">
        <f aca="false">IF(Raw_Export!$A546="","",IF(OR(K546="OK",K546="Return"),1,0))</f>
        <v>1</v>
      </c>
      <c r="M546" s="37" t="n">
        <f aca="false">IF(Raw_Export!$A546="","",B546-WEEKDAY(B546,2)+1)</f>
        <v>46265</v>
      </c>
    </row>
    <row r="547" customFormat="false" ht="15" hidden="false" customHeight="false" outlineLevel="0" collapsed="false">
      <c r="A547" s="36" t="str">
        <f aca="false">IF(Raw_Export!$A547="","",TRIM(Raw_Export!A547))</f>
        <v>TXN-100534</v>
      </c>
      <c r="B547" s="37" t="n">
        <f aca="false">IF(Raw_Export!$A547="","",IF(ISNUMBER(Raw_Export!B547),Raw_Export!B547,IF(MID(TRIM(Raw_Export!B547),5,1)="-",DATE(LEFT(TRIM(Raw_Export!B547),4),MID(TRIM(Raw_Export!B547),6,2),RIGHT(TRIM(Raw_Export!B547),2)),DATE(RIGHT(TRIM(Raw_Export!B547),4),MATCH(MID(TRIM(Raw_Export!B547),4,3),{"Jan","Feb","Mar","Apr","May","Jun","Jul","Aug","Sep","Oct","Nov","Dec"},0),LEFT(TRIM(Raw_Export!B547),2)))))</f>
        <v>46269</v>
      </c>
      <c r="C547" s="36" t="str">
        <f aca="false">IF(Raw_Export!$A547="","",IFERROR(VLOOKUP(LOWER(TRIM(Raw_Export!C547)),Maps!$A$2:$B$20,2,FALSE()),"UNMAPPED"))</f>
        <v>Nairobi CBD</v>
      </c>
      <c r="D547" s="36" t="str">
        <f aca="false">IF(Raw_Export!$A547="","",IFERROR(VLOOKUP(LOWER(TRIM(Raw_Export!D547)),Maps!$G$2:$I$80,2,FALSE()),"UNMAPPED"))</f>
        <v>Biscuits 200g</v>
      </c>
      <c r="E547" s="36" t="str">
        <f aca="false">IF(Raw_Export!$A547="","",IFERROR(VLOOKUP(LOWER(TRIM(Raw_Export!D547)),Maps!$G$2:$I$80,3,FALSE()),"UNMAPPED"))</f>
        <v>Snacks</v>
      </c>
      <c r="F547" s="36" t="n">
        <f aca="false">IF(Raw_Export!$A547="","",IFERROR(VALUE(TRIM(Raw_Export!E547)),0))</f>
        <v>2</v>
      </c>
      <c r="G547" s="38" t="n">
        <f aca="false">IF(Raw_Export!$A547="","",IFERROR(VALUE(SUBSTITUTE(SUBSTITUTE(UPPER(TRIM(Raw_Export!F547)),"KES",""),",","")),0))</f>
        <v>95</v>
      </c>
      <c r="H547" s="38" t="n">
        <f aca="false">IF(Raw_Export!$A547="","",F547*G547)</f>
        <v>190</v>
      </c>
      <c r="I547" s="36" t="str">
        <f aca="false">IF(Raw_Export!$A547="","",IFERROR(VLOOKUP(LOWER(TRIM(Raw_Export!H547)),Maps!$D$2:$E$12,2,FALSE()),"Other"))</f>
        <v>Cash</v>
      </c>
      <c r="J547" s="36" t="str">
        <f aca="false">IF(Raw_Export!$A547="","",IF(COUNTIF($A$2:A547,A547)&gt;1,"Duplicate",""))</f>
        <v/>
      </c>
      <c r="K547" s="36" t="str">
        <f aca="false">IF(Raw_Export!$A547="","",IF(J547="Duplicate","Duplicate",IF(OR(C547="UNMAPPED",D547="UNMAPPED"),"Unmapped",IF(F547=0,"Blank qty",IF(F547&lt;0,"Return","OK")))))</f>
        <v>OK</v>
      </c>
      <c r="L547" s="36" t="n">
        <f aca="false">IF(Raw_Export!$A547="","",IF(OR(K547="OK",K547="Return"),1,0))</f>
        <v>1</v>
      </c>
      <c r="M547" s="37" t="n">
        <f aca="false">IF(Raw_Export!$A547="","",B547-WEEKDAY(B547,2)+1)</f>
        <v>46265</v>
      </c>
    </row>
    <row r="548" customFormat="false" ht="15" hidden="false" customHeight="false" outlineLevel="0" collapsed="false">
      <c r="A548" s="36" t="str">
        <f aca="false">IF(Raw_Export!$A548="","",TRIM(Raw_Export!A548))</f>
        <v>TXN-100535</v>
      </c>
      <c r="B548" s="37" t="n">
        <f aca="false">IF(Raw_Export!$A548="","",IF(ISNUMBER(Raw_Export!B548),Raw_Export!B548,IF(MID(TRIM(Raw_Export!B548),5,1)="-",DATE(LEFT(TRIM(Raw_Export!B548),4),MID(TRIM(Raw_Export!B548),6,2),RIGHT(TRIM(Raw_Export!B548),2)),DATE(RIGHT(TRIM(Raw_Export!B548),4),MATCH(MID(TRIM(Raw_Export!B548),4,3),{"Jan","Feb","Mar","Apr","May","Jun","Jul","Aug","Sep","Oct","Nov","Dec"},0),LEFT(TRIM(Raw_Export!B548),2)))))</f>
        <v>46269</v>
      </c>
      <c r="C548" s="36" t="str">
        <f aca="false">IF(Raw_Export!$A548="","",IFERROR(VLOOKUP(LOWER(TRIM(Raw_Export!C548)),Maps!$A$2:$B$20,2,FALSE()),"UNMAPPED"))</f>
        <v>Nairobi CBD</v>
      </c>
      <c r="D548" s="36" t="str">
        <f aca="false">IF(Raw_Export!$A548="","",IFERROR(VLOOKUP(LOWER(TRIM(Raw_Export!D548)),Maps!$G$2:$I$80,2,FALSE()),"UNMAPPED"))</f>
        <v>Sanitary Pads 8pk</v>
      </c>
      <c r="E548" s="36" t="str">
        <f aca="false">IF(Raw_Export!$A548="","",IFERROR(VLOOKUP(LOWER(TRIM(Raw_Export!D548)),Maps!$G$2:$I$80,3,FALSE()),"UNMAPPED"))</f>
        <v>Personal Care</v>
      </c>
      <c r="F548" s="36" t="n">
        <f aca="false">IF(Raw_Export!$A548="","",IFERROR(VALUE(TRIM(Raw_Export!E548)),0))</f>
        <v>3</v>
      </c>
      <c r="G548" s="38" t="n">
        <f aca="false">IF(Raw_Export!$A548="","",IFERROR(VALUE(SUBSTITUTE(SUBSTITUTE(UPPER(TRIM(Raw_Export!F548)),"KES",""),",","")),0))</f>
        <v>117</v>
      </c>
      <c r="H548" s="38" t="n">
        <f aca="false">IF(Raw_Export!$A548="","",F548*G548)</f>
        <v>351</v>
      </c>
      <c r="I548" s="36" t="str">
        <f aca="false">IF(Raw_Export!$A548="","",IFERROR(VLOOKUP(LOWER(TRIM(Raw_Export!H548)),Maps!$D$2:$E$12,2,FALSE()),"Other"))</f>
        <v>M-Pesa</v>
      </c>
      <c r="J548" s="36" t="str">
        <f aca="false">IF(Raw_Export!$A548="","",IF(COUNTIF($A$2:A548,A548)&gt;1,"Duplicate",""))</f>
        <v/>
      </c>
      <c r="K548" s="36" t="str">
        <f aca="false">IF(Raw_Export!$A548="","",IF(J548="Duplicate","Duplicate",IF(OR(C548="UNMAPPED",D548="UNMAPPED"),"Unmapped",IF(F548=0,"Blank qty",IF(F548&lt;0,"Return","OK")))))</f>
        <v>OK</v>
      </c>
      <c r="L548" s="36" t="n">
        <f aca="false">IF(Raw_Export!$A548="","",IF(OR(K548="OK",K548="Return"),1,0))</f>
        <v>1</v>
      </c>
      <c r="M548" s="37" t="n">
        <f aca="false">IF(Raw_Export!$A548="","",B548-WEEKDAY(B548,2)+1)</f>
        <v>46265</v>
      </c>
    </row>
    <row r="549" customFormat="false" ht="15" hidden="false" customHeight="false" outlineLevel="0" collapsed="false">
      <c r="A549" s="36" t="str">
        <f aca="false">IF(Raw_Export!$A549="","",TRIM(Raw_Export!A549))</f>
        <v>TXN-100536</v>
      </c>
      <c r="B549" s="37" t="n">
        <f aca="false">IF(Raw_Export!$A549="","",IF(ISNUMBER(Raw_Export!B549),Raw_Export!B549,IF(MID(TRIM(Raw_Export!B549),5,1)="-",DATE(LEFT(TRIM(Raw_Export!B549),4),MID(TRIM(Raw_Export!B549),6,2),RIGHT(TRIM(Raw_Export!B549),2)),DATE(RIGHT(TRIM(Raw_Export!B549),4),MATCH(MID(TRIM(Raw_Export!B549),4,3),{"Jan","Feb","Mar","Apr","May","Jun","Jul","Aug","Sep","Oct","Nov","Dec"},0),LEFT(TRIM(Raw_Export!B549),2)))))</f>
        <v>46269</v>
      </c>
      <c r="C549" s="36" t="str">
        <f aca="false">IF(Raw_Export!$A549="","",IFERROR(VLOOKUP(LOWER(TRIM(Raw_Export!C549)),Maps!$A$2:$B$20,2,FALSE()),"UNMAPPED"))</f>
        <v>Nairobi CBD</v>
      </c>
      <c r="D549" s="36" t="str">
        <f aca="false">IF(Raw_Export!$A549="","",IFERROR(VLOOKUP(LOWER(TRIM(Raw_Export!D549)),Maps!$G$2:$I$80,2,FALSE()),"UNMAPPED"))</f>
        <v>Bread Loaf 400g</v>
      </c>
      <c r="E549" s="36" t="str">
        <f aca="false">IF(Raw_Export!$A549="","",IFERROR(VLOOKUP(LOWER(TRIM(Raw_Export!D549)),Maps!$G$2:$I$80,3,FALSE()),"UNMAPPED"))</f>
        <v>Snacks</v>
      </c>
      <c r="F549" s="36" t="n">
        <f aca="false">IF(Raw_Export!$A549="","",IFERROR(VALUE(TRIM(Raw_Export!E549)),0))</f>
        <v>4</v>
      </c>
      <c r="G549" s="38" t="n">
        <f aca="false">IF(Raw_Export!$A549="","",IFERROR(VALUE(SUBSTITUTE(SUBSTITUTE(UPPER(TRIM(Raw_Export!F549)),"KES",""),",","")),0))</f>
        <v>65</v>
      </c>
      <c r="H549" s="38" t="n">
        <f aca="false">IF(Raw_Export!$A549="","",F549*G549)</f>
        <v>260</v>
      </c>
      <c r="I549" s="36" t="str">
        <f aca="false">IF(Raw_Export!$A549="","",IFERROR(VLOOKUP(LOWER(TRIM(Raw_Export!H549)),Maps!$D$2:$E$12,2,FALSE()),"Other"))</f>
        <v>M-Pesa</v>
      </c>
      <c r="J549" s="36" t="str">
        <f aca="false">IF(Raw_Export!$A549="","",IF(COUNTIF($A$2:A549,A549)&gt;1,"Duplicate",""))</f>
        <v/>
      </c>
      <c r="K549" s="36" t="str">
        <f aca="false">IF(Raw_Export!$A549="","",IF(J549="Duplicate","Duplicate",IF(OR(C549="UNMAPPED",D549="UNMAPPED"),"Unmapped",IF(F549=0,"Blank qty",IF(F549&lt;0,"Return","OK")))))</f>
        <v>OK</v>
      </c>
      <c r="L549" s="36" t="n">
        <f aca="false">IF(Raw_Export!$A549="","",IF(OR(K549="OK",K549="Return"),1,0))</f>
        <v>1</v>
      </c>
      <c r="M549" s="37" t="n">
        <f aca="false">IF(Raw_Export!$A549="","",B549-WEEKDAY(B549,2)+1)</f>
        <v>46265</v>
      </c>
    </row>
    <row r="550" customFormat="false" ht="15" hidden="false" customHeight="false" outlineLevel="0" collapsed="false">
      <c r="A550" s="36" t="str">
        <f aca="false">IF(Raw_Export!$A550="","",TRIM(Raw_Export!A550))</f>
        <v>TXN-100537</v>
      </c>
      <c r="B550" s="37" t="n">
        <f aca="false">IF(Raw_Export!$A550="","",IF(ISNUMBER(Raw_Export!B550),Raw_Export!B550,IF(MID(TRIM(Raw_Export!B550),5,1)="-",DATE(LEFT(TRIM(Raw_Export!B550),4),MID(TRIM(Raw_Export!B550),6,2),RIGHT(TRIM(Raw_Export!B550),2)),DATE(RIGHT(TRIM(Raw_Export!B550),4),MATCH(MID(TRIM(Raw_Export!B550),4,3),{"Jan","Feb","Mar","Apr","May","Jun","Jul","Aug","Sep","Oct","Nov","Dec"},0),LEFT(TRIM(Raw_Export!B550),2)))))</f>
        <v>46269</v>
      </c>
      <c r="C550" s="36" t="str">
        <f aca="false">IF(Raw_Export!$A550="","",IFERROR(VLOOKUP(LOWER(TRIM(Raw_Export!C550)),Maps!$A$2:$B$20,2,FALSE()),"UNMAPPED"))</f>
        <v>Nairobi CBD</v>
      </c>
      <c r="D550" s="36" t="str">
        <f aca="false">IF(Raw_Export!$A550="","",IFERROR(VLOOKUP(LOWER(TRIM(Raw_Export!D550)),Maps!$G$2:$I$80,2,FALSE()),"UNMAPPED"))</f>
        <v>Spaghetti 400g</v>
      </c>
      <c r="E550" s="36" t="str">
        <f aca="false">IF(Raw_Export!$A550="","",IFERROR(VLOOKUP(LOWER(TRIM(Raw_Export!D550)),Maps!$G$2:$I$80,3,FALSE()),"UNMAPPED"))</f>
        <v>Staples</v>
      </c>
      <c r="F550" s="36" t="n">
        <f aca="false">IF(Raw_Export!$A550="","",IFERROR(VALUE(TRIM(Raw_Export!E550)),0))</f>
        <v>2</v>
      </c>
      <c r="G550" s="38" t="n">
        <f aca="false">IF(Raw_Export!$A550="","",IFERROR(VALUE(SUBSTITUTE(SUBSTITUTE(UPPER(TRIM(Raw_Export!F550)),"KES",""),",","")),0))</f>
        <v>110</v>
      </c>
      <c r="H550" s="38" t="n">
        <f aca="false">IF(Raw_Export!$A550="","",F550*G550)</f>
        <v>220</v>
      </c>
      <c r="I550" s="36" t="str">
        <f aca="false">IF(Raw_Export!$A550="","",IFERROR(VLOOKUP(LOWER(TRIM(Raw_Export!H550)),Maps!$D$2:$E$12,2,FALSE()),"Other"))</f>
        <v>Card</v>
      </c>
      <c r="J550" s="36" t="str">
        <f aca="false">IF(Raw_Export!$A550="","",IF(COUNTIF($A$2:A550,A550)&gt;1,"Duplicate",""))</f>
        <v/>
      </c>
      <c r="K550" s="36" t="str">
        <f aca="false">IF(Raw_Export!$A550="","",IF(J550="Duplicate","Duplicate",IF(OR(C550="UNMAPPED",D550="UNMAPPED"),"Unmapped",IF(F550=0,"Blank qty",IF(F550&lt;0,"Return","OK")))))</f>
        <v>OK</v>
      </c>
      <c r="L550" s="36" t="n">
        <f aca="false">IF(Raw_Export!$A550="","",IF(OR(K550="OK",K550="Return"),1,0))</f>
        <v>1</v>
      </c>
      <c r="M550" s="37" t="n">
        <f aca="false">IF(Raw_Export!$A550="","",B550-WEEKDAY(B550,2)+1)</f>
        <v>46265</v>
      </c>
    </row>
    <row r="551" customFormat="false" ht="15" hidden="false" customHeight="false" outlineLevel="0" collapsed="false">
      <c r="A551" s="36" t="str">
        <f aca="false">IF(Raw_Export!$A551="","",TRIM(Raw_Export!A551))</f>
        <v>TXN-100538</v>
      </c>
      <c r="B551" s="37" t="n">
        <f aca="false">IF(Raw_Export!$A551="","",IF(ISNUMBER(Raw_Export!B551),Raw_Export!B551,IF(MID(TRIM(Raw_Export!B551),5,1)="-",DATE(LEFT(TRIM(Raw_Export!B551),4),MID(TRIM(Raw_Export!B551),6,2),RIGHT(TRIM(Raw_Export!B551),2)),DATE(RIGHT(TRIM(Raw_Export!B551),4),MATCH(MID(TRIM(Raw_Export!B551),4,3),{"Jan","Feb","Mar","Apr","May","Jun","Jul","Aug","Sep","Oct","Nov","Dec"},0),LEFT(TRIM(Raw_Export!B551),2)))))</f>
        <v>46269</v>
      </c>
      <c r="C551" s="36" t="str">
        <f aca="false">IF(Raw_Export!$A551="","",IFERROR(VLOOKUP(LOWER(TRIM(Raw_Export!C551)),Maps!$A$2:$B$20,2,FALSE()),"UNMAPPED"))</f>
        <v>Nairobi CBD</v>
      </c>
      <c r="D551" s="36" t="str">
        <f aca="false">IF(Raw_Export!$A551="","",IFERROR(VLOOKUP(LOWER(TRIM(Raw_Export!D551)),Maps!$G$2:$I$80,2,FALSE()),"UNMAPPED"))</f>
        <v>Eggs Tray 30</v>
      </c>
      <c r="E551" s="36" t="str">
        <f aca="false">IF(Raw_Export!$A551="","",IFERROR(VLOOKUP(LOWER(TRIM(Raw_Export!D551)),Maps!$G$2:$I$80,3,FALSE()),"UNMAPPED"))</f>
        <v>Dairy &amp; Eggs</v>
      </c>
      <c r="F551" s="36" t="n">
        <f aca="false">IF(Raw_Export!$A551="","",IFERROR(VALUE(TRIM(Raw_Export!E551)),0))</f>
        <v>6</v>
      </c>
      <c r="G551" s="38" t="n">
        <f aca="false">IF(Raw_Export!$A551="","",IFERROR(VALUE(SUBSTITUTE(SUBSTITUTE(UPPER(TRIM(Raw_Export!F551)),"KES",""),",","")),0))</f>
        <v>405</v>
      </c>
      <c r="H551" s="38" t="n">
        <f aca="false">IF(Raw_Export!$A551="","",F551*G551)</f>
        <v>2430</v>
      </c>
      <c r="I551" s="36" t="str">
        <f aca="false">IF(Raw_Export!$A551="","",IFERROR(VLOOKUP(LOWER(TRIM(Raw_Export!H551)),Maps!$D$2:$E$12,2,FALSE()),"Other"))</f>
        <v>Cash</v>
      </c>
      <c r="J551" s="36" t="str">
        <f aca="false">IF(Raw_Export!$A551="","",IF(COUNTIF($A$2:A551,A551)&gt;1,"Duplicate",""))</f>
        <v/>
      </c>
      <c r="K551" s="36" t="str">
        <f aca="false">IF(Raw_Export!$A551="","",IF(J551="Duplicate","Duplicate",IF(OR(C551="UNMAPPED",D551="UNMAPPED"),"Unmapped",IF(F551=0,"Blank qty",IF(F551&lt;0,"Return","OK")))))</f>
        <v>OK</v>
      </c>
      <c r="L551" s="36" t="n">
        <f aca="false">IF(Raw_Export!$A551="","",IF(OR(K551="OK",K551="Return"),1,0))</f>
        <v>1</v>
      </c>
      <c r="M551" s="37" t="n">
        <f aca="false">IF(Raw_Export!$A551="","",B551-WEEKDAY(B551,2)+1)</f>
        <v>46265</v>
      </c>
    </row>
    <row r="552" customFormat="false" ht="15" hidden="false" customHeight="false" outlineLevel="0" collapsed="false">
      <c r="A552" s="36" t="str">
        <f aca="false">IF(Raw_Export!$A552="","",TRIM(Raw_Export!A552))</f>
        <v>TXN-100539</v>
      </c>
      <c r="B552" s="37" t="n">
        <f aca="false">IF(Raw_Export!$A552="","",IF(ISNUMBER(Raw_Export!B552),Raw_Export!B552,IF(MID(TRIM(Raw_Export!B552),5,1)="-",DATE(LEFT(TRIM(Raw_Export!B552),4),MID(TRIM(Raw_Export!B552),6,2),RIGHT(TRIM(Raw_Export!B552),2)),DATE(RIGHT(TRIM(Raw_Export!B552),4),MATCH(MID(TRIM(Raw_Export!B552),4,3),{"Jan","Feb","Mar","Apr","May","Jun","Jul","Aug","Sep","Oct","Nov","Dec"},0),LEFT(TRIM(Raw_Export!B552),2)))))</f>
        <v>46269</v>
      </c>
      <c r="C552" s="36" t="str">
        <f aca="false">IF(Raw_Export!$A552="","",IFERROR(VLOOKUP(LOWER(TRIM(Raw_Export!C552)),Maps!$A$2:$B$20,2,FALSE()),"UNMAPPED"))</f>
        <v>Nairobi CBD</v>
      </c>
      <c r="D552" s="36" t="str">
        <f aca="false">IF(Raw_Export!$A552="","",IFERROR(VLOOKUP(LOWER(TRIM(Raw_Export!D552)),Maps!$G$2:$I$80,2,FALSE()),"UNMAPPED"))</f>
        <v>Fresh Milk 500ml</v>
      </c>
      <c r="E552" s="36" t="str">
        <f aca="false">IF(Raw_Export!$A552="","",IFERROR(VLOOKUP(LOWER(TRIM(Raw_Export!D552)),Maps!$G$2:$I$80,3,FALSE()),"UNMAPPED"))</f>
        <v>Dairy &amp; Eggs</v>
      </c>
      <c r="F552" s="36" t="n">
        <f aca="false">IF(Raw_Export!$A552="","",IFERROR(VALUE(TRIM(Raw_Export!E552)),0))</f>
        <v>2</v>
      </c>
      <c r="G552" s="38" t="n">
        <f aca="false">IF(Raw_Export!$A552="","",IFERROR(VALUE(SUBSTITUTE(SUBSTITUTE(UPPER(TRIM(Raw_Export!F552)),"KES",""),",","")),0))</f>
        <v>65</v>
      </c>
      <c r="H552" s="38" t="n">
        <f aca="false">IF(Raw_Export!$A552="","",F552*G552)</f>
        <v>130</v>
      </c>
      <c r="I552" s="36" t="str">
        <f aca="false">IF(Raw_Export!$A552="","",IFERROR(VLOOKUP(LOWER(TRIM(Raw_Export!H552)),Maps!$D$2:$E$12,2,FALSE()),"Other"))</f>
        <v>M-Pesa</v>
      </c>
      <c r="J552" s="36" t="str">
        <f aca="false">IF(Raw_Export!$A552="","",IF(COUNTIF($A$2:A552,A552)&gt;1,"Duplicate",""))</f>
        <v/>
      </c>
      <c r="K552" s="36" t="str">
        <f aca="false">IF(Raw_Export!$A552="","",IF(J552="Duplicate","Duplicate",IF(OR(C552="UNMAPPED",D552="UNMAPPED"),"Unmapped",IF(F552=0,"Blank qty",IF(F552&lt;0,"Return","OK")))))</f>
        <v>OK</v>
      </c>
      <c r="L552" s="36" t="n">
        <f aca="false">IF(Raw_Export!$A552="","",IF(OR(K552="OK",K552="Return"),1,0))</f>
        <v>1</v>
      </c>
      <c r="M552" s="37" t="n">
        <f aca="false">IF(Raw_Export!$A552="","",B552-WEEKDAY(B552,2)+1)</f>
        <v>46265</v>
      </c>
    </row>
    <row r="553" customFormat="false" ht="15" hidden="false" customHeight="false" outlineLevel="0" collapsed="false">
      <c r="A553" s="36" t="str">
        <f aca="false">IF(Raw_Export!$A553="","",TRIM(Raw_Export!A553))</f>
        <v>TXN-100540</v>
      </c>
      <c r="B553" s="37" t="n">
        <f aca="false">IF(Raw_Export!$A553="","",IF(ISNUMBER(Raw_Export!B553),Raw_Export!B553,IF(MID(TRIM(Raw_Export!B553),5,1)="-",DATE(LEFT(TRIM(Raw_Export!B553),4),MID(TRIM(Raw_Export!B553),6,2),RIGHT(TRIM(Raw_Export!B553),2)),DATE(RIGHT(TRIM(Raw_Export!B553),4),MATCH(MID(TRIM(Raw_Export!B553),4,3),{"Jan","Feb","Mar","Apr","May","Jun","Jul","Aug","Sep","Oct","Nov","Dec"},0),LEFT(TRIM(Raw_Export!B553),2)))))</f>
        <v>46269</v>
      </c>
      <c r="C553" s="36" t="str">
        <f aca="false">IF(Raw_Export!$A553="","",IFERROR(VLOOKUP(LOWER(TRIM(Raw_Export!C553)),Maps!$A$2:$B$20,2,FALSE()),"UNMAPPED"))</f>
        <v>Nairobi CBD</v>
      </c>
      <c r="D553" s="36" t="str">
        <f aca="false">IF(Raw_Export!$A553="","",IFERROR(VLOOKUP(LOWER(TRIM(Raw_Export!D553)),Maps!$G$2:$I$80,2,FALSE()),"UNMAPPED"))</f>
        <v>Soda 500ml</v>
      </c>
      <c r="E553" s="36" t="str">
        <f aca="false">IF(Raw_Export!$A553="","",IFERROR(VLOOKUP(LOWER(TRIM(Raw_Export!D553)),Maps!$G$2:$I$80,3,FALSE()),"UNMAPPED"))</f>
        <v>Beverages</v>
      </c>
      <c r="F553" s="36" t="n">
        <f aca="false">IF(Raw_Export!$A553="","",IFERROR(VALUE(TRIM(Raw_Export!E553)),0))</f>
        <v>1</v>
      </c>
      <c r="G553" s="38" t="n">
        <f aca="false">IF(Raw_Export!$A553="","",IFERROR(VALUE(SUBSTITUTE(SUBSTITUTE(UPPER(TRIM(Raw_Export!F553)),"KES",""),",","")),0))</f>
        <v>60</v>
      </c>
      <c r="H553" s="38" t="n">
        <f aca="false">IF(Raw_Export!$A553="","",F553*G553)</f>
        <v>60</v>
      </c>
      <c r="I553" s="36" t="str">
        <f aca="false">IF(Raw_Export!$A553="","",IFERROR(VLOOKUP(LOWER(TRIM(Raw_Export!H553)),Maps!$D$2:$E$12,2,FALSE()),"Other"))</f>
        <v>M-Pesa</v>
      </c>
      <c r="J553" s="36" t="str">
        <f aca="false">IF(Raw_Export!$A553="","",IF(COUNTIF($A$2:A553,A553)&gt;1,"Duplicate",""))</f>
        <v/>
      </c>
      <c r="K553" s="36" t="str">
        <f aca="false">IF(Raw_Export!$A553="","",IF(J553="Duplicate","Duplicate",IF(OR(C553="UNMAPPED",D553="UNMAPPED"),"Unmapped",IF(F553=0,"Blank qty",IF(F553&lt;0,"Return","OK")))))</f>
        <v>OK</v>
      </c>
      <c r="L553" s="36" t="n">
        <f aca="false">IF(Raw_Export!$A553="","",IF(OR(K553="OK",K553="Return"),1,0))</f>
        <v>1</v>
      </c>
      <c r="M553" s="37" t="n">
        <f aca="false">IF(Raw_Export!$A553="","",B553-WEEKDAY(B553,2)+1)</f>
        <v>46265</v>
      </c>
    </row>
    <row r="554" customFormat="false" ht="15" hidden="false" customHeight="false" outlineLevel="0" collapsed="false">
      <c r="A554" s="36" t="str">
        <f aca="false">IF(Raw_Export!$A554="","",TRIM(Raw_Export!A554))</f>
        <v>TXN-100541</v>
      </c>
      <c r="B554" s="37" t="n">
        <f aca="false">IF(Raw_Export!$A554="","",IF(ISNUMBER(Raw_Export!B554),Raw_Export!B554,IF(MID(TRIM(Raw_Export!B554),5,1)="-",DATE(LEFT(TRIM(Raw_Export!B554),4),MID(TRIM(Raw_Export!B554),6,2),RIGHT(TRIM(Raw_Export!B554),2)),DATE(RIGHT(TRIM(Raw_Export!B554),4),MATCH(MID(TRIM(Raw_Export!B554),4,3),{"Jan","Feb","Mar","Apr","May","Jun","Jul","Aug","Sep","Oct","Nov","Dec"},0),LEFT(TRIM(Raw_Export!B554),2)))))</f>
        <v>46269</v>
      </c>
      <c r="C554" s="36" t="str">
        <f aca="false">IF(Raw_Export!$A554="","",IFERROR(VLOOKUP(LOWER(TRIM(Raw_Export!C554)),Maps!$A$2:$B$20,2,FALSE()),"UNMAPPED"))</f>
        <v>Nairobi CBD</v>
      </c>
      <c r="D554" s="36" t="str">
        <f aca="false">IF(Raw_Export!$A554="","",IFERROR(VLOOKUP(LOWER(TRIM(Raw_Export!D554)),Maps!$G$2:$I$80,2,FALSE()),"UNMAPPED"))</f>
        <v>Matches 10pk</v>
      </c>
      <c r="E554" s="36" t="str">
        <f aca="false">IF(Raw_Export!$A554="","",IFERROR(VLOOKUP(LOWER(TRIM(Raw_Export!D554)),Maps!$G$2:$I$80,3,FALSE()),"UNMAPPED"))</f>
        <v>Household</v>
      </c>
      <c r="F554" s="36" t="n">
        <f aca="false">IF(Raw_Export!$A554="","",IFERROR(VALUE(TRIM(Raw_Export!E554)),0))</f>
        <v>6</v>
      </c>
      <c r="G554" s="38" t="n">
        <f aca="false">IF(Raw_Export!$A554="","",IFERROR(VALUE(SUBSTITUTE(SUBSTITUTE(UPPER(TRIM(Raw_Export!F554)),"KES",""),",","")),0))</f>
        <v>50</v>
      </c>
      <c r="H554" s="38" t="n">
        <f aca="false">IF(Raw_Export!$A554="","",F554*G554)</f>
        <v>300</v>
      </c>
      <c r="I554" s="36" t="str">
        <f aca="false">IF(Raw_Export!$A554="","",IFERROR(VLOOKUP(LOWER(TRIM(Raw_Export!H554)),Maps!$D$2:$E$12,2,FALSE()),"Other"))</f>
        <v>M-Pesa</v>
      </c>
      <c r="J554" s="36" t="str">
        <f aca="false">IF(Raw_Export!$A554="","",IF(COUNTIF($A$2:A554,A554)&gt;1,"Duplicate",""))</f>
        <v/>
      </c>
      <c r="K554" s="36" t="str">
        <f aca="false">IF(Raw_Export!$A554="","",IF(J554="Duplicate","Duplicate",IF(OR(C554="UNMAPPED",D554="UNMAPPED"),"Unmapped",IF(F554=0,"Blank qty",IF(F554&lt;0,"Return","OK")))))</f>
        <v>OK</v>
      </c>
      <c r="L554" s="36" t="n">
        <f aca="false">IF(Raw_Export!$A554="","",IF(OR(K554="OK",K554="Return"),1,0))</f>
        <v>1</v>
      </c>
      <c r="M554" s="37" t="n">
        <f aca="false">IF(Raw_Export!$A554="","",B554-WEEKDAY(B554,2)+1)</f>
        <v>46265</v>
      </c>
    </row>
    <row r="555" customFormat="false" ht="15" hidden="false" customHeight="false" outlineLevel="0" collapsed="false">
      <c r="A555" s="36" t="str">
        <f aca="false">IF(Raw_Export!$A555="","",TRIM(Raw_Export!A555))</f>
        <v>TXN-100542</v>
      </c>
      <c r="B555" s="37" t="n">
        <f aca="false">IF(Raw_Export!$A555="","",IF(ISNUMBER(Raw_Export!B555),Raw_Export!B555,IF(MID(TRIM(Raw_Export!B555),5,1)="-",DATE(LEFT(TRIM(Raw_Export!B555),4),MID(TRIM(Raw_Export!B555),6,2),RIGHT(TRIM(Raw_Export!B555),2)),DATE(RIGHT(TRIM(Raw_Export!B555),4),MATCH(MID(TRIM(Raw_Export!B555),4,3),{"Jan","Feb","Mar","Apr","May","Jun","Jul","Aug","Sep","Oct","Nov","Dec"},0),LEFT(TRIM(Raw_Export!B555),2)))))</f>
        <v>46269</v>
      </c>
      <c r="C555" s="36" t="str">
        <f aca="false">IF(Raw_Export!$A555="","",IFERROR(VLOOKUP(LOWER(TRIM(Raw_Export!C555)),Maps!$A$2:$B$20,2,FALSE()),"UNMAPPED"))</f>
        <v>Nairobi CBD</v>
      </c>
      <c r="D555" s="36" t="str">
        <f aca="false">IF(Raw_Export!$A555="","",IFERROR(VLOOKUP(LOWER(TRIM(Raw_Export!D555)),Maps!$G$2:$I$80,2,FALSE()),"UNMAPPED"))</f>
        <v>Spaghetti 400g</v>
      </c>
      <c r="E555" s="36" t="str">
        <f aca="false">IF(Raw_Export!$A555="","",IFERROR(VLOOKUP(LOWER(TRIM(Raw_Export!D555)),Maps!$G$2:$I$80,3,FALSE()),"UNMAPPED"))</f>
        <v>Staples</v>
      </c>
      <c r="F555" s="36" t="n">
        <f aca="false">IF(Raw_Export!$A555="","",IFERROR(VALUE(TRIM(Raw_Export!E555)),0))</f>
        <v>1</v>
      </c>
      <c r="G555" s="38" t="n">
        <f aca="false">IF(Raw_Export!$A555="","",IFERROR(VALUE(SUBSTITUTE(SUBSTITUTE(UPPER(TRIM(Raw_Export!F555)),"KES",""),",","")),0))</f>
        <v>110</v>
      </c>
      <c r="H555" s="38" t="n">
        <f aca="false">IF(Raw_Export!$A555="","",F555*G555)</f>
        <v>110</v>
      </c>
      <c r="I555" s="36" t="str">
        <f aca="false">IF(Raw_Export!$A555="","",IFERROR(VLOOKUP(LOWER(TRIM(Raw_Export!H555)),Maps!$D$2:$E$12,2,FALSE()),"Other"))</f>
        <v>M-Pesa</v>
      </c>
      <c r="J555" s="36" t="str">
        <f aca="false">IF(Raw_Export!$A555="","",IF(COUNTIF($A$2:A555,A555)&gt;1,"Duplicate",""))</f>
        <v/>
      </c>
      <c r="K555" s="36" t="str">
        <f aca="false">IF(Raw_Export!$A555="","",IF(J555="Duplicate","Duplicate",IF(OR(C555="UNMAPPED",D555="UNMAPPED"),"Unmapped",IF(F555=0,"Blank qty",IF(F555&lt;0,"Return","OK")))))</f>
        <v>OK</v>
      </c>
      <c r="L555" s="36" t="n">
        <f aca="false">IF(Raw_Export!$A555="","",IF(OR(K555="OK",K555="Return"),1,0))</f>
        <v>1</v>
      </c>
      <c r="M555" s="37" t="n">
        <f aca="false">IF(Raw_Export!$A555="","",B555-WEEKDAY(B555,2)+1)</f>
        <v>46265</v>
      </c>
    </row>
    <row r="556" customFormat="false" ht="15" hidden="false" customHeight="false" outlineLevel="0" collapsed="false">
      <c r="A556" s="36" t="str">
        <f aca="false">IF(Raw_Export!$A556="","",TRIM(Raw_Export!A556))</f>
        <v>TXN-100543</v>
      </c>
      <c r="B556" s="37" t="n">
        <f aca="false">IF(Raw_Export!$A556="","",IF(ISNUMBER(Raw_Export!B556),Raw_Export!B556,IF(MID(TRIM(Raw_Export!B556),5,1)="-",DATE(LEFT(TRIM(Raw_Export!B556),4),MID(TRIM(Raw_Export!B556),6,2),RIGHT(TRIM(Raw_Export!B556),2)),DATE(RIGHT(TRIM(Raw_Export!B556),4),MATCH(MID(TRIM(Raw_Export!B556),4,3),{"Jan","Feb","Mar","Apr","May","Jun","Jul","Aug","Sep","Oct","Nov","Dec"},0),LEFT(TRIM(Raw_Export!B556),2)))))</f>
        <v>46269</v>
      </c>
      <c r="C556" s="36" t="str">
        <f aca="false">IF(Raw_Export!$A556="","",IFERROR(VLOOKUP(LOWER(TRIM(Raw_Export!C556)),Maps!$A$2:$B$20,2,FALSE()),"UNMAPPED"))</f>
        <v>Nairobi CBD</v>
      </c>
      <c r="D556" s="36" t="str">
        <f aca="false">IF(Raw_Export!$A556="","",IFERROR(VLOOKUP(LOWER(TRIM(Raw_Export!D556)),Maps!$G$2:$I$80,2,FALSE()),"UNMAPPED"))</f>
        <v>Salt 500g</v>
      </c>
      <c r="E556" s="36" t="str">
        <f aca="false">IF(Raw_Export!$A556="","",IFERROR(VLOOKUP(LOWER(TRIM(Raw_Export!D556)),Maps!$G$2:$I$80,3,FALSE()),"UNMAPPED"))</f>
        <v>Staples</v>
      </c>
      <c r="F556" s="36" t="n">
        <f aca="false">IF(Raw_Export!$A556="","",IFERROR(VALUE(TRIM(Raw_Export!E556)),0))</f>
        <v>1</v>
      </c>
      <c r="G556" s="38" t="n">
        <f aca="false">IF(Raw_Export!$A556="","",IFERROR(VALUE(SUBSTITUTE(SUBSTITUTE(UPPER(TRIM(Raw_Export!F556)),"KES",""),",","")),0))</f>
        <v>36</v>
      </c>
      <c r="H556" s="38" t="n">
        <f aca="false">IF(Raw_Export!$A556="","",F556*G556)</f>
        <v>36</v>
      </c>
      <c r="I556" s="36" t="str">
        <f aca="false">IF(Raw_Export!$A556="","",IFERROR(VLOOKUP(LOWER(TRIM(Raw_Export!H556)),Maps!$D$2:$E$12,2,FALSE()),"Other"))</f>
        <v>M-Pesa</v>
      </c>
      <c r="J556" s="36" t="str">
        <f aca="false">IF(Raw_Export!$A556="","",IF(COUNTIF($A$2:A556,A556)&gt;1,"Duplicate",""))</f>
        <v/>
      </c>
      <c r="K556" s="36" t="str">
        <f aca="false">IF(Raw_Export!$A556="","",IF(J556="Duplicate","Duplicate",IF(OR(C556="UNMAPPED",D556="UNMAPPED"),"Unmapped",IF(F556=0,"Blank qty",IF(F556&lt;0,"Return","OK")))))</f>
        <v>OK</v>
      </c>
      <c r="L556" s="36" t="n">
        <f aca="false">IF(Raw_Export!$A556="","",IF(OR(K556="OK",K556="Return"),1,0))</f>
        <v>1</v>
      </c>
      <c r="M556" s="37" t="n">
        <f aca="false">IF(Raw_Export!$A556="","",B556-WEEKDAY(B556,2)+1)</f>
        <v>46265</v>
      </c>
    </row>
    <row r="557" customFormat="false" ht="15" hidden="false" customHeight="false" outlineLevel="0" collapsed="false">
      <c r="A557" s="36" t="str">
        <f aca="false">IF(Raw_Export!$A557="","",TRIM(Raw_Export!A557))</f>
        <v>TXN-100544</v>
      </c>
      <c r="B557" s="37" t="n">
        <f aca="false">IF(Raw_Export!$A557="","",IF(ISNUMBER(Raw_Export!B557),Raw_Export!B557,IF(MID(TRIM(Raw_Export!B557),5,1)="-",DATE(LEFT(TRIM(Raw_Export!B557),4),MID(TRIM(Raw_Export!B557),6,2),RIGHT(TRIM(Raw_Export!B557),2)),DATE(RIGHT(TRIM(Raw_Export!B557),4),MATCH(MID(TRIM(Raw_Export!B557),4,3),{"Jan","Feb","Mar","Apr","May","Jun","Jul","Aug","Sep","Oct","Nov","Dec"},0),LEFT(TRIM(Raw_Export!B557),2)))))</f>
        <v>46269</v>
      </c>
      <c r="C557" s="36" t="str">
        <f aca="false">IF(Raw_Export!$A557="","",IFERROR(VLOOKUP(LOWER(TRIM(Raw_Export!C557)),Maps!$A$2:$B$20,2,FALSE()),"UNMAPPED"))</f>
        <v>Nairobi CBD</v>
      </c>
      <c r="D557" s="36" t="str">
        <f aca="false">IF(Raw_Export!$A557="","",IFERROR(VLOOKUP(LOWER(TRIM(Raw_Export!D557)),Maps!$G$2:$I$80,2,FALSE()),"UNMAPPED"))</f>
        <v>Spaghetti 400g</v>
      </c>
      <c r="E557" s="36" t="str">
        <f aca="false">IF(Raw_Export!$A557="","",IFERROR(VLOOKUP(LOWER(TRIM(Raw_Export!D557)),Maps!$G$2:$I$80,3,FALSE()),"UNMAPPED"))</f>
        <v>Staples</v>
      </c>
      <c r="F557" s="36" t="n">
        <f aca="false">IF(Raw_Export!$A557="","",IFERROR(VALUE(TRIM(Raw_Export!E557)),0))</f>
        <v>1</v>
      </c>
      <c r="G557" s="38" t="n">
        <f aca="false">IF(Raw_Export!$A557="","",IFERROR(VALUE(SUBSTITUTE(SUBSTITUTE(UPPER(TRIM(Raw_Export!F557)),"KES",""),",","")),0))</f>
        <v>110</v>
      </c>
      <c r="H557" s="38" t="n">
        <f aca="false">IF(Raw_Export!$A557="","",F557*G557)</f>
        <v>110</v>
      </c>
      <c r="I557" s="36" t="str">
        <f aca="false">IF(Raw_Export!$A557="","",IFERROR(VLOOKUP(LOWER(TRIM(Raw_Export!H557)),Maps!$D$2:$E$12,2,FALSE()),"Other"))</f>
        <v>Cash</v>
      </c>
      <c r="J557" s="36" t="str">
        <f aca="false">IF(Raw_Export!$A557="","",IF(COUNTIF($A$2:A557,A557)&gt;1,"Duplicate",""))</f>
        <v/>
      </c>
      <c r="K557" s="36" t="str">
        <f aca="false">IF(Raw_Export!$A557="","",IF(J557="Duplicate","Duplicate",IF(OR(C557="UNMAPPED",D557="UNMAPPED"),"Unmapped",IF(F557=0,"Blank qty",IF(F557&lt;0,"Return","OK")))))</f>
        <v>OK</v>
      </c>
      <c r="L557" s="36" t="n">
        <f aca="false">IF(Raw_Export!$A557="","",IF(OR(K557="OK",K557="Return"),1,0))</f>
        <v>1</v>
      </c>
      <c r="M557" s="37" t="n">
        <f aca="false">IF(Raw_Export!$A557="","",B557-WEEKDAY(B557,2)+1)</f>
        <v>46265</v>
      </c>
    </row>
    <row r="558" customFormat="false" ht="15" hidden="false" customHeight="false" outlineLevel="0" collapsed="false">
      <c r="A558" s="36" t="str">
        <f aca="false">IF(Raw_Export!$A558="","",TRIM(Raw_Export!A558))</f>
        <v>TXN-100545</v>
      </c>
      <c r="B558" s="37" t="n">
        <f aca="false">IF(Raw_Export!$A558="","",IF(ISNUMBER(Raw_Export!B558),Raw_Export!B558,IF(MID(TRIM(Raw_Export!B558),5,1)="-",DATE(LEFT(TRIM(Raw_Export!B558),4),MID(TRIM(Raw_Export!B558),6,2),RIGHT(TRIM(Raw_Export!B558),2)),DATE(RIGHT(TRIM(Raw_Export!B558),4),MATCH(MID(TRIM(Raw_Export!B558),4,3),{"Jan","Feb","Mar","Apr","May","Jun","Jul","Aug","Sep","Oct","Nov","Dec"},0),LEFT(TRIM(Raw_Export!B558),2)))))</f>
        <v>46269</v>
      </c>
      <c r="C558" s="36" t="str">
        <f aca="false">IF(Raw_Export!$A558="","",IFERROR(VLOOKUP(LOWER(TRIM(Raw_Export!C558)),Maps!$A$2:$B$20,2,FALSE()),"UNMAPPED"))</f>
        <v>Nairobi CBD</v>
      </c>
      <c r="D558" s="36" t="str">
        <f aca="false">IF(Raw_Export!$A558="","",IFERROR(VLOOKUP(LOWER(TRIM(Raw_Export!D558)),Maps!$G$2:$I$80,2,FALSE()),"UNMAPPED"))</f>
        <v>Soda 500ml</v>
      </c>
      <c r="E558" s="36" t="str">
        <f aca="false">IF(Raw_Export!$A558="","",IFERROR(VLOOKUP(LOWER(TRIM(Raw_Export!D558)),Maps!$G$2:$I$80,3,FALSE()),"UNMAPPED"))</f>
        <v>Beverages</v>
      </c>
      <c r="F558" s="36" t="n">
        <f aca="false">IF(Raw_Export!$A558="","",IFERROR(VALUE(TRIM(Raw_Export!E558)),0))</f>
        <v>1</v>
      </c>
      <c r="G558" s="38" t="n">
        <f aca="false">IF(Raw_Export!$A558="","",IFERROR(VALUE(SUBSTITUTE(SUBSTITUTE(UPPER(TRIM(Raw_Export!F558)),"KES",""),",","")),0))</f>
        <v>60</v>
      </c>
      <c r="H558" s="38" t="n">
        <f aca="false">IF(Raw_Export!$A558="","",F558*G558)</f>
        <v>60</v>
      </c>
      <c r="I558" s="36" t="str">
        <f aca="false">IF(Raw_Export!$A558="","",IFERROR(VLOOKUP(LOWER(TRIM(Raw_Export!H558)),Maps!$D$2:$E$12,2,FALSE()),"Other"))</f>
        <v>M-Pesa</v>
      </c>
      <c r="J558" s="36" t="str">
        <f aca="false">IF(Raw_Export!$A558="","",IF(COUNTIF($A$2:A558,A558)&gt;1,"Duplicate",""))</f>
        <v/>
      </c>
      <c r="K558" s="36" t="str">
        <f aca="false">IF(Raw_Export!$A558="","",IF(J558="Duplicate","Duplicate",IF(OR(C558="UNMAPPED",D558="UNMAPPED"),"Unmapped",IF(F558=0,"Blank qty",IF(F558&lt;0,"Return","OK")))))</f>
        <v>OK</v>
      </c>
      <c r="L558" s="36" t="n">
        <f aca="false">IF(Raw_Export!$A558="","",IF(OR(K558="OK",K558="Return"),1,0))</f>
        <v>1</v>
      </c>
      <c r="M558" s="37" t="n">
        <f aca="false">IF(Raw_Export!$A558="","",B558-WEEKDAY(B558,2)+1)</f>
        <v>46265</v>
      </c>
    </row>
    <row r="559" customFormat="false" ht="15" hidden="false" customHeight="false" outlineLevel="0" collapsed="false">
      <c r="A559" s="36" t="str">
        <f aca="false">IF(Raw_Export!$A559="","",TRIM(Raw_Export!A559))</f>
        <v>TXN-100546</v>
      </c>
      <c r="B559" s="37" t="n">
        <f aca="false">IF(Raw_Export!$A559="","",IF(ISNUMBER(Raw_Export!B559),Raw_Export!B559,IF(MID(TRIM(Raw_Export!B559),5,1)="-",DATE(LEFT(TRIM(Raw_Export!B559),4),MID(TRIM(Raw_Export!B559),6,2),RIGHT(TRIM(Raw_Export!B559),2)),DATE(RIGHT(TRIM(Raw_Export!B559),4),MATCH(MID(TRIM(Raw_Export!B559),4,3),{"Jan","Feb","Mar","Apr","May","Jun","Jul","Aug","Sep","Oct","Nov","Dec"},0),LEFT(TRIM(Raw_Export!B559),2)))))</f>
        <v>46269</v>
      </c>
      <c r="C559" s="36" t="str">
        <f aca="false">IF(Raw_Export!$A559="","",IFERROR(VLOOKUP(LOWER(TRIM(Raw_Export!C559)),Maps!$A$2:$B$20,2,FALSE()),"UNMAPPED"))</f>
        <v>Nairobi CBD</v>
      </c>
      <c r="D559" s="36" t="str">
        <f aca="false">IF(Raw_Export!$A559="","",IFERROR(VLOOKUP(LOWER(TRIM(Raw_Export!D559)),Maps!$G$2:$I$80,2,FALSE()),"UNMAPPED"))</f>
        <v>Peanuts 250g</v>
      </c>
      <c r="E559" s="36" t="str">
        <f aca="false">IF(Raw_Export!$A559="","",IFERROR(VLOOKUP(LOWER(TRIM(Raw_Export!D559)),Maps!$G$2:$I$80,3,FALSE()),"UNMAPPED"))</f>
        <v>Snacks</v>
      </c>
      <c r="F559" s="36" t="n">
        <f aca="false">IF(Raw_Export!$A559="","",IFERROR(VALUE(TRIM(Raw_Export!E559)),0))</f>
        <v>2</v>
      </c>
      <c r="G559" s="38" t="n">
        <f aca="false">IF(Raw_Export!$A559="","",IFERROR(VALUE(SUBSTITUTE(SUBSTITUTE(UPPER(TRIM(Raw_Export!F559)),"KES",""),",","")),0))</f>
        <v>130</v>
      </c>
      <c r="H559" s="38" t="n">
        <f aca="false">IF(Raw_Export!$A559="","",F559*G559)</f>
        <v>260</v>
      </c>
      <c r="I559" s="36" t="str">
        <f aca="false">IF(Raw_Export!$A559="","",IFERROR(VLOOKUP(LOWER(TRIM(Raw_Export!H559)),Maps!$D$2:$E$12,2,FALSE()),"Other"))</f>
        <v>Cash</v>
      </c>
      <c r="J559" s="36" t="str">
        <f aca="false">IF(Raw_Export!$A559="","",IF(COUNTIF($A$2:A559,A559)&gt;1,"Duplicate",""))</f>
        <v/>
      </c>
      <c r="K559" s="36" t="str">
        <f aca="false">IF(Raw_Export!$A559="","",IF(J559="Duplicate","Duplicate",IF(OR(C559="UNMAPPED",D559="UNMAPPED"),"Unmapped",IF(F559=0,"Blank qty",IF(F559&lt;0,"Return","OK")))))</f>
        <v>OK</v>
      </c>
      <c r="L559" s="36" t="n">
        <f aca="false">IF(Raw_Export!$A559="","",IF(OR(K559="OK",K559="Return"),1,0))</f>
        <v>1</v>
      </c>
      <c r="M559" s="37" t="n">
        <f aca="false">IF(Raw_Export!$A559="","",B559-WEEKDAY(B559,2)+1)</f>
        <v>46265</v>
      </c>
    </row>
    <row r="560" customFormat="false" ht="15" hidden="false" customHeight="false" outlineLevel="0" collapsed="false">
      <c r="A560" s="36" t="str">
        <f aca="false">IF(Raw_Export!$A560="","",TRIM(Raw_Export!A560))</f>
        <v>TXN-100547</v>
      </c>
      <c r="B560" s="37" t="n">
        <f aca="false">IF(Raw_Export!$A560="","",IF(ISNUMBER(Raw_Export!B560),Raw_Export!B560,IF(MID(TRIM(Raw_Export!B560),5,1)="-",DATE(LEFT(TRIM(Raw_Export!B560),4),MID(TRIM(Raw_Export!B560),6,2),RIGHT(TRIM(Raw_Export!B560),2)),DATE(RIGHT(TRIM(Raw_Export!B560),4),MATCH(MID(TRIM(Raw_Export!B560),4,3),{"Jan","Feb","Mar","Apr","May","Jun","Jul","Aug","Sep","Oct","Nov","Dec"},0),LEFT(TRIM(Raw_Export!B560),2)))))</f>
        <v>46269</v>
      </c>
      <c r="C560" s="36" t="str">
        <f aca="false">IF(Raw_Export!$A560="","",IFERROR(VLOOKUP(LOWER(TRIM(Raw_Export!C560)),Maps!$A$2:$B$20,2,FALSE()),"UNMAPPED"))</f>
        <v>Nairobi CBD</v>
      </c>
      <c r="D560" s="36" t="str">
        <f aca="false">IF(Raw_Export!$A560="","",IFERROR(VLOOKUP(LOWER(TRIM(Raw_Export!D560)),Maps!$G$2:$I$80,2,FALSE()),"UNMAPPED"))</f>
        <v>Unga Pembe 2kg</v>
      </c>
      <c r="E560" s="36" t="str">
        <f aca="false">IF(Raw_Export!$A560="","",IFERROR(VLOOKUP(LOWER(TRIM(Raw_Export!D560)),Maps!$G$2:$I$80,3,FALSE()),"UNMAPPED"))</f>
        <v>Staples</v>
      </c>
      <c r="F560" s="36" t="n">
        <f aca="false">IF(Raw_Export!$A560="","",IFERROR(VALUE(TRIM(Raw_Export!E560)),0))</f>
        <v>3</v>
      </c>
      <c r="G560" s="38" t="n">
        <f aca="false">IF(Raw_Export!$A560="","",IFERROR(VALUE(SUBSTITUTE(SUBSTITUTE(UPPER(TRIM(Raw_Export!F560)),"KES",""),",","")),0))</f>
        <v>171</v>
      </c>
      <c r="H560" s="38" t="n">
        <f aca="false">IF(Raw_Export!$A560="","",F560*G560)</f>
        <v>513</v>
      </c>
      <c r="I560" s="36" t="str">
        <f aca="false">IF(Raw_Export!$A560="","",IFERROR(VLOOKUP(LOWER(TRIM(Raw_Export!H560)),Maps!$D$2:$E$12,2,FALSE()),"Other"))</f>
        <v>M-Pesa</v>
      </c>
      <c r="J560" s="36" t="str">
        <f aca="false">IF(Raw_Export!$A560="","",IF(COUNTIF($A$2:A560,A560)&gt;1,"Duplicate",""))</f>
        <v/>
      </c>
      <c r="K560" s="36" t="str">
        <f aca="false">IF(Raw_Export!$A560="","",IF(J560="Duplicate","Duplicate",IF(OR(C560="UNMAPPED",D560="UNMAPPED"),"Unmapped",IF(F560=0,"Blank qty",IF(F560&lt;0,"Return","OK")))))</f>
        <v>OK</v>
      </c>
      <c r="L560" s="36" t="n">
        <f aca="false">IF(Raw_Export!$A560="","",IF(OR(K560="OK",K560="Return"),1,0))</f>
        <v>1</v>
      </c>
      <c r="M560" s="37" t="n">
        <f aca="false">IF(Raw_Export!$A560="","",B560-WEEKDAY(B560,2)+1)</f>
        <v>46265</v>
      </c>
    </row>
    <row r="561" customFormat="false" ht="15" hidden="false" customHeight="false" outlineLevel="0" collapsed="false">
      <c r="A561" s="36" t="str">
        <f aca="false">IF(Raw_Export!$A561="","",TRIM(Raw_Export!A561))</f>
        <v>TXN-100548</v>
      </c>
      <c r="B561" s="37" t="n">
        <f aca="false">IF(Raw_Export!$A561="","",IF(ISNUMBER(Raw_Export!B561),Raw_Export!B561,IF(MID(TRIM(Raw_Export!B561),5,1)="-",DATE(LEFT(TRIM(Raw_Export!B561),4),MID(TRIM(Raw_Export!B561),6,2),RIGHT(TRIM(Raw_Export!B561),2)),DATE(RIGHT(TRIM(Raw_Export!B561),4),MATCH(MID(TRIM(Raw_Export!B561),4,3),{"Jan","Feb","Mar","Apr","May","Jun","Jul","Aug","Sep","Oct","Nov","Dec"},0),LEFT(TRIM(Raw_Export!B561),2)))))</f>
        <v>46269</v>
      </c>
      <c r="C561" s="36" t="str">
        <f aca="false">IF(Raw_Export!$A561="","",IFERROR(VLOOKUP(LOWER(TRIM(Raw_Export!C561)),Maps!$A$2:$B$20,2,FALSE()),"UNMAPPED"))</f>
        <v>Nairobi CBD</v>
      </c>
      <c r="D561" s="36" t="str">
        <f aca="false">IF(Raw_Export!$A561="","",IFERROR(VLOOKUP(LOWER(TRIM(Raw_Export!D561)),Maps!$G$2:$I$80,2,FALSE()),"UNMAPPED"))</f>
        <v>Matches 10pk</v>
      </c>
      <c r="E561" s="36" t="str">
        <f aca="false">IF(Raw_Export!$A561="","",IFERROR(VLOOKUP(LOWER(TRIM(Raw_Export!D561)),Maps!$G$2:$I$80,3,FALSE()),"UNMAPPED"))</f>
        <v>Household</v>
      </c>
      <c r="F561" s="36" t="n">
        <f aca="false">IF(Raw_Export!$A561="","",IFERROR(VALUE(TRIM(Raw_Export!E561)),0))</f>
        <v>0</v>
      </c>
      <c r="G561" s="38" t="n">
        <f aca="false">IF(Raw_Export!$A561="","",IFERROR(VALUE(SUBSTITUTE(SUBSTITUTE(UPPER(TRIM(Raw_Export!F561)),"KES",""),",","")),0))</f>
        <v>50</v>
      </c>
      <c r="H561" s="38" t="n">
        <f aca="false">IF(Raw_Export!$A561="","",F561*G561)</f>
        <v>0</v>
      </c>
      <c r="I561" s="36" t="str">
        <f aca="false">IF(Raw_Export!$A561="","",IFERROR(VLOOKUP(LOWER(TRIM(Raw_Export!H561)),Maps!$D$2:$E$12,2,FALSE()),"Other"))</f>
        <v>Card</v>
      </c>
      <c r="J561" s="36" t="str">
        <f aca="false">IF(Raw_Export!$A561="","",IF(COUNTIF($A$2:A561,A561)&gt;1,"Duplicate",""))</f>
        <v/>
      </c>
      <c r="K561" s="36" t="str">
        <f aca="false">IF(Raw_Export!$A561="","",IF(J561="Duplicate","Duplicate",IF(OR(C561="UNMAPPED",D561="UNMAPPED"),"Unmapped",IF(F561=0,"Blank qty",IF(F561&lt;0,"Return","OK")))))</f>
        <v>Blank qty</v>
      </c>
      <c r="L561" s="36" t="n">
        <f aca="false">IF(Raw_Export!$A561="","",IF(OR(K561="OK",K561="Return"),1,0))</f>
        <v>0</v>
      </c>
      <c r="M561" s="37" t="n">
        <f aca="false">IF(Raw_Export!$A561="","",B561-WEEKDAY(B561,2)+1)</f>
        <v>46265</v>
      </c>
    </row>
    <row r="562" customFormat="false" ht="15" hidden="false" customHeight="false" outlineLevel="0" collapsed="false">
      <c r="A562" s="36" t="str">
        <f aca="false">IF(Raw_Export!$A562="","",TRIM(Raw_Export!A562))</f>
        <v>TXN-100549</v>
      </c>
      <c r="B562" s="37" t="n">
        <f aca="false">IF(Raw_Export!$A562="","",IF(ISNUMBER(Raw_Export!B562),Raw_Export!B562,IF(MID(TRIM(Raw_Export!B562),5,1)="-",DATE(LEFT(TRIM(Raw_Export!B562),4),MID(TRIM(Raw_Export!B562),6,2),RIGHT(TRIM(Raw_Export!B562),2)),DATE(RIGHT(TRIM(Raw_Export!B562),4),MATCH(MID(TRIM(Raw_Export!B562),4,3),{"Jan","Feb","Mar","Apr","May","Jun","Jul","Aug","Sep","Oct","Nov","Dec"},0),LEFT(TRIM(Raw_Export!B562),2)))))</f>
        <v>46269</v>
      </c>
      <c r="C562" s="36" t="str">
        <f aca="false">IF(Raw_Export!$A562="","",IFERROR(VLOOKUP(LOWER(TRIM(Raw_Export!C562)),Maps!$A$2:$B$20,2,FALSE()),"UNMAPPED"))</f>
        <v>Nairobi CBD</v>
      </c>
      <c r="D562" s="36" t="str">
        <f aca="false">IF(Raw_Export!$A562="","",IFERROR(VLOOKUP(LOWER(TRIM(Raw_Export!D562)),Maps!$G$2:$I$80,2,FALSE()),"UNMAPPED"))</f>
        <v>Salt 500g</v>
      </c>
      <c r="E562" s="36" t="str">
        <f aca="false">IF(Raw_Export!$A562="","",IFERROR(VLOOKUP(LOWER(TRIM(Raw_Export!D562)),Maps!$G$2:$I$80,3,FALSE()),"UNMAPPED"))</f>
        <v>Staples</v>
      </c>
      <c r="F562" s="36" t="n">
        <f aca="false">IF(Raw_Export!$A562="","",IFERROR(VALUE(TRIM(Raw_Export!E562)),0))</f>
        <v>3</v>
      </c>
      <c r="G562" s="38" t="n">
        <f aca="false">IF(Raw_Export!$A562="","",IFERROR(VALUE(SUBSTITUTE(SUBSTITUTE(UPPER(TRIM(Raw_Export!F562)),"KES",""),",","")),0))</f>
        <v>40</v>
      </c>
      <c r="H562" s="38" t="n">
        <f aca="false">IF(Raw_Export!$A562="","",F562*G562)</f>
        <v>120</v>
      </c>
      <c r="I562" s="36" t="str">
        <f aca="false">IF(Raw_Export!$A562="","",IFERROR(VLOOKUP(LOWER(TRIM(Raw_Export!H562)),Maps!$D$2:$E$12,2,FALSE()),"Other"))</f>
        <v>Card</v>
      </c>
      <c r="J562" s="36" t="str">
        <f aca="false">IF(Raw_Export!$A562="","",IF(COUNTIF($A$2:A562,A562)&gt;1,"Duplicate",""))</f>
        <v/>
      </c>
      <c r="K562" s="36" t="str">
        <f aca="false">IF(Raw_Export!$A562="","",IF(J562="Duplicate","Duplicate",IF(OR(C562="UNMAPPED",D562="UNMAPPED"),"Unmapped",IF(F562=0,"Blank qty",IF(F562&lt;0,"Return","OK")))))</f>
        <v>OK</v>
      </c>
      <c r="L562" s="36" t="n">
        <f aca="false">IF(Raw_Export!$A562="","",IF(OR(K562="OK",K562="Return"),1,0))</f>
        <v>1</v>
      </c>
      <c r="M562" s="37" t="n">
        <f aca="false">IF(Raw_Export!$A562="","",B562-WEEKDAY(B562,2)+1)</f>
        <v>46265</v>
      </c>
    </row>
    <row r="563" customFormat="false" ht="15" hidden="false" customHeight="false" outlineLevel="0" collapsed="false">
      <c r="A563" s="36" t="str">
        <f aca="false">IF(Raw_Export!$A563="","",TRIM(Raw_Export!A563))</f>
        <v>TXN-100550</v>
      </c>
      <c r="B563" s="37" t="n">
        <f aca="false">IF(Raw_Export!$A563="","",IF(ISNUMBER(Raw_Export!B563),Raw_Export!B563,IF(MID(TRIM(Raw_Export!B563),5,1)="-",DATE(LEFT(TRIM(Raw_Export!B563),4),MID(TRIM(Raw_Export!B563),6,2),RIGHT(TRIM(Raw_Export!B563),2)),DATE(RIGHT(TRIM(Raw_Export!B563),4),MATCH(MID(TRIM(Raw_Export!B563),4,3),{"Jan","Feb","Mar","Apr","May","Jun","Jul","Aug","Sep","Oct","Nov","Dec"},0),LEFT(TRIM(Raw_Export!B563),2)))))</f>
        <v>46269</v>
      </c>
      <c r="C563" s="36" t="str">
        <f aca="false">IF(Raw_Export!$A563="","",IFERROR(VLOOKUP(LOWER(TRIM(Raw_Export!C563)),Maps!$A$2:$B$20,2,FALSE()),"UNMAPPED"))</f>
        <v>Nairobi CBD</v>
      </c>
      <c r="D563" s="36" t="str">
        <f aca="false">IF(Raw_Export!$A563="","",IFERROR(VLOOKUP(LOWER(TRIM(Raw_Export!D563)),Maps!$G$2:$I$80,2,FALSE()),"UNMAPPED"))</f>
        <v>Bottled Water 1.5L</v>
      </c>
      <c r="E563" s="36" t="str">
        <f aca="false">IF(Raw_Export!$A563="","",IFERROR(VLOOKUP(LOWER(TRIM(Raw_Export!D563)),Maps!$G$2:$I$80,3,FALSE()),"UNMAPPED"))</f>
        <v>Beverages</v>
      </c>
      <c r="F563" s="36" t="n">
        <f aca="false">IF(Raw_Export!$A563="","",IFERROR(VALUE(TRIM(Raw_Export!E563)),0))</f>
        <v>3</v>
      </c>
      <c r="G563" s="38" t="n">
        <f aca="false">IF(Raw_Export!$A563="","",IFERROR(VALUE(SUBSTITUTE(SUBSTITUTE(UPPER(TRIM(Raw_Export!F563)),"KES",""),",","")),0))</f>
        <v>90</v>
      </c>
      <c r="H563" s="38" t="n">
        <f aca="false">IF(Raw_Export!$A563="","",F563*G563)</f>
        <v>270</v>
      </c>
      <c r="I563" s="36" t="str">
        <f aca="false">IF(Raw_Export!$A563="","",IFERROR(VLOOKUP(LOWER(TRIM(Raw_Export!H563)),Maps!$D$2:$E$12,2,FALSE()),"Other"))</f>
        <v>M-Pesa</v>
      </c>
      <c r="J563" s="36" t="str">
        <f aca="false">IF(Raw_Export!$A563="","",IF(COUNTIF($A$2:A563,A563)&gt;1,"Duplicate",""))</f>
        <v/>
      </c>
      <c r="K563" s="36" t="str">
        <f aca="false">IF(Raw_Export!$A563="","",IF(J563="Duplicate","Duplicate",IF(OR(C563="UNMAPPED",D563="UNMAPPED"),"Unmapped",IF(F563=0,"Blank qty",IF(F563&lt;0,"Return","OK")))))</f>
        <v>OK</v>
      </c>
      <c r="L563" s="36" t="n">
        <f aca="false">IF(Raw_Export!$A563="","",IF(OR(K563="OK",K563="Return"),1,0))</f>
        <v>1</v>
      </c>
      <c r="M563" s="37" t="n">
        <f aca="false">IF(Raw_Export!$A563="","",B563-WEEKDAY(B563,2)+1)</f>
        <v>46265</v>
      </c>
    </row>
    <row r="564" customFormat="false" ht="15" hidden="false" customHeight="false" outlineLevel="0" collapsed="false">
      <c r="A564" s="36" t="str">
        <f aca="false">IF(Raw_Export!$A564="","",TRIM(Raw_Export!A564))</f>
        <v>TXN-100551</v>
      </c>
      <c r="B564" s="37" t="n">
        <f aca="false">IF(Raw_Export!$A564="","",IF(ISNUMBER(Raw_Export!B564),Raw_Export!B564,IF(MID(TRIM(Raw_Export!B564),5,1)="-",DATE(LEFT(TRIM(Raw_Export!B564),4),MID(TRIM(Raw_Export!B564),6,2),RIGHT(TRIM(Raw_Export!B564),2)),DATE(RIGHT(TRIM(Raw_Export!B564),4),MATCH(MID(TRIM(Raw_Export!B564),4,3),{"Jan","Feb","Mar","Apr","May","Jun","Jul","Aug","Sep","Oct","Nov","Dec"},0),LEFT(TRIM(Raw_Export!B564),2)))))</f>
        <v>46269</v>
      </c>
      <c r="C564" s="36" t="str">
        <f aca="false">IF(Raw_Export!$A564="","",IFERROR(VLOOKUP(LOWER(TRIM(Raw_Export!C564)),Maps!$A$2:$B$20,2,FALSE()),"UNMAPPED"))</f>
        <v>Nairobi CBD</v>
      </c>
      <c r="D564" s="36" t="str">
        <f aca="false">IF(Raw_Export!$A564="","",IFERROR(VLOOKUP(LOWER(TRIM(Raw_Export!D564)),Maps!$G$2:$I$80,2,FALSE()),"UNMAPPED"))</f>
        <v>Soda 500ml</v>
      </c>
      <c r="E564" s="36" t="str">
        <f aca="false">IF(Raw_Export!$A564="","",IFERROR(VLOOKUP(LOWER(TRIM(Raw_Export!D564)),Maps!$G$2:$I$80,3,FALSE()),"UNMAPPED"))</f>
        <v>Beverages</v>
      </c>
      <c r="F564" s="36" t="n">
        <f aca="false">IF(Raw_Export!$A564="","",IFERROR(VALUE(TRIM(Raw_Export!E564)),0))</f>
        <v>4</v>
      </c>
      <c r="G564" s="38" t="n">
        <f aca="false">IF(Raw_Export!$A564="","",IFERROR(VALUE(SUBSTITUTE(SUBSTITUTE(UPPER(TRIM(Raw_Export!F564)),"KES",""),",","")),0))</f>
        <v>54</v>
      </c>
      <c r="H564" s="38" t="n">
        <f aca="false">IF(Raw_Export!$A564="","",F564*G564)</f>
        <v>216</v>
      </c>
      <c r="I564" s="36" t="str">
        <f aca="false">IF(Raw_Export!$A564="","",IFERROR(VLOOKUP(LOWER(TRIM(Raw_Export!H564)),Maps!$D$2:$E$12,2,FALSE()),"Other"))</f>
        <v>Card</v>
      </c>
      <c r="J564" s="36" t="str">
        <f aca="false">IF(Raw_Export!$A564="","",IF(COUNTIF($A$2:A564,A564)&gt;1,"Duplicate",""))</f>
        <v/>
      </c>
      <c r="K564" s="36" t="str">
        <f aca="false">IF(Raw_Export!$A564="","",IF(J564="Duplicate","Duplicate",IF(OR(C564="UNMAPPED",D564="UNMAPPED"),"Unmapped",IF(F564=0,"Blank qty",IF(F564&lt;0,"Return","OK")))))</f>
        <v>OK</v>
      </c>
      <c r="L564" s="36" t="n">
        <f aca="false">IF(Raw_Export!$A564="","",IF(OR(K564="OK",K564="Return"),1,0))</f>
        <v>1</v>
      </c>
      <c r="M564" s="37" t="n">
        <f aca="false">IF(Raw_Export!$A564="","",B564-WEEKDAY(B564,2)+1)</f>
        <v>46265</v>
      </c>
    </row>
    <row r="565" customFormat="false" ht="15" hidden="false" customHeight="false" outlineLevel="0" collapsed="false">
      <c r="A565" s="36" t="str">
        <f aca="false">IF(Raw_Export!$A565="","",TRIM(Raw_Export!A565))</f>
        <v>TXN-100552</v>
      </c>
      <c r="B565" s="37" t="n">
        <f aca="false">IF(Raw_Export!$A565="","",IF(ISNUMBER(Raw_Export!B565),Raw_Export!B565,IF(MID(TRIM(Raw_Export!B565),5,1)="-",DATE(LEFT(TRIM(Raw_Export!B565),4),MID(TRIM(Raw_Export!B565),6,2),RIGHT(TRIM(Raw_Export!B565),2)),DATE(RIGHT(TRIM(Raw_Export!B565),4),MATCH(MID(TRIM(Raw_Export!B565),4,3),{"Jan","Feb","Mar","Apr","May","Jun","Jul","Aug","Sep","Oct","Nov","Dec"},0),LEFT(TRIM(Raw_Export!B565),2)))))</f>
        <v>46269</v>
      </c>
      <c r="C565" s="36" t="str">
        <f aca="false">IF(Raw_Export!$A565="","",IFERROR(VLOOKUP(LOWER(TRIM(Raw_Export!C565)),Maps!$A$2:$B$20,2,FALSE()),"UNMAPPED"))</f>
        <v>Nairobi CBD</v>
      </c>
      <c r="D565" s="36" t="str">
        <f aca="false">IF(Raw_Export!$A565="","",IFERROR(VLOOKUP(LOWER(TRIM(Raw_Export!D565)),Maps!$G$2:$I$80,2,FALSE()),"UNMAPPED"))</f>
        <v>Deodorant 150ml</v>
      </c>
      <c r="E565" s="36" t="str">
        <f aca="false">IF(Raw_Export!$A565="","",IFERROR(VLOOKUP(LOWER(TRIM(Raw_Export!D565)),Maps!$G$2:$I$80,3,FALSE()),"UNMAPPED"))</f>
        <v>Personal Care</v>
      </c>
      <c r="F565" s="36" t="n">
        <f aca="false">IF(Raw_Export!$A565="","",IFERROR(VALUE(TRIM(Raw_Export!E565)),0))</f>
        <v>4</v>
      </c>
      <c r="G565" s="38" t="n">
        <f aca="false">IF(Raw_Export!$A565="","",IFERROR(VALUE(SUBSTITUTE(SUBSTITUTE(UPPER(TRIM(Raw_Export!F565)),"KES",""),",","")),0))</f>
        <v>350</v>
      </c>
      <c r="H565" s="38" t="n">
        <f aca="false">IF(Raw_Export!$A565="","",F565*G565)</f>
        <v>1400</v>
      </c>
      <c r="I565" s="36" t="str">
        <f aca="false">IF(Raw_Export!$A565="","",IFERROR(VLOOKUP(LOWER(TRIM(Raw_Export!H565)),Maps!$D$2:$E$12,2,FALSE()),"Other"))</f>
        <v>M-Pesa</v>
      </c>
      <c r="J565" s="36" t="str">
        <f aca="false">IF(Raw_Export!$A565="","",IF(COUNTIF($A$2:A565,A565)&gt;1,"Duplicate",""))</f>
        <v/>
      </c>
      <c r="K565" s="36" t="str">
        <f aca="false">IF(Raw_Export!$A565="","",IF(J565="Duplicate","Duplicate",IF(OR(C565="UNMAPPED",D565="UNMAPPED"),"Unmapped",IF(F565=0,"Blank qty",IF(F565&lt;0,"Return","OK")))))</f>
        <v>OK</v>
      </c>
      <c r="L565" s="36" t="n">
        <f aca="false">IF(Raw_Export!$A565="","",IF(OR(K565="OK",K565="Return"),1,0))</f>
        <v>1</v>
      </c>
      <c r="M565" s="37" t="n">
        <f aca="false">IF(Raw_Export!$A565="","",B565-WEEKDAY(B565,2)+1)</f>
        <v>46265</v>
      </c>
    </row>
    <row r="566" customFormat="false" ht="15" hidden="false" customHeight="false" outlineLevel="0" collapsed="false">
      <c r="A566" s="36" t="str">
        <f aca="false">IF(Raw_Export!$A566="","",TRIM(Raw_Export!A566))</f>
        <v>TXN-100553</v>
      </c>
      <c r="B566" s="37" t="n">
        <f aca="false">IF(Raw_Export!$A566="","",IF(ISNUMBER(Raw_Export!B566),Raw_Export!B566,IF(MID(TRIM(Raw_Export!B566),5,1)="-",DATE(LEFT(TRIM(Raw_Export!B566),4),MID(TRIM(Raw_Export!B566),6,2),RIGHT(TRIM(Raw_Export!B566),2)),DATE(RIGHT(TRIM(Raw_Export!B566),4),MATCH(MID(TRIM(Raw_Export!B566),4,3),{"Jan","Feb","Mar","Apr","May","Jun","Jul","Aug","Sep","Oct","Nov","Dec"},0),LEFT(TRIM(Raw_Export!B566),2)))))</f>
        <v>46269</v>
      </c>
      <c r="C566" s="36" t="str">
        <f aca="false">IF(Raw_Export!$A566="","",IFERROR(VLOOKUP(LOWER(TRIM(Raw_Export!C566)),Maps!$A$2:$B$20,2,FALSE()),"UNMAPPED"))</f>
        <v>Nairobi CBD</v>
      </c>
      <c r="D566" s="36" t="str">
        <f aca="false">IF(Raw_Export!$A566="","",IFERROR(VLOOKUP(LOWER(TRIM(Raw_Export!D566)),Maps!$G$2:$I$80,2,FALSE()),"UNMAPPED"))</f>
        <v>Sugar 2kg</v>
      </c>
      <c r="E566" s="36" t="str">
        <f aca="false">IF(Raw_Export!$A566="","",IFERROR(VLOOKUP(LOWER(TRIM(Raw_Export!D566)),Maps!$G$2:$I$80,3,FALSE()),"UNMAPPED"))</f>
        <v>Staples</v>
      </c>
      <c r="F566" s="36" t="n">
        <f aca="false">IF(Raw_Export!$A566="","",IFERROR(VALUE(TRIM(Raw_Export!E566)),0))</f>
        <v>1</v>
      </c>
      <c r="G566" s="38" t="n">
        <f aca="false">IF(Raw_Export!$A566="","",IFERROR(VALUE(SUBSTITUTE(SUBSTITUTE(UPPER(TRIM(Raw_Export!F566)),"KES",""),",","")),0))</f>
        <v>330</v>
      </c>
      <c r="H566" s="38" t="n">
        <f aca="false">IF(Raw_Export!$A566="","",F566*G566)</f>
        <v>330</v>
      </c>
      <c r="I566" s="36" t="str">
        <f aca="false">IF(Raw_Export!$A566="","",IFERROR(VLOOKUP(LOWER(TRIM(Raw_Export!H566)),Maps!$D$2:$E$12,2,FALSE()),"Other"))</f>
        <v>Card</v>
      </c>
      <c r="J566" s="36" t="str">
        <f aca="false">IF(Raw_Export!$A566="","",IF(COUNTIF($A$2:A566,A566)&gt;1,"Duplicate",""))</f>
        <v/>
      </c>
      <c r="K566" s="36" t="str">
        <f aca="false">IF(Raw_Export!$A566="","",IF(J566="Duplicate","Duplicate",IF(OR(C566="UNMAPPED",D566="UNMAPPED"),"Unmapped",IF(F566=0,"Blank qty",IF(F566&lt;0,"Return","OK")))))</f>
        <v>OK</v>
      </c>
      <c r="L566" s="36" t="n">
        <f aca="false">IF(Raw_Export!$A566="","",IF(OR(K566="OK",K566="Return"),1,0))</f>
        <v>1</v>
      </c>
      <c r="M566" s="37" t="n">
        <f aca="false">IF(Raw_Export!$A566="","",B566-WEEKDAY(B566,2)+1)</f>
        <v>46265</v>
      </c>
    </row>
    <row r="567" customFormat="false" ht="15" hidden="false" customHeight="false" outlineLevel="0" collapsed="false">
      <c r="A567" s="36" t="str">
        <f aca="false">IF(Raw_Export!$A567="","",TRIM(Raw_Export!A567))</f>
        <v>TXN-100554</v>
      </c>
      <c r="B567" s="37" t="n">
        <f aca="false">IF(Raw_Export!$A567="","",IF(ISNUMBER(Raw_Export!B567),Raw_Export!B567,IF(MID(TRIM(Raw_Export!B567),5,1)="-",DATE(LEFT(TRIM(Raw_Export!B567),4),MID(TRIM(Raw_Export!B567),6,2),RIGHT(TRIM(Raw_Export!B567),2)),DATE(RIGHT(TRIM(Raw_Export!B567),4),MATCH(MID(TRIM(Raw_Export!B567),4,3),{"Jan","Feb","Mar","Apr","May","Jun","Jul","Aug","Sep","Oct","Nov","Dec"},0),LEFT(TRIM(Raw_Export!B567),2)))))</f>
        <v>46269</v>
      </c>
      <c r="C567" s="36" t="str">
        <f aca="false">IF(Raw_Export!$A567="","",IFERROR(VLOOKUP(LOWER(TRIM(Raw_Export!C567)),Maps!$A$2:$B$20,2,FALSE()),"UNMAPPED"))</f>
        <v>Nairobi CBD</v>
      </c>
      <c r="D567" s="36" t="str">
        <f aca="false">IF(Raw_Export!$A567="","",IFERROR(VLOOKUP(LOWER(TRIM(Raw_Export!D567)),Maps!$G$2:$I$80,2,FALSE()),"UNMAPPED"))</f>
        <v>Sugar 2kg</v>
      </c>
      <c r="E567" s="36" t="str">
        <f aca="false">IF(Raw_Export!$A567="","",IFERROR(VLOOKUP(LOWER(TRIM(Raw_Export!D567)),Maps!$G$2:$I$80,3,FALSE()),"UNMAPPED"))</f>
        <v>Staples</v>
      </c>
      <c r="F567" s="36" t="n">
        <f aca="false">IF(Raw_Export!$A567="","",IFERROR(VALUE(TRIM(Raw_Export!E567)),0))</f>
        <v>3</v>
      </c>
      <c r="G567" s="38" t="n">
        <f aca="false">IF(Raw_Export!$A567="","",IFERROR(VALUE(SUBSTITUTE(SUBSTITUTE(UPPER(TRIM(Raw_Export!F567)),"KES",""),",","")),0))</f>
        <v>330</v>
      </c>
      <c r="H567" s="38" t="n">
        <f aca="false">IF(Raw_Export!$A567="","",F567*G567)</f>
        <v>990</v>
      </c>
      <c r="I567" s="36" t="str">
        <f aca="false">IF(Raw_Export!$A567="","",IFERROR(VLOOKUP(LOWER(TRIM(Raw_Export!H567)),Maps!$D$2:$E$12,2,FALSE()),"Other"))</f>
        <v>M-Pesa</v>
      </c>
      <c r="J567" s="36" t="str">
        <f aca="false">IF(Raw_Export!$A567="","",IF(COUNTIF($A$2:A567,A567)&gt;1,"Duplicate",""))</f>
        <v/>
      </c>
      <c r="K567" s="36" t="str">
        <f aca="false">IF(Raw_Export!$A567="","",IF(J567="Duplicate","Duplicate",IF(OR(C567="UNMAPPED",D567="UNMAPPED"),"Unmapped",IF(F567=0,"Blank qty",IF(F567&lt;0,"Return","OK")))))</f>
        <v>OK</v>
      </c>
      <c r="L567" s="36" t="n">
        <f aca="false">IF(Raw_Export!$A567="","",IF(OR(K567="OK",K567="Return"),1,0))</f>
        <v>1</v>
      </c>
      <c r="M567" s="37" t="n">
        <f aca="false">IF(Raw_Export!$A567="","",B567-WEEKDAY(B567,2)+1)</f>
        <v>46265</v>
      </c>
    </row>
    <row r="568" customFormat="false" ht="15" hidden="false" customHeight="false" outlineLevel="0" collapsed="false">
      <c r="A568" s="36" t="str">
        <f aca="false">IF(Raw_Export!$A568="","",TRIM(Raw_Export!A568))</f>
        <v>TXN-100555</v>
      </c>
      <c r="B568" s="37" t="n">
        <f aca="false">IF(Raw_Export!$A568="","",IF(ISNUMBER(Raw_Export!B568),Raw_Export!B568,IF(MID(TRIM(Raw_Export!B568),5,1)="-",DATE(LEFT(TRIM(Raw_Export!B568),4),MID(TRIM(Raw_Export!B568),6,2),RIGHT(TRIM(Raw_Export!B568),2)),DATE(RIGHT(TRIM(Raw_Export!B568),4),MATCH(MID(TRIM(Raw_Export!B568),4,3),{"Jan","Feb","Mar","Apr","May","Jun","Jul","Aug","Sep","Oct","Nov","Dec"},0),LEFT(TRIM(Raw_Export!B568),2)))))</f>
        <v>46269</v>
      </c>
      <c r="C568" s="36" t="str">
        <f aca="false">IF(Raw_Export!$A568="","",IFERROR(VLOOKUP(LOWER(TRIM(Raw_Export!C568)),Maps!$A$2:$B$20,2,FALSE()),"UNMAPPED"))</f>
        <v>Nairobi CBD</v>
      </c>
      <c r="D568" s="36" t="str">
        <f aca="false">IF(Raw_Export!$A568="","",IFERROR(VLOOKUP(LOWER(TRIM(Raw_Export!D568)),Maps!$G$2:$I$80,2,FALSE()),"UNMAPPED"))</f>
        <v>Biscuits 200g</v>
      </c>
      <c r="E568" s="36" t="str">
        <f aca="false">IF(Raw_Export!$A568="","",IFERROR(VLOOKUP(LOWER(TRIM(Raw_Export!D568)),Maps!$G$2:$I$80,3,FALSE()),"UNMAPPED"))</f>
        <v>Snacks</v>
      </c>
      <c r="F568" s="36" t="n">
        <f aca="false">IF(Raw_Export!$A568="","",IFERROR(VALUE(TRIM(Raw_Export!E568)),0))</f>
        <v>4</v>
      </c>
      <c r="G568" s="38" t="n">
        <f aca="false">IF(Raw_Export!$A568="","",IFERROR(VALUE(SUBSTITUTE(SUBSTITUTE(UPPER(TRIM(Raw_Export!F568)),"KES",""),",","")),0))</f>
        <v>95</v>
      </c>
      <c r="H568" s="38" t="n">
        <f aca="false">IF(Raw_Export!$A568="","",F568*G568)</f>
        <v>380</v>
      </c>
      <c r="I568" s="36" t="str">
        <f aca="false">IF(Raw_Export!$A568="","",IFERROR(VLOOKUP(LOWER(TRIM(Raw_Export!H568)),Maps!$D$2:$E$12,2,FALSE()),"Other"))</f>
        <v>Card</v>
      </c>
      <c r="J568" s="36" t="str">
        <f aca="false">IF(Raw_Export!$A568="","",IF(COUNTIF($A$2:A568,A568)&gt;1,"Duplicate",""))</f>
        <v/>
      </c>
      <c r="K568" s="36" t="str">
        <f aca="false">IF(Raw_Export!$A568="","",IF(J568="Duplicate","Duplicate",IF(OR(C568="UNMAPPED",D568="UNMAPPED"),"Unmapped",IF(F568=0,"Blank qty",IF(F568&lt;0,"Return","OK")))))</f>
        <v>OK</v>
      </c>
      <c r="L568" s="36" t="n">
        <f aca="false">IF(Raw_Export!$A568="","",IF(OR(K568="OK",K568="Return"),1,0))</f>
        <v>1</v>
      </c>
      <c r="M568" s="37" t="n">
        <f aca="false">IF(Raw_Export!$A568="","",B568-WEEKDAY(B568,2)+1)</f>
        <v>46265</v>
      </c>
    </row>
    <row r="569" customFormat="false" ht="15" hidden="false" customHeight="false" outlineLevel="0" collapsed="false">
      <c r="A569" s="36" t="str">
        <f aca="false">IF(Raw_Export!$A569="","",TRIM(Raw_Export!A569))</f>
        <v>TXN-100556</v>
      </c>
      <c r="B569" s="37" t="n">
        <f aca="false">IF(Raw_Export!$A569="","",IF(ISNUMBER(Raw_Export!B569),Raw_Export!B569,IF(MID(TRIM(Raw_Export!B569),5,1)="-",DATE(LEFT(TRIM(Raw_Export!B569),4),MID(TRIM(Raw_Export!B569),6,2),RIGHT(TRIM(Raw_Export!B569),2)),DATE(RIGHT(TRIM(Raw_Export!B569),4),MATCH(MID(TRIM(Raw_Export!B569),4,3),{"Jan","Feb","Mar","Apr","May","Jun","Jul","Aug","Sep","Oct","Nov","Dec"},0),LEFT(TRIM(Raw_Export!B569),2)))))</f>
        <v>46269</v>
      </c>
      <c r="C569" s="36" t="str">
        <f aca="false">IF(Raw_Export!$A569="","",IFERROR(VLOOKUP(LOWER(TRIM(Raw_Export!C569)),Maps!$A$2:$B$20,2,FALSE()),"UNMAPPED"))</f>
        <v>Nairobi CBD</v>
      </c>
      <c r="D569" s="36" t="str">
        <f aca="false">IF(Raw_Export!$A569="","",IFERROR(VLOOKUP(LOWER(TRIM(Raw_Export!D569)),Maps!$G$2:$I$80,2,FALSE()),"UNMAPPED"))</f>
        <v>Dish Soap 750ml</v>
      </c>
      <c r="E569" s="36" t="str">
        <f aca="false">IF(Raw_Export!$A569="","",IFERROR(VLOOKUP(LOWER(TRIM(Raw_Export!D569)),Maps!$G$2:$I$80,3,FALSE()),"UNMAPPED"))</f>
        <v>Household</v>
      </c>
      <c r="F569" s="36" t="n">
        <f aca="false">IF(Raw_Export!$A569="","",IFERROR(VALUE(TRIM(Raw_Export!E569)),0))</f>
        <v>1</v>
      </c>
      <c r="G569" s="38" t="n">
        <f aca="false">IF(Raw_Export!$A569="","",IFERROR(VALUE(SUBSTITUTE(SUBSTITUTE(UPPER(TRIM(Raw_Export!F569)),"KES",""),",","")),0))</f>
        <v>190</v>
      </c>
      <c r="H569" s="38" t="n">
        <f aca="false">IF(Raw_Export!$A569="","",F569*G569)</f>
        <v>190</v>
      </c>
      <c r="I569" s="36" t="str">
        <f aca="false">IF(Raw_Export!$A569="","",IFERROR(VLOOKUP(LOWER(TRIM(Raw_Export!H569)),Maps!$D$2:$E$12,2,FALSE()),"Other"))</f>
        <v>M-Pesa</v>
      </c>
      <c r="J569" s="36" t="str">
        <f aca="false">IF(Raw_Export!$A569="","",IF(COUNTIF($A$2:A569,A569)&gt;1,"Duplicate",""))</f>
        <v/>
      </c>
      <c r="K569" s="36" t="str">
        <f aca="false">IF(Raw_Export!$A569="","",IF(J569="Duplicate","Duplicate",IF(OR(C569="UNMAPPED",D569="UNMAPPED"),"Unmapped",IF(F569=0,"Blank qty",IF(F569&lt;0,"Return","OK")))))</f>
        <v>OK</v>
      </c>
      <c r="L569" s="36" t="n">
        <f aca="false">IF(Raw_Export!$A569="","",IF(OR(K569="OK",K569="Return"),1,0))</f>
        <v>1</v>
      </c>
      <c r="M569" s="37" t="n">
        <f aca="false">IF(Raw_Export!$A569="","",B569-WEEKDAY(B569,2)+1)</f>
        <v>46265</v>
      </c>
    </row>
    <row r="570" customFormat="false" ht="15" hidden="false" customHeight="false" outlineLevel="0" collapsed="false">
      <c r="A570" s="36" t="str">
        <f aca="false">IF(Raw_Export!$A570="","",TRIM(Raw_Export!A570))</f>
        <v>TXN-100557</v>
      </c>
      <c r="B570" s="37" t="n">
        <f aca="false">IF(Raw_Export!$A570="","",IF(ISNUMBER(Raw_Export!B570),Raw_Export!B570,IF(MID(TRIM(Raw_Export!B570),5,1)="-",DATE(LEFT(TRIM(Raw_Export!B570),4),MID(TRIM(Raw_Export!B570),6,2),RIGHT(TRIM(Raw_Export!B570),2)),DATE(RIGHT(TRIM(Raw_Export!B570),4),MATCH(MID(TRIM(Raw_Export!B570),4,3),{"Jan","Feb","Mar","Apr","May","Jun","Jul","Aug","Sep","Oct","Nov","Dec"},0),LEFT(TRIM(Raw_Export!B570),2)))))</f>
        <v>46269</v>
      </c>
      <c r="C570" s="36" t="str">
        <f aca="false">IF(Raw_Export!$A570="","",IFERROR(VLOOKUP(LOWER(TRIM(Raw_Export!C570)),Maps!$A$2:$B$20,2,FALSE()),"UNMAPPED"))</f>
        <v>Nairobi CBD</v>
      </c>
      <c r="D570" s="36" t="str">
        <f aca="false">IF(Raw_Export!$A570="","",IFERROR(VLOOKUP(LOWER(TRIM(Raw_Export!D570)),Maps!$G$2:$I$80,2,FALSE()),"UNMAPPED"))</f>
        <v>Matches 10pk</v>
      </c>
      <c r="E570" s="36" t="str">
        <f aca="false">IF(Raw_Export!$A570="","",IFERROR(VLOOKUP(LOWER(TRIM(Raw_Export!D570)),Maps!$G$2:$I$80,3,FALSE()),"UNMAPPED"))</f>
        <v>Household</v>
      </c>
      <c r="F570" s="36" t="n">
        <f aca="false">IF(Raw_Export!$A570="","",IFERROR(VALUE(TRIM(Raw_Export!E570)),0))</f>
        <v>1</v>
      </c>
      <c r="G570" s="38" t="n">
        <f aca="false">IF(Raw_Export!$A570="","",IFERROR(VALUE(SUBSTITUTE(SUBSTITUTE(UPPER(TRIM(Raw_Export!F570)),"KES",""),",","")),0))</f>
        <v>50</v>
      </c>
      <c r="H570" s="38" t="n">
        <f aca="false">IF(Raw_Export!$A570="","",F570*G570)</f>
        <v>50</v>
      </c>
      <c r="I570" s="36" t="str">
        <f aca="false">IF(Raw_Export!$A570="","",IFERROR(VLOOKUP(LOWER(TRIM(Raw_Export!H570)),Maps!$D$2:$E$12,2,FALSE()),"Other"))</f>
        <v>M-Pesa</v>
      </c>
      <c r="J570" s="36" t="str">
        <f aca="false">IF(Raw_Export!$A570="","",IF(COUNTIF($A$2:A570,A570)&gt;1,"Duplicate",""))</f>
        <v/>
      </c>
      <c r="K570" s="36" t="str">
        <f aca="false">IF(Raw_Export!$A570="","",IF(J570="Duplicate","Duplicate",IF(OR(C570="UNMAPPED",D570="UNMAPPED"),"Unmapped",IF(F570=0,"Blank qty",IF(F570&lt;0,"Return","OK")))))</f>
        <v>OK</v>
      </c>
      <c r="L570" s="36" t="n">
        <f aca="false">IF(Raw_Export!$A570="","",IF(OR(K570="OK",K570="Return"),1,0))</f>
        <v>1</v>
      </c>
      <c r="M570" s="37" t="n">
        <f aca="false">IF(Raw_Export!$A570="","",B570-WEEKDAY(B570,2)+1)</f>
        <v>46265</v>
      </c>
    </row>
    <row r="571" customFormat="false" ht="15" hidden="false" customHeight="false" outlineLevel="0" collapsed="false">
      <c r="A571" s="36" t="str">
        <f aca="false">IF(Raw_Export!$A571="","",TRIM(Raw_Export!A571))</f>
        <v>TXN-100558</v>
      </c>
      <c r="B571" s="37" t="n">
        <f aca="false">IF(Raw_Export!$A571="","",IF(ISNUMBER(Raw_Export!B571),Raw_Export!B571,IF(MID(TRIM(Raw_Export!B571),5,1)="-",DATE(LEFT(TRIM(Raw_Export!B571),4),MID(TRIM(Raw_Export!B571),6,2),RIGHT(TRIM(Raw_Export!B571),2)),DATE(RIGHT(TRIM(Raw_Export!B571),4),MATCH(MID(TRIM(Raw_Export!B571),4,3),{"Jan","Feb","Mar","Apr","May","Jun","Jul","Aug","Sep","Oct","Nov","Dec"},0),LEFT(TRIM(Raw_Export!B571),2)))))</f>
        <v>46269</v>
      </c>
      <c r="C571" s="36" t="str">
        <f aca="false">IF(Raw_Export!$A571="","",IFERROR(VLOOKUP(LOWER(TRIM(Raw_Export!C571)),Maps!$A$2:$B$20,2,FALSE()),"UNMAPPED"))</f>
        <v>Nairobi CBD</v>
      </c>
      <c r="D571" s="36" t="str">
        <f aca="false">IF(Raw_Export!$A571="","",IFERROR(VLOOKUP(LOWER(TRIM(Raw_Export!D571)),Maps!$G$2:$I$80,2,FALSE()),"UNMAPPED"))</f>
        <v>Juice 1L</v>
      </c>
      <c r="E571" s="36" t="str">
        <f aca="false">IF(Raw_Export!$A571="","",IFERROR(VLOOKUP(LOWER(TRIM(Raw_Export!D571)),Maps!$G$2:$I$80,3,FALSE()),"UNMAPPED"))</f>
        <v>Beverages</v>
      </c>
      <c r="F571" s="36" t="n">
        <f aca="false">IF(Raw_Export!$A571="","",IFERROR(VALUE(TRIM(Raw_Export!E571)),0))</f>
        <v>2</v>
      </c>
      <c r="G571" s="38" t="n">
        <f aca="false">IF(Raw_Export!$A571="","",IFERROR(VALUE(SUBSTITUTE(SUBSTITUTE(UPPER(TRIM(Raw_Export!F571)),"KES",""),",","")),0))</f>
        <v>210</v>
      </c>
      <c r="H571" s="38" t="n">
        <f aca="false">IF(Raw_Export!$A571="","",F571*G571)</f>
        <v>420</v>
      </c>
      <c r="I571" s="36" t="str">
        <f aca="false">IF(Raw_Export!$A571="","",IFERROR(VLOOKUP(LOWER(TRIM(Raw_Export!H571)),Maps!$D$2:$E$12,2,FALSE()),"Other"))</f>
        <v>M-Pesa</v>
      </c>
      <c r="J571" s="36" t="str">
        <f aca="false">IF(Raw_Export!$A571="","",IF(COUNTIF($A$2:A571,A571)&gt;1,"Duplicate",""))</f>
        <v/>
      </c>
      <c r="K571" s="36" t="str">
        <f aca="false">IF(Raw_Export!$A571="","",IF(J571="Duplicate","Duplicate",IF(OR(C571="UNMAPPED",D571="UNMAPPED"),"Unmapped",IF(F571=0,"Blank qty",IF(F571&lt;0,"Return","OK")))))</f>
        <v>OK</v>
      </c>
      <c r="L571" s="36" t="n">
        <f aca="false">IF(Raw_Export!$A571="","",IF(OR(K571="OK",K571="Return"),1,0))</f>
        <v>1</v>
      </c>
      <c r="M571" s="37" t="n">
        <f aca="false">IF(Raw_Export!$A571="","",B571-WEEKDAY(B571,2)+1)</f>
        <v>46265</v>
      </c>
    </row>
    <row r="572" customFormat="false" ht="15" hidden="false" customHeight="false" outlineLevel="0" collapsed="false">
      <c r="A572" s="36" t="str">
        <f aca="false">IF(Raw_Export!$A572="","",TRIM(Raw_Export!A572))</f>
        <v>TXN-100559</v>
      </c>
      <c r="B572" s="37" t="n">
        <f aca="false">IF(Raw_Export!$A572="","",IF(ISNUMBER(Raw_Export!B572),Raw_Export!B572,IF(MID(TRIM(Raw_Export!B572),5,1)="-",DATE(LEFT(TRIM(Raw_Export!B572),4),MID(TRIM(Raw_Export!B572),6,2),RIGHT(TRIM(Raw_Export!B572),2)),DATE(RIGHT(TRIM(Raw_Export!B572),4),MATCH(MID(TRIM(Raw_Export!B572),4,3),{"Jan","Feb","Mar","Apr","May","Jun","Jul","Aug","Sep","Oct","Nov","Dec"},0),LEFT(TRIM(Raw_Export!B572),2)))))</f>
        <v>46269</v>
      </c>
      <c r="C572" s="36" t="str">
        <f aca="false">IF(Raw_Export!$A572="","",IFERROR(VLOOKUP(LOWER(TRIM(Raw_Export!C572)),Maps!$A$2:$B$20,2,FALSE()),"UNMAPPED"))</f>
        <v>Nairobi CBD</v>
      </c>
      <c r="D572" s="36" t="str">
        <f aca="false">IF(Raw_Export!$A572="","",IFERROR(VLOOKUP(LOWER(TRIM(Raw_Export!D572)),Maps!$G$2:$I$80,2,FALSE()),"UNMAPPED"))</f>
        <v>Cheddar 200g</v>
      </c>
      <c r="E572" s="36" t="str">
        <f aca="false">IF(Raw_Export!$A572="","",IFERROR(VLOOKUP(LOWER(TRIM(Raw_Export!D572)),Maps!$G$2:$I$80,3,FALSE()),"UNMAPPED"))</f>
        <v>Dairy &amp; Eggs</v>
      </c>
      <c r="F572" s="36" t="n">
        <f aca="false">IF(Raw_Export!$A572="","",IFERROR(VALUE(TRIM(Raw_Export!E572)),0))</f>
        <v>3</v>
      </c>
      <c r="G572" s="38" t="n">
        <f aca="false">IF(Raw_Export!$A572="","",IFERROR(VALUE(SUBSTITUTE(SUBSTITUTE(UPPER(TRIM(Raw_Export!F572)),"KES",""),",","")),0))</f>
        <v>380</v>
      </c>
      <c r="H572" s="38" t="n">
        <f aca="false">IF(Raw_Export!$A572="","",F572*G572)</f>
        <v>1140</v>
      </c>
      <c r="I572" s="36" t="str">
        <f aca="false">IF(Raw_Export!$A572="","",IFERROR(VLOOKUP(LOWER(TRIM(Raw_Export!H572)),Maps!$D$2:$E$12,2,FALSE()),"Other"))</f>
        <v>M-Pesa</v>
      </c>
      <c r="J572" s="36" t="str">
        <f aca="false">IF(Raw_Export!$A572="","",IF(COUNTIF($A$2:A572,A572)&gt;1,"Duplicate",""))</f>
        <v/>
      </c>
      <c r="K572" s="36" t="str">
        <f aca="false">IF(Raw_Export!$A572="","",IF(J572="Duplicate","Duplicate",IF(OR(C572="UNMAPPED",D572="UNMAPPED"),"Unmapped",IF(F572=0,"Blank qty",IF(F572&lt;0,"Return","OK")))))</f>
        <v>OK</v>
      </c>
      <c r="L572" s="36" t="n">
        <f aca="false">IF(Raw_Export!$A572="","",IF(OR(K572="OK",K572="Return"),1,0))</f>
        <v>1</v>
      </c>
      <c r="M572" s="37" t="n">
        <f aca="false">IF(Raw_Export!$A572="","",B572-WEEKDAY(B572,2)+1)</f>
        <v>46265</v>
      </c>
    </row>
    <row r="573" customFormat="false" ht="15" hidden="false" customHeight="false" outlineLevel="0" collapsed="false">
      <c r="A573" s="36" t="str">
        <f aca="false">IF(Raw_Export!$A573="","",TRIM(Raw_Export!A573))</f>
        <v>TXN-100560</v>
      </c>
      <c r="B573" s="37" t="n">
        <f aca="false">IF(Raw_Export!$A573="","",IF(ISNUMBER(Raw_Export!B573),Raw_Export!B573,IF(MID(TRIM(Raw_Export!B573),5,1)="-",DATE(LEFT(TRIM(Raw_Export!B573),4),MID(TRIM(Raw_Export!B573),6,2),RIGHT(TRIM(Raw_Export!B573),2)),DATE(RIGHT(TRIM(Raw_Export!B573),4),MATCH(MID(TRIM(Raw_Export!B573),4,3),{"Jan","Feb","Mar","Apr","May","Jun","Jul","Aug","Sep","Oct","Nov","Dec"},0),LEFT(TRIM(Raw_Export!B573),2)))))</f>
        <v>46269</v>
      </c>
      <c r="C573" s="36" t="str">
        <f aca="false">IF(Raw_Export!$A573="","",IFERROR(VLOOKUP(LOWER(TRIM(Raw_Export!C573)),Maps!$A$2:$B$20,2,FALSE()),"UNMAPPED"))</f>
        <v>Westlands</v>
      </c>
      <c r="D573" s="36" t="str">
        <f aca="false">IF(Raw_Export!$A573="","",IFERROR(VLOOKUP(LOWER(TRIM(Raw_Export!D573)),Maps!$G$2:$I$80,2,FALSE()),"UNMAPPED"))</f>
        <v>Cooking Oil 1L</v>
      </c>
      <c r="E573" s="36" t="str">
        <f aca="false">IF(Raw_Export!$A573="","",IFERROR(VLOOKUP(LOWER(TRIM(Raw_Export!D573)),Maps!$G$2:$I$80,3,FALSE()),"UNMAPPED"))</f>
        <v>Staples</v>
      </c>
      <c r="F573" s="36" t="n">
        <f aca="false">IF(Raw_Export!$A573="","",IFERROR(VALUE(TRIM(Raw_Export!E573)),0))</f>
        <v>2</v>
      </c>
      <c r="G573" s="38" t="n">
        <f aca="false">IF(Raw_Export!$A573="","",IFERROR(VALUE(SUBSTITUTE(SUBSTITUTE(UPPER(TRIM(Raw_Export!F573)),"KES",""),",","")),0))</f>
        <v>330</v>
      </c>
      <c r="H573" s="38" t="n">
        <f aca="false">IF(Raw_Export!$A573="","",F573*G573)</f>
        <v>660</v>
      </c>
      <c r="I573" s="36" t="str">
        <f aca="false">IF(Raw_Export!$A573="","",IFERROR(VLOOKUP(LOWER(TRIM(Raw_Export!H573)),Maps!$D$2:$E$12,2,FALSE()),"Other"))</f>
        <v>M-Pesa</v>
      </c>
      <c r="J573" s="36" t="str">
        <f aca="false">IF(Raw_Export!$A573="","",IF(COUNTIF($A$2:A573,A573)&gt;1,"Duplicate",""))</f>
        <v/>
      </c>
      <c r="K573" s="36" t="str">
        <f aca="false">IF(Raw_Export!$A573="","",IF(J573="Duplicate","Duplicate",IF(OR(C573="UNMAPPED",D573="UNMAPPED"),"Unmapped",IF(F573=0,"Blank qty",IF(F573&lt;0,"Return","OK")))))</f>
        <v>OK</v>
      </c>
      <c r="L573" s="36" t="n">
        <f aca="false">IF(Raw_Export!$A573="","",IF(OR(K573="OK",K573="Return"),1,0))</f>
        <v>1</v>
      </c>
      <c r="M573" s="37" t="n">
        <f aca="false">IF(Raw_Export!$A573="","",B573-WEEKDAY(B573,2)+1)</f>
        <v>46265</v>
      </c>
    </row>
    <row r="574" customFormat="false" ht="15" hidden="false" customHeight="false" outlineLevel="0" collapsed="false">
      <c r="A574" s="36" t="str">
        <f aca="false">IF(Raw_Export!$A574="","",TRIM(Raw_Export!A574))</f>
        <v>TXN-100561</v>
      </c>
      <c r="B574" s="37" t="n">
        <f aca="false">IF(Raw_Export!$A574="","",IF(ISNUMBER(Raw_Export!B574),Raw_Export!B574,IF(MID(TRIM(Raw_Export!B574),5,1)="-",DATE(LEFT(TRIM(Raw_Export!B574),4),MID(TRIM(Raw_Export!B574),6,2),RIGHT(TRIM(Raw_Export!B574),2)),DATE(RIGHT(TRIM(Raw_Export!B574),4),MATCH(MID(TRIM(Raw_Export!B574),4,3),{"Jan","Feb","Mar","Apr","May","Jun","Jul","Aug","Sep","Oct","Nov","Dec"},0),LEFT(TRIM(Raw_Export!B574),2)))))</f>
        <v>46269</v>
      </c>
      <c r="C574" s="36" t="str">
        <f aca="false">IF(Raw_Export!$A574="","",IFERROR(VLOOKUP(LOWER(TRIM(Raw_Export!C574)),Maps!$A$2:$B$20,2,FALSE()),"UNMAPPED"))</f>
        <v>Westlands</v>
      </c>
      <c r="D574" s="36" t="str">
        <f aca="false">IF(Raw_Export!$A574="","",IFERROR(VLOOKUP(LOWER(TRIM(Raw_Export!D574)),Maps!$G$2:$I$80,2,FALSE()),"UNMAPPED"))</f>
        <v>Unga Pembe 2kg</v>
      </c>
      <c r="E574" s="36" t="str">
        <f aca="false">IF(Raw_Export!$A574="","",IFERROR(VLOOKUP(LOWER(TRIM(Raw_Export!D574)),Maps!$G$2:$I$80,3,FALSE()),"UNMAPPED"))</f>
        <v>Staples</v>
      </c>
      <c r="F574" s="36" t="n">
        <f aca="false">IF(Raw_Export!$A574="","",IFERROR(VALUE(TRIM(Raw_Export!E574)),0))</f>
        <v>1</v>
      </c>
      <c r="G574" s="38" t="n">
        <f aca="false">IF(Raw_Export!$A574="","",IFERROR(VALUE(SUBSTITUTE(SUBSTITUTE(UPPER(TRIM(Raw_Export!F574)),"KES",""),",","")),0))</f>
        <v>190</v>
      </c>
      <c r="H574" s="38" t="n">
        <f aca="false">IF(Raw_Export!$A574="","",F574*G574)</f>
        <v>190</v>
      </c>
      <c r="I574" s="36" t="str">
        <f aca="false">IF(Raw_Export!$A574="","",IFERROR(VLOOKUP(LOWER(TRIM(Raw_Export!H574)),Maps!$D$2:$E$12,2,FALSE()),"Other"))</f>
        <v>M-Pesa</v>
      </c>
      <c r="J574" s="36" t="str">
        <f aca="false">IF(Raw_Export!$A574="","",IF(COUNTIF($A$2:A574,A574)&gt;1,"Duplicate",""))</f>
        <v/>
      </c>
      <c r="K574" s="36" t="str">
        <f aca="false">IF(Raw_Export!$A574="","",IF(J574="Duplicate","Duplicate",IF(OR(C574="UNMAPPED",D574="UNMAPPED"),"Unmapped",IF(F574=0,"Blank qty",IF(F574&lt;0,"Return","OK")))))</f>
        <v>OK</v>
      </c>
      <c r="L574" s="36" t="n">
        <f aca="false">IF(Raw_Export!$A574="","",IF(OR(K574="OK",K574="Return"),1,0))</f>
        <v>1</v>
      </c>
      <c r="M574" s="37" t="n">
        <f aca="false">IF(Raw_Export!$A574="","",B574-WEEKDAY(B574,2)+1)</f>
        <v>46265</v>
      </c>
    </row>
    <row r="575" customFormat="false" ht="15" hidden="false" customHeight="false" outlineLevel="0" collapsed="false">
      <c r="A575" s="36" t="str">
        <f aca="false">IF(Raw_Export!$A575="","",TRIM(Raw_Export!A575))</f>
        <v>TXN-100562</v>
      </c>
      <c r="B575" s="37" t="n">
        <f aca="false">IF(Raw_Export!$A575="","",IF(ISNUMBER(Raw_Export!B575),Raw_Export!B575,IF(MID(TRIM(Raw_Export!B575),5,1)="-",DATE(LEFT(TRIM(Raw_Export!B575),4),MID(TRIM(Raw_Export!B575),6,2),RIGHT(TRIM(Raw_Export!B575),2)),DATE(RIGHT(TRIM(Raw_Export!B575),4),MATCH(MID(TRIM(Raw_Export!B575),4,3),{"Jan","Feb","Mar","Apr","May","Jun","Jul","Aug","Sep","Oct","Nov","Dec"},0),LEFT(TRIM(Raw_Export!B575),2)))))</f>
        <v>46269</v>
      </c>
      <c r="C575" s="36" t="str">
        <f aca="false">IF(Raw_Export!$A575="","",IFERROR(VLOOKUP(LOWER(TRIM(Raw_Export!C575)),Maps!$A$2:$B$20,2,FALSE()),"UNMAPPED"))</f>
        <v>Westlands</v>
      </c>
      <c r="D575" s="36" t="str">
        <f aca="false">IF(Raw_Export!$A575="","",IFERROR(VLOOKUP(LOWER(TRIM(Raw_Export!D575)),Maps!$G$2:$I$80,2,FALSE()),"UNMAPPED"))</f>
        <v>Bottled Water 1.5L</v>
      </c>
      <c r="E575" s="36" t="str">
        <f aca="false">IF(Raw_Export!$A575="","",IFERROR(VLOOKUP(LOWER(TRIM(Raw_Export!D575)),Maps!$G$2:$I$80,3,FALSE()),"UNMAPPED"))</f>
        <v>Beverages</v>
      </c>
      <c r="F575" s="36" t="n">
        <f aca="false">IF(Raw_Export!$A575="","",IFERROR(VALUE(TRIM(Raw_Export!E575)),0))</f>
        <v>1</v>
      </c>
      <c r="G575" s="38" t="n">
        <f aca="false">IF(Raw_Export!$A575="","",IFERROR(VALUE(SUBSTITUTE(SUBSTITUTE(UPPER(TRIM(Raw_Export!F575)),"KES",""),",","")),0))</f>
        <v>90</v>
      </c>
      <c r="H575" s="38" t="n">
        <f aca="false">IF(Raw_Export!$A575="","",F575*G575)</f>
        <v>90</v>
      </c>
      <c r="I575" s="36" t="str">
        <f aca="false">IF(Raw_Export!$A575="","",IFERROR(VLOOKUP(LOWER(TRIM(Raw_Export!H575)),Maps!$D$2:$E$12,2,FALSE()),"Other"))</f>
        <v>M-Pesa</v>
      </c>
      <c r="J575" s="36" t="str">
        <f aca="false">IF(Raw_Export!$A575="","",IF(COUNTIF($A$2:A575,A575)&gt;1,"Duplicate",""))</f>
        <v/>
      </c>
      <c r="K575" s="36" t="str">
        <f aca="false">IF(Raw_Export!$A575="","",IF(J575="Duplicate","Duplicate",IF(OR(C575="UNMAPPED",D575="UNMAPPED"),"Unmapped",IF(F575=0,"Blank qty",IF(F575&lt;0,"Return","OK")))))</f>
        <v>OK</v>
      </c>
      <c r="L575" s="36" t="n">
        <f aca="false">IF(Raw_Export!$A575="","",IF(OR(K575="OK",K575="Return"),1,0))</f>
        <v>1</v>
      </c>
      <c r="M575" s="37" t="n">
        <f aca="false">IF(Raw_Export!$A575="","",B575-WEEKDAY(B575,2)+1)</f>
        <v>46265</v>
      </c>
    </row>
    <row r="576" customFormat="false" ht="15" hidden="false" customHeight="false" outlineLevel="0" collapsed="false">
      <c r="A576" s="36" t="str">
        <f aca="false">IF(Raw_Export!$A576="","",TRIM(Raw_Export!A576))</f>
        <v>TXN-100563</v>
      </c>
      <c r="B576" s="37" t="n">
        <f aca="false">IF(Raw_Export!$A576="","",IF(ISNUMBER(Raw_Export!B576),Raw_Export!B576,IF(MID(TRIM(Raw_Export!B576),5,1)="-",DATE(LEFT(TRIM(Raw_Export!B576),4),MID(TRIM(Raw_Export!B576),6,2),RIGHT(TRIM(Raw_Export!B576),2)),DATE(RIGHT(TRIM(Raw_Export!B576),4),MATCH(MID(TRIM(Raw_Export!B576),4,3),{"Jan","Feb","Mar","Apr","May","Jun","Jul","Aug","Sep","Oct","Nov","Dec"},0),LEFT(TRIM(Raw_Export!B576),2)))))</f>
        <v>46269</v>
      </c>
      <c r="C576" s="36" t="str">
        <f aca="false">IF(Raw_Export!$A576="","",IFERROR(VLOOKUP(LOWER(TRIM(Raw_Export!C576)),Maps!$A$2:$B$20,2,FALSE()),"UNMAPPED"))</f>
        <v>Westlands</v>
      </c>
      <c r="D576" s="36" t="str">
        <f aca="false">IF(Raw_Export!$A576="","",IFERROR(VLOOKUP(LOWER(TRIM(Raw_Export!D576)),Maps!$G$2:$I$80,2,FALSE()),"UNMAPPED"))</f>
        <v>Cooking Oil 1L</v>
      </c>
      <c r="E576" s="36" t="str">
        <f aca="false">IF(Raw_Export!$A576="","",IFERROR(VLOOKUP(LOWER(TRIM(Raw_Export!D576)),Maps!$G$2:$I$80,3,FALSE()),"UNMAPPED"))</f>
        <v>Staples</v>
      </c>
      <c r="F576" s="36" t="n">
        <f aca="false">IF(Raw_Export!$A576="","",IFERROR(VALUE(TRIM(Raw_Export!E576)),0))</f>
        <v>1</v>
      </c>
      <c r="G576" s="38" t="n">
        <f aca="false">IF(Raw_Export!$A576="","",IFERROR(VALUE(SUBSTITUTE(SUBSTITUTE(UPPER(TRIM(Raw_Export!F576)),"KES",""),",","")),0))</f>
        <v>330</v>
      </c>
      <c r="H576" s="38" t="n">
        <f aca="false">IF(Raw_Export!$A576="","",F576*G576)</f>
        <v>330</v>
      </c>
      <c r="I576" s="36" t="str">
        <f aca="false">IF(Raw_Export!$A576="","",IFERROR(VLOOKUP(LOWER(TRIM(Raw_Export!H576)),Maps!$D$2:$E$12,2,FALSE()),"Other"))</f>
        <v>Cash</v>
      </c>
      <c r="J576" s="36" t="str">
        <f aca="false">IF(Raw_Export!$A576="","",IF(COUNTIF($A$2:A576,A576)&gt;1,"Duplicate",""))</f>
        <v/>
      </c>
      <c r="K576" s="36" t="str">
        <f aca="false">IF(Raw_Export!$A576="","",IF(J576="Duplicate","Duplicate",IF(OR(C576="UNMAPPED",D576="UNMAPPED"),"Unmapped",IF(F576=0,"Blank qty",IF(F576&lt;0,"Return","OK")))))</f>
        <v>OK</v>
      </c>
      <c r="L576" s="36" t="n">
        <f aca="false">IF(Raw_Export!$A576="","",IF(OR(K576="OK",K576="Return"),1,0))</f>
        <v>1</v>
      </c>
      <c r="M576" s="37" t="n">
        <f aca="false">IF(Raw_Export!$A576="","",B576-WEEKDAY(B576,2)+1)</f>
        <v>46265</v>
      </c>
    </row>
    <row r="577" customFormat="false" ht="15" hidden="false" customHeight="false" outlineLevel="0" collapsed="false">
      <c r="A577" s="36" t="str">
        <f aca="false">IF(Raw_Export!$A577="","",TRIM(Raw_Export!A577))</f>
        <v>TXN-100564</v>
      </c>
      <c r="B577" s="37" t="n">
        <f aca="false">IF(Raw_Export!$A577="","",IF(ISNUMBER(Raw_Export!B577),Raw_Export!B577,IF(MID(TRIM(Raw_Export!B577),5,1)="-",DATE(LEFT(TRIM(Raw_Export!B577),4),MID(TRIM(Raw_Export!B577),6,2),RIGHT(TRIM(Raw_Export!B577),2)),DATE(RIGHT(TRIM(Raw_Export!B577),4),MATCH(MID(TRIM(Raw_Export!B577),4,3),{"Jan","Feb","Mar","Apr","May","Jun","Jul","Aug","Sep","Oct","Nov","Dec"},0),LEFT(TRIM(Raw_Export!B577),2)))))</f>
        <v>46269</v>
      </c>
      <c r="C577" s="36" t="str">
        <f aca="false">IF(Raw_Export!$A577="","",IFERROR(VLOOKUP(LOWER(TRIM(Raw_Export!C577)),Maps!$A$2:$B$20,2,FALSE()),"UNMAPPED"))</f>
        <v>Westlands</v>
      </c>
      <c r="D577" s="36" t="str">
        <f aca="false">IF(Raw_Export!$A577="","",IFERROR(VLOOKUP(LOWER(TRIM(Raw_Export!D577)),Maps!$G$2:$I$80,2,FALSE()),"UNMAPPED"))</f>
        <v>Peanuts 250g</v>
      </c>
      <c r="E577" s="36" t="str">
        <f aca="false">IF(Raw_Export!$A577="","",IFERROR(VLOOKUP(LOWER(TRIM(Raw_Export!D577)),Maps!$G$2:$I$80,3,FALSE()),"UNMAPPED"))</f>
        <v>Snacks</v>
      </c>
      <c r="F577" s="36" t="n">
        <f aca="false">IF(Raw_Export!$A577="","",IFERROR(VALUE(TRIM(Raw_Export!E577)),0))</f>
        <v>1</v>
      </c>
      <c r="G577" s="38" t="n">
        <f aca="false">IF(Raw_Export!$A577="","",IFERROR(VALUE(SUBSTITUTE(SUBSTITUTE(UPPER(TRIM(Raw_Export!F577)),"KES",""),",","")),0))</f>
        <v>130</v>
      </c>
      <c r="H577" s="38" t="n">
        <f aca="false">IF(Raw_Export!$A577="","",F577*G577)</f>
        <v>130</v>
      </c>
      <c r="I577" s="36" t="str">
        <f aca="false">IF(Raw_Export!$A577="","",IFERROR(VLOOKUP(LOWER(TRIM(Raw_Export!H577)),Maps!$D$2:$E$12,2,FALSE()),"Other"))</f>
        <v>Card</v>
      </c>
      <c r="J577" s="36" t="str">
        <f aca="false">IF(Raw_Export!$A577="","",IF(COUNTIF($A$2:A577,A577)&gt;1,"Duplicate",""))</f>
        <v/>
      </c>
      <c r="K577" s="36" t="str">
        <f aca="false">IF(Raw_Export!$A577="","",IF(J577="Duplicate","Duplicate",IF(OR(C577="UNMAPPED",D577="UNMAPPED"),"Unmapped",IF(F577=0,"Blank qty",IF(F577&lt;0,"Return","OK")))))</f>
        <v>OK</v>
      </c>
      <c r="L577" s="36" t="n">
        <f aca="false">IF(Raw_Export!$A577="","",IF(OR(K577="OK",K577="Return"),1,0))</f>
        <v>1</v>
      </c>
      <c r="M577" s="37" t="n">
        <f aca="false">IF(Raw_Export!$A577="","",B577-WEEKDAY(B577,2)+1)</f>
        <v>46265</v>
      </c>
    </row>
    <row r="578" customFormat="false" ht="15" hidden="false" customHeight="false" outlineLevel="0" collapsed="false">
      <c r="A578" s="36" t="str">
        <f aca="false">IF(Raw_Export!$A578="","",TRIM(Raw_Export!A578))</f>
        <v>TXN-100565</v>
      </c>
      <c r="B578" s="37" t="n">
        <f aca="false">IF(Raw_Export!$A578="","",IF(ISNUMBER(Raw_Export!B578),Raw_Export!B578,IF(MID(TRIM(Raw_Export!B578),5,1)="-",DATE(LEFT(TRIM(Raw_Export!B578),4),MID(TRIM(Raw_Export!B578),6,2),RIGHT(TRIM(Raw_Export!B578),2)),DATE(RIGHT(TRIM(Raw_Export!B578),4),MATCH(MID(TRIM(Raw_Export!B578),4,3),{"Jan","Feb","Mar","Apr","May","Jun","Jul","Aug","Sep","Oct","Nov","Dec"},0),LEFT(TRIM(Raw_Export!B578),2)))))</f>
        <v>46269</v>
      </c>
      <c r="C578" s="36" t="str">
        <f aca="false">IF(Raw_Export!$A578="","",IFERROR(VLOOKUP(LOWER(TRIM(Raw_Export!C578)),Maps!$A$2:$B$20,2,FALSE()),"UNMAPPED"))</f>
        <v>Westlands</v>
      </c>
      <c r="D578" s="36" t="str">
        <f aca="false">IF(Raw_Export!$A578="","",IFERROR(VLOOKUP(LOWER(TRIM(Raw_Export!D578)),Maps!$G$2:$I$80,2,FALSE()),"UNMAPPED"))</f>
        <v>Salt 500g</v>
      </c>
      <c r="E578" s="36" t="str">
        <f aca="false">IF(Raw_Export!$A578="","",IFERROR(VLOOKUP(LOWER(TRIM(Raw_Export!D578)),Maps!$G$2:$I$80,3,FALSE()),"UNMAPPED"))</f>
        <v>Staples</v>
      </c>
      <c r="F578" s="36" t="n">
        <f aca="false">IF(Raw_Export!$A578="","",IFERROR(VALUE(TRIM(Raw_Export!E578)),0))</f>
        <v>1</v>
      </c>
      <c r="G578" s="38" t="n">
        <f aca="false">IF(Raw_Export!$A578="","",IFERROR(VALUE(SUBSTITUTE(SUBSTITUTE(UPPER(TRIM(Raw_Export!F578)),"KES",""),",","")),0))</f>
        <v>40</v>
      </c>
      <c r="H578" s="38" t="n">
        <f aca="false">IF(Raw_Export!$A578="","",F578*G578)</f>
        <v>40</v>
      </c>
      <c r="I578" s="36" t="str">
        <f aca="false">IF(Raw_Export!$A578="","",IFERROR(VLOOKUP(LOWER(TRIM(Raw_Export!H578)),Maps!$D$2:$E$12,2,FALSE()),"Other"))</f>
        <v>M-Pesa</v>
      </c>
      <c r="J578" s="36" t="str">
        <f aca="false">IF(Raw_Export!$A578="","",IF(COUNTIF($A$2:A578,A578)&gt;1,"Duplicate",""))</f>
        <v/>
      </c>
      <c r="K578" s="36" t="str">
        <f aca="false">IF(Raw_Export!$A578="","",IF(J578="Duplicate","Duplicate",IF(OR(C578="UNMAPPED",D578="UNMAPPED"),"Unmapped",IF(F578=0,"Blank qty",IF(F578&lt;0,"Return","OK")))))</f>
        <v>OK</v>
      </c>
      <c r="L578" s="36" t="n">
        <f aca="false">IF(Raw_Export!$A578="","",IF(OR(K578="OK",K578="Return"),1,0))</f>
        <v>1</v>
      </c>
      <c r="M578" s="37" t="n">
        <f aca="false">IF(Raw_Export!$A578="","",B578-WEEKDAY(B578,2)+1)</f>
        <v>46265</v>
      </c>
    </row>
    <row r="579" customFormat="false" ht="15" hidden="false" customHeight="false" outlineLevel="0" collapsed="false">
      <c r="A579" s="36" t="str">
        <f aca="false">IF(Raw_Export!$A579="","",TRIM(Raw_Export!A579))</f>
        <v>TXN-100566</v>
      </c>
      <c r="B579" s="37" t="n">
        <f aca="false">IF(Raw_Export!$A579="","",IF(ISNUMBER(Raw_Export!B579),Raw_Export!B579,IF(MID(TRIM(Raw_Export!B579),5,1)="-",DATE(LEFT(TRIM(Raw_Export!B579),4),MID(TRIM(Raw_Export!B579),6,2),RIGHT(TRIM(Raw_Export!B579),2)),DATE(RIGHT(TRIM(Raw_Export!B579),4),MATCH(MID(TRIM(Raw_Export!B579),4,3),{"Jan","Feb","Mar","Apr","May","Jun","Jul","Aug","Sep","Oct","Nov","Dec"},0),LEFT(TRIM(Raw_Export!B579),2)))))</f>
        <v>46269</v>
      </c>
      <c r="C579" s="36" t="str">
        <f aca="false">IF(Raw_Export!$A579="","",IFERROR(VLOOKUP(LOWER(TRIM(Raw_Export!C579)),Maps!$A$2:$B$20,2,FALSE()),"UNMAPPED"))</f>
        <v>Westlands</v>
      </c>
      <c r="D579" s="36" t="str">
        <f aca="false">IF(Raw_Export!$A579="","",IFERROR(VLOOKUP(LOWER(TRIM(Raw_Export!D579)),Maps!$G$2:$I$80,2,FALSE()),"UNMAPPED"))</f>
        <v>Cooking Oil 1L</v>
      </c>
      <c r="E579" s="36" t="str">
        <f aca="false">IF(Raw_Export!$A579="","",IFERROR(VLOOKUP(LOWER(TRIM(Raw_Export!D579)),Maps!$G$2:$I$80,3,FALSE()),"UNMAPPED"))</f>
        <v>Staples</v>
      </c>
      <c r="F579" s="36" t="n">
        <f aca="false">IF(Raw_Export!$A579="","",IFERROR(VALUE(TRIM(Raw_Export!E579)),0))</f>
        <v>1</v>
      </c>
      <c r="G579" s="38" t="n">
        <f aca="false">IF(Raw_Export!$A579="","",IFERROR(VALUE(SUBSTITUTE(SUBSTITUTE(UPPER(TRIM(Raw_Export!F579)),"KES",""),",","")),0))</f>
        <v>330</v>
      </c>
      <c r="H579" s="38" t="n">
        <f aca="false">IF(Raw_Export!$A579="","",F579*G579)</f>
        <v>330</v>
      </c>
      <c r="I579" s="36" t="str">
        <f aca="false">IF(Raw_Export!$A579="","",IFERROR(VLOOKUP(LOWER(TRIM(Raw_Export!H579)),Maps!$D$2:$E$12,2,FALSE()),"Other"))</f>
        <v>Card</v>
      </c>
      <c r="J579" s="36" t="str">
        <f aca="false">IF(Raw_Export!$A579="","",IF(COUNTIF($A$2:A579,A579)&gt;1,"Duplicate",""))</f>
        <v/>
      </c>
      <c r="K579" s="36" t="str">
        <f aca="false">IF(Raw_Export!$A579="","",IF(J579="Duplicate","Duplicate",IF(OR(C579="UNMAPPED",D579="UNMAPPED"),"Unmapped",IF(F579=0,"Blank qty",IF(F579&lt;0,"Return","OK")))))</f>
        <v>OK</v>
      </c>
      <c r="L579" s="36" t="n">
        <f aca="false">IF(Raw_Export!$A579="","",IF(OR(K579="OK",K579="Return"),1,0))</f>
        <v>1</v>
      </c>
      <c r="M579" s="37" t="n">
        <f aca="false">IF(Raw_Export!$A579="","",B579-WEEKDAY(B579,2)+1)</f>
        <v>46265</v>
      </c>
    </row>
    <row r="580" customFormat="false" ht="15" hidden="false" customHeight="false" outlineLevel="0" collapsed="false">
      <c r="A580" s="36" t="str">
        <f aca="false">IF(Raw_Export!$A580="","",TRIM(Raw_Export!A580))</f>
        <v>TXN-100567</v>
      </c>
      <c r="B580" s="37" t="n">
        <f aca="false">IF(Raw_Export!$A580="","",IF(ISNUMBER(Raw_Export!B580),Raw_Export!B580,IF(MID(TRIM(Raw_Export!B580),5,1)="-",DATE(LEFT(TRIM(Raw_Export!B580),4),MID(TRIM(Raw_Export!B580),6,2),RIGHT(TRIM(Raw_Export!B580),2)),DATE(RIGHT(TRIM(Raw_Export!B580),4),MATCH(MID(TRIM(Raw_Export!B580),4,3),{"Jan","Feb","Mar","Apr","May","Jun","Jul","Aug","Sep","Oct","Nov","Dec"},0),LEFT(TRIM(Raw_Export!B580),2)))))</f>
        <v>46269</v>
      </c>
      <c r="C580" s="36" t="str">
        <f aca="false">IF(Raw_Export!$A580="","",IFERROR(VLOOKUP(LOWER(TRIM(Raw_Export!C580)),Maps!$A$2:$B$20,2,FALSE()),"UNMAPPED"))</f>
        <v>Westlands</v>
      </c>
      <c r="D580" s="36" t="str">
        <f aca="false">IF(Raw_Export!$A580="","",IFERROR(VLOOKUP(LOWER(TRIM(Raw_Export!D580)),Maps!$G$2:$I$80,2,FALSE()),"UNMAPPED"))</f>
        <v>Rice Pishori 2kg</v>
      </c>
      <c r="E580" s="36" t="str">
        <f aca="false">IF(Raw_Export!$A580="","",IFERROR(VLOOKUP(LOWER(TRIM(Raw_Export!D580)),Maps!$G$2:$I$80,3,FALSE()),"UNMAPPED"))</f>
        <v>Staples</v>
      </c>
      <c r="F580" s="36" t="n">
        <f aca="false">IF(Raw_Export!$A580="","",IFERROR(VALUE(TRIM(Raw_Export!E580)),0))</f>
        <v>2</v>
      </c>
      <c r="G580" s="38" t="n">
        <f aca="false">IF(Raw_Export!$A580="","",IFERROR(VALUE(SUBSTITUTE(SUBSTITUTE(UPPER(TRIM(Raw_Export!F580)),"KES",""),",","")),0))</f>
        <v>420</v>
      </c>
      <c r="H580" s="38" t="n">
        <f aca="false">IF(Raw_Export!$A580="","",F580*G580)</f>
        <v>840</v>
      </c>
      <c r="I580" s="36" t="str">
        <f aca="false">IF(Raw_Export!$A580="","",IFERROR(VLOOKUP(LOWER(TRIM(Raw_Export!H580)),Maps!$D$2:$E$12,2,FALSE()),"Other"))</f>
        <v>Cash</v>
      </c>
      <c r="J580" s="36" t="str">
        <f aca="false">IF(Raw_Export!$A580="","",IF(COUNTIF($A$2:A580,A580)&gt;1,"Duplicate",""))</f>
        <v/>
      </c>
      <c r="K580" s="36" t="str">
        <f aca="false">IF(Raw_Export!$A580="","",IF(J580="Duplicate","Duplicate",IF(OR(C580="UNMAPPED",D580="UNMAPPED"),"Unmapped",IF(F580=0,"Blank qty",IF(F580&lt;0,"Return","OK")))))</f>
        <v>OK</v>
      </c>
      <c r="L580" s="36" t="n">
        <f aca="false">IF(Raw_Export!$A580="","",IF(OR(K580="OK",K580="Return"),1,0))</f>
        <v>1</v>
      </c>
      <c r="M580" s="37" t="n">
        <f aca="false">IF(Raw_Export!$A580="","",B580-WEEKDAY(B580,2)+1)</f>
        <v>46265</v>
      </c>
    </row>
    <row r="581" customFormat="false" ht="15" hidden="false" customHeight="false" outlineLevel="0" collapsed="false">
      <c r="A581" s="36" t="str">
        <f aca="false">IF(Raw_Export!$A581="","",TRIM(Raw_Export!A581))</f>
        <v>TXN-100568</v>
      </c>
      <c r="B581" s="37" t="n">
        <f aca="false">IF(Raw_Export!$A581="","",IF(ISNUMBER(Raw_Export!B581),Raw_Export!B581,IF(MID(TRIM(Raw_Export!B581),5,1)="-",DATE(LEFT(TRIM(Raw_Export!B581),4),MID(TRIM(Raw_Export!B581),6,2),RIGHT(TRIM(Raw_Export!B581),2)),DATE(RIGHT(TRIM(Raw_Export!B581),4),MATCH(MID(TRIM(Raw_Export!B581),4,3),{"Jan","Feb","Mar","Apr","May","Jun","Jul","Aug","Sep","Oct","Nov","Dec"},0),LEFT(TRIM(Raw_Export!B581),2)))))</f>
        <v>46269</v>
      </c>
      <c r="C581" s="36" t="str">
        <f aca="false">IF(Raw_Export!$A581="","",IFERROR(VLOOKUP(LOWER(TRIM(Raw_Export!C581)),Maps!$A$2:$B$20,2,FALSE()),"UNMAPPED"))</f>
        <v>Westlands</v>
      </c>
      <c r="D581" s="36" t="str">
        <f aca="false">IF(Raw_Export!$A581="","",IFERROR(VLOOKUP(LOWER(TRIM(Raw_Export!D581)),Maps!$G$2:$I$80,2,FALSE()),"UNMAPPED"))</f>
        <v>Salt 500g</v>
      </c>
      <c r="E581" s="36" t="str">
        <f aca="false">IF(Raw_Export!$A581="","",IFERROR(VLOOKUP(LOWER(TRIM(Raw_Export!D581)),Maps!$G$2:$I$80,3,FALSE()),"UNMAPPED"))</f>
        <v>Staples</v>
      </c>
      <c r="F581" s="36" t="n">
        <f aca="false">IF(Raw_Export!$A581="","",IFERROR(VALUE(TRIM(Raw_Export!E581)),0))</f>
        <v>1</v>
      </c>
      <c r="G581" s="38" t="n">
        <f aca="false">IF(Raw_Export!$A581="","",IFERROR(VALUE(SUBSTITUTE(SUBSTITUTE(UPPER(TRIM(Raw_Export!F581)),"KES",""),",","")),0))</f>
        <v>40</v>
      </c>
      <c r="H581" s="38" t="n">
        <f aca="false">IF(Raw_Export!$A581="","",F581*G581)</f>
        <v>40</v>
      </c>
      <c r="I581" s="36" t="str">
        <f aca="false">IF(Raw_Export!$A581="","",IFERROR(VLOOKUP(LOWER(TRIM(Raw_Export!H581)),Maps!$D$2:$E$12,2,FALSE()),"Other"))</f>
        <v>M-Pesa</v>
      </c>
      <c r="J581" s="36" t="str">
        <f aca="false">IF(Raw_Export!$A581="","",IF(COUNTIF($A$2:A581,A581)&gt;1,"Duplicate",""))</f>
        <v/>
      </c>
      <c r="K581" s="36" t="str">
        <f aca="false">IF(Raw_Export!$A581="","",IF(J581="Duplicate","Duplicate",IF(OR(C581="UNMAPPED",D581="UNMAPPED"),"Unmapped",IF(F581=0,"Blank qty",IF(F581&lt;0,"Return","OK")))))</f>
        <v>OK</v>
      </c>
      <c r="L581" s="36" t="n">
        <f aca="false">IF(Raw_Export!$A581="","",IF(OR(K581="OK",K581="Return"),1,0))</f>
        <v>1</v>
      </c>
      <c r="M581" s="37" t="n">
        <f aca="false">IF(Raw_Export!$A581="","",B581-WEEKDAY(B581,2)+1)</f>
        <v>46265</v>
      </c>
    </row>
    <row r="582" customFormat="false" ht="15" hidden="false" customHeight="false" outlineLevel="0" collapsed="false">
      <c r="A582" s="36" t="str">
        <f aca="false">IF(Raw_Export!$A582="","",TRIM(Raw_Export!A582))</f>
        <v>TXN-100569</v>
      </c>
      <c r="B582" s="37" t="n">
        <f aca="false">IF(Raw_Export!$A582="","",IF(ISNUMBER(Raw_Export!B582),Raw_Export!B582,IF(MID(TRIM(Raw_Export!B582),5,1)="-",DATE(LEFT(TRIM(Raw_Export!B582),4),MID(TRIM(Raw_Export!B582),6,2),RIGHT(TRIM(Raw_Export!B582),2)),DATE(RIGHT(TRIM(Raw_Export!B582),4),MATCH(MID(TRIM(Raw_Export!B582),4,3),{"Jan","Feb","Mar","Apr","May","Jun","Jul","Aug","Sep","Oct","Nov","Dec"},0),LEFT(TRIM(Raw_Export!B582),2)))))</f>
        <v>46269</v>
      </c>
      <c r="C582" s="36" t="str">
        <f aca="false">IF(Raw_Export!$A582="","",IFERROR(VLOOKUP(LOWER(TRIM(Raw_Export!C582)),Maps!$A$2:$B$20,2,FALSE()),"UNMAPPED"))</f>
        <v>Westlands</v>
      </c>
      <c r="D582" s="36" t="str">
        <f aca="false">IF(Raw_Export!$A582="","",IFERROR(VLOOKUP(LOWER(TRIM(Raw_Export!D582)),Maps!$G$2:$I$80,2,FALSE()),"UNMAPPED"))</f>
        <v>Bread Loaf 400g</v>
      </c>
      <c r="E582" s="36" t="str">
        <f aca="false">IF(Raw_Export!$A582="","",IFERROR(VLOOKUP(LOWER(TRIM(Raw_Export!D582)),Maps!$G$2:$I$80,3,FALSE()),"UNMAPPED"))</f>
        <v>Snacks</v>
      </c>
      <c r="F582" s="36" t="n">
        <f aca="false">IF(Raw_Export!$A582="","",IFERROR(VALUE(TRIM(Raw_Export!E582)),0))</f>
        <v>3</v>
      </c>
      <c r="G582" s="38" t="n">
        <f aca="false">IF(Raw_Export!$A582="","",IFERROR(VALUE(SUBSTITUTE(SUBSTITUTE(UPPER(TRIM(Raw_Export!F582)),"KES",""),",","")),0))</f>
        <v>65</v>
      </c>
      <c r="H582" s="38" t="n">
        <f aca="false">IF(Raw_Export!$A582="","",F582*G582)</f>
        <v>195</v>
      </c>
      <c r="I582" s="36" t="str">
        <f aca="false">IF(Raw_Export!$A582="","",IFERROR(VLOOKUP(LOWER(TRIM(Raw_Export!H582)),Maps!$D$2:$E$12,2,FALSE()),"Other"))</f>
        <v>M-Pesa</v>
      </c>
      <c r="J582" s="36" t="str">
        <f aca="false">IF(Raw_Export!$A582="","",IF(COUNTIF($A$2:A582,A582)&gt;1,"Duplicate",""))</f>
        <v/>
      </c>
      <c r="K582" s="36" t="str">
        <f aca="false">IF(Raw_Export!$A582="","",IF(J582="Duplicate","Duplicate",IF(OR(C582="UNMAPPED",D582="UNMAPPED"),"Unmapped",IF(F582=0,"Blank qty",IF(F582&lt;0,"Return","OK")))))</f>
        <v>OK</v>
      </c>
      <c r="L582" s="36" t="n">
        <f aca="false">IF(Raw_Export!$A582="","",IF(OR(K582="OK",K582="Return"),1,0))</f>
        <v>1</v>
      </c>
      <c r="M582" s="37" t="n">
        <f aca="false">IF(Raw_Export!$A582="","",B582-WEEKDAY(B582,2)+1)</f>
        <v>46265</v>
      </c>
    </row>
    <row r="583" customFormat="false" ht="15" hidden="false" customHeight="false" outlineLevel="0" collapsed="false">
      <c r="A583" s="36" t="str">
        <f aca="false">IF(Raw_Export!$A583="","",TRIM(Raw_Export!A583))</f>
        <v>TXN-100570</v>
      </c>
      <c r="B583" s="37" t="n">
        <f aca="false">IF(Raw_Export!$A583="","",IF(ISNUMBER(Raw_Export!B583),Raw_Export!B583,IF(MID(TRIM(Raw_Export!B583),5,1)="-",DATE(LEFT(TRIM(Raw_Export!B583),4),MID(TRIM(Raw_Export!B583),6,2),RIGHT(TRIM(Raw_Export!B583),2)),DATE(RIGHT(TRIM(Raw_Export!B583),4),MATCH(MID(TRIM(Raw_Export!B583),4,3),{"Jan","Feb","Mar","Apr","May","Jun","Jul","Aug","Sep","Oct","Nov","Dec"},0),LEFT(TRIM(Raw_Export!B583),2)))))</f>
        <v>46269</v>
      </c>
      <c r="C583" s="36" t="str">
        <f aca="false">IF(Raw_Export!$A583="","",IFERROR(VLOOKUP(LOWER(TRIM(Raw_Export!C583)),Maps!$A$2:$B$20,2,FALSE()),"UNMAPPED"))</f>
        <v>Westlands</v>
      </c>
      <c r="D583" s="36" t="str">
        <f aca="false">IF(Raw_Export!$A583="","",IFERROR(VLOOKUP(LOWER(TRIM(Raw_Export!D583)),Maps!$G$2:$I$80,2,FALSE()),"UNMAPPED"))</f>
        <v>Matches 10pk</v>
      </c>
      <c r="E583" s="36" t="str">
        <f aca="false">IF(Raw_Export!$A583="","",IFERROR(VLOOKUP(LOWER(TRIM(Raw_Export!D583)),Maps!$G$2:$I$80,3,FALSE()),"UNMAPPED"))</f>
        <v>Household</v>
      </c>
      <c r="F583" s="36" t="n">
        <f aca="false">IF(Raw_Export!$A583="","",IFERROR(VALUE(TRIM(Raw_Export!E583)),0))</f>
        <v>3</v>
      </c>
      <c r="G583" s="38" t="n">
        <f aca="false">IF(Raw_Export!$A583="","",IFERROR(VALUE(SUBSTITUTE(SUBSTITUTE(UPPER(TRIM(Raw_Export!F583)),"KES",""),",","")),0))</f>
        <v>50</v>
      </c>
      <c r="H583" s="38" t="n">
        <f aca="false">IF(Raw_Export!$A583="","",F583*G583)</f>
        <v>150</v>
      </c>
      <c r="I583" s="36" t="str">
        <f aca="false">IF(Raw_Export!$A583="","",IFERROR(VLOOKUP(LOWER(TRIM(Raw_Export!H583)),Maps!$D$2:$E$12,2,FALSE()),"Other"))</f>
        <v>Cash</v>
      </c>
      <c r="J583" s="36" t="str">
        <f aca="false">IF(Raw_Export!$A583="","",IF(COUNTIF($A$2:A583,A583)&gt;1,"Duplicate",""))</f>
        <v/>
      </c>
      <c r="K583" s="36" t="str">
        <f aca="false">IF(Raw_Export!$A583="","",IF(J583="Duplicate","Duplicate",IF(OR(C583="UNMAPPED",D583="UNMAPPED"),"Unmapped",IF(F583=0,"Blank qty",IF(F583&lt;0,"Return","OK")))))</f>
        <v>OK</v>
      </c>
      <c r="L583" s="36" t="n">
        <f aca="false">IF(Raw_Export!$A583="","",IF(OR(K583="OK",K583="Return"),1,0))</f>
        <v>1</v>
      </c>
      <c r="M583" s="37" t="n">
        <f aca="false">IF(Raw_Export!$A583="","",B583-WEEKDAY(B583,2)+1)</f>
        <v>46265</v>
      </c>
    </row>
    <row r="584" customFormat="false" ht="15" hidden="false" customHeight="false" outlineLevel="0" collapsed="false">
      <c r="A584" s="36" t="str">
        <f aca="false">IF(Raw_Export!$A584="","",TRIM(Raw_Export!A584))</f>
        <v>TXN-100571</v>
      </c>
      <c r="B584" s="37" t="n">
        <f aca="false">IF(Raw_Export!$A584="","",IF(ISNUMBER(Raw_Export!B584),Raw_Export!B584,IF(MID(TRIM(Raw_Export!B584),5,1)="-",DATE(LEFT(TRIM(Raw_Export!B584),4),MID(TRIM(Raw_Export!B584),6,2),RIGHT(TRIM(Raw_Export!B584),2)),DATE(RIGHT(TRIM(Raw_Export!B584),4),MATCH(MID(TRIM(Raw_Export!B584),4,3),{"Jan","Feb","Mar","Apr","May","Jun","Jul","Aug","Sep","Oct","Nov","Dec"},0),LEFT(TRIM(Raw_Export!B584),2)))))</f>
        <v>46269</v>
      </c>
      <c r="C584" s="36" t="str">
        <f aca="false">IF(Raw_Export!$A584="","",IFERROR(VLOOKUP(LOWER(TRIM(Raw_Export!C584)),Maps!$A$2:$B$20,2,FALSE()),"UNMAPPED"))</f>
        <v>Westlands</v>
      </c>
      <c r="D584" s="36" t="str">
        <f aca="false">IF(Raw_Export!$A584="","",IFERROR(VLOOKUP(LOWER(TRIM(Raw_Export!D584)),Maps!$G$2:$I$80,2,FALSE()),"UNMAPPED"))</f>
        <v>Butter 250g</v>
      </c>
      <c r="E584" s="36" t="str">
        <f aca="false">IF(Raw_Export!$A584="","",IFERROR(VLOOKUP(LOWER(TRIM(Raw_Export!D584)),Maps!$G$2:$I$80,3,FALSE()),"UNMAPPED"))</f>
        <v>Dairy &amp; Eggs</v>
      </c>
      <c r="F584" s="36" t="n">
        <f aca="false">IF(Raw_Export!$A584="","",IFERROR(VALUE(TRIM(Raw_Export!E584)),0))</f>
        <v>3</v>
      </c>
      <c r="G584" s="38" t="n">
        <f aca="false">IF(Raw_Export!$A584="","",IFERROR(VALUE(SUBSTITUTE(SUBSTITUTE(UPPER(TRIM(Raw_Export!F584)),"KES",""),",","")),0))</f>
        <v>279</v>
      </c>
      <c r="H584" s="38" t="n">
        <f aca="false">IF(Raw_Export!$A584="","",F584*G584)</f>
        <v>837</v>
      </c>
      <c r="I584" s="36" t="str">
        <f aca="false">IF(Raw_Export!$A584="","",IFERROR(VLOOKUP(LOWER(TRIM(Raw_Export!H584)),Maps!$D$2:$E$12,2,FALSE()),"Other"))</f>
        <v>Cash</v>
      </c>
      <c r="J584" s="36" t="str">
        <f aca="false">IF(Raw_Export!$A584="","",IF(COUNTIF($A$2:A584,A584)&gt;1,"Duplicate",""))</f>
        <v/>
      </c>
      <c r="K584" s="36" t="str">
        <f aca="false">IF(Raw_Export!$A584="","",IF(J584="Duplicate","Duplicate",IF(OR(C584="UNMAPPED",D584="UNMAPPED"),"Unmapped",IF(F584=0,"Blank qty",IF(F584&lt;0,"Return","OK")))))</f>
        <v>OK</v>
      </c>
      <c r="L584" s="36" t="n">
        <f aca="false">IF(Raw_Export!$A584="","",IF(OR(K584="OK",K584="Return"),1,0))</f>
        <v>1</v>
      </c>
      <c r="M584" s="37" t="n">
        <f aca="false">IF(Raw_Export!$A584="","",B584-WEEKDAY(B584,2)+1)</f>
        <v>46265</v>
      </c>
    </row>
    <row r="585" customFormat="false" ht="15" hidden="false" customHeight="false" outlineLevel="0" collapsed="false">
      <c r="A585" s="36" t="str">
        <f aca="false">IF(Raw_Export!$A585="","",TRIM(Raw_Export!A585))</f>
        <v>TXN-100572</v>
      </c>
      <c r="B585" s="37" t="n">
        <f aca="false">IF(Raw_Export!$A585="","",IF(ISNUMBER(Raw_Export!B585),Raw_Export!B585,IF(MID(TRIM(Raw_Export!B585),5,1)="-",DATE(LEFT(TRIM(Raw_Export!B585),4),MID(TRIM(Raw_Export!B585),6,2),RIGHT(TRIM(Raw_Export!B585),2)),DATE(RIGHT(TRIM(Raw_Export!B585),4),MATCH(MID(TRIM(Raw_Export!B585),4,3),{"Jan","Feb","Mar","Apr","May","Jun","Jul","Aug","Sep","Oct","Nov","Dec"},0),LEFT(TRIM(Raw_Export!B585),2)))))</f>
        <v>46269</v>
      </c>
      <c r="C585" s="36" t="str">
        <f aca="false">IF(Raw_Export!$A585="","",IFERROR(VLOOKUP(LOWER(TRIM(Raw_Export!C585)),Maps!$A$2:$B$20,2,FALSE()),"UNMAPPED"))</f>
        <v>Westlands</v>
      </c>
      <c r="D585" s="36" t="str">
        <f aca="false">IF(Raw_Export!$A585="","",IFERROR(VLOOKUP(LOWER(TRIM(Raw_Export!D585)),Maps!$G$2:$I$80,2,FALSE()),"UNMAPPED"))</f>
        <v>Sugar 2kg</v>
      </c>
      <c r="E585" s="36" t="str">
        <f aca="false">IF(Raw_Export!$A585="","",IFERROR(VLOOKUP(LOWER(TRIM(Raw_Export!D585)),Maps!$G$2:$I$80,3,FALSE()),"UNMAPPED"))</f>
        <v>Staples</v>
      </c>
      <c r="F585" s="36" t="n">
        <f aca="false">IF(Raw_Export!$A585="","",IFERROR(VALUE(TRIM(Raw_Export!E585)),0))</f>
        <v>1</v>
      </c>
      <c r="G585" s="38" t="n">
        <f aca="false">IF(Raw_Export!$A585="","",IFERROR(VALUE(SUBSTITUTE(SUBSTITUTE(UPPER(TRIM(Raw_Export!F585)),"KES",""),",","")),0))</f>
        <v>330</v>
      </c>
      <c r="H585" s="38" t="n">
        <f aca="false">IF(Raw_Export!$A585="","",F585*G585)</f>
        <v>330</v>
      </c>
      <c r="I585" s="36" t="str">
        <f aca="false">IF(Raw_Export!$A585="","",IFERROR(VLOOKUP(LOWER(TRIM(Raw_Export!H585)),Maps!$D$2:$E$12,2,FALSE()),"Other"))</f>
        <v>M-Pesa</v>
      </c>
      <c r="J585" s="36" t="str">
        <f aca="false">IF(Raw_Export!$A585="","",IF(COUNTIF($A$2:A585,A585)&gt;1,"Duplicate",""))</f>
        <v/>
      </c>
      <c r="K585" s="36" t="str">
        <f aca="false">IF(Raw_Export!$A585="","",IF(J585="Duplicate","Duplicate",IF(OR(C585="UNMAPPED",D585="UNMAPPED"),"Unmapped",IF(F585=0,"Blank qty",IF(F585&lt;0,"Return","OK")))))</f>
        <v>OK</v>
      </c>
      <c r="L585" s="36" t="n">
        <f aca="false">IF(Raw_Export!$A585="","",IF(OR(K585="OK",K585="Return"),1,0))</f>
        <v>1</v>
      </c>
      <c r="M585" s="37" t="n">
        <f aca="false">IF(Raw_Export!$A585="","",B585-WEEKDAY(B585,2)+1)</f>
        <v>46265</v>
      </c>
    </row>
    <row r="586" customFormat="false" ht="15" hidden="false" customHeight="false" outlineLevel="0" collapsed="false">
      <c r="A586" s="36" t="str">
        <f aca="false">IF(Raw_Export!$A586="","",TRIM(Raw_Export!A586))</f>
        <v>TXN-100573</v>
      </c>
      <c r="B586" s="37" t="n">
        <f aca="false">IF(Raw_Export!$A586="","",IF(ISNUMBER(Raw_Export!B586),Raw_Export!B586,IF(MID(TRIM(Raw_Export!B586),5,1)="-",DATE(LEFT(TRIM(Raw_Export!B586),4),MID(TRIM(Raw_Export!B586),6,2),RIGHT(TRIM(Raw_Export!B586),2)),DATE(RIGHT(TRIM(Raw_Export!B586),4),MATCH(MID(TRIM(Raw_Export!B586),4,3),{"Jan","Feb","Mar","Apr","May","Jun","Jul","Aug","Sep","Oct","Nov","Dec"},0),LEFT(TRIM(Raw_Export!B586),2)))))</f>
        <v>46269</v>
      </c>
      <c r="C586" s="36" t="str">
        <f aca="false">IF(Raw_Export!$A586="","",IFERROR(VLOOKUP(LOWER(TRIM(Raw_Export!C586)),Maps!$A$2:$B$20,2,FALSE()),"UNMAPPED"))</f>
        <v>Westlands</v>
      </c>
      <c r="D586" s="36" t="str">
        <f aca="false">IF(Raw_Export!$A586="","",IFERROR(VLOOKUP(LOWER(TRIM(Raw_Export!D586)),Maps!$G$2:$I$80,2,FALSE()),"UNMAPPED"))</f>
        <v>Juice 1L</v>
      </c>
      <c r="E586" s="36" t="str">
        <f aca="false">IF(Raw_Export!$A586="","",IFERROR(VLOOKUP(LOWER(TRIM(Raw_Export!D586)),Maps!$G$2:$I$80,3,FALSE()),"UNMAPPED"))</f>
        <v>Beverages</v>
      </c>
      <c r="F586" s="36" t="n">
        <f aca="false">IF(Raw_Export!$A586="","",IFERROR(VALUE(TRIM(Raw_Export!E586)),0))</f>
        <v>6</v>
      </c>
      <c r="G586" s="38" t="n">
        <f aca="false">IF(Raw_Export!$A586="","",IFERROR(VALUE(SUBSTITUTE(SUBSTITUTE(UPPER(TRIM(Raw_Export!F586)),"KES",""),",","")),0))</f>
        <v>210</v>
      </c>
      <c r="H586" s="38" t="n">
        <f aca="false">IF(Raw_Export!$A586="","",F586*G586)</f>
        <v>1260</v>
      </c>
      <c r="I586" s="36" t="str">
        <f aca="false">IF(Raw_Export!$A586="","",IFERROR(VLOOKUP(LOWER(TRIM(Raw_Export!H586)),Maps!$D$2:$E$12,2,FALSE()),"Other"))</f>
        <v>Card</v>
      </c>
      <c r="J586" s="36" t="str">
        <f aca="false">IF(Raw_Export!$A586="","",IF(COUNTIF($A$2:A586,A586)&gt;1,"Duplicate",""))</f>
        <v/>
      </c>
      <c r="K586" s="36" t="str">
        <f aca="false">IF(Raw_Export!$A586="","",IF(J586="Duplicate","Duplicate",IF(OR(C586="UNMAPPED",D586="UNMAPPED"),"Unmapped",IF(F586=0,"Blank qty",IF(F586&lt;0,"Return","OK")))))</f>
        <v>OK</v>
      </c>
      <c r="L586" s="36" t="n">
        <f aca="false">IF(Raw_Export!$A586="","",IF(OR(K586="OK",K586="Return"),1,0))</f>
        <v>1</v>
      </c>
      <c r="M586" s="37" t="n">
        <f aca="false">IF(Raw_Export!$A586="","",B586-WEEKDAY(B586,2)+1)</f>
        <v>46265</v>
      </c>
    </row>
    <row r="587" customFormat="false" ht="15" hidden="false" customHeight="false" outlineLevel="0" collapsed="false">
      <c r="A587" s="36" t="str">
        <f aca="false">IF(Raw_Export!$A587="","",TRIM(Raw_Export!A587))</f>
        <v>TXN-100574</v>
      </c>
      <c r="B587" s="37" t="n">
        <f aca="false">IF(Raw_Export!$A587="","",IF(ISNUMBER(Raw_Export!B587),Raw_Export!B587,IF(MID(TRIM(Raw_Export!B587),5,1)="-",DATE(LEFT(TRIM(Raw_Export!B587),4),MID(TRIM(Raw_Export!B587),6,2),RIGHT(TRIM(Raw_Export!B587),2)),DATE(RIGHT(TRIM(Raw_Export!B587),4),MATCH(MID(TRIM(Raw_Export!B587),4,3),{"Jan","Feb","Mar","Apr","May","Jun","Jul","Aug","Sep","Oct","Nov","Dec"},0),LEFT(TRIM(Raw_Export!B587),2)))))</f>
        <v>46269</v>
      </c>
      <c r="C587" s="36" t="str">
        <f aca="false">IF(Raw_Export!$A587="","",IFERROR(VLOOKUP(LOWER(TRIM(Raw_Export!C587)),Maps!$A$2:$B$20,2,FALSE()),"UNMAPPED"))</f>
        <v>Westlands</v>
      </c>
      <c r="D587" s="36" t="str">
        <f aca="false">IF(Raw_Export!$A587="","",IFERROR(VLOOKUP(LOWER(TRIM(Raw_Export!D587)),Maps!$G$2:$I$80,2,FALSE()),"UNMAPPED"))</f>
        <v>Bottled Water 1.5L</v>
      </c>
      <c r="E587" s="36" t="str">
        <f aca="false">IF(Raw_Export!$A587="","",IFERROR(VLOOKUP(LOWER(TRIM(Raw_Export!D587)),Maps!$G$2:$I$80,3,FALSE()),"UNMAPPED"))</f>
        <v>Beverages</v>
      </c>
      <c r="F587" s="36" t="n">
        <f aca="false">IF(Raw_Export!$A587="","",IFERROR(VALUE(TRIM(Raw_Export!E587)),0))</f>
        <v>4</v>
      </c>
      <c r="G587" s="38" t="n">
        <f aca="false">IF(Raw_Export!$A587="","",IFERROR(VALUE(SUBSTITUTE(SUBSTITUTE(UPPER(TRIM(Raw_Export!F587)),"KES",""),",","")),0))</f>
        <v>90</v>
      </c>
      <c r="H587" s="38" t="n">
        <f aca="false">IF(Raw_Export!$A587="","",F587*G587)</f>
        <v>360</v>
      </c>
      <c r="I587" s="36" t="str">
        <f aca="false">IF(Raw_Export!$A587="","",IFERROR(VLOOKUP(LOWER(TRIM(Raw_Export!H587)),Maps!$D$2:$E$12,2,FALSE()),"Other"))</f>
        <v>Cash</v>
      </c>
      <c r="J587" s="36" t="str">
        <f aca="false">IF(Raw_Export!$A587="","",IF(COUNTIF($A$2:A587,A587)&gt;1,"Duplicate",""))</f>
        <v/>
      </c>
      <c r="K587" s="36" t="str">
        <f aca="false">IF(Raw_Export!$A587="","",IF(J587="Duplicate","Duplicate",IF(OR(C587="UNMAPPED",D587="UNMAPPED"),"Unmapped",IF(F587=0,"Blank qty",IF(F587&lt;0,"Return","OK")))))</f>
        <v>OK</v>
      </c>
      <c r="L587" s="36" t="n">
        <f aca="false">IF(Raw_Export!$A587="","",IF(OR(K587="OK",K587="Return"),1,0))</f>
        <v>1</v>
      </c>
      <c r="M587" s="37" t="n">
        <f aca="false">IF(Raw_Export!$A587="","",B587-WEEKDAY(B587,2)+1)</f>
        <v>46265</v>
      </c>
    </row>
    <row r="588" customFormat="false" ht="15" hidden="false" customHeight="false" outlineLevel="0" collapsed="false">
      <c r="A588" s="36" t="str">
        <f aca="false">IF(Raw_Export!$A588="","",TRIM(Raw_Export!A588))</f>
        <v>TXN-100575</v>
      </c>
      <c r="B588" s="37" t="n">
        <f aca="false">IF(Raw_Export!$A588="","",IF(ISNUMBER(Raw_Export!B588),Raw_Export!B588,IF(MID(TRIM(Raw_Export!B588),5,1)="-",DATE(LEFT(TRIM(Raw_Export!B588),4),MID(TRIM(Raw_Export!B588),6,2),RIGHT(TRIM(Raw_Export!B588),2)),DATE(RIGHT(TRIM(Raw_Export!B588),4),MATCH(MID(TRIM(Raw_Export!B588),4,3),{"Jan","Feb","Mar","Apr","May","Jun","Jul","Aug","Sep","Oct","Nov","Dec"},0),LEFT(TRIM(Raw_Export!B588),2)))))</f>
        <v>46269</v>
      </c>
      <c r="C588" s="36" t="str">
        <f aca="false">IF(Raw_Export!$A588="","",IFERROR(VLOOKUP(LOWER(TRIM(Raw_Export!C588)),Maps!$A$2:$B$20,2,FALSE()),"UNMAPPED"))</f>
        <v>Westlands</v>
      </c>
      <c r="D588" s="36" t="str">
        <f aca="false">IF(Raw_Export!$A588="","",IFERROR(VLOOKUP(LOWER(TRIM(Raw_Export!D588)),Maps!$G$2:$I$80,2,FALSE()),"UNMAPPED"))</f>
        <v>Spaghetti 400g</v>
      </c>
      <c r="E588" s="36" t="str">
        <f aca="false">IF(Raw_Export!$A588="","",IFERROR(VLOOKUP(LOWER(TRIM(Raw_Export!D588)),Maps!$G$2:$I$80,3,FALSE()),"UNMAPPED"))</f>
        <v>Staples</v>
      </c>
      <c r="F588" s="36" t="n">
        <f aca="false">IF(Raw_Export!$A588="","",IFERROR(VALUE(TRIM(Raw_Export!E588)),0))</f>
        <v>6</v>
      </c>
      <c r="G588" s="38" t="n">
        <f aca="false">IF(Raw_Export!$A588="","",IFERROR(VALUE(SUBSTITUTE(SUBSTITUTE(UPPER(TRIM(Raw_Export!F588)),"KES",""),",","")),0))</f>
        <v>99</v>
      </c>
      <c r="H588" s="38" t="n">
        <f aca="false">IF(Raw_Export!$A588="","",F588*G588)</f>
        <v>594</v>
      </c>
      <c r="I588" s="36" t="str">
        <f aca="false">IF(Raw_Export!$A588="","",IFERROR(VLOOKUP(LOWER(TRIM(Raw_Export!H588)),Maps!$D$2:$E$12,2,FALSE()),"Other"))</f>
        <v>Card</v>
      </c>
      <c r="J588" s="36" t="str">
        <f aca="false">IF(Raw_Export!$A588="","",IF(COUNTIF($A$2:A588,A588)&gt;1,"Duplicate",""))</f>
        <v/>
      </c>
      <c r="K588" s="36" t="str">
        <f aca="false">IF(Raw_Export!$A588="","",IF(J588="Duplicate","Duplicate",IF(OR(C588="UNMAPPED",D588="UNMAPPED"),"Unmapped",IF(F588=0,"Blank qty",IF(F588&lt;0,"Return","OK")))))</f>
        <v>OK</v>
      </c>
      <c r="L588" s="36" t="n">
        <f aca="false">IF(Raw_Export!$A588="","",IF(OR(K588="OK",K588="Return"),1,0))</f>
        <v>1</v>
      </c>
      <c r="M588" s="37" t="n">
        <f aca="false">IF(Raw_Export!$A588="","",B588-WEEKDAY(B588,2)+1)</f>
        <v>46265</v>
      </c>
    </row>
    <row r="589" customFormat="false" ht="15" hidden="false" customHeight="false" outlineLevel="0" collapsed="false">
      <c r="A589" s="36" t="str">
        <f aca="false">IF(Raw_Export!$A589="","",TRIM(Raw_Export!A589))</f>
        <v>TXN-100576</v>
      </c>
      <c r="B589" s="37" t="n">
        <f aca="false">IF(Raw_Export!$A589="","",IF(ISNUMBER(Raw_Export!B589),Raw_Export!B589,IF(MID(TRIM(Raw_Export!B589),5,1)="-",DATE(LEFT(TRIM(Raw_Export!B589),4),MID(TRIM(Raw_Export!B589),6,2),RIGHT(TRIM(Raw_Export!B589),2)),DATE(RIGHT(TRIM(Raw_Export!B589),4),MATCH(MID(TRIM(Raw_Export!B589),4,3),{"Jan","Feb","Mar","Apr","May","Jun","Jul","Aug","Sep","Oct","Nov","Dec"},0),LEFT(TRIM(Raw_Export!B589),2)))))</f>
        <v>46269</v>
      </c>
      <c r="C589" s="36" t="str">
        <f aca="false">IF(Raw_Export!$A589="","",IFERROR(VLOOKUP(LOWER(TRIM(Raw_Export!C589)),Maps!$A$2:$B$20,2,FALSE()),"UNMAPPED"))</f>
        <v>Westlands</v>
      </c>
      <c r="D589" s="36" t="str">
        <f aca="false">IF(Raw_Export!$A589="","",IFERROR(VLOOKUP(LOWER(TRIM(Raw_Export!D589)),Maps!$G$2:$I$80,2,FALSE()),"UNMAPPED"))</f>
        <v>Soda 500ml</v>
      </c>
      <c r="E589" s="36" t="str">
        <f aca="false">IF(Raw_Export!$A589="","",IFERROR(VLOOKUP(LOWER(TRIM(Raw_Export!D589)),Maps!$G$2:$I$80,3,FALSE()),"UNMAPPED"))</f>
        <v>Beverages</v>
      </c>
      <c r="F589" s="36" t="n">
        <f aca="false">IF(Raw_Export!$A589="","",IFERROR(VALUE(TRIM(Raw_Export!E589)),0))</f>
        <v>4</v>
      </c>
      <c r="G589" s="38" t="n">
        <f aca="false">IF(Raw_Export!$A589="","",IFERROR(VALUE(SUBSTITUTE(SUBSTITUTE(UPPER(TRIM(Raw_Export!F589)),"KES",""),",","")),0))</f>
        <v>60</v>
      </c>
      <c r="H589" s="38" t="n">
        <f aca="false">IF(Raw_Export!$A589="","",F589*G589)</f>
        <v>240</v>
      </c>
      <c r="I589" s="36" t="str">
        <f aca="false">IF(Raw_Export!$A589="","",IFERROR(VLOOKUP(LOWER(TRIM(Raw_Export!H589)),Maps!$D$2:$E$12,2,FALSE()),"Other"))</f>
        <v>Cash</v>
      </c>
      <c r="J589" s="36" t="str">
        <f aca="false">IF(Raw_Export!$A589="","",IF(COUNTIF($A$2:A589,A589)&gt;1,"Duplicate",""))</f>
        <v/>
      </c>
      <c r="K589" s="36" t="str">
        <f aca="false">IF(Raw_Export!$A589="","",IF(J589="Duplicate","Duplicate",IF(OR(C589="UNMAPPED",D589="UNMAPPED"),"Unmapped",IF(F589=0,"Blank qty",IF(F589&lt;0,"Return","OK")))))</f>
        <v>OK</v>
      </c>
      <c r="L589" s="36" t="n">
        <f aca="false">IF(Raw_Export!$A589="","",IF(OR(K589="OK",K589="Return"),1,0))</f>
        <v>1</v>
      </c>
      <c r="M589" s="37" t="n">
        <f aca="false">IF(Raw_Export!$A589="","",B589-WEEKDAY(B589,2)+1)</f>
        <v>46265</v>
      </c>
    </row>
    <row r="590" customFormat="false" ht="15" hidden="false" customHeight="false" outlineLevel="0" collapsed="false">
      <c r="A590" s="36" t="str">
        <f aca="false">IF(Raw_Export!$A590="","",TRIM(Raw_Export!A590))</f>
        <v>TXN-100577</v>
      </c>
      <c r="B590" s="37" t="n">
        <f aca="false">IF(Raw_Export!$A590="","",IF(ISNUMBER(Raw_Export!B590),Raw_Export!B590,IF(MID(TRIM(Raw_Export!B590),5,1)="-",DATE(LEFT(TRIM(Raw_Export!B590),4),MID(TRIM(Raw_Export!B590),6,2),RIGHT(TRIM(Raw_Export!B590),2)),DATE(RIGHT(TRIM(Raw_Export!B590),4),MATCH(MID(TRIM(Raw_Export!B590),4,3),{"Jan","Feb","Mar","Apr","May","Jun","Jul","Aug","Sep","Oct","Nov","Dec"},0),LEFT(TRIM(Raw_Export!B590),2)))))</f>
        <v>46269</v>
      </c>
      <c r="C590" s="36" t="str">
        <f aca="false">IF(Raw_Export!$A590="","",IFERROR(VLOOKUP(LOWER(TRIM(Raw_Export!C590)),Maps!$A$2:$B$20,2,FALSE()),"UNMAPPED"))</f>
        <v>Westlands</v>
      </c>
      <c r="D590" s="36" t="str">
        <f aca="false">IF(Raw_Export!$A590="","",IFERROR(VLOOKUP(LOWER(TRIM(Raw_Export!D590)),Maps!$G$2:$I$80,2,FALSE()),"UNMAPPED"))</f>
        <v>Cooking Oil 1L</v>
      </c>
      <c r="E590" s="36" t="str">
        <f aca="false">IF(Raw_Export!$A590="","",IFERROR(VLOOKUP(LOWER(TRIM(Raw_Export!D590)),Maps!$G$2:$I$80,3,FALSE()),"UNMAPPED"))</f>
        <v>Staples</v>
      </c>
      <c r="F590" s="36" t="n">
        <f aca="false">IF(Raw_Export!$A590="","",IFERROR(VALUE(TRIM(Raw_Export!E590)),0))</f>
        <v>1</v>
      </c>
      <c r="G590" s="38" t="n">
        <f aca="false">IF(Raw_Export!$A590="","",IFERROR(VALUE(SUBSTITUTE(SUBSTITUTE(UPPER(TRIM(Raw_Export!F590)),"KES",""),",","")),0))</f>
        <v>330</v>
      </c>
      <c r="H590" s="38" t="n">
        <f aca="false">IF(Raw_Export!$A590="","",F590*G590)</f>
        <v>330</v>
      </c>
      <c r="I590" s="36" t="str">
        <f aca="false">IF(Raw_Export!$A590="","",IFERROR(VLOOKUP(LOWER(TRIM(Raw_Export!H590)),Maps!$D$2:$E$12,2,FALSE()),"Other"))</f>
        <v>Card</v>
      </c>
      <c r="J590" s="36" t="str">
        <f aca="false">IF(Raw_Export!$A590="","",IF(COUNTIF($A$2:A590,A590)&gt;1,"Duplicate",""))</f>
        <v/>
      </c>
      <c r="K590" s="36" t="str">
        <f aca="false">IF(Raw_Export!$A590="","",IF(J590="Duplicate","Duplicate",IF(OR(C590="UNMAPPED",D590="UNMAPPED"),"Unmapped",IF(F590=0,"Blank qty",IF(F590&lt;0,"Return","OK")))))</f>
        <v>OK</v>
      </c>
      <c r="L590" s="36" t="n">
        <f aca="false">IF(Raw_Export!$A590="","",IF(OR(K590="OK",K590="Return"),1,0))</f>
        <v>1</v>
      </c>
      <c r="M590" s="37" t="n">
        <f aca="false">IF(Raw_Export!$A590="","",B590-WEEKDAY(B590,2)+1)</f>
        <v>46265</v>
      </c>
    </row>
    <row r="591" customFormat="false" ht="15" hidden="false" customHeight="false" outlineLevel="0" collapsed="false">
      <c r="A591" s="36" t="str">
        <f aca="false">IF(Raw_Export!$A591="","",TRIM(Raw_Export!A591))</f>
        <v>TXN-101438</v>
      </c>
      <c r="B591" s="37" t="n">
        <f aca="false">IF(Raw_Export!$A591="","",IF(ISNUMBER(Raw_Export!B591),Raw_Export!B591,IF(MID(TRIM(Raw_Export!B591),5,1)="-",DATE(LEFT(TRIM(Raw_Export!B591),4),MID(TRIM(Raw_Export!B591),6,2),RIGHT(TRIM(Raw_Export!B591),2)),DATE(RIGHT(TRIM(Raw_Export!B591),4),MATCH(MID(TRIM(Raw_Export!B591),4,3),{"Jan","Feb","Mar","Apr","May","Jun","Jul","Aug","Sep","Oct","Nov","Dec"},0),LEFT(TRIM(Raw_Export!B591),2)))))</f>
        <v>46274</v>
      </c>
      <c r="C591" s="36" t="str">
        <f aca="false">IF(Raw_Export!$A591="","",IFERROR(VLOOKUP(LOWER(TRIM(Raw_Export!C591)),Maps!$A$2:$B$20,2,FALSE()),"UNMAPPED"))</f>
        <v>Nakuru</v>
      </c>
      <c r="D591" s="36" t="str">
        <f aca="false">IF(Raw_Export!$A591="","",IFERROR(VLOOKUP(LOWER(TRIM(Raw_Export!D591)),Maps!$G$2:$I$80,2,FALSE()),"UNMAPPED"))</f>
        <v>Bath Soap 175g</v>
      </c>
      <c r="E591" s="36" t="str">
        <f aca="false">IF(Raw_Export!$A591="","",IFERROR(VLOOKUP(LOWER(TRIM(Raw_Export!D591)),Maps!$G$2:$I$80,3,FALSE()),"UNMAPPED"))</f>
        <v>Personal Care</v>
      </c>
      <c r="F591" s="36" t="n">
        <f aca="false">IF(Raw_Export!$A591="","",IFERROR(VALUE(TRIM(Raw_Export!E591)),0))</f>
        <v>4</v>
      </c>
      <c r="G591" s="38" t="n">
        <f aca="false">IF(Raw_Export!$A591="","",IFERROR(VALUE(SUBSTITUTE(SUBSTITUTE(UPPER(TRIM(Raw_Export!F591)),"KES",""),",","")),0))</f>
        <v>85</v>
      </c>
      <c r="H591" s="38" t="n">
        <f aca="false">IF(Raw_Export!$A591="","",F591*G591)</f>
        <v>340</v>
      </c>
      <c r="I591" s="36" t="str">
        <f aca="false">IF(Raw_Export!$A591="","",IFERROR(VLOOKUP(LOWER(TRIM(Raw_Export!H591)),Maps!$D$2:$E$12,2,FALSE()),"Other"))</f>
        <v>M-Pesa</v>
      </c>
      <c r="J591" s="36" t="str">
        <f aca="false">IF(Raw_Export!$A591="","",IF(COUNTIF($A$2:A591,A591)&gt;1,"Duplicate",""))</f>
        <v/>
      </c>
      <c r="K591" s="36" t="str">
        <f aca="false">IF(Raw_Export!$A591="","",IF(J591="Duplicate","Duplicate",IF(OR(C591="UNMAPPED",D591="UNMAPPED"),"Unmapped",IF(F591=0,"Blank qty",IF(F591&lt;0,"Return","OK")))))</f>
        <v>OK</v>
      </c>
      <c r="L591" s="36" t="n">
        <f aca="false">IF(Raw_Export!$A591="","",IF(OR(K591="OK",K591="Return"),1,0))</f>
        <v>1</v>
      </c>
      <c r="M591" s="37" t="n">
        <f aca="false">IF(Raw_Export!$A591="","",B591-WEEKDAY(B591,2)+1)</f>
        <v>46272</v>
      </c>
    </row>
    <row r="592" customFormat="false" ht="15" hidden="false" customHeight="false" outlineLevel="0" collapsed="false">
      <c r="A592" s="36" t="str">
        <f aca="false">IF(Raw_Export!$A592="","",TRIM(Raw_Export!A592))</f>
        <v>TXN-100578</v>
      </c>
      <c r="B592" s="37" t="n">
        <f aca="false">IF(Raw_Export!$A592="","",IF(ISNUMBER(Raw_Export!B592),Raw_Export!B592,IF(MID(TRIM(Raw_Export!B592),5,1)="-",DATE(LEFT(TRIM(Raw_Export!B592),4),MID(TRIM(Raw_Export!B592),6,2),RIGHT(TRIM(Raw_Export!B592),2)),DATE(RIGHT(TRIM(Raw_Export!B592),4),MATCH(MID(TRIM(Raw_Export!B592),4,3),{"Jan","Feb","Mar","Apr","May","Jun","Jul","Aug","Sep","Oct","Nov","Dec"},0),LEFT(TRIM(Raw_Export!B592),2)))))</f>
        <v>46269</v>
      </c>
      <c r="C592" s="36" t="str">
        <f aca="false">IF(Raw_Export!$A592="","",IFERROR(VLOOKUP(LOWER(TRIM(Raw_Export!C592)),Maps!$A$2:$B$20,2,FALSE()),"UNMAPPED"))</f>
        <v>Westlands</v>
      </c>
      <c r="D592" s="36" t="str">
        <f aca="false">IF(Raw_Export!$A592="","",IFERROR(VLOOKUP(LOWER(TRIM(Raw_Export!D592)),Maps!$G$2:$I$80,2,FALSE()),"UNMAPPED"))</f>
        <v>Fresh Milk 500ml</v>
      </c>
      <c r="E592" s="36" t="str">
        <f aca="false">IF(Raw_Export!$A592="","",IFERROR(VLOOKUP(LOWER(TRIM(Raw_Export!D592)),Maps!$G$2:$I$80,3,FALSE()),"UNMAPPED"))</f>
        <v>Dairy &amp; Eggs</v>
      </c>
      <c r="F592" s="36" t="n">
        <f aca="false">IF(Raw_Export!$A592="","",IFERROR(VALUE(TRIM(Raw_Export!E592)),0))</f>
        <v>2</v>
      </c>
      <c r="G592" s="38" t="n">
        <f aca="false">IF(Raw_Export!$A592="","",IFERROR(VALUE(SUBSTITUTE(SUBSTITUTE(UPPER(TRIM(Raw_Export!F592)),"KES",""),",","")),0))</f>
        <v>65</v>
      </c>
      <c r="H592" s="38" t="n">
        <f aca="false">IF(Raw_Export!$A592="","",F592*G592)</f>
        <v>130</v>
      </c>
      <c r="I592" s="36" t="str">
        <f aca="false">IF(Raw_Export!$A592="","",IFERROR(VLOOKUP(LOWER(TRIM(Raw_Export!H592)),Maps!$D$2:$E$12,2,FALSE()),"Other"))</f>
        <v>Cash</v>
      </c>
      <c r="J592" s="36" t="str">
        <f aca="false">IF(Raw_Export!$A592="","",IF(COUNTIF($A$2:A592,A592)&gt;1,"Duplicate",""))</f>
        <v/>
      </c>
      <c r="K592" s="36" t="str">
        <f aca="false">IF(Raw_Export!$A592="","",IF(J592="Duplicate","Duplicate",IF(OR(C592="UNMAPPED",D592="UNMAPPED"),"Unmapped",IF(F592=0,"Blank qty",IF(F592&lt;0,"Return","OK")))))</f>
        <v>OK</v>
      </c>
      <c r="L592" s="36" t="n">
        <f aca="false">IF(Raw_Export!$A592="","",IF(OR(K592="OK",K592="Return"),1,0))</f>
        <v>1</v>
      </c>
      <c r="M592" s="37" t="n">
        <f aca="false">IF(Raw_Export!$A592="","",B592-WEEKDAY(B592,2)+1)</f>
        <v>46265</v>
      </c>
    </row>
    <row r="593" customFormat="false" ht="15" hidden="false" customHeight="false" outlineLevel="0" collapsed="false">
      <c r="A593" s="36" t="str">
        <f aca="false">IF(Raw_Export!$A593="","",TRIM(Raw_Export!A593))</f>
        <v>TXN-100579</v>
      </c>
      <c r="B593" s="37" t="n">
        <f aca="false">IF(Raw_Export!$A593="","",IF(ISNUMBER(Raw_Export!B593),Raw_Export!B593,IF(MID(TRIM(Raw_Export!B593),5,1)="-",DATE(LEFT(TRIM(Raw_Export!B593),4),MID(TRIM(Raw_Export!B593),6,2),RIGHT(TRIM(Raw_Export!B593),2)),DATE(RIGHT(TRIM(Raw_Export!B593),4),MATCH(MID(TRIM(Raw_Export!B593),4,3),{"Jan","Feb","Mar","Apr","May","Jun","Jul","Aug","Sep","Oct","Nov","Dec"},0),LEFT(TRIM(Raw_Export!B593),2)))))</f>
        <v>46269</v>
      </c>
      <c r="C593" s="36" t="str">
        <f aca="false">IF(Raw_Export!$A593="","",IFERROR(VLOOKUP(LOWER(TRIM(Raw_Export!C593)),Maps!$A$2:$B$20,2,FALSE()),"UNMAPPED"))</f>
        <v>Westlands</v>
      </c>
      <c r="D593" s="36" t="str">
        <f aca="false">IF(Raw_Export!$A593="","",IFERROR(VLOOKUP(LOWER(TRIM(Raw_Export!D593)),Maps!$G$2:$I$80,2,FALSE()),"UNMAPPED"))</f>
        <v>Deodorant 150ml</v>
      </c>
      <c r="E593" s="36" t="str">
        <f aca="false">IF(Raw_Export!$A593="","",IFERROR(VLOOKUP(LOWER(TRIM(Raw_Export!D593)),Maps!$G$2:$I$80,3,FALSE()),"UNMAPPED"))</f>
        <v>Personal Care</v>
      </c>
      <c r="F593" s="36" t="n">
        <f aca="false">IF(Raw_Export!$A593="","",IFERROR(VALUE(TRIM(Raw_Export!E593)),0))</f>
        <v>2</v>
      </c>
      <c r="G593" s="38" t="n">
        <f aca="false">IF(Raw_Export!$A593="","",IFERROR(VALUE(SUBSTITUTE(SUBSTITUTE(UPPER(TRIM(Raw_Export!F593)),"KES",""),",","")),0))</f>
        <v>350</v>
      </c>
      <c r="H593" s="38" t="n">
        <f aca="false">IF(Raw_Export!$A593="","",F593*G593)</f>
        <v>700</v>
      </c>
      <c r="I593" s="36" t="str">
        <f aca="false">IF(Raw_Export!$A593="","",IFERROR(VLOOKUP(LOWER(TRIM(Raw_Export!H593)),Maps!$D$2:$E$12,2,FALSE()),"Other"))</f>
        <v>Cash</v>
      </c>
      <c r="J593" s="36" t="str">
        <f aca="false">IF(Raw_Export!$A593="","",IF(COUNTIF($A$2:A593,A593)&gt;1,"Duplicate",""))</f>
        <v/>
      </c>
      <c r="K593" s="36" t="str">
        <f aca="false">IF(Raw_Export!$A593="","",IF(J593="Duplicate","Duplicate",IF(OR(C593="UNMAPPED",D593="UNMAPPED"),"Unmapped",IF(F593=0,"Blank qty",IF(F593&lt;0,"Return","OK")))))</f>
        <v>OK</v>
      </c>
      <c r="L593" s="36" t="n">
        <f aca="false">IF(Raw_Export!$A593="","",IF(OR(K593="OK",K593="Return"),1,0))</f>
        <v>1</v>
      </c>
      <c r="M593" s="37" t="n">
        <f aca="false">IF(Raw_Export!$A593="","",B593-WEEKDAY(B593,2)+1)</f>
        <v>46265</v>
      </c>
    </row>
    <row r="594" customFormat="false" ht="15" hidden="false" customHeight="false" outlineLevel="0" collapsed="false">
      <c r="A594" s="36" t="str">
        <f aca="false">IF(Raw_Export!$A594="","",TRIM(Raw_Export!A594))</f>
        <v>TXN-100580</v>
      </c>
      <c r="B594" s="37" t="n">
        <f aca="false">IF(Raw_Export!$A594="","",IF(ISNUMBER(Raw_Export!B594),Raw_Export!B594,IF(MID(TRIM(Raw_Export!B594),5,1)="-",DATE(LEFT(TRIM(Raw_Export!B594),4),MID(TRIM(Raw_Export!B594),6,2),RIGHT(TRIM(Raw_Export!B594),2)),DATE(RIGHT(TRIM(Raw_Export!B594),4),MATCH(MID(TRIM(Raw_Export!B594),4,3),{"Jan","Feb","Mar","Apr","May","Jun","Jul","Aug","Sep","Oct","Nov","Dec"},0),LEFT(TRIM(Raw_Export!B594),2)))))</f>
        <v>46269</v>
      </c>
      <c r="C594" s="36" t="str">
        <f aca="false">IF(Raw_Export!$A594="","",IFERROR(VLOOKUP(LOWER(TRIM(Raw_Export!C594)),Maps!$A$2:$B$20,2,FALSE()),"UNMAPPED"))</f>
        <v>Westlands</v>
      </c>
      <c r="D594" s="36" t="str">
        <f aca="false">IF(Raw_Export!$A594="","",IFERROR(VLOOKUP(LOWER(TRIM(Raw_Export!D594)),Maps!$G$2:$I$80,2,FALSE()),"UNMAPPED"))</f>
        <v>Soda 500ml</v>
      </c>
      <c r="E594" s="36" t="str">
        <f aca="false">IF(Raw_Export!$A594="","",IFERROR(VLOOKUP(LOWER(TRIM(Raw_Export!D594)),Maps!$G$2:$I$80,3,FALSE()),"UNMAPPED"))</f>
        <v>Beverages</v>
      </c>
      <c r="F594" s="36" t="n">
        <f aca="false">IF(Raw_Export!$A594="","",IFERROR(VALUE(TRIM(Raw_Export!E594)),0))</f>
        <v>2</v>
      </c>
      <c r="G594" s="38" t="n">
        <f aca="false">IF(Raw_Export!$A594="","",IFERROR(VALUE(SUBSTITUTE(SUBSTITUTE(UPPER(TRIM(Raw_Export!F594)),"KES",""),",","")),0))</f>
        <v>60</v>
      </c>
      <c r="H594" s="38" t="n">
        <f aca="false">IF(Raw_Export!$A594="","",F594*G594)</f>
        <v>120</v>
      </c>
      <c r="I594" s="36" t="str">
        <f aca="false">IF(Raw_Export!$A594="","",IFERROR(VLOOKUP(LOWER(TRIM(Raw_Export!H594)),Maps!$D$2:$E$12,2,FALSE()),"Other"))</f>
        <v>Cash</v>
      </c>
      <c r="J594" s="36" t="str">
        <f aca="false">IF(Raw_Export!$A594="","",IF(COUNTIF($A$2:A594,A594)&gt;1,"Duplicate",""))</f>
        <v/>
      </c>
      <c r="K594" s="36" t="str">
        <f aca="false">IF(Raw_Export!$A594="","",IF(J594="Duplicate","Duplicate",IF(OR(C594="UNMAPPED",D594="UNMAPPED"),"Unmapped",IF(F594=0,"Blank qty",IF(F594&lt;0,"Return","OK")))))</f>
        <v>OK</v>
      </c>
      <c r="L594" s="36" t="n">
        <f aca="false">IF(Raw_Export!$A594="","",IF(OR(K594="OK",K594="Return"),1,0))</f>
        <v>1</v>
      </c>
      <c r="M594" s="37" t="n">
        <f aca="false">IF(Raw_Export!$A594="","",B594-WEEKDAY(B594,2)+1)</f>
        <v>46265</v>
      </c>
    </row>
    <row r="595" customFormat="false" ht="15" hidden="false" customHeight="false" outlineLevel="0" collapsed="false">
      <c r="A595" s="36" t="str">
        <f aca="false">IF(Raw_Export!$A595="","",TRIM(Raw_Export!A595))</f>
        <v>TXN-100581</v>
      </c>
      <c r="B595" s="37" t="n">
        <f aca="false">IF(Raw_Export!$A595="","",IF(ISNUMBER(Raw_Export!B595),Raw_Export!B595,IF(MID(TRIM(Raw_Export!B595),5,1)="-",DATE(LEFT(TRIM(Raw_Export!B595),4),MID(TRIM(Raw_Export!B595),6,2),RIGHT(TRIM(Raw_Export!B595),2)),DATE(RIGHT(TRIM(Raw_Export!B595),4),MATCH(MID(TRIM(Raw_Export!B595),4,3),{"Jan","Feb","Mar","Apr","May","Jun","Jul","Aug","Sep","Oct","Nov","Dec"},0),LEFT(TRIM(Raw_Export!B595),2)))))</f>
        <v>46269</v>
      </c>
      <c r="C595" s="36" t="str">
        <f aca="false">IF(Raw_Export!$A595="","",IFERROR(VLOOKUP(LOWER(TRIM(Raw_Export!C595)),Maps!$A$2:$B$20,2,FALSE()),"UNMAPPED"))</f>
        <v>Westlands</v>
      </c>
      <c r="D595" s="36" t="str">
        <f aca="false">IF(Raw_Export!$A595="","",IFERROR(VLOOKUP(LOWER(TRIM(Raw_Export!D595)),Maps!$G$2:$I$80,2,FALSE()),"UNMAPPED"))</f>
        <v>Deodorant 150ml</v>
      </c>
      <c r="E595" s="36" t="str">
        <f aca="false">IF(Raw_Export!$A595="","",IFERROR(VLOOKUP(LOWER(TRIM(Raw_Export!D595)),Maps!$G$2:$I$80,3,FALSE()),"UNMAPPED"))</f>
        <v>Personal Care</v>
      </c>
      <c r="F595" s="36" t="n">
        <f aca="false">IF(Raw_Export!$A595="","",IFERROR(VALUE(TRIM(Raw_Export!E595)),0))</f>
        <v>6</v>
      </c>
      <c r="G595" s="38" t="n">
        <f aca="false">IF(Raw_Export!$A595="","",IFERROR(VALUE(SUBSTITUTE(SUBSTITUTE(UPPER(TRIM(Raw_Export!F595)),"KES",""),",","")),0))</f>
        <v>350</v>
      </c>
      <c r="H595" s="38" t="n">
        <f aca="false">IF(Raw_Export!$A595="","",F595*G595)</f>
        <v>2100</v>
      </c>
      <c r="I595" s="36" t="str">
        <f aca="false">IF(Raw_Export!$A595="","",IFERROR(VLOOKUP(LOWER(TRIM(Raw_Export!H595)),Maps!$D$2:$E$12,2,FALSE()),"Other"))</f>
        <v>M-Pesa</v>
      </c>
      <c r="J595" s="36" t="str">
        <f aca="false">IF(Raw_Export!$A595="","",IF(COUNTIF($A$2:A595,A595)&gt;1,"Duplicate",""))</f>
        <v/>
      </c>
      <c r="K595" s="36" t="str">
        <f aca="false">IF(Raw_Export!$A595="","",IF(J595="Duplicate","Duplicate",IF(OR(C595="UNMAPPED",D595="UNMAPPED"),"Unmapped",IF(F595=0,"Blank qty",IF(F595&lt;0,"Return","OK")))))</f>
        <v>OK</v>
      </c>
      <c r="L595" s="36" t="n">
        <f aca="false">IF(Raw_Export!$A595="","",IF(OR(K595="OK",K595="Return"),1,0))</f>
        <v>1</v>
      </c>
      <c r="M595" s="37" t="n">
        <f aca="false">IF(Raw_Export!$A595="","",B595-WEEKDAY(B595,2)+1)</f>
        <v>46265</v>
      </c>
    </row>
    <row r="596" customFormat="false" ht="15" hidden="false" customHeight="false" outlineLevel="0" collapsed="false">
      <c r="A596" s="36" t="str">
        <f aca="false">IF(Raw_Export!$A596="","",TRIM(Raw_Export!A596))</f>
        <v>TXN-100582</v>
      </c>
      <c r="B596" s="37" t="n">
        <f aca="false">IF(Raw_Export!$A596="","",IF(ISNUMBER(Raw_Export!B596),Raw_Export!B596,IF(MID(TRIM(Raw_Export!B596),5,1)="-",DATE(LEFT(TRIM(Raw_Export!B596),4),MID(TRIM(Raw_Export!B596),6,2),RIGHT(TRIM(Raw_Export!B596),2)),DATE(RIGHT(TRIM(Raw_Export!B596),4),MATCH(MID(TRIM(Raw_Export!B596),4,3),{"Jan","Feb","Mar","Apr","May","Jun","Jul","Aug","Sep","Oct","Nov","Dec"},0),LEFT(TRIM(Raw_Export!B596),2)))))</f>
        <v>46269</v>
      </c>
      <c r="C596" s="36" t="str">
        <f aca="false">IF(Raw_Export!$A596="","",IFERROR(VLOOKUP(LOWER(TRIM(Raw_Export!C596)),Maps!$A$2:$B$20,2,FALSE()),"UNMAPPED"))</f>
        <v>Westlands</v>
      </c>
      <c r="D596" s="36" t="str">
        <f aca="false">IF(Raw_Export!$A596="","",IFERROR(VLOOKUP(LOWER(TRIM(Raw_Export!D596)),Maps!$G$2:$I$80,2,FALSE()),"UNMAPPED"))</f>
        <v>Soda 500ml</v>
      </c>
      <c r="E596" s="36" t="str">
        <f aca="false">IF(Raw_Export!$A596="","",IFERROR(VLOOKUP(LOWER(TRIM(Raw_Export!D596)),Maps!$G$2:$I$80,3,FALSE()),"UNMAPPED"))</f>
        <v>Beverages</v>
      </c>
      <c r="F596" s="36" t="n">
        <f aca="false">IF(Raw_Export!$A596="","",IFERROR(VALUE(TRIM(Raw_Export!E596)),0))</f>
        <v>3</v>
      </c>
      <c r="G596" s="38" t="n">
        <f aca="false">IF(Raw_Export!$A596="","",IFERROR(VALUE(SUBSTITUTE(SUBSTITUTE(UPPER(TRIM(Raw_Export!F596)),"KES",""),",","")),0))</f>
        <v>60</v>
      </c>
      <c r="H596" s="38" t="n">
        <f aca="false">IF(Raw_Export!$A596="","",F596*G596)</f>
        <v>180</v>
      </c>
      <c r="I596" s="36" t="str">
        <f aca="false">IF(Raw_Export!$A596="","",IFERROR(VLOOKUP(LOWER(TRIM(Raw_Export!H596)),Maps!$D$2:$E$12,2,FALSE()),"Other"))</f>
        <v>Card</v>
      </c>
      <c r="J596" s="36" t="str">
        <f aca="false">IF(Raw_Export!$A596="","",IF(COUNTIF($A$2:A596,A596)&gt;1,"Duplicate",""))</f>
        <v/>
      </c>
      <c r="K596" s="36" t="str">
        <f aca="false">IF(Raw_Export!$A596="","",IF(J596="Duplicate","Duplicate",IF(OR(C596="UNMAPPED",D596="UNMAPPED"),"Unmapped",IF(F596=0,"Blank qty",IF(F596&lt;0,"Return","OK")))))</f>
        <v>OK</v>
      </c>
      <c r="L596" s="36" t="n">
        <f aca="false">IF(Raw_Export!$A596="","",IF(OR(K596="OK",K596="Return"),1,0))</f>
        <v>1</v>
      </c>
      <c r="M596" s="37" t="n">
        <f aca="false">IF(Raw_Export!$A596="","",B596-WEEKDAY(B596,2)+1)</f>
        <v>46265</v>
      </c>
    </row>
    <row r="597" customFormat="false" ht="15" hidden="false" customHeight="false" outlineLevel="0" collapsed="false">
      <c r="A597" s="36" t="str">
        <f aca="false">IF(Raw_Export!$A597="","",TRIM(Raw_Export!A597))</f>
        <v>TXN-100583</v>
      </c>
      <c r="B597" s="37" t="n">
        <f aca="false">IF(Raw_Export!$A597="","",IF(ISNUMBER(Raw_Export!B597),Raw_Export!B597,IF(MID(TRIM(Raw_Export!B597),5,1)="-",DATE(LEFT(TRIM(Raw_Export!B597),4),MID(TRIM(Raw_Export!B597),6,2),RIGHT(TRIM(Raw_Export!B597),2)),DATE(RIGHT(TRIM(Raw_Export!B597),4),MATCH(MID(TRIM(Raw_Export!B597),4,3),{"Jan","Feb","Mar","Apr","May","Jun","Jul","Aug","Sep","Oct","Nov","Dec"},0),LEFT(TRIM(Raw_Export!B597),2)))))</f>
        <v>46269</v>
      </c>
      <c r="C597" s="36" t="str">
        <f aca="false">IF(Raw_Export!$A597="","",IFERROR(VLOOKUP(LOWER(TRIM(Raw_Export!C597)),Maps!$A$2:$B$20,2,FALSE()),"UNMAPPED"))</f>
        <v>Westlands</v>
      </c>
      <c r="D597" s="36" t="str">
        <f aca="false">IF(Raw_Export!$A597="","",IFERROR(VLOOKUP(LOWER(TRIM(Raw_Export!D597)),Maps!$G$2:$I$80,2,FALSE()),"UNMAPPED"))</f>
        <v>Peanuts 250g</v>
      </c>
      <c r="E597" s="36" t="str">
        <f aca="false">IF(Raw_Export!$A597="","",IFERROR(VLOOKUP(LOWER(TRIM(Raw_Export!D597)),Maps!$G$2:$I$80,3,FALSE()),"UNMAPPED"))</f>
        <v>Snacks</v>
      </c>
      <c r="F597" s="36" t="n">
        <f aca="false">IF(Raw_Export!$A597="","",IFERROR(VALUE(TRIM(Raw_Export!E597)),0))</f>
        <v>6</v>
      </c>
      <c r="G597" s="38" t="n">
        <f aca="false">IF(Raw_Export!$A597="","",IFERROR(VALUE(SUBSTITUTE(SUBSTITUTE(UPPER(TRIM(Raw_Export!F597)),"KES",""),",","")),0))</f>
        <v>130</v>
      </c>
      <c r="H597" s="38" t="n">
        <f aca="false">IF(Raw_Export!$A597="","",F597*G597)</f>
        <v>780</v>
      </c>
      <c r="I597" s="36" t="str">
        <f aca="false">IF(Raw_Export!$A597="","",IFERROR(VLOOKUP(LOWER(TRIM(Raw_Export!H597)),Maps!$D$2:$E$12,2,FALSE()),"Other"))</f>
        <v>M-Pesa</v>
      </c>
      <c r="J597" s="36" t="str">
        <f aca="false">IF(Raw_Export!$A597="","",IF(COUNTIF($A$2:A597,A597)&gt;1,"Duplicate",""))</f>
        <v/>
      </c>
      <c r="K597" s="36" t="str">
        <f aca="false">IF(Raw_Export!$A597="","",IF(J597="Duplicate","Duplicate",IF(OR(C597="UNMAPPED",D597="UNMAPPED"),"Unmapped",IF(F597=0,"Blank qty",IF(F597&lt;0,"Return","OK")))))</f>
        <v>OK</v>
      </c>
      <c r="L597" s="36" t="n">
        <f aca="false">IF(Raw_Export!$A597="","",IF(OR(K597="OK",K597="Return"),1,0))</f>
        <v>1</v>
      </c>
      <c r="M597" s="37" t="n">
        <f aca="false">IF(Raw_Export!$A597="","",B597-WEEKDAY(B597,2)+1)</f>
        <v>46265</v>
      </c>
    </row>
    <row r="598" customFormat="false" ht="15" hidden="false" customHeight="false" outlineLevel="0" collapsed="false">
      <c r="A598" s="36" t="str">
        <f aca="false">IF(Raw_Export!$A598="","",TRIM(Raw_Export!A598))</f>
        <v>TXN-100584</v>
      </c>
      <c r="B598" s="37" t="n">
        <f aca="false">IF(Raw_Export!$A598="","",IF(ISNUMBER(Raw_Export!B598),Raw_Export!B598,IF(MID(TRIM(Raw_Export!B598),5,1)="-",DATE(LEFT(TRIM(Raw_Export!B598),4),MID(TRIM(Raw_Export!B598),6,2),RIGHT(TRIM(Raw_Export!B598),2)),DATE(RIGHT(TRIM(Raw_Export!B598),4),MATCH(MID(TRIM(Raw_Export!B598),4,3),{"Jan","Feb","Mar","Apr","May","Jun","Jul","Aug","Sep","Oct","Nov","Dec"},0),LEFT(TRIM(Raw_Export!B598),2)))))</f>
        <v>46269</v>
      </c>
      <c r="C598" s="36" t="str">
        <f aca="false">IF(Raw_Export!$A598="","",IFERROR(VLOOKUP(LOWER(TRIM(Raw_Export!C598)),Maps!$A$2:$B$20,2,FALSE()),"UNMAPPED"))</f>
        <v>Westlands</v>
      </c>
      <c r="D598" s="36" t="str">
        <f aca="false">IF(Raw_Export!$A598="","",IFERROR(VLOOKUP(LOWER(TRIM(Raw_Export!D598)),Maps!$G$2:$I$80,2,FALSE()),"UNMAPPED"))</f>
        <v>Eggs Tray 30</v>
      </c>
      <c r="E598" s="36" t="str">
        <f aca="false">IF(Raw_Export!$A598="","",IFERROR(VLOOKUP(LOWER(TRIM(Raw_Export!D598)),Maps!$G$2:$I$80,3,FALSE()),"UNMAPPED"))</f>
        <v>Dairy &amp; Eggs</v>
      </c>
      <c r="F598" s="36" t="n">
        <f aca="false">IF(Raw_Export!$A598="","",IFERROR(VALUE(TRIM(Raw_Export!E598)),0))</f>
        <v>3</v>
      </c>
      <c r="G598" s="38" t="n">
        <f aca="false">IF(Raw_Export!$A598="","",IFERROR(VALUE(SUBSTITUTE(SUBSTITUTE(UPPER(TRIM(Raw_Export!F598)),"KES",""),",","")),0))</f>
        <v>450</v>
      </c>
      <c r="H598" s="38" t="n">
        <f aca="false">IF(Raw_Export!$A598="","",F598*G598)</f>
        <v>1350</v>
      </c>
      <c r="I598" s="36" t="str">
        <f aca="false">IF(Raw_Export!$A598="","",IFERROR(VLOOKUP(LOWER(TRIM(Raw_Export!H598)),Maps!$D$2:$E$12,2,FALSE()),"Other"))</f>
        <v>M-Pesa</v>
      </c>
      <c r="J598" s="36" t="str">
        <f aca="false">IF(Raw_Export!$A598="","",IF(COUNTIF($A$2:A598,A598)&gt;1,"Duplicate",""))</f>
        <v/>
      </c>
      <c r="K598" s="36" t="str">
        <f aca="false">IF(Raw_Export!$A598="","",IF(J598="Duplicate","Duplicate",IF(OR(C598="UNMAPPED",D598="UNMAPPED"),"Unmapped",IF(F598=0,"Blank qty",IF(F598&lt;0,"Return","OK")))))</f>
        <v>OK</v>
      </c>
      <c r="L598" s="36" t="n">
        <f aca="false">IF(Raw_Export!$A598="","",IF(OR(K598="OK",K598="Return"),1,0))</f>
        <v>1</v>
      </c>
      <c r="M598" s="37" t="n">
        <f aca="false">IF(Raw_Export!$A598="","",B598-WEEKDAY(B598,2)+1)</f>
        <v>46265</v>
      </c>
    </row>
    <row r="599" customFormat="false" ht="15" hidden="false" customHeight="false" outlineLevel="0" collapsed="false">
      <c r="A599" s="36" t="str">
        <f aca="false">IF(Raw_Export!$A599="","",TRIM(Raw_Export!A599))</f>
        <v>TXN-100585</v>
      </c>
      <c r="B599" s="37" t="n">
        <f aca="false">IF(Raw_Export!$A599="","",IF(ISNUMBER(Raw_Export!B599),Raw_Export!B599,IF(MID(TRIM(Raw_Export!B599),5,1)="-",DATE(LEFT(TRIM(Raw_Export!B599),4),MID(TRIM(Raw_Export!B599),6,2),RIGHT(TRIM(Raw_Export!B599),2)),DATE(RIGHT(TRIM(Raw_Export!B599),4),MATCH(MID(TRIM(Raw_Export!B599),4,3),{"Jan","Feb","Mar","Apr","May","Jun","Jul","Aug","Sep","Oct","Nov","Dec"},0),LEFT(TRIM(Raw_Export!B599),2)))))</f>
        <v>46269</v>
      </c>
      <c r="C599" s="36" t="str">
        <f aca="false">IF(Raw_Export!$A599="","",IFERROR(VLOOKUP(LOWER(TRIM(Raw_Export!C599)),Maps!$A$2:$B$20,2,FALSE()),"UNMAPPED"))</f>
        <v>Westlands</v>
      </c>
      <c r="D599" s="36" t="str">
        <f aca="false">IF(Raw_Export!$A599="","",IFERROR(VLOOKUP(LOWER(TRIM(Raw_Export!D599)),Maps!$G$2:$I$80,2,FALSE()),"UNMAPPED"))</f>
        <v>Fresh Milk 500ml</v>
      </c>
      <c r="E599" s="36" t="str">
        <f aca="false">IF(Raw_Export!$A599="","",IFERROR(VLOOKUP(LOWER(TRIM(Raw_Export!D599)),Maps!$G$2:$I$80,3,FALSE()),"UNMAPPED"))</f>
        <v>Dairy &amp; Eggs</v>
      </c>
      <c r="F599" s="36" t="n">
        <f aca="false">IF(Raw_Export!$A599="","",IFERROR(VALUE(TRIM(Raw_Export!E599)),0))</f>
        <v>2</v>
      </c>
      <c r="G599" s="38" t="n">
        <f aca="false">IF(Raw_Export!$A599="","",IFERROR(VALUE(SUBSTITUTE(SUBSTITUTE(UPPER(TRIM(Raw_Export!F599)),"KES",""),",","")),0))</f>
        <v>65</v>
      </c>
      <c r="H599" s="38" t="n">
        <f aca="false">IF(Raw_Export!$A599="","",F599*G599)</f>
        <v>130</v>
      </c>
      <c r="I599" s="36" t="str">
        <f aca="false">IF(Raw_Export!$A599="","",IFERROR(VLOOKUP(LOWER(TRIM(Raw_Export!H599)),Maps!$D$2:$E$12,2,FALSE()),"Other"))</f>
        <v>M-Pesa</v>
      </c>
      <c r="J599" s="36" t="str">
        <f aca="false">IF(Raw_Export!$A599="","",IF(COUNTIF($A$2:A599,A599)&gt;1,"Duplicate",""))</f>
        <v/>
      </c>
      <c r="K599" s="36" t="str">
        <f aca="false">IF(Raw_Export!$A599="","",IF(J599="Duplicate","Duplicate",IF(OR(C599="UNMAPPED",D599="UNMAPPED"),"Unmapped",IF(F599=0,"Blank qty",IF(F599&lt;0,"Return","OK")))))</f>
        <v>OK</v>
      </c>
      <c r="L599" s="36" t="n">
        <f aca="false">IF(Raw_Export!$A599="","",IF(OR(K599="OK",K599="Return"),1,0))</f>
        <v>1</v>
      </c>
      <c r="M599" s="37" t="n">
        <f aca="false">IF(Raw_Export!$A599="","",B599-WEEKDAY(B599,2)+1)</f>
        <v>46265</v>
      </c>
    </row>
    <row r="600" customFormat="false" ht="15" hidden="false" customHeight="false" outlineLevel="0" collapsed="false">
      <c r="A600" s="36" t="str">
        <f aca="false">IF(Raw_Export!$A600="","",TRIM(Raw_Export!A600))</f>
        <v>TXN-100586</v>
      </c>
      <c r="B600" s="37" t="n">
        <f aca="false">IF(Raw_Export!$A600="","",IF(ISNUMBER(Raw_Export!B600),Raw_Export!B600,IF(MID(TRIM(Raw_Export!B600),5,1)="-",DATE(LEFT(TRIM(Raw_Export!B600),4),MID(TRIM(Raw_Export!B600),6,2),RIGHT(TRIM(Raw_Export!B600),2)),DATE(RIGHT(TRIM(Raw_Export!B600),4),MATCH(MID(TRIM(Raw_Export!B600),4,3),{"Jan","Feb","Mar","Apr","May","Jun","Jul","Aug","Sep","Oct","Nov","Dec"},0),LEFT(TRIM(Raw_Export!B600),2)))))</f>
        <v>46269</v>
      </c>
      <c r="C600" s="36" t="str">
        <f aca="false">IF(Raw_Export!$A600="","",IFERROR(VLOOKUP(LOWER(TRIM(Raw_Export!C600)),Maps!$A$2:$B$20,2,FALSE()),"UNMAPPED"))</f>
        <v>Westlands</v>
      </c>
      <c r="D600" s="36" t="str">
        <f aca="false">IF(Raw_Export!$A600="","",IFERROR(VLOOKUP(LOWER(TRIM(Raw_Export!D600)),Maps!$G$2:$I$80,2,FALSE()),"UNMAPPED"))</f>
        <v>Bath Soap 175g</v>
      </c>
      <c r="E600" s="36" t="str">
        <f aca="false">IF(Raw_Export!$A600="","",IFERROR(VLOOKUP(LOWER(TRIM(Raw_Export!D600)),Maps!$G$2:$I$80,3,FALSE()),"UNMAPPED"))</f>
        <v>Personal Care</v>
      </c>
      <c r="F600" s="36" t="n">
        <f aca="false">IF(Raw_Export!$A600="","",IFERROR(VALUE(TRIM(Raw_Export!E600)),0))</f>
        <v>4</v>
      </c>
      <c r="G600" s="38" t="n">
        <f aca="false">IF(Raw_Export!$A600="","",IFERROR(VALUE(SUBSTITUTE(SUBSTITUTE(UPPER(TRIM(Raw_Export!F600)),"KES",""),",","")),0))</f>
        <v>85</v>
      </c>
      <c r="H600" s="38" t="n">
        <f aca="false">IF(Raw_Export!$A600="","",F600*G600)</f>
        <v>340</v>
      </c>
      <c r="I600" s="36" t="str">
        <f aca="false">IF(Raw_Export!$A600="","",IFERROR(VLOOKUP(LOWER(TRIM(Raw_Export!H600)),Maps!$D$2:$E$12,2,FALSE()),"Other"))</f>
        <v>M-Pesa</v>
      </c>
      <c r="J600" s="36" t="str">
        <f aca="false">IF(Raw_Export!$A600="","",IF(COUNTIF($A$2:A600,A600)&gt;1,"Duplicate",""))</f>
        <v/>
      </c>
      <c r="K600" s="36" t="str">
        <f aca="false">IF(Raw_Export!$A600="","",IF(J600="Duplicate","Duplicate",IF(OR(C600="UNMAPPED",D600="UNMAPPED"),"Unmapped",IF(F600=0,"Blank qty",IF(F600&lt;0,"Return","OK")))))</f>
        <v>OK</v>
      </c>
      <c r="L600" s="36" t="n">
        <f aca="false">IF(Raw_Export!$A600="","",IF(OR(K600="OK",K600="Return"),1,0))</f>
        <v>1</v>
      </c>
      <c r="M600" s="37" t="n">
        <f aca="false">IF(Raw_Export!$A600="","",B600-WEEKDAY(B600,2)+1)</f>
        <v>46265</v>
      </c>
    </row>
    <row r="601" customFormat="false" ht="15" hidden="false" customHeight="false" outlineLevel="0" collapsed="false">
      <c r="A601" s="36" t="str">
        <f aca="false">IF(Raw_Export!$A601="","",TRIM(Raw_Export!A601))</f>
        <v>TXN-100587</v>
      </c>
      <c r="B601" s="37" t="n">
        <f aca="false">IF(Raw_Export!$A601="","",IF(ISNUMBER(Raw_Export!B601),Raw_Export!B601,IF(MID(TRIM(Raw_Export!B601),5,1)="-",DATE(LEFT(TRIM(Raw_Export!B601),4),MID(TRIM(Raw_Export!B601),6,2),RIGHT(TRIM(Raw_Export!B601),2)),DATE(RIGHT(TRIM(Raw_Export!B601),4),MATCH(MID(TRIM(Raw_Export!B601),4,3),{"Jan","Feb","Mar","Apr","May","Jun","Jul","Aug","Sep","Oct","Nov","Dec"},0),LEFT(TRIM(Raw_Export!B601),2)))))</f>
        <v>46269</v>
      </c>
      <c r="C601" s="36" t="str">
        <f aca="false">IF(Raw_Export!$A601="","",IFERROR(VLOOKUP(LOWER(TRIM(Raw_Export!C601)),Maps!$A$2:$B$20,2,FALSE()),"UNMAPPED"))</f>
        <v>Westlands</v>
      </c>
      <c r="D601" s="36" t="str">
        <f aca="false">IF(Raw_Export!$A601="","",IFERROR(VLOOKUP(LOWER(TRIM(Raw_Export!D601)),Maps!$G$2:$I$80,2,FALSE()),"UNMAPPED"))</f>
        <v>Soda 500ml</v>
      </c>
      <c r="E601" s="36" t="str">
        <f aca="false">IF(Raw_Export!$A601="","",IFERROR(VLOOKUP(LOWER(TRIM(Raw_Export!D601)),Maps!$G$2:$I$80,3,FALSE()),"UNMAPPED"))</f>
        <v>Beverages</v>
      </c>
      <c r="F601" s="36" t="n">
        <f aca="false">IF(Raw_Export!$A601="","",IFERROR(VALUE(TRIM(Raw_Export!E601)),0))</f>
        <v>1</v>
      </c>
      <c r="G601" s="38" t="n">
        <f aca="false">IF(Raw_Export!$A601="","",IFERROR(VALUE(SUBSTITUTE(SUBSTITUTE(UPPER(TRIM(Raw_Export!F601)),"KES",""),",","")),0))</f>
        <v>60</v>
      </c>
      <c r="H601" s="38" t="n">
        <f aca="false">IF(Raw_Export!$A601="","",F601*G601)</f>
        <v>60</v>
      </c>
      <c r="I601" s="36" t="str">
        <f aca="false">IF(Raw_Export!$A601="","",IFERROR(VLOOKUP(LOWER(TRIM(Raw_Export!H601)),Maps!$D$2:$E$12,2,FALSE()),"Other"))</f>
        <v>M-Pesa</v>
      </c>
      <c r="J601" s="36" t="str">
        <f aca="false">IF(Raw_Export!$A601="","",IF(COUNTIF($A$2:A601,A601)&gt;1,"Duplicate",""))</f>
        <v/>
      </c>
      <c r="K601" s="36" t="str">
        <f aca="false">IF(Raw_Export!$A601="","",IF(J601="Duplicate","Duplicate",IF(OR(C601="UNMAPPED",D601="UNMAPPED"),"Unmapped",IF(F601=0,"Blank qty",IF(F601&lt;0,"Return","OK")))))</f>
        <v>OK</v>
      </c>
      <c r="L601" s="36" t="n">
        <f aca="false">IF(Raw_Export!$A601="","",IF(OR(K601="OK",K601="Return"),1,0))</f>
        <v>1</v>
      </c>
      <c r="M601" s="37" t="n">
        <f aca="false">IF(Raw_Export!$A601="","",B601-WEEKDAY(B601,2)+1)</f>
        <v>46265</v>
      </c>
    </row>
    <row r="602" customFormat="false" ht="15" hidden="false" customHeight="false" outlineLevel="0" collapsed="false">
      <c r="A602" s="36" t="str">
        <f aca="false">IF(Raw_Export!$A602="","",TRIM(Raw_Export!A602))</f>
        <v>TXN-100588</v>
      </c>
      <c r="B602" s="37" t="n">
        <f aca="false">IF(Raw_Export!$A602="","",IF(ISNUMBER(Raw_Export!B602),Raw_Export!B602,IF(MID(TRIM(Raw_Export!B602),5,1)="-",DATE(LEFT(TRIM(Raw_Export!B602),4),MID(TRIM(Raw_Export!B602),6,2),RIGHT(TRIM(Raw_Export!B602),2)),DATE(RIGHT(TRIM(Raw_Export!B602),4),MATCH(MID(TRIM(Raw_Export!B602),4,3),{"Jan","Feb","Mar","Apr","May","Jun","Jul","Aug","Sep","Oct","Nov","Dec"},0),LEFT(TRIM(Raw_Export!B602),2)))))</f>
        <v>46269</v>
      </c>
      <c r="C602" s="36" t="str">
        <f aca="false">IF(Raw_Export!$A602="","",IFERROR(VLOOKUP(LOWER(TRIM(Raw_Export!C602)),Maps!$A$2:$B$20,2,FALSE()),"UNMAPPED"))</f>
        <v>Westlands</v>
      </c>
      <c r="D602" s="36" t="str">
        <f aca="false">IF(Raw_Export!$A602="","",IFERROR(VLOOKUP(LOWER(TRIM(Raw_Export!D602)),Maps!$G$2:$I$80,2,FALSE()),"UNMAPPED"))</f>
        <v>Washing Powder 1kg</v>
      </c>
      <c r="E602" s="36" t="str">
        <f aca="false">IF(Raw_Export!$A602="","",IFERROR(VLOOKUP(LOWER(TRIM(Raw_Export!D602)),Maps!$G$2:$I$80,3,FALSE()),"UNMAPPED"))</f>
        <v>Household</v>
      </c>
      <c r="F602" s="36" t="n">
        <f aca="false">IF(Raw_Export!$A602="","",IFERROR(VALUE(TRIM(Raw_Export!E602)),0))</f>
        <v>6</v>
      </c>
      <c r="G602" s="38" t="n">
        <f aca="false">IF(Raw_Export!$A602="","",IFERROR(VALUE(SUBSTITUTE(SUBSTITUTE(UPPER(TRIM(Raw_Export!F602)),"KES",""),",","")),0))</f>
        <v>280</v>
      </c>
      <c r="H602" s="38" t="n">
        <f aca="false">IF(Raw_Export!$A602="","",F602*G602)</f>
        <v>1680</v>
      </c>
      <c r="I602" s="36" t="str">
        <f aca="false">IF(Raw_Export!$A602="","",IFERROR(VLOOKUP(LOWER(TRIM(Raw_Export!H602)),Maps!$D$2:$E$12,2,FALSE()),"Other"))</f>
        <v>M-Pesa</v>
      </c>
      <c r="J602" s="36" t="str">
        <f aca="false">IF(Raw_Export!$A602="","",IF(COUNTIF($A$2:A602,A602)&gt;1,"Duplicate",""))</f>
        <v/>
      </c>
      <c r="K602" s="36" t="str">
        <f aca="false">IF(Raw_Export!$A602="","",IF(J602="Duplicate","Duplicate",IF(OR(C602="UNMAPPED",D602="UNMAPPED"),"Unmapped",IF(F602=0,"Blank qty",IF(F602&lt;0,"Return","OK")))))</f>
        <v>OK</v>
      </c>
      <c r="L602" s="36" t="n">
        <f aca="false">IF(Raw_Export!$A602="","",IF(OR(K602="OK",K602="Return"),1,0))</f>
        <v>1</v>
      </c>
      <c r="M602" s="37" t="n">
        <f aca="false">IF(Raw_Export!$A602="","",B602-WEEKDAY(B602,2)+1)</f>
        <v>46265</v>
      </c>
    </row>
    <row r="603" customFormat="false" ht="15" hidden="false" customHeight="false" outlineLevel="0" collapsed="false">
      <c r="A603" s="36" t="str">
        <f aca="false">IF(Raw_Export!$A603="","",TRIM(Raw_Export!A603))</f>
        <v>TXN-100589</v>
      </c>
      <c r="B603" s="37" t="n">
        <f aca="false">IF(Raw_Export!$A603="","",IF(ISNUMBER(Raw_Export!B603),Raw_Export!B603,IF(MID(TRIM(Raw_Export!B603),5,1)="-",DATE(LEFT(TRIM(Raw_Export!B603),4),MID(TRIM(Raw_Export!B603),6,2),RIGHT(TRIM(Raw_Export!B603),2)),DATE(RIGHT(TRIM(Raw_Export!B603),4),MATCH(MID(TRIM(Raw_Export!B603),4,3),{"Jan","Feb","Mar","Apr","May","Jun","Jul","Aug","Sep","Oct","Nov","Dec"},0),LEFT(TRIM(Raw_Export!B603),2)))))</f>
        <v>46269</v>
      </c>
      <c r="C603" s="36" t="str">
        <f aca="false">IF(Raw_Export!$A603="","",IFERROR(VLOOKUP(LOWER(TRIM(Raw_Export!C603)),Maps!$A$2:$B$20,2,FALSE()),"UNMAPPED"))</f>
        <v>Westlands</v>
      </c>
      <c r="D603" s="36" t="str">
        <f aca="false">IF(Raw_Export!$A603="","",IFERROR(VLOOKUP(LOWER(TRIM(Raw_Export!D603)),Maps!$G$2:$I$80,2,FALSE()),"UNMAPPED"))</f>
        <v>Washing Powder 1kg</v>
      </c>
      <c r="E603" s="36" t="str">
        <f aca="false">IF(Raw_Export!$A603="","",IFERROR(VLOOKUP(LOWER(TRIM(Raw_Export!D603)),Maps!$G$2:$I$80,3,FALSE()),"UNMAPPED"))</f>
        <v>Household</v>
      </c>
      <c r="F603" s="36" t="n">
        <f aca="false">IF(Raw_Export!$A603="","",IFERROR(VALUE(TRIM(Raw_Export!E603)),0))</f>
        <v>1</v>
      </c>
      <c r="G603" s="38" t="n">
        <f aca="false">IF(Raw_Export!$A603="","",IFERROR(VALUE(SUBSTITUTE(SUBSTITUTE(UPPER(TRIM(Raw_Export!F603)),"KES",""),",","")),0))</f>
        <v>280</v>
      </c>
      <c r="H603" s="38" t="n">
        <f aca="false">IF(Raw_Export!$A603="","",F603*G603)</f>
        <v>280</v>
      </c>
      <c r="I603" s="36" t="str">
        <f aca="false">IF(Raw_Export!$A603="","",IFERROR(VLOOKUP(LOWER(TRIM(Raw_Export!H603)),Maps!$D$2:$E$12,2,FALSE()),"Other"))</f>
        <v>Cash</v>
      </c>
      <c r="J603" s="36" t="str">
        <f aca="false">IF(Raw_Export!$A603="","",IF(COUNTIF($A$2:A603,A603)&gt;1,"Duplicate",""))</f>
        <v/>
      </c>
      <c r="K603" s="36" t="str">
        <f aca="false">IF(Raw_Export!$A603="","",IF(J603="Duplicate","Duplicate",IF(OR(C603="UNMAPPED",D603="UNMAPPED"),"Unmapped",IF(F603=0,"Blank qty",IF(F603&lt;0,"Return","OK")))))</f>
        <v>OK</v>
      </c>
      <c r="L603" s="36" t="n">
        <f aca="false">IF(Raw_Export!$A603="","",IF(OR(K603="OK",K603="Return"),1,0))</f>
        <v>1</v>
      </c>
      <c r="M603" s="37" t="n">
        <f aca="false">IF(Raw_Export!$A603="","",B603-WEEKDAY(B603,2)+1)</f>
        <v>46265</v>
      </c>
    </row>
    <row r="604" customFormat="false" ht="15" hidden="false" customHeight="false" outlineLevel="0" collapsed="false">
      <c r="A604" s="36" t="str">
        <f aca="false">IF(Raw_Export!$A604="","",TRIM(Raw_Export!A604))</f>
        <v>TXN-100590</v>
      </c>
      <c r="B604" s="37" t="n">
        <f aca="false">IF(Raw_Export!$A604="","",IF(ISNUMBER(Raw_Export!B604),Raw_Export!B604,IF(MID(TRIM(Raw_Export!B604),5,1)="-",DATE(LEFT(TRIM(Raw_Export!B604),4),MID(TRIM(Raw_Export!B604),6,2),RIGHT(TRIM(Raw_Export!B604),2)),DATE(RIGHT(TRIM(Raw_Export!B604),4),MATCH(MID(TRIM(Raw_Export!B604),4,3),{"Jan","Feb","Mar","Apr","May","Jun","Jul","Aug","Sep","Oct","Nov","Dec"},0),LEFT(TRIM(Raw_Export!B604),2)))))</f>
        <v>46269</v>
      </c>
      <c r="C604" s="36" t="str">
        <f aca="false">IF(Raw_Export!$A604="","",IFERROR(VLOOKUP(LOWER(TRIM(Raw_Export!C604)),Maps!$A$2:$B$20,2,FALSE()),"UNMAPPED"))</f>
        <v>Westlands</v>
      </c>
      <c r="D604" s="36" t="str">
        <f aca="false">IF(Raw_Export!$A604="","",IFERROR(VLOOKUP(LOWER(TRIM(Raw_Export!D604)),Maps!$G$2:$I$80,2,FALSE()),"UNMAPPED"))</f>
        <v>Biscuits 200g</v>
      </c>
      <c r="E604" s="36" t="str">
        <f aca="false">IF(Raw_Export!$A604="","",IFERROR(VLOOKUP(LOWER(TRIM(Raw_Export!D604)),Maps!$G$2:$I$80,3,FALSE()),"UNMAPPED"))</f>
        <v>Snacks</v>
      </c>
      <c r="F604" s="36" t="n">
        <f aca="false">IF(Raw_Export!$A604="","",IFERROR(VALUE(TRIM(Raw_Export!E604)),0))</f>
        <v>1</v>
      </c>
      <c r="G604" s="38" t="n">
        <f aca="false">IF(Raw_Export!$A604="","",IFERROR(VALUE(SUBSTITUTE(SUBSTITUTE(UPPER(TRIM(Raw_Export!F604)),"KES",""),",","")),0))</f>
        <v>95</v>
      </c>
      <c r="H604" s="38" t="n">
        <f aca="false">IF(Raw_Export!$A604="","",F604*G604)</f>
        <v>95</v>
      </c>
      <c r="I604" s="36" t="str">
        <f aca="false">IF(Raw_Export!$A604="","",IFERROR(VLOOKUP(LOWER(TRIM(Raw_Export!H604)),Maps!$D$2:$E$12,2,FALSE()),"Other"))</f>
        <v>Card</v>
      </c>
      <c r="J604" s="36" t="str">
        <f aca="false">IF(Raw_Export!$A604="","",IF(COUNTIF($A$2:A604,A604)&gt;1,"Duplicate",""))</f>
        <v/>
      </c>
      <c r="K604" s="36" t="str">
        <f aca="false">IF(Raw_Export!$A604="","",IF(J604="Duplicate","Duplicate",IF(OR(C604="UNMAPPED",D604="UNMAPPED"),"Unmapped",IF(F604=0,"Blank qty",IF(F604&lt;0,"Return","OK")))))</f>
        <v>OK</v>
      </c>
      <c r="L604" s="36" t="n">
        <f aca="false">IF(Raw_Export!$A604="","",IF(OR(K604="OK",K604="Return"),1,0))</f>
        <v>1</v>
      </c>
      <c r="M604" s="37" t="n">
        <f aca="false">IF(Raw_Export!$A604="","",B604-WEEKDAY(B604,2)+1)</f>
        <v>46265</v>
      </c>
    </row>
    <row r="605" customFormat="false" ht="15" hidden="false" customHeight="false" outlineLevel="0" collapsed="false">
      <c r="A605" s="36" t="str">
        <f aca="false">IF(Raw_Export!$A605="","",TRIM(Raw_Export!A605))</f>
        <v>TXN-100591</v>
      </c>
      <c r="B605" s="37" t="n">
        <f aca="false">IF(Raw_Export!$A605="","",IF(ISNUMBER(Raw_Export!B605),Raw_Export!B605,IF(MID(TRIM(Raw_Export!B605),5,1)="-",DATE(LEFT(TRIM(Raw_Export!B605),4),MID(TRIM(Raw_Export!B605),6,2),RIGHT(TRIM(Raw_Export!B605),2)),DATE(RIGHT(TRIM(Raw_Export!B605),4),MATCH(MID(TRIM(Raw_Export!B605),4,3),{"Jan","Feb","Mar","Apr","May","Jun","Jul","Aug","Sep","Oct","Nov","Dec"},0),LEFT(TRIM(Raw_Export!B605),2)))))</f>
        <v>46269</v>
      </c>
      <c r="C605" s="36" t="str">
        <f aca="false">IF(Raw_Export!$A605="","",IFERROR(VLOOKUP(LOWER(TRIM(Raw_Export!C605)),Maps!$A$2:$B$20,2,FALSE()),"UNMAPPED"))</f>
        <v>Westlands</v>
      </c>
      <c r="D605" s="36" t="str">
        <f aca="false">IF(Raw_Export!$A605="","",IFERROR(VLOOKUP(LOWER(TRIM(Raw_Export!D605)),Maps!$G$2:$I$80,2,FALSE()),"UNMAPPED"))</f>
        <v>Rice Pishori 2kg</v>
      </c>
      <c r="E605" s="36" t="str">
        <f aca="false">IF(Raw_Export!$A605="","",IFERROR(VLOOKUP(LOWER(TRIM(Raw_Export!D605)),Maps!$G$2:$I$80,3,FALSE()),"UNMAPPED"))</f>
        <v>Staples</v>
      </c>
      <c r="F605" s="36" t="n">
        <f aca="false">IF(Raw_Export!$A605="","",IFERROR(VALUE(TRIM(Raw_Export!E605)),0))</f>
        <v>6</v>
      </c>
      <c r="G605" s="38" t="n">
        <f aca="false">IF(Raw_Export!$A605="","",IFERROR(VALUE(SUBSTITUTE(SUBSTITUTE(UPPER(TRIM(Raw_Export!F605)),"KES",""),",","")),0))</f>
        <v>420</v>
      </c>
      <c r="H605" s="38" t="n">
        <f aca="false">IF(Raw_Export!$A605="","",F605*G605)</f>
        <v>2520</v>
      </c>
      <c r="I605" s="36" t="str">
        <f aca="false">IF(Raw_Export!$A605="","",IFERROR(VLOOKUP(LOWER(TRIM(Raw_Export!H605)),Maps!$D$2:$E$12,2,FALSE()),"Other"))</f>
        <v>Cash</v>
      </c>
      <c r="J605" s="36" t="str">
        <f aca="false">IF(Raw_Export!$A605="","",IF(COUNTIF($A$2:A605,A605)&gt;1,"Duplicate",""))</f>
        <v/>
      </c>
      <c r="K605" s="36" t="str">
        <f aca="false">IF(Raw_Export!$A605="","",IF(J605="Duplicate","Duplicate",IF(OR(C605="UNMAPPED",D605="UNMAPPED"),"Unmapped",IF(F605=0,"Blank qty",IF(F605&lt;0,"Return","OK")))))</f>
        <v>OK</v>
      </c>
      <c r="L605" s="36" t="n">
        <f aca="false">IF(Raw_Export!$A605="","",IF(OR(K605="OK",K605="Return"),1,0))</f>
        <v>1</v>
      </c>
      <c r="M605" s="37" t="n">
        <f aca="false">IF(Raw_Export!$A605="","",B605-WEEKDAY(B605,2)+1)</f>
        <v>46265</v>
      </c>
    </row>
    <row r="606" customFormat="false" ht="15" hidden="false" customHeight="false" outlineLevel="0" collapsed="false">
      <c r="A606" s="36" t="str">
        <f aca="false">IF(Raw_Export!$A606="","",TRIM(Raw_Export!A606))</f>
        <v>TXN-100592</v>
      </c>
      <c r="B606" s="37" t="n">
        <f aca="false">IF(Raw_Export!$A606="","",IF(ISNUMBER(Raw_Export!B606),Raw_Export!B606,IF(MID(TRIM(Raw_Export!B606),5,1)="-",DATE(LEFT(TRIM(Raw_Export!B606),4),MID(TRIM(Raw_Export!B606),6,2),RIGHT(TRIM(Raw_Export!B606),2)),DATE(RIGHT(TRIM(Raw_Export!B606),4),MATCH(MID(TRIM(Raw_Export!B606),4,3),{"Jan","Feb","Mar","Apr","May","Jun","Jul","Aug","Sep","Oct","Nov","Dec"},0),LEFT(TRIM(Raw_Export!B606),2)))))</f>
        <v>46269</v>
      </c>
      <c r="C606" s="36" t="str">
        <f aca="false">IF(Raw_Export!$A606="","",IFERROR(VLOOKUP(LOWER(TRIM(Raw_Export!C606)),Maps!$A$2:$B$20,2,FALSE()),"UNMAPPED"))</f>
        <v>Westlands</v>
      </c>
      <c r="D606" s="36" t="str">
        <f aca="false">IF(Raw_Export!$A606="","",IFERROR(VLOOKUP(LOWER(TRIM(Raw_Export!D606)),Maps!$G$2:$I$80,2,FALSE()),"UNMAPPED"))</f>
        <v>Tea Leaves 250g</v>
      </c>
      <c r="E606" s="36" t="str">
        <f aca="false">IF(Raw_Export!$A606="","",IFERROR(VLOOKUP(LOWER(TRIM(Raw_Export!D606)),Maps!$G$2:$I$80,3,FALSE()),"UNMAPPED"))</f>
        <v>Beverages</v>
      </c>
      <c r="F606" s="36" t="n">
        <f aca="false">IF(Raw_Export!$A606="","",IFERROR(VALUE(TRIM(Raw_Export!E606)),0))</f>
        <v>4</v>
      </c>
      <c r="G606" s="38" t="n">
        <f aca="false">IF(Raw_Export!$A606="","",IFERROR(VALUE(SUBSTITUTE(SUBSTITUTE(UPPER(TRIM(Raw_Export!F606)),"KES",""),",","")),0))</f>
        <v>150</v>
      </c>
      <c r="H606" s="38" t="n">
        <f aca="false">IF(Raw_Export!$A606="","",F606*G606)</f>
        <v>600</v>
      </c>
      <c r="I606" s="36" t="str">
        <f aca="false">IF(Raw_Export!$A606="","",IFERROR(VLOOKUP(LOWER(TRIM(Raw_Export!H606)),Maps!$D$2:$E$12,2,FALSE()),"Other"))</f>
        <v>Card</v>
      </c>
      <c r="J606" s="36" t="str">
        <f aca="false">IF(Raw_Export!$A606="","",IF(COUNTIF($A$2:A606,A606)&gt;1,"Duplicate",""))</f>
        <v/>
      </c>
      <c r="K606" s="36" t="str">
        <f aca="false">IF(Raw_Export!$A606="","",IF(J606="Duplicate","Duplicate",IF(OR(C606="UNMAPPED",D606="UNMAPPED"),"Unmapped",IF(F606=0,"Blank qty",IF(F606&lt;0,"Return","OK")))))</f>
        <v>OK</v>
      </c>
      <c r="L606" s="36" t="n">
        <f aca="false">IF(Raw_Export!$A606="","",IF(OR(K606="OK",K606="Return"),1,0))</f>
        <v>1</v>
      </c>
      <c r="M606" s="37" t="n">
        <f aca="false">IF(Raw_Export!$A606="","",B606-WEEKDAY(B606,2)+1)</f>
        <v>46265</v>
      </c>
    </row>
    <row r="607" customFormat="false" ht="15" hidden="false" customHeight="false" outlineLevel="0" collapsed="false">
      <c r="A607" s="36" t="str">
        <f aca="false">IF(Raw_Export!$A607="","",TRIM(Raw_Export!A607))</f>
        <v>TXN-100593</v>
      </c>
      <c r="B607" s="37" t="n">
        <f aca="false">IF(Raw_Export!$A607="","",IF(ISNUMBER(Raw_Export!B607),Raw_Export!B607,IF(MID(TRIM(Raw_Export!B607),5,1)="-",DATE(LEFT(TRIM(Raw_Export!B607),4),MID(TRIM(Raw_Export!B607),6,2),RIGHT(TRIM(Raw_Export!B607),2)),DATE(RIGHT(TRIM(Raw_Export!B607),4),MATCH(MID(TRIM(Raw_Export!B607),4,3),{"Jan","Feb","Mar","Apr","May","Jun","Jul","Aug","Sep","Oct","Nov","Dec"},0),LEFT(TRIM(Raw_Export!B607),2)))))</f>
        <v>46269</v>
      </c>
      <c r="C607" s="36" t="str">
        <f aca="false">IF(Raw_Export!$A607="","",IFERROR(VLOOKUP(LOWER(TRIM(Raw_Export!C607)),Maps!$A$2:$B$20,2,FALSE()),"UNMAPPED"))</f>
        <v>Westlands</v>
      </c>
      <c r="D607" s="36" t="str">
        <f aca="false">IF(Raw_Export!$A607="","",IFERROR(VLOOKUP(LOWER(TRIM(Raw_Export!D607)),Maps!$G$2:$I$80,2,FALSE()),"UNMAPPED"))</f>
        <v>Rice Pishori 2kg</v>
      </c>
      <c r="E607" s="36" t="str">
        <f aca="false">IF(Raw_Export!$A607="","",IFERROR(VLOOKUP(LOWER(TRIM(Raw_Export!D607)),Maps!$G$2:$I$80,3,FALSE()),"UNMAPPED"))</f>
        <v>Staples</v>
      </c>
      <c r="F607" s="36" t="n">
        <f aca="false">IF(Raw_Export!$A607="","",IFERROR(VALUE(TRIM(Raw_Export!E607)),0))</f>
        <v>1</v>
      </c>
      <c r="G607" s="38" t="n">
        <f aca="false">IF(Raw_Export!$A607="","",IFERROR(VALUE(SUBSTITUTE(SUBSTITUTE(UPPER(TRIM(Raw_Export!F607)),"KES",""),",","")),0))</f>
        <v>420</v>
      </c>
      <c r="H607" s="38" t="n">
        <f aca="false">IF(Raw_Export!$A607="","",F607*G607)</f>
        <v>420</v>
      </c>
      <c r="I607" s="36" t="str">
        <f aca="false">IF(Raw_Export!$A607="","",IFERROR(VLOOKUP(LOWER(TRIM(Raw_Export!H607)),Maps!$D$2:$E$12,2,FALSE()),"Other"))</f>
        <v>Cash</v>
      </c>
      <c r="J607" s="36" t="str">
        <f aca="false">IF(Raw_Export!$A607="","",IF(COUNTIF($A$2:A607,A607)&gt;1,"Duplicate",""))</f>
        <v/>
      </c>
      <c r="K607" s="36" t="str">
        <f aca="false">IF(Raw_Export!$A607="","",IF(J607="Duplicate","Duplicate",IF(OR(C607="UNMAPPED",D607="UNMAPPED"),"Unmapped",IF(F607=0,"Blank qty",IF(F607&lt;0,"Return","OK")))))</f>
        <v>OK</v>
      </c>
      <c r="L607" s="36" t="n">
        <f aca="false">IF(Raw_Export!$A607="","",IF(OR(K607="OK",K607="Return"),1,0))</f>
        <v>1</v>
      </c>
      <c r="M607" s="37" t="n">
        <f aca="false">IF(Raw_Export!$A607="","",B607-WEEKDAY(B607,2)+1)</f>
        <v>46265</v>
      </c>
    </row>
    <row r="608" customFormat="false" ht="15" hidden="false" customHeight="false" outlineLevel="0" collapsed="false">
      <c r="A608" s="36" t="str">
        <f aca="false">IF(Raw_Export!$A608="","",TRIM(Raw_Export!A608))</f>
        <v>TXN-100594</v>
      </c>
      <c r="B608" s="37" t="n">
        <f aca="false">IF(Raw_Export!$A608="","",IF(ISNUMBER(Raw_Export!B608),Raw_Export!B608,IF(MID(TRIM(Raw_Export!B608),5,1)="-",DATE(LEFT(TRIM(Raw_Export!B608),4),MID(TRIM(Raw_Export!B608),6,2),RIGHT(TRIM(Raw_Export!B608),2)),DATE(RIGHT(TRIM(Raw_Export!B608),4),MATCH(MID(TRIM(Raw_Export!B608),4,3),{"Jan","Feb","Mar","Apr","May","Jun","Jul","Aug","Sep","Oct","Nov","Dec"},0),LEFT(TRIM(Raw_Export!B608),2)))))</f>
        <v>46269</v>
      </c>
      <c r="C608" s="36" t="str">
        <f aca="false">IF(Raw_Export!$A608="","",IFERROR(VLOOKUP(LOWER(TRIM(Raw_Export!C608)),Maps!$A$2:$B$20,2,FALSE()),"UNMAPPED"))</f>
        <v>Westlands</v>
      </c>
      <c r="D608" s="36" t="str">
        <f aca="false">IF(Raw_Export!$A608="","",IFERROR(VLOOKUP(LOWER(TRIM(Raw_Export!D608)),Maps!$G$2:$I$80,2,FALSE()),"UNMAPPED"))</f>
        <v>Soda 500ml</v>
      </c>
      <c r="E608" s="36" t="str">
        <f aca="false">IF(Raw_Export!$A608="","",IFERROR(VLOOKUP(LOWER(TRIM(Raw_Export!D608)),Maps!$G$2:$I$80,3,FALSE()),"UNMAPPED"))</f>
        <v>Beverages</v>
      </c>
      <c r="F608" s="36" t="n">
        <f aca="false">IF(Raw_Export!$A608="","",IFERROR(VALUE(TRIM(Raw_Export!E608)),0))</f>
        <v>2</v>
      </c>
      <c r="G608" s="38" t="n">
        <f aca="false">IF(Raw_Export!$A608="","",IFERROR(VALUE(SUBSTITUTE(SUBSTITUTE(UPPER(TRIM(Raw_Export!F608)),"KES",""),",","")),0))</f>
        <v>60</v>
      </c>
      <c r="H608" s="38" t="n">
        <f aca="false">IF(Raw_Export!$A608="","",F608*G608)</f>
        <v>120</v>
      </c>
      <c r="I608" s="36" t="str">
        <f aca="false">IF(Raw_Export!$A608="","",IFERROR(VLOOKUP(LOWER(TRIM(Raw_Export!H608)),Maps!$D$2:$E$12,2,FALSE()),"Other"))</f>
        <v>M-Pesa</v>
      </c>
      <c r="J608" s="36" t="str">
        <f aca="false">IF(Raw_Export!$A608="","",IF(COUNTIF($A$2:A608,A608)&gt;1,"Duplicate",""))</f>
        <v/>
      </c>
      <c r="K608" s="36" t="str">
        <f aca="false">IF(Raw_Export!$A608="","",IF(J608="Duplicate","Duplicate",IF(OR(C608="UNMAPPED",D608="UNMAPPED"),"Unmapped",IF(F608=0,"Blank qty",IF(F608&lt;0,"Return","OK")))))</f>
        <v>OK</v>
      </c>
      <c r="L608" s="36" t="n">
        <f aca="false">IF(Raw_Export!$A608="","",IF(OR(K608="OK",K608="Return"),1,0))</f>
        <v>1</v>
      </c>
      <c r="M608" s="37" t="n">
        <f aca="false">IF(Raw_Export!$A608="","",B608-WEEKDAY(B608,2)+1)</f>
        <v>46265</v>
      </c>
    </row>
    <row r="609" customFormat="false" ht="15" hidden="false" customHeight="false" outlineLevel="0" collapsed="false">
      <c r="A609" s="36" t="str">
        <f aca="false">IF(Raw_Export!$A609="","",TRIM(Raw_Export!A609))</f>
        <v>TXN-100595</v>
      </c>
      <c r="B609" s="37" t="n">
        <f aca="false">IF(Raw_Export!$A609="","",IF(ISNUMBER(Raw_Export!B609),Raw_Export!B609,IF(MID(TRIM(Raw_Export!B609),5,1)="-",DATE(LEFT(TRIM(Raw_Export!B609),4),MID(TRIM(Raw_Export!B609),6,2),RIGHT(TRIM(Raw_Export!B609),2)),DATE(RIGHT(TRIM(Raw_Export!B609),4),MATCH(MID(TRIM(Raw_Export!B609),4,3),{"Jan","Feb","Mar","Apr","May","Jun","Jul","Aug","Sep","Oct","Nov","Dec"},0),LEFT(TRIM(Raw_Export!B609),2)))))</f>
        <v>46269</v>
      </c>
      <c r="C609" s="36" t="str">
        <f aca="false">IF(Raw_Export!$A609="","",IFERROR(VLOOKUP(LOWER(TRIM(Raw_Export!C609)),Maps!$A$2:$B$20,2,FALSE()),"UNMAPPED"))</f>
        <v>Westlands</v>
      </c>
      <c r="D609" s="36" t="str">
        <f aca="false">IF(Raw_Export!$A609="","",IFERROR(VLOOKUP(LOWER(TRIM(Raw_Export!D609)),Maps!$G$2:$I$80,2,FALSE()),"UNMAPPED"))</f>
        <v>Soda 500ml</v>
      </c>
      <c r="E609" s="36" t="str">
        <f aca="false">IF(Raw_Export!$A609="","",IFERROR(VLOOKUP(LOWER(TRIM(Raw_Export!D609)),Maps!$G$2:$I$80,3,FALSE()),"UNMAPPED"))</f>
        <v>Beverages</v>
      </c>
      <c r="F609" s="36" t="n">
        <f aca="false">IF(Raw_Export!$A609="","",IFERROR(VALUE(TRIM(Raw_Export!E609)),0))</f>
        <v>1</v>
      </c>
      <c r="G609" s="38" t="n">
        <f aca="false">IF(Raw_Export!$A609="","",IFERROR(VALUE(SUBSTITUTE(SUBSTITUTE(UPPER(TRIM(Raw_Export!F609)),"KES",""),",","")),0))</f>
        <v>60</v>
      </c>
      <c r="H609" s="38" t="n">
        <f aca="false">IF(Raw_Export!$A609="","",F609*G609)</f>
        <v>60</v>
      </c>
      <c r="I609" s="36" t="str">
        <f aca="false">IF(Raw_Export!$A609="","",IFERROR(VLOOKUP(LOWER(TRIM(Raw_Export!H609)),Maps!$D$2:$E$12,2,FALSE()),"Other"))</f>
        <v>M-Pesa</v>
      </c>
      <c r="J609" s="36" t="str">
        <f aca="false">IF(Raw_Export!$A609="","",IF(COUNTIF($A$2:A609,A609)&gt;1,"Duplicate",""))</f>
        <v/>
      </c>
      <c r="K609" s="36" t="str">
        <f aca="false">IF(Raw_Export!$A609="","",IF(J609="Duplicate","Duplicate",IF(OR(C609="UNMAPPED",D609="UNMAPPED"),"Unmapped",IF(F609=0,"Blank qty",IF(F609&lt;0,"Return","OK")))))</f>
        <v>OK</v>
      </c>
      <c r="L609" s="36" t="n">
        <f aca="false">IF(Raw_Export!$A609="","",IF(OR(K609="OK",K609="Return"),1,0))</f>
        <v>1</v>
      </c>
      <c r="M609" s="37" t="n">
        <f aca="false">IF(Raw_Export!$A609="","",B609-WEEKDAY(B609,2)+1)</f>
        <v>46265</v>
      </c>
    </row>
    <row r="610" customFormat="false" ht="15" hidden="false" customHeight="false" outlineLevel="0" collapsed="false">
      <c r="A610" s="36" t="str">
        <f aca="false">IF(Raw_Export!$A610="","",TRIM(Raw_Export!A610))</f>
        <v>TXN-100596</v>
      </c>
      <c r="B610" s="37" t="n">
        <f aca="false">IF(Raw_Export!$A610="","",IF(ISNUMBER(Raw_Export!B610),Raw_Export!B610,IF(MID(TRIM(Raw_Export!B610),5,1)="-",DATE(LEFT(TRIM(Raw_Export!B610),4),MID(TRIM(Raw_Export!B610),6,2),RIGHT(TRIM(Raw_Export!B610),2)),DATE(RIGHT(TRIM(Raw_Export!B610),4),MATCH(MID(TRIM(Raw_Export!B610),4,3),{"Jan","Feb","Mar","Apr","May","Jun","Jul","Aug","Sep","Oct","Nov","Dec"},0),LEFT(TRIM(Raw_Export!B610),2)))))</f>
        <v>46269</v>
      </c>
      <c r="C610" s="36" t="str">
        <f aca="false">IF(Raw_Export!$A610="","",IFERROR(VLOOKUP(LOWER(TRIM(Raw_Export!C610)),Maps!$A$2:$B$20,2,FALSE()),"UNMAPPED"))</f>
        <v>Westlands</v>
      </c>
      <c r="D610" s="36" t="str">
        <f aca="false">IF(Raw_Export!$A610="","",IFERROR(VLOOKUP(LOWER(TRIM(Raw_Export!D610)),Maps!$G$2:$I$80,2,FALSE()),"UNMAPPED"))</f>
        <v>Biscuits 200g</v>
      </c>
      <c r="E610" s="36" t="str">
        <f aca="false">IF(Raw_Export!$A610="","",IFERROR(VLOOKUP(LOWER(TRIM(Raw_Export!D610)),Maps!$G$2:$I$80,3,FALSE()),"UNMAPPED"))</f>
        <v>Snacks</v>
      </c>
      <c r="F610" s="36" t="n">
        <f aca="false">IF(Raw_Export!$A610="","",IFERROR(VALUE(TRIM(Raw_Export!E610)),0))</f>
        <v>2</v>
      </c>
      <c r="G610" s="38" t="n">
        <f aca="false">IF(Raw_Export!$A610="","",IFERROR(VALUE(SUBSTITUTE(SUBSTITUTE(UPPER(TRIM(Raw_Export!F610)),"KES",""),",","")),0))</f>
        <v>95</v>
      </c>
      <c r="H610" s="38" t="n">
        <f aca="false">IF(Raw_Export!$A610="","",F610*G610)</f>
        <v>190</v>
      </c>
      <c r="I610" s="36" t="str">
        <f aca="false">IF(Raw_Export!$A610="","",IFERROR(VLOOKUP(LOWER(TRIM(Raw_Export!H610)),Maps!$D$2:$E$12,2,FALSE()),"Other"))</f>
        <v>M-Pesa</v>
      </c>
      <c r="J610" s="36" t="str">
        <f aca="false">IF(Raw_Export!$A610="","",IF(COUNTIF($A$2:A610,A610)&gt;1,"Duplicate",""))</f>
        <v/>
      </c>
      <c r="K610" s="36" t="str">
        <f aca="false">IF(Raw_Export!$A610="","",IF(J610="Duplicate","Duplicate",IF(OR(C610="UNMAPPED",D610="UNMAPPED"),"Unmapped",IF(F610=0,"Blank qty",IF(F610&lt;0,"Return","OK")))))</f>
        <v>OK</v>
      </c>
      <c r="L610" s="36" t="n">
        <f aca="false">IF(Raw_Export!$A610="","",IF(OR(K610="OK",K610="Return"),1,0))</f>
        <v>1</v>
      </c>
      <c r="M610" s="37" t="n">
        <f aca="false">IF(Raw_Export!$A610="","",B610-WEEKDAY(B610,2)+1)</f>
        <v>46265</v>
      </c>
    </row>
    <row r="611" customFormat="false" ht="15" hidden="false" customHeight="false" outlineLevel="0" collapsed="false">
      <c r="A611" s="36" t="str">
        <f aca="false">IF(Raw_Export!$A611="","",TRIM(Raw_Export!A611))</f>
        <v>TXN-100597</v>
      </c>
      <c r="B611" s="37" t="n">
        <f aca="false">IF(Raw_Export!$A611="","",IF(ISNUMBER(Raw_Export!B611),Raw_Export!B611,IF(MID(TRIM(Raw_Export!B611),5,1)="-",DATE(LEFT(TRIM(Raw_Export!B611),4),MID(TRIM(Raw_Export!B611),6,2),RIGHT(TRIM(Raw_Export!B611),2)),DATE(RIGHT(TRIM(Raw_Export!B611),4),MATCH(MID(TRIM(Raw_Export!B611),4,3),{"Jan","Feb","Mar","Apr","May","Jun","Jul","Aug","Sep","Oct","Nov","Dec"},0),LEFT(TRIM(Raw_Export!B611),2)))))</f>
        <v>46269</v>
      </c>
      <c r="C611" s="36" t="str">
        <f aca="false">IF(Raw_Export!$A611="","",IFERROR(VLOOKUP(LOWER(TRIM(Raw_Export!C611)),Maps!$A$2:$B$20,2,FALSE()),"UNMAPPED"))</f>
        <v>Mombasa</v>
      </c>
      <c r="D611" s="36" t="str">
        <f aca="false">IF(Raw_Export!$A611="","",IFERROR(VLOOKUP(LOWER(TRIM(Raw_Export!D611)),Maps!$G$2:$I$80,2,FALSE()),"UNMAPPED"))</f>
        <v>Cooking Oil 1L</v>
      </c>
      <c r="E611" s="36" t="str">
        <f aca="false">IF(Raw_Export!$A611="","",IFERROR(VLOOKUP(LOWER(TRIM(Raw_Export!D611)),Maps!$G$2:$I$80,3,FALSE()),"UNMAPPED"))</f>
        <v>Staples</v>
      </c>
      <c r="F611" s="36" t="n">
        <f aca="false">IF(Raw_Export!$A611="","",IFERROR(VALUE(TRIM(Raw_Export!E611)),0))</f>
        <v>1</v>
      </c>
      <c r="G611" s="38" t="n">
        <f aca="false">IF(Raw_Export!$A611="","",IFERROR(VALUE(SUBSTITUTE(SUBSTITUTE(UPPER(TRIM(Raw_Export!F611)),"KES",""),",","")),0))</f>
        <v>330</v>
      </c>
      <c r="H611" s="38" t="n">
        <f aca="false">IF(Raw_Export!$A611="","",F611*G611)</f>
        <v>330</v>
      </c>
      <c r="I611" s="36" t="str">
        <f aca="false">IF(Raw_Export!$A611="","",IFERROR(VLOOKUP(LOWER(TRIM(Raw_Export!H611)),Maps!$D$2:$E$12,2,FALSE()),"Other"))</f>
        <v>Card</v>
      </c>
      <c r="J611" s="36" t="str">
        <f aca="false">IF(Raw_Export!$A611="","",IF(COUNTIF($A$2:A611,A611)&gt;1,"Duplicate",""))</f>
        <v/>
      </c>
      <c r="K611" s="36" t="str">
        <f aca="false">IF(Raw_Export!$A611="","",IF(J611="Duplicate","Duplicate",IF(OR(C611="UNMAPPED",D611="UNMAPPED"),"Unmapped",IF(F611=0,"Blank qty",IF(F611&lt;0,"Return","OK")))))</f>
        <v>OK</v>
      </c>
      <c r="L611" s="36" t="n">
        <f aca="false">IF(Raw_Export!$A611="","",IF(OR(K611="OK",K611="Return"),1,0))</f>
        <v>1</v>
      </c>
      <c r="M611" s="37" t="n">
        <f aca="false">IF(Raw_Export!$A611="","",B611-WEEKDAY(B611,2)+1)</f>
        <v>46265</v>
      </c>
    </row>
    <row r="612" customFormat="false" ht="15" hidden="false" customHeight="false" outlineLevel="0" collapsed="false">
      <c r="A612" s="36" t="str">
        <f aca="false">IF(Raw_Export!$A612="","",TRIM(Raw_Export!A612))</f>
        <v>TXN-100598</v>
      </c>
      <c r="B612" s="37" t="n">
        <f aca="false">IF(Raw_Export!$A612="","",IF(ISNUMBER(Raw_Export!B612),Raw_Export!B612,IF(MID(TRIM(Raw_Export!B612),5,1)="-",DATE(LEFT(TRIM(Raw_Export!B612),4),MID(TRIM(Raw_Export!B612),6,2),RIGHT(TRIM(Raw_Export!B612),2)),DATE(RIGHT(TRIM(Raw_Export!B612),4),MATCH(MID(TRIM(Raw_Export!B612),4,3),{"Jan","Feb","Mar","Apr","May","Jun","Jul","Aug","Sep","Oct","Nov","Dec"},0),LEFT(TRIM(Raw_Export!B612),2)))))</f>
        <v>46269</v>
      </c>
      <c r="C612" s="36" t="str">
        <f aca="false">IF(Raw_Export!$A612="","",IFERROR(VLOOKUP(LOWER(TRIM(Raw_Export!C612)),Maps!$A$2:$B$20,2,FALSE()),"UNMAPPED"))</f>
        <v>Mombasa</v>
      </c>
      <c r="D612" s="36" t="str">
        <f aca="false">IF(Raw_Export!$A612="","",IFERROR(VLOOKUP(LOWER(TRIM(Raw_Export!D612)),Maps!$G$2:$I$80,2,FALSE()),"UNMAPPED"))</f>
        <v>Bottled Water 1.5L</v>
      </c>
      <c r="E612" s="36" t="str">
        <f aca="false">IF(Raw_Export!$A612="","",IFERROR(VLOOKUP(LOWER(TRIM(Raw_Export!D612)),Maps!$G$2:$I$80,3,FALSE()),"UNMAPPED"))</f>
        <v>Beverages</v>
      </c>
      <c r="F612" s="36" t="n">
        <f aca="false">IF(Raw_Export!$A612="","",IFERROR(VALUE(TRIM(Raw_Export!E612)),0))</f>
        <v>1</v>
      </c>
      <c r="G612" s="38" t="n">
        <f aca="false">IF(Raw_Export!$A612="","",IFERROR(VALUE(SUBSTITUTE(SUBSTITUTE(UPPER(TRIM(Raw_Export!F612)),"KES",""),",","")),0))</f>
        <v>90</v>
      </c>
      <c r="H612" s="38" t="n">
        <f aca="false">IF(Raw_Export!$A612="","",F612*G612)</f>
        <v>90</v>
      </c>
      <c r="I612" s="36" t="str">
        <f aca="false">IF(Raw_Export!$A612="","",IFERROR(VLOOKUP(LOWER(TRIM(Raw_Export!H612)),Maps!$D$2:$E$12,2,FALSE()),"Other"))</f>
        <v>Cash</v>
      </c>
      <c r="J612" s="36" t="str">
        <f aca="false">IF(Raw_Export!$A612="","",IF(COUNTIF($A$2:A612,A612)&gt;1,"Duplicate",""))</f>
        <v/>
      </c>
      <c r="K612" s="36" t="str">
        <f aca="false">IF(Raw_Export!$A612="","",IF(J612="Duplicate","Duplicate",IF(OR(C612="UNMAPPED",D612="UNMAPPED"),"Unmapped",IF(F612=0,"Blank qty",IF(F612&lt;0,"Return","OK")))))</f>
        <v>OK</v>
      </c>
      <c r="L612" s="36" t="n">
        <f aca="false">IF(Raw_Export!$A612="","",IF(OR(K612="OK",K612="Return"),1,0))</f>
        <v>1</v>
      </c>
      <c r="M612" s="37" t="n">
        <f aca="false">IF(Raw_Export!$A612="","",B612-WEEKDAY(B612,2)+1)</f>
        <v>46265</v>
      </c>
    </row>
    <row r="613" customFormat="false" ht="15" hidden="false" customHeight="false" outlineLevel="0" collapsed="false">
      <c r="A613" s="36" t="str">
        <f aca="false">IF(Raw_Export!$A613="","",TRIM(Raw_Export!A613))</f>
        <v>TXN-100599</v>
      </c>
      <c r="B613" s="37" t="n">
        <f aca="false">IF(Raw_Export!$A613="","",IF(ISNUMBER(Raw_Export!B613),Raw_Export!B613,IF(MID(TRIM(Raw_Export!B613),5,1)="-",DATE(LEFT(TRIM(Raw_Export!B613),4),MID(TRIM(Raw_Export!B613),6,2),RIGHT(TRIM(Raw_Export!B613),2)),DATE(RIGHT(TRIM(Raw_Export!B613),4),MATCH(MID(TRIM(Raw_Export!B613),4,3),{"Jan","Feb","Mar","Apr","May","Jun","Jul","Aug","Sep","Oct","Nov","Dec"},0),LEFT(TRIM(Raw_Export!B613),2)))))</f>
        <v>46269</v>
      </c>
      <c r="C613" s="36" t="str">
        <f aca="false">IF(Raw_Export!$A613="","",IFERROR(VLOOKUP(LOWER(TRIM(Raw_Export!C613)),Maps!$A$2:$B$20,2,FALSE()),"UNMAPPED"))</f>
        <v>Mombasa</v>
      </c>
      <c r="D613" s="36" t="str">
        <f aca="false">IF(Raw_Export!$A613="","",IFERROR(VLOOKUP(LOWER(TRIM(Raw_Export!D613)),Maps!$G$2:$I$80,2,FALSE()),"UNMAPPED"))</f>
        <v>Peanuts 250g</v>
      </c>
      <c r="E613" s="36" t="str">
        <f aca="false">IF(Raw_Export!$A613="","",IFERROR(VLOOKUP(LOWER(TRIM(Raw_Export!D613)),Maps!$G$2:$I$80,3,FALSE()),"UNMAPPED"))</f>
        <v>Snacks</v>
      </c>
      <c r="F613" s="36" t="n">
        <f aca="false">IF(Raw_Export!$A613="","",IFERROR(VALUE(TRIM(Raw_Export!E613)),0))</f>
        <v>4</v>
      </c>
      <c r="G613" s="38" t="n">
        <f aca="false">IF(Raw_Export!$A613="","",IFERROR(VALUE(SUBSTITUTE(SUBSTITUTE(UPPER(TRIM(Raw_Export!F613)),"KES",""),",","")),0))</f>
        <v>130</v>
      </c>
      <c r="H613" s="38" t="n">
        <f aca="false">IF(Raw_Export!$A613="","",F613*G613)</f>
        <v>520</v>
      </c>
      <c r="I613" s="36" t="str">
        <f aca="false">IF(Raw_Export!$A613="","",IFERROR(VLOOKUP(LOWER(TRIM(Raw_Export!H613)),Maps!$D$2:$E$12,2,FALSE()),"Other"))</f>
        <v>Card</v>
      </c>
      <c r="J613" s="36" t="str">
        <f aca="false">IF(Raw_Export!$A613="","",IF(COUNTIF($A$2:A613,A613)&gt;1,"Duplicate",""))</f>
        <v/>
      </c>
      <c r="K613" s="36" t="str">
        <f aca="false">IF(Raw_Export!$A613="","",IF(J613="Duplicate","Duplicate",IF(OR(C613="UNMAPPED",D613="UNMAPPED"),"Unmapped",IF(F613=0,"Blank qty",IF(F613&lt;0,"Return","OK")))))</f>
        <v>OK</v>
      </c>
      <c r="L613" s="36" t="n">
        <f aca="false">IF(Raw_Export!$A613="","",IF(OR(K613="OK",K613="Return"),1,0))</f>
        <v>1</v>
      </c>
      <c r="M613" s="37" t="n">
        <f aca="false">IF(Raw_Export!$A613="","",B613-WEEKDAY(B613,2)+1)</f>
        <v>46265</v>
      </c>
    </row>
    <row r="614" customFormat="false" ht="15" hidden="false" customHeight="false" outlineLevel="0" collapsed="false">
      <c r="A614" s="36" t="str">
        <f aca="false">IF(Raw_Export!$A614="","",TRIM(Raw_Export!A614))</f>
        <v>TXN-100600</v>
      </c>
      <c r="B614" s="37" t="n">
        <f aca="false">IF(Raw_Export!$A614="","",IF(ISNUMBER(Raw_Export!B614),Raw_Export!B614,IF(MID(TRIM(Raw_Export!B614),5,1)="-",DATE(LEFT(TRIM(Raw_Export!B614),4),MID(TRIM(Raw_Export!B614),6,2),RIGHT(TRIM(Raw_Export!B614),2)),DATE(RIGHT(TRIM(Raw_Export!B614),4),MATCH(MID(TRIM(Raw_Export!B614),4,3),{"Jan","Feb","Mar","Apr","May","Jun","Jul","Aug","Sep","Oct","Nov","Dec"},0),LEFT(TRIM(Raw_Export!B614),2)))))</f>
        <v>46269</v>
      </c>
      <c r="C614" s="36" t="str">
        <f aca="false">IF(Raw_Export!$A614="","",IFERROR(VLOOKUP(LOWER(TRIM(Raw_Export!C614)),Maps!$A$2:$B$20,2,FALSE()),"UNMAPPED"))</f>
        <v>Mombasa</v>
      </c>
      <c r="D614" s="36" t="str">
        <f aca="false">IF(Raw_Export!$A614="","",IFERROR(VLOOKUP(LOWER(TRIM(Raw_Export!D614)),Maps!$G$2:$I$80,2,FALSE()),"UNMAPPED"))</f>
        <v>Juice 1L</v>
      </c>
      <c r="E614" s="36" t="str">
        <f aca="false">IF(Raw_Export!$A614="","",IFERROR(VLOOKUP(LOWER(TRIM(Raw_Export!D614)),Maps!$G$2:$I$80,3,FALSE()),"UNMAPPED"))</f>
        <v>Beverages</v>
      </c>
      <c r="F614" s="36" t="n">
        <f aca="false">IF(Raw_Export!$A614="","",IFERROR(VALUE(TRIM(Raw_Export!E614)),0))</f>
        <v>1</v>
      </c>
      <c r="G614" s="38" t="n">
        <f aca="false">IF(Raw_Export!$A614="","",IFERROR(VALUE(SUBSTITUTE(SUBSTITUTE(UPPER(TRIM(Raw_Export!F614)),"KES",""),",","")),0))</f>
        <v>210</v>
      </c>
      <c r="H614" s="38" t="n">
        <f aca="false">IF(Raw_Export!$A614="","",F614*G614)</f>
        <v>210</v>
      </c>
      <c r="I614" s="36" t="str">
        <f aca="false">IF(Raw_Export!$A614="","",IFERROR(VLOOKUP(LOWER(TRIM(Raw_Export!H614)),Maps!$D$2:$E$12,2,FALSE()),"Other"))</f>
        <v>Cash</v>
      </c>
      <c r="J614" s="36" t="str">
        <f aca="false">IF(Raw_Export!$A614="","",IF(COUNTIF($A$2:A614,A614)&gt;1,"Duplicate",""))</f>
        <v/>
      </c>
      <c r="K614" s="36" t="str">
        <f aca="false">IF(Raw_Export!$A614="","",IF(J614="Duplicate","Duplicate",IF(OR(C614="UNMAPPED",D614="UNMAPPED"),"Unmapped",IF(F614=0,"Blank qty",IF(F614&lt;0,"Return","OK")))))</f>
        <v>OK</v>
      </c>
      <c r="L614" s="36" t="n">
        <f aca="false">IF(Raw_Export!$A614="","",IF(OR(K614="OK",K614="Return"),1,0))</f>
        <v>1</v>
      </c>
      <c r="M614" s="37" t="n">
        <f aca="false">IF(Raw_Export!$A614="","",B614-WEEKDAY(B614,2)+1)</f>
        <v>46265</v>
      </c>
    </row>
    <row r="615" customFormat="false" ht="15" hidden="false" customHeight="false" outlineLevel="0" collapsed="false">
      <c r="A615" s="36" t="str">
        <f aca="false">IF(Raw_Export!$A615="","",TRIM(Raw_Export!A615))</f>
        <v>TXN-100601</v>
      </c>
      <c r="B615" s="37" t="n">
        <f aca="false">IF(Raw_Export!$A615="","",IF(ISNUMBER(Raw_Export!B615),Raw_Export!B615,IF(MID(TRIM(Raw_Export!B615),5,1)="-",DATE(LEFT(TRIM(Raw_Export!B615),4),MID(TRIM(Raw_Export!B615),6,2),RIGHT(TRIM(Raw_Export!B615),2)),DATE(RIGHT(TRIM(Raw_Export!B615),4),MATCH(MID(TRIM(Raw_Export!B615),4,3),{"Jan","Feb","Mar","Apr","May","Jun","Jul","Aug","Sep","Oct","Nov","Dec"},0),LEFT(TRIM(Raw_Export!B615),2)))))</f>
        <v>46269</v>
      </c>
      <c r="C615" s="36" t="str">
        <f aca="false">IF(Raw_Export!$A615="","",IFERROR(VLOOKUP(LOWER(TRIM(Raw_Export!C615)),Maps!$A$2:$B$20,2,FALSE()),"UNMAPPED"))</f>
        <v>Mombasa</v>
      </c>
      <c r="D615" s="36" t="str">
        <f aca="false">IF(Raw_Export!$A615="","",IFERROR(VLOOKUP(LOWER(TRIM(Raw_Export!D615)),Maps!$G$2:$I$80,2,FALSE()),"UNMAPPED"))</f>
        <v>Cooking Oil 1L</v>
      </c>
      <c r="E615" s="36" t="str">
        <f aca="false">IF(Raw_Export!$A615="","",IFERROR(VLOOKUP(LOWER(TRIM(Raw_Export!D615)),Maps!$G$2:$I$80,3,FALSE()),"UNMAPPED"))</f>
        <v>Staples</v>
      </c>
      <c r="F615" s="36" t="n">
        <f aca="false">IF(Raw_Export!$A615="","",IFERROR(VALUE(TRIM(Raw_Export!E615)),0))</f>
        <v>1</v>
      </c>
      <c r="G615" s="38" t="n">
        <f aca="false">IF(Raw_Export!$A615="","",IFERROR(VALUE(SUBSTITUTE(SUBSTITUTE(UPPER(TRIM(Raw_Export!F615)),"KES",""),",","")),0))</f>
        <v>330</v>
      </c>
      <c r="H615" s="38" t="n">
        <f aca="false">IF(Raw_Export!$A615="","",F615*G615)</f>
        <v>330</v>
      </c>
      <c r="I615" s="36" t="str">
        <f aca="false">IF(Raw_Export!$A615="","",IFERROR(VLOOKUP(LOWER(TRIM(Raw_Export!H615)),Maps!$D$2:$E$12,2,FALSE()),"Other"))</f>
        <v>M-Pesa</v>
      </c>
      <c r="J615" s="36" t="str">
        <f aca="false">IF(Raw_Export!$A615="","",IF(COUNTIF($A$2:A615,A615)&gt;1,"Duplicate",""))</f>
        <v/>
      </c>
      <c r="K615" s="36" t="str">
        <f aca="false">IF(Raw_Export!$A615="","",IF(J615="Duplicate","Duplicate",IF(OR(C615="UNMAPPED",D615="UNMAPPED"),"Unmapped",IF(F615=0,"Blank qty",IF(F615&lt;0,"Return","OK")))))</f>
        <v>OK</v>
      </c>
      <c r="L615" s="36" t="n">
        <f aca="false">IF(Raw_Export!$A615="","",IF(OR(K615="OK",K615="Return"),1,0))</f>
        <v>1</v>
      </c>
      <c r="M615" s="37" t="n">
        <f aca="false">IF(Raw_Export!$A615="","",B615-WEEKDAY(B615,2)+1)</f>
        <v>46265</v>
      </c>
    </row>
    <row r="616" customFormat="false" ht="15" hidden="false" customHeight="false" outlineLevel="0" collapsed="false">
      <c r="A616" s="36" t="str">
        <f aca="false">IF(Raw_Export!$A616="","",TRIM(Raw_Export!A616))</f>
        <v>TXN-100602</v>
      </c>
      <c r="B616" s="37" t="n">
        <f aca="false">IF(Raw_Export!$A616="","",IF(ISNUMBER(Raw_Export!B616),Raw_Export!B616,IF(MID(TRIM(Raw_Export!B616),5,1)="-",DATE(LEFT(TRIM(Raw_Export!B616),4),MID(TRIM(Raw_Export!B616),6,2),RIGHT(TRIM(Raw_Export!B616),2)),DATE(RIGHT(TRIM(Raw_Export!B616),4),MATCH(MID(TRIM(Raw_Export!B616),4,3),{"Jan","Feb","Mar","Apr","May","Jun","Jul","Aug","Sep","Oct","Nov","Dec"},0),LEFT(TRIM(Raw_Export!B616),2)))))</f>
        <v>46269</v>
      </c>
      <c r="C616" s="36" t="str">
        <f aca="false">IF(Raw_Export!$A616="","",IFERROR(VLOOKUP(LOWER(TRIM(Raw_Export!C616)),Maps!$A$2:$B$20,2,FALSE()),"UNMAPPED"))</f>
        <v>Mombasa</v>
      </c>
      <c r="D616" s="36" t="str">
        <f aca="false">IF(Raw_Export!$A616="","",IFERROR(VLOOKUP(LOWER(TRIM(Raw_Export!D616)),Maps!$G$2:$I$80,2,FALSE()),"UNMAPPED"))</f>
        <v>Sugar 2kg</v>
      </c>
      <c r="E616" s="36" t="str">
        <f aca="false">IF(Raw_Export!$A616="","",IFERROR(VLOOKUP(LOWER(TRIM(Raw_Export!D616)),Maps!$G$2:$I$80,3,FALSE()),"UNMAPPED"))</f>
        <v>Staples</v>
      </c>
      <c r="F616" s="36" t="n">
        <f aca="false">IF(Raw_Export!$A616="","",IFERROR(VALUE(TRIM(Raw_Export!E616)),0))</f>
        <v>1</v>
      </c>
      <c r="G616" s="38" t="n">
        <f aca="false">IF(Raw_Export!$A616="","",IFERROR(VALUE(SUBSTITUTE(SUBSTITUTE(UPPER(TRIM(Raw_Export!F616)),"KES",""),",","")),0))</f>
        <v>330</v>
      </c>
      <c r="H616" s="38" t="n">
        <f aca="false">IF(Raw_Export!$A616="","",F616*G616)</f>
        <v>330</v>
      </c>
      <c r="I616" s="36" t="str">
        <f aca="false">IF(Raw_Export!$A616="","",IFERROR(VLOOKUP(LOWER(TRIM(Raw_Export!H616)),Maps!$D$2:$E$12,2,FALSE()),"Other"))</f>
        <v>M-Pesa</v>
      </c>
      <c r="J616" s="36" t="str">
        <f aca="false">IF(Raw_Export!$A616="","",IF(COUNTIF($A$2:A616,A616)&gt;1,"Duplicate",""))</f>
        <v/>
      </c>
      <c r="K616" s="36" t="str">
        <f aca="false">IF(Raw_Export!$A616="","",IF(J616="Duplicate","Duplicate",IF(OR(C616="UNMAPPED",D616="UNMAPPED"),"Unmapped",IF(F616=0,"Blank qty",IF(F616&lt;0,"Return","OK")))))</f>
        <v>OK</v>
      </c>
      <c r="L616" s="36" t="n">
        <f aca="false">IF(Raw_Export!$A616="","",IF(OR(K616="OK",K616="Return"),1,0))</f>
        <v>1</v>
      </c>
      <c r="M616" s="37" t="n">
        <f aca="false">IF(Raw_Export!$A616="","",B616-WEEKDAY(B616,2)+1)</f>
        <v>46265</v>
      </c>
    </row>
    <row r="617" customFormat="false" ht="15" hidden="false" customHeight="false" outlineLevel="0" collapsed="false">
      <c r="A617" s="36" t="str">
        <f aca="false">IF(Raw_Export!$A617="","",TRIM(Raw_Export!A617))</f>
        <v>TXN-100603</v>
      </c>
      <c r="B617" s="37" t="n">
        <f aca="false">IF(Raw_Export!$A617="","",IF(ISNUMBER(Raw_Export!B617),Raw_Export!B617,IF(MID(TRIM(Raw_Export!B617),5,1)="-",DATE(LEFT(TRIM(Raw_Export!B617),4),MID(TRIM(Raw_Export!B617),6,2),RIGHT(TRIM(Raw_Export!B617),2)),DATE(RIGHT(TRIM(Raw_Export!B617),4),MATCH(MID(TRIM(Raw_Export!B617),4,3),{"Jan","Feb","Mar","Apr","May","Jun","Jul","Aug","Sep","Oct","Nov","Dec"},0),LEFT(TRIM(Raw_Export!B617),2)))))</f>
        <v>46269</v>
      </c>
      <c r="C617" s="36" t="str">
        <f aca="false">IF(Raw_Export!$A617="","",IFERROR(VLOOKUP(LOWER(TRIM(Raw_Export!C617)),Maps!$A$2:$B$20,2,FALSE()),"UNMAPPED"))</f>
        <v>Mombasa</v>
      </c>
      <c r="D617" s="36" t="str">
        <f aca="false">IF(Raw_Export!$A617="","",IFERROR(VLOOKUP(LOWER(TRIM(Raw_Export!D617)),Maps!$G$2:$I$80,2,FALSE()),"UNMAPPED"))</f>
        <v>Cooking Oil 1L</v>
      </c>
      <c r="E617" s="36" t="str">
        <f aca="false">IF(Raw_Export!$A617="","",IFERROR(VLOOKUP(LOWER(TRIM(Raw_Export!D617)),Maps!$G$2:$I$80,3,FALSE()),"UNMAPPED"))</f>
        <v>Staples</v>
      </c>
      <c r="F617" s="36" t="n">
        <f aca="false">IF(Raw_Export!$A617="","",IFERROR(VALUE(TRIM(Raw_Export!E617)),0))</f>
        <v>2</v>
      </c>
      <c r="G617" s="38" t="n">
        <f aca="false">IF(Raw_Export!$A617="","",IFERROR(VALUE(SUBSTITUTE(SUBSTITUTE(UPPER(TRIM(Raw_Export!F617)),"KES",""),",","")),0))</f>
        <v>297</v>
      </c>
      <c r="H617" s="38" t="n">
        <f aca="false">IF(Raw_Export!$A617="","",F617*G617)</f>
        <v>594</v>
      </c>
      <c r="I617" s="36" t="str">
        <f aca="false">IF(Raw_Export!$A617="","",IFERROR(VLOOKUP(LOWER(TRIM(Raw_Export!H617)),Maps!$D$2:$E$12,2,FALSE()),"Other"))</f>
        <v>Cash</v>
      </c>
      <c r="J617" s="36" t="str">
        <f aca="false">IF(Raw_Export!$A617="","",IF(COUNTIF($A$2:A617,A617)&gt;1,"Duplicate",""))</f>
        <v/>
      </c>
      <c r="K617" s="36" t="str">
        <f aca="false">IF(Raw_Export!$A617="","",IF(J617="Duplicate","Duplicate",IF(OR(C617="UNMAPPED",D617="UNMAPPED"),"Unmapped",IF(F617=0,"Blank qty",IF(F617&lt;0,"Return","OK")))))</f>
        <v>OK</v>
      </c>
      <c r="L617" s="36" t="n">
        <f aca="false">IF(Raw_Export!$A617="","",IF(OR(K617="OK",K617="Return"),1,0))</f>
        <v>1</v>
      </c>
      <c r="M617" s="37" t="n">
        <f aca="false">IF(Raw_Export!$A617="","",B617-WEEKDAY(B617,2)+1)</f>
        <v>46265</v>
      </c>
    </row>
    <row r="618" customFormat="false" ht="15" hidden="false" customHeight="false" outlineLevel="0" collapsed="false">
      <c r="A618" s="36" t="str">
        <f aca="false">IF(Raw_Export!$A618="","",TRIM(Raw_Export!A618))</f>
        <v>TXN-100604</v>
      </c>
      <c r="B618" s="37" t="n">
        <f aca="false">IF(Raw_Export!$A618="","",IF(ISNUMBER(Raw_Export!B618),Raw_Export!B618,IF(MID(TRIM(Raw_Export!B618),5,1)="-",DATE(LEFT(TRIM(Raw_Export!B618),4),MID(TRIM(Raw_Export!B618),6,2),RIGHT(TRIM(Raw_Export!B618),2)),DATE(RIGHT(TRIM(Raw_Export!B618),4),MATCH(MID(TRIM(Raw_Export!B618),4,3),{"Jan","Feb","Mar","Apr","May","Jun","Jul","Aug","Sep","Oct","Nov","Dec"},0),LEFT(TRIM(Raw_Export!B618),2)))))</f>
        <v>46269</v>
      </c>
      <c r="C618" s="36" t="str">
        <f aca="false">IF(Raw_Export!$A618="","",IFERROR(VLOOKUP(LOWER(TRIM(Raw_Export!C618)),Maps!$A$2:$B$20,2,FALSE()),"UNMAPPED"))</f>
        <v>Mombasa</v>
      </c>
      <c r="D618" s="36" t="str">
        <f aca="false">IF(Raw_Export!$A618="","",IFERROR(VLOOKUP(LOWER(TRIM(Raw_Export!D618)),Maps!$G$2:$I$80,2,FALSE()),"UNMAPPED"))</f>
        <v>Washing Powder 1kg</v>
      </c>
      <c r="E618" s="36" t="str">
        <f aca="false">IF(Raw_Export!$A618="","",IFERROR(VLOOKUP(LOWER(TRIM(Raw_Export!D618)),Maps!$G$2:$I$80,3,FALSE()),"UNMAPPED"))</f>
        <v>Household</v>
      </c>
      <c r="F618" s="36" t="n">
        <f aca="false">IF(Raw_Export!$A618="","",IFERROR(VALUE(TRIM(Raw_Export!E618)),0))</f>
        <v>3</v>
      </c>
      <c r="G618" s="38" t="n">
        <f aca="false">IF(Raw_Export!$A618="","",IFERROR(VALUE(SUBSTITUTE(SUBSTITUTE(UPPER(TRIM(Raw_Export!F618)),"KES",""),",","")),0))</f>
        <v>280</v>
      </c>
      <c r="H618" s="38" t="n">
        <f aca="false">IF(Raw_Export!$A618="","",F618*G618)</f>
        <v>840</v>
      </c>
      <c r="I618" s="36" t="str">
        <f aca="false">IF(Raw_Export!$A618="","",IFERROR(VLOOKUP(LOWER(TRIM(Raw_Export!H618)),Maps!$D$2:$E$12,2,FALSE()),"Other"))</f>
        <v>M-Pesa</v>
      </c>
      <c r="J618" s="36" t="str">
        <f aca="false">IF(Raw_Export!$A618="","",IF(COUNTIF($A$2:A618,A618)&gt;1,"Duplicate",""))</f>
        <v/>
      </c>
      <c r="K618" s="36" t="str">
        <f aca="false">IF(Raw_Export!$A618="","",IF(J618="Duplicate","Duplicate",IF(OR(C618="UNMAPPED",D618="UNMAPPED"),"Unmapped",IF(F618=0,"Blank qty",IF(F618&lt;0,"Return","OK")))))</f>
        <v>OK</v>
      </c>
      <c r="L618" s="36" t="n">
        <f aca="false">IF(Raw_Export!$A618="","",IF(OR(K618="OK",K618="Return"),1,0))</f>
        <v>1</v>
      </c>
      <c r="M618" s="37" t="n">
        <f aca="false">IF(Raw_Export!$A618="","",B618-WEEKDAY(B618,2)+1)</f>
        <v>46265</v>
      </c>
    </row>
    <row r="619" customFormat="false" ht="15" hidden="false" customHeight="false" outlineLevel="0" collapsed="false">
      <c r="A619" s="36" t="str">
        <f aca="false">IF(Raw_Export!$A619="","",TRIM(Raw_Export!A619))</f>
        <v>TXN-100605</v>
      </c>
      <c r="B619" s="37" t="n">
        <f aca="false">IF(Raw_Export!$A619="","",IF(ISNUMBER(Raw_Export!B619),Raw_Export!B619,IF(MID(TRIM(Raw_Export!B619),5,1)="-",DATE(LEFT(TRIM(Raw_Export!B619),4),MID(TRIM(Raw_Export!B619),6,2),RIGHT(TRIM(Raw_Export!B619),2)),DATE(RIGHT(TRIM(Raw_Export!B619),4),MATCH(MID(TRIM(Raw_Export!B619),4,3),{"Jan","Feb","Mar","Apr","May","Jun","Jul","Aug","Sep","Oct","Nov","Dec"},0),LEFT(TRIM(Raw_Export!B619),2)))))</f>
        <v>46269</v>
      </c>
      <c r="C619" s="36" t="str">
        <f aca="false">IF(Raw_Export!$A619="","",IFERROR(VLOOKUP(LOWER(TRIM(Raw_Export!C619)),Maps!$A$2:$B$20,2,FALSE()),"UNMAPPED"))</f>
        <v>Mombasa</v>
      </c>
      <c r="D619" s="36" t="str">
        <f aca="false">IF(Raw_Export!$A619="","",IFERROR(VLOOKUP(LOWER(TRIM(Raw_Export!D619)),Maps!$G$2:$I$80,2,FALSE()),"UNMAPPED"))</f>
        <v>Unga Pembe 2kg</v>
      </c>
      <c r="E619" s="36" t="str">
        <f aca="false">IF(Raw_Export!$A619="","",IFERROR(VLOOKUP(LOWER(TRIM(Raw_Export!D619)),Maps!$G$2:$I$80,3,FALSE()),"UNMAPPED"))</f>
        <v>Staples</v>
      </c>
      <c r="F619" s="36" t="n">
        <f aca="false">IF(Raw_Export!$A619="","",IFERROR(VALUE(TRIM(Raw_Export!E619)),0))</f>
        <v>1</v>
      </c>
      <c r="G619" s="38" t="n">
        <f aca="false">IF(Raw_Export!$A619="","",IFERROR(VALUE(SUBSTITUTE(SUBSTITUTE(UPPER(TRIM(Raw_Export!F619)),"KES",""),",","")),0))</f>
        <v>190</v>
      </c>
      <c r="H619" s="38" t="n">
        <f aca="false">IF(Raw_Export!$A619="","",F619*G619)</f>
        <v>190</v>
      </c>
      <c r="I619" s="36" t="str">
        <f aca="false">IF(Raw_Export!$A619="","",IFERROR(VLOOKUP(LOWER(TRIM(Raw_Export!H619)),Maps!$D$2:$E$12,2,FALSE()),"Other"))</f>
        <v>M-Pesa</v>
      </c>
      <c r="J619" s="36" t="str">
        <f aca="false">IF(Raw_Export!$A619="","",IF(COUNTIF($A$2:A619,A619)&gt;1,"Duplicate",""))</f>
        <v/>
      </c>
      <c r="K619" s="36" t="str">
        <f aca="false">IF(Raw_Export!$A619="","",IF(J619="Duplicate","Duplicate",IF(OR(C619="UNMAPPED",D619="UNMAPPED"),"Unmapped",IF(F619=0,"Blank qty",IF(F619&lt;0,"Return","OK")))))</f>
        <v>OK</v>
      </c>
      <c r="L619" s="36" t="n">
        <f aca="false">IF(Raw_Export!$A619="","",IF(OR(K619="OK",K619="Return"),1,0))</f>
        <v>1</v>
      </c>
      <c r="M619" s="37" t="n">
        <f aca="false">IF(Raw_Export!$A619="","",B619-WEEKDAY(B619,2)+1)</f>
        <v>46265</v>
      </c>
    </row>
    <row r="620" customFormat="false" ht="15" hidden="false" customHeight="false" outlineLevel="0" collapsed="false">
      <c r="A620" s="36" t="str">
        <f aca="false">IF(Raw_Export!$A620="","",TRIM(Raw_Export!A620))</f>
        <v>TXN-100606</v>
      </c>
      <c r="B620" s="37" t="n">
        <f aca="false">IF(Raw_Export!$A620="","",IF(ISNUMBER(Raw_Export!B620),Raw_Export!B620,IF(MID(TRIM(Raw_Export!B620),5,1)="-",DATE(LEFT(TRIM(Raw_Export!B620),4),MID(TRIM(Raw_Export!B620),6,2),RIGHT(TRIM(Raw_Export!B620),2)),DATE(RIGHT(TRIM(Raw_Export!B620),4),MATCH(MID(TRIM(Raw_Export!B620),4,3),{"Jan","Feb","Mar","Apr","May","Jun","Jul","Aug","Sep","Oct","Nov","Dec"},0),LEFT(TRIM(Raw_Export!B620),2)))))</f>
        <v>46269</v>
      </c>
      <c r="C620" s="36" t="str">
        <f aca="false">IF(Raw_Export!$A620="","",IFERROR(VLOOKUP(LOWER(TRIM(Raw_Export!C620)),Maps!$A$2:$B$20,2,FALSE()),"UNMAPPED"))</f>
        <v>Mombasa</v>
      </c>
      <c r="D620" s="36" t="str">
        <f aca="false">IF(Raw_Export!$A620="","",IFERROR(VLOOKUP(LOWER(TRIM(Raw_Export!D620)),Maps!$G$2:$I$80,2,FALSE()),"UNMAPPED"))</f>
        <v>Bath Soap 175g</v>
      </c>
      <c r="E620" s="36" t="str">
        <f aca="false">IF(Raw_Export!$A620="","",IFERROR(VLOOKUP(LOWER(TRIM(Raw_Export!D620)),Maps!$G$2:$I$80,3,FALSE()),"UNMAPPED"))</f>
        <v>Personal Care</v>
      </c>
      <c r="F620" s="36" t="n">
        <f aca="false">IF(Raw_Export!$A620="","",IFERROR(VALUE(TRIM(Raw_Export!E620)),0))</f>
        <v>2</v>
      </c>
      <c r="G620" s="38" t="n">
        <f aca="false">IF(Raw_Export!$A620="","",IFERROR(VALUE(SUBSTITUTE(SUBSTITUTE(UPPER(TRIM(Raw_Export!F620)),"KES",""),",","")),0))</f>
        <v>76</v>
      </c>
      <c r="H620" s="38" t="n">
        <f aca="false">IF(Raw_Export!$A620="","",F620*G620)</f>
        <v>152</v>
      </c>
      <c r="I620" s="36" t="str">
        <f aca="false">IF(Raw_Export!$A620="","",IFERROR(VLOOKUP(LOWER(TRIM(Raw_Export!H620)),Maps!$D$2:$E$12,2,FALSE()),"Other"))</f>
        <v>Cash</v>
      </c>
      <c r="J620" s="36" t="str">
        <f aca="false">IF(Raw_Export!$A620="","",IF(COUNTIF($A$2:A620,A620)&gt;1,"Duplicate",""))</f>
        <v/>
      </c>
      <c r="K620" s="36" t="str">
        <f aca="false">IF(Raw_Export!$A620="","",IF(J620="Duplicate","Duplicate",IF(OR(C620="UNMAPPED",D620="UNMAPPED"),"Unmapped",IF(F620=0,"Blank qty",IF(F620&lt;0,"Return","OK")))))</f>
        <v>OK</v>
      </c>
      <c r="L620" s="36" t="n">
        <f aca="false">IF(Raw_Export!$A620="","",IF(OR(K620="OK",K620="Return"),1,0))</f>
        <v>1</v>
      </c>
      <c r="M620" s="37" t="n">
        <f aca="false">IF(Raw_Export!$A620="","",B620-WEEKDAY(B620,2)+1)</f>
        <v>46265</v>
      </c>
    </row>
    <row r="621" customFormat="false" ht="15" hidden="false" customHeight="false" outlineLevel="0" collapsed="false">
      <c r="A621" s="36" t="str">
        <f aca="false">IF(Raw_Export!$A621="","",TRIM(Raw_Export!A621))</f>
        <v>TXN-100607</v>
      </c>
      <c r="B621" s="37" t="n">
        <f aca="false">IF(Raw_Export!$A621="","",IF(ISNUMBER(Raw_Export!B621),Raw_Export!B621,IF(MID(TRIM(Raw_Export!B621),5,1)="-",DATE(LEFT(TRIM(Raw_Export!B621),4),MID(TRIM(Raw_Export!B621),6,2),RIGHT(TRIM(Raw_Export!B621),2)),DATE(RIGHT(TRIM(Raw_Export!B621),4),MATCH(MID(TRIM(Raw_Export!B621),4,3),{"Jan","Feb","Mar","Apr","May","Jun","Jul","Aug","Sep","Oct","Nov","Dec"},0),LEFT(TRIM(Raw_Export!B621),2)))))</f>
        <v>46269</v>
      </c>
      <c r="C621" s="36" t="str">
        <f aca="false">IF(Raw_Export!$A621="","",IFERROR(VLOOKUP(LOWER(TRIM(Raw_Export!C621)),Maps!$A$2:$B$20,2,FALSE()),"UNMAPPED"))</f>
        <v>Mombasa</v>
      </c>
      <c r="D621" s="36" t="str">
        <f aca="false">IF(Raw_Export!$A621="","",IFERROR(VLOOKUP(LOWER(TRIM(Raw_Export!D621)),Maps!$G$2:$I$80,2,FALSE()),"UNMAPPED"))</f>
        <v>Biscuits 200g</v>
      </c>
      <c r="E621" s="36" t="str">
        <f aca="false">IF(Raw_Export!$A621="","",IFERROR(VLOOKUP(LOWER(TRIM(Raw_Export!D621)),Maps!$G$2:$I$80,3,FALSE()),"UNMAPPED"))</f>
        <v>Snacks</v>
      </c>
      <c r="F621" s="36" t="n">
        <f aca="false">IF(Raw_Export!$A621="","",IFERROR(VALUE(TRIM(Raw_Export!E621)),0))</f>
        <v>6</v>
      </c>
      <c r="G621" s="38" t="n">
        <f aca="false">IF(Raw_Export!$A621="","",IFERROR(VALUE(SUBSTITUTE(SUBSTITUTE(UPPER(TRIM(Raw_Export!F621)),"KES",""),",","")),0))</f>
        <v>95</v>
      </c>
      <c r="H621" s="38" t="n">
        <f aca="false">IF(Raw_Export!$A621="","",F621*G621)</f>
        <v>570</v>
      </c>
      <c r="I621" s="36" t="str">
        <f aca="false">IF(Raw_Export!$A621="","",IFERROR(VLOOKUP(LOWER(TRIM(Raw_Export!H621)),Maps!$D$2:$E$12,2,FALSE()),"Other"))</f>
        <v>M-Pesa</v>
      </c>
      <c r="J621" s="36" t="str">
        <f aca="false">IF(Raw_Export!$A621="","",IF(COUNTIF($A$2:A621,A621)&gt;1,"Duplicate",""))</f>
        <v/>
      </c>
      <c r="K621" s="36" t="str">
        <f aca="false">IF(Raw_Export!$A621="","",IF(J621="Duplicate","Duplicate",IF(OR(C621="UNMAPPED",D621="UNMAPPED"),"Unmapped",IF(F621=0,"Blank qty",IF(F621&lt;0,"Return","OK")))))</f>
        <v>OK</v>
      </c>
      <c r="L621" s="36" t="n">
        <f aca="false">IF(Raw_Export!$A621="","",IF(OR(K621="OK",K621="Return"),1,0))</f>
        <v>1</v>
      </c>
      <c r="M621" s="37" t="n">
        <f aca="false">IF(Raw_Export!$A621="","",B621-WEEKDAY(B621,2)+1)</f>
        <v>46265</v>
      </c>
    </row>
    <row r="622" customFormat="false" ht="15" hidden="false" customHeight="false" outlineLevel="0" collapsed="false">
      <c r="A622" s="36" t="str">
        <f aca="false">IF(Raw_Export!$A622="","",TRIM(Raw_Export!A622))</f>
        <v>TXN-100608</v>
      </c>
      <c r="B622" s="37" t="n">
        <f aca="false">IF(Raw_Export!$A622="","",IF(ISNUMBER(Raw_Export!B622),Raw_Export!B622,IF(MID(TRIM(Raw_Export!B622),5,1)="-",DATE(LEFT(TRIM(Raw_Export!B622),4),MID(TRIM(Raw_Export!B622),6,2),RIGHT(TRIM(Raw_Export!B622),2)),DATE(RIGHT(TRIM(Raw_Export!B622),4),MATCH(MID(TRIM(Raw_Export!B622),4,3),{"Jan","Feb","Mar","Apr","May","Jun","Jul","Aug","Sep","Oct","Nov","Dec"},0),LEFT(TRIM(Raw_Export!B622),2)))))</f>
        <v>46269</v>
      </c>
      <c r="C622" s="36" t="str">
        <f aca="false">IF(Raw_Export!$A622="","",IFERROR(VLOOKUP(LOWER(TRIM(Raw_Export!C622)),Maps!$A$2:$B$20,2,FALSE()),"UNMAPPED"))</f>
        <v>Mombasa</v>
      </c>
      <c r="D622" s="36" t="str">
        <f aca="false">IF(Raw_Export!$A622="","",IFERROR(VLOOKUP(LOWER(TRIM(Raw_Export!D622)),Maps!$G$2:$I$80,2,FALSE()),"UNMAPPED"))</f>
        <v>Yoghurt 500ml</v>
      </c>
      <c r="E622" s="36" t="str">
        <f aca="false">IF(Raw_Export!$A622="","",IFERROR(VLOOKUP(LOWER(TRIM(Raw_Export!D622)),Maps!$G$2:$I$80,3,FALSE()),"UNMAPPED"))</f>
        <v>Dairy &amp; Eggs</v>
      </c>
      <c r="F622" s="36" t="n">
        <f aca="false">IF(Raw_Export!$A622="","",IFERROR(VALUE(TRIM(Raw_Export!E622)),0))</f>
        <v>3</v>
      </c>
      <c r="G622" s="38" t="n">
        <f aca="false">IF(Raw_Export!$A622="","",IFERROR(VALUE(SUBSTITUTE(SUBSTITUTE(UPPER(TRIM(Raw_Export!F622)),"KES",""),",","")),0))</f>
        <v>120</v>
      </c>
      <c r="H622" s="38" t="n">
        <f aca="false">IF(Raw_Export!$A622="","",F622*G622)</f>
        <v>360</v>
      </c>
      <c r="I622" s="36" t="str">
        <f aca="false">IF(Raw_Export!$A622="","",IFERROR(VLOOKUP(LOWER(TRIM(Raw_Export!H622)),Maps!$D$2:$E$12,2,FALSE()),"Other"))</f>
        <v>M-Pesa</v>
      </c>
      <c r="J622" s="36" t="str">
        <f aca="false">IF(Raw_Export!$A622="","",IF(COUNTIF($A$2:A622,A622)&gt;1,"Duplicate",""))</f>
        <v/>
      </c>
      <c r="K622" s="36" t="str">
        <f aca="false">IF(Raw_Export!$A622="","",IF(J622="Duplicate","Duplicate",IF(OR(C622="UNMAPPED",D622="UNMAPPED"),"Unmapped",IF(F622=0,"Blank qty",IF(F622&lt;0,"Return","OK")))))</f>
        <v>OK</v>
      </c>
      <c r="L622" s="36" t="n">
        <f aca="false">IF(Raw_Export!$A622="","",IF(OR(K622="OK",K622="Return"),1,0))</f>
        <v>1</v>
      </c>
      <c r="M622" s="37" t="n">
        <f aca="false">IF(Raw_Export!$A622="","",B622-WEEKDAY(B622,2)+1)</f>
        <v>46265</v>
      </c>
    </row>
    <row r="623" customFormat="false" ht="15" hidden="false" customHeight="false" outlineLevel="0" collapsed="false">
      <c r="A623" s="36" t="str">
        <f aca="false">IF(Raw_Export!$A623="","",TRIM(Raw_Export!A623))</f>
        <v>TXN-100609</v>
      </c>
      <c r="B623" s="37" t="n">
        <f aca="false">IF(Raw_Export!$A623="","",IF(ISNUMBER(Raw_Export!B623),Raw_Export!B623,IF(MID(TRIM(Raw_Export!B623),5,1)="-",DATE(LEFT(TRIM(Raw_Export!B623),4),MID(TRIM(Raw_Export!B623),6,2),RIGHT(TRIM(Raw_Export!B623),2)),DATE(RIGHT(TRIM(Raw_Export!B623),4),MATCH(MID(TRIM(Raw_Export!B623),4,3),{"Jan","Feb","Mar","Apr","May","Jun","Jul","Aug","Sep","Oct","Nov","Dec"},0),LEFT(TRIM(Raw_Export!B623),2)))))</f>
        <v>46269</v>
      </c>
      <c r="C623" s="36" t="str">
        <f aca="false">IF(Raw_Export!$A623="","",IFERROR(VLOOKUP(LOWER(TRIM(Raw_Export!C623)),Maps!$A$2:$B$20,2,FALSE()),"UNMAPPED"))</f>
        <v>Mombasa</v>
      </c>
      <c r="D623" s="36" t="str">
        <f aca="false">IF(Raw_Export!$A623="","",IFERROR(VLOOKUP(LOWER(TRIM(Raw_Export!D623)),Maps!$G$2:$I$80,2,FALSE()),"UNMAPPED"))</f>
        <v>Soda 500ml</v>
      </c>
      <c r="E623" s="36" t="str">
        <f aca="false">IF(Raw_Export!$A623="","",IFERROR(VLOOKUP(LOWER(TRIM(Raw_Export!D623)),Maps!$G$2:$I$80,3,FALSE()),"UNMAPPED"))</f>
        <v>Beverages</v>
      </c>
      <c r="F623" s="36" t="n">
        <f aca="false">IF(Raw_Export!$A623="","",IFERROR(VALUE(TRIM(Raw_Export!E623)),0))</f>
        <v>1</v>
      </c>
      <c r="G623" s="38" t="n">
        <f aca="false">IF(Raw_Export!$A623="","",IFERROR(VALUE(SUBSTITUTE(SUBSTITUTE(UPPER(TRIM(Raw_Export!F623)),"KES",""),",","")),0))</f>
        <v>60</v>
      </c>
      <c r="H623" s="38" t="n">
        <f aca="false">IF(Raw_Export!$A623="","",F623*G623)</f>
        <v>60</v>
      </c>
      <c r="I623" s="36" t="str">
        <f aca="false">IF(Raw_Export!$A623="","",IFERROR(VLOOKUP(LOWER(TRIM(Raw_Export!H623)),Maps!$D$2:$E$12,2,FALSE()),"Other"))</f>
        <v>Card</v>
      </c>
      <c r="J623" s="36" t="str">
        <f aca="false">IF(Raw_Export!$A623="","",IF(COUNTIF($A$2:A623,A623)&gt;1,"Duplicate",""))</f>
        <v/>
      </c>
      <c r="K623" s="36" t="str">
        <f aca="false">IF(Raw_Export!$A623="","",IF(J623="Duplicate","Duplicate",IF(OR(C623="UNMAPPED",D623="UNMAPPED"),"Unmapped",IF(F623=0,"Blank qty",IF(F623&lt;0,"Return","OK")))))</f>
        <v>OK</v>
      </c>
      <c r="L623" s="36" t="n">
        <f aca="false">IF(Raw_Export!$A623="","",IF(OR(K623="OK",K623="Return"),1,0))</f>
        <v>1</v>
      </c>
      <c r="M623" s="37" t="n">
        <f aca="false">IF(Raw_Export!$A623="","",B623-WEEKDAY(B623,2)+1)</f>
        <v>46265</v>
      </c>
    </row>
    <row r="624" customFormat="false" ht="15" hidden="false" customHeight="false" outlineLevel="0" collapsed="false">
      <c r="A624" s="36" t="str">
        <f aca="false">IF(Raw_Export!$A624="","",TRIM(Raw_Export!A624))</f>
        <v>TXN-100610</v>
      </c>
      <c r="B624" s="37" t="n">
        <f aca="false">IF(Raw_Export!$A624="","",IF(ISNUMBER(Raw_Export!B624),Raw_Export!B624,IF(MID(TRIM(Raw_Export!B624),5,1)="-",DATE(LEFT(TRIM(Raw_Export!B624),4),MID(TRIM(Raw_Export!B624),6,2),RIGHT(TRIM(Raw_Export!B624),2)),DATE(RIGHT(TRIM(Raw_Export!B624),4),MATCH(MID(TRIM(Raw_Export!B624),4,3),{"Jan","Feb","Mar","Apr","May","Jun","Jul","Aug","Sep","Oct","Nov","Dec"},0),LEFT(TRIM(Raw_Export!B624),2)))))</f>
        <v>46269</v>
      </c>
      <c r="C624" s="36" t="str">
        <f aca="false">IF(Raw_Export!$A624="","",IFERROR(VLOOKUP(LOWER(TRIM(Raw_Export!C624)),Maps!$A$2:$B$20,2,FALSE()),"UNMAPPED"))</f>
        <v>Mombasa</v>
      </c>
      <c r="D624" s="36" t="str">
        <f aca="false">IF(Raw_Export!$A624="","",IFERROR(VLOOKUP(LOWER(TRIM(Raw_Export!D624)),Maps!$G$2:$I$80,2,FALSE()),"UNMAPPED"))</f>
        <v>Salt 500g</v>
      </c>
      <c r="E624" s="36" t="str">
        <f aca="false">IF(Raw_Export!$A624="","",IFERROR(VLOOKUP(LOWER(TRIM(Raw_Export!D624)),Maps!$G$2:$I$80,3,FALSE()),"UNMAPPED"))</f>
        <v>Staples</v>
      </c>
      <c r="F624" s="36" t="n">
        <f aca="false">IF(Raw_Export!$A624="","",IFERROR(VALUE(TRIM(Raw_Export!E624)),0))</f>
        <v>4</v>
      </c>
      <c r="G624" s="38" t="n">
        <f aca="false">IF(Raw_Export!$A624="","",IFERROR(VALUE(SUBSTITUTE(SUBSTITUTE(UPPER(TRIM(Raw_Export!F624)),"KES",""),",","")),0))</f>
        <v>40</v>
      </c>
      <c r="H624" s="38" t="n">
        <f aca="false">IF(Raw_Export!$A624="","",F624*G624)</f>
        <v>160</v>
      </c>
      <c r="I624" s="36" t="str">
        <f aca="false">IF(Raw_Export!$A624="","",IFERROR(VLOOKUP(LOWER(TRIM(Raw_Export!H624)),Maps!$D$2:$E$12,2,FALSE()),"Other"))</f>
        <v>Cash</v>
      </c>
      <c r="J624" s="36" t="str">
        <f aca="false">IF(Raw_Export!$A624="","",IF(COUNTIF($A$2:A624,A624)&gt;1,"Duplicate",""))</f>
        <v/>
      </c>
      <c r="K624" s="36" t="str">
        <f aca="false">IF(Raw_Export!$A624="","",IF(J624="Duplicate","Duplicate",IF(OR(C624="UNMAPPED",D624="UNMAPPED"),"Unmapped",IF(F624=0,"Blank qty",IF(F624&lt;0,"Return","OK")))))</f>
        <v>OK</v>
      </c>
      <c r="L624" s="36" t="n">
        <f aca="false">IF(Raw_Export!$A624="","",IF(OR(K624="OK",K624="Return"),1,0))</f>
        <v>1</v>
      </c>
      <c r="M624" s="37" t="n">
        <f aca="false">IF(Raw_Export!$A624="","",B624-WEEKDAY(B624,2)+1)</f>
        <v>46265</v>
      </c>
    </row>
    <row r="625" customFormat="false" ht="15" hidden="false" customHeight="false" outlineLevel="0" collapsed="false">
      <c r="A625" s="36" t="str">
        <f aca="false">IF(Raw_Export!$A625="","",TRIM(Raw_Export!A625))</f>
        <v>TXN-100611</v>
      </c>
      <c r="B625" s="37" t="n">
        <f aca="false">IF(Raw_Export!$A625="","",IF(ISNUMBER(Raw_Export!B625),Raw_Export!B625,IF(MID(TRIM(Raw_Export!B625),5,1)="-",DATE(LEFT(TRIM(Raw_Export!B625),4),MID(TRIM(Raw_Export!B625),6,2),RIGHT(TRIM(Raw_Export!B625),2)),DATE(RIGHT(TRIM(Raw_Export!B625),4),MATCH(MID(TRIM(Raw_Export!B625),4,3),{"Jan","Feb","Mar","Apr","May","Jun","Jul","Aug","Sep","Oct","Nov","Dec"},0),LEFT(TRIM(Raw_Export!B625),2)))))</f>
        <v>46269</v>
      </c>
      <c r="C625" s="36" t="str">
        <f aca="false">IF(Raw_Export!$A625="","",IFERROR(VLOOKUP(LOWER(TRIM(Raw_Export!C625)),Maps!$A$2:$B$20,2,FALSE()),"UNMAPPED"))</f>
        <v>Mombasa</v>
      </c>
      <c r="D625" s="36" t="str">
        <f aca="false">IF(Raw_Export!$A625="","",IFERROR(VLOOKUP(LOWER(TRIM(Raw_Export!D625)),Maps!$G$2:$I$80,2,FALSE()),"UNMAPPED"))</f>
        <v>Rice Pishori 2kg</v>
      </c>
      <c r="E625" s="36" t="str">
        <f aca="false">IF(Raw_Export!$A625="","",IFERROR(VLOOKUP(LOWER(TRIM(Raw_Export!D625)),Maps!$G$2:$I$80,3,FALSE()),"UNMAPPED"))</f>
        <v>Staples</v>
      </c>
      <c r="F625" s="36" t="n">
        <f aca="false">IF(Raw_Export!$A625="","",IFERROR(VALUE(TRIM(Raw_Export!E625)),0))</f>
        <v>4</v>
      </c>
      <c r="G625" s="38" t="n">
        <f aca="false">IF(Raw_Export!$A625="","",IFERROR(VALUE(SUBSTITUTE(SUBSTITUTE(UPPER(TRIM(Raw_Export!F625)),"KES",""),",","")),0))</f>
        <v>420</v>
      </c>
      <c r="H625" s="38" t="n">
        <f aca="false">IF(Raw_Export!$A625="","",F625*G625)</f>
        <v>1680</v>
      </c>
      <c r="I625" s="36" t="str">
        <f aca="false">IF(Raw_Export!$A625="","",IFERROR(VLOOKUP(LOWER(TRIM(Raw_Export!H625)),Maps!$D$2:$E$12,2,FALSE()),"Other"))</f>
        <v>Cash</v>
      </c>
      <c r="J625" s="36" t="str">
        <f aca="false">IF(Raw_Export!$A625="","",IF(COUNTIF($A$2:A625,A625)&gt;1,"Duplicate",""))</f>
        <v/>
      </c>
      <c r="K625" s="36" t="str">
        <f aca="false">IF(Raw_Export!$A625="","",IF(J625="Duplicate","Duplicate",IF(OR(C625="UNMAPPED",D625="UNMAPPED"),"Unmapped",IF(F625=0,"Blank qty",IF(F625&lt;0,"Return","OK")))))</f>
        <v>OK</v>
      </c>
      <c r="L625" s="36" t="n">
        <f aca="false">IF(Raw_Export!$A625="","",IF(OR(K625="OK",K625="Return"),1,0))</f>
        <v>1</v>
      </c>
      <c r="M625" s="37" t="n">
        <f aca="false">IF(Raw_Export!$A625="","",B625-WEEKDAY(B625,2)+1)</f>
        <v>46265</v>
      </c>
    </row>
    <row r="626" customFormat="false" ht="15" hidden="false" customHeight="false" outlineLevel="0" collapsed="false">
      <c r="A626" s="36" t="str">
        <f aca="false">IF(Raw_Export!$A626="","",TRIM(Raw_Export!A626))</f>
        <v>TXN-100612</v>
      </c>
      <c r="B626" s="37" t="n">
        <f aca="false">IF(Raw_Export!$A626="","",IF(ISNUMBER(Raw_Export!B626),Raw_Export!B626,IF(MID(TRIM(Raw_Export!B626),5,1)="-",DATE(LEFT(TRIM(Raw_Export!B626),4),MID(TRIM(Raw_Export!B626),6,2),RIGHT(TRIM(Raw_Export!B626),2)),DATE(RIGHT(TRIM(Raw_Export!B626),4),MATCH(MID(TRIM(Raw_Export!B626),4,3),{"Jan","Feb","Mar","Apr","May","Jun","Jul","Aug","Sep","Oct","Nov","Dec"},0),LEFT(TRIM(Raw_Export!B626),2)))))</f>
        <v>46269</v>
      </c>
      <c r="C626" s="36" t="str">
        <f aca="false">IF(Raw_Export!$A626="","",IFERROR(VLOOKUP(LOWER(TRIM(Raw_Export!C626)),Maps!$A$2:$B$20,2,FALSE()),"UNMAPPED"))</f>
        <v>Mombasa</v>
      </c>
      <c r="D626" s="36" t="str">
        <f aca="false">IF(Raw_Export!$A626="","",IFERROR(VLOOKUP(LOWER(TRIM(Raw_Export!D626)),Maps!$G$2:$I$80,2,FALSE()),"UNMAPPED"))</f>
        <v>Salt 500g</v>
      </c>
      <c r="E626" s="36" t="str">
        <f aca="false">IF(Raw_Export!$A626="","",IFERROR(VLOOKUP(LOWER(TRIM(Raw_Export!D626)),Maps!$G$2:$I$80,3,FALSE()),"UNMAPPED"))</f>
        <v>Staples</v>
      </c>
      <c r="F626" s="36" t="n">
        <f aca="false">IF(Raw_Export!$A626="","",IFERROR(VALUE(TRIM(Raw_Export!E626)),0))</f>
        <v>4</v>
      </c>
      <c r="G626" s="38" t="n">
        <f aca="false">IF(Raw_Export!$A626="","",IFERROR(VALUE(SUBSTITUTE(SUBSTITUTE(UPPER(TRIM(Raw_Export!F626)),"KES",""),",","")),0))</f>
        <v>40</v>
      </c>
      <c r="H626" s="38" t="n">
        <f aca="false">IF(Raw_Export!$A626="","",F626*G626)</f>
        <v>160</v>
      </c>
      <c r="I626" s="36" t="str">
        <f aca="false">IF(Raw_Export!$A626="","",IFERROR(VLOOKUP(LOWER(TRIM(Raw_Export!H626)),Maps!$D$2:$E$12,2,FALSE()),"Other"))</f>
        <v>Card</v>
      </c>
      <c r="J626" s="36" t="str">
        <f aca="false">IF(Raw_Export!$A626="","",IF(COUNTIF($A$2:A626,A626)&gt;1,"Duplicate",""))</f>
        <v/>
      </c>
      <c r="K626" s="36" t="str">
        <f aca="false">IF(Raw_Export!$A626="","",IF(J626="Duplicate","Duplicate",IF(OR(C626="UNMAPPED",D626="UNMAPPED"),"Unmapped",IF(F626=0,"Blank qty",IF(F626&lt;0,"Return","OK")))))</f>
        <v>OK</v>
      </c>
      <c r="L626" s="36" t="n">
        <f aca="false">IF(Raw_Export!$A626="","",IF(OR(K626="OK",K626="Return"),1,0))</f>
        <v>1</v>
      </c>
      <c r="M626" s="37" t="n">
        <f aca="false">IF(Raw_Export!$A626="","",B626-WEEKDAY(B626,2)+1)</f>
        <v>46265</v>
      </c>
    </row>
    <row r="627" customFormat="false" ht="15" hidden="false" customHeight="false" outlineLevel="0" collapsed="false">
      <c r="A627" s="36" t="str">
        <f aca="false">IF(Raw_Export!$A627="","",TRIM(Raw_Export!A627))</f>
        <v>TXN-100613</v>
      </c>
      <c r="B627" s="37" t="n">
        <f aca="false">IF(Raw_Export!$A627="","",IF(ISNUMBER(Raw_Export!B627),Raw_Export!B627,IF(MID(TRIM(Raw_Export!B627),5,1)="-",DATE(LEFT(TRIM(Raw_Export!B627),4),MID(TRIM(Raw_Export!B627),6,2),RIGHT(TRIM(Raw_Export!B627),2)),DATE(RIGHT(TRIM(Raw_Export!B627),4),MATCH(MID(TRIM(Raw_Export!B627),4,3),{"Jan","Feb","Mar","Apr","May","Jun","Jul","Aug","Sep","Oct","Nov","Dec"},0),LEFT(TRIM(Raw_Export!B627),2)))))</f>
        <v>46269</v>
      </c>
      <c r="C627" s="36" t="str">
        <f aca="false">IF(Raw_Export!$A627="","",IFERROR(VLOOKUP(LOWER(TRIM(Raw_Export!C627)),Maps!$A$2:$B$20,2,FALSE()),"UNMAPPED"))</f>
        <v>Mombasa</v>
      </c>
      <c r="D627" s="36" t="str">
        <f aca="false">IF(Raw_Export!$A627="","",IFERROR(VLOOKUP(LOWER(TRIM(Raw_Export!D627)),Maps!$G$2:$I$80,2,FALSE()),"UNMAPPED"))</f>
        <v>Matches 10pk</v>
      </c>
      <c r="E627" s="36" t="str">
        <f aca="false">IF(Raw_Export!$A627="","",IFERROR(VLOOKUP(LOWER(TRIM(Raw_Export!D627)),Maps!$G$2:$I$80,3,FALSE()),"UNMAPPED"))</f>
        <v>Household</v>
      </c>
      <c r="F627" s="36" t="n">
        <f aca="false">IF(Raw_Export!$A627="","",IFERROR(VALUE(TRIM(Raw_Export!E627)),0))</f>
        <v>6</v>
      </c>
      <c r="G627" s="38" t="n">
        <f aca="false">IF(Raw_Export!$A627="","",IFERROR(VALUE(SUBSTITUTE(SUBSTITUTE(UPPER(TRIM(Raw_Export!F627)),"KES",""),",","")),0))</f>
        <v>50</v>
      </c>
      <c r="H627" s="38" t="n">
        <f aca="false">IF(Raw_Export!$A627="","",F627*G627)</f>
        <v>300</v>
      </c>
      <c r="I627" s="36" t="str">
        <f aca="false">IF(Raw_Export!$A627="","",IFERROR(VLOOKUP(LOWER(TRIM(Raw_Export!H627)),Maps!$D$2:$E$12,2,FALSE()),"Other"))</f>
        <v>Card</v>
      </c>
      <c r="J627" s="36" t="str">
        <f aca="false">IF(Raw_Export!$A627="","",IF(COUNTIF($A$2:A627,A627)&gt;1,"Duplicate",""))</f>
        <v/>
      </c>
      <c r="K627" s="36" t="str">
        <f aca="false">IF(Raw_Export!$A627="","",IF(J627="Duplicate","Duplicate",IF(OR(C627="UNMAPPED",D627="UNMAPPED"),"Unmapped",IF(F627=0,"Blank qty",IF(F627&lt;0,"Return","OK")))))</f>
        <v>OK</v>
      </c>
      <c r="L627" s="36" t="n">
        <f aca="false">IF(Raw_Export!$A627="","",IF(OR(K627="OK",K627="Return"),1,0))</f>
        <v>1</v>
      </c>
      <c r="M627" s="37" t="n">
        <f aca="false">IF(Raw_Export!$A627="","",B627-WEEKDAY(B627,2)+1)</f>
        <v>46265</v>
      </c>
    </row>
    <row r="628" customFormat="false" ht="15" hidden="false" customHeight="false" outlineLevel="0" collapsed="false">
      <c r="A628" s="36" t="str">
        <f aca="false">IF(Raw_Export!$A628="","",TRIM(Raw_Export!A628))</f>
        <v>TXN-100614</v>
      </c>
      <c r="B628" s="37" t="n">
        <f aca="false">IF(Raw_Export!$A628="","",IF(ISNUMBER(Raw_Export!B628),Raw_Export!B628,IF(MID(TRIM(Raw_Export!B628),5,1)="-",DATE(LEFT(TRIM(Raw_Export!B628),4),MID(TRIM(Raw_Export!B628),6,2),RIGHT(TRIM(Raw_Export!B628),2)),DATE(RIGHT(TRIM(Raw_Export!B628),4),MATCH(MID(TRIM(Raw_Export!B628),4,3),{"Jan","Feb","Mar","Apr","May","Jun","Jul","Aug","Sep","Oct","Nov","Dec"},0),LEFT(TRIM(Raw_Export!B628),2)))))</f>
        <v>46269</v>
      </c>
      <c r="C628" s="36" t="str">
        <f aca="false">IF(Raw_Export!$A628="","",IFERROR(VLOOKUP(LOWER(TRIM(Raw_Export!C628)),Maps!$A$2:$B$20,2,FALSE()),"UNMAPPED"))</f>
        <v>Mombasa</v>
      </c>
      <c r="D628" s="36" t="str">
        <f aca="false">IF(Raw_Export!$A628="","",IFERROR(VLOOKUP(LOWER(TRIM(Raw_Export!D628)),Maps!$G$2:$I$80,2,FALSE()),"UNMAPPED"))</f>
        <v>Matches 10pk</v>
      </c>
      <c r="E628" s="36" t="str">
        <f aca="false">IF(Raw_Export!$A628="","",IFERROR(VLOOKUP(LOWER(TRIM(Raw_Export!D628)),Maps!$G$2:$I$80,3,FALSE()),"UNMAPPED"))</f>
        <v>Household</v>
      </c>
      <c r="F628" s="36" t="n">
        <f aca="false">IF(Raw_Export!$A628="","",IFERROR(VALUE(TRIM(Raw_Export!E628)),0))</f>
        <v>3</v>
      </c>
      <c r="G628" s="38" t="n">
        <f aca="false">IF(Raw_Export!$A628="","",IFERROR(VALUE(SUBSTITUTE(SUBSTITUTE(UPPER(TRIM(Raw_Export!F628)),"KES",""),",","")),0))</f>
        <v>50</v>
      </c>
      <c r="H628" s="38" t="n">
        <f aca="false">IF(Raw_Export!$A628="","",F628*G628)</f>
        <v>150</v>
      </c>
      <c r="I628" s="36" t="str">
        <f aca="false">IF(Raw_Export!$A628="","",IFERROR(VLOOKUP(LOWER(TRIM(Raw_Export!H628)),Maps!$D$2:$E$12,2,FALSE()),"Other"))</f>
        <v>Cash</v>
      </c>
      <c r="J628" s="36" t="str">
        <f aca="false">IF(Raw_Export!$A628="","",IF(COUNTIF($A$2:A628,A628)&gt;1,"Duplicate",""))</f>
        <v/>
      </c>
      <c r="K628" s="36" t="str">
        <f aca="false">IF(Raw_Export!$A628="","",IF(J628="Duplicate","Duplicate",IF(OR(C628="UNMAPPED",D628="UNMAPPED"),"Unmapped",IF(F628=0,"Blank qty",IF(F628&lt;0,"Return","OK")))))</f>
        <v>OK</v>
      </c>
      <c r="L628" s="36" t="n">
        <f aca="false">IF(Raw_Export!$A628="","",IF(OR(K628="OK",K628="Return"),1,0))</f>
        <v>1</v>
      </c>
      <c r="M628" s="37" t="n">
        <f aca="false">IF(Raw_Export!$A628="","",B628-WEEKDAY(B628,2)+1)</f>
        <v>46265</v>
      </c>
    </row>
    <row r="629" customFormat="false" ht="15" hidden="false" customHeight="false" outlineLevel="0" collapsed="false">
      <c r="A629" s="36" t="str">
        <f aca="false">IF(Raw_Export!$A629="","",TRIM(Raw_Export!A629))</f>
        <v>TXN-100615</v>
      </c>
      <c r="B629" s="37" t="n">
        <f aca="false">IF(Raw_Export!$A629="","",IF(ISNUMBER(Raw_Export!B629),Raw_Export!B629,IF(MID(TRIM(Raw_Export!B629),5,1)="-",DATE(LEFT(TRIM(Raw_Export!B629),4),MID(TRIM(Raw_Export!B629),6,2),RIGHT(TRIM(Raw_Export!B629),2)),DATE(RIGHT(TRIM(Raw_Export!B629),4),MATCH(MID(TRIM(Raw_Export!B629),4,3),{"Jan","Feb","Mar","Apr","May","Jun","Jul","Aug","Sep","Oct","Nov","Dec"},0),LEFT(TRIM(Raw_Export!B629),2)))))</f>
        <v>46269</v>
      </c>
      <c r="C629" s="36" t="str">
        <f aca="false">IF(Raw_Export!$A629="","",IFERROR(VLOOKUP(LOWER(TRIM(Raw_Export!C629)),Maps!$A$2:$B$20,2,FALSE()),"UNMAPPED"))</f>
        <v>Mombasa</v>
      </c>
      <c r="D629" s="36" t="str">
        <f aca="false">IF(Raw_Export!$A629="","",IFERROR(VLOOKUP(LOWER(TRIM(Raw_Export!D629)),Maps!$G$2:$I$80,2,FALSE()),"UNMAPPED"))</f>
        <v>Sugar 2kg</v>
      </c>
      <c r="E629" s="36" t="str">
        <f aca="false">IF(Raw_Export!$A629="","",IFERROR(VLOOKUP(LOWER(TRIM(Raw_Export!D629)),Maps!$G$2:$I$80,3,FALSE()),"UNMAPPED"))</f>
        <v>Staples</v>
      </c>
      <c r="F629" s="36" t="n">
        <f aca="false">IF(Raw_Export!$A629="","",IFERROR(VALUE(TRIM(Raw_Export!E629)),0))</f>
        <v>2</v>
      </c>
      <c r="G629" s="38" t="n">
        <f aca="false">IF(Raw_Export!$A629="","",IFERROR(VALUE(SUBSTITUTE(SUBSTITUTE(UPPER(TRIM(Raw_Export!F629)),"KES",""),",","")),0))</f>
        <v>330</v>
      </c>
      <c r="H629" s="38" t="n">
        <f aca="false">IF(Raw_Export!$A629="","",F629*G629)</f>
        <v>660</v>
      </c>
      <c r="I629" s="36" t="str">
        <f aca="false">IF(Raw_Export!$A629="","",IFERROR(VLOOKUP(LOWER(TRIM(Raw_Export!H629)),Maps!$D$2:$E$12,2,FALSE()),"Other"))</f>
        <v>M-Pesa</v>
      </c>
      <c r="J629" s="36" t="str">
        <f aca="false">IF(Raw_Export!$A629="","",IF(COUNTIF($A$2:A629,A629)&gt;1,"Duplicate",""))</f>
        <v/>
      </c>
      <c r="K629" s="36" t="str">
        <f aca="false">IF(Raw_Export!$A629="","",IF(J629="Duplicate","Duplicate",IF(OR(C629="UNMAPPED",D629="UNMAPPED"),"Unmapped",IF(F629=0,"Blank qty",IF(F629&lt;0,"Return","OK")))))</f>
        <v>OK</v>
      </c>
      <c r="L629" s="36" t="n">
        <f aca="false">IF(Raw_Export!$A629="","",IF(OR(K629="OK",K629="Return"),1,0))</f>
        <v>1</v>
      </c>
      <c r="M629" s="37" t="n">
        <f aca="false">IF(Raw_Export!$A629="","",B629-WEEKDAY(B629,2)+1)</f>
        <v>46265</v>
      </c>
    </row>
    <row r="630" customFormat="false" ht="15" hidden="false" customHeight="false" outlineLevel="0" collapsed="false">
      <c r="A630" s="36" t="str">
        <f aca="false">IF(Raw_Export!$A630="","",TRIM(Raw_Export!A630))</f>
        <v>TXN-100616</v>
      </c>
      <c r="B630" s="37" t="n">
        <f aca="false">IF(Raw_Export!$A630="","",IF(ISNUMBER(Raw_Export!B630),Raw_Export!B630,IF(MID(TRIM(Raw_Export!B630),5,1)="-",DATE(LEFT(TRIM(Raw_Export!B630),4),MID(TRIM(Raw_Export!B630),6,2),RIGHT(TRIM(Raw_Export!B630),2)),DATE(RIGHT(TRIM(Raw_Export!B630),4),MATCH(MID(TRIM(Raw_Export!B630),4,3),{"Jan","Feb","Mar","Apr","May","Jun","Jul","Aug","Sep","Oct","Nov","Dec"},0),LEFT(TRIM(Raw_Export!B630),2)))))</f>
        <v>46269</v>
      </c>
      <c r="C630" s="36" t="str">
        <f aca="false">IF(Raw_Export!$A630="","",IFERROR(VLOOKUP(LOWER(TRIM(Raw_Export!C630)),Maps!$A$2:$B$20,2,FALSE()),"UNMAPPED"))</f>
        <v>Mombasa</v>
      </c>
      <c r="D630" s="36" t="str">
        <f aca="false">IF(Raw_Export!$A630="","",IFERROR(VLOOKUP(LOWER(TRIM(Raw_Export!D630)),Maps!$G$2:$I$80,2,FALSE()),"UNMAPPED"))</f>
        <v>Eggs Tray 30</v>
      </c>
      <c r="E630" s="36" t="str">
        <f aca="false">IF(Raw_Export!$A630="","",IFERROR(VLOOKUP(LOWER(TRIM(Raw_Export!D630)),Maps!$G$2:$I$80,3,FALSE()),"UNMAPPED"))</f>
        <v>Dairy &amp; Eggs</v>
      </c>
      <c r="F630" s="36" t="n">
        <f aca="false">IF(Raw_Export!$A630="","",IFERROR(VALUE(TRIM(Raw_Export!E630)),0))</f>
        <v>3</v>
      </c>
      <c r="G630" s="38" t="n">
        <f aca="false">IF(Raw_Export!$A630="","",IFERROR(VALUE(SUBSTITUTE(SUBSTITUTE(UPPER(TRIM(Raw_Export!F630)),"KES",""),",","")),0))</f>
        <v>405</v>
      </c>
      <c r="H630" s="38" t="n">
        <f aca="false">IF(Raw_Export!$A630="","",F630*G630)</f>
        <v>1215</v>
      </c>
      <c r="I630" s="36" t="str">
        <f aca="false">IF(Raw_Export!$A630="","",IFERROR(VLOOKUP(LOWER(TRIM(Raw_Export!H630)),Maps!$D$2:$E$12,2,FALSE()),"Other"))</f>
        <v>Card</v>
      </c>
      <c r="J630" s="36" t="str">
        <f aca="false">IF(Raw_Export!$A630="","",IF(COUNTIF($A$2:A630,A630)&gt;1,"Duplicate",""))</f>
        <v/>
      </c>
      <c r="K630" s="36" t="str">
        <f aca="false">IF(Raw_Export!$A630="","",IF(J630="Duplicate","Duplicate",IF(OR(C630="UNMAPPED",D630="UNMAPPED"),"Unmapped",IF(F630=0,"Blank qty",IF(F630&lt;0,"Return","OK")))))</f>
        <v>OK</v>
      </c>
      <c r="L630" s="36" t="n">
        <f aca="false">IF(Raw_Export!$A630="","",IF(OR(K630="OK",K630="Return"),1,0))</f>
        <v>1</v>
      </c>
      <c r="M630" s="37" t="n">
        <f aca="false">IF(Raw_Export!$A630="","",B630-WEEKDAY(B630,2)+1)</f>
        <v>46265</v>
      </c>
    </row>
    <row r="631" customFormat="false" ht="15" hidden="false" customHeight="false" outlineLevel="0" collapsed="false">
      <c r="A631" s="36" t="str">
        <f aca="false">IF(Raw_Export!$A631="","",TRIM(Raw_Export!A631))</f>
        <v>TXN-100617</v>
      </c>
      <c r="B631" s="37" t="n">
        <f aca="false">IF(Raw_Export!$A631="","",IF(ISNUMBER(Raw_Export!B631),Raw_Export!B631,IF(MID(TRIM(Raw_Export!B631),5,1)="-",DATE(LEFT(TRIM(Raw_Export!B631),4),MID(TRIM(Raw_Export!B631),6,2),RIGHT(TRIM(Raw_Export!B631),2)),DATE(RIGHT(TRIM(Raw_Export!B631),4),MATCH(MID(TRIM(Raw_Export!B631),4,3),{"Jan","Feb","Mar","Apr","May","Jun","Jul","Aug","Sep","Oct","Nov","Dec"},0),LEFT(TRIM(Raw_Export!B631),2)))))</f>
        <v>46269</v>
      </c>
      <c r="C631" s="36" t="str">
        <f aca="false">IF(Raw_Export!$A631="","",IFERROR(VLOOKUP(LOWER(TRIM(Raw_Export!C631)),Maps!$A$2:$B$20,2,FALSE()),"UNMAPPED"))</f>
        <v>Mombasa</v>
      </c>
      <c r="D631" s="36" t="str">
        <f aca="false">IF(Raw_Export!$A631="","",IFERROR(VLOOKUP(LOWER(TRIM(Raw_Export!D631)),Maps!$G$2:$I$80,2,FALSE()),"UNMAPPED"))</f>
        <v>Spaghetti 400g</v>
      </c>
      <c r="E631" s="36" t="str">
        <f aca="false">IF(Raw_Export!$A631="","",IFERROR(VLOOKUP(LOWER(TRIM(Raw_Export!D631)),Maps!$G$2:$I$80,3,FALSE()),"UNMAPPED"))</f>
        <v>Staples</v>
      </c>
      <c r="F631" s="36" t="n">
        <f aca="false">IF(Raw_Export!$A631="","",IFERROR(VALUE(TRIM(Raw_Export!E631)),0))</f>
        <v>6</v>
      </c>
      <c r="G631" s="38" t="n">
        <f aca="false">IF(Raw_Export!$A631="","",IFERROR(VALUE(SUBSTITUTE(SUBSTITUTE(UPPER(TRIM(Raw_Export!F631)),"KES",""),",","")),0))</f>
        <v>110</v>
      </c>
      <c r="H631" s="38" t="n">
        <f aca="false">IF(Raw_Export!$A631="","",F631*G631)</f>
        <v>660</v>
      </c>
      <c r="I631" s="36" t="str">
        <f aca="false">IF(Raw_Export!$A631="","",IFERROR(VLOOKUP(LOWER(TRIM(Raw_Export!H631)),Maps!$D$2:$E$12,2,FALSE()),"Other"))</f>
        <v>Cash</v>
      </c>
      <c r="J631" s="36" t="str">
        <f aca="false">IF(Raw_Export!$A631="","",IF(COUNTIF($A$2:A631,A631)&gt;1,"Duplicate",""))</f>
        <v/>
      </c>
      <c r="K631" s="36" t="str">
        <f aca="false">IF(Raw_Export!$A631="","",IF(J631="Duplicate","Duplicate",IF(OR(C631="UNMAPPED",D631="UNMAPPED"),"Unmapped",IF(F631=0,"Blank qty",IF(F631&lt;0,"Return","OK")))))</f>
        <v>OK</v>
      </c>
      <c r="L631" s="36" t="n">
        <f aca="false">IF(Raw_Export!$A631="","",IF(OR(K631="OK",K631="Return"),1,0))</f>
        <v>1</v>
      </c>
      <c r="M631" s="37" t="n">
        <f aca="false">IF(Raw_Export!$A631="","",B631-WEEKDAY(B631,2)+1)</f>
        <v>46265</v>
      </c>
    </row>
    <row r="632" customFormat="false" ht="15" hidden="false" customHeight="false" outlineLevel="0" collapsed="false">
      <c r="A632" s="36" t="str">
        <f aca="false">IF(Raw_Export!$A632="","",TRIM(Raw_Export!A632))</f>
        <v>TXN-100618</v>
      </c>
      <c r="B632" s="37" t="n">
        <f aca="false">IF(Raw_Export!$A632="","",IF(ISNUMBER(Raw_Export!B632),Raw_Export!B632,IF(MID(TRIM(Raw_Export!B632),5,1)="-",DATE(LEFT(TRIM(Raw_Export!B632),4),MID(TRIM(Raw_Export!B632),6,2),RIGHT(TRIM(Raw_Export!B632),2)),DATE(RIGHT(TRIM(Raw_Export!B632),4),MATCH(MID(TRIM(Raw_Export!B632),4,3),{"Jan","Feb","Mar","Apr","May","Jun","Jul","Aug","Sep","Oct","Nov","Dec"},0),LEFT(TRIM(Raw_Export!B632),2)))))</f>
        <v>46269</v>
      </c>
      <c r="C632" s="36" t="str">
        <f aca="false">IF(Raw_Export!$A632="","",IFERROR(VLOOKUP(LOWER(TRIM(Raw_Export!C632)),Maps!$A$2:$B$20,2,FALSE()),"UNMAPPED"))</f>
        <v>Mombasa</v>
      </c>
      <c r="D632" s="36" t="str">
        <f aca="false">IF(Raw_Export!$A632="","",IFERROR(VLOOKUP(LOWER(TRIM(Raw_Export!D632)),Maps!$G$2:$I$80,2,FALSE()),"UNMAPPED"))</f>
        <v>Peanuts 250g</v>
      </c>
      <c r="E632" s="36" t="str">
        <f aca="false">IF(Raw_Export!$A632="","",IFERROR(VLOOKUP(LOWER(TRIM(Raw_Export!D632)),Maps!$G$2:$I$80,3,FALSE()),"UNMAPPED"))</f>
        <v>Snacks</v>
      </c>
      <c r="F632" s="36" t="n">
        <f aca="false">IF(Raw_Export!$A632="","",IFERROR(VALUE(TRIM(Raw_Export!E632)),0))</f>
        <v>1</v>
      </c>
      <c r="G632" s="38" t="n">
        <f aca="false">IF(Raw_Export!$A632="","",IFERROR(VALUE(SUBSTITUTE(SUBSTITUTE(UPPER(TRIM(Raw_Export!F632)),"KES",""),",","")),0))</f>
        <v>130</v>
      </c>
      <c r="H632" s="38" t="n">
        <f aca="false">IF(Raw_Export!$A632="","",F632*G632)</f>
        <v>130</v>
      </c>
      <c r="I632" s="36" t="str">
        <f aca="false">IF(Raw_Export!$A632="","",IFERROR(VLOOKUP(LOWER(TRIM(Raw_Export!H632)),Maps!$D$2:$E$12,2,FALSE()),"Other"))</f>
        <v>Cash</v>
      </c>
      <c r="J632" s="36" t="str">
        <f aca="false">IF(Raw_Export!$A632="","",IF(COUNTIF($A$2:A632,A632)&gt;1,"Duplicate",""))</f>
        <v/>
      </c>
      <c r="K632" s="36" t="str">
        <f aca="false">IF(Raw_Export!$A632="","",IF(J632="Duplicate","Duplicate",IF(OR(C632="UNMAPPED",D632="UNMAPPED"),"Unmapped",IF(F632=0,"Blank qty",IF(F632&lt;0,"Return","OK")))))</f>
        <v>OK</v>
      </c>
      <c r="L632" s="36" t="n">
        <f aca="false">IF(Raw_Export!$A632="","",IF(OR(K632="OK",K632="Return"),1,0))</f>
        <v>1</v>
      </c>
      <c r="M632" s="37" t="n">
        <f aca="false">IF(Raw_Export!$A632="","",B632-WEEKDAY(B632,2)+1)</f>
        <v>46265</v>
      </c>
    </row>
    <row r="633" customFormat="false" ht="15" hidden="false" customHeight="false" outlineLevel="0" collapsed="false">
      <c r="A633" s="36" t="str">
        <f aca="false">IF(Raw_Export!$A633="","",TRIM(Raw_Export!A633))</f>
        <v>TXN-100619</v>
      </c>
      <c r="B633" s="37" t="n">
        <f aca="false">IF(Raw_Export!$A633="","",IF(ISNUMBER(Raw_Export!B633),Raw_Export!B633,IF(MID(TRIM(Raw_Export!B633),5,1)="-",DATE(LEFT(TRIM(Raw_Export!B633),4),MID(TRIM(Raw_Export!B633),6,2),RIGHT(TRIM(Raw_Export!B633),2)),DATE(RIGHT(TRIM(Raw_Export!B633),4),MATCH(MID(TRIM(Raw_Export!B633),4,3),{"Jan","Feb","Mar","Apr","May","Jun","Jul","Aug","Sep","Oct","Nov","Dec"},0),LEFT(TRIM(Raw_Export!B633),2)))))</f>
        <v>46269</v>
      </c>
      <c r="C633" s="36" t="str">
        <f aca="false">IF(Raw_Export!$A633="","",IFERROR(VLOOKUP(LOWER(TRIM(Raw_Export!C633)),Maps!$A$2:$B$20,2,FALSE()),"UNMAPPED"))</f>
        <v>Mombasa</v>
      </c>
      <c r="D633" s="36" t="str">
        <f aca="false">IF(Raw_Export!$A633="","",IFERROR(VLOOKUP(LOWER(TRIM(Raw_Export!D633)),Maps!$G$2:$I$80,2,FALSE()),"UNMAPPED"))</f>
        <v>Cheddar 200g</v>
      </c>
      <c r="E633" s="36" t="str">
        <f aca="false">IF(Raw_Export!$A633="","",IFERROR(VLOOKUP(LOWER(TRIM(Raw_Export!D633)),Maps!$G$2:$I$80,3,FALSE()),"UNMAPPED"))</f>
        <v>Dairy &amp; Eggs</v>
      </c>
      <c r="F633" s="36" t="n">
        <f aca="false">IF(Raw_Export!$A633="","",IFERROR(VALUE(TRIM(Raw_Export!E633)),0))</f>
        <v>2</v>
      </c>
      <c r="G633" s="38" t="n">
        <f aca="false">IF(Raw_Export!$A633="","",IFERROR(VALUE(SUBSTITUTE(SUBSTITUTE(UPPER(TRIM(Raw_Export!F633)),"KES",""),",","")),0))</f>
        <v>380</v>
      </c>
      <c r="H633" s="38" t="n">
        <f aca="false">IF(Raw_Export!$A633="","",F633*G633)</f>
        <v>760</v>
      </c>
      <c r="I633" s="36" t="str">
        <f aca="false">IF(Raw_Export!$A633="","",IFERROR(VLOOKUP(LOWER(TRIM(Raw_Export!H633)),Maps!$D$2:$E$12,2,FALSE()),"Other"))</f>
        <v>M-Pesa</v>
      </c>
      <c r="J633" s="36" t="str">
        <f aca="false">IF(Raw_Export!$A633="","",IF(COUNTIF($A$2:A633,A633)&gt;1,"Duplicate",""))</f>
        <v/>
      </c>
      <c r="K633" s="36" t="str">
        <f aca="false">IF(Raw_Export!$A633="","",IF(J633="Duplicate","Duplicate",IF(OR(C633="UNMAPPED",D633="UNMAPPED"),"Unmapped",IF(F633=0,"Blank qty",IF(F633&lt;0,"Return","OK")))))</f>
        <v>OK</v>
      </c>
      <c r="L633" s="36" t="n">
        <f aca="false">IF(Raw_Export!$A633="","",IF(OR(K633="OK",K633="Return"),1,0))</f>
        <v>1</v>
      </c>
      <c r="M633" s="37" t="n">
        <f aca="false">IF(Raw_Export!$A633="","",B633-WEEKDAY(B633,2)+1)</f>
        <v>46265</v>
      </c>
    </row>
    <row r="634" customFormat="false" ht="15" hidden="false" customHeight="false" outlineLevel="0" collapsed="false">
      <c r="A634" s="36" t="str">
        <f aca="false">IF(Raw_Export!$A634="","",TRIM(Raw_Export!A634))</f>
        <v>TXN-100620</v>
      </c>
      <c r="B634" s="37" t="n">
        <f aca="false">IF(Raw_Export!$A634="","",IF(ISNUMBER(Raw_Export!B634),Raw_Export!B634,IF(MID(TRIM(Raw_Export!B634),5,1)="-",DATE(LEFT(TRIM(Raw_Export!B634),4),MID(TRIM(Raw_Export!B634),6,2),RIGHT(TRIM(Raw_Export!B634),2)),DATE(RIGHT(TRIM(Raw_Export!B634),4),MATCH(MID(TRIM(Raw_Export!B634),4,3),{"Jan","Feb","Mar","Apr","May","Jun","Jul","Aug","Sep","Oct","Nov","Dec"},0),LEFT(TRIM(Raw_Export!B634),2)))))</f>
        <v>46269</v>
      </c>
      <c r="C634" s="36" t="str">
        <f aca="false">IF(Raw_Export!$A634="","",IFERROR(VLOOKUP(LOWER(TRIM(Raw_Export!C634)),Maps!$A$2:$B$20,2,FALSE()),"UNMAPPED"))</f>
        <v>Mombasa</v>
      </c>
      <c r="D634" s="36" t="str">
        <f aca="false">IF(Raw_Export!$A634="","",IFERROR(VLOOKUP(LOWER(TRIM(Raw_Export!D634)),Maps!$G$2:$I$80,2,FALSE()),"UNMAPPED"))</f>
        <v>Cooking Oil 1L</v>
      </c>
      <c r="E634" s="36" t="str">
        <f aca="false">IF(Raw_Export!$A634="","",IFERROR(VLOOKUP(LOWER(TRIM(Raw_Export!D634)),Maps!$G$2:$I$80,3,FALSE()),"UNMAPPED"))</f>
        <v>Staples</v>
      </c>
      <c r="F634" s="36" t="n">
        <f aca="false">IF(Raw_Export!$A634="","",IFERROR(VALUE(TRIM(Raw_Export!E634)),0))</f>
        <v>1</v>
      </c>
      <c r="G634" s="38" t="n">
        <f aca="false">IF(Raw_Export!$A634="","",IFERROR(VALUE(SUBSTITUTE(SUBSTITUTE(UPPER(TRIM(Raw_Export!F634)),"KES",""),",","")),0))</f>
        <v>330</v>
      </c>
      <c r="H634" s="38" t="n">
        <f aca="false">IF(Raw_Export!$A634="","",F634*G634)</f>
        <v>330</v>
      </c>
      <c r="I634" s="36" t="str">
        <f aca="false">IF(Raw_Export!$A634="","",IFERROR(VLOOKUP(LOWER(TRIM(Raw_Export!H634)),Maps!$D$2:$E$12,2,FALSE()),"Other"))</f>
        <v>M-Pesa</v>
      </c>
      <c r="J634" s="36" t="str">
        <f aca="false">IF(Raw_Export!$A634="","",IF(COUNTIF($A$2:A634,A634)&gt;1,"Duplicate",""))</f>
        <v/>
      </c>
      <c r="K634" s="36" t="str">
        <f aca="false">IF(Raw_Export!$A634="","",IF(J634="Duplicate","Duplicate",IF(OR(C634="UNMAPPED",D634="UNMAPPED"),"Unmapped",IF(F634=0,"Blank qty",IF(F634&lt;0,"Return","OK")))))</f>
        <v>OK</v>
      </c>
      <c r="L634" s="36" t="n">
        <f aca="false">IF(Raw_Export!$A634="","",IF(OR(K634="OK",K634="Return"),1,0))</f>
        <v>1</v>
      </c>
      <c r="M634" s="37" t="n">
        <f aca="false">IF(Raw_Export!$A634="","",B634-WEEKDAY(B634,2)+1)</f>
        <v>46265</v>
      </c>
    </row>
    <row r="635" customFormat="false" ht="15" hidden="false" customHeight="false" outlineLevel="0" collapsed="false">
      <c r="A635" s="36" t="str">
        <f aca="false">IF(Raw_Export!$A635="","",TRIM(Raw_Export!A635))</f>
        <v>TXN-100621</v>
      </c>
      <c r="B635" s="37" t="n">
        <f aca="false">IF(Raw_Export!$A635="","",IF(ISNUMBER(Raw_Export!B635),Raw_Export!B635,IF(MID(TRIM(Raw_Export!B635),5,1)="-",DATE(LEFT(TRIM(Raw_Export!B635),4),MID(TRIM(Raw_Export!B635),6,2),RIGHT(TRIM(Raw_Export!B635),2)),DATE(RIGHT(TRIM(Raw_Export!B635),4),MATCH(MID(TRIM(Raw_Export!B635),4,3),{"Jan","Feb","Mar","Apr","May","Jun","Jul","Aug","Sep","Oct","Nov","Dec"},0),LEFT(TRIM(Raw_Export!B635),2)))))</f>
        <v>46269</v>
      </c>
      <c r="C635" s="36" t="str">
        <f aca="false">IF(Raw_Export!$A635="","",IFERROR(VLOOKUP(LOWER(TRIM(Raw_Export!C635)),Maps!$A$2:$B$20,2,FALSE()),"UNMAPPED"))</f>
        <v>Mombasa</v>
      </c>
      <c r="D635" s="36" t="str">
        <f aca="false">IF(Raw_Export!$A635="","",IFERROR(VLOOKUP(LOWER(TRIM(Raw_Export!D635)),Maps!$G$2:$I$80,2,FALSE()),"UNMAPPED"))</f>
        <v>Unga Pembe 2kg</v>
      </c>
      <c r="E635" s="36" t="str">
        <f aca="false">IF(Raw_Export!$A635="","",IFERROR(VLOOKUP(LOWER(TRIM(Raw_Export!D635)),Maps!$G$2:$I$80,3,FALSE()),"UNMAPPED"))</f>
        <v>Staples</v>
      </c>
      <c r="F635" s="36" t="n">
        <f aca="false">IF(Raw_Export!$A635="","",IFERROR(VALUE(TRIM(Raw_Export!E635)),0))</f>
        <v>1</v>
      </c>
      <c r="G635" s="38" t="n">
        <f aca="false">IF(Raw_Export!$A635="","",IFERROR(VALUE(SUBSTITUTE(SUBSTITUTE(UPPER(TRIM(Raw_Export!F635)),"KES",""),",","")),0))</f>
        <v>190</v>
      </c>
      <c r="H635" s="38" t="n">
        <f aca="false">IF(Raw_Export!$A635="","",F635*G635)</f>
        <v>190</v>
      </c>
      <c r="I635" s="36" t="str">
        <f aca="false">IF(Raw_Export!$A635="","",IFERROR(VLOOKUP(LOWER(TRIM(Raw_Export!H635)),Maps!$D$2:$E$12,2,FALSE()),"Other"))</f>
        <v>M-Pesa</v>
      </c>
      <c r="J635" s="36" t="str">
        <f aca="false">IF(Raw_Export!$A635="","",IF(COUNTIF($A$2:A635,A635)&gt;1,"Duplicate",""))</f>
        <v/>
      </c>
      <c r="K635" s="36" t="str">
        <f aca="false">IF(Raw_Export!$A635="","",IF(J635="Duplicate","Duplicate",IF(OR(C635="UNMAPPED",D635="UNMAPPED"),"Unmapped",IF(F635=0,"Blank qty",IF(F635&lt;0,"Return","OK")))))</f>
        <v>OK</v>
      </c>
      <c r="L635" s="36" t="n">
        <f aca="false">IF(Raw_Export!$A635="","",IF(OR(K635="OK",K635="Return"),1,0))</f>
        <v>1</v>
      </c>
      <c r="M635" s="37" t="n">
        <f aca="false">IF(Raw_Export!$A635="","",B635-WEEKDAY(B635,2)+1)</f>
        <v>46265</v>
      </c>
    </row>
    <row r="636" customFormat="false" ht="15" hidden="false" customHeight="false" outlineLevel="0" collapsed="false">
      <c r="A636" s="36" t="str">
        <f aca="false">IF(Raw_Export!$A636="","",TRIM(Raw_Export!A636))</f>
        <v>TXN-100622</v>
      </c>
      <c r="B636" s="37" t="n">
        <f aca="false">IF(Raw_Export!$A636="","",IF(ISNUMBER(Raw_Export!B636),Raw_Export!B636,IF(MID(TRIM(Raw_Export!B636),5,1)="-",DATE(LEFT(TRIM(Raw_Export!B636),4),MID(TRIM(Raw_Export!B636),6,2),RIGHT(TRIM(Raw_Export!B636),2)),DATE(RIGHT(TRIM(Raw_Export!B636),4),MATCH(MID(TRIM(Raw_Export!B636),4,3),{"Jan","Feb","Mar","Apr","May","Jun","Jul","Aug","Sep","Oct","Nov","Dec"},0),LEFT(TRIM(Raw_Export!B636),2)))))</f>
        <v>46269</v>
      </c>
      <c r="C636" s="36" t="str">
        <f aca="false">IF(Raw_Export!$A636="","",IFERROR(VLOOKUP(LOWER(TRIM(Raw_Export!C636)),Maps!$A$2:$B$20,2,FALSE()),"UNMAPPED"))</f>
        <v>Mombasa</v>
      </c>
      <c r="D636" s="36" t="str">
        <f aca="false">IF(Raw_Export!$A636="","",IFERROR(VLOOKUP(LOWER(TRIM(Raw_Export!D636)),Maps!$G$2:$I$80,2,FALSE()),"UNMAPPED"))</f>
        <v>Rice Pishori 2kg</v>
      </c>
      <c r="E636" s="36" t="str">
        <f aca="false">IF(Raw_Export!$A636="","",IFERROR(VLOOKUP(LOWER(TRIM(Raw_Export!D636)),Maps!$G$2:$I$80,3,FALSE()),"UNMAPPED"))</f>
        <v>Staples</v>
      </c>
      <c r="F636" s="36" t="n">
        <f aca="false">IF(Raw_Export!$A636="","",IFERROR(VALUE(TRIM(Raw_Export!E636)),0))</f>
        <v>1</v>
      </c>
      <c r="G636" s="38" t="n">
        <f aca="false">IF(Raw_Export!$A636="","",IFERROR(VALUE(SUBSTITUTE(SUBSTITUTE(UPPER(TRIM(Raw_Export!F636)),"KES",""),",","")),0))</f>
        <v>420</v>
      </c>
      <c r="H636" s="38" t="n">
        <f aca="false">IF(Raw_Export!$A636="","",F636*G636)</f>
        <v>420</v>
      </c>
      <c r="I636" s="36" t="str">
        <f aca="false">IF(Raw_Export!$A636="","",IFERROR(VLOOKUP(LOWER(TRIM(Raw_Export!H636)),Maps!$D$2:$E$12,2,FALSE()),"Other"))</f>
        <v>Cash</v>
      </c>
      <c r="J636" s="36" t="str">
        <f aca="false">IF(Raw_Export!$A636="","",IF(COUNTIF($A$2:A636,A636)&gt;1,"Duplicate",""))</f>
        <v/>
      </c>
      <c r="K636" s="36" t="str">
        <f aca="false">IF(Raw_Export!$A636="","",IF(J636="Duplicate","Duplicate",IF(OR(C636="UNMAPPED",D636="UNMAPPED"),"Unmapped",IF(F636=0,"Blank qty",IF(F636&lt;0,"Return","OK")))))</f>
        <v>OK</v>
      </c>
      <c r="L636" s="36" t="n">
        <f aca="false">IF(Raw_Export!$A636="","",IF(OR(K636="OK",K636="Return"),1,0))</f>
        <v>1</v>
      </c>
      <c r="M636" s="37" t="n">
        <f aca="false">IF(Raw_Export!$A636="","",B636-WEEKDAY(B636,2)+1)</f>
        <v>46265</v>
      </c>
    </row>
    <row r="637" customFormat="false" ht="15" hidden="false" customHeight="false" outlineLevel="0" collapsed="false">
      <c r="A637" s="36" t="str">
        <f aca="false">IF(Raw_Export!$A637="","",TRIM(Raw_Export!A637))</f>
        <v>TXN-100623</v>
      </c>
      <c r="B637" s="37" t="n">
        <f aca="false">IF(Raw_Export!$A637="","",IF(ISNUMBER(Raw_Export!B637),Raw_Export!B637,IF(MID(TRIM(Raw_Export!B637),5,1)="-",DATE(LEFT(TRIM(Raw_Export!B637),4),MID(TRIM(Raw_Export!B637),6,2),RIGHT(TRIM(Raw_Export!B637),2)),DATE(RIGHT(TRIM(Raw_Export!B637),4),MATCH(MID(TRIM(Raw_Export!B637),4,3),{"Jan","Feb","Mar","Apr","May","Jun","Jul","Aug","Sep","Oct","Nov","Dec"},0),LEFT(TRIM(Raw_Export!B637),2)))))</f>
        <v>46269</v>
      </c>
      <c r="C637" s="36" t="str">
        <f aca="false">IF(Raw_Export!$A637="","",IFERROR(VLOOKUP(LOWER(TRIM(Raw_Export!C637)),Maps!$A$2:$B$20,2,FALSE()),"UNMAPPED"))</f>
        <v>Mombasa</v>
      </c>
      <c r="D637" s="36" t="str">
        <f aca="false">IF(Raw_Export!$A637="","",IFERROR(VLOOKUP(LOWER(TRIM(Raw_Export!D637)),Maps!$G$2:$I$80,2,FALSE()),"UNMAPPED"))</f>
        <v>Eggs Tray 30</v>
      </c>
      <c r="E637" s="36" t="str">
        <f aca="false">IF(Raw_Export!$A637="","",IFERROR(VLOOKUP(LOWER(TRIM(Raw_Export!D637)),Maps!$G$2:$I$80,3,FALSE()),"UNMAPPED"))</f>
        <v>Dairy &amp; Eggs</v>
      </c>
      <c r="F637" s="36" t="n">
        <f aca="false">IF(Raw_Export!$A637="","",IFERROR(VALUE(TRIM(Raw_Export!E637)),0))</f>
        <v>1</v>
      </c>
      <c r="G637" s="38" t="n">
        <f aca="false">IF(Raw_Export!$A637="","",IFERROR(VALUE(SUBSTITUTE(SUBSTITUTE(UPPER(TRIM(Raw_Export!F637)),"KES",""),",","")),0))</f>
        <v>450</v>
      </c>
      <c r="H637" s="38" t="n">
        <f aca="false">IF(Raw_Export!$A637="","",F637*G637)</f>
        <v>450</v>
      </c>
      <c r="I637" s="36" t="str">
        <f aca="false">IF(Raw_Export!$A637="","",IFERROR(VLOOKUP(LOWER(TRIM(Raw_Export!H637)),Maps!$D$2:$E$12,2,FALSE()),"Other"))</f>
        <v>Cash</v>
      </c>
      <c r="J637" s="36" t="str">
        <f aca="false">IF(Raw_Export!$A637="","",IF(COUNTIF($A$2:A637,A637)&gt;1,"Duplicate",""))</f>
        <v/>
      </c>
      <c r="K637" s="36" t="str">
        <f aca="false">IF(Raw_Export!$A637="","",IF(J637="Duplicate","Duplicate",IF(OR(C637="UNMAPPED",D637="UNMAPPED"),"Unmapped",IF(F637=0,"Blank qty",IF(F637&lt;0,"Return","OK")))))</f>
        <v>OK</v>
      </c>
      <c r="L637" s="36" t="n">
        <f aca="false">IF(Raw_Export!$A637="","",IF(OR(K637="OK",K637="Return"),1,0))</f>
        <v>1</v>
      </c>
      <c r="M637" s="37" t="n">
        <f aca="false">IF(Raw_Export!$A637="","",B637-WEEKDAY(B637,2)+1)</f>
        <v>46265</v>
      </c>
    </row>
    <row r="638" customFormat="false" ht="15" hidden="false" customHeight="false" outlineLevel="0" collapsed="false">
      <c r="A638" s="36" t="str">
        <f aca="false">IF(Raw_Export!$A638="","",TRIM(Raw_Export!A638))</f>
        <v>TXN-100624</v>
      </c>
      <c r="B638" s="37" t="n">
        <f aca="false">IF(Raw_Export!$A638="","",IF(ISNUMBER(Raw_Export!B638),Raw_Export!B638,IF(MID(TRIM(Raw_Export!B638),5,1)="-",DATE(LEFT(TRIM(Raw_Export!B638),4),MID(TRIM(Raw_Export!B638),6,2),RIGHT(TRIM(Raw_Export!B638),2)),DATE(RIGHT(TRIM(Raw_Export!B638),4),MATCH(MID(TRIM(Raw_Export!B638),4,3),{"Jan","Feb","Mar","Apr","May","Jun","Jul","Aug","Sep","Oct","Nov","Dec"},0),LEFT(TRIM(Raw_Export!B638),2)))))</f>
        <v>46269</v>
      </c>
      <c r="C638" s="36" t="str">
        <f aca="false">IF(Raw_Export!$A638="","",IFERROR(VLOOKUP(LOWER(TRIM(Raw_Export!C638)),Maps!$A$2:$B$20,2,FALSE()),"UNMAPPED"))</f>
        <v>Mombasa</v>
      </c>
      <c r="D638" s="36" t="str">
        <f aca="false">IF(Raw_Export!$A638="","",IFERROR(VLOOKUP(LOWER(TRIM(Raw_Export!D638)),Maps!$G$2:$I$80,2,FALSE()),"UNMAPPED"))</f>
        <v>Salt 500g</v>
      </c>
      <c r="E638" s="36" t="str">
        <f aca="false">IF(Raw_Export!$A638="","",IFERROR(VLOOKUP(LOWER(TRIM(Raw_Export!D638)),Maps!$G$2:$I$80,3,FALSE()),"UNMAPPED"))</f>
        <v>Staples</v>
      </c>
      <c r="F638" s="36" t="n">
        <f aca="false">IF(Raw_Export!$A638="","",IFERROR(VALUE(TRIM(Raw_Export!E638)),0))</f>
        <v>2</v>
      </c>
      <c r="G638" s="38" t="n">
        <f aca="false">IF(Raw_Export!$A638="","",IFERROR(VALUE(SUBSTITUTE(SUBSTITUTE(UPPER(TRIM(Raw_Export!F638)),"KES",""),",","")),0))</f>
        <v>40</v>
      </c>
      <c r="H638" s="38" t="n">
        <f aca="false">IF(Raw_Export!$A638="","",F638*G638)</f>
        <v>80</v>
      </c>
      <c r="I638" s="36" t="str">
        <f aca="false">IF(Raw_Export!$A638="","",IFERROR(VLOOKUP(LOWER(TRIM(Raw_Export!H638)),Maps!$D$2:$E$12,2,FALSE()),"Other"))</f>
        <v>Cash</v>
      </c>
      <c r="J638" s="36" t="str">
        <f aca="false">IF(Raw_Export!$A638="","",IF(COUNTIF($A$2:A638,A638)&gt;1,"Duplicate",""))</f>
        <v/>
      </c>
      <c r="K638" s="36" t="str">
        <f aca="false">IF(Raw_Export!$A638="","",IF(J638="Duplicate","Duplicate",IF(OR(C638="UNMAPPED",D638="UNMAPPED"),"Unmapped",IF(F638=0,"Blank qty",IF(F638&lt;0,"Return","OK")))))</f>
        <v>OK</v>
      </c>
      <c r="L638" s="36" t="n">
        <f aca="false">IF(Raw_Export!$A638="","",IF(OR(K638="OK",K638="Return"),1,0))</f>
        <v>1</v>
      </c>
      <c r="M638" s="37" t="n">
        <f aca="false">IF(Raw_Export!$A638="","",B638-WEEKDAY(B638,2)+1)</f>
        <v>46265</v>
      </c>
    </row>
    <row r="639" customFormat="false" ht="15" hidden="false" customHeight="false" outlineLevel="0" collapsed="false">
      <c r="A639" s="36" t="str">
        <f aca="false">IF(Raw_Export!$A639="","",TRIM(Raw_Export!A639))</f>
        <v>TXN-100625</v>
      </c>
      <c r="B639" s="37" t="n">
        <f aca="false">IF(Raw_Export!$A639="","",IF(ISNUMBER(Raw_Export!B639),Raw_Export!B639,IF(MID(TRIM(Raw_Export!B639),5,1)="-",DATE(LEFT(TRIM(Raw_Export!B639),4),MID(TRIM(Raw_Export!B639),6,2),RIGHT(TRIM(Raw_Export!B639),2)),DATE(RIGHT(TRIM(Raw_Export!B639),4),MATCH(MID(TRIM(Raw_Export!B639),4,3),{"Jan","Feb","Mar","Apr","May","Jun","Jul","Aug","Sep","Oct","Nov","Dec"},0),LEFT(TRIM(Raw_Export!B639),2)))))</f>
        <v>46269</v>
      </c>
      <c r="C639" s="36" t="str">
        <f aca="false">IF(Raw_Export!$A639="","",IFERROR(VLOOKUP(LOWER(TRIM(Raw_Export!C639)),Maps!$A$2:$B$20,2,FALSE()),"UNMAPPED"))</f>
        <v>Mombasa</v>
      </c>
      <c r="D639" s="36" t="str">
        <f aca="false">IF(Raw_Export!$A639="","",IFERROR(VLOOKUP(LOWER(TRIM(Raw_Export!D639)),Maps!$G$2:$I$80,2,FALSE()),"UNMAPPED"))</f>
        <v>Biscuits 200g</v>
      </c>
      <c r="E639" s="36" t="str">
        <f aca="false">IF(Raw_Export!$A639="","",IFERROR(VLOOKUP(LOWER(TRIM(Raw_Export!D639)),Maps!$G$2:$I$80,3,FALSE()),"UNMAPPED"))</f>
        <v>Snacks</v>
      </c>
      <c r="F639" s="36" t="n">
        <f aca="false">IF(Raw_Export!$A639="","",IFERROR(VALUE(TRIM(Raw_Export!E639)),0))</f>
        <v>3</v>
      </c>
      <c r="G639" s="38" t="n">
        <f aca="false">IF(Raw_Export!$A639="","",IFERROR(VALUE(SUBSTITUTE(SUBSTITUTE(UPPER(TRIM(Raw_Export!F639)),"KES",""),",","")),0))</f>
        <v>95</v>
      </c>
      <c r="H639" s="38" t="n">
        <f aca="false">IF(Raw_Export!$A639="","",F639*G639)</f>
        <v>285</v>
      </c>
      <c r="I639" s="36" t="str">
        <f aca="false">IF(Raw_Export!$A639="","",IFERROR(VLOOKUP(LOWER(TRIM(Raw_Export!H639)),Maps!$D$2:$E$12,2,FALSE()),"Other"))</f>
        <v>Card</v>
      </c>
      <c r="J639" s="36" t="str">
        <f aca="false">IF(Raw_Export!$A639="","",IF(COUNTIF($A$2:A639,A639)&gt;1,"Duplicate",""))</f>
        <v/>
      </c>
      <c r="K639" s="36" t="str">
        <f aca="false">IF(Raw_Export!$A639="","",IF(J639="Duplicate","Duplicate",IF(OR(C639="UNMAPPED",D639="UNMAPPED"),"Unmapped",IF(F639=0,"Blank qty",IF(F639&lt;0,"Return","OK")))))</f>
        <v>OK</v>
      </c>
      <c r="L639" s="36" t="n">
        <f aca="false">IF(Raw_Export!$A639="","",IF(OR(K639="OK",K639="Return"),1,0))</f>
        <v>1</v>
      </c>
      <c r="M639" s="37" t="n">
        <f aca="false">IF(Raw_Export!$A639="","",B639-WEEKDAY(B639,2)+1)</f>
        <v>46265</v>
      </c>
    </row>
    <row r="640" customFormat="false" ht="15" hidden="false" customHeight="false" outlineLevel="0" collapsed="false">
      <c r="A640" s="36" t="str">
        <f aca="false">IF(Raw_Export!$A640="","",TRIM(Raw_Export!A640))</f>
        <v>TXN-100626</v>
      </c>
      <c r="B640" s="37" t="n">
        <f aca="false">IF(Raw_Export!$A640="","",IF(ISNUMBER(Raw_Export!B640),Raw_Export!B640,IF(MID(TRIM(Raw_Export!B640),5,1)="-",DATE(LEFT(TRIM(Raw_Export!B640),4),MID(TRIM(Raw_Export!B640),6,2),RIGHT(TRIM(Raw_Export!B640),2)),DATE(RIGHT(TRIM(Raw_Export!B640),4),MATCH(MID(TRIM(Raw_Export!B640),4,3),{"Jan","Feb","Mar","Apr","May","Jun","Jul","Aug","Sep","Oct","Nov","Dec"},0),LEFT(TRIM(Raw_Export!B640),2)))))</f>
        <v>46269</v>
      </c>
      <c r="C640" s="36" t="str">
        <f aca="false">IF(Raw_Export!$A640="","",IFERROR(VLOOKUP(LOWER(TRIM(Raw_Export!C640)),Maps!$A$2:$B$20,2,FALSE()),"UNMAPPED"))</f>
        <v>Mombasa</v>
      </c>
      <c r="D640" s="36" t="str">
        <f aca="false">IF(Raw_Export!$A640="","",IFERROR(VLOOKUP(LOWER(TRIM(Raw_Export!D640)),Maps!$G$2:$I$80,2,FALSE()),"UNMAPPED"))</f>
        <v>Tea Leaves 250g</v>
      </c>
      <c r="E640" s="36" t="str">
        <f aca="false">IF(Raw_Export!$A640="","",IFERROR(VLOOKUP(LOWER(TRIM(Raw_Export!D640)),Maps!$G$2:$I$80,3,FALSE()),"UNMAPPED"))</f>
        <v>Beverages</v>
      </c>
      <c r="F640" s="36" t="n">
        <f aca="false">IF(Raw_Export!$A640="","",IFERROR(VALUE(TRIM(Raw_Export!E640)),0))</f>
        <v>3</v>
      </c>
      <c r="G640" s="38" t="n">
        <f aca="false">IF(Raw_Export!$A640="","",IFERROR(VALUE(SUBSTITUTE(SUBSTITUTE(UPPER(TRIM(Raw_Export!F640)),"KES",""),",","")),0))</f>
        <v>150</v>
      </c>
      <c r="H640" s="38" t="n">
        <f aca="false">IF(Raw_Export!$A640="","",F640*G640)</f>
        <v>450</v>
      </c>
      <c r="I640" s="36" t="str">
        <f aca="false">IF(Raw_Export!$A640="","",IFERROR(VLOOKUP(LOWER(TRIM(Raw_Export!H640)),Maps!$D$2:$E$12,2,FALSE()),"Other"))</f>
        <v>M-Pesa</v>
      </c>
      <c r="J640" s="36" t="str">
        <f aca="false">IF(Raw_Export!$A640="","",IF(COUNTIF($A$2:A640,A640)&gt;1,"Duplicate",""))</f>
        <v/>
      </c>
      <c r="K640" s="36" t="str">
        <f aca="false">IF(Raw_Export!$A640="","",IF(J640="Duplicate","Duplicate",IF(OR(C640="UNMAPPED",D640="UNMAPPED"),"Unmapped",IF(F640=0,"Blank qty",IF(F640&lt;0,"Return","OK")))))</f>
        <v>OK</v>
      </c>
      <c r="L640" s="36" t="n">
        <f aca="false">IF(Raw_Export!$A640="","",IF(OR(K640="OK",K640="Return"),1,0))</f>
        <v>1</v>
      </c>
      <c r="M640" s="37" t="n">
        <f aca="false">IF(Raw_Export!$A640="","",B640-WEEKDAY(B640,2)+1)</f>
        <v>46265</v>
      </c>
    </row>
    <row r="641" customFormat="false" ht="15" hidden="false" customHeight="false" outlineLevel="0" collapsed="false">
      <c r="A641" s="36" t="str">
        <f aca="false">IF(Raw_Export!$A641="","",TRIM(Raw_Export!A641))</f>
        <v>TXN-100627</v>
      </c>
      <c r="B641" s="37" t="n">
        <f aca="false">IF(Raw_Export!$A641="","",IF(ISNUMBER(Raw_Export!B641),Raw_Export!B641,IF(MID(TRIM(Raw_Export!B641),5,1)="-",DATE(LEFT(TRIM(Raw_Export!B641),4),MID(TRIM(Raw_Export!B641),6,2),RIGHT(TRIM(Raw_Export!B641),2)),DATE(RIGHT(TRIM(Raw_Export!B641),4),MATCH(MID(TRIM(Raw_Export!B641),4,3),{"Jan","Feb","Mar","Apr","May","Jun","Jul","Aug","Sep","Oct","Nov","Dec"},0),LEFT(TRIM(Raw_Export!B641),2)))))</f>
        <v>46269</v>
      </c>
      <c r="C641" s="36" t="str">
        <f aca="false">IF(Raw_Export!$A641="","",IFERROR(VLOOKUP(LOWER(TRIM(Raw_Export!C641)),Maps!$A$2:$B$20,2,FALSE()),"UNMAPPED"))</f>
        <v>Mombasa</v>
      </c>
      <c r="D641" s="36" t="str">
        <f aca="false">IF(Raw_Export!$A641="","",IFERROR(VLOOKUP(LOWER(TRIM(Raw_Export!D641)),Maps!$G$2:$I$80,2,FALSE()),"UNMAPPED"))</f>
        <v>Soda 500ml</v>
      </c>
      <c r="E641" s="36" t="str">
        <f aca="false">IF(Raw_Export!$A641="","",IFERROR(VLOOKUP(LOWER(TRIM(Raw_Export!D641)),Maps!$G$2:$I$80,3,FALSE()),"UNMAPPED"))</f>
        <v>Beverages</v>
      </c>
      <c r="F641" s="36" t="n">
        <f aca="false">IF(Raw_Export!$A641="","",IFERROR(VALUE(TRIM(Raw_Export!E641)),0))</f>
        <v>6</v>
      </c>
      <c r="G641" s="38" t="n">
        <f aca="false">IF(Raw_Export!$A641="","",IFERROR(VALUE(SUBSTITUTE(SUBSTITUTE(UPPER(TRIM(Raw_Export!F641)),"KES",""),",","")),0))</f>
        <v>60</v>
      </c>
      <c r="H641" s="38" t="n">
        <f aca="false">IF(Raw_Export!$A641="","",F641*G641)</f>
        <v>360</v>
      </c>
      <c r="I641" s="36" t="str">
        <f aca="false">IF(Raw_Export!$A641="","",IFERROR(VLOOKUP(LOWER(TRIM(Raw_Export!H641)),Maps!$D$2:$E$12,2,FALSE()),"Other"))</f>
        <v>M-Pesa</v>
      </c>
      <c r="J641" s="36" t="str">
        <f aca="false">IF(Raw_Export!$A641="","",IF(COUNTIF($A$2:A641,A641)&gt;1,"Duplicate",""))</f>
        <v/>
      </c>
      <c r="K641" s="36" t="str">
        <f aca="false">IF(Raw_Export!$A641="","",IF(J641="Duplicate","Duplicate",IF(OR(C641="UNMAPPED",D641="UNMAPPED"),"Unmapped",IF(F641=0,"Blank qty",IF(F641&lt;0,"Return","OK")))))</f>
        <v>OK</v>
      </c>
      <c r="L641" s="36" t="n">
        <f aca="false">IF(Raw_Export!$A641="","",IF(OR(K641="OK",K641="Return"),1,0))</f>
        <v>1</v>
      </c>
      <c r="M641" s="37" t="n">
        <f aca="false">IF(Raw_Export!$A641="","",B641-WEEKDAY(B641,2)+1)</f>
        <v>46265</v>
      </c>
    </row>
    <row r="642" customFormat="false" ht="15" hidden="false" customHeight="false" outlineLevel="0" collapsed="false">
      <c r="A642" s="36" t="str">
        <f aca="false">IF(Raw_Export!$A642="","",TRIM(Raw_Export!A642))</f>
        <v>TXN-100628</v>
      </c>
      <c r="B642" s="37" t="n">
        <f aca="false">IF(Raw_Export!$A642="","",IF(ISNUMBER(Raw_Export!B642),Raw_Export!B642,IF(MID(TRIM(Raw_Export!B642),5,1)="-",DATE(LEFT(TRIM(Raw_Export!B642),4),MID(TRIM(Raw_Export!B642),6,2),RIGHT(TRIM(Raw_Export!B642),2)),DATE(RIGHT(TRIM(Raw_Export!B642),4),MATCH(MID(TRIM(Raw_Export!B642),4,3),{"Jan","Feb","Mar","Apr","May","Jun","Jul","Aug","Sep","Oct","Nov","Dec"},0),LEFT(TRIM(Raw_Export!B642),2)))))</f>
        <v>46269</v>
      </c>
      <c r="C642" s="36" t="str">
        <f aca="false">IF(Raw_Export!$A642="","",IFERROR(VLOOKUP(LOWER(TRIM(Raw_Export!C642)),Maps!$A$2:$B$20,2,FALSE()),"UNMAPPED"))</f>
        <v>Mombasa</v>
      </c>
      <c r="D642" s="36" t="str">
        <f aca="false">IF(Raw_Export!$A642="","",IFERROR(VLOOKUP(LOWER(TRIM(Raw_Export!D642)),Maps!$G$2:$I$80,2,FALSE()),"UNMAPPED"))</f>
        <v>Eggs Tray 30</v>
      </c>
      <c r="E642" s="36" t="str">
        <f aca="false">IF(Raw_Export!$A642="","",IFERROR(VLOOKUP(LOWER(TRIM(Raw_Export!D642)),Maps!$G$2:$I$80,3,FALSE()),"UNMAPPED"))</f>
        <v>Dairy &amp; Eggs</v>
      </c>
      <c r="F642" s="36" t="n">
        <f aca="false">IF(Raw_Export!$A642="","",IFERROR(VALUE(TRIM(Raw_Export!E642)),0))</f>
        <v>3</v>
      </c>
      <c r="G642" s="38" t="n">
        <f aca="false">IF(Raw_Export!$A642="","",IFERROR(VALUE(SUBSTITUTE(SUBSTITUTE(UPPER(TRIM(Raw_Export!F642)),"KES",""),",","")),0))</f>
        <v>450</v>
      </c>
      <c r="H642" s="38" t="n">
        <f aca="false">IF(Raw_Export!$A642="","",F642*G642)</f>
        <v>1350</v>
      </c>
      <c r="I642" s="36" t="str">
        <f aca="false">IF(Raw_Export!$A642="","",IFERROR(VLOOKUP(LOWER(TRIM(Raw_Export!H642)),Maps!$D$2:$E$12,2,FALSE()),"Other"))</f>
        <v>Cash</v>
      </c>
      <c r="J642" s="36" t="str">
        <f aca="false">IF(Raw_Export!$A642="","",IF(COUNTIF($A$2:A642,A642)&gt;1,"Duplicate",""))</f>
        <v/>
      </c>
      <c r="K642" s="36" t="str">
        <f aca="false">IF(Raw_Export!$A642="","",IF(J642="Duplicate","Duplicate",IF(OR(C642="UNMAPPED",D642="UNMAPPED"),"Unmapped",IF(F642=0,"Blank qty",IF(F642&lt;0,"Return","OK")))))</f>
        <v>OK</v>
      </c>
      <c r="L642" s="36" t="n">
        <f aca="false">IF(Raw_Export!$A642="","",IF(OR(K642="OK",K642="Return"),1,0))</f>
        <v>1</v>
      </c>
      <c r="M642" s="37" t="n">
        <f aca="false">IF(Raw_Export!$A642="","",B642-WEEKDAY(B642,2)+1)</f>
        <v>46265</v>
      </c>
    </row>
    <row r="643" customFormat="false" ht="15" hidden="false" customHeight="false" outlineLevel="0" collapsed="false">
      <c r="A643" s="36" t="str">
        <f aca="false">IF(Raw_Export!$A643="","",TRIM(Raw_Export!A643))</f>
        <v>TXN-100629</v>
      </c>
      <c r="B643" s="37" t="n">
        <f aca="false">IF(Raw_Export!$A643="","",IF(ISNUMBER(Raw_Export!B643),Raw_Export!B643,IF(MID(TRIM(Raw_Export!B643),5,1)="-",DATE(LEFT(TRIM(Raw_Export!B643),4),MID(TRIM(Raw_Export!B643),6,2),RIGHT(TRIM(Raw_Export!B643),2)),DATE(RIGHT(TRIM(Raw_Export!B643),4),MATCH(MID(TRIM(Raw_Export!B643),4,3),{"Jan","Feb","Mar","Apr","May","Jun","Jul","Aug","Sep","Oct","Nov","Dec"},0),LEFT(TRIM(Raw_Export!B643),2)))))</f>
        <v>46269</v>
      </c>
      <c r="C643" s="36" t="str">
        <f aca="false">IF(Raw_Export!$A643="","",IFERROR(VLOOKUP(LOWER(TRIM(Raw_Export!C643)),Maps!$A$2:$B$20,2,FALSE()),"UNMAPPED"))</f>
        <v>Mombasa</v>
      </c>
      <c r="D643" s="36" t="str">
        <f aca="false">IF(Raw_Export!$A643="","",IFERROR(VLOOKUP(LOWER(TRIM(Raw_Export!D643)),Maps!$G$2:$I$80,2,FALSE()),"UNMAPPED"))</f>
        <v>Bath Soap 175g</v>
      </c>
      <c r="E643" s="36" t="str">
        <f aca="false">IF(Raw_Export!$A643="","",IFERROR(VLOOKUP(LOWER(TRIM(Raw_Export!D643)),Maps!$G$2:$I$80,3,FALSE()),"UNMAPPED"))</f>
        <v>Personal Care</v>
      </c>
      <c r="F643" s="36" t="n">
        <f aca="false">IF(Raw_Export!$A643="","",IFERROR(VALUE(TRIM(Raw_Export!E643)),0))</f>
        <v>6</v>
      </c>
      <c r="G643" s="38" t="n">
        <f aca="false">IF(Raw_Export!$A643="","",IFERROR(VALUE(SUBSTITUTE(SUBSTITUTE(UPPER(TRIM(Raw_Export!F643)),"KES",""),",","")),0))</f>
        <v>85</v>
      </c>
      <c r="H643" s="38" t="n">
        <f aca="false">IF(Raw_Export!$A643="","",F643*G643)</f>
        <v>510</v>
      </c>
      <c r="I643" s="36" t="str">
        <f aca="false">IF(Raw_Export!$A643="","",IFERROR(VLOOKUP(LOWER(TRIM(Raw_Export!H643)),Maps!$D$2:$E$12,2,FALSE()),"Other"))</f>
        <v>M-Pesa</v>
      </c>
      <c r="J643" s="36" t="str">
        <f aca="false">IF(Raw_Export!$A643="","",IF(COUNTIF($A$2:A643,A643)&gt;1,"Duplicate",""))</f>
        <v/>
      </c>
      <c r="K643" s="36" t="str">
        <f aca="false">IF(Raw_Export!$A643="","",IF(J643="Duplicate","Duplicate",IF(OR(C643="UNMAPPED",D643="UNMAPPED"),"Unmapped",IF(F643=0,"Blank qty",IF(F643&lt;0,"Return","OK")))))</f>
        <v>OK</v>
      </c>
      <c r="L643" s="36" t="n">
        <f aca="false">IF(Raw_Export!$A643="","",IF(OR(K643="OK",K643="Return"),1,0))</f>
        <v>1</v>
      </c>
      <c r="M643" s="37" t="n">
        <f aca="false">IF(Raw_Export!$A643="","",B643-WEEKDAY(B643,2)+1)</f>
        <v>46265</v>
      </c>
    </row>
    <row r="644" customFormat="false" ht="15" hidden="false" customHeight="false" outlineLevel="0" collapsed="false">
      <c r="A644" s="36" t="str">
        <f aca="false">IF(Raw_Export!$A644="","",TRIM(Raw_Export!A644))</f>
        <v>TXN-100630</v>
      </c>
      <c r="B644" s="37" t="n">
        <f aca="false">IF(Raw_Export!$A644="","",IF(ISNUMBER(Raw_Export!B644),Raw_Export!B644,IF(MID(TRIM(Raw_Export!B644),5,1)="-",DATE(LEFT(TRIM(Raw_Export!B644),4),MID(TRIM(Raw_Export!B644),6,2),RIGHT(TRIM(Raw_Export!B644),2)),DATE(RIGHT(TRIM(Raw_Export!B644),4),MATCH(MID(TRIM(Raw_Export!B644),4,3),{"Jan","Feb","Mar","Apr","May","Jun","Jul","Aug","Sep","Oct","Nov","Dec"},0),LEFT(TRIM(Raw_Export!B644),2)))))</f>
        <v>46269</v>
      </c>
      <c r="C644" s="36" t="str">
        <f aca="false">IF(Raw_Export!$A644="","",IFERROR(VLOOKUP(LOWER(TRIM(Raw_Export!C644)),Maps!$A$2:$B$20,2,FALSE()),"UNMAPPED"))</f>
        <v>Mombasa</v>
      </c>
      <c r="D644" s="36" t="str">
        <f aca="false">IF(Raw_Export!$A644="","",IFERROR(VLOOKUP(LOWER(TRIM(Raw_Export!D644)),Maps!$G$2:$I$80,2,FALSE()),"UNMAPPED"))</f>
        <v>Unga Pembe 2kg</v>
      </c>
      <c r="E644" s="36" t="str">
        <f aca="false">IF(Raw_Export!$A644="","",IFERROR(VLOOKUP(LOWER(TRIM(Raw_Export!D644)),Maps!$G$2:$I$80,3,FALSE()),"UNMAPPED"))</f>
        <v>Staples</v>
      </c>
      <c r="F644" s="36" t="n">
        <f aca="false">IF(Raw_Export!$A644="","",IFERROR(VALUE(TRIM(Raw_Export!E644)),0))</f>
        <v>2</v>
      </c>
      <c r="G644" s="38" t="n">
        <f aca="false">IF(Raw_Export!$A644="","",IFERROR(VALUE(SUBSTITUTE(SUBSTITUTE(UPPER(TRIM(Raw_Export!F644)),"KES",""),",","")),0))</f>
        <v>190</v>
      </c>
      <c r="H644" s="38" t="n">
        <f aca="false">IF(Raw_Export!$A644="","",F644*G644)</f>
        <v>380</v>
      </c>
      <c r="I644" s="36" t="str">
        <f aca="false">IF(Raw_Export!$A644="","",IFERROR(VLOOKUP(LOWER(TRIM(Raw_Export!H644)),Maps!$D$2:$E$12,2,FALSE()),"Other"))</f>
        <v>M-Pesa</v>
      </c>
      <c r="J644" s="36" t="str">
        <f aca="false">IF(Raw_Export!$A644="","",IF(COUNTIF($A$2:A644,A644)&gt;1,"Duplicate",""))</f>
        <v/>
      </c>
      <c r="K644" s="36" t="str">
        <f aca="false">IF(Raw_Export!$A644="","",IF(J644="Duplicate","Duplicate",IF(OR(C644="UNMAPPED",D644="UNMAPPED"),"Unmapped",IF(F644=0,"Blank qty",IF(F644&lt;0,"Return","OK")))))</f>
        <v>OK</v>
      </c>
      <c r="L644" s="36" t="n">
        <f aca="false">IF(Raw_Export!$A644="","",IF(OR(K644="OK",K644="Return"),1,0))</f>
        <v>1</v>
      </c>
      <c r="M644" s="37" t="n">
        <f aca="false">IF(Raw_Export!$A644="","",B644-WEEKDAY(B644,2)+1)</f>
        <v>46265</v>
      </c>
    </row>
    <row r="645" customFormat="false" ht="15" hidden="false" customHeight="false" outlineLevel="0" collapsed="false">
      <c r="A645" s="36" t="str">
        <f aca="false">IF(Raw_Export!$A645="","",TRIM(Raw_Export!A645))</f>
        <v>TXN-100631</v>
      </c>
      <c r="B645" s="37" t="n">
        <f aca="false">IF(Raw_Export!$A645="","",IF(ISNUMBER(Raw_Export!B645),Raw_Export!B645,IF(MID(TRIM(Raw_Export!B645),5,1)="-",DATE(LEFT(TRIM(Raw_Export!B645),4),MID(TRIM(Raw_Export!B645),6,2),RIGHT(TRIM(Raw_Export!B645),2)),DATE(RIGHT(TRIM(Raw_Export!B645),4),MATCH(MID(TRIM(Raw_Export!B645),4,3),{"Jan","Feb","Mar","Apr","May","Jun","Jul","Aug","Sep","Oct","Nov","Dec"},0),LEFT(TRIM(Raw_Export!B645),2)))))</f>
        <v>46269</v>
      </c>
      <c r="C645" s="36" t="str">
        <f aca="false">IF(Raw_Export!$A645="","",IFERROR(VLOOKUP(LOWER(TRIM(Raw_Export!C645)),Maps!$A$2:$B$20,2,FALSE()),"UNMAPPED"))</f>
        <v>Mombasa</v>
      </c>
      <c r="D645" s="36" t="str">
        <f aca="false">IF(Raw_Export!$A645="","",IFERROR(VLOOKUP(LOWER(TRIM(Raw_Export!D645)),Maps!$G$2:$I$80,2,FALSE()),"UNMAPPED"))</f>
        <v>Sugar 2kg</v>
      </c>
      <c r="E645" s="36" t="str">
        <f aca="false">IF(Raw_Export!$A645="","",IFERROR(VLOOKUP(LOWER(TRIM(Raw_Export!D645)),Maps!$G$2:$I$80,3,FALSE()),"UNMAPPED"))</f>
        <v>Staples</v>
      </c>
      <c r="F645" s="36" t="n">
        <f aca="false">IF(Raw_Export!$A645="","",IFERROR(VALUE(TRIM(Raw_Export!E645)),0))</f>
        <v>6</v>
      </c>
      <c r="G645" s="38" t="n">
        <f aca="false">IF(Raw_Export!$A645="","",IFERROR(VALUE(SUBSTITUTE(SUBSTITUTE(UPPER(TRIM(Raw_Export!F645)),"KES",""),",","")),0))</f>
        <v>330</v>
      </c>
      <c r="H645" s="38" t="n">
        <f aca="false">IF(Raw_Export!$A645="","",F645*G645)</f>
        <v>1980</v>
      </c>
      <c r="I645" s="36" t="str">
        <f aca="false">IF(Raw_Export!$A645="","",IFERROR(VLOOKUP(LOWER(TRIM(Raw_Export!H645)),Maps!$D$2:$E$12,2,FALSE()),"Other"))</f>
        <v>M-Pesa</v>
      </c>
      <c r="J645" s="36" t="str">
        <f aca="false">IF(Raw_Export!$A645="","",IF(COUNTIF($A$2:A645,A645)&gt;1,"Duplicate",""))</f>
        <v/>
      </c>
      <c r="K645" s="36" t="str">
        <f aca="false">IF(Raw_Export!$A645="","",IF(J645="Duplicate","Duplicate",IF(OR(C645="UNMAPPED",D645="UNMAPPED"),"Unmapped",IF(F645=0,"Blank qty",IF(F645&lt;0,"Return","OK")))))</f>
        <v>OK</v>
      </c>
      <c r="L645" s="36" t="n">
        <f aca="false">IF(Raw_Export!$A645="","",IF(OR(K645="OK",K645="Return"),1,0))</f>
        <v>1</v>
      </c>
      <c r="M645" s="37" t="n">
        <f aca="false">IF(Raw_Export!$A645="","",B645-WEEKDAY(B645,2)+1)</f>
        <v>46265</v>
      </c>
    </row>
    <row r="646" customFormat="false" ht="15" hidden="false" customHeight="false" outlineLevel="0" collapsed="false">
      <c r="A646" s="36" t="str">
        <f aca="false">IF(Raw_Export!$A646="","",TRIM(Raw_Export!A646))</f>
        <v>TXN-100632</v>
      </c>
      <c r="B646" s="37" t="n">
        <f aca="false">IF(Raw_Export!$A646="","",IF(ISNUMBER(Raw_Export!B646),Raw_Export!B646,IF(MID(TRIM(Raw_Export!B646),5,1)="-",DATE(LEFT(TRIM(Raw_Export!B646),4),MID(TRIM(Raw_Export!B646),6,2),RIGHT(TRIM(Raw_Export!B646),2)),DATE(RIGHT(TRIM(Raw_Export!B646),4),MATCH(MID(TRIM(Raw_Export!B646),4,3),{"Jan","Feb","Mar","Apr","May","Jun","Jul","Aug","Sep","Oct","Nov","Dec"},0),LEFT(TRIM(Raw_Export!B646),2)))))</f>
        <v>46269</v>
      </c>
      <c r="C646" s="36" t="str">
        <f aca="false">IF(Raw_Export!$A646="","",IFERROR(VLOOKUP(LOWER(TRIM(Raw_Export!C646)),Maps!$A$2:$B$20,2,FALSE()),"UNMAPPED"))</f>
        <v>Mombasa</v>
      </c>
      <c r="D646" s="36" t="str">
        <f aca="false">IF(Raw_Export!$A646="","",IFERROR(VLOOKUP(LOWER(TRIM(Raw_Export!D646)),Maps!$G$2:$I$80,2,FALSE()),"UNMAPPED"))</f>
        <v>Cooking Oil 1L</v>
      </c>
      <c r="E646" s="36" t="str">
        <f aca="false">IF(Raw_Export!$A646="","",IFERROR(VLOOKUP(LOWER(TRIM(Raw_Export!D646)),Maps!$G$2:$I$80,3,FALSE()),"UNMAPPED"))</f>
        <v>Staples</v>
      </c>
      <c r="F646" s="36" t="n">
        <f aca="false">IF(Raw_Export!$A646="","",IFERROR(VALUE(TRIM(Raw_Export!E646)),0))</f>
        <v>3</v>
      </c>
      <c r="G646" s="38" t="n">
        <f aca="false">IF(Raw_Export!$A646="","",IFERROR(VALUE(SUBSTITUTE(SUBSTITUTE(UPPER(TRIM(Raw_Export!F646)),"KES",""),",","")),0))</f>
        <v>330</v>
      </c>
      <c r="H646" s="38" t="n">
        <f aca="false">IF(Raw_Export!$A646="","",F646*G646)</f>
        <v>990</v>
      </c>
      <c r="I646" s="36" t="str">
        <f aca="false">IF(Raw_Export!$A646="","",IFERROR(VLOOKUP(LOWER(TRIM(Raw_Export!H646)),Maps!$D$2:$E$12,2,FALSE()),"Other"))</f>
        <v>Card</v>
      </c>
      <c r="J646" s="36" t="str">
        <f aca="false">IF(Raw_Export!$A646="","",IF(COUNTIF($A$2:A646,A646)&gt;1,"Duplicate",""))</f>
        <v/>
      </c>
      <c r="K646" s="36" t="str">
        <f aca="false">IF(Raw_Export!$A646="","",IF(J646="Duplicate","Duplicate",IF(OR(C646="UNMAPPED",D646="UNMAPPED"),"Unmapped",IF(F646=0,"Blank qty",IF(F646&lt;0,"Return","OK")))))</f>
        <v>OK</v>
      </c>
      <c r="L646" s="36" t="n">
        <f aca="false">IF(Raw_Export!$A646="","",IF(OR(K646="OK",K646="Return"),1,0))</f>
        <v>1</v>
      </c>
      <c r="M646" s="37" t="n">
        <f aca="false">IF(Raw_Export!$A646="","",B646-WEEKDAY(B646,2)+1)</f>
        <v>46265</v>
      </c>
    </row>
    <row r="647" customFormat="false" ht="15" hidden="false" customHeight="false" outlineLevel="0" collapsed="false">
      <c r="A647" s="36" t="str">
        <f aca="false">IF(Raw_Export!$A647="","",TRIM(Raw_Export!A647))</f>
        <v>TXN-100633</v>
      </c>
      <c r="B647" s="37" t="n">
        <f aca="false">IF(Raw_Export!$A647="","",IF(ISNUMBER(Raw_Export!B647),Raw_Export!B647,IF(MID(TRIM(Raw_Export!B647),5,1)="-",DATE(LEFT(TRIM(Raw_Export!B647),4),MID(TRIM(Raw_Export!B647),6,2),RIGHT(TRIM(Raw_Export!B647),2)),DATE(RIGHT(TRIM(Raw_Export!B647),4),MATCH(MID(TRIM(Raw_Export!B647),4,3),{"Jan","Feb","Mar","Apr","May","Jun","Jul","Aug","Sep","Oct","Nov","Dec"},0),LEFT(TRIM(Raw_Export!B647),2)))))</f>
        <v>46269</v>
      </c>
      <c r="C647" s="36" t="str">
        <f aca="false">IF(Raw_Export!$A647="","",IFERROR(VLOOKUP(LOWER(TRIM(Raw_Export!C647)),Maps!$A$2:$B$20,2,FALSE()),"UNMAPPED"))</f>
        <v>Kisumu</v>
      </c>
      <c r="D647" s="36" t="str">
        <f aca="false">IF(Raw_Export!$A647="","",IFERROR(VLOOKUP(LOWER(TRIM(Raw_Export!D647)),Maps!$G$2:$I$80,2,FALSE()),"UNMAPPED"))</f>
        <v>Tea Leaves 250g</v>
      </c>
      <c r="E647" s="36" t="str">
        <f aca="false">IF(Raw_Export!$A647="","",IFERROR(VLOOKUP(LOWER(TRIM(Raw_Export!D647)),Maps!$G$2:$I$80,3,FALSE()),"UNMAPPED"))</f>
        <v>Beverages</v>
      </c>
      <c r="F647" s="36" t="n">
        <f aca="false">IF(Raw_Export!$A647="","",IFERROR(VALUE(TRIM(Raw_Export!E647)),0))</f>
        <v>1</v>
      </c>
      <c r="G647" s="38" t="n">
        <f aca="false">IF(Raw_Export!$A647="","",IFERROR(VALUE(SUBSTITUTE(SUBSTITUTE(UPPER(TRIM(Raw_Export!F647)),"KES",""),",","")),0))</f>
        <v>150</v>
      </c>
      <c r="H647" s="38" t="n">
        <f aca="false">IF(Raw_Export!$A647="","",F647*G647)</f>
        <v>150</v>
      </c>
      <c r="I647" s="36" t="str">
        <f aca="false">IF(Raw_Export!$A647="","",IFERROR(VLOOKUP(LOWER(TRIM(Raw_Export!H647)),Maps!$D$2:$E$12,2,FALSE()),"Other"))</f>
        <v>Cash</v>
      </c>
      <c r="J647" s="36" t="str">
        <f aca="false">IF(Raw_Export!$A647="","",IF(COUNTIF($A$2:A647,A647)&gt;1,"Duplicate",""))</f>
        <v/>
      </c>
      <c r="K647" s="36" t="str">
        <f aca="false">IF(Raw_Export!$A647="","",IF(J647="Duplicate","Duplicate",IF(OR(C647="UNMAPPED",D647="UNMAPPED"),"Unmapped",IF(F647=0,"Blank qty",IF(F647&lt;0,"Return","OK")))))</f>
        <v>OK</v>
      </c>
      <c r="L647" s="36" t="n">
        <f aca="false">IF(Raw_Export!$A647="","",IF(OR(K647="OK",K647="Return"),1,0))</f>
        <v>1</v>
      </c>
      <c r="M647" s="37" t="n">
        <f aca="false">IF(Raw_Export!$A647="","",B647-WEEKDAY(B647,2)+1)</f>
        <v>46265</v>
      </c>
    </row>
    <row r="648" customFormat="false" ht="15" hidden="false" customHeight="false" outlineLevel="0" collapsed="false">
      <c r="A648" s="36" t="str">
        <f aca="false">IF(Raw_Export!$A648="","",TRIM(Raw_Export!A648))</f>
        <v>TXN-100634</v>
      </c>
      <c r="B648" s="37" t="n">
        <f aca="false">IF(Raw_Export!$A648="","",IF(ISNUMBER(Raw_Export!B648),Raw_Export!B648,IF(MID(TRIM(Raw_Export!B648),5,1)="-",DATE(LEFT(TRIM(Raw_Export!B648),4),MID(TRIM(Raw_Export!B648),6,2),RIGHT(TRIM(Raw_Export!B648),2)),DATE(RIGHT(TRIM(Raw_Export!B648),4),MATCH(MID(TRIM(Raw_Export!B648),4,3),{"Jan","Feb","Mar","Apr","May","Jun","Jul","Aug","Sep","Oct","Nov","Dec"},0),LEFT(TRIM(Raw_Export!B648),2)))))</f>
        <v>46269</v>
      </c>
      <c r="C648" s="36" t="str">
        <f aca="false">IF(Raw_Export!$A648="","",IFERROR(VLOOKUP(LOWER(TRIM(Raw_Export!C648)),Maps!$A$2:$B$20,2,FALSE()),"UNMAPPED"))</f>
        <v>Kisumu</v>
      </c>
      <c r="D648" s="36" t="str">
        <f aca="false">IF(Raw_Export!$A648="","",IFERROR(VLOOKUP(LOWER(TRIM(Raw_Export!D648)),Maps!$G$2:$I$80,2,FALSE()),"UNMAPPED"))</f>
        <v>Bottled Water 1.5L</v>
      </c>
      <c r="E648" s="36" t="str">
        <f aca="false">IF(Raw_Export!$A648="","",IFERROR(VLOOKUP(LOWER(TRIM(Raw_Export!D648)),Maps!$G$2:$I$80,3,FALSE()),"UNMAPPED"))</f>
        <v>Beverages</v>
      </c>
      <c r="F648" s="36" t="n">
        <f aca="false">IF(Raw_Export!$A648="","",IFERROR(VALUE(TRIM(Raw_Export!E648)),0))</f>
        <v>4</v>
      </c>
      <c r="G648" s="38" t="n">
        <f aca="false">IF(Raw_Export!$A648="","",IFERROR(VALUE(SUBSTITUTE(SUBSTITUTE(UPPER(TRIM(Raw_Export!F648)),"KES",""),",","")),0))</f>
        <v>90</v>
      </c>
      <c r="H648" s="38" t="n">
        <f aca="false">IF(Raw_Export!$A648="","",F648*G648)</f>
        <v>360</v>
      </c>
      <c r="I648" s="36" t="str">
        <f aca="false">IF(Raw_Export!$A648="","",IFERROR(VLOOKUP(LOWER(TRIM(Raw_Export!H648)),Maps!$D$2:$E$12,2,FALSE()),"Other"))</f>
        <v>Cash</v>
      </c>
      <c r="J648" s="36" t="str">
        <f aca="false">IF(Raw_Export!$A648="","",IF(COUNTIF($A$2:A648,A648)&gt;1,"Duplicate",""))</f>
        <v/>
      </c>
      <c r="K648" s="36" t="str">
        <f aca="false">IF(Raw_Export!$A648="","",IF(J648="Duplicate","Duplicate",IF(OR(C648="UNMAPPED",D648="UNMAPPED"),"Unmapped",IF(F648=0,"Blank qty",IF(F648&lt;0,"Return","OK")))))</f>
        <v>OK</v>
      </c>
      <c r="L648" s="36" t="n">
        <f aca="false">IF(Raw_Export!$A648="","",IF(OR(K648="OK",K648="Return"),1,0))</f>
        <v>1</v>
      </c>
      <c r="M648" s="37" t="n">
        <f aca="false">IF(Raw_Export!$A648="","",B648-WEEKDAY(B648,2)+1)</f>
        <v>46265</v>
      </c>
    </row>
    <row r="649" customFormat="false" ht="15" hidden="false" customHeight="false" outlineLevel="0" collapsed="false">
      <c r="A649" s="36" t="str">
        <f aca="false">IF(Raw_Export!$A649="","",TRIM(Raw_Export!A649))</f>
        <v>TXN-100635</v>
      </c>
      <c r="B649" s="37" t="n">
        <f aca="false">IF(Raw_Export!$A649="","",IF(ISNUMBER(Raw_Export!B649),Raw_Export!B649,IF(MID(TRIM(Raw_Export!B649),5,1)="-",DATE(LEFT(TRIM(Raw_Export!B649),4),MID(TRIM(Raw_Export!B649),6,2),RIGHT(TRIM(Raw_Export!B649),2)),DATE(RIGHT(TRIM(Raw_Export!B649),4),MATCH(MID(TRIM(Raw_Export!B649),4,3),{"Jan","Feb","Mar","Apr","May","Jun","Jul","Aug","Sep","Oct","Nov","Dec"},0),LEFT(TRIM(Raw_Export!B649),2)))))</f>
        <v>46269</v>
      </c>
      <c r="C649" s="36" t="str">
        <f aca="false">IF(Raw_Export!$A649="","",IFERROR(VLOOKUP(LOWER(TRIM(Raw_Export!C649)),Maps!$A$2:$B$20,2,FALSE()),"UNMAPPED"))</f>
        <v>Kisumu</v>
      </c>
      <c r="D649" s="36" t="str">
        <f aca="false">IF(Raw_Export!$A649="","",IFERROR(VLOOKUP(LOWER(TRIM(Raw_Export!D649)),Maps!$G$2:$I$80,2,FALSE()),"UNMAPPED"))</f>
        <v>Washing Powder 1kg</v>
      </c>
      <c r="E649" s="36" t="str">
        <f aca="false">IF(Raw_Export!$A649="","",IFERROR(VLOOKUP(LOWER(TRIM(Raw_Export!D649)),Maps!$G$2:$I$80,3,FALSE()),"UNMAPPED"))</f>
        <v>Household</v>
      </c>
      <c r="F649" s="36" t="n">
        <f aca="false">IF(Raw_Export!$A649="","",IFERROR(VALUE(TRIM(Raw_Export!E649)),0))</f>
        <v>3</v>
      </c>
      <c r="G649" s="38" t="n">
        <f aca="false">IF(Raw_Export!$A649="","",IFERROR(VALUE(SUBSTITUTE(SUBSTITUTE(UPPER(TRIM(Raw_Export!F649)),"KES",""),",","")),0))</f>
        <v>280</v>
      </c>
      <c r="H649" s="38" t="n">
        <f aca="false">IF(Raw_Export!$A649="","",F649*G649)</f>
        <v>840</v>
      </c>
      <c r="I649" s="36" t="str">
        <f aca="false">IF(Raw_Export!$A649="","",IFERROR(VLOOKUP(LOWER(TRIM(Raw_Export!H649)),Maps!$D$2:$E$12,2,FALSE()),"Other"))</f>
        <v>M-Pesa</v>
      </c>
      <c r="J649" s="36" t="str">
        <f aca="false">IF(Raw_Export!$A649="","",IF(COUNTIF($A$2:A649,A649)&gt;1,"Duplicate",""))</f>
        <v/>
      </c>
      <c r="K649" s="36" t="str">
        <f aca="false">IF(Raw_Export!$A649="","",IF(J649="Duplicate","Duplicate",IF(OR(C649="UNMAPPED",D649="UNMAPPED"),"Unmapped",IF(F649=0,"Blank qty",IF(F649&lt;0,"Return","OK")))))</f>
        <v>OK</v>
      </c>
      <c r="L649" s="36" t="n">
        <f aca="false">IF(Raw_Export!$A649="","",IF(OR(K649="OK",K649="Return"),1,0))</f>
        <v>1</v>
      </c>
      <c r="M649" s="37" t="n">
        <f aca="false">IF(Raw_Export!$A649="","",B649-WEEKDAY(B649,2)+1)</f>
        <v>46265</v>
      </c>
    </row>
    <row r="650" customFormat="false" ht="15" hidden="false" customHeight="false" outlineLevel="0" collapsed="false">
      <c r="A650" s="36" t="str">
        <f aca="false">IF(Raw_Export!$A650="","",TRIM(Raw_Export!A650))</f>
        <v>TXN-100636</v>
      </c>
      <c r="B650" s="37" t="n">
        <f aca="false">IF(Raw_Export!$A650="","",IF(ISNUMBER(Raw_Export!B650),Raw_Export!B650,IF(MID(TRIM(Raw_Export!B650),5,1)="-",DATE(LEFT(TRIM(Raw_Export!B650),4),MID(TRIM(Raw_Export!B650),6,2),RIGHT(TRIM(Raw_Export!B650),2)),DATE(RIGHT(TRIM(Raw_Export!B650),4),MATCH(MID(TRIM(Raw_Export!B650),4,3),{"Jan","Feb","Mar","Apr","May","Jun","Jul","Aug","Sep","Oct","Nov","Dec"},0),LEFT(TRIM(Raw_Export!B650),2)))))</f>
        <v>46269</v>
      </c>
      <c r="C650" s="36" t="str">
        <f aca="false">IF(Raw_Export!$A650="","",IFERROR(VLOOKUP(LOWER(TRIM(Raw_Export!C650)),Maps!$A$2:$B$20,2,FALSE()),"UNMAPPED"))</f>
        <v>Kisumu</v>
      </c>
      <c r="D650" s="36" t="str">
        <f aca="false">IF(Raw_Export!$A650="","",IFERROR(VLOOKUP(LOWER(TRIM(Raw_Export!D650)),Maps!$G$2:$I$80,2,FALSE()),"UNMAPPED"))</f>
        <v>Unga Pembe 2kg</v>
      </c>
      <c r="E650" s="36" t="str">
        <f aca="false">IF(Raw_Export!$A650="","",IFERROR(VLOOKUP(LOWER(TRIM(Raw_Export!D650)),Maps!$G$2:$I$80,3,FALSE()),"UNMAPPED"))</f>
        <v>Staples</v>
      </c>
      <c r="F650" s="36" t="n">
        <f aca="false">IF(Raw_Export!$A650="","",IFERROR(VALUE(TRIM(Raw_Export!E650)),0))</f>
        <v>2</v>
      </c>
      <c r="G650" s="38" t="n">
        <f aca="false">IF(Raw_Export!$A650="","",IFERROR(VALUE(SUBSTITUTE(SUBSTITUTE(UPPER(TRIM(Raw_Export!F650)),"KES",""),",","")),0))</f>
        <v>190</v>
      </c>
      <c r="H650" s="38" t="n">
        <f aca="false">IF(Raw_Export!$A650="","",F650*G650)</f>
        <v>380</v>
      </c>
      <c r="I650" s="36" t="str">
        <f aca="false">IF(Raw_Export!$A650="","",IFERROR(VLOOKUP(LOWER(TRIM(Raw_Export!H650)),Maps!$D$2:$E$12,2,FALSE()),"Other"))</f>
        <v>M-Pesa</v>
      </c>
      <c r="J650" s="36" t="str">
        <f aca="false">IF(Raw_Export!$A650="","",IF(COUNTIF($A$2:A650,A650)&gt;1,"Duplicate",""))</f>
        <v/>
      </c>
      <c r="K650" s="36" t="str">
        <f aca="false">IF(Raw_Export!$A650="","",IF(J650="Duplicate","Duplicate",IF(OR(C650="UNMAPPED",D650="UNMAPPED"),"Unmapped",IF(F650=0,"Blank qty",IF(F650&lt;0,"Return","OK")))))</f>
        <v>OK</v>
      </c>
      <c r="L650" s="36" t="n">
        <f aca="false">IF(Raw_Export!$A650="","",IF(OR(K650="OK",K650="Return"),1,0))</f>
        <v>1</v>
      </c>
      <c r="M650" s="37" t="n">
        <f aca="false">IF(Raw_Export!$A650="","",B650-WEEKDAY(B650,2)+1)</f>
        <v>46265</v>
      </c>
    </row>
    <row r="651" customFormat="false" ht="15" hidden="false" customHeight="false" outlineLevel="0" collapsed="false">
      <c r="A651" s="36" t="str">
        <f aca="false">IF(Raw_Export!$A651="","",TRIM(Raw_Export!A651))</f>
        <v>TXN-100637</v>
      </c>
      <c r="B651" s="37" t="n">
        <f aca="false">IF(Raw_Export!$A651="","",IF(ISNUMBER(Raw_Export!B651),Raw_Export!B651,IF(MID(TRIM(Raw_Export!B651),5,1)="-",DATE(LEFT(TRIM(Raw_Export!B651),4),MID(TRIM(Raw_Export!B651),6,2),RIGHT(TRIM(Raw_Export!B651),2)),DATE(RIGHT(TRIM(Raw_Export!B651),4),MATCH(MID(TRIM(Raw_Export!B651),4,3),{"Jan","Feb","Mar","Apr","May","Jun","Jul","Aug","Sep","Oct","Nov","Dec"},0),LEFT(TRIM(Raw_Export!B651),2)))))</f>
        <v>46269</v>
      </c>
      <c r="C651" s="36" t="str">
        <f aca="false">IF(Raw_Export!$A651="","",IFERROR(VLOOKUP(LOWER(TRIM(Raw_Export!C651)),Maps!$A$2:$B$20,2,FALSE()),"UNMAPPED"))</f>
        <v>Kisumu</v>
      </c>
      <c r="D651" s="36" t="str">
        <f aca="false">IF(Raw_Export!$A651="","",IFERROR(VLOOKUP(LOWER(TRIM(Raw_Export!D651)),Maps!$G$2:$I$80,2,FALSE()),"UNMAPPED"))</f>
        <v>Cheddar 200g</v>
      </c>
      <c r="E651" s="36" t="str">
        <f aca="false">IF(Raw_Export!$A651="","",IFERROR(VLOOKUP(LOWER(TRIM(Raw_Export!D651)),Maps!$G$2:$I$80,3,FALSE()),"UNMAPPED"))</f>
        <v>Dairy &amp; Eggs</v>
      </c>
      <c r="F651" s="36" t="n">
        <f aca="false">IF(Raw_Export!$A651="","",IFERROR(VALUE(TRIM(Raw_Export!E651)),0))</f>
        <v>2</v>
      </c>
      <c r="G651" s="38" t="n">
        <f aca="false">IF(Raw_Export!$A651="","",IFERROR(VALUE(SUBSTITUTE(SUBSTITUTE(UPPER(TRIM(Raw_Export!F651)),"KES",""),",","")),0))</f>
        <v>380</v>
      </c>
      <c r="H651" s="38" t="n">
        <f aca="false">IF(Raw_Export!$A651="","",F651*G651)</f>
        <v>760</v>
      </c>
      <c r="I651" s="36" t="str">
        <f aca="false">IF(Raw_Export!$A651="","",IFERROR(VLOOKUP(LOWER(TRIM(Raw_Export!H651)),Maps!$D$2:$E$12,2,FALSE()),"Other"))</f>
        <v>Cash</v>
      </c>
      <c r="J651" s="36" t="str">
        <f aca="false">IF(Raw_Export!$A651="","",IF(COUNTIF($A$2:A651,A651)&gt;1,"Duplicate",""))</f>
        <v/>
      </c>
      <c r="K651" s="36" t="str">
        <f aca="false">IF(Raw_Export!$A651="","",IF(J651="Duplicate","Duplicate",IF(OR(C651="UNMAPPED",D651="UNMAPPED"),"Unmapped",IF(F651=0,"Blank qty",IF(F651&lt;0,"Return","OK")))))</f>
        <v>OK</v>
      </c>
      <c r="L651" s="36" t="n">
        <f aca="false">IF(Raw_Export!$A651="","",IF(OR(K651="OK",K651="Return"),1,0))</f>
        <v>1</v>
      </c>
      <c r="M651" s="37" t="n">
        <f aca="false">IF(Raw_Export!$A651="","",B651-WEEKDAY(B651,2)+1)</f>
        <v>46265</v>
      </c>
    </row>
    <row r="652" customFormat="false" ht="15" hidden="false" customHeight="false" outlineLevel="0" collapsed="false">
      <c r="A652" s="36" t="str">
        <f aca="false">IF(Raw_Export!$A652="","",TRIM(Raw_Export!A652))</f>
        <v>TXN-100638</v>
      </c>
      <c r="B652" s="37" t="n">
        <f aca="false">IF(Raw_Export!$A652="","",IF(ISNUMBER(Raw_Export!B652),Raw_Export!B652,IF(MID(TRIM(Raw_Export!B652),5,1)="-",DATE(LEFT(TRIM(Raw_Export!B652),4),MID(TRIM(Raw_Export!B652),6,2),RIGHT(TRIM(Raw_Export!B652),2)),DATE(RIGHT(TRIM(Raw_Export!B652),4),MATCH(MID(TRIM(Raw_Export!B652),4,3),{"Jan","Feb","Mar","Apr","May","Jun","Jul","Aug","Sep","Oct","Nov","Dec"},0),LEFT(TRIM(Raw_Export!B652),2)))))</f>
        <v>46269</v>
      </c>
      <c r="C652" s="36" t="str">
        <f aca="false">IF(Raw_Export!$A652="","",IFERROR(VLOOKUP(LOWER(TRIM(Raw_Export!C652)),Maps!$A$2:$B$20,2,FALSE()),"UNMAPPED"))</f>
        <v>Kisumu</v>
      </c>
      <c r="D652" s="36" t="str">
        <f aca="false">IF(Raw_Export!$A652="","",IFERROR(VLOOKUP(LOWER(TRIM(Raw_Export!D652)),Maps!$G$2:$I$80,2,FALSE()),"UNMAPPED"))</f>
        <v>Soda 500ml</v>
      </c>
      <c r="E652" s="36" t="str">
        <f aca="false">IF(Raw_Export!$A652="","",IFERROR(VLOOKUP(LOWER(TRIM(Raw_Export!D652)),Maps!$G$2:$I$80,3,FALSE()),"UNMAPPED"))</f>
        <v>Beverages</v>
      </c>
      <c r="F652" s="36" t="n">
        <f aca="false">IF(Raw_Export!$A652="","",IFERROR(VALUE(TRIM(Raw_Export!E652)),0))</f>
        <v>1</v>
      </c>
      <c r="G652" s="38" t="n">
        <f aca="false">IF(Raw_Export!$A652="","",IFERROR(VALUE(SUBSTITUTE(SUBSTITUTE(UPPER(TRIM(Raw_Export!F652)),"KES",""),",","")),0))</f>
        <v>60</v>
      </c>
      <c r="H652" s="38" t="n">
        <f aca="false">IF(Raw_Export!$A652="","",F652*G652)</f>
        <v>60</v>
      </c>
      <c r="I652" s="36" t="str">
        <f aca="false">IF(Raw_Export!$A652="","",IFERROR(VLOOKUP(LOWER(TRIM(Raw_Export!H652)),Maps!$D$2:$E$12,2,FALSE()),"Other"))</f>
        <v>Cash</v>
      </c>
      <c r="J652" s="36" t="str">
        <f aca="false">IF(Raw_Export!$A652="","",IF(COUNTIF($A$2:A652,A652)&gt;1,"Duplicate",""))</f>
        <v/>
      </c>
      <c r="K652" s="36" t="str">
        <f aca="false">IF(Raw_Export!$A652="","",IF(J652="Duplicate","Duplicate",IF(OR(C652="UNMAPPED",D652="UNMAPPED"),"Unmapped",IF(F652=0,"Blank qty",IF(F652&lt;0,"Return","OK")))))</f>
        <v>OK</v>
      </c>
      <c r="L652" s="36" t="n">
        <f aca="false">IF(Raw_Export!$A652="","",IF(OR(K652="OK",K652="Return"),1,0))</f>
        <v>1</v>
      </c>
      <c r="M652" s="37" t="n">
        <f aca="false">IF(Raw_Export!$A652="","",B652-WEEKDAY(B652,2)+1)</f>
        <v>46265</v>
      </c>
    </row>
    <row r="653" customFormat="false" ht="15" hidden="false" customHeight="false" outlineLevel="0" collapsed="false">
      <c r="A653" s="36" t="str">
        <f aca="false">IF(Raw_Export!$A653="","",TRIM(Raw_Export!A653))</f>
        <v>TXN-100639</v>
      </c>
      <c r="B653" s="37" t="n">
        <f aca="false">IF(Raw_Export!$A653="","",IF(ISNUMBER(Raw_Export!B653),Raw_Export!B653,IF(MID(TRIM(Raw_Export!B653),5,1)="-",DATE(LEFT(TRIM(Raw_Export!B653),4),MID(TRIM(Raw_Export!B653),6,2),RIGHT(TRIM(Raw_Export!B653),2)),DATE(RIGHT(TRIM(Raw_Export!B653),4),MATCH(MID(TRIM(Raw_Export!B653),4,3),{"Jan","Feb","Mar","Apr","May","Jun","Jul","Aug","Sep","Oct","Nov","Dec"},0),LEFT(TRIM(Raw_Export!B653),2)))))</f>
        <v>46269</v>
      </c>
      <c r="C653" s="36" t="str">
        <f aca="false">IF(Raw_Export!$A653="","",IFERROR(VLOOKUP(LOWER(TRIM(Raw_Export!C653)),Maps!$A$2:$B$20,2,FALSE()),"UNMAPPED"))</f>
        <v>Kisumu</v>
      </c>
      <c r="D653" s="36" t="str">
        <f aca="false">IF(Raw_Export!$A653="","",IFERROR(VLOOKUP(LOWER(TRIM(Raw_Export!D653)),Maps!$G$2:$I$80,2,FALSE()),"UNMAPPED"))</f>
        <v>Bottled Water 1.5L</v>
      </c>
      <c r="E653" s="36" t="str">
        <f aca="false">IF(Raw_Export!$A653="","",IFERROR(VLOOKUP(LOWER(TRIM(Raw_Export!D653)),Maps!$G$2:$I$80,3,FALSE()),"UNMAPPED"))</f>
        <v>Beverages</v>
      </c>
      <c r="F653" s="36" t="n">
        <f aca="false">IF(Raw_Export!$A653="","",IFERROR(VALUE(TRIM(Raw_Export!E653)),0))</f>
        <v>2</v>
      </c>
      <c r="G653" s="38" t="n">
        <f aca="false">IF(Raw_Export!$A653="","",IFERROR(VALUE(SUBSTITUTE(SUBSTITUTE(UPPER(TRIM(Raw_Export!F653)),"KES",""),",","")),0))</f>
        <v>90</v>
      </c>
      <c r="H653" s="38" t="n">
        <f aca="false">IF(Raw_Export!$A653="","",F653*G653)</f>
        <v>180</v>
      </c>
      <c r="I653" s="36" t="str">
        <f aca="false">IF(Raw_Export!$A653="","",IFERROR(VLOOKUP(LOWER(TRIM(Raw_Export!H653)),Maps!$D$2:$E$12,2,FALSE()),"Other"))</f>
        <v>M-Pesa</v>
      </c>
      <c r="J653" s="36" t="str">
        <f aca="false">IF(Raw_Export!$A653="","",IF(COUNTIF($A$2:A653,A653)&gt;1,"Duplicate",""))</f>
        <v/>
      </c>
      <c r="K653" s="36" t="str">
        <f aca="false">IF(Raw_Export!$A653="","",IF(J653="Duplicate","Duplicate",IF(OR(C653="UNMAPPED",D653="UNMAPPED"),"Unmapped",IF(F653=0,"Blank qty",IF(F653&lt;0,"Return","OK")))))</f>
        <v>OK</v>
      </c>
      <c r="L653" s="36" t="n">
        <f aca="false">IF(Raw_Export!$A653="","",IF(OR(K653="OK",K653="Return"),1,0))</f>
        <v>1</v>
      </c>
      <c r="M653" s="37" t="n">
        <f aca="false">IF(Raw_Export!$A653="","",B653-WEEKDAY(B653,2)+1)</f>
        <v>46265</v>
      </c>
    </row>
    <row r="654" customFormat="false" ht="15" hidden="false" customHeight="false" outlineLevel="0" collapsed="false">
      <c r="A654" s="36" t="str">
        <f aca="false">IF(Raw_Export!$A654="","",TRIM(Raw_Export!A654))</f>
        <v>TXN-100640</v>
      </c>
      <c r="B654" s="37" t="n">
        <f aca="false">IF(Raw_Export!$A654="","",IF(ISNUMBER(Raw_Export!B654),Raw_Export!B654,IF(MID(TRIM(Raw_Export!B654),5,1)="-",DATE(LEFT(TRIM(Raw_Export!B654),4),MID(TRIM(Raw_Export!B654),6,2),RIGHT(TRIM(Raw_Export!B654),2)),DATE(RIGHT(TRIM(Raw_Export!B654),4),MATCH(MID(TRIM(Raw_Export!B654),4,3),{"Jan","Feb","Mar","Apr","May","Jun","Jul","Aug","Sep","Oct","Nov","Dec"},0),LEFT(TRIM(Raw_Export!B654),2)))))</f>
        <v>46269</v>
      </c>
      <c r="C654" s="36" t="str">
        <f aca="false">IF(Raw_Export!$A654="","",IFERROR(VLOOKUP(LOWER(TRIM(Raw_Export!C654)),Maps!$A$2:$B$20,2,FALSE()),"UNMAPPED"))</f>
        <v>Kisumu</v>
      </c>
      <c r="D654" s="36" t="str">
        <f aca="false">IF(Raw_Export!$A654="","",IFERROR(VLOOKUP(LOWER(TRIM(Raw_Export!D654)),Maps!$G$2:$I$80,2,FALSE()),"UNMAPPED"))</f>
        <v>Toothpaste 100g</v>
      </c>
      <c r="E654" s="36" t="str">
        <f aca="false">IF(Raw_Export!$A654="","",IFERROR(VLOOKUP(LOWER(TRIM(Raw_Export!D654)),Maps!$G$2:$I$80,3,FALSE()),"UNMAPPED"))</f>
        <v>Personal Care</v>
      </c>
      <c r="F654" s="36" t="n">
        <f aca="false">IF(Raw_Export!$A654="","",IFERROR(VALUE(TRIM(Raw_Export!E654)),0))</f>
        <v>2</v>
      </c>
      <c r="G654" s="38" t="n">
        <f aca="false">IF(Raw_Export!$A654="","",IFERROR(VALUE(SUBSTITUTE(SUBSTITUTE(UPPER(TRIM(Raw_Export!F654)),"KES",""),",","")),0))</f>
        <v>195</v>
      </c>
      <c r="H654" s="38" t="n">
        <f aca="false">IF(Raw_Export!$A654="","",F654*G654)</f>
        <v>390</v>
      </c>
      <c r="I654" s="36" t="str">
        <f aca="false">IF(Raw_Export!$A654="","",IFERROR(VLOOKUP(LOWER(TRIM(Raw_Export!H654)),Maps!$D$2:$E$12,2,FALSE()),"Other"))</f>
        <v>Cash</v>
      </c>
      <c r="J654" s="36" t="str">
        <f aca="false">IF(Raw_Export!$A654="","",IF(COUNTIF($A$2:A654,A654)&gt;1,"Duplicate",""))</f>
        <v/>
      </c>
      <c r="K654" s="36" t="str">
        <f aca="false">IF(Raw_Export!$A654="","",IF(J654="Duplicate","Duplicate",IF(OR(C654="UNMAPPED",D654="UNMAPPED"),"Unmapped",IF(F654=0,"Blank qty",IF(F654&lt;0,"Return","OK")))))</f>
        <v>OK</v>
      </c>
      <c r="L654" s="36" t="n">
        <f aca="false">IF(Raw_Export!$A654="","",IF(OR(K654="OK",K654="Return"),1,0))</f>
        <v>1</v>
      </c>
      <c r="M654" s="37" t="n">
        <f aca="false">IF(Raw_Export!$A654="","",B654-WEEKDAY(B654,2)+1)</f>
        <v>46265</v>
      </c>
    </row>
    <row r="655" customFormat="false" ht="15" hidden="false" customHeight="false" outlineLevel="0" collapsed="false">
      <c r="A655" s="36" t="str">
        <f aca="false">IF(Raw_Export!$A655="","",TRIM(Raw_Export!A655))</f>
        <v>TXN-100641</v>
      </c>
      <c r="B655" s="37" t="n">
        <f aca="false">IF(Raw_Export!$A655="","",IF(ISNUMBER(Raw_Export!B655),Raw_Export!B655,IF(MID(TRIM(Raw_Export!B655),5,1)="-",DATE(LEFT(TRIM(Raw_Export!B655),4),MID(TRIM(Raw_Export!B655),6,2),RIGHT(TRIM(Raw_Export!B655),2)),DATE(RIGHT(TRIM(Raw_Export!B655),4),MATCH(MID(TRIM(Raw_Export!B655),4,3),{"Jan","Feb","Mar","Apr","May","Jun","Jul","Aug","Sep","Oct","Nov","Dec"},0),LEFT(TRIM(Raw_Export!B655),2)))))</f>
        <v>46269</v>
      </c>
      <c r="C655" s="36" t="str">
        <f aca="false">IF(Raw_Export!$A655="","",IFERROR(VLOOKUP(LOWER(TRIM(Raw_Export!C655)),Maps!$A$2:$B$20,2,FALSE()),"UNMAPPED"))</f>
        <v>Kisumu</v>
      </c>
      <c r="D655" s="36" t="str">
        <f aca="false">IF(Raw_Export!$A655="","",IFERROR(VLOOKUP(LOWER(TRIM(Raw_Export!D655)),Maps!$G$2:$I$80,2,FALSE()),"UNMAPPED"))</f>
        <v>Tea Leaves 250g</v>
      </c>
      <c r="E655" s="36" t="str">
        <f aca="false">IF(Raw_Export!$A655="","",IFERROR(VLOOKUP(LOWER(TRIM(Raw_Export!D655)),Maps!$G$2:$I$80,3,FALSE()),"UNMAPPED"))</f>
        <v>Beverages</v>
      </c>
      <c r="F655" s="36" t="n">
        <f aca="false">IF(Raw_Export!$A655="","",IFERROR(VALUE(TRIM(Raw_Export!E655)),0))</f>
        <v>1</v>
      </c>
      <c r="G655" s="38" t="n">
        <f aca="false">IF(Raw_Export!$A655="","",IFERROR(VALUE(SUBSTITUTE(SUBSTITUTE(UPPER(TRIM(Raw_Export!F655)),"KES",""),",","")),0))</f>
        <v>150</v>
      </c>
      <c r="H655" s="38" t="n">
        <f aca="false">IF(Raw_Export!$A655="","",F655*G655)</f>
        <v>150</v>
      </c>
      <c r="I655" s="36" t="str">
        <f aca="false">IF(Raw_Export!$A655="","",IFERROR(VLOOKUP(LOWER(TRIM(Raw_Export!H655)),Maps!$D$2:$E$12,2,FALSE()),"Other"))</f>
        <v>M-Pesa</v>
      </c>
      <c r="J655" s="36" t="str">
        <f aca="false">IF(Raw_Export!$A655="","",IF(COUNTIF($A$2:A655,A655)&gt;1,"Duplicate",""))</f>
        <v/>
      </c>
      <c r="K655" s="36" t="str">
        <f aca="false">IF(Raw_Export!$A655="","",IF(J655="Duplicate","Duplicate",IF(OR(C655="UNMAPPED",D655="UNMAPPED"),"Unmapped",IF(F655=0,"Blank qty",IF(F655&lt;0,"Return","OK")))))</f>
        <v>OK</v>
      </c>
      <c r="L655" s="36" t="n">
        <f aca="false">IF(Raw_Export!$A655="","",IF(OR(K655="OK",K655="Return"),1,0))</f>
        <v>1</v>
      </c>
      <c r="M655" s="37" t="n">
        <f aca="false">IF(Raw_Export!$A655="","",B655-WEEKDAY(B655,2)+1)</f>
        <v>46265</v>
      </c>
    </row>
    <row r="656" customFormat="false" ht="15" hidden="false" customHeight="false" outlineLevel="0" collapsed="false">
      <c r="A656" s="36" t="str">
        <f aca="false">IF(Raw_Export!$A656="","",TRIM(Raw_Export!A656))</f>
        <v>TXN-100069</v>
      </c>
      <c r="B656" s="37" t="n">
        <f aca="false">IF(Raw_Export!$A656="","",IF(ISNUMBER(Raw_Export!B656),Raw_Export!B656,IF(MID(TRIM(Raw_Export!B656),5,1)="-",DATE(LEFT(TRIM(Raw_Export!B656),4),MID(TRIM(Raw_Export!B656),6,2),RIGHT(TRIM(Raw_Export!B656),2)),DATE(RIGHT(TRIM(Raw_Export!B656),4),MATCH(MID(TRIM(Raw_Export!B656),4,3),{"Jan","Feb","Mar","Apr","May","Jun","Jul","Aug","Sep","Oct","Nov","Dec"},0),LEFT(TRIM(Raw_Export!B656),2)))))</f>
        <v>46265</v>
      </c>
      <c r="C656" s="36" t="str">
        <f aca="false">IF(Raw_Export!$A656="","",IFERROR(VLOOKUP(LOWER(TRIM(Raw_Export!C656)),Maps!$A$2:$B$20,2,FALSE()),"UNMAPPED"))</f>
        <v>Mombasa</v>
      </c>
      <c r="D656" s="36" t="str">
        <f aca="false">IF(Raw_Export!$A656="","",IFERROR(VLOOKUP(LOWER(TRIM(Raw_Export!D656)),Maps!$G$2:$I$80,2,FALSE()),"UNMAPPED"))</f>
        <v>Washing Powder 1kg</v>
      </c>
      <c r="E656" s="36" t="str">
        <f aca="false">IF(Raw_Export!$A656="","",IFERROR(VLOOKUP(LOWER(TRIM(Raw_Export!D656)),Maps!$G$2:$I$80,3,FALSE()),"UNMAPPED"))</f>
        <v>Household</v>
      </c>
      <c r="F656" s="36" t="n">
        <f aca="false">IF(Raw_Export!$A656="","",IFERROR(VALUE(TRIM(Raw_Export!E656)),0))</f>
        <v>4</v>
      </c>
      <c r="G656" s="38" t="n">
        <f aca="false">IF(Raw_Export!$A656="","",IFERROR(VALUE(SUBSTITUTE(SUBSTITUTE(UPPER(TRIM(Raw_Export!F656)),"KES",""),",","")),0))</f>
        <v>280</v>
      </c>
      <c r="H656" s="38" t="n">
        <f aca="false">IF(Raw_Export!$A656="","",F656*G656)</f>
        <v>1120</v>
      </c>
      <c r="I656" s="36" t="str">
        <f aca="false">IF(Raw_Export!$A656="","",IFERROR(VLOOKUP(LOWER(TRIM(Raw_Export!H656)),Maps!$D$2:$E$12,2,FALSE()),"Other"))</f>
        <v>Cash</v>
      </c>
      <c r="J656" s="36" t="str">
        <f aca="false">IF(Raw_Export!$A656="","",IF(COUNTIF($A$2:A656,A656)&gt;1,"Duplicate",""))</f>
        <v>Duplicate</v>
      </c>
      <c r="K656" s="36" t="str">
        <f aca="false">IF(Raw_Export!$A656="","",IF(J656="Duplicate","Duplicate",IF(OR(C656="UNMAPPED",D656="UNMAPPED"),"Unmapped",IF(F656=0,"Blank qty",IF(F656&lt;0,"Return","OK")))))</f>
        <v>Duplicate</v>
      </c>
      <c r="L656" s="36" t="n">
        <f aca="false">IF(Raw_Export!$A656="","",IF(OR(K656="OK",K656="Return"),1,0))</f>
        <v>0</v>
      </c>
      <c r="M656" s="37" t="n">
        <f aca="false">IF(Raw_Export!$A656="","",B656-WEEKDAY(B656,2)+1)</f>
        <v>46265</v>
      </c>
    </row>
    <row r="657" customFormat="false" ht="15" hidden="false" customHeight="false" outlineLevel="0" collapsed="false">
      <c r="A657" s="36" t="str">
        <f aca="false">IF(Raw_Export!$A657="","",TRIM(Raw_Export!A657))</f>
        <v>TXN-100642</v>
      </c>
      <c r="B657" s="37" t="n">
        <f aca="false">IF(Raw_Export!$A657="","",IF(ISNUMBER(Raw_Export!B657),Raw_Export!B657,IF(MID(TRIM(Raw_Export!B657),5,1)="-",DATE(LEFT(TRIM(Raw_Export!B657),4),MID(TRIM(Raw_Export!B657),6,2),RIGHT(TRIM(Raw_Export!B657),2)),DATE(RIGHT(TRIM(Raw_Export!B657),4),MATCH(MID(TRIM(Raw_Export!B657),4,3),{"Jan","Feb","Mar","Apr","May","Jun","Jul","Aug","Sep","Oct","Nov","Dec"},0),LEFT(TRIM(Raw_Export!B657),2)))))</f>
        <v>46269</v>
      </c>
      <c r="C657" s="36" t="str">
        <f aca="false">IF(Raw_Export!$A657="","",IFERROR(VLOOKUP(LOWER(TRIM(Raw_Export!C657)),Maps!$A$2:$B$20,2,FALSE()),"UNMAPPED"))</f>
        <v>Kisumu</v>
      </c>
      <c r="D657" s="36" t="str">
        <f aca="false">IF(Raw_Export!$A657="","",IFERROR(VLOOKUP(LOWER(TRIM(Raw_Export!D657)),Maps!$G$2:$I$80,2,FALSE()),"UNMAPPED"))</f>
        <v>Cooking Oil 1L</v>
      </c>
      <c r="E657" s="36" t="str">
        <f aca="false">IF(Raw_Export!$A657="","",IFERROR(VLOOKUP(LOWER(TRIM(Raw_Export!D657)),Maps!$G$2:$I$80,3,FALSE()),"UNMAPPED"))</f>
        <v>Staples</v>
      </c>
      <c r="F657" s="36" t="n">
        <f aca="false">IF(Raw_Export!$A657="","",IFERROR(VALUE(TRIM(Raw_Export!E657)),0))</f>
        <v>1</v>
      </c>
      <c r="G657" s="38" t="n">
        <f aca="false">IF(Raw_Export!$A657="","",IFERROR(VALUE(SUBSTITUTE(SUBSTITUTE(UPPER(TRIM(Raw_Export!F657)),"KES",""),",","")),0))</f>
        <v>330</v>
      </c>
      <c r="H657" s="38" t="n">
        <f aca="false">IF(Raw_Export!$A657="","",F657*G657)</f>
        <v>330</v>
      </c>
      <c r="I657" s="36" t="str">
        <f aca="false">IF(Raw_Export!$A657="","",IFERROR(VLOOKUP(LOWER(TRIM(Raw_Export!H657)),Maps!$D$2:$E$12,2,FALSE()),"Other"))</f>
        <v>Cash</v>
      </c>
      <c r="J657" s="36" t="str">
        <f aca="false">IF(Raw_Export!$A657="","",IF(COUNTIF($A$2:A657,A657)&gt;1,"Duplicate",""))</f>
        <v/>
      </c>
      <c r="K657" s="36" t="str">
        <f aca="false">IF(Raw_Export!$A657="","",IF(J657="Duplicate","Duplicate",IF(OR(C657="UNMAPPED",D657="UNMAPPED"),"Unmapped",IF(F657=0,"Blank qty",IF(F657&lt;0,"Return","OK")))))</f>
        <v>OK</v>
      </c>
      <c r="L657" s="36" t="n">
        <f aca="false">IF(Raw_Export!$A657="","",IF(OR(K657="OK",K657="Return"),1,0))</f>
        <v>1</v>
      </c>
      <c r="M657" s="37" t="n">
        <f aca="false">IF(Raw_Export!$A657="","",B657-WEEKDAY(B657,2)+1)</f>
        <v>46265</v>
      </c>
    </row>
    <row r="658" customFormat="false" ht="15" hidden="false" customHeight="false" outlineLevel="0" collapsed="false">
      <c r="A658" s="36" t="str">
        <f aca="false">IF(Raw_Export!$A658="","",TRIM(Raw_Export!A658))</f>
        <v>TXN-100643</v>
      </c>
      <c r="B658" s="37" t="n">
        <f aca="false">IF(Raw_Export!$A658="","",IF(ISNUMBER(Raw_Export!B658),Raw_Export!B658,IF(MID(TRIM(Raw_Export!B658),5,1)="-",DATE(LEFT(TRIM(Raw_Export!B658),4),MID(TRIM(Raw_Export!B658),6,2),RIGHT(TRIM(Raw_Export!B658),2)),DATE(RIGHT(TRIM(Raw_Export!B658),4),MATCH(MID(TRIM(Raw_Export!B658),4,3),{"Jan","Feb","Mar","Apr","May","Jun","Jul","Aug","Sep","Oct","Nov","Dec"},0),LEFT(TRIM(Raw_Export!B658),2)))))</f>
        <v>46269</v>
      </c>
      <c r="C658" s="36" t="str">
        <f aca="false">IF(Raw_Export!$A658="","",IFERROR(VLOOKUP(LOWER(TRIM(Raw_Export!C658)),Maps!$A$2:$B$20,2,FALSE()),"UNMAPPED"))</f>
        <v>Kisumu</v>
      </c>
      <c r="D658" s="36" t="str">
        <f aca="false">IF(Raw_Export!$A658="","",IFERROR(VLOOKUP(LOWER(TRIM(Raw_Export!D658)),Maps!$G$2:$I$80,2,FALSE()),"UNMAPPED"))</f>
        <v>Sanitary Pads 8pk</v>
      </c>
      <c r="E658" s="36" t="str">
        <f aca="false">IF(Raw_Export!$A658="","",IFERROR(VLOOKUP(LOWER(TRIM(Raw_Export!D658)),Maps!$G$2:$I$80,3,FALSE()),"UNMAPPED"))</f>
        <v>Personal Care</v>
      </c>
      <c r="F658" s="36" t="n">
        <f aca="false">IF(Raw_Export!$A658="","",IFERROR(VALUE(TRIM(Raw_Export!E658)),0))</f>
        <v>3</v>
      </c>
      <c r="G658" s="38" t="n">
        <f aca="false">IF(Raw_Export!$A658="","",IFERROR(VALUE(SUBSTITUTE(SUBSTITUTE(UPPER(TRIM(Raw_Export!F658)),"KES",""),",","")),0))</f>
        <v>130</v>
      </c>
      <c r="H658" s="38" t="n">
        <f aca="false">IF(Raw_Export!$A658="","",F658*G658)</f>
        <v>390</v>
      </c>
      <c r="I658" s="36" t="str">
        <f aca="false">IF(Raw_Export!$A658="","",IFERROR(VLOOKUP(LOWER(TRIM(Raw_Export!H658)),Maps!$D$2:$E$12,2,FALSE()),"Other"))</f>
        <v>Card</v>
      </c>
      <c r="J658" s="36" t="str">
        <f aca="false">IF(Raw_Export!$A658="","",IF(COUNTIF($A$2:A658,A658)&gt;1,"Duplicate",""))</f>
        <v/>
      </c>
      <c r="K658" s="36" t="str">
        <f aca="false">IF(Raw_Export!$A658="","",IF(J658="Duplicate","Duplicate",IF(OR(C658="UNMAPPED",D658="UNMAPPED"),"Unmapped",IF(F658=0,"Blank qty",IF(F658&lt;0,"Return","OK")))))</f>
        <v>OK</v>
      </c>
      <c r="L658" s="36" t="n">
        <f aca="false">IF(Raw_Export!$A658="","",IF(OR(K658="OK",K658="Return"),1,0))</f>
        <v>1</v>
      </c>
      <c r="M658" s="37" t="n">
        <f aca="false">IF(Raw_Export!$A658="","",B658-WEEKDAY(B658,2)+1)</f>
        <v>46265</v>
      </c>
    </row>
    <row r="659" customFormat="false" ht="15" hidden="false" customHeight="false" outlineLevel="0" collapsed="false">
      <c r="A659" s="36" t="str">
        <f aca="false">IF(Raw_Export!$A659="","",TRIM(Raw_Export!A659))</f>
        <v>TXN-100644</v>
      </c>
      <c r="B659" s="37" t="n">
        <f aca="false">IF(Raw_Export!$A659="","",IF(ISNUMBER(Raw_Export!B659),Raw_Export!B659,IF(MID(TRIM(Raw_Export!B659),5,1)="-",DATE(LEFT(TRIM(Raw_Export!B659),4),MID(TRIM(Raw_Export!B659),6,2),RIGHT(TRIM(Raw_Export!B659),2)),DATE(RIGHT(TRIM(Raw_Export!B659),4),MATCH(MID(TRIM(Raw_Export!B659),4,3),{"Jan","Feb","Mar","Apr","May","Jun","Jul","Aug","Sep","Oct","Nov","Dec"},0),LEFT(TRIM(Raw_Export!B659),2)))))</f>
        <v>46269</v>
      </c>
      <c r="C659" s="36" t="str">
        <f aca="false">IF(Raw_Export!$A659="","",IFERROR(VLOOKUP(LOWER(TRIM(Raw_Export!C659)),Maps!$A$2:$B$20,2,FALSE()),"UNMAPPED"))</f>
        <v>Kisumu</v>
      </c>
      <c r="D659" s="36" t="str">
        <f aca="false">IF(Raw_Export!$A659="","",IFERROR(VLOOKUP(LOWER(TRIM(Raw_Export!D659)),Maps!$G$2:$I$80,2,FALSE()),"UNMAPPED"))</f>
        <v>Bottled Water 1.5L</v>
      </c>
      <c r="E659" s="36" t="str">
        <f aca="false">IF(Raw_Export!$A659="","",IFERROR(VLOOKUP(LOWER(TRIM(Raw_Export!D659)),Maps!$G$2:$I$80,3,FALSE()),"UNMAPPED"))</f>
        <v>Beverages</v>
      </c>
      <c r="F659" s="36" t="n">
        <f aca="false">IF(Raw_Export!$A659="","",IFERROR(VALUE(TRIM(Raw_Export!E659)),0))</f>
        <v>1</v>
      </c>
      <c r="G659" s="38" t="n">
        <f aca="false">IF(Raw_Export!$A659="","",IFERROR(VALUE(SUBSTITUTE(SUBSTITUTE(UPPER(TRIM(Raw_Export!F659)),"KES",""),",","")),0))</f>
        <v>90</v>
      </c>
      <c r="H659" s="38" t="n">
        <f aca="false">IF(Raw_Export!$A659="","",F659*G659)</f>
        <v>90</v>
      </c>
      <c r="I659" s="36" t="str">
        <f aca="false">IF(Raw_Export!$A659="","",IFERROR(VLOOKUP(LOWER(TRIM(Raw_Export!H659)),Maps!$D$2:$E$12,2,FALSE()),"Other"))</f>
        <v>Cash</v>
      </c>
      <c r="J659" s="36" t="str">
        <f aca="false">IF(Raw_Export!$A659="","",IF(COUNTIF($A$2:A659,A659)&gt;1,"Duplicate",""))</f>
        <v/>
      </c>
      <c r="K659" s="36" t="str">
        <f aca="false">IF(Raw_Export!$A659="","",IF(J659="Duplicate","Duplicate",IF(OR(C659="UNMAPPED",D659="UNMAPPED"),"Unmapped",IF(F659=0,"Blank qty",IF(F659&lt;0,"Return","OK")))))</f>
        <v>OK</v>
      </c>
      <c r="L659" s="36" t="n">
        <f aca="false">IF(Raw_Export!$A659="","",IF(OR(K659="OK",K659="Return"),1,0))</f>
        <v>1</v>
      </c>
      <c r="M659" s="37" t="n">
        <f aca="false">IF(Raw_Export!$A659="","",B659-WEEKDAY(B659,2)+1)</f>
        <v>46265</v>
      </c>
    </row>
    <row r="660" customFormat="false" ht="15" hidden="false" customHeight="false" outlineLevel="0" collapsed="false">
      <c r="A660" s="36" t="str">
        <f aca="false">IF(Raw_Export!$A660="","",TRIM(Raw_Export!A660))</f>
        <v>TXN-100645</v>
      </c>
      <c r="B660" s="37" t="n">
        <f aca="false">IF(Raw_Export!$A660="","",IF(ISNUMBER(Raw_Export!B660),Raw_Export!B660,IF(MID(TRIM(Raw_Export!B660),5,1)="-",DATE(LEFT(TRIM(Raw_Export!B660),4),MID(TRIM(Raw_Export!B660),6,2),RIGHT(TRIM(Raw_Export!B660),2)),DATE(RIGHT(TRIM(Raw_Export!B660),4),MATCH(MID(TRIM(Raw_Export!B660),4,3),{"Jan","Feb","Mar","Apr","May","Jun","Jul","Aug","Sep","Oct","Nov","Dec"},0),LEFT(TRIM(Raw_Export!B660),2)))))</f>
        <v>46269</v>
      </c>
      <c r="C660" s="36" t="str">
        <f aca="false">IF(Raw_Export!$A660="","",IFERROR(VLOOKUP(LOWER(TRIM(Raw_Export!C660)),Maps!$A$2:$B$20,2,FALSE()),"UNMAPPED"))</f>
        <v>Kisumu</v>
      </c>
      <c r="D660" s="36" t="str">
        <f aca="false">IF(Raw_Export!$A660="","",IFERROR(VLOOKUP(LOWER(TRIM(Raw_Export!D660)),Maps!$G$2:$I$80,2,FALSE()),"UNMAPPED"))</f>
        <v>Fresh Milk 500ml</v>
      </c>
      <c r="E660" s="36" t="str">
        <f aca="false">IF(Raw_Export!$A660="","",IFERROR(VLOOKUP(LOWER(TRIM(Raw_Export!D660)),Maps!$G$2:$I$80,3,FALSE()),"UNMAPPED"))</f>
        <v>Dairy &amp; Eggs</v>
      </c>
      <c r="F660" s="36" t="n">
        <f aca="false">IF(Raw_Export!$A660="","",IFERROR(VALUE(TRIM(Raw_Export!E660)),0))</f>
        <v>2</v>
      </c>
      <c r="G660" s="38" t="n">
        <f aca="false">IF(Raw_Export!$A660="","",IFERROR(VALUE(SUBSTITUTE(SUBSTITUTE(UPPER(TRIM(Raw_Export!F660)),"KES",""),",","")),0))</f>
        <v>65</v>
      </c>
      <c r="H660" s="38" t="n">
        <f aca="false">IF(Raw_Export!$A660="","",F660*G660)</f>
        <v>130</v>
      </c>
      <c r="I660" s="36" t="str">
        <f aca="false">IF(Raw_Export!$A660="","",IFERROR(VLOOKUP(LOWER(TRIM(Raw_Export!H660)),Maps!$D$2:$E$12,2,FALSE()),"Other"))</f>
        <v>M-Pesa</v>
      </c>
      <c r="J660" s="36" t="str">
        <f aca="false">IF(Raw_Export!$A660="","",IF(COUNTIF($A$2:A660,A660)&gt;1,"Duplicate",""))</f>
        <v/>
      </c>
      <c r="K660" s="36" t="str">
        <f aca="false">IF(Raw_Export!$A660="","",IF(J660="Duplicate","Duplicate",IF(OR(C660="UNMAPPED",D660="UNMAPPED"),"Unmapped",IF(F660=0,"Blank qty",IF(F660&lt;0,"Return","OK")))))</f>
        <v>OK</v>
      </c>
      <c r="L660" s="36" t="n">
        <f aca="false">IF(Raw_Export!$A660="","",IF(OR(K660="OK",K660="Return"),1,0))</f>
        <v>1</v>
      </c>
      <c r="M660" s="37" t="n">
        <f aca="false">IF(Raw_Export!$A660="","",B660-WEEKDAY(B660,2)+1)</f>
        <v>46265</v>
      </c>
    </row>
    <row r="661" customFormat="false" ht="15" hidden="false" customHeight="false" outlineLevel="0" collapsed="false">
      <c r="A661" s="36" t="str">
        <f aca="false">IF(Raw_Export!$A661="","",TRIM(Raw_Export!A661))</f>
        <v>TXN-100646</v>
      </c>
      <c r="B661" s="37" t="n">
        <f aca="false">IF(Raw_Export!$A661="","",IF(ISNUMBER(Raw_Export!B661),Raw_Export!B661,IF(MID(TRIM(Raw_Export!B661),5,1)="-",DATE(LEFT(TRIM(Raw_Export!B661),4),MID(TRIM(Raw_Export!B661),6,2),RIGHT(TRIM(Raw_Export!B661),2)),DATE(RIGHT(TRIM(Raw_Export!B661),4),MATCH(MID(TRIM(Raw_Export!B661),4,3),{"Jan","Feb","Mar","Apr","May","Jun","Jul","Aug","Sep","Oct","Nov","Dec"},0),LEFT(TRIM(Raw_Export!B661),2)))))</f>
        <v>46269</v>
      </c>
      <c r="C661" s="36" t="str">
        <f aca="false">IF(Raw_Export!$A661="","",IFERROR(VLOOKUP(LOWER(TRIM(Raw_Export!C661)),Maps!$A$2:$B$20,2,FALSE()),"UNMAPPED"))</f>
        <v>Kisumu</v>
      </c>
      <c r="D661" s="36" t="str">
        <f aca="false">IF(Raw_Export!$A661="","",IFERROR(VLOOKUP(LOWER(TRIM(Raw_Export!D661)),Maps!$G$2:$I$80,2,FALSE()),"UNMAPPED"))</f>
        <v>Crisps 100g</v>
      </c>
      <c r="E661" s="36" t="str">
        <f aca="false">IF(Raw_Export!$A661="","",IFERROR(VLOOKUP(LOWER(TRIM(Raw_Export!D661)),Maps!$G$2:$I$80,3,FALSE()),"UNMAPPED"))</f>
        <v>Snacks</v>
      </c>
      <c r="F661" s="36" t="n">
        <f aca="false">IF(Raw_Export!$A661="","",IFERROR(VALUE(TRIM(Raw_Export!E661)),0))</f>
        <v>3</v>
      </c>
      <c r="G661" s="38" t="n">
        <f aca="false">IF(Raw_Export!$A661="","",IFERROR(VALUE(SUBSTITUTE(SUBSTITUTE(UPPER(TRIM(Raw_Export!F661)),"KES",""),",","")),0))</f>
        <v>80</v>
      </c>
      <c r="H661" s="38" t="n">
        <f aca="false">IF(Raw_Export!$A661="","",F661*G661)</f>
        <v>240</v>
      </c>
      <c r="I661" s="36" t="str">
        <f aca="false">IF(Raw_Export!$A661="","",IFERROR(VLOOKUP(LOWER(TRIM(Raw_Export!H661)),Maps!$D$2:$E$12,2,FALSE()),"Other"))</f>
        <v>Card</v>
      </c>
      <c r="J661" s="36" t="str">
        <f aca="false">IF(Raw_Export!$A661="","",IF(COUNTIF($A$2:A661,A661)&gt;1,"Duplicate",""))</f>
        <v/>
      </c>
      <c r="K661" s="36" t="str">
        <f aca="false">IF(Raw_Export!$A661="","",IF(J661="Duplicate","Duplicate",IF(OR(C661="UNMAPPED",D661="UNMAPPED"),"Unmapped",IF(F661=0,"Blank qty",IF(F661&lt;0,"Return","OK")))))</f>
        <v>OK</v>
      </c>
      <c r="L661" s="36" t="n">
        <f aca="false">IF(Raw_Export!$A661="","",IF(OR(K661="OK",K661="Return"),1,0))</f>
        <v>1</v>
      </c>
      <c r="M661" s="37" t="n">
        <f aca="false">IF(Raw_Export!$A661="","",B661-WEEKDAY(B661,2)+1)</f>
        <v>46265</v>
      </c>
    </row>
    <row r="662" customFormat="false" ht="15" hidden="false" customHeight="false" outlineLevel="0" collapsed="false">
      <c r="A662" s="36" t="str">
        <f aca="false">IF(Raw_Export!$A662="","",TRIM(Raw_Export!A662))</f>
        <v>TXN-100647</v>
      </c>
      <c r="B662" s="37" t="n">
        <f aca="false">IF(Raw_Export!$A662="","",IF(ISNUMBER(Raw_Export!B662),Raw_Export!B662,IF(MID(TRIM(Raw_Export!B662),5,1)="-",DATE(LEFT(TRIM(Raw_Export!B662),4),MID(TRIM(Raw_Export!B662),6,2),RIGHT(TRIM(Raw_Export!B662),2)),DATE(RIGHT(TRIM(Raw_Export!B662),4),MATCH(MID(TRIM(Raw_Export!B662),4,3),{"Jan","Feb","Mar","Apr","May","Jun","Jul","Aug","Sep","Oct","Nov","Dec"},0),LEFT(TRIM(Raw_Export!B662),2)))))</f>
        <v>46269</v>
      </c>
      <c r="C662" s="36" t="str">
        <f aca="false">IF(Raw_Export!$A662="","",IFERROR(VLOOKUP(LOWER(TRIM(Raw_Export!C662)),Maps!$A$2:$B$20,2,FALSE()),"UNMAPPED"))</f>
        <v>Kisumu</v>
      </c>
      <c r="D662" s="36" t="str">
        <f aca="false">IF(Raw_Export!$A662="","",IFERROR(VLOOKUP(LOWER(TRIM(Raw_Export!D662)),Maps!$G$2:$I$80,2,FALSE()),"UNMAPPED"))</f>
        <v>Rice Pishori 2kg</v>
      </c>
      <c r="E662" s="36" t="str">
        <f aca="false">IF(Raw_Export!$A662="","",IFERROR(VLOOKUP(LOWER(TRIM(Raw_Export!D662)),Maps!$G$2:$I$80,3,FALSE()),"UNMAPPED"))</f>
        <v>Staples</v>
      </c>
      <c r="F662" s="36" t="n">
        <f aca="false">IF(Raw_Export!$A662="","",IFERROR(VALUE(TRIM(Raw_Export!E662)),0))</f>
        <v>6</v>
      </c>
      <c r="G662" s="38" t="n">
        <f aca="false">IF(Raw_Export!$A662="","",IFERROR(VALUE(SUBSTITUTE(SUBSTITUTE(UPPER(TRIM(Raw_Export!F662)),"KES",""),",","")),0))</f>
        <v>420</v>
      </c>
      <c r="H662" s="38" t="n">
        <f aca="false">IF(Raw_Export!$A662="","",F662*G662)</f>
        <v>2520</v>
      </c>
      <c r="I662" s="36" t="str">
        <f aca="false">IF(Raw_Export!$A662="","",IFERROR(VLOOKUP(LOWER(TRIM(Raw_Export!H662)),Maps!$D$2:$E$12,2,FALSE()),"Other"))</f>
        <v>M-Pesa</v>
      </c>
      <c r="J662" s="36" t="str">
        <f aca="false">IF(Raw_Export!$A662="","",IF(COUNTIF($A$2:A662,A662)&gt;1,"Duplicate",""))</f>
        <v/>
      </c>
      <c r="K662" s="36" t="str">
        <f aca="false">IF(Raw_Export!$A662="","",IF(J662="Duplicate","Duplicate",IF(OR(C662="UNMAPPED",D662="UNMAPPED"),"Unmapped",IF(F662=0,"Blank qty",IF(F662&lt;0,"Return","OK")))))</f>
        <v>OK</v>
      </c>
      <c r="L662" s="36" t="n">
        <f aca="false">IF(Raw_Export!$A662="","",IF(OR(K662="OK",K662="Return"),1,0))</f>
        <v>1</v>
      </c>
      <c r="M662" s="37" t="n">
        <f aca="false">IF(Raw_Export!$A662="","",B662-WEEKDAY(B662,2)+1)</f>
        <v>46265</v>
      </c>
    </row>
    <row r="663" customFormat="false" ht="15" hidden="false" customHeight="false" outlineLevel="0" collapsed="false">
      <c r="A663" s="36" t="str">
        <f aca="false">IF(Raw_Export!$A663="","",TRIM(Raw_Export!A663))</f>
        <v>TXN-100648</v>
      </c>
      <c r="B663" s="37" t="n">
        <f aca="false">IF(Raw_Export!$A663="","",IF(ISNUMBER(Raw_Export!B663),Raw_Export!B663,IF(MID(TRIM(Raw_Export!B663),5,1)="-",DATE(LEFT(TRIM(Raw_Export!B663),4),MID(TRIM(Raw_Export!B663),6,2),RIGHT(TRIM(Raw_Export!B663),2)),DATE(RIGHT(TRIM(Raw_Export!B663),4),MATCH(MID(TRIM(Raw_Export!B663),4,3),{"Jan","Feb","Mar","Apr","May","Jun","Jul","Aug","Sep","Oct","Nov","Dec"},0),LEFT(TRIM(Raw_Export!B663),2)))))</f>
        <v>46269</v>
      </c>
      <c r="C663" s="36" t="str">
        <f aca="false">IF(Raw_Export!$A663="","",IFERROR(VLOOKUP(LOWER(TRIM(Raw_Export!C663)),Maps!$A$2:$B$20,2,FALSE()),"UNMAPPED"))</f>
        <v>Kisumu</v>
      </c>
      <c r="D663" s="36" t="str">
        <f aca="false">IF(Raw_Export!$A663="","",IFERROR(VLOOKUP(LOWER(TRIM(Raw_Export!D663)),Maps!$G$2:$I$80,2,FALSE()),"UNMAPPED"))</f>
        <v>Chocolate Bar 90g</v>
      </c>
      <c r="E663" s="36" t="str">
        <f aca="false">IF(Raw_Export!$A663="","",IFERROR(VLOOKUP(LOWER(TRIM(Raw_Export!D663)),Maps!$G$2:$I$80,3,FALSE()),"UNMAPPED"))</f>
        <v>Snacks</v>
      </c>
      <c r="F663" s="36" t="n">
        <f aca="false">IF(Raw_Export!$A663="","",IFERROR(VALUE(TRIM(Raw_Export!E663)),0))</f>
        <v>4</v>
      </c>
      <c r="G663" s="38" t="n">
        <f aca="false">IF(Raw_Export!$A663="","",IFERROR(VALUE(SUBSTITUTE(SUBSTITUTE(UPPER(TRIM(Raw_Export!F663)),"KES",""),",","")),0))</f>
        <v>140</v>
      </c>
      <c r="H663" s="38" t="n">
        <f aca="false">IF(Raw_Export!$A663="","",F663*G663)</f>
        <v>560</v>
      </c>
      <c r="I663" s="36" t="str">
        <f aca="false">IF(Raw_Export!$A663="","",IFERROR(VLOOKUP(LOWER(TRIM(Raw_Export!H663)),Maps!$D$2:$E$12,2,FALSE()),"Other"))</f>
        <v>Cash</v>
      </c>
      <c r="J663" s="36" t="str">
        <f aca="false">IF(Raw_Export!$A663="","",IF(COUNTIF($A$2:A663,A663)&gt;1,"Duplicate",""))</f>
        <v/>
      </c>
      <c r="K663" s="36" t="str">
        <f aca="false">IF(Raw_Export!$A663="","",IF(J663="Duplicate","Duplicate",IF(OR(C663="UNMAPPED",D663="UNMAPPED"),"Unmapped",IF(F663=0,"Blank qty",IF(F663&lt;0,"Return","OK")))))</f>
        <v>OK</v>
      </c>
      <c r="L663" s="36" t="n">
        <f aca="false">IF(Raw_Export!$A663="","",IF(OR(K663="OK",K663="Return"),1,0))</f>
        <v>1</v>
      </c>
      <c r="M663" s="37" t="n">
        <f aca="false">IF(Raw_Export!$A663="","",B663-WEEKDAY(B663,2)+1)</f>
        <v>46265</v>
      </c>
    </row>
    <row r="664" customFormat="false" ht="15" hidden="false" customHeight="false" outlineLevel="0" collapsed="false">
      <c r="A664" s="36" t="str">
        <f aca="false">IF(Raw_Export!$A664="","",TRIM(Raw_Export!A664))</f>
        <v>TXN-100649</v>
      </c>
      <c r="B664" s="37" t="n">
        <f aca="false">IF(Raw_Export!$A664="","",IF(ISNUMBER(Raw_Export!B664),Raw_Export!B664,IF(MID(TRIM(Raw_Export!B664),5,1)="-",DATE(LEFT(TRIM(Raw_Export!B664),4),MID(TRIM(Raw_Export!B664),6,2),RIGHT(TRIM(Raw_Export!B664),2)),DATE(RIGHT(TRIM(Raw_Export!B664),4),MATCH(MID(TRIM(Raw_Export!B664),4,3),{"Jan","Feb","Mar","Apr","May","Jun","Jul","Aug","Sep","Oct","Nov","Dec"},0),LEFT(TRIM(Raw_Export!B664),2)))))</f>
        <v>46269</v>
      </c>
      <c r="C664" s="36" t="str">
        <f aca="false">IF(Raw_Export!$A664="","",IFERROR(VLOOKUP(LOWER(TRIM(Raw_Export!C664)),Maps!$A$2:$B$20,2,FALSE()),"UNMAPPED"))</f>
        <v>Kisumu</v>
      </c>
      <c r="D664" s="36" t="str">
        <f aca="false">IF(Raw_Export!$A664="","",IFERROR(VLOOKUP(LOWER(TRIM(Raw_Export!D664)),Maps!$G$2:$I$80,2,FALSE()),"UNMAPPED"))</f>
        <v>Unga Pembe 2kg</v>
      </c>
      <c r="E664" s="36" t="str">
        <f aca="false">IF(Raw_Export!$A664="","",IFERROR(VLOOKUP(LOWER(TRIM(Raw_Export!D664)),Maps!$G$2:$I$80,3,FALSE()),"UNMAPPED"))</f>
        <v>Staples</v>
      </c>
      <c r="F664" s="36" t="n">
        <f aca="false">IF(Raw_Export!$A664="","",IFERROR(VALUE(TRIM(Raw_Export!E664)),0))</f>
        <v>2</v>
      </c>
      <c r="G664" s="38" t="n">
        <f aca="false">IF(Raw_Export!$A664="","",IFERROR(VALUE(SUBSTITUTE(SUBSTITUTE(UPPER(TRIM(Raw_Export!F664)),"KES",""),",","")),0))</f>
        <v>190</v>
      </c>
      <c r="H664" s="38" t="n">
        <f aca="false">IF(Raw_Export!$A664="","",F664*G664)</f>
        <v>380</v>
      </c>
      <c r="I664" s="36" t="str">
        <f aca="false">IF(Raw_Export!$A664="","",IFERROR(VLOOKUP(LOWER(TRIM(Raw_Export!H664)),Maps!$D$2:$E$12,2,FALSE()),"Other"))</f>
        <v>Cash</v>
      </c>
      <c r="J664" s="36" t="str">
        <f aca="false">IF(Raw_Export!$A664="","",IF(COUNTIF($A$2:A664,A664)&gt;1,"Duplicate",""))</f>
        <v/>
      </c>
      <c r="K664" s="36" t="str">
        <f aca="false">IF(Raw_Export!$A664="","",IF(J664="Duplicate","Duplicate",IF(OR(C664="UNMAPPED",D664="UNMAPPED"),"Unmapped",IF(F664=0,"Blank qty",IF(F664&lt;0,"Return","OK")))))</f>
        <v>OK</v>
      </c>
      <c r="L664" s="36" t="n">
        <f aca="false">IF(Raw_Export!$A664="","",IF(OR(K664="OK",K664="Return"),1,0))</f>
        <v>1</v>
      </c>
      <c r="M664" s="37" t="n">
        <f aca="false">IF(Raw_Export!$A664="","",B664-WEEKDAY(B664,2)+1)</f>
        <v>46265</v>
      </c>
    </row>
    <row r="665" customFormat="false" ht="15" hidden="false" customHeight="false" outlineLevel="0" collapsed="false">
      <c r="A665" s="36" t="str">
        <f aca="false">IF(Raw_Export!$A665="","",TRIM(Raw_Export!A665))</f>
        <v>TXN-100650</v>
      </c>
      <c r="B665" s="37" t="n">
        <f aca="false">IF(Raw_Export!$A665="","",IF(ISNUMBER(Raw_Export!B665),Raw_Export!B665,IF(MID(TRIM(Raw_Export!B665),5,1)="-",DATE(LEFT(TRIM(Raw_Export!B665),4),MID(TRIM(Raw_Export!B665),6,2),RIGHT(TRIM(Raw_Export!B665),2)),DATE(RIGHT(TRIM(Raw_Export!B665),4),MATCH(MID(TRIM(Raw_Export!B665),4,3),{"Jan","Feb","Mar","Apr","May","Jun","Jul","Aug","Sep","Oct","Nov","Dec"},0),LEFT(TRIM(Raw_Export!B665),2)))))</f>
        <v>46269</v>
      </c>
      <c r="C665" s="36" t="str">
        <f aca="false">IF(Raw_Export!$A665="","",IFERROR(VLOOKUP(LOWER(TRIM(Raw_Export!C665)),Maps!$A$2:$B$20,2,FALSE()),"UNMAPPED"))</f>
        <v>Kisumu</v>
      </c>
      <c r="D665" s="36" t="str">
        <f aca="false">IF(Raw_Export!$A665="","",IFERROR(VLOOKUP(LOWER(TRIM(Raw_Export!D665)),Maps!$G$2:$I$80,2,FALSE()),"UNMAPPED"))</f>
        <v>Bread Loaf 400g</v>
      </c>
      <c r="E665" s="36" t="str">
        <f aca="false">IF(Raw_Export!$A665="","",IFERROR(VLOOKUP(LOWER(TRIM(Raw_Export!D665)),Maps!$G$2:$I$80,3,FALSE()),"UNMAPPED"))</f>
        <v>Snacks</v>
      </c>
      <c r="F665" s="36" t="n">
        <f aca="false">IF(Raw_Export!$A665="","",IFERROR(VALUE(TRIM(Raw_Export!E665)),0))</f>
        <v>0</v>
      </c>
      <c r="G665" s="38" t="n">
        <f aca="false">IF(Raw_Export!$A665="","",IFERROR(VALUE(SUBSTITUTE(SUBSTITUTE(UPPER(TRIM(Raw_Export!F665)),"KES",""),",","")),0))</f>
        <v>65</v>
      </c>
      <c r="H665" s="38" t="n">
        <f aca="false">IF(Raw_Export!$A665="","",F665*G665)</f>
        <v>0</v>
      </c>
      <c r="I665" s="36" t="str">
        <f aca="false">IF(Raw_Export!$A665="","",IFERROR(VLOOKUP(LOWER(TRIM(Raw_Export!H665)),Maps!$D$2:$E$12,2,FALSE()),"Other"))</f>
        <v>Cash</v>
      </c>
      <c r="J665" s="36" t="str">
        <f aca="false">IF(Raw_Export!$A665="","",IF(COUNTIF($A$2:A665,A665)&gt;1,"Duplicate",""))</f>
        <v/>
      </c>
      <c r="K665" s="36" t="str">
        <f aca="false">IF(Raw_Export!$A665="","",IF(J665="Duplicate","Duplicate",IF(OR(C665="UNMAPPED",D665="UNMAPPED"),"Unmapped",IF(F665=0,"Blank qty",IF(F665&lt;0,"Return","OK")))))</f>
        <v>Blank qty</v>
      </c>
      <c r="L665" s="36" t="n">
        <f aca="false">IF(Raw_Export!$A665="","",IF(OR(K665="OK",K665="Return"),1,0))</f>
        <v>0</v>
      </c>
      <c r="M665" s="37" t="n">
        <f aca="false">IF(Raw_Export!$A665="","",B665-WEEKDAY(B665,2)+1)</f>
        <v>46265</v>
      </c>
    </row>
    <row r="666" customFormat="false" ht="15" hidden="false" customHeight="false" outlineLevel="0" collapsed="false">
      <c r="A666" s="36" t="str">
        <f aca="false">IF(Raw_Export!$A666="","",TRIM(Raw_Export!A666))</f>
        <v>TXN-100651</v>
      </c>
      <c r="B666" s="37" t="n">
        <f aca="false">IF(Raw_Export!$A666="","",IF(ISNUMBER(Raw_Export!B666),Raw_Export!B666,IF(MID(TRIM(Raw_Export!B666),5,1)="-",DATE(LEFT(TRIM(Raw_Export!B666),4),MID(TRIM(Raw_Export!B666),6,2),RIGHT(TRIM(Raw_Export!B666),2)),DATE(RIGHT(TRIM(Raw_Export!B666),4),MATCH(MID(TRIM(Raw_Export!B666),4,3),{"Jan","Feb","Mar","Apr","May","Jun","Jul","Aug","Sep","Oct","Nov","Dec"},0),LEFT(TRIM(Raw_Export!B666),2)))))</f>
        <v>46269</v>
      </c>
      <c r="C666" s="36" t="str">
        <f aca="false">IF(Raw_Export!$A666="","",IFERROR(VLOOKUP(LOWER(TRIM(Raw_Export!C666)),Maps!$A$2:$B$20,2,FALSE()),"UNMAPPED"))</f>
        <v>Kisumu</v>
      </c>
      <c r="D666" s="36" t="str">
        <f aca="false">IF(Raw_Export!$A666="","",IFERROR(VLOOKUP(LOWER(TRIM(Raw_Export!D666)),Maps!$G$2:$I$80,2,FALSE()),"UNMAPPED"))</f>
        <v>Cooking Oil 1L</v>
      </c>
      <c r="E666" s="36" t="str">
        <f aca="false">IF(Raw_Export!$A666="","",IFERROR(VLOOKUP(LOWER(TRIM(Raw_Export!D666)),Maps!$G$2:$I$80,3,FALSE()),"UNMAPPED"))</f>
        <v>Staples</v>
      </c>
      <c r="F666" s="36" t="n">
        <f aca="false">IF(Raw_Export!$A666="","",IFERROR(VALUE(TRIM(Raw_Export!E666)),0))</f>
        <v>4</v>
      </c>
      <c r="G666" s="38" t="n">
        <f aca="false">IF(Raw_Export!$A666="","",IFERROR(VALUE(SUBSTITUTE(SUBSTITUTE(UPPER(TRIM(Raw_Export!F666)),"KES",""),",","")),0))</f>
        <v>330</v>
      </c>
      <c r="H666" s="38" t="n">
        <f aca="false">IF(Raw_Export!$A666="","",F666*G666)</f>
        <v>1320</v>
      </c>
      <c r="I666" s="36" t="str">
        <f aca="false">IF(Raw_Export!$A666="","",IFERROR(VLOOKUP(LOWER(TRIM(Raw_Export!H666)),Maps!$D$2:$E$12,2,FALSE()),"Other"))</f>
        <v>M-Pesa</v>
      </c>
      <c r="J666" s="36" t="str">
        <f aca="false">IF(Raw_Export!$A666="","",IF(COUNTIF($A$2:A666,A666)&gt;1,"Duplicate",""))</f>
        <v/>
      </c>
      <c r="K666" s="36" t="str">
        <f aca="false">IF(Raw_Export!$A666="","",IF(J666="Duplicate","Duplicate",IF(OR(C666="UNMAPPED",D666="UNMAPPED"),"Unmapped",IF(F666=0,"Blank qty",IF(F666&lt;0,"Return","OK")))))</f>
        <v>OK</v>
      </c>
      <c r="L666" s="36" t="n">
        <f aca="false">IF(Raw_Export!$A666="","",IF(OR(K666="OK",K666="Return"),1,0))</f>
        <v>1</v>
      </c>
      <c r="M666" s="37" t="n">
        <f aca="false">IF(Raw_Export!$A666="","",B666-WEEKDAY(B666,2)+1)</f>
        <v>46265</v>
      </c>
    </row>
    <row r="667" customFormat="false" ht="15" hidden="false" customHeight="false" outlineLevel="0" collapsed="false">
      <c r="A667" s="36" t="str">
        <f aca="false">IF(Raw_Export!$A667="","",TRIM(Raw_Export!A667))</f>
        <v>TXN-100652</v>
      </c>
      <c r="B667" s="37" t="n">
        <f aca="false">IF(Raw_Export!$A667="","",IF(ISNUMBER(Raw_Export!B667),Raw_Export!B667,IF(MID(TRIM(Raw_Export!B667),5,1)="-",DATE(LEFT(TRIM(Raw_Export!B667),4),MID(TRIM(Raw_Export!B667),6,2),RIGHT(TRIM(Raw_Export!B667),2)),DATE(RIGHT(TRIM(Raw_Export!B667),4),MATCH(MID(TRIM(Raw_Export!B667),4,3),{"Jan","Feb","Mar","Apr","May","Jun","Jul","Aug","Sep","Oct","Nov","Dec"},0),LEFT(TRIM(Raw_Export!B667),2)))))</f>
        <v>46269</v>
      </c>
      <c r="C667" s="36" t="str">
        <f aca="false">IF(Raw_Export!$A667="","",IFERROR(VLOOKUP(LOWER(TRIM(Raw_Export!C667)),Maps!$A$2:$B$20,2,FALSE()),"UNMAPPED"))</f>
        <v>Kisumu</v>
      </c>
      <c r="D667" s="36" t="str">
        <f aca="false">IF(Raw_Export!$A667="","",IFERROR(VLOOKUP(LOWER(TRIM(Raw_Export!D667)),Maps!$G$2:$I$80,2,FALSE()),"UNMAPPED"))</f>
        <v>Juice 1L</v>
      </c>
      <c r="E667" s="36" t="str">
        <f aca="false">IF(Raw_Export!$A667="","",IFERROR(VLOOKUP(LOWER(TRIM(Raw_Export!D667)),Maps!$G$2:$I$80,3,FALSE()),"UNMAPPED"))</f>
        <v>Beverages</v>
      </c>
      <c r="F667" s="36" t="n">
        <f aca="false">IF(Raw_Export!$A667="","",IFERROR(VALUE(TRIM(Raw_Export!E667)),0))</f>
        <v>1</v>
      </c>
      <c r="G667" s="38" t="n">
        <f aca="false">IF(Raw_Export!$A667="","",IFERROR(VALUE(SUBSTITUTE(SUBSTITUTE(UPPER(TRIM(Raw_Export!F667)),"KES",""),",","")),0))</f>
        <v>210</v>
      </c>
      <c r="H667" s="38" t="n">
        <f aca="false">IF(Raw_Export!$A667="","",F667*G667)</f>
        <v>210</v>
      </c>
      <c r="I667" s="36" t="str">
        <f aca="false">IF(Raw_Export!$A667="","",IFERROR(VLOOKUP(LOWER(TRIM(Raw_Export!H667)),Maps!$D$2:$E$12,2,FALSE()),"Other"))</f>
        <v>M-Pesa</v>
      </c>
      <c r="J667" s="36" t="str">
        <f aca="false">IF(Raw_Export!$A667="","",IF(COUNTIF($A$2:A667,A667)&gt;1,"Duplicate",""))</f>
        <v/>
      </c>
      <c r="K667" s="36" t="str">
        <f aca="false">IF(Raw_Export!$A667="","",IF(J667="Duplicate","Duplicate",IF(OR(C667="UNMAPPED",D667="UNMAPPED"),"Unmapped",IF(F667=0,"Blank qty",IF(F667&lt;0,"Return","OK")))))</f>
        <v>OK</v>
      </c>
      <c r="L667" s="36" t="n">
        <f aca="false">IF(Raw_Export!$A667="","",IF(OR(K667="OK",K667="Return"),1,0))</f>
        <v>1</v>
      </c>
      <c r="M667" s="37" t="n">
        <f aca="false">IF(Raw_Export!$A667="","",B667-WEEKDAY(B667,2)+1)</f>
        <v>46265</v>
      </c>
    </row>
    <row r="668" customFormat="false" ht="15" hidden="false" customHeight="false" outlineLevel="0" collapsed="false">
      <c r="A668" s="36" t="str">
        <f aca="false">IF(Raw_Export!$A668="","",TRIM(Raw_Export!A668))</f>
        <v>TXN-100653</v>
      </c>
      <c r="B668" s="37" t="n">
        <f aca="false">IF(Raw_Export!$A668="","",IF(ISNUMBER(Raw_Export!B668),Raw_Export!B668,IF(MID(TRIM(Raw_Export!B668),5,1)="-",DATE(LEFT(TRIM(Raw_Export!B668),4),MID(TRIM(Raw_Export!B668),6,2),RIGHT(TRIM(Raw_Export!B668),2)),DATE(RIGHT(TRIM(Raw_Export!B668),4),MATCH(MID(TRIM(Raw_Export!B668),4,3),{"Jan","Feb","Mar","Apr","May","Jun","Jul","Aug","Sep","Oct","Nov","Dec"},0),LEFT(TRIM(Raw_Export!B668),2)))))</f>
        <v>46269</v>
      </c>
      <c r="C668" s="36" t="str">
        <f aca="false">IF(Raw_Export!$A668="","",IFERROR(VLOOKUP(LOWER(TRIM(Raw_Export!C668)),Maps!$A$2:$B$20,2,FALSE()),"UNMAPPED"))</f>
        <v>Kisumu</v>
      </c>
      <c r="D668" s="36" t="str">
        <f aca="false">IF(Raw_Export!$A668="","",IFERROR(VLOOKUP(LOWER(TRIM(Raw_Export!D668)),Maps!$G$2:$I$80,2,FALSE()),"UNMAPPED"))</f>
        <v>Deodorant 150ml</v>
      </c>
      <c r="E668" s="36" t="str">
        <f aca="false">IF(Raw_Export!$A668="","",IFERROR(VLOOKUP(LOWER(TRIM(Raw_Export!D668)),Maps!$G$2:$I$80,3,FALSE()),"UNMAPPED"))</f>
        <v>Personal Care</v>
      </c>
      <c r="F668" s="36" t="n">
        <f aca="false">IF(Raw_Export!$A668="","",IFERROR(VALUE(TRIM(Raw_Export!E668)),0))</f>
        <v>2</v>
      </c>
      <c r="G668" s="38" t="n">
        <f aca="false">IF(Raw_Export!$A668="","",IFERROR(VALUE(SUBSTITUTE(SUBSTITUTE(UPPER(TRIM(Raw_Export!F668)),"KES",""),",","")),0))</f>
        <v>350</v>
      </c>
      <c r="H668" s="38" t="n">
        <f aca="false">IF(Raw_Export!$A668="","",F668*G668)</f>
        <v>700</v>
      </c>
      <c r="I668" s="36" t="str">
        <f aca="false">IF(Raw_Export!$A668="","",IFERROR(VLOOKUP(LOWER(TRIM(Raw_Export!H668)),Maps!$D$2:$E$12,2,FALSE()),"Other"))</f>
        <v>M-Pesa</v>
      </c>
      <c r="J668" s="36" t="str">
        <f aca="false">IF(Raw_Export!$A668="","",IF(COUNTIF($A$2:A668,A668)&gt;1,"Duplicate",""))</f>
        <v/>
      </c>
      <c r="K668" s="36" t="str">
        <f aca="false">IF(Raw_Export!$A668="","",IF(J668="Duplicate","Duplicate",IF(OR(C668="UNMAPPED",D668="UNMAPPED"),"Unmapped",IF(F668=0,"Blank qty",IF(F668&lt;0,"Return","OK")))))</f>
        <v>OK</v>
      </c>
      <c r="L668" s="36" t="n">
        <f aca="false">IF(Raw_Export!$A668="","",IF(OR(K668="OK",K668="Return"),1,0))</f>
        <v>1</v>
      </c>
      <c r="M668" s="37" t="n">
        <f aca="false">IF(Raw_Export!$A668="","",B668-WEEKDAY(B668,2)+1)</f>
        <v>46265</v>
      </c>
    </row>
    <row r="669" customFormat="false" ht="15" hidden="false" customHeight="false" outlineLevel="0" collapsed="false">
      <c r="A669" s="36" t="str">
        <f aca="false">IF(Raw_Export!$A669="","",TRIM(Raw_Export!A669))</f>
        <v>TXN-100654</v>
      </c>
      <c r="B669" s="37" t="n">
        <f aca="false">IF(Raw_Export!$A669="","",IF(ISNUMBER(Raw_Export!B669),Raw_Export!B669,IF(MID(TRIM(Raw_Export!B669),5,1)="-",DATE(LEFT(TRIM(Raw_Export!B669),4),MID(TRIM(Raw_Export!B669),6,2),RIGHT(TRIM(Raw_Export!B669),2)),DATE(RIGHT(TRIM(Raw_Export!B669),4),MATCH(MID(TRIM(Raw_Export!B669),4,3),{"Jan","Feb","Mar","Apr","May","Jun","Jul","Aug","Sep","Oct","Nov","Dec"},0),LEFT(TRIM(Raw_Export!B669),2)))))</f>
        <v>46269</v>
      </c>
      <c r="C669" s="36" t="str">
        <f aca="false">IF(Raw_Export!$A669="","",IFERROR(VLOOKUP(LOWER(TRIM(Raw_Export!C669)),Maps!$A$2:$B$20,2,FALSE()),"UNMAPPED"))</f>
        <v>Kisumu</v>
      </c>
      <c r="D669" s="36" t="str">
        <f aca="false">IF(Raw_Export!$A669="","",IFERROR(VLOOKUP(LOWER(TRIM(Raw_Export!D669)),Maps!$G$2:$I$80,2,FALSE()),"UNMAPPED"))</f>
        <v>Peanuts 250g</v>
      </c>
      <c r="E669" s="36" t="str">
        <f aca="false">IF(Raw_Export!$A669="","",IFERROR(VLOOKUP(LOWER(TRIM(Raw_Export!D669)),Maps!$G$2:$I$80,3,FALSE()),"UNMAPPED"))</f>
        <v>Snacks</v>
      </c>
      <c r="F669" s="36" t="n">
        <f aca="false">IF(Raw_Export!$A669="","",IFERROR(VALUE(TRIM(Raw_Export!E669)),0))</f>
        <v>1</v>
      </c>
      <c r="G669" s="38" t="n">
        <f aca="false">IF(Raw_Export!$A669="","",IFERROR(VALUE(SUBSTITUTE(SUBSTITUTE(UPPER(TRIM(Raw_Export!F669)),"KES",""),",","")),0))</f>
        <v>130</v>
      </c>
      <c r="H669" s="38" t="n">
        <f aca="false">IF(Raw_Export!$A669="","",F669*G669)</f>
        <v>130</v>
      </c>
      <c r="I669" s="36" t="str">
        <f aca="false">IF(Raw_Export!$A669="","",IFERROR(VLOOKUP(LOWER(TRIM(Raw_Export!H669)),Maps!$D$2:$E$12,2,FALSE()),"Other"))</f>
        <v>Cash</v>
      </c>
      <c r="J669" s="36" t="str">
        <f aca="false">IF(Raw_Export!$A669="","",IF(COUNTIF($A$2:A669,A669)&gt;1,"Duplicate",""))</f>
        <v>Duplicate</v>
      </c>
      <c r="K669" s="36" t="str">
        <f aca="false">IF(Raw_Export!$A669="","",IF(J669="Duplicate","Duplicate",IF(OR(C669="UNMAPPED",D669="UNMAPPED"),"Unmapped",IF(F669=0,"Blank qty",IF(F669&lt;0,"Return","OK")))))</f>
        <v>Duplicate</v>
      </c>
      <c r="L669" s="36" t="n">
        <f aca="false">IF(Raw_Export!$A669="","",IF(OR(K669="OK",K669="Return"),1,0))</f>
        <v>0</v>
      </c>
      <c r="M669" s="37" t="n">
        <f aca="false">IF(Raw_Export!$A669="","",B669-WEEKDAY(B669,2)+1)</f>
        <v>46265</v>
      </c>
    </row>
    <row r="670" customFormat="false" ht="15" hidden="false" customHeight="false" outlineLevel="0" collapsed="false">
      <c r="A670" s="36" t="str">
        <f aca="false">IF(Raw_Export!$A670="","",TRIM(Raw_Export!A670))</f>
        <v>TXN-100655</v>
      </c>
      <c r="B670" s="37" t="n">
        <f aca="false">IF(Raw_Export!$A670="","",IF(ISNUMBER(Raw_Export!B670),Raw_Export!B670,IF(MID(TRIM(Raw_Export!B670),5,1)="-",DATE(LEFT(TRIM(Raw_Export!B670),4),MID(TRIM(Raw_Export!B670),6,2),RIGHT(TRIM(Raw_Export!B670),2)),DATE(RIGHT(TRIM(Raw_Export!B670),4),MATCH(MID(TRIM(Raw_Export!B670),4,3),{"Jan","Feb","Mar","Apr","May","Jun","Jul","Aug","Sep","Oct","Nov","Dec"},0),LEFT(TRIM(Raw_Export!B670),2)))))</f>
        <v>46269</v>
      </c>
      <c r="C670" s="36" t="str">
        <f aca="false">IF(Raw_Export!$A670="","",IFERROR(VLOOKUP(LOWER(TRIM(Raw_Export!C670)),Maps!$A$2:$B$20,2,FALSE()),"UNMAPPED"))</f>
        <v>Kisumu</v>
      </c>
      <c r="D670" s="36" t="str">
        <f aca="false">IF(Raw_Export!$A670="","",IFERROR(VLOOKUP(LOWER(TRIM(Raw_Export!D670)),Maps!$G$2:$I$80,2,FALSE()),"UNMAPPED"))</f>
        <v>Salt 500g</v>
      </c>
      <c r="E670" s="36" t="str">
        <f aca="false">IF(Raw_Export!$A670="","",IFERROR(VLOOKUP(LOWER(TRIM(Raw_Export!D670)),Maps!$G$2:$I$80,3,FALSE()),"UNMAPPED"))</f>
        <v>Staples</v>
      </c>
      <c r="F670" s="36" t="n">
        <f aca="false">IF(Raw_Export!$A670="","",IFERROR(VALUE(TRIM(Raw_Export!E670)),0))</f>
        <v>1</v>
      </c>
      <c r="G670" s="38" t="n">
        <f aca="false">IF(Raw_Export!$A670="","",IFERROR(VALUE(SUBSTITUTE(SUBSTITUTE(UPPER(TRIM(Raw_Export!F670)),"KES",""),",","")),0))</f>
        <v>40</v>
      </c>
      <c r="H670" s="38" t="n">
        <f aca="false">IF(Raw_Export!$A670="","",F670*G670)</f>
        <v>40</v>
      </c>
      <c r="I670" s="36" t="str">
        <f aca="false">IF(Raw_Export!$A670="","",IFERROR(VLOOKUP(LOWER(TRIM(Raw_Export!H670)),Maps!$D$2:$E$12,2,FALSE()),"Other"))</f>
        <v>M-Pesa</v>
      </c>
      <c r="J670" s="36" t="str">
        <f aca="false">IF(Raw_Export!$A670="","",IF(COUNTIF($A$2:A670,A670)&gt;1,"Duplicate",""))</f>
        <v/>
      </c>
      <c r="K670" s="36" t="str">
        <f aca="false">IF(Raw_Export!$A670="","",IF(J670="Duplicate","Duplicate",IF(OR(C670="UNMAPPED",D670="UNMAPPED"),"Unmapped",IF(F670=0,"Blank qty",IF(F670&lt;0,"Return","OK")))))</f>
        <v>OK</v>
      </c>
      <c r="L670" s="36" t="n">
        <f aca="false">IF(Raw_Export!$A670="","",IF(OR(K670="OK",K670="Return"),1,0))</f>
        <v>1</v>
      </c>
      <c r="M670" s="37" t="n">
        <f aca="false">IF(Raw_Export!$A670="","",B670-WEEKDAY(B670,2)+1)</f>
        <v>46265</v>
      </c>
    </row>
    <row r="671" customFormat="false" ht="15" hidden="false" customHeight="false" outlineLevel="0" collapsed="false">
      <c r="A671" s="36" t="str">
        <f aca="false">IF(Raw_Export!$A671="","",TRIM(Raw_Export!A671))</f>
        <v>TXN-100656</v>
      </c>
      <c r="B671" s="37" t="n">
        <f aca="false">IF(Raw_Export!$A671="","",IF(ISNUMBER(Raw_Export!B671),Raw_Export!B671,IF(MID(TRIM(Raw_Export!B671),5,1)="-",DATE(LEFT(TRIM(Raw_Export!B671),4),MID(TRIM(Raw_Export!B671),6,2),RIGHT(TRIM(Raw_Export!B671),2)),DATE(RIGHT(TRIM(Raw_Export!B671),4),MATCH(MID(TRIM(Raw_Export!B671),4,3),{"Jan","Feb","Mar","Apr","May","Jun","Jul","Aug","Sep","Oct","Nov","Dec"},0),LEFT(TRIM(Raw_Export!B671),2)))))</f>
        <v>46269</v>
      </c>
      <c r="C671" s="36" t="str">
        <f aca="false">IF(Raw_Export!$A671="","",IFERROR(VLOOKUP(LOWER(TRIM(Raw_Export!C671)),Maps!$A$2:$B$20,2,FALSE()),"UNMAPPED"))</f>
        <v>Kisumu</v>
      </c>
      <c r="D671" s="36" t="str">
        <f aca="false">IF(Raw_Export!$A671="","",IFERROR(VLOOKUP(LOWER(TRIM(Raw_Export!D671)),Maps!$G$2:$I$80,2,FALSE()),"UNMAPPED"))</f>
        <v>Fresh Milk 500ml</v>
      </c>
      <c r="E671" s="36" t="str">
        <f aca="false">IF(Raw_Export!$A671="","",IFERROR(VLOOKUP(LOWER(TRIM(Raw_Export!D671)),Maps!$G$2:$I$80,3,FALSE()),"UNMAPPED"))</f>
        <v>Dairy &amp; Eggs</v>
      </c>
      <c r="F671" s="36" t="n">
        <f aca="false">IF(Raw_Export!$A671="","",IFERROR(VALUE(TRIM(Raw_Export!E671)),0))</f>
        <v>6</v>
      </c>
      <c r="G671" s="38" t="n">
        <f aca="false">IF(Raw_Export!$A671="","",IFERROR(VALUE(SUBSTITUTE(SUBSTITUTE(UPPER(TRIM(Raw_Export!F671)),"KES",""),",","")),0))</f>
        <v>65</v>
      </c>
      <c r="H671" s="38" t="n">
        <f aca="false">IF(Raw_Export!$A671="","",F671*G671)</f>
        <v>390</v>
      </c>
      <c r="I671" s="36" t="str">
        <f aca="false">IF(Raw_Export!$A671="","",IFERROR(VLOOKUP(LOWER(TRIM(Raw_Export!H671)),Maps!$D$2:$E$12,2,FALSE()),"Other"))</f>
        <v>Card</v>
      </c>
      <c r="J671" s="36" t="str">
        <f aca="false">IF(Raw_Export!$A671="","",IF(COUNTIF($A$2:A671,A671)&gt;1,"Duplicate",""))</f>
        <v/>
      </c>
      <c r="K671" s="36" t="str">
        <f aca="false">IF(Raw_Export!$A671="","",IF(J671="Duplicate","Duplicate",IF(OR(C671="UNMAPPED",D671="UNMAPPED"),"Unmapped",IF(F671=0,"Blank qty",IF(F671&lt;0,"Return","OK")))))</f>
        <v>OK</v>
      </c>
      <c r="L671" s="36" t="n">
        <f aca="false">IF(Raw_Export!$A671="","",IF(OR(K671="OK",K671="Return"),1,0))</f>
        <v>1</v>
      </c>
      <c r="M671" s="37" t="n">
        <f aca="false">IF(Raw_Export!$A671="","",B671-WEEKDAY(B671,2)+1)</f>
        <v>46265</v>
      </c>
    </row>
    <row r="672" customFormat="false" ht="15" hidden="false" customHeight="false" outlineLevel="0" collapsed="false">
      <c r="A672" s="36" t="str">
        <f aca="false">IF(Raw_Export!$A672="","",TRIM(Raw_Export!A672))</f>
        <v>TXN-100657</v>
      </c>
      <c r="B672" s="37" t="n">
        <f aca="false">IF(Raw_Export!$A672="","",IF(ISNUMBER(Raw_Export!B672),Raw_Export!B672,IF(MID(TRIM(Raw_Export!B672),5,1)="-",DATE(LEFT(TRIM(Raw_Export!B672),4),MID(TRIM(Raw_Export!B672),6,2),RIGHT(TRIM(Raw_Export!B672),2)),DATE(RIGHT(TRIM(Raw_Export!B672),4),MATCH(MID(TRIM(Raw_Export!B672),4,3),{"Jan","Feb","Mar","Apr","May","Jun","Jul","Aug","Sep","Oct","Nov","Dec"},0),LEFT(TRIM(Raw_Export!B672),2)))))</f>
        <v>46269</v>
      </c>
      <c r="C672" s="36" t="str">
        <f aca="false">IF(Raw_Export!$A672="","",IFERROR(VLOOKUP(LOWER(TRIM(Raw_Export!C672)),Maps!$A$2:$B$20,2,FALSE()),"UNMAPPED"))</f>
        <v>Kisumu</v>
      </c>
      <c r="D672" s="36" t="str">
        <f aca="false">IF(Raw_Export!$A672="","",IFERROR(VLOOKUP(LOWER(TRIM(Raw_Export!D672)),Maps!$G$2:$I$80,2,FALSE()),"UNMAPPED"))</f>
        <v>Spaghetti 400g</v>
      </c>
      <c r="E672" s="36" t="str">
        <f aca="false">IF(Raw_Export!$A672="","",IFERROR(VLOOKUP(LOWER(TRIM(Raw_Export!D672)),Maps!$G$2:$I$80,3,FALSE()),"UNMAPPED"))</f>
        <v>Staples</v>
      </c>
      <c r="F672" s="36" t="n">
        <f aca="false">IF(Raw_Export!$A672="","",IFERROR(VALUE(TRIM(Raw_Export!E672)),0))</f>
        <v>1</v>
      </c>
      <c r="G672" s="38" t="n">
        <f aca="false">IF(Raw_Export!$A672="","",IFERROR(VALUE(SUBSTITUTE(SUBSTITUTE(UPPER(TRIM(Raw_Export!F672)),"KES",""),",","")),0))</f>
        <v>110</v>
      </c>
      <c r="H672" s="38" t="n">
        <f aca="false">IF(Raw_Export!$A672="","",F672*G672)</f>
        <v>110</v>
      </c>
      <c r="I672" s="36" t="str">
        <f aca="false">IF(Raw_Export!$A672="","",IFERROR(VLOOKUP(LOWER(TRIM(Raw_Export!H672)),Maps!$D$2:$E$12,2,FALSE()),"Other"))</f>
        <v>Cash</v>
      </c>
      <c r="J672" s="36" t="str">
        <f aca="false">IF(Raw_Export!$A672="","",IF(COUNTIF($A$2:A672,A672)&gt;1,"Duplicate",""))</f>
        <v/>
      </c>
      <c r="K672" s="36" t="str">
        <f aca="false">IF(Raw_Export!$A672="","",IF(J672="Duplicate","Duplicate",IF(OR(C672="UNMAPPED",D672="UNMAPPED"),"Unmapped",IF(F672=0,"Blank qty",IF(F672&lt;0,"Return","OK")))))</f>
        <v>OK</v>
      </c>
      <c r="L672" s="36" t="n">
        <f aca="false">IF(Raw_Export!$A672="","",IF(OR(K672="OK",K672="Return"),1,0))</f>
        <v>1</v>
      </c>
      <c r="M672" s="37" t="n">
        <f aca="false">IF(Raw_Export!$A672="","",B672-WEEKDAY(B672,2)+1)</f>
        <v>46265</v>
      </c>
    </row>
    <row r="673" customFormat="false" ht="15" hidden="false" customHeight="false" outlineLevel="0" collapsed="false">
      <c r="A673" s="36" t="str">
        <f aca="false">IF(Raw_Export!$A673="","",TRIM(Raw_Export!A673))</f>
        <v>TXN-100658</v>
      </c>
      <c r="B673" s="37" t="n">
        <f aca="false">IF(Raw_Export!$A673="","",IF(ISNUMBER(Raw_Export!B673),Raw_Export!B673,IF(MID(TRIM(Raw_Export!B673),5,1)="-",DATE(LEFT(TRIM(Raw_Export!B673),4),MID(TRIM(Raw_Export!B673),6,2),RIGHT(TRIM(Raw_Export!B673),2)),DATE(RIGHT(TRIM(Raw_Export!B673),4),MATCH(MID(TRIM(Raw_Export!B673),4,3),{"Jan","Feb","Mar","Apr","May","Jun","Jul","Aug","Sep","Oct","Nov","Dec"},0),LEFT(TRIM(Raw_Export!B673),2)))))</f>
        <v>46269</v>
      </c>
      <c r="C673" s="36" t="str">
        <f aca="false">IF(Raw_Export!$A673="","",IFERROR(VLOOKUP(LOWER(TRIM(Raw_Export!C673)),Maps!$A$2:$B$20,2,FALSE()),"UNMAPPED"))</f>
        <v>Kisumu</v>
      </c>
      <c r="D673" s="36" t="str">
        <f aca="false">IF(Raw_Export!$A673="","",IFERROR(VLOOKUP(LOWER(TRIM(Raw_Export!D673)),Maps!$G$2:$I$80,2,FALSE()),"UNMAPPED"))</f>
        <v>Bleach 1L</v>
      </c>
      <c r="E673" s="36" t="str">
        <f aca="false">IF(Raw_Export!$A673="","",IFERROR(VLOOKUP(LOWER(TRIM(Raw_Export!D673)),Maps!$G$2:$I$80,3,FALSE()),"UNMAPPED"))</f>
        <v>Household</v>
      </c>
      <c r="F673" s="36" t="n">
        <f aca="false">IF(Raw_Export!$A673="","",IFERROR(VALUE(TRIM(Raw_Export!E673)),0))</f>
        <v>3</v>
      </c>
      <c r="G673" s="38" t="n">
        <f aca="false">IF(Raw_Export!$A673="","",IFERROR(VALUE(SUBSTITUTE(SUBSTITUTE(UPPER(TRIM(Raw_Export!F673)),"KES",""),",","")),0))</f>
        <v>160</v>
      </c>
      <c r="H673" s="38" t="n">
        <f aca="false">IF(Raw_Export!$A673="","",F673*G673)</f>
        <v>480</v>
      </c>
      <c r="I673" s="36" t="str">
        <f aca="false">IF(Raw_Export!$A673="","",IFERROR(VLOOKUP(LOWER(TRIM(Raw_Export!H673)),Maps!$D$2:$E$12,2,FALSE()),"Other"))</f>
        <v>Card</v>
      </c>
      <c r="J673" s="36" t="str">
        <f aca="false">IF(Raw_Export!$A673="","",IF(COUNTIF($A$2:A673,A673)&gt;1,"Duplicate",""))</f>
        <v/>
      </c>
      <c r="K673" s="36" t="str">
        <f aca="false">IF(Raw_Export!$A673="","",IF(J673="Duplicate","Duplicate",IF(OR(C673="UNMAPPED",D673="UNMAPPED"),"Unmapped",IF(F673=0,"Blank qty",IF(F673&lt;0,"Return","OK")))))</f>
        <v>OK</v>
      </c>
      <c r="L673" s="36" t="n">
        <f aca="false">IF(Raw_Export!$A673="","",IF(OR(K673="OK",K673="Return"),1,0))</f>
        <v>1</v>
      </c>
      <c r="M673" s="37" t="n">
        <f aca="false">IF(Raw_Export!$A673="","",B673-WEEKDAY(B673,2)+1)</f>
        <v>46265</v>
      </c>
    </row>
    <row r="674" customFormat="false" ht="15" hidden="false" customHeight="false" outlineLevel="0" collapsed="false">
      <c r="A674" s="36" t="str">
        <f aca="false">IF(Raw_Export!$A674="","",TRIM(Raw_Export!A674))</f>
        <v>TXN-100659</v>
      </c>
      <c r="B674" s="37" t="n">
        <f aca="false">IF(Raw_Export!$A674="","",IF(ISNUMBER(Raw_Export!B674),Raw_Export!B674,IF(MID(TRIM(Raw_Export!B674),5,1)="-",DATE(LEFT(TRIM(Raw_Export!B674),4),MID(TRIM(Raw_Export!B674),6,2),RIGHT(TRIM(Raw_Export!B674),2)),DATE(RIGHT(TRIM(Raw_Export!B674),4),MATCH(MID(TRIM(Raw_Export!B674),4,3),{"Jan","Feb","Mar","Apr","May","Jun","Jul","Aug","Sep","Oct","Nov","Dec"},0),LEFT(TRIM(Raw_Export!B674),2)))))</f>
        <v>46269</v>
      </c>
      <c r="C674" s="36" t="str">
        <f aca="false">IF(Raw_Export!$A674="","",IFERROR(VLOOKUP(LOWER(TRIM(Raw_Export!C674)),Maps!$A$2:$B$20,2,FALSE()),"UNMAPPED"))</f>
        <v>Nakuru</v>
      </c>
      <c r="D674" s="36" t="str">
        <f aca="false">IF(Raw_Export!$A674="","",IFERROR(VLOOKUP(LOWER(TRIM(Raw_Export!D674)),Maps!$G$2:$I$80,2,FALSE()),"UNMAPPED"))</f>
        <v>Toilet Paper 10pk</v>
      </c>
      <c r="E674" s="36" t="str">
        <f aca="false">IF(Raw_Export!$A674="","",IFERROR(VLOOKUP(LOWER(TRIM(Raw_Export!D674)),Maps!$G$2:$I$80,3,FALSE()),"UNMAPPED"))</f>
        <v>Household</v>
      </c>
      <c r="F674" s="36" t="n">
        <f aca="false">IF(Raw_Export!$A674="","",IFERROR(VALUE(TRIM(Raw_Export!E674)),0))</f>
        <v>2</v>
      </c>
      <c r="G674" s="38" t="n">
        <f aca="false">IF(Raw_Export!$A674="","",IFERROR(VALUE(SUBSTITUTE(SUBSTITUTE(UPPER(TRIM(Raw_Export!F674)),"KES",""),",","")),0))</f>
        <v>380</v>
      </c>
      <c r="H674" s="38" t="n">
        <f aca="false">IF(Raw_Export!$A674="","",F674*G674)</f>
        <v>760</v>
      </c>
      <c r="I674" s="36" t="str">
        <f aca="false">IF(Raw_Export!$A674="","",IFERROR(VLOOKUP(LOWER(TRIM(Raw_Export!H674)),Maps!$D$2:$E$12,2,FALSE()),"Other"))</f>
        <v>Cash</v>
      </c>
      <c r="J674" s="36" t="str">
        <f aca="false">IF(Raw_Export!$A674="","",IF(COUNTIF($A$2:A674,A674)&gt;1,"Duplicate",""))</f>
        <v/>
      </c>
      <c r="K674" s="36" t="str">
        <f aca="false">IF(Raw_Export!$A674="","",IF(J674="Duplicate","Duplicate",IF(OR(C674="UNMAPPED",D674="UNMAPPED"),"Unmapped",IF(F674=0,"Blank qty",IF(F674&lt;0,"Return","OK")))))</f>
        <v>OK</v>
      </c>
      <c r="L674" s="36" t="n">
        <f aca="false">IF(Raw_Export!$A674="","",IF(OR(K674="OK",K674="Return"),1,0))</f>
        <v>1</v>
      </c>
      <c r="M674" s="37" t="n">
        <f aca="false">IF(Raw_Export!$A674="","",B674-WEEKDAY(B674,2)+1)</f>
        <v>46265</v>
      </c>
    </row>
    <row r="675" customFormat="false" ht="15" hidden="false" customHeight="false" outlineLevel="0" collapsed="false">
      <c r="A675" s="36" t="str">
        <f aca="false">IF(Raw_Export!$A675="","",TRIM(Raw_Export!A675))</f>
        <v>TXN-100660</v>
      </c>
      <c r="B675" s="37" t="n">
        <f aca="false">IF(Raw_Export!$A675="","",IF(ISNUMBER(Raw_Export!B675),Raw_Export!B675,IF(MID(TRIM(Raw_Export!B675),5,1)="-",DATE(LEFT(TRIM(Raw_Export!B675),4),MID(TRIM(Raw_Export!B675),6,2),RIGHT(TRIM(Raw_Export!B675),2)),DATE(RIGHT(TRIM(Raw_Export!B675),4),MATCH(MID(TRIM(Raw_Export!B675),4,3),{"Jan","Feb","Mar","Apr","May","Jun","Jul","Aug","Sep","Oct","Nov","Dec"},0),LEFT(TRIM(Raw_Export!B675),2)))))</f>
        <v>46269</v>
      </c>
      <c r="C675" s="36" t="str">
        <f aca="false">IF(Raw_Export!$A675="","",IFERROR(VLOOKUP(LOWER(TRIM(Raw_Export!C675)),Maps!$A$2:$B$20,2,FALSE()),"UNMAPPED"))</f>
        <v>Nakuru</v>
      </c>
      <c r="D675" s="36" t="str">
        <f aca="false">IF(Raw_Export!$A675="","",IFERROR(VLOOKUP(LOWER(TRIM(Raw_Export!D675)),Maps!$G$2:$I$80,2,FALSE()),"UNMAPPED"))</f>
        <v>Sugar 2kg</v>
      </c>
      <c r="E675" s="36" t="str">
        <f aca="false">IF(Raw_Export!$A675="","",IFERROR(VLOOKUP(LOWER(TRIM(Raw_Export!D675)),Maps!$G$2:$I$80,3,FALSE()),"UNMAPPED"))</f>
        <v>Staples</v>
      </c>
      <c r="F675" s="36" t="n">
        <f aca="false">IF(Raw_Export!$A675="","",IFERROR(VALUE(TRIM(Raw_Export!E675)),0))</f>
        <v>4</v>
      </c>
      <c r="G675" s="38" t="n">
        <f aca="false">IF(Raw_Export!$A675="","",IFERROR(VALUE(SUBSTITUTE(SUBSTITUTE(UPPER(TRIM(Raw_Export!F675)),"KES",""),",","")),0))</f>
        <v>330</v>
      </c>
      <c r="H675" s="38" t="n">
        <f aca="false">IF(Raw_Export!$A675="","",F675*G675)</f>
        <v>1320</v>
      </c>
      <c r="I675" s="36" t="str">
        <f aca="false">IF(Raw_Export!$A675="","",IFERROR(VLOOKUP(LOWER(TRIM(Raw_Export!H675)),Maps!$D$2:$E$12,2,FALSE()),"Other"))</f>
        <v>M-Pesa</v>
      </c>
      <c r="J675" s="36" t="str">
        <f aca="false">IF(Raw_Export!$A675="","",IF(COUNTIF($A$2:A675,A675)&gt;1,"Duplicate",""))</f>
        <v/>
      </c>
      <c r="K675" s="36" t="str">
        <f aca="false">IF(Raw_Export!$A675="","",IF(J675="Duplicate","Duplicate",IF(OR(C675="UNMAPPED",D675="UNMAPPED"),"Unmapped",IF(F675=0,"Blank qty",IF(F675&lt;0,"Return","OK")))))</f>
        <v>OK</v>
      </c>
      <c r="L675" s="36" t="n">
        <f aca="false">IF(Raw_Export!$A675="","",IF(OR(K675="OK",K675="Return"),1,0))</f>
        <v>1</v>
      </c>
      <c r="M675" s="37" t="n">
        <f aca="false">IF(Raw_Export!$A675="","",B675-WEEKDAY(B675,2)+1)</f>
        <v>46265</v>
      </c>
    </row>
    <row r="676" customFormat="false" ht="15" hidden="false" customHeight="false" outlineLevel="0" collapsed="false">
      <c r="A676" s="36" t="str">
        <f aca="false">IF(Raw_Export!$A676="","",TRIM(Raw_Export!A676))</f>
        <v>TXN-100661</v>
      </c>
      <c r="B676" s="37" t="n">
        <f aca="false">IF(Raw_Export!$A676="","",IF(ISNUMBER(Raw_Export!B676),Raw_Export!B676,IF(MID(TRIM(Raw_Export!B676),5,1)="-",DATE(LEFT(TRIM(Raw_Export!B676),4),MID(TRIM(Raw_Export!B676),6,2),RIGHT(TRIM(Raw_Export!B676),2)),DATE(RIGHT(TRIM(Raw_Export!B676),4),MATCH(MID(TRIM(Raw_Export!B676),4,3),{"Jan","Feb","Mar","Apr","May","Jun","Jul","Aug","Sep","Oct","Nov","Dec"},0),LEFT(TRIM(Raw_Export!B676),2)))))</f>
        <v>46269</v>
      </c>
      <c r="C676" s="36" t="str">
        <f aca="false">IF(Raw_Export!$A676="","",IFERROR(VLOOKUP(LOWER(TRIM(Raw_Export!C676)),Maps!$A$2:$B$20,2,FALSE()),"UNMAPPED"))</f>
        <v>Nakuru</v>
      </c>
      <c r="D676" s="36" t="str">
        <f aca="false">IF(Raw_Export!$A676="","",IFERROR(VLOOKUP(LOWER(TRIM(Raw_Export!D676)),Maps!$G$2:$I$80,2,FALSE()),"UNMAPPED"))</f>
        <v>Biscuits 200g</v>
      </c>
      <c r="E676" s="36" t="str">
        <f aca="false">IF(Raw_Export!$A676="","",IFERROR(VLOOKUP(LOWER(TRIM(Raw_Export!D676)),Maps!$G$2:$I$80,3,FALSE()),"UNMAPPED"))</f>
        <v>Snacks</v>
      </c>
      <c r="F676" s="36" t="n">
        <f aca="false">IF(Raw_Export!$A676="","",IFERROR(VALUE(TRIM(Raw_Export!E676)),0))</f>
        <v>1</v>
      </c>
      <c r="G676" s="38" t="n">
        <f aca="false">IF(Raw_Export!$A676="","",IFERROR(VALUE(SUBSTITUTE(SUBSTITUTE(UPPER(TRIM(Raw_Export!F676)),"KES",""),",","")),0))</f>
        <v>95</v>
      </c>
      <c r="H676" s="38" t="n">
        <f aca="false">IF(Raw_Export!$A676="","",F676*G676)</f>
        <v>95</v>
      </c>
      <c r="I676" s="36" t="str">
        <f aca="false">IF(Raw_Export!$A676="","",IFERROR(VLOOKUP(LOWER(TRIM(Raw_Export!H676)),Maps!$D$2:$E$12,2,FALSE()),"Other"))</f>
        <v>Cash</v>
      </c>
      <c r="J676" s="36" t="str">
        <f aca="false">IF(Raw_Export!$A676="","",IF(COUNTIF($A$2:A676,A676)&gt;1,"Duplicate",""))</f>
        <v/>
      </c>
      <c r="K676" s="36" t="str">
        <f aca="false">IF(Raw_Export!$A676="","",IF(J676="Duplicate","Duplicate",IF(OR(C676="UNMAPPED",D676="UNMAPPED"),"Unmapped",IF(F676=0,"Blank qty",IF(F676&lt;0,"Return","OK")))))</f>
        <v>OK</v>
      </c>
      <c r="L676" s="36" t="n">
        <f aca="false">IF(Raw_Export!$A676="","",IF(OR(K676="OK",K676="Return"),1,0))</f>
        <v>1</v>
      </c>
      <c r="M676" s="37" t="n">
        <f aca="false">IF(Raw_Export!$A676="","",B676-WEEKDAY(B676,2)+1)</f>
        <v>46265</v>
      </c>
    </row>
    <row r="677" customFormat="false" ht="15" hidden="false" customHeight="false" outlineLevel="0" collapsed="false">
      <c r="A677" s="36" t="str">
        <f aca="false">IF(Raw_Export!$A677="","",TRIM(Raw_Export!A677))</f>
        <v>TXN-100662</v>
      </c>
      <c r="B677" s="37" t="n">
        <f aca="false">IF(Raw_Export!$A677="","",IF(ISNUMBER(Raw_Export!B677),Raw_Export!B677,IF(MID(TRIM(Raw_Export!B677),5,1)="-",DATE(LEFT(TRIM(Raw_Export!B677),4),MID(TRIM(Raw_Export!B677),6,2),RIGHT(TRIM(Raw_Export!B677),2)),DATE(RIGHT(TRIM(Raw_Export!B677),4),MATCH(MID(TRIM(Raw_Export!B677),4,3),{"Jan","Feb","Mar","Apr","May","Jun","Jul","Aug","Sep","Oct","Nov","Dec"},0),LEFT(TRIM(Raw_Export!B677),2)))))</f>
        <v>46269</v>
      </c>
      <c r="C677" s="36" t="str">
        <f aca="false">IF(Raw_Export!$A677="","",IFERROR(VLOOKUP(LOWER(TRIM(Raw_Export!C677)),Maps!$A$2:$B$20,2,FALSE()),"UNMAPPED"))</f>
        <v>Nakuru</v>
      </c>
      <c r="D677" s="36" t="str">
        <f aca="false">IF(Raw_Export!$A677="","",IFERROR(VLOOKUP(LOWER(TRIM(Raw_Export!D677)),Maps!$G$2:$I$80,2,FALSE()),"UNMAPPED"))</f>
        <v>Bath Soap 175g</v>
      </c>
      <c r="E677" s="36" t="str">
        <f aca="false">IF(Raw_Export!$A677="","",IFERROR(VLOOKUP(LOWER(TRIM(Raw_Export!D677)),Maps!$G$2:$I$80,3,FALSE()),"UNMAPPED"))</f>
        <v>Personal Care</v>
      </c>
      <c r="F677" s="36" t="n">
        <f aca="false">IF(Raw_Export!$A677="","",IFERROR(VALUE(TRIM(Raw_Export!E677)),0))</f>
        <v>3</v>
      </c>
      <c r="G677" s="38" t="n">
        <f aca="false">IF(Raw_Export!$A677="","",IFERROR(VALUE(SUBSTITUTE(SUBSTITUTE(UPPER(TRIM(Raw_Export!F677)),"KES",""),",","")),0))</f>
        <v>85</v>
      </c>
      <c r="H677" s="38" t="n">
        <f aca="false">IF(Raw_Export!$A677="","",F677*G677)</f>
        <v>255</v>
      </c>
      <c r="I677" s="36" t="str">
        <f aca="false">IF(Raw_Export!$A677="","",IFERROR(VLOOKUP(LOWER(TRIM(Raw_Export!H677)),Maps!$D$2:$E$12,2,FALSE()),"Other"))</f>
        <v>M-Pesa</v>
      </c>
      <c r="J677" s="36" t="str">
        <f aca="false">IF(Raw_Export!$A677="","",IF(COUNTIF($A$2:A677,A677)&gt;1,"Duplicate",""))</f>
        <v/>
      </c>
      <c r="K677" s="36" t="str">
        <f aca="false">IF(Raw_Export!$A677="","",IF(J677="Duplicate","Duplicate",IF(OR(C677="UNMAPPED",D677="UNMAPPED"),"Unmapped",IF(F677=0,"Blank qty",IF(F677&lt;0,"Return","OK")))))</f>
        <v>OK</v>
      </c>
      <c r="L677" s="36" t="n">
        <f aca="false">IF(Raw_Export!$A677="","",IF(OR(K677="OK",K677="Return"),1,0))</f>
        <v>1</v>
      </c>
      <c r="M677" s="37" t="n">
        <f aca="false">IF(Raw_Export!$A677="","",B677-WEEKDAY(B677,2)+1)</f>
        <v>46265</v>
      </c>
    </row>
    <row r="678" customFormat="false" ht="15" hidden="false" customHeight="false" outlineLevel="0" collapsed="false">
      <c r="A678" s="36" t="str">
        <f aca="false">IF(Raw_Export!$A678="","",TRIM(Raw_Export!A678))</f>
        <v>TXN-100663</v>
      </c>
      <c r="B678" s="37" t="n">
        <f aca="false">IF(Raw_Export!$A678="","",IF(ISNUMBER(Raw_Export!B678),Raw_Export!B678,IF(MID(TRIM(Raw_Export!B678),5,1)="-",DATE(LEFT(TRIM(Raw_Export!B678),4),MID(TRIM(Raw_Export!B678),6,2),RIGHT(TRIM(Raw_Export!B678),2)),DATE(RIGHT(TRIM(Raw_Export!B678),4),MATCH(MID(TRIM(Raw_Export!B678),4,3),{"Jan","Feb","Mar","Apr","May","Jun","Jul","Aug","Sep","Oct","Nov","Dec"},0),LEFT(TRIM(Raw_Export!B678),2)))))</f>
        <v>46269</v>
      </c>
      <c r="C678" s="36" t="str">
        <f aca="false">IF(Raw_Export!$A678="","",IFERROR(VLOOKUP(LOWER(TRIM(Raw_Export!C678)),Maps!$A$2:$B$20,2,FALSE()),"UNMAPPED"))</f>
        <v>Nakuru</v>
      </c>
      <c r="D678" s="36" t="str">
        <f aca="false">IF(Raw_Export!$A678="","",IFERROR(VLOOKUP(LOWER(TRIM(Raw_Export!D678)),Maps!$G$2:$I$80,2,FALSE()),"UNMAPPED"))</f>
        <v>Bath Soap 175g</v>
      </c>
      <c r="E678" s="36" t="str">
        <f aca="false">IF(Raw_Export!$A678="","",IFERROR(VLOOKUP(LOWER(TRIM(Raw_Export!D678)),Maps!$G$2:$I$80,3,FALSE()),"UNMAPPED"))</f>
        <v>Personal Care</v>
      </c>
      <c r="F678" s="36" t="n">
        <f aca="false">IF(Raw_Export!$A678="","",IFERROR(VALUE(TRIM(Raw_Export!E678)),0))</f>
        <v>3</v>
      </c>
      <c r="G678" s="38" t="n">
        <f aca="false">IF(Raw_Export!$A678="","",IFERROR(VALUE(SUBSTITUTE(SUBSTITUTE(UPPER(TRIM(Raw_Export!F678)),"KES",""),",","")),0))</f>
        <v>85</v>
      </c>
      <c r="H678" s="38" t="n">
        <f aca="false">IF(Raw_Export!$A678="","",F678*G678)</f>
        <v>255</v>
      </c>
      <c r="I678" s="36" t="str">
        <f aca="false">IF(Raw_Export!$A678="","",IFERROR(VLOOKUP(LOWER(TRIM(Raw_Export!H678)),Maps!$D$2:$E$12,2,FALSE()),"Other"))</f>
        <v>Cash</v>
      </c>
      <c r="J678" s="36" t="str">
        <f aca="false">IF(Raw_Export!$A678="","",IF(COUNTIF($A$2:A678,A678)&gt;1,"Duplicate",""))</f>
        <v/>
      </c>
      <c r="K678" s="36" t="str">
        <f aca="false">IF(Raw_Export!$A678="","",IF(J678="Duplicate","Duplicate",IF(OR(C678="UNMAPPED",D678="UNMAPPED"),"Unmapped",IF(F678=0,"Blank qty",IF(F678&lt;0,"Return","OK")))))</f>
        <v>OK</v>
      </c>
      <c r="L678" s="36" t="n">
        <f aca="false">IF(Raw_Export!$A678="","",IF(OR(K678="OK",K678="Return"),1,0))</f>
        <v>1</v>
      </c>
      <c r="M678" s="37" t="n">
        <f aca="false">IF(Raw_Export!$A678="","",B678-WEEKDAY(B678,2)+1)</f>
        <v>46265</v>
      </c>
    </row>
    <row r="679" customFormat="false" ht="15" hidden="false" customHeight="false" outlineLevel="0" collapsed="false">
      <c r="A679" s="36" t="str">
        <f aca="false">IF(Raw_Export!$A679="","",TRIM(Raw_Export!A679))</f>
        <v>TXN-100664</v>
      </c>
      <c r="B679" s="37" t="n">
        <f aca="false">IF(Raw_Export!$A679="","",IF(ISNUMBER(Raw_Export!B679),Raw_Export!B679,IF(MID(TRIM(Raw_Export!B679),5,1)="-",DATE(LEFT(TRIM(Raw_Export!B679),4),MID(TRIM(Raw_Export!B679),6,2),RIGHT(TRIM(Raw_Export!B679),2)),DATE(RIGHT(TRIM(Raw_Export!B679),4),MATCH(MID(TRIM(Raw_Export!B679),4,3),{"Jan","Feb","Mar","Apr","May","Jun","Jul","Aug","Sep","Oct","Nov","Dec"},0),LEFT(TRIM(Raw_Export!B679),2)))))</f>
        <v>46269</v>
      </c>
      <c r="C679" s="36" t="str">
        <f aca="false">IF(Raw_Export!$A679="","",IFERROR(VLOOKUP(LOWER(TRIM(Raw_Export!C679)),Maps!$A$2:$B$20,2,FALSE()),"UNMAPPED"))</f>
        <v>Nakuru</v>
      </c>
      <c r="D679" s="36" t="str">
        <f aca="false">IF(Raw_Export!$A679="","",IFERROR(VLOOKUP(LOWER(TRIM(Raw_Export!D679)),Maps!$G$2:$I$80,2,FALSE()),"UNMAPPED"))</f>
        <v>Biscuits 200g</v>
      </c>
      <c r="E679" s="36" t="str">
        <f aca="false">IF(Raw_Export!$A679="","",IFERROR(VLOOKUP(LOWER(TRIM(Raw_Export!D679)),Maps!$G$2:$I$80,3,FALSE()),"UNMAPPED"))</f>
        <v>Snacks</v>
      </c>
      <c r="F679" s="36" t="n">
        <f aca="false">IF(Raw_Export!$A679="","",IFERROR(VALUE(TRIM(Raw_Export!E679)),0))</f>
        <v>2</v>
      </c>
      <c r="G679" s="38" t="n">
        <f aca="false">IF(Raw_Export!$A679="","",IFERROR(VALUE(SUBSTITUTE(SUBSTITUTE(UPPER(TRIM(Raw_Export!F679)),"KES",""),",","")),0))</f>
        <v>86</v>
      </c>
      <c r="H679" s="38" t="n">
        <f aca="false">IF(Raw_Export!$A679="","",F679*G679)</f>
        <v>172</v>
      </c>
      <c r="I679" s="36" t="str">
        <f aca="false">IF(Raw_Export!$A679="","",IFERROR(VLOOKUP(LOWER(TRIM(Raw_Export!H679)),Maps!$D$2:$E$12,2,FALSE()),"Other"))</f>
        <v>M-Pesa</v>
      </c>
      <c r="J679" s="36" t="str">
        <f aca="false">IF(Raw_Export!$A679="","",IF(COUNTIF($A$2:A679,A679)&gt;1,"Duplicate",""))</f>
        <v/>
      </c>
      <c r="K679" s="36" t="str">
        <f aca="false">IF(Raw_Export!$A679="","",IF(J679="Duplicate","Duplicate",IF(OR(C679="UNMAPPED",D679="UNMAPPED"),"Unmapped",IF(F679=0,"Blank qty",IF(F679&lt;0,"Return","OK")))))</f>
        <v>OK</v>
      </c>
      <c r="L679" s="36" t="n">
        <f aca="false">IF(Raw_Export!$A679="","",IF(OR(K679="OK",K679="Return"),1,0))</f>
        <v>1</v>
      </c>
      <c r="M679" s="37" t="n">
        <f aca="false">IF(Raw_Export!$A679="","",B679-WEEKDAY(B679,2)+1)</f>
        <v>46265</v>
      </c>
    </row>
    <row r="680" customFormat="false" ht="15" hidden="false" customHeight="false" outlineLevel="0" collapsed="false">
      <c r="A680" s="36" t="str">
        <f aca="false">IF(Raw_Export!$A680="","",TRIM(Raw_Export!A680))</f>
        <v>TXN-100665</v>
      </c>
      <c r="B680" s="37" t="n">
        <f aca="false">IF(Raw_Export!$A680="","",IF(ISNUMBER(Raw_Export!B680),Raw_Export!B680,IF(MID(TRIM(Raw_Export!B680),5,1)="-",DATE(LEFT(TRIM(Raw_Export!B680),4),MID(TRIM(Raw_Export!B680),6,2),RIGHT(TRIM(Raw_Export!B680),2)),DATE(RIGHT(TRIM(Raw_Export!B680),4),MATCH(MID(TRIM(Raw_Export!B680),4,3),{"Jan","Feb","Mar","Apr","May","Jun","Jul","Aug","Sep","Oct","Nov","Dec"},0),LEFT(TRIM(Raw_Export!B680),2)))))</f>
        <v>46269</v>
      </c>
      <c r="C680" s="36" t="str">
        <f aca="false">IF(Raw_Export!$A680="","",IFERROR(VLOOKUP(LOWER(TRIM(Raw_Export!C680)),Maps!$A$2:$B$20,2,FALSE()),"UNMAPPED"))</f>
        <v>Nakuru</v>
      </c>
      <c r="D680" s="36" t="str">
        <f aca="false">IF(Raw_Export!$A680="","",IFERROR(VLOOKUP(LOWER(TRIM(Raw_Export!D680)),Maps!$G$2:$I$80,2,FALSE()),"UNMAPPED"))</f>
        <v>Cooking Oil 1L</v>
      </c>
      <c r="E680" s="36" t="str">
        <f aca="false">IF(Raw_Export!$A680="","",IFERROR(VLOOKUP(LOWER(TRIM(Raw_Export!D680)),Maps!$G$2:$I$80,3,FALSE()),"UNMAPPED"))</f>
        <v>Staples</v>
      </c>
      <c r="F680" s="36" t="n">
        <f aca="false">IF(Raw_Export!$A680="","",IFERROR(VALUE(TRIM(Raw_Export!E680)),0))</f>
        <v>1</v>
      </c>
      <c r="G680" s="38" t="n">
        <f aca="false">IF(Raw_Export!$A680="","",IFERROR(VALUE(SUBSTITUTE(SUBSTITUTE(UPPER(TRIM(Raw_Export!F680)),"KES",""),",","")),0))</f>
        <v>330</v>
      </c>
      <c r="H680" s="38" t="n">
        <f aca="false">IF(Raw_Export!$A680="","",F680*G680)</f>
        <v>330</v>
      </c>
      <c r="I680" s="36" t="str">
        <f aca="false">IF(Raw_Export!$A680="","",IFERROR(VLOOKUP(LOWER(TRIM(Raw_Export!H680)),Maps!$D$2:$E$12,2,FALSE()),"Other"))</f>
        <v>M-Pesa</v>
      </c>
      <c r="J680" s="36" t="str">
        <f aca="false">IF(Raw_Export!$A680="","",IF(COUNTIF($A$2:A680,A680)&gt;1,"Duplicate",""))</f>
        <v/>
      </c>
      <c r="K680" s="36" t="str">
        <f aca="false">IF(Raw_Export!$A680="","",IF(J680="Duplicate","Duplicate",IF(OR(C680="UNMAPPED",D680="UNMAPPED"),"Unmapped",IF(F680=0,"Blank qty",IF(F680&lt;0,"Return","OK")))))</f>
        <v>OK</v>
      </c>
      <c r="L680" s="36" t="n">
        <f aca="false">IF(Raw_Export!$A680="","",IF(OR(K680="OK",K680="Return"),1,0))</f>
        <v>1</v>
      </c>
      <c r="M680" s="37" t="n">
        <f aca="false">IF(Raw_Export!$A680="","",B680-WEEKDAY(B680,2)+1)</f>
        <v>46265</v>
      </c>
    </row>
    <row r="681" customFormat="false" ht="15" hidden="false" customHeight="false" outlineLevel="0" collapsed="false">
      <c r="A681" s="36" t="str">
        <f aca="false">IF(Raw_Export!$A681="","",TRIM(Raw_Export!A681))</f>
        <v>TXN-100666</v>
      </c>
      <c r="B681" s="37" t="n">
        <f aca="false">IF(Raw_Export!$A681="","",IF(ISNUMBER(Raw_Export!B681),Raw_Export!B681,IF(MID(TRIM(Raw_Export!B681),5,1)="-",DATE(LEFT(TRIM(Raw_Export!B681),4),MID(TRIM(Raw_Export!B681),6,2),RIGHT(TRIM(Raw_Export!B681),2)),DATE(RIGHT(TRIM(Raw_Export!B681),4),MATCH(MID(TRIM(Raw_Export!B681),4,3),{"Jan","Feb","Mar","Apr","May","Jun","Jul","Aug","Sep","Oct","Nov","Dec"},0),LEFT(TRIM(Raw_Export!B681),2)))))</f>
        <v>46269</v>
      </c>
      <c r="C681" s="36" t="str">
        <f aca="false">IF(Raw_Export!$A681="","",IFERROR(VLOOKUP(LOWER(TRIM(Raw_Export!C681)),Maps!$A$2:$B$20,2,FALSE()),"UNMAPPED"))</f>
        <v>Nakuru</v>
      </c>
      <c r="D681" s="36" t="str">
        <f aca="false">IF(Raw_Export!$A681="","",IFERROR(VLOOKUP(LOWER(TRIM(Raw_Export!D681)),Maps!$G$2:$I$80,2,FALSE()),"UNMAPPED"))</f>
        <v>Unga Pembe 2kg</v>
      </c>
      <c r="E681" s="36" t="str">
        <f aca="false">IF(Raw_Export!$A681="","",IFERROR(VLOOKUP(LOWER(TRIM(Raw_Export!D681)),Maps!$G$2:$I$80,3,FALSE()),"UNMAPPED"))</f>
        <v>Staples</v>
      </c>
      <c r="F681" s="36" t="n">
        <f aca="false">IF(Raw_Export!$A681="","",IFERROR(VALUE(TRIM(Raw_Export!E681)),0))</f>
        <v>4</v>
      </c>
      <c r="G681" s="38" t="n">
        <f aca="false">IF(Raw_Export!$A681="","",IFERROR(VALUE(SUBSTITUTE(SUBSTITUTE(UPPER(TRIM(Raw_Export!F681)),"KES",""),",","")),0))</f>
        <v>190</v>
      </c>
      <c r="H681" s="38" t="n">
        <f aca="false">IF(Raw_Export!$A681="","",F681*G681)</f>
        <v>760</v>
      </c>
      <c r="I681" s="36" t="str">
        <f aca="false">IF(Raw_Export!$A681="","",IFERROR(VLOOKUP(LOWER(TRIM(Raw_Export!H681)),Maps!$D$2:$E$12,2,FALSE()),"Other"))</f>
        <v>Cash</v>
      </c>
      <c r="J681" s="36" t="str">
        <f aca="false">IF(Raw_Export!$A681="","",IF(COUNTIF($A$2:A681,A681)&gt;1,"Duplicate",""))</f>
        <v/>
      </c>
      <c r="K681" s="36" t="str">
        <f aca="false">IF(Raw_Export!$A681="","",IF(J681="Duplicate","Duplicate",IF(OR(C681="UNMAPPED",D681="UNMAPPED"),"Unmapped",IF(F681=0,"Blank qty",IF(F681&lt;0,"Return","OK")))))</f>
        <v>OK</v>
      </c>
      <c r="L681" s="36" t="n">
        <f aca="false">IF(Raw_Export!$A681="","",IF(OR(K681="OK",K681="Return"),1,0))</f>
        <v>1</v>
      </c>
      <c r="M681" s="37" t="n">
        <f aca="false">IF(Raw_Export!$A681="","",B681-WEEKDAY(B681,2)+1)</f>
        <v>46265</v>
      </c>
    </row>
    <row r="682" customFormat="false" ht="15" hidden="false" customHeight="false" outlineLevel="0" collapsed="false">
      <c r="A682" s="36" t="str">
        <f aca="false">IF(Raw_Export!$A682="","",TRIM(Raw_Export!A682))</f>
        <v>TXN-100667</v>
      </c>
      <c r="B682" s="37" t="n">
        <f aca="false">IF(Raw_Export!$A682="","",IF(ISNUMBER(Raw_Export!B682),Raw_Export!B682,IF(MID(TRIM(Raw_Export!B682),5,1)="-",DATE(LEFT(TRIM(Raw_Export!B682),4),MID(TRIM(Raw_Export!B682),6,2),RIGHT(TRIM(Raw_Export!B682),2)),DATE(RIGHT(TRIM(Raw_Export!B682),4),MATCH(MID(TRIM(Raw_Export!B682),4,3),{"Jan","Feb","Mar","Apr","May","Jun","Jul","Aug","Sep","Oct","Nov","Dec"},0),LEFT(TRIM(Raw_Export!B682),2)))))</f>
        <v>46269</v>
      </c>
      <c r="C682" s="36" t="str">
        <f aca="false">IF(Raw_Export!$A682="","",IFERROR(VLOOKUP(LOWER(TRIM(Raw_Export!C682)),Maps!$A$2:$B$20,2,FALSE()),"UNMAPPED"))</f>
        <v>Nakuru</v>
      </c>
      <c r="D682" s="36" t="str">
        <f aca="false">IF(Raw_Export!$A682="","",IFERROR(VLOOKUP(LOWER(TRIM(Raw_Export!D682)),Maps!$G$2:$I$80,2,FALSE()),"UNMAPPED"))</f>
        <v>Toilet Paper 10pk</v>
      </c>
      <c r="E682" s="36" t="str">
        <f aca="false">IF(Raw_Export!$A682="","",IFERROR(VLOOKUP(LOWER(TRIM(Raw_Export!D682)),Maps!$G$2:$I$80,3,FALSE()),"UNMAPPED"))</f>
        <v>Household</v>
      </c>
      <c r="F682" s="36" t="n">
        <f aca="false">IF(Raw_Export!$A682="","",IFERROR(VALUE(TRIM(Raw_Export!E682)),0))</f>
        <v>1</v>
      </c>
      <c r="G682" s="38" t="n">
        <f aca="false">IF(Raw_Export!$A682="","",IFERROR(VALUE(SUBSTITUTE(SUBSTITUTE(UPPER(TRIM(Raw_Export!F682)),"KES",""),",","")),0))</f>
        <v>380</v>
      </c>
      <c r="H682" s="38" t="n">
        <f aca="false">IF(Raw_Export!$A682="","",F682*G682)</f>
        <v>380</v>
      </c>
      <c r="I682" s="36" t="str">
        <f aca="false">IF(Raw_Export!$A682="","",IFERROR(VLOOKUP(LOWER(TRIM(Raw_Export!H682)),Maps!$D$2:$E$12,2,FALSE()),"Other"))</f>
        <v>M-Pesa</v>
      </c>
      <c r="J682" s="36" t="str">
        <f aca="false">IF(Raw_Export!$A682="","",IF(COUNTIF($A$2:A682,A682)&gt;1,"Duplicate",""))</f>
        <v/>
      </c>
      <c r="K682" s="36" t="str">
        <f aca="false">IF(Raw_Export!$A682="","",IF(J682="Duplicate","Duplicate",IF(OR(C682="UNMAPPED",D682="UNMAPPED"),"Unmapped",IF(F682=0,"Blank qty",IF(F682&lt;0,"Return","OK")))))</f>
        <v>OK</v>
      </c>
      <c r="L682" s="36" t="n">
        <f aca="false">IF(Raw_Export!$A682="","",IF(OR(K682="OK",K682="Return"),1,0))</f>
        <v>1</v>
      </c>
      <c r="M682" s="37" t="n">
        <f aca="false">IF(Raw_Export!$A682="","",B682-WEEKDAY(B682,2)+1)</f>
        <v>46265</v>
      </c>
    </row>
    <row r="683" customFormat="false" ht="15" hidden="false" customHeight="false" outlineLevel="0" collapsed="false">
      <c r="A683" s="36" t="str">
        <f aca="false">IF(Raw_Export!$A683="","",TRIM(Raw_Export!A683))</f>
        <v>TXN-100668</v>
      </c>
      <c r="B683" s="37" t="n">
        <f aca="false">IF(Raw_Export!$A683="","",IF(ISNUMBER(Raw_Export!B683),Raw_Export!B683,IF(MID(TRIM(Raw_Export!B683),5,1)="-",DATE(LEFT(TRIM(Raw_Export!B683),4),MID(TRIM(Raw_Export!B683),6,2),RIGHT(TRIM(Raw_Export!B683),2)),DATE(RIGHT(TRIM(Raw_Export!B683),4),MATCH(MID(TRIM(Raw_Export!B683),4,3),{"Jan","Feb","Mar","Apr","May","Jun","Jul","Aug","Sep","Oct","Nov","Dec"},0),LEFT(TRIM(Raw_Export!B683),2)))))</f>
        <v>46269</v>
      </c>
      <c r="C683" s="36" t="str">
        <f aca="false">IF(Raw_Export!$A683="","",IFERROR(VLOOKUP(LOWER(TRIM(Raw_Export!C683)),Maps!$A$2:$B$20,2,FALSE()),"UNMAPPED"))</f>
        <v>Nakuru</v>
      </c>
      <c r="D683" s="36" t="str">
        <f aca="false">IF(Raw_Export!$A683="","",IFERROR(VLOOKUP(LOWER(TRIM(Raw_Export!D683)),Maps!$G$2:$I$80,2,FALSE()),"UNMAPPED"))</f>
        <v>Crisps 100g</v>
      </c>
      <c r="E683" s="36" t="str">
        <f aca="false">IF(Raw_Export!$A683="","",IFERROR(VLOOKUP(LOWER(TRIM(Raw_Export!D683)),Maps!$G$2:$I$80,3,FALSE()),"UNMAPPED"))</f>
        <v>Snacks</v>
      </c>
      <c r="F683" s="36" t="n">
        <f aca="false">IF(Raw_Export!$A683="","",IFERROR(VALUE(TRIM(Raw_Export!E683)),0))</f>
        <v>1</v>
      </c>
      <c r="G683" s="38" t="n">
        <f aca="false">IF(Raw_Export!$A683="","",IFERROR(VALUE(SUBSTITUTE(SUBSTITUTE(UPPER(TRIM(Raw_Export!F683)),"KES",""),",","")),0))</f>
        <v>80</v>
      </c>
      <c r="H683" s="38" t="n">
        <f aca="false">IF(Raw_Export!$A683="","",F683*G683)</f>
        <v>80</v>
      </c>
      <c r="I683" s="36" t="str">
        <f aca="false">IF(Raw_Export!$A683="","",IFERROR(VLOOKUP(LOWER(TRIM(Raw_Export!H683)),Maps!$D$2:$E$12,2,FALSE()),"Other"))</f>
        <v>Card</v>
      </c>
      <c r="J683" s="36" t="str">
        <f aca="false">IF(Raw_Export!$A683="","",IF(COUNTIF($A$2:A683,A683)&gt;1,"Duplicate",""))</f>
        <v/>
      </c>
      <c r="K683" s="36" t="str">
        <f aca="false">IF(Raw_Export!$A683="","",IF(J683="Duplicate","Duplicate",IF(OR(C683="UNMAPPED",D683="UNMAPPED"),"Unmapped",IF(F683=0,"Blank qty",IF(F683&lt;0,"Return","OK")))))</f>
        <v>OK</v>
      </c>
      <c r="L683" s="36" t="n">
        <f aca="false">IF(Raw_Export!$A683="","",IF(OR(K683="OK",K683="Return"),1,0))</f>
        <v>1</v>
      </c>
      <c r="M683" s="37" t="n">
        <f aca="false">IF(Raw_Export!$A683="","",B683-WEEKDAY(B683,2)+1)</f>
        <v>46265</v>
      </c>
    </row>
    <row r="684" customFormat="false" ht="15" hidden="false" customHeight="false" outlineLevel="0" collapsed="false">
      <c r="A684" s="36" t="str">
        <f aca="false">IF(Raw_Export!$A684="","",TRIM(Raw_Export!A684))</f>
        <v>TXN-100669</v>
      </c>
      <c r="B684" s="37" t="n">
        <f aca="false">IF(Raw_Export!$A684="","",IF(ISNUMBER(Raw_Export!B684),Raw_Export!B684,IF(MID(TRIM(Raw_Export!B684),5,1)="-",DATE(LEFT(TRIM(Raw_Export!B684),4),MID(TRIM(Raw_Export!B684),6,2),RIGHT(TRIM(Raw_Export!B684),2)),DATE(RIGHT(TRIM(Raw_Export!B684),4),MATCH(MID(TRIM(Raw_Export!B684),4,3),{"Jan","Feb","Mar","Apr","May","Jun","Jul","Aug","Sep","Oct","Nov","Dec"},0),LEFT(TRIM(Raw_Export!B684),2)))))</f>
        <v>46269</v>
      </c>
      <c r="C684" s="36" t="str">
        <f aca="false">IF(Raw_Export!$A684="","",IFERROR(VLOOKUP(LOWER(TRIM(Raw_Export!C684)),Maps!$A$2:$B$20,2,FALSE()),"UNMAPPED"))</f>
        <v>Nakuru</v>
      </c>
      <c r="D684" s="36" t="str">
        <f aca="false">IF(Raw_Export!$A684="","",IFERROR(VLOOKUP(LOWER(TRIM(Raw_Export!D684)),Maps!$G$2:$I$80,2,FALSE()),"UNMAPPED"))</f>
        <v>Washing Powder 1kg</v>
      </c>
      <c r="E684" s="36" t="str">
        <f aca="false">IF(Raw_Export!$A684="","",IFERROR(VLOOKUP(LOWER(TRIM(Raw_Export!D684)),Maps!$G$2:$I$80,3,FALSE()),"UNMAPPED"))</f>
        <v>Household</v>
      </c>
      <c r="F684" s="36" t="n">
        <f aca="false">IF(Raw_Export!$A684="","",IFERROR(VALUE(TRIM(Raw_Export!E684)),0))</f>
        <v>1</v>
      </c>
      <c r="G684" s="38" t="n">
        <f aca="false">IF(Raw_Export!$A684="","",IFERROR(VALUE(SUBSTITUTE(SUBSTITUTE(UPPER(TRIM(Raw_Export!F684)),"KES",""),",","")),0))</f>
        <v>280</v>
      </c>
      <c r="H684" s="38" t="n">
        <f aca="false">IF(Raw_Export!$A684="","",F684*G684)</f>
        <v>280</v>
      </c>
      <c r="I684" s="36" t="str">
        <f aca="false">IF(Raw_Export!$A684="","",IFERROR(VLOOKUP(LOWER(TRIM(Raw_Export!H684)),Maps!$D$2:$E$12,2,FALSE()),"Other"))</f>
        <v>M-Pesa</v>
      </c>
      <c r="J684" s="36" t="str">
        <f aca="false">IF(Raw_Export!$A684="","",IF(COUNTIF($A$2:A684,A684)&gt;1,"Duplicate",""))</f>
        <v/>
      </c>
      <c r="K684" s="36" t="str">
        <f aca="false">IF(Raw_Export!$A684="","",IF(J684="Duplicate","Duplicate",IF(OR(C684="UNMAPPED",D684="UNMAPPED"),"Unmapped",IF(F684=0,"Blank qty",IF(F684&lt;0,"Return","OK")))))</f>
        <v>OK</v>
      </c>
      <c r="L684" s="36" t="n">
        <f aca="false">IF(Raw_Export!$A684="","",IF(OR(K684="OK",K684="Return"),1,0))</f>
        <v>1</v>
      </c>
      <c r="M684" s="37" t="n">
        <f aca="false">IF(Raw_Export!$A684="","",B684-WEEKDAY(B684,2)+1)</f>
        <v>46265</v>
      </c>
    </row>
    <row r="685" customFormat="false" ht="15" hidden="false" customHeight="false" outlineLevel="0" collapsed="false">
      <c r="A685" s="36" t="str">
        <f aca="false">IF(Raw_Export!$A685="","",TRIM(Raw_Export!A685))</f>
        <v>TXN-100670</v>
      </c>
      <c r="B685" s="37" t="n">
        <f aca="false">IF(Raw_Export!$A685="","",IF(ISNUMBER(Raw_Export!B685),Raw_Export!B685,IF(MID(TRIM(Raw_Export!B685),5,1)="-",DATE(LEFT(TRIM(Raw_Export!B685),4),MID(TRIM(Raw_Export!B685),6,2),RIGHT(TRIM(Raw_Export!B685),2)),DATE(RIGHT(TRIM(Raw_Export!B685),4),MATCH(MID(TRIM(Raw_Export!B685),4,3),{"Jan","Feb","Mar","Apr","May","Jun","Jul","Aug","Sep","Oct","Nov","Dec"},0),LEFT(TRIM(Raw_Export!B685),2)))))</f>
        <v>46269</v>
      </c>
      <c r="C685" s="36" t="str">
        <f aca="false">IF(Raw_Export!$A685="","",IFERROR(VLOOKUP(LOWER(TRIM(Raw_Export!C685)),Maps!$A$2:$B$20,2,FALSE()),"UNMAPPED"))</f>
        <v>Nakuru</v>
      </c>
      <c r="D685" s="36" t="str">
        <f aca="false">IF(Raw_Export!$A685="","",IFERROR(VLOOKUP(LOWER(TRIM(Raw_Export!D685)),Maps!$G$2:$I$80,2,FALSE()),"UNMAPPED"))</f>
        <v>Spaghetti 400g</v>
      </c>
      <c r="E685" s="36" t="str">
        <f aca="false">IF(Raw_Export!$A685="","",IFERROR(VLOOKUP(LOWER(TRIM(Raw_Export!D685)),Maps!$G$2:$I$80,3,FALSE()),"UNMAPPED"))</f>
        <v>Staples</v>
      </c>
      <c r="F685" s="36" t="n">
        <f aca="false">IF(Raw_Export!$A685="","",IFERROR(VALUE(TRIM(Raw_Export!E685)),0))</f>
        <v>3</v>
      </c>
      <c r="G685" s="38" t="n">
        <f aca="false">IF(Raw_Export!$A685="","",IFERROR(VALUE(SUBSTITUTE(SUBSTITUTE(UPPER(TRIM(Raw_Export!F685)),"KES",""),",","")),0))</f>
        <v>110</v>
      </c>
      <c r="H685" s="38" t="n">
        <f aca="false">IF(Raw_Export!$A685="","",F685*G685)</f>
        <v>330</v>
      </c>
      <c r="I685" s="36" t="str">
        <f aca="false">IF(Raw_Export!$A685="","",IFERROR(VLOOKUP(LOWER(TRIM(Raw_Export!H685)),Maps!$D$2:$E$12,2,FALSE()),"Other"))</f>
        <v>Card</v>
      </c>
      <c r="J685" s="36" t="str">
        <f aca="false">IF(Raw_Export!$A685="","",IF(COUNTIF($A$2:A685,A685)&gt;1,"Duplicate",""))</f>
        <v/>
      </c>
      <c r="K685" s="36" t="str">
        <f aca="false">IF(Raw_Export!$A685="","",IF(J685="Duplicate","Duplicate",IF(OR(C685="UNMAPPED",D685="UNMAPPED"),"Unmapped",IF(F685=0,"Blank qty",IF(F685&lt;0,"Return","OK")))))</f>
        <v>OK</v>
      </c>
      <c r="L685" s="36" t="n">
        <f aca="false">IF(Raw_Export!$A685="","",IF(OR(K685="OK",K685="Return"),1,0))</f>
        <v>1</v>
      </c>
      <c r="M685" s="37" t="n">
        <f aca="false">IF(Raw_Export!$A685="","",B685-WEEKDAY(B685,2)+1)</f>
        <v>46265</v>
      </c>
    </row>
    <row r="686" customFormat="false" ht="15" hidden="false" customHeight="false" outlineLevel="0" collapsed="false">
      <c r="A686" s="36" t="str">
        <f aca="false">IF(Raw_Export!$A686="","",TRIM(Raw_Export!A686))</f>
        <v>TXN-100671</v>
      </c>
      <c r="B686" s="37" t="n">
        <f aca="false">IF(Raw_Export!$A686="","",IF(ISNUMBER(Raw_Export!B686),Raw_Export!B686,IF(MID(TRIM(Raw_Export!B686),5,1)="-",DATE(LEFT(TRIM(Raw_Export!B686),4),MID(TRIM(Raw_Export!B686),6,2),RIGHT(TRIM(Raw_Export!B686),2)),DATE(RIGHT(TRIM(Raw_Export!B686),4),MATCH(MID(TRIM(Raw_Export!B686),4,3),{"Jan","Feb","Mar","Apr","May","Jun","Jul","Aug","Sep","Oct","Nov","Dec"},0),LEFT(TRIM(Raw_Export!B686),2)))))</f>
        <v>46269</v>
      </c>
      <c r="C686" s="36" t="str">
        <f aca="false">IF(Raw_Export!$A686="","",IFERROR(VLOOKUP(LOWER(TRIM(Raw_Export!C686)),Maps!$A$2:$B$20,2,FALSE()),"UNMAPPED"))</f>
        <v>Nakuru</v>
      </c>
      <c r="D686" s="36" t="str">
        <f aca="false">IF(Raw_Export!$A686="","",IFERROR(VLOOKUP(LOWER(TRIM(Raw_Export!D686)),Maps!$G$2:$I$80,2,FALSE()),"UNMAPPED"))</f>
        <v>Rice Pishori 2kg</v>
      </c>
      <c r="E686" s="36" t="str">
        <f aca="false">IF(Raw_Export!$A686="","",IFERROR(VLOOKUP(LOWER(TRIM(Raw_Export!D686)),Maps!$G$2:$I$80,3,FALSE()),"UNMAPPED"))</f>
        <v>Staples</v>
      </c>
      <c r="F686" s="36" t="n">
        <f aca="false">IF(Raw_Export!$A686="","",IFERROR(VALUE(TRIM(Raw_Export!E686)),0))</f>
        <v>1</v>
      </c>
      <c r="G686" s="38" t="n">
        <f aca="false">IF(Raw_Export!$A686="","",IFERROR(VALUE(SUBSTITUTE(SUBSTITUTE(UPPER(TRIM(Raw_Export!F686)),"KES",""),",","")),0))</f>
        <v>420</v>
      </c>
      <c r="H686" s="38" t="n">
        <f aca="false">IF(Raw_Export!$A686="","",F686*G686)</f>
        <v>420</v>
      </c>
      <c r="I686" s="36" t="str">
        <f aca="false">IF(Raw_Export!$A686="","",IFERROR(VLOOKUP(LOWER(TRIM(Raw_Export!H686)),Maps!$D$2:$E$12,2,FALSE()),"Other"))</f>
        <v>Card</v>
      </c>
      <c r="J686" s="36" t="str">
        <f aca="false">IF(Raw_Export!$A686="","",IF(COUNTIF($A$2:A686,A686)&gt;1,"Duplicate",""))</f>
        <v/>
      </c>
      <c r="K686" s="36" t="str">
        <f aca="false">IF(Raw_Export!$A686="","",IF(J686="Duplicate","Duplicate",IF(OR(C686="UNMAPPED",D686="UNMAPPED"),"Unmapped",IF(F686=0,"Blank qty",IF(F686&lt;0,"Return","OK")))))</f>
        <v>OK</v>
      </c>
      <c r="L686" s="36" t="n">
        <f aca="false">IF(Raw_Export!$A686="","",IF(OR(K686="OK",K686="Return"),1,0))</f>
        <v>1</v>
      </c>
      <c r="M686" s="37" t="n">
        <f aca="false">IF(Raw_Export!$A686="","",B686-WEEKDAY(B686,2)+1)</f>
        <v>46265</v>
      </c>
    </row>
    <row r="687" customFormat="false" ht="15" hidden="false" customHeight="false" outlineLevel="0" collapsed="false">
      <c r="A687" s="36" t="str">
        <f aca="false">IF(Raw_Export!$A687="","",TRIM(Raw_Export!A687))</f>
        <v>TXN-100672</v>
      </c>
      <c r="B687" s="37" t="n">
        <f aca="false">IF(Raw_Export!$A687="","",IF(ISNUMBER(Raw_Export!B687),Raw_Export!B687,IF(MID(TRIM(Raw_Export!B687),5,1)="-",DATE(LEFT(TRIM(Raw_Export!B687),4),MID(TRIM(Raw_Export!B687),6,2),RIGHT(TRIM(Raw_Export!B687),2)),DATE(RIGHT(TRIM(Raw_Export!B687),4),MATCH(MID(TRIM(Raw_Export!B687),4,3),{"Jan","Feb","Mar","Apr","May","Jun","Jul","Aug","Sep","Oct","Nov","Dec"},0),LEFT(TRIM(Raw_Export!B687),2)))))</f>
        <v>46269</v>
      </c>
      <c r="C687" s="36" t="str">
        <f aca="false">IF(Raw_Export!$A687="","",IFERROR(VLOOKUP(LOWER(TRIM(Raw_Export!C687)),Maps!$A$2:$B$20,2,FALSE()),"UNMAPPED"))</f>
        <v>Nakuru</v>
      </c>
      <c r="D687" s="36" t="str">
        <f aca="false">IF(Raw_Export!$A687="","",IFERROR(VLOOKUP(LOWER(TRIM(Raw_Export!D687)),Maps!$G$2:$I$80,2,FALSE()),"UNMAPPED"))</f>
        <v>Washing Powder 1kg</v>
      </c>
      <c r="E687" s="36" t="str">
        <f aca="false">IF(Raw_Export!$A687="","",IFERROR(VLOOKUP(LOWER(TRIM(Raw_Export!D687)),Maps!$G$2:$I$80,3,FALSE()),"UNMAPPED"))</f>
        <v>Household</v>
      </c>
      <c r="F687" s="36" t="n">
        <f aca="false">IF(Raw_Export!$A687="","",IFERROR(VALUE(TRIM(Raw_Export!E687)),0))</f>
        <v>1</v>
      </c>
      <c r="G687" s="38" t="n">
        <f aca="false">IF(Raw_Export!$A687="","",IFERROR(VALUE(SUBSTITUTE(SUBSTITUTE(UPPER(TRIM(Raw_Export!F687)),"KES",""),",","")),0))</f>
        <v>280</v>
      </c>
      <c r="H687" s="38" t="n">
        <f aca="false">IF(Raw_Export!$A687="","",F687*G687)</f>
        <v>280</v>
      </c>
      <c r="I687" s="36" t="str">
        <f aca="false">IF(Raw_Export!$A687="","",IFERROR(VLOOKUP(LOWER(TRIM(Raw_Export!H687)),Maps!$D$2:$E$12,2,FALSE()),"Other"))</f>
        <v>M-Pesa</v>
      </c>
      <c r="J687" s="36" t="str">
        <f aca="false">IF(Raw_Export!$A687="","",IF(COUNTIF($A$2:A687,A687)&gt;1,"Duplicate",""))</f>
        <v/>
      </c>
      <c r="K687" s="36" t="str">
        <f aca="false">IF(Raw_Export!$A687="","",IF(J687="Duplicate","Duplicate",IF(OR(C687="UNMAPPED",D687="UNMAPPED"),"Unmapped",IF(F687=0,"Blank qty",IF(F687&lt;0,"Return","OK")))))</f>
        <v>OK</v>
      </c>
      <c r="L687" s="36" t="n">
        <f aca="false">IF(Raw_Export!$A687="","",IF(OR(K687="OK",K687="Return"),1,0))</f>
        <v>1</v>
      </c>
      <c r="M687" s="37" t="n">
        <f aca="false">IF(Raw_Export!$A687="","",B687-WEEKDAY(B687,2)+1)</f>
        <v>46265</v>
      </c>
    </row>
    <row r="688" customFormat="false" ht="15" hidden="false" customHeight="false" outlineLevel="0" collapsed="false">
      <c r="A688" s="36" t="str">
        <f aca="false">IF(Raw_Export!$A688="","",TRIM(Raw_Export!A688))</f>
        <v>TXN-100673</v>
      </c>
      <c r="B688" s="37" t="n">
        <f aca="false">IF(Raw_Export!$A688="","",IF(ISNUMBER(Raw_Export!B688),Raw_Export!B688,IF(MID(TRIM(Raw_Export!B688),5,1)="-",DATE(LEFT(TRIM(Raw_Export!B688),4),MID(TRIM(Raw_Export!B688),6,2),RIGHT(TRIM(Raw_Export!B688),2)),DATE(RIGHT(TRIM(Raw_Export!B688),4),MATCH(MID(TRIM(Raw_Export!B688),4,3),{"Jan","Feb","Mar","Apr","May","Jun","Jul","Aug","Sep","Oct","Nov","Dec"},0),LEFT(TRIM(Raw_Export!B688),2)))))</f>
        <v>46269</v>
      </c>
      <c r="C688" s="36" t="str">
        <f aca="false">IF(Raw_Export!$A688="","",IFERROR(VLOOKUP(LOWER(TRIM(Raw_Export!C688)),Maps!$A$2:$B$20,2,FALSE()),"UNMAPPED"))</f>
        <v>Nakuru</v>
      </c>
      <c r="D688" s="36" t="str">
        <f aca="false">IF(Raw_Export!$A688="","",IFERROR(VLOOKUP(LOWER(TRIM(Raw_Export!D688)),Maps!$G$2:$I$80,2,FALSE()),"UNMAPPED"))</f>
        <v>Spaghetti 400g</v>
      </c>
      <c r="E688" s="36" t="str">
        <f aca="false">IF(Raw_Export!$A688="","",IFERROR(VLOOKUP(LOWER(TRIM(Raw_Export!D688)),Maps!$G$2:$I$80,3,FALSE()),"UNMAPPED"))</f>
        <v>Staples</v>
      </c>
      <c r="F688" s="36" t="n">
        <f aca="false">IF(Raw_Export!$A688="","",IFERROR(VALUE(TRIM(Raw_Export!E688)),0))</f>
        <v>1</v>
      </c>
      <c r="G688" s="38" t="n">
        <f aca="false">IF(Raw_Export!$A688="","",IFERROR(VALUE(SUBSTITUTE(SUBSTITUTE(UPPER(TRIM(Raw_Export!F688)),"KES",""),",","")),0))</f>
        <v>110</v>
      </c>
      <c r="H688" s="38" t="n">
        <f aca="false">IF(Raw_Export!$A688="","",F688*G688)</f>
        <v>110</v>
      </c>
      <c r="I688" s="36" t="str">
        <f aca="false">IF(Raw_Export!$A688="","",IFERROR(VLOOKUP(LOWER(TRIM(Raw_Export!H688)),Maps!$D$2:$E$12,2,FALSE()),"Other"))</f>
        <v>M-Pesa</v>
      </c>
      <c r="J688" s="36" t="str">
        <f aca="false">IF(Raw_Export!$A688="","",IF(COUNTIF($A$2:A688,A688)&gt;1,"Duplicate",""))</f>
        <v/>
      </c>
      <c r="K688" s="36" t="str">
        <f aca="false">IF(Raw_Export!$A688="","",IF(J688="Duplicate","Duplicate",IF(OR(C688="UNMAPPED",D688="UNMAPPED"),"Unmapped",IF(F688=0,"Blank qty",IF(F688&lt;0,"Return","OK")))))</f>
        <v>OK</v>
      </c>
      <c r="L688" s="36" t="n">
        <f aca="false">IF(Raw_Export!$A688="","",IF(OR(K688="OK",K688="Return"),1,0))</f>
        <v>1</v>
      </c>
      <c r="M688" s="37" t="n">
        <f aca="false">IF(Raw_Export!$A688="","",B688-WEEKDAY(B688,2)+1)</f>
        <v>46265</v>
      </c>
    </row>
    <row r="689" customFormat="false" ht="15" hidden="false" customHeight="false" outlineLevel="0" collapsed="false">
      <c r="A689" s="36" t="str">
        <f aca="false">IF(Raw_Export!$A689="","",TRIM(Raw_Export!A689))</f>
        <v>TXN-100674</v>
      </c>
      <c r="B689" s="37" t="n">
        <f aca="false">IF(Raw_Export!$A689="","",IF(ISNUMBER(Raw_Export!B689),Raw_Export!B689,IF(MID(TRIM(Raw_Export!B689),5,1)="-",DATE(LEFT(TRIM(Raw_Export!B689),4),MID(TRIM(Raw_Export!B689),6,2),RIGHT(TRIM(Raw_Export!B689),2)),DATE(RIGHT(TRIM(Raw_Export!B689),4),MATCH(MID(TRIM(Raw_Export!B689),4,3),{"Jan","Feb","Mar","Apr","May","Jun","Jul","Aug","Sep","Oct","Nov","Dec"},0),LEFT(TRIM(Raw_Export!B689),2)))))</f>
        <v>46269</v>
      </c>
      <c r="C689" s="36" t="str">
        <f aca="false">IF(Raw_Export!$A689="","",IFERROR(VLOOKUP(LOWER(TRIM(Raw_Export!C689)),Maps!$A$2:$B$20,2,FALSE()),"UNMAPPED"))</f>
        <v>Nakuru</v>
      </c>
      <c r="D689" s="36" t="str">
        <f aca="false">IF(Raw_Export!$A689="","",IFERROR(VLOOKUP(LOWER(TRIM(Raw_Export!D689)),Maps!$G$2:$I$80,2,FALSE()),"UNMAPPED"))</f>
        <v>Sugar 2kg</v>
      </c>
      <c r="E689" s="36" t="str">
        <f aca="false">IF(Raw_Export!$A689="","",IFERROR(VLOOKUP(LOWER(TRIM(Raw_Export!D689)),Maps!$G$2:$I$80,3,FALSE()),"UNMAPPED"))</f>
        <v>Staples</v>
      </c>
      <c r="F689" s="36" t="n">
        <f aca="false">IF(Raw_Export!$A689="","",IFERROR(VALUE(TRIM(Raw_Export!E689)),0))</f>
        <v>2</v>
      </c>
      <c r="G689" s="38" t="n">
        <f aca="false">IF(Raw_Export!$A689="","",IFERROR(VALUE(SUBSTITUTE(SUBSTITUTE(UPPER(TRIM(Raw_Export!F689)),"KES",""),",","")),0))</f>
        <v>330</v>
      </c>
      <c r="H689" s="38" t="n">
        <f aca="false">IF(Raw_Export!$A689="","",F689*G689)</f>
        <v>660</v>
      </c>
      <c r="I689" s="36" t="str">
        <f aca="false">IF(Raw_Export!$A689="","",IFERROR(VLOOKUP(LOWER(TRIM(Raw_Export!H689)),Maps!$D$2:$E$12,2,FALSE()),"Other"))</f>
        <v>M-Pesa</v>
      </c>
      <c r="J689" s="36" t="str">
        <f aca="false">IF(Raw_Export!$A689="","",IF(COUNTIF($A$2:A689,A689)&gt;1,"Duplicate",""))</f>
        <v/>
      </c>
      <c r="K689" s="36" t="str">
        <f aca="false">IF(Raw_Export!$A689="","",IF(J689="Duplicate","Duplicate",IF(OR(C689="UNMAPPED",D689="UNMAPPED"),"Unmapped",IF(F689=0,"Blank qty",IF(F689&lt;0,"Return","OK")))))</f>
        <v>OK</v>
      </c>
      <c r="L689" s="36" t="n">
        <f aca="false">IF(Raw_Export!$A689="","",IF(OR(K689="OK",K689="Return"),1,0))</f>
        <v>1</v>
      </c>
      <c r="M689" s="37" t="n">
        <f aca="false">IF(Raw_Export!$A689="","",B689-WEEKDAY(B689,2)+1)</f>
        <v>46265</v>
      </c>
    </row>
    <row r="690" customFormat="false" ht="15" hidden="false" customHeight="false" outlineLevel="0" collapsed="false">
      <c r="A690" s="36" t="str">
        <f aca="false">IF(Raw_Export!$A690="","",TRIM(Raw_Export!A690))</f>
        <v>TXN-100675</v>
      </c>
      <c r="B690" s="37" t="n">
        <f aca="false">IF(Raw_Export!$A690="","",IF(ISNUMBER(Raw_Export!B690),Raw_Export!B690,IF(MID(TRIM(Raw_Export!B690),5,1)="-",DATE(LEFT(TRIM(Raw_Export!B690),4),MID(TRIM(Raw_Export!B690),6,2),RIGHT(TRIM(Raw_Export!B690),2)),DATE(RIGHT(TRIM(Raw_Export!B690),4),MATCH(MID(TRIM(Raw_Export!B690),4,3),{"Jan","Feb","Mar","Apr","May","Jun","Jul","Aug","Sep","Oct","Nov","Dec"},0),LEFT(TRIM(Raw_Export!B690),2)))))</f>
        <v>46269</v>
      </c>
      <c r="C690" s="36" t="str">
        <f aca="false">IF(Raw_Export!$A690="","",IFERROR(VLOOKUP(LOWER(TRIM(Raw_Export!C690)),Maps!$A$2:$B$20,2,FALSE()),"UNMAPPED"))</f>
        <v>Nakuru</v>
      </c>
      <c r="D690" s="36" t="str">
        <f aca="false">IF(Raw_Export!$A690="","",IFERROR(VLOOKUP(LOWER(TRIM(Raw_Export!D690)),Maps!$G$2:$I$80,2,FALSE()),"UNMAPPED"))</f>
        <v>Fresh Milk 500ml</v>
      </c>
      <c r="E690" s="36" t="str">
        <f aca="false">IF(Raw_Export!$A690="","",IFERROR(VLOOKUP(LOWER(TRIM(Raw_Export!D690)),Maps!$G$2:$I$80,3,FALSE()),"UNMAPPED"))</f>
        <v>Dairy &amp; Eggs</v>
      </c>
      <c r="F690" s="36" t="n">
        <f aca="false">IF(Raw_Export!$A690="","",IFERROR(VALUE(TRIM(Raw_Export!E690)),0))</f>
        <v>2</v>
      </c>
      <c r="G690" s="38" t="n">
        <f aca="false">IF(Raw_Export!$A690="","",IFERROR(VALUE(SUBSTITUTE(SUBSTITUTE(UPPER(TRIM(Raw_Export!F690)),"KES",""),",","")),0))</f>
        <v>65</v>
      </c>
      <c r="H690" s="38" t="n">
        <f aca="false">IF(Raw_Export!$A690="","",F690*G690)</f>
        <v>130</v>
      </c>
      <c r="I690" s="36" t="str">
        <f aca="false">IF(Raw_Export!$A690="","",IFERROR(VLOOKUP(LOWER(TRIM(Raw_Export!H690)),Maps!$D$2:$E$12,2,FALSE()),"Other"))</f>
        <v>Cash</v>
      </c>
      <c r="J690" s="36" t="str">
        <f aca="false">IF(Raw_Export!$A690="","",IF(COUNTIF($A$2:A690,A690)&gt;1,"Duplicate",""))</f>
        <v/>
      </c>
      <c r="K690" s="36" t="str">
        <f aca="false">IF(Raw_Export!$A690="","",IF(J690="Duplicate","Duplicate",IF(OR(C690="UNMAPPED",D690="UNMAPPED"),"Unmapped",IF(F690=0,"Blank qty",IF(F690&lt;0,"Return","OK")))))</f>
        <v>OK</v>
      </c>
      <c r="L690" s="36" t="n">
        <f aca="false">IF(Raw_Export!$A690="","",IF(OR(K690="OK",K690="Return"),1,0))</f>
        <v>1</v>
      </c>
      <c r="M690" s="37" t="n">
        <f aca="false">IF(Raw_Export!$A690="","",B690-WEEKDAY(B690,2)+1)</f>
        <v>46265</v>
      </c>
    </row>
    <row r="691" customFormat="false" ht="15" hidden="false" customHeight="false" outlineLevel="0" collapsed="false">
      <c r="A691" s="36" t="str">
        <f aca="false">IF(Raw_Export!$A691="","",TRIM(Raw_Export!A691))</f>
        <v>TXN-100676</v>
      </c>
      <c r="B691" s="37" t="n">
        <f aca="false">IF(Raw_Export!$A691="","",IF(ISNUMBER(Raw_Export!B691),Raw_Export!B691,IF(MID(TRIM(Raw_Export!B691),5,1)="-",DATE(LEFT(TRIM(Raw_Export!B691),4),MID(TRIM(Raw_Export!B691),6,2),RIGHT(TRIM(Raw_Export!B691),2)),DATE(RIGHT(TRIM(Raw_Export!B691),4),MATCH(MID(TRIM(Raw_Export!B691),4,3),{"Jan","Feb","Mar","Apr","May","Jun","Jul","Aug","Sep","Oct","Nov","Dec"},0),LEFT(TRIM(Raw_Export!B691),2)))))</f>
        <v>46269</v>
      </c>
      <c r="C691" s="36" t="str">
        <f aca="false">IF(Raw_Export!$A691="","",IFERROR(VLOOKUP(LOWER(TRIM(Raw_Export!C691)),Maps!$A$2:$B$20,2,FALSE()),"UNMAPPED"))</f>
        <v>Nakuru</v>
      </c>
      <c r="D691" s="36" t="str">
        <f aca="false">IF(Raw_Export!$A691="","",IFERROR(VLOOKUP(LOWER(TRIM(Raw_Export!D691)),Maps!$G$2:$I$80,2,FALSE()),"UNMAPPED"))</f>
        <v>Body Lotion 400ml</v>
      </c>
      <c r="E691" s="36" t="str">
        <f aca="false">IF(Raw_Export!$A691="","",IFERROR(VLOOKUP(LOWER(TRIM(Raw_Export!D691)),Maps!$G$2:$I$80,3,FALSE()),"UNMAPPED"))</f>
        <v>Personal Care</v>
      </c>
      <c r="F691" s="36" t="n">
        <f aca="false">IF(Raw_Export!$A691="","",IFERROR(VALUE(TRIM(Raw_Export!E691)),0))</f>
        <v>2</v>
      </c>
      <c r="G691" s="38" t="n">
        <f aca="false">IF(Raw_Export!$A691="","",IFERROR(VALUE(SUBSTITUTE(SUBSTITUTE(UPPER(TRIM(Raw_Export!F691)),"KES",""),",","")),0))</f>
        <v>420</v>
      </c>
      <c r="H691" s="38" t="n">
        <f aca="false">IF(Raw_Export!$A691="","",F691*G691)</f>
        <v>840</v>
      </c>
      <c r="I691" s="36" t="str">
        <f aca="false">IF(Raw_Export!$A691="","",IFERROR(VLOOKUP(LOWER(TRIM(Raw_Export!H691)),Maps!$D$2:$E$12,2,FALSE()),"Other"))</f>
        <v>Card</v>
      </c>
      <c r="J691" s="36" t="str">
        <f aca="false">IF(Raw_Export!$A691="","",IF(COUNTIF($A$2:A691,A691)&gt;1,"Duplicate",""))</f>
        <v/>
      </c>
      <c r="K691" s="36" t="str">
        <f aca="false">IF(Raw_Export!$A691="","",IF(J691="Duplicate","Duplicate",IF(OR(C691="UNMAPPED",D691="UNMAPPED"),"Unmapped",IF(F691=0,"Blank qty",IF(F691&lt;0,"Return","OK")))))</f>
        <v>OK</v>
      </c>
      <c r="L691" s="36" t="n">
        <f aca="false">IF(Raw_Export!$A691="","",IF(OR(K691="OK",K691="Return"),1,0))</f>
        <v>1</v>
      </c>
      <c r="M691" s="37" t="n">
        <f aca="false">IF(Raw_Export!$A691="","",B691-WEEKDAY(B691,2)+1)</f>
        <v>46265</v>
      </c>
    </row>
    <row r="692" customFormat="false" ht="15" hidden="false" customHeight="false" outlineLevel="0" collapsed="false">
      <c r="A692" s="36" t="str">
        <f aca="false">IF(Raw_Export!$A692="","",TRIM(Raw_Export!A692))</f>
        <v>TXN-100677</v>
      </c>
      <c r="B692" s="37" t="n">
        <f aca="false">IF(Raw_Export!$A692="","",IF(ISNUMBER(Raw_Export!B692),Raw_Export!B692,IF(MID(TRIM(Raw_Export!B692),5,1)="-",DATE(LEFT(TRIM(Raw_Export!B692),4),MID(TRIM(Raw_Export!B692),6,2),RIGHT(TRIM(Raw_Export!B692),2)),DATE(RIGHT(TRIM(Raw_Export!B692),4),MATCH(MID(TRIM(Raw_Export!B692),4,3),{"Jan","Feb","Mar","Apr","May","Jun","Jul","Aug","Sep","Oct","Nov","Dec"},0),LEFT(TRIM(Raw_Export!B692),2)))))</f>
        <v>46269</v>
      </c>
      <c r="C692" s="36" t="str">
        <f aca="false">IF(Raw_Export!$A692="","",IFERROR(VLOOKUP(LOWER(TRIM(Raw_Export!C692)),Maps!$A$2:$B$20,2,FALSE()),"UNMAPPED"))</f>
        <v>Nakuru</v>
      </c>
      <c r="D692" s="36" t="str">
        <f aca="false">IF(Raw_Export!$A692="","",IFERROR(VLOOKUP(LOWER(TRIM(Raw_Export!D692)),Maps!$G$2:$I$80,2,FALSE()),"UNMAPPED"))</f>
        <v>Spaghetti 400g</v>
      </c>
      <c r="E692" s="36" t="str">
        <f aca="false">IF(Raw_Export!$A692="","",IFERROR(VLOOKUP(LOWER(TRIM(Raw_Export!D692)),Maps!$G$2:$I$80,3,FALSE()),"UNMAPPED"))</f>
        <v>Staples</v>
      </c>
      <c r="F692" s="36" t="n">
        <f aca="false">IF(Raw_Export!$A692="","",IFERROR(VALUE(TRIM(Raw_Export!E692)),0))</f>
        <v>2</v>
      </c>
      <c r="G692" s="38" t="n">
        <f aca="false">IF(Raw_Export!$A692="","",IFERROR(VALUE(SUBSTITUTE(SUBSTITUTE(UPPER(TRIM(Raw_Export!F692)),"KES",""),",","")),0))</f>
        <v>110</v>
      </c>
      <c r="H692" s="38" t="n">
        <f aca="false">IF(Raw_Export!$A692="","",F692*G692)</f>
        <v>220</v>
      </c>
      <c r="I692" s="36" t="str">
        <f aca="false">IF(Raw_Export!$A692="","",IFERROR(VLOOKUP(LOWER(TRIM(Raw_Export!H692)),Maps!$D$2:$E$12,2,FALSE()),"Other"))</f>
        <v>Cash</v>
      </c>
      <c r="J692" s="36" t="str">
        <f aca="false">IF(Raw_Export!$A692="","",IF(COUNTIF($A$2:A692,A692)&gt;1,"Duplicate",""))</f>
        <v/>
      </c>
      <c r="K692" s="36" t="str">
        <f aca="false">IF(Raw_Export!$A692="","",IF(J692="Duplicate","Duplicate",IF(OR(C692="UNMAPPED",D692="UNMAPPED"),"Unmapped",IF(F692=0,"Blank qty",IF(F692&lt;0,"Return","OK")))))</f>
        <v>OK</v>
      </c>
      <c r="L692" s="36" t="n">
        <f aca="false">IF(Raw_Export!$A692="","",IF(OR(K692="OK",K692="Return"),1,0))</f>
        <v>1</v>
      </c>
      <c r="M692" s="37" t="n">
        <f aca="false">IF(Raw_Export!$A692="","",B692-WEEKDAY(B692,2)+1)</f>
        <v>46265</v>
      </c>
    </row>
    <row r="693" customFormat="false" ht="15" hidden="false" customHeight="false" outlineLevel="0" collapsed="false">
      <c r="A693" s="36" t="str">
        <f aca="false">IF(Raw_Export!$A693="","",TRIM(Raw_Export!A693))</f>
        <v>TXN-100678</v>
      </c>
      <c r="B693" s="37" t="n">
        <f aca="false">IF(Raw_Export!$A693="","",IF(ISNUMBER(Raw_Export!B693),Raw_Export!B693,IF(MID(TRIM(Raw_Export!B693),5,1)="-",DATE(LEFT(TRIM(Raw_Export!B693),4),MID(TRIM(Raw_Export!B693),6,2),RIGHT(TRIM(Raw_Export!B693),2)),DATE(RIGHT(TRIM(Raw_Export!B693),4),MATCH(MID(TRIM(Raw_Export!B693),4,3),{"Jan","Feb","Mar","Apr","May","Jun","Jul","Aug","Sep","Oct","Nov","Dec"},0),LEFT(TRIM(Raw_Export!B693),2)))))</f>
        <v>46269</v>
      </c>
      <c r="C693" s="36" t="str">
        <f aca="false">IF(Raw_Export!$A693="","",IFERROR(VLOOKUP(LOWER(TRIM(Raw_Export!C693)),Maps!$A$2:$B$20,2,FALSE()),"UNMAPPED"))</f>
        <v>Nakuru</v>
      </c>
      <c r="D693" s="36" t="str">
        <f aca="false">IF(Raw_Export!$A693="","",IFERROR(VLOOKUP(LOWER(TRIM(Raw_Export!D693)),Maps!$G$2:$I$80,2,FALSE()),"UNMAPPED"))</f>
        <v>Spaghetti 400g</v>
      </c>
      <c r="E693" s="36" t="str">
        <f aca="false">IF(Raw_Export!$A693="","",IFERROR(VLOOKUP(LOWER(TRIM(Raw_Export!D693)),Maps!$G$2:$I$80,3,FALSE()),"UNMAPPED"))</f>
        <v>Staples</v>
      </c>
      <c r="F693" s="36" t="n">
        <f aca="false">IF(Raw_Export!$A693="","",IFERROR(VALUE(TRIM(Raw_Export!E693)),0))</f>
        <v>1</v>
      </c>
      <c r="G693" s="38" t="n">
        <f aca="false">IF(Raw_Export!$A693="","",IFERROR(VALUE(SUBSTITUTE(SUBSTITUTE(UPPER(TRIM(Raw_Export!F693)),"KES",""),",","")),0))</f>
        <v>110</v>
      </c>
      <c r="H693" s="38" t="n">
        <f aca="false">IF(Raw_Export!$A693="","",F693*G693)</f>
        <v>110</v>
      </c>
      <c r="I693" s="36" t="str">
        <f aca="false">IF(Raw_Export!$A693="","",IFERROR(VLOOKUP(LOWER(TRIM(Raw_Export!H693)),Maps!$D$2:$E$12,2,FALSE()),"Other"))</f>
        <v>M-Pesa</v>
      </c>
      <c r="J693" s="36" t="str">
        <f aca="false">IF(Raw_Export!$A693="","",IF(COUNTIF($A$2:A693,A693)&gt;1,"Duplicate",""))</f>
        <v/>
      </c>
      <c r="K693" s="36" t="str">
        <f aca="false">IF(Raw_Export!$A693="","",IF(J693="Duplicate","Duplicate",IF(OR(C693="UNMAPPED",D693="UNMAPPED"),"Unmapped",IF(F693=0,"Blank qty",IF(F693&lt;0,"Return","OK")))))</f>
        <v>OK</v>
      </c>
      <c r="L693" s="36" t="n">
        <f aca="false">IF(Raw_Export!$A693="","",IF(OR(K693="OK",K693="Return"),1,0))</f>
        <v>1</v>
      </c>
      <c r="M693" s="37" t="n">
        <f aca="false">IF(Raw_Export!$A693="","",B693-WEEKDAY(B693,2)+1)</f>
        <v>46265</v>
      </c>
    </row>
    <row r="694" customFormat="false" ht="15" hidden="false" customHeight="false" outlineLevel="0" collapsed="false">
      <c r="A694" s="36" t="str">
        <f aca="false">IF(Raw_Export!$A694="","",TRIM(Raw_Export!A694))</f>
        <v>TXN-100679</v>
      </c>
      <c r="B694" s="37" t="n">
        <f aca="false">IF(Raw_Export!$A694="","",IF(ISNUMBER(Raw_Export!B694),Raw_Export!B694,IF(MID(TRIM(Raw_Export!B694),5,1)="-",DATE(LEFT(TRIM(Raw_Export!B694),4),MID(TRIM(Raw_Export!B694),6,2),RIGHT(TRIM(Raw_Export!B694),2)),DATE(RIGHT(TRIM(Raw_Export!B694),4),MATCH(MID(TRIM(Raw_Export!B694),4,3),{"Jan","Feb","Mar","Apr","May","Jun","Jul","Aug","Sep","Oct","Nov","Dec"},0),LEFT(TRIM(Raw_Export!B694),2)))))</f>
        <v>46269</v>
      </c>
      <c r="C694" s="36" t="str">
        <f aca="false">IF(Raw_Export!$A694="","",IFERROR(VLOOKUP(LOWER(TRIM(Raw_Export!C694)),Maps!$A$2:$B$20,2,FALSE()),"UNMAPPED"))</f>
        <v>Nakuru</v>
      </c>
      <c r="D694" s="36" t="str">
        <f aca="false">IF(Raw_Export!$A694="","",IFERROR(VLOOKUP(LOWER(TRIM(Raw_Export!D694)),Maps!$G$2:$I$80,2,FALSE()),"UNMAPPED"))</f>
        <v>Cheddar 200g</v>
      </c>
      <c r="E694" s="36" t="str">
        <f aca="false">IF(Raw_Export!$A694="","",IFERROR(VLOOKUP(LOWER(TRIM(Raw_Export!D694)),Maps!$G$2:$I$80,3,FALSE()),"UNMAPPED"))</f>
        <v>Dairy &amp; Eggs</v>
      </c>
      <c r="F694" s="36" t="n">
        <f aca="false">IF(Raw_Export!$A694="","",IFERROR(VALUE(TRIM(Raw_Export!E694)),0))</f>
        <v>2</v>
      </c>
      <c r="G694" s="38" t="n">
        <f aca="false">IF(Raw_Export!$A694="","",IFERROR(VALUE(SUBSTITUTE(SUBSTITUTE(UPPER(TRIM(Raw_Export!F694)),"KES",""),",","")),0))</f>
        <v>380</v>
      </c>
      <c r="H694" s="38" t="n">
        <f aca="false">IF(Raw_Export!$A694="","",F694*G694)</f>
        <v>760</v>
      </c>
      <c r="I694" s="36" t="str">
        <f aca="false">IF(Raw_Export!$A694="","",IFERROR(VLOOKUP(LOWER(TRIM(Raw_Export!H694)),Maps!$D$2:$E$12,2,FALSE()),"Other"))</f>
        <v>M-Pesa</v>
      </c>
      <c r="J694" s="36" t="str">
        <f aca="false">IF(Raw_Export!$A694="","",IF(COUNTIF($A$2:A694,A694)&gt;1,"Duplicate",""))</f>
        <v/>
      </c>
      <c r="K694" s="36" t="str">
        <f aca="false">IF(Raw_Export!$A694="","",IF(J694="Duplicate","Duplicate",IF(OR(C694="UNMAPPED",D694="UNMAPPED"),"Unmapped",IF(F694=0,"Blank qty",IF(F694&lt;0,"Return","OK")))))</f>
        <v>OK</v>
      </c>
      <c r="L694" s="36" t="n">
        <f aca="false">IF(Raw_Export!$A694="","",IF(OR(K694="OK",K694="Return"),1,0))</f>
        <v>1</v>
      </c>
      <c r="M694" s="37" t="n">
        <f aca="false">IF(Raw_Export!$A694="","",B694-WEEKDAY(B694,2)+1)</f>
        <v>46265</v>
      </c>
    </row>
    <row r="695" customFormat="false" ht="15" hidden="false" customHeight="false" outlineLevel="0" collapsed="false">
      <c r="A695" s="36" t="str">
        <f aca="false">IF(Raw_Export!$A695="","",TRIM(Raw_Export!A695))</f>
        <v>TXN-100680</v>
      </c>
      <c r="B695" s="37" t="n">
        <f aca="false">IF(Raw_Export!$A695="","",IF(ISNUMBER(Raw_Export!B695),Raw_Export!B695,IF(MID(TRIM(Raw_Export!B695),5,1)="-",DATE(LEFT(TRIM(Raw_Export!B695),4),MID(TRIM(Raw_Export!B695),6,2),RIGHT(TRIM(Raw_Export!B695),2)),DATE(RIGHT(TRIM(Raw_Export!B695),4),MATCH(MID(TRIM(Raw_Export!B695),4,3),{"Jan","Feb","Mar","Apr","May","Jun","Jul","Aug","Sep","Oct","Nov","Dec"},0),LEFT(TRIM(Raw_Export!B695),2)))))</f>
        <v>46269</v>
      </c>
      <c r="C695" s="36" t="str">
        <f aca="false">IF(Raw_Export!$A695="","",IFERROR(VLOOKUP(LOWER(TRIM(Raw_Export!C695)),Maps!$A$2:$B$20,2,FALSE()),"UNMAPPED"))</f>
        <v>Nakuru</v>
      </c>
      <c r="D695" s="36" t="str">
        <f aca="false">IF(Raw_Export!$A695="","",IFERROR(VLOOKUP(LOWER(TRIM(Raw_Export!D695)),Maps!$G$2:$I$80,2,FALSE()),"UNMAPPED"))</f>
        <v>Fresh Milk 500ml</v>
      </c>
      <c r="E695" s="36" t="str">
        <f aca="false">IF(Raw_Export!$A695="","",IFERROR(VLOOKUP(LOWER(TRIM(Raw_Export!D695)),Maps!$G$2:$I$80,3,FALSE()),"UNMAPPED"))</f>
        <v>Dairy &amp; Eggs</v>
      </c>
      <c r="F695" s="36" t="n">
        <f aca="false">IF(Raw_Export!$A695="","",IFERROR(VALUE(TRIM(Raw_Export!E695)),0))</f>
        <v>4</v>
      </c>
      <c r="G695" s="38" t="n">
        <f aca="false">IF(Raw_Export!$A695="","",IFERROR(VALUE(SUBSTITUTE(SUBSTITUTE(UPPER(TRIM(Raw_Export!F695)),"KES",""),",","")),0))</f>
        <v>65</v>
      </c>
      <c r="H695" s="38" t="n">
        <f aca="false">IF(Raw_Export!$A695="","",F695*G695)</f>
        <v>260</v>
      </c>
      <c r="I695" s="36" t="str">
        <f aca="false">IF(Raw_Export!$A695="","",IFERROR(VLOOKUP(LOWER(TRIM(Raw_Export!H695)),Maps!$D$2:$E$12,2,FALSE()),"Other"))</f>
        <v>Cash</v>
      </c>
      <c r="J695" s="36" t="str">
        <f aca="false">IF(Raw_Export!$A695="","",IF(COUNTIF($A$2:A695,A695)&gt;1,"Duplicate",""))</f>
        <v/>
      </c>
      <c r="K695" s="36" t="str">
        <f aca="false">IF(Raw_Export!$A695="","",IF(J695="Duplicate","Duplicate",IF(OR(C695="UNMAPPED",D695="UNMAPPED"),"Unmapped",IF(F695=0,"Blank qty",IF(F695&lt;0,"Return","OK")))))</f>
        <v>OK</v>
      </c>
      <c r="L695" s="36" t="n">
        <f aca="false">IF(Raw_Export!$A695="","",IF(OR(K695="OK",K695="Return"),1,0))</f>
        <v>1</v>
      </c>
      <c r="M695" s="37" t="n">
        <f aca="false">IF(Raw_Export!$A695="","",B695-WEEKDAY(B695,2)+1)</f>
        <v>46265</v>
      </c>
    </row>
    <row r="696" customFormat="false" ht="15" hidden="false" customHeight="false" outlineLevel="0" collapsed="false">
      <c r="A696" s="36" t="str">
        <f aca="false">IF(Raw_Export!$A696="","",TRIM(Raw_Export!A696))</f>
        <v>TXN-100681</v>
      </c>
      <c r="B696" s="37" t="n">
        <f aca="false">IF(Raw_Export!$A696="","",IF(ISNUMBER(Raw_Export!B696),Raw_Export!B696,IF(MID(TRIM(Raw_Export!B696),5,1)="-",DATE(LEFT(TRIM(Raw_Export!B696),4),MID(TRIM(Raw_Export!B696),6,2),RIGHT(TRIM(Raw_Export!B696),2)),DATE(RIGHT(TRIM(Raw_Export!B696),4),MATCH(MID(TRIM(Raw_Export!B696),4,3),{"Jan","Feb","Mar","Apr","May","Jun","Jul","Aug","Sep","Oct","Nov","Dec"},0),LEFT(TRIM(Raw_Export!B696),2)))))</f>
        <v>46269</v>
      </c>
      <c r="C696" s="36" t="str">
        <f aca="false">IF(Raw_Export!$A696="","",IFERROR(VLOOKUP(LOWER(TRIM(Raw_Export!C696)),Maps!$A$2:$B$20,2,FALSE()),"UNMAPPED"))</f>
        <v>Nakuru</v>
      </c>
      <c r="D696" s="36" t="str">
        <f aca="false">IF(Raw_Export!$A696="","",IFERROR(VLOOKUP(LOWER(TRIM(Raw_Export!D696)),Maps!$G$2:$I$80,2,FALSE()),"UNMAPPED"))</f>
        <v>Peanuts 250g</v>
      </c>
      <c r="E696" s="36" t="str">
        <f aca="false">IF(Raw_Export!$A696="","",IFERROR(VLOOKUP(LOWER(TRIM(Raw_Export!D696)),Maps!$G$2:$I$80,3,FALSE()),"UNMAPPED"))</f>
        <v>Snacks</v>
      </c>
      <c r="F696" s="36" t="n">
        <f aca="false">IF(Raw_Export!$A696="","",IFERROR(VALUE(TRIM(Raw_Export!E696)),0))</f>
        <v>3</v>
      </c>
      <c r="G696" s="38" t="n">
        <f aca="false">IF(Raw_Export!$A696="","",IFERROR(VALUE(SUBSTITUTE(SUBSTITUTE(UPPER(TRIM(Raw_Export!F696)),"KES",""),",","")),0))</f>
        <v>130</v>
      </c>
      <c r="H696" s="38" t="n">
        <f aca="false">IF(Raw_Export!$A696="","",F696*G696)</f>
        <v>390</v>
      </c>
      <c r="I696" s="36" t="str">
        <f aca="false">IF(Raw_Export!$A696="","",IFERROR(VLOOKUP(LOWER(TRIM(Raw_Export!H696)),Maps!$D$2:$E$12,2,FALSE()),"Other"))</f>
        <v>M-Pesa</v>
      </c>
      <c r="J696" s="36" t="str">
        <f aca="false">IF(Raw_Export!$A696="","",IF(COUNTIF($A$2:A696,A696)&gt;1,"Duplicate",""))</f>
        <v/>
      </c>
      <c r="K696" s="36" t="str">
        <f aca="false">IF(Raw_Export!$A696="","",IF(J696="Duplicate","Duplicate",IF(OR(C696="UNMAPPED",D696="UNMAPPED"),"Unmapped",IF(F696=0,"Blank qty",IF(F696&lt;0,"Return","OK")))))</f>
        <v>OK</v>
      </c>
      <c r="L696" s="36" t="n">
        <f aca="false">IF(Raw_Export!$A696="","",IF(OR(K696="OK",K696="Return"),1,0))</f>
        <v>1</v>
      </c>
      <c r="M696" s="37" t="n">
        <f aca="false">IF(Raw_Export!$A696="","",B696-WEEKDAY(B696,2)+1)</f>
        <v>46265</v>
      </c>
    </row>
    <row r="697" customFormat="false" ht="15" hidden="false" customHeight="false" outlineLevel="0" collapsed="false">
      <c r="A697" s="36" t="str">
        <f aca="false">IF(Raw_Export!$A697="","",TRIM(Raw_Export!A697))</f>
        <v>TXN-100682</v>
      </c>
      <c r="B697" s="37" t="n">
        <f aca="false">IF(Raw_Export!$A697="","",IF(ISNUMBER(Raw_Export!B697),Raw_Export!B697,IF(MID(TRIM(Raw_Export!B697),5,1)="-",DATE(LEFT(TRIM(Raw_Export!B697),4),MID(TRIM(Raw_Export!B697),6,2),RIGHT(TRIM(Raw_Export!B697),2)),DATE(RIGHT(TRIM(Raw_Export!B697),4),MATCH(MID(TRIM(Raw_Export!B697),4,3),{"Jan","Feb","Mar","Apr","May","Jun","Jul","Aug","Sep","Oct","Nov","Dec"},0),LEFT(TRIM(Raw_Export!B697),2)))))</f>
        <v>46269</v>
      </c>
      <c r="C697" s="36" t="str">
        <f aca="false">IF(Raw_Export!$A697="","",IFERROR(VLOOKUP(LOWER(TRIM(Raw_Export!C697)),Maps!$A$2:$B$20,2,FALSE()),"UNMAPPED"))</f>
        <v>Nakuru</v>
      </c>
      <c r="D697" s="36" t="str">
        <f aca="false">IF(Raw_Export!$A697="","",IFERROR(VLOOKUP(LOWER(TRIM(Raw_Export!D697)),Maps!$G$2:$I$80,2,FALSE()),"UNMAPPED"))</f>
        <v>Soda 500ml</v>
      </c>
      <c r="E697" s="36" t="str">
        <f aca="false">IF(Raw_Export!$A697="","",IFERROR(VLOOKUP(LOWER(TRIM(Raw_Export!D697)),Maps!$G$2:$I$80,3,FALSE()),"UNMAPPED"))</f>
        <v>Beverages</v>
      </c>
      <c r="F697" s="36" t="n">
        <f aca="false">IF(Raw_Export!$A697="","",IFERROR(VALUE(TRIM(Raw_Export!E697)),0))</f>
        <v>1</v>
      </c>
      <c r="G697" s="38" t="n">
        <f aca="false">IF(Raw_Export!$A697="","",IFERROR(VALUE(SUBSTITUTE(SUBSTITUTE(UPPER(TRIM(Raw_Export!F697)),"KES",""),",","")),0))</f>
        <v>60</v>
      </c>
      <c r="H697" s="38" t="n">
        <f aca="false">IF(Raw_Export!$A697="","",F697*G697)</f>
        <v>60</v>
      </c>
      <c r="I697" s="36" t="str">
        <f aca="false">IF(Raw_Export!$A697="","",IFERROR(VLOOKUP(LOWER(TRIM(Raw_Export!H697)),Maps!$D$2:$E$12,2,FALSE()),"Other"))</f>
        <v>Card</v>
      </c>
      <c r="J697" s="36" t="str">
        <f aca="false">IF(Raw_Export!$A697="","",IF(COUNTIF($A$2:A697,A697)&gt;1,"Duplicate",""))</f>
        <v/>
      </c>
      <c r="K697" s="36" t="str">
        <f aca="false">IF(Raw_Export!$A697="","",IF(J697="Duplicate","Duplicate",IF(OR(C697="UNMAPPED",D697="UNMAPPED"),"Unmapped",IF(F697=0,"Blank qty",IF(F697&lt;0,"Return","OK")))))</f>
        <v>OK</v>
      </c>
      <c r="L697" s="36" t="n">
        <f aca="false">IF(Raw_Export!$A697="","",IF(OR(K697="OK",K697="Return"),1,0))</f>
        <v>1</v>
      </c>
      <c r="M697" s="37" t="n">
        <f aca="false">IF(Raw_Export!$A697="","",B697-WEEKDAY(B697,2)+1)</f>
        <v>46265</v>
      </c>
    </row>
    <row r="698" customFormat="false" ht="15" hidden="false" customHeight="false" outlineLevel="0" collapsed="false">
      <c r="A698" s="36" t="str">
        <f aca="false">IF(Raw_Export!$A698="","",TRIM(Raw_Export!A698))</f>
        <v>TXN-100683</v>
      </c>
      <c r="B698" s="37" t="n">
        <f aca="false">IF(Raw_Export!$A698="","",IF(ISNUMBER(Raw_Export!B698),Raw_Export!B698,IF(MID(TRIM(Raw_Export!B698),5,1)="-",DATE(LEFT(TRIM(Raw_Export!B698),4),MID(TRIM(Raw_Export!B698),6,2),RIGHT(TRIM(Raw_Export!B698),2)),DATE(RIGHT(TRIM(Raw_Export!B698),4),MATCH(MID(TRIM(Raw_Export!B698),4,3),{"Jan","Feb","Mar","Apr","May","Jun","Jul","Aug","Sep","Oct","Nov","Dec"},0),LEFT(TRIM(Raw_Export!B698),2)))))</f>
        <v>46269</v>
      </c>
      <c r="C698" s="36" t="str">
        <f aca="false">IF(Raw_Export!$A698="","",IFERROR(VLOOKUP(LOWER(TRIM(Raw_Export!C698)),Maps!$A$2:$B$20,2,FALSE()),"UNMAPPED"))</f>
        <v>Nakuru</v>
      </c>
      <c r="D698" s="36" t="str">
        <f aca="false">IF(Raw_Export!$A698="","",IFERROR(VLOOKUP(LOWER(TRIM(Raw_Export!D698)),Maps!$G$2:$I$80,2,FALSE()),"UNMAPPED"))</f>
        <v>Bread Loaf 400g</v>
      </c>
      <c r="E698" s="36" t="str">
        <f aca="false">IF(Raw_Export!$A698="","",IFERROR(VLOOKUP(LOWER(TRIM(Raw_Export!D698)),Maps!$G$2:$I$80,3,FALSE()),"UNMAPPED"))</f>
        <v>Snacks</v>
      </c>
      <c r="F698" s="36" t="n">
        <f aca="false">IF(Raw_Export!$A698="","",IFERROR(VALUE(TRIM(Raw_Export!E698)),0))</f>
        <v>1</v>
      </c>
      <c r="G698" s="38" t="n">
        <f aca="false">IF(Raw_Export!$A698="","",IFERROR(VALUE(SUBSTITUTE(SUBSTITUTE(UPPER(TRIM(Raw_Export!F698)),"KES",""),",","")),0))</f>
        <v>65</v>
      </c>
      <c r="H698" s="38" t="n">
        <f aca="false">IF(Raw_Export!$A698="","",F698*G698)</f>
        <v>65</v>
      </c>
      <c r="I698" s="36" t="str">
        <f aca="false">IF(Raw_Export!$A698="","",IFERROR(VLOOKUP(LOWER(TRIM(Raw_Export!H698)),Maps!$D$2:$E$12,2,FALSE()),"Other"))</f>
        <v>M-Pesa</v>
      </c>
      <c r="J698" s="36" t="str">
        <f aca="false">IF(Raw_Export!$A698="","",IF(COUNTIF($A$2:A698,A698)&gt;1,"Duplicate",""))</f>
        <v/>
      </c>
      <c r="K698" s="36" t="str">
        <f aca="false">IF(Raw_Export!$A698="","",IF(J698="Duplicate","Duplicate",IF(OR(C698="UNMAPPED",D698="UNMAPPED"),"Unmapped",IF(F698=0,"Blank qty",IF(F698&lt;0,"Return","OK")))))</f>
        <v>OK</v>
      </c>
      <c r="L698" s="36" t="n">
        <f aca="false">IF(Raw_Export!$A698="","",IF(OR(K698="OK",K698="Return"),1,0))</f>
        <v>1</v>
      </c>
      <c r="M698" s="37" t="n">
        <f aca="false">IF(Raw_Export!$A698="","",B698-WEEKDAY(B698,2)+1)</f>
        <v>46265</v>
      </c>
    </row>
    <row r="699" customFormat="false" ht="15" hidden="false" customHeight="false" outlineLevel="0" collapsed="false">
      <c r="A699" s="36" t="str">
        <f aca="false">IF(Raw_Export!$A699="","",TRIM(Raw_Export!A699))</f>
        <v>TXN-100684</v>
      </c>
      <c r="B699" s="37" t="n">
        <f aca="false">IF(Raw_Export!$A699="","",IF(ISNUMBER(Raw_Export!B699),Raw_Export!B699,IF(MID(TRIM(Raw_Export!B699),5,1)="-",DATE(LEFT(TRIM(Raw_Export!B699),4),MID(TRIM(Raw_Export!B699),6,2),RIGHT(TRIM(Raw_Export!B699),2)),DATE(RIGHT(TRIM(Raw_Export!B699),4),MATCH(MID(TRIM(Raw_Export!B699),4,3),{"Jan","Feb","Mar","Apr","May","Jun","Jul","Aug","Sep","Oct","Nov","Dec"},0),LEFT(TRIM(Raw_Export!B699),2)))))</f>
        <v>46269</v>
      </c>
      <c r="C699" s="36" t="str">
        <f aca="false">IF(Raw_Export!$A699="","",IFERROR(VLOOKUP(LOWER(TRIM(Raw_Export!C699)),Maps!$A$2:$B$20,2,FALSE()),"UNMAPPED"))</f>
        <v>Nakuru</v>
      </c>
      <c r="D699" s="36" t="str">
        <f aca="false">IF(Raw_Export!$A699="","",IFERROR(VLOOKUP(LOWER(TRIM(Raw_Export!D699)),Maps!$G$2:$I$80,2,FALSE()),"UNMAPPED"))</f>
        <v>Toothpaste 100g</v>
      </c>
      <c r="E699" s="36" t="str">
        <f aca="false">IF(Raw_Export!$A699="","",IFERROR(VLOOKUP(LOWER(TRIM(Raw_Export!D699)),Maps!$G$2:$I$80,3,FALSE()),"UNMAPPED"))</f>
        <v>Personal Care</v>
      </c>
      <c r="F699" s="36" t="n">
        <f aca="false">IF(Raw_Export!$A699="","",IFERROR(VALUE(TRIM(Raw_Export!E699)),0))</f>
        <v>1</v>
      </c>
      <c r="G699" s="38" t="n">
        <f aca="false">IF(Raw_Export!$A699="","",IFERROR(VALUE(SUBSTITUTE(SUBSTITUTE(UPPER(TRIM(Raw_Export!F699)),"KES",""),",","")),0))</f>
        <v>195</v>
      </c>
      <c r="H699" s="38" t="n">
        <f aca="false">IF(Raw_Export!$A699="","",F699*G699)</f>
        <v>195</v>
      </c>
      <c r="I699" s="36" t="str">
        <f aca="false">IF(Raw_Export!$A699="","",IFERROR(VLOOKUP(LOWER(TRIM(Raw_Export!H699)),Maps!$D$2:$E$12,2,FALSE()),"Other"))</f>
        <v>M-Pesa</v>
      </c>
      <c r="J699" s="36" t="str">
        <f aca="false">IF(Raw_Export!$A699="","",IF(COUNTIF($A$2:A699,A699)&gt;1,"Duplicate",""))</f>
        <v/>
      </c>
      <c r="K699" s="36" t="str">
        <f aca="false">IF(Raw_Export!$A699="","",IF(J699="Duplicate","Duplicate",IF(OR(C699="UNMAPPED",D699="UNMAPPED"),"Unmapped",IF(F699=0,"Blank qty",IF(F699&lt;0,"Return","OK")))))</f>
        <v>OK</v>
      </c>
      <c r="L699" s="36" t="n">
        <f aca="false">IF(Raw_Export!$A699="","",IF(OR(K699="OK",K699="Return"),1,0))</f>
        <v>1</v>
      </c>
      <c r="M699" s="37" t="n">
        <f aca="false">IF(Raw_Export!$A699="","",B699-WEEKDAY(B699,2)+1)</f>
        <v>46265</v>
      </c>
    </row>
    <row r="700" customFormat="false" ht="15" hidden="false" customHeight="false" outlineLevel="0" collapsed="false">
      <c r="A700" s="36" t="str">
        <f aca="false">IF(Raw_Export!$A700="","",TRIM(Raw_Export!A700))</f>
        <v>TXN-100685</v>
      </c>
      <c r="B700" s="37" t="n">
        <f aca="false">IF(Raw_Export!$A700="","",IF(ISNUMBER(Raw_Export!B700),Raw_Export!B700,IF(MID(TRIM(Raw_Export!B700),5,1)="-",DATE(LEFT(TRIM(Raw_Export!B700),4),MID(TRIM(Raw_Export!B700),6,2),RIGHT(TRIM(Raw_Export!B700),2)),DATE(RIGHT(TRIM(Raw_Export!B700),4),MATCH(MID(TRIM(Raw_Export!B700),4,3),{"Jan","Feb","Mar","Apr","May","Jun","Jul","Aug","Sep","Oct","Nov","Dec"},0),LEFT(TRIM(Raw_Export!B700),2)))))</f>
        <v>46270</v>
      </c>
      <c r="C700" s="36" t="str">
        <f aca="false">IF(Raw_Export!$A700="","",IFERROR(VLOOKUP(LOWER(TRIM(Raw_Export!C700)),Maps!$A$2:$B$20,2,FALSE()),"UNMAPPED"))</f>
        <v>Nairobi CBD</v>
      </c>
      <c r="D700" s="36" t="str">
        <f aca="false">IF(Raw_Export!$A700="","",IFERROR(VLOOKUP(LOWER(TRIM(Raw_Export!D700)),Maps!$G$2:$I$80,2,FALSE()),"UNMAPPED"))</f>
        <v>Bath Soap 175g</v>
      </c>
      <c r="E700" s="36" t="str">
        <f aca="false">IF(Raw_Export!$A700="","",IFERROR(VLOOKUP(LOWER(TRIM(Raw_Export!D700)),Maps!$G$2:$I$80,3,FALSE()),"UNMAPPED"))</f>
        <v>Personal Care</v>
      </c>
      <c r="F700" s="36" t="n">
        <f aca="false">IF(Raw_Export!$A700="","",IFERROR(VALUE(TRIM(Raw_Export!E700)),0))</f>
        <v>2</v>
      </c>
      <c r="G700" s="38" t="n">
        <f aca="false">IF(Raw_Export!$A700="","",IFERROR(VALUE(SUBSTITUTE(SUBSTITUTE(UPPER(TRIM(Raw_Export!F700)),"KES",""),",","")),0))</f>
        <v>85</v>
      </c>
      <c r="H700" s="38" t="n">
        <f aca="false">IF(Raw_Export!$A700="","",F700*G700)</f>
        <v>170</v>
      </c>
      <c r="I700" s="36" t="str">
        <f aca="false">IF(Raw_Export!$A700="","",IFERROR(VLOOKUP(LOWER(TRIM(Raw_Export!H700)),Maps!$D$2:$E$12,2,FALSE()),"Other"))</f>
        <v>M-Pesa</v>
      </c>
      <c r="J700" s="36" t="str">
        <f aca="false">IF(Raw_Export!$A700="","",IF(COUNTIF($A$2:A700,A700)&gt;1,"Duplicate",""))</f>
        <v/>
      </c>
      <c r="K700" s="36" t="str">
        <f aca="false">IF(Raw_Export!$A700="","",IF(J700="Duplicate","Duplicate",IF(OR(C700="UNMAPPED",D700="UNMAPPED"),"Unmapped",IF(F700=0,"Blank qty",IF(F700&lt;0,"Return","OK")))))</f>
        <v>OK</v>
      </c>
      <c r="L700" s="36" t="n">
        <f aca="false">IF(Raw_Export!$A700="","",IF(OR(K700="OK",K700="Return"),1,0))</f>
        <v>1</v>
      </c>
      <c r="M700" s="37" t="n">
        <f aca="false">IF(Raw_Export!$A700="","",B700-WEEKDAY(B700,2)+1)</f>
        <v>46265</v>
      </c>
    </row>
    <row r="701" customFormat="false" ht="15" hidden="false" customHeight="false" outlineLevel="0" collapsed="false">
      <c r="A701" s="36" t="str">
        <f aca="false">IF(Raw_Export!$A701="","",TRIM(Raw_Export!A701))</f>
        <v>TXN-100686</v>
      </c>
      <c r="B701" s="37" t="n">
        <f aca="false">IF(Raw_Export!$A701="","",IF(ISNUMBER(Raw_Export!B701),Raw_Export!B701,IF(MID(TRIM(Raw_Export!B701),5,1)="-",DATE(LEFT(TRIM(Raw_Export!B701),4),MID(TRIM(Raw_Export!B701),6,2),RIGHT(TRIM(Raw_Export!B701),2)),DATE(RIGHT(TRIM(Raw_Export!B701),4),MATCH(MID(TRIM(Raw_Export!B701),4,3),{"Jan","Feb","Mar","Apr","May","Jun","Jul","Aug","Sep","Oct","Nov","Dec"},0),LEFT(TRIM(Raw_Export!B701),2)))))</f>
        <v>46270</v>
      </c>
      <c r="C701" s="36" t="str">
        <f aca="false">IF(Raw_Export!$A701="","",IFERROR(VLOOKUP(LOWER(TRIM(Raw_Export!C701)),Maps!$A$2:$B$20,2,FALSE()),"UNMAPPED"))</f>
        <v>Nairobi CBD</v>
      </c>
      <c r="D701" s="36" t="str">
        <f aca="false">IF(Raw_Export!$A701="","",IFERROR(VLOOKUP(LOWER(TRIM(Raw_Export!D701)),Maps!$G$2:$I$80,2,FALSE()),"UNMAPPED"))</f>
        <v>Yoghurt 500ml</v>
      </c>
      <c r="E701" s="36" t="str">
        <f aca="false">IF(Raw_Export!$A701="","",IFERROR(VLOOKUP(LOWER(TRIM(Raw_Export!D701)),Maps!$G$2:$I$80,3,FALSE()),"UNMAPPED"))</f>
        <v>Dairy &amp; Eggs</v>
      </c>
      <c r="F701" s="36" t="n">
        <f aca="false">IF(Raw_Export!$A701="","",IFERROR(VALUE(TRIM(Raw_Export!E701)),0))</f>
        <v>2</v>
      </c>
      <c r="G701" s="38" t="n">
        <f aca="false">IF(Raw_Export!$A701="","",IFERROR(VALUE(SUBSTITUTE(SUBSTITUTE(UPPER(TRIM(Raw_Export!F701)),"KES",""),",","")),0))</f>
        <v>120</v>
      </c>
      <c r="H701" s="38" t="n">
        <f aca="false">IF(Raw_Export!$A701="","",F701*G701)</f>
        <v>240</v>
      </c>
      <c r="I701" s="36" t="str">
        <f aca="false">IF(Raw_Export!$A701="","",IFERROR(VLOOKUP(LOWER(TRIM(Raw_Export!H701)),Maps!$D$2:$E$12,2,FALSE()),"Other"))</f>
        <v>Cash</v>
      </c>
      <c r="J701" s="36" t="str">
        <f aca="false">IF(Raw_Export!$A701="","",IF(COUNTIF($A$2:A701,A701)&gt;1,"Duplicate",""))</f>
        <v/>
      </c>
      <c r="K701" s="36" t="str">
        <f aca="false">IF(Raw_Export!$A701="","",IF(J701="Duplicate","Duplicate",IF(OR(C701="UNMAPPED",D701="UNMAPPED"),"Unmapped",IF(F701=0,"Blank qty",IF(F701&lt;0,"Return","OK")))))</f>
        <v>OK</v>
      </c>
      <c r="L701" s="36" t="n">
        <f aca="false">IF(Raw_Export!$A701="","",IF(OR(K701="OK",K701="Return"),1,0))</f>
        <v>1</v>
      </c>
      <c r="M701" s="37" t="n">
        <f aca="false">IF(Raw_Export!$A701="","",B701-WEEKDAY(B701,2)+1)</f>
        <v>46265</v>
      </c>
    </row>
    <row r="702" customFormat="false" ht="15" hidden="false" customHeight="false" outlineLevel="0" collapsed="false">
      <c r="A702" s="36" t="str">
        <f aca="false">IF(Raw_Export!$A702="","",TRIM(Raw_Export!A702))</f>
        <v>TXN-100687</v>
      </c>
      <c r="B702" s="37" t="n">
        <f aca="false">IF(Raw_Export!$A702="","",IF(ISNUMBER(Raw_Export!B702),Raw_Export!B702,IF(MID(TRIM(Raw_Export!B702),5,1)="-",DATE(LEFT(TRIM(Raw_Export!B702),4),MID(TRIM(Raw_Export!B702),6,2),RIGHT(TRIM(Raw_Export!B702),2)),DATE(RIGHT(TRIM(Raw_Export!B702),4),MATCH(MID(TRIM(Raw_Export!B702),4,3),{"Jan","Feb","Mar","Apr","May","Jun","Jul","Aug","Sep","Oct","Nov","Dec"},0),LEFT(TRIM(Raw_Export!B702),2)))))</f>
        <v>46270</v>
      </c>
      <c r="C702" s="36" t="str">
        <f aca="false">IF(Raw_Export!$A702="","",IFERROR(VLOOKUP(LOWER(TRIM(Raw_Export!C702)),Maps!$A$2:$B$20,2,FALSE()),"UNMAPPED"))</f>
        <v>Nairobi CBD</v>
      </c>
      <c r="D702" s="36" t="str">
        <f aca="false">IF(Raw_Export!$A702="","",IFERROR(VLOOKUP(LOWER(TRIM(Raw_Export!D702)),Maps!$G$2:$I$80,2,FALSE()),"UNMAPPED"))</f>
        <v>Peanuts 250g</v>
      </c>
      <c r="E702" s="36" t="str">
        <f aca="false">IF(Raw_Export!$A702="","",IFERROR(VLOOKUP(LOWER(TRIM(Raw_Export!D702)),Maps!$G$2:$I$80,3,FALSE()),"UNMAPPED"))</f>
        <v>Snacks</v>
      </c>
      <c r="F702" s="36" t="n">
        <f aca="false">IF(Raw_Export!$A702="","",IFERROR(VALUE(TRIM(Raw_Export!E702)),0))</f>
        <v>1</v>
      </c>
      <c r="G702" s="38" t="n">
        <f aca="false">IF(Raw_Export!$A702="","",IFERROR(VALUE(SUBSTITUTE(SUBSTITUTE(UPPER(TRIM(Raw_Export!F702)),"KES",""),",","")),0))</f>
        <v>130</v>
      </c>
      <c r="H702" s="38" t="n">
        <f aca="false">IF(Raw_Export!$A702="","",F702*G702)</f>
        <v>130</v>
      </c>
      <c r="I702" s="36" t="str">
        <f aca="false">IF(Raw_Export!$A702="","",IFERROR(VLOOKUP(LOWER(TRIM(Raw_Export!H702)),Maps!$D$2:$E$12,2,FALSE()),"Other"))</f>
        <v>Cash</v>
      </c>
      <c r="J702" s="36" t="str">
        <f aca="false">IF(Raw_Export!$A702="","",IF(COUNTIF($A$2:A702,A702)&gt;1,"Duplicate",""))</f>
        <v/>
      </c>
      <c r="K702" s="36" t="str">
        <f aca="false">IF(Raw_Export!$A702="","",IF(J702="Duplicate","Duplicate",IF(OR(C702="UNMAPPED",D702="UNMAPPED"),"Unmapped",IF(F702=0,"Blank qty",IF(F702&lt;0,"Return","OK")))))</f>
        <v>OK</v>
      </c>
      <c r="L702" s="36" t="n">
        <f aca="false">IF(Raw_Export!$A702="","",IF(OR(K702="OK",K702="Return"),1,0))</f>
        <v>1</v>
      </c>
      <c r="M702" s="37" t="n">
        <f aca="false">IF(Raw_Export!$A702="","",B702-WEEKDAY(B702,2)+1)</f>
        <v>46265</v>
      </c>
    </row>
    <row r="703" customFormat="false" ht="15" hidden="false" customHeight="false" outlineLevel="0" collapsed="false">
      <c r="A703" s="36" t="str">
        <f aca="false">IF(Raw_Export!$A703="","",TRIM(Raw_Export!A703))</f>
        <v>TXN-100688</v>
      </c>
      <c r="B703" s="37" t="n">
        <f aca="false">IF(Raw_Export!$A703="","",IF(ISNUMBER(Raw_Export!B703),Raw_Export!B703,IF(MID(TRIM(Raw_Export!B703),5,1)="-",DATE(LEFT(TRIM(Raw_Export!B703),4),MID(TRIM(Raw_Export!B703),6,2),RIGHT(TRIM(Raw_Export!B703),2)),DATE(RIGHT(TRIM(Raw_Export!B703),4),MATCH(MID(TRIM(Raw_Export!B703),4,3),{"Jan","Feb","Mar","Apr","May","Jun","Jul","Aug","Sep","Oct","Nov","Dec"},0),LEFT(TRIM(Raw_Export!B703),2)))))</f>
        <v>46270</v>
      </c>
      <c r="C703" s="36" t="str">
        <f aca="false">IF(Raw_Export!$A703="","",IFERROR(VLOOKUP(LOWER(TRIM(Raw_Export!C703)),Maps!$A$2:$B$20,2,FALSE()),"UNMAPPED"))</f>
        <v>Nairobi CBD</v>
      </c>
      <c r="D703" s="36" t="str">
        <f aca="false">IF(Raw_Export!$A703="","",IFERROR(VLOOKUP(LOWER(TRIM(Raw_Export!D703)),Maps!$G$2:$I$80,2,FALSE()),"UNMAPPED"))</f>
        <v>Bleach 1L</v>
      </c>
      <c r="E703" s="36" t="str">
        <f aca="false">IF(Raw_Export!$A703="","",IFERROR(VLOOKUP(LOWER(TRIM(Raw_Export!D703)),Maps!$G$2:$I$80,3,FALSE()),"UNMAPPED"))</f>
        <v>Household</v>
      </c>
      <c r="F703" s="36" t="n">
        <f aca="false">IF(Raw_Export!$A703="","",IFERROR(VALUE(TRIM(Raw_Export!E703)),0))</f>
        <v>3</v>
      </c>
      <c r="G703" s="38" t="n">
        <f aca="false">IF(Raw_Export!$A703="","",IFERROR(VALUE(SUBSTITUTE(SUBSTITUTE(UPPER(TRIM(Raw_Export!F703)),"KES",""),",","")),0))</f>
        <v>160</v>
      </c>
      <c r="H703" s="38" t="n">
        <f aca="false">IF(Raw_Export!$A703="","",F703*G703)</f>
        <v>480</v>
      </c>
      <c r="I703" s="36" t="str">
        <f aca="false">IF(Raw_Export!$A703="","",IFERROR(VLOOKUP(LOWER(TRIM(Raw_Export!H703)),Maps!$D$2:$E$12,2,FALSE()),"Other"))</f>
        <v>Cash</v>
      </c>
      <c r="J703" s="36" t="str">
        <f aca="false">IF(Raw_Export!$A703="","",IF(COUNTIF($A$2:A703,A703)&gt;1,"Duplicate",""))</f>
        <v/>
      </c>
      <c r="K703" s="36" t="str">
        <f aca="false">IF(Raw_Export!$A703="","",IF(J703="Duplicate","Duplicate",IF(OR(C703="UNMAPPED",D703="UNMAPPED"),"Unmapped",IF(F703=0,"Blank qty",IF(F703&lt;0,"Return","OK")))))</f>
        <v>OK</v>
      </c>
      <c r="L703" s="36" t="n">
        <f aca="false">IF(Raw_Export!$A703="","",IF(OR(K703="OK",K703="Return"),1,0))</f>
        <v>1</v>
      </c>
      <c r="M703" s="37" t="n">
        <f aca="false">IF(Raw_Export!$A703="","",B703-WEEKDAY(B703,2)+1)</f>
        <v>46265</v>
      </c>
    </row>
    <row r="704" customFormat="false" ht="15" hidden="false" customHeight="false" outlineLevel="0" collapsed="false">
      <c r="A704" s="36" t="str">
        <f aca="false">IF(Raw_Export!$A704="","",TRIM(Raw_Export!A704))</f>
        <v>TXN-100689</v>
      </c>
      <c r="B704" s="37" t="n">
        <f aca="false">IF(Raw_Export!$A704="","",IF(ISNUMBER(Raw_Export!B704),Raw_Export!B704,IF(MID(TRIM(Raw_Export!B704),5,1)="-",DATE(LEFT(TRIM(Raw_Export!B704),4),MID(TRIM(Raw_Export!B704),6,2),RIGHT(TRIM(Raw_Export!B704),2)),DATE(RIGHT(TRIM(Raw_Export!B704),4),MATCH(MID(TRIM(Raw_Export!B704),4,3),{"Jan","Feb","Mar","Apr","May","Jun","Jul","Aug","Sep","Oct","Nov","Dec"},0),LEFT(TRIM(Raw_Export!B704),2)))))</f>
        <v>46270</v>
      </c>
      <c r="C704" s="36" t="str">
        <f aca="false">IF(Raw_Export!$A704="","",IFERROR(VLOOKUP(LOWER(TRIM(Raw_Export!C704)),Maps!$A$2:$B$20,2,FALSE()),"UNMAPPED"))</f>
        <v>Nairobi CBD</v>
      </c>
      <c r="D704" s="36" t="str">
        <f aca="false">IF(Raw_Export!$A704="","",IFERROR(VLOOKUP(LOWER(TRIM(Raw_Export!D704)),Maps!$G$2:$I$80,2,FALSE()),"UNMAPPED"))</f>
        <v>Fresh Milk 500ml</v>
      </c>
      <c r="E704" s="36" t="str">
        <f aca="false">IF(Raw_Export!$A704="","",IFERROR(VLOOKUP(LOWER(TRIM(Raw_Export!D704)),Maps!$G$2:$I$80,3,FALSE()),"UNMAPPED"))</f>
        <v>Dairy &amp; Eggs</v>
      </c>
      <c r="F704" s="36" t="n">
        <f aca="false">IF(Raw_Export!$A704="","",IFERROR(VALUE(TRIM(Raw_Export!E704)),0))</f>
        <v>1</v>
      </c>
      <c r="G704" s="38" t="n">
        <f aca="false">IF(Raw_Export!$A704="","",IFERROR(VALUE(SUBSTITUTE(SUBSTITUTE(UPPER(TRIM(Raw_Export!F704)),"KES",""),",","")),0))</f>
        <v>65</v>
      </c>
      <c r="H704" s="38" t="n">
        <f aca="false">IF(Raw_Export!$A704="","",F704*G704)</f>
        <v>65</v>
      </c>
      <c r="I704" s="36" t="str">
        <f aca="false">IF(Raw_Export!$A704="","",IFERROR(VLOOKUP(LOWER(TRIM(Raw_Export!H704)),Maps!$D$2:$E$12,2,FALSE()),"Other"))</f>
        <v>M-Pesa</v>
      </c>
      <c r="J704" s="36" t="str">
        <f aca="false">IF(Raw_Export!$A704="","",IF(COUNTIF($A$2:A704,A704)&gt;1,"Duplicate",""))</f>
        <v/>
      </c>
      <c r="K704" s="36" t="str">
        <f aca="false">IF(Raw_Export!$A704="","",IF(J704="Duplicate","Duplicate",IF(OR(C704="UNMAPPED",D704="UNMAPPED"),"Unmapped",IF(F704=0,"Blank qty",IF(F704&lt;0,"Return","OK")))))</f>
        <v>OK</v>
      </c>
      <c r="L704" s="36" t="n">
        <f aca="false">IF(Raw_Export!$A704="","",IF(OR(K704="OK",K704="Return"),1,0))</f>
        <v>1</v>
      </c>
      <c r="M704" s="37" t="n">
        <f aca="false">IF(Raw_Export!$A704="","",B704-WEEKDAY(B704,2)+1)</f>
        <v>46265</v>
      </c>
    </row>
    <row r="705" customFormat="false" ht="15" hidden="false" customHeight="false" outlineLevel="0" collapsed="false">
      <c r="A705" s="36" t="str">
        <f aca="false">IF(Raw_Export!$A705="","",TRIM(Raw_Export!A705))</f>
        <v>TXN-100690</v>
      </c>
      <c r="B705" s="37" t="n">
        <f aca="false">IF(Raw_Export!$A705="","",IF(ISNUMBER(Raw_Export!B705),Raw_Export!B705,IF(MID(TRIM(Raw_Export!B705),5,1)="-",DATE(LEFT(TRIM(Raw_Export!B705),4),MID(TRIM(Raw_Export!B705),6,2),RIGHT(TRIM(Raw_Export!B705),2)),DATE(RIGHT(TRIM(Raw_Export!B705),4),MATCH(MID(TRIM(Raw_Export!B705),4,3),{"Jan","Feb","Mar","Apr","May","Jun","Jul","Aug","Sep","Oct","Nov","Dec"},0),LEFT(TRIM(Raw_Export!B705),2)))))</f>
        <v>46270</v>
      </c>
      <c r="C705" s="36" t="str">
        <f aca="false">IF(Raw_Export!$A705="","",IFERROR(VLOOKUP(LOWER(TRIM(Raw_Export!C705)),Maps!$A$2:$B$20,2,FALSE()),"UNMAPPED"))</f>
        <v>Nairobi CBD</v>
      </c>
      <c r="D705" s="36" t="str">
        <f aca="false">IF(Raw_Export!$A705="","",IFERROR(VLOOKUP(LOWER(TRIM(Raw_Export!D705)),Maps!$G$2:$I$80,2,FALSE()),"UNMAPPED"))</f>
        <v>Bottled Water 1.5L</v>
      </c>
      <c r="E705" s="36" t="str">
        <f aca="false">IF(Raw_Export!$A705="","",IFERROR(VLOOKUP(LOWER(TRIM(Raw_Export!D705)),Maps!$G$2:$I$80,3,FALSE()),"UNMAPPED"))</f>
        <v>Beverages</v>
      </c>
      <c r="F705" s="36" t="n">
        <f aca="false">IF(Raw_Export!$A705="","",IFERROR(VALUE(TRIM(Raw_Export!E705)),0))</f>
        <v>3</v>
      </c>
      <c r="G705" s="38" t="n">
        <f aca="false">IF(Raw_Export!$A705="","",IFERROR(VALUE(SUBSTITUTE(SUBSTITUTE(UPPER(TRIM(Raw_Export!F705)),"KES",""),",","")),0))</f>
        <v>90</v>
      </c>
      <c r="H705" s="38" t="n">
        <f aca="false">IF(Raw_Export!$A705="","",F705*G705)</f>
        <v>270</v>
      </c>
      <c r="I705" s="36" t="str">
        <f aca="false">IF(Raw_Export!$A705="","",IFERROR(VLOOKUP(LOWER(TRIM(Raw_Export!H705)),Maps!$D$2:$E$12,2,FALSE()),"Other"))</f>
        <v>Cash</v>
      </c>
      <c r="J705" s="36" t="str">
        <f aca="false">IF(Raw_Export!$A705="","",IF(COUNTIF($A$2:A705,A705)&gt;1,"Duplicate",""))</f>
        <v/>
      </c>
      <c r="K705" s="36" t="str">
        <f aca="false">IF(Raw_Export!$A705="","",IF(J705="Duplicate","Duplicate",IF(OR(C705="UNMAPPED",D705="UNMAPPED"),"Unmapped",IF(F705=0,"Blank qty",IF(F705&lt;0,"Return","OK")))))</f>
        <v>OK</v>
      </c>
      <c r="L705" s="36" t="n">
        <f aca="false">IF(Raw_Export!$A705="","",IF(OR(K705="OK",K705="Return"),1,0))</f>
        <v>1</v>
      </c>
      <c r="M705" s="37" t="n">
        <f aca="false">IF(Raw_Export!$A705="","",B705-WEEKDAY(B705,2)+1)</f>
        <v>46265</v>
      </c>
    </row>
    <row r="706" customFormat="false" ht="15" hidden="false" customHeight="false" outlineLevel="0" collapsed="false">
      <c r="A706" s="36" t="str">
        <f aca="false">IF(Raw_Export!$A706="","",TRIM(Raw_Export!A706))</f>
        <v>TXN-100691</v>
      </c>
      <c r="B706" s="37" t="n">
        <f aca="false">IF(Raw_Export!$A706="","",IF(ISNUMBER(Raw_Export!B706),Raw_Export!B706,IF(MID(TRIM(Raw_Export!B706),5,1)="-",DATE(LEFT(TRIM(Raw_Export!B706),4),MID(TRIM(Raw_Export!B706),6,2),RIGHT(TRIM(Raw_Export!B706),2)),DATE(RIGHT(TRIM(Raw_Export!B706),4),MATCH(MID(TRIM(Raw_Export!B706),4,3),{"Jan","Feb","Mar","Apr","May","Jun","Jul","Aug","Sep","Oct","Nov","Dec"},0),LEFT(TRIM(Raw_Export!B706),2)))))</f>
        <v>46270</v>
      </c>
      <c r="C706" s="36" t="str">
        <f aca="false">IF(Raw_Export!$A706="","",IFERROR(VLOOKUP(LOWER(TRIM(Raw_Export!C706)),Maps!$A$2:$B$20,2,FALSE()),"UNMAPPED"))</f>
        <v>Nairobi CBD</v>
      </c>
      <c r="D706" s="36" t="str">
        <f aca="false">IF(Raw_Export!$A706="","",IFERROR(VLOOKUP(LOWER(TRIM(Raw_Export!D706)),Maps!$G$2:$I$80,2,FALSE()),"UNMAPPED"))</f>
        <v>Sugar 2kg</v>
      </c>
      <c r="E706" s="36" t="str">
        <f aca="false">IF(Raw_Export!$A706="","",IFERROR(VLOOKUP(LOWER(TRIM(Raw_Export!D706)),Maps!$G$2:$I$80,3,FALSE()),"UNMAPPED"))</f>
        <v>Staples</v>
      </c>
      <c r="F706" s="36" t="n">
        <f aca="false">IF(Raw_Export!$A706="","",IFERROR(VALUE(TRIM(Raw_Export!E706)),0))</f>
        <v>6</v>
      </c>
      <c r="G706" s="38" t="n">
        <f aca="false">IF(Raw_Export!$A706="","",IFERROR(VALUE(SUBSTITUTE(SUBSTITUTE(UPPER(TRIM(Raw_Export!F706)),"KES",""),",","")),0))</f>
        <v>330</v>
      </c>
      <c r="H706" s="38" t="n">
        <f aca="false">IF(Raw_Export!$A706="","",F706*G706)</f>
        <v>1980</v>
      </c>
      <c r="I706" s="36" t="str">
        <f aca="false">IF(Raw_Export!$A706="","",IFERROR(VLOOKUP(LOWER(TRIM(Raw_Export!H706)),Maps!$D$2:$E$12,2,FALSE()),"Other"))</f>
        <v>Cash</v>
      </c>
      <c r="J706" s="36" t="str">
        <f aca="false">IF(Raw_Export!$A706="","",IF(COUNTIF($A$2:A706,A706)&gt;1,"Duplicate",""))</f>
        <v/>
      </c>
      <c r="K706" s="36" t="str">
        <f aca="false">IF(Raw_Export!$A706="","",IF(J706="Duplicate","Duplicate",IF(OR(C706="UNMAPPED",D706="UNMAPPED"),"Unmapped",IF(F706=0,"Blank qty",IF(F706&lt;0,"Return","OK")))))</f>
        <v>OK</v>
      </c>
      <c r="L706" s="36" t="n">
        <f aca="false">IF(Raw_Export!$A706="","",IF(OR(K706="OK",K706="Return"),1,0))</f>
        <v>1</v>
      </c>
      <c r="M706" s="37" t="n">
        <f aca="false">IF(Raw_Export!$A706="","",B706-WEEKDAY(B706,2)+1)</f>
        <v>46265</v>
      </c>
    </row>
    <row r="707" customFormat="false" ht="15" hidden="false" customHeight="false" outlineLevel="0" collapsed="false">
      <c r="A707" s="36" t="str">
        <f aca="false">IF(Raw_Export!$A707="","",TRIM(Raw_Export!A707))</f>
        <v>TXN-100692</v>
      </c>
      <c r="B707" s="37" t="n">
        <f aca="false">IF(Raw_Export!$A707="","",IF(ISNUMBER(Raw_Export!B707),Raw_Export!B707,IF(MID(TRIM(Raw_Export!B707),5,1)="-",DATE(LEFT(TRIM(Raw_Export!B707),4),MID(TRIM(Raw_Export!B707),6,2),RIGHT(TRIM(Raw_Export!B707),2)),DATE(RIGHT(TRIM(Raw_Export!B707),4),MATCH(MID(TRIM(Raw_Export!B707),4,3),{"Jan","Feb","Mar","Apr","May","Jun","Jul","Aug","Sep","Oct","Nov","Dec"},0),LEFT(TRIM(Raw_Export!B707),2)))))</f>
        <v>46270</v>
      </c>
      <c r="C707" s="36" t="str">
        <f aca="false">IF(Raw_Export!$A707="","",IFERROR(VLOOKUP(LOWER(TRIM(Raw_Export!C707)),Maps!$A$2:$B$20,2,FALSE()),"UNMAPPED"))</f>
        <v>Nairobi CBD</v>
      </c>
      <c r="D707" s="36" t="str">
        <f aca="false">IF(Raw_Export!$A707="","",IFERROR(VLOOKUP(LOWER(TRIM(Raw_Export!D707)),Maps!$G$2:$I$80,2,FALSE()),"UNMAPPED"))</f>
        <v>Washing Powder 1kg</v>
      </c>
      <c r="E707" s="36" t="str">
        <f aca="false">IF(Raw_Export!$A707="","",IFERROR(VLOOKUP(LOWER(TRIM(Raw_Export!D707)),Maps!$G$2:$I$80,3,FALSE()),"UNMAPPED"))</f>
        <v>Household</v>
      </c>
      <c r="F707" s="36" t="n">
        <f aca="false">IF(Raw_Export!$A707="","",IFERROR(VALUE(TRIM(Raw_Export!E707)),0))</f>
        <v>3</v>
      </c>
      <c r="G707" s="38" t="n">
        <f aca="false">IF(Raw_Export!$A707="","",IFERROR(VALUE(SUBSTITUTE(SUBSTITUTE(UPPER(TRIM(Raw_Export!F707)),"KES",""),",","")),0))</f>
        <v>280</v>
      </c>
      <c r="H707" s="38" t="n">
        <f aca="false">IF(Raw_Export!$A707="","",F707*G707)</f>
        <v>840</v>
      </c>
      <c r="I707" s="36" t="str">
        <f aca="false">IF(Raw_Export!$A707="","",IFERROR(VLOOKUP(LOWER(TRIM(Raw_Export!H707)),Maps!$D$2:$E$12,2,FALSE()),"Other"))</f>
        <v>M-Pesa</v>
      </c>
      <c r="J707" s="36" t="str">
        <f aca="false">IF(Raw_Export!$A707="","",IF(COUNTIF($A$2:A707,A707)&gt;1,"Duplicate",""))</f>
        <v/>
      </c>
      <c r="K707" s="36" t="str">
        <f aca="false">IF(Raw_Export!$A707="","",IF(J707="Duplicate","Duplicate",IF(OR(C707="UNMAPPED",D707="UNMAPPED"),"Unmapped",IF(F707=0,"Blank qty",IF(F707&lt;0,"Return","OK")))))</f>
        <v>OK</v>
      </c>
      <c r="L707" s="36" t="n">
        <f aca="false">IF(Raw_Export!$A707="","",IF(OR(K707="OK",K707="Return"),1,0))</f>
        <v>1</v>
      </c>
      <c r="M707" s="37" t="n">
        <f aca="false">IF(Raw_Export!$A707="","",B707-WEEKDAY(B707,2)+1)</f>
        <v>46265</v>
      </c>
    </row>
    <row r="708" customFormat="false" ht="15" hidden="false" customHeight="false" outlineLevel="0" collapsed="false">
      <c r="A708" s="36" t="str">
        <f aca="false">IF(Raw_Export!$A708="","",TRIM(Raw_Export!A708))</f>
        <v>TXN-100693</v>
      </c>
      <c r="B708" s="37" t="n">
        <f aca="false">IF(Raw_Export!$A708="","",IF(ISNUMBER(Raw_Export!B708),Raw_Export!B708,IF(MID(TRIM(Raw_Export!B708),5,1)="-",DATE(LEFT(TRIM(Raw_Export!B708),4),MID(TRIM(Raw_Export!B708),6,2),RIGHT(TRIM(Raw_Export!B708),2)),DATE(RIGHT(TRIM(Raw_Export!B708),4),MATCH(MID(TRIM(Raw_Export!B708),4,3),{"Jan","Feb","Mar","Apr","May","Jun","Jul","Aug","Sep","Oct","Nov","Dec"},0),LEFT(TRIM(Raw_Export!B708),2)))))</f>
        <v>46270</v>
      </c>
      <c r="C708" s="36" t="str">
        <f aca="false">IF(Raw_Export!$A708="","",IFERROR(VLOOKUP(LOWER(TRIM(Raw_Export!C708)),Maps!$A$2:$B$20,2,FALSE()),"UNMAPPED"))</f>
        <v>Nairobi CBD</v>
      </c>
      <c r="D708" s="36" t="str">
        <f aca="false">IF(Raw_Export!$A708="","",IFERROR(VLOOKUP(LOWER(TRIM(Raw_Export!D708)),Maps!$G$2:$I$80,2,FALSE()),"UNMAPPED"))</f>
        <v>Juice 1L</v>
      </c>
      <c r="E708" s="36" t="str">
        <f aca="false">IF(Raw_Export!$A708="","",IFERROR(VLOOKUP(LOWER(TRIM(Raw_Export!D708)),Maps!$G$2:$I$80,3,FALSE()),"UNMAPPED"))</f>
        <v>Beverages</v>
      </c>
      <c r="F708" s="36" t="n">
        <f aca="false">IF(Raw_Export!$A708="","",IFERROR(VALUE(TRIM(Raw_Export!E708)),0))</f>
        <v>2</v>
      </c>
      <c r="G708" s="38" t="n">
        <f aca="false">IF(Raw_Export!$A708="","",IFERROR(VALUE(SUBSTITUTE(SUBSTITUTE(UPPER(TRIM(Raw_Export!F708)),"KES",""),",","")),0))</f>
        <v>210</v>
      </c>
      <c r="H708" s="38" t="n">
        <f aca="false">IF(Raw_Export!$A708="","",F708*G708)</f>
        <v>420</v>
      </c>
      <c r="I708" s="36" t="str">
        <f aca="false">IF(Raw_Export!$A708="","",IFERROR(VLOOKUP(LOWER(TRIM(Raw_Export!H708)),Maps!$D$2:$E$12,2,FALSE()),"Other"))</f>
        <v>Cash</v>
      </c>
      <c r="J708" s="36" t="str">
        <f aca="false">IF(Raw_Export!$A708="","",IF(COUNTIF($A$2:A708,A708)&gt;1,"Duplicate",""))</f>
        <v/>
      </c>
      <c r="K708" s="36" t="str">
        <f aca="false">IF(Raw_Export!$A708="","",IF(J708="Duplicate","Duplicate",IF(OR(C708="UNMAPPED",D708="UNMAPPED"),"Unmapped",IF(F708=0,"Blank qty",IF(F708&lt;0,"Return","OK")))))</f>
        <v>OK</v>
      </c>
      <c r="L708" s="36" t="n">
        <f aca="false">IF(Raw_Export!$A708="","",IF(OR(K708="OK",K708="Return"),1,0))</f>
        <v>1</v>
      </c>
      <c r="M708" s="37" t="n">
        <f aca="false">IF(Raw_Export!$A708="","",B708-WEEKDAY(B708,2)+1)</f>
        <v>46265</v>
      </c>
    </row>
    <row r="709" customFormat="false" ht="15" hidden="false" customHeight="false" outlineLevel="0" collapsed="false">
      <c r="A709" s="36" t="str">
        <f aca="false">IF(Raw_Export!$A709="","",TRIM(Raw_Export!A709))</f>
        <v>TXN-100694</v>
      </c>
      <c r="B709" s="37" t="n">
        <f aca="false">IF(Raw_Export!$A709="","",IF(ISNUMBER(Raw_Export!B709),Raw_Export!B709,IF(MID(TRIM(Raw_Export!B709),5,1)="-",DATE(LEFT(TRIM(Raw_Export!B709),4),MID(TRIM(Raw_Export!B709),6,2),RIGHT(TRIM(Raw_Export!B709),2)),DATE(RIGHT(TRIM(Raw_Export!B709),4),MATCH(MID(TRIM(Raw_Export!B709),4,3),{"Jan","Feb","Mar","Apr","May","Jun","Jul","Aug","Sep","Oct","Nov","Dec"},0),LEFT(TRIM(Raw_Export!B709),2)))))</f>
        <v>46270</v>
      </c>
      <c r="C709" s="36" t="str">
        <f aca="false">IF(Raw_Export!$A709="","",IFERROR(VLOOKUP(LOWER(TRIM(Raw_Export!C709)),Maps!$A$2:$B$20,2,FALSE()),"UNMAPPED"))</f>
        <v>Nairobi CBD</v>
      </c>
      <c r="D709" s="36" t="str">
        <f aca="false">IF(Raw_Export!$A709="","",IFERROR(VLOOKUP(LOWER(TRIM(Raw_Export!D709)),Maps!$G$2:$I$80,2,FALSE()),"UNMAPPED"))</f>
        <v>Cooking Oil 1L</v>
      </c>
      <c r="E709" s="36" t="str">
        <f aca="false">IF(Raw_Export!$A709="","",IFERROR(VLOOKUP(LOWER(TRIM(Raw_Export!D709)),Maps!$G$2:$I$80,3,FALSE()),"UNMAPPED"))</f>
        <v>Staples</v>
      </c>
      <c r="F709" s="36" t="n">
        <f aca="false">IF(Raw_Export!$A709="","",IFERROR(VALUE(TRIM(Raw_Export!E709)),0))</f>
        <v>6</v>
      </c>
      <c r="G709" s="38" t="n">
        <f aca="false">IF(Raw_Export!$A709="","",IFERROR(VALUE(SUBSTITUTE(SUBSTITUTE(UPPER(TRIM(Raw_Export!F709)),"KES",""),",","")),0))</f>
        <v>330</v>
      </c>
      <c r="H709" s="38" t="n">
        <f aca="false">IF(Raw_Export!$A709="","",F709*G709)</f>
        <v>1980</v>
      </c>
      <c r="I709" s="36" t="str">
        <f aca="false">IF(Raw_Export!$A709="","",IFERROR(VLOOKUP(LOWER(TRIM(Raw_Export!H709)),Maps!$D$2:$E$12,2,FALSE()),"Other"))</f>
        <v>Cash</v>
      </c>
      <c r="J709" s="36" t="str">
        <f aca="false">IF(Raw_Export!$A709="","",IF(COUNTIF($A$2:A709,A709)&gt;1,"Duplicate",""))</f>
        <v/>
      </c>
      <c r="K709" s="36" t="str">
        <f aca="false">IF(Raw_Export!$A709="","",IF(J709="Duplicate","Duplicate",IF(OR(C709="UNMAPPED",D709="UNMAPPED"),"Unmapped",IF(F709=0,"Blank qty",IF(F709&lt;0,"Return","OK")))))</f>
        <v>OK</v>
      </c>
      <c r="L709" s="36" t="n">
        <f aca="false">IF(Raw_Export!$A709="","",IF(OR(K709="OK",K709="Return"),1,0))</f>
        <v>1</v>
      </c>
      <c r="M709" s="37" t="n">
        <f aca="false">IF(Raw_Export!$A709="","",B709-WEEKDAY(B709,2)+1)</f>
        <v>46265</v>
      </c>
    </row>
    <row r="710" customFormat="false" ht="15" hidden="false" customHeight="false" outlineLevel="0" collapsed="false">
      <c r="A710" s="36" t="str">
        <f aca="false">IF(Raw_Export!$A710="","",TRIM(Raw_Export!A710))</f>
        <v>TXN-100695</v>
      </c>
      <c r="B710" s="37" t="n">
        <f aca="false">IF(Raw_Export!$A710="","",IF(ISNUMBER(Raw_Export!B710),Raw_Export!B710,IF(MID(TRIM(Raw_Export!B710),5,1)="-",DATE(LEFT(TRIM(Raw_Export!B710),4),MID(TRIM(Raw_Export!B710),6,2),RIGHT(TRIM(Raw_Export!B710),2)),DATE(RIGHT(TRIM(Raw_Export!B710),4),MATCH(MID(TRIM(Raw_Export!B710),4,3),{"Jan","Feb","Mar","Apr","May","Jun","Jul","Aug","Sep","Oct","Nov","Dec"},0),LEFT(TRIM(Raw_Export!B710),2)))))</f>
        <v>46270</v>
      </c>
      <c r="C710" s="36" t="str">
        <f aca="false">IF(Raw_Export!$A710="","",IFERROR(VLOOKUP(LOWER(TRIM(Raw_Export!C710)),Maps!$A$2:$B$20,2,FALSE()),"UNMAPPED"))</f>
        <v>Nairobi CBD</v>
      </c>
      <c r="D710" s="36" t="str">
        <f aca="false">IF(Raw_Export!$A710="","",IFERROR(VLOOKUP(LOWER(TRIM(Raw_Export!D710)),Maps!$G$2:$I$80,2,FALSE()),"UNMAPPED"))</f>
        <v>Soda 500ml</v>
      </c>
      <c r="E710" s="36" t="str">
        <f aca="false">IF(Raw_Export!$A710="","",IFERROR(VLOOKUP(LOWER(TRIM(Raw_Export!D710)),Maps!$G$2:$I$80,3,FALSE()),"UNMAPPED"))</f>
        <v>Beverages</v>
      </c>
      <c r="F710" s="36" t="n">
        <f aca="false">IF(Raw_Export!$A710="","",IFERROR(VALUE(TRIM(Raw_Export!E710)),0))</f>
        <v>1</v>
      </c>
      <c r="G710" s="38" t="n">
        <f aca="false">IF(Raw_Export!$A710="","",IFERROR(VALUE(SUBSTITUTE(SUBSTITUTE(UPPER(TRIM(Raw_Export!F710)),"KES",""),",","")),0))</f>
        <v>60</v>
      </c>
      <c r="H710" s="38" t="n">
        <f aca="false">IF(Raw_Export!$A710="","",F710*G710)</f>
        <v>60</v>
      </c>
      <c r="I710" s="36" t="str">
        <f aca="false">IF(Raw_Export!$A710="","",IFERROR(VLOOKUP(LOWER(TRIM(Raw_Export!H710)),Maps!$D$2:$E$12,2,FALSE()),"Other"))</f>
        <v>Card</v>
      </c>
      <c r="J710" s="36" t="str">
        <f aca="false">IF(Raw_Export!$A710="","",IF(COUNTIF($A$2:A710,A710)&gt;1,"Duplicate",""))</f>
        <v/>
      </c>
      <c r="K710" s="36" t="str">
        <f aca="false">IF(Raw_Export!$A710="","",IF(J710="Duplicate","Duplicate",IF(OR(C710="UNMAPPED",D710="UNMAPPED"),"Unmapped",IF(F710=0,"Blank qty",IF(F710&lt;0,"Return","OK")))))</f>
        <v>OK</v>
      </c>
      <c r="L710" s="36" t="n">
        <f aca="false">IF(Raw_Export!$A710="","",IF(OR(K710="OK",K710="Return"),1,0))</f>
        <v>1</v>
      </c>
      <c r="M710" s="37" t="n">
        <f aca="false">IF(Raw_Export!$A710="","",B710-WEEKDAY(B710,2)+1)</f>
        <v>46265</v>
      </c>
    </row>
    <row r="711" customFormat="false" ht="15" hidden="false" customHeight="false" outlineLevel="0" collapsed="false">
      <c r="A711" s="36" t="str">
        <f aca="false">IF(Raw_Export!$A711="","",TRIM(Raw_Export!A711))</f>
        <v>TXN-100696</v>
      </c>
      <c r="B711" s="37" t="n">
        <f aca="false">IF(Raw_Export!$A711="","",IF(ISNUMBER(Raw_Export!B711),Raw_Export!B711,IF(MID(TRIM(Raw_Export!B711),5,1)="-",DATE(LEFT(TRIM(Raw_Export!B711),4),MID(TRIM(Raw_Export!B711),6,2),RIGHT(TRIM(Raw_Export!B711),2)),DATE(RIGHT(TRIM(Raw_Export!B711),4),MATCH(MID(TRIM(Raw_Export!B711),4,3),{"Jan","Feb","Mar","Apr","May","Jun","Jul","Aug","Sep","Oct","Nov","Dec"},0),LEFT(TRIM(Raw_Export!B711),2)))))</f>
        <v>46270</v>
      </c>
      <c r="C711" s="36" t="str">
        <f aca="false">IF(Raw_Export!$A711="","",IFERROR(VLOOKUP(LOWER(TRIM(Raw_Export!C711)),Maps!$A$2:$B$20,2,FALSE()),"UNMAPPED"))</f>
        <v>Nairobi CBD</v>
      </c>
      <c r="D711" s="36" t="str">
        <f aca="false">IF(Raw_Export!$A711="","",IFERROR(VLOOKUP(LOWER(TRIM(Raw_Export!D711)),Maps!$G$2:$I$80,2,FALSE()),"UNMAPPED"))</f>
        <v>Sanitary Pads 8pk</v>
      </c>
      <c r="E711" s="36" t="str">
        <f aca="false">IF(Raw_Export!$A711="","",IFERROR(VLOOKUP(LOWER(TRIM(Raw_Export!D711)),Maps!$G$2:$I$80,3,FALSE()),"UNMAPPED"))</f>
        <v>Personal Care</v>
      </c>
      <c r="F711" s="36" t="n">
        <f aca="false">IF(Raw_Export!$A711="","",IFERROR(VALUE(TRIM(Raw_Export!E711)),0))</f>
        <v>1</v>
      </c>
      <c r="G711" s="38" t="n">
        <f aca="false">IF(Raw_Export!$A711="","",IFERROR(VALUE(SUBSTITUTE(SUBSTITUTE(UPPER(TRIM(Raw_Export!F711)),"KES",""),",","")),0))</f>
        <v>130</v>
      </c>
      <c r="H711" s="38" t="n">
        <f aca="false">IF(Raw_Export!$A711="","",F711*G711)</f>
        <v>130</v>
      </c>
      <c r="I711" s="36" t="str">
        <f aca="false">IF(Raw_Export!$A711="","",IFERROR(VLOOKUP(LOWER(TRIM(Raw_Export!H711)),Maps!$D$2:$E$12,2,FALSE()),"Other"))</f>
        <v>Cash</v>
      </c>
      <c r="J711" s="36" t="str">
        <f aca="false">IF(Raw_Export!$A711="","",IF(COUNTIF($A$2:A711,A711)&gt;1,"Duplicate",""))</f>
        <v/>
      </c>
      <c r="K711" s="36" t="str">
        <f aca="false">IF(Raw_Export!$A711="","",IF(J711="Duplicate","Duplicate",IF(OR(C711="UNMAPPED",D711="UNMAPPED"),"Unmapped",IF(F711=0,"Blank qty",IF(F711&lt;0,"Return","OK")))))</f>
        <v>OK</v>
      </c>
      <c r="L711" s="36" t="n">
        <f aca="false">IF(Raw_Export!$A711="","",IF(OR(K711="OK",K711="Return"),1,0))</f>
        <v>1</v>
      </c>
      <c r="M711" s="37" t="n">
        <f aca="false">IF(Raw_Export!$A711="","",B711-WEEKDAY(B711,2)+1)</f>
        <v>46265</v>
      </c>
    </row>
    <row r="712" customFormat="false" ht="15" hidden="false" customHeight="false" outlineLevel="0" collapsed="false">
      <c r="A712" s="36" t="str">
        <f aca="false">IF(Raw_Export!$A712="","",TRIM(Raw_Export!A712))</f>
        <v>TXN-100697</v>
      </c>
      <c r="B712" s="37" t="n">
        <f aca="false">IF(Raw_Export!$A712="","",IF(ISNUMBER(Raw_Export!B712),Raw_Export!B712,IF(MID(TRIM(Raw_Export!B712),5,1)="-",DATE(LEFT(TRIM(Raw_Export!B712),4),MID(TRIM(Raw_Export!B712),6,2),RIGHT(TRIM(Raw_Export!B712),2)),DATE(RIGHT(TRIM(Raw_Export!B712),4),MATCH(MID(TRIM(Raw_Export!B712),4,3),{"Jan","Feb","Mar","Apr","May","Jun","Jul","Aug","Sep","Oct","Nov","Dec"},0),LEFT(TRIM(Raw_Export!B712),2)))))</f>
        <v>46270</v>
      </c>
      <c r="C712" s="36" t="str">
        <f aca="false">IF(Raw_Export!$A712="","",IFERROR(VLOOKUP(LOWER(TRIM(Raw_Export!C712)),Maps!$A$2:$B$20,2,FALSE()),"UNMAPPED"))</f>
        <v>Nairobi CBD</v>
      </c>
      <c r="D712" s="36" t="str">
        <f aca="false">IF(Raw_Export!$A712="","",IFERROR(VLOOKUP(LOWER(TRIM(Raw_Export!D712)),Maps!$G$2:$I$80,2,FALSE()),"UNMAPPED"))</f>
        <v>Dish Soap 750ml</v>
      </c>
      <c r="E712" s="36" t="str">
        <f aca="false">IF(Raw_Export!$A712="","",IFERROR(VLOOKUP(LOWER(TRIM(Raw_Export!D712)),Maps!$G$2:$I$80,3,FALSE()),"UNMAPPED"))</f>
        <v>Household</v>
      </c>
      <c r="F712" s="36" t="n">
        <f aca="false">IF(Raw_Export!$A712="","",IFERROR(VALUE(TRIM(Raw_Export!E712)),0))</f>
        <v>1</v>
      </c>
      <c r="G712" s="38" t="n">
        <f aca="false">IF(Raw_Export!$A712="","",IFERROR(VALUE(SUBSTITUTE(SUBSTITUTE(UPPER(TRIM(Raw_Export!F712)),"KES",""),",","")),0))</f>
        <v>190</v>
      </c>
      <c r="H712" s="38" t="n">
        <f aca="false">IF(Raw_Export!$A712="","",F712*G712)</f>
        <v>190</v>
      </c>
      <c r="I712" s="36" t="str">
        <f aca="false">IF(Raw_Export!$A712="","",IFERROR(VLOOKUP(LOWER(TRIM(Raw_Export!H712)),Maps!$D$2:$E$12,2,FALSE()),"Other"))</f>
        <v>Cash</v>
      </c>
      <c r="J712" s="36" t="str">
        <f aca="false">IF(Raw_Export!$A712="","",IF(COUNTIF($A$2:A712,A712)&gt;1,"Duplicate",""))</f>
        <v/>
      </c>
      <c r="K712" s="36" t="str">
        <f aca="false">IF(Raw_Export!$A712="","",IF(J712="Duplicate","Duplicate",IF(OR(C712="UNMAPPED",D712="UNMAPPED"),"Unmapped",IF(F712=0,"Blank qty",IF(F712&lt;0,"Return","OK")))))</f>
        <v>OK</v>
      </c>
      <c r="L712" s="36" t="n">
        <f aca="false">IF(Raw_Export!$A712="","",IF(OR(K712="OK",K712="Return"),1,0))</f>
        <v>1</v>
      </c>
      <c r="M712" s="37" t="n">
        <f aca="false">IF(Raw_Export!$A712="","",B712-WEEKDAY(B712,2)+1)</f>
        <v>46265</v>
      </c>
    </row>
    <row r="713" customFormat="false" ht="15" hidden="false" customHeight="false" outlineLevel="0" collapsed="false">
      <c r="A713" s="36" t="str">
        <f aca="false">IF(Raw_Export!$A713="","",TRIM(Raw_Export!A713))</f>
        <v>TXN-100698</v>
      </c>
      <c r="B713" s="37" t="n">
        <f aca="false">IF(Raw_Export!$A713="","",IF(ISNUMBER(Raw_Export!B713),Raw_Export!B713,IF(MID(TRIM(Raw_Export!B713),5,1)="-",DATE(LEFT(TRIM(Raw_Export!B713),4),MID(TRIM(Raw_Export!B713),6,2),RIGHT(TRIM(Raw_Export!B713),2)),DATE(RIGHT(TRIM(Raw_Export!B713),4),MATCH(MID(TRIM(Raw_Export!B713),4,3),{"Jan","Feb","Mar","Apr","May","Jun","Jul","Aug","Sep","Oct","Nov","Dec"},0),LEFT(TRIM(Raw_Export!B713),2)))))</f>
        <v>46270</v>
      </c>
      <c r="C713" s="36" t="str">
        <f aca="false">IF(Raw_Export!$A713="","",IFERROR(VLOOKUP(LOWER(TRIM(Raw_Export!C713)),Maps!$A$2:$B$20,2,FALSE()),"UNMAPPED"))</f>
        <v>Nairobi CBD</v>
      </c>
      <c r="D713" s="36" t="str">
        <f aca="false">IF(Raw_Export!$A713="","",IFERROR(VLOOKUP(LOWER(TRIM(Raw_Export!D713)),Maps!$G$2:$I$80,2,FALSE()),"UNMAPPED"))</f>
        <v>Peanuts 250g</v>
      </c>
      <c r="E713" s="36" t="str">
        <f aca="false">IF(Raw_Export!$A713="","",IFERROR(VLOOKUP(LOWER(TRIM(Raw_Export!D713)),Maps!$G$2:$I$80,3,FALSE()),"UNMAPPED"))</f>
        <v>Snacks</v>
      </c>
      <c r="F713" s="36" t="n">
        <f aca="false">IF(Raw_Export!$A713="","",IFERROR(VALUE(TRIM(Raw_Export!E713)),0))</f>
        <v>1</v>
      </c>
      <c r="G713" s="38" t="n">
        <f aca="false">IF(Raw_Export!$A713="","",IFERROR(VALUE(SUBSTITUTE(SUBSTITUTE(UPPER(TRIM(Raw_Export!F713)),"KES",""),",","")),0))</f>
        <v>130</v>
      </c>
      <c r="H713" s="38" t="n">
        <f aca="false">IF(Raw_Export!$A713="","",F713*G713)</f>
        <v>130</v>
      </c>
      <c r="I713" s="36" t="str">
        <f aca="false">IF(Raw_Export!$A713="","",IFERROR(VLOOKUP(LOWER(TRIM(Raw_Export!H713)),Maps!$D$2:$E$12,2,FALSE()),"Other"))</f>
        <v>Card</v>
      </c>
      <c r="J713" s="36" t="str">
        <f aca="false">IF(Raw_Export!$A713="","",IF(COUNTIF($A$2:A713,A713)&gt;1,"Duplicate",""))</f>
        <v/>
      </c>
      <c r="K713" s="36" t="str">
        <f aca="false">IF(Raw_Export!$A713="","",IF(J713="Duplicate","Duplicate",IF(OR(C713="UNMAPPED",D713="UNMAPPED"),"Unmapped",IF(F713=0,"Blank qty",IF(F713&lt;0,"Return","OK")))))</f>
        <v>OK</v>
      </c>
      <c r="L713" s="36" t="n">
        <f aca="false">IF(Raw_Export!$A713="","",IF(OR(K713="OK",K713="Return"),1,0))</f>
        <v>1</v>
      </c>
      <c r="M713" s="37" t="n">
        <f aca="false">IF(Raw_Export!$A713="","",B713-WEEKDAY(B713,2)+1)</f>
        <v>46265</v>
      </c>
    </row>
    <row r="714" customFormat="false" ht="15" hidden="false" customHeight="false" outlineLevel="0" collapsed="false">
      <c r="A714" s="36" t="str">
        <f aca="false">IF(Raw_Export!$A714="","",TRIM(Raw_Export!A714))</f>
        <v>TXN-100699</v>
      </c>
      <c r="B714" s="37" t="n">
        <f aca="false">IF(Raw_Export!$A714="","",IF(ISNUMBER(Raw_Export!B714),Raw_Export!B714,IF(MID(TRIM(Raw_Export!B714),5,1)="-",DATE(LEFT(TRIM(Raw_Export!B714),4),MID(TRIM(Raw_Export!B714),6,2),RIGHT(TRIM(Raw_Export!B714),2)),DATE(RIGHT(TRIM(Raw_Export!B714),4),MATCH(MID(TRIM(Raw_Export!B714),4,3),{"Jan","Feb","Mar","Apr","May","Jun","Jul","Aug","Sep","Oct","Nov","Dec"},0),LEFT(TRIM(Raw_Export!B714),2)))))</f>
        <v>46270</v>
      </c>
      <c r="C714" s="36" t="str">
        <f aca="false">IF(Raw_Export!$A714="","",IFERROR(VLOOKUP(LOWER(TRIM(Raw_Export!C714)),Maps!$A$2:$B$20,2,FALSE()),"UNMAPPED"))</f>
        <v>Nairobi CBD</v>
      </c>
      <c r="D714" s="36" t="str">
        <f aca="false">IF(Raw_Export!$A714="","",IFERROR(VLOOKUP(LOWER(TRIM(Raw_Export!D714)),Maps!$G$2:$I$80,2,FALSE()),"UNMAPPED"))</f>
        <v>Rice Pishori 2kg</v>
      </c>
      <c r="E714" s="36" t="str">
        <f aca="false">IF(Raw_Export!$A714="","",IFERROR(VLOOKUP(LOWER(TRIM(Raw_Export!D714)),Maps!$G$2:$I$80,3,FALSE()),"UNMAPPED"))</f>
        <v>Staples</v>
      </c>
      <c r="F714" s="36" t="n">
        <f aca="false">IF(Raw_Export!$A714="","",IFERROR(VALUE(TRIM(Raw_Export!E714)),0))</f>
        <v>6</v>
      </c>
      <c r="G714" s="38" t="n">
        <f aca="false">IF(Raw_Export!$A714="","",IFERROR(VALUE(SUBSTITUTE(SUBSTITUTE(UPPER(TRIM(Raw_Export!F714)),"KES",""),",","")),0))</f>
        <v>420</v>
      </c>
      <c r="H714" s="38" t="n">
        <f aca="false">IF(Raw_Export!$A714="","",F714*G714)</f>
        <v>2520</v>
      </c>
      <c r="I714" s="36" t="str">
        <f aca="false">IF(Raw_Export!$A714="","",IFERROR(VLOOKUP(LOWER(TRIM(Raw_Export!H714)),Maps!$D$2:$E$12,2,FALSE()),"Other"))</f>
        <v>M-Pesa</v>
      </c>
      <c r="J714" s="36" t="str">
        <f aca="false">IF(Raw_Export!$A714="","",IF(COUNTIF($A$2:A714,A714)&gt;1,"Duplicate",""))</f>
        <v/>
      </c>
      <c r="K714" s="36" t="str">
        <f aca="false">IF(Raw_Export!$A714="","",IF(J714="Duplicate","Duplicate",IF(OR(C714="UNMAPPED",D714="UNMAPPED"),"Unmapped",IF(F714=0,"Blank qty",IF(F714&lt;0,"Return","OK")))))</f>
        <v>OK</v>
      </c>
      <c r="L714" s="36" t="n">
        <f aca="false">IF(Raw_Export!$A714="","",IF(OR(K714="OK",K714="Return"),1,0))</f>
        <v>1</v>
      </c>
      <c r="M714" s="37" t="n">
        <f aca="false">IF(Raw_Export!$A714="","",B714-WEEKDAY(B714,2)+1)</f>
        <v>46265</v>
      </c>
    </row>
    <row r="715" customFormat="false" ht="15" hidden="false" customHeight="false" outlineLevel="0" collapsed="false">
      <c r="A715" s="36" t="str">
        <f aca="false">IF(Raw_Export!$A715="","",TRIM(Raw_Export!A715))</f>
        <v>TXN-100700</v>
      </c>
      <c r="B715" s="37" t="n">
        <f aca="false">IF(Raw_Export!$A715="","",IF(ISNUMBER(Raw_Export!B715),Raw_Export!B715,IF(MID(TRIM(Raw_Export!B715),5,1)="-",DATE(LEFT(TRIM(Raw_Export!B715),4),MID(TRIM(Raw_Export!B715),6,2),RIGHT(TRIM(Raw_Export!B715),2)),DATE(RIGHT(TRIM(Raw_Export!B715),4),MATCH(MID(TRIM(Raw_Export!B715),4,3),{"Jan","Feb","Mar","Apr","May","Jun","Jul","Aug","Sep","Oct","Nov","Dec"},0),LEFT(TRIM(Raw_Export!B715),2)))))</f>
        <v>46270</v>
      </c>
      <c r="C715" s="36" t="str">
        <f aca="false">IF(Raw_Export!$A715="","",IFERROR(VLOOKUP(LOWER(TRIM(Raw_Export!C715)),Maps!$A$2:$B$20,2,FALSE()),"UNMAPPED"))</f>
        <v>Nairobi CBD</v>
      </c>
      <c r="D715" s="36" t="str">
        <f aca="false">IF(Raw_Export!$A715="","",IFERROR(VLOOKUP(LOWER(TRIM(Raw_Export!D715)),Maps!$G$2:$I$80,2,FALSE()),"UNMAPPED"))</f>
        <v>Cooking Oil 1L</v>
      </c>
      <c r="E715" s="36" t="str">
        <f aca="false">IF(Raw_Export!$A715="","",IFERROR(VLOOKUP(LOWER(TRIM(Raw_Export!D715)),Maps!$G$2:$I$80,3,FALSE()),"UNMAPPED"))</f>
        <v>Staples</v>
      </c>
      <c r="F715" s="36" t="n">
        <f aca="false">IF(Raw_Export!$A715="","",IFERROR(VALUE(TRIM(Raw_Export!E715)),0))</f>
        <v>1</v>
      </c>
      <c r="G715" s="38" t="n">
        <f aca="false">IF(Raw_Export!$A715="","",IFERROR(VALUE(SUBSTITUTE(SUBSTITUTE(UPPER(TRIM(Raw_Export!F715)),"KES",""),",","")),0))</f>
        <v>330</v>
      </c>
      <c r="H715" s="38" t="n">
        <f aca="false">IF(Raw_Export!$A715="","",F715*G715)</f>
        <v>330</v>
      </c>
      <c r="I715" s="36" t="str">
        <f aca="false">IF(Raw_Export!$A715="","",IFERROR(VLOOKUP(LOWER(TRIM(Raw_Export!H715)),Maps!$D$2:$E$12,2,FALSE()),"Other"))</f>
        <v>Card</v>
      </c>
      <c r="J715" s="36" t="str">
        <f aca="false">IF(Raw_Export!$A715="","",IF(COUNTIF($A$2:A715,A715)&gt;1,"Duplicate",""))</f>
        <v/>
      </c>
      <c r="K715" s="36" t="str">
        <f aca="false">IF(Raw_Export!$A715="","",IF(J715="Duplicate","Duplicate",IF(OR(C715="UNMAPPED",D715="UNMAPPED"),"Unmapped",IF(F715=0,"Blank qty",IF(F715&lt;0,"Return","OK")))))</f>
        <v>OK</v>
      </c>
      <c r="L715" s="36" t="n">
        <f aca="false">IF(Raw_Export!$A715="","",IF(OR(K715="OK",K715="Return"),1,0))</f>
        <v>1</v>
      </c>
      <c r="M715" s="37" t="n">
        <f aca="false">IF(Raw_Export!$A715="","",B715-WEEKDAY(B715,2)+1)</f>
        <v>46265</v>
      </c>
    </row>
    <row r="716" customFormat="false" ht="15" hidden="false" customHeight="false" outlineLevel="0" collapsed="false">
      <c r="A716" s="36" t="str">
        <f aca="false">IF(Raw_Export!$A716="","",TRIM(Raw_Export!A716))</f>
        <v>TXN-100701</v>
      </c>
      <c r="B716" s="37" t="n">
        <f aca="false">IF(Raw_Export!$A716="","",IF(ISNUMBER(Raw_Export!B716),Raw_Export!B716,IF(MID(TRIM(Raw_Export!B716),5,1)="-",DATE(LEFT(TRIM(Raw_Export!B716),4),MID(TRIM(Raw_Export!B716),6,2),RIGHT(TRIM(Raw_Export!B716),2)),DATE(RIGHT(TRIM(Raw_Export!B716),4),MATCH(MID(TRIM(Raw_Export!B716),4,3),{"Jan","Feb","Mar","Apr","May","Jun","Jul","Aug","Sep","Oct","Nov","Dec"},0),LEFT(TRIM(Raw_Export!B716),2)))))</f>
        <v>46270</v>
      </c>
      <c r="C716" s="36" t="str">
        <f aca="false">IF(Raw_Export!$A716="","",IFERROR(VLOOKUP(LOWER(TRIM(Raw_Export!C716)),Maps!$A$2:$B$20,2,FALSE()),"UNMAPPED"))</f>
        <v>Nairobi CBD</v>
      </c>
      <c r="D716" s="36" t="str">
        <f aca="false">IF(Raw_Export!$A716="","",IFERROR(VLOOKUP(LOWER(TRIM(Raw_Export!D716)),Maps!$G$2:$I$80,2,FALSE()),"UNMAPPED"))</f>
        <v>Deodorant 150ml</v>
      </c>
      <c r="E716" s="36" t="str">
        <f aca="false">IF(Raw_Export!$A716="","",IFERROR(VLOOKUP(LOWER(TRIM(Raw_Export!D716)),Maps!$G$2:$I$80,3,FALSE()),"UNMAPPED"))</f>
        <v>Personal Care</v>
      </c>
      <c r="F716" s="36" t="n">
        <f aca="false">IF(Raw_Export!$A716="","",IFERROR(VALUE(TRIM(Raw_Export!E716)),0))</f>
        <v>1</v>
      </c>
      <c r="G716" s="38" t="n">
        <f aca="false">IF(Raw_Export!$A716="","",IFERROR(VALUE(SUBSTITUTE(SUBSTITUTE(UPPER(TRIM(Raw_Export!F716)),"KES",""),",","")),0))</f>
        <v>350</v>
      </c>
      <c r="H716" s="38" t="n">
        <f aca="false">IF(Raw_Export!$A716="","",F716*G716)</f>
        <v>350</v>
      </c>
      <c r="I716" s="36" t="str">
        <f aca="false">IF(Raw_Export!$A716="","",IFERROR(VLOOKUP(LOWER(TRIM(Raw_Export!H716)),Maps!$D$2:$E$12,2,FALSE()),"Other"))</f>
        <v>M-Pesa</v>
      </c>
      <c r="J716" s="36" t="str">
        <f aca="false">IF(Raw_Export!$A716="","",IF(COUNTIF($A$2:A716,A716)&gt;1,"Duplicate",""))</f>
        <v/>
      </c>
      <c r="K716" s="36" t="str">
        <f aca="false">IF(Raw_Export!$A716="","",IF(J716="Duplicate","Duplicate",IF(OR(C716="UNMAPPED",D716="UNMAPPED"),"Unmapped",IF(F716=0,"Blank qty",IF(F716&lt;0,"Return","OK")))))</f>
        <v>OK</v>
      </c>
      <c r="L716" s="36" t="n">
        <f aca="false">IF(Raw_Export!$A716="","",IF(OR(K716="OK",K716="Return"),1,0))</f>
        <v>1</v>
      </c>
      <c r="M716" s="37" t="n">
        <f aca="false">IF(Raw_Export!$A716="","",B716-WEEKDAY(B716,2)+1)</f>
        <v>46265</v>
      </c>
    </row>
    <row r="717" customFormat="false" ht="15" hidden="false" customHeight="false" outlineLevel="0" collapsed="false">
      <c r="A717" s="36" t="str">
        <f aca="false">IF(Raw_Export!$A717="","",TRIM(Raw_Export!A717))</f>
        <v>TXN-100702</v>
      </c>
      <c r="B717" s="37" t="n">
        <f aca="false">IF(Raw_Export!$A717="","",IF(ISNUMBER(Raw_Export!B717),Raw_Export!B717,IF(MID(TRIM(Raw_Export!B717),5,1)="-",DATE(LEFT(TRIM(Raw_Export!B717),4),MID(TRIM(Raw_Export!B717),6,2),RIGHT(TRIM(Raw_Export!B717),2)),DATE(RIGHT(TRIM(Raw_Export!B717),4),MATCH(MID(TRIM(Raw_Export!B717),4,3),{"Jan","Feb","Mar","Apr","May","Jun","Jul","Aug","Sep","Oct","Nov","Dec"},0),LEFT(TRIM(Raw_Export!B717),2)))))</f>
        <v>46270</v>
      </c>
      <c r="C717" s="36" t="str">
        <f aca="false">IF(Raw_Export!$A717="","",IFERROR(VLOOKUP(LOWER(TRIM(Raw_Export!C717)),Maps!$A$2:$B$20,2,FALSE()),"UNMAPPED"))</f>
        <v>Nairobi CBD</v>
      </c>
      <c r="D717" s="36" t="str">
        <f aca="false">IF(Raw_Export!$A717="","",IFERROR(VLOOKUP(LOWER(TRIM(Raw_Export!D717)),Maps!$G$2:$I$80,2,FALSE()),"UNMAPPED"))</f>
        <v>Yoghurt 500ml</v>
      </c>
      <c r="E717" s="36" t="str">
        <f aca="false">IF(Raw_Export!$A717="","",IFERROR(VLOOKUP(LOWER(TRIM(Raw_Export!D717)),Maps!$G$2:$I$80,3,FALSE()),"UNMAPPED"))</f>
        <v>Dairy &amp; Eggs</v>
      </c>
      <c r="F717" s="36" t="n">
        <f aca="false">IF(Raw_Export!$A717="","",IFERROR(VALUE(TRIM(Raw_Export!E717)),0))</f>
        <v>4</v>
      </c>
      <c r="G717" s="38" t="n">
        <f aca="false">IF(Raw_Export!$A717="","",IFERROR(VALUE(SUBSTITUTE(SUBSTITUTE(UPPER(TRIM(Raw_Export!F717)),"KES",""),",","")),0))</f>
        <v>120</v>
      </c>
      <c r="H717" s="38" t="n">
        <f aca="false">IF(Raw_Export!$A717="","",F717*G717)</f>
        <v>480</v>
      </c>
      <c r="I717" s="36" t="str">
        <f aca="false">IF(Raw_Export!$A717="","",IFERROR(VLOOKUP(LOWER(TRIM(Raw_Export!H717)),Maps!$D$2:$E$12,2,FALSE()),"Other"))</f>
        <v>M-Pesa</v>
      </c>
      <c r="J717" s="36" t="str">
        <f aca="false">IF(Raw_Export!$A717="","",IF(COUNTIF($A$2:A717,A717)&gt;1,"Duplicate",""))</f>
        <v/>
      </c>
      <c r="K717" s="36" t="str">
        <f aca="false">IF(Raw_Export!$A717="","",IF(J717="Duplicate","Duplicate",IF(OR(C717="UNMAPPED",D717="UNMAPPED"),"Unmapped",IF(F717=0,"Blank qty",IF(F717&lt;0,"Return","OK")))))</f>
        <v>OK</v>
      </c>
      <c r="L717" s="36" t="n">
        <f aca="false">IF(Raw_Export!$A717="","",IF(OR(K717="OK",K717="Return"),1,0))</f>
        <v>1</v>
      </c>
      <c r="M717" s="37" t="n">
        <f aca="false">IF(Raw_Export!$A717="","",B717-WEEKDAY(B717,2)+1)</f>
        <v>46265</v>
      </c>
    </row>
    <row r="718" customFormat="false" ht="15" hidden="false" customHeight="false" outlineLevel="0" collapsed="false">
      <c r="A718" s="36" t="str">
        <f aca="false">IF(Raw_Export!$A718="","",TRIM(Raw_Export!A718))</f>
        <v>TXN-100703</v>
      </c>
      <c r="B718" s="37" t="n">
        <f aca="false">IF(Raw_Export!$A718="","",IF(ISNUMBER(Raw_Export!B718),Raw_Export!B718,IF(MID(TRIM(Raw_Export!B718),5,1)="-",DATE(LEFT(TRIM(Raw_Export!B718),4),MID(TRIM(Raw_Export!B718),6,2),RIGHT(TRIM(Raw_Export!B718),2)),DATE(RIGHT(TRIM(Raw_Export!B718),4),MATCH(MID(TRIM(Raw_Export!B718),4,3),{"Jan","Feb","Mar","Apr","May","Jun","Jul","Aug","Sep","Oct","Nov","Dec"},0),LEFT(TRIM(Raw_Export!B718),2)))))</f>
        <v>46270</v>
      </c>
      <c r="C718" s="36" t="str">
        <f aca="false">IF(Raw_Export!$A718="","",IFERROR(VLOOKUP(LOWER(TRIM(Raw_Export!C718)),Maps!$A$2:$B$20,2,FALSE()),"UNMAPPED"))</f>
        <v>Nairobi CBD</v>
      </c>
      <c r="D718" s="36" t="str">
        <f aca="false">IF(Raw_Export!$A718="","",IFERROR(VLOOKUP(LOWER(TRIM(Raw_Export!D718)),Maps!$G$2:$I$80,2,FALSE()),"UNMAPPED"))</f>
        <v>Bath Soap 175g</v>
      </c>
      <c r="E718" s="36" t="str">
        <f aca="false">IF(Raw_Export!$A718="","",IFERROR(VLOOKUP(LOWER(TRIM(Raw_Export!D718)),Maps!$G$2:$I$80,3,FALSE()),"UNMAPPED"))</f>
        <v>Personal Care</v>
      </c>
      <c r="F718" s="36" t="n">
        <f aca="false">IF(Raw_Export!$A718="","",IFERROR(VALUE(TRIM(Raw_Export!E718)),0))</f>
        <v>3</v>
      </c>
      <c r="G718" s="38" t="n">
        <f aca="false">IF(Raw_Export!$A718="","",IFERROR(VALUE(SUBSTITUTE(SUBSTITUTE(UPPER(TRIM(Raw_Export!F718)),"KES",""),",","")),0))</f>
        <v>85</v>
      </c>
      <c r="H718" s="38" t="n">
        <f aca="false">IF(Raw_Export!$A718="","",F718*G718)</f>
        <v>255</v>
      </c>
      <c r="I718" s="36" t="str">
        <f aca="false">IF(Raw_Export!$A718="","",IFERROR(VLOOKUP(LOWER(TRIM(Raw_Export!H718)),Maps!$D$2:$E$12,2,FALSE()),"Other"))</f>
        <v>M-Pesa</v>
      </c>
      <c r="J718" s="36" t="str">
        <f aca="false">IF(Raw_Export!$A718="","",IF(COUNTIF($A$2:A718,A718)&gt;1,"Duplicate",""))</f>
        <v/>
      </c>
      <c r="K718" s="36" t="str">
        <f aca="false">IF(Raw_Export!$A718="","",IF(J718="Duplicate","Duplicate",IF(OR(C718="UNMAPPED",D718="UNMAPPED"),"Unmapped",IF(F718=0,"Blank qty",IF(F718&lt;0,"Return","OK")))))</f>
        <v>OK</v>
      </c>
      <c r="L718" s="36" t="n">
        <f aca="false">IF(Raw_Export!$A718="","",IF(OR(K718="OK",K718="Return"),1,0))</f>
        <v>1</v>
      </c>
      <c r="M718" s="37" t="n">
        <f aca="false">IF(Raw_Export!$A718="","",B718-WEEKDAY(B718,2)+1)</f>
        <v>46265</v>
      </c>
    </row>
    <row r="719" customFormat="false" ht="15" hidden="false" customHeight="false" outlineLevel="0" collapsed="false">
      <c r="A719" s="36" t="str">
        <f aca="false">IF(Raw_Export!$A719="","",TRIM(Raw_Export!A719))</f>
        <v>TXN-100704</v>
      </c>
      <c r="B719" s="37" t="n">
        <f aca="false">IF(Raw_Export!$A719="","",IF(ISNUMBER(Raw_Export!B719),Raw_Export!B719,IF(MID(TRIM(Raw_Export!B719),5,1)="-",DATE(LEFT(TRIM(Raw_Export!B719),4),MID(TRIM(Raw_Export!B719),6,2),RIGHT(TRIM(Raw_Export!B719),2)),DATE(RIGHT(TRIM(Raw_Export!B719),4),MATCH(MID(TRIM(Raw_Export!B719),4,3),{"Jan","Feb","Mar","Apr","May","Jun","Jul","Aug","Sep","Oct","Nov","Dec"},0),LEFT(TRIM(Raw_Export!B719),2)))))</f>
        <v>46270</v>
      </c>
      <c r="C719" s="36" t="str">
        <f aca="false">IF(Raw_Export!$A719="","",IFERROR(VLOOKUP(LOWER(TRIM(Raw_Export!C719)),Maps!$A$2:$B$20,2,FALSE()),"UNMAPPED"))</f>
        <v>Nairobi CBD</v>
      </c>
      <c r="D719" s="36" t="str">
        <f aca="false">IF(Raw_Export!$A719="","",IFERROR(VLOOKUP(LOWER(TRIM(Raw_Export!D719)),Maps!$G$2:$I$80,2,FALSE()),"UNMAPPED"))</f>
        <v>Butter 250g</v>
      </c>
      <c r="E719" s="36" t="str">
        <f aca="false">IF(Raw_Export!$A719="","",IFERROR(VLOOKUP(LOWER(TRIM(Raw_Export!D719)),Maps!$G$2:$I$80,3,FALSE()),"UNMAPPED"))</f>
        <v>Dairy &amp; Eggs</v>
      </c>
      <c r="F719" s="36" t="n">
        <f aca="false">IF(Raw_Export!$A719="","",IFERROR(VALUE(TRIM(Raw_Export!E719)),0))</f>
        <v>2</v>
      </c>
      <c r="G719" s="38" t="n">
        <f aca="false">IF(Raw_Export!$A719="","",IFERROR(VALUE(SUBSTITUTE(SUBSTITUTE(UPPER(TRIM(Raw_Export!F719)),"KES",""),",","")),0))</f>
        <v>310</v>
      </c>
      <c r="H719" s="38" t="n">
        <f aca="false">IF(Raw_Export!$A719="","",F719*G719)</f>
        <v>620</v>
      </c>
      <c r="I719" s="36" t="str">
        <f aca="false">IF(Raw_Export!$A719="","",IFERROR(VLOOKUP(LOWER(TRIM(Raw_Export!H719)),Maps!$D$2:$E$12,2,FALSE()),"Other"))</f>
        <v>Cash</v>
      </c>
      <c r="J719" s="36" t="str">
        <f aca="false">IF(Raw_Export!$A719="","",IF(COUNTIF($A$2:A719,A719)&gt;1,"Duplicate",""))</f>
        <v/>
      </c>
      <c r="K719" s="36" t="str">
        <f aca="false">IF(Raw_Export!$A719="","",IF(J719="Duplicate","Duplicate",IF(OR(C719="UNMAPPED",D719="UNMAPPED"),"Unmapped",IF(F719=0,"Blank qty",IF(F719&lt;0,"Return","OK")))))</f>
        <v>OK</v>
      </c>
      <c r="L719" s="36" t="n">
        <f aca="false">IF(Raw_Export!$A719="","",IF(OR(K719="OK",K719="Return"),1,0))</f>
        <v>1</v>
      </c>
      <c r="M719" s="37" t="n">
        <f aca="false">IF(Raw_Export!$A719="","",B719-WEEKDAY(B719,2)+1)</f>
        <v>46265</v>
      </c>
    </row>
    <row r="720" customFormat="false" ht="15" hidden="false" customHeight="false" outlineLevel="0" collapsed="false">
      <c r="A720" s="36" t="str">
        <f aca="false">IF(Raw_Export!$A720="","",TRIM(Raw_Export!A720))</f>
        <v>TXN-100705</v>
      </c>
      <c r="B720" s="37" t="n">
        <f aca="false">IF(Raw_Export!$A720="","",IF(ISNUMBER(Raw_Export!B720),Raw_Export!B720,IF(MID(TRIM(Raw_Export!B720),5,1)="-",DATE(LEFT(TRIM(Raw_Export!B720),4),MID(TRIM(Raw_Export!B720),6,2),RIGHT(TRIM(Raw_Export!B720),2)),DATE(RIGHT(TRIM(Raw_Export!B720),4),MATCH(MID(TRIM(Raw_Export!B720),4,3),{"Jan","Feb","Mar","Apr","May","Jun","Jul","Aug","Sep","Oct","Nov","Dec"},0),LEFT(TRIM(Raw_Export!B720),2)))))</f>
        <v>46270</v>
      </c>
      <c r="C720" s="36" t="str">
        <f aca="false">IF(Raw_Export!$A720="","",IFERROR(VLOOKUP(LOWER(TRIM(Raw_Export!C720)),Maps!$A$2:$B$20,2,FALSE()),"UNMAPPED"))</f>
        <v>Nairobi CBD</v>
      </c>
      <c r="D720" s="36" t="str">
        <f aca="false">IF(Raw_Export!$A720="","",IFERROR(VLOOKUP(LOWER(TRIM(Raw_Export!D720)),Maps!$G$2:$I$80,2,FALSE()),"UNMAPPED"))</f>
        <v>Rice Pishori 2kg</v>
      </c>
      <c r="E720" s="36" t="str">
        <f aca="false">IF(Raw_Export!$A720="","",IFERROR(VLOOKUP(LOWER(TRIM(Raw_Export!D720)),Maps!$G$2:$I$80,3,FALSE()),"UNMAPPED"))</f>
        <v>Staples</v>
      </c>
      <c r="F720" s="36" t="n">
        <f aca="false">IF(Raw_Export!$A720="","",IFERROR(VALUE(TRIM(Raw_Export!E720)),0))</f>
        <v>1</v>
      </c>
      <c r="G720" s="38" t="n">
        <f aca="false">IF(Raw_Export!$A720="","",IFERROR(VALUE(SUBSTITUTE(SUBSTITUTE(UPPER(TRIM(Raw_Export!F720)),"KES",""),",","")),0))</f>
        <v>420</v>
      </c>
      <c r="H720" s="38" t="n">
        <f aca="false">IF(Raw_Export!$A720="","",F720*G720)</f>
        <v>420</v>
      </c>
      <c r="I720" s="36" t="str">
        <f aca="false">IF(Raw_Export!$A720="","",IFERROR(VLOOKUP(LOWER(TRIM(Raw_Export!H720)),Maps!$D$2:$E$12,2,FALSE()),"Other"))</f>
        <v>Cash</v>
      </c>
      <c r="J720" s="36" t="str">
        <f aca="false">IF(Raw_Export!$A720="","",IF(COUNTIF($A$2:A720,A720)&gt;1,"Duplicate",""))</f>
        <v/>
      </c>
      <c r="K720" s="36" t="str">
        <f aca="false">IF(Raw_Export!$A720="","",IF(J720="Duplicate","Duplicate",IF(OR(C720="UNMAPPED",D720="UNMAPPED"),"Unmapped",IF(F720=0,"Blank qty",IF(F720&lt;0,"Return","OK")))))</f>
        <v>OK</v>
      </c>
      <c r="L720" s="36" t="n">
        <f aca="false">IF(Raw_Export!$A720="","",IF(OR(K720="OK",K720="Return"),1,0))</f>
        <v>1</v>
      </c>
      <c r="M720" s="37" t="n">
        <f aca="false">IF(Raw_Export!$A720="","",B720-WEEKDAY(B720,2)+1)</f>
        <v>46265</v>
      </c>
    </row>
    <row r="721" customFormat="false" ht="15" hidden="false" customHeight="false" outlineLevel="0" collapsed="false">
      <c r="A721" s="36" t="str">
        <f aca="false">IF(Raw_Export!$A721="","",TRIM(Raw_Export!A721))</f>
        <v>TXN-100706</v>
      </c>
      <c r="B721" s="37" t="n">
        <f aca="false">IF(Raw_Export!$A721="","",IF(ISNUMBER(Raw_Export!B721),Raw_Export!B721,IF(MID(TRIM(Raw_Export!B721),5,1)="-",DATE(LEFT(TRIM(Raw_Export!B721),4),MID(TRIM(Raw_Export!B721),6,2),RIGHT(TRIM(Raw_Export!B721),2)),DATE(RIGHT(TRIM(Raw_Export!B721),4),MATCH(MID(TRIM(Raw_Export!B721),4,3),{"Jan","Feb","Mar","Apr","May","Jun","Jul","Aug","Sep","Oct","Nov","Dec"},0),LEFT(TRIM(Raw_Export!B721),2)))))</f>
        <v>46270</v>
      </c>
      <c r="C721" s="36" t="str">
        <f aca="false">IF(Raw_Export!$A721="","",IFERROR(VLOOKUP(LOWER(TRIM(Raw_Export!C721)),Maps!$A$2:$B$20,2,FALSE()),"UNMAPPED"))</f>
        <v>Nairobi CBD</v>
      </c>
      <c r="D721" s="36" t="str">
        <f aca="false">IF(Raw_Export!$A721="","",IFERROR(VLOOKUP(LOWER(TRIM(Raw_Export!D721)),Maps!$G$2:$I$80,2,FALSE()),"UNMAPPED"))</f>
        <v>Salt 500g</v>
      </c>
      <c r="E721" s="36" t="str">
        <f aca="false">IF(Raw_Export!$A721="","",IFERROR(VLOOKUP(LOWER(TRIM(Raw_Export!D721)),Maps!$G$2:$I$80,3,FALSE()),"UNMAPPED"))</f>
        <v>Staples</v>
      </c>
      <c r="F721" s="36" t="n">
        <f aca="false">IF(Raw_Export!$A721="","",IFERROR(VALUE(TRIM(Raw_Export!E721)),0))</f>
        <v>2</v>
      </c>
      <c r="G721" s="38" t="n">
        <f aca="false">IF(Raw_Export!$A721="","",IFERROR(VALUE(SUBSTITUTE(SUBSTITUTE(UPPER(TRIM(Raw_Export!F721)),"KES",""),",","")),0))</f>
        <v>40</v>
      </c>
      <c r="H721" s="38" t="n">
        <f aca="false">IF(Raw_Export!$A721="","",F721*G721)</f>
        <v>80</v>
      </c>
      <c r="I721" s="36" t="str">
        <f aca="false">IF(Raw_Export!$A721="","",IFERROR(VLOOKUP(LOWER(TRIM(Raw_Export!H721)),Maps!$D$2:$E$12,2,FALSE()),"Other"))</f>
        <v>M-Pesa</v>
      </c>
      <c r="J721" s="36" t="str">
        <f aca="false">IF(Raw_Export!$A721="","",IF(COUNTIF($A$2:A721,A721)&gt;1,"Duplicate",""))</f>
        <v/>
      </c>
      <c r="K721" s="36" t="str">
        <f aca="false">IF(Raw_Export!$A721="","",IF(J721="Duplicate","Duplicate",IF(OR(C721="UNMAPPED",D721="UNMAPPED"),"Unmapped",IF(F721=0,"Blank qty",IF(F721&lt;0,"Return","OK")))))</f>
        <v>OK</v>
      </c>
      <c r="L721" s="36" t="n">
        <f aca="false">IF(Raw_Export!$A721="","",IF(OR(K721="OK",K721="Return"),1,0))</f>
        <v>1</v>
      </c>
      <c r="M721" s="37" t="n">
        <f aca="false">IF(Raw_Export!$A721="","",B721-WEEKDAY(B721,2)+1)</f>
        <v>46265</v>
      </c>
    </row>
    <row r="722" customFormat="false" ht="15" hidden="false" customHeight="false" outlineLevel="0" collapsed="false">
      <c r="A722" s="36" t="str">
        <f aca="false">IF(Raw_Export!$A722="","",TRIM(Raw_Export!A722))</f>
        <v>TXN-100707</v>
      </c>
      <c r="B722" s="37" t="n">
        <f aca="false">IF(Raw_Export!$A722="","",IF(ISNUMBER(Raw_Export!B722),Raw_Export!B722,IF(MID(TRIM(Raw_Export!B722),5,1)="-",DATE(LEFT(TRIM(Raw_Export!B722),4),MID(TRIM(Raw_Export!B722),6,2),RIGHT(TRIM(Raw_Export!B722),2)),DATE(RIGHT(TRIM(Raw_Export!B722),4),MATCH(MID(TRIM(Raw_Export!B722),4,3),{"Jan","Feb","Mar","Apr","May","Jun","Jul","Aug","Sep","Oct","Nov","Dec"},0),LEFT(TRIM(Raw_Export!B722),2)))))</f>
        <v>46270</v>
      </c>
      <c r="C722" s="36" t="str">
        <f aca="false">IF(Raw_Export!$A722="","",IFERROR(VLOOKUP(LOWER(TRIM(Raw_Export!C722)),Maps!$A$2:$B$20,2,FALSE()),"UNMAPPED"))</f>
        <v>Nairobi CBD</v>
      </c>
      <c r="D722" s="36" t="str">
        <f aca="false">IF(Raw_Export!$A722="","",IFERROR(VLOOKUP(LOWER(TRIM(Raw_Export!D722)),Maps!$G$2:$I$80,2,FALSE()),"UNMAPPED"))</f>
        <v>Coffee 100g</v>
      </c>
      <c r="E722" s="36" t="str">
        <f aca="false">IF(Raw_Export!$A722="","",IFERROR(VLOOKUP(LOWER(TRIM(Raw_Export!D722)),Maps!$G$2:$I$80,3,FALSE()),"UNMAPPED"))</f>
        <v>Beverages</v>
      </c>
      <c r="F722" s="36" t="n">
        <f aca="false">IF(Raw_Export!$A722="","",IFERROR(VALUE(TRIM(Raw_Export!E722)),0))</f>
        <v>4</v>
      </c>
      <c r="G722" s="38" t="n">
        <f aca="false">IF(Raw_Export!$A722="","",IFERROR(VALUE(SUBSTITUTE(SUBSTITUTE(UPPER(TRIM(Raw_Export!F722)),"KES",""),",","")),0))</f>
        <v>360</v>
      </c>
      <c r="H722" s="38" t="n">
        <f aca="false">IF(Raw_Export!$A722="","",F722*G722)</f>
        <v>1440</v>
      </c>
      <c r="I722" s="36" t="str">
        <f aca="false">IF(Raw_Export!$A722="","",IFERROR(VLOOKUP(LOWER(TRIM(Raw_Export!H722)),Maps!$D$2:$E$12,2,FALSE()),"Other"))</f>
        <v>Cash</v>
      </c>
      <c r="J722" s="36" t="str">
        <f aca="false">IF(Raw_Export!$A722="","",IF(COUNTIF($A$2:A722,A722)&gt;1,"Duplicate",""))</f>
        <v/>
      </c>
      <c r="K722" s="36" t="str">
        <f aca="false">IF(Raw_Export!$A722="","",IF(J722="Duplicate","Duplicate",IF(OR(C722="UNMAPPED",D722="UNMAPPED"),"Unmapped",IF(F722=0,"Blank qty",IF(F722&lt;0,"Return","OK")))))</f>
        <v>OK</v>
      </c>
      <c r="L722" s="36" t="n">
        <f aca="false">IF(Raw_Export!$A722="","",IF(OR(K722="OK",K722="Return"),1,0))</f>
        <v>1</v>
      </c>
      <c r="M722" s="37" t="n">
        <f aca="false">IF(Raw_Export!$A722="","",B722-WEEKDAY(B722,2)+1)</f>
        <v>46265</v>
      </c>
    </row>
    <row r="723" customFormat="false" ht="15" hidden="false" customHeight="false" outlineLevel="0" collapsed="false">
      <c r="A723" s="36" t="str">
        <f aca="false">IF(Raw_Export!$A723="","",TRIM(Raw_Export!A723))</f>
        <v>TXN-100708</v>
      </c>
      <c r="B723" s="37" t="n">
        <f aca="false">IF(Raw_Export!$A723="","",IF(ISNUMBER(Raw_Export!B723),Raw_Export!B723,IF(MID(TRIM(Raw_Export!B723),5,1)="-",DATE(LEFT(TRIM(Raw_Export!B723),4),MID(TRIM(Raw_Export!B723),6,2),RIGHT(TRIM(Raw_Export!B723),2)),DATE(RIGHT(TRIM(Raw_Export!B723),4),MATCH(MID(TRIM(Raw_Export!B723),4,3),{"Jan","Feb","Mar","Apr","May","Jun","Jul","Aug","Sep","Oct","Nov","Dec"},0),LEFT(TRIM(Raw_Export!B723),2)))))</f>
        <v>46270</v>
      </c>
      <c r="C723" s="36" t="str">
        <f aca="false">IF(Raw_Export!$A723="","",IFERROR(VLOOKUP(LOWER(TRIM(Raw_Export!C723)),Maps!$A$2:$B$20,2,FALSE()),"UNMAPPED"))</f>
        <v>Nairobi CBD</v>
      </c>
      <c r="D723" s="36" t="str">
        <f aca="false">IF(Raw_Export!$A723="","",IFERROR(VLOOKUP(LOWER(TRIM(Raw_Export!D723)),Maps!$G$2:$I$80,2,FALSE()),"UNMAPPED"))</f>
        <v>Peanuts 250g</v>
      </c>
      <c r="E723" s="36" t="str">
        <f aca="false">IF(Raw_Export!$A723="","",IFERROR(VLOOKUP(LOWER(TRIM(Raw_Export!D723)),Maps!$G$2:$I$80,3,FALSE()),"UNMAPPED"))</f>
        <v>Snacks</v>
      </c>
      <c r="F723" s="36" t="n">
        <f aca="false">IF(Raw_Export!$A723="","",IFERROR(VALUE(TRIM(Raw_Export!E723)),0))</f>
        <v>2</v>
      </c>
      <c r="G723" s="38" t="n">
        <f aca="false">IF(Raw_Export!$A723="","",IFERROR(VALUE(SUBSTITUTE(SUBSTITUTE(UPPER(TRIM(Raw_Export!F723)),"KES",""),",","")),0))</f>
        <v>130</v>
      </c>
      <c r="H723" s="38" t="n">
        <f aca="false">IF(Raw_Export!$A723="","",F723*G723)</f>
        <v>260</v>
      </c>
      <c r="I723" s="36" t="str">
        <f aca="false">IF(Raw_Export!$A723="","",IFERROR(VLOOKUP(LOWER(TRIM(Raw_Export!H723)),Maps!$D$2:$E$12,2,FALSE()),"Other"))</f>
        <v>M-Pesa</v>
      </c>
      <c r="J723" s="36" t="str">
        <f aca="false">IF(Raw_Export!$A723="","",IF(COUNTIF($A$2:A723,A723)&gt;1,"Duplicate",""))</f>
        <v/>
      </c>
      <c r="K723" s="36" t="str">
        <f aca="false">IF(Raw_Export!$A723="","",IF(J723="Duplicate","Duplicate",IF(OR(C723="UNMAPPED",D723="UNMAPPED"),"Unmapped",IF(F723=0,"Blank qty",IF(F723&lt;0,"Return","OK")))))</f>
        <v>OK</v>
      </c>
      <c r="L723" s="36" t="n">
        <f aca="false">IF(Raw_Export!$A723="","",IF(OR(K723="OK",K723="Return"),1,0))</f>
        <v>1</v>
      </c>
      <c r="M723" s="37" t="n">
        <f aca="false">IF(Raw_Export!$A723="","",B723-WEEKDAY(B723,2)+1)</f>
        <v>46265</v>
      </c>
    </row>
    <row r="724" customFormat="false" ht="15" hidden="false" customHeight="false" outlineLevel="0" collapsed="false">
      <c r="A724" s="36" t="str">
        <f aca="false">IF(Raw_Export!$A724="","",TRIM(Raw_Export!A724))</f>
        <v>TXN-100709</v>
      </c>
      <c r="B724" s="37" t="n">
        <f aca="false">IF(Raw_Export!$A724="","",IF(ISNUMBER(Raw_Export!B724),Raw_Export!B724,IF(MID(TRIM(Raw_Export!B724),5,1)="-",DATE(LEFT(TRIM(Raw_Export!B724),4),MID(TRIM(Raw_Export!B724),6,2),RIGHT(TRIM(Raw_Export!B724),2)),DATE(RIGHT(TRIM(Raw_Export!B724),4),MATCH(MID(TRIM(Raw_Export!B724),4,3),{"Jan","Feb","Mar","Apr","May","Jun","Jul","Aug","Sep","Oct","Nov","Dec"},0),LEFT(TRIM(Raw_Export!B724),2)))))</f>
        <v>46270</v>
      </c>
      <c r="C724" s="36" t="str">
        <f aca="false">IF(Raw_Export!$A724="","",IFERROR(VLOOKUP(LOWER(TRIM(Raw_Export!C724)),Maps!$A$2:$B$20,2,FALSE()),"UNMAPPED"))</f>
        <v>Nairobi CBD</v>
      </c>
      <c r="D724" s="36" t="str">
        <f aca="false">IF(Raw_Export!$A724="","",IFERROR(VLOOKUP(LOWER(TRIM(Raw_Export!D724)),Maps!$G$2:$I$80,2,FALSE()),"UNMAPPED"))</f>
        <v>Spaghetti 400g</v>
      </c>
      <c r="E724" s="36" t="str">
        <f aca="false">IF(Raw_Export!$A724="","",IFERROR(VLOOKUP(LOWER(TRIM(Raw_Export!D724)),Maps!$G$2:$I$80,3,FALSE()),"UNMAPPED"))</f>
        <v>Staples</v>
      </c>
      <c r="F724" s="36" t="n">
        <f aca="false">IF(Raw_Export!$A724="","",IFERROR(VALUE(TRIM(Raw_Export!E724)),0))</f>
        <v>6</v>
      </c>
      <c r="G724" s="38" t="n">
        <f aca="false">IF(Raw_Export!$A724="","",IFERROR(VALUE(SUBSTITUTE(SUBSTITUTE(UPPER(TRIM(Raw_Export!F724)),"KES",""),",","")),0))</f>
        <v>110</v>
      </c>
      <c r="H724" s="38" t="n">
        <f aca="false">IF(Raw_Export!$A724="","",F724*G724)</f>
        <v>660</v>
      </c>
      <c r="I724" s="36" t="str">
        <f aca="false">IF(Raw_Export!$A724="","",IFERROR(VLOOKUP(LOWER(TRIM(Raw_Export!H724)),Maps!$D$2:$E$12,2,FALSE()),"Other"))</f>
        <v>M-Pesa</v>
      </c>
      <c r="J724" s="36" t="str">
        <f aca="false">IF(Raw_Export!$A724="","",IF(COUNTIF($A$2:A724,A724)&gt;1,"Duplicate",""))</f>
        <v/>
      </c>
      <c r="K724" s="36" t="str">
        <f aca="false">IF(Raw_Export!$A724="","",IF(J724="Duplicate","Duplicate",IF(OR(C724="UNMAPPED",D724="UNMAPPED"),"Unmapped",IF(F724=0,"Blank qty",IF(F724&lt;0,"Return","OK")))))</f>
        <v>OK</v>
      </c>
      <c r="L724" s="36" t="n">
        <f aca="false">IF(Raw_Export!$A724="","",IF(OR(K724="OK",K724="Return"),1,0))</f>
        <v>1</v>
      </c>
      <c r="M724" s="37" t="n">
        <f aca="false">IF(Raw_Export!$A724="","",B724-WEEKDAY(B724,2)+1)</f>
        <v>46265</v>
      </c>
    </row>
    <row r="725" customFormat="false" ht="15" hidden="false" customHeight="false" outlineLevel="0" collapsed="false">
      <c r="A725" s="36" t="str">
        <f aca="false">IF(Raw_Export!$A725="","",TRIM(Raw_Export!A725))</f>
        <v>TXN-100710</v>
      </c>
      <c r="B725" s="37" t="n">
        <f aca="false">IF(Raw_Export!$A725="","",IF(ISNUMBER(Raw_Export!B725),Raw_Export!B725,IF(MID(TRIM(Raw_Export!B725),5,1)="-",DATE(LEFT(TRIM(Raw_Export!B725),4),MID(TRIM(Raw_Export!B725),6,2),RIGHT(TRIM(Raw_Export!B725),2)),DATE(RIGHT(TRIM(Raw_Export!B725),4),MATCH(MID(TRIM(Raw_Export!B725),4,3),{"Jan","Feb","Mar","Apr","May","Jun","Jul","Aug","Sep","Oct","Nov","Dec"},0),LEFT(TRIM(Raw_Export!B725),2)))))</f>
        <v>46270</v>
      </c>
      <c r="C725" s="36" t="str">
        <f aca="false">IF(Raw_Export!$A725="","",IFERROR(VLOOKUP(LOWER(TRIM(Raw_Export!C725)),Maps!$A$2:$B$20,2,FALSE()),"UNMAPPED"))</f>
        <v>Nairobi CBD</v>
      </c>
      <c r="D725" s="36" t="str">
        <f aca="false">IF(Raw_Export!$A725="","",IFERROR(VLOOKUP(LOWER(TRIM(Raw_Export!D725)),Maps!$G$2:$I$80,2,FALSE()),"UNMAPPED"))</f>
        <v>Washing Powder 1kg</v>
      </c>
      <c r="E725" s="36" t="str">
        <f aca="false">IF(Raw_Export!$A725="","",IFERROR(VLOOKUP(LOWER(TRIM(Raw_Export!D725)),Maps!$G$2:$I$80,3,FALSE()),"UNMAPPED"))</f>
        <v>Household</v>
      </c>
      <c r="F725" s="36" t="n">
        <f aca="false">IF(Raw_Export!$A725="","",IFERROR(VALUE(TRIM(Raw_Export!E725)),0))</f>
        <v>1</v>
      </c>
      <c r="G725" s="38" t="n">
        <f aca="false">IF(Raw_Export!$A725="","",IFERROR(VALUE(SUBSTITUTE(SUBSTITUTE(UPPER(TRIM(Raw_Export!F725)),"KES",""),",","")),0))</f>
        <v>280</v>
      </c>
      <c r="H725" s="38" t="n">
        <f aca="false">IF(Raw_Export!$A725="","",F725*G725)</f>
        <v>280</v>
      </c>
      <c r="I725" s="36" t="str">
        <f aca="false">IF(Raw_Export!$A725="","",IFERROR(VLOOKUP(LOWER(TRIM(Raw_Export!H725)),Maps!$D$2:$E$12,2,FALSE()),"Other"))</f>
        <v>Cash</v>
      </c>
      <c r="J725" s="36" t="str">
        <f aca="false">IF(Raw_Export!$A725="","",IF(COUNTIF($A$2:A725,A725)&gt;1,"Duplicate",""))</f>
        <v>Duplicate</v>
      </c>
      <c r="K725" s="36" t="str">
        <f aca="false">IF(Raw_Export!$A725="","",IF(J725="Duplicate","Duplicate",IF(OR(C725="UNMAPPED",D725="UNMAPPED"),"Unmapped",IF(F725=0,"Blank qty",IF(F725&lt;0,"Return","OK")))))</f>
        <v>Duplicate</v>
      </c>
      <c r="L725" s="36" t="n">
        <f aca="false">IF(Raw_Export!$A725="","",IF(OR(K725="OK",K725="Return"),1,0))</f>
        <v>0</v>
      </c>
      <c r="M725" s="37" t="n">
        <f aca="false">IF(Raw_Export!$A725="","",B725-WEEKDAY(B725,2)+1)</f>
        <v>46265</v>
      </c>
    </row>
    <row r="726" customFormat="false" ht="15" hidden="false" customHeight="false" outlineLevel="0" collapsed="false">
      <c r="A726" s="36" t="str">
        <f aca="false">IF(Raw_Export!$A726="","",TRIM(Raw_Export!A726))</f>
        <v>TXN-100711</v>
      </c>
      <c r="B726" s="37" t="n">
        <f aca="false">IF(Raw_Export!$A726="","",IF(ISNUMBER(Raw_Export!B726),Raw_Export!B726,IF(MID(TRIM(Raw_Export!B726),5,1)="-",DATE(LEFT(TRIM(Raw_Export!B726),4),MID(TRIM(Raw_Export!B726),6,2),RIGHT(TRIM(Raw_Export!B726),2)),DATE(RIGHT(TRIM(Raw_Export!B726),4),MATCH(MID(TRIM(Raw_Export!B726),4,3),{"Jan","Feb","Mar","Apr","May","Jun","Jul","Aug","Sep","Oct","Nov","Dec"},0),LEFT(TRIM(Raw_Export!B726),2)))))</f>
        <v>46270</v>
      </c>
      <c r="C726" s="36" t="str">
        <f aca="false">IF(Raw_Export!$A726="","",IFERROR(VLOOKUP(LOWER(TRIM(Raw_Export!C726)),Maps!$A$2:$B$20,2,FALSE()),"UNMAPPED"))</f>
        <v>Nairobi CBD</v>
      </c>
      <c r="D726" s="36" t="str">
        <f aca="false">IF(Raw_Export!$A726="","",IFERROR(VLOOKUP(LOWER(TRIM(Raw_Export!D726)),Maps!$G$2:$I$80,2,FALSE()),"UNMAPPED"))</f>
        <v>Peanuts 250g</v>
      </c>
      <c r="E726" s="36" t="str">
        <f aca="false">IF(Raw_Export!$A726="","",IFERROR(VLOOKUP(LOWER(TRIM(Raw_Export!D726)),Maps!$G$2:$I$80,3,FALSE()),"UNMAPPED"))</f>
        <v>Snacks</v>
      </c>
      <c r="F726" s="36" t="n">
        <f aca="false">IF(Raw_Export!$A726="","",IFERROR(VALUE(TRIM(Raw_Export!E726)),0))</f>
        <v>1</v>
      </c>
      <c r="G726" s="38" t="n">
        <f aca="false">IF(Raw_Export!$A726="","",IFERROR(VALUE(SUBSTITUTE(SUBSTITUTE(UPPER(TRIM(Raw_Export!F726)),"KES",""),",","")),0))</f>
        <v>130</v>
      </c>
      <c r="H726" s="38" t="n">
        <f aca="false">IF(Raw_Export!$A726="","",F726*G726)</f>
        <v>130</v>
      </c>
      <c r="I726" s="36" t="str">
        <f aca="false">IF(Raw_Export!$A726="","",IFERROR(VLOOKUP(LOWER(TRIM(Raw_Export!H726)),Maps!$D$2:$E$12,2,FALSE()),"Other"))</f>
        <v>M-Pesa</v>
      </c>
      <c r="J726" s="36" t="str">
        <f aca="false">IF(Raw_Export!$A726="","",IF(COUNTIF($A$2:A726,A726)&gt;1,"Duplicate",""))</f>
        <v/>
      </c>
      <c r="K726" s="36" t="str">
        <f aca="false">IF(Raw_Export!$A726="","",IF(J726="Duplicate","Duplicate",IF(OR(C726="UNMAPPED",D726="UNMAPPED"),"Unmapped",IF(F726=0,"Blank qty",IF(F726&lt;0,"Return","OK")))))</f>
        <v>OK</v>
      </c>
      <c r="L726" s="36" t="n">
        <f aca="false">IF(Raw_Export!$A726="","",IF(OR(K726="OK",K726="Return"),1,0))</f>
        <v>1</v>
      </c>
      <c r="M726" s="37" t="n">
        <f aca="false">IF(Raw_Export!$A726="","",B726-WEEKDAY(B726,2)+1)</f>
        <v>46265</v>
      </c>
    </row>
    <row r="727" customFormat="false" ht="15" hidden="false" customHeight="false" outlineLevel="0" collapsed="false">
      <c r="A727" s="36" t="str">
        <f aca="false">IF(Raw_Export!$A727="","",TRIM(Raw_Export!A727))</f>
        <v>TXN-100712</v>
      </c>
      <c r="B727" s="37" t="n">
        <f aca="false">IF(Raw_Export!$A727="","",IF(ISNUMBER(Raw_Export!B727),Raw_Export!B727,IF(MID(TRIM(Raw_Export!B727),5,1)="-",DATE(LEFT(TRIM(Raw_Export!B727),4),MID(TRIM(Raw_Export!B727),6,2),RIGHT(TRIM(Raw_Export!B727),2)),DATE(RIGHT(TRIM(Raw_Export!B727),4),MATCH(MID(TRIM(Raw_Export!B727),4,3),{"Jan","Feb","Mar","Apr","May","Jun","Jul","Aug","Sep","Oct","Nov","Dec"},0),LEFT(TRIM(Raw_Export!B727),2)))))</f>
        <v>46270</v>
      </c>
      <c r="C727" s="36" t="str">
        <f aca="false">IF(Raw_Export!$A727="","",IFERROR(VLOOKUP(LOWER(TRIM(Raw_Export!C727)),Maps!$A$2:$B$20,2,FALSE()),"UNMAPPED"))</f>
        <v>Nairobi CBD</v>
      </c>
      <c r="D727" s="36" t="str">
        <f aca="false">IF(Raw_Export!$A727="","",IFERROR(VLOOKUP(LOWER(TRIM(Raw_Export!D727)),Maps!$G$2:$I$80,2,FALSE()),"UNMAPPED"))</f>
        <v>Salt 500g</v>
      </c>
      <c r="E727" s="36" t="str">
        <f aca="false">IF(Raw_Export!$A727="","",IFERROR(VLOOKUP(LOWER(TRIM(Raw_Export!D727)),Maps!$G$2:$I$80,3,FALSE()),"UNMAPPED"))</f>
        <v>Staples</v>
      </c>
      <c r="F727" s="36" t="n">
        <f aca="false">IF(Raw_Export!$A727="","",IFERROR(VALUE(TRIM(Raw_Export!E727)),0))</f>
        <v>6</v>
      </c>
      <c r="G727" s="38" t="n">
        <f aca="false">IF(Raw_Export!$A727="","",IFERROR(VALUE(SUBSTITUTE(SUBSTITUTE(UPPER(TRIM(Raw_Export!F727)),"KES",""),",","")),0))</f>
        <v>40</v>
      </c>
      <c r="H727" s="38" t="n">
        <f aca="false">IF(Raw_Export!$A727="","",F727*G727)</f>
        <v>240</v>
      </c>
      <c r="I727" s="36" t="str">
        <f aca="false">IF(Raw_Export!$A727="","",IFERROR(VLOOKUP(LOWER(TRIM(Raw_Export!H727)),Maps!$D$2:$E$12,2,FALSE()),"Other"))</f>
        <v>M-Pesa</v>
      </c>
      <c r="J727" s="36" t="str">
        <f aca="false">IF(Raw_Export!$A727="","",IF(COUNTIF($A$2:A727,A727)&gt;1,"Duplicate",""))</f>
        <v>Duplicate</v>
      </c>
      <c r="K727" s="36" t="str">
        <f aca="false">IF(Raw_Export!$A727="","",IF(J727="Duplicate","Duplicate",IF(OR(C727="UNMAPPED",D727="UNMAPPED"),"Unmapped",IF(F727=0,"Blank qty",IF(F727&lt;0,"Return","OK")))))</f>
        <v>Duplicate</v>
      </c>
      <c r="L727" s="36" t="n">
        <f aca="false">IF(Raw_Export!$A727="","",IF(OR(K727="OK",K727="Return"),1,0))</f>
        <v>0</v>
      </c>
      <c r="M727" s="37" t="n">
        <f aca="false">IF(Raw_Export!$A727="","",B727-WEEKDAY(B727,2)+1)</f>
        <v>46265</v>
      </c>
    </row>
    <row r="728" customFormat="false" ht="15" hidden="false" customHeight="false" outlineLevel="0" collapsed="false">
      <c r="A728" s="36" t="str">
        <f aca="false">IF(Raw_Export!$A728="","",TRIM(Raw_Export!A728))</f>
        <v>TXN-100713</v>
      </c>
      <c r="B728" s="37" t="n">
        <f aca="false">IF(Raw_Export!$A728="","",IF(ISNUMBER(Raw_Export!B728),Raw_Export!B728,IF(MID(TRIM(Raw_Export!B728),5,1)="-",DATE(LEFT(TRIM(Raw_Export!B728),4),MID(TRIM(Raw_Export!B728),6,2),RIGHT(TRIM(Raw_Export!B728),2)),DATE(RIGHT(TRIM(Raw_Export!B728),4),MATCH(MID(TRIM(Raw_Export!B728),4,3),{"Jan","Feb","Mar","Apr","May","Jun","Jul","Aug","Sep","Oct","Nov","Dec"},0),LEFT(TRIM(Raw_Export!B728),2)))))</f>
        <v>46270</v>
      </c>
      <c r="C728" s="36" t="str">
        <f aca="false">IF(Raw_Export!$A728="","",IFERROR(VLOOKUP(LOWER(TRIM(Raw_Export!C728)),Maps!$A$2:$B$20,2,FALSE()),"UNMAPPED"))</f>
        <v>Nairobi CBD</v>
      </c>
      <c r="D728" s="36" t="str">
        <f aca="false">IF(Raw_Export!$A728="","",IFERROR(VLOOKUP(LOWER(TRIM(Raw_Export!D728)),Maps!$G$2:$I$80,2,FALSE()),"UNMAPPED"))</f>
        <v>Yoghurt 500ml</v>
      </c>
      <c r="E728" s="36" t="str">
        <f aca="false">IF(Raw_Export!$A728="","",IFERROR(VLOOKUP(LOWER(TRIM(Raw_Export!D728)),Maps!$G$2:$I$80,3,FALSE()),"UNMAPPED"))</f>
        <v>Dairy &amp; Eggs</v>
      </c>
      <c r="F728" s="36" t="n">
        <f aca="false">IF(Raw_Export!$A728="","",IFERROR(VALUE(TRIM(Raw_Export!E728)),0))</f>
        <v>2</v>
      </c>
      <c r="G728" s="38" t="n">
        <f aca="false">IF(Raw_Export!$A728="","",IFERROR(VALUE(SUBSTITUTE(SUBSTITUTE(UPPER(TRIM(Raw_Export!F728)),"KES",""),",","")),0))</f>
        <v>120</v>
      </c>
      <c r="H728" s="38" t="n">
        <f aca="false">IF(Raw_Export!$A728="","",F728*G728)</f>
        <v>240</v>
      </c>
      <c r="I728" s="36" t="str">
        <f aca="false">IF(Raw_Export!$A728="","",IFERROR(VLOOKUP(LOWER(TRIM(Raw_Export!H728)),Maps!$D$2:$E$12,2,FALSE()),"Other"))</f>
        <v>M-Pesa</v>
      </c>
      <c r="J728" s="36" t="str">
        <f aca="false">IF(Raw_Export!$A728="","",IF(COUNTIF($A$2:A728,A728)&gt;1,"Duplicate",""))</f>
        <v/>
      </c>
      <c r="K728" s="36" t="str">
        <f aca="false">IF(Raw_Export!$A728="","",IF(J728="Duplicate","Duplicate",IF(OR(C728="UNMAPPED",D728="UNMAPPED"),"Unmapped",IF(F728=0,"Blank qty",IF(F728&lt;0,"Return","OK")))))</f>
        <v>OK</v>
      </c>
      <c r="L728" s="36" t="n">
        <f aca="false">IF(Raw_Export!$A728="","",IF(OR(K728="OK",K728="Return"),1,0))</f>
        <v>1</v>
      </c>
      <c r="M728" s="37" t="n">
        <f aca="false">IF(Raw_Export!$A728="","",B728-WEEKDAY(B728,2)+1)</f>
        <v>46265</v>
      </c>
    </row>
    <row r="729" customFormat="false" ht="15" hidden="false" customHeight="false" outlineLevel="0" collapsed="false">
      <c r="A729" s="36" t="str">
        <f aca="false">IF(Raw_Export!$A729="","",TRIM(Raw_Export!A729))</f>
        <v>TXN-100714</v>
      </c>
      <c r="B729" s="37" t="n">
        <f aca="false">IF(Raw_Export!$A729="","",IF(ISNUMBER(Raw_Export!B729),Raw_Export!B729,IF(MID(TRIM(Raw_Export!B729),5,1)="-",DATE(LEFT(TRIM(Raw_Export!B729),4),MID(TRIM(Raw_Export!B729),6,2),RIGHT(TRIM(Raw_Export!B729),2)),DATE(RIGHT(TRIM(Raw_Export!B729),4),MATCH(MID(TRIM(Raw_Export!B729),4,3),{"Jan","Feb","Mar","Apr","May","Jun","Jul","Aug","Sep","Oct","Nov","Dec"},0),LEFT(TRIM(Raw_Export!B729),2)))))</f>
        <v>46270</v>
      </c>
      <c r="C729" s="36" t="str">
        <f aca="false">IF(Raw_Export!$A729="","",IFERROR(VLOOKUP(LOWER(TRIM(Raw_Export!C729)),Maps!$A$2:$B$20,2,FALSE()),"UNMAPPED"))</f>
        <v>Nairobi CBD</v>
      </c>
      <c r="D729" s="36" t="str">
        <f aca="false">IF(Raw_Export!$A729="","",IFERROR(VLOOKUP(LOWER(TRIM(Raw_Export!D729)),Maps!$G$2:$I$80,2,FALSE()),"UNMAPPED"))</f>
        <v>Soda 500ml</v>
      </c>
      <c r="E729" s="36" t="str">
        <f aca="false">IF(Raw_Export!$A729="","",IFERROR(VLOOKUP(LOWER(TRIM(Raw_Export!D729)),Maps!$G$2:$I$80,3,FALSE()),"UNMAPPED"))</f>
        <v>Beverages</v>
      </c>
      <c r="F729" s="36" t="n">
        <f aca="false">IF(Raw_Export!$A729="","",IFERROR(VALUE(TRIM(Raw_Export!E729)),0))</f>
        <v>3</v>
      </c>
      <c r="G729" s="38" t="n">
        <f aca="false">IF(Raw_Export!$A729="","",IFERROR(VALUE(SUBSTITUTE(SUBSTITUTE(UPPER(TRIM(Raw_Export!F729)),"KES",""),",","")),0))</f>
        <v>60</v>
      </c>
      <c r="H729" s="38" t="n">
        <f aca="false">IF(Raw_Export!$A729="","",F729*G729)</f>
        <v>180</v>
      </c>
      <c r="I729" s="36" t="str">
        <f aca="false">IF(Raw_Export!$A729="","",IFERROR(VLOOKUP(LOWER(TRIM(Raw_Export!H729)),Maps!$D$2:$E$12,2,FALSE()),"Other"))</f>
        <v>M-Pesa</v>
      </c>
      <c r="J729" s="36" t="str">
        <f aca="false">IF(Raw_Export!$A729="","",IF(COUNTIF($A$2:A729,A729)&gt;1,"Duplicate",""))</f>
        <v/>
      </c>
      <c r="K729" s="36" t="str">
        <f aca="false">IF(Raw_Export!$A729="","",IF(J729="Duplicate","Duplicate",IF(OR(C729="UNMAPPED",D729="UNMAPPED"),"Unmapped",IF(F729=0,"Blank qty",IF(F729&lt;0,"Return","OK")))))</f>
        <v>OK</v>
      </c>
      <c r="L729" s="36" t="n">
        <f aca="false">IF(Raw_Export!$A729="","",IF(OR(K729="OK",K729="Return"),1,0))</f>
        <v>1</v>
      </c>
      <c r="M729" s="37" t="n">
        <f aca="false">IF(Raw_Export!$A729="","",B729-WEEKDAY(B729,2)+1)</f>
        <v>46265</v>
      </c>
    </row>
    <row r="730" customFormat="false" ht="15" hidden="false" customHeight="false" outlineLevel="0" collapsed="false">
      <c r="A730" s="36" t="str">
        <f aca="false">IF(Raw_Export!$A730="","",TRIM(Raw_Export!A730))</f>
        <v>TXN-100715</v>
      </c>
      <c r="B730" s="37" t="n">
        <f aca="false">IF(Raw_Export!$A730="","",IF(ISNUMBER(Raw_Export!B730),Raw_Export!B730,IF(MID(TRIM(Raw_Export!B730),5,1)="-",DATE(LEFT(TRIM(Raw_Export!B730),4),MID(TRIM(Raw_Export!B730),6,2),RIGHT(TRIM(Raw_Export!B730),2)),DATE(RIGHT(TRIM(Raw_Export!B730),4),MATCH(MID(TRIM(Raw_Export!B730),4,3),{"Jan","Feb","Mar","Apr","May","Jun","Jul","Aug","Sep","Oct","Nov","Dec"},0),LEFT(TRIM(Raw_Export!B730),2)))))</f>
        <v>46270</v>
      </c>
      <c r="C730" s="36" t="str">
        <f aca="false">IF(Raw_Export!$A730="","",IFERROR(VLOOKUP(LOWER(TRIM(Raw_Export!C730)),Maps!$A$2:$B$20,2,FALSE()),"UNMAPPED"))</f>
        <v>Nairobi CBD</v>
      </c>
      <c r="D730" s="36" t="str">
        <f aca="false">IF(Raw_Export!$A730="","",IFERROR(VLOOKUP(LOWER(TRIM(Raw_Export!D730)),Maps!$G$2:$I$80,2,FALSE()),"UNMAPPED"))</f>
        <v>Chocolate Bar 90g</v>
      </c>
      <c r="E730" s="36" t="str">
        <f aca="false">IF(Raw_Export!$A730="","",IFERROR(VLOOKUP(LOWER(TRIM(Raw_Export!D730)),Maps!$G$2:$I$80,3,FALSE()),"UNMAPPED"))</f>
        <v>Snacks</v>
      </c>
      <c r="F730" s="36" t="n">
        <f aca="false">IF(Raw_Export!$A730="","",IFERROR(VALUE(TRIM(Raw_Export!E730)),0))</f>
        <v>2</v>
      </c>
      <c r="G730" s="38" t="n">
        <f aca="false">IF(Raw_Export!$A730="","",IFERROR(VALUE(SUBSTITUTE(SUBSTITUTE(UPPER(TRIM(Raw_Export!F730)),"KES",""),",","")),0))</f>
        <v>140</v>
      </c>
      <c r="H730" s="38" t="n">
        <f aca="false">IF(Raw_Export!$A730="","",F730*G730)</f>
        <v>280</v>
      </c>
      <c r="I730" s="36" t="str">
        <f aca="false">IF(Raw_Export!$A730="","",IFERROR(VLOOKUP(LOWER(TRIM(Raw_Export!H730)),Maps!$D$2:$E$12,2,FALSE()),"Other"))</f>
        <v>M-Pesa</v>
      </c>
      <c r="J730" s="36" t="str">
        <f aca="false">IF(Raw_Export!$A730="","",IF(COUNTIF($A$2:A730,A730)&gt;1,"Duplicate",""))</f>
        <v/>
      </c>
      <c r="K730" s="36" t="str">
        <f aca="false">IF(Raw_Export!$A730="","",IF(J730="Duplicate","Duplicate",IF(OR(C730="UNMAPPED",D730="UNMAPPED"),"Unmapped",IF(F730=0,"Blank qty",IF(F730&lt;0,"Return","OK")))))</f>
        <v>OK</v>
      </c>
      <c r="L730" s="36" t="n">
        <f aca="false">IF(Raw_Export!$A730="","",IF(OR(K730="OK",K730="Return"),1,0))</f>
        <v>1</v>
      </c>
      <c r="M730" s="37" t="n">
        <f aca="false">IF(Raw_Export!$A730="","",B730-WEEKDAY(B730,2)+1)</f>
        <v>46265</v>
      </c>
    </row>
    <row r="731" customFormat="false" ht="15" hidden="false" customHeight="false" outlineLevel="0" collapsed="false">
      <c r="A731" s="36" t="str">
        <f aca="false">IF(Raw_Export!$A731="","",TRIM(Raw_Export!A731))</f>
        <v>TXN-100716</v>
      </c>
      <c r="B731" s="37" t="n">
        <f aca="false">IF(Raw_Export!$A731="","",IF(ISNUMBER(Raw_Export!B731),Raw_Export!B731,IF(MID(TRIM(Raw_Export!B731),5,1)="-",DATE(LEFT(TRIM(Raw_Export!B731),4),MID(TRIM(Raw_Export!B731),6,2),RIGHT(TRIM(Raw_Export!B731),2)),DATE(RIGHT(TRIM(Raw_Export!B731),4),MATCH(MID(TRIM(Raw_Export!B731),4,3),{"Jan","Feb","Mar","Apr","May","Jun","Jul","Aug","Sep","Oct","Nov","Dec"},0),LEFT(TRIM(Raw_Export!B731),2)))))</f>
        <v>46270</v>
      </c>
      <c r="C731" s="36" t="str">
        <f aca="false">IF(Raw_Export!$A731="","",IFERROR(VLOOKUP(LOWER(TRIM(Raw_Export!C731)),Maps!$A$2:$B$20,2,FALSE()),"UNMAPPED"))</f>
        <v>Nairobi CBD</v>
      </c>
      <c r="D731" s="36" t="str">
        <f aca="false">IF(Raw_Export!$A731="","",IFERROR(VLOOKUP(LOWER(TRIM(Raw_Export!D731)),Maps!$G$2:$I$80,2,FALSE()),"UNMAPPED"))</f>
        <v>Fresh Milk 500ml</v>
      </c>
      <c r="E731" s="36" t="str">
        <f aca="false">IF(Raw_Export!$A731="","",IFERROR(VLOOKUP(LOWER(TRIM(Raw_Export!D731)),Maps!$G$2:$I$80,3,FALSE()),"UNMAPPED"))</f>
        <v>Dairy &amp; Eggs</v>
      </c>
      <c r="F731" s="36" t="n">
        <f aca="false">IF(Raw_Export!$A731="","",IFERROR(VALUE(TRIM(Raw_Export!E731)),0))</f>
        <v>1</v>
      </c>
      <c r="G731" s="38" t="n">
        <f aca="false">IF(Raw_Export!$A731="","",IFERROR(VALUE(SUBSTITUTE(SUBSTITUTE(UPPER(TRIM(Raw_Export!F731)),"KES",""),",","")),0))</f>
        <v>65</v>
      </c>
      <c r="H731" s="38" t="n">
        <f aca="false">IF(Raw_Export!$A731="","",F731*G731)</f>
        <v>65</v>
      </c>
      <c r="I731" s="36" t="str">
        <f aca="false">IF(Raw_Export!$A731="","",IFERROR(VLOOKUP(LOWER(TRIM(Raw_Export!H731)),Maps!$D$2:$E$12,2,FALSE()),"Other"))</f>
        <v>M-Pesa</v>
      </c>
      <c r="J731" s="36" t="str">
        <f aca="false">IF(Raw_Export!$A731="","",IF(COUNTIF($A$2:A731,A731)&gt;1,"Duplicate",""))</f>
        <v/>
      </c>
      <c r="K731" s="36" t="str">
        <f aca="false">IF(Raw_Export!$A731="","",IF(J731="Duplicate","Duplicate",IF(OR(C731="UNMAPPED",D731="UNMAPPED"),"Unmapped",IF(F731=0,"Blank qty",IF(F731&lt;0,"Return","OK")))))</f>
        <v>OK</v>
      </c>
      <c r="L731" s="36" t="n">
        <f aca="false">IF(Raw_Export!$A731="","",IF(OR(K731="OK",K731="Return"),1,0))</f>
        <v>1</v>
      </c>
      <c r="M731" s="37" t="n">
        <f aca="false">IF(Raw_Export!$A731="","",B731-WEEKDAY(B731,2)+1)</f>
        <v>46265</v>
      </c>
    </row>
    <row r="732" customFormat="false" ht="15" hidden="false" customHeight="false" outlineLevel="0" collapsed="false">
      <c r="A732" s="36" t="str">
        <f aca="false">IF(Raw_Export!$A732="","",TRIM(Raw_Export!A732))</f>
        <v>TXN-100717</v>
      </c>
      <c r="B732" s="37" t="n">
        <f aca="false">IF(Raw_Export!$A732="","",IF(ISNUMBER(Raw_Export!B732),Raw_Export!B732,IF(MID(TRIM(Raw_Export!B732),5,1)="-",DATE(LEFT(TRIM(Raw_Export!B732),4),MID(TRIM(Raw_Export!B732),6,2),RIGHT(TRIM(Raw_Export!B732),2)),DATE(RIGHT(TRIM(Raw_Export!B732),4),MATCH(MID(TRIM(Raw_Export!B732),4,3),{"Jan","Feb","Mar","Apr","May","Jun","Jul","Aug","Sep","Oct","Nov","Dec"},0),LEFT(TRIM(Raw_Export!B732),2)))))</f>
        <v>46270</v>
      </c>
      <c r="C732" s="36" t="str">
        <f aca="false">IF(Raw_Export!$A732="","",IFERROR(VLOOKUP(LOWER(TRIM(Raw_Export!C732)),Maps!$A$2:$B$20,2,FALSE()),"UNMAPPED"))</f>
        <v>Nairobi CBD</v>
      </c>
      <c r="D732" s="36" t="str">
        <f aca="false">IF(Raw_Export!$A732="","",IFERROR(VLOOKUP(LOWER(TRIM(Raw_Export!D732)),Maps!$G$2:$I$80,2,FALSE()),"UNMAPPED"))</f>
        <v>Peanuts 250g</v>
      </c>
      <c r="E732" s="36" t="str">
        <f aca="false">IF(Raw_Export!$A732="","",IFERROR(VLOOKUP(LOWER(TRIM(Raw_Export!D732)),Maps!$G$2:$I$80,3,FALSE()),"UNMAPPED"))</f>
        <v>Snacks</v>
      </c>
      <c r="F732" s="36" t="n">
        <f aca="false">IF(Raw_Export!$A732="","",IFERROR(VALUE(TRIM(Raw_Export!E732)),0))</f>
        <v>1</v>
      </c>
      <c r="G732" s="38" t="n">
        <f aca="false">IF(Raw_Export!$A732="","",IFERROR(VALUE(SUBSTITUTE(SUBSTITUTE(UPPER(TRIM(Raw_Export!F732)),"KES",""),",","")),0))</f>
        <v>130</v>
      </c>
      <c r="H732" s="38" t="n">
        <f aca="false">IF(Raw_Export!$A732="","",F732*G732)</f>
        <v>130</v>
      </c>
      <c r="I732" s="36" t="str">
        <f aca="false">IF(Raw_Export!$A732="","",IFERROR(VLOOKUP(LOWER(TRIM(Raw_Export!H732)),Maps!$D$2:$E$12,2,FALSE()),"Other"))</f>
        <v>M-Pesa</v>
      </c>
      <c r="J732" s="36" t="str">
        <f aca="false">IF(Raw_Export!$A732="","",IF(COUNTIF($A$2:A732,A732)&gt;1,"Duplicate",""))</f>
        <v/>
      </c>
      <c r="K732" s="36" t="str">
        <f aca="false">IF(Raw_Export!$A732="","",IF(J732="Duplicate","Duplicate",IF(OR(C732="UNMAPPED",D732="UNMAPPED"),"Unmapped",IF(F732=0,"Blank qty",IF(F732&lt;0,"Return","OK")))))</f>
        <v>OK</v>
      </c>
      <c r="L732" s="36" t="n">
        <f aca="false">IF(Raw_Export!$A732="","",IF(OR(K732="OK",K732="Return"),1,0))</f>
        <v>1</v>
      </c>
      <c r="M732" s="37" t="n">
        <f aca="false">IF(Raw_Export!$A732="","",B732-WEEKDAY(B732,2)+1)</f>
        <v>46265</v>
      </c>
    </row>
    <row r="733" customFormat="false" ht="15" hidden="false" customHeight="false" outlineLevel="0" collapsed="false">
      <c r="A733" s="36" t="str">
        <f aca="false">IF(Raw_Export!$A733="","",TRIM(Raw_Export!A733))</f>
        <v>TXN-100718</v>
      </c>
      <c r="B733" s="37" t="n">
        <f aca="false">IF(Raw_Export!$A733="","",IF(ISNUMBER(Raw_Export!B733),Raw_Export!B733,IF(MID(TRIM(Raw_Export!B733),5,1)="-",DATE(LEFT(TRIM(Raw_Export!B733),4),MID(TRIM(Raw_Export!B733),6,2),RIGHT(TRIM(Raw_Export!B733),2)),DATE(RIGHT(TRIM(Raw_Export!B733),4),MATCH(MID(TRIM(Raw_Export!B733),4,3),{"Jan","Feb","Mar","Apr","May","Jun","Jul","Aug","Sep","Oct","Nov","Dec"},0),LEFT(TRIM(Raw_Export!B733),2)))))</f>
        <v>46270</v>
      </c>
      <c r="C733" s="36" t="str">
        <f aca="false">IF(Raw_Export!$A733="","",IFERROR(VLOOKUP(LOWER(TRIM(Raw_Export!C733)),Maps!$A$2:$B$20,2,FALSE()),"UNMAPPED"))</f>
        <v>Nairobi CBD</v>
      </c>
      <c r="D733" s="36" t="str">
        <f aca="false">IF(Raw_Export!$A733="","",IFERROR(VLOOKUP(LOWER(TRIM(Raw_Export!D733)),Maps!$G$2:$I$80,2,FALSE()),"UNMAPPED"))</f>
        <v>Fresh Milk 500ml</v>
      </c>
      <c r="E733" s="36" t="str">
        <f aca="false">IF(Raw_Export!$A733="","",IFERROR(VLOOKUP(LOWER(TRIM(Raw_Export!D733)),Maps!$G$2:$I$80,3,FALSE()),"UNMAPPED"))</f>
        <v>Dairy &amp; Eggs</v>
      </c>
      <c r="F733" s="36" t="n">
        <f aca="false">IF(Raw_Export!$A733="","",IFERROR(VALUE(TRIM(Raw_Export!E733)),0))</f>
        <v>6</v>
      </c>
      <c r="G733" s="38" t="n">
        <f aca="false">IF(Raw_Export!$A733="","",IFERROR(VALUE(SUBSTITUTE(SUBSTITUTE(UPPER(TRIM(Raw_Export!F733)),"KES",""),",","")),0))</f>
        <v>65</v>
      </c>
      <c r="H733" s="38" t="n">
        <f aca="false">IF(Raw_Export!$A733="","",F733*G733)</f>
        <v>390</v>
      </c>
      <c r="I733" s="36" t="str">
        <f aca="false">IF(Raw_Export!$A733="","",IFERROR(VLOOKUP(LOWER(TRIM(Raw_Export!H733)),Maps!$D$2:$E$12,2,FALSE()),"Other"))</f>
        <v>M-Pesa</v>
      </c>
      <c r="J733" s="36" t="str">
        <f aca="false">IF(Raw_Export!$A733="","",IF(COUNTIF($A$2:A733,A733)&gt;1,"Duplicate",""))</f>
        <v/>
      </c>
      <c r="K733" s="36" t="str">
        <f aca="false">IF(Raw_Export!$A733="","",IF(J733="Duplicate","Duplicate",IF(OR(C733="UNMAPPED",D733="UNMAPPED"),"Unmapped",IF(F733=0,"Blank qty",IF(F733&lt;0,"Return","OK")))))</f>
        <v>OK</v>
      </c>
      <c r="L733" s="36" t="n">
        <f aca="false">IF(Raw_Export!$A733="","",IF(OR(K733="OK",K733="Return"),1,0))</f>
        <v>1</v>
      </c>
      <c r="M733" s="37" t="n">
        <f aca="false">IF(Raw_Export!$A733="","",B733-WEEKDAY(B733,2)+1)</f>
        <v>46265</v>
      </c>
    </row>
    <row r="734" customFormat="false" ht="15" hidden="false" customHeight="false" outlineLevel="0" collapsed="false">
      <c r="A734" s="36" t="str">
        <f aca="false">IF(Raw_Export!$A734="","",TRIM(Raw_Export!A734))</f>
        <v>TXN-100719</v>
      </c>
      <c r="B734" s="37" t="n">
        <f aca="false">IF(Raw_Export!$A734="","",IF(ISNUMBER(Raw_Export!B734),Raw_Export!B734,IF(MID(TRIM(Raw_Export!B734),5,1)="-",DATE(LEFT(TRIM(Raw_Export!B734),4),MID(TRIM(Raw_Export!B734),6,2),RIGHT(TRIM(Raw_Export!B734),2)),DATE(RIGHT(TRIM(Raw_Export!B734),4),MATCH(MID(TRIM(Raw_Export!B734),4,3),{"Jan","Feb","Mar","Apr","May","Jun","Jul","Aug","Sep","Oct","Nov","Dec"},0),LEFT(TRIM(Raw_Export!B734),2)))))</f>
        <v>46270</v>
      </c>
      <c r="C734" s="36" t="str">
        <f aca="false">IF(Raw_Export!$A734="","",IFERROR(VLOOKUP(LOWER(TRIM(Raw_Export!C734)),Maps!$A$2:$B$20,2,FALSE()),"UNMAPPED"))</f>
        <v>Nairobi CBD</v>
      </c>
      <c r="D734" s="36" t="str">
        <f aca="false">IF(Raw_Export!$A734="","",IFERROR(VLOOKUP(LOWER(TRIM(Raw_Export!D734)),Maps!$G$2:$I$80,2,FALSE()),"UNMAPPED"))</f>
        <v>Spaghetti 400g</v>
      </c>
      <c r="E734" s="36" t="str">
        <f aca="false">IF(Raw_Export!$A734="","",IFERROR(VLOOKUP(LOWER(TRIM(Raw_Export!D734)),Maps!$G$2:$I$80,3,FALSE()),"UNMAPPED"))</f>
        <v>Staples</v>
      </c>
      <c r="F734" s="36" t="n">
        <f aca="false">IF(Raw_Export!$A734="","",IFERROR(VALUE(TRIM(Raw_Export!E734)),0))</f>
        <v>2</v>
      </c>
      <c r="G734" s="38" t="n">
        <f aca="false">IF(Raw_Export!$A734="","",IFERROR(VALUE(SUBSTITUTE(SUBSTITUTE(UPPER(TRIM(Raw_Export!F734)),"KES",""),",","")),0))</f>
        <v>110</v>
      </c>
      <c r="H734" s="38" t="n">
        <f aca="false">IF(Raw_Export!$A734="","",F734*G734)</f>
        <v>220</v>
      </c>
      <c r="I734" s="36" t="str">
        <f aca="false">IF(Raw_Export!$A734="","",IFERROR(VLOOKUP(LOWER(TRIM(Raw_Export!H734)),Maps!$D$2:$E$12,2,FALSE()),"Other"))</f>
        <v>Card</v>
      </c>
      <c r="J734" s="36" t="str">
        <f aca="false">IF(Raw_Export!$A734="","",IF(COUNTIF($A$2:A734,A734)&gt;1,"Duplicate",""))</f>
        <v/>
      </c>
      <c r="K734" s="36" t="str">
        <f aca="false">IF(Raw_Export!$A734="","",IF(J734="Duplicate","Duplicate",IF(OR(C734="UNMAPPED",D734="UNMAPPED"),"Unmapped",IF(F734=0,"Blank qty",IF(F734&lt;0,"Return","OK")))))</f>
        <v>OK</v>
      </c>
      <c r="L734" s="36" t="n">
        <f aca="false">IF(Raw_Export!$A734="","",IF(OR(K734="OK",K734="Return"),1,0))</f>
        <v>1</v>
      </c>
      <c r="M734" s="37" t="n">
        <f aca="false">IF(Raw_Export!$A734="","",B734-WEEKDAY(B734,2)+1)</f>
        <v>46265</v>
      </c>
    </row>
    <row r="735" customFormat="false" ht="15" hidden="false" customHeight="false" outlineLevel="0" collapsed="false">
      <c r="A735" s="36" t="str">
        <f aca="false">IF(Raw_Export!$A735="","",TRIM(Raw_Export!A735))</f>
        <v>TXN-100720</v>
      </c>
      <c r="B735" s="37" t="n">
        <f aca="false">IF(Raw_Export!$A735="","",IF(ISNUMBER(Raw_Export!B735),Raw_Export!B735,IF(MID(TRIM(Raw_Export!B735),5,1)="-",DATE(LEFT(TRIM(Raw_Export!B735),4),MID(TRIM(Raw_Export!B735),6,2),RIGHT(TRIM(Raw_Export!B735),2)),DATE(RIGHT(TRIM(Raw_Export!B735),4),MATCH(MID(TRIM(Raw_Export!B735),4,3),{"Jan","Feb","Mar","Apr","May","Jun","Jul","Aug","Sep","Oct","Nov","Dec"},0),LEFT(TRIM(Raw_Export!B735),2)))))</f>
        <v>46270</v>
      </c>
      <c r="C735" s="36" t="str">
        <f aca="false">IF(Raw_Export!$A735="","",IFERROR(VLOOKUP(LOWER(TRIM(Raw_Export!C735)),Maps!$A$2:$B$20,2,FALSE()),"UNMAPPED"))</f>
        <v>Nairobi CBD</v>
      </c>
      <c r="D735" s="36" t="str">
        <f aca="false">IF(Raw_Export!$A735="","",IFERROR(VLOOKUP(LOWER(TRIM(Raw_Export!D735)),Maps!$G$2:$I$80,2,FALSE()),"UNMAPPED"))</f>
        <v>Body Lotion 400ml</v>
      </c>
      <c r="E735" s="36" t="str">
        <f aca="false">IF(Raw_Export!$A735="","",IFERROR(VLOOKUP(LOWER(TRIM(Raw_Export!D735)),Maps!$G$2:$I$80,3,FALSE()),"UNMAPPED"))</f>
        <v>Personal Care</v>
      </c>
      <c r="F735" s="36" t="n">
        <f aca="false">IF(Raw_Export!$A735="","",IFERROR(VALUE(TRIM(Raw_Export!E735)),0))</f>
        <v>2</v>
      </c>
      <c r="G735" s="38" t="n">
        <f aca="false">IF(Raw_Export!$A735="","",IFERROR(VALUE(SUBSTITUTE(SUBSTITUTE(UPPER(TRIM(Raw_Export!F735)),"KES",""),",","")),0))</f>
        <v>378</v>
      </c>
      <c r="H735" s="38" t="n">
        <f aca="false">IF(Raw_Export!$A735="","",F735*G735)</f>
        <v>756</v>
      </c>
      <c r="I735" s="36" t="str">
        <f aca="false">IF(Raw_Export!$A735="","",IFERROR(VLOOKUP(LOWER(TRIM(Raw_Export!H735)),Maps!$D$2:$E$12,2,FALSE()),"Other"))</f>
        <v>M-Pesa</v>
      </c>
      <c r="J735" s="36" t="str">
        <f aca="false">IF(Raw_Export!$A735="","",IF(COUNTIF($A$2:A735,A735)&gt;1,"Duplicate",""))</f>
        <v/>
      </c>
      <c r="K735" s="36" t="str">
        <f aca="false">IF(Raw_Export!$A735="","",IF(J735="Duplicate","Duplicate",IF(OR(C735="UNMAPPED",D735="UNMAPPED"),"Unmapped",IF(F735=0,"Blank qty",IF(F735&lt;0,"Return","OK")))))</f>
        <v>OK</v>
      </c>
      <c r="L735" s="36" t="n">
        <f aca="false">IF(Raw_Export!$A735="","",IF(OR(K735="OK",K735="Return"),1,0))</f>
        <v>1</v>
      </c>
      <c r="M735" s="37" t="n">
        <f aca="false">IF(Raw_Export!$A735="","",B735-WEEKDAY(B735,2)+1)</f>
        <v>46265</v>
      </c>
    </row>
    <row r="736" customFormat="false" ht="15" hidden="false" customHeight="false" outlineLevel="0" collapsed="false">
      <c r="A736" s="36" t="str">
        <f aca="false">IF(Raw_Export!$A736="","",TRIM(Raw_Export!A736))</f>
        <v>TXN-100721</v>
      </c>
      <c r="B736" s="37" t="n">
        <f aca="false">IF(Raw_Export!$A736="","",IF(ISNUMBER(Raw_Export!B736),Raw_Export!B736,IF(MID(TRIM(Raw_Export!B736),5,1)="-",DATE(LEFT(TRIM(Raw_Export!B736),4),MID(TRIM(Raw_Export!B736),6,2),RIGHT(TRIM(Raw_Export!B736),2)),DATE(RIGHT(TRIM(Raw_Export!B736),4),MATCH(MID(TRIM(Raw_Export!B736),4,3),{"Jan","Feb","Mar","Apr","May","Jun","Jul","Aug","Sep","Oct","Nov","Dec"},0),LEFT(TRIM(Raw_Export!B736),2)))))</f>
        <v>46270</v>
      </c>
      <c r="C736" s="36" t="str">
        <f aca="false">IF(Raw_Export!$A736="","",IFERROR(VLOOKUP(LOWER(TRIM(Raw_Export!C736)),Maps!$A$2:$B$20,2,FALSE()),"UNMAPPED"))</f>
        <v>Nairobi CBD</v>
      </c>
      <c r="D736" s="36" t="str">
        <f aca="false">IF(Raw_Export!$A736="","",IFERROR(VLOOKUP(LOWER(TRIM(Raw_Export!D736)),Maps!$G$2:$I$80,2,FALSE()),"UNMAPPED"))</f>
        <v>Bread Loaf 400g</v>
      </c>
      <c r="E736" s="36" t="str">
        <f aca="false">IF(Raw_Export!$A736="","",IFERROR(VLOOKUP(LOWER(TRIM(Raw_Export!D736)),Maps!$G$2:$I$80,3,FALSE()),"UNMAPPED"))</f>
        <v>Snacks</v>
      </c>
      <c r="F736" s="36" t="n">
        <f aca="false">IF(Raw_Export!$A736="","",IFERROR(VALUE(TRIM(Raw_Export!E736)),0))</f>
        <v>1</v>
      </c>
      <c r="G736" s="38" t="n">
        <f aca="false">IF(Raw_Export!$A736="","",IFERROR(VALUE(SUBSTITUTE(SUBSTITUTE(UPPER(TRIM(Raw_Export!F736)),"KES",""),",","")),0))</f>
        <v>65</v>
      </c>
      <c r="H736" s="38" t="n">
        <f aca="false">IF(Raw_Export!$A736="","",F736*G736)</f>
        <v>65</v>
      </c>
      <c r="I736" s="36" t="str">
        <f aca="false">IF(Raw_Export!$A736="","",IFERROR(VLOOKUP(LOWER(TRIM(Raw_Export!H736)),Maps!$D$2:$E$12,2,FALSE()),"Other"))</f>
        <v>M-Pesa</v>
      </c>
      <c r="J736" s="36" t="str">
        <f aca="false">IF(Raw_Export!$A736="","",IF(COUNTIF($A$2:A736,A736)&gt;1,"Duplicate",""))</f>
        <v/>
      </c>
      <c r="K736" s="36" t="str">
        <f aca="false">IF(Raw_Export!$A736="","",IF(J736="Duplicate","Duplicate",IF(OR(C736="UNMAPPED",D736="UNMAPPED"),"Unmapped",IF(F736=0,"Blank qty",IF(F736&lt;0,"Return","OK")))))</f>
        <v>OK</v>
      </c>
      <c r="L736" s="36" t="n">
        <f aca="false">IF(Raw_Export!$A736="","",IF(OR(K736="OK",K736="Return"),1,0))</f>
        <v>1</v>
      </c>
      <c r="M736" s="37" t="n">
        <f aca="false">IF(Raw_Export!$A736="","",B736-WEEKDAY(B736,2)+1)</f>
        <v>46265</v>
      </c>
    </row>
    <row r="737" customFormat="false" ht="15" hidden="false" customHeight="false" outlineLevel="0" collapsed="false">
      <c r="A737" s="36" t="str">
        <f aca="false">IF(Raw_Export!$A737="","",TRIM(Raw_Export!A737))</f>
        <v>TXN-100722</v>
      </c>
      <c r="B737" s="37" t="n">
        <f aca="false">IF(Raw_Export!$A737="","",IF(ISNUMBER(Raw_Export!B737),Raw_Export!B737,IF(MID(TRIM(Raw_Export!B737),5,1)="-",DATE(LEFT(TRIM(Raw_Export!B737),4),MID(TRIM(Raw_Export!B737),6,2),RIGHT(TRIM(Raw_Export!B737),2)),DATE(RIGHT(TRIM(Raw_Export!B737),4),MATCH(MID(TRIM(Raw_Export!B737),4,3),{"Jan","Feb","Mar","Apr","May","Jun","Jul","Aug","Sep","Oct","Nov","Dec"},0),LEFT(TRIM(Raw_Export!B737),2)))))</f>
        <v>46270</v>
      </c>
      <c r="C737" s="36" t="str">
        <f aca="false">IF(Raw_Export!$A737="","",IFERROR(VLOOKUP(LOWER(TRIM(Raw_Export!C737)),Maps!$A$2:$B$20,2,FALSE()),"UNMAPPED"))</f>
        <v>Nairobi CBD</v>
      </c>
      <c r="D737" s="36" t="str">
        <f aca="false">IF(Raw_Export!$A737="","",IFERROR(VLOOKUP(LOWER(TRIM(Raw_Export!D737)),Maps!$G$2:$I$80,2,FALSE()),"UNMAPPED"))</f>
        <v>Washing Powder 1kg</v>
      </c>
      <c r="E737" s="36" t="str">
        <f aca="false">IF(Raw_Export!$A737="","",IFERROR(VLOOKUP(LOWER(TRIM(Raw_Export!D737)),Maps!$G$2:$I$80,3,FALSE()),"UNMAPPED"))</f>
        <v>Household</v>
      </c>
      <c r="F737" s="36" t="n">
        <f aca="false">IF(Raw_Export!$A737="","",IFERROR(VALUE(TRIM(Raw_Export!E737)),0))</f>
        <v>2</v>
      </c>
      <c r="G737" s="38" t="n">
        <f aca="false">IF(Raw_Export!$A737="","",IFERROR(VALUE(SUBSTITUTE(SUBSTITUTE(UPPER(TRIM(Raw_Export!F737)),"KES",""),",","")),0))</f>
        <v>280</v>
      </c>
      <c r="H737" s="38" t="n">
        <f aca="false">IF(Raw_Export!$A737="","",F737*G737)</f>
        <v>560</v>
      </c>
      <c r="I737" s="36" t="str">
        <f aca="false">IF(Raw_Export!$A737="","",IFERROR(VLOOKUP(LOWER(TRIM(Raw_Export!H737)),Maps!$D$2:$E$12,2,FALSE()),"Other"))</f>
        <v>Card</v>
      </c>
      <c r="J737" s="36" t="str">
        <f aca="false">IF(Raw_Export!$A737="","",IF(COUNTIF($A$2:A737,A737)&gt;1,"Duplicate",""))</f>
        <v/>
      </c>
      <c r="K737" s="36" t="str">
        <f aca="false">IF(Raw_Export!$A737="","",IF(J737="Duplicate","Duplicate",IF(OR(C737="UNMAPPED",D737="UNMAPPED"),"Unmapped",IF(F737=0,"Blank qty",IF(F737&lt;0,"Return","OK")))))</f>
        <v>OK</v>
      </c>
      <c r="L737" s="36" t="n">
        <f aca="false">IF(Raw_Export!$A737="","",IF(OR(K737="OK",K737="Return"),1,0))</f>
        <v>1</v>
      </c>
      <c r="M737" s="37" t="n">
        <f aca="false">IF(Raw_Export!$A737="","",B737-WEEKDAY(B737,2)+1)</f>
        <v>46265</v>
      </c>
    </row>
    <row r="738" customFormat="false" ht="15" hidden="false" customHeight="false" outlineLevel="0" collapsed="false">
      <c r="A738" s="36" t="str">
        <f aca="false">IF(Raw_Export!$A738="","",TRIM(Raw_Export!A738))</f>
        <v>TXN-100723</v>
      </c>
      <c r="B738" s="37" t="n">
        <f aca="false">IF(Raw_Export!$A738="","",IF(ISNUMBER(Raw_Export!B738),Raw_Export!B738,IF(MID(TRIM(Raw_Export!B738),5,1)="-",DATE(LEFT(TRIM(Raw_Export!B738),4),MID(TRIM(Raw_Export!B738),6,2),RIGHT(TRIM(Raw_Export!B738),2)),DATE(RIGHT(TRIM(Raw_Export!B738),4),MATCH(MID(TRIM(Raw_Export!B738),4,3),{"Jan","Feb","Mar","Apr","May","Jun","Jul","Aug","Sep","Oct","Nov","Dec"},0),LEFT(TRIM(Raw_Export!B738),2)))))</f>
        <v>46270</v>
      </c>
      <c r="C738" s="36" t="str">
        <f aca="false">IF(Raw_Export!$A738="","",IFERROR(VLOOKUP(LOWER(TRIM(Raw_Export!C738)),Maps!$A$2:$B$20,2,FALSE()),"UNMAPPED"))</f>
        <v>Nairobi CBD</v>
      </c>
      <c r="D738" s="36" t="str">
        <f aca="false">IF(Raw_Export!$A738="","",IFERROR(VLOOKUP(LOWER(TRIM(Raw_Export!D738)),Maps!$G$2:$I$80,2,FALSE()),"UNMAPPED"))</f>
        <v>Sugar 2kg</v>
      </c>
      <c r="E738" s="36" t="str">
        <f aca="false">IF(Raw_Export!$A738="","",IFERROR(VLOOKUP(LOWER(TRIM(Raw_Export!D738)),Maps!$G$2:$I$80,3,FALSE()),"UNMAPPED"))</f>
        <v>Staples</v>
      </c>
      <c r="F738" s="36" t="n">
        <f aca="false">IF(Raw_Export!$A738="","",IFERROR(VALUE(TRIM(Raw_Export!E738)),0))</f>
        <v>1</v>
      </c>
      <c r="G738" s="38" t="n">
        <f aca="false">IF(Raw_Export!$A738="","",IFERROR(VALUE(SUBSTITUTE(SUBSTITUTE(UPPER(TRIM(Raw_Export!F738)),"KES",""),",","")),0))</f>
        <v>330</v>
      </c>
      <c r="H738" s="38" t="n">
        <f aca="false">IF(Raw_Export!$A738="","",F738*G738)</f>
        <v>330</v>
      </c>
      <c r="I738" s="36" t="str">
        <f aca="false">IF(Raw_Export!$A738="","",IFERROR(VLOOKUP(LOWER(TRIM(Raw_Export!H738)),Maps!$D$2:$E$12,2,FALSE()),"Other"))</f>
        <v>Cash</v>
      </c>
      <c r="J738" s="36" t="str">
        <f aca="false">IF(Raw_Export!$A738="","",IF(COUNTIF($A$2:A738,A738)&gt;1,"Duplicate",""))</f>
        <v/>
      </c>
      <c r="K738" s="36" t="str">
        <f aca="false">IF(Raw_Export!$A738="","",IF(J738="Duplicate","Duplicate",IF(OR(C738="UNMAPPED",D738="UNMAPPED"),"Unmapped",IF(F738=0,"Blank qty",IF(F738&lt;0,"Return","OK")))))</f>
        <v>OK</v>
      </c>
      <c r="L738" s="36" t="n">
        <f aca="false">IF(Raw_Export!$A738="","",IF(OR(K738="OK",K738="Return"),1,0))</f>
        <v>1</v>
      </c>
      <c r="M738" s="37" t="n">
        <f aca="false">IF(Raw_Export!$A738="","",B738-WEEKDAY(B738,2)+1)</f>
        <v>46265</v>
      </c>
    </row>
    <row r="739" customFormat="false" ht="15" hidden="false" customHeight="false" outlineLevel="0" collapsed="false">
      <c r="A739" s="36" t="str">
        <f aca="false">IF(Raw_Export!$A739="","",TRIM(Raw_Export!A739))</f>
        <v>TXN-100724</v>
      </c>
      <c r="B739" s="37" t="n">
        <f aca="false">IF(Raw_Export!$A739="","",IF(ISNUMBER(Raw_Export!B739),Raw_Export!B739,IF(MID(TRIM(Raw_Export!B739),5,1)="-",DATE(LEFT(TRIM(Raw_Export!B739),4),MID(TRIM(Raw_Export!B739),6,2),RIGHT(TRIM(Raw_Export!B739),2)),DATE(RIGHT(TRIM(Raw_Export!B739),4),MATCH(MID(TRIM(Raw_Export!B739),4,3),{"Jan","Feb","Mar","Apr","May","Jun","Jul","Aug","Sep","Oct","Nov","Dec"},0),LEFT(TRIM(Raw_Export!B739),2)))))</f>
        <v>46270</v>
      </c>
      <c r="C739" s="36" t="str">
        <f aca="false">IF(Raw_Export!$A739="","",IFERROR(VLOOKUP(LOWER(TRIM(Raw_Export!C739)),Maps!$A$2:$B$20,2,FALSE()),"UNMAPPED"))</f>
        <v>Nairobi CBD</v>
      </c>
      <c r="D739" s="36" t="str">
        <f aca="false">IF(Raw_Export!$A739="","",IFERROR(VLOOKUP(LOWER(TRIM(Raw_Export!D739)),Maps!$G$2:$I$80,2,FALSE()),"UNMAPPED"))</f>
        <v>Sugar 2kg</v>
      </c>
      <c r="E739" s="36" t="str">
        <f aca="false">IF(Raw_Export!$A739="","",IFERROR(VLOOKUP(LOWER(TRIM(Raw_Export!D739)),Maps!$G$2:$I$80,3,FALSE()),"UNMAPPED"))</f>
        <v>Staples</v>
      </c>
      <c r="F739" s="36" t="n">
        <f aca="false">IF(Raw_Export!$A739="","",IFERROR(VALUE(TRIM(Raw_Export!E739)),0))</f>
        <v>6</v>
      </c>
      <c r="G739" s="38" t="n">
        <f aca="false">IF(Raw_Export!$A739="","",IFERROR(VALUE(SUBSTITUTE(SUBSTITUTE(UPPER(TRIM(Raw_Export!F739)),"KES",""),",","")),0))</f>
        <v>330</v>
      </c>
      <c r="H739" s="38" t="n">
        <f aca="false">IF(Raw_Export!$A739="","",F739*G739)</f>
        <v>1980</v>
      </c>
      <c r="I739" s="36" t="str">
        <f aca="false">IF(Raw_Export!$A739="","",IFERROR(VLOOKUP(LOWER(TRIM(Raw_Export!H739)),Maps!$D$2:$E$12,2,FALSE()),"Other"))</f>
        <v>M-Pesa</v>
      </c>
      <c r="J739" s="36" t="str">
        <f aca="false">IF(Raw_Export!$A739="","",IF(COUNTIF($A$2:A739,A739)&gt;1,"Duplicate",""))</f>
        <v/>
      </c>
      <c r="K739" s="36" t="str">
        <f aca="false">IF(Raw_Export!$A739="","",IF(J739="Duplicate","Duplicate",IF(OR(C739="UNMAPPED",D739="UNMAPPED"),"Unmapped",IF(F739=0,"Blank qty",IF(F739&lt;0,"Return","OK")))))</f>
        <v>OK</v>
      </c>
      <c r="L739" s="36" t="n">
        <f aca="false">IF(Raw_Export!$A739="","",IF(OR(K739="OK",K739="Return"),1,0))</f>
        <v>1</v>
      </c>
      <c r="M739" s="37" t="n">
        <f aca="false">IF(Raw_Export!$A739="","",B739-WEEKDAY(B739,2)+1)</f>
        <v>46265</v>
      </c>
    </row>
    <row r="740" customFormat="false" ht="15" hidden="false" customHeight="false" outlineLevel="0" collapsed="false">
      <c r="A740" s="36" t="str">
        <f aca="false">IF(Raw_Export!$A740="","",TRIM(Raw_Export!A740))</f>
        <v>TXN-100725</v>
      </c>
      <c r="B740" s="37" t="n">
        <f aca="false">IF(Raw_Export!$A740="","",IF(ISNUMBER(Raw_Export!B740),Raw_Export!B740,IF(MID(TRIM(Raw_Export!B740),5,1)="-",DATE(LEFT(TRIM(Raw_Export!B740),4),MID(TRIM(Raw_Export!B740),6,2),RIGHT(TRIM(Raw_Export!B740),2)),DATE(RIGHT(TRIM(Raw_Export!B740),4),MATCH(MID(TRIM(Raw_Export!B740),4,3),{"Jan","Feb","Mar","Apr","May","Jun","Jul","Aug","Sep","Oct","Nov","Dec"},0),LEFT(TRIM(Raw_Export!B740),2)))))</f>
        <v>46270</v>
      </c>
      <c r="C740" s="36" t="str">
        <f aca="false">IF(Raw_Export!$A740="","",IFERROR(VLOOKUP(LOWER(TRIM(Raw_Export!C740)),Maps!$A$2:$B$20,2,FALSE()),"UNMAPPED"))</f>
        <v>Nairobi CBD</v>
      </c>
      <c r="D740" s="36" t="str">
        <f aca="false">IF(Raw_Export!$A740="","",IFERROR(VLOOKUP(LOWER(TRIM(Raw_Export!D740)),Maps!$G$2:$I$80,2,FALSE()),"UNMAPPED"))</f>
        <v>Tea Leaves 250g</v>
      </c>
      <c r="E740" s="36" t="str">
        <f aca="false">IF(Raw_Export!$A740="","",IFERROR(VLOOKUP(LOWER(TRIM(Raw_Export!D740)),Maps!$G$2:$I$80,3,FALSE()),"UNMAPPED"))</f>
        <v>Beverages</v>
      </c>
      <c r="F740" s="36" t="n">
        <f aca="false">IF(Raw_Export!$A740="","",IFERROR(VALUE(TRIM(Raw_Export!E740)),0))</f>
        <v>3</v>
      </c>
      <c r="G740" s="38" t="n">
        <f aca="false">IF(Raw_Export!$A740="","",IFERROR(VALUE(SUBSTITUTE(SUBSTITUTE(UPPER(TRIM(Raw_Export!F740)),"KES",""),",","")),0))</f>
        <v>150</v>
      </c>
      <c r="H740" s="38" t="n">
        <f aca="false">IF(Raw_Export!$A740="","",F740*G740)</f>
        <v>450</v>
      </c>
      <c r="I740" s="36" t="str">
        <f aca="false">IF(Raw_Export!$A740="","",IFERROR(VLOOKUP(LOWER(TRIM(Raw_Export!H740)),Maps!$D$2:$E$12,2,FALSE()),"Other"))</f>
        <v>M-Pesa</v>
      </c>
      <c r="J740" s="36" t="str">
        <f aca="false">IF(Raw_Export!$A740="","",IF(COUNTIF($A$2:A740,A740)&gt;1,"Duplicate",""))</f>
        <v/>
      </c>
      <c r="K740" s="36" t="str">
        <f aca="false">IF(Raw_Export!$A740="","",IF(J740="Duplicate","Duplicate",IF(OR(C740="UNMAPPED",D740="UNMAPPED"),"Unmapped",IF(F740=0,"Blank qty",IF(F740&lt;0,"Return","OK")))))</f>
        <v>OK</v>
      </c>
      <c r="L740" s="36" t="n">
        <f aca="false">IF(Raw_Export!$A740="","",IF(OR(K740="OK",K740="Return"),1,0))</f>
        <v>1</v>
      </c>
      <c r="M740" s="37" t="n">
        <f aca="false">IF(Raw_Export!$A740="","",B740-WEEKDAY(B740,2)+1)</f>
        <v>46265</v>
      </c>
    </row>
    <row r="741" customFormat="false" ht="15" hidden="false" customHeight="false" outlineLevel="0" collapsed="false">
      <c r="A741" s="36" t="str">
        <f aca="false">IF(Raw_Export!$A741="","",TRIM(Raw_Export!A741))</f>
        <v>TXN-100726</v>
      </c>
      <c r="B741" s="37" t="n">
        <f aca="false">IF(Raw_Export!$A741="","",IF(ISNUMBER(Raw_Export!B741),Raw_Export!B741,IF(MID(TRIM(Raw_Export!B741),5,1)="-",DATE(LEFT(TRIM(Raw_Export!B741),4),MID(TRIM(Raw_Export!B741),6,2),RIGHT(TRIM(Raw_Export!B741),2)),DATE(RIGHT(TRIM(Raw_Export!B741),4),MATCH(MID(TRIM(Raw_Export!B741),4,3),{"Jan","Feb","Mar","Apr","May","Jun","Jul","Aug","Sep","Oct","Nov","Dec"},0),LEFT(TRIM(Raw_Export!B741),2)))))</f>
        <v>46270</v>
      </c>
      <c r="C741" s="36" t="str">
        <f aca="false">IF(Raw_Export!$A741="","",IFERROR(VLOOKUP(LOWER(TRIM(Raw_Export!C741)),Maps!$A$2:$B$20,2,FALSE()),"UNMAPPED"))</f>
        <v>Nairobi CBD</v>
      </c>
      <c r="D741" s="36" t="str">
        <f aca="false">IF(Raw_Export!$A741="","",IFERROR(VLOOKUP(LOWER(TRIM(Raw_Export!D741)),Maps!$G$2:$I$80,2,FALSE()),"UNMAPPED"))</f>
        <v>Sugar 2kg</v>
      </c>
      <c r="E741" s="36" t="str">
        <f aca="false">IF(Raw_Export!$A741="","",IFERROR(VLOOKUP(LOWER(TRIM(Raw_Export!D741)),Maps!$G$2:$I$80,3,FALSE()),"UNMAPPED"))</f>
        <v>Staples</v>
      </c>
      <c r="F741" s="36" t="n">
        <f aca="false">IF(Raw_Export!$A741="","",IFERROR(VALUE(TRIM(Raw_Export!E741)),0))</f>
        <v>3</v>
      </c>
      <c r="G741" s="38" t="n">
        <f aca="false">IF(Raw_Export!$A741="","",IFERROR(VALUE(SUBSTITUTE(SUBSTITUTE(UPPER(TRIM(Raw_Export!F741)),"KES",""),",","")),0))</f>
        <v>330</v>
      </c>
      <c r="H741" s="38" t="n">
        <f aca="false">IF(Raw_Export!$A741="","",F741*G741)</f>
        <v>990</v>
      </c>
      <c r="I741" s="36" t="str">
        <f aca="false">IF(Raw_Export!$A741="","",IFERROR(VLOOKUP(LOWER(TRIM(Raw_Export!H741)),Maps!$D$2:$E$12,2,FALSE()),"Other"))</f>
        <v>M-Pesa</v>
      </c>
      <c r="J741" s="36" t="str">
        <f aca="false">IF(Raw_Export!$A741="","",IF(COUNTIF($A$2:A741,A741)&gt;1,"Duplicate",""))</f>
        <v/>
      </c>
      <c r="K741" s="36" t="str">
        <f aca="false">IF(Raw_Export!$A741="","",IF(J741="Duplicate","Duplicate",IF(OR(C741="UNMAPPED",D741="UNMAPPED"),"Unmapped",IF(F741=0,"Blank qty",IF(F741&lt;0,"Return","OK")))))</f>
        <v>OK</v>
      </c>
      <c r="L741" s="36" t="n">
        <f aca="false">IF(Raw_Export!$A741="","",IF(OR(K741="OK",K741="Return"),1,0))</f>
        <v>1</v>
      </c>
      <c r="M741" s="37" t="n">
        <f aca="false">IF(Raw_Export!$A741="","",B741-WEEKDAY(B741,2)+1)</f>
        <v>46265</v>
      </c>
    </row>
    <row r="742" customFormat="false" ht="15" hidden="false" customHeight="false" outlineLevel="0" collapsed="false">
      <c r="A742" s="36" t="str">
        <f aca="false">IF(Raw_Export!$A742="","",TRIM(Raw_Export!A742))</f>
        <v>TXN-100727</v>
      </c>
      <c r="B742" s="37" t="n">
        <f aca="false">IF(Raw_Export!$A742="","",IF(ISNUMBER(Raw_Export!B742),Raw_Export!B742,IF(MID(TRIM(Raw_Export!B742),5,1)="-",DATE(LEFT(TRIM(Raw_Export!B742),4),MID(TRIM(Raw_Export!B742),6,2),RIGHT(TRIM(Raw_Export!B742),2)),DATE(RIGHT(TRIM(Raw_Export!B742),4),MATCH(MID(TRIM(Raw_Export!B742),4,3),{"Jan","Feb","Mar","Apr","May","Jun","Jul","Aug","Sep","Oct","Nov","Dec"},0),LEFT(TRIM(Raw_Export!B742),2)))))</f>
        <v>46270</v>
      </c>
      <c r="C742" s="36" t="str">
        <f aca="false">IF(Raw_Export!$A742="","",IFERROR(VLOOKUP(LOWER(TRIM(Raw_Export!C742)),Maps!$A$2:$B$20,2,FALSE()),"UNMAPPED"))</f>
        <v>Nairobi CBD</v>
      </c>
      <c r="D742" s="36" t="str">
        <f aca="false">IF(Raw_Export!$A742="","",IFERROR(VLOOKUP(LOWER(TRIM(Raw_Export!D742)),Maps!$G$2:$I$80,2,FALSE()),"UNMAPPED"))</f>
        <v>Toilet Paper 10pk</v>
      </c>
      <c r="E742" s="36" t="str">
        <f aca="false">IF(Raw_Export!$A742="","",IFERROR(VLOOKUP(LOWER(TRIM(Raw_Export!D742)),Maps!$G$2:$I$80,3,FALSE()),"UNMAPPED"))</f>
        <v>Household</v>
      </c>
      <c r="F742" s="36" t="n">
        <f aca="false">IF(Raw_Export!$A742="","",IFERROR(VALUE(TRIM(Raw_Export!E742)),0))</f>
        <v>3</v>
      </c>
      <c r="G742" s="38" t="n">
        <f aca="false">IF(Raw_Export!$A742="","",IFERROR(VALUE(SUBSTITUTE(SUBSTITUTE(UPPER(TRIM(Raw_Export!F742)),"KES",""),",","")),0))</f>
        <v>380</v>
      </c>
      <c r="H742" s="38" t="n">
        <f aca="false">IF(Raw_Export!$A742="","",F742*G742)</f>
        <v>1140</v>
      </c>
      <c r="I742" s="36" t="str">
        <f aca="false">IF(Raw_Export!$A742="","",IFERROR(VLOOKUP(LOWER(TRIM(Raw_Export!H742)),Maps!$D$2:$E$12,2,FALSE()),"Other"))</f>
        <v>Card</v>
      </c>
      <c r="J742" s="36" t="str">
        <f aca="false">IF(Raw_Export!$A742="","",IF(COUNTIF($A$2:A742,A742)&gt;1,"Duplicate",""))</f>
        <v/>
      </c>
      <c r="K742" s="36" t="str">
        <f aca="false">IF(Raw_Export!$A742="","",IF(J742="Duplicate","Duplicate",IF(OR(C742="UNMAPPED",D742="UNMAPPED"),"Unmapped",IF(F742=0,"Blank qty",IF(F742&lt;0,"Return","OK")))))</f>
        <v>OK</v>
      </c>
      <c r="L742" s="36" t="n">
        <f aca="false">IF(Raw_Export!$A742="","",IF(OR(K742="OK",K742="Return"),1,0))</f>
        <v>1</v>
      </c>
      <c r="M742" s="37" t="n">
        <f aca="false">IF(Raw_Export!$A742="","",B742-WEEKDAY(B742,2)+1)</f>
        <v>46265</v>
      </c>
    </row>
    <row r="743" customFormat="false" ht="15" hidden="false" customHeight="false" outlineLevel="0" collapsed="false">
      <c r="A743" s="36" t="str">
        <f aca="false">IF(Raw_Export!$A743="","",TRIM(Raw_Export!A743))</f>
        <v>TXN-100728</v>
      </c>
      <c r="B743" s="37" t="n">
        <f aca="false">IF(Raw_Export!$A743="","",IF(ISNUMBER(Raw_Export!B743),Raw_Export!B743,IF(MID(TRIM(Raw_Export!B743),5,1)="-",DATE(LEFT(TRIM(Raw_Export!B743),4),MID(TRIM(Raw_Export!B743),6,2),RIGHT(TRIM(Raw_Export!B743),2)),DATE(RIGHT(TRIM(Raw_Export!B743),4),MATCH(MID(TRIM(Raw_Export!B743),4,3),{"Jan","Feb","Mar","Apr","May","Jun","Jul","Aug","Sep","Oct","Nov","Dec"},0),LEFT(TRIM(Raw_Export!B743),2)))))</f>
        <v>46270</v>
      </c>
      <c r="C743" s="36" t="str">
        <f aca="false">IF(Raw_Export!$A743="","",IFERROR(VLOOKUP(LOWER(TRIM(Raw_Export!C743)),Maps!$A$2:$B$20,2,FALSE()),"UNMAPPED"))</f>
        <v>Nairobi CBD</v>
      </c>
      <c r="D743" s="36" t="str">
        <f aca="false">IF(Raw_Export!$A743="","",IFERROR(VLOOKUP(LOWER(TRIM(Raw_Export!D743)),Maps!$G$2:$I$80,2,FALSE()),"UNMAPPED"))</f>
        <v>Rice Pishori 2kg</v>
      </c>
      <c r="E743" s="36" t="str">
        <f aca="false">IF(Raw_Export!$A743="","",IFERROR(VLOOKUP(LOWER(TRIM(Raw_Export!D743)),Maps!$G$2:$I$80,3,FALSE()),"UNMAPPED"))</f>
        <v>Staples</v>
      </c>
      <c r="F743" s="36" t="n">
        <f aca="false">IF(Raw_Export!$A743="","",IFERROR(VALUE(TRIM(Raw_Export!E743)),0))</f>
        <v>2</v>
      </c>
      <c r="G743" s="38" t="n">
        <f aca="false">IF(Raw_Export!$A743="","",IFERROR(VALUE(SUBSTITUTE(SUBSTITUTE(UPPER(TRIM(Raw_Export!F743)),"KES",""),",","")),0))</f>
        <v>420</v>
      </c>
      <c r="H743" s="38" t="n">
        <f aca="false">IF(Raw_Export!$A743="","",F743*G743)</f>
        <v>840</v>
      </c>
      <c r="I743" s="36" t="str">
        <f aca="false">IF(Raw_Export!$A743="","",IFERROR(VLOOKUP(LOWER(TRIM(Raw_Export!H743)),Maps!$D$2:$E$12,2,FALSE()),"Other"))</f>
        <v>M-Pesa</v>
      </c>
      <c r="J743" s="36" t="str">
        <f aca="false">IF(Raw_Export!$A743="","",IF(COUNTIF($A$2:A743,A743)&gt;1,"Duplicate",""))</f>
        <v/>
      </c>
      <c r="K743" s="36" t="str">
        <f aca="false">IF(Raw_Export!$A743="","",IF(J743="Duplicate","Duplicate",IF(OR(C743="UNMAPPED",D743="UNMAPPED"),"Unmapped",IF(F743=0,"Blank qty",IF(F743&lt;0,"Return","OK")))))</f>
        <v>OK</v>
      </c>
      <c r="L743" s="36" t="n">
        <f aca="false">IF(Raw_Export!$A743="","",IF(OR(K743="OK",K743="Return"),1,0))</f>
        <v>1</v>
      </c>
      <c r="M743" s="37" t="n">
        <f aca="false">IF(Raw_Export!$A743="","",B743-WEEKDAY(B743,2)+1)</f>
        <v>46265</v>
      </c>
    </row>
    <row r="744" customFormat="false" ht="15" hidden="false" customHeight="false" outlineLevel="0" collapsed="false">
      <c r="A744" s="36" t="str">
        <f aca="false">IF(Raw_Export!$A744="","",TRIM(Raw_Export!A744))</f>
        <v>TXN-100729</v>
      </c>
      <c r="B744" s="37" t="n">
        <f aca="false">IF(Raw_Export!$A744="","",IF(ISNUMBER(Raw_Export!B744),Raw_Export!B744,IF(MID(TRIM(Raw_Export!B744),5,1)="-",DATE(LEFT(TRIM(Raw_Export!B744),4),MID(TRIM(Raw_Export!B744),6,2),RIGHT(TRIM(Raw_Export!B744),2)),DATE(RIGHT(TRIM(Raw_Export!B744),4),MATCH(MID(TRIM(Raw_Export!B744),4,3),{"Jan","Feb","Mar","Apr","May","Jun","Jul","Aug","Sep","Oct","Nov","Dec"},0),LEFT(TRIM(Raw_Export!B744),2)))))</f>
        <v>46270</v>
      </c>
      <c r="C744" s="36" t="str">
        <f aca="false">IF(Raw_Export!$A744="","",IFERROR(VLOOKUP(LOWER(TRIM(Raw_Export!C744)),Maps!$A$2:$B$20,2,FALSE()),"UNMAPPED"))</f>
        <v>Nairobi CBD</v>
      </c>
      <c r="D744" s="36" t="str">
        <f aca="false">IF(Raw_Export!$A744="","",IFERROR(VLOOKUP(LOWER(TRIM(Raw_Export!D744)),Maps!$G$2:$I$80,2,FALSE()),"UNMAPPED"))</f>
        <v>Fresh Milk 500ml</v>
      </c>
      <c r="E744" s="36" t="str">
        <f aca="false">IF(Raw_Export!$A744="","",IFERROR(VLOOKUP(LOWER(TRIM(Raw_Export!D744)),Maps!$G$2:$I$80,3,FALSE()),"UNMAPPED"))</f>
        <v>Dairy &amp; Eggs</v>
      </c>
      <c r="F744" s="36" t="n">
        <f aca="false">IF(Raw_Export!$A744="","",IFERROR(VALUE(TRIM(Raw_Export!E744)),0))</f>
        <v>2</v>
      </c>
      <c r="G744" s="38" t="n">
        <f aca="false">IF(Raw_Export!$A744="","",IFERROR(VALUE(SUBSTITUTE(SUBSTITUTE(UPPER(TRIM(Raw_Export!F744)),"KES",""),",","")),0))</f>
        <v>65</v>
      </c>
      <c r="H744" s="38" t="n">
        <f aca="false">IF(Raw_Export!$A744="","",F744*G744)</f>
        <v>130</v>
      </c>
      <c r="I744" s="36" t="str">
        <f aca="false">IF(Raw_Export!$A744="","",IFERROR(VLOOKUP(LOWER(TRIM(Raw_Export!H744)),Maps!$D$2:$E$12,2,FALSE()),"Other"))</f>
        <v>M-Pesa</v>
      </c>
      <c r="J744" s="36" t="str">
        <f aca="false">IF(Raw_Export!$A744="","",IF(COUNTIF($A$2:A744,A744)&gt;1,"Duplicate",""))</f>
        <v/>
      </c>
      <c r="K744" s="36" t="str">
        <f aca="false">IF(Raw_Export!$A744="","",IF(J744="Duplicate","Duplicate",IF(OR(C744="UNMAPPED",D744="UNMAPPED"),"Unmapped",IF(F744=0,"Blank qty",IF(F744&lt;0,"Return","OK")))))</f>
        <v>OK</v>
      </c>
      <c r="L744" s="36" t="n">
        <f aca="false">IF(Raw_Export!$A744="","",IF(OR(K744="OK",K744="Return"),1,0))</f>
        <v>1</v>
      </c>
      <c r="M744" s="37" t="n">
        <f aca="false">IF(Raw_Export!$A744="","",B744-WEEKDAY(B744,2)+1)</f>
        <v>46265</v>
      </c>
    </row>
    <row r="745" customFormat="false" ht="15" hidden="false" customHeight="false" outlineLevel="0" collapsed="false">
      <c r="A745" s="36" t="str">
        <f aca="false">IF(Raw_Export!$A745="","",TRIM(Raw_Export!A745))</f>
        <v>TXN-100730</v>
      </c>
      <c r="B745" s="37" t="n">
        <f aca="false">IF(Raw_Export!$A745="","",IF(ISNUMBER(Raw_Export!B745),Raw_Export!B745,IF(MID(TRIM(Raw_Export!B745),5,1)="-",DATE(LEFT(TRIM(Raw_Export!B745),4),MID(TRIM(Raw_Export!B745),6,2),RIGHT(TRIM(Raw_Export!B745),2)),DATE(RIGHT(TRIM(Raw_Export!B745),4),MATCH(MID(TRIM(Raw_Export!B745),4,3),{"Jan","Feb","Mar","Apr","May","Jun","Jul","Aug","Sep","Oct","Nov","Dec"},0),LEFT(TRIM(Raw_Export!B745),2)))))</f>
        <v>46270</v>
      </c>
      <c r="C745" s="36" t="str">
        <f aca="false">IF(Raw_Export!$A745="","",IFERROR(VLOOKUP(LOWER(TRIM(Raw_Export!C745)),Maps!$A$2:$B$20,2,FALSE()),"UNMAPPED"))</f>
        <v>Nairobi CBD</v>
      </c>
      <c r="D745" s="36" t="str">
        <f aca="false">IF(Raw_Export!$A745="","",IFERROR(VLOOKUP(LOWER(TRIM(Raw_Export!D745)),Maps!$G$2:$I$80,2,FALSE()),"UNMAPPED"))</f>
        <v>Deodorant 150ml</v>
      </c>
      <c r="E745" s="36" t="str">
        <f aca="false">IF(Raw_Export!$A745="","",IFERROR(VLOOKUP(LOWER(TRIM(Raw_Export!D745)),Maps!$G$2:$I$80,3,FALSE()),"UNMAPPED"))</f>
        <v>Personal Care</v>
      </c>
      <c r="F745" s="36" t="n">
        <f aca="false">IF(Raw_Export!$A745="","",IFERROR(VALUE(TRIM(Raw_Export!E745)),0))</f>
        <v>2</v>
      </c>
      <c r="G745" s="38" t="n">
        <f aca="false">IF(Raw_Export!$A745="","",IFERROR(VALUE(SUBSTITUTE(SUBSTITUTE(UPPER(TRIM(Raw_Export!F745)),"KES",""),",","")),0))</f>
        <v>315</v>
      </c>
      <c r="H745" s="38" t="n">
        <f aca="false">IF(Raw_Export!$A745="","",F745*G745)</f>
        <v>630</v>
      </c>
      <c r="I745" s="36" t="str">
        <f aca="false">IF(Raw_Export!$A745="","",IFERROR(VLOOKUP(LOWER(TRIM(Raw_Export!H745)),Maps!$D$2:$E$12,2,FALSE()),"Other"))</f>
        <v>Cash</v>
      </c>
      <c r="J745" s="36" t="str">
        <f aca="false">IF(Raw_Export!$A745="","",IF(COUNTIF($A$2:A745,A745)&gt;1,"Duplicate",""))</f>
        <v/>
      </c>
      <c r="K745" s="36" t="str">
        <f aca="false">IF(Raw_Export!$A745="","",IF(J745="Duplicate","Duplicate",IF(OR(C745="UNMAPPED",D745="UNMAPPED"),"Unmapped",IF(F745=0,"Blank qty",IF(F745&lt;0,"Return","OK")))))</f>
        <v>OK</v>
      </c>
      <c r="L745" s="36" t="n">
        <f aca="false">IF(Raw_Export!$A745="","",IF(OR(K745="OK",K745="Return"),1,0))</f>
        <v>1</v>
      </c>
      <c r="M745" s="37" t="n">
        <f aca="false">IF(Raw_Export!$A745="","",B745-WEEKDAY(B745,2)+1)</f>
        <v>46265</v>
      </c>
    </row>
    <row r="746" customFormat="false" ht="15" hidden="false" customHeight="false" outlineLevel="0" collapsed="false">
      <c r="A746" s="36" t="str">
        <f aca="false">IF(Raw_Export!$A746="","",TRIM(Raw_Export!A746))</f>
        <v>TXN-100731</v>
      </c>
      <c r="B746" s="37" t="n">
        <f aca="false">IF(Raw_Export!$A746="","",IF(ISNUMBER(Raw_Export!B746),Raw_Export!B746,IF(MID(TRIM(Raw_Export!B746),5,1)="-",DATE(LEFT(TRIM(Raw_Export!B746),4),MID(TRIM(Raw_Export!B746),6,2),RIGHT(TRIM(Raw_Export!B746),2)),DATE(RIGHT(TRIM(Raw_Export!B746),4),MATCH(MID(TRIM(Raw_Export!B746),4,3),{"Jan","Feb","Mar","Apr","May","Jun","Jul","Aug","Sep","Oct","Nov","Dec"},0),LEFT(TRIM(Raw_Export!B746),2)))))</f>
        <v>46270</v>
      </c>
      <c r="C746" s="36" t="str">
        <f aca="false">IF(Raw_Export!$A746="","",IFERROR(VLOOKUP(LOWER(TRIM(Raw_Export!C746)),Maps!$A$2:$B$20,2,FALSE()),"UNMAPPED"))</f>
        <v>Nairobi CBD</v>
      </c>
      <c r="D746" s="36" t="str">
        <f aca="false">IF(Raw_Export!$A746="","",IFERROR(VLOOKUP(LOWER(TRIM(Raw_Export!D746)),Maps!$G$2:$I$80,2,FALSE()),"UNMAPPED"))</f>
        <v>Sugar 2kg</v>
      </c>
      <c r="E746" s="36" t="str">
        <f aca="false">IF(Raw_Export!$A746="","",IFERROR(VLOOKUP(LOWER(TRIM(Raw_Export!D746)),Maps!$G$2:$I$80,3,FALSE()),"UNMAPPED"))</f>
        <v>Staples</v>
      </c>
      <c r="F746" s="36" t="n">
        <f aca="false">IF(Raw_Export!$A746="","",IFERROR(VALUE(TRIM(Raw_Export!E746)),0))</f>
        <v>3</v>
      </c>
      <c r="G746" s="38" t="n">
        <f aca="false">IF(Raw_Export!$A746="","",IFERROR(VALUE(SUBSTITUTE(SUBSTITUTE(UPPER(TRIM(Raw_Export!F746)),"KES",""),",","")),0))</f>
        <v>330</v>
      </c>
      <c r="H746" s="38" t="n">
        <f aca="false">IF(Raw_Export!$A746="","",F746*G746)</f>
        <v>990</v>
      </c>
      <c r="I746" s="36" t="str">
        <f aca="false">IF(Raw_Export!$A746="","",IFERROR(VLOOKUP(LOWER(TRIM(Raw_Export!H746)),Maps!$D$2:$E$12,2,FALSE()),"Other"))</f>
        <v>M-Pesa</v>
      </c>
      <c r="J746" s="36" t="str">
        <f aca="false">IF(Raw_Export!$A746="","",IF(COUNTIF($A$2:A746,A746)&gt;1,"Duplicate",""))</f>
        <v/>
      </c>
      <c r="K746" s="36" t="str">
        <f aca="false">IF(Raw_Export!$A746="","",IF(J746="Duplicate","Duplicate",IF(OR(C746="UNMAPPED",D746="UNMAPPED"),"Unmapped",IF(F746=0,"Blank qty",IF(F746&lt;0,"Return","OK")))))</f>
        <v>OK</v>
      </c>
      <c r="L746" s="36" t="n">
        <f aca="false">IF(Raw_Export!$A746="","",IF(OR(K746="OK",K746="Return"),1,0))</f>
        <v>1</v>
      </c>
      <c r="M746" s="37" t="n">
        <f aca="false">IF(Raw_Export!$A746="","",B746-WEEKDAY(B746,2)+1)</f>
        <v>46265</v>
      </c>
    </row>
    <row r="747" customFormat="false" ht="15" hidden="false" customHeight="false" outlineLevel="0" collapsed="false">
      <c r="A747" s="36" t="str">
        <f aca="false">IF(Raw_Export!$A747="","",TRIM(Raw_Export!A747))</f>
        <v>TXN-100732</v>
      </c>
      <c r="B747" s="37" t="n">
        <f aca="false">IF(Raw_Export!$A747="","",IF(ISNUMBER(Raw_Export!B747),Raw_Export!B747,IF(MID(TRIM(Raw_Export!B747),5,1)="-",DATE(LEFT(TRIM(Raw_Export!B747),4),MID(TRIM(Raw_Export!B747),6,2),RIGHT(TRIM(Raw_Export!B747),2)),DATE(RIGHT(TRIM(Raw_Export!B747),4),MATCH(MID(TRIM(Raw_Export!B747),4,3),{"Jan","Feb","Mar","Apr","May","Jun","Jul","Aug","Sep","Oct","Nov","Dec"},0),LEFT(TRIM(Raw_Export!B747),2)))))</f>
        <v>46270</v>
      </c>
      <c r="C747" s="36" t="str">
        <f aca="false">IF(Raw_Export!$A747="","",IFERROR(VLOOKUP(LOWER(TRIM(Raw_Export!C747)),Maps!$A$2:$B$20,2,FALSE()),"UNMAPPED"))</f>
        <v>Nairobi CBD</v>
      </c>
      <c r="D747" s="36" t="str">
        <f aca="false">IF(Raw_Export!$A747="","",IFERROR(VLOOKUP(LOWER(TRIM(Raw_Export!D747)),Maps!$G$2:$I$80,2,FALSE()),"UNMAPPED"))</f>
        <v>Bath Soap 175g</v>
      </c>
      <c r="E747" s="36" t="str">
        <f aca="false">IF(Raw_Export!$A747="","",IFERROR(VLOOKUP(LOWER(TRIM(Raw_Export!D747)),Maps!$G$2:$I$80,3,FALSE()),"UNMAPPED"))</f>
        <v>Personal Care</v>
      </c>
      <c r="F747" s="36" t="n">
        <f aca="false">IF(Raw_Export!$A747="","",IFERROR(VALUE(TRIM(Raw_Export!E747)),0))</f>
        <v>6</v>
      </c>
      <c r="G747" s="38" t="n">
        <f aca="false">IF(Raw_Export!$A747="","",IFERROR(VALUE(SUBSTITUTE(SUBSTITUTE(UPPER(TRIM(Raw_Export!F747)),"KES",""),",","")),0))</f>
        <v>85</v>
      </c>
      <c r="H747" s="38" t="n">
        <f aca="false">IF(Raw_Export!$A747="","",F747*G747)</f>
        <v>510</v>
      </c>
      <c r="I747" s="36" t="str">
        <f aca="false">IF(Raw_Export!$A747="","",IFERROR(VLOOKUP(LOWER(TRIM(Raw_Export!H747)),Maps!$D$2:$E$12,2,FALSE()),"Other"))</f>
        <v>Cash</v>
      </c>
      <c r="J747" s="36" t="str">
        <f aca="false">IF(Raw_Export!$A747="","",IF(COUNTIF($A$2:A747,A747)&gt;1,"Duplicate",""))</f>
        <v/>
      </c>
      <c r="K747" s="36" t="str">
        <f aca="false">IF(Raw_Export!$A747="","",IF(J747="Duplicate","Duplicate",IF(OR(C747="UNMAPPED",D747="UNMAPPED"),"Unmapped",IF(F747=0,"Blank qty",IF(F747&lt;0,"Return","OK")))))</f>
        <v>OK</v>
      </c>
      <c r="L747" s="36" t="n">
        <f aca="false">IF(Raw_Export!$A747="","",IF(OR(K747="OK",K747="Return"),1,0))</f>
        <v>1</v>
      </c>
      <c r="M747" s="37" t="n">
        <f aca="false">IF(Raw_Export!$A747="","",B747-WEEKDAY(B747,2)+1)</f>
        <v>46265</v>
      </c>
    </row>
    <row r="748" customFormat="false" ht="15" hidden="false" customHeight="false" outlineLevel="0" collapsed="false">
      <c r="A748" s="36" t="str">
        <f aca="false">IF(Raw_Export!$A748="","",TRIM(Raw_Export!A748))</f>
        <v>TXN-100733</v>
      </c>
      <c r="B748" s="37" t="n">
        <f aca="false">IF(Raw_Export!$A748="","",IF(ISNUMBER(Raw_Export!B748),Raw_Export!B748,IF(MID(TRIM(Raw_Export!B748),5,1)="-",DATE(LEFT(TRIM(Raw_Export!B748),4),MID(TRIM(Raw_Export!B748),6,2),RIGHT(TRIM(Raw_Export!B748),2)),DATE(RIGHT(TRIM(Raw_Export!B748),4),MATCH(MID(TRIM(Raw_Export!B748),4,3),{"Jan","Feb","Mar","Apr","May","Jun","Jul","Aug","Sep","Oct","Nov","Dec"},0),LEFT(TRIM(Raw_Export!B748),2)))))</f>
        <v>46270</v>
      </c>
      <c r="C748" s="36" t="str">
        <f aca="false">IF(Raw_Export!$A748="","",IFERROR(VLOOKUP(LOWER(TRIM(Raw_Export!C748)),Maps!$A$2:$B$20,2,FALSE()),"UNMAPPED"))</f>
        <v>Nairobi CBD</v>
      </c>
      <c r="D748" s="36" t="str">
        <f aca="false">IF(Raw_Export!$A748="","",IFERROR(VLOOKUP(LOWER(TRIM(Raw_Export!D748)),Maps!$G$2:$I$80,2,FALSE()),"UNMAPPED"))</f>
        <v>Biscuits 200g</v>
      </c>
      <c r="E748" s="36" t="str">
        <f aca="false">IF(Raw_Export!$A748="","",IFERROR(VLOOKUP(LOWER(TRIM(Raw_Export!D748)),Maps!$G$2:$I$80,3,FALSE()),"UNMAPPED"))</f>
        <v>Snacks</v>
      </c>
      <c r="F748" s="36" t="n">
        <f aca="false">IF(Raw_Export!$A748="","",IFERROR(VALUE(TRIM(Raw_Export!E748)),0))</f>
        <v>6</v>
      </c>
      <c r="G748" s="38" t="n">
        <f aca="false">IF(Raw_Export!$A748="","",IFERROR(VALUE(SUBSTITUTE(SUBSTITUTE(UPPER(TRIM(Raw_Export!F748)),"KES",""),",","")),0))</f>
        <v>95</v>
      </c>
      <c r="H748" s="38" t="n">
        <f aca="false">IF(Raw_Export!$A748="","",F748*G748)</f>
        <v>570</v>
      </c>
      <c r="I748" s="36" t="str">
        <f aca="false">IF(Raw_Export!$A748="","",IFERROR(VLOOKUP(LOWER(TRIM(Raw_Export!H748)),Maps!$D$2:$E$12,2,FALSE()),"Other"))</f>
        <v>M-Pesa</v>
      </c>
      <c r="J748" s="36" t="str">
        <f aca="false">IF(Raw_Export!$A748="","",IF(COUNTIF($A$2:A748,A748)&gt;1,"Duplicate",""))</f>
        <v/>
      </c>
      <c r="K748" s="36" t="str">
        <f aca="false">IF(Raw_Export!$A748="","",IF(J748="Duplicate","Duplicate",IF(OR(C748="UNMAPPED",D748="UNMAPPED"),"Unmapped",IF(F748=0,"Blank qty",IF(F748&lt;0,"Return","OK")))))</f>
        <v>OK</v>
      </c>
      <c r="L748" s="36" t="n">
        <f aca="false">IF(Raw_Export!$A748="","",IF(OR(K748="OK",K748="Return"),1,0))</f>
        <v>1</v>
      </c>
      <c r="M748" s="37" t="n">
        <f aca="false">IF(Raw_Export!$A748="","",B748-WEEKDAY(B748,2)+1)</f>
        <v>46265</v>
      </c>
    </row>
    <row r="749" customFormat="false" ht="15" hidden="false" customHeight="false" outlineLevel="0" collapsed="false">
      <c r="A749" s="36" t="str">
        <f aca="false">IF(Raw_Export!$A749="","",TRIM(Raw_Export!A749))</f>
        <v>TXN-100734</v>
      </c>
      <c r="B749" s="37" t="n">
        <f aca="false">IF(Raw_Export!$A749="","",IF(ISNUMBER(Raw_Export!B749),Raw_Export!B749,IF(MID(TRIM(Raw_Export!B749),5,1)="-",DATE(LEFT(TRIM(Raw_Export!B749),4),MID(TRIM(Raw_Export!B749),6,2),RIGHT(TRIM(Raw_Export!B749),2)),DATE(RIGHT(TRIM(Raw_Export!B749),4),MATCH(MID(TRIM(Raw_Export!B749),4,3),{"Jan","Feb","Mar","Apr","May","Jun","Jul","Aug","Sep","Oct","Nov","Dec"},0),LEFT(TRIM(Raw_Export!B749),2)))))</f>
        <v>46270</v>
      </c>
      <c r="C749" s="36" t="str">
        <f aca="false">IF(Raw_Export!$A749="","",IFERROR(VLOOKUP(LOWER(TRIM(Raw_Export!C749)),Maps!$A$2:$B$20,2,FALSE()),"UNMAPPED"))</f>
        <v>Nairobi CBD</v>
      </c>
      <c r="D749" s="36" t="str">
        <f aca="false">IF(Raw_Export!$A749="","",IFERROR(VLOOKUP(LOWER(TRIM(Raw_Export!D749)),Maps!$G$2:$I$80,2,FALSE()),"UNMAPPED"))</f>
        <v>Fresh Milk 500ml</v>
      </c>
      <c r="E749" s="36" t="str">
        <f aca="false">IF(Raw_Export!$A749="","",IFERROR(VLOOKUP(LOWER(TRIM(Raw_Export!D749)),Maps!$G$2:$I$80,3,FALSE()),"UNMAPPED"))</f>
        <v>Dairy &amp; Eggs</v>
      </c>
      <c r="F749" s="36" t="n">
        <f aca="false">IF(Raw_Export!$A749="","",IFERROR(VALUE(TRIM(Raw_Export!E749)),0))</f>
        <v>1</v>
      </c>
      <c r="G749" s="38" t="n">
        <f aca="false">IF(Raw_Export!$A749="","",IFERROR(VALUE(SUBSTITUTE(SUBSTITUTE(UPPER(TRIM(Raw_Export!F749)),"KES",""),",","")),0))</f>
        <v>65</v>
      </c>
      <c r="H749" s="38" t="n">
        <f aca="false">IF(Raw_Export!$A749="","",F749*G749)</f>
        <v>65</v>
      </c>
      <c r="I749" s="36" t="str">
        <f aca="false">IF(Raw_Export!$A749="","",IFERROR(VLOOKUP(LOWER(TRIM(Raw_Export!H749)),Maps!$D$2:$E$12,2,FALSE()),"Other"))</f>
        <v>M-Pesa</v>
      </c>
      <c r="J749" s="36" t="str">
        <f aca="false">IF(Raw_Export!$A749="","",IF(COUNTIF($A$2:A749,A749)&gt;1,"Duplicate",""))</f>
        <v/>
      </c>
      <c r="K749" s="36" t="str">
        <f aca="false">IF(Raw_Export!$A749="","",IF(J749="Duplicate","Duplicate",IF(OR(C749="UNMAPPED",D749="UNMAPPED"),"Unmapped",IF(F749=0,"Blank qty",IF(F749&lt;0,"Return","OK")))))</f>
        <v>OK</v>
      </c>
      <c r="L749" s="36" t="n">
        <f aca="false">IF(Raw_Export!$A749="","",IF(OR(K749="OK",K749="Return"),1,0))</f>
        <v>1</v>
      </c>
      <c r="M749" s="37" t="n">
        <f aca="false">IF(Raw_Export!$A749="","",B749-WEEKDAY(B749,2)+1)</f>
        <v>46265</v>
      </c>
    </row>
    <row r="750" customFormat="false" ht="15" hidden="false" customHeight="false" outlineLevel="0" collapsed="false">
      <c r="A750" s="36" t="str">
        <f aca="false">IF(Raw_Export!$A750="","",TRIM(Raw_Export!A750))</f>
        <v>TXN-100735</v>
      </c>
      <c r="B750" s="37" t="n">
        <f aca="false">IF(Raw_Export!$A750="","",IF(ISNUMBER(Raw_Export!B750),Raw_Export!B750,IF(MID(TRIM(Raw_Export!B750),5,1)="-",DATE(LEFT(TRIM(Raw_Export!B750),4),MID(TRIM(Raw_Export!B750),6,2),RIGHT(TRIM(Raw_Export!B750),2)),DATE(RIGHT(TRIM(Raw_Export!B750),4),MATCH(MID(TRIM(Raw_Export!B750),4,3),{"Jan","Feb","Mar","Apr","May","Jun","Jul","Aug","Sep","Oct","Nov","Dec"},0),LEFT(TRIM(Raw_Export!B750),2)))))</f>
        <v>46270</v>
      </c>
      <c r="C750" s="36" t="str">
        <f aca="false">IF(Raw_Export!$A750="","",IFERROR(VLOOKUP(LOWER(TRIM(Raw_Export!C750)),Maps!$A$2:$B$20,2,FALSE()),"UNMAPPED"))</f>
        <v>Nairobi CBD</v>
      </c>
      <c r="D750" s="36" t="str">
        <f aca="false">IF(Raw_Export!$A750="","",IFERROR(VLOOKUP(LOWER(TRIM(Raw_Export!D750)),Maps!$G$2:$I$80,2,FALSE()),"UNMAPPED"))</f>
        <v>Fresh Milk 500ml</v>
      </c>
      <c r="E750" s="36" t="str">
        <f aca="false">IF(Raw_Export!$A750="","",IFERROR(VLOOKUP(LOWER(TRIM(Raw_Export!D750)),Maps!$G$2:$I$80,3,FALSE()),"UNMAPPED"))</f>
        <v>Dairy &amp; Eggs</v>
      </c>
      <c r="F750" s="36" t="n">
        <f aca="false">IF(Raw_Export!$A750="","",IFERROR(VALUE(TRIM(Raw_Export!E750)),0))</f>
        <v>3</v>
      </c>
      <c r="G750" s="38" t="n">
        <f aca="false">IF(Raw_Export!$A750="","",IFERROR(VALUE(SUBSTITUTE(SUBSTITUTE(UPPER(TRIM(Raw_Export!F750)),"KES",""),",","")),0))</f>
        <v>65</v>
      </c>
      <c r="H750" s="38" t="n">
        <f aca="false">IF(Raw_Export!$A750="","",F750*G750)</f>
        <v>195</v>
      </c>
      <c r="I750" s="36" t="str">
        <f aca="false">IF(Raw_Export!$A750="","",IFERROR(VLOOKUP(LOWER(TRIM(Raw_Export!H750)),Maps!$D$2:$E$12,2,FALSE()),"Other"))</f>
        <v>Cash</v>
      </c>
      <c r="J750" s="36" t="str">
        <f aca="false">IF(Raw_Export!$A750="","",IF(COUNTIF($A$2:A750,A750)&gt;1,"Duplicate",""))</f>
        <v/>
      </c>
      <c r="K750" s="36" t="str">
        <f aca="false">IF(Raw_Export!$A750="","",IF(J750="Duplicate","Duplicate",IF(OR(C750="UNMAPPED",D750="UNMAPPED"),"Unmapped",IF(F750=0,"Blank qty",IF(F750&lt;0,"Return","OK")))))</f>
        <v>OK</v>
      </c>
      <c r="L750" s="36" t="n">
        <f aca="false">IF(Raw_Export!$A750="","",IF(OR(K750="OK",K750="Return"),1,0))</f>
        <v>1</v>
      </c>
      <c r="M750" s="37" t="n">
        <f aca="false">IF(Raw_Export!$A750="","",B750-WEEKDAY(B750,2)+1)</f>
        <v>46265</v>
      </c>
    </row>
    <row r="751" customFormat="false" ht="15" hidden="false" customHeight="false" outlineLevel="0" collapsed="false">
      <c r="A751" s="36" t="str">
        <f aca="false">IF(Raw_Export!$A751="","",TRIM(Raw_Export!A751))</f>
        <v>TXN-100736</v>
      </c>
      <c r="B751" s="37" t="n">
        <f aca="false">IF(Raw_Export!$A751="","",IF(ISNUMBER(Raw_Export!B751),Raw_Export!B751,IF(MID(TRIM(Raw_Export!B751),5,1)="-",DATE(LEFT(TRIM(Raw_Export!B751),4),MID(TRIM(Raw_Export!B751),6,2),RIGHT(TRIM(Raw_Export!B751),2)),DATE(RIGHT(TRIM(Raw_Export!B751),4),MATCH(MID(TRIM(Raw_Export!B751),4,3),{"Jan","Feb","Mar","Apr","May","Jun","Jul","Aug","Sep","Oct","Nov","Dec"},0),LEFT(TRIM(Raw_Export!B751),2)))))</f>
        <v>46270</v>
      </c>
      <c r="C751" s="36" t="str">
        <f aca="false">IF(Raw_Export!$A751="","",IFERROR(VLOOKUP(LOWER(TRIM(Raw_Export!C751)),Maps!$A$2:$B$20,2,FALSE()),"UNMAPPED"))</f>
        <v>Nairobi CBD</v>
      </c>
      <c r="D751" s="36" t="str">
        <f aca="false">IF(Raw_Export!$A751="","",IFERROR(VLOOKUP(LOWER(TRIM(Raw_Export!D751)),Maps!$G$2:$I$80,2,FALSE()),"UNMAPPED"))</f>
        <v>Soda 500ml</v>
      </c>
      <c r="E751" s="36" t="str">
        <f aca="false">IF(Raw_Export!$A751="","",IFERROR(VLOOKUP(LOWER(TRIM(Raw_Export!D751)),Maps!$G$2:$I$80,3,FALSE()),"UNMAPPED"))</f>
        <v>Beverages</v>
      </c>
      <c r="F751" s="36" t="n">
        <f aca="false">IF(Raw_Export!$A751="","",IFERROR(VALUE(TRIM(Raw_Export!E751)),0))</f>
        <v>1</v>
      </c>
      <c r="G751" s="38" t="n">
        <f aca="false">IF(Raw_Export!$A751="","",IFERROR(VALUE(SUBSTITUTE(SUBSTITUTE(UPPER(TRIM(Raw_Export!F751)),"KES",""),",","")),0))</f>
        <v>60</v>
      </c>
      <c r="H751" s="38" t="n">
        <f aca="false">IF(Raw_Export!$A751="","",F751*G751)</f>
        <v>60</v>
      </c>
      <c r="I751" s="36" t="str">
        <f aca="false">IF(Raw_Export!$A751="","",IFERROR(VLOOKUP(LOWER(TRIM(Raw_Export!H751)),Maps!$D$2:$E$12,2,FALSE()),"Other"))</f>
        <v>M-Pesa</v>
      </c>
      <c r="J751" s="36" t="str">
        <f aca="false">IF(Raw_Export!$A751="","",IF(COUNTIF($A$2:A751,A751)&gt;1,"Duplicate",""))</f>
        <v/>
      </c>
      <c r="K751" s="36" t="str">
        <f aca="false">IF(Raw_Export!$A751="","",IF(J751="Duplicate","Duplicate",IF(OR(C751="UNMAPPED",D751="UNMAPPED"),"Unmapped",IF(F751=0,"Blank qty",IF(F751&lt;0,"Return","OK")))))</f>
        <v>OK</v>
      </c>
      <c r="L751" s="36" t="n">
        <f aca="false">IF(Raw_Export!$A751="","",IF(OR(K751="OK",K751="Return"),1,0))</f>
        <v>1</v>
      </c>
      <c r="M751" s="37" t="n">
        <f aca="false">IF(Raw_Export!$A751="","",B751-WEEKDAY(B751,2)+1)</f>
        <v>46265</v>
      </c>
    </row>
    <row r="752" customFormat="false" ht="15" hidden="false" customHeight="false" outlineLevel="0" collapsed="false">
      <c r="A752" s="36" t="str">
        <f aca="false">IF(Raw_Export!$A752="","",TRIM(Raw_Export!A752))</f>
        <v>TXN-100737</v>
      </c>
      <c r="B752" s="37" t="n">
        <f aca="false">IF(Raw_Export!$A752="","",IF(ISNUMBER(Raw_Export!B752),Raw_Export!B752,IF(MID(TRIM(Raw_Export!B752),5,1)="-",DATE(LEFT(TRIM(Raw_Export!B752),4),MID(TRIM(Raw_Export!B752),6,2),RIGHT(TRIM(Raw_Export!B752),2)),DATE(RIGHT(TRIM(Raw_Export!B752),4),MATCH(MID(TRIM(Raw_Export!B752),4,3),{"Jan","Feb","Mar","Apr","May","Jun","Jul","Aug","Sep","Oct","Nov","Dec"},0),LEFT(TRIM(Raw_Export!B752),2)))))</f>
        <v>46270</v>
      </c>
      <c r="C752" s="36" t="str">
        <f aca="false">IF(Raw_Export!$A752="","",IFERROR(VLOOKUP(LOWER(TRIM(Raw_Export!C752)),Maps!$A$2:$B$20,2,FALSE()),"UNMAPPED"))</f>
        <v>Nairobi CBD</v>
      </c>
      <c r="D752" s="36" t="str">
        <f aca="false">IF(Raw_Export!$A752="","",IFERROR(VLOOKUP(LOWER(TRIM(Raw_Export!D752)),Maps!$G$2:$I$80,2,FALSE()),"UNMAPPED"))</f>
        <v>Bread Loaf 400g</v>
      </c>
      <c r="E752" s="36" t="str">
        <f aca="false">IF(Raw_Export!$A752="","",IFERROR(VLOOKUP(LOWER(TRIM(Raw_Export!D752)),Maps!$G$2:$I$80,3,FALSE()),"UNMAPPED"))</f>
        <v>Snacks</v>
      </c>
      <c r="F752" s="36" t="n">
        <f aca="false">IF(Raw_Export!$A752="","",IFERROR(VALUE(TRIM(Raw_Export!E752)),0))</f>
        <v>2</v>
      </c>
      <c r="G752" s="38" t="n">
        <f aca="false">IF(Raw_Export!$A752="","",IFERROR(VALUE(SUBSTITUTE(SUBSTITUTE(UPPER(TRIM(Raw_Export!F752)),"KES",""),",","")),0))</f>
        <v>65</v>
      </c>
      <c r="H752" s="38" t="n">
        <f aca="false">IF(Raw_Export!$A752="","",F752*G752)</f>
        <v>130</v>
      </c>
      <c r="I752" s="36" t="str">
        <f aca="false">IF(Raw_Export!$A752="","",IFERROR(VLOOKUP(LOWER(TRIM(Raw_Export!H752)),Maps!$D$2:$E$12,2,FALSE()),"Other"))</f>
        <v>M-Pesa</v>
      </c>
      <c r="J752" s="36" t="str">
        <f aca="false">IF(Raw_Export!$A752="","",IF(COUNTIF($A$2:A752,A752)&gt;1,"Duplicate",""))</f>
        <v/>
      </c>
      <c r="K752" s="36" t="str">
        <f aca="false">IF(Raw_Export!$A752="","",IF(J752="Duplicate","Duplicate",IF(OR(C752="UNMAPPED",D752="UNMAPPED"),"Unmapped",IF(F752=0,"Blank qty",IF(F752&lt;0,"Return","OK")))))</f>
        <v>OK</v>
      </c>
      <c r="L752" s="36" t="n">
        <f aca="false">IF(Raw_Export!$A752="","",IF(OR(K752="OK",K752="Return"),1,0))</f>
        <v>1</v>
      </c>
      <c r="M752" s="37" t="n">
        <f aca="false">IF(Raw_Export!$A752="","",B752-WEEKDAY(B752,2)+1)</f>
        <v>46265</v>
      </c>
    </row>
    <row r="753" customFormat="false" ht="15" hidden="false" customHeight="false" outlineLevel="0" collapsed="false">
      <c r="A753" s="36" t="str">
        <f aca="false">IF(Raw_Export!$A753="","",TRIM(Raw_Export!A753))</f>
        <v>TXN-100738</v>
      </c>
      <c r="B753" s="37" t="n">
        <f aca="false">IF(Raw_Export!$A753="","",IF(ISNUMBER(Raw_Export!B753),Raw_Export!B753,IF(MID(TRIM(Raw_Export!B753),5,1)="-",DATE(LEFT(TRIM(Raw_Export!B753),4),MID(TRIM(Raw_Export!B753),6,2),RIGHT(TRIM(Raw_Export!B753),2)),DATE(RIGHT(TRIM(Raw_Export!B753),4),MATCH(MID(TRIM(Raw_Export!B753),4,3),{"Jan","Feb","Mar","Apr","May","Jun","Jul","Aug","Sep","Oct","Nov","Dec"},0),LEFT(TRIM(Raw_Export!B753),2)))))</f>
        <v>46270</v>
      </c>
      <c r="C753" s="36" t="str">
        <f aca="false">IF(Raw_Export!$A753="","",IFERROR(VLOOKUP(LOWER(TRIM(Raw_Export!C753)),Maps!$A$2:$B$20,2,FALSE()),"UNMAPPED"))</f>
        <v>Nairobi CBD</v>
      </c>
      <c r="D753" s="36" t="str">
        <f aca="false">IF(Raw_Export!$A753="","",IFERROR(VLOOKUP(LOWER(TRIM(Raw_Export!D753)),Maps!$G$2:$I$80,2,FALSE()),"UNMAPPED"))</f>
        <v>Cheddar 200g</v>
      </c>
      <c r="E753" s="36" t="str">
        <f aca="false">IF(Raw_Export!$A753="","",IFERROR(VLOOKUP(LOWER(TRIM(Raw_Export!D753)),Maps!$G$2:$I$80,3,FALSE()),"UNMAPPED"))</f>
        <v>Dairy &amp; Eggs</v>
      </c>
      <c r="F753" s="36" t="n">
        <f aca="false">IF(Raw_Export!$A753="","",IFERROR(VALUE(TRIM(Raw_Export!E753)),0))</f>
        <v>6</v>
      </c>
      <c r="G753" s="38" t="n">
        <f aca="false">IF(Raw_Export!$A753="","",IFERROR(VALUE(SUBSTITUTE(SUBSTITUTE(UPPER(TRIM(Raw_Export!F753)),"KES",""),",","")),0))</f>
        <v>380</v>
      </c>
      <c r="H753" s="38" t="n">
        <f aca="false">IF(Raw_Export!$A753="","",F753*G753)</f>
        <v>2280</v>
      </c>
      <c r="I753" s="36" t="str">
        <f aca="false">IF(Raw_Export!$A753="","",IFERROR(VLOOKUP(LOWER(TRIM(Raw_Export!H753)),Maps!$D$2:$E$12,2,FALSE()),"Other"))</f>
        <v>Cash</v>
      </c>
      <c r="J753" s="36" t="str">
        <f aca="false">IF(Raw_Export!$A753="","",IF(COUNTIF($A$2:A753,A753)&gt;1,"Duplicate",""))</f>
        <v/>
      </c>
      <c r="K753" s="36" t="str">
        <f aca="false">IF(Raw_Export!$A753="","",IF(J753="Duplicate","Duplicate",IF(OR(C753="UNMAPPED",D753="UNMAPPED"),"Unmapped",IF(F753=0,"Blank qty",IF(F753&lt;0,"Return","OK")))))</f>
        <v>OK</v>
      </c>
      <c r="L753" s="36" t="n">
        <f aca="false">IF(Raw_Export!$A753="","",IF(OR(K753="OK",K753="Return"),1,0))</f>
        <v>1</v>
      </c>
      <c r="M753" s="37" t="n">
        <f aca="false">IF(Raw_Export!$A753="","",B753-WEEKDAY(B753,2)+1)</f>
        <v>46265</v>
      </c>
    </row>
    <row r="754" customFormat="false" ht="15" hidden="false" customHeight="false" outlineLevel="0" collapsed="false">
      <c r="A754" s="36" t="str">
        <f aca="false">IF(Raw_Export!$A754="","",TRIM(Raw_Export!A754))</f>
        <v>TXN-100739</v>
      </c>
      <c r="B754" s="37" t="n">
        <f aca="false">IF(Raw_Export!$A754="","",IF(ISNUMBER(Raw_Export!B754),Raw_Export!B754,IF(MID(TRIM(Raw_Export!B754),5,1)="-",DATE(LEFT(TRIM(Raw_Export!B754),4),MID(TRIM(Raw_Export!B754),6,2),RIGHT(TRIM(Raw_Export!B754),2)),DATE(RIGHT(TRIM(Raw_Export!B754),4),MATCH(MID(TRIM(Raw_Export!B754),4,3),{"Jan","Feb","Mar","Apr","May","Jun","Jul","Aug","Sep","Oct","Nov","Dec"},0),LEFT(TRIM(Raw_Export!B754),2)))))</f>
        <v>46270</v>
      </c>
      <c r="C754" s="36" t="str">
        <f aca="false">IF(Raw_Export!$A754="","",IFERROR(VLOOKUP(LOWER(TRIM(Raw_Export!C754)),Maps!$A$2:$B$20,2,FALSE()),"UNMAPPED"))</f>
        <v>Nairobi CBD</v>
      </c>
      <c r="D754" s="36" t="str">
        <f aca="false">IF(Raw_Export!$A754="","",IFERROR(VLOOKUP(LOWER(TRIM(Raw_Export!D754)),Maps!$G$2:$I$80,2,FALSE()),"UNMAPPED"))</f>
        <v>Sanitary Pads 8pk</v>
      </c>
      <c r="E754" s="36" t="str">
        <f aca="false">IF(Raw_Export!$A754="","",IFERROR(VLOOKUP(LOWER(TRIM(Raw_Export!D754)),Maps!$G$2:$I$80,3,FALSE()),"UNMAPPED"))</f>
        <v>Personal Care</v>
      </c>
      <c r="F754" s="36" t="n">
        <f aca="false">IF(Raw_Export!$A754="","",IFERROR(VALUE(TRIM(Raw_Export!E754)),0))</f>
        <v>1</v>
      </c>
      <c r="G754" s="38" t="n">
        <f aca="false">IF(Raw_Export!$A754="","",IFERROR(VALUE(SUBSTITUTE(SUBSTITUTE(UPPER(TRIM(Raw_Export!F754)),"KES",""),",","")),0))</f>
        <v>130</v>
      </c>
      <c r="H754" s="38" t="n">
        <f aca="false">IF(Raw_Export!$A754="","",F754*G754)</f>
        <v>130</v>
      </c>
      <c r="I754" s="36" t="str">
        <f aca="false">IF(Raw_Export!$A754="","",IFERROR(VLOOKUP(LOWER(TRIM(Raw_Export!H754)),Maps!$D$2:$E$12,2,FALSE()),"Other"))</f>
        <v>M-Pesa</v>
      </c>
      <c r="J754" s="36" t="str">
        <f aca="false">IF(Raw_Export!$A754="","",IF(COUNTIF($A$2:A754,A754)&gt;1,"Duplicate",""))</f>
        <v/>
      </c>
      <c r="K754" s="36" t="str">
        <f aca="false">IF(Raw_Export!$A754="","",IF(J754="Duplicate","Duplicate",IF(OR(C754="UNMAPPED",D754="UNMAPPED"),"Unmapped",IF(F754=0,"Blank qty",IF(F754&lt;0,"Return","OK")))))</f>
        <v>OK</v>
      </c>
      <c r="L754" s="36" t="n">
        <f aca="false">IF(Raw_Export!$A754="","",IF(OR(K754="OK",K754="Return"),1,0))</f>
        <v>1</v>
      </c>
      <c r="M754" s="37" t="n">
        <f aca="false">IF(Raw_Export!$A754="","",B754-WEEKDAY(B754,2)+1)</f>
        <v>46265</v>
      </c>
    </row>
    <row r="755" customFormat="false" ht="15" hidden="false" customHeight="false" outlineLevel="0" collapsed="false">
      <c r="A755" s="36" t="str">
        <f aca="false">IF(Raw_Export!$A755="","",TRIM(Raw_Export!A755))</f>
        <v>TXN-100740</v>
      </c>
      <c r="B755" s="37" t="n">
        <f aca="false">IF(Raw_Export!$A755="","",IF(ISNUMBER(Raw_Export!B755),Raw_Export!B755,IF(MID(TRIM(Raw_Export!B755),5,1)="-",DATE(LEFT(TRIM(Raw_Export!B755),4),MID(TRIM(Raw_Export!B755),6,2),RIGHT(TRIM(Raw_Export!B755),2)),DATE(RIGHT(TRIM(Raw_Export!B755),4),MATCH(MID(TRIM(Raw_Export!B755),4,3),{"Jan","Feb","Mar","Apr","May","Jun","Jul","Aug","Sep","Oct","Nov","Dec"},0),LEFT(TRIM(Raw_Export!B755),2)))))</f>
        <v>46270</v>
      </c>
      <c r="C755" s="36" t="str">
        <f aca="false">IF(Raw_Export!$A755="","",IFERROR(VLOOKUP(LOWER(TRIM(Raw_Export!C755)),Maps!$A$2:$B$20,2,FALSE()),"UNMAPPED"))</f>
        <v>Nairobi CBD</v>
      </c>
      <c r="D755" s="36" t="str">
        <f aca="false">IF(Raw_Export!$A755="","",IFERROR(VLOOKUP(LOWER(TRIM(Raw_Export!D755)),Maps!$G$2:$I$80,2,FALSE()),"UNMAPPED"))</f>
        <v>Butter 250g</v>
      </c>
      <c r="E755" s="36" t="str">
        <f aca="false">IF(Raw_Export!$A755="","",IFERROR(VLOOKUP(LOWER(TRIM(Raw_Export!D755)),Maps!$G$2:$I$80,3,FALSE()),"UNMAPPED"))</f>
        <v>Dairy &amp; Eggs</v>
      </c>
      <c r="F755" s="36" t="n">
        <f aca="false">IF(Raw_Export!$A755="","",IFERROR(VALUE(TRIM(Raw_Export!E755)),0))</f>
        <v>4</v>
      </c>
      <c r="G755" s="38" t="n">
        <f aca="false">IF(Raw_Export!$A755="","",IFERROR(VALUE(SUBSTITUTE(SUBSTITUTE(UPPER(TRIM(Raw_Export!F755)),"KES",""),",","")),0))</f>
        <v>310</v>
      </c>
      <c r="H755" s="38" t="n">
        <f aca="false">IF(Raw_Export!$A755="","",F755*G755)</f>
        <v>1240</v>
      </c>
      <c r="I755" s="36" t="str">
        <f aca="false">IF(Raw_Export!$A755="","",IFERROR(VLOOKUP(LOWER(TRIM(Raw_Export!H755)),Maps!$D$2:$E$12,2,FALSE()),"Other"))</f>
        <v>Cash</v>
      </c>
      <c r="J755" s="36" t="str">
        <f aca="false">IF(Raw_Export!$A755="","",IF(COUNTIF($A$2:A755,A755)&gt;1,"Duplicate",""))</f>
        <v/>
      </c>
      <c r="K755" s="36" t="str">
        <f aca="false">IF(Raw_Export!$A755="","",IF(J755="Duplicate","Duplicate",IF(OR(C755="UNMAPPED",D755="UNMAPPED"),"Unmapped",IF(F755=0,"Blank qty",IF(F755&lt;0,"Return","OK")))))</f>
        <v>OK</v>
      </c>
      <c r="L755" s="36" t="n">
        <f aca="false">IF(Raw_Export!$A755="","",IF(OR(K755="OK",K755="Return"),1,0))</f>
        <v>1</v>
      </c>
      <c r="M755" s="37" t="n">
        <f aca="false">IF(Raw_Export!$A755="","",B755-WEEKDAY(B755,2)+1)</f>
        <v>46265</v>
      </c>
    </row>
    <row r="756" customFormat="false" ht="15" hidden="false" customHeight="false" outlineLevel="0" collapsed="false">
      <c r="A756" s="36" t="str">
        <f aca="false">IF(Raw_Export!$A756="","",TRIM(Raw_Export!A756))</f>
        <v>TXN-100741</v>
      </c>
      <c r="B756" s="37" t="n">
        <f aca="false">IF(Raw_Export!$A756="","",IF(ISNUMBER(Raw_Export!B756),Raw_Export!B756,IF(MID(TRIM(Raw_Export!B756),5,1)="-",DATE(LEFT(TRIM(Raw_Export!B756),4),MID(TRIM(Raw_Export!B756),6,2),RIGHT(TRIM(Raw_Export!B756),2)),DATE(RIGHT(TRIM(Raw_Export!B756),4),MATCH(MID(TRIM(Raw_Export!B756),4,3),{"Jan","Feb","Mar","Apr","May","Jun","Jul","Aug","Sep","Oct","Nov","Dec"},0),LEFT(TRIM(Raw_Export!B756),2)))))</f>
        <v>46270</v>
      </c>
      <c r="C756" s="36" t="str">
        <f aca="false">IF(Raw_Export!$A756="","",IFERROR(VLOOKUP(LOWER(TRIM(Raw_Export!C756)),Maps!$A$2:$B$20,2,FALSE()),"UNMAPPED"))</f>
        <v>Nairobi CBD</v>
      </c>
      <c r="D756" s="36" t="str">
        <f aca="false">IF(Raw_Export!$A756="","",IFERROR(VLOOKUP(LOWER(TRIM(Raw_Export!D756)),Maps!$G$2:$I$80,2,FALSE()),"UNMAPPED"))</f>
        <v>Biscuits 200g</v>
      </c>
      <c r="E756" s="36" t="str">
        <f aca="false">IF(Raw_Export!$A756="","",IFERROR(VLOOKUP(LOWER(TRIM(Raw_Export!D756)),Maps!$G$2:$I$80,3,FALSE()),"UNMAPPED"))</f>
        <v>Snacks</v>
      </c>
      <c r="F756" s="36" t="n">
        <f aca="false">IF(Raw_Export!$A756="","",IFERROR(VALUE(TRIM(Raw_Export!E756)),0))</f>
        <v>6</v>
      </c>
      <c r="G756" s="38" t="n">
        <f aca="false">IF(Raw_Export!$A756="","",IFERROR(VALUE(SUBSTITUTE(SUBSTITUTE(UPPER(TRIM(Raw_Export!F756)),"KES",""),",","")),0))</f>
        <v>95</v>
      </c>
      <c r="H756" s="38" t="n">
        <f aca="false">IF(Raw_Export!$A756="","",F756*G756)</f>
        <v>570</v>
      </c>
      <c r="I756" s="36" t="str">
        <f aca="false">IF(Raw_Export!$A756="","",IFERROR(VLOOKUP(LOWER(TRIM(Raw_Export!H756)),Maps!$D$2:$E$12,2,FALSE()),"Other"))</f>
        <v>M-Pesa</v>
      </c>
      <c r="J756" s="36" t="str">
        <f aca="false">IF(Raw_Export!$A756="","",IF(COUNTIF($A$2:A756,A756)&gt;1,"Duplicate",""))</f>
        <v/>
      </c>
      <c r="K756" s="36" t="str">
        <f aca="false">IF(Raw_Export!$A756="","",IF(J756="Duplicate","Duplicate",IF(OR(C756="UNMAPPED",D756="UNMAPPED"),"Unmapped",IF(F756=0,"Blank qty",IF(F756&lt;0,"Return","OK")))))</f>
        <v>OK</v>
      </c>
      <c r="L756" s="36" t="n">
        <f aca="false">IF(Raw_Export!$A756="","",IF(OR(K756="OK",K756="Return"),1,0))</f>
        <v>1</v>
      </c>
      <c r="M756" s="37" t="n">
        <f aca="false">IF(Raw_Export!$A756="","",B756-WEEKDAY(B756,2)+1)</f>
        <v>46265</v>
      </c>
    </row>
    <row r="757" customFormat="false" ht="15" hidden="false" customHeight="false" outlineLevel="0" collapsed="false">
      <c r="A757" s="36" t="str">
        <f aca="false">IF(Raw_Export!$A757="","",TRIM(Raw_Export!A757))</f>
        <v>TXN-100742</v>
      </c>
      <c r="B757" s="37" t="n">
        <f aca="false">IF(Raw_Export!$A757="","",IF(ISNUMBER(Raw_Export!B757),Raw_Export!B757,IF(MID(TRIM(Raw_Export!B757),5,1)="-",DATE(LEFT(TRIM(Raw_Export!B757),4),MID(TRIM(Raw_Export!B757),6,2),RIGHT(TRIM(Raw_Export!B757),2)),DATE(RIGHT(TRIM(Raw_Export!B757),4),MATCH(MID(TRIM(Raw_Export!B757),4,3),{"Jan","Feb","Mar","Apr","May","Jun","Jul","Aug","Sep","Oct","Nov","Dec"},0),LEFT(TRIM(Raw_Export!B757),2)))))</f>
        <v>46270</v>
      </c>
      <c r="C757" s="36" t="str">
        <f aca="false">IF(Raw_Export!$A757="","",IFERROR(VLOOKUP(LOWER(TRIM(Raw_Export!C757)),Maps!$A$2:$B$20,2,FALSE()),"UNMAPPED"))</f>
        <v>Nairobi CBD</v>
      </c>
      <c r="D757" s="36" t="str">
        <f aca="false">IF(Raw_Export!$A757="","",IFERROR(VLOOKUP(LOWER(TRIM(Raw_Export!D757)),Maps!$G$2:$I$80,2,FALSE()),"UNMAPPED"))</f>
        <v>Biscuits 200g</v>
      </c>
      <c r="E757" s="36" t="str">
        <f aca="false">IF(Raw_Export!$A757="","",IFERROR(VLOOKUP(LOWER(TRIM(Raw_Export!D757)),Maps!$G$2:$I$80,3,FALSE()),"UNMAPPED"))</f>
        <v>Snacks</v>
      </c>
      <c r="F757" s="36" t="n">
        <f aca="false">IF(Raw_Export!$A757="","",IFERROR(VALUE(TRIM(Raw_Export!E757)),0))</f>
        <v>1</v>
      </c>
      <c r="G757" s="38" t="n">
        <f aca="false">IF(Raw_Export!$A757="","",IFERROR(VALUE(SUBSTITUTE(SUBSTITUTE(UPPER(TRIM(Raw_Export!F757)),"KES",""),",","")),0))</f>
        <v>95</v>
      </c>
      <c r="H757" s="38" t="n">
        <f aca="false">IF(Raw_Export!$A757="","",F757*G757)</f>
        <v>95</v>
      </c>
      <c r="I757" s="36" t="str">
        <f aca="false">IF(Raw_Export!$A757="","",IFERROR(VLOOKUP(LOWER(TRIM(Raw_Export!H757)),Maps!$D$2:$E$12,2,FALSE()),"Other"))</f>
        <v>M-Pesa</v>
      </c>
      <c r="J757" s="36" t="str">
        <f aca="false">IF(Raw_Export!$A757="","",IF(COUNTIF($A$2:A757,A757)&gt;1,"Duplicate",""))</f>
        <v/>
      </c>
      <c r="K757" s="36" t="str">
        <f aca="false">IF(Raw_Export!$A757="","",IF(J757="Duplicate","Duplicate",IF(OR(C757="UNMAPPED",D757="UNMAPPED"),"Unmapped",IF(F757=0,"Blank qty",IF(F757&lt;0,"Return","OK")))))</f>
        <v>OK</v>
      </c>
      <c r="L757" s="36" t="n">
        <f aca="false">IF(Raw_Export!$A757="","",IF(OR(K757="OK",K757="Return"),1,0))</f>
        <v>1</v>
      </c>
      <c r="M757" s="37" t="n">
        <f aca="false">IF(Raw_Export!$A757="","",B757-WEEKDAY(B757,2)+1)</f>
        <v>46265</v>
      </c>
    </row>
    <row r="758" customFormat="false" ht="15" hidden="false" customHeight="false" outlineLevel="0" collapsed="false">
      <c r="A758" s="36" t="str">
        <f aca="false">IF(Raw_Export!$A758="","",TRIM(Raw_Export!A758))</f>
        <v>TXN-100743</v>
      </c>
      <c r="B758" s="37" t="n">
        <f aca="false">IF(Raw_Export!$A758="","",IF(ISNUMBER(Raw_Export!B758),Raw_Export!B758,IF(MID(TRIM(Raw_Export!B758),5,1)="-",DATE(LEFT(TRIM(Raw_Export!B758),4),MID(TRIM(Raw_Export!B758),6,2),RIGHT(TRIM(Raw_Export!B758),2)),DATE(RIGHT(TRIM(Raw_Export!B758),4),MATCH(MID(TRIM(Raw_Export!B758),4,3),{"Jan","Feb","Mar","Apr","May","Jun","Jul","Aug","Sep","Oct","Nov","Dec"},0),LEFT(TRIM(Raw_Export!B758),2)))))</f>
        <v>46270</v>
      </c>
      <c r="C758" s="36" t="str">
        <f aca="false">IF(Raw_Export!$A758="","",IFERROR(VLOOKUP(LOWER(TRIM(Raw_Export!C758)),Maps!$A$2:$B$20,2,FALSE()),"UNMAPPED"))</f>
        <v>Nairobi CBD</v>
      </c>
      <c r="D758" s="36" t="str">
        <f aca="false">IF(Raw_Export!$A758="","",IFERROR(VLOOKUP(LOWER(TRIM(Raw_Export!D758)),Maps!$G$2:$I$80,2,FALSE()),"UNMAPPED"))</f>
        <v>Cooking Oil 1L</v>
      </c>
      <c r="E758" s="36" t="str">
        <f aca="false">IF(Raw_Export!$A758="","",IFERROR(VLOOKUP(LOWER(TRIM(Raw_Export!D758)),Maps!$G$2:$I$80,3,FALSE()),"UNMAPPED"))</f>
        <v>Staples</v>
      </c>
      <c r="F758" s="36" t="n">
        <f aca="false">IF(Raw_Export!$A758="","",IFERROR(VALUE(TRIM(Raw_Export!E758)),0))</f>
        <v>4</v>
      </c>
      <c r="G758" s="38" t="n">
        <f aca="false">IF(Raw_Export!$A758="","",IFERROR(VALUE(SUBSTITUTE(SUBSTITUTE(UPPER(TRIM(Raw_Export!F758)),"KES",""),",","")),0))</f>
        <v>330</v>
      </c>
      <c r="H758" s="38" t="n">
        <f aca="false">IF(Raw_Export!$A758="","",F758*G758)</f>
        <v>1320</v>
      </c>
      <c r="I758" s="36" t="str">
        <f aca="false">IF(Raw_Export!$A758="","",IFERROR(VLOOKUP(LOWER(TRIM(Raw_Export!H758)),Maps!$D$2:$E$12,2,FALSE()),"Other"))</f>
        <v>Card</v>
      </c>
      <c r="J758" s="36" t="str">
        <f aca="false">IF(Raw_Export!$A758="","",IF(COUNTIF($A$2:A758,A758)&gt;1,"Duplicate",""))</f>
        <v/>
      </c>
      <c r="K758" s="36" t="str">
        <f aca="false">IF(Raw_Export!$A758="","",IF(J758="Duplicate","Duplicate",IF(OR(C758="UNMAPPED",D758="UNMAPPED"),"Unmapped",IF(F758=0,"Blank qty",IF(F758&lt;0,"Return","OK")))))</f>
        <v>OK</v>
      </c>
      <c r="L758" s="36" t="n">
        <f aca="false">IF(Raw_Export!$A758="","",IF(OR(K758="OK",K758="Return"),1,0))</f>
        <v>1</v>
      </c>
      <c r="M758" s="37" t="n">
        <f aca="false">IF(Raw_Export!$A758="","",B758-WEEKDAY(B758,2)+1)</f>
        <v>46265</v>
      </c>
    </row>
    <row r="759" customFormat="false" ht="15" hidden="false" customHeight="false" outlineLevel="0" collapsed="false">
      <c r="A759" s="36" t="str">
        <f aca="false">IF(Raw_Export!$A759="","",TRIM(Raw_Export!A759))</f>
        <v>TXN-100744</v>
      </c>
      <c r="B759" s="37" t="n">
        <f aca="false">IF(Raw_Export!$A759="","",IF(ISNUMBER(Raw_Export!B759),Raw_Export!B759,IF(MID(TRIM(Raw_Export!B759),5,1)="-",DATE(LEFT(TRIM(Raw_Export!B759),4),MID(TRIM(Raw_Export!B759),6,2),RIGHT(TRIM(Raw_Export!B759),2)),DATE(RIGHT(TRIM(Raw_Export!B759),4),MATCH(MID(TRIM(Raw_Export!B759),4,3),{"Jan","Feb","Mar","Apr","May","Jun","Jul","Aug","Sep","Oct","Nov","Dec"},0),LEFT(TRIM(Raw_Export!B759),2)))))</f>
        <v>46270</v>
      </c>
      <c r="C759" s="36" t="str">
        <f aca="false">IF(Raw_Export!$A759="","",IFERROR(VLOOKUP(LOWER(TRIM(Raw_Export!C759)),Maps!$A$2:$B$20,2,FALSE()),"UNMAPPED"))</f>
        <v>Nairobi CBD</v>
      </c>
      <c r="D759" s="36" t="str">
        <f aca="false">IF(Raw_Export!$A759="","",IFERROR(VLOOKUP(LOWER(TRIM(Raw_Export!D759)),Maps!$G$2:$I$80,2,FALSE()),"UNMAPPED"))</f>
        <v>Eggs Tray 30</v>
      </c>
      <c r="E759" s="36" t="str">
        <f aca="false">IF(Raw_Export!$A759="","",IFERROR(VLOOKUP(LOWER(TRIM(Raw_Export!D759)),Maps!$G$2:$I$80,3,FALSE()),"UNMAPPED"))</f>
        <v>Dairy &amp; Eggs</v>
      </c>
      <c r="F759" s="36" t="n">
        <f aca="false">IF(Raw_Export!$A759="","",IFERROR(VALUE(TRIM(Raw_Export!E759)),0))</f>
        <v>1</v>
      </c>
      <c r="G759" s="38" t="n">
        <f aca="false">IF(Raw_Export!$A759="","",IFERROR(VALUE(SUBSTITUTE(SUBSTITUTE(UPPER(TRIM(Raw_Export!F759)),"KES",""),",","")),0))</f>
        <v>450</v>
      </c>
      <c r="H759" s="38" t="n">
        <f aca="false">IF(Raw_Export!$A759="","",F759*G759)</f>
        <v>450</v>
      </c>
      <c r="I759" s="36" t="str">
        <f aca="false">IF(Raw_Export!$A759="","",IFERROR(VLOOKUP(LOWER(TRIM(Raw_Export!H759)),Maps!$D$2:$E$12,2,FALSE()),"Other"))</f>
        <v>M-Pesa</v>
      </c>
      <c r="J759" s="36" t="str">
        <f aca="false">IF(Raw_Export!$A759="","",IF(COUNTIF($A$2:A759,A759)&gt;1,"Duplicate",""))</f>
        <v/>
      </c>
      <c r="K759" s="36" t="str">
        <f aca="false">IF(Raw_Export!$A759="","",IF(J759="Duplicate","Duplicate",IF(OR(C759="UNMAPPED",D759="UNMAPPED"),"Unmapped",IF(F759=0,"Blank qty",IF(F759&lt;0,"Return","OK")))))</f>
        <v>OK</v>
      </c>
      <c r="L759" s="36" t="n">
        <f aca="false">IF(Raw_Export!$A759="","",IF(OR(K759="OK",K759="Return"),1,0))</f>
        <v>1</v>
      </c>
      <c r="M759" s="37" t="n">
        <f aca="false">IF(Raw_Export!$A759="","",B759-WEEKDAY(B759,2)+1)</f>
        <v>46265</v>
      </c>
    </row>
    <row r="760" customFormat="false" ht="15" hidden="false" customHeight="false" outlineLevel="0" collapsed="false">
      <c r="A760" s="36" t="str">
        <f aca="false">IF(Raw_Export!$A760="","",TRIM(Raw_Export!A760))</f>
        <v>TXN-100745</v>
      </c>
      <c r="B760" s="37" t="n">
        <f aca="false">IF(Raw_Export!$A760="","",IF(ISNUMBER(Raw_Export!B760),Raw_Export!B760,IF(MID(TRIM(Raw_Export!B760),5,1)="-",DATE(LEFT(TRIM(Raw_Export!B760),4),MID(TRIM(Raw_Export!B760),6,2),RIGHT(TRIM(Raw_Export!B760),2)),DATE(RIGHT(TRIM(Raw_Export!B760),4),MATCH(MID(TRIM(Raw_Export!B760),4,3),{"Jan","Feb","Mar","Apr","May","Jun","Jul","Aug","Sep","Oct","Nov","Dec"},0),LEFT(TRIM(Raw_Export!B760),2)))))</f>
        <v>46270</v>
      </c>
      <c r="C760" s="36" t="str">
        <f aca="false">IF(Raw_Export!$A760="","",IFERROR(VLOOKUP(LOWER(TRIM(Raw_Export!C760)),Maps!$A$2:$B$20,2,FALSE()),"UNMAPPED"))</f>
        <v>Nairobi CBD</v>
      </c>
      <c r="D760" s="36" t="str">
        <f aca="false">IF(Raw_Export!$A760="","",IFERROR(VLOOKUP(LOWER(TRIM(Raw_Export!D760)),Maps!$G$2:$I$80,2,FALSE()),"UNMAPPED"))</f>
        <v>Sanitary Pads 8pk</v>
      </c>
      <c r="E760" s="36" t="str">
        <f aca="false">IF(Raw_Export!$A760="","",IFERROR(VLOOKUP(LOWER(TRIM(Raw_Export!D760)),Maps!$G$2:$I$80,3,FALSE()),"UNMAPPED"))</f>
        <v>Personal Care</v>
      </c>
      <c r="F760" s="36" t="n">
        <f aca="false">IF(Raw_Export!$A760="","",IFERROR(VALUE(TRIM(Raw_Export!E760)),0))</f>
        <v>1</v>
      </c>
      <c r="G760" s="38" t="n">
        <f aca="false">IF(Raw_Export!$A760="","",IFERROR(VALUE(SUBSTITUTE(SUBSTITUTE(UPPER(TRIM(Raw_Export!F760)),"KES",""),",","")),0))</f>
        <v>130</v>
      </c>
      <c r="H760" s="38" t="n">
        <f aca="false">IF(Raw_Export!$A760="","",F760*G760)</f>
        <v>130</v>
      </c>
      <c r="I760" s="36" t="str">
        <f aca="false">IF(Raw_Export!$A760="","",IFERROR(VLOOKUP(LOWER(TRIM(Raw_Export!H760)),Maps!$D$2:$E$12,2,FALSE()),"Other"))</f>
        <v>M-Pesa</v>
      </c>
      <c r="J760" s="36" t="str">
        <f aca="false">IF(Raw_Export!$A760="","",IF(COUNTIF($A$2:A760,A760)&gt;1,"Duplicate",""))</f>
        <v/>
      </c>
      <c r="K760" s="36" t="str">
        <f aca="false">IF(Raw_Export!$A760="","",IF(J760="Duplicate","Duplicate",IF(OR(C760="UNMAPPED",D760="UNMAPPED"),"Unmapped",IF(F760=0,"Blank qty",IF(F760&lt;0,"Return","OK")))))</f>
        <v>OK</v>
      </c>
      <c r="L760" s="36" t="n">
        <f aca="false">IF(Raw_Export!$A760="","",IF(OR(K760="OK",K760="Return"),1,0))</f>
        <v>1</v>
      </c>
      <c r="M760" s="37" t="n">
        <f aca="false">IF(Raw_Export!$A760="","",B760-WEEKDAY(B760,2)+1)</f>
        <v>46265</v>
      </c>
    </row>
    <row r="761" customFormat="false" ht="15" hidden="false" customHeight="false" outlineLevel="0" collapsed="false">
      <c r="A761" s="36" t="str">
        <f aca="false">IF(Raw_Export!$A761="","",TRIM(Raw_Export!A761))</f>
        <v>TXN-100746</v>
      </c>
      <c r="B761" s="37" t="n">
        <f aca="false">IF(Raw_Export!$A761="","",IF(ISNUMBER(Raw_Export!B761),Raw_Export!B761,IF(MID(TRIM(Raw_Export!B761),5,1)="-",DATE(LEFT(TRIM(Raw_Export!B761),4),MID(TRIM(Raw_Export!B761),6,2),RIGHT(TRIM(Raw_Export!B761),2)),DATE(RIGHT(TRIM(Raw_Export!B761),4),MATCH(MID(TRIM(Raw_Export!B761),4,3),{"Jan","Feb","Mar","Apr","May","Jun","Jul","Aug","Sep","Oct","Nov","Dec"},0),LEFT(TRIM(Raw_Export!B761),2)))))</f>
        <v>46270</v>
      </c>
      <c r="C761" s="36" t="str">
        <f aca="false">IF(Raw_Export!$A761="","",IFERROR(VLOOKUP(LOWER(TRIM(Raw_Export!C761)),Maps!$A$2:$B$20,2,FALSE()),"UNMAPPED"))</f>
        <v>Nairobi CBD</v>
      </c>
      <c r="D761" s="36" t="str">
        <f aca="false">IF(Raw_Export!$A761="","",IFERROR(VLOOKUP(LOWER(TRIM(Raw_Export!D761)),Maps!$G$2:$I$80,2,FALSE()),"UNMAPPED"))</f>
        <v>UNMAPPED</v>
      </c>
      <c r="E761" s="36" t="str">
        <f aca="false">IF(Raw_Export!$A761="","",IFERROR(VLOOKUP(LOWER(TRIM(Raw_Export!D761)),Maps!$G$2:$I$80,3,FALSE()),"UNMAPPED"))</f>
        <v>UNMAPPED</v>
      </c>
      <c r="F761" s="36" t="n">
        <f aca="false">IF(Raw_Export!$A761="","",IFERROR(VALUE(TRIM(Raw_Export!E761)),0))</f>
        <v>1</v>
      </c>
      <c r="G761" s="38" t="n">
        <f aca="false">IF(Raw_Export!$A761="","",IFERROR(VALUE(SUBSTITUTE(SUBSTITUTE(UPPER(TRIM(Raw_Export!F761)),"KES",""),",","")),0))</f>
        <v>330</v>
      </c>
      <c r="H761" s="38" t="n">
        <f aca="false">IF(Raw_Export!$A761="","",F761*G761)</f>
        <v>330</v>
      </c>
      <c r="I761" s="36" t="str">
        <f aca="false">IF(Raw_Export!$A761="","",IFERROR(VLOOKUP(LOWER(TRIM(Raw_Export!H761)),Maps!$D$2:$E$12,2,FALSE()),"Other"))</f>
        <v>Cash</v>
      </c>
      <c r="J761" s="36" t="str">
        <f aca="false">IF(Raw_Export!$A761="","",IF(COUNTIF($A$2:A761,A761)&gt;1,"Duplicate",""))</f>
        <v/>
      </c>
      <c r="K761" s="36" t="str">
        <f aca="false">IF(Raw_Export!$A761="","",IF(J761="Duplicate","Duplicate",IF(OR(C761="UNMAPPED",D761="UNMAPPED"),"Unmapped",IF(F761=0,"Blank qty",IF(F761&lt;0,"Return","OK")))))</f>
        <v>Unmapped</v>
      </c>
      <c r="L761" s="36" t="n">
        <f aca="false">IF(Raw_Export!$A761="","",IF(OR(K761="OK",K761="Return"),1,0))</f>
        <v>0</v>
      </c>
      <c r="M761" s="37" t="n">
        <f aca="false">IF(Raw_Export!$A761="","",B761-WEEKDAY(B761,2)+1)</f>
        <v>46265</v>
      </c>
    </row>
    <row r="762" customFormat="false" ht="15" hidden="false" customHeight="false" outlineLevel="0" collapsed="false">
      <c r="A762" s="36" t="str">
        <f aca="false">IF(Raw_Export!$A762="","",TRIM(Raw_Export!A762))</f>
        <v>TXN-100747</v>
      </c>
      <c r="B762" s="37" t="n">
        <f aca="false">IF(Raw_Export!$A762="","",IF(ISNUMBER(Raw_Export!B762),Raw_Export!B762,IF(MID(TRIM(Raw_Export!B762),5,1)="-",DATE(LEFT(TRIM(Raw_Export!B762),4),MID(TRIM(Raw_Export!B762),6,2),RIGHT(TRIM(Raw_Export!B762),2)),DATE(RIGHT(TRIM(Raw_Export!B762),4),MATCH(MID(TRIM(Raw_Export!B762),4,3),{"Jan","Feb","Mar","Apr","May","Jun","Jul","Aug","Sep","Oct","Nov","Dec"},0),LEFT(TRIM(Raw_Export!B762),2)))))</f>
        <v>46270</v>
      </c>
      <c r="C762" s="36" t="str">
        <f aca="false">IF(Raw_Export!$A762="","",IFERROR(VLOOKUP(LOWER(TRIM(Raw_Export!C762)),Maps!$A$2:$B$20,2,FALSE()),"UNMAPPED"))</f>
        <v>Westlands</v>
      </c>
      <c r="D762" s="36" t="str">
        <f aca="false">IF(Raw_Export!$A762="","",IFERROR(VLOOKUP(LOWER(TRIM(Raw_Export!D762)),Maps!$G$2:$I$80,2,FALSE()),"UNMAPPED"))</f>
        <v>Eggs Tray 30</v>
      </c>
      <c r="E762" s="36" t="str">
        <f aca="false">IF(Raw_Export!$A762="","",IFERROR(VLOOKUP(LOWER(TRIM(Raw_Export!D762)),Maps!$G$2:$I$80,3,FALSE()),"UNMAPPED"))</f>
        <v>Dairy &amp; Eggs</v>
      </c>
      <c r="F762" s="36" t="n">
        <f aca="false">IF(Raw_Export!$A762="","",IFERROR(VALUE(TRIM(Raw_Export!E762)),0))</f>
        <v>1</v>
      </c>
      <c r="G762" s="38" t="n">
        <f aca="false">IF(Raw_Export!$A762="","",IFERROR(VALUE(SUBSTITUTE(SUBSTITUTE(UPPER(TRIM(Raw_Export!F762)),"KES",""),",","")),0))</f>
        <v>450</v>
      </c>
      <c r="H762" s="38" t="n">
        <f aca="false">IF(Raw_Export!$A762="","",F762*G762)</f>
        <v>450</v>
      </c>
      <c r="I762" s="36" t="str">
        <f aca="false">IF(Raw_Export!$A762="","",IFERROR(VLOOKUP(LOWER(TRIM(Raw_Export!H762)),Maps!$D$2:$E$12,2,FALSE()),"Other"))</f>
        <v>M-Pesa</v>
      </c>
      <c r="J762" s="36" t="str">
        <f aca="false">IF(Raw_Export!$A762="","",IF(COUNTIF($A$2:A762,A762)&gt;1,"Duplicate",""))</f>
        <v/>
      </c>
      <c r="K762" s="36" t="str">
        <f aca="false">IF(Raw_Export!$A762="","",IF(J762="Duplicate","Duplicate",IF(OR(C762="UNMAPPED",D762="UNMAPPED"),"Unmapped",IF(F762=0,"Blank qty",IF(F762&lt;0,"Return","OK")))))</f>
        <v>OK</v>
      </c>
      <c r="L762" s="36" t="n">
        <f aca="false">IF(Raw_Export!$A762="","",IF(OR(K762="OK",K762="Return"),1,0))</f>
        <v>1</v>
      </c>
      <c r="M762" s="37" t="n">
        <f aca="false">IF(Raw_Export!$A762="","",B762-WEEKDAY(B762,2)+1)</f>
        <v>46265</v>
      </c>
    </row>
    <row r="763" customFormat="false" ht="15" hidden="false" customHeight="false" outlineLevel="0" collapsed="false">
      <c r="A763" s="36" t="str">
        <f aca="false">IF(Raw_Export!$A763="","",TRIM(Raw_Export!A763))</f>
        <v>TXN-100748</v>
      </c>
      <c r="B763" s="37" t="n">
        <f aca="false">IF(Raw_Export!$A763="","",IF(ISNUMBER(Raw_Export!B763),Raw_Export!B763,IF(MID(TRIM(Raw_Export!B763),5,1)="-",DATE(LEFT(TRIM(Raw_Export!B763),4),MID(TRIM(Raw_Export!B763),6,2),RIGHT(TRIM(Raw_Export!B763),2)),DATE(RIGHT(TRIM(Raw_Export!B763),4),MATCH(MID(TRIM(Raw_Export!B763),4,3),{"Jan","Feb","Mar","Apr","May","Jun","Jul","Aug","Sep","Oct","Nov","Dec"},0),LEFT(TRIM(Raw_Export!B763),2)))))</f>
        <v>46270</v>
      </c>
      <c r="C763" s="36" t="str">
        <f aca="false">IF(Raw_Export!$A763="","",IFERROR(VLOOKUP(LOWER(TRIM(Raw_Export!C763)),Maps!$A$2:$B$20,2,FALSE()),"UNMAPPED"))</f>
        <v>Westlands</v>
      </c>
      <c r="D763" s="36" t="str">
        <f aca="false">IF(Raw_Export!$A763="","",IFERROR(VLOOKUP(LOWER(TRIM(Raw_Export!D763)),Maps!$G$2:$I$80,2,FALSE()),"UNMAPPED"))</f>
        <v>Biscuits 200g</v>
      </c>
      <c r="E763" s="36" t="str">
        <f aca="false">IF(Raw_Export!$A763="","",IFERROR(VLOOKUP(LOWER(TRIM(Raw_Export!D763)),Maps!$G$2:$I$80,3,FALSE()),"UNMAPPED"))</f>
        <v>Snacks</v>
      </c>
      <c r="F763" s="36" t="n">
        <f aca="false">IF(Raw_Export!$A763="","",IFERROR(VALUE(TRIM(Raw_Export!E763)),0))</f>
        <v>2</v>
      </c>
      <c r="G763" s="38" t="n">
        <f aca="false">IF(Raw_Export!$A763="","",IFERROR(VALUE(SUBSTITUTE(SUBSTITUTE(UPPER(TRIM(Raw_Export!F763)),"KES",""),",","")),0))</f>
        <v>95</v>
      </c>
      <c r="H763" s="38" t="n">
        <f aca="false">IF(Raw_Export!$A763="","",F763*G763)</f>
        <v>190</v>
      </c>
      <c r="I763" s="36" t="str">
        <f aca="false">IF(Raw_Export!$A763="","",IFERROR(VLOOKUP(LOWER(TRIM(Raw_Export!H763)),Maps!$D$2:$E$12,2,FALSE()),"Other"))</f>
        <v>Cash</v>
      </c>
      <c r="J763" s="36" t="str">
        <f aca="false">IF(Raw_Export!$A763="","",IF(COUNTIF($A$2:A763,A763)&gt;1,"Duplicate",""))</f>
        <v/>
      </c>
      <c r="K763" s="36" t="str">
        <f aca="false">IF(Raw_Export!$A763="","",IF(J763="Duplicate","Duplicate",IF(OR(C763="UNMAPPED",D763="UNMAPPED"),"Unmapped",IF(F763=0,"Blank qty",IF(F763&lt;0,"Return","OK")))))</f>
        <v>OK</v>
      </c>
      <c r="L763" s="36" t="n">
        <f aca="false">IF(Raw_Export!$A763="","",IF(OR(K763="OK",K763="Return"),1,0))</f>
        <v>1</v>
      </c>
      <c r="M763" s="37" t="n">
        <f aca="false">IF(Raw_Export!$A763="","",B763-WEEKDAY(B763,2)+1)</f>
        <v>46265</v>
      </c>
    </row>
    <row r="764" customFormat="false" ht="15" hidden="false" customHeight="false" outlineLevel="0" collapsed="false">
      <c r="A764" s="36" t="str">
        <f aca="false">IF(Raw_Export!$A764="","",TRIM(Raw_Export!A764))</f>
        <v>TXN-100749</v>
      </c>
      <c r="B764" s="37" t="n">
        <f aca="false">IF(Raw_Export!$A764="","",IF(ISNUMBER(Raw_Export!B764),Raw_Export!B764,IF(MID(TRIM(Raw_Export!B764),5,1)="-",DATE(LEFT(TRIM(Raw_Export!B764),4),MID(TRIM(Raw_Export!B764),6,2),RIGHT(TRIM(Raw_Export!B764),2)),DATE(RIGHT(TRIM(Raw_Export!B764),4),MATCH(MID(TRIM(Raw_Export!B764),4,3),{"Jan","Feb","Mar","Apr","May","Jun","Jul","Aug","Sep","Oct","Nov","Dec"},0),LEFT(TRIM(Raw_Export!B764),2)))))</f>
        <v>46270</v>
      </c>
      <c r="C764" s="36" t="str">
        <f aca="false">IF(Raw_Export!$A764="","",IFERROR(VLOOKUP(LOWER(TRIM(Raw_Export!C764)),Maps!$A$2:$B$20,2,FALSE()),"UNMAPPED"))</f>
        <v>Westlands</v>
      </c>
      <c r="D764" s="36" t="str">
        <f aca="false">IF(Raw_Export!$A764="","",IFERROR(VLOOKUP(LOWER(TRIM(Raw_Export!D764)),Maps!$G$2:$I$80,2,FALSE()),"UNMAPPED"))</f>
        <v>Bread Loaf 400g</v>
      </c>
      <c r="E764" s="36" t="str">
        <f aca="false">IF(Raw_Export!$A764="","",IFERROR(VLOOKUP(LOWER(TRIM(Raw_Export!D764)),Maps!$G$2:$I$80,3,FALSE()),"UNMAPPED"))</f>
        <v>Snacks</v>
      </c>
      <c r="F764" s="36" t="n">
        <f aca="false">IF(Raw_Export!$A764="","",IFERROR(VALUE(TRIM(Raw_Export!E764)),0))</f>
        <v>2</v>
      </c>
      <c r="G764" s="38" t="n">
        <f aca="false">IF(Raw_Export!$A764="","",IFERROR(VALUE(SUBSTITUTE(SUBSTITUTE(UPPER(TRIM(Raw_Export!F764)),"KES",""),",","")),0))</f>
        <v>65</v>
      </c>
      <c r="H764" s="38" t="n">
        <f aca="false">IF(Raw_Export!$A764="","",F764*G764)</f>
        <v>130</v>
      </c>
      <c r="I764" s="36" t="str">
        <f aca="false">IF(Raw_Export!$A764="","",IFERROR(VLOOKUP(LOWER(TRIM(Raw_Export!H764)),Maps!$D$2:$E$12,2,FALSE()),"Other"))</f>
        <v>Card</v>
      </c>
      <c r="J764" s="36" t="str">
        <f aca="false">IF(Raw_Export!$A764="","",IF(COUNTIF($A$2:A764,A764)&gt;1,"Duplicate",""))</f>
        <v/>
      </c>
      <c r="K764" s="36" t="str">
        <f aca="false">IF(Raw_Export!$A764="","",IF(J764="Duplicate","Duplicate",IF(OR(C764="UNMAPPED",D764="UNMAPPED"),"Unmapped",IF(F764=0,"Blank qty",IF(F764&lt;0,"Return","OK")))))</f>
        <v>OK</v>
      </c>
      <c r="L764" s="36" t="n">
        <f aca="false">IF(Raw_Export!$A764="","",IF(OR(K764="OK",K764="Return"),1,0))</f>
        <v>1</v>
      </c>
      <c r="M764" s="37" t="n">
        <f aca="false">IF(Raw_Export!$A764="","",B764-WEEKDAY(B764,2)+1)</f>
        <v>46265</v>
      </c>
    </row>
    <row r="765" customFormat="false" ht="15" hidden="false" customHeight="false" outlineLevel="0" collapsed="false">
      <c r="A765" s="36" t="str">
        <f aca="false">IF(Raw_Export!$A765="","",TRIM(Raw_Export!A765))</f>
        <v>TXN-101054</v>
      </c>
      <c r="B765" s="37" t="n">
        <f aca="false">IF(Raw_Export!$A765="","",IF(ISNUMBER(Raw_Export!B765),Raw_Export!B765,IF(MID(TRIM(Raw_Export!B765),5,1)="-",DATE(LEFT(TRIM(Raw_Export!B765),4),MID(TRIM(Raw_Export!B765),6,2),RIGHT(TRIM(Raw_Export!B765),2)),DATE(RIGHT(TRIM(Raw_Export!B765),4),MATCH(MID(TRIM(Raw_Export!B765),4,3),{"Jan","Feb","Mar","Apr","May","Jun","Jul","Aug","Sep","Oct","Nov","Dec"},0),LEFT(TRIM(Raw_Export!B765),2)))))</f>
        <v>46271</v>
      </c>
      <c r="C765" s="36" t="str">
        <f aca="false">IF(Raw_Export!$A765="","",IFERROR(VLOOKUP(LOWER(TRIM(Raw_Export!C765)),Maps!$A$2:$B$20,2,FALSE()),"UNMAPPED"))</f>
        <v>Nakuru</v>
      </c>
      <c r="D765" s="36" t="str">
        <f aca="false">IF(Raw_Export!$A765="","",IFERROR(VLOOKUP(LOWER(TRIM(Raw_Export!D765)),Maps!$G$2:$I$80,2,FALSE()),"UNMAPPED"))</f>
        <v>Biscuits 200g</v>
      </c>
      <c r="E765" s="36" t="str">
        <f aca="false">IF(Raw_Export!$A765="","",IFERROR(VLOOKUP(LOWER(TRIM(Raw_Export!D765)),Maps!$G$2:$I$80,3,FALSE()),"UNMAPPED"))</f>
        <v>Snacks</v>
      </c>
      <c r="F765" s="36" t="n">
        <f aca="false">IF(Raw_Export!$A765="","",IFERROR(VALUE(TRIM(Raw_Export!E765)),0))</f>
        <v>6</v>
      </c>
      <c r="G765" s="38" t="n">
        <f aca="false">IF(Raw_Export!$A765="","",IFERROR(VALUE(SUBSTITUTE(SUBSTITUTE(UPPER(TRIM(Raw_Export!F765)),"KES",""),",","")),0))</f>
        <v>95</v>
      </c>
      <c r="H765" s="38" t="n">
        <f aca="false">IF(Raw_Export!$A765="","",F765*G765)</f>
        <v>570</v>
      </c>
      <c r="I765" s="36" t="str">
        <f aca="false">IF(Raw_Export!$A765="","",IFERROR(VLOOKUP(LOWER(TRIM(Raw_Export!H765)),Maps!$D$2:$E$12,2,FALSE()),"Other"))</f>
        <v>M-Pesa</v>
      </c>
      <c r="J765" s="36" t="str">
        <f aca="false">IF(Raw_Export!$A765="","",IF(COUNTIF($A$2:A765,A765)&gt;1,"Duplicate",""))</f>
        <v/>
      </c>
      <c r="K765" s="36" t="str">
        <f aca="false">IF(Raw_Export!$A765="","",IF(J765="Duplicate","Duplicate",IF(OR(C765="UNMAPPED",D765="UNMAPPED"),"Unmapped",IF(F765=0,"Blank qty",IF(F765&lt;0,"Return","OK")))))</f>
        <v>OK</v>
      </c>
      <c r="L765" s="36" t="n">
        <f aca="false">IF(Raw_Export!$A765="","",IF(OR(K765="OK",K765="Return"),1,0))</f>
        <v>1</v>
      </c>
      <c r="M765" s="37" t="n">
        <f aca="false">IF(Raw_Export!$A765="","",B765-WEEKDAY(B765,2)+1)</f>
        <v>46265</v>
      </c>
    </row>
    <row r="766" customFormat="false" ht="15" hidden="false" customHeight="false" outlineLevel="0" collapsed="false">
      <c r="A766" s="36" t="str">
        <f aca="false">IF(Raw_Export!$A766="","",TRIM(Raw_Export!A766))</f>
        <v>TXN-100750</v>
      </c>
      <c r="B766" s="37" t="n">
        <f aca="false">IF(Raw_Export!$A766="","",IF(ISNUMBER(Raw_Export!B766),Raw_Export!B766,IF(MID(TRIM(Raw_Export!B766),5,1)="-",DATE(LEFT(TRIM(Raw_Export!B766),4),MID(TRIM(Raw_Export!B766),6,2),RIGHT(TRIM(Raw_Export!B766),2)),DATE(RIGHT(TRIM(Raw_Export!B766),4),MATCH(MID(TRIM(Raw_Export!B766),4,3),{"Jan","Feb","Mar","Apr","May","Jun","Jul","Aug","Sep","Oct","Nov","Dec"},0),LEFT(TRIM(Raw_Export!B766),2)))))</f>
        <v>46270</v>
      </c>
      <c r="C766" s="36" t="str">
        <f aca="false">IF(Raw_Export!$A766="","",IFERROR(VLOOKUP(LOWER(TRIM(Raw_Export!C766)),Maps!$A$2:$B$20,2,FALSE()),"UNMAPPED"))</f>
        <v>Westlands</v>
      </c>
      <c r="D766" s="36" t="str">
        <f aca="false">IF(Raw_Export!$A766="","",IFERROR(VLOOKUP(LOWER(TRIM(Raw_Export!D766)),Maps!$G$2:$I$80,2,FALSE()),"UNMAPPED"))</f>
        <v>Bread Loaf 400g</v>
      </c>
      <c r="E766" s="36" t="str">
        <f aca="false">IF(Raw_Export!$A766="","",IFERROR(VLOOKUP(LOWER(TRIM(Raw_Export!D766)),Maps!$G$2:$I$80,3,FALSE()),"UNMAPPED"))</f>
        <v>Snacks</v>
      </c>
      <c r="F766" s="36" t="n">
        <f aca="false">IF(Raw_Export!$A766="","",IFERROR(VALUE(TRIM(Raw_Export!E766)),0))</f>
        <v>1</v>
      </c>
      <c r="G766" s="38" t="n">
        <f aca="false">IF(Raw_Export!$A766="","",IFERROR(VALUE(SUBSTITUTE(SUBSTITUTE(UPPER(TRIM(Raw_Export!F766)),"KES",""),",","")),0))</f>
        <v>65</v>
      </c>
      <c r="H766" s="38" t="n">
        <f aca="false">IF(Raw_Export!$A766="","",F766*G766)</f>
        <v>65</v>
      </c>
      <c r="I766" s="36" t="str">
        <f aca="false">IF(Raw_Export!$A766="","",IFERROR(VLOOKUP(LOWER(TRIM(Raw_Export!H766)),Maps!$D$2:$E$12,2,FALSE()),"Other"))</f>
        <v>M-Pesa</v>
      </c>
      <c r="J766" s="36" t="str">
        <f aca="false">IF(Raw_Export!$A766="","",IF(COUNTIF($A$2:A766,A766)&gt;1,"Duplicate",""))</f>
        <v/>
      </c>
      <c r="K766" s="36" t="str">
        <f aca="false">IF(Raw_Export!$A766="","",IF(J766="Duplicate","Duplicate",IF(OR(C766="UNMAPPED",D766="UNMAPPED"),"Unmapped",IF(F766=0,"Blank qty",IF(F766&lt;0,"Return","OK")))))</f>
        <v>OK</v>
      </c>
      <c r="L766" s="36" t="n">
        <f aca="false">IF(Raw_Export!$A766="","",IF(OR(K766="OK",K766="Return"),1,0))</f>
        <v>1</v>
      </c>
      <c r="M766" s="37" t="n">
        <f aca="false">IF(Raw_Export!$A766="","",B766-WEEKDAY(B766,2)+1)</f>
        <v>46265</v>
      </c>
    </row>
    <row r="767" customFormat="false" ht="15" hidden="false" customHeight="false" outlineLevel="0" collapsed="false">
      <c r="A767" s="36" t="str">
        <f aca="false">IF(Raw_Export!$A767="","",TRIM(Raw_Export!A767))</f>
        <v>TXN-100751</v>
      </c>
      <c r="B767" s="37" t="n">
        <f aca="false">IF(Raw_Export!$A767="","",IF(ISNUMBER(Raw_Export!B767),Raw_Export!B767,IF(MID(TRIM(Raw_Export!B767),5,1)="-",DATE(LEFT(TRIM(Raw_Export!B767),4),MID(TRIM(Raw_Export!B767),6,2),RIGHT(TRIM(Raw_Export!B767),2)),DATE(RIGHT(TRIM(Raw_Export!B767),4),MATCH(MID(TRIM(Raw_Export!B767),4,3),{"Jan","Feb","Mar","Apr","May","Jun","Jul","Aug","Sep","Oct","Nov","Dec"},0),LEFT(TRIM(Raw_Export!B767),2)))))</f>
        <v>46270</v>
      </c>
      <c r="C767" s="36" t="str">
        <f aca="false">IF(Raw_Export!$A767="","",IFERROR(VLOOKUP(LOWER(TRIM(Raw_Export!C767)),Maps!$A$2:$B$20,2,FALSE()),"UNMAPPED"))</f>
        <v>Westlands</v>
      </c>
      <c r="D767" s="36" t="str">
        <f aca="false">IF(Raw_Export!$A767="","",IFERROR(VLOOKUP(LOWER(TRIM(Raw_Export!D767)),Maps!$G$2:$I$80,2,FALSE()),"UNMAPPED"))</f>
        <v>Bread Loaf 400g</v>
      </c>
      <c r="E767" s="36" t="str">
        <f aca="false">IF(Raw_Export!$A767="","",IFERROR(VLOOKUP(LOWER(TRIM(Raw_Export!D767)),Maps!$G$2:$I$80,3,FALSE()),"UNMAPPED"))</f>
        <v>Snacks</v>
      </c>
      <c r="F767" s="36" t="n">
        <f aca="false">IF(Raw_Export!$A767="","",IFERROR(VALUE(TRIM(Raw_Export!E767)),0))</f>
        <v>2</v>
      </c>
      <c r="G767" s="38" t="n">
        <f aca="false">IF(Raw_Export!$A767="","",IFERROR(VALUE(SUBSTITUTE(SUBSTITUTE(UPPER(TRIM(Raw_Export!F767)),"KES",""),",","")),0))</f>
        <v>65</v>
      </c>
      <c r="H767" s="38" t="n">
        <f aca="false">IF(Raw_Export!$A767="","",F767*G767)</f>
        <v>130</v>
      </c>
      <c r="I767" s="36" t="str">
        <f aca="false">IF(Raw_Export!$A767="","",IFERROR(VLOOKUP(LOWER(TRIM(Raw_Export!H767)),Maps!$D$2:$E$12,2,FALSE()),"Other"))</f>
        <v>Card</v>
      </c>
      <c r="J767" s="36" t="str">
        <f aca="false">IF(Raw_Export!$A767="","",IF(COUNTIF($A$2:A767,A767)&gt;1,"Duplicate",""))</f>
        <v/>
      </c>
      <c r="K767" s="36" t="str">
        <f aca="false">IF(Raw_Export!$A767="","",IF(J767="Duplicate","Duplicate",IF(OR(C767="UNMAPPED",D767="UNMAPPED"),"Unmapped",IF(F767=0,"Blank qty",IF(F767&lt;0,"Return","OK")))))</f>
        <v>OK</v>
      </c>
      <c r="L767" s="36" t="n">
        <f aca="false">IF(Raw_Export!$A767="","",IF(OR(K767="OK",K767="Return"),1,0))</f>
        <v>1</v>
      </c>
      <c r="M767" s="37" t="n">
        <f aca="false">IF(Raw_Export!$A767="","",B767-WEEKDAY(B767,2)+1)</f>
        <v>46265</v>
      </c>
    </row>
    <row r="768" customFormat="false" ht="15" hidden="false" customHeight="false" outlineLevel="0" collapsed="false">
      <c r="A768" s="36" t="str">
        <f aca="false">IF(Raw_Export!$A768="","",TRIM(Raw_Export!A768))</f>
        <v>TXN-100752</v>
      </c>
      <c r="B768" s="37" t="n">
        <f aca="false">IF(Raw_Export!$A768="","",IF(ISNUMBER(Raw_Export!B768),Raw_Export!B768,IF(MID(TRIM(Raw_Export!B768),5,1)="-",DATE(LEFT(TRIM(Raw_Export!B768),4),MID(TRIM(Raw_Export!B768),6,2),RIGHT(TRIM(Raw_Export!B768),2)),DATE(RIGHT(TRIM(Raw_Export!B768),4),MATCH(MID(TRIM(Raw_Export!B768),4,3),{"Jan","Feb","Mar","Apr","May","Jun","Jul","Aug","Sep","Oct","Nov","Dec"},0),LEFT(TRIM(Raw_Export!B768),2)))))</f>
        <v>46270</v>
      </c>
      <c r="C768" s="36" t="str">
        <f aca="false">IF(Raw_Export!$A768="","",IFERROR(VLOOKUP(LOWER(TRIM(Raw_Export!C768)),Maps!$A$2:$B$20,2,FALSE()),"UNMAPPED"))</f>
        <v>Westlands</v>
      </c>
      <c r="D768" s="36" t="str">
        <f aca="false">IF(Raw_Export!$A768="","",IFERROR(VLOOKUP(LOWER(TRIM(Raw_Export!D768)),Maps!$G$2:$I$80,2,FALSE()),"UNMAPPED"))</f>
        <v>Toilet Paper 10pk</v>
      </c>
      <c r="E768" s="36" t="str">
        <f aca="false">IF(Raw_Export!$A768="","",IFERROR(VLOOKUP(LOWER(TRIM(Raw_Export!D768)),Maps!$G$2:$I$80,3,FALSE()),"UNMAPPED"))</f>
        <v>Household</v>
      </c>
      <c r="F768" s="36" t="n">
        <f aca="false">IF(Raw_Export!$A768="","",IFERROR(VALUE(TRIM(Raw_Export!E768)),0))</f>
        <v>4</v>
      </c>
      <c r="G768" s="38" t="n">
        <f aca="false">IF(Raw_Export!$A768="","",IFERROR(VALUE(SUBSTITUTE(SUBSTITUTE(UPPER(TRIM(Raw_Export!F768)),"KES",""),",","")),0))</f>
        <v>380</v>
      </c>
      <c r="H768" s="38" t="n">
        <f aca="false">IF(Raw_Export!$A768="","",F768*G768)</f>
        <v>1520</v>
      </c>
      <c r="I768" s="36" t="str">
        <f aca="false">IF(Raw_Export!$A768="","",IFERROR(VLOOKUP(LOWER(TRIM(Raw_Export!H768)),Maps!$D$2:$E$12,2,FALSE()),"Other"))</f>
        <v>M-Pesa</v>
      </c>
      <c r="J768" s="36" t="str">
        <f aca="false">IF(Raw_Export!$A768="","",IF(COUNTIF($A$2:A768,A768)&gt;1,"Duplicate",""))</f>
        <v/>
      </c>
      <c r="K768" s="36" t="str">
        <f aca="false">IF(Raw_Export!$A768="","",IF(J768="Duplicate","Duplicate",IF(OR(C768="UNMAPPED",D768="UNMAPPED"),"Unmapped",IF(F768=0,"Blank qty",IF(F768&lt;0,"Return","OK")))))</f>
        <v>OK</v>
      </c>
      <c r="L768" s="36" t="n">
        <f aca="false">IF(Raw_Export!$A768="","",IF(OR(K768="OK",K768="Return"),1,0))</f>
        <v>1</v>
      </c>
      <c r="M768" s="37" t="n">
        <f aca="false">IF(Raw_Export!$A768="","",B768-WEEKDAY(B768,2)+1)</f>
        <v>46265</v>
      </c>
    </row>
    <row r="769" customFormat="false" ht="15" hidden="false" customHeight="false" outlineLevel="0" collapsed="false">
      <c r="A769" s="36" t="str">
        <f aca="false">IF(Raw_Export!$A769="","",TRIM(Raw_Export!A769))</f>
        <v>TXN-100753</v>
      </c>
      <c r="B769" s="37" t="n">
        <f aca="false">IF(Raw_Export!$A769="","",IF(ISNUMBER(Raw_Export!B769),Raw_Export!B769,IF(MID(TRIM(Raw_Export!B769),5,1)="-",DATE(LEFT(TRIM(Raw_Export!B769),4),MID(TRIM(Raw_Export!B769),6,2),RIGHT(TRIM(Raw_Export!B769),2)),DATE(RIGHT(TRIM(Raw_Export!B769),4),MATCH(MID(TRIM(Raw_Export!B769),4,3),{"Jan","Feb","Mar","Apr","May","Jun","Jul","Aug","Sep","Oct","Nov","Dec"},0),LEFT(TRIM(Raw_Export!B769),2)))))</f>
        <v>46270</v>
      </c>
      <c r="C769" s="36" t="str">
        <f aca="false">IF(Raw_Export!$A769="","",IFERROR(VLOOKUP(LOWER(TRIM(Raw_Export!C769)),Maps!$A$2:$B$20,2,FALSE()),"UNMAPPED"))</f>
        <v>Westlands</v>
      </c>
      <c r="D769" s="36" t="str">
        <f aca="false">IF(Raw_Export!$A769="","",IFERROR(VLOOKUP(LOWER(TRIM(Raw_Export!D769)),Maps!$G$2:$I$80,2,FALSE()),"UNMAPPED"))</f>
        <v>Bath Soap 175g</v>
      </c>
      <c r="E769" s="36" t="str">
        <f aca="false">IF(Raw_Export!$A769="","",IFERROR(VLOOKUP(LOWER(TRIM(Raw_Export!D769)),Maps!$G$2:$I$80,3,FALSE()),"UNMAPPED"))</f>
        <v>Personal Care</v>
      </c>
      <c r="F769" s="36" t="n">
        <f aca="false">IF(Raw_Export!$A769="","",IFERROR(VALUE(TRIM(Raw_Export!E769)),0))</f>
        <v>1</v>
      </c>
      <c r="G769" s="38" t="n">
        <f aca="false">IF(Raw_Export!$A769="","",IFERROR(VALUE(SUBSTITUTE(SUBSTITUTE(UPPER(TRIM(Raw_Export!F769)),"KES",""),",","")),0))</f>
        <v>85</v>
      </c>
      <c r="H769" s="38" t="n">
        <f aca="false">IF(Raw_Export!$A769="","",F769*G769)</f>
        <v>85</v>
      </c>
      <c r="I769" s="36" t="str">
        <f aca="false">IF(Raw_Export!$A769="","",IFERROR(VLOOKUP(LOWER(TRIM(Raw_Export!H769)),Maps!$D$2:$E$12,2,FALSE()),"Other"))</f>
        <v>M-Pesa</v>
      </c>
      <c r="J769" s="36" t="str">
        <f aca="false">IF(Raw_Export!$A769="","",IF(COUNTIF($A$2:A769,A769)&gt;1,"Duplicate",""))</f>
        <v/>
      </c>
      <c r="K769" s="36" t="str">
        <f aca="false">IF(Raw_Export!$A769="","",IF(J769="Duplicate","Duplicate",IF(OR(C769="UNMAPPED",D769="UNMAPPED"),"Unmapped",IF(F769=0,"Blank qty",IF(F769&lt;0,"Return","OK")))))</f>
        <v>OK</v>
      </c>
      <c r="L769" s="36" t="n">
        <f aca="false">IF(Raw_Export!$A769="","",IF(OR(K769="OK",K769="Return"),1,0))</f>
        <v>1</v>
      </c>
      <c r="M769" s="37" t="n">
        <f aca="false">IF(Raw_Export!$A769="","",B769-WEEKDAY(B769,2)+1)</f>
        <v>46265</v>
      </c>
    </row>
    <row r="770" customFormat="false" ht="15" hidden="false" customHeight="false" outlineLevel="0" collapsed="false">
      <c r="A770" s="36" t="str">
        <f aca="false">IF(Raw_Export!$A770="","",TRIM(Raw_Export!A770))</f>
        <v>TXN-100754</v>
      </c>
      <c r="B770" s="37" t="n">
        <f aca="false">IF(Raw_Export!$A770="","",IF(ISNUMBER(Raw_Export!B770),Raw_Export!B770,IF(MID(TRIM(Raw_Export!B770),5,1)="-",DATE(LEFT(TRIM(Raw_Export!B770),4),MID(TRIM(Raw_Export!B770),6,2),RIGHT(TRIM(Raw_Export!B770),2)),DATE(RIGHT(TRIM(Raw_Export!B770),4),MATCH(MID(TRIM(Raw_Export!B770),4,3),{"Jan","Feb","Mar","Apr","May","Jun","Jul","Aug","Sep","Oct","Nov","Dec"},0),LEFT(TRIM(Raw_Export!B770),2)))))</f>
        <v>46270</v>
      </c>
      <c r="C770" s="36" t="str">
        <f aca="false">IF(Raw_Export!$A770="","",IFERROR(VLOOKUP(LOWER(TRIM(Raw_Export!C770)),Maps!$A$2:$B$20,2,FALSE()),"UNMAPPED"))</f>
        <v>Westlands</v>
      </c>
      <c r="D770" s="36" t="str">
        <f aca="false">IF(Raw_Export!$A770="","",IFERROR(VLOOKUP(LOWER(TRIM(Raw_Export!D770)),Maps!$G$2:$I$80,2,FALSE()),"UNMAPPED"))</f>
        <v>Fresh Milk 500ml</v>
      </c>
      <c r="E770" s="36" t="str">
        <f aca="false">IF(Raw_Export!$A770="","",IFERROR(VLOOKUP(LOWER(TRIM(Raw_Export!D770)),Maps!$G$2:$I$80,3,FALSE()),"UNMAPPED"))</f>
        <v>Dairy &amp; Eggs</v>
      </c>
      <c r="F770" s="36" t="n">
        <f aca="false">IF(Raw_Export!$A770="","",IFERROR(VALUE(TRIM(Raw_Export!E770)),0))</f>
        <v>2</v>
      </c>
      <c r="G770" s="38" t="n">
        <f aca="false">IF(Raw_Export!$A770="","",IFERROR(VALUE(SUBSTITUTE(SUBSTITUTE(UPPER(TRIM(Raw_Export!F770)),"KES",""),",","")),0))</f>
        <v>65</v>
      </c>
      <c r="H770" s="38" t="n">
        <f aca="false">IF(Raw_Export!$A770="","",F770*G770)</f>
        <v>130</v>
      </c>
      <c r="I770" s="36" t="str">
        <f aca="false">IF(Raw_Export!$A770="","",IFERROR(VLOOKUP(LOWER(TRIM(Raw_Export!H770)),Maps!$D$2:$E$12,2,FALSE()),"Other"))</f>
        <v>M-Pesa</v>
      </c>
      <c r="J770" s="36" t="str">
        <f aca="false">IF(Raw_Export!$A770="","",IF(COUNTIF($A$2:A770,A770)&gt;1,"Duplicate",""))</f>
        <v/>
      </c>
      <c r="K770" s="36" t="str">
        <f aca="false">IF(Raw_Export!$A770="","",IF(J770="Duplicate","Duplicate",IF(OR(C770="UNMAPPED",D770="UNMAPPED"),"Unmapped",IF(F770=0,"Blank qty",IF(F770&lt;0,"Return","OK")))))</f>
        <v>OK</v>
      </c>
      <c r="L770" s="36" t="n">
        <f aca="false">IF(Raw_Export!$A770="","",IF(OR(K770="OK",K770="Return"),1,0))</f>
        <v>1</v>
      </c>
      <c r="M770" s="37" t="n">
        <f aca="false">IF(Raw_Export!$A770="","",B770-WEEKDAY(B770,2)+1)</f>
        <v>46265</v>
      </c>
    </row>
    <row r="771" customFormat="false" ht="15" hidden="false" customHeight="false" outlineLevel="0" collapsed="false">
      <c r="A771" s="36" t="str">
        <f aca="false">IF(Raw_Export!$A771="","",TRIM(Raw_Export!A771))</f>
        <v>TXN-100755</v>
      </c>
      <c r="B771" s="37" t="n">
        <f aca="false">IF(Raw_Export!$A771="","",IF(ISNUMBER(Raw_Export!B771),Raw_Export!B771,IF(MID(TRIM(Raw_Export!B771),5,1)="-",DATE(LEFT(TRIM(Raw_Export!B771),4),MID(TRIM(Raw_Export!B771),6,2),RIGHT(TRIM(Raw_Export!B771),2)),DATE(RIGHT(TRIM(Raw_Export!B771),4),MATCH(MID(TRIM(Raw_Export!B771),4,3),{"Jan","Feb","Mar","Apr","May","Jun","Jul","Aug","Sep","Oct","Nov","Dec"},0),LEFT(TRIM(Raw_Export!B771),2)))))</f>
        <v>46270</v>
      </c>
      <c r="C771" s="36" t="str">
        <f aca="false">IF(Raw_Export!$A771="","",IFERROR(VLOOKUP(LOWER(TRIM(Raw_Export!C771)),Maps!$A$2:$B$20,2,FALSE()),"UNMAPPED"))</f>
        <v>Westlands</v>
      </c>
      <c r="D771" s="36" t="str">
        <f aca="false">IF(Raw_Export!$A771="","",IFERROR(VLOOKUP(LOWER(TRIM(Raw_Export!D771)),Maps!$G$2:$I$80,2,FALSE()),"UNMAPPED"))</f>
        <v>Bread Loaf 400g</v>
      </c>
      <c r="E771" s="36" t="str">
        <f aca="false">IF(Raw_Export!$A771="","",IFERROR(VLOOKUP(LOWER(TRIM(Raw_Export!D771)),Maps!$G$2:$I$80,3,FALSE()),"UNMAPPED"))</f>
        <v>Snacks</v>
      </c>
      <c r="F771" s="36" t="n">
        <f aca="false">IF(Raw_Export!$A771="","",IFERROR(VALUE(TRIM(Raw_Export!E771)),0))</f>
        <v>1</v>
      </c>
      <c r="G771" s="38" t="n">
        <f aca="false">IF(Raw_Export!$A771="","",IFERROR(VALUE(SUBSTITUTE(SUBSTITUTE(UPPER(TRIM(Raw_Export!F771)),"KES",""),",","")),0))</f>
        <v>65</v>
      </c>
      <c r="H771" s="38" t="n">
        <f aca="false">IF(Raw_Export!$A771="","",F771*G771)</f>
        <v>65</v>
      </c>
      <c r="I771" s="36" t="str">
        <f aca="false">IF(Raw_Export!$A771="","",IFERROR(VLOOKUP(LOWER(TRIM(Raw_Export!H771)),Maps!$D$2:$E$12,2,FALSE()),"Other"))</f>
        <v>Cash</v>
      </c>
      <c r="J771" s="36" t="str">
        <f aca="false">IF(Raw_Export!$A771="","",IF(COUNTIF($A$2:A771,A771)&gt;1,"Duplicate",""))</f>
        <v/>
      </c>
      <c r="K771" s="36" t="str">
        <f aca="false">IF(Raw_Export!$A771="","",IF(J771="Duplicate","Duplicate",IF(OR(C771="UNMAPPED",D771="UNMAPPED"),"Unmapped",IF(F771=0,"Blank qty",IF(F771&lt;0,"Return","OK")))))</f>
        <v>OK</v>
      </c>
      <c r="L771" s="36" t="n">
        <f aca="false">IF(Raw_Export!$A771="","",IF(OR(K771="OK",K771="Return"),1,0))</f>
        <v>1</v>
      </c>
      <c r="M771" s="37" t="n">
        <f aca="false">IF(Raw_Export!$A771="","",B771-WEEKDAY(B771,2)+1)</f>
        <v>46265</v>
      </c>
    </row>
    <row r="772" customFormat="false" ht="15" hidden="false" customHeight="false" outlineLevel="0" collapsed="false">
      <c r="A772" s="36" t="str">
        <f aca="false">IF(Raw_Export!$A772="","",TRIM(Raw_Export!A772))</f>
        <v>TXN-100756</v>
      </c>
      <c r="B772" s="37" t="n">
        <f aca="false">IF(Raw_Export!$A772="","",IF(ISNUMBER(Raw_Export!B772),Raw_Export!B772,IF(MID(TRIM(Raw_Export!B772),5,1)="-",DATE(LEFT(TRIM(Raw_Export!B772),4),MID(TRIM(Raw_Export!B772),6,2),RIGHT(TRIM(Raw_Export!B772),2)),DATE(RIGHT(TRIM(Raw_Export!B772),4),MATCH(MID(TRIM(Raw_Export!B772),4,3),{"Jan","Feb","Mar","Apr","May","Jun","Jul","Aug","Sep","Oct","Nov","Dec"},0),LEFT(TRIM(Raw_Export!B772),2)))))</f>
        <v>46270</v>
      </c>
      <c r="C772" s="36" t="str">
        <f aca="false">IF(Raw_Export!$A772="","",IFERROR(VLOOKUP(LOWER(TRIM(Raw_Export!C772)),Maps!$A$2:$B$20,2,FALSE()),"UNMAPPED"))</f>
        <v>Westlands</v>
      </c>
      <c r="D772" s="36" t="str">
        <f aca="false">IF(Raw_Export!$A772="","",IFERROR(VLOOKUP(LOWER(TRIM(Raw_Export!D772)),Maps!$G$2:$I$80,2,FALSE()),"UNMAPPED"))</f>
        <v>Cheddar 200g</v>
      </c>
      <c r="E772" s="36" t="str">
        <f aca="false">IF(Raw_Export!$A772="","",IFERROR(VLOOKUP(LOWER(TRIM(Raw_Export!D772)),Maps!$G$2:$I$80,3,FALSE()),"UNMAPPED"))</f>
        <v>Dairy &amp; Eggs</v>
      </c>
      <c r="F772" s="36" t="n">
        <f aca="false">IF(Raw_Export!$A772="","",IFERROR(VALUE(TRIM(Raw_Export!E772)),0))</f>
        <v>1</v>
      </c>
      <c r="G772" s="38" t="n">
        <f aca="false">IF(Raw_Export!$A772="","",IFERROR(VALUE(SUBSTITUTE(SUBSTITUTE(UPPER(TRIM(Raw_Export!F772)),"KES",""),",","")),0))</f>
        <v>342</v>
      </c>
      <c r="H772" s="38" t="n">
        <f aca="false">IF(Raw_Export!$A772="","",F772*G772)</f>
        <v>342</v>
      </c>
      <c r="I772" s="36" t="str">
        <f aca="false">IF(Raw_Export!$A772="","",IFERROR(VLOOKUP(LOWER(TRIM(Raw_Export!H772)),Maps!$D$2:$E$12,2,FALSE()),"Other"))</f>
        <v>Card</v>
      </c>
      <c r="J772" s="36" t="str">
        <f aca="false">IF(Raw_Export!$A772="","",IF(COUNTIF($A$2:A772,A772)&gt;1,"Duplicate",""))</f>
        <v/>
      </c>
      <c r="K772" s="36" t="str">
        <f aca="false">IF(Raw_Export!$A772="","",IF(J772="Duplicate","Duplicate",IF(OR(C772="UNMAPPED",D772="UNMAPPED"),"Unmapped",IF(F772=0,"Blank qty",IF(F772&lt;0,"Return","OK")))))</f>
        <v>OK</v>
      </c>
      <c r="L772" s="36" t="n">
        <f aca="false">IF(Raw_Export!$A772="","",IF(OR(K772="OK",K772="Return"),1,0))</f>
        <v>1</v>
      </c>
      <c r="M772" s="37" t="n">
        <f aca="false">IF(Raw_Export!$A772="","",B772-WEEKDAY(B772,2)+1)</f>
        <v>46265</v>
      </c>
    </row>
    <row r="773" customFormat="false" ht="15" hidden="false" customHeight="false" outlineLevel="0" collapsed="false">
      <c r="A773" s="36" t="str">
        <f aca="false">IF(Raw_Export!$A773="","",TRIM(Raw_Export!A773))</f>
        <v>TXN-100757</v>
      </c>
      <c r="B773" s="37" t="n">
        <f aca="false">IF(Raw_Export!$A773="","",IF(ISNUMBER(Raw_Export!B773),Raw_Export!B773,IF(MID(TRIM(Raw_Export!B773),5,1)="-",DATE(LEFT(TRIM(Raw_Export!B773),4),MID(TRIM(Raw_Export!B773),6,2),RIGHT(TRIM(Raw_Export!B773),2)),DATE(RIGHT(TRIM(Raw_Export!B773),4),MATCH(MID(TRIM(Raw_Export!B773),4,3),{"Jan","Feb","Mar","Apr","May","Jun","Jul","Aug","Sep","Oct","Nov","Dec"},0),LEFT(TRIM(Raw_Export!B773),2)))))</f>
        <v>46270</v>
      </c>
      <c r="C773" s="36" t="str">
        <f aca="false">IF(Raw_Export!$A773="","",IFERROR(VLOOKUP(LOWER(TRIM(Raw_Export!C773)),Maps!$A$2:$B$20,2,FALSE()),"UNMAPPED"))</f>
        <v>Westlands</v>
      </c>
      <c r="D773" s="36" t="str">
        <f aca="false">IF(Raw_Export!$A773="","",IFERROR(VLOOKUP(LOWER(TRIM(Raw_Export!D773)),Maps!$G$2:$I$80,2,FALSE()),"UNMAPPED"))</f>
        <v>Soda 500ml</v>
      </c>
      <c r="E773" s="36" t="str">
        <f aca="false">IF(Raw_Export!$A773="","",IFERROR(VLOOKUP(LOWER(TRIM(Raw_Export!D773)),Maps!$G$2:$I$80,3,FALSE()),"UNMAPPED"))</f>
        <v>Beverages</v>
      </c>
      <c r="F773" s="36" t="n">
        <f aca="false">IF(Raw_Export!$A773="","",IFERROR(VALUE(TRIM(Raw_Export!E773)),0))</f>
        <v>3</v>
      </c>
      <c r="G773" s="38" t="n">
        <f aca="false">IF(Raw_Export!$A773="","",IFERROR(VALUE(SUBSTITUTE(SUBSTITUTE(UPPER(TRIM(Raw_Export!F773)),"KES",""),",","")),0))</f>
        <v>60</v>
      </c>
      <c r="H773" s="38" t="n">
        <f aca="false">IF(Raw_Export!$A773="","",F773*G773)</f>
        <v>180</v>
      </c>
      <c r="I773" s="36" t="str">
        <f aca="false">IF(Raw_Export!$A773="","",IFERROR(VLOOKUP(LOWER(TRIM(Raw_Export!H773)),Maps!$D$2:$E$12,2,FALSE()),"Other"))</f>
        <v>M-Pesa</v>
      </c>
      <c r="J773" s="36" t="str">
        <f aca="false">IF(Raw_Export!$A773="","",IF(COUNTIF($A$2:A773,A773)&gt;1,"Duplicate",""))</f>
        <v/>
      </c>
      <c r="K773" s="36" t="str">
        <f aca="false">IF(Raw_Export!$A773="","",IF(J773="Duplicate","Duplicate",IF(OR(C773="UNMAPPED",D773="UNMAPPED"),"Unmapped",IF(F773=0,"Blank qty",IF(F773&lt;0,"Return","OK")))))</f>
        <v>OK</v>
      </c>
      <c r="L773" s="36" t="n">
        <f aca="false">IF(Raw_Export!$A773="","",IF(OR(K773="OK",K773="Return"),1,0))</f>
        <v>1</v>
      </c>
      <c r="M773" s="37" t="n">
        <f aca="false">IF(Raw_Export!$A773="","",B773-WEEKDAY(B773,2)+1)</f>
        <v>46265</v>
      </c>
    </row>
    <row r="774" customFormat="false" ht="15" hidden="false" customHeight="false" outlineLevel="0" collapsed="false">
      <c r="A774" s="36" t="str">
        <f aca="false">IF(Raw_Export!$A774="","",TRIM(Raw_Export!A774))</f>
        <v>TXN-100758</v>
      </c>
      <c r="B774" s="37" t="n">
        <f aca="false">IF(Raw_Export!$A774="","",IF(ISNUMBER(Raw_Export!B774),Raw_Export!B774,IF(MID(TRIM(Raw_Export!B774),5,1)="-",DATE(LEFT(TRIM(Raw_Export!B774),4),MID(TRIM(Raw_Export!B774),6,2),RIGHT(TRIM(Raw_Export!B774),2)),DATE(RIGHT(TRIM(Raw_Export!B774),4),MATCH(MID(TRIM(Raw_Export!B774),4,3),{"Jan","Feb","Mar","Apr","May","Jun","Jul","Aug","Sep","Oct","Nov","Dec"},0),LEFT(TRIM(Raw_Export!B774),2)))))</f>
        <v>46270</v>
      </c>
      <c r="C774" s="36" t="str">
        <f aca="false">IF(Raw_Export!$A774="","",IFERROR(VLOOKUP(LOWER(TRIM(Raw_Export!C774)),Maps!$A$2:$B$20,2,FALSE()),"UNMAPPED"))</f>
        <v>Westlands</v>
      </c>
      <c r="D774" s="36" t="str">
        <f aca="false">IF(Raw_Export!$A774="","",IFERROR(VLOOKUP(LOWER(TRIM(Raw_Export!D774)),Maps!$G$2:$I$80,2,FALSE()),"UNMAPPED"))</f>
        <v>Cheddar 200g</v>
      </c>
      <c r="E774" s="36" t="str">
        <f aca="false">IF(Raw_Export!$A774="","",IFERROR(VLOOKUP(LOWER(TRIM(Raw_Export!D774)),Maps!$G$2:$I$80,3,FALSE()),"UNMAPPED"))</f>
        <v>Dairy &amp; Eggs</v>
      </c>
      <c r="F774" s="36" t="n">
        <f aca="false">IF(Raw_Export!$A774="","",IFERROR(VALUE(TRIM(Raw_Export!E774)),0))</f>
        <v>4</v>
      </c>
      <c r="G774" s="38" t="n">
        <f aca="false">IF(Raw_Export!$A774="","",IFERROR(VALUE(SUBSTITUTE(SUBSTITUTE(UPPER(TRIM(Raw_Export!F774)),"KES",""),",","")),0))</f>
        <v>380</v>
      </c>
      <c r="H774" s="38" t="n">
        <f aca="false">IF(Raw_Export!$A774="","",F774*G774)</f>
        <v>1520</v>
      </c>
      <c r="I774" s="36" t="str">
        <f aca="false">IF(Raw_Export!$A774="","",IFERROR(VLOOKUP(LOWER(TRIM(Raw_Export!H774)),Maps!$D$2:$E$12,2,FALSE()),"Other"))</f>
        <v>M-Pesa</v>
      </c>
      <c r="J774" s="36" t="str">
        <f aca="false">IF(Raw_Export!$A774="","",IF(COUNTIF($A$2:A774,A774)&gt;1,"Duplicate",""))</f>
        <v/>
      </c>
      <c r="K774" s="36" t="str">
        <f aca="false">IF(Raw_Export!$A774="","",IF(J774="Duplicate","Duplicate",IF(OR(C774="UNMAPPED",D774="UNMAPPED"),"Unmapped",IF(F774=0,"Blank qty",IF(F774&lt;0,"Return","OK")))))</f>
        <v>OK</v>
      </c>
      <c r="L774" s="36" t="n">
        <f aca="false">IF(Raw_Export!$A774="","",IF(OR(K774="OK",K774="Return"),1,0))</f>
        <v>1</v>
      </c>
      <c r="M774" s="37" t="n">
        <f aca="false">IF(Raw_Export!$A774="","",B774-WEEKDAY(B774,2)+1)</f>
        <v>46265</v>
      </c>
    </row>
    <row r="775" customFormat="false" ht="15" hidden="false" customHeight="false" outlineLevel="0" collapsed="false">
      <c r="A775" s="36" t="str">
        <f aca="false">IF(Raw_Export!$A775="","",TRIM(Raw_Export!A775))</f>
        <v>TXN-100759</v>
      </c>
      <c r="B775" s="37" t="n">
        <f aca="false">IF(Raw_Export!$A775="","",IF(ISNUMBER(Raw_Export!B775),Raw_Export!B775,IF(MID(TRIM(Raw_Export!B775),5,1)="-",DATE(LEFT(TRIM(Raw_Export!B775),4),MID(TRIM(Raw_Export!B775),6,2),RIGHT(TRIM(Raw_Export!B775),2)),DATE(RIGHT(TRIM(Raw_Export!B775),4),MATCH(MID(TRIM(Raw_Export!B775),4,3),{"Jan","Feb","Mar","Apr","May","Jun","Jul","Aug","Sep","Oct","Nov","Dec"},0),LEFT(TRIM(Raw_Export!B775),2)))))</f>
        <v>46270</v>
      </c>
      <c r="C775" s="36" t="str">
        <f aca="false">IF(Raw_Export!$A775="","",IFERROR(VLOOKUP(LOWER(TRIM(Raw_Export!C775)),Maps!$A$2:$B$20,2,FALSE()),"UNMAPPED"))</f>
        <v>Westlands</v>
      </c>
      <c r="D775" s="36" t="str">
        <f aca="false">IF(Raw_Export!$A775="","",IFERROR(VLOOKUP(LOWER(TRIM(Raw_Export!D775)),Maps!$G$2:$I$80,2,FALSE()),"UNMAPPED"))</f>
        <v>Sugar 2kg</v>
      </c>
      <c r="E775" s="36" t="str">
        <f aca="false">IF(Raw_Export!$A775="","",IFERROR(VLOOKUP(LOWER(TRIM(Raw_Export!D775)),Maps!$G$2:$I$80,3,FALSE()),"UNMAPPED"))</f>
        <v>Staples</v>
      </c>
      <c r="F775" s="36" t="n">
        <f aca="false">IF(Raw_Export!$A775="","",IFERROR(VALUE(TRIM(Raw_Export!E775)),0))</f>
        <v>1</v>
      </c>
      <c r="G775" s="38" t="n">
        <f aca="false">IF(Raw_Export!$A775="","",IFERROR(VALUE(SUBSTITUTE(SUBSTITUTE(UPPER(TRIM(Raw_Export!F775)),"KES",""),",","")),0))</f>
        <v>330</v>
      </c>
      <c r="H775" s="38" t="n">
        <f aca="false">IF(Raw_Export!$A775="","",F775*G775)</f>
        <v>330</v>
      </c>
      <c r="I775" s="36" t="str">
        <f aca="false">IF(Raw_Export!$A775="","",IFERROR(VLOOKUP(LOWER(TRIM(Raw_Export!H775)),Maps!$D$2:$E$12,2,FALSE()),"Other"))</f>
        <v>Card</v>
      </c>
      <c r="J775" s="36" t="str">
        <f aca="false">IF(Raw_Export!$A775="","",IF(COUNTIF($A$2:A775,A775)&gt;1,"Duplicate",""))</f>
        <v/>
      </c>
      <c r="K775" s="36" t="str">
        <f aca="false">IF(Raw_Export!$A775="","",IF(J775="Duplicate","Duplicate",IF(OR(C775="UNMAPPED",D775="UNMAPPED"),"Unmapped",IF(F775=0,"Blank qty",IF(F775&lt;0,"Return","OK")))))</f>
        <v>OK</v>
      </c>
      <c r="L775" s="36" t="n">
        <f aca="false">IF(Raw_Export!$A775="","",IF(OR(K775="OK",K775="Return"),1,0))</f>
        <v>1</v>
      </c>
      <c r="M775" s="37" t="n">
        <f aca="false">IF(Raw_Export!$A775="","",B775-WEEKDAY(B775,2)+1)</f>
        <v>46265</v>
      </c>
    </row>
    <row r="776" customFormat="false" ht="15" hidden="false" customHeight="false" outlineLevel="0" collapsed="false">
      <c r="A776" s="36" t="str">
        <f aca="false">IF(Raw_Export!$A776="","",TRIM(Raw_Export!A776))</f>
        <v>TXN-100760</v>
      </c>
      <c r="B776" s="37" t="n">
        <f aca="false">IF(Raw_Export!$A776="","",IF(ISNUMBER(Raw_Export!B776),Raw_Export!B776,IF(MID(TRIM(Raw_Export!B776),5,1)="-",DATE(LEFT(TRIM(Raw_Export!B776),4),MID(TRIM(Raw_Export!B776),6,2),RIGHT(TRIM(Raw_Export!B776),2)),DATE(RIGHT(TRIM(Raw_Export!B776),4),MATCH(MID(TRIM(Raw_Export!B776),4,3),{"Jan","Feb","Mar","Apr","May","Jun","Jul","Aug","Sep","Oct","Nov","Dec"},0),LEFT(TRIM(Raw_Export!B776),2)))))</f>
        <v>46270</v>
      </c>
      <c r="C776" s="36" t="str">
        <f aca="false">IF(Raw_Export!$A776="","",IFERROR(VLOOKUP(LOWER(TRIM(Raw_Export!C776)),Maps!$A$2:$B$20,2,FALSE()),"UNMAPPED"))</f>
        <v>Westlands</v>
      </c>
      <c r="D776" s="36" t="str">
        <f aca="false">IF(Raw_Export!$A776="","",IFERROR(VLOOKUP(LOWER(TRIM(Raw_Export!D776)),Maps!$G$2:$I$80,2,FALSE()),"UNMAPPED"))</f>
        <v>Juice 1L</v>
      </c>
      <c r="E776" s="36" t="str">
        <f aca="false">IF(Raw_Export!$A776="","",IFERROR(VLOOKUP(LOWER(TRIM(Raw_Export!D776)),Maps!$G$2:$I$80,3,FALSE()),"UNMAPPED"))</f>
        <v>Beverages</v>
      </c>
      <c r="F776" s="36" t="n">
        <f aca="false">IF(Raw_Export!$A776="","",IFERROR(VALUE(TRIM(Raw_Export!E776)),0))</f>
        <v>2</v>
      </c>
      <c r="G776" s="38" t="n">
        <f aca="false">IF(Raw_Export!$A776="","",IFERROR(VALUE(SUBSTITUTE(SUBSTITUTE(UPPER(TRIM(Raw_Export!F776)),"KES",""),",","")),0))</f>
        <v>210</v>
      </c>
      <c r="H776" s="38" t="n">
        <f aca="false">IF(Raw_Export!$A776="","",F776*G776)</f>
        <v>420</v>
      </c>
      <c r="I776" s="36" t="str">
        <f aca="false">IF(Raw_Export!$A776="","",IFERROR(VLOOKUP(LOWER(TRIM(Raw_Export!H776)),Maps!$D$2:$E$12,2,FALSE()),"Other"))</f>
        <v>Cash</v>
      </c>
      <c r="J776" s="36" t="str">
        <f aca="false">IF(Raw_Export!$A776="","",IF(COUNTIF($A$2:A776,A776)&gt;1,"Duplicate",""))</f>
        <v/>
      </c>
      <c r="K776" s="36" t="str">
        <f aca="false">IF(Raw_Export!$A776="","",IF(J776="Duplicate","Duplicate",IF(OR(C776="UNMAPPED",D776="UNMAPPED"),"Unmapped",IF(F776=0,"Blank qty",IF(F776&lt;0,"Return","OK")))))</f>
        <v>OK</v>
      </c>
      <c r="L776" s="36" t="n">
        <f aca="false">IF(Raw_Export!$A776="","",IF(OR(K776="OK",K776="Return"),1,0))</f>
        <v>1</v>
      </c>
      <c r="M776" s="37" t="n">
        <f aca="false">IF(Raw_Export!$A776="","",B776-WEEKDAY(B776,2)+1)</f>
        <v>46265</v>
      </c>
    </row>
    <row r="777" customFormat="false" ht="15" hidden="false" customHeight="false" outlineLevel="0" collapsed="false">
      <c r="A777" s="36" t="str">
        <f aca="false">IF(Raw_Export!$A777="","",TRIM(Raw_Export!A777))</f>
        <v>TXN-100761</v>
      </c>
      <c r="B777" s="37" t="n">
        <f aca="false">IF(Raw_Export!$A777="","",IF(ISNUMBER(Raw_Export!B777),Raw_Export!B777,IF(MID(TRIM(Raw_Export!B777),5,1)="-",DATE(LEFT(TRIM(Raw_Export!B777),4),MID(TRIM(Raw_Export!B777),6,2),RIGHT(TRIM(Raw_Export!B777),2)),DATE(RIGHT(TRIM(Raw_Export!B777),4),MATCH(MID(TRIM(Raw_Export!B777),4,3),{"Jan","Feb","Mar","Apr","May","Jun","Jul","Aug","Sep","Oct","Nov","Dec"},0),LEFT(TRIM(Raw_Export!B777),2)))))</f>
        <v>46270</v>
      </c>
      <c r="C777" s="36" t="str">
        <f aca="false">IF(Raw_Export!$A777="","",IFERROR(VLOOKUP(LOWER(TRIM(Raw_Export!C777)),Maps!$A$2:$B$20,2,FALSE()),"UNMAPPED"))</f>
        <v>Westlands</v>
      </c>
      <c r="D777" s="36" t="str">
        <f aca="false">IF(Raw_Export!$A777="","",IFERROR(VLOOKUP(LOWER(TRIM(Raw_Export!D777)),Maps!$G$2:$I$80,2,FALSE()),"UNMAPPED"))</f>
        <v>Tea Leaves 250g</v>
      </c>
      <c r="E777" s="36" t="str">
        <f aca="false">IF(Raw_Export!$A777="","",IFERROR(VLOOKUP(LOWER(TRIM(Raw_Export!D777)),Maps!$G$2:$I$80,3,FALSE()),"UNMAPPED"))</f>
        <v>Beverages</v>
      </c>
      <c r="F777" s="36" t="n">
        <f aca="false">IF(Raw_Export!$A777="","",IFERROR(VALUE(TRIM(Raw_Export!E777)),0))</f>
        <v>6</v>
      </c>
      <c r="G777" s="38" t="n">
        <f aca="false">IF(Raw_Export!$A777="","",IFERROR(VALUE(SUBSTITUTE(SUBSTITUTE(UPPER(TRIM(Raw_Export!F777)),"KES",""),",","")),0))</f>
        <v>150</v>
      </c>
      <c r="H777" s="38" t="n">
        <f aca="false">IF(Raw_Export!$A777="","",F777*G777)</f>
        <v>900</v>
      </c>
      <c r="I777" s="36" t="str">
        <f aca="false">IF(Raw_Export!$A777="","",IFERROR(VLOOKUP(LOWER(TRIM(Raw_Export!H777)),Maps!$D$2:$E$12,2,FALSE()),"Other"))</f>
        <v>Card</v>
      </c>
      <c r="J777" s="36" t="str">
        <f aca="false">IF(Raw_Export!$A777="","",IF(COUNTIF($A$2:A777,A777)&gt;1,"Duplicate",""))</f>
        <v/>
      </c>
      <c r="K777" s="36" t="str">
        <f aca="false">IF(Raw_Export!$A777="","",IF(J777="Duplicate","Duplicate",IF(OR(C777="UNMAPPED",D777="UNMAPPED"),"Unmapped",IF(F777=0,"Blank qty",IF(F777&lt;0,"Return","OK")))))</f>
        <v>OK</v>
      </c>
      <c r="L777" s="36" t="n">
        <f aca="false">IF(Raw_Export!$A777="","",IF(OR(K777="OK",K777="Return"),1,0))</f>
        <v>1</v>
      </c>
      <c r="M777" s="37" t="n">
        <f aca="false">IF(Raw_Export!$A777="","",B777-WEEKDAY(B777,2)+1)</f>
        <v>46265</v>
      </c>
    </row>
    <row r="778" customFormat="false" ht="15" hidden="false" customHeight="false" outlineLevel="0" collapsed="false">
      <c r="A778" s="36" t="str">
        <f aca="false">IF(Raw_Export!$A778="","",TRIM(Raw_Export!A778))</f>
        <v>TXN-100762</v>
      </c>
      <c r="B778" s="37" t="n">
        <f aca="false">IF(Raw_Export!$A778="","",IF(ISNUMBER(Raw_Export!B778),Raw_Export!B778,IF(MID(TRIM(Raw_Export!B778),5,1)="-",DATE(LEFT(TRIM(Raw_Export!B778),4),MID(TRIM(Raw_Export!B778),6,2),RIGHT(TRIM(Raw_Export!B778),2)),DATE(RIGHT(TRIM(Raw_Export!B778),4),MATCH(MID(TRIM(Raw_Export!B778),4,3),{"Jan","Feb","Mar","Apr","May","Jun","Jul","Aug","Sep","Oct","Nov","Dec"},0),LEFT(TRIM(Raw_Export!B778),2)))))</f>
        <v>46270</v>
      </c>
      <c r="C778" s="36" t="str">
        <f aca="false">IF(Raw_Export!$A778="","",IFERROR(VLOOKUP(LOWER(TRIM(Raw_Export!C778)),Maps!$A$2:$B$20,2,FALSE()),"UNMAPPED"))</f>
        <v>Westlands</v>
      </c>
      <c r="D778" s="36" t="str">
        <f aca="false">IF(Raw_Export!$A778="","",IFERROR(VLOOKUP(LOWER(TRIM(Raw_Export!D778)),Maps!$G$2:$I$80,2,FALSE()),"UNMAPPED"))</f>
        <v>Toilet Paper 10pk</v>
      </c>
      <c r="E778" s="36" t="str">
        <f aca="false">IF(Raw_Export!$A778="","",IFERROR(VLOOKUP(LOWER(TRIM(Raw_Export!D778)),Maps!$G$2:$I$80,3,FALSE()),"UNMAPPED"))</f>
        <v>Household</v>
      </c>
      <c r="F778" s="36" t="n">
        <f aca="false">IF(Raw_Export!$A778="","",IFERROR(VALUE(TRIM(Raw_Export!E778)),0))</f>
        <v>2</v>
      </c>
      <c r="G778" s="38" t="n">
        <f aca="false">IF(Raw_Export!$A778="","",IFERROR(VALUE(SUBSTITUTE(SUBSTITUTE(UPPER(TRIM(Raw_Export!F778)),"KES",""),",","")),0))</f>
        <v>380</v>
      </c>
      <c r="H778" s="38" t="n">
        <f aca="false">IF(Raw_Export!$A778="","",F778*G778)</f>
        <v>760</v>
      </c>
      <c r="I778" s="36" t="str">
        <f aca="false">IF(Raw_Export!$A778="","",IFERROR(VLOOKUP(LOWER(TRIM(Raw_Export!H778)),Maps!$D$2:$E$12,2,FALSE()),"Other"))</f>
        <v>M-Pesa</v>
      </c>
      <c r="J778" s="36" t="str">
        <f aca="false">IF(Raw_Export!$A778="","",IF(COUNTIF($A$2:A778,A778)&gt;1,"Duplicate",""))</f>
        <v/>
      </c>
      <c r="K778" s="36" t="str">
        <f aca="false">IF(Raw_Export!$A778="","",IF(J778="Duplicate","Duplicate",IF(OR(C778="UNMAPPED",D778="UNMAPPED"),"Unmapped",IF(F778=0,"Blank qty",IF(F778&lt;0,"Return","OK")))))</f>
        <v>OK</v>
      </c>
      <c r="L778" s="36" t="n">
        <f aca="false">IF(Raw_Export!$A778="","",IF(OR(K778="OK",K778="Return"),1,0))</f>
        <v>1</v>
      </c>
      <c r="M778" s="37" t="n">
        <f aca="false">IF(Raw_Export!$A778="","",B778-WEEKDAY(B778,2)+1)</f>
        <v>46265</v>
      </c>
    </row>
    <row r="779" customFormat="false" ht="15" hidden="false" customHeight="false" outlineLevel="0" collapsed="false">
      <c r="A779" s="36" t="str">
        <f aca="false">IF(Raw_Export!$A779="","",TRIM(Raw_Export!A779))</f>
        <v>TXN-100763</v>
      </c>
      <c r="B779" s="37" t="n">
        <f aca="false">IF(Raw_Export!$A779="","",IF(ISNUMBER(Raw_Export!B779),Raw_Export!B779,IF(MID(TRIM(Raw_Export!B779),5,1)="-",DATE(LEFT(TRIM(Raw_Export!B779),4),MID(TRIM(Raw_Export!B779),6,2),RIGHT(TRIM(Raw_Export!B779),2)),DATE(RIGHT(TRIM(Raw_Export!B779),4),MATCH(MID(TRIM(Raw_Export!B779),4,3),{"Jan","Feb","Mar","Apr","May","Jun","Jul","Aug","Sep","Oct","Nov","Dec"},0),LEFT(TRIM(Raw_Export!B779),2)))))</f>
        <v>46270</v>
      </c>
      <c r="C779" s="36" t="str">
        <f aca="false">IF(Raw_Export!$A779="","",IFERROR(VLOOKUP(LOWER(TRIM(Raw_Export!C779)),Maps!$A$2:$B$20,2,FALSE()),"UNMAPPED"))</f>
        <v>Westlands</v>
      </c>
      <c r="D779" s="36" t="str">
        <f aca="false">IF(Raw_Export!$A779="","",IFERROR(VLOOKUP(LOWER(TRIM(Raw_Export!D779)),Maps!$G$2:$I$80,2,FALSE()),"UNMAPPED"))</f>
        <v>Dish Soap 750ml</v>
      </c>
      <c r="E779" s="36" t="str">
        <f aca="false">IF(Raw_Export!$A779="","",IFERROR(VLOOKUP(LOWER(TRIM(Raw_Export!D779)),Maps!$G$2:$I$80,3,FALSE()),"UNMAPPED"))</f>
        <v>Household</v>
      </c>
      <c r="F779" s="36" t="n">
        <f aca="false">IF(Raw_Export!$A779="","",IFERROR(VALUE(TRIM(Raw_Export!E779)),0))</f>
        <v>4</v>
      </c>
      <c r="G779" s="38" t="n">
        <f aca="false">IF(Raw_Export!$A779="","",IFERROR(VALUE(SUBSTITUTE(SUBSTITUTE(UPPER(TRIM(Raw_Export!F779)),"KES",""),",","")),0))</f>
        <v>190</v>
      </c>
      <c r="H779" s="38" t="n">
        <f aca="false">IF(Raw_Export!$A779="","",F779*G779)</f>
        <v>760</v>
      </c>
      <c r="I779" s="36" t="str">
        <f aca="false">IF(Raw_Export!$A779="","",IFERROR(VLOOKUP(LOWER(TRIM(Raw_Export!H779)),Maps!$D$2:$E$12,2,FALSE()),"Other"))</f>
        <v>M-Pesa</v>
      </c>
      <c r="J779" s="36" t="str">
        <f aca="false">IF(Raw_Export!$A779="","",IF(COUNTIF($A$2:A779,A779)&gt;1,"Duplicate",""))</f>
        <v/>
      </c>
      <c r="K779" s="36" t="str">
        <f aca="false">IF(Raw_Export!$A779="","",IF(J779="Duplicate","Duplicate",IF(OR(C779="UNMAPPED",D779="UNMAPPED"),"Unmapped",IF(F779=0,"Blank qty",IF(F779&lt;0,"Return","OK")))))</f>
        <v>OK</v>
      </c>
      <c r="L779" s="36" t="n">
        <f aca="false">IF(Raw_Export!$A779="","",IF(OR(K779="OK",K779="Return"),1,0))</f>
        <v>1</v>
      </c>
      <c r="M779" s="37" t="n">
        <f aca="false">IF(Raw_Export!$A779="","",B779-WEEKDAY(B779,2)+1)</f>
        <v>46265</v>
      </c>
    </row>
    <row r="780" customFormat="false" ht="15" hidden="false" customHeight="false" outlineLevel="0" collapsed="false">
      <c r="A780" s="36" t="str">
        <f aca="false">IF(Raw_Export!$A780="","",TRIM(Raw_Export!A780))</f>
        <v>TXN-100764</v>
      </c>
      <c r="B780" s="37" t="n">
        <f aca="false">IF(Raw_Export!$A780="","",IF(ISNUMBER(Raw_Export!B780),Raw_Export!B780,IF(MID(TRIM(Raw_Export!B780),5,1)="-",DATE(LEFT(TRIM(Raw_Export!B780),4),MID(TRIM(Raw_Export!B780),6,2),RIGHT(TRIM(Raw_Export!B780),2)),DATE(RIGHT(TRIM(Raw_Export!B780),4),MATCH(MID(TRIM(Raw_Export!B780),4,3),{"Jan","Feb","Mar","Apr","May","Jun","Jul","Aug","Sep","Oct","Nov","Dec"},0),LEFT(TRIM(Raw_Export!B780),2)))))</f>
        <v>46270</v>
      </c>
      <c r="C780" s="36" t="str">
        <f aca="false">IF(Raw_Export!$A780="","",IFERROR(VLOOKUP(LOWER(TRIM(Raw_Export!C780)),Maps!$A$2:$B$20,2,FALSE()),"UNMAPPED"))</f>
        <v>Westlands</v>
      </c>
      <c r="D780" s="36" t="str">
        <f aca="false">IF(Raw_Export!$A780="","",IFERROR(VLOOKUP(LOWER(TRIM(Raw_Export!D780)),Maps!$G$2:$I$80,2,FALSE()),"UNMAPPED"))</f>
        <v>Deodorant 150ml</v>
      </c>
      <c r="E780" s="36" t="str">
        <f aca="false">IF(Raw_Export!$A780="","",IFERROR(VLOOKUP(LOWER(TRIM(Raw_Export!D780)),Maps!$G$2:$I$80,3,FALSE()),"UNMAPPED"))</f>
        <v>Personal Care</v>
      </c>
      <c r="F780" s="36" t="n">
        <f aca="false">IF(Raw_Export!$A780="","",IFERROR(VALUE(TRIM(Raw_Export!E780)),0))</f>
        <v>1</v>
      </c>
      <c r="G780" s="38" t="n">
        <f aca="false">IF(Raw_Export!$A780="","",IFERROR(VALUE(SUBSTITUTE(SUBSTITUTE(UPPER(TRIM(Raw_Export!F780)),"KES",""),",","")),0))</f>
        <v>350</v>
      </c>
      <c r="H780" s="38" t="n">
        <f aca="false">IF(Raw_Export!$A780="","",F780*G780)</f>
        <v>350</v>
      </c>
      <c r="I780" s="36" t="str">
        <f aca="false">IF(Raw_Export!$A780="","",IFERROR(VLOOKUP(LOWER(TRIM(Raw_Export!H780)),Maps!$D$2:$E$12,2,FALSE()),"Other"))</f>
        <v>Cash</v>
      </c>
      <c r="J780" s="36" t="str">
        <f aca="false">IF(Raw_Export!$A780="","",IF(COUNTIF($A$2:A780,A780)&gt;1,"Duplicate",""))</f>
        <v/>
      </c>
      <c r="K780" s="36" t="str">
        <f aca="false">IF(Raw_Export!$A780="","",IF(J780="Duplicate","Duplicate",IF(OR(C780="UNMAPPED",D780="UNMAPPED"),"Unmapped",IF(F780=0,"Blank qty",IF(F780&lt;0,"Return","OK")))))</f>
        <v>OK</v>
      </c>
      <c r="L780" s="36" t="n">
        <f aca="false">IF(Raw_Export!$A780="","",IF(OR(K780="OK",K780="Return"),1,0))</f>
        <v>1</v>
      </c>
      <c r="M780" s="37" t="n">
        <f aca="false">IF(Raw_Export!$A780="","",B780-WEEKDAY(B780,2)+1)</f>
        <v>46265</v>
      </c>
    </row>
    <row r="781" customFormat="false" ht="15" hidden="false" customHeight="false" outlineLevel="0" collapsed="false">
      <c r="A781" s="36" t="str">
        <f aca="false">IF(Raw_Export!$A781="","",TRIM(Raw_Export!A781))</f>
        <v>TXN-100765</v>
      </c>
      <c r="B781" s="37" t="n">
        <f aca="false">IF(Raw_Export!$A781="","",IF(ISNUMBER(Raw_Export!B781),Raw_Export!B781,IF(MID(TRIM(Raw_Export!B781),5,1)="-",DATE(LEFT(TRIM(Raw_Export!B781),4),MID(TRIM(Raw_Export!B781),6,2),RIGHT(TRIM(Raw_Export!B781),2)),DATE(RIGHT(TRIM(Raw_Export!B781),4),MATCH(MID(TRIM(Raw_Export!B781),4,3),{"Jan","Feb","Mar","Apr","May","Jun","Jul","Aug","Sep","Oct","Nov","Dec"},0),LEFT(TRIM(Raw_Export!B781),2)))))</f>
        <v>46270</v>
      </c>
      <c r="C781" s="36" t="str">
        <f aca="false">IF(Raw_Export!$A781="","",IFERROR(VLOOKUP(LOWER(TRIM(Raw_Export!C781)),Maps!$A$2:$B$20,2,FALSE()),"UNMAPPED"))</f>
        <v>Westlands</v>
      </c>
      <c r="D781" s="36" t="str">
        <f aca="false">IF(Raw_Export!$A781="","",IFERROR(VLOOKUP(LOWER(TRIM(Raw_Export!D781)),Maps!$G$2:$I$80,2,FALSE()),"UNMAPPED"))</f>
        <v>Soda 500ml</v>
      </c>
      <c r="E781" s="36" t="str">
        <f aca="false">IF(Raw_Export!$A781="","",IFERROR(VLOOKUP(LOWER(TRIM(Raw_Export!D781)),Maps!$G$2:$I$80,3,FALSE()),"UNMAPPED"))</f>
        <v>Beverages</v>
      </c>
      <c r="F781" s="36" t="n">
        <f aca="false">IF(Raw_Export!$A781="","",IFERROR(VALUE(TRIM(Raw_Export!E781)),0))</f>
        <v>2</v>
      </c>
      <c r="G781" s="38" t="n">
        <f aca="false">IF(Raw_Export!$A781="","",IFERROR(VALUE(SUBSTITUTE(SUBSTITUTE(UPPER(TRIM(Raw_Export!F781)),"KES",""),",","")),0))</f>
        <v>60</v>
      </c>
      <c r="H781" s="38" t="n">
        <f aca="false">IF(Raw_Export!$A781="","",F781*G781)</f>
        <v>120</v>
      </c>
      <c r="I781" s="36" t="str">
        <f aca="false">IF(Raw_Export!$A781="","",IFERROR(VLOOKUP(LOWER(TRIM(Raw_Export!H781)),Maps!$D$2:$E$12,2,FALSE()),"Other"))</f>
        <v>M-Pesa</v>
      </c>
      <c r="J781" s="36" t="str">
        <f aca="false">IF(Raw_Export!$A781="","",IF(COUNTIF($A$2:A781,A781)&gt;1,"Duplicate",""))</f>
        <v/>
      </c>
      <c r="K781" s="36" t="str">
        <f aca="false">IF(Raw_Export!$A781="","",IF(J781="Duplicate","Duplicate",IF(OR(C781="UNMAPPED",D781="UNMAPPED"),"Unmapped",IF(F781=0,"Blank qty",IF(F781&lt;0,"Return","OK")))))</f>
        <v>OK</v>
      </c>
      <c r="L781" s="36" t="n">
        <f aca="false">IF(Raw_Export!$A781="","",IF(OR(K781="OK",K781="Return"),1,0))</f>
        <v>1</v>
      </c>
      <c r="M781" s="37" t="n">
        <f aca="false">IF(Raw_Export!$A781="","",B781-WEEKDAY(B781,2)+1)</f>
        <v>46265</v>
      </c>
    </row>
    <row r="782" customFormat="false" ht="15" hidden="false" customHeight="false" outlineLevel="0" collapsed="false">
      <c r="A782" s="36" t="str">
        <f aca="false">IF(Raw_Export!$A782="","",TRIM(Raw_Export!A782))</f>
        <v>TXN-100766</v>
      </c>
      <c r="B782" s="37" t="n">
        <f aca="false">IF(Raw_Export!$A782="","",IF(ISNUMBER(Raw_Export!B782),Raw_Export!B782,IF(MID(TRIM(Raw_Export!B782),5,1)="-",DATE(LEFT(TRIM(Raw_Export!B782),4),MID(TRIM(Raw_Export!B782),6,2),RIGHT(TRIM(Raw_Export!B782),2)),DATE(RIGHT(TRIM(Raw_Export!B782),4),MATCH(MID(TRIM(Raw_Export!B782),4,3),{"Jan","Feb","Mar","Apr","May","Jun","Jul","Aug","Sep","Oct","Nov","Dec"},0),LEFT(TRIM(Raw_Export!B782),2)))))</f>
        <v>46270</v>
      </c>
      <c r="C782" s="36" t="str">
        <f aca="false">IF(Raw_Export!$A782="","",IFERROR(VLOOKUP(LOWER(TRIM(Raw_Export!C782)),Maps!$A$2:$B$20,2,FALSE()),"UNMAPPED"))</f>
        <v>Westlands</v>
      </c>
      <c r="D782" s="36" t="str">
        <f aca="false">IF(Raw_Export!$A782="","",IFERROR(VLOOKUP(LOWER(TRIM(Raw_Export!D782)),Maps!$G$2:$I$80,2,FALSE()),"UNMAPPED"))</f>
        <v>Washing Powder 1kg</v>
      </c>
      <c r="E782" s="36" t="str">
        <f aca="false">IF(Raw_Export!$A782="","",IFERROR(VLOOKUP(LOWER(TRIM(Raw_Export!D782)),Maps!$G$2:$I$80,3,FALSE()),"UNMAPPED"))</f>
        <v>Household</v>
      </c>
      <c r="F782" s="36" t="n">
        <f aca="false">IF(Raw_Export!$A782="","",IFERROR(VALUE(TRIM(Raw_Export!E782)),0))</f>
        <v>1</v>
      </c>
      <c r="G782" s="38" t="n">
        <f aca="false">IF(Raw_Export!$A782="","",IFERROR(VALUE(SUBSTITUTE(SUBSTITUTE(UPPER(TRIM(Raw_Export!F782)),"KES",""),",","")),0))</f>
        <v>280</v>
      </c>
      <c r="H782" s="38" t="n">
        <f aca="false">IF(Raw_Export!$A782="","",F782*G782)</f>
        <v>280</v>
      </c>
      <c r="I782" s="36" t="str">
        <f aca="false">IF(Raw_Export!$A782="","",IFERROR(VLOOKUP(LOWER(TRIM(Raw_Export!H782)),Maps!$D$2:$E$12,2,FALSE()),"Other"))</f>
        <v>Card</v>
      </c>
      <c r="J782" s="36" t="str">
        <f aca="false">IF(Raw_Export!$A782="","",IF(COUNTIF($A$2:A782,A782)&gt;1,"Duplicate",""))</f>
        <v/>
      </c>
      <c r="K782" s="36" t="str">
        <f aca="false">IF(Raw_Export!$A782="","",IF(J782="Duplicate","Duplicate",IF(OR(C782="UNMAPPED",D782="UNMAPPED"),"Unmapped",IF(F782=0,"Blank qty",IF(F782&lt;0,"Return","OK")))))</f>
        <v>OK</v>
      </c>
      <c r="L782" s="36" t="n">
        <f aca="false">IF(Raw_Export!$A782="","",IF(OR(K782="OK",K782="Return"),1,0))</f>
        <v>1</v>
      </c>
      <c r="M782" s="37" t="n">
        <f aca="false">IF(Raw_Export!$A782="","",B782-WEEKDAY(B782,2)+1)</f>
        <v>46265</v>
      </c>
    </row>
    <row r="783" customFormat="false" ht="15" hidden="false" customHeight="false" outlineLevel="0" collapsed="false">
      <c r="A783" s="36" t="str">
        <f aca="false">IF(Raw_Export!$A783="","",TRIM(Raw_Export!A783))</f>
        <v>TXN-100767</v>
      </c>
      <c r="B783" s="37" t="n">
        <f aca="false">IF(Raw_Export!$A783="","",IF(ISNUMBER(Raw_Export!B783),Raw_Export!B783,IF(MID(TRIM(Raw_Export!B783),5,1)="-",DATE(LEFT(TRIM(Raw_Export!B783),4),MID(TRIM(Raw_Export!B783),6,2),RIGHT(TRIM(Raw_Export!B783),2)),DATE(RIGHT(TRIM(Raw_Export!B783),4),MATCH(MID(TRIM(Raw_Export!B783),4,3),{"Jan","Feb","Mar","Apr","May","Jun","Jul","Aug","Sep","Oct","Nov","Dec"},0),LEFT(TRIM(Raw_Export!B783),2)))))</f>
        <v>46270</v>
      </c>
      <c r="C783" s="36" t="str">
        <f aca="false">IF(Raw_Export!$A783="","",IFERROR(VLOOKUP(LOWER(TRIM(Raw_Export!C783)),Maps!$A$2:$B$20,2,FALSE()),"UNMAPPED"))</f>
        <v>Westlands</v>
      </c>
      <c r="D783" s="36" t="str">
        <f aca="false">IF(Raw_Export!$A783="","",IFERROR(VLOOKUP(LOWER(TRIM(Raw_Export!D783)),Maps!$G$2:$I$80,2,FALSE()),"UNMAPPED"))</f>
        <v>Bath Soap 175g</v>
      </c>
      <c r="E783" s="36" t="str">
        <f aca="false">IF(Raw_Export!$A783="","",IFERROR(VLOOKUP(LOWER(TRIM(Raw_Export!D783)),Maps!$G$2:$I$80,3,FALSE()),"UNMAPPED"))</f>
        <v>Personal Care</v>
      </c>
      <c r="F783" s="36" t="n">
        <f aca="false">IF(Raw_Export!$A783="","",IFERROR(VALUE(TRIM(Raw_Export!E783)),0))</f>
        <v>1</v>
      </c>
      <c r="G783" s="38" t="n">
        <f aca="false">IF(Raw_Export!$A783="","",IFERROR(VALUE(SUBSTITUTE(SUBSTITUTE(UPPER(TRIM(Raw_Export!F783)),"KES",""),",","")),0))</f>
        <v>85</v>
      </c>
      <c r="H783" s="38" t="n">
        <f aca="false">IF(Raw_Export!$A783="","",F783*G783)</f>
        <v>85</v>
      </c>
      <c r="I783" s="36" t="str">
        <f aca="false">IF(Raw_Export!$A783="","",IFERROR(VLOOKUP(LOWER(TRIM(Raw_Export!H783)),Maps!$D$2:$E$12,2,FALSE()),"Other"))</f>
        <v>M-Pesa</v>
      </c>
      <c r="J783" s="36" t="str">
        <f aca="false">IF(Raw_Export!$A783="","",IF(COUNTIF($A$2:A783,A783)&gt;1,"Duplicate",""))</f>
        <v/>
      </c>
      <c r="K783" s="36" t="str">
        <f aca="false">IF(Raw_Export!$A783="","",IF(J783="Duplicate","Duplicate",IF(OR(C783="UNMAPPED",D783="UNMAPPED"),"Unmapped",IF(F783=0,"Blank qty",IF(F783&lt;0,"Return","OK")))))</f>
        <v>OK</v>
      </c>
      <c r="L783" s="36" t="n">
        <f aca="false">IF(Raw_Export!$A783="","",IF(OR(K783="OK",K783="Return"),1,0))</f>
        <v>1</v>
      </c>
      <c r="M783" s="37" t="n">
        <f aca="false">IF(Raw_Export!$A783="","",B783-WEEKDAY(B783,2)+1)</f>
        <v>46265</v>
      </c>
    </row>
    <row r="784" customFormat="false" ht="15" hidden="false" customHeight="false" outlineLevel="0" collapsed="false">
      <c r="A784" s="36" t="str">
        <f aca="false">IF(Raw_Export!$A784="","",TRIM(Raw_Export!A784))</f>
        <v>TXN-100768</v>
      </c>
      <c r="B784" s="37" t="n">
        <f aca="false">IF(Raw_Export!$A784="","",IF(ISNUMBER(Raw_Export!B784),Raw_Export!B784,IF(MID(TRIM(Raw_Export!B784),5,1)="-",DATE(LEFT(TRIM(Raw_Export!B784),4),MID(TRIM(Raw_Export!B784),6,2),RIGHT(TRIM(Raw_Export!B784),2)),DATE(RIGHT(TRIM(Raw_Export!B784),4),MATCH(MID(TRIM(Raw_Export!B784),4,3),{"Jan","Feb","Mar","Apr","May","Jun","Jul","Aug","Sep","Oct","Nov","Dec"},0),LEFT(TRIM(Raw_Export!B784),2)))))</f>
        <v>46270</v>
      </c>
      <c r="C784" s="36" t="str">
        <f aca="false">IF(Raw_Export!$A784="","",IFERROR(VLOOKUP(LOWER(TRIM(Raw_Export!C784)),Maps!$A$2:$B$20,2,FALSE()),"UNMAPPED"))</f>
        <v>Westlands</v>
      </c>
      <c r="D784" s="36" t="str">
        <f aca="false">IF(Raw_Export!$A784="","",IFERROR(VLOOKUP(LOWER(TRIM(Raw_Export!D784)),Maps!$G$2:$I$80,2,FALSE()),"UNMAPPED"))</f>
        <v>Bath Soap 175g</v>
      </c>
      <c r="E784" s="36" t="str">
        <f aca="false">IF(Raw_Export!$A784="","",IFERROR(VLOOKUP(LOWER(TRIM(Raw_Export!D784)),Maps!$G$2:$I$80,3,FALSE()),"UNMAPPED"))</f>
        <v>Personal Care</v>
      </c>
      <c r="F784" s="36" t="n">
        <f aca="false">IF(Raw_Export!$A784="","",IFERROR(VALUE(TRIM(Raw_Export!E784)),0))</f>
        <v>1</v>
      </c>
      <c r="G784" s="38" t="n">
        <f aca="false">IF(Raw_Export!$A784="","",IFERROR(VALUE(SUBSTITUTE(SUBSTITUTE(UPPER(TRIM(Raw_Export!F784)),"KES",""),",","")),0))</f>
        <v>85</v>
      </c>
      <c r="H784" s="38" t="n">
        <f aca="false">IF(Raw_Export!$A784="","",F784*G784)</f>
        <v>85</v>
      </c>
      <c r="I784" s="36" t="str">
        <f aca="false">IF(Raw_Export!$A784="","",IFERROR(VLOOKUP(LOWER(TRIM(Raw_Export!H784)),Maps!$D$2:$E$12,2,FALSE()),"Other"))</f>
        <v>M-Pesa</v>
      </c>
      <c r="J784" s="36" t="str">
        <f aca="false">IF(Raw_Export!$A784="","",IF(COUNTIF($A$2:A784,A784)&gt;1,"Duplicate",""))</f>
        <v/>
      </c>
      <c r="K784" s="36" t="str">
        <f aca="false">IF(Raw_Export!$A784="","",IF(J784="Duplicate","Duplicate",IF(OR(C784="UNMAPPED",D784="UNMAPPED"),"Unmapped",IF(F784=0,"Blank qty",IF(F784&lt;0,"Return","OK")))))</f>
        <v>OK</v>
      </c>
      <c r="L784" s="36" t="n">
        <f aca="false">IF(Raw_Export!$A784="","",IF(OR(K784="OK",K784="Return"),1,0))</f>
        <v>1</v>
      </c>
      <c r="M784" s="37" t="n">
        <f aca="false">IF(Raw_Export!$A784="","",B784-WEEKDAY(B784,2)+1)</f>
        <v>46265</v>
      </c>
    </row>
    <row r="785" customFormat="false" ht="15" hidden="false" customHeight="false" outlineLevel="0" collapsed="false">
      <c r="A785" s="36" t="str">
        <f aca="false">IF(Raw_Export!$A785="","",TRIM(Raw_Export!A785))</f>
        <v>TXN-100769</v>
      </c>
      <c r="B785" s="37" t="n">
        <f aca="false">IF(Raw_Export!$A785="","",IF(ISNUMBER(Raw_Export!B785),Raw_Export!B785,IF(MID(TRIM(Raw_Export!B785),5,1)="-",DATE(LEFT(TRIM(Raw_Export!B785),4),MID(TRIM(Raw_Export!B785),6,2),RIGHT(TRIM(Raw_Export!B785),2)),DATE(RIGHT(TRIM(Raw_Export!B785),4),MATCH(MID(TRIM(Raw_Export!B785),4,3),{"Jan","Feb","Mar","Apr","May","Jun","Jul","Aug","Sep","Oct","Nov","Dec"},0),LEFT(TRIM(Raw_Export!B785),2)))))</f>
        <v>46270</v>
      </c>
      <c r="C785" s="36" t="str">
        <f aca="false">IF(Raw_Export!$A785="","",IFERROR(VLOOKUP(LOWER(TRIM(Raw_Export!C785)),Maps!$A$2:$B$20,2,FALSE()),"UNMAPPED"))</f>
        <v>Westlands</v>
      </c>
      <c r="D785" s="36" t="str">
        <f aca="false">IF(Raw_Export!$A785="","",IFERROR(VLOOKUP(LOWER(TRIM(Raw_Export!D785)),Maps!$G$2:$I$80,2,FALSE()),"UNMAPPED"))</f>
        <v>Sanitary Pads 8pk</v>
      </c>
      <c r="E785" s="36" t="str">
        <f aca="false">IF(Raw_Export!$A785="","",IFERROR(VLOOKUP(LOWER(TRIM(Raw_Export!D785)),Maps!$G$2:$I$80,3,FALSE()),"UNMAPPED"))</f>
        <v>Personal Care</v>
      </c>
      <c r="F785" s="36" t="n">
        <f aca="false">IF(Raw_Export!$A785="","",IFERROR(VALUE(TRIM(Raw_Export!E785)),0))</f>
        <v>1</v>
      </c>
      <c r="G785" s="38" t="n">
        <f aca="false">IF(Raw_Export!$A785="","",IFERROR(VALUE(SUBSTITUTE(SUBSTITUTE(UPPER(TRIM(Raw_Export!F785)),"KES",""),",","")),0))</f>
        <v>130</v>
      </c>
      <c r="H785" s="38" t="n">
        <f aca="false">IF(Raw_Export!$A785="","",F785*G785)</f>
        <v>130</v>
      </c>
      <c r="I785" s="36" t="str">
        <f aca="false">IF(Raw_Export!$A785="","",IFERROR(VLOOKUP(LOWER(TRIM(Raw_Export!H785)),Maps!$D$2:$E$12,2,FALSE()),"Other"))</f>
        <v>M-Pesa</v>
      </c>
      <c r="J785" s="36" t="str">
        <f aca="false">IF(Raw_Export!$A785="","",IF(COUNTIF($A$2:A785,A785)&gt;1,"Duplicate",""))</f>
        <v/>
      </c>
      <c r="K785" s="36" t="str">
        <f aca="false">IF(Raw_Export!$A785="","",IF(J785="Duplicate","Duplicate",IF(OR(C785="UNMAPPED",D785="UNMAPPED"),"Unmapped",IF(F785=0,"Blank qty",IF(F785&lt;0,"Return","OK")))))</f>
        <v>OK</v>
      </c>
      <c r="L785" s="36" t="n">
        <f aca="false">IF(Raw_Export!$A785="","",IF(OR(K785="OK",K785="Return"),1,0))</f>
        <v>1</v>
      </c>
      <c r="M785" s="37" t="n">
        <f aca="false">IF(Raw_Export!$A785="","",B785-WEEKDAY(B785,2)+1)</f>
        <v>46265</v>
      </c>
    </row>
    <row r="786" customFormat="false" ht="15" hidden="false" customHeight="false" outlineLevel="0" collapsed="false">
      <c r="A786" s="36" t="str">
        <f aca="false">IF(Raw_Export!$A786="","",TRIM(Raw_Export!A786))</f>
        <v>TXN-100770</v>
      </c>
      <c r="B786" s="37" t="n">
        <f aca="false">IF(Raw_Export!$A786="","",IF(ISNUMBER(Raw_Export!B786),Raw_Export!B786,IF(MID(TRIM(Raw_Export!B786),5,1)="-",DATE(LEFT(TRIM(Raw_Export!B786),4),MID(TRIM(Raw_Export!B786),6,2),RIGHT(TRIM(Raw_Export!B786),2)),DATE(RIGHT(TRIM(Raw_Export!B786),4),MATCH(MID(TRIM(Raw_Export!B786),4,3),{"Jan","Feb","Mar","Apr","May","Jun","Jul","Aug","Sep","Oct","Nov","Dec"},0),LEFT(TRIM(Raw_Export!B786),2)))))</f>
        <v>46270</v>
      </c>
      <c r="C786" s="36" t="str">
        <f aca="false">IF(Raw_Export!$A786="","",IFERROR(VLOOKUP(LOWER(TRIM(Raw_Export!C786)),Maps!$A$2:$B$20,2,FALSE()),"UNMAPPED"))</f>
        <v>Westlands</v>
      </c>
      <c r="D786" s="36" t="str">
        <f aca="false">IF(Raw_Export!$A786="","",IFERROR(VLOOKUP(LOWER(TRIM(Raw_Export!D786)),Maps!$G$2:$I$80,2,FALSE()),"UNMAPPED"))</f>
        <v>Bottled Water 1.5L</v>
      </c>
      <c r="E786" s="36" t="str">
        <f aca="false">IF(Raw_Export!$A786="","",IFERROR(VLOOKUP(LOWER(TRIM(Raw_Export!D786)),Maps!$G$2:$I$80,3,FALSE()),"UNMAPPED"))</f>
        <v>Beverages</v>
      </c>
      <c r="F786" s="36" t="n">
        <f aca="false">IF(Raw_Export!$A786="","",IFERROR(VALUE(TRIM(Raw_Export!E786)),0))</f>
        <v>3</v>
      </c>
      <c r="G786" s="38" t="n">
        <f aca="false">IF(Raw_Export!$A786="","",IFERROR(VALUE(SUBSTITUTE(SUBSTITUTE(UPPER(TRIM(Raw_Export!F786)),"KES",""),",","")),0))</f>
        <v>90</v>
      </c>
      <c r="H786" s="38" t="n">
        <f aca="false">IF(Raw_Export!$A786="","",F786*G786)</f>
        <v>270</v>
      </c>
      <c r="I786" s="36" t="str">
        <f aca="false">IF(Raw_Export!$A786="","",IFERROR(VLOOKUP(LOWER(TRIM(Raw_Export!H786)),Maps!$D$2:$E$12,2,FALSE()),"Other"))</f>
        <v>Cash</v>
      </c>
      <c r="J786" s="36" t="str">
        <f aca="false">IF(Raw_Export!$A786="","",IF(COUNTIF($A$2:A786,A786)&gt;1,"Duplicate",""))</f>
        <v/>
      </c>
      <c r="K786" s="36" t="str">
        <f aca="false">IF(Raw_Export!$A786="","",IF(J786="Duplicate","Duplicate",IF(OR(C786="UNMAPPED",D786="UNMAPPED"),"Unmapped",IF(F786=0,"Blank qty",IF(F786&lt;0,"Return","OK")))))</f>
        <v>OK</v>
      </c>
      <c r="L786" s="36" t="n">
        <f aca="false">IF(Raw_Export!$A786="","",IF(OR(K786="OK",K786="Return"),1,0))</f>
        <v>1</v>
      </c>
      <c r="M786" s="37" t="n">
        <f aca="false">IF(Raw_Export!$A786="","",B786-WEEKDAY(B786,2)+1)</f>
        <v>46265</v>
      </c>
    </row>
    <row r="787" customFormat="false" ht="15" hidden="false" customHeight="false" outlineLevel="0" collapsed="false">
      <c r="A787" s="36" t="str">
        <f aca="false">IF(Raw_Export!$A787="","",TRIM(Raw_Export!A787))</f>
        <v>TXN-100771</v>
      </c>
      <c r="B787" s="37" t="n">
        <f aca="false">IF(Raw_Export!$A787="","",IF(ISNUMBER(Raw_Export!B787),Raw_Export!B787,IF(MID(TRIM(Raw_Export!B787),5,1)="-",DATE(LEFT(TRIM(Raw_Export!B787),4),MID(TRIM(Raw_Export!B787),6,2),RIGHT(TRIM(Raw_Export!B787),2)),DATE(RIGHT(TRIM(Raw_Export!B787),4),MATCH(MID(TRIM(Raw_Export!B787),4,3),{"Jan","Feb","Mar","Apr","May","Jun","Jul","Aug","Sep","Oct","Nov","Dec"},0),LEFT(TRIM(Raw_Export!B787),2)))))</f>
        <v>46270</v>
      </c>
      <c r="C787" s="36" t="str">
        <f aca="false">IF(Raw_Export!$A787="","",IFERROR(VLOOKUP(LOWER(TRIM(Raw_Export!C787)),Maps!$A$2:$B$20,2,FALSE()),"UNMAPPED"))</f>
        <v>Westlands</v>
      </c>
      <c r="D787" s="36" t="str">
        <f aca="false">IF(Raw_Export!$A787="","",IFERROR(VLOOKUP(LOWER(TRIM(Raw_Export!D787)),Maps!$G$2:$I$80,2,FALSE()),"UNMAPPED"))</f>
        <v>Toilet Paper 10pk</v>
      </c>
      <c r="E787" s="36" t="str">
        <f aca="false">IF(Raw_Export!$A787="","",IFERROR(VLOOKUP(LOWER(TRIM(Raw_Export!D787)),Maps!$G$2:$I$80,3,FALSE()),"UNMAPPED"))</f>
        <v>Household</v>
      </c>
      <c r="F787" s="36" t="n">
        <f aca="false">IF(Raw_Export!$A787="","",IFERROR(VALUE(TRIM(Raw_Export!E787)),0))</f>
        <v>3</v>
      </c>
      <c r="G787" s="38" t="n">
        <f aca="false">IF(Raw_Export!$A787="","",IFERROR(VALUE(SUBSTITUTE(SUBSTITUTE(UPPER(TRIM(Raw_Export!F787)),"KES",""),",","")),0))</f>
        <v>380</v>
      </c>
      <c r="H787" s="38" t="n">
        <f aca="false">IF(Raw_Export!$A787="","",F787*G787)</f>
        <v>1140</v>
      </c>
      <c r="I787" s="36" t="str">
        <f aca="false">IF(Raw_Export!$A787="","",IFERROR(VLOOKUP(LOWER(TRIM(Raw_Export!H787)),Maps!$D$2:$E$12,2,FALSE()),"Other"))</f>
        <v>M-Pesa</v>
      </c>
      <c r="J787" s="36" t="str">
        <f aca="false">IF(Raw_Export!$A787="","",IF(COUNTIF($A$2:A787,A787)&gt;1,"Duplicate",""))</f>
        <v/>
      </c>
      <c r="K787" s="36" t="str">
        <f aca="false">IF(Raw_Export!$A787="","",IF(J787="Duplicate","Duplicate",IF(OR(C787="UNMAPPED",D787="UNMAPPED"),"Unmapped",IF(F787=0,"Blank qty",IF(F787&lt;0,"Return","OK")))))</f>
        <v>OK</v>
      </c>
      <c r="L787" s="36" t="n">
        <f aca="false">IF(Raw_Export!$A787="","",IF(OR(K787="OK",K787="Return"),1,0))</f>
        <v>1</v>
      </c>
      <c r="M787" s="37" t="n">
        <f aca="false">IF(Raw_Export!$A787="","",B787-WEEKDAY(B787,2)+1)</f>
        <v>46265</v>
      </c>
    </row>
    <row r="788" customFormat="false" ht="15" hidden="false" customHeight="false" outlineLevel="0" collapsed="false">
      <c r="A788" s="36" t="str">
        <f aca="false">IF(Raw_Export!$A788="","",TRIM(Raw_Export!A788))</f>
        <v>TXN-100772</v>
      </c>
      <c r="B788" s="37" t="n">
        <f aca="false">IF(Raw_Export!$A788="","",IF(ISNUMBER(Raw_Export!B788),Raw_Export!B788,IF(MID(TRIM(Raw_Export!B788),5,1)="-",DATE(LEFT(TRIM(Raw_Export!B788),4),MID(TRIM(Raw_Export!B788),6,2),RIGHT(TRIM(Raw_Export!B788),2)),DATE(RIGHT(TRIM(Raw_Export!B788),4),MATCH(MID(TRIM(Raw_Export!B788),4,3),{"Jan","Feb","Mar","Apr","May","Jun","Jul","Aug","Sep","Oct","Nov","Dec"},0),LEFT(TRIM(Raw_Export!B788),2)))))</f>
        <v>46270</v>
      </c>
      <c r="C788" s="36" t="str">
        <f aca="false">IF(Raw_Export!$A788="","",IFERROR(VLOOKUP(LOWER(TRIM(Raw_Export!C788)),Maps!$A$2:$B$20,2,FALSE()),"UNMAPPED"))</f>
        <v>Westlands</v>
      </c>
      <c r="D788" s="36" t="str">
        <f aca="false">IF(Raw_Export!$A788="","",IFERROR(VLOOKUP(LOWER(TRIM(Raw_Export!D788)),Maps!$G$2:$I$80,2,FALSE()),"UNMAPPED"))</f>
        <v>Cooking Oil 1L</v>
      </c>
      <c r="E788" s="36" t="str">
        <f aca="false">IF(Raw_Export!$A788="","",IFERROR(VLOOKUP(LOWER(TRIM(Raw_Export!D788)),Maps!$G$2:$I$80,3,FALSE()),"UNMAPPED"))</f>
        <v>Staples</v>
      </c>
      <c r="F788" s="36" t="n">
        <f aca="false">IF(Raw_Export!$A788="","",IFERROR(VALUE(TRIM(Raw_Export!E788)),0))</f>
        <v>1</v>
      </c>
      <c r="G788" s="38" t="n">
        <f aca="false">IF(Raw_Export!$A788="","",IFERROR(VALUE(SUBSTITUTE(SUBSTITUTE(UPPER(TRIM(Raw_Export!F788)),"KES",""),",","")),0))</f>
        <v>330</v>
      </c>
      <c r="H788" s="38" t="n">
        <f aca="false">IF(Raw_Export!$A788="","",F788*G788)</f>
        <v>330</v>
      </c>
      <c r="I788" s="36" t="str">
        <f aca="false">IF(Raw_Export!$A788="","",IFERROR(VLOOKUP(LOWER(TRIM(Raw_Export!H788)),Maps!$D$2:$E$12,2,FALSE()),"Other"))</f>
        <v>Cash</v>
      </c>
      <c r="J788" s="36" t="str">
        <f aca="false">IF(Raw_Export!$A788="","",IF(COUNTIF($A$2:A788,A788)&gt;1,"Duplicate",""))</f>
        <v/>
      </c>
      <c r="K788" s="36" t="str">
        <f aca="false">IF(Raw_Export!$A788="","",IF(J788="Duplicate","Duplicate",IF(OR(C788="UNMAPPED",D788="UNMAPPED"),"Unmapped",IF(F788=0,"Blank qty",IF(F788&lt;0,"Return","OK")))))</f>
        <v>OK</v>
      </c>
      <c r="L788" s="36" t="n">
        <f aca="false">IF(Raw_Export!$A788="","",IF(OR(K788="OK",K788="Return"),1,0))</f>
        <v>1</v>
      </c>
      <c r="M788" s="37" t="n">
        <f aca="false">IF(Raw_Export!$A788="","",B788-WEEKDAY(B788,2)+1)</f>
        <v>46265</v>
      </c>
    </row>
    <row r="789" customFormat="false" ht="15" hidden="false" customHeight="false" outlineLevel="0" collapsed="false">
      <c r="A789" s="36" t="str">
        <f aca="false">IF(Raw_Export!$A789="","",TRIM(Raw_Export!A789))</f>
        <v>TXN-100773</v>
      </c>
      <c r="B789" s="37" t="n">
        <f aca="false">IF(Raw_Export!$A789="","",IF(ISNUMBER(Raw_Export!B789),Raw_Export!B789,IF(MID(TRIM(Raw_Export!B789),5,1)="-",DATE(LEFT(TRIM(Raw_Export!B789),4),MID(TRIM(Raw_Export!B789),6,2),RIGHT(TRIM(Raw_Export!B789),2)),DATE(RIGHT(TRIM(Raw_Export!B789),4),MATCH(MID(TRIM(Raw_Export!B789),4,3),{"Jan","Feb","Mar","Apr","May","Jun","Jul","Aug","Sep","Oct","Nov","Dec"},0),LEFT(TRIM(Raw_Export!B789),2)))))</f>
        <v>46270</v>
      </c>
      <c r="C789" s="36" t="str">
        <f aca="false">IF(Raw_Export!$A789="","",IFERROR(VLOOKUP(LOWER(TRIM(Raw_Export!C789)),Maps!$A$2:$B$20,2,FALSE()),"UNMAPPED"))</f>
        <v>Westlands</v>
      </c>
      <c r="D789" s="36" t="str">
        <f aca="false">IF(Raw_Export!$A789="","",IFERROR(VLOOKUP(LOWER(TRIM(Raw_Export!D789)),Maps!$G$2:$I$80,2,FALSE()),"UNMAPPED"))</f>
        <v>Matches 10pk</v>
      </c>
      <c r="E789" s="36" t="str">
        <f aca="false">IF(Raw_Export!$A789="","",IFERROR(VLOOKUP(LOWER(TRIM(Raw_Export!D789)),Maps!$G$2:$I$80,3,FALSE()),"UNMAPPED"))</f>
        <v>Household</v>
      </c>
      <c r="F789" s="36" t="n">
        <f aca="false">IF(Raw_Export!$A789="","",IFERROR(VALUE(TRIM(Raw_Export!E789)),0))</f>
        <v>1</v>
      </c>
      <c r="G789" s="38" t="n">
        <f aca="false">IF(Raw_Export!$A789="","",IFERROR(VALUE(SUBSTITUTE(SUBSTITUTE(UPPER(TRIM(Raw_Export!F789)),"KES",""),",","")),0))</f>
        <v>50</v>
      </c>
      <c r="H789" s="38" t="n">
        <f aca="false">IF(Raw_Export!$A789="","",F789*G789)</f>
        <v>50</v>
      </c>
      <c r="I789" s="36" t="str">
        <f aca="false">IF(Raw_Export!$A789="","",IFERROR(VLOOKUP(LOWER(TRIM(Raw_Export!H789)),Maps!$D$2:$E$12,2,FALSE()),"Other"))</f>
        <v>M-Pesa</v>
      </c>
      <c r="J789" s="36" t="str">
        <f aca="false">IF(Raw_Export!$A789="","",IF(COUNTIF($A$2:A789,A789)&gt;1,"Duplicate",""))</f>
        <v/>
      </c>
      <c r="K789" s="36" t="str">
        <f aca="false">IF(Raw_Export!$A789="","",IF(J789="Duplicate","Duplicate",IF(OR(C789="UNMAPPED",D789="UNMAPPED"),"Unmapped",IF(F789=0,"Blank qty",IF(F789&lt;0,"Return","OK")))))</f>
        <v>OK</v>
      </c>
      <c r="L789" s="36" t="n">
        <f aca="false">IF(Raw_Export!$A789="","",IF(OR(K789="OK",K789="Return"),1,0))</f>
        <v>1</v>
      </c>
      <c r="M789" s="37" t="n">
        <f aca="false">IF(Raw_Export!$A789="","",B789-WEEKDAY(B789,2)+1)</f>
        <v>46265</v>
      </c>
    </row>
    <row r="790" customFormat="false" ht="15" hidden="false" customHeight="false" outlineLevel="0" collapsed="false">
      <c r="A790" s="36" t="str">
        <f aca="false">IF(Raw_Export!$A790="","",TRIM(Raw_Export!A790))</f>
        <v>TXN-100774</v>
      </c>
      <c r="B790" s="37" t="n">
        <f aca="false">IF(Raw_Export!$A790="","",IF(ISNUMBER(Raw_Export!B790),Raw_Export!B790,IF(MID(TRIM(Raw_Export!B790),5,1)="-",DATE(LEFT(TRIM(Raw_Export!B790),4),MID(TRIM(Raw_Export!B790),6,2),RIGHT(TRIM(Raw_Export!B790),2)),DATE(RIGHT(TRIM(Raw_Export!B790),4),MATCH(MID(TRIM(Raw_Export!B790),4,3),{"Jan","Feb","Mar","Apr","May","Jun","Jul","Aug","Sep","Oct","Nov","Dec"},0),LEFT(TRIM(Raw_Export!B790),2)))))</f>
        <v>46270</v>
      </c>
      <c r="C790" s="36" t="str">
        <f aca="false">IF(Raw_Export!$A790="","",IFERROR(VLOOKUP(LOWER(TRIM(Raw_Export!C790)),Maps!$A$2:$B$20,2,FALSE()),"UNMAPPED"))</f>
        <v>Westlands</v>
      </c>
      <c r="D790" s="36" t="str">
        <f aca="false">IF(Raw_Export!$A790="","",IFERROR(VLOOKUP(LOWER(TRIM(Raw_Export!D790)),Maps!$G$2:$I$80,2,FALSE()),"UNMAPPED"))</f>
        <v>Bread Loaf 400g</v>
      </c>
      <c r="E790" s="36" t="str">
        <f aca="false">IF(Raw_Export!$A790="","",IFERROR(VLOOKUP(LOWER(TRIM(Raw_Export!D790)),Maps!$G$2:$I$80,3,FALSE()),"UNMAPPED"))</f>
        <v>Snacks</v>
      </c>
      <c r="F790" s="36" t="n">
        <f aca="false">IF(Raw_Export!$A790="","",IFERROR(VALUE(TRIM(Raw_Export!E790)),0))</f>
        <v>1</v>
      </c>
      <c r="G790" s="38" t="n">
        <f aca="false">IF(Raw_Export!$A790="","",IFERROR(VALUE(SUBSTITUTE(SUBSTITUTE(UPPER(TRIM(Raw_Export!F790)),"KES",""),",","")),0))</f>
        <v>65</v>
      </c>
      <c r="H790" s="38" t="n">
        <f aca="false">IF(Raw_Export!$A790="","",F790*G790)</f>
        <v>65</v>
      </c>
      <c r="I790" s="36" t="str">
        <f aca="false">IF(Raw_Export!$A790="","",IFERROR(VLOOKUP(LOWER(TRIM(Raw_Export!H790)),Maps!$D$2:$E$12,2,FALSE()),"Other"))</f>
        <v>Cash</v>
      </c>
      <c r="J790" s="36" t="str">
        <f aca="false">IF(Raw_Export!$A790="","",IF(COUNTIF($A$2:A790,A790)&gt;1,"Duplicate",""))</f>
        <v/>
      </c>
      <c r="K790" s="36" t="str">
        <f aca="false">IF(Raw_Export!$A790="","",IF(J790="Duplicate","Duplicate",IF(OR(C790="UNMAPPED",D790="UNMAPPED"),"Unmapped",IF(F790=0,"Blank qty",IF(F790&lt;0,"Return","OK")))))</f>
        <v>OK</v>
      </c>
      <c r="L790" s="36" t="n">
        <f aca="false">IF(Raw_Export!$A790="","",IF(OR(K790="OK",K790="Return"),1,0))</f>
        <v>1</v>
      </c>
      <c r="M790" s="37" t="n">
        <f aca="false">IF(Raw_Export!$A790="","",B790-WEEKDAY(B790,2)+1)</f>
        <v>46265</v>
      </c>
    </row>
    <row r="791" customFormat="false" ht="15" hidden="false" customHeight="false" outlineLevel="0" collapsed="false">
      <c r="A791" s="36" t="str">
        <f aca="false">IF(Raw_Export!$A791="","",TRIM(Raw_Export!A791))</f>
        <v>TXN-100775</v>
      </c>
      <c r="B791" s="37" t="n">
        <f aca="false">IF(Raw_Export!$A791="","",IF(ISNUMBER(Raw_Export!B791),Raw_Export!B791,IF(MID(TRIM(Raw_Export!B791),5,1)="-",DATE(LEFT(TRIM(Raw_Export!B791),4),MID(TRIM(Raw_Export!B791),6,2),RIGHT(TRIM(Raw_Export!B791),2)),DATE(RIGHT(TRIM(Raw_Export!B791),4),MATCH(MID(TRIM(Raw_Export!B791),4,3),{"Jan","Feb","Mar","Apr","May","Jun","Jul","Aug","Sep","Oct","Nov","Dec"},0),LEFT(TRIM(Raw_Export!B791),2)))))</f>
        <v>46270</v>
      </c>
      <c r="C791" s="36" t="str">
        <f aca="false">IF(Raw_Export!$A791="","",IFERROR(VLOOKUP(LOWER(TRIM(Raw_Export!C791)),Maps!$A$2:$B$20,2,FALSE()),"UNMAPPED"))</f>
        <v>Westlands</v>
      </c>
      <c r="D791" s="36" t="str">
        <f aca="false">IF(Raw_Export!$A791="","",IFERROR(VLOOKUP(LOWER(TRIM(Raw_Export!D791)),Maps!$G$2:$I$80,2,FALSE()),"UNMAPPED"))</f>
        <v>Tea Leaves 250g</v>
      </c>
      <c r="E791" s="36" t="str">
        <f aca="false">IF(Raw_Export!$A791="","",IFERROR(VLOOKUP(LOWER(TRIM(Raw_Export!D791)),Maps!$G$2:$I$80,3,FALSE()),"UNMAPPED"))</f>
        <v>Beverages</v>
      </c>
      <c r="F791" s="36" t="n">
        <f aca="false">IF(Raw_Export!$A791="","",IFERROR(VALUE(TRIM(Raw_Export!E791)),0))</f>
        <v>3</v>
      </c>
      <c r="G791" s="38" t="n">
        <f aca="false">IF(Raw_Export!$A791="","",IFERROR(VALUE(SUBSTITUTE(SUBSTITUTE(UPPER(TRIM(Raw_Export!F791)),"KES",""),",","")),0))</f>
        <v>150</v>
      </c>
      <c r="H791" s="38" t="n">
        <f aca="false">IF(Raw_Export!$A791="","",F791*G791)</f>
        <v>450</v>
      </c>
      <c r="I791" s="36" t="str">
        <f aca="false">IF(Raw_Export!$A791="","",IFERROR(VLOOKUP(LOWER(TRIM(Raw_Export!H791)),Maps!$D$2:$E$12,2,FALSE()),"Other"))</f>
        <v>M-Pesa</v>
      </c>
      <c r="J791" s="36" t="str">
        <f aca="false">IF(Raw_Export!$A791="","",IF(COUNTIF($A$2:A791,A791)&gt;1,"Duplicate",""))</f>
        <v/>
      </c>
      <c r="K791" s="36" t="str">
        <f aca="false">IF(Raw_Export!$A791="","",IF(J791="Duplicate","Duplicate",IF(OR(C791="UNMAPPED",D791="UNMAPPED"),"Unmapped",IF(F791=0,"Blank qty",IF(F791&lt;0,"Return","OK")))))</f>
        <v>OK</v>
      </c>
      <c r="L791" s="36" t="n">
        <f aca="false">IF(Raw_Export!$A791="","",IF(OR(K791="OK",K791="Return"),1,0))</f>
        <v>1</v>
      </c>
      <c r="M791" s="37" t="n">
        <f aca="false">IF(Raw_Export!$A791="","",B791-WEEKDAY(B791,2)+1)</f>
        <v>46265</v>
      </c>
    </row>
    <row r="792" customFormat="false" ht="15" hidden="false" customHeight="false" outlineLevel="0" collapsed="false">
      <c r="A792" s="36" t="str">
        <f aca="false">IF(Raw_Export!$A792="","",TRIM(Raw_Export!A792))</f>
        <v>TXN-100776</v>
      </c>
      <c r="B792" s="37" t="n">
        <f aca="false">IF(Raw_Export!$A792="","",IF(ISNUMBER(Raw_Export!B792),Raw_Export!B792,IF(MID(TRIM(Raw_Export!B792),5,1)="-",DATE(LEFT(TRIM(Raw_Export!B792),4),MID(TRIM(Raw_Export!B792),6,2),RIGHT(TRIM(Raw_Export!B792),2)),DATE(RIGHT(TRIM(Raw_Export!B792),4),MATCH(MID(TRIM(Raw_Export!B792),4,3),{"Jan","Feb","Mar","Apr","May","Jun","Jul","Aug","Sep","Oct","Nov","Dec"},0),LEFT(TRIM(Raw_Export!B792),2)))))</f>
        <v>46270</v>
      </c>
      <c r="C792" s="36" t="str">
        <f aca="false">IF(Raw_Export!$A792="","",IFERROR(VLOOKUP(LOWER(TRIM(Raw_Export!C792)),Maps!$A$2:$B$20,2,FALSE()),"UNMAPPED"))</f>
        <v>Westlands</v>
      </c>
      <c r="D792" s="36" t="str">
        <f aca="false">IF(Raw_Export!$A792="","",IFERROR(VLOOKUP(LOWER(TRIM(Raw_Export!D792)),Maps!$G$2:$I$80,2,FALSE()),"UNMAPPED"))</f>
        <v>Peanuts 250g</v>
      </c>
      <c r="E792" s="36" t="str">
        <f aca="false">IF(Raw_Export!$A792="","",IFERROR(VLOOKUP(LOWER(TRIM(Raw_Export!D792)),Maps!$G$2:$I$80,3,FALSE()),"UNMAPPED"))</f>
        <v>Snacks</v>
      </c>
      <c r="F792" s="36" t="n">
        <f aca="false">IF(Raw_Export!$A792="","",IFERROR(VALUE(TRIM(Raw_Export!E792)),0))</f>
        <v>-3</v>
      </c>
      <c r="G792" s="38" t="n">
        <f aca="false">IF(Raw_Export!$A792="","",IFERROR(VALUE(SUBSTITUTE(SUBSTITUTE(UPPER(TRIM(Raw_Export!F792)),"KES",""),",","")),0))</f>
        <v>130</v>
      </c>
      <c r="H792" s="38" t="n">
        <f aca="false">IF(Raw_Export!$A792="","",F792*G792)</f>
        <v>-390</v>
      </c>
      <c r="I792" s="36" t="str">
        <f aca="false">IF(Raw_Export!$A792="","",IFERROR(VLOOKUP(LOWER(TRIM(Raw_Export!H792)),Maps!$D$2:$E$12,2,FALSE()),"Other"))</f>
        <v>M-Pesa</v>
      </c>
      <c r="J792" s="36" t="str">
        <f aca="false">IF(Raw_Export!$A792="","",IF(COUNTIF($A$2:A792,A792)&gt;1,"Duplicate",""))</f>
        <v/>
      </c>
      <c r="K792" s="36" t="str">
        <f aca="false">IF(Raw_Export!$A792="","",IF(J792="Duplicate","Duplicate",IF(OR(C792="UNMAPPED",D792="UNMAPPED"),"Unmapped",IF(F792=0,"Blank qty",IF(F792&lt;0,"Return","OK")))))</f>
        <v>Return</v>
      </c>
      <c r="L792" s="36" t="n">
        <f aca="false">IF(Raw_Export!$A792="","",IF(OR(K792="OK",K792="Return"),1,0))</f>
        <v>1</v>
      </c>
      <c r="M792" s="37" t="n">
        <f aca="false">IF(Raw_Export!$A792="","",B792-WEEKDAY(B792,2)+1)</f>
        <v>46265</v>
      </c>
    </row>
    <row r="793" customFormat="false" ht="15" hidden="false" customHeight="false" outlineLevel="0" collapsed="false">
      <c r="A793" s="36" t="str">
        <f aca="false">IF(Raw_Export!$A793="","",TRIM(Raw_Export!A793))</f>
        <v>TXN-100777</v>
      </c>
      <c r="B793" s="37" t="n">
        <f aca="false">IF(Raw_Export!$A793="","",IF(ISNUMBER(Raw_Export!B793),Raw_Export!B793,IF(MID(TRIM(Raw_Export!B793),5,1)="-",DATE(LEFT(TRIM(Raw_Export!B793),4),MID(TRIM(Raw_Export!B793),6,2),RIGHT(TRIM(Raw_Export!B793),2)),DATE(RIGHT(TRIM(Raw_Export!B793),4),MATCH(MID(TRIM(Raw_Export!B793),4,3),{"Jan","Feb","Mar","Apr","May","Jun","Jul","Aug","Sep","Oct","Nov","Dec"},0),LEFT(TRIM(Raw_Export!B793),2)))))</f>
        <v>46270</v>
      </c>
      <c r="C793" s="36" t="str">
        <f aca="false">IF(Raw_Export!$A793="","",IFERROR(VLOOKUP(LOWER(TRIM(Raw_Export!C793)),Maps!$A$2:$B$20,2,FALSE()),"UNMAPPED"))</f>
        <v>Westlands</v>
      </c>
      <c r="D793" s="36" t="str">
        <f aca="false">IF(Raw_Export!$A793="","",IFERROR(VLOOKUP(LOWER(TRIM(Raw_Export!D793)),Maps!$G$2:$I$80,2,FALSE()),"UNMAPPED"))</f>
        <v>Spaghetti 400g</v>
      </c>
      <c r="E793" s="36" t="str">
        <f aca="false">IF(Raw_Export!$A793="","",IFERROR(VLOOKUP(LOWER(TRIM(Raw_Export!D793)),Maps!$G$2:$I$80,3,FALSE()),"UNMAPPED"))</f>
        <v>Staples</v>
      </c>
      <c r="F793" s="36" t="n">
        <f aca="false">IF(Raw_Export!$A793="","",IFERROR(VALUE(TRIM(Raw_Export!E793)),0))</f>
        <v>1</v>
      </c>
      <c r="G793" s="38" t="n">
        <f aca="false">IF(Raw_Export!$A793="","",IFERROR(VALUE(SUBSTITUTE(SUBSTITUTE(UPPER(TRIM(Raw_Export!F793)),"KES",""),",","")),0))</f>
        <v>110</v>
      </c>
      <c r="H793" s="38" t="n">
        <f aca="false">IF(Raw_Export!$A793="","",F793*G793)</f>
        <v>110</v>
      </c>
      <c r="I793" s="36" t="str">
        <f aca="false">IF(Raw_Export!$A793="","",IFERROR(VLOOKUP(LOWER(TRIM(Raw_Export!H793)),Maps!$D$2:$E$12,2,FALSE()),"Other"))</f>
        <v>M-Pesa</v>
      </c>
      <c r="J793" s="36" t="str">
        <f aca="false">IF(Raw_Export!$A793="","",IF(COUNTIF($A$2:A793,A793)&gt;1,"Duplicate",""))</f>
        <v/>
      </c>
      <c r="K793" s="36" t="str">
        <f aca="false">IF(Raw_Export!$A793="","",IF(J793="Duplicate","Duplicate",IF(OR(C793="UNMAPPED",D793="UNMAPPED"),"Unmapped",IF(F793=0,"Blank qty",IF(F793&lt;0,"Return","OK")))))</f>
        <v>OK</v>
      </c>
      <c r="L793" s="36" t="n">
        <f aca="false">IF(Raw_Export!$A793="","",IF(OR(K793="OK",K793="Return"),1,0))</f>
        <v>1</v>
      </c>
      <c r="M793" s="37" t="n">
        <f aca="false">IF(Raw_Export!$A793="","",B793-WEEKDAY(B793,2)+1)</f>
        <v>46265</v>
      </c>
    </row>
    <row r="794" customFormat="false" ht="15" hidden="false" customHeight="false" outlineLevel="0" collapsed="false">
      <c r="A794" s="36" t="str">
        <f aca="false">IF(Raw_Export!$A794="","",TRIM(Raw_Export!A794))</f>
        <v>TXN-100778</v>
      </c>
      <c r="B794" s="37" t="n">
        <f aca="false">IF(Raw_Export!$A794="","",IF(ISNUMBER(Raw_Export!B794),Raw_Export!B794,IF(MID(TRIM(Raw_Export!B794),5,1)="-",DATE(LEFT(TRIM(Raw_Export!B794),4),MID(TRIM(Raw_Export!B794),6,2),RIGHT(TRIM(Raw_Export!B794),2)),DATE(RIGHT(TRIM(Raw_Export!B794),4),MATCH(MID(TRIM(Raw_Export!B794),4,3),{"Jan","Feb","Mar","Apr","May","Jun","Jul","Aug","Sep","Oct","Nov","Dec"},0),LEFT(TRIM(Raw_Export!B794),2)))))</f>
        <v>46270</v>
      </c>
      <c r="C794" s="36" t="str">
        <f aca="false">IF(Raw_Export!$A794="","",IFERROR(VLOOKUP(LOWER(TRIM(Raw_Export!C794)),Maps!$A$2:$B$20,2,FALSE()),"UNMAPPED"))</f>
        <v>Westlands</v>
      </c>
      <c r="D794" s="36" t="str">
        <f aca="false">IF(Raw_Export!$A794="","",IFERROR(VLOOKUP(LOWER(TRIM(Raw_Export!D794)),Maps!$G$2:$I$80,2,FALSE()),"UNMAPPED"))</f>
        <v>Soda 500ml</v>
      </c>
      <c r="E794" s="36" t="str">
        <f aca="false">IF(Raw_Export!$A794="","",IFERROR(VLOOKUP(LOWER(TRIM(Raw_Export!D794)),Maps!$G$2:$I$80,3,FALSE()),"UNMAPPED"))</f>
        <v>Beverages</v>
      </c>
      <c r="F794" s="36" t="n">
        <f aca="false">IF(Raw_Export!$A794="","",IFERROR(VALUE(TRIM(Raw_Export!E794)),0))</f>
        <v>2</v>
      </c>
      <c r="G794" s="38" t="n">
        <f aca="false">IF(Raw_Export!$A794="","",IFERROR(VALUE(SUBSTITUTE(SUBSTITUTE(UPPER(TRIM(Raw_Export!F794)),"KES",""),",","")),0))</f>
        <v>60</v>
      </c>
      <c r="H794" s="38" t="n">
        <f aca="false">IF(Raw_Export!$A794="","",F794*G794)</f>
        <v>120</v>
      </c>
      <c r="I794" s="36" t="str">
        <f aca="false">IF(Raw_Export!$A794="","",IFERROR(VLOOKUP(LOWER(TRIM(Raw_Export!H794)),Maps!$D$2:$E$12,2,FALSE()),"Other"))</f>
        <v>M-Pesa</v>
      </c>
      <c r="J794" s="36" t="str">
        <f aca="false">IF(Raw_Export!$A794="","",IF(COUNTIF($A$2:A794,A794)&gt;1,"Duplicate",""))</f>
        <v/>
      </c>
      <c r="K794" s="36" t="str">
        <f aca="false">IF(Raw_Export!$A794="","",IF(J794="Duplicate","Duplicate",IF(OR(C794="UNMAPPED",D794="UNMAPPED"),"Unmapped",IF(F794=0,"Blank qty",IF(F794&lt;0,"Return","OK")))))</f>
        <v>OK</v>
      </c>
      <c r="L794" s="36" t="n">
        <f aca="false">IF(Raw_Export!$A794="","",IF(OR(K794="OK",K794="Return"),1,0))</f>
        <v>1</v>
      </c>
      <c r="M794" s="37" t="n">
        <f aca="false">IF(Raw_Export!$A794="","",B794-WEEKDAY(B794,2)+1)</f>
        <v>46265</v>
      </c>
    </row>
    <row r="795" customFormat="false" ht="15" hidden="false" customHeight="false" outlineLevel="0" collapsed="false">
      <c r="A795" s="36" t="str">
        <f aca="false">IF(Raw_Export!$A795="","",TRIM(Raw_Export!A795))</f>
        <v>TXN-100779</v>
      </c>
      <c r="B795" s="37" t="n">
        <f aca="false">IF(Raw_Export!$A795="","",IF(ISNUMBER(Raw_Export!B795),Raw_Export!B795,IF(MID(TRIM(Raw_Export!B795),5,1)="-",DATE(LEFT(TRIM(Raw_Export!B795),4),MID(TRIM(Raw_Export!B795),6,2),RIGHT(TRIM(Raw_Export!B795),2)),DATE(RIGHT(TRIM(Raw_Export!B795),4),MATCH(MID(TRIM(Raw_Export!B795),4,3),{"Jan","Feb","Mar","Apr","May","Jun","Jul","Aug","Sep","Oct","Nov","Dec"},0),LEFT(TRIM(Raw_Export!B795),2)))))</f>
        <v>46270</v>
      </c>
      <c r="C795" s="36" t="str">
        <f aca="false">IF(Raw_Export!$A795="","",IFERROR(VLOOKUP(LOWER(TRIM(Raw_Export!C795)),Maps!$A$2:$B$20,2,FALSE()),"UNMAPPED"))</f>
        <v>Westlands</v>
      </c>
      <c r="D795" s="36" t="str">
        <f aca="false">IF(Raw_Export!$A795="","",IFERROR(VLOOKUP(LOWER(TRIM(Raw_Export!D795)),Maps!$G$2:$I$80,2,FALSE()),"UNMAPPED"))</f>
        <v>Cooking Oil 1L</v>
      </c>
      <c r="E795" s="36" t="str">
        <f aca="false">IF(Raw_Export!$A795="","",IFERROR(VLOOKUP(LOWER(TRIM(Raw_Export!D795)),Maps!$G$2:$I$80,3,FALSE()),"UNMAPPED"))</f>
        <v>Staples</v>
      </c>
      <c r="F795" s="36" t="n">
        <f aca="false">IF(Raw_Export!$A795="","",IFERROR(VALUE(TRIM(Raw_Export!E795)),0))</f>
        <v>2</v>
      </c>
      <c r="G795" s="38" t="n">
        <f aca="false">IF(Raw_Export!$A795="","",IFERROR(VALUE(SUBSTITUTE(SUBSTITUTE(UPPER(TRIM(Raw_Export!F795)),"KES",""),",","")),0))</f>
        <v>330</v>
      </c>
      <c r="H795" s="38" t="n">
        <f aca="false">IF(Raw_Export!$A795="","",F795*G795)</f>
        <v>660</v>
      </c>
      <c r="I795" s="36" t="str">
        <f aca="false">IF(Raw_Export!$A795="","",IFERROR(VLOOKUP(LOWER(TRIM(Raw_Export!H795)),Maps!$D$2:$E$12,2,FALSE()),"Other"))</f>
        <v>Cash</v>
      </c>
      <c r="J795" s="36" t="str">
        <f aca="false">IF(Raw_Export!$A795="","",IF(COUNTIF($A$2:A795,A795)&gt;1,"Duplicate",""))</f>
        <v/>
      </c>
      <c r="K795" s="36" t="str">
        <f aca="false">IF(Raw_Export!$A795="","",IF(J795="Duplicate","Duplicate",IF(OR(C795="UNMAPPED",D795="UNMAPPED"),"Unmapped",IF(F795=0,"Blank qty",IF(F795&lt;0,"Return","OK")))))</f>
        <v>OK</v>
      </c>
      <c r="L795" s="36" t="n">
        <f aca="false">IF(Raw_Export!$A795="","",IF(OR(K795="OK",K795="Return"),1,0))</f>
        <v>1</v>
      </c>
      <c r="M795" s="37" t="n">
        <f aca="false">IF(Raw_Export!$A795="","",B795-WEEKDAY(B795,2)+1)</f>
        <v>46265</v>
      </c>
    </row>
    <row r="796" customFormat="false" ht="15" hidden="false" customHeight="false" outlineLevel="0" collapsed="false">
      <c r="A796" s="36" t="str">
        <f aca="false">IF(Raw_Export!$A796="","",TRIM(Raw_Export!A796))</f>
        <v>TXN-100780</v>
      </c>
      <c r="B796" s="37" t="n">
        <f aca="false">IF(Raw_Export!$A796="","",IF(ISNUMBER(Raw_Export!B796),Raw_Export!B796,IF(MID(TRIM(Raw_Export!B796),5,1)="-",DATE(LEFT(TRIM(Raw_Export!B796),4),MID(TRIM(Raw_Export!B796),6,2),RIGHT(TRIM(Raw_Export!B796),2)),DATE(RIGHT(TRIM(Raw_Export!B796),4),MATCH(MID(TRIM(Raw_Export!B796),4,3),{"Jan","Feb","Mar","Apr","May","Jun","Jul","Aug","Sep","Oct","Nov","Dec"},0),LEFT(TRIM(Raw_Export!B796),2)))))</f>
        <v>46270</v>
      </c>
      <c r="C796" s="36" t="str">
        <f aca="false">IF(Raw_Export!$A796="","",IFERROR(VLOOKUP(LOWER(TRIM(Raw_Export!C796)),Maps!$A$2:$B$20,2,FALSE()),"UNMAPPED"))</f>
        <v>Westlands</v>
      </c>
      <c r="D796" s="36" t="str">
        <f aca="false">IF(Raw_Export!$A796="","",IFERROR(VLOOKUP(LOWER(TRIM(Raw_Export!D796)),Maps!$G$2:$I$80,2,FALSE()),"UNMAPPED"))</f>
        <v>Salt 500g</v>
      </c>
      <c r="E796" s="36" t="str">
        <f aca="false">IF(Raw_Export!$A796="","",IFERROR(VLOOKUP(LOWER(TRIM(Raw_Export!D796)),Maps!$G$2:$I$80,3,FALSE()),"UNMAPPED"))</f>
        <v>Staples</v>
      </c>
      <c r="F796" s="36" t="n">
        <f aca="false">IF(Raw_Export!$A796="","",IFERROR(VALUE(TRIM(Raw_Export!E796)),0))</f>
        <v>1</v>
      </c>
      <c r="G796" s="38" t="n">
        <f aca="false">IF(Raw_Export!$A796="","",IFERROR(VALUE(SUBSTITUTE(SUBSTITUTE(UPPER(TRIM(Raw_Export!F796)),"KES",""),",","")),0))</f>
        <v>40</v>
      </c>
      <c r="H796" s="38" t="n">
        <f aca="false">IF(Raw_Export!$A796="","",F796*G796)</f>
        <v>40</v>
      </c>
      <c r="I796" s="36" t="str">
        <f aca="false">IF(Raw_Export!$A796="","",IFERROR(VLOOKUP(LOWER(TRIM(Raw_Export!H796)),Maps!$D$2:$E$12,2,FALSE()),"Other"))</f>
        <v>Cash</v>
      </c>
      <c r="J796" s="36" t="str">
        <f aca="false">IF(Raw_Export!$A796="","",IF(COUNTIF($A$2:A796,A796)&gt;1,"Duplicate",""))</f>
        <v/>
      </c>
      <c r="K796" s="36" t="str">
        <f aca="false">IF(Raw_Export!$A796="","",IF(J796="Duplicate","Duplicate",IF(OR(C796="UNMAPPED",D796="UNMAPPED"),"Unmapped",IF(F796=0,"Blank qty",IF(F796&lt;0,"Return","OK")))))</f>
        <v>OK</v>
      </c>
      <c r="L796" s="36" t="n">
        <f aca="false">IF(Raw_Export!$A796="","",IF(OR(K796="OK",K796="Return"),1,0))</f>
        <v>1</v>
      </c>
      <c r="M796" s="37" t="n">
        <f aca="false">IF(Raw_Export!$A796="","",B796-WEEKDAY(B796,2)+1)</f>
        <v>46265</v>
      </c>
    </row>
    <row r="797" customFormat="false" ht="15" hidden="false" customHeight="false" outlineLevel="0" collapsed="false">
      <c r="A797" s="36" t="str">
        <f aca="false">IF(Raw_Export!$A797="","",TRIM(Raw_Export!A797))</f>
        <v>TXN-100781</v>
      </c>
      <c r="B797" s="37" t="n">
        <f aca="false">IF(Raw_Export!$A797="","",IF(ISNUMBER(Raw_Export!B797),Raw_Export!B797,IF(MID(TRIM(Raw_Export!B797),5,1)="-",DATE(LEFT(TRIM(Raw_Export!B797),4),MID(TRIM(Raw_Export!B797),6,2),RIGHT(TRIM(Raw_Export!B797),2)),DATE(RIGHT(TRIM(Raw_Export!B797),4),MATCH(MID(TRIM(Raw_Export!B797),4,3),{"Jan","Feb","Mar","Apr","May","Jun","Jul","Aug","Sep","Oct","Nov","Dec"},0),LEFT(TRIM(Raw_Export!B797),2)))))</f>
        <v>46270</v>
      </c>
      <c r="C797" s="36" t="str">
        <f aca="false">IF(Raw_Export!$A797="","",IFERROR(VLOOKUP(LOWER(TRIM(Raw_Export!C797)),Maps!$A$2:$B$20,2,FALSE()),"UNMAPPED"))</f>
        <v>Westlands</v>
      </c>
      <c r="D797" s="36" t="str">
        <f aca="false">IF(Raw_Export!$A797="","",IFERROR(VLOOKUP(LOWER(TRIM(Raw_Export!D797)),Maps!$G$2:$I$80,2,FALSE()),"UNMAPPED"))</f>
        <v>Crisps 100g</v>
      </c>
      <c r="E797" s="36" t="str">
        <f aca="false">IF(Raw_Export!$A797="","",IFERROR(VLOOKUP(LOWER(TRIM(Raw_Export!D797)),Maps!$G$2:$I$80,3,FALSE()),"UNMAPPED"))</f>
        <v>Snacks</v>
      </c>
      <c r="F797" s="36" t="n">
        <f aca="false">IF(Raw_Export!$A797="","",IFERROR(VALUE(TRIM(Raw_Export!E797)),0))</f>
        <v>2</v>
      </c>
      <c r="G797" s="38" t="n">
        <f aca="false">IF(Raw_Export!$A797="","",IFERROR(VALUE(SUBSTITUTE(SUBSTITUTE(UPPER(TRIM(Raw_Export!F797)),"KES",""),",","")),0))</f>
        <v>80</v>
      </c>
      <c r="H797" s="38" t="n">
        <f aca="false">IF(Raw_Export!$A797="","",F797*G797)</f>
        <v>160</v>
      </c>
      <c r="I797" s="36" t="str">
        <f aca="false">IF(Raw_Export!$A797="","",IFERROR(VLOOKUP(LOWER(TRIM(Raw_Export!H797)),Maps!$D$2:$E$12,2,FALSE()),"Other"))</f>
        <v>Card</v>
      </c>
      <c r="J797" s="36" t="str">
        <f aca="false">IF(Raw_Export!$A797="","",IF(COUNTIF($A$2:A797,A797)&gt;1,"Duplicate",""))</f>
        <v/>
      </c>
      <c r="K797" s="36" t="str">
        <f aca="false">IF(Raw_Export!$A797="","",IF(J797="Duplicate","Duplicate",IF(OR(C797="UNMAPPED",D797="UNMAPPED"),"Unmapped",IF(F797=0,"Blank qty",IF(F797&lt;0,"Return","OK")))))</f>
        <v>OK</v>
      </c>
      <c r="L797" s="36" t="n">
        <f aca="false">IF(Raw_Export!$A797="","",IF(OR(K797="OK",K797="Return"),1,0))</f>
        <v>1</v>
      </c>
      <c r="M797" s="37" t="n">
        <f aca="false">IF(Raw_Export!$A797="","",B797-WEEKDAY(B797,2)+1)</f>
        <v>46265</v>
      </c>
    </row>
    <row r="798" customFormat="false" ht="15" hidden="false" customHeight="false" outlineLevel="0" collapsed="false">
      <c r="A798" s="36" t="str">
        <f aca="false">IF(Raw_Export!$A798="","",TRIM(Raw_Export!A798))</f>
        <v>TXN-100782</v>
      </c>
      <c r="B798" s="37" t="n">
        <f aca="false">IF(Raw_Export!$A798="","",IF(ISNUMBER(Raw_Export!B798),Raw_Export!B798,IF(MID(TRIM(Raw_Export!B798),5,1)="-",DATE(LEFT(TRIM(Raw_Export!B798),4),MID(TRIM(Raw_Export!B798),6,2),RIGHT(TRIM(Raw_Export!B798),2)),DATE(RIGHT(TRIM(Raw_Export!B798),4),MATCH(MID(TRIM(Raw_Export!B798),4,3),{"Jan","Feb","Mar","Apr","May","Jun","Jul","Aug","Sep","Oct","Nov","Dec"},0),LEFT(TRIM(Raw_Export!B798),2)))))</f>
        <v>46270</v>
      </c>
      <c r="C798" s="36" t="str">
        <f aca="false">IF(Raw_Export!$A798="","",IFERROR(VLOOKUP(LOWER(TRIM(Raw_Export!C798)),Maps!$A$2:$B$20,2,FALSE()),"UNMAPPED"))</f>
        <v>Westlands</v>
      </c>
      <c r="D798" s="36" t="str">
        <f aca="false">IF(Raw_Export!$A798="","",IFERROR(VLOOKUP(LOWER(TRIM(Raw_Export!D798)),Maps!$G$2:$I$80,2,FALSE()),"UNMAPPED"))</f>
        <v>Butter 250g</v>
      </c>
      <c r="E798" s="36" t="str">
        <f aca="false">IF(Raw_Export!$A798="","",IFERROR(VLOOKUP(LOWER(TRIM(Raw_Export!D798)),Maps!$G$2:$I$80,3,FALSE()),"UNMAPPED"))</f>
        <v>Dairy &amp; Eggs</v>
      </c>
      <c r="F798" s="36" t="n">
        <f aca="false">IF(Raw_Export!$A798="","",IFERROR(VALUE(TRIM(Raw_Export!E798)),0))</f>
        <v>1</v>
      </c>
      <c r="G798" s="38" t="n">
        <f aca="false">IF(Raw_Export!$A798="","",IFERROR(VALUE(SUBSTITUTE(SUBSTITUTE(UPPER(TRIM(Raw_Export!F798)),"KES",""),",","")),0))</f>
        <v>310</v>
      </c>
      <c r="H798" s="38" t="n">
        <f aca="false">IF(Raw_Export!$A798="","",F798*G798)</f>
        <v>310</v>
      </c>
      <c r="I798" s="36" t="str">
        <f aca="false">IF(Raw_Export!$A798="","",IFERROR(VLOOKUP(LOWER(TRIM(Raw_Export!H798)),Maps!$D$2:$E$12,2,FALSE()),"Other"))</f>
        <v>Card</v>
      </c>
      <c r="J798" s="36" t="str">
        <f aca="false">IF(Raw_Export!$A798="","",IF(COUNTIF($A$2:A798,A798)&gt;1,"Duplicate",""))</f>
        <v/>
      </c>
      <c r="K798" s="36" t="str">
        <f aca="false">IF(Raw_Export!$A798="","",IF(J798="Duplicate","Duplicate",IF(OR(C798="UNMAPPED",D798="UNMAPPED"),"Unmapped",IF(F798=0,"Blank qty",IF(F798&lt;0,"Return","OK")))))</f>
        <v>OK</v>
      </c>
      <c r="L798" s="36" t="n">
        <f aca="false">IF(Raw_Export!$A798="","",IF(OR(K798="OK",K798="Return"),1,0))</f>
        <v>1</v>
      </c>
      <c r="M798" s="37" t="n">
        <f aca="false">IF(Raw_Export!$A798="","",B798-WEEKDAY(B798,2)+1)</f>
        <v>46265</v>
      </c>
    </row>
    <row r="799" customFormat="false" ht="15" hidden="false" customHeight="false" outlineLevel="0" collapsed="false">
      <c r="A799" s="36" t="str">
        <f aca="false">IF(Raw_Export!$A799="","",TRIM(Raw_Export!A799))</f>
        <v>TXN-100783</v>
      </c>
      <c r="B799" s="37" t="n">
        <f aca="false">IF(Raw_Export!$A799="","",IF(ISNUMBER(Raw_Export!B799),Raw_Export!B799,IF(MID(TRIM(Raw_Export!B799),5,1)="-",DATE(LEFT(TRIM(Raw_Export!B799),4),MID(TRIM(Raw_Export!B799),6,2),RIGHT(TRIM(Raw_Export!B799),2)),DATE(RIGHT(TRIM(Raw_Export!B799),4),MATCH(MID(TRIM(Raw_Export!B799),4,3),{"Jan","Feb","Mar","Apr","May","Jun","Jul","Aug","Sep","Oct","Nov","Dec"},0),LEFT(TRIM(Raw_Export!B799),2)))))</f>
        <v>46270</v>
      </c>
      <c r="C799" s="36" t="str">
        <f aca="false">IF(Raw_Export!$A799="","",IFERROR(VLOOKUP(LOWER(TRIM(Raw_Export!C799)),Maps!$A$2:$B$20,2,FALSE()),"UNMAPPED"))</f>
        <v>Westlands</v>
      </c>
      <c r="D799" s="36" t="str">
        <f aca="false">IF(Raw_Export!$A799="","",IFERROR(VLOOKUP(LOWER(TRIM(Raw_Export!D799)),Maps!$G$2:$I$80,2,FALSE()),"UNMAPPED"))</f>
        <v>Dish Soap 750ml</v>
      </c>
      <c r="E799" s="36" t="str">
        <f aca="false">IF(Raw_Export!$A799="","",IFERROR(VLOOKUP(LOWER(TRIM(Raw_Export!D799)),Maps!$G$2:$I$80,3,FALSE()),"UNMAPPED"))</f>
        <v>Household</v>
      </c>
      <c r="F799" s="36" t="n">
        <f aca="false">IF(Raw_Export!$A799="","",IFERROR(VALUE(TRIM(Raw_Export!E799)),0))</f>
        <v>1</v>
      </c>
      <c r="G799" s="38" t="n">
        <f aca="false">IF(Raw_Export!$A799="","",IFERROR(VALUE(SUBSTITUTE(SUBSTITUTE(UPPER(TRIM(Raw_Export!F799)),"KES",""),",","")),0))</f>
        <v>190</v>
      </c>
      <c r="H799" s="38" t="n">
        <f aca="false">IF(Raw_Export!$A799="","",F799*G799)</f>
        <v>190</v>
      </c>
      <c r="I799" s="36" t="str">
        <f aca="false">IF(Raw_Export!$A799="","",IFERROR(VLOOKUP(LOWER(TRIM(Raw_Export!H799)),Maps!$D$2:$E$12,2,FALSE()),"Other"))</f>
        <v>M-Pesa</v>
      </c>
      <c r="J799" s="36" t="str">
        <f aca="false">IF(Raw_Export!$A799="","",IF(COUNTIF($A$2:A799,A799)&gt;1,"Duplicate",""))</f>
        <v/>
      </c>
      <c r="K799" s="36" t="str">
        <f aca="false">IF(Raw_Export!$A799="","",IF(J799="Duplicate","Duplicate",IF(OR(C799="UNMAPPED",D799="UNMAPPED"),"Unmapped",IF(F799=0,"Blank qty",IF(F799&lt;0,"Return","OK")))))</f>
        <v>OK</v>
      </c>
      <c r="L799" s="36" t="n">
        <f aca="false">IF(Raw_Export!$A799="","",IF(OR(K799="OK",K799="Return"),1,0))</f>
        <v>1</v>
      </c>
      <c r="M799" s="37" t="n">
        <f aca="false">IF(Raw_Export!$A799="","",B799-WEEKDAY(B799,2)+1)</f>
        <v>46265</v>
      </c>
    </row>
    <row r="800" customFormat="false" ht="15" hidden="false" customHeight="false" outlineLevel="0" collapsed="false">
      <c r="A800" s="36" t="str">
        <f aca="false">IF(Raw_Export!$A800="","",TRIM(Raw_Export!A800))</f>
        <v>TXN-100784</v>
      </c>
      <c r="B800" s="37" t="n">
        <f aca="false">IF(Raw_Export!$A800="","",IF(ISNUMBER(Raw_Export!B800),Raw_Export!B800,IF(MID(TRIM(Raw_Export!B800),5,1)="-",DATE(LEFT(TRIM(Raw_Export!B800),4),MID(TRIM(Raw_Export!B800),6,2),RIGHT(TRIM(Raw_Export!B800),2)),DATE(RIGHT(TRIM(Raw_Export!B800),4),MATCH(MID(TRIM(Raw_Export!B800),4,3),{"Jan","Feb","Mar","Apr","May","Jun","Jul","Aug","Sep","Oct","Nov","Dec"},0),LEFT(TRIM(Raw_Export!B800),2)))))</f>
        <v>46270</v>
      </c>
      <c r="C800" s="36" t="str">
        <f aca="false">IF(Raw_Export!$A800="","",IFERROR(VLOOKUP(LOWER(TRIM(Raw_Export!C800)),Maps!$A$2:$B$20,2,FALSE()),"UNMAPPED"))</f>
        <v>Westlands</v>
      </c>
      <c r="D800" s="36" t="str">
        <f aca="false">IF(Raw_Export!$A800="","",IFERROR(VLOOKUP(LOWER(TRIM(Raw_Export!D800)),Maps!$G$2:$I$80,2,FALSE()),"UNMAPPED"))</f>
        <v>Rice Pishori 2kg</v>
      </c>
      <c r="E800" s="36" t="str">
        <f aca="false">IF(Raw_Export!$A800="","",IFERROR(VLOOKUP(LOWER(TRIM(Raw_Export!D800)),Maps!$G$2:$I$80,3,FALSE()),"UNMAPPED"))</f>
        <v>Staples</v>
      </c>
      <c r="F800" s="36" t="n">
        <f aca="false">IF(Raw_Export!$A800="","",IFERROR(VALUE(TRIM(Raw_Export!E800)),0))</f>
        <v>2</v>
      </c>
      <c r="G800" s="38" t="n">
        <f aca="false">IF(Raw_Export!$A800="","",IFERROR(VALUE(SUBSTITUTE(SUBSTITUTE(UPPER(TRIM(Raw_Export!F800)),"KES",""),",","")),0))</f>
        <v>420</v>
      </c>
      <c r="H800" s="38" t="n">
        <f aca="false">IF(Raw_Export!$A800="","",F800*G800)</f>
        <v>840</v>
      </c>
      <c r="I800" s="36" t="str">
        <f aca="false">IF(Raw_Export!$A800="","",IFERROR(VLOOKUP(LOWER(TRIM(Raw_Export!H800)),Maps!$D$2:$E$12,2,FALSE()),"Other"))</f>
        <v>M-Pesa</v>
      </c>
      <c r="J800" s="36" t="str">
        <f aca="false">IF(Raw_Export!$A800="","",IF(COUNTIF($A$2:A800,A800)&gt;1,"Duplicate",""))</f>
        <v/>
      </c>
      <c r="K800" s="36" t="str">
        <f aca="false">IF(Raw_Export!$A800="","",IF(J800="Duplicate","Duplicate",IF(OR(C800="UNMAPPED",D800="UNMAPPED"),"Unmapped",IF(F800=0,"Blank qty",IF(F800&lt;0,"Return","OK")))))</f>
        <v>OK</v>
      </c>
      <c r="L800" s="36" t="n">
        <f aca="false">IF(Raw_Export!$A800="","",IF(OR(K800="OK",K800="Return"),1,0))</f>
        <v>1</v>
      </c>
      <c r="M800" s="37" t="n">
        <f aca="false">IF(Raw_Export!$A800="","",B800-WEEKDAY(B800,2)+1)</f>
        <v>46265</v>
      </c>
    </row>
    <row r="801" customFormat="false" ht="15" hidden="false" customHeight="false" outlineLevel="0" collapsed="false">
      <c r="A801" s="36" t="str">
        <f aca="false">IF(Raw_Export!$A801="","",TRIM(Raw_Export!A801))</f>
        <v>TXN-100785</v>
      </c>
      <c r="B801" s="37" t="n">
        <f aca="false">IF(Raw_Export!$A801="","",IF(ISNUMBER(Raw_Export!B801),Raw_Export!B801,IF(MID(TRIM(Raw_Export!B801),5,1)="-",DATE(LEFT(TRIM(Raw_Export!B801),4),MID(TRIM(Raw_Export!B801),6,2),RIGHT(TRIM(Raw_Export!B801),2)),DATE(RIGHT(TRIM(Raw_Export!B801),4),MATCH(MID(TRIM(Raw_Export!B801),4,3),{"Jan","Feb","Mar","Apr","May","Jun","Jul","Aug","Sep","Oct","Nov","Dec"},0),LEFT(TRIM(Raw_Export!B801),2)))))</f>
        <v>46270</v>
      </c>
      <c r="C801" s="36" t="str">
        <f aca="false">IF(Raw_Export!$A801="","",IFERROR(VLOOKUP(LOWER(TRIM(Raw_Export!C801)),Maps!$A$2:$B$20,2,FALSE()),"UNMAPPED"))</f>
        <v>Westlands</v>
      </c>
      <c r="D801" s="36" t="str">
        <f aca="false">IF(Raw_Export!$A801="","",IFERROR(VLOOKUP(LOWER(TRIM(Raw_Export!D801)),Maps!$G$2:$I$80,2,FALSE()),"UNMAPPED"))</f>
        <v>Cooking Oil 1L</v>
      </c>
      <c r="E801" s="36" t="str">
        <f aca="false">IF(Raw_Export!$A801="","",IFERROR(VLOOKUP(LOWER(TRIM(Raw_Export!D801)),Maps!$G$2:$I$80,3,FALSE()),"UNMAPPED"))</f>
        <v>Staples</v>
      </c>
      <c r="F801" s="36" t="n">
        <f aca="false">IF(Raw_Export!$A801="","",IFERROR(VALUE(TRIM(Raw_Export!E801)),0))</f>
        <v>2</v>
      </c>
      <c r="G801" s="38" t="n">
        <f aca="false">IF(Raw_Export!$A801="","",IFERROR(VALUE(SUBSTITUTE(SUBSTITUTE(UPPER(TRIM(Raw_Export!F801)),"KES",""),",","")),0))</f>
        <v>297</v>
      </c>
      <c r="H801" s="38" t="n">
        <f aca="false">IF(Raw_Export!$A801="","",F801*G801)</f>
        <v>594</v>
      </c>
      <c r="I801" s="36" t="str">
        <f aca="false">IF(Raw_Export!$A801="","",IFERROR(VLOOKUP(LOWER(TRIM(Raw_Export!H801)),Maps!$D$2:$E$12,2,FALSE()),"Other"))</f>
        <v>M-Pesa</v>
      </c>
      <c r="J801" s="36" t="str">
        <f aca="false">IF(Raw_Export!$A801="","",IF(COUNTIF($A$2:A801,A801)&gt;1,"Duplicate",""))</f>
        <v/>
      </c>
      <c r="K801" s="36" t="str">
        <f aca="false">IF(Raw_Export!$A801="","",IF(J801="Duplicate","Duplicate",IF(OR(C801="UNMAPPED",D801="UNMAPPED"),"Unmapped",IF(F801=0,"Blank qty",IF(F801&lt;0,"Return","OK")))))</f>
        <v>OK</v>
      </c>
      <c r="L801" s="36" t="n">
        <f aca="false">IF(Raw_Export!$A801="","",IF(OR(K801="OK",K801="Return"),1,0))</f>
        <v>1</v>
      </c>
      <c r="M801" s="37" t="n">
        <f aca="false">IF(Raw_Export!$A801="","",B801-WEEKDAY(B801,2)+1)</f>
        <v>46265</v>
      </c>
    </row>
    <row r="802" customFormat="false" ht="15" hidden="false" customHeight="false" outlineLevel="0" collapsed="false">
      <c r="A802" s="36" t="str">
        <f aca="false">IF(Raw_Export!$A802="","",TRIM(Raw_Export!A802))</f>
        <v>TXN-100786</v>
      </c>
      <c r="B802" s="37" t="n">
        <f aca="false">IF(Raw_Export!$A802="","",IF(ISNUMBER(Raw_Export!B802),Raw_Export!B802,IF(MID(TRIM(Raw_Export!B802),5,1)="-",DATE(LEFT(TRIM(Raw_Export!B802),4),MID(TRIM(Raw_Export!B802),6,2),RIGHT(TRIM(Raw_Export!B802),2)),DATE(RIGHT(TRIM(Raw_Export!B802),4),MATCH(MID(TRIM(Raw_Export!B802),4,3),{"Jan","Feb","Mar","Apr","May","Jun","Jul","Aug","Sep","Oct","Nov","Dec"},0),LEFT(TRIM(Raw_Export!B802),2)))))</f>
        <v>46270</v>
      </c>
      <c r="C802" s="36" t="str">
        <f aca="false">IF(Raw_Export!$A802="","",IFERROR(VLOOKUP(LOWER(TRIM(Raw_Export!C802)),Maps!$A$2:$B$20,2,FALSE()),"UNMAPPED"))</f>
        <v>Westlands</v>
      </c>
      <c r="D802" s="36" t="str">
        <f aca="false">IF(Raw_Export!$A802="","",IFERROR(VLOOKUP(LOWER(TRIM(Raw_Export!D802)),Maps!$G$2:$I$80,2,FALSE()),"UNMAPPED"))</f>
        <v>Bath Soap 175g</v>
      </c>
      <c r="E802" s="36" t="str">
        <f aca="false">IF(Raw_Export!$A802="","",IFERROR(VLOOKUP(LOWER(TRIM(Raw_Export!D802)),Maps!$G$2:$I$80,3,FALSE()),"UNMAPPED"))</f>
        <v>Personal Care</v>
      </c>
      <c r="F802" s="36" t="n">
        <f aca="false">IF(Raw_Export!$A802="","",IFERROR(VALUE(TRIM(Raw_Export!E802)),0))</f>
        <v>1</v>
      </c>
      <c r="G802" s="38" t="n">
        <f aca="false">IF(Raw_Export!$A802="","",IFERROR(VALUE(SUBSTITUTE(SUBSTITUTE(UPPER(TRIM(Raw_Export!F802)),"KES",""),",","")),0))</f>
        <v>85</v>
      </c>
      <c r="H802" s="38" t="n">
        <f aca="false">IF(Raw_Export!$A802="","",F802*G802)</f>
        <v>85</v>
      </c>
      <c r="I802" s="36" t="str">
        <f aca="false">IF(Raw_Export!$A802="","",IFERROR(VLOOKUP(LOWER(TRIM(Raw_Export!H802)),Maps!$D$2:$E$12,2,FALSE()),"Other"))</f>
        <v>Cash</v>
      </c>
      <c r="J802" s="36" t="str">
        <f aca="false">IF(Raw_Export!$A802="","",IF(COUNTIF($A$2:A802,A802)&gt;1,"Duplicate",""))</f>
        <v/>
      </c>
      <c r="K802" s="36" t="str">
        <f aca="false">IF(Raw_Export!$A802="","",IF(J802="Duplicate","Duplicate",IF(OR(C802="UNMAPPED",D802="UNMAPPED"),"Unmapped",IF(F802=0,"Blank qty",IF(F802&lt;0,"Return","OK")))))</f>
        <v>OK</v>
      </c>
      <c r="L802" s="36" t="n">
        <f aca="false">IF(Raw_Export!$A802="","",IF(OR(K802="OK",K802="Return"),1,0))</f>
        <v>1</v>
      </c>
      <c r="M802" s="37" t="n">
        <f aca="false">IF(Raw_Export!$A802="","",B802-WEEKDAY(B802,2)+1)</f>
        <v>46265</v>
      </c>
    </row>
    <row r="803" customFormat="false" ht="15" hidden="false" customHeight="false" outlineLevel="0" collapsed="false">
      <c r="A803" s="36" t="str">
        <f aca="false">IF(Raw_Export!$A803="","",TRIM(Raw_Export!A803))</f>
        <v>TXN-100787</v>
      </c>
      <c r="B803" s="37" t="n">
        <f aca="false">IF(Raw_Export!$A803="","",IF(ISNUMBER(Raw_Export!B803),Raw_Export!B803,IF(MID(TRIM(Raw_Export!B803),5,1)="-",DATE(LEFT(TRIM(Raw_Export!B803),4),MID(TRIM(Raw_Export!B803),6,2),RIGHT(TRIM(Raw_Export!B803),2)),DATE(RIGHT(TRIM(Raw_Export!B803),4),MATCH(MID(TRIM(Raw_Export!B803),4,3),{"Jan","Feb","Mar","Apr","May","Jun","Jul","Aug","Sep","Oct","Nov","Dec"},0),LEFT(TRIM(Raw_Export!B803),2)))))</f>
        <v>46270</v>
      </c>
      <c r="C803" s="36" t="str">
        <f aca="false">IF(Raw_Export!$A803="","",IFERROR(VLOOKUP(LOWER(TRIM(Raw_Export!C803)),Maps!$A$2:$B$20,2,FALSE()),"UNMAPPED"))</f>
        <v>Westlands</v>
      </c>
      <c r="D803" s="36" t="str">
        <f aca="false">IF(Raw_Export!$A803="","",IFERROR(VLOOKUP(LOWER(TRIM(Raw_Export!D803)),Maps!$G$2:$I$80,2,FALSE()),"UNMAPPED"))</f>
        <v>Cooking Oil 1L</v>
      </c>
      <c r="E803" s="36" t="str">
        <f aca="false">IF(Raw_Export!$A803="","",IFERROR(VLOOKUP(LOWER(TRIM(Raw_Export!D803)),Maps!$G$2:$I$80,3,FALSE()),"UNMAPPED"))</f>
        <v>Staples</v>
      </c>
      <c r="F803" s="36" t="n">
        <f aca="false">IF(Raw_Export!$A803="","",IFERROR(VALUE(TRIM(Raw_Export!E803)),0))</f>
        <v>3</v>
      </c>
      <c r="G803" s="38" t="n">
        <f aca="false">IF(Raw_Export!$A803="","",IFERROR(VALUE(SUBSTITUTE(SUBSTITUTE(UPPER(TRIM(Raw_Export!F803)),"KES",""),",","")),0))</f>
        <v>330</v>
      </c>
      <c r="H803" s="38" t="n">
        <f aca="false">IF(Raw_Export!$A803="","",F803*G803)</f>
        <v>990</v>
      </c>
      <c r="I803" s="36" t="str">
        <f aca="false">IF(Raw_Export!$A803="","",IFERROR(VLOOKUP(LOWER(TRIM(Raw_Export!H803)),Maps!$D$2:$E$12,2,FALSE()),"Other"))</f>
        <v>Cash</v>
      </c>
      <c r="J803" s="36" t="str">
        <f aca="false">IF(Raw_Export!$A803="","",IF(COUNTIF($A$2:A803,A803)&gt;1,"Duplicate",""))</f>
        <v/>
      </c>
      <c r="K803" s="36" t="str">
        <f aca="false">IF(Raw_Export!$A803="","",IF(J803="Duplicate","Duplicate",IF(OR(C803="UNMAPPED",D803="UNMAPPED"),"Unmapped",IF(F803=0,"Blank qty",IF(F803&lt;0,"Return","OK")))))</f>
        <v>OK</v>
      </c>
      <c r="L803" s="36" t="n">
        <f aca="false">IF(Raw_Export!$A803="","",IF(OR(K803="OK",K803="Return"),1,0))</f>
        <v>1</v>
      </c>
      <c r="M803" s="37" t="n">
        <f aca="false">IF(Raw_Export!$A803="","",B803-WEEKDAY(B803,2)+1)</f>
        <v>46265</v>
      </c>
    </row>
    <row r="804" customFormat="false" ht="15" hidden="false" customHeight="false" outlineLevel="0" collapsed="false">
      <c r="A804" s="36" t="str">
        <f aca="false">IF(Raw_Export!$A804="","",TRIM(Raw_Export!A804))</f>
        <v>TXN-100788</v>
      </c>
      <c r="B804" s="37" t="n">
        <f aca="false">IF(Raw_Export!$A804="","",IF(ISNUMBER(Raw_Export!B804),Raw_Export!B804,IF(MID(TRIM(Raw_Export!B804),5,1)="-",DATE(LEFT(TRIM(Raw_Export!B804),4),MID(TRIM(Raw_Export!B804),6,2),RIGHT(TRIM(Raw_Export!B804),2)),DATE(RIGHT(TRIM(Raw_Export!B804),4),MATCH(MID(TRIM(Raw_Export!B804),4,3),{"Jan","Feb","Mar","Apr","May","Jun","Jul","Aug","Sep","Oct","Nov","Dec"},0),LEFT(TRIM(Raw_Export!B804),2)))))</f>
        <v>46270</v>
      </c>
      <c r="C804" s="36" t="str">
        <f aca="false">IF(Raw_Export!$A804="","",IFERROR(VLOOKUP(LOWER(TRIM(Raw_Export!C804)),Maps!$A$2:$B$20,2,FALSE()),"UNMAPPED"))</f>
        <v>Westlands</v>
      </c>
      <c r="D804" s="36" t="str">
        <f aca="false">IF(Raw_Export!$A804="","",IFERROR(VLOOKUP(LOWER(TRIM(Raw_Export!D804)),Maps!$G$2:$I$80,2,FALSE()),"UNMAPPED"))</f>
        <v>Chocolate Bar 90g</v>
      </c>
      <c r="E804" s="36" t="str">
        <f aca="false">IF(Raw_Export!$A804="","",IFERROR(VLOOKUP(LOWER(TRIM(Raw_Export!D804)),Maps!$G$2:$I$80,3,FALSE()),"UNMAPPED"))</f>
        <v>Snacks</v>
      </c>
      <c r="F804" s="36" t="n">
        <f aca="false">IF(Raw_Export!$A804="","",IFERROR(VALUE(TRIM(Raw_Export!E804)),0))</f>
        <v>3</v>
      </c>
      <c r="G804" s="38" t="n">
        <f aca="false">IF(Raw_Export!$A804="","",IFERROR(VALUE(SUBSTITUTE(SUBSTITUTE(UPPER(TRIM(Raw_Export!F804)),"KES",""),",","")),0))</f>
        <v>140</v>
      </c>
      <c r="H804" s="38" t="n">
        <f aca="false">IF(Raw_Export!$A804="","",F804*G804)</f>
        <v>420</v>
      </c>
      <c r="I804" s="36" t="str">
        <f aca="false">IF(Raw_Export!$A804="","",IFERROR(VLOOKUP(LOWER(TRIM(Raw_Export!H804)),Maps!$D$2:$E$12,2,FALSE()),"Other"))</f>
        <v>M-Pesa</v>
      </c>
      <c r="J804" s="36" t="str">
        <f aca="false">IF(Raw_Export!$A804="","",IF(COUNTIF($A$2:A804,A804)&gt;1,"Duplicate",""))</f>
        <v/>
      </c>
      <c r="K804" s="36" t="str">
        <f aca="false">IF(Raw_Export!$A804="","",IF(J804="Duplicate","Duplicate",IF(OR(C804="UNMAPPED",D804="UNMAPPED"),"Unmapped",IF(F804=0,"Blank qty",IF(F804&lt;0,"Return","OK")))))</f>
        <v>OK</v>
      </c>
      <c r="L804" s="36" t="n">
        <f aca="false">IF(Raw_Export!$A804="","",IF(OR(K804="OK",K804="Return"),1,0))</f>
        <v>1</v>
      </c>
      <c r="M804" s="37" t="n">
        <f aca="false">IF(Raw_Export!$A804="","",B804-WEEKDAY(B804,2)+1)</f>
        <v>46265</v>
      </c>
    </row>
    <row r="805" customFormat="false" ht="15" hidden="false" customHeight="false" outlineLevel="0" collapsed="false">
      <c r="A805" s="36" t="str">
        <f aca="false">IF(Raw_Export!$A805="","",TRIM(Raw_Export!A805))</f>
        <v>TXN-100789</v>
      </c>
      <c r="B805" s="37" t="n">
        <f aca="false">IF(Raw_Export!$A805="","",IF(ISNUMBER(Raw_Export!B805),Raw_Export!B805,IF(MID(TRIM(Raw_Export!B805),5,1)="-",DATE(LEFT(TRIM(Raw_Export!B805),4),MID(TRIM(Raw_Export!B805),6,2),RIGHT(TRIM(Raw_Export!B805),2)),DATE(RIGHT(TRIM(Raw_Export!B805),4),MATCH(MID(TRIM(Raw_Export!B805),4,3),{"Jan","Feb","Mar","Apr","May","Jun","Jul","Aug","Sep","Oct","Nov","Dec"},0),LEFT(TRIM(Raw_Export!B805),2)))))</f>
        <v>46270</v>
      </c>
      <c r="C805" s="36" t="str">
        <f aca="false">IF(Raw_Export!$A805="","",IFERROR(VLOOKUP(LOWER(TRIM(Raw_Export!C805)),Maps!$A$2:$B$20,2,FALSE()),"UNMAPPED"))</f>
        <v>Westlands</v>
      </c>
      <c r="D805" s="36" t="str">
        <f aca="false">IF(Raw_Export!$A805="","",IFERROR(VLOOKUP(LOWER(TRIM(Raw_Export!D805)),Maps!$G$2:$I$80,2,FALSE()),"UNMAPPED"))</f>
        <v>Bath Soap 175g</v>
      </c>
      <c r="E805" s="36" t="str">
        <f aca="false">IF(Raw_Export!$A805="","",IFERROR(VLOOKUP(LOWER(TRIM(Raw_Export!D805)),Maps!$G$2:$I$80,3,FALSE()),"UNMAPPED"))</f>
        <v>Personal Care</v>
      </c>
      <c r="F805" s="36" t="n">
        <f aca="false">IF(Raw_Export!$A805="","",IFERROR(VALUE(TRIM(Raw_Export!E805)),0))</f>
        <v>6</v>
      </c>
      <c r="G805" s="38" t="n">
        <f aca="false">IF(Raw_Export!$A805="","",IFERROR(VALUE(SUBSTITUTE(SUBSTITUTE(UPPER(TRIM(Raw_Export!F805)),"KES",""),",","")),0))</f>
        <v>85</v>
      </c>
      <c r="H805" s="38" t="n">
        <f aca="false">IF(Raw_Export!$A805="","",F805*G805)</f>
        <v>510</v>
      </c>
      <c r="I805" s="36" t="str">
        <f aca="false">IF(Raw_Export!$A805="","",IFERROR(VLOOKUP(LOWER(TRIM(Raw_Export!H805)),Maps!$D$2:$E$12,2,FALSE()),"Other"))</f>
        <v>Card</v>
      </c>
      <c r="J805" s="36" t="str">
        <f aca="false">IF(Raw_Export!$A805="","",IF(COUNTIF($A$2:A805,A805)&gt;1,"Duplicate",""))</f>
        <v/>
      </c>
      <c r="K805" s="36" t="str">
        <f aca="false">IF(Raw_Export!$A805="","",IF(J805="Duplicate","Duplicate",IF(OR(C805="UNMAPPED",D805="UNMAPPED"),"Unmapped",IF(F805=0,"Blank qty",IF(F805&lt;0,"Return","OK")))))</f>
        <v>OK</v>
      </c>
      <c r="L805" s="36" t="n">
        <f aca="false">IF(Raw_Export!$A805="","",IF(OR(K805="OK",K805="Return"),1,0))</f>
        <v>1</v>
      </c>
      <c r="M805" s="37" t="n">
        <f aca="false">IF(Raw_Export!$A805="","",B805-WEEKDAY(B805,2)+1)</f>
        <v>46265</v>
      </c>
    </row>
    <row r="806" customFormat="false" ht="15" hidden="false" customHeight="false" outlineLevel="0" collapsed="false">
      <c r="A806" s="36" t="str">
        <f aca="false">IF(Raw_Export!$A806="","",TRIM(Raw_Export!A806))</f>
        <v>TXN-100790</v>
      </c>
      <c r="B806" s="37" t="n">
        <f aca="false">IF(Raw_Export!$A806="","",IF(ISNUMBER(Raw_Export!B806),Raw_Export!B806,IF(MID(TRIM(Raw_Export!B806),5,1)="-",DATE(LEFT(TRIM(Raw_Export!B806),4),MID(TRIM(Raw_Export!B806),6,2),RIGHT(TRIM(Raw_Export!B806),2)),DATE(RIGHT(TRIM(Raw_Export!B806),4),MATCH(MID(TRIM(Raw_Export!B806),4,3),{"Jan","Feb","Mar","Apr","May","Jun","Jul","Aug","Sep","Oct","Nov","Dec"},0),LEFT(TRIM(Raw_Export!B806),2)))))</f>
        <v>46270</v>
      </c>
      <c r="C806" s="36" t="str">
        <f aca="false">IF(Raw_Export!$A806="","",IFERROR(VLOOKUP(LOWER(TRIM(Raw_Export!C806)),Maps!$A$2:$B$20,2,FALSE()),"UNMAPPED"))</f>
        <v>Westlands</v>
      </c>
      <c r="D806" s="36" t="str">
        <f aca="false">IF(Raw_Export!$A806="","",IFERROR(VLOOKUP(LOWER(TRIM(Raw_Export!D806)),Maps!$G$2:$I$80,2,FALSE()),"UNMAPPED"))</f>
        <v>Spaghetti 400g</v>
      </c>
      <c r="E806" s="36" t="str">
        <f aca="false">IF(Raw_Export!$A806="","",IFERROR(VLOOKUP(LOWER(TRIM(Raw_Export!D806)),Maps!$G$2:$I$80,3,FALSE()),"UNMAPPED"))</f>
        <v>Staples</v>
      </c>
      <c r="F806" s="36" t="n">
        <f aca="false">IF(Raw_Export!$A806="","",IFERROR(VALUE(TRIM(Raw_Export!E806)),0))</f>
        <v>6</v>
      </c>
      <c r="G806" s="38" t="n">
        <f aca="false">IF(Raw_Export!$A806="","",IFERROR(VALUE(SUBSTITUTE(SUBSTITUTE(UPPER(TRIM(Raw_Export!F806)),"KES",""),",","")),0))</f>
        <v>110</v>
      </c>
      <c r="H806" s="38" t="n">
        <f aca="false">IF(Raw_Export!$A806="","",F806*G806)</f>
        <v>660</v>
      </c>
      <c r="I806" s="36" t="str">
        <f aca="false">IF(Raw_Export!$A806="","",IFERROR(VLOOKUP(LOWER(TRIM(Raw_Export!H806)),Maps!$D$2:$E$12,2,FALSE()),"Other"))</f>
        <v>Cash</v>
      </c>
      <c r="J806" s="36" t="str">
        <f aca="false">IF(Raw_Export!$A806="","",IF(COUNTIF($A$2:A806,A806)&gt;1,"Duplicate",""))</f>
        <v/>
      </c>
      <c r="K806" s="36" t="str">
        <f aca="false">IF(Raw_Export!$A806="","",IF(J806="Duplicate","Duplicate",IF(OR(C806="UNMAPPED",D806="UNMAPPED"),"Unmapped",IF(F806=0,"Blank qty",IF(F806&lt;0,"Return","OK")))))</f>
        <v>OK</v>
      </c>
      <c r="L806" s="36" t="n">
        <f aca="false">IF(Raw_Export!$A806="","",IF(OR(K806="OK",K806="Return"),1,0))</f>
        <v>1</v>
      </c>
      <c r="M806" s="37" t="n">
        <f aca="false">IF(Raw_Export!$A806="","",B806-WEEKDAY(B806,2)+1)</f>
        <v>46265</v>
      </c>
    </row>
    <row r="807" customFormat="false" ht="15" hidden="false" customHeight="false" outlineLevel="0" collapsed="false">
      <c r="A807" s="36" t="str">
        <f aca="false">IF(Raw_Export!$A807="","",TRIM(Raw_Export!A807))</f>
        <v>TXN-100791</v>
      </c>
      <c r="B807" s="37" t="n">
        <f aca="false">IF(Raw_Export!$A807="","",IF(ISNUMBER(Raw_Export!B807),Raw_Export!B807,IF(MID(TRIM(Raw_Export!B807),5,1)="-",DATE(LEFT(TRIM(Raw_Export!B807),4),MID(TRIM(Raw_Export!B807),6,2),RIGHT(TRIM(Raw_Export!B807),2)),DATE(RIGHT(TRIM(Raw_Export!B807),4),MATCH(MID(TRIM(Raw_Export!B807),4,3),{"Jan","Feb","Mar","Apr","May","Jun","Jul","Aug","Sep","Oct","Nov","Dec"},0),LEFT(TRIM(Raw_Export!B807),2)))))</f>
        <v>46270</v>
      </c>
      <c r="C807" s="36" t="str">
        <f aca="false">IF(Raw_Export!$A807="","",IFERROR(VLOOKUP(LOWER(TRIM(Raw_Export!C807)),Maps!$A$2:$B$20,2,FALSE()),"UNMAPPED"))</f>
        <v>Westlands</v>
      </c>
      <c r="D807" s="36" t="str">
        <f aca="false">IF(Raw_Export!$A807="","",IFERROR(VLOOKUP(LOWER(TRIM(Raw_Export!D807)),Maps!$G$2:$I$80,2,FALSE()),"UNMAPPED"))</f>
        <v>Unga Pembe 2kg</v>
      </c>
      <c r="E807" s="36" t="str">
        <f aca="false">IF(Raw_Export!$A807="","",IFERROR(VLOOKUP(LOWER(TRIM(Raw_Export!D807)),Maps!$G$2:$I$80,3,FALSE()),"UNMAPPED"))</f>
        <v>Staples</v>
      </c>
      <c r="F807" s="36" t="n">
        <f aca="false">IF(Raw_Export!$A807="","",IFERROR(VALUE(TRIM(Raw_Export!E807)),0))</f>
        <v>1</v>
      </c>
      <c r="G807" s="38" t="n">
        <f aca="false">IF(Raw_Export!$A807="","",IFERROR(VALUE(SUBSTITUTE(SUBSTITUTE(UPPER(TRIM(Raw_Export!F807)),"KES",""),",","")),0))</f>
        <v>190</v>
      </c>
      <c r="H807" s="38" t="n">
        <f aca="false">IF(Raw_Export!$A807="","",F807*G807)</f>
        <v>190</v>
      </c>
      <c r="I807" s="36" t="str">
        <f aca="false">IF(Raw_Export!$A807="","",IFERROR(VLOOKUP(LOWER(TRIM(Raw_Export!H807)),Maps!$D$2:$E$12,2,FALSE()),"Other"))</f>
        <v>M-Pesa</v>
      </c>
      <c r="J807" s="36" t="str">
        <f aca="false">IF(Raw_Export!$A807="","",IF(COUNTIF($A$2:A807,A807)&gt;1,"Duplicate",""))</f>
        <v/>
      </c>
      <c r="K807" s="36" t="str">
        <f aca="false">IF(Raw_Export!$A807="","",IF(J807="Duplicate","Duplicate",IF(OR(C807="UNMAPPED",D807="UNMAPPED"),"Unmapped",IF(F807=0,"Blank qty",IF(F807&lt;0,"Return","OK")))))</f>
        <v>OK</v>
      </c>
      <c r="L807" s="36" t="n">
        <f aca="false">IF(Raw_Export!$A807="","",IF(OR(K807="OK",K807="Return"),1,0))</f>
        <v>1</v>
      </c>
      <c r="M807" s="37" t="n">
        <f aca="false">IF(Raw_Export!$A807="","",B807-WEEKDAY(B807,2)+1)</f>
        <v>46265</v>
      </c>
    </row>
    <row r="808" customFormat="false" ht="15" hidden="false" customHeight="false" outlineLevel="0" collapsed="false">
      <c r="A808" s="36" t="str">
        <f aca="false">IF(Raw_Export!$A808="","",TRIM(Raw_Export!A808))</f>
        <v>TXN-100792</v>
      </c>
      <c r="B808" s="37" t="n">
        <f aca="false">IF(Raw_Export!$A808="","",IF(ISNUMBER(Raw_Export!B808),Raw_Export!B808,IF(MID(TRIM(Raw_Export!B808),5,1)="-",DATE(LEFT(TRIM(Raw_Export!B808),4),MID(TRIM(Raw_Export!B808),6,2),RIGHT(TRIM(Raw_Export!B808),2)),DATE(RIGHT(TRIM(Raw_Export!B808),4),MATCH(MID(TRIM(Raw_Export!B808),4,3),{"Jan","Feb","Mar","Apr","May","Jun","Jul","Aug","Sep","Oct","Nov","Dec"},0),LEFT(TRIM(Raw_Export!B808),2)))))</f>
        <v>46270</v>
      </c>
      <c r="C808" s="36" t="str">
        <f aca="false">IF(Raw_Export!$A808="","",IFERROR(VLOOKUP(LOWER(TRIM(Raw_Export!C808)),Maps!$A$2:$B$20,2,FALSE()),"UNMAPPED"))</f>
        <v>Westlands</v>
      </c>
      <c r="D808" s="36" t="str">
        <f aca="false">IF(Raw_Export!$A808="","",IFERROR(VLOOKUP(LOWER(TRIM(Raw_Export!D808)),Maps!$G$2:$I$80,2,FALSE()),"UNMAPPED"))</f>
        <v>Spaghetti 400g</v>
      </c>
      <c r="E808" s="36" t="str">
        <f aca="false">IF(Raw_Export!$A808="","",IFERROR(VLOOKUP(LOWER(TRIM(Raw_Export!D808)),Maps!$G$2:$I$80,3,FALSE()),"UNMAPPED"))</f>
        <v>Staples</v>
      </c>
      <c r="F808" s="36" t="n">
        <f aca="false">IF(Raw_Export!$A808="","",IFERROR(VALUE(TRIM(Raw_Export!E808)),0))</f>
        <v>6</v>
      </c>
      <c r="G808" s="38" t="n">
        <f aca="false">IF(Raw_Export!$A808="","",IFERROR(VALUE(SUBSTITUTE(SUBSTITUTE(UPPER(TRIM(Raw_Export!F808)),"KES",""),",","")),0))</f>
        <v>99</v>
      </c>
      <c r="H808" s="38" t="n">
        <f aca="false">IF(Raw_Export!$A808="","",F808*G808)</f>
        <v>594</v>
      </c>
      <c r="I808" s="36" t="str">
        <f aca="false">IF(Raw_Export!$A808="","",IFERROR(VLOOKUP(LOWER(TRIM(Raw_Export!H808)),Maps!$D$2:$E$12,2,FALSE()),"Other"))</f>
        <v>Cash</v>
      </c>
      <c r="J808" s="36" t="str">
        <f aca="false">IF(Raw_Export!$A808="","",IF(COUNTIF($A$2:A808,A808)&gt;1,"Duplicate",""))</f>
        <v/>
      </c>
      <c r="K808" s="36" t="str">
        <f aca="false">IF(Raw_Export!$A808="","",IF(J808="Duplicate","Duplicate",IF(OR(C808="UNMAPPED",D808="UNMAPPED"),"Unmapped",IF(F808=0,"Blank qty",IF(F808&lt;0,"Return","OK")))))</f>
        <v>OK</v>
      </c>
      <c r="L808" s="36" t="n">
        <f aca="false">IF(Raw_Export!$A808="","",IF(OR(K808="OK",K808="Return"),1,0))</f>
        <v>1</v>
      </c>
      <c r="M808" s="37" t="n">
        <f aca="false">IF(Raw_Export!$A808="","",B808-WEEKDAY(B808,2)+1)</f>
        <v>46265</v>
      </c>
    </row>
    <row r="809" customFormat="false" ht="15" hidden="false" customHeight="false" outlineLevel="0" collapsed="false">
      <c r="A809" s="36" t="str">
        <f aca="false">IF(Raw_Export!$A809="","",TRIM(Raw_Export!A809))</f>
        <v>TXN-100793</v>
      </c>
      <c r="B809" s="37" t="n">
        <f aca="false">IF(Raw_Export!$A809="","",IF(ISNUMBER(Raw_Export!B809),Raw_Export!B809,IF(MID(TRIM(Raw_Export!B809),5,1)="-",DATE(LEFT(TRIM(Raw_Export!B809),4),MID(TRIM(Raw_Export!B809),6,2),RIGHT(TRIM(Raw_Export!B809),2)),DATE(RIGHT(TRIM(Raw_Export!B809),4),MATCH(MID(TRIM(Raw_Export!B809),4,3),{"Jan","Feb","Mar","Apr","May","Jun","Jul","Aug","Sep","Oct","Nov","Dec"},0),LEFT(TRIM(Raw_Export!B809),2)))))</f>
        <v>46270</v>
      </c>
      <c r="C809" s="36" t="str">
        <f aca="false">IF(Raw_Export!$A809="","",IFERROR(VLOOKUP(LOWER(TRIM(Raw_Export!C809)),Maps!$A$2:$B$20,2,FALSE()),"UNMAPPED"))</f>
        <v>Westlands</v>
      </c>
      <c r="D809" s="36" t="str">
        <f aca="false">IF(Raw_Export!$A809="","",IFERROR(VLOOKUP(LOWER(TRIM(Raw_Export!D809)),Maps!$G$2:$I$80,2,FALSE()),"UNMAPPED"))</f>
        <v>Toilet Paper 10pk</v>
      </c>
      <c r="E809" s="36" t="str">
        <f aca="false">IF(Raw_Export!$A809="","",IFERROR(VLOOKUP(LOWER(TRIM(Raw_Export!D809)),Maps!$G$2:$I$80,3,FALSE()),"UNMAPPED"))</f>
        <v>Household</v>
      </c>
      <c r="F809" s="36" t="n">
        <f aca="false">IF(Raw_Export!$A809="","",IFERROR(VALUE(TRIM(Raw_Export!E809)),0))</f>
        <v>3</v>
      </c>
      <c r="G809" s="38" t="n">
        <f aca="false">IF(Raw_Export!$A809="","",IFERROR(VALUE(SUBSTITUTE(SUBSTITUTE(UPPER(TRIM(Raw_Export!F809)),"KES",""),",","")),0))</f>
        <v>380</v>
      </c>
      <c r="H809" s="38" t="n">
        <f aca="false">IF(Raw_Export!$A809="","",F809*G809)</f>
        <v>1140</v>
      </c>
      <c r="I809" s="36" t="str">
        <f aca="false">IF(Raw_Export!$A809="","",IFERROR(VLOOKUP(LOWER(TRIM(Raw_Export!H809)),Maps!$D$2:$E$12,2,FALSE()),"Other"))</f>
        <v>M-Pesa</v>
      </c>
      <c r="J809" s="36" t="str">
        <f aca="false">IF(Raw_Export!$A809="","",IF(COUNTIF($A$2:A809,A809)&gt;1,"Duplicate",""))</f>
        <v/>
      </c>
      <c r="K809" s="36" t="str">
        <f aca="false">IF(Raw_Export!$A809="","",IF(J809="Duplicate","Duplicate",IF(OR(C809="UNMAPPED",D809="UNMAPPED"),"Unmapped",IF(F809=0,"Blank qty",IF(F809&lt;0,"Return","OK")))))</f>
        <v>OK</v>
      </c>
      <c r="L809" s="36" t="n">
        <f aca="false">IF(Raw_Export!$A809="","",IF(OR(K809="OK",K809="Return"),1,0))</f>
        <v>1</v>
      </c>
      <c r="M809" s="37" t="n">
        <f aca="false">IF(Raw_Export!$A809="","",B809-WEEKDAY(B809,2)+1)</f>
        <v>46265</v>
      </c>
    </row>
    <row r="810" customFormat="false" ht="15" hidden="false" customHeight="false" outlineLevel="0" collapsed="false">
      <c r="A810" s="36" t="str">
        <f aca="false">IF(Raw_Export!$A810="","",TRIM(Raw_Export!A810))</f>
        <v>TXN-100794</v>
      </c>
      <c r="B810" s="37" t="n">
        <f aca="false">IF(Raw_Export!$A810="","",IF(ISNUMBER(Raw_Export!B810),Raw_Export!B810,IF(MID(TRIM(Raw_Export!B810),5,1)="-",DATE(LEFT(TRIM(Raw_Export!B810),4),MID(TRIM(Raw_Export!B810),6,2),RIGHT(TRIM(Raw_Export!B810),2)),DATE(RIGHT(TRIM(Raw_Export!B810),4),MATCH(MID(TRIM(Raw_Export!B810),4,3),{"Jan","Feb","Mar","Apr","May","Jun","Jul","Aug","Sep","Oct","Nov","Dec"},0),LEFT(TRIM(Raw_Export!B810),2)))))</f>
        <v>46270</v>
      </c>
      <c r="C810" s="36" t="str">
        <f aca="false">IF(Raw_Export!$A810="","",IFERROR(VLOOKUP(LOWER(TRIM(Raw_Export!C810)),Maps!$A$2:$B$20,2,FALSE()),"UNMAPPED"))</f>
        <v>Westlands</v>
      </c>
      <c r="D810" s="36" t="str">
        <f aca="false">IF(Raw_Export!$A810="","",IFERROR(VLOOKUP(LOWER(TRIM(Raw_Export!D810)),Maps!$G$2:$I$80,2,FALSE()),"UNMAPPED"))</f>
        <v>Bread Loaf 400g</v>
      </c>
      <c r="E810" s="36" t="str">
        <f aca="false">IF(Raw_Export!$A810="","",IFERROR(VLOOKUP(LOWER(TRIM(Raw_Export!D810)),Maps!$G$2:$I$80,3,FALSE()),"UNMAPPED"))</f>
        <v>Snacks</v>
      </c>
      <c r="F810" s="36" t="n">
        <f aca="false">IF(Raw_Export!$A810="","",IFERROR(VALUE(TRIM(Raw_Export!E810)),0))</f>
        <v>1</v>
      </c>
      <c r="G810" s="38" t="n">
        <f aca="false">IF(Raw_Export!$A810="","",IFERROR(VALUE(SUBSTITUTE(SUBSTITUTE(UPPER(TRIM(Raw_Export!F810)),"KES",""),",","")),0))</f>
        <v>65</v>
      </c>
      <c r="H810" s="38" t="n">
        <f aca="false">IF(Raw_Export!$A810="","",F810*G810)</f>
        <v>65</v>
      </c>
      <c r="I810" s="36" t="str">
        <f aca="false">IF(Raw_Export!$A810="","",IFERROR(VLOOKUP(LOWER(TRIM(Raw_Export!H810)),Maps!$D$2:$E$12,2,FALSE()),"Other"))</f>
        <v>Cash</v>
      </c>
      <c r="J810" s="36" t="str">
        <f aca="false">IF(Raw_Export!$A810="","",IF(COUNTIF($A$2:A810,A810)&gt;1,"Duplicate",""))</f>
        <v/>
      </c>
      <c r="K810" s="36" t="str">
        <f aca="false">IF(Raw_Export!$A810="","",IF(J810="Duplicate","Duplicate",IF(OR(C810="UNMAPPED",D810="UNMAPPED"),"Unmapped",IF(F810=0,"Blank qty",IF(F810&lt;0,"Return","OK")))))</f>
        <v>OK</v>
      </c>
      <c r="L810" s="36" t="n">
        <f aca="false">IF(Raw_Export!$A810="","",IF(OR(K810="OK",K810="Return"),1,0))</f>
        <v>1</v>
      </c>
      <c r="M810" s="37" t="n">
        <f aca="false">IF(Raw_Export!$A810="","",B810-WEEKDAY(B810,2)+1)</f>
        <v>46265</v>
      </c>
    </row>
    <row r="811" customFormat="false" ht="15" hidden="false" customHeight="false" outlineLevel="0" collapsed="false">
      <c r="A811" s="36" t="str">
        <f aca="false">IF(Raw_Export!$A811="","",TRIM(Raw_Export!A811))</f>
        <v>TXN-100795</v>
      </c>
      <c r="B811" s="37" t="n">
        <f aca="false">IF(Raw_Export!$A811="","",IF(ISNUMBER(Raw_Export!B811),Raw_Export!B811,IF(MID(TRIM(Raw_Export!B811),5,1)="-",DATE(LEFT(TRIM(Raw_Export!B811),4),MID(TRIM(Raw_Export!B811),6,2),RIGHT(TRIM(Raw_Export!B811),2)),DATE(RIGHT(TRIM(Raw_Export!B811),4),MATCH(MID(TRIM(Raw_Export!B811),4,3),{"Jan","Feb","Mar","Apr","May","Jun","Jul","Aug","Sep","Oct","Nov","Dec"},0),LEFT(TRIM(Raw_Export!B811),2)))))</f>
        <v>46270</v>
      </c>
      <c r="C811" s="36" t="str">
        <f aca="false">IF(Raw_Export!$A811="","",IFERROR(VLOOKUP(LOWER(TRIM(Raw_Export!C811)),Maps!$A$2:$B$20,2,FALSE()),"UNMAPPED"))</f>
        <v>Westlands</v>
      </c>
      <c r="D811" s="36" t="str">
        <f aca="false">IF(Raw_Export!$A811="","",IFERROR(VLOOKUP(LOWER(TRIM(Raw_Export!D811)),Maps!$G$2:$I$80,2,FALSE()),"UNMAPPED"))</f>
        <v>Crisps 100g</v>
      </c>
      <c r="E811" s="36" t="str">
        <f aca="false">IF(Raw_Export!$A811="","",IFERROR(VLOOKUP(LOWER(TRIM(Raw_Export!D811)),Maps!$G$2:$I$80,3,FALSE()),"UNMAPPED"))</f>
        <v>Snacks</v>
      </c>
      <c r="F811" s="36" t="n">
        <f aca="false">IF(Raw_Export!$A811="","",IFERROR(VALUE(TRIM(Raw_Export!E811)),0))</f>
        <v>2</v>
      </c>
      <c r="G811" s="38" t="n">
        <f aca="false">IF(Raw_Export!$A811="","",IFERROR(VALUE(SUBSTITUTE(SUBSTITUTE(UPPER(TRIM(Raw_Export!F811)),"KES",""),",","")),0))</f>
        <v>80</v>
      </c>
      <c r="H811" s="38" t="n">
        <f aca="false">IF(Raw_Export!$A811="","",F811*G811)</f>
        <v>160</v>
      </c>
      <c r="I811" s="36" t="str">
        <f aca="false">IF(Raw_Export!$A811="","",IFERROR(VLOOKUP(LOWER(TRIM(Raw_Export!H811)),Maps!$D$2:$E$12,2,FALSE()),"Other"))</f>
        <v>Card</v>
      </c>
      <c r="J811" s="36" t="str">
        <f aca="false">IF(Raw_Export!$A811="","",IF(COUNTIF($A$2:A811,A811)&gt;1,"Duplicate",""))</f>
        <v/>
      </c>
      <c r="K811" s="36" t="str">
        <f aca="false">IF(Raw_Export!$A811="","",IF(J811="Duplicate","Duplicate",IF(OR(C811="UNMAPPED",D811="UNMAPPED"),"Unmapped",IF(F811=0,"Blank qty",IF(F811&lt;0,"Return","OK")))))</f>
        <v>OK</v>
      </c>
      <c r="L811" s="36" t="n">
        <f aca="false">IF(Raw_Export!$A811="","",IF(OR(K811="OK",K811="Return"),1,0))</f>
        <v>1</v>
      </c>
      <c r="M811" s="37" t="n">
        <f aca="false">IF(Raw_Export!$A811="","",B811-WEEKDAY(B811,2)+1)</f>
        <v>46265</v>
      </c>
    </row>
    <row r="812" customFormat="false" ht="15" hidden="false" customHeight="false" outlineLevel="0" collapsed="false">
      <c r="A812" s="36" t="str">
        <f aca="false">IF(Raw_Export!$A812="","",TRIM(Raw_Export!A812))</f>
        <v>TXN-100796</v>
      </c>
      <c r="B812" s="37" t="n">
        <f aca="false">IF(Raw_Export!$A812="","",IF(ISNUMBER(Raw_Export!B812),Raw_Export!B812,IF(MID(TRIM(Raw_Export!B812),5,1)="-",DATE(LEFT(TRIM(Raw_Export!B812),4),MID(TRIM(Raw_Export!B812),6,2),RIGHT(TRIM(Raw_Export!B812),2)),DATE(RIGHT(TRIM(Raw_Export!B812),4),MATCH(MID(TRIM(Raw_Export!B812),4,3),{"Jan","Feb","Mar","Apr","May","Jun","Jul","Aug","Sep","Oct","Nov","Dec"},0),LEFT(TRIM(Raw_Export!B812),2)))))</f>
        <v>46270</v>
      </c>
      <c r="C812" s="36" t="str">
        <f aca="false">IF(Raw_Export!$A812="","",IFERROR(VLOOKUP(LOWER(TRIM(Raw_Export!C812)),Maps!$A$2:$B$20,2,FALSE()),"UNMAPPED"))</f>
        <v>Westlands</v>
      </c>
      <c r="D812" s="36" t="str">
        <f aca="false">IF(Raw_Export!$A812="","",IFERROR(VLOOKUP(LOWER(TRIM(Raw_Export!D812)),Maps!$G$2:$I$80,2,FALSE()),"UNMAPPED"))</f>
        <v>Cooking Oil 1L</v>
      </c>
      <c r="E812" s="36" t="str">
        <f aca="false">IF(Raw_Export!$A812="","",IFERROR(VLOOKUP(LOWER(TRIM(Raw_Export!D812)),Maps!$G$2:$I$80,3,FALSE()),"UNMAPPED"))</f>
        <v>Staples</v>
      </c>
      <c r="F812" s="36" t="n">
        <f aca="false">IF(Raw_Export!$A812="","",IFERROR(VALUE(TRIM(Raw_Export!E812)),0))</f>
        <v>1</v>
      </c>
      <c r="G812" s="38" t="n">
        <f aca="false">IF(Raw_Export!$A812="","",IFERROR(VALUE(SUBSTITUTE(SUBSTITUTE(UPPER(TRIM(Raw_Export!F812)),"KES",""),",","")),0))</f>
        <v>330</v>
      </c>
      <c r="H812" s="38" t="n">
        <f aca="false">IF(Raw_Export!$A812="","",F812*G812)</f>
        <v>330</v>
      </c>
      <c r="I812" s="36" t="str">
        <f aca="false">IF(Raw_Export!$A812="","",IFERROR(VLOOKUP(LOWER(TRIM(Raw_Export!H812)),Maps!$D$2:$E$12,2,FALSE()),"Other"))</f>
        <v>M-Pesa</v>
      </c>
      <c r="J812" s="36" t="str">
        <f aca="false">IF(Raw_Export!$A812="","",IF(COUNTIF($A$2:A812,A812)&gt;1,"Duplicate",""))</f>
        <v/>
      </c>
      <c r="K812" s="36" t="str">
        <f aca="false">IF(Raw_Export!$A812="","",IF(J812="Duplicate","Duplicate",IF(OR(C812="UNMAPPED",D812="UNMAPPED"),"Unmapped",IF(F812=0,"Blank qty",IF(F812&lt;0,"Return","OK")))))</f>
        <v>OK</v>
      </c>
      <c r="L812" s="36" t="n">
        <f aca="false">IF(Raw_Export!$A812="","",IF(OR(K812="OK",K812="Return"),1,0))</f>
        <v>1</v>
      </c>
      <c r="M812" s="37" t="n">
        <f aca="false">IF(Raw_Export!$A812="","",B812-WEEKDAY(B812,2)+1)</f>
        <v>46265</v>
      </c>
    </row>
    <row r="813" customFormat="false" ht="15" hidden="false" customHeight="false" outlineLevel="0" collapsed="false">
      <c r="A813" s="36" t="str">
        <f aca="false">IF(Raw_Export!$A813="","",TRIM(Raw_Export!A813))</f>
        <v>TXN-100797</v>
      </c>
      <c r="B813" s="37" t="n">
        <f aca="false">IF(Raw_Export!$A813="","",IF(ISNUMBER(Raw_Export!B813),Raw_Export!B813,IF(MID(TRIM(Raw_Export!B813),5,1)="-",DATE(LEFT(TRIM(Raw_Export!B813),4),MID(TRIM(Raw_Export!B813),6,2),RIGHT(TRIM(Raw_Export!B813),2)),DATE(RIGHT(TRIM(Raw_Export!B813),4),MATCH(MID(TRIM(Raw_Export!B813),4,3),{"Jan","Feb","Mar","Apr","May","Jun","Jul","Aug","Sep","Oct","Nov","Dec"},0),LEFT(TRIM(Raw_Export!B813),2)))))</f>
        <v>46270</v>
      </c>
      <c r="C813" s="36" t="str">
        <f aca="false">IF(Raw_Export!$A813="","",IFERROR(VLOOKUP(LOWER(TRIM(Raw_Export!C813)),Maps!$A$2:$B$20,2,FALSE()),"UNMAPPED"))</f>
        <v>Mombasa</v>
      </c>
      <c r="D813" s="36" t="str">
        <f aca="false">IF(Raw_Export!$A813="","",IFERROR(VLOOKUP(LOWER(TRIM(Raw_Export!D813)),Maps!$G$2:$I$80,2,FALSE()),"UNMAPPED"))</f>
        <v>Eggs Tray 30</v>
      </c>
      <c r="E813" s="36" t="str">
        <f aca="false">IF(Raw_Export!$A813="","",IFERROR(VLOOKUP(LOWER(TRIM(Raw_Export!D813)),Maps!$G$2:$I$80,3,FALSE()),"UNMAPPED"))</f>
        <v>Dairy &amp; Eggs</v>
      </c>
      <c r="F813" s="36" t="n">
        <f aca="false">IF(Raw_Export!$A813="","",IFERROR(VALUE(TRIM(Raw_Export!E813)),0))</f>
        <v>2</v>
      </c>
      <c r="G813" s="38" t="n">
        <f aca="false">IF(Raw_Export!$A813="","",IFERROR(VALUE(SUBSTITUTE(SUBSTITUTE(UPPER(TRIM(Raw_Export!F813)),"KES",""),",","")),0))</f>
        <v>450</v>
      </c>
      <c r="H813" s="38" t="n">
        <f aca="false">IF(Raw_Export!$A813="","",F813*G813)</f>
        <v>900</v>
      </c>
      <c r="I813" s="36" t="str">
        <f aca="false">IF(Raw_Export!$A813="","",IFERROR(VLOOKUP(LOWER(TRIM(Raw_Export!H813)),Maps!$D$2:$E$12,2,FALSE()),"Other"))</f>
        <v>M-Pesa</v>
      </c>
      <c r="J813" s="36" t="str">
        <f aca="false">IF(Raw_Export!$A813="","",IF(COUNTIF($A$2:A813,A813)&gt;1,"Duplicate",""))</f>
        <v/>
      </c>
      <c r="K813" s="36" t="str">
        <f aca="false">IF(Raw_Export!$A813="","",IF(J813="Duplicate","Duplicate",IF(OR(C813="UNMAPPED",D813="UNMAPPED"),"Unmapped",IF(F813=0,"Blank qty",IF(F813&lt;0,"Return","OK")))))</f>
        <v>OK</v>
      </c>
      <c r="L813" s="36" t="n">
        <f aca="false">IF(Raw_Export!$A813="","",IF(OR(K813="OK",K813="Return"),1,0))</f>
        <v>1</v>
      </c>
      <c r="M813" s="37" t="n">
        <f aca="false">IF(Raw_Export!$A813="","",B813-WEEKDAY(B813,2)+1)</f>
        <v>46265</v>
      </c>
    </row>
    <row r="814" customFormat="false" ht="15" hidden="false" customHeight="false" outlineLevel="0" collapsed="false">
      <c r="A814" s="36" t="str">
        <f aca="false">IF(Raw_Export!$A814="","",TRIM(Raw_Export!A814))</f>
        <v>TXN-100798</v>
      </c>
      <c r="B814" s="37" t="n">
        <f aca="false">IF(Raw_Export!$A814="","",IF(ISNUMBER(Raw_Export!B814),Raw_Export!B814,IF(MID(TRIM(Raw_Export!B814),5,1)="-",DATE(LEFT(TRIM(Raw_Export!B814),4),MID(TRIM(Raw_Export!B814),6,2),RIGHT(TRIM(Raw_Export!B814),2)),DATE(RIGHT(TRIM(Raw_Export!B814),4),MATCH(MID(TRIM(Raw_Export!B814),4,3),{"Jan","Feb","Mar","Apr","May","Jun","Jul","Aug","Sep","Oct","Nov","Dec"},0),LEFT(TRIM(Raw_Export!B814),2)))))</f>
        <v>46270</v>
      </c>
      <c r="C814" s="36" t="str">
        <f aca="false">IF(Raw_Export!$A814="","",IFERROR(VLOOKUP(LOWER(TRIM(Raw_Export!C814)),Maps!$A$2:$B$20,2,FALSE()),"UNMAPPED"))</f>
        <v>Mombasa</v>
      </c>
      <c r="D814" s="36" t="str">
        <f aca="false">IF(Raw_Export!$A814="","",IFERROR(VLOOKUP(LOWER(TRIM(Raw_Export!D814)),Maps!$G$2:$I$80,2,FALSE()),"UNMAPPED"))</f>
        <v>Cooking Oil 1L</v>
      </c>
      <c r="E814" s="36" t="str">
        <f aca="false">IF(Raw_Export!$A814="","",IFERROR(VLOOKUP(LOWER(TRIM(Raw_Export!D814)),Maps!$G$2:$I$80,3,FALSE()),"UNMAPPED"))</f>
        <v>Staples</v>
      </c>
      <c r="F814" s="36" t="n">
        <f aca="false">IF(Raw_Export!$A814="","",IFERROR(VALUE(TRIM(Raw_Export!E814)),0))</f>
        <v>6</v>
      </c>
      <c r="G814" s="38" t="n">
        <f aca="false">IF(Raw_Export!$A814="","",IFERROR(VALUE(SUBSTITUTE(SUBSTITUTE(UPPER(TRIM(Raw_Export!F814)),"KES",""),",","")),0))</f>
        <v>330</v>
      </c>
      <c r="H814" s="38" t="n">
        <f aca="false">IF(Raw_Export!$A814="","",F814*G814)</f>
        <v>1980</v>
      </c>
      <c r="I814" s="36" t="str">
        <f aca="false">IF(Raw_Export!$A814="","",IFERROR(VLOOKUP(LOWER(TRIM(Raw_Export!H814)),Maps!$D$2:$E$12,2,FALSE()),"Other"))</f>
        <v>M-Pesa</v>
      </c>
      <c r="J814" s="36" t="str">
        <f aca="false">IF(Raw_Export!$A814="","",IF(COUNTIF($A$2:A814,A814)&gt;1,"Duplicate",""))</f>
        <v/>
      </c>
      <c r="K814" s="36" t="str">
        <f aca="false">IF(Raw_Export!$A814="","",IF(J814="Duplicate","Duplicate",IF(OR(C814="UNMAPPED",D814="UNMAPPED"),"Unmapped",IF(F814=0,"Blank qty",IF(F814&lt;0,"Return","OK")))))</f>
        <v>OK</v>
      </c>
      <c r="L814" s="36" t="n">
        <f aca="false">IF(Raw_Export!$A814="","",IF(OR(K814="OK",K814="Return"),1,0))</f>
        <v>1</v>
      </c>
      <c r="M814" s="37" t="n">
        <f aca="false">IF(Raw_Export!$A814="","",B814-WEEKDAY(B814,2)+1)</f>
        <v>46265</v>
      </c>
    </row>
    <row r="815" customFormat="false" ht="15" hidden="false" customHeight="false" outlineLevel="0" collapsed="false">
      <c r="A815" s="36" t="str">
        <f aca="false">IF(Raw_Export!$A815="","",TRIM(Raw_Export!A815))</f>
        <v>TXN-100799</v>
      </c>
      <c r="B815" s="37" t="n">
        <f aca="false">IF(Raw_Export!$A815="","",IF(ISNUMBER(Raw_Export!B815),Raw_Export!B815,IF(MID(TRIM(Raw_Export!B815),5,1)="-",DATE(LEFT(TRIM(Raw_Export!B815),4),MID(TRIM(Raw_Export!B815),6,2),RIGHT(TRIM(Raw_Export!B815),2)),DATE(RIGHT(TRIM(Raw_Export!B815),4),MATCH(MID(TRIM(Raw_Export!B815),4,3),{"Jan","Feb","Mar","Apr","May","Jun","Jul","Aug","Sep","Oct","Nov","Dec"},0),LEFT(TRIM(Raw_Export!B815),2)))))</f>
        <v>46270</v>
      </c>
      <c r="C815" s="36" t="str">
        <f aca="false">IF(Raw_Export!$A815="","",IFERROR(VLOOKUP(LOWER(TRIM(Raw_Export!C815)),Maps!$A$2:$B$20,2,FALSE()),"UNMAPPED"))</f>
        <v>Mombasa</v>
      </c>
      <c r="D815" s="36" t="str">
        <f aca="false">IF(Raw_Export!$A815="","",IFERROR(VLOOKUP(LOWER(TRIM(Raw_Export!D815)),Maps!$G$2:$I$80,2,FALSE()),"UNMAPPED"))</f>
        <v>Crisps 100g</v>
      </c>
      <c r="E815" s="36" t="str">
        <f aca="false">IF(Raw_Export!$A815="","",IFERROR(VLOOKUP(LOWER(TRIM(Raw_Export!D815)),Maps!$G$2:$I$80,3,FALSE()),"UNMAPPED"))</f>
        <v>Snacks</v>
      </c>
      <c r="F815" s="36" t="n">
        <f aca="false">IF(Raw_Export!$A815="","",IFERROR(VALUE(TRIM(Raw_Export!E815)),0))</f>
        <v>1</v>
      </c>
      <c r="G815" s="38" t="n">
        <f aca="false">IF(Raw_Export!$A815="","",IFERROR(VALUE(SUBSTITUTE(SUBSTITUTE(UPPER(TRIM(Raw_Export!F815)),"KES",""),",","")),0))</f>
        <v>72</v>
      </c>
      <c r="H815" s="38" t="n">
        <f aca="false">IF(Raw_Export!$A815="","",F815*G815)</f>
        <v>72</v>
      </c>
      <c r="I815" s="36" t="str">
        <f aca="false">IF(Raw_Export!$A815="","",IFERROR(VLOOKUP(LOWER(TRIM(Raw_Export!H815)),Maps!$D$2:$E$12,2,FALSE()),"Other"))</f>
        <v>M-Pesa</v>
      </c>
      <c r="J815" s="36" t="str">
        <f aca="false">IF(Raw_Export!$A815="","",IF(COUNTIF($A$2:A815,A815)&gt;1,"Duplicate",""))</f>
        <v/>
      </c>
      <c r="K815" s="36" t="str">
        <f aca="false">IF(Raw_Export!$A815="","",IF(J815="Duplicate","Duplicate",IF(OR(C815="UNMAPPED",D815="UNMAPPED"),"Unmapped",IF(F815=0,"Blank qty",IF(F815&lt;0,"Return","OK")))))</f>
        <v>OK</v>
      </c>
      <c r="L815" s="36" t="n">
        <f aca="false">IF(Raw_Export!$A815="","",IF(OR(K815="OK",K815="Return"),1,0))</f>
        <v>1</v>
      </c>
      <c r="M815" s="37" t="n">
        <f aca="false">IF(Raw_Export!$A815="","",B815-WEEKDAY(B815,2)+1)</f>
        <v>46265</v>
      </c>
    </row>
    <row r="816" customFormat="false" ht="15" hidden="false" customHeight="false" outlineLevel="0" collapsed="false">
      <c r="A816" s="36" t="str">
        <f aca="false">IF(Raw_Export!$A816="","",TRIM(Raw_Export!A816))</f>
        <v>TXN-100800</v>
      </c>
      <c r="B816" s="37" t="n">
        <f aca="false">IF(Raw_Export!$A816="","",IF(ISNUMBER(Raw_Export!B816),Raw_Export!B816,IF(MID(TRIM(Raw_Export!B816),5,1)="-",DATE(LEFT(TRIM(Raw_Export!B816),4),MID(TRIM(Raw_Export!B816),6,2),RIGHT(TRIM(Raw_Export!B816),2)),DATE(RIGHT(TRIM(Raw_Export!B816),4),MATCH(MID(TRIM(Raw_Export!B816),4,3),{"Jan","Feb","Mar","Apr","May","Jun","Jul","Aug","Sep","Oct","Nov","Dec"},0),LEFT(TRIM(Raw_Export!B816),2)))))</f>
        <v>46270</v>
      </c>
      <c r="C816" s="36" t="str">
        <f aca="false">IF(Raw_Export!$A816="","",IFERROR(VLOOKUP(LOWER(TRIM(Raw_Export!C816)),Maps!$A$2:$B$20,2,FALSE()),"UNMAPPED"))</f>
        <v>Mombasa</v>
      </c>
      <c r="D816" s="36" t="str">
        <f aca="false">IF(Raw_Export!$A816="","",IFERROR(VLOOKUP(LOWER(TRIM(Raw_Export!D816)),Maps!$G$2:$I$80,2,FALSE()),"UNMAPPED"))</f>
        <v>Crisps 100g</v>
      </c>
      <c r="E816" s="36" t="str">
        <f aca="false">IF(Raw_Export!$A816="","",IFERROR(VLOOKUP(LOWER(TRIM(Raw_Export!D816)),Maps!$G$2:$I$80,3,FALSE()),"UNMAPPED"))</f>
        <v>Snacks</v>
      </c>
      <c r="F816" s="36" t="n">
        <f aca="false">IF(Raw_Export!$A816="","",IFERROR(VALUE(TRIM(Raw_Export!E816)),0))</f>
        <v>-2</v>
      </c>
      <c r="G816" s="38" t="n">
        <f aca="false">IF(Raw_Export!$A816="","",IFERROR(VALUE(SUBSTITUTE(SUBSTITUTE(UPPER(TRIM(Raw_Export!F816)),"KES",""),",","")),0))</f>
        <v>80</v>
      </c>
      <c r="H816" s="38" t="n">
        <f aca="false">IF(Raw_Export!$A816="","",F816*G816)</f>
        <v>-160</v>
      </c>
      <c r="I816" s="36" t="str">
        <f aca="false">IF(Raw_Export!$A816="","",IFERROR(VLOOKUP(LOWER(TRIM(Raw_Export!H816)),Maps!$D$2:$E$12,2,FALSE()),"Other"))</f>
        <v>M-Pesa</v>
      </c>
      <c r="J816" s="36" t="str">
        <f aca="false">IF(Raw_Export!$A816="","",IF(COUNTIF($A$2:A816,A816)&gt;1,"Duplicate",""))</f>
        <v/>
      </c>
      <c r="K816" s="36" t="str">
        <f aca="false">IF(Raw_Export!$A816="","",IF(J816="Duplicate","Duplicate",IF(OR(C816="UNMAPPED",D816="UNMAPPED"),"Unmapped",IF(F816=0,"Blank qty",IF(F816&lt;0,"Return","OK")))))</f>
        <v>Return</v>
      </c>
      <c r="L816" s="36" t="n">
        <f aca="false">IF(Raw_Export!$A816="","",IF(OR(K816="OK",K816="Return"),1,0))</f>
        <v>1</v>
      </c>
      <c r="M816" s="37" t="n">
        <f aca="false">IF(Raw_Export!$A816="","",B816-WEEKDAY(B816,2)+1)</f>
        <v>46265</v>
      </c>
    </row>
    <row r="817" customFormat="false" ht="15" hidden="false" customHeight="false" outlineLevel="0" collapsed="false">
      <c r="A817" s="36" t="str">
        <f aca="false">IF(Raw_Export!$A817="","",TRIM(Raw_Export!A817))</f>
        <v>TXN-100801</v>
      </c>
      <c r="B817" s="37" t="n">
        <f aca="false">IF(Raw_Export!$A817="","",IF(ISNUMBER(Raw_Export!B817),Raw_Export!B817,IF(MID(TRIM(Raw_Export!B817),5,1)="-",DATE(LEFT(TRIM(Raw_Export!B817),4),MID(TRIM(Raw_Export!B817),6,2),RIGHT(TRIM(Raw_Export!B817),2)),DATE(RIGHT(TRIM(Raw_Export!B817),4),MATCH(MID(TRIM(Raw_Export!B817),4,3),{"Jan","Feb","Mar","Apr","May","Jun","Jul","Aug","Sep","Oct","Nov","Dec"},0),LEFT(TRIM(Raw_Export!B817),2)))))</f>
        <v>46270</v>
      </c>
      <c r="C817" s="36" t="str">
        <f aca="false">IF(Raw_Export!$A817="","",IFERROR(VLOOKUP(LOWER(TRIM(Raw_Export!C817)),Maps!$A$2:$B$20,2,FALSE()),"UNMAPPED"))</f>
        <v>Mombasa</v>
      </c>
      <c r="D817" s="36" t="str">
        <f aca="false">IF(Raw_Export!$A817="","",IFERROR(VLOOKUP(LOWER(TRIM(Raw_Export!D817)),Maps!$G$2:$I$80,2,FALSE()),"UNMAPPED"))</f>
        <v>Washing Powder 1kg</v>
      </c>
      <c r="E817" s="36" t="str">
        <f aca="false">IF(Raw_Export!$A817="","",IFERROR(VLOOKUP(LOWER(TRIM(Raw_Export!D817)),Maps!$G$2:$I$80,3,FALSE()),"UNMAPPED"))</f>
        <v>Household</v>
      </c>
      <c r="F817" s="36" t="n">
        <f aca="false">IF(Raw_Export!$A817="","",IFERROR(VALUE(TRIM(Raw_Export!E817)),0))</f>
        <v>3</v>
      </c>
      <c r="G817" s="38" t="n">
        <f aca="false">IF(Raw_Export!$A817="","",IFERROR(VALUE(SUBSTITUTE(SUBSTITUTE(UPPER(TRIM(Raw_Export!F817)),"KES",""),",","")),0))</f>
        <v>280</v>
      </c>
      <c r="H817" s="38" t="n">
        <f aca="false">IF(Raw_Export!$A817="","",F817*G817)</f>
        <v>840</v>
      </c>
      <c r="I817" s="36" t="str">
        <f aca="false">IF(Raw_Export!$A817="","",IFERROR(VLOOKUP(LOWER(TRIM(Raw_Export!H817)),Maps!$D$2:$E$12,2,FALSE()),"Other"))</f>
        <v>M-Pesa</v>
      </c>
      <c r="J817" s="36" t="str">
        <f aca="false">IF(Raw_Export!$A817="","",IF(COUNTIF($A$2:A817,A817)&gt;1,"Duplicate",""))</f>
        <v/>
      </c>
      <c r="K817" s="36" t="str">
        <f aca="false">IF(Raw_Export!$A817="","",IF(J817="Duplicate","Duplicate",IF(OR(C817="UNMAPPED",D817="UNMAPPED"),"Unmapped",IF(F817=0,"Blank qty",IF(F817&lt;0,"Return","OK")))))</f>
        <v>OK</v>
      </c>
      <c r="L817" s="36" t="n">
        <f aca="false">IF(Raw_Export!$A817="","",IF(OR(K817="OK",K817="Return"),1,0))</f>
        <v>1</v>
      </c>
      <c r="M817" s="37" t="n">
        <f aca="false">IF(Raw_Export!$A817="","",B817-WEEKDAY(B817,2)+1)</f>
        <v>46265</v>
      </c>
    </row>
    <row r="818" customFormat="false" ht="15" hidden="false" customHeight="false" outlineLevel="0" collapsed="false">
      <c r="A818" s="36" t="str">
        <f aca="false">IF(Raw_Export!$A818="","",TRIM(Raw_Export!A818))</f>
        <v>TXN-100802</v>
      </c>
      <c r="B818" s="37" t="n">
        <f aca="false">IF(Raw_Export!$A818="","",IF(ISNUMBER(Raw_Export!B818),Raw_Export!B818,IF(MID(TRIM(Raw_Export!B818),5,1)="-",DATE(LEFT(TRIM(Raw_Export!B818),4),MID(TRIM(Raw_Export!B818),6,2),RIGHT(TRIM(Raw_Export!B818),2)),DATE(RIGHT(TRIM(Raw_Export!B818),4),MATCH(MID(TRIM(Raw_Export!B818),4,3),{"Jan","Feb","Mar","Apr","May","Jun","Jul","Aug","Sep","Oct","Nov","Dec"},0),LEFT(TRIM(Raw_Export!B818),2)))))</f>
        <v>46270</v>
      </c>
      <c r="C818" s="36" t="str">
        <f aca="false">IF(Raw_Export!$A818="","",IFERROR(VLOOKUP(LOWER(TRIM(Raw_Export!C818)),Maps!$A$2:$B$20,2,FALSE()),"UNMAPPED"))</f>
        <v>Mombasa</v>
      </c>
      <c r="D818" s="36" t="str">
        <f aca="false">IF(Raw_Export!$A818="","",IFERROR(VLOOKUP(LOWER(TRIM(Raw_Export!D818)),Maps!$G$2:$I$80,2,FALSE()),"UNMAPPED"))</f>
        <v>Cooking Oil 1L</v>
      </c>
      <c r="E818" s="36" t="str">
        <f aca="false">IF(Raw_Export!$A818="","",IFERROR(VLOOKUP(LOWER(TRIM(Raw_Export!D818)),Maps!$G$2:$I$80,3,FALSE()),"UNMAPPED"))</f>
        <v>Staples</v>
      </c>
      <c r="F818" s="36" t="n">
        <f aca="false">IF(Raw_Export!$A818="","",IFERROR(VALUE(TRIM(Raw_Export!E818)),0))</f>
        <v>2</v>
      </c>
      <c r="G818" s="38" t="n">
        <f aca="false">IF(Raw_Export!$A818="","",IFERROR(VALUE(SUBSTITUTE(SUBSTITUTE(UPPER(TRIM(Raw_Export!F818)),"KES",""),",","")),0))</f>
        <v>330</v>
      </c>
      <c r="H818" s="38" t="n">
        <f aca="false">IF(Raw_Export!$A818="","",F818*G818)</f>
        <v>660</v>
      </c>
      <c r="I818" s="36" t="str">
        <f aca="false">IF(Raw_Export!$A818="","",IFERROR(VLOOKUP(LOWER(TRIM(Raw_Export!H818)),Maps!$D$2:$E$12,2,FALSE()),"Other"))</f>
        <v>M-Pesa</v>
      </c>
      <c r="J818" s="36" t="str">
        <f aca="false">IF(Raw_Export!$A818="","",IF(COUNTIF($A$2:A818,A818)&gt;1,"Duplicate",""))</f>
        <v/>
      </c>
      <c r="K818" s="36" t="str">
        <f aca="false">IF(Raw_Export!$A818="","",IF(J818="Duplicate","Duplicate",IF(OR(C818="UNMAPPED",D818="UNMAPPED"),"Unmapped",IF(F818=0,"Blank qty",IF(F818&lt;0,"Return","OK")))))</f>
        <v>OK</v>
      </c>
      <c r="L818" s="36" t="n">
        <f aca="false">IF(Raw_Export!$A818="","",IF(OR(K818="OK",K818="Return"),1,0))</f>
        <v>1</v>
      </c>
      <c r="M818" s="37" t="n">
        <f aca="false">IF(Raw_Export!$A818="","",B818-WEEKDAY(B818,2)+1)</f>
        <v>46265</v>
      </c>
    </row>
    <row r="819" customFormat="false" ht="15" hidden="false" customHeight="false" outlineLevel="0" collapsed="false">
      <c r="A819" s="36" t="str">
        <f aca="false">IF(Raw_Export!$A819="","",TRIM(Raw_Export!A819))</f>
        <v>TXN-100803</v>
      </c>
      <c r="B819" s="37" t="n">
        <f aca="false">IF(Raw_Export!$A819="","",IF(ISNUMBER(Raw_Export!B819),Raw_Export!B819,IF(MID(TRIM(Raw_Export!B819),5,1)="-",DATE(LEFT(TRIM(Raw_Export!B819),4),MID(TRIM(Raw_Export!B819),6,2),RIGHT(TRIM(Raw_Export!B819),2)),DATE(RIGHT(TRIM(Raw_Export!B819),4),MATCH(MID(TRIM(Raw_Export!B819),4,3),{"Jan","Feb","Mar","Apr","May","Jun","Jul","Aug","Sep","Oct","Nov","Dec"},0),LEFT(TRIM(Raw_Export!B819),2)))))</f>
        <v>46270</v>
      </c>
      <c r="C819" s="36" t="str">
        <f aca="false">IF(Raw_Export!$A819="","",IFERROR(VLOOKUP(LOWER(TRIM(Raw_Export!C819)),Maps!$A$2:$B$20,2,FALSE()),"UNMAPPED"))</f>
        <v>Mombasa</v>
      </c>
      <c r="D819" s="36" t="str">
        <f aca="false">IF(Raw_Export!$A819="","",IFERROR(VLOOKUP(LOWER(TRIM(Raw_Export!D819)),Maps!$G$2:$I$80,2,FALSE()),"UNMAPPED"))</f>
        <v>Cooking Oil 1L</v>
      </c>
      <c r="E819" s="36" t="str">
        <f aca="false">IF(Raw_Export!$A819="","",IFERROR(VLOOKUP(LOWER(TRIM(Raw_Export!D819)),Maps!$G$2:$I$80,3,FALSE()),"UNMAPPED"))</f>
        <v>Staples</v>
      </c>
      <c r="F819" s="36" t="n">
        <f aca="false">IF(Raw_Export!$A819="","",IFERROR(VALUE(TRIM(Raw_Export!E819)),0))</f>
        <v>4</v>
      </c>
      <c r="G819" s="38" t="n">
        <f aca="false">IF(Raw_Export!$A819="","",IFERROR(VALUE(SUBSTITUTE(SUBSTITUTE(UPPER(TRIM(Raw_Export!F819)),"KES",""),",","")),0))</f>
        <v>330</v>
      </c>
      <c r="H819" s="38" t="n">
        <f aca="false">IF(Raw_Export!$A819="","",F819*G819)</f>
        <v>1320</v>
      </c>
      <c r="I819" s="36" t="str">
        <f aca="false">IF(Raw_Export!$A819="","",IFERROR(VLOOKUP(LOWER(TRIM(Raw_Export!H819)),Maps!$D$2:$E$12,2,FALSE()),"Other"))</f>
        <v>Cash</v>
      </c>
      <c r="J819" s="36" t="str">
        <f aca="false">IF(Raw_Export!$A819="","",IF(COUNTIF($A$2:A819,A819)&gt;1,"Duplicate",""))</f>
        <v/>
      </c>
      <c r="K819" s="36" t="str">
        <f aca="false">IF(Raw_Export!$A819="","",IF(J819="Duplicate","Duplicate",IF(OR(C819="UNMAPPED",D819="UNMAPPED"),"Unmapped",IF(F819=0,"Blank qty",IF(F819&lt;0,"Return","OK")))))</f>
        <v>OK</v>
      </c>
      <c r="L819" s="36" t="n">
        <f aca="false">IF(Raw_Export!$A819="","",IF(OR(K819="OK",K819="Return"),1,0))</f>
        <v>1</v>
      </c>
      <c r="M819" s="37" t="n">
        <f aca="false">IF(Raw_Export!$A819="","",B819-WEEKDAY(B819,2)+1)</f>
        <v>46265</v>
      </c>
    </row>
    <row r="820" customFormat="false" ht="15" hidden="false" customHeight="false" outlineLevel="0" collapsed="false">
      <c r="A820" s="36" t="str">
        <f aca="false">IF(Raw_Export!$A820="","",TRIM(Raw_Export!A820))</f>
        <v>TXN-100804</v>
      </c>
      <c r="B820" s="37" t="n">
        <f aca="false">IF(Raw_Export!$A820="","",IF(ISNUMBER(Raw_Export!B820),Raw_Export!B820,IF(MID(TRIM(Raw_Export!B820),5,1)="-",DATE(LEFT(TRIM(Raw_Export!B820),4),MID(TRIM(Raw_Export!B820),6,2),RIGHT(TRIM(Raw_Export!B820),2)),DATE(RIGHT(TRIM(Raw_Export!B820),4),MATCH(MID(TRIM(Raw_Export!B820),4,3),{"Jan","Feb","Mar","Apr","May","Jun","Jul","Aug","Sep","Oct","Nov","Dec"},0),LEFT(TRIM(Raw_Export!B820),2)))))</f>
        <v>46270</v>
      </c>
      <c r="C820" s="36" t="str">
        <f aca="false">IF(Raw_Export!$A820="","",IFERROR(VLOOKUP(LOWER(TRIM(Raw_Export!C820)),Maps!$A$2:$B$20,2,FALSE()),"UNMAPPED"))</f>
        <v>Mombasa</v>
      </c>
      <c r="D820" s="36" t="str">
        <f aca="false">IF(Raw_Export!$A820="","",IFERROR(VLOOKUP(LOWER(TRIM(Raw_Export!D820)),Maps!$G$2:$I$80,2,FALSE()),"UNMAPPED"))</f>
        <v>Eggs Tray 30</v>
      </c>
      <c r="E820" s="36" t="str">
        <f aca="false">IF(Raw_Export!$A820="","",IFERROR(VLOOKUP(LOWER(TRIM(Raw_Export!D820)),Maps!$G$2:$I$80,3,FALSE()),"UNMAPPED"))</f>
        <v>Dairy &amp; Eggs</v>
      </c>
      <c r="F820" s="36" t="n">
        <f aca="false">IF(Raw_Export!$A820="","",IFERROR(VALUE(TRIM(Raw_Export!E820)),0))</f>
        <v>4</v>
      </c>
      <c r="G820" s="38" t="n">
        <f aca="false">IF(Raw_Export!$A820="","",IFERROR(VALUE(SUBSTITUTE(SUBSTITUTE(UPPER(TRIM(Raw_Export!F820)),"KES",""),",","")),0))</f>
        <v>450</v>
      </c>
      <c r="H820" s="38" t="n">
        <f aca="false">IF(Raw_Export!$A820="","",F820*G820)</f>
        <v>1800</v>
      </c>
      <c r="I820" s="36" t="str">
        <f aca="false">IF(Raw_Export!$A820="","",IFERROR(VLOOKUP(LOWER(TRIM(Raw_Export!H820)),Maps!$D$2:$E$12,2,FALSE()),"Other"))</f>
        <v>Cash</v>
      </c>
      <c r="J820" s="36" t="str">
        <f aca="false">IF(Raw_Export!$A820="","",IF(COUNTIF($A$2:A820,A820)&gt;1,"Duplicate",""))</f>
        <v/>
      </c>
      <c r="K820" s="36" t="str">
        <f aca="false">IF(Raw_Export!$A820="","",IF(J820="Duplicate","Duplicate",IF(OR(C820="UNMAPPED",D820="UNMAPPED"),"Unmapped",IF(F820=0,"Blank qty",IF(F820&lt;0,"Return","OK")))))</f>
        <v>OK</v>
      </c>
      <c r="L820" s="36" t="n">
        <f aca="false">IF(Raw_Export!$A820="","",IF(OR(K820="OK",K820="Return"),1,0))</f>
        <v>1</v>
      </c>
      <c r="M820" s="37" t="n">
        <f aca="false">IF(Raw_Export!$A820="","",B820-WEEKDAY(B820,2)+1)</f>
        <v>46265</v>
      </c>
    </row>
    <row r="821" customFormat="false" ht="15" hidden="false" customHeight="false" outlineLevel="0" collapsed="false">
      <c r="A821" s="36" t="str">
        <f aca="false">IF(Raw_Export!$A821="","",TRIM(Raw_Export!A821))</f>
        <v>TXN-100805</v>
      </c>
      <c r="B821" s="37" t="n">
        <f aca="false">IF(Raw_Export!$A821="","",IF(ISNUMBER(Raw_Export!B821),Raw_Export!B821,IF(MID(TRIM(Raw_Export!B821),5,1)="-",DATE(LEFT(TRIM(Raw_Export!B821),4),MID(TRIM(Raw_Export!B821),6,2),RIGHT(TRIM(Raw_Export!B821),2)),DATE(RIGHT(TRIM(Raw_Export!B821),4),MATCH(MID(TRIM(Raw_Export!B821),4,3),{"Jan","Feb","Mar","Apr","May","Jun","Jul","Aug","Sep","Oct","Nov","Dec"},0),LEFT(TRIM(Raw_Export!B821),2)))))</f>
        <v>46270</v>
      </c>
      <c r="C821" s="36" t="str">
        <f aca="false">IF(Raw_Export!$A821="","",IFERROR(VLOOKUP(LOWER(TRIM(Raw_Export!C821)),Maps!$A$2:$B$20,2,FALSE()),"UNMAPPED"))</f>
        <v>Mombasa</v>
      </c>
      <c r="D821" s="36" t="str">
        <f aca="false">IF(Raw_Export!$A821="","",IFERROR(VLOOKUP(LOWER(TRIM(Raw_Export!D821)),Maps!$G$2:$I$80,2,FALSE()),"UNMAPPED"))</f>
        <v>Yoghurt 500ml</v>
      </c>
      <c r="E821" s="36" t="str">
        <f aca="false">IF(Raw_Export!$A821="","",IFERROR(VLOOKUP(LOWER(TRIM(Raw_Export!D821)),Maps!$G$2:$I$80,3,FALSE()),"UNMAPPED"))</f>
        <v>Dairy &amp; Eggs</v>
      </c>
      <c r="F821" s="36" t="n">
        <f aca="false">IF(Raw_Export!$A821="","",IFERROR(VALUE(TRIM(Raw_Export!E821)),0))</f>
        <v>-2</v>
      </c>
      <c r="G821" s="38" t="n">
        <f aca="false">IF(Raw_Export!$A821="","",IFERROR(VALUE(SUBSTITUTE(SUBSTITUTE(UPPER(TRIM(Raw_Export!F821)),"KES",""),",","")),0))</f>
        <v>120</v>
      </c>
      <c r="H821" s="38" t="n">
        <f aca="false">IF(Raw_Export!$A821="","",F821*G821)</f>
        <v>-240</v>
      </c>
      <c r="I821" s="36" t="str">
        <f aca="false">IF(Raw_Export!$A821="","",IFERROR(VLOOKUP(LOWER(TRIM(Raw_Export!H821)),Maps!$D$2:$E$12,2,FALSE()),"Other"))</f>
        <v>M-Pesa</v>
      </c>
      <c r="J821" s="36" t="str">
        <f aca="false">IF(Raw_Export!$A821="","",IF(COUNTIF($A$2:A821,A821)&gt;1,"Duplicate",""))</f>
        <v/>
      </c>
      <c r="K821" s="36" t="str">
        <f aca="false">IF(Raw_Export!$A821="","",IF(J821="Duplicate","Duplicate",IF(OR(C821="UNMAPPED",D821="UNMAPPED"),"Unmapped",IF(F821=0,"Blank qty",IF(F821&lt;0,"Return","OK")))))</f>
        <v>Return</v>
      </c>
      <c r="L821" s="36" t="n">
        <f aca="false">IF(Raw_Export!$A821="","",IF(OR(K821="OK",K821="Return"),1,0))</f>
        <v>1</v>
      </c>
      <c r="M821" s="37" t="n">
        <f aca="false">IF(Raw_Export!$A821="","",B821-WEEKDAY(B821,2)+1)</f>
        <v>46265</v>
      </c>
    </row>
    <row r="822" customFormat="false" ht="15" hidden="false" customHeight="false" outlineLevel="0" collapsed="false">
      <c r="A822" s="36" t="str">
        <f aca="false">IF(Raw_Export!$A822="","",TRIM(Raw_Export!A822))</f>
        <v>TXN-100806</v>
      </c>
      <c r="B822" s="37" t="n">
        <f aca="false">IF(Raw_Export!$A822="","",IF(ISNUMBER(Raw_Export!B822),Raw_Export!B822,IF(MID(TRIM(Raw_Export!B822),5,1)="-",DATE(LEFT(TRIM(Raw_Export!B822),4),MID(TRIM(Raw_Export!B822),6,2),RIGHT(TRIM(Raw_Export!B822),2)),DATE(RIGHT(TRIM(Raw_Export!B822),4),MATCH(MID(TRIM(Raw_Export!B822),4,3),{"Jan","Feb","Mar","Apr","May","Jun","Jul","Aug","Sep","Oct","Nov","Dec"},0),LEFT(TRIM(Raw_Export!B822),2)))))</f>
        <v>46270</v>
      </c>
      <c r="C822" s="36" t="str">
        <f aca="false">IF(Raw_Export!$A822="","",IFERROR(VLOOKUP(LOWER(TRIM(Raw_Export!C822)),Maps!$A$2:$B$20,2,FALSE()),"UNMAPPED"))</f>
        <v>Mombasa</v>
      </c>
      <c r="D822" s="36" t="str">
        <f aca="false">IF(Raw_Export!$A822="","",IFERROR(VLOOKUP(LOWER(TRIM(Raw_Export!D822)),Maps!$G$2:$I$80,2,FALSE()),"UNMAPPED"))</f>
        <v>Sugar 2kg</v>
      </c>
      <c r="E822" s="36" t="str">
        <f aca="false">IF(Raw_Export!$A822="","",IFERROR(VLOOKUP(LOWER(TRIM(Raw_Export!D822)),Maps!$G$2:$I$80,3,FALSE()),"UNMAPPED"))</f>
        <v>Staples</v>
      </c>
      <c r="F822" s="36" t="n">
        <f aca="false">IF(Raw_Export!$A822="","",IFERROR(VALUE(TRIM(Raw_Export!E822)),0))</f>
        <v>1</v>
      </c>
      <c r="G822" s="38" t="n">
        <f aca="false">IF(Raw_Export!$A822="","",IFERROR(VALUE(SUBSTITUTE(SUBSTITUTE(UPPER(TRIM(Raw_Export!F822)),"KES",""),",","")),0))</f>
        <v>330</v>
      </c>
      <c r="H822" s="38" t="n">
        <f aca="false">IF(Raw_Export!$A822="","",F822*G822)</f>
        <v>330</v>
      </c>
      <c r="I822" s="36" t="str">
        <f aca="false">IF(Raw_Export!$A822="","",IFERROR(VLOOKUP(LOWER(TRIM(Raw_Export!H822)),Maps!$D$2:$E$12,2,FALSE()),"Other"))</f>
        <v>Card</v>
      </c>
      <c r="J822" s="36" t="str">
        <f aca="false">IF(Raw_Export!$A822="","",IF(COUNTIF($A$2:A822,A822)&gt;1,"Duplicate",""))</f>
        <v/>
      </c>
      <c r="K822" s="36" t="str">
        <f aca="false">IF(Raw_Export!$A822="","",IF(J822="Duplicate","Duplicate",IF(OR(C822="UNMAPPED",D822="UNMAPPED"),"Unmapped",IF(F822=0,"Blank qty",IF(F822&lt;0,"Return","OK")))))</f>
        <v>OK</v>
      </c>
      <c r="L822" s="36" t="n">
        <f aca="false">IF(Raw_Export!$A822="","",IF(OR(K822="OK",K822="Return"),1,0))</f>
        <v>1</v>
      </c>
      <c r="M822" s="37" t="n">
        <f aca="false">IF(Raw_Export!$A822="","",B822-WEEKDAY(B822,2)+1)</f>
        <v>46265</v>
      </c>
    </row>
    <row r="823" customFormat="false" ht="15" hidden="false" customHeight="false" outlineLevel="0" collapsed="false">
      <c r="A823" s="36" t="str">
        <f aca="false">IF(Raw_Export!$A823="","",TRIM(Raw_Export!A823))</f>
        <v>TXN-100807</v>
      </c>
      <c r="B823" s="37" t="n">
        <f aca="false">IF(Raw_Export!$A823="","",IF(ISNUMBER(Raw_Export!B823),Raw_Export!B823,IF(MID(TRIM(Raw_Export!B823),5,1)="-",DATE(LEFT(TRIM(Raw_Export!B823),4),MID(TRIM(Raw_Export!B823),6,2),RIGHT(TRIM(Raw_Export!B823),2)),DATE(RIGHT(TRIM(Raw_Export!B823),4),MATCH(MID(TRIM(Raw_Export!B823),4,3),{"Jan","Feb","Mar","Apr","May","Jun","Jul","Aug","Sep","Oct","Nov","Dec"},0),LEFT(TRIM(Raw_Export!B823),2)))))</f>
        <v>46270</v>
      </c>
      <c r="C823" s="36" t="str">
        <f aca="false">IF(Raw_Export!$A823="","",IFERROR(VLOOKUP(LOWER(TRIM(Raw_Export!C823)),Maps!$A$2:$B$20,2,FALSE()),"UNMAPPED"))</f>
        <v>Mombasa</v>
      </c>
      <c r="D823" s="36" t="str">
        <f aca="false">IF(Raw_Export!$A823="","",IFERROR(VLOOKUP(LOWER(TRIM(Raw_Export!D823)),Maps!$G$2:$I$80,2,FALSE()),"UNMAPPED"))</f>
        <v>Juice 1L</v>
      </c>
      <c r="E823" s="36" t="str">
        <f aca="false">IF(Raw_Export!$A823="","",IFERROR(VLOOKUP(LOWER(TRIM(Raw_Export!D823)),Maps!$G$2:$I$80,3,FALSE()),"UNMAPPED"))</f>
        <v>Beverages</v>
      </c>
      <c r="F823" s="36" t="n">
        <f aca="false">IF(Raw_Export!$A823="","",IFERROR(VALUE(TRIM(Raw_Export!E823)),0))</f>
        <v>1</v>
      </c>
      <c r="G823" s="38" t="n">
        <f aca="false">IF(Raw_Export!$A823="","",IFERROR(VALUE(SUBSTITUTE(SUBSTITUTE(UPPER(TRIM(Raw_Export!F823)),"KES",""),",","")),0))</f>
        <v>210</v>
      </c>
      <c r="H823" s="38" t="n">
        <f aca="false">IF(Raw_Export!$A823="","",F823*G823)</f>
        <v>210</v>
      </c>
      <c r="I823" s="36" t="str">
        <f aca="false">IF(Raw_Export!$A823="","",IFERROR(VLOOKUP(LOWER(TRIM(Raw_Export!H823)),Maps!$D$2:$E$12,2,FALSE()),"Other"))</f>
        <v>Cash</v>
      </c>
      <c r="J823" s="36" t="str">
        <f aca="false">IF(Raw_Export!$A823="","",IF(COUNTIF($A$2:A823,A823)&gt;1,"Duplicate",""))</f>
        <v/>
      </c>
      <c r="K823" s="36" t="str">
        <f aca="false">IF(Raw_Export!$A823="","",IF(J823="Duplicate","Duplicate",IF(OR(C823="UNMAPPED",D823="UNMAPPED"),"Unmapped",IF(F823=0,"Blank qty",IF(F823&lt;0,"Return","OK")))))</f>
        <v>OK</v>
      </c>
      <c r="L823" s="36" t="n">
        <f aca="false">IF(Raw_Export!$A823="","",IF(OR(K823="OK",K823="Return"),1,0))</f>
        <v>1</v>
      </c>
      <c r="M823" s="37" t="n">
        <f aca="false">IF(Raw_Export!$A823="","",B823-WEEKDAY(B823,2)+1)</f>
        <v>46265</v>
      </c>
    </row>
    <row r="824" customFormat="false" ht="15" hidden="false" customHeight="false" outlineLevel="0" collapsed="false">
      <c r="A824" s="36" t="str">
        <f aca="false">IF(Raw_Export!$A824="","",TRIM(Raw_Export!A824))</f>
        <v>TXN-100808</v>
      </c>
      <c r="B824" s="37" t="n">
        <f aca="false">IF(Raw_Export!$A824="","",IF(ISNUMBER(Raw_Export!B824),Raw_Export!B824,IF(MID(TRIM(Raw_Export!B824),5,1)="-",DATE(LEFT(TRIM(Raw_Export!B824),4),MID(TRIM(Raw_Export!B824),6,2),RIGHT(TRIM(Raw_Export!B824),2)),DATE(RIGHT(TRIM(Raw_Export!B824),4),MATCH(MID(TRIM(Raw_Export!B824),4,3),{"Jan","Feb","Mar","Apr","May","Jun","Jul","Aug","Sep","Oct","Nov","Dec"},0),LEFT(TRIM(Raw_Export!B824),2)))))</f>
        <v>46270</v>
      </c>
      <c r="C824" s="36" t="str">
        <f aca="false">IF(Raw_Export!$A824="","",IFERROR(VLOOKUP(LOWER(TRIM(Raw_Export!C824)),Maps!$A$2:$B$20,2,FALSE()),"UNMAPPED"))</f>
        <v>Mombasa</v>
      </c>
      <c r="D824" s="36" t="str">
        <f aca="false">IF(Raw_Export!$A824="","",IFERROR(VLOOKUP(LOWER(TRIM(Raw_Export!D824)),Maps!$G$2:$I$80,2,FALSE()),"UNMAPPED"))</f>
        <v>Fresh Milk 500ml</v>
      </c>
      <c r="E824" s="36" t="str">
        <f aca="false">IF(Raw_Export!$A824="","",IFERROR(VLOOKUP(LOWER(TRIM(Raw_Export!D824)),Maps!$G$2:$I$80,3,FALSE()),"UNMAPPED"))</f>
        <v>Dairy &amp; Eggs</v>
      </c>
      <c r="F824" s="36" t="n">
        <f aca="false">IF(Raw_Export!$A824="","",IFERROR(VALUE(TRIM(Raw_Export!E824)),0))</f>
        <v>1</v>
      </c>
      <c r="G824" s="38" t="n">
        <f aca="false">IF(Raw_Export!$A824="","",IFERROR(VALUE(SUBSTITUTE(SUBSTITUTE(UPPER(TRIM(Raw_Export!F824)),"KES",""),",","")),0))</f>
        <v>65</v>
      </c>
      <c r="H824" s="38" t="n">
        <f aca="false">IF(Raw_Export!$A824="","",F824*G824)</f>
        <v>65</v>
      </c>
      <c r="I824" s="36" t="str">
        <f aca="false">IF(Raw_Export!$A824="","",IFERROR(VLOOKUP(LOWER(TRIM(Raw_Export!H824)),Maps!$D$2:$E$12,2,FALSE()),"Other"))</f>
        <v>Cash</v>
      </c>
      <c r="J824" s="36" t="str">
        <f aca="false">IF(Raw_Export!$A824="","",IF(COUNTIF($A$2:A824,A824)&gt;1,"Duplicate",""))</f>
        <v/>
      </c>
      <c r="K824" s="36" t="str">
        <f aca="false">IF(Raw_Export!$A824="","",IF(J824="Duplicate","Duplicate",IF(OR(C824="UNMAPPED",D824="UNMAPPED"),"Unmapped",IF(F824=0,"Blank qty",IF(F824&lt;0,"Return","OK")))))</f>
        <v>OK</v>
      </c>
      <c r="L824" s="36" t="n">
        <f aca="false">IF(Raw_Export!$A824="","",IF(OR(K824="OK",K824="Return"),1,0))</f>
        <v>1</v>
      </c>
      <c r="M824" s="37" t="n">
        <f aca="false">IF(Raw_Export!$A824="","",B824-WEEKDAY(B824,2)+1)</f>
        <v>46265</v>
      </c>
    </row>
    <row r="825" customFormat="false" ht="15" hidden="false" customHeight="false" outlineLevel="0" collapsed="false">
      <c r="A825" s="36" t="str">
        <f aca="false">IF(Raw_Export!$A825="","",TRIM(Raw_Export!A825))</f>
        <v>TXN-100809</v>
      </c>
      <c r="B825" s="37" t="n">
        <f aca="false">IF(Raw_Export!$A825="","",IF(ISNUMBER(Raw_Export!B825),Raw_Export!B825,IF(MID(TRIM(Raw_Export!B825),5,1)="-",DATE(LEFT(TRIM(Raw_Export!B825),4),MID(TRIM(Raw_Export!B825),6,2),RIGHT(TRIM(Raw_Export!B825),2)),DATE(RIGHT(TRIM(Raw_Export!B825),4),MATCH(MID(TRIM(Raw_Export!B825),4,3),{"Jan","Feb","Mar","Apr","May","Jun","Jul","Aug","Sep","Oct","Nov","Dec"},0),LEFT(TRIM(Raw_Export!B825),2)))))</f>
        <v>46270</v>
      </c>
      <c r="C825" s="36" t="str">
        <f aca="false">IF(Raw_Export!$A825="","",IFERROR(VLOOKUP(LOWER(TRIM(Raw_Export!C825)),Maps!$A$2:$B$20,2,FALSE()),"UNMAPPED"))</f>
        <v>Mombasa</v>
      </c>
      <c r="D825" s="36" t="str">
        <f aca="false">IF(Raw_Export!$A825="","",IFERROR(VLOOKUP(LOWER(TRIM(Raw_Export!D825)),Maps!$G$2:$I$80,2,FALSE()),"UNMAPPED"))</f>
        <v>Cooking Oil 1L</v>
      </c>
      <c r="E825" s="36" t="str">
        <f aca="false">IF(Raw_Export!$A825="","",IFERROR(VLOOKUP(LOWER(TRIM(Raw_Export!D825)),Maps!$G$2:$I$80,3,FALSE()),"UNMAPPED"))</f>
        <v>Staples</v>
      </c>
      <c r="F825" s="36" t="n">
        <f aca="false">IF(Raw_Export!$A825="","",IFERROR(VALUE(TRIM(Raw_Export!E825)),0))</f>
        <v>2</v>
      </c>
      <c r="G825" s="38" t="n">
        <f aca="false">IF(Raw_Export!$A825="","",IFERROR(VALUE(SUBSTITUTE(SUBSTITUTE(UPPER(TRIM(Raw_Export!F825)),"KES",""),",","")),0))</f>
        <v>330</v>
      </c>
      <c r="H825" s="38" t="n">
        <f aca="false">IF(Raw_Export!$A825="","",F825*G825)</f>
        <v>660</v>
      </c>
      <c r="I825" s="36" t="str">
        <f aca="false">IF(Raw_Export!$A825="","",IFERROR(VLOOKUP(LOWER(TRIM(Raw_Export!H825)),Maps!$D$2:$E$12,2,FALSE()),"Other"))</f>
        <v>Cash</v>
      </c>
      <c r="J825" s="36" t="str">
        <f aca="false">IF(Raw_Export!$A825="","",IF(COUNTIF($A$2:A825,A825)&gt;1,"Duplicate",""))</f>
        <v/>
      </c>
      <c r="K825" s="36" t="str">
        <f aca="false">IF(Raw_Export!$A825="","",IF(J825="Duplicate","Duplicate",IF(OR(C825="UNMAPPED",D825="UNMAPPED"),"Unmapped",IF(F825=0,"Blank qty",IF(F825&lt;0,"Return","OK")))))</f>
        <v>OK</v>
      </c>
      <c r="L825" s="36" t="n">
        <f aca="false">IF(Raw_Export!$A825="","",IF(OR(K825="OK",K825="Return"),1,0))</f>
        <v>1</v>
      </c>
      <c r="M825" s="37" t="n">
        <f aca="false">IF(Raw_Export!$A825="","",B825-WEEKDAY(B825,2)+1)</f>
        <v>46265</v>
      </c>
    </row>
    <row r="826" customFormat="false" ht="15" hidden="false" customHeight="false" outlineLevel="0" collapsed="false">
      <c r="A826" s="36" t="str">
        <f aca="false">IF(Raw_Export!$A826="","",TRIM(Raw_Export!A826))</f>
        <v>TXN-100810</v>
      </c>
      <c r="B826" s="37" t="n">
        <f aca="false">IF(Raw_Export!$A826="","",IF(ISNUMBER(Raw_Export!B826),Raw_Export!B826,IF(MID(TRIM(Raw_Export!B826),5,1)="-",DATE(LEFT(TRIM(Raw_Export!B826),4),MID(TRIM(Raw_Export!B826),6,2),RIGHT(TRIM(Raw_Export!B826),2)),DATE(RIGHT(TRIM(Raw_Export!B826),4),MATCH(MID(TRIM(Raw_Export!B826),4,3),{"Jan","Feb","Mar","Apr","May","Jun","Jul","Aug","Sep","Oct","Nov","Dec"},0),LEFT(TRIM(Raw_Export!B826),2)))))</f>
        <v>46270</v>
      </c>
      <c r="C826" s="36" t="str">
        <f aca="false">IF(Raw_Export!$A826="","",IFERROR(VLOOKUP(LOWER(TRIM(Raw_Export!C826)),Maps!$A$2:$B$20,2,FALSE()),"UNMAPPED"))</f>
        <v>Mombasa</v>
      </c>
      <c r="D826" s="36" t="str">
        <f aca="false">IF(Raw_Export!$A826="","",IFERROR(VLOOKUP(LOWER(TRIM(Raw_Export!D826)),Maps!$G$2:$I$80,2,FALSE()),"UNMAPPED"))</f>
        <v>Salt 500g</v>
      </c>
      <c r="E826" s="36" t="str">
        <f aca="false">IF(Raw_Export!$A826="","",IFERROR(VLOOKUP(LOWER(TRIM(Raw_Export!D826)),Maps!$G$2:$I$80,3,FALSE()),"UNMAPPED"))</f>
        <v>Staples</v>
      </c>
      <c r="F826" s="36" t="n">
        <f aca="false">IF(Raw_Export!$A826="","",IFERROR(VALUE(TRIM(Raw_Export!E826)),0))</f>
        <v>3</v>
      </c>
      <c r="G826" s="38" t="n">
        <f aca="false">IF(Raw_Export!$A826="","",IFERROR(VALUE(SUBSTITUTE(SUBSTITUTE(UPPER(TRIM(Raw_Export!F826)),"KES",""),",","")),0))</f>
        <v>40</v>
      </c>
      <c r="H826" s="38" t="n">
        <f aca="false">IF(Raw_Export!$A826="","",F826*G826)</f>
        <v>120</v>
      </c>
      <c r="I826" s="36" t="str">
        <f aca="false">IF(Raw_Export!$A826="","",IFERROR(VLOOKUP(LOWER(TRIM(Raw_Export!H826)),Maps!$D$2:$E$12,2,FALSE()),"Other"))</f>
        <v>Cash</v>
      </c>
      <c r="J826" s="36" t="str">
        <f aca="false">IF(Raw_Export!$A826="","",IF(COUNTIF($A$2:A826,A826)&gt;1,"Duplicate",""))</f>
        <v/>
      </c>
      <c r="K826" s="36" t="str">
        <f aca="false">IF(Raw_Export!$A826="","",IF(J826="Duplicate","Duplicate",IF(OR(C826="UNMAPPED",D826="UNMAPPED"),"Unmapped",IF(F826=0,"Blank qty",IF(F826&lt;0,"Return","OK")))))</f>
        <v>OK</v>
      </c>
      <c r="L826" s="36" t="n">
        <f aca="false">IF(Raw_Export!$A826="","",IF(OR(K826="OK",K826="Return"),1,0))</f>
        <v>1</v>
      </c>
      <c r="M826" s="37" t="n">
        <f aca="false">IF(Raw_Export!$A826="","",B826-WEEKDAY(B826,2)+1)</f>
        <v>46265</v>
      </c>
    </row>
    <row r="827" customFormat="false" ht="15" hidden="false" customHeight="false" outlineLevel="0" collapsed="false">
      <c r="A827" s="36" t="str">
        <f aca="false">IF(Raw_Export!$A827="","",TRIM(Raw_Export!A827))</f>
        <v>TXN-100811</v>
      </c>
      <c r="B827" s="37" t="n">
        <f aca="false">IF(Raw_Export!$A827="","",IF(ISNUMBER(Raw_Export!B827),Raw_Export!B827,IF(MID(TRIM(Raw_Export!B827),5,1)="-",DATE(LEFT(TRIM(Raw_Export!B827),4),MID(TRIM(Raw_Export!B827),6,2),RIGHT(TRIM(Raw_Export!B827),2)),DATE(RIGHT(TRIM(Raw_Export!B827),4),MATCH(MID(TRIM(Raw_Export!B827),4,3),{"Jan","Feb","Mar","Apr","May","Jun","Jul","Aug","Sep","Oct","Nov","Dec"},0),LEFT(TRIM(Raw_Export!B827),2)))))</f>
        <v>46270</v>
      </c>
      <c r="C827" s="36" t="str">
        <f aca="false">IF(Raw_Export!$A827="","",IFERROR(VLOOKUP(LOWER(TRIM(Raw_Export!C827)),Maps!$A$2:$B$20,2,FALSE()),"UNMAPPED"))</f>
        <v>Mombasa</v>
      </c>
      <c r="D827" s="36" t="str">
        <f aca="false">IF(Raw_Export!$A827="","",IFERROR(VLOOKUP(LOWER(TRIM(Raw_Export!D827)),Maps!$G$2:$I$80,2,FALSE()),"UNMAPPED"))</f>
        <v>Salt 500g</v>
      </c>
      <c r="E827" s="36" t="str">
        <f aca="false">IF(Raw_Export!$A827="","",IFERROR(VLOOKUP(LOWER(TRIM(Raw_Export!D827)),Maps!$G$2:$I$80,3,FALSE()),"UNMAPPED"))</f>
        <v>Staples</v>
      </c>
      <c r="F827" s="36" t="n">
        <f aca="false">IF(Raw_Export!$A827="","",IFERROR(VALUE(TRIM(Raw_Export!E827)),0))</f>
        <v>2</v>
      </c>
      <c r="G827" s="38" t="n">
        <f aca="false">IF(Raw_Export!$A827="","",IFERROR(VALUE(SUBSTITUTE(SUBSTITUTE(UPPER(TRIM(Raw_Export!F827)),"KES",""),",","")),0))</f>
        <v>40</v>
      </c>
      <c r="H827" s="38" t="n">
        <f aca="false">IF(Raw_Export!$A827="","",F827*G827)</f>
        <v>80</v>
      </c>
      <c r="I827" s="36" t="str">
        <f aca="false">IF(Raw_Export!$A827="","",IFERROR(VLOOKUP(LOWER(TRIM(Raw_Export!H827)),Maps!$D$2:$E$12,2,FALSE()),"Other"))</f>
        <v>M-Pesa</v>
      </c>
      <c r="J827" s="36" t="str">
        <f aca="false">IF(Raw_Export!$A827="","",IF(COUNTIF($A$2:A827,A827)&gt;1,"Duplicate",""))</f>
        <v/>
      </c>
      <c r="K827" s="36" t="str">
        <f aca="false">IF(Raw_Export!$A827="","",IF(J827="Duplicate","Duplicate",IF(OR(C827="UNMAPPED",D827="UNMAPPED"),"Unmapped",IF(F827=0,"Blank qty",IF(F827&lt;0,"Return","OK")))))</f>
        <v>OK</v>
      </c>
      <c r="L827" s="36" t="n">
        <f aca="false">IF(Raw_Export!$A827="","",IF(OR(K827="OK",K827="Return"),1,0))</f>
        <v>1</v>
      </c>
      <c r="M827" s="37" t="n">
        <f aca="false">IF(Raw_Export!$A827="","",B827-WEEKDAY(B827,2)+1)</f>
        <v>46265</v>
      </c>
    </row>
    <row r="828" customFormat="false" ht="15" hidden="false" customHeight="false" outlineLevel="0" collapsed="false">
      <c r="A828" s="36" t="str">
        <f aca="false">IF(Raw_Export!$A828="","",TRIM(Raw_Export!A828))</f>
        <v>TXN-100812</v>
      </c>
      <c r="B828" s="37" t="n">
        <f aca="false">IF(Raw_Export!$A828="","",IF(ISNUMBER(Raw_Export!B828),Raw_Export!B828,IF(MID(TRIM(Raw_Export!B828),5,1)="-",DATE(LEFT(TRIM(Raw_Export!B828),4),MID(TRIM(Raw_Export!B828),6,2),RIGHT(TRIM(Raw_Export!B828),2)),DATE(RIGHT(TRIM(Raw_Export!B828),4),MATCH(MID(TRIM(Raw_Export!B828),4,3),{"Jan","Feb","Mar","Apr","May","Jun","Jul","Aug","Sep","Oct","Nov","Dec"},0),LEFT(TRIM(Raw_Export!B828),2)))))</f>
        <v>46270</v>
      </c>
      <c r="C828" s="36" t="str">
        <f aca="false">IF(Raw_Export!$A828="","",IFERROR(VLOOKUP(LOWER(TRIM(Raw_Export!C828)),Maps!$A$2:$B$20,2,FALSE()),"UNMAPPED"))</f>
        <v>Mombasa</v>
      </c>
      <c r="D828" s="36" t="str">
        <f aca="false">IF(Raw_Export!$A828="","",IFERROR(VLOOKUP(LOWER(TRIM(Raw_Export!D828)),Maps!$G$2:$I$80,2,FALSE()),"UNMAPPED"))</f>
        <v>Yoghurt 500ml</v>
      </c>
      <c r="E828" s="36" t="str">
        <f aca="false">IF(Raw_Export!$A828="","",IFERROR(VLOOKUP(LOWER(TRIM(Raw_Export!D828)),Maps!$G$2:$I$80,3,FALSE()),"UNMAPPED"))</f>
        <v>Dairy &amp; Eggs</v>
      </c>
      <c r="F828" s="36" t="n">
        <f aca="false">IF(Raw_Export!$A828="","",IFERROR(VALUE(TRIM(Raw_Export!E828)),0))</f>
        <v>2</v>
      </c>
      <c r="G828" s="38" t="n">
        <f aca="false">IF(Raw_Export!$A828="","",IFERROR(VALUE(SUBSTITUTE(SUBSTITUTE(UPPER(TRIM(Raw_Export!F828)),"KES",""),",","")),0))</f>
        <v>120</v>
      </c>
      <c r="H828" s="38" t="n">
        <f aca="false">IF(Raw_Export!$A828="","",F828*G828)</f>
        <v>240</v>
      </c>
      <c r="I828" s="36" t="str">
        <f aca="false">IF(Raw_Export!$A828="","",IFERROR(VLOOKUP(LOWER(TRIM(Raw_Export!H828)),Maps!$D$2:$E$12,2,FALSE()),"Other"))</f>
        <v>Card</v>
      </c>
      <c r="J828" s="36" t="str">
        <f aca="false">IF(Raw_Export!$A828="","",IF(COUNTIF($A$2:A828,A828)&gt;1,"Duplicate",""))</f>
        <v/>
      </c>
      <c r="K828" s="36" t="str">
        <f aca="false">IF(Raw_Export!$A828="","",IF(J828="Duplicate","Duplicate",IF(OR(C828="UNMAPPED",D828="UNMAPPED"),"Unmapped",IF(F828=0,"Blank qty",IF(F828&lt;0,"Return","OK")))))</f>
        <v>OK</v>
      </c>
      <c r="L828" s="36" t="n">
        <f aca="false">IF(Raw_Export!$A828="","",IF(OR(K828="OK",K828="Return"),1,0))</f>
        <v>1</v>
      </c>
      <c r="M828" s="37" t="n">
        <f aca="false">IF(Raw_Export!$A828="","",B828-WEEKDAY(B828,2)+1)</f>
        <v>46265</v>
      </c>
    </row>
    <row r="829" customFormat="false" ht="15" hidden="false" customHeight="false" outlineLevel="0" collapsed="false">
      <c r="A829" s="36" t="str">
        <f aca="false">IF(Raw_Export!$A829="","",TRIM(Raw_Export!A829))</f>
        <v>TXN-100813</v>
      </c>
      <c r="B829" s="37" t="n">
        <f aca="false">IF(Raw_Export!$A829="","",IF(ISNUMBER(Raw_Export!B829),Raw_Export!B829,IF(MID(TRIM(Raw_Export!B829),5,1)="-",DATE(LEFT(TRIM(Raw_Export!B829),4),MID(TRIM(Raw_Export!B829),6,2),RIGHT(TRIM(Raw_Export!B829),2)),DATE(RIGHT(TRIM(Raw_Export!B829),4),MATCH(MID(TRIM(Raw_Export!B829),4,3),{"Jan","Feb","Mar","Apr","May","Jun","Jul","Aug","Sep","Oct","Nov","Dec"},0),LEFT(TRIM(Raw_Export!B829),2)))))</f>
        <v>46270</v>
      </c>
      <c r="C829" s="36" t="str">
        <f aca="false">IF(Raw_Export!$A829="","",IFERROR(VLOOKUP(LOWER(TRIM(Raw_Export!C829)),Maps!$A$2:$B$20,2,FALSE()),"UNMAPPED"))</f>
        <v>Mombasa</v>
      </c>
      <c r="D829" s="36" t="str">
        <f aca="false">IF(Raw_Export!$A829="","",IFERROR(VLOOKUP(LOWER(TRIM(Raw_Export!D829)),Maps!$G$2:$I$80,2,FALSE()),"UNMAPPED"))</f>
        <v>Washing Powder 1kg</v>
      </c>
      <c r="E829" s="36" t="str">
        <f aca="false">IF(Raw_Export!$A829="","",IFERROR(VLOOKUP(LOWER(TRIM(Raw_Export!D829)),Maps!$G$2:$I$80,3,FALSE()),"UNMAPPED"))</f>
        <v>Household</v>
      </c>
      <c r="F829" s="36" t="n">
        <f aca="false">IF(Raw_Export!$A829="","",IFERROR(VALUE(TRIM(Raw_Export!E829)),0))</f>
        <v>6</v>
      </c>
      <c r="G829" s="38" t="n">
        <f aca="false">IF(Raw_Export!$A829="","",IFERROR(VALUE(SUBSTITUTE(SUBSTITUTE(UPPER(TRIM(Raw_Export!F829)),"KES",""),",","")),0))</f>
        <v>280</v>
      </c>
      <c r="H829" s="38" t="n">
        <f aca="false">IF(Raw_Export!$A829="","",F829*G829)</f>
        <v>1680</v>
      </c>
      <c r="I829" s="36" t="str">
        <f aca="false">IF(Raw_Export!$A829="","",IFERROR(VLOOKUP(LOWER(TRIM(Raw_Export!H829)),Maps!$D$2:$E$12,2,FALSE()),"Other"))</f>
        <v>M-Pesa</v>
      </c>
      <c r="J829" s="36" t="str">
        <f aca="false">IF(Raw_Export!$A829="","",IF(COUNTIF($A$2:A829,A829)&gt;1,"Duplicate",""))</f>
        <v/>
      </c>
      <c r="K829" s="36" t="str">
        <f aca="false">IF(Raw_Export!$A829="","",IF(J829="Duplicate","Duplicate",IF(OR(C829="UNMAPPED",D829="UNMAPPED"),"Unmapped",IF(F829=0,"Blank qty",IF(F829&lt;0,"Return","OK")))))</f>
        <v>OK</v>
      </c>
      <c r="L829" s="36" t="n">
        <f aca="false">IF(Raw_Export!$A829="","",IF(OR(K829="OK",K829="Return"),1,0))</f>
        <v>1</v>
      </c>
      <c r="M829" s="37" t="n">
        <f aca="false">IF(Raw_Export!$A829="","",B829-WEEKDAY(B829,2)+1)</f>
        <v>46265</v>
      </c>
    </row>
    <row r="830" customFormat="false" ht="15" hidden="false" customHeight="false" outlineLevel="0" collapsed="false">
      <c r="A830" s="36" t="str">
        <f aca="false">IF(Raw_Export!$A830="","",TRIM(Raw_Export!A830))</f>
        <v>TXN-100814</v>
      </c>
      <c r="B830" s="37" t="n">
        <f aca="false">IF(Raw_Export!$A830="","",IF(ISNUMBER(Raw_Export!B830),Raw_Export!B830,IF(MID(TRIM(Raw_Export!B830),5,1)="-",DATE(LEFT(TRIM(Raw_Export!B830),4),MID(TRIM(Raw_Export!B830),6,2),RIGHT(TRIM(Raw_Export!B830),2)),DATE(RIGHT(TRIM(Raw_Export!B830),4),MATCH(MID(TRIM(Raw_Export!B830),4,3),{"Jan","Feb","Mar","Apr","May","Jun","Jul","Aug","Sep","Oct","Nov","Dec"},0),LEFT(TRIM(Raw_Export!B830),2)))))</f>
        <v>46270</v>
      </c>
      <c r="C830" s="36" t="str">
        <f aca="false">IF(Raw_Export!$A830="","",IFERROR(VLOOKUP(LOWER(TRIM(Raw_Export!C830)),Maps!$A$2:$B$20,2,FALSE()),"UNMAPPED"))</f>
        <v>Mombasa</v>
      </c>
      <c r="D830" s="36" t="str">
        <f aca="false">IF(Raw_Export!$A830="","",IFERROR(VLOOKUP(LOWER(TRIM(Raw_Export!D830)),Maps!$G$2:$I$80,2,FALSE()),"UNMAPPED"))</f>
        <v>Tea Leaves 250g</v>
      </c>
      <c r="E830" s="36" t="str">
        <f aca="false">IF(Raw_Export!$A830="","",IFERROR(VLOOKUP(LOWER(TRIM(Raw_Export!D830)),Maps!$G$2:$I$80,3,FALSE()),"UNMAPPED"))</f>
        <v>Beverages</v>
      </c>
      <c r="F830" s="36" t="n">
        <f aca="false">IF(Raw_Export!$A830="","",IFERROR(VALUE(TRIM(Raw_Export!E830)),0))</f>
        <v>1</v>
      </c>
      <c r="G830" s="38" t="n">
        <f aca="false">IF(Raw_Export!$A830="","",IFERROR(VALUE(SUBSTITUTE(SUBSTITUTE(UPPER(TRIM(Raw_Export!F830)),"KES",""),",","")),0))</f>
        <v>150</v>
      </c>
      <c r="H830" s="38" t="n">
        <f aca="false">IF(Raw_Export!$A830="","",F830*G830)</f>
        <v>150</v>
      </c>
      <c r="I830" s="36" t="str">
        <f aca="false">IF(Raw_Export!$A830="","",IFERROR(VLOOKUP(LOWER(TRIM(Raw_Export!H830)),Maps!$D$2:$E$12,2,FALSE()),"Other"))</f>
        <v>M-Pesa</v>
      </c>
      <c r="J830" s="36" t="str">
        <f aca="false">IF(Raw_Export!$A830="","",IF(COUNTIF($A$2:A830,A830)&gt;1,"Duplicate",""))</f>
        <v/>
      </c>
      <c r="K830" s="36" t="str">
        <f aca="false">IF(Raw_Export!$A830="","",IF(J830="Duplicate","Duplicate",IF(OR(C830="UNMAPPED",D830="UNMAPPED"),"Unmapped",IF(F830=0,"Blank qty",IF(F830&lt;0,"Return","OK")))))</f>
        <v>OK</v>
      </c>
      <c r="L830" s="36" t="n">
        <f aca="false">IF(Raw_Export!$A830="","",IF(OR(K830="OK",K830="Return"),1,0))</f>
        <v>1</v>
      </c>
      <c r="M830" s="37" t="n">
        <f aca="false">IF(Raw_Export!$A830="","",B830-WEEKDAY(B830,2)+1)</f>
        <v>46265</v>
      </c>
    </row>
    <row r="831" customFormat="false" ht="15" hidden="false" customHeight="false" outlineLevel="0" collapsed="false">
      <c r="A831" s="36" t="str">
        <f aca="false">IF(Raw_Export!$A831="","",TRIM(Raw_Export!A831))</f>
        <v>TXN-100815</v>
      </c>
      <c r="B831" s="37" t="n">
        <f aca="false">IF(Raw_Export!$A831="","",IF(ISNUMBER(Raw_Export!B831),Raw_Export!B831,IF(MID(TRIM(Raw_Export!B831),5,1)="-",DATE(LEFT(TRIM(Raw_Export!B831),4),MID(TRIM(Raw_Export!B831),6,2),RIGHT(TRIM(Raw_Export!B831),2)),DATE(RIGHT(TRIM(Raw_Export!B831),4),MATCH(MID(TRIM(Raw_Export!B831),4,3),{"Jan","Feb","Mar","Apr","May","Jun","Jul","Aug","Sep","Oct","Nov","Dec"},0),LEFT(TRIM(Raw_Export!B831),2)))))</f>
        <v>46270</v>
      </c>
      <c r="C831" s="36" t="str">
        <f aca="false">IF(Raw_Export!$A831="","",IFERROR(VLOOKUP(LOWER(TRIM(Raw_Export!C831)),Maps!$A$2:$B$20,2,FALSE()),"UNMAPPED"))</f>
        <v>Mombasa</v>
      </c>
      <c r="D831" s="36" t="str">
        <f aca="false">IF(Raw_Export!$A831="","",IFERROR(VLOOKUP(LOWER(TRIM(Raw_Export!D831)),Maps!$G$2:$I$80,2,FALSE()),"UNMAPPED"))</f>
        <v>Yoghurt 500ml</v>
      </c>
      <c r="E831" s="36" t="str">
        <f aca="false">IF(Raw_Export!$A831="","",IFERROR(VLOOKUP(LOWER(TRIM(Raw_Export!D831)),Maps!$G$2:$I$80,3,FALSE()),"UNMAPPED"))</f>
        <v>Dairy &amp; Eggs</v>
      </c>
      <c r="F831" s="36" t="n">
        <f aca="false">IF(Raw_Export!$A831="","",IFERROR(VALUE(TRIM(Raw_Export!E831)),0))</f>
        <v>1</v>
      </c>
      <c r="G831" s="38" t="n">
        <f aca="false">IF(Raw_Export!$A831="","",IFERROR(VALUE(SUBSTITUTE(SUBSTITUTE(UPPER(TRIM(Raw_Export!F831)),"KES",""),",","")),0))</f>
        <v>120</v>
      </c>
      <c r="H831" s="38" t="n">
        <f aca="false">IF(Raw_Export!$A831="","",F831*G831)</f>
        <v>120</v>
      </c>
      <c r="I831" s="36" t="str">
        <f aca="false">IF(Raw_Export!$A831="","",IFERROR(VLOOKUP(LOWER(TRIM(Raw_Export!H831)),Maps!$D$2:$E$12,2,FALSE()),"Other"))</f>
        <v>M-Pesa</v>
      </c>
      <c r="J831" s="36" t="str">
        <f aca="false">IF(Raw_Export!$A831="","",IF(COUNTIF($A$2:A831,A831)&gt;1,"Duplicate",""))</f>
        <v/>
      </c>
      <c r="K831" s="36" t="str">
        <f aca="false">IF(Raw_Export!$A831="","",IF(J831="Duplicate","Duplicate",IF(OR(C831="UNMAPPED",D831="UNMAPPED"),"Unmapped",IF(F831=0,"Blank qty",IF(F831&lt;0,"Return","OK")))))</f>
        <v>OK</v>
      </c>
      <c r="L831" s="36" t="n">
        <f aca="false">IF(Raw_Export!$A831="","",IF(OR(K831="OK",K831="Return"),1,0))</f>
        <v>1</v>
      </c>
      <c r="M831" s="37" t="n">
        <f aca="false">IF(Raw_Export!$A831="","",B831-WEEKDAY(B831,2)+1)</f>
        <v>46265</v>
      </c>
    </row>
    <row r="832" customFormat="false" ht="15" hidden="false" customHeight="false" outlineLevel="0" collapsed="false">
      <c r="A832" s="36" t="str">
        <f aca="false">IF(Raw_Export!$A832="","",TRIM(Raw_Export!A832))</f>
        <v>TXN-100816</v>
      </c>
      <c r="B832" s="37" t="n">
        <f aca="false">IF(Raw_Export!$A832="","",IF(ISNUMBER(Raw_Export!B832),Raw_Export!B832,IF(MID(TRIM(Raw_Export!B832),5,1)="-",DATE(LEFT(TRIM(Raw_Export!B832),4),MID(TRIM(Raw_Export!B832),6,2),RIGHT(TRIM(Raw_Export!B832),2)),DATE(RIGHT(TRIM(Raw_Export!B832),4),MATCH(MID(TRIM(Raw_Export!B832),4,3),{"Jan","Feb","Mar","Apr","May","Jun","Jul","Aug","Sep","Oct","Nov","Dec"},0),LEFT(TRIM(Raw_Export!B832),2)))))</f>
        <v>46270</v>
      </c>
      <c r="C832" s="36" t="str">
        <f aca="false">IF(Raw_Export!$A832="","",IFERROR(VLOOKUP(LOWER(TRIM(Raw_Export!C832)),Maps!$A$2:$B$20,2,FALSE()),"UNMAPPED"))</f>
        <v>Mombasa</v>
      </c>
      <c r="D832" s="36" t="str">
        <f aca="false">IF(Raw_Export!$A832="","",IFERROR(VLOOKUP(LOWER(TRIM(Raw_Export!D832)),Maps!$G$2:$I$80,2,FALSE()),"UNMAPPED"))</f>
        <v>Bath Soap 175g</v>
      </c>
      <c r="E832" s="36" t="str">
        <f aca="false">IF(Raw_Export!$A832="","",IFERROR(VLOOKUP(LOWER(TRIM(Raw_Export!D832)),Maps!$G$2:$I$80,3,FALSE()),"UNMAPPED"))</f>
        <v>Personal Care</v>
      </c>
      <c r="F832" s="36" t="n">
        <f aca="false">IF(Raw_Export!$A832="","",IFERROR(VALUE(TRIM(Raw_Export!E832)),0))</f>
        <v>6</v>
      </c>
      <c r="G832" s="38" t="n">
        <f aca="false">IF(Raw_Export!$A832="","",IFERROR(VALUE(SUBSTITUTE(SUBSTITUTE(UPPER(TRIM(Raw_Export!F832)),"KES",""),",","")),0))</f>
        <v>85</v>
      </c>
      <c r="H832" s="38" t="n">
        <f aca="false">IF(Raw_Export!$A832="","",F832*G832)</f>
        <v>510</v>
      </c>
      <c r="I832" s="36" t="str">
        <f aca="false">IF(Raw_Export!$A832="","",IFERROR(VLOOKUP(LOWER(TRIM(Raw_Export!H832)),Maps!$D$2:$E$12,2,FALSE()),"Other"))</f>
        <v>M-Pesa</v>
      </c>
      <c r="J832" s="36" t="str">
        <f aca="false">IF(Raw_Export!$A832="","",IF(COUNTIF($A$2:A832,A832)&gt;1,"Duplicate",""))</f>
        <v/>
      </c>
      <c r="K832" s="36" t="str">
        <f aca="false">IF(Raw_Export!$A832="","",IF(J832="Duplicate","Duplicate",IF(OR(C832="UNMAPPED",D832="UNMAPPED"),"Unmapped",IF(F832=0,"Blank qty",IF(F832&lt;0,"Return","OK")))))</f>
        <v>OK</v>
      </c>
      <c r="L832" s="36" t="n">
        <f aca="false">IF(Raw_Export!$A832="","",IF(OR(K832="OK",K832="Return"),1,0))</f>
        <v>1</v>
      </c>
      <c r="M832" s="37" t="n">
        <f aca="false">IF(Raw_Export!$A832="","",B832-WEEKDAY(B832,2)+1)</f>
        <v>46265</v>
      </c>
    </row>
    <row r="833" customFormat="false" ht="15" hidden="false" customHeight="false" outlineLevel="0" collapsed="false">
      <c r="A833" s="36" t="str">
        <f aca="false">IF(Raw_Export!$A833="","",TRIM(Raw_Export!A833))</f>
        <v>TXN-100817</v>
      </c>
      <c r="B833" s="37" t="n">
        <f aca="false">IF(Raw_Export!$A833="","",IF(ISNUMBER(Raw_Export!B833),Raw_Export!B833,IF(MID(TRIM(Raw_Export!B833),5,1)="-",DATE(LEFT(TRIM(Raw_Export!B833),4),MID(TRIM(Raw_Export!B833),6,2),RIGHT(TRIM(Raw_Export!B833),2)),DATE(RIGHT(TRIM(Raw_Export!B833),4),MATCH(MID(TRIM(Raw_Export!B833),4,3),{"Jan","Feb","Mar","Apr","May","Jun","Jul","Aug","Sep","Oct","Nov","Dec"},0),LEFT(TRIM(Raw_Export!B833),2)))))</f>
        <v>46270</v>
      </c>
      <c r="C833" s="36" t="str">
        <f aca="false">IF(Raw_Export!$A833="","",IFERROR(VLOOKUP(LOWER(TRIM(Raw_Export!C833)),Maps!$A$2:$B$20,2,FALSE()),"UNMAPPED"))</f>
        <v>Mombasa</v>
      </c>
      <c r="D833" s="36" t="str">
        <f aca="false">IF(Raw_Export!$A833="","",IFERROR(VLOOKUP(LOWER(TRIM(Raw_Export!D833)),Maps!$G$2:$I$80,2,FALSE()),"UNMAPPED"))</f>
        <v>Peanuts 250g</v>
      </c>
      <c r="E833" s="36" t="str">
        <f aca="false">IF(Raw_Export!$A833="","",IFERROR(VLOOKUP(LOWER(TRIM(Raw_Export!D833)),Maps!$G$2:$I$80,3,FALSE()),"UNMAPPED"))</f>
        <v>Snacks</v>
      </c>
      <c r="F833" s="36" t="n">
        <f aca="false">IF(Raw_Export!$A833="","",IFERROR(VALUE(TRIM(Raw_Export!E833)),0))</f>
        <v>3</v>
      </c>
      <c r="G833" s="38" t="n">
        <f aca="false">IF(Raw_Export!$A833="","",IFERROR(VALUE(SUBSTITUTE(SUBSTITUTE(UPPER(TRIM(Raw_Export!F833)),"KES",""),",","")),0))</f>
        <v>130</v>
      </c>
      <c r="H833" s="38" t="n">
        <f aca="false">IF(Raw_Export!$A833="","",F833*G833)</f>
        <v>390</v>
      </c>
      <c r="I833" s="36" t="str">
        <f aca="false">IF(Raw_Export!$A833="","",IFERROR(VLOOKUP(LOWER(TRIM(Raw_Export!H833)),Maps!$D$2:$E$12,2,FALSE()),"Other"))</f>
        <v>M-Pesa</v>
      </c>
      <c r="J833" s="36" t="str">
        <f aca="false">IF(Raw_Export!$A833="","",IF(COUNTIF($A$2:A833,A833)&gt;1,"Duplicate",""))</f>
        <v/>
      </c>
      <c r="K833" s="36" t="str">
        <f aca="false">IF(Raw_Export!$A833="","",IF(J833="Duplicate","Duplicate",IF(OR(C833="UNMAPPED",D833="UNMAPPED"),"Unmapped",IF(F833=0,"Blank qty",IF(F833&lt;0,"Return","OK")))))</f>
        <v>OK</v>
      </c>
      <c r="L833" s="36" t="n">
        <f aca="false">IF(Raw_Export!$A833="","",IF(OR(K833="OK",K833="Return"),1,0))</f>
        <v>1</v>
      </c>
      <c r="M833" s="37" t="n">
        <f aca="false">IF(Raw_Export!$A833="","",B833-WEEKDAY(B833,2)+1)</f>
        <v>46265</v>
      </c>
    </row>
    <row r="834" customFormat="false" ht="15" hidden="false" customHeight="false" outlineLevel="0" collapsed="false">
      <c r="A834" s="36" t="str">
        <f aca="false">IF(Raw_Export!$A834="","",TRIM(Raw_Export!A834))</f>
        <v>TXN-100818</v>
      </c>
      <c r="B834" s="37" t="n">
        <f aca="false">IF(Raw_Export!$A834="","",IF(ISNUMBER(Raw_Export!B834),Raw_Export!B834,IF(MID(TRIM(Raw_Export!B834),5,1)="-",DATE(LEFT(TRIM(Raw_Export!B834),4),MID(TRIM(Raw_Export!B834),6,2),RIGHT(TRIM(Raw_Export!B834),2)),DATE(RIGHT(TRIM(Raw_Export!B834),4),MATCH(MID(TRIM(Raw_Export!B834),4,3),{"Jan","Feb","Mar","Apr","May","Jun","Jul","Aug","Sep","Oct","Nov","Dec"},0),LEFT(TRIM(Raw_Export!B834),2)))))</f>
        <v>46270</v>
      </c>
      <c r="C834" s="36" t="str">
        <f aca="false">IF(Raw_Export!$A834="","",IFERROR(VLOOKUP(LOWER(TRIM(Raw_Export!C834)),Maps!$A$2:$B$20,2,FALSE()),"UNMAPPED"))</f>
        <v>Mombasa</v>
      </c>
      <c r="D834" s="36" t="str">
        <f aca="false">IF(Raw_Export!$A834="","",IFERROR(VLOOKUP(LOWER(TRIM(Raw_Export!D834)),Maps!$G$2:$I$80,2,FALSE()),"UNMAPPED"))</f>
        <v>Sugar 2kg</v>
      </c>
      <c r="E834" s="36" t="str">
        <f aca="false">IF(Raw_Export!$A834="","",IFERROR(VLOOKUP(LOWER(TRIM(Raw_Export!D834)),Maps!$G$2:$I$80,3,FALSE()),"UNMAPPED"))</f>
        <v>Staples</v>
      </c>
      <c r="F834" s="36" t="n">
        <f aca="false">IF(Raw_Export!$A834="","",IFERROR(VALUE(TRIM(Raw_Export!E834)),0))</f>
        <v>2</v>
      </c>
      <c r="G834" s="38" t="n">
        <f aca="false">IF(Raw_Export!$A834="","",IFERROR(VALUE(SUBSTITUTE(SUBSTITUTE(UPPER(TRIM(Raw_Export!F834)),"KES",""),",","")),0))</f>
        <v>330</v>
      </c>
      <c r="H834" s="38" t="n">
        <f aca="false">IF(Raw_Export!$A834="","",F834*G834)</f>
        <v>660</v>
      </c>
      <c r="I834" s="36" t="str">
        <f aca="false">IF(Raw_Export!$A834="","",IFERROR(VLOOKUP(LOWER(TRIM(Raw_Export!H834)),Maps!$D$2:$E$12,2,FALSE()),"Other"))</f>
        <v>M-Pesa</v>
      </c>
      <c r="J834" s="36" t="str">
        <f aca="false">IF(Raw_Export!$A834="","",IF(COUNTIF($A$2:A834,A834)&gt;1,"Duplicate",""))</f>
        <v/>
      </c>
      <c r="K834" s="36" t="str">
        <f aca="false">IF(Raw_Export!$A834="","",IF(J834="Duplicate","Duplicate",IF(OR(C834="UNMAPPED",D834="UNMAPPED"),"Unmapped",IF(F834=0,"Blank qty",IF(F834&lt;0,"Return","OK")))))</f>
        <v>OK</v>
      </c>
      <c r="L834" s="36" t="n">
        <f aca="false">IF(Raw_Export!$A834="","",IF(OR(K834="OK",K834="Return"),1,0))</f>
        <v>1</v>
      </c>
      <c r="M834" s="37" t="n">
        <f aca="false">IF(Raw_Export!$A834="","",B834-WEEKDAY(B834,2)+1)</f>
        <v>46265</v>
      </c>
    </row>
    <row r="835" customFormat="false" ht="15" hidden="false" customHeight="false" outlineLevel="0" collapsed="false">
      <c r="A835" s="36" t="str">
        <f aca="false">IF(Raw_Export!$A835="","",TRIM(Raw_Export!A835))</f>
        <v>TXN-100819</v>
      </c>
      <c r="B835" s="37" t="n">
        <f aca="false">IF(Raw_Export!$A835="","",IF(ISNUMBER(Raw_Export!B835),Raw_Export!B835,IF(MID(TRIM(Raw_Export!B835),5,1)="-",DATE(LEFT(TRIM(Raw_Export!B835),4),MID(TRIM(Raw_Export!B835),6,2),RIGHT(TRIM(Raw_Export!B835),2)),DATE(RIGHT(TRIM(Raw_Export!B835),4),MATCH(MID(TRIM(Raw_Export!B835),4,3),{"Jan","Feb","Mar","Apr","May","Jun","Jul","Aug","Sep","Oct","Nov","Dec"},0),LEFT(TRIM(Raw_Export!B835),2)))))</f>
        <v>46270</v>
      </c>
      <c r="C835" s="36" t="str">
        <f aca="false">IF(Raw_Export!$A835="","",IFERROR(VLOOKUP(LOWER(TRIM(Raw_Export!C835)),Maps!$A$2:$B$20,2,FALSE()),"UNMAPPED"))</f>
        <v>Mombasa</v>
      </c>
      <c r="D835" s="36" t="str">
        <f aca="false">IF(Raw_Export!$A835="","",IFERROR(VLOOKUP(LOWER(TRIM(Raw_Export!D835)),Maps!$G$2:$I$80,2,FALSE()),"UNMAPPED"))</f>
        <v>Cooking Oil 1L</v>
      </c>
      <c r="E835" s="36" t="str">
        <f aca="false">IF(Raw_Export!$A835="","",IFERROR(VLOOKUP(LOWER(TRIM(Raw_Export!D835)),Maps!$G$2:$I$80,3,FALSE()),"UNMAPPED"))</f>
        <v>Staples</v>
      </c>
      <c r="F835" s="36" t="n">
        <f aca="false">IF(Raw_Export!$A835="","",IFERROR(VALUE(TRIM(Raw_Export!E835)),0))</f>
        <v>2</v>
      </c>
      <c r="G835" s="38" t="n">
        <f aca="false">IF(Raw_Export!$A835="","",IFERROR(VALUE(SUBSTITUTE(SUBSTITUTE(UPPER(TRIM(Raw_Export!F835)),"KES",""),",","")),0))</f>
        <v>330</v>
      </c>
      <c r="H835" s="38" t="n">
        <f aca="false">IF(Raw_Export!$A835="","",F835*G835)</f>
        <v>660</v>
      </c>
      <c r="I835" s="36" t="str">
        <f aca="false">IF(Raw_Export!$A835="","",IFERROR(VLOOKUP(LOWER(TRIM(Raw_Export!H835)),Maps!$D$2:$E$12,2,FALSE()),"Other"))</f>
        <v>Cash</v>
      </c>
      <c r="J835" s="36" t="str">
        <f aca="false">IF(Raw_Export!$A835="","",IF(COUNTIF($A$2:A835,A835)&gt;1,"Duplicate",""))</f>
        <v/>
      </c>
      <c r="K835" s="36" t="str">
        <f aca="false">IF(Raw_Export!$A835="","",IF(J835="Duplicate","Duplicate",IF(OR(C835="UNMAPPED",D835="UNMAPPED"),"Unmapped",IF(F835=0,"Blank qty",IF(F835&lt;0,"Return","OK")))))</f>
        <v>OK</v>
      </c>
      <c r="L835" s="36" t="n">
        <f aca="false">IF(Raw_Export!$A835="","",IF(OR(K835="OK",K835="Return"),1,0))</f>
        <v>1</v>
      </c>
      <c r="M835" s="37" t="n">
        <f aca="false">IF(Raw_Export!$A835="","",B835-WEEKDAY(B835,2)+1)</f>
        <v>46265</v>
      </c>
    </row>
    <row r="836" customFormat="false" ht="15" hidden="false" customHeight="false" outlineLevel="0" collapsed="false">
      <c r="A836" s="36" t="str">
        <f aca="false">IF(Raw_Export!$A836="","",TRIM(Raw_Export!A836))</f>
        <v>TXN-100820</v>
      </c>
      <c r="B836" s="37" t="n">
        <f aca="false">IF(Raw_Export!$A836="","",IF(ISNUMBER(Raw_Export!B836),Raw_Export!B836,IF(MID(TRIM(Raw_Export!B836),5,1)="-",DATE(LEFT(TRIM(Raw_Export!B836),4),MID(TRIM(Raw_Export!B836),6,2),RIGHT(TRIM(Raw_Export!B836),2)),DATE(RIGHT(TRIM(Raw_Export!B836),4),MATCH(MID(TRIM(Raw_Export!B836),4,3),{"Jan","Feb","Mar","Apr","May","Jun","Jul","Aug","Sep","Oct","Nov","Dec"},0),LEFT(TRIM(Raw_Export!B836),2)))))</f>
        <v>46270</v>
      </c>
      <c r="C836" s="36" t="str">
        <f aca="false">IF(Raw_Export!$A836="","",IFERROR(VLOOKUP(LOWER(TRIM(Raw_Export!C836)),Maps!$A$2:$B$20,2,FALSE()),"UNMAPPED"))</f>
        <v>Mombasa</v>
      </c>
      <c r="D836" s="36" t="str">
        <f aca="false">IF(Raw_Export!$A836="","",IFERROR(VLOOKUP(LOWER(TRIM(Raw_Export!D836)),Maps!$G$2:$I$80,2,FALSE()),"UNMAPPED"))</f>
        <v>Cooking Oil 1L</v>
      </c>
      <c r="E836" s="36" t="str">
        <f aca="false">IF(Raw_Export!$A836="","",IFERROR(VLOOKUP(LOWER(TRIM(Raw_Export!D836)),Maps!$G$2:$I$80,3,FALSE()),"UNMAPPED"))</f>
        <v>Staples</v>
      </c>
      <c r="F836" s="36" t="n">
        <f aca="false">IF(Raw_Export!$A836="","",IFERROR(VALUE(TRIM(Raw_Export!E836)),0))</f>
        <v>3</v>
      </c>
      <c r="G836" s="38" t="n">
        <f aca="false">IF(Raw_Export!$A836="","",IFERROR(VALUE(SUBSTITUTE(SUBSTITUTE(UPPER(TRIM(Raw_Export!F836)),"KES",""),",","")),0))</f>
        <v>330</v>
      </c>
      <c r="H836" s="38" t="n">
        <f aca="false">IF(Raw_Export!$A836="","",F836*G836)</f>
        <v>990</v>
      </c>
      <c r="I836" s="36" t="str">
        <f aca="false">IF(Raw_Export!$A836="","",IFERROR(VLOOKUP(LOWER(TRIM(Raw_Export!H836)),Maps!$D$2:$E$12,2,FALSE()),"Other"))</f>
        <v>M-Pesa</v>
      </c>
      <c r="J836" s="36" t="str">
        <f aca="false">IF(Raw_Export!$A836="","",IF(COUNTIF($A$2:A836,A836)&gt;1,"Duplicate",""))</f>
        <v/>
      </c>
      <c r="K836" s="36" t="str">
        <f aca="false">IF(Raw_Export!$A836="","",IF(J836="Duplicate","Duplicate",IF(OR(C836="UNMAPPED",D836="UNMAPPED"),"Unmapped",IF(F836=0,"Blank qty",IF(F836&lt;0,"Return","OK")))))</f>
        <v>OK</v>
      </c>
      <c r="L836" s="36" t="n">
        <f aca="false">IF(Raw_Export!$A836="","",IF(OR(K836="OK",K836="Return"),1,0))</f>
        <v>1</v>
      </c>
      <c r="M836" s="37" t="n">
        <f aca="false">IF(Raw_Export!$A836="","",B836-WEEKDAY(B836,2)+1)</f>
        <v>46265</v>
      </c>
    </row>
    <row r="837" customFormat="false" ht="15" hidden="false" customHeight="false" outlineLevel="0" collapsed="false">
      <c r="A837" s="36" t="str">
        <f aca="false">IF(Raw_Export!$A837="","",TRIM(Raw_Export!A837))</f>
        <v>TXN-100821</v>
      </c>
      <c r="B837" s="37" t="n">
        <f aca="false">IF(Raw_Export!$A837="","",IF(ISNUMBER(Raw_Export!B837),Raw_Export!B837,IF(MID(TRIM(Raw_Export!B837),5,1)="-",DATE(LEFT(TRIM(Raw_Export!B837),4),MID(TRIM(Raw_Export!B837),6,2),RIGHT(TRIM(Raw_Export!B837),2)),DATE(RIGHT(TRIM(Raw_Export!B837),4),MATCH(MID(TRIM(Raw_Export!B837),4,3),{"Jan","Feb","Mar","Apr","May","Jun","Jul","Aug","Sep","Oct","Nov","Dec"},0),LEFT(TRIM(Raw_Export!B837),2)))))</f>
        <v>46270</v>
      </c>
      <c r="C837" s="36" t="str">
        <f aca="false">IF(Raw_Export!$A837="","",IFERROR(VLOOKUP(LOWER(TRIM(Raw_Export!C837)),Maps!$A$2:$B$20,2,FALSE()),"UNMAPPED"))</f>
        <v>Mombasa</v>
      </c>
      <c r="D837" s="36" t="str">
        <f aca="false">IF(Raw_Export!$A837="","",IFERROR(VLOOKUP(LOWER(TRIM(Raw_Export!D837)),Maps!$G$2:$I$80,2,FALSE()),"UNMAPPED"))</f>
        <v>Tea Leaves 250g</v>
      </c>
      <c r="E837" s="36" t="str">
        <f aca="false">IF(Raw_Export!$A837="","",IFERROR(VLOOKUP(LOWER(TRIM(Raw_Export!D837)),Maps!$G$2:$I$80,3,FALSE()),"UNMAPPED"))</f>
        <v>Beverages</v>
      </c>
      <c r="F837" s="36" t="n">
        <f aca="false">IF(Raw_Export!$A837="","",IFERROR(VALUE(TRIM(Raw_Export!E837)),0))</f>
        <v>1</v>
      </c>
      <c r="G837" s="38" t="n">
        <f aca="false">IF(Raw_Export!$A837="","",IFERROR(VALUE(SUBSTITUTE(SUBSTITUTE(UPPER(TRIM(Raw_Export!F837)),"KES",""),",","")),0))</f>
        <v>150</v>
      </c>
      <c r="H837" s="38" t="n">
        <f aca="false">IF(Raw_Export!$A837="","",F837*G837)</f>
        <v>150</v>
      </c>
      <c r="I837" s="36" t="str">
        <f aca="false">IF(Raw_Export!$A837="","",IFERROR(VLOOKUP(LOWER(TRIM(Raw_Export!H837)),Maps!$D$2:$E$12,2,FALSE()),"Other"))</f>
        <v>Cash</v>
      </c>
      <c r="J837" s="36" t="str">
        <f aca="false">IF(Raw_Export!$A837="","",IF(COUNTIF($A$2:A837,A837)&gt;1,"Duplicate",""))</f>
        <v/>
      </c>
      <c r="K837" s="36" t="str">
        <f aca="false">IF(Raw_Export!$A837="","",IF(J837="Duplicate","Duplicate",IF(OR(C837="UNMAPPED",D837="UNMAPPED"),"Unmapped",IF(F837=0,"Blank qty",IF(F837&lt;0,"Return","OK")))))</f>
        <v>OK</v>
      </c>
      <c r="L837" s="36" t="n">
        <f aca="false">IF(Raw_Export!$A837="","",IF(OR(K837="OK",K837="Return"),1,0))</f>
        <v>1</v>
      </c>
      <c r="M837" s="37" t="n">
        <f aca="false">IF(Raw_Export!$A837="","",B837-WEEKDAY(B837,2)+1)</f>
        <v>46265</v>
      </c>
    </row>
    <row r="838" customFormat="false" ht="15" hidden="false" customHeight="false" outlineLevel="0" collapsed="false">
      <c r="A838" s="36" t="str">
        <f aca="false">IF(Raw_Export!$A838="","",TRIM(Raw_Export!A838))</f>
        <v>TXN-100822</v>
      </c>
      <c r="B838" s="37" t="n">
        <f aca="false">IF(Raw_Export!$A838="","",IF(ISNUMBER(Raw_Export!B838),Raw_Export!B838,IF(MID(TRIM(Raw_Export!B838),5,1)="-",DATE(LEFT(TRIM(Raw_Export!B838),4),MID(TRIM(Raw_Export!B838),6,2),RIGHT(TRIM(Raw_Export!B838),2)),DATE(RIGHT(TRIM(Raw_Export!B838),4),MATCH(MID(TRIM(Raw_Export!B838),4,3),{"Jan","Feb","Mar","Apr","May","Jun","Jul","Aug","Sep","Oct","Nov","Dec"},0),LEFT(TRIM(Raw_Export!B838),2)))))</f>
        <v>46270</v>
      </c>
      <c r="C838" s="36" t="str">
        <f aca="false">IF(Raw_Export!$A838="","",IFERROR(VLOOKUP(LOWER(TRIM(Raw_Export!C838)),Maps!$A$2:$B$20,2,FALSE()),"UNMAPPED"))</f>
        <v>Mombasa</v>
      </c>
      <c r="D838" s="36" t="str">
        <f aca="false">IF(Raw_Export!$A838="","",IFERROR(VLOOKUP(LOWER(TRIM(Raw_Export!D838)),Maps!$G$2:$I$80,2,FALSE()),"UNMAPPED"))</f>
        <v>Fresh Milk 500ml</v>
      </c>
      <c r="E838" s="36" t="str">
        <f aca="false">IF(Raw_Export!$A838="","",IFERROR(VLOOKUP(LOWER(TRIM(Raw_Export!D838)),Maps!$G$2:$I$80,3,FALSE()),"UNMAPPED"))</f>
        <v>Dairy &amp; Eggs</v>
      </c>
      <c r="F838" s="36" t="n">
        <f aca="false">IF(Raw_Export!$A838="","",IFERROR(VALUE(TRIM(Raw_Export!E838)),0))</f>
        <v>1</v>
      </c>
      <c r="G838" s="38" t="n">
        <f aca="false">IF(Raw_Export!$A838="","",IFERROR(VALUE(SUBSTITUTE(SUBSTITUTE(UPPER(TRIM(Raw_Export!F838)),"KES",""),",","")),0))</f>
        <v>65</v>
      </c>
      <c r="H838" s="38" t="n">
        <f aca="false">IF(Raw_Export!$A838="","",F838*G838)</f>
        <v>65</v>
      </c>
      <c r="I838" s="36" t="str">
        <f aca="false">IF(Raw_Export!$A838="","",IFERROR(VLOOKUP(LOWER(TRIM(Raw_Export!H838)),Maps!$D$2:$E$12,2,FALSE()),"Other"))</f>
        <v>M-Pesa</v>
      </c>
      <c r="J838" s="36" t="str">
        <f aca="false">IF(Raw_Export!$A838="","",IF(COUNTIF($A$2:A838,A838)&gt;1,"Duplicate",""))</f>
        <v/>
      </c>
      <c r="K838" s="36" t="str">
        <f aca="false">IF(Raw_Export!$A838="","",IF(J838="Duplicate","Duplicate",IF(OR(C838="UNMAPPED",D838="UNMAPPED"),"Unmapped",IF(F838=0,"Blank qty",IF(F838&lt;0,"Return","OK")))))</f>
        <v>OK</v>
      </c>
      <c r="L838" s="36" t="n">
        <f aca="false">IF(Raw_Export!$A838="","",IF(OR(K838="OK",K838="Return"),1,0))</f>
        <v>1</v>
      </c>
      <c r="M838" s="37" t="n">
        <f aca="false">IF(Raw_Export!$A838="","",B838-WEEKDAY(B838,2)+1)</f>
        <v>46265</v>
      </c>
    </row>
    <row r="839" customFormat="false" ht="15" hidden="false" customHeight="false" outlineLevel="0" collapsed="false">
      <c r="A839" s="36" t="str">
        <f aca="false">IF(Raw_Export!$A839="","",TRIM(Raw_Export!A839))</f>
        <v>TXN-100823</v>
      </c>
      <c r="B839" s="37" t="n">
        <f aca="false">IF(Raw_Export!$A839="","",IF(ISNUMBER(Raw_Export!B839),Raw_Export!B839,IF(MID(TRIM(Raw_Export!B839),5,1)="-",DATE(LEFT(TRIM(Raw_Export!B839),4),MID(TRIM(Raw_Export!B839),6,2),RIGHT(TRIM(Raw_Export!B839),2)),DATE(RIGHT(TRIM(Raw_Export!B839),4),MATCH(MID(TRIM(Raw_Export!B839),4,3),{"Jan","Feb","Mar","Apr","May","Jun","Jul","Aug","Sep","Oct","Nov","Dec"},0),LEFT(TRIM(Raw_Export!B839),2)))))</f>
        <v>46270</v>
      </c>
      <c r="C839" s="36" t="str">
        <f aca="false">IF(Raw_Export!$A839="","",IFERROR(VLOOKUP(LOWER(TRIM(Raw_Export!C839)),Maps!$A$2:$B$20,2,FALSE()),"UNMAPPED"))</f>
        <v>Mombasa</v>
      </c>
      <c r="D839" s="36" t="str">
        <f aca="false">IF(Raw_Export!$A839="","",IFERROR(VLOOKUP(LOWER(TRIM(Raw_Export!D839)),Maps!$G$2:$I$80,2,FALSE()),"UNMAPPED"))</f>
        <v>Soda 500ml</v>
      </c>
      <c r="E839" s="36" t="str">
        <f aca="false">IF(Raw_Export!$A839="","",IFERROR(VLOOKUP(LOWER(TRIM(Raw_Export!D839)),Maps!$G$2:$I$80,3,FALSE()),"UNMAPPED"))</f>
        <v>Beverages</v>
      </c>
      <c r="F839" s="36" t="n">
        <f aca="false">IF(Raw_Export!$A839="","",IFERROR(VALUE(TRIM(Raw_Export!E839)),0))</f>
        <v>3</v>
      </c>
      <c r="G839" s="38" t="n">
        <f aca="false">IF(Raw_Export!$A839="","",IFERROR(VALUE(SUBSTITUTE(SUBSTITUTE(UPPER(TRIM(Raw_Export!F839)),"KES",""),",","")),0))</f>
        <v>60</v>
      </c>
      <c r="H839" s="38" t="n">
        <f aca="false">IF(Raw_Export!$A839="","",F839*G839)</f>
        <v>180</v>
      </c>
      <c r="I839" s="36" t="str">
        <f aca="false">IF(Raw_Export!$A839="","",IFERROR(VLOOKUP(LOWER(TRIM(Raw_Export!H839)),Maps!$D$2:$E$12,2,FALSE()),"Other"))</f>
        <v>Cash</v>
      </c>
      <c r="J839" s="36" t="str">
        <f aca="false">IF(Raw_Export!$A839="","",IF(COUNTIF($A$2:A839,A839)&gt;1,"Duplicate",""))</f>
        <v/>
      </c>
      <c r="K839" s="36" t="str">
        <f aca="false">IF(Raw_Export!$A839="","",IF(J839="Duplicate","Duplicate",IF(OR(C839="UNMAPPED",D839="UNMAPPED"),"Unmapped",IF(F839=0,"Blank qty",IF(F839&lt;0,"Return","OK")))))</f>
        <v>OK</v>
      </c>
      <c r="L839" s="36" t="n">
        <f aca="false">IF(Raw_Export!$A839="","",IF(OR(K839="OK",K839="Return"),1,0))</f>
        <v>1</v>
      </c>
      <c r="M839" s="37" t="n">
        <f aca="false">IF(Raw_Export!$A839="","",B839-WEEKDAY(B839,2)+1)</f>
        <v>46265</v>
      </c>
    </row>
    <row r="840" customFormat="false" ht="15" hidden="false" customHeight="false" outlineLevel="0" collapsed="false">
      <c r="A840" s="36" t="str">
        <f aca="false">IF(Raw_Export!$A840="","",TRIM(Raw_Export!A840))</f>
        <v>TXN-100824</v>
      </c>
      <c r="B840" s="37" t="n">
        <f aca="false">IF(Raw_Export!$A840="","",IF(ISNUMBER(Raw_Export!B840),Raw_Export!B840,IF(MID(TRIM(Raw_Export!B840),5,1)="-",DATE(LEFT(TRIM(Raw_Export!B840),4),MID(TRIM(Raw_Export!B840),6,2),RIGHT(TRIM(Raw_Export!B840),2)),DATE(RIGHT(TRIM(Raw_Export!B840),4),MATCH(MID(TRIM(Raw_Export!B840),4,3),{"Jan","Feb","Mar","Apr","May","Jun","Jul","Aug","Sep","Oct","Nov","Dec"},0),LEFT(TRIM(Raw_Export!B840),2)))))</f>
        <v>46270</v>
      </c>
      <c r="C840" s="36" t="str">
        <f aca="false">IF(Raw_Export!$A840="","",IFERROR(VLOOKUP(LOWER(TRIM(Raw_Export!C840)),Maps!$A$2:$B$20,2,FALSE()),"UNMAPPED"))</f>
        <v>Mombasa</v>
      </c>
      <c r="D840" s="36" t="str">
        <f aca="false">IF(Raw_Export!$A840="","",IFERROR(VLOOKUP(LOWER(TRIM(Raw_Export!D840)),Maps!$G$2:$I$80,2,FALSE()),"UNMAPPED"))</f>
        <v>Bleach 1L</v>
      </c>
      <c r="E840" s="36" t="str">
        <f aca="false">IF(Raw_Export!$A840="","",IFERROR(VLOOKUP(LOWER(TRIM(Raw_Export!D840)),Maps!$G$2:$I$80,3,FALSE()),"UNMAPPED"))</f>
        <v>Household</v>
      </c>
      <c r="F840" s="36" t="n">
        <f aca="false">IF(Raw_Export!$A840="","",IFERROR(VALUE(TRIM(Raw_Export!E840)),0))</f>
        <v>6</v>
      </c>
      <c r="G840" s="38" t="n">
        <f aca="false">IF(Raw_Export!$A840="","",IFERROR(VALUE(SUBSTITUTE(SUBSTITUTE(UPPER(TRIM(Raw_Export!F840)),"KES",""),",","")),0))</f>
        <v>160</v>
      </c>
      <c r="H840" s="38" t="n">
        <f aca="false">IF(Raw_Export!$A840="","",F840*G840)</f>
        <v>960</v>
      </c>
      <c r="I840" s="36" t="str">
        <f aca="false">IF(Raw_Export!$A840="","",IFERROR(VLOOKUP(LOWER(TRIM(Raw_Export!H840)),Maps!$D$2:$E$12,2,FALSE()),"Other"))</f>
        <v>Card</v>
      </c>
      <c r="J840" s="36" t="str">
        <f aca="false">IF(Raw_Export!$A840="","",IF(COUNTIF($A$2:A840,A840)&gt;1,"Duplicate",""))</f>
        <v/>
      </c>
      <c r="K840" s="36" t="str">
        <f aca="false">IF(Raw_Export!$A840="","",IF(J840="Duplicate","Duplicate",IF(OR(C840="UNMAPPED",D840="UNMAPPED"),"Unmapped",IF(F840=0,"Blank qty",IF(F840&lt;0,"Return","OK")))))</f>
        <v>OK</v>
      </c>
      <c r="L840" s="36" t="n">
        <f aca="false">IF(Raw_Export!$A840="","",IF(OR(K840="OK",K840="Return"),1,0))</f>
        <v>1</v>
      </c>
      <c r="M840" s="37" t="n">
        <f aca="false">IF(Raw_Export!$A840="","",B840-WEEKDAY(B840,2)+1)</f>
        <v>46265</v>
      </c>
    </row>
    <row r="841" customFormat="false" ht="15" hidden="false" customHeight="false" outlineLevel="0" collapsed="false">
      <c r="A841" s="36" t="str">
        <f aca="false">IF(Raw_Export!$A841="","",TRIM(Raw_Export!A841))</f>
        <v>TXN-100825</v>
      </c>
      <c r="B841" s="37" t="n">
        <f aca="false">IF(Raw_Export!$A841="","",IF(ISNUMBER(Raw_Export!B841),Raw_Export!B841,IF(MID(TRIM(Raw_Export!B841),5,1)="-",DATE(LEFT(TRIM(Raw_Export!B841),4),MID(TRIM(Raw_Export!B841),6,2),RIGHT(TRIM(Raw_Export!B841),2)),DATE(RIGHT(TRIM(Raw_Export!B841),4),MATCH(MID(TRIM(Raw_Export!B841),4,3),{"Jan","Feb","Mar","Apr","May","Jun","Jul","Aug","Sep","Oct","Nov","Dec"},0),LEFT(TRIM(Raw_Export!B841),2)))))</f>
        <v>46270</v>
      </c>
      <c r="C841" s="36" t="str">
        <f aca="false">IF(Raw_Export!$A841="","",IFERROR(VLOOKUP(LOWER(TRIM(Raw_Export!C841)),Maps!$A$2:$B$20,2,FALSE()),"UNMAPPED"))</f>
        <v>Mombasa</v>
      </c>
      <c r="D841" s="36" t="str">
        <f aca="false">IF(Raw_Export!$A841="","",IFERROR(VLOOKUP(LOWER(TRIM(Raw_Export!D841)),Maps!$G$2:$I$80,2,FALSE()),"UNMAPPED"))</f>
        <v>Bread Loaf 400g</v>
      </c>
      <c r="E841" s="36" t="str">
        <f aca="false">IF(Raw_Export!$A841="","",IFERROR(VLOOKUP(LOWER(TRIM(Raw_Export!D841)),Maps!$G$2:$I$80,3,FALSE()),"UNMAPPED"))</f>
        <v>Snacks</v>
      </c>
      <c r="F841" s="36" t="n">
        <f aca="false">IF(Raw_Export!$A841="","",IFERROR(VALUE(TRIM(Raw_Export!E841)),0))</f>
        <v>3</v>
      </c>
      <c r="G841" s="38" t="n">
        <f aca="false">IF(Raw_Export!$A841="","",IFERROR(VALUE(SUBSTITUTE(SUBSTITUTE(UPPER(TRIM(Raw_Export!F841)),"KES",""),",","")),0))</f>
        <v>65</v>
      </c>
      <c r="H841" s="38" t="n">
        <f aca="false">IF(Raw_Export!$A841="","",F841*G841)</f>
        <v>195</v>
      </c>
      <c r="I841" s="36" t="str">
        <f aca="false">IF(Raw_Export!$A841="","",IFERROR(VLOOKUP(LOWER(TRIM(Raw_Export!H841)),Maps!$D$2:$E$12,2,FALSE()),"Other"))</f>
        <v>Cash</v>
      </c>
      <c r="J841" s="36" t="str">
        <f aca="false">IF(Raw_Export!$A841="","",IF(COUNTIF($A$2:A841,A841)&gt;1,"Duplicate",""))</f>
        <v/>
      </c>
      <c r="K841" s="36" t="str">
        <f aca="false">IF(Raw_Export!$A841="","",IF(J841="Duplicate","Duplicate",IF(OR(C841="UNMAPPED",D841="UNMAPPED"),"Unmapped",IF(F841=0,"Blank qty",IF(F841&lt;0,"Return","OK")))))</f>
        <v>OK</v>
      </c>
      <c r="L841" s="36" t="n">
        <f aca="false">IF(Raw_Export!$A841="","",IF(OR(K841="OK",K841="Return"),1,0))</f>
        <v>1</v>
      </c>
      <c r="M841" s="37" t="n">
        <f aca="false">IF(Raw_Export!$A841="","",B841-WEEKDAY(B841,2)+1)</f>
        <v>46265</v>
      </c>
    </row>
    <row r="842" customFormat="false" ht="15" hidden="false" customHeight="false" outlineLevel="0" collapsed="false">
      <c r="A842" s="36" t="str">
        <f aca="false">IF(Raw_Export!$A842="","",TRIM(Raw_Export!A842))</f>
        <v>TXN-101226</v>
      </c>
      <c r="B842" s="37" t="n">
        <f aca="false">IF(Raw_Export!$A842="","",IF(ISNUMBER(Raw_Export!B842),Raw_Export!B842,IF(MID(TRIM(Raw_Export!B842),5,1)="-",DATE(LEFT(TRIM(Raw_Export!B842),4),MID(TRIM(Raw_Export!B842),6,2),RIGHT(TRIM(Raw_Export!B842),2)),DATE(RIGHT(TRIM(Raw_Export!B842),4),MATCH(MID(TRIM(Raw_Export!B842),4,3),{"Jan","Feb","Mar","Apr","May","Jun","Jul","Aug","Sep","Oct","Nov","Dec"},0),LEFT(TRIM(Raw_Export!B842),2)))))</f>
        <v>46273</v>
      </c>
      <c r="C842" s="36" t="str">
        <f aca="false">IF(Raw_Export!$A842="","",IFERROR(VLOOKUP(LOWER(TRIM(Raw_Export!C842)),Maps!$A$2:$B$20,2,FALSE()),"UNMAPPED"))</f>
        <v>Nairobi CBD</v>
      </c>
      <c r="D842" s="36" t="str">
        <f aca="false">IF(Raw_Export!$A842="","",IFERROR(VLOOKUP(LOWER(TRIM(Raw_Export!D842)),Maps!$G$2:$I$80,2,FALSE()),"UNMAPPED"))</f>
        <v>Sugar 2kg</v>
      </c>
      <c r="E842" s="36" t="str">
        <f aca="false">IF(Raw_Export!$A842="","",IFERROR(VLOOKUP(LOWER(TRIM(Raw_Export!D842)),Maps!$G$2:$I$80,3,FALSE()),"UNMAPPED"))</f>
        <v>Staples</v>
      </c>
      <c r="F842" s="36" t="n">
        <f aca="false">IF(Raw_Export!$A842="","",IFERROR(VALUE(TRIM(Raw_Export!E842)),0))</f>
        <v>2</v>
      </c>
      <c r="G842" s="38" t="n">
        <f aca="false">IF(Raw_Export!$A842="","",IFERROR(VALUE(SUBSTITUTE(SUBSTITUTE(UPPER(TRIM(Raw_Export!F842)),"KES",""),",","")),0))</f>
        <v>330</v>
      </c>
      <c r="H842" s="38" t="n">
        <f aca="false">IF(Raw_Export!$A842="","",F842*G842)</f>
        <v>660</v>
      </c>
      <c r="I842" s="36" t="str">
        <f aca="false">IF(Raw_Export!$A842="","",IFERROR(VLOOKUP(LOWER(TRIM(Raw_Export!H842)),Maps!$D$2:$E$12,2,FALSE()),"Other"))</f>
        <v>Card</v>
      </c>
      <c r="J842" s="36" t="str">
        <f aca="false">IF(Raw_Export!$A842="","",IF(COUNTIF($A$2:A842,A842)&gt;1,"Duplicate",""))</f>
        <v/>
      </c>
      <c r="K842" s="36" t="str">
        <f aca="false">IF(Raw_Export!$A842="","",IF(J842="Duplicate","Duplicate",IF(OR(C842="UNMAPPED",D842="UNMAPPED"),"Unmapped",IF(F842=0,"Blank qty",IF(F842&lt;0,"Return","OK")))))</f>
        <v>OK</v>
      </c>
      <c r="L842" s="36" t="n">
        <f aca="false">IF(Raw_Export!$A842="","",IF(OR(K842="OK",K842="Return"),1,0))</f>
        <v>1</v>
      </c>
      <c r="M842" s="37" t="n">
        <f aca="false">IF(Raw_Export!$A842="","",B842-WEEKDAY(B842,2)+1)</f>
        <v>46272</v>
      </c>
    </row>
    <row r="843" customFormat="false" ht="15" hidden="false" customHeight="false" outlineLevel="0" collapsed="false">
      <c r="A843" s="36" t="str">
        <f aca="false">IF(Raw_Export!$A843="","",TRIM(Raw_Export!A843))</f>
        <v>TXN-100826</v>
      </c>
      <c r="B843" s="37" t="n">
        <f aca="false">IF(Raw_Export!$A843="","",IF(ISNUMBER(Raw_Export!B843),Raw_Export!B843,IF(MID(TRIM(Raw_Export!B843),5,1)="-",DATE(LEFT(TRIM(Raw_Export!B843),4),MID(TRIM(Raw_Export!B843),6,2),RIGHT(TRIM(Raw_Export!B843),2)),DATE(RIGHT(TRIM(Raw_Export!B843),4),MATCH(MID(TRIM(Raw_Export!B843),4,3),{"Jan","Feb","Mar","Apr","May","Jun","Jul","Aug","Sep","Oct","Nov","Dec"},0),LEFT(TRIM(Raw_Export!B843),2)))))</f>
        <v>46270</v>
      </c>
      <c r="C843" s="36" t="str">
        <f aca="false">IF(Raw_Export!$A843="","",IFERROR(VLOOKUP(LOWER(TRIM(Raw_Export!C843)),Maps!$A$2:$B$20,2,FALSE()),"UNMAPPED"))</f>
        <v>Mombasa</v>
      </c>
      <c r="D843" s="36" t="str">
        <f aca="false">IF(Raw_Export!$A843="","",IFERROR(VLOOKUP(LOWER(TRIM(Raw_Export!D843)),Maps!$G$2:$I$80,2,FALSE()),"UNMAPPED"))</f>
        <v>Sugar 2kg</v>
      </c>
      <c r="E843" s="36" t="str">
        <f aca="false">IF(Raw_Export!$A843="","",IFERROR(VLOOKUP(LOWER(TRIM(Raw_Export!D843)),Maps!$G$2:$I$80,3,FALSE()),"UNMAPPED"))</f>
        <v>Staples</v>
      </c>
      <c r="F843" s="36" t="n">
        <f aca="false">IF(Raw_Export!$A843="","",IFERROR(VALUE(TRIM(Raw_Export!E843)),0))</f>
        <v>1</v>
      </c>
      <c r="G843" s="38" t="n">
        <f aca="false">IF(Raw_Export!$A843="","",IFERROR(VALUE(SUBSTITUTE(SUBSTITUTE(UPPER(TRIM(Raw_Export!F843)),"KES",""),",","")),0))</f>
        <v>330</v>
      </c>
      <c r="H843" s="38" t="n">
        <f aca="false">IF(Raw_Export!$A843="","",F843*G843)</f>
        <v>330</v>
      </c>
      <c r="I843" s="36" t="str">
        <f aca="false">IF(Raw_Export!$A843="","",IFERROR(VLOOKUP(LOWER(TRIM(Raw_Export!H843)),Maps!$D$2:$E$12,2,FALSE()),"Other"))</f>
        <v>M-Pesa</v>
      </c>
      <c r="J843" s="36" t="str">
        <f aca="false">IF(Raw_Export!$A843="","",IF(COUNTIF($A$2:A843,A843)&gt;1,"Duplicate",""))</f>
        <v/>
      </c>
      <c r="K843" s="36" t="str">
        <f aca="false">IF(Raw_Export!$A843="","",IF(J843="Duplicate","Duplicate",IF(OR(C843="UNMAPPED",D843="UNMAPPED"),"Unmapped",IF(F843=0,"Blank qty",IF(F843&lt;0,"Return","OK")))))</f>
        <v>OK</v>
      </c>
      <c r="L843" s="36" t="n">
        <f aca="false">IF(Raw_Export!$A843="","",IF(OR(K843="OK",K843="Return"),1,0))</f>
        <v>1</v>
      </c>
      <c r="M843" s="37" t="n">
        <f aca="false">IF(Raw_Export!$A843="","",B843-WEEKDAY(B843,2)+1)</f>
        <v>46265</v>
      </c>
    </row>
    <row r="844" customFormat="false" ht="15" hidden="false" customHeight="false" outlineLevel="0" collapsed="false">
      <c r="A844" s="36" t="str">
        <f aca="false">IF(Raw_Export!$A844="","",TRIM(Raw_Export!A844))</f>
        <v>TXN-100827</v>
      </c>
      <c r="B844" s="37" t="n">
        <f aca="false">IF(Raw_Export!$A844="","",IF(ISNUMBER(Raw_Export!B844),Raw_Export!B844,IF(MID(TRIM(Raw_Export!B844),5,1)="-",DATE(LEFT(TRIM(Raw_Export!B844),4),MID(TRIM(Raw_Export!B844),6,2),RIGHT(TRIM(Raw_Export!B844),2)),DATE(RIGHT(TRIM(Raw_Export!B844),4),MATCH(MID(TRIM(Raw_Export!B844),4,3),{"Jan","Feb","Mar","Apr","May","Jun","Jul","Aug","Sep","Oct","Nov","Dec"},0),LEFT(TRIM(Raw_Export!B844),2)))))</f>
        <v>46270</v>
      </c>
      <c r="C844" s="36" t="str">
        <f aca="false">IF(Raw_Export!$A844="","",IFERROR(VLOOKUP(LOWER(TRIM(Raw_Export!C844)),Maps!$A$2:$B$20,2,FALSE()),"UNMAPPED"))</f>
        <v>Mombasa</v>
      </c>
      <c r="D844" s="36" t="str">
        <f aca="false">IF(Raw_Export!$A844="","",IFERROR(VLOOKUP(LOWER(TRIM(Raw_Export!D844)),Maps!$G$2:$I$80,2,FALSE()),"UNMAPPED"))</f>
        <v>Salt 500g</v>
      </c>
      <c r="E844" s="36" t="str">
        <f aca="false">IF(Raw_Export!$A844="","",IFERROR(VLOOKUP(LOWER(TRIM(Raw_Export!D844)),Maps!$G$2:$I$80,3,FALSE()),"UNMAPPED"))</f>
        <v>Staples</v>
      </c>
      <c r="F844" s="36" t="n">
        <f aca="false">IF(Raw_Export!$A844="","",IFERROR(VALUE(TRIM(Raw_Export!E844)),0))</f>
        <v>2</v>
      </c>
      <c r="G844" s="38" t="n">
        <f aca="false">IF(Raw_Export!$A844="","",IFERROR(VALUE(SUBSTITUTE(SUBSTITUTE(UPPER(TRIM(Raw_Export!F844)),"KES",""),",","")),0))</f>
        <v>40</v>
      </c>
      <c r="H844" s="38" t="n">
        <f aca="false">IF(Raw_Export!$A844="","",F844*G844)</f>
        <v>80</v>
      </c>
      <c r="I844" s="36" t="str">
        <f aca="false">IF(Raw_Export!$A844="","",IFERROR(VLOOKUP(LOWER(TRIM(Raw_Export!H844)),Maps!$D$2:$E$12,2,FALSE()),"Other"))</f>
        <v>Card</v>
      </c>
      <c r="J844" s="36" t="str">
        <f aca="false">IF(Raw_Export!$A844="","",IF(COUNTIF($A$2:A844,A844)&gt;1,"Duplicate",""))</f>
        <v/>
      </c>
      <c r="K844" s="36" t="str">
        <f aca="false">IF(Raw_Export!$A844="","",IF(J844="Duplicate","Duplicate",IF(OR(C844="UNMAPPED",D844="UNMAPPED"),"Unmapped",IF(F844=0,"Blank qty",IF(F844&lt;0,"Return","OK")))))</f>
        <v>OK</v>
      </c>
      <c r="L844" s="36" t="n">
        <f aca="false">IF(Raw_Export!$A844="","",IF(OR(K844="OK",K844="Return"),1,0))</f>
        <v>1</v>
      </c>
      <c r="M844" s="37" t="n">
        <f aca="false">IF(Raw_Export!$A844="","",B844-WEEKDAY(B844,2)+1)</f>
        <v>46265</v>
      </c>
    </row>
    <row r="845" customFormat="false" ht="15" hidden="false" customHeight="false" outlineLevel="0" collapsed="false">
      <c r="A845" s="36" t="str">
        <f aca="false">IF(Raw_Export!$A845="","",TRIM(Raw_Export!A845))</f>
        <v>TXN-100828</v>
      </c>
      <c r="B845" s="37" t="n">
        <f aca="false">IF(Raw_Export!$A845="","",IF(ISNUMBER(Raw_Export!B845),Raw_Export!B845,IF(MID(TRIM(Raw_Export!B845),5,1)="-",DATE(LEFT(TRIM(Raw_Export!B845),4),MID(TRIM(Raw_Export!B845),6,2),RIGHT(TRIM(Raw_Export!B845),2)),DATE(RIGHT(TRIM(Raw_Export!B845),4),MATCH(MID(TRIM(Raw_Export!B845),4,3),{"Jan","Feb","Mar","Apr","May","Jun","Jul","Aug","Sep","Oct","Nov","Dec"},0),LEFT(TRIM(Raw_Export!B845),2)))))</f>
        <v>46270</v>
      </c>
      <c r="C845" s="36" t="str">
        <f aca="false">IF(Raw_Export!$A845="","",IFERROR(VLOOKUP(LOWER(TRIM(Raw_Export!C845)),Maps!$A$2:$B$20,2,FALSE()),"UNMAPPED"))</f>
        <v>Mombasa</v>
      </c>
      <c r="D845" s="36" t="str">
        <f aca="false">IF(Raw_Export!$A845="","",IFERROR(VLOOKUP(LOWER(TRIM(Raw_Export!D845)),Maps!$G$2:$I$80,2,FALSE()),"UNMAPPED"))</f>
        <v>Tea Leaves 250g</v>
      </c>
      <c r="E845" s="36" t="str">
        <f aca="false">IF(Raw_Export!$A845="","",IFERROR(VLOOKUP(LOWER(TRIM(Raw_Export!D845)),Maps!$G$2:$I$80,3,FALSE()),"UNMAPPED"))</f>
        <v>Beverages</v>
      </c>
      <c r="F845" s="36" t="n">
        <f aca="false">IF(Raw_Export!$A845="","",IFERROR(VALUE(TRIM(Raw_Export!E845)),0))</f>
        <v>2</v>
      </c>
      <c r="G845" s="38" t="n">
        <f aca="false">IF(Raw_Export!$A845="","",IFERROR(VALUE(SUBSTITUTE(SUBSTITUTE(UPPER(TRIM(Raw_Export!F845)),"KES",""),",","")),0))</f>
        <v>150</v>
      </c>
      <c r="H845" s="38" t="n">
        <f aca="false">IF(Raw_Export!$A845="","",F845*G845)</f>
        <v>300</v>
      </c>
      <c r="I845" s="36" t="str">
        <f aca="false">IF(Raw_Export!$A845="","",IFERROR(VLOOKUP(LOWER(TRIM(Raw_Export!H845)),Maps!$D$2:$E$12,2,FALSE()),"Other"))</f>
        <v>M-Pesa</v>
      </c>
      <c r="J845" s="36" t="str">
        <f aca="false">IF(Raw_Export!$A845="","",IF(COUNTIF($A$2:A845,A845)&gt;1,"Duplicate",""))</f>
        <v/>
      </c>
      <c r="K845" s="36" t="str">
        <f aca="false">IF(Raw_Export!$A845="","",IF(J845="Duplicate","Duplicate",IF(OR(C845="UNMAPPED",D845="UNMAPPED"),"Unmapped",IF(F845=0,"Blank qty",IF(F845&lt;0,"Return","OK")))))</f>
        <v>OK</v>
      </c>
      <c r="L845" s="36" t="n">
        <f aca="false">IF(Raw_Export!$A845="","",IF(OR(K845="OK",K845="Return"),1,0))</f>
        <v>1</v>
      </c>
      <c r="M845" s="37" t="n">
        <f aca="false">IF(Raw_Export!$A845="","",B845-WEEKDAY(B845,2)+1)</f>
        <v>46265</v>
      </c>
    </row>
    <row r="846" customFormat="false" ht="15" hidden="false" customHeight="false" outlineLevel="0" collapsed="false">
      <c r="A846" s="36" t="str">
        <f aca="false">IF(Raw_Export!$A846="","",TRIM(Raw_Export!A846))</f>
        <v>TXN-100829</v>
      </c>
      <c r="B846" s="37" t="n">
        <f aca="false">IF(Raw_Export!$A846="","",IF(ISNUMBER(Raw_Export!B846),Raw_Export!B846,IF(MID(TRIM(Raw_Export!B846),5,1)="-",DATE(LEFT(TRIM(Raw_Export!B846),4),MID(TRIM(Raw_Export!B846),6,2),RIGHT(TRIM(Raw_Export!B846),2)),DATE(RIGHT(TRIM(Raw_Export!B846),4),MATCH(MID(TRIM(Raw_Export!B846),4,3),{"Jan","Feb","Mar","Apr","May","Jun","Jul","Aug","Sep","Oct","Nov","Dec"},0),LEFT(TRIM(Raw_Export!B846),2)))))</f>
        <v>46270</v>
      </c>
      <c r="C846" s="36" t="str">
        <f aca="false">IF(Raw_Export!$A846="","",IFERROR(VLOOKUP(LOWER(TRIM(Raw_Export!C846)),Maps!$A$2:$B$20,2,FALSE()),"UNMAPPED"))</f>
        <v>Mombasa</v>
      </c>
      <c r="D846" s="36" t="str">
        <f aca="false">IF(Raw_Export!$A846="","",IFERROR(VLOOKUP(LOWER(TRIM(Raw_Export!D846)),Maps!$G$2:$I$80,2,FALSE()),"UNMAPPED"))</f>
        <v>Cooking Oil 1L</v>
      </c>
      <c r="E846" s="36" t="str">
        <f aca="false">IF(Raw_Export!$A846="","",IFERROR(VLOOKUP(LOWER(TRIM(Raw_Export!D846)),Maps!$G$2:$I$80,3,FALSE()),"UNMAPPED"))</f>
        <v>Staples</v>
      </c>
      <c r="F846" s="36" t="n">
        <f aca="false">IF(Raw_Export!$A846="","",IFERROR(VALUE(TRIM(Raw_Export!E846)),0))</f>
        <v>1</v>
      </c>
      <c r="G846" s="38" t="n">
        <f aca="false">IF(Raw_Export!$A846="","",IFERROR(VALUE(SUBSTITUTE(SUBSTITUTE(UPPER(TRIM(Raw_Export!F846)),"KES",""),",","")),0))</f>
        <v>330</v>
      </c>
      <c r="H846" s="38" t="n">
        <f aca="false">IF(Raw_Export!$A846="","",F846*G846)</f>
        <v>330</v>
      </c>
      <c r="I846" s="36" t="str">
        <f aca="false">IF(Raw_Export!$A846="","",IFERROR(VLOOKUP(LOWER(TRIM(Raw_Export!H846)),Maps!$D$2:$E$12,2,FALSE()),"Other"))</f>
        <v>Cash</v>
      </c>
      <c r="J846" s="36" t="str">
        <f aca="false">IF(Raw_Export!$A846="","",IF(COUNTIF($A$2:A846,A846)&gt;1,"Duplicate",""))</f>
        <v/>
      </c>
      <c r="K846" s="36" t="str">
        <f aca="false">IF(Raw_Export!$A846="","",IF(J846="Duplicate","Duplicate",IF(OR(C846="UNMAPPED",D846="UNMAPPED"),"Unmapped",IF(F846=0,"Blank qty",IF(F846&lt;0,"Return","OK")))))</f>
        <v>OK</v>
      </c>
      <c r="L846" s="36" t="n">
        <f aca="false">IF(Raw_Export!$A846="","",IF(OR(K846="OK",K846="Return"),1,0))</f>
        <v>1</v>
      </c>
      <c r="M846" s="37" t="n">
        <f aca="false">IF(Raw_Export!$A846="","",B846-WEEKDAY(B846,2)+1)</f>
        <v>46265</v>
      </c>
    </row>
    <row r="847" customFormat="false" ht="15" hidden="false" customHeight="false" outlineLevel="0" collapsed="false">
      <c r="A847" s="36" t="str">
        <f aca="false">IF(Raw_Export!$A847="","",TRIM(Raw_Export!A847))</f>
        <v>TXN-100830</v>
      </c>
      <c r="B847" s="37" t="n">
        <f aca="false">IF(Raw_Export!$A847="","",IF(ISNUMBER(Raw_Export!B847),Raw_Export!B847,IF(MID(TRIM(Raw_Export!B847),5,1)="-",DATE(LEFT(TRIM(Raw_Export!B847),4),MID(TRIM(Raw_Export!B847),6,2),RIGHT(TRIM(Raw_Export!B847),2)),DATE(RIGHT(TRIM(Raw_Export!B847),4),MATCH(MID(TRIM(Raw_Export!B847),4,3),{"Jan","Feb","Mar","Apr","May","Jun","Jul","Aug","Sep","Oct","Nov","Dec"},0),LEFT(TRIM(Raw_Export!B847),2)))))</f>
        <v>46270</v>
      </c>
      <c r="C847" s="36" t="str">
        <f aca="false">IF(Raw_Export!$A847="","",IFERROR(VLOOKUP(LOWER(TRIM(Raw_Export!C847)),Maps!$A$2:$B$20,2,FALSE()),"UNMAPPED"))</f>
        <v>Mombasa</v>
      </c>
      <c r="D847" s="36" t="str">
        <f aca="false">IF(Raw_Export!$A847="","",IFERROR(VLOOKUP(LOWER(TRIM(Raw_Export!D847)),Maps!$G$2:$I$80,2,FALSE()),"UNMAPPED"))</f>
        <v>Eggs Tray 30</v>
      </c>
      <c r="E847" s="36" t="str">
        <f aca="false">IF(Raw_Export!$A847="","",IFERROR(VLOOKUP(LOWER(TRIM(Raw_Export!D847)),Maps!$G$2:$I$80,3,FALSE()),"UNMAPPED"))</f>
        <v>Dairy &amp; Eggs</v>
      </c>
      <c r="F847" s="36" t="n">
        <f aca="false">IF(Raw_Export!$A847="","",IFERROR(VALUE(TRIM(Raw_Export!E847)),0))</f>
        <v>2</v>
      </c>
      <c r="G847" s="38" t="n">
        <f aca="false">IF(Raw_Export!$A847="","",IFERROR(VALUE(SUBSTITUTE(SUBSTITUTE(UPPER(TRIM(Raw_Export!F847)),"KES",""),",","")),0))</f>
        <v>450</v>
      </c>
      <c r="H847" s="38" t="n">
        <f aca="false">IF(Raw_Export!$A847="","",F847*G847)</f>
        <v>900</v>
      </c>
      <c r="I847" s="36" t="str">
        <f aca="false">IF(Raw_Export!$A847="","",IFERROR(VLOOKUP(LOWER(TRIM(Raw_Export!H847)),Maps!$D$2:$E$12,2,FALSE()),"Other"))</f>
        <v>Cash</v>
      </c>
      <c r="J847" s="36" t="str">
        <f aca="false">IF(Raw_Export!$A847="","",IF(COUNTIF($A$2:A847,A847)&gt;1,"Duplicate",""))</f>
        <v/>
      </c>
      <c r="K847" s="36" t="str">
        <f aca="false">IF(Raw_Export!$A847="","",IF(J847="Duplicate","Duplicate",IF(OR(C847="UNMAPPED",D847="UNMAPPED"),"Unmapped",IF(F847=0,"Blank qty",IF(F847&lt;0,"Return","OK")))))</f>
        <v>OK</v>
      </c>
      <c r="L847" s="36" t="n">
        <f aca="false">IF(Raw_Export!$A847="","",IF(OR(K847="OK",K847="Return"),1,0))</f>
        <v>1</v>
      </c>
      <c r="M847" s="37" t="n">
        <f aca="false">IF(Raw_Export!$A847="","",B847-WEEKDAY(B847,2)+1)</f>
        <v>46265</v>
      </c>
    </row>
    <row r="848" customFormat="false" ht="15" hidden="false" customHeight="false" outlineLevel="0" collapsed="false">
      <c r="A848" s="36" t="str">
        <f aca="false">IF(Raw_Export!$A848="","",TRIM(Raw_Export!A848))</f>
        <v>TXN-100831</v>
      </c>
      <c r="B848" s="37" t="n">
        <f aca="false">IF(Raw_Export!$A848="","",IF(ISNUMBER(Raw_Export!B848),Raw_Export!B848,IF(MID(TRIM(Raw_Export!B848),5,1)="-",DATE(LEFT(TRIM(Raw_Export!B848),4),MID(TRIM(Raw_Export!B848),6,2),RIGHT(TRIM(Raw_Export!B848),2)),DATE(RIGHT(TRIM(Raw_Export!B848),4),MATCH(MID(TRIM(Raw_Export!B848),4,3),{"Jan","Feb","Mar","Apr","May","Jun","Jul","Aug","Sep","Oct","Nov","Dec"},0),LEFT(TRIM(Raw_Export!B848),2)))))</f>
        <v>46270</v>
      </c>
      <c r="C848" s="36" t="str">
        <f aca="false">IF(Raw_Export!$A848="","",IFERROR(VLOOKUP(LOWER(TRIM(Raw_Export!C848)),Maps!$A$2:$B$20,2,FALSE()),"UNMAPPED"))</f>
        <v>Mombasa</v>
      </c>
      <c r="D848" s="36" t="str">
        <f aca="false">IF(Raw_Export!$A848="","",IFERROR(VLOOKUP(LOWER(TRIM(Raw_Export!D848)),Maps!$G$2:$I$80,2,FALSE()),"UNMAPPED"))</f>
        <v>Soda 500ml</v>
      </c>
      <c r="E848" s="36" t="str">
        <f aca="false">IF(Raw_Export!$A848="","",IFERROR(VLOOKUP(LOWER(TRIM(Raw_Export!D848)),Maps!$G$2:$I$80,3,FALSE()),"UNMAPPED"))</f>
        <v>Beverages</v>
      </c>
      <c r="F848" s="36" t="n">
        <f aca="false">IF(Raw_Export!$A848="","",IFERROR(VALUE(TRIM(Raw_Export!E848)),0))</f>
        <v>2</v>
      </c>
      <c r="G848" s="38" t="n">
        <f aca="false">IF(Raw_Export!$A848="","",IFERROR(VALUE(SUBSTITUTE(SUBSTITUTE(UPPER(TRIM(Raw_Export!F848)),"KES",""),",","")),0))</f>
        <v>60</v>
      </c>
      <c r="H848" s="38" t="n">
        <f aca="false">IF(Raw_Export!$A848="","",F848*G848)</f>
        <v>120</v>
      </c>
      <c r="I848" s="36" t="str">
        <f aca="false">IF(Raw_Export!$A848="","",IFERROR(VLOOKUP(LOWER(TRIM(Raw_Export!H848)),Maps!$D$2:$E$12,2,FALSE()),"Other"))</f>
        <v>Cash</v>
      </c>
      <c r="J848" s="36" t="str">
        <f aca="false">IF(Raw_Export!$A848="","",IF(COUNTIF($A$2:A848,A848)&gt;1,"Duplicate",""))</f>
        <v/>
      </c>
      <c r="K848" s="36" t="str">
        <f aca="false">IF(Raw_Export!$A848="","",IF(J848="Duplicate","Duplicate",IF(OR(C848="UNMAPPED",D848="UNMAPPED"),"Unmapped",IF(F848=0,"Blank qty",IF(F848&lt;0,"Return","OK")))))</f>
        <v>OK</v>
      </c>
      <c r="L848" s="36" t="n">
        <f aca="false">IF(Raw_Export!$A848="","",IF(OR(K848="OK",K848="Return"),1,0))</f>
        <v>1</v>
      </c>
      <c r="M848" s="37" t="n">
        <f aca="false">IF(Raw_Export!$A848="","",B848-WEEKDAY(B848,2)+1)</f>
        <v>46265</v>
      </c>
    </row>
    <row r="849" customFormat="false" ht="15" hidden="false" customHeight="false" outlineLevel="0" collapsed="false">
      <c r="A849" s="36" t="str">
        <f aca="false">IF(Raw_Export!$A849="","",TRIM(Raw_Export!A849))</f>
        <v>TXN-100832</v>
      </c>
      <c r="B849" s="37" t="n">
        <f aca="false">IF(Raw_Export!$A849="","",IF(ISNUMBER(Raw_Export!B849),Raw_Export!B849,IF(MID(TRIM(Raw_Export!B849),5,1)="-",DATE(LEFT(TRIM(Raw_Export!B849),4),MID(TRIM(Raw_Export!B849),6,2),RIGHT(TRIM(Raw_Export!B849),2)),DATE(RIGHT(TRIM(Raw_Export!B849),4),MATCH(MID(TRIM(Raw_Export!B849),4,3),{"Jan","Feb","Mar","Apr","May","Jun","Jul","Aug","Sep","Oct","Nov","Dec"},0),LEFT(TRIM(Raw_Export!B849),2)))))</f>
        <v>46270</v>
      </c>
      <c r="C849" s="36" t="str">
        <f aca="false">IF(Raw_Export!$A849="","",IFERROR(VLOOKUP(LOWER(TRIM(Raw_Export!C849)),Maps!$A$2:$B$20,2,FALSE()),"UNMAPPED"))</f>
        <v>Mombasa</v>
      </c>
      <c r="D849" s="36" t="str">
        <f aca="false">IF(Raw_Export!$A849="","",IFERROR(VLOOKUP(LOWER(TRIM(Raw_Export!D849)),Maps!$G$2:$I$80,2,FALSE()),"UNMAPPED"))</f>
        <v>Cooking Oil 1L</v>
      </c>
      <c r="E849" s="36" t="str">
        <f aca="false">IF(Raw_Export!$A849="","",IFERROR(VLOOKUP(LOWER(TRIM(Raw_Export!D849)),Maps!$G$2:$I$80,3,FALSE()),"UNMAPPED"))</f>
        <v>Staples</v>
      </c>
      <c r="F849" s="36" t="n">
        <f aca="false">IF(Raw_Export!$A849="","",IFERROR(VALUE(TRIM(Raw_Export!E849)),0))</f>
        <v>0</v>
      </c>
      <c r="G849" s="38" t="n">
        <f aca="false">IF(Raw_Export!$A849="","",IFERROR(VALUE(SUBSTITUTE(SUBSTITUTE(UPPER(TRIM(Raw_Export!F849)),"KES",""),",","")),0))</f>
        <v>330</v>
      </c>
      <c r="H849" s="38" t="n">
        <f aca="false">IF(Raw_Export!$A849="","",F849*G849)</f>
        <v>0</v>
      </c>
      <c r="I849" s="36" t="str">
        <f aca="false">IF(Raw_Export!$A849="","",IFERROR(VLOOKUP(LOWER(TRIM(Raw_Export!H849)),Maps!$D$2:$E$12,2,FALSE()),"Other"))</f>
        <v>Cash</v>
      </c>
      <c r="J849" s="36" t="str">
        <f aca="false">IF(Raw_Export!$A849="","",IF(COUNTIF($A$2:A849,A849)&gt;1,"Duplicate",""))</f>
        <v/>
      </c>
      <c r="K849" s="36" t="str">
        <f aca="false">IF(Raw_Export!$A849="","",IF(J849="Duplicate","Duplicate",IF(OR(C849="UNMAPPED",D849="UNMAPPED"),"Unmapped",IF(F849=0,"Blank qty",IF(F849&lt;0,"Return","OK")))))</f>
        <v>Blank qty</v>
      </c>
      <c r="L849" s="36" t="n">
        <f aca="false">IF(Raw_Export!$A849="","",IF(OR(K849="OK",K849="Return"),1,0))</f>
        <v>0</v>
      </c>
      <c r="M849" s="37" t="n">
        <f aca="false">IF(Raw_Export!$A849="","",B849-WEEKDAY(B849,2)+1)</f>
        <v>46265</v>
      </c>
    </row>
    <row r="850" customFormat="false" ht="15" hidden="false" customHeight="false" outlineLevel="0" collapsed="false">
      <c r="A850" s="36" t="str">
        <f aca="false">IF(Raw_Export!$A850="","",TRIM(Raw_Export!A850))</f>
        <v>TXN-100833</v>
      </c>
      <c r="B850" s="37" t="n">
        <f aca="false">IF(Raw_Export!$A850="","",IF(ISNUMBER(Raw_Export!B850),Raw_Export!B850,IF(MID(TRIM(Raw_Export!B850),5,1)="-",DATE(LEFT(TRIM(Raw_Export!B850),4),MID(TRIM(Raw_Export!B850),6,2),RIGHT(TRIM(Raw_Export!B850),2)),DATE(RIGHT(TRIM(Raw_Export!B850),4),MATCH(MID(TRIM(Raw_Export!B850),4,3),{"Jan","Feb","Mar","Apr","May","Jun","Jul","Aug","Sep","Oct","Nov","Dec"},0),LEFT(TRIM(Raw_Export!B850),2)))))</f>
        <v>46270</v>
      </c>
      <c r="C850" s="36" t="str">
        <f aca="false">IF(Raw_Export!$A850="","",IFERROR(VLOOKUP(LOWER(TRIM(Raw_Export!C850)),Maps!$A$2:$B$20,2,FALSE()),"UNMAPPED"))</f>
        <v>Mombasa</v>
      </c>
      <c r="D850" s="36" t="str">
        <f aca="false">IF(Raw_Export!$A850="","",IFERROR(VLOOKUP(LOWER(TRIM(Raw_Export!D850)),Maps!$G$2:$I$80,2,FALSE()),"UNMAPPED"))</f>
        <v>Eggs Tray 30</v>
      </c>
      <c r="E850" s="36" t="str">
        <f aca="false">IF(Raw_Export!$A850="","",IFERROR(VLOOKUP(LOWER(TRIM(Raw_Export!D850)),Maps!$G$2:$I$80,3,FALSE()),"UNMAPPED"))</f>
        <v>Dairy &amp; Eggs</v>
      </c>
      <c r="F850" s="36" t="n">
        <f aca="false">IF(Raw_Export!$A850="","",IFERROR(VALUE(TRIM(Raw_Export!E850)),0))</f>
        <v>2</v>
      </c>
      <c r="G850" s="38" t="n">
        <f aca="false">IF(Raw_Export!$A850="","",IFERROR(VALUE(SUBSTITUTE(SUBSTITUTE(UPPER(TRIM(Raw_Export!F850)),"KES",""),",","")),0))</f>
        <v>450</v>
      </c>
      <c r="H850" s="38" t="n">
        <f aca="false">IF(Raw_Export!$A850="","",F850*G850)</f>
        <v>900</v>
      </c>
      <c r="I850" s="36" t="str">
        <f aca="false">IF(Raw_Export!$A850="","",IFERROR(VLOOKUP(LOWER(TRIM(Raw_Export!H850)),Maps!$D$2:$E$12,2,FALSE()),"Other"))</f>
        <v>M-Pesa</v>
      </c>
      <c r="J850" s="36" t="str">
        <f aca="false">IF(Raw_Export!$A850="","",IF(COUNTIF($A$2:A850,A850)&gt;1,"Duplicate",""))</f>
        <v/>
      </c>
      <c r="K850" s="36" t="str">
        <f aca="false">IF(Raw_Export!$A850="","",IF(J850="Duplicate","Duplicate",IF(OR(C850="UNMAPPED",D850="UNMAPPED"),"Unmapped",IF(F850=0,"Blank qty",IF(F850&lt;0,"Return","OK")))))</f>
        <v>OK</v>
      </c>
      <c r="L850" s="36" t="n">
        <f aca="false">IF(Raw_Export!$A850="","",IF(OR(K850="OK",K850="Return"),1,0))</f>
        <v>1</v>
      </c>
      <c r="M850" s="37" t="n">
        <f aca="false">IF(Raw_Export!$A850="","",B850-WEEKDAY(B850,2)+1)</f>
        <v>46265</v>
      </c>
    </row>
    <row r="851" customFormat="false" ht="15" hidden="false" customHeight="false" outlineLevel="0" collapsed="false">
      <c r="A851" s="36" t="str">
        <f aca="false">IF(Raw_Export!$A851="","",TRIM(Raw_Export!A851))</f>
        <v>TXN-100834</v>
      </c>
      <c r="B851" s="37" t="n">
        <f aca="false">IF(Raw_Export!$A851="","",IF(ISNUMBER(Raw_Export!B851),Raw_Export!B851,IF(MID(TRIM(Raw_Export!B851),5,1)="-",DATE(LEFT(TRIM(Raw_Export!B851),4),MID(TRIM(Raw_Export!B851),6,2),RIGHT(TRIM(Raw_Export!B851),2)),DATE(RIGHT(TRIM(Raw_Export!B851),4),MATCH(MID(TRIM(Raw_Export!B851),4,3),{"Jan","Feb","Mar","Apr","May","Jun","Jul","Aug","Sep","Oct","Nov","Dec"},0),LEFT(TRIM(Raw_Export!B851),2)))))</f>
        <v>46270</v>
      </c>
      <c r="C851" s="36" t="str">
        <f aca="false">IF(Raw_Export!$A851="","",IFERROR(VLOOKUP(LOWER(TRIM(Raw_Export!C851)),Maps!$A$2:$B$20,2,FALSE()),"UNMAPPED"))</f>
        <v>Mombasa</v>
      </c>
      <c r="D851" s="36" t="str">
        <f aca="false">IF(Raw_Export!$A851="","",IFERROR(VLOOKUP(LOWER(TRIM(Raw_Export!D851)),Maps!$G$2:$I$80,2,FALSE()),"UNMAPPED"))</f>
        <v>Soda 500ml</v>
      </c>
      <c r="E851" s="36" t="str">
        <f aca="false">IF(Raw_Export!$A851="","",IFERROR(VLOOKUP(LOWER(TRIM(Raw_Export!D851)),Maps!$G$2:$I$80,3,FALSE()),"UNMAPPED"))</f>
        <v>Beverages</v>
      </c>
      <c r="F851" s="36" t="n">
        <f aca="false">IF(Raw_Export!$A851="","",IFERROR(VALUE(TRIM(Raw_Export!E851)),0))</f>
        <v>2</v>
      </c>
      <c r="G851" s="38" t="n">
        <f aca="false">IF(Raw_Export!$A851="","",IFERROR(VALUE(SUBSTITUTE(SUBSTITUTE(UPPER(TRIM(Raw_Export!F851)),"KES",""),",","")),0))</f>
        <v>60</v>
      </c>
      <c r="H851" s="38" t="n">
        <f aca="false">IF(Raw_Export!$A851="","",F851*G851)</f>
        <v>120</v>
      </c>
      <c r="I851" s="36" t="str">
        <f aca="false">IF(Raw_Export!$A851="","",IFERROR(VLOOKUP(LOWER(TRIM(Raw_Export!H851)),Maps!$D$2:$E$12,2,FALSE()),"Other"))</f>
        <v>Card</v>
      </c>
      <c r="J851" s="36" t="str">
        <f aca="false">IF(Raw_Export!$A851="","",IF(COUNTIF($A$2:A851,A851)&gt;1,"Duplicate",""))</f>
        <v/>
      </c>
      <c r="K851" s="36" t="str">
        <f aca="false">IF(Raw_Export!$A851="","",IF(J851="Duplicate","Duplicate",IF(OR(C851="UNMAPPED",D851="UNMAPPED"),"Unmapped",IF(F851=0,"Blank qty",IF(F851&lt;0,"Return","OK")))))</f>
        <v>OK</v>
      </c>
      <c r="L851" s="36" t="n">
        <f aca="false">IF(Raw_Export!$A851="","",IF(OR(K851="OK",K851="Return"),1,0))</f>
        <v>1</v>
      </c>
      <c r="M851" s="37" t="n">
        <f aca="false">IF(Raw_Export!$A851="","",B851-WEEKDAY(B851,2)+1)</f>
        <v>46265</v>
      </c>
    </row>
    <row r="852" customFormat="false" ht="15" hidden="false" customHeight="false" outlineLevel="0" collapsed="false">
      <c r="A852" s="36" t="str">
        <f aca="false">IF(Raw_Export!$A852="","",TRIM(Raw_Export!A852))</f>
        <v>TXN-100835</v>
      </c>
      <c r="B852" s="37" t="n">
        <f aca="false">IF(Raw_Export!$A852="","",IF(ISNUMBER(Raw_Export!B852),Raw_Export!B852,IF(MID(TRIM(Raw_Export!B852),5,1)="-",DATE(LEFT(TRIM(Raw_Export!B852),4),MID(TRIM(Raw_Export!B852),6,2),RIGHT(TRIM(Raw_Export!B852),2)),DATE(RIGHT(TRIM(Raw_Export!B852),4),MATCH(MID(TRIM(Raw_Export!B852),4,3),{"Jan","Feb","Mar","Apr","May","Jun","Jul","Aug","Sep","Oct","Nov","Dec"},0),LEFT(TRIM(Raw_Export!B852),2)))))</f>
        <v>46270</v>
      </c>
      <c r="C852" s="36" t="str">
        <f aca="false">IF(Raw_Export!$A852="","",IFERROR(VLOOKUP(LOWER(TRIM(Raw_Export!C852)),Maps!$A$2:$B$20,2,FALSE()),"UNMAPPED"))</f>
        <v>Mombasa</v>
      </c>
      <c r="D852" s="36" t="str">
        <f aca="false">IF(Raw_Export!$A852="","",IFERROR(VLOOKUP(LOWER(TRIM(Raw_Export!D852)),Maps!$G$2:$I$80,2,FALSE()),"UNMAPPED"))</f>
        <v>Bath Soap 175g</v>
      </c>
      <c r="E852" s="36" t="str">
        <f aca="false">IF(Raw_Export!$A852="","",IFERROR(VLOOKUP(LOWER(TRIM(Raw_Export!D852)),Maps!$G$2:$I$80,3,FALSE()),"UNMAPPED"))</f>
        <v>Personal Care</v>
      </c>
      <c r="F852" s="36" t="n">
        <f aca="false">IF(Raw_Export!$A852="","",IFERROR(VALUE(TRIM(Raw_Export!E852)),0))</f>
        <v>1</v>
      </c>
      <c r="G852" s="38" t="n">
        <f aca="false">IF(Raw_Export!$A852="","",IFERROR(VALUE(SUBSTITUTE(SUBSTITUTE(UPPER(TRIM(Raw_Export!F852)),"KES",""),",","")),0))</f>
        <v>85</v>
      </c>
      <c r="H852" s="38" t="n">
        <f aca="false">IF(Raw_Export!$A852="","",F852*G852)</f>
        <v>85</v>
      </c>
      <c r="I852" s="36" t="str">
        <f aca="false">IF(Raw_Export!$A852="","",IFERROR(VLOOKUP(LOWER(TRIM(Raw_Export!H852)),Maps!$D$2:$E$12,2,FALSE()),"Other"))</f>
        <v>Cash</v>
      </c>
      <c r="J852" s="36" t="str">
        <f aca="false">IF(Raw_Export!$A852="","",IF(COUNTIF($A$2:A852,A852)&gt;1,"Duplicate",""))</f>
        <v/>
      </c>
      <c r="K852" s="36" t="str">
        <f aca="false">IF(Raw_Export!$A852="","",IF(J852="Duplicate","Duplicate",IF(OR(C852="UNMAPPED",D852="UNMAPPED"),"Unmapped",IF(F852=0,"Blank qty",IF(F852&lt;0,"Return","OK")))))</f>
        <v>OK</v>
      </c>
      <c r="L852" s="36" t="n">
        <f aca="false">IF(Raw_Export!$A852="","",IF(OR(K852="OK",K852="Return"),1,0))</f>
        <v>1</v>
      </c>
      <c r="M852" s="37" t="n">
        <f aca="false">IF(Raw_Export!$A852="","",B852-WEEKDAY(B852,2)+1)</f>
        <v>46265</v>
      </c>
    </row>
    <row r="853" customFormat="false" ht="15" hidden="false" customHeight="false" outlineLevel="0" collapsed="false">
      <c r="A853" s="36" t="str">
        <f aca="false">IF(Raw_Export!$A853="","",TRIM(Raw_Export!A853))</f>
        <v>TXN-100836</v>
      </c>
      <c r="B853" s="37" t="n">
        <f aca="false">IF(Raw_Export!$A853="","",IF(ISNUMBER(Raw_Export!B853),Raw_Export!B853,IF(MID(TRIM(Raw_Export!B853),5,1)="-",DATE(LEFT(TRIM(Raw_Export!B853),4),MID(TRIM(Raw_Export!B853),6,2),RIGHT(TRIM(Raw_Export!B853),2)),DATE(RIGHT(TRIM(Raw_Export!B853),4),MATCH(MID(TRIM(Raw_Export!B853),4,3),{"Jan","Feb","Mar","Apr","May","Jun","Jul","Aug","Sep","Oct","Nov","Dec"},0),LEFT(TRIM(Raw_Export!B853),2)))))</f>
        <v>46270</v>
      </c>
      <c r="C853" s="36" t="str">
        <f aca="false">IF(Raw_Export!$A853="","",IFERROR(VLOOKUP(LOWER(TRIM(Raw_Export!C853)),Maps!$A$2:$B$20,2,FALSE()),"UNMAPPED"))</f>
        <v>Mombasa</v>
      </c>
      <c r="D853" s="36" t="str">
        <f aca="false">IF(Raw_Export!$A853="","",IFERROR(VLOOKUP(LOWER(TRIM(Raw_Export!D853)),Maps!$G$2:$I$80,2,FALSE()),"UNMAPPED"))</f>
        <v>Chocolate Bar 90g</v>
      </c>
      <c r="E853" s="36" t="str">
        <f aca="false">IF(Raw_Export!$A853="","",IFERROR(VLOOKUP(LOWER(TRIM(Raw_Export!D853)),Maps!$G$2:$I$80,3,FALSE()),"UNMAPPED"))</f>
        <v>Snacks</v>
      </c>
      <c r="F853" s="36" t="n">
        <f aca="false">IF(Raw_Export!$A853="","",IFERROR(VALUE(TRIM(Raw_Export!E853)),0))</f>
        <v>4</v>
      </c>
      <c r="G853" s="38" t="n">
        <f aca="false">IF(Raw_Export!$A853="","",IFERROR(VALUE(SUBSTITUTE(SUBSTITUTE(UPPER(TRIM(Raw_Export!F853)),"KES",""),",","")),0))</f>
        <v>140</v>
      </c>
      <c r="H853" s="38" t="n">
        <f aca="false">IF(Raw_Export!$A853="","",F853*G853)</f>
        <v>560</v>
      </c>
      <c r="I853" s="36" t="str">
        <f aca="false">IF(Raw_Export!$A853="","",IFERROR(VLOOKUP(LOWER(TRIM(Raw_Export!H853)),Maps!$D$2:$E$12,2,FALSE()),"Other"))</f>
        <v>M-Pesa</v>
      </c>
      <c r="J853" s="36" t="str">
        <f aca="false">IF(Raw_Export!$A853="","",IF(COUNTIF($A$2:A853,A853)&gt;1,"Duplicate",""))</f>
        <v/>
      </c>
      <c r="K853" s="36" t="str">
        <f aca="false">IF(Raw_Export!$A853="","",IF(J853="Duplicate","Duplicate",IF(OR(C853="UNMAPPED",D853="UNMAPPED"),"Unmapped",IF(F853=0,"Blank qty",IF(F853&lt;0,"Return","OK")))))</f>
        <v>OK</v>
      </c>
      <c r="L853" s="36" t="n">
        <f aca="false">IF(Raw_Export!$A853="","",IF(OR(K853="OK",K853="Return"),1,0))</f>
        <v>1</v>
      </c>
      <c r="M853" s="37" t="n">
        <f aca="false">IF(Raw_Export!$A853="","",B853-WEEKDAY(B853,2)+1)</f>
        <v>46265</v>
      </c>
    </row>
    <row r="854" customFormat="false" ht="15" hidden="false" customHeight="false" outlineLevel="0" collapsed="false">
      <c r="A854" s="36" t="str">
        <f aca="false">IF(Raw_Export!$A854="","",TRIM(Raw_Export!A854))</f>
        <v>TXN-100837</v>
      </c>
      <c r="B854" s="37" t="n">
        <f aca="false">IF(Raw_Export!$A854="","",IF(ISNUMBER(Raw_Export!B854),Raw_Export!B854,IF(MID(TRIM(Raw_Export!B854),5,1)="-",DATE(LEFT(TRIM(Raw_Export!B854),4),MID(TRIM(Raw_Export!B854),6,2),RIGHT(TRIM(Raw_Export!B854),2)),DATE(RIGHT(TRIM(Raw_Export!B854),4),MATCH(MID(TRIM(Raw_Export!B854),4,3),{"Jan","Feb","Mar","Apr","May","Jun","Jul","Aug","Sep","Oct","Nov","Dec"},0),LEFT(TRIM(Raw_Export!B854),2)))))</f>
        <v>46270</v>
      </c>
      <c r="C854" s="36" t="str">
        <f aca="false">IF(Raw_Export!$A854="","",IFERROR(VLOOKUP(LOWER(TRIM(Raw_Export!C854)),Maps!$A$2:$B$20,2,FALSE()),"UNMAPPED"))</f>
        <v>Mombasa</v>
      </c>
      <c r="D854" s="36" t="str">
        <f aca="false">IF(Raw_Export!$A854="","",IFERROR(VLOOKUP(LOWER(TRIM(Raw_Export!D854)),Maps!$G$2:$I$80,2,FALSE()),"UNMAPPED"))</f>
        <v>Spaghetti 400g</v>
      </c>
      <c r="E854" s="36" t="str">
        <f aca="false">IF(Raw_Export!$A854="","",IFERROR(VLOOKUP(LOWER(TRIM(Raw_Export!D854)),Maps!$G$2:$I$80,3,FALSE()),"UNMAPPED"))</f>
        <v>Staples</v>
      </c>
      <c r="F854" s="36" t="n">
        <f aca="false">IF(Raw_Export!$A854="","",IFERROR(VALUE(TRIM(Raw_Export!E854)),0))</f>
        <v>2</v>
      </c>
      <c r="G854" s="38" t="n">
        <f aca="false">IF(Raw_Export!$A854="","",IFERROR(VALUE(SUBSTITUTE(SUBSTITUTE(UPPER(TRIM(Raw_Export!F854)),"KES",""),",","")),0))</f>
        <v>110</v>
      </c>
      <c r="H854" s="38" t="n">
        <f aca="false">IF(Raw_Export!$A854="","",F854*G854)</f>
        <v>220</v>
      </c>
      <c r="I854" s="36" t="str">
        <f aca="false">IF(Raw_Export!$A854="","",IFERROR(VLOOKUP(LOWER(TRIM(Raw_Export!H854)),Maps!$D$2:$E$12,2,FALSE()),"Other"))</f>
        <v>M-Pesa</v>
      </c>
      <c r="J854" s="36" t="str">
        <f aca="false">IF(Raw_Export!$A854="","",IF(COUNTIF($A$2:A854,A854)&gt;1,"Duplicate",""))</f>
        <v/>
      </c>
      <c r="K854" s="36" t="str">
        <f aca="false">IF(Raw_Export!$A854="","",IF(J854="Duplicate","Duplicate",IF(OR(C854="UNMAPPED",D854="UNMAPPED"),"Unmapped",IF(F854=0,"Blank qty",IF(F854&lt;0,"Return","OK")))))</f>
        <v>OK</v>
      </c>
      <c r="L854" s="36" t="n">
        <f aca="false">IF(Raw_Export!$A854="","",IF(OR(K854="OK",K854="Return"),1,0))</f>
        <v>1</v>
      </c>
      <c r="M854" s="37" t="n">
        <f aca="false">IF(Raw_Export!$A854="","",B854-WEEKDAY(B854,2)+1)</f>
        <v>46265</v>
      </c>
    </row>
    <row r="855" customFormat="false" ht="15" hidden="false" customHeight="false" outlineLevel="0" collapsed="false">
      <c r="A855" s="36" t="str">
        <f aca="false">IF(Raw_Export!$A855="","",TRIM(Raw_Export!A855))</f>
        <v>TXN-100838</v>
      </c>
      <c r="B855" s="37" t="n">
        <f aca="false">IF(Raw_Export!$A855="","",IF(ISNUMBER(Raw_Export!B855),Raw_Export!B855,IF(MID(TRIM(Raw_Export!B855),5,1)="-",DATE(LEFT(TRIM(Raw_Export!B855),4),MID(TRIM(Raw_Export!B855),6,2),RIGHT(TRIM(Raw_Export!B855),2)),DATE(RIGHT(TRIM(Raw_Export!B855),4),MATCH(MID(TRIM(Raw_Export!B855),4,3),{"Jan","Feb","Mar","Apr","May","Jun","Jul","Aug","Sep","Oct","Nov","Dec"},0),LEFT(TRIM(Raw_Export!B855),2)))))</f>
        <v>46270</v>
      </c>
      <c r="C855" s="36" t="str">
        <f aca="false">IF(Raw_Export!$A855="","",IFERROR(VLOOKUP(LOWER(TRIM(Raw_Export!C855)),Maps!$A$2:$B$20,2,FALSE()),"UNMAPPED"))</f>
        <v>Mombasa</v>
      </c>
      <c r="D855" s="36" t="str">
        <f aca="false">IF(Raw_Export!$A855="","",IFERROR(VLOOKUP(LOWER(TRIM(Raw_Export!D855)),Maps!$G$2:$I$80,2,FALSE()),"UNMAPPED"))</f>
        <v>Eggs Tray 30</v>
      </c>
      <c r="E855" s="36" t="str">
        <f aca="false">IF(Raw_Export!$A855="","",IFERROR(VLOOKUP(LOWER(TRIM(Raw_Export!D855)),Maps!$G$2:$I$80,3,FALSE()),"UNMAPPED"))</f>
        <v>Dairy &amp; Eggs</v>
      </c>
      <c r="F855" s="36" t="n">
        <f aca="false">IF(Raw_Export!$A855="","",IFERROR(VALUE(TRIM(Raw_Export!E855)),0))</f>
        <v>3</v>
      </c>
      <c r="G855" s="38" t="n">
        <f aca="false">IF(Raw_Export!$A855="","",IFERROR(VALUE(SUBSTITUTE(SUBSTITUTE(UPPER(TRIM(Raw_Export!F855)),"KES",""),",","")),0))</f>
        <v>450</v>
      </c>
      <c r="H855" s="38" t="n">
        <f aca="false">IF(Raw_Export!$A855="","",F855*G855)</f>
        <v>1350</v>
      </c>
      <c r="I855" s="36" t="str">
        <f aca="false">IF(Raw_Export!$A855="","",IFERROR(VLOOKUP(LOWER(TRIM(Raw_Export!H855)),Maps!$D$2:$E$12,2,FALSE()),"Other"))</f>
        <v>M-Pesa</v>
      </c>
      <c r="J855" s="36" t="str">
        <f aca="false">IF(Raw_Export!$A855="","",IF(COUNTIF($A$2:A855,A855)&gt;1,"Duplicate",""))</f>
        <v/>
      </c>
      <c r="K855" s="36" t="str">
        <f aca="false">IF(Raw_Export!$A855="","",IF(J855="Duplicate","Duplicate",IF(OR(C855="UNMAPPED",D855="UNMAPPED"),"Unmapped",IF(F855=0,"Blank qty",IF(F855&lt;0,"Return","OK")))))</f>
        <v>OK</v>
      </c>
      <c r="L855" s="36" t="n">
        <f aca="false">IF(Raw_Export!$A855="","",IF(OR(K855="OK",K855="Return"),1,0))</f>
        <v>1</v>
      </c>
      <c r="M855" s="37" t="n">
        <f aca="false">IF(Raw_Export!$A855="","",B855-WEEKDAY(B855,2)+1)</f>
        <v>46265</v>
      </c>
    </row>
    <row r="856" customFormat="false" ht="15" hidden="false" customHeight="false" outlineLevel="0" collapsed="false">
      <c r="A856" s="36" t="str">
        <f aca="false">IF(Raw_Export!$A856="","",TRIM(Raw_Export!A856))</f>
        <v>TXN-100839</v>
      </c>
      <c r="B856" s="37" t="n">
        <f aca="false">IF(Raw_Export!$A856="","",IF(ISNUMBER(Raw_Export!B856),Raw_Export!B856,IF(MID(TRIM(Raw_Export!B856),5,1)="-",DATE(LEFT(TRIM(Raw_Export!B856),4),MID(TRIM(Raw_Export!B856),6,2),RIGHT(TRIM(Raw_Export!B856),2)),DATE(RIGHT(TRIM(Raw_Export!B856),4),MATCH(MID(TRIM(Raw_Export!B856),4,3),{"Jan","Feb","Mar","Apr","May","Jun","Jul","Aug","Sep","Oct","Nov","Dec"},0),LEFT(TRIM(Raw_Export!B856),2)))))</f>
        <v>46270</v>
      </c>
      <c r="C856" s="36" t="str">
        <f aca="false">IF(Raw_Export!$A856="","",IFERROR(VLOOKUP(LOWER(TRIM(Raw_Export!C856)),Maps!$A$2:$B$20,2,FALSE()),"UNMAPPED"))</f>
        <v>Kisumu</v>
      </c>
      <c r="D856" s="36" t="str">
        <f aca="false">IF(Raw_Export!$A856="","",IFERROR(VLOOKUP(LOWER(TRIM(Raw_Export!D856)),Maps!$G$2:$I$80,2,FALSE()),"UNMAPPED"))</f>
        <v>Unga Pembe 2kg</v>
      </c>
      <c r="E856" s="36" t="str">
        <f aca="false">IF(Raw_Export!$A856="","",IFERROR(VLOOKUP(LOWER(TRIM(Raw_Export!D856)),Maps!$G$2:$I$80,3,FALSE()),"UNMAPPED"))</f>
        <v>Staples</v>
      </c>
      <c r="F856" s="36" t="n">
        <f aca="false">IF(Raw_Export!$A856="","",IFERROR(VALUE(TRIM(Raw_Export!E856)),0))</f>
        <v>6</v>
      </c>
      <c r="G856" s="38" t="n">
        <f aca="false">IF(Raw_Export!$A856="","",IFERROR(VALUE(SUBSTITUTE(SUBSTITUTE(UPPER(TRIM(Raw_Export!F856)),"KES",""),",","")),0))</f>
        <v>190</v>
      </c>
      <c r="H856" s="38" t="n">
        <f aca="false">IF(Raw_Export!$A856="","",F856*G856)</f>
        <v>1140</v>
      </c>
      <c r="I856" s="36" t="str">
        <f aca="false">IF(Raw_Export!$A856="","",IFERROR(VLOOKUP(LOWER(TRIM(Raw_Export!H856)),Maps!$D$2:$E$12,2,FALSE()),"Other"))</f>
        <v>M-Pesa</v>
      </c>
      <c r="J856" s="36" t="str">
        <f aca="false">IF(Raw_Export!$A856="","",IF(COUNTIF($A$2:A856,A856)&gt;1,"Duplicate",""))</f>
        <v/>
      </c>
      <c r="K856" s="36" t="str">
        <f aca="false">IF(Raw_Export!$A856="","",IF(J856="Duplicate","Duplicate",IF(OR(C856="UNMAPPED",D856="UNMAPPED"),"Unmapped",IF(F856=0,"Blank qty",IF(F856&lt;0,"Return","OK")))))</f>
        <v>OK</v>
      </c>
      <c r="L856" s="36" t="n">
        <f aca="false">IF(Raw_Export!$A856="","",IF(OR(K856="OK",K856="Return"),1,0))</f>
        <v>1</v>
      </c>
      <c r="M856" s="37" t="n">
        <f aca="false">IF(Raw_Export!$A856="","",B856-WEEKDAY(B856,2)+1)</f>
        <v>46265</v>
      </c>
    </row>
    <row r="857" customFormat="false" ht="15" hidden="false" customHeight="false" outlineLevel="0" collapsed="false">
      <c r="A857" s="36" t="str">
        <f aca="false">IF(Raw_Export!$A857="","",TRIM(Raw_Export!A857))</f>
        <v>TXN-100840</v>
      </c>
      <c r="B857" s="37" t="n">
        <f aca="false">IF(Raw_Export!$A857="","",IF(ISNUMBER(Raw_Export!B857),Raw_Export!B857,IF(MID(TRIM(Raw_Export!B857),5,1)="-",DATE(LEFT(TRIM(Raw_Export!B857),4),MID(TRIM(Raw_Export!B857),6,2),RIGHT(TRIM(Raw_Export!B857),2)),DATE(RIGHT(TRIM(Raw_Export!B857),4),MATCH(MID(TRIM(Raw_Export!B857),4,3),{"Jan","Feb","Mar","Apr","May","Jun","Jul","Aug","Sep","Oct","Nov","Dec"},0),LEFT(TRIM(Raw_Export!B857),2)))))</f>
        <v>46270</v>
      </c>
      <c r="C857" s="36" t="str">
        <f aca="false">IF(Raw_Export!$A857="","",IFERROR(VLOOKUP(LOWER(TRIM(Raw_Export!C857)),Maps!$A$2:$B$20,2,FALSE()),"UNMAPPED"))</f>
        <v>Kisumu</v>
      </c>
      <c r="D857" s="36" t="str">
        <f aca="false">IF(Raw_Export!$A857="","",IFERROR(VLOOKUP(LOWER(TRIM(Raw_Export!D857)),Maps!$G$2:$I$80,2,FALSE()),"UNMAPPED"))</f>
        <v>Sugar 2kg</v>
      </c>
      <c r="E857" s="36" t="str">
        <f aca="false">IF(Raw_Export!$A857="","",IFERROR(VLOOKUP(LOWER(TRIM(Raw_Export!D857)),Maps!$G$2:$I$80,3,FALSE()),"UNMAPPED"))</f>
        <v>Staples</v>
      </c>
      <c r="F857" s="36" t="n">
        <f aca="false">IF(Raw_Export!$A857="","",IFERROR(VALUE(TRIM(Raw_Export!E857)),0))</f>
        <v>3</v>
      </c>
      <c r="G857" s="38" t="n">
        <f aca="false">IF(Raw_Export!$A857="","",IFERROR(VALUE(SUBSTITUTE(SUBSTITUTE(UPPER(TRIM(Raw_Export!F857)),"KES",""),",","")),0))</f>
        <v>330</v>
      </c>
      <c r="H857" s="38" t="n">
        <f aca="false">IF(Raw_Export!$A857="","",F857*G857)</f>
        <v>990</v>
      </c>
      <c r="I857" s="36" t="str">
        <f aca="false">IF(Raw_Export!$A857="","",IFERROR(VLOOKUP(LOWER(TRIM(Raw_Export!H857)),Maps!$D$2:$E$12,2,FALSE()),"Other"))</f>
        <v>Cash</v>
      </c>
      <c r="J857" s="36" t="str">
        <f aca="false">IF(Raw_Export!$A857="","",IF(COUNTIF($A$2:A857,A857)&gt;1,"Duplicate",""))</f>
        <v/>
      </c>
      <c r="K857" s="36" t="str">
        <f aca="false">IF(Raw_Export!$A857="","",IF(J857="Duplicate","Duplicate",IF(OR(C857="UNMAPPED",D857="UNMAPPED"),"Unmapped",IF(F857=0,"Blank qty",IF(F857&lt;0,"Return","OK")))))</f>
        <v>OK</v>
      </c>
      <c r="L857" s="36" t="n">
        <f aca="false">IF(Raw_Export!$A857="","",IF(OR(K857="OK",K857="Return"),1,0))</f>
        <v>1</v>
      </c>
      <c r="M857" s="37" t="n">
        <f aca="false">IF(Raw_Export!$A857="","",B857-WEEKDAY(B857,2)+1)</f>
        <v>46265</v>
      </c>
    </row>
    <row r="858" customFormat="false" ht="15" hidden="false" customHeight="false" outlineLevel="0" collapsed="false">
      <c r="A858" s="36" t="str">
        <f aca="false">IF(Raw_Export!$A858="","",TRIM(Raw_Export!A858))</f>
        <v>TXN-100841</v>
      </c>
      <c r="B858" s="37" t="n">
        <f aca="false">IF(Raw_Export!$A858="","",IF(ISNUMBER(Raw_Export!B858),Raw_Export!B858,IF(MID(TRIM(Raw_Export!B858),5,1)="-",DATE(LEFT(TRIM(Raw_Export!B858),4),MID(TRIM(Raw_Export!B858),6,2),RIGHT(TRIM(Raw_Export!B858),2)),DATE(RIGHT(TRIM(Raw_Export!B858),4),MATCH(MID(TRIM(Raw_Export!B858),4,3),{"Jan","Feb","Mar","Apr","May","Jun","Jul","Aug","Sep","Oct","Nov","Dec"},0),LEFT(TRIM(Raw_Export!B858),2)))))</f>
        <v>46270</v>
      </c>
      <c r="C858" s="36" t="str">
        <f aca="false">IF(Raw_Export!$A858="","",IFERROR(VLOOKUP(LOWER(TRIM(Raw_Export!C858)),Maps!$A$2:$B$20,2,FALSE()),"UNMAPPED"))</f>
        <v>Kisumu</v>
      </c>
      <c r="D858" s="36" t="str">
        <f aca="false">IF(Raw_Export!$A858="","",IFERROR(VLOOKUP(LOWER(TRIM(Raw_Export!D858)),Maps!$G$2:$I$80,2,FALSE()),"UNMAPPED"))</f>
        <v>Matches 10pk</v>
      </c>
      <c r="E858" s="36" t="str">
        <f aca="false">IF(Raw_Export!$A858="","",IFERROR(VLOOKUP(LOWER(TRIM(Raw_Export!D858)),Maps!$G$2:$I$80,3,FALSE()),"UNMAPPED"))</f>
        <v>Household</v>
      </c>
      <c r="F858" s="36" t="n">
        <f aca="false">IF(Raw_Export!$A858="","",IFERROR(VALUE(TRIM(Raw_Export!E858)),0))</f>
        <v>2</v>
      </c>
      <c r="G858" s="38" t="n">
        <f aca="false">IF(Raw_Export!$A858="","",IFERROR(VALUE(SUBSTITUTE(SUBSTITUTE(UPPER(TRIM(Raw_Export!F858)),"KES",""),",","")),0))</f>
        <v>50</v>
      </c>
      <c r="H858" s="38" t="n">
        <f aca="false">IF(Raw_Export!$A858="","",F858*G858)</f>
        <v>100</v>
      </c>
      <c r="I858" s="36" t="str">
        <f aca="false">IF(Raw_Export!$A858="","",IFERROR(VLOOKUP(LOWER(TRIM(Raw_Export!H858)),Maps!$D$2:$E$12,2,FALSE()),"Other"))</f>
        <v>Cash</v>
      </c>
      <c r="J858" s="36" t="str">
        <f aca="false">IF(Raw_Export!$A858="","",IF(COUNTIF($A$2:A858,A858)&gt;1,"Duplicate",""))</f>
        <v/>
      </c>
      <c r="K858" s="36" t="str">
        <f aca="false">IF(Raw_Export!$A858="","",IF(J858="Duplicate","Duplicate",IF(OR(C858="UNMAPPED",D858="UNMAPPED"),"Unmapped",IF(F858=0,"Blank qty",IF(F858&lt;0,"Return","OK")))))</f>
        <v>OK</v>
      </c>
      <c r="L858" s="36" t="n">
        <f aca="false">IF(Raw_Export!$A858="","",IF(OR(K858="OK",K858="Return"),1,0))</f>
        <v>1</v>
      </c>
      <c r="M858" s="37" t="n">
        <f aca="false">IF(Raw_Export!$A858="","",B858-WEEKDAY(B858,2)+1)</f>
        <v>46265</v>
      </c>
    </row>
    <row r="859" customFormat="false" ht="15" hidden="false" customHeight="false" outlineLevel="0" collapsed="false">
      <c r="A859" s="36" t="str">
        <f aca="false">IF(Raw_Export!$A859="","",TRIM(Raw_Export!A859))</f>
        <v>TXN-100842</v>
      </c>
      <c r="B859" s="37" t="n">
        <f aca="false">IF(Raw_Export!$A859="","",IF(ISNUMBER(Raw_Export!B859),Raw_Export!B859,IF(MID(TRIM(Raw_Export!B859),5,1)="-",DATE(LEFT(TRIM(Raw_Export!B859),4),MID(TRIM(Raw_Export!B859),6,2),RIGHT(TRIM(Raw_Export!B859),2)),DATE(RIGHT(TRIM(Raw_Export!B859),4),MATCH(MID(TRIM(Raw_Export!B859),4,3),{"Jan","Feb","Mar","Apr","May","Jun","Jul","Aug","Sep","Oct","Nov","Dec"},0),LEFT(TRIM(Raw_Export!B859),2)))))</f>
        <v>46270</v>
      </c>
      <c r="C859" s="36" t="str">
        <f aca="false">IF(Raw_Export!$A859="","",IFERROR(VLOOKUP(LOWER(TRIM(Raw_Export!C859)),Maps!$A$2:$B$20,2,FALSE()),"UNMAPPED"))</f>
        <v>Kisumu</v>
      </c>
      <c r="D859" s="36" t="str">
        <f aca="false">IF(Raw_Export!$A859="","",IFERROR(VLOOKUP(LOWER(TRIM(Raw_Export!D859)),Maps!$G$2:$I$80,2,FALSE()),"UNMAPPED"))</f>
        <v>Juice 1L</v>
      </c>
      <c r="E859" s="36" t="str">
        <f aca="false">IF(Raw_Export!$A859="","",IFERROR(VLOOKUP(LOWER(TRIM(Raw_Export!D859)),Maps!$G$2:$I$80,3,FALSE()),"UNMAPPED"))</f>
        <v>Beverages</v>
      </c>
      <c r="F859" s="36" t="n">
        <f aca="false">IF(Raw_Export!$A859="","",IFERROR(VALUE(TRIM(Raw_Export!E859)),0))</f>
        <v>-1</v>
      </c>
      <c r="G859" s="38" t="n">
        <f aca="false">IF(Raw_Export!$A859="","",IFERROR(VALUE(SUBSTITUTE(SUBSTITUTE(UPPER(TRIM(Raw_Export!F859)),"KES",""),",","")),0))</f>
        <v>189</v>
      </c>
      <c r="H859" s="38" t="n">
        <f aca="false">IF(Raw_Export!$A859="","",F859*G859)</f>
        <v>-189</v>
      </c>
      <c r="I859" s="36" t="str">
        <f aca="false">IF(Raw_Export!$A859="","",IFERROR(VLOOKUP(LOWER(TRIM(Raw_Export!H859)),Maps!$D$2:$E$12,2,FALSE()),"Other"))</f>
        <v>Cash</v>
      </c>
      <c r="J859" s="36" t="str">
        <f aca="false">IF(Raw_Export!$A859="","",IF(COUNTIF($A$2:A859,A859)&gt;1,"Duplicate",""))</f>
        <v/>
      </c>
      <c r="K859" s="36" t="str">
        <f aca="false">IF(Raw_Export!$A859="","",IF(J859="Duplicate","Duplicate",IF(OR(C859="UNMAPPED",D859="UNMAPPED"),"Unmapped",IF(F859=0,"Blank qty",IF(F859&lt;0,"Return","OK")))))</f>
        <v>Return</v>
      </c>
      <c r="L859" s="36" t="n">
        <f aca="false">IF(Raw_Export!$A859="","",IF(OR(K859="OK",K859="Return"),1,0))</f>
        <v>1</v>
      </c>
      <c r="M859" s="37" t="n">
        <f aca="false">IF(Raw_Export!$A859="","",B859-WEEKDAY(B859,2)+1)</f>
        <v>46265</v>
      </c>
    </row>
    <row r="860" customFormat="false" ht="15" hidden="false" customHeight="false" outlineLevel="0" collapsed="false">
      <c r="A860" s="36" t="str">
        <f aca="false">IF(Raw_Export!$A860="","",TRIM(Raw_Export!A860))</f>
        <v>TXN-100843</v>
      </c>
      <c r="B860" s="37" t="n">
        <f aca="false">IF(Raw_Export!$A860="","",IF(ISNUMBER(Raw_Export!B860),Raw_Export!B860,IF(MID(TRIM(Raw_Export!B860),5,1)="-",DATE(LEFT(TRIM(Raw_Export!B860),4),MID(TRIM(Raw_Export!B860),6,2),RIGHT(TRIM(Raw_Export!B860),2)),DATE(RIGHT(TRIM(Raw_Export!B860),4),MATCH(MID(TRIM(Raw_Export!B860),4,3),{"Jan","Feb","Mar","Apr","May","Jun","Jul","Aug","Sep","Oct","Nov","Dec"},0),LEFT(TRIM(Raw_Export!B860),2)))))</f>
        <v>46270</v>
      </c>
      <c r="C860" s="36" t="str">
        <f aca="false">IF(Raw_Export!$A860="","",IFERROR(VLOOKUP(LOWER(TRIM(Raw_Export!C860)),Maps!$A$2:$B$20,2,FALSE()),"UNMAPPED"))</f>
        <v>Kisumu</v>
      </c>
      <c r="D860" s="36" t="str">
        <f aca="false">IF(Raw_Export!$A860="","",IFERROR(VLOOKUP(LOWER(TRIM(Raw_Export!D860)),Maps!$G$2:$I$80,2,FALSE()),"UNMAPPED"))</f>
        <v>Unga Pembe 2kg</v>
      </c>
      <c r="E860" s="36" t="str">
        <f aca="false">IF(Raw_Export!$A860="","",IFERROR(VLOOKUP(LOWER(TRIM(Raw_Export!D860)),Maps!$G$2:$I$80,3,FALSE()),"UNMAPPED"))</f>
        <v>Staples</v>
      </c>
      <c r="F860" s="36" t="n">
        <f aca="false">IF(Raw_Export!$A860="","",IFERROR(VALUE(TRIM(Raw_Export!E860)),0))</f>
        <v>1</v>
      </c>
      <c r="G860" s="38" t="n">
        <f aca="false">IF(Raw_Export!$A860="","",IFERROR(VALUE(SUBSTITUTE(SUBSTITUTE(UPPER(TRIM(Raw_Export!F860)),"KES",""),",","")),0))</f>
        <v>190</v>
      </c>
      <c r="H860" s="38" t="n">
        <f aca="false">IF(Raw_Export!$A860="","",F860*G860)</f>
        <v>190</v>
      </c>
      <c r="I860" s="36" t="str">
        <f aca="false">IF(Raw_Export!$A860="","",IFERROR(VLOOKUP(LOWER(TRIM(Raw_Export!H860)),Maps!$D$2:$E$12,2,FALSE()),"Other"))</f>
        <v>Card</v>
      </c>
      <c r="J860" s="36" t="str">
        <f aca="false">IF(Raw_Export!$A860="","",IF(COUNTIF($A$2:A860,A860)&gt;1,"Duplicate",""))</f>
        <v/>
      </c>
      <c r="K860" s="36" t="str">
        <f aca="false">IF(Raw_Export!$A860="","",IF(J860="Duplicate","Duplicate",IF(OR(C860="UNMAPPED",D860="UNMAPPED"),"Unmapped",IF(F860=0,"Blank qty",IF(F860&lt;0,"Return","OK")))))</f>
        <v>OK</v>
      </c>
      <c r="L860" s="36" t="n">
        <f aca="false">IF(Raw_Export!$A860="","",IF(OR(K860="OK",K860="Return"),1,0))</f>
        <v>1</v>
      </c>
      <c r="M860" s="37" t="n">
        <f aca="false">IF(Raw_Export!$A860="","",B860-WEEKDAY(B860,2)+1)</f>
        <v>46265</v>
      </c>
    </row>
    <row r="861" customFormat="false" ht="15" hidden="false" customHeight="false" outlineLevel="0" collapsed="false">
      <c r="A861" s="36" t="str">
        <f aca="false">IF(Raw_Export!$A861="","",TRIM(Raw_Export!A861))</f>
        <v>TXN-100844</v>
      </c>
      <c r="B861" s="37" t="n">
        <f aca="false">IF(Raw_Export!$A861="","",IF(ISNUMBER(Raw_Export!B861),Raw_Export!B861,IF(MID(TRIM(Raw_Export!B861),5,1)="-",DATE(LEFT(TRIM(Raw_Export!B861),4),MID(TRIM(Raw_Export!B861),6,2),RIGHT(TRIM(Raw_Export!B861),2)),DATE(RIGHT(TRIM(Raw_Export!B861),4),MATCH(MID(TRIM(Raw_Export!B861),4,3),{"Jan","Feb","Mar","Apr","May","Jun","Jul","Aug","Sep","Oct","Nov","Dec"},0),LEFT(TRIM(Raw_Export!B861),2)))))</f>
        <v>46270</v>
      </c>
      <c r="C861" s="36" t="str">
        <f aca="false">IF(Raw_Export!$A861="","",IFERROR(VLOOKUP(LOWER(TRIM(Raw_Export!C861)),Maps!$A$2:$B$20,2,FALSE()),"UNMAPPED"))</f>
        <v>Kisumu</v>
      </c>
      <c r="D861" s="36" t="str">
        <f aca="false">IF(Raw_Export!$A861="","",IFERROR(VLOOKUP(LOWER(TRIM(Raw_Export!D861)),Maps!$G$2:$I$80,2,FALSE()),"UNMAPPED"))</f>
        <v>Toilet Paper 10pk</v>
      </c>
      <c r="E861" s="36" t="str">
        <f aca="false">IF(Raw_Export!$A861="","",IFERROR(VLOOKUP(LOWER(TRIM(Raw_Export!D861)),Maps!$G$2:$I$80,3,FALSE()),"UNMAPPED"))</f>
        <v>Household</v>
      </c>
      <c r="F861" s="36" t="n">
        <f aca="false">IF(Raw_Export!$A861="","",IFERROR(VALUE(TRIM(Raw_Export!E861)),0))</f>
        <v>2</v>
      </c>
      <c r="G861" s="38" t="n">
        <f aca="false">IF(Raw_Export!$A861="","",IFERROR(VALUE(SUBSTITUTE(SUBSTITUTE(UPPER(TRIM(Raw_Export!F861)),"KES",""),",","")),0))</f>
        <v>380</v>
      </c>
      <c r="H861" s="38" t="n">
        <f aca="false">IF(Raw_Export!$A861="","",F861*G861)</f>
        <v>760</v>
      </c>
      <c r="I861" s="36" t="str">
        <f aca="false">IF(Raw_Export!$A861="","",IFERROR(VLOOKUP(LOWER(TRIM(Raw_Export!H861)),Maps!$D$2:$E$12,2,FALSE()),"Other"))</f>
        <v>M-Pesa</v>
      </c>
      <c r="J861" s="36" t="str">
        <f aca="false">IF(Raw_Export!$A861="","",IF(COUNTIF($A$2:A861,A861)&gt;1,"Duplicate",""))</f>
        <v/>
      </c>
      <c r="K861" s="36" t="str">
        <f aca="false">IF(Raw_Export!$A861="","",IF(J861="Duplicate","Duplicate",IF(OR(C861="UNMAPPED",D861="UNMAPPED"),"Unmapped",IF(F861=0,"Blank qty",IF(F861&lt;0,"Return","OK")))))</f>
        <v>OK</v>
      </c>
      <c r="L861" s="36" t="n">
        <f aca="false">IF(Raw_Export!$A861="","",IF(OR(K861="OK",K861="Return"),1,0))</f>
        <v>1</v>
      </c>
      <c r="M861" s="37" t="n">
        <f aca="false">IF(Raw_Export!$A861="","",B861-WEEKDAY(B861,2)+1)</f>
        <v>46265</v>
      </c>
    </row>
    <row r="862" customFormat="false" ht="15" hidden="false" customHeight="false" outlineLevel="0" collapsed="false">
      <c r="A862" s="36" t="str">
        <f aca="false">IF(Raw_Export!$A862="","",TRIM(Raw_Export!A862))</f>
        <v>TXN-100845</v>
      </c>
      <c r="B862" s="37" t="n">
        <f aca="false">IF(Raw_Export!$A862="","",IF(ISNUMBER(Raw_Export!B862),Raw_Export!B862,IF(MID(TRIM(Raw_Export!B862),5,1)="-",DATE(LEFT(TRIM(Raw_Export!B862),4),MID(TRIM(Raw_Export!B862),6,2),RIGHT(TRIM(Raw_Export!B862),2)),DATE(RIGHT(TRIM(Raw_Export!B862),4),MATCH(MID(TRIM(Raw_Export!B862),4,3),{"Jan","Feb","Mar","Apr","May","Jun","Jul","Aug","Sep","Oct","Nov","Dec"},0),LEFT(TRIM(Raw_Export!B862),2)))))</f>
        <v>46270</v>
      </c>
      <c r="C862" s="36" t="str">
        <f aca="false">IF(Raw_Export!$A862="","",IFERROR(VLOOKUP(LOWER(TRIM(Raw_Export!C862)),Maps!$A$2:$B$20,2,FALSE()),"UNMAPPED"))</f>
        <v>Kisumu</v>
      </c>
      <c r="D862" s="36" t="str">
        <f aca="false">IF(Raw_Export!$A862="","",IFERROR(VLOOKUP(LOWER(TRIM(Raw_Export!D862)),Maps!$G$2:$I$80,2,FALSE()),"UNMAPPED"))</f>
        <v>Peanuts 250g</v>
      </c>
      <c r="E862" s="36" t="str">
        <f aca="false">IF(Raw_Export!$A862="","",IFERROR(VLOOKUP(LOWER(TRIM(Raw_Export!D862)),Maps!$G$2:$I$80,3,FALSE()),"UNMAPPED"))</f>
        <v>Snacks</v>
      </c>
      <c r="F862" s="36" t="n">
        <f aca="false">IF(Raw_Export!$A862="","",IFERROR(VALUE(TRIM(Raw_Export!E862)),0))</f>
        <v>0</v>
      </c>
      <c r="G862" s="38" t="n">
        <f aca="false">IF(Raw_Export!$A862="","",IFERROR(VALUE(SUBSTITUTE(SUBSTITUTE(UPPER(TRIM(Raw_Export!F862)),"KES",""),",","")),0))</f>
        <v>130</v>
      </c>
      <c r="H862" s="38" t="n">
        <f aca="false">IF(Raw_Export!$A862="","",F862*G862)</f>
        <v>0</v>
      </c>
      <c r="I862" s="36" t="str">
        <f aca="false">IF(Raw_Export!$A862="","",IFERROR(VLOOKUP(LOWER(TRIM(Raw_Export!H862)),Maps!$D$2:$E$12,2,FALSE()),"Other"))</f>
        <v>Card</v>
      </c>
      <c r="J862" s="36" t="str">
        <f aca="false">IF(Raw_Export!$A862="","",IF(COUNTIF($A$2:A862,A862)&gt;1,"Duplicate",""))</f>
        <v/>
      </c>
      <c r="K862" s="36" t="str">
        <f aca="false">IF(Raw_Export!$A862="","",IF(J862="Duplicate","Duplicate",IF(OR(C862="UNMAPPED",D862="UNMAPPED"),"Unmapped",IF(F862=0,"Blank qty",IF(F862&lt;0,"Return","OK")))))</f>
        <v>Blank qty</v>
      </c>
      <c r="L862" s="36" t="n">
        <f aca="false">IF(Raw_Export!$A862="","",IF(OR(K862="OK",K862="Return"),1,0))</f>
        <v>0</v>
      </c>
      <c r="M862" s="37" t="n">
        <f aca="false">IF(Raw_Export!$A862="","",B862-WEEKDAY(B862,2)+1)</f>
        <v>46265</v>
      </c>
    </row>
    <row r="863" customFormat="false" ht="15" hidden="false" customHeight="false" outlineLevel="0" collapsed="false">
      <c r="A863" s="36" t="str">
        <f aca="false">IF(Raw_Export!$A863="","",TRIM(Raw_Export!A863))</f>
        <v>TXN-100846</v>
      </c>
      <c r="B863" s="37" t="n">
        <f aca="false">IF(Raw_Export!$A863="","",IF(ISNUMBER(Raw_Export!B863),Raw_Export!B863,IF(MID(TRIM(Raw_Export!B863),5,1)="-",DATE(LEFT(TRIM(Raw_Export!B863),4),MID(TRIM(Raw_Export!B863),6,2),RIGHT(TRIM(Raw_Export!B863),2)),DATE(RIGHT(TRIM(Raw_Export!B863),4),MATCH(MID(TRIM(Raw_Export!B863),4,3),{"Jan","Feb","Mar","Apr","May","Jun","Jul","Aug","Sep","Oct","Nov","Dec"},0),LEFT(TRIM(Raw_Export!B863),2)))))</f>
        <v>46270</v>
      </c>
      <c r="C863" s="36" t="str">
        <f aca="false">IF(Raw_Export!$A863="","",IFERROR(VLOOKUP(LOWER(TRIM(Raw_Export!C863)),Maps!$A$2:$B$20,2,FALSE()),"UNMAPPED"))</f>
        <v>Kisumu</v>
      </c>
      <c r="D863" s="36" t="str">
        <f aca="false">IF(Raw_Export!$A863="","",IFERROR(VLOOKUP(LOWER(TRIM(Raw_Export!D863)),Maps!$G$2:$I$80,2,FALSE()),"UNMAPPED"))</f>
        <v>Salt 500g</v>
      </c>
      <c r="E863" s="36" t="str">
        <f aca="false">IF(Raw_Export!$A863="","",IFERROR(VLOOKUP(LOWER(TRIM(Raw_Export!D863)),Maps!$G$2:$I$80,3,FALSE()),"UNMAPPED"))</f>
        <v>Staples</v>
      </c>
      <c r="F863" s="36" t="n">
        <f aca="false">IF(Raw_Export!$A863="","",IFERROR(VALUE(TRIM(Raw_Export!E863)),0))</f>
        <v>4</v>
      </c>
      <c r="G863" s="38" t="n">
        <f aca="false">IF(Raw_Export!$A863="","",IFERROR(VALUE(SUBSTITUTE(SUBSTITUTE(UPPER(TRIM(Raw_Export!F863)),"KES",""),",","")),0))</f>
        <v>40</v>
      </c>
      <c r="H863" s="38" t="n">
        <f aca="false">IF(Raw_Export!$A863="","",F863*G863)</f>
        <v>160</v>
      </c>
      <c r="I863" s="36" t="str">
        <f aca="false">IF(Raw_Export!$A863="","",IFERROR(VLOOKUP(LOWER(TRIM(Raw_Export!H863)),Maps!$D$2:$E$12,2,FALSE()),"Other"))</f>
        <v>M-Pesa</v>
      </c>
      <c r="J863" s="36" t="str">
        <f aca="false">IF(Raw_Export!$A863="","",IF(COUNTIF($A$2:A863,A863)&gt;1,"Duplicate",""))</f>
        <v/>
      </c>
      <c r="K863" s="36" t="str">
        <f aca="false">IF(Raw_Export!$A863="","",IF(J863="Duplicate","Duplicate",IF(OR(C863="UNMAPPED",D863="UNMAPPED"),"Unmapped",IF(F863=0,"Blank qty",IF(F863&lt;0,"Return","OK")))))</f>
        <v>OK</v>
      </c>
      <c r="L863" s="36" t="n">
        <f aca="false">IF(Raw_Export!$A863="","",IF(OR(K863="OK",K863="Return"),1,0))</f>
        <v>1</v>
      </c>
      <c r="M863" s="37" t="n">
        <f aca="false">IF(Raw_Export!$A863="","",B863-WEEKDAY(B863,2)+1)</f>
        <v>46265</v>
      </c>
    </row>
    <row r="864" customFormat="false" ht="15" hidden="false" customHeight="false" outlineLevel="0" collapsed="false">
      <c r="A864" s="36" t="str">
        <f aca="false">IF(Raw_Export!$A864="","",TRIM(Raw_Export!A864))</f>
        <v>TXN-100847</v>
      </c>
      <c r="B864" s="37" t="n">
        <f aca="false">IF(Raw_Export!$A864="","",IF(ISNUMBER(Raw_Export!B864),Raw_Export!B864,IF(MID(TRIM(Raw_Export!B864),5,1)="-",DATE(LEFT(TRIM(Raw_Export!B864),4),MID(TRIM(Raw_Export!B864),6,2),RIGHT(TRIM(Raw_Export!B864),2)),DATE(RIGHT(TRIM(Raw_Export!B864),4),MATCH(MID(TRIM(Raw_Export!B864),4,3),{"Jan","Feb","Mar","Apr","May","Jun","Jul","Aug","Sep","Oct","Nov","Dec"},0),LEFT(TRIM(Raw_Export!B864),2)))))</f>
        <v>46270</v>
      </c>
      <c r="C864" s="36" t="str">
        <f aca="false">IF(Raw_Export!$A864="","",IFERROR(VLOOKUP(LOWER(TRIM(Raw_Export!C864)),Maps!$A$2:$B$20,2,FALSE()),"UNMAPPED"))</f>
        <v>Kisumu</v>
      </c>
      <c r="D864" s="36" t="str">
        <f aca="false">IF(Raw_Export!$A864="","",IFERROR(VLOOKUP(LOWER(TRIM(Raw_Export!D864)),Maps!$G$2:$I$80,2,FALSE()),"UNMAPPED"))</f>
        <v>Rice Pishori 2kg</v>
      </c>
      <c r="E864" s="36" t="str">
        <f aca="false">IF(Raw_Export!$A864="","",IFERROR(VLOOKUP(LOWER(TRIM(Raw_Export!D864)),Maps!$G$2:$I$80,3,FALSE()),"UNMAPPED"))</f>
        <v>Staples</v>
      </c>
      <c r="F864" s="36" t="n">
        <f aca="false">IF(Raw_Export!$A864="","",IFERROR(VALUE(TRIM(Raw_Export!E864)),0))</f>
        <v>4</v>
      </c>
      <c r="G864" s="38" t="n">
        <f aca="false">IF(Raw_Export!$A864="","",IFERROR(VALUE(SUBSTITUTE(SUBSTITUTE(UPPER(TRIM(Raw_Export!F864)),"KES",""),",","")),0))</f>
        <v>420</v>
      </c>
      <c r="H864" s="38" t="n">
        <f aca="false">IF(Raw_Export!$A864="","",F864*G864)</f>
        <v>1680</v>
      </c>
      <c r="I864" s="36" t="str">
        <f aca="false">IF(Raw_Export!$A864="","",IFERROR(VLOOKUP(LOWER(TRIM(Raw_Export!H864)),Maps!$D$2:$E$12,2,FALSE()),"Other"))</f>
        <v>M-Pesa</v>
      </c>
      <c r="J864" s="36" t="str">
        <f aca="false">IF(Raw_Export!$A864="","",IF(COUNTIF($A$2:A864,A864)&gt;1,"Duplicate",""))</f>
        <v/>
      </c>
      <c r="K864" s="36" t="str">
        <f aca="false">IF(Raw_Export!$A864="","",IF(J864="Duplicate","Duplicate",IF(OR(C864="UNMAPPED",D864="UNMAPPED"),"Unmapped",IF(F864=0,"Blank qty",IF(F864&lt;0,"Return","OK")))))</f>
        <v>OK</v>
      </c>
      <c r="L864" s="36" t="n">
        <f aca="false">IF(Raw_Export!$A864="","",IF(OR(K864="OK",K864="Return"),1,0))</f>
        <v>1</v>
      </c>
      <c r="M864" s="37" t="n">
        <f aca="false">IF(Raw_Export!$A864="","",B864-WEEKDAY(B864,2)+1)</f>
        <v>46265</v>
      </c>
    </row>
    <row r="865" customFormat="false" ht="15" hidden="false" customHeight="false" outlineLevel="0" collapsed="false">
      <c r="A865" s="36" t="str">
        <f aca="false">IF(Raw_Export!$A865="","",TRIM(Raw_Export!A865))</f>
        <v>TXN-100848</v>
      </c>
      <c r="B865" s="37" t="n">
        <f aca="false">IF(Raw_Export!$A865="","",IF(ISNUMBER(Raw_Export!B865),Raw_Export!B865,IF(MID(TRIM(Raw_Export!B865),5,1)="-",DATE(LEFT(TRIM(Raw_Export!B865),4),MID(TRIM(Raw_Export!B865),6,2),RIGHT(TRIM(Raw_Export!B865),2)),DATE(RIGHT(TRIM(Raw_Export!B865),4),MATCH(MID(TRIM(Raw_Export!B865),4,3),{"Jan","Feb","Mar","Apr","May","Jun","Jul","Aug","Sep","Oct","Nov","Dec"},0),LEFT(TRIM(Raw_Export!B865),2)))))</f>
        <v>46270</v>
      </c>
      <c r="C865" s="36" t="str">
        <f aca="false">IF(Raw_Export!$A865="","",IFERROR(VLOOKUP(LOWER(TRIM(Raw_Export!C865)),Maps!$A$2:$B$20,2,FALSE()),"UNMAPPED"))</f>
        <v>Kisumu</v>
      </c>
      <c r="D865" s="36" t="str">
        <f aca="false">IF(Raw_Export!$A865="","",IFERROR(VLOOKUP(LOWER(TRIM(Raw_Export!D865)),Maps!$G$2:$I$80,2,FALSE()),"UNMAPPED"))</f>
        <v>Bread Loaf 400g</v>
      </c>
      <c r="E865" s="36" t="str">
        <f aca="false">IF(Raw_Export!$A865="","",IFERROR(VLOOKUP(LOWER(TRIM(Raw_Export!D865)),Maps!$G$2:$I$80,3,FALSE()),"UNMAPPED"))</f>
        <v>Snacks</v>
      </c>
      <c r="F865" s="36" t="n">
        <f aca="false">IF(Raw_Export!$A865="","",IFERROR(VALUE(TRIM(Raw_Export!E865)),0))</f>
        <v>1</v>
      </c>
      <c r="G865" s="38" t="n">
        <f aca="false">IF(Raw_Export!$A865="","",IFERROR(VALUE(SUBSTITUTE(SUBSTITUTE(UPPER(TRIM(Raw_Export!F865)),"KES",""),",","")),0))</f>
        <v>65</v>
      </c>
      <c r="H865" s="38" t="n">
        <f aca="false">IF(Raw_Export!$A865="","",F865*G865)</f>
        <v>65</v>
      </c>
      <c r="I865" s="36" t="str">
        <f aca="false">IF(Raw_Export!$A865="","",IFERROR(VLOOKUP(LOWER(TRIM(Raw_Export!H865)),Maps!$D$2:$E$12,2,FALSE()),"Other"))</f>
        <v>Cash</v>
      </c>
      <c r="J865" s="36" t="str">
        <f aca="false">IF(Raw_Export!$A865="","",IF(COUNTIF($A$2:A865,A865)&gt;1,"Duplicate",""))</f>
        <v/>
      </c>
      <c r="K865" s="36" t="str">
        <f aca="false">IF(Raw_Export!$A865="","",IF(J865="Duplicate","Duplicate",IF(OR(C865="UNMAPPED",D865="UNMAPPED"),"Unmapped",IF(F865=0,"Blank qty",IF(F865&lt;0,"Return","OK")))))</f>
        <v>OK</v>
      </c>
      <c r="L865" s="36" t="n">
        <f aca="false">IF(Raw_Export!$A865="","",IF(OR(K865="OK",K865="Return"),1,0))</f>
        <v>1</v>
      </c>
      <c r="M865" s="37" t="n">
        <f aca="false">IF(Raw_Export!$A865="","",B865-WEEKDAY(B865,2)+1)</f>
        <v>46265</v>
      </c>
    </row>
    <row r="866" customFormat="false" ht="15" hidden="false" customHeight="false" outlineLevel="0" collapsed="false">
      <c r="A866" s="36" t="str">
        <f aca="false">IF(Raw_Export!$A866="","",TRIM(Raw_Export!A866))</f>
        <v>TXN-100849</v>
      </c>
      <c r="B866" s="37" t="n">
        <f aca="false">IF(Raw_Export!$A866="","",IF(ISNUMBER(Raw_Export!B866),Raw_Export!B866,IF(MID(TRIM(Raw_Export!B866),5,1)="-",DATE(LEFT(TRIM(Raw_Export!B866),4),MID(TRIM(Raw_Export!B866),6,2),RIGHT(TRIM(Raw_Export!B866),2)),DATE(RIGHT(TRIM(Raw_Export!B866),4),MATCH(MID(TRIM(Raw_Export!B866),4,3),{"Jan","Feb","Mar","Apr","May","Jun","Jul","Aug","Sep","Oct","Nov","Dec"},0),LEFT(TRIM(Raw_Export!B866),2)))))</f>
        <v>46270</v>
      </c>
      <c r="C866" s="36" t="str">
        <f aca="false">IF(Raw_Export!$A866="","",IFERROR(VLOOKUP(LOWER(TRIM(Raw_Export!C866)),Maps!$A$2:$B$20,2,FALSE()),"UNMAPPED"))</f>
        <v>Kisumu</v>
      </c>
      <c r="D866" s="36" t="str">
        <f aca="false">IF(Raw_Export!$A866="","",IFERROR(VLOOKUP(LOWER(TRIM(Raw_Export!D866)),Maps!$G$2:$I$80,2,FALSE()),"UNMAPPED"))</f>
        <v>Juice 1L</v>
      </c>
      <c r="E866" s="36" t="str">
        <f aca="false">IF(Raw_Export!$A866="","",IFERROR(VLOOKUP(LOWER(TRIM(Raw_Export!D866)),Maps!$G$2:$I$80,3,FALSE()),"UNMAPPED"))</f>
        <v>Beverages</v>
      </c>
      <c r="F866" s="36" t="n">
        <f aca="false">IF(Raw_Export!$A866="","",IFERROR(VALUE(TRIM(Raw_Export!E866)),0))</f>
        <v>6</v>
      </c>
      <c r="G866" s="38" t="n">
        <f aca="false">IF(Raw_Export!$A866="","",IFERROR(VALUE(SUBSTITUTE(SUBSTITUTE(UPPER(TRIM(Raw_Export!F866)),"KES",""),",","")),0))</f>
        <v>210</v>
      </c>
      <c r="H866" s="38" t="n">
        <f aca="false">IF(Raw_Export!$A866="","",F866*G866)</f>
        <v>1260</v>
      </c>
      <c r="I866" s="36" t="str">
        <f aca="false">IF(Raw_Export!$A866="","",IFERROR(VLOOKUP(LOWER(TRIM(Raw_Export!H866)),Maps!$D$2:$E$12,2,FALSE()),"Other"))</f>
        <v>M-Pesa</v>
      </c>
      <c r="J866" s="36" t="str">
        <f aca="false">IF(Raw_Export!$A866="","",IF(COUNTIF($A$2:A866,A866)&gt;1,"Duplicate",""))</f>
        <v/>
      </c>
      <c r="K866" s="36" t="str">
        <f aca="false">IF(Raw_Export!$A866="","",IF(J866="Duplicate","Duplicate",IF(OR(C866="UNMAPPED",D866="UNMAPPED"),"Unmapped",IF(F866=0,"Blank qty",IF(F866&lt;0,"Return","OK")))))</f>
        <v>OK</v>
      </c>
      <c r="L866" s="36" t="n">
        <f aca="false">IF(Raw_Export!$A866="","",IF(OR(K866="OK",K866="Return"),1,0))</f>
        <v>1</v>
      </c>
      <c r="M866" s="37" t="n">
        <f aca="false">IF(Raw_Export!$A866="","",B866-WEEKDAY(B866,2)+1)</f>
        <v>46265</v>
      </c>
    </row>
    <row r="867" customFormat="false" ht="15" hidden="false" customHeight="false" outlineLevel="0" collapsed="false">
      <c r="A867" s="36" t="str">
        <f aca="false">IF(Raw_Export!$A867="","",TRIM(Raw_Export!A867))</f>
        <v>TXN-100850</v>
      </c>
      <c r="B867" s="37" t="n">
        <f aca="false">IF(Raw_Export!$A867="","",IF(ISNUMBER(Raw_Export!B867),Raw_Export!B867,IF(MID(TRIM(Raw_Export!B867),5,1)="-",DATE(LEFT(TRIM(Raw_Export!B867),4),MID(TRIM(Raw_Export!B867),6,2),RIGHT(TRIM(Raw_Export!B867),2)),DATE(RIGHT(TRIM(Raw_Export!B867),4),MATCH(MID(TRIM(Raw_Export!B867),4,3),{"Jan","Feb","Mar","Apr","May","Jun","Jul","Aug","Sep","Oct","Nov","Dec"},0),LEFT(TRIM(Raw_Export!B867),2)))))</f>
        <v>46270</v>
      </c>
      <c r="C867" s="36" t="str">
        <f aca="false">IF(Raw_Export!$A867="","",IFERROR(VLOOKUP(LOWER(TRIM(Raw_Export!C867)),Maps!$A$2:$B$20,2,FALSE()),"UNMAPPED"))</f>
        <v>Kisumu</v>
      </c>
      <c r="D867" s="36" t="str">
        <f aca="false">IF(Raw_Export!$A867="","",IFERROR(VLOOKUP(LOWER(TRIM(Raw_Export!D867)),Maps!$G$2:$I$80,2,FALSE()),"UNMAPPED"))</f>
        <v>Bath Soap 175g</v>
      </c>
      <c r="E867" s="36" t="str">
        <f aca="false">IF(Raw_Export!$A867="","",IFERROR(VLOOKUP(LOWER(TRIM(Raw_Export!D867)),Maps!$G$2:$I$80,3,FALSE()),"UNMAPPED"))</f>
        <v>Personal Care</v>
      </c>
      <c r="F867" s="36" t="n">
        <f aca="false">IF(Raw_Export!$A867="","",IFERROR(VALUE(TRIM(Raw_Export!E867)),0))</f>
        <v>1</v>
      </c>
      <c r="G867" s="38" t="n">
        <f aca="false">IF(Raw_Export!$A867="","",IFERROR(VALUE(SUBSTITUTE(SUBSTITUTE(UPPER(TRIM(Raw_Export!F867)),"KES",""),",","")),0))</f>
        <v>85</v>
      </c>
      <c r="H867" s="38" t="n">
        <f aca="false">IF(Raw_Export!$A867="","",F867*G867)</f>
        <v>85</v>
      </c>
      <c r="I867" s="36" t="str">
        <f aca="false">IF(Raw_Export!$A867="","",IFERROR(VLOOKUP(LOWER(TRIM(Raw_Export!H867)),Maps!$D$2:$E$12,2,FALSE()),"Other"))</f>
        <v>Card</v>
      </c>
      <c r="J867" s="36" t="str">
        <f aca="false">IF(Raw_Export!$A867="","",IF(COUNTIF($A$2:A867,A867)&gt;1,"Duplicate",""))</f>
        <v/>
      </c>
      <c r="K867" s="36" t="str">
        <f aca="false">IF(Raw_Export!$A867="","",IF(J867="Duplicate","Duplicate",IF(OR(C867="UNMAPPED",D867="UNMAPPED"),"Unmapped",IF(F867=0,"Blank qty",IF(F867&lt;0,"Return","OK")))))</f>
        <v>OK</v>
      </c>
      <c r="L867" s="36" t="n">
        <f aca="false">IF(Raw_Export!$A867="","",IF(OR(K867="OK",K867="Return"),1,0))</f>
        <v>1</v>
      </c>
      <c r="M867" s="37" t="n">
        <f aca="false">IF(Raw_Export!$A867="","",B867-WEEKDAY(B867,2)+1)</f>
        <v>46265</v>
      </c>
    </row>
    <row r="868" customFormat="false" ht="15" hidden="false" customHeight="false" outlineLevel="0" collapsed="false">
      <c r="A868" s="36" t="str">
        <f aca="false">IF(Raw_Export!$A868="","",TRIM(Raw_Export!A868))</f>
        <v>TXN-100851</v>
      </c>
      <c r="B868" s="37" t="n">
        <f aca="false">IF(Raw_Export!$A868="","",IF(ISNUMBER(Raw_Export!B868),Raw_Export!B868,IF(MID(TRIM(Raw_Export!B868),5,1)="-",DATE(LEFT(TRIM(Raw_Export!B868),4),MID(TRIM(Raw_Export!B868),6,2),RIGHT(TRIM(Raw_Export!B868),2)),DATE(RIGHT(TRIM(Raw_Export!B868),4),MATCH(MID(TRIM(Raw_Export!B868),4,3),{"Jan","Feb","Mar","Apr","May","Jun","Jul","Aug","Sep","Oct","Nov","Dec"},0),LEFT(TRIM(Raw_Export!B868),2)))))</f>
        <v>46270</v>
      </c>
      <c r="C868" s="36" t="str">
        <f aca="false">IF(Raw_Export!$A868="","",IFERROR(VLOOKUP(LOWER(TRIM(Raw_Export!C868)),Maps!$A$2:$B$20,2,FALSE()),"UNMAPPED"))</f>
        <v>Kisumu</v>
      </c>
      <c r="D868" s="36" t="str">
        <f aca="false">IF(Raw_Export!$A868="","",IFERROR(VLOOKUP(LOWER(TRIM(Raw_Export!D868)),Maps!$G$2:$I$80,2,FALSE()),"UNMAPPED"))</f>
        <v>Soda 500ml</v>
      </c>
      <c r="E868" s="36" t="str">
        <f aca="false">IF(Raw_Export!$A868="","",IFERROR(VLOOKUP(LOWER(TRIM(Raw_Export!D868)),Maps!$G$2:$I$80,3,FALSE()),"UNMAPPED"))</f>
        <v>Beverages</v>
      </c>
      <c r="F868" s="36" t="n">
        <f aca="false">IF(Raw_Export!$A868="","",IFERROR(VALUE(TRIM(Raw_Export!E868)),0))</f>
        <v>2</v>
      </c>
      <c r="G868" s="38" t="n">
        <f aca="false">IF(Raw_Export!$A868="","",IFERROR(VALUE(SUBSTITUTE(SUBSTITUTE(UPPER(TRIM(Raw_Export!F868)),"KES",""),",","")),0))</f>
        <v>60</v>
      </c>
      <c r="H868" s="38" t="n">
        <f aca="false">IF(Raw_Export!$A868="","",F868*G868)</f>
        <v>120</v>
      </c>
      <c r="I868" s="36" t="str">
        <f aca="false">IF(Raw_Export!$A868="","",IFERROR(VLOOKUP(LOWER(TRIM(Raw_Export!H868)),Maps!$D$2:$E$12,2,FALSE()),"Other"))</f>
        <v>Card</v>
      </c>
      <c r="J868" s="36" t="str">
        <f aca="false">IF(Raw_Export!$A868="","",IF(COUNTIF($A$2:A868,A868)&gt;1,"Duplicate",""))</f>
        <v/>
      </c>
      <c r="K868" s="36" t="str">
        <f aca="false">IF(Raw_Export!$A868="","",IF(J868="Duplicate","Duplicate",IF(OR(C868="UNMAPPED",D868="UNMAPPED"),"Unmapped",IF(F868=0,"Blank qty",IF(F868&lt;0,"Return","OK")))))</f>
        <v>OK</v>
      </c>
      <c r="L868" s="36" t="n">
        <f aca="false">IF(Raw_Export!$A868="","",IF(OR(K868="OK",K868="Return"),1,0))</f>
        <v>1</v>
      </c>
      <c r="M868" s="37" t="n">
        <f aca="false">IF(Raw_Export!$A868="","",B868-WEEKDAY(B868,2)+1)</f>
        <v>46265</v>
      </c>
    </row>
    <row r="869" customFormat="false" ht="15" hidden="false" customHeight="false" outlineLevel="0" collapsed="false">
      <c r="A869" s="36" t="str">
        <f aca="false">IF(Raw_Export!$A869="","",TRIM(Raw_Export!A869))</f>
        <v>TXN-100852</v>
      </c>
      <c r="B869" s="37" t="n">
        <f aca="false">IF(Raw_Export!$A869="","",IF(ISNUMBER(Raw_Export!B869),Raw_Export!B869,IF(MID(TRIM(Raw_Export!B869),5,1)="-",DATE(LEFT(TRIM(Raw_Export!B869),4),MID(TRIM(Raw_Export!B869),6,2),RIGHT(TRIM(Raw_Export!B869),2)),DATE(RIGHT(TRIM(Raw_Export!B869),4),MATCH(MID(TRIM(Raw_Export!B869),4,3),{"Jan","Feb","Mar","Apr","May","Jun","Jul","Aug","Sep","Oct","Nov","Dec"},0),LEFT(TRIM(Raw_Export!B869),2)))))</f>
        <v>46270</v>
      </c>
      <c r="C869" s="36" t="str">
        <f aca="false">IF(Raw_Export!$A869="","",IFERROR(VLOOKUP(LOWER(TRIM(Raw_Export!C869)),Maps!$A$2:$B$20,2,FALSE()),"UNMAPPED"))</f>
        <v>Kisumu</v>
      </c>
      <c r="D869" s="36" t="str">
        <f aca="false">IF(Raw_Export!$A869="","",IFERROR(VLOOKUP(LOWER(TRIM(Raw_Export!D869)),Maps!$G$2:$I$80,2,FALSE()),"UNMAPPED"))</f>
        <v>Toothpaste 100g</v>
      </c>
      <c r="E869" s="36" t="str">
        <f aca="false">IF(Raw_Export!$A869="","",IFERROR(VLOOKUP(LOWER(TRIM(Raw_Export!D869)),Maps!$G$2:$I$80,3,FALSE()),"UNMAPPED"))</f>
        <v>Personal Care</v>
      </c>
      <c r="F869" s="36" t="n">
        <f aca="false">IF(Raw_Export!$A869="","",IFERROR(VALUE(TRIM(Raw_Export!E869)),0))</f>
        <v>2</v>
      </c>
      <c r="G869" s="38" t="n">
        <f aca="false">IF(Raw_Export!$A869="","",IFERROR(VALUE(SUBSTITUTE(SUBSTITUTE(UPPER(TRIM(Raw_Export!F869)),"KES",""),",","")),0))</f>
        <v>195</v>
      </c>
      <c r="H869" s="38" t="n">
        <f aca="false">IF(Raw_Export!$A869="","",F869*G869)</f>
        <v>390</v>
      </c>
      <c r="I869" s="36" t="str">
        <f aca="false">IF(Raw_Export!$A869="","",IFERROR(VLOOKUP(LOWER(TRIM(Raw_Export!H869)),Maps!$D$2:$E$12,2,FALSE()),"Other"))</f>
        <v>M-Pesa</v>
      </c>
      <c r="J869" s="36" t="str">
        <f aca="false">IF(Raw_Export!$A869="","",IF(COUNTIF($A$2:A869,A869)&gt;1,"Duplicate",""))</f>
        <v/>
      </c>
      <c r="K869" s="36" t="str">
        <f aca="false">IF(Raw_Export!$A869="","",IF(J869="Duplicate","Duplicate",IF(OR(C869="UNMAPPED",D869="UNMAPPED"),"Unmapped",IF(F869=0,"Blank qty",IF(F869&lt;0,"Return","OK")))))</f>
        <v>OK</v>
      </c>
      <c r="L869" s="36" t="n">
        <f aca="false">IF(Raw_Export!$A869="","",IF(OR(K869="OK",K869="Return"),1,0))</f>
        <v>1</v>
      </c>
      <c r="M869" s="37" t="n">
        <f aca="false">IF(Raw_Export!$A869="","",B869-WEEKDAY(B869,2)+1)</f>
        <v>46265</v>
      </c>
    </row>
    <row r="870" customFormat="false" ht="15" hidden="false" customHeight="false" outlineLevel="0" collapsed="false">
      <c r="A870" s="36" t="str">
        <f aca="false">IF(Raw_Export!$A870="","",TRIM(Raw_Export!A870))</f>
        <v>TXN-100853</v>
      </c>
      <c r="B870" s="37" t="n">
        <f aca="false">IF(Raw_Export!$A870="","",IF(ISNUMBER(Raw_Export!B870),Raw_Export!B870,IF(MID(TRIM(Raw_Export!B870),5,1)="-",DATE(LEFT(TRIM(Raw_Export!B870),4),MID(TRIM(Raw_Export!B870),6,2),RIGHT(TRIM(Raw_Export!B870),2)),DATE(RIGHT(TRIM(Raw_Export!B870),4),MATCH(MID(TRIM(Raw_Export!B870),4,3),{"Jan","Feb","Mar","Apr","May","Jun","Jul","Aug","Sep","Oct","Nov","Dec"},0),LEFT(TRIM(Raw_Export!B870),2)))))</f>
        <v>46270</v>
      </c>
      <c r="C870" s="36" t="str">
        <f aca="false">IF(Raw_Export!$A870="","",IFERROR(VLOOKUP(LOWER(TRIM(Raw_Export!C870)),Maps!$A$2:$B$20,2,FALSE()),"UNMAPPED"))</f>
        <v>Kisumu</v>
      </c>
      <c r="D870" s="36" t="str">
        <f aca="false">IF(Raw_Export!$A870="","",IFERROR(VLOOKUP(LOWER(TRIM(Raw_Export!D870)),Maps!$G$2:$I$80,2,FALSE()),"UNMAPPED"))</f>
        <v>Bread Loaf 400g</v>
      </c>
      <c r="E870" s="36" t="str">
        <f aca="false">IF(Raw_Export!$A870="","",IFERROR(VLOOKUP(LOWER(TRIM(Raw_Export!D870)),Maps!$G$2:$I$80,3,FALSE()),"UNMAPPED"))</f>
        <v>Snacks</v>
      </c>
      <c r="F870" s="36" t="n">
        <f aca="false">IF(Raw_Export!$A870="","",IFERROR(VALUE(TRIM(Raw_Export!E870)),0))</f>
        <v>1</v>
      </c>
      <c r="G870" s="38" t="n">
        <f aca="false">IF(Raw_Export!$A870="","",IFERROR(VALUE(SUBSTITUTE(SUBSTITUTE(UPPER(TRIM(Raw_Export!F870)),"KES",""),",","")),0))</f>
        <v>65</v>
      </c>
      <c r="H870" s="38" t="n">
        <f aca="false">IF(Raw_Export!$A870="","",F870*G870)</f>
        <v>65</v>
      </c>
      <c r="I870" s="36" t="str">
        <f aca="false">IF(Raw_Export!$A870="","",IFERROR(VLOOKUP(LOWER(TRIM(Raw_Export!H870)),Maps!$D$2:$E$12,2,FALSE()),"Other"))</f>
        <v>M-Pesa</v>
      </c>
      <c r="J870" s="36" t="str">
        <f aca="false">IF(Raw_Export!$A870="","",IF(COUNTIF($A$2:A870,A870)&gt;1,"Duplicate",""))</f>
        <v/>
      </c>
      <c r="K870" s="36" t="str">
        <f aca="false">IF(Raw_Export!$A870="","",IF(J870="Duplicate","Duplicate",IF(OR(C870="UNMAPPED",D870="UNMAPPED"),"Unmapped",IF(F870=0,"Blank qty",IF(F870&lt;0,"Return","OK")))))</f>
        <v>OK</v>
      </c>
      <c r="L870" s="36" t="n">
        <f aca="false">IF(Raw_Export!$A870="","",IF(OR(K870="OK",K870="Return"),1,0))</f>
        <v>1</v>
      </c>
      <c r="M870" s="37" t="n">
        <f aca="false">IF(Raw_Export!$A870="","",B870-WEEKDAY(B870,2)+1)</f>
        <v>46265</v>
      </c>
    </row>
    <row r="871" customFormat="false" ht="15" hidden="false" customHeight="false" outlineLevel="0" collapsed="false">
      <c r="A871" s="36" t="str">
        <f aca="false">IF(Raw_Export!$A871="","",TRIM(Raw_Export!A871))</f>
        <v>TXN-100854</v>
      </c>
      <c r="B871" s="37" t="n">
        <f aca="false">IF(Raw_Export!$A871="","",IF(ISNUMBER(Raw_Export!B871),Raw_Export!B871,IF(MID(TRIM(Raw_Export!B871),5,1)="-",DATE(LEFT(TRIM(Raw_Export!B871),4),MID(TRIM(Raw_Export!B871),6,2),RIGHT(TRIM(Raw_Export!B871),2)),DATE(RIGHT(TRIM(Raw_Export!B871),4),MATCH(MID(TRIM(Raw_Export!B871),4,3),{"Jan","Feb","Mar","Apr","May","Jun","Jul","Aug","Sep","Oct","Nov","Dec"},0),LEFT(TRIM(Raw_Export!B871),2)))))</f>
        <v>46270</v>
      </c>
      <c r="C871" s="36" t="str">
        <f aca="false">IF(Raw_Export!$A871="","",IFERROR(VLOOKUP(LOWER(TRIM(Raw_Export!C871)),Maps!$A$2:$B$20,2,FALSE()),"UNMAPPED"))</f>
        <v>Kisumu</v>
      </c>
      <c r="D871" s="36" t="str">
        <f aca="false">IF(Raw_Export!$A871="","",IFERROR(VLOOKUP(LOWER(TRIM(Raw_Export!D871)),Maps!$G$2:$I$80,2,FALSE()),"UNMAPPED"))</f>
        <v>Washing Powder 1kg</v>
      </c>
      <c r="E871" s="36" t="str">
        <f aca="false">IF(Raw_Export!$A871="","",IFERROR(VLOOKUP(LOWER(TRIM(Raw_Export!D871)),Maps!$G$2:$I$80,3,FALSE()),"UNMAPPED"))</f>
        <v>Household</v>
      </c>
      <c r="F871" s="36" t="n">
        <f aca="false">IF(Raw_Export!$A871="","",IFERROR(VALUE(TRIM(Raw_Export!E871)),0))</f>
        <v>3</v>
      </c>
      <c r="G871" s="38" t="n">
        <f aca="false">IF(Raw_Export!$A871="","",IFERROR(VALUE(SUBSTITUTE(SUBSTITUTE(UPPER(TRIM(Raw_Export!F871)),"KES",""),",","")),0))</f>
        <v>252</v>
      </c>
      <c r="H871" s="38" t="n">
        <f aca="false">IF(Raw_Export!$A871="","",F871*G871)</f>
        <v>756</v>
      </c>
      <c r="I871" s="36" t="str">
        <f aca="false">IF(Raw_Export!$A871="","",IFERROR(VLOOKUP(LOWER(TRIM(Raw_Export!H871)),Maps!$D$2:$E$12,2,FALSE()),"Other"))</f>
        <v>Card</v>
      </c>
      <c r="J871" s="36" t="str">
        <f aca="false">IF(Raw_Export!$A871="","",IF(COUNTIF($A$2:A871,A871)&gt;1,"Duplicate",""))</f>
        <v/>
      </c>
      <c r="K871" s="36" t="str">
        <f aca="false">IF(Raw_Export!$A871="","",IF(J871="Duplicate","Duplicate",IF(OR(C871="UNMAPPED",D871="UNMAPPED"),"Unmapped",IF(F871=0,"Blank qty",IF(F871&lt;0,"Return","OK")))))</f>
        <v>OK</v>
      </c>
      <c r="L871" s="36" t="n">
        <f aca="false">IF(Raw_Export!$A871="","",IF(OR(K871="OK",K871="Return"),1,0))</f>
        <v>1</v>
      </c>
      <c r="M871" s="37" t="n">
        <f aca="false">IF(Raw_Export!$A871="","",B871-WEEKDAY(B871,2)+1)</f>
        <v>46265</v>
      </c>
    </row>
    <row r="872" customFormat="false" ht="15" hidden="false" customHeight="false" outlineLevel="0" collapsed="false">
      <c r="A872" s="36" t="str">
        <f aca="false">IF(Raw_Export!$A872="","",TRIM(Raw_Export!A872))</f>
        <v>TXN-100855</v>
      </c>
      <c r="B872" s="37" t="n">
        <f aca="false">IF(Raw_Export!$A872="","",IF(ISNUMBER(Raw_Export!B872),Raw_Export!B872,IF(MID(TRIM(Raw_Export!B872),5,1)="-",DATE(LEFT(TRIM(Raw_Export!B872),4),MID(TRIM(Raw_Export!B872),6,2),RIGHT(TRIM(Raw_Export!B872),2)),DATE(RIGHT(TRIM(Raw_Export!B872),4),MATCH(MID(TRIM(Raw_Export!B872),4,3),{"Jan","Feb","Mar","Apr","May","Jun","Jul","Aug","Sep","Oct","Nov","Dec"},0),LEFT(TRIM(Raw_Export!B872),2)))))</f>
        <v>46270</v>
      </c>
      <c r="C872" s="36" t="str">
        <f aca="false">IF(Raw_Export!$A872="","",IFERROR(VLOOKUP(LOWER(TRIM(Raw_Export!C872)),Maps!$A$2:$B$20,2,FALSE()),"UNMAPPED"))</f>
        <v>Kisumu</v>
      </c>
      <c r="D872" s="36" t="str">
        <f aca="false">IF(Raw_Export!$A872="","",IFERROR(VLOOKUP(LOWER(TRIM(Raw_Export!D872)),Maps!$G$2:$I$80,2,FALSE()),"UNMAPPED"))</f>
        <v>Deodorant 150ml</v>
      </c>
      <c r="E872" s="36" t="str">
        <f aca="false">IF(Raw_Export!$A872="","",IFERROR(VLOOKUP(LOWER(TRIM(Raw_Export!D872)),Maps!$G$2:$I$80,3,FALSE()),"UNMAPPED"))</f>
        <v>Personal Care</v>
      </c>
      <c r="F872" s="36" t="n">
        <f aca="false">IF(Raw_Export!$A872="","",IFERROR(VALUE(TRIM(Raw_Export!E872)),0))</f>
        <v>3</v>
      </c>
      <c r="G872" s="38" t="n">
        <f aca="false">IF(Raw_Export!$A872="","",IFERROR(VALUE(SUBSTITUTE(SUBSTITUTE(UPPER(TRIM(Raw_Export!F872)),"KES",""),",","")),0))</f>
        <v>350</v>
      </c>
      <c r="H872" s="38" t="n">
        <f aca="false">IF(Raw_Export!$A872="","",F872*G872)</f>
        <v>1050</v>
      </c>
      <c r="I872" s="36" t="str">
        <f aca="false">IF(Raw_Export!$A872="","",IFERROR(VLOOKUP(LOWER(TRIM(Raw_Export!H872)),Maps!$D$2:$E$12,2,FALSE()),"Other"))</f>
        <v>M-Pesa</v>
      </c>
      <c r="J872" s="36" t="str">
        <f aca="false">IF(Raw_Export!$A872="","",IF(COUNTIF($A$2:A872,A872)&gt;1,"Duplicate",""))</f>
        <v/>
      </c>
      <c r="K872" s="36" t="str">
        <f aca="false">IF(Raw_Export!$A872="","",IF(J872="Duplicate","Duplicate",IF(OR(C872="UNMAPPED",D872="UNMAPPED"),"Unmapped",IF(F872=0,"Blank qty",IF(F872&lt;0,"Return","OK")))))</f>
        <v>OK</v>
      </c>
      <c r="L872" s="36" t="n">
        <f aca="false">IF(Raw_Export!$A872="","",IF(OR(K872="OK",K872="Return"),1,0))</f>
        <v>1</v>
      </c>
      <c r="M872" s="37" t="n">
        <f aca="false">IF(Raw_Export!$A872="","",B872-WEEKDAY(B872,2)+1)</f>
        <v>46265</v>
      </c>
    </row>
    <row r="873" customFormat="false" ht="15" hidden="false" customHeight="false" outlineLevel="0" collapsed="false">
      <c r="A873" s="36" t="str">
        <f aca="false">IF(Raw_Export!$A873="","",TRIM(Raw_Export!A873))</f>
        <v>TXN-100856</v>
      </c>
      <c r="B873" s="37" t="n">
        <f aca="false">IF(Raw_Export!$A873="","",IF(ISNUMBER(Raw_Export!B873),Raw_Export!B873,IF(MID(TRIM(Raw_Export!B873),5,1)="-",DATE(LEFT(TRIM(Raw_Export!B873),4),MID(TRIM(Raw_Export!B873),6,2),RIGHT(TRIM(Raw_Export!B873),2)),DATE(RIGHT(TRIM(Raw_Export!B873),4),MATCH(MID(TRIM(Raw_Export!B873),4,3),{"Jan","Feb","Mar","Apr","May","Jun","Jul","Aug","Sep","Oct","Nov","Dec"},0),LEFT(TRIM(Raw_Export!B873),2)))))</f>
        <v>46270</v>
      </c>
      <c r="C873" s="36" t="str">
        <f aca="false">IF(Raw_Export!$A873="","",IFERROR(VLOOKUP(LOWER(TRIM(Raw_Export!C873)),Maps!$A$2:$B$20,2,FALSE()),"UNMAPPED"))</f>
        <v>Kisumu</v>
      </c>
      <c r="D873" s="36" t="str">
        <f aca="false">IF(Raw_Export!$A873="","",IFERROR(VLOOKUP(LOWER(TRIM(Raw_Export!D873)),Maps!$G$2:$I$80,2,FALSE()),"UNMAPPED"))</f>
        <v>Bread Loaf 400g</v>
      </c>
      <c r="E873" s="36" t="str">
        <f aca="false">IF(Raw_Export!$A873="","",IFERROR(VLOOKUP(LOWER(TRIM(Raw_Export!D873)),Maps!$G$2:$I$80,3,FALSE()),"UNMAPPED"))</f>
        <v>Snacks</v>
      </c>
      <c r="F873" s="36" t="n">
        <f aca="false">IF(Raw_Export!$A873="","",IFERROR(VALUE(TRIM(Raw_Export!E873)),0))</f>
        <v>4</v>
      </c>
      <c r="G873" s="38" t="n">
        <f aca="false">IF(Raw_Export!$A873="","",IFERROR(VALUE(SUBSTITUTE(SUBSTITUTE(UPPER(TRIM(Raw_Export!F873)),"KES",""),",","")),0))</f>
        <v>65</v>
      </c>
      <c r="H873" s="38" t="n">
        <f aca="false">IF(Raw_Export!$A873="","",F873*G873)</f>
        <v>260</v>
      </c>
      <c r="I873" s="36" t="str">
        <f aca="false">IF(Raw_Export!$A873="","",IFERROR(VLOOKUP(LOWER(TRIM(Raw_Export!H873)),Maps!$D$2:$E$12,2,FALSE()),"Other"))</f>
        <v>Cash</v>
      </c>
      <c r="J873" s="36" t="str">
        <f aca="false">IF(Raw_Export!$A873="","",IF(COUNTIF($A$2:A873,A873)&gt;1,"Duplicate",""))</f>
        <v/>
      </c>
      <c r="K873" s="36" t="str">
        <f aca="false">IF(Raw_Export!$A873="","",IF(J873="Duplicate","Duplicate",IF(OR(C873="UNMAPPED",D873="UNMAPPED"),"Unmapped",IF(F873=0,"Blank qty",IF(F873&lt;0,"Return","OK")))))</f>
        <v>OK</v>
      </c>
      <c r="L873" s="36" t="n">
        <f aca="false">IF(Raw_Export!$A873="","",IF(OR(K873="OK",K873="Return"),1,0))</f>
        <v>1</v>
      </c>
      <c r="M873" s="37" t="n">
        <f aca="false">IF(Raw_Export!$A873="","",B873-WEEKDAY(B873,2)+1)</f>
        <v>46265</v>
      </c>
    </row>
    <row r="874" customFormat="false" ht="15" hidden="false" customHeight="false" outlineLevel="0" collapsed="false">
      <c r="A874" s="36" t="str">
        <f aca="false">IF(Raw_Export!$A874="","",TRIM(Raw_Export!A874))</f>
        <v>TXN-100857</v>
      </c>
      <c r="B874" s="37" t="n">
        <f aca="false">IF(Raw_Export!$A874="","",IF(ISNUMBER(Raw_Export!B874),Raw_Export!B874,IF(MID(TRIM(Raw_Export!B874),5,1)="-",DATE(LEFT(TRIM(Raw_Export!B874),4),MID(TRIM(Raw_Export!B874),6,2),RIGHT(TRIM(Raw_Export!B874),2)),DATE(RIGHT(TRIM(Raw_Export!B874),4),MATCH(MID(TRIM(Raw_Export!B874),4,3),{"Jan","Feb","Mar","Apr","May","Jun","Jul","Aug","Sep","Oct","Nov","Dec"},0),LEFT(TRIM(Raw_Export!B874),2)))))</f>
        <v>46270</v>
      </c>
      <c r="C874" s="36" t="str">
        <f aca="false">IF(Raw_Export!$A874="","",IFERROR(VLOOKUP(LOWER(TRIM(Raw_Export!C874)),Maps!$A$2:$B$20,2,FALSE()),"UNMAPPED"))</f>
        <v>Kisumu</v>
      </c>
      <c r="D874" s="36" t="str">
        <f aca="false">IF(Raw_Export!$A874="","",IFERROR(VLOOKUP(LOWER(TRIM(Raw_Export!D874)),Maps!$G$2:$I$80,2,FALSE()),"UNMAPPED"))</f>
        <v>Bread Loaf 400g</v>
      </c>
      <c r="E874" s="36" t="str">
        <f aca="false">IF(Raw_Export!$A874="","",IFERROR(VLOOKUP(LOWER(TRIM(Raw_Export!D874)),Maps!$G$2:$I$80,3,FALSE()),"UNMAPPED"))</f>
        <v>Snacks</v>
      </c>
      <c r="F874" s="36" t="n">
        <f aca="false">IF(Raw_Export!$A874="","",IFERROR(VALUE(TRIM(Raw_Export!E874)),0))</f>
        <v>2</v>
      </c>
      <c r="G874" s="38" t="n">
        <f aca="false">IF(Raw_Export!$A874="","",IFERROR(VALUE(SUBSTITUTE(SUBSTITUTE(UPPER(TRIM(Raw_Export!F874)),"KES",""),",","")),0))</f>
        <v>65</v>
      </c>
      <c r="H874" s="38" t="n">
        <f aca="false">IF(Raw_Export!$A874="","",F874*G874)</f>
        <v>130</v>
      </c>
      <c r="I874" s="36" t="str">
        <f aca="false">IF(Raw_Export!$A874="","",IFERROR(VLOOKUP(LOWER(TRIM(Raw_Export!H874)),Maps!$D$2:$E$12,2,FALSE()),"Other"))</f>
        <v>Cash</v>
      </c>
      <c r="J874" s="36" t="str">
        <f aca="false">IF(Raw_Export!$A874="","",IF(COUNTIF($A$2:A874,A874)&gt;1,"Duplicate",""))</f>
        <v/>
      </c>
      <c r="K874" s="36" t="str">
        <f aca="false">IF(Raw_Export!$A874="","",IF(J874="Duplicate","Duplicate",IF(OR(C874="UNMAPPED",D874="UNMAPPED"),"Unmapped",IF(F874=0,"Blank qty",IF(F874&lt;0,"Return","OK")))))</f>
        <v>OK</v>
      </c>
      <c r="L874" s="36" t="n">
        <f aca="false">IF(Raw_Export!$A874="","",IF(OR(K874="OK",K874="Return"),1,0))</f>
        <v>1</v>
      </c>
      <c r="M874" s="37" t="n">
        <f aca="false">IF(Raw_Export!$A874="","",B874-WEEKDAY(B874,2)+1)</f>
        <v>46265</v>
      </c>
    </row>
    <row r="875" customFormat="false" ht="15" hidden="false" customHeight="false" outlineLevel="0" collapsed="false">
      <c r="A875" s="36" t="str">
        <f aca="false">IF(Raw_Export!$A875="","",TRIM(Raw_Export!A875))</f>
        <v>TXN-100858</v>
      </c>
      <c r="B875" s="37" t="n">
        <f aca="false">IF(Raw_Export!$A875="","",IF(ISNUMBER(Raw_Export!B875),Raw_Export!B875,IF(MID(TRIM(Raw_Export!B875),5,1)="-",DATE(LEFT(TRIM(Raw_Export!B875),4),MID(TRIM(Raw_Export!B875),6,2),RIGHT(TRIM(Raw_Export!B875),2)),DATE(RIGHT(TRIM(Raw_Export!B875),4),MATCH(MID(TRIM(Raw_Export!B875),4,3),{"Jan","Feb","Mar","Apr","May","Jun","Jul","Aug","Sep","Oct","Nov","Dec"},0),LEFT(TRIM(Raw_Export!B875),2)))))</f>
        <v>46270</v>
      </c>
      <c r="C875" s="36" t="str">
        <f aca="false">IF(Raw_Export!$A875="","",IFERROR(VLOOKUP(LOWER(TRIM(Raw_Export!C875)),Maps!$A$2:$B$20,2,FALSE()),"UNMAPPED"))</f>
        <v>Kisumu</v>
      </c>
      <c r="D875" s="36" t="str">
        <f aca="false">IF(Raw_Export!$A875="","",IFERROR(VLOOKUP(LOWER(TRIM(Raw_Export!D875)),Maps!$G$2:$I$80,2,FALSE()),"UNMAPPED"))</f>
        <v>Yoghurt 500ml</v>
      </c>
      <c r="E875" s="36" t="str">
        <f aca="false">IF(Raw_Export!$A875="","",IFERROR(VLOOKUP(LOWER(TRIM(Raw_Export!D875)),Maps!$G$2:$I$80,3,FALSE()),"UNMAPPED"))</f>
        <v>Dairy &amp; Eggs</v>
      </c>
      <c r="F875" s="36" t="n">
        <f aca="false">IF(Raw_Export!$A875="","",IFERROR(VALUE(TRIM(Raw_Export!E875)),0))</f>
        <v>2</v>
      </c>
      <c r="G875" s="38" t="n">
        <f aca="false">IF(Raw_Export!$A875="","",IFERROR(VALUE(SUBSTITUTE(SUBSTITUTE(UPPER(TRIM(Raw_Export!F875)),"KES",""),",","")),0))</f>
        <v>120</v>
      </c>
      <c r="H875" s="38" t="n">
        <f aca="false">IF(Raw_Export!$A875="","",F875*G875)</f>
        <v>240</v>
      </c>
      <c r="I875" s="36" t="str">
        <f aca="false">IF(Raw_Export!$A875="","",IFERROR(VLOOKUP(LOWER(TRIM(Raw_Export!H875)),Maps!$D$2:$E$12,2,FALSE()),"Other"))</f>
        <v>Card</v>
      </c>
      <c r="J875" s="36" t="str">
        <f aca="false">IF(Raw_Export!$A875="","",IF(COUNTIF($A$2:A875,A875)&gt;1,"Duplicate",""))</f>
        <v/>
      </c>
      <c r="K875" s="36" t="str">
        <f aca="false">IF(Raw_Export!$A875="","",IF(J875="Duplicate","Duplicate",IF(OR(C875="UNMAPPED",D875="UNMAPPED"),"Unmapped",IF(F875=0,"Blank qty",IF(F875&lt;0,"Return","OK")))))</f>
        <v>OK</v>
      </c>
      <c r="L875" s="36" t="n">
        <f aca="false">IF(Raw_Export!$A875="","",IF(OR(K875="OK",K875="Return"),1,0))</f>
        <v>1</v>
      </c>
      <c r="M875" s="37" t="n">
        <f aca="false">IF(Raw_Export!$A875="","",B875-WEEKDAY(B875,2)+1)</f>
        <v>46265</v>
      </c>
    </row>
    <row r="876" customFormat="false" ht="15" hidden="false" customHeight="false" outlineLevel="0" collapsed="false">
      <c r="A876" s="36" t="str">
        <f aca="false">IF(Raw_Export!$A876="","",TRIM(Raw_Export!A876))</f>
        <v>TXN-100859</v>
      </c>
      <c r="B876" s="37" t="n">
        <f aca="false">IF(Raw_Export!$A876="","",IF(ISNUMBER(Raw_Export!B876),Raw_Export!B876,IF(MID(TRIM(Raw_Export!B876),5,1)="-",DATE(LEFT(TRIM(Raw_Export!B876),4),MID(TRIM(Raw_Export!B876),6,2),RIGHT(TRIM(Raw_Export!B876),2)),DATE(RIGHT(TRIM(Raw_Export!B876),4),MATCH(MID(TRIM(Raw_Export!B876),4,3),{"Jan","Feb","Mar","Apr","May","Jun","Jul","Aug","Sep","Oct","Nov","Dec"},0),LEFT(TRIM(Raw_Export!B876),2)))))</f>
        <v>46270</v>
      </c>
      <c r="C876" s="36" t="str">
        <f aca="false">IF(Raw_Export!$A876="","",IFERROR(VLOOKUP(LOWER(TRIM(Raw_Export!C876)),Maps!$A$2:$B$20,2,FALSE()),"UNMAPPED"))</f>
        <v>Kisumu</v>
      </c>
      <c r="D876" s="36" t="str">
        <f aca="false">IF(Raw_Export!$A876="","",IFERROR(VLOOKUP(LOWER(TRIM(Raw_Export!D876)),Maps!$G$2:$I$80,2,FALSE()),"UNMAPPED"))</f>
        <v>Cooking Oil 1L</v>
      </c>
      <c r="E876" s="36" t="str">
        <f aca="false">IF(Raw_Export!$A876="","",IFERROR(VLOOKUP(LOWER(TRIM(Raw_Export!D876)),Maps!$G$2:$I$80,3,FALSE()),"UNMAPPED"))</f>
        <v>Staples</v>
      </c>
      <c r="F876" s="36" t="n">
        <f aca="false">IF(Raw_Export!$A876="","",IFERROR(VALUE(TRIM(Raw_Export!E876)),0))</f>
        <v>1</v>
      </c>
      <c r="G876" s="38" t="n">
        <f aca="false">IF(Raw_Export!$A876="","",IFERROR(VALUE(SUBSTITUTE(SUBSTITUTE(UPPER(TRIM(Raw_Export!F876)),"KES",""),",","")),0))</f>
        <v>330</v>
      </c>
      <c r="H876" s="38" t="n">
        <f aca="false">IF(Raw_Export!$A876="","",F876*G876)</f>
        <v>330</v>
      </c>
      <c r="I876" s="36" t="str">
        <f aca="false">IF(Raw_Export!$A876="","",IFERROR(VLOOKUP(LOWER(TRIM(Raw_Export!H876)),Maps!$D$2:$E$12,2,FALSE()),"Other"))</f>
        <v>Cash</v>
      </c>
      <c r="J876" s="36" t="str">
        <f aca="false">IF(Raw_Export!$A876="","",IF(COUNTIF($A$2:A876,A876)&gt;1,"Duplicate",""))</f>
        <v/>
      </c>
      <c r="K876" s="36" t="str">
        <f aca="false">IF(Raw_Export!$A876="","",IF(J876="Duplicate","Duplicate",IF(OR(C876="UNMAPPED",D876="UNMAPPED"),"Unmapped",IF(F876=0,"Blank qty",IF(F876&lt;0,"Return","OK")))))</f>
        <v>OK</v>
      </c>
      <c r="L876" s="36" t="n">
        <f aca="false">IF(Raw_Export!$A876="","",IF(OR(K876="OK",K876="Return"),1,0))</f>
        <v>1</v>
      </c>
      <c r="M876" s="37" t="n">
        <f aca="false">IF(Raw_Export!$A876="","",B876-WEEKDAY(B876,2)+1)</f>
        <v>46265</v>
      </c>
    </row>
    <row r="877" customFormat="false" ht="15" hidden="false" customHeight="false" outlineLevel="0" collapsed="false">
      <c r="A877" s="36" t="str">
        <f aca="false">IF(Raw_Export!$A877="","",TRIM(Raw_Export!A877))</f>
        <v>TXN-100860</v>
      </c>
      <c r="B877" s="37" t="n">
        <f aca="false">IF(Raw_Export!$A877="","",IF(ISNUMBER(Raw_Export!B877),Raw_Export!B877,IF(MID(TRIM(Raw_Export!B877),5,1)="-",DATE(LEFT(TRIM(Raw_Export!B877),4),MID(TRIM(Raw_Export!B877),6,2),RIGHT(TRIM(Raw_Export!B877),2)),DATE(RIGHT(TRIM(Raw_Export!B877),4),MATCH(MID(TRIM(Raw_Export!B877),4,3),{"Jan","Feb","Mar","Apr","May","Jun","Jul","Aug","Sep","Oct","Nov","Dec"},0),LEFT(TRIM(Raw_Export!B877),2)))))</f>
        <v>46270</v>
      </c>
      <c r="C877" s="36" t="str">
        <f aca="false">IF(Raw_Export!$A877="","",IFERROR(VLOOKUP(LOWER(TRIM(Raw_Export!C877)),Maps!$A$2:$B$20,2,FALSE()),"UNMAPPED"))</f>
        <v>Kisumu</v>
      </c>
      <c r="D877" s="36" t="str">
        <f aca="false">IF(Raw_Export!$A877="","",IFERROR(VLOOKUP(LOWER(TRIM(Raw_Export!D877)),Maps!$G$2:$I$80,2,FALSE()),"UNMAPPED"))</f>
        <v>Unga Pembe 2kg</v>
      </c>
      <c r="E877" s="36" t="str">
        <f aca="false">IF(Raw_Export!$A877="","",IFERROR(VLOOKUP(LOWER(TRIM(Raw_Export!D877)),Maps!$G$2:$I$80,3,FALSE()),"UNMAPPED"))</f>
        <v>Staples</v>
      </c>
      <c r="F877" s="36" t="n">
        <f aca="false">IF(Raw_Export!$A877="","",IFERROR(VALUE(TRIM(Raw_Export!E877)),0))</f>
        <v>1</v>
      </c>
      <c r="G877" s="38" t="n">
        <f aca="false">IF(Raw_Export!$A877="","",IFERROR(VALUE(SUBSTITUTE(SUBSTITUTE(UPPER(TRIM(Raw_Export!F877)),"KES",""),",","")),0))</f>
        <v>190</v>
      </c>
      <c r="H877" s="38" t="n">
        <f aca="false">IF(Raw_Export!$A877="","",F877*G877)</f>
        <v>190</v>
      </c>
      <c r="I877" s="36" t="str">
        <f aca="false">IF(Raw_Export!$A877="","",IFERROR(VLOOKUP(LOWER(TRIM(Raw_Export!H877)),Maps!$D$2:$E$12,2,FALSE()),"Other"))</f>
        <v>M-Pesa</v>
      </c>
      <c r="J877" s="36" t="str">
        <f aca="false">IF(Raw_Export!$A877="","",IF(COUNTIF($A$2:A877,A877)&gt;1,"Duplicate",""))</f>
        <v/>
      </c>
      <c r="K877" s="36" t="str">
        <f aca="false">IF(Raw_Export!$A877="","",IF(J877="Duplicate","Duplicate",IF(OR(C877="UNMAPPED",D877="UNMAPPED"),"Unmapped",IF(F877=0,"Blank qty",IF(F877&lt;0,"Return","OK")))))</f>
        <v>OK</v>
      </c>
      <c r="L877" s="36" t="n">
        <f aca="false">IF(Raw_Export!$A877="","",IF(OR(K877="OK",K877="Return"),1,0))</f>
        <v>1</v>
      </c>
      <c r="M877" s="37" t="n">
        <f aca="false">IF(Raw_Export!$A877="","",B877-WEEKDAY(B877,2)+1)</f>
        <v>46265</v>
      </c>
    </row>
    <row r="878" customFormat="false" ht="15" hidden="false" customHeight="false" outlineLevel="0" collapsed="false">
      <c r="A878" s="36" t="str">
        <f aca="false">IF(Raw_Export!$A878="","",TRIM(Raw_Export!A878))</f>
        <v>TXN-100861</v>
      </c>
      <c r="B878" s="37" t="n">
        <f aca="false">IF(Raw_Export!$A878="","",IF(ISNUMBER(Raw_Export!B878),Raw_Export!B878,IF(MID(TRIM(Raw_Export!B878),5,1)="-",DATE(LEFT(TRIM(Raw_Export!B878),4),MID(TRIM(Raw_Export!B878),6,2),RIGHT(TRIM(Raw_Export!B878),2)),DATE(RIGHT(TRIM(Raw_Export!B878),4),MATCH(MID(TRIM(Raw_Export!B878),4,3),{"Jan","Feb","Mar","Apr","May","Jun","Jul","Aug","Sep","Oct","Nov","Dec"},0),LEFT(TRIM(Raw_Export!B878),2)))))</f>
        <v>46270</v>
      </c>
      <c r="C878" s="36" t="str">
        <f aca="false">IF(Raw_Export!$A878="","",IFERROR(VLOOKUP(LOWER(TRIM(Raw_Export!C878)),Maps!$A$2:$B$20,2,FALSE()),"UNMAPPED"))</f>
        <v>Kisumu</v>
      </c>
      <c r="D878" s="36" t="str">
        <f aca="false">IF(Raw_Export!$A878="","",IFERROR(VLOOKUP(LOWER(TRIM(Raw_Export!D878)),Maps!$G$2:$I$80,2,FALSE()),"UNMAPPED"))</f>
        <v>Soda 500ml</v>
      </c>
      <c r="E878" s="36" t="str">
        <f aca="false">IF(Raw_Export!$A878="","",IFERROR(VLOOKUP(LOWER(TRIM(Raw_Export!D878)),Maps!$G$2:$I$80,3,FALSE()),"UNMAPPED"))</f>
        <v>Beverages</v>
      </c>
      <c r="F878" s="36" t="n">
        <f aca="false">IF(Raw_Export!$A878="","",IFERROR(VALUE(TRIM(Raw_Export!E878)),0))</f>
        <v>1</v>
      </c>
      <c r="G878" s="38" t="n">
        <f aca="false">IF(Raw_Export!$A878="","",IFERROR(VALUE(SUBSTITUTE(SUBSTITUTE(UPPER(TRIM(Raw_Export!F878)),"KES",""),",","")),0))</f>
        <v>60</v>
      </c>
      <c r="H878" s="38" t="n">
        <f aca="false">IF(Raw_Export!$A878="","",F878*G878)</f>
        <v>60</v>
      </c>
      <c r="I878" s="36" t="str">
        <f aca="false">IF(Raw_Export!$A878="","",IFERROR(VLOOKUP(LOWER(TRIM(Raw_Export!H878)),Maps!$D$2:$E$12,2,FALSE()),"Other"))</f>
        <v>Cash</v>
      </c>
      <c r="J878" s="36" t="str">
        <f aca="false">IF(Raw_Export!$A878="","",IF(COUNTIF($A$2:A878,A878)&gt;1,"Duplicate",""))</f>
        <v/>
      </c>
      <c r="K878" s="36" t="str">
        <f aca="false">IF(Raw_Export!$A878="","",IF(J878="Duplicate","Duplicate",IF(OR(C878="UNMAPPED",D878="UNMAPPED"),"Unmapped",IF(F878=0,"Blank qty",IF(F878&lt;0,"Return","OK")))))</f>
        <v>OK</v>
      </c>
      <c r="L878" s="36" t="n">
        <f aca="false">IF(Raw_Export!$A878="","",IF(OR(K878="OK",K878="Return"),1,0))</f>
        <v>1</v>
      </c>
      <c r="M878" s="37" t="n">
        <f aca="false">IF(Raw_Export!$A878="","",B878-WEEKDAY(B878,2)+1)</f>
        <v>46265</v>
      </c>
    </row>
    <row r="879" customFormat="false" ht="15" hidden="false" customHeight="false" outlineLevel="0" collapsed="false">
      <c r="A879" s="36" t="str">
        <f aca="false">IF(Raw_Export!$A879="","",TRIM(Raw_Export!A879))</f>
        <v>TXN-100862</v>
      </c>
      <c r="B879" s="37" t="n">
        <f aca="false">IF(Raw_Export!$A879="","",IF(ISNUMBER(Raw_Export!B879),Raw_Export!B879,IF(MID(TRIM(Raw_Export!B879),5,1)="-",DATE(LEFT(TRIM(Raw_Export!B879),4),MID(TRIM(Raw_Export!B879),6,2),RIGHT(TRIM(Raw_Export!B879),2)),DATE(RIGHT(TRIM(Raw_Export!B879),4),MATCH(MID(TRIM(Raw_Export!B879),4,3),{"Jan","Feb","Mar","Apr","May","Jun","Jul","Aug","Sep","Oct","Nov","Dec"},0),LEFT(TRIM(Raw_Export!B879),2)))))</f>
        <v>46270</v>
      </c>
      <c r="C879" s="36" t="str">
        <f aca="false">IF(Raw_Export!$A879="","",IFERROR(VLOOKUP(LOWER(TRIM(Raw_Export!C879)),Maps!$A$2:$B$20,2,FALSE()),"UNMAPPED"))</f>
        <v>Kisumu</v>
      </c>
      <c r="D879" s="36" t="str">
        <f aca="false">IF(Raw_Export!$A879="","",IFERROR(VLOOKUP(LOWER(TRIM(Raw_Export!D879)),Maps!$G$2:$I$80,2,FALSE()),"UNMAPPED"))</f>
        <v>Toothpaste 100g</v>
      </c>
      <c r="E879" s="36" t="str">
        <f aca="false">IF(Raw_Export!$A879="","",IFERROR(VLOOKUP(LOWER(TRIM(Raw_Export!D879)),Maps!$G$2:$I$80,3,FALSE()),"UNMAPPED"))</f>
        <v>Personal Care</v>
      </c>
      <c r="F879" s="36" t="n">
        <f aca="false">IF(Raw_Export!$A879="","",IFERROR(VALUE(TRIM(Raw_Export!E879)),0))</f>
        <v>4</v>
      </c>
      <c r="G879" s="38" t="n">
        <f aca="false">IF(Raw_Export!$A879="","",IFERROR(VALUE(SUBSTITUTE(SUBSTITUTE(UPPER(TRIM(Raw_Export!F879)),"KES",""),",","")),0))</f>
        <v>176</v>
      </c>
      <c r="H879" s="38" t="n">
        <f aca="false">IF(Raw_Export!$A879="","",F879*G879)</f>
        <v>704</v>
      </c>
      <c r="I879" s="36" t="str">
        <f aca="false">IF(Raw_Export!$A879="","",IFERROR(VLOOKUP(LOWER(TRIM(Raw_Export!H879)),Maps!$D$2:$E$12,2,FALSE()),"Other"))</f>
        <v>M-Pesa</v>
      </c>
      <c r="J879" s="36" t="str">
        <f aca="false">IF(Raw_Export!$A879="","",IF(COUNTIF($A$2:A879,A879)&gt;1,"Duplicate",""))</f>
        <v/>
      </c>
      <c r="K879" s="36" t="str">
        <f aca="false">IF(Raw_Export!$A879="","",IF(J879="Duplicate","Duplicate",IF(OR(C879="UNMAPPED",D879="UNMAPPED"),"Unmapped",IF(F879=0,"Blank qty",IF(F879&lt;0,"Return","OK")))))</f>
        <v>OK</v>
      </c>
      <c r="L879" s="36" t="n">
        <f aca="false">IF(Raw_Export!$A879="","",IF(OR(K879="OK",K879="Return"),1,0))</f>
        <v>1</v>
      </c>
      <c r="M879" s="37" t="n">
        <f aca="false">IF(Raw_Export!$A879="","",B879-WEEKDAY(B879,2)+1)</f>
        <v>46265</v>
      </c>
    </row>
    <row r="880" customFormat="false" ht="15" hidden="false" customHeight="false" outlineLevel="0" collapsed="false">
      <c r="A880" s="36" t="str">
        <f aca="false">IF(Raw_Export!$A880="","",TRIM(Raw_Export!A880))</f>
        <v>TXN-100863</v>
      </c>
      <c r="B880" s="37" t="n">
        <f aca="false">IF(Raw_Export!$A880="","",IF(ISNUMBER(Raw_Export!B880),Raw_Export!B880,IF(MID(TRIM(Raw_Export!B880),5,1)="-",DATE(LEFT(TRIM(Raw_Export!B880),4),MID(TRIM(Raw_Export!B880),6,2),RIGHT(TRIM(Raw_Export!B880),2)),DATE(RIGHT(TRIM(Raw_Export!B880),4),MATCH(MID(TRIM(Raw_Export!B880),4,3),{"Jan","Feb","Mar","Apr","May","Jun","Jul","Aug","Sep","Oct","Nov","Dec"},0),LEFT(TRIM(Raw_Export!B880),2)))))</f>
        <v>46270</v>
      </c>
      <c r="C880" s="36" t="str">
        <f aca="false">IF(Raw_Export!$A880="","",IFERROR(VLOOKUP(LOWER(TRIM(Raw_Export!C880)),Maps!$A$2:$B$20,2,FALSE()),"UNMAPPED"))</f>
        <v>Kisumu</v>
      </c>
      <c r="D880" s="36" t="str">
        <f aca="false">IF(Raw_Export!$A880="","",IFERROR(VLOOKUP(LOWER(TRIM(Raw_Export!D880)),Maps!$G$2:$I$80,2,FALSE()),"UNMAPPED"))</f>
        <v>Eggs Tray 30</v>
      </c>
      <c r="E880" s="36" t="str">
        <f aca="false">IF(Raw_Export!$A880="","",IFERROR(VLOOKUP(LOWER(TRIM(Raw_Export!D880)),Maps!$G$2:$I$80,3,FALSE()),"UNMAPPED"))</f>
        <v>Dairy &amp; Eggs</v>
      </c>
      <c r="F880" s="36" t="n">
        <f aca="false">IF(Raw_Export!$A880="","",IFERROR(VALUE(TRIM(Raw_Export!E880)),0))</f>
        <v>1</v>
      </c>
      <c r="G880" s="38" t="n">
        <f aca="false">IF(Raw_Export!$A880="","",IFERROR(VALUE(SUBSTITUTE(SUBSTITUTE(UPPER(TRIM(Raw_Export!F880)),"KES",""),",","")),0))</f>
        <v>450</v>
      </c>
      <c r="H880" s="38" t="n">
        <f aca="false">IF(Raw_Export!$A880="","",F880*G880)</f>
        <v>450</v>
      </c>
      <c r="I880" s="36" t="str">
        <f aca="false">IF(Raw_Export!$A880="","",IFERROR(VLOOKUP(LOWER(TRIM(Raw_Export!H880)),Maps!$D$2:$E$12,2,FALSE()),"Other"))</f>
        <v>Cash</v>
      </c>
      <c r="J880" s="36" t="str">
        <f aca="false">IF(Raw_Export!$A880="","",IF(COUNTIF($A$2:A880,A880)&gt;1,"Duplicate",""))</f>
        <v/>
      </c>
      <c r="K880" s="36" t="str">
        <f aca="false">IF(Raw_Export!$A880="","",IF(J880="Duplicate","Duplicate",IF(OR(C880="UNMAPPED",D880="UNMAPPED"),"Unmapped",IF(F880=0,"Blank qty",IF(F880&lt;0,"Return","OK")))))</f>
        <v>OK</v>
      </c>
      <c r="L880" s="36" t="n">
        <f aca="false">IF(Raw_Export!$A880="","",IF(OR(K880="OK",K880="Return"),1,0))</f>
        <v>1</v>
      </c>
      <c r="M880" s="37" t="n">
        <f aca="false">IF(Raw_Export!$A880="","",B880-WEEKDAY(B880,2)+1)</f>
        <v>46265</v>
      </c>
    </row>
    <row r="881" customFormat="false" ht="15" hidden="false" customHeight="false" outlineLevel="0" collapsed="false">
      <c r="A881" s="36" t="str">
        <f aca="false">IF(Raw_Export!$A881="","",TRIM(Raw_Export!A881))</f>
        <v>TXN-100864</v>
      </c>
      <c r="B881" s="37" t="n">
        <f aca="false">IF(Raw_Export!$A881="","",IF(ISNUMBER(Raw_Export!B881),Raw_Export!B881,IF(MID(TRIM(Raw_Export!B881),5,1)="-",DATE(LEFT(TRIM(Raw_Export!B881),4),MID(TRIM(Raw_Export!B881),6,2),RIGHT(TRIM(Raw_Export!B881),2)),DATE(RIGHT(TRIM(Raw_Export!B881),4),MATCH(MID(TRIM(Raw_Export!B881),4,3),{"Jan","Feb","Mar","Apr","May","Jun","Jul","Aug","Sep","Oct","Nov","Dec"},0),LEFT(TRIM(Raw_Export!B881),2)))))</f>
        <v>46270</v>
      </c>
      <c r="C881" s="36" t="str">
        <f aca="false">IF(Raw_Export!$A881="","",IFERROR(VLOOKUP(LOWER(TRIM(Raw_Export!C881)),Maps!$A$2:$B$20,2,FALSE()),"UNMAPPED"))</f>
        <v>Kisumu</v>
      </c>
      <c r="D881" s="36" t="str">
        <f aca="false">IF(Raw_Export!$A881="","",IFERROR(VLOOKUP(LOWER(TRIM(Raw_Export!D881)),Maps!$G$2:$I$80,2,FALSE()),"UNMAPPED"))</f>
        <v>Bleach 1L</v>
      </c>
      <c r="E881" s="36" t="str">
        <f aca="false">IF(Raw_Export!$A881="","",IFERROR(VLOOKUP(LOWER(TRIM(Raw_Export!D881)),Maps!$G$2:$I$80,3,FALSE()),"UNMAPPED"))</f>
        <v>Household</v>
      </c>
      <c r="F881" s="36" t="n">
        <f aca="false">IF(Raw_Export!$A881="","",IFERROR(VALUE(TRIM(Raw_Export!E881)),0))</f>
        <v>2</v>
      </c>
      <c r="G881" s="38" t="n">
        <f aca="false">IF(Raw_Export!$A881="","",IFERROR(VALUE(SUBSTITUTE(SUBSTITUTE(UPPER(TRIM(Raw_Export!F881)),"KES",""),",","")),0))</f>
        <v>160</v>
      </c>
      <c r="H881" s="38" t="n">
        <f aca="false">IF(Raw_Export!$A881="","",F881*G881)</f>
        <v>320</v>
      </c>
      <c r="I881" s="36" t="str">
        <f aca="false">IF(Raw_Export!$A881="","",IFERROR(VLOOKUP(LOWER(TRIM(Raw_Export!H881)),Maps!$D$2:$E$12,2,FALSE()),"Other"))</f>
        <v>M-Pesa</v>
      </c>
      <c r="J881" s="36" t="str">
        <f aca="false">IF(Raw_Export!$A881="","",IF(COUNTIF($A$2:A881,A881)&gt;1,"Duplicate",""))</f>
        <v/>
      </c>
      <c r="K881" s="36" t="str">
        <f aca="false">IF(Raw_Export!$A881="","",IF(J881="Duplicate","Duplicate",IF(OR(C881="UNMAPPED",D881="UNMAPPED"),"Unmapped",IF(F881=0,"Blank qty",IF(F881&lt;0,"Return","OK")))))</f>
        <v>OK</v>
      </c>
      <c r="L881" s="36" t="n">
        <f aca="false">IF(Raw_Export!$A881="","",IF(OR(K881="OK",K881="Return"),1,0))</f>
        <v>1</v>
      </c>
      <c r="M881" s="37" t="n">
        <f aca="false">IF(Raw_Export!$A881="","",B881-WEEKDAY(B881,2)+1)</f>
        <v>46265</v>
      </c>
    </row>
    <row r="882" customFormat="false" ht="15" hidden="false" customHeight="false" outlineLevel="0" collapsed="false">
      <c r="A882" s="36" t="str">
        <f aca="false">IF(Raw_Export!$A882="","",TRIM(Raw_Export!A882))</f>
        <v>TXN-101567</v>
      </c>
      <c r="B882" s="37" t="n">
        <f aca="false">IF(Raw_Export!$A882="","",IF(ISNUMBER(Raw_Export!B882),Raw_Export!B882,IF(MID(TRIM(Raw_Export!B882),5,1)="-",DATE(LEFT(TRIM(Raw_Export!B882),4),MID(TRIM(Raw_Export!B882),6,2),RIGHT(TRIM(Raw_Export!B882),2)),DATE(RIGHT(TRIM(Raw_Export!B882),4),MATCH(MID(TRIM(Raw_Export!B882),4,3),{"Jan","Feb","Mar","Apr","May","Jun","Jul","Aug","Sep","Oct","Nov","Dec"},0),LEFT(TRIM(Raw_Export!B882),2)))))</f>
        <v>46275</v>
      </c>
      <c r="C882" s="36" t="str">
        <f aca="false">IF(Raw_Export!$A882="","",IFERROR(VLOOKUP(LOWER(TRIM(Raw_Export!C882)),Maps!$A$2:$B$20,2,FALSE()),"UNMAPPED"))</f>
        <v>Kisumu</v>
      </c>
      <c r="D882" s="36" t="str">
        <f aca="false">IF(Raw_Export!$A882="","",IFERROR(VLOOKUP(LOWER(TRIM(Raw_Export!D882)),Maps!$G$2:$I$80,2,FALSE()),"UNMAPPED"))</f>
        <v>Fresh Milk 500ml</v>
      </c>
      <c r="E882" s="36" t="str">
        <f aca="false">IF(Raw_Export!$A882="","",IFERROR(VLOOKUP(LOWER(TRIM(Raw_Export!D882)),Maps!$G$2:$I$80,3,FALSE()),"UNMAPPED"))</f>
        <v>Dairy &amp; Eggs</v>
      </c>
      <c r="F882" s="36" t="n">
        <f aca="false">IF(Raw_Export!$A882="","",IFERROR(VALUE(TRIM(Raw_Export!E882)),0))</f>
        <v>2</v>
      </c>
      <c r="G882" s="38" t="n">
        <f aca="false">IF(Raw_Export!$A882="","",IFERROR(VALUE(SUBSTITUTE(SUBSTITUTE(UPPER(TRIM(Raw_Export!F882)),"KES",""),",","")),0))</f>
        <v>65</v>
      </c>
      <c r="H882" s="38" t="n">
        <f aca="false">IF(Raw_Export!$A882="","",F882*G882)</f>
        <v>130</v>
      </c>
      <c r="I882" s="36" t="str">
        <f aca="false">IF(Raw_Export!$A882="","",IFERROR(VLOOKUP(LOWER(TRIM(Raw_Export!H882)),Maps!$D$2:$E$12,2,FALSE()),"Other"))</f>
        <v>M-Pesa</v>
      </c>
      <c r="J882" s="36" t="str">
        <f aca="false">IF(Raw_Export!$A882="","",IF(COUNTIF($A$2:A882,A882)&gt;1,"Duplicate",""))</f>
        <v/>
      </c>
      <c r="K882" s="36" t="str">
        <f aca="false">IF(Raw_Export!$A882="","",IF(J882="Duplicate","Duplicate",IF(OR(C882="UNMAPPED",D882="UNMAPPED"),"Unmapped",IF(F882=0,"Blank qty",IF(F882&lt;0,"Return","OK")))))</f>
        <v>OK</v>
      </c>
      <c r="L882" s="36" t="n">
        <f aca="false">IF(Raw_Export!$A882="","",IF(OR(K882="OK",K882="Return"),1,0))</f>
        <v>1</v>
      </c>
      <c r="M882" s="37" t="n">
        <f aca="false">IF(Raw_Export!$A882="","",B882-WEEKDAY(B882,2)+1)</f>
        <v>46272</v>
      </c>
    </row>
    <row r="883" customFormat="false" ht="15" hidden="false" customHeight="false" outlineLevel="0" collapsed="false">
      <c r="A883" s="36" t="str">
        <f aca="false">IF(Raw_Export!$A883="","",TRIM(Raw_Export!A883))</f>
        <v>TXN-100865</v>
      </c>
      <c r="B883" s="37" t="n">
        <f aca="false">IF(Raw_Export!$A883="","",IF(ISNUMBER(Raw_Export!B883),Raw_Export!B883,IF(MID(TRIM(Raw_Export!B883),5,1)="-",DATE(LEFT(TRIM(Raw_Export!B883),4),MID(TRIM(Raw_Export!B883),6,2),RIGHT(TRIM(Raw_Export!B883),2)),DATE(RIGHT(TRIM(Raw_Export!B883),4),MATCH(MID(TRIM(Raw_Export!B883),4,3),{"Jan","Feb","Mar","Apr","May","Jun","Jul","Aug","Sep","Oct","Nov","Dec"},0),LEFT(TRIM(Raw_Export!B883),2)))))</f>
        <v>46270</v>
      </c>
      <c r="C883" s="36" t="str">
        <f aca="false">IF(Raw_Export!$A883="","",IFERROR(VLOOKUP(LOWER(TRIM(Raw_Export!C883)),Maps!$A$2:$B$20,2,FALSE()),"UNMAPPED"))</f>
        <v>Kisumu</v>
      </c>
      <c r="D883" s="36" t="str">
        <f aca="false">IF(Raw_Export!$A883="","",IFERROR(VLOOKUP(LOWER(TRIM(Raw_Export!D883)),Maps!$G$2:$I$80,2,FALSE()),"UNMAPPED"))</f>
        <v>Deodorant 150ml</v>
      </c>
      <c r="E883" s="36" t="str">
        <f aca="false">IF(Raw_Export!$A883="","",IFERROR(VLOOKUP(LOWER(TRIM(Raw_Export!D883)),Maps!$G$2:$I$80,3,FALSE()),"UNMAPPED"))</f>
        <v>Personal Care</v>
      </c>
      <c r="F883" s="36" t="n">
        <f aca="false">IF(Raw_Export!$A883="","",IFERROR(VALUE(TRIM(Raw_Export!E883)),0))</f>
        <v>2</v>
      </c>
      <c r="G883" s="38" t="n">
        <f aca="false">IF(Raw_Export!$A883="","",IFERROR(VALUE(SUBSTITUTE(SUBSTITUTE(UPPER(TRIM(Raw_Export!F883)),"KES",""),",","")),0))</f>
        <v>350</v>
      </c>
      <c r="H883" s="38" t="n">
        <f aca="false">IF(Raw_Export!$A883="","",F883*G883)</f>
        <v>700</v>
      </c>
      <c r="I883" s="36" t="str">
        <f aca="false">IF(Raw_Export!$A883="","",IFERROR(VLOOKUP(LOWER(TRIM(Raw_Export!H883)),Maps!$D$2:$E$12,2,FALSE()),"Other"))</f>
        <v>Cash</v>
      </c>
      <c r="J883" s="36" t="str">
        <f aca="false">IF(Raw_Export!$A883="","",IF(COUNTIF($A$2:A883,A883)&gt;1,"Duplicate",""))</f>
        <v/>
      </c>
      <c r="K883" s="36" t="str">
        <f aca="false">IF(Raw_Export!$A883="","",IF(J883="Duplicate","Duplicate",IF(OR(C883="UNMAPPED",D883="UNMAPPED"),"Unmapped",IF(F883=0,"Blank qty",IF(F883&lt;0,"Return","OK")))))</f>
        <v>OK</v>
      </c>
      <c r="L883" s="36" t="n">
        <f aca="false">IF(Raw_Export!$A883="","",IF(OR(K883="OK",K883="Return"),1,0))</f>
        <v>1</v>
      </c>
      <c r="M883" s="37" t="n">
        <f aca="false">IF(Raw_Export!$A883="","",B883-WEEKDAY(B883,2)+1)</f>
        <v>46265</v>
      </c>
    </row>
    <row r="884" customFormat="false" ht="15" hidden="false" customHeight="false" outlineLevel="0" collapsed="false">
      <c r="A884" s="36" t="str">
        <f aca="false">IF(Raw_Export!$A884="","",TRIM(Raw_Export!A884))</f>
        <v>TXN-100866</v>
      </c>
      <c r="B884" s="37" t="n">
        <f aca="false">IF(Raw_Export!$A884="","",IF(ISNUMBER(Raw_Export!B884),Raw_Export!B884,IF(MID(TRIM(Raw_Export!B884),5,1)="-",DATE(LEFT(TRIM(Raw_Export!B884),4),MID(TRIM(Raw_Export!B884),6,2),RIGHT(TRIM(Raw_Export!B884),2)),DATE(RIGHT(TRIM(Raw_Export!B884),4),MATCH(MID(TRIM(Raw_Export!B884),4,3),{"Jan","Feb","Mar","Apr","May","Jun","Jul","Aug","Sep","Oct","Nov","Dec"},0),LEFT(TRIM(Raw_Export!B884),2)))))</f>
        <v>46270</v>
      </c>
      <c r="C884" s="36" t="str">
        <f aca="false">IF(Raw_Export!$A884="","",IFERROR(VLOOKUP(LOWER(TRIM(Raw_Export!C884)),Maps!$A$2:$B$20,2,FALSE()),"UNMAPPED"))</f>
        <v>Kisumu</v>
      </c>
      <c r="D884" s="36" t="str">
        <f aca="false">IF(Raw_Export!$A884="","",IFERROR(VLOOKUP(LOWER(TRIM(Raw_Export!D884)),Maps!$G$2:$I$80,2,FALSE()),"UNMAPPED"))</f>
        <v>Unga Pembe 2kg</v>
      </c>
      <c r="E884" s="36" t="str">
        <f aca="false">IF(Raw_Export!$A884="","",IFERROR(VLOOKUP(LOWER(TRIM(Raw_Export!D884)),Maps!$G$2:$I$80,3,FALSE()),"UNMAPPED"))</f>
        <v>Staples</v>
      </c>
      <c r="F884" s="36" t="n">
        <f aca="false">IF(Raw_Export!$A884="","",IFERROR(VALUE(TRIM(Raw_Export!E884)),0))</f>
        <v>6</v>
      </c>
      <c r="G884" s="38" t="n">
        <f aca="false">IF(Raw_Export!$A884="","",IFERROR(VALUE(SUBSTITUTE(SUBSTITUTE(UPPER(TRIM(Raw_Export!F884)),"KES",""),",","")),0))</f>
        <v>190</v>
      </c>
      <c r="H884" s="38" t="n">
        <f aca="false">IF(Raw_Export!$A884="","",F884*G884)</f>
        <v>1140</v>
      </c>
      <c r="I884" s="36" t="str">
        <f aca="false">IF(Raw_Export!$A884="","",IFERROR(VLOOKUP(LOWER(TRIM(Raw_Export!H884)),Maps!$D$2:$E$12,2,FALSE()),"Other"))</f>
        <v>Card</v>
      </c>
      <c r="J884" s="36" t="str">
        <f aca="false">IF(Raw_Export!$A884="","",IF(COUNTIF($A$2:A884,A884)&gt;1,"Duplicate",""))</f>
        <v/>
      </c>
      <c r="K884" s="36" t="str">
        <f aca="false">IF(Raw_Export!$A884="","",IF(J884="Duplicate","Duplicate",IF(OR(C884="UNMAPPED",D884="UNMAPPED"),"Unmapped",IF(F884=0,"Blank qty",IF(F884&lt;0,"Return","OK")))))</f>
        <v>OK</v>
      </c>
      <c r="L884" s="36" t="n">
        <f aca="false">IF(Raw_Export!$A884="","",IF(OR(K884="OK",K884="Return"),1,0))</f>
        <v>1</v>
      </c>
      <c r="M884" s="37" t="n">
        <f aca="false">IF(Raw_Export!$A884="","",B884-WEEKDAY(B884,2)+1)</f>
        <v>46265</v>
      </c>
    </row>
    <row r="885" customFormat="false" ht="15" hidden="false" customHeight="false" outlineLevel="0" collapsed="false">
      <c r="A885" s="36" t="str">
        <f aca="false">IF(Raw_Export!$A885="","",TRIM(Raw_Export!A885))</f>
        <v>TXN-100867</v>
      </c>
      <c r="B885" s="37" t="n">
        <f aca="false">IF(Raw_Export!$A885="","",IF(ISNUMBER(Raw_Export!B885),Raw_Export!B885,IF(MID(TRIM(Raw_Export!B885),5,1)="-",DATE(LEFT(TRIM(Raw_Export!B885),4),MID(TRIM(Raw_Export!B885),6,2),RIGHT(TRIM(Raw_Export!B885),2)),DATE(RIGHT(TRIM(Raw_Export!B885),4),MATCH(MID(TRIM(Raw_Export!B885),4,3),{"Jan","Feb","Mar","Apr","May","Jun","Jul","Aug","Sep","Oct","Nov","Dec"},0),LEFT(TRIM(Raw_Export!B885),2)))))</f>
        <v>46270</v>
      </c>
      <c r="C885" s="36" t="str">
        <f aca="false">IF(Raw_Export!$A885="","",IFERROR(VLOOKUP(LOWER(TRIM(Raw_Export!C885)),Maps!$A$2:$B$20,2,FALSE()),"UNMAPPED"))</f>
        <v>Kisumu</v>
      </c>
      <c r="D885" s="36" t="str">
        <f aca="false">IF(Raw_Export!$A885="","",IFERROR(VLOOKUP(LOWER(TRIM(Raw_Export!D885)),Maps!$G$2:$I$80,2,FALSE()),"UNMAPPED"))</f>
        <v>Salt 500g</v>
      </c>
      <c r="E885" s="36" t="str">
        <f aca="false">IF(Raw_Export!$A885="","",IFERROR(VLOOKUP(LOWER(TRIM(Raw_Export!D885)),Maps!$G$2:$I$80,3,FALSE()),"UNMAPPED"))</f>
        <v>Staples</v>
      </c>
      <c r="F885" s="36" t="n">
        <f aca="false">IF(Raw_Export!$A885="","",IFERROR(VALUE(TRIM(Raw_Export!E885)),0))</f>
        <v>3</v>
      </c>
      <c r="G885" s="38" t="n">
        <f aca="false">IF(Raw_Export!$A885="","",IFERROR(VALUE(SUBSTITUTE(SUBSTITUTE(UPPER(TRIM(Raw_Export!F885)),"KES",""),",","")),0))</f>
        <v>40</v>
      </c>
      <c r="H885" s="38" t="n">
        <f aca="false">IF(Raw_Export!$A885="","",F885*G885)</f>
        <v>120</v>
      </c>
      <c r="I885" s="36" t="str">
        <f aca="false">IF(Raw_Export!$A885="","",IFERROR(VLOOKUP(LOWER(TRIM(Raw_Export!H885)),Maps!$D$2:$E$12,2,FALSE()),"Other"))</f>
        <v>Cash</v>
      </c>
      <c r="J885" s="36" t="str">
        <f aca="false">IF(Raw_Export!$A885="","",IF(COUNTIF($A$2:A885,A885)&gt;1,"Duplicate",""))</f>
        <v/>
      </c>
      <c r="K885" s="36" t="str">
        <f aca="false">IF(Raw_Export!$A885="","",IF(J885="Duplicate","Duplicate",IF(OR(C885="UNMAPPED",D885="UNMAPPED"),"Unmapped",IF(F885=0,"Blank qty",IF(F885&lt;0,"Return","OK")))))</f>
        <v>OK</v>
      </c>
      <c r="L885" s="36" t="n">
        <f aca="false">IF(Raw_Export!$A885="","",IF(OR(K885="OK",K885="Return"),1,0))</f>
        <v>1</v>
      </c>
      <c r="M885" s="37" t="n">
        <f aca="false">IF(Raw_Export!$A885="","",B885-WEEKDAY(B885,2)+1)</f>
        <v>46265</v>
      </c>
    </row>
    <row r="886" customFormat="false" ht="15" hidden="false" customHeight="false" outlineLevel="0" collapsed="false">
      <c r="A886" s="36" t="str">
        <f aca="false">IF(Raw_Export!$A886="","",TRIM(Raw_Export!A886))</f>
        <v>TXN-100868</v>
      </c>
      <c r="B886" s="37" t="n">
        <f aca="false">IF(Raw_Export!$A886="","",IF(ISNUMBER(Raw_Export!B886),Raw_Export!B886,IF(MID(TRIM(Raw_Export!B886),5,1)="-",DATE(LEFT(TRIM(Raw_Export!B886),4),MID(TRIM(Raw_Export!B886),6,2),RIGHT(TRIM(Raw_Export!B886),2)),DATE(RIGHT(TRIM(Raw_Export!B886),4),MATCH(MID(TRIM(Raw_Export!B886),4,3),{"Jan","Feb","Mar","Apr","May","Jun","Jul","Aug","Sep","Oct","Nov","Dec"},0),LEFT(TRIM(Raw_Export!B886),2)))))</f>
        <v>46270</v>
      </c>
      <c r="C886" s="36" t="str">
        <f aca="false">IF(Raw_Export!$A886="","",IFERROR(VLOOKUP(LOWER(TRIM(Raw_Export!C886)),Maps!$A$2:$B$20,2,FALSE()),"UNMAPPED"))</f>
        <v>Kisumu</v>
      </c>
      <c r="D886" s="36" t="str">
        <f aca="false">IF(Raw_Export!$A886="","",IFERROR(VLOOKUP(LOWER(TRIM(Raw_Export!D886)),Maps!$G$2:$I$80,2,FALSE()),"UNMAPPED"))</f>
        <v>Bleach 1L</v>
      </c>
      <c r="E886" s="36" t="str">
        <f aca="false">IF(Raw_Export!$A886="","",IFERROR(VLOOKUP(LOWER(TRIM(Raw_Export!D886)),Maps!$G$2:$I$80,3,FALSE()),"UNMAPPED"))</f>
        <v>Household</v>
      </c>
      <c r="F886" s="36" t="n">
        <f aca="false">IF(Raw_Export!$A886="","",IFERROR(VALUE(TRIM(Raw_Export!E886)),0))</f>
        <v>1</v>
      </c>
      <c r="G886" s="38" t="n">
        <f aca="false">IF(Raw_Export!$A886="","",IFERROR(VALUE(SUBSTITUTE(SUBSTITUTE(UPPER(TRIM(Raw_Export!F886)),"KES",""),",","")),0))</f>
        <v>160</v>
      </c>
      <c r="H886" s="38" t="n">
        <f aca="false">IF(Raw_Export!$A886="","",F886*G886)</f>
        <v>160</v>
      </c>
      <c r="I886" s="36" t="str">
        <f aca="false">IF(Raw_Export!$A886="","",IFERROR(VLOOKUP(LOWER(TRIM(Raw_Export!H886)),Maps!$D$2:$E$12,2,FALSE()),"Other"))</f>
        <v>M-Pesa</v>
      </c>
      <c r="J886" s="36" t="str">
        <f aca="false">IF(Raw_Export!$A886="","",IF(COUNTIF($A$2:A886,A886)&gt;1,"Duplicate",""))</f>
        <v/>
      </c>
      <c r="K886" s="36" t="str">
        <f aca="false">IF(Raw_Export!$A886="","",IF(J886="Duplicate","Duplicate",IF(OR(C886="UNMAPPED",D886="UNMAPPED"),"Unmapped",IF(F886=0,"Blank qty",IF(F886&lt;0,"Return","OK")))))</f>
        <v>OK</v>
      </c>
      <c r="L886" s="36" t="n">
        <f aca="false">IF(Raw_Export!$A886="","",IF(OR(K886="OK",K886="Return"),1,0))</f>
        <v>1</v>
      </c>
      <c r="M886" s="37" t="n">
        <f aca="false">IF(Raw_Export!$A886="","",B886-WEEKDAY(B886,2)+1)</f>
        <v>46265</v>
      </c>
    </row>
    <row r="887" customFormat="false" ht="15" hidden="false" customHeight="false" outlineLevel="0" collapsed="false">
      <c r="A887" s="36" t="str">
        <f aca="false">IF(Raw_Export!$A887="","",TRIM(Raw_Export!A887))</f>
        <v>TXN-100869</v>
      </c>
      <c r="B887" s="37" t="n">
        <f aca="false">IF(Raw_Export!$A887="","",IF(ISNUMBER(Raw_Export!B887),Raw_Export!B887,IF(MID(TRIM(Raw_Export!B887),5,1)="-",DATE(LEFT(TRIM(Raw_Export!B887),4),MID(TRIM(Raw_Export!B887),6,2),RIGHT(TRIM(Raw_Export!B887),2)),DATE(RIGHT(TRIM(Raw_Export!B887),4),MATCH(MID(TRIM(Raw_Export!B887),4,3),{"Jan","Feb","Mar","Apr","May","Jun","Jul","Aug","Sep","Oct","Nov","Dec"},0),LEFT(TRIM(Raw_Export!B887),2)))))</f>
        <v>46270</v>
      </c>
      <c r="C887" s="36" t="str">
        <f aca="false">IF(Raw_Export!$A887="","",IFERROR(VLOOKUP(LOWER(TRIM(Raw_Export!C887)),Maps!$A$2:$B$20,2,FALSE()),"UNMAPPED"))</f>
        <v>Nakuru</v>
      </c>
      <c r="D887" s="36" t="str">
        <f aca="false">IF(Raw_Export!$A887="","",IFERROR(VLOOKUP(LOWER(TRIM(Raw_Export!D887)),Maps!$G$2:$I$80,2,FALSE()),"UNMAPPED"))</f>
        <v>Deodorant 150ml</v>
      </c>
      <c r="E887" s="36" t="str">
        <f aca="false">IF(Raw_Export!$A887="","",IFERROR(VLOOKUP(LOWER(TRIM(Raw_Export!D887)),Maps!$G$2:$I$80,3,FALSE()),"UNMAPPED"))</f>
        <v>Personal Care</v>
      </c>
      <c r="F887" s="36" t="n">
        <f aca="false">IF(Raw_Export!$A887="","",IFERROR(VALUE(TRIM(Raw_Export!E887)),0))</f>
        <v>6</v>
      </c>
      <c r="G887" s="38" t="n">
        <f aca="false">IF(Raw_Export!$A887="","",IFERROR(VALUE(SUBSTITUTE(SUBSTITUTE(UPPER(TRIM(Raw_Export!F887)),"KES",""),",","")),0))</f>
        <v>350</v>
      </c>
      <c r="H887" s="38" t="n">
        <f aca="false">IF(Raw_Export!$A887="","",F887*G887)</f>
        <v>2100</v>
      </c>
      <c r="I887" s="36" t="str">
        <f aca="false">IF(Raw_Export!$A887="","",IFERROR(VLOOKUP(LOWER(TRIM(Raw_Export!H887)),Maps!$D$2:$E$12,2,FALSE()),"Other"))</f>
        <v>M-Pesa</v>
      </c>
      <c r="J887" s="36" t="str">
        <f aca="false">IF(Raw_Export!$A887="","",IF(COUNTIF($A$2:A887,A887)&gt;1,"Duplicate",""))</f>
        <v/>
      </c>
      <c r="K887" s="36" t="str">
        <f aca="false">IF(Raw_Export!$A887="","",IF(J887="Duplicate","Duplicate",IF(OR(C887="UNMAPPED",D887="UNMAPPED"),"Unmapped",IF(F887=0,"Blank qty",IF(F887&lt;0,"Return","OK")))))</f>
        <v>OK</v>
      </c>
      <c r="L887" s="36" t="n">
        <f aca="false">IF(Raw_Export!$A887="","",IF(OR(K887="OK",K887="Return"),1,0))</f>
        <v>1</v>
      </c>
      <c r="M887" s="37" t="n">
        <f aca="false">IF(Raw_Export!$A887="","",B887-WEEKDAY(B887,2)+1)</f>
        <v>46265</v>
      </c>
    </row>
    <row r="888" customFormat="false" ht="15" hidden="false" customHeight="false" outlineLevel="0" collapsed="false">
      <c r="A888" s="36" t="str">
        <f aca="false">IF(Raw_Export!$A888="","",TRIM(Raw_Export!A888))</f>
        <v>TXN-100870</v>
      </c>
      <c r="B888" s="37" t="n">
        <f aca="false">IF(Raw_Export!$A888="","",IF(ISNUMBER(Raw_Export!B888),Raw_Export!B888,IF(MID(TRIM(Raw_Export!B888),5,1)="-",DATE(LEFT(TRIM(Raw_Export!B888),4),MID(TRIM(Raw_Export!B888),6,2),RIGHT(TRIM(Raw_Export!B888),2)),DATE(RIGHT(TRIM(Raw_Export!B888),4),MATCH(MID(TRIM(Raw_Export!B888),4,3),{"Jan","Feb","Mar","Apr","May","Jun","Jul","Aug","Sep","Oct","Nov","Dec"},0),LEFT(TRIM(Raw_Export!B888),2)))))</f>
        <v>46270</v>
      </c>
      <c r="C888" s="36" t="str">
        <f aca="false">IF(Raw_Export!$A888="","",IFERROR(VLOOKUP(LOWER(TRIM(Raw_Export!C888)),Maps!$A$2:$B$20,2,FALSE()),"UNMAPPED"))</f>
        <v>Nakuru</v>
      </c>
      <c r="D888" s="36" t="str">
        <f aca="false">IF(Raw_Export!$A888="","",IFERROR(VLOOKUP(LOWER(TRIM(Raw_Export!D888)),Maps!$G$2:$I$80,2,FALSE()),"UNMAPPED"))</f>
        <v>Bottled Water 1.5L</v>
      </c>
      <c r="E888" s="36" t="str">
        <f aca="false">IF(Raw_Export!$A888="","",IFERROR(VLOOKUP(LOWER(TRIM(Raw_Export!D888)),Maps!$G$2:$I$80,3,FALSE()),"UNMAPPED"))</f>
        <v>Beverages</v>
      </c>
      <c r="F888" s="36" t="n">
        <f aca="false">IF(Raw_Export!$A888="","",IFERROR(VALUE(TRIM(Raw_Export!E888)),0))</f>
        <v>4</v>
      </c>
      <c r="G888" s="38" t="n">
        <f aca="false">IF(Raw_Export!$A888="","",IFERROR(VALUE(SUBSTITUTE(SUBSTITUTE(UPPER(TRIM(Raw_Export!F888)),"KES",""),",","")),0))</f>
        <v>90</v>
      </c>
      <c r="H888" s="38" t="n">
        <f aca="false">IF(Raw_Export!$A888="","",F888*G888)</f>
        <v>360</v>
      </c>
      <c r="I888" s="36" t="str">
        <f aca="false">IF(Raw_Export!$A888="","",IFERROR(VLOOKUP(LOWER(TRIM(Raw_Export!H888)),Maps!$D$2:$E$12,2,FALSE()),"Other"))</f>
        <v>Cash</v>
      </c>
      <c r="J888" s="36" t="str">
        <f aca="false">IF(Raw_Export!$A888="","",IF(COUNTIF($A$2:A888,A888)&gt;1,"Duplicate",""))</f>
        <v/>
      </c>
      <c r="K888" s="36" t="str">
        <f aca="false">IF(Raw_Export!$A888="","",IF(J888="Duplicate","Duplicate",IF(OR(C888="UNMAPPED",D888="UNMAPPED"),"Unmapped",IF(F888=0,"Blank qty",IF(F888&lt;0,"Return","OK")))))</f>
        <v>OK</v>
      </c>
      <c r="L888" s="36" t="n">
        <f aca="false">IF(Raw_Export!$A888="","",IF(OR(K888="OK",K888="Return"),1,0))</f>
        <v>1</v>
      </c>
      <c r="M888" s="37" t="n">
        <f aca="false">IF(Raw_Export!$A888="","",B888-WEEKDAY(B888,2)+1)</f>
        <v>46265</v>
      </c>
    </row>
    <row r="889" customFormat="false" ht="15" hidden="false" customHeight="false" outlineLevel="0" collapsed="false">
      <c r="A889" s="36" t="str">
        <f aca="false">IF(Raw_Export!$A889="","",TRIM(Raw_Export!A889))</f>
        <v>TXN-100871</v>
      </c>
      <c r="B889" s="37" t="n">
        <f aca="false">IF(Raw_Export!$A889="","",IF(ISNUMBER(Raw_Export!B889),Raw_Export!B889,IF(MID(TRIM(Raw_Export!B889),5,1)="-",DATE(LEFT(TRIM(Raw_Export!B889),4),MID(TRIM(Raw_Export!B889),6,2),RIGHT(TRIM(Raw_Export!B889),2)),DATE(RIGHT(TRIM(Raw_Export!B889),4),MATCH(MID(TRIM(Raw_Export!B889),4,3),{"Jan","Feb","Mar","Apr","May","Jun","Jul","Aug","Sep","Oct","Nov","Dec"},0),LEFT(TRIM(Raw_Export!B889),2)))))</f>
        <v>46270</v>
      </c>
      <c r="C889" s="36" t="str">
        <f aca="false">IF(Raw_Export!$A889="","",IFERROR(VLOOKUP(LOWER(TRIM(Raw_Export!C889)),Maps!$A$2:$B$20,2,FALSE()),"UNMAPPED"))</f>
        <v>Nakuru</v>
      </c>
      <c r="D889" s="36" t="str">
        <f aca="false">IF(Raw_Export!$A889="","",IFERROR(VLOOKUP(LOWER(TRIM(Raw_Export!D889)),Maps!$G$2:$I$80,2,FALSE()),"UNMAPPED"))</f>
        <v>Salt 500g</v>
      </c>
      <c r="E889" s="36" t="str">
        <f aca="false">IF(Raw_Export!$A889="","",IFERROR(VLOOKUP(LOWER(TRIM(Raw_Export!D889)),Maps!$G$2:$I$80,3,FALSE()),"UNMAPPED"))</f>
        <v>Staples</v>
      </c>
      <c r="F889" s="36" t="n">
        <f aca="false">IF(Raw_Export!$A889="","",IFERROR(VALUE(TRIM(Raw_Export!E889)),0))</f>
        <v>4</v>
      </c>
      <c r="G889" s="38" t="n">
        <f aca="false">IF(Raw_Export!$A889="","",IFERROR(VALUE(SUBSTITUTE(SUBSTITUTE(UPPER(TRIM(Raw_Export!F889)),"KES",""),",","")),0))</f>
        <v>40</v>
      </c>
      <c r="H889" s="38" t="n">
        <f aca="false">IF(Raw_Export!$A889="","",F889*G889)</f>
        <v>160</v>
      </c>
      <c r="I889" s="36" t="str">
        <f aca="false">IF(Raw_Export!$A889="","",IFERROR(VLOOKUP(LOWER(TRIM(Raw_Export!H889)),Maps!$D$2:$E$12,2,FALSE()),"Other"))</f>
        <v>M-Pesa</v>
      </c>
      <c r="J889" s="36" t="str">
        <f aca="false">IF(Raw_Export!$A889="","",IF(COUNTIF($A$2:A889,A889)&gt;1,"Duplicate",""))</f>
        <v/>
      </c>
      <c r="K889" s="36" t="str">
        <f aca="false">IF(Raw_Export!$A889="","",IF(J889="Duplicate","Duplicate",IF(OR(C889="UNMAPPED",D889="UNMAPPED"),"Unmapped",IF(F889=0,"Blank qty",IF(F889&lt;0,"Return","OK")))))</f>
        <v>OK</v>
      </c>
      <c r="L889" s="36" t="n">
        <f aca="false">IF(Raw_Export!$A889="","",IF(OR(K889="OK",K889="Return"),1,0))</f>
        <v>1</v>
      </c>
      <c r="M889" s="37" t="n">
        <f aca="false">IF(Raw_Export!$A889="","",B889-WEEKDAY(B889,2)+1)</f>
        <v>46265</v>
      </c>
    </row>
    <row r="890" customFormat="false" ht="15" hidden="false" customHeight="false" outlineLevel="0" collapsed="false">
      <c r="A890" s="36" t="str">
        <f aca="false">IF(Raw_Export!$A890="","",TRIM(Raw_Export!A890))</f>
        <v>TXN-100872</v>
      </c>
      <c r="B890" s="37" t="n">
        <f aca="false">IF(Raw_Export!$A890="","",IF(ISNUMBER(Raw_Export!B890),Raw_Export!B890,IF(MID(TRIM(Raw_Export!B890),5,1)="-",DATE(LEFT(TRIM(Raw_Export!B890),4),MID(TRIM(Raw_Export!B890),6,2),RIGHT(TRIM(Raw_Export!B890),2)),DATE(RIGHT(TRIM(Raw_Export!B890),4),MATCH(MID(TRIM(Raw_Export!B890),4,3),{"Jan","Feb","Mar","Apr","May","Jun","Jul","Aug","Sep","Oct","Nov","Dec"},0),LEFT(TRIM(Raw_Export!B890),2)))))</f>
        <v>46270</v>
      </c>
      <c r="C890" s="36" t="str">
        <f aca="false">IF(Raw_Export!$A890="","",IFERROR(VLOOKUP(LOWER(TRIM(Raw_Export!C890)),Maps!$A$2:$B$20,2,FALSE()),"UNMAPPED"))</f>
        <v>Nakuru</v>
      </c>
      <c r="D890" s="36" t="str">
        <f aca="false">IF(Raw_Export!$A890="","",IFERROR(VLOOKUP(LOWER(TRIM(Raw_Export!D890)),Maps!$G$2:$I$80,2,FALSE()),"UNMAPPED"))</f>
        <v>Body Lotion 400ml</v>
      </c>
      <c r="E890" s="36" t="str">
        <f aca="false">IF(Raw_Export!$A890="","",IFERROR(VLOOKUP(LOWER(TRIM(Raw_Export!D890)),Maps!$G$2:$I$80,3,FALSE()),"UNMAPPED"))</f>
        <v>Personal Care</v>
      </c>
      <c r="F890" s="36" t="n">
        <f aca="false">IF(Raw_Export!$A890="","",IFERROR(VALUE(TRIM(Raw_Export!E890)),0))</f>
        <v>2</v>
      </c>
      <c r="G890" s="38" t="n">
        <f aca="false">IF(Raw_Export!$A890="","",IFERROR(VALUE(SUBSTITUTE(SUBSTITUTE(UPPER(TRIM(Raw_Export!F890)),"KES",""),",","")),0))</f>
        <v>420</v>
      </c>
      <c r="H890" s="38" t="n">
        <f aca="false">IF(Raw_Export!$A890="","",F890*G890)</f>
        <v>840</v>
      </c>
      <c r="I890" s="36" t="str">
        <f aca="false">IF(Raw_Export!$A890="","",IFERROR(VLOOKUP(LOWER(TRIM(Raw_Export!H890)),Maps!$D$2:$E$12,2,FALSE()),"Other"))</f>
        <v>M-Pesa</v>
      </c>
      <c r="J890" s="36" t="str">
        <f aca="false">IF(Raw_Export!$A890="","",IF(COUNTIF($A$2:A890,A890)&gt;1,"Duplicate",""))</f>
        <v/>
      </c>
      <c r="K890" s="36" t="str">
        <f aca="false">IF(Raw_Export!$A890="","",IF(J890="Duplicate","Duplicate",IF(OR(C890="UNMAPPED",D890="UNMAPPED"),"Unmapped",IF(F890=0,"Blank qty",IF(F890&lt;0,"Return","OK")))))</f>
        <v>OK</v>
      </c>
      <c r="L890" s="36" t="n">
        <f aca="false">IF(Raw_Export!$A890="","",IF(OR(K890="OK",K890="Return"),1,0))</f>
        <v>1</v>
      </c>
      <c r="M890" s="37" t="n">
        <f aca="false">IF(Raw_Export!$A890="","",B890-WEEKDAY(B890,2)+1)</f>
        <v>46265</v>
      </c>
    </row>
    <row r="891" customFormat="false" ht="15" hidden="false" customHeight="false" outlineLevel="0" collapsed="false">
      <c r="A891" s="36" t="str">
        <f aca="false">IF(Raw_Export!$A891="","",TRIM(Raw_Export!A891))</f>
        <v>TXN-100873</v>
      </c>
      <c r="B891" s="37" t="n">
        <f aca="false">IF(Raw_Export!$A891="","",IF(ISNUMBER(Raw_Export!B891),Raw_Export!B891,IF(MID(TRIM(Raw_Export!B891),5,1)="-",DATE(LEFT(TRIM(Raw_Export!B891),4),MID(TRIM(Raw_Export!B891),6,2),RIGHT(TRIM(Raw_Export!B891),2)),DATE(RIGHT(TRIM(Raw_Export!B891),4),MATCH(MID(TRIM(Raw_Export!B891),4,3),{"Jan","Feb","Mar","Apr","May","Jun","Jul","Aug","Sep","Oct","Nov","Dec"},0),LEFT(TRIM(Raw_Export!B891),2)))))</f>
        <v>46270</v>
      </c>
      <c r="C891" s="36" t="str">
        <f aca="false">IF(Raw_Export!$A891="","",IFERROR(VLOOKUP(LOWER(TRIM(Raw_Export!C891)),Maps!$A$2:$B$20,2,FALSE()),"UNMAPPED"))</f>
        <v>Nakuru</v>
      </c>
      <c r="D891" s="36" t="str">
        <f aca="false">IF(Raw_Export!$A891="","",IFERROR(VLOOKUP(LOWER(TRIM(Raw_Export!D891)),Maps!$G$2:$I$80,2,FALSE()),"UNMAPPED"))</f>
        <v>Cooking Oil 1L</v>
      </c>
      <c r="E891" s="36" t="str">
        <f aca="false">IF(Raw_Export!$A891="","",IFERROR(VLOOKUP(LOWER(TRIM(Raw_Export!D891)),Maps!$G$2:$I$80,3,FALSE()),"UNMAPPED"))</f>
        <v>Staples</v>
      </c>
      <c r="F891" s="36" t="n">
        <f aca="false">IF(Raw_Export!$A891="","",IFERROR(VALUE(TRIM(Raw_Export!E891)),0))</f>
        <v>2</v>
      </c>
      <c r="G891" s="38" t="n">
        <f aca="false">IF(Raw_Export!$A891="","",IFERROR(VALUE(SUBSTITUTE(SUBSTITUTE(UPPER(TRIM(Raw_Export!F891)),"KES",""),",","")),0))</f>
        <v>330</v>
      </c>
      <c r="H891" s="38" t="n">
        <f aca="false">IF(Raw_Export!$A891="","",F891*G891)</f>
        <v>660</v>
      </c>
      <c r="I891" s="36" t="str">
        <f aca="false">IF(Raw_Export!$A891="","",IFERROR(VLOOKUP(LOWER(TRIM(Raw_Export!H891)),Maps!$D$2:$E$12,2,FALSE()),"Other"))</f>
        <v>M-Pesa</v>
      </c>
      <c r="J891" s="36" t="str">
        <f aca="false">IF(Raw_Export!$A891="","",IF(COUNTIF($A$2:A891,A891)&gt;1,"Duplicate",""))</f>
        <v/>
      </c>
      <c r="K891" s="36" t="str">
        <f aca="false">IF(Raw_Export!$A891="","",IF(J891="Duplicate","Duplicate",IF(OR(C891="UNMAPPED",D891="UNMAPPED"),"Unmapped",IF(F891=0,"Blank qty",IF(F891&lt;0,"Return","OK")))))</f>
        <v>OK</v>
      </c>
      <c r="L891" s="36" t="n">
        <f aca="false">IF(Raw_Export!$A891="","",IF(OR(K891="OK",K891="Return"),1,0))</f>
        <v>1</v>
      </c>
      <c r="M891" s="37" t="n">
        <f aca="false">IF(Raw_Export!$A891="","",B891-WEEKDAY(B891,2)+1)</f>
        <v>46265</v>
      </c>
    </row>
    <row r="892" customFormat="false" ht="15" hidden="false" customHeight="false" outlineLevel="0" collapsed="false">
      <c r="A892" s="36" t="str">
        <f aca="false">IF(Raw_Export!$A892="","",TRIM(Raw_Export!A892))</f>
        <v>TXN-100874</v>
      </c>
      <c r="B892" s="37" t="n">
        <f aca="false">IF(Raw_Export!$A892="","",IF(ISNUMBER(Raw_Export!B892),Raw_Export!B892,IF(MID(TRIM(Raw_Export!B892),5,1)="-",DATE(LEFT(TRIM(Raw_Export!B892),4),MID(TRIM(Raw_Export!B892),6,2),RIGHT(TRIM(Raw_Export!B892),2)),DATE(RIGHT(TRIM(Raw_Export!B892),4),MATCH(MID(TRIM(Raw_Export!B892),4,3),{"Jan","Feb","Mar","Apr","May","Jun","Jul","Aug","Sep","Oct","Nov","Dec"},0),LEFT(TRIM(Raw_Export!B892),2)))))</f>
        <v>46270</v>
      </c>
      <c r="C892" s="36" t="str">
        <f aca="false">IF(Raw_Export!$A892="","",IFERROR(VLOOKUP(LOWER(TRIM(Raw_Export!C892)),Maps!$A$2:$B$20,2,FALSE()),"UNMAPPED"))</f>
        <v>Nakuru</v>
      </c>
      <c r="D892" s="36" t="str">
        <f aca="false">IF(Raw_Export!$A892="","",IFERROR(VLOOKUP(LOWER(TRIM(Raw_Export!D892)),Maps!$G$2:$I$80,2,FALSE()),"UNMAPPED"))</f>
        <v>Matches 10pk</v>
      </c>
      <c r="E892" s="36" t="str">
        <f aca="false">IF(Raw_Export!$A892="","",IFERROR(VLOOKUP(LOWER(TRIM(Raw_Export!D892)),Maps!$G$2:$I$80,3,FALSE()),"UNMAPPED"))</f>
        <v>Household</v>
      </c>
      <c r="F892" s="36" t="n">
        <f aca="false">IF(Raw_Export!$A892="","",IFERROR(VALUE(TRIM(Raw_Export!E892)),0))</f>
        <v>1</v>
      </c>
      <c r="G892" s="38" t="n">
        <f aca="false">IF(Raw_Export!$A892="","",IFERROR(VALUE(SUBSTITUTE(SUBSTITUTE(UPPER(TRIM(Raw_Export!F892)),"KES",""),",","")),0))</f>
        <v>50</v>
      </c>
      <c r="H892" s="38" t="n">
        <f aca="false">IF(Raw_Export!$A892="","",F892*G892)</f>
        <v>50</v>
      </c>
      <c r="I892" s="36" t="str">
        <f aca="false">IF(Raw_Export!$A892="","",IFERROR(VLOOKUP(LOWER(TRIM(Raw_Export!H892)),Maps!$D$2:$E$12,2,FALSE()),"Other"))</f>
        <v>Card</v>
      </c>
      <c r="J892" s="36" t="str">
        <f aca="false">IF(Raw_Export!$A892="","",IF(COUNTIF($A$2:A892,A892)&gt;1,"Duplicate",""))</f>
        <v/>
      </c>
      <c r="K892" s="36" t="str">
        <f aca="false">IF(Raw_Export!$A892="","",IF(J892="Duplicate","Duplicate",IF(OR(C892="UNMAPPED",D892="UNMAPPED"),"Unmapped",IF(F892=0,"Blank qty",IF(F892&lt;0,"Return","OK")))))</f>
        <v>OK</v>
      </c>
      <c r="L892" s="36" t="n">
        <f aca="false">IF(Raw_Export!$A892="","",IF(OR(K892="OK",K892="Return"),1,0))</f>
        <v>1</v>
      </c>
      <c r="M892" s="37" t="n">
        <f aca="false">IF(Raw_Export!$A892="","",B892-WEEKDAY(B892,2)+1)</f>
        <v>46265</v>
      </c>
    </row>
    <row r="893" customFormat="false" ht="15" hidden="false" customHeight="false" outlineLevel="0" collapsed="false">
      <c r="A893" s="36" t="str">
        <f aca="false">IF(Raw_Export!$A893="","",TRIM(Raw_Export!A893))</f>
        <v>TXN-100875</v>
      </c>
      <c r="B893" s="37" t="n">
        <f aca="false">IF(Raw_Export!$A893="","",IF(ISNUMBER(Raw_Export!B893),Raw_Export!B893,IF(MID(TRIM(Raw_Export!B893),5,1)="-",DATE(LEFT(TRIM(Raw_Export!B893),4),MID(TRIM(Raw_Export!B893),6,2),RIGHT(TRIM(Raw_Export!B893),2)),DATE(RIGHT(TRIM(Raw_Export!B893),4),MATCH(MID(TRIM(Raw_Export!B893),4,3),{"Jan","Feb","Mar","Apr","May","Jun","Jul","Aug","Sep","Oct","Nov","Dec"},0),LEFT(TRIM(Raw_Export!B893),2)))))</f>
        <v>46270</v>
      </c>
      <c r="C893" s="36" t="str">
        <f aca="false">IF(Raw_Export!$A893="","",IFERROR(VLOOKUP(LOWER(TRIM(Raw_Export!C893)),Maps!$A$2:$B$20,2,FALSE()),"UNMAPPED"))</f>
        <v>Nakuru</v>
      </c>
      <c r="D893" s="36" t="str">
        <f aca="false">IF(Raw_Export!$A893="","",IFERROR(VLOOKUP(LOWER(TRIM(Raw_Export!D893)),Maps!$G$2:$I$80,2,FALSE()),"UNMAPPED"))</f>
        <v>Bottled Water 1.5L</v>
      </c>
      <c r="E893" s="36" t="str">
        <f aca="false">IF(Raw_Export!$A893="","",IFERROR(VLOOKUP(LOWER(TRIM(Raw_Export!D893)),Maps!$G$2:$I$80,3,FALSE()),"UNMAPPED"))</f>
        <v>Beverages</v>
      </c>
      <c r="F893" s="36" t="n">
        <f aca="false">IF(Raw_Export!$A893="","",IFERROR(VALUE(TRIM(Raw_Export!E893)),0))</f>
        <v>2</v>
      </c>
      <c r="G893" s="38" t="n">
        <f aca="false">IF(Raw_Export!$A893="","",IFERROR(VALUE(SUBSTITUTE(SUBSTITUTE(UPPER(TRIM(Raw_Export!F893)),"KES",""),",","")),0))</f>
        <v>90</v>
      </c>
      <c r="H893" s="38" t="n">
        <f aca="false">IF(Raw_Export!$A893="","",F893*G893)</f>
        <v>180</v>
      </c>
      <c r="I893" s="36" t="str">
        <f aca="false">IF(Raw_Export!$A893="","",IFERROR(VLOOKUP(LOWER(TRIM(Raw_Export!H893)),Maps!$D$2:$E$12,2,FALSE()),"Other"))</f>
        <v>M-Pesa</v>
      </c>
      <c r="J893" s="36" t="str">
        <f aca="false">IF(Raw_Export!$A893="","",IF(COUNTIF($A$2:A893,A893)&gt;1,"Duplicate",""))</f>
        <v/>
      </c>
      <c r="K893" s="36" t="str">
        <f aca="false">IF(Raw_Export!$A893="","",IF(J893="Duplicate","Duplicate",IF(OR(C893="UNMAPPED",D893="UNMAPPED"),"Unmapped",IF(F893=0,"Blank qty",IF(F893&lt;0,"Return","OK")))))</f>
        <v>OK</v>
      </c>
      <c r="L893" s="36" t="n">
        <f aca="false">IF(Raw_Export!$A893="","",IF(OR(K893="OK",K893="Return"),1,0))</f>
        <v>1</v>
      </c>
      <c r="M893" s="37" t="n">
        <f aca="false">IF(Raw_Export!$A893="","",B893-WEEKDAY(B893,2)+1)</f>
        <v>46265</v>
      </c>
    </row>
    <row r="894" customFormat="false" ht="15" hidden="false" customHeight="false" outlineLevel="0" collapsed="false">
      <c r="A894" s="36" t="str">
        <f aca="false">IF(Raw_Export!$A894="","",TRIM(Raw_Export!A894))</f>
        <v>TXN-100876</v>
      </c>
      <c r="B894" s="37" t="n">
        <f aca="false">IF(Raw_Export!$A894="","",IF(ISNUMBER(Raw_Export!B894),Raw_Export!B894,IF(MID(TRIM(Raw_Export!B894),5,1)="-",DATE(LEFT(TRIM(Raw_Export!B894),4),MID(TRIM(Raw_Export!B894),6,2),RIGHT(TRIM(Raw_Export!B894),2)),DATE(RIGHT(TRIM(Raw_Export!B894),4),MATCH(MID(TRIM(Raw_Export!B894),4,3),{"Jan","Feb","Mar","Apr","May","Jun","Jul","Aug","Sep","Oct","Nov","Dec"},0),LEFT(TRIM(Raw_Export!B894),2)))))</f>
        <v>46270</v>
      </c>
      <c r="C894" s="36" t="str">
        <f aca="false">IF(Raw_Export!$A894="","",IFERROR(VLOOKUP(LOWER(TRIM(Raw_Export!C894)),Maps!$A$2:$B$20,2,FALSE()),"UNMAPPED"))</f>
        <v>Nakuru</v>
      </c>
      <c r="D894" s="36" t="str">
        <f aca="false">IF(Raw_Export!$A894="","",IFERROR(VLOOKUP(LOWER(TRIM(Raw_Export!D894)),Maps!$G$2:$I$80,2,FALSE()),"UNMAPPED"))</f>
        <v>Sanitary Pads 8pk</v>
      </c>
      <c r="E894" s="36" t="str">
        <f aca="false">IF(Raw_Export!$A894="","",IFERROR(VLOOKUP(LOWER(TRIM(Raw_Export!D894)),Maps!$G$2:$I$80,3,FALSE()),"UNMAPPED"))</f>
        <v>Personal Care</v>
      </c>
      <c r="F894" s="36" t="n">
        <f aca="false">IF(Raw_Export!$A894="","",IFERROR(VALUE(TRIM(Raw_Export!E894)),0))</f>
        <v>3</v>
      </c>
      <c r="G894" s="38" t="n">
        <f aca="false">IF(Raw_Export!$A894="","",IFERROR(VALUE(SUBSTITUTE(SUBSTITUTE(UPPER(TRIM(Raw_Export!F894)),"KES",""),",","")),0))</f>
        <v>130</v>
      </c>
      <c r="H894" s="38" t="n">
        <f aca="false">IF(Raw_Export!$A894="","",F894*G894)</f>
        <v>390</v>
      </c>
      <c r="I894" s="36" t="str">
        <f aca="false">IF(Raw_Export!$A894="","",IFERROR(VLOOKUP(LOWER(TRIM(Raw_Export!H894)),Maps!$D$2:$E$12,2,FALSE()),"Other"))</f>
        <v>Card</v>
      </c>
      <c r="J894" s="36" t="str">
        <f aca="false">IF(Raw_Export!$A894="","",IF(COUNTIF($A$2:A894,A894)&gt;1,"Duplicate",""))</f>
        <v/>
      </c>
      <c r="K894" s="36" t="str">
        <f aca="false">IF(Raw_Export!$A894="","",IF(J894="Duplicate","Duplicate",IF(OR(C894="UNMAPPED",D894="UNMAPPED"),"Unmapped",IF(F894=0,"Blank qty",IF(F894&lt;0,"Return","OK")))))</f>
        <v>OK</v>
      </c>
      <c r="L894" s="36" t="n">
        <f aca="false">IF(Raw_Export!$A894="","",IF(OR(K894="OK",K894="Return"),1,0))</f>
        <v>1</v>
      </c>
      <c r="M894" s="37" t="n">
        <f aca="false">IF(Raw_Export!$A894="","",B894-WEEKDAY(B894,2)+1)</f>
        <v>46265</v>
      </c>
    </row>
    <row r="895" customFormat="false" ht="15" hidden="false" customHeight="false" outlineLevel="0" collapsed="false">
      <c r="A895" s="36" t="str">
        <f aca="false">IF(Raw_Export!$A895="","",TRIM(Raw_Export!A895))</f>
        <v>TXN-100877</v>
      </c>
      <c r="B895" s="37" t="n">
        <f aca="false">IF(Raw_Export!$A895="","",IF(ISNUMBER(Raw_Export!B895),Raw_Export!B895,IF(MID(TRIM(Raw_Export!B895),5,1)="-",DATE(LEFT(TRIM(Raw_Export!B895),4),MID(TRIM(Raw_Export!B895),6,2),RIGHT(TRIM(Raw_Export!B895),2)),DATE(RIGHT(TRIM(Raw_Export!B895),4),MATCH(MID(TRIM(Raw_Export!B895),4,3),{"Jan","Feb","Mar","Apr","May","Jun","Jul","Aug","Sep","Oct","Nov","Dec"},0),LEFT(TRIM(Raw_Export!B895),2)))))</f>
        <v>46270</v>
      </c>
      <c r="C895" s="36" t="str">
        <f aca="false">IF(Raw_Export!$A895="","",IFERROR(VLOOKUP(LOWER(TRIM(Raw_Export!C895)),Maps!$A$2:$B$20,2,FALSE()),"UNMAPPED"))</f>
        <v>Nakuru</v>
      </c>
      <c r="D895" s="36" t="str">
        <f aca="false">IF(Raw_Export!$A895="","",IFERROR(VLOOKUP(LOWER(TRIM(Raw_Export!D895)),Maps!$G$2:$I$80,2,FALSE()),"UNMAPPED"))</f>
        <v>Salt 500g</v>
      </c>
      <c r="E895" s="36" t="str">
        <f aca="false">IF(Raw_Export!$A895="","",IFERROR(VLOOKUP(LOWER(TRIM(Raw_Export!D895)),Maps!$G$2:$I$80,3,FALSE()),"UNMAPPED"))</f>
        <v>Staples</v>
      </c>
      <c r="F895" s="36" t="n">
        <f aca="false">IF(Raw_Export!$A895="","",IFERROR(VALUE(TRIM(Raw_Export!E895)),0))</f>
        <v>1</v>
      </c>
      <c r="G895" s="38" t="n">
        <f aca="false">IF(Raw_Export!$A895="","",IFERROR(VALUE(SUBSTITUTE(SUBSTITUTE(UPPER(TRIM(Raw_Export!F895)),"KES",""),",","")),0))</f>
        <v>40</v>
      </c>
      <c r="H895" s="38" t="n">
        <f aca="false">IF(Raw_Export!$A895="","",F895*G895)</f>
        <v>40</v>
      </c>
      <c r="I895" s="36" t="str">
        <f aca="false">IF(Raw_Export!$A895="","",IFERROR(VLOOKUP(LOWER(TRIM(Raw_Export!H895)),Maps!$D$2:$E$12,2,FALSE()),"Other"))</f>
        <v>M-Pesa</v>
      </c>
      <c r="J895" s="36" t="str">
        <f aca="false">IF(Raw_Export!$A895="","",IF(COUNTIF($A$2:A895,A895)&gt;1,"Duplicate",""))</f>
        <v/>
      </c>
      <c r="K895" s="36" t="str">
        <f aca="false">IF(Raw_Export!$A895="","",IF(J895="Duplicate","Duplicate",IF(OR(C895="UNMAPPED",D895="UNMAPPED"),"Unmapped",IF(F895=0,"Blank qty",IF(F895&lt;0,"Return","OK")))))</f>
        <v>OK</v>
      </c>
      <c r="L895" s="36" t="n">
        <f aca="false">IF(Raw_Export!$A895="","",IF(OR(K895="OK",K895="Return"),1,0))</f>
        <v>1</v>
      </c>
      <c r="M895" s="37" t="n">
        <f aca="false">IF(Raw_Export!$A895="","",B895-WEEKDAY(B895,2)+1)</f>
        <v>46265</v>
      </c>
    </row>
    <row r="896" customFormat="false" ht="15" hidden="false" customHeight="false" outlineLevel="0" collapsed="false">
      <c r="A896" s="36" t="str">
        <f aca="false">IF(Raw_Export!$A896="","",TRIM(Raw_Export!A896))</f>
        <v>TXN-100878</v>
      </c>
      <c r="B896" s="37" t="n">
        <f aca="false">IF(Raw_Export!$A896="","",IF(ISNUMBER(Raw_Export!B896),Raw_Export!B896,IF(MID(TRIM(Raw_Export!B896),5,1)="-",DATE(LEFT(TRIM(Raw_Export!B896),4),MID(TRIM(Raw_Export!B896),6,2),RIGHT(TRIM(Raw_Export!B896),2)),DATE(RIGHT(TRIM(Raw_Export!B896),4),MATCH(MID(TRIM(Raw_Export!B896),4,3),{"Jan","Feb","Mar","Apr","May","Jun","Jul","Aug","Sep","Oct","Nov","Dec"},0),LEFT(TRIM(Raw_Export!B896),2)))))</f>
        <v>46270</v>
      </c>
      <c r="C896" s="36" t="str">
        <f aca="false">IF(Raw_Export!$A896="","",IFERROR(VLOOKUP(LOWER(TRIM(Raw_Export!C896)),Maps!$A$2:$B$20,2,FALSE()),"UNMAPPED"))</f>
        <v>Nakuru</v>
      </c>
      <c r="D896" s="36" t="str">
        <f aca="false">IF(Raw_Export!$A896="","",IFERROR(VLOOKUP(LOWER(TRIM(Raw_Export!D896)),Maps!$G$2:$I$80,2,FALSE()),"UNMAPPED"))</f>
        <v>Bottled Water 1.5L</v>
      </c>
      <c r="E896" s="36" t="str">
        <f aca="false">IF(Raw_Export!$A896="","",IFERROR(VLOOKUP(LOWER(TRIM(Raw_Export!D896)),Maps!$G$2:$I$80,3,FALSE()),"UNMAPPED"))</f>
        <v>Beverages</v>
      </c>
      <c r="F896" s="36" t="n">
        <f aca="false">IF(Raw_Export!$A896="","",IFERROR(VALUE(TRIM(Raw_Export!E896)),0))</f>
        <v>1</v>
      </c>
      <c r="G896" s="38" t="n">
        <f aca="false">IF(Raw_Export!$A896="","",IFERROR(VALUE(SUBSTITUTE(SUBSTITUTE(UPPER(TRIM(Raw_Export!F896)),"KES",""),",","")),0))</f>
        <v>90</v>
      </c>
      <c r="H896" s="38" t="n">
        <f aca="false">IF(Raw_Export!$A896="","",F896*G896)</f>
        <v>90</v>
      </c>
      <c r="I896" s="36" t="str">
        <f aca="false">IF(Raw_Export!$A896="","",IFERROR(VLOOKUP(LOWER(TRIM(Raw_Export!H896)),Maps!$D$2:$E$12,2,FALSE()),"Other"))</f>
        <v>M-Pesa</v>
      </c>
      <c r="J896" s="36" t="str">
        <f aca="false">IF(Raw_Export!$A896="","",IF(COUNTIF($A$2:A896,A896)&gt;1,"Duplicate",""))</f>
        <v/>
      </c>
      <c r="K896" s="36" t="str">
        <f aca="false">IF(Raw_Export!$A896="","",IF(J896="Duplicate","Duplicate",IF(OR(C896="UNMAPPED",D896="UNMAPPED"),"Unmapped",IF(F896=0,"Blank qty",IF(F896&lt;0,"Return","OK")))))</f>
        <v>OK</v>
      </c>
      <c r="L896" s="36" t="n">
        <f aca="false">IF(Raw_Export!$A896="","",IF(OR(K896="OK",K896="Return"),1,0))</f>
        <v>1</v>
      </c>
      <c r="M896" s="37" t="n">
        <f aca="false">IF(Raw_Export!$A896="","",B896-WEEKDAY(B896,2)+1)</f>
        <v>46265</v>
      </c>
    </row>
    <row r="897" customFormat="false" ht="15" hidden="false" customHeight="false" outlineLevel="0" collapsed="false">
      <c r="A897" s="36" t="str">
        <f aca="false">IF(Raw_Export!$A897="","",TRIM(Raw_Export!A897))</f>
        <v>TXN-100879</v>
      </c>
      <c r="B897" s="37" t="n">
        <f aca="false">IF(Raw_Export!$A897="","",IF(ISNUMBER(Raw_Export!B897),Raw_Export!B897,IF(MID(TRIM(Raw_Export!B897),5,1)="-",DATE(LEFT(TRIM(Raw_Export!B897),4),MID(TRIM(Raw_Export!B897),6,2),RIGHT(TRIM(Raw_Export!B897),2)),DATE(RIGHT(TRIM(Raw_Export!B897),4),MATCH(MID(TRIM(Raw_Export!B897),4,3),{"Jan","Feb","Mar","Apr","May","Jun","Jul","Aug","Sep","Oct","Nov","Dec"},0),LEFT(TRIM(Raw_Export!B897),2)))))</f>
        <v>46270</v>
      </c>
      <c r="C897" s="36" t="str">
        <f aca="false">IF(Raw_Export!$A897="","",IFERROR(VLOOKUP(LOWER(TRIM(Raw_Export!C897)),Maps!$A$2:$B$20,2,FALSE()),"UNMAPPED"))</f>
        <v>Nakuru</v>
      </c>
      <c r="D897" s="36" t="str">
        <f aca="false">IF(Raw_Export!$A897="","",IFERROR(VLOOKUP(LOWER(TRIM(Raw_Export!D897)),Maps!$G$2:$I$80,2,FALSE()),"UNMAPPED"))</f>
        <v>Unga Pembe 2kg</v>
      </c>
      <c r="E897" s="36" t="str">
        <f aca="false">IF(Raw_Export!$A897="","",IFERROR(VLOOKUP(LOWER(TRIM(Raw_Export!D897)),Maps!$G$2:$I$80,3,FALSE()),"UNMAPPED"))</f>
        <v>Staples</v>
      </c>
      <c r="F897" s="36" t="n">
        <f aca="false">IF(Raw_Export!$A897="","",IFERROR(VALUE(TRIM(Raw_Export!E897)),0))</f>
        <v>3</v>
      </c>
      <c r="G897" s="38" t="n">
        <f aca="false">IF(Raw_Export!$A897="","",IFERROR(VALUE(SUBSTITUTE(SUBSTITUTE(UPPER(TRIM(Raw_Export!F897)),"KES",""),",","")),0))</f>
        <v>171</v>
      </c>
      <c r="H897" s="38" t="n">
        <f aca="false">IF(Raw_Export!$A897="","",F897*G897)</f>
        <v>513</v>
      </c>
      <c r="I897" s="36" t="str">
        <f aca="false">IF(Raw_Export!$A897="","",IFERROR(VLOOKUP(LOWER(TRIM(Raw_Export!H897)),Maps!$D$2:$E$12,2,FALSE()),"Other"))</f>
        <v>Cash</v>
      </c>
      <c r="J897" s="36" t="str">
        <f aca="false">IF(Raw_Export!$A897="","",IF(COUNTIF($A$2:A897,A897)&gt;1,"Duplicate",""))</f>
        <v/>
      </c>
      <c r="K897" s="36" t="str">
        <f aca="false">IF(Raw_Export!$A897="","",IF(J897="Duplicate","Duplicate",IF(OR(C897="UNMAPPED",D897="UNMAPPED"),"Unmapped",IF(F897=0,"Blank qty",IF(F897&lt;0,"Return","OK")))))</f>
        <v>OK</v>
      </c>
      <c r="L897" s="36" t="n">
        <f aca="false">IF(Raw_Export!$A897="","",IF(OR(K897="OK",K897="Return"),1,0))</f>
        <v>1</v>
      </c>
      <c r="M897" s="37" t="n">
        <f aca="false">IF(Raw_Export!$A897="","",B897-WEEKDAY(B897,2)+1)</f>
        <v>46265</v>
      </c>
    </row>
    <row r="898" customFormat="false" ht="15" hidden="false" customHeight="false" outlineLevel="0" collapsed="false">
      <c r="A898" s="36" t="str">
        <f aca="false">IF(Raw_Export!$A898="","",TRIM(Raw_Export!A898))</f>
        <v>TXN-100880</v>
      </c>
      <c r="B898" s="37" t="n">
        <f aca="false">IF(Raw_Export!$A898="","",IF(ISNUMBER(Raw_Export!B898),Raw_Export!B898,IF(MID(TRIM(Raw_Export!B898),5,1)="-",DATE(LEFT(TRIM(Raw_Export!B898),4),MID(TRIM(Raw_Export!B898),6,2),RIGHT(TRIM(Raw_Export!B898),2)),DATE(RIGHT(TRIM(Raw_Export!B898),4),MATCH(MID(TRIM(Raw_Export!B898),4,3),{"Jan","Feb","Mar","Apr","May","Jun","Jul","Aug","Sep","Oct","Nov","Dec"},0),LEFT(TRIM(Raw_Export!B898),2)))))</f>
        <v>46270</v>
      </c>
      <c r="C898" s="36" t="str">
        <f aca="false">IF(Raw_Export!$A898="","",IFERROR(VLOOKUP(LOWER(TRIM(Raw_Export!C898)),Maps!$A$2:$B$20,2,FALSE()),"UNMAPPED"))</f>
        <v>Nakuru</v>
      </c>
      <c r="D898" s="36" t="str">
        <f aca="false">IF(Raw_Export!$A898="","",IFERROR(VLOOKUP(LOWER(TRIM(Raw_Export!D898)),Maps!$G$2:$I$80,2,FALSE()),"UNMAPPED"))</f>
        <v>Eggs Tray 30</v>
      </c>
      <c r="E898" s="36" t="str">
        <f aca="false">IF(Raw_Export!$A898="","",IFERROR(VLOOKUP(LOWER(TRIM(Raw_Export!D898)),Maps!$G$2:$I$80,3,FALSE()),"UNMAPPED"))</f>
        <v>Dairy &amp; Eggs</v>
      </c>
      <c r="F898" s="36" t="n">
        <f aca="false">IF(Raw_Export!$A898="","",IFERROR(VALUE(TRIM(Raw_Export!E898)),0))</f>
        <v>1</v>
      </c>
      <c r="G898" s="38" t="n">
        <f aca="false">IF(Raw_Export!$A898="","",IFERROR(VALUE(SUBSTITUTE(SUBSTITUTE(UPPER(TRIM(Raw_Export!F898)),"KES",""),",","")),0))</f>
        <v>450</v>
      </c>
      <c r="H898" s="38" t="n">
        <f aca="false">IF(Raw_Export!$A898="","",F898*G898)</f>
        <v>450</v>
      </c>
      <c r="I898" s="36" t="str">
        <f aca="false">IF(Raw_Export!$A898="","",IFERROR(VLOOKUP(LOWER(TRIM(Raw_Export!H898)),Maps!$D$2:$E$12,2,FALSE()),"Other"))</f>
        <v>M-Pesa</v>
      </c>
      <c r="J898" s="36" t="str">
        <f aca="false">IF(Raw_Export!$A898="","",IF(COUNTIF($A$2:A898,A898)&gt;1,"Duplicate",""))</f>
        <v/>
      </c>
      <c r="K898" s="36" t="str">
        <f aca="false">IF(Raw_Export!$A898="","",IF(J898="Duplicate","Duplicate",IF(OR(C898="UNMAPPED",D898="UNMAPPED"),"Unmapped",IF(F898=0,"Blank qty",IF(F898&lt;0,"Return","OK")))))</f>
        <v>OK</v>
      </c>
      <c r="L898" s="36" t="n">
        <f aca="false">IF(Raw_Export!$A898="","",IF(OR(K898="OK",K898="Return"),1,0))</f>
        <v>1</v>
      </c>
      <c r="M898" s="37" t="n">
        <f aca="false">IF(Raw_Export!$A898="","",B898-WEEKDAY(B898,2)+1)</f>
        <v>46265</v>
      </c>
    </row>
    <row r="899" customFormat="false" ht="15" hidden="false" customHeight="false" outlineLevel="0" collapsed="false">
      <c r="A899" s="36" t="str">
        <f aca="false">IF(Raw_Export!$A899="","",TRIM(Raw_Export!A899))</f>
        <v>TXN-100881</v>
      </c>
      <c r="B899" s="37" t="n">
        <f aca="false">IF(Raw_Export!$A899="","",IF(ISNUMBER(Raw_Export!B899),Raw_Export!B899,IF(MID(TRIM(Raw_Export!B899),5,1)="-",DATE(LEFT(TRIM(Raw_Export!B899),4),MID(TRIM(Raw_Export!B899),6,2),RIGHT(TRIM(Raw_Export!B899),2)),DATE(RIGHT(TRIM(Raw_Export!B899),4),MATCH(MID(TRIM(Raw_Export!B899),4,3),{"Jan","Feb","Mar","Apr","May","Jun","Jul","Aug","Sep","Oct","Nov","Dec"},0),LEFT(TRIM(Raw_Export!B899),2)))))</f>
        <v>46270</v>
      </c>
      <c r="C899" s="36" t="str">
        <f aca="false">IF(Raw_Export!$A899="","",IFERROR(VLOOKUP(LOWER(TRIM(Raw_Export!C899)),Maps!$A$2:$B$20,2,FALSE()),"UNMAPPED"))</f>
        <v>Nakuru</v>
      </c>
      <c r="D899" s="36" t="str">
        <f aca="false">IF(Raw_Export!$A899="","",IFERROR(VLOOKUP(LOWER(TRIM(Raw_Export!D899)),Maps!$G$2:$I$80,2,FALSE()),"UNMAPPED"))</f>
        <v>Bread Loaf 400g</v>
      </c>
      <c r="E899" s="36" t="str">
        <f aca="false">IF(Raw_Export!$A899="","",IFERROR(VLOOKUP(LOWER(TRIM(Raw_Export!D899)),Maps!$G$2:$I$80,3,FALSE()),"UNMAPPED"))</f>
        <v>Snacks</v>
      </c>
      <c r="F899" s="36" t="n">
        <f aca="false">IF(Raw_Export!$A899="","",IFERROR(VALUE(TRIM(Raw_Export!E899)),0))</f>
        <v>1</v>
      </c>
      <c r="G899" s="38" t="n">
        <f aca="false">IF(Raw_Export!$A899="","",IFERROR(VALUE(SUBSTITUTE(SUBSTITUTE(UPPER(TRIM(Raw_Export!F899)),"KES",""),",","")),0))</f>
        <v>58</v>
      </c>
      <c r="H899" s="38" t="n">
        <f aca="false">IF(Raw_Export!$A899="","",F899*G899)</f>
        <v>58</v>
      </c>
      <c r="I899" s="36" t="str">
        <f aca="false">IF(Raw_Export!$A899="","",IFERROR(VLOOKUP(LOWER(TRIM(Raw_Export!H899)),Maps!$D$2:$E$12,2,FALSE()),"Other"))</f>
        <v>Cash</v>
      </c>
      <c r="J899" s="36" t="str">
        <f aca="false">IF(Raw_Export!$A899="","",IF(COUNTIF($A$2:A899,A899)&gt;1,"Duplicate",""))</f>
        <v/>
      </c>
      <c r="K899" s="36" t="str">
        <f aca="false">IF(Raw_Export!$A899="","",IF(J899="Duplicate","Duplicate",IF(OR(C899="UNMAPPED",D899="UNMAPPED"),"Unmapped",IF(F899=0,"Blank qty",IF(F899&lt;0,"Return","OK")))))</f>
        <v>OK</v>
      </c>
      <c r="L899" s="36" t="n">
        <f aca="false">IF(Raw_Export!$A899="","",IF(OR(K899="OK",K899="Return"),1,0))</f>
        <v>1</v>
      </c>
      <c r="M899" s="37" t="n">
        <f aca="false">IF(Raw_Export!$A899="","",B899-WEEKDAY(B899,2)+1)</f>
        <v>46265</v>
      </c>
    </row>
    <row r="900" customFormat="false" ht="15" hidden="false" customHeight="false" outlineLevel="0" collapsed="false">
      <c r="A900" s="36" t="str">
        <f aca="false">IF(Raw_Export!$A900="","",TRIM(Raw_Export!A900))</f>
        <v>TXN-100882</v>
      </c>
      <c r="B900" s="37" t="n">
        <f aca="false">IF(Raw_Export!$A900="","",IF(ISNUMBER(Raw_Export!B900),Raw_Export!B900,IF(MID(TRIM(Raw_Export!B900),5,1)="-",DATE(LEFT(TRIM(Raw_Export!B900),4),MID(TRIM(Raw_Export!B900),6,2),RIGHT(TRIM(Raw_Export!B900),2)),DATE(RIGHT(TRIM(Raw_Export!B900),4),MATCH(MID(TRIM(Raw_Export!B900),4,3),{"Jan","Feb","Mar","Apr","May","Jun","Jul","Aug","Sep","Oct","Nov","Dec"},0),LEFT(TRIM(Raw_Export!B900),2)))))</f>
        <v>46270</v>
      </c>
      <c r="C900" s="36" t="str">
        <f aca="false">IF(Raw_Export!$A900="","",IFERROR(VLOOKUP(LOWER(TRIM(Raw_Export!C900)),Maps!$A$2:$B$20,2,FALSE()),"UNMAPPED"))</f>
        <v>Nakuru</v>
      </c>
      <c r="D900" s="36" t="str">
        <f aca="false">IF(Raw_Export!$A900="","",IFERROR(VLOOKUP(LOWER(TRIM(Raw_Export!D900)),Maps!$G$2:$I$80,2,FALSE()),"UNMAPPED"))</f>
        <v>Washing Powder 1kg</v>
      </c>
      <c r="E900" s="36" t="str">
        <f aca="false">IF(Raw_Export!$A900="","",IFERROR(VLOOKUP(LOWER(TRIM(Raw_Export!D900)),Maps!$G$2:$I$80,3,FALSE()),"UNMAPPED"))</f>
        <v>Household</v>
      </c>
      <c r="F900" s="36" t="n">
        <f aca="false">IF(Raw_Export!$A900="","",IFERROR(VALUE(TRIM(Raw_Export!E900)),0))</f>
        <v>1</v>
      </c>
      <c r="G900" s="38" t="n">
        <f aca="false">IF(Raw_Export!$A900="","",IFERROR(VALUE(SUBSTITUTE(SUBSTITUTE(UPPER(TRIM(Raw_Export!F900)),"KES",""),",","")),0))</f>
        <v>280</v>
      </c>
      <c r="H900" s="38" t="n">
        <f aca="false">IF(Raw_Export!$A900="","",F900*G900)</f>
        <v>280</v>
      </c>
      <c r="I900" s="36" t="str">
        <f aca="false">IF(Raw_Export!$A900="","",IFERROR(VLOOKUP(LOWER(TRIM(Raw_Export!H900)),Maps!$D$2:$E$12,2,FALSE()),"Other"))</f>
        <v>M-Pesa</v>
      </c>
      <c r="J900" s="36" t="str">
        <f aca="false">IF(Raw_Export!$A900="","",IF(COUNTIF($A$2:A900,A900)&gt;1,"Duplicate",""))</f>
        <v/>
      </c>
      <c r="K900" s="36" t="str">
        <f aca="false">IF(Raw_Export!$A900="","",IF(J900="Duplicate","Duplicate",IF(OR(C900="UNMAPPED",D900="UNMAPPED"),"Unmapped",IF(F900=0,"Blank qty",IF(F900&lt;0,"Return","OK")))))</f>
        <v>OK</v>
      </c>
      <c r="L900" s="36" t="n">
        <f aca="false">IF(Raw_Export!$A900="","",IF(OR(K900="OK",K900="Return"),1,0))</f>
        <v>1</v>
      </c>
      <c r="M900" s="37" t="n">
        <f aca="false">IF(Raw_Export!$A900="","",B900-WEEKDAY(B900,2)+1)</f>
        <v>46265</v>
      </c>
    </row>
    <row r="901" customFormat="false" ht="15" hidden="false" customHeight="false" outlineLevel="0" collapsed="false">
      <c r="A901" s="36" t="str">
        <f aca="false">IF(Raw_Export!$A901="","",TRIM(Raw_Export!A901))</f>
        <v>TXN-100883</v>
      </c>
      <c r="B901" s="37" t="n">
        <f aca="false">IF(Raw_Export!$A901="","",IF(ISNUMBER(Raw_Export!B901),Raw_Export!B901,IF(MID(TRIM(Raw_Export!B901),5,1)="-",DATE(LEFT(TRIM(Raw_Export!B901),4),MID(TRIM(Raw_Export!B901),6,2),RIGHT(TRIM(Raw_Export!B901),2)),DATE(RIGHT(TRIM(Raw_Export!B901),4),MATCH(MID(TRIM(Raw_Export!B901),4,3),{"Jan","Feb","Mar","Apr","May","Jun","Jul","Aug","Sep","Oct","Nov","Dec"},0),LEFT(TRIM(Raw_Export!B901),2)))))</f>
        <v>46270</v>
      </c>
      <c r="C901" s="36" t="str">
        <f aca="false">IF(Raw_Export!$A901="","",IFERROR(VLOOKUP(LOWER(TRIM(Raw_Export!C901)),Maps!$A$2:$B$20,2,FALSE()),"UNMAPPED"))</f>
        <v>Nakuru</v>
      </c>
      <c r="D901" s="36" t="str">
        <f aca="false">IF(Raw_Export!$A901="","",IFERROR(VLOOKUP(LOWER(TRIM(Raw_Export!D901)),Maps!$G$2:$I$80,2,FALSE()),"UNMAPPED"))</f>
        <v>Toothpaste 100g</v>
      </c>
      <c r="E901" s="36" t="str">
        <f aca="false">IF(Raw_Export!$A901="","",IFERROR(VLOOKUP(LOWER(TRIM(Raw_Export!D901)),Maps!$G$2:$I$80,3,FALSE()),"UNMAPPED"))</f>
        <v>Personal Care</v>
      </c>
      <c r="F901" s="36" t="n">
        <f aca="false">IF(Raw_Export!$A901="","",IFERROR(VALUE(TRIM(Raw_Export!E901)),0))</f>
        <v>2</v>
      </c>
      <c r="G901" s="38" t="n">
        <f aca="false">IF(Raw_Export!$A901="","",IFERROR(VALUE(SUBSTITUTE(SUBSTITUTE(UPPER(TRIM(Raw_Export!F901)),"KES",""),",","")),0))</f>
        <v>195</v>
      </c>
      <c r="H901" s="38" t="n">
        <f aca="false">IF(Raw_Export!$A901="","",F901*G901)</f>
        <v>390</v>
      </c>
      <c r="I901" s="36" t="str">
        <f aca="false">IF(Raw_Export!$A901="","",IFERROR(VLOOKUP(LOWER(TRIM(Raw_Export!H901)),Maps!$D$2:$E$12,2,FALSE()),"Other"))</f>
        <v>M-Pesa</v>
      </c>
      <c r="J901" s="36" t="str">
        <f aca="false">IF(Raw_Export!$A901="","",IF(COUNTIF($A$2:A901,A901)&gt;1,"Duplicate",""))</f>
        <v/>
      </c>
      <c r="K901" s="36" t="str">
        <f aca="false">IF(Raw_Export!$A901="","",IF(J901="Duplicate","Duplicate",IF(OR(C901="UNMAPPED",D901="UNMAPPED"),"Unmapped",IF(F901=0,"Blank qty",IF(F901&lt;0,"Return","OK")))))</f>
        <v>OK</v>
      </c>
      <c r="L901" s="36" t="n">
        <f aca="false">IF(Raw_Export!$A901="","",IF(OR(K901="OK",K901="Return"),1,0))</f>
        <v>1</v>
      </c>
      <c r="M901" s="37" t="n">
        <f aca="false">IF(Raw_Export!$A901="","",B901-WEEKDAY(B901,2)+1)</f>
        <v>46265</v>
      </c>
    </row>
    <row r="902" customFormat="false" ht="15" hidden="false" customHeight="false" outlineLevel="0" collapsed="false">
      <c r="A902" s="36" t="str">
        <f aca="false">IF(Raw_Export!$A902="","",TRIM(Raw_Export!A902))</f>
        <v>TXN-100884</v>
      </c>
      <c r="B902" s="37" t="n">
        <f aca="false">IF(Raw_Export!$A902="","",IF(ISNUMBER(Raw_Export!B902),Raw_Export!B902,IF(MID(TRIM(Raw_Export!B902),5,1)="-",DATE(LEFT(TRIM(Raw_Export!B902),4),MID(TRIM(Raw_Export!B902),6,2),RIGHT(TRIM(Raw_Export!B902),2)),DATE(RIGHT(TRIM(Raw_Export!B902),4),MATCH(MID(TRIM(Raw_Export!B902),4,3),{"Jan","Feb","Mar","Apr","May","Jun","Jul","Aug","Sep","Oct","Nov","Dec"},0),LEFT(TRIM(Raw_Export!B902),2)))))</f>
        <v>46270</v>
      </c>
      <c r="C902" s="36" t="str">
        <f aca="false">IF(Raw_Export!$A902="","",IFERROR(VLOOKUP(LOWER(TRIM(Raw_Export!C902)),Maps!$A$2:$B$20,2,FALSE()),"UNMAPPED"))</f>
        <v>Nakuru</v>
      </c>
      <c r="D902" s="36" t="str">
        <f aca="false">IF(Raw_Export!$A902="","",IFERROR(VLOOKUP(LOWER(TRIM(Raw_Export!D902)),Maps!$G$2:$I$80,2,FALSE()),"UNMAPPED"))</f>
        <v>Cooking Oil 1L</v>
      </c>
      <c r="E902" s="36" t="str">
        <f aca="false">IF(Raw_Export!$A902="","",IFERROR(VLOOKUP(LOWER(TRIM(Raw_Export!D902)),Maps!$G$2:$I$80,3,FALSE()),"UNMAPPED"))</f>
        <v>Staples</v>
      </c>
      <c r="F902" s="36" t="n">
        <f aca="false">IF(Raw_Export!$A902="","",IFERROR(VALUE(TRIM(Raw_Export!E902)),0))</f>
        <v>2</v>
      </c>
      <c r="G902" s="38" t="n">
        <f aca="false">IF(Raw_Export!$A902="","",IFERROR(VALUE(SUBSTITUTE(SUBSTITUTE(UPPER(TRIM(Raw_Export!F902)),"KES",""),",","")),0))</f>
        <v>330</v>
      </c>
      <c r="H902" s="38" t="n">
        <f aca="false">IF(Raw_Export!$A902="","",F902*G902)</f>
        <v>660</v>
      </c>
      <c r="I902" s="36" t="str">
        <f aca="false">IF(Raw_Export!$A902="","",IFERROR(VLOOKUP(LOWER(TRIM(Raw_Export!H902)),Maps!$D$2:$E$12,2,FALSE()),"Other"))</f>
        <v>M-Pesa</v>
      </c>
      <c r="J902" s="36" t="str">
        <f aca="false">IF(Raw_Export!$A902="","",IF(COUNTIF($A$2:A902,A902)&gt;1,"Duplicate",""))</f>
        <v/>
      </c>
      <c r="K902" s="36" t="str">
        <f aca="false">IF(Raw_Export!$A902="","",IF(J902="Duplicate","Duplicate",IF(OR(C902="UNMAPPED",D902="UNMAPPED"),"Unmapped",IF(F902=0,"Blank qty",IF(F902&lt;0,"Return","OK")))))</f>
        <v>OK</v>
      </c>
      <c r="L902" s="36" t="n">
        <f aca="false">IF(Raw_Export!$A902="","",IF(OR(K902="OK",K902="Return"),1,0))</f>
        <v>1</v>
      </c>
      <c r="M902" s="37" t="n">
        <f aca="false">IF(Raw_Export!$A902="","",B902-WEEKDAY(B902,2)+1)</f>
        <v>46265</v>
      </c>
    </row>
    <row r="903" customFormat="false" ht="15" hidden="false" customHeight="false" outlineLevel="0" collapsed="false">
      <c r="A903" s="36" t="str">
        <f aca="false">IF(Raw_Export!$A903="","",TRIM(Raw_Export!A903))</f>
        <v>TXN-100885</v>
      </c>
      <c r="B903" s="37" t="n">
        <f aca="false">IF(Raw_Export!$A903="","",IF(ISNUMBER(Raw_Export!B903),Raw_Export!B903,IF(MID(TRIM(Raw_Export!B903),5,1)="-",DATE(LEFT(TRIM(Raw_Export!B903),4),MID(TRIM(Raw_Export!B903),6,2),RIGHT(TRIM(Raw_Export!B903),2)),DATE(RIGHT(TRIM(Raw_Export!B903),4),MATCH(MID(TRIM(Raw_Export!B903),4,3),{"Jan","Feb","Mar","Apr","May","Jun","Jul","Aug","Sep","Oct","Nov","Dec"},0),LEFT(TRIM(Raw_Export!B903),2)))))</f>
        <v>46270</v>
      </c>
      <c r="C903" s="36" t="str">
        <f aca="false">IF(Raw_Export!$A903="","",IFERROR(VLOOKUP(LOWER(TRIM(Raw_Export!C903)),Maps!$A$2:$B$20,2,FALSE()),"UNMAPPED"))</f>
        <v>Nakuru</v>
      </c>
      <c r="D903" s="36" t="str">
        <f aca="false">IF(Raw_Export!$A903="","",IFERROR(VLOOKUP(LOWER(TRIM(Raw_Export!D903)),Maps!$G$2:$I$80,2,FALSE()),"UNMAPPED"))</f>
        <v>Rice Pishori 2kg</v>
      </c>
      <c r="E903" s="36" t="str">
        <f aca="false">IF(Raw_Export!$A903="","",IFERROR(VLOOKUP(LOWER(TRIM(Raw_Export!D903)),Maps!$G$2:$I$80,3,FALSE()),"UNMAPPED"))</f>
        <v>Staples</v>
      </c>
      <c r="F903" s="36" t="n">
        <f aca="false">IF(Raw_Export!$A903="","",IFERROR(VALUE(TRIM(Raw_Export!E903)),0))</f>
        <v>3</v>
      </c>
      <c r="G903" s="38" t="n">
        <f aca="false">IF(Raw_Export!$A903="","",IFERROR(VALUE(SUBSTITUTE(SUBSTITUTE(UPPER(TRIM(Raw_Export!F903)),"KES",""),",","")),0))</f>
        <v>420</v>
      </c>
      <c r="H903" s="38" t="n">
        <f aca="false">IF(Raw_Export!$A903="","",F903*G903)</f>
        <v>1260</v>
      </c>
      <c r="I903" s="36" t="str">
        <f aca="false">IF(Raw_Export!$A903="","",IFERROR(VLOOKUP(LOWER(TRIM(Raw_Export!H903)),Maps!$D$2:$E$12,2,FALSE()),"Other"))</f>
        <v>M-Pesa</v>
      </c>
      <c r="J903" s="36" t="str">
        <f aca="false">IF(Raw_Export!$A903="","",IF(COUNTIF($A$2:A903,A903)&gt;1,"Duplicate",""))</f>
        <v/>
      </c>
      <c r="K903" s="36" t="str">
        <f aca="false">IF(Raw_Export!$A903="","",IF(J903="Duplicate","Duplicate",IF(OR(C903="UNMAPPED",D903="UNMAPPED"),"Unmapped",IF(F903=0,"Blank qty",IF(F903&lt;0,"Return","OK")))))</f>
        <v>OK</v>
      </c>
      <c r="L903" s="36" t="n">
        <f aca="false">IF(Raw_Export!$A903="","",IF(OR(K903="OK",K903="Return"),1,0))</f>
        <v>1</v>
      </c>
      <c r="M903" s="37" t="n">
        <f aca="false">IF(Raw_Export!$A903="","",B903-WEEKDAY(B903,2)+1)</f>
        <v>46265</v>
      </c>
    </row>
    <row r="904" customFormat="false" ht="15" hidden="false" customHeight="false" outlineLevel="0" collapsed="false">
      <c r="A904" s="36" t="str">
        <f aca="false">IF(Raw_Export!$A904="","",TRIM(Raw_Export!A904))</f>
        <v>TXN-100886</v>
      </c>
      <c r="B904" s="37" t="n">
        <f aca="false">IF(Raw_Export!$A904="","",IF(ISNUMBER(Raw_Export!B904),Raw_Export!B904,IF(MID(TRIM(Raw_Export!B904),5,1)="-",DATE(LEFT(TRIM(Raw_Export!B904),4),MID(TRIM(Raw_Export!B904),6,2),RIGHT(TRIM(Raw_Export!B904),2)),DATE(RIGHT(TRIM(Raw_Export!B904),4),MATCH(MID(TRIM(Raw_Export!B904),4,3),{"Jan","Feb","Mar","Apr","May","Jun","Jul","Aug","Sep","Oct","Nov","Dec"},0),LEFT(TRIM(Raw_Export!B904),2)))))</f>
        <v>46270</v>
      </c>
      <c r="C904" s="36" t="str">
        <f aca="false">IF(Raw_Export!$A904="","",IFERROR(VLOOKUP(LOWER(TRIM(Raw_Export!C904)),Maps!$A$2:$B$20,2,FALSE()),"UNMAPPED"))</f>
        <v>Nakuru</v>
      </c>
      <c r="D904" s="36" t="str">
        <f aca="false">IF(Raw_Export!$A904="","",IFERROR(VLOOKUP(LOWER(TRIM(Raw_Export!D904)),Maps!$G$2:$I$80,2,FALSE()),"UNMAPPED"))</f>
        <v>Cooking Oil 1L</v>
      </c>
      <c r="E904" s="36" t="str">
        <f aca="false">IF(Raw_Export!$A904="","",IFERROR(VLOOKUP(LOWER(TRIM(Raw_Export!D904)),Maps!$G$2:$I$80,3,FALSE()),"UNMAPPED"))</f>
        <v>Staples</v>
      </c>
      <c r="F904" s="36" t="n">
        <f aca="false">IF(Raw_Export!$A904="","",IFERROR(VALUE(TRIM(Raw_Export!E904)),0))</f>
        <v>1</v>
      </c>
      <c r="G904" s="38" t="n">
        <f aca="false">IF(Raw_Export!$A904="","",IFERROR(VALUE(SUBSTITUTE(SUBSTITUTE(UPPER(TRIM(Raw_Export!F904)),"KES",""),",","")),0))</f>
        <v>330</v>
      </c>
      <c r="H904" s="38" t="n">
        <f aca="false">IF(Raw_Export!$A904="","",F904*G904)</f>
        <v>330</v>
      </c>
      <c r="I904" s="36" t="str">
        <f aca="false">IF(Raw_Export!$A904="","",IFERROR(VLOOKUP(LOWER(TRIM(Raw_Export!H904)),Maps!$D$2:$E$12,2,FALSE()),"Other"))</f>
        <v>Card</v>
      </c>
      <c r="J904" s="36" t="str">
        <f aca="false">IF(Raw_Export!$A904="","",IF(COUNTIF($A$2:A904,A904)&gt;1,"Duplicate",""))</f>
        <v/>
      </c>
      <c r="K904" s="36" t="str">
        <f aca="false">IF(Raw_Export!$A904="","",IF(J904="Duplicate","Duplicate",IF(OR(C904="UNMAPPED",D904="UNMAPPED"),"Unmapped",IF(F904=0,"Blank qty",IF(F904&lt;0,"Return","OK")))))</f>
        <v>OK</v>
      </c>
      <c r="L904" s="36" t="n">
        <f aca="false">IF(Raw_Export!$A904="","",IF(OR(K904="OK",K904="Return"),1,0))</f>
        <v>1</v>
      </c>
      <c r="M904" s="37" t="n">
        <f aca="false">IF(Raw_Export!$A904="","",B904-WEEKDAY(B904,2)+1)</f>
        <v>46265</v>
      </c>
    </row>
    <row r="905" customFormat="false" ht="15" hidden="false" customHeight="false" outlineLevel="0" collapsed="false">
      <c r="A905" s="36" t="str">
        <f aca="false">IF(Raw_Export!$A905="","",TRIM(Raw_Export!A905))</f>
        <v>TXN-100887</v>
      </c>
      <c r="B905" s="37" t="n">
        <f aca="false">IF(Raw_Export!$A905="","",IF(ISNUMBER(Raw_Export!B905),Raw_Export!B905,IF(MID(TRIM(Raw_Export!B905),5,1)="-",DATE(LEFT(TRIM(Raw_Export!B905),4),MID(TRIM(Raw_Export!B905),6,2),RIGHT(TRIM(Raw_Export!B905),2)),DATE(RIGHT(TRIM(Raw_Export!B905),4),MATCH(MID(TRIM(Raw_Export!B905),4,3),{"Jan","Feb","Mar","Apr","May","Jun","Jul","Aug","Sep","Oct","Nov","Dec"},0),LEFT(TRIM(Raw_Export!B905),2)))))</f>
        <v>46270</v>
      </c>
      <c r="C905" s="36" t="str">
        <f aca="false">IF(Raw_Export!$A905="","",IFERROR(VLOOKUP(LOWER(TRIM(Raw_Export!C905)),Maps!$A$2:$B$20,2,FALSE()),"UNMAPPED"))</f>
        <v>Nakuru</v>
      </c>
      <c r="D905" s="36" t="str">
        <f aca="false">IF(Raw_Export!$A905="","",IFERROR(VLOOKUP(LOWER(TRIM(Raw_Export!D905)),Maps!$G$2:$I$80,2,FALSE()),"UNMAPPED"))</f>
        <v>Unga Pembe 2kg</v>
      </c>
      <c r="E905" s="36" t="str">
        <f aca="false">IF(Raw_Export!$A905="","",IFERROR(VLOOKUP(LOWER(TRIM(Raw_Export!D905)),Maps!$G$2:$I$80,3,FALSE()),"UNMAPPED"))</f>
        <v>Staples</v>
      </c>
      <c r="F905" s="36" t="n">
        <f aca="false">IF(Raw_Export!$A905="","",IFERROR(VALUE(TRIM(Raw_Export!E905)),0))</f>
        <v>1</v>
      </c>
      <c r="G905" s="38" t="n">
        <f aca="false">IF(Raw_Export!$A905="","",IFERROR(VALUE(SUBSTITUTE(SUBSTITUTE(UPPER(TRIM(Raw_Export!F905)),"KES",""),",","")),0))</f>
        <v>190</v>
      </c>
      <c r="H905" s="38" t="n">
        <f aca="false">IF(Raw_Export!$A905="","",F905*G905)</f>
        <v>190</v>
      </c>
      <c r="I905" s="36" t="str">
        <f aca="false">IF(Raw_Export!$A905="","",IFERROR(VLOOKUP(LOWER(TRIM(Raw_Export!H905)),Maps!$D$2:$E$12,2,FALSE()),"Other"))</f>
        <v>Card</v>
      </c>
      <c r="J905" s="36" t="str">
        <f aca="false">IF(Raw_Export!$A905="","",IF(COUNTIF($A$2:A905,A905)&gt;1,"Duplicate",""))</f>
        <v/>
      </c>
      <c r="K905" s="36" t="str">
        <f aca="false">IF(Raw_Export!$A905="","",IF(J905="Duplicate","Duplicate",IF(OR(C905="UNMAPPED",D905="UNMAPPED"),"Unmapped",IF(F905=0,"Blank qty",IF(F905&lt;0,"Return","OK")))))</f>
        <v>OK</v>
      </c>
      <c r="L905" s="36" t="n">
        <f aca="false">IF(Raw_Export!$A905="","",IF(OR(K905="OK",K905="Return"),1,0))</f>
        <v>1</v>
      </c>
      <c r="M905" s="37" t="n">
        <f aca="false">IF(Raw_Export!$A905="","",B905-WEEKDAY(B905,2)+1)</f>
        <v>46265</v>
      </c>
    </row>
    <row r="906" customFormat="false" ht="15" hidden="false" customHeight="false" outlineLevel="0" collapsed="false">
      <c r="A906" s="36" t="str">
        <f aca="false">IF(Raw_Export!$A906="","",TRIM(Raw_Export!A906))</f>
        <v>TXN-100888</v>
      </c>
      <c r="B906" s="37" t="n">
        <f aca="false">IF(Raw_Export!$A906="","",IF(ISNUMBER(Raw_Export!B906),Raw_Export!B906,IF(MID(TRIM(Raw_Export!B906),5,1)="-",DATE(LEFT(TRIM(Raw_Export!B906),4),MID(TRIM(Raw_Export!B906),6,2),RIGHT(TRIM(Raw_Export!B906),2)),DATE(RIGHT(TRIM(Raw_Export!B906),4),MATCH(MID(TRIM(Raw_Export!B906),4,3),{"Jan","Feb","Mar","Apr","May","Jun","Jul","Aug","Sep","Oct","Nov","Dec"},0),LEFT(TRIM(Raw_Export!B906),2)))))</f>
        <v>46270</v>
      </c>
      <c r="C906" s="36" t="str">
        <f aca="false">IF(Raw_Export!$A906="","",IFERROR(VLOOKUP(LOWER(TRIM(Raw_Export!C906)),Maps!$A$2:$B$20,2,FALSE()),"UNMAPPED"))</f>
        <v>Nakuru</v>
      </c>
      <c r="D906" s="36" t="str">
        <f aca="false">IF(Raw_Export!$A906="","",IFERROR(VLOOKUP(LOWER(TRIM(Raw_Export!D906)),Maps!$G$2:$I$80,2,FALSE()),"UNMAPPED"))</f>
        <v>Dish Soap 750ml</v>
      </c>
      <c r="E906" s="36" t="str">
        <f aca="false">IF(Raw_Export!$A906="","",IFERROR(VLOOKUP(LOWER(TRIM(Raw_Export!D906)),Maps!$G$2:$I$80,3,FALSE()),"UNMAPPED"))</f>
        <v>Household</v>
      </c>
      <c r="F906" s="36" t="n">
        <f aca="false">IF(Raw_Export!$A906="","",IFERROR(VALUE(TRIM(Raw_Export!E906)),0))</f>
        <v>-1</v>
      </c>
      <c r="G906" s="38" t="n">
        <f aca="false">IF(Raw_Export!$A906="","",IFERROR(VALUE(SUBSTITUTE(SUBSTITUTE(UPPER(TRIM(Raw_Export!F906)),"KES",""),",","")),0))</f>
        <v>190</v>
      </c>
      <c r="H906" s="38" t="n">
        <f aca="false">IF(Raw_Export!$A906="","",F906*G906)</f>
        <v>-190</v>
      </c>
      <c r="I906" s="36" t="str">
        <f aca="false">IF(Raw_Export!$A906="","",IFERROR(VLOOKUP(LOWER(TRIM(Raw_Export!H906)),Maps!$D$2:$E$12,2,FALSE()),"Other"))</f>
        <v>Card</v>
      </c>
      <c r="J906" s="36" t="str">
        <f aca="false">IF(Raw_Export!$A906="","",IF(COUNTIF($A$2:A906,A906)&gt;1,"Duplicate",""))</f>
        <v/>
      </c>
      <c r="K906" s="36" t="str">
        <f aca="false">IF(Raw_Export!$A906="","",IF(J906="Duplicate","Duplicate",IF(OR(C906="UNMAPPED",D906="UNMAPPED"),"Unmapped",IF(F906=0,"Blank qty",IF(F906&lt;0,"Return","OK")))))</f>
        <v>Return</v>
      </c>
      <c r="L906" s="36" t="n">
        <f aca="false">IF(Raw_Export!$A906="","",IF(OR(K906="OK",K906="Return"),1,0))</f>
        <v>1</v>
      </c>
      <c r="M906" s="37" t="n">
        <f aca="false">IF(Raw_Export!$A906="","",B906-WEEKDAY(B906,2)+1)</f>
        <v>46265</v>
      </c>
    </row>
    <row r="907" customFormat="false" ht="15" hidden="false" customHeight="false" outlineLevel="0" collapsed="false">
      <c r="A907" s="36" t="str">
        <f aca="false">IF(Raw_Export!$A907="","",TRIM(Raw_Export!A907))</f>
        <v>TXN-100889</v>
      </c>
      <c r="B907" s="37" t="n">
        <f aca="false">IF(Raw_Export!$A907="","",IF(ISNUMBER(Raw_Export!B907),Raw_Export!B907,IF(MID(TRIM(Raw_Export!B907),5,1)="-",DATE(LEFT(TRIM(Raw_Export!B907),4),MID(TRIM(Raw_Export!B907),6,2),RIGHT(TRIM(Raw_Export!B907),2)),DATE(RIGHT(TRIM(Raw_Export!B907),4),MATCH(MID(TRIM(Raw_Export!B907),4,3),{"Jan","Feb","Mar","Apr","May","Jun","Jul","Aug","Sep","Oct","Nov","Dec"},0),LEFT(TRIM(Raw_Export!B907),2)))))</f>
        <v>46270</v>
      </c>
      <c r="C907" s="36" t="str">
        <f aca="false">IF(Raw_Export!$A907="","",IFERROR(VLOOKUP(LOWER(TRIM(Raw_Export!C907)),Maps!$A$2:$B$20,2,FALSE()),"UNMAPPED"))</f>
        <v>Nakuru</v>
      </c>
      <c r="D907" s="36" t="str">
        <f aca="false">IF(Raw_Export!$A907="","",IFERROR(VLOOKUP(LOWER(TRIM(Raw_Export!D907)),Maps!$G$2:$I$80,2,FALSE()),"UNMAPPED"))</f>
        <v>Dish Soap 750ml</v>
      </c>
      <c r="E907" s="36" t="str">
        <f aca="false">IF(Raw_Export!$A907="","",IFERROR(VLOOKUP(LOWER(TRIM(Raw_Export!D907)),Maps!$G$2:$I$80,3,FALSE()),"UNMAPPED"))</f>
        <v>Household</v>
      </c>
      <c r="F907" s="36" t="n">
        <f aca="false">IF(Raw_Export!$A907="","",IFERROR(VALUE(TRIM(Raw_Export!E907)),0))</f>
        <v>1</v>
      </c>
      <c r="G907" s="38" t="n">
        <f aca="false">IF(Raw_Export!$A907="","",IFERROR(VALUE(SUBSTITUTE(SUBSTITUTE(UPPER(TRIM(Raw_Export!F907)),"KES",""),",","")),0))</f>
        <v>190</v>
      </c>
      <c r="H907" s="38" t="n">
        <f aca="false">IF(Raw_Export!$A907="","",F907*G907)</f>
        <v>190</v>
      </c>
      <c r="I907" s="36" t="str">
        <f aca="false">IF(Raw_Export!$A907="","",IFERROR(VLOOKUP(LOWER(TRIM(Raw_Export!H907)),Maps!$D$2:$E$12,2,FALSE()),"Other"))</f>
        <v>Card</v>
      </c>
      <c r="J907" s="36" t="str">
        <f aca="false">IF(Raw_Export!$A907="","",IF(COUNTIF($A$2:A907,A907)&gt;1,"Duplicate",""))</f>
        <v/>
      </c>
      <c r="K907" s="36" t="str">
        <f aca="false">IF(Raw_Export!$A907="","",IF(J907="Duplicate","Duplicate",IF(OR(C907="UNMAPPED",D907="UNMAPPED"),"Unmapped",IF(F907=0,"Blank qty",IF(F907&lt;0,"Return","OK")))))</f>
        <v>OK</v>
      </c>
      <c r="L907" s="36" t="n">
        <f aca="false">IF(Raw_Export!$A907="","",IF(OR(K907="OK",K907="Return"),1,0))</f>
        <v>1</v>
      </c>
      <c r="M907" s="37" t="n">
        <f aca="false">IF(Raw_Export!$A907="","",B907-WEEKDAY(B907,2)+1)</f>
        <v>46265</v>
      </c>
    </row>
    <row r="908" customFormat="false" ht="15" hidden="false" customHeight="false" outlineLevel="0" collapsed="false">
      <c r="A908" s="36" t="str">
        <f aca="false">IF(Raw_Export!$A908="","",TRIM(Raw_Export!A908))</f>
        <v>TXN-100890</v>
      </c>
      <c r="B908" s="37" t="n">
        <f aca="false">IF(Raw_Export!$A908="","",IF(ISNUMBER(Raw_Export!B908),Raw_Export!B908,IF(MID(TRIM(Raw_Export!B908),5,1)="-",DATE(LEFT(TRIM(Raw_Export!B908),4),MID(TRIM(Raw_Export!B908),6,2),RIGHT(TRIM(Raw_Export!B908),2)),DATE(RIGHT(TRIM(Raw_Export!B908),4),MATCH(MID(TRIM(Raw_Export!B908),4,3),{"Jan","Feb","Mar","Apr","May","Jun","Jul","Aug","Sep","Oct","Nov","Dec"},0),LEFT(TRIM(Raw_Export!B908),2)))))</f>
        <v>46270</v>
      </c>
      <c r="C908" s="36" t="str">
        <f aca="false">IF(Raw_Export!$A908="","",IFERROR(VLOOKUP(LOWER(TRIM(Raw_Export!C908)),Maps!$A$2:$B$20,2,FALSE()),"UNMAPPED"))</f>
        <v>Nakuru</v>
      </c>
      <c r="D908" s="36" t="str">
        <f aca="false">IF(Raw_Export!$A908="","",IFERROR(VLOOKUP(LOWER(TRIM(Raw_Export!D908)),Maps!$G$2:$I$80,2,FALSE()),"UNMAPPED"))</f>
        <v>Tea Leaves 250g</v>
      </c>
      <c r="E908" s="36" t="str">
        <f aca="false">IF(Raw_Export!$A908="","",IFERROR(VLOOKUP(LOWER(TRIM(Raw_Export!D908)),Maps!$G$2:$I$80,3,FALSE()),"UNMAPPED"))</f>
        <v>Beverages</v>
      </c>
      <c r="F908" s="36" t="n">
        <f aca="false">IF(Raw_Export!$A908="","",IFERROR(VALUE(TRIM(Raw_Export!E908)),0))</f>
        <v>1</v>
      </c>
      <c r="G908" s="38" t="n">
        <f aca="false">IF(Raw_Export!$A908="","",IFERROR(VALUE(SUBSTITUTE(SUBSTITUTE(UPPER(TRIM(Raw_Export!F908)),"KES",""),",","")),0))</f>
        <v>150</v>
      </c>
      <c r="H908" s="38" t="n">
        <f aca="false">IF(Raw_Export!$A908="","",F908*G908)</f>
        <v>150</v>
      </c>
      <c r="I908" s="36" t="str">
        <f aca="false">IF(Raw_Export!$A908="","",IFERROR(VLOOKUP(LOWER(TRIM(Raw_Export!H908)),Maps!$D$2:$E$12,2,FALSE()),"Other"))</f>
        <v>Cash</v>
      </c>
      <c r="J908" s="36" t="str">
        <f aca="false">IF(Raw_Export!$A908="","",IF(COUNTIF($A$2:A908,A908)&gt;1,"Duplicate",""))</f>
        <v/>
      </c>
      <c r="K908" s="36" t="str">
        <f aca="false">IF(Raw_Export!$A908="","",IF(J908="Duplicate","Duplicate",IF(OR(C908="UNMAPPED",D908="UNMAPPED"),"Unmapped",IF(F908=0,"Blank qty",IF(F908&lt;0,"Return","OK")))))</f>
        <v>OK</v>
      </c>
      <c r="L908" s="36" t="n">
        <f aca="false">IF(Raw_Export!$A908="","",IF(OR(K908="OK",K908="Return"),1,0))</f>
        <v>1</v>
      </c>
      <c r="M908" s="37" t="n">
        <f aca="false">IF(Raw_Export!$A908="","",B908-WEEKDAY(B908,2)+1)</f>
        <v>46265</v>
      </c>
    </row>
    <row r="909" customFormat="false" ht="15" hidden="false" customHeight="false" outlineLevel="0" collapsed="false">
      <c r="A909" s="36" t="str">
        <f aca="false">IF(Raw_Export!$A909="","",TRIM(Raw_Export!A909))</f>
        <v>TXN-100891</v>
      </c>
      <c r="B909" s="37" t="n">
        <f aca="false">IF(Raw_Export!$A909="","",IF(ISNUMBER(Raw_Export!B909),Raw_Export!B909,IF(MID(TRIM(Raw_Export!B909),5,1)="-",DATE(LEFT(TRIM(Raw_Export!B909),4),MID(TRIM(Raw_Export!B909),6,2),RIGHT(TRIM(Raw_Export!B909),2)),DATE(RIGHT(TRIM(Raw_Export!B909),4),MATCH(MID(TRIM(Raw_Export!B909),4,3),{"Jan","Feb","Mar","Apr","May","Jun","Jul","Aug","Sep","Oct","Nov","Dec"},0),LEFT(TRIM(Raw_Export!B909),2)))))</f>
        <v>46270</v>
      </c>
      <c r="C909" s="36" t="str">
        <f aca="false">IF(Raw_Export!$A909="","",IFERROR(VLOOKUP(LOWER(TRIM(Raw_Export!C909)),Maps!$A$2:$B$20,2,FALSE()),"UNMAPPED"))</f>
        <v>Nakuru</v>
      </c>
      <c r="D909" s="36" t="str">
        <f aca="false">IF(Raw_Export!$A909="","",IFERROR(VLOOKUP(LOWER(TRIM(Raw_Export!D909)),Maps!$G$2:$I$80,2,FALSE()),"UNMAPPED"))</f>
        <v>Sugar 2kg</v>
      </c>
      <c r="E909" s="36" t="str">
        <f aca="false">IF(Raw_Export!$A909="","",IFERROR(VLOOKUP(LOWER(TRIM(Raw_Export!D909)),Maps!$G$2:$I$80,3,FALSE()),"UNMAPPED"))</f>
        <v>Staples</v>
      </c>
      <c r="F909" s="36" t="n">
        <f aca="false">IF(Raw_Export!$A909="","",IFERROR(VALUE(TRIM(Raw_Export!E909)),0))</f>
        <v>4</v>
      </c>
      <c r="G909" s="38" t="n">
        <f aca="false">IF(Raw_Export!$A909="","",IFERROR(VALUE(SUBSTITUTE(SUBSTITUTE(UPPER(TRIM(Raw_Export!F909)),"KES",""),",","")),0))</f>
        <v>330</v>
      </c>
      <c r="H909" s="38" t="n">
        <f aca="false">IF(Raw_Export!$A909="","",F909*G909)</f>
        <v>1320</v>
      </c>
      <c r="I909" s="36" t="str">
        <f aca="false">IF(Raw_Export!$A909="","",IFERROR(VLOOKUP(LOWER(TRIM(Raw_Export!H909)),Maps!$D$2:$E$12,2,FALSE()),"Other"))</f>
        <v>Card</v>
      </c>
      <c r="J909" s="36" t="str">
        <f aca="false">IF(Raw_Export!$A909="","",IF(COUNTIF($A$2:A909,A909)&gt;1,"Duplicate",""))</f>
        <v/>
      </c>
      <c r="K909" s="36" t="str">
        <f aca="false">IF(Raw_Export!$A909="","",IF(J909="Duplicate","Duplicate",IF(OR(C909="UNMAPPED",D909="UNMAPPED"),"Unmapped",IF(F909=0,"Blank qty",IF(F909&lt;0,"Return","OK")))))</f>
        <v>OK</v>
      </c>
      <c r="L909" s="36" t="n">
        <f aca="false">IF(Raw_Export!$A909="","",IF(OR(K909="OK",K909="Return"),1,0))</f>
        <v>1</v>
      </c>
      <c r="M909" s="37" t="n">
        <f aca="false">IF(Raw_Export!$A909="","",B909-WEEKDAY(B909,2)+1)</f>
        <v>46265</v>
      </c>
    </row>
    <row r="910" customFormat="false" ht="15" hidden="false" customHeight="false" outlineLevel="0" collapsed="false">
      <c r="A910" s="36" t="str">
        <f aca="false">IF(Raw_Export!$A910="","",TRIM(Raw_Export!A910))</f>
        <v>TXN-100892</v>
      </c>
      <c r="B910" s="37" t="n">
        <f aca="false">IF(Raw_Export!$A910="","",IF(ISNUMBER(Raw_Export!B910),Raw_Export!B910,IF(MID(TRIM(Raw_Export!B910),5,1)="-",DATE(LEFT(TRIM(Raw_Export!B910),4),MID(TRIM(Raw_Export!B910),6,2),RIGHT(TRIM(Raw_Export!B910),2)),DATE(RIGHT(TRIM(Raw_Export!B910),4),MATCH(MID(TRIM(Raw_Export!B910),4,3),{"Jan","Feb","Mar","Apr","May","Jun","Jul","Aug","Sep","Oct","Nov","Dec"},0),LEFT(TRIM(Raw_Export!B910),2)))))</f>
        <v>46270</v>
      </c>
      <c r="C910" s="36" t="str">
        <f aca="false">IF(Raw_Export!$A910="","",IFERROR(VLOOKUP(LOWER(TRIM(Raw_Export!C910)),Maps!$A$2:$B$20,2,FALSE()),"UNMAPPED"))</f>
        <v>Nakuru</v>
      </c>
      <c r="D910" s="36" t="str">
        <f aca="false">IF(Raw_Export!$A910="","",IFERROR(VLOOKUP(LOWER(TRIM(Raw_Export!D910)),Maps!$G$2:$I$80,2,FALSE()),"UNMAPPED"))</f>
        <v>Biscuits 200g</v>
      </c>
      <c r="E910" s="36" t="str">
        <f aca="false">IF(Raw_Export!$A910="","",IFERROR(VLOOKUP(LOWER(TRIM(Raw_Export!D910)),Maps!$G$2:$I$80,3,FALSE()),"UNMAPPED"))</f>
        <v>Snacks</v>
      </c>
      <c r="F910" s="36" t="n">
        <f aca="false">IF(Raw_Export!$A910="","",IFERROR(VALUE(TRIM(Raw_Export!E910)),0))</f>
        <v>6</v>
      </c>
      <c r="G910" s="38" t="n">
        <f aca="false">IF(Raw_Export!$A910="","",IFERROR(VALUE(SUBSTITUTE(SUBSTITUTE(UPPER(TRIM(Raw_Export!F910)),"KES",""),",","")),0))</f>
        <v>86</v>
      </c>
      <c r="H910" s="38" t="n">
        <f aca="false">IF(Raw_Export!$A910="","",F910*G910)</f>
        <v>516</v>
      </c>
      <c r="I910" s="36" t="str">
        <f aca="false">IF(Raw_Export!$A910="","",IFERROR(VLOOKUP(LOWER(TRIM(Raw_Export!H910)),Maps!$D$2:$E$12,2,FALSE()),"Other"))</f>
        <v>M-Pesa</v>
      </c>
      <c r="J910" s="36" t="str">
        <f aca="false">IF(Raw_Export!$A910="","",IF(COUNTIF($A$2:A910,A910)&gt;1,"Duplicate",""))</f>
        <v/>
      </c>
      <c r="K910" s="36" t="str">
        <f aca="false">IF(Raw_Export!$A910="","",IF(J910="Duplicate","Duplicate",IF(OR(C910="UNMAPPED",D910="UNMAPPED"),"Unmapped",IF(F910=0,"Blank qty",IF(F910&lt;0,"Return","OK")))))</f>
        <v>OK</v>
      </c>
      <c r="L910" s="36" t="n">
        <f aca="false">IF(Raw_Export!$A910="","",IF(OR(K910="OK",K910="Return"),1,0))</f>
        <v>1</v>
      </c>
      <c r="M910" s="37" t="n">
        <f aca="false">IF(Raw_Export!$A910="","",B910-WEEKDAY(B910,2)+1)</f>
        <v>46265</v>
      </c>
    </row>
    <row r="911" customFormat="false" ht="15" hidden="false" customHeight="false" outlineLevel="0" collapsed="false">
      <c r="A911" s="36" t="str">
        <f aca="false">IF(Raw_Export!$A911="","",TRIM(Raw_Export!A911))</f>
        <v>TXN-100893</v>
      </c>
      <c r="B911" s="37" t="n">
        <f aca="false">IF(Raw_Export!$A911="","",IF(ISNUMBER(Raw_Export!B911),Raw_Export!B911,IF(MID(TRIM(Raw_Export!B911),5,1)="-",DATE(LEFT(TRIM(Raw_Export!B911),4),MID(TRIM(Raw_Export!B911),6,2),RIGHT(TRIM(Raw_Export!B911),2)),DATE(RIGHT(TRIM(Raw_Export!B911),4),MATCH(MID(TRIM(Raw_Export!B911),4,3),{"Jan","Feb","Mar","Apr","May","Jun","Jul","Aug","Sep","Oct","Nov","Dec"},0),LEFT(TRIM(Raw_Export!B911),2)))))</f>
        <v>46270</v>
      </c>
      <c r="C911" s="36" t="str">
        <f aca="false">IF(Raw_Export!$A911="","",IFERROR(VLOOKUP(LOWER(TRIM(Raw_Export!C911)),Maps!$A$2:$B$20,2,FALSE()),"UNMAPPED"))</f>
        <v>Nakuru</v>
      </c>
      <c r="D911" s="36" t="str">
        <f aca="false">IF(Raw_Export!$A911="","",IFERROR(VLOOKUP(LOWER(TRIM(Raw_Export!D911)),Maps!$G$2:$I$80,2,FALSE()),"UNMAPPED"))</f>
        <v>Biscuits 200g</v>
      </c>
      <c r="E911" s="36" t="str">
        <f aca="false">IF(Raw_Export!$A911="","",IFERROR(VLOOKUP(LOWER(TRIM(Raw_Export!D911)),Maps!$G$2:$I$80,3,FALSE()),"UNMAPPED"))</f>
        <v>Snacks</v>
      </c>
      <c r="F911" s="36" t="n">
        <f aca="false">IF(Raw_Export!$A911="","",IFERROR(VALUE(TRIM(Raw_Export!E911)),0))</f>
        <v>1</v>
      </c>
      <c r="G911" s="38" t="n">
        <f aca="false">IF(Raw_Export!$A911="","",IFERROR(VALUE(SUBSTITUTE(SUBSTITUTE(UPPER(TRIM(Raw_Export!F911)),"KES",""),",","")),0))</f>
        <v>95</v>
      </c>
      <c r="H911" s="38" t="n">
        <f aca="false">IF(Raw_Export!$A911="","",F911*G911)</f>
        <v>95</v>
      </c>
      <c r="I911" s="36" t="str">
        <f aca="false">IF(Raw_Export!$A911="","",IFERROR(VLOOKUP(LOWER(TRIM(Raw_Export!H911)),Maps!$D$2:$E$12,2,FALSE()),"Other"))</f>
        <v>M-Pesa</v>
      </c>
      <c r="J911" s="36" t="str">
        <f aca="false">IF(Raw_Export!$A911="","",IF(COUNTIF($A$2:A911,A911)&gt;1,"Duplicate",""))</f>
        <v/>
      </c>
      <c r="K911" s="36" t="str">
        <f aca="false">IF(Raw_Export!$A911="","",IF(J911="Duplicate","Duplicate",IF(OR(C911="UNMAPPED",D911="UNMAPPED"),"Unmapped",IF(F911=0,"Blank qty",IF(F911&lt;0,"Return","OK")))))</f>
        <v>OK</v>
      </c>
      <c r="L911" s="36" t="n">
        <f aca="false">IF(Raw_Export!$A911="","",IF(OR(K911="OK",K911="Return"),1,0))</f>
        <v>1</v>
      </c>
      <c r="M911" s="37" t="n">
        <f aca="false">IF(Raw_Export!$A911="","",B911-WEEKDAY(B911,2)+1)</f>
        <v>46265</v>
      </c>
    </row>
    <row r="912" customFormat="false" ht="15" hidden="false" customHeight="false" outlineLevel="0" collapsed="false">
      <c r="A912" s="36" t="str">
        <f aca="false">IF(Raw_Export!$A912="","",TRIM(Raw_Export!A912))</f>
        <v>TXN-100894</v>
      </c>
      <c r="B912" s="37" t="n">
        <f aca="false">IF(Raw_Export!$A912="","",IF(ISNUMBER(Raw_Export!B912),Raw_Export!B912,IF(MID(TRIM(Raw_Export!B912),5,1)="-",DATE(LEFT(TRIM(Raw_Export!B912),4),MID(TRIM(Raw_Export!B912),6,2),RIGHT(TRIM(Raw_Export!B912),2)),DATE(RIGHT(TRIM(Raw_Export!B912),4),MATCH(MID(TRIM(Raw_Export!B912),4,3),{"Jan","Feb","Mar","Apr","May","Jun","Jul","Aug","Sep","Oct","Nov","Dec"},0),LEFT(TRIM(Raw_Export!B912),2)))))</f>
        <v>46270</v>
      </c>
      <c r="C912" s="36" t="str">
        <f aca="false">IF(Raw_Export!$A912="","",IFERROR(VLOOKUP(LOWER(TRIM(Raw_Export!C912)),Maps!$A$2:$B$20,2,FALSE()),"UNMAPPED"))</f>
        <v>Nakuru</v>
      </c>
      <c r="D912" s="36" t="str">
        <f aca="false">IF(Raw_Export!$A912="","",IFERROR(VLOOKUP(LOWER(TRIM(Raw_Export!D912)),Maps!$G$2:$I$80,2,FALSE()),"UNMAPPED"))</f>
        <v>Rice Pishori 2kg</v>
      </c>
      <c r="E912" s="36" t="str">
        <f aca="false">IF(Raw_Export!$A912="","",IFERROR(VLOOKUP(LOWER(TRIM(Raw_Export!D912)),Maps!$G$2:$I$80,3,FALSE()),"UNMAPPED"))</f>
        <v>Staples</v>
      </c>
      <c r="F912" s="36" t="n">
        <f aca="false">IF(Raw_Export!$A912="","",IFERROR(VALUE(TRIM(Raw_Export!E912)),0))</f>
        <v>2</v>
      </c>
      <c r="G912" s="38" t="n">
        <f aca="false">IF(Raw_Export!$A912="","",IFERROR(VALUE(SUBSTITUTE(SUBSTITUTE(UPPER(TRIM(Raw_Export!F912)),"KES",""),",","")),0))</f>
        <v>420</v>
      </c>
      <c r="H912" s="38" t="n">
        <f aca="false">IF(Raw_Export!$A912="","",F912*G912)</f>
        <v>840</v>
      </c>
      <c r="I912" s="36" t="str">
        <f aca="false">IF(Raw_Export!$A912="","",IFERROR(VLOOKUP(LOWER(TRIM(Raw_Export!H912)),Maps!$D$2:$E$12,2,FALSE()),"Other"))</f>
        <v>Card</v>
      </c>
      <c r="J912" s="36" t="str">
        <f aca="false">IF(Raw_Export!$A912="","",IF(COUNTIF($A$2:A912,A912)&gt;1,"Duplicate",""))</f>
        <v/>
      </c>
      <c r="K912" s="36" t="str">
        <f aca="false">IF(Raw_Export!$A912="","",IF(J912="Duplicate","Duplicate",IF(OR(C912="UNMAPPED",D912="UNMAPPED"),"Unmapped",IF(F912=0,"Blank qty",IF(F912&lt;0,"Return","OK")))))</f>
        <v>OK</v>
      </c>
      <c r="L912" s="36" t="n">
        <f aca="false">IF(Raw_Export!$A912="","",IF(OR(K912="OK",K912="Return"),1,0))</f>
        <v>1</v>
      </c>
      <c r="M912" s="37" t="n">
        <f aca="false">IF(Raw_Export!$A912="","",B912-WEEKDAY(B912,2)+1)</f>
        <v>46265</v>
      </c>
    </row>
    <row r="913" customFormat="false" ht="15" hidden="false" customHeight="false" outlineLevel="0" collapsed="false">
      <c r="A913" s="36" t="str">
        <f aca="false">IF(Raw_Export!$A913="","",TRIM(Raw_Export!A913))</f>
        <v>TXN-100895</v>
      </c>
      <c r="B913" s="37" t="n">
        <f aca="false">IF(Raw_Export!$A913="","",IF(ISNUMBER(Raw_Export!B913),Raw_Export!B913,IF(MID(TRIM(Raw_Export!B913),5,1)="-",DATE(LEFT(TRIM(Raw_Export!B913),4),MID(TRIM(Raw_Export!B913),6,2),RIGHT(TRIM(Raw_Export!B913),2)),DATE(RIGHT(TRIM(Raw_Export!B913),4),MATCH(MID(TRIM(Raw_Export!B913),4,3),{"Jan","Feb","Mar","Apr","May","Jun","Jul","Aug","Sep","Oct","Nov","Dec"},0),LEFT(TRIM(Raw_Export!B913),2)))))</f>
        <v>46270</v>
      </c>
      <c r="C913" s="36" t="str">
        <f aca="false">IF(Raw_Export!$A913="","",IFERROR(VLOOKUP(LOWER(TRIM(Raw_Export!C913)),Maps!$A$2:$B$20,2,FALSE()),"UNMAPPED"))</f>
        <v>Nakuru</v>
      </c>
      <c r="D913" s="36" t="str">
        <f aca="false">IF(Raw_Export!$A913="","",IFERROR(VLOOKUP(LOWER(TRIM(Raw_Export!D913)),Maps!$G$2:$I$80,2,FALSE()),"UNMAPPED"))</f>
        <v>Yoghurt 500ml</v>
      </c>
      <c r="E913" s="36" t="str">
        <f aca="false">IF(Raw_Export!$A913="","",IFERROR(VLOOKUP(LOWER(TRIM(Raw_Export!D913)),Maps!$G$2:$I$80,3,FALSE()),"UNMAPPED"))</f>
        <v>Dairy &amp; Eggs</v>
      </c>
      <c r="F913" s="36" t="n">
        <f aca="false">IF(Raw_Export!$A913="","",IFERROR(VALUE(TRIM(Raw_Export!E913)),0))</f>
        <v>2</v>
      </c>
      <c r="G913" s="38" t="n">
        <f aca="false">IF(Raw_Export!$A913="","",IFERROR(VALUE(SUBSTITUTE(SUBSTITUTE(UPPER(TRIM(Raw_Export!F913)),"KES",""),",","")),0))</f>
        <v>120</v>
      </c>
      <c r="H913" s="38" t="n">
        <f aca="false">IF(Raw_Export!$A913="","",F913*G913)</f>
        <v>240</v>
      </c>
      <c r="I913" s="36" t="str">
        <f aca="false">IF(Raw_Export!$A913="","",IFERROR(VLOOKUP(LOWER(TRIM(Raw_Export!H913)),Maps!$D$2:$E$12,2,FALSE()),"Other"))</f>
        <v>M-Pesa</v>
      </c>
      <c r="J913" s="36" t="str">
        <f aca="false">IF(Raw_Export!$A913="","",IF(COUNTIF($A$2:A913,A913)&gt;1,"Duplicate",""))</f>
        <v/>
      </c>
      <c r="K913" s="36" t="str">
        <f aca="false">IF(Raw_Export!$A913="","",IF(J913="Duplicate","Duplicate",IF(OR(C913="UNMAPPED",D913="UNMAPPED"),"Unmapped",IF(F913=0,"Blank qty",IF(F913&lt;0,"Return","OK")))))</f>
        <v>OK</v>
      </c>
      <c r="L913" s="36" t="n">
        <f aca="false">IF(Raw_Export!$A913="","",IF(OR(K913="OK",K913="Return"),1,0))</f>
        <v>1</v>
      </c>
      <c r="M913" s="37" t="n">
        <f aca="false">IF(Raw_Export!$A913="","",B913-WEEKDAY(B913,2)+1)</f>
        <v>46265</v>
      </c>
    </row>
    <row r="914" customFormat="false" ht="15" hidden="false" customHeight="false" outlineLevel="0" collapsed="false">
      <c r="A914" s="36" t="str">
        <f aca="false">IF(Raw_Export!$A914="","",TRIM(Raw_Export!A914))</f>
        <v>TXN-100896</v>
      </c>
      <c r="B914" s="37" t="n">
        <f aca="false">IF(Raw_Export!$A914="","",IF(ISNUMBER(Raw_Export!B914),Raw_Export!B914,IF(MID(TRIM(Raw_Export!B914),5,1)="-",DATE(LEFT(TRIM(Raw_Export!B914),4),MID(TRIM(Raw_Export!B914),6,2),RIGHT(TRIM(Raw_Export!B914),2)),DATE(RIGHT(TRIM(Raw_Export!B914),4),MATCH(MID(TRIM(Raw_Export!B914),4,3),{"Jan","Feb","Mar","Apr","May","Jun","Jul","Aug","Sep","Oct","Nov","Dec"},0),LEFT(TRIM(Raw_Export!B914),2)))))</f>
        <v>46270</v>
      </c>
      <c r="C914" s="36" t="str">
        <f aca="false">IF(Raw_Export!$A914="","",IFERROR(VLOOKUP(LOWER(TRIM(Raw_Export!C914)),Maps!$A$2:$B$20,2,FALSE()),"UNMAPPED"))</f>
        <v>Nakuru</v>
      </c>
      <c r="D914" s="36" t="str">
        <f aca="false">IF(Raw_Export!$A914="","",IFERROR(VLOOKUP(LOWER(TRIM(Raw_Export!D914)),Maps!$G$2:$I$80,2,FALSE()),"UNMAPPED"))</f>
        <v>Bread Loaf 400g</v>
      </c>
      <c r="E914" s="36" t="str">
        <f aca="false">IF(Raw_Export!$A914="","",IFERROR(VLOOKUP(LOWER(TRIM(Raw_Export!D914)),Maps!$G$2:$I$80,3,FALSE()),"UNMAPPED"))</f>
        <v>Snacks</v>
      </c>
      <c r="F914" s="36" t="n">
        <f aca="false">IF(Raw_Export!$A914="","",IFERROR(VALUE(TRIM(Raw_Export!E914)),0))</f>
        <v>3</v>
      </c>
      <c r="G914" s="38" t="n">
        <f aca="false">IF(Raw_Export!$A914="","",IFERROR(VALUE(SUBSTITUTE(SUBSTITUTE(UPPER(TRIM(Raw_Export!F914)),"KES",""),",","")),0))</f>
        <v>65</v>
      </c>
      <c r="H914" s="38" t="n">
        <f aca="false">IF(Raw_Export!$A914="","",F914*G914)</f>
        <v>195</v>
      </c>
      <c r="I914" s="36" t="str">
        <f aca="false">IF(Raw_Export!$A914="","",IFERROR(VLOOKUP(LOWER(TRIM(Raw_Export!H914)),Maps!$D$2:$E$12,2,FALSE()),"Other"))</f>
        <v>M-Pesa</v>
      </c>
      <c r="J914" s="36" t="str">
        <f aca="false">IF(Raw_Export!$A914="","",IF(COUNTIF($A$2:A914,A914)&gt;1,"Duplicate",""))</f>
        <v/>
      </c>
      <c r="K914" s="36" t="str">
        <f aca="false">IF(Raw_Export!$A914="","",IF(J914="Duplicate","Duplicate",IF(OR(C914="UNMAPPED",D914="UNMAPPED"),"Unmapped",IF(F914=0,"Blank qty",IF(F914&lt;0,"Return","OK")))))</f>
        <v>OK</v>
      </c>
      <c r="L914" s="36" t="n">
        <f aca="false">IF(Raw_Export!$A914="","",IF(OR(K914="OK",K914="Return"),1,0))</f>
        <v>1</v>
      </c>
      <c r="M914" s="37" t="n">
        <f aca="false">IF(Raw_Export!$A914="","",B914-WEEKDAY(B914,2)+1)</f>
        <v>46265</v>
      </c>
    </row>
    <row r="915" customFormat="false" ht="15" hidden="false" customHeight="false" outlineLevel="0" collapsed="false">
      <c r="A915" s="36" t="str">
        <f aca="false">IF(Raw_Export!$A915="","",TRIM(Raw_Export!A915))</f>
        <v>TXN-100897</v>
      </c>
      <c r="B915" s="37" t="n">
        <f aca="false">IF(Raw_Export!$A915="","",IF(ISNUMBER(Raw_Export!B915),Raw_Export!B915,IF(MID(TRIM(Raw_Export!B915),5,1)="-",DATE(LEFT(TRIM(Raw_Export!B915),4),MID(TRIM(Raw_Export!B915),6,2),RIGHT(TRIM(Raw_Export!B915),2)),DATE(RIGHT(TRIM(Raw_Export!B915),4),MATCH(MID(TRIM(Raw_Export!B915),4,3),{"Jan","Feb","Mar","Apr","May","Jun","Jul","Aug","Sep","Oct","Nov","Dec"},0),LEFT(TRIM(Raw_Export!B915),2)))))</f>
        <v>46270</v>
      </c>
      <c r="C915" s="36" t="str">
        <f aca="false">IF(Raw_Export!$A915="","",IFERROR(VLOOKUP(LOWER(TRIM(Raw_Export!C915)),Maps!$A$2:$B$20,2,FALSE()),"UNMAPPED"))</f>
        <v>Nakuru</v>
      </c>
      <c r="D915" s="36" t="str">
        <f aca="false">IF(Raw_Export!$A915="","",IFERROR(VLOOKUP(LOWER(TRIM(Raw_Export!D915)),Maps!$G$2:$I$80,2,FALSE()),"UNMAPPED"))</f>
        <v>Unga Pembe 2kg</v>
      </c>
      <c r="E915" s="36" t="str">
        <f aca="false">IF(Raw_Export!$A915="","",IFERROR(VLOOKUP(LOWER(TRIM(Raw_Export!D915)),Maps!$G$2:$I$80,3,FALSE()),"UNMAPPED"))</f>
        <v>Staples</v>
      </c>
      <c r="F915" s="36" t="n">
        <f aca="false">IF(Raw_Export!$A915="","",IFERROR(VALUE(TRIM(Raw_Export!E915)),0))</f>
        <v>3</v>
      </c>
      <c r="G915" s="38" t="n">
        <f aca="false">IF(Raw_Export!$A915="","",IFERROR(VALUE(SUBSTITUTE(SUBSTITUTE(UPPER(TRIM(Raw_Export!F915)),"KES",""),",","")),0))</f>
        <v>190</v>
      </c>
      <c r="H915" s="38" t="n">
        <f aca="false">IF(Raw_Export!$A915="","",F915*G915)</f>
        <v>570</v>
      </c>
      <c r="I915" s="36" t="str">
        <f aca="false">IF(Raw_Export!$A915="","",IFERROR(VLOOKUP(LOWER(TRIM(Raw_Export!H915)),Maps!$D$2:$E$12,2,FALSE()),"Other"))</f>
        <v>M-Pesa</v>
      </c>
      <c r="J915" s="36" t="str">
        <f aca="false">IF(Raw_Export!$A915="","",IF(COUNTIF($A$2:A915,A915)&gt;1,"Duplicate",""))</f>
        <v/>
      </c>
      <c r="K915" s="36" t="str">
        <f aca="false">IF(Raw_Export!$A915="","",IF(J915="Duplicate","Duplicate",IF(OR(C915="UNMAPPED",D915="UNMAPPED"),"Unmapped",IF(F915=0,"Blank qty",IF(F915&lt;0,"Return","OK")))))</f>
        <v>OK</v>
      </c>
      <c r="L915" s="36" t="n">
        <f aca="false">IF(Raw_Export!$A915="","",IF(OR(K915="OK",K915="Return"),1,0))</f>
        <v>1</v>
      </c>
      <c r="M915" s="37" t="n">
        <f aca="false">IF(Raw_Export!$A915="","",B915-WEEKDAY(B915,2)+1)</f>
        <v>46265</v>
      </c>
    </row>
    <row r="916" customFormat="false" ht="15" hidden="false" customHeight="false" outlineLevel="0" collapsed="false">
      <c r="A916" s="36" t="str">
        <f aca="false">IF(Raw_Export!$A916="","",TRIM(Raw_Export!A916))</f>
        <v>TXN-100898</v>
      </c>
      <c r="B916" s="37" t="n">
        <f aca="false">IF(Raw_Export!$A916="","",IF(ISNUMBER(Raw_Export!B916),Raw_Export!B916,IF(MID(TRIM(Raw_Export!B916),5,1)="-",DATE(LEFT(TRIM(Raw_Export!B916),4),MID(TRIM(Raw_Export!B916),6,2),RIGHT(TRIM(Raw_Export!B916),2)),DATE(RIGHT(TRIM(Raw_Export!B916),4),MATCH(MID(TRIM(Raw_Export!B916),4,3),{"Jan","Feb","Mar","Apr","May","Jun","Jul","Aug","Sep","Oct","Nov","Dec"},0),LEFT(TRIM(Raw_Export!B916),2)))))</f>
        <v>46270</v>
      </c>
      <c r="C916" s="36" t="str">
        <f aca="false">IF(Raw_Export!$A916="","",IFERROR(VLOOKUP(LOWER(TRIM(Raw_Export!C916)),Maps!$A$2:$B$20,2,FALSE()),"UNMAPPED"))</f>
        <v>Nakuru</v>
      </c>
      <c r="D916" s="36" t="str">
        <f aca="false">IF(Raw_Export!$A916="","",IFERROR(VLOOKUP(LOWER(TRIM(Raw_Export!D916)),Maps!$G$2:$I$80,2,FALSE()),"UNMAPPED"))</f>
        <v>Unga Pembe 2kg</v>
      </c>
      <c r="E916" s="36" t="str">
        <f aca="false">IF(Raw_Export!$A916="","",IFERROR(VLOOKUP(LOWER(TRIM(Raw_Export!D916)),Maps!$G$2:$I$80,3,FALSE()),"UNMAPPED"))</f>
        <v>Staples</v>
      </c>
      <c r="F916" s="36" t="n">
        <f aca="false">IF(Raw_Export!$A916="","",IFERROR(VALUE(TRIM(Raw_Export!E916)),0))</f>
        <v>1</v>
      </c>
      <c r="G916" s="38" t="n">
        <f aca="false">IF(Raw_Export!$A916="","",IFERROR(VALUE(SUBSTITUTE(SUBSTITUTE(UPPER(TRIM(Raw_Export!F916)),"KES",""),",","")),0))</f>
        <v>190</v>
      </c>
      <c r="H916" s="38" t="n">
        <f aca="false">IF(Raw_Export!$A916="","",F916*G916)</f>
        <v>190</v>
      </c>
      <c r="I916" s="36" t="str">
        <f aca="false">IF(Raw_Export!$A916="","",IFERROR(VLOOKUP(LOWER(TRIM(Raw_Export!H916)),Maps!$D$2:$E$12,2,FALSE()),"Other"))</f>
        <v>M-Pesa</v>
      </c>
      <c r="J916" s="36" t="str">
        <f aca="false">IF(Raw_Export!$A916="","",IF(COUNTIF($A$2:A916,A916)&gt;1,"Duplicate",""))</f>
        <v/>
      </c>
      <c r="K916" s="36" t="str">
        <f aca="false">IF(Raw_Export!$A916="","",IF(J916="Duplicate","Duplicate",IF(OR(C916="UNMAPPED",D916="UNMAPPED"),"Unmapped",IF(F916=0,"Blank qty",IF(F916&lt;0,"Return","OK")))))</f>
        <v>OK</v>
      </c>
      <c r="L916" s="36" t="n">
        <f aca="false">IF(Raw_Export!$A916="","",IF(OR(K916="OK",K916="Return"),1,0))</f>
        <v>1</v>
      </c>
      <c r="M916" s="37" t="n">
        <f aca="false">IF(Raw_Export!$A916="","",B916-WEEKDAY(B916,2)+1)</f>
        <v>46265</v>
      </c>
    </row>
    <row r="917" customFormat="false" ht="15" hidden="false" customHeight="false" outlineLevel="0" collapsed="false">
      <c r="A917" s="36" t="str">
        <f aca="false">IF(Raw_Export!$A917="","",TRIM(Raw_Export!A917))</f>
        <v>TXN-100899</v>
      </c>
      <c r="B917" s="37" t="n">
        <f aca="false">IF(Raw_Export!$A917="","",IF(ISNUMBER(Raw_Export!B917),Raw_Export!B917,IF(MID(TRIM(Raw_Export!B917),5,1)="-",DATE(LEFT(TRIM(Raw_Export!B917),4),MID(TRIM(Raw_Export!B917),6,2),RIGHT(TRIM(Raw_Export!B917),2)),DATE(RIGHT(TRIM(Raw_Export!B917),4),MATCH(MID(TRIM(Raw_Export!B917),4,3),{"Jan","Feb","Mar","Apr","May","Jun","Jul","Aug","Sep","Oct","Nov","Dec"},0),LEFT(TRIM(Raw_Export!B917),2)))))</f>
        <v>46270</v>
      </c>
      <c r="C917" s="36" t="str">
        <f aca="false">IF(Raw_Export!$A917="","",IFERROR(VLOOKUP(LOWER(TRIM(Raw_Export!C917)),Maps!$A$2:$B$20,2,FALSE()),"UNMAPPED"))</f>
        <v>Nakuru</v>
      </c>
      <c r="D917" s="36" t="str">
        <f aca="false">IF(Raw_Export!$A917="","",IFERROR(VLOOKUP(LOWER(TRIM(Raw_Export!D917)),Maps!$G$2:$I$80,2,FALSE()),"UNMAPPED"))</f>
        <v>Washing Powder 1kg</v>
      </c>
      <c r="E917" s="36" t="str">
        <f aca="false">IF(Raw_Export!$A917="","",IFERROR(VLOOKUP(LOWER(TRIM(Raw_Export!D917)),Maps!$G$2:$I$80,3,FALSE()),"UNMAPPED"))</f>
        <v>Household</v>
      </c>
      <c r="F917" s="36" t="n">
        <f aca="false">IF(Raw_Export!$A917="","",IFERROR(VALUE(TRIM(Raw_Export!E917)),0))</f>
        <v>4</v>
      </c>
      <c r="G917" s="38" t="n">
        <f aca="false">IF(Raw_Export!$A917="","",IFERROR(VALUE(SUBSTITUTE(SUBSTITUTE(UPPER(TRIM(Raw_Export!F917)),"KES",""),",","")),0))</f>
        <v>280</v>
      </c>
      <c r="H917" s="38" t="n">
        <f aca="false">IF(Raw_Export!$A917="","",F917*G917)</f>
        <v>1120</v>
      </c>
      <c r="I917" s="36" t="str">
        <f aca="false">IF(Raw_Export!$A917="","",IFERROR(VLOOKUP(LOWER(TRIM(Raw_Export!H917)),Maps!$D$2:$E$12,2,FALSE()),"Other"))</f>
        <v>Card</v>
      </c>
      <c r="J917" s="36" t="str">
        <f aca="false">IF(Raw_Export!$A917="","",IF(COUNTIF($A$2:A917,A917)&gt;1,"Duplicate",""))</f>
        <v/>
      </c>
      <c r="K917" s="36" t="str">
        <f aca="false">IF(Raw_Export!$A917="","",IF(J917="Duplicate","Duplicate",IF(OR(C917="UNMAPPED",D917="UNMAPPED"),"Unmapped",IF(F917=0,"Blank qty",IF(F917&lt;0,"Return","OK")))))</f>
        <v>OK</v>
      </c>
      <c r="L917" s="36" t="n">
        <f aca="false">IF(Raw_Export!$A917="","",IF(OR(K917="OK",K917="Return"),1,0))</f>
        <v>1</v>
      </c>
      <c r="M917" s="37" t="n">
        <f aca="false">IF(Raw_Export!$A917="","",B917-WEEKDAY(B917,2)+1)</f>
        <v>46265</v>
      </c>
    </row>
    <row r="918" customFormat="false" ht="15" hidden="false" customHeight="false" outlineLevel="0" collapsed="false">
      <c r="A918" s="36" t="str">
        <f aca="false">IF(Raw_Export!$A918="","",TRIM(Raw_Export!A918))</f>
        <v>TXN-100900</v>
      </c>
      <c r="B918" s="37" t="n">
        <f aca="false">IF(Raw_Export!$A918="","",IF(ISNUMBER(Raw_Export!B918),Raw_Export!B918,IF(MID(TRIM(Raw_Export!B918),5,1)="-",DATE(LEFT(TRIM(Raw_Export!B918),4),MID(TRIM(Raw_Export!B918),6,2),RIGHT(TRIM(Raw_Export!B918),2)),DATE(RIGHT(TRIM(Raw_Export!B918),4),MATCH(MID(TRIM(Raw_Export!B918),4,3),{"Jan","Feb","Mar","Apr","May","Jun","Jul","Aug","Sep","Oct","Nov","Dec"},0),LEFT(TRIM(Raw_Export!B918),2)))))</f>
        <v>46270</v>
      </c>
      <c r="C918" s="36" t="str">
        <f aca="false">IF(Raw_Export!$A918="","",IFERROR(VLOOKUP(LOWER(TRIM(Raw_Export!C918)),Maps!$A$2:$B$20,2,FALSE()),"UNMAPPED"))</f>
        <v>Nakuru</v>
      </c>
      <c r="D918" s="36" t="str">
        <f aca="false">IF(Raw_Export!$A918="","",IFERROR(VLOOKUP(LOWER(TRIM(Raw_Export!D918)),Maps!$G$2:$I$80,2,FALSE()),"UNMAPPED"))</f>
        <v>Cooking Oil 1L</v>
      </c>
      <c r="E918" s="36" t="str">
        <f aca="false">IF(Raw_Export!$A918="","",IFERROR(VLOOKUP(LOWER(TRIM(Raw_Export!D918)),Maps!$G$2:$I$80,3,FALSE()),"UNMAPPED"))</f>
        <v>Staples</v>
      </c>
      <c r="F918" s="36" t="n">
        <f aca="false">IF(Raw_Export!$A918="","",IFERROR(VALUE(TRIM(Raw_Export!E918)),0))</f>
        <v>2</v>
      </c>
      <c r="G918" s="38" t="n">
        <f aca="false">IF(Raw_Export!$A918="","",IFERROR(VALUE(SUBSTITUTE(SUBSTITUTE(UPPER(TRIM(Raw_Export!F918)),"KES",""),",","")),0))</f>
        <v>297</v>
      </c>
      <c r="H918" s="38" t="n">
        <f aca="false">IF(Raw_Export!$A918="","",F918*G918)</f>
        <v>594</v>
      </c>
      <c r="I918" s="36" t="str">
        <f aca="false">IF(Raw_Export!$A918="","",IFERROR(VLOOKUP(LOWER(TRIM(Raw_Export!H918)),Maps!$D$2:$E$12,2,FALSE()),"Other"))</f>
        <v>Card</v>
      </c>
      <c r="J918" s="36" t="str">
        <f aca="false">IF(Raw_Export!$A918="","",IF(COUNTIF($A$2:A918,A918)&gt;1,"Duplicate",""))</f>
        <v/>
      </c>
      <c r="K918" s="36" t="str">
        <f aca="false">IF(Raw_Export!$A918="","",IF(J918="Duplicate","Duplicate",IF(OR(C918="UNMAPPED",D918="UNMAPPED"),"Unmapped",IF(F918=0,"Blank qty",IF(F918&lt;0,"Return","OK")))))</f>
        <v>OK</v>
      </c>
      <c r="L918" s="36" t="n">
        <f aca="false">IF(Raw_Export!$A918="","",IF(OR(K918="OK",K918="Return"),1,0))</f>
        <v>1</v>
      </c>
      <c r="M918" s="37" t="n">
        <f aca="false">IF(Raw_Export!$A918="","",B918-WEEKDAY(B918,2)+1)</f>
        <v>46265</v>
      </c>
    </row>
    <row r="919" customFormat="false" ht="15" hidden="false" customHeight="false" outlineLevel="0" collapsed="false">
      <c r="A919" s="36" t="str">
        <f aca="false">IF(Raw_Export!$A919="","",TRIM(Raw_Export!A919))</f>
        <v>TXN-100901</v>
      </c>
      <c r="B919" s="37" t="n">
        <f aca="false">IF(Raw_Export!$A919="","",IF(ISNUMBER(Raw_Export!B919),Raw_Export!B919,IF(MID(TRIM(Raw_Export!B919),5,1)="-",DATE(LEFT(TRIM(Raw_Export!B919),4),MID(TRIM(Raw_Export!B919),6,2),RIGHT(TRIM(Raw_Export!B919),2)),DATE(RIGHT(TRIM(Raw_Export!B919),4),MATCH(MID(TRIM(Raw_Export!B919),4,3),{"Jan","Feb","Mar","Apr","May","Jun","Jul","Aug","Sep","Oct","Nov","Dec"},0),LEFT(TRIM(Raw_Export!B919),2)))))</f>
        <v>46270</v>
      </c>
      <c r="C919" s="36" t="str">
        <f aca="false">IF(Raw_Export!$A919="","",IFERROR(VLOOKUP(LOWER(TRIM(Raw_Export!C919)),Maps!$A$2:$B$20,2,FALSE()),"UNMAPPED"))</f>
        <v>Nakuru</v>
      </c>
      <c r="D919" s="36" t="str">
        <f aca="false">IF(Raw_Export!$A919="","",IFERROR(VLOOKUP(LOWER(TRIM(Raw_Export!D919)),Maps!$G$2:$I$80,2,FALSE()),"UNMAPPED"))</f>
        <v>Rice Pishori 2kg</v>
      </c>
      <c r="E919" s="36" t="str">
        <f aca="false">IF(Raw_Export!$A919="","",IFERROR(VLOOKUP(LOWER(TRIM(Raw_Export!D919)),Maps!$G$2:$I$80,3,FALSE()),"UNMAPPED"))</f>
        <v>Staples</v>
      </c>
      <c r="F919" s="36" t="n">
        <f aca="false">IF(Raw_Export!$A919="","",IFERROR(VALUE(TRIM(Raw_Export!E919)),0))</f>
        <v>2</v>
      </c>
      <c r="G919" s="38" t="n">
        <f aca="false">IF(Raw_Export!$A919="","",IFERROR(VALUE(SUBSTITUTE(SUBSTITUTE(UPPER(TRIM(Raw_Export!F919)),"KES",""),",","")),0))</f>
        <v>420</v>
      </c>
      <c r="H919" s="38" t="n">
        <f aca="false">IF(Raw_Export!$A919="","",F919*G919)</f>
        <v>840</v>
      </c>
      <c r="I919" s="36" t="str">
        <f aca="false">IF(Raw_Export!$A919="","",IFERROR(VLOOKUP(LOWER(TRIM(Raw_Export!H919)),Maps!$D$2:$E$12,2,FALSE()),"Other"))</f>
        <v>M-Pesa</v>
      </c>
      <c r="J919" s="36" t="str">
        <f aca="false">IF(Raw_Export!$A919="","",IF(COUNTIF($A$2:A919,A919)&gt;1,"Duplicate",""))</f>
        <v/>
      </c>
      <c r="K919" s="36" t="str">
        <f aca="false">IF(Raw_Export!$A919="","",IF(J919="Duplicate","Duplicate",IF(OR(C919="UNMAPPED",D919="UNMAPPED"),"Unmapped",IF(F919=0,"Blank qty",IF(F919&lt;0,"Return","OK")))))</f>
        <v>OK</v>
      </c>
      <c r="L919" s="36" t="n">
        <f aca="false">IF(Raw_Export!$A919="","",IF(OR(K919="OK",K919="Return"),1,0))</f>
        <v>1</v>
      </c>
      <c r="M919" s="37" t="n">
        <f aca="false">IF(Raw_Export!$A919="","",B919-WEEKDAY(B919,2)+1)</f>
        <v>46265</v>
      </c>
    </row>
    <row r="920" customFormat="false" ht="15" hidden="false" customHeight="false" outlineLevel="0" collapsed="false">
      <c r="A920" s="36" t="str">
        <f aca="false">IF(Raw_Export!$A920="","",TRIM(Raw_Export!A920))</f>
        <v>TXN-100902</v>
      </c>
      <c r="B920" s="37" t="n">
        <f aca="false">IF(Raw_Export!$A920="","",IF(ISNUMBER(Raw_Export!B920),Raw_Export!B920,IF(MID(TRIM(Raw_Export!B920),5,1)="-",DATE(LEFT(TRIM(Raw_Export!B920),4),MID(TRIM(Raw_Export!B920),6,2),RIGHT(TRIM(Raw_Export!B920),2)),DATE(RIGHT(TRIM(Raw_Export!B920),4),MATCH(MID(TRIM(Raw_Export!B920),4,3),{"Jan","Feb","Mar","Apr","May","Jun","Jul","Aug","Sep","Oct","Nov","Dec"},0),LEFT(TRIM(Raw_Export!B920),2)))))</f>
        <v>46270</v>
      </c>
      <c r="C920" s="36" t="str">
        <f aca="false">IF(Raw_Export!$A920="","",IFERROR(VLOOKUP(LOWER(TRIM(Raw_Export!C920)),Maps!$A$2:$B$20,2,FALSE()),"UNMAPPED"))</f>
        <v>Nakuru</v>
      </c>
      <c r="D920" s="36" t="str">
        <f aca="false">IF(Raw_Export!$A920="","",IFERROR(VLOOKUP(LOWER(TRIM(Raw_Export!D920)),Maps!$G$2:$I$80,2,FALSE()),"UNMAPPED"))</f>
        <v>Soda 500ml</v>
      </c>
      <c r="E920" s="36" t="str">
        <f aca="false">IF(Raw_Export!$A920="","",IFERROR(VLOOKUP(LOWER(TRIM(Raw_Export!D920)),Maps!$G$2:$I$80,3,FALSE()),"UNMAPPED"))</f>
        <v>Beverages</v>
      </c>
      <c r="F920" s="36" t="n">
        <f aca="false">IF(Raw_Export!$A920="","",IFERROR(VALUE(TRIM(Raw_Export!E920)),0))</f>
        <v>2</v>
      </c>
      <c r="G920" s="38" t="n">
        <f aca="false">IF(Raw_Export!$A920="","",IFERROR(VALUE(SUBSTITUTE(SUBSTITUTE(UPPER(TRIM(Raw_Export!F920)),"KES",""),",","")),0))</f>
        <v>60</v>
      </c>
      <c r="H920" s="38" t="n">
        <f aca="false">IF(Raw_Export!$A920="","",F920*G920)</f>
        <v>120</v>
      </c>
      <c r="I920" s="36" t="str">
        <f aca="false">IF(Raw_Export!$A920="","",IFERROR(VLOOKUP(LOWER(TRIM(Raw_Export!H920)),Maps!$D$2:$E$12,2,FALSE()),"Other"))</f>
        <v>Cash</v>
      </c>
      <c r="J920" s="36" t="str">
        <f aca="false">IF(Raw_Export!$A920="","",IF(COUNTIF($A$2:A920,A920)&gt;1,"Duplicate",""))</f>
        <v/>
      </c>
      <c r="K920" s="36" t="str">
        <f aca="false">IF(Raw_Export!$A920="","",IF(J920="Duplicate","Duplicate",IF(OR(C920="UNMAPPED",D920="UNMAPPED"),"Unmapped",IF(F920=0,"Blank qty",IF(F920&lt;0,"Return","OK")))))</f>
        <v>OK</v>
      </c>
      <c r="L920" s="36" t="n">
        <f aca="false">IF(Raw_Export!$A920="","",IF(OR(K920="OK",K920="Return"),1,0))</f>
        <v>1</v>
      </c>
      <c r="M920" s="37" t="n">
        <f aca="false">IF(Raw_Export!$A920="","",B920-WEEKDAY(B920,2)+1)</f>
        <v>46265</v>
      </c>
    </row>
    <row r="921" customFormat="false" ht="15" hidden="false" customHeight="false" outlineLevel="0" collapsed="false">
      <c r="A921" s="36" t="str">
        <f aca="false">IF(Raw_Export!$A921="","",TRIM(Raw_Export!A921))</f>
        <v>TXN-100903</v>
      </c>
      <c r="B921" s="37" t="n">
        <f aca="false">IF(Raw_Export!$A921="","",IF(ISNUMBER(Raw_Export!B921),Raw_Export!B921,IF(MID(TRIM(Raw_Export!B921),5,1)="-",DATE(LEFT(TRIM(Raw_Export!B921),4),MID(TRIM(Raw_Export!B921),6,2),RIGHT(TRIM(Raw_Export!B921),2)),DATE(RIGHT(TRIM(Raw_Export!B921),4),MATCH(MID(TRIM(Raw_Export!B921),4,3),{"Jan","Feb","Mar","Apr","May","Jun","Jul","Aug","Sep","Oct","Nov","Dec"},0),LEFT(TRIM(Raw_Export!B921),2)))))</f>
        <v>46271</v>
      </c>
      <c r="C921" s="36" t="str">
        <f aca="false">IF(Raw_Export!$A921="","",IFERROR(VLOOKUP(LOWER(TRIM(Raw_Export!C921)),Maps!$A$2:$B$20,2,FALSE()),"UNMAPPED"))</f>
        <v>Nairobi CBD</v>
      </c>
      <c r="D921" s="36" t="str">
        <f aca="false">IF(Raw_Export!$A921="","",IFERROR(VLOOKUP(LOWER(TRIM(Raw_Export!D921)),Maps!$G$2:$I$80,2,FALSE()),"UNMAPPED"))</f>
        <v>Bath Soap 175g</v>
      </c>
      <c r="E921" s="36" t="str">
        <f aca="false">IF(Raw_Export!$A921="","",IFERROR(VLOOKUP(LOWER(TRIM(Raw_Export!D921)),Maps!$G$2:$I$80,3,FALSE()),"UNMAPPED"))</f>
        <v>Personal Care</v>
      </c>
      <c r="F921" s="36" t="n">
        <f aca="false">IF(Raw_Export!$A921="","",IFERROR(VALUE(TRIM(Raw_Export!E921)),0))</f>
        <v>3</v>
      </c>
      <c r="G921" s="38" t="n">
        <f aca="false">IF(Raw_Export!$A921="","",IFERROR(VALUE(SUBSTITUTE(SUBSTITUTE(UPPER(TRIM(Raw_Export!F921)),"KES",""),",","")),0))</f>
        <v>85</v>
      </c>
      <c r="H921" s="38" t="n">
        <f aca="false">IF(Raw_Export!$A921="","",F921*G921)</f>
        <v>255</v>
      </c>
      <c r="I921" s="36" t="str">
        <f aca="false">IF(Raw_Export!$A921="","",IFERROR(VLOOKUP(LOWER(TRIM(Raw_Export!H921)),Maps!$D$2:$E$12,2,FALSE()),"Other"))</f>
        <v>M-Pesa</v>
      </c>
      <c r="J921" s="36" t="str">
        <f aca="false">IF(Raw_Export!$A921="","",IF(COUNTIF($A$2:A921,A921)&gt;1,"Duplicate",""))</f>
        <v/>
      </c>
      <c r="K921" s="36" t="str">
        <f aca="false">IF(Raw_Export!$A921="","",IF(J921="Duplicate","Duplicate",IF(OR(C921="UNMAPPED",D921="UNMAPPED"),"Unmapped",IF(F921=0,"Blank qty",IF(F921&lt;0,"Return","OK")))))</f>
        <v>OK</v>
      </c>
      <c r="L921" s="36" t="n">
        <f aca="false">IF(Raw_Export!$A921="","",IF(OR(K921="OK",K921="Return"),1,0))</f>
        <v>1</v>
      </c>
      <c r="M921" s="37" t="n">
        <f aca="false">IF(Raw_Export!$A921="","",B921-WEEKDAY(B921,2)+1)</f>
        <v>46265</v>
      </c>
    </row>
    <row r="922" customFormat="false" ht="15" hidden="false" customHeight="false" outlineLevel="0" collapsed="false">
      <c r="A922" s="36" t="str">
        <f aca="false">IF(Raw_Export!$A922="","",TRIM(Raw_Export!A922))</f>
        <v>TXN-100904</v>
      </c>
      <c r="B922" s="37" t="n">
        <f aca="false">IF(Raw_Export!$A922="","",IF(ISNUMBER(Raw_Export!B922),Raw_Export!B922,IF(MID(TRIM(Raw_Export!B922),5,1)="-",DATE(LEFT(TRIM(Raw_Export!B922),4),MID(TRIM(Raw_Export!B922),6,2),RIGHT(TRIM(Raw_Export!B922),2)),DATE(RIGHT(TRIM(Raw_Export!B922),4),MATCH(MID(TRIM(Raw_Export!B922),4,3),{"Jan","Feb","Mar","Apr","May","Jun","Jul","Aug","Sep","Oct","Nov","Dec"},0),LEFT(TRIM(Raw_Export!B922),2)))))</f>
        <v>46271</v>
      </c>
      <c r="C922" s="36" t="str">
        <f aca="false">IF(Raw_Export!$A922="","",IFERROR(VLOOKUP(LOWER(TRIM(Raw_Export!C922)),Maps!$A$2:$B$20,2,FALSE()),"UNMAPPED"))</f>
        <v>Nairobi CBD</v>
      </c>
      <c r="D922" s="36" t="str">
        <f aca="false">IF(Raw_Export!$A922="","",IFERROR(VLOOKUP(LOWER(TRIM(Raw_Export!D922)),Maps!$G$2:$I$80,2,FALSE()),"UNMAPPED"))</f>
        <v>Peanuts 250g</v>
      </c>
      <c r="E922" s="36" t="str">
        <f aca="false">IF(Raw_Export!$A922="","",IFERROR(VLOOKUP(LOWER(TRIM(Raw_Export!D922)),Maps!$G$2:$I$80,3,FALSE()),"UNMAPPED"))</f>
        <v>Snacks</v>
      </c>
      <c r="F922" s="36" t="n">
        <f aca="false">IF(Raw_Export!$A922="","",IFERROR(VALUE(TRIM(Raw_Export!E922)),0))</f>
        <v>1</v>
      </c>
      <c r="G922" s="38" t="n">
        <f aca="false">IF(Raw_Export!$A922="","",IFERROR(VALUE(SUBSTITUTE(SUBSTITUTE(UPPER(TRIM(Raw_Export!F922)),"KES",""),",","")),0))</f>
        <v>130</v>
      </c>
      <c r="H922" s="38" t="n">
        <f aca="false">IF(Raw_Export!$A922="","",F922*G922)</f>
        <v>130</v>
      </c>
      <c r="I922" s="36" t="str">
        <f aca="false">IF(Raw_Export!$A922="","",IFERROR(VLOOKUP(LOWER(TRIM(Raw_Export!H922)),Maps!$D$2:$E$12,2,FALSE()),"Other"))</f>
        <v>M-Pesa</v>
      </c>
      <c r="J922" s="36" t="str">
        <f aca="false">IF(Raw_Export!$A922="","",IF(COUNTIF($A$2:A922,A922)&gt;1,"Duplicate",""))</f>
        <v/>
      </c>
      <c r="K922" s="36" t="str">
        <f aca="false">IF(Raw_Export!$A922="","",IF(J922="Duplicate","Duplicate",IF(OR(C922="UNMAPPED",D922="UNMAPPED"),"Unmapped",IF(F922=0,"Blank qty",IF(F922&lt;0,"Return","OK")))))</f>
        <v>OK</v>
      </c>
      <c r="L922" s="36" t="n">
        <f aca="false">IF(Raw_Export!$A922="","",IF(OR(K922="OK",K922="Return"),1,0))</f>
        <v>1</v>
      </c>
      <c r="M922" s="37" t="n">
        <f aca="false">IF(Raw_Export!$A922="","",B922-WEEKDAY(B922,2)+1)</f>
        <v>46265</v>
      </c>
    </row>
    <row r="923" customFormat="false" ht="15" hidden="false" customHeight="false" outlineLevel="0" collapsed="false">
      <c r="A923" s="36" t="str">
        <f aca="false">IF(Raw_Export!$A923="","",TRIM(Raw_Export!A923))</f>
        <v>TXN-100905</v>
      </c>
      <c r="B923" s="37" t="n">
        <f aca="false">IF(Raw_Export!$A923="","",IF(ISNUMBER(Raw_Export!B923),Raw_Export!B923,IF(MID(TRIM(Raw_Export!B923),5,1)="-",DATE(LEFT(TRIM(Raw_Export!B923),4),MID(TRIM(Raw_Export!B923),6,2),RIGHT(TRIM(Raw_Export!B923),2)),DATE(RIGHT(TRIM(Raw_Export!B923),4),MATCH(MID(TRIM(Raw_Export!B923),4,3),{"Jan","Feb","Mar","Apr","May","Jun","Jul","Aug","Sep","Oct","Nov","Dec"},0),LEFT(TRIM(Raw_Export!B923),2)))))</f>
        <v>46271</v>
      </c>
      <c r="C923" s="36" t="str">
        <f aca="false">IF(Raw_Export!$A923="","",IFERROR(VLOOKUP(LOWER(TRIM(Raw_Export!C923)),Maps!$A$2:$B$20,2,FALSE()),"UNMAPPED"))</f>
        <v>Nairobi CBD</v>
      </c>
      <c r="D923" s="36" t="str">
        <f aca="false">IF(Raw_Export!$A923="","",IFERROR(VLOOKUP(LOWER(TRIM(Raw_Export!D923)),Maps!$G$2:$I$80,2,FALSE()),"UNMAPPED"))</f>
        <v>Sugar 2kg</v>
      </c>
      <c r="E923" s="36" t="str">
        <f aca="false">IF(Raw_Export!$A923="","",IFERROR(VLOOKUP(LOWER(TRIM(Raw_Export!D923)),Maps!$G$2:$I$80,3,FALSE()),"UNMAPPED"))</f>
        <v>Staples</v>
      </c>
      <c r="F923" s="36" t="n">
        <f aca="false">IF(Raw_Export!$A923="","",IFERROR(VALUE(TRIM(Raw_Export!E923)),0))</f>
        <v>3</v>
      </c>
      <c r="G923" s="38" t="n">
        <f aca="false">IF(Raw_Export!$A923="","",IFERROR(VALUE(SUBSTITUTE(SUBSTITUTE(UPPER(TRIM(Raw_Export!F923)),"KES",""),",","")),0))</f>
        <v>297</v>
      </c>
      <c r="H923" s="38" t="n">
        <f aca="false">IF(Raw_Export!$A923="","",F923*G923)</f>
        <v>891</v>
      </c>
      <c r="I923" s="36" t="str">
        <f aca="false">IF(Raw_Export!$A923="","",IFERROR(VLOOKUP(LOWER(TRIM(Raw_Export!H923)),Maps!$D$2:$E$12,2,FALSE()),"Other"))</f>
        <v>M-Pesa</v>
      </c>
      <c r="J923" s="36" t="str">
        <f aca="false">IF(Raw_Export!$A923="","",IF(COUNTIF($A$2:A923,A923)&gt;1,"Duplicate",""))</f>
        <v/>
      </c>
      <c r="K923" s="36" t="str">
        <f aca="false">IF(Raw_Export!$A923="","",IF(J923="Duplicate","Duplicate",IF(OR(C923="UNMAPPED",D923="UNMAPPED"),"Unmapped",IF(F923=0,"Blank qty",IF(F923&lt;0,"Return","OK")))))</f>
        <v>OK</v>
      </c>
      <c r="L923" s="36" t="n">
        <f aca="false">IF(Raw_Export!$A923="","",IF(OR(K923="OK",K923="Return"),1,0))</f>
        <v>1</v>
      </c>
      <c r="M923" s="37" t="n">
        <f aca="false">IF(Raw_Export!$A923="","",B923-WEEKDAY(B923,2)+1)</f>
        <v>46265</v>
      </c>
    </row>
    <row r="924" customFormat="false" ht="15" hidden="false" customHeight="false" outlineLevel="0" collapsed="false">
      <c r="A924" s="36" t="str">
        <f aca="false">IF(Raw_Export!$A924="","",TRIM(Raw_Export!A924))</f>
        <v>TXN-100906</v>
      </c>
      <c r="B924" s="37" t="n">
        <f aca="false">IF(Raw_Export!$A924="","",IF(ISNUMBER(Raw_Export!B924),Raw_Export!B924,IF(MID(TRIM(Raw_Export!B924),5,1)="-",DATE(LEFT(TRIM(Raw_Export!B924),4),MID(TRIM(Raw_Export!B924),6,2),RIGHT(TRIM(Raw_Export!B924),2)),DATE(RIGHT(TRIM(Raw_Export!B924),4),MATCH(MID(TRIM(Raw_Export!B924),4,3),{"Jan","Feb","Mar","Apr","May","Jun","Jul","Aug","Sep","Oct","Nov","Dec"},0),LEFT(TRIM(Raw_Export!B924),2)))))</f>
        <v>46271</v>
      </c>
      <c r="C924" s="36" t="str">
        <f aca="false">IF(Raw_Export!$A924="","",IFERROR(VLOOKUP(LOWER(TRIM(Raw_Export!C924)),Maps!$A$2:$B$20,2,FALSE()),"UNMAPPED"))</f>
        <v>Nairobi CBD</v>
      </c>
      <c r="D924" s="36" t="str">
        <f aca="false">IF(Raw_Export!$A924="","",IFERROR(VLOOKUP(LOWER(TRIM(Raw_Export!D924)),Maps!$G$2:$I$80,2,FALSE()),"UNMAPPED"))</f>
        <v>Cooking Oil 1L</v>
      </c>
      <c r="E924" s="36" t="str">
        <f aca="false">IF(Raw_Export!$A924="","",IFERROR(VLOOKUP(LOWER(TRIM(Raw_Export!D924)),Maps!$G$2:$I$80,3,FALSE()),"UNMAPPED"))</f>
        <v>Staples</v>
      </c>
      <c r="F924" s="36" t="n">
        <f aca="false">IF(Raw_Export!$A924="","",IFERROR(VALUE(TRIM(Raw_Export!E924)),0))</f>
        <v>4</v>
      </c>
      <c r="G924" s="38" t="n">
        <f aca="false">IF(Raw_Export!$A924="","",IFERROR(VALUE(SUBSTITUTE(SUBSTITUTE(UPPER(TRIM(Raw_Export!F924)),"KES",""),",","")),0))</f>
        <v>330</v>
      </c>
      <c r="H924" s="38" t="n">
        <f aca="false">IF(Raw_Export!$A924="","",F924*G924)</f>
        <v>1320</v>
      </c>
      <c r="I924" s="36" t="str">
        <f aca="false">IF(Raw_Export!$A924="","",IFERROR(VLOOKUP(LOWER(TRIM(Raw_Export!H924)),Maps!$D$2:$E$12,2,FALSE()),"Other"))</f>
        <v>M-Pesa</v>
      </c>
      <c r="J924" s="36" t="str">
        <f aca="false">IF(Raw_Export!$A924="","",IF(COUNTIF($A$2:A924,A924)&gt;1,"Duplicate",""))</f>
        <v/>
      </c>
      <c r="K924" s="36" t="str">
        <f aca="false">IF(Raw_Export!$A924="","",IF(J924="Duplicate","Duplicate",IF(OR(C924="UNMAPPED",D924="UNMAPPED"),"Unmapped",IF(F924=0,"Blank qty",IF(F924&lt;0,"Return","OK")))))</f>
        <v>OK</v>
      </c>
      <c r="L924" s="36" t="n">
        <f aca="false">IF(Raw_Export!$A924="","",IF(OR(K924="OK",K924="Return"),1,0))</f>
        <v>1</v>
      </c>
      <c r="M924" s="37" t="n">
        <f aca="false">IF(Raw_Export!$A924="","",B924-WEEKDAY(B924,2)+1)</f>
        <v>46265</v>
      </c>
    </row>
    <row r="925" customFormat="false" ht="15" hidden="false" customHeight="false" outlineLevel="0" collapsed="false">
      <c r="A925" s="36" t="str">
        <f aca="false">IF(Raw_Export!$A925="","",TRIM(Raw_Export!A925))</f>
        <v>TXN-100907</v>
      </c>
      <c r="B925" s="37" t="n">
        <f aca="false">IF(Raw_Export!$A925="","",IF(ISNUMBER(Raw_Export!B925),Raw_Export!B925,IF(MID(TRIM(Raw_Export!B925),5,1)="-",DATE(LEFT(TRIM(Raw_Export!B925),4),MID(TRIM(Raw_Export!B925),6,2),RIGHT(TRIM(Raw_Export!B925),2)),DATE(RIGHT(TRIM(Raw_Export!B925),4),MATCH(MID(TRIM(Raw_Export!B925),4,3),{"Jan","Feb","Mar","Apr","May","Jun","Jul","Aug","Sep","Oct","Nov","Dec"},0),LEFT(TRIM(Raw_Export!B925),2)))))</f>
        <v>46271</v>
      </c>
      <c r="C925" s="36" t="str">
        <f aca="false">IF(Raw_Export!$A925="","",IFERROR(VLOOKUP(LOWER(TRIM(Raw_Export!C925)),Maps!$A$2:$B$20,2,FALSE()),"UNMAPPED"))</f>
        <v>Nairobi CBD</v>
      </c>
      <c r="D925" s="36" t="str">
        <f aca="false">IF(Raw_Export!$A925="","",IFERROR(VLOOKUP(LOWER(TRIM(Raw_Export!D925)),Maps!$G$2:$I$80,2,FALSE()),"UNMAPPED"))</f>
        <v>Toothpaste 100g</v>
      </c>
      <c r="E925" s="36" t="str">
        <f aca="false">IF(Raw_Export!$A925="","",IFERROR(VLOOKUP(LOWER(TRIM(Raw_Export!D925)),Maps!$G$2:$I$80,3,FALSE()),"UNMAPPED"))</f>
        <v>Personal Care</v>
      </c>
      <c r="F925" s="36" t="n">
        <f aca="false">IF(Raw_Export!$A925="","",IFERROR(VALUE(TRIM(Raw_Export!E925)),0))</f>
        <v>1</v>
      </c>
      <c r="G925" s="38" t="n">
        <f aca="false">IF(Raw_Export!$A925="","",IFERROR(VALUE(SUBSTITUTE(SUBSTITUTE(UPPER(TRIM(Raw_Export!F925)),"KES",""),",","")),0))</f>
        <v>195</v>
      </c>
      <c r="H925" s="38" t="n">
        <f aca="false">IF(Raw_Export!$A925="","",F925*G925)</f>
        <v>195</v>
      </c>
      <c r="I925" s="36" t="str">
        <f aca="false">IF(Raw_Export!$A925="","",IFERROR(VLOOKUP(LOWER(TRIM(Raw_Export!H925)),Maps!$D$2:$E$12,2,FALSE()),"Other"))</f>
        <v>M-Pesa</v>
      </c>
      <c r="J925" s="36" t="str">
        <f aca="false">IF(Raw_Export!$A925="","",IF(COUNTIF($A$2:A925,A925)&gt;1,"Duplicate",""))</f>
        <v/>
      </c>
      <c r="K925" s="36" t="str">
        <f aca="false">IF(Raw_Export!$A925="","",IF(J925="Duplicate","Duplicate",IF(OR(C925="UNMAPPED",D925="UNMAPPED"),"Unmapped",IF(F925=0,"Blank qty",IF(F925&lt;0,"Return","OK")))))</f>
        <v>OK</v>
      </c>
      <c r="L925" s="36" t="n">
        <f aca="false">IF(Raw_Export!$A925="","",IF(OR(K925="OK",K925="Return"),1,0))</f>
        <v>1</v>
      </c>
      <c r="M925" s="37" t="n">
        <f aca="false">IF(Raw_Export!$A925="","",B925-WEEKDAY(B925,2)+1)</f>
        <v>46265</v>
      </c>
    </row>
    <row r="926" customFormat="false" ht="15" hidden="false" customHeight="false" outlineLevel="0" collapsed="false">
      <c r="A926" s="36" t="str">
        <f aca="false">IF(Raw_Export!$A926="","",TRIM(Raw_Export!A926))</f>
        <v>TXN-100908</v>
      </c>
      <c r="B926" s="37" t="n">
        <f aca="false">IF(Raw_Export!$A926="","",IF(ISNUMBER(Raw_Export!B926),Raw_Export!B926,IF(MID(TRIM(Raw_Export!B926),5,1)="-",DATE(LEFT(TRIM(Raw_Export!B926),4),MID(TRIM(Raw_Export!B926),6,2),RIGHT(TRIM(Raw_Export!B926),2)),DATE(RIGHT(TRIM(Raw_Export!B926),4),MATCH(MID(TRIM(Raw_Export!B926),4,3),{"Jan","Feb","Mar","Apr","May","Jun","Jul","Aug","Sep","Oct","Nov","Dec"},0),LEFT(TRIM(Raw_Export!B926),2)))))</f>
        <v>46271</v>
      </c>
      <c r="C926" s="36" t="str">
        <f aca="false">IF(Raw_Export!$A926="","",IFERROR(VLOOKUP(LOWER(TRIM(Raw_Export!C926)),Maps!$A$2:$B$20,2,FALSE()),"UNMAPPED"))</f>
        <v>Nairobi CBD</v>
      </c>
      <c r="D926" s="36" t="str">
        <f aca="false">IF(Raw_Export!$A926="","",IFERROR(VLOOKUP(LOWER(TRIM(Raw_Export!D926)),Maps!$G$2:$I$80,2,FALSE()),"UNMAPPED"))</f>
        <v>Sanitary Pads 8pk</v>
      </c>
      <c r="E926" s="36" t="str">
        <f aca="false">IF(Raw_Export!$A926="","",IFERROR(VLOOKUP(LOWER(TRIM(Raw_Export!D926)),Maps!$G$2:$I$80,3,FALSE()),"UNMAPPED"))</f>
        <v>Personal Care</v>
      </c>
      <c r="F926" s="36" t="n">
        <f aca="false">IF(Raw_Export!$A926="","",IFERROR(VALUE(TRIM(Raw_Export!E926)),0))</f>
        <v>2</v>
      </c>
      <c r="G926" s="38" t="n">
        <f aca="false">IF(Raw_Export!$A926="","",IFERROR(VALUE(SUBSTITUTE(SUBSTITUTE(UPPER(TRIM(Raw_Export!F926)),"KES",""),",","")),0))</f>
        <v>130</v>
      </c>
      <c r="H926" s="38" t="n">
        <f aca="false">IF(Raw_Export!$A926="","",F926*G926)</f>
        <v>260</v>
      </c>
      <c r="I926" s="36" t="str">
        <f aca="false">IF(Raw_Export!$A926="","",IFERROR(VLOOKUP(LOWER(TRIM(Raw_Export!H926)),Maps!$D$2:$E$12,2,FALSE()),"Other"))</f>
        <v>Card</v>
      </c>
      <c r="J926" s="36" t="str">
        <f aca="false">IF(Raw_Export!$A926="","",IF(COUNTIF($A$2:A926,A926)&gt;1,"Duplicate",""))</f>
        <v/>
      </c>
      <c r="K926" s="36" t="str">
        <f aca="false">IF(Raw_Export!$A926="","",IF(J926="Duplicate","Duplicate",IF(OR(C926="UNMAPPED",D926="UNMAPPED"),"Unmapped",IF(F926=0,"Blank qty",IF(F926&lt;0,"Return","OK")))))</f>
        <v>OK</v>
      </c>
      <c r="L926" s="36" t="n">
        <f aca="false">IF(Raw_Export!$A926="","",IF(OR(K926="OK",K926="Return"),1,0))</f>
        <v>1</v>
      </c>
      <c r="M926" s="37" t="n">
        <f aca="false">IF(Raw_Export!$A926="","",B926-WEEKDAY(B926,2)+1)</f>
        <v>46265</v>
      </c>
    </row>
    <row r="927" customFormat="false" ht="15" hidden="false" customHeight="false" outlineLevel="0" collapsed="false">
      <c r="A927" s="36" t="str">
        <f aca="false">IF(Raw_Export!$A927="","",TRIM(Raw_Export!A927))</f>
        <v>TXN-100909</v>
      </c>
      <c r="B927" s="37" t="n">
        <f aca="false">IF(Raw_Export!$A927="","",IF(ISNUMBER(Raw_Export!B927),Raw_Export!B927,IF(MID(TRIM(Raw_Export!B927),5,1)="-",DATE(LEFT(TRIM(Raw_Export!B927),4),MID(TRIM(Raw_Export!B927),6,2),RIGHT(TRIM(Raw_Export!B927),2)),DATE(RIGHT(TRIM(Raw_Export!B927),4),MATCH(MID(TRIM(Raw_Export!B927),4,3),{"Jan","Feb","Mar","Apr","May","Jun","Jul","Aug","Sep","Oct","Nov","Dec"},0),LEFT(TRIM(Raw_Export!B927),2)))))</f>
        <v>46271</v>
      </c>
      <c r="C927" s="36" t="str">
        <f aca="false">IF(Raw_Export!$A927="","",IFERROR(VLOOKUP(LOWER(TRIM(Raw_Export!C927)),Maps!$A$2:$B$20,2,FALSE()),"UNMAPPED"))</f>
        <v>Nairobi CBD</v>
      </c>
      <c r="D927" s="36" t="str">
        <f aca="false">IF(Raw_Export!$A927="","",IFERROR(VLOOKUP(LOWER(TRIM(Raw_Export!D927)),Maps!$G$2:$I$80,2,FALSE()),"UNMAPPED"))</f>
        <v>Bread Loaf 400g</v>
      </c>
      <c r="E927" s="36" t="str">
        <f aca="false">IF(Raw_Export!$A927="","",IFERROR(VLOOKUP(LOWER(TRIM(Raw_Export!D927)),Maps!$G$2:$I$80,3,FALSE()),"UNMAPPED"))</f>
        <v>Snacks</v>
      </c>
      <c r="F927" s="36" t="n">
        <f aca="false">IF(Raw_Export!$A927="","",IFERROR(VALUE(TRIM(Raw_Export!E927)),0))</f>
        <v>2</v>
      </c>
      <c r="G927" s="38" t="n">
        <f aca="false">IF(Raw_Export!$A927="","",IFERROR(VALUE(SUBSTITUTE(SUBSTITUTE(UPPER(TRIM(Raw_Export!F927)),"KES",""),",","")),0))</f>
        <v>65</v>
      </c>
      <c r="H927" s="38" t="n">
        <f aca="false">IF(Raw_Export!$A927="","",F927*G927)</f>
        <v>130</v>
      </c>
      <c r="I927" s="36" t="str">
        <f aca="false">IF(Raw_Export!$A927="","",IFERROR(VLOOKUP(LOWER(TRIM(Raw_Export!H927)),Maps!$D$2:$E$12,2,FALSE()),"Other"))</f>
        <v>M-Pesa</v>
      </c>
      <c r="J927" s="36" t="str">
        <f aca="false">IF(Raw_Export!$A927="","",IF(COUNTIF($A$2:A927,A927)&gt;1,"Duplicate",""))</f>
        <v/>
      </c>
      <c r="K927" s="36" t="str">
        <f aca="false">IF(Raw_Export!$A927="","",IF(J927="Duplicate","Duplicate",IF(OR(C927="UNMAPPED",D927="UNMAPPED"),"Unmapped",IF(F927=0,"Blank qty",IF(F927&lt;0,"Return","OK")))))</f>
        <v>OK</v>
      </c>
      <c r="L927" s="36" t="n">
        <f aca="false">IF(Raw_Export!$A927="","",IF(OR(K927="OK",K927="Return"),1,0))</f>
        <v>1</v>
      </c>
      <c r="M927" s="37" t="n">
        <f aca="false">IF(Raw_Export!$A927="","",B927-WEEKDAY(B927,2)+1)</f>
        <v>46265</v>
      </c>
    </row>
    <row r="928" customFormat="false" ht="15" hidden="false" customHeight="false" outlineLevel="0" collapsed="false">
      <c r="A928" s="36" t="str">
        <f aca="false">IF(Raw_Export!$A928="","",TRIM(Raw_Export!A928))</f>
        <v>TXN-100910</v>
      </c>
      <c r="B928" s="37" t="n">
        <f aca="false">IF(Raw_Export!$A928="","",IF(ISNUMBER(Raw_Export!B928),Raw_Export!B928,IF(MID(TRIM(Raw_Export!B928),5,1)="-",DATE(LEFT(TRIM(Raw_Export!B928),4),MID(TRIM(Raw_Export!B928),6,2),RIGHT(TRIM(Raw_Export!B928),2)),DATE(RIGHT(TRIM(Raw_Export!B928),4),MATCH(MID(TRIM(Raw_Export!B928),4,3),{"Jan","Feb","Mar","Apr","May","Jun","Jul","Aug","Sep","Oct","Nov","Dec"},0),LEFT(TRIM(Raw_Export!B928),2)))))</f>
        <v>46271</v>
      </c>
      <c r="C928" s="36" t="str">
        <f aca="false">IF(Raw_Export!$A928="","",IFERROR(VLOOKUP(LOWER(TRIM(Raw_Export!C928)),Maps!$A$2:$B$20,2,FALSE()),"UNMAPPED"))</f>
        <v>Nairobi CBD</v>
      </c>
      <c r="D928" s="36" t="str">
        <f aca="false">IF(Raw_Export!$A928="","",IFERROR(VLOOKUP(LOWER(TRIM(Raw_Export!D928)),Maps!$G$2:$I$80,2,FALSE()),"UNMAPPED"))</f>
        <v>Yoghurt 500ml</v>
      </c>
      <c r="E928" s="36" t="str">
        <f aca="false">IF(Raw_Export!$A928="","",IFERROR(VLOOKUP(LOWER(TRIM(Raw_Export!D928)),Maps!$G$2:$I$80,3,FALSE()),"UNMAPPED"))</f>
        <v>Dairy &amp; Eggs</v>
      </c>
      <c r="F928" s="36" t="n">
        <f aca="false">IF(Raw_Export!$A928="","",IFERROR(VALUE(TRIM(Raw_Export!E928)),0))</f>
        <v>1</v>
      </c>
      <c r="G928" s="38" t="n">
        <f aca="false">IF(Raw_Export!$A928="","",IFERROR(VALUE(SUBSTITUTE(SUBSTITUTE(UPPER(TRIM(Raw_Export!F928)),"KES",""),",","")),0))</f>
        <v>108</v>
      </c>
      <c r="H928" s="38" t="n">
        <f aca="false">IF(Raw_Export!$A928="","",F928*G928)</f>
        <v>108</v>
      </c>
      <c r="I928" s="36" t="str">
        <f aca="false">IF(Raw_Export!$A928="","",IFERROR(VLOOKUP(LOWER(TRIM(Raw_Export!H928)),Maps!$D$2:$E$12,2,FALSE()),"Other"))</f>
        <v>M-Pesa</v>
      </c>
      <c r="J928" s="36" t="str">
        <f aca="false">IF(Raw_Export!$A928="","",IF(COUNTIF($A$2:A928,A928)&gt;1,"Duplicate",""))</f>
        <v/>
      </c>
      <c r="K928" s="36" t="str">
        <f aca="false">IF(Raw_Export!$A928="","",IF(J928="Duplicate","Duplicate",IF(OR(C928="UNMAPPED",D928="UNMAPPED"),"Unmapped",IF(F928=0,"Blank qty",IF(F928&lt;0,"Return","OK")))))</f>
        <v>OK</v>
      </c>
      <c r="L928" s="36" t="n">
        <f aca="false">IF(Raw_Export!$A928="","",IF(OR(K928="OK",K928="Return"),1,0))</f>
        <v>1</v>
      </c>
      <c r="M928" s="37" t="n">
        <f aca="false">IF(Raw_Export!$A928="","",B928-WEEKDAY(B928,2)+1)</f>
        <v>46265</v>
      </c>
    </row>
    <row r="929" customFormat="false" ht="15" hidden="false" customHeight="false" outlineLevel="0" collapsed="false">
      <c r="A929" s="36" t="str">
        <f aca="false">IF(Raw_Export!$A929="","",TRIM(Raw_Export!A929))</f>
        <v>TXN-100911</v>
      </c>
      <c r="B929" s="37" t="n">
        <f aca="false">IF(Raw_Export!$A929="","",IF(ISNUMBER(Raw_Export!B929),Raw_Export!B929,IF(MID(TRIM(Raw_Export!B929),5,1)="-",DATE(LEFT(TRIM(Raw_Export!B929),4),MID(TRIM(Raw_Export!B929),6,2),RIGHT(TRIM(Raw_Export!B929),2)),DATE(RIGHT(TRIM(Raw_Export!B929),4),MATCH(MID(TRIM(Raw_Export!B929),4,3),{"Jan","Feb","Mar","Apr","May","Jun","Jul","Aug","Sep","Oct","Nov","Dec"},0),LEFT(TRIM(Raw_Export!B929),2)))))</f>
        <v>46271</v>
      </c>
      <c r="C929" s="36" t="str">
        <f aca="false">IF(Raw_Export!$A929="","",IFERROR(VLOOKUP(LOWER(TRIM(Raw_Export!C929)),Maps!$A$2:$B$20,2,FALSE()),"UNMAPPED"))</f>
        <v>Nairobi CBD</v>
      </c>
      <c r="D929" s="36" t="str">
        <f aca="false">IF(Raw_Export!$A929="","",IFERROR(VLOOKUP(LOWER(TRIM(Raw_Export!D929)),Maps!$G$2:$I$80,2,FALSE()),"UNMAPPED"))</f>
        <v>Spaghetti 400g</v>
      </c>
      <c r="E929" s="36" t="str">
        <f aca="false">IF(Raw_Export!$A929="","",IFERROR(VLOOKUP(LOWER(TRIM(Raw_Export!D929)),Maps!$G$2:$I$80,3,FALSE()),"UNMAPPED"))</f>
        <v>Staples</v>
      </c>
      <c r="F929" s="36" t="n">
        <f aca="false">IF(Raw_Export!$A929="","",IFERROR(VALUE(TRIM(Raw_Export!E929)),0))</f>
        <v>6</v>
      </c>
      <c r="G929" s="38" t="n">
        <f aca="false">IF(Raw_Export!$A929="","",IFERROR(VALUE(SUBSTITUTE(SUBSTITUTE(UPPER(TRIM(Raw_Export!F929)),"KES",""),",","")),0))</f>
        <v>110</v>
      </c>
      <c r="H929" s="38" t="n">
        <f aca="false">IF(Raw_Export!$A929="","",F929*G929)</f>
        <v>660</v>
      </c>
      <c r="I929" s="36" t="str">
        <f aca="false">IF(Raw_Export!$A929="","",IFERROR(VLOOKUP(LOWER(TRIM(Raw_Export!H929)),Maps!$D$2:$E$12,2,FALSE()),"Other"))</f>
        <v>M-Pesa</v>
      </c>
      <c r="J929" s="36" t="str">
        <f aca="false">IF(Raw_Export!$A929="","",IF(COUNTIF($A$2:A929,A929)&gt;1,"Duplicate",""))</f>
        <v/>
      </c>
      <c r="K929" s="36" t="str">
        <f aca="false">IF(Raw_Export!$A929="","",IF(J929="Duplicate","Duplicate",IF(OR(C929="UNMAPPED",D929="UNMAPPED"),"Unmapped",IF(F929=0,"Blank qty",IF(F929&lt;0,"Return","OK")))))</f>
        <v>OK</v>
      </c>
      <c r="L929" s="36" t="n">
        <f aca="false">IF(Raw_Export!$A929="","",IF(OR(K929="OK",K929="Return"),1,0))</f>
        <v>1</v>
      </c>
      <c r="M929" s="37" t="n">
        <f aca="false">IF(Raw_Export!$A929="","",B929-WEEKDAY(B929,2)+1)</f>
        <v>46265</v>
      </c>
    </row>
    <row r="930" customFormat="false" ht="15" hidden="false" customHeight="false" outlineLevel="0" collapsed="false">
      <c r="A930" s="36" t="str">
        <f aca="false">IF(Raw_Export!$A930="","",TRIM(Raw_Export!A930))</f>
        <v>TXN-100912</v>
      </c>
      <c r="B930" s="37" t="n">
        <f aca="false">IF(Raw_Export!$A930="","",IF(ISNUMBER(Raw_Export!B930),Raw_Export!B930,IF(MID(TRIM(Raw_Export!B930),5,1)="-",DATE(LEFT(TRIM(Raw_Export!B930),4),MID(TRIM(Raw_Export!B930),6,2),RIGHT(TRIM(Raw_Export!B930),2)),DATE(RIGHT(TRIM(Raw_Export!B930),4),MATCH(MID(TRIM(Raw_Export!B930),4,3),{"Jan","Feb","Mar","Apr","May","Jun","Jul","Aug","Sep","Oct","Nov","Dec"},0),LEFT(TRIM(Raw_Export!B930),2)))))</f>
        <v>46271</v>
      </c>
      <c r="C930" s="36" t="str">
        <f aca="false">IF(Raw_Export!$A930="","",IFERROR(VLOOKUP(LOWER(TRIM(Raw_Export!C930)),Maps!$A$2:$B$20,2,FALSE()),"UNMAPPED"))</f>
        <v>Nairobi CBD</v>
      </c>
      <c r="D930" s="36" t="str">
        <f aca="false">IF(Raw_Export!$A930="","",IFERROR(VLOOKUP(LOWER(TRIM(Raw_Export!D930)),Maps!$G$2:$I$80,2,FALSE()),"UNMAPPED"))</f>
        <v>UNMAPPED</v>
      </c>
      <c r="E930" s="36" t="str">
        <f aca="false">IF(Raw_Export!$A930="","",IFERROR(VLOOKUP(LOWER(TRIM(Raw_Export!D930)),Maps!$G$2:$I$80,3,FALSE()),"UNMAPPED"))</f>
        <v>UNMAPPED</v>
      </c>
      <c r="F930" s="36" t="n">
        <f aca="false">IF(Raw_Export!$A930="","",IFERROR(VALUE(TRIM(Raw_Export!E930)),0))</f>
        <v>1</v>
      </c>
      <c r="G930" s="38" t="n">
        <f aca="false">IF(Raw_Export!$A930="","",IFERROR(VALUE(SUBSTITUTE(SUBSTITUTE(UPPER(TRIM(Raw_Export!F930)),"KES",""),",","")),0))</f>
        <v>50</v>
      </c>
      <c r="H930" s="38" t="n">
        <f aca="false">IF(Raw_Export!$A930="","",F930*G930)</f>
        <v>50</v>
      </c>
      <c r="I930" s="36" t="str">
        <f aca="false">IF(Raw_Export!$A930="","",IFERROR(VLOOKUP(LOWER(TRIM(Raw_Export!H930)),Maps!$D$2:$E$12,2,FALSE()),"Other"))</f>
        <v>Cash</v>
      </c>
      <c r="J930" s="36" t="str">
        <f aca="false">IF(Raw_Export!$A930="","",IF(COUNTIF($A$2:A930,A930)&gt;1,"Duplicate",""))</f>
        <v/>
      </c>
      <c r="K930" s="36" t="str">
        <f aca="false">IF(Raw_Export!$A930="","",IF(J930="Duplicate","Duplicate",IF(OR(C930="UNMAPPED",D930="UNMAPPED"),"Unmapped",IF(F930=0,"Blank qty",IF(F930&lt;0,"Return","OK")))))</f>
        <v>Unmapped</v>
      </c>
      <c r="L930" s="36" t="n">
        <f aca="false">IF(Raw_Export!$A930="","",IF(OR(K930="OK",K930="Return"),1,0))</f>
        <v>0</v>
      </c>
      <c r="M930" s="37" t="n">
        <f aca="false">IF(Raw_Export!$A930="","",B930-WEEKDAY(B930,2)+1)</f>
        <v>46265</v>
      </c>
    </row>
    <row r="931" customFormat="false" ht="15" hidden="false" customHeight="false" outlineLevel="0" collapsed="false">
      <c r="A931" s="36" t="str">
        <f aca="false">IF(Raw_Export!$A931="","",TRIM(Raw_Export!A931))</f>
        <v>TXN-100913</v>
      </c>
      <c r="B931" s="37" t="n">
        <f aca="false">IF(Raw_Export!$A931="","",IF(ISNUMBER(Raw_Export!B931),Raw_Export!B931,IF(MID(TRIM(Raw_Export!B931),5,1)="-",DATE(LEFT(TRIM(Raw_Export!B931),4),MID(TRIM(Raw_Export!B931),6,2),RIGHT(TRIM(Raw_Export!B931),2)),DATE(RIGHT(TRIM(Raw_Export!B931),4),MATCH(MID(TRIM(Raw_Export!B931),4,3),{"Jan","Feb","Mar","Apr","May","Jun","Jul","Aug","Sep","Oct","Nov","Dec"},0),LEFT(TRIM(Raw_Export!B931),2)))))</f>
        <v>46271</v>
      </c>
      <c r="C931" s="36" t="str">
        <f aca="false">IF(Raw_Export!$A931="","",IFERROR(VLOOKUP(LOWER(TRIM(Raw_Export!C931)),Maps!$A$2:$B$20,2,FALSE()),"UNMAPPED"))</f>
        <v>Nairobi CBD</v>
      </c>
      <c r="D931" s="36" t="str">
        <f aca="false">IF(Raw_Export!$A931="","",IFERROR(VLOOKUP(LOWER(TRIM(Raw_Export!D931)),Maps!$G$2:$I$80,2,FALSE()),"UNMAPPED"))</f>
        <v>Bread Loaf 400g</v>
      </c>
      <c r="E931" s="36" t="str">
        <f aca="false">IF(Raw_Export!$A931="","",IFERROR(VLOOKUP(LOWER(TRIM(Raw_Export!D931)),Maps!$G$2:$I$80,3,FALSE()),"UNMAPPED"))</f>
        <v>Snacks</v>
      </c>
      <c r="F931" s="36" t="n">
        <f aca="false">IF(Raw_Export!$A931="","",IFERROR(VALUE(TRIM(Raw_Export!E931)),0))</f>
        <v>2</v>
      </c>
      <c r="G931" s="38" t="n">
        <f aca="false">IF(Raw_Export!$A931="","",IFERROR(VALUE(SUBSTITUTE(SUBSTITUTE(UPPER(TRIM(Raw_Export!F931)),"KES",""),",","")),0))</f>
        <v>65</v>
      </c>
      <c r="H931" s="38" t="n">
        <f aca="false">IF(Raw_Export!$A931="","",F931*G931)</f>
        <v>130</v>
      </c>
      <c r="I931" s="36" t="str">
        <f aca="false">IF(Raw_Export!$A931="","",IFERROR(VLOOKUP(LOWER(TRIM(Raw_Export!H931)),Maps!$D$2:$E$12,2,FALSE()),"Other"))</f>
        <v>Cash</v>
      </c>
      <c r="J931" s="36" t="str">
        <f aca="false">IF(Raw_Export!$A931="","",IF(COUNTIF($A$2:A931,A931)&gt;1,"Duplicate",""))</f>
        <v/>
      </c>
      <c r="K931" s="36" t="str">
        <f aca="false">IF(Raw_Export!$A931="","",IF(J931="Duplicate","Duplicate",IF(OR(C931="UNMAPPED",D931="UNMAPPED"),"Unmapped",IF(F931=0,"Blank qty",IF(F931&lt;0,"Return","OK")))))</f>
        <v>OK</v>
      </c>
      <c r="L931" s="36" t="n">
        <f aca="false">IF(Raw_Export!$A931="","",IF(OR(K931="OK",K931="Return"),1,0))</f>
        <v>1</v>
      </c>
      <c r="M931" s="37" t="n">
        <f aca="false">IF(Raw_Export!$A931="","",B931-WEEKDAY(B931,2)+1)</f>
        <v>46265</v>
      </c>
    </row>
    <row r="932" customFormat="false" ht="15" hidden="false" customHeight="false" outlineLevel="0" collapsed="false">
      <c r="A932" s="36" t="str">
        <f aca="false">IF(Raw_Export!$A932="","",TRIM(Raw_Export!A932))</f>
        <v>TXN-100914</v>
      </c>
      <c r="B932" s="37" t="n">
        <f aca="false">IF(Raw_Export!$A932="","",IF(ISNUMBER(Raw_Export!B932),Raw_Export!B932,IF(MID(TRIM(Raw_Export!B932),5,1)="-",DATE(LEFT(TRIM(Raw_Export!B932),4),MID(TRIM(Raw_Export!B932),6,2),RIGHT(TRIM(Raw_Export!B932),2)),DATE(RIGHT(TRIM(Raw_Export!B932),4),MATCH(MID(TRIM(Raw_Export!B932),4,3),{"Jan","Feb","Mar","Apr","May","Jun","Jul","Aug","Sep","Oct","Nov","Dec"},0),LEFT(TRIM(Raw_Export!B932),2)))))</f>
        <v>46271</v>
      </c>
      <c r="C932" s="36" t="str">
        <f aca="false">IF(Raw_Export!$A932="","",IFERROR(VLOOKUP(LOWER(TRIM(Raw_Export!C932)),Maps!$A$2:$B$20,2,FALSE()),"UNMAPPED"))</f>
        <v>Nairobi CBD</v>
      </c>
      <c r="D932" s="36" t="str">
        <f aca="false">IF(Raw_Export!$A932="","",IFERROR(VLOOKUP(LOWER(TRIM(Raw_Export!D932)),Maps!$G$2:$I$80,2,FALSE()),"UNMAPPED"))</f>
        <v>Toilet Paper 10pk</v>
      </c>
      <c r="E932" s="36" t="str">
        <f aca="false">IF(Raw_Export!$A932="","",IFERROR(VLOOKUP(LOWER(TRIM(Raw_Export!D932)),Maps!$G$2:$I$80,3,FALSE()),"UNMAPPED"))</f>
        <v>Household</v>
      </c>
      <c r="F932" s="36" t="n">
        <f aca="false">IF(Raw_Export!$A932="","",IFERROR(VALUE(TRIM(Raw_Export!E932)),0))</f>
        <v>1</v>
      </c>
      <c r="G932" s="38" t="n">
        <f aca="false">IF(Raw_Export!$A932="","",IFERROR(VALUE(SUBSTITUTE(SUBSTITUTE(UPPER(TRIM(Raw_Export!F932)),"KES",""),",","")),0))</f>
        <v>380</v>
      </c>
      <c r="H932" s="38" t="n">
        <f aca="false">IF(Raw_Export!$A932="","",F932*G932)</f>
        <v>380</v>
      </c>
      <c r="I932" s="36" t="str">
        <f aca="false">IF(Raw_Export!$A932="","",IFERROR(VLOOKUP(LOWER(TRIM(Raw_Export!H932)),Maps!$D$2:$E$12,2,FALSE()),"Other"))</f>
        <v>M-Pesa</v>
      </c>
      <c r="J932" s="36" t="str">
        <f aca="false">IF(Raw_Export!$A932="","",IF(COUNTIF($A$2:A932,A932)&gt;1,"Duplicate",""))</f>
        <v/>
      </c>
      <c r="K932" s="36" t="str">
        <f aca="false">IF(Raw_Export!$A932="","",IF(J932="Duplicate","Duplicate",IF(OR(C932="UNMAPPED",D932="UNMAPPED"),"Unmapped",IF(F932=0,"Blank qty",IF(F932&lt;0,"Return","OK")))))</f>
        <v>OK</v>
      </c>
      <c r="L932" s="36" t="n">
        <f aca="false">IF(Raw_Export!$A932="","",IF(OR(K932="OK",K932="Return"),1,0))</f>
        <v>1</v>
      </c>
      <c r="M932" s="37" t="n">
        <f aca="false">IF(Raw_Export!$A932="","",B932-WEEKDAY(B932,2)+1)</f>
        <v>46265</v>
      </c>
    </row>
    <row r="933" customFormat="false" ht="15" hidden="false" customHeight="false" outlineLevel="0" collapsed="false">
      <c r="A933" s="36" t="str">
        <f aca="false">IF(Raw_Export!$A933="","",TRIM(Raw_Export!A933))</f>
        <v>TXN-100915</v>
      </c>
      <c r="B933" s="37" t="n">
        <f aca="false">IF(Raw_Export!$A933="","",IF(ISNUMBER(Raw_Export!B933),Raw_Export!B933,IF(MID(TRIM(Raw_Export!B933),5,1)="-",DATE(LEFT(TRIM(Raw_Export!B933),4),MID(TRIM(Raw_Export!B933),6,2),RIGHT(TRIM(Raw_Export!B933),2)),DATE(RIGHT(TRIM(Raw_Export!B933),4),MATCH(MID(TRIM(Raw_Export!B933),4,3),{"Jan","Feb","Mar","Apr","May","Jun","Jul","Aug","Sep","Oct","Nov","Dec"},0),LEFT(TRIM(Raw_Export!B933),2)))))</f>
        <v>46271</v>
      </c>
      <c r="C933" s="36" t="str">
        <f aca="false">IF(Raw_Export!$A933="","",IFERROR(VLOOKUP(LOWER(TRIM(Raw_Export!C933)),Maps!$A$2:$B$20,2,FALSE()),"UNMAPPED"))</f>
        <v>Nairobi CBD</v>
      </c>
      <c r="D933" s="36" t="str">
        <f aca="false">IF(Raw_Export!$A933="","",IFERROR(VLOOKUP(LOWER(TRIM(Raw_Export!D933)),Maps!$G$2:$I$80,2,FALSE()),"UNMAPPED"))</f>
        <v>Toilet Paper 10pk</v>
      </c>
      <c r="E933" s="36" t="str">
        <f aca="false">IF(Raw_Export!$A933="","",IFERROR(VLOOKUP(LOWER(TRIM(Raw_Export!D933)),Maps!$G$2:$I$80,3,FALSE()),"UNMAPPED"))</f>
        <v>Household</v>
      </c>
      <c r="F933" s="36" t="n">
        <f aca="false">IF(Raw_Export!$A933="","",IFERROR(VALUE(TRIM(Raw_Export!E933)),0))</f>
        <v>2</v>
      </c>
      <c r="G933" s="38" t="n">
        <f aca="false">IF(Raw_Export!$A933="","",IFERROR(VALUE(SUBSTITUTE(SUBSTITUTE(UPPER(TRIM(Raw_Export!F933)),"KES",""),",","")),0))</f>
        <v>380</v>
      </c>
      <c r="H933" s="38" t="n">
        <f aca="false">IF(Raw_Export!$A933="","",F933*G933)</f>
        <v>760</v>
      </c>
      <c r="I933" s="36" t="str">
        <f aca="false">IF(Raw_Export!$A933="","",IFERROR(VLOOKUP(LOWER(TRIM(Raw_Export!H933)),Maps!$D$2:$E$12,2,FALSE()),"Other"))</f>
        <v>Cash</v>
      </c>
      <c r="J933" s="36" t="str">
        <f aca="false">IF(Raw_Export!$A933="","",IF(COUNTIF($A$2:A933,A933)&gt;1,"Duplicate",""))</f>
        <v/>
      </c>
      <c r="K933" s="36" t="str">
        <f aca="false">IF(Raw_Export!$A933="","",IF(J933="Duplicate","Duplicate",IF(OR(C933="UNMAPPED",D933="UNMAPPED"),"Unmapped",IF(F933=0,"Blank qty",IF(F933&lt;0,"Return","OK")))))</f>
        <v>OK</v>
      </c>
      <c r="L933" s="36" t="n">
        <f aca="false">IF(Raw_Export!$A933="","",IF(OR(K933="OK",K933="Return"),1,0))</f>
        <v>1</v>
      </c>
      <c r="M933" s="37" t="n">
        <f aca="false">IF(Raw_Export!$A933="","",B933-WEEKDAY(B933,2)+1)</f>
        <v>46265</v>
      </c>
    </row>
    <row r="934" customFormat="false" ht="15" hidden="false" customHeight="false" outlineLevel="0" collapsed="false">
      <c r="A934" s="36" t="str">
        <f aca="false">IF(Raw_Export!$A934="","",TRIM(Raw_Export!A934))</f>
        <v>TXN-100259</v>
      </c>
      <c r="B934" s="37" t="n">
        <f aca="false">IF(Raw_Export!$A934="","",IF(ISNUMBER(Raw_Export!B934),Raw_Export!B934,IF(MID(TRIM(Raw_Export!B934),5,1)="-",DATE(LEFT(TRIM(Raw_Export!B934),4),MID(TRIM(Raw_Export!B934),6,2),RIGHT(TRIM(Raw_Export!B934),2)),DATE(RIGHT(TRIM(Raw_Export!B934),4),MATCH(MID(TRIM(Raw_Export!B934),4,3),{"Jan","Feb","Mar","Apr","May","Jun","Jul","Aug","Sep","Oct","Nov","Dec"},0),LEFT(TRIM(Raw_Export!B934),2)))))</f>
        <v>46267</v>
      </c>
      <c r="C934" s="36" t="str">
        <f aca="false">IF(Raw_Export!$A934="","",IFERROR(VLOOKUP(LOWER(TRIM(Raw_Export!C934)),Maps!$A$2:$B$20,2,FALSE()),"UNMAPPED"))</f>
        <v>Nairobi CBD</v>
      </c>
      <c r="D934" s="36" t="str">
        <f aca="false">IF(Raw_Export!$A934="","",IFERROR(VLOOKUP(LOWER(TRIM(Raw_Export!D934)),Maps!$G$2:$I$80,2,FALSE()),"UNMAPPED"))</f>
        <v>Rice Pishori 2kg</v>
      </c>
      <c r="E934" s="36" t="str">
        <f aca="false">IF(Raw_Export!$A934="","",IFERROR(VLOOKUP(LOWER(TRIM(Raw_Export!D934)),Maps!$G$2:$I$80,3,FALSE()),"UNMAPPED"))</f>
        <v>Staples</v>
      </c>
      <c r="F934" s="36" t="n">
        <f aca="false">IF(Raw_Export!$A934="","",IFERROR(VALUE(TRIM(Raw_Export!E934)),0))</f>
        <v>1</v>
      </c>
      <c r="G934" s="38" t="n">
        <f aca="false">IF(Raw_Export!$A934="","",IFERROR(VALUE(SUBSTITUTE(SUBSTITUTE(UPPER(TRIM(Raw_Export!F934)),"KES",""),",","")),0))</f>
        <v>420</v>
      </c>
      <c r="H934" s="38" t="n">
        <f aca="false">IF(Raw_Export!$A934="","",F934*G934)</f>
        <v>420</v>
      </c>
      <c r="I934" s="36" t="str">
        <f aca="false">IF(Raw_Export!$A934="","",IFERROR(VLOOKUP(LOWER(TRIM(Raw_Export!H934)),Maps!$D$2:$E$12,2,FALSE()),"Other"))</f>
        <v>M-Pesa</v>
      </c>
      <c r="J934" s="36" t="str">
        <f aca="false">IF(Raw_Export!$A934="","",IF(COUNTIF($A$2:A934,A934)&gt;1,"Duplicate",""))</f>
        <v>Duplicate</v>
      </c>
      <c r="K934" s="36" t="str">
        <f aca="false">IF(Raw_Export!$A934="","",IF(J934="Duplicate","Duplicate",IF(OR(C934="UNMAPPED",D934="UNMAPPED"),"Unmapped",IF(F934=0,"Blank qty",IF(F934&lt;0,"Return","OK")))))</f>
        <v>Duplicate</v>
      </c>
      <c r="L934" s="36" t="n">
        <f aca="false">IF(Raw_Export!$A934="","",IF(OR(K934="OK",K934="Return"),1,0))</f>
        <v>0</v>
      </c>
      <c r="M934" s="37" t="n">
        <f aca="false">IF(Raw_Export!$A934="","",B934-WEEKDAY(B934,2)+1)</f>
        <v>46265</v>
      </c>
    </row>
    <row r="935" customFormat="false" ht="15" hidden="false" customHeight="false" outlineLevel="0" collapsed="false">
      <c r="A935" s="36" t="str">
        <f aca="false">IF(Raw_Export!$A935="","",TRIM(Raw_Export!A935))</f>
        <v>TXN-100916</v>
      </c>
      <c r="B935" s="37" t="n">
        <f aca="false">IF(Raw_Export!$A935="","",IF(ISNUMBER(Raw_Export!B935),Raw_Export!B935,IF(MID(TRIM(Raw_Export!B935),5,1)="-",DATE(LEFT(TRIM(Raw_Export!B935),4),MID(TRIM(Raw_Export!B935),6,2),RIGHT(TRIM(Raw_Export!B935),2)),DATE(RIGHT(TRIM(Raw_Export!B935),4),MATCH(MID(TRIM(Raw_Export!B935),4,3),{"Jan","Feb","Mar","Apr","May","Jun","Jul","Aug","Sep","Oct","Nov","Dec"},0),LEFT(TRIM(Raw_Export!B935),2)))))</f>
        <v>46271</v>
      </c>
      <c r="C935" s="36" t="str">
        <f aca="false">IF(Raw_Export!$A935="","",IFERROR(VLOOKUP(LOWER(TRIM(Raw_Export!C935)),Maps!$A$2:$B$20,2,FALSE()),"UNMAPPED"))</f>
        <v>Nairobi CBD</v>
      </c>
      <c r="D935" s="36" t="str">
        <f aca="false">IF(Raw_Export!$A935="","",IFERROR(VLOOKUP(LOWER(TRIM(Raw_Export!D935)),Maps!$G$2:$I$80,2,FALSE()),"UNMAPPED"))</f>
        <v>Bath Soap 175g</v>
      </c>
      <c r="E935" s="36" t="str">
        <f aca="false">IF(Raw_Export!$A935="","",IFERROR(VLOOKUP(LOWER(TRIM(Raw_Export!D935)),Maps!$G$2:$I$80,3,FALSE()),"UNMAPPED"))</f>
        <v>Personal Care</v>
      </c>
      <c r="F935" s="36" t="n">
        <f aca="false">IF(Raw_Export!$A935="","",IFERROR(VALUE(TRIM(Raw_Export!E935)),0))</f>
        <v>1</v>
      </c>
      <c r="G935" s="38" t="n">
        <f aca="false">IF(Raw_Export!$A935="","",IFERROR(VALUE(SUBSTITUTE(SUBSTITUTE(UPPER(TRIM(Raw_Export!F935)),"KES",""),",","")),0))</f>
        <v>85</v>
      </c>
      <c r="H935" s="38" t="n">
        <f aca="false">IF(Raw_Export!$A935="","",F935*G935)</f>
        <v>85</v>
      </c>
      <c r="I935" s="36" t="str">
        <f aca="false">IF(Raw_Export!$A935="","",IFERROR(VLOOKUP(LOWER(TRIM(Raw_Export!H935)),Maps!$D$2:$E$12,2,FALSE()),"Other"))</f>
        <v>Cash</v>
      </c>
      <c r="J935" s="36" t="str">
        <f aca="false">IF(Raw_Export!$A935="","",IF(COUNTIF($A$2:A935,A935)&gt;1,"Duplicate",""))</f>
        <v/>
      </c>
      <c r="K935" s="36" t="str">
        <f aca="false">IF(Raw_Export!$A935="","",IF(J935="Duplicate","Duplicate",IF(OR(C935="UNMAPPED",D935="UNMAPPED"),"Unmapped",IF(F935=0,"Blank qty",IF(F935&lt;0,"Return","OK")))))</f>
        <v>OK</v>
      </c>
      <c r="L935" s="36" t="n">
        <f aca="false">IF(Raw_Export!$A935="","",IF(OR(K935="OK",K935="Return"),1,0))</f>
        <v>1</v>
      </c>
      <c r="M935" s="37" t="n">
        <f aca="false">IF(Raw_Export!$A935="","",B935-WEEKDAY(B935,2)+1)</f>
        <v>46265</v>
      </c>
    </row>
    <row r="936" customFormat="false" ht="15" hidden="false" customHeight="false" outlineLevel="0" collapsed="false">
      <c r="A936" s="36" t="str">
        <f aca="false">IF(Raw_Export!$A936="","",TRIM(Raw_Export!A936))</f>
        <v>TXN-100917</v>
      </c>
      <c r="B936" s="37" t="n">
        <f aca="false">IF(Raw_Export!$A936="","",IF(ISNUMBER(Raw_Export!B936),Raw_Export!B936,IF(MID(TRIM(Raw_Export!B936),5,1)="-",DATE(LEFT(TRIM(Raw_Export!B936),4),MID(TRIM(Raw_Export!B936),6,2),RIGHT(TRIM(Raw_Export!B936),2)),DATE(RIGHT(TRIM(Raw_Export!B936),4),MATCH(MID(TRIM(Raw_Export!B936),4,3),{"Jan","Feb","Mar","Apr","May","Jun","Jul","Aug","Sep","Oct","Nov","Dec"},0),LEFT(TRIM(Raw_Export!B936),2)))))</f>
        <v>46271</v>
      </c>
      <c r="C936" s="36" t="str">
        <f aca="false">IF(Raw_Export!$A936="","",IFERROR(VLOOKUP(LOWER(TRIM(Raw_Export!C936)),Maps!$A$2:$B$20,2,FALSE()),"UNMAPPED"))</f>
        <v>Nairobi CBD</v>
      </c>
      <c r="D936" s="36" t="str">
        <f aca="false">IF(Raw_Export!$A936="","",IFERROR(VLOOKUP(LOWER(TRIM(Raw_Export!D936)),Maps!$G$2:$I$80,2,FALSE()),"UNMAPPED"))</f>
        <v>Body Lotion 400ml</v>
      </c>
      <c r="E936" s="36" t="str">
        <f aca="false">IF(Raw_Export!$A936="","",IFERROR(VLOOKUP(LOWER(TRIM(Raw_Export!D936)),Maps!$G$2:$I$80,3,FALSE()),"UNMAPPED"))</f>
        <v>Personal Care</v>
      </c>
      <c r="F936" s="36" t="n">
        <f aca="false">IF(Raw_Export!$A936="","",IFERROR(VALUE(TRIM(Raw_Export!E936)),0))</f>
        <v>4</v>
      </c>
      <c r="G936" s="38" t="n">
        <f aca="false">IF(Raw_Export!$A936="","",IFERROR(VALUE(SUBSTITUTE(SUBSTITUTE(UPPER(TRIM(Raw_Export!F936)),"KES",""),",","")),0))</f>
        <v>420</v>
      </c>
      <c r="H936" s="38" t="n">
        <f aca="false">IF(Raw_Export!$A936="","",F936*G936)</f>
        <v>1680</v>
      </c>
      <c r="I936" s="36" t="str">
        <f aca="false">IF(Raw_Export!$A936="","",IFERROR(VLOOKUP(LOWER(TRIM(Raw_Export!H936)),Maps!$D$2:$E$12,2,FALSE()),"Other"))</f>
        <v>M-Pesa</v>
      </c>
      <c r="J936" s="36" t="str">
        <f aca="false">IF(Raw_Export!$A936="","",IF(COUNTIF($A$2:A936,A936)&gt;1,"Duplicate",""))</f>
        <v/>
      </c>
      <c r="K936" s="36" t="str">
        <f aca="false">IF(Raw_Export!$A936="","",IF(J936="Duplicate","Duplicate",IF(OR(C936="UNMAPPED",D936="UNMAPPED"),"Unmapped",IF(F936=0,"Blank qty",IF(F936&lt;0,"Return","OK")))))</f>
        <v>OK</v>
      </c>
      <c r="L936" s="36" t="n">
        <f aca="false">IF(Raw_Export!$A936="","",IF(OR(K936="OK",K936="Return"),1,0))</f>
        <v>1</v>
      </c>
      <c r="M936" s="37" t="n">
        <f aca="false">IF(Raw_Export!$A936="","",B936-WEEKDAY(B936,2)+1)</f>
        <v>46265</v>
      </c>
    </row>
    <row r="937" customFormat="false" ht="15" hidden="false" customHeight="false" outlineLevel="0" collapsed="false">
      <c r="A937" s="36" t="str">
        <f aca="false">IF(Raw_Export!$A937="","",TRIM(Raw_Export!A937))</f>
        <v>TXN-100918</v>
      </c>
      <c r="B937" s="37" t="n">
        <f aca="false">IF(Raw_Export!$A937="","",IF(ISNUMBER(Raw_Export!B937),Raw_Export!B937,IF(MID(TRIM(Raw_Export!B937),5,1)="-",DATE(LEFT(TRIM(Raw_Export!B937),4),MID(TRIM(Raw_Export!B937),6,2),RIGHT(TRIM(Raw_Export!B937),2)),DATE(RIGHT(TRIM(Raw_Export!B937),4),MATCH(MID(TRIM(Raw_Export!B937),4,3),{"Jan","Feb","Mar","Apr","May","Jun","Jul","Aug","Sep","Oct","Nov","Dec"},0),LEFT(TRIM(Raw_Export!B937),2)))))</f>
        <v>46271</v>
      </c>
      <c r="C937" s="36" t="str">
        <f aca="false">IF(Raw_Export!$A937="","",IFERROR(VLOOKUP(LOWER(TRIM(Raw_Export!C937)),Maps!$A$2:$B$20,2,FALSE()),"UNMAPPED"))</f>
        <v>Nairobi CBD</v>
      </c>
      <c r="D937" s="36" t="str">
        <f aca="false">IF(Raw_Export!$A937="","",IFERROR(VLOOKUP(LOWER(TRIM(Raw_Export!D937)),Maps!$G$2:$I$80,2,FALSE()),"UNMAPPED"))</f>
        <v>Toothpaste 100g</v>
      </c>
      <c r="E937" s="36" t="str">
        <f aca="false">IF(Raw_Export!$A937="","",IFERROR(VLOOKUP(LOWER(TRIM(Raw_Export!D937)),Maps!$G$2:$I$80,3,FALSE()),"UNMAPPED"))</f>
        <v>Personal Care</v>
      </c>
      <c r="F937" s="36" t="n">
        <f aca="false">IF(Raw_Export!$A937="","",IFERROR(VALUE(TRIM(Raw_Export!E937)),0))</f>
        <v>-3</v>
      </c>
      <c r="G937" s="38" t="n">
        <f aca="false">IF(Raw_Export!$A937="","",IFERROR(VALUE(SUBSTITUTE(SUBSTITUTE(UPPER(TRIM(Raw_Export!F937)),"KES",""),",","")),0))</f>
        <v>195</v>
      </c>
      <c r="H937" s="38" t="n">
        <f aca="false">IF(Raw_Export!$A937="","",F937*G937)</f>
        <v>-585</v>
      </c>
      <c r="I937" s="36" t="str">
        <f aca="false">IF(Raw_Export!$A937="","",IFERROR(VLOOKUP(LOWER(TRIM(Raw_Export!H937)),Maps!$D$2:$E$12,2,FALSE()),"Other"))</f>
        <v>Cash</v>
      </c>
      <c r="J937" s="36" t="str">
        <f aca="false">IF(Raw_Export!$A937="","",IF(COUNTIF($A$2:A937,A937)&gt;1,"Duplicate",""))</f>
        <v/>
      </c>
      <c r="K937" s="36" t="str">
        <f aca="false">IF(Raw_Export!$A937="","",IF(J937="Duplicate","Duplicate",IF(OR(C937="UNMAPPED",D937="UNMAPPED"),"Unmapped",IF(F937=0,"Blank qty",IF(F937&lt;0,"Return","OK")))))</f>
        <v>Return</v>
      </c>
      <c r="L937" s="36" t="n">
        <f aca="false">IF(Raw_Export!$A937="","",IF(OR(K937="OK",K937="Return"),1,0))</f>
        <v>1</v>
      </c>
      <c r="M937" s="37" t="n">
        <f aca="false">IF(Raw_Export!$A937="","",B937-WEEKDAY(B937,2)+1)</f>
        <v>46265</v>
      </c>
    </row>
    <row r="938" customFormat="false" ht="15" hidden="false" customHeight="false" outlineLevel="0" collapsed="false">
      <c r="A938" s="36" t="str">
        <f aca="false">IF(Raw_Export!$A938="","",TRIM(Raw_Export!A938))</f>
        <v>TXN-100919</v>
      </c>
      <c r="B938" s="37" t="n">
        <f aca="false">IF(Raw_Export!$A938="","",IF(ISNUMBER(Raw_Export!B938),Raw_Export!B938,IF(MID(TRIM(Raw_Export!B938),5,1)="-",DATE(LEFT(TRIM(Raw_Export!B938),4),MID(TRIM(Raw_Export!B938),6,2),RIGHT(TRIM(Raw_Export!B938),2)),DATE(RIGHT(TRIM(Raw_Export!B938),4),MATCH(MID(TRIM(Raw_Export!B938),4,3),{"Jan","Feb","Mar","Apr","May","Jun","Jul","Aug","Sep","Oct","Nov","Dec"},0),LEFT(TRIM(Raw_Export!B938),2)))))</f>
        <v>46271</v>
      </c>
      <c r="C938" s="36" t="str">
        <f aca="false">IF(Raw_Export!$A938="","",IFERROR(VLOOKUP(LOWER(TRIM(Raw_Export!C938)),Maps!$A$2:$B$20,2,FALSE()),"UNMAPPED"))</f>
        <v>Nairobi CBD</v>
      </c>
      <c r="D938" s="36" t="str">
        <f aca="false">IF(Raw_Export!$A938="","",IFERROR(VLOOKUP(LOWER(TRIM(Raw_Export!D938)),Maps!$G$2:$I$80,2,FALSE()),"UNMAPPED"))</f>
        <v>Sugar 2kg</v>
      </c>
      <c r="E938" s="36" t="str">
        <f aca="false">IF(Raw_Export!$A938="","",IFERROR(VLOOKUP(LOWER(TRIM(Raw_Export!D938)),Maps!$G$2:$I$80,3,FALSE()),"UNMAPPED"))</f>
        <v>Staples</v>
      </c>
      <c r="F938" s="36" t="n">
        <f aca="false">IF(Raw_Export!$A938="","",IFERROR(VALUE(TRIM(Raw_Export!E938)),0))</f>
        <v>1</v>
      </c>
      <c r="G938" s="38" t="n">
        <f aca="false">IF(Raw_Export!$A938="","",IFERROR(VALUE(SUBSTITUTE(SUBSTITUTE(UPPER(TRIM(Raw_Export!F938)),"KES",""),",","")),0))</f>
        <v>330</v>
      </c>
      <c r="H938" s="38" t="n">
        <f aca="false">IF(Raw_Export!$A938="","",F938*G938)</f>
        <v>330</v>
      </c>
      <c r="I938" s="36" t="str">
        <f aca="false">IF(Raw_Export!$A938="","",IFERROR(VLOOKUP(LOWER(TRIM(Raw_Export!H938)),Maps!$D$2:$E$12,2,FALSE()),"Other"))</f>
        <v>Cash</v>
      </c>
      <c r="J938" s="36" t="str">
        <f aca="false">IF(Raw_Export!$A938="","",IF(COUNTIF($A$2:A938,A938)&gt;1,"Duplicate",""))</f>
        <v/>
      </c>
      <c r="K938" s="36" t="str">
        <f aca="false">IF(Raw_Export!$A938="","",IF(J938="Duplicate","Duplicate",IF(OR(C938="UNMAPPED",D938="UNMAPPED"),"Unmapped",IF(F938=0,"Blank qty",IF(F938&lt;0,"Return","OK")))))</f>
        <v>OK</v>
      </c>
      <c r="L938" s="36" t="n">
        <f aca="false">IF(Raw_Export!$A938="","",IF(OR(K938="OK",K938="Return"),1,0))</f>
        <v>1</v>
      </c>
      <c r="M938" s="37" t="n">
        <f aca="false">IF(Raw_Export!$A938="","",B938-WEEKDAY(B938,2)+1)</f>
        <v>46265</v>
      </c>
    </row>
    <row r="939" customFormat="false" ht="15" hidden="false" customHeight="false" outlineLevel="0" collapsed="false">
      <c r="A939" s="36" t="str">
        <f aca="false">IF(Raw_Export!$A939="","",TRIM(Raw_Export!A939))</f>
        <v>TXN-100920</v>
      </c>
      <c r="B939" s="37" t="n">
        <f aca="false">IF(Raw_Export!$A939="","",IF(ISNUMBER(Raw_Export!B939),Raw_Export!B939,IF(MID(TRIM(Raw_Export!B939),5,1)="-",DATE(LEFT(TRIM(Raw_Export!B939),4),MID(TRIM(Raw_Export!B939),6,2),RIGHT(TRIM(Raw_Export!B939),2)),DATE(RIGHT(TRIM(Raw_Export!B939),4),MATCH(MID(TRIM(Raw_Export!B939),4,3),{"Jan","Feb","Mar","Apr","May","Jun","Jul","Aug","Sep","Oct","Nov","Dec"},0),LEFT(TRIM(Raw_Export!B939),2)))))</f>
        <v>46271</v>
      </c>
      <c r="C939" s="36" t="str">
        <f aca="false">IF(Raw_Export!$A939="","",IFERROR(VLOOKUP(LOWER(TRIM(Raw_Export!C939)),Maps!$A$2:$B$20,2,FALSE()),"UNMAPPED"))</f>
        <v>Nairobi CBD</v>
      </c>
      <c r="D939" s="36" t="str">
        <f aca="false">IF(Raw_Export!$A939="","",IFERROR(VLOOKUP(LOWER(TRIM(Raw_Export!D939)),Maps!$G$2:$I$80,2,FALSE()),"UNMAPPED"))</f>
        <v>Eggs Tray 30</v>
      </c>
      <c r="E939" s="36" t="str">
        <f aca="false">IF(Raw_Export!$A939="","",IFERROR(VLOOKUP(LOWER(TRIM(Raw_Export!D939)),Maps!$G$2:$I$80,3,FALSE()),"UNMAPPED"))</f>
        <v>Dairy &amp; Eggs</v>
      </c>
      <c r="F939" s="36" t="n">
        <f aca="false">IF(Raw_Export!$A939="","",IFERROR(VALUE(TRIM(Raw_Export!E939)),0))</f>
        <v>4</v>
      </c>
      <c r="G939" s="38" t="n">
        <f aca="false">IF(Raw_Export!$A939="","",IFERROR(VALUE(SUBSTITUTE(SUBSTITUTE(UPPER(TRIM(Raw_Export!F939)),"KES",""),",","")),0))</f>
        <v>450</v>
      </c>
      <c r="H939" s="38" t="n">
        <f aca="false">IF(Raw_Export!$A939="","",F939*G939)</f>
        <v>1800</v>
      </c>
      <c r="I939" s="36" t="str">
        <f aca="false">IF(Raw_Export!$A939="","",IFERROR(VLOOKUP(LOWER(TRIM(Raw_Export!H939)),Maps!$D$2:$E$12,2,FALSE()),"Other"))</f>
        <v>M-Pesa</v>
      </c>
      <c r="J939" s="36" t="str">
        <f aca="false">IF(Raw_Export!$A939="","",IF(COUNTIF($A$2:A939,A939)&gt;1,"Duplicate",""))</f>
        <v/>
      </c>
      <c r="K939" s="36" t="str">
        <f aca="false">IF(Raw_Export!$A939="","",IF(J939="Duplicate","Duplicate",IF(OR(C939="UNMAPPED",D939="UNMAPPED"),"Unmapped",IF(F939=0,"Blank qty",IF(F939&lt;0,"Return","OK")))))</f>
        <v>OK</v>
      </c>
      <c r="L939" s="36" t="n">
        <f aca="false">IF(Raw_Export!$A939="","",IF(OR(K939="OK",K939="Return"),1,0))</f>
        <v>1</v>
      </c>
      <c r="M939" s="37" t="n">
        <f aca="false">IF(Raw_Export!$A939="","",B939-WEEKDAY(B939,2)+1)</f>
        <v>46265</v>
      </c>
    </row>
    <row r="940" customFormat="false" ht="15" hidden="false" customHeight="false" outlineLevel="0" collapsed="false">
      <c r="A940" s="36" t="str">
        <f aca="false">IF(Raw_Export!$A940="","",TRIM(Raw_Export!A940))</f>
        <v>TXN-100921</v>
      </c>
      <c r="B940" s="37" t="n">
        <f aca="false">IF(Raw_Export!$A940="","",IF(ISNUMBER(Raw_Export!B940),Raw_Export!B940,IF(MID(TRIM(Raw_Export!B940),5,1)="-",DATE(LEFT(TRIM(Raw_Export!B940),4),MID(TRIM(Raw_Export!B940),6,2),RIGHT(TRIM(Raw_Export!B940),2)),DATE(RIGHT(TRIM(Raw_Export!B940),4),MATCH(MID(TRIM(Raw_Export!B940),4,3),{"Jan","Feb","Mar","Apr","May","Jun","Jul","Aug","Sep","Oct","Nov","Dec"},0),LEFT(TRIM(Raw_Export!B940),2)))))</f>
        <v>46271</v>
      </c>
      <c r="C940" s="36" t="str">
        <f aca="false">IF(Raw_Export!$A940="","",IFERROR(VLOOKUP(LOWER(TRIM(Raw_Export!C940)),Maps!$A$2:$B$20,2,FALSE()),"UNMAPPED"))</f>
        <v>Nairobi CBD</v>
      </c>
      <c r="D940" s="36" t="str">
        <f aca="false">IF(Raw_Export!$A940="","",IFERROR(VLOOKUP(LOWER(TRIM(Raw_Export!D940)),Maps!$G$2:$I$80,2,FALSE()),"UNMAPPED"))</f>
        <v>Peanuts 250g</v>
      </c>
      <c r="E940" s="36" t="str">
        <f aca="false">IF(Raw_Export!$A940="","",IFERROR(VLOOKUP(LOWER(TRIM(Raw_Export!D940)),Maps!$G$2:$I$80,3,FALSE()),"UNMAPPED"))</f>
        <v>Snacks</v>
      </c>
      <c r="F940" s="36" t="n">
        <f aca="false">IF(Raw_Export!$A940="","",IFERROR(VALUE(TRIM(Raw_Export!E940)),0))</f>
        <v>3</v>
      </c>
      <c r="G940" s="38" t="n">
        <f aca="false">IF(Raw_Export!$A940="","",IFERROR(VALUE(SUBSTITUTE(SUBSTITUTE(UPPER(TRIM(Raw_Export!F940)),"KES",""),",","")),0))</f>
        <v>130</v>
      </c>
      <c r="H940" s="38" t="n">
        <f aca="false">IF(Raw_Export!$A940="","",F940*G940)</f>
        <v>390</v>
      </c>
      <c r="I940" s="36" t="str">
        <f aca="false">IF(Raw_Export!$A940="","",IFERROR(VLOOKUP(LOWER(TRIM(Raw_Export!H940)),Maps!$D$2:$E$12,2,FALSE()),"Other"))</f>
        <v>Card</v>
      </c>
      <c r="J940" s="36" t="str">
        <f aca="false">IF(Raw_Export!$A940="","",IF(COUNTIF($A$2:A940,A940)&gt;1,"Duplicate",""))</f>
        <v/>
      </c>
      <c r="K940" s="36" t="str">
        <f aca="false">IF(Raw_Export!$A940="","",IF(J940="Duplicate","Duplicate",IF(OR(C940="UNMAPPED",D940="UNMAPPED"),"Unmapped",IF(F940=0,"Blank qty",IF(F940&lt;0,"Return","OK")))))</f>
        <v>OK</v>
      </c>
      <c r="L940" s="36" t="n">
        <f aca="false">IF(Raw_Export!$A940="","",IF(OR(K940="OK",K940="Return"),1,0))</f>
        <v>1</v>
      </c>
      <c r="M940" s="37" t="n">
        <f aca="false">IF(Raw_Export!$A940="","",B940-WEEKDAY(B940,2)+1)</f>
        <v>46265</v>
      </c>
    </row>
    <row r="941" customFormat="false" ht="15" hidden="false" customHeight="false" outlineLevel="0" collapsed="false">
      <c r="A941" s="36" t="str">
        <f aca="false">IF(Raw_Export!$A941="","",TRIM(Raw_Export!A941))</f>
        <v>TXN-100922</v>
      </c>
      <c r="B941" s="37" t="n">
        <f aca="false">IF(Raw_Export!$A941="","",IF(ISNUMBER(Raw_Export!B941),Raw_Export!B941,IF(MID(TRIM(Raw_Export!B941),5,1)="-",DATE(LEFT(TRIM(Raw_Export!B941),4),MID(TRIM(Raw_Export!B941),6,2),RIGHT(TRIM(Raw_Export!B941),2)),DATE(RIGHT(TRIM(Raw_Export!B941),4),MATCH(MID(TRIM(Raw_Export!B941),4,3),{"Jan","Feb","Mar","Apr","May","Jun","Jul","Aug","Sep","Oct","Nov","Dec"},0),LEFT(TRIM(Raw_Export!B941),2)))))</f>
        <v>46271</v>
      </c>
      <c r="C941" s="36" t="str">
        <f aca="false">IF(Raw_Export!$A941="","",IFERROR(VLOOKUP(LOWER(TRIM(Raw_Export!C941)),Maps!$A$2:$B$20,2,FALSE()),"UNMAPPED"))</f>
        <v>Nairobi CBD</v>
      </c>
      <c r="D941" s="36" t="str">
        <f aca="false">IF(Raw_Export!$A941="","",IFERROR(VLOOKUP(LOWER(TRIM(Raw_Export!D941)),Maps!$G$2:$I$80,2,FALSE()),"UNMAPPED"))</f>
        <v>Dish Soap 750ml</v>
      </c>
      <c r="E941" s="36" t="str">
        <f aca="false">IF(Raw_Export!$A941="","",IFERROR(VLOOKUP(LOWER(TRIM(Raw_Export!D941)),Maps!$G$2:$I$80,3,FALSE()),"UNMAPPED"))</f>
        <v>Household</v>
      </c>
      <c r="F941" s="36" t="n">
        <f aca="false">IF(Raw_Export!$A941="","",IFERROR(VALUE(TRIM(Raw_Export!E941)),0))</f>
        <v>1</v>
      </c>
      <c r="G941" s="38" t="n">
        <f aca="false">IF(Raw_Export!$A941="","",IFERROR(VALUE(SUBSTITUTE(SUBSTITUTE(UPPER(TRIM(Raw_Export!F941)),"KES",""),",","")),0))</f>
        <v>190</v>
      </c>
      <c r="H941" s="38" t="n">
        <f aca="false">IF(Raw_Export!$A941="","",F941*G941)</f>
        <v>190</v>
      </c>
      <c r="I941" s="36" t="str">
        <f aca="false">IF(Raw_Export!$A941="","",IFERROR(VLOOKUP(LOWER(TRIM(Raw_Export!H941)),Maps!$D$2:$E$12,2,FALSE()),"Other"))</f>
        <v>M-Pesa</v>
      </c>
      <c r="J941" s="36" t="str">
        <f aca="false">IF(Raw_Export!$A941="","",IF(COUNTIF($A$2:A941,A941)&gt;1,"Duplicate",""))</f>
        <v/>
      </c>
      <c r="K941" s="36" t="str">
        <f aca="false">IF(Raw_Export!$A941="","",IF(J941="Duplicate","Duplicate",IF(OR(C941="UNMAPPED",D941="UNMAPPED"),"Unmapped",IF(F941=0,"Blank qty",IF(F941&lt;0,"Return","OK")))))</f>
        <v>OK</v>
      </c>
      <c r="L941" s="36" t="n">
        <f aca="false">IF(Raw_Export!$A941="","",IF(OR(K941="OK",K941="Return"),1,0))</f>
        <v>1</v>
      </c>
      <c r="M941" s="37" t="n">
        <f aca="false">IF(Raw_Export!$A941="","",B941-WEEKDAY(B941,2)+1)</f>
        <v>46265</v>
      </c>
    </row>
    <row r="942" customFormat="false" ht="15" hidden="false" customHeight="false" outlineLevel="0" collapsed="false">
      <c r="A942" s="36" t="str">
        <f aca="false">IF(Raw_Export!$A942="","",TRIM(Raw_Export!A942))</f>
        <v>TXN-100923</v>
      </c>
      <c r="B942" s="37" t="n">
        <f aca="false">IF(Raw_Export!$A942="","",IF(ISNUMBER(Raw_Export!B942),Raw_Export!B942,IF(MID(TRIM(Raw_Export!B942),5,1)="-",DATE(LEFT(TRIM(Raw_Export!B942),4),MID(TRIM(Raw_Export!B942),6,2),RIGHT(TRIM(Raw_Export!B942),2)),DATE(RIGHT(TRIM(Raw_Export!B942),4),MATCH(MID(TRIM(Raw_Export!B942),4,3),{"Jan","Feb","Mar","Apr","May","Jun","Jul","Aug","Sep","Oct","Nov","Dec"},0),LEFT(TRIM(Raw_Export!B942),2)))))</f>
        <v>46271</v>
      </c>
      <c r="C942" s="36" t="str">
        <f aca="false">IF(Raw_Export!$A942="","",IFERROR(VLOOKUP(LOWER(TRIM(Raw_Export!C942)),Maps!$A$2:$B$20,2,FALSE()),"UNMAPPED"))</f>
        <v>Nairobi CBD</v>
      </c>
      <c r="D942" s="36" t="str">
        <f aca="false">IF(Raw_Export!$A942="","",IFERROR(VLOOKUP(LOWER(TRIM(Raw_Export!D942)),Maps!$G$2:$I$80,2,FALSE()),"UNMAPPED"))</f>
        <v>Matches 10pk</v>
      </c>
      <c r="E942" s="36" t="str">
        <f aca="false">IF(Raw_Export!$A942="","",IFERROR(VLOOKUP(LOWER(TRIM(Raw_Export!D942)),Maps!$G$2:$I$80,3,FALSE()),"UNMAPPED"))</f>
        <v>Household</v>
      </c>
      <c r="F942" s="36" t="n">
        <f aca="false">IF(Raw_Export!$A942="","",IFERROR(VALUE(TRIM(Raw_Export!E942)),0))</f>
        <v>3</v>
      </c>
      <c r="G942" s="38" t="n">
        <f aca="false">IF(Raw_Export!$A942="","",IFERROR(VALUE(SUBSTITUTE(SUBSTITUTE(UPPER(TRIM(Raw_Export!F942)),"KES",""),",","")),0))</f>
        <v>50</v>
      </c>
      <c r="H942" s="38" t="n">
        <f aca="false">IF(Raw_Export!$A942="","",F942*G942)</f>
        <v>150</v>
      </c>
      <c r="I942" s="36" t="str">
        <f aca="false">IF(Raw_Export!$A942="","",IFERROR(VLOOKUP(LOWER(TRIM(Raw_Export!H942)),Maps!$D$2:$E$12,2,FALSE()),"Other"))</f>
        <v>Card</v>
      </c>
      <c r="J942" s="36" t="str">
        <f aca="false">IF(Raw_Export!$A942="","",IF(COUNTIF($A$2:A942,A942)&gt;1,"Duplicate",""))</f>
        <v/>
      </c>
      <c r="K942" s="36" t="str">
        <f aca="false">IF(Raw_Export!$A942="","",IF(J942="Duplicate","Duplicate",IF(OR(C942="UNMAPPED",D942="UNMAPPED"),"Unmapped",IF(F942=0,"Blank qty",IF(F942&lt;0,"Return","OK")))))</f>
        <v>OK</v>
      </c>
      <c r="L942" s="36" t="n">
        <f aca="false">IF(Raw_Export!$A942="","",IF(OR(K942="OK",K942="Return"),1,0))</f>
        <v>1</v>
      </c>
      <c r="M942" s="37" t="n">
        <f aca="false">IF(Raw_Export!$A942="","",B942-WEEKDAY(B942,2)+1)</f>
        <v>46265</v>
      </c>
    </row>
    <row r="943" customFormat="false" ht="15" hidden="false" customHeight="false" outlineLevel="0" collapsed="false">
      <c r="A943" s="36" t="str">
        <f aca="false">IF(Raw_Export!$A943="","",TRIM(Raw_Export!A943))</f>
        <v>TXN-100924</v>
      </c>
      <c r="B943" s="37" t="n">
        <f aca="false">IF(Raw_Export!$A943="","",IF(ISNUMBER(Raw_Export!B943),Raw_Export!B943,IF(MID(TRIM(Raw_Export!B943),5,1)="-",DATE(LEFT(TRIM(Raw_Export!B943),4),MID(TRIM(Raw_Export!B943),6,2),RIGHT(TRIM(Raw_Export!B943),2)),DATE(RIGHT(TRIM(Raw_Export!B943),4),MATCH(MID(TRIM(Raw_Export!B943),4,3),{"Jan","Feb","Mar","Apr","May","Jun","Jul","Aug","Sep","Oct","Nov","Dec"},0),LEFT(TRIM(Raw_Export!B943),2)))))</f>
        <v>46271</v>
      </c>
      <c r="C943" s="36" t="str">
        <f aca="false">IF(Raw_Export!$A943="","",IFERROR(VLOOKUP(LOWER(TRIM(Raw_Export!C943)),Maps!$A$2:$B$20,2,FALSE()),"UNMAPPED"))</f>
        <v>Nairobi CBD</v>
      </c>
      <c r="D943" s="36" t="str">
        <f aca="false">IF(Raw_Export!$A943="","",IFERROR(VLOOKUP(LOWER(TRIM(Raw_Export!D943)),Maps!$G$2:$I$80,2,FALSE()),"UNMAPPED"))</f>
        <v>Cheddar 200g</v>
      </c>
      <c r="E943" s="36" t="str">
        <f aca="false">IF(Raw_Export!$A943="","",IFERROR(VLOOKUP(LOWER(TRIM(Raw_Export!D943)),Maps!$G$2:$I$80,3,FALSE()),"UNMAPPED"))</f>
        <v>Dairy &amp; Eggs</v>
      </c>
      <c r="F943" s="36" t="n">
        <f aca="false">IF(Raw_Export!$A943="","",IFERROR(VALUE(TRIM(Raw_Export!E943)),0))</f>
        <v>1</v>
      </c>
      <c r="G943" s="38" t="n">
        <f aca="false">IF(Raw_Export!$A943="","",IFERROR(VALUE(SUBSTITUTE(SUBSTITUTE(UPPER(TRIM(Raw_Export!F943)),"KES",""),",","")),0))</f>
        <v>380</v>
      </c>
      <c r="H943" s="38" t="n">
        <f aca="false">IF(Raw_Export!$A943="","",F943*G943)</f>
        <v>380</v>
      </c>
      <c r="I943" s="36" t="str">
        <f aca="false">IF(Raw_Export!$A943="","",IFERROR(VLOOKUP(LOWER(TRIM(Raw_Export!H943)),Maps!$D$2:$E$12,2,FALSE()),"Other"))</f>
        <v>Cash</v>
      </c>
      <c r="J943" s="36" t="str">
        <f aca="false">IF(Raw_Export!$A943="","",IF(COUNTIF($A$2:A943,A943)&gt;1,"Duplicate",""))</f>
        <v/>
      </c>
      <c r="K943" s="36" t="str">
        <f aca="false">IF(Raw_Export!$A943="","",IF(J943="Duplicate","Duplicate",IF(OR(C943="UNMAPPED",D943="UNMAPPED"),"Unmapped",IF(F943=0,"Blank qty",IF(F943&lt;0,"Return","OK")))))</f>
        <v>OK</v>
      </c>
      <c r="L943" s="36" t="n">
        <f aca="false">IF(Raw_Export!$A943="","",IF(OR(K943="OK",K943="Return"),1,0))</f>
        <v>1</v>
      </c>
      <c r="M943" s="37" t="n">
        <f aca="false">IF(Raw_Export!$A943="","",B943-WEEKDAY(B943,2)+1)</f>
        <v>46265</v>
      </c>
    </row>
    <row r="944" customFormat="false" ht="15" hidden="false" customHeight="false" outlineLevel="0" collapsed="false">
      <c r="A944" s="36" t="str">
        <f aca="false">IF(Raw_Export!$A944="","",TRIM(Raw_Export!A944))</f>
        <v>TXN-100925</v>
      </c>
      <c r="B944" s="37" t="n">
        <f aca="false">IF(Raw_Export!$A944="","",IF(ISNUMBER(Raw_Export!B944),Raw_Export!B944,IF(MID(TRIM(Raw_Export!B944),5,1)="-",DATE(LEFT(TRIM(Raw_Export!B944),4),MID(TRIM(Raw_Export!B944),6,2),RIGHT(TRIM(Raw_Export!B944),2)),DATE(RIGHT(TRIM(Raw_Export!B944),4),MATCH(MID(TRIM(Raw_Export!B944),4,3),{"Jan","Feb","Mar","Apr","May","Jun","Jul","Aug","Sep","Oct","Nov","Dec"},0),LEFT(TRIM(Raw_Export!B944),2)))))</f>
        <v>46271</v>
      </c>
      <c r="C944" s="36" t="str">
        <f aca="false">IF(Raw_Export!$A944="","",IFERROR(VLOOKUP(LOWER(TRIM(Raw_Export!C944)),Maps!$A$2:$B$20,2,FALSE()),"UNMAPPED"))</f>
        <v>Nairobi CBD</v>
      </c>
      <c r="D944" s="36" t="str">
        <f aca="false">IF(Raw_Export!$A944="","",IFERROR(VLOOKUP(LOWER(TRIM(Raw_Export!D944)),Maps!$G$2:$I$80,2,FALSE()),"UNMAPPED"))</f>
        <v>Butter 250g</v>
      </c>
      <c r="E944" s="36" t="str">
        <f aca="false">IF(Raw_Export!$A944="","",IFERROR(VLOOKUP(LOWER(TRIM(Raw_Export!D944)),Maps!$G$2:$I$80,3,FALSE()),"UNMAPPED"))</f>
        <v>Dairy &amp; Eggs</v>
      </c>
      <c r="F944" s="36" t="n">
        <f aca="false">IF(Raw_Export!$A944="","",IFERROR(VALUE(TRIM(Raw_Export!E944)),0))</f>
        <v>1</v>
      </c>
      <c r="G944" s="38" t="n">
        <f aca="false">IF(Raw_Export!$A944="","",IFERROR(VALUE(SUBSTITUTE(SUBSTITUTE(UPPER(TRIM(Raw_Export!F944)),"KES",""),",","")),0))</f>
        <v>310</v>
      </c>
      <c r="H944" s="38" t="n">
        <f aca="false">IF(Raw_Export!$A944="","",F944*G944)</f>
        <v>310</v>
      </c>
      <c r="I944" s="36" t="str">
        <f aca="false">IF(Raw_Export!$A944="","",IFERROR(VLOOKUP(LOWER(TRIM(Raw_Export!H944)),Maps!$D$2:$E$12,2,FALSE()),"Other"))</f>
        <v>Cash</v>
      </c>
      <c r="J944" s="36" t="str">
        <f aca="false">IF(Raw_Export!$A944="","",IF(COUNTIF($A$2:A944,A944)&gt;1,"Duplicate",""))</f>
        <v/>
      </c>
      <c r="K944" s="36" t="str">
        <f aca="false">IF(Raw_Export!$A944="","",IF(J944="Duplicate","Duplicate",IF(OR(C944="UNMAPPED",D944="UNMAPPED"),"Unmapped",IF(F944=0,"Blank qty",IF(F944&lt;0,"Return","OK")))))</f>
        <v>OK</v>
      </c>
      <c r="L944" s="36" t="n">
        <f aca="false">IF(Raw_Export!$A944="","",IF(OR(K944="OK",K944="Return"),1,0))</f>
        <v>1</v>
      </c>
      <c r="M944" s="37" t="n">
        <f aca="false">IF(Raw_Export!$A944="","",B944-WEEKDAY(B944,2)+1)</f>
        <v>46265</v>
      </c>
    </row>
    <row r="945" customFormat="false" ht="15" hidden="false" customHeight="false" outlineLevel="0" collapsed="false">
      <c r="A945" s="36" t="str">
        <f aca="false">IF(Raw_Export!$A945="","",TRIM(Raw_Export!A945))</f>
        <v>TXN-100926</v>
      </c>
      <c r="B945" s="37" t="n">
        <f aca="false">IF(Raw_Export!$A945="","",IF(ISNUMBER(Raw_Export!B945),Raw_Export!B945,IF(MID(TRIM(Raw_Export!B945),5,1)="-",DATE(LEFT(TRIM(Raw_Export!B945),4),MID(TRIM(Raw_Export!B945),6,2),RIGHT(TRIM(Raw_Export!B945),2)),DATE(RIGHT(TRIM(Raw_Export!B945),4),MATCH(MID(TRIM(Raw_Export!B945),4,3),{"Jan","Feb","Mar","Apr","May","Jun","Jul","Aug","Sep","Oct","Nov","Dec"},0),LEFT(TRIM(Raw_Export!B945),2)))))</f>
        <v>46271</v>
      </c>
      <c r="C945" s="36" t="str">
        <f aca="false">IF(Raw_Export!$A945="","",IFERROR(VLOOKUP(LOWER(TRIM(Raw_Export!C945)),Maps!$A$2:$B$20,2,FALSE()),"UNMAPPED"))</f>
        <v>Nairobi CBD</v>
      </c>
      <c r="D945" s="36" t="str">
        <f aca="false">IF(Raw_Export!$A945="","",IFERROR(VLOOKUP(LOWER(TRIM(Raw_Export!D945)),Maps!$G$2:$I$80,2,FALSE()),"UNMAPPED"))</f>
        <v>Juice 1L</v>
      </c>
      <c r="E945" s="36" t="str">
        <f aca="false">IF(Raw_Export!$A945="","",IFERROR(VLOOKUP(LOWER(TRIM(Raw_Export!D945)),Maps!$G$2:$I$80,3,FALSE()),"UNMAPPED"))</f>
        <v>Beverages</v>
      </c>
      <c r="F945" s="36" t="n">
        <f aca="false">IF(Raw_Export!$A945="","",IFERROR(VALUE(TRIM(Raw_Export!E945)),0))</f>
        <v>4</v>
      </c>
      <c r="G945" s="38" t="n">
        <f aca="false">IF(Raw_Export!$A945="","",IFERROR(VALUE(SUBSTITUTE(SUBSTITUTE(UPPER(TRIM(Raw_Export!F945)),"KES",""),",","")),0))</f>
        <v>210</v>
      </c>
      <c r="H945" s="38" t="n">
        <f aca="false">IF(Raw_Export!$A945="","",F945*G945)</f>
        <v>840</v>
      </c>
      <c r="I945" s="36" t="str">
        <f aca="false">IF(Raw_Export!$A945="","",IFERROR(VLOOKUP(LOWER(TRIM(Raw_Export!H945)),Maps!$D$2:$E$12,2,FALSE()),"Other"))</f>
        <v>M-Pesa</v>
      </c>
      <c r="J945" s="36" t="str">
        <f aca="false">IF(Raw_Export!$A945="","",IF(COUNTIF($A$2:A945,A945)&gt;1,"Duplicate",""))</f>
        <v/>
      </c>
      <c r="K945" s="36" t="str">
        <f aca="false">IF(Raw_Export!$A945="","",IF(J945="Duplicate","Duplicate",IF(OR(C945="UNMAPPED",D945="UNMAPPED"),"Unmapped",IF(F945=0,"Blank qty",IF(F945&lt;0,"Return","OK")))))</f>
        <v>OK</v>
      </c>
      <c r="L945" s="36" t="n">
        <f aca="false">IF(Raw_Export!$A945="","",IF(OR(K945="OK",K945="Return"),1,0))</f>
        <v>1</v>
      </c>
      <c r="M945" s="37" t="n">
        <f aca="false">IF(Raw_Export!$A945="","",B945-WEEKDAY(B945,2)+1)</f>
        <v>46265</v>
      </c>
    </row>
    <row r="946" customFormat="false" ht="15" hidden="false" customHeight="false" outlineLevel="0" collapsed="false">
      <c r="A946" s="36" t="str">
        <f aca="false">IF(Raw_Export!$A946="","",TRIM(Raw_Export!A946))</f>
        <v>TXN-100927</v>
      </c>
      <c r="B946" s="37" t="n">
        <f aca="false">IF(Raw_Export!$A946="","",IF(ISNUMBER(Raw_Export!B946),Raw_Export!B946,IF(MID(TRIM(Raw_Export!B946),5,1)="-",DATE(LEFT(TRIM(Raw_Export!B946),4),MID(TRIM(Raw_Export!B946),6,2),RIGHT(TRIM(Raw_Export!B946),2)),DATE(RIGHT(TRIM(Raw_Export!B946),4),MATCH(MID(TRIM(Raw_Export!B946),4,3),{"Jan","Feb","Mar","Apr","May","Jun","Jul","Aug","Sep","Oct","Nov","Dec"},0),LEFT(TRIM(Raw_Export!B946),2)))))</f>
        <v>46271</v>
      </c>
      <c r="C946" s="36" t="str">
        <f aca="false">IF(Raw_Export!$A946="","",IFERROR(VLOOKUP(LOWER(TRIM(Raw_Export!C946)),Maps!$A$2:$B$20,2,FALSE()),"UNMAPPED"))</f>
        <v>Nairobi CBD</v>
      </c>
      <c r="D946" s="36" t="str">
        <f aca="false">IF(Raw_Export!$A946="","",IFERROR(VLOOKUP(LOWER(TRIM(Raw_Export!D946)),Maps!$G$2:$I$80,2,FALSE()),"UNMAPPED"))</f>
        <v>Rice Pishori 2kg</v>
      </c>
      <c r="E946" s="36" t="str">
        <f aca="false">IF(Raw_Export!$A946="","",IFERROR(VLOOKUP(LOWER(TRIM(Raw_Export!D946)),Maps!$G$2:$I$80,3,FALSE()),"UNMAPPED"))</f>
        <v>Staples</v>
      </c>
      <c r="F946" s="36" t="n">
        <f aca="false">IF(Raw_Export!$A946="","",IFERROR(VALUE(TRIM(Raw_Export!E946)),0))</f>
        <v>1</v>
      </c>
      <c r="G946" s="38" t="n">
        <f aca="false">IF(Raw_Export!$A946="","",IFERROR(VALUE(SUBSTITUTE(SUBSTITUTE(UPPER(TRIM(Raw_Export!F946)),"KES",""),",","")),0))</f>
        <v>378</v>
      </c>
      <c r="H946" s="38" t="n">
        <f aca="false">IF(Raw_Export!$A946="","",F946*G946)</f>
        <v>378</v>
      </c>
      <c r="I946" s="36" t="str">
        <f aca="false">IF(Raw_Export!$A946="","",IFERROR(VLOOKUP(LOWER(TRIM(Raw_Export!H946)),Maps!$D$2:$E$12,2,FALSE()),"Other"))</f>
        <v>Cash</v>
      </c>
      <c r="J946" s="36" t="str">
        <f aca="false">IF(Raw_Export!$A946="","",IF(COUNTIF($A$2:A946,A946)&gt;1,"Duplicate",""))</f>
        <v/>
      </c>
      <c r="K946" s="36" t="str">
        <f aca="false">IF(Raw_Export!$A946="","",IF(J946="Duplicate","Duplicate",IF(OR(C946="UNMAPPED",D946="UNMAPPED"),"Unmapped",IF(F946=0,"Blank qty",IF(F946&lt;0,"Return","OK")))))</f>
        <v>OK</v>
      </c>
      <c r="L946" s="36" t="n">
        <f aca="false">IF(Raw_Export!$A946="","",IF(OR(K946="OK",K946="Return"),1,0))</f>
        <v>1</v>
      </c>
      <c r="M946" s="37" t="n">
        <f aca="false">IF(Raw_Export!$A946="","",B946-WEEKDAY(B946,2)+1)</f>
        <v>46265</v>
      </c>
    </row>
    <row r="947" customFormat="false" ht="15" hidden="false" customHeight="false" outlineLevel="0" collapsed="false">
      <c r="A947" s="36" t="str">
        <f aca="false">IF(Raw_Export!$A947="","",TRIM(Raw_Export!A947))</f>
        <v>TXN-100928</v>
      </c>
      <c r="B947" s="37" t="n">
        <f aca="false">IF(Raw_Export!$A947="","",IF(ISNUMBER(Raw_Export!B947),Raw_Export!B947,IF(MID(TRIM(Raw_Export!B947),5,1)="-",DATE(LEFT(TRIM(Raw_Export!B947),4),MID(TRIM(Raw_Export!B947),6,2),RIGHT(TRIM(Raw_Export!B947),2)),DATE(RIGHT(TRIM(Raw_Export!B947),4),MATCH(MID(TRIM(Raw_Export!B947),4,3),{"Jan","Feb","Mar","Apr","May","Jun","Jul","Aug","Sep","Oct","Nov","Dec"},0),LEFT(TRIM(Raw_Export!B947),2)))))</f>
        <v>46271</v>
      </c>
      <c r="C947" s="36" t="str">
        <f aca="false">IF(Raw_Export!$A947="","",IFERROR(VLOOKUP(LOWER(TRIM(Raw_Export!C947)),Maps!$A$2:$B$20,2,FALSE()),"UNMAPPED"))</f>
        <v>Nairobi CBD</v>
      </c>
      <c r="D947" s="36" t="str">
        <f aca="false">IF(Raw_Export!$A947="","",IFERROR(VLOOKUP(LOWER(TRIM(Raw_Export!D947)),Maps!$G$2:$I$80,2,FALSE()),"UNMAPPED"))</f>
        <v>Bottled Water 1.5L</v>
      </c>
      <c r="E947" s="36" t="str">
        <f aca="false">IF(Raw_Export!$A947="","",IFERROR(VLOOKUP(LOWER(TRIM(Raw_Export!D947)),Maps!$G$2:$I$80,3,FALSE()),"UNMAPPED"))</f>
        <v>Beverages</v>
      </c>
      <c r="F947" s="36" t="n">
        <f aca="false">IF(Raw_Export!$A947="","",IFERROR(VALUE(TRIM(Raw_Export!E947)),0))</f>
        <v>1</v>
      </c>
      <c r="G947" s="38" t="n">
        <f aca="false">IF(Raw_Export!$A947="","",IFERROR(VALUE(SUBSTITUTE(SUBSTITUTE(UPPER(TRIM(Raw_Export!F947)),"KES",""),",","")),0))</f>
        <v>90</v>
      </c>
      <c r="H947" s="38" t="n">
        <f aca="false">IF(Raw_Export!$A947="","",F947*G947)</f>
        <v>90</v>
      </c>
      <c r="I947" s="36" t="str">
        <f aca="false">IF(Raw_Export!$A947="","",IFERROR(VLOOKUP(LOWER(TRIM(Raw_Export!H947)),Maps!$D$2:$E$12,2,FALSE()),"Other"))</f>
        <v>Cash</v>
      </c>
      <c r="J947" s="36" t="str">
        <f aca="false">IF(Raw_Export!$A947="","",IF(COUNTIF($A$2:A947,A947)&gt;1,"Duplicate",""))</f>
        <v/>
      </c>
      <c r="K947" s="36" t="str">
        <f aca="false">IF(Raw_Export!$A947="","",IF(J947="Duplicate","Duplicate",IF(OR(C947="UNMAPPED",D947="UNMAPPED"),"Unmapped",IF(F947=0,"Blank qty",IF(F947&lt;0,"Return","OK")))))</f>
        <v>OK</v>
      </c>
      <c r="L947" s="36" t="n">
        <f aca="false">IF(Raw_Export!$A947="","",IF(OR(K947="OK",K947="Return"),1,0))</f>
        <v>1</v>
      </c>
      <c r="M947" s="37" t="n">
        <f aca="false">IF(Raw_Export!$A947="","",B947-WEEKDAY(B947,2)+1)</f>
        <v>46265</v>
      </c>
    </row>
    <row r="948" customFormat="false" ht="15" hidden="false" customHeight="false" outlineLevel="0" collapsed="false">
      <c r="A948" s="36" t="str">
        <f aca="false">IF(Raw_Export!$A948="","",TRIM(Raw_Export!A948))</f>
        <v>TXN-100929</v>
      </c>
      <c r="B948" s="37" t="n">
        <f aca="false">IF(Raw_Export!$A948="","",IF(ISNUMBER(Raw_Export!B948),Raw_Export!B948,IF(MID(TRIM(Raw_Export!B948),5,1)="-",DATE(LEFT(TRIM(Raw_Export!B948),4),MID(TRIM(Raw_Export!B948),6,2),RIGHT(TRIM(Raw_Export!B948),2)),DATE(RIGHT(TRIM(Raw_Export!B948),4),MATCH(MID(TRIM(Raw_Export!B948),4,3),{"Jan","Feb","Mar","Apr","May","Jun","Jul","Aug","Sep","Oct","Nov","Dec"},0),LEFT(TRIM(Raw_Export!B948),2)))))</f>
        <v>46271</v>
      </c>
      <c r="C948" s="36" t="str">
        <f aca="false">IF(Raw_Export!$A948="","",IFERROR(VLOOKUP(LOWER(TRIM(Raw_Export!C948)),Maps!$A$2:$B$20,2,FALSE()),"UNMAPPED"))</f>
        <v>Nairobi CBD</v>
      </c>
      <c r="D948" s="36" t="str">
        <f aca="false">IF(Raw_Export!$A948="","",IFERROR(VLOOKUP(LOWER(TRIM(Raw_Export!D948)),Maps!$G$2:$I$80,2,FALSE()),"UNMAPPED"))</f>
        <v>Bleach 1L</v>
      </c>
      <c r="E948" s="36" t="str">
        <f aca="false">IF(Raw_Export!$A948="","",IFERROR(VLOOKUP(LOWER(TRIM(Raw_Export!D948)),Maps!$G$2:$I$80,3,FALSE()),"UNMAPPED"))</f>
        <v>Household</v>
      </c>
      <c r="F948" s="36" t="n">
        <f aca="false">IF(Raw_Export!$A948="","",IFERROR(VALUE(TRIM(Raw_Export!E948)),0))</f>
        <v>6</v>
      </c>
      <c r="G948" s="38" t="n">
        <f aca="false">IF(Raw_Export!$A948="","",IFERROR(VALUE(SUBSTITUTE(SUBSTITUTE(UPPER(TRIM(Raw_Export!F948)),"KES",""),",","")),0))</f>
        <v>160</v>
      </c>
      <c r="H948" s="38" t="n">
        <f aca="false">IF(Raw_Export!$A948="","",F948*G948)</f>
        <v>960</v>
      </c>
      <c r="I948" s="36" t="str">
        <f aca="false">IF(Raw_Export!$A948="","",IFERROR(VLOOKUP(LOWER(TRIM(Raw_Export!H948)),Maps!$D$2:$E$12,2,FALSE()),"Other"))</f>
        <v>M-Pesa</v>
      </c>
      <c r="J948" s="36" t="str">
        <f aca="false">IF(Raw_Export!$A948="","",IF(COUNTIF($A$2:A948,A948)&gt;1,"Duplicate",""))</f>
        <v/>
      </c>
      <c r="K948" s="36" t="str">
        <f aca="false">IF(Raw_Export!$A948="","",IF(J948="Duplicate","Duplicate",IF(OR(C948="UNMAPPED",D948="UNMAPPED"),"Unmapped",IF(F948=0,"Blank qty",IF(F948&lt;0,"Return","OK")))))</f>
        <v>OK</v>
      </c>
      <c r="L948" s="36" t="n">
        <f aca="false">IF(Raw_Export!$A948="","",IF(OR(K948="OK",K948="Return"),1,0))</f>
        <v>1</v>
      </c>
      <c r="M948" s="37" t="n">
        <f aca="false">IF(Raw_Export!$A948="","",B948-WEEKDAY(B948,2)+1)</f>
        <v>46265</v>
      </c>
    </row>
    <row r="949" customFormat="false" ht="15" hidden="false" customHeight="false" outlineLevel="0" collapsed="false">
      <c r="A949" s="36" t="str">
        <f aca="false">IF(Raw_Export!$A949="","",TRIM(Raw_Export!A949))</f>
        <v>TXN-100930</v>
      </c>
      <c r="B949" s="37" t="n">
        <f aca="false">IF(Raw_Export!$A949="","",IF(ISNUMBER(Raw_Export!B949),Raw_Export!B949,IF(MID(TRIM(Raw_Export!B949),5,1)="-",DATE(LEFT(TRIM(Raw_Export!B949),4),MID(TRIM(Raw_Export!B949),6,2),RIGHT(TRIM(Raw_Export!B949),2)),DATE(RIGHT(TRIM(Raw_Export!B949),4),MATCH(MID(TRIM(Raw_Export!B949),4,3),{"Jan","Feb","Mar","Apr","May","Jun","Jul","Aug","Sep","Oct","Nov","Dec"},0),LEFT(TRIM(Raw_Export!B949),2)))))</f>
        <v>46271</v>
      </c>
      <c r="C949" s="36" t="str">
        <f aca="false">IF(Raw_Export!$A949="","",IFERROR(VLOOKUP(LOWER(TRIM(Raw_Export!C949)),Maps!$A$2:$B$20,2,FALSE()),"UNMAPPED"))</f>
        <v>Nairobi CBD</v>
      </c>
      <c r="D949" s="36" t="str">
        <f aca="false">IF(Raw_Export!$A949="","",IFERROR(VLOOKUP(LOWER(TRIM(Raw_Export!D949)),Maps!$G$2:$I$80,2,FALSE()),"UNMAPPED"))</f>
        <v>Salt 500g</v>
      </c>
      <c r="E949" s="36" t="str">
        <f aca="false">IF(Raw_Export!$A949="","",IFERROR(VLOOKUP(LOWER(TRIM(Raw_Export!D949)),Maps!$G$2:$I$80,3,FALSE()),"UNMAPPED"))</f>
        <v>Staples</v>
      </c>
      <c r="F949" s="36" t="n">
        <f aca="false">IF(Raw_Export!$A949="","",IFERROR(VALUE(TRIM(Raw_Export!E949)),0))</f>
        <v>3</v>
      </c>
      <c r="G949" s="38" t="n">
        <f aca="false">IF(Raw_Export!$A949="","",IFERROR(VALUE(SUBSTITUTE(SUBSTITUTE(UPPER(TRIM(Raw_Export!F949)),"KES",""),",","")),0))</f>
        <v>40</v>
      </c>
      <c r="H949" s="38" t="n">
        <f aca="false">IF(Raw_Export!$A949="","",F949*G949)</f>
        <v>120</v>
      </c>
      <c r="I949" s="36" t="str">
        <f aca="false">IF(Raw_Export!$A949="","",IFERROR(VLOOKUP(LOWER(TRIM(Raw_Export!H949)),Maps!$D$2:$E$12,2,FALSE()),"Other"))</f>
        <v>M-Pesa</v>
      </c>
      <c r="J949" s="36" t="str">
        <f aca="false">IF(Raw_Export!$A949="","",IF(COUNTIF($A$2:A949,A949)&gt;1,"Duplicate",""))</f>
        <v/>
      </c>
      <c r="K949" s="36" t="str">
        <f aca="false">IF(Raw_Export!$A949="","",IF(J949="Duplicate","Duplicate",IF(OR(C949="UNMAPPED",D949="UNMAPPED"),"Unmapped",IF(F949=0,"Blank qty",IF(F949&lt;0,"Return","OK")))))</f>
        <v>OK</v>
      </c>
      <c r="L949" s="36" t="n">
        <f aca="false">IF(Raw_Export!$A949="","",IF(OR(K949="OK",K949="Return"),1,0))</f>
        <v>1</v>
      </c>
      <c r="M949" s="37" t="n">
        <f aca="false">IF(Raw_Export!$A949="","",B949-WEEKDAY(B949,2)+1)</f>
        <v>46265</v>
      </c>
    </row>
    <row r="950" customFormat="false" ht="15" hidden="false" customHeight="false" outlineLevel="0" collapsed="false">
      <c r="A950" s="36" t="str">
        <f aca="false">IF(Raw_Export!$A950="","",TRIM(Raw_Export!A950))</f>
        <v>TXN-100931</v>
      </c>
      <c r="B950" s="37" t="n">
        <f aca="false">IF(Raw_Export!$A950="","",IF(ISNUMBER(Raw_Export!B950),Raw_Export!B950,IF(MID(TRIM(Raw_Export!B950),5,1)="-",DATE(LEFT(TRIM(Raw_Export!B950),4),MID(TRIM(Raw_Export!B950),6,2),RIGHT(TRIM(Raw_Export!B950),2)),DATE(RIGHT(TRIM(Raw_Export!B950),4),MATCH(MID(TRIM(Raw_Export!B950),4,3),{"Jan","Feb","Mar","Apr","May","Jun","Jul","Aug","Sep","Oct","Nov","Dec"},0),LEFT(TRIM(Raw_Export!B950),2)))))</f>
        <v>46271</v>
      </c>
      <c r="C950" s="36" t="str">
        <f aca="false">IF(Raw_Export!$A950="","",IFERROR(VLOOKUP(LOWER(TRIM(Raw_Export!C950)),Maps!$A$2:$B$20,2,FALSE()),"UNMAPPED"))</f>
        <v>Nairobi CBD</v>
      </c>
      <c r="D950" s="36" t="str">
        <f aca="false">IF(Raw_Export!$A950="","",IFERROR(VLOOKUP(LOWER(TRIM(Raw_Export!D950)),Maps!$G$2:$I$80,2,FALSE()),"UNMAPPED"))</f>
        <v>Cooking Oil 1L</v>
      </c>
      <c r="E950" s="36" t="str">
        <f aca="false">IF(Raw_Export!$A950="","",IFERROR(VLOOKUP(LOWER(TRIM(Raw_Export!D950)),Maps!$G$2:$I$80,3,FALSE()),"UNMAPPED"))</f>
        <v>Staples</v>
      </c>
      <c r="F950" s="36" t="n">
        <f aca="false">IF(Raw_Export!$A950="","",IFERROR(VALUE(TRIM(Raw_Export!E950)),0))</f>
        <v>1</v>
      </c>
      <c r="G950" s="38" t="n">
        <f aca="false">IF(Raw_Export!$A950="","",IFERROR(VALUE(SUBSTITUTE(SUBSTITUTE(UPPER(TRIM(Raw_Export!F950)),"KES",""),",","")),0))</f>
        <v>330</v>
      </c>
      <c r="H950" s="38" t="n">
        <f aca="false">IF(Raw_Export!$A950="","",F950*G950)</f>
        <v>330</v>
      </c>
      <c r="I950" s="36" t="str">
        <f aca="false">IF(Raw_Export!$A950="","",IFERROR(VLOOKUP(LOWER(TRIM(Raw_Export!H950)),Maps!$D$2:$E$12,2,FALSE()),"Other"))</f>
        <v>Card</v>
      </c>
      <c r="J950" s="36" t="str">
        <f aca="false">IF(Raw_Export!$A950="","",IF(COUNTIF($A$2:A950,A950)&gt;1,"Duplicate",""))</f>
        <v/>
      </c>
      <c r="K950" s="36" t="str">
        <f aca="false">IF(Raw_Export!$A950="","",IF(J950="Duplicate","Duplicate",IF(OR(C950="UNMAPPED",D950="UNMAPPED"),"Unmapped",IF(F950=0,"Blank qty",IF(F950&lt;0,"Return","OK")))))</f>
        <v>OK</v>
      </c>
      <c r="L950" s="36" t="n">
        <f aca="false">IF(Raw_Export!$A950="","",IF(OR(K950="OK",K950="Return"),1,0))</f>
        <v>1</v>
      </c>
      <c r="M950" s="37" t="n">
        <f aca="false">IF(Raw_Export!$A950="","",B950-WEEKDAY(B950,2)+1)</f>
        <v>46265</v>
      </c>
    </row>
    <row r="951" customFormat="false" ht="15" hidden="false" customHeight="false" outlineLevel="0" collapsed="false">
      <c r="A951" s="36" t="str">
        <f aca="false">IF(Raw_Export!$A951="","",TRIM(Raw_Export!A951))</f>
        <v>TXN-100932</v>
      </c>
      <c r="B951" s="37" t="n">
        <f aca="false">IF(Raw_Export!$A951="","",IF(ISNUMBER(Raw_Export!B951),Raw_Export!B951,IF(MID(TRIM(Raw_Export!B951),5,1)="-",DATE(LEFT(TRIM(Raw_Export!B951),4),MID(TRIM(Raw_Export!B951),6,2),RIGHT(TRIM(Raw_Export!B951),2)),DATE(RIGHT(TRIM(Raw_Export!B951),4),MATCH(MID(TRIM(Raw_Export!B951),4,3),{"Jan","Feb","Mar","Apr","May","Jun","Jul","Aug","Sep","Oct","Nov","Dec"},0),LEFT(TRIM(Raw_Export!B951),2)))))</f>
        <v>46271</v>
      </c>
      <c r="C951" s="36" t="str">
        <f aca="false">IF(Raw_Export!$A951="","",IFERROR(VLOOKUP(LOWER(TRIM(Raw_Export!C951)),Maps!$A$2:$B$20,2,FALSE()),"UNMAPPED"))</f>
        <v>Nairobi CBD</v>
      </c>
      <c r="D951" s="36" t="str">
        <f aca="false">IF(Raw_Export!$A951="","",IFERROR(VLOOKUP(LOWER(TRIM(Raw_Export!D951)),Maps!$G$2:$I$80,2,FALSE()),"UNMAPPED"))</f>
        <v>Bath Soap 175g</v>
      </c>
      <c r="E951" s="36" t="str">
        <f aca="false">IF(Raw_Export!$A951="","",IFERROR(VLOOKUP(LOWER(TRIM(Raw_Export!D951)),Maps!$G$2:$I$80,3,FALSE()),"UNMAPPED"))</f>
        <v>Personal Care</v>
      </c>
      <c r="F951" s="36" t="n">
        <f aca="false">IF(Raw_Export!$A951="","",IFERROR(VALUE(TRIM(Raw_Export!E951)),0))</f>
        <v>2</v>
      </c>
      <c r="G951" s="38" t="n">
        <f aca="false">IF(Raw_Export!$A951="","",IFERROR(VALUE(SUBSTITUTE(SUBSTITUTE(UPPER(TRIM(Raw_Export!F951)),"KES",""),",","")),0))</f>
        <v>85</v>
      </c>
      <c r="H951" s="38" t="n">
        <f aca="false">IF(Raw_Export!$A951="","",F951*G951)</f>
        <v>170</v>
      </c>
      <c r="I951" s="36" t="str">
        <f aca="false">IF(Raw_Export!$A951="","",IFERROR(VLOOKUP(LOWER(TRIM(Raw_Export!H951)),Maps!$D$2:$E$12,2,FALSE()),"Other"))</f>
        <v>Card</v>
      </c>
      <c r="J951" s="36" t="str">
        <f aca="false">IF(Raw_Export!$A951="","",IF(COUNTIF($A$2:A951,A951)&gt;1,"Duplicate",""))</f>
        <v/>
      </c>
      <c r="K951" s="36" t="str">
        <f aca="false">IF(Raw_Export!$A951="","",IF(J951="Duplicate","Duplicate",IF(OR(C951="UNMAPPED",D951="UNMAPPED"),"Unmapped",IF(F951=0,"Blank qty",IF(F951&lt;0,"Return","OK")))))</f>
        <v>OK</v>
      </c>
      <c r="L951" s="36" t="n">
        <f aca="false">IF(Raw_Export!$A951="","",IF(OR(K951="OK",K951="Return"),1,0))</f>
        <v>1</v>
      </c>
      <c r="M951" s="37" t="n">
        <f aca="false">IF(Raw_Export!$A951="","",B951-WEEKDAY(B951,2)+1)</f>
        <v>46265</v>
      </c>
    </row>
    <row r="952" customFormat="false" ht="15" hidden="false" customHeight="false" outlineLevel="0" collapsed="false">
      <c r="A952" s="36" t="str">
        <f aca="false">IF(Raw_Export!$A952="","",TRIM(Raw_Export!A952))</f>
        <v>TXN-100933</v>
      </c>
      <c r="B952" s="37" t="n">
        <f aca="false">IF(Raw_Export!$A952="","",IF(ISNUMBER(Raw_Export!B952),Raw_Export!B952,IF(MID(TRIM(Raw_Export!B952),5,1)="-",DATE(LEFT(TRIM(Raw_Export!B952),4),MID(TRIM(Raw_Export!B952),6,2),RIGHT(TRIM(Raw_Export!B952),2)),DATE(RIGHT(TRIM(Raw_Export!B952),4),MATCH(MID(TRIM(Raw_Export!B952),4,3),{"Jan","Feb","Mar","Apr","May","Jun","Jul","Aug","Sep","Oct","Nov","Dec"},0),LEFT(TRIM(Raw_Export!B952),2)))))</f>
        <v>46271</v>
      </c>
      <c r="C952" s="36" t="str">
        <f aca="false">IF(Raw_Export!$A952="","",IFERROR(VLOOKUP(LOWER(TRIM(Raw_Export!C952)),Maps!$A$2:$B$20,2,FALSE()),"UNMAPPED"))</f>
        <v>Nairobi CBD</v>
      </c>
      <c r="D952" s="36" t="str">
        <f aca="false">IF(Raw_Export!$A952="","",IFERROR(VLOOKUP(LOWER(TRIM(Raw_Export!D952)),Maps!$G$2:$I$80,2,FALSE()),"UNMAPPED"))</f>
        <v>Body Lotion 400ml</v>
      </c>
      <c r="E952" s="36" t="str">
        <f aca="false">IF(Raw_Export!$A952="","",IFERROR(VLOOKUP(LOWER(TRIM(Raw_Export!D952)),Maps!$G$2:$I$80,3,FALSE()),"UNMAPPED"))</f>
        <v>Personal Care</v>
      </c>
      <c r="F952" s="36" t="n">
        <f aca="false">IF(Raw_Export!$A952="","",IFERROR(VALUE(TRIM(Raw_Export!E952)),0))</f>
        <v>2</v>
      </c>
      <c r="G952" s="38" t="n">
        <f aca="false">IF(Raw_Export!$A952="","",IFERROR(VALUE(SUBSTITUTE(SUBSTITUTE(UPPER(TRIM(Raw_Export!F952)),"KES",""),",","")),0))</f>
        <v>420</v>
      </c>
      <c r="H952" s="38" t="n">
        <f aca="false">IF(Raw_Export!$A952="","",F952*G952)</f>
        <v>840</v>
      </c>
      <c r="I952" s="36" t="str">
        <f aca="false">IF(Raw_Export!$A952="","",IFERROR(VLOOKUP(LOWER(TRIM(Raw_Export!H952)),Maps!$D$2:$E$12,2,FALSE()),"Other"))</f>
        <v>Card</v>
      </c>
      <c r="J952" s="36" t="str">
        <f aca="false">IF(Raw_Export!$A952="","",IF(COUNTIF($A$2:A952,A952)&gt;1,"Duplicate",""))</f>
        <v/>
      </c>
      <c r="K952" s="36" t="str">
        <f aca="false">IF(Raw_Export!$A952="","",IF(J952="Duplicate","Duplicate",IF(OR(C952="UNMAPPED",D952="UNMAPPED"),"Unmapped",IF(F952=0,"Blank qty",IF(F952&lt;0,"Return","OK")))))</f>
        <v>OK</v>
      </c>
      <c r="L952" s="36" t="n">
        <f aca="false">IF(Raw_Export!$A952="","",IF(OR(K952="OK",K952="Return"),1,0))</f>
        <v>1</v>
      </c>
      <c r="M952" s="37" t="n">
        <f aca="false">IF(Raw_Export!$A952="","",B952-WEEKDAY(B952,2)+1)</f>
        <v>46265</v>
      </c>
    </row>
    <row r="953" customFormat="false" ht="15" hidden="false" customHeight="false" outlineLevel="0" collapsed="false">
      <c r="A953" s="36" t="str">
        <f aca="false">IF(Raw_Export!$A953="","",TRIM(Raw_Export!A953))</f>
        <v>TXN-100934</v>
      </c>
      <c r="B953" s="37" t="n">
        <f aca="false">IF(Raw_Export!$A953="","",IF(ISNUMBER(Raw_Export!B953),Raw_Export!B953,IF(MID(TRIM(Raw_Export!B953),5,1)="-",DATE(LEFT(TRIM(Raw_Export!B953),4),MID(TRIM(Raw_Export!B953),6,2),RIGHT(TRIM(Raw_Export!B953),2)),DATE(RIGHT(TRIM(Raw_Export!B953),4),MATCH(MID(TRIM(Raw_Export!B953),4,3),{"Jan","Feb","Mar","Apr","May","Jun","Jul","Aug","Sep","Oct","Nov","Dec"},0),LEFT(TRIM(Raw_Export!B953),2)))))</f>
        <v>46271</v>
      </c>
      <c r="C953" s="36" t="str">
        <f aca="false">IF(Raw_Export!$A953="","",IFERROR(VLOOKUP(LOWER(TRIM(Raw_Export!C953)),Maps!$A$2:$B$20,2,FALSE()),"UNMAPPED"))</f>
        <v>Nairobi CBD</v>
      </c>
      <c r="D953" s="36" t="str">
        <f aca="false">IF(Raw_Export!$A953="","",IFERROR(VLOOKUP(LOWER(TRIM(Raw_Export!D953)),Maps!$G$2:$I$80,2,FALSE()),"UNMAPPED"))</f>
        <v>Sugar 2kg</v>
      </c>
      <c r="E953" s="36" t="str">
        <f aca="false">IF(Raw_Export!$A953="","",IFERROR(VLOOKUP(LOWER(TRIM(Raw_Export!D953)),Maps!$G$2:$I$80,3,FALSE()),"UNMAPPED"))</f>
        <v>Staples</v>
      </c>
      <c r="F953" s="36" t="n">
        <f aca="false">IF(Raw_Export!$A953="","",IFERROR(VALUE(TRIM(Raw_Export!E953)),0))</f>
        <v>1</v>
      </c>
      <c r="G953" s="38" t="n">
        <f aca="false">IF(Raw_Export!$A953="","",IFERROR(VALUE(SUBSTITUTE(SUBSTITUTE(UPPER(TRIM(Raw_Export!F953)),"KES",""),",","")),0))</f>
        <v>330</v>
      </c>
      <c r="H953" s="38" t="n">
        <f aca="false">IF(Raw_Export!$A953="","",F953*G953)</f>
        <v>330</v>
      </c>
      <c r="I953" s="36" t="str">
        <f aca="false">IF(Raw_Export!$A953="","",IFERROR(VLOOKUP(LOWER(TRIM(Raw_Export!H953)),Maps!$D$2:$E$12,2,FALSE()),"Other"))</f>
        <v>Cash</v>
      </c>
      <c r="J953" s="36" t="str">
        <f aca="false">IF(Raw_Export!$A953="","",IF(COUNTIF($A$2:A953,A953)&gt;1,"Duplicate",""))</f>
        <v/>
      </c>
      <c r="K953" s="36" t="str">
        <f aca="false">IF(Raw_Export!$A953="","",IF(J953="Duplicate","Duplicate",IF(OR(C953="UNMAPPED",D953="UNMAPPED"),"Unmapped",IF(F953=0,"Blank qty",IF(F953&lt;0,"Return","OK")))))</f>
        <v>OK</v>
      </c>
      <c r="L953" s="36" t="n">
        <f aca="false">IF(Raw_Export!$A953="","",IF(OR(K953="OK",K953="Return"),1,0))</f>
        <v>1</v>
      </c>
      <c r="M953" s="37" t="n">
        <f aca="false">IF(Raw_Export!$A953="","",B953-WEEKDAY(B953,2)+1)</f>
        <v>46265</v>
      </c>
    </row>
    <row r="954" customFormat="false" ht="15" hidden="false" customHeight="false" outlineLevel="0" collapsed="false">
      <c r="A954" s="36" t="str">
        <f aca="false">IF(Raw_Export!$A954="","",TRIM(Raw_Export!A954))</f>
        <v>TXN-100935</v>
      </c>
      <c r="B954" s="37" t="n">
        <f aca="false">IF(Raw_Export!$A954="","",IF(ISNUMBER(Raw_Export!B954),Raw_Export!B954,IF(MID(TRIM(Raw_Export!B954),5,1)="-",DATE(LEFT(TRIM(Raw_Export!B954),4),MID(TRIM(Raw_Export!B954),6,2),RIGHT(TRIM(Raw_Export!B954),2)),DATE(RIGHT(TRIM(Raw_Export!B954),4),MATCH(MID(TRIM(Raw_Export!B954),4,3),{"Jan","Feb","Mar","Apr","May","Jun","Jul","Aug","Sep","Oct","Nov","Dec"},0),LEFT(TRIM(Raw_Export!B954),2)))))</f>
        <v>46271</v>
      </c>
      <c r="C954" s="36" t="str">
        <f aca="false">IF(Raw_Export!$A954="","",IFERROR(VLOOKUP(LOWER(TRIM(Raw_Export!C954)),Maps!$A$2:$B$20,2,FALSE()),"UNMAPPED"))</f>
        <v>Nairobi CBD</v>
      </c>
      <c r="D954" s="36" t="str">
        <f aca="false">IF(Raw_Export!$A954="","",IFERROR(VLOOKUP(LOWER(TRIM(Raw_Export!D954)),Maps!$G$2:$I$80,2,FALSE()),"UNMAPPED"))</f>
        <v>Matches 10pk</v>
      </c>
      <c r="E954" s="36" t="str">
        <f aca="false">IF(Raw_Export!$A954="","",IFERROR(VLOOKUP(LOWER(TRIM(Raw_Export!D954)),Maps!$G$2:$I$80,3,FALSE()),"UNMAPPED"))</f>
        <v>Household</v>
      </c>
      <c r="F954" s="36" t="n">
        <f aca="false">IF(Raw_Export!$A954="","",IFERROR(VALUE(TRIM(Raw_Export!E954)),0))</f>
        <v>1</v>
      </c>
      <c r="G954" s="38" t="n">
        <f aca="false">IF(Raw_Export!$A954="","",IFERROR(VALUE(SUBSTITUTE(SUBSTITUTE(UPPER(TRIM(Raw_Export!F954)),"KES",""),",","")),0))</f>
        <v>50</v>
      </c>
      <c r="H954" s="38" t="n">
        <f aca="false">IF(Raw_Export!$A954="","",F954*G954)</f>
        <v>50</v>
      </c>
      <c r="I954" s="36" t="str">
        <f aca="false">IF(Raw_Export!$A954="","",IFERROR(VLOOKUP(LOWER(TRIM(Raw_Export!H954)),Maps!$D$2:$E$12,2,FALSE()),"Other"))</f>
        <v>Card</v>
      </c>
      <c r="J954" s="36" t="str">
        <f aca="false">IF(Raw_Export!$A954="","",IF(COUNTIF($A$2:A954,A954)&gt;1,"Duplicate",""))</f>
        <v/>
      </c>
      <c r="K954" s="36" t="str">
        <f aca="false">IF(Raw_Export!$A954="","",IF(J954="Duplicate","Duplicate",IF(OR(C954="UNMAPPED",D954="UNMAPPED"),"Unmapped",IF(F954=0,"Blank qty",IF(F954&lt;0,"Return","OK")))))</f>
        <v>OK</v>
      </c>
      <c r="L954" s="36" t="n">
        <f aca="false">IF(Raw_Export!$A954="","",IF(OR(K954="OK",K954="Return"),1,0))</f>
        <v>1</v>
      </c>
      <c r="M954" s="37" t="n">
        <f aca="false">IF(Raw_Export!$A954="","",B954-WEEKDAY(B954,2)+1)</f>
        <v>46265</v>
      </c>
    </row>
    <row r="955" customFormat="false" ht="15" hidden="false" customHeight="false" outlineLevel="0" collapsed="false">
      <c r="A955" s="36" t="str">
        <f aca="false">IF(Raw_Export!$A955="","",TRIM(Raw_Export!A955))</f>
        <v>TXN-100936</v>
      </c>
      <c r="B955" s="37" t="n">
        <f aca="false">IF(Raw_Export!$A955="","",IF(ISNUMBER(Raw_Export!B955),Raw_Export!B955,IF(MID(TRIM(Raw_Export!B955),5,1)="-",DATE(LEFT(TRIM(Raw_Export!B955),4),MID(TRIM(Raw_Export!B955),6,2),RIGHT(TRIM(Raw_Export!B955),2)),DATE(RIGHT(TRIM(Raw_Export!B955),4),MATCH(MID(TRIM(Raw_Export!B955),4,3),{"Jan","Feb","Mar","Apr","May","Jun","Jul","Aug","Sep","Oct","Nov","Dec"},0),LEFT(TRIM(Raw_Export!B955),2)))))</f>
        <v>46271</v>
      </c>
      <c r="C955" s="36" t="str">
        <f aca="false">IF(Raw_Export!$A955="","",IFERROR(VLOOKUP(LOWER(TRIM(Raw_Export!C955)),Maps!$A$2:$B$20,2,FALSE()),"UNMAPPED"))</f>
        <v>Nairobi CBD</v>
      </c>
      <c r="D955" s="36" t="str">
        <f aca="false">IF(Raw_Export!$A955="","",IFERROR(VLOOKUP(LOWER(TRIM(Raw_Export!D955)),Maps!$G$2:$I$80,2,FALSE()),"UNMAPPED"))</f>
        <v>Soda 500ml</v>
      </c>
      <c r="E955" s="36" t="str">
        <f aca="false">IF(Raw_Export!$A955="","",IFERROR(VLOOKUP(LOWER(TRIM(Raw_Export!D955)),Maps!$G$2:$I$80,3,FALSE()),"UNMAPPED"))</f>
        <v>Beverages</v>
      </c>
      <c r="F955" s="36" t="n">
        <f aca="false">IF(Raw_Export!$A955="","",IFERROR(VALUE(TRIM(Raw_Export!E955)),0))</f>
        <v>2</v>
      </c>
      <c r="G955" s="38" t="n">
        <f aca="false">IF(Raw_Export!$A955="","",IFERROR(VALUE(SUBSTITUTE(SUBSTITUTE(UPPER(TRIM(Raw_Export!F955)),"KES",""),",","")),0))</f>
        <v>60</v>
      </c>
      <c r="H955" s="38" t="n">
        <f aca="false">IF(Raw_Export!$A955="","",F955*G955)</f>
        <v>120</v>
      </c>
      <c r="I955" s="36" t="str">
        <f aca="false">IF(Raw_Export!$A955="","",IFERROR(VLOOKUP(LOWER(TRIM(Raw_Export!H955)),Maps!$D$2:$E$12,2,FALSE()),"Other"))</f>
        <v>M-Pesa</v>
      </c>
      <c r="J955" s="36" t="str">
        <f aca="false">IF(Raw_Export!$A955="","",IF(COUNTIF($A$2:A955,A955)&gt;1,"Duplicate",""))</f>
        <v/>
      </c>
      <c r="K955" s="36" t="str">
        <f aca="false">IF(Raw_Export!$A955="","",IF(J955="Duplicate","Duplicate",IF(OR(C955="UNMAPPED",D955="UNMAPPED"),"Unmapped",IF(F955=0,"Blank qty",IF(F955&lt;0,"Return","OK")))))</f>
        <v>OK</v>
      </c>
      <c r="L955" s="36" t="n">
        <f aca="false">IF(Raw_Export!$A955="","",IF(OR(K955="OK",K955="Return"),1,0))</f>
        <v>1</v>
      </c>
      <c r="M955" s="37" t="n">
        <f aca="false">IF(Raw_Export!$A955="","",B955-WEEKDAY(B955,2)+1)</f>
        <v>46265</v>
      </c>
    </row>
    <row r="956" customFormat="false" ht="15" hidden="false" customHeight="false" outlineLevel="0" collapsed="false">
      <c r="A956" s="36" t="str">
        <f aca="false">IF(Raw_Export!$A956="","",TRIM(Raw_Export!A956))</f>
        <v>TXN-100937</v>
      </c>
      <c r="B956" s="37" t="n">
        <f aca="false">IF(Raw_Export!$A956="","",IF(ISNUMBER(Raw_Export!B956),Raw_Export!B956,IF(MID(TRIM(Raw_Export!B956),5,1)="-",DATE(LEFT(TRIM(Raw_Export!B956),4),MID(TRIM(Raw_Export!B956),6,2),RIGHT(TRIM(Raw_Export!B956),2)),DATE(RIGHT(TRIM(Raw_Export!B956),4),MATCH(MID(TRIM(Raw_Export!B956),4,3),{"Jan","Feb","Mar","Apr","May","Jun","Jul","Aug","Sep","Oct","Nov","Dec"},0),LEFT(TRIM(Raw_Export!B956),2)))))</f>
        <v>46271</v>
      </c>
      <c r="C956" s="36" t="str">
        <f aca="false">IF(Raw_Export!$A956="","",IFERROR(VLOOKUP(LOWER(TRIM(Raw_Export!C956)),Maps!$A$2:$B$20,2,FALSE()),"UNMAPPED"))</f>
        <v>Nairobi CBD</v>
      </c>
      <c r="D956" s="36" t="str">
        <f aca="false">IF(Raw_Export!$A956="","",IFERROR(VLOOKUP(LOWER(TRIM(Raw_Export!D956)),Maps!$G$2:$I$80,2,FALSE()),"UNMAPPED"))</f>
        <v>Fresh Milk 500ml</v>
      </c>
      <c r="E956" s="36" t="str">
        <f aca="false">IF(Raw_Export!$A956="","",IFERROR(VLOOKUP(LOWER(TRIM(Raw_Export!D956)),Maps!$G$2:$I$80,3,FALSE()),"UNMAPPED"))</f>
        <v>Dairy &amp; Eggs</v>
      </c>
      <c r="F956" s="36" t="n">
        <f aca="false">IF(Raw_Export!$A956="","",IFERROR(VALUE(TRIM(Raw_Export!E956)),0))</f>
        <v>-4</v>
      </c>
      <c r="G956" s="38" t="n">
        <f aca="false">IF(Raw_Export!$A956="","",IFERROR(VALUE(SUBSTITUTE(SUBSTITUTE(UPPER(TRIM(Raw_Export!F956)),"KES",""),",","")),0))</f>
        <v>65</v>
      </c>
      <c r="H956" s="38" t="n">
        <f aca="false">IF(Raw_Export!$A956="","",F956*G956)</f>
        <v>-260</v>
      </c>
      <c r="I956" s="36" t="str">
        <f aca="false">IF(Raw_Export!$A956="","",IFERROR(VLOOKUP(LOWER(TRIM(Raw_Export!H956)),Maps!$D$2:$E$12,2,FALSE()),"Other"))</f>
        <v>Card</v>
      </c>
      <c r="J956" s="36" t="str">
        <f aca="false">IF(Raw_Export!$A956="","",IF(COUNTIF($A$2:A956,A956)&gt;1,"Duplicate",""))</f>
        <v/>
      </c>
      <c r="K956" s="36" t="str">
        <f aca="false">IF(Raw_Export!$A956="","",IF(J956="Duplicate","Duplicate",IF(OR(C956="UNMAPPED",D956="UNMAPPED"),"Unmapped",IF(F956=0,"Blank qty",IF(F956&lt;0,"Return","OK")))))</f>
        <v>Return</v>
      </c>
      <c r="L956" s="36" t="n">
        <f aca="false">IF(Raw_Export!$A956="","",IF(OR(K956="OK",K956="Return"),1,0))</f>
        <v>1</v>
      </c>
      <c r="M956" s="37" t="n">
        <f aca="false">IF(Raw_Export!$A956="","",B956-WEEKDAY(B956,2)+1)</f>
        <v>46265</v>
      </c>
    </row>
    <row r="957" customFormat="false" ht="15" hidden="false" customHeight="false" outlineLevel="0" collapsed="false">
      <c r="A957" s="36" t="str">
        <f aca="false">IF(Raw_Export!$A957="","",TRIM(Raw_Export!A957))</f>
        <v>TXN-100938</v>
      </c>
      <c r="B957" s="37" t="n">
        <f aca="false">IF(Raw_Export!$A957="","",IF(ISNUMBER(Raw_Export!B957),Raw_Export!B957,IF(MID(TRIM(Raw_Export!B957),5,1)="-",DATE(LEFT(TRIM(Raw_Export!B957),4),MID(TRIM(Raw_Export!B957),6,2),RIGHT(TRIM(Raw_Export!B957),2)),DATE(RIGHT(TRIM(Raw_Export!B957),4),MATCH(MID(TRIM(Raw_Export!B957),4,3),{"Jan","Feb","Mar","Apr","May","Jun","Jul","Aug","Sep","Oct","Nov","Dec"},0),LEFT(TRIM(Raw_Export!B957),2)))))</f>
        <v>46271</v>
      </c>
      <c r="C957" s="36" t="str">
        <f aca="false">IF(Raw_Export!$A957="","",IFERROR(VLOOKUP(LOWER(TRIM(Raw_Export!C957)),Maps!$A$2:$B$20,2,FALSE()),"UNMAPPED"))</f>
        <v>Nairobi CBD</v>
      </c>
      <c r="D957" s="36" t="str">
        <f aca="false">IF(Raw_Export!$A957="","",IFERROR(VLOOKUP(LOWER(TRIM(Raw_Export!D957)),Maps!$G$2:$I$80,2,FALSE()),"UNMAPPED"))</f>
        <v>UNMAPPED</v>
      </c>
      <c r="E957" s="36" t="str">
        <f aca="false">IF(Raw_Export!$A957="","",IFERROR(VLOOKUP(LOWER(TRIM(Raw_Export!D957)),Maps!$G$2:$I$80,3,FALSE()),"UNMAPPED"))</f>
        <v>UNMAPPED</v>
      </c>
      <c r="F957" s="36" t="n">
        <f aca="false">IF(Raw_Export!$A957="","",IFERROR(VALUE(TRIM(Raw_Export!E957)),0))</f>
        <v>3</v>
      </c>
      <c r="G957" s="38" t="n">
        <f aca="false">IF(Raw_Export!$A957="","",IFERROR(VALUE(SUBSTITUTE(SUBSTITUTE(UPPER(TRIM(Raw_Export!F957)),"KES",""),",","")),0))</f>
        <v>65</v>
      </c>
      <c r="H957" s="38" t="n">
        <f aca="false">IF(Raw_Export!$A957="","",F957*G957)</f>
        <v>195</v>
      </c>
      <c r="I957" s="36" t="str">
        <f aca="false">IF(Raw_Export!$A957="","",IFERROR(VLOOKUP(LOWER(TRIM(Raw_Export!H957)),Maps!$D$2:$E$12,2,FALSE()),"Other"))</f>
        <v>M-Pesa</v>
      </c>
      <c r="J957" s="36" t="str">
        <f aca="false">IF(Raw_Export!$A957="","",IF(COUNTIF($A$2:A957,A957)&gt;1,"Duplicate",""))</f>
        <v/>
      </c>
      <c r="K957" s="36" t="str">
        <f aca="false">IF(Raw_Export!$A957="","",IF(J957="Duplicate","Duplicate",IF(OR(C957="UNMAPPED",D957="UNMAPPED"),"Unmapped",IF(F957=0,"Blank qty",IF(F957&lt;0,"Return","OK")))))</f>
        <v>Unmapped</v>
      </c>
      <c r="L957" s="36" t="n">
        <f aca="false">IF(Raw_Export!$A957="","",IF(OR(K957="OK",K957="Return"),1,0))</f>
        <v>0</v>
      </c>
      <c r="M957" s="37" t="n">
        <f aca="false">IF(Raw_Export!$A957="","",B957-WEEKDAY(B957,2)+1)</f>
        <v>46265</v>
      </c>
    </row>
    <row r="958" customFormat="false" ht="15" hidden="false" customHeight="false" outlineLevel="0" collapsed="false">
      <c r="A958" s="36" t="str">
        <f aca="false">IF(Raw_Export!$A958="","",TRIM(Raw_Export!A958))</f>
        <v>TXN-100939</v>
      </c>
      <c r="B958" s="37" t="n">
        <f aca="false">IF(Raw_Export!$A958="","",IF(ISNUMBER(Raw_Export!B958),Raw_Export!B958,IF(MID(TRIM(Raw_Export!B958),5,1)="-",DATE(LEFT(TRIM(Raw_Export!B958),4),MID(TRIM(Raw_Export!B958),6,2),RIGHT(TRIM(Raw_Export!B958),2)),DATE(RIGHT(TRIM(Raw_Export!B958),4),MATCH(MID(TRIM(Raw_Export!B958),4,3),{"Jan","Feb","Mar","Apr","May","Jun","Jul","Aug","Sep","Oct","Nov","Dec"},0),LEFT(TRIM(Raw_Export!B958),2)))))</f>
        <v>46271</v>
      </c>
      <c r="C958" s="36" t="str">
        <f aca="false">IF(Raw_Export!$A958="","",IFERROR(VLOOKUP(LOWER(TRIM(Raw_Export!C958)),Maps!$A$2:$B$20,2,FALSE()),"UNMAPPED"))</f>
        <v>Nairobi CBD</v>
      </c>
      <c r="D958" s="36" t="str">
        <f aca="false">IF(Raw_Export!$A958="","",IFERROR(VLOOKUP(LOWER(TRIM(Raw_Export!D958)),Maps!$G$2:$I$80,2,FALSE()),"UNMAPPED"))</f>
        <v>Soda 500ml</v>
      </c>
      <c r="E958" s="36" t="str">
        <f aca="false">IF(Raw_Export!$A958="","",IFERROR(VLOOKUP(LOWER(TRIM(Raw_Export!D958)),Maps!$G$2:$I$80,3,FALSE()),"UNMAPPED"))</f>
        <v>Beverages</v>
      </c>
      <c r="F958" s="36" t="n">
        <f aca="false">IF(Raw_Export!$A958="","",IFERROR(VALUE(TRIM(Raw_Export!E958)),0))</f>
        <v>6</v>
      </c>
      <c r="G958" s="38" t="n">
        <f aca="false">IF(Raw_Export!$A958="","",IFERROR(VALUE(SUBSTITUTE(SUBSTITUTE(UPPER(TRIM(Raw_Export!F958)),"KES",""),",","")),0))</f>
        <v>60</v>
      </c>
      <c r="H958" s="38" t="n">
        <f aca="false">IF(Raw_Export!$A958="","",F958*G958)</f>
        <v>360</v>
      </c>
      <c r="I958" s="36" t="str">
        <f aca="false">IF(Raw_Export!$A958="","",IFERROR(VLOOKUP(LOWER(TRIM(Raw_Export!H958)),Maps!$D$2:$E$12,2,FALSE()),"Other"))</f>
        <v>Cash</v>
      </c>
      <c r="J958" s="36" t="str">
        <f aca="false">IF(Raw_Export!$A958="","",IF(COUNTIF($A$2:A958,A958)&gt;1,"Duplicate",""))</f>
        <v/>
      </c>
      <c r="K958" s="36" t="str">
        <f aca="false">IF(Raw_Export!$A958="","",IF(J958="Duplicate","Duplicate",IF(OR(C958="UNMAPPED",D958="UNMAPPED"),"Unmapped",IF(F958=0,"Blank qty",IF(F958&lt;0,"Return","OK")))))</f>
        <v>OK</v>
      </c>
      <c r="L958" s="36" t="n">
        <f aca="false">IF(Raw_Export!$A958="","",IF(OR(K958="OK",K958="Return"),1,0))</f>
        <v>1</v>
      </c>
      <c r="M958" s="37" t="n">
        <f aca="false">IF(Raw_Export!$A958="","",B958-WEEKDAY(B958,2)+1)</f>
        <v>46265</v>
      </c>
    </row>
    <row r="959" customFormat="false" ht="15" hidden="false" customHeight="false" outlineLevel="0" collapsed="false">
      <c r="A959" s="36" t="str">
        <f aca="false">IF(Raw_Export!$A959="","",TRIM(Raw_Export!A959))</f>
        <v>TXN-100940</v>
      </c>
      <c r="B959" s="37" t="n">
        <f aca="false">IF(Raw_Export!$A959="","",IF(ISNUMBER(Raw_Export!B959),Raw_Export!B959,IF(MID(TRIM(Raw_Export!B959),5,1)="-",DATE(LEFT(TRIM(Raw_Export!B959),4),MID(TRIM(Raw_Export!B959),6,2),RIGHT(TRIM(Raw_Export!B959),2)),DATE(RIGHT(TRIM(Raw_Export!B959),4),MATCH(MID(TRIM(Raw_Export!B959),4,3),{"Jan","Feb","Mar","Apr","May","Jun","Jul","Aug","Sep","Oct","Nov","Dec"},0),LEFT(TRIM(Raw_Export!B959),2)))))</f>
        <v>46271</v>
      </c>
      <c r="C959" s="36" t="str">
        <f aca="false">IF(Raw_Export!$A959="","",IFERROR(VLOOKUP(LOWER(TRIM(Raw_Export!C959)),Maps!$A$2:$B$20,2,FALSE()),"UNMAPPED"))</f>
        <v>Nairobi CBD</v>
      </c>
      <c r="D959" s="36" t="str">
        <f aca="false">IF(Raw_Export!$A959="","",IFERROR(VLOOKUP(LOWER(TRIM(Raw_Export!D959)),Maps!$G$2:$I$80,2,FALSE()),"UNMAPPED"))</f>
        <v>Tea Leaves 250g</v>
      </c>
      <c r="E959" s="36" t="str">
        <f aca="false">IF(Raw_Export!$A959="","",IFERROR(VLOOKUP(LOWER(TRIM(Raw_Export!D959)),Maps!$G$2:$I$80,3,FALSE()),"UNMAPPED"))</f>
        <v>Beverages</v>
      </c>
      <c r="F959" s="36" t="n">
        <f aca="false">IF(Raw_Export!$A959="","",IFERROR(VALUE(TRIM(Raw_Export!E959)),0))</f>
        <v>3</v>
      </c>
      <c r="G959" s="38" t="n">
        <f aca="false">IF(Raw_Export!$A959="","",IFERROR(VALUE(SUBSTITUTE(SUBSTITUTE(UPPER(TRIM(Raw_Export!F959)),"KES",""),",","")),0))</f>
        <v>150</v>
      </c>
      <c r="H959" s="38" t="n">
        <f aca="false">IF(Raw_Export!$A959="","",F959*G959)</f>
        <v>450</v>
      </c>
      <c r="I959" s="36" t="str">
        <f aca="false">IF(Raw_Export!$A959="","",IFERROR(VLOOKUP(LOWER(TRIM(Raw_Export!H959)),Maps!$D$2:$E$12,2,FALSE()),"Other"))</f>
        <v>Cash</v>
      </c>
      <c r="J959" s="36" t="str">
        <f aca="false">IF(Raw_Export!$A959="","",IF(COUNTIF($A$2:A959,A959)&gt;1,"Duplicate",""))</f>
        <v/>
      </c>
      <c r="K959" s="36" t="str">
        <f aca="false">IF(Raw_Export!$A959="","",IF(J959="Duplicate","Duplicate",IF(OR(C959="UNMAPPED",D959="UNMAPPED"),"Unmapped",IF(F959=0,"Blank qty",IF(F959&lt;0,"Return","OK")))))</f>
        <v>OK</v>
      </c>
      <c r="L959" s="36" t="n">
        <f aca="false">IF(Raw_Export!$A959="","",IF(OR(K959="OK",K959="Return"),1,0))</f>
        <v>1</v>
      </c>
      <c r="M959" s="37" t="n">
        <f aca="false">IF(Raw_Export!$A959="","",B959-WEEKDAY(B959,2)+1)</f>
        <v>46265</v>
      </c>
    </row>
    <row r="960" customFormat="false" ht="15" hidden="false" customHeight="false" outlineLevel="0" collapsed="false">
      <c r="A960" s="36" t="str">
        <f aca="false">IF(Raw_Export!$A960="","",TRIM(Raw_Export!A960))</f>
        <v>TXN-100941</v>
      </c>
      <c r="B960" s="37" t="n">
        <f aca="false">IF(Raw_Export!$A960="","",IF(ISNUMBER(Raw_Export!B960),Raw_Export!B960,IF(MID(TRIM(Raw_Export!B960),5,1)="-",DATE(LEFT(TRIM(Raw_Export!B960),4),MID(TRIM(Raw_Export!B960),6,2),RIGHT(TRIM(Raw_Export!B960),2)),DATE(RIGHT(TRIM(Raw_Export!B960),4),MATCH(MID(TRIM(Raw_Export!B960),4,3),{"Jan","Feb","Mar","Apr","May","Jun","Jul","Aug","Sep","Oct","Nov","Dec"},0),LEFT(TRIM(Raw_Export!B960),2)))))</f>
        <v>46271</v>
      </c>
      <c r="C960" s="36" t="str">
        <f aca="false">IF(Raw_Export!$A960="","",IFERROR(VLOOKUP(LOWER(TRIM(Raw_Export!C960)),Maps!$A$2:$B$20,2,FALSE()),"UNMAPPED"))</f>
        <v>Nairobi CBD</v>
      </c>
      <c r="D960" s="36" t="str">
        <f aca="false">IF(Raw_Export!$A960="","",IFERROR(VLOOKUP(LOWER(TRIM(Raw_Export!D960)),Maps!$G$2:$I$80,2,FALSE()),"UNMAPPED"))</f>
        <v>Cooking Oil 1L</v>
      </c>
      <c r="E960" s="36" t="str">
        <f aca="false">IF(Raw_Export!$A960="","",IFERROR(VLOOKUP(LOWER(TRIM(Raw_Export!D960)),Maps!$G$2:$I$80,3,FALSE()),"UNMAPPED"))</f>
        <v>Staples</v>
      </c>
      <c r="F960" s="36" t="n">
        <f aca="false">IF(Raw_Export!$A960="","",IFERROR(VALUE(TRIM(Raw_Export!E960)),0))</f>
        <v>2</v>
      </c>
      <c r="G960" s="38" t="n">
        <f aca="false">IF(Raw_Export!$A960="","",IFERROR(VALUE(SUBSTITUTE(SUBSTITUTE(UPPER(TRIM(Raw_Export!F960)),"KES",""),",","")),0))</f>
        <v>330</v>
      </c>
      <c r="H960" s="38" t="n">
        <f aca="false">IF(Raw_Export!$A960="","",F960*G960)</f>
        <v>660</v>
      </c>
      <c r="I960" s="36" t="str">
        <f aca="false">IF(Raw_Export!$A960="","",IFERROR(VLOOKUP(LOWER(TRIM(Raw_Export!H960)),Maps!$D$2:$E$12,2,FALSE()),"Other"))</f>
        <v>M-Pesa</v>
      </c>
      <c r="J960" s="36" t="str">
        <f aca="false">IF(Raw_Export!$A960="","",IF(COUNTIF($A$2:A960,A960)&gt;1,"Duplicate",""))</f>
        <v/>
      </c>
      <c r="K960" s="36" t="str">
        <f aca="false">IF(Raw_Export!$A960="","",IF(J960="Duplicate","Duplicate",IF(OR(C960="UNMAPPED",D960="UNMAPPED"),"Unmapped",IF(F960=0,"Blank qty",IF(F960&lt;0,"Return","OK")))))</f>
        <v>OK</v>
      </c>
      <c r="L960" s="36" t="n">
        <f aca="false">IF(Raw_Export!$A960="","",IF(OR(K960="OK",K960="Return"),1,0))</f>
        <v>1</v>
      </c>
      <c r="M960" s="37" t="n">
        <f aca="false">IF(Raw_Export!$A960="","",B960-WEEKDAY(B960,2)+1)</f>
        <v>46265</v>
      </c>
    </row>
    <row r="961" customFormat="false" ht="15" hidden="false" customHeight="false" outlineLevel="0" collapsed="false">
      <c r="A961" s="36" t="str">
        <f aca="false">IF(Raw_Export!$A961="","",TRIM(Raw_Export!A961))</f>
        <v>TXN-100942</v>
      </c>
      <c r="B961" s="37" t="n">
        <f aca="false">IF(Raw_Export!$A961="","",IF(ISNUMBER(Raw_Export!B961),Raw_Export!B961,IF(MID(TRIM(Raw_Export!B961),5,1)="-",DATE(LEFT(TRIM(Raw_Export!B961),4),MID(TRIM(Raw_Export!B961),6,2),RIGHT(TRIM(Raw_Export!B961),2)),DATE(RIGHT(TRIM(Raw_Export!B961),4),MATCH(MID(TRIM(Raw_Export!B961),4,3),{"Jan","Feb","Mar","Apr","May","Jun","Jul","Aug","Sep","Oct","Nov","Dec"},0),LEFT(TRIM(Raw_Export!B961),2)))))</f>
        <v>46271</v>
      </c>
      <c r="C961" s="36" t="str">
        <f aca="false">IF(Raw_Export!$A961="","",IFERROR(VLOOKUP(LOWER(TRIM(Raw_Export!C961)),Maps!$A$2:$B$20,2,FALSE()),"UNMAPPED"))</f>
        <v>Nairobi CBD</v>
      </c>
      <c r="D961" s="36" t="str">
        <f aca="false">IF(Raw_Export!$A961="","",IFERROR(VLOOKUP(LOWER(TRIM(Raw_Export!D961)),Maps!$G$2:$I$80,2,FALSE()),"UNMAPPED"))</f>
        <v>Spaghetti 400g</v>
      </c>
      <c r="E961" s="36" t="str">
        <f aca="false">IF(Raw_Export!$A961="","",IFERROR(VLOOKUP(LOWER(TRIM(Raw_Export!D961)),Maps!$G$2:$I$80,3,FALSE()),"UNMAPPED"))</f>
        <v>Staples</v>
      </c>
      <c r="F961" s="36" t="n">
        <f aca="false">IF(Raw_Export!$A961="","",IFERROR(VALUE(TRIM(Raw_Export!E961)),0))</f>
        <v>1</v>
      </c>
      <c r="G961" s="38" t="n">
        <f aca="false">IF(Raw_Export!$A961="","",IFERROR(VALUE(SUBSTITUTE(SUBSTITUTE(UPPER(TRIM(Raw_Export!F961)),"KES",""),",","")),0))</f>
        <v>110</v>
      </c>
      <c r="H961" s="38" t="n">
        <f aca="false">IF(Raw_Export!$A961="","",F961*G961)</f>
        <v>110</v>
      </c>
      <c r="I961" s="36" t="str">
        <f aca="false">IF(Raw_Export!$A961="","",IFERROR(VLOOKUP(LOWER(TRIM(Raw_Export!H961)),Maps!$D$2:$E$12,2,FALSE()),"Other"))</f>
        <v>M-Pesa</v>
      </c>
      <c r="J961" s="36" t="str">
        <f aca="false">IF(Raw_Export!$A961="","",IF(COUNTIF($A$2:A961,A961)&gt;1,"Duplicate",""))</f>
        <v/>
      </c>
      <c r="K961" s="36" t="str">
        <f aca="false">IF(Raw_Export!$A961="","",IF(J961="Duplicate","Duplicate",IF(OR(C961="UNMAPPED",D961="UNMAPPED"),"Unmapped",IF(F961=0,"Blank qty",IF(F961&lt;0,"Return","OK")))))</f>
        <v>OK</v>
      </c>
      <c r="L961" s="36" t="n">
        <f aca="false">IF(Raw_Export!$A961="","",IF(OR(K961="OK",K961="Return"),1,0))</f>
        <v>1</v>
      </c>
      <c r="M961" s="37" t="n">
        <f aca="false">IF(Raw_Export!$A961="","",B961-WEEKDAY(B961,2)+1)</f>
        <v>46265</v>
      </c>
    </row>
    <row r="962" customFormat="false" ht="15" hidden="false" customHeight="false" outlineLevel="0" collapsed="false">
      <c r="A962" s="36" t="str">
        <f aca="false">IF(Raw_Export!$A962="","",TRIM(Raw_Export!A962))</f>
        <v>TXN-100943</v>
      </c>
      <c r="B962" s="37" t="n">
        <f aca="false">IF(Raw_Export!$A962="","",IF(ISNUMBER(Raw_Export!B962),Raw_Export!B962,IF(MID(TRIM(Raw_Export!B962),5,1)="-",DATE(LEFT(TRIM(Raw_Export!B962),4),MID(TRIM(Raw_Export!B962),6,2),RIGHT(TRIM(Raw_Export!B962),2)),DATE(RIGHT(TRIM(Raw_Export!B962),4),MATCH(MID(TRIM(Raw_Export!B962),4,3),{"Jan","Feb","Mar","Apr","May","Jun","Jul","Aug","Sep","Oct","Nov","Dec"},0),LEFT(TRIM(Raw_Export!B962),2)))))</f>
        <v>46271</v>
      </c>
      <c r="C962" s="36" t="str">
        <f aca="false">IF(Raw_Export!$A962="","",IFERROR(VLOOKUP(LOWER(TRIM(Raw_Export!C962)),Maps!$A$2:$B$20,2,FALSE()),"UNMAPPED"))</f>
        <v>Nairobi CBD</v>
      </c>
      <c r="D962" s="36" t="str">
        <f aca="false">IF(Raw_Export!$A962="","",IFERROR(VLOOKUP(LOWER(TRIM(Raw_Export!D962)),Maps!$G$2:$I$80,2,FALSE()),"UNMAPPED"))</f>
        <v>Deodorant 150ml</v>
      </c>
      <c r="E962" s="36" t="str">
        <f aca="false">IF(Raw_Export!$A962="","",IFERROR(VLOOKUP(LOWER(TRIM(Raw_Export!D962)),Maps!$G$2:$I$80,3,FALSE()),"UNMAPPED"))</f>
        <v>Personal Care</v>
      </c>
      <c r="F962" s="36" t="n">
        <f aca="false">IF(Raw_Export!$A962="","",IFERROR(VALUE(TRIM(Raw_Export!E962)),0))</f>
        <v>4</v>
      </c>
      <c r="G962" s="38" t="n">
        <f aca="false">IF(Raw_Export!$A962="","",IFERROR(VALUE(SUBSTITUTE(SUBSTITUTE(UPPER(TRIM(Raw_Export!F962)),"KES",""),",","")),0))</f>
        <v>350</v>
      </c>
      <c r="H962" s="38" t="n">
        <f aca="false">IF(Raw_Export!$A962="","",F962*G962)</f>
        <v>1400</v>
      </c>
      <c r="I962" s="36" t="str">
        <f aca="false">IF(Raw_Export!$A962="","",IFERROR(VLOOKUP(LOWER(TRIM(Raw_Export!H962)),Maps!$D$2:$E$12,2,FALSE()),"Other"))</f>
        <v>M-Pesa</v>
      </c>
      <c r="J962" s="36" t="str">
        <f aca="false">IF(Raw_Export!$A962="","",IF(COUNTIF($A$2:A962,A962)&gt;1,"Duplicate",""))</f>
        <v/>
      </c>
      <c r="K962" s="36" t="str">
        <f aca="false">IF(Raw_Export!$A962="","",IF(J962="Duplicate","Duplicate",IF(OR(C962="UNMAPPED",D962="UNMAPPED"),"Unmapped",IF(F962=0,"Blank qty",IF(F962&lt;0,"Return","OK")))))</f>
        <v>OK</v>
      </c>
      <c r="L962" s="36" t="n">
        <f aca="false">IF(Raw_Export!$A962="","",IF(OR(K962="OK",K962="Return"),1,0))</f>
        <v>1</v>
      </c>
      <c r="M962" s="37" t="n">
        <f aca="false">IF(Raw_Export!$A962="","",B962-WEEKDAY(B962,2)+1)</f>
        <v>46265</v>
      </c>
    </row>
    <row r="963" customFormat="false" ht="15" hidden="false" customHeight="false" outlineLevel="0" collapsed="false">
      <c r="A963" s="36" t="str">
        <f aca="false">IF(Raw_Export!$A963="","",TRIM(Raw_Export!A963))</f>
        <v>TXN-100944</v>
      </c>
      <c r="B963" s="37" t="n">
        <f aca="false">IF(Raw_Export!$A963="","",IF(ISNUMBER(Raw_Export!B963),Raw_Export!B963,IF(MID(TRIM(Raw_Export!B963),5,1)="-",DATE(LEFT(TRIM(Raw_Export!B963),4),MID(TRIM(Raw_Export!B963),6,2),RIGHT(TRIM(Raw_Export!B963),2)),DATE(RIGHT(TRIM(Raw_Export!B963),4),MATCH(MID(TRIM(Raw_Export!B963),4,3),{"Jan","Feb","Mar","Apr","May","Jun","Jul","Aug","Sep","Oct","Nov","Dec"},0),LEFT(TRIM(Raw_Export!B963),2)))))</f>
        <v>46271</v>
      </c>
      <c r="C963" s="36" t="str">
        <f aca="false">IF(Raw_Export!$A963="","",IFERROR(VLOOKUP(LOWER(TRIM(Raw_Export!C963)),Maps!$A$2:$B$20,2,FALSE()),"UNMAPPED"))</f>
        <v>Nairobi CBD</v>
      </c>
      <c r="D963" s="36" t="str">
        <f aca="false">IF(Raw_Export!$A963="","",IFERROR(VLOOKUP(LOWER(TRIM(Raw_Export!D963)),Maps!$G$2:$I$80,2,FALSE()),"UNMAPPED"))</f>
        <v>Yoghurt 500ml</v>
      </c>
      <c r="E963" s="36" t="str">
        <f aca="false">IF(Raw_Export!$A963="","",IFERROR(VLOOKUP(LOWER(TRIM(Raw_Export!D963)),Maps!$G$2:$I$80,3,FALSE()),"UNMAPPED"))</f>
        <v>Dairy &amp; Eggs</v>
      </c>
      <c r="F963" s="36" t="n">
        <f aca="false">IF(Raw_Export!$A963="","",IFERROR(VALUE(TRIM(Raw_Export!E963)),0))</f>
        <v>4</v>
      </c>
      <c r="G963" s="38" t="n">
        <f aca="false">IF(Raw_Export!$A963="","",IFERROR(VALUE(SUBSTITUTE(SUBSTITUTE(UPPER(TRIM(Raw_Export!F963)),"KES",""),",","")),0))</f>
        <v>120</v>
      </c>
      <c r="H963" s="38" t="n">
        <f aca="false">IF(Raw_Export!$A963="","",F963*G963)</f>
        <v>480</v>
      </c>
      <c r="I963" s="36" t="str">
        <f aca="false">IF(Raw_Export!$A963="","",IFERROR(VLOOKUP(LOWER(TRIM(Raw_Export!H963)),Maps!$D$2:$E$12,2,FALSE()),"Other"))</f>
        <v>Cash</v>
      </c>
      <c r="J963" s="36" t="str">
        <f aca="false">IF(Raw_Export!$A963="","",IF(COUNTIF($A$2:A963,A963)&gt;1,"Duplicate",""))</f>
        <v/>
      </c>
      <c r="K963" s="36" t="str">
        <f aca="false">IF(Raw_Export!$A963="","",IF(J963="Duplicate","Duplicate",IF(OR(C963="UNMAPPED",D963="UNMAPPED"),"Unmapped",IF(F963=0,"Blank qty",IF(F963&lt;0,"Return","OK")))))</f>
        <v>OK</v>
      </c>
      <c r="L963" s="36" t="n">
        <f aca="false">IF(Raw_Export!$A963="","",IF(OR(K963="OK",K963="Return"),1,0))</f>
        <v>1</v>
      </c>
      <c r="M963" s="37" t="n">
        <f aca="false">IF(Raw_Export!$A963="","",B963-WEEKDAY(B963,2)+1)</f>
        <v>46265</v>
      </c>
    </row>
    <row r="964" customFormat="false" ht="15" hidden="false" customHeight="false" outlineLevel="0" collapsed="false">
      <c r="A964" s="36" t="str">
        <f aca="false">IF(Raw_Export!$A964="","",TRIM(Raw_Export!A964))</f>
        <v>TXN-100945</v>
      </c>
      <c r="B964" s="37" t="n">
        <f aca="false">IF(Raw_Export!$A964="","",IF(ISNUMBER(Raw_Export!B964),Raw_Export!B964,IF(MID(TRIM(Raw_Export!B964),5,1)="-",DATE(LEFT(TRIM(Raw_Export!B964),4),MID(TRIM(Raw_Export!B964),6,2),RIGHT(TRIM(Raw_Export!B964),2)),DATE(RIGHT(TRIM(Raw_Export!B964),4),MATCH(MID(TRIM(Raw_Export!B964),4,3),{"Jan","Feb","Mar","Apr","May","Jun","Jul","Aug","Sep","Oct","Nov","Dec"},0),LEFT(TRIM(Raw_Export!B964),2)))))</f>
        <v>46271</v>
      </c>
      <c r="C964" s="36" t="str">
        <f aca="false">IF(Raw_Export!$A964="","",IFERROR(VLOOKUP(LOWER(TRIM(Raw_Export!C964)),Maps!$A$2:$B$20,2,FALSE()),"UNMAPPED"))</f>
        <v>Nairobi CBD</v>
      </c>
      <c r="D964" s="36" t="str">
        <f aca="false">IF(Raw_Export!$A964="","",IFERROR(VLOOKUP(LOWER(TRIM(Raw_Export!D964)),Maps!$G$2:$I$80,2,FALSE()),"UNMAPPED"))</f>
        <v>Soda 500ml</v>
      </c>
      <c r="E964" s="36" t="str">
        <f aca="false">IF(Raw_Export!$A964="","",IFERROR(VLOOKUP(LOWER(TRIM(Raw_Export!D964)),Maps!$G$2:$I$80,3,FALSE()),"UNMAPPED"))</f>
        <v>Beverages</v>
      </c>
      <c r="F964" s="36" t="n">
        <f aca="false">IF(Raw_Export!$A964="","",IFERROR(VALUE(TRIM(Raw_Export!E964)),0))</f>
        <v>1</v>
      </c>
      <c r="G964" s="38" t="n">
        <f aca="false">IF(Raw_Export!$A964="","",IFERROR(VALUE(SUBSTITUTE(SUBSTITUTE(UPPER(TRIM(Raw_Export!F964)),"KES",""),",","")),0))</f>
        <v>60</v>
      </c>
      <c r="H964" s="38" t="n">
        <f aca="false">IF(Raw_Export!$A964="","",F964*G964)</f>
        <v>60</v>
      </c>
      <c r="I964" s="36" t="str">
        <f aca="false">IF(Raw_Export!$A964="","",IFERROR(VLOOKUP(LOWER(TRIM(Raw_Export!H964)),Maps!$D$2:$E$12,2,FALSE()),"Other"))</f>
        <v>M-Pesa</v>
      </c>
      <c r="J964" s="36" t="str">
        <f aca="false">IF(Raw_Export!$A964="","",IF(COUNTIF($A$2:A964,A964)&gt;1,"Duplicate",""))</f>
        <v/>
      </c>
      <c r="K964" s="36" t="str">
        <f aca="false">IF(Raw_Export!$A964="","",IF(J964="Duplicate","Duplicate",IF(OR(C964="UNMAPPED",D964="UNMAPPED"),"Unmapped",IF(F964=0,"Blank qty",IF(F964&lt;0,"Return","OK")))))</f>
        <v>OK</v>
      </c>
      <c r="L964" s="36" t="n">
        <f aca="false">IF(Raw_Export!$A964="","",IF(OR(K964="OK",K964="Return"),1,0))</f>
        <v>1</v>
      </c>
      <c r="M964" s="37" t="n">
        <f aca="false">IF(Raw_Export!$A964="","",B964-WEEKDAY(B964,2)+1)</f>
        <v>46265</v>
      </c>
    </row>
    <row r="965" customFormat="false" ht="15" hidden="false" customHeight="false" outlineLevel="0" collapsed="false">
      <c r="A965" s="36" t="str">
        <f aca="false">IF(Raw_Export!$A965="","",TRIM(Raw_Export!A965))</f>
        <v>TXN-100946</v>
      </c>
      <c r="B965" s="37" t="n">
        <f aca="false">IF(Raw_Export!$A965="","",IF(ISNUMBER(Raw_Export!B965),Raw_Export!B965,IF(MID(TRIM(Raw_Export!B965),5,1)="-",DATE(LEFT(TRIM(Raw_Export!B965),4),MID(TRIM(Raw_Export!B965),6,2),RIGHT(TRIM(Raw_Export!B965),2)),DATE(RIGHT(TRIM(Raw_Export!B965),4),MATCH(MID(TRIM(Raw_Export!B965),4,3),{"Jan","Feb","Mar","Apr","May","Jun","Jul","Aug","Sep","Oct","Nov","Dec"},0),LEFT(TRIM(Raw_Export!B965),2)))))</f>
        <v>46271</v>
      </c>
      <c r="C965" s="36" t="str">
        <f aca="false">IF(Raw_Export!$A965="","",IFERROR(VLOOKUP(LOWER(TRIM(Raw_Export!C965)),Maps!$A$2:$B$20,2,FALSE()),"UNMAPPED"))</f>
        <v>Nairobi CBD</v>
      </c>
      <c r="D965" s="36" t="str">
        <f aca="false">IF(Raw_Export!$A965="","",IFERROR(VLOOKUP(LOWER(TRIM(Raw_Export!D965)),Maps!$G$2:$I$80,2,FALSE()),"UNMAPPED"))</f>
        <v>Sugar 2kg</v>
      </c>
      <c r="E965" s="36" t="str">
        <f aca="false">IF(Raw_Export!$A965="","",IFERROR(VLOOKUP(LOWER(TRIM(Raw_Export!D965)),Maps!$G$2:$I$80,3,FALSE()),"UNMAPPED"))</f>
        <v>Staples</v>
      </c>
      <c r="F965" s="36" t="n">
        <f aca="false">IF(Raw_Export!$A965="","",IFERROR(VALUE(TRIM(Raw_Export!E965)),0))</f>
        <v>3</v>
      </c>
      <c r="G965" s="38" t="n">
        <f aca="false">IF(Raw_Export!$A965="","",IFERROR(VALUE(SUBSTITUTE(SUBSTITUTE(UPPER(TRIM(Raw_Export!F965)),"KES",""),",","")),0))</f>
        <v>330</v>
      </c>
      <c r="H965" s="38" t="n">
        <f aca="false">IF(Raw_Export!$A965="","",F965*G965)</f>
        <v>990</v>
      </c>
      <c r="I965" s="36" t="str">
        <f aca="false">IF(Raw_Export!$A965="","",IFERROR(VLOOKUP(LOWER(TRIM(Raw_Export!H965)),Maps!$D$2:$E$12,2,FALSE()),"Other"))</f>
        <v>M-Pesa</v>
      </c>
      <c r="J965" s="36" t="str">
        <f aca="false">IF(Raw_Export!$A965="","",IF(COUNTIF($A$2:A965,A965)&gt;1,"Duplicate",""))</f>
        <v/>
      </c>
      <c r="K965" s="36" t="str">
        <f aca="false">IF(Raw_Export!$A965="","",IF(J965="Duplicate","Duplicate",IF(OR(C965="UNMAPPED",D965="UNMAPPED"),"Unmapped",IF(F965=0,"Blank qty",IF(F965&lt;0,"Return","OK")))))</f>
        <v>OK</v>
      </c>
      <c r="L965" s="36" t="n">
        <f aca="false">IF(Raw_Export!$A965="","",IF(OR(K965="OK",K965="Return"),1,0))</f>
        <v>1</v>
      </c>
      <c r="M965" s="37" t="n">
        <f aca="false">IF(Raw_Export!$A965="","",B965-WEEKDAY(B965,2)+1)</f>
        <v>46265</v>
      </c>
    </row>
    <row r="966" customFormat="false" ht="15" hidden="false" customHeight="false" outlineLevel="0" collapsed="false">
      <c r="A966" s="36" t="str">
        <f aca="false">IF(Raw_Export!$A966="","",TRIM(Raw_Export!A966))</f>
        <v>TXN-100947</v>
      </c>
      <c r="B966" s="37" t="n">
        <f aca="false">IF(Raw_Export!$A966="","",IF(ISNUMBER(Raw_Export!B966),Raw_Export!B966,IF(MID(TRIM(Raw_Export!B966),5,1)="-",DATE(LEFT(TRIM(Raw_Export!B966),4),MID(TRIM(Raw_Export!B966),6,2),RIGHT(TRIM(Raw_Export!B966),2)),DATE(RIGHT(TRIM(Raw_Export!B966),4),MATCH(MID(TRIM(Raw_Export!B966),4,3),{"Jan","Feb","Mar","Apr","May","Jun","Jul","Aug","Sep","Oct","Nov","Dec"},0),LEFT(TRIM(Raw_Export!B966),2)))))</f>
        <v>46271</v>
      </c>
      <c r="C966" s="36" t="str">
        <f aca="false">IF(Raw_Export!$A966="","",IFERROR(VLOOKUP(LOWER(TRIM(Raw_Export!C966)),Maps!$A$2:$B$20,2,FALSE()),"UNMAPPED"))</f>
        <v>Nairobi CBD</v>
      </c>
      <c r="D966" s="36" t="str">
        <f aca="false">IF(Raw_Export!$A966="","",IFERROR(VLOOKUP(LOWER(TRIM(Raw_Export!D966)),Maps!$G$2:$I$80,2,FALSE()),"UNMAPPED"))</f>
        <v>Sugar 2kg</v>
      </c>
      <c r="E966" s="36" t="str">
        <f aca="false">IF(Raw_Export!$A966="","",IFERROR(VLOOKUP(LOWER(TRIM(Raw_Export!D966)),Maps!$G$2:$I$80,3,FALSE()),"UNMAPPED"))</f>
        <v>Staples</v>
      </c>
      <c r="F966" s="36" t="n">
        <f aca="false">IF(Raw_Export!$A966="","",IFERROR(VALUE(TRIM(Raw_Export!E966)),0))</f>
        <v>6</v>
      </c>
      <c r="G966" s="38" t="n">
        <f aca="false">IF(Raw_Export!$A966="","",IFERROR(VALUE(SUBSTITUTE(SUBSTITUTE(UPPER(TRIM(Raw_Export!F966)),"KES",""),",","")),0))</f>
        <v>330</v>
      </c>
      <c r="H966" s="38" t="n">
        <f aca="false">IF(Raw_Export!$A966="","",F966*G966)</f>
        <v>1980</v>
      </c>
      <c r="I966" s="36" t="str">
        <f aca="false">IF(Raw_Export!$A966="","",IFERROR(VLOOKUP(LOWER(TRIM(Raw_Export!H966)),Maps!$D$2:$E$12,2,FALSE()),"Other"))</f>
        <v>M-Pesa</v>
      </c>
      <c r="J966" s="36" t="str">
        <f aca="false">IF(Raw_Export!$A966="","",IF(COUNTIF($A$2:A966,A966)&gt;1,"Duplicate",""))</f>
        <v/>
      </c>
      <c r="K966" s="36" t="str">
        <f aca="false">IF(Raw_Export!$A966="","",IF(J966="Duplicate","Duplicate",IF(OR(C966="UNMAPPED",D966="UNMAPPED"),"Unmapped",IF(F966=0,"Blank qty",IF(F966&lt;0,"Return","OK")))))</f>
        <v>OK</v>
      </c>
      <c r="L966" s="36" t="n">
        <f aca="false">IF(Raw_Export!$A966="","",IF(OR(K966="OK",K966="Return"),1,0))</f>
        <v>1</v>
      </c>
      <c r="M966" s="37" t="n">
        <f aca="false">IF(Raw_Export!$A966="","",B966-WEEKDAY(B966,2)+1)</f>
        <v>46265</v>
      </c>
    </row>
    <row r="967" customFormat="false" ht="15" hidden="false" customHeight="false" outlineLevel="0" collapsed="false">
      <c r="A967" s="36" t="str">
        <f aca="false">IF(Raw_Export!$A967="","",TRIM(Raw_Export!A967))</f>
        <v>TXN-100948</v>
      </c>
      <c r="B967" s="37" t="n">
        <f aca="false">IF(Raw_Export!$A967="","",IF(ISNUMBER(Raw_Export!B967),Raw_Export!B967,IF(MID(TRIM(Raw_Export!B967),5,1)="-",DATE(LEFT(TRIM(Raw_Export!B967),4),MID(TRIM(Raw_Export!B967),6,2),RIGHT(TRIM(Raw_Export!B967),2)),DATE(RIGHT(TRIM(Raw_Export!B967),4),MATCH(MID(TRIM(Raw_Export!B967),4,3),{"Jan","Feb","Mar","Apr","May","Jun","Jul","Aug","Sep","Oct","Nov","Dec"},0),LEFT(TRIM(Raw_Export!B967),2)))))</f>
        <v>46271</v>
      </c>
      <c r="C967" s="36" t="str">
        <f aca="false">IF(Raw_Export!$A967="","",IFERROR(VLOOKUP(LOWER(TRIM(Raw_Export!C967)),Maps!$A$2:$B$20,2,FALSE()),"UNMAPPED"))</f>
        <v>Nairobi CBD</v>
      </c>
      <c r="D967" s="36" t="str">
        <f aca="false">IF(Raw_Export!$A967="","",IFERROR(VLOOKUP(LOWER(TRIM(Raw_Export!D967)),Maps!$G$2:$I$80,2,FALSE()),"UNMAPPED"))</f>
        <v>Spaghetti 400g</v>
      </c>
      <c r="E967" s="36" t="str">
        <f aca="false">IF(Raw_Export!$A967="","",IFERROR(VLOOKUP(LOWER(TRIM(Raw_Export!D967)),Maps!$G$2:$I$80,3,FALSE()),"UNMAPPED"))</f>
        <v>Staples</v>
      </c>
      <c r="F967" s="36" t="n">
        <f aca="false">IF(Raw_Export!$A967="","",IFERROR(VALUE(TRIM(Raw_Export!E967)),0))</f>
        <v>2</v>
      </c>
      <c r="G967" s="38" t="n">
        <f aca="false">IF(Raw_Export!$A967="","",IFERROR(VALUE(SUBSTITUTE(SUBSTITUTE(UPPER(TRIM(Raw_Export!F967)),"KES",""),",","")),0))</f>
        <v>110</v>
      </c>
      <c r="H967" s="38" t="n">
        <f aca="false">IF(Raw_Export!$A967="","",F967*G967)</f>
        <v>220</v>
      </c>
      <c r="I967" s="36" t="str">
        <f aca="false">IF(Raw_Export!$A967="","",IFERROR(VLOOKUP(LOWER(TRIM(Raw_Export!H967)),Maps!$D$2:$E$12,2,FALSE()),"Other"))</f>
        <v>Card</v>
      </c>
      <c r="J967" s="36" t="str">
        <f aca="false">IF(Raw_Export!$A967="","",IF(COUNTIF($A$2:A967,A967)&gt;1,"Duplicate",""))</f>
        <v/>
      </c>
      <c r="K967" s="36" t="str">
        <f aca="false">IF(Raw_Export!$A967="","",IF(J967="Duplicate","Duplicate",IF(OR(C967="UNMAPPED",D967="UNMAPPED"),"Unmapped",IF(F967=0,"Blank qty",IF(F967&lt;0,"Return","OK")))))</f>
        <v>OK</v>
      </c>
      <c r="L967" s="36" t="n">
        <f aca="false">IF(Raw_Export!$A967="","",IF(OR(K967="OK",K967="Return"),1,0))</f>
        <v>1</v>
      </c>
      <c r="M967" s="37" t="n">
        <f aca="false">IF(Raw_Export!$A967="","",B967-WEEKDAY(B967,2)+1)</f>
        <v>46265</v>
      </c>
    </row>
    <row r="968" customFormat="false" ht="15" hidden="false" customHeight="false" outlineLevel="0" collapsed="false">
      <c r="A968" s="36" t="str">
        <f aca="false">IF(Raw_Export!$A968="","",TRIM(Raw_Export!A968))</f>
        <v>TXN-100949</v>
      </c>
      <c r="B968" s="37" t="n">
        <f aca="false">IF(Raw_Export!$A968="","",IF(ISNUMBER(Raw_Export!B968),Raw_Export!B968,IF(MID(TRIM(Raw_Export!B968),5,1)="-",DATE(LEFT(TRIM(Raw_Export!B968),4),MID(TRIM(Raw_Export!B968),6,2),RIGHT(TRIM(Raw_Export!B968),2)),DATE(RIGHT(TRIM(Raw_Export!B968),4),MATCH(MID(TRIM(Raw_Export!B968),4,3),{"Jan","Feb","Mar","Apr","May","Jun","Jul","Aug","Sep","Oct","Nov","Dec"},0),LEFT(TRIM(Raw_Export!B968),2)))))</f>
        <v>46271</v>
      </c>
      <c r="C968" s="36" t="str">
        <f aca="false">IF(Raw_Export!$A968="","",IFERROR(VLOOKUP(LOWER(TRIM(Raw_Export!C968)),Maps!$A$2:$B$20,2,FALSE()),"UNMAPPED"))</f>
        <v>Nairobi CBD</v>
      </c>
      <c r="D968" s="36" t="str">
        <f aca="false">IF(Raw_Export!$A968="","",IFERROR(VLOOKUP(LOWER(TRIM(Raw_Export!D968)),Maps!$G$2:$I$80,2,FALSE()),"UNMAPPED"))</f>
        <v>Cooking Oil 1L</v>
      </c>
      <c r="E968" s="36" t="str">
        <f aca="false">IF(Raw_Export!$A968="","",IFERROR(VLOOKUP(LOWER(TRIM(Raw_Export!D968)),Maps!$G$2:$I$80,3,FALSE()),"UNMAPPED"))</f>
        <v>Staples</v>
      </c>
      <c r="F968" s="36" t="n">
        <f aca="false">IF(Raw_Export!$A968="","",IFERROR(VALUE(TRIM(Raw_Export!E968)),0))</f>
        <v>1</v>
      </c>
      <c r="G968" s="38" t="n">
        <f aca="false">IF(Raw_Export!$A968="","",IFERROR(VALUE(SUBSTITUTE(SUBSTITUTE(UPPER(TRIM(Raw_Export!F968)),"KES",""),",","")),0))</f>
        <v>330</v>
      </c>
      <c r="H968" s="38" t="n">
        <f aca="false">IF(Raw_Export!$A968="","",F968*G968)</f>
        <v>330</v>
      </c>
      <c r="I968" s="36" t="str">
        <f aca="false">IF(Raw_Export!$A968="","",IFERROR(VLOOKUP(LOWER(TRIM(Raw_Export!H968)),Maps!$D$2:$E$12,2,FALSE()),"Other"))</f>
        <v>Cash</v>
      </c>
      <c r="J968" s="36" t="str">
        <f aca="false">IF(Raw_Export!$A968="","",IF(COUNTIF($A$2:A968,A968)&gt;1,"Duplicate",""))</f>
        <v/>
      </c>
      <c r="K968" s="36" t="str">
        <f aca="false">IF(Raw_Export!$A968="","",IF(J968="Duplicate","Duplicate",IF(OR(C968="UNMAPPED",D968="UNMAPPED"),"Unmapped",IF(F968=0,"Blank qty",IF(F968&lt;0,"Return","OK")))))</f>
        <v>OK</v>
      </c>
      <c r="L968" s="36" t="n">
        <f aca="false">IF(Raw_Export!$A968="","",IF(OR(K968="OK",K968="Return"),1,0))</f>
        <v>1</v>
      </c>
      <c r="M968" s="37" t="n">
        <f aca="false">IF(Raw_Export!$A968="","",B968-WEEKDAY(B968,2)+1)</f>
        <v>46265</v>
      </c>
    </row>
    <row r="969" customFormat="false" ht="15" hidden="false" customHeight="false" outlineLevel="0" collapsed="false">
      <c r="A969" s="36" t="str">
        <f aca="false">IF(Raw_Export!$A969="","",TRIM(Raw_Export!A969))</f>
        <v>TXN-100950</v>
      </c>
      <c r="B969" s="37" t="n">
        <f aca="false">IF(Raw_Export!$A969="","",IF(ISNUMBER(Raw_Export!B969),Raw_Export!B969,IF(MID(TRIM(Raw_Export!B969),5,1)="-",DATE(LEFT(TRIM(Raw_Export!B969),4),MID(TRIM(Raw_Export!B969),6,2),RIGHT(TRIM(Raw_Export!B969),2)),DATE(RIGHT(TRIM(Raw_Export!B969),4),MATCH(MID(TRIM(Raw_Export!B969),4,3),{"Jan","Feb","Mar","Apr","May","Jun","Jul","Aug","Sep","Oct","Nov","Dec"},0),LEFT(TRIM(Raw_Export!B969),2)))))</f>
        <v>46271</v>
      </c>
      <c r="C969" s="36" t="str">
        <f aca="false">IF(Raw_Export!$A969="","",IFERROR(VLOOKUP(LOWER(TRIM(Raw_Export!C969)),Maps!$A$2:$B$20,2,FALSE()),"UNMAPPED"))</f>
        <v>Westlands</v>
      </c>
      <c r="D969" s="36" t="str">
        <f aca="false">IF(Raw_Export!$A969="","",IFERROR(VLOOKUP(LOWER(TRIM(Raw_Export!D969)),Maps!$G$2:$I$80,2,FALSE()),"UNMAPPED"))</f>
        <v>Salt 500g</v>
      </c>
      <c r="E969" s="36" t="str">
        <f aca="false">IF(Raw_Export!$A969="","",IFERROR(VLOOKUP(LOWER(TRIM(Raw_Export!D969)),Maps!$G$2:$I$80,3,FALSE()),"UNMAPPED"))</f>
        <v>Staples</v>
      </c>
      <c r="F969" s="36" t="n">
        <f aca="false">IF(Raw_Export!$A969="","",IFERROR(VALUE(TRIM(Raw_Export!E969)),0))</f>
        <v>4</v>
      </c>
      <c r="G969" s="38" t="n">
        <f aca="false">IF(Raw_Export!$A969="","",IFERROR(VALUE(SUBSTITUTE(SUBSTITUTE(UPPER(TRIM(Raw_Export!F969)),"KES",""),",","")),0))</f>
        <v>40</v>
      </c>
      <c r="H969" s="38" t="n">
        <f aca="false">IF(Raw_Export!$A969="","",F969*G969)</f>
        <v>160</v>
      </c>
      <c r="I969" s="36" t="str">
        <f aca="false">IF(Raw_Export!$A969="","",IFERROR(VLOOKUP(LOWER(TRIM(Raw_Export!H969)),Maps!$D$2:$E$12,2,FALSE()),"Other"))</f>
        <v>M-Pesa</v>
      </c>
      <c r="J969" s="36" t="str">
        <f aca="false">IF(Raw_Export!$A969="","",IF(COUNTIF($A$2:A969,A969)&gt;1,"Duplicate",""))</f>
        <v/>
      </c>
      <c r="K969" s="36" t="str">
        <f aca="false">IF(Raw_Export!$A969="","",IF(J969="Duplicate","Duplicate",IF(OR(C969="UNMAPPED",D969="UNMAPPED"),"Unmapped",IF(F969=0,"Blank qty",IF(F969&lt;0,"Return","OK")))))</f>
        <v>OK</v>
      </c>
      <c r="L969" s="36" t="n">
        <f aca="false">IF(Raw_Export!$A969="","",IF(OR(K969="OK",K969="Return"),1,0))</f>
        <v>1</v>
      </c>
      <c r="M969" s="37" t="n">
        <f aca="false">IF(Raw_Export!$A969="","",B969-WEEKDAY(B969,2)+1)</f>
        <v>46265</v>
      </c>
    </row>
    <row r="970" customFormat="false" ht="15" hidden="false" customHeight="false" outlineLevel="0" collapsed="false">
      <c r="A970" s="36" t="str">
        <f aca="false">IF(Raw_Export!$A970="","",TRIM(Raw_Export!A970))</f>
        <v>TXN-100951</v>
      </c>
      <c r="B970" s="37" t="n">
        <f aca="false">IF(Raw_Export!$A970="","",IF(ISNUMBER(Raw_Export!B970),Raw_Export!B970,IF(MID(TRIM(Raw_Export!B970),5,1)="-",DATE(LEFT(TRIM(Raw_Export!B970),4),MID(TRIM(Raw_Export!B970),6,2),RIGHT(TRIM(Raw_Export!B970),2)),DATE(RIGHT(TRIM(Raw_Export!B970),4),MATCH(MID(TRIM(Raw_Export!B970),4,3),{"Jan","Feb","Mar","Apr","May","Jun","Jul","Aug","Sep","Oct","Nov","Dec"},0),LEFT(TRIM(Raw_Export!B970),2)))))</f>
        <v>46271</v>
      </c>
      <c r="C970" s="36" t="str">
        <f aca="false">IF(Raw_Export!$A970="","",IFERROR(VLOOKUP(LOWER(TRIM(Raw_Export!C970)),Maps!$A$2:$B$20,2,FALSE()),"UNMAPPED"))</f>
        <v>Westlands</v>
      </c>
      <c r="D970" s="36" t="str">
        <f aca="false">IF(Raw_Export!$A970="","",IFERROR(VLOOKUP(LOWER(TRIM(Raw_Export!D970)),Maps!$G$2:$I$80,2,FALSE()),"UNMAPPED"))</f>
        <v>Sanitary Pads 8pk</v>
      </c>
      <c r="E970" s="36" t="str">
        <f aca="false">IF(Raw_Export!$A970="","",IFERROR(VLOOKUP(LOWER(TRIM(Raw_Export!D970)),Maps!$G$2:$I$80,3,FALSE()),"UNMAPPED"))</f>
        <v>Personal Care</v>
      </c>
      <c r="F970" s="36" t="n">
        <f aca="false">IF(Raw_Export!$A970="","",IFERROR(VALUE(TRIM(Raw_Export!E970)),0))</f>
        <v>2</v>
      </c>
      <c r="G970" s="38" t="n">
        <f aca="false">IF(Raw_Export!$A970="","",IFERROR(VALUE(SUBSTITUTE(SUBSTITUTE(UPPER(TRIM(Raw_Export!F970)),"KES",""),",","")),0))</f>
        <v>130</v>
      </c>
      <c r="H970" s="38" t="n">
        <f aca="false">IF(Raw_Export!$A970="","",F970*G970)</f>
        <v>260</v>
      </c>
      <c r="I970" s="36" t="str">
        <f aca="false">IF(Raw_Export!$A970="","",IFERROR(VLOOKUP(LOWER(TRIM(Raw_Export!H970)),Maps!$D$2:$E$12,2,FALSE()),"Other"))</f>
        <v>Cash</v>
      </c>
      <c r="J970" s="36" t="str">
        <f aca="false">IF(Raw_Export!$A970="","",IF(COUNTIF($A$2:A970,A970)&gt;1,"Duplicate",""))</f>
        <v/>
      </c>
      <c r="K970" s="36" t="str">
        <f aca="false">IF(Raw_Export!$A970="","",IF(J970="Duplicate","Duplicate",IF(OR(C970="UNMAPPED",D970="UNMAPPED"),"Unmapped",IF(F970=0,"Blank qty",IF(F970&lt;0,"Return","OK")))))</f>
        <v>OK</v>
      </c>
      <c r="L970" s="36" t="n">
        <f aca="false">IF(Raw_Export!$A970="","",IF(OR(K970="OK",K970="Return"),1,0))</f>
        <v>1</v>
      </c>
      <c r="M970" s="37" t="n">
        <f aca="false">IF(Raw_Export!$A970="","",B970-WEEKDAY(B970,2)+1)</f>
        <v>46265</v>
      </c>
    </row>
    <row r="971" customFormat="false" ht="15" hidden="false" customHeight="false" outlineLevel="0" collapsed="false">
      <c r="A971" s="36" t="str">
        <f aca="false">IF(Raw_Export!$A971="","",TRIM(Raw_Export!A971))</f>
        <v>TXN-100952</v>
      </c>
      <c r="B971" s="37" t="n">
        <f aca="false">IF(Raw_Export!$A971="","",IF(ISNUMBER(Raw_Export!B971),Raw_Export!B971,IF(MID(TRIM(Raw_Export!B971),5,1)="-",DATE(LEFT(TRIM(Raw_Export!B971),4),MID(TRIM(Raw_Export!B971),6,2),RIGHT(TRIM(Raw_Export!B971),2)),DATE(RIGHT(TRIM(Raw_Export!B971),4),MATCH(MID(TRIM(Raw_Export!B971),4,3),{"Jan","Feb","Mar","Apr","May","Jun","Jul","Aug","Sep","Oct","Nov","Dec"},0),LEFT(TRIM(Raw_Export!B971),2)))))</f>
        <v>46271</v>
      </c>
      <c r="C971" s="36" t="str">
        <f aca="false">IF(Raw_Export!$A971="","",IFERROR(VLOOKUP(LOWER(TRIM(Raw_Export!C971)),Maps!$A$2:$B$20,2,FALSE()),"UNMAPPED"))</f>
        <v>Westlands</v>
      </c>
      <c r="D971" s="36" t="str">
        <f aca="false">IF(Raw_Export!$A971="","",IFERROR(VLOOKUP(LOWER(TRIM(Raw_Export!D971)),Maps!$G$2:$I$80,2,FALSE()),"UNMAPPED"))</f>
        <v>Sugar 2kg</v>
      </c>
      <c r="E971" s="36" t="str">
        <f aca="false">IF(Raw_Export!$A971="","",IFERROR(VLOOKUP(LOWER(TRIM(Raw_Export!D971)),Maps!$G$2:$I$80,3,FALSE()),"UNMAPPED"))</f>
        <v>Staples</v>
      </c>
      <c r="F971" s="36" t="n">
        <f aca="false">IF(Raw_Export!$A971="","",IFERROR(VALUE(TRIM(Raw_Export!E971)),0))</f>
        <v>2</v>
      </c>
      <c r="G971" s="38" t="n">
        <f aca="false">IF(Raw_Export!$A971="","",IFERROR(VALUE(SUBSTITUTE(SUBSTITUTE(UPPER(TRIM(Raw_Export!F971)),"KES",""),",","")),0))</f>
        <v>330</v>
      </c>
      <c r="H971" s="38" t="n">
        <f aca="false">IF(Raw_Export!$A971="","",F971*G971)</f>
        <v>660</v>
      </c>
      <c r="I971" s="36" t="str">
        <f aca="false">IF(Raw_Export!$A971="","",IFERROR(VLOOKUP(LOWER(TRIM(Raw_Export!H971)),Maps!$D$2:$E$12,2,FALSE()),"Other"))</f>
        <v>Card</v>
      </c>
      <c r="J971" s="36" t="str">
        <f aca="false">IF(Raw_Export!$A971="","",IF(COUNTIF($A$2:A971,A971)&gt;1,"Duplicate",""))</f>
        <v/>
      </c>
      <c r="K971" s="36" t="str">
        <f aca="false">IF(Raw_Export!$A971="","",IF(J971="Duplicate","Duplicate",IF(OR(C971="UNMAPPED",D971="UNMAPPED"),"Unmapped",IF(F971=0,"Blank qty",IF(F971&lt;0,"Return","OK")))))</f>
        <v>OK</v>
      </c>
      <c r="L971" s="36" t="n">
        <f aca="false">IF(Raw_Export!$A971="","",IF(OR(K971="OK",K971="Return"),1,0))</f>
        <v>1</v>
      </c>
      <c r="M971" s="37" t="n">
        <f aca="false">IF(Raw_Export!$A971="","",B971-WEEKDAY(B971,2)+1)</f>
        <v>46265</v>
      </c>
    </row>
    <row r="972" customFormat="false" ht="15" hidden="false" customHeight="false" outlineLevel="0" collapsed="false">
      <c r="A972" s="36" t="str">
        <f aca="false">IF(Raw_Export!$A972="","",TRIM(Raw_Export!A972))</f>
        <v>TXN-100953</v>
      </c>
      <c r="B972" s="37" t="n">
        <f aca="false">IF(Raw_Export!$A972="","",IF(ISNUMBER(Raw_Export!B972),Raw_Export!B972,IF(MID(TRIM(Raw_Export!B972),5,1)="-",DATE(LEFT(TRIM(Raw_Export!B972),4),MID(TRIM(Raw_Export!B972),6,2),RIGHT(TRIM(Raw_Export!B972),2)),DATE(RIGHT(TRIM(Raw_Export!B972),4),MATCH(MID(TRIM(Raw_Export!B972),4,3),{"Jan","Feb","Mar","Apr","May","Jun","Jul","Aug","Sep","Oct","Nov","Dec"},0),LEFT(TRIM(Raw_Export!B972),2)))))</f>
        <v>46271</v>
      </c>
      <c r="C972" s="36" t="str">
        <f aca="false">IF(Raw_Export!$A972="","",IFERROR(VLOOKUP(LOWER(TRIM(Raw_Export!C972)),Maps!$A$2:$B$20,2,FALSE()),"UNMAPPED"))</f>
        <v>Westlands</v>
      </c>
      <c r="D972" s="36" t="str">
        <f aca="false">IF(Raw_Export!$A972="","",IFERROR(VLOOKUP(LOWER(TRIM(Raw_Export!D972)),Maps!$G$2:$I$80,2,FALSE()),"UNMAPPED"))</f>
        <v>Washing Powder 1kg</v>
      </c>
      <c r="E972" s="36" t="str">
        <f aca="false">IF(Raw_Export!$A972="","",IFERROR(VLOOKUP(LOWER(TRIM(Raw_Export!D972)),Maps!$G$2:$I$80,3,FALSE()),"UNMAPPED"))</f>
        <v>Household</v>
      </c>
      <c r="F972" s="36" t="n">
        <f aca="false">IF(Raw_Export!$A972="","",IFERROR(VALUE(TRIM(Raw_Export!E972)),0))</f>
        <v>1</v>
      </c>
      <c r="G972" s="38" t="n">
        <f aca="false">IF(Raw_Export!$A972="","",IFERROR(VALUE(SUBSTITUTE(SUBSTITUTE(UPPER(TRIM(Raw_Export!F972)),"KES",""),",","")),0))</f>
        <v>280</v>
      </c>
      <c r="H972" s="38" t="n">
        <f aca="false">IF(Raw_Export!$A972="","",F972*G972)</f>
        <v>280</v>
      </c>
      <c r="I972" s="36" t="str">
        <f aca="false">IF(Raw_Export!$A972="","",IFERROR(VLOOKUP(LOWER(TRIM(Raw_Export!H972)),Maps!$D$2:$E$12,2,FALSE()),"Other"))</f>
        <v>Cash</v>
      </c>
      <c r="J972" s="36" t="str">
        <f aca="false">IF(Raw_Export!$A972="","",IF(COUNTIF($A$2:A972,A972)&gt;1,"Duplicate",""))</f>
        <v/>
      </c>
      <c r="K972" s="36" t="str">
        <f aca="false">IF(Raw_Export!$A972="","",IF(J972="Duplicate","Duplicate",IF(OR(C972="UNMAPPED",D972="UNMAPPED"),"Unmapped",IF(F972=0,"Blank qty",IF(F972&lt;0,"Return","OK")))))</f>
        <v>OK</v>
      </c>
      <c r="L972" s="36" t="n">
        <f aca="false">IF(Raw_Export!$A972="","",IF(OR(K972="OK",K972="Return"),1,0))</f>
        <v>1</v>
      </c>
      <c r="M972" s="37" t="n">
        <f aca="false">IF(Raw_Export!$A972="","",B972-WEEKDAY(B972,2)+1)</f>
        <v>46265</v>
      </c>
    </row>
    <row r="973" customFormat="false" ht="15" hidden="false" customHeight="false" outlineLevel="0" collapsed="false">
      <c r="A973" s="36" t="str">
        <f aca="false">IF(Raw_Export!$A973="","",TRIM(Raw_Export!A973))</f>
        <v>TXN-100954</v>
      </c>
      <c r="B973" s="37" t="n">
        <f aca="false">IF(Raw_Export!$A973="","",IF(ISNUMBER(Raw_Export!B973),Raw_Export!B973,IF(MID(TRIM(Raw_Export!B973),5,1)="-",DATE(LEFT(TRIM(Raw_Export!B973),4),MID(TRIM(Raw_Export!B973),6,2),RIGHT(TRIM(Raw_Export!B973),2)),DATE(RIGHT(TRIM(Raw_Export!B973),4),MATCH(MID(TRIM(Raw_Export!B973),4,3),{"Jan","Feb","Mar","Apr","May","Jun","Jul","Aug","Sep","Oct","Nov","Dec"},0),LEFT(TRIM(Raw_Export!B973),2)))))</f>
        <v>46271</v>
      </c>
      <c r="C973" s="36" t="str">
        <f aca="false">IF(Raw_Export!$A973="","",IFERROR(VLOOKUP(LOWER(TRIM(Raw_Export!C973)),Maps!$A$2:$B$20,2,FALSE()),"UNMAPPED"))</f>
        <v>Westlands</v>
      </c>
      <c r="D973" s="36" t="str">
        <f aca="false">IF(Raw_Export!$A973="","",IFERROR(VLOOKUP(LOWER(TRIM(Raw_Export!D973)),Maps!$G$2:$I$80,2,FALSE()),"UNMAPPED"))</f>
        <v>Toothpaste 100g</v>
      </c>
      <c r="E973" s="36" t="str">
        <f aca="false">IF(Raw_Export!$A973="","",IFERROR(VLOOKUP(LOWER(TRIM(Raw_Export!D973)),Maps!$G$2:$I$80,3,FALSE()),"UNMAPPED"))</f>
        <v>Personal Care</v>
      </c>
      <c r="F973" s="36" t="n">
        <f aca="false">IF(Raw_Export!$A973="","",IFERROR(VALUE(TRIM(Raw_Export!E973)),0))</f>
        <v>2</v>
      </c>
      <c r="G973" s="38" t="n">
        <f aca="false">IF(Raw_Export!$A973="","",IFERROR(VALUE(SUBSTITUTE(SUBSTITUTE(UPPER(TRIM(Raw_Export!F973)),"KES",""),",","")),0))</f>
        <v>176</v>
      </c>
      <c r="H973" s="38" t="n">
        <f aca="false">IF(Raw_Export!$A973="","",F973*G973)</f>
        <v>352</v>
      </c>
      <c r="I973" s="36" t="str">
        <f aca="false">IF(Raw_Export!$A973="","",IFERROR(VLOOKUP(LOWER(TRIM(Raw_Export!H973)),Maps!$D$2:$E$12,2,FALSE()),"Other"))</f>
        <v>Cash</v>
      </c>
      <c r="J973" s="36" t="str">
        <f aca="false">IF(Raw_Export!$A973="","",IF(COUNTIF($A$2:A973,A973)&gt;1,"Duplicate",""))</f>
        <v/>
      </c>
      <c r="K973" s="36" t="str">
        <f aca="false">IF(Raw_Export!$A973="","",IF(J973="Duplicate","Duplicate",IF(OR(C973="UNMAPPED",D973="UNMAPPED"),"Unmapped",IF(F973=0,"Blank qty",IF(F973&lt;0,"Return","OK")))))</f>
        <v>OK</v>
      </c>
      <c r="L973" s="36" t="n">
        <f aca="false">IF(Raw_Export!$A973="","",IF(OR(K973="OK",K973="Return"),1,0))</f>
        <v>1</v>
      </c>
      <c r="M973" s="37" t="n">
        <f aca="false">IF(Raw_Export!$A973="","",B973-WEEKDAY(B973,2)+1)</f>
        <v>46265</v>
      </c>
    </row>
    <row r="974" customFormat="false" ht="15" hidden="false" customHeight="false" outlineLevel="0" collapsed="false">
      <c r="A974" s="36" t="str">
        <f aca="false">IF(Raw_Export!$A974="","",TRIM(Raw_Export!A974))</f>
        <v>TXN-100955</v>
      </c>
      <c r="B974" s="37" t="n">
        <f aca="false">IF(Raw_Export!$A974="","",IF(ISNUMBER(Raw_Export!B974),Raw_Export!B974,IF(MID(TRIM(Raw_Export!B974),5,1)="-",DATE(LEFT(TRIM(Raw_Export!B974),4),MID(TRIM(Raw_Export!B974),6,2),RIGHT(TRIM(Raw_Export!B974),2)),DATE(RIGHT(TRIM(Raw_Export!B974),4),MATCH(MID(TRIM(Raw_Export!B974),4,3),{"Jan","Feb","Mar","Apr","May","Jun","Jul","Aug","Sep","Oct","Nov","Dec"},0),LEFT(TRIM(Raw_Export!B974),2)))))</f>
        <v>46271</v>
      </c>
      <c r="C974" s="36" t="str">
        <f aca="false">IF(Raw_Export!$A974="","",IFERROR(VLOOKUP(LOWER(TRIM(Raw_Export!C974)),Maps!$A$2:$B$20,2,FALSE()),"UNMAPPED"))</f>
        <v>Westlands</v>
      </c>
      <c r="D974" s="36" t="str">
        <f aca="false">IF(Raw_Export!$A974="","",IFERROR(VLOOKUP(LOWER(TRIM(Raw_Export!D974)),Maps!$G$2:$I$80,2,FALSE()),"UNMAPPED"))</f>
        <v>Soda 500ml</v>
      </c>
      <c r="E974" s="36" t="str">
        <f aca="false">IF(Raw_Export!$A974="","",IFERROR(VLOOKUP(LOWER(TRIM(Raw_Export!D974)),Maps!$G$2:$I$80,3,FALSE()),"UNMAPPED"))</f>
        <v>Beverages</v>
      </c>
      <c r="F974" s="36" t="n">
        <f aca="false">IF(Raw_Export!$A974="","",IFERROR(VALUE(TRIM(Raw_Export!E974)),0))</f>
        <v>3</v>
      </c>
      <c r="G974" s="38" t="n">
        <f aca="false">IF(Raw_Export!$A974="","",IFERROR(VALUE(SUBSTITUTE(SUBSTITUTE(UPPER(TRIM(Raw_Export!F974)),"KES",""),",","")),0))</f>
        <v>60</v>
      </c>
      <c r="H974" s="38" t="n">
        <f aca="false">IF(Raw_Export!$A974="","",F974*G974)</f>
        <v>180</v>
      </c>
      <c r="I974" s="36" t="str">
        <f aca="false">IF(Raw_Export!$A974="","",IFERROR(VLOOKUP(LOWER(TRIM(Raw_Export!H974)),Maps!$D$2:$E$12,2,FALSE()),"Other"))</f>
        <v>M-Pesa</v>
      </c>
      <c r="J974" s="36" t="str">
        <f aca="false">IF(Raw_Export!$A974="","",IF(COUNTIF($A$2:A974,A974)&gt;1,"Duplicate",""))</f>
        <v/>
      </c>
      <c r="K974" s="36" t="str">
        <f aca="false">IF(Raw_Export!$A974="","",IF(J974="Duplicate","Duplicate",IF(OR(C974="UNMAPPED",D974="UNMAPPED"),"Unmapped",IF(F974=0,"Blank qty",IF(F974&lt;0,"Return","OK")))))</f>
        <v>OK</v>
      </c>
      <c r="L974" s="36" t="n">
        <f aca="false">IF(Raw_Export!$A974="","",IF(OR(K974="OK",K974="Return"),1,0))</f>
        <v>1</v>
      </c>
      <c r="M974" s="37" t="n">
        <f aca="false">IF(Raw_Export!$A974="","",B974-WEEKDAY(B974,2)+1)</f>
        <v>46265</v>
      </c>
    </row>
    <row r="975" customFormat="false" ht="15" hidden="false" customHeight="false" outlineLevel="0" collapsed="false">
      <c r="A975" s="36" t="str">
        <f aca="false">IF(Raw_Export!$A975="","",TRIM(Raw_Export!A975))</f>
        <v>TXN-100956</v>
      </c>
      <c r="B975" s="37" t="n">
        <f aca="false">IF(Raw_Export!$A975="","",IF(ISNUMBER(Raw_Export!B975),Raw_Export!B975,IF(MID(TRIM(Raw_Export!B975),5,1)="-",DATE(LEFT(TRIM(Raw_Export!B975),4),MID(TRIM(Raw_Export!B975),6,2),RIGHT(TRIM(Raw_Export!B975),2)),DATE(RIGHT(TRIM(Raw_Export!B975),4),MATCH(MID(TRIM(Raw_Export!B975),4,3),{"Jan","Feb","Mar","Apr","May","Jun","Jul","Aug","Sep","Oct","Nov","Dec"},0),LEFT(TRIM(Raw_Export!B975),2)))))</f>
        <v>46271</v>
      </c>
      <c r="C975" s="36" t="str">
        <f aca="false">IF(Raw_Export!$A975="","",IFERROR(VLOOKUP(LOWER(TRIM(Raw_Export!C975)),Maps!$A$2:$B$20,2,FALSE()),"UNMAPPED"))</f>
        <v>Westlands</v>
      </c>
      <c r="D975" s="36" t="str">
        <f aca="false">IF(Raw_Export!$A975="","",IFERROR(VLOOKUP(LOWER(TRIM(Raw_Export!D975)),Maps!$G$2:$I$80,2,FALSE()),"UNMAPPED"))</f>
        <v>Spaghetti 400g</v>
      </c>
      <c r="E975" s="36" t="str">
        <f aca="false">IF(Raw_Export!$A975="","",IFERROR(VLOOKUP(LOWER(TRIM(Raw_Export!D975)),Maps!$G$2:$I$80,3,FALSE()),"UNMAPPED"))</f>
        <v>Staples</v>
      </c>
      <c r="F975" s="36" t="n">
        <f aca="false">IF(Raw_Export!$A975="","",IFERROR(VALUE(TRIM(Raw_Export!E975)),0))</f>
        <v>2</v>
      </c>
      <c r="G975" s="38" t="n">
        <f aca="false">IF(Raw_Export!$A975="","",IFERROR(VALUE(SUBSTITUTE(SUBSTITUTE(UPPER(TRIM(Raw_Export!F975)),"KES",""),",","")),0))</f>
        <v>110</v>
      </c>
      <c r="H975" s="38" t="n">
        <f aca="false">IF(Raw_Export!$A975="","",F975*G975)</f>
        <v>220</v>
      </c>
      <c r="I975" s="36" t="str">
        <f aca="false">IF(Raw_Export!$A975="","",IFERROR(VLOOKUP(LOWER(TRIM(Raw_Export!H975)),Maps!$D$2:$E$12,2,FALSE()),"Other"))</f>
        <v>Cash</v>
      </c>
      <c r="J975" s="36" t="str">
        <f aca="false">IF(Raw_Export!$A975="","",IF(COUNTIF($A$2:A975,A975)&gt;1,"Duplicate",""))</f>
        <v/>
      </c>
      <c r="K975" s="36" t="str">
        <f aca="false">IF(Raw_Export!$A975="","",IF(J975="Duplicate","Duplicate",IF(OR(C975="UNMAPPED",D975="UNMAPPED"),"Unmapped",IF(F975=0,"Blank qty",IF(F975&lt;0,"Return","OK")))))</f>
        <v>OK</v>
      </c>
      <c r="L975" s="36" t="n">
        <f aca="false">IF(Raw_Export!$A975="","",IF(OR(K975="OK",K975="Return"),1,0))</f>
        <v>1</v>
      </c>
      <c r="M975" s="37" t="n">
        <f aca="false">IF(Raw_Export!$A975="","",B975-WEEKDAY(B975,2)+1)</f>
        <v>46265</v>
      </c>
    </row>
    <row r="976" customFormat="false" ht="15" hidden="false" customHeight="false" outlineLevel="0" collapsed="false">
      <c r="A976" s="36" t="str">
        <f aca="false">IF(Raw_Export!$A976="","",TRIM(Raw_Export!A976))</f>
        <v>TXN-100957</v>
      </c>
      <c r="B976" s="37" t="n">
        <f aca="false">IF(Raw_Export!$A976="","",IF(ISNUMBER(Raw_Export!B976),Raw_Export!B976,IF(MID(TRIM(Raw_Export!B976),5,1)="-",DATE(LEFT(TRIM(Raw_Export!B976),4),MID(TRIM(Raw_Export!B976),6,2),RIGHT(TRIM(Raw_Export!B976),2)),DATE(RIGHT(TRIM(Raw_Export!B976),4),MATCH(MID(TRIM(Raw_Export!B976),4,3),{"Jan","Feb","Mar","Apr","May","Jun","Jul","Aug","Sep","Oct","Nov","Dec"},0),LEFT(TRIM(Raw_Export!B976),2)))))</f>
        <v>46271</v>
      </c>
      <c r="C976" s="36" t="str">
        <f aca="false">IF(Raw_Export!$A976="","",IFERROR(VLOOKUP(LOWER(TRIM(Raw_Export!C976)),Maps!$A$2:$B$20,2,FALSE()),"UNMAPPED"))</f>
        <v>Westlands</v>
      </c>
      <c r="D976" s="36" t="str">
        <f aca="false">IF(Raw_Export!$A976="","",IFERROR(VLOOKUP(LOWER(TRIM(Raw_Export!D976)),Maps!$G$2:$I$80,2,FALSE()),"UNMAPPED"))</f>
        <v>Body Lotion 400ml</v>
      </c>
      <c r="E976" s="36" t="str">
        <f aca="false">IF(Raw_Export!$A976="","",IFERROR(VLOOKUP(LOWER(TRIM(Raw_Export!D976)),Maps!$G$2:$I$80,3,FALSE()),"UNMAPPED"))</f>
        <v>Personal Care</v>
      </c>
      <c r="F976" s="36" t="n">
        <f aca="false">IF(Raw_Export!$A976="","",IFERROR(VALUE(TRIM(Raw_Export!E976)),0))</f>
        <v>4</v>
      </c>
      <c r="G976" s="38" t="n">
        <f aca="false">IF(Raw_Export!$A976="","",IFERROR(VALUE(SUBSTITUTE(SUBSTITUTE(UPPER(TRIM(Raw_Export!F976)),"KES",""),",","")),0))</f>
        <v>420</v>
      </c>
      <c r="H976" s="38" t="n">
        <f aca="false">IF(Raw_Export!$A976="","",F976*G976)</f>
        <v>1680</v>
      </c>
      <c r="I976" s="36" t="str">
        <f aca="false">IF(Raw_Export!$A976="","",IFERROR(VLOOKUP(LOWER(TRIM(Raw_Export!H976)),Maps!$D$2:$E$12,2,FALSE()),"Other"))</f>
        <v>M-Pesa</v>
      </c>
      <c r="J976" s="36" t="str">
        <f aca="false">IF(Raw_Export!$A976="","",IF(COUNTIF($A$2:A976,A976)&gt;1,"Duplicate",""))</f>
        <v/>
      </c>
      <c r="K976" s="36" t="str">
        <f aca="false">IF(Raw_Export!$A976="","",IF(J976="Duplicate","Duplicate",IF(OR(C976="UNMAPPED",D976="UNMAPPED"),"Unmapped",IF(F976=0,"Blank qty",IF(F976&lt;0,"Return","OK")))))</f>
        <v>OK</v>
      </c>
      <c r="L976" s="36" t="n">
        <f aca="false">IF(Raw_Export!$A976="","",IF(OR(K976="OK",K976="Return"),1,0))</f>
        <v>1</v>
      </c>
      <c r="M976" s="37" t="n">
        <f aca="false">IF(Raw_Export!$A976="","",B976-WEEKDAY(B976,2)+1)</f>
        <v>46265</v>
      </c>
    </row>
    <row r="977" customFormat="false" ht="15" hidden="false" customHeight="false" outlineLevel="0" collapsed="false">
      <c r="A977" s="36" t="str">
        <f aca="false">IF(Raw_Export!$A977="","",TRIM(Raw_Export!A977))</f>
        <v>TXN-100958</v>
      </c>
      <c r="B977" s="37" t="n">
        <f aca="false">IF(Raw_Export!$A977="","",IF(ISNUMBER(Raw_Export!B977),Raw_Export!B977,IF(MID(TRIM(Raw_Export!B977),5,1)="-",DATE(LEFT(TRIM(Raw_Export!B977),4),MID(TRIM(Raw_Export!B977),6,2),RIGHT(TRIM(Raw_Export!B977),2)),DATE(RIGHT(TRIM(Raw_Export!B977),4),MATCH(MID(TRIM(Raw_Export!B977),4,3),{"Jan","Feb","Mar","Apr","May","Jun","Jul","Aug","Sep","Oct","Nov","Dec"},0),LEFT(TRIM(Raw_Export!B977),2)))))</f>
        <v>46271</v>
      </c>
      <c r="C977" s="36" t="str">
        <f aca="false">IF(Raw_Export!$A977="","",IFERROR(VLOOKUP(LOWER(TRIM(Raw_Export!C977)),Maps!$A$2:$B$20,2,FALSE()),"UNMAPPED"))</f>
        <v>Westlands</v>
      </c>
      <c r="D977" s="36" t="str">
        <f aca="false">IF(Raw_Export!$A977="","",IFERROR(VLOOKUP(LOWER(TRIM(Raw_Export!D977)),Maps!$G$2:$I$80,2,FALSE()),"UNMAPPED"))</f>
        <v>Juice 1L</v>
      </c>
      <c r="E977" s="36" t="str">
        <f aca="false">IF(Raw_Export!$A977="","",IFERROR(VLOOKUP(LOWER(TRIM(Raw_Export!D977)),Maps!$G$2:$I$80,3,FALSE()),"UNMAPPED"))</f>
        <v>Beverages</v>
      </c>
      <c r="F977" s="36" t="n">
        <f aca="false">IF(Raw_Export!$A977="","",IFERROR(VALUE(TRIM(Raw_Export!E977)),0))</f>
        <v>2</v>
      </c>
      <c r="G977" s="38" t="n">
        <f aca="false">IF(Raw_Export!$A977="","",IFERROR(VALUE(SUBSTITUTE(SUBSTITUTE(UPPER(TRIM(Raw_Export!F977)),"KES",""),",","")),0))</f>
        <v>210</v>
      </c>
      <c r="H977" s="38" t="n">
        <f aca="false">IF(Raw_Export!$A977="","",F977*G977)</f>
        <v>420</v>
      </c>
      <c r="I977" s="36" t="str">
        <f aca="false">IF(Raw_Export!$A977="","",IFERROR(VLOOKUP(LOWER(TRIM(Raw_Export!H977)),Maps!$D$2:$E$12,2,FALSE()),"Other"))</f>
        <v>M-Pesa</v>
      </c>
      <c r="J977" s="36" t="str">
        <f aca="false">IF(Raw_Export!$A977="","",IF(COUNTIF($A$2:A977,A977)&gt;1,"Duplicate",""))</f>
        <v/>
      </c>
      <c r="K977" s="36" t="str">
        <f aca="false">IF(Raw_Export!$A977="","",IF(J977="Duplicate","Duplicate",IF(OR(C977="UNMAPPED",D977="UNMAPPED"),"Unmapped",IF(F977=0,"Blank qty",IF(F977&lt;0,"Return","OK")))))</f>
        <v>OK</v>
      </c>
      <c r="L977" s="36" t="n">
        <f aca="false">IF(Raw_Export!$A977="","",IF(OR(K977="OK",K977="Return"),1,0))</f>
        <v>1</v>
      </c>
      <c r="M977" s="37" t="n">
        <f aca="false">IF(Raw_Export!$A977="","",B977-WEEKDAY(B977,2)+1)</f>
        <v>46265</v>
      </c>
    </row>
    <row r="978" customFormat="false" ht="15" hidden="false" customHeight="false" outlineLevel="0" collapsed="false">
      <c r="A978" s="36" t="str">
        <f aca="false">IF(Raw_Export!$A978="","",TRIM(Raw_Export!A978))</f>
        <v>TXN-100959</v>
      </c>
      <c r="B978" s="37" t="n">
        <f aca="false">IF(Raw_Export!$A978="","",IF(ISNUMBER(Raw_Export!B978),Raw_Export!B978,IF(MID(TRIM(Raw_Export!B978),5,1)="-",DATE(LEFT(TRIM(Raw_Export!B978),4),MID(TRIM(Raw_Export!B978),6,2),RIGHT(TRIM(Raw_Export!B978),2)),DATE(RIGHT(TRIM(Raw_Export!B978),4),MATCH(MID(TRIM(Raw_Export!B978),4,3),{"Jan","Feb","Mar","Apr","May","Jun","Jul","Aug","Sep","Oct","Nov","Dec"},0),LEFT(TRIM(Raw_Export!B978),2)))))</f>
        <v>46271</v>
      </c>
      <c r="C978" s="36" t="str">
        <f aca="false">IF(Raw_Export!$A978="","",IFERROR(VLOOKUP(LOWER(TRIM(Raw_Export!C978)),Maps!$A$2:$B$20,2,FALSE()),"UNMAPPED"))</f>
        <v>Westlands</v>
      </c>
      <c r="D978" s="36" t="str">
        <f aca="false">IF(Raw_Export!$A978="","",IFERROR(VLOOKUP(LOWER(TRIM(Raw_Export!D978)),Maps!$G$2:$I$80,2,FALSE()),"UNMAPPED"))</f>
        <v>Washing Powder 1kg</v>
      </c>
      <c r="E978" s="36" t="str">
        <f aca="false">IF(Raw_Export!$A978="","",IFERROR(VLOOKUP(LOWER(TRIM(Raw_Export!D978)),Maps!$G$2:$I$80,3,FALSE()),"UNMAPPED"))</f>
        <v>Household</v>
      </c>
      <c r="F978" s="36" t="n">
        <f aca="false">IF(Raw_Export!$A978="","",IFERROR(VALUE(TRIM(Raw_Export!E978)),0))</f>
        <v>1</v>
      </c>
      <c r="G978" s="38" t="n">
        <f aca="false">IF(Raw_Export!$A978="","",IFERROR(VALUE(SUBSTITUTE(SUBSTITUTE(UPPER(TRIM(Raw_Export!F978)),"KES",""),",","")),0))</f>
        <v>280</v>
      </c>
      <c r="H978" s="38" t="n">
        <f aca="false">IF(Raw_Export!$A978="","",F978*G978)</f>
        <v>280</v>
      </c>
      <c r="I978" s="36" t="str">
        <f aca="false">IF(Raw_Export!$A978="","",IFERROR(VLOOKUP(LOWER(TRIM(Raw_Export!H978)),Maps!$D$2:$E$12,2,FALSE()),"Other"))</f>
        <v>Card</v>
      </c>
      <c r="J978" s="36" t="str">
        <f aca="false">IF(Raw_Export!$A978="","",IF(COUNTIF($A$2:A978,A978)&gt;1,"Duplicate",""))</f>
        <v/>
      </c>
      <c r="K978" s="36" t="str">
        <f aca="false">IF(Raw_Export!$A978="","",IF(J978="Duplicate","Duplicate",IF(OR(C978="UNMAPPED",D978="UNMAPPED"),"Unmapped",IF(F978=0,"Blank qty",IF(F978&lt;0,"Return","OK")))))</f>
        <v>OK</v>
      </c>
      <c r="L978" s="36" t="n">
        <f aca="false">IF(Raw_Export!$A978="","",IF(OR(K978="OK",K978="Return"),1,0))</f>
        <v>1</v>
      </c>
      <c r="M978" s="37" t="n">
        <f aca="false">IF(Raw_Export!$A978="","",B978-WEEKDAY(B978,2)+1)</f>
        <v>46265</v>
      </c>
    </row>
    <row r="979" customFormat="false" ht="15" hidden="false" customHeight="false" outlineLevel="0" collapsed="false">
      <c r="A979" s="36" t="str">
        <f aca="false">IF(Raw_Export!$A979="","",TRIM(Raw_Export!A979))</f>
        <v>TXN-100960</v>
      </c>
      <c r="B979" s="37" t="n">
        <f aca="false">IF(Raw_Export!$A979="","",IF(ISNUMBER(Raw_Export!B979),Raw_Export!B979,IF(MID(TRIM(Raw_Export!B979),5,1)="-",DATE(LEFT(TRIM(Raw_Export!B979),4),MID(TRIM(Raw_Export!B979),6,2),RIGHT(TRIM(Raw_Export!B979),2)),DATE(RIGHT(TRIM(Raw_Export!B979),4),MATCH(MID(TRIM(Raw_Export!B979),4,3),{"Jan","Feb","Mar","Apr","May","Jun","Jul","Aug","Sep","Oct","Nov","Dec"},0),LEFT(TRIM(Raw_Export!B979),2)))))</f>
        <v>46271</v>
      </c>
      <c r="C979" s="36" t="str">
        <f aca="false">IF(Raw_Export!$A979="","",IFERROR(VLOOKUP(LOWER(TRIM(Raw_Export!C979)),Maps!$A$2:$B$20,2,FALSE()),"UNMAPPED"))</f>
        <v>Westlands</v>
      </c>
      <c r="D979" s="36" t="str">
        <f aca="false">IF(Raw_Export!$A979="","",IFERROR(VLOOKUP(LOWER(TRIM(Raw_Export!D979)),Maps!$G$2:$I$80,2,FALSE()),"UNMAPPED"))</f>
        <v>Biscuits 200g</v>
      </c>
      <c r="E979" s="36" t="str">
        <f aca="false">IF(Raw_Export!$A979="","",IFERROR(VLOOKUP(LOWER(TRIM(Raw_Export!D979)),Maps!$G$2:$I$80,3,FALSE()),"UNMAPPED"))</f>
        <v>Snacks</v>
      </c>
      <c r="F979" s="36" t="n">
        <f aca="false">IF(Raw_Export!$A979="","",IFERROR(VALUE(TRIM(Raw_Export!E979)),0))</f>
        <v>1</v>
      </c>
      <c r="G979" s="38" t="n">
        <f aca="false">IF(Raw_Export!$A979="","",IFERROR(VALUE(SUBSTITUTE(SUBSTITUTE(UPPER(TRIM(Raw_Export!F979)),"KES",""),",","")),0))</f>
        <v>95</v>
      </c>
      <c r="H979" s="38" t="n">
        <f aca="false">IF(Raw_Export!$A979="","",F979*G979)</f>
        <v>95</v>
      </c>
      <c r="I979" s="36" t="str">
        <f aca="false">IF(Raw_Export!$A979="","",IFERROR(VLOOKUP(LOWER(TRIM(Raw_Export!H979)),Maps!$D$2:$E$12,2,FALSE()),"Other"))</f>
        <v>M-Pesa</v>
      </c>
      <c r="J979" s="36" t="str">
        <f aca="false">IF(Raw_Export!$A979="","",IF(COUNTIF($A$2:A979,A979)&gt;1,"Duplicate",""))</f>
        <v/>
      </c>
      <c r="K979" s="36" t="str">
        <f aca="false">IF(Raw_Export!$A979="","",IF(J979="Duplicate","Duplicate",IF(OR(C979="UNMAPPED",D979="UNMAPPED"),"Unmapped",IF(F979=0,"Blank qty",IF(F979&lt;0,"Return","OK")))))</f>
        <v>OK</v>
      </c>
      <c r="L979" s="36" t="n">
        <f aca="false">IF(Raw_Export!$A979="","",IF(OR(K979="OK",K979="Return"),1,0))</f>
        <v>1</v>
      </c>
      <c r="M979" s="37" t="n">
        <f aca="false">IF(Raw_Export!$A979="","",B979-WEEKDAY(B979,2)+1)</f>
        <v>46265</v>
      </c>
    </row>
    <row r="980" customFormat="false" ht="15" hidden="false" customHeight="false" outlineLevel="0" collapsed="false">
      <c r="A980" s="36" t="str">
        <f aca="false">IF(Raw_Export!$A980="","",TRIM(Raw_Export!A980))</f>
        <v>TXN-100961</v>
      </c>
      <c r="B980" s="37" t="n">
        <f aca="false">IF(Raw_Export!$A980="","",IF(ISNUMBER(Raw_Export!B980),Raw_Export!B980,IF(MID(TRIM(Raw_Export!B980),5,1)="-",DATE(LEFT(TRIM(Raw_Export!B980),4),MID(TRIM(Raw_Export!B980),6,2),RIGHT(TRIM(Raw_Export!B980),2)),DATE(RIGHT(TRIM(Raw_Export!B980),4),MATCH(MID(TRIM(Raw_Export!B980),4,3),{"Jan","Feb","Mar","Apr","May","Jun","Jul","Aug","Sep","Oct","Nov","Dec"},0),LEFT(TRIM(Raw_Export!B980),2)))))</f>
        <v>46271</v>
      </c>
      <c r="C980" s="36" t="str">
        <f aca="false">IF(Raw_Export!$A980="","",IFERROR(VLOOKUP(LOWER(TRIM(Raw_Export!C980)),Maps!$A$2:$B$20,2,FALSE()),"UNMAPPED"))</f>
        <v>Westlands</v>
      </c>
      <c r="D980" s="36" t="str">
        <f aca="false">IF(Raw_Export!$A980="","",IFERROR(VLOOKUP(LOWER(TRIM(Raw_Export!D980)),Maps!$G$2:$I$80,2,FALSE()),"UNMAPPED"))</f>
        <v>Chocolate Bar 90g</v>
      </c>
      <c r="E980" s="36" t="str">
        <f aca="false">IF(Raw_Export!$A980="","",IFERROR(VLOOKUP(LOWER(TRIM(Raw_Export!D980)),Maps!$G$2:$I$80,3,FALSE()),"UNMAPPED"))</f>
        <v>Snacks</v>
      </c>
      <c r="F980" s="36" t="n">
        <f aca="false">IF(Raw_Export!$A980="","",IFERROR(VALUE(TRIM(Raw_Export!E980)),0))</f>
        <v>2</v>
      </c>
      <c r="G980" s="38" t="n">
        <f aca="false">IF(Raw_Export!$A980="","",IFERROR(VALUE(SUBSTITUTE(SUBSTITUTE(UPPER(TRIM(Raw_Export!F980)),"KES",""),",","")),0))</f>
        <v>140</v>
      </c>
      <c r="H980" s="38" t="n">
        <f aca="false">IF(Raw_Export!$A980="","",F980*G980)</f>
        <v>280</v>
      </c>
      <c r="I980" s="36" t="str">
        <f aca="false">IF(Raw_Export!$A980="","",IFERROR(VLOOKUP(LOWER(TRIM(Raw_Export!H980)),Maps!$D$2:$E$12,2,FALSE()),"Other"))</f>
        <v>M-Pesa</v>
      </c>
      <c r="J980" s="36" t="str">
        <f aca="false">IF(Raw_Export!$A980="","",IF(COUNTIF($A$2:A980,A980)&gt;1,"Duplicate",""))</f>
        <v/>
      </c>
      <c r="K980" s="36" t="str">
        <f aca="false">IF(Raw_Export!$A980="","",IF(J980="Duplicate","Duplicate",IF(OR(C980="UNMAPPED",D980="UNMAPPED"),"Unmapped",IF(F980=0,"Blank qty",IF(F980&lt;0,"Return","OK")))))</f>
        <v>OK</v>
      </c>
      <c r="L980" s="36" t="n">
        <f aca="false">IF(Raw_Export!$A980="","",IF(OR(K980="OK",K980="Return"),1,0))</f>
        <v>1</v>
      </c>
      <c r="M980" s="37" t="n">
        <f aca="false">IF(Raw_Export!$A980="","",B980-WEEKDAY(B980,2)+1)</f>
        <v>46265</v>
      </c>
    </row>
    <row r="981" customFormat="false" ht="15" hidden="false" customHeight="false" outlineLevel="0" collapsed="false">
      <c r="A981" s="36" t="str">
        <f aca="false">IF(Raw_Export!$A981="","",TRIM(Raw_Export!A981))</f>
        <v>TXN-100962</v>
      </c>
      <c r="B981" s="37" t="n">
        <f aca="false">IF(Raw_Export!$A981="","",IF(ISNUMBER(Raw_Export!B981),Raw_Export!B981,IF(MID(TRIM(Raw_Export!B981),5,1)="-",DATE(LEFT(TRIM(Raw_Export!B981),4),MID(TRIM(Raw_Export!B981),6,2),RIGHT(TRIM(Raw_Export!B981),2)),DATE(RIGHT(TRIM(Raw_Export!B981),4),MATCH(MID(TRIM(Raw_Export!B981),4,3),{"Jan","Feb","Mar","Apr","May","Jun","Jul","Aug","Sep","Oct","Nov","Dec"},0),LEFT(TRIM(Raw_Export!B981),2)))))</f>
        <v>46271</v>
      </c>
      <c r="C981" s="36" t="str">
        <f aca="false">IF(Raw_Export!$A981="","",IFERROR(VLOOKUP(LOWER(TRIM(Raw_Export!C981)),Maps!$A$2:$B$20,2,FALSE()),"UNMAPPED"))</f>
        <v>Westlands</v>
      </c>
      <c r="D981" s="36" t="str">
        <f aca="false">IF(Raw_Export!$A981="","",IFERROR(VLOOKUP(LOWER(TRIM(Raw_Export!D981)),Maps!$G$2:$I$80,2,FALSE()),"UNMAPPED"))</f>
        <v>Body Lotion 400ml</v>
      </c>
      <c r="E981" s="36" t="str">
        <f aca="false">IF(Raw_Export!$A981="","",IFERROR(VLOOKUP(LOWER(TRIM(Raw_Export!D981)),Maps!$G$2:$I$80,3,FALSE()),"UNMAPPED"))</f>
        <v>Personal Care</v>
      </c>
      <c r="F981" s="36" t="n">
        <f aca="false">IF(Raw_Export!$A981="","",IFERROR(VALUE(TRIM(Raw_Export!E981)),0))</f>
        <v>3</v>
      </c>
      <c r="G981" s="38" t="n">
        <f aca="false">IF(Raw_Export!$A981="","",IFERROR(VALUE(SUBSTITUTE(SUBSTITUTE(UPPER(TRIM(Raw_Export!F981)),"KES",""),",","")),0))</f>
        <v>420</v>
      </c>
      <c r="H981" s="38" t="n">
        <f aca="false">IF(Raw_Export!$A981="","",F981*G981)</f>
        <v>1260</v>
      </c>
      <c r="I981" s="36" t="str">
        <f aca="false">IF(Raw_Export!$A981="","",IFERROR(VLOOKUP(LOWER(TRIM(Raw_Export!H981)),Maps!$D$2:$E$12,2,FALSE()),"Other"))</f>
        <v>M-Pesa</v>
      </c>
      <c r="J981" s="36" t="str">
        <f aca="false">IF(Raw_Export!$A981="","",IF(COUNTIF($A$2:A981,A981)&gt;1,"Duplicate",""))</f>
        <v/>
      </c>
      <c r="K981" s="36" t="str">
        <f aca="false">IF(Raw_Export!$A981="","",IF(J981="Duplicate","Duplicate",IF(OR(C981="UNMAPPED",D981="UNMAPPED"),"Unmapped",IF(F981=0,"Blank qty",IF(F981&lt;0,"Return","OK")))))</f>
        <v>OK</v>
      </c>
      <c r="L981" s="36" t="n">
        <f aca="false">IF(Raw_Export!$A981="","",IF(OR(K981="OK",K981="Return"),1,0))</f>
        <v>1</v>
      </c>
      <c r="M981" s="37" t="n">
        <f aca="false">IF(Raw_Export!$A981="","",B981-WEEKDAY(B981,2)+1)</f>
        <v>46265</v>
      </c>
    </row>
    <row r="982" customFormat="false" ht="15" hidden="false" customHeight="false" outlineLevel="0" collapsed="false">
      <c r="A982" s="36" t="str">
        <f aca="false">IF(Raw_Export!$A982="","",TRIM(Raw_Export!A982))</f>
        <v>TXN-100963</v>
      </c>
      <c r="B982" s="37" t="n">
        <f aca="false">IF(Raw_Export!$A982="","",IF(ISNUMBER(Raw_Export!B982),Raw_Export!B982,IF(MID(TRIM(Raw_Export!B982),5,1)="-",DATE(LEFT(TRIM(Raw_Export!B982),4),MID(TRIM(Raw_Export!B982),6,2),RIGHT(TRIM(Raw_Export!B982),2)),DATE(RIGHT(TRIM(Raw_Export!B982),4),MATCH(MID(TRIM(Raw_Export!B982),4,3),{"Jan","Feb","Mar","Apr","May","Jun","Jul","Aug","Sep","Oct","Nov","Dec"},0),LEFT(TRIM(Raw_Export!B982),2)))))</f>
        <v>46271</v>
      </c>
      <c r="C982" s="36" t="str">
        <f aca="false">IF(Raw_Export!$A982="","",IFERROR(VLOOKUP(LOWER(TRIM(Raw_Export!C982)),Maps!$A$2:$B$20,2,FALSE()),"UNMAPPED"))</f>
        <v>Westlands</v>
      </c>
      <c r="D982" s="36" t="str">
        <f aca="false">IF(Raw_Export!$A982="","",IFERROR(VLOOKUP(LOWER(TRIM(Raw_Export!D982)),Maps!$G$2:$I$80,2,FALSE()),"UNMAPPED"))</f>
        <v>Butter 250g</v>
      </c>
      <c r="E982" s="36" t="str">
        <f aca="false">IF(Raw_Export!$A982="","",IFERROR(VLOOKUP(LOWER(TRIM(Raw_Export!D982)),Maps!$G$2:$I$80,3,FALSE()),"UNMAPPED"))</f>
        <v>Dairy &amp; Eggs</v>
      </c>
      <c r="F982" s="36" t="n">
        <f aca="false">IF(Raw_Export!$A982="","",IFERROR(VALUE(TRIM(Raw_Export!E982)),0))</f>
        <v>3</v>
      </c>
      <c r="G982" s="38" t="n">
        <f aca="false">IF(Raw_Export!$A982="","",IFERROR(VALUE(SUBSTITUTE(SUBSTITUTE(UPPER(TRIM(Raw_Export!F982)),"KES",""),",","")),0))</f>
        <v>310</v>
      </c>
      <c r="H982" s="38" t="n">
        <f aca="false">IF(Raw_Export!$A982="","",F982*G982)</f>
        <v>930</v>
      </c>
      <c r="I982" s="36" t="str">
        <f aca="false">IF(Raw_Export!$A982="","",IFERROR(VLOOKUP(LOWER(TRIM(Raw_Export!H982)),Maps!$D$2:$E$12,2,FALSE()),"Other"))</f>
        <v>M-Pesa</v>
      </c>
      <c r="J982" s="36" t="str">
        <f aca="false">IF(Raw_Export!$A982="","",IF(COUNTIF($A$2:A982,A982)&gt;1,"Duplicate",""))</f>
        <v/>
      </c>
      <c r="K982" s="36" t="str">
        <f aca="false">IF(Raw_Export!$A982="","",IF(J982="Duplicate","Duplicate",IF(OR(C982="UNMAPPED",D982="UNMAPPED"),"Unmapped",IF(F982=0,"Blank qty",IF(F982&lt;0,"Return","OK")))))</f>
        <v>OK</v>
      </c>
      <c r="L982" s="36" t="n">
        <f aca="false">IF(Raw_Export!$A982="","",IF(OR(K982="OK",K982="Return"),1,0))</f>
        <v>1</v>
      </c>
      <c r="M982" s="37" t="n">
        <f aca="false">IF(Raw_Export!$A982="","",B982-WEEKDAY(B982,2)+1)</f>
        <v>46265</v>
      </c>
    </row>
    <row r="983" customFormat="false" ht="15" hidden="false" customHeight="false" outlineLevel="0" collapsed="false">
      <c r="A983" s="36" t="str">
        <f aca="false">IF(Raw_Export!$A983="","",TRIM(Raw_Export!A983))</f>
        <v>TXN-100964</v>
      </c>
      <c r="B983" s="37" t="n">
        <f aca="false">IF(Raw_Export!$A983="","",IF(ISNUMBER(Raw_Export!B983),Raw_Export!B983,IF(MID(TRIM(Raw_Export!B983),5,1)="-",DATE(LEFT(TRIM(Raw_Export!B983),4),MID(TRIM(Raw_Export!B983),6,2),RIGHT(TRIM(Raw_Export!B983),2)),DATE(RIGHT(TRIM(Raw_Export!B983),4),MATCH(MID(TRIM(Raw_Export!B983),4,3),{"Jan","Feb","Mar","Apr","May","Jun","Jul","Aug","Sep","Oct","Nov","Dec"},0),LEFT(TRIM(Raw_Export!B983),2)))))</f>
        <v>46271</v>
      </c>
      <c r="C983" s="36" t="str">
        <f aca="false">IF(Raw_Export!$A983="","",IFERROR(VLOOKUP(LOWER(TRIM(Raw_Export!C983)),Maps!$A$2:$B$20,2,FALSE()),"UNMAPPED"))</f>
        <v>Westlands</v>
      </c>
      <c r="D983" s="36" t="str">
        <f aca="false">IF(Raw_Export!$A983="","",IFERROR(VLOOKUP(LOWER(TRIM(Raw_Export!D983)),Maps!$G$2:$I$80,2,FALSE()),"UNMAPPED"))</f>
        <v>Bath Soap 175g</v>
      </c>
      <c r="E983" s="36" t="str">
        <f aca="false">IF(Raw_Export!$A983="","",IFERROR(VLOOKUP(LOWER(TRIM(Raw_Export!D983)),Maps!$G$2:$I$80,3,FALSE()),"UNMAPPED"))</f>
        <v>Personal Care</v>
      </c>
      <c r="F983" s="36" t="n">
        <f aca="false">IF(Raw_Export!$A983="","",IFERROR(VALUE(TRIM(Raw_Export!E983)),0))</f>
        <v>4</v>
      </c>
      <c r="G983" s="38" t="n">
        <f aca="false">IF(Raw_Export!$A983="","",IFERROR(VALUE(SUBSTITUTE(SUBSTITUTE(UPPER(TRIM(Raw_Export!F983)),"KES",""),",","")),0))</f>
        <v>76</v>
      </c>
      <c r="H983" s="38" t="n">
        <f aca="false">IF(Raw_Export!$A983="","",F983*G983)</f>
        <v>304</v>
      </c>
      <c r="I983" s="36" t="str">
        <f aca="false">IF(Raw_Export!$A983="","",IFERROR(VLOOKUP(LOWER(TRIM(Raw_Export!H983)),Maps!$D$2:$E$12,2,FALSE()),"Other"))</f>
        <v>M-Pesa</v>
      </c>
      <c r="J983" s="36" t="str">
        <f aca="false">IF(Raw_Export!$A983="","",IF(COUNTIF($A$2:A983,A983)&gt;1,"Duplicate",""))</f>
        <v/>
      </c>
      <c r="K983" s="36" t="str">
        <f aca="false">IF(Raw_Export!$A983="","",IF(J983="Duplicate","Duplicate",IF(OR(C983="UNMAPPED",D983="UNMAPPED"),"Unmapped",IF(F983=0,"Blank qty",IF(F983&lt;0,"Return","OK")))))</f>
        <v>OK</v>
      </c>
      <c r="L983" s="36" t="n">
        <f aca="false">IF(Raw_Export!$A983="","",IF(OR(K983="OK",K983="Return"),1,0))</f>
        <v>1</v>
      </c>
      <c r="M983" s="37" t="n">
        <f aca="false">IF(Raw_Export!$A983="","",B983-WEEKDAY(B983,2)+1)</f>
        <v>46265</v>
      </c>
    </row>
    <row r="984" customFormat="false" ht="15" hidden="false" customHeight="false" outlineLevel="0" collapsed="false">
      <c r="A984" s="36" t="str">
        <f aca="false">IF(Raw_Export!$A984="","",TRIM(Raw_Export!A984))</f>
        <v>TXN-100965</v>
      </c>
      <c r="B984" s="37" t="n">
        <f aca="false">IF(Raw_Export!$A984="","",IF(ISNUMBER(Raw_Export!B984),Raw_Export!B984,IF(MID(TRIM(Raw_Export!B984),5,1)="-",DATE(LEFT(TRIM(Raw_Export!B984),4),MID(TRIM(Raw_Export!B984),6,2),RIGHT(TRIM(Raw_Export!B984),2)),DATE(RIGHT(TRIM(Raw_Export!B984),4),MATCH(MID(TRIM(Raw_Export!B984),4,3),{"Jan","Feb","Mar","Apr","May","Jun","Jul","Aug","Sep","Oct","Nov","Dec"},0),LEFT(TRIM(Raw_Export!B984),2)))))</f>
        <v>46271</v>
      </c>
      <c r="C984" s="36" t="str">
        <f aca="false">IF(Raw_Export!$A984="","",IFERROR(VLOOKUP(LOWER(TRIM(Raw_Export!C984)),Maps!$A$2:$B$20,2,FALSE()),"UNMAPPED"))</f>
        <v>Westlands</v>
      </c>
      <c r="D984" s="36" t="str">
        <f aca="false">IF(Raw_Export!$A984="","",IFERROR(VLOOKUP(LOWER(TRIM(Raw_Export!D984)),Maps!$G$2:$I$80,2,FALSE()),"UNMAPPED"))</f>
        <v>Butter 250g</v>
      </c>
      <c r="E984" s="36" t="str">
        <f aca="false">IF(Raw_Export!$A984="","",IFERROR(VLOOKUP(LOWER(TRIM(Raw_Export!D984)),Maps!$G$2:$I$80,3,FALSE()),"UNMAPPED"))</f>
        <v>Dairy &amp; Eggs</v>
      </c>
      <c r="F984" s="36" t="n">
        <f aca="false">IF(Raw_Export!$A984="","",IFERROR(VALUE(TRIM(Raw_Export!E984)),0))</f>
        <v>1</v>
      </c>
      <c r="G984" s="38" t="n">
        <f aca="false">IF(Raw_Export!$A984="","",IFERROR(VALUE(SUBSTITUTE(SUBSTITUTE(UPPER(TRIM(Raw_Export!F984)),"KES",""),",","")),0))</f>
        <v>310</v>
      </c>
      <c r="H984" s="38" t="n">
        <f aca="false">IF(Raw_Export!$A984="","",F984*G984)</f>
        <v>310</v>
      </c>
      <c r="I984" s="36" t="str">
        <f aca="false">IF(Raw_Export!$A984="","",IFERROR(VLOOKUP(LOWER(TRIM(Raw_Export!H984)),Maps!$D$2:$E$12,2,FALSE()),"Other"))</f>
        <v>M-Pesa</v>
      </c>
      <c r="J984" s="36" t="str">
        <f aca="false">IF(Raw_Export!$A984="","",IF(COUNTIF($A$2:A984,A984)&gt;1,"Duplicate",""))</f>
        <v/>
      </c>
      <c r="K984" s="36" t="str">
        <f aca="false">IF(Raw_Export!$A984="","",IF(J984="Duplicate","Duplicate",IF(OR(C984="UNMAPPED",D984="UNMAPPED"),"Unmapped",IF(F984=0,"Blank qty",IF(F984&lt;0,"Return","OK")))))</f>
        <v>OK</v>
      </c>
      <c r="L984" s="36" t="n">
        <f aca="false">IF(Raw_Export!$A984="","",IF(OR(K984="OK",K984="Return"),1,0))</f>
        <v>1</v>
      </c>
      <c r="M984" s="37" t="n">
        <f aca="false">IF(Raw_Export!$A984="","",B984-WEEKDAY(B984,2)+1)</f>
        <v>46265</v>
      </c>
    </row>
    <row r="985" customFormat="false" ht="15" hidden="false" customHeight="false" outlineLevel="0" collapsed="false">
      <c r="A985" s="36" t="str">
        <f aca="false">IF(Raw_Export!$A985="","",TRIM(Raw_Export!A985))</f>
        <v>TXN-100966</v>
      </c>
      <c r="B985" s="37" t="n">
        <f aca="false">IF(Raw_Export!$A985="","",IF(ISNUMBER(Raw_Export!B985),Raw_Export!B985,IF(MID(TRIM(Raw_Export!B985),5,1)="-",DATE(LEFT(TRIM(Raw_Export!B985),4),MID(TRIM(Raw_Export!B985),6,2),RIGHT(TRIM(Raw_Export!B985),2)),DATE(RIGHT(TRIM(Raw_Export!B985),4),MATCH(MID(TRIM(Raw_Export!B985),4,3),{"Jan","Feb","Mar","Apr","May","Jun","Jul","Aug","Sep","Oct","Nov","Dec"},0),LEFT(TRIM(Raw_Export!B985),2)))))</f>
        <v>46271</v>
      </c>
      <c r="C985" s="36" t="str">
        <f aca="false">IF(Raw_Export!$A985="","",IFERROR(VLOOKUP(LOWER(TRIM(Raw_Export!C985)),Maps!$A$2:$B$20,2,FALSE()),"UNMAPPED"))</f>
        <v>Westlands</v>
      </c>
      <c r="D985" s="36" t="str">
        <f aca="false">IF(Raw_Export!$A985="","",IFERROR(VLOOKUP(LOWER(TRIM(Raw_Export!D985)),Maps!$G$2:$I$80,2,FALSE()),"UNMAPPED"))</f>
        <v>Cooking Oil 1L</v>
      </c>
      <c r="E985" s="36" t="str">
        <f aca="false">IF(Raw_Export!$A985="","",IFERROR(VLOOKUP(LOWER(TRIM(Raw_Export!D985)),Maps!$G$2:$I$80,3,FALSE()),"UNMAPPED"))</f>
        <v>Staples</v>
      </c>
      <c r="F985" s="36" t="n">
        <f aca="false">IF(Raw_Export!$A985="","",IFERROR(VALUE(TRIM(Raw_Export!E985)),0))</f>
        <v>1</v>
      </c>
      <c r="G985" s="38" t="n">
        <f aca="false">IF(Raw_Export!$A985="","",IFERROR(VALUE(SUBSTITUTE(SUBSTITUTE(UPPER(TRIM(Raw_Export!F985)),"KES",""),",","")),0))</f>
        <v>330</v>
      </c>
      <c r="H985" s="38" t="n">
        <f aca="false">IF(Raw_Export!$A985="","",F985*G985)</f>
        <v>330</v>
      </c>
      <c r="I985" s="36" t="str">
        <f aca="false">IF(Raw_Export!$A985="","",IFERROR(VLOOKUP(LOWER(TRIM(Raw_Export!H985)),Maps!$D$2:$E$12,2,FALSE()),"Other"))</f>
        <v>Card</v>
      </c>
      <c r="J985" s="36" t="str">
        <f aca="false">IF(Raw_Export!$A985="","",IF(COUNTIF($A$2:A985,A985)&gt;1,"Duplicate",""))</f>
        <v/>
      </c>
      <c r="K985" s="36" t="str">
        <f aca="false">IF(Raw_Export!$A985="","",IF(J985="Duplicate","Duplicate",IF(OR(C985="UNMAPPED",D985="UNMAPPED"),"Unmapped",IF(F985=0,"Blank qty",IF(F985&lt;0,"Return","OK")))))</f>
        <v>OK</v>
      </c>
      <c r="L985" s="36" t="n">
        <f aca="false">IF(Raw_Export!$A985="","",IF(OR(K985="OK",K985="Return"),1,0))</f>
        <v>1</v>
      </c>
      <c r="M985" s="37" t="n">
        <f aca="false">IF(Raw_Export!$A985="","",B985-WEEKDAY(B985,2)+1)</f>
        <v>46265</v>
      </c>
    </row>
    <row r="986" customFormat="false" ht="15" hidden="false" customHeight="false" outlineLevel="0" collapsed="false">
      <c r="A986" s="36" t="str">
        <f aca="false">IF(Raw_Export!$A986="","",TRIM(Raw_Export!A986))</f>
        <v>TXN-100967</v>
      </c>
      <c r="B986" s="37" t="n">
        <f aca="false">IF(Raw_Export!$A986="","",IF(ISNUMBER(Raw_Export!B986),Raw_Export!B986,IF(MID(TRIM(Raw_Export!B986),5,1)="-",DATE(LEFT(TRIM(Raw_Export!B986),4),MID(TRIM(Raw_Export!B986),6,2),RIGHT(TRIM(Raw_Export!B986),2)),DATE(RIGHT(TRIM(Raw_Export!B986),4),MATCH(MID(TRIM(Raw_Export!B986),4,3),{"Jan","Feb","Mar","Apr","May","Jun","Jul","Aug","Sep","Oct","Nov","Dec"},0),LEFT(TRIM(Raw_Export!B986),2)))))</f>
        <v>46271</v>
      </c>
      <c r="C986" s="36" t="str">
        <f aca="false">IF(Raw_Export!$A986="","",IFERROR(VLOOKUP(LOWER(TRIM(Raw_Export!C986)),Maps!$A$2:$B$20,2,FALSE()),"UNMAPPED"))</f>
        <v>Westlands</v>
      </c>
      <c r="D986" s="36" t="str">
        <f aca="false">IF(Raw_Export!$A986="","",IFERROR(VLOOKUP(LOWER(TRIM(Raw_Export!D986)),Maps!$G$2:$I$80,2,FALSE()),"UNMAPPED"))</f>
        <v>Eggs Tray 30</v>
      </c>
      <c r="E986" s="36" t="str">
        <f aca="false">IF(Raw_Export!$A986="","",IFERROR(VLOOKUP(LOWER(TRIM(Raw_Export!D986)),Maps!$G$2:$I$80,3,FALSE()),"UNMAPPED"))</f>
        <v>Dairy &amp; Eggs</v>
      </c>
      <c r="F986" s="36" t="n">
        <f aca="false">IF(Raw_Export!$A986="","",IFERROR(VALUE(TRIM(Raw_Export!E986)),0))</f>
        <v>2</v>
      </c>
      <c r="G986" s="38" t="n">
        <f aca="false">IF(Raw_Export!$A986="","",IFERROR(VALUE(SUBSTITUTE(SUBSTITUTE(UPPER(TRIM(Raw_Export!F986)),"KES",""),",","")),0))</f>
        <v>450</v>
      </c>
      <c r="H986" s="38" t="n">
        <f aca="false">IF(Raw_Export!$A986="","",F986*G986)</f>
        <v>900</v>
      </c>
      <c r="I986" s="36" t="str">
        <f aca="false">IF(Raw_Export!$A986="","",IFERROR(VLOOKUP(LOWER(TRIM(Raw_Export!H986)),Maps!$D$2:$E$12,2,FALSE()),"Other"))</f>
        <v>M-Pesa</v>
      </c>
      <c r="J986" s="36" t="str">
        <f aca="false">IF(Raw_Export!$A986="","",IF(COUNTIF($A$2:A986,A986)&gt;1,"Duplicate",""))</f>
        <v/>
      </c>
      <c r="K986" s="36" t="str">
        <f aca="false">IF(Raw_Export!$A986="","",IF(J986="Duplicate","Duplicate",IF(OR(C986="UNMAPPED",D986="UNMAPPED"),"Unmapped",IF(F986=0,"Blank qty",IF(F986&lt;0,"Return","OK")))))</f>
        <v>OK</v>
      </c>
      <c r="L986" s="36" t="n">
        <f aca="false">IF(Raw_Export!$A986="","",IF(OR(K986="OK",K986="Return"),1,0))</f>
        <v>1</v>
      </c>
      <c r="M986" s="37" t="n">
        <f aca="false">IF(Raw_Export!$A986="","",B986-WEEKDAY(B986,2)+1)</f>
        <v>46265</v>
      </c>
    </row>
    <row r="987" customFormat="false" ht="15" hidden="false" customHeight="false" outlineLevel="0" collapsed="false">
      <c r="A987" s="36" t="str">
        <f aca="false">IF(Raw_Export!$A987="","",TRIM(Raw_Export!A987))</f>
        <v>TXN-100968</v>
      </c>
      <c r="B987" s="37" t="n">
        <f aca="false">IF(Raw_Export!$A987="","",IF(ISNUMBER(Raw_Export!B987),Raw_Export!B987,IF(MID(TRIM(Raw_Export!B987),5,1)="-",DATE(LEFT(TRIM(Raw_Export!B987),4),MID(TRIM(Raw_Export!B987),6,2),RIGHT(TRIM(Raw_Export!B987),2)),DATE(RIGHT(TRIM(Raw_Export!B987),4),MATCH(MID(TRIM(Raw_Export!B987),4,3),{"Jan","Feb","Mar","Apr","May","Jun","Jul","Aug","Sep","Oct","Nov","Dec"},0),LEFT(TRIM(Raw_Export!B987),2)))))</f>
        <v>46271</v>
      </c>
      <c r="C987" s="36" t="str">
        <f aca="false">IF(Raw_Export!$A987="","",IFERROR(VLOOKUP(LOWER(TRIM(Raw_Export!C987)),Maps!$A$2:$B$20,2,FALSE()),"UNMAPPED"))</f>
        <v>Westlands</v>
      </c>
      <c r="D987" s="36" t="str">
        <f aca="false">IF(Raw_Export!$A987="","",IFERROR(VLOOKUP(LOWER(TRIM(Raw_Export!D987)),Maps!$G$2:$I$80,2,FALSE()),"UNMAPPED"))</f>
        <v>Cooking Oil 1L</v>
      </c>
      <c r="E987" s="36" t="str">
        <f aca="false">IF(Raw_Export!$A987="","",IFERROR(VLOOKUP(LOWER(TRIM(Raw_Export!D987)),Maps!$G$2:$I$80,3,FALSE()),"UNMAPPED"))</f>
        <v>Staples</v>
      </c>
      <c r="F987" s="36" t="n">
        <f aca="false">IF(Raw_Export!$A987="","",IFERROR(VALUE(TRIM(Raw_Export!E987)),0))</f>
        <v>2</v>
      </c>
      <c r="G987" s="38" t="n">
        <f aca="false">IF(Raw_Export!$A987="","",IFERROR(VALUE(SUBSTITUTE(SUBSTITUTE(UPPER(TRIM(Raw_Export!F987)),"KES",""),",","")),0))</f>
        <v>330</v>
      </c>
      <c r="H987" s="38" t="n">
        <f aca="false">IF(Raw_Export!$A987="","",F987*G987)</f>
        <v>660</v>
      </c>
      <c r="I987" s="36" t="str">
        <f aca="false">IF(Raw_Export!$A987="","",IFERROR(VLOOKUP(LOWER(TRIM(Raw_Export!H987)),Maps!$D$2:$E$12,2,FALSE()),"Other"))</f>
        <v>M-Pesa</v>
      </c>
      <c r="J987" s="36" t="str">
        <f aca="false">IF(Raw_Export!$A987="","",IF(COUNTIF($A$2:A987,A987)&gt;1,"Duplicate",""))</f>
        <v/>
      </c>
      <c r="K987" s="36" t="str">
        <f aca="false">IF(Raw_Export!$A987="","",IF(J987="Duplicate","Duplicate",IF(OR(C987="UNMAPPED",D987="UNMAPPED"),"Unmapped",IF(F987=0,"Blank qty",IF(F987&lt;0,"Return","OK")))))</f>
        <v>OK</v>
      </c>
      <c r="L987" s="36" t="n">
        <f aca="false">IF(Raw_Export!$A987="","",IF(OR(K987="OK",K987="Return"),1,0))</f>
        <v>1</v>
      </c>
      <c r="M987" s="37" t="n">
        <f aca="false">IF(Raw_Export!$A987="","",B987-WEEKDAY(B987,2)+1)</f>
        <v>46265</v>
      </c>
    </row>
    <row r="988" customFormat="false" ht="15" hidden="false" customHeight="false" outlineLevel="0" collapsed="false">
      <c r="A988" s="36" t="str">
        <f aca="false">IF(Raw_Export!$A988="","",TRIM(Raw_Export!A988))</f>
        <v>TXN-100969</v>
      </c>
      <c r="B988" s="37" t="n">
        <f aca="false">IF(Raw_Export!$A988="","",IF(ISNUMBER(Raw_Export!B988),Raw_Export!B988,IF(MID(TRIM(Raw_Export!B988),5,1)="-",DATE(LEFT(TRIM(Raw_Export!B988),4),MID(TRIM(Raw_Export!B988),6,2),RIGHT(TRIM(Raw_Export!B988),2)),DATE(RIGHT(TRIM(Raw_Export!B988),4),MATCH(MID(TRIM(Raw_Export!B988),4,3),{"Jan","Feb","Mar","Apr","May","Jun","Jul","Aug","Sep","Oct","Nov","Dec"},0),LEFT(TRIM(Raw_Export!B988),2)))))</f>
        <v>46271</v>
      </c>
      <c r="C988" s="36" t="str">
        <f aca="false">IF(Raw_Export!$A988="","",IFERROR(VLOOKUP(LOWER(TRIM(Raw_Export!C988)),Maps!$A$2:$B$20,2,FALSE()),"UNMAPPED"))</f>
        <v>Westlands</v>
      </c>
      <c r="D988" s="36" t="str">
        <f aca="false">IF(Raw_Export!$A988="","",IFERROR(VLOOKUP(LOWER(TRIM(Raw_Export!D988)),Maps!$G$2:$I$80,2,FALSE()),"UNMAPPED"))</f>
        <v>Peanuts 250g</v>
      </c>
      <c r="E988" s="36" t="str">
        <f aca="false">IF(Raw_Export!$A988="","",IFERROR(VLOOKUP(LOWER(TRIM(Raw_Export!D988)),Maps!$G$2:$I$80,3,FALSE()),"UNMAPPED"))</f>
        <v>Snacks</v>
      </c>
      <c r="F988" s="36" t="n">
        <f aca="false">IF(Raw_Export!$A988="","",IFERROR(VALUE(TRIM(Raw_Export!E988)),0))</f>
        <v>1</v>
      </c>
      <c r="G988" s="38" t="n">
        <f aca="false">IF(Raw_Export!$A988="","",IFERROR(VALUE(SUBSTITUTE(SUBSTITUTE(UPPER(TRIM(Raw_Export!F988)),"KES",""),",","")),0))</f>
        <v>130</v>
      </c>
      <c r="H988" s="38" t="n">
        <f aca="false">IF(Raw_Export!$A988="","",F988*G988)</f>
        <v>130</v>
      </c>
      <c r="I988" s="36" t="str">
        <f aca="false">IF(Raw_Export!$A988="","",IFERROR(VLOOKUP(LOWER(TRIM(Raw_Export!H988)),Maps!$D$2:$E$12,2,FALSE()),"Other"))</f>
        <v>Cash</v>
      </c>
      <c r="J988" s="36" t="str">
        <f aca="false">IF(Raw_Export!$A988="","",IF(COUNTIF($A$2:A988,A988)&gt;1,"Duplicate",""))</f>
        <v/>
      </c>
      <c r="K988" s="36" t="str">
        <f aca="false">IF(Raw_Export!$A988="","",IF(J988="Duplicate","Duplicate",IF(OR(C988="UNMAPPED",D988="UNMAPPED"),"Unmapped",IF(F988=0,"Blank qty",IF(F988&lt;0,"Return","OK")))))</f>
        <v>OK</v>
      </c>
      <c r="L988" s="36" t="n">
        <f aca="false">IF(Raw_Export!$A988="","",IF(OR(K988="OK",K988="Return"),1,0))</f>
        <v>1</v>
      </c>
      <c r="M988" s="37" t="n">
        <f aca="false">IF(Raw_Export!$A988="","",B988-WEEKDAY(B988,2)+1)</f>
        <v>46265</v>
      </c>
    </row>
    <row r="989" customFormat="false" ht="15" hidden="false" customHeight="false" outlineLevel="0" collapsed="false">
      <c r="A989" s="36" t="str">
        <f aca="false">IF(Raw_Export!$A989="","",TRIM(Raw_Export!A989))</f>
        <v>TXN-100970</v>
      </c>
      <c r="B989" s="37" t="n">
        <f aca="false">IF(Raw_Export!$A989="","",IF(ISNUMBER(Raw_Export!B989),Raw_Export!B989,IF(MID(TRIM(Raw_Export!B989),5,1)="-",DATE(LEFT(TRIM(Raw_Export!B989),4),MID(TRIM(Raw_Export!B989),6,2),RIGHT(TRIM(Raw_Export!B989),2)),DATE(RIGHT(TRIM(Raw_Export!B989),4),MATCH(MID(TRIM(Raw_Export!B989),4,3),{"Jan","Feb","Mar","Apr","May","Jun","Jul","Aug","Sep","Oct","Nov","Dec"},0),LEFT(TRIM(Raw_Export!B989),2)))))</f>
        <v>46271</v>
      </c>
      <c r="C989" s="36" t="str">
        <f aca="false">IF(Raw_Export!$A989="","",IFERROR(VLOOKUP(LOWER(TRIM(Raw_Export!C989)),Maps!$A$2:$B$20,2,FALSE()),"UNMAPPED"))</f>
        <v>Westlands</v>
      </c>
      <c r="D989" s="36" t="str">
        <f aca="false">IF(Raw_Export!$A989="","",IFERROR(VLOOKUP(LOWER(TRIM(Raw_Export!D989)),Maps!$G$2:$I$80,2,FALSE()),"UNMAPPED"))</f>
        <v>Coffee 100g</v>
      </c>
      <c r="E989" s="36" t="str">
        <f aca="false">IF(Raw_Export!$A989="","",IFERROR(VLOOKUP(LOWER(TRIM(Raw_Export!D989)),Maps!$G$2:$I$80,3,FALSE()),"UNMAPPED"))</f>
        <v>Beverages</v>
      </c>
      <c r="F989" s="36" t="n">
        <f aca="false">IF(Raw_Export!$A989="","",IFERROR(VALUE(TRIM(Raw_Export!E989)),0))</f>
        <v>1</v>
      </c>
      <c r="G989" s="38" t="n">
        <f aca="false">IF(Raw_Export!$A989="","",IFERROR(VALUE(SUBSTITUTE(SUBSTITUTE(UPPER(TRIM(Raw_Export!F989)),"KES",""),",","")),0))</f>
        <v>360</v>
      </c>
      <c r="H989" s="38" t="n">
        <f aca="false">IF(Raw_Export!$A989="","",F989*G989)</f>
        <v>360</v>
      </c>
      <c r="I989" s="36" t="str">
        <f aca="false">IF(Raw_Export!$A989="","",IFERROR(VLOOKUP(LOWER(TRIM(Raw_Export!H989)),Maps!$D$2:$E$12,2,FALSE()),"Other"))</f>
        <v>M-Pesa</v>
      </c>
      <c r="J989" s="36" t="str">
        <f aca="false">IF(Raw_Export!$A989="","",IF(COUNTIF($A$2:A989,A989)&gt;1,"Duplicate",""))</f>
        <v/>
      </c>
      <c r="K989" s="36" t="str">
        <f aca="false">IF(Raw_Export!$A989="","",IF(J989="Duplicate","Duplicate",IF(OR(C989="UNMAPPED",D989="UNMAPPED"),"Unmapped",IF(F989=0,"Blank qty",IF(F989&lt;0,"Return","OK")))))</f>
        <v>OK</v>
      </c>
      <c r="L989" s="36" t="n">
        <f aca="false">IF(Raw_Export!$A989="","",IF(OR(K989="OK",K989="Return"),1,0))</f>
        <v>1</v>
      </c>
      <c r="M989" s="37" t="n">
        <f aca="false">IF(Raw_Export!$A989="","",B989-WEEKDAY(B989,2)+1)</f>
        <v>46265</v>
      </c>
    </row>
    <row r="990" customFormat="false" ht="15" hidden="false" customHeight="false" outlineLevel="0" collapsed="false">
      <c r="A990" s="36" t="str">
        <f aca="false">IF(Raw_Export!$A990="","",TRIM(Raw_Export!A990))</f>
        <v>TXN-100971</v>
      </c>
      <c r="B990" s="37" t="n">
        <f aca="false">IF(Raw_Export!$A990="","",IF(ISNUMBER(Raw_Export!B990),Raw_Export!B990,IF(MID(TRIM(Raw_Export!B990),5,1)="-",DATE(LEFT(TRIM(Raw_Export!B990),4),MID(TRIM(Raw_Export!B990),6,2),RIGHT(TRIM(Raw_Export!B990),2)),DATE(RIGHT(TRIM(Raw_Export!B990),4),MATCH(MID(TRIM(Raw_Export!B990),4,3),{"Jan","Feb","Mar","Apr","May","Jun","Jul","Aug","Sep","Oct","Nov","Dec"},0),LEFT(TRIM(Raw_Export!B990),2)))))</f>
        <v>46271</v>
      </c>
      <c r="C990" s="36" t="str">
        <f aca="false">IF(Raw_Export!$A990="","",IFERROR(VLOOKUP(LOWER(TRIM(Raw_Export!C990)),Maps!$A$2:$B$20,2,FALSE()),"UNMAPPED"))</f>
        <v>Westlands</v>
      </c>
      <c r="D990" s="36" t="str">
        <f aca="false">IF(Raw_Export!$A990="","",IFERROR(VLOOKUP(LOWER(TRIM(Raw_Export!D990)),Maps!$G$2:$I$80,2,FALSE()),"UNMAPPED"))</f>
        <v>Spaghetti 400g</v>
      </c>
      <c r="E990" s="36" t="str">
        <f aca="false">IF(Raw_Export!$A990="","",IFERROR(VLOOKUP(LOWER(TRIM(Raw_Export!D990)),Maps!$G$2:$I$80,3,FALSE()),"UNMAPPED"))</f>
        <v>Staples</v>
      </c>
      <c r="F990" s="36" t="n">
        <f aca="false">IF(Raw_Export!$A990="","",IFERROR(VALUE(TRIM(Raw_Export!E990)),0))</f>
        <v>3</v>
      </c>
      <c r="G990" s="38" t="n">
        <f aca="false">IF(Raw_Export!$A990="","",IFERROR(VALUE(SUBSTITUTE(SUBSTITUTE(UPPER(TRIM(Raw_Export!F990)),"KES",""),",","")),0))</f>
        <v>110</v>
      </c>
      <c r="H990" s="38" t="n">
        <f aca="false">IF(Raw_Export!$A990="","",F990*G990)</f>
        <v>330</v>
      </c>
      <c r="I990" s="36" t="str">
        <f aca="false">IF(Raw_Export!$A990="","",IFERROR(VLOOKUP(LOWER(TRIM(Raw_Export!H990)),Maps!$D$2:$E$12,2,FALSE()),"Other"))</f>
        <v>M-Pesa</v>
      </c>
      <c r="J990" s="36" t="str">
        <f aca="false">IF(Raw_Export!$A990="","",IF(COUNTIF($A$2:A990,A990)&gt;1,"Duplicate",""))</f>
        <v/>
      </c>
      <c r="K990" s="36" t="str">
        <f aca="false">IF(Raw_Export!$A990="","",IF(J990="Duplicate","Duplicate",IF(OR(C990="UNMAPPED",D990="UNMAPPED"),"Unmapped",IF(F990=0,"Blank qty",IF(F990&lt;0,"Return","OK")))))</f>
        <v>OK</v>
      </c>
      <c r="L990" s="36" t="n">
        <f aca="false">IF(Raw_Export!$A990="","",IF(OR(K990="OK",K990="Return"),1,0))</f>
        <v>1</v>
      </c>
      <c r="M990" s="37" t="n">
        <f aca="false">IF(Raw_Export!$A990="","",B990-WEEKDAY(B990,2)+1)</f>
        <v>46265</v>
      </c>
    </row>
    <row r="991" customFormat="false" ht="15" hidden="false" customHeight="false" outlineLevel="0" collapsed="false">
      <c r="A991" s="36" t="str">
        <f aca="false">IF(Raw_Export!$A991="","",TRIM(Raw_Export!A991))</f>
        <v>TXN-100972</v>
      </c>
      <c r="B991" s="37" t="n">
        <f aca="false">IF(Raw_Export!$A991="","",IF(ISNUMBER(Raw_Export!B991),Raw_Export!B991,IF(MID(TRIM(Raw_Export!B991),5,1)="-",DATE(LEFT(TRIM(Raw_Export!B991),4),MID(TRIM(Raw_Export!B991),6,2),RIGHT(TRIM(Raw_Export!B991),2)),DATE(RIGHT(TRIM(Raw_Export!B991),4),MATCH(MID(TRIM(Raw_Export!B991),4,3),{"Jan","Feb","Mar","Apr","May","Jun","Jul","Aug","Sep","Oct","Nov","Dec"},0),LEFT(TRIM(Raw_Export!B991),2)))))</f>
        <v>46271</v>
      </c>
      <c r="C991" s="36" t="str">
        <f aca="false">IF(Raw_Export!$A991="","",IFERROR(VLOOKUP(LOWER(TRIM(Raw_Export!C991)),Maps!$A$2:$B$20,2,FALSE()),"UNMAPPED"))</f>
        <v>Westlands</v>
      </c>
      <c r="D991" s="36" t="str">
        <f aca="false">IF(Raw_Export!$A991="","",IFERROR(VLOOKUP(LOWER(TRIM(Raw_Export!D991)),Maps!$G$2:$I$80,2,FALSE()),"UNMAPPED"))</f>
        <v>Matches 10pk</v>
      </c>
      <c r="E991" s="36" t="str">
        <f aca="false">IF(Raw_Export!$A991="","",IFERROR(VLOOKUP(LOWER(TRIM(Raw_Export!D991)),Maps!$G$2:$I$80,3,FALSE()),"UNMAPPED"))</f>
        <v>Household</v>
      </c>
      <c r="F991" s="36" t="n">
        <f aca="false">IF(Raw_Export!$A991="","",IFERROR(VALUE(TRIM(Raw_Export!E991)),0))</f>
        <v>2</v>
      </c>
      <c r="G991" s="38" t="n">
        <f aca="false">IF(Raw_Export!$A991="","",IFERROR(VALUE(SUBSTITUTE(SUBSTITUTE(UPPER(TRIM(Raw_Export!F991)),"KES",""),",","")),0))</f>
        <v>50</v>
      </c>
      <c r="H991" s="38" t="n">
        <f aca="false">IF(Raw_Export!$A991="","",F991*G991)</f>
        <v>100</v>
      </c>
      <c r="I991" s="36" t="str">
        <f aca="false">IF(Raw_Export!$A991="","",IFERROR(VLOOKUP(LOWER(TRIM(Raw_Export!H991)),Maps!$D$2:$E$12,2,FALSE()),"Other"))</f>
        <v>Cash</v>
      </c>
      <c r="J991" s="36" t="str">
        <f aca="false">IF(Raw_Export!$A991="","",IF(COUNTIF($A$2:A991,A991)&gt;1,"Duplicate",""))</f>
        <v/>
      </c>
      <c r="K991" s="36" t="str">
        <f aca="false">IF(Raw_Export!$A991="","",IF(J991="Duplicate","Duplicate",IF(OR(C991="UNMAPPED",D991="UNMAPPED"),"Unmapped",IF(F991=0,"Blank qty",IF(F991&lt;0,"Return","OK")))))</f>
        <v>OK</v>
      </c>
      <c r="L991" s="36" t="n">
        <f aca="false">IF(Raw_Export!$A991="","",IF(OR(K991="OK",K991="Return"),1,0))</f>
        <v>1</v>
      </c>
      <c r="M991" s="37" t="n">
        <f aca="false">IF(Raw_Export!$A991="","",B991-WEEKDAY(B991,2)+1)</f>
        <v>46265</v>
      </c>
    </row>
    <row r="992" customFormat="false" ht="15" hidden="false" customHeight="false" outlineLevel="0" collapsed="false">
      <c r="A992" s="36" t="str">
        <f aca="false">IF(Raw_Export!$A992="","",TRIM(Raw_Export!A992))</f>
        <v>TXN-100973</v>
      </c>
      <c r="B992" s="37" t="n">
        <f aca="false">IF(Raw_Export!$A992="","",IF(ISNUMBER(Raw_Export!B992),Raw_Export!B992,IF(MID(TRIM(Raw_Export!B992),5,1)="-",DATE(LEFT(TRIM(Raw_Export!B992),4),MID(TRIM(Raw_Export!B992),6,2),RIGHT(TRIM(Raw_Export!B992),2)),DATE(RIGHT(TRIM(Raw_Export!B992),4),MATCH(MID(TRIM(Raw_Export!B992),4,3),{"Jan","Feb","Mar","Apr","May","Jun","Jul","Aug","Sep","Oct","Nov","Dec"},0),LEFT(TRIM(Raw_Export!B992),2)))))</f>
        <v>46271</v>
      </c>
      <c r="C992" s="36" t="str">
        <f aca="false">IF(Raw_Export!$A992="","",IFERROR(VLOOKUP(LOWER(TRIM(Raw_Export!C992)),Maps!$A$2:$B$20,2,FALSE()),"UNMAPPED"))</f>
        <v>Westlands</v>
      </c>
      <c r="D992" s="36" t="str">
        <f aca="false">IF(Raw_Export!$A992="","",IFERROR(VLOOKUP(LOWER(TRIM(Raw_Export!D992)),Maps!$G$2:$I$80,2,FALSE()),"UNMAPPED"))</f>
        <v>Unga Pembe 2kg</v>
      </c>
      <c r="E992" s="36" t="str">
        <f aca="false">IF(Raw_Export!$A992="","",IFERROR(VLOOKUP(LOWER(TRIM(Raw_Export!D992)),Maps!$G$2:$I$80,3,FALSE()),"UNMAPPED"))</f>
        <v>Staples</v>
      </c>
      <c r="F992" s="36" t="n">
        <f aca="false">IF(Raw_Export!$A992="","",IFERROR(VALUE(TRIM(Raw_Export!E992)),0))</f>
        <v>6</v>
      </c>
      <c r="G992" s="38" t="n">
        <f aca="false">IF(Raw_Export!$A992="","",IFERROR(VALUE(SUBSTITUTE(SUBSTITUTE(UPPER(TRIM(Raw_Export!F992)),"KES",""),",","")),0))</f>
        <v>190</v>
      </c>
      <c r="H992" s="38" t="n">
        <f aca="false">IF(Raw_Export!$A992="","",F992*G992)</f>
        <v>1140</v>
      </c>
      <c r="I992" s="36" t="str">
        <f aca="false">IF(Raw_Export!$A992="","",IFERROR(VLOOKUP(LOWER(TRIM(Raw_Export!H992)),Maps!$D$2:$E$12,2,FALSE()),"Other"))</f>
        <v>M-Pesa</v>
      </c>
      <c r="J992" s="36" t="str">
        <f aca="false">IF(Raw_Export!$A992="","",IF(COUNTIF($A$2:A992,A992)&gt;1,"Duplicate",""))</f>
        <v/>
      </c>
      <c r="K992" s="36" t="str">
        <f aca="false">IF(Raw_Export!$A992="","",IF(J992="Duplicate","Duplicate",IF(OR(C992="UNMAPPED",D992="UNMAPPED"),"Unmapped",IF(F992=0,"Blank qty",IF(F992&lt;0,"Return","OK")))))</f>
        <v>OK</v>
      </c>
      <c r="L992" s="36" t="n">
        <f aca="false">IF(Raw_Export!$A992="","",IF(OR(K992="OK",K992="Return"),1,0))</f>
        <v>1</v>
      </c>
      <c r="M992" s="37" t="n">
        <f aca="false">IF(Raw_Export!$A992="","",B992-WEEKDAY(B992,2)+1)</f>
        <v>46265</v>
      </c>
    </row>
    <row r="993" customFormat="false" ht="15" hidden="false" customHeight="false" outlineLevel="0" collapsed="false">
      <c r="A993" s="36" t="str">
        <f aca="false">IF(Raw_Export!$A993="","",TRIM(Raw_Export!A993))</f>
        <v>TXN-100974</v>
      </c>
      <c r="B993" s="37" t="n">
        <f aca="false">IF(Raw_Export!$A993="","",IF(ISNUMBER(Raw_Export!B993),Raw_Export!B993,IF(MID(TRIM(Raw_Export!B993),5,1)="-",DATE(LEFT(TRIM(Raw_Export!B993),4),MID(TRIM(Raw_Export!B993),6,2),RIGHT(TRIM(Raw_Export!B993),2)),DATE(RIGHT(TRIM(Raw_Export!B993),4),MATCH(MID(TRIM(Raw_Export!B993),4,3),{"Jan","Feb","Mar","Apr","May","Jun","Jul","Aug","Sep","Oct","Nov","Dec"},0),LEFT(TRIM(Raw_Export!B993),2)))))</f>
        <v>46271</v>
      </c>
      <c r="C993" s="36" t="str">
        <f aca="false">IF(Raw_Export!$A993="","",IFERROR(VLOOKUP(LOWER(TRIM(Raw_Export!C993)),Maps!$A$2:$B$20,2,FALSE()),"UNMAPPED"))</f>
        <v>Westlands</v>
      </c>
      <c r="D993" s="36" t="str">
        <f aca="false">IF(Raw_Export!$A993="","",IFERROR(VLOOKUP(LOWER(TRIM(Raw_Export!D993)),Maps!$G$2:$I$80,2,FALSE()),"UNMAPPED"))</f>
        <v>Salt 500g</v>
      </c>
      <c r="E993" s="36" t="str">
        <f aca="false">IF(Raw_Export!$A993="","",IFERROR(VLOOKUP(LOWER(TRIM(Raw_Export!D993)),Maps!$G$2:$I$80,3,FALSE()),"UNMAPPED"))</f>
        <v>Staples</v>
      </c>
      <c r="F993" s="36" t="n">
        <f aca="false">IF(Raw_Export!$A993="","",IFERROR(VALUE(TRIM(Raw_Export!E993)),0))</f>
        <v>3</v>
      </c>
      <c r="G993" s="38" t="n">
        <f aca="false">IF(Raw_Export!$A993="","",IFERROR(VALUE(SUBSTITUTE(SUBSTITUTE(UPPER(TRIM(Raw_Export!F993)),"KES",""),",","")),0))</f>
        <v>40</v>
      </c>
      <c r="H993" s="38" t="n">
        <f aca="false">IF(Raw_Export!$A993="","",F993*G993)</f>
        <v>120</v>
      </c>
      <c r="I993" s="36" t="str">
        <f aca="false">IF(Raw_Export!$A993="","",IFERROR(VLOOKUP(LOWER(TRIM(Raw_Export!H993)),Maps!$D$2:$E$12,2,FALSE()),"Other"))</f>
        <v>M-Pesa</v>
      </c>
      <c r="J993" s="36" t="str">
        <f aca="false">IF(Raw_Export!$A993="","",IF(COUNTIF($A$2:A993,A993)&gt;1,"Duplicate",""))</f>
        <v/>
      </c>
      <c r="K993" s="36" t="str">
        <f aca="false">IF(Raw_Export!$A993="","",IF(J993="Duplicate","Duplicate",IF(OR(C993="UNMAPPED",D993="UNMAPPED"),"Unmapped",IF(F993=0,"Blank qty",IF(F993&lt;0,"Return","OK")))))</f>
        <v>OK</v>
      </c>
      <c r="L993" s="36" t="n">
        <f aca="false">IF(Raw_Export!$A993="","",IF(OR(K993="OK",K993="Return"),1,0))</f>
        <v>1</v>
      </c>
      <c r="M993" s="37" t="n">
        <f aca="false">IF(Raw_Export!$A993="","",B993-WEEKDAY(B993,2)+1)</f>
        <v>46265</v>
      </c>
    </row>
    <row r="994" customFormat="false" ht="15" hidden="false" customHeight="false" outlineLevel="0" collapsed="false">
      <c r="A994" s="36" t="str">
        <f aca="false">IF(Raw_Export!$A994="","",TRIM(Raw_Export!A994))</f>
        <v>TXN-100975</v>
      </c>
      <c r="B994" s="37" t="n">
        <f aca="false">IF(Raw_Export!$A994="","",IF(ISNUMBER(Raw_Export!B994),Raw_Export!B994,IF(MID(TRIM(Raw_Export!B994),5,1)="-",DATE(LEFT(TRIM(Raw_Export!B994),4),MID(TRIM(Raw_Export!B994),6,2),RIGHT(TRIM(Raw_Export!B994),2)),DATE(RIGHT(TRIM(Raw_Export!B994),4),MATCH(MID(TRIM(Raw_Export!B994),4,3),{"Jan","Feb","Mar","Apr","May","Jun","Jul","Aug","Sep","Oct","Nov","Dec"},0),LEFT(TRIM(Raw_Export!B994),2)))))</f>
        <v>46271</v>
      </c>
      <c r="C994" s="36" t="str">
        <f aca="false">IF(Raw_Export!$A994="","",IFERROR(VLOOKUP(LOWER(TRIM(Raw_Export!C994)),Maps!$A$2:$B$20,2,FALSE()),"UNMAPPED"))</f>
        <v>Westlands</v>
      </c>
      <c r="D994" s="36" t="str">
        <f aca="false">IF(Raw_Export!$A994="","",IFERROR(VLOOKUP(LOWER(TRIM(Raw_Export!D994)),Maps!$G$2:$I$80,2,FALSE()),"UNMAPPED"))</f>
        <v>Bleach 1L</v>
      </c>
      <c r="E994" s="36" t="str">
        <f aca="false">IF(Raw_Export!$A994="","",IFERROR(VLOOKUP(LOWER(TRIM(Raw_Export!D994)),Maps!$G$2:$I$80,3,FALSE()),"UNMAPPED"))</f>
        <v>Household</v>
      </c>
      <c r="F994" s="36" t="n">
        <f aca="false">IF(Raw_Export!$A994="","",IFERROR(VALUE(TRIM(Raw_Export!E994)),0))</f>
        <v>6</v>
      </c>
      <c r="G994" s="38" t="n">
        <f aca="false">IF(Raw_Export!$A994="","",IFERROR(VALUE(SUBSTITUTE(SUBSTITUTE(UPPER(TRIM(Raw_Export!F994)),"KES",""),",","")),0))</f>
        <v>160</v>
      </c>
      <c r="H994" s="38" t="n">
        <f aca="false">IF(Raw_Export!$A994="","",F994*G994)</f>
        <v>960</v>
      </c>
      <c r="I994" s="36" t="str">
        <f aca="false">IF(Raw_Export!$A994="","",IFERROR(VLOOKUP(LOWER(TRIM(Raw_Export!H994)),Maps!$D$2:$E$12,2,FALSE()),"Other"))</f>
        <v>M-Pesa</v>
      </c>
      <c r="J994" s="36" t="str">
        <f aca="false">IF(Raw_Export!$A994="","",IF(COUNTIF($A$2:A994,A994)&gt;1,"Duplicate",""))</f>
        <v/>
      </c>
      <c r="K994" s="36" t="str">
        <f aca="false">IF(Raw_Export!$A994="","",IF(J994="Duplicate","Duplicate",IF(OR(C994="UNMAPPED",D994="UNMAPPED"),"Unmapped",IF(F994=0,"Blank qty",IF(F994&lt;0,"Return","OK")))))</f>
        <v>OK</v>
      </c>
      <c r="L994" s="36" t="n">
        <f aca="false">IF(Raw_Export!$A994="","",IF(OR(K994="OK",K994="Return"),1,0))</f>
        <v>1</v>
      </c>
      <c r="M994" s="37" t="n">
        <f aca="false">IF(Raw_Export!$A994="","",B994-WEEKDAY(B994,2)+1)</f>
        <v>46265</v>
      </c>
    </row>
    <row r="995" customFormat="false" ht="15" hidden="false" customHeight="false" outlineLevel="0" collapsed="false">
      <c r="A995" s="36" t="str">
        <f aca="false">IF(Raw_Export!$A995="","",TRIM(Raw_Export!A995))</f>
        <v>TXN-100976</v>
      </c>
      <c r="B995" s="37" t="n">
        <f aca="false">IF(Raw_Export!$A995="","",IF(ISNUMBER(Raw_Export!B995),Raw_Export!B995,IF(MID(TRIM(Raw_Export!B995),5,1)="-",DATE(LEFT(TRIM(Raw_Export!B995),4),MID(TRIM(Raw_Export!B995),6,2),RIGHT(TRIM(Raw_Export!B995),2)),DATE(RIGHT(TRIM(Raw_Export!B995),4),MATCH(MID(TRIM(Raw_Export!B995),4,3),{"Jan","Feb","Mar","Apr","May","Jun","Jul","Aug","Sep","Oct","Nov","Dec"},0),LEFT(TRIM(Raw_Export!B995),2)))))</f>
        <v>46271</v>
      </c>
      <c r="C995" s="36" t="str">
        <f aca="false">IF(Raw_Export!$A995="","",IFERROR(VLOOKUP(LOWER(TRIM(Raw_Export!C995)),Maps!$A$2:$B$20,2,FALSE()),"UNMAPPED"))</f>
        <v>Westlands</v>
      </c>
      <c r="D995" s="36" t="str">
        <f aca="false">IF(Raw_Export!$A995="","",IFERROR(VLOOKUP(LOWER(TRIM(Raw_Export!D995)),Maps!$G$2:$I$80,2,FALSE()),"UNMAPPED"))</f>
        <v>Butter 250g</v>
      </c>
      <c r="E995" s="36" t="str">
        <f aca="false">IF(Raw_Export!$A995="","",IFERROR(VLOOKUP(LOWER(TRIM(Raw_Export!D995)),Maps!$G$2:$I$80,3,FALSE()),"UNMAPPED"))</f>
        <v>Dairy &amp; Eggs</v>
      </c>
      <c r="F995" s="36" t="n">
        <f aca="false">IF(Raw_Export!$A995="","",IFERROR(VALUE(TRIM(Raw_Export!E995)),0))</f>
        <v>4</v>
      </c>
      <c r="G995" s="38" t="n">
        <f aca="false">IF(Raw_Export!$A995="","",IFERROR(VALUE(SUBSTITUTE(SUBSTITUTE(UPPER(TRIM(Raw_Export!F995)),"KES",""),",","")),0))</f>
        <v>310</v>
      </c>
      <c r="H995" s="38" t="n">
        <f aca="false">IF(Raw_Export!$A995="","",F995*G995)</f>
        <v>1240</v>
      </c>
      <c r="I995" s="36" t="str">
        <f aca="false">IF(Raw_Export!$A995="","",IFERROR(VLOOKUP(LOWER(TRIM(Raw_Export!H995)),Maps!$D$2:$E$12,2,FALSE()),"Other"))</f>
        <v>Cash</v>
      </c>
      <c r="J995" s="36" t="str">
        <f aca="false">IF(Raw_Export!$A995="","",IF(COUNTIF($A$2:A995,A995)&gt;1,"Duplicate",""))</f>
        <v/>
      </c>
      <c r="K995" s="36" t="str">
        <f aca="false">IF(Raw_Export!$A995="","",IF(J995="Duplicate","Duplicate",IF(OR(C995="UNMAPPED",D995="UNMAPPED"),"Unmapped",IF(F995=0,"Blank qty",IF(F995&lt;0,"Return","OK")))))</f>
        <v>OK</v>
      </c>
      <c r="L995" s="36" t="n">
        <f aca="false">IF(Raw_Export!$A995="","",IF(OR(K995="OK",K995="Return"),1,0))</f>
        <v>1</v>
      </c>
      <c r="M995" s="37" t="n">
        <f aca="false">IF(Raw_Export!$A995="","",B995-WEEKDAY(B995,2)+1)</f>
        <v>46265</v>
      </c>
    </row>
    <row r="996" customFormat="false" ht="15" hidden="false" customHeight="false" outlineLevel="0" collapsed="false">
      <c r="A996" s="36" t="str">
        <f aca="false">IF(Raw_Export!$A996="","",TRIM(Raw_Export!A996))</f>
        <v>TXN-100977</v>
      </c>
      <c r="B996" s="37" t="n">
        <f aca="false">IF(Raw_Export!$A996="","",IF(ISNUMBER(Raw_Export!B996),Raw_Export!B996,IF(MID(TRIM(Raw_Export!B996),5,1)="-",DATE(LEFT(TRIM(Raw_Export!B996),4),MID(TRIM(Raw_Export!B996),6,2),RIGHT(TRIM(Raw_Export!B996),2)),DATE(RIGHT(TRIM(Raw_Export!B996),4),MATCH(MID(TRIM(Raw_Export!B996),4,3),{"Jan","Feb","Mar","Apr","May","Jun","Jul","Aug","Sep","Oct","Nov","Dec"},0),LEFT(TRIM(Raw_Export!B996),2)))))</f>
        <v>46271</v>
      </c>
      <c r="C996" s="36" t="str">
        <f aca="false">IF(Raw_Export!$A996="","",IFERROR(VLOOKUP(LOWER(TRIM(Raw_Export!C996)),Maps!$A$2:$B$20,2,FALSE()),"UNMAPPED"))</f>
        <v>Westlands</v>
      </c>
      <c r="D996" s="36" t="str">
        <f aca="false">IF(Raw_Export!$A996="","",IFERROR(VLOOKUP(LOWER(TRIM(Raw_Export!D996)),Maps!$G$2:$I$80,2,FALSE()),"UNMAPPED"))</f>
        <v>Fresh Milk 500ml</v>
      </c>
      <c r="E996" s="36" t="str">
        <f aca="false">IF(Raw_Export!$A996="","",IFERROR(VLOOKUP(LOWER(TRIM(Raw_Export!D996)),Maps!$G$2:$I$80,3,FALSE()),"UNMAPPED"))</f>
        <v>Dairy &amp; Eggs</v>
      </c>
      <c r="F996" s="36" t="n">
        <f aca="false">IF(Raw_Export!$A996="","",IFERROR(VALUE(TRIM(Raw_Export!E996)),0))</f>
        <v>1</v>
      </c>
      <c r="G996" s="38" t="n">
        <f aca="false">IF(Raw_Export!$A996="","",IFERROR(VALUE(SUBSTITUTE(SUBSTITUTE(UPPER(TRIM(Raw_Export!F996)),"KES",""),",","")),0))</f>
        <v>65</v>
      </c>
      <c r="H996" s="38" t="n">
        <f aca="false">IF(Raw_Export!$A996="","",F996*G996)</f>
        <v>65</v>
      </c>
      <c r="I996" s="36" t="str">
        <f aca="false">IF(Raw_Export!$A996="","",IFERROR(VLOOKUP(LOWER(TRIM(Raw_Export!H996)),Maps!$D$2:$E$12,2,FALSE()),"Other"))</f>
        <v>M-Pesa</v>
      </c>
      <c r="J996" s="36" t="str">
        <f aca="false">IF(Raw_Export!$A996="","",IF(COUNTIF($A$2:A996,A996)&gt;1,"Duplicate",""))</f>
        <v/>
      </c>
      <c r="K996" s="36" t="str">
        <f aca="false">IF(Raw_Export!$A996="","",IF(J996="Duplicate","Duplicate",IF(OR(C996="UNMAPPED",D996="UNMAPPED"),"Unmapped",IF(F996=0,"Blank qty",IF(F996&lt;0,"Return","OK")))))</f>
        <v>OK</v>
      </c>
      <c r="L996" s="36" t="n">
        <f aca="false">IF(Raw_Export!$A996="","",IF(OR(K996="OK",K996="Return"),1,0))</f>
        <v>1</v>
      </c>
      <c r="M996" s="37" t="n">
        <f aca="false">IF(Raw_Export!$A996="","",B996-WEEKDAY(B996,2)+1)</f>
        <v>46265</v>
      </c>
    </row>
    <row r="997" customFormat="false" ht="15" hidden="false" customHeight="false" outlineLevel="0" collapsed="false">
      <c r="A997" s="36" t="str">
        <f aca="false">IF(Raw_Export!$A997="","",TRIM(Raw_Export!A997))</f>
        <v>TXN-100978</v>
      </c>
      <c r="B997" s="37" t="n">
        <f aca="false">IF(Raw_Export!$A997="","",IF(ISNUMBER(Raw_Export!B997),Raw_Export!B997,IF(MID(TRIM(Raw_Export!B997),5,1)="-",DATE(LEFT(TRIM(Raw_Export!B997),4),MID(TRIM(Raw_Export!B997),6,2),RIGHT(TRIM(Raw_Export!B997),2)),DATE(RIGHT(TRIM(Raw_Export!B997),4),MATCH(MID(TRIM(Raw_Export!B997),4,3),{"Jan","Feb","Mar","Apr","May","Jun","Jul","Aug","Sep","Oct","Nov","Dec"},0),LEFT(TRIM(Raw_Export!B997),2)))))</f>
        <v>46271</v>
      </c>
      <c r="C997" s="36" t="str">
        <f aca="false">IF(Raw_Export!$A997="","",IFERROR(VLOOKUP(LOWER(TRIM(Raw_Export!C997)),Maps!$A$2:$B$20,2,FALSE()),"UNMAPPED"))</f>
        <v>Westlands</v>
      </c>
      <c r="D997" s="36" t="str">
        <f aca="false">IF(Raw_Export!$A997="","",IFERROR(VLOOKUP(LOWER(TRIM(Raw_Export!D997)),Maps!$G$2:$I$80,2,FALSE()),"UNMAPPED"))</f>
        <v>Salt 500g</v>
      </c>
      <c r="E997" s="36" t="str">
        <f aca="false">IF(Raw_Export!$A997="","",IFERROR(VLOOKUP(LOWER(TRIM(Raw_Export!D997)),Maps!$G$2:$I$80,3,FALSE()),"UNMAPPED"))</f>
        <v>Staples</v>
      </c>
      <c r="F997" s="36" t="n">
        <f aca="false">IF(Raw_Export!$A997="","",IFERROR(VALUE(TRIM(Raw_Export!E997)),0))</f>
        <v>3</v>
      </c>
      <c r="G997" s="38" t="n">
        <f aca="false">IF(Raw_Export!$A997="","",IFERROR(VALUE(SUBSTITUTE(SUBSTITUTE(UPPER(TRIM(Raw_Export!F997)),"KES",""),",","")),0))</f>
        <v>40</v>
      </c>
      <c r="H997" s="38" t="n">
        <f aca="false">IF(Raw_Export!$A997="","",F997*G997)</f>
        <v>120</v>
      </c>
      <c r="I997" s="36" t="str">
        <f aca="false">IF(Raw_Export!$A997="","",IFERROR(VLOOKUP(LOWER(TRIM(Raw_Export!H997)),Maps!$D$2:$E$12,2,FALSE()),"Other"))</f>
        <v>M-Pesa</v>
      </c>
      <c r="J997" s="36" t="str">
        <f aca="false">IF(Raw_Export!$A997="","",IF(COUNTIF($A$2:A997,A997)&gt;1,"Duplicate",""))</f>
        <v/>
      </c>
      <c r="K997" s="36" t="str">
        <f aca="false">IF(Raw_Export!$A997="","",IF(J997="Duplicate","Duplicate",IF(OR(C997="UNMAPPED",D997="UNMAPPED"),"Unmapped",IF(F997=0,"Blank qty",IF(F997&lt;0,"Return","OK")))))</f>
        <v>OK</v>
      </c>
      <c r="L997" s="36" t="n">
        <f aca="false">IF(Raw_Export!$A997="","",IF(OR(K997="OK",K997="Return"),1,0))</f>
        <v>1</v>
      </c>
      <c r="M997" s="37" t="n">
        <f aca="false">IF(Raw_Export!$A997="","",B997-WEEKDAY(B997,2)+1)</f>
        <v>46265</v>
      </c>
    </row>
    <row r="998" customFormat="false" ht="15" hidden="false" customHeight="false" outlineLevel="0" collapsed="false">
      <c r="A998" s="36" t="str">
        <f aca="false">IF(Raw_Export!$A998="","",TRIM(Raw_Export!A998))</f>
        <v>TXN-100979</v>
      </c>
      <c r="B998" s="37" t="n">
        <f aca="false">IF(Raw_Export!$A998="","",IF(ISNUMBER(Raw_Export!B998),Raw_Export!B998,IF(MID(TRIM(Raw_Export!B998),5,1)="-",DATE(LEFT(TRIM(Raw_Export!B998),4),MID(TRIM(Raw_Export!B998),6,2),RIGHT(TRIM(Raw_Export!B998),2)),DATE(RIGHT(TRIM(Raw_Export!B998),4),MATCH(MID(TRIM(Raw_Export!B998),4,3),{"Jan","Feb","Mar","Apr","May","Jun","Jul","Aug","Sep","Oct","Nov","Dec"},0),LEFT(TRIM(Raw_Export!B998),2)))))</f>
        <v>46271</v>
      </c>
      <c r="C998" s="36" t="str">
        <f aca="false">IF(Raw_Export!$A998="","",IFERROR(VLOOKUP(LOWER(TRIM(Raw_Export!C998)),Maps!$A$2:$B$20,2,FALSE()),"UNMAPPED"))</f>
        <v>Westlands</v>
      </c>
      <c r="D998" s="36" t="str">
        <f aca="false">IF(Raw_Export!$A998="","",IFERROR(VLOOKUP(LOWER(TRIM(Raw_Export!D998)),Maps!$G$2:$I$80,2,FALSE()),"UNMAPPED"))</f>
        <v>Soda 500ml</v>
      </c>
      <c r="E998" s="36" t="str">
        <f aca="false">IF(Raw_Export!$A998="","",IFERROR(VLOOKUP(LOWER(TRIM(Raw_Export!D998)),Maps!$G$2:$I$80,3,FALSE()),"UNMAPPED"))</f>
        <v>Beverages</v>
      </c>
      <c r="F998" s="36" t="n">
        <f aca="false">IF(Raw_Export!$A998="","",IFERROR(VALUE(TRIM(Raw_Export!E998)),0))</f>
        <v>1</v>
      </c>
      <c r="G998" s="38" t="n">
        <f aca="false">IF(Raw_Export!$A998="","",IFERROR(VALUE(SUBSTITUTE(SUBSTITUTE(UPPER(TRIM(Raw_Export!F998)),"KES",""),",","")),0))</f>
        <v>60</v>
      </c>
      <c r="H998" s="38" t="n">
        <f aca="false">IF(Raw_Export!$A998="","",F998*G998)</f>
        <v>60</v>
      </c>
      <c r="I998" s="36" t="str">
        <f aca="false">IF(Raw_Export!$A998="","",IFERROR(VLOOKUP(LOWER(TRIM(Raw_Export!H998)),Maps!$D$2:$E$12,2,FALSE()),"Other"))</f>
        <v>Card</v>
      </c>
      <c r="J998" s="36" t="str">
        <f aca="false">IF(Raw_Export!$A998="","",IF(COUNTIF($A$2:A998,A998)&gt;1,"Duplicate",""))</f>
        <v/>
      </c>
      <c r="K998" s="36" t="str">
        <f aca="false">IF(Raw_Export!$A998="","",IF(J998="Duplicate","Duplicate",IF(OR(C998="UNMAPPED",D998="UNMAPPED"),"Unmapped",IF(F998=0,"Blank qty",IF(F998&lt;0,"Return","OK")))))</f>
        <v>OK</v>
      </c>
      <c r="L998" s="36" t="n">
        <f aca="false">IF(Raw_Export!$A998="","",IF(OR(K998="OK",K998="Return"),1,0))</f>
        <v>1</v>
      </c>
      <c r="M998" s="37" t="n">
        <f aca="false">IF(Raw_Export!$A998="","",B998-WEEKDAY(B998,2)+1)</f>
        <v>46265</v>
      </c>
    </row>
    <row r="999" customFormat="false" ht="15" hidden="false" customHeight="false" outlineLevel="0" collapsed="false">
      <c r="A999" s="36" t="str">
        <f aca="false">IF(Raw_Export!$A999="","",TRIM(Raw_Export!A999))</f>
        <v>TXN-100980</v>
      </c>
      <c r="B999" s="37" t="n">
        <f aca="false">IF(Raw_Export!$A999="","",IF(ISNUMBER(Raw_Export!B999),Raw_Export!B999,IF(MID(TRIM(Raw_Export!B999),5,1)="-",DATE(LEFT(TRIM(Raw_Export!B999),4),MID(TRIM(Raw_Export!B999),6,2),RIGHT(TRIM(Raw_Export!B999),2)),DATE(RIGHT(TRIM(Raw_Export!B999),4),MATCH(MID(TRIM(Raw_Export!B999),4,3),{"Jan","Feb","Mar","Apr","May","Jun","Jul","Aug","Sep","Oct","Nov","Dec"},0),LEFT(TRIM(Raw_Export!B999),2)))))</f>
        <v>46271</v>
      </c>
      <c r="C999" s="36" t="str">
        <f aca="false">IF(Raw_Export!$A999="","",IFERROR(VLOOKUP(LOWER(TRIM(Raw_Export!C999)),Maps!$A$2:$B$20,2,FALSE()),"UNMAPPED"))</f>
        <v>Westlands</v>
      </c>
      <c r="D999" s="36" t="str">
        <f aca="false">IF(Raw_Export!$A999="","",IFERROR(VLOOKUP(LOWER(TRIM(Raw_Export!D999)),Maps!$G$2:$I$80,2,FALSE()),"UNMAPPED"))</f>
        <v>Cooking Oil 1L</v>
      </c>
      <c r="E999" s="36" t="str">
        <f aca="false">IF(Raw_Export!$A999="","",IFERROR(VLOOKUP(LOWER(TRIM(Raw_Export!D999)),Maps!$G$2:$I$80,3,FALSE()),"UNMAPPED"))</f>
        <v>Staples</v>
      </c>
      <c r="F999" s="36" t="n">
        <f aca="false">IF(Raw_Export!$A999="","",IFERROR(VALUE(TRIM(Raw_Export!E999)),0))</f>
        <v>1</v>
      </c>
      <c r="G999" s="38" t="n">
        <f aca="false">IF(Raw_Export!$A999="","",IFERROR(VALUE(SUBSTITUTE(SUBSTITUTE(UPPER(TRIM(Raw_Export!F999)),"KES",""),",","")),0))</f>
        <v>330</v>
      </c>
      <c r="H999" s="38" t="n">
        <f aca="false">IF(Raw_Export!$A999="","",F999*G999)</f>
        <v>330</v>
      </c>
      <c r="I999" s="36" t="str">
        <f aca="false">IF(Raw_Export!$A999="","",IFERROR(VLOOKUP(LOWER(TRIM(Raw_Export!H999)),Maps!$D$2:$E$12,2,FALSE()),"Other"))</f>
        <v>Cash</v>
      </c>
      <c r="J999" s="36" t="str">
        <f aca="false">IF(Raw_Export!$A999="","",IF(COUNTIF($A$2:A999,A999)&gt;1,"Duplicate",""))</f>
        <v/>
      </c>
      <c r="K999" s="36" t="str">
        <f aca="false">IF(Raw_Export!$A999="","",IF(J999="Duplicate","Duplicate",IF(OR(C999="UNMAPPED",D999="UNMAPPED"),"Unmapped",IF(F999=0,"Blank qty",IF(F999&lt;0,"Return","OK")))))</f>
        <v>OK</v>
      </c>
      <c r="L999" s="36" t="n">
        <f aca="false">IF(Raw_Export!$A999="","",IF(OR(K999="OK",K999="Return"),1,0))</f>
        <v>1</v>
      </c>
      <c r="M999" s="37" t="n">
        <f aca="false">IF(Raw_Export!$A999="","",B999-WEEKDAY(B999,2)+1)</f>
        <v>46265</v>
      </c>
    </row>
    <row r="1000" customFormat="false" ht="15" hidden="false" customHeight="false" outlineLevel="0" collapsed="false">
      <c r="A1000" s="36" t="str">
        <f aca="false">IF(Raw_Export!$A1000="","",TRIM(Raw_Export!A1000))</f>
        <v>TXN-100981</v>
      </c>
      <c r="B1000" s="37" t="n">
        <f aca="false">IF(Raw_Export!$A1000="","",IF(ISNUMBER(Raw_Export!B1000),Raw_Export!B1000,IF(MID(TRIM(Raw_Export!B1000),5,1)="-",DATE(LEFT(TRIM(Raw_Export!B1000),4),MID(TRIM(Raw_Export!B1000),6,2),RIGHT(TRIM(Raw_Export!B1000),2)),DATE(RIGHT(TRIM(Raw_Export!B1000),4),MATCH(MID(TRIM(Raw_Export!B1000),4,3),{"Jan","Feb","Mar","Apr","May","Jun","Jul","Aug","Sep","Oct","Nov","Dec"},0),LEFT(TRIM(Raw_Export!B1000),2)))))</f>
        <v>46271</v>
      </c>
      <c r="C1000" s="36" t="str">
        <f aca="false">IF(Raw_Export!$A1000="","",IFERROR(VLOOKUP(LOWER(TRIM(Raw_Export!C1000)),Maps!$A$2:$B$20,2,FALSE()),"UNMAPPED"))</f>
        <v>Westlands</v>
      </c>
      <c r="D1000" s="36" t="str">
        <f aca="false">IF(Raw_Export!$A1000="","",IFERROR(VLOOKUP(LOWER(TRIM(Raw_Export!D1000)),Maps!$G$2:$I$80,2,FALSE()),"UNMAPPED"))</f>
        <v>Chocolate Bar 90g</v>
      </c>
      <c r="E1000" s="36" t="str">
        <f aca="false">IF(Raw_Export!$A1000="","",IFERROR(VLOOKUP(LOWER(TRIM(Raw_Export!D1000)),Maps!$G$2:$I$80,3,FALSE()),"UNMAPPED"))</f>
        <v>Snacks</v>
      </c>
      <c r="F1000" s="36" t="n">
        <f aca="false">IF(Raw_Export!$A1000="","",IFERROR(VALUE(TRIM(Raw_Export!E1000)),0))</f>
        <v>1</v>
      </c>
      <c r="G1000" s="38" t="n">
        <f aca="false">IF(Raw_Export!$A1000="","",IFERROR(VALUE(SUBSTITUTE(SUBSTITUTE(UPPER(TRIM(Raw_Export!F1000)),"KES",""),",","")),0))</f>
        <v>140</v>
      </c>
      <c r="H1000" s="38" t="n">
        <f aca="false">IF(Raw_Export!$A1000="","",F1000*G1000)</f>
        <v>140</v>
      </c>
      <c r="I1000" s="36" t="str">
        <f aca="false">IF(Raw_Export!$A1000="","",IFERROR(VLOOKUP(LOWER(TRIM(Raw_Export!H1000)),Maps!$D$2:$E$12,2,FALSE()),"Other"))</f>
        <v>Card</v>
      </c>
      <c r="J1000" s="36" t="str">
        <f aca="false">IF(Raw_Export!$A1000="","",IF(COUNTIF($A$2:A1000,A1000)&gt;1,"Duplicate",""))</f>
        <v/>
      </c>
      <c r="K1000" s="36" t="str">
        <f aca="false">IF(Raw_Export!$A1000="","",IF(J1000="Duplicate","Duplicate",IF(OR(C1000="UNMAPPED",D1000="UNMAPPED"),"Unmapped",IF(F1000=0,"Blank qty",IF(F1000&lt;0,"Return","OK")))))</f>
        <v>OK</v>
      </c>
      <c r="L1000" s="36" t="n">
        <f aca="false">IF(Raw_Export!$A1000="","",IF(OR(K1000="OK",K1000="Return"),1,0))</f>
        <v>1</v>
      </c>
      <c r="M1000" s="37" t="n">
        <f aca="false">IF(Raw_Export!$A1000="","",B1000-WEEKDAY(B1000,2)+1)</f>
        <v>46265</v>
      </c>
    </row>
    <row r="1001" customFormat="false" ht="15" hidden="false" customHeight="false" outlineLevel="0" collapsed="false">
      <c r="A1001" s="36" t="str">
        <f aca="false">IF(Raw_Export!$A1001="","",TRIM(Raw_Export!A1001))</f>
        <v>TXN-100982</v>
      </c>
      <c r="B1001" s="37" t="n">
        <f aca="false">IF(Raw_Export!$A1001="","",IF(ISNUMBER(Raw_Export!B1001),Raw_Export!B1001,IF(MID(TRIM(Raw_Export!B1001),5,1)="-",DATE(LEFT(TRIM(Raw_Export!B1001),4),MID(TRIM(Raw_Export!B1001),6,2),RIGHT(TRIM(Raw_Export!B1001),2)),DATE(RIGHT(TRIM(Raw_Export!B1001),4),MATCH(MID(TRIM(Raw_Export!B1001),4,3),{"Jan","Feb","Mar","Apr","May","Jun","Jul","Aug","Sep","Oct","Nov","Dec"},0),LEFT(TRIM(Raw_Export!B1001),2)))))</f>
        <v>46271</v>
      </c>
      <c r="C1001" s="36" t="str">
        <f aca="false">IF(Raw_Export!$A1001="","",IFERROR(VLOOKUP(LOWER(TRIM(Raw_Export!C1001)),Maps!$A$2:$B$20,2,FALSE()),"UNMAPPED"))</f>
        <v>Westlands</v>
      </c>
      <c r="D1001" s="36" t="str">
        <f aca="false">IF(Raw_Export!$A1001="","",IFERROR(VLOOKUP(LOWER(TRIM(Raw_Export!D1001)),Maps!$G$2:$I$80,2,FALSE()),"UNMAPPED"))</f>
        <v>Yoghurt 500ml</v>
      </c>
      <c r="E1001" s="36" t="str">
        <f aca="false">IF(Raw_Export!$A1001="","",IFERROR(VLOOKUP(LOWER(TRIM(Raw_Export!D1001)),Maps!$G$2:$I$80,3,FALSE()),"UNMAPPED"))</f>
        <v>Dairy &amp; Eggs</v>
      </c>
      <c r="F1001" s="36" t="n">
        <f aca="false">IF(Raw_Export!$A1001="","",IFERROR(VALUE(TRIM(Raw_Export!E1001)),0))</f>
        <v>2</v>
      </c>
      <c r="G1001" s="38" t="n">
        <f aca="false">IF(Raw_Export!$A1001="","",IFERROR(VALUE(SUBSTITUTE(SUBSTITUTE(UPPER(TRIM(Raw_Export!F1001)),"KES",""),",","")),0))</f>
        <v>120</v>
      </c>
      <c r="H1001" s="38" t="n">
        <f aca="false">IF(Raw_Export!$A1001="","",F1001*G1001)</f>
        <v>240</v>
      </c>
      <c r="I1001" s="36" t="str">
        <f aca="false">IF(Raw_Export!$A1001="","",IFERROR(VLOOKUP(LOWER(TRIM(Raw_Export!H1001)),Maps!$D$2:$E$12,2,FALSE()),"Other"))</f>
        <v>Card</v>
      </c>
      <c r="J1001" s="36" t="str">
        <f aca="false">IF(Raw_Export!$A1001="","",IF(COUNTIF($A$2:A1001,A1001)&gt;1,"Duplicate",""))</f>
        <v/>
      </c>
      <c r="K1001" s="36" t="str">
        <f aca="false">IF(Raw_Export!$A1001="","",IF(J1001="Duplicate","Duplicate",IF(OR(C1001="UNMAPPED",D1001="UNMAPPED"),"Unmapped",IF(F1001=0,"Blank qty",IF(F1001&lt;0,"Return","OK")))))</f>
        <v>OK</v>
      </c>
      <c r="L1001" s="36" t="n">
        <f aca="false">IF(Raw_Export!$A1001="","",IF(OR(K1001="OK",K1001="Return"),1,0))</f>
        <v>1</v>
      </c>
      <c r="M1001" s="37" t="n">
        <f aca="false">IF(Raw_Export!$A1001="","",B1001-WEEKDAY(B1001,2)+1)</f>
        <v>46265</v>
      </c>
    </row>
    <row r="1002" customFormat="false" ht="15" hidden="false" customHeight="false" outlineLevel="0" collapsed="false">
      <c r="A1002" s="36" t="str">
        <f aca="false">IF(Raw_Export!$A1002="","",TRIM(Raw_Export!A1002))</f>
        <v>TXN-100983</v>
      </c>
      <c r="B1002" s="37" t="n">
        <f aca="false">IF(Raw_Export!$A1002="","",IF(ISNUMBER(Raw_Export!B1002),Raw_Export!B1002,IF(MID(TRIM(Raw_Export!B1002),5,1)="-",DATE(LEFT(TRIM(Raw_Export!B1002),4),MID(TRIM(Raw_Export!B1002),6,2),RIGHT(TRIM(Raw_Export!B1002),2)),DATE(RIGHT(TRIM(Raw_Export!B1002),4),MATCH(MID(TRIM(Raw_Export!B1002),4,3),{"Jan","Feb","Mar","Apr","May","Jun","Jul","Aug","Sep","Oct","Nov","Dec"},0),LEFT(TRIM(Raw_Export!B1002),2)))))</f>
        <v>46271</v>
      </c>
      <c r="C1002" s="36" t="str">
        <f aca="false">IF(Raw_Export!$A1002="","",IFERROR(VLOOKUP(LOWER(TRIM(Raw_Export!C1002)),Maps!$A$2:$B$20,2,FALSE()),"UNMAPPED"))</f>
        <v>Westlands</v>
      </c>
      <c r="D1002" s="36" t="str">
        <f aca="false">IF(Raw_Export!$A1002="","",IFERROR(VLOOKUP(LOWER(TRIM(Raw_Export!D1002)),Maps!$G$2:$I$80,2,FALSE()),"UNMAPPED"))</f>
        <v>Fresh Milk 500ml</v>
      </c>
      <c r="E1002" s="36" t="str">
        <f aca="false">IF(Raw_Export!$A1002="","",IFERROR(VLOOKUP(LOWER(TRIM(Raw_Export!D1002)),Maps!$G$2:$I$80,3,FALSE()),"UNMAPPED"))</f>
        <v>Dairy &amp; Eggs</v>
      </c>
      <c r="F1002" s="36" t="n">
        <f aca="false">IF(Raw_Export!$A1002="","",IFERROR(VALUE(TRIM(Raw_Export!E1002)),0))</f>
        <v>3</v>
      </c>
      <c r="G1002" s="38" t="n">
        <f aca="false">IF(Raw_Export!$A1002="","",IFERROR(VALUE(SUBSTITUTE(SUBSTITUTE(UPPER(TRIM(Raw_Export!F1002)),"KES",""),",","")),0))</f>
        <v>65</v>
      </c>
      <c r="H1002" s="38" t="n">
        <f aca="false">IF(Raw_Export!$A1002="","",F1002*G1002)</f>
        <v>195</v>
      </c>
      <c r="I1002" s="36" t="str">
        <f aca="false">IF(Raw_Export!$A1002="","",IFERROR(VLOOKUP(LOWER(TRIM(Raw_Export!H1002)),Maps!$D$2:$E$12,2,FALSE()),"Other"))</f>
        <v>Cash</v>
      </c>
      <c r="J1002" s="36" t="str">
        <f aca="false">IF(Raw_Export!$A1002="","",IF(COUNTIF($A$2:A1002,A1002)&gt;1,"Duplicate",""))</f>
        <v/>
      </c>
      <c r="K1002" s="36" t="str">
        <f aca="false">IF(Raw_Export!$A1002="","",IF(J1002="Duplicate","Duplicate",IF(OR(C1002="UNMAPPED",D1002="UNMAPPED"),"Unmapped",IF(F1002=0,"Blank qty",IF(F1002&lt;0,"Return","OK")))))</f>
        <v>OK</v>
      </c>
      <c r="L1002" s="36" t="n">
        <f aca="false">IF(Raw_Export!$A1002="","",IF(OR(K1002="OK",K1002="Return"),1,0))</f>
        <v>1</v>
      </c>
      <c r="M1002" s="37" t="n">
        <f aca="false">IF(Raw_Export!$A1002="","",B1002-WEEKDAY(B1002,2)+1)</f>
        <v>46265</v>
      </c>
    </row>
    <row r="1003" customFormat="false" ht="15" hidden="false" customHeight="false" outlineLevel="0" collapsed="false">
      <c r="A1003" s="36" t="str">
        <f aca="false">IF(Raw_Export!$A1003="","",TRIM(Raw_Export!A1003))</f>
        <v>TXN-100984</v>
      </c>
      <c r="B1003" s="37" t="n">
        <f aca="false">IF(Raw_Export!$A1003="","",IF(ISNUMBER(Raw_Export!B1003),Raw_Export!B1003,IF(MID(TRIM(Raw_Export!B1003),5,1)="-",DATE(LEFT(TRIM(Raw_Export!B1003),4),MID(TRIM(Raw_Export!B1003),6,2),RIGHT(TRIM(Raw_Export!B1003),2)),DATE(RIGHT(TRIM(Raw_Export!B1003),4),MATCH(MID(TRIM(Raw_Export!B1003),4,3),{"Jan","Feb","Mar","Apr","May","Jun","Jul","Aug","Sep","Oct","Nov","Dec"},0),LEFT(TRIM(Raw_Export!B1003),2)))))</f>
        <v>46271</v>
      </c>
      <c r="C1003" s="36" t="str">
        <f aca="false">IF(Raw_Export!$A1003="","",IFERROR(VLOOKUP(LOWER(TRIM(Raw_Export!C1003)),Maps!$A$2:$B$20,2,FALSE()),"UNMAPPED"))</f>
        <v>Westlands</v>
      </c>
      <c r="D1003" s="36" t="str">
        <f aca="false">IF(Raw_Export!$A1003="","",IFERROR(VLOOKUP(LOWER(TRIM(Raw_Export!D1003)),Maps!$G$2:$I$80,2,FALSE()),"UNMAPPED"))</f>
        <v>Sanitary Pads 8pk</v>
      </c>
      <c r="E1003" s="36" t="str">
        <f aca="false">IF(Raw_Export!$A1003="","",IFERROR(VLOOKUP(LOWER(TRIM(Raw_Export!D1003)),Maps!$G$2:$I$80,3,FALSE()),"UNMAPPED"))</f>
        <v>Personal Care</v>
      </c>
      <c r="F1003" s="36" t="n">
        <f aca="false">IF(Raw_Export!$A1003="","",IFERROR(VALUE(TRIM(Raw_Export!E1003)),0))</f>
        <v>6</v>
      </c>
      <c r="G1003" s="38" t="n">
        <f aca="false">IF(Raw_Export!$A1003="","",IFERROR(VALUE(SUBSTITUTE(SUBSTITUTE(UPPER(TRIM(Raw_Export!F1003)),"KES",""),",","")),0))</f>
        <v>130</v>
      </c>
      <c r="H1003" s="38" t="n">
        <f aca="false">IF(Raw_Export!$A1003="","",F1003*G1003)</f>
        <v>780</v>
      </c>
      <c r="I1003" s="36" t="str">
        <f aca="false">IF(Raw_Export!$A1003="","",IFERROR(VLOOKUP(LOWER(TRIM(Raw_Export!H1003)),Maps!$D$2:$E$12,2,FALSE()),"Other"))</f>
        <v>Cash</v>
      </c>
      <c r="J1003" s="36" t="str">
        <f aca="false">IF(Raw_Export!$A1003="","",IF(COUNTIF($A$2:A1003,A1003)&gt;1,"Duplicate",""))</f>
        <v/>
      </c>
      <c r="K1003" s="36" t="str">
        <f aca="false">IF(Raw_Export!$A1003="","",IF(J1003="Duplicate","Duplicate",IF(OR(C1003="UNMAPPED",D1003="UNMAPPED"),"Unmapped",IF(F1003=0,"Blank qty",IF(F1003&lt;0,"Return","OK")))))</f>
        <v>OK</v>
      </c>
      <c r="L1003" s="36" t="n">
        <f aca="false">IF(Raw_Export!$A1003="","",IF(OR(K1003="OK",K1003="Return"),1,0))</f>
        <v>1</v>
      </c>
      <c r="M1003" s="37" t="n">
        <f aca="false">IF(Raw_Export!$A1003="","",B1003-WEEKDAY(B1003,2)+1)</f>
        <v>46265</v>
      </c>
    </row>
    <row r="1004" customFormat="false" ht="15" hidden="false" customHeight="false" outlineLevel="0" collapsed="false">
      <c r="A1004" s="36" t="str">
        <f aca="false">IF(Raw_Export!$A1004="","",TRIM(Raw_Export!A1004))</f>
        <v>TXN-100985</v>
      </c>
      <c r="B1004" s="37" t="n">
        <f aca="false">IF(Raw_Export!$A1004="","",IF(ISNUMBER(Raw_Export!B1004),Raw_Export!B1004,IF(MID(TRIM(Raw_Export!B1004),5,1)="-",DATE(LEFT(TRIM(Raw_Export!B1004),4),MID(TRIM(Raw_Export!B1004),6,2),RIGHT(TRIM(Raw_Export!B1004),2)),DATE(RIGHT(TRIM(Raw_Export!B1004),4),MATCH(MID(TRIM(Raw_Export!B1004),4,3),{"Jan","Feb","Mar","Apr","May","Jun","Jul","Aug","Sep","Oct","Nov","Dec"},0),LEFT(TRIM(Raw_Export!B1004),2)))))</f>
        <v>46271</v>
      </c>
      <c r="C1004" s="36" t="str">
        <f aca="false">IF(Raw_Export!$A1004="","",IFERROR(VLOOKUP(LOWER(TRIM(Raw_Export!C1004)),Maps!$A$2:$B$20,2,FALSE()),"UNMAPPED"))</f>
        <v>Westlands</v>
      </c>
      <c r="D1004" s="36" t="str">
        <f aca="false">IF(Raw_Export!$A1004="","",IFERROR(VLOOKUP(LOWER(TRIM(Raw_Export!D1004)),Maps!$G$2:$I$80,2,FALSE()),"UNMAPPED"))</f>
        <v>Yoghurt 500ml</v>
      </c>
      <c r="E1004" s="36" t="str">
        <f aca="false">IF(Raw_Export!$A1004="","",IFERROR(VLOOKUP(LOWER(TRIM(Raw_Export!D1004)),Maps!$G$2:$I$80,3,FALSE()),"UNMAPPED"))</f>
        <v>Dairy &amp; Eggs</v>
      </c>
      <c r="F1004" s="36" t="n">
        <f aca="false">IF(Raw_Export!$A1004="","",IFERROR(VALUE(TRIM(Raw_Export!E1004)),0))</f>
        <v>2</v>
      </c>
      <c r="G1004" s="38" t="n">
        <f aca="false">IF(Raw_Export!$A1004="","",IFERROR(VALUE(SUBSTITUTE(SUBSTITUTE(UPPER(TRIM(Raw_Export!F1004)),"KES",""),",","")),0))</f>
        <v>120</v>
      </c>
      <c r="H1004" s="38" t="n">
        <f aca="false">IF(Raw_Export!$A1004="","",F1004*G1004)</f>
        <v>240</v>
      </c>
      <c r="I1004" s="36" t="str">
        <f aca="false">IF(Raw_Export!$A1004="","",IFERROR(VLOOKUP(LOWER(TRIM(Raw_Export!H1004)),Maps!$D$2:$E$12,2,FALSE()),"Other"))</f>
        <v>Cash</v>
      </c>
      <c r="J1004" s="36" t="str">
        <f aca="false">IF(Raw_Export!$A1004="","",IF(COUNTIF($A$2:A1004,A1004)&gt;1,"Duplicate",""))</f>
        <v/>
      </c>
      <c r="K1004" s="36" t="str">
        <f aca="false">IF(Raw_Export!$A1004="","",IF(J1004="Duplicate","Duplicate",IF(OR(C1004="UNMAPPED",D1004="UNMAPPED"),"Unmapped",IF(F1004=0,"Blank qty",IF(F1004&lt;0,"Return","OK")))))</f>
        <v>OK</v>
      </c>
      <c r="L1004" s="36" t="n">
        <f aca="false">IF(Raw_Export!$A1004="","",IF(OR(K1004="OK",K1004="Return"),1,0))</f>
        <v>1</v>
      </c>
      <c r="M1004" s="37" t="n">
        <f aca="false">IF(Raw_Export!$A1004="","",B1004-WEEKDAY(B1004,2)+1)</f>
        <v>46265</v>
      </c>
    </row>
    <row r="1005" customFormat="false" ht="15" hidden="false" customHeight="false" outlineLevel="0" collapsed="false">
      <c r="A1005" s="36" t="str">
        <f aca="false">IF(Raw_Export!$A1005="","",TRIM(Raw_Export!A1005))</f>
        <v>TXN-100986</v>
      </c>
      <c r="B1005" s="37" t="n">
        <f aca="false">IF(Raw_Export!$A1005="","",IF(ISNUMBER(Raw_Export!B1005),Raw_Export!B1005,IF(MID(TRIM(Raw_Export!B1005),5,1)="-",DATE(LEFT(TRIM(Raw_Export!B1005),4),MID(TRIM(Raw_Export!B1005),6,2),RIGHT(TRIM(Raw_Export!B1005),2)),DATE(RIGHT(TRIM(Raw_Export!B1005),4),MATCH(MID(TRIM(Raw_Export!B1005),4,3),{"Jan","Feb","Mar","Apr","May","Jun","Jul","Aug","Sep","Oct","Nov","Dec"},0),LEFT(TRIM(Raw_Export!B1005),2)))))</f>
        <v>46271</v>
      </c>
      <c r="C1005" s="36" t="str">
        <f aca="false">IF(Raw_Export!$A1005="","",IFERROR(VLOOKUP(LOWER(TRIM(Raw_Export!C1005)),Maps!$A$2:$B$20,2,FALSE()),"UNMAPPED"))</f>
        <v>Westlands</v>
      </c>
      <c r="D1005" s="36" t="str">
        <f aca="false">IF(Raw_Export!$A1005="","",IFERROR(VLOOKUP(LOWER(TRIM(Raw_Export!D1005)),Maps!$G$2:$I$80,2,FALSE()),"UNMAPPED"))</f>
        <v>Sugar 2kg</v>
      </c>
      <c r="E1005" s="36" t="str">
        <f aca="false">IF(Raw_Export!$A1005="","",IFERROR(VLOOKUP(LOWER(TRIM(Raw_Export!D1005)),Maps!$G$2:$I$80,3,FALSE()),"UNMAPPED"))</f>
        <v>Staples</v>
      </c>
      <c r="F1005" s="36" t="n">
        <f aca="false">IF(Raw_Export!$A1005="","",IFERROR(VALUE(TRIM(Raw_Export!E1005)),0))</f>
        <v>4</v>
      </c>
      <c r="G1005" s="38" t="n">
        <f aca="false">IF(Raw_Export!$A1005="","",IFERROR(VALUE(SUBSTITUTE(SUBSTITUTE(UPPER(TRIM(Raw_Export!F1005)),"KES",""),",","")),0))</f>
        <v>330</v>
      </c>
      <c r="H1005" s="38" t="n">
        <f aca="false">IF(Raw_Export!$A1005="","",F1005*G1005)</f>
        <v>1320</v>
      </c>
      <c r="I1005" s="36" t="str">
        <f aca="false">IF(Raw_Export!$A1005="","",IFERROR(VLOOKUP(LOWER(TRIM(Raw_Export!H1005)),Maps!$D$2:$E$12,2,FALSE()),"Other"))</f>
        <v>Cash</v>
      </c>
      <c r="J1005" s="36" t="str">
        <f aca="false">IF(Raw_Export!$A1005="","",IF(COUNTIF($A$2:A1005,A1005)&gt;1,"Duplicate",""))</f>
        <v/>
      </c>
      <c r="K1005" s="36" t="str">
        <f aca="false">IF(Raw_Export!$A1005="","",IF(J1005="Duplicate","Duplicate",IF(OR(C1005="UNMAPPED",D1005="UNMAPPED"),"Unmapped",IF(F1005=0,"Blank qty",IF(F1005&lt;0,"Return","OK")))))</f>
        <v>OK</v>
      </c>
      <c r="L1005" s="36" t="n">
        <f aca="false">IF(Raw_Export!$A1005="","",IF(OR(K1005="OK",K1005="Return"),1,0))</f>
        <v>1</v>
      </c>
      <c r="M1005" s="37" t="n">
        <f aca="false">IF(Raw_Export!$A1005="","",B1005-WEEKDAY(B1005,2)+1)</f>
        <v>46265</v>
      </c>
    </row>
    <row r="1006" customFormat="false" ht="15" hidden="false" customHeight="false" outlineLevel="0" collapsed="false">
      <c r="A1006" s="36" t="str">
        <f aca="false">IF(Raw_Export!$A1006="","",TRIM(Raw_Export!A1006))</f>
        <v>TXN-100987</v>
      </c>
      <c r="B1006" s="37" t="n">
        <f aca="false">IF(Raw_Export!$A1006="","",IF(ISNUMBER(Raw_Export!B1006),Raw_Export!B1006,IF(MID(TRIM(Raw_Export!B1006),5,1)="-",DATE(LEFT(TRIM(Raw_Export!B1006),4),MID(TRIM(Raw_Export!B1006),6,2),RIGHT(TRIM(Raw_Export!B1006),2)),DATE(RIGHT(TRIM(Raw_Export!B1006),4),MATCH(MID(TRIM(Raw_Export!B1006),4,3),{"Jan","Feb","Mar","Apr","May","Jun","Jul","Aug","Sep","Oct","Nov","Dec"},0),LEFT(TRIM(Raw_Export!B1006),2)))))</f>
        <v>46271</v>
      </c>
      <c r="C1006" s="36" t="str">
        <f aca="false">IF(Raw_Export!$A1006="","",IFERROR(VLOOKUP(LOWER(TRIM(Raw_Export!C1006)),Maps!$A$2:$B$20,2,FALSE()),"UNMAPPED"))</f>
        <v>Westlands</v>
      </c>
      <c r="D1006" s="36" t="str">
        <f aca="false">IF(Raw_Export!$A1006="","",IFERROR(VLOOKUP(LOWER(TRIM(Raw_Export!D1006)),Maps!$G$2:$I$80,2,FALSE()),"UNMAPPED"))</f>
        <v>Rice Pishori 2kg</v>
      </c>
      <c r="E1006" s="36" t="str">
        <f aca="false">IF(Raw_Export!$A1006="","",IFERROR(VLOOKUP(LOWER(TRIM(Raw_Export!D1006)),Maps!$G$2:$I$80,3,FALSE()),"UNMAPPED"))</f>
        <v>Staples</v>
      </c>
      <c r="F1006" s="36" t="n">
        <f aca="false">IF(Raw_Export!$A1006="","",IFERROR(VALUE(TRIM(Raw_Export!E1006)),0))</f>
        <v>6</v>
      </c>
      <c r="G1006" s="38" t="n">
        <f aca="false">IF(Raw_Export!$A1006="","",IFERROR(VALUE(SUBSTITUTE(SUBSTITUTE(UPPER(TRIM(Raw_Export!F1006)),"KES",""),",","")),0))</f>
        <v>420</v>
      </c>
      <c r="H1006" s="38" t="n">
        <f aca="false">IF(Raw_Export!$A1006="","",F1006*G1006)</f>
        <v>2520</v>
      </c>
      <c r="I1006" s="36" t="str">
        <f aca="false">IF(Raw_Export!$A1006="","",IFERROR(VLOOKUP(LOWER(TRIM(Raw_Export!H1006)),Maps!$D$2:$E$12,2,FALSE()),"Other"))</f>
        <v>M-Pesa</v>
      </c>
      <c r="J1006" s="36" t="str">
        <f aca="false">IF(Raw_Export!$A1006="","",IF(COUNTIF($A$2:A1006,A1006)&gt;1,"Duplicate",""))</f>
        <v/>
      </c>
      <c r="K1006" s="36" t="str">
        <f aca="false">IF(Raw_Export!$A1006="","",IF(J1006="Duplicate","Duplicate",IF(OR(C1006="UNMAPPED",D1006="UNMAPPED"),"Unmapped",IF(F1006=0,"Blank qty",IF(F1006&lt;0,"Return","OK")))))</f>
        <v>OK</v>
      </c>
      <c r="L1006" s="36" t="n">
        <f aca="false">IF(Raw_Export!$A1006="","",IF(OR(K1006="OK",K1006="Return"),1,0))</f>
        <v>1</v>
      </c>
      <c r="M1006" s="37" t="n">
        <f aca="false">IF(Raw_Export!$A1006="","",B1006-WEEKDAY(B1006,2)+1)</f>
        <v>46265</v>
      </c>
    </row>
    <row r="1007" customFormat="false" ht="15" hidden="false" customHeight="false" outlineLevel="0" collapsed="false">
      <c r="A1007" s="36" t="str">
        <f aca="false">IF(Raw_Export!$A1007="","",TRIM(Raw_Export!A1007))</f>
        <v>TXN-100988</v>
      </c>
      <c r="B1007" s="37" t="n">
        <f aca="false">IF(Raw_Export!$A1007="","",IF(ISNUMBER(Raw_Export!B1007),Raw_Export!B1007,IF(MID(TRIM(Raw_Export!B1007),5,1)="-",DATE(LEFT(TRIM(Raw_Export!B1007),4),MID(TRIM(Raw_Export!B1007),6,2),RIGHT(TRIM(Raw_Export!B1007),2)),DATE(RIGHT(TRIM(Raw_Export!B1007),4),MATCH(MID(TRIM(Raw_Export!B1007),4,3),{"Jan","Feb","Mar","Apr","May","Jun","Jul","Aug","Sep","Oct","Nov","Dec"},0),LEFT(TRIM(Raw_Export!B1007),2)))))</f>
        <v>46271</v>
      </c>
      <c r="C1007" s="36" t="str">
        <f aca="false">IF(Raw_Export!$A1007="","",IFERROR(VLOOKUP(LOWER(TRIM(Raw_Export!C1007)),Maps!$A$2:$B$20,2,FALSE()),"UNMAPPED"))</f>
        <v>Mombasa</v>
      </c>
      <c r="D1007" s="36" t="str">
        <f aca="false">IF(Raw_Export!$A1007="","",IFERROR(VLOOKUP(LOWER(TRIM(Raw_Export!D1007)),Maps!$G$2:$I$80,2,FALSE()),"UNMAPPED"))</f>
        <v>Peanuts 250g</v>
      </c>
      <c r="E1007" s="36" t="str">
        <f aca="false">IF(Raw_Export!$A1007="","",IFERROR(VLOOKUP(LOWER(TRIM(Raw_Export!D1007)),Maps!$G$2:$I$80,3,FALSE()),"UNMAPPED"))</f>
        <v>Snacks</v>
      </c>
      <c r="F1007" s="36" t="n">
        <f aca="false">IF(Raw_Export!$A1007="","",IFERROR(VALUE(TRIM(Raw_Export!E1007)),0))</f>
        <v>6</v>
      </c>
      <c r="G1007" s="38" t="n">
        <f aca="false">IF(Raw_Export!$A1007="","",IFERROR(VALUE(SUBSTITUTE(SUBSTITUTE(UPPER(TRIM(Raw_Export!F1007)),"KES",""),",","")),0))</f>
        <v>117</v>
      </c>
      <c r="H1007" s="38" t="n">
        <f aca="false">IF(Raw_Export!$A1007="","",F1007*G1007)</f>
        <v>702</v>
      </c>
      <c r="I1007" s="36" t="str">
        <f aca="false">IF(Raw_Export!$A1007="","",IFERROR(VLOOKUP(LOWER(TRIM(Raw_Export!H1007)),Maps!$D$2:$E$12,2,FALSE()),"Other"))</f>
        <v>Cash</v>
      </c>
      <c r="J1007" s="36" t="str">
        <f aca="false">IF(Raw_Export!$A1007="","",IF(COUNTIF($A$2:A1007,A1007)&gt;1,"Duplicate",""))</f>
        <v/>
      </c>
      <c r="K1007" s="36" t="str">
        <f aca="false">IF(Raw_Export!$A1007="","",IF(J1007="Duplicate","Duplicate",IF(OR(C1007="UNMAPPED",D1007="UNMAPPED"),"Unmapped",IF(F1007=0,"Blank qty",IF(F1007&lt;0,"Return","OK")))))</f>
        <v>OK</v>
      </c>
      <c r="L1007" s="36" t="n">
        <f aca="false">IF(Raw_Export!$A1007="","",IF(OR(K1007="OK",K1007="Return"),1,0))</f>
        <v>1</v>
      </c>
      <c r="M1007" s="37" t="n">
        <f aca="false">IF(Raw_Export!$A1007="","",B1007-WEEKDAY(B1007,2)+1)</f>
        <v>46265</v>
      </c>
    </row>
    <row r="1008" customFormat="false" ht="15" hidden="false" customHeight="false" outlineLevel="0" collapsed="false">
      <c r="A1008" s="36" t="str">
        <f aca="false">IF(Raw_Export!$A1008="","",TRIM(Raw_Export!A1008))</f>
        <v>TXN-100989</v>
      </c>
      <c r="B1008" s="37" t="n">
        <f aca="false">IF(Raw_Export!$A1008="","",IF(ISNUMBER(Raw_Export!B1008),Raw_Export!B1008,IF(MID(TRIM(Raw_Export!B1008),5,1)="-",DATE(LEFT(TRIM(Raw_Export!B1008),4),MID(TRIM(Raw_Export!B1008),6,2),RIGHT(TRIM(Raw_Export!B1008),2)),DATE(RIGHT(TRIM(Raw_Export!B1008),4),MATCH(MID(TRIM(Raw_Export!B1008),4,3),{"Jan","Feb","Mar","Apr","May","Jun","Jul","Aug","Sep","Oct","Nov","Dec"},0),LEFT(TRIM(Raw_Export!B1008),2)))))</f>
        <v>46271</v>
      </c>
      <c r="C1008" s="36" t="str">
        <f aca="false">IF(Raw_Export!$A1008="","",IFERROR(VLOOKUP(LOWER(TRIM(Raw_Export!C1008)),Maps!$A$2:$B$20,2,FALSE()),"UNMAPPED"))</f>
        <v>Mombasa</v>
      </c>
      <c r="D1008" s="36" t="str">
        <f aca="false">IF(Raw_Export!$A1008="","",IFERROR(VLOOKUP(LOWER(TRIM(Raw_Export!D1008)),Maps!$G$2:$I$80,2,FALSE()),"UNMAPPED"))</f>
        <v>Sugar 2kg</v>
      </c>
      <c r="E1008" s="36" t="str">
        <f aca="false">IF(Raw_Export!$A1008="","",IFERROR(VLOOKUP(LOWER(TRIM(Raw_Export!D1008)),Maps!$G$2:$I$80,3,FALSE()),"UNMAPPED"))</f>
        <v>Staples</v>
      </c>
      <c r="F1008" s="36" t="n">
        <f aca="false">IF(Raw_Export!$A1008="","",IFERROR(VALUE(TRIM(Raw_Export!E1008)),0))</f>
        <v>6</v>
      </c>
      <c r="G1008" s="38" t="n">
        <f aca="false">IF(Raw_Export!$A1008="","",IFERROR(VALUE(SUBSTITUTE(SUBSTITUTE(UPPER(TRIM(Raw_Export!F1008)),"KES",""),",","")),0))</f>
        <v>297</v>
      </c>
      <c r="H1008" s="38" t="n">
        <f aca="false">IF(Raw_Export!$A1008="","",F1008*G1008)</f>
        <v>1782</v>
      </c>
      <c r="I1008" s="36" t="str">
        <f aca="false">IF(Raw_Export!$A1008="","",IFERROR(VLOOKUP(LOWER(TRIM(Raw_Export!H1008)),Maps!$D$2:$E$12,2,FALSE()),"Other"))</f>
        <v>Cash</v>
      </c>
      <c r="J1008" s="36" t="str">
        <f aca="false">IF(Raw_Export!$A1008="","",IF(COUNTIF($A$2:A1008,A1008)&gt;1,"Duplicate",""))</f>
        <v/>
      </c>
      <c r="K1008" s="36" t="str">
        <f aca="false">IF(Raw_Export!$A1008="","",IF(J1008="Duplicate","Duplicate",IF(OR(C1008="UNMAPPED",D1008="UNMAPPED"),"Unmapped",IF(F1008=0,"Blank qty",IF(F1008&lt;0,"Return","OK")))))</f>
        <v>OK</v>
      </c>
      <c r="L1008" s="36" t="n">
        <f aca="false">IF(Raw_Export!$A1008="","",IF(OR(K1008="OK",K1008="Return"),1,0))</f>
        <v>1</v>
      </c>
      <c r="M1008" s="37" t="n">
        <f aca="false">IF(Raw_Export!$A1008="","",B1008-WEEKDAY(B1008,2)+1)</f>
        <v>46265</v>
      </c>
    </row>
    <row r="1009" customFormat="false" ht="15" hidden="false" customHeight="false" outlineLevel="0" collapsed="false">
      <c r="A1009" s="36" t="str">
        <f aca="false">IF(Raw_Export!$A1009="","",TRIM(Raw_Export!A1009))</f>
        <v>TXN-100990</v>
      </c>
      <c r="B1009" s="37" t="n">
        <f aca="false">IF(Raw_Export!$A1009="","",IF(ISNUMBER(Raw_Export!B1009),Raw_Export!B1009,IF(MID(TRIM(Raw_Export!B1009),5,1)="-",DATE(LEFT(TRIM(Raw_Export!B1009),4),MID(TRIM(Raw_Export!B1009),6,2),RIGHT(TRIM(Raw_Export!B1009),2)),DATE(RIGHT(TRIM(Raw_Export!B1009),4),MATCH(MID(TRIM(Raw_Export!B1009),4,3),{"Jan","Feb","Mar","Apr","May","Jun","Jul","Aug","Sep","Oct","Nov","Dec"},0),LEFT(TRIM(Raw_Export!B1009),2)))))</f>
        <v>46271</v>
      </c>
      <c r="C1009" s="36" t="str">
        <f aca="false">IF(Raw_Export!$A1009="","",IFERROR(VLOOKUP(LOWER(TRIM(Raw_Export!C1009)),Maps!$A$2:$B$20,2,FALSE()),"UNMAPPED"))</f>
        <v>Mombasa</v>
      </c>
      <c r="D1009" s="36" t="str">
        <f aca="false">IF(Raw_Export!$A1009="","",IFERROR(VLOOKUP(LOWER(TRIM(Raw_Export!D1009)),Maps!$G$2:$I$80,2,FALSE()),"UNMAPPED"))</f>
        <v>Washing Powder 1kg</v>
      </c>
      <c r="E1009" s="36" t="str">
        <f aca="false">IF(Raw_Export!$A1009="","",IFERROR(VLOOKUP(LOWER(TRIM(Raw_Export!D1009)),Maps!$G$2:$I$80,3,FALSE()),"UNMAPPED"))</f>
        <v>Household</v>
      </c>
      <c r="F1009" s="36" t="n">
        <f aca="false">IF(Raw_Export!$A1009="","",IFERROR(VALUE(TRIM(Raw_Export!E1009)),0))</f>
        <v>2</v>
      </c>
      <c r="G1009" s="38" t="n">
        <f aca="false">IF(Raw_Export!$A1009="","",IFERROR(VALUE(SUBSTITUTE(SUBSTITUTE(UPPER(TRIM(Raw_Export!F1009)),"KES",""),",","")),0))</f>
        <v>280</v>
      </c>
      <c r="H1009" s="38" t="n">
        <f aca="false">IF(Raw_Export!$A1009="","",F1009*G1009)</f>
        <v>560</v>
      </c>
      <c r="I1009" s="36" t="str">
        <f aca="false">IF(Raw_Export!$A1009="","",IFERROR(VLOOKUP(LOWER(TRIM(Raw_Export!H1009)),Maps!$D$2:$E$12,2,FALSE()),"Other"))</f>
        <v>M-Pesa</v>
      </c>
      <c r="J1009" s="36" t="str">
        <f aca="false">IF(Raw_Export!$A1009="","",IF(COUNTIF($A$2:A1009,A1009)&gt;1,"Duplicate",""))</f>
        <v/>
      </c>
      <c r="K1009" s="36" t="str">
        <f aca="false">IF(Raw_Export!$A1009="","",IF(J1009="Duplicate","Duplicate",IF(OR(C1009="UNMAPPED",D1009="UNMAPPED"),"Unmapped",IF(F1009=0,"Blank qty",IF(F1009&lt;0,"Return","OK")))))</f>
        <v>OK</v>
      </c>
      <c r="L1009" s="36" t="n">
        <f aca="false">IF(Raw_Export!$A1009="","",IF(OR(K1009="OK",K1009="Return"),1,0))</f>
        <v>1</v>
      </c>
      <c r="M1009" s="37" t="n">
        <f aca="false">IF(Raw_Export!$A1009="","",B1009-WEEKDAY(B1009,2)+1)</f>
        <v>46265</v>
      </c>
    </row>
    <row r="1010" customFormat="false" ht="15" hidden="false" customHeight="false" outlineLevel="0" collapsed="false">
      <c r="A1010" s="36" t="str">
        <f aca="false">IF(Raw_Export!$A1010="","",TRIM(Raw_Export!A1010))</f>
        <v>TXN-100991</v>
      </c>
      <c r="B1010" s="37" t="n">
        <f aca="false">IF(Raw_Export!$A1010="","",IF(ISNUMBER(Raw_Export!B1010),Raw_Export!B1010,IF(MID(TRIM(Raw_Export!B1010),5,1)="-",DATE(LEFT(TRIM(Raw_Export!B1010),4),MID(TRIM(Raw_Export!B1010),6,2),RIGHT(TRIM(Raw_Export!B1010),2)),DATE(RIGHT(TRIM(Raw_Export!B1010),4),MATCH(MID(TRIM(Raw_Export!B1010),4,3),{"Jan","Feb","Mar","Apr","May","Jun","Jul","Aug","Sep","Oct","Nov","Dec"},0),LEFT(TRIM(Raw_Export!B1010),2)))))</f>
        <v>46271</v>
      </c>
      <c r="C1010" s="36" t="str">
        <f aca="false">IF(Raw_Export!$A1010="","",IFERROR(VLOOKUP(LOWER(TRIM(Raw_Export!C1010)),Maps!$A$2:$B$20,2,FALSE()),"UNMAPPED"))</f>
        <v>Mombasa</v>
      </c>
      <c r="D1010" s="36" t="str">
        <f aca="false">IF(Raw_Export!$A1010="","",IFERROR(VLOOKUP(LOWER(TRIM(Raw_Export!D1010)),Maps!$G$2:$I$80,2,FALSE()),"UNMAPPED"))</f>
        <v>Salt 500g</v>
      </c>
      <c r="E1010" s="36" t="str">
        <f aca="false">IF(Raw_Export!$A1010="","",IFERROR(VLOOKUP(LOWER(TRIM(Raw_Export!D1010)),Maps!$G$2:$I$80,3,FALSE()),"UNMAPPED"))</f>
        <v>Staples</v>
      </c>
      <c r="F1010" s="36" t="n">
        <f aca="false">IF(Raw_Export!$A1010="","",IFERROR(VALUE(TRIM(Raw_Export!E1010)),0))</f>
        <v>1</v>
      </c>
      <c r="G1010" s="38" t="n">
        <f aca="false">IF(Raw_Export!$A1010="","",IFERROR(VALUE(SUBSTITUTE(SUBSTITUTE(UPPER(TRIM(Raw_Export!F1010)),"KES",""),",","")),0))</f>
        <v>40</v>
      </c>
      <c r="H1010" s="38" t="n">
        <f aca="false">IF(Raw_Export!$A1010="","",F1010*G1010)</f>
        <v>40</v>
      </c>
      <c r="I1010" s="36" t="str">
        <f aca="false">IF(Raw_Export!$A1010="","",IFERROR(VLOOKUP(LOWER(TRIM(Raw_Export!H1010)),Maps!$D$2:$E$12,2,FALSE()),"Other"))</f>
        <v>Card</v>
      </c>
      <c r="J1010" s="36" t="str">
        <f aca="false">IF(Raw_Export!$A1010="","",IF(COUNTIF($A$2:A1010,A1010)&gt;1,"Duplicate",""))</f>
        <v/>
      </c>
      <c r="K1010" s="36" t="str">
        <f aca="false">IF(Raw_Export!$A1010="","",IF(J1010="Duplicate","Duplicate",IF(OR(C1010="UNMAPPED",D1010="UNMAPPED"),"Unmapped",IF(F1010=0,"Blank qty",IF(F1010&lt;0,"Return","OK")))))</f>
        <v>OK</v>
      </c>
      <c r="L1010" s="36" t="n">
        <f aca="false">IF(Raw_Export!$A1010="","",IF(OR(K1010="OK",K1010="Return"),1,0))</f>
        <v>1</v>
      </c>
      <c r="M1010" s="37" t="n">
        <f aca="false">IF(Raw_Export!$A1010="","",B1010-WEEKDAY(B1010,2)+1)</f>
        <v>46265</v>
      </c>
    </row>
    <row r="1011" customFormat="false" ht="15" hidden="false" customHeight="false" outlineLevel="0" collapsed="false">
      <c r="A1011" s="36" t="str">
        <f aca="false">IF(Raw_Export!$A1011="","",TRIM(Raw_Export!A1011))</f>
        <v>TXN-100992</v>
      </c>
      <c r="B1011" s="37" t="n">
        <f aca="false">IF(Raw_Export!$A1011="","",IF(ISNUMBER(Raw_Export!B1011),Raw_Export!B1011,IF(MID(TRIM(Raw_Export!B1011),5,1)="-",DATE(LEFT(TRIM(Raw_Export!B1011),4),MID(TRIM(Raw_Export!B1011),6,2),RIGHT(TRIM(Raw_Export!B1011),2)),DATE(RIGHT(TRIM(Raw_Export!B1011),4),MATCH(MID(TRIM(Raw_Export!B1011),4,3),{"Jan","Feb","Mar","Apr","May","Jun","Jul","Aug","Sep","Oct","Nov","Dec"},0),LEFT(TRIM(Raw_Export!B1011),2)))))</f>
        <v>46271</v>
      </c>
      <c r="C1011" s="36" t="str">
        <f aca="false">IF(Raw_Export!$A1011="","",IFERROR(VLOOKUP(LOWER(TRIM(Raw_Export!C1011)),Maps!$A$2:$B$20,2,FALSE()),"UNMAPPED"))</f>
        <v>Mombasa</v>
      </c>
      <c r="D1011" s="36" t="str">
        <f aca="false">IF(Raw_Export!$A1011="","",IFERROR(VLOOKUP(LOWER(TRIM(Raw_Export!D1011)),Maps!$G$2:$I$80,2,FALSE()),"UNMAPPED"))</f>
        <v>Deodorant 150ml</v>
      </c>
      <c r="E1011" s="36" t="str">
        <f aca="false">IF(Raw_Export!$A1011="","",IFERROR(VLOOKUP(LOWER(TRIM(Raw_Export!D1011)),Maps!$G$2:$I$80,3,FALSE()),"UNMAPPED"))</f>
        <v>Personal Care</v>
      </c>
      <c r="F1011" s="36" t="n">
        <f aca="false">IF(Raw_Export!$A1011="","",IFERROR(VALUE(TRIM(Raw_Export!E1011)),0))</f>
        <v>2</v>
      </c>
      <c r="G1011" s="38" t="n">
        <f aca="false">IF(Raw_Export!$A1011="","",IFERROR(VALUE(SUBSTITUTE(SUBSTITUTE(UPPER(TRIM(Raw_Export!F1011)),"KES",""),",","")),0))</f>
        <v>350</v>
      </c>
      <c r="H1011" s="38" t="n">
        <f aca="false">IF(Raw_Export!$A1011="","",F1011*G1011)</f>
        <v>700</v>
      </c>
      <c r="I1011" s="36" t="str">
        <f aca="false">IF(Raw_Export!$A1011="","",IFERROR(VLOOKUP(LOWER(TRIM(Raw_Export!H1011)),Maps!$D$2:$E$12,2,FALSE()),"Other"))</f>
        <v>Cash</v>
      </c>
      <c r="J1011" s="36" t="str">
        <f aca="false">IF(Raw_Export!$A1011="","",IF(COUNTIF($A$2:A1011,A1011)&gt;1,"Duplicate",""))</f>
        <v/>
      </c>
      <c r="K1011" s="36" t="str">
        <f aca="false">IF(Raw_Export!$A1011="","",IF(J1011="Duplicate","Duplicate",IF(OR(C1011="UNMAPPED",D1011="UNMAPPED"),"Unmapped",IF(F1011=0,"Blank qty",IF(F1011&lt;0,"Return","OK")))))</f>
        <v>OK</v>
      </c>
      <c r="L1011" s="36" t="n">
        <f aca="false">IF(Raw_Export!$A1011="","",IF(OR(K1011="OK",K1011="Return"),1,0))</f>
        <v>1</v>
      </c>
      <c r="M1011" s="37" t="n">
        <f aca="false">IF(Raw_Export!$A1011="","",B1011-WEEKDAY(B1011,2)+1)</f>
        <v>46265</v>
      </c>
    </row>
    <row r="1012" customFormat="false" ht="15" hidden="false" customHeight="false" outlineLevel="0" collapsed="false">
      <c r="A1012" s="36" t="str">
        <f aca="false">IF(Raw_Export!$A1012="","",TRIM(Raw_Export!A1012))</f>
        <v>TXN-100993</v>
      </c>
      <c r="B1012" s="37" t="n">
        <f aca="false">IF(Raw_Export!$A1012="","",IF(ISNUMBER(Raw_Export!B1012),Raw_Export!B1012,IF(MID(TRIM(Raw_Export!B1012),5,1)="-",DATE(LEFT(TRIM(Raw_Export!B1012),4),MID(TRIM(Raw_Export!B1012),6,2),RIGHT(TRIM(Raw_Export!B1012),2)),DATE(RIGHT(TRIM(Raw_Export!B1012),4),MATCH(MID(TRIM(Raw_Export!B1012),4,3),{"Jan","Feb","Mar","Apr","May","Jun","Jul","Aug","Sep","Oct","Nov","Dec"},0),LEFT(TRIM(Raw_Export!B1012),2)))))</f>
        <v>46271</v>
      </c>
      <c r="C1012" s="36" t="str">
        <f aca="false">IF(Raw_Export!$A1012="","",IFERROR(VLOOKUP(LOWER(TRIM(Raw_Export!C1012)),Maps!$A$2:$B$20,2,FALSE()),"UNMAPPED"))</f>
        <v>Mombasa</v>
      </c>
      <c r="D1012" s="36" t="str">
        <f aca="false">IF(Raw_Export!$A1012="","",IFERROR(VLOOKUP(LOWER(TRIM(Raw_Export!D1012)),Maps!$G$2:$I$80,2,FALSE()),"UNMAPPED"))</f>
        <v>Coffee 100g</v>
      </c>
      <c r="E1012" s="36" t="str">
        <f aca="false">IF(Raw_Export!$A1012="","",IFERROR(VLOOKUP(LOWER(TRIM(Raw_Export!D1012)),Maps!$G$2:$I$80,3,FALSE()),"UNMAPPED"))</f>
        <v>Beverages</v>
      </c>
      <c r="F1012" s="36" t="n">
        <f aca="false">IF(Raw_Export!$A1012="","",IFERROR(VALUE(TRIM(Raw_Export!E1012)),0))</f>
        <v>3</v>
      </c>
      <c r="G1012" s="38" t="n">
        <f aca="false">IF(Raw_Export!$A1012="","",IFERROR(VALUE(SUBSTITUTE(SUBSTITUTE(UPPER(TRIM(Raw_Export!F1012)),"KES",""),",","")),0))</f>
        <v>360</v>
      </c>
      <c r="H1012" s="38" t="n">
        <f aca="false">IF(Raw_Export!$A1012="","",F1012*G1012)</f>
        <v>1080</v>
      </c>
      <c r="I1012" s="36" t="str">
        <f aca="false">IF(Raw_Export!$A1012="","",IFERROR(VLOOKUP(LOWER(TRIM(Raw_Export!H1012)),Maps!$D$2:$E$12,2,FALSE()),"Other"))</f>
        <v>M-Pesa</v>
      </c>
      <c r="J1012" s="36" t="str">
        <f aca="false">IF(Raw_Export!$A1012="","",IF(COUNTIF($A$2:A1012,A1012)&gt;1,"Duplicate",""))</f>
        <v/>
      </c>
      <c r="K1012" s="36" t="str">
        <f aca="false">IF(Raw_Export!$A1012="","",IF(J1012="Duplicate","Duplicate",IF(OR(C1012="UNMAPPED",D1012="UNMAPPED"),"Unmapped",IF(F1012=0,"Blank qty",IF(F1012&lt;0,"Return","OK")))))</f>
        <v>OK</v>
      </c>
      <c r="L1012" s="36" t="n">
        <f aca="false">IF(Raw_Export!$A1012="","",IF(OR(K1012="OK",K1012="Return"),1,0))</f>
        <v>1</v>
      </c>
      <c r="M1012" s="37" t="n">
        <f aca="false">IF(Raw_Export!$A1012="","",B1012-WEEKDAY(B1012,2)+1)</f>
        <v>46265</v>
      </c>
    </row>
    <row r="1013" customFormat="false" ht="15" hidden="false" customHeight="false" outlineLevel="0" collapsed="false">
      <c r="A1013" s="36" t="str">
        <f aca="false">IF(Raw_Export!$A1013="","",TRIM(Raw_Export!A1013))</f>
        <v>TXN-100994</v>
      </c>
      <c r="B1013" s="37" t="n">
        <f aca="false">IF(Raw_Export!$A1013="","",IF(ISNUMBER(Raw_Export!B1013),Raw_Export!B1013,IF(MID(TRIM(Raw_Export!B1013),5,1)="-",DATE(LEFT(TRIM(Raw_Export!B1013),4),MID(TRIM(Raw_Export!B1013),6,2),RIGHT(TRIM(Raw_Export!B1013),2)),DATE(RIGHT(TRIM(Raw_Export!B1013),4),MATCH(MID(TRIM(Raw_Export!B1013),4,3),{"Jan","Feb","Mar","Apr","May","Jun","Jul","Aug","Sep","Oct","Nov","Dec"},0),LEFT(TRIM(Raw_Export!B1013),2)))))</f>
        <v>46271</v>
      </c>
      <c r="C1013" s="36" t="str">
        <f aca="false">IF(Raw_Export!$A1013="","",IFERROR(VLOOKUP(LOWER(TRIM(Raw_Export!C1013)),Maps!$A$2:$B$20,2,FALSE()),"UNMAPPED"))</f>
        <v>Mombasa</v>
      </c>
      <c r="D1013" s="36" t="str">
        <f aca="false">IF(Raw_Export!$A1013="","",IFERROR(VLOOKUP(LOWER(TRIM(Raw_Export!D1013)),Maps!$G$2:$I$80,2,FALSE()),"UNMAPPED"))</f>
        <v>Sanitary Pads 8pk</v>
      </c>
      <c r="E1013" s="36" t="str">
        <f aca="false">IF(Raw_Export!$A1013="","",IFERROR(VLOOKUP(LOWER(TRIM(Raw_Export!D1013)),Maps!$G$2:$I$80,3,FALSE()),"UNMAPPED"))</f>
        <v>Personal Care</v>
      </c>
      <c r="F1013" s="36" t="n">
        <f aca="false">IF(Raw_Export!$A1013="","",IFERROR(VALUE(TRIM(Raw_Export!E1013)),0))</f>
        <v>3</v>
      </c>
      <c r="G1013" s="38" t="n">
        <f aca="false">IF(Raw_Export!$A1013="","",IFERROR(VALUE(SUBSTITUTE(SUBSTITUTE(UPPER(TRIM(Raw_Export!F1013)),"KES",""),",","")),0))</f>
        <v>130</v>
      </c>
      <c r="H1013" s="38" t="n">
        <f aca="false">IF(Raw_Export!$A1013="","",F1013*G1013)</f>
        <v>390</v>
      </c>
      <c r="I1013" s="36" t="str">
        <f aca="false">IF(Raw_Export!$A1013="","",IFERROR(VLOOKUP(LOWER(TRIM(Raw_Export!H1013)),Maps!$D$2:$E$12,2,FALSE()),"Other"))</f>
        <v>M-Pesa</v>
      </c>
      <c r="J1013" s="36" t="str">
        <f aca="false">IF(Raw_Export!$A1013="","",IF(COUNTIF($A$2:A1013,A1013)&gt;1,"Duplicate",""))</f>
        <v/>
      </c>
      <c r="K1013" s="36" t="str">
        <f aca="false">IF(Raw_Export!$A1013="","",IF(J1013="Duplicate","Duplicate",IF(OR(C1013="UNMAPPED",D1013="UNMAPPED"),"Unmapped",IF(F1013=0,"Blank qty",IF(F1013&lt;0,"Return","OK")))))</f>
        <v>OK</v>
      </c>
      <c r="L1013" s="36" t="n">
        <f aca="false">IF(Raw_Export!$A1013="","",IF(OR(K1013="OK",K1013="Return"),1,0))</f>
        <v>1</v>
      </c>
      <c r="M1013" s="37" t="n">
        <f aca="false">IF(Raw_Export!$A1013="","",B1013-WEEKDAY(B1013,2)+1)</f>
        <v>46265</v>
      </c>
    </row>
    <row r="1014" customFormat="false" ht="15" hidden="false" customHeight="false" outlineLevel="0" collapsed="false">
      <c r="A1014" s="36" t="str">
        <f aca="false">IF(Raw_Export!$A1014="","",TRIM(Raw_Export!A1014))</f>
        <v>TXN-100995</v>
      </c>
      <c r="B1014" s="37" t="n">
        <f aca="false">IF(Raw_Export!$A1014="","",IF(ISNUMBER(Raw_Export!B1014),Raw_Export!B1014,IF(MID(TRIM(Raw_Export!B1014),5,1)="-",DATE(LEFT(TRIM(Raw_Export!B1014),4),MID(TRIM(Raw_Export!B1014),6,2),RIGHT(TRIM(Raw_Export!B1014),2)),DATE(RIGHT(TRIM(Raw_Export!B1014),4),MATCH(MID(TRIM(Raw_Export!B1014),4,3),{"Jan","Feb","Mar","Apr","May","Jun","Jul","Aug","Sep","Oct","Nov","Dec"},0),LEFT(TRIM(Raw_Export!B1014),2)))))</f>
        <v>46271</v>
      </c>
      <c r="C1014" s="36" t="str">
        <f aca="false">IF(Raw_Export!$A1014="","",IFERROR(VLOOKUP(LOWER(TRIM(Raw_Export!C1014)),Maps!$A$2:$B$20,2,FALSE()),"UNMAPPED"))</f>
        <v>Mombasa</v>
      </c>
      <c r="D1014" s="36" t="str">
        <f aca="false">IF(Raw_Export!$A1014="","",IFERROR(VLOOKUP(LOWER(TRIM(Raw_Export!D1014)),Maps!$G$2:$I$80,2,FALSE()),"UNMAPPED"))</f>
        <v>Bath Soap 175g</v>
      </c>
      <c r="E1014" s="36" t="str">
        <f aca="false">IF(Raw_Export!$A1014="","",IFERROR(VLOOKUP(LOWER(TRIM(Raw_Export!D1014)),Maps!$G$2:$I$80,3,FALSE()),"UNMAPPED"))</f>
        <v>Personal Care</v>
      </c>
      <c r="F1014" s="36" t="n">
        <f aca="false">IF(Raw_Export!$A1014="","",IFERROR(VALUE(TRIM(Raw_Export!E1014)),0))</f>
        <v>1</v>
      </c>
      <c r="G1014" s="38" t="n">
        <f aca="false">IF(Raw_Export!$A1014="","",IFERROR(VALUE(SUBSTITUTE(SUBSTITUTE(UPPER(TRIM(Raw_Export!F1014)),"KES",""),",","")),0))</f>
        <v>76</v>
      </c>
      <c r="H1014" s="38" t="n">
        <f aca="false">IF(Raw_Export!$A1014="","",F1014*G1014)</f>
        <v>76</v>
      </c>
      <c r="I1014" s="36" t="str">
        <f aca="false">IF(Raw_Export!$A1014="","",IFERROR(VLOOKUP(LOWER(TRIM(Raw_Export!H1014)),Maps!$D$2:$E$12,2,FALSE()),"Other"))</f>
        <v>Card</v>
      </c>
      <c r="J1014" s="36" t="str">
        <f aca="false">IF(Raw_Export!$A1014="","",IF(COUNTIF($A$2:A1014,A1014)&gt;1,"Duplicate",""))</f>
        <v/>
      </c>
      <c r="K1014" s="36" t="str">
        <f aca="false">IF(Raw_Export!$A1014="","",IF(J1014="Duplicate","Duplicate",IF(OR(C1014="UNMAPPED",D1014="UNMAPPED"),"Unmapped",IF(F1014=0,"Blank qty",IF(F1014&lt;0,"Return","OK")))))</f>
        <v>OK</v>
      </c>
      <c r="L1014" s="36" t="n">
        <f aca="false">IF(Raw_Export!$A1014="","",IF(OR(K1014="OK",K1014="Return"),1,0))</f>
        <v>1</v>
      </c>
      <c r="M1014" s="37" t="n">
        <f aca="false">IF(Raw_Export!$A1014="","",B1014-WEEKDAY(B1014,2)+1)</f>
        <v>46265</v>
      </c>
    </row>
    <row r="1015" customFormat="false" ht="15" hidden="false" customHeight="false" outlineLevel="0" collapsed="false">
      <c r="A1015" s="36" t="str">
        <f aca="false">IF(Raw_Export!$A1015="","",TRIM(Raw_Export!A1015))</f>
        <v>TXN-100996</v>
      </c>
      <c r="B1015" s="37" t="n">
        <f aca="false">IF(Raw_Export!$A1015="","",IF(ISNUMBER(Raw_Export!B1015),Raw_Export!B1015,IF(MID(TRIM(Raw_Export!B1015),5,1)="-",DATE(LEFT(TRIM(Raw_Export!B1015),4),MID(TRIM(Raw_Export!B1015),6,2),RIGHT(TRIM(Raw_Export!B1015),2)),DATE(RIGHT(TRIM(Raw_Export!B1015),4),MATCH(MID(TRIM(Raw_Export!B1015),4,3),{"Jan","Feb","Mar","Apr","May","Jun","Jul","Aug","Sep","Oct","Nov","Dec"},0),LEFT(TRIM(Raw_Export!B1015),2)))))</f>
        <v>46271</v>
      </c>
      <c r="C1015" s="36" t="str">
        <f aca="false">IF(Raw_Export!$A1015="","",IFERROR(VLOOKUP(LOWER(TRIM(Raw_Export!C1015)),Maps!$A$2:$B$20,2,FALSE()),"UNMAPPED"))</f>
        <v>Mombasa</v>
      </c>
      <c r="D1015" s="36" t="str">
        <f aca="false">IF(Raw_Export!$A1015="","",IFERROR(VLOOKUP(LOWER(TRIM(Raw_Export!D1015)),Maps!$G$2:$I$80,2,FALSE()),"UNMAPPED"))</f>
        <v>Juice 1L</v>
      </c>
      <c r="E1015" s="36" t="str">
        <f aca="false">IF(Raw_Export!$A1015="","",IFERROR(VLOOKUP(LOWER(TRIM(Raw_Export!D1015)),Maps!$G$2:$I$80,3,FALSE()),"UNMAPPED"))</f>
        <v>Beverages</v>
      </c>
      <c r="F1015" s="36" t="n">
        <f aca="false">IF(Raw_Export!$A1015="","",IFERROR(VALUE(TRIM(Raw_Export!E1015)),0))</f>
        <v>1</v>
      </c>
      <c r="G1015" s="38" t="n">
        <f aca="false">IF(Raw_Export!$A1015="","",IFERROR(VALUE(SUBSTITUTE(SUBSTITUTE(UPPER(TRIM(Raw_Export!F1015)),"KES",""),",","")),0))</f>
        <v>210</v>
      </c>
      <c r="H1015" s="38" t="n">
        <f aca="false">IF(Raw_Export!$A1015="","",F1015*G1015)</f>
        <v>210</v>
      </c>
      <c r="I1015" s="36" t="str">
        <f aca="false">IF(Raw_Export!$A1015="","",IFERROR(VLOOKUP(LOWER(TRIM(Raw_Export!H1015)),Maps!$D$2:$E$12,2,FALSE()),"Other"))</f>
        <v>M-Pesa</v>
      </c>
      <c r="J1015" s="36" t="str">
        <f aca="false">IF(Raw_Export!$A1015="","",IF(COUNTIF($A$2:A1015,A1015)&gt;1,"Duplicate",""))</f>
        <v/>
      </c>
      <c r="K1015" s="36" t="str">
        <f aca="false">IF(Raw_Export!$A1015="","",IF(J1015="Duplicate","Duplicate",IF(OR(C1015="UNMAPPED",D1015="UNMAPPED"),"Unmapped",IF(F1015=0,"Blank qty",IF(F1015&lt;0,"Return","OK")))))</f>
        <v>OK</v>
      </c>
      <c r="L1015" s="36" t="n">
        <f aca="false">IF(Raw_Export!$A1015="","",IF(OR(K1015="OK",K1015="Return"),1,0))</f>
        <v>1</v>
      </c>
      <c r="M1015" s="37" t="n">
        <f aca="false">IF(Raw_Export!$A1015="","",B1015-WEEKDAY(B1015,2)+1)</f>
        <v>46265</v>
      </c>
    </row>
    <row r="1016" customFormat="false" ht="15" hidden="false" customHeight="false" outlineLevel="0" collapsed="false">
      <c r="A1016" s="36" t="str">
        <f aca="false">IF(Raw_Export!$A1016="","",TRIM(Raw_Export!A1016))</f>
        <v>TXN-100997</v>
      </c>
      <c r="B1016" s="37" t="n">
        <f aca="false">IF(Raw_Export!$A1016="","",IF(ISNUMBER(Raw_Export!B1016),Raw_Export!B1016,IF(MID(TRIM(Raw_Export!B1016),5,1)="-",DATE(LEFT(TRIM(Raw_Export!B1016),4),MID(TRIM(Raw_Export!B1016),6,2),RIGHT(TRIM(Raw_Export!B1016),2)),DATE(RIGHT(TRIM(Raw_Export!B1016),4),MATCH(MID(TRIM(Raw_Export!B1016),4,3),{"Jan","Feb","Mar","Apr","May","Jun","Jul","Aug","Sep","Oct","Nov","Dec"},0),LEFT(TRIM(Raw_Export!B1016),2)))))</f>
        <v>46271</v>
      </c>
      <c r="C1016" s="36" t="str">
        <f aca="false">IF(Raw_Export!$A1016="","",IFERROR(VLOOKUP(LOWER(TRIM(Raw_Export!C1016)),Maps!$A$2:$B$20,2,FALSE()),"UNMAPPED"))</f>
        <v>Mombasa</v>
      </c>
      <c r="D1016" s="36" t="str">
        <f aca="false">IF(Raw_Export!$A1016="","",IFERROR(VLOOKUP(LOWER(TRIM(Raw_Export!D1016)),Maps!$G$2:$I$80,2,FALSE()),"UNMAPPED"))</f>
        <v>Bread Loaf 400g</v>
      </c>
      <c r="E1016" s="36" t="str">
        <f aca="false">IF(Raw_Export!$A1016="","",IFERROR(VLOOKUP(LOWER(TRIM(Raw_Export!D1016)),Maps!$G$2:$I$80,3,FALSE()),"UNMAPPED"))</f>
        <v>Snacks</v>
      </c>
      <c r="F1016" s="36" t="n">
        <f aca="false">IF(Raw_Export!$A1016="","",IFERROR(VALUE(TRIM(Raw_Export!E1016)),0))</f>
        <v>2</v>
      </c>
      <c r="G1016" s="38" t="n">
        <f aca="false">IF(Raw_Export!$A1016="","",IFERROR(VALUE(SUBSTITUTE(SUBSTITUTE(UPPER(TRIM(Raw_Export!F1016)),"KES",""),",","")),0))</f>
        <v>65</v>
      </c>
      <c r="H1016" s="38" t="n">
        <f aca="false">IF(Raw_Export!$A1016="","",F1016*G1016)</f>
        <v>130</v>
      </c>
      <c r="I1016" s="36" t="str">
        <f aca="false">IF(Raw_Export!$A1016="","",IFERROR(VLOOKUP(LOWER(TRIM(Raw_Export!H1016)),Maps!$D$2:$E$12,2,FALSE()),"Other"))</f>
        <v>M-Pesa</v>
      </c>
      <c r="J1016" s="36" t="str">
        <f aca="false">IF(Raw_Export!$A1016="","",IF(COUNTIF($A$2:A1016,A1016)&gt;1,"Duplicate",""))</f>
        <v/>
      </c>
      <c r="K1016" s="36" t="str">
        <f aca="false">IF(Raw_Export!$A1016="","",IF(J1016="Duplicate","Duplicate",IF(OR(C1016="UNMAPPED",D1016="UNMAPPED"),"Unmapped",IF(F1016=0,"Blank qty",IF(F1016&lt;0,"Return","OK")))))</f>
        <v>OK</v>
      </c>
      <c r="L1016" s="36" t="n">
        <f aca="false">IF(Raw_Export!$A1016="","",IF(OR(K1016="OK",K1016="Return"),1,0))</f>
        <v>1</v>
      </c>
      <c r="M1016" s="37" t="n">
        <f aca="false">IF(Raw_Export!$A1016="","",B1016-WEEKDAY(B1016,2)+1)</f>
        <v>46265</v>
      </c>
    </row>
    <row r="1017" customFormat="false" ht="15" hidden="false" customHeight="false" outlineLevel="0" collapsed="false">
      <c r="A1017" s="36" t="str">
        <f aca="false">IF(Raw_Export!$A1017="","",TRIM(Raw_Export!A1017))</f>
        <v>TXN-100998</v>
      </c>
      <c r="B1017" s="37" t="n">
        <f aca="false">IF(Raw_Export!$A1017="","",IF(ISNUMBER(Raw_Export!B1017),Raw_Export!B1017,IF(MID(TRIM(Raw_Export!B1017),5,1)="-",DATE(LEFT(TRIM(Raw_Export!B1017),4),MID(TRIM(Raw_Export!B1017),6,2),RIGHT(TRIM(Raw_Export!B1017),2)),DATE(RIGHT(TRIM(Raw_Export!B1017),4),MATCH(MID(TRIM(Raw_Export!B1017),4,3),{"Jan","Feb","Mar","Apr","May","Jun","Jul","Aug","Sep","Oct","Nov","Dec"},0),LEFT(TRIM(Raw_Export!B1017),2)))))</f>
        <v>46271</v>
      </c>
      <c r="C1017" s="36" t="str">
        <f aca="false">IF(Raw_Export!$A1017="","",IFERROR(VLOOKUP(LOWER(TRIM(Raw_Export!C1017)),Maps!$A$2:$B$20,2,FALSE()),"UNMAPPED"))</f>
        <v>Mombasa</v>
      </c>
      <c r="D1017" s="36" t="str">
        <f aca="false">IF(Raw_Export!$A1017="","",IFERROR(VLOOKUP(LOWER(TRIM(Raw_Export!D1017)),Maps!$G$2:$I$80,2,FALSE()),"UNMAPPED"))</f>
        <v>Eggs Tray 30</v>
      </c>
      <c r="E1017" s="36" t="str">
        <f aca="false">IF(Raw_Export!$A1017="","",IFERROR(VLOOKUP(LOWER(TRIM(Raw_Export!D1017)),Maps!$G$2:$I$80,3,FALSE()),"UNMAPPED"))</f>
        <v>Dairy &amp; Eggs</v>
      </c>
      <c r="F1017" s="36" t="n">
        <f aca="false">IF(Raw_Export!$A1017="","",IFERROR(VALUE(TRIM(Raw_Export!E1017)),0))</f>
        <v>2</v>
      </c>
      <c r="G1017" s="38" t="n">
        <f aca="false">IF(Raw_Export!$A1017="","",IFERROR(VALUE(SUBSTITUTE(SUBSTITUTE(UPPER(TRIM(Raw_Export!F1017)),"KES",""),",","")),0))</f>
        <v>450</v>
      </c>
      <c r="H1017" s="38" t="n">
        <f aca="false">IF(Raw_Export!$A1017="","",F1017*G1017)</f>
        <v>900</v>
      </c>
      <c r="I1017" s="36" t="str">
        <f aca="false">IF(Raw_Export!$A1017="","",IFERROR(VLOOKUP(LOWER(TRIM(Raw_Export!H1017)),Maps!$D$2:$E$12,2,FALSE()),"Other"))</f>
        <v>M-Pesa</v>
      </c>
      <c r="J1017" s="36" t="str">
        <f aca="false">IF(Raw_Export!$A1017="","",IF(COUNTIF($A$2:A1017,A1017)&gt;1,"Duplicate",""))</f>
        <v/>
      </c>
      <c r="K1017" s="36" t="str">
        <f aca="false">IF(Raw_Export!$A1017="","",IF(J1017="Duplicate","Duplicate",IF(OR(C1017="UNMAPPED",D1017="UNMAPPED"),"Unmapped",IF(F1017=0,"Blank qty",IF(F1017&lt;0,"Return","OK")))))</f>
        <v>OK</v>
      </c>
      <c r="L1017" s="36" t="n">
        <f aca="false">IF(Raw_Export!$A1017="","",IF(OR(K1017="OK",K1017="Return"),1,0))</f>
        <v>1</v>
      </c>
      <c r="M1017" s="37" t="n">
        <f aca="false">IF(Raw_Export!$A1017="","",B1017-WEEKDAY(B1017,2)+1)</f>
        <v>46265</v>
      </c>
    </row>
    <row r="1018" customFormat="false" ht="15" hidden="false" customHeight="false" outlineLevel="0" collapsed="false">
      <c r="A1018" s="36" t="str">
        <f aca="false">IF(Raw_Export!$A1018="","",TRIM(Raw_Export!A1018))</f>
        <v>TXN-100999</v>
      </c>
      <c r="B1018" s="37" t="n">
        <f aca="false">IF(Raw_Export!$A1018="","",IF(ISNUMBER(Raw_Export!B1018),Raw_Export!B1018,IF(MID(TRIM(Raw_Export!B1018),5,1)="-",DATE(LEFT(TRIM(Raw_Export!B1018),4),MID(TRIM(Raw_Export!B1018),6,2),RIGHT(TRIM(Raw_Export!B1018),2)),DATE(RIGHT(TRIM(Raw_Export!B1018),4),MATCH(MID(TRIM(Raw_Export!B1018),4,3),{"Jan","Feb","Mar","Apr","May","Jun","Jul","Aug","Sep","Oct","Nov","Dec"},0),LEFT(TRIM(Raw_Export!B1018),2)))))</f>
        <v>46271</v>
      </c>
      <c r="C1018" s="36" t="str">
        <f aca="false">IF(Raw_Export!$A1018="","",IFERROR(VLOOKUP(LOWER(TRIM(Raw_Export!C1018)),Maps!$A$2:$B$20,2,FALSE()),"UNMAPPED"))</f>
        <v>Mombasa</v>
      </c>
      <c r="D1018" s="36" t="str">
        <f aca="false">IF(Raw_Export!$A1018="","",IFERROR(VLOOKUP(LOWER(TRIM(Raw_Export!D1018)),Maps!$G$2:$I$80,2,FALSE()),"UNMAPPED"))</f>
        <v>Cooking Oil 1L</v>
      </c>
      <c r="E1018" s="36" t="str">
        <f aca="false">IF(Raw_Export!$A1018="","",IFERROR(VLOOKUP(LOWER(TRIM(Raw_Export!D1018)),Maps!$G$2:$I$80,3,FALSE()),"UNMAPPED"))</f>
        <v>Staples</v>
      </c>
      <c r="F1018" s="36" t="n">
        <f aca="false">IF(Raw_Export!$A1018="","",IFERROR(VALUE(TRIM(Raw_Export!E1018)),0))</f>
        <v>1</v>
      </c>
      <c r="G1018" s="38" t="n">
        <f aca="false">IF(Raw_Export!$A1018="","",IFERROR(VALUE(SUBSTITUTE(SUBSTITUTE(UPPER(TRIM(Raw_Export!F1018)),"KES",""),",","")),0))</f>
        <v>330</v>
      </c>
      <c r="H1018" s="38" t="n">
        <f aca="false">IF(Raw_Export!$A1018="","",F1018*G1018)</f>
        <v>330</v>
      </c>
      <c r="I1018" s="36" t="str">
        <f aca="false">IF(Raw_Export!$A1018="","",IFERROR(VLOOKUP(LOWER(TRIM(Raw_Export!H1018)),Maps!$D$2:$E$12,2,FALSE()),"Other"))</f>
        <v>Card</v>
      </c>
      <c r="J1018" s="36" t="str">
        <f aca="false">IF(Raw_Export!$A1018="","",IF(COUNTIF($A$2:A1018,A1018)&gt;1,"Duplicate",""))</f>
        <v/>
      </c>
      <c r="K1018" s="36" t="str">
        <f aca="false">IF(Raw_Export!$A1018="","",IF(J1018="Duplicate","Duplicate",IF(OR(C1018="UNMAPPED",D1018="UNMAPPED"),"Unmapped",IF(F1018=0,"Blank qty",IF(F1018&lt;0,"Return","OK")))))</f>
        <v>OK</v>
      </c>
      <c r="L1018" s="36" t="n">
        <f aca="false">IF(Raw_Export!$A1018="","",IF(OR(K1018="OK",K1018="Return"),1,0))</f>
        <v>1</v>
      </c>
      <c r="M1018" s="37" t="n">
        <f aca="false">IF(Raw_Export!$A1018="","",B1018-WEEKDAY(B1018,2)+1)</f>
        <v>46265</v>
      </c>
    </row>
    <row r="1019" customFormat="false" ht="15" hidden="false" customHeight="false" outlineLevel="0" collapsed="false">
      <c r="A1019" s="36" t="str">
        <f aca="false">IF(Raw_Export!$A1019="","",TRIM(Raw_Export!A1019))</f>
        <v>TXN-101000</v>
      </c>
      <c r="B1019" s="37" t="n">
        <f aca="false">IF(Raw_Export!$A1019="","",IF(ISNUMBER(Raw_Export!B1019),Raw_Export!B1019,IF(MID(TRIM(Raw_Export!B1019),5,1)="-",DATE(LEFT(TRIM(Raw_Export!B1019),4),MID(TRIM(Raw_Export!B1019),6,2),RIGHT(TRIM(Raw_Export!B1019),2)),DATE(RIGHT(TRIM(Raw_Export!B1019),4),MATCH(MID(TRIM(Raw_Export!B1019),4,3),{"Jan","Feb","Mar","Apr","May","Jun","Jul","Aug","Sep","Oct","Nov","Dec"},0),LEFT(TRIM(Raw_Export!B1019),2)))))</f>
        <v>46271</v>
      </c>
      <c r="C1019" s="36" t="str">
        <f aca="false">IF(Raw_Export!$A1019="","",IFERROR(VLOOKUP(LOWER(TRIM(Raw_Export!C1019)),Maps!$A$2:$B$20,2,FALSE()),"UNMAPPED"))</f>
        <v>Mombasa</v>
      </c>
      <c r="D1019" s="36" t="str">
        <f aca="false">IF(Raw_Export!$A1019="","",IFERROR(VLOOKUP(LOWER(TRIM(Raw_Export!D1019)),Maps!$G$2:$I$80,2,FALSE()),"UNMAPPED"))</f>
        <v>Butter 250g</v>
      </c>
      <c r="E1019" s="36" t="str">
        <f aca="false">IF(Raw_Export!$A1019="","",IFERROR(VLOOKUP(LOWER(TRIM(Raw_Export!D1019)),Maps!$G$2:$I$80,3,FALSE()),"UNMAPPED"))</f>
        <v>Dairy &amp; Eggs</v>
      </c>
      <c r="F1019" s="36" t="n">
        <f aca="false">IF(Raw_Export!$A1019="","",IFERROR(VALUE(TRIM(Raw_Export!E1019)),0))</f>
        <v>1</v>
      </c>
      <c r="G1019" s="38" t="n">
        <f aca="false">IF(Raw_Export!$A1019="","",IFERROR(VALUE(SUBSTITUTE(SUBSTITUTE(UPPER(TRIM(Raw_Export!F1019)),"KES",""),",","")),0))</f>
        <v>310</v>
      </c>
      <c r="H1019" s="38" t="n">
        <f aca="false">IF(Raw_Export!$A1019="","",F1019*G1019)</f>
        <v>310</v>
      </c>
      <c r="I1019" s="36" t="str">
        <f aca="false">IF(Raw_Export!$A1019="","",IFERROR(VLOOKUP(LOWER(TRIM(Raw_Export!H1019)),Maps!$D$2:$E$12,2,FALSE()),"Other"))</f>
        <v>Card</v>
      </c>
      <c r="J1019" s="36" t="str">
        <f aca="false">IF(Raw_Export!$A1019="","",IF(COUNTIF($A$2:A1019,A1019)&gt;1,"Duplicate",""))</f>
        <v/>
      </c>
      <c r="K1019" s="36" t="str">
        <f aca="false">IF(Raw_Export!$A1019="","",IF(J1019="Duplicate","Duplicate",IF(OR(C1019="UNMAPPED",D1019="UNMAPPED"),"Unmapped",IF(F1019=0,"Blank qty",IF(F1019&lt;0,"Return","OK")))))</f>
        <v>OK</v>
      </c>
      <c r="L1019" s="36" t="n">
        <f aca="false">IF(Raw_Export!$A1019="","",IF(OR(K1019="OK",K1019="Return"),1,0))</f>
        <v>1</v>
      </c>
      <c r="M1019" s="37" t="n">
        <f aca="false">IF(Raw_Export!$A1019="","",B1019-WEEKDAY(B1019,2)+1)</f>
        <v>46265</v>
      </c>
    </row>
    <row r="1020" customFormat="false" ht="15" hidden="false" customHeight="false" outlineLevel="0" collapsed="false">
      <c r="A1020" s="36" t="str">
        <f aca="false">IF(Raw_Export!$A1020="","",TRIM(Raw_Export!A1020))</f>
        <v>TXN-101001</v>
      </c>
      <c r="B1020" s="37" t="n">
        <f aca="false">IF(Raw_Export!$A1020="","",IF(ISNUMBER(Raw_Export!B1020),Raw_Export!B1020,IF(MID(TRIM(Raw_Export!B1020),5,1)="-",DATE(LEFT(TRIM(Raw_Export!B1020),4),MID(TRIM(Raw_Export!B1020),6,2),RIGHT(TRIM(Raw_Export!B1020),2)),DATE(RIGHT(TRIM(Raw_Export!B1020),4),MATCH(MID(TRIM(Raw_Export!B1020),4,3),{"Jan","Feb","Mar","Apr","May","Jun","Jul","Aug","Sep","Oct","Nov","Dec"},0),LEFT(TRIM(Raw_Export!B1020),2)))))</f>
        <v>46271</v>
      </c>
      <c r="C1020" s="36" t="str">
        <f aca="false">IF(Raw_Export!$A1020="","",IFERROR(VLOOKUP(LOWER(TRIM(Raw_Export!C1020)),Maps!$A$2:$B$20,2,FALSE()),"UNMAPPED"))</f>
        <v>Mombasa</v>
      </c>
      <c r="D1020" s="36" t="str">
        <f aca="false">IF(Raw_Export!$A1020="","",IFERROR(VLOOKUP(LOWER(TRIM(Raw_Export!D1020)),Maps!$G$2:$I$80,2,FALSE()),"UNMAPPED"))</f>
        <v>Bottled Water 1.5L</v>
      </c>
      <c r="E1020" s="36" t="str">
        <f aca="false">IF(Raw_Export!$A1020="","",IFERROR(VLOOKUP(LOWER(TRIM(Raw_Export!D1020)),Maps!$G$2:$I$80,3,FALSE()),"UNMAPPED"))</f>
        <v>Beverages</v>
      </c>
      <c r="F1020" s="36" t="n">
        <f aca="false">IF(Raw_Export!$A1020="","",IFERROR(VALUE(TRIM(Raw_Export!E1020)),0))</f>
        <v>4</v>
      </c>
      <c r="G1020" s="38" t="n">
        <f aca="false">IF(Raw_Export!$A1020="","",IFERROR(VALUE(SUBSTITUTE(SUBSTITUTE(UPPER(TRIM(Raw_Export!F1020)),"KES",""),",","")),0))</f>
        <v>90</v>
      </c>
      <c r="H1020" s="38" t="n">
        <f aca="false">IF(Raw_Export!$A1020="","",F1020*G1020)</f>
        <v>360</v>
      </c>
      <c r="I1020" s="36" t="str">
        <f aca="false">IF(Raw_Export!$A1020="","",IFERROR(VLOOKUP(LOWER(TRIM(Raw_Export!H1020)),Maps!$D$2:$E$12,2,FALSE()),"Other"))</f>
        <v>M-Pesa</v>
      </c>
      <c r="J1020" s="36" t="str">
        <f aca="false">IF(Raw_Export!$A1020="","",IF(COUNTIF($A$2:A1020,A1020)&gt;1,"Duplicate",""))</f>
        <v/>
      </c>
      <c r="K1020" s="36" t="str">
        <f aca="false">IF(Raw_Export!$A1020="","",IF(J1020="Duplicate","Duplicate",IF(OR(C1020="UNMAPPED",D1020="UNMAPPED"),"Unmapped",IF(F1020=0,"Blank qty",IF(F1020&lt;0,"Return","OK")))))</f>
        <v>OK</v>
      </c>
      <c r="L1020" s="36" t="n">
        <f aca="false">IF(Raw_Export!$A1020="","",IF(OR(K1020="OK",K1020="Return"),1,0))</f>
        <v>1</v>
      </c>
      <c r="M1020" s="37" t="n">
        <f aca="false">IF(Raw_Export!$A1020="","",B1020-WEEKDAY(B1020,2)+1)</f>
        <v>46265</v>
      </c>
    </row>
    <row r="1021" customFormat="false" ht="15" hidden="false" customHeight="false" outlineLevel="0" collapsed="false">
      <c r="A1021" s="36" t="str">
        <f aca="false">IF(Raw_Export!$A1021="","",TRIM(Raw_Export!A1021))</f>
        <v>TXN-101002</v>
      </c>
      <c r="B1021" s="37" t="n">
        <f aca="false">IF(Raw_Export!$A1021="","",IF(ISNUMBER(Raw_Export!B1021),Raw_Export!B1021,IF(MID(TRIM(Raw_Export!B1021),5,1)="-",DATE(LEFT(TRIM(Raw_Export!B1021),4),MID(TRIM(Raw_Export!B1021),6,2),RIGHT(TRIM(Raw_Export!B1021),2)),DATE(RIGHT(TRIM(Raw_Export!B1021),4),MATCH(MID(TRIM(Raw_Export!B1021),4,3),{"Jan","Feb","Mar","Apr","May","Jun","Jul","Aug","Sep","Oct","Nov","Dec"},0),LEFT(TRIM(Raw_Export!B1021),2)))))</f>
        <v>46271</v>
      </c>
      <c r="C1021" s="36" t="str">
        <f aca="false">IF(Raw_Export!$A1021="","",IFERROR(VLOOKUP(LOWER(TRIM(Raw_Export!C1021)),Maps!$A$2:$B$20,2,FALSE()),"UNMAPPED"))</f>
        <v>Mombasa</v>
      </c>
      <c r="D1021" s="36" t="str">
        <f aca="false">IF(Raw_Export!$A1021="","",IFERROR(VLOOKUP(LOWER(TRIM(Raw_Export!D1021)),Maps!$G$2:$I$80,2,FALSE()),"UNMAPPED"))</f>
        <v>Yoghurt 500ml</v>
      </c>
      <c r="E1021" s="36" t="str">
        <f aca="false">IF(Raw_Export!$A1021="","",IFERROR(VLOOKUP(LOWER(TRIM(Raw_Export!D1021)),Maps!$G$2:$I$80,3,FALSE()),"UNMAPPED"))</f>
        <v>Dairy &amp; Eggs</v>
      </c>
      <c r="F1021" s="36" t="n">
        <f aca="false">IF(Raw_Export!$A1021="","",IFERROR(VALUE(TRIM(Raw_Export!E1021)),0))</f>
        <v>1</v>
      </c>
      <c r="G1021" s="38" t="n">
        <f aca="false">IF(Raw_Export!$A1021="","",IFERROR(VALUE(SUBSTITUTE(SUBSTITUTE(UPPER(TRIM(Raw_Export!F1021)),"KES",""),",","")),0))</f>
        <v>120</v>
      </c>
      <c r="H1021" s="38" t="n">
        <f aca="false">IF(Raw_Export!$A1021="","",F1021*G1021)</f>
        <v>120</v>
      </c>
      <c r="I1021" s="36" t="str">
        <f aca="false">IF(Raw_Export!$A1021="","",IFERROR(VLOOKUP(LOWER(TRIM(Raw_Export!H1021)),Maps!$D$2:$E$12,2,FALSE()),"Other"))</f>
        <v>M-Pesa</v>
      </c>
      <c r="J1021" s="36" t="str">
        <f aca="false">IF(Raw_Export!$A1021="","",IF(COUNTIF($A$2:A1021,A1021)&gt;1,"Duplicate",""))</f>
        <v/>
      </c>
      <c r="K1021" s="36" t="str">
        <f aca="false">IF(Raw_Export!$A1021="","",IF(J1021="Duplicate","Duplicate",IF(OR(C1021="UNMAPPED",D1021="UNMAPPED"),"Unmapped",IF(F1021=0,"Blank qty",IF(F1021&lt;0,"Return","OK")))))</f>
        <v>OK</v>
      </c>
      <c r="L1021" s="36" t="n">
        <f aca="false">IF(Raw_Export!$A1021="","",IF(OR(K1021="OK",K1021="Return"),1,0))</f>
        <v>1</v>
      </c>
      <c r="M1021" s="37" t="n">
        <f aca="false">IF(Raw_Export!$A1021="","",B1021-WEEKDAY(B1021,2)+1)</f>
        <v>46265</v>
      </c>
    </row>
    <row r="1022" customFormat="false" ht="15" hidden="false" customHeight="false" outlineLevel="0" collapsed="false">
      <c r="A1022" s="36" t="str">
        <f aca="false">IF(Raw_Export!$A1022="","",TRIM(Raw_Export!A1022))</f>
        <v>TXN-101003</v>
      </c>
      <c r="B1022" s="37" t="n">
        <f aca="false">IF(Raw_Export!$A1022="","",IF(ISNUMBER(Raw_Export!B1022),Raw_Export!B1022,IF(MID(TRIM(Raw_Export!B1022),5,1)="-",DATE(LEFT(TRIM(Raw_Export!B1022),4),MID(TRIM(Raw_Export!B1022),6,2),RIGHT(TRIM(Raw_Export!B1022),2)),DATE(RIGHT(TRIM(Raw_Export!B1022),4),MATCH(MID(TRIM(Raw_Export!B1022),4,3),{"Jan","Feb","Mar","Apr","May","Jun","Jul","Aug","Sep","Oct","Nov","Dec"},0),LEFT(TRIM(Raw_Export!B1022),2)))))</f>
        <v>46271</v>
      </c>
      <c r="C1022" s="36" t="str">
        <f aca="false">IF(Raw_Export!$A1022="","",IFERROR(VLOOKUP(LOWER(TRIM(Raw_Export!C1022)),Maps!$A$2:$B$20,2,FALSE()),"UNMAPPED"))</f>
        <v>Mombasa</v>
      </c>
      <c r="D1022" s="36" t="str">
        <f aca="false">IF(Raw_Export!$A1022="","",IFERROR(VLOOKUP(LOWER(TRIM(Raw_Export!D1022)),Maps!$G$2:$I$80,2,FALSE()),"UNMAPPED"))</f>
        <v>Soda 500ml</v>
      </c>
      <c r="E1022" s="36" t="str">
        <f aca="false">IF(Raw_Export!$A1022="","",IFERROR(VLOOKUP(LOWER(TRIM(Raw_Export!D1022)),Maps!$G$2:$I$80,3,FALSE()),"UNMAPPED"))</f>
        <v>Beverages</v>
      </c>
      <c r="F1022" s="36" t="n">
        <f aca="false">IF(Raw_Export!$A1022="","",IFERROR(VALUE(TRIM(Raw_Export!E1022)),0))</f>
        <v>1</v>
      </c>
      <c r="G1022" s="38" t="n">
        <f aca="false">IF(Raw_Export!$A1022="","",IFERROR(VALUE(SUBSTITUTE(SUBSTITUTE(UPPER(TRIM(Raw_Export!F1022)),"KES",""),",","")),0))</f>
        <v>60</v>
      </c>
      <c r="H1022" s="38" t="n">
        <f aca="false">IF(Raw_Export!$A1022="","",F1022*G1022)</f>
        <v>60</v>
      </c>
      <c r="I1022" s="36" t="str">
        <f aca="false">IF(Raw_Export!$A1022="","",IFERROR(VLOOKUP(LOWER(TRIM(Raw_Export!H1022)),Maps!$D$2:$E$12,2,FALSE()),"Other"))</f>
        <v>Cash</v>
      </c>
      <c r="J1022" s="36" t="str">
        <f aca="false">IF(Raw_Export!$A1022="","",IF(COUNTIF($A$2:A1022,A1022)&gt;1,"Duplicate",""))</f>
        <v/>
      </c>
      <c r="K1022" s="36" t="str">
        <f aca="false">IF(Raw_Export!$A1022="","",IF(J1022="Duplicate","Duplicate",IF(OR(C1022="UNMAPPED",D1022="UNMAPPED"),"Unmapped",IF(F1022=0,"Blank qty",IF(F1022&lt;0,"Return","OK")))))</f>
        <v>OK</v>
      </c>
      <c r="L1022" s="36" t="n">
        <f aca="false">IF(Raw_Export!$A1022="","",IF(OR(K1022="OK",K1022="Return"),1,0))</f>
        <v>1</v>
      </c>
      <c r="M1022" s="37" t="n">
        <f aca="false">IF(Raw_Export!$A1022="","",B1022-WEEKDAY(B1022,2)+1)</f>
        <v>46265</v>
      </c>
    </row>
    <row r="1023" customFormat="false" ht="15" hidden="false" customHeight="false" outlineLevel="0" collapsed="false">
      <c r="A1023" s="36" t="str">
        <f aca="false">IF(Raw_Export!$A1023="","",TRIM(Raw_Export!A1023))</f>
        <v>TXN-101004</v>
      </c>
      <c r="B1023" s="37" t="n">
        <f aca="false">IF(Raw_Export!$A1023="","",IF(ISNUMBER(Raw_Export!B1023),Raw_Export!B1023,IF(MID(TRIM(Raw_Export!B1023),5,1)="-",DATE(LEFT(TRIM(Raw_Export!B1023),4),MID(TRIM(Raw_Export!B1023),6,2),RIGHT(TRIM(Raw_Export!B1023),2)),DATE(RIGHT(TRIM(Raw_Export!B1023),4),MATCH(MID(TRIM(Raw_Export!B1023),4,3),{"Jan","Feb","Mar","Apr","May","Jun","Jul","Aug","Sep","Oct","Nov","Dec"},0),LEFT(TRIM(Raw_Export!B1023),2)))))</f>
        <v>46271</v>
      </c>
      <c r="C1023" s="36" t="str">
        <f aca="false">IF(Raw_Export!$A1023="","",IFERROR(VLOOKUP(LOWER(TRIM(Raw_Export!C1023)),Maps!$A$2:$B$20,2,FALSE()),"UNMAPPED"))</f>
        <v>Mombasa</v>
      </c>
      <c r="D1023" s="36" t="str">
        <f aca="false">IF(Raw_Export!$A1023="","",IFERROR(VLOOKUP(LOWER(TRIM(Raw_Export!D1023)),Maps!$G$2:$I$80,2,FALSE()),"UNMAPPED"))</f>
        <v>Spaghetti 400g</v>
      </c>
      <c r="E1023" s="36" t="str">
        <f aca="false">IF(Raw_Export!$A1023="","",IFERROR(VLOOKUP(LOWER(TRIM(Raw_Export!D1023)),Maps!$G$2:$I$80,3,FALSE()),"UNMAPPED"))</f>
        <v>Staples</v>
      </c>
      <c r="F1023" s="36" t="n">
        <f aca="false">IF(Raw_Export!$A1023="","",IFERROR(VALUE(TRIM(Raw_Export!E1023)),0))</f>
        <v>2</v>
      </c>
      <c r="G1023" s="38" t="n">
        <f aca="false">IF(Raw_Export!$A1023="","",IFERROR(VALUE(SUBSTITUTE(SUBSTITUTE(UPPER(TRIM(Raw_Export!F1023)),"KES",""),",","")),0))</f>
        <v>110</v>
      </c>
      <c r="H1023" s="38" t="n">
        <f aca="false">IF(Raw_Export!$A1023="","",F1023*G1023)</f>
        <v>220</v>
      </c>
      <c r="I1023" s="36" t="str">
        <f aca="false">IF(Raw_Export!$A1023="","",IFERROR(VLOOKUP(LOWER(TRIM(Raw_Export!H1023)),Maps!$D$2:$E$12,2,FALSE()),"Other"))</f>
        <v>M-Pesa</v>
      </c>
      <c r="J1023" s="36" t="str">
        <f aca="false">IF(Raw_Export!$A1023="","",IF(COUNTIF($A$2:A1023,A1023)&gt;1,"Duplicate",""))</f>
        <v/>
      </c>
      <c r="K1023" s="36" t="str">
        <f aca="false">IF(Raw_Export!$A1023="","",IF(J1023="Duplicate","Duplicate",IF(OR(C1023="UNMAPPED",D1023="UNMAPPED"),"Unmapped",IF(F1023=0,"Blank qty",IF(F1023&lt;0,"Return","OK")))))</f>
        <v>OK</v>
      </c>
      <c r="L1023" s="36" t="n">
        <f aca="false">IF(Raw_Export!$A1023="","",IF(OR(K1023="OK",K1023="Return"),1,0))</f>
        <v>1</v>
      </c>
      <c r="M1023" s="37" t="n">
        <f aca="false">IF(Raw_Export!$A1023="","",B1023-WEEKDAY(B1023,2)+1)</f>
        <v>46265</v>
      </c>
    </row>
    <row r="1024" customFormat="false" ht="15" hidden="false" customHeight="false" outlineLevel="0" collapsed="false">
      <c r="A1024" s="36" t="str">
        <f aca="false">IF(Raw_Export!$A1024="","",TRIM(Raw_Export!A1024))</f>
        <v>TXN-101005</v>
      </c>
      <c r="B1024" s="37" t="n">
        <f aca="false">IF(Raw_Export!$A1024="","",IF(ISNUMBER(Raw_Export!B1024),Raw_Export!B1024,IF(MID(TRIM(Raw_Export!B1024),5,1)="-",DATE(LEFT(TRIM(Raw_Export!B1024),4),MID(TRIM(Raw_Export!B1024),6,2),RIGHT(TRIM(Raw_Export!B1024),2)),DATE(RIGHT(TRIM(Raw_Export!B1024),4),MATCH(MID(TRIM(Raw_Export!B1024),4,3),{"Jan","Feb","Mar","Apr","May","Jun","Jul","Aug","Sep","Oct","Nov","Dec"},0),LEFT(TRIM(Raw_Export!B1024),2)))))</f>
        <v>46271</v>
      </c>
      <c r="C1024" s="36" t="str">
        <f aca="false">IF(Raw_Export!$A1024="","",IFERROR(VLOOKUP(LOWER(TRIM(Raw_Export!C1024)),Maps!$A$2:$B$20,2,FALSE()),"UNMAPPED"))</f>
        <v>Mombasa</v>
      </c>
      <c r="D1024" s="36" t="str">
        <f aca="false">IF(Raw_Export!$A1024="","",IFERROR(VLOOKUP(LOWER(TRIM(Raw_Export!D1024)),Maps!$G$2:$I$80,2,FALSE()),"UNMAPPED"))</f>
        <v>Soda 500ml</v>
      </c>
      <c r="E1024" s="36" t="str">
        <f aca="false">IF(Raw_Export!$A1024="","",IFERROR(VLOOKUP(LOWER(TRIM(Raw_Export!D1024)),Maps!$G$2:$I$80,3,FALSE()),"UNMAPPED"))</f>
        <v>Beverages</v>
      </c>
      <c r="F1024" s="36" t="n">
        <f aca="false">IF(Raw_Export!$A1024="","",IFERROR(VALUE(TRIM(Raw_Export!E1024)),0))</f>
        <v>2</v>
      </c>
      <c r="G1024" s="38" t="n">
        <f aca="false">IF(Raw_Export!$A1024="","",IFERROR(VALUE(SUBSTITUTE(SUBSTITUTE(UPPER(TRIM(Raw_Export!F1024)),"KES",""),",","")),0))</f>
        <v>60</v>
      </c>
      <c r="H1024" s="38" t="n">
        <f aca="false">IF(Raw_Export!$A1024="","",F1024*G1024)</f>
        <v>120</v>
      </c>
      <c r="I1024" s="36" t="str">
        <f aca="false">IF(Raw_Export!$A1024="","",IFERROR(VLOOKUP(LOWER(TRIM(Raw_Export!H1024)),Maps!$D$2:$E$12,2,FALSE()),"Other"))</f>
        <v>Card</v>
      </c>
      <c r="J1024" s="36" t="str">
        <f aca="false">IF(Raw_Export!$A1024="","",IF(COUNTIF($A$2:A1024,A1024)&gt;1,"Duplicate",""))</f>
        <v/>
      </c>
      <c r="K1024" s="36" t="str">
        <f aca="false">IF(Raw_Export!$A1024="","",IF(J1024="Duplicate","Duplicate",IF(OR(C1024="UNMAPPED",D1024="UNMAPPED"),"Unmapped",IF(F1024=0,"Blank qty",IF(F1024&lt;0,"Return","OK")))))</f>
        <v>OK</v>
      </c>
      <c r="L1024" s="36" t="n">
        <f aca="false">IF(Raw_Export!$A1024="","",IF(OR(K1024="OK",K1024="Return"),1,0))</f>
        <v>1</v>
      </c>
      <c r="M1024" s="37" t="n">
        <f aca="false">IF(Raw_Export!$A1024="","",B1024-WEEKDAY(B1024,2)+1)</f>
        <v>46265</v>
      </c>
    </row>
    <row r="1025" customFormat="false" ht="15" hidden="false" customHeight="false" outlineLevel="0" collapsed="false">
      <c r="A1025" s="36" t="str">
        <f aca="false">IF(Raw_Export!$A1025="","",TRIM(Raw_Export!A1025))</f>
        <v>TXN-101006</v>
      </c>
      <c r="B1025" s="37" t="n">
        <f aca="false">IF(Raw_Export!$A1025="","",IF(ISNUMBER(Raw_Export!B1025),Raw_Export!B1025,IF(MID(TRIM(Raw_Export!B1025),5,1)="-",DATE(LEFT(TRIM(Raw_Export!B1025),4),MID(TRIM(Raw_Export!B1025),6,2),RIGHT(TRIM(Raw_Export!B1025),2)),DATE(RIGHT(TRIM(Raw_Export!B1025),4),MATCH(MID(TRIM(Raw_Export!B1025),4,3),{"Jan","Feb","Mar","Apr","May","Jun","Jul","Aug","Sep","Oct","Nov","Dec"},0),LEFT(TRIM(Raw_Export!B1025),2)))))</f>
        <v>46271</v>
      </c>
      <c r="C1025" s="36" t="str">
        <f aca="false">IF(Raw_Export!$A1025="","",IFERROR(VLOOKUP(LOWER(TRIM(Raw_Export!C1025)),Maps!$A$2:$B$20,2,FALSE()),"UNMAPPED"))</f>
        <v>Mombasa</v>
      </c>
      <c r="D1025" s="36" t="str">
        <f aca="false">IF(Raw_Export!$A1025="","",IFERROR(VLOOKUP(LOWER(TRIM(Raw_Export!D1025)),Maps!$G$2:$I$80,2,FALSE()),"UNMAPPED"))</f>
        <v>Sanitary Pads 8pk</v>
      </c>
      <c r="E1025" s="36" t="str">
        <f aca="false">IF(Raw_Export!$A1025="","",IFERROR(VLOOKUP(LOWER(TRIM(Raw_Export!D1025)),Maps!$G$2:$I$80,3,FALSE()),"UNMAPPED"))</f>
        <v>Personal Care</v>
      </c>
      <c r="F1025" s="36" t="n">
        <f aca="false">IF(Raw_Export!$A1025="","",IFERROR(VALUE(TRIM(Raw_Export!E1025)),0))</f>
        <v>4</v>
      </c>
      <c r="G1025" s="38" t="n">
        <f aca="false">IF(Raw_Export!$A1025="","",IFERROR(VALUE(SUBSTITUTE(SUBSTITUTE(UPPER(TRIM(Raw_Export!F1025)),"KES",""),",","")),0))</f>
        <v>130</v>
      </c>
      <c r="H1025" s="38" t="n">
        <f aca="false">IF(Raw_Export!$A1025="","",F1025*G1025)</f>
        <v>520</v>
      </c>
      <c r="I1025" s="36" t="str">
        <f aca="false">IF(Raw_Export!$A1025="","",IFERROR(VLOOKUP(LOWER(TRIM(Raw_Export!H1025)),Maps!$D$2:$E$12,2,FALSE()),"Other"))</f>
        <v>M-Pesa</v>
      </c>
      <c r="J1025" s="36" t="str">
        <f aca="false">IF(Raw_Export!$A1025="","",IF(COUNTIF($A$2:A1025,A1025)&gt;1,"Duplicate",""))</f>
        <v/>
      </c>
      <c r="K1025" s="36" t="str">
        <f aca="false">IF(Raw_Export!$A1025="","",IF(J1025="Duplicate","Duplicate",IF(OR(C1025="UNMAPPED",D1025="UNMAPPED"),"Unmapped",IF(F1025=0,"Blank qty",IF(F1025&lt;0,"Return","OK")))))</f>
        <v>OK</v>
      </c>
      <c r="L1025" s="36" t="n">
        <f aca="false">IF(Raw_Export!$A1025="","",IF(OR(K1025="OK",K1025="Return"),1,0))</f>
        <v>1</v>
      </c>
      <c r="M1025" s="37" t="n">
        <f aca="false">IF(Raw_Export!$A1025="","",B1025-WEEKDAY(B1025,2)+1)</f>
        <v>46265</v>
      </c>
    </row>
    <row r="1026" customFormat="false" ht="15" hidden="false" customHeight="false" outlineLevel="0" collapsed="false">
      <c r="A1026" s="36" t="str">
        <f aca="false">IF(Raw_Export!$A1026="","",TRIM(Raw_Export!A1026))</f>
        <v>TXN-101007</v>
      </c>
      <c r="B1026" s="37" t="n">
        <f aca="false">IF(Raw_Export!$A1026="","",IF(ISNUMBER(Raw_Export!B1026),Raw_Export!B1026,IF(MID(TRIM(Raw_Export!B1026),5,1)="-",DATE(LEFT(TRIM(Raw_Export!B1026),4),MID(TRIM(Raw_Export!B1026),6,2),RIGHT(TRIM(Raw_Export!B1026),2)),DATE(RIGHT(TRIM(Raw_Export!B1026),4),MATCH(MID(TRIM(Raw_Export!B1026),4,3),{"Jan","Feb","Mar","Apr","May","Jun","Jul","Aug","Sep","Oct","Nov","Dec"},0),LEFT(TRIM(Raw_Export!B1026),2)))))</f>
        <v>46271</v>
      </c>
      <c r="C1026" s="36" t="str">
        <f aca="false">IF(Raw_Export!$A1026="","",IFERROR(VLOOKUP(LOWER(TRIM(Raw_Export!C1026)),Maps!$A$2:$B$20,2,FALSE()),"UNMAPPED"))</f>
        <v>Mombasa</v>
      </c>
      <c r="D1026" s="36" t="str">
        <f aca="false">IF(Raw_Export!$A1026="","",IFERROR(VLOOKUP(LOWER(TRIM(Raw_Export!D1026)),Maps!$G$2:$I$80,2,FALSE()),"UNMAPPED"))</f>
        <v>Yoghurt 500ml</v>
      </c>
      <c r="E1026" s="36" t="str">
        <f aca="false">IF(Raw_Export!$A1026="","",IFERROR(VLOOKUP(LOWER(TRIM(Raw_Export!D1026)),Maps!$G$2:$I$80,3,FALSE()),"UNMAPPED"))</f>
        <v>Dairy &amp; Eggs</v>
      </c>
      <c r="F1026" s="36" t="n">
        <f aca="false">IF(Raw_Export!$A1026="","",IFERROR(VALUE(TRIM(Raw_Export!E1026)),0))</f>
        <v>3</v>
      </c>
      <c r="G1026" s="38" t="n">
        <f aca="false">IF(Raw_Export!$A1026="","",IFERROR(VALUE(SUBSTITUTE(SUBSTITUTE(UPPER(TRIM(Raw_Export!F1026)),"KES",""),",","")),0))</f>
        <v>120</v>
      </c>
      <c r="H1026" s="38" t="n">
        <f aca="false">IF(Raw_Export!$A1026="","",F1026*G1026)</f>
        <v>360</v>
      </c>
      <c r="I1026" s="36" t="str">
        <f aca="false">IF(Raw_Export!$A1026="","",IFERROR(VLOOKUP(LOWER(TRIM(Raw_Export!H1026)),Maps!$D$2:$E$12,2,FALSE()),"Other"))</f>
        <v>M-Pesa</v>
      </c>
      <c r="J1026" s="36" t="str">
        <f aca="false">IF(Raw_Export!$A1026="","",IF(COUNTIF($A$2:A1026,A1026)&gt;1,"Duplicate",""))</f>
        <v/>
      </c>
      <c r="K1026" s="36" t="str">
        <f aca="false">IF(Raw_Export!$A1026="","",IF(J1026="Duplicate","Duplicate",IF(OR(C1026="UNMAPPED",D1026="UNMAPPED"),"Unmapped",IF(F1026=0,"Blank qty",IF(F1026&lt;0,"Return","OK")))))</f>
        <v>OK</v>
      </c>
      <c r="L1026" s="36" t="n">
        <f aca="false">IF(Raw_Export!$A1026="","",IF(OR(K1026="OK",K1026="Return"),1,0))</f>
        <v>1</v>
      </c>
      <c r="M1026" s="37" t="n">
        <f aca="false">IF(Raw_Export!$A1026="","",B1026-WEEKDAY(B1026,2)+1)</f>
        <v>46265</v>
      </c>
    </row>
    <row r="1027" customFormat="false" ht="15" hidden="false" customHeight="false" outlineLevel="0" collapsed="false">
      <c r="A1027" s="36" t="str">
        <f aca="false">IF(Raw_Export!$A1027="","",TRIM(Raw_Export!A1027))</f>
        <v>TXN-100686</v>
      </c>
      <c r="B1027" s="37" t="n">
        <f aca="false">IF(Raw_Export!$A1027="","",IF(ISNUMBER(Raw_Export!B1027),Raw_Export!B1027,IF(MID(TRIM(Raw_Export!B1027),5,1)="-",DATE(LEFT(TRIM(Raw_Export!B1027),4),MID(TRIM(Raw_Export!B1027),6,2),RIGHT(TRIM(Raw_Export!B1027),2)),DATE(RIGHT(TRIM(Raw_Export!B1027),4),MATCH(MID(TRIM(Raw_Export!B1027),4,3),{"Jan","Feb","Mar","Apr","May","Jun","Jul","Aug","Sep","Oct","Nov","Dec"},0),LEFT(TRIM(Raw_Export!B1027),2)))))</f>
        <v>46270</v>
      </c>
      <c r="C1027" s="36" t="str">
        <f aca="false">IF(Raw_Export!$A1027="","",IFERROR(VLOOKUP(LOWER(TRIM(Raw_Export!C1027)),Maps!$A$2:$B$20,2,FALSE()),"UNMAPPED"))</f>
        <v>Nairobi CBD</v>
      </c>
      <c r="D1027" s="36" t="str">
        <f aca="false">IF(Raw_Export!$A1027="","",IFERROR(VLOOKUP(LOWER(TRIM(Raw_Export!D1027)),Maps!$G$2:$I$80,2,FALSE()),"UNMAPPED"))</f>
        <v>Yoghurt 500ml</v>
      </c>
      <c r="E1027" s="36" t="str">
        <f aca="false">IF(Raw_Export!$A1027="","",IFERROR(VLOOKUP(LOWER(TRIM(Raw_Export!D1027)),Maps!$G$2:$I$80,3,FALSE()),"UNMAPPED"))</f>
        <v>Dairy &amp; Eggs</v>
      </c>
      <c r="F1027" s="36" t="n">
        <f aca="false">IF(Raw_Export!$A1027="","",IFERROR(VALUE(TRIM(Raw_Export!E1027)),0))</f>
        <v>2</v>
      </c>
      <c r="G1027" s="38" t="n">
        <f aca="false">IF(Raw_Export!$A1027="","",IFERROR(VALUE(SUBSTITUTE(SUBSTITUTE(UPPER(TRIM(Raw_Export!F1027)),"KES",""),",","")),0))</f>
        <v>120</v>
      </c>
      <c r="H1027" s="38" t="n">
        <f aca="false">IF(Raw_Export!$A1027="","",F1027*G1027)</f>
        <v>240</v>
      </c>
      <c r="I1027" s="36" t="str">
        <f aca="false">IF(Raw_Export!$A1027="","",IFERROR(VLOOKUP(LOWER(TRIM(Raw_Export!H1027)),Maps!$D$2:$E$12,2,FALSE()),"Other"))</f>
        <v>Cash</v>
      </c>
      <c r="J1027" s="36" t="str">
        <f aca="false">IF(Raw_Export!$A1027="","",IF(COUNTIF($A$2:A1027,A1027)&gt;1,"Duplicate",""))</f>
        <v>Duplicate</v>
      </c>
      <c r="K1027" s="36" t="str">
        <f aca="false">IF(Raw_Export!$A1027="","",IF(J1027="Duplicate","Duplicate",IF(OR(C1027="UNMAPPED",D1027="UNMAPPED"),"Unmapped",IF(F1027=0,"Blank qty",IF(F1027&lt;0,"Return","OK")))))</f>
        <v>Duplicate</v>
      </c>
      <c r="L1027" s="36" t="n">
        <f aca="false">IF(Raw_Export!$A1027="","",IF(OR(K1027="OK",K1027="Return"),1,0))</f>
        <v>0</v>
      </c>
      <c r="M1027" s="37" t="n">
        <f aca="false">IF(Raw_Export!$A1027="","",B1027-WEEKDAY(B1027,2)+1)</f>
        <v>46265</v>
      </c>
    </row>
    <row r="1028" customFormat="false" ht="15" hidden="false" customHeight="false" outlineLevel="0" collapsed="false">
      <c r="A1028" s="36" t="str">
        <f aca="false">IF(Raw_Export!$A1028="","",TRIM(Raw_Export!A1028))</f>
        <v>TXN-101008</v>
      </c>
      <c r="B1028" s="37" t="n">
        <f aca="false">IF(Raw_Export!$A1028="","",IF(ISNUMBER(Raw_Export!B1028),Raw_Export!B1028,IF(MID(TRIM(Raw_Export!B1028),5,1)="-",DATE(LEFT(TRIM(Raw_Export!B1028),4),MID(TRIM(Raw_Export!B1028),6,2),RIGHT(TRIM(Raw_Export!B1028),2)),DATE(RIGHT(TRIM(Raw_Export!B1028),4),MATCH(MID(TRIM(Raw_Export!B1028),4,3),{"Jan","Feb","Mar","Apr","May","Jun","Jul","Aug","Sep","Oct","Nov","Dec"},0),LEFT(TRIM(Raw_Export!B1028),2)))))</f>
        <v>46271</v>
      </c>
      <c r="C1028" s="36" t="str">
        <f aca="false">IF(Raw_Export!$A1028="","",IFERROR(VLOOKUP(LOWER(TRIM(Raw_Export!C1028)),Maps!$A$2:$B$20,2,FALSE()),"UNMAPPED"))</f>
        <v>Mombasa</v>
      </c>
      <c r="D1028" s="36" t="str">
        <f aca="false">IF(Raw_Export!$A1028="","",IFERROR(VLOOKUP(LOWER(TRIM(Raw_Export!D1028)),Maps!$G$2:$I$80,2,FALSE()),"UNMAPPED"))</f>
        <v>Cheddar 200g</v>
      </c>
      <c r="E1028" s="36" t="str">
        <f aca="false">IF(Raw_Export!$A1028="","",IFERROR(VLOOKUP(LOWER(TRIM(Raw_Export!D1028)),Maps!$G$2:$I$80,3,FALSE()),"UNMAPPED"))</f>
        <v>Dairy &amp; Eggs</v>
      </c>
      <c r="F1028" s="36" t="n">
        <f aca="false">IF(Raw_Export!$A1028="","",IFERROR(VALUE(TRIM(Raw_Export!E1028)),0))</f>
        <v>6</v>
      </c>
      <c r="G1028" s="38" t="n">
        <f aca="false">IF(Raw_Export!$A1028="","",IFERROR(VALUE(SUBSTITUTE(SUBSTITUTE(UPPER(TRIM(Raw_Export!F1028)),"KES",""),",","")),0))</f>
        <v>380</v>
      </c>
      <c r="H1028" s="38" t="n">
        <f aca="false">IF(Raw_Export!$A1028="","",F1028*G1028)</f>
        <v>2280</v>
      </c>
      <c r="I1028" s="36" t="str">
        <f aca="false">IF(Raw_Export!$A1028="","",IFERROR(VLOOKUP(LOWER(TRIM(Raw_Export!H1028)),Maps!$D$2:$E$12,2,FALSE()),"Other"))</f>
        <v>Cash</v>
      </c>
      <c r="J1028" s="36" t="str">
        <f aca="false">IF(Raw_Export!$A1028="","",IF(COUNTIF($A$2:A1028,A1028)&gt;1,"Duplicate",""))</f>
        <v/>
      </c>
      <c r="K1028" s="36" t="str">
        <f aca="false">IF(Raw_Export!$A1028="","",IF(J1028="Duplicate","Duplicate",IF(OR(C1028="UNMAPPED",D1028="UNMAPPED"),"Unmapped",IF(F1028=0,"Blank qty",IF(F1028&lt;0,"Return","OK")))))</f>
        <v>OK</v>
      </c>
      <c r="L1028" s="36" t="n">
        <f aca="false">IF(Raw_Export!$A1028="","",IF(OR(K1028="OK",K1028="Return"),1,0))</f>
        <v>1</v>
      </c>
      <c r="M1028" s="37" t="n">
        <f aca="false">IF(Raw_Export!$A1028="","",B1028-WEEKDAY(B1028,2)+1)</f>
        <v>46265</v>
      </c>
    </row>
    <row r="1029" customFormat="false" ht="15" hidden="false" customHeight="false" outlineLevel="0" collapsed="false">
      <c r="A1029" s="36" t="str">
        <f aca="false">IF(Raw_Export!$A1029="","",TRIM(Raw_Export!A1029))</f>
        <v>TXN-101009</v>
      </c>
      <c r="B1029" s="37" t="n">
        <f aca="false">IF(Raw_Export!$A1029="","",IF(ISNUMBER(Raw_Export!B1029),Raw_Export!B1029,IF(MID(TRIM(Raw_Export!B1029),5,1)="-",DATE(LEFT(TRIM(Raw_Export!B1029),4),MID(TRIM(Raw_Export!B1029),6,2),RIGHT(TRIM(Raw_Export!B1029),2)),DATE(RIGHT(TRIM(Raw_Export!B1029),4),MATCH(MID(TRIM(Raw_Export!B1029),4,3),{"Jan","Feb","Mar","Apr","May","Jun","Jul","Aug","Sep","Oct","Nov","Dec"},0),LEFT(TRIM(Raw_Export!B1029),2)))))</f>
        <v>46271</v>
      </c>
      <c r="C1029" s="36" t="str">
        <f aca="false">IF(Raw_Export!$A1029="","",IFERROR(VLOOKUP(LOWER(TRIM(Raw_Export!C1029)),Maps!$A$2:$B$20,2,FALSE()),"UNMAPPED"))</f>
        <v>Mombasa</v>
      </c>
      <c r="D1029" s="36" t="str">
        <f aca="false">IF(Raw_Export!$A1029="","",IFERROR(VLOOKUP(LOWER(TRIM(Raw_Export!D1029)),Maps!$G$2:$I$80,2,FALSE()),"UNMAPPED"))</f>
        <v>Washing Powder 1kg</v>
      </c>
      <c r="E1029" s="36" t="str">
        <f aca="false">IF(Raw_Export!$A1029="","",IFERROR(VLOOKUP(LOWER(TRIM(Raw_Export!D1029)),Maps!$G$2:$I$80,3,FALSE()),"UNMAPPED"))</f>
        <v>Household</v>
      </c>
      <c r="F1029" s="36" t="n">
        <f aca="false">IF(Raw_Export!$A1029="","",IFERROR(VALUE(TRIM(Raw_Export!E1029)),0))</f>
        <v>2</v>
      </c>
      <c r="G1029" s="38" t="n">
        <f aca="false">IF(Raw_Export!$A1029="","",IFERROR(VALUE(SUBSTITUTE(SUBSTITUTE(UPPER(TRIM(Raw_Export!F1029)),"KES",""),",","")),0))</f>
        <v>252</v>
      </c>
      <c r="H1029" s="38" t="n">
        <f aca="false">IF(Raw_Export!$A1029="","",F1029*G1029)</f>
        <v>504</v>
      </c>
      <c r="I1029" s="36" t="str">
        <f aca="false">IF(Raw_Export!$A1029="","",IFERROR(VLOOKUP(LOWER(TRIM(Raw_Export!H1029)),Maps!$D$2:$E$12,2,FALSE()),"Other"))</f>
        <v>M-Pesa</v>
      </c>
      <c r="J1029" s="36" t="str">
        <f aca="false">IF(Raw_Export!$A1029="","",IF(COUNTIF($A$2:A1029,A1029)&gt;1,"Duplicate",""))</f>
        <v/>
      </c>
      <c r="K1029" s="36" t="str">
        <f aca="false">IF(Raw_Export!$A1029="","",IF(J1029="Duplicate","Duplicate",IF(OR(C1029="UNMAPPED",D1029="UNMAPPED"),"Unmapped",IF(F1029=0,"Blank qty",IF(F1029&lt;0,"Return","OK")))))</f>
        <v>OK</v>
      </c>
      <c r="L1029" s="36" t="n">
        <f aca="false">IF(Raw_Export!$A1029="","",IF(OR(K1029="OK",K1029="Return"),1,0))</f>
        <v>1</v>
      </c>
      <c r="M1029" s="37" t="n">
        <f aca="false">IF(Raw_Export!$A1029="","",B1029-WEEKDAY(B1029,2)+1)</f>
        <v>46265</v>
      </c>
    </row>
    <row r="1030" customFormat="false" ht="15" hidden="false" customHeight="false" outlineLevel="0" collapsed="false">
      <c r="A1030" s="36" t="str">
        <f aca="false">IF(Raw_Export!$A1030="","",TRIM(Raw_Export!A1030))</f>
        <v>TXN-101010</v>
      </c>
      <c r="B1030" s="37" t="n">
        <f aca="false">IF(Raw_Export!$A1030="","",IF(ISNUMBER(Raw_Export!B1030),Raw_Export!B1030,IF(MID(TRIM(Raw_Export!B1030),5,1)="-",DATE(LEFT(TRIM(Raw_Export!B1030),4),MID(TRIM(Raw_Export!B1030),6,2),RIGHT(TRIM(Raw_Export!B1030),2)),DATE(RIGHT(TRIM(Raw_Export!B1030),4),MATCH(MID(TRIM(Raw_Export!B1030),4,3),{"Jan","Feb","Mar","Apr","May","Jun","Jul","Aug","Sep","Oct","Nov","Dec"},0),LEFT(TRIM(Raw_Export!B1030),2)))))</f>
        <v>46271</v>
      </c>
      <c r="C1030" s="36" t="str">
        <f aca="false">IF(Raw_Export!$A1030="","",IFERROR(VLOOKUP(LOWER(TRIM(Raw_Export!C1030)),Maps!$A$2:$B$20,2,FALSE()),"UNMAPPED"))</f>
        <v>Mombasa</v>
      </c>
      <c r="D1030" s="36" t="str">
        <f aca="false">IF(Raw_Export!$A1030="","",IFERROR(VLOOKUP(LOWER(TRIM(Raw_Export!D1030)),Maps!$G$2:$I$80,2,FALSE()),"UNMAPPED"))</f>
        <v>Sugar 2kg</v>
      </c>
      <c r="E1030" s="36" t="str">
        <f aca="false">IF(Raw_Export!$A1030="","",IFERROR(VLOOKUP(LOWER(TRIM(Raw_Export!D1030)),Maps!$G$2:$I$80,3,FALSE()),"UNMAPPED"))</f>
        <v>Staples</v>
      </c>
      <c r="F1030" s="36" t="n">
        <f aca="false">IF(Raw_Export!$A1030="","",IFERROR(VALUE(TRIM(Raw_Export!E1030)),0))</f>
        <v>1</v>
      </c>
      <c r="G1030" s="38" t="n">
        <f aca="false">IF(Raw_Export!$A1030="","",IFERROR(VALUE(SUBSTITUTE(SUBSTITUTE(UPPER(TRIM(Raw_Export!F1030)),"KES",""),",","")),0))</f>
        <v>330</v>
      </c>
      <c r="H1030" s="38" t="n">
        <f aca="false">IF(Raw_Export!$A1030="","",F1030*G1030)</f>
        <v>330</v>
      </c>
      <c r="I1030" s="36" t="str">
        <f aca="false">IF(Raw_Export!$A1030="","",IFERROR(VLOOKUP(LOWER(TRIM(Raw_Export!H1030)),Maps!$D$2:$E$12,2,FALSE()),"Other"))</f>
        <v>M-Pesa</v>
      </c>
      <c r="J1030" s="36" t="str">
        <f aca="false">IF(Raw_Export!$A1030="","",IF(COUNTIF($A$2:A1030,A1030)&gt;1,"Duplicate",""))</f>
        <v/>
      </c>
      <c r="K1030" s="36" t="str">
        <f aca="false">IF(Raw_Export!$A1030="","",IF(J1030="Duplicate","Duplicate",IF(OR(C1030="UNMAPPED",D1030="UNMAPPED"),"Unmapped",IF(F1030=0,"Blank qty",IF(F1030&lt;0,"Return","OK")))))</f>
        <v>OK</v>
      </c>
      <c r="L1030" s="36" t="n">
        <f aca="false">IF(Raw_Export!$A1030="","",IF(OR(K1030="OK",K1030="Return"),1,0))</f>
        <v>1</v>
      </c>
      <c r="M1030" s="37" t="n">
        <f aca="false">IF(Raw_Export!$A1030="","",B1030-WEEKDAY(B1030,2)+1)</f>
        <v>46265</v>
      </c>
    </row>
    <row r="1031" customFormat="false" ht="15" hidden="false" customHeight="false" outlineLevel="0" collapsed="false">
      <c r="A1031" s="36" t="str">
        <f aca="false">IF(Raw_Export!$A1031="","",TRIM(Raw_Export!A1031))</f>
        <v>TXN-101011</v>
      </c>
      <c r="B1031" s="37" t="n">
        <f aca="false">IF(Raw_Export!$A1031="","",IF(ISNUMBER(Raw_Export!B1031),Raw_Export!B1031,IF(MID(TRIM(Raw_Export!B1031),5,1)="-",DATE(LEFT(TRIM(Raw_Export!B1031),4),MID(TRIM(Raw_Export!B1031),6,2),RIGHT(TRIM(Raw_Export!B1031),2)),DATE(RIGHT(TRIM(Raw_Export!B1031),4),MATCH(MID(TRIM(Raw_Export!B1031),4,3),{"Jan","Feb","Mar","Apr","May","Jun","Jul","Aug","Sep","Oct","Nov","Dec"},0),LEFT(TRIM(Raw_Export!B1031),2)))))</f>
        <v>46271</v>
      </c>
      <c r="C1031" s="36" t="str">
        <f aca="false">IF(Raw_Export!$A1031="","",IFERROR(VLOOKUP(LOWER(TRIM(Raw_Export!C1031)),Maps!$A$2:$B$20,2,FALSE()),"UNMAPPED"))</f>
        <v>Mombasa</v>
      </c>
      <c r="D1031" s="36" t="str">
        <f aca="false">IF(Raw_Export!$A1031="","",IFERROR(VLOOKUP(LOWER(TRIM(Raw_Export!D1031)),Maps!$G$2:$I$80,2,FALSE()),"UNMAPPED"))</f>
        <v>Soda 500ml</v>
      </c>
      <c r="E1031" s="36" t="str">
        <f aca="false">IF(Raw_Export!$A1031="","",IFERROR(VLOOKUP(LOWER(TRIM(Raw_Export!D1031)),Maps!$G$2:$I$80,3,FALSE()),"UNMAPPED"))</f>
        <v>Beverages</v>
      </c>
      <c r="F1031" s="36" t="n">
        <f aca="false">IF(Raw_Export!$A1031="","",IFERROR(VALUE(TRIM(Raw_Export!E1031)),0))</f>
        <v>1</v>
      </c>
      <c r="G1031" s="38" t="n">
        <f aca="false">IF(Raw_Export!$A1031="","",IFERROR(VALUE(SUBSTITUTE(SUBSTITUTE(UPPER(TRIM(Raw_Export!F1031)),"KES",""),",","")),0))</f>
        <v>60</v>
      </c>
      <c r="H1031" s="38" t="n">
        <f aca="false">IF(Raw_Export!$A1031="","",F1031*G1031)</f>
        <v>60</v>
      </c>
      <c r="I1031" s="36" t="str">
        <f aca="false">IF(Raw_Export!$A1031="","",IFERROR(VLOOKUP(LOWER(TRIM(Raw_Export!H1031)),Maps!$D$2:$E$12,2,FALSE()),"Other"))</f>
        <v>Cash</v>
      </c>
      <c r="J1031" s="36" t="str">
        <f aca="false">IF(Raw_Export!$A1031="","",IF(COUNTIF($A$2:A1031,A1031)&gt;1,"Duplicate",""))</f>
        <v/>
      </c>
      <c r="K1031" s="36" t="str">
        <f aca="false">IF(Raw_Export!$A1031="","",IF(J1031="Duplicate","Duplicate",IF(OR(C1031="UNMAPPED",D1031="UNMAPPED"),"Unmapped",IF(F1031=0,"Blank qty",IF(F1031&lt;0,"Return","OK")))))</f>
        <v>OK</v>
      </c>
      <c r="L1031" s="36" t="n">
        <f aca="false">IF(Raw_Export!$A1031="","",IF(OR(K1031="OK",K1031="Return"),1,0))</f>
        <v>1</v>
      </c>
      <c r="M1031" s="37" t="n">
        <f aca="false">IF(Raw_Export!$A1031="","",B1031-WEEKDAY(B1031,2)+1)</f>
        <v>46265</v>
      </c>
    </row>
    <row r="1032" customFormat="false" ht="15" hidden="false" customHeight="false" outlineLevel="0" collapsed="false">
      <c r="A1032" s="36" t="str">
        <f aca="false">IF(Raw_Export!$A1032="","",TRIM(Raw_Export!A1032))</f>
        <v>TXN-101012</v>
      </c>
      <c r="B1032" s="37" t="n">
        <f aca="false">IF(Raw_Export!$A1032="","",IF(ISNUMBER(Raw_Export!B1032),Raw_Export!B1032,IF(MID(TRIM(Raw_Export!B1032),5,1)="-",DATE(LEFT(TRIM(Raw_Export!B1032),4),MID(TRIM(Raw_Export!B1032),6,2),RIGHT(TRIM(Raw_Export!B1032),2)),DATE(RIGHT(TRIM(Raw_Export!B1032),4),MATCH(MID(TRIM(Raw_Export!B1032),4,3),{"Jan","Feb","Mar","Apr","May","Jun","Jul","Aug","Sep","Oct","Nov","Dec"},0),LEFT(TRIM(Raw_Export!B1032),2)))))</f>
        <v>46271</v>
      </c>
      <c r="C1032" s="36" t="str">
        <f aca="false">IF(Raw_Export!$A1032="","",IFERROR(VLOOKUP(LOWER(TRIM(Raw_Export!C1032)),Maps!$A$2:$B$20,2,FALSE()),"UNMAPPED"))</f>
        <v>Mombasa</v>
      </c>
      <c r="D1032" s="36" t="str">
        <f aca="false">IF(Raw_Export!$A1032="","",IFERROR(VLOOKUP(LOWER(TRIM(Raw_Export!D1032)),Maps!$G$2:$I$80,2,FALSE()),"UNMAPPED"))</f>
        <v>Rice Pishori 2kg</v>
      </c>
      <c r="E1032" s="36" t="str">
        <f aca="false">IF(Raw_Export!$A1032="","",IFERROR(VLOOKUP(LOWER(TRIM(Raw_Export!D1032)),Maps!$G$2:$I$80,3,FALSE()),"UNMAPPED"))</f>
        <v>Staples</v>
      </c>
      <c r="F1032" s="36" t="n">
        <f aca="false">IF(Raw_Export!$A1032="","",IFERROR(VALUE(TRIM(Raw_Export!E1032)),0))</f>
        <v>1</v>
      </c>
      <c r="G1032" s="38" t="n">
        <f aca="false">IF(Raw_Export!$A1032="","",IFERROR(VALUE(SUBSTITUTE(SUBSTITUTE(UPPER(TRIM(Raw_Export!F1032)),"KES",""),",","")),0))</f>
        <v>420</v>
      </c>
      <c r="H1032" s="38" t="n">
        <f aca="false">IF(Raw_Export!$A1032="","",F1032*G1032)</f>
        <v>420</v>
      </c>
      <c r="I1032" s="36" t="str">
        <f aca="false">IF(Raw_Export!$A1032="","",IFERROR(VLOOKUP(LOWER(TRIM(Raw_Export!H1032)),Maps!$D$2:$E$12,2,FALSE()),"Other"))</f>
        <v>Cash</v>
      </c>
      <c r="J1032" s="36" t="str">
        <f aca="false">IF(Raw_Export!$A1032="","",IF(COUNTIF($A$2:A1032,A1032)&gt;1,"Duplicate",""))</f>
        <v/>
      </c>
      <c r="K1032" s="36" t="str">
        <f aca="false">IF(Raw_Export!$A1032="","",IF(J1032="Duplicate","Duplicate",IF(OR(C1032="UNMAPPED",D1032="UNMAPPED"),"Unmapped",IF(F1032=0,"Blank qty",IF(F1032&lt;0,"Return","OK")))))</f>
        <v>OK</v>
      </c>
      <c r="L1032" s="36" t="n">
        <f aca="false">IF(Raw_Export!$A1032="","",IF(OR(K1032="OK",K1032="Return"),1,0))</f>
        <v>1</v>
      </c>
      <c r="M1032" s="37" t="n">
        <f aca="false">IF(Raw_Export!$A1032="","",B1032-WEEKDAY(B1032,2)+1)</f>
        <v>46265</v>
      </c>
    </row>
    <row r="1033" customFormat="false" ht="15" hidden="false" customHeight="false" outlineLevel="0" collapsed="false">
      <c r="A1033" s="36" t="str">
        <f aca="false">IF(Raw_Export!$A1033="","",TRIM(Raw_Export!A1033))</f>
        <v>TXN-101013</v>
      </c>
      <c r="B1033" s="37" t="n">
        <f aca="false">IF(Raw_Export!$A1033="","",IF(ISNUMBER(Raw_Export!B1033),Raw_Export!B1033,IF(MID(TRIM(Raw_Export!B1033),5,1)="-",DATE(LEFT(TRIM(Raw_Export!B1033),4),MID(TRIM(Raw_Export!B1033),6,2),RIGHT(TRIM(Raw_Export!B1033),2)),DATE(RIGHT(TRIM(Raw_Export!B1033),4),MATCH(MID(TRIM(Raw_Export!B1033),4,3),{"Jan","Feb","Mar","Apr","May","Jun","Jul","Aug","Sep","Oct","Nov","Dec"},0),LEFT(TRIM(Raw_Export!B1033),2)))))</f>
        <v>46271</v>
      </c>
      <c r="C1033" s="36" t="str">
        <f aca="false">IF(Raw_Export!$A1033="","",IFERROR(VLOOKUP(LOWER(TRIM(Raw_Export!C1033)),Maps!$A$2:$B$20,2,FALSE()),"UNMAPPED"))</f>
        <v>Mombasa</v>
      </c>
      <c r="D1033" s="36" t="str">
        <f aca="false">IF(Raw_Export!$A1033="","",IFERROR(VLOOKUP(LOWER(TRIM(Raw_Export!D1033)),Maps!$G$2:$I$80,2,FALSE()),"UNMAPPED"))</f>
        <v>Bath Soap 175g</v>
      </c>
      <c r="E1033" s="36" t="str">
        <f aca="false">IF(Raw_Export!$A1033="","",IFERROR(VLOOKUP(LOWER(TRIM(Raw_Export!D1033)),Maps!$G$2:$I$80,3,FALSE()),"UNMAPPED"))</f>
        <v>Personal Care</v>
      </c>
      <c r="F1033" s="36" t="n">
        <f aca="false">IF(Raw_Export!$A1033="","",IFERROR(VALUE(TRIM(Raw_Export!E1033)),0))</f>
        <v>1</v>
      </c>
      <c r="G1033" s="38" t="n">
        <f aca="false">IF(Raw_Export!$A1033="","",IFERROR(VALUE(SUBSTITUTE(SUBSTITUTE(UPPER(TRIM(Raw_Export!F1033)),"KES",""),",","")),0))</f>
        <v>85</v>
      </c>
      <c r="H1033" s="38" t="n">
        <f aca="false">IF(Raw_Export!$A1033="","",F1033*G1033)</f>
        <v>85</v>
      </c>
      <c r="I1033" s="36" t="str">
        <f aca="false">IF(Raw_Export!$A1033="","",IFERROR(VLOOKUP(LOWER(TRIM(Raw_Export!H1033)),Maps!$D$2:$E$12,2,FALSE()),"Other"))</f>
        <v>M-Pesa</v>
      </c>
      <c r="J1033" s="36" t="str">
        <f aca="false">IF(Raw_Export!$A1033="","",IF(COUNTIF($A$2:A1033,A1033)&gt;1,"Duplicate",""))</f>
        <v/>
      </c>
      <c r="K1033" s="36" t="str">
        <f aca="false">IF(Raw_Export!$A1033="","",IF(J1033="Duplicate","Duplicate",IF(OR(C1033="UNMAPPED",D1033="UNMAPPED"),"Unmapped",IF(F1033=0,"Blank qty",IF(F1033&lt;0,"Return","OK")))))</f>
        <v>OK</v>
      </c>
      <c r="L1033" s="36" t="n">
        <f aca="false">IF(Raw_Export!$A1033="","",IF(OR(K1033="OK",K1033="Return"),1,0))</f>
        <v>1</v>
      </c>
      <c r="M1033" s="37" t="n">
        <f aca="false">IF(Raw_Export!$A1033="","",B1033-WEEKDAY(B1033,2)+1)</f>
        <v>46265</v>
      </c>
    </row>
    <row r="1034" customFormat="false" ht="15" hidden="false" customHeight="false" outlineLevel="0" collapsed="false">
      <c r="A1034" s="36" t="str">
        <f aca="false">IF(Raw_Export!$A1034="","",TRIM(Raw_Export!A1034))</f>
        <v>TXN-101014</v>
      </c>
      <c r="B1034" s="37" t="n">
        <f aca="false">IF(Raw_Export!$A1034="","",IF(ISNUMBER(Raw_Export!B1034),Raw_Export!B1034,IF(MID(TRIM(Raw_Export!B1034),5,1)="-",DATE(LEFT(TRIM(Raw_Export!B1034),4),MID(TRIM(Raw_Export!B1034),6,2),RIGHT(TRIM(Raw_Export!B1034),2)),DATE(RIGHT(TRIM(Raw_Export!B1034),4),MATCH(MID(TRIM(Raw_Export!B1034),4,3),{"Jan","Feb","Mar","Apr","May","Jun","Jul","Aug","Sep","Oct","Nov","Dec"},0),LEFT(TRIM(Raw_Export!B1034),2)))))</f>
        <v>46271</v>
      </c>
      <c r="C1034" s="36" t="str">
        <f aca="false">IF(Raw_Export!$A1034="","",IFERROR(VLOOKUP(LOWER(TRIM(Raw_Export!C1034)),Maps!$A$2:$B$20,2,FALSE()),"UNMAPPED"))</f>
        <v>Mombasa</v>
      </c>
      <c r="D1034" s="36" t="str">
        <f aca="false">IF(Raw_Export!$A1034="","",IFERROR(VLOOKUP(LOWER(TRIM(Raw_Export!D1034)),Maps!$G$2:$I$80,2,FALSE()),"UNMAPPED"))</f>
        <v>Unga Pembe 2kg</v>
      </c>
      <c r="E1034" s="36" t="str">
        <f aca="false">IF(Raw_Export!$A1034="","",IFERROR(VLOOKUP(LOWER(TRIM(Raw_Export!D1034)),Maps!$G$2:$I$80,3,FALSE()),"UNMAPPED"))</f>
        <v>Staples</v>
      </c>
      <c r="F1034" s="36" t="n">
        <f aca="false">IF(Raw_Export!$A1034="","",IFERROR(VALUE(TRIM(Raw_Export!E1034)),0))</f>
        <v>2</v>
      </c>
      <c r="G1034" s="38" t="n">
        <f aca="false">IF(Raw_Export!$A1034="","",IFERROR(VALUE(SUBSTITUTE(SUBSTITUTE(UPPER(TRIM(Raw_Export!F1034)),"KES",""),",","")),0))</f>
        <v>190</v>
      </c>
      <c r="H1034" s="38" t="n">
        <f aca="false">IF(Raw_Export!$A1034="","",F1034*G1034)</f>
        <v>380</v>
      </c>
      <c r="I1034" s="36" t="str">
        <f aca="false">IF(Raw_Export!$A1034="","",IFERROR(VLOOKUP(LOWER(TRIM(Raw_Export!H1034)),Maps!$D$2:$E$12,2,FALSE()),"Other"))</f>
        <v>M-Pesa</v>
      </c>
      <c r="J1034" s="36" t="str">
        <f aca="false">IF(Raw_Export!$A1034="","",IF(COUNTIF($A$2:A1034,A1034)&gt;1,"Duplicate",""))</f>
        <v/>
      </c>
      <c r="K1034" s="36" t="str">
        <f aca="false">IF(Raw_Export!$A1034="","",IF(J1034="Duplicate","Duplicate",IF(OR(C1034="UNMAPPED",D1034="UNMAPPED"),"Unmapped",IF(F1034=0,"Blank qty",IF(F1034&lt;0,"Return","OK")))))</f>
        <v>OK</v>
      </c>
      <c r="L1034" s="36" t="n">
        <f aca="false">IF(Raw_Export!$A1034="","",IF(OR(K1034="OK",K1034="Return"),1,0))</f>
        <v>1</v>
      </c>
      <c r="M1034" s="37" t="n">
        <f aca="false">IF(Raw_Export!$A1034="","",B1034-WEEKDAY(B1034,2)+1)</f>
        <v>46265</v>
      </c>
    </row>
    <row r="1035" customFormat="false" ht="15" hidden="false" customHeight="false" outlineLevel="0" collapsed="false">
      <c r="A1035" s="36" t="str">
        <f aca="false">IF(Raw_Export!$A1035="","",TRIM(Raw_Export!A1035))</f>
        <v>TXN-101015</v>
      </c>
      <c r="B1035" s="37" t="n">
        <f aca="false">IF(Raw_Export!$A1035="","",IF(ISNUMBER(Raw_Export!B1035),Raw_Export!B1035,IF(MID(TRIM(Raw_Export!B1035),5,1)="-",DATE(LEFT(TRIM(Raw_Export!B1035),4),MID(TRIM(Raw_Export!B1035),6,2),RIGHT(TRIM(Raw_Export!B1035),2)),DATE(RIGHT(TRIM(Raw_Export!B1035),4),MATCH(MID(TRIM(Raw_Export!B1035),4,3),{"Jan","Feb","Mar","Apr","May","Jun","Jul","Aug","Sep","Oct","Nov","Dec"},0),LEFT(TRIM(Raw_Export!B1035),2)))))</f>
        <v>46271</v>
      </c>
      <c r="C1035" s="36" t="str">
        <f aca="false">IF(Raw_Export!$A1035="","",IFERROR(VLOOKUP(LOWER(TRIM(Raw_Export!C1035)),Maps!$A$2:$B$20,2,FALSE()),"UNMAPPED"))</f>
        <v>Mombasa</v>
      </c>
      <c r="D1035" s="36" t="str">
        <f aca="false">IF(Raw_Export!$A1035="","",IFERROR(VLOOKUP(LOWER(TRIM(Raw_Export!D1035)),Maps!$G$2:$I$80,2,FALSE()),"UNMAPPED"))</f>
        <v>Bleach 1L</v>
      </c>
      <c r="E1035" s="36" t="str">
        <f aca="false">IF(Raw_Export!$A1035="","",IFERROR(VLOOKUP(LOWER(TRIM(Raw_Export!D1035)),Maps!$G$2:$I$80,3,FALSE()),"UNMAPPED"))</f>
        <v>Household</v>
      </c>
      <c r="F1035" s="36" t="n">
        <f aca="false">IF(Raw_Export!$A1035="","",IFERROR(VALUE(TRIM(Raw_Export!E1035)),0))</f>
        <v>2</v>
      </c>
      <c r="G1035" s="38" t="n">
        <f aca="false">IF(Raw_Export!$A1035="","",IFERROR(VALUE(SUBSTITUTE(SUBSTITUTE(UPPER(TRIM(Raw_Export!F1035)),"KES",""),",","")),0))</f>
        <v>160</v>
      </c>
      <c r="H1035" s="38" t="n">
        <f aca="false">IF(Raw_Export!$A1035="","",F1035*G1035)</f>
        <v>320</v>
      </c>
      <c r="I1035" s="36" t="str">
        <f aca="false">IF(Raw_Export!$A1035="","",IFERROR(VLOOKUP(LOWER(TRIM(Raw_Export!H1035)),Maps!$D$2:$E$12,2,FALSE()),"Other"))</f>
        <v>M-Pesa</v>
      </c>
      <c r="J1035" s="36" t="str">
        <f aca="false">IF(Raw_Export!$A1035="","",IF(COUNTIF($A$2:A1035,A1035)&gt;1,"Duplicate",""))</f>
        <v/>
      </c>
      <c r="K1035" s="36" t="str">
        <f aca="false">IF(Raw_Export!$A1035="","",IF(J1035="Duplicate","Duplicate",IF(OR(C1035="UNMAPPED",D1035="UNMAPPED"),"Unmapped",IF(F1035=0,"Blank qty",IF(F1035&lt;0,"Return","OK")))))</f>
        <v>OK</v>
      </c>
      <c r="L1035" s="36" t="n">
        <f aca="false">IF(Raw_Export!$A1035="","",IF(OR(K1035="OK",K1035="Return"),1,0))</f>
        <v>1</v>
      </c>
      <c r="M1035" s="37" t="n">
        <f aca="false">IF(Raw_Export!$A1035="","",B1035-WEEKDAY(B1035,2)+1)</f>
        <v>46265</v>
      </c>
    </row>
    <row r="1036" customFormat="false" ht="15" hidden="false" customHeight="false" outlineLevel="0" collapsed="false">
      <c r="A1036" s="36" t="str">
        <f aca="false">IF(Raw_Export!$A1036="","",TRIM(Raw_Export!A1036))</f>
        <v>TXN-101016</v>
      </c>
      <c r="B1036" s="37" t="n">
        <f aca="false">IF(Raw_Export!$A1036="","",IF(ISNUMBER(Raw_Export!B1036),Raw_Export!B1036,IF(MID(TRIM(Raw_Export!B1036),5,1)="-",DATE(LEFT(TRIM(Raw_Export!B1036),4),MID(TRIM(Raw_Export!B1036),6,2),RIGHT(TRIM(Raw_Export!B1036),2)),DATE(RIGHT(TRIM(Raw_Export!B1036),4),MATCH(MID(TRIM(Raw_Export!B1036),4,3),{"Jan","Feb","Mar","Apr","May","Jun","Jul","Aug","Sep","Oct","Nov","Dec"},0),LEFT(TRIM(Raw_Export!B1036),2)))))</f>
        <v>46271</v>
      </c>
      <c r="C1036" s="36" t="str">
        <f aca="false">IF(Raw_Export!$A1036="","",IFERROR(VLOOKUP(LOWER(TRIM(Raw_Export!C1036)),Maps!$A$2:$B$20,2,FALSE()),"UNMAPPED"))</f>
        <v>Mombasa</v>
      </c>
      <c r="D1036" s="36" t="str">
        <f aca="false">IF(Raw_Export!$A1036="","",IFERROR(VLOOKUP(LOWER(TRIM(Raw_Export!D1036)),Maps!$G$2:$I$80,2,FALSE()),"UNMAPPED"))</f>
        <v>Spaghetti 400g</v>
      </c>
      <c r="E1036" s="36" t="str">
        <f aca="false">IF(Raw_Export!$A1036="","",IFERROR(VLOOKUP(LOWER(TRIM(Raw_Export!D1036)),Maps!$G$2:$I$80,3,FALSE()),"UNMAPPED"))</f>
        <v>Staples</v>
      </c>
      <c r="F1036" s="36" t="n">
        <f aca="false">IF(Raw_Export!$A1036="","",IFERROR(VALUE(TRIM(Raw_Export!E1036)),0))</f>
        <v>1</v>
      </c>
      <c r="G1036" s="38" t="n">
        <f aca="false">IF(Raw_Export!$A1036="","",IFERROR(VALUE(SUBSTITUTE(SUBSTITUTE(UPPER(TRIM(Raw_Export!F1036)),"KES",""),",","")),0))</f>
        <v>99</v>
      </c>
      <c r="H1036" s="38" t="n">
        <f aca="false">IF(Raw_Export!$A1036="","",F1036*G1036)</f>
        <v>99</v>
      </c>
      <c r="I1036" s="36" t="str">
        <f aca="false">IF(Raw_Export!$A1036="","",IFERROR(VLOOKUP(LOWER(TRIM(Raw_Export!H1036)),Maps!$D$2:$E$12,2,FALSE()),"Other"))</f>
        <v>M-Pesa</v>
      </c>
      <c r="J1036" s="36" t="str">
        <f aca="false">IF(Raw_Export!$A1036="","",IF(COUNTIF($A$2:A1036,A1036)&gt;1,"Duplicate",""))</f>
        <v/>
      </c>
      <c r="K1036" s="36" t="str">
        <f aca="false">IF(Raw_Export!$A1036="","",IF(J1036="Duplicate","Duplicate",IF(OR(C1036="UNMAPPED",D1036="UNMAPPED"),"Unmapped",IF(F1036=0,"Blank qty",IF(F1036&lt;0,"Return","OK")))))</f>
        <v>OK</v>
      </c>
      <c r="L1036" s="36" t="n">
        <f aca="false">IF(Raw_Export!$A1036="","",IF(OR(K1036="OK",K1036="Return"),1,0))</f>
        <v>1</v>
      </c>
      <c r="M1036" s="37" t="n">
        <f aca="false">IF(Raw_Export!$A1036="","",B1036-WEEKDAY(B1036,2)+1)</f>
        <v>46265</v>
      </c>
    </row>
    <row r="1037" customFormat="false" ht="15" hidden="false" customHeight="false" outlineLevel="0" collapsed="false">
      <c r="A1037" s="36" t="str">
        <f aca="false">IF(Raw_Export!$A1037="","",TRIM(Raw_Export!A1037))</f>
        <v>TXN-101017</v>
      </c>
      <c r="B1037" s="37" t="n">
        <f aca="false">IF(Raw_Export!$A1037="","",IF(ISNUMBER(Raw_Export!B1037),Raw_Export!B1037,IF(MID(TRIM(Raw_Export!B1037),5,1)="-",DATE(LEFT(TRIM(Raw_Export!B1037),4),MID(TRIM(Raw_Export!B1037),6,2),RIGHT(TRIM(Raw_Export!B1037),2)),DATE(RIGHT(TRIM(Raw_Export!B1037),4),MATCH(MID(TRIM(Raw_Export!B1037),4,3),{"Jan","Feb","Mar","Apr","May","Jun","Jul","Aug","Sep","Oct","Nov","Dec"},0),LEFT(TRIM(Raw_Export!B1037),2)))))</f>
        <v>46271</v>
      </c>
      <c r="C1037" s="36" t="str">
        <f aca="false">IF(Raw_Export!$A1037="","",IFERROR(VLOOKUP(LOWER(TRIM(Raw_Export!C1037)),Maps!$A$2:$B$20,2,FALSE()),"UNMAPPED"))</f>
        <v>Mombasa</v>
      </c>
      <c r="D1037" s="36" t="str">
        <f aca="false">IF(Raw_Export!$A1037="","",IFERROR(VLOOKUP(LOWER(TRIM(Raw_Export!D1037)),Maps!$G$2:$I$80,2,FALSE()),"UNMAPPED"))</f>
        <v>Sugar 2kg</v>
      </c>
      <c r="E1037" s="36" t="str">
        <f aca="false">IF(Raw_Export!$A1037="","",IFERROR(VLOOKUP(LOWER(TRIM(Raw_Export!D1037)),Maps!$G$2:$I$80,3,FALSE()),"UNMAPPED"))</f>
        <v>Staples</v>
      </c>
      <c r="F1037" s="36" t="n">
        <f aca="false">IF(Raw_Export!$A1037="","",IFERROR(VALUE(TRIM(Raw_Export!E1037)),0))</f>
        <v>1</v>
      </c>
      <c r="G1037" s="38" t="n">
        <f aca="false">IF(Raw_Export!$A1037="","",IFERROR(VALUE(SUBSTITUTE(SUBSTITUTE(UPPER(TRIM(Raw_Export!F1037)),"KES",""),",","")),0))</f>
        <v>330</v>
      </c>
      <c r="H1037" s="38" t="n">
        <f aca="false">IF(Raw_Export!$A1037="","",F1037*G1037)</f>
        <v>330</v>
      </c>
      <c r="I1037" s="36" t="str">
        <f aca="false">IF(Raw_Export!$A1037="","",IFERROR(VLOOKUP(LOWER(TRIM(Raw_Export!H1037)),Maps!$D$2:$E$12,2,FALSE()),"Other"))</f>
        <v>M-Pesa</v>
      </c>
      <c r="J1037" s="36" t="str">
        <f aca="false">IF(Raw_Export!$A1037="","",IF(COUNTIF($A$2:A1037,A1037)&gt;1,"Duplicate",""))</f>
        <v/>
      </c>
      <c r="K1037" s="36" t="str">
        <f aca="false">IF(Raw_Export!$A1037="","",IF(J1037="Duplicate","Duplicate",IF(OR(C1037="UNMAPPED",D1037="UNMAPPED"),"Unmapped",IF(F1037=0,"Blank qty",IF(F1037&lt;0,"Return","OK")))))</f>
        <v>OK</v>
      </c>
      <c r="L1037" s="36" t="n">
        <f aca="false">IF(Raw_Export!$A1037="","",IF(OR(K1037="OK",K1037="Return"),1,0))</f>
        <v>1</v>
      </c>
      <c r="M1037" s="37" t="n">
        <f aca="false">IF(Raw_Export!$A1037="","",B1037-WEEKDAY(B1037,2)+1)</f>
        <v>46265</v>
      </c>
    </row>
    <row r="1038" customFormat="false" ht="15" hidden="false" customHeight="false" outlineLevel="0" collapsed="false">
      <c r="A1038" s="36" t="str">
        <f aca="false">IF(Raw_Export!$A1038="","",TRIM(Raw_Export!A1038))</f>
        <v>TXN-101018</v>
      </c>
      <c r="B1038" s="37" t="n">
        <f aca="false">IF(Raw_Export!$A1038="","",IF(ISNUMBER(Raw_Export!B1038),Raw_Export!B1038,IF(MID(TRIM(Raw_Export!B1038),5,1)="-",DATE(LEFT(TRIM(Raw_Export!B1038),4),MID(TRIM(Raw_Export!B1038),6,2),RIGHT(TRIM(Raw_Export!B1038),2)),DATE(RIGHT(TRIM(Raw_Export!B1038),4),MATCH(MID(TRIM(Raw_Export!B1038),4,3),{"Jan","Feb","Mar","Apr","May","Jun","Jul","Aug","Sep","Oct","Nov","Dec"},0),LEFT(TRIM(Raw_Export!B1038),2)))))</f>
        <v>46271</v>
      </c>
      <c r="C1038" s="36" t="str">
        <f aca="false">IF(Raw_Export!$A1038="","",IFERROR(VLOOKUP(LOWER(TRIM(Raw_Export!C1038)),Maps!$A$2:$B$20,2,FALSE()),"UNMAPPED"))</f>
        <v>Mombasa</v>
      </c>
      <c r="D1038" s="36" t="str">
        <f aca="false">IF(Raw_Export!$A1038="","",IFERROR(VLOOKUP(LOWER(TRIM(Raw_Export!D1038)),Maps!$G$2:$I$80,2,FALSE()),"UNMAPPED"))</f>
        <v>Bread Loaf 400g</v>
      </c>
      <c r="E1038" s="36" t="str">
        <f aca="false">IF(Raw_Export!$A1038="","",IFERROR(VLOOKUP(LOWER(TRIM(Raw_Export!D1038)),Maps!$G$2:$I$80,3,FALSE()),"UNMAPPED"))</f>
        <v>Snacks</v>
      </c>
      <c r="F1038" s="36" t="n">
        <f aca="false">IF(Raw_Export!$A1038="","",IFERROR(VALUE(TRIM(Raw_Export!E1038)),0))</f>
        <v>1</v>
      </c>
      <c r="G1038" s="38" t="n">
        <f aca="false">IF(Raw_Export!$A1038="","",IFERROR(VALUE(SUBSTITUTE(SUBSTITUTE(UPPER(TRIM(Raw_Export!F1038)),"KES",""),",","")),0))</f>
        <v>65</v>
      </c>
      <c r="H1038" s="38" t="n">
        <f aca="false">IF(Raw_Export!$A1038="","",F1038*G1038)</f>
        <v>65</v>
      </c>
      <c r="I1038" s="36" t="str">
        <f aca="false">IF(Raw_Export!$A1038="","",IFERROR(VLOOKUP(LOWER(TRIM(Raw_Export!H1038)),Maps!$D$2:$E$12,2,FALSE()),"Other"))</f>
        <v>Card</v>
      </c>
      <c r="J1038" s="36" t="str">
        <f aca="false">IF(Raw_Export!$A1038="","",IF(COUNTIF($A$2:A1038,A1038)&gt;1,"Duplicate",""))</f>
        <v/>
      </c>
      <c r="K1038" s="36" t="str">
        <f aca="false">IF(Raw_Export!$A1038="","",IF(J1038="Duplicate","Duplicate",IF(OR(C1038="UNMAPPED",D1038="UNMAPPED"),"Unmapped",IF(F1038=0,"Blank qty",IF(F1038&lt;0,"Return","OK")))))</f>
        <v>OK</v>
      </c>
      <c r="L1038" s="36" t="n">
        <f aca="false">IF(Raw_Export!$A1038="","",IF(OR(K1038="OK",K1038="Return"),1,0))</f>
        <v>1</v>
      </c>
      <c r="M1038" s="37" t="n">
        <f aca="false">IF(Raw_Export!$A1038="","",B1038-WEEKDAY(B1038,2)+1)</f>
        <v>46265</v>
      </c>
    </row>
    <row r="1039" customFormat="false" ht="15" hidden="false" customHeight="false" outlineLevel="0" collapsed="false">
      <c r="A1039" s="36" t="str">
        <f aca="false">IF(Raw_Export!$A1039="","",TRIM(Raw_Export!A1039))</f>
        <v>TXN-101019</v>
      </c>
      <c r="B1039" s="37" t="n">
        <f aca="false">IF(Raw_Export!$A1039="","",IF(ISNUMBER(Raw_Export!B1039),Raw_Export!B1039,IF(MID(TRIM(Raw_Export!B1039),5,1)="-",DATE(LEFT(TRIM(Raw_Export!B1039),4),MID(TRIM(Raw_Export!B1039),6,2),RIGHT(TRIM(Raw_Export!B1039),2)),DATE(RIGHT(TRIM(Raw_Export!B1039),4),MATCH(MID(TRIM(Raw_Export!B1039),4,3),{"Jan","Feb","Mar","Apr","May","Jun","Jul","Aug","Sep","Oct","Nov","Dec"},0),LEFT(TRIM(Raw_Export!B1039),2)))))</f>
        <v>46271</v>
      </c>
      <c r="C1039" s="36" t="str">
        <f aca="false">IF(Raw_Export!$A1039="","",IFERROR(VLOOKUP(LOWER(TRIM(Raw_Export!C1039)),Maps!$A$2:$B$20,2,FALSE()),"UNMAPPED"))</f>
        <v>Mombasa</v>
      </c>
      <c r="D1039" s="36" t="str">
        <f aca="false">IF(Raw_Export!$A1039="","",IFERROR(VLOOKUP(LOWER(TRIM(Raw_Export!D1039)),Maps!$G$2:$I$80,2,FALSE()),"UNMAPPED"))</f>
        <v>Soda 500ml</v>
      </c>
      <c r="E1039" s="36" t="str">
        <f aca="false">IF(Raw_Export!$A1039="","",IFERROR(VLOOKUP(LOWER(TRIM(Raw_Export!D1039)),Maps!$G$2:$I$80,3,FALSE()),"UNMAPPED"))</f>
        <v>Beverages</v>
      </c>
      <c r="F1039" s="36" t="n">
        <f aca="false">IF(Raw_Export!$A1039="","",IFERROR(VALUE(TRIM(Raw_Export!E1039)),0))</f>
        <v>1</v>
      </c>
      <c r="G1039" s="38" t="n">
        <f aca="false">IF(Raw_Export!$A1039="","",IFERROR(VALUE(SUBSTITUTE(SUBSTITUTE(UPPER(TRIM(Raw_Export!F1039)),"KES",""),",","")),0))</f>
        <v>60</v>
      </c>
      <c r="H1039" s="38" t="n">
        <f aca="false">IF(Raw_Export!$A1039="","",F1039*G1039)</f>
        <v>60</v>
      </c>
      <c r="I1039" s="36" t="str">
        <f aca="false">IF(Raw_Export!$A1039="","",IFERROR(VLOOKUP(LOWER(TRIM(Raw_Export!H1039)),Maps!$D$2:$E$12,2,FALSE()),"Other"))</f>
        <v>M-Pesa</v>
      </c>
      <c r="J1039" s="36" t="str">
        <f aca="false">IF(Raw_Export!$A1039="","",IF(COUNTIF($A$2:A1039,A1039)&gt;1,"Duplicate",""))</f>
        <v/>
      </c>
      <c r="K1039" s="36" t="str">
        <f aca="false">IF(Raw_Export!$A1039="","",IF(J1039="Duplicate","Duplicate",IF(OR(C1039="UNMAPPED",D1039="UNMAPPED"),"Unmapped",IF(F1039=0,"Blank qty",IF(F1039&lt;0,"Return","OK")))))</f>
        <v>OK</v>
      </c>
      <c r="L1039" s="36" t="n">
        <f aca="false">IF(Raw_Export!$A1039="","",IF(OR(K1039="OK",K1039="Return"),1,0))</f>
        <v>1</v>
      </c>
      <c r="M1039" s="37" t="n">
        <f aca="false">IF(Raw_Export!$A1039="","",B1039-WEEKDAY(B1039,2)+1)</f>
        <v>46265</v>
      </c>
    </row>
    <row r="1040" customFormat="false" ht="15" hidden="false" customHeight="false" outlineLevel="0" collapsed="false">
      <c r="A1040" s="36" t="str">
        <f aca="false">IF(Raw_Export!$A1040="","",TRIM(Raw_Export!A1040))</f>
        <v>TXN-101020</v>
      </c>
      <c r="B1040" s="37" t="n">
        <f aca="false">IF(Raw_Export!$A1040="","",IF(ISNUMBER(Raw_Export!B1040),Raw_Export!B1040,IF(MID(TRIM(Raw_Export!B1040),5,1)="-",DATE(LEFT(TRIM(Raw_Export!B1040),4),MID(TRIM(Raw_Export!B1040),6,2),RIGHT(TRIM(Raw_Export!B1040),2)),DATE(RIGHT(TRIM(Raw_Export!B1040),4),MATCH(MID(TRIM(Raw_Export!B1040),4,3),{"Jan","Feb","Mar","Apr","May","Jun","Jul","Aug","Sep","Oct","Nov","Dec"},0),LEFT(TRIM(Raw_Export!B1040),2)))))</f>
        <v>46271</v>
      </c>
      <c r="C1040" s="36" t="str">
        <f aca="false">IF(Raw_Export!$A1040="","",IFERROR(VLOOKUP(LOWER(TRIM(Raw_Export!C1040)),Maps!$A$2:$B$20,2,FALSE()),"UNMAPPED"))</f>
        <v>Mombasa</v>
      </c>
      <c r="D1040" s="36" t="str">
        <f aca="false">IF(Raw_Export!$A1040="","",IFERROR(VLOOKUP(LOWER(TRIM(Raw_Export!D1040)),Maps!$G$2:$I$80,2,FALSE()),"UNMAPPED"))</f>
        <v>Toilet Paper 10pk</v>
      </c>
      <c r="E1040" s="36" t="str">
        <f aca="false">IF(Raw_Export!$A1040="","",IFERROR(VLOOKUP(LOWER(TRIM(Raw_Export!D1040)),Maps!$G$2:$I$80,3,FALSE()),"UNMAPPED"))</f>
        <v>Household</v>
      </c>
      <c r="F1040" s="36" t="n">
        <f aca="false">IF(Raw_Export!$A1040="","",IFERROR(VALUE(TRIM(Raw_Export!E1040)),0))</f>
        <v>6</v>
      </c>
      <c r="G1040" s="38" t="n">
        <f aca="false">IF(Raw_Export!$A1040="","",IFERROR(VALUE(SUBSTITUTE(SUBSTITUTE(UPPER(TRIM(Raw_Export!F1040)),"KES",""),",","")),0))</f>
        <v>342</v>
      </c>
      <c r="H1040" s="38" t="n">
        <f aca="false">IF(Raw_Export!$A1040="","",F1040*G1040)</f>
        <v>2052</v>
      </c>
      <c r="I1040" s="36" t="str">
        <f aca="false">IF(Raw_Export!$A1040="","",IFERROR(VLOOKUP(LOWER(TRIM(Raw_Export!H1040)),Maps!$D$2:$E$12,2,FALSE()),"Other"))</f>
        <v>M-Pesa</v>
      </c>
      <c r="J1040" s="36" t="str">
        <f aca="false">IF(Raw_Export!$A1040="","",IF(COUNTIF($A$2:A1040,A1040)&gt;1,"Duplicate",""))</f>
        <v/>
      </c>
      <c r="K1040" s="36" t="str">
        <f aca="false">IF(Raw_Export!$A1040="","",IF(J1040="Duplicate","Duplicate",IF(OR(C1040="UNMAPPED",D1040="UNMAPPED"),"Unmapped",IF(F1040=0,"Blank qty",IF(F1040&lt;0,"Return","OK")))))</f>
        <v>OK</v>
      </c>
      <c r="L1040" s="36" t="n">
        <f aca="false">IF(Raw_Export!$A1040="","",IF(OR(K1040="OK",K1040="Return"),1,0))</f>
        <v>1</v>
      </c>
      <c r="M1040" s="37" t="n">
        <f aca="false">IF(Raw_Export!$A1040="","",B1040-WEEKDAY(B1040,2)+1)</f>
        <v>46265</v>
      </c>
    </row>
    <row r="1041" customFormat="false" ht="15" hidden="false" customHeight="false" outlineLevel="0" collapsed="false">
      <c r="A1041" s="36" t="str">
        <f aca="false">IF(Raw_Export!$A1041="","",TRIM(Raw_Export!A1041))</f>
        <v>TXN-101021</v>
      </c>
      <c r="B1041" s="37" t="n">
        <f aca="false">IF(Raw_Export!$A1041="","",IF(ISNUMBER(Raw_Export!B1041),Raw_Export!B1041,IF(MID(TRIM(Raw_Export!B1041),5,1)="-",DATE(LEFT(TRIM(Raw_Export!B1041),4),MID(TRIM(Raw_Export!B1041),6,2),RIGHT(TRIM(Raw_Export!B1041),2)),DATE(RIGHT(TRIM(Raw_Export!B1041),4),MATCH(MID(TRIM(Raw_Export!B1041),4,3),{"Jan","Feb","Mar","Apr","May","Jun","Jul","Aug","Sep","Oct","Nov","Dec"},0),LEFT(TRIM(Raw_Export!B1041),2)))))</f>
        <v>46271</v>
      </c>
      <c r="C1041" s="36" t="str">
        <f aca="false">IF(Raw_Export!$A1041="","",IFERROR(VLOOKUP(LOWER(TRIM(Raw_Export!C1041)),Maps!$A$2:$B$20,2,FALSE()),"UNMAPPED"))</f>
        <v>Mombasa</v>
      </c>
      <c r="D1041" s="36" t="str">
        <f aca="false">IF(Raw_Export!$A1041="","",IFERROR(VLOOKUP(LOWER(TRIM(Raw_Export!D1041)),Maps!$G$2:$I$80,2,FALSE()),"UNMAPPED"))</f>
        <v>Toilet Paper 10pk</v>
      </c>
      <c r="E1041" s="36" t="str">
        <f aca="false">IF(Raw_Export!$A1041="","",IFERROR(VLOOKUP(LOWER(TRIM(Raw_Export!D1041)),Maps!$G$2:$I$80,3,FALSE()),"UNMAPPED"))</f>
        <v>Household</v>
      </c>
      <c r="F1041" s="36" t="n">
        <f aca="false">IF(Raw_Export!$A1041="","",IFERROR(VALUE(TRIM(Raw_Export!E1041)),0))</f>
        <v>4</v>
      </c>
      <c r="G1041" s="38" t="n">
        <f aca="false">IF(Raw_Export!$A1041="","",IFERROR(VALUE(SUBSTITUTE(SUBSTITUTE(UPPER(TRIM(Raw_Export!F1041)),"KES",""),",","")),0))</f>
        <v>380</v>
      </c>
      <c r="H1041" s="38" t="n">
        <f aca="false">IF(Raw_Export!$A1041="","",F1041*G1041)</f>
        <v>1520</v>
      </c>
      <c r="I1041" s="36" t="str">
        <f aca="false">IF(Raw_Export!$A1041="","",IFERROR(VLOOKUP(LOWER(TRIM(Raw_Export!H1041)),Maps!$D$2:$E$12,2,FALSE()),"Other"))</f>
        <v>M-Pesa</v>
      </c>
      <c r="J1041" s="36" t="str">
        <f aca="false">IF(Raw_Export!$A1041="","",IF(COUNTIF($A$2:A1041,A1041)&gt;1,"Duplicate",""))</f>
        <v/>
      </c>
      <c r="K1041" s="36" t="str">
        <f aca="false">IF(Raw_Export!$A1041="","",IF(J1041="Duplicate","Duplicate",IF(OR(C1041="UNMAPPED",D1041="UNMAPPED"),"Unmapped",IF(F1041=0,"Blank qty",IF(F1041&lt;0,"Return","OK")))))</f>
        <v>OK</v>
      </c>
      <c r="L1041" s="36" t="n">
        <f aca="false">IF(Raw_Export!$A1041="","",IF(OR(K1041="OK",K1041="Return"),1,0))</f>
        <v>1</v>
      </c>
      <c r="M1041" s="37" t="n">
        <f aca="false">IF(Raw_Export!$A1041="","",B1041-WEEKDAY(B1041,2)+1)</f>
        <v>46265</v>
      </c>
    </row>
    <row r="1042" customFormat="false" ht="15" hidden="false" customHeight="false" outlineLevel="0" collapsed="false">
      <c r="A1042" s="36" t="str">
        <f aca="false">IF(Raw_Export!$A1042="","",TRIM(Raw_Export!A1042))</f>
        <v>TXN-101022</v>
      </c>
      <c r="B1042" s="37" t="n">
        <f aca="false">IF(Raw_Export!$A1042="","",IF(ISNUMBER(Raw_Export!B1042),Raw_Export!B1042,IF(MID(TRIM(Raw_Export!B1042),5,1)="-",DATE(LEFT(TRIM(Raw_Export!B1042),4),MID(TRIM(Raw_Export!B1042),6,2),RIGHT(TRIM(Raw_Export!B1042),2)),DATE(RIGHT(TRIM(Raw_Export!B1042),4),MATCH(MID(TRIM(Raw_Export!B1042),4,3),{"Jan","Feb","Mar","Apr","May","Jun","Jul","Aug","Sep","Oct","Nov","Dec"},0),LEFT(TRIM(Raw_Export!B1042),2)))))</f>
        <v>46271</v>
      </c>
      <c r="C1042" s="36" t="str">
        <f aca="false">IF(Raw_Export!$A1042="","",IFERROR(VLOOKUP(LOWER(TRIM(Raw_Export!C1042)),Maps!$A$2:$B$20,2,FALSE()),"UNMAPPED"))</f>
        <v>Kisumu</v>
      </c>
      <c r="D1042" s="36" t="str">
        <f aca="false">IF(Raw_Export!$A1042="","",IFERROR(VLOOKUP(LOWER(TRIM(Raw_Export!D1042)),Maps!$G$2:$I$80,2,FALSE()),"UNMAPPED"))</f>
        <v>Cooking Oil 1L</v>
      </c>
      <c r="E1042" s="36" t="str">
        <f aca="false">IF(Raw_Export!$A1042="","",IFERROR(VLOOKUP(LOWER(TRIM(Raw_Export!D1042)),Maps!$G$2:$I$80,3,FALSE()),"UNMAPPED"))</f>
        <v>Staples</v>
      </c>
      <c r="F1042" s="36" t="n">
        <f aca="false">IF(Raw_Export!$A1042="","",IFERROR(VALUE(TRIM(Raw_Export!E1042)),0))</f>
        <v>2</v>
      </c>
      <c r="G1042" s="38" t="n">
        <f aca="false">IF(Raw_Export!$A1042="","",IFERROR(VALUE(SUBSTITUTE(SUBSTITUTE(UPPER(TRIM(Raw_Export!F1042)),"KES",""),",","")),0))</f>
        <v>330</v>
      </c>
      <c r="H1042" s="38" t="n">
        <f aca="false">IF(Raw_Export!$A1042="","",F1042*G1042)</f>
        <v>660</v>
      </c>
      <c r="I1042" s="36" t="str">
        <f aca="false">IF(Raw_Export!$A1042="","",IFERROR(VLOOKUP(LOWER(TRIM(Raw_Export!H1042)),Maps!$D$2:$E$12,2,FALSE()),"Other"))</f>
        <v>Card</v>
      </c>
      <c r="J1042" s="36" t="str">
        <f aca="false">IF(Raw_Export!$A1042="","",IF(COUNTIF($A$2:A1042,A1042)&gt;1,"Duplicate",""))</f>
        <v/>
      </c>
      <c r="K1042" s="36" t="str">
        <f aca="false">IF(Raw_Export!$A1042="","",IF(J1042="Duplicate","Duplicate",IF(OR(C1042="UNMAPPED",D1042="UNMAPPED"),"Unmapped",IF(F1042=0,"Blank qty",IF(F1042&lt;0,"Return","OK")))))</f>
        <v>OK</v>
      </c>
      <c r="L1042" s="36" t="n">
        <f aca="false">IF(Raw_Export!$A1042="","",IF(OR(K1042="OK",K1042="Return"),1,0))</f>
        <v>1</v>
      </c>
      <c r="M1042" s="37" t="n">
        <f aca="false">IF(Raw_Export!$A1042="","",B1042-WEEKDAY(B1042,2)+1)</f>
        <v>46265</v>
      </c>
    </row>
    <row r="1043" customFormat="false" ht="15" hidden="false" customHeight="false" outlineLevel="0" collapsed="false">
      <c r="A1043" s="36" t="str">
        <f aca="false">IF(Raw_Export!$A1043="","",TRIM(Raw_Export!A1043))</f>
        <v>TXN-101023</v>
      </c>
      <c r="B1043" s="37" t="n">
        <f aca="false">IF(Raw_Export!$A1043="","",IF(ISNUMBER(Raw_Export!B1043),Raw_Export!B1043,IF(MID(TRIM(Raw_Export!B1043),5,1)="-",DATE(LEFT(TRIM(Raw_Export!B1043),4),MID(TRIM(Raw_Export!B1043),6,2),RIGHT(TRIM(Raw_Export!B1043),2)),DATE(RIGHT(TRIM(Raw_Export!B1043),4),MATCH(MID(TRIM(Raw_Export!B1043),4,3),{"Jan","Feb","Mar","Apr","May","Jun","Jul","Aug","Sep","Oct","Nov","Dec"},0),LEFT(TRIM(Raw_Export!B1043),2)))))</f>
        <v>46271</v>
      </c>
      <c r="C1043" s="36" t="str">
        <f aca="false">IF(Raw_Export!$A1043="","",IFERROR(VLOOKUP(LOWER(TRIM(Raw_Export!C1043)),Maps!$A$2:$B$20,2,FALSE()),"UNMAPPED"))</f>
        <v>Kisumu</v>
      </c>
      <c r="D1043" s="36" t="str">
        <f aca="false">IF(Raw_Export!$A1043="","",IFERROR(VLOOKUP(LOWER(TRIM(Raw_Export!D1043)),Maps!$G$2:$I$80,2,FALSE()),"UNMAPPED"))</f>
        <v>Crisps 100g</v>
      </c>
      <c r="E1043" s="36" t="str">
        <f aca="false">IF(Raw_Export!$A1043="","",IFERROR(VLOOKUP(LOWER(TRIM(Raw_Export!D1043)),Maps!$G$2:$I$80,3,FALSE()),"UNMAPPED"))</f>
        <v>Snacks</v>
      </c>
      <c r="F1043" s="36" t="n">
        <f aca="false">IF(Raw_Export!$A1043="","",IFERROR(VALUE(TRIM(Raw_Export!E1043)),0))</f>
        <v>2</v>
      </c>
      <c r="G1043" s="38" t="n">
        <f aca="false">IF(Raw_Export!$A1043="","",IFERROR(VALUE(SUBSTITUTE(SUBSTITUTE(UPPER(TRIM(Raw_Export!F1043)),"KES",""),",","")),0))</f>
        <v>80</v>
      </c>
      <c r="H1043" s="38" t="n">
        <f aca="false">IF(Raw_Export!$A1043="","",F1043*G1043)</f>
        <v>160</v>
      </c>
      <c r="I1043" s="36" t="str">
        <f aca="false">IF(Raw_Export!$A1043="","",IFERROR(VLOOKUP(LOWER(TRIM(Raw_Export!H1043)),Maps!$D$2:$E$12,2,FALSE()),"Other"))</f>
        <v>Cash</v>
      </c>
      <c r="J1043" s="36" t="str">
        <f aca="false">IF(Raw_Export!$A1043="","",IF(COUNTIF($A$2:A1043,A1043)&gt;1,"Duplicate",""))</f>
        <v/>
      </c>
      <c r="K1043" s="36" t="str">
        <f aca="false">IF(Raw_Export!$A1043="","",IF(J1043="Duplicate","Duplicate",IF(OR(C1043="UNMAPPED",D1043="UNMAPPED"),"Unmapped",IF(F1043=0,"Blank qty",IF(F1043&lt;0,"Return","OK")))))</f>
        <v>OK</v>
      </c>
      <c r="L1043" s="36" t="n">
        <f aca="false">IF(Raw_Export!$A1043="","",IF(OR(K1043="OK",K1043="Return"),1,0))</f>
        <v>1</v>
      </c>
      <c r="M1043" s="37" t="n">
        <f aca="false">IF(Raw_Export!$A1043="","",B1043-WEEKDAY(B1043,2)+1)</f>
        <v>46265</v>
      </c>
    </row>
    <row r="1044" customFormat="false" ht="15" hidden="false" customHeight="false" outlineLevel="0" collapsed="false">
      <c r="A1044" s="36" t="str">
        <f aca="false">IF(Raw_Export!$A1044="","",TRIM(Raw_Export!A1044))</f>
        <v>TXN-101024</v>
      </c>
      <c r="B1044" s="37" t="n">
        <f aca="false">IF(Raw_Export!$A1044="","",IF(ISNUMBER(Raw_Export!B1044),Raw_Export!B1044,IF(MID(TRIM(Raw_Export!B1044),5,1)="-",DATE(LEFT(TRIM(Raw_Export!B1044),4),MID(TRIM(Raw_Export!B1044),6,2),RIGHT(TRIM(Raw_Export!B1044),2)),DATE(RIGHT(TRIM(Raw_Export!B1044),4),MATCH(MID(TRIM(Raw_Export!B1044),4,3),{"Jan","Feb","Mar","Apr","May","Jun","Jul","Aug","Sep","Oct","Nov","Dec"},0),LEFT(TRIM(Raw_Export!B1044),2)))))</f>
        <v>46271</v>
      </c>
      <c r="C1044" s="36" t="str">
        <f aca="false">IF(Raw_Export!$A1044="","",IFERROR(VLOOKUP(LOWER(TRIM(Raw_Export!C1044)),Maps!$A$2:$B$20,2,FALSE()),"UNMAPPED"))</f>
        <v>Kisumu</v>
      </c>
      <c r="D1044" s="36" t="str">
        <f aca="false">IF(Raw_Export!$A1044="","",IFERROR(VLOOKUP(LOWER(TRIM(Raw_Export!D1044)),Maps!$G$2:$I$80,2,FALSE()),"UNMAPPED"))</f>
        <v>Dish Soap 750ml</v>
      </c>
      <c r="E1044" s="36" t="str">
        <f aca="false">IF(Raw_Export!$A1044="","",IFERROR(VLOOKUP(LOWER(TRIM(Raw_Export!D1044)),Maps!$G$2:$I$80,3,FALSE()),"UNMAPPED"))</f>
        <v>Household</v>
      </c>
      <c r="F1044" s="36" t="n">
        <f aca="false">IF(Raw_Export!$A1044="","",IFERROR(VALUE(TRIM(Raw_Export!E1044)),0))</f>
        <v>3</v>
      </c>
      <c r="G1044" s="38" t="n">
        <f aca="false">IF(Raw_Export!$A1044="","",IFERROR(VALUE(SUBSTITUTE(SUBSTITUTE(UPPER(TRIM(Raw_Export!F1044)),"KES",""),",","")),0))</f>
        <v>190</v>
      </c>
      <c r="H1044" s="38" t="n">
        <f aca="false">IF(Raw_Export!$A1044="","",F1044*G1044)</f>
        <v>570</v>
      </c>
      <c r="I1044" s="36" t="str">
        <f aca="false">IF(Raw_Export!$A1044="","",IFERROR(VLOOKUP(LOWER(TRIM(Raw_Export!H1044)),Maps!$D$2:$E$12,2,FALSE()),"Other"))</f>
        <v>Cash</v>
      </c>
      <c r="J1044" s="36" t="str">
        <f aca="false">IF(Raw_Export!$A1044="","",IF(COUNTIF($A$2:A1044,A1044)&gt;1,"Duplicate",""))</f>
        <v/>
      </c>
      <c r="K1044" s="36" t="str">
        <f aca="false">IF(Raw_Export!$A1044="","",IF(J1044="Duplicate","Duplicate",IF(OR(C1044="UNMAPPED",D1044="UNMAPPED"),"Unmapped",IF(F1044=0,"Blank qty",IF(F1044&lt;0,"Return","OK")))))</f>
        <v>OK</v>
      </c>
      <c r="L1044" s="36" t="n">
        <f aca="false">IF(Raw_Export!$A1044="","",IF(OR(K1044="OK",K1044="Return"),1,0))</f>
        <v>1</v>
      </c>
      <c r="M1044" s="37" t="n">
        <f aca="false">IF(Raw_Export!$A1044="","",B1044-WEEKDAY(B1044,2)+1)</f>
        <v>46265</v>
      </c>
    </row>
    <row r="1045" customFormat="false" ht="15" hidden="false" customHeight="false" outlineLevel="0" collapsed="false">
      <c r="A1045" s="36" t="str">
        <f aca="false">IF(Raw_Export!$A1045="","",TRIM(Raw_Export!A1045))</f>
        <v>TXN-101025</v>
      </c>
      <c r="B1045" s="37" t="n">
        <f aca="false">IF(Raw_Export!$A1045="","",IF(ISNUMBER(Raw_Export!B1045),Raw_Export!B1045,IF(MID(TRIM(Raw_Export!B1045),5,1)="-",DATE(LEFT(TRIM(Raw_Export!B1045),4),MID(TRIM(Raw_Export!B1045),6,2),RIGHT(TRIM(Raw_Export!B1045),2)),DATE(RIGHT(TRIM(Raw_Export!B1045),4),MATCH(MID(TRIM(Raw_Export!B1045),4,3),{"Jan","Feb","Mar","Apr","May","Jun","Jul","Aug","Sep","Oct","Nov","Dec"},0),LEFT(TRIM(Raw_Export!B1045),2)))))</f>
        <v>46271</v>
      </c>
      <c r="C1045" s="36" t="str">
        <f aca="false">IF(Raw_Export!$A1045="","",IFERROR(VLOOKUP(LOWER(TRIM(Raw_Export!C1045)),Maps!$A$2:$B$20,2,FALSE()),"UNMAPPED"))</f>
        <v>Kisumu</v>
      </c>
      <c r="D1045" s="36" t="str">
        <f aca="false">IF(Raw_Export!$A1045="","",IFERROR(VLOOKUP(LOWER(TRIM(Raw_Export!D1045)),Maps!$G$2:$I$80,2,FALSE()),"UNMAPPED"))</f>
        <v>Bleach 1L</v>
      </c>
      <c r="E1045" s="36" t="str">
        <f aca="false">IF(Raw_Export!$A1045="","",IFERROR(VLOOKUP(LOWER(TRIM(Raw_Export!D1045)),Maps!$G$2:$I$80,3,FALSE()),"UNMAPPED"))</f>
        <v>Household</v>
      </c>
      <c r="F1045" s="36" t="n">
        <f aca="false">IF(Raw_Export!$A1045="","",IFERROR(VALUE(TRIM(Raw_Export!E1045)),0))</f>
        <v>1</v>
      </c>
      <c r="G1045" s="38" t="n">
        <f aca="false">IF(Raw_Export!$A1045="","",IFERROR(VALUE(SUBSTITUTE(SUBSTITUTE(UPPER(TRIM(Raw_Export!F1045)),"KES",""),",","")),0))</f>
        <v>160</v>
      </c>
      <c r="H1045" s="38" t="n">
        <f aca="false">IF(Raw_Export!$A1045="","",F1045*G1045)</f>
        <v>160</v>
      </c>
      <c r="I1045" s="36" t="str">
        <f aca="false">IF(Raw_Export!$A1045="","",IFERROR(VLOOKUP(LOWER(TRIM(Raw_Export!H1045)),Maps!$D$2:$E$12,2,FALSE()),"Other"))</f>
        <v>Cash</v>
      </c>
      <c r="J1045" s="36" t="str">
        <f aca="false">IF(Raw_Export!$A1045="","",IF(COUNTIF($A$2:A1045,A1045)&gt;1,"Duplicate",""))</f>
        <v/>
      </c>
      <c r="K1045" s="36" t="str">
        <f aca="false">IF(Raw_Export!$A1045="","",IF(J1045="Duplicate","Duplicate",IF(OR(C1045="UNMAPPED",D1045="UNMAPPED"),"Unmapped",IF(F1045=0,"Blank qty",IF(F1045&lt;0,"Return","OK")))))</f>
        <v>OK</v>
      </c>
      <c r="L1045" s="36" t="n">
        <f aca="false">IF(Raw_Export!$A1045="","",IF(OR(K1045="OK",K1045="Return"),1,0))</f>
        <v>1</v>
      </c>
      <c r="M1045" s="37" t="n">
        <f aca="false">IF(Raw_Export!$A1045="","",B1045-WEEKDAY(B1045,2)+1)</f>
        <v>46265</v>
      </c>
    </row>
    <row r="1046" customFormat="false" ht="15" hidden="false" customHeight="false" outlineLevel="0" collapsed="false">
      <c r="A1046" s="36" t="str">
        <f aca="false">IF(Raw_Export!$A1046="","",TRIM(Raw_Export!A1046))</f>
        <v>TXN-101026</v>
      </c>
      <c r="B1046" s="37" t="n">
        <f aca="false">IF(Raw_Export!$A1046="","",IF(ISNUMBER(Raw_Export!B1046),Raw_Export!B1046,IF(MID(TRIM(Raw_Export!B1046),5,1)="-",DATE(LEFT(TRIM(Raw_Export!B1046),4),MID(TRIM(Raw_Export!B1046),6,2),RIGHT(TRIM(Raw_Export!B1046),2)),DATE(RIGHT(TRIM(Raw_Export!B1046),4),MATCH(MID(TRIM(Raw_Export!B1046),4,3),{"Jan","Feb","Mar","Apr","May","Jun","Jul","Aug","Sep","Oct","Nov","Dec"},0),LEFT(TRIM(Raw_Export!B1046),2)))))</f>
        <v>46271</v>
      </c>
      <c r="C1046" s="36" t="str">
        <f aca="false">IF(Raw_Export!$A1046="","",IFERROR(VLOOKUP(LOWER(TRIM(Raw_Export!C1046)),Maps!$A$2:$B$20,2,FALSE()),"UNMAPPED"))</f>
        <v>Kisumu</v>
      </c>
      <c r="D1046" s="36" t="str">
        <f aca="false">IF(Raw_Export!$A1046="","",IFERROR(VLOOKUP(LOWER(TRIM(Raw_Export!D1046)),Maps!$G$2:$I$80,2,FALSE()),"UNMAPPED"))</f>
        <v>Spaghetti 400g</v>
      </c>
      <c r="E1046" s="36" t="str">
        <f aca="false">IF(Raw_Export!$A1046="","",IFERROR(VLOOKUP(LOWER(TRIM(Raw_Export!D1046)),Maps!$G$2:$I$80,3,FALSE()),"UNMAPPED"))</f>
        <v>Staples</v>
      </c>
      <c r="F1046" s="36" t="n">
        <f aca="false">IF(Raw_Export!$A1046="","",IFERROR(VALUE(TRIM(Raw_Export!E1046)),0))</f>
        <v>2</v>
      </c>
      <c r="G1046" s="38" t="n">
        <f aca="false">IF(Raw_Export!$A1046="","",IFERROR(VALUE(SUBSTITUTE(SUBSTITUTE(UPPER(TRIM(Raw_Export!F1046)),"KES",""),",","")),0))</f>
        <v>110</v>
      </c>
      <c r="H1046" s="38" t="n">
        <f aca="false">IF(Raw_Export!$A1046="","",F1046*G1046)</f>
        <v>220</v>
      </c>
      <c r="I1046" s="36" t="str">
        <f aca="false">IF(Raw_Export!$A1046="","",IFERROR(VLOOKUP(LOWER(TRIM(Raw_Export!H1046)),Maps!$D$2:$E$12,2,FALSE()),"Other"))</f>
        <v>Cash</v>
      </c>
      <c r="J1046" s="36" t="str">
        <f aca="false">IF(Raw_Export!$A1046="","",IF(COUNTIF($A$2:A1046,A1046)&gt;1,"Duplicate",""))</f>
        <v/>
      </c>
      <c r="K1046" s="36" t="str">
        <f aca="false">IF(Raw_Export!$A1046="","",IF(J1046="Duplicate","Duplicate",IF(OR(C1046="UNMAPPED",D1046="UNMAPPED"),"Unmapped",IF(F1046=0,"Blank qty",IF(F1046&lt;0,"Return","OK")))))</f>
        <v>OK</v>
      </c>
      <c r="L1046" s="36" t="n">
        <f aca="false">IF(Raw_Export!$A1046="","",IF(OR(K1046="OK",K1046="Return"),1,0))</f>
        <v>1</v>
      </c>
      <c r="M1046" s="37" t="n">
        <f aca="false">IF(Raw_Export!$A1046="","",B1046-WEEKDAY(B1046,2)+1)</f>
        <v>46265</v>
      </c>
    </row>
    <row r="1047" customFormat="false" ht="15" hidden="false" customHeight="false" outlineLevel="0" collapsed="false">
      <c r="A1047" s="36" t="str">
        <f aca="false">IF(Raw_Export!$A1047="","",TRIM(Raw_Export!A1047))</f>
        <v>TXN-101027</v>
      </c>
      <c r="B1047" s="37" t="n">
        <f aca="false">IF(Raw_Export!$A1047="","",IF(ISNUMBER(Raw_Export!B1047),Raw_Export!B1047,IF(MID(TRIM(Raw_Export!B1047),5,1)="-",DATE(LEFT(TRIM(Raw_Export!B1047),4),MID(TRIM(Raw_Export!B1047),6,2),RIGHT(TRIM(Raw_Export!B1047),2)),DATE(RIGHT(TRIM(Raw_Export!B1047),4),MATCH(MID(TRIM(Raw_Export!B1047),4,3),{"Jan","Feb","Mar","Apr","May","Jun","Jul","Aug","Sep","Oct","Nov","Dec"},0),LEFT(TRIM(Raw_Export!B1047),2)))))</f>
        <v>46271</v>
      </c>
      <c r="C1047" s="36" t="str">
        <f aca="false">IF(Raw_Export!$A1047="","",IFERROR(VLOOKUP(LOWER(TRIM(Raw_Export!C1047)),Maps!$A$2:$B$20,2,FALSE()),"UNMAPPED"))</f>
        <v>Kisumu</v>
      </c>
      <c r="D1047" s="36" t="str">
        <f aca="false">IF(Raw_Export!$A1047="","",IFERROR(VLOOKUP(LOWER(TRIM(Raw_Export!D1047)),Maps!$G$2:$I$80,2,FALSE()),"UNMAPPED"))</f>
        <v>Juice 1L</v>
      </c>
      <c r="E1047" s="36" t="str">
        <f aca="false">IF(Raw_Export!$A1047="","",IFERROR(VLOOKUP(LOWER(TRIM(Raw_Export!D1047)),Maps!$G$2:$I$80,3,FALSE()),"UNMAPPED"))</f>
        <v>Beverages</v>
      </c>
      <c r="F1047" s="36" t="n">
        <f aca="false">IF(Raw_Export!$A1047="","",IFERROR(VALUE(TRIM(Raw_Export!E1047)),0))</f>
        <v>6</v>
      </c>
      <c r="G1047" s="38" t="n">
        <f aca="false">IF(Raw_Export!$A1047="","",IFERROR(VALUE(SUBSTITUTE(SUBSTITUTE(UPPER(TRIM(Raw_Export!F1047)),"KES",""),",","")),0))</f>
        <v>210</v>
      </c>
      <c r="H1047" s="38" t="n">
        <f aca="false">IF(Raw_Export!$A1047="","",F1047*G1047)</f>
        <v>1260</v>
      </c>
      <c r="I1047" s="36" t="str">
        <f aca="false">IF(Raw_Export!$A1047="","",IFERROR(VLOOKUP(LOWER(TRIM(Raw_Export!H1047)),Maps!$D$2:$E$12,2,FALSE()),"Other"))</f>
        <v>Cash</v>
      </c>
      <c r="J1047" s="36" t="str">
        <f aca="false">IF(Raw_Export!$A1047="","",IF(COUNTIF($A$2:A1047,A1047)&gt;1,"Duplicate",""))</f>
        <v/>
      </c>
      <c r="K1047" s="36" t="str">
        <f aca="false">IF(Raw_Export!$A1047="","",IF(J1047="Duplicate","Duplicate",IF(OR(C1047="UNMAPPED",D1047="UNMAPPED"),"Unmapped",IF(F1047=0,"Blank qty",IF(F1047&lt;0,"Return","OK")))))</f>
        <v>OK</v>
      </c>
      <c r="L1047" s="36" t="n">
        <f aca="false">IF(Raw_Export!$A1047="","",IF(OR(K1047="OK",K1047="Return"),1,0))</f>
        <v>1</v>
      </c>
      <c r="M1047" s="37" t="n">
        <f aca="false">IF(Raw_Export!$A1047="","",B1047-WEEKDAY(B1047,2)+1)</f>
        <v>46265</v>
      </c>
    </row>
    <row r="1048" customFormat="false" ht="15" hidden="false" customHeight="false" outlineLevel="0" collapsed="false">
      <c r="A1048" s="36" t="str">
        <f aca="false">IF(Raw_Export!$A1048="","",TRIM(Raw_Export!A1048))</f>
        <v>TXN-101028</v>
      </c>
      <c r="B1048" s="37" t="n">
        <f aca="false">IF(Raw_Export!$A1048="","",IF(ISNUMBER(Raw_Export!B1048),Raw_Export!B1048,IF(MID(TRIM(Raw_Export!B1048),5,1)="-",DATE(LEFT(TRIM(Raw_Export!B1048),4),MID(TRIM(Raw_Export!B1048),6,2),RIGHT(TRIM(Raw_Export!B1048),2)),DATE(RIGHT(TRIM(Raw_Export!B1048),4),MATCH(MID(TRIM(Raw_Export!B1048),4,3),{"Jan","Feb","Mar","Apr","May","Jun","Jul","Aug","Sep","Oct","Nov","Dec"},0),LEFT(TRIM(Raw_Export!B1048),2)))))</f>
        <v>46271</v>
      </c>
      <c r="C1048" s="36" t="str">
        <f aca="false">IF(Raw_Export!$A1048="","",IFERROR(VLOOKUP(LOWER(TRIM(Raw_Export!C1048)),Maps!$A$2:$B$20,2,FALSE()),"UNMAPPED"))</f>
        <v>Kisumu</v>
      </c>
      <c r="D1048" s="36" t="str">
        <f aca="false">IF(Raw_Export!$A1048="","",IFERROR(VLOOKUP(LOWER(TRIM(Raw_Export!D1048)),Maps!$G$2:$I$80,2,FALSE()),"UNMAPPED"))</f>
        <v>Eggs Tray 30</v>
      </c>
      <c r="E1048" s="36" t="str">
        <f aca="false">IF(Raw_Export!$A1048="","",IFERROR(VLOOKUP(LOWER(TRIM(Raw_Export!D1048)),Maps!$G$2:$I$80,3,FALSE()),"UNMAPPED"))</f>
        <v>Dairy &amp; Eggs</v>
      </c>
      <c r="F1048" s="36" t="n">
        <f aca="false">IF(Raw_Export!$A1048="","",IFERROR(VALUE(TRIM(Raw_Export!E1048)),0))</f>
        <v>6</v>
      </c>
      <c r="G1048" s="38" t="n">
        <f aca="false">IF(Raw_Export!$A1048="","",IFERROR(VALUE(SUBSTITUTE(SUBSTITUTE(UPPER(TRIM(Raw_Export!F1048)),"KES",""),",","")),0))</f>
        <v>450</v>
      </c>
      <c r="H1048" s="38" t="n">
        <f aca="false">IF(Raw_Export!$A1048="","",F1048*G1048)</f>
        <v>2700</v>
      </c>
      <c r="I1048" s="36" t="str">
        <f aca="false">IF(Raw_Export!$A1048="","",IFERROR(VLOOKUP(LOWER(TRIM(Raw_Export!H1048)),Maps!$D$2:$E$12,2,FALSE()),"Other"))</f>
        <v>M-Pesa</v>
      </c>
      <c r="J1048" s="36" t="str">
        <f aca="false">IF(Raw_Export!$A1048="","",IF(COUNTIF($A$2:A1048,A1048)&gt;1,"Duplicate",""))</f>
        <v/>
      </c>
      <c r="K1048" s="36" t="str">
        <f aca="false">IF(Raw_Export!$A1048="","",IF(J1048="Duplicate","Duplicate",IF(OR(C1048="UNMAPPED",D1048="UNMAPPED"),"Unmapped",IF(F1048=0,"Blank qty",IF(F1048&lt;0,"Return","OK")))))</f>
        <v>OK</v>
      </c>
      <c r="L1048" s="36" t="n">
        <f aca="false">IF(Raw_Export!$A1048="","",IF(OR(K1048="OK",K1048="Return"),1,0))</f>
        <v>1</v>
      </c>
      <c r="M1048" s="37" t="n">
        <f aca="false">IF(Raw_Export!$A1048="","",B1048-WEEKDAY(B1048,2)+1)</f>
        <v>46265</v>
      </c>
    </row>
    <row r="1049" customFormat="false" ht="15" hidden="false" customHeight="false" outlineLevel="0" collapsed="false">
      <c r="A1049" s="36" t="str">
        <f aca="false">IF(Raw_Export!$A1049="","",TRIM(Raw_Export!A1049))</f>
        <v>TXN-101029</v>
      </c>
      <c r="B1049" s="37" t="n">
        <f aca="false">IF(Raw_Export!$A1049="","",IF(ISNUMBER(Raw_Export!B1049),Raw_Export!B1049,IF(MID(TRIM(Raw_Export!B1049),5,1)="-",DATE(LEFT(TRIM(Raw_Export!B1049),4),MID(TRIM(Raw_Export!B1049),6,2),RIGHT(TRIM(Raw_Export!B1049),2)),DATE(RIGHT(TRIM(Raw_Export!B1049),4),MATCH(MID(TRIM(Raw_Export!B1049),4,3),{"Jan","Feb","Mar","Apr","May","Jun","Jul","Aug","Sep","Oct","Nov","Dec"},0),LEFT(TRIM(Raw_Export!B1049),2)))))</f>
        <v>46271</v>
      </c>
      <c r="C1049" s="36" t="str">
        <f aca="false">IF(Raw_Export!$A1049="","",IFERROR(VLOOKUP(LOWER(TRIM(Raw_Export!C1049)),Maps!$A$2:$B$20,2,FALSE()),"UNMAPPED"))</f>
        <v>Kisumu</v>
      </c>
      <c r="D1049" s="36" t="str">
        <f aca="false">IF(Raw_Export!$A1049="","",IFERROR(VLOOKUP(LOWER(TRIM(Raw_Export!D1049)),Maps!$G$2:$I$80,2,FALSE()),"UNMAPPED"))</f>
        <v>Fresh Milk 500ml</v>
      </c>
      <c r="E1049" s="36" t="str">
        <f aca="false">IF(Raw_Export!$A1049="","",IFERROR(VLOOKUP(LOWER(TRIM(Raw_Export!D1049)),Maps!$G$2:$I$80,3,FALSE()),"UNMAPPED"))</f>
        <v>Dairy &amp; Eggs</v>
      </c>
      <c r="F1049" s="36" t="n">
        <f aca="false">IF(Raw_Export!$A1049="","",IFERROR(VALUE(TRIM(Raw_Export!E1049)),0))</f>
        <v>3</v>
      </c>
      <c r="G1049" s="38" t="n">
        <f aca="false">IF(Raw_Export!$A1049="","",IFERROR(VALUE(SUBSTITUTE(SUBSTITUTE(UPPER(TRIM(Raw_Export!F1049)),"KES",""),",","")),0))</f>
        <v>65</v>
      </c>
      <c r="H1049" s="38" t="n">
        <f aca="false">IF(Raw_Export!$A1049="","",F1049*G1049)</f>
        <v>195</v>
      </c>
      <c r="I1049" s="36" t="str">
        <f aca="false">IF(Raw_Export!$A1049="","",IFERROR(VLOOKUP(LOWER(TRIM(Raw_Export!H1049)),Maps!$D$2:$E$12,2,FALSE()),"Other"))</f>
        <v>Cash</v>
      </c>
      <c r="J1049" s="36" t="str">
        <f aca="false">IF(Raw_Export!$A1049="","",IF(COUNTIF($A$2:A1049,A1049)&gt;1,"Duplicate",""))</f>
        <v/>
      </c>
      <c r="K1049" s="36" t="str">
        <f aca="false">IF(Raw_Export!$A1049="","",IF(J1049="Duplicate","Duplicate",IF(OR(C1049="UNMAPPED",D1049="UNMAPPED"),"Unmapped",IF(F1049=0,"Blank qty",IF(F1049&lt;0,"Return","OK")))))</f>
        <v>OK</v>
      </c>
      <c r="L1049" s="36" t="n">
        <f aca="false">IF(Raw_Export!$A1049="","",IF(OR(K1049="OK",K1049="Return"),1,0))</f>
        <v>1</v>
      </c>
      <c r="M1049" s="37" t="n">
        <f aca="false">IF(Raw_Export!$A1049="","",B1049-WEEKDAY(B1049,2)+1)</f>
        <v>46265</v>
      </c>
    </row>
    <row r="1050" customFormat="false" ht="15" hidden="false" customHeight="false" outlineLevel="0" collapsed="false">
      <c r="A1050" s="36" t="str">
        <f aca="false">IF(Raw_Export!$A1050="","",TRIM(Raw_Export!A1050))</f>
        <v>TXN-101030</v>
      </c>
      <c r="B1050" s="37" t="n">
        <f aca="false">IF(Raw_Export!$A1050="","",IF(ISNUMBER(Raw_Export!B1050),Raw_Export!B1050,IF(MID(TRIM(Raw_Export!B1050),5,1)="-",DATE(LEFT(TRIM(Raw_Export!B1050),4),MID(TRIM(Raw_Export!B1050),6,2),RIGHT(TRIM(Raw_Export!B1050),2)),DATE(RIGHT(TRIM(Raw_Export!B1050),4),MATCH(MID(TRIM(Raw_Export!B1050),4,3),{"Jan","Feb","Mar","Apr","May","Jun","Jul","Aug","Sep","Oct","Nov","Dec"},0),LEFT(TRIM(Raw_Export!B1050),2)))))</f>
        <v>46271</v>
      </c>
      <c r="C1050" s="36" t="str">
        <f aca="false">IF(Raw_Export!$A1050="","",IFERROR(VLOOKUP(LOWER(TRIM(Raw_Export!C1050)),Maps!$A$2:$B$20,2,FALSE()),"UNMAPPED"))</f>
        <v>Kisumu</v>
      </c>
      <c r="D1050" s="36" t="str">
        <f aca="false">IF(Raw_Export!$A1050="","",IFERROR(VLOOKUP(LOWER(TRIM(Raw_Export!D1050)),Maps!$G$2:$I$80,2,FALSE()),"UNMAPPED"))</f>
        <v>Sugar 2kg</v>
      </c>
      <c r="E1050" s="36" t="str">
        <f aca="false">IF(Raw_Export!$A1050="","",IFERROR(VLOOKUP(LOWER(TRIM(Raw_Export!D1050)),Maps!$G$2:$I$80,3,FALSE()),"UNMAPPED"))</f>
        <v>Staples</v>
      </c>
      <c r="F1050" s="36" t="n">
        <f aca="false">IF(Raw_Export!$A1050="","",IFERROR(VALUE(TRIM(Raw_Export!E1050)),0))</f>
        <v>2</v>
      </c>
      <c r="G1050" s="38" t="n">
        <f aca="false">IF(Raw_Export!$A1050="","",IFERROR(VALUE(SUBSTITUTE(SUBSTITUTE(UPPER(TRIM(Raw_Export!F1050)),"KES",""),",","")),0))</f>
        <v>330</v>
      </c>
      <c r="H1050" s="38" t="n">
        <f aca="false">IF(Raw_Export!$A1050="","",F1050*G1050)</f>
        <v>660</v>
      </c>
      <c r="I1050" s="36" t="str">
        <f aca="false">IF(Raw_Export!$A1050="","",IFERROR(VLOOKUP(LOWER(TRIM(Raw_Export!H1050)),Maps!$D$2:$E$12,2,FALSE()),"Other"))</f>
        <v>M-Pesa</v>
      </c>
      <c r="J1050" s="36" t="str">
        <f aca="false">IF(Raw_Export!$A1050="","",IF(COUNTIF($A$2:A1050,A1050)&gt;1,"Duplicate",""))</f>
        <v/>
      </c>
      <c r="K1050" s="36" t="str">
        <f aca="false">IF(Raw_Export!$A1050="","",IF(J1050="Duplicate","Duplicate",IF(OR(C1050="UNMAPPED",D1050="UNMAPPED"),"Unmapped",IF(F1050=0,"Blank qty",IF(F1050&lt;0,"Return","OK")))))</f>
        <v>OK</v>
      </c>
      <c r="L1050" s="36" t="n">
        <f aca="false">IF(Raw_Export!$A1050="","",IF(OR(K1050="OK",K1050="Return"),1,0))</f>
        <v>1</v>
      </c>
      <c r="M1050" s="37" t="n">
        <f aca="false">IF(Raw_Export!$A1050="","",B1050-WEEKDAY(B1050,2)+1)</f>
        <v>46265</v>
      </c>
    </row>
    <row r="1051" customFormat="false" ht="15" hidden="false" customHeight="false" outlineLevel="0" collapsed="false">
      <c r="A1051" s="36" t="str">
        <f aca="false">IF(Raw_Export!$A1051="","",TRIM(Raw_Export!A1051))</f>
        <v>TXN-101031</v>
      </c>
      <c r="B1051" s="37" t="n">
        <f aca="false">IF(Raw_Export!$A1051="","",IF(ISNUMBER(Raw_Export!B1051),Raw_Export!B1051,IF(MID(TRIM(Raw_Export!B1051),5,1)="-",DATE(LEFT(TRIM(Raw_Export!B1051),4),MID(TRIM(Raw_Export!B1051),6,2),RIGHT(TRIM(Raw_Export!B1051),2)),DATE(RIGHT(TRIM(Raw_Export!B1051),4),MATCH(MID(TRIM(Raw_Export!B1051),4,3),{"Jan","Feb","Mar","Apr","May","Jun","Jul","Aug","Sep","Oct","Nov","Dec"},0),LEFT(TRIM(Raw_Export!B1051),2)))))</f>
        <v>46271</v>
      </c>
      <c r="C1051" s="36" t="str">
        <f aca="false">IF(Raw_Export!$A1051="","",IFERROR(VLOOKUP(LOWER(TRIM(Raw_Export!C1051)),Maps!$A$2:$B$20,2,FALSE()),"UNMAPPED"))</f>
        <v>Kisumu</v>
      </c>
      <c r="D1051" s="36" t="str">
        <f aca="false">IF(Raw_Export!$A1051="","",IFERROR(VLOOKUP(LOWER(TRIM(Raw_Export!D1051)),Maps!$G$2:$I$80,2,FALSE()),"UNMAPPED"))</f>
        <v>Salt 500g</v>
      </c>
      <c r="E1051" s="36" t="str">
        <f aca="false">IF(Raw_Export!$A1051="","",IFERROR(VLOOKUP(LOWER(TRIM(Raw_Export!D1051)),Maps!$G$2:$I$80,3,FALSE()),"UNMAPPED"))</f>
        <v>Staples</v>
      </c>
      <c r="F1051" s="36" t="n">
        <f aca="false">IF(Raw_Export!$A1051="","",IFERROR(VALUE(TRIM(Raw_Export!E1051)),0))</f>
        <v>1</v>
      </c>
      <c r="G1051" s="38" t="n">
        <f aca="false">IF(Raw_Export!$A1051="","",IFERROR(VALUE(SUBSTITUTE(SUBSTITUTE(UPPER(TRIM(Raw_Export!F1051)),"KES",""),",","")),0))</f>
        <v>40</v>
      </c>
      <c r="H1051" s="38" t="n">
        <f aca="false">IF(Raw_Export!$A1051="","",F1051*G1051)</f>
        <v>40</v>
      </c>
      <c r="I1051" s="36" t="str">
        <f aca="false">IF(Raw_Export!$A1051="","",IFERROR(VLOOKUP(LOWER(TRIM(Raw_Export!H1051)),Maps!$D$2:$E$12,2,FALSE()),"Other"))</f>
        <v>Card</v>
      </c>
      <c r="J1051" s="36" t="str">
        <f aca="false">IF(Raw_Export!$A1051="","",IF(COUNTIF($A$2:A1051,A1051)&gt;1,"Duplicate",""))</f>
        <v/>
      </c>
      <c r="K1051" s="36" t="str">
        <f aca="false">IF(Raw_Export!$A1051="","",IF(J1051="Duplicate","Duplicate",IF(OR(C1051="UNMAPPED",D1051="UNMAPPED"),"Unmapped",IF(F1051=0,"Blank qty",IF(F1051&lt;0,"Return","OK")))))</f>
        <v>OK</v>
      </c>
      <c r="L1051" s="36" t="n">
        <f aca="false">IF(Raw_Export!$A1051="","",IF(OR(K1051="OK",K1051="Return"),1,0))</f>
        <v>1</v>
      </c>
      <c r="M1051" s="37" t="n">
        <f aca="false">IF(Raw_Export!$A1051="","",B1051-WEEKDAY(B1051,2)+1)</f>
        <v>46265</v>
      </c>
    </row>
    <row r="1052" customFormat="false" ht="15" hidden="false" customHeight="false" outlineLevel="0" collapsed="false">
      <c r="A1052" s="36" t="str">
        <f aca="false">IF(Raw_Export!$A1052="","",TRIM(Raw_Export!A1052))</f>
        <v>TXN-101032</v>
      </c>
      <c r="B1052" s="37" t="n">
        <f aca="false">IF(Raw_Export!$A1052="","",IF(ISNUMBER(Raw_Export!B1052),Raw_Export!B1052,IF(MID(TRIM(Raw_Export!B1052),5,1)="-",DATE(LEFT(TRIM(Raw_Export!B1052),4),MID(TRIM(Raw_Export!B1052),6,2),RIGHT(TRIM(Raw_Export!B1052),2)),DATE(RIGHT(TRIM(Raw_Export!B1052),4),MATCH(MID(TRIM(Raw_Export!B1052),4,3),{"Jan","Feb","Mar","Apr","May","Jun","Jul","Aug","Sep","Oct","Nov","Dec"},0),LEFT(TRIM(Raw_Export!B1052),2)))))</f>
        <v>46271</v>
      </c>
      <c r="C1052" s="36" t="str">
        <f aca="false">IF(Raw_Export!$A1052="","",IFERROR(VLOOKUP(LOWER(TRIM(Raw_Export!C1052)),Maps!$A$2:$B$20,2,FALSE()),"UNMAPPED"))</f>
        <v>Kisumu</v>
      </c>
      <c r="D1052" s="36" t="str">
        <f aca="false">IF(Raw_Export!$A1052="","",IFERROR(VLOOKUP(LOWER(TRIM(Raw_Export!D1052)),Maps!$G$2:$I$80,2,FALSE()),"UNMAPPED"))</f>
        <v>Eggs Tray 30</v>
      </c>
      <c r="E1052" s="36" t="str">
        <f aca="false">IF(Raw_Export!$A1052="","",IFERROR(VLOOKUP(LOWER(TRIM(Raw_Export!D1052)),Maps!$G$2:$I$80,3,FALSE()),"UNMAPPED"))</f>
        <v>Dairy &amp; Eggs</v>
      </c>
      <c r="F1052" s="36" t="n">
        <f aca="false">IF(Raw_Export!$A1052="","",IFERROR(VALUE(TRIM(Raw_Export!E1052)),0))</f>
        <v>1</v>
      </c>
      <c r="G1052" s="38" t="n">
        <f aca="false">IF(Raw_Export!$A1052="","",IFERROR(VALUE(SUBSTITUTE(SUBSTITUTE(UPPER(TRIM(Raw_Export!F1052)),"KES",""),",","")),0))</f>
        <v>450</v>
      </c>
      <c r="H1052" s="38" t="n">
        <f aca="false">IF(Raw_Export!$A1052="","",F1052*G1052)</f>
        <v>450</v>
      </c>
      <c r="I1052" s="36" t="str">
        <f aca="false">IF(Raw_Export!$A1052="","",IFERROR(VLOOKUP(LOWER(TRIM(Raw_Export!H1052)),Maps!$D$2:$E$12,2,FALSE()),"Other"))</f>
        <v>Card</v>
      </c>
      <c r="J1052" s="36" t="str">
        <f aca="false">IF(Raw_Export!$A1052="","",IF(COUNTIF($A$2:A1052,A1052)&gt;1,"Duplicate",""))</f>
        <v/>
      </c>
      <c r="K1052" s="36" t="str">
        <f aca="false">IF(Raw_Export!$A1052="","",IF(J1052="Duplicate","Duplicate",IF(OR(C1052="UNMAPPED",D1052="UNMAPPED"),"Unmapped",IF(F1052=0,"Blank qty",IF(F1052&lt;0,"Return","OK")))))</f>
        <v>OK</v>
      </c>
      <c r="L1052" s="36" t="n">
        <f aca="false">IF(Raw_Export!$A1052="","",IF(OR(K1052="OK",K1052="Return"),1,0))</f>
        <v>1</v>
      </c>
      <c r="M1052" s="37" t="n">
        <f aca="false">IF(Raw_Export!$A1052="","",B1052-WEEKDAY(B1052,2)+1)</f>
        <v>46265</v>
      </c>
    </row>
    <row r="1053" customFormat="false" ht="15" hidden="false" customHeight="false" outlineLevel="0" collapsed="false">
      <c r="A1053" s="36" t="str">
        <f aca="false">IF(Raw_Export!$A1053="","",TRIM(Raw_Export!A1053))</f>
        <v>TXN-101033</v>
      </c>
      <c r="B1053" s="37" t="n">
        <f aca="false">IF(Raw_Export!$A1053="","",IF(ISNUMBER(Raw_Export!B1053),Raw_Export!B1053,IF(MID(TRIM(Raw_Export!B1053),5,1)="-",DATE(LEFT(TRIM(Raw_Export!B1053),4),MID(TRIM(Raw_Export!B1053),6,2),RIGHT(TRIM(Raw_Export!B1053),2)),DATE(RIGHT(TRIM(Raw_Export!B1053),4),MATCH(MID(TRIM(Raw_Export!B1053),4,3),{"Jan","Feb","Mar","Apr","May","Jun","Jul","Aug","Sep","Oct","Nov","Dec"},0),LEFT(TRIM(Raw_Export!B1053),2)))))</f>
        <v>46271</v>
      </c>
      <c r="C1053" s="36" t="str">
        <f aca="false">IF(Raw_Export!$A1053="","",IFERROR(VLOOKUP(LOWER(TRIM(Raw_Export!C1053)),Maps!$A$2:$B$20,2,FALSE()),"UNMAPPED"))</f>
        <v>Kisumu</v>
      </c>
      <c r="D1053" s="36" t="str">
        <f aca="false">IF(Raw_Export!$A1053="","",IFERROR(VLOOKUP(LOWER(TRIM(Raw_Export!D1053)),Maps!$G$2:$I$80,2,FALSE()),"UNMAPPED"))</f>
        <v>Cooking Oil 1L</v>
      </c>
      <c r="E1053" s="36" t="str">
        <f aca="false">IF(Raw_Export!$A1053="","",IFERROR(VLOOKUP(LOWER(TRIM(Raw_Export!D1053)),Maps!$G$2:$I$80,3,FALSE()),"UNMAPPED"))</f>
        <v>Staples</v>
      </c>
      <c r="F1053" s="36" t="n">
        <f aca="false">IF(Raw_Export!$A1053="","",IFERROR(VALUE(TRIM(Raw_Export!E1053)),0))</f>
        <v>2</v>
      </c>
      <c r="G1053" s="38" t="n">
        <f aca="false">IF(Raw_Export!$A1053="","",IFERROR(VALUE(SUBSTITUTE(SUBSTITUTE(UPPER(TRIM(Raw_Export!F1053)),"KES",""),",","")),0))</f>
        <v>330</v>
      </c>
      <c r="H1053" s="38" t="n">
        <f aca="false">IF(Raw_Export!$A1053="","",F1053*G1053)</f>
        <v>660</v>
      </c>
      <c r="I1053" s="36" t="str">
        <f aca="false">IF(Raw_Export!$A1053="","",IFERROR(VLOOKUP(LOWER(TRIM(Raw_Export!H1053)),Maps!$D$2:$E$12,2,FALSE()),"Other"))</f>
        <v>Cash</v>
      </c>
      <c r="J1053" s="36" t="str">
        <f aca="false">IF(Raw_Export!$A1053="","",IF(COUNTIF($A$2:A1053,A1053)&gt;1,"Duplicate",""))</f>
        <v/>
      </c>
      <c r="K1053" s="36" t="str">
        <f aca="false">IF(Raw_Export!$A1053="","",IF(J1053="Duplicate","Duplicate",IF(OR(C1053="UNMAPPED",D1053="UNMAPPED"),"Unmapped",IF(F1053=0,"Blank qty",IF(F1053&lt;0,"Return","OK")))))</f>
        <v>OK</v>
      </c>
      <c r="L1053" s="36" t="n">
        <f aca="false">IF(Raw_Export!$A1053="","",IF(OR(K1053="OK",K1053="Return"),1,0))</f>
        <v>1</v>
      </c>
      <c r="M1053" s="37" t="n">
        <f aca="false">IF(Raw_Export!$A1053="","",B1053-WEEKDAY(B1053,2)+1)</f>
        <v>46265</v>
      </c>
    </row>
    <row r="1054" customFormat="false" ht="15" hidden="false" customHeight="false" outlineLevel="0" collapsed="false">
      <c r="A1054" s="36" t="str">
        <f aca="false">IF(Raw_Export!$A1054="","",TRIM(Raw_Export!A1054))</f>
        <v>TXN-101034</v>
      </c>
      <c r="B1054" s="37" t="n">
        <f aca="false">IF(Raw_Export!$A1054="","",IF(ISNUMBER(Raw_Export!B1054),Raw_Export!B1054,IF(MID(TRIM(Raw_Export!B1054),5,1)="-",DATE(LEFT(TRIM(Raw_Export!B1054),4),MID(TRIM(Raw_Export!B1054),6,2),RIGHT(TRIM(Raw_Export!B1054),2)),DATE(RIGHT(TRIM(Raw_Export!B1054),4),MATCH(MID(TRIM(Raw_Export!B1054),4,3),{"Jan","Feb","Mar","Apr","May","Jun","Jul","Aug","Sep","Oct","Nov","Dec"},0),LEFT(TRIM(Raw_Export!B1054),2)))))</f>
        <v>46271</v>
      </c>
      <c r="C1054" s="36" t="str">
        <f aca="false">IF(Raw_Export!$A1054="","",IFERROR(VLOOKUP(LOWER(TRIM(Raw_Export!C1054)),Maps!$A$2:$B$20,2,FALSE()),"UNMAPPED"))</f>
        <v>Kisumu</v>
      </c>
      <c r="D1054" s="36" t="str">
        <f aca="false">IF(Raw_Export!$A1054="","",IFERROR(VLOOKUP(LOWER(TRIM(Raw_Export!D1054)),Maps!$G$2:$I$80,2,FALSE()),"UNMAPPED"))</f>
        <v>Deodorant 150ml</v>
      </c>
      <c r="E1054" s="36" t="str">
        <f aca="false">IF(Raw_Export!$A1054="","",IFERROR(VLOOKUP(LOWER(TRIM(Raw_Export!D1054)),Maps!$G$2:$I$80,3,FALSE()),"UNMAPPED"))</f>
        <v>Personal Care</v>
      </c>
      <c r="F1054" s="36" t="n">
        <f aca="false">IF(Raw_Export!$A1054="","",IFERROR(VALUE(TRIM(Raw_Export!E1054)),0))</f>
        <v>6</v>
      </c>
      <c r="G1054" s="38" t="n">
        <f aca="false">IF(Raw_Export!$A1054="","",IFERROR(VALUE(SUBSTITUTE(SUBSTITUTE(UPPER(TRIM(Raw_Export!F1054)),"KES",""),",","")),0))</f>
        <v>350</v>
      </c>
      <c r="H1054" s="38" t="n">
        <f aca="false">IF(Raw_Export!$A1054="","",F1054*G1054)</f>
        <v>2100</v>
      </c>
      <c r="I1054" s="36" t="str">
        <f aca="false">IF(Raw_Export!$A1054="","",IFERROR(VLOOKUP(LOWER(TRIM(Raw_Export!H1054)),Maps!$D$2:$E$12,2,FALSE()),"Other"))</f>
        <v>M-Pesa</v>
      </c>
      <c r="J1054" s="36" t="str">
        <f aca="false">IF(Raw_Export!$A1054="","",IF(COUNTIF($A$2:A1054,A1054)&gt;1,"Duplicate",""))</f>
        <v/>
      </c>
      <c r="K1054" s="36" t="str">
        <f aca="false">IF(Raw_Export!$A1054="","",IF(J1054="Duplicate","Duplicate",IF(OR(C1054="UNMAPPED",D1054="UNMAPPED"),"Unmapped",IF(F1054=0,"Blank qty",IF(F1054&lt;0,"Return","OK")))))</f>
        <v>OK</v>
      </c>
      <c r="L1054" s="36" t="n">
        <f aca="false">IF(Raw_Export!$A1054="","",IF(OR(K1054="OK",K1054="Return"),1,0))</f>
        <v>1</v>
      </c>
      <c r="M1054" s="37" t="n">
        <f aca="false">IF(Raw_Export!$A1054="","",B1054-WEEKDAY(B1054,2)+1)</f>
        <v>46265</v>
      </c>
    </row>
    <row r="1055" customFormat="false" ht="15" hidden="false" customHeight="false" outlineLevel="0" collapsed="false">
      <c r="A1055" s="36" t="str">
        <f aca="false">IF(Raw_Export!$A1055="","",TRIM(Raw_Export!A1055))</f>
        <v>TXN-101035</v>
      </c>
      <c r="B1055" s="37" t="n">
        <f aca="false">IF(Raw_Export!$A1055="","",IF(ISNUMBER(Raw_Export!B1055),Raw_Export!B1055,IF(MID(TRIM(Raw_Export!B1055),5,1)="-",DATE(LEFT(TRIM(Raw_Export!B1055),4),MID(TRIM(Raw_Export!B1055),6,2),RIGHT(TRIM(Raw_Export!B1055),2)),DATE(RIGHT(TRIM(Raw_Export!B1055),4),MATCH(MID(TRIM(Raw_Export!B1055),4,3),{"Jan","Feb","Mar","Apr","May","Jun","Jul","Aug","Sep","Oct","Nov","Dec"},0),LEFT(TRIM(Raw_Export!B1055),2)))))</f>
        <v>46271</v>
      </c>
      <c r="C1055" s="36" t="str">
        <f aca="false">IF(Raw_Export!$A1055="","",IFERROR(VLOOKUP(LOWER(TRIM(Raw_Export!C1055)),Maps!$A$2:$B$20,2,FALSE()),"UNMAPPED"))</f>
        <v>Kisumu</v>
      </c>
      <c r="D1055" s="36" t="str">
        <f aca="false">IF(Raw_Export!$A1055="","",IFERROR(VLOOKUP(LOWER(TRIM(Raw_Export!D1055)),Maps!$G$2:$I$80,2,FALSE()),"UNMAPPED"))</f>
        <v>Sugar 2kg</v>
      </c>
      <c r="E1055" s="36" t="str">
        <f aca="false">IF(Raw_Export!$A1055="","",IFERROR(VLOOKUP(LOWER(TRIM(Raw_Export!D1055)),Maps!$G$2:$I$80,3,FALSE()),"UNMAPPED"))</f>
        <v>Staples</v>
      </c>
      <c r="F1055" s="36" t="n">
        <f aca="false">IF(Raw_Export!$A1055="","",IFERROR(VALUE(TRIM(Raw_Export!E1055)),0))</f>
        <v>2</v>
      </c>
      <c r="G1055" s="38" t="n">
        <f aca="false">IF(Raw_Export!$A1055="","",IFERROR(VALUE(SUBSTITUTE(SUBSTITUTE(UPPER(TRIM(Raw_Export!F1055)),"KES",""),",","")),0))</f>
        <v>330</v>
      </c>
      <c r="H1055" s="38" t="n">
        <f aca="false">IF(Raw_Export!$A1055="","",F1055*G1055)</f>
        <v>660</v>
      </c>
      <c r="I1055" s="36" t="str">
        <f aca="false">IF(Raw_Export!$A1055="","",IFERROR(VLOOKUP(LOWER(TRIM(Raw_Export!H1055)),Maps!$D$2:$E$12,2,FALSE()),"Other"))</f>
        <v>M-Pesa</v>
      </c>
      <c r="J1055" s="36" t="str">
        <f aca="false">IF(Raw_Export!$A1055="","",IF(COUNTIF($A$2:A1055,A1055)&gt;1,"Duplicate",""))</f>
        <v/>
      </c>
      <c r="K1055" s="36" t="str">
        <f aca="false">IF(Raw_Export!$A1055="","",IF(J1055="Duplicate","Duplicate",IF(OR(C1055="UNMAPPED",D1055="UNMAPPED"),"Unmapped",IF(F1055=0,"Blank qty",IF(F1055&lt;0,"Return","OK")))))</f>
        <v>OK</v>
      </c>
      <c r="L1055" s="36" t="n">
        <f aca="false">IF(Raw_Export!$A1055="","",IF(OR(K1055="OK",K1055="Return"),1,0))</f>
        <v>1</v>
      </c>
      <c r="M1055" s="37" t="n">
        <f aca="false">IF(Raw_Export!$A1055="","",B1055-WEEKDAY(B1055,2)+1)</f>
        <v>46265</v>
      </c>
    </row>
    <row r="1056" customFormat="false" ht="15" hidden="false" customHeight="false" outlineLevel="0" collapsed="false">
      <c r="A1056" s="36" t="str">
        <f aca="false">IF(Raw_Export!$A1056="","",TRIM(Raw_Export!A1056))</f>
        <v>TXN-101036</v>
      </c>
      <c r="B1056" s="37" t="n">
        <f aca="false">IF(Raw_Export!$A1056="","",IF(ISNUMBER(Raw_Export!B1056),Raw_Export!B1056,IF(MID(TRIM(Raw_Export!B1056),5,1)="-",DATE(LEFT(TRIM(Raw_Export!B1056),4),MID(TRIM(Raw_Export!B1056),6,2),RIGHT(TRIM(Raw_Export!B1056),2)),DATE(RIGHT(TRIM(Raw_Export!B1056),4),MATCH(MID(TRIM(Raw_Export!B1056),4,3),{"Jan","Feb","Mar","Apr","May","Jun","Jul","Aug","Sep","Oct","Nov","Dec"},0),LEFT(TRIM(Raw_Export!B1056),2)))))</f>
        <v>46271</v>
      </c>
      <c r="C1056" s="36" t="str">
        <f aca="false">IF(Raw_Export!$A1056="","",IFERROR(VLOOKUP(LOWER(TRIM(Raw_Export!C1056)),Maps!$A$2:$B$20,2,FALSE()),"UNMAPPED"))</f>
        <v>Kisumu</v>
      </c>
      <c r="D1056" s="36" t="str">
        <f aca="false">IF(Raw_Export!$A1056="","",IFERROR(VLOOKUP(LOWER(TRIM(Raw_Export!D1056)),Maps!$G$2:$I$80,2,FALSE()),"UNMAPPED"))</f>
        <v>Soda 500ml</v>
      </c>
      <c r="E1056" s="36" t="str">
        <f aca="false">IF(Raw_Export!$A1056="","",IFERROR(VLOOKUP(LOWER(TRIM(Raw_Export!D1056)),Maps!$G$2:$I$80,3,FALSE()),"UNMAPPED"))</f>
        <v>Beverages</v>
      </c>
      <c r="F1056" s="36" t="n">
        <f aca="false">IF(Raw_Export!$A1056="","",IFERROR(VALUE(TRIM(Raw_Export!E1056)),0))</f>
        <v>1</v>
      </c>
      <c r="G1056" s="38" t="n">
        <f aca="false">IF(Raw_Export!$A1056="","",IFERROR(VALUE(SUBSTITUTE(SUBSTITUTE(UPPER(TRIM(Raw_Export!F1056)),"KES",""),",","")),0))</f>
        <v>60</v>
      </c>
      <c r="H1056" s="38" t="n">
        <f aca="false">IF(Raw_Export!$A1056="","",F1056*G1056)</f>
        <v>60</v>
      </c>
      <c r="I1056" s="36" t="str">
        <f aca="false">IF(Raw_Export!$A1056="","",IFERROR(VLOOKUP(LOWER(TRIM(Raw_Export!H1056)),Maps!$D$2:$E$12,2,FALSE()),"Other"))</f>
        <v>M-Pesa</v>
      </c>
      <c r="J1056" s="36" t="str">
        <f aca="false">IF(Raw_Export!$A1056="","",IF(COUNTIF($A$2:A1056,A1056)&gt;1,"Duplicate",""))</f>
        <v/>
      </c>
      <c r="K1056" s="36" t="str">
        <f aca="false">IF(Raw_Export!$A1056="","",IF(J1056="Duplicate","Duplicate",IF(OR(C1056="UNMAPPED",D1056="UNMAPPED"),"Unmapped",IF(F1056=0,"Blank qty",IF(F1056&lt;0,"Return","OK")))))</f>
        <v>OK</v>
      </c>
      <c r="L1056" s="36" t="n">
        <f aca="false">IF(Raw_Export!$A1056="","",IF(OR(K1056="OK",K1056="Return"),1,0))</f>
        <v>1</v>
      </c>
      <c r="M1056" s="37" t="n">
        <f aca="false">IF(Raw_Export!$A1056="","",B1056-WEEKDAY(B1056,2)+1)</f>
        <v>46265</v>
      </c>
    </row>
    <row r="1057" customFormat="false" ht="15" hidden="false" customHeight="false" outlineLevel="0" collapsed="false">
      <c r="A1057" s="36" t="str">
        <f aca="false">IF(Raw_Export!$A1057="","",TRIM(Raw_Export!A1057))</f>
        <v>TXN-101037</v>
      </c>
      <c r="B1057" s="37" t="n">
        <f aca="false">IF(Raw_Export!$A1057="","",IF(ISNUMBER(Raw_Export!B1057),Raw_Export!B1057,IF(MID(TRIM(Raw_Export!B1057),5,1)="-",DATE(LEFT(TRIM(Raw_Export!B1057),4),MID(TRIM(Raw_Export!B1057),6,2),RIGHT(TRIM(Raw_Export!B1057),2)),DATE(RIGHT(TRIM(Raw_Export!B1057),4),MATCH(MID(TRIM(Raw_Export!B1057),4,3),{"Jan","Feb","Mar","Apr","May","Jun","Jul","Aug","Sep","Oct","Nov","Dec"},0),LEFT(TRIM(Raw_Export!B1057),2)))))</f>
        <v>46271</v>
      </c>
      <c r="C1057" s="36" t="str">
        <f aca="false">IF(Raw_Export!$A1057="","",IFERROR(VLOOKUP(LOWER(TRIM(Raw_Export!C1057)),Maps!$A$2:$B$20,2,FALSE()),"UNMAPPED"))</f>
        <v>Kisumu</v>
      </c>
      <c r="D1057" s="36" t="str">
        <f aca="false">IF(Raw_Export!$A1057="","",IFERROR(VLOOKUP(LOWER(TRIM(Raw_Export!D1057)),Maps!$G$2:$I$80,2,FALSE()),"UNMAPPED"))</f>
        <v>Salt 500g</v>
      </c>
      <c r="E1057" s="36" t="str">
        <f aca="false">IF(Raw_Export!$A1057="","",IFERROR(VLOOKUP(LOWER(TRIM(Raw_Export!D1057)),Maps!$G$2:$I$80,3,FALSE()),"UNMAPPED"))</f>
        <v>Staples</v>
      </c>
      <c r="F1057" s="36" t="n">
        <f aca="false">IF(Raw_Export!$A1057="","",IFERROR(VALUE(TRIM(Raw_Export!E1057)),0))</f>
        <v>1</v>
      </c>
      <c r="G1057" s="38" t="n">
        <f aca="false">IF(Raw_Export!$A1057="","",IFERROR(VALUE(SUBSTITUTE(SUBSTITUTE(UPPER(TRIM(Raw_Export!F1057)),"KES",""),",","")),0))</f>
        <v>36</v>
      </c>
      <c r="H1057" s="38" t="n">
        <f aca="false">IF(Raw_Export!$A1057="","",F1057*G1057)</f>
        <v>36</v>
      </c>
      <c r="I1057" s="36" t="str">
        <f aca="false">IF(Raw_Export!$A1057="","",IFERROR(VLOOKUP(LOWER(TRIM(Raw_Export!H1057)),Maps!$D$2:$E$12,2,FALSE()),"Other"))</f>
        <v>Cash</v>
      </c>
      <c r="J1057" s="36" t="str">
        <f aca="false">IF(Raw_Export!$A1057="","",IF(COUNTIF($A$2:A1057,A1057)&gt;1,"Duplicate",""))</f>
        <v/>
      </c>
      <c r="K1057" s="36" t="str">
        <f aca="false">IF(Raw_Export!$A1057="","",IF(J1057="Duplicate","Duplicate",IF(OR(C1057="UNMAPPED",D1057="UNMAPPED"),"Unmapped",IF(F1057=0,"Blank qty",IF(F1057&lt;0,"Return","OK")))))</f>
        <v>OK</v>
      </c>
      <c r="L1057" s="36" t="n">
        <f aca="false">IF(Raw_Export!$A1057="","",IF(OR(K1057="OK",K1057="Return"),1,0))</f>
        <v>1</v>
      </c>
      <c r="M1057" s="37" t="n">
        <f aca="false">IF(Raw_Export!$A1057="","",B1057-WEEKDAY(B1057,2)+1)</f>
        <v>46265</v>
      </c>
    </row>
    <row r="1058" customFormat="false" ht="15" hidden="false" customHeight="false" outlineLevel="0" collapsed="false">
      <c r="A1058" s="36" t="str">
        <f aca="false">IF(Raw_Export!$A1058="","",TRIM(Raw_Export!A1058))</f>
        <v>TXN-101038</v>
      </c>
      <c r="B1058" s="37" t="n">
        <f aca="false">IF(Raw_Export!$A1058="","",IF(ISNUMBER(Raw_Export!B1058),Raw_Export!B1058,IF(MID(TRIM(Raw_Export!B1058),5,1)="-",DATE(LEFT(TRIM(Raw_Export!B1058),4),MID(TRIM(Raw_Export!B1058),6,2),RIGHT(TRIM(Raw_Export!B1058),2)),DATE(RIGHT(TRIM(Raw_Export!B1058),4),MATCH(MID(TRIM(Raw_Export!B1058),4,3),{"Jan","Feb","Mar","Apr","May","Jun","Jul","Aug","Sep","Oct","Nov","Dec"},0),LEFT(TRIM(Raw_Export!B1058),2)))))</f>
        <v>46271</v>
      </c>
      <c r="C1058" s="36" t="str">
        <f aca="false">IF(Raw_Export!$A1058="","",IFERROR(VLOOKUP(LOWER(TRIM(Raw_Export!C1058)),Maps!$A$2:$B$20,2,FALSE()),"UNMAPPED"))</f>
        <v>Kisumu</v>
      </c>
      <c r="D1058" s="36" t="str">
        <f aca="false">IF(Raw_Export!$A1058="","",IFERROR(VLOOKUP(LOWER(TRIM(Raw_Export!D1058)),Maps!$G$2:$I$80,2,FALSE()),"UNMAPPED"))</f>
        <v>Soda 500ml</v>
      </c>
      <c r="E1058" s="36" t="str">
        <f aca="false">IF(Raw_Export!$A1058="","",IFERROR(VLOOKUP(LOWER(TRIM(Raw_Export!D1058)),Maps!$G$2:$I$80,3,FALSE()),"UNMAPPED"))</f>
        <v>Beverages</v>
      </c>
      <c r="F1058" s="36" t="n">
        <f aca="false">IF(Raw_Export!$A1058="","",IFERROR(VALUE(TRIM(Raw_Export!E1058)),0))</f>
        <v>-2</v>
      </c>
      <c r="G1058" s="38" t="n">
        <f aca="false">IF(Raw_Export!$A1058="","",IFERROR(VALUE(SUBSTITUTE(SUBSTITUTE(UPPER(TRIM(Raw_Export!F1058)),"KES",""),",","")),0))</f>
        <v>60</v>
      </c>
      <c r="H1058" s="38" t="n">
        <f aca="false">IF(Raw_Export!$A1058="","",F1058*G1058)</f>
        <v>-120</v>
      </c>
      <c r="I1058" s="36" t="str">
        <f aca="false">IF(Raw_Export!$A1058="","",IFERROR(VLOOKUP(LOWER(TRIM(Raw_Export!H1058)),Maps!$D$2:$E$12,2,FALSE()),"Other"))</f>
        <v>Cash</v>
      </c>
      <c r="J1058" s="36" t="str">
        <f aca="false">IF(Raw_Export!$A1058="","",IF(COUNTIF($A$2:A1058,A1058)&gt;1,"Duplicate",""))</f>
        <v/>
      </c>
      <c r="K1058" s="36" t="str">
        <f aca="false">IF(Raw_Export!$A1058="","",IF(J1058="Duplicate","Duplicate",IF(OR(C1058="UNMAPPED",D1058="UNMAPPED"),"Unmapped",IF(F1058=0,"Blank qty",IF(F1058&lt;0,"Return","OK")))))</f>
        <v>Return</v>
      </c>
      <c r="L1058" s="36" t="n">
        <f aca="false">IF(Raw_Export!$A1058="","",IF(OR(K1058="OK",K1058="Return"),1,0))</f>
        <v>1</v>
      </c>
      <c r="M1058" s="37" t="n">
        <f aca="false">IF(Raw_Export!$A1058="","",B1058-WEEKDAY(B1058,2)+1)</f>
        <v>46265</v>
      </c>
    </row>
    <row r="1059" customFormat="false" ht="15" hidden="false" customHeight="false" outlineLevel="0" collapsed="false">
      <c r="A1059" s="36" t="str">
        <f aca="false">IF(Raw_Export!$A1059="","",TRIM(Raw_Export!A1059))</f>
        <v>TXN-101039</v>
      </c>
      <c r="B1059" s="37" t="n">
        <f aca="false">IF(Raw_Export!$A1059="","",IF(ISNUMBER(Raw_Export!B1059),Raw_Export!B1059,IF(MID(TRIM(Raw_Export!B1059),5,1)="-",DATE(LEFT(TRIM(Raw_Export!B1059),4),MID(TRIM(Raw_Export!B1059),6,2),RIGHT(TRIM(Raw_Export!B1059),2)),DATE(RIGHT(TRIM(Raw_Export!B1059),4),MATCH(MID(TRIM(Raw_Export!B1059),4,3),{"Jan","Feb","Mar","Apr","May","Jun","Jul","Aug","Sep","Oct","Nov","Dec"},0),LEFT(TRIM(Raw_Export!B1059),2)))))</f>
        <v>46271</v>
      </c>
      <c r="C1059" s="36" t="str">
        <f aca="false">IF(Raw_Export!$A1059="","",IFERROR(VLOOKUP(LOWER(TRIM(Raw_Export!C1059)),Maps!$A$2:$B$20,2,FALSE()),"UNMAPPED"))</f>
        <v>Kisumu</v>
      </c>
      <c r="D1059" s="36" t="str">
        <f aca="false">IF(Raw_Export!$A1059="","",IFERROR(VLOOKUP(LOWER(TRIM(Raw_Export!D1059)),Maps!$G$2:$I$80,2,FALSE()),"UNMAPPED"))</f>
        <v>Eggs Tray 30</v>
      </c>
      <c r="E1059" s="36" t="str">
        <f aca="false">IF(Raw_Export!$A1059="","",IFERROR(VLOOKUP(LOWER(TRIM(Raw_Export!D1059)),Maps!$G$2:$I$80,3,FALSE()),"UNMAPPED"))</f>
        <v>Dairy &amp; Eggs</v>
      </c>
      <c r="F1059" s="36" t="n">
        <f aca="false">IF(Raw_Export!$A1059="","",IFERROR(VALUE(TRIM(Raw_Export!E1059)),0))</f>
        <v>1</v>
      </c>
      <c r="G1059" s="38" t="n">
        <f aca="false">IF(Raw_Export!$A1059="","",IFERROR(VALUE(SUBSTITUTE(SUBSTITUTE(UPPER(TRIM(Raw_Export!F1059)),"KES",""),",","")),0))</f>
        <v>450</v>
      </c>
      <c r="H1059" s="38" t="n">
        <f aca="false">IF(Raw_Export!$A1059="","",F1059*G1059)</f>
        <v>450</v>
      </c>
      <c r="I1059" s="36" t="str">
        <f aca="false">IF(Raw_Export!$A1059="","",IFERROR(VLOOKUP(LOWER(TRIM(Raw_Export!H1059)),Maps!$D$2:$E$12,2,FALSE()),"Other"))</f>
        <v>Cash</v>
      </c>
      <c r="J1059" s="36" t="str">
        <f aca="false">IF(Raw_Export!$A1059="","",IF(COUNTIF($A$2:A1059,A1059)&gt;1,"Duplicate",""))</f>
        <v/>
      </c>
      <c r="K1059" s="36" t="str">
        <f aca="false">IF(Raw_Export!$A1059="","",IF(J1059="Duplicate","Duplicate",IF(OR(C1059="UNMAPPED",D1059="UNMAPPED"),"Unmapped",IF(F1059=0,"Blank qty",IF(F1059&lt;0,"Return","OK")))))</f>
        <v>OK</v>
      </c>
      <c r="L1059" s="36" t="n">
        <f aca="false">IF(Raw_Export!$A1059="","",IF(OR(K1059="OK",K1059="Return"),1,0))</f>
        <v>1</v>
      </c>
      <c r="M1059" s="37" t="n">
        <f aca="false">IF(Raw_Export!$A1059="","",B1059-WEEKDAY(B1059,2)+1)</f>
        <v>46265</v>
      </c>
    </row>
    <row r="1060" customFormat="false" ht="15" hidden="false" customHeight="false" outlineLevel="0" collapsed="false">
      <c r="A1060" s="36" t="str">
        <f aca="false">IF(Raw_Export!$A1060="","",TRIM(Raw_Export!A1060))</f>
        <v>TXN-101040</v>
      </c>
      <c r="B1060" s="37" t="n">
        <f aca="false">IF(Raw_Export!$A1060="","",IF(ISNUMBER(Raw_Export!B1060),Raw_Export!B1060,IF(MID(TRIM(Raw_Export!B1060),5,1)="-",DATE(LEFT(TRIM(Raw_Export!B1060),4),MID(TRIM(Raw_Export!B1060),6,2),RIGHT(TRIM(Raw_Export!B1060),2)),DATE(RIGHT(TRIM(Raw_Export!B1060),4),MATCH(MID(TRIM(Raw_Export!B1060),4,3),{"Jan","Feb","Mar","Apr","May","Jun","Jul","Aug","Sep","Oct","Nov","Dec"},0),LEFT(TRIM(Raw_Export!B1060),2)))))</f>
        <v>46271</v>
      </c>
      <c r="C1060" s="36" t="str">
        <f aca="false">IF(Raw_Export!$A1060="","",IFERROR(VLOOKUP(LOWER(TRIM(Raw_Export!C1060)),Maps!$A$2:$B$20,2,FALSE()),"UNMAPPED"))</f>
        <v>Kisumu</v>
      </c>
      <c r="D1060" s="36" t="str">
        <f aca="false">IF(Raw_Export!$A1060="","",IFERROR(VLOOKUP(LOWER(TRIM(Raw_Export!D1060)),Maps!$G$2:$I$80,2,FALSE()),"UNMAPPED"))</f>
        <v>Sanitary Pads 8pk</v>
      </c>
      <c r="E1060" s="36" t="str">
        <f aca="false">IF(Raw_Export!$A1060="","",IFERROR(VLOOKUP(LOWER(TRIM(Raw_Export!D1060)),Maps!$G$2:$I$80,3,FALSE()),"UNMAPPED"))</f>
        <v>Personal Care</v>
      </c>
      <c r="F1060" s="36" t="n">
        <f aca="false">IF(Raw_Export!$A1060="","",IFERROR(VALUE(TRIM(Raw_Export!E1060)),0))</f>
        <v>1</v>
      </c>
      <c r="G1060" s="38" t="n">
        <f aca="false">IF(Raw_Export!$A1060="","",IFERROR(VALUE(SUBSTITUTE(SUBSTITUTE(UPPER(TRIM(Raw_Export!F1060)),"KES",""),",","")),0))</f>
        <v>130</v>
      </c>
      <c r="H1060" s="38" t="n">
        <f aca="false">IF(Raw_Export!$A1060="","",F1060*G1060)</f>
        <v>130</v>
      </c>
      <c r="I1060" s="36" t="str">
        <f aca="false">IF(Raw_Export!$A1060="","",IFERROR(VLOOKUP(LOWER(TRIM(Raw_Export!H1060)),Maps!$D$2:$E$12,2,FALSE()),"Other"))</f>
        <v>Cash</v>
      </c>
      <c r="J1060" s="36" t="str">
        <f aca="false">IF(Raw_Export!$A1060="","",IF(COUNTIF($A$2:A1060,A1060)&gt;1,"Duplicate",""))</f>
        <v/>
      </c>
      <c r="K1060" s="36" t="str">
        <f aca="false">IF(Raw_Export!$A1060="","",IF(J1060="Duplicate","Duplicate",IF(OR(C1060="UNMAPPED",D1060="UNMAPPED"),"Unmapped",IF(F1060=0,"Blank qty",IF(F1060&lt;0,"Return","OK")))))</f>
        <v>OK</v>
      </c>
      <c r="L1060" s="36" t="n">
        <f aca="false">IF(Raw_Export!$A1060="","",IF(OR(K1060="OK",K1060="Return"),1,0))</f>
        <v>1</v>
      </c>
      <c r="M1060" s="37" t="n">
        <f aca="false">IF(Raw_Export!$A1060="","",B1060-WEEKDAY(B1060,2)+1)</f>
        <v>46265</v>
      </c>
    </row>
    <row r="1061" customFormat="false" ht="15" hidden="false" customHeight="false" outlineLevel="0" collapsed="false">
      <c r="A1061" s="36" t="str">
        <f aca="false">IF(Raw_Export!$A1061="","",TRIM(Raw_Export!A1061))</f>
        <v>TXN-101041</v>
      </c>
      <c r="B1061" s="37" t="n">
        <f aca="false">IF(Raw_Export!$A1061="","",IF(ISNUMBER(Raw_Export!B1061),Raw_Export!B1061,IF(MID(TRIM(Raw_Export!B1061),5,1)="-",DATE(LEFT(TRIM(Raw_Export!B1061),4),MID(TRIM(Raw_Export!B1061),6,2),RIGHT(TRIM(Raw_Export!B1061),2)),DATE(RIGHT(TRIM(Raw_Export!B1061),4),MATCH(MID(TRIM(Raw_Export!B1061),4,3),{"Jan","Feb","Mar","Apr","May","Jun","Jul","Aug","Sep","Oct","Nov","Dec"},0),LEFT(TRIM(Raw_Export!B1061),2)))))</f>
        <v>46271</v>
      </c>
      <c r="C1061" s="36" t="str">
        <f aca="false">IF(Raw_Export!$A1061="","",IFERROR(VLOOKUP(LOWER(TRIM(Raw_Export!C1061)),Maps!$A$2:$B$20,2,FALSE()),"UNMAPPED"))</f>
        <v>Kisumu</v>
      </c>
      <c r="D1061" s="36" t="str">
        <f aca="false">IF(Raw_Export!$A1061="","",IFERROR(VLOOKUP(LOWER(TRIM(Raw_Export!D1061)),Maps!$G$2:$I$80,2,FALSE()),"UNMAPPED"))</f>
        <v>Eggs Tray 30</v>
      </c>
      <c r="E1061" s="36" t="str">
        <f aca="false">IF(Raw_Export!$A1061="","",IFERROR(VLOOKUP(LOWER(TRIM(Raw_Export!D1061)),Maps!$G$2:$I$80,3,FALSE()),"UNMAPPED"))</f>
        <v>Dairy &amp; Eggs</v>
      </c>
      <c r="F1061" s="36" t="n">
        <f aca="false">IF(Raw_Export!$A1061="","",IFERROR(VALUE(TRIM(Raw_Export!E1061)),0))</f>
        <v>1</v>
      </c>
      <c r="G1061" s="38" t="n">
        <f aca="false">IF(Raw_Export!$A1061="","",IFERROR(VALUE(SUBSTITUTE(SUBSTITUTE(UPPER(TRIM(Raw_Export!F1061)),"KES",""),",","")),0))</f>
        <v>405</v>
      </c>
      <c r="H1061" s="38" t="n">
        <f aca="false">IF(Raw_Export!$A1061="","",F1061*G1061)</f>
        <v>405</v>
      </c>
      <c r="I1061" s="36" t="str">
        <f aca="false">IF(Raw_Export!$A1061="","",IFERROR(VLOOKUP(LOWER(TRIM(Raw_Export!H1061)),Maps!$D$2:$E$12,2,FALSE()),"Other"))</f>
        <v>Cash</v>
      </c>
      <c r="J1061" s="36" t="str">
        <f aca="false">IF(Raw_Export!$A1061="","",IF(COUNTIF($A$2:A1061,A1061)&gt;1,"Duplicate",""))</f>
        <v/>
      </c>
      <c r="K1061" s="36" t="str">
        <f aca="false">IF(Raw_Export!$A1061="","",IF(J1061="Duplicate","Duplicate",IF(OR(C1061="UNMAPPED",D1061="UNMAPPED"),"Unmapped",IF(F1061=0,"Blank qty",IF(F1061&lt;0,"Return","OK")))))</f>
        <v>OK</v>
      </c>
      <c r="L1061" s="36" t="n">
        <f aca="false">IF(Raw_Export!$A1061="","",IF(OR(K1061="OK",K1061="Return"),1,0))</f>
        <v>1</v>
      </c>
      <c r="M1061" s="37" t="n">
        <f aca="false">IF(Raw_Export!$A1061="","",B1061-WEEKDAY(B1061,2)+1)</f>
        <v>46265</v>
      </c>
    </row>
    <row r="1062" customFormat="false" ht="15" hidden="false" customHeight="false" outlineLevel="0" collapsed="false">
      <c r="A1062" s="36" t="str">
        <f aca="false">IF(Raw_Export!$A1062="","",TRIM(Raw_Export!A1062))</f>
        <v>TXN-101042</v>
      </c>
      <c r="B1062" s="37" t="n">
        <f aca="false">IF(Raw_Export!$A1062="","",IF(ISNUMBER(Raw_Export!B1062),Raw_Export!B1062,IF(MID(TRIM(Raw_Export!B1062),5,1)="-",DATE(LEFT(TRIM(Raw_Export!B1062),4),MID(TRIM(Raw_Export!B1062),6,2),RIGHT(TRIM(Raw_Export!B1062),2)),DATE(RIGHT(TRIM(Raw_Export!B1062),4),MATCH(MID(TRIM(Raw_Export!B1062),4,3),{"Jan","Feb","Mar","Apr","May","Jun","Jul","Aug","Sep","Oct","Nov","Dec"},0),LEFT(TRIM(Raw_Export!B1062),2)))))</f>
        <v>46271</v>
      </c>
      <c r="C1062" s="36" t="str">
        <f aca="false">IF(Raw_Export!$A1062="","",IFERROR(VLOOKUP(LOWER(TRIM(Raw_Export!C1062)),Maps!$A$2:$B$20,2,FALSE()),"UNMAPPED"))</f>
        <v>Kisumu</v>
      </c>
      <c r="D1062" s="36" t="str">
        <f aca="false">IF(Raw_Export!$A1062="","",IFERROR(VLOOKUP(LOWER(TRIM(Raw_Export!D1062)),Maps!$G$2:$I$80,2,FALSE()),"UNMAPPED"))</f>
        <v>Sugar 2kg</v>
      </c>
      <c r="E1062" s="36" t="str">
        <f aca="false">IF(Raw_Export!$A1062="","",IFERROR(VLOOKUP(LOWER(TRIM(Raw_Export!D1062)),Maps!$G$2:$I$80,3,FALSE()),"UNMAPPED"))</f>
        <v>Staples</v>
      </c>
      <c r="F1062" s="36" t="n">
        <f aca="false">IF(Raw_Export!$A1062="","",IFERROR(VALUE(TRIM(Raw_Export!E1062)),0))</f>
        <v>1</v>
      </c>
      <c r="G1062" s="38" t="n">
        <f aca="false">IF(Raw_Export!$A1062="","",IFERROR(VALUE(SUBSTITUTE(SUBSTITUTE(UPPER(TRIM(Raw_Export!F1062)),"KES",""),",","")),0))</f>
        <v>330</v>
      </c>
      <c r="H1062" s="38" t="n">
        <f aca="false">IF(Raw_Export!$A1062="","",F1062*G1062)</f>
        <v>330</v>
      </c>
      <c r="I1062" s="36" t="str">
        <f aca="false">IF(Raw_Export!$A1062="","",IFERROR(VLOOKUP(LOWER(TRIM(Raw_Export!H1062)),Maps!$D$2:$E$12,2,FALSE()),"Other"))</f>
        <v>M-Pesa</v>
      </c>
      <c r="J1062" s="36" t="str">
        <f aca="false">IF(Raw_Export!$A1062="","",IF(COUNTIF($A$2:A1062,A1062)&gt;1,"Duplicate",""))</f>
        <v/>
      </c>
      <c r="K1062" s="36" t="str">
        <f aca="false">IF(Raw_Export!$A1062="","",IF(J1062="Duplicate","Duplicate",IF(OR(C1062="UNMAPPED",D1062="UNMAPPED"),"Unmapped",IF(F1062=0,"Blank qty",IF(F1062&lt;0,"Return","OK")))))</f>
        <v>OK</v>
      </c>
      <c r="L1062" s="36" t="n">
        <f aca="false">IF(Raw_Export!$A1062="","",IF(OR(K1062="OK",K1062="Return"),1,0))</f>
        <v>1</v>
      </c>
      <c r="M1062" s="37" t="n">
        <f aca="false">IF(Raw_Export!$A1062="","",B1062-WEEKDAY(B1062,2)+1)</f>
        <v>46265</v>
      </c>
    </row>
    <row r="1063" customFormat="false" ht="15" hidden="false" customHeight="false" outlineLevel="0" collapsed="false">
      <c r="A1063" s="36" t="str">
        <f aca="false">IF(Raw_Export!$A1063="","",TRIM(Raw_Export!A1063))</f>
        <v>TXN-101043</v>
      </c>
      <c r="B1063" s="37" t="n">
        <f aca="false">IF(Raw_Export!$A1063="","",IF(ISNUMBER(Raw_Export!B1063),Raw_Export!B1063,IF(MID(TRIM(Raw_Export!B1063),5,1)="-",DATE(LEFT(TRIM(Raw_Export!B1063),4),MID(TRIM(Raw_Export!B1063),6,2),RIGHT(TRIM(Raw_Export!B1063),2)),DATE(RIGHT(TRIM(Raw_Export!B1063),4),MATCH(MID(TRIM(Raw_Export!B1063),4,3),{"Jan","Feb","Mar","Apr","May","Jun","Jul","Aug","Sep","Oct","Nov","Dec"},0),LEFT(TRIM(Raw_Export!B1063),2)))))</f>
        <v>46271</v>
      </c>
      <c r="C1063" s="36" t="str">
        <f aca="false">IF(Raw_Export!$A1063="","",IFERROR(VLOOKUP(LOWER(TRIM(Raw_Export!C1063)),Maps!$A$2:$B$20,2,FALSE()),"UNMAPPED"))</f>
        <v>Kisumu</v>
      </c>
      <c r="D1063" s="36" t="str">
        <f aca="false">IF(Raw_Export!$A1063="","",IFERROR(VLOOKUP(LOWER(TRIM(Raw_Export!D1063)),Maps!$G$2:$I$80,2,FALSE()),"UNMAPPED"))</f>
        <v>Eggs Tray 30</v>
      </c>
      <c r="E1063" s="36" t="str">
        <f aca="false">IF(Raw_Export!$A1063="","",IFERROR(VLOOKUP(LOWER(TRIM(Raw_Export!D1063)),Maps!$G$2:$I$80,3,FALSE()),"UNMAPPED"))</f>
        <v>Dairy &amp; Eggs</v>
      </c>
      <c r="F1063" s="36" t="n">
        <f aca="false">IF(Raw_Export!$A1063="","",IFERROR(VALUE(TRIM(Raw_Export!E1063)),0))</f>
        <v>6</v>
      </c>
      <c r="G1063" s="38" t="n">
        <f aca="false">IF(Raw_Export!$A1063="","",IFERROR(VALUE(SUBSTITUTE(SUBSTITUTE(UPPER(TRIM(Raw_Export!F1063)),"KES",""),",","")),0))</f>
        <v>450</v>
      </c>
      <c r="H1063" s="38" t="n">
        <f aca="false">IF(Raw_Export!$A1063="","",F1063*G1063)</f>
        <v>2700</v>
      </c>
      <c r="I1063" s="36" t="str">
        <f aca="false">IF(Raw_Export!$A1063="","",IFERROR(VLOOKUP(LOWER(TRIM(Raw_Export!H1063)),Maps!$D$2:$E$12,2,FALSE()),"Other"))</f>
        <v>M-Pesa</v>
      </c>
      <c r="J1063" s="36" t="str">
        <f aca="false">IF(Raw_Export!$A1063="","",IF(COUNTIF($A$2:A1063,A1063)&gt;1,"Duplicate",""))</f>
        <v/>
      </c>
      <c r="K1063" s="36" t="str">
        <f aca="false">IF(Raw_Export!$A1063="","",IF(J1063="Duplicate","Duplicate",IF(OR(C1063="UNMAPPED",D1063="UNMAPPED"),"Unmapped",IF(F1063=0,"Blank qty",IF(F1063&lt;0,"Return","OK")))))</f>
        <v>OK</v>
      </c>
      <c r="L1063" s="36" t="n">
        <f aca="false">IF(Raw_Export!$A1063="","",IF(OR(K1063="OK",K1063="Return"),1,0))</f>
        <v>1</v>
      </c>
      <c r="M1063" s="37" t="n">
        <f aca="false">IF(Raw_Export!$A1063="","",B1063-WEEKDAY(B1063,2)+1)</f>
        <v>46265</v>
      </c>
    </row>
    <row r="1064" customFormat="false" ht="15" hidden="false" customHeight="false" outlineLevel="0" collapsed="false">
      <c r="A1064" s="36" t="str">
        <f aca="false">IF(Raw_Export!$A1064="","",TRIM(Raw_Export!A1064))</f>
        <v>TXN-101044</v>
      </c>
      <c r="B1064" s="37" t="n">
        <f aca="false">IF(Raw_Export!$A1064="","",IF(ISNUMBER(Raw_Export!B1064),Raw_Export!B1064,IF(MID(TRIM(Raw_Export!B1064),5,1)="-",DATE(LEFT(TRIM(Raw_Export!B1064),4),MID(TRIM(Raw_Export!B1064),6,2),RIGHT(TRIM(Raw_Export!B1064),2)),DATE(RIGHT(TRIM(Raw_Export!B1064),4),MATCH(MID(TRIM(Raw_Export!B1064),4,3),{"Jan","Feb","Mar","Apr","May","Jun","Jul","Aug","Sep","Oct","Nov","Dec"},0),LEFT(TRIM(Raw_Export!B1064),2)))))</f>
        <v>46271</v>
      </c>
      <c r="C1064" s="36" t="str">
        <f aca="false">IF(Raw_Export!$A1064="","",IFERROR(VLOOKUP(LOWER(TRIM(Raw_Export!C1064)),Maps!$A$2:$B$20,2,FALSE()),"UNMAPPED"))</f>
        <v>Kisumu</v>
      </c>
      <c r="D1064" s="36" t="str">
        <f aca="false">IF(Raw_Export!$A1064="","",IFERROR(VLOOKUP(LOWER(TRIM(Raw_Export!D1064)),Maps!$G$2:$I$80,2,FALSE()),"UNMAPPED"))</f>
        <v>Matches 10pk</v>
      </c>
      <c r="E1064" s="36" t="str">
        <f aca="false">IF(Raw_Export!$A1064="","",IFERROR(VLOOKUP(LOWER(TRIM(Raw_Export!D1064)),Maps!$G$2:$I$80,3,FALSE()),"UNMAPPED"))</f>
        <v>Household</v>
      </c>
      <c r="F1064" s="36" t="n">
        <f aca="false">IF(Raw_Export!$A1064="","",IFERROR(VALUE(TRIM(Raw_Export!E1064)),0))</f>
        <v>-6</v>
      </c>
      <c r="G1064" s="38" t="n">
        <f aca="false">IF(Raw_Export!$A1064="","",IFERROR(VALUE(SUBSTITUTE(SUBSTITUTE(UPPER(TRIM(Raw_Export!F1064)),"KES",""),",","")),0))</f>
        <v>50</v>
      </c>
      <c r="H1064" s="38" t="n">
        <f aca="false">IF(Raw_Export!$A1064="","",F1064*G1064)</f>
        <v>-300</v>
      </c>
      <c r="I1064" s="36" t="str">
        <f aca="false">IF(Raw_Export!$A1064="","",IFERROR(VLOOKUP(LOWER(TRIM(Raw_Export!H1064)),Maps!$D$2:$E$12,2,FALSE()),"Other"))</f>
        <v>Cash</v>
      </c>
      <c r="J1064" s="36" t="str">
        <f aca="false">IF(Raw_Export!$A1064="","",IF(COUNTIF($A$2:A1064,A1064)&gt;1,"Duplicate",""))</f>
        <v/>
      </c>
      <c r="K1064" s="36" t="str">
        <f aca="false">IF(Raw_Export!$A1064="","",IF(J1064="Duplicate","Duplicate",IF(OR(C1064="UNMAPPED",D1064="UNMAPPED"),"Unmapped",IF(F1064=0,"Blank qty",IF(F1064&lt;0,"Return","OK")))))</f>
        <v>Return</v>
      </c>
      <c r="L1064" s="36" t="n">
        <f aca="false">IF(Raw_Export!$A1064="","",IF(OR(K1064="OK",K1064="Return"),1,0))</f>
        <v>1</v>
      </c>
      <c r="M1064" s="37" t="n">
        <f aca="false">IF(Raw_Export!$A1064="","",B1064-WEEKDAY(B1064,2)+1)</f>
        <v>46265</v>
      </c>
    </row>
    <row r="1065" customFormat="false" ht="15" hidden="false" customHeight="false" outlineLevel="0" collapsed="false">
      <c r="A1065" s="36" t="str">
        <f aca="false">IF(Raw_Export!$A1065="","",TRIM(Raw_Export!A1065))</f>
        <v>TXN-101045</v>
      </c>
      <c r="B1065" s="37" t="n">
        <f aca="false">IF(Raw_Export!$A1065="","",IF(ISNUMBER(Raw_Export!B1065),Raw_Export!B1065,IF(MID(TRIM(Raw_Export!B1065),5,1)="-",DATE(LEFT(TRIM(Raw_Export!B1065),4),MID(TRIM(Raw_Export!B1065),6,2),RIGHT(TRIM(Raw_Export!B1065),2)),DATE(RIGHT(TRIM(Raw_Export!B1065),4),MATCH(MID(TRIM(Raw_Export!B1065),4,3),{"Jan","Feb","Mar","Apr","May","Jun","Jul","Aug","Sep","Oct","Nov","Dec"},0),LEFT(TRIM(Raw_Export!B1065),2)))))</f>
        <v>46271</v>
      </c>
      <c r="C1065" s="36" t="str">
        <f aca="false">IF(Raw_Export!$A1065="","",IFERROR(VLOOKUP(LOWER(TRIM(Raw_Export!C1065)),Maps!$A$2:$B$20,2,FALSE()),"UNMAPPED"))</f>
        <v>Kisumu</v>
      </c>
      <c r="D1065" s="36" t="str">
        <f aca="false">IF(Raw_Export!$A1065="","",IFERROR(VLOOKUP(LOWER(TRIM(Raw_Export!D1065)),Maps!$G$2:$I$80,2,FALSE()),"UNMAPPED"))</f>
        <v>Washing Powder 1kg</v>
      </c>
      <c r="E1065" s="36" t="str">
        <f aca="false">IF(Raw_Export!$A1065="","",IFERROR(VLOOKUP(LOWER(TRIM(Raw_Export!D1065)),Maps!$G$2:$I$80,3,FALSE()),"UNMAPPED"))</f>
        <v>Household</v>
      </c>
      <c r="F1065" s="36" t="n">
        <f aca="false">IF(Raw_Export!$A1065="","",IFERROR(VALUE(TRIM(Raw_Export!E1065)),0))</f>
        <v>1</v>
      </c>
      <c r="G1065" s="38" t="n">
        <f aca="false">IF(Raw_Export!$A1065="","",IFERROR(VALUE(SUBSTITUTE(SUBSTITUTE(UPPER(TRIM(Raw_Export!F1065)),"KES",""),",","")),0))</f>
        <v>280</v>
      </c>
      <c r="H1065" s="38" t="n">
        <f aca="false">IF(Raw_Export!$A1065="","",F1065*G1065)</f>
        <v>280</v>
      </c>
      <c r="I1065" s="36" t="str">
        <f aca="false">IF(Raw_Export!$A1065="","",IFERROR(VLOOKUP(LOWER(TRIM(Raw_Export!H1065)),Maps!$D$2:$E$12,2,FALSE()),"Other"))</f>
        <v>M-Pesa</v>
      </c>
      <c r="J1065" s="36" t="str">
        <f aca="false">IF(Raw_Export!$A1065="","",IF(COUNTIF($A$2:A1065,A1065)&gt;1,"Duplicate",""))</f>
        <v/>
      </c>
      <c r="K1065" s="36" t="str">
        <f aca="false">IF(Raw_Export!$A1065="","",IF(J1065="Duplicate","Duplicate",IF(OR(C1065="UNMAPPED",D1065="UNMAPPED"),"Unmapped",IF(F1065=0,"Blank qty",IF(F1065&lt;0,"Return","OK")))))</f>
        <v>OK</v>
      </c>
      <c r="L1065" s="36" t="n">
        <f aca="false">IF(Raw_Export!$A1065="","",IF(OR(K1065="OK",K1065="Return"),1,0))</f>
        <v>1</v>
      </c>
      <c r="M1065" s="37" t="n">
        <f aca="false">IF(Raw_Export!$A1065="","",B1065-WEEKDAY(B1065,2)+1)</f>
        <v>46265</v>
      </c>
    </row>
    <row r="1066" customFormat="false" ht="15" hidden="false" customHeight="false" outlineLevel="0" collapsed="false">
      <c r="A1066" s="36" t="str">
        <f aca="false">IF(Raw_Export!$A1066="","",TRIM(Raw_Export!A1066))</f>
        <v>TXN-101046</v>
      </c>
      <c r="B1066" s="37" t="n">
        <f aca="false">IF(Raw_Export!$A1066="","",IF(ISNUMBER(Raw_Export!B1066),Raw_Export!B1066,IF(MID(TRIM(Raw_Export!B1066),5,1)="-",DATE(LEFT(TRIM(Raw_Export!B1066),4),MID(TRIM(Raw_Export!B1066),6,2),RIGHT(TRIM(Raw_Export!B1066),2)),DATE(RIGHT(TRIM(Raw_Export!B1066),4),MATCH(MID(TRIM(Raw_Export!B1066),4,3),{"Jan","Feb","Mar","Apr","May","Jun","Jul","Aug","Sep","Oct","Nov","Dec"},0),LEFT(TRIM(Raw_Export!B1066),2)))))</f>
        <v>46271</v>
      </c>
      <c r="C1066" s="36" t="str">
        <f aca="false">IF(Raw_Export!$A1066="","",IFERROR(VLOOKUP(LOWER(TRIM(Raw_Export!C1066)),Maps!$A$2:$B$20,2,FALSE()),"UNMAPPED"))</f>
        <v>Kisumu</v>
      </c>
      <c r="D1066" s="36" t="str">
        <f aca="false">IF(Raw_Export!$A1066="","",IFERROR(VLOOKUP(LOWER(TRIM(Raw_Export!D1066)),Maps!$G$2:$I$80,2,FALSE()),"UNMAPPED"))</f>
        <v>Yoghurt 500ml</v>
      </c>
      <c r="E1066" s="36" t="str">
        <f aca="false">IF(Raw_Export!$A1066="","",IFERROR(VLOOKUP(LOWER(TRIM(Raw_Export!D1066)),Maps!$G$2:$I$80,3,FALSE()),"UNMAPPED"))</f>
        <v>Dairy &amp; Eggs</v>
      </c>
      <c r="F1066" s="36" t="n">
        <f aca="false">IF(Raw_Export!$A1066="","",IFERROR(VALUE(TRIM(Raw_Export!E1066)),0))</f>
        <v>2</v>
      </c>
      <c r="G1066" s="38" t="n">
        <f aca="false">IF(Raw_Export!$A1066="","",IFERROR(VALUE(SUBSTITUTE(SUBSTITUTE(UPPER(TRIM(Raw_Export!F1066)),"KES",""),",","")),0))</f>
        <v>120</v>
      </c>
      <c r="H1066" s="38" t="n">
        <f aca="false">IF(Raw_Export!$A1066="","",F1066*G1066)</f>
        <v>240</v>
      </c>
      <c r="I1066" s="36" t="str">
        <f aca="false">IF(Raw_Export!$A1066="","",IFERROR(VLOOKUP(LOWER(TRIM(Raw_Export!H1066)),Maps!$D$2:$E$12,2,FALSE()),"Other"))</f>
        <v>M-Pesa</v>
      </c>
      <c r="J1066" s="36" t="str">
        <f aca="false">IF(Raw_Export!$A1066="","",IF(COUNTIF($A$2:A1066,A1066)&gt;1,"Duplicate",""))</f>
        <v/>
      </c>
      <c r="K1066" s="36" t="str">
        <f aca="false">IF(Raw_Export!$A1066="","",IF(J1066="Duplicate","Duplicate",IF(OR(C1066="UNMAPPED",D1066="UNMAPPED"),"Unmapped",IF(F1066=0,"Blank qty",IF(F1066&lt;0,"Return","OK")))))</f>
        <v>OK</v>
      </c>
      <c r="L1066" s="36" t="n">
        <f aca="false">IF(Raw_Export!$A1066="","",IF(OR(K1066="OK",K1066="Return"),1,0))</f>
        <v>1</v>
      </c>
      <c r="M1066" s="37" t="n">
        <f aca="false">IF(Raw_Export!$A1066="","",B1066-WEEKDAY(B1066,2)+1)</f>
        <v>46265</v>
      </c>
    </row>
    <row r="1067" customFormat="false" ht="15" hidden="false" customHeight="false" outlineLevel="0" collapsed="false">
      <c r="A1067" s="36" t="str">
        <f aca="false">IF(Raw_Export!$A1067="","",TRIM(Raw_Export!A1067))</f>
        <v>TXN-101047</v>
      </c>
      <c r="B1067" s="37" t="n">
        <f aca="false">IF(Raw_Export!$A1067="","",IF(ISNUMBER(Raw_Export!B1067),Raw_Export!B1067,IF(MID(TRIM(Raw_Export!B1067),5,1)="-",DATE(LEFT(TRIM(Raw_Export!B1067),4),MID(TRIM(Raw_Export!B1067),6,2),RIGHT(TRIM(Raw_Export!B1067),2)),DATE(RIGHT(TRIM(Raw_Export!B1067),4),MATCH(MID(TRIM(Raw_Export!B1067),4,3),{"Jan","Feb","Mar","Apr","May","Jun","Jul","Aug","Sep","Oct","Nov","Dec"},0),LEFT(TRIM(Raw_Export!B1067),2)))))</f>
        <v>46271</v>
      </c>
      <c r="C1067" s="36" t="str">
        <f aca="false">IF(Raw_Export!$A1067="","",IFERROR(VLOOKUP(LOWER(TRIM(Raw_Export!C1067)),Maps!$A$2:$B$20,2,FALSE()),"UNMAPPED"))</f>
        <v>Kisumu</v>
      </c>
      <c r="D1067" s="36" t="str">
        <f aca="false">IF(Raw_Export!$A1067="","",IFERROR(VLOOKUP(LOWER(TRIM(Raw_Export!D1067)),Maps!$G$2:$I$80,2,FALSE()),"UNMAPPED"))</f>
        <v>Body Lotion 400ml</v>
      </c>
      <c r="E1067" s="36" t="str">
        <f aca="false">IF(Raw_Export!$A1067="","",IFERROR(VLOOKUP(LOWER(TRIM(Raw_Export!D1067)),Maps!$G$2:$I$80,3,FALSE()),"UNMAPPED"))</f>
        <v>Personal Care</v>
      </c>
      <c r="F1067" s="36" t="n">
        <f aca="false">IF(Raw_Export!$A1067="","",IFERROR(VALUE(TRIM(Raw_Export!E1067)),0))</f>
        <v>1</v>
      </c>
      <c r="G1067" s="38" t="n">
        <f aca="false">IF(Raw_Export!$A1067="","",IFERROR(VALUE(SUBSTITUTE(SUBSTITUTE(UPPER(TRIM(Raw_Export!F1067)),"KES",""),",","")),0))</f>
        <v>420</v>
      </c>
      <c r="H1067" s="38" t="n">
        <f aca="false">IF(Raw_Export!$A1067="","",F1067*G1067)</f>
        <v>420</v>
      </c>
      <c r="I1067" s="36" t="str">
        <f aca="false">IF(Raw_Export!$A1067="","",IFERROR(VLOOKUP(LOWER(TRIM(Raw_Export!H1067)),Maps!$D$2:$E$12,2,FALSE()),"Other"))</f>
        <v>Cash</v>
      </c>
      <c r="J1067" s="36" t="str">
        <f aca="false">IF(Raw_Export!$A1067="","",IF(COUNTIF($A$2:A1067,A1067)&gt;1,"Duplicate",""))</f>
        <v/>
      </c>
      <c r="K1067" s="36" t="str">
        <f aca="false">IF(Raw_Export!$A1067="","",IF(J1067="Duplicate","Duplicate",IF(OR(C1067="UNMAPPED",D1067="UNMAPPED"),"Unmapped",IF(F1067=0,"Blank qty",IF(F1067&lt;0,"Return","OK")))))</f>
        <v>OK</v>
      </c>
      <c r="L1067" s="36" t="n">
        <f aca="false">IF(Raw_Export!$A1067="","",IF(OR(K1067="OK",K1067="Return"),1,0))</f>
        <v>1</v>
      </c>
      <c r="M1067" s="37" t="n">
        <f aca="false">IF(Raw_Export!$A1067="","",B1067-WEEKDAY(B1067,2)+1)</f>
        <v>46265</v>
      </c>
    </row>
    <row r="1068" customFormat="false" ht="15" hidden="false" customHeight="false" outlineLevel="0" collapsed="false">
      <c r="A1068" s="36" t="str">
        <f aca="false">IF(Raw_Export!$A1068="","",TRIM(Raw_Export!A1068))</f>
        <v>TXN-101048</v>
      </c>
      <c r="B1068" s="37" t="n">
        <f aca="false">IF(Raw_Export!$A1068="","",IF(ISNUMBER(Raw_Export!B1068),Raw_Export!B1068,IF(MID(TRIM(Raw_Export!B1068),5,1)="-",DATE(LEFT(TRIM(Raw_Export!B1068),4),MID(TRIM(Raw_Export!B1068),6,2),RIGHT(TRIM(Raw_Export!B1068),2)),DATE(RIGHT(TRIM(Raw_Export!B1068),4),MATCH(MID(TRIM(Raw_Export!B1068),4,3),{"Jan","Feb","Mar","Apr","May","Jun","Jul","Aug","Sep","Oct","Nov","Dec"},0),LEFT(TRIM(Raw_Export!B1068),2)))))</f>
        <v>46271</v>
      </c>
      <c r="C1068" s="36" t="str">
        <f aca="false">IF(Raw_Export!$A1068="","",IFERROR(VLOOKUP(LOWER(TRIM(Raw_Export!C1068)),Maps!$A$2:$B$20,2,FALSE()),"UNMAPPED"))</f>
        <v>Nakuru</v>
      </c>
      <c r="D1068" s="36" t="str">
        <f aca="false">IF(Raw_Export!$A1068="","",IFERROR(VLOOKUP(LOWER(TRIM(Raw_Export!D1068)),Maps!$G$2:$I$80,2,FALSE()),"UNMAPPED"))</f>
        <v>Deodorant 150ml</v>
      </c>
      <c r="E1068" s="36" t="str">
        <f aca="false">IF(Raw_Export!$A1068="","",IFERROR(VLOOKUP(LOWER(TRIM(Raw_Export!D1068)),Maps!$G$2:$I$80,3,FALSE()),"UNMAPPED"))</f>
        <v>Personal Care</v>
      </c>
      <c r="F1068" s="36" t="n">
        <f aca="false">IF(Raw_Export!$A1068="","",IFERROR(VALUE(TRIM(Raw_Export!E1068)),0))</f>
        <v>1</v>
      </c>
      <c r="G1068" s="38" t="n">
        <f aca="false">IF(Raw_Export!$A1068="","",IFERROR(VALUE(SUBSTITUTE(SUBSTITUTE(UPPER(TRIM(Raw_Export!F1068)),"KES",""),",","")),0))</f>
        <v>350</v>
      </c>
      <c r="H1068" s="38" t="n">
        <f aca="false">IF(Raw_Export!$A1068="","",F1068*G1068)</f>
        <v>350</v>
      </c>
      <c r="I1068" s="36" t="str">
        <f aca="false">IF(Raw_Export!$A1068="","",IFERROR(VLOOKUP(LOWER(TRIM(Raw_Export!H1068)),Maps!$D$2:$E$12,2,FALSE()),"Other"))</f>
        <v>Cash</v>
      </c>
      <c r="J1068" s="36" t="str">
        <f aca="false">IF(Raw_Export!$A1068="","",IF(COUNTIF($A$2:A1068,A1068)&gt;1,"Duplicate",""))</f>
        <v/>
      </c>
      <c r="K1068" s="36" t="str">
        <f aca="false">IF(Raw_Export!$A1068="","",IF(J1068="Duplicate","Duplicate",IF(OR(C1068="UNMAPPED",D1068="UNMAPPED"),"Unmapped",IF(F1068=0,"Blank qty",IF(F1068&lt;0,"Return","OK")))))</f>
        <v>OK</v>
      </c>
      <c r="L1068" s="36" t="n">
        <f aca="false">IF(Raw_Export!$A1068="","",IF(OR(K1068="OK",K1068="Return"),1,0))</f>
        <v>1</v>
      </c>
      <c r="M1068" s="37" t="n">
        <f aca="false">IF(Raw_Export!$A1068="","",B1068-WEEKDAY(B1068,2)+1)</f>
        <v>46265</v>
      </c>
    </row>
    <row r="1069" customFormat="false" ht="15" hidden="false" customHeight="false" outlineLevel="0" collapsed="false">
      <c r="A1069" s="36" t="str">
        <f aca="false">IF(Raw_Export!$A1069="","",TRIM(Raw_Export!A1069))</f>
        <v>TXN-101049</v>
      </c>
      <c r="B1069" s="37" t="n">
        <f aca="false">IF(Raw_Export!$A1069="","",IF(ISNUMBER(Raw_Export!B1069),Raw_Export!B1069,IF(MID(TRIM(Raw_Export!B1069),5,1)="-",DATE(LEFT(TRIM(Raw_Export!B1069),4),MID(TRIM(Raw_Export!B1069),6,2),RIGHT(TRIM(Raw_Export!B1069),2)),DATE(RIGHT(TRIM(Raw_Export!B1069),4),MATCH(MID(TRIM(Raw_Export!B1069),4,3),{"Jan","Feb","Mar","Apr","May","Jun","Jul","Aug","Sep","Oct","Nov","Dec"},0),LEFT(TRIM(Raw_Export!B1069),2)))))</f>
        <v>46271</v>
      </c>
      <c r="C1069" s="36" t="str">
        <f aca="false">IF(Raw_Export!$A1069="","",IFERROR(VLOOKUP(LOWER(TRIM(Raw_Export!C1069)),Maps!$A$2:$B$20,2,FALSE()),"UNMAPPED"))</f>
        <v>Nakuru</v>
      </c>
      <c r="D1069" s="36" t="str">
        <f aca="false">IF(Raw_Export!$A1069="","",IFERROR(VLOOKUP(LOWER(TRIM(Raw_Export!D1069)),Maps!$G$2:$I$80,2,FALSE()),"UNMAPPED"))</f>
        <v>Soda 500ml</v>
      </c>
      <c r="E1069" s="36" t="str">
        <f aca="false">IF(Raw_Export!$A1069="","",IFERROR(VLOOKUP(LOWER(TRIM(Raw_Export!D1069)),Maps!$G$2:$I$80,3,FALSE()),"UNMAPPED"))</f>
        <v>Beverages</v>
      </c>
      <c r="F1069" s="36" t="n">
        <f aca="false">IF(Raw_Export!$A1069="","",IFERROR(VALUE(TRIM(Raw_Export!E1069)),0))</f>
        <v>3</v>
      </c>
      <c r="G1069" s="38" t="n">
        <f aca="false">IF(Raw_Export!$A1069="","",IFERROR(VALUE(SUBSTITUTE(SUBSTITUTE(UPPER(TRIM(Raw_Export!F1069)),"KES",""),",","")),0))</f>
        <v>54</v>
      </c>
      <c r="H1069" s="38" t="n">
        <f aca="false">IF(Raw_Export!$A1069="","",F1069*G1069)</f>
        <v>162</v>
      </c>
      <c r="I1069" s="36" t="str">
        <f aca="false">IF(Raw_Export!$A1069="","",IFERROR(VLOOKUP(LOWER(TRIM(Raw_Export!H1069)),Maps!$D$2:$E$12,2,FALSE()),"Other"))</f>
        <v>M-Pesa</v>
      </c>
      <c r="J1069" s="36" t="str">
        <f aca="false">IF(Raw_Export!$A1069="","",IF(COUNTIF($A$2:A1069,A1069)&gt;1,"Duplicate",""))</f>
        <v/>
      </c>
      <c r="K1069" s="36" t="str">
        <f aca="false">IF(Raw_Export!$A1069="","",IF(J1069="Duplicate","Duplicate",IF(OR(C1069="UNMAPPED",D1069="UNMAPPED"),"Unmapped",IF(F1069=0,"Blank qty",IF(F1069&lt;0,"Return","OK")))))</f>
        <v>OK</v>
      </c>
      <c r="L1069" s="36" t="n">
        <f aca="false">IF(Raw_Export!$A1069="","",IF(OR(K1069="OK",K1069="Return"),1,0))</f>
        <v>1</v>
      </c>
      <c r="M1069" s="37" t="n">
        <f aca="false">IF(Raw_Export!$A1069="","",B1069-WEEKDAY(B1069,2)+1)</f>
        <v>46265</v>
      </c>
    </row>
    <row r="1070" customFormat="false" ht="15" hidden="false" customHeight="false" outlineLevel="0" collapsed="false">
      <c r="A1070" s="36" t="str">
        <f aca="false">IF(Raw_Export!$A1070="","",TRIM(Raw_Export!A1070))</f>
        <v>TXN-101050</v>
      </c>
      <c r="B1070" s="37" t="n">
        <f aca="false">IF(Raw_Export!$A1070="","",IF(ISNUMBER(Raw_Export!B1070),Raw_Export!B1070,IF(MID(TRIM(Raw_Export!B1070),5,1)="-",DATE(LEFT(TRIM(Raw_Export!B1070),4),MID(TRIM(Raw_Export!B1070),6,2),RIGHT(TRIM(Raw_Export!B1070),2)),DATE(RIGHT(TRIM(Raw_Export!B1070),4),MATCH(MID(TRIM(Raw_Export!B1070),4,3),{"Jan","Feb","Mar","Apr","May","Jun","Jul","Aug","Sep","Oct","Nov","Dec"},0),LEFT(TRIM(Raw_Export!B1070),2)))))</f>
        <v>46271</v>
      </c>
      <c r="C1070" s="36" t="str">
        <f aca="false">IF(Raw_Export!$A1070="","",IFERROR(VLOOKUP(LOWER(TRIM(Raw_Export!C1070)),Maps!$A$2:$B$20,2,FALSE()),"UNMAPPED"))</f>
        <v>Nakuru</v>
      </c>
      <c r="D1070" s="36" t="str">
        <f aca="false">IF(Raw_Export!$A1070="","",IFERROR(VLOOKUP(LOWER(TRIM(Raw_Export!D1070)),Maps!$G$2:$I$80,2,FALSE()),"UNMAPPED"))</f>
        <v>Fresh Milk 500ml</v>
      </c>
      <c r="E1070" s="36" t="str">
        <f aca="false">IF(Raw_Export!$A1070="","",IFERROR(VLOOKUP(LOWER(TRIM(Raw_Export!D1070)),Maps!$G$2:$I$80,3,FALSE()),"UNMAPPED"))</f>
        <v>Dairy &amp; Eggs</v>
      </c>
      <c r="F1070" s="36" t="n">
        <f aca="false">IF(Raw_Export!$A1070="","",IFERROR(VALUE(TRIM(Raw_Export!E1070)),0))</f>
        <v>2</v>
      </c>
      <c r="G1070" s="38" t="n">
        <f aca="false">IF(Raw_Export!$A1070="","",IFERROR(VALUE(SUBSTITUTE(SUBSTITUTE(UPPER(TRIM(Raw_Export!F1070)),"KES",""),",","")),0))</f>
        <v>65</v>
      </c>
      <c r="H1070" s="38" t="n">
        <f aca="false">IF(Raw_Export!$A1070="","",F1070*G1070)</f>
        <v>130</v>
      </c>
      <c r="I1070" s="36" t="str">
        <f aca="false">IF(Raw_Export!$A1070="","",IFERROR(VLOOKUP(LOWER(TRIM(Raw_Export!H1070)),Maps!$D$2:$E$12,2,FALSE()),"Other"))</f>
        <v>M-Pesa</v>
      </c>
      <c r="J1070" s="36" t="str">
        <f aca="false">IF(Raw_Export!$A1070="","",IF(COUNTIF($A$2:A1070,A1070)&gt;1,"Duplicate",""))</f>
        <v/>
      </c>
      <c r="K1070" s="36" t="str">
        <f aca="false">IF(Raw_Export!$A1070="","",IF(J1070="Duplicate","Duplicate",IF(OR(C1070="UNMAPPED",D1070="UNMAPPED"),"Unmapped",IF(F1070=0,"Blank qty",IF(F1070&lt;0,"Return","OK")))))</f>
        <v>OK</v>
      </c>
      <c r="L1070" s="36" t="n">
        <f aca="false">IF(Raw_Export!$A1070="","",IF(OR(K1070="OK",K1070="Return"),1,0))</f>
        <v>1</v>
      </c>
      <c r="M1070" s="37" t="n">
        <f aca="false">IF(Raw_Export!$A1070="","",B1070-WEEKDAY(B1070,2)+1)</f>
        <v>46265</v>
      </c>
    </row>
    <row r="1071" customFormat="false" ht="15" hidden="false" customHeight="false" outlineLevel="0" collapsed="false">
      <c r="A1071" s="36" t="str">
        <f aca="false">IF(Raw_Export!$A1071="","",TRIM(Raw_Export!A1071))</f>
        <v>TXN-101051</v>
      </c>
      <c r="B1071" s="37" t="n">
        <f aca="false">IF(Raw_Export!$A1071="","",IF(ISNUMBER(Raw_Export!B1071),Raw_Export!B1071,IF(MID(TRIM(Raw_Export!B1071),5,1)="-",DATE(LEFT(TRIM(Raw_Export!B1071),4),MID(TRIM(Raw_Export!B1071),6,2),RIGHT(TRIM(Raw_Export!B1071),2)),DATE(RIGHT(TRIM(Raw_Export!B1071),4),MATCH(MID(TRIM(Raw_Export!B1071),4,3),{"Jan","Feb","Mar","Apr","May","Jun","Jul","Aug","Sep","Oct","Nov","Dec"},0),LEFT(TRIM(Raw_Export!B1071),2)))))</f>
        <v>46271</v>
      </c>
      <c r="C1071" s="36" t="str">
        <f aca="false">IF(Raw_Export!$A1071="","",IFERROR(VLOOKUP(LOWER(TRIM(Raw_Export!C1071)),Maps!$A$2:$B$20,2,FALSE()),"UNMAPPED"))</f>
        <v>Nakuru</v>
      </c>
      <c r="D1071" s="36" t="str">
        <f aca="false">IF(Raw_Export!$A1071="","",IFERROR(VLOOKUP(LOWER(TRIM(Raw_Export!D1071)),Maps!$G$2:$I$80,2,FALSE()),"UNMAPPED"))</f>
        <v>Juice 1L</v>
      </c>
      <c r="E1071" s="36" t="str">
        <f aca="false">IF(Raw_Export!$A1071="","",IFERROR(VLOOKUP(LOWER(TRIM(Raw_Export!D1071)),Maps!$G$2:$I$80,3,FALSE()),"UNMAPPED"))</f>
        <v>Beverages</v>
      </c>
      <c r="F1071" s="36" t="n">
        <f aca="false">IF(Raw_Export!$A1071="","",IFERROR(VALUE(TRIM(Raw_Export!E1071)),0))</f>
        <v>2</v>
      </c>
      <c r="G1071" s="38" t="n">
        <f aca="false">IF(Raw_Export!$A1071="","",IFERROR(VALUE(SUBSTITUTE(SUBSTITUTE(UPPER(TRIM(Raw_Export!F1071)),"KES",""),",","")),0))</f>
        <v>189</v>
      </c>
      <c r="H1071" s="38" t="n">
        <f aca="false">IF(Raw_Export!$A1071="","",F1071*G1071)</f>
        <v>378</v>
      </c>
      <c r="I1071" s="36" t="str">
        <f aca="false">IF(Raw_Export!$A1071="","",IFERROR(VLOOKUP(LOWER(TRIM(Raw_Export!H1071)),Maps!$D$2:$E$12,2,FALSE()),"Other"))</f>
        <v>Cash</v>
      </c>
      <c r="J1071" s="36" t="str">
        <f aca="false">IF(Raw_Export!$A1071="","",IF(COUNTIF($A$2:A1071,A1071)&gt;1,"Duplicate",""))</f>
        <v/>
      </c>
      <c r="K1071" s="36" t="str">
        <f aca="false">IF(Raw_Export!$A1071="","",IF(J1071="Duplicate","Duplicate",IF(OR(C1071="UNMAPPED",D1071="UNMAPPED"),"Unmapped",IF(F1071=0,"Blank qty",IF(F1071&lt;0,"Return","OK")))))</f>
        <v>OK</v>
      </c>
      <c r="L1071" s="36" t="n">
        <f aca="false">IF(Raw_Export!$A1071="","",IF(OR(K1071="OK",K1071="Return"),1,0))</f>
        <v>1</v>
      </c>
      <c r="M1071" s="37" t="n">
        <f aca="false">IF(Raw_Export!$A1071="","",B1071-WEEKDAY(B1071,2)+1)</f>
        <v>46265</v>
      </c>
    </row>
    <row r="1072" customFormat="false" ht="15" hidden="false" customHeight="false" outlineLevel="0" collapsed="false">
      <c r="A1072" s="36" t="str">
        <f aca="false">IF(Raw_Export!$A1072="","",TRIM(Raw_Export!A1072))</f>
        <v>TXN-101052</v>
      </c>
      <c r="B1072" s="37" t="n">
        <f aca="false">IF(Raw_Export!$A1072="","",IF(ISNUMBER(Raw_Export!B1072),Raw_Export!B1072,IF(MID(TRIM(Raw_Export!B1072),5,1)="-",DATE(LEFT(TRIM(Raw_Export!B1072),4),MID(TRIM(Raw_Export!B1072),6,2),RIGHT(TRIM(Raw_Export!B1072),2)),DATE(RIGHT(TRIM(Raw_Export!B1072),4),MATCH(MID(TRIM(Raw_Export!B1072),4,3),{"Jan","Feb","Mar","Apr","May","Jun","Jul","Aug","Sep","Oct","Nov","Dec"},0),LEFT(TRIM(Raw_Export!B1072),2)))))</f>
        <v>46271</v>
      </c>
      <c r="C1072" s="36" t="str">
        <f aca="false">IF(Raw_Export!$A1072="","",IFERROR(VLOOKUP(LOWER(TRIM(Raw_Export!C1072)),Maps!$A$2:$B$20,2,FALSE()),"UNMAPPED"))</f>
        <v>Nakuru</v>
      </c>
      <c r="D1072" s="36" t="str">
        <f aca="false">IF(Raw_Export!$A1072="","",IFERROR(VLOOKUP(LOWER(TRIM(Raw_Export!D1072)),Maps!$G$2:$I$80,2,FALSE()),"UNMAPPED"))</f>
        <v>Crisps 100g</v>
      </c>
      <c r="E1072" s="36" t="str">
        <f aca="false">IF(Raw_Export!$A1072="","",IFERROR(VLOOKUP(LOWER(TRIM(Raw_Export!D1072)),Maps!$G$2:$I$80,3,FALSE()),"UNMAPPED"))</f>
        <v>Snacks</v>
      </c>
      <c r="F1072" s="36" t="n">
        <f aca="false">IF(Raw_Export!$A1072="","",IFERROR(VALUE(TRIM(Raw_Export!E1072)),0))</f>
        <v>1</v>
      </c>
      <c r="G1072" s="38" t="n">
        <f aca="false">IF(Raw_Export!$A1072="","",IFERROR(VALUE(SUBSTITUTE(SUBSTITUTE(UPPER(TRIM(Raw_Export!F1072)),"KES",""),",","")),0))</f>
        <v>80</v>
      </c>
      <c r="H1072" s="38" t="n">
        <f aca="false">IF(Raw_Export!$A1072="","",F1072*G1072)</f>
        <v>80</v>
      </c>
      <c r="I1072" s="36" t="str">
        <f aca="false">IF(Raw_Export!$A1072="","",IFERROR(VLOOKUP(LOWER(TRIM(Raw_Export!H1072)),Maps!$D$2:$E$12,2,FALSE()),"Other"))</f>
        <v>M-Pesa</v>
      </c>
      <c r="J1072" s="36" t="str">
        <f aca="false">IF(Raw_Export!$A1072="","",IF(COUNTIF($A$2:A1072,A1072)&gt;1,"Duplicate",""))</f>
        <v/>
      </c>
      <c r="K1072" s="36" t="str">
        <f aca="false">IF(Raw_Export!$A1072="","",IF(J1072="Duplicate","Duplicate",IF(OR(C1072="UNMAPPED",D1072="UNMAPPED"),"Unmapped",IF(F1072=0,"Blank qty",IF(F1072&lt;0,"Return","OK")))))</f>
        <v>OK</v>
      </c>
      <c r="L1072" s="36" t="n">
        <f aca="false">IF(Raw_Export!$A1072="","",IF(OR(K1072="OK",K1072="Return"),1,0))</f>
        <v>1</v>
      </c>
      <c r="M1072" s="37" t="n">
        <f aca="false">IF(Raw_Export!$A1072="","",B1072-WEEKDAY(B1072,2)+1)</f>
        <v>46265</v>
      </c>
    </row>
    <row r="1073" customFormat="false" ht="15" hidden="false" customHeight="false" outlineLevel="0" collapsed="false">
      <c r="A1073" s="36" t="str">
        <f aca="false">IF(Raw_Export!$A1073="","",TRIM(Raw_Export!A1073))</f>
        <v>TXN-101053</v>
      </c>
      <c r="B1073" s="37" t="n">
        <f aca="false">IF(Raw_Export!$A1073="","",IF(ISNUMBER(Raw_Export!B1073),Raw_Export!B1073,IF(MID(TRIM(Raw_Export!B1073),5,1)="-",DATE(LEFT(TRIM(Raw_Export!B1073),4),MID(TRIM(Raw_Export!B1073),6,2),RIGHT(TRIM(Raw_Export!B1073),2)),DATE(RIGHT(TRIM(Raw_Export!B1073),4),MATCH(MID(TRIM(Raw_Export!B1073),4,3),{"Jan","Feb","Mar","Apr","May","Jun","Jul","Aug","Sep","Oct","Nov","Dec"},0),LEFT(TRIM(Raw_Export!B1073),2)))))</f>
        <v>46271</v>
      </c>
      <c r="C1073" s="36" t="str">
        <f aca="false">IF(Raw_Export!$A1073="","",IFERROR(VLOOKUP(LOWER(TRIM(Raw_Export!C1073)),Maps!$A$2:$B$20,2,FALSE()),"UNMAPPED"))</f>
        <v>Nakuru</v>
      </c>
      <c r="D1073" s="36" t="str">
        <f aca="false">IF(Raw_Export!$A1073="","",IFERROR(VLOOKUP(LOWER(TRIM(Raw_Export!D1073)),Maps!$G$2:$I$80,2,FALSE()),"UNMAPPED"))</f>
        <v>Peanuts 250g</v>
      </c>
      <c r="E1073" s="36" t="str">
        <f aca="false">IF(Raw_Export!$A1073="","",IFERROR(VLOOKUP(LOWER(TRIM(Raw_Export!D1073)),Maps!$G$2:$I$80,3,FALSE()),"UNMAPPED"))</f>
        <v>Snacks</v>
      </c>
      <c r="F1073" s="36" t="n">
        <f aca="false">IF(Raw_Export!$A1073="","",IFERROR(VALUE(TRIM(Raw_Export!E1073)),0))</f>
        <v>1</v>
      </c>
      <c r="G1073" s="38" t="n">
        <f aca="false">IF(Raw_Export!$A1073="","",IFERROR(VALUE(SUBSTITUTE(SUBSTITUTE(UPPER(TRIM(Raw_Export!F1073)),"KES",""),",","")),0))</f>
        <v>130</v>
      </c>
      <c r="H1073" s="38" t="n">
        <f aca="false">IF(Raw_Export!$A1073="","",F1073*G1073)</f>
        <v>130</v>
      </c>
      <c r="I1073" s="36" t="str">
        <f aca="false">IF(Raw_Export!$A1073="","",IFERROR(VLOOKUP(LOWER(TRIM(Raw_Export!H1073)),Maps!$D$2:$E$12,2,FALSE()),"Other"))</f>
        <v>M-Pesa</v>
      </c>
      <c r="J1073" s="36" t="str">
        <f aca="false">IF(Raw_Export!$A1073="","",IF(COUNTIF($A$2:A1073,A1073)&gt;1,"Duplicate",""))</f>
        <v/>
      </c>
      <c r="K1073" s="36" t="str">
        <f aca="false">IF(Raw_Export!$A1073="","",IF(J1073="Duplicate","Duplicate",IF(OR(C1073="UNMAPPED",D1073="UNMAPPED"),"Unmapped",IF(F1073=0,"Blank qty",IF(F1073&lt;0,"Return","OK")))))</f>
        <v>OK</v>
      </c>
      <c r="L1073" s="36" t="n">
        <f aca="false">IF(Raw_Export!$A1073="","",IF(OR(K1073="OK",K1073="Return"),1,0))</f>
        <v>1</v>
      </c>
      <c r="M1073" s="37" t="n">
        <f aca="false">IF(Raw_Export!$A1073="","",B1073-WEEKDAY(B1073,2)+1)</f>
        <v>46265</v>
      </c>
    </row>
    <row r="1074" customFormat="false" ht="15" hidden="false" customHeight="false" outlineLevel="0" collapsed="false">
      <c r="A1074" s="36" t="str">
        <f aca="false">IF(Raw_Export!$A1074="","",TRIM(Raw_Export!A1074))</f>
        <v>TXN-101054</v>
      </c>
      <c r="B1074" s="37" t="n">
        <f aca="false">IF(Raw_Export!$A1074="","",IF(ISNUMBER(Raw_Export!B1074),Raw_Export!B1074,IF(MID(TRIM(Raw_Export!B1074),5,1)="-",DATE(LEFT(TRIM(Raw_Export!B1074),4),MID(TRIM(Raw_Export!B1074),6,2),RIGHT(TRIM(Raw_Export!B1074),2)),DATE(RIGHT(TRIM(Raw_Export!B1074),4),MATCH(MID(TRIM(Raw_Export!B1074),4,3),{"Jan","Feb","Mar","Apr","May","Jun","Jul","Aug","Sep","Oct","Nov","Dec"},0),LEFT(TRIM(Raw_Export!B1074),2)))))</f>
        <v>46271</v>
      </c>
      <c r="C1074" s="36" t="str">
        <f aca="false">IF(Raw_Export!$A1074="","",IFERROR(VLOOKUP(LOWER(TRIM(Raw_Export!C1074)),Maps!$A$2:$B$20,2,FALSE()),"UNMAPPED"))</f>
        <v>Nakuru</v>
      </c>
      <c r="D1074" s="36" t="str">
        <f aca="false">IF(Raw_Export!$A1074="","",IFERROR(VLOOKUP(LOWER(TRIM(Raw_Export!D1074)),Maps!$G$2:$I$80,2,FALSE()),"UNMAPPED"))</f>
        <v>Biscuits 200g</v>
      </c>
      <c r="E1074" s="36" t="str">
        <f aca="false">IF(Raw_Export!$A1074="","",IFERROR(VLOOKUP(LOWER(TRIM(Raw_Export!D1074)),Maps!$G$2:$I$80,3,FALSE()),"UNMAPPED"))</f>
        <v>Snacks</v>
      </c>
      <c r="F1074" s="36" t="n">
        <f aca="false">IF(Raw_Export!$A1074="","",IFERROR(VALUE(TRIM(Raw_Export!E1074)),0))</f>
        <v>6</v>
      </c>
      <c r="G1074" s="38" t="n">
        <f aca="false">IF(Raw_Export!$A1074="","",IFERROR(VALUE(SUBSTITUTE(SUBSTITUTE(UPPER(TRIM(Raw_Export!F1074)),"KES",""),",","")),0))</f>
        <v>95</v>
      </c>
      <c r="H1074" s="38" t="n">
        <f aca="false">IF(Raw_Export!$A1074="","",F1074*G1074)</f>
        <v>570</v>
      </c>
      <c r="I1074" s="36" t="str">
        <f aca="false">IF(Raw_Export!$A1074="","",IFERROR(VLOOKUP(LOWER(TRIM(Raw_Export!H1074)),Maps!$D$2:$E$12,2,FALSE()),"Other"))</f>
        <v>M-Pesa</v>
      </c>
      <c r="J1074" s="36" t="str">
        <f aca="false">IF(Raw_Export!$A1074="","",IF(COUNTIF($A$2:A1074,A1074)&gt;1,"Duplicate",""))</f>
        <v>Duplicate</v>
      </c>
      <c r="K1074" s="36" t="str">
        <f aca="false">IF(Raw_Export!$A1074="","",IF(J1074="Duplicate","Duplicate",IF(OR(C1074="UNMAPPED",D1074="UNMAPPED"),"Unmapped",IF(F1074=0,"Blank qty",IF(F1074&lt;0,"Return","OK")))))</f>
        <v>Duplicate</v>
      </c>
      <c r="L1074" s="36" t="n">
        <f aca="false">IF(Raw_Export!$A1074="","",IF(OR(K1074="OK",K1074="Return"),1,0))</f>
        <v>0</v>
      </c>
      <c r="M1074" s="37" t="n">
        <f aca="false">IF(Raw_Export!$A1074="","",B1074-WEEKDAY(B1074,2)+1)</f>
        <v>46265</v>
      </c>
    </row>
    <row r="1075" customFormat="false" ht="15" hidden="false" customHeight="false" outlineLevel="0" collapsed="false">
      <c r="A1075" s="36" t="str">
        <f aca="false">IF(Raw_Export!$A1075="","",TRIM(Raw_Export!A1075))</f>
        <v>TXN-101055</v>
      </c>
      <c r="B1075" s="37" t="n">
        <f aca="false">IF(Raw_Export!$A1075="","",IF(ISNUMBER(Raw_Export!B1075),Raw_Export!B1075,IF(MID(TRIM(Raw_Export!B1075),5,1)="-",DATE(LEFT(TRIM(Raw_Export!B1075),4),MID(TRIM(Raw_Export!B1075),6,2),RIGHT(TRIM(Raw_Export!B1075),2)),DATE(RIGHT(TRIM(Raw_Export!B1075),4),MATCH(MID(TRIM(Raw_Export!B1075),4,3),{"Jan","Feb","Mar","Apr","May","Jun","Jul","Aug","Sep","Oct","Nov","Dec"},0),LEFT(TRIM(Raw_Export!B1075),2)))))</f>
        <v>46271</v>
      </c>
      <c r="C1075" s="36" t="str">
        <f aca="false">IF(Raw_Export!$A1075="","",IFERROR(VLOOKUP(LOWER(TRIM(Raw_Export!C1075)),Maps!$A$2:$B$20,2,FALSE()),"UNMAPPED"))</f>
        <v>Nakuru</v>
      </c>
      <c r="D1075" s="36" t="str">
        <f aca="false">IF(Raw_Export!$A1075="","",IFERROR(VLOOKUP(LOWER(TRIM(Raw_Export!D1075)),Maps!$G$2:$I$80,2,FALSE()),"UNMAPPED"))</f>
        <v>Unga Pembe 2kg</v>
      </c>
      <c r="E1075" s="36" t="str">
        <f aca="false">IF(Raw_Export!$A1075="","",IFERROR(VLOOKUP(LOWER(TRIM(Raw_Export!D1075)),Maps!$G$2:$I$80,3,FALSE()),"UNMAPPED"))</f>
        <v>Staples</v>
      </c>
      <c r="F1075" s="36" t="n">
        <f aca="false">IF(Raw_Export!$A1075="","",IFERROR(VALUE(TRIM(Raw_Export!E1075)),0))</f>
        <v>2</v>
      </c>
      <c r="G1075" s="38" t="n">
        <f aca="false">IF(Raw_Export!$A1075="","",IFERROR(VALUE(SUBSTITUTE(SUBSTITUTE(UPPER(TRIM(Raw_Export!F1075)),"KES",""),",","")),0))</f>
        <v>190</v>
      </c>
      <c r="H1075" s="38" t="n">
        <f aca="false">IF(Raw_Export!$A1075="","",F1075*G1075)</f>
        <v>380</v>
      </c>
      <c r="I1075" s="36" t="str">
        <f aca="false">IF(Raw_Export!$A1075="","",IFERROR(VLOOKUP(LOWER(TRIM(Raw_Export!H1075)),Maps!$D$2:$E$12,2,FALSE()),"Other"))</f>
        <v>Cash</v>
      </c>
      <c r="J1075" s="36" t="str">
        <f aca="false">IF(Raw_Export!$A1075="","",IF(COUNTIF($A$2:A1075,A1075)&gt;1,"Duplicate",""))</f>
        <v/>
      </c>
      <c r="K1075" s="36" t="str">
        <f aca="false">IF(Raw_Export!$A1075="","",IF(J1075="Duplicate","Duplicate",IF(OR(C1075="UNMAPPED",D1075="UNMAPPED"),"Unmapped",IF(F1075=0,"Blank qty",IF(F1075&lt;0,"Return","OK")))))</f>
        <v>OK</v>
      </c>
      <c r="L1075" s="36" t="n">
        <f aca="false">IF(Raw_Export!$A1075="","",IF(OR(K1075="OK",K1075="Return"),1,0))</f>
        <v>1</v>
      </c>
      <c r="M1075" s="37" t="n">
        <f aca="false">IF(Raw_Export!$A1075="","",B1075-WEEKDAY(B1075,2)+1)</f>
        <v>46265</v>
      </c>
    </row>
    <row r="1076" customFormat="false" ht="15" hidden="false" customHeight="false" outlineLevel="0" collapsed="false">
      <c r="A1076" s="36" t="str">
        <f aca="false">IF(Raw_Export!$A1076="","",TRIM(Raw_Export!A1076))</f>
        <v>TXN-101056</v>
      </c>
      <c r="B1076" s="37" t="n">
        <f aca="false">IF(Raw_Export!$A1076="","",IF(ISNUMBER(Raw_Export!B1076),Raw_Export!B1076,IF(MID(TRIM(Raw_Export!B1076),5,1)="-",DATE(LEFT(TRIM(Raw_Export!B1076),4),MID(TRIM(Raw_Export!B1076),6,2),RIGHT(TRIM(Raw_Export!B1076),2)),DATE(RIGHT(TRIM(Raw_Export!B1076),4),MATCH(MID(TRIM(Raw_Export!B1076),4,3),{"Jan","Feb","Mar","Apr","May","Jun","Jul","Aug","Sep","Oct","Nov","Dec"},0),LEFT(TRIM(Raw_Export!B1076),2)))))</f>
        <v>46271</v>
      </c>
      <c r="C1076" s="36" t="str">
        <f aca="false">IF(Raw_Export!$A1076="","",IFERROR(VLOOKUP(LOWER(TRIM(Raw_Export!C1076)),Maps!$A$2:$B$20,2,FALSE()),"UNMAPPED"))</f>
        <v>Nakuru</v>
      </c>
      <c r="D1076" s="36" t="str">
        <f aca="false">IF(Raw_Export!$A1076="","",IFERROR(VLOOKUP(LOWER(TRIM(Raw_Export!D1076)),Maps!$G$2:$I$80,2,FALSE()),"UNMAPPED"))</f>
        <v>Salt 500g</v>
      </c>
      <c r="E1076" s="36" t="str">
        <f aca="false">IF(Raw_Export!$A1076="","",IFERROR(VLOOKUP(LOWER(TRIM(Raw_Export!D1076)),Maps!$G$2:$I$80,3,FALSE()),"UNMAPPED"))</f>
        <v>Staples</v>
      </c>
      <c r="F1076" s="36" t="n">
        <f aca="false">IF(Raw_Export!$A1076="","",IFERROR(VALUE(TRIM(Raw_Export!E1076)),0))</f>
        <v>6</v>
      </c>
      <c r="G1076" s="38" t="n">
        <f aca="false">IF(Raw_Export!$A1076="","",IFERROR(VALUE(SUBSTITUTE(SUBSTITUTE(UPPER(TRIM(Raw_Export!F1076)),"KES",""),",","")),0))</f>
        <v>40</v>
      </c>
      <c r="H1076" s="38" t="n">
        <f aca="false">IF(Raw_Export!$A1076="","",F1076*G1076)</f>
        <v>240</v>
      </c>
      <c r="I1076" s="36" t="str">
        <f aca="false">IF(Raw_Export!$A1076="","",IFERROR(VLOOKUP(LOWER(TRIM(Raw_Export!H1076)),Maps!$D$2:$E$12,2,FALSE()),"Other"))</f>
        <v>M-Pesa</v>
      </c>
      <c r="J1076" s="36" t="str">
        <f aca="false">IF(Raw_Export!$A1076="","",IF(COUNTIF($A$2:A1076,A1076)&gt;1,"Duplicate",""))</f>
        <v/>
      </c>
      <c r="K1076" s="36" t="str">
        <f aca="false">IF(Raw_Export!$A1076="","",IF(J1076="Duplicate","Duplicate",IF(OR(C1076="UNMAPPED",D1076="UNMAPPED"),"Unmapped",IF(F1076=0,"Blank qty",IF(F1076&lt;0,"Return","OK")))))</f>
        <v>OK</v>
      </c>
      <c r="L1076" s="36" t="n">
        <f aca="false">IF(Raw_Export!$A1076="","",IF(OR(K1076="OK",K1076="Return"),1,0))</f>
        <v>1</v>
      </c>
      <c r="M1076" s="37" t="n">
        <f aca="false">IF(Raw_Export!$A1076="","",B1076-WEEKDAY(B1076,2)+1)</f>
        <v>46265</v>
      </c>
    </row>
    <row r="1077" customFormat="false" ht="15" hidden="false" customHeight="false" outlineLevel="0" collapsed="false">
      <c r="A1077" s="36" t="str">
        <f aca="false">IF(Raw_Export!$A1077="","",TRIM(Raw_Export!A1077))</f>
        <v>TXN-101057</v>
      </c>
      <c r="B1077" s="37" t="n">
        <f aca="false">IF(Raw_Export!$A1077="","",IF(ISNUMBER(Raw_Export!B1077),Raw_Export!B1077,IF(MID(TRIM(Raw_Export!B1077),5,1)="-",DATE(LEFT(TRIM(Raw_Export!B1077),4),MID(TRIM(Raw_Export!B1077),6,2),RIGHT(TRIM(Raw_Export!B1077),2)),DATE(RIGHT(TRIM(Raw_Export!B1077),4),MATCH(MID(TRIM(Raw_Export!B1077),4,3),{"Jan","Feb","Mar","Apr","May","Jun","Jul","Aug","Sep","Oct","Nov","Dec"},0),LEFT(TRIM(Raw_Export!B1077),2)))))</f>
        <v>46271</v>
      </c>
      <c r="C1077" s="36" t="str">
        <f aca="false">IF(Raw_Export!$A1077="","",IFERROR(VLOOKUP(LOWER(TRIM(Raw_Export!C1077)),Maps!$A$2:$B$20,2,FALSE()),"UNMAPPED"))</f>
        <v>Nakuru</v>
      </c>
      <c r="D1077" s="36" t="str">
        <f aca="false">IF(Raw_Export!$A1077="","",IFERROR(VLOOKUP(LOWER(TRIM(Raw_Export!D1077)),Maps!$G$2:$I$80,2,FALSE()),"UNMAPPED"))</f>
        <v>Salt 500g</v>
      </c>
      <c r="E1077" s="36" t="str">
        <f aca="false">IF(Raw_Export!$A1077="","",IFERROR(VLOOKUP(LOWER(TRIM(Raw_Export!D1077)),Maps!$G$2:$I$80,3,FALSE()),"UNMAPPED"))</f>
        <v>Staples</v>
      </c>
      <c r="F1077" s="36" t="n">
        <f aca="false">IF(Raw_Export!$A1077="","",IFERROR(VALUE(TRIM(Raw_Export!E1077)),0))</f>
        <v>1</v>
      </c>
      <c r="G1077" s="38" t="n">
        <f aca="false">IF(Raw_Export!$A1077="","",IFERROR(VALUE(SUBSTITUTE(SUBSTITUTE(UPPER(TRIM(Raw_Export!F1077)),"KES",""),",","")),0))</f>
        <v>40</v>
      </c>
      <c r="H1077" s="38" t="n">
        <f aca="false">IF(Raw_Export!$A1077="","",F1077*G1077)</f>
        <v>40</v>
      </c>
      <c r="I1077" s="36" t="str">
        <f aca="false">IF(Raw_Export!$A1077="","",IFERROR(VLOOKUP(LOWER(TRIM(Raw_Export!H1077)),Maps!$D$2:$E$12,2,FALSE()),"Other"))</f>
        <v>M-Pesa</v>
      </c>
      <c r="J1077" s="36" t="str">
        <f aca="false">IF(Raw_Export!$A1077="","",IF(COUNTIF($A$2:A1077,A1077)&gt;1,"Duplicate",""))</f>
        <v/>
      </c>
      <c r="K1077" s="36" t="str">
        <f aca="false">IF(Raw_Export!$A1077="","",IF(J1077="Duplicate","Duplicate",IF(OR(C1077="UNMAPPED",D1077="UNMAPPED"),"Unmapped",IF(F1077=0,"Blank qty",IF(F1077&lt;0,"Return","OK")))))</f>
        <v>OK</v>
      </c>
      <c r="L1077" s="36" t="n">
        <f aca="false">IF(Raw_Export!$A1077="","",IF(OR(K1077="OK",K1077="Return"),1,0))</f>
        <v>1</v>
      </c>
      <c r="M1077" s="37" t="n">
        <f aca="false">IF(Raw_Export!$A1077="","",B1077-WEEKDAY(B1077,2)+1)</f>
        <v>46265</v>
      </c>
    </row>
    <row r="1078" customFormat="false" ht="15" hidden="false" customHeight="false" outlineLevel="0" collapsed="false">
      <c r="A1078" s="36" t="str">
        <f aca="false">IF(Raw_Export!$A1078="","",TRIM(Raw_Export!A1078))</f>
        <v>TXN-101058</v>
      </c>
      <c r="B1078" s="37" t="n">
        <f aca="false">IF(Raw_Export!$A1078="","",IF(ISNUMBER(Raw_Export!B1078),Raw_Export!B1078,IF(MID(TRIM(Raw_Export!B1078),5,1)="-",DATE(LEFT(TRIM(Raw_Export!B1078),4),MID(TRIM(Raw_Export!B1078),6,2),RIGHT(TRIM(Raw_Export!B1078),2)),DATE(RIGHT(TRIM(Raw_Export!B1078),4),MATCH(MID(TRIM(Raw_Export!B1078),4,3),{"Jan","Feb","Mar","Apr","May","Jun","Jul","Aug","Sep","Oct","Nov","Dec"},0),LEFT(TRIM(Raw_Export!B1078),2)))))</f>
        <v>46271</v>
      </c>
      <c r="C1078" s="36" t="str">
        <f aca="false">IF(Raw_Export!$A1078="","",IFERROR(VLOOKUP(LOWER(TRIM(Raw_Export!C1078)),Maps!$A$2:$B$20,2,FALSE()),"UNMAPPED"))</f>
        <v>Nakuru</v>
      </c>
      <c r="D1078" s="36" t="str">
        <f aca="false">IF(Raw_Export!$A1078="","",IFERROR(VLOOKUP(LOWER(TRIM(Raw_Export!D1078)),Maps!$G$2:$I$80,2,FALSE()),"UNMAPPED"))</f>
        <v>Salt 500g</v>
      </c>
      <c r="E1078" s="36" t="str">
        <f aca="false">IF(Raw_Export!$A1078="","",IFERROR(VLOOKUP(LOWER(TRIM(Raw_Export!D1078)),Maps!$G$2:$I$80,3,FALSE()),"UNMAPPED"))</f>
        <v>Staples</v>
      </c>
      <c r="F1078" s="36" t="n">
        <f aca="false">IF(Raw_Export!$A1078="","",IFERROR(VALUE(TRIM(Raw_Export!E1078)),0))</f>
        <v>4</v>
      </c>
      <c r="G1078" s="38" t="n">
        <f aca="false">IF(Raw_Export!$A1078="","",IFERROR(VALUE(SUBSTITUTE(SUBSTITUTE(UPPER(TRIM(Raw_Export!F1078)),"KES",""),",","")),0))</f>
        <v>40</v>
      </c>
      <c r="H1078" s="38" t="n">
        <f aca="false">IF(Raw_Export!$A1078="","",F1078*G1078)</f>
        <v>160</v>
      </c>
      <c r="I1078" s="36" t="str">
        <f aca="false">IF(Raw_Export!$A1078="","",IFERROR(VLOOKUP(LOWER(TRIM(Raw_Export!H1078)),Maps!$D$2:$E$12,2,FALSE()),"Other"))</f>
        <v>M-Pesa</v>
      </c>
      <c r="J1078" s="36" t="str">
        <f aca="false">IF(Raw_Export!$A1078="","",IF(COUNTIF($A$2:A1078,A1078)&gt;1,"Duplicate",""))</f>
        <v/>
      </c>
      <c r="K1078" s="36" t="str">
        <f aca="false">IF(Raw_Export!$A1078="","",IF(J1078="Duplicate","Duplicate",IF(OR(C1078="UNMAPPED",D1078="UNMAPPED"),"Unmapped",IF(F1078=0,"Blank qty",IF(F1078&lt;0,"Return","OK")))))</f>
        <v>OK</v>
      </c>
      <c r="L1078" s="36" t="n">
        <f aca="false">IF(Raw_Export!$A1078="","",IF(OR(K1078="OK",K1078="Return"),1,0))</f>
        <v>1</v>
      </c>
      <c r="M1078" s="37" t="n">
        <f aca="false">IF(Raw_Export!$A1078="","",B1078-WEEKDAY(B1078,2)+1)</f>
        <v>46265</v>
      </c>
    </row>
    <row r="1079" customFormat="false" ht="15" hidden="false" customHeight="false" outlineLevel="0" collapsed="false">
      <c r="A1079" s="36" t="str">
        <f aca="false">IF(Raw_Export!$A1079="","",TRIM(Raw_Export!A1079))</f>
        <v>TXN-101059</v>
      </c>
      <c r="B1079" s="37" t="n">
        <f aca="false">IF(Raw_Export!$A1079="","",IF(ISNUMBER(Raw_Export!B1079),Raw_Export!B1079,IF(MID(TRIM(Raw_Export!B1079),5,1)="-",DATE(LEFT(TRIM(Raw_Export!B1079),4),MID(TRIM(Raw_Export!B1079),6,2),RIGHT(TRIM(Raw_Export!B1079),2)),DATE(RIGHT(TRIM(Raw_Export!B1079),4),MATCH(MID(TRIM(Raw_Export!B1079),4,3),{"Jan","Feb","Mar","Apr","May","Jun","Jul","Aug","Sep","Oct","Nov","Dec"},0),LEFT(TRIM(Raw_Export!B1079),2)))))</f>
        <v>46271</v>
      </c>
      <c r="C1079" s="36" t="str">
        <f aca="false">IF(Raw_Export!$A1079="","",IFERROR(VLOOKUP(LOWER(TRIM(Raw_Export!C1079)),Maps!$A$2:$B$20,2,FALSE()),"UNMAPPED"))</f>
        <v>Nakuru</v>
      </c>
      <c r="D1079" s="36" t="str">
        <f aca="false">IF(Raw_Export!$A1079="","",IFERROR(VLOOKUP(LOWER(TRIM(Raw_Export!D1079)),Maps!$G$2:$I$80,2,FALSE()),"UNMAPPED"))</f>
        <v>Washing Powder 1kg</v>
      </c>
      <c r="E1079" s="36" t="str">
        <f aca="false">IF(Raw_Export!$A1079="","",IFERROR(VLOOKUP(LOWER(TRIM(Raw_Export!D1079)),Maps!$G$2:$I$80,3,FALSE()),"UNMAPPED"))</f>
        <v>Household</v>
      </c>
      <c r="F1079" s="36" t="n">
        <f aca="false">IF(Raw_Export!$A1079="","",IFERROR(VALUE(TRIM(Raw_Export!E1079)),0))</f>
        <v>1</v>
      </c>
      <c r="G1079" s="38" t="n">
        <f aca="false">IF(Raw_Export!$A1079="","",IFERROR(VALUE(SUBSTITUTE(SUBSTITUTE(UPPER(TRIM(Raw_Export!F1079)),"KES",""),",","")),0))</f>
        <v>252</v>
      </c>
      <c r="H1079" s="38" t="n">
        <f aca="false">IF(Raw_Export!$A1079="","",F1079*G1079)</f>
        <v>252</v>
      </c>
      <c r="I1079" s="36" t="str">
        <f aca="false">IF(Raw_Export!$A1079="","",IFERROR(VLOOKUP(LOWER(TRIM(Raw_Export!H1079)),Maps!$D$2:$E$12,2,FALSE()),"Other"))</f>
        <v>Card</v>
      </c>
      <c r="J1079" s="36" t="str">
        <f aca="false">IF(Raw_Export!$A1079="","",IF(COUNTIF($A$2:A1079,A1079)&gt;1,"Duplicate",""))</f>
        <v/>
      </c>
      <c r="K1079" s="36" t="str">
        <f aca="false">IF(Raw_Export!$A1079="","",IF(J1079="Duplicate","Duplicate",IF(OR(C1079="UNMAPPED",D1079="UNMAPPED"),"Unmapped",IF(F1079=0,"Blank qty",IF(F1079&lt;0,"Return","OK")))))</f>
        <v>OK</v>
      </c>
      <c r="L1079" s="36" t="n">
        <f aca="false">IF(Raw_Export!$A1079="","",IF(OR(K1079="OK",K1079="Return"),1,0))</f>
        <v>1</v>
      </c>
      <c r="M1079" s="37" t="n">
        <f aca="false">IF(Raw_Export!$A1079="","",B1079-WEEKDAY(B1079,2)+1)</f>
        <v>46265</v>
      </c>
    </row>
    <row r="1080" customFormat="false" ht="15" hidden="false" customHeight="false" outlineLevel="0" collapsed="false">
      <c r="A1080" s="36" t="str">
        <f aca="false">IF(Raw_Export!$A1080="","",TRIM(Raw_Export!A1080))</f>
        <v>TXN-101060</v>
      </c>
      <c r="B1080" s="37" t="n">
        <f aca="false">IF(Raw_Export!$A1080="","",IF(ISNUMBER(Raw_Export!B1080),Raw_Export!B1080,IF(MID(TRIM(Raw_Export!B1080),5,1)="-",DATE(LEFT(TRIM(Raw_Export!B1080),4),MID(TRIM(Raw_Export!B1080),6,2),RIGHT(TRIM(Raw_Export!B1080),2)),DATE(RIGHT(TRIM(Raw_Export!B1080),4),MATCH(MID(TRIM(Raw_Export!B1080),4,3),{"Jan","Feb","Mar","Apr","May","Jun","Jul","Aug","Sep","Oct","Nov","Dec"},0),LEFT(TRIM(Raw_Export!B1080),2)))))</f>
        <v>46271</v>
      </c>
      <c r="C1080" s="36" t="str">
        <f aca="false">IF(Raw_Export!$A1080="","",IFERROR(VLOOKUP(LOWER(TRIM(Raw_Export!C1080)),Maps!$A$2:$B$20,2,FALSE()),"UNMAPPED"))</f>
        <v>Nakuru</v>
      </c>
      <c r="D1080" s="36" t="str">
        <f aca="false">IF(Raw_Export!$A1080="","",IFERROR(VLOOKUP(LOWER(TRIM(Raw_Export!D1080)),Maps!$G$2:$I$80,2,FALSE()),"UNMAPPED"))</f>
        <v>Body Lotion 400ml</v>
      </c>
      <c r="E1080" s="36" t="str">
        <f aca="false">IF(Raw_Export!$A1080="","",IFERROR(VLOOKUP(LOWER(TRIM(Raw_Export!D1080)),Maps!$G$2:$I$80,3,FALSE()),"UNMAPPED"))</f>
        <v>Personal Care</v>
      </c>
      <c r="F1080" s="36" t="n">
        <f aca="false">IF(Raw_Export!$A1080="","",IFERROR(VALUE(TRIM(Raw_Export!E1080)),0))</f>
        <v>2</v>
      </c>
      <c r="G1080" s="38" t="n">
        <f aca="false">IF(Raw_Export!$A1080="","",IFERROR(VALUE(SUBSTITUTE(SUBSTITUTE(UPPER(TRIM(Raw_Export!F1080)),"KES",""),",","")),0))</f>
        <v>420</v>
      </c>
      <c r="H1080" s="38" t="n">
        <f aca="false">IF(Raw_Export!$A1080="","",F1080*G1080)</f>
        <v>840</v>
      </c>
      <c r="I1080" s="36" t="str">
        <f aca="false">IF(Raw_Export!$A1080="","",IFERROR(VLOOKUP(LOWER(TRIM(Raw_Export!H1080)),Maps!$D$2:$E$12,2,FALSE()),"Other"))</f>
        <v>Cash</v>
      </c>
      <c r="J1080" s="36" t="str">
        <f aca="false">IF(Raw_Export!$A1080="","",IF(COUNTIF($A$2:A1080,A1080)&gt;1,"Duplicate",""))</f>
        <v/>
      </c>
      <c r="K1080" s="36" t="str">
        <f aca="false">IF(Raw_Export!$A1080="","",IF(J1080="Duplicate","Duplicate",IF(OR(C1080="UNMAPPED",D1080="UNMAPPED"),"Unmapped",IF(F1080=0,"Blank qty",IF(F1080&lt;0,"Return","OK")))))</f>
        <v>OK</v>
      </c>
      <c r="L1080" s="36" t="n">
        <f aca="false">IF(Raw_Export!$A1080="","",IF(OR(K1080="OK",K1080="Return"),1,0))</f>
        <v>1</v>
      </c>
      <c r="M1080" s="37" t="n">
        <f aca="false">IF(Raw_Export!$A1080="","",B1080-WEEKDAY(B1080,2)+1)</f>
        <v>46265</v>
      </c>
    </row>
    <row r="1081" customFormat="false" ht="15" hidden="false" customHeight="false" outlineLevel="0" collapsed="false">
      <c r="A1081" s="36" t="str">
        <f aca="false">IF(Raw_Export!$A1081="","",TRIM(Raw_Export!A1081))</f>
        <v>TXN-100145</v>
      </c>
      <c r="B1081" s="37" t="n">
        <f aca="false">IF(Raw_Export!$A1081="","",IF(ISNUMBER(Raw_Export!B1081),Raw_Export!B1081,IF(MID(TRIM(Raw_Export!B1081),5,1)="-",DATE(LEFT(TRIM(Raw_Export!B1081),4),MID(TRIM(Raw_Export!B1081),6,2),RIGHT(TRIM(Raw_Export!B1081),2)),DATE(RIGHT(TRIM(Raw_Export!B1081),4),MATCH(MID(TRIM(Raw_Export!B1081),4,3),{"Jan","Feb","Mar","Apr","May","Jun","Jul","Aug","Sep","Oct","Nov","Dec"},0),LEFT(TRIM(Raw_Export!B1081),2)))))</f>
        <v>46266</v>
      </c>
      <c r="C1081" s="36" t="str">
        <f aca="false">IF(Raw_Export!$A1081="","",IFERROR(VLOOKUP(LOWER(TRIM(Raw_Export!C1081)),Maps!$A$2:$B$20,2,FALSE()),"UNMAPPED"))</f>
        <v>Nairobi CBD</v>
      </c>
      <c r="D1081" s="36" t="str">
        <f aca="false">IF(Raw_Export!$A1081="","",IFERROR(VLOOKUP(LOWER(TRIM(Raw_Export!D1081)),Maps!$G$2:$I$80,2,FALSE()),"UNMAPPED"))</f>
        <v>Spaghetti 400g</v>
      </c>
      <c r="E1081" s="36" t="str">
        <f aca="false">IF(Raw_Export!$A1081="","",IFERROR(VLOOKUP(LOWER(TRIM(Raw_Export!D1081)),Maps!$G$2:$I$80,3,FALSE()),"UNMAPPED"))</f>
        <v>Staples</v>
      </c>
      <c r="F1081" s="36" t="n">
        <f aca="false">IF(Raw_Export!$A1081="","",IFERROR(VALUE(TRIM(Raw_Export!E1081)),0))</f>
        <v>2</v>
      </c>
      <c r="G1081" s="38" t="n">
        <f aca="false">IF(Raw_Export!$A1081="","",IFERROR(VALUE(SUBSTITUTE(SUBSTITUTE(UPPER(TRIM(Raw_Export!F1081)),"KES",""),",","")),0))</f>
        <v>110</v>
      </c>
      <c r="H1081" s="38" t="n">
        <f aca="false">IF(Raw_Export!$A1081="","",F1081*G1081)</f>
        <v>220</v>
      </c>
      <c r="I1081" s="36" t="str">
        <f aca="false">IF(Raw_Export!$A1081="","",IFERROR(VLOOKUP(LOWER(TRIM(Raw_Export!H1081)),Maps!$D$2:$E$12,2,FALSE()),"Other"))</f>
        <v>Cash</v>
      </c>
      <c r="J1081" s="36" t="str">
        <f aca="false">IF(Raw_Export!$A1081="","",IF(COUNTIF($A$2:A1081,A1081)&gt;1,"Duplicate",""))</f>
        <v>Duplicate</v>
      </c>
      <c r="K1081" s="36" t="str">
        <f aca="false">IF(Raw_Export!$A1081="","",IF(J1081="Duplicate","Duplicate",IF(OR(C1081="UNMAPPED",D1081="UNMAPPED"),"Unmapped",IF(F1081=0,"Blank qty",IF(F1081&lt;0,"Return","OK")))))</f>
        <v>Duplicate</v>
      </c>
      <c r="L1081" s="36" t="n">
        <f aca="false">IF(Raw_Export!$A1081="","",IF(OR(K1081="OK",K1081="Return"),1,0))</f>
        <v>0</v>
      </c>
      <c r="M1081" s="37" t="n">
        <f aca="false">IF(Raw_Export!$A1081="","",B1081-WEEKDAY(B1081,2)+1)</f>
        <v>46265</v>
      </c>
    </row>
    <row r="1082" customFormat="false" ht="15" hidden="false" customHeight="false" outlineLevel="0" collapsed="false">
      <c r="A1082" s="36" t="str">
        <f aca="false">IF(Raw_Export!$A1082="","",TRIM(Raw_Export!A1082))</f>
        <v>TXN-101061</v>
      </c>
      <c r="B1082" s="37" t="n">
        <f aca="false">IF(Raw_Export!$A1082="","",IF(ISNUMBER(Raw_Export!B1082),Raw_Export!B1082,IF(MID(TRIM(Raw_Export!B1082),5,1)="-",DATE(LEFT(TRIM(Raw_Export!B1082),4),MID(TRIM(Raw_Export!B1082),6,2),RIGHT(TRIM(Raw_Export!B1082),2)),DATE(RIGHT(TRIM(Raw_Export!B1082),4),MATCH(MID(TRIM(Raw_Export!B1082),4,3),{"Jan","Feb","Mar","Apr","May","Jun","Jul","Aug","Sep","Oct","Nov","Dec"},0),LEFT(TRIM(Raw_Export!B1082),2)))))</f>
        <v>46271</v>
      </c>
      <c r="C1082" s="36" t="str">
        <f aca="false">IF(Raw_Export!$A1082="","",IFERROR(VLOOKUP(LOWER(TRIM(Raw_Export!C1082)),Maps!$A$2:$B$20,2,FALSE()),"UNMAPPED"))</f>
        <v>Nakuru</v>
      </c>
      <c r="D1082" s="36" t="str">
        <f aca="false">IF(Raw_Export!$A1082="","",IFERROR(VLOOKUP(LOWER(TRIM(Raw_Export!D1082)),Maps!$G$2:$I$80,2,FALSE()),"UNMAPPED"))</f>
        <v>Deodorant 150ml</v>
      </c>
      <c r="E1082" s="36" t="str">
        <f aca="false">IF(Raw_Export!$A1082="","",IFERROR(VLOOKUP(LOWER(TRIM(Raw_Export!D1082)),Maps!$G$2:$I$80,3,FALSE()),"UNMAPPED"))</f>
        <v>Personal Care</v>
      </c>
      <c r="F1082" s="36" t="n">
        <f aca="false">IF(Raw_Export!$A1082="","",IFERROR(VALUE(TRIM(Raw_Export!E1082)),0))</f>
        <v>2</v>
      </c>
      <c r="G1082" s="38" t="n">
        <f aca="false">IF(Raw_Export!$A1082="","",IFERROR(VALUE(SUBSTITUTE(SUBSTITUTE(UPPER(TRIM(Raw_Export!F1082)),"KES",""),",","")),0))</f>
        <v>350</v>
      </c>
      <c r="H1082" s="38" t="n">
        <f aca="false">IF(Raw_Export!$A1082="","",F1082*G1082)</f>
        <v>700</v>
      </c>
      <c r="I1082" s="36" t="str">
        <f aca="false">IF(Raw_Export!$A1082="","",IFERROR(VLOOKUP(LOWER(TRIM(Raw_Export!H1082)),Maps!$D$2:$E$12,2,FALSE()),"Other"))</f>
        <v>Cash</v>
      </c>
      <c r="J1082" s="36" t="str">
        <f aca="false">IF(Raw_Export!$A1082="","",IF(COUNTIF($A$2:A1082,A1082)&gt;1,"Duplicate",""))</f>
        <v/>
      </c>
      <c r="K1082" s="36" t="str">
        <f aca="false">IF(Raw_Export!$A1082="","",IF(J1082="Duplicate","Duplicate",IF(OR(C1082="UNMAPPED",D1082="UNMAPPED"),"Unmapped",IF(F1082=0,"Blank qty",IF(F1082&lt;0,"Return","OK")))))</f>
        <v>OK</v>
      </c>
      <c r="L1082" s="36" t="n">
        <f aca="false">IF(Raw_Export!$A1082="","",IF(OR(K1082="OK",K1082="Return"),1,0))</f>
        <v>1</v>
      </c>
      <c r="M1082" s="37" t="n">
        <f aca="false">IF(Raw_Export!$A1082="","",B1082-WEEKDAY(B1082,2)+1)</f>
        <v>46265</v>
      </c>
    </row>
    <row r="1083" customFormat="false" ht="15" hidden="false" customHeight="false" outlineLevel="0" collapsed="false">
      <c r="A1083" s="36" t="str">
        <f aca="false">IF(Raw_Export!$A1083="","",TRIM(Raw_Export!A1083))</f>
        <v>TXN-101062</v>
      </c>
      <c r="B1083" s="37" t="n">
        <f aca="false">IF(Raw_Export!$A1083="","",IF(ISNUMBER(Raw_Export!B1083),Raw_Export!B1083,IF(MID(TRIM(Raw_Export!B1083),5,1)="-",DATE(LEFT(TRIM(Raw_Export!B1083),4),MID(TRIM(Raw_Export!B1083),6,2),RIGHT(TRIM(Raw_Export!B1083),2)),DATE(RIGHT(TRIM(Raw_Export!B1083),4),MATCH(MID(TRIM(Raw_Export!B1083),4,3),{"Jan","Feb","Mar","Apr","May","Jun","Jul","Aug","Sep","Oct","Nov","Dec"},0),LEFT(TRIM(Raw_Export!B1083),2)))))</f>
        <v>46271</v>
      </c>
      <c r="C1083" s="36" t="str">
        <f aca="false">IF(Raw_Export!$A1083="","",IFERROR(VLOOKUP(LOWER(TRIM(Raw_Export!C1083)),Maps!$A$2:$B$20,2,FALSE()),"UNMAPPED"))</f>
        <v>Nakuru</v>
      </c>
      <c r="D1083" s="36" t="str">
        <f aca="false">IF(Raw_Export!$A1083="","",IFERROR(VLOOKUP(LOWER(TRIM(Raw_Export!D1083)),Maps!$G$2:$I$80,2,FALSE()),"UNMAPPED"))</f>
        <v>Bottled Water 1.5L</v>
      </c>
      <c r="E1083" s="36" t="str">
        <f aca="false">IF(Raw_Export!$A1083="","",IFERROR(VLOOKUP(LOWER(TRIM(Raw_Export!D1083)),Maps!$G$2:$I$80,3,FALSE()),"UNMAPPED"))</f>
        <v>Beverages</v>
      </c>
      <c r="F1083" s="36" t="n">
        <f aca="false">IF(Raw_Export!$A1083="","",IFERROR(VALUE(TRIM(Raw_Export!E1083)),0))</f>
        <v>1</v>
      </c>
      <c r="G1083" s="38" t="n">
        <f aca="false">IF(Raw_Export!$A1083="","",IFERROR(VALUE(SUBSTITUTE(SUBSTITUTE(UPPER(TRIM(Raw_Export!F1083)),"KES",""),",","")),0))</f>
        <v>90</v>
      </c>
      <c r="H1083" s="38" t="n">
        <f aca="false">IF(Raw_Export!$A1083="","",F1083*G1083)</f>
        <v>90</v>
      </c>
      <c r="I1083" s="36" t="str">
        <f aca="false">IF(Raw_Export!$A1083="","",IFERROR(VLOOKUP(LOWER(TRIM(Raw_Export!H1083)),Maps!$D$2:$E$12,2,FALSE()),"Other"))</f>
        <v>M-Pesa</v>
      </c>
      <c r="J1083" s="36" t="str">
        <f aca="false">IF(Raw_Export!$A1083="","",IF(COUNTIF($A$2:A1083,A1083)&gt;1,"Duplicate",""))</f>
        <v/>
      </c>
      <c r="K1083" s="36" t="str">
        <f aca="false">IF(Raw_Export!$A1083="","",IF(J1083="Duplicate","Duplicate",IF(OR(C1083="UNMAPPED",D1083="UNMAPPED"),"Unmapped",IF(F1083=0,"Blank qty",IF(F1083&lt;0,"Return","OK")))))</f>
        <v>OK</v>
      </c>
      <c r="L1083" s="36" t="n">
        <f aca="false">IF(Raw_Export!$A1083="","",IF(OR(K1083="OK",K1083="Return"),1,0))</f>
        <v>1</v>
      </c>
      <c r="M1083" s="37" t="n">
        <f aca="false">IF(Raw_Export!$A1083="","",B1083-WEEKDAY(B1083,2)+1)</f>
        <v>46265</v>
      </c>
    </row>
    <row r="1084" customFormat="false" ht="15" hidden="false" customHeight="false" outlineLevel="0" collapsed="false">
      <c r="A1084" s="36" t="str">
        <f aca="false">IF(Raw_Export!$A1084="","",TRIM(Raw_Export!A1084))</f>
        <v>TXN-101063</v>
      </c>
      <c r="B1084" s="37" t="n">
        <f aca="false">IF(Raw_Export!$A1084="","",IF(ISNUMBER(Raw_Export!B1084),Raw_Export!B1084,IF(MID(TRIM(Raw_Export!B1084),5,1)="-",DATE(LEFT(TRIM(Raw_Export!B1084),4),MID(TRIM(Raw_Export!B1084),6,2),RIGHT(TRIM(Raw_Export!B1084),2)),DATE(RIGHT(TRIM(Raw_Export!B1084),4),MATCH(MID(TRIM(Raw_Export!B1084),4,3),{"Jan","Feb","Mar","Apr","May","Jun","Jul","Aug","Sep","Oct","Nov","Dec"},0),LEFT(TRIM(Raw_Export!B1084),2)))))</f>
        <v>46271</v>
      </c>
      <c r="C1084" s="36" t="str">
        <f aca="false">IF(Raw_Export!$A1084="","",IFERROR(VLOOKUP(LOWER(TRIM(Raw_Export!C1084)),Maps!$A$2:$B$20,2,FALSE()),"UNMAPPED"))</f>
        <v>Nakuru</v>
      </c>
      <c r="D1084" s="36" t="str">
        <f aca="false">IF(Raw_Export!$A1084="","",IFERROR(VLOOKUP(LOWER(TRIM(Raw_Export!D1084)),Maps!$G$2:$I$80,2,FALSE()),"UNMAPPED"))</f>
        <v>Peanuts 250g</v>
      </c>
      <c r="E1084" s="36" t="str">
        <f aca="false">IF(Raw_Export!$A1084="","",IFERROR(VLOOKUP(LOWER(TRIM(Raw_Export!D1084)),Maps!$G$2:$I$80,3,FALSE()),"UNMAPPED"))</f>
        <v>Snacks</v>
      </c>
      <c r="F1084" s="36" t="n">
        <f aca="false">IF(Raw_Export!$A1084="","",IFERROR(VALUE(TRIM(Raw_Export!E1084)),0))</f>
        <v>0</v>
      </c>
      <c r="G1084" s="38" t="n">
        <f aca="false">IF(Raw_Export!$A1084="","",IFERROR(VALUE(SUBSTITUTE(SUBSTITUTE(UPPER(TRIM(Raw_Export!F1084)),"KES",""),",","")),0))</f>
        <v>130</v>
      </c>
      <c r="H1084" s="38" t="n">
        <f aca="false">IF(Raw_Export!$A1084="","",F1084*G1084)</f>
        <v>0</v>
      </c>
      <c r="I1084" s="36" t="str">
        <f aca="false">IF(Raw_Export!$A1084="","",IFERROR(VLOOKUP(LOWER(TRIM(Raw_Export!H1084)),Maps!$D$2:$E$12,2,FALSE()),"Other"))</f>
        <v>M-Pesa</v>
      </c>
      <c r="J1084" s="36" t="str">
        <f aca="false">IF(Raw_Export!$A1084="","",IF(COUNTIF($A$2:A1084,A1084)&gt;1,"Duplicate",""))</f>
        <v/>
      </c>
      <c r="K1084" s="36" t="str">
        <f aca="false">IF(Raw_Export!$A1084="","",IF(J1084="Duplicate","Duplicate",IF(OR(C1084="UNMAPPED",D1084="UNMAPPED"),"Unmapped",IF(F1084=0,"Blank qty",IF(F1084&lt;0,"Return","OK")))))</f>
        <v>Blank qty</v>
      </c>
      <c r="L1084" s="36" t="n">
        <f aca="false">IF(Raw_Export!$A1084="","",IF(OR(K1084="OK",K1084="Return"),1,0))</f>
        <v>0</v>
      </c>
      <c r="M1084" s="37" t="n">
        <f aca="false">IF(Raw_Export!$A1084="","",B1084-WEEKDAY(B1084,2)+1)</f>
        <v>46265</v>
      </c>
    </row>
    <row r="1085" customFormat="false" ht="15" hidden="false" customHeight="false" outlineLevel="0" collapsed="false">
      <c r="A1085" s="36" t="str">
        <f aca="false">IF(Raw_Export!$A1085="","",TRIM(Raw_Export!A1085))</f>
        <v>TXN-101064</v>
      </c>
      <c r="B1085" s="37" t="n">
        <f aca="false">IF(Raw_Export!$A1085="","",IF(ISNUMBER(Raw_Export!B1085),Raw_Export!B1085,IF(MID(TRIM(Raw_Export!B1085),5,1)="-",DATE(LEFT(TRIM(Raw_Export!B1085),4),MID(TRIM(Raw_Export!B1085),6,2),RIGHT(TRIM(Raw_Export!B1085),2)),DATE(RIGHT(TRIM(Raw_Export!B1085),4),MATCH(MID(TRIM(Raw_Export!B1085),4,3),{"Jan","Feb","Mar","Apr","May","Jun","Jul","Aug","Sep","Oct","Nov","Dec"},0),LEFT(TRIM(Raw_Export!B1085),2)))))</f>
        <v>46271</v>
      </c>
      <c r="C1085" s="36" t="str">
        <f aca="false">IF(Raw_Export!$A1085="","",IFERROR(VLOOKUP(LOWER(TRIM(Raw_Export!C1085)),Maps!$A$2:$B$20,2,FALSE()),"UNMAPPED"))</f>
        <v>Nakuru</v>
      </c>
      <c r="D1085" s="36" t="str">
        <f aca="false">IF(Raw_Export!$A1085="","",IFERROR(VLOOKUP(LOWER(TRIM(Raw_Export!D1085)),Maps!$G$2:$I$80,2,FALSE()),"UNMAPPED"))</f>
        <v>Sanitary Pads 8pk</v>
      </c>
      <c r="E1085" s="36" t="str">
        <f aca="false">IF(Raw_Export!$A1085="","",IFERROR(VLOOKUP(LOWER(TRIM(Raw_Export!D1085)),Maps!$G$2:$I$80,3,FALSE()),"UNMAPPED"))</f>
        <v>Personal Care</v>
      </c>
      <c r="F1085" s="36" t="n">
        <f aca="false">IF(Raw_Export!$A1085="","",IFERROR(VALUE(TRIM(Raw_Export!E1085)),0))</f>
        <v>4</v>
      </c>
      <c r="G1085" s="38" t="n">
        <f aca="false">IF(Raw_Export!$A1085="","",IFERROR(VALUE(SUBSTITUTE(SUBSTITUTE(UPPER(TRIM(Raw_Export!F1085)),"KES",""),",","")),0))</f>
        <v>130</v>
      </c>
      <c r="H1085" s="38" t="n">
        <f aca="false">IF(Raw_Export!$A1085="","",F1085*G1085)</f>
        <v>520</v>
      </c>
      <c r="I1085" s="36" t="str">
        <f aca="false">IF(Raw_Export!$A1085="","",IFERROR(VLOOKUP(LOWER(TRIM(Raw_Export!H1085)),Maps!$D$2:$E$12,2,FALSE()),"Other"))</f>
        <v>Cash</v>
      </c>
      <c r="J1085" s="36" t="str">
        <f aca="false">IF(Raw_Export!$A1085="","",IF(COUNTIF($A$2:A1085,A1085)&gt;1,"Duplicate",""))</f>
        <v/>
      </c>
      <c r="K1085" s="36" t="str">
        <f aca="false">IF(Raw_Export!$A1085="","",IF(J1085="Duplicate","Duplicate",IF(OR(C1085="UNMAPPED",D1085="UNMAPPED"),"Unmapped",IF(F1085=0,"Blank qty",IF(F1085&lt;0,"Return","OK")))))</f>
        <v>OK</v>
      </c>
      <c r="L1085" s="36" t="n">
        <f aca="false">IF(Raw_Export!$A1085="","",IF(OR(K1085="OK",K1085="Return"),1,0))</f>
        <v>1</v>
      </c>
      <c r="M1085" s="37" t="n">
        <f aca="false">IF(Raw_Export!$A1085="","",B1085-WEEKDAY(B1085,2)+1)</f>
        <v>46265</v>
      </c>
    </row>
    <row r="1086" customFormat="false" ht="15" hidden="false" customHeight="false" outlineLevel="0" collapsed="false">
      <c r="A1086" s="36" t="str">
        <f aca="false">IF(Raw_Export!$A1086="","",TRIM(Raw_Export!A1086))</f>
        <v>TXN-101065</v>
      </c>
      <c r="B1086" s="37" t="n">
        <f aca="false">IF(Raw_Export!$A1086="","",IF(ISNUMBER(Raw_Export!B1086),Raw_Export!B1086,IF(MID(TRIM(Raw_Export!B1086),5,1)="-",DATE(LEFT(TRIM(Raw_Export!B1086),4),MID(TRIM(Raw_Export!B1086),6,2),RIGHT(TRIM(Raw_Export!B1086),2)),DATE(RIGHT(TRIM(Raw_Export!B1086),4),MATCH(MID(TRIM(Raw_Export!B1086),4,3),{"Jan","Feb","Mar","Apr","May","Jun","Jul","Aug","Sep","Oct","Nov","Dec"},0),LEFT(TRIM(Raw_Export!B1086),2)))))</f>
        <v>46271</v>
      </c>
      <c r="C1086" s="36" t="str">
        <f aca="false">IF(Raw_Export!$A1086="","",IFERROR(VLOOKUP(LOWER(TRIM(Raw_Export!C1086)),Maps!$A$2:$B$20,2,FALSE()),"UNMAPPED"))</f>
        <v>Nakuru</v>
      </c>
      <c r="D1086" s="36" t="str">
        <f aca="false">IF(Raw_Export!$A1086="","",IFERROR(VLOOKUP(LOWER(TRIM(Raw_Export!D1086)),Maps!$G$2:$I$80,2,FALSE()),"UNMAPPED"))</f>
        <v>Soda 500ml</v>
      </c>
      <c r="E1086" s="36" t="str">
        <f aca="false">IF(Raw_Export!$A1086="","",IFERROR(VLOOKUP(LOWER(TRIM(Raw_Export!D1086)),Maps!$G$2:$I$80,3,FALSE()),"UNMAPPED"))</f>
        <v>Beverages</v>
      </c>
      <c r="F1086" s="36" t="n">
        <f aca="false">IF(Raw_Export!$A1086="","",IFERROR(VALUE(TRIM(Raw_Export!E1086)),0))</f>
        <v>2</v>
      </c>
      <c r="G1086" s="38" t="n">
        <f aca="false">IF(Raw_Export!$A1086="","",IFERROR(VALUE(SUBSTITUTE(SUBSTITUTE(UPPER(TRIM(Raw_Export!F1086)),"KES",""),",","")),0))</f>
        <v>60</v>
      </c>
      <c r="H1086" s="38" t="n">
        <f aca="false">IF(Raw_Export!$A1086="","",F1086*G1086)</f>
        <v>120</v>
      </c>
      <c r="I1086" s="36" t="str">
        <f aca="false">IF(Raw_Export!$A1086="","",IFERROR(VLOOKUP(LOWER(TRIM(Raw_Export!H1086)),Maps!$D$2:$E$12,2,FALSE()),"Other"))</f>
        <v>Cash</v>
      </c>
      <c r="J1086" s="36" t="str">
        <f aca="false">IF(Raw_Export!$A1086="","",IF(COUNTIF($A$2:A1086,A1086)&gt;1,"Duplicate",""))</f>
        <v/>
      </c>
      <c r="K1086" s="36" t="str">
        <f aca="false">IF(Raw_Export!$A1086="","",IF(J1086="Duplicate","Duplicate",IF(OR(C1086="UNMAPPED",D1086="UNMAPPED"),"Unmapped",IF(F1086=0,"Blank qty",IF(F1086&lt;0,"Return","OK")))))</f>
        <v>OK</v>
      </c>
      <c r="L1086" s="36" t="n">
        <f aca="false">IF(Raw_Export!$A1086="","",IF(OR(K1086="OK",K1086="Return"),1,0))</f>
        <v>1</v>
      </c>
      <c r="M1086" s="37" t="n">
        <f aca="false">IF(Raw_Export!$A1086="","",B1086-WEEKDAY(B1086,2)+1)</f>
        <v>46265</v>
      </c>
    </row>
    <row r="1087" customFormat="false" ht="15" hidden="false" customHeight="false" outlineLevel="0" collapsed="false">
      <c r="A1087" s="36" t="str">
        <f aca="false">IF(Raw_Export!$A1087="","",TRIM(Raw_Export!A1087))</f>
        <v>TXN-101066</v>
      </c>
      <c r="B1087" s="37" t="n">
        <f aca="false">IF(Raw_Export!$A1087="","",IF(ISNUMBER(Raw_Export!B1087),Raw_Export!B1087,IF(MID(TRIM(Raw_Export!B1087),5,1)="-",DATE(LEFT(TRIM(Raw_Export!B1087),4),MID(TRIM(Raw_Export!B1087),6,2),RIGHT(TRIM(Raw_Export!B1087),2)),DATE(RIGHT(TRIM(Raw_Export!B1087),4),MATCH(MID(TRIM(Raw_Export!B1087),4,3),{"Jan","Feb","Mar","Apr","May","Jun","Jul","Aug","Sep","Oct","Nov","Dec"},0),LEFT(TRIM(Raw_Export!B1087),2)))))</f>
        <v>46271</v>
      </c>
      <c r="C1087" s="36" t="str">
        <f aca="false">IF(Raw_Export!$A1087="","",IFERROR(VLOOKUP(LOWER(TRIM(Raw_Export!C1087)),Maps!$A$2:$B$20,2,FALSE()),"UNMAPPED"))</f>
        <v>Nakuru</v>
      </c>
      <c r="D1087" s="36" t="str">
        <f aca="false">IF(Raw_Export!$A1087="","",IFERROR(VLOOKUP(LOWER(TRIM(Raw_Export!D1087)),Maps!$G$2:$I$80,2,FALSE()),"UNMAPPED"))</f>
        <v>Salt 500g</v>
      </c>
      <c r="E1087" s="36" t="str">
        <f aca="false">IF(Raw_Export!$A1087="","",IFERROR(VLOOKUP(LOWER(TRIM(Raw_Export!D1087)),Maps!$G$2:$I$80,3,FALSE()),"UNMAPPED"))</f>
        <v>Staples</v>
      </c>
      <c r="F1087" s="36" t="n">
        <f aca="false">IF(Raw_Export!$A1087="","",IFERROR(VALUE(TRIM(Raw_Export!E1087)),0))</f>
        <v>1</v>
      </c>
      <c r="G1087" s="38" t="n">
        <f aca="false">IF(Raw_Export!$A1087="","",IFERROR(VALUE(SUBSTITUTE(SUBSTITUTE(UPPER(TRIM(Raw_Export!F1087)),"KES",""),",","")),0))</f>
        <v>40</v>
      </c>
      <c r="H1087" s="38" t="n">
        <f aca="false">IF(Raw_Export!$A1087="","",F1087*G1087)</f>
        <v>40</v>
      </c>
      <c r="I1087" s="36" t="str">
        <f aca="false">IF(Raw_Export!$A1087="","",IFERROR(VLOOKUP(LOWER(TRIM(Raw_Export!H1087)),Maps!$D$2:$E$12,2,FALSE()),"Other"))</f>
        <v>Cash</v>
      </c>
      <c r="J1087" s="36" t="str">
        <f aca="false">IF(Raw_Export!$A1087="","",IF(COUNTIF($A$2:A1087,A1087)&gt;1,"Duplicate",""))</f>
        <v/>
      </c>
      <c r="K1087" s="36" t="str">
        <f aca="false">IF(Raw_Export!$A1087="","",IF(J1087="Duplicate","Duplicate",IF(OR(C1087="UNMAPPED",D1087="UNMAPPED"),"Unmapped",IF(F1087=0,"Blank qty",IF(F1087&lt;0,"Return","OK")))))</f>
        <v>OK</v>
      </c>
      <c r="L1087" s="36" t="n">
        <f aca="false">IF(Raw_Export!$A1087="","",IF(OR(K1087="OK",K1087="Return"),1,0))</f>
        <v>1</v>
      </c>
      <c r="M1087" s="37" t="n">
        <f aca="false">IF(Raw_Export!$A1087="","",B1087-WEEKDAY(B1087,2)+1)</f>
        <v>46265</v>
      </c>
    </row>
    <row r="1088" customFormat="false" ht="15" hidden="false" customHeight="false" outlineLevel="0" collapsed="false">
      <c r="A1088" s="36" t="str">
        <f aca="false">IF(Raw_Export!$A1088="","",TRIM(Raw_Export!A1088))</f>
        <v>TXN-101067</v>
      </c>
      <c r="B1088" s="37" t="n">
        <f aca="false">IF(Raw_Export!$A1088="","",IF(ISNUMBER(Raw_Export!B1088),Raw_Export!B1088,IF(MID(TRIM(Raw_Export!B1088),5,1)="-",DATE(LEFT(TRIM(Raw_Export!B1088),4),MID(TRIM(Raw_Export!B1088),6,2),RIGHT(TRIM(Raw_Export!B1088),2)),DATE(RIGHT(TRIM(Raw_Export!B1088),4),MATCH(MID(TRIM(Raw_Export!B1088),4,3),{"Jan","Feb","Mar","Apr","May","Jun","Jul","Aug","Sep","Oct","Nov","Dec"},0),LEFT(TRIM(Raw_Export!B1088),2)))))</f>
        <v>46271</v>
      </c>
      <c r="C1088" s="36" t="str">
        <f aca="false">IF(Raw_Export!$A1088="","",IFERROR(VLOOKUP(LOWER(TRIM(Raw_Export!C1088)),Maps!$A$2:$B$20,2,FALSE()),"UNMAPPED"))</f>
        <v>Nakuru</v>
      </c>
      <c r="D1088" s="36" t="str">
        <f aca="false">IF(Raw_Export!$A1088="","",IFERROR(VLOOKUP(LOWER(TRIM(Raw_Export!D1088)),Maps!$G$2:$I$80,2,FALSE()),"UNMAPPED"))</f>
        <v>Peanuts 250g</v>
      </c>
      <c r="E1088" s="36" t="str">
        <f aca="false">IF(Raw_Export!$A1088="","",IFERROR(VLOOKUP(LOWER(TRIM(Raw_Export!D1088)),Maps!$G$2:$I$80,3,FALSE()),"UNMAPPED"))</f>
        <v>Snacks</v>
      </c>
      <c r="F1088" s="36" t="n">
        <f aca="false">IF(Raw_Export!$A1088="","",IFERROR(VALUE(TRIM(Raw_Export!E1088)),0))</f>
        <v>1</v>
      </c>
      <c r="G1088" s="38" t="n">
        <f aca="false">IF(Raw_Export!$A1088="","",IFERROR(VALUE(SUBSTITUTE(SUBSTITUTE(UPPER(TRIM(Raw_Export!F1088)),"KES",""),",","")),0))</f>
        <v>117</v>
      </c>
      <c r="H1088" s="38" t="n">
        <f aca="false">IF(Raw_Export!$A1088="","",F1088*G1088)</f>
        <v>117</v>
      </c>
      <c r="I1088" s="36" t="str">
        <f aca="false">IF(Raw_Export!$A1088="","",IFERROR(VLOOKUP(LOWER(TRIM(Raw_Export!H1088)),Maps!$D$2:$E$12,2,FALSE()),"Other"))</f>
        <v>M-Pesa</v>
      </c>
      <c r="J1088" s="36" t="str">
        <f aca="false">IF(Raw_Export!$A1088="","",IF(COUNTIF($A$2:A1088,A1088)&gt;1,"Duplicate",""))</f>
        <v/>
      </c>
      <c r="K1088" s="36" t="str">
        <f aca="false">IF(Raw_Export!$A1088="","",IF(J1088="Duplicate","Duplicate",IF(OR(C1088="UNMAPPED",D1088="UNMAPPED"),"Unmapped",IF(F1088=0,"Blank qty",IF(F1088&lt;0,"Return","OK")))))</f>
        <v>OK</v>
      </c>
      <c r="L1088" s="36" t="n">
        <f aca="false">IF(Raw_Export!$A1088="","",IF(OR(K1088="OK",K1088="Return"),1,0))</f>
        <v>1</v>
      </c>
      <c r="M1088" s="37" t="n">
        <f aca="false">IF(Raw_Export!$A1088="","",B1088-WEEKDAY(B1088,2)+1)</f>
        <v>46265</v>
      </c>
    </row>
    <row r="1089" customFormat="false" ht="15" hidden="false" customHeight="false" outlineLevel="0" collapsed="false">
      <c r="A1089" s="36" t="str">
        <f aca="false">IF(Raw_Export!$A1089="","",TRIM(Raw_Export!A1089))</f>
        <v>TXN-101068</v>
      </c>
      <c r="B1089" s="37" t="n">
        <f aca="false">IF(Raw_Export!$A1089="","",IF(ISNUMBER(Raw_Export!B1089),Raw_Export!B1089,IF(MID(TRIM(Raw_Export!B1089),5,1)="-",DATE(LEFT(TRIM(Raw_Export!B1089),4),MID(TRIM(Raw_Export!B1089),6,2),RIGHT(TRIM(Raw_Export!B1089),2)),DATE(RIGHT(TRIM(Raw_Export!B1089),4),MATCH(MID(TRIM(Raw_Export!B1089),4,3),{"Jan","Feb","Mar","Apr","May","Jun","Jul","Aug","Sep","Oct","Nov","Dec"},0),LEFT(TRIM(Raw_Export!B1089),2)))))</f>
        <v>46271</v>
      </c>
      <c r="C1089" s="36" t="str">
        <f aca="false">IF(Raw_Export!$A1089="","",IFERROR(VLOOKUP(LOWER(TRIM(Raw_Export!C1089)),Maps!$A$2:$B$20,2,FALSE()),"UNMAPPED"))</f>
        <v>Nakuru</v>
      </c>
      <c r="D1089" s="36" t="str">
        <f aca="false">IF(Raw_Export!$A1089="","",IFERROR(VLOOKUP(LOWER(TRIM(Raw_Export!D1089)),Maps!$G$2:$I$80,2,FALSE()),"UNMAPPED"))</f>
        <v>Cooking Oil 1L</v>
      </c>
      <c r="E1089" s="36" t="str">
        <f aca="false">IF(Raw_Export!$A1089="","",IFERROR(VLOOKUP(LOWER(TRIM(Raw_Export!D1089)),Maps!$G$2:$I$80,3,FALSE()),"UNMAPPED"))</f>
        <v>Staples</v>
      </c>
      <c r="F1089" s="36" t="n">
        <f aca="false">IF(Raw_Export!$A1089="","",IFERROR(VALUE(TRIM(Raw_Export!E1089)),0))</f>
        <v>3</v>
      </c>
      <c r="G1089" s="38" t="n">
        <f aca="false">IF(Raw_Export!$A1089="","",IFERROR(VALUE(SUBSTITUTE(SUBSTITUTE(UPPER(TRIM(Raw_Export!F1089)),"KES",""),",","")),0))</f>
        <v>330</v>
      </c>
      <c r="H1089" s="38" t="n">
        <f aca="false">IF(Raw_Export!$A1089="","",F1089*G1089)</f>
        <v>990</v>
      </c>
      <c r="I1089" s="36" t="str">
        <f aca="false">IF(Raw_Export!$A1089="","",IFERROR(VLOOKUP(LOWER(TRIM(Raw_Export!H1089)),Maps!$D$2:$E$12,2,FALSE()),"Other"))</f>
        <v>Card</v>
      </c>
      <c r="J1089" s="36" t="str">
        <f aca="false">IF(Raw_Export!$A1089="","",IF(COUNTIF($A$2:A1089,A1089)&gt;1,"Duplicate",""))</f>
        <v/>
      </c>
      <c r="K1089" s="36" t="str">
        <f aca="false">IF(Raw_Export!$A1089="","",IF(J1089="Duplicate","Duplicate",IF(OR(C1089="UNMAPPED",D1089="UNMAPPED"),"Unmapped",IF(F1089=0,"Blank qty",IF(F1089&lt;0,"Return","OK")))))</f>
        <v>OK</v>
      </c>
      <c r="L1089" s="36" t="n">
        <f aca="false">IF(Raw_Export!$A1089="","",IF(OR(K1089="OK",K1089="Return"),1,0))</f>
        <v>1</v>
      </c>
      <c r="M1089" s="37" t="n">
        <f aca="false">IF(Raw_Export!$A1089="","",B1089-WEEKDAY(B1089,2)+1)</f>
        <v>46265</v>
      </c>
    </row>
    <row r="1090" customFormat="false" ht="15" hidden="false" customHeight="false" outlineLevel="0" collapsed="false">
      <c r="A1090" s="36" t="str">
        <f aca="false">IF(Raw_Export!$A1090="","",TRIM(Raw_Export!A1090))</f>
        <v>TXN-101069</v>
      </c>
      <c r="B1090" s="37" t="n">
        <f aca="false">IF(Raw_Export!$A1090="","",IF(ISNUMBER(Raw_Export!B1090),Raw_Export!B1090,IF(MID(TRIM(Raw_Export!B1090),5,1)="-",DATE(LEFT(TRIM(Raw_Export!B1090),4),MID(TRIM(Raw_Export!B1090),6,2),RIGHT(TRIM(Raw_Export!B1090),2)),DATE(RIGHT(TRIM(Raw_Export!B1090),4),MATCH(MID(TRIM(Raw_Export!B1090),4,3),{"Jan","Feb","Mar","Apr","May","Jun","Jul","Aug","Sep","Oct","Nov","Dec"},0),LEFT(TRIM(Raw_Export!B1090),2)))))</f>
        <v>46271</v>
      </c>
      <c r="C1090" s="36" t="str">
        <f aca="false">IF(Raw_Export!$A1090="","",IFERROR(VLOOKUP(LOWER(TRIM(Raw_Export!C1090)),Maps!$A$2:$B$20,2,FALSE()),"UNMAPPED"))</f>
        <v>Nakuru</v>
      </c>
      <c r="D1090" s="36" t="str">
        <f aca="false">IF(Raw_Export!$A1090="","",IFERROR(VLOOKUP(LOWER(TRIM(Raw_Export!D1090)),Maps!$G$2:$I$80,2,FALSE()),"UNMAPPED"))</f>
        <v>Unga Pembe 2kg</v>
      </c>
      <c r="E1090" s="36" t="str">
        <f aca="false">IF(Raw_Export!$A1090="","",IFERROR(VLOOKUP(LOWER(TRIM(Raw_Export!D1090)),Maps!$G$2:$I$80,3,FALSE()),"UNMAPPED"))</f>
        <v>Staples</v>
      </c>
      <c r="F1090" s="36" t="n">
        <f aca="false">IF(Raw_Export!$A1090="","",IFERROR(VALUE(TRIM(Raw_Export!E1090)),0))</f>
        <v>0</v>
      </c>
      <c r="G1090" s="38" t="n">
        <f aca="false">IF(Raw_Export!$A1090="","",IFERROR(VALUE(SUBSTITUTE(SUBSTITUTE(UPPER(TRIM(Raw_Export!F1090)),"KES",""),",","")),0))</f>
        <v>190</v>
      </c>
      <c r="H1090" s="38" t="n">
        <f aca="false">IF(Raw_Export!$A1090="","",F1090*G1090)</f>
        <v>0</v>
      </c>
      <c r="I1090" s="36" t="str">
        <f aca="false">IF(Raw_Export!$A1090="","",IFERROR(VLOOKUP(LOWER(TRIM(Raw_Export!H1090)),Maps!$D$2:$E$12,2,FALSE()),"Other"))</f>
        <v>M-Pesa</v>
      </c>
      <c r="J1090" s="36" t="str">
        <f aca="false">IF(Raw_Export!$A1090="","",IF(COUNTIF($A$2:A1090,A1090)&gt;1,"Duplicate",""))</f>
        <v/>
      </c>
      <c r="K1090" s="36" t="str">
        <f aca="false">IF(Raw_Export!$A1090="","",IF(J1090="Duplicate","Duplicate",IF(OR(C1090="UNMAPPED",D1090="UNMAPPED"),"Unmapped",IF(F1090=0,"Blank qty",IF(F1090&lt;0,"Return","OK")))))</f>
        <v>Blank qty</v>
      </c>
      <c r="L1090" s="36" t="n">
        <f aca="false">IF(Raw_Export!$A1090="","",IF(OR(K1090="OK",K1090="Return"),1,0))</f>
        <v>0</v>
      </c>
      <c r="M1090" s="37" t="n">
        <f aca="false">IF(Raw_Export!$A1090="","",B1090-WEEKDAY(B1090,2)+1)</f>
        <v>46265</v>
      </c>
    </row>
    <row r="1091" customFormat="false" ht="15" hidden="false" customHeight="false" outlineLevel="0" collapsed="false">
      <c r="A1091" s="36" t="str">
        <f aca="false">IF(Raw_Export!$A1091="","",TRIM(Raw_Export!A1091))</f>
        <v>TXN-101070</v>
      </c>
      <c r="B1091" s="37" t="n">
        <f aca="false">IF(Raw_Export!$A1091="","",IF(ISNUMBER(Raw_Export!B1091),Raw_Export!B1091,IF(MID(TRIM(Raw_Export!B1091),5,1)="-",DATE(LEFT(TRIM(Raw_Export!B1091),4),MID(TRIM(Raw_Export!B1091),6,2),RIGHT(TRIM(Raw_Export!B1091),2)),DATE(RIGHT(TRIM(Raw_Export!B1091),4),MATCH(MID(TRIM(Raw_Export!B1091),4,3),{"Jan","Feb","Mar","Apr","May","Jun","Jul","Aug","Sep","Oct","Nov","Dec"},0),LEFT(TRIM(Raw_Export!B1091),2)))))</f>
        <v>46271</v>
      </c>
      <c r="C1091" s="36" t="str">
        <f aca="false">IF(Raw_Export!$A1091="","",IFERROR(VLOOKUP(LOWER(TRIM(Raw_Export!C1091)),Maps!$A$2:$B$20,2,FALSE()),"UNMAPPED"))</f>
        <v>Nakuru</v>
      </c>
      <c r="D1091" s="36" t="str">
        <f aca="false">IF(Raw_Export!$A1091="","",IFERROR(VLOOKUP(LOWER(TRIM(Raw_Export!D1091)),Maps!$G$2:$I$80,2,FALSE()),"UNMAPPED"))</f>
        <v>Fresh Milk 500ml</v>
      </c>
      <c r="E1091" s="36" t="str">
        <f aca="false">IF(Raw_Export!$A1091="","",IFERROR(VLOOKUP(LOWER(TRIM(Raw_Export!D1091)),Maps!$G$2:$I$80,3,FALSE()),"UNMAPPED"))</f>
        <v>Dairy &amp; Eggs</v>
      </c>
      <c r="F1091" s="36" t="n">
        <f aca="false">IF(Raw_Export!$A1091="","",IFERROR(VALUE(TRIM(Raw_Export!E1091)),0))</f>
        <v>2</v>
      </c>
      <c r="G1091" s="38" t="n">
        <f aca="false">IF(Raw_Export!$A1091="","",IFERROR(VALUE(SUBSTITUTE(SUBSTITUTE(UPPER(TRIM(Raw_Export!F1091)),"KES",""),",","")),0))</f>
        <v>65</v>
      </c>
      <c r="H1091" s="38" t="n">
        <f aca="false">IF(Raw_Export!$A1091="","",F1091*G1091)</f>
        <v>130</v>
      </c>
      <c r="I1091" s="36" t="str">
        <f aca="false">IF(Raw_Export!$A1091="","",IFERROR(VLOOKUP(LOWER(TRIM(Raw_Export!H1091)),Maps!$D$2:$E$12,2,FALSE()),"Other"))</f>
        <v>Card</v>
      </c>
      <c r="J1091" s="36" t="str">
        <f aca="false">IF(Raw_Export!$A1091="","",IF(COUNTIF($A$2:A1091,A1091)&gt;1,"Duplicate",""))</f>
        <v/>
      </c>
      <c r="K1091" s="36" t="str">
        <f aca="false">IF(Raw_Export!$A1091="","",IF(J1091="Duplicate","Duplicate",IF(OR(C1091="UNMAPPED",D1091="UNMAPPED"),"Unmapped",IF(F1091=0,"Blank qty",IF(F1091&lt;0,"Return","OK")))))</f>
        <v>OK</v>
      </c>
      <c r="L1091" s="36" t="n">
        <f aca="false">IF(Raw_Export!$A1091="","",IF(OR(K1091="OK",K1091="Return"),1,0))</f>
        <v>1</v>
      </c>
      <c r="M1091" s="37" t="n">
        <f aca="false">IF(Raw_Export!$A1091="","",B1091-WEEKDAY(B1091,2)+1)</f>
        <v>46265</v>
      </c>
    </row>
    <row r="1092" customFormat="false" ht="15" hidden="false" customHeight="false" outlineLevel="0" collapsed="false">
      <c r="A1092" s="36" t="str">
        <f aca="false">IF(Raw_Export!$A1092="","",TRIM(Raw_Export!A1092))</f>
        <v>TXN-101071</v>
      </c>
      <c r="B1092" s="37" t="n">
        <f aca="false">IF(Raw_Export!$A1092="","",IF(ISNUMBER(Raw_Export!B1092),Raw_Export!B1092,IF(MID(TRIM(Raw_Export!B1092),5,1)="-",DATE(LEFT(TRIM(Raw_Export!B1092),4),MID(TRIM(Raw_Export!B1092),6,2),RIGHT(TRIM(Raw_Export!B1092),2)),DATE(RIGHT(TRIM(Raw_Export!B1092),4),MATCH(MID(TRIM(Raw_Export!B1092),4,3),{"Jan","Feb","Mar","Apr","May","Jun","Jul","Aug","Sep","Oct","Nov","Dec"},0),LEFT(TRIM(Raw_Export!B1092),2)))))</f>
        <v>46271</v>
      </c>
      <c r="C1092" s="36" t="str">
        <f aca="false">IF(Raw_Export!$A1092="","",IFERROR(VLOOKUP(LOWER(TRIM(Raw_Export!C1092)),Maps!$A$2:$B$20,2,FALSE()),"UNMAPPED"))</f>
        <v>Nakuru</v>
      </c>
      <c r="D1092" s="36" t="str">
        <f aca="false">IF(Raw_Export!$A1092="","",IFERROR(VLOOKUP(LOWER(TRIM(Raw_Export!D1092)),Maps!$G$2:$I$80,2,FALSE()),"UNMAPPED"))</f>
        <v>Rice Pishori 2kg</v>
      </c>
      <c r="E1092" s="36" t="str">
        <f aca="false">IF(Raw_Export!$A1092="","",IFERROR(VLOOKUP(LOWER(TRIM(Raw_Export!D1092)),Maps!$G$2:$I$80,3,FALSE()),"UNMAPPED"))</f>
        <v>Staples</v>
      </c>
      <c r="F1092" s="36" t="n">
        <f aca="false">IF(Raw_Export!$A1092="","",IFERROR(VALUE(TRIM(Raw_Export!E1092)),0))</f>
        <v>6</v>
      </c>
      <c r="G1092" s="38" t="n">
        <f aca="false">IF(Raw_Export!$A1092="","",IFERROR(VALUE(SUBSTITUTE(SUBSTITUTE(UPPER(TRIM(Raw_Export!F1092)),"KES",""),",","")),0))</f>
        <v>420</v>
      </c>
      <c r="H1092" s="38" t="n">
        <f aca="false">IF(Raw_Export!$A1092="","",F1092*G1092)</f>
        <v>2520</v>
      </c>
      <c r="I1092" s="36" t="str">
        <f aca="false">IF(Raw_Export!$A1092="","",IFERROR(VLOOKUP(LOWER(TRIM(Raw_Export!H1092)),Maps!$D$2:$E$12,2,FALSE()),"Other"))</f>
        <v>Cash</v>
      </c>
      <c r="J1092" s="36" t="str">
        <f aca="false">IF(Raw_Export!$A1092="","",IF(COUNTIF($A$2:A1092,A1092)&gt;1,"Duplicate",""))</f>
        <v/>
      </c>
      <c r="K1092" s="36" t="str">
        <f aca="false">IF(Raw_Export!$A1092="","",IF(J1092="Duplicate","Duplicate",IF(OR(C1092="UNMAPPED",D1092="UNMAPPED"),"Unmapped",IF(F1092=0,"Blank qty",IF(F1092&lt;0,"Return","OK")))))</f>
        <v>OK</v>
      </c>
      <c r="L1092" s="36" t="n">
        <f aca="false">IF(Raw_Export!$A1092="","",IF(OR(K1092="OK",K1092="Return"),1,0))</f>
        <v>1</v>
      </c>
      <c r="M1092" s="37" t="n">
        <f aca="false">IF(Raw_Export!$A1092="","",B1092-WEEKDAY(B1092,2)+1)</f>
        <v>46265</v>
      </c>
    </row>
    <row r="1093" customFormat="false" ht="15" hidden="false" customHeight="false" outlineLevel="0" collapsed="false">
      <c r="A1093" s="36" t="str">
        <f aca="false">IF(Raw_Export!$A1093="","",TRIM(Raw_Export!A1093))</f>
        <v>TXN-101072</v>
      </c>
      <c r="B1093" s="37" t="n">
        <f aca="false">IF(Raw_Export!$A1093="","",IF(ISNUMBER(Raw_Export!B1093),Raw_Export!B1093,IF(MID(TRIM(Raw_Export!B1093),5,1)="-",DATE(LEFT(TRIM(Raw_Export!B1093),4),MID(TRIM(Raw_Export!B1093),6,2),RIGHT(TRIM(Raw_Export!B1093),2)),DATE(RIGHT(TRIM(Raw_Export!B1093),4),MATCH(MID(TRIM(Raw_Export!B1093),4,3),{"Jan","Feb","Mar","Apr","May","Jun","Jul","Aug","Sep","Oct","Nov","Dec"},0),LEFT(TRIM(Raw_Export!B1093),2)))))</f>
        <v>46271</v>
      </c>
      <c r="C1093" s="36" t="str">
        <f aca="false">IF(Raw_Export!$A1093="","",IFERROR(VLOOKUP(LOWER(TRIM(Raw_Export!C1093)),Maps!$A$2:$B$20,2,FALSE()),"UNMAPPED"))</f>
        <v>Nakuru</v>
      </c>
      <c r="D1093" s="36" t="str">
        <f aca="false">IF(Raw_Export!$A1093="","",IFERROR(VLOOKUP(LOWER(TRIM(Raw_Export!D1093)),Maps!$G$2:$I$80,2,FALSE()),"UNMAPPED"))</f>
        <v>Crisps 100g</v>
      </c>
      <c r="E1093" s="36" t="str">
        <f aca="false">IF(Raw_Export!$A1093="","",IFERROR(VLOOKUP(LOWER(TRIM(Raw_Export!D1093)),Maps!$G$2:$I$80,3,FALSE()),"UNMAPPED"))</f>
        <v>Snacks</v>
      </c>
      <c r="F1093" s="36" t="n">
        <f aca="false">IF(Raw_Export!$A1093="","",IFERROR(VALUE(TRIM(Raw_Export!E1093)),0))</f>
        <v>1</v>
      </c>
      <c r="G1093" s="38" t="n">
        <f aca="false">IF(Raw_Export!$A1093="","",IFERROR(VALUE(SUBSTITUTE(SUBSTITUTE(UPPER(TRIM(Raw_Export!F1093)),"KES",""),",","")),0))</f>
        <v>80</v>
      </c>
      <c r="H1093" s="38" t="n">
        <f aca="false">IF(Raw_Export!$A1093="","",F1093*G1093)</f>
        <v>80</v>
      </c>
      <c r="I1093" s="36" t="str">
        <f aca="false">IF(Raw_Export!$A1093="","",IFERROR(VLOOKUP(LOWER(TRIM(Raw_Export!H1093)),Maps!$D$2:$E$12,2,FALSE()),"Other"))</f>
        <v>M-Pesa</v>
      </c>
      <c r="J1093" s="36" t="str">
        <f aca="false">IF(Raw_Export!$A1093="","",IF(COUNTIF($A$2:A1093,A1093)&gt;1,"Duplicate",""))</f>
        <v/>
      </c>
      <c r="K1093" s="36" t="str">
        <f aca="false">IF(Raw_Export!$A1093="","",IF(J1093="Duplicate","Duplicate",IF(OR(C1093="UNMAPPED",D1093="UNMAPPED"),"Unmapped",IF(F1093=0,"Blank qty",IF(F1093&lt;0,"Return","OK")))))</f>
        <v>OK</v>
      </c>
      <c r="L1093" s="36" t="n">
        <f aca="false">IF(Raw_Export!$A1093="","",IF(OR(K1093="OK",K1093="Return"),1,0))</f>
        <v>1</v>
      </c>
      <c r="M1093" s="37" t="n">
        <f aca="false">IF(Raw_Export!$A1093="","",B1093-WEEKDAY(B1093,2)+1)</f>
        <v>46265</v>
      </c>
    </row>
    <row r="1094" customFormat="false" ht="15" hidden="false" customHeight="false" outlineLevel="0" collapsed="false">
      <c r="A1094" s="36" t="str">
        <f aca="false">IF(Raw_Export!$A1094="","",TRIM(Raw_Export!A1094))</f>
        <v>TXN-101073</v>
      </c>
      <c r="B1094" s="37" t="n">
        <f aca="false">IF(Raw_Export!$A1094="","",IF(ISNUMBER(Raw_Export!B1094),Raw_Export!B1094,IF(MID(TRIM(Raw_Export!B1094),5,1)="-",DATE(LEFT(TRIM(Raw_Export!B1094),4),MID(TRIM(Raw_Export!B1094),6,2),RIGHT(TRIM(Raw_Export!B1094),2)),DATE(RIGHT(TRIM(Raw_Export!B1094),4),MATCH(MID(TRIM(Raw_Export!B1094),4,3),{"Jan","Feb","Mar","Apr","May","Jun","Jul","Aug","Sep","Oct","Nov","Dec"},0),LEFT(TRIM(Raw_Export!B1094),2)))))</f>
        <v>46271</v>
      </c>
      <c r="C1094" s="36" t="str">
        <f aca="false">IF(Raw_Export!$A1094="","",IFERROR(VLOOKUP(LOWER(TRIM(Raw_Export!C1094)),Maps!$A$2:$B$20,2,FALSE()),"UNMAPPED"))</f>
        <v>Nakuru</v>
      </c>
      <c r="D1094" s="36" t="str">
        <f aca="false">IF(Raw_Export!$A1094="","",IFERROR(VLOOKUP(LOWER(TRIM(Raw_Export!D1094)),Maps!$G$2:$I$80,2,FALSE()),"UNMAPPED"))</f>
        <v>Coffee 100g</v>
      </c>
      <c r="E1094" s="36" t="str">
        <f aca="false">IF(Raw_Export!$A1094="","",IFERROR(VLOOKUP(LOWER(TRIM(Raw_Export!D1094)),Maps!$G$2:$I$80,3,FALSE()),"UNMAPPED"))</f>
        <v>Beverages</v>
      </c>
      <c r="F1094" s="36" t="n">
        <f aca="false">IF(Raw_Export!$A1094="","",IFERROR(VALUE(TRIM(Raw_Export!E1094)),0))</f>
        <v>4</v>
      </c>
      <c r="G1094" s="38" t="n">
        <f aca="false">IF(Raw_Export!$A1094="","",IFERROR(VALUE(SUBSTITUTE(SUBSTITUTE(UPPER(TRIM(Raw_Export!F1094)),"KES",""),",","")),0))</f>
        <v>360</v>
      </c>
      <c r="H1094" s="38" t="n">
        <f aca="false">IF(Raw_Export!$A1094="","",F1094*G1094)</f>
        <v>1440</v>
      </c>
      <c r="I1094" s="36" t="str">
        <f aca="false">IF(Raw_Export!$A1094="","",IFERROR(VLOOKUP(LOWER(TRIM(Raw_Export!H1094)),Maps!$D$2:$E$12,2,FALSE()),"Other"))</f>
        <v>Cash</v>
      </c>
      <c r="J1094" s="36" t="str">
        <f aca="false">IF(Raw_Export!$A1094="","",IF(COUNTIF($A$2:A1094,A1094)&gt;1,"Duplicate",""))</f>
        <v/>
      </c>
      <c r="K1094" s="36" t="str">
        <f aca="false">IF(Raw_Export!$A1094="","",IF(J1094="Duplicate","Duplicate",IF(OR(C1094="UNMAPPED",D1094="UNMAPPED"),"Unmapped",IF(F1094=0,"Blank qty",IF(F1094&lt;0,"Return","OK")))))</f>
        <v>OK</v>
      </c>
      <c r="L1094" s="36" t="n">
        <f aca="false">IF(Raw_Export!$A1094="","",IF(OR(K1094="OK",K1094="Return"),1,0))</f>
        <v>1</v>
      </c>
      <c r="M1094" s="37" t="n">
        <f aca="false">IF(Raw_Export!$A1094="","",B1094-WEEKDAY(B1094,2)+1)</f>
        <v>46265</v>
      </c>
    </row>
    <row r="1095" customFormat="false" ht="15" hidden="false" customHeight="false" outlineLevel="0" collapsed="false">
      <c r="A1095" s="36" t="str">
        <f aca="false">IF(Raw_Export!$A1095="","",TRIM(Raw_Export!A1095))</f>
        <v>TXN-101074</v>
      </c>
      <c r="B1095" s="37" t="n">
        <f aca="false">IF(Raw_Export!$A1095="","",IF(ISNUMBER(Raw_Export!B1095),Raw_Export!B1095,IF(MID(TRIM(Raw_Export!B1095),5,1)="-",DATE(LEFT(TRIM(Raw_Export!B1095),4),MID(TRIM(Raw_Export!B1095),6,2),RIGHT(TRIM(Raw_Export!B1095),2)),DATE(RIGHT(TRIM(Raw_Export!B1095),4),MATCH(MID(TRIM(Raw_Export!B1095),4,3),{"Jan","Feb","Mar","Apr","May","Jun","Jul","Aug","Sep","Oct","Nov","Dec"},0),LEFT(TRIM(Raw_Export!B1095),2)))))</f>
        <v>46271</v>
      </c>
      <c r="C1095" s="36" t="str">
        <f aca="false">IF(Raw_Export!$A1095="","",IFERROR(VLOOKUP(LOWER(TRIM(Raw_Export!C1095)),Maps!$A$2:$B$20,2,FALSE()),"UNMAPPED"))</f>
        <v>Nakuru</v>
      </c>
      <c r="D1095" s="36" t="str">
        <f aca="false">IF(Raw_Export!$A1095="","",IFERROR(VLOOKUP(LOWER(TRIM(Raw_Export!D1095)),Maps!$G$2:$I$80,2,FALSE()),"UNMAPPED"))</f>
        <v>Bleach 1L</v>
      </c>
      <c r="E1095" s="36" t="str">
        <f aca="false">IF(Raw_Export!$A1095="","",IFERROR(VLOOKUP(LOWER(TRIM(Raw_Export!D1095)),Maps!$G$2:$I$80,3,FALSE()),"UNMAPPED"))</f>
        <v>Household</v>
      </c>
      <c r="F1095" s="36" t="n">
        <f aca="false">IF(Raw_Export!$A1095="","",IFERROR(VALUE(TRIM(Raw_Export!E1095)),0))</f>
        <v>6</v>
      </c>
      <c r="G1095" s="38" t="n">
        <f aca="false">IF(Raw_Export!$A1095="","",IFERROR(VALUE(SUBSTITUTE(SUBSTITUTE(UPPER(TRIM(Raw_Export!F1095)),"KES",""),",","")),0))</f>
        <v>160</v>
      </c>
      <c r="H1095" s="38" t="n">
        <f aca="false">IF(Raw_Export!$A1095="","",F1095*G1095)</f>
        <v>960</v>
      </c>
      <c r="I1095" s="36" t="str">
        <f aca="false">IF(Raw_Export!$A1095="","",IFERROR(VLOOKUP(LOWER(TRIM(Raw_Export!H1095)),Maps!$D$2:$E$12,2,FALSE()),"Other"))</f>
        <v>M-Pesa</v>
      </c>
      <c r="J1095" s="36" t="str">
        <f aca="false">IF(Raw_Export!$A1095="","",IF(COUNTIF($A$2:A1095,A1095)&gt;1,"Duplicate",""))</f>
        <v/>
      </c>
      <c r="K1095" s="36" t="str">
        <f aca="false">IF(Raw_Export!$A1095="","",IF(J1095="Duplicate","Duplicate",IF(OR(C1095="UNMAPPED",D1095="UNMAPPED"),"Unmapped",IF(F1095=0,"Blank qty",IF(F1095&lt;0,"Return","OK")))))</f>
        <v>OK</v>
      </c>
      <c r="L1095" s="36" t="n">
        <f aca="false">IF(Raw_Export!$A1095="","",IF(OR(K1095="OK",K1095="Return"),1,0))</f>
        <v>1</v>
      </c>
      <c r="M1095" s="37" t="n">
        <f aca="false">IF(Raw_Export!$A1095="","",B1095-WEEKDAY(B1095,2)+1)</f>
        <v>46265</v>
      </c>
    </row>
    <row r="1096" customFormat="false" ht="15" hidden="false" customHeight="false" outlineLevel="0" collapsed="false">
      <c r="A1096" s="36" t="str">
        <f aca="false">IF(Raw_Export!$A1096="","",TRIM(Raw_Export!A1096))</f>
        <v>TXN-101075</v>
      </c>
      <c r="B1096" s="37" t="n">
        <f aca="false">IF(Raw_Export!$A1096="","",IF(ISNUMBER(Raw_Export!B1096),Raw_Export!B1096,IF(MID(TRIM(Raw_Export!B1096),5,1)="-",DATE(LEFT(TRIM(Raw_Export!B1096),4),MID(TRIM(Raw_Export!B1096),6,2),RIGHT(TRIM(Raw_Export!B1096),2)),DATE(RIGHT(TRIM(Raw_Export!B1096),4),MATCH(MID(TRIM(Raw_Export!B1096),4,3),{"Jan","Feb","Mar","Apr","May","Jun","Jul","Aug","Sep","Oct","Nov","Dec"},0),LEFT(TRIM(Raw_Export!B1096),2)))))</f>
        <v>46271</v>
      </c>
      <c r="C1096" s="36" t="str">
        <f aca="false">IF(Raw_Export!$A1096="","",IFERROR(VLOOKUP(LOWER(TRIM(Raw_Export!C1096)),Maps!$A$2:$B$20,2,FALSE()),"UNMAPPED"))</f>
        <v>Nakuru</v>
      </c>
      <c r="D1096" s="36" t="str">
        <f aca="false">IF(Raw_Export!$A1096="","",IFERROR(VLOOKUP(LOWER(TRIM(Raw_Export!D1096)),Maps!$G$2:$I$80,2,FALSE()),"UNMAPPED"))</f>
        <v>Salt 500g</v>
      </c>
      <c r="E1096" s="36" t="str">
        <f aca="false">IF(Raw_Export!$A1096="","",IFERROR(VLOOKUP(LOWER(TRIM(Raw_Export!D1096)),Maps!$G$2:$I$80,3,FALSE()),"UNMAPPED"))</f>
        <v>Staples</v>
      </c>
      <c r="F1096" s="36" t="n">
        <f aca="false">IF(Raw_Export!$A1096="","",IFERROR(VALUE(TRIM(Raw_Export!E1096)),0))</f>
        <v>1</v>
      </c>
      <c r="G1096" s="38" t="n">
        <f aca="false">IF(Raw_Export!$A1096="","",IFERROR(VALUE(SUBSTITUTE(SUBSTITUTE(UPPER(TRIM(Raw_Export!F1096)),"KES",""),",","")),0))</f>
        <v>40</v>
      </c>
      <c r="H1096" s="38" t="n">
        <f aca="false">IF(Raw_Export!$A1096="","",F1096*G1096)</f>
        <v>40</v>
      </c>
      <c r="I1096" s="36" t="str">
        <f aca="false">IF(Raw_Export!$A1096="","",IFERROR(VLOOKUP(LOWER(TRIM(Raw_Export!H1096)),Maps!$D$2:$E$12,2,FALSE()),"Other"))</f>
        <v>Cash</v>
      </c>
      <c r="J1096" s="36" t="str">
        <f aca="false">IF(Raw_Export!$A1096="","",IF(COUNTIF($A$2:A1096,A1096)&gt;1,"Duplicate",""))</f>
        <v/>
      </c>
      <c r="K1096" s="36" t="str">
        <f aca="false">IF(Raw_Export!$A1096="","",IF(J1096="Duplicate","Duplicate",IF(OR(C1096="UNMAPPED",D1096="UNMAPPED"),"Unmapped",IF(F1096=0,"Blank qty",IF(F1096&lt;0,"Return","OK")))))</f>
        <v>OK</v>
      </c>
      <c r="L1096" s="36" t="n">
        <f aca="false">IF(Raw_Export!$A1096="","",IF(OR(K1096="OK",K1096="Return"),1,0))</f>
        <v>1</v>
      </c>
      <c r="M1096" s="37" t="n">
        <f aca="false">IF(Raw_Export!$A1096="","",B1096-WEEKDAY(B1096,2)+1)</f>
        <v>46265</v>
      </c>
    </row>
    <row r="1097" customFormat="false" ht="15" hidden="false" customHeight="false" outlineLevel="0" collapsed="false">
      <c r="A1097" s="36" t="str">
        <f aca="false">IF(Raw_Export!$A1097="","",TRIM(Raw_Export!A1097))</f>
        <v>TXN-101076</v>
      </c>
      <c r="B1097" s="37" t="n">
        <f aca="false">IF(Raw_Export!$A1097="","",IF(ISNUMBER(Raw_Export!B1097),Raw_Export!B1097,IF(MID(TRIM(Raw_Export!B1097),5,1)="-",DATE(LEFT(TRIM(Raw_Export!B1097),4),MID(TRIM(Raw_Export!B1097),6,2),RIGHT(TRIM(Raw_Export!B1097),2)),DATE(RIGHT(TRIM(Raw_Export!B1097),4),MATCH(MID(TRIM(Raw_Export!B1097),4,3),{"Jan","Feb","Mar","Apr","May","Jun","Jul","Aug","Sep","Oct","Nov","Dec"},0),LEFT(TRIM(Raw_Export!B1097),2)))))</f>
        <v>46272</v>
      </c>
      <c r="C1097" s="36" t="str">
        <f aca="false">IF(Raw_Export!$A1097="","",IFERROR(VLOOKUP(LOWER(TRIM(Raw_Export!C1097)),Maps!$A$2:$B$20,2,FALSE()),"UNMAPPED"))</f>
        <v>Nairobi CBD</v>
      </c>
      <c r="D1097" s="36" t="str">
        <f aca="false">IF(Raw_Export!$A1097="","",IFERROR(VLOOKUP(LOWER(TRIM(Raw_Export!D1097)),Maps!$G$2:$I$80,2,FALSE()),"UNMAPPED"))</f>
        <v>Peanuts 250g</v>
      </c>
      <c r="E1097" s="36" t="str">
        <f aca="false">IF(Raw_Export!$A1097="","",IFERROR(VLOOKUP(LOWER(TRIM(Raw_Export!D1097)),Maps!$G$2:$I$80,3,FALSE()),"UNMAPPED"))</f>
        <v>Snacks</v>
      </c>
      <c r="F1097" s="36" t="n">
        <f aca="false">IF(Raw_Export!$A1097="","",IFERROR(VALUE(TRIM(Raw_Export!E1097)),0))</f>
        <v>1</v>
      </c>
      <c r="G1097" s="38" t="n">
        <f aca="false">IF(Raw_Export!$A1097="","",IFERROR(VALUE(SUBSTITUTE(SUBSTITUTE(UPPER(TRIM(Raw_Export!F1097)),"KES",""),",","")),0))</f>
        <v>130</v>
      </c>
      <c r="H1097" s="38" t="n">
        <f aca="false">IF(Raw_Export!$A1097="","",F1097*G1097)</f>
        <v>130</v>
      </c>
      <c r="I1097" s="36" t="str">
        <f aca="false">IF(Raw_Export!$A1097="","",IFERROR(VLOOKUP(LOWER(TRIM(Raw_Export!H1097)),Maps!$D$2:$E$12,2,FALSE()),"Other"))</f>
        <v>M-Pesa</v>
      </c>
      <c r="J1097" s="36" t="str">
        <f aca="false">IF(Raw_Export!$A1097="","",IF(COUNTIF($A$2:A1097,A1097)&gt;1,"Duplicate",""))</f>
        <v/>
      </c>
      <c r="K1097" s="36" t="str">
        <f aca="false">IF(Raw_Export!$A1097="","",IF(J1097="Duplicate","Duplicate",IF(OR(C1097="UNMAPPED",D1097="UNMAPPED"),"Unmapped",IF(F1097=0,"Blank qty",IF(F1097&lt;0,"Return","OK")))))</f>
        <v>OK</v>
      </c>
      <c r="L1097" s="36" t="n">
        <f aca="false">IF(Raw_Export!$A1097="","",IF(OR(K1097="OK",K1097="Return"),1,0))</f>
        <v>1</v>
      </c>
      <c r="M1097" s="37" t="n">
        <f aca="false">IF(Raw_Export!$A1097="","",B1097-WEEKDAY(B1097,2)+1)</f>
        <v>46272</v>
      </c>
    </row>
    <row r="1098" customFormat="false" ht="15" hidden="false" customHeight="false" outlineLevel="0" collapsed="false">
      <c r="A1098" s="36" t="str">
        <f aca="false">IF(Raw_Export!$A1098="","",TRIM(Raw_Export!A1098))</f>
        <v>TXN-101077</v>
      </c>
      <c r="B1098" s="37" t="n">
        <f aca="false">IF(Raw_Export!$A1098="","",IF(ISNUMBER(Raw_Export!B1098),Raw_Export!B1098,IF(MID(TRIM(Raw_Export!B1098),5,1)="-",DATE(LEFT(TRIM(Raw_Export!B1098),4),MID(TRIM(Raw_Export!B1098),6,2),RIGHT(TRIM(Raw_Export!B1098),2)),DATE(RIGHT(TRIM(Raw_Export!B1098),4),MATCH(MID(TRIM(Raw_Export!B1098),4,3),{"Jan","Feb","Mar","Apr","May","Jun","Jul","Aug","Sep","Oct","Nov","Dec"},0),LEFT(TRIM(Raw_Export!B1098),2)))))</f>
        <v>46272</v>
      </c>
      <c r="C1098" s="36" t="str">
        <f aca="false">IF(Raw_Export!$A1098="","",IFERROR(VLOOKUP(LOWER(TRIM(Raw_Export!C1098)),Maps!$A$2:$B$20,2,FALSE()),"UNMAPPED"))</f>
        <v>Nairobi CBD</v>
      </c>
      <c r="D1098" s="36" t="str">
        <f aca="false">IF(Raw_Export!$A1098="","",IFERROR(VLOOKUP(LOWER(TRIM(Raw_Export!D1098)),Maps!$G$2:$I$80,2,FALSE()),"UNMAPPED"))</f>
        <v>Cooking Oil 1L</v>
      </c>
      <c r="E1098" s="36" t="str">
        <f aca="false">IF(Raw_Export!$A1098="","",IFERROR(VLOOKUP(LOWER(TRIM(Raw_Export!D1098)),Maps!$G$2:$I$80,3,FALSE()),"UNMAPPED"))</f>
        <v>Staples</v>
      </c>
      <c r="F1098" s="36" t="n">
        <f aca="false">IF(Raw_Export!$A1098="","",IFERROR(VALUE(TRIM(Raw_Export!E1098)),0))</f>
        <v>3</v>
      </c>
      <c r="G1098" s="38" t="n">
        <f aca="false">IF(Raw_Export!$A1098="","",IFERROR(VALUE(SUBSTITUTE(SUBSTITUTE(UPPER(TRIM(Raw_Export!F1098)),"KES",""),",","")),0))</f>
        <v>330</v>
      </c>
      <c r="H1098" s="38" t="n">
        <f aca="false">IF(Raw_Export!$A1098="","",F1098*G1098)</f>
        <v>990</v>
      </c>
      <c r="I1098" s="36" t="str">
        <f aca="false">IF(Raw_Export!$A1098="","",IFERROR(VLOOKUP(LOWER(TRIM(Raw_Export!H1098)),Maps!$D$2:$E$12,2,FALSE()),"Other"))</f>
        <v>Card</v>
      </c>
      <c r="J1098" s="36" t="str">
        <f aca="false">IF(Raw_Export!$A1098="","",IF(COUNTIF($A$2:A1098,A1098)&gt;1,"Duplicate",""))</f>
        <v/>
      </c>
      <c r="K1098" s="36" t="str">
        <f aca="false">IF(Raw_Export!$A1098="","",IF(J1098="Duplicate","Duplicate",IF(OR(C1098="UNMAPPED",D1098="UNMAPPED"),"Unmapped",IF(F1098=0,"Blank qty",IF(F1098&lt;0,"Return","OK")))))</f>
        <v>OK</v>
      </c>
      <c r="L1098" s="36" t="n">
        <f aca="false">IF(Raw_Export!$A1098="","",IF(OR(K1098="OK",K1098="Return"),1,0))</f>
        <v>1</v>
      </c>
      <c r="M1098" s="37" t="n">
        <f aca="false">IF(Raw_Export!$A1098="","",B1098-WEEKDAY(B1098,2)+1)</f>
        <v>46272</v>
      </c>
    </row>
    <row r="1099" customFormat="false" ht="15" hidden="false" customHeight="false" outlineLevel="0" collapsed="false">
      <c r="A1099" s="36" t="str">
        <f aca="false">IF(Raw_Export!$A1099="","",TRIM(Raw_Export!A1099))</f>
        <v>TXN-101078</v>
      </c>
      <c r="B1099" s="37" t="n">
        <f aca="false">IF(Raw_Export!$A1099="","",IF(ISNUMBER(Raw_Export!B1099),Raw_Export!B1099,IF(MID(TRIM(Raw_Export!B1099),5,1)="-",DATE(LEFT(TRIM(Raw_Export!B1099),4),MID(TRIM(Raw_Export!B1099),6,2),RIGHT(TRIM(Raw_Export!B1099),2)),DATE(RIGHT(TRIM(Raw_Export!B1099),4),MATCH(MID(TRIM(Raw_Export!B1099),4,3),{"Jan","Feb","Mar","Apr","May","Jun","Jul","Aug","Sep","Oct","Nov","Dec"},0),LEFT(TRIM(Raw_Export!B1099),2)))))</f>
        <v>46272</v>
      </c>
      <c r="C1099" s="36" t="str">
        <f aca="false">IF(Raw_Export!$A1099="","",IFERROR(VLOOKUP(LOWER(TRIM(Raw_Export!C1099)),Maps!$A$2:$B$20,2,FALSE()),"UNMAPPED"))</f>
        <v>Nairobi CBD</v>
      </c>
      <c r="D1099" s="36" t="str">
        <f aca="false">IF(Raw_Export!$A1099="","",IFERROR(VLOOKUP(LOWER(TRIM(Raw_Export!D1099)),Maps!$G$2:$I$80,2,FALSE()),"UNMAPPED"))</f>
        <v>Spaghetti 400g</v>
      </c>
      <c r="E1099" s="36" t="str">
        <f aca="false">IF(Raw_Export!$A1099="","",IFERROR(VLOOKUP(LOWER(TRIM(Raw_Export!D1099)),Maps!$G$2:$I$80,3,FALSE()),"UNMAPPED"))</f>
        <v>Staples</v>
      </c>
      <c r="F1099" s="36" t="n">
        <f aca="false">IF(Raw_Export!$A1099="","",IFERROR(VALUE(TRIM(Raw_Export!E1099)),0))</f>
        <v>1</v>
      </c>
      <c r="G1099" s="38" t="n">
        <f aca="false">IF(Raw_Export!$A1099="","",IFERROR(VALUE(SUBSTITUTE(SUBSTITUTE(UPPER(TRIM(Raw_Export!F1099)),"KES",""),",","")),0))</f>
        <v>110</v>
      </c>
      <c r="H1099" s="38" t="n">
        <f aca="false">IF(Raw_Export!$A1099="","",F1099*G1099)</f>
        <v>110</v>
      </c>
      <c r="I1099" s="36" t="str">
        <f aca="false">IF(Raw_Export!$A1099="","",IFERROR(VLOOKUP(LOWER(TRIM(Raw_Export!H1099)),Maps!$D$2:$E$12,2,FALSE()),"Other"))</f>
        <v>M-Pesa</v>
      </c>
      <c r="J1099" s="36" t="str">
        <f aca="false">IF(Raw_Export!$A1099="","",IF(COUNTIF($A$2:A1099,A1099)&gt;1,"Duplicate",""))</f>
        <v/>
      </c>
      <c r="K1099" s="36" t="str">
        <f aca="false">IF(Raw_Export!$A1099="","",IF(J1099="Duplicate","Duplicate",IF(OR(C1099="UNMAPPED",D1099="UNMAPPED"),"Unmapped",IF(F1099=0,"Blank qty",IF(F1099&lt;0,"Return","OK")))))</f>
        <v>OK</v>
      </c>
      <c r="L1099" s="36" t="n">
        <f aca="false">IF(Raw_Export!$A1099="","",IF(OR(K1099="OK",K1099="Return"),1,0))</f>
        <v>1</v>
      </c>
      <c r="M1099" s="37" t="n">
        <f aca="false">IF(Raw_Export!$A1099="","",B1099-WEEKDAY(B1099,2)+1)</f>
        <v>46272</v>
      </c>
    </row>
    <row r="1100" customFormat="false" ht="15" hidden="false" customHeight="false" outlineLevel="0" collapsed="false">
      <c r="A1100" s="36" t="str">
        <f aca="false">IF(Raw_Export!$A1100="","",TRIM(Raw_Export!A1100))</f>
        <v>TXN-101079</v>
      </c>
      <c r="B1100" s="37" t="n">
        <f aca="false">IF(Raw_Export!$A1100="","",IF(ISNUMBER(Raw_Export!B1100),Raw_Export!B1100,IF(MID(TRIM(Raw_Export!B1100),5,1)="-",DATE(LEFT(TRIM(Raw_Export!B1100),4),MID(TRIM(Raw_Export!B1100),6,2),RIGHT(TRIM(Raw_Export!B1100),2)),DATE(RIGHT(TRIM(Raw_Export!B1100),4),MATCH(MID(TRIM(Raw_Export!B1100),4,3),{"Jan","Feb","Mar","Apr","May","Jun","Jul","Aug","Sep","Oct","Nov","Dec"},0),LEFT(TRIM(Raw_Export!B1100),2)))))</f>
        <v>46272</v>
      </c>
      <c r="C1100" s="36" t="str">
        <f aca="false">IF(Raw_Export!$A1100="","",IFERROR(VLOOKUP(LOWER(TRIM(Raw_Export!C1100)),Maps!$A$2:$B$20,2,FALSE()),"UNMAPPED"))</f>
        <v>Nairobi CBD</v>
      </c>
      <c r="D1100" s="36" t="str">
        <f aca="false">IF(Raw_Export!$A1100="","",IFERROR(VLOOKUP(LOWER(TRIM(Raw_Export!D1100)),Maps!$G$2:$I$80,2,FALSE()),"UNMAPPED"))</f>
        <v>Cooking Oil 1L</v>
      </c>
      <c r="E1100" s="36" t="str">
        <f aca="false">IF(Raw_Export!$A1100="","",IFERROR(VLOOKUP(LOWER(TRIM(Raw_Export!D1100)),Maps!$G$2:$I$80,3,FALSE()),"UNMAPPED"))</f>
        <v>Staples</v>
      </c>
      <c r="F1100" s="36" t="n">
        <f aca="false">IF(Raw_Export!$A1100="","",IFERROR(VALUE(TRIM(Raw_Export!E1100)),0))</f>
        <v>2</v>
      </c>
      <c r="G1100" s="38" t="n">
        <f aca="false">IF(Raw_Export!$A1100="","",IFERROR(VALUE(SUBSTITUTE(SUBSTITUTE(UPPER(TRIM(Raw_Export!F1100)),"KES",""),",","")),0))</f>
        <v>330</v>
      </c>
      <c r="H1100" s="38" t="n">
        <f aca="false">IF(Raw_Export!$A1100="","",F1100*G1100)</f>
        <v>660</v>
      </c>
      <c r="I1100" s="36" t="str">
        <f aca="false">IF(Raw_Export!$A1100="","",IFERROR(VLOOKUP(LOWER(TRIM(Raw_Export!H1100)),Maps!$D$2:$E$12,2,FALSE()),"Other"))</f>
        <v>Cash</v>
      </c>
      <c r="J1100" s="36" t="str">
        <f aca="false">IF(Raw_Export!$A1100="","",IF(COUNTIF($A$2:A1100,A1100)&gt;1,"Duplicate",""))</f>
        <v/>
      </c>
      <c r="K1100" s="36" t="str">
        <f aca="false">IF(Raw_Export!$A1100="","",IF(J1100="Duplicate","Duplicate",IF(OR(C1100="UNMAPPED",D1100="UNMAPPED"),"Unmapped",IF(F1100=0,"Blank qty",IF(F1100&lt;0,"Return","OK")))))</f>
        <v>OK</v>
      </c>
      <c r="L1100" s="36" t="n">
        <f aca="false">IF(Raw_Export!$A1100="","",IF(OR(K1100="OK",K1100="Return"),1,0))</f>
        <v>1</v>
      </c>
      <c r="M1100" s="37" t="n">
        <f aca="false">IF(Raw_Export!$A1100="","",B1100-WEEKDAY(B1100,2)+1)</f>
        <v>46272</v>
      </c>
    </row>
    <row r="1101" customFormat="false" ht="15" hidden="false" customHeight="false" outlineLevel="0" collapsed="false">
      <c r="A1101" s="36" t="str">
        <f aca="false">IF(Raw_Export!$A1101="","",TRIM(Raw_Export!A1101))</f>
        <v>TXN-101080</v>
      </c>
      <c r="B1101" s="37" t="n">
        <f aca="false">IF(Raw_Export!$A1101="","",IF(ISNUMBER(Raw_Export!B1101),Raw_Export!B1101,IF(MID(TRIM(Raw_Export!B1101),5,1)="-",DATE(LEFT(TRIM(Raw_Export!B1101),4),MID(TRIM(Raw_Export!B1101),6,2),RIGHT(TRIM(Raw_Export!B1101),2)),DATE(RIGHT(TRIM(Raw_Export!B1101),4),MATCH(MID(TRIM(Raw_Export!B1101),4,3),{"Jan","Feb","Mar","Apr","May","Jun","Jul","Aug","Sep","Oct","Nov","Dec"},0),LEFT(TRIM(Raw_Export!B1101),2)))))</f>
        <v>46272</v>
      </c>
      <c r="C1101" s="36" t="str">
        <f aca="false">IF(Raw_Export!$A1101="","",IFERROR(VLOOKUP(LOWER(TRIM(Raw_Export!C1101)),Maps!$A$2:$B$20,2,FALSE()),"UNMAPPED"))</f>
        <v>Nairobi CBD</v>
      </c>
      <c r="D1101" s="36" t="str">
        <f aca="false">IF(Raw_Export!$A1101="","",IFERROR(VLOOKUP(LOWER(TRIM(Raw_Export!D1101)),Maps!$G$2:$I$80,2,FALSE()),"UNMAPPED"))</f>
        <v>Unga Pembe 2kg</v>
      </c>
      <c r="E1101" s="36" t="str">
        <f aca="false">IF(Raw_Export!$A1101="","",IFERROR(VLOOKUP(LOWER(TRIM(Raw_Export!D1101)),Maps!$G$2:$I$80,3,FALSE()),"UNMAPPED"))</f>
        <v>Staples</v>
      </c>
      <c r="F1101" s="36" t="n">
        <f aca="false">IF(Raw_Export!$A1101="","",IFERROR(VALUE(TRIM(Raw_Export!E1101)),0))</f>
        <v>4</v>
      </c>
      <c r="G1101" s="38" t="n">
        <f aca="false">IF(Raw_Export!$A1101="","",IFERROR(VALUE(SUBSTITUTE(SUBSTITUTE(UPPER(TRIM(Raw_Export!F1101)),"KES",""),",","")),0))</f>
        <v>190</v>
      </c>
      <c r="H1101" s="38" t="n">
        <f aca="false">IF(Raw_Export!$A1101="","",F1101*G1101)</f>
        <v>760</v>
      </c>
      <c r="I1101" s="36" t="str">
        <f aca="false">IF(Raw_Export!$A1101="","",IFERROR(VLOOKUP(LOWER(TRIM(Raw_Export!H1101)),Maps!$D$2:$E$12,2,FALSE()),"Other"))</f>
        <v>M-Pesa</v>
      </c>
      <c r="J1101" s="36" t="str">
        <f aca="false">IF(Raw_Export!$A1101="","",IF(COUNTIF($A$2:A1101,A1101)&gt;1,"Duplicate",""))</f>
        <v/>
      </c>
      <c r="K1101" s="36" t="str">
        <f aca="false">IF(Raw_Export!$A1101="","",IF(J1101="Duplicate","Duplicate",IF(OR(C1101="UNMAPPED",D1101="UNMAPPED"),"Unmapped",IF(F1101=0,"Blank qty",IF(F1101&lt;0,"Return","OK")))))</f>
        <v>OK</v>
      </c>
      <c r="L1101" s="36" t="n">
        <f aca="false">IF(Raw_Export!$A1101="","",IF(OR(K1101="OK",K1101="Return"),1,0))</f>
        <v>1</v>
      </c>
      <c r="M1101" s="37" t="n">
        <f aca="false">IF(Raw_Export!$A1101="","",B1101-WEEKDAY(B1101,2)+1)</f>
        <v>46272</v>
      </c>
    </row>
    <row r="1102" customFormat="false" ht="15" hidden="false" customHeight="false" outlineLevel="0" collapsed="false">
      <c r="A1102" s="36" t="str">
        <f aca="false">IF(Raw_Export!$A1102="","",TRIM(Raw_Export!A1102))</f>
        <v>TXN-101081</v>
      </c>
      <c r="B1102" s="37" t="n">
        <f aca="false">IF(Raw_Export!$A1102="","",IF(ISNUMBER(Raw_Export!B1102),Raw_Export!B1102,IF(MID(TRIM(Raw_Export!B1102),5,1)="-",DATE(LEFT(TRIM(Raw_Export!B1102),4),MID(TRIM(Raw_Export!B1102),6,2),RIGHT(TRIM(Raw_Export!B1102),2)),DATE(RIGHT(TRIM(Raw_Export!B1102),4),MATCH(MID(TRIM(Raw_Export!B1102),4,3),{"Jan","Feb","Mar","Apr","May","Jun","Jul","Aug","Sep","Oct","Nov","Dec"},0),LEFT(TRIM(Raw_Export!B1102),2)))))</f>
        <v>46272</v>
      </c>
      <c r="C1102" s="36" t="str">
        <f aca="false">IF(Raw_Export!$A1102="","",IFERROR(VLOOKUP(LOWER(TRIM(Raw_Export!C1102)),Maps!$A$2:$B$20,2,FALSE()),"UNMAPPED"))</f>
        <v>Nairobi CBD</v>
      </c>
      <c r="D1102" s="36" t="str">
        <f aca="false">IF(Raw_Export!$A1102="","",IFERROR(VLOOKUP(LOWER(TRIM(Raw_Export!D1102)),Maps!$G$2:$I$80,2,FALSE()),"UNMAPPED"))</f>
        <v>Butter 250g</v>
      </c>
      <c r="E1102" s="36" t="str">
        <f aca="false">IF(Raw_Export!$A1102="","",IFERROR(VLOOKUP(LOWER(TRIM(Raw_Export!D1102)),Maps!$G$2:$I$80,3,FALSE()),"UNMAPPED"))</f>
        <v>Dairy &amp; Eggs</v>
      </c>
      <c r="F1102" s="36" t="n">
        <f aca="false">IF(Raw_Export!$A1102="","",IFERROR(VALUE(TRIM(Raw_Export!E1102)),0))</f>
        <v>2</v>
      </c>
      <c r="G1102" s="38" t="n">
        <f aca="false">IF(Raw_Export!$A1102="","",IFERROR(VALUE(SUBSTITUTE(SUBSTITUTE(UPPER(TRIM(Raw_Export!F1102)),"KES",""),",","")),0))</f>
        <v>310</v>
      </c>
      <c r="H1102" s="38" t="n">
        <f aca="false">IF(Raw_Export!$A1102="","",F1102*G1102)</f>
        <v>620</v>
      </c>
      <c r="I1102" s="36" t="str">
        <f aca="false">IF(Raw_Export!$A1102="","",IFERROR(VLOOKUP(LOWER(TRIM(Raw_Export!H1102)),Maps!$D$2:$E$12,2,FALSE()),"Other"))</f>
        <v>Card</v>
      </c>
      <c r="J1102" s="36" t="str">
        <f aca="false">IF(Raw_Export!$A1102="","",IF(COUNTIF($A$2:A1102,A1102)&gt;1,"Duplicate",""))</f>
        <v/>
      </c>
      <c r="K1102" s="36" t="str">
        <f aca="false">IF(Raw_Export!$A1102="","",IF(J1102="Duplicate","Duplicate",IF(OR(C1102="UNMAPPED",D1102="UNMAPPED"),"Unmapped",IF(F1102=0,"Blank qty",IF(F1102&lt;0,"Return","OK")))))</f>
        <v>OK</v>
      </c>
      <c r="L1102" s="36" t="n">
        <f aca="false">IF(Raw_Export!$A1102="","",IF(OR(K1102="OK",K1102="Return"),1,0))</f>
        <v>1</v>
      </c>
      <c r="M1102" s="37" t="n">
        <f aca="false">IF(Raw_Export!$A1102="","",B1102-WEEKDAY(B1102,2)+1)</f>
        <v>46272</v>
      </c>
    </row>
    <row r="1103" customFormat="false" ht="15" hidden="false" customHeight="false" outlineLevel="0" collapsed="false">
      <c r="A1103" s="36" t="str">
        <f aca="false">IF(Raw_Export!$A1103="","",TRIM(Raw_Export!A1103))</f>
        <v>TXN-101082</v>
      </c>
      <c r="B1103" s="37" t="n">
        <f aca="false">IF(Raw_Export!$A1103="","",IF(ISNUMBER(Raw_Export!B1103),Raw_Export!B1103,IF(MID(TRIM(Raw_Export!B1103),5,1)="-",DATE(LEFT(TRIM(Raw_Export!B1103),4),MID(TRIM(Raw_Export!B1103),6,2),RIGHT(TRIM(Raw_Export!B1103),2)),DATE(RIGHT(TRIM(Raw_Export!B1103),4),MATCH(MID(TRIM(Raw_Export!B1103),4,3),{"Jan","Feb","Mar","Apr","May","Jun","Jul","Aug","Sep","Oct","Nov","Dec"},0),LEFT(TRIM(Raw_Export!B1103),2)))))</f>
        <v>46272</v>
      </c>
      <c r="C1103" s="36" t="str">
        <f aca="false">IF(Raw_Export!$A1103="","",IFERROR(VLOOKUP(LOWER(TRIM(Raw_Export!C1103)),Maps!$A$2:$B$20,2,FALSE()),"UNMAPPED"))</f>
        <v>Nairobi CBD</v>
      </c>
      <c r="D1103" s="36" t="str">
        <f aca="false">IF(Raw_Export!$A1103="","",IFERROR(VLOOKUP(LOWER(TRIM(Raw_Export!D1103)),Maps!$G$2:$I$80,2,FALSE()),"UNMAPPED"))</f>
        <v>Salt 500g</v>
      </c>
      <c r="E1103" s="36" t="str">
        <f aca="false">IF(Raw_Export!$A1103="","",IFERROR(VLOOKUP(LOWER(TRIM(Raw_Export!D1103)),Maps!$G$2:$I$80,3,FALSE()),"UNMAPPED"))</f>
        <v>Staples</v>
      </c>
      <c r="F1103" s="36" t="n">
        <f aca="false">IF(Raw_Export!$A1103="","",IFERROR(VALUE(TRIM(Raw_Export!E1103)),0))</f>
        <v>4</v>
      </c>
      <c r="G1103" s="38" t="n">
        <f aca="false">IF(Raw_Export!$A1103="","",IFERROR(VALUE(SUBSTITUTE(SUBSTITUTE(UPPER(TRIM(Raw_Export!F1103)),"KES",""),",","")),0))</f>
        <v>40</v>
      </c>
      <c r="H1103" s="38" t="n">
        <f aca="false">IF(Raw_Export!$A1103="","",F1103*G1103)</f>
        <v>160</v>
      </c>
      <c r="I1103" s="36" t="str">
        <f aca="false">IF(Raw_Export!$A1103="","",IFERROR(VLOOKUP(LOWER(TRIM(Raw_Export!H1103)),Maps!$D$2:$E$12,2,FALSE()),"Other"))</f>
        <v>Cash</v>
      </c>
      <c r="J1103" s="36" t="str">
        <f aca="false">IF(Raw_Export!$A1103="","",IF(COUNTIF($A$2:A1103,A1103)&gt;1,"Duplicate",""))</f>
        <v/>
      </c>
      <c r="K1103" s="36" t="str">
        <f aca="false">IF(Raw_Export!$A1103="","",IF(J1103="Duplicate","Duplicate",IF(OR(C1103="UNMAPPED",D1103="UNMAPPED"),"Unmapped",IF(F1103=0,"Blank qty",IF(F1103&lt;0,"Return","OK")))))</f>
        <v>OK</v>
      </c>
      <c r="L1103" s="36" t="n">
        <f aca="false">IF(Raw_Export!$A1103="","",IF(OR(K1103="OK",K1103="Return"),1,0))</f>
        <v>1</v>
      </c>
      <c r="M1103" s="37" t="n">
        <f aca="false">IF(Raw_Export!$A1103="","",B1103-WEEKDAY(B1103,2)+1)</f>
        <v>46272</v>
      </c>
    </row>
    <row r="1104" customFormat="false" ht="15" hidden="false" customHeight="false" outlineLevel="0" collapsed="false">
      <c r="A1104" s="36" t="str">
        <f aca="false">IF(Raw_Export!$A1104="","",TRIM(Raw_Export!A1104))</f>
        <v>TXN-101083</v>
      </c>
      <c r="B1104" s="37" t="n">
        <f aca="false">IF(Raw_Export!$A1104="","",IF(ISNUMBER(Raw_Export!B1104),Raw_Export!B1104,IF(MID(TRIM(Raw_Export!B1104),5,1)="-",DATE(LEFT(TRIM(Raw_Export!B1104),4),MID(TRIM(Raw_Export!B1104),6,2),RIGHT(TRIM(Raw_Export!B1104),2)),DATE(RIGHT(TRIM(Raw_Export!B1104),4),MATCH(MID(TRIM(Raw_Export!B1104),4,3),{"Jan","Feb","Mar","Apr","May","Jun","Jul","Aug","Sep","Oct","Nov","Dec"},0),LEFT(TRIM(Raw_Export!B1104),2)))))</f>
        <v>46272</v>
      </c>
      <c r="C1104" s="36" t="str">
        <f aca="false">IF(Raw_Export!$A1104="","",IFERROR(VLOOKUP(LOWER(TRIM(Raw_Export!C1104)),Maps!$A$2:$B$20,2,FALSE()),"UNMAPPED"))</f>
        <v>Nairobi CBD</v>
      </c>
      <c r="D1104" s="36" t="str">
        <f aca="false">IF(Raw_Export!$A1104="","",IFERROR(VLOOKUP(LOWER(TRIM(Raw_Export!D1104)),Maps!$G$2:$I$80,2,FALSE()),"UNMAPPED"))</f>
        <v>Sugar 2kg</v>
      </c>
      <c r="E1104" s="36" t="str">
        <f aca="false">IF(Raw_Export!$A1104="","",IFERROR(VLOOKUP(LOWER(TRIM(Raw_Export!D1104)),Maps!$G$2:$I$80,3,FALSE()),"UNMAPPED"))</f>
        <v>Staples</v>
      </c>
      <c r="F1104" s="36" t="n">
        <f aca="false">IF(Raw_Export!$A1104="","",IFERROR(VALUE(TRIM(Raw_Export!E1104)),0))</f>
        <v>1</v>
      </c>
      <c r="G1104" s="38" t="n">
        <f aca="false">IF(Raw_Export!$A1104="","",IFERROR(VALUE(SUBSTITUTE(SUBSTITUTE(UPPER(TRIM(Raw_Export!F1104)),"KES",""),",","")),0))</f>
        <v>330</v>
      </c>
      <c r="H1104" s="38" t="n">
        <f aca="false">IF(Raw_Export!$A1104="","",F1104*G1104)</f>
        <v>330</v>
      </c>
      <c r="I1104" s="36" t="str">
        <f aca="false">IF(Raw_Export!$A1104="","",IFERROR(VLOOKUP(LOWER(TRIM(Raw_Export!H1104)),Maps!$D$2:$E$12,2,FALSE()),"Other"))</f>
        <v>Cash</v>
      </c>
      <c r="J1104" s="36" t="str">
        <f aca="false">IF(Raw_Export!$A1104="","",IF(COUNTIF($A$2:A1104,A1104)&gt;1,"Duplicate",""))</f>
        <v/>
      </c>
      <c r="K1104" s="36" t="str">
        <f aca="false">IF(Raw_Export!$A1104="","",IF(J1104="Duplicate","Duplicate",IF(OR(C1104="UNMAPPED",D1104="UNMAPPED"),"Unmapped",IF(F1104=0,"Blank qty",IF(F1104&lt;0,"Return","OK")))))</f>
        <v>OK</v>
      </c>
      <c r="L1104" s="36" t="n">
        <f aca="false">IF(Raw_Export!$A1104="","",IF(OR(K1104="OK",K1104="Return"),1,0))</f>
        <v>1</v>
      </c>
      <c r="M1104" s="37" t="n">
        <f aca="false">IF(Raw_Export!$A1104="","",B1104-WEEKDAY(B1104,2)+1)</f>
        <v>46272</v>
      </c>
    </row>
    <row r="1105" customFormat="false" ht="15" hidden="false" customHeight="false" outlineLevel="0" collapsed="false">
      <c r="A1105" s="36" t="str">
        <f aca="false">IF(Raw_Export!$A1105="","",TRIM(Raw_Export!A1105))</f>
        <v>TXN-101084</v>
      </c>
      <c r="B1105" s="37" t="n">
        <f aca="false">IF(Raw_Export!$A1105="","",IF(ISNUMBER(Raw_Export!B1105),Raw_Export!B1105,IF(MID(TRIM(Raw_Export!B1105),5,1)="-",DATE(LEFT(TRIM(Raw_Export!B1105),4),MID(TRIM(Raw_Export!B1105),6,2),RIGHT(TRIM(Raw_Export!B1105),2)),DATE(RIGHT(TRIM(Raw_Export!B1105),4),MATCH(MID(TRIM(Raw_Export!B1105),4,3),{"Jan","Feb","Mar","Apr","May","Jun","Jul","Aug","Sep","Oct","Nov","Dec"},0),LEFT(TRIM(Raw_Export!B1105),2)))))</f>
        <v>46272</v>
      </c>
      <c r="C1105" s="36" t="str">
        <f aca="false">IF(Raw_Export!$A1105="","",IFERROR(VLOOKUP(LOWER(TRIM(Raw_Export!C1105)),Maps!$A$2:$B$20,2,FALSE()),"UNMAPPED"))</f>
        <v>Nairobi CBD</v>
      </c>
      <c r="D1105" s="36" t="str">
        <f aca="false">IF(Raw_Export!$A1105="","",IFERROR(VLOOKUP(LOWER(TRIM(Raw_Export!D1105)),Maps!$G$2:$I$80,2,FALSE()),"UNMAPPED"))</f>
        <v>Coffee 100g</v>
      </c>
      <c r="E1105" s="36" t="str">
        <f aca="false">IF(Raw_Export!$A1105="","",IFERROR(VLOOKUP(LOWER(TRIM(Raw_Export!D1105)),Maps!$G$2:$I$80,3,FALSE()),"UNMAPPED"))</f>
        <v>Beverages</v>
      </c>
      <c r="F1105" s="36" t="n">
        <f aca="false">IF(Raw_Export!$A1105="","",IFERROR(VALUE(TRIM(Raw_Export!E1105)),0))</f>
        <v>6</v>
      </c>
      <c r="G1105" s="38" t="n">
        <f aca="false">IF(Raw_Export!$A1105="","",IFERROR(VALUE(SUBSTITUTE(SUBSTITUTE(UPPER(TRIM(Raw_Export!F1105)),"KES",""),",","")),0))</f>
        <v>360</v>
      </c>
      <c r="H1105" s="38" t="n">
        <f aca="false">IF(Raw_Export!$A1105="","",F1105*G1105)</f>
        <v>2160</v>
      </c>
      <c r="I1105" s="36" t="str">
        <f aca="false">IF(Raw_Export!$A1105="","",IFERROR(VLOOKUP(LOWER(TRIM(Raw_Export!H1105)),Maps!$D$2:$E$12,2,FALSE()),"Other"))</f>
        <v>Cash</v>
      </c>
      <c r="J1105" s="36" t="str">
        <f aca="false">IF(Raw_Export!$A1105="","",IF(COUNTIF($A$2:A1105,A1105)&gt;1,"Duplicate",""))</f>
        <v/>
      </c>
      <c r="K1105" s="36" t="str">
        <f aca="false">IF(Raw_Export!$A1105="","",IF(J1105="Duplicate","Duplicate",IF(OR(C1105="UNMAPPED",D1105="UNMAPPED"),"Unmapped",IF(F1105=0,"Blank qty",IF(F1105&lt;0,"Return","OK")))))</f>
        <v>OK</v>
      </c>
      <c r="L1105" s="36" t="n">
        <f aca="false">IF(Raw_Export!$A1105="","",IF(OR(K1105="OK",K1105="Return"),1,0))</f>
        <v>1</v>
      </c>
      <c r="M1105" s="37" t="n">
        <f aca="false">IF(Raw_Export!$A1105="","",B1105-WEEKDAY(B1105,2)+1)</f>
        <v>46272</v>
      </c>
    </row>
    <row r="1106" customFormat="false" ht="15" hidden="false" customHeight="false" outlineLevel="0" collapsed="false">
      <c r="A1106" s="36" t="str">
        <f aca="false">IF(Raw_Export!$A1106="","",TRIM(Raw_Export!A1106))</f>
        <v>TXN-101085</v>
      </c>
      <c r="B1106" s="37" t="n">
        <f aca="false">IF(Raw_Export!$A1106="","",IF(ISNUMBER(Raw_Export!B1106),Raw_Export!B1106,IF(MID(TRIM(Raw_Export!B1106),5,1)="-",DATE(LEFT(TRIM(Raw_Export!B1106),4),MID(TRIM(Raw_Export!B1106),6,2),RIGHT(TRIM(Raw_Export!B1106),2)),DATE(RIGHT(TRIM(Raw_Export!B1106),4),MATCH(MID(TRIM(Raw_Export!B1106),4,3),{"Jan","Feb","Mar","Apr","May","Jun","Jul","Aug","Sep","Oct","Nov","Dec"},0),LEFT(TRIM(Raw_Export!B1106),2)))))</f>
        <v>46272</v>
      </c>
      <c r="C1106" s="36" t="str">
        <f aca="false">IF(Raw_Export!$A1106="","",IFERROR(VLOOKUP(LOWER(TRIM(Raw_Export!C1106)),Maps!$A$2:$B$20,2,FALSE()),"UNMAPPED"))</f>
        <v>Nairobi CBD</v>
      </c>
      <c r="D1106" s="36" t="str">
        <f aca="false">IF(Raw_Export!$A1106="","",IFERROR(VLOOKUP(LOWER(TRIM(Raw_Export!D1106)),Maps!$G$2:$I$80,2,FALSE()),"UNMAPPED"))</f>
        <v>Cooking Oil 1L</v>
      </c>
      <c r="E1106" s="36" t="str">
        <f aca="false">IF(Raw_Export!$A1106="","",IFERROR(VLOOKUP(LOWER(TRIM(Raw_Export!D1106)),Maps!$G$2:$I$80,3,FALSE()),"UNMAPPED"))</f>
        <v>Staples</v>
      </c>
      <c r="F1106" s="36" t="n">
        <f aca="false">IF(Raw_Export!$A1106="","",IFERROR(VALUE(TRIM(Raw_Export!E1106)),0))</f>
        <v>1</v>
      </c>
      <c r="G1106" s="38" t="n">
        <f aca="false">IF(Raw_Export!$A1106="","",IFERROR(VALUE(SUBSTITUTE(SUBSTITUTE(UPPER(TRIM(Raw_Export!F1106)),"KES",""),",","")),0))</f>
        <v>330</v>
      </c>
      <c r="H1106" s="38" t="n">
        <f aca="false">IF(Raw_Export!$A1106="","",F1106*G1106)</f>
        <v>330</v>
      </c>
      <c r="I1106" s="36" t="str">
        <f aca="false">IF(Raw_Export!$A1106="","",IFERROR(VLOOKUP(LOWER(TRIM(Raw_Export!H1106)),Maps!$D$2:$E$12,2,FALSE()),"Other"))</f>
        <v>M-Pesa</v>
      </c>
      <c r="J1106" s="36" t="str">
        <f aca="false">IF(Raw_Export!$A1106="","",IF(COUNTIF($A$2:A1106,A1106)&gt;1,"Duplicate",""))</f>
        <v/>
      </c>
      <c r="K1106" s="36" t="str">
        <f aca="false">IF(Raw_Export!$A1106="","",IF(J1106="Duplicate","Duplicate",IF(OR(C1106="UNMAPPED",D1106="UNMAPPED"),"Unmapped",IF(F1106=0,"Blank qty",IF(F1106&lt;0,"Return","OK")))))</f>
        <v>OK</v>
      </c>
      <c r="L1106" s="36" t="n">
        <f aca="false">IF(Raw_Export!$A1106="","",IF(OR(K1106="OK",K1106="Return"),1,0))</f>
        <v>1</v>
      </c>
      <c r="M1106" s="37" t="n">
        <f aca="false">IF(Raw_Export!$A1106="","",B1106-WEEKDAY(B1106,2)+1)</f>
        <v>46272</v>
      </c>
    </row>
    <row r="1107" customFormat="false" ht="15" hidden="false" customHeight="false" outlineLevel="0" collapsed="false">
      <c r="A1107" s="36" t="str">
        <f aca="false">IF(Raw_Export!$A1107="","",TRIM(Raw_Export!A1107))</f>
        <v>TXN-101086</v>
      </c>
      <c r="B1107" s="37" t="n">
        <f aca="false">IF(Raw_Export!$A1107="","",IF(ISNUMBER(Raw_Export!B1107),Raw_Export!B1107,IF(MID(TRIM(Raw_Export!B1107),5,1)="-",DATE(LEFT(TRIM(Raw_Export!B1107),4),MID(TRIM(Raw_Export!B1107),6,2),RIGHT(TRIM(Raw_Export!B1107),2)),DATE(RIGHT(TRIM(Raw_Export!B1107),4),MATCH(MID(TRIM(Raw_Export!B1107),4,3),{"Jan","Feb","Mar","Apr","May","Jun","Jul","Aug","Sep","Oct","Nov","Dec"},0),LEFT(TRIM(Raw_Export!B1107),2)))))</f>
        <v>46272</v>
      </c>
      <c r="C1107" s="36" t="str">
        <f aca="false">IF(Raw_Export!$A1107="","",IFERROR(VLOOKUP(LOWER(TRIM(Raw_Export!C1107)),Maps!$A$2:$B$20,2,FALSE()),"UNMAPPED"))</f>
        <v>Nairobi CBD</v>
      </c>
      <c r="D1107" s="36" t="str">
        <f aca="false">IF(Raw_Export!$A1107="","",IFERROR(VLOOKUP(LOWER(TRIM(Raw_Export!D1107)),Maps!$G$2:$I$80,2,FALSE()),"UNMAPPED"))</f>
        <v>Chocolate Bar 90g</v>
      </c>
      <c r="E1107" s="36" t="str">
        <f aca="false">IF(Raw_Export!$A1107="","",IFERROR(VLOOKUP(LOWER(TRIM(Raw_Export!D1107)),Maps!$G$2:$I$80,3,FALSE()),"UNMAPPED"))</f>
        <v>Snacks</v>
      </c>
      <c r="F1107" s="36" t="n">
        <f aca="false">IF(Raw_Export!$A1107="","",IFERROR(VALUE(TRIM(Raw_Export!E1107)),0))</f>
        <v>3</v>
      </c>
      <c r="G1107" s="38" t="n">
        <f aca="false">IF(Raw_Export!$A1107="","",IFERROR(VALUE(SUBSTITUTE(SUBSTITUTE(UPPER(TRIM(Raw_Export!F1107)),"KES",""),",","")),0))</f>
        <v>140</v>
      </c>
      <c r="H1107" s="38" t="n">
        <f aca="false">IF(Raw_Export!$A1107="","",F1107*G1107)</f>
        <v>420</v>
      </c>
      <c r="I1107" s="36" t="str">
        <f aca="false">IF(Raw_Export!$A1107="","",IFERROR(VLOOKUP(LOWER(TRIM(Raw_Export!H1107)),Maps!$D$2:$E$12,2,FALSE()),"Other"))</f>
        <v>M-Pesa</v>
      </c>
      <c r="J1107" s="36" t="str">
        <f aca="false">IF(Raw_Export!$A1107="","",IF(COUNTIF($A$2:A1107,A1107)&gt;1,"Duplicate",""))</f>
        <v/>
      </c>
      <c r="K1107" s="36" t="str">
        <f aca="false">IF(Raw_Export!$A1107="","",IF(J1107="Duplicate","Duplicate",IF(OR(C1107="UNMAPPED",D1107="UNMAPPED"),"Unmapped",IF(F1107=0,"Blank qty",IF(F1107&lt;0,"Return","OK")))))</f>
        <v>OK</v>
      </c>
      <c r="L1107" s="36" t="n">
        <f aca="false">IF(Raw_Export!$A1107="","",IF(OR(K1107="OK",K1107="Return"),1,0))</f>
        <v>1</v>
      </c>
      <c r="M1107" s="37" t="n">
        <f aca="false">IF(Raw_Export!$A1107="","",B1107-WEEKDAY(B1107,2)+1)</f>
        <v>46272</v>
      </c>
    </row>
    <row r="1108" customFormat="false" ht="15" hidden="false" customHeight="false" outlineLevel="0" collapsed="false">
      <c r="A1108" s="36" t="str">
        <f aca="false">IF(Raw_Export!$A1108="","",TRIM(Raw_Export!A1108))</f>
        <v>TXN-101087</v>
      </c>
      <c r="B1108" s="37" t="n">
        <f aca="false">IF(Raw_Export!$A1108="","",IF(ISNUMBER(Raw_Export!B1108),Raw_Export!B1108,IF(MID(TRIM(Raw_Export!B1108),5,1)="-",DATE(LEFT(TRIM(Raw_Export!B1108),4),MID(TRIM(Raw_Export!B1108),6,2),RIGHT(TRIM(Raw_Export!B1108),2)),DATE(RIGHT(TRIM(Raw_Export!B1108),4),MATCH(MID(TRIM(Raw_Export!B1108),4,3),{"Jan","Feb","Mar","Apr","May","Jun","Jul","Aug","Sep","Oct","Nov","Dec"},0),LEFT(TRIM(Raw_Export!B1108),2)))))</f>
        <v>46272</v>
      </c>
      <c r="C1108" s="36" t="str">
        <f aca="false">IF(Raw_Export!$A1108="","",IFERROR(VLOOKUP(LOWER(TRIM(Raw_Export!C1108)),Maps!$A$2:$B$20,2,FALSE()),"UNMAPPED"))</f>
        <v>Nairobi CBD</v>
      </c>
      <c r="D1108" s="36" t="str">
        <f aca="false">IF(Raw_Export!$A1108="","",IFERROR(VLOOKUP(LOWER(TRIM(Raw_Export!D1108)),Maps!$G$2:$I$80,2,FALSE()),"UNMAPPED"))</f>
        <v>Juice 1L</v>
      </c>
      <c r="E1108" s="36" t="str">
        <f aca="false">IF(Raw_Export!$A1108="","",IFERROR(VLOOKUP(LOWER(TRIM(Raw_Export!D1108)),Maps!$G$2:$I$80,3,FALSE()),"UNMAPPED"))</f>
        <v>Beverages</v>
      </c>
      <c r="F1108" s="36" t="n">
        <f aca="false">IF(Raw_Export!$A1108="","",IFERROR(VALUE(TRIM(Raw_Export!E1108)),0))</f>
        <v>1</v>
      </c>
      <c r="G1108" s="38" t="n">
        <f aca="false">IF(Raw_Export!$A1108="","",IFERROR(VALUE(SUBSTITUTE(SUBSTITUTE(UPPER(TRIM(Raw_Export!F1108)),"KES",""),",","")),0))</f>
        <v>210</v>
      </c>
      <c r="H1108" s="38" t="n">
        <f aca="false">IF(Raw_Export!$A1108="","",F1108*G1108)</f>
        <v>210</v>
      </c>
      <c r="I1108" s="36" t="str">
        <f aca="false">IF(Raw_Export!$A1108="","",IFERROR(VLOOKUP(LOWER(TRIM(Raw_Export!H1108)),Maps!$D$2:$E$12,2,FALSE()),"Other"))</f>
        <v>Cash</v>
      </c>
      <c r="J1108" s="36" t="str">
        <f aca="false">IF(Raw_Export!$A1108="","",IF(COUNTIF($A$2:A1108,A1108)&gt;1,"Duplicate",""))</f>
        <v/>
      </c>
      <c r="K1108" s="36" t="str">
        <f aca="false">IF(Raw_Export!$A1108="","",IF(J1108="Duplicate","Duplicate",IF(OR(C1108="UNMAPPED",D1108="UNMAPPED"),"Unmapped",IF(F1108=0,"Blank qty",IF(F1108&lt;0,"Return","OK")))))</f>
        <v>OK</v>
      </c>
      <c r="L1108" s="36" t="n">
        <f aca="false">IF(Raw_Export!$A1108="","",IF(OR(K1108="OK",K1108="Return"),1,0))</f>
        <v>1</v>
      </c>
      <c r="M1108" s="37" t="n">
        <f aca="false">IF(Raw_Export!$A1108="","",B1108-WEEKDAY(B1108,2)+1)</f>
        <v>46272</v>
      </c>
    </row>
    <row r="1109" customFormat="false" ht="15" hidden="false" customHeight="false" outlineLevel="0" collapsed="false">
      <c r="A1109" s="36" t="str">
        <f aca="false">IF(Raw_Export!$A1109="","",TRIM(Raw_Export!A1109))</f>
        <v>TXN-101088</v>
      </c>
      <c r="B1109" s="37" t="n">
        <f aca="false">IF(Raw_Export!$A1109="","",IF(ISNUMBER(Raw_Export!B1109),Raw_Export!B1109,IF(MID(TRIM(Raw_Export!B1109),5,1)="-",DATE(LEFT(TRIM(Raw_Export!B1109),4),MID(TRIM(Raw_Export!B1109),6,2),RIGHT(TRIM(Raw_Export!B1109),2)),DATE(RIGHT(TRIM(Raw_Export!B1109),4),MATCH(MID(TRIM(Raw_Export!B1109),4,3),{"Jan","Feb","Mar","Apr","May","Jun","Jul","Aug","Sep","Oct","Nov","Dec"},0),LEFT(TRIM(Raw_Export!B1109),2)))))</f>
        <v>46272</v>
      </c>
      <c r="C1109" s="36" t="str">
        <f aca="false">IF(Raw_Export!$A1109="","",IFERROR(VLOOKUP(LOWER(TRIM(Raw_Export!C1109)),Maps!$A$2:$B$20,2,FALSE()),"UNMAPPED"))</f>
        <v>Nairobi CBD</v>
      </c>
      <c r="D1109" s="36" t="str">
        <f aca="false">IF(Raw_Export!$A1109="","",IFERROR(VLOOKUP(LOWER(TRIM(Raw_Export!D1109)),Maps!$G$2:$I$80,2,FALSE()),"UNMAPPED"))</f>
        <v>Unga Pembe 2kg</v>
      </c>
      <c r="E1109" s="36" t="str">
        <f aca="false">IF(Raw_Export!$A1109="","",IFERROR(VLOOKUP(LOWER(TRIM(Raw_Export!D1109)),Maps!$G$2:$I$80,3,FALSE()),"UNMAPPED"))</f>
        <v>Staples</v>
      </c>
      <c r="F1109" s="36" t="n">
        <f aca="false">IF(Raw_Export!$A1109="","",IFERROR(VALUE(TRIM(Raw_Export!E1109)),0))</f>
        <v>2</v>
      </c>
      <c r="G1109" s="38" t="n">
        <f aca="false">IF(Raw_Export!$A1109="","",IFERROR(VALUE(SUBSTITUTE(SUBSTITUTE(UPPER(TRIM(Raw_Export!F1109)),"KES",""),",","")),0))</f>
        <v>190</v>
      </c>
      <c r="H1109" s="38" t="n">
        <f aca="false">IF(Raw_Export!$A1109="","",F1109*G1109)</f>
        <v>380</v>
      </c>
      <c r="I1109" s="36" t="str">
        <f aca="false">IF(Raw_Export!$A1109="","",IFERROR(VLOOKUP(LOWER(TRIM(Raw_Export!H1109)),Maps!$D$2:$E$12,2,FALSE()),"Other"))</f>
        <v>M-Pesa</v>
      </c>
      <c r="J1109" s="36" t="str">
        <f aca="false">IF(Raw_Export!$A1109="","",IF(COUNTIF($A$2:A1109,A1109)&gt;1,"Duplicate",""))</f>
        <v/>
      </c>
      <c r="K1109" s="36" t="str">
        <f aca="false">IF(Raw_Export!$A1109="","",IF(J1109="Duplicate","Duplicate",IF(OR(C1109="UNMAPPED",D1109="UNMAPPED"),"Unmapped",IF(F1109=0,"Blank qty",IF(F1109&lt;0,"Return","OK")))))</f>
        <v>OK</v>
      </c>
      <c r="L1109" s="36" t="n">
        <f aca="false">IF(Raw_Export!$A1109="","",IF(OR(K1109="OK",K1109="Return"),1,0))</f>
        <v>1</v>
      </c>
      <c r="M1109" s="37" t="n">
        <f aca="false">IF(Raw_Export!$A1109="","",B1109-WEEKDAY(B1109,2)+1)</f>
        <v>46272</v>
      </c>
    </row>
    <row r="1110" customFormat="false" ht="15" hidden="false" customHeight="false" outlineLevel="0" collapsed="false">
      <c r="A1110" s="36" t="str">
        <f aca="false">IF(Raw_Export!$A1110="","",TRIM(Raw_Export!A1110))</f>
        <v>TXN-101089</v>
      </c>
      <c r="B1110" s="37" t="n">
        <f aca="false">IF(Raw_Export!$A1110="","",IF(ISNUMBER(Raw_Export!B1110),Raw_Export!B1110,IF(MID(TRIM(Raw_Export!B1110),5,1)="-",DATE(LEFT(TRIM(Raw_Export!B1110),4),MID(TRIM(Raw_Export!B1110),6,2),RIGHT(TRIM(Raw_Export!B1110),2)),DATE(RIGHT(TRIM(Raw_Export!B1110),4),MATCH(MID(TRIM(Raw_Export!B1110),4,3),{"Jan","Feb","Mar","Apr","May","Jun","Jul","Aug","Sep","Oct","Nov","Dec"},0),LEFT(TRIM(Raw_Export!B1110),2)))))</f>
        <v>46272</v>
      </c>
      <c r="C1110" s="36" t="str">
        <f aca="false">IF(Raw_Export!$A1110="","",IFERROR(VLOOKUP(LOWER(TRIM(Raw_Export!C1110)),Maps!$A$2:$B$20,2,FALSE()),"UNMAPPED"))</f>
        <v>Nairobi CBD</v>
      </c>
      <c r="D1110" s="36" t="str">
        <f aca="false">IF(Raw_Export!$A1110="","",IFERROR(VLOOKUP(LOWER(TRIM(Raw_Export!D1110)),Maps!$G$2:$I$80,2,FALSE()),"UNMAPPED"))</f>
        <v>Butter 250g</v>
      </c>
      <c r="E1110" s="36" t="str">
        <f aca="false">IF(Raw_Export!$A1110="","",IFERROR(VLOOKUP(LOWER(TRIM(Raw_Export!D1110)),Maps!$G$2:$I$80,3,FALSE()),"UNMAPPED"))</f>
        <v>Dairy &amp; Eggs</v>
      </c>
      <c r="F1110" s="36" t="n">
        <f aca="false">IF(Raw_Export!$A1110="","",IFERROR(VALUE(TRIM(Raw_Export!E1110)),0))</f>
        <v>1</v>
      </c>
      <c r="G1110" s="38" t="n">
        <f aca="false">IF(Raw_Export!$A1110="","",IFERROR(VALUE(SUBSTITUTE(SUBSTITUTE(UPPER(TRIM(Raw_Export!F1110)),"KES",""),",","")),0))</f>
        <v>279</v>
      </c>
      <c r="H1110" s="38" t="n">
        <f aca="false">IF(Raw_Export!$A1110="","",F1110*G1110)</f>
        <v>279</v>
      </c>
      <c r="I1110" s="36" t="str">
        <f aca="false">IF(Raw_Export!$A1110="","",IFERROR(VLOOKUP(LOWER(TRIM(Raw_Export!H1110)),Maps!$D$2:$E$12,2,FALSE()),"Other"))</f>
        <v>M-Pesa</v>
      </c>
      <c r="J1110" s="36" t="str">
        <f aca="false">IF(Raw_Export!$A1110="","",IF(COUNTIF($A$2:A1110,A1110)&gt;1,"Duplicate",""))</f>
        <v/>
      </c>
      <c r="K1110" s="36" t="str">
        <f aca="false">IF(Raw_Export!$A1110="","",IF(J1110="Duplicate","Duplicate",IF(OR(C1110="UNMAPPED",D1110="UNMAPPED"),"Unmapped",IF(F1110=0,"Blank qty",IF(F1110&lt;0,"Return","OK")))))</f>
        <v>OK</v>
      </c>
      <c r="L1110" s="36" t="n">
        <f aca="false">IF(Raw_Export!$A1110="","",IF(OR(K1110="OK",K1110="Return"),1,0))</f>
        <v>1</v>
      </c>
      <c r="M1110" s="37" t="n">
        <f aca="false">IF(Raw_Export!$A1110="","",B1110-WEEKDAY(B1110,2)+1)</f>
        <v>46272</v>
      </c>
    </row>
    <row r="1111" customFormat="false" ht="15" hidden="false" customHeight="false" outlineLevel="0" collapsed="false">
      <c r="A1111" s="36" t="str">
        <f aca="false">IF(Raw_Export!$A1111="","",TRIM(Raw_Export!A1111))</f>
        <v>TXN-101090</v>
      </c>
      <c r="B1111" s="37" t="n">
        <f aca="false">IF(Raw_Export!$A1111="","",IF(ISNUMBER(Raw_Export!B1111),Raw_Export!B1111,IF(MID(TRIM(Raw_Export!B1111),5,1)="-",DATE(LEFT(TRIM(Raw_Export!B1111),4),MID(TRIM(Raw_Export!B1111),6,2),RIGHT(TRIM(Raw_Export!B1111),2)),DATE(RIGHT(TRIM(Raw_Export!B1111),4),MATCH(MID(TRIM(Raw_Export!B1111),4,3),{"Jan","Feb","Mar","Apr","May","Jun","Jul","Aug","Sep","Oct","Nov","Dec"},0),LEFT(TRIM(Raw_Export!B1111),2)))))</f>
        <v>46272</v>
      </c>
      <c r="C1111" s="36" t="str">
        <f aca="false">IF(Raw_Export!$A1111="","",IFERROR(VLOOKUP(LOWER(TRIM(Raw_Export!C1111)),Maps!$A$2:$B$20,2,FALSE()),"UNMAPPED"))</f>
        <v>Nairobi CBD</v>
      </c>
      <c r="D1111" s="36" t="str">
        <f aca="false">IF(Raw_Export!$A1111="","",IFERROR(VLOOKUP(LOWER(TRIM(Raw_Export!D1111)),Maps!$G$2:$I$80,2,FALSE()),"UNMAPPED"))</f>
        <v>Soda 500ml</v>
      </c>
      <c r="E1111" s="36" t="str">
        <f aca="false">IF(Raw_Export!$A1111="","",IFERROR(VLOOKUP(LOWER(TRIM(Raw_Export!D1111)),Maps!$G$2:$I$80,3,FALSE()),"UNMAPPED"))</f>
        <v>Beverages</v>
      </c>
      <c r="F1111" s="36" t="n">
        <f aca="false">IF(Raw_Export!$A1111="","",IFERROR(VALUE(TRIM(Raw_Export!E1111)),0))</f>
        <v>1</v>
      </c>
      <c r="G1111" s="38" t="n">
        <f aca="false">IF(Raw_Export!$A1111="","",IFERROR(VALUE(SUBSTITUTE(SUBSTITUTE(UPPER(TRIM(Raw_Export!F1111)),"KES",""),",","")),0))</f>
        <v>60</v>
      </c>
      <c r="H1111" s="38" t="n">
        <f aca="false">IF(Raw_Export!$A1111="","",F1111*G1111)</f>
        <v>60</v>
      </c>
      <c r="I1111" s="36" t="str">
        <f aca="false">IF(Raw_Export!$A1111="","",IFERROR(VLOOKUP(LOWER(TRIM(Raw_Export!H1111)),Maps!$D$2:$E$12,2,FALSE()),"Other"))</f>
        <v>M-Pesa</v>
      </c>
      <c r="J1111" s="36" t="str">
        <f aca="false">IF(Raw_Export!$A1111="","",IF(COUNTIF($A$2:A1111,A1111)&gt;1,"Duplicate",""))</f>
        <v/>
      </c>
      <c r="K1111" s="36" t="str">
        <f aca="false">IF(Raw_Export!$A1111="","",IF(J1111="Duplicate","Duplicate",IF(OR(C1111="UNMAPPED",D1111="UNMAPPED"),"Unmapped",IF(F1111=0,"Blank qty",IF(F1111&lt;0,"Return","OK")))))</f>
        <v>OK</v>
      </c>
      <c r="L1111" s="36" t="n">
        <f aca="false">IF(Raw_Export!$A1111="","",IF(OR(K1111="OK",K1111="Return"),1,0))</f>
        <v>1</v>
      </c>
      <c r="M1111" s="37" t="n">
        <f aca="false">IF(Raw_Export!$A1111="","",B1111-WEEKDAY(B1111,2)+1)</f>
        <v>46272</v>
      </c>
    </row>
    <row r="1112" customFormat="false" ht="15" hidden="false" customHeight="false" outlineLevel="0" collapsed="false">
      <c r="A1112" s="36" t="str">
        <f aca="false">IF(Raw_Export!$A1112="","",TRIM(Raw_Export!A1112))</f>
        <v>TXN-101091</v>
      </c>
      <c r="B1112" s="37" t="n">
        <f aca="false">IF(Raw_Export!$A1112="","",IF(ISNUMBER(Raw_Export!B1112),Raw_Export!B1112,IF(MID(TRIM(Raw_Export!B1112),5,1)="-",DATE(LEFT(TRIM(Raw_Export!B1112),4),MID(TRIM(Raw_Export!B1112),6,2),RIGHT(TRIM(Raw_Export!B1112),2)),DATE(RIGHT(TRIM(Raw_Export!B1112),4),MATCH(MID(TRIM(Raw_Export!B1112),4,3),{"Jan","Feb","Mar","Apr","May","Jun","Jul","Aug","Sep","Oct","Nov","Dec"},0),LEFT(TRIM(Raw_Export!B1112),2)))))</f>
        <v>46272</v>
      </c>
      <c r="C1112" s="36" t="str">
        <f aca="false">IF(Raw_Export!$A1112="","",IFERROR(VLOOKUP(LOWER(TRIM(Raw_Export!C1112)),Maps!$A$2:$B$20,2,FALSE()),"UNMAPPED"))</f>
        <v>Nairobi CBD</v>
      </c>
      <c r="D1112" s="36" t="str">
        <f aca="false">IF(Raw_Export!$A1112="","",IFERROR(VLOOKUP(LOWER(TRIM(Raw_Export!D1112)),Maps!$G$2:$I$80,2,FALSE()),"UNMAPPED"))</f>
        <v>Soda 500ml</v>
      </c>
      <c r="E1112" s="36" t="str">
        <f aca="false">IF(Raw_Export!$A1112="","",IFERROR(VLOOKUP(LOWER(TRIM(Raw_Export!D1112)),Maps!$G$2:$I$80,3,FALSE()),"UNMAPPED"))</f>
        <v>Beverages</v>
      </c>
      <c r="F1112" s="36" t="n">
        <f aca="false">IF(Raw_Export!$A1112="","",IFERROR(VALUE(TRIM(Raw_Export!E1112)),0))</f>
        <v>2</v>
      </c>
      <c r="G1112" s="38" t="n">
        <f aca="false">IF(Raw_Export!$A1112="","",IFERROR(VALUE(SUBSTITUTE(SUBSTITUTE(UPPER(TRIM(Raw_Export!F1112)),"KES",""),",","")),0))</f>
        <v>54</v>
      </c>
      <c r="H1112" s="38" t="n">
        <f aca="false">IF(Raw_Export!$A1112="","",F1112*G1112)</f>
        <v>108</v>
      </c>
      <c r="I1112" s="36" t="str">
        <f aca="false">IF(Raw_Export!$A1112="","",IFERROR(VLOOKUP(LOWER(TRIM(Raw_Export!H1112)),Maps!$D$2:$E$12,2,FALSE()),"Other"))</f>
        <v>M-Pesa</v>
      </c>
      <c r="J1112" s="36" t="str">
        <f aca="false">IF(Raw_Export!$A1112="","",IF(COUNTIF($A$2:A1112,A1112)&gt;1,"Duplicate",""))</f>
        <v/>
      </c>
      <c r="K1112" s="36" t="str">
        <f aca="false">IF(Raw_Export!$A1112="","",IF(J1112="Duplicate","Duplicate",IF(OR(C1112="UNMAPPED",D1112="UNMAPPED"),"Unmapped",IF(F1112=0,"Blank qty",IF(F1112&lt;0,"Return","OK")))))</f>
        <v>OK</v>
      </c>
      <c r="L1112" s="36" t="n">
        <f aca="false">IF(Raw_Export!$A1112="","",IF(OR(K1112="OK",K1112="Return"),1,0))</f>
        <v>1</v>
      </c>
      <c r="M1112" s="37" t="n">
        <f aca="false">IF(Raw_Export!$A1112="","",B1112-WEEKDAY(B1112,2)+1)</f>
        <v>46272</v>
      </c>
    </row>
    <row r="1113" customFormat="false" ht="15" hidden="false" customHeight="false" outlineLevel="0" collapsed="false">
      <c r="A1113" s="36" t="str">
        <f aca="false">IF(Raw_Export!$A1113="","",TRIM(Raw_Export!A1113))</f>
        <v>TXN-101092</v>
      </c>
      <c r="B1113" s="37" t="n">
        <f aca="false">IF(Raw_Export!$A1113="","",IF(ISNUMBER(Raw_Export!B1113),Raw_Export!B1113,IF(MID(TRIM(Raw_Export!B1113),5,1)="-",DATE(LEFT(TRIM(Raw_Export!B1113),4),MID(TRIM(Raw_Export!B1113),6,2),RIGHT(TRIM(Raw_Export!B1113),2)),DATE(RIGHT(TRIM(Raw_Export!B1113),4),MATCH(MID(TRIM(Raw_Export!B1113),4,3),{"Jan","Feb","Mar","Apr","May","Jun","Jul","Aug","Sep","Oct","Nov","Dec"},0),LEFT(TRIM(Raw_Export!B1113),2)))))</f>
        <v>46272</v>
      </c>
      <c r="C1113" s="36" t="str">
        <f aca="false">IF(Raw_Export!$A1113="","",IFERROR(VLOOKUP(LOWER(TRIM(Raw_Export!C1113)),Maps!$A$2:$B$20,2,FALSE()),"UNMAPPED"))</f>
        <v>Nairobi CBD</v>
      </c>
      <c r="D1113" s="36" t="str">
        <f aca="false">IF(Raw_Export!$A1113="","",IFERROR(VLOOKUP(LOWER(TRIM(Raw_Export!D1113)),Maps!$G$2:$I$80,2,FALSE()),"UNMAPPED"))</f>
        <v>Rice Pishori 2kg</v>
      </c>
      <c r="E1113" s="36" t="str">
        <f aca="false">IF(Raw_Export!$A1113="","",IFERROR(VLOOKUP(LOWER(TRIM(Raw_Export!D1113)),Maps!$G$2:$I$80,3,FALSE()),"UNMAPPED"))</f>
        <v>Staples</v>
      </c>
      <c r="F1113" s="36" t="n">
        <f aca="false">IF(Raw_Export!$A1113="","",IFERROR(VALUE(TRIM(Raw_Export!E1113)),0))</f>
        <v>1</v>
      </c>
      <c r="G1113" s="38" t="n">
        <f aca="false">IF(Raw_Export!$A1113="","",IFERROR(VALUE(SUBSTITUTE(SUBSTITUTE(UPPER(TRIM(Raw_Export!F1113)),"KES",""),",","")),0))</f>
        <v>420</v>
      </c>
      <c r="H1113" s="38" t="n">
        <f aca="false">IF(Raw_Export!$A1113="","",F1113*G1113)</f>
        <v>420</v>
      </c>
      <c r="I1113" s="36" t="str">
        <f aca="false">IF(Raw_Export!$A1113="","",IFERROR(VLOOKUP(LOWER(TRIM(Raw_Export!H1113)),Maps!$D$2:$E$12,2,FALSE()),"Other"))</f>
        <v>Cash</v>
      </c>
      <c r="J1113" s="36" t="str">
        <f aca="false">IF(Raw_Export!$A1113="","",IF(COUNTIF($A$2:A1113,A1113)&gt;1,"Duplicate",""))</f>
        <v/>
      </c>
      <c r="K1113" s="36" t="str">
        <f aca="false">IF(Raw_Export!$A1113="","",IF(J1113="Duplicate","Duplicate",IF(OR(C1113="UNMAPPED",D1113="UNMAPPED"),"Unmapped",IF(F1113=0,"Blank qty",IF(F1113&lt;0,"Return","OK")))))</f>
        <v>OK</v>
      </c>
      <c r="L1113" s="36" t="n">
        <f aca="false">IF(Raw_Export!$A1113="","",IF(OR(K1113="OK",K1113="Return"),1,0))</f>
        <v>1</v>
      </c>
      <c r="M1113" s="37" t="n">
        <f aca="false">IF(Raw_Export!$A1113="","",B1113-WEEKDAY(B1113,2)+1)</f>
        <v>46272</v>
      </c>
    </row>
    <row r="1114" customFormat="false" ht="15" hidden="false" customHeight="false" outlineLevel="0" collapsed="false">
      <c r="A1114" s="36" t="str">
        <f aca="false">IF(Raw_Export!$A1114="","",TRIM(Raw_Export!A1114))</f>
        <v>TXN-101093</v>
      </c>
      <c r="B1114" s="37" t="n">
        <f aca="false">IF(Raw_Export!$A1114="","",IF(ISNUMBER(Raw_Export!B1114),Raw_Export!B1114,IF(MID(TRIM(Raw_Export!B1114),5,1)="-",DATE(LEFT(TRIM(Raw_Export!B1114),4),MID(TRIM(Raw_Export!B1114),6,2),RIGHT(TRIM(Raw_Export!B1114),2)),DATE(RIGHT(TRIM(Raw_Export!B1114),4),MATCH(MID(TRIM(Raw_Export!B1114),4,3),{"Jan","Feb","Mar","Apr","May","Jun","Jul","Aug","Sep","Oct","Nov","Dec"},0),LEFT(TRIM(Raw_Export!B1114),2)))))</f>
        <v>46272</v>
      </c>
      <c r="C1114" s="36" t="str">
        <f aca="false">IF(Raw_Export!$A1114="","",IFERROR(VLOOKUP(LOWER(TRIM(Raw_Export!C1114)),Maps!$A$2:$B$20,2,FALSE()),"UNMAPPED"))</f>
        <v>Nairobi CBD</v>
      </c>
      <c r="D1114" s="36" t="str">
        <f aca="false">IF(Raw_Export!$A1114="","",IFERROR(VLOOKUP(LOWER(TRIM(Raw_Export!D1114)),Maps!$G$2:$I$80,2,FALSE()),"UNMAPPED"))</f>
        <v>Washing Powder 1kg</v>
      </c>
      <c r="E1114" s="36" t="str">
        <f aca="false">IF(Raw_Export!$A1114="","",IFERROR(VLOOKUP(LOWER(TRIM(Raw_Export!D1114)),Maps!$G$2:$I$80,3,FALSE()),"UNMAPPED"))</f>
        <v>Household</v>
      </c>
      <c r="F1114" s="36" t="n">
        <f aca="false">IF(Raw_Export!$A1114="","",IFERROR(VALUE(TRIM(Raw_Export!E1114)),0))</f>
        <v>3</v>
      </c>
      <c r="G1114" s="38" t="n">
        <f aca="false">IF(Raw_Export!$A1114="","",IFERROR(VALUE(SUBSTITUTE(SUBSTITUTE(UPPER(TRIM(Raw_Export!F1114)),"KES",""),",","")),0))</f>
        <v>280</v>
      </c>
      <c r="H1114" s="38" t="n">
        <f aca="false">IF(Raw_Export!$A1114="","",F1114*G1114)</f>
        <v>840</v>
      </c>
      <c r="I1114" s="36" t="str">
        <f aca="false">IF(Raw_Export!$A1114="","",IFERROR(VLOOKUP(LOWER(TRIM(Raw_Export!H1114)),Maps!$D$2:$E$12,2,FALSE()),"Other"))</f>
        <v>M-Pesa</v>
      </c>
      <c r="J1114" s="36" t="str">
        <f aca="false">IF(Raw_Export!$A1114="","",IF(COUNTIF($A$2:A1114,A1114)&gt;1,"Duplicate",""))</f>
        <v/>
      </c>
      <c r="K1114" s="36" t="str">
        <f aca="false">IF(Raw_Export!$A1114="","",IF(J1114="Duplicate","Duplicate",IF(OR(C1114="UNMAPPED",D1114="UNMAPPED"),"Unmapped",IF(F1114=0,"Blank qty",IF(F1114&lt;0,"Return","OK")))))</f>
        <v>OK</v>
      </c>
      <c r="L1114" s="36" t="n">
        <f aca="false">IF(Raw_Export!$A1114="","",IF(OR(K1114="OK",K1114="Return"),1,0))</f>
        <v>1</v>
      </c>
      <c r="M1114" s="37" t="n">
        <f aca="false">IF(Raw_Export!$A1114="","",B1114-WEEKDAY(B1114,2)+1)</f>
        <v>46272</v>
      </c>
    </row>
    <row r="1115" customFormat="false" ht="15" hidden="false" customHeight="false" outlineLevel="0" collapsed="false">
      <c r="A1115" s="36" t="str">
        <f aca="false">IF(Raw_Export!$A1115="","",TRIM(Raw_Export!A1115))</f>
        <v>TXN-101094</v>
      </c>
      <c r="B1115" s="37" t="n">
        <f aca="false">IF(Raw_Export!$A1115="","",IF(ISNUMBER(Raw_Export!B1115),Raw_Export!B1115,IF(MID(TRIM(Raw_Export!B1115),5,1)="-",DATE(LEFT(TRIM(Raw_Export!B1115),4),MID(TRIM(Raw_Export!B1115),6,2),RIGHT(TRIM(Raw_Export!B1115),2)),DATE(RIGHT(TRIM(Raw_Export!B1115),4),MATCH(MID(TRIM(Raw_Export!B1115),4,3),{"Jan","Feb","Mar","Apr","May","Jun","Jul","Aug","Sep","Oct","Nov","Dec"},0),LEFT(TRIM(Raw_Export!B1115),2)))))</f>
        <v>46272</v>
      </c>
      <c r="C1115" s="36" t="str">
        <f aca="false">IF(Raw_Export!$A1115="","",IFERROR(VLOOKUP(LOWER(TRIM(Raw_Export!C1115)),Maps!$A$2:$B$20,2,FALSE()),"UNMAPPED"))</f>
        <v>Nairobi CBD</v>
      </c>
      <c r="D1115" s="36" t="str">
        <f aca="false">IF(Raw_Export!$A1115="","",IFERROR(VLOOKUP(LOWER(TRIM(Raw_Export!D1115)),Maps!$G$2:$I$80,2,FALSE()),"UNMAPPED"))</f>
        <v>Rice Pishori 2kg</v>
      </c>
      <c r="E1115" s="36" t="str">
        <f aca="false">IF(Raw_Export!$A1115="","",IFERROR(VLOOKUP(LOWER(TRIM(Raw_Export!D1115)),Maps!$G$2:$I$80,3,FALSE()),"UNMAPPED"))</f>
        <v>Staples</v>
      </c>
      <c r="F1115" s="36" t="n">
        <f aca="false">IF(Raw_Export!$A1115="","",IFERROR(VALUE(TRIM(Raw_Export!E1115)),0))</f>
        <v>4</v>
      </c>
      <c r="G1115" s="38" t="n">
        <f aca="false">IF(Raw_Export!$A1115="","",IFERROR(VALUE(SUBSTITUTE(SUBSTITUTE(UPPER(TRIM(Raw_Export!F1115)),"KES",""),",","")),0))</f>
        <v>420</v>
      </c>
      <c r="H1115" s="38" t="n">
        <f aca="false">IF(Raw_Export!$A1115="","",F1115*G1115)</f>
        <v>1680</v>
      </c>
      <c r="I1115" s="36" t="str">
        <f aca="false">IF(Raw_Export!$A1115="","",IFERROR(VLOOKUP(LOWER(TRIM(Raw_Export!H1115)),Maps!$D$2:$E$12,2,FALSE()),"Other"))</f>
        <v>Cash</v>
      </c>
      <c r="J1115" s="36" t="str">
        <f aca="false">IF(Raw_Export!$A1115="","",IF(COUNTIF($A$2:A1115,A1115)&gt;1,"Duplicate",""))</f>
        <v/>
      </c>
      <c r="K1115" s="36" t="str">
        <f aca="false">IF(Raw_Export!$A1115="","",IF(J1115="Duplicate","Duplicate",IF(OR(C1115="UNMAPPED",D1115="UNMAPPED"),"Unmapped",IF(F1115=0,"Blank qty",IF(F1115&lt;0,"Return","OK")))))</f>
        <v>OK</v>
      </c>
      <c r="L1115" s="36" t="n">
        <f aca="false">IF(Raw_Export!$A1115="","",IF(OR(K1115="OK",K1115="Return"),1,0))</f>
        <v>1</v>
      </c>
      <c r="M1115" s="37" t="n">
        <f aca="false">IF(Raw_Export!$A1115="","",B1115-WEEKDAY(B1115,2)+1)</f>
        <v>46272</v>
      </c>
    </row>
    <row r="1116" customFormat="false" ht="15" hidden="false" customHeight="false" outlineLevel="0" collapsed="false">
      <c r="A1116" s="36" t="str">
        <f aca="false">IF(Raw_Export!$A1116="","",TRIM(Raw_Export!A1116))</f>
        <v>TXN-101095</v>
      </c>
      <c r="B1116" s="37" t="n">
        <f aca="false">IF(Raw_Export!$A1116="","",IF(ISNUMBER(Raw_Export!B1116),Raw_Export!B1116,IF(MID(TRIM(Raw_Export!B1116),5,1)="-",DATE(LEFT(TRIM(Raw_Export!B1116),4),MID(TRIM(Raw_Export!B1116),6,2),RIGHT(TRIM(Raw_Export!B1116),2)),DATE(RIGHT(TRIM(Raw_Export!B1116),4),MATCH(MID(TRIM(Raw_Export!B1116),4,3),{"Jan","Feb","Mar","Apr","May","Jun","Jul","Aug","Sep","Oct","Nov","Dec"},0),LEFT(TRIM(Raw_Export!B1116),2)))))</f>
        <v>46272</v>
      </c>
      <c r="C1116" s="36" t="str">
        <f aca="false">IF(Raw_Export!$A1116="","",IFERROR(VLOOKUP(LOWER(TRIM(Raw_Export!C1116)),Maps!$A$2:$B$20,2,FALSE()),"UNMAPPED"))</f>
        <v>Nairobi CBD</v>
      </c>
      <c r="D1116" s="36" t="str">
        <f aca="false">IF(Raw_Export!$A1116="","",IFERROR(VLOOKUP(LOWER(TRIM(Raw_Export!D1116)),Maps!$G$2:$I$80,2,FALSE()),"UNMAPPED"))</f>
        <v>Chocolate Bar 90g</v>
      </c>
      <c r="E1116" s="36" t="str">
        <f aca="false">IF(Raw_Export!$A1116="","",IFERROR(VLOOKUP(LOWER(TRIM(Raw_Export!D1116)),Maps!$G$2:$I$80,3,FALSE()),"UNMAPPED"))</f>
        <v>Snacks</v>
      </c>
      <c r="F1116" s="36" t="n">
        <f aca="false">IF(Raw_Export!$A1116="","",IFERROR(VALUE(TRIM(Raw_Export!E1116)),0))</f>
        <v>6</v>
      </c>
      <c r="G1116" s="38" t="n">
        <f aca="false">IF(Raw_Export!$A1116="","",IFERROR(VALUE(SUBSTITUTE(SUBSTITUTE(UPPER(TRIM(Raw_Export!F1116)),"KES",""),",","")),0))</f>
        <v>140</v>
      </c>
      <c r="H1116" s="38" t="n">
        <f aca="false">IF(Raw_Export!$A1116="","",F1116*G1116)</f>
        <v>840</v>
      </c>
      <c r="I1116" s="36" t="str">
        <f aca="false">IF(Raw_Export!$A1116="","",IFERROR(VLOOKUP(LOWER(TRIM(Raw_Export!H1116)),Maps!$D$2:$E$12,2,FALSE()),"Other"))</f>
        <v>M-Pesa</v>
      </c>
      <c r="J1116" s="36" t="str">
        <f aca="false">IF(Raw_Export!$A1116="","",IF(COUNTIF($A$2:A1116,A1116)&gt;1,"Duplicate",""))</f>
        <v/>
      </c>
      <c r="K1116" s="36" t="str">
        <f aca="false">IF(Raw_Export!$A1116="","",IF(J1116="Duplicate","Duplicate",IF(OR(C1116="UNMAPPED",D1116="UNMAPPED"),"Unmapped",IF(F1116=0,"Blank qty",IF(F1116&lt;0,"Return","OK")))))</f>
        <v>OK</v>
      </c>
      <c r="L1116" s="36" t="n">
        <f aca="false">IF(Raw_Export!$A1116="","",IF(OR(K1116="OK",K1116="Return"),1,0))</f>
        <v>1</v>
      </c>
      <c r="M1116" s="37" t="n">
        <f aca="false">IF(Raw_Export!$A1116="","",B1116-WEEKDAY(B1116,2)+1)</f>
        <v>46272</v>
      </c>
    </row>
    <row r="1117" customFormat="false" ht="15" hidden="false" customHeight="false" outlineLevel="0" collapsed="false">
      <c r="A1117" s="36" t="str">
        <f aca="false">IF(Raw_Export!$A1117="","",TRIM(Raw_Export!A1117))</f>
        <v>TXN-101096</v>
      </c>
      <c r="B1117" s="37" t="n">
        <f aca="false">IF(Raw_Export!$A1117="","",IF(ISNUMBER(Raw_Export!B1117),Raw_Export!B1117,IF(MID(TRIM(Raw_Export!B1117),5,1)="-",DATE(LEFT(TRIM(Raw_Export!B1117),4),MID(TRIM(Raw_Export!B1117),6,2),RIGHT(TRIM(Raw_Export!B1117),2)),DATE(RIGHT(TRIM(Raw_Export!B1117),4),MATCH(MID(TRIM(Raw_Export!B1117),4,3),{"Jan","Feb","Mar","Apr","May","Jun","Jul","Aug","Sep","Oct","Nov","Dec"},0),LEFT(TRIM(Raw_Export!B1117),2)))))</f>
        <v>46272</v>
      </c>
      <c r="C1117" s="36" t="str">
        <f aca="false">IF(Raw_Export!$A1117="","",IFERROR(VLOOKUP(LOWER(TRIM(Raw_Export!C1117)),Maps!$A$2:$B$20,2,FALSE()),"UNMAPPED"))</f>
        <v>Nairobi CBD</v>
      </c>
      <c r="D1117" s="36" t="str">
        <f aca="false">IF(Raw_Export!$A1117="","",IFERROR(VLOOKUP(LOWER(TRIM(Raw_Export!D1117)),Maps!$G$2:$I$80,2,FALSE()),"UNMAPPED"))</f>
        <v>Cooking Oil 1L</v>
      </c>
      <c r="E1117" s="36" t="str">
        <f aca="false">IF(Raw_Export!$A1117="","",IFERROR(VLOOKUP(LOWER(TRIM(Raw_Export!D1117)),Maps!$G$2:$I$80,3,FALSE()),"UNMAPPED"))</f>
        <v>Staples</v>
      </c>
      <c r="F1117" s="36" t="n">
        <f aca="false">IF(Raw_Export!$A1117="","",IFERROR(VALUE(TRIM(Raw_Export!E1117)),0))</f>
        <v>3</v>
      </c>
      <c r="G1117" s="38" t="n">
        <f aca="false">IF(Raw_Export!$A1117="","",IFERROR(VALUE(SUBSTITUTE(SUBSTITUTE(UPPER(TRIM(Raw_Export!F1117)),"KES",""),",","")),0))</f>
        <v>297</v>
      </c>
      <c r="H1117" s="38" t="n">
        <f aca="false">IF(Raw_Export!$A1117="","",F1117*G1117)</f>
        <v>891</v>
      </c>
      <c r="I1117" s="36" t="str">
        <f aca="false">IF(Raw_Export!$A1117="","",IFERROR(VLOOKUP(LOWER(TRIM(Raw_Export!H1117)),Maps!$D$2:$E$12,2,FALSE()),"Other"))</f>
        <v>Cash</v>
      </c>
      <c r="J1117" s="36" t="str">
        <f aca="false">IF(Raw_Export!$A1117="","",IF(COUNTIF($A$2:A1117,A1117)&gt;1,"Duplicate",""))</f>
        <v/>
      </c>
      <c r="K1117" s="36" t="str">
        <f aca="false">IF(Raw_Export!$A1117="","",IF(J1117="Duplicate","Duplicate",IF(OR(C1117="UNMAPPED",D1117="UNMAPPED"),"Unmapped",IF(F1117=0,"Blank qty",IF(F1117&lt;0,"Return","OK")))))</f>
        <v>OK</v>
      </c>
      <c r="L1117" s="36" t="n">
        <f aca="false">IF(Raw_Export!$A1117="","",IF(OR(K1117="OK",K1117="Return"),1,0))</f>
        <v>1</v>
      </c>
      <c r="M1117" s="37" t="n">
        <f aca="false">IF(Raw_Export!$A1117="","",B1117-WEEKDAY(B1117,2)+1)</f>
        <v>46272</v>
      </c>
    </row>
    <row r="1118" customFormat="false" ht="15" hidden="false" customHeight="false" outlineLevel="0" collapsed="false">
      <c r="A1118" s="36" t="str">
        <f aca="false">IF(Raw_Export!$A1118="","",TRIM(Raw_Export!A1118))</f>
        <v>TXN-101097</v>
      </c>
      <c r="B1118" s="37" t="n">
        <f aca="false">IF(Raw_Export!$A1118="","",IF(ISNUMBER(Raw_Export!B1118),Raw_Export!B1118,IF(MID(TRIM(Raw_Export!B1118),5,1)="-",DATE(LEFT(TRIM(Raw_Export!B1118),4),MID(TRIM(Raw_Export!B1118),6,2),RIGHT(TRIM(Raw_Export!B1118),2)),DATE(RIGHT(TRIM(Raw_Export!B1118),4),MATCH(MID(TRIM(Raw_Export!B1118),4,3),{"Jan","Feb","Mar","Apr","May","Jun","Jul","Aug","Sep","Oct","Nov","Dec"},0),LEFT(TRIM(Raw_Export!B1118),2)))))</f>
        <v>46272</v>
      </c>
      <c r="C1118" s="36" t="str">
        <f aca="false">IF(Raw_Export!$A1118="","",IFERROR(VLOOKUP(LOWER(TRIM(Raw_Export!C1118)),Maps!$A$2:$B$20,2,FALSE()),"UNMAPPED"))</f>
        <v>Nairobi CBD</v>
      </c>
      <c r="D1118" s="36" t="str">
        <f aca="false">IF(Raw_Export!$A1118="","",IFERROR(VLOOKUP(LOWER(TRIM(Raw_Export!D1118)),Maps!$G$2:$I$80,2,FALSE()),"UNMAPPED"))</f>
        <v>Soda 500ml</v>
      </c>
      <c r="E1118" s="36" t="str">
        <f aca="false">IF(Raw_Export!$A1118="","",IFERROR(VLOOKUP(LOWER(TRIM(Raw_Export!D1118)),Maps!$G$2:$I$80,3,FALSE()),"UNMAPPED"))</f>
        <v>Beverages</v>
      </c>
      <c r="F1118" s="36" t="n">
        <f aca="false">IF(Raw_Export!$A1118="","",IFERROR(VALUE(TRIM(Raw_Export!E1118)),0))</f>
        <v>6</v>
      </c>
      <c r="G1118" s="38" t="n">
        <f aca="false">IF(Raw_Export!$A1118="","",IFERROR(VALUE(SUBSTITUTE(SUBSTITUTE(UPPER(TRIM(Raw_Export!F1118)),"KES",""),",","")),0))</f>
        <v>54</v>
      </c>
      <c r="H1118" s="38" t="n">
        <f aca="false">IF(Raw_Export!$A1118="","",F1118*G1118)</f>
        <v>324</v>
      </c>
      <c r="I1118" s="36" t="str">
        <f aca="false">IF(Raw_Export!$A1118="","",IFERROR(VLOOKUP(LOWER(TRIM(Raw_Export!H1118)),Maps!$D$2:$E$12,2,FALSE()),"Other"))</f>
        <v>Cash</v>
      </c>
      <c r="J1118" s="36" t="str">
        <f aca="false">IF(Raw_Export!$A1118="","",IF(COUNTIF($A$2:A1118,A1118)&gt;1,"Duplicate",""))</f>
        <v/>
      </c>
      <c r="K1118" s="36" t="str">
        <f aca="false">IF(Raw_Export!$A1118="","",IF(J1118="Duplicate","Duplicate",IF(OR(C1118="UNMAPPED",D1118="UNMAPPED"),"Unmapped",IF(F1118=0,"Blank qty",IF(F1118&lt;0,"Return","OK")))))</f>
        <v>OK</v>
      </c>
      <c r="L1118" s="36" t="n">
        <f aca="false">IF(Raw_Export!$A1118="","",IF(OR(K1118="OK",K1118="Return"),1,0))</f>
        <v>1</v>
      </c>
      <c r="M1118" s="37" t="n">
        <f aca="false">IF(Raw_Export!$A1118="","",B1118-WEEKDAY(B1118,2)+1)</f>
        <v>46272</v>
      </c>
    </row>
    <row r="1119" customFormat="false" ht="15" hidden="false" customHeight="false" outlineLevel="0" collapsed="false">
      <c r="A1119" s="36" t="str">
        <f aca="false">IF(Raw_Export!$A1119="","",TRIM(Raw_Export!A1119))</f>
        <v>TXN-101098</v>
      </c>
      <c r="B1119" s="37" t="n">
        <f aca="false">IF(Raw_Export!$A1119="","",IF(ISNUMBER(Raw_Export!B1119),Raw_Export!B1119,IF(MID(TRIM(Raw_Export!B1119),5,1)="-",DATE(LEFT(TRIM(Raw_Export!B1119),4),MID(TRIM(Raw_Export!B1119),6,2),RIGHT(TRIM(Raw_Export!B1119),2)),DATE(RIGHT(TRIM(Raw_Export!B1119),4),MATCH(MID(TRIM(Raw_Export!B1119),4,3),{"Jan","Feb","Mar","Apr","May","Jun","Jul","Aug","Sep","Oct","Nov","Dec"},0),LEFT(TRIM(Raw_Export!B1119),2)))))</f>
        <v>46272</v>
      </c>
      <c r="C1119" s="36" t="str">
        <f aca="false">IF(Raw_Export!$A1119="","",IFERROR(VLOOKUP(LOWER(TRIM(Raw_Export!C1119)),Maps!$A$2:$B$20,2,FALSE()),"UNMAPPED"))</f>
        <v>Nairobi CBD</v>
      </c>
      <c r="D1119" s="36" t="str">
        <f aca="false">IF(Raw_Export!$A1119="","",IFERROR(VLOOKUP(LOWER(TRIM(Raw_Export!D1119)),Maps!$G$2:$I$80,2,FALSE()),"UNMAPPED"))</f>
        <v>Unga Pembe 2kg</v>
      </c>
      <c r="E1119" s="36" t="str">
        <f aca="false">IF(Raw_Export!$A1119="","",IFERROR(VLOOKUP(LOWER(TRIM(Raw_Export!D1119)),Maps!$G$2:$I$80,3,FALSE()),"UNMAPPED"))</f>
        <v>Staples</v>
      </c>
      <c r="F1119" s="36" t="n">
        <f aca="false">IF(Raw_Export!$A1119="","",IFERROR(VALUE(TRIM(Raw_Export!E1119)),0))</f>
        <v>1</v>
      </c>
      <c r="G1119" s="38" t="n">
        <f aca="false">IF(Raw_Export!$A1119="","",IFERROR(VALUE(SUBSTITUTE(SUBSTITUTE(UPPER(TRIM(Raw_Export!F1119)),"KES",""),",","")),0))</f>
        <v>190</v>
      </c>
      <c r="H1119" s="38" t="n">
        <f aca="false">IF(Raw_Export!$A1119="","",F1119*G1119)</f>
        <v>190</v>
      </c>
      <c r="I1119" s="36" t="str">
        <f aca="false">IF(Raw_Export!$A1119="","",IFERROR(VLOOKUP(LOWER(TRIM(Raw_Export!H1119)),Maps!$D$2:$E$12,2,FALSE()),"Other"))</f>
        <v>Cash</v>
      </c>
      <c r="J1119" s="36" t="str">
        <f aca="false">IF(Raw_Export!$A1119="","",IF(COUNTIF($A$2:A1119,A1119)&gt;1,"Duplicate",""))</f>
        <v/>
      </c>
      <c r="K1119" s="36" t="str">
        <f aca="false">IF(Raw_Export!$A1119="","",IF(J1119="Duplicate","Duplicate",IF(OR(C1119="UNMAPPED",D1119="UNMAPPED"),"Unmapped",IF(F1119=0,"Blank qty",IF(F1119&lt;0,"Return","OK")))))</f>
        <v>OK</v>
      </c>
      <c r="L1119" s="36" t="n">
        <f aca="false">IF(Raw_Export!$A1119="","",IF(OR(K1119="OK",K1119="Return"),1,0))</f>
        <v>1</v>
      </c>
      <c r="M1119" s="37" t="n">
        <f aca="false">IF(Raw_Export!$A1119="","",B1119-WEEKDAY(B1119,2)+1)</f>
        <v>46272</v>
      </c>
    </row>
    <row r="1120" customFormat="false" ht="15" hidden="false" customHeight="false" outlineLevel="0" collapsed="false">
      <c r="A1120" s="36" t="str">
        <f aca="false">IF(Raw_Export!$A1120="","",TRIM(Raw_Export!A1120))</f>
        <v>TXN-101099</v>
      </c>
      <c r="B1120" s="37" t="n">
        <f aca="false">IF(Raw_Export!$A1120="","",IF(ISNUMBER(Raw_Export!B1120),Raw_Export!B1120,IF(MID(TRIM(Raw_Export!B1120),5,1)="-",DATE(LEFT(TRIM(Raw_Export!B1120),4),MID(TRIM(Raw_Export!B1120),6,2),RIGHT(TRIM(Raw_Export!B1120),2)),DATE(RIGHT(TRIM(Raw_Export!B1120),4),MATCH(MID(TRIM(Raw_Export!B1120),4,3),{"Jan","Feb","Mar","Apr","May","Jun","Jul","Aug","Sep","Oct","Nov","Dec"},0),LEFT(TRIM(Raw_Export!B1120),2)))))</f>
        <v>46272</v>
      </c>
      <c r="C1120" s="36" t="str">
        <f aca="false">IF(Raw_Export!$A1120="","",IFERROR(VLOOKUP(LOWER(TRIM(Raw_Export!C1120)),Maps!$A$2:$B$20,2,FALSE()),"UNMAPPED"))</f>
        <v>Nairobi CBD</v>
      </c>
      <c r="D1120" s="36" t="str">
        <f aca="false">IF(Raw_Export!$A1120="","",IFERROR(VLOOKUP(LOWER(TRIM(Raw_Export!D1120)),Maps!$G$2:$I$80,2,FALSE()),"UNMAPPED"))</f>
        <v>Yoghurt 500ml</v>
      </c>
      <c r="E1120" s="36" t="str">
        <f aca="false">IF(Raw_Export!$A1120="","",IFERROR(VLOOKUP(LOWER(TRIM(Raw_Export!D1120)),Maps!$G$2:$I$80,3,FALSE()),"UNMAPPED"))</f>
        <v>Dairy &amp; Eggs</v>
      </c>
      <c r="F1120" s="36" t="n">
        <f aca="false">IF(Raw_Export!$A1120="","",IFERROR(VALUE(TRIM(Raw_Export!E1120)),0))</f>
        <v>2</v>
      </c>
      <c r="G1120" s="38" t="n">
        <f aca="false">IF(Raw_Export!$A1120="","",IFERROR(VALUE(SUBSTITUTE(SUBSTITUTE(UPPER(TRIM(Raw_Export!F1120)),"KES",""),",","")),0))</f>
        <v>120</v>
      </c>
      <c r="H1120" s="38" t="n">
        <f aca="false">IF(Raw_Export!$A1120="","",F1120*G1120)</f>
        <v>240</v>
      </c>
      <c r="I1120" s="36" t="str">
        <f aca="false">IF(Raw_Export!$A1120="","",IFERROR(VLOOKUP(LOWER(TRIM(Raw_Export!H1120)),Maps!$D$2:$E$12,2,FALSE()),"Other"))</f>
        <v>M-Pesa</v>
      </c>
      <c r="J1120" s="36" t="str">
        <f aca="false">IF(Raw_Export!$A1120="","",IF(COUNTIF($A$2:A1120,A1120)&gt;1,"Duplicate",""))</f>
        <v/>
      </c>
      <c r="K1120" s="36" t="str">
        <f aca="false">IF(Raw_Export!$A1120="","",IF(J1120="Duplicate","Duplicate",IF(OR(C1120="UNMAPPED",D1120="UNMAPPED"),"Unmapped",IF(F1120=0,"Blank qty",IF(F1120&lt;0,"Return","OK")))))</f>
        <v>OK</v>
      </c>
      <c r="L1120" s="36" t="n">
        <f aca="false">IF(Raw_Export!$A1120="","",IF(OR(K1120="OK",K1120="Return"),1,0))</f>
        <v>1</v>
      </c>
      <c r="M1120" s="37" t="n">
        <f aca="false">IF(Raw_Export!$A1120="","",B1120-WEEKDAY(B1120,2)+1)</f>
        <v>46272</v>
      </c>
    </row>
    <row r="1121" customFormat="false" ht="15" hidden="false" customHeight="false" outlineLevel="0" collapsed="false">
      <c r="A1121" s="36" t="str">
        <f aca="false">IF(Raw_Export!$A1121="","",TRIM(Raw_Export!A1121))</f>
        <v>TXN-101100</v>
      </c>
      <c r="B1121" s="37" t="n">
        <f aca="false">IF(Raw_Export!$A1121="","",IF(ISNUMBER(Raw_Export!B1121),Raw_Export!B1121,IF(MID(TRIM(Raw_Export!B1121),5,1)="-",DATE(LEFT(TRIM(Raw_Export!B1121),4),MID(TRIM(Raw_Export!B1121),6,2),RIGHT(TRIM(Raw_Export!B1121),2)),DATE(RIGHT(TRIM(Raw_Export!B1121),4),MATCH(MID(TRIM(Raw_Export!B1121),4,3),{"Jan","Feb","Mar","Apr","May","Jun","Jul","Aug","Sep","Oct","Nov","Dec"},0),LEFT(TRIM(Raw_Export!B1121),2)))))</f>
        <v>46272</v>
      </c>
      <c r="C1121" s="36" t="str">
        <f aca="false">IF(Raw_Export!$A1121="","",IFERROR(VLOOKUP(LOWER(TRIM(Raw_Export!C1121)),Maps!$A$2:$B$20,2,FALSE()),"UNMAPPED"))</f>
        <v>Nairobi CBD</v>
      </c>
      <c r="D1121" s="36" t="str">
        <f aca="false">IF(Raw_Export!$A1121="","",IFERROR(VLOOKUP(LOWER(TRIM(Raw_Export!D1121)),Maps!$G$2:$I$80,2,FALSE()),"UNMAPPED"))</f>
        <v>Body Lotion 400ml</v>
      </c>
      <c r="E1121" s="36" t="str">
        <f aca="false">IF(Raw_Export!$A1121="","",IFERROR(VLOOKUP(LOWER(TRIM(Raw_Export!D1121)),Maps!$G$2:$I$80,3,FALSE()),"UNMAPPED"))</f>
        <v>Personal Care</v>
      </c>
      <c r="F1121" s="36" t="n">
        <f aca="false">IF(Raw_Export!$A1121="","",IFERROR(VALUE(TRIM(Raw_Export!E1121)),0))</f>
        <v>6</v>
      </c>
      <c r="G1121" s="38" t="n">
        <f aca="false">IF(Raw_Export!$A1121="","",IFERROR(VALUE(SUBSTITUTE(SUBSTITUTE(UPPER(TRIM(Raw_Export!F1121)),"KES",""),",","")),0))</f>
        <v>420</v>
      </c>
      <c r="H1121" s="38" t="n">
        <f aca="false">IF(Raw_Export!$A1121="","",F1121*G1121)</f>
        <v>2520</v>
      </c>
      <c r="I1121" s="36" t="str">
        <f aca="false">IF(Raw_Export!$A1121="","",IFERROR(VLOOKUP(LOWER(TRIM(Raw_Export!H1121)),Maps!$D$2:$E$12,2,FALSE()),"Other"))</f>
        <v>Cash</v>
      </c>
      <c r="J1121" s="36" t="str">
        <f aca="false">IF(Raw_Export!$A1121="","",IF(COUNTIF($A$2:A1121,A1121)&gt;1,"Duplicate",""))</f>
        <v/>
      </c>
      <c r="K1121" s="36" t="str">
        <f aca="false">IF(Raw_Export!$A1121="","",IF(J1121="Duplicate","Duplicate",IF(OR(C1121="UNMAPPED",D1121="UNMAPPED"),"Unmapped",IF(F1121=0,"Blank qty",IF(F1121&lt;0,"Return","OK")))))</f>
        <v>OK</v>
      </c>
      <c r="L1121" s="36" t="n">
        <f aca="false">IF(Raw_Export!$A1121="","",IF(OR(K1121="OK",K1121="Return"),1,0))</f>
        <v>1</v>
      </c>
      <c r="M1121" s="37" t="n">
        <f aca="false">IF(Raw_Export!$A1121="","",B1121-WEEKDAY(B1121,2)+1)</f>
        <v>46272</v>
      </c>
    </row>
    <row r="1122" customFormat="false" ht="15" hidden="false" customHeight="false" outlineLevel="0" collapsed="false">
      <c r="A1122" s="36" t="str">
        <f aca="false">IF(Raw_Export!$A1122="","",TRIM(Raw_Export!A1122))</f>
        <v>TXN-101101</v>
      </c>
      <c r="B1122" s="37" t="n">
        <f aca="false">IF(Raw_Export!$A1122="","",IF(ISNUMBER(Raw_Export!B1122),Raw_Export!B1122,IF(MID(TRIM(Raw_Export!B1122),5,1)="-",DATE(LEFT(TRIM(Raw_Export!B1122),4),MID(TRIM(Raw_Export!B1122),6,2),RIGHT(TRIM(Raw_Export!B1122),2)),DATE(RIGHT(TRIM(Raw_Export!B1122),4),MATCH(MID(TRIM(Raw_Export!B1122),4,3),{"Jan","Feb","Mar","Apr","May","Jun","Jul","Aug","Sep","Oct","Nov","Dec"},0),LEFT(TRIM(Raw_Export!B1122),2)))))</f>
        <v>46272</v>
      </c>
      <c r="C1122" s="36" t="str">
        <f aca="false">IF(Raw_Export!$A1122="","",IFERROR(VLOOKUP(LOWER(TRIM(Raw_Export!C1122)),Maps!$A$2:$B$20,2,FALSE()),"UNMAPPED"))</f>
        <v>Nairobi CBD</v>
      </c>
      <c r="D1122" s="36" t="str">
        <f aca="false">IF(Raw_Export!$A1122="","",IFERROR(VLOOKUP(LOWER(TRIM(Raw_Export!D1122)),Maps!$G$2:$I$80,2,FALSE()),"UNMAPPED"))</f>
        <v>Bottled Water 1.5L</v>
      </c>
      <c r="E1122" s="36" t="str">
        <f aca="false">IF(Raw_Export!$A1122="","",IFERROR(VLOOKUP(LOWER(TRIM(Raw_Export!D1122)),Maps!$G$2:$I$80,3,FALSE()),"UNMAPPED"))</f>
        <v>Beverages</v>
      </c>
      <c r="F1122" s="36" t="n">
        <f aca="false">IF(Raw_Export!$A1122="","",IFERROR(VALUE(TRIM(Raw_Export!E1122)),0))</f>
        <v>1</v>
      </c>
      <c r="G1122" s="38" t="n">
        <f aca="false">IF(Raw_Export!$A1122="","",IFERROR(VALUE(SUBSTITUTE(SUBSTITUTE(UPPER(TRIM(Raw_Export!F1122)),"KES",""),",","")),0))</f>
        <v>90</v>
      </c>
      <c r="H1122" s="38" t="n">
        <f aca="false">IF(Raw_Export!$A1122="","",F1122*G1122)</f>
        <v>90</v>
      </c>
      <c r="I1122" s="36" t="str">
        <f aca="false">IF(Raw_Export!$A1122="","",IFERROR(VLOOKUP(LOWER(TRIM(Raw_Export!H1122)),Maps!$D$2:$E$12,2,FALSE()),"Other"))</f>
        <v>Cash</v>
      </c>
      <c r="J1122" s="36" t="str">
        <f aca="false">IF(Raw_Export!$A1122="","",IF(COUNTIF($A$2:A1122,A1122)&gt;1,"Duplicate",""))</f>
        <v/>
      </c>
      <c r="K1122" s="36" t="str">
        <f aca="false">IF(Raw_Export!$A1122="","",IF(J1122="Duplicate","Duplicate",IF(OR(C1122="UNMAPPED",D1122="UNMAPPED"),"Unmapped",IF(F1122=0,"Blank qty",IF(F1122&lt;0,"Return","OK")))))</f>
        <v>OK</v>
      </c>
      <c r="L1122" s="36" t="n">
        <f aca="false">IF(Raw_Export!$A1122="","",IF(OR(K1122="OK",K1122="Return"),1,0))</f>
        <v>1</v>
      </c>
      <c r="M1122" s="37" t="n">
        <f aca="false">IF(Raw_Export!$A1122="","",B1122-WEEKDAY(B1122,2)+1)</f>
        <v>46272</v>
      </c>
    </row>
    <row r="1123" customFormat="false" ht="15" hidden="false" customHeight="false" outlineLevel="0" collapsed="false">
      <c r="A1123" s="36" t="str">
        <f aca="false">IF(Raw_Export!$A1123="","",TRIM(Raw_Export!A1123))</f>
        <v>TXN-101102</v>
      </c>
      <c r="B1123" s="37" t="n">
        <f aca="false">IF(Raw_Export!$A1123="","",IF(ISNUMBER(Raw_Export!B1123),Raw_Export!B1123,IF(MID(TRIM(Raw_Export!B1123),5,1)="-",DATE(LEFT(TRIM(Raw_Export!B1123),4),MID(TRIM(Raw_Export!B1123),6,2),RIGHT(TRIM(Raw_Export!B1123),2)),DATE(RIGHT(TRIM(Raw_Export!B1123),4),MATCH(MID(TRIM(Raw_Export!B1123),4,3),{"Jan","Feb","Mar","Apr","May","Jun","Jul","Aug","Sep","Oct","Nov","Dec"},0),LEFT(TRIM(Raw_Export!B1123),2)))))</f>
        <v>46272</v>
      </c>
      <c r="C1123" s="36" t="str">
        <f aca="false">IF(Raw_Export!$A1123="","",IFERROR(VLOOKUP(LOWER(TRIM(Raw_Export!C1123)),Maps!$A$2:$B$20,2,FALSE()),"UNMAPPED"))</f>
        <v>Nairobi CBD</v>
      </c>
      <c r="D1123" s="36" t="str">
        <f aca="false">IF(Raw_Export!$A1123="","",IFERROR(VLOOKUP(LOWER(TRIM(Raw_Export!D1123)),Maps!$G$2:$I$80,2,FALSE()),"UNMAPPED"))</f>
        <v>Coffee 100g</v>
      </c>
      <c r="E1123" s="36" t="str">
        <f aca="false">IF(Raw_Export!$A1123="","",IFERROR(VLOOKUP(LOWER(TRIM(Raw_Export!D1123)),Maps!$G$2:$I$80,3,FALSE()),"UNMAPPED"))</f>
        <v>Beverages</v>
      </c>
      <c r="F1123" s="36" t="n">
        <f aca="false">IF(Raw_Export!$A1123="","",IFERROR(VALUE(TRIM(Raw_Export!E1123)),0))</f>
        <v>2</v>
      </c>
      <c r="G1123" s="38" t="n">
        <f aca="false">IF(Raw_Export!$A1123="","",IFERROR(VALUE(SUBSTITUTE(SUBSTITUTE(UPPER(TRIM(Raw_Export!F1123)),"KES",""),",","")),0))</f>
        <v>360</v>
      </c>
      <c r="H1123" s="38" t="n">
        <f aca="false">IF(Raw_Export!$A1123="","",F1123*G1123)</f>
        <v>720</v>
      </c>
      <c r="I1123" s="36" t="str">
        <f aca="false">IF(Raw_Export!$A1123="","",IFERROR(VLOOKUP(LOWER(TRIM(Raw_Export!H1123)),Maps!$D$2:$E$12,2,FALSE()),"Other"))</f>
        <v>Card</v>
      </c>
      <c r="J1123" s="36" t="str">
        <f aca="false">IF(Raw_Export!$A1123="","",IF(COUNTIF($A$2:A1123,A1123)&gt;1,"Duplicate",""))</f>
        <v/>
      </c>
      <c r="K1123" s="36" t="str">
        <f aca="false">IF(Raw_Export!$A1123="","",IF(J1123="Duplicate","Duplicate",IF(OR(C1123="UNMAPPED",D1123="UNMAPPED"),"Unmapped",IF(F1123=0,"Blank qty",IF(F1123&lt;0,"Return","OK")))))</f>
        <v>OK</v>
      </c>
      <c r="L1123" s="36" t="n">
        <f aca="false">IF(Raw_Export!$A1123="","",IF(OR(K1123="OK",K1123="Return"),1,0))</f>
        <v>1</v>
      </c>
      <c r="M1123" s="37" t="n">
        <f aca="false">IF(Raw_Export!$A1123="","",B1123-WEEKDAY(B1123,2)+1)</f>
        <v>46272</v>
      </c>
    </row>
    <row r="1124" customFormat="false" ht="15" hidden="false" customHeight="false" outlineLevel="0" collapsed="false">
      <c r="A1124" s="36" t="str">
        <f aca="false">IF(Raw_Export!$A1124="","",TRIM(Raw_Export!A1124))</f>
        <v>TXN-101103</v>
      </c>
      <c r="B1124" s="37" t="n">
        <f aca="false">IF(Raw_Export!$A1124="","",IF(ISNUMBER(Raw_Export!B1124),Raw_Export!B1124,IF(MID(TRIM(Raw_Export!B1124),5,1)="-",DATE(LEFT(TRIM(Raw_Export!B1124),4),MID(TRIM(Raw_Export!B1124),6,2),RIGHT(TRIM(Raw_Export!B1124),2)),DATE(RIGHT(TRIM(Raw_Export!B1124),4),MATCH(MID(TRIM(Raw_Export!B1124),4,3),{"Jan","Feb","Mar","Apr","May","Jun","Jul","Aug","Sep","Oct","Nov","Dec"},0),LEFT(TRIM(Raw_Export!B1124),2)))))</f>
        <v>46272</v>
      </c>
      <c r="C1124" s="36" t="str">
        <f aca="false">IF(Raw_Export!$A1124="","",IFERROR(VLOOKUP(LOWER(TRIM(Raw_Export!C1124)),Maps!$A$2:$B$20,2,FALSE()),"UNMAPPED"))</f>
        <v>Nairobi CBD</v>
      </c>
      <c r="D1124" s="36" t="str">
        <f aca="false">IF(Raw_Export!$A1124="","",IFERROR(VLOOKUP(LOWER(TRIM(Raw_Export!D1124)),Maps!$G$2:$I$80,2,FALSE()),"UNMAPPED"))</f>
        <v>Deodorant 150ml</v>
      </c>
      <c r="E1124" s="36" t="str">
        <f aca="false">IF(Raw_Export!$A1124="","",IFERROR(VLOOKUP(LOWER(TRIM(Raw_Export!D1124)),Maps!$G$2:$I$80,3,FALSE()),"UNMAPPED"))</f>
        <v>Personal Care</v>
      </c>
      <c r="F1124" s="36" t="n">
        <f aca="false">IF(Raw_Export!$A1124="","",IFERROR(VALUE(TRIM(Raw_Export!E1124)),0))</f>
        <v>1</v>
      </c>
      <c r="G1124" s="38" t="n">
        <f aca="false">IF(Raw_Export!$A1124="","",IFERROR(VALUE(SUBSTITUTE(SUBSTITUTE(UPPER(TRIM(Raw_Export!F1124)),"KES",""),",","")),0))</f>
        <v>315</v>
      </c>
      <c r="H1124" s="38" t="n">
        <f aca="false">IF(Raw_Export!$A1124="","",F1124*G1124)</f>
        <v>315</v>
      </c>
      <c r="I1124" s="36" t="str">
        <f aca="false">IF(Raw_Export!$A1124="","",IFERROR(VLOOKUP(LOWER(TRIM(Raw_Export!H1124)),Maps!$D$2:$E$12,2,FALSE()),"Other"))</f>
        <v>M-Pesa</v>
      </c>
      <c r="J1124" s="36" t="str">
        <f aca="false">IF(Raw_Export!$A1124="","",IF(COUNTIF($A$2:A1124,A1124)&gt;1,"Duplicate",""))</f>
        <v/>
      </c>
      <c r="K1124" s="36" t="str">
        <f aca="false">IF(Raw_Export!$A1124="","",IF(J1124="Duplicate","Duplicate",IF(OR(C1124="UNMAPPED",D1124="UNMAPPED"),"Unmapped",IF(F1124=0,"Blank qty",IF(F1124&lt;0,"Return","OK")))))</f>
        <v>OK</v>
      </c>
      <c r="L1124" s="36" t="n">
        <f aca="false">IF(Raw_Export!$A1124="","",IF(OR(K1124="OK",K1124="Return"),1,0))</f>
        <v>1</v>
      </c>
      <c r="M1124" s="37" t="n">
        <f aca="false">IF(Raw_Export!$A1124="","",B1124-WEEKDAY(B1124,2)+1)</f>
        <v>46272</v>
      </c>
    </row>
    <row r="1125" customFormat="false" ht="15" hidden="false" customHeight="false" outlineLevel="0" collapsed="false">
      <c r="A1125" s="36" t="str">
        <f aca="false">IF(Raw_Export!$A1125="","",TRIM(Raw_Export!A1125))</f>
        <v>TXN-101104</v>
      </c>
      <c r="B1125" s="37" t="n">
        <f aca="false">IF(Raw_Export!$A1125="","",IF(ISNUMBER(Raw_Export!B1125),Raw_Export!B1125,IF(MID(TRIM(Raw_Export!B1125),5,1)="-",DATE(LEFT(TRIM(Raw_Export!B1125),4),MID(TRIM(Raw_Export!B1125),6,2),RIGHT(TRIM(Raw_Export!B1125),2)),DATE(RIGHT(TRIM(Raw_Export!B1125),4),MATCH(MID(TRIM(Raw_Export!B1125),4,3),{"Jan","Feb","Mar","Apr","May","Jun","Jul","Aug","Sep","Oct","Nov","Dec"},0),LEFT(TRIM(Raw_Export!B1125),2)))))</f>
        <v>46272</v>
      </c>
      <c r="C1125" s="36" t="str">
        <f aca="false">IF(Raw_Export!$A1125="","",IFERROR(VLOOKUP(LOWER(TRIM(Raw_Export!C1125)),Maps!$A$2:$B$20,2,FALSE()),"UNMAPPED"))</f>
        <v>Nairobi CBD</v>
      </c>
      <c r="D1125" s="36" t="str">
        <f aca="false">IF(Raw_Export!$A1125="","",IFERROR(VLOOKUP(LOWER(TRIM(Raw_Export!D1125)),Maps!$G$2:$I$80,2,FALSE()),"UNMAPPED"))</f>
        <v>Cooking Oil 1L</v>
      </c>
      <c r="E1125" s="36" t="str">
        <f aca="false">IF(Raw_Export!$A1125="","",IFERROR(VLOOKUP(LOWER(TRIM(Raw_Export!D1125)),Maps!$G$2:$I$80,3,FALSE()),"UNMAPPED"))</f>
        <v>Staples</v>
      </c>
      <c r="F1125" s="36" t="n">
        <f aca="false">IF(Raw_Export!$A1125="","",IFERROR(VALUE(TRIM(Raw_Export!E1125)),0))</f>
        <v>1</v>
      </c>
      <c r="G1125" s="38" t="n">
        <f aca="false">IF(Raw_Export!$A1125="","",IFERROR(VALUE(SUBSTITUTE(SUBSTITUTE(UPPER(TRIM(Raw_Export!F1125)),"KES",""),",","")),0))</f>
        <v>330</v>
      </c>
      <c r="H1125" s="38" t="n">
        <f aca="false">IF(Raw_Export!$A1125="","",F1125*G1125)</f>
        <v>330</v>
      </c>
      <c r="I1125" s="36" t="str">
        <f aca="false">IF(Raw_Export!$A1125="","",IFERROR(VLOOKUP(LOWER(TRIM(Raw_Export!H1125)),Maps!$D$2:$E$12,2,FALSE()),"Other"))</f>
        <v>Cash</v>
      </c>
      <c r="J1125" s="36" t="str">
        <f aca="false">IF(Raw_Export!$A1125="","",IF(COUNTIF($A$2:A1125,A1125)&gt;1,"Duplicate",""))</f>
        <v/>
      </c>
      <c r="K1125" s="36" t="str">
        <f aca="false">IF(Raw_Export!$A1125="","",IF(J1125="Duplicate","Duplicate",IF(OR(C1125="UNMAPPED",D1125="UNMAPPED"),"Unmapped",IF(F1125=0,"Blank qty",IF(F1125&lt;0,"Return","OK")))))</f>
        <v>OK</v>
      </c>
      <c r="L1125" s="36" t="n">
        <f aca="false">IF(Raw_Export!$A1125="","",IF(OR(K1125="OK",K1125="Return"),1,0))</f>
        <v>1</v>
      </c>
      <c r="M1125" s="37" t="n">
        <f aca="false">IF(Raw_Export!$A1125="","",B1125-WEEKDAY(B1125,2)+1)</f>
        <v>46272</v>
      </c>
    </row>
    <row r="1126" customFormat="false" ht="15" hidden="false" customHeight="false" outlineLevel="0" collapsed="false">
      <c r="A1126" s="36" t="str">
        <f aca="false">IF(Raw_Export!$A1126="","",TRIM(Raw_Export!A1126))</f>
        <v>TXN-101105</v>
      </c>
      <c r="B1126" s="37" t="n">
        <f aca="false">IF(Raw_Export!$A1126="","",IF(ISNUMBER(Raw_Export!B1126),Raw_Export!B1126,IF(MID(TRIM(Raw_Export!B1126),5,1)="-",DATE(LEFT(TRIM(Raw_Export!B1126),4),MID(TRIM(Raw_Export!B1126),6,2),RIGHT(TRIM(Raw_Export!B1126),2)),DATE(RIGHT(TRIM(Raw_Export!B1126),4),MATCH(MID(TRIM(Raw_Export!B1126),4,3),{"Jan","Feb","Mar","Apr","May","Jun","Jul","Aug","Sep","Oct","Nov","Dec"},0),LEFT(TRIM(Raw_Export!B1126),2)))))</f>
        <v>46272</v>
      </c>
      <c r="C1126" s="36" t="str">
        <f aca="false">IF(Raw_Export!$A1126="","",IFERROR(VLOOKUP(LOWER(TRIM(Raw_Export!C1126)),Maps!$A$2:$B$20,2,FALSE()),"UNMAPPED"))</f>
        <v>Nairobi CBD</v>
      </c>
      <c r="D1126" s="36" t="str">
        <f aca="false">IF(Raw_Export!$A1126="","",IFERROR(VLOOKUP(LOWER(TRIM(Raw_Export!D1126)),Maps!$G$2:$I$80,2,FALSE()),"UNMAPPED"))</f>
        <v>Soda 500ml</v>
      </c>
      <c r="E1126" s="36" t="str">
        <f aca="false">IF(Raw_Export!$A1126="","",IFERROR(VLOOKUP(LOWER(TRIM(Raw_Export!D1126)),Maps!$G$2:$I$80,3,FALSE()),"UNMAPPED"))</f>
        <v>Beverages</v>
      </c>
      <c r="F1126" s="36" t="n">
        <f aca="false">IF(Raw_Export!$A1126="","",IFERROR(VALUE(TRIM(Raw_Export!E1126)),0))</f>
        <v>1</v>
      </c>
      <c r="G1126" s="38" t="n">
        <f aca="false">IF(Raw_Export!$A1126="","",IFERROR(VALUE(SUBSTITUTE(SUBSTITUTE(UPPER(TRIM(Raw_Export!F1126)),"KES",""),",","")),0))</f>
        <v>60</v>
      </c>
      <c r="H1126" s="38" t="n">
        <f aca="false">IF(Raw_Export!$A1126="","",F1126*G1126)</f>
        <v>60</v>
      </c>
      <c r="I1126" s="36" t="str">
        <f aca="false">IF(Raw_Export!$A1126="","",IFERROR(VLOOKUP(LOWER(TRIM(Raw_Export!H1126)),Maps!$D$2:$E$12,2,FALSE()),"Other"))</f>
        <v>M-Pesa</v>
      </c>
      <c r="J1126" s="36" t="str">
        <f aca="false">IF(Raw_Export!$A1126="","",IF(COUNTIF($A$2:A1126,A1126)&gt;1,"Duplicate",""))</f>
        <v/>
      </c>
      <c r="K1126" s="36" t="str">
        <f aca="false">IF(Raw_Export!$A1126="","",IF(J1126="Duplicate","Duplicate",IF(OR(C1126="UNMAPPED",D1126="UNMAPPED"),"Unmapped",IF(F1126=0,"Blank qty",IF(F1126&lt;0,"Return","OK")))))</f>
        <v>OK</v>
      </c>
      <c r="L1126" s="36" t="n">
        <f aca="false">IF(Raw_Export!$A1126="","",IF(OR(K1126="OK",K1126="Return"),1,0))</f>
        <v>1</v>
      </c>
      <c r="M1126" s="37" t="n">
        <f aca="false">IF(Raw_Export!$A1126="","",B1126-WEEKDAY(B1126,2)+1)</f>
        <v>46272</v>
      </c>
    </row>
    <row r="1127" customFormat="false" ht="15" hidden="false" customHeight="false" outlineLevel="0" collapsed="false">
      <c r="A1127" s="36" t="str">
        <f aca="false">IF(Raw_Export!$A1127="","",TRIM(Raw_Export!A1127))</f>
        <v>TXN-101106</v>
      </c>
      <c r="B1127" s="37" t="n">
        <f aca="false">IF(Raw_Export!$A1127="","",IF(ISNUMBER(Raw_Export!B1127),Raw_Export!B1127,IF(MID(TRIM(Raw_Export!B1127),5,1)="-",DATE(LEFT(TRIM(Raw_Export!B1127),4),MID(TRIM(Raw_Export!B1127),6,2),RIGHT(TRIM(Raw_Export!B1127),2)),DATE(RIGHT(TRIM(Raw_Export!B1127),4),MATCH(MID(TRIM(Raw_Export!B1127),4,3),{"Jan","Feb","Mar","Apr","May","Jun","Jul","Aug","Sep","Oct","Nov","Dec"},0),LEFT(TRIM(Raw_Export!B1127),2)))))</f>
        <v>46272</v>
      </c>
      <c r="C1127" s="36" t="str">
        <f aca="false">IF(Raw_Export!$A1127="","",IFERROR(VLOOKUP(LOWER(TRIM(Raw_Export!C1127)),Maps!$A$2:$B$20,2,FALSE()),"UNMAPPED"))</f>
        <v>Nairobi CBD</v>
      </c>
      <c r="D1127" s="36" t="str">
        <f aca="false">IF(Raw_Export!$A1127="","",IFERROR(VLOOKUP(LOWER(TRIM(Raw_Export!D1127)),Maps!$G$2:$I$80,2,FALSE()),"UNMAPPED"))</f>
        <v>Spaghetti 400g</v>
      </c>
      <c r="E1127" s="36" t="str">
        <f aca="false">IF(Raw_Export!$A1127="","",IFERROR(VLOOKUP(LOWER(TRIM(Raw_Export!D1127)),Maps!$G$2:$I$80,3,FALSE()),"UNMAPPED"))</f>
        <v>Staples</v>
      </c>
      <c r="F1127" s="36" t="n">
        <f aca="false">IF(Raw_Export!$A1127="","",IFERROR(VALUE(TRIM(Raw_Export!E1127)),0))</f>
        <v>2</v>
      </c>
      <c r="G1127" s="38" t="n">
        <f aca="false">IF(Raw_Export!$A1127="","",IFERROR(VALUE(SUBSTITUTE(SUBSTITUTE(UPPER(TRIM(Raw_Export!F1127)),"KES",""),",","")),0))</f>
        <v>110</v>
      </c>
      <c r="H1127" s="38" t="n">
        <f aca="false">IF(Raw_Export!$A1127="","",F1127*G1127)</f>
        <v>220</v>
      </c>
      <c r="I1127" s="36" t="str">
        <f aca="false">IF(Raw_Export!$A1127="","",IFERROR(VLOOKUP(LOWER(TRIM(Raw_Export!H1127)),Maps!$D$2:$E$12,2,FALSE()),"Other"))</f>
        <v>Card</v>
      </c>
      <c r="J1127" s="36" t="str">
        <f aca="false">IF(Raw_Export!$A1127="","",IF(COUNTIF($A$2:A1127,A1127)&gt;1,"Duplicate",""))</f>
        <v/>
      </c>
      <c r="K1127" s="36" t="str">
        <f aca="false">IF(Raw_Export!$A1127="","",IF(J1127="Duplicate","Duplicate",IF(OR(C1127="UNMAPPED",D1127="UNMAPPED"),"Unmapped",IF(F1127=0,"Blank qty",IF(F1127&lt;0,"Return","OK")))))</f>
        <v>OK</v>
      </c>
      <c r="L1127" s="36" t="n">
        <f aca="false">IF(Raw_Export!$A1127="","",IF(OR(K1127="OK",K1127="Return"),1,0))</f>
        <v>1</v>
      </c>
      <c r="M1127" s="37" t="n">
        <f aca="false">IF(Raw_Export!$A1127="","",B1127-WEEKDAY(B1127,2)+1)</f>
        <v>46272</v>
      </c>
    </row>
    <row r="1128" customFormat="false" ht="15" hidden="false" customHeight="false" outlineLevel="0" collapsed="false">
      <c r="A1128" s="36" t="str">
        <f aca="false">IF(Raw_Export!$A1128="","",TRIM(Raw_Export!A1128))</f>
        <v>TXN-101107</v>
      </c>
      <c r="B1128" s="37" t="n">
        <f aca="false">IF(Raw_Export!$A1128="","",IF(ISNUMBER(Raw_Export!B1128),Raw_Export!B1128,IF(MID(TRIM(Raw_Export!B1128),5,1)="-",DATE(LEFT(TRIM(Raw_Export!B1128),4),MID(TRIM(Raw_Export!B1128),6,2),RIGHT(TRIM(Raw_Export!B1128),2)),DATE(RIGHT(TRIM(Raw_Export!B1128),4),MATCH(MID(TRIM(Raw_Export!B1128),4,3),{"Jan","Feb","Mar","Apr","May","Jun","Jul","Aug","Sep","Oct","Nov","Dec"},0),LEFT(TRIM(Raw_Export!B1128),2)))))</f>
        <v>46272</v>
      </c>
      <c r="C1128" s="36" t="str">
        <f aca="false">IF(Raw_Export!$A1128="","",IFERROR(VLOOKUP(LOWER(TRIM(Raw_Export!C1128)),Maps!$A$2:$B$20,2,FALSE()),"UNMAPPED"))</f>
        <v>Nairobi CBD</v>
      </c>
      <c r="D1128" s="36" t="str">
        <f aca="false">IF(Raw_Export!$A1128="","",IFERROR(VLOOKUP(LOWER(TRIM(Raw_Export!D1128)),Maps!$G$2:$I$80,2,FALSE()),"UNMAPPED"))</f>
        <v>Soda 500ml</v>
      </c>
      <c r="E1128" s="36" t="str">
        <f aca="false">IF(Raw_Export!$A1128="","",IFERROR(VLOOKUP(LOWER(TRIM(Raw_Export!D1128)),Maps!$G$2:$I$80,3,FALSE()),"UNMAPPED"))</f>
        <v>Beverages</v>
      </c>
      <c r="F1128" s="36" t="n">
        <f aca="false">IF(Raw_Export!$A1128="","",IFERROR(VALUE(TRIM(Raw_Export!E1128)),0))</f>
        <v>1</v>
      </c>
      <c r="G1128" s="38" t="n">
        <f aca="false">IF(Raw_Export!$A1128="","",IFERROR(VALUE(SUBSTITUTE(SUBSTITUTE(UPPER(TRIM(Raw_Export!F1128)),"KES",""),",","")),0))</f>
        <v>54</v>
      </c>
      <c r="H1128" s="38" t="n">
        <f aca="false">IF(Raw_Export!$A1128="","",F1128*G1128)</f>
        <v>54</v>
      </c>
      <c r="I1128" s="36" t="str">
        <f aca="false">IF(Raw_Export!$A1128="","",IFERROR(VLOOKUP(LOWER(TRIM(Raw_Export!H1128)),Maps!$D$2:$E$12,2,FALSE()),"Other"))</f>
        <v>M-Pesa</v>
      </c>
      <c r="J1128" s="36" t="str">
        <f aca="false">IF(Raw_Export!$A1128="","",IF(COUNTIF($A$2:A1128,A1128)&gt;1,"Duplicate",""))</f>
        <v/>
      </c>
      <c r="K1128" s="36" t="str">
        <f aca="false">IF(Raw_Export!$A1128="","",IF(J1128="Duplicate","Duplicate",IF(OR(C1128="UNMAPPED",D1128="UNMAPPED"),"Unmapped",IF(F1128=0,"Blank qty",IF(F1128&lt;0,"Return","OK")))))</f>
        <v>OK</v>
      </c>
      <c r="L1128" s="36" t="n">
        <f aca="false">IF(Raw_Export!$A1128="","",IF(OR(K1128="OK",K1128="Return"),1,0))</f>
        <v>1</v>
      </c>
      <c r="M1128" s="37" t="n">
        <f aca="false">IF(Raw_Export!$A1128="","",B1128-WEEKDAY(B1128,2)+1)</f>
        <v>46272</v>
      </c>
    </row>
    <row r="1129" customFormat="false" ht="15" hidden="false" customHeight="false" outlineLevel="0" collapsed="false">
      <c r="A1129" s="36" t="str">
        <f aca="false">IF(Raw_Export!$A1129="","",TRIM(Raw_Export!A1129))</f>
        <v>TXN-101108</v>
      </c>
      <c r="B1129" s="37" t="n">
        <f aca="false">IF(Raw_Export!$A1129="","",IF(ISNUMBER(Raw_Export!B1129),Raw_Export!B1129,IF(MID(TRIM(Raw_Export!B1129),5,1)="-",DATE(LEFT(TRIM(Raw_Export!B1129),4),MID(TRIM(Raw_Export!B1129),6,2),RIGHT(TRIM(Raw_Export!B1129),2)),DATE(RIGHT(TRIM(Raw_Export!B1129),4),MATCH(MID(TRIM(Raw_Export!B1129),4,3),{"Jan","Feb","Mar","Apr","May","Jun","Jul","Aug","Sep","Oct","Nov","Dec"},0),LEFT(TRIM(Raw_Export!B1129),2)))))</f>
        <v>46272</v>
      </c>
      <c r="C1129" s="36" t="str">
        <f aca="false">IF(Raw_Export!$A1129="","",IFERROR(VLOOKUP(LOWER(TRIM(Raw_Export!C1129)),Maps!$A$2:$B$20,2,FALSE()),"UNMAPPED"))</f>
        <v>Nairobi CBD</v>
      </c>
      <c r="D1129" s="36" t="str">
        <f aca="false">IF(Raw_Export!$A1129="","",IFERROR(VLOOKUP(LOWER(TRIM(Raw_Export!D1129)),Maps!$G$2:$I$80,2,FALSE()),"UNMAPPED"))</f>
        <v>Chocolate Bar 90g</v>
      </c>
      <c r="E1129" s="36" t="str">
        <f aca="false">IF(Raw_Export!$A1129="","",IFERROR(VLOOKUP(LOWER(TRIM(Raw_Export!D1129)),Maps!$G$2:$I$80,3,FALSE()),"UNMAPPED"))</f>
        <v>Snacks</v>
      </c>
      <c r="F1129" s="36" t="n">
        <f aca="false">IF(Raw_Export!$A1129="","",IFERROR(VALUE(TRIM(Raw_Export!E1129)),0))</f>
        <v>3</v>
      </c>
      <c r="G1129" s="38" t="n">
        <f aca="false">IF(Raw_Export!$A1129="","",IFERROR(VALUE(SUBSTITUTE(SUBSTITUTE(UPPER(TRIM(Raw_Export!F1129)),"KES",""),",","")),0))</f>
        <v>140</v>
      </c>
      <c r="H1129" s="38" t="n">
        <f aca="false">IF(Raw_Export!$A1129="","",F1129*G1129)</f>
        <v>420</v>
      </c>
      <c r="I1129" s="36" t="str">
        <f aca="false">IF(Raw_Export!$A1129="","",IFERROR(VLOOKUP(LOWER(TRIM(Raw_Export!H1129)),Maps!$D$2:$E$12,2,FALSE()),"Other"))</f>
        <v>M-Pesa</v>
      </c>
      <c r="J1129" s="36" t="str">
        <f aca="false">IF(Raw_Export!$A1129="","",IF(COUNTIF($A$2:A1129,A1129)&gt;1,"Duplicate",""))</f>
        <v/>
      </c>
      <c r="K1129" s="36" t="str">
        <f aca="false">IF(Raw_Export!$A1129="","",IF(J1129="Duplicate","Duplicate",IF(OR(C1129="UNMAPPED",D1129="UNMAPPED"),"Unmapped",IF(F1129=0,"Blank qty",IF(F1129&lt;0,"Return","OK")))))</f>
        <v>OK</v>
      </c>
      <c r="L1129" s="36" t="n">
        <f aca="false">IF(Raw_Export!$A1129="","",IF(OR(K1129="OK",K1129="Return"),1,0))</f>
        <v>1</v>
      </c>
      <c r="M1129" s="37" t="n">
        <f aca="false">IF(Raw_Export!$A1129="","",B1129-WEEKDAY(B1129,2)+1)</f>
        <v>46272</v>
      </c>
    </row>
    <row r="1130" customFormat="false" ht="15" hidden="false" customHeight="false" outlineLevel="0" collapsed="false">
      <c r="A1130" s="36" t="str">
        <f aca="false">IF(Raw_Export!$A1130="","",TRIM(Raw_Export!A1130))</f>
        <v>TXN-101109</v>
      </c>
      <c r="B1130" s="37" t="n">
        <f aca="false">IF(Raw_Export!$A1130="","",IF(ISNUMBER(Raw_Export!B1130),Raw_Export!B1130,IF(MID(TRIM(Raw_Export!B1130),5,1)="-",DATE(LEFT(TRIM(Raw_Export!B1130),4),MID(TRIM(Raw_Export!B1130),6,2),RIGHT(TRIM(Raw_Export!B1130),2)),DATE(RIGHT(TRIM(Raw_Export!B1130),4),MATCH(MID(TRIM(Raw_Export!B1130),4,3),{"Jan","Feb","Mar","Apr","May","Jun","Jul","Aug","Sep","Oct","Nov","Dec"},0),LEFT(TRIM(Raw_Export!B1130),2)))))</f>
        <v>46272</v>
      </c>
      <c r="C1130" s="36" t="str">
        <f aca="false">IF(Raw_Export!$A1130="","",IFERROR(VLOOKUP(LOWER(TRIM(Raw_Export!C1130)),Maps!$A$2:$B$20,2,FALSE()),"UNMAPPED"))</f>
        <v>Nairobi CBD</v>
      </c>
      <c r="D1130" s="36" t="str">
        <f aca="false">IF(Raw_Export!$A1130="","",IFERROR(VLOOKUP(LOWER(TRIM(Raw_Export!D1130)),Maps!$G$2:$I$80,2,FALSE()),"UNMAPPED"))</f>
        <v>Tea Leaves 250g</v>
      </c>
      <c r="E1130" s="36" t="str">
        <f aca="false">IF(Raw_Export!$A1130="","",IFERROR(VLOOKUP(LOWER(TRIM(Raw_Export!D1130)),Maps!$G$2:$I$80,3,FALSE()),"UNMAPPED"))</f>
        <v>Beverages</v>
      </c>
      <c r="F1130" s="36" t="n">
        <f aca="false">IF(Raw_Export!$A1130="","",IFERROR(VALUE(TRIM(Raw_Export!E1130)),0))</f>
        <v>1</v>
      </c>
      <c r="G1130" s="38" t="n">
        <f aca="false">IF(Raw_Export!$A1130="","",IFERROR(VALUE(SUBSTITUTE(SUBSTITUTE(UPPER(TRIM(Raw_Export!F1130)),"KES",""),",","")),0))</f>
        <v>150</v>
      </c>
      <c r="H1130" s="38" t="n">
        <f aca="false">IF(Raw_Export!$A1130="","",F1130*G1130)</f>
        <v>150</v>
      </c>
      <c r="I1130" s="36" t="str">
        <f aca="false">IF(Raw_Export!$A1130="","",IFERROR(VLOOKUP(LOWER(TRIM(Raw_Export!H1130)),Maps!$D$2:$E$12,2,FALSE()),"Other"))</f>
        <v>M-Pesa</v>
      </c>
      <c r="J1130" s="36" t="str">
        <f aca="false">IF(Raw_Export!$A1130="","",IF(COUNTIF($A$2:A1130,A1130)&gt;1,"Duplicate",""))</f>
        <v/>
      </c>
      <c r="K1130" s="36" t="str">
        <f aca="false">IF(Raw_Export!$A1130="","",IF(J1130="Duplicate","Duplicate",IF(OR(C1130="UNMAPPED",D1130="UNMAPPED"),"Unmapped",IF(F1130=0,"Blank qty",IF(F1130&lt;0,"Return","OK")))))</f>
        <v>OK</v>
      </c>
      <c r="L1130" s="36" t="n">
        <f aca="false">IF(Raw_Export!$A1130="","",IF(OR(K1130="OK",K1130="Return"),1,0))</f>
        <v>1</v>
      </c>
      <c r="M1130" s="37" t="n">
        <f aca="false">IF(Raw_Export!$A1130="","",B1130-WEEKDAY(B1130,2)+1)</f>
        <v>46272</v>
      </c>
    </row>
    <row r="1131" customFormat="false" ht="15" hidden="false" customHeight="false" outlineLevel="0" collapsed="false">
      <c r="A1131" s="36" t="str">
        <f aca="false">IF(Raw_Export!$A1131="","",TRIM(Raw_Export!A1131))</f>
        <v>TXN-101110</v>
      </c>
      <c r="B1131" s="37" t="n">
        <f aca="false">IF(Raw_Export!$A1131="","",IF(ISNUMBER(Raw_Export!B1131),Raw_Export!B1131,IF(MID(TRIM(Raw_Export!B1131),5,1)="-",DATE(LEFT(TRIM(Raw_Export!B1131),4),MID(TRIM(Raw_Export!B1131),6,2),RIGHT(TRIM(Raw_Export!B1131),2)),DATE(RIGHT(TRIM(Raw_Export!B1131),4),MATCH(MID(TRIM(Raw_Export!B1131),4,3),{"Jan","Feb","Mar","Apr","May","Jun","Jul","Aug","Sep","Oct","Nov","Dec"},0),LEFT(TRIM(Raw_Export!B1131),2)))))</f>
        <v>46272</v>
      </c>
      <c r="C1131" s="36" t="str">
        <f aca="false">IF(Raw_Export!$A1131="","",IFERROR(VLOOKUP(LOWER(TRIM(Raw_Export!C1131)),Maps!$A$2:$B$20,2,FALSE()),"UNMAPPED"))</f>
        <v>Westlands</v>
      </c>
      <c r="D1131" s="36" t="str">
        <f aca="false">IF(Raw_Export!$A1131="","",IFERROR(VLOOKUP(LOWER(TRIM(Raw_Export!D1131)),Maps!$G$2:$I$80,2,FALSE()),"UNMAPPED"))</f>
        <v>Cooking Oil 1L</v>
      </c>
      <c r="E1131" s="36" t="str">
        <f aca="false">IF(Raw_Export!$A1131="","",IFERROR(VLOOKUP(LOWER(TRIM(Raw_Export!D1131)),Maps!$G$2:$I$80,3,FALSE()),"UNMAPPED"))</f>
        <v>Staples</v>
      </c>
      <c r="F1131" s="36" t="n">
        <f aca="false">IF(Raw_Export!$A1131="","",IFERROR(VALUE(TRIM(Raw_Export!E1131)),0))</f>
        <v>4</v>
      </c>
      <c r="G1131" s="38" t="n">
        <f aca="false">IF(Raw_Export!$A1131="","",IFERROR(VALUE(SUBSTITUTE(SUBSTITUTE(UPPER(TRIM(Raw_Export!F1131)),"KES",""),",","")),0))</f>
        <v>330</v>
      </c>
      <c r="H1131" s="38" t="n">
        <f aca="false">IF(Raw_Export!$A1131="","",F1131*G1131)</f>
        <v>1320</v>
      </c>
      <c r="I1131" s="36" t="str">
        <f aca="false">IF(Raw_Export!$A1131="","",IFERROR(VLOOKUP(LOWER(TRIM(Raw_Export!H1131)),Maps!$D$2:$E$12,2,FALSE()),"Other"))</f>
        <v>M-Pesa</v>
      </c>
      <c r="J1131" s="36" t="str">
        <f aca="false">IF(Raw_Export!$A1131="","",IF(COUNTIF($A$2:A1131,A1131)&gt;1,"Duplicate",""))</f>
        <v/>
      </c>
      <c r="K1131" s="36" t="str">
        <f aca="false">IF(Raw_Export!$A1131="","",IF(J1131="Duplicate","Duplicate",IF(OR(C1131="UNMAPPED",D1131="UNMAPPED"),"Unmapped",IF(F1131=0,"Blank qty",IF(F1131&lt;0,"Return","OK")))))</f>
        <v>OK</v>
      </c>
      <c r="L1131" s="36" t="n">
        <f aca="false">IF(Raw_Export!$A1131="","",IF(OR(K1131="OK",K1131="Return"),1,0))</f>
        <v>1</v>
      </c>
      <c r="M1131" s="37" t="n">
        <f aca="false">IF(Raw_Export!$A1131="","",B1131-WEEKDAY(B1131,2)+1)</f>
        <v>46272</v>
      </c>
    </row>
    <row r="1132" customFormat="false" ht="15" hidden="false" customHeight="false" outlineLevel="0" collapsed="false">
      <c r="A1132" s="36" t="str">
        <f aca="false">IF(Raw_Export!$A1132="","",TRIM(Raw_Export!A1132))</f>
        <v>TXN-101111</v>
      </c>
      <c r="B1132" s="37" t="n">
        <f aca="false">IF(Raw_Export!$A1132="","",IF(ISNUMBER(Raw_Export!B1132),Raw_Export!B1132,IF(MID(TRIM(Raw_Export!B1132),5,1)="-",DATE(LEFT(TRIM(Raw_Export!B1132),4),MID(TRIM(Raw_Export!B1132),6,2),RIGHT(TRIM(Raw_Export!B1132),2)),DATE(RIGHT(TRIM(Raw_Export!B1132),4),MATCH(MID(TRIM(Raw_Export!B1132),4,3),{"Jan","Feb","Mar","Apr","May","Jun","Jul","Aug","Sep","Oct","Nov","Dec"},0),LEFT(TRIM(Raw_Export!B1132),2)))))</f>
        <v>46272</v>
      </c>
      <c r="C1132" s="36" t="str">
        <f aca="false">IF(Raw_Export!$A1132="","",IFERROR(VLOOKUP(LOWER(TRIM(Raw_Export!C1132)),Maps!$A$2:$B$20,2,FALSE()),"UNMAPPED"))</f>
        <v>Westlands</v>
      </c>
      <c r="D1132" s="36" t="str">
        <f aca="false">IF(Raw_Export!$A1132="","",IFERROR(VLOOKUP(LOWER(TRIM(Raw_Export!D1132)),Maps!$G$2:$I$80,2,FALSE()),"UNMAPPED"))</f>
        <v>Soda 500ml</v>
      </c>
      <c r="E1132" s="36" t="str">
        <f aca="false">IF(Raw_Export!$A1132="","",IFERROR(VLOOKUP(LOWER(TRIM(Raw_Export!D1132)),Maps!$G$2:$I$80,3,FALSE()),"UNMAPPED"))</f>
        <v>Beverages</v>
      </c>
      <c r="F1132" s="36" t="n">
        <f aca="false">IF(Raw_Export!$A1132="","",IFERROR(VALUE(TRIM(Raw_Export!E1132)),0))</f>
        <v>3</v>
      </c>
      <c r="G1132" s="38" t="n">
        <f aca="false">IF(Raw_Export!$A1132="","",IFERROR(VALUE(SUBSTITUTE(SUBSTITUTE(UPPER(TRIM(Raw_Export!F1132)),"KES",""),",","")),0))</f>
        <v>60</v>
      </c>
      <c r="H1132" s="38" t="n">
        <f aca="false">IF(Raw_Export!$A1132="","",F1132*G1132)</f>
        <v>180</v>
      </c>
      <c r="I1132" s="36" t="str">
        <f aca="false">IF(Raw_Export!$A1132="","",IFERROR(VLOOKUP(LOWER(TRIM(Raw_Export!H1132)),Maps!$D$2:$E$12,2,FALSE()),"Other"))</f>
        <v>Cash</v>
      </c>
      <c r="J1132" s="36" t="str">
        <f aca="false">IF(Raw_Export!$A1132="","",IF(COUNTIF($A$2:A1132,A1132)&gt;1,"Duplicate",""))</f>
        <v/>
      </c>
      <c r="K1132" s="36" t="str">
        <f aca="false">IF(Raw_Export!$A1132="","",IF(J1132="Duplicate","Duplicate",IF(OR(C1132="UNMAPPED",D1132="UNMAPPED"),"Unmapped",IF(F1132=0,"Blank qty",IF(F1132&lt;0,"Return","OK")))))</f>
        <v>OK</v>
      </c>
      <c r="L1132" s="36" t="n">
        <f aca="false">IF(Raw_Export!$A1132="","",IF(OR(K1132="OK",K1132="Return"),1,0))</f>
        <v>1</v>
      </c>
      <c r="M1132" s="37" t="n">
        <f aca="false">IF(Raw_Export!$A1132="","",B1132-WEEKDAY(B1132,2)+1)</f>
        <v>46272</v>
      </c>
    </row>
    <row r="1133" customFormat="false" ht="15" hidden="false" customHeight="false" outlineLevel="0" collapsed="false">
      <c r="A1133" s="36" t="str">
        <f aca="false">IF(Raw_Export!$A1133="","",TRIM(Raw_Export!A1133))</f>
        <v>TXN-101112</v>
      </c>
      <c r="B1133" s="37" t="n">
        <f aca="false">IF(Raw_Export!$A1133="","",IF(ISNUMBER(Raw_Export!B1133),Raw_Export!B1133,IF(MID(TRIM(Raw_Export!B1133),5,1)="-",DATE(LEFT(TRIM(Raw_Export!B1133),4),MID(TRIM(Raw_Export!B1133),6,2),RIGHT(TRIM(Raw_Export!B1133),2)),DATE(RIGHT(TRIM(Raw_Export!B1133),4),MATCH(MID(TRIM(Raw_Export!B1133),4,3),{"Jan","Feb","Mar","Apr","May","Jun","Jul","Aug","Sep","Oct","Nov","Dec"},0),LEFT(TRIM(Raw_Export!B1133),2)))))</f>
        <v>46272</v>
      </c>
      <c r="C1133" s="36" t="str">
        <f aca="false">IF(Raw_Export!$A1133="","",IFERROR(VLOOKUP(LOWER(TRIM(Raw_Export!C1133)),Maps!$A$2:$B$20,2,FALSE()),"UNMAPPED"))</f>
        <v>Westlands</v>
      </c>
      <c r="D1133" s="36" t="str">
        <f aca="false">IF(Raw_Export!$A1133="","",IFERROR(VLOOKUP(LOWER(TRIM(Raw_Export!D1133)),Maps!$G$2:$I$80,2,FALSE()),"UNMAPPED"))</f>
        <v>Spaghetti 400g</v>
      </c>
      <c r="E1133" s="36" t="str">
        <f aca="false">IF(Raw_Export!$A1133="","",IFERROR(VLOOKUP(LOWER(TRIM(Raw_Export!D1133)),Maps!$G$2:$I$80,3,FALSE()),"UNMAPPED"))</f>
        <v>Staples</v>
      </c>
      <c r="F1133" s="36" t="n">
        <f aca="false">IF(Raw_Export!$A1133="","",IFERROR(VALUE(TRIM(Raw_Export!E1133)),0))</f>
        <v>1</v>
      </c>
      <c r="G1133" s="38" t="n">
        <f aca="false">IF(Raw_Export!$A1133="","",IFERROR(VALUE(SUBSTITUTE(SUBSTITUTE(UPPER(TRIM(Raw_Export!F1133)),"KES",""),",","")),0))</f>
        <v>110</v>
      </c>
      <c r="H1133" s="38" t="n">
        <f aca="false">IF(Raw_Export!$A1133="","",F1133*G1133)</f>
        <v>110</v>
      </c>
      <c r="I1133" s="36" t="str">
        <f aca="false">IF(Raw_Export!$A1133="","",IFERROR(VLOOKUP(LOWER(TRIM(Raw_Export!H1133)),Maps!$D$2:$E$12,2,FALSE()),"Other"))</f>
        <v>Cash</v>
      </c>
      <c r="J1133" s="36" t="str">
        <f aca="false">IF(Raw_Export!$A1133="","",IF(COUNTIF($A$2:A1133,A1133)&gt;1,"Duplicate",""))</f>
        <v/>
      </c>
      <c r="K1133" s="36" t="str">
        <f aca="false">IF(Raw_Export!$A1133="","",IF(J1133="Duplicate","Duplicate",IF(OR(C1133="UNMAPPED",D1133="UNMAPPED"),"Unmapped",IF(F1133=0,"Blank qty",IF(F1133&lt;0,"Return","OK")))))</f>
        <v>OK</v>
      </c>
      <c r="L1133" s="36" t="n">
        <f aca="false">IF(Raw_Export!$A1133="","",IF(OR(K1133="OK",K1133="Return"),1,0))</f>
        <v>1</v>
      </c>
      <c r="M1133" s="37" t="n">
        <f aca="false">IF(Raw_Export!$A1133="","",B1133-WEEKDAY(B1133,2)+1)</f>
        <v>46272</v>
      </c>
    </row>
    <row r="1134" customFormat="false" ht="15" hidden="false" customHeight="false" outlineLevel="0" collapsed="false">
      <c r="A1134" s="36" t="str">
        <f aca="false">IF(Raw_Export!$A1134="","",TRIM(Raw_Export!A1134))</f>
        <v>TXN-101113</v>
      </c>
      <c r="B1134" s="37" t="n">
        <f aca="false">IF(Raw_Export!$A1134="","",IF(ISNUMBER(Raw_Export!B1134),Raw_Export!B1134,IF(MID(TRIM(Raw_Export!B1134),5,1)="-",DATE(LEFT(TRIM(Raw_Export!B1134),4),MID(TRIM(Raw_Export!B1134),6,2),RIGHT(TRIM(Raw_Export!B1134),2)),DATE(RIGHT(TRIM(Raw_Export!B1134),4),MATCH(MID(TRIM(Raw_Export!B1134),4,3),{"Jan","Feb","Mar","Apr","May","Jun","Jul","Aug","Sep","Oct","Nov","Dec"},0),LEFT(TRIM(Raw_Export!B1134),2)))))</f>
        <v>46272</v>
      </c>
      <c r="C1134" s="36" t="str">
        <f aca="false">IF(Raw_Export!$A1134="","",IFERROR(VLOOKUP(LOWER(TRIM(Raw_Export!C1134)),Maps!$A$2:$B$20,2,FALSE()),"UNMAPPED"))</f>
        <v>Westlands</v>
      </c>
      <c r="D1134" s="36" t="str">
        <f aca="false">IF(Raw_Export!$A1134="","",IFERROR(VLOOKUP(LOWER(TRIM(Raw_Export!D1134)),Maps!$G$2:$I$80,2,FALSE()),"UNMAPPED"))</f>
        <v>Cooking Oil 1L</v>
      </c>
      <c r="E1134" s="36" t="str">
        <f aca="false">IF(Raw_Export!$A1134="","",IFERROR(VLOOKUP(LOWER(TRIM(Raw_Export!D1134)),Maps!$G$2:$I$80,3,FALSE()),"UNMAPPED"))</f>
        <v>Staples</v>
      </c>
      <c r="F1134" s="36" t="n">
        <f aca="false">IF(Raw_Export!$A1134="","",IFERROR(VALUE(TRIM(Raw_Export!E1134)),0))</f>
        <v>4</v>
      </c>
      <c r="G1134" s="38" t="n">
        <f aca="false">IF(Raw_Export!$A1134="","",IFERROR(VALUE(SUBSTITUTE(SUBSTITUTE(UPPER(TRIM(Raw_Export!F1134)),"KES",""),",","")),0))</f>
        <v>297</v>
      </c>
      <c r="H1134" s="38" t="n">
        <f aca="false">IF(Raw_Export!$A1134="","",F1134*G1134)</f>
        <v>1188</v>
      </c>
      <c r="I1134" s="36" t="str">
        <f aca="false">IF(Raw_Export!$A1134="","",IFERROR(VLOOKUP(LOWER(TRIM(Raw_Export!H1134)),Maps!$D$2:$E$12,2,FALSE()),"Other"))</f>
        <v>M-Pesa</v>
      </c>
      <c r="J1134" s="36" t="str">
        <f aca="false">IF(Raw_Export!$A1134="","",IF(COUNTIF($A$2:A1134,A1134)&gt;1,"Duplicate",""))</f>
        <v/>
      </c>
      <c r="K1134" s="36" t="str">
        <f aca="false">IF(Raw_Export!$A1134="","",IF(J1134="Duplicate","Duplicate",IF(OR(C1134="UNMAPPED",D1134="UNMAPPED"),"Unmapped",IF(F1134=0,"Blank qty",IF(F1134&lt;0,"Return","OK")))))</f>
        <v>OK</v>
      </c>
      <c r="L1134" s="36" t="n">
        <f aca="false">IF(Raw_Export!$A1134="","",IF(OR(K1134="OK",K1134="Return"),1,0))</f>
        <v>1</v>
      </c>
      <c r="M1134" s="37" t="n">
        <f aca="false">IF(Raw_Export!$A1134="","",B1134-WEEKDAY(B1134,2)+1)</f>
        <v>46272</v>
      </c>
    </row>
    <row r="1135" customFormat="false" ht="15" hidden="false" customHeight="false" outlineLevel="0" collapsed="false">
      <c r="A1135" s="36" t="str">
        <f aca="false">IF(Raw_Export!$A1135="","",TRIM(Raw_Export!A1135))</f>
        <v>TXN-101114</v>
      </c>
      <c r="B1135" s="37" t="n">
        <f aca="false">IF(Raw_Export!$A1135="","",IF(ISNUMBER(Raw_Export!B1135),Raw_Export!B1135,IF(MID(TRIM(Raw_Export!B1135),5,1)="-",DATE(LEFT(TRIM(Raw_Export!B1135),4),MID(TRIM(Raw_Export!B1135),6,2),RIGHT(TRIM(Raw_Export!B1135),2)),DATE(RIGHT(TRIM(Raw_Export!B1135),4),MATCH(MID(TRIM(Raw_Export!B1135),4,3),{"Jan","Feb","Mar","Apr","May","Jun","Jul","Aug","Sep","Oct","Nov","Dec"},0),LEFT(TRIM(Raw_Export!B1135),2)))))</f>
        <v>46272</v>
      </c>
      <c r="C1135" s="36" t="str">
        <f aca="false">IF(Raw_Export!$A1135="","",IFERROR(VLOOKUP(LOWER(TRIM(Raw_Export!C1135)),Maps!$A$2:$B$20,2,FALSE()),"UNMAPPED"))</f>
        <v>Westlands</v>
      </c>
      <c r="D1135" s="36" t="str">
        <f aca="false">IF(Raw_Export!$A1135="","",IFERROR(VLOOKUP(LOWER(TRIM(Raw_Export!D1135)),Maps!$G$2:$I$80,2,FALSE()),"UNMAPPED"))</f>
        <v>Body Lotion 400ml</v>
      </c>
      <c r="E1135" s="36" t="str">
        <f aca="false">IF(Raw_Export!$A1135="","",IFERROR(VLOOKUP(LOWER(TRIM(Raw_Export!D1135)),Maps!$G$2:$I$80,3,FALSE()),"UNMAPPED"))</f>
        <v>Personal Care</v>
      </c>
      <c r="F1135" s="36" t="n">
        <f aca="false">IF(Raw_Export!$A1135="","",IFERROR(VALUE(TRIM(Raw_Export!E1135)),0))</f>
        <v>1</v>
      </c>
      <c r="G1135" s="38" t="n">
        <f aca="false">IF(Raw_Export!$A1135="","",IFERROR(VALUE(SUBSTITUTE(SUBSTITUTE(UPPER(TRIM(Raw_Export!F1135)),"KES",""),",","")),0))</f>
        <v>420</v>
      </c>
      <c r="H1135" s="38" t="n">
        <f aca="false">IF(Raw_Export!$A1135="","",F1135*G1135)</f>
        <v>420</v>
      </c>
      <c r="I1135" s="36" t="str">
        <f aca="false">IF(Raw_Export!$A1135="","",IFERROR(VLOOKUP(LOWER(TRIM(Raw_Export!H1135)),Maps!$D$2:$E$12,2,FALSE()),"Other"))</f>
        <v>Card</v>
      </c>
      <c r="J1135" s="36" t="str">
        <f aca="false">IF(Raw_Export!$A1135="","",IF(COUNTIF($A$2:A1135,A1135)&gt;1,"Duplicate",""))</f>
        <v/>
      </c>
      <c r="K1135" s="36" t="str">
        <f aca="false">IF(Raw_Export!$A1135="","",IF(J1135="Duplicate","Duplicate",IF(OR(C1135="UNMAPPED",D1135="UNMAPPED"),"Unmapped",IF(F1135=0,"Blank qty",IF(F1135&lt;0,"Return","OK")))))</f>
        <v>OK</v>
      </c>
      <c r="L1135" s="36" t="n">
        <f aca="false">IF(Raw_Export!$A1135="","",IF(OR(K1135="OK",K1135="Return"),1,0))</f>
        <v>1</v>
      </c>
      <c r="M1135" s="37" t="n">
        <f aca="false">IF(Raw_Export!$A1135="","",B1135-WEEKDAY(B1135,2)+1)</f>
        <v>46272</v>
      </c>
    </row>
    <row r="1136" customFormat="false" ht="15" hidden="false" customHeight="false" outlineLevel="0" collapsed="false">
      <c r="A1136" s="36" t="str">
        <f aca="false">IF(Raw_Export!$A1136="","",TRIM(Raw_Export!A1136))</f>
        <v>TXN-101115</v>
      </c>
      <c r="B1136" s="37" t="n">
        <f aca="false">IF(Raw_Export!$A1136="","",IF(ISNUMBER(Raw_Export!B1136),Raw_Export!B1136,IF(MID(TRIM(Raw_Export!B1136),5,1)="-",DATE(LEFT(TRIM(Raw_Export!B1136),4),MID(TRIM(Raw_Export!B1136),6,2),RIGHT(TRIM(Raw_Export!B1136),2)),DATE(RIGHT(TRIM(Raw_Export!B1136),4),MATCH(MID(TRIM(Raw_Export!B1136),4,3),{"Jan","Feb","Mar","Apr","May","Jun","Jul","Aug","Sep","Oct","Nov","Dec"},0),LEFT(TRIM(Raw_Export!B1136),2)))))</f>
        <v>46272</v>
      </c>
      <c r="C1136" s="36" t="str">
        <f aca="false">IF(Raw_Export!$A1136="","",IFERROR(VLOOKUP(LOWER(TRIM(Raw_Export!C1136)),Maps!$A$2:$B$20,2,FALSE()),"UNMAPPED"))</f>
        <v>Westlands</v>
      </c>
      <c r="D1136" s="36" t="str">
        <f aca="false">IF(Raw_Export!$A1136="","",IFERROR(VLOOKUP(LOWER(TRIM(Raw_Export!D1136)),Maps!$G$2:$I$80,2,FALSE()),"UNMAPPED"))</f>
        <v>Washing Powder 1kg</v>
      </c>
      <c r="E1136" s="36" t="str">
        <f aca="false">IF(Raw_Export!$A1136="","",IFERROR(VLOOKUP(LOWER(TRIM(Raw_Export!D1136)),Maps!$G$2:$I$80,3,FALSE()),"UNMAPPED"))</f>
        <v>Household</v>
      </c>
      <c r="F1136" s="36" t="n">
        <f aca="false">IF(Raw_Export!$A1136="","",IFERROR(VALUE(TRIM(Raw_Export!E1136)),0))</f>
        <v>3</v>
      </c>
      <c r="G1136" s="38" t="n">
        <f aca="false">IF(Raw_Export!$A1136="","",IFERROR(VALUE(SUBSTITUTE(SUBSTITUTE(UPPER(TRIM(Raw_Export!F1136)),"KES",""),",","")),0))</f>
        <v>252</v>
      </c>
      <c r="H1136" s="38" t="n">
        <f aca="false">IF(Raw_Export!$A1136="","",F1136*G1136)</f>
        <v>756</v>
      </c>
      <c r="I1136" s="36" t="str">
        <f aca="false">IF(Raw_Export!$A1136="","",IFERROR(VLOOKUP(LOWER(TRIM(Raw_Export!H1136)),Maps!$D$2:$E$12,2,FALSE()),"Other"))</f>
        <v>Cash</v>
      </c>
      <c r="J1136" s="36" t="str">
        <f aca="false">IF(Raw_Export!$A1136="","",IF(COUNTIF($A$2:A1136,A1136)&gt;1,"Duplicate",""))</f>
        <v/>
      </c>
      <c r="K1136" s="36" t="str">
        <f aca="false">IF(Raw_Export!$A1136="","",IF(J1136="Duplicate","Duplicate",IF(OR(C1136="UNMAPPED",D1136="UNMAPPED"),"Unmapped",IF(F1136=0,"Blank qty",IF(F1136&lt;0,"Return","OK")))))</f>
        <v>OK</v>
      </c>
      <c r="L1136" s="36" t="n">
        <f aca="false">IF(Raw_Export!$A1136="","",IF(OR(K1136="OK",K1136="Return"),1,0))</f>
        <v>1</v>
      </c>
      <c r="M1136" s="37" t="n">
        <f aca="false">IF(Raw_Export!$A1136="","",B1136-WEEKDAY(B1136,2)+1)</f>
        <v>46272</v>
      </c>
    </row>
    <row r="1137" customFormat="false" ht="15" hidden="false" customHeight="false" outlineLevel="0" collapsed="false">
      <c r="A1137" s="36" t="str">
        <f aca="false">IF(Raw_Export!$A1137="","",TRIM(Raw_Export!A1137))</f>
        <v>TXN-101116</v>
      </c>
      <c r="B1137" s="37" t="n">
        <f aca="false">IF(Raw_Export!$A1137="","",IF(ISNUMBER(Raw_Export!B1137),Raw_Export!B1137,IF(MID(TRIM(Raw_Export!B1137),5,1)="-",DATE(LEFT(TRIM(Raw_Export!B1137),4),MID(TRIM(Raw_Export!B1137),6,2),RIGHT(TRIM(Raw_Export!B1137),2)),DATE(RIGHT(TRIM(Raw_Export!B1137),4),MATCH(MID(TRIM(Raw_Export!B1137),4,3),{"Jan","Feb","Mar","Apr","May","Jun","Jul","Aug","Sep","Oct","Nov","Dec"},0),LEFT(TRIM(Raw_Export!B1137),2)))))</f>
        <v>46272</v>
      </c>
      <c r="C1137" s="36" t="str">
        <f aca="false">IF(Raw_Export!$A1137="","",IFERROR(VLOOKUP(LOWER(TRIM(Raw_Export!C1137)),Maps!$A$2:$B$20,2,FALSE()),"UNMAPPED"))</f>
        <v>Westlands</v>
      </c>
      <c r="D1137" s="36" t="str">
        <f aca="false">IF(Raw_Export!$A1137="","",IFERROR(VLOOKUP(LOWER(TRIM(Raw_Export!D1137)),Maps!$G$2:$I$80,2,FALSE()),"UNMAPPED"))</f>
        <v>Peanuts 250g</v>
      </c>
      <c r="E1137" s="36" t="str">
        <f aca="false">IF(Raw_Export!$A1137="","",IFERROR(VLOOKUP(LOWER(TRIM(Raw_Export!D1137)),Maps!$G$2:$I$80,3,FALSE()),"UNMAPPED"))</f>
        <v>Snacks</v>
      </c>
      <c r="F1137" s="36" t="n">
        <f aca="false">IF(Raw_Export!$A1137="","",IFERROR(VALUE(TRIM(Raw_Export!E1137)),0))</f>
        <v>1</v>
      </c>
      <c r="G1137" s="38" t="n">
        <f aca="false">IF(Raw_Export!$A1137="","",IFERROR(VALUE(SUBSTITUTE(SUBSTITUTE(UPPER(TRIM(Raw_Export!F1137)),"KES",""),",","")),0))</f>
        <v>130</v>
      </c>
      <c r="H1137" s="38" t="n">
        <f aca="false">IF(Raw_Export!$A1137="","",F1137*G1137)</f>
        <v>130</v>
      </c>
      <c r="I1137" s="36" t="str">
        <f aca="false">IF(Raw_Export!$A1137="","",IFERROR(VLOOKUP(LOWER(TRIM(Raw_Export!H1137)),Maps!$D$2:$E$12,2,FALSE()),"Other"))</f>
        <v>Cash</v>
      </c>
      <c r="J1137" s="36" t="str">
        <f aca="false">IF(Raw_Export!$A1137="","",IF(COUNTIF($A$2:A1137,A1137)&gt;1,"Duplicate",""))</f>
        <v/>
      </c>
      <c r="K1137" s="36" t="str">
        <f aca="false">IF(Raw_Export!$A1137="","",IF(J1137="Duplicate","Duplicate",IF(OR(C1137="UNMAPPED",D1137="UNMAPPED"),"Unmapped",IF(F1137=0,"Blank qty",IF(F1137&lt;0,"Return","OK")))))</f>
        <v>OK</v>
      </c>
      <c r="L1137" s="36" t="n">
        <f aca="false">IF(Raw_Export!$A1137="","",IF(OR(K1137="OK",K1137="Return"),1,0))</f>
        <v>1</v>
      </c>
      <c r="M1137" s="37" t="n">
        <f aca="false">IF(Raw_Export!$A1137="","",B1137-WEEKDAY(B1137,2)+1)</f>
        <v>46272</v>
      </c>
    </row>
    <row r="1138" customFormat="false" ht="15" hidden="false" customHeight="false" outlineLevel="0" collapsed="false">
      <c r="A1138" s="36" t="str">
        <f aca="false">IF(Raw_Export!$A1138="","",TRIM(Raw_Export!A1138))</f>
        <v>TXN-101117</v>
      </c>
      <c r="B1138" s="37" t="n">
        <f aca="false">IF(Raw_Export!$A1138="","",IF(ISNUMBER(Raw_Export!B1138),Raw_Export!B1138,IF(MID(TRIM(Raw_Export!B1138),5,1)="-",DATE(LEFT(TRIM(Raw_Export!B1138),4),MID(TRIM(Raw_Export!B1138),6,2),RIGHT(TRIM(Raw_Export!B1138),2)),DATE(RIGHT(TRIM(Raw_Export!B1138),4),MATCH(MID(TRIM(Raw_Export!B1138),4,3),{"Jan","Feb","Mar","Apr","May","Jun","Jul","Aug","Sep","Oct","Nov","Dec"},0),LEFT(TRIM(Raw_Export!B1138),2)))))</f>
        <v>46272</v>
      </c>
      <c r="C1138" s="36" t="str">
        <f aca="false">IF(Raw_Export!$A1138="","",IFERROR(VLOOKUP(LOWER(TRIM(Raw_Export!C1138)),Maps!$A$2:$B$20,2,FALSE()),"UNMAPPED"))</f>
        <v>Westlands</v>
      </c>
      <c r="D1138" s="36" t="str">
        <f aca="false">IF(Raw_Export!$A1138="","",IFERROR(VLOOKUP(LOWER(TRIM(Raw_Export!D1138)),Maps!$G$2:$I$80,2,FALSE()),"UNMAPPED"))</f>
        <v>Washing Powder 1kg</v>
      </c>
      <c r="E1138" s="36" t="str">
        <f aca="false">IF(Raw_Export!$A1138="","",IFERROR(VLOOKUP(LOWER(TRIM(Raw_Export!D1138)),Maps!$G$2:$I$80,3,FALSE()),"UNMAPPED"))</f>
        <v>Household</v>
      </c>
      <c r="F1138" s="36" t="n">
        <f aca="false">IF(Raw_Export!$A1138="","",IFERROR(VALUE(TRIM(Raw_Export!E1138)),0))</f>
        <v>3</v>
      </c>
      <c r="G1138" s="38" t="n">
        <f aca="false">IF(Raw_Export!$A1138="","",IFERROR(VALUE(SUBSTITUTE(SUBSTITUTE(UPPER(TRIM(Raw_Export!F1138)),"KES",""),",","")),0))</f>
        <v>280</v>
      </c>
      <c r="H1138" s="38" t="n">
        <f aca="false">IF(Raw_Export!$A1138="","",F1138*G1138)</f>
        <v>840</v>
      </c>
      <c r="I1138" s="36" t="str">
        <f aca="false">IF(Raw_Export!$A1138="","",IFERROR(VLOOKUP(LOWER(TRIM(Raw_Export!H1138)),Maps!$D$2:$E$12,2,FALSE()),"Other"))</f>
        <v>M-Pesa</v>
      </c>
      <c r="J1138" s="36" t="str">
        <f aca="false">IF(Raw_Export!$A1138="","",IF(COUNTIF($A$2:A1138,A1138)&gt;1,"Duplicate",""))</f>
        <v/>
      </c>
      <c r="K1138" s="36" t="str">
        <f aca="false">IF(Raw_Export!$A1138="","",IF(J1138="Duplicate","Duplicate",IF(OR(C1138="UNMAPPED",D1138="UNMAPPED"),"Unmapped",IF(F1138=0,"Blank qty",IF(F1138&lt;0,"Return","OK")))))</f>
        <v>OK</v>
      </c>
      <c r="L1138" s="36" t="n">
        <f aca="false">IF(Raw_Export!$A1138="","",IF(OR(K1138="OK",K1138="Return"),1,0))</f>
        <v>1</v>
      </c>
      <c r="M1138" s="37" t="n">
        <f aca="false">IF(Raw_Export!$A1138="","",B1138-WEEKDAY(B1138,2)+1)</f>
        <v>46272</v>
      </c>
    </row>
    <row r="1139" customFormat="false" ht="15" hidden="false" customHeight="false" outlineLevel="0" collapsed="false">
      <c r="A1139" s="36" t="str">
        <f aca="false">IF(Raw_Export!$A1139="","",TRIM(Raw_Export!A1139))</f>
        <v>TXN-101118</v>
      </c>
      <c r="B1139" s="37" t="n">
        <f aca="false">IF(Raw_Export!$A1139="","",IF(ISNUMBER(Raw_Export!B1139),Raw_Export!B1139,IF(MID(TRIM(Raw_Export!B1139),5,1)="-",DATE(LEFT(TRIM(Raw_Export!B1139),4),MID(TRIM(Raw_Export!B1139),6,2),RIGHT(TRIM(Raw_Export!B1139),2)),DATE(RIGHT(TRIM(Raw_Export!B1139),4),MATCH(MID(TRIM(Raw_Export!B1139),4,3),{"Jan","Feb","Mar","Apr","May","Jun","Jul","Aug","Sep","Oct","Nov","Dec"},0),LEFT(TRIM(Raw_Export!B1139),2)))))</f>
        <v>46272</v>
      </c>
      <c r="C1139" s="36" t="str">
        <f aca="false">IF(Raw_Export!$A1139="","",IFERROR(VLOOKUP(LOWER(TRIM(Raw_Export!C1139)),Maps!$A$2:$B$20,2,FALSE()),"UNMAPPED"))</f>
        <v>Westlands</v>
      </c>
      <c r="D1139" s="36" t="str">
        <f aca="false">IF(Raw_Export!$A1139="","",IFERROR(VLOOKUP(LOWER(TRIM(Raw_Export!D1139)),Maps!$G$2:$I$80,2,FALSE()),"UNMAPPED"))</f>
        <v>Cooking Oil 1L</v>
      </c>
      <c r="E1139" s="36" t="str">
        <f aca="false">IF(Raw_Export!$A1139="","",IFERROR(VLOOKUP(LOWER(TRIM(Raw_Export!D1139)),Maps!$G$2:$I$80,3,FALSE()),"UNMAPPED"))</f>
        <v>Staples</v>
      </c>
      <c r="F1139" s="36" t="n">
        <f aca="false">IF(Raw_Export!$A1139="","",IFERROR(VALUE(TRIM(Raw_Export!E1139)),0))</f>
        <v>3</v>
      </c>
      <c r="G1139" s="38" t="n">
        <f aca="false">IF(Raw_Export!$A1139="","",IFERROR(VALUE(SUBSTITUTE(SUBSTITUTE(UPPER(TRIM(Raw_Export!F1139)),"KES",""),",","")),0))</f>
        <v>330</v>
      </c>
      <c r="H1139" s="38" t="n">
        <f aca="false">IF(Raw_Export!$A1139="","",F1139*G1139)</f>
        <v>990</v>
      </c>
      <c r="I1139" s="36" t="str">
        <f aca="false">IF(Raw_Export!$A1139="","",IFERROR(VLOOKUP(LOWER(TRIM(Raw_Export!H1139)),Maps!$D$2:$E$12,2,FALSE()),"Other"))</f>
        <v>Cash</v>
      </c>
      <c r="J1139" s="36" t="str">
        <f aca="false">IF(Raw_Export!$A1139="","",IF(COUNTIF($A$2:A1139,A1139)&gt;1,"Duplicate",""))</f>
        <v/>
      </c>
      <c r="K1139" s="36" t="str">
        <f aca="false">IF(Raw_Export!$A1139="","",IF(J1139="Duplicate","Duplicate",IF(OR(C1139="UNMAPPED",D1139="UNMAPPED"),"Unmapped",IF(F1139=0,"Blank qty",IF(F1139&lt;0,"Return","OK")))))</f>
        <v>OK</v>
      </c>
      <c r="L1139" s="36" t="n">
        <f aca="false">IF(Raw_Export!$A1139="","",IF(OR(K1139="OK",K1139="Return"),1,0))</f>
        <v>1</v>
      </c>
      <c r="M1139" s="37" t="n">
        <f aca="false">IF(Raw_Export!$A1139="","",B1139-WEEKDAY(B1139,2)+1)</f>
        <v>46272</v>
      </c>
    </row>
    <row r="1140" customFormat="false" ht="15" hidden="false" customHeight="false" outlineLevel="0" collapsed="false">
      <c r="A1140" s="36" t="str">
        <f aca="false">IF(Raw_Export!$A1140="","",TRIM(Raw_Export!A1140))</f>
        <v>TXN-101119</v>
      </c>
      <c r="B1140" s="37" t="n">
        <f aca="false">IF(Raw_Export!$A1140="","",IF(ISNUMBER(Raw_Export!B1140),Raw_Export!B1140,IF(MID(TRIM(Raw_Export!B1140),5,1)="-",DATE(LEFT(TRIM(Raw_Export!B1140),4),MID(TRIM(Raw_Export!B1140),6,2),RIGHT(TRIM(Raw_Export!B1140),2)),DATE(RIGHT(TRIM(Raw_Export!B1140),4),MATCH(MID(TRIM(Raw_Export!B1140),4,3),{"Jan","Feb","Mar","Apr","May","Jun","Jul","Aug","Sep","Oct","Nov","Dec"},0),LEFT(TRIM(Raw_Export!B1140),2)))))</f>
        <v>46272</v>
      </c>
      <c r="C1140" s="36" t="str">
        <f aca="false">IF(Raw_Export!$A1140="","",IFERROR(VLOOKUP(LOWER(TRIM(Raw_Export!C1140)),Maps!$A$2:$B$20,2,FALSE()),"UNMAPPED"))</f>
        <v>Westlands</v>
      </c>
      <c r="D1140" s="36" t="str">
        <f aca="false">IF(Raw_Export!$A1140="","",IFERROR(VLOOKUP(LOWER(TRIM(Raw_Export!D1140)),Maps!$G$2:$I$80,2,FALSE()),"UNMAPPED"))</f>
        <v>Deodorant 150ml</v>
      </c>
      <c r="E1140" s="36" t="str">
        <f aca="false">IF(Raw_Export!$A1140="","",IFERROR(VLOOKUP(LOWER(TRIM(Raw_Export!D1140)),Maps!$G$2:$I$80,3,FALSE()),"UNMAPPED"))</f>
        <v>Personal Care</v>
      </c>
      <c r="F1140" s="36" t="n">
        <f aca="false">IF(Raw_Export!$A1140="","",IFERROR(VALUE(TRIM(Raw_Export!E1140)),0))</f>
        <v>1</v>
      </c>
      <c r="G1140" s="38" t="n">
        <f aca="false">IF(Raw_Export!$A1140="","",IFERROR(VALUE(SUBSTITUTE(SUBSTITUTE(UPPER(TRIM(Raw_Export!F1140)),"KES",""),",","")),0))</f>
        <v>350</v>
      </c>
      <c r="H1140" s="38" t="n">
        <f aca="false">IF(Raw_Export!$A1140="","",F1140*G1140)</f>
        <v>350</v>
      </c>
      <c r="I1140" s="36" t="str">
        <f aca="false">IF(Raw_Export!$A1140="","",IFERROR(VLOOKUP(LOWER(TRIM(Raw_Export!H1140)),Maps!$D$2:$E$12,2,FALSE()),"Other"))</f>
        <v>Cash</v>
      </c>
      <c r="J1140" s="36" t="str">
        <f aca="false">IF(Raw_Export!$A1140="","",IF(COUNTIF($A$2:A1140,A1140)&gt;1,"Duplicate",""))</f>
        <v/>
      </c>
      <c r="K1140" s="36" t="str">
        <f aca="false">IF(Raw_Export!$A1140="","",IF(J1140="Duplicate","Duplicate",IF(OR(C1140="UNMAPPED",D1140="UNMAPPED"),"Unmapped",IF(F1140=0,"Blank qty",IF(F1140&lt;0,"Return","OK")))))</f>
        <v>OK</v>
      </c>
      <c r="L1140" s="36" t="n">
        <f aca="false">IF(Raw_Export!$A1140="","",IF(OR(K1140="OK",K1140="Return"),1,0))</f>
        <v>1</v>
      </c>
      <c r="M1140" s="37" t="n">
        <f aca="false">IF(Raw_Export!$A1140="","",B1140-WEEKDAY(B1140,2)+1)</f>
        <v>46272</v>
      </c>
    </row>
    <row r="1141" customFormat="false" ht="15" hidden="false" customHeight="false" outlineLevel="0" collapsed="false">
      <c r="A1141" s="36" t="str">
        <f aca="false">IF(Raw_Export!$A1141="","",TRIM(Raw_Export!A1141))</f>
        <v>TXN-101120</v>
      </c>
      <c r="B1141" s="37" t="n">
        <f aca="false">IF(Raw_Export!$A1141="","",IF(ISNUMBER(Raw_Export!B1141),Raw_Export!B1141,IF(MID(TRIM(Raw_Export!B1141),5,1)="-",DATE(LEFT(TRIM(Raw_Export!B1141),4),MID(TRIM(Raw_Export!B1141),6,2),RIGHT(TRIM(Raw_Export!B1141),2)),DATE(RIGHT(TRIM(Raw_Export!B1141),4),MATCH(MID(TRIM(Raw_Export!B1141),4,3),{"Jan","Feb","Mar","Apr","May","Jun","Jul","Aug","Sep","Oct","Nov","Dec"},0),LEFT(TRIM(Raw_Export!B1141),2)))))</f>
        <v>46272</v>
      </c>
      <c r="C1141" s="36" t="str">
        <f aca="false">IF(Raw_Export!$A1141="","",IFERROR(VLOOKUP(LOWER(TRIM(Raw_Export!C1141)),Maps!$A$2:$B$20,2,FALSE()),"UNMAPPED"))</f>
        <v>Westlands</v>
      </c>
      <c r="D1141" s="36" t="str">
        <f aca="false">IF(Raw_Export!$A1141="","",IFERROR(VLOOKUP(LOWER(TRIM(Raw_Export!D1141)),Maps!$G$2:$I$80,2,FALSE()),"UNMAPPED"))</f>
        <v>Bread Loaf 400g</v>
      </c>
      <c r="E1141" s="36" t="str">
        <f aca="false">IF(Raw_Export!$A1141="","",IFERROR(VLOOKUP(LOWER(TRIM(Raw_Export!D1141)),Maps!$G$2:$I$80,3,FALSE()),"UNMAPPED"))</f>
        <v>Snacks</v>
      </c>
      <c r="F1141" s="36" t="n">
        <f aca="false">IF(Raw_Export!$A1141="","",IFERROR(VALUE(TRIM(Raw_Export!E1141)),0))</f>
        <v>1</v>
      </c>
      <c r="G1141" s="38" t="n">
        <f aca="false">IF(Raw_Export!$A1141="","",IFERROR(VALUE(SUBSTITUTE(SUBSTITUTE(UPPER(TRIM(Raw_Export!F1141)),"KES",""),",","")),0))</f>
        <v>65</v>
      </c>
      <c r="H1141" s="38" t="n">
        <f aca="false">IF(Raw_Export!$A1141="","",F1141*G1141)</f>
        <v>65</v>
      </c>
      <c r="I1141" s="36" t="str">
        <f aca="false">IF(Raw_Export!$A1141="","",IFERROR(VLOOKUP(LOWER(TRIM(Raw_Export!H1141)),Maps!$D$2:$E$12,2,FALSE()),"Other"))</f>
        <v>Cash</v>
      </c>
      <c r="J1141" s="36" t="str">
        <f aca="false">IF(Raw_Export!$A1141="","",IF(COUNTIF($A$2:A1141,A1141)&gt;1,"Duplicate",""))</f>
        <v/>
      </c>
      <c r="K1141" s="36" t="str">
        <f aca="false">IF(Raw_Export!$A1141="","",IF(J1141="Duplicate","Duplicate",IF(OR(C1141="UNMAPPED",D1141="UNMAPPED"),"Unmapped",IF(F1141=0,"Blank qty",IF(F1141&lt;0,"Return","OK")))))</f>
        <v>OK</v>
      </c>
      <c r="L1141" s="36" t="n">
        <f aca="false">IF(Raw_Export!$A1141="","",IF(OR(K1141="OK",K1141="Return"),1,0))</f>
        <v>1</v>
      </c>
      <c r="M1141" s="37" t="n">
        <f aca="false">IF(Raw_Export!$A1141="","",B1141-WEEKDAY(B1141,2)+1)</f>
        <v>46272</v>
      </c>
    </row>
    <row r="1142" customFormat="false" ht="15" hidden="false" customHeight="false" outlineLevel="0" collapsed="false">
      <c r="A1142" s="36" t="str">
        <f aca="false">IF(Raw_Export!$A1142="","",TRIM(Raw_Export!A1142))</f>
        <v>TXN-101121</v>
      </c>
      <c r="B1142" s="37" t="n">
        <f aca="false">IF(Raw_Export!$A1142="","",IF(ISNUMBER(Raw_Export!B1142),Raw_Export!B1142,IF(MID(TRIM(Raw_Export!B1142),5,1)="-",DATE(LEFT(TRIM(Raw_Export!B1142),4),MID(TRIM(Raw_Export!B1142),6,2),RIGHT(TRIM(Raw_Export!B1142),2)),DATE(RIGHT(TRIM(Raw_Export!B1142),4),MATCH(MID(TRIM(Raw_Export!B1142),4,3),{"Jan","Feb","Mar","Apr","May","Jun","Jul","Aug","Sep","Oct","Nov","Dec"},0),LEFT(TRIM(Raw_Export!B1142),2)))))</f>
        <v>46272</v>
      </c>
      <c r="C1142" s="36" t="str">
        <f aca="false">IF(Raw_Export!$A1142="","",IFERROR(VLOOKUP(LOWER(TRIM(Raw_Export!C1142)),Maps!$A$2:$B$20,2,FALSE()),"UNMAPPED"))</f>
        <v>Westlands</v>
      </c>
      <c r="D1142" s="36" t="str">
        <f aca="false">IF(Raw_Export!$A1142="","",IFERROR(VLOOKUP(LOWER(TRIM(Raw_Export!D1142)),Maps!$G$2:$I$80,2,FALSE()),"UNMAPPED"))</f>
        <v>Soda 500ml</v>
      </c>
      <c r="E1142" s="36" t="str">
        <f aca="false">IF(Raw_Export!$A1142="","",IFERROR(VLOOKUP(LOWER(TRIM(Raw_Export!D1142)),Maps!$G$2:$I$80,3,FALSE()),"UNMAPPED"))</f>
        <v>Beverages</v>
      </c>
      <c r="F1142" s="36" t="n">
        <f aca="false">IF(Raw_Export!$A1142="","",IFERROR(VALUE(TRIM(Raw_Export!E1142)),0))</f>
        <v>4</v>
      </c>
      <c r="G1142" s="38" t="n">
        <f aca="false">IF(Raw_Export!$A1142="","",IFERROR(VALUE(SUBSTITUTE(SUBSTITUTE(UPPER(TRIM(Raw_Export!F1142)),"KES",""),",","")),0))</f>
        <v>60</v>
      </c>
      <c r="H1142" s="38" t="n">
        <f aca="false">IF(Raw_Export!$A1142="","",F1142*G1142)</f>
        <v>240</v>
      </c>
      <c r="I1142" s="36" t="str">
        <f aca="false">IF(Raw_Export!$A1142="","",IFERROR(VLOOKUP(LOWER(TRIM(Raw_Export!H1142)),Maps!$D$2:$E$12,2,FALSE()),"Other"))</f>
        <v>Cash</v>
      </c>
      <c r="J1142" s="36" t="str">
        <f aca="false">IF(Raw_Export!$A1142="","",IF(COUNTIF($A$2:A1142,A1142)&gt;1,"Duplicate",""))</f>
        <v/>
      </c>
      <c r="K1142" s="36" t="str">
        <f aca="false">IF(Raw_Export!$A1142="","",IF(J1142="Duplicate","Duplicate",IF(OR(C1142="UNMAPPED",D1142="UNMAPPED"),"Unmapped",IF(F1142=0,"Blank qty",IF(F1142&lt;0,"Return","OK")))))</f>
        <v>OK</v>
      </c>
      <c r="L1142" s="36" t="n">
        <f aca="false">IF(Raw_Export!$A1142="","",IF(OR(K1142="OK",K1142="Return"),1,0))</f>
        <v>1</v>
      </c>
      <c r="M1142" s="37" t="n">
        <f aca="false">IF(Raw_Export!$A1142="","",B1142-WEEKDAY(B1142,2)+1)</f>
        <v>46272</v>
      </c>
    </row>
    <row r="1143" customFormat="false" ht="15" hidden="false" customHeight="false" outlineLevel="0" collapsed="false">
      <c r="A1143" s="36" t="str">
        <f aca="false">IF(Raw_Export!$A1143="","",TRIM(Raw_Export!A1143))</f>
        <v>TXN-101122</v>
      </c>
      <c r="B1143" s="37" t="n">
        <f aca="false">IF(Raw_Export!$A1143="","",IF(ISNUMBER(Raw_Export!B1143),Raw_Export!B1143,IF(MID(TRIM(Raw_Export!B1143),5,1)="-",DATE(LEFT(TRIM(Raw_Export!B1143),4),MID(TRIM(Raw_Export!B1143),6,2),RIGHT(TRIM(Raw_Export!B1143),2)),DATE(RIGHT(TRIM(Raw_Export!B1143),4),MATCH(MID(TRIM(Raw_Export!B1143),4,3),{"Jan","Feb","Mar","Apr","May","Jun","Jul","Aug","Sep","Oct","Nov","Dec"},0),LEFT(TRIM(Raw_Export!B1143),2)))))</f>
        <v>46272</v>
      </c>
      <c r="C1143" s="36" t="str">
        <f aca="false">IF(Raw_Export!$A1143="","",IFERROR(VLOOKUP(LOWER(TRIM(Raw_Export!C1143)),Maps!$A$2:$B$20,2,FALSE()),"UNMAPPED"))</f>
        <v>Westlands</v>
      </c>
      <c r="D1143" s="36" t="str">
        <f aca="false">IF(Raw_Export!$A1143="","",IFERROR(VLOOKUP(LOWER(TRIM(Raw_Export!D1143)),Maps!$G$2:$I$80,2,FALSE()),"UNMAPPED"))</f>
        <v>Biscuits 200g</v>
      </c>
      <c r="E1143" s="36" t="str">
        <f aca="false">IF(Raw_Export!$A1143="","",IFERROR(VLOOKUP(LOWER(TRIM(Raw_Export!D1143)),Maps!$G$2:$I$80,3,FALSE()),"UNMAPPED"))</f>
        <v>Snacks</v>
      </c>
      <c r="F1143" s="36" t="n">
        <f aca="false">IF(Raw_Export!$A1143="","",IFERROR(VALUE(TRIM(Raw_Export!E1143)),0))</f>
        <v>2</v>
      </c>
      <c r="G1143" s="38" t="n">
        <f aca="false">IF(Raw_Export!$A1143="","",IFERROR(VALUE(SUBSTITUTE(SUBSTITUTE(UPPER(TRIM(Raw_Export!F1143)),"KES",""),",","")),0))</f>
        <v>95</v>
      </c>
      <c r="H1143" s="38" t="n">
        <f aca="false">IF(Raw_Export!$A1143="","",F1143*G1143)</f>
        <v>190</v>
      </c>
      <c r="I1143" s="36" t="str">
        <f aca="false">IF(Raw_Export!$A1143="","",IFERROR(VLOOKUP(LOWER(TRIM(Raw_Export!H1143)),Maps!$D$2:$E$12,2,FALSE()),"Other"))</f>
        <v>Cash</v>
      </c>
      <c r="J1143" s="36" t="str">
        <f aca="false">IF(Raw_Export!$A1143="","",IF(COUNTIF($A$2:A1143,A1143)&gt;1,"Duplicate",""))</f>
        <v/>
      </c>
      <c r="K1143" s="36" t="str">
        <f aca="false">IF(Raw_Export!$A1143="","",IF(J1143="Duplicate","Duplicate",IF(OR(C1143="UNMAPPED",D1143="UNMAPPED"),"Unmapped",IF(F1143=0,"Blank qty",IF(F1143&lt;0,"Return","OK")))))</f>
        <v>OK</v>
      </c>
      <c r="L1143" s="36" t="n">
        <f aca="false">IF(Raw_Export!$A1143="","",IF(OR(K1143="OK",K1143="Return"),1,0))</f>
        <v>1</v>
      </c>
      <c r="M1143" s="37" t="n">
        <f aca="false">IF(Raw_Export!$A1143="","",B1143-WEEKDAY(B1143,2)+1)</f>
        <v>46272</v>
      </c>
    </row>
    <row r="1144" customFormat="false" ht="15" hidden="false" customHeight="false" outlineLevel="0" collapsed="false">
      <c r="A1144" s="36" t="str">
        <f aca="false">IF(Raw_Export!$A1144="","",TRIM(Raw_Export!A1144))</f>
        <v>TXN-101123</v>
      </c>
      <c r="B1144" s="37" t="n">
        <f aca="false">IF(Raw_Export!$A1144="","",IF(ISNUMBER(Raw_Export!B1144),Raw_Export!B1144,IF(MID(TRIM(Raw_Export!B1144),5,1)="-",DATE(LEFT(TRIM(Raw_Export!B1144),4),MID(TRIM(Raw_Export!B1144),6,2),RIGHT(TRIM(Raw_Export!B1144),2)),DATE(RIGHT(TRIM(Raw_Export!B1144),4),MATCH(MID(TRIM(Raw_Export!B1144),4,3),{"Jan","Feb","Mar","Apr","May","Jun","Jul","Aug","Sep","Oct","Nov","Dec"},0),LEFT(TRIM(Raw_Export!B1144),2)))))</f>
        <v>46272</v>
      </c>
      <c r="C1144" s="36" t="str">
        <f aca="false">IF(Raw_Export!$A1144="","",IFERROR(VLOOKUP(LOWER(TRIM(Raw_Export!C1144)),Maps!$A$2:$B$20,2,FALSE()),"UNMAPPED"))</f>
        <v>Westlands</v>
      </c>
      <c r="D1144" s="36" t="str">
        <f aca="false">IF(Raw_Export!$A1144="","",IFERROR(VLOOKUP(LOWER(TRIM(Raw_Export!D1144)),Maps!$G$2:$I$80,2,FALSE()),"UNMAPPED"))</f>
        <v>Salt 500g</v>
      </c>
      <c r="E1144" s="36" t="str">
        <f aca="false">IF(Raw_Export!$A1144="","",IFERROR(VLOOKUP(LOWER(TRIM(Raw_Export!D1144)),Maps!$G$2:$I$80,3,FALSE()),"UNMAPPED"))</f>
        <v>Staples</v>
      </c>
      <c r="F1144" s="36" t="n">
        <f aca="false">IF(Raw_Export!$A1144="","",IFERROR(VALUE(TRIM(Raw_Export!E1144)),0))</f>
        <v>3</v>
      </c>
      <c r="G1144" s="38" t="n">
        <f aca="false">IF(Raw_Export!$A1144="","",IFERROR(VALUE(SUBSTITUTE(SUBSTITUTE(UPPER(TRIM(Raw_Export!F1144)),"KES",""),",","")),0))</f>
        <v>40</v>
      </c>
      <c r="H1144" s="38" t="n">
        <f aca="false">IF(Raw_Export!$A1144="","",F1144*G1144)</f>
        <v>120</v>
      </c>
      <c r="I1144" s="36" t="str">
        <f aca="false">IF(Raw_Export!$A1144="","",IFERROR(VLOOKUP(LOWER(TRIM(Raw_Export!H1144)),Maps!$D$2:$E$12,2,FALSE()),"Other"))</f>
        <v>M-Pesa</v>
      </c>
      <c r="J1144" s="36" t="str">
        <f aca="false">IF(Raw_Export!$A1144="","",IF(COUNTIF($A$2:A1144,A1144)&gt;1,"Duplicate",""))</f>
        <v/>
      </c>
      <c r="K1144" s="36" t="str">
        <f aca="false">IF(Raw_Export!$A1144="","",IF(J1144="Duplicate","Duplicate",IF(OR(C1144="UNMAPPED",D1144="UNMAPPED"),"Unmapped",IF(F1144=0,"Blank qty",IF(F1144&lt;0,"Return","OK")))))</f>
        <v>OK</v>
      </c>
      <c r="L1144" s="36" t="n">
        <f aca="false">IF(Raw_Export!$A1144="","",IF(OR(K1144="OK",K1144="Return"),1,0))</f>
        <v>1</v>
      </c>
      <c r="M1144" s="37" t="n">
        <f aca="false">IF(Raw_Export!$A1144="","",B1144-WEEKDAY(B1144,2)+1)</f>
        <v>46272</v>
      </c>
    </row>
    <row r="1145" customFormat="false" ht="15" hidden="false" customHeight="false" outlineLevel="0" collapsed="false">
      <c r="A1145" s="36" t="str">
        <f aca="false">IF(Raw_Export!$A1145="","",TRIM(Raw_Export!A1145))</f>
        <v>TXN-101124</v>
      </c>
      <c r="B1145" s="37" t="n">
        <f aca="false">IF(Raw_Export!$A1145="","",IF(ISNUMBER(Raw_Export!B1145),Raw_Export!B1145,IF(MID(TRIM(Raw_Export!B1145),5,1)="-",DATE(LEFT(TRIM(Raw_Export!B1145),4),MID(TRIM(Raw_Export!B1145),6,2),RIGHT(TRIM(Raw_Export!B1145),2)),DATE(RIGHT(TRIM(Raw_Export!B1145),4),MATCH(MID(TRIM(Raw_Export!B1145),4,3),{"Jan","Feb","Mar","Apr","May","Jun","Jul","Aug","Sep","Oct","Nov","Dec"},0),LEFT(TRIM(Raw_Export!B1145),2)))))</f>
        <v>46272</v>
      </c>
      <c r="C1145" s="36" t="str">
        <f aca="false">IF(Raw_Export!$A1145="","",IFERROR(VLOOKUP(LOWER(TRIM(Raw_Export!C1145)),Maps!$A$2:$B$20,2,FALSE()),"UNMAPPED"))</f>
        <v>Westlands</v>
      </c>
      <c r="D1145" s="36" t="str">
        <f aca="false">IF(Raw_Export!$A1145="","",IFERROR(VLOOKUP(LOWER(TRIM(Raw_Export!D1145)),Maps!$G$2:$I$80,2,FALSE()),"UNMAPPED"))</f>
        <v>Matches 10pk</v>
      </c>
      <c r="E1145" s="36" t="str">
        <f aca="false">IF(Raw_Export!$A1145="","",IFERROR(VLOOKUP(LOWER(TRIM(Raw_Export!D1145)),Maps!$G$2:$I$80,3,FALSE()),"UNMAPPED"))</f>
        <v>Household</v>
      </c>
      <c r="F1145" s="36" t="n">
        <f aca="false">IF(Raw_Export!$A1145="","",IFERROR(VALUE(TRIM(Raw_Export!E1145)),0))</f>
        <v>4</v>
      </c>
      <c r="G1145" s="38" t="n">
        <f aca="false">IF(Raw_Export!$A1145="","",IFERROR(VALUE(SUBSTITUTE(SUBSTITUTE(UPPER(TRIM(Raw_Export!F1145)),"KES",""),",","")),0))</f>
        <v>45</v>
      </c>
      <c r="H1145" s="38" t="n">
        <f aca="false">IF(Raw_Export!$A1145="","",F1145*G1145)</f>
        <v>180</v>
      </c>
      <c r="I1145" s="36" t="str">
        <f aca="false">IF(Raw_Export!$A1145="","",IFERROR(VLOOKUP(LOWER(TRIM(Raw_Export!H1145)),Maps!$D$2:$E$12,2,FALSE()),"Other"))</f>
        <v>Cash</v>
      </c>
      <c r="J1145" s="36" t="str">
        <f aca="false">IF(Raw_Export!$A1145="","",IF(COUNTIF($A$2:A1145,A1145)&gt;1,"Duplicate",""))</f>
        <v/>
      </c>
      <c r="K1145" s="36" t="str">
        <f aca="false">IF(Raw_Export!$A1145="","",IF(J1145="Duplicate","Duplicate",IF(OR(C1145="UNMAPPED",D1145="UNMAPPED"),"Unmapped",IF(F1145=0,"Blank qty",IF(F1145&lt;0,"Return","OK")))))</f>
        <v>OK</v>
      </c>
      <c r="L1145" s="36" t="n">
        <f aca="false">IF(Raw_Export!$A1145="","",IF(OR(K1145="OK",K1145="Return"),1,0))</f>
        <v>1</v>
      </c>
      <c r="M1145" s="37" t="n">
        <f aca="false">IF(Raw_Export!$A1145="","",B1145-WEEKDAY(B1145,2)+1)</f>
        <v>46272</v>
      </c>
    </row>
    <row r="1146" customFormat="false" ht="15" hidden="false" customHeight="false" outlineLevel="0" collapsed="false">
      <c r="A1146" s="36" t="str">
        <f aca="false">IF(Raw_Export!$A1146="","",TRIM(Raw_Export!A1146))</f>
        <v>TXN-101125</v>
      </c>
      <c r="B1146" s="37" t="n">
        <f aca="false">IF(Raw_Export!$A1146="","",IF(ISNUMBER(Raw_Export!B1146),Raw_Export!B1146,IF(MID(TRIM(Raw_Export!B1146),5,1)="-",DATE(LEFT(TRIM(Raw_Export!B1146),4),MID(TRIM(Raw_Export!B1146),6,2),RIGHT(TRIM(Raw_Export!B1146),2)),DATE(RIGHT(TRIM(Raw_Export!B1146),4),MATCH(MID(TRIM(Raw_Export!B1146),4,3),{"Jan","Feb","Mar","Apr","May","Jun","Jul","Aug","Sep","Oct","Nov","Dec"},0),LEFT(TRIM(Raw_Export!B1146),2)))))</f>
        <v>46272</v>
      </c>
      <c r="C1146" s="36" t="str">
        <f aca="false">IF(Raw_Export!$A1146="","",IFERROR(VLOOKUP(LOWER(TRIM(Raw_Export!C1146)),Maps!$A$2:$B$20,2,FALSE()),"UNMAPPED"))</f>
        <v>Westlands</v>
      </c>
      <c r="D1146" s="36" t="str">
        <f aca="false">IF(Raw_Export!$A1146="","",IFERROR(VLOOKUP(LOWER(TRIM(Raw_Export!D1146)),Maps!$G$2:$I$80,2,FALSE()),"UNMAPPED"))</f>
        <v>Sugar 2kg</v>
      </c>
      <c r="E1146" s="36" t="str">
        <f aca="false">IF(Raw_Export!$A1146="","",IFERROR(VLOOKUP(LOWER(TRIM(Raw_Export!D1146)),Maps!$G$2:$I$80,3,FALSE()),"UNMAPPED"))</f>
        <v>Staples</v>
      </c>
      <c r="F1146" s="36" t="n">
        <f aca="false">IF(Raw_Export!$A1146="","",IFERROR(VALUE(TRIM(Raw_Export!E1146)),0))</f>
        <v>-6</v>
      </c>
      <c r="G1146" s="38" t="n">
        <f aca="false">IF(Raw_Export!$A1146="","",IFERROR(VALUE(SUBSTITUTE(SUBSTITUTE(UPPER(TRIM(Raw_Export!F1146)),"KES",""),",","")),0))</f>
        <v>297</v>
      </c>
      <c r="H1146" s="38" t="n">
        <f aca="false">IF(Raw_Export!$A1146="","",F1146*G1146)</f>
        <v>-1782</v>
      </c>
      <c r="I1146" s="36" t="str">
        <f aca="false">IF(Raw_Export!$A1146="","",IFERROR(VLOOKUP(LOWER(TRIM(Raw_Export!H1146)),Maps!$D$2:$E$12,2,FALSE()),"Other"))</f>
        <v>M-Pesa</v>
      </c>
      <c r="J1146" s="36" t="str">
        <f aca="false">IF(Raw_Export!$A1146="","",IF(COUNTIF($A$2:A1146,A1146)&gt;1,"Duplicate",""))</f>
        <v/>
      </c>
      <c r="K1146" s="36" t="str">
        <f aca="false">IF(Raw_Export!$A1146="","",IF(J1146="Duplicate","Duplicate",IF(OR(C1146="UNMAPPED",D1146="UNMAPPED"),"Unmapped",IF(F1146=0,"Blank qty",IF(F1146&lt;0,"Return","OK")))))</f>
        <v>Return</v>
      </c>
      <c r="L1146" s="36" t="n">
        <f aca="false">IF(Raw_Export!$A1146="","",IF(OR(K1146="OK",K1146="Return"),1,0))</f>
        <v>1</v>
      </c>
      <c r="M1146" s="37" t="n">
        <f aca="false">IF(Raw_Export!$A1146="","",B1146-WEEKDAY(B1146,2)+1)</f>
        <v>46272</v>
      </c>
    </row>
    <row r="1147" customFormat="false" ht="15" hidden="false" customHeight="false" outlineLevel="0" collapsed="false">
      <c r="A1147" s="36" t="str">
        <f aca="false">IF(Raw_Export!$A1147="","",TRIM(Raw_Export!A1147))</f>
        <v>TXN-101126</v>
      </c>
      <c r="B1147" s="37" t="n">
        <f aca="false">IF(Raw_Export!$A1147="","",IF(ISNUMBER(Raw_Export!B1147),Raw_Export!B1147,IF(MID(TRIM(Raw_Export!B1147),5,1)="-",DATE(LEFT(TRIM(Raw_Export!B1147),4),MID(TRIM(Raw_Export!B1147),6,2),RIGHT(TRIM(Raw_Export!B1147),2)),DATE(RIGHT(TRIM(Raw_Export!B1147),4),MATCH(MID(TRIM(Raw_Export!B1147),4,3),{"Jan","Feb","Mar","Apr","May","Jun","Jul","Aug","Sep","Oct","Nov","Dec"},0),LEFT(TRIM(Raw_Export!B1147),2)))))</f>
        <v>46272</v>
      </c>
      <c r="C1147" s="36" t="str">
        <f aca="false">IF(Raw_Export!$A1147="","",IFERROR(VLOOKUP(LOWER(TRIM(Raw_Export!C1147)),Maps!$A$2:$B$20,2,FALSE()),"UNMAPPED"))</f>
        <v>Westlands</v>
      </c>
      <c r="D1147" s="36" t="str">
        <f aca="false">IF(Raw_Export!$A1147="","",IFERROR(VLOOKUP(LOWER(TRIM(Raw_Export!D1147)),Maps!$G$2:$I$80,2,FALSE()),"UNMAPPED"))</f>
        <v>Bottled Water 1.5L</v>
      </c>
      <c r="E1147" s="36" t="str">
        <f aca="false">IF(Raw_Export!$A1147="","",IFERROR(VLOOKUP(LOWER(TRIM(Raw_Export!D1147)),Maps!$G$2:$I$80,3,FALSE()),"UNMAPPED"))</f>
        <v>Beverages</v>
      </c>
      <c r="F1147" s="36" t="n">
        <f aca="false">IF(Raw_Export!$A1147="","",IFERROR(VALUE(TRIM(Raw_Export!E1147)),0))</f>
        <v>2</v>
      </c>
      <c r="G1147" s="38" t="n">
        <f aca="false">IF(Raw_Export!$A1147="","",IFERROR(VALUE(SUBSTITUTE(SUBSTITUTE(UPPER(TRIM(Raw_Export!F1147)),"KES",""),",","")),0))</f>
        <v>90</v>
      </c>
      <c r="H1147" s="38" t="n">
        <f aca="false">IF(Raw_Export!$A1147="","",F1147*G1147)</f>
        <v>180</v>
      </c>
      <c r="I1147" s="36" t="str">
        <f aca="false">IF(Raw_Export!$A1147="","",IFERROR(VLOOKUP(LOWER(TRIM(Raw_Export!H1147)),Maps!$D$2:$E$12,2,FALSE()),"Other"))</f>
        <v>M-Pesa</v>
      </c>
      <c r="J1147" s="36" t="str">
        <f aca="false">IF(Raw_Export!$A1147="","",IF(COUNTIF($A$2:A1147,A1147)&gt;1,"Duplicate",""))</f>
        <v/>
      </c>
      <c r="K1147" s="36" t="str">
        <f aca="false">IF(Raw_Export!$A1147="","",IF(J1147="Duplicate","Duplicate",IF(OR(C1147="UNMAPPED",D1147="UNMAPPED"),"Unmapped",IF(F1147=0,"Blank qty",IF(F1147&lt;0,"Return","OK")))))</f>
        <v>OK</v>
      </c>
      <c r="L1147" s="36" t="n">
        <f aca="false">IF(Raw_Export!$A1147="","",IF(OR(K1147="OK",K1147="Return"),1,0))</f>
        <v>1</v>
      </c>
      <c r="M1147" s="37" t="n">
        <f aca="false">IF(Raw_Export!$A1147="","",B1147-WEEKDAY(B1147,2)+1)</f>
        <v>46272</v>
      </c>
    </row>
    <row r="1148" customFormat="false" ht="15" hidden="false" customHeight="false" outlineLevel="0" collapsed="false">
      <c r="A1148" s="36" t="str">
        <f aca="false">IF(Raw_Export!$A1148="","",TRIM(Raw_Export!A1148))</f>
        <v>TXN-101127</v>
      </c>
      <c r="B1148" s="37" t="n">
        <f aca="false">IF(Raw_Export!$A1148="","",IF(ISNUMBER(Raw_Export!B1148),Raw_Export!B1148,IF(MID(TRIM(Raw_Export!B1148),5,1)="-",DATE(LEFT(TRIM(Raw_Export!B1148),4),MID(TRIM(Raw_Export!B1148),6,2),RIGHT(TRIM(Raw_Export!B1148),2)),DATE(RIGHT(TRIM(Raw_Export!B1148),4),MATCH(MID(TRIM(Raw_Export!B1148),4,3),{"Jan","Feb","Mar","Apr","May","Jun","Jul","Aug","Sep","Oct","Nov","Dec"},0),LEFT(TRIM(Raw_Export!B1148),2)))))</f>
        <v>46272</v>
      </c>
      <c r="C1148" s="36" t="str">
        <f aca="false">IF(Raw_Export!$A1148="","",IFERROR(VLOOKUP(LOWER(TRIM(Raw_Export!C1148)),Maps!$A$2:$B$20,2,FALSE()),"UNMAPPED"))</f>
        <v>Westlands</v>
      </c>
      <c r="D1148" s="36" t="str">
        <f aca="false">IF(Raw_Export!$A1148="","",IFERROR(VLOOKUP(LOWER(TRIM(Raw_Export!D1148)),Maps!$G$2:$I$80,2,FALSE()),"UNMAPPED"))</f>
        <v>Unga Pembe 2kg</v>
      </c>
      <c r="E1148" s="36" t="str">
        <f aca="false">IF(Raw_Export!$A1148="","",IFERROR(VLOOKUP(LOWER(TRIM(Raw_Export!D1148)),Maps!$G$2:$I$80,3,FALSE()),"UNMAPPED"))</f>
        <v>Staples</v>
      </c>
      <c r="F1148" s="36" t="n">
        <f aca="false">IF(Raw_Export!$A1148="","",IFERROR(VALUE(TRIM(Raw_Export!E1148)),0))</f>
        <v>1</v>
      </c>
      <c r="G1148" s="38" t="n">
        <f aca="false">IF(Raw_Export!$A1148="","",IFERROR(VALUE(SUBSTITUTE(SUBSTITUTE(UPPER(TRIM(Raw_Export!F1148)),"KES",""),",","")),0))</f>
        <v>190</v>
      </c>
      <c r="H1148" s="38" t="n">
        <f aca="false">IF(Raw_Export!$A1148="","",F1148*G1148)</f>
        <v>190</v>
      </c>
      <c r="I1148" s="36" t="str">
        <f aca="false">IF(Raw_Export!$A1148="","",IFERROR(VLOOKUP(LOWER(TRIM(Raw_Export!H1148)),Maps!$D$2:$E$12,2,FALSE()),"Other"))</f>
        <v>M-Pesa</v>
      </c>
      <c r="J1148" s="36" t="str">
        <f aca="false">IF(Raw_Export!$A1148="","",IF(COUNTIF($A$2:A1148,A1148)&gt;1,"Duplicate",""))</f>
        <v/>
      </c>
      <c r="K1148" s="36" t="str">
        <f aca="false">IF(Raw_Export!$A1148="","",IF(J1148="Duplicate","Duplicate",IF(OR(C1148="UNMAPPED",D1148="UNMAPPED"),"Unmapped",IF(F1148=0,"Blank qty",IF(F1148&lt;0,"Return","OK")))))</f>
        <v>OK</v>
      </c>
      <c r="L1148" s="36" t="n">
        <f aca="false">IF(Raw_Export!$A1148="","",IF(OR(K1148="OK",K1148="Return"),1,0))</f>
        <v>1</v>
      </c>
      <c r="M1148" s="37" t="n">
        <f aca="false">IF(Raw_Export!$A1148="","",B1148-WEEKDAY(B1148,2)+1)</f>
        <v>46272</v>
      </c>
    </row>
    <row r="1149" customFormat="false" ht="15" hidden="false" customHeight="false" outlineLevel="0" collapsed="false">
      <c r="A1149" s="36" t="str">
        <f aca="false">IF(Raw_Export!$A1149="","",TRIM(Raw_Export!A1149))</f>
        <v>TXN-101128</v>
      </c>
      <c r="B1149" s="37" t="n">
        <f aca="false">IF(Raw_Export!$A1149="","",IF(ISNUMBER(Raw_Export!B1149),Raw_Export!B1149,IF(MID(TRIM(Raw_Export!B1149),5,1)="-",DATE(LEFT(TRIM(Raw_Export!B1149),4),MID(TRIM(Raw_Export!B1149),6,2),RIGHT(TRIM(Raw_Export!B1149),2)),DATE(RIGHT(TRIM(Raw_Export!B1149),4),MATCH(MID(TRIM(Raw_Export!B1149),4,3),{"Jan","Feb","Mar","Apr","May","Jun","Jul","Aug","Sep","Oct","Nov","Dec"},0),LEFT(TRIM(Raw_Export!B1149),2)))))</f>
        <v>46272</v>
      </c>
      <c r="C1149" s="36" t="str">
        <f aca="false">IF(Raw_Export!$A1149="","",IFERROR(VLOOKUP(LOWER(TRIM(Raw_Export!C1149)),Maps!$A$2:$B$20,2,FALSE()),"UNMAPPED"))</f>
        <v>Westlands</v>
      </c>
      <c r="D1149" s="36" t="str">
        <f aca="false">IF(Raw_Export!$A1149="","",IFERROR(VLOOKUP(LOWER(TRIM(Raw_Export!D1149)),Maps!$G$2:$I$80,2,FALSE()),"UNMAPPED"))</f>
        <v>Deodorant 150ml</v>
      </c>
      <c r="E1149" s="36" t="str">
        <f aca="false">IF(Raw_Export!$A1149="","",IFERROR(VLOOKUP(LOWER(TRIM(Raw_Export!D1149)),Maps!$G$2:$I$80,3,FALSE()),"UNMAPPED"))</f>
        <v>Personal Care</v>
      </c>
      <c r="F1149" s="36" t="n">
        <f aca="false">IF(Raw_Export!$A1149="","",IFERROR(VALUE(TRIM(Raw_Export!E1149)),0))</f>
        <v>1</v>
      </c>
      <c r="G1149" s="38" t="n">
        <f aca="false">IF(Raw_Export!$A1149="","",IFERROR(VALUE(SUBSTITUTE(SUBSTITUTE(UPPER(TRIM(Raw_Export!F1149)),"KES",""),",","")),0))</f>
        <v>315</v>
      </c>
      <c r="H1149" s="38" t="n">
        <f aca="false">IF(Raw_Export!$A1149="","",F1149*G1149)</f>
        <v>315</v>
      </c>
      <c r="I1149" s="36" t="str">
        <f aca="false">IF(Raw_Export!$A1149="","",IFERROR(VLOOKUP(LOWER(TRIM(Raw_Export!H1149)),Maps!$D$2:$E$12,2,FALSE()),"Other"))</f>
        <v>Card</v>
      </c>
      <c r="J1149" s="36" t="str">
        <f aca="false">IF(Raw_Export!$A1149="","",IF(COUNTIF($A$2:A1149,A1149)&gt;1,"Duplicate",""))</f>
        <v/>
      </c>
      <c r="K1149" s="36" t="str">
        <f aca="false">IF(Raw_Export!$A1149="","",IF(J1149="Duplicate","Duplicate",IF(OR(C1149="UNMAPPED",D1149="UNMAPPED"),"Unmapped",IF(F1149=0,"Blank qty",IF(F1149&lt;0,"Return","OK")))))</f>
        <v>OK</v>
      </c>
      <c r="L1149" s="36" t="n">
        <f aca="false">IF(Raw_Export!$A1149="","",IF(OR(K1149="OK",K1149="Return"),1,0))</f>
        <v>1</v>
      </c>
      <c r="M1149" s="37" t="n">
        <f aca="false">IF(Raw_Export!$A1149="","",B1149-WEEKDAY(B1149,2)+1)</f>
        <v>46272</v>
      </c>
    </row>
    <row r="1150" customFormat="false" ht="15" hidden="false" customHeight="false" outlineLevel="0" collapsed="false">
      <c r="A1150" s="36" t="str">
        <f aca="false">IF(Raw_Export!$A1150="","",TRIM(Raw_Export!A1150))</f>
        <v>TXN-101129</v>
      </c>
      <c r="B1150" s="37" t="n">
        <f aca="false">IF(Raw_Export!$A1150="","",IF(ISNUMBER(Raw_Export!B1150),Raw_Export!B1150,IF(MID(TRIM(Raw_Export!B1150),5,1)="-",DATE(LEFT(TRIM(Raw_Export!B1150),4),MID(TRIM(Raw_Export!B1150),6,2),RIGHT(TRIM(Raw_Export!B1150),2)),DATE(RIGHT(TRIM(Raw_Export!B1150),4),MATCH(MID(TRIM(Raw_Export!B1150),4,3),{"Jan","Feb","Mar","Apr","May","Jun","Jul","Aug","Sep","Oct","Nov","Dec"},0),LEFT(TRIM(Raw_Export!B1150),2)))))</f>
        <v>46272</v>
      </c>
      <c r="C1150" s="36" t="str">
        <f aca="false">IF(Raw_Export!$A1150="","",IFERROR(VLOOKUP(LOWER(TRIM(Raw_Export!C1150)),Maps!$A$2:$B$20,2,FALSE()),"UNMAPPED"))</f>
        <v>Westlands</v>
      </c>
      <c r="D1150" s="36" t="str">
        <f aca="false">IF(Raw_Export!$A1150="","",IFERROR(VLOOKUP(LOWER(TRIM(Raw_Export!D1150)),Maps!$G$2:$I$80,2,FALSE()),"UNMAPPED"))</f>
        <v>Biscuits 200g</v>
      </c>
      <c r="E1150" s="36" t="str">
        <f aca="false">IF(Raw_Export!$A1150="","",IFERROR(VLOOKUP(LOWER(TRIM(Raw_Export!D1150)),Maps!$G$2:$I$80,3,FALSE()),"UNMAPPED"))</f>
        <v>Snacks</v>
      </c>
      <c r="F1150" s="36" t="n">
        <f aca="false">IF(Raw_Export!$A1150="","",IFERROR(VALUE(TRIM(Raw_Export!E1150)),0))</f>
        <v>2</v>
      </c>
      <c r="G1150" s="38" t="n">
        <f aca="false">IF(Raw_Export!$A1150="","",IFERROR(VALUE(SUBSTITUTE(SUBSTITUTE(UPPER(TRIM(Raw_Export!F1150)),"KES",""),",","")),0))</f>
        <v>95</v>
      </c>
      <c r="H1150" s="38" t="n">
        <f aca="false">IF(Raw_Export!$A1150="","",F1150*G1150)</f>
        <v>190</v>
      </c>
      <c r="I1150" s="36" t="str">
        <f aca="false">IF(Raw_Export!$A1150="","",IFERROR(VLOOKUP(LOWER(TRIM(Raw_Export!H1150)),Maps!$D$2:$E$12,2,FALSE()),"Other"))</f>
        <v>M-Pesa</v>
      </c>
      <c r="J1150" s="36" t="str">
        <f aca="false">IF(Raw_Export!$A1150="","",IF(COUNTIF($A$2:A1150,A1150)&gt;1,"Duplicate",""))</f>
        <v/>
      </c>
      <c r="K1150" s="36" t="str">
        <f aca="false">IF(Raw_Export!$A1150="","",IF(J1150="Duplicate","Duplicate",IF(OR(C1150="UNMAPPED",D1150="UNMAPPED"),"Unmapped",IF(F1150=0,"Blank qty",IF(F1150&lt;0,"Return","OK")))))</f>
        <v>OK</v>
      </c>
      <c r="L1150" s="36" t="n">
        <f aca="false">IF(Raw_Export!$A1150="","",IF(OR(K1150="OK",K1150="Return"),1,0))</f>
        <v>1</v>
      </c>
      <c r="M1150" s="37" t="n">
        <f aca="false">IF(Raw_Export!$A1150="","",B1150-WEEKDAY(B1150,2)+1)</f>
        <v>46272</v>
      </c>
    </row>
    <row r="1151" customFormat="false" ht="15" hidden="false" customHeight="false" outlineLevel="0" collapsed="false">
      <c r="A1151" s="36" t="str">
        <f aca="false">IF(Raw_Export!$A1151="","",TRIM(Raw_Export!A1151))</f>
        <v>TXN-101130</v>
      </c>
      <c r="B1151" s="37" t="n">
        <f aca="false">IF(Raw_Export!$A1151="","",IF(ISNUMBER(Raw_Export!B1151),Raw_Export!B1151,IF(MID(TRIM(Raw_Export!B1151),5,1)="-",DATE(LEFT(TRIM(Raw_Export!B1151),4),MID(TRIM(Raw_Export!B1151),6,2),RIGHT(TRIM(Raw_Export!B1151),2)),DATE(RIGHT(TRIM(Raw_Export!B1151),4),MATCH(MID(TRIM(Raw_Export!B1151),4,3),{"Jan","Feb","Mar","Apr","May","Jun","Jul","Aug","Sep","Oct","Nov","Dec"},0),LEFT(TRIM(Raw_Export!B1151),2)))))</f>
        <v>46272</v>
      </c>
      <c r="C1151" s="36" t="str">
        <f aca="false">IF(Raw_Export!$A1151="","",IFERROR(VLOOKUP(LOWER(TRIM(Raw_Export!C1151)),Maps!$A$2:$B$20,2,FALSE()),"UNMAPPED"))</f>
        <v>Westlands</v>
      </c>
      <c r="D1151" s="36" t="str">
        <f aca="false">IF(Raw_Export!$A1151="","",IFERROR(VLOOKUP(LOWER(TRIM(Raw_Export!D1151)),Maps!$G$2:$I$80,2,FALSE()),"UNMAPPED"))</f>
        <v>Juice 1L</v>
      </c>
      <c r="E1151" s="36" t="str">
        <f aca="false">IF(Raw_Export!$A1151="","",IFERROR(VLOOKUP(LOWER(TRIM(Raw_Export!D1151)),Maps!$G$2:$I$80,3,FALSE()),"UNMAPPED"))</f>
        <v>Beverages</v>
      </c>
      <c r="F1151" s="36" t="n">
        <f aca="false">IF(Raw_Export!$A1151="","",IFERROR(VALUE(TRIM(Raw_Export!E1151)),0))</f>
        <v>4</v>
      </c>
      <c r="G1151" s="38" t="n">
        <f aca="false">IF(Raw_Export!$A1151="","",IFERROR(VALUE(SUBSTITUTE(SUBSTITUTE(UPPER(TRIM(Raw_Export!F1151)),"KES",""),",","")),0))</f>
        <v>210</v>
      </c>
      <c r="H1151" s="38" t="n">
        <f aca="false">IF(Raw_Export!$A1151="","",F1151*G1151)</f>
        <v>840</v>
      </c>
      <c r="I1151" s="36" t="str">
        <f aca="false">IF(Raw_Export!$A1151="","",IFERROR(VLOOKUP(LOWER(TRIM(Raw_Export!H1151)),Maps!$D$2:$E$12,2,FALSE()),"Other"))</f>
        <v>M-Pesa</v>
      </c>
      <c r="J1151" s="36" t="str">
        <f aca="false">IF(Raw_Export!$A1151="","",IF(COUNTIF($A$2:A1151,A1151)&gt;1,"Duplicate",""))</f>
        <v/>
      </c>
      <c r="K1151" s="36" t="str">
        <f aca="false">IF(Raw_Export!$A1151="","",IF(J1151="Duplicate","Duplicate",IF(OR(C1151="UNMAPPED",D1151="UNMAPPED"),"Unmapped",IF(F1151=0,"Blank qty",IF(F1151&lt;0,"Return","OK")))))</f>
        <v>OK</v>
      </c>
      <c r="L1151" s="36" t="n">
        <f aca="false">IF(Raw_Export!$A1151="","",IF(OR(K1151="OK",K1151="Return"),1,0))</f>
        <v>1</v>
      </c>
      <c r="M1151" s="37" t="n">
        <f aca="false">IF(Raw_Export!$A1151="","",B1151-WEEKDAY(B1151,2)+1)</f>
        <v>46272</v>
      </c>
    </row>
    <row r="1152" customFormat="false" ht="15" hidden="false" customHeight="false" outlineLevel="0" collapsed="false">
      <c r="A1152" s="36" t="str">
        <f aca="false">IF(Raw_Export!$A1152="","",TRIM(Raw_Export!A1152))</f>
        <v>TXN-101131</v>
      </c>
      <c r="B1152" s="37" t="n">
        <f aca="false">IF(Raw_Export!$A1152="","",IF(ISNUMBER(Raw_Export!B1152),Raw_Export!B1152,IF(MID(TRIM(Raw_Export!B1152),5,1)="-",DATE(LEFT(TRIM(Raw_Export!B1152),4),MID(TRIM(Raw_Export!B1152),6,2),RIGHT(TRIM(Raw_Export!B1152),2)),DATE(RIGHT(TRIM(Raw_Export!B1152),4),MATCH(MID(TRIM(Raw_Export!B1152),4,3),{"Jan","Feb","Mar","Apr","May","Jun","Jul","Aug","Sep","Oct","Nov","Dec"},0),LEFT(TRIM(Raw_Export!B1152),2)))))</f>
        <v>46272</v>
      </c>
      <c r="C1152" s="36" t="str">
        <f aca="false">IF(Raw_Export!$A1152="","",IFERROR(VLOOKUP(LOWER(TRIM(Raw_Export!C1152)),Maps!$A$2:$B$20,2,FALSE()),"UNMAPPED"))</f>
        <v>Westlands</v>
      </c>
      <c r="D1152" s="36" t="str">
        <f aca="false">IF(Raw_Export!$A1152="","",IFERROR(VLOOKUP(LOWER(TRIM(Raw_Export!D1152)),Maps!$G$2:$I$80,2,FALSE()),"UNMAPPED"))</f>
        <v>Biscuits 200g</v>
      </c>
      <c r="E1152" s="36" t="str">
        <f aca="false">IF(Raw_Export!$A1152="","",IFERROR(VLOOKUP(LOWER(TRIM(Raw_Export!D1152)),Maps!$G$2:$I$80,3,FALSE()),"UNMAPPED"))</f>
        <v>Snacks</v>
      </c>
      <c r="F1152" s="36" t="n">
        <f aca="false">IF(Raw_Export!$A1152="","",IFERROR(VALUE(TRIM(Raw_Export!E1152)),0))</f>
        <v>1</v>
      </c>
      <c r="G1152" s="38" t="n">
        <f aca="false">IF(Raw_Export!$A1152="","",IFERROR(VALUE(SUBSTITUTE(SUBSTITUTE(UPPER(TRIM(Raw_Export!F1152)),"KES",""),",","")),0))</f>
        <v>86</v>
      </c>
      <c r="H1152" s="38" t="n">
        <f aca="false">IF(Raw_Export!$A1152="","",F1152*G1152)</f>
        <v>86</v>
      </c>
      <c r="I1152" s="36" t="str">
        <f aca="false">IF(Raw_Export!$A1152="","",IFERROR(VLOOKUP(LOWER(TRIM(Raw_Export!H1152)),Maps!$D$2:$E$12,2,FALSE()),"Other"))</f>
        <v>M-Pesa</v>
      </c>
      <c r="J1152" s="36" t="str">
        <f aca="false">IF(Raw_Export!$A1152="","",IF(COUNTIF($A$2:A1152,A1152)&gt;1,"Duplicate",""))</f>
        <v/>
      </c>
      <c r="K1152" s="36" t="str">
        <f aca="false">IF(Raw_Export!$A1152="","",IF(J1152="Duplicate","Duplicate",IF(OR(C1152="UNMAPPED",D1152="UNMAPPED"),"Unmapped",IF(F1152=0,"Blank qty",IF(F1152&lt;0,"Return","OK")))))</f>
        <v>OK</v>
      </c>
      <c r="L1152" s="36" t="n">
        <f aca="false">IF(Raw_Export!$A1152="","",IF(OR(K1152="OK",K1152="Return"),1,0))</f>
        <v>1</v>
      </c>
      <c r="M1152" s="37" t="n">
        <f aca="false">IF(Raw_Export!$A1152="","",B1152-WEEKDAY(B1152,2)+1)</f>
        <v>46272</v>
      </c>
    </row>
    <row r="1153" customFormat="false" ht="15" hidden="false" customHeight="false" outlineLevel="0" collapsed="false">
      <c r="A1153" s="36" t="str">
        <f aca="false">IF(Raw_Export!$A1153="","",TRIM(Raw_Export!A1153))</f>
        <v>TXN-101132</v>
      </c>
      <c r="B1153" s="37" t="n">
        <f aca="false">IF(Raw_Export!$A1153="","",IF(ISNUMBER(Raw_Export!B1153),Raw_Export!B1153,IF(MID(TRIM(Raw_Export!B1153),5,1)="-",DATE(LEFT(TRIM(Raw_Export!B1153),4),MID(TRIM(Raw_Export!B1153),6,2),RIGHT(TRIM(Raw_Export!B1153),2)),DATE(RIGHT(TRIM(Raw_Export!B1153),4),MATCH(MID(TRIM(Raw_Export!B1153),4,3),{"Jan","Feb","Mar","Apr","May","Jun","Jul","Aug","Sep","Oct","Nov","Dec"},0),LEFT(TRIM(Raw_Export!B1153),2)))))</f>
        <v>46272</v>
      </c>
      <c r="C1153" s="36" t="str">
        <f aca="false">IF(Raw_Export!$A1153="","",IFERROR(VLOOKUP(LOWER(TRIM(Raw_Export!C1153)),Maps!$A$2:$B$20,2,FALSE()),"UNMAPPED"))</f>
        <v>Westlands</v>
      </c>
      <c r="D1153" s="36" t="str">
        <f aca="false">IF(Raw_Export!$A1153="","",IFERROR(VLOOKUP(LOWER(TRIM(Raw_Export!D1153)),Maps!$G$2:$I$80,2,FALSE()),"UNMAPPED"))</f>
        <v>Juice 1L</v>
      </c>
      <c r="E1153" s="36" t="str">
        <f aca="false">IF(Raw_Export!$A1153="","",IFERROR(VLOOKUP(LOWER(TRIM(Raw_Export!D1153)),Maps!$G$2:$I$80,3,FALSE()),"UNMAPPED"))</f>
        <v>Beverages</v>
      </c>
      <c r="F1153" s="36" t="n">
        <f aca="false">IF(Raw_Export!$A1153="","",IFERROR(VALUE(TRIM(Raw_Export!E1153)),0))</f>
        <v>1</v>
      </c>
      <c r="G1153" s="38" t="n">
        <f aca="false">IF(Raw_Export!$A1153="","",IFERROR(VALUE(SUBSTITUTE(SUBSTITUTE(UPPER(TRIM(Raw_Export!F1153)),"KES",""),",","")),0))</f>
        <v>210</v>
      </c>
      <c r="H1153" s="38" t="n">
        <f aca="false">IF(Raw_Export!$A1153="","",F1153*G1153)</f>
        <v>210</v>
      </c>
      <c r="I1153" s="36" t="str">
        <f aca="false">IF(Raw_Export!$A1153="","",IFERROR(VLOOKUP(LOWER(TRIM(Raw_Export!H1153)),Maps!$D$2:$E$12,2,FALSE()),"Other"))</f>
        <v>M-Pesa</v>
      </c>
      <c r="J1153" s="36" t="str">
        <f aca="false">IF(Raw_Export!$A1153="","",IF(COUNTIF($A$2:A1153,A1153)&gt;1,"Duplicate",""))</f>
        <v/>
      </c>
      <c r="K1153" s="36" t="str">
        <f aca="false">IF(Raw_Export!$A1153="","",IF(J1153="Duplicate","Duplicate",IF(OR(C1153="UNMAPPED",D1153="UNMAPPED"),"Unmapped",IF(F1153=0,"Blank qty",IF(F1153&lt;0,"Return","OK")))))</f>
        <v>OK</v>
      </c>
      <c r="L1153" s="36" t="n">
        <f aca="false">IF(Raw_Export!$A1153="","",IF(OR(K1153="OK",K1153="Return"),1,0))</f>
        <v>1</v>
      </c>
      <c r="M1153" s="37" t="n">
        <f aca="false">IF(Raw_Export!$A1153="","",B1153-WEEKDAY(B1153,2)+1)</f>
        <v>46272</v>
      </c>
    </row>
    <row r="1154" customFormat="false" ht="15" hidden="false" customHeight="false" outlineLevel="0" collapsed="false">
      <c r="A1154" s="36" t="str">
        <f aca="false">IF(Raw_Export!$A1154="","",TRIM(Raw_Export!A1154))</f>
        <v>TXN-101133</v>
      </c>
      <c r="B1154" s="37" t="n">
        <f aca="false">IF(Raw_Export!$A1154="","",IF(ISNUMBER(Raw_Export!B1154),Raw_Export!B1154,IF(MID(TRIM(Raw_Export!B1154),5,1)="-",DATE(LEFT(TRIM(Raw_Export!B1154),4),MID(TRIM(Raw_Export!B1154),6,2),RIGHT(TRIM(Raw_Export!B1154),2)),DATE(RIGHT(TRIM(Raw_Export!B1154),4),MATCH(MID(TRIM(Raw_Export!B1154),4,3),{"Jan","Feb","Mar","Apr","May","Jun","Jul","Aug","Sep","Oct","Nov","Dec"},0),LEFT(TRIM(Raw_Export!B1154),2)))))</f>
        <v>46272</v>
      </c>
      <c r="C1154" s="36" t="str">
        <f aca="false">IF(Raw_Export!$A1154="","",IFERROR(VLOOKUP(LOWER(TRIM(Raw_Export!C1154)),Maps!$A$2:$B$20,2,FALSE()),"UNMAPPED"))</f>
        <v>Westlands</v>
      </c>
      <c r="D1154" s="36" t="str">
        <f aca="false">IF(Raw_Export!$A1154="","",IFERROR(VLOOKUP(LOWER(TRIM(Raw_Export!D1154)),Maps!$G$2:$I$80,2,FALSE()),"UNMAPPED"))</f>
        <v>Cooking Oil 1L</v>
      </c>
      <c r="E1154" s="36" t="str">
        <f aca="false">IF(Raw_Export!$A1154="","",IFERROR(VLOOKUP(LOWER(TRIM(Raw_Export!D1154)),Maps!$G$2:$I$80,3,FALSE()),"UNMAPPED"))</f>
        <v>Staples</v>
      </c>
      <c r="F1154" s="36" t="n">
        <f aca="false">IF(Raw_Export!$A1154="","",IFERROR(VALUE(TRIM(Raw_Export!E1154)),0))</f>
        <v>2</v>
      </c>
      <c r="G1154" s="38" t="n">
        <f aca="false">IF(Raw_Export!$A1154="","",IFERROR(VALUE(SUBSTITUTE(SUBSTITUTE(UPPER(TRIM(Raw_Export!F1154)),"KES",""),",","")),0))</f>
        <v>330</v>
      </c>
      <c r="H1154" s="38" t="n">
        <f aca="false">IF(Raw_Export!$A1154="","",F1154*G1154)</f>
        <v>660</v>
      </c>
      <c r="I1154" s="36" t="str">
        <f aca="false">IF(Raw_Export!$A1154="","",IFERROR(VLOOKUP(LOWER(TRIM(Raw_Export!H1154)),Maps!$D$2:$E$12,2,FALSE()),"Other"))</f>
        <v>M-Pesa</v>
      </c>
      <c r="J1154" s="36" t="str">
        <f aca="false">IF(Raw_Export!$A1154="","",IF(COUNTIF($A$2:A1154,A1154)&gt;1,"Duplicate",""))</f>
        <v/>
      </c>
      <c r="K1154" s="36" t="str">
        <f aca="false">IF(Raw_Export!$A1154="","",IF(J1154="Duplicate","Duplicate",IF(OR(C1154="UNMAPPED",D1154="UNMAPPED"),"Unmapped",IF(F1154=0,"Blank qty",IF(F1154&lt;0,"Return","OK")))))</f>
        <v>OK</v>
      </c>
      <c r="L1154" s="36" t="n">
        <f aca="false">IF(Raw_Export!$A1154="","",IF(OR(K1154="OK",K1154="Return"),1,0))</f>
        <v>1</v>
      </c>
      <c r="M1154" s="37" t="n">
        <f aca="false">IF(Raw_Export!$A1154="","",B1154-WEEKDAY(B1154,2)+1)</f>
        <v>46272</v>
      </c>
    </row>
    <row r="1155" customFormat="false" ht="15" hidden="false" customHeight="false" outlineLevel="0" collapsed="false">
      <c r="A1155" s="36" t="str">
        <f aca="false">IF(Raw_Export!$A1155="","",TRIM(Raw_Export!A1155))</f>
        <v>TXN-101134</v>
      </c>
      <c r="B1155" s="37" t="n">
        <f aca="false">IF(Raw_Export!$A1155="","",IF(ISNUMBER(Raw_Export!B1155),Raw_Export!B1155,IF(MID(TRIM(Raw_Export!B1155),5,1)="-",DATE(LEFT(TRIM(Raw_Export!B1155),4),MID(TRIM(Raw_Export!B1155),6,2),RIGHT(TRIM(Raw_Export!B1155),2)),DATE(RIGHT(TRIM(Raw_Export!B1155),4),MATCH(MID(TRIM(Raw_Export!B1155),4,3),{"Jan","Feb","Mar","Apr","May","Jun","Jul","Aug","Sep","Oct","Nov","Dec"},0),LEFT(TRIM(Raw_Export!B1155),2)))))</f>
        <v>46272</v>
      </c>
      <c r="C1155" s="36" t="str">
        <f aca="false">IF(Raw_Export!$A1155="","",IFERROR(VLOOKUP(LOWER(TRIM(Raw_Export!C1155)),Maps!$A$2:$B$20,2,FALSE()),"UNMAPPED"))</f>
        <v>Westlands</v>
      </c>
      <c r="D1155" s="36" t="str">
        <f aca="false">IF(Raw_Export!$A1155="","",IFERROR(VLOOKUP(LOWER(TRIM(Raw_Export!D1155)),Maps!$G$2:$I$80,2,FALSE()),"UNMAPPED"))</f>
        <v>Peanuts 250g</v>
      </c>
      <c r="E1155" s="36" t="str">
        <f aca="false">IF(Raw_Export!$A1155="","",IFERROR(VLOOKUP(LOWER(TRIM(Raw_Export!D1155)),Maps!$G$2:$I$80,3,FALSE()),"UNMAPPED"))</f>
        <v>Snacks</v>
      </c>
      <c r="F1155" s="36" t="n">
        <f aca="false">IF(Raw_Export!$A1155="","",IFERROR(VALUE(TRIM(Raw_Export!E1155)),0))</f>
        <v>1</v>
      </c>
      <c r="G1155" s="38" t="n">
        <f aca="false">IF(Raw_Export!$A1155="","",IFERROR(VALUE(SUBSTITUTE(SUBSTITUTE(UPPER(TRIM(Raw_Export!F1155)),"KES",""),",","")),0))</f>
        <v>130</v>
      </c>
      <c r="H1155" s="38" t="n">
        <f aca="false">IF(Raw_Export!$A1155="","",F1155*G1155)</f>
        <v>130</v>
      </c>
      <c r="I1155" s="36" t="str">
        <f aca="false">IF(Raw_Export!$A1155="","",IFERROR(VLOOKUP(LOWER(TRIM(Raw_Export!H1155)),Maps!$D$2:$E$12,2,FALSE()),"Other"))</f>
        <v>M-Pesa</v>
      </c>
      <c r="J1155" s="36" t="str">
        <f aca="false">IF(Raw_Export!$A1155="","",IF(COUNTIF($A$2:A1155,A1155)&gt;1,"Duplicate",""))</f>
        <v/>
      </c>
      <c r="K1155" s="36" t="str">
        <f aca="false">IF(Raw_Export!$A1155="","",IF(J1155="Duplicate","Duplicate",IF(OR(C1155="UNMAPPED",D1155="UNMAPPED"),"Unmapped",IF(F1155=0,"Blank qty",IF(F1155&lt;0,"Return","OK")))))</f>
        <v>OK</v>
      </c>
      <c r="L1155" s="36" t="n">
        <f aca="false">IF(Raw_Export!$A1155="","",IF(OR(K1155="OK",K1155="Return"),1,0))</f>
        <v>1</v>
      </c>
      <c r="M1155" s="37" t="n">
        <f aca="false">IF(Raw_Export!$A1155="","",B1155-WEEKDAY(B1155,2)+1)</f>
        <v>46272</v>
      </c>
    </row>
    <row r="1156" customFormat="false" ht="15" hidden="false" customHeight="false" outlineLevel="0" collapsed="false">
      <c r="A1156" s="36" t="str">
        <f aca="false">IF(Raw_Export!$A1156="","",TRIM(Raw_Export!A1156))</f>
        <v>TXN-101135</v>
      </c>
      <c r="B1156" s="37" t="n">
        <f aca="false">IF(Raw_Export!$A1156="","",IF(ISNUMBER(Raw_Export!B1156),Raw_Export!B1156,IF(MID(TRIM(Raw_Export!B1156),5,1)="-",DATE(LEFT(TRIM(Raw_Export!B1156),4),MID(TRIM(Raw_Export!B1156),6,2),RIGHT(TRIM(Raw_Export!B1156),2)),DATE(RIGHT(TRIM(Raw_Export!B1156),4),MATCH(MID(TRIM(Raw_Export!B1156),4,3),{"Jan","Feb","Mar","Apr","May","Jun","Jul","Aug","Sep","Oct","Nov","Dec"},0),LEFT(TRIM(Raw_Export!B1156),2)))))</f>
        <v>46272</v>
      </c>
      <c r="C1156" s="36" t="str">
        <f aca="false">IF(Raw_Export!$A1156="","",IFERROR(VLOOKUP(LOWER(TRIM(Raw_Export!C1156)),Maps!$A$2:$B$20,2,FALSE()),"UNMAPPED"))</f>
        <v>Westlands</v>
      </c>
      <c r="D1156" s="36" t="str">
        <f aca="false">IF(Raw_Export!$A1156="","",IFERROR(VLOOKUP(LOWER(TRIM(Raw_Export!D1156)),Maps!$G$2:$I$80,2,FALSE()),"UNMAPPED"))</f>
        <v>Rice Pishori 2kg</v>
      </c>
      <c r="E1156" s="36" t="str">
        <f aca="false">IF(Raw_Export!$A1156="","",IFERROR(VLOOKUP(LOWER(TRIM(Raw_Export!D1156)),Maps!$G$2:$I$80,3,FALSE()),"UNMAPPED"))</f>
        <v>Staples</v>
      </c>
      <c r="F1156" s="36" t="n">
        <f aca="false">IF(Raw_Export!$A1156="","",IFERROR(VALUE(TRIM(Raw_Export!E1156)),0))</f>
        <v>2</v>
      </c>
      <c r="G1156" s="38" t="n">
        <f aca="false">IF(Raw_Export!$A1156="","",IFERROR(VALUE(SUBSTITUTE(SUBSTITUTE(UPPER(TRIM(Raw_Export!F1156)),"KES",""),",","")),0))</f>
        <v>420</v>
      </c>
      <c r="H1156" s="38" t="n">
        <f aca="false">IF(Raw_Export!$A1156="","",F1156*G1156)</f>
        <v>840</v>
      </c>
      <c r="I1156" s="36" t="str">
        <f aca="false">IF(Raw_Export!$A1156="","",IFERROR(VLOOKUP(LOWER(TRIM(Raw_Export!H1156)),Maps!$D$2:$E$12,2,FALSE()),"Other"))</f>
        <v>Card</v>
      </c>
      <c r="J1156" s="36" t="str">
        <f aca="false">IF(Raw_Export!$A1156="","",IF(COUNTIF($A$2:A1156,A1156)&gt;1,"Duplicate",""))</f>
        <v/>
      </c>
      <c r="K1156" s="36" t="str">
        <f aca="false">IF(Raw_Export!$A1156="","",IF(J1156="Duplicate","Duplicate",IF(OR(C1156="UNMAPPED",D1156="UNMAPPED"),"Unmapped",IF(F1156=0,"Blank qty",IF(F1156&lt;0,"Return","OK")))))</f>
        <v>OK</v>
      </c>
      <c r="L1156" s="36" t="n">
        <f aca="false">IF(Raw_Export!$A1156="","",IF(OR(K1156="OK",K1156="Return"),1,0))</f>
        <v>1</v>
      </c>
      <c r="M1156" s="37" t="n">
        <f aca="false">IF(Raw_Export!$A1156="","",B1156-WEEKDAY(B1156,2)+1)</f>
        <v>46272</v>
      </c>
    </row>
    <row r="1157" customFormat="false" ht="15" hidden="false" customHeight="false" outlineLevel="0" collapsed="false">
      <c r="A1157" s="36" t="str">
        <f aca="false">IF(Raw_Export!$A1157="","",TRIM(Raw_Export!A1157))</f>
        <v>TXN-101136</v>
      </c>
      <c r="B1157" s="37" t="n">
        <f aca="false">IF(Raw_Export!$A1157="","",IF(ISNUMBER(Raw_Export!B1157),Raw_Export!B1157,IF(MID(TRIM(Raw_Export!B1157),5,1)="-",DATE(LEFT(TRIM(Raw_Export!B1157),4),MID(TRIM(Raw_Export!B1157),6,2),RIGHT(TRIM(Raw_Export!B1157),2)),DATE(RIGHT(TRIM(Raw_Export!B1157),4),MATCH(MID(TRIM(Raw_Export!B1157),4,3),{"Jan","Feb","Mar","Apr","May","Jun","Jul","Aug","Sep","Oct","Nov","Dec"},0),LEFT(TRIM(Raw_Export!B1157),2)))))</f>
        <v>46272</v>
      </c>
      <c r="C1157" s="36" t="str">
        <f aca="false">IF(Raw_Export!$A1157="","",IFERROR(VLOOKUP(LOWER(TRIM(Raw_Export!C1157)),Maps!$A$2:$B$20,2,FALSE()),"UNMAPPED"))</f>
        <v>Westlands</v>
      </c>
      <c r="D1157" s="36" t="str">
        <f aca="false">IF(Raw_Export!$A1157="","",IFERROR(VLOOKUP(LOWER(TRIM(Raw_Export!D1157)),Maps!$G$2:$I$80,2,FALSE()),"UNMAPPED"))</f>
        <v>Soda 500ml</v>
      </c>
      <c r="E1157" s="36" t="str">
        <f aca="false">IF(Raw_Export!$A1157="","",IFERROR(VLOOKUP(LOWER(TRIM(Raw_Export!D1157)),Maps!$G$2:$I$80,3,FALSE()),"UNMAPPED"))</f>
        <v>Beverages</v>
      </c>
      <c r="F1157" s="36" t="n">
        <f aca="false">IF(Raw_Export!$A1157="","",IFERROR(VALUE(TRIM(Raw_Export!E1157)),0))</f>
        <v>6</v>
      </c>
      <c r="G1157" s="38" t="n">
        <f aca="false">IF(Raw_Export!$A1157="","",IFERROR(VALUE(SUBSTITUTE(SUBSTITUTE(UPPER(TRIM(Raw_Export!F1157)),"KES",""),",","")),0))</f>
        <v>60</v>
      </c>
      <c r="H1157" s="38" t="n">
        <f aca="false">IF(Raw_Export!$A1157="","",F1157*G1157)</f>
        <v>360</v>
      </c>
      <c r="I1157" s="36" t="str">
        <f aca="false">IF(Raw_Export!$A1157="","",IFERROR(VLOOKUP(LOWER(TRIM(Raw_Export!H1157)),Maps!$D$2:$E$12,2,FALSE()),"Other"))</f>
        <v>M-Pesa</v>
      </c>
      <c r="J1157" s="36" t="str">
        <f aca="false">IF(Raw_Export!$A1157="","",IF(COUNTIF($A$2:A1157,A1157)&gt;1,"Duplicate",""))</f>
        <v/>
      </c>
      <c r="K1157" s="36" t="str">
        <f aca="false">IF(Raw_Export!$A1157="","",IF(J1157="Duplicate","Duplicate",IF(OR(C1157="UNMAPPED",D1157="UNMAPPED"),"Unmapped",IF(F1157=0,"Blank qty",IF(F1157&lt;0,"Return","OK")))))</f>
        <v>OK</v>
      </c>
      <c r="L1157" s="36" t="n">
        <f aca="false">IF(Raw_Export!$A1157="","",IF(OR(K1157="OK",K1157="Return"),1,0))</f>
        <v>1</v>
      </c>
      <c r="M1157" s="37" t="n">
        <f aca="false">IF(Raw_Export!$A1157="","",B1157-WEEKDAY(B1157,2)+1)</f>
        <v>46272</v>
      </c>
    </row>
    <row r="1158" customFormat="false" ht="15" hidden="false" customHeight="false" outlineLevel="0" collapsed="false">
      <c r="A1158" s="36" t="str">
        <f aca="false">IF(Raw_Export!$A1158="","",TRIM(Raw_Export!A1158))</f>
        <v>TXN-101137</v>
      </c>
      <c r="B1158" s="37" t="n">
        <f aca="false">IF(Raw_Export!$A1158="","",IF(ISNUMBER(Raw_Export!B1158),Raw_Export!B1158,IF(MID(TRIM(Raw_Export!B1158),5,1)="-",DATE(LEFT(TRIM(Raw_Export!B1158),4),MID(TRIM(Raw_Export!B1158),6,2),RIGHT(TRIM(Raw_Export!B1158),2)),DATE(RIGHT(TRIM(Raw_Export!B1158),4),MATCH(MID(TRIM(Raw_Export!B1158),4,3),{"Jan","Feb","Mar","Apr","May","Jun","Jul","Aug","Sep","Oct","Nov","Dec"},0),LEFT(TRIM(Raw_Export!B1158),2)))))</f>
        <v>46272</v>
      </c>
      <c r="C1158" s="36" t="str">
        <f aca="false">IF(Raw_Export!$A1158="","",IFERROR(VLOOKUP(LOWER(TRIM(Raw_Export!C1158)),Maps!$A$2:$B$20,2,FALSE()),"UNMAPPED"))</f>
        <v>Westlands</v>
      </c>
      <c r="D1158" s="36" t="str">
        <f aca="false">IF(Raw_Export!$A1158="","",IFERROR(VLOOKUP(LOWER(TRIM(Raw_Export!D1158)),Maps!$G$2:$I$80,2,FALSE()),"UNMAPPED"))</f>
        <v>Toothpaste 100g</v>
      </c>
      <c r="E1158" s="36" t="str">
        <f aca="false">IF(Raw_Export!$A1158="","",IFERROR(VLOOKUP(LOWER(TRIM(Raw_Export!D1158)),Maps!$G$2:$I$80,3,FALSE()),"UNMAPPED"))</f>
        <v>Personal Care</v>
      </c>
      <c r="F1158" s="36" t="n">
        <f aca="false">IF(Raw_Export!$A1158="","",IFERROR(VALUE(TRIM(Raw_Export!E1158)),0))</f>
        <v>1</v>
      </c>
      <c r="G1158" s="38" t="n">
        <f aca="false">IF(Raw_Export!$A1158="","",IFERROR(VALUE(SUBSTITUTE(SUBSTITUTE(UPPER(TRIM(Raw_Export!F1158)),"KES",""),",","")),0))</f>
        <v>195</v>
      </c>
      <c r="H1158" s="38" t="n">
        <f aca="false">IF(Raw_Export!$A1158="","",F1158*G1158)</f>
        <v>195</v>
      </c>
      <c r="I1158" s="36" t="str">
        <f aca="false">IF(Raw_Export!$A1158="","",IFERROR(VLOOKUP(LOWER(TRIM(Raw_Export!H1158)),Maps!$D$2:$E$12,2,FALSE()),"Other"))</f>
        <v>Card</v>
      </c>
      <c r="J1158" s="36" t="str">
        <f aca="false">IF(Raw_Export!$A1158="","",IF(COUNTIF($A$2:A1158,A1158)&gt;1,"Duplicate",""))</f>
        <v/>
      </c>
      <c r="K1158" s="36" t="str">
        <f aca="false">IF(Raw_Export!$A1158="","",IF(J1158="Duplicate","Duplicate",IF(OR(C1158="UNMAPPED",D1158="UNMAPPED"),"Unmapped",IF(F1158=0,"Blank qty",IF(F1158&lt;0,"Return","OK")))))</f>
        <v>OK</v>
      </c>
      <c r="L1158" s="36" t="n">
        <f aca="false">IF(Raw_Export!$A1158="","",IF(OR(K1158="OK",K1158="Return"),1,0))</f>
        <v>1</v>
      </c>
      <c r="M1158" s="37" t="n">
        <f aca="false">IF(Raw_Export!$A1158="","",B1158-WEEKDAY(B1158,2)+1)</f>
        <v>46272</v>
      </c>
    </row>
    <row r="1159" customFormat="false" ht="15" hidden="false" customHeight="false" outlineLevel="0" collapsed="false">
      <c r="A1159" s="36" t="str">
        <f aca="false">IF(Raw_Export!$A1159="","",TRIM(Raw_Export!A1159))</f>
        <v>TXN-101138</v>
      </c>
      <c r="B1159" s="37" t="n">
        <f aca="false">IF(Raw_Export!$A1159="","",IF(ISNUMBER(Raw_Export!B1159),Raw_Export!B1159,IF(MID(TRIM(Raw_Export!B1159),5,1)="-",DATE(LEFT(TRIM(Raw_Export!B1159),4),MID(TRIM(Raw_Export!B1159),6,2),RIGHT(TRIM(Raw_Export!B1159),2)),DATE(RIGHT(TRIM(Raw_Export!B1159),4),MATCH(MID(TRIM(Raw_Export!B1159),4,3),{"Jan","Feb","Mar","Apr","May","Jun","Jul","Aug","Sep","Oct","Nov","Dec"},0),LEFT(TRIM(Raw_Export!B1159),2)))))</f>
        <v>46272</v>
      </c>
      <c r="C1159" s="36" t="str">
        <f aca="false">IF(Raw_Export!$A1159="","",IFERROR(VLOOKUP(LOWER(TRIM(Raw_Export!C1159)),Maps!$A$2:$B$20,2,FALSE()),"UNMAPPED"))</f>
        <v>Mombasa</v>
      </c>
      <c r="D1159" s="36" t="str">
        <f aca="false">IF(Raw_Export!$A1159="","",IFERROR(VLOOKUP(LOWER(TRIM(Raw_Export!D1159)),Maps!$G$2:$I$80,2,FALSE()),"UNMAPPED"))</f>
        <v>Tea Leaves 250g</v>
      </c>
      <c r="E1159" s="36" t="str">
        <f aca="false">IF(Raw_Export!$A1159="","",IFERROR(VLOOKUP(LOWER(TRIM(Raw_Export!D1159)),Maps!$G$2:$I$80,3,FALSE()),"UNMAPPED"))</f>
        <v>Beverages</v>
      </c>
      <c r="F1159" s="36" t="n">
        <f aca="false">IF(Raw_Export!$A1159="","",IFERROR(VALUE(TRIM(Raw_Export!E1159)),0))</f>
        <v>0</v>
      </c>
      <c r="G1159" s="38" t="n">
        <f aca="false">IF(Raw_Export!$A1159="","",IFERROR(VALUE(SUBSTITUTE(SUBSTITUTE(UPPER(TRIM(Raw_Export!F1159)),"KES",""),",","")),0))</f>
        <v>150</v>
      </c>
      <c r="H1159" s="38" t="n">
        <f aca="false">IF(Raw_Export!$A1159="","",F1159*G1159)</f>
        <v>0</v>
      </c>
      <c r="I1159" s="36" t="str">
        <f aca="false">IF(Raw_Export!$A1159="","",IFERROR(VLOOKUP(LOWER(TRIM(Raw_Export!H1159)),Maps!$D$2:$E$12,2,FALSE()),"Other"))</f>
        <v>M-Pesa</v>
      </c>
      <c r="J1159" s="36" t="str">
        <f aca="false">IF(Raw_Export!$A1159="","",IF(COUNTIF($A$2:A1159,A1159)&gt;1,"Duplicate",""))</f>
        <v/>
      </c>
      <c r="K1159" s="36" t="str">
        <f aca="false">IF(Raw_Export!$A1159="","",IF(J1159="Duplicate","Duplicate",IF(OR(C1159="UNMAPPED",D1159="UNMAPPED"),"Unmapped",IF(F1159=0,"Blank qty",IF(F1159&lt;0,"Return","OK")))))</f>
        <v>Blank qty</v>
      </c>
      <c r="L1159" s="36" t="n">
        <f aca="false">IF(Raw_Export!$A1159="","",IF(OR(K1159="OK",K1159="Return"),1,0))</f>
        <v>0</v>
      </c>
      <c r="M1159" s="37" t="n">
        <f aca="false">IF(Raw_Export!$A1159="","",B1159-WEEKDAY(B1159,2)+1)</f>
        <v>46272</v>
      </c>
    </row>
    <row r="1160" customFormat="false" ht="15" hidden="false" customHeight="false" outlineLevel="0" collapsed="false">
      <c r="A1160" s="36" t="str">
        <f aca="false">IF(Raw_Export!$A1160="","",TRIM(Raw_Export!A1160))</f>
        <v>TXN-101139</v>
      </c>
      <c r="B1160" s="37" t="n">
        <f aca="false">IF(Raw_Export!$A1160="","",IF(ISNUMBER(Raw_Export!B1160),Raw_Export!B1160,IF(MID(TRIM(Raw_Export!B1160),5,1)="-",DATE(LEFT(TRIM(Raw_Export!B1160),4),MID(TRIM(Raw_Export!B1160),6,2),RIGHT(TRIM(Raw_Export!B1160),2)),DATE(RIGHT(TRIM(Raw_Export!B1160),4),MATCH(MID(TRIM(Raw_Export!B1160),4,3),{"Jan","Feb","Mar","Apr","May","Jun","Jul","Aug","Sep","Oct","Nov","Dec"},0),LEFT(TRIM(Raw_Export!B1160),2)))))</f>
        <v>46272</v>
      </c>
      <c r="C1160" s="36" t="str">
        <f aca="false">IF(Raw_Export!$A1160="","",IFERROR(VLOOKUP(LOWER(TRIM(Raw_Export!C1160)),Maps!$A$2:$B$20,2,FALSE()),"UNMAPPED"))</f>
        <v>Mombasa</v>
      </c>
      <c r="D1160" s="36" t="str">
        <f aca="false">IF(Raw_Export!$A1160="","",IFERROR(VLOOKUP(LOWER(TRIM(Raw_Export!D1160)),Maps!$G$2:$I$80,2,FALSE()),"UNMAPPED"))</f>
        <v>Cooking Oil 1L</v>
      </c>
      <c r="E1160" s="36" t="str">
        <f aca="false">IF(Raw_Export!$A1160="","",IFERROR(VLOOKUP(LOWER(TRIM(Raw_Export!D1160)),Maps!$G$2:$I$80,3,FALSE()),"UNMAPPED"))</f>
        <v>Staples</v>
      </c>
      <c r="F1160" s="36" t="n">
        <f aca="false">IF(Raw_Export!$A1160="","",IFERROR(VALUE(TRIM(Raw_Export!E1160)),0))</f>
        <v>3</v>
      </c>
      <c r="G1160" s="38" t="n">
        <f aca="false">IF(Raw_Export!$A1160="","",IFERROR(VALUE(SUBSTITUTE(SUBSTITUTE(UPPER(TRIM(Raw_Export!F1160)),"KES",""),",","")),0))</f>
        <v>330</v>
      </c>
      <c r="H1160" s="38" t="n">
        <f aca="false">IF(Raw_Export!$A1160="","",F1160*G1160)</f>
        <v>990</v>
      </c>
      <c r="I1160" s="36" t="str">
        <f aca="false">IF(Raw_Export!$A1160="","",IFERROR(VLOOKUP(LOWER(TRIM(Raw_Export!H1160)),Maps!$D$2:$E$12,2,FALSE()),"Other"))</f>
        <v>M-Pesa</v>
      </c>
      <c r="J1160" s="36" t="str">
        <f aca="false">IF(Raw_Export!$A1160="","",IF(COUNTIF($A$2:A1160,A1160)&gt;1,"Duplicate",""))</f>
        <v/>
      </c>
      <c r="K1160" s="36" t="str">
        <f aca="false">IF(Raw_Export!$A1160="","",IF(J1160="Duplicate","Duplicate",IF(OR(C1160="UNMAPPED",D1160="UNMAPPED"),"Unmapped",IF(F1160=0,"Blank qty",IF(F1160&lt;0,"Return","OK")))))</f>
        <v>OK</v>
      </c>
      <c r="L1160" s="36" t="n">
        <f aca="false">IF(Raw_Export!$A1160="","",IF(OR(K1160="OK",K1160="Return"),1,0))</f>
        <v>1</v>
      </c>
      <c r="M1160" s="37" t="n">
        <f aca="false">IF(Raw_Export!$A1160="","",B1160-WEEKDAY(B1160,2)+1)</f>
        <v>46272</v>
      </c>
    </row>
    <row r="1161" customFormat="false" ht="15" hidden="false" customHeight="false" outlineLevel="0" collapsed="false">
      <c r="A1161" s="36" t="str">
        <f aca="false">IF(Raw_Export!$A1161="","",TRIM(Raw_Export!A1161))</f>
        <v>TXN-101140</v>
      </c>
      <c r="B1161" s="37" t="n">
        <f aca="false">IF(Raw_Export!$A1161="","",IF(ISNUMBER(Raw_Export!B1161),Raw_Export!B1161,IF(MID(TRIM(Raw_Export!B1161),5,1)="-",DATE(LEFT(TRIM(Raw_Export!B1161),4),MID(TRIM(Raw_Export!B1161),6,2),RIGHT(TRIM(Raw_Export!B1161),2)),DATE(RIGHT(TRIM(Raw_Export!B1161),4),MATCH(MID(TRIM(Raw_Export!B1161),4,3),{"Jan","Feb","Mar","Apr","May","Jun","Jul","Aug","Sep","Oct","Nov","Dec"},0),LEFT(TRIM(Raw_Export!B1161),2)))))</f>
        <v>46272</v>
      </c>
      <c r="C1161" s="36" t="str">
        <f aca="false">IF(Raw_Export!$A1161="","",IFERROR(VLOOKUP(LOWER(TRIM(Raw_Export!C1161)),Maps!$A$2:$B$20,2,FALSE()),"UNMAPPED"))</f>
        <v>Mombasa</v>
      </c>
      <c r="D1161" s="36" t="str">
        <f aca="false">IF(Raw_Export!$A1161="","",IFERROR(VLOOKUP(LOWER(TRIM(Raw_Export!D1161)),Maps!$G$2:$I$80,2,FALSE()),"UNMAPPED"))</f>
        <v>Tea Leaves 250g</v>
      </c>
      <c r="E1161" s="36" t="str">
        <f aca="false">IF(Raw_Export!$A1161="","",IFERROR(VLOOKUP(LOWER(TRIM(Raw_Export!D1161)),Maps!$G$2:$I$80,3,FALSE()),"UNMAPPED"))</f>
        <v>Beverages</v>
      </c>
      <c r="F1161" s="36" t="n">
        <f aca="false">IF(Raw_Export!$A1161="","",IFERROR(VALUE(TRIM(Raw_Export!E1161)),0))</f>
        <v>-1</v>
      </c>
      <c r="G1161" s="38" t="n">
        <f aca="false">IF(Raw_Export!$A1161="","",IFERROR(VALUE(SUBSTITUTE(SUBSTITUTE(UPPER(TRIM(Raw_Export!F1161)),"KES",""),",","")),0))</f>
        <v>135</v>
      </c>
      <c r="H1161" s="38" t="n">
        <f aca="false">IF(Raw_Export!$A1161="","",F1161*G1161)</f>
        <v>-135</v>
      </c>
      <c r="I1161" s="36" t="str">
        <f aca="false">IF(Raw_Export!$A1161="","",IFERROR(VLOOKUP(LOWER(TRIM(Raw_Export!H1161)),Maps!$D$2:$E$12,2,FALSE()),"Other"))</f>
        <v>Cash</v>
      </c>
      <c r="J1161" s="36" t="str">
        <f aca="false">IF(Raw_Export!$A1161="","",IF(COUNTIF($A$2:A1161,A1161)&gt;1,"Duplicate",""))</f>
        <v/>
      </c>
      <c r="K1161" s="36" t="str">
        <f aca="false">IF(Raw_Export!$A1161="","",IF(J1161="Duplicate","Duplicate",IF(OR(C1161="UNMAPPED",D1161="UNMAPPED"),"Unmapped",IF(F1161=0,"Blank qty",IF(F1161&lt;0,"Return","OK")))))</f>
        <v>Return</v>
      </c>
      <c r="L1161" s="36" t="n">
        <f aca="false">IF(Raw_Export!$A1161="","",IF(OR(K1161="OK",K1161="Return"),1,0))</f>
        <v>1</v>
      </c>
      <c r="M1161" s="37" t="n">
        <f aca="false">IF(Raw_Export!$A1161="","",B1161-WEEKDAY(B1161,2)+1)</f>
        <v>46272</v>
      </c>
    </row>
    <row r="1162" customFormat="false" ht="15" hidden="false" customHeight="false" outlineLevel="0" collapsed="false">
      <c r="A1162" s="36" t="str">
        <f aca="false">IF(Raw_Export!$A1162="","",TRIM(Raw_Export!A1162))</f>
        <v>TXN-101141</v>
      </c>
      <c r="B1162" s="37" t="n">
        <f aca="false">IF(Raw_Export!$A1162="","",IF(ISNUMBER(Raw_Export!B1162),Raw_Export!B1162,IF(MID(TRIM(Raw_Export!B1162),5,1)="-",DATE(LEFT(TRIM(Raw_Export!B1162),4),MID(TRIM(Raw_Export!B1162),6,2),RIGHT(TRIM(Raw_Export!B1162),2)),DATE(RIGHT(TRIM(Raw_Export!B1162),4),MATCH(MID(TRIM(Raw_Export!B1162),4,3),{"Jan","Feb","Mar","Apr","May","Jun","Jul","Aug","Sep","Oct","Nov","Dec"},0),LEFT(TRIM(Raw_Export!B1162),2)))))</f>
        <v>46272</v>
      </c>
      <c r="C1162" s="36" t="str">
        <f aca="false">IF(Raw_Export!$A1162="","",IFERROR(VLOOKUP(LOWER(TRIM(Raw_Export!C1162)),Maps!$A$2:$B$20,2,FALSE()),"UNMAPPED"))</f>
        <v>Mombasa</v>
      </c>
      <c r="D1162" s="36" t="str">
        <f aca="false">IF(Raw_Export!$A1162="","",IFERROR(VLOOKUP(LOWER(TRIM(Raw_Export!D1162)),Maps!$G$2:$I$80,2,FALSE()),"UNMAPPED"))</f>
        <v>Bath Soap 175g</v>
      </c>
      <c r="E1162" s="36" t="str">
        <f aca="false">IF(Raw_Export!$A1162="","",IFERROR(VLOOKUP(LOWER(TRIM(Raw_Export!D1162)),Maps!$G$2:$I$80,3,FALSE()),"UNMAPPED"))</f>
        <v>Personal Care</v>
      </c>
      <c r="F1162" s="36" t="n">
        <f aca="false">IF(Raw_Export!$A1162="","",IFERROR(VALUE(TRIM(Raw_Export!E1162)),0))</f>
        <v>1</v>
      </c>
      <c r="G1162" s="38" t="n">
        <f aca="false">IF(Raw_Export!$A1162="","",IFERROR(VALUE(SUBSTITUTE(SUBSTITUTE(UPPER(TRIM(Raw_Export!F1162)),"KES",""),",","")),0))</f>
        <v>85</v>
      </c>
      <c r="H1162" s="38" t="n">
        <f aca="false">IF(Raw_Export!$A1162="","",F1162*G1162)</f>
        <v>85</v>
      </c>
      <c r="I1162" s="36" t="str">
        <f aca="false">IF(Raw_Export!$A1162="","",IFERROR(VLOOKUP(LOWER(TRIM(Raw_Export!H1162)),Maps!$D$2:$E$12,2,FALSE()),"Other"))</f>
        <v>M-Pesa</v>
      </c>
      <c r="J1162" s="36" t="str">
        <f aca="false">IF(Raw_Export!$A1162="","",IF(COUNTIF($A$2:A1162,A1162)&gt;1,"Duplicate",""))</f>
        <v/>
      </c>
      <c r="K1162" s="36" t="str">
        <f aca="false">IF(Raw_Export!$A1162="","",IF(J1162="Duplicate","Duplicate",IF(OR(C1162="UNMAPPED",D1162="UNMAPPED"),"Unmapped",IF(F1162=0,"Blank qty",IF(F1162&lt;0,"Return","OK")))))</f>
        <v>OK</v>
      </c>
      <c r="L1162" s="36" t="n">
        <f aca="false">IF(Raw_Export!$A1162="","",IF(OR(K1162="OK",K1162="Return"),1,0))</f>
        <v>1</v>
      </c>
      <c r="M1162" s="37" t="n">
        <f aca="false">IF(Raw_Export!$A1162="","",B1162-WEEKDAY(B1162,2)+1)</f>
        <v>46272</v>
      </c>
    </row>
    <row r="1163" customFormat="false" ht="15" hidden="false" customHeight="false" outlineLevel="0" collapsed="false">
      <c r="A1163" s="36" t="str">
        <f aca="false">IF(Raw_Export!$A1163="","",TRIM(Raw_Export!A1163))</f>
        <v>TXN-101142</v>
      </c>
      <c r="B1163" s="37" t="n">
        <f aca="false">IF(Raw_Export!$A1163="","",IF(ISNUMBER(Raw_Export!B1163),Raw_Export!B1163,IF(MID(TRIM(Raw_Export!B1163),5,1)="-",DATE(LEFT(TRIM(Raw_Export!B1163),4),MID(TRIM(Raw_Export!B1163),6,2),RIGHT(TRIM(Raw_Export!B1163),2)),DATE(RIGHT(TRIM(Raw_Export!B1163),4),MATCH(MID(TRIM(Raw_Export!B1163),4,3),{"Jan","Feb","Mar","Apr","May","Jun","Jul","Aug","Sep","Oct","Nov","Dec"},0),LEFT(TRIM(Raw_Export!B1163),2)))))</f>
        <v>46272</v>
      </c>
      <c r="C1163" s="36" t="str">
        <f aca="false">IF(Raw_Export!$A1163="","",IFERROR(VLOOKUP(LOWER(TRIM(Raw_Export!C1163)),Maps!$A$2:$B$20,2,FALSE()),"UNMAPPED"))</f>
        <v>Mombasa</v>
      </c>
      <c r="D1163" s="36" t="str">
        <f aca="false">IF(Raw_Export!$A1163="","",IFERROR(VLOOKUP(LOWER(TRIM(Raw_Export!D1163)),Maps!$G$2:$I$80,2,FALSE()),"UNMAPPED"))</f>
        <v>Eggs Tray 30</v>
      </c>
      <c r="E1163" s="36" t="str">
        <f aca="false">IF(Raw_Export!$A1163="","",IFERROR(VLOOKUP(LOWER(TRIM(Raw_Export!D1163)),Maps!$G$2:$I$80,3,FALSE()),"UNMAPPED"))</f>
        <v>Dairy &amp; Eggs</v>
      </c>
      <c r="F1163" s="36" t="n">
        <f aca="false">IF(Raw_Export!$A1163="","",IFERROR(VALUE(TRIM(Raw_Export!E1163)),0))</f>
        <v>2</v>
      </c>
      <c r="G1163" s="38" t="n">
        <f aca="false">IF(Raw_Export!$A1163="","",IFERROR(VALUE(SUBSTITUTE(SUBSTITUTE(UPPER(TRIM(Raw_Export!F1163)),"KES",""),",","")),0))</f>
        <v>450</v>
      </c>
      <c r="H1163" s="38" t="n">
        <f aca="false">IF(Raw_Export!$A1163="","",F1163*G1163)</f>
        <v>900</v>
      </c>
      <c r="I1163" s="36" t="str">
        <f aca="false">IF(Raw_Export!$A1163="","",IFERROR(VLOOKUP(LOWER(TRIM(Raw_Export!H1163)),Maps!$D$2:$E$12,2,FALSE()),"Other"))</f>
        <v>M-Pesa</v>
      </c>
      <c r="J1163" s="36" t="str">
        <f aca="false">IF(Raw_Export!$A1163="","",IF(COUNTIF($A$2:A1163,A1163)&gt;1,"Duplicate",""))</f>
        <v/>
      </c>
      <c r="K1163" s="36" t="str">
        <f aca="false">IF(Raw_Export!$A1163="","",IF(J1163="Duplicate","Duplicate",IF(OR(C1163="UNMAPPED",D1163="UNMAPPED"),"Unmapped",IF(F1163=0,"Blank qty",IF(F1163&lt;0,"Return","OK")))))</f>
        <v>OK</v>
      </c>
      <c r="L1163" s="36" t="n">
        <f aca="false">IF(Raw_Export!$A1163="","",IF(OR(K1163="OK",K1163="Return"),1,0))</f>
        <v>1</v>
      </c>
      <c r="M1163" s="37" t="n">
        <f aca="false">IF(Raw_Export!$A1163="","",B1163-WEEKDAY(B1163,2)+1)</f>
        <v>46272</v>
      </c>
    </row>
    <row r="1164" customFormat="false" ht="15" hidden="false" customHeight="false" outlineLevel="0" collapsed="false">
      <c r="A1164" s="36" t="str">
        <f aca="false">IF(Raw_Export!$A1164="","",TRIM(Raw_Export!A1164))</f>
        <v>TXN-101857</v>
      </c>
      <c r="B1164" s="37" t="n">
        <f aca="false">IF(Raw_Export!$A1164="","",IF(ISNUMBER(Raw_Export!B1164),Raw_Export!B1164,IF(MID(TRIM(Raw_Export!B1164),5,1)="-",DATE(LEFT(TRIM(Raw_Export!B1164),4),MID(TRIM(Raw_Export!B1164),6,2),RIGHT(TRIM(Raw_Export!B1164),2)),DATE(RIGHT(TRIM(Raw_Export!B1164),4),MATCH(MID(TRIM(Raw_Export!B1164),4,3),{"Jan","Feb","Mar","Apr","May","Jun","Jul","Aug","Sep","Oct","Nov","Dec"},0),LEFT(TRIM(Raw_Export!B1164),2)))))</f>
        <v>46277</v>
      </c>
      <c r="C1164" s="36" t="str">
        <f aca="false">IF(Raw_Export!$A1164="","",IFERROR(VLOOKUP(LOWER(TRIM(Raw_Export!C1164)),Maps!$A$2:$B$20,2,FALSE()),"UNMAPPED"))</f>
        <v>Westlands</v>
      </c>
      <c r="D1164" s="36" t="str">
        <f aca="false">IF(Raw_Export!$A1164="","",IFERROR(VLOOKUP(LOWER(TRIM(Raw_Export!D1164)),Maps!$G$2:$I$80,2,FALSE()),"UNMAPPED"))</f>
        <v>Rice Pishori 2kg</v>
      </c>
      <c r="E1164" s="36" t="str">
        <f aca="false">IF(Raw_Export!$A1164="","",IFERROR(VLOOKUP(LOWER(TRIM(Raw_Export!D1164)),Maps!$G$2:$I$80,3,FALSE()),"UNMAPPED"))</f>
        <v>Staples</v>
      </c>
      <c r="F1164" s="36" t="n">
        <f aca="false">IF(Raw_Export!$A1164="","",IFERROR(VALUE(TRIM(Raw_Export!E1164)),0))</f>
        <v>1</v>
      </c>
      <c r="G1164" s="38" t="n">
        <f aca="false">IF(Raw_Export!$A1164="","",IFERROR(VALUE(SUBSTITUTE(SUBSTITUTE(UPPER(TRIM(Raw_Export!F1164)),"KES",""),",","")),0))</f>
        <v>420</v>
      </c>
      <c r="H1164" s="38" t="n">
        <f aca="false">IF(Raw_Export!$A1164="","",F1164*G1164)</f>
        <v>420</v>
      </c>
      <c r="I1164" s="36" t="str">
        <f aca="false">IF(Raw_Export!$A1164="","",IFERROR(VLOOKUP(LOWER(TRIM(Raw_Export!H1164)),Maps!$D$2:$E$12,2,FALSE()),"Other"))</f>
        <v>Card</v>
      </c>
      <c r="J1164" s="36" t="str">
        <f aca="false">IF(Raw_Export!$A1164="","",IF(COUNTIF($A$2:A1164,A1164)&gt;1,"Duplicate",""))</f>
        <v/>
      </c>
      <c r="K1164" s="36" t="str">
        <f aca="false">IF(Raw_Export!$A1164="","",IF(J1164="Duplicate","Duplicate",IF(OR(C1164="UNMAPPED",D1164="UNMAPPED"),"Unmapped",IF(F1164=0,"Blank qty",IF(F1164&lt;0,"Return","OK")))))</f>
        <v>OK</v>
      </c>
      <c r="L1164" s="36" t="n">
        <f aca="false">IF(Raw_Export!$A1164="","",IF(OR(K1164="OK",K1164="Return"),1,0))</f>
        <v>1</v>
      </c>
      <c r="M1164" s="37" t="n">
        <f aca="false">IF(Raw_Export!$A1164="","",B1164-WEEKDAY(B1164,2)+1)</f>
        <v>46272</v>
      </c>
    </row>
    <row r="1165" customFormat="false" ht="15" hidden="false" customHeight="false" outlineLevel="0" collapsed="false">
      <c r="A1165" s="36" t="str">
        <f aca="false">IF(Raw_Export!$A1165="","",TRIM(Raw_Export!A1165))</f>
        <v>TXN-101143</v>
      </c>
      <c r="B1165" s="37" t="n">
        <f aca="false">IF(Raw_Export!$A1165="","",IF(ISNUMBER(Raw_Export!B1165),Raw_Export!B1165,IF(MID(TRIM(Raw_Export!B1165),5,1)="-",DATE(LEFT(TRIM(Raw_Export!B1165),4),MID(TRIM(Raw_Export!B1165),6,2),RIGHT(TRIM(Raw_Export!B1165),2)),DATE(RIGHT(TRIM(Raw_Export!B1165),4),MATCH(MID(TRIM(Raw_Export!B1165),4,3),{"Jan","Feb","Mar","Apr","May","Jun","Jul","Aug","Sep","Oct","Nov","Dec"},0),LEFT(TRIM(Raw_Export!B1165),2)))))</f>
        <v>46272</v>
      </c>
      <c r="C1165" s="36" t="str">
        <f aca="false">IF(Raw_Export!$A1165="","",IFERROR(VLOOKUP(LOWER(TRIM(Raw_Export!C1165)),Maps!$A$2:$B$20,2,FALSE()),"UNMAPPED"))</f>
        <v>Mombasa</v>
      </c>
      <c r="D1165" s="36" t="str">
        <f aca="false">IF(Raw_Export!$A1165="","",IFERROR(VLOOKUP(LOWER(TRIM(Raw_Export!D1165)),Maps!$G$2:$I$80,2,FALSE()),"UNMAPPED"))</f>
        <v>Fresh Milk 500ml</v>
      </c>
      <c r="E1165" s="36" t="str">
        <f aca="false">IF(Raw_Export!$A1165="","",IFERROR(VLOOKUP(LOWER(TRIM(Raw_Export!D1165)),Maps!$G$2:$I$80,3,FALSE()),"UNMAPPED"))</f>
        <v>Dairy &amp; Eggs</v>
      </c>
      <c r="F1165" s="36" t="n">
        <f aca="false">IF(Raw_Export!$A1165="","",IFERROR(VALUE(TRIM(Raw_Export!E1165)),0))</f>
        <v>2</v>
      </c>
      <c r="G1165" s="38" t="n">
        <f aca="false">IF(Raw_Export!$A1165="","",IFERROR(VALUE(SUBSTITUTE(SUBSTITUTE(UPPER(TRIM(Raw_Export!F1165)),"KES",""),",","")),0))</f>
        <v>65</v>
      </c>
      <c r="H1165" s="38" t="n">
        <f aca="false">IF(Raw_Export!$A1165="","",F1165*G1165)</f>
        <v>130</v>
      </c>
      <c r="I1165" s="36" t="str">
        <f aca="false">IF(Raw_Export!$A1165="","",IFERROR(VLOOKUP(LOWER(TRIM(Raw_Export!H1165)),Maps!$D$2:$E$12,2,FALSE()),"Other"))</f>
        <v>Cash</v>
      </c>
      <c r="J1165" s="36" t="str">
        <f aca="false">IF(Raw_Export!$A1165="","",IF(COUNTIF($A$2:A1165,A1165)&gt;1,"Duplicate",""))</f>
        <v/>
      </c>
      <c r="K1165" s="36" t="str">
        <f aca="false">IF(Raw_Export!$A1165="","",IF(J1165="Duplicate","Duplicate",IF(OR(C1165="UNMAPPED",D1165="UNMAPPED"),"Unmapped",IF(F1165=0,"Blank qty",IF(F1165&lt;0,"Return","OK")))))</f>
        <v>OK</v>
      </c>
      <c r="L1165" s="36" t="n">
        <f aca="false">IF(Raw_Export!$A1165="","",IF(OR(K1165="OK",K1165="Return"),1,0))</f>
        <v>1</v>
      </c>
      <c r="M1165" s="37" t="n">
        <f aca="false">IF(Raw_Export!$A1165="","",B1165-WEEKDAY(B1165,2)+1)</f>
        <v>46272</v>
      </c>
    </row>
    <row r="1166" customFormat="false" ht="15" hidden="false" customHeight="false" outlineLevel="0" collapsed="false">
      <c r="A1166" s="36" t="str">
        <f aca="false">IF(Raw_Export!$A1166="","",TRIM(Raw_Export!A1166))</f>
        <v>TXN-101144</v>
      </c>
      <c r="B1166" s="37" t="n">
        <f aca="false">IF(Raw_Export!$A1166="","",IF(ISNUMBER(Raw_Export!B1166),Raw_Export!B1166,IF(MID(TRIM(Raw_Export!B1166),5,1)="-",DATE(LEFT(TRIM(Raw_Export!B1166),4),MID(TRIM(Raw_Export!B1166),6,2),RIGHT(TRIM(Raw_Export!B1166),2)),DATE(RIGHT(TRIM(Raw_Export!B1166),4),MATCH(MID(TRIM(Raw_Export!B1166),4,3),{"Jan","Feb","Mar","Apr","May","Jun","Jul","Aug","Sep","Oct","Nov","Dec"},0),LEFT(TRIM(Raw_Export!B1166),2)))))</f>
        <v>46272</v>
      </c>
      <c r="C1166" s="36" t="str">
        <f aca="false">IF(Raw_Export!$A1166="","",IFERROR(VLOOKUP(LOWER(TRIM(Raw_Export!C1166)),Maps!$A$2:$B$20,2,FALSE()),"UNMAPPED"))</f>
        <v>Mombasa</v>
      </c>
      <c r="D1166" s="36" t="str">
        <f aca="false">IF(Raw_Export!$A1166="","",IFERROR(VLOOKUP(LOWER(TRIM(Raw_Export!D1166)),Maps!$G$2:$I$80,2,FALSE()),"UNMAPPED"))</f>
        <v>Deodorant 150ml</v>
      </c>
      <c r="E1166" s="36" t="str">
        <f aca="false">IF(Raw_Export!$A1166="","",IFERROR(VLOOKUP(LOWER(TRIM(Raw_Export!D1166)),Maps!$G$2:$I$80,3,FALSE()),"UNMAPPED"))</f>
        <v>Personal Care</v>
      </c>
      <c r="F1166" s="36" t="n">
        <f aca="false">IF(Raw_Export!$A1166="","",IFERROR(VALUE(TRIM(Raw_Export!E1166)),0))</f>
        <v>2</v>
      </c>
      <c r="G1166" s="38" t="n">
        <f aca="false">IF(Raw_Export!$A1166="","",IFERROR(VALUE(SUBSTITUTE(SUBSTITUTE(UPPER(TRIM(Raw_Export!F1166)),"KES",""),",","")),0))</f>
        <v>350</v>
      </c>
      <c r="H1166" s="38" t="n">
        <f aca="false">IF(Raw_Export!$A1166="","",F1166*G1166)</f>
        <v>700</v>
      </c>
      <c r="I1166" s="36" t="str">
        <f aca="false">IF(Raw_Export!$A1166="","",IFERROR(VLOOKUP(LOWER(TRIM(Raw_Export!H1166)),Maps!$D$2:$E$12,2,FALSE()),"Other"))</f>
        <v>M-Pesa</v>
      </c>
      <c r="J1166" s="36" t="str">
        <f aca="false">IF(Raw_Export!$A1166="","",IF(COUNTIF($A$2:A1166,A1166)&gt;1,"Duplicate",""))</f>
        <v/>
      </c>
      <c r="K1166" s="36" t="str">
        <f aca="false">IF(Raw_Export!$A1166="","",IF(J1166="Duplicate","Duplicate",IF(OR(C1166="UNMAPPED",D1166="UNMAPPED"),"Unmapped",IF(F1166=0,"Blank qty",IF(F1166&lt;0,"Return","OK")))))</f>
        <v>OK</v>
      </c>
      <c r="L1166" s="36" t="n">
        <f aca="false">IF(Raw_Export!$A1166="","",IF(OR(K1166="OK",K1166="Return"),1,0))</f>
        <v>1</v>
      </c>
      <c r="M1166" s="37" t="n">
        <f aca="false">IF(Raw_Export!$A1166="","",B1166-WEEKDAY(B1166,2)+1)</f>
        <v>46272</v>
      </c>
    </row>
    <row r="1167" customFormat="false" ht="15" hidden="false" customHeight="false" outlineLevel="0" collapsed="false">
      <c r="A1167" s="36" t="str">
        <f aca="false">IF(Raw_Export!$A1167="","",TRIM(Raw_Export!A1167))</f>
        <v>TXN-101145</v>
      </c>
      <c r="B1167" s="37" t="n">
        <f aca="false">IF(Raw_Export!$A1167="","",IF(ISNUMBER(Raw_Export!B1167),Raw_Export!B1167,IF(MID(TRIM(Raw_Export!B1167),5,1)="-",DATE(LEFT(TRIM(Raw_Export!B1167),4),MID(TRIM(Raw_Export!B1167),6,2),RIGHT(TRIM(Raw_Export!B1167),2)),DATE(RIGHT(TRIM(Raw_Export!B1167),4),MATCH(MID(TRIM(Raw_Export!B1167),4,3),{"Jan","Feb","Mar","Apr","May","Jun","Jul","Aug","Sep","Oct","Nov","Dec"},0),LEFT(TRIM(Raw_Export!B1167),2)))))</f>
        <v>46272</v>
      </c>
      <c r="C1167" s="36" t="str">
        <f aca="false">IF(Raw_Export!$A1167="","",IFERROR(VLOOKUP(LOWER(TRIM(Raw_Export!C1167)),Maps!$A$2:$B$20,2,FALSE()),"UNMAPPED"))</f>
        <v>Mombasa</v>
      </c>
      <c r="D1167" s="36" t="str">
        <f aca="false">IF(Raw_Export!$A1167="","",IFERROR(VLOOKUP(LOWER(TRIM(Raw_Export!D1167)),Maps!$G$2:$I$80,2,FALSE()),"UNMAPPED"))</f>
        <v>Fresh Milk 500ml</v>
      </c>
      <c r="E1167" s="36" t="str">
        <f aca="false">IF(Raw_Export!$A1167="","",IFERROR(VLOOKUP(LOWER(TRIM(Raw_Export!D1167)),Maps!$G$2:$I$80,3,FALSE()),"UNMAPPED"))</f>
        <v>Dairy &amp; Eggs</v>
      </c>
      <c r="F1167" s="36" t="n">
        <f aca="false">IF(Raw_Export!$A1167="","",IFERROR(VALUE(TRIM(Raw_Export!E1167)),0))</f>
        <v>4</v>
      </c>
      <c r="G1167" s="38" t="n">
        <f aca="false">IF(Raw_Export!$A1167="","",IFERROR(VALUE(SUBSTITUTE(SUBSTITUTE(UPPER(TRIM(Raw_Export!F1167)),"KES",""),",","")),0))</f>
        <v>65</v>
      </c>
      <c r="H1167" s="38" t="n">
        <f aca="false">IF(Raw_Export!$A1167="","",F1167*G1167)</f>
        <v>260</v>
      </c>
      <c r="I1167" s="36" t="str">
        <f aca="false">IF(Raw_Export!$A1167="","",IFERROR(VLOOKUP(LOWER(TRIM(Raw_Export!H1167)),Maps!$D$2:$E$12,2,FALSE()),"Other"))</f>
        <v>Cash</v>
      </c>
      <c r="J1167" s="36" t="str">
        <f aca="false">IF(Raw_Export!$A1167="","",IF(COUNTIF($A$2:A1167,A1167)&gt;1,"Duplicate",""))</f>
        <v/>
      </c>
      <c r="K1167" s="36" t="str">
        <f aca="false">IF(Raw_Export!$A1167="","",IF(J1167="Duplicate","Duplicate",IF(OR(C1167="UNMAPPED",D1167="UNMAPPED"),"Unmapped",IF(F1167=0,"Blank qty",IF(F1167&lt;0,"Return","OK")))))</f>
        <v>OK</v>
      </c>
      <c r="L1167" s="36" t="n">
        <f aca="false">IF(Raw_Export!$A1167="","",IF(OR(K1167="OK",K1167="Return"),1,0))</f>
        <v>1</v>
      </c>
      <c r="M1167" s="37" t="n">
        <f aca="false">IF(Raw_Export!$A1167="","",B1167-WEEKDAY(B1167,2)+1)</f>
        <v>46272</v>
      </c>
    </row>
    <row r="1168" customFormat="false" ht="15" hidden="false" customHeight="false" outlineLevel="0" collapsed="false">
      <c r="A1168" s="36" t="str">
        <f aca="false">IF(Raw_Export!$A1168="","",TRIM(Raw_Export!A1168))</f>
        <v>TXN-101146</v>
      </c>
      <c r="B1168" s="37" t="n">
        <f aca="false">IF(Raw_Export!$A1168="","",IF(ISNUMBER(Raw_Export!B1168),Raw_Export!B1168,IF(MID(TRIM(Raw_Export!B1168),5,1)="-",DATE(LEFT(TRIM(Raw_Export!B1168),4),MID(TRIM(Raw_Export!B1168),6,2),RIGHT(TRIM(Raw_Export!B1168),2)),DATE(RIGHT(TRIM(Raw_Export!B1168),4),MATCH(MID(TRIM(Raw_Export!B1168),4,3),{"Jan","Feb","Mar","Apr","May","Jun","Jul","Aug","Sep","Oct","Nov","Dec"},0),LEFT(TRIM(Raw_Export!B1168),2)))))</f>
        <v>46272</v>
      </c>
      <c r="C1168" s="36" t="str">
        <f aca="false">IF(Raw_Export!$A1168="","",IFERROR(VLOOKUP(LOWER(TRIM(Raw_Export!C1168)),Maps!$A$2:$B$20,2,FALSE()),"UNMAPPED"))</f>
        <v>Mombasa</v>
      </c>
      <c r="D1168" s="36" t="str">
        <f aca="false">IF(Raw_Export!$A1168="","",IFERROR(VLOOKUP(LOWER(TRIM(Raw_Export!D1168)),Maps!$G$2:$I$80,2,FALSE()),"UNMAPPED"))</f>
        <v>Matches 10pk</v>
      </c>
      <c r="E1168" s="36" t="str">
        <f aca="false">IF(Raw_Export!$A1168="","",IFERROR(VLOOKUP(LOWER(TRIM(Raw_Export!D1168)),Maps!$G$2:$I$80,3,FALSE()),"UNMAPPED"))</f>
        <v>Household</v>
      </c>
      <c r="F1168" s="36" t="n">
        <f aca="false">IF(Raw_Export!$A1168="","",IFERROR(VALUE(TRIM(Raw_Export!E1168)),0))</f>
        <v>1</v>
      </c>
      <c r="G1168" s="38" t="n">
        <f aca="false">IF(Raw_Export!$A1168="","",IFERROR(VALUE(SUBSTITUTE(SUBSTITUTE(UPPER(TRIM(Raw_Export!F1168)),"KES",""),",","")),0))</f>
        <v>50</v>
      </c>
      <c r="H1168" s="38" t="n">
        <f aca="false">IF(Raw_Export!$A1168="","",F1168*G1168)</f>
        <v>50</v>
      </c>
      <c r="I1168" s="36" t="str">
        <f aca="false">IF(Raw_Export!$A1168="","",IFERROR(VLOOKUP(LOWER(TRIM(Raw_Export!H1168)),Maps!$D$2:$E$12,2,FALSE()),"Other"))</f>
        <v>Cash</v>
      </c>
      <c r="J1168" s="36" t="str">
        <f aca="false">IF(Raw_Export!$A1168="","",IF(COUNTIF($A$2:A1168,A1168)&gt;1,"Duplicate",""))</f>
        <v/>
      </c>
      <c r="K1168" s="36" t="str">
        <f aca="false">IF(Raw_Export!$A1168="","",IF(J1168="Duplicate","Duplicate",IF(OR(C1168="UNMAPPED",D1168="UNMAPPED"),"Unmapped",IF(F1168=0,"Blank qty",IF(F1168&lt;0,"Return","OK")))))</f>
        <v>OK</v>
      </c>
      <c r="L1168" s="36" t="n">
        <f aca="false">IF(Raw_Export!$A1168="","",IF(OR(K1168="OK",K1168="Return"),1,0))</f>
        <v>1</v>
      </c>
      <c r="M1168" s="37" t="n">
        <f aca="false">IF(Raw_Export!$A1168="","",B1168-WEEKDAY(B1168,2)+1)</f>
        <v>46272</v>
      </c>
    </row>
    <row r="1169" customFormat="false" ht="15" hidden="false" customHeight="false" outlineLevel="0" collapsed="false">
      <c r="A1169" s="36" t="str">
        <f aca="false">IF(Raw_Export!$A1169="","",TRIM(Raw_Export!A1169))</f>
        <v>TXN-101147</v>
      </c>
      <c r="B1169" s="37" t="n">
        <f aca="false">IF(Raw_Export!$A1169="","",IF(ISNUMBER(Raw_Export!B1169),Raw_Export!B1169,IF(MID(TRIM(Raw_Export!B1169),5,1)="-",DATE(LEFT(TRIM(Raw_Export!B1169),4),MID(TRIM(Raw_Export!B1169),6,2),RIGHT(TRIM(Raw_Export!B1169),2)),DATE(RIGHT(TRIM(Raw_Export!B1169),4),MATCH(MID(TRIM(Raw_Export!B1169),4,3),{"Jan","Feb","Mar","Apr","May","Jun","Jul","Aug","Sep","Oct","Nov","Dec"},0),LEFT(TRIM(Raw_Export!B1169),2)))))</f>
        <v>46272</v>
      </c>
      <c r="C1169" s="36" t="str">
        <f aca="false">IF(Raw_Export!$A1169="","",IFERROR(VLOOKUP(LOWER(TRIM(Raw_Export!C1169)),Maps!$A$2:$B$20,2,FALSE()),"UNMAPPED"))</f>
        <v>Mombasa</v>
      </c>
      <c r="D1169" s="36" t="str">
        <f aca="false">IF(Raw_Export!$A1169="","",IFERROR(VLOOKUP(LOWER(TRIM(Raw_Export!D1169)),Maps!$G$2:$I$80,2,FALSE()),"UNMAPPED"))</f>
        <v>Salt 500g</v>
      </c>
      <c r="E1169" s="36" t="str">
        <f aca="false">IF(Raw_Export!$A1169="","",IFERROR(VLOOKUP(LOWER(TRIM(Raw_Export!D1169)),Maps!$G$2:$I$80,3,FALSE()),"UNMAPPED"))</f>
        <v>Staples</v>
      </c>
      <c r="F1169" s="36" t="n">
        <f aca="false">IF(Raw_Export!$A1169="","",IFERROR(VALUE(TRIM(Raw_Export!E1169)),0))</f>
        <v>2</v>
      </c>
      <c r="G1169" s="38" t="n">
        <f aca="false">IF(Raw_Export!$A1169="","",IFERROR(VALUE(SUBSTITUTE(SUBSTITUTE(UPPER(TRIM(Raw_Export!F1169)),"KES",""),",","")),0))</f>
        <v>40</v>
      </c>
      <c r="H1169" s="38" t="n">
        <f aca="false">IF(Raw_Export!$A1169="","",F1169*G1169)</f>
        <v>80</v>
      </c>
      <c r="I1169" s="36" t="str">
        <f aca="false">IF(Raw_Export!$A1169="","",IFERROR(VLOOKUP(LOWER(TRIM(Raw_Export!H1169)),Maps!$D$2:$E$12,2,FALSE()),"Other"))</f>
        <v>Card</v>
      </c>
      <c r="J1169" s="36" t="str">
        <f aca="false">IF(Raw_Export!$A1169="","",IF(COUNTIF($A$2:A1169,A1169)&gt;1,"Duplicate",""))</f>
        <v/>
      </c>
      <c r="K1169" s="36" t="str">
        <f aca="false">IF(Raw_Export!$A1169="","",IF(J1169="Duplicate","Duplicate",IF(OR(C1169="UNMAPPED",D1169="UNMAPPED"),"Unmapped",IF(F1169=0,"Blank qty",IF(F1169&lt;0,"Return","OK")))))</f>
        <v>OK</v>
      </c>
      <c r="L1169" s="36" t="n">
        <f aca="false">IF(Raw_Export!$A1169="","",IF(OR(K1169="OK",K1169="Return"),1,0))</f>
        <v>1</v>
      </c>
      <c r="M1169" s="37" t="n">
        <f aca="false">IF(Raw_Export!$A1169="","",B1169-WEEKDAY(B1169,2)+1)</f>
        <v>46272</v>
      </c>
    </row>
    <row r="1170" customFormat="false" ht="15" hidden="false" customHeight="false" outlineLevel="0" collapsed="false">
      <c r="A1170" s="36" t="str">
        <f aca="false">IF(Raw_Export!$A1170="","",TRIM(Raw_Export!A1170))</f>
        <v>TXN-101148</v>
      </c>
      <c r="B1170" s="37" t="n">
        <f aca="false">IF(Raw_Export!$A1170="","",IF(ISNUMBER(Raw_Export!B1170),Raw_Export!B1170,IF(MID(TRIM(Raw_Export!B1170),5,1)="-",DATE(LEFT(TRIM(Raw_Export!B1170),4),MID(TRIM(Raw_Export!B1170),6,2),RIGHT(TRIM(Raw_Export!B1170),2)),DATE(RIGHT(TRIM(Raw_Export!B1170),4),MATCH(MID(TRIM(Raw_Export!B1170),4,3),{"Jan","Feb","Mar","Apr","May","Jun","Jul","Aug","Sep","Oct","Nov","Dec"},0),LEFT(TRIM(Raw_Export!B1170),2)))))</f>
        <v>46272</v>
      </c>
      <c r="C1170" s="36" t="str">
        <f aca="false">IF(Raw_Export!$A1170="","",IFERROR(VLOOKUP(LOWER(TRIM(Raw_Export!C1170)),Maps!$A$2:$B$20,2,FALSE()),"UNMAPPED"))</f>
        <v>Mombasa</v>
      </c>
      <c r="D1170" s="36" t="str">
        <f aca="false">IF(Raw_Export!$A1170="","",IFERROR(VLOOKUP(LOWER(TRIM(Raw_Export!D1170)),Maps!$G$2:$I$80,2,FALSE()),"UNMAPPED"))</f>
        <v>Deodorant 150ml</v>
      </c>
      <c r="E1170" s="36" t="str">
        <f aca="false">IF(Raw_Export!$A1170="","",IFERROR(VLOOKUP(LOWER(TRIM(Raw_Export!D1170)),Maps!$G$2:$I$80,3,FALSE()),"UNMAPPED"))</f>
        <v>Personal Care</v>
      </c>
      <c r="F1170" s="36" t="n">
        <f aca="false">IF(Raw_Export!$A1170="","",IFERROR(VALUE(TRIM(Raw_Export!E1170)),0))</f>
        <v>6</v>
      </c>
      <c r="G1170" s="38" t="n">
        <f aca="false">IF(Raw_Export!$A1170="","",IFERROR(VALUE(SUBSTITUTE(SUBSTITUTE(UPPER(TRIM(Raw_Export!F1170)),"KES",""),",","")),0))</f>
        <v>350</v>
      </c>
      <c r="H1170" s="38" t="n">
        <f aca="false">IF(Raw_Export!$A1170="","",F1170*G1170)</f>
        <v>2100</v>
      </c>
      <c r="I1170" s="36" t="str">
        <f aca="false">IF(Raw_Export!$A1170="","",IFERROR(VLOOKUP(LOWER(TRIM(Raw_Export!H1170)),Maps!$D$2:$E$12,2,FALSE()),"Other"))</f>
        <v>Cash</v>
      </c>
      <c r="J1170" s="36" t="str">
        <f aca="false">IF(Raw_Export!$A1170="","",IF(COUNTIF($A$2:A1170,A1170)&gt;1,"Duplicate",""))</f>
        <v/>
      </c>
      <c r="K1170" s="36" t="str">
        <f aca="false">IF(Raw_Export!$A1170="","",IF(J1170="Duplicate","Duplicate",IF(OR(C1170="UNMAPPED",D1170="UNMAPPED"),"Unmapped",IF(F1170=0,"Blank qty",IF(F1170&lt;0,"Return","OK")))))</f>
        <v>OK</v>
      </c>
      <c r="L1170" s="36" t="n">
        <f aca="false">IF(Raw_Export!$A1170="","",IF(OR(K1170="OK",K1170="Return"),1,0))</f>
        <v>1</v>
      </c>
      <c r="M1170" s="37" t="n">
        <f aca="false">IF(Raw_Export!$A1170="","",B1170-WEEKDAY(B1170,2)+1)</f>
        <v>46272</v>
      </c>
    </row>
    <row r="1171" customFormat="false" ht="15" hidden="false" customHeight="false" outlineLevel="0" collapsed="false">
      <c r="A1171" s="36" t="str">
        <f aca="false">IF(Raw_Export!$A1171="","",TRIM(Raw_Export!A1171))</f>
        <v>TXN-101149</v>
      </c>
      <c r="B1171" s="37" t="n">
        <f aca="false">IF(Raw_Export!$A1171="","",IF(ISNUMBER(Raw_Export!B1171),Raw_Export!B1171,IF(MID(TRIM(Raw_Export!B1171),5,1)="-",DATE(LEFT(TRIM(Raw_Export!B1171),4),MID(TRIM(Raw_Export!B1171),6,2),RIGHT(TRIM(Raw_Export!B1171),2)),DATE(RIGHT(TRIM(Raw_Export!B1171),4),MATCH(MID(TRIM(Raw_Export!B1171),4,3),{"Jan","Feb","Mar","Apr","May","Jun","Jul","Aug","Sep","Oct","Nov","Dec"},0),LEFT(TRIM(Raw_Export!B1171),2)))))</f>
        <v>46272</v>
      </c>
      <c r="C1171" s="36" t="str">
        <f aca="false">IF(Raw_Export!$A1171="","",IFERROR(VLOOKUP(LOWER(TRIM(Raw_Export!C1171)),Maps!$A$2:$B$20,2,FALSE()),"UNMAPPED"))</f>
        <v>Mombasa</v>
      </c>
      <c r="D1171" s="36" t="str">
        <f aca="false">IF(Raw_Export!$A1171="","",IFERROR(VLOOKUP(LOWER(TRIM(Raw_Export!D1171)),Maps!$G$2:$I$80,2,FALSE()),"UNMAPPED"))</f>
        <v>Bath Soap 175g</v>
      </c>
      <c r="E1171" s="36" t="str">
        <f aca="false">IF(Raw_Export!$A1171="","",IFERROR(VLOOKUP(LOWER(TRIM(Raw_Export!D1171)),Maps!$G$2:$I$80,3,FALSE()),"UNMAPPED"))</f>
        <v>Personal Care</v>
      </c>
      <c r="F1171" s="36" t="n">
        <f aca="false">IF(Raw_Export!$A1171="","",IFERROR(VALUE(TRIM(Raw_Export!E1171)),0))</f>
        <v>2</v>
      </c>
      <c r="G1171" s="38" t="n">
        <f aca="false">IF(Raw_Export!$A1171="","",IFERROR(VALUE(SUBSTITUTE(SUBSTITUTE(UPPER(TRIM(Raw_Export!F1171)),"KES",""),",","")),0))</f>
        <v>85</v>
      </c>
      <c r="H1171" s="38" t="n">
        <f aca="false">IF(Raw_Export!$A1171="","",F1171*G1171)</f>
        <v>170</v>
      </c>
      <c r="I1171" s="36" t="str">
        <f aca="false">IF(Raw_Export!$A1171="","",IFERROR(VLOOKUP(LOWER(TRIM(Raw_Export!H1171)),Maps!$D$2:$E$12,2,FALSE()),"Other"))</f>
        <v>M-Pesa</v>
      </c>
      <c r="J1171" s="36" t="str">
        <f aca="false">IF(Raw_Export!$A1171="","",IF(COUNTIF($A$2:A1171,A1171)&gt;1,"Duplicate",""))</f>
        <v/>
      </c>
      <c r="K1171" s="36" t="str">
        <f aca="false">IF(Raw_Export!$A1171="","",IF(J1171="Duplicate","Duplicate",IF(OR(C1171="UNMAPPED",D1171="UNMAPPED"),"Unmapped",IF(F1171=0,"Blank qty",IF(F1171&lt;0,"Return","OK")))))</f>
        <v>OK</v>
      </c>
      <c r="L1171" s="36" t="n">
        <f aca="false">IF(Raw_Export!$A1171="","",IF(OR(K1171="OK",K1171="Return"),1,0))</f>
        <v>1</v>
      </c>
      <c r="M1171" s="37" t="n">
        <f aca="false">IF(Raw_Export!$A1171="","",B1171-WEEKDAY(B1171,2)+1)</f>
        <v>46272</v>
      </c>
    </row>
    <row r="1172" customFormat="false" ht="15" hidden="false" customHeight="false" outlineLevel="0" collapsed="false">
      <c r="A1172" s="36" t="str">
        <f aca="false">IF(Raw_Export!$A1172="","",TRIM(Raw_Export!A1172))</f>
        <v>TXN-101150</v>
      </c>
      <c r="B1172" s="37" t="n">
        <f aca="false">IF(Raw_Export!$A1172="","",IF(ISNUMBER(Raw_Export!B1172),Raw_Export!B1172,IF(MID(TRIM(Raw_Export!B1172),5,1)="-",DATE(LEFT(TRIM(Raw_Export!B1172),4),MID(TRIM(Raw_Export!B1172),6,2),RIGHT(TRIM(Raw_Export!B1172),2)),DATE(RIGHT(TRIM(Raw_Export!B1172),4),MATCH(MID(TRIM(Raw_Export!B1172),4,3),{"Jan","Feb","Mar","Apr","May","Jun","Jul","Aug","Sep","Oct","Nov","Dec"},0),LEFT(TRIM(Raw_Export!B1172),2)))))</f>
        <v>46272</v>
      </c>
      <c r="C1172" s="36" t="str">
        <f aca="false">IF(Raw_Export!$A1172="","",IFERROR(VLOOKUP(LOWER(TRIM(Raw_Export!C1172)),Maps!$A$2:$B$20,2,FALSE()),"UNMAPPED"))</f>
        <v>Mombasa</v>
      </c>
      <c r="D1172" s="36" t="str">
        <f aca="false">IF(Raw_Export!$A1172="","",IFERROR(VLOOKUP(LOWER(TRIM(Raw_Export!D1172)),Maps!$G$2:$I$80,2,FALSE()),"UNMAPPED"))</f>
        <v>Soda 500ml</v>
      </c>
      <c r="E1172" s="36" t="str">
        <f aca="false">IF(Raw_Export!$A1172="","",IFERROR(VLOOKUP(LOWER(TRIM(Raw_Export!D1172)),Maps!$G$2:$I$80,3,FALSE()),"UNMAPPED"))</f>
        <v>Beverages</v>
      </c>
      <c r="F1172" s="36" t="n">
        <f aca="false">IF(Raw_Export!$A1172="","",IFERROR(VALUE(TRIM(Raw_Export!E1172)),0))</f>
        <v>4</v>
      </c>
      <c r="G1172" s="38" t="n">
        <f aca="false">IF(Raw_Export!$A1172="","",IFERROR(VALUE(SUBSTITUTE(SUBSTITUTE(UPPER(TRIM(Raw_Export!F1172)),"KES",""),",","")),0))</f>
        <v>60</v>
      </c>
      <c r="H1172" s="38" t="n">
        <f aca="false">IF(Raw_Export!$A1172="","",F1172*G1172)</f>
        <v>240</v>
      </c>
      <c r="I1172" s="36" t="str">
        <f aca="false">IF(Raw_Export!$A1172="","",IFERROR(VLOOKUP(LOWER(TRIM(Raw_Export!H1172)),Maps!$D$2:$E$12,2,FALSE()),"Other"))</f>
        <v>M-Pesa</v>
      </c>
      <c r="J1172" s="36" t="str">
        <f aca="false">IF(Raw_Export!$A1172="","",IF(COUNTIF($A$2:A1172,A1172)&gt;1,"Duplicate",""))</f>
        <v/>
      </c>
      <c r="K1172" s="36" t="str">
        <f aca="false">IF(Raw_Export!$A1172="","",IF(J1172="Duplicate","Duplicate",IF(OR(C1172="UNMAPPED",D1172="UNMAPPED"),"Unmapped",IF(F1172=0,"Blank qty",IF(F1172&lt;0,"Return","OK")))))</f>
        <v>OK</v>
      </c>
      <c r="L1172" s="36" t="n">
        <f aca="false">IF(Raw_Export!$A1172="","",IF(OR(K1172="OK",K1172="Return"),1,0))</f>
        <v>1</v>
      </c>
      <c r="M1172" s="37" t="n">
        <f aca="false">IF(Raw_Export!$A1172="","",B1172-WEEKDAY(B1172,2)+1)</f>
        <v>46272</v>
      </c>
    </row>
    <row r="1173" customFormat="false" ht="15" hidden="false" customHeight="false" outlineLevel="0" collapsed="false">
      <c r="A1173" s="36" t="str">
        <f aca="false">IF(Raw_Export!$A1173="","",TRIM(Raw_Export!A1173))</f>
        <v>TXN-101151</v>
      </c>
      <c r="B1173" s="37" t="n">
        <f aca="false">IF(Raw_Export!$A1173="","",IF(ISNUMBER(Raw_Export!B1173),Raw_Export!B1173,IF(MID(TRIM(Raw_Export!B1173),5,1)="-",DATE(LEFT(TRIM(Raw_Export!B1173),4),MID(TRIM(Raw_Export!B1173),6,2),RIGHT(TRIM(Raw_Export!B1173),2)),DATE(RIGHT(TRIM(Raw_Export!B1173),4),MATCH(MID(TRIM(Raw_Export!B1173),4,3),{"Jan","Feb","Mar","Apr","May","Jun","Jul","Aug","Sep","Oct","Nov","Dec"},0),LEFT(TRIM(Raw_Export!B1173),2)))))</f>
        <v>46272</v>
      </c>
      <c r="C1173" s="36" t="str">
        <f aca="false">IF(Raw_Export!$A1173="","",IFERROR(VLOOKUP(LOWER(TRIM(Raw_Export!C1173)),Maps!$A$2:$B$20,2,FALSE()),"UNMAPPED"))</f>
        <v>Mombasa</v>
      </c>
      <c r="D1173" s="36" t="str">
        <f aca="false">IF(Raw_Export!$A1173="","",IFERROR(VLOOKUP(LOWER(TRIM(Raw_Export!D1173)),Maps!$G$2:$I$80,2,FALSE()),"UNMAPPED"))</f>
        <v>Cheddar 200g</v>
      </c>
      <c r="E1173" s="36" t="str">
        <f aca="false">IF(Raw_Export!$A1173="","",IFERROR(VLOOKUP(LOWER(TRIM(Raw_Export!D1173)),Maps!$G$2:$I$80,3,FALSE()),"UNMAPPED"))</f>
        <v>Dairy &amp; Eggs</v>
      </c>
      <c r="F1173" s="36" t="n">
        <f aca="false">IF(Raw_Export!$A1173="","",IFERROR(VALUE(TRIM(Raw_Export!E1173)),0))</f>
        <v>4</v>
      </c>
      <c r="G1173" s="38" t="n">
        <f aca="false">IF(Raw_Export!$A1173="","",IFERROR(VALUE(SUBSTITUTE(SUBSTITUTE(UPPER(TRIM(Raw_Export!F1173)),"KES",""),",","")),0))</f>
        <v>380</v>
      </c>
      <c r="H1173" s="38" t="n">
        <f aca="false">IF(Raw_Export!$A1173="","",F1173*G1173)</f>
        <v>1520</v>
      </c>
      <c r="I1173" s="36" t="str">
        <f aca="false">IF(Raw_Export!$A1173="","",IFERROR(VLOOKUP(LOWER(TRIM(Raw_Export!H1173)),Maps!$D$2:$E$12,2,FALSE()),"Other"))</f>
        <v>M-Pesa</v>
      </c>
      <c r="J1173" s="36" t="str">
        <f aca="false">IF(Raw_Export!$A1173="","",IF(COUNTIF($A$2:A1173,A1173)&gt;1,"Duplicate",""))</f>
        <v/>
      </c>
      <c r="K1173" s="36" t="str">
        <f aca="false">IF(Raw_Export!$A1173="","",IF(J1173="Duplicate","Duplicate",IF(OR(C1173="UNMAPPED",D1173="UNMAPPED"),"Unmapped",IF(F1173=0,"Blank qty",IF(F1173&lt;0,"Return","OK")))))</f>
        <v>OK</v>
      </c>
      <c r="L1173" s="36" t="n">
        <f aca="false">IF(Raw_Export!$A1173="","",IF(OR(K1173="OK",K1173="Return"),1,0))</f>
        <v>1</v>
      </c>
      <c r="M1173" s="37" t="n">
        <f aca="false">IF(Raw_Export!$A1173="","",B1173-WEEKDAY(B1173,2)+1)</f>
        <v>46272</v>
      </c>
    </row>
    <row r="1174" customFormat="false" ht="15" hidden="false" customHeight="false" outlineLevel="0" collapsed="false">
      <c r="A1174" s="36" t="str">
        <f aca="false">IF(Raw_Export!$A1174="","",TRIM(Raw_Export!A1174))</f>
        <v>TXN-101862</v>
      </c>
      <c r="B1174" s="37" t="n">
        <f aca="false">IF(Raw_Export!$A1174="","",IF(ISNUMBER(Raw_Export!B1174),Raw_Export!B1174,IF(MID(TRIM(Raw_Export!B1174),5,1)="-",DATE(LEFT(TRIM(Raw_Export!B1174),4),MID(TRIM(Raw_Export!B1174),6,2),RIGHT(TRIM(Raw_Export!B1174),2)),DATE(RIGHT(TRIM(Raw_Export!B1174),4),MATCH(MID(TRIM(Raw_Export!B1174),4,3),{"Jan","Feb","Mar","Apr","May","Jun","Jul","Aug","Sep","Oct","Nov","Dec"},0),LEFT(TRIM(Raw_Export!B1174),2)))))</f>
        <v>46277</v>
      </c>
      <c r="C1174" s="36" t="str">
        <f aca="false">IF(Raw_Export!$A1174="","",IFERROR(VLOOKUP(LOWER(TRIM(Raw_Export!C1174)),Maps!$A$2:$B$20,2,FALSE()),"UNMAPPED"))</f>
        <v>Westlands</v>
      </c>
      <c r="D1174" s="36" t="str">
        <f aca="false">IF(Raw_Export!$A1174="","",IFERROR(VLOOKUP(LOWER(TRIM(Raw_Export!D1174)),Maps!$G$2:$I$80,2,FALSE()),"UNMAPPED"))</f>
        <v>Sanitary Pads 8pk</v>
      </c>
      <c r="E1174" s="36" t="str">
        <f aca="false">IF(Raw_Export!$A1174="","",IFERROR(VLOOKUP(LOWER(TRIM(Raw_Export!D1174)),Maps!$G$2:$I$80,3,FALSE()),"UNMAPPED"))</f>
        <v>Personal Care</v>
      </c>
      <c r="F1174" s="36" t="n">
        <f aca="false">IF(Raw_Export!$A1174="","",IFERROR(VALUE(TRIM(Raw_Export!E1174)),0))</f>
        <v>1</v>
      </c>
      <c r="G1174" s="38" t="n">
        <f aca="false">IF(Raw_Export!$A1174="","",IFERROR(VALUE(SUBSTITUTE(SUBSTITUTE(UPPER(TRIM(Raw_Export!F1174)),"KES",""),",","")),0))</f>
        <v>130</v>
      </c>
      <c r="H1174" s="38" t="n">
        <f aca="false">IF(Raw_Export!$A1174="","",F1174*G1174)</f>
        <v>130</v>
      </c>
      <c r="I1174" s="36" t="str">
        <f aca="false">IF(Raw_Export!$A1174="","",IFERROR(VLOOKUP(LOWER(TRIM(Raw_Export!H1174)),Maps!$D$2:$E$12,2,FALSE()),"Other"))</f>
        <v>M-Pesa</v>
      </c>
      <c r="J1174" s="36" t="str">
        <f aca="false">IF(Raw_Export!$A1174="","",IF(COUNTIF($A$2:A1174,A1174)&gt;1,"Duplicate",""))</f>
        <v/>
      </c>
      <c r="K1174" s="36" t="str">
        <f aca="false">IF(Raw_Export!$A1174="","",IF(J1174="Duplicate","Duplicate",IF(OR(C1174="UNMAPPED",D1174="UNMAPPED"),"Unmapped",IF(F1174=0,"Blank qty",IF(F1174&lt;0,"Return","OK")))))</f>
        <v>OK</v>
      </c>
      <c r="L1174" s="36" t="n">
        <f aca="false">IF(Raw_Export!$A1174="","",IF(OR(K1174="OK",K1174="Return"),1,0))</f>
        <v>1</v>
      </c>
      <c r="M1174" s="37" t="n">
        <f aca="false">IF(Raw_Export!$A1174="","",B1174-WEEKDAY(B1174,2)+1)</f>
        <v>46272</v>
      </c>
    </row>
    <row r="1175" customFormat="false" ht="15" hidden="false" customHeight="false" outlineLevel="0" collapsed="false">
      <c r="A1175" s="36" t="str">
        <f aca="false">IF(Raw_Export!$A1175="","",TRIM(Raw_Export!A1175))</f>
        <v>TXN-101152</v>
      </c>
      <c r="B1175" s="37" t="n">
        <f aca="false">IF(Raw_Export!$A1175="","",IF(ISNUMBER(Raw_Export!B1175),Raw_Export!B1175,IF(MID(TRIM(Raw_Export!B1175),5,1)="-",DATE(LEFT(TRIM(Raw_Export!B1175),4),MID(TRIM(Raw_Export!B1175),6,2),RIGHT(TRIM(Raw_Export!B1175),2)),DATE(RIGHT(TRIM(Raw_Export!B1175),4),MATCH(MID(TRIM(Raw_Export!B1175),4,3),{"Jan","Feb","Mar","Apr","May","Jun","Jul","Aug","Sep","Oct","Nov","Dec"},0),LEFT(TRIM(Raw_Export!B1175),2)))))</f>
        <v>46272</v>
      </c>
      <c r="C1175" s="36" t="str">
        <f aca="false">IF(Raw_Export!$A1175="","",IFERROR(VLOOKUP(LOWER(TRIM(Raw_Export!C1175)),Maps!$A$2:$B$20,2,FALSE()),"UNMAPPED"))</f>
        <v>Mombasa</v>
      </c>
      <c r="D1175" s="36" t="str">
        <f aca="false">IF(Raw_Export!$A1175="","",IFERROR(VLOOKUP(LOWER(TRIM(Raw_Export!D1175)),Maps!$G$2:$I$80,2,FALSE()),"UNMAPPED"))</f>
        <v>Deodorant 150ml</v>
      </c>
      <c r="E1175" s="36" t="str">
        <f aca="false">IF(Raw_Export!$A1175="","",IFERROR(VLOOKUP(LOWER(TRIM(Raw_Export!D1175)),Maps!$G$2:$I$80,3,FALSE()),"UNMAPPED"))</f>
        <v>Personal Care</v>
      </c>
      <c r="F1175" s="36" t="n">
        <f aca="false">IF(Raw_Export!$A1175="","",IFERROR(VALUE(TRIM(Raw_Export!E1175)),0))</f>
        <v>1</v>
      </c>
      <c r="G1175" s="38" t="n">
        <f aca="false">IF(Raw_Export!$A1175="","",IFERROR(VALUE(SUBSTITUTE(SUBSTITUTE(UPPER(TRIM(Raw_Export!F1175)),"KES",""),",","")),0))</f>
        <v>350</v>
      </c>
      <c r="H1175" s="38" t="n">
        <f aca="false">IF(Raw_Export!$A1175="","",F1175*G1175)</f>
        <v>350</v>
      </c>
      <c r="I1175" s="36" t="str">
        <f aca="false">IF(Raw_Export!$A1175="","",IFERROR(VLOOKUP(LOWER(TRIM(Raw_Export!H1175)),Maps!$D$2:$E$12,2,FALSE()),"Other"))</f>
        <v>Cash</v>
      </c>
      <c r="J1175" s="36" t="str">
        <f aca="false">IF(Raw_Export!$A1175="","",IF(COUNTIF($A$2:A1175,A1175)&gt;1,"Duplicate",""))</f>
        <v/>
      </c>
      <c r="K1175" s="36" t="str">
        <f aca="false">IF(Raw_Export!$A1175="","",IF(J1175="Duplicate","Duplicate",IF(OR(C1175="UNMAPPED",D1175="UNMAPPED"),"Unmapped",IF(F1175=0,"Blank qty",IF(F1175&lt;0,"Return","OK")))))</f>
        <v>OK</v>
      </c>
      <c r="L1175" s="36" t="n">
        <f aca="false">IF(Raw_Export!$A1175="","",IF(OR(K1175="OK",K1175="Return"),1,0))</f>
        <v>1</v>
      </c>
      <c r="M1175" s="37" t="n">
        <f aca="false">IF(Raw_Export!$A1175="","",B1175-WEEKDAY(B1175,2)+1)</f>
        <v>46272</v>
      </c>
    </row>
    <row r="1176" customFormat="false" ht="15" hidden="false" customHeight="false" outlineLevel="0" collapsed="false">
      <c r="A1176" s="36" t="str">
        <f aca="false">IF(Raw_Export!$A1176="","",TRIM(Raw_Export!A1176))</f>
        <v>TXN-101153</v>
      </c>
      <c r="B1176" s="37" t="n">
        <f aca="false">IF(Raw_Export!$A1176="","",IF(ISNUMBER(Raw_Export!B1176),Raw_Export!B1176,IF(MID(TRIM(Raw_Export!B1176),5,1)="-",DATE(LEFT(TRIM(Raw_Export!B1176),4),MID(TRIM(Raw_Export!B1176),6,2),RIGHT(TRIM(Raw_Export!B1176),2)),DATE(RIGHT(TRIM(Raw_Export!B1176),4),MATCH(MID(TRIM(Raw_Export!B1176),4,3),{"Jan","Feb","Mar","Apr","May","Jun","Jul","Aug","Sep","Oct","Nov","Dec"},0),LEFT(TRIM(Raw_Export!B1176),2)))))</f>
        <v>46272</v>
      </c>
      <c r="C1176" s="36" t="str">
        <f aca="false">IF(Raw_Export!$A1176="","",IFERROR(VLOOKUP(LOWER(TRIM(Raw_Export!C1176)),Maps!$A$2:$B$20,2,FALSE()),"UNMAPPED"))</f>
        <v>Mombasa</v>
      </c>
      <c r="D1176" s="36" t="str">
        <f aca="false">IF(Raw_Export!$A1176="","",IFERROR(VLOOKUP(LOWER(TRIM(Raw_Export!D1176)),Maps!$G$2:$I$80,2,FALSE()),"UNMAPPED"))</f>
        <v>Peanuts 250g</v>
      </c>
      <c r="E1176" s="36" t="str">
        <f aca="false">IF(Raw_Export!$A1176="","",IFERROR(VLOOKUP(LOWER(TRIM(Raw_Export!D1176)),Maps!$G$2:$I$80,3,FALSE()),"UNMAPPED"))</f>
        <v>Snacks</v>
      </c>
      <c r="F1176" s="36" t="n">
        <f aca="false">IF(Raw_Export!$A1176="","",IFERROR(VALUE(TRIM(Raw_Export!E1176)),0))</f>
        <v>2</v>
      </c>
      <c r="G1176" s="38" t="n">
        <f aca="false">IF(Raw_Export!$A1176="","",IFERROR(VALUE(SUBSTITUTE(SUBSTITUTE(UPPER(TRIM(Raw_Export!F1176)),"KES",""),",","")),0))</f>
        <v>130</v>
      </c>
      <c r="H1176" s="38" t="n">
        <f aca="false">IF(Raw_Export!$A1176="","",F1176*G1176)</f>
        <v>260</v>
      </c>
      <c r="I1176" s="36" t="str">
        <f aca="false">IF(Raw_Export!$A1176="","",IFERROR(VLOOKUP(LOWER(TRIM(Raw_Export!H1176)),Maps!$D$2:$E$12,2,FALSE()),"Other"))</f>
        <v>M-Pesa</v>
      </c>
      <c r="J1176" s="36" t="str">
        <f aca="false">IF(Raw_Export!$A1176="","",IF(COUNTIF($A$2:A1176,A1176)&gt;1,"Duplicate",""))</f>
        <v/>
      </c>
      <c r="K1176" s="36" t="str">
        <f aca="false">IF(Raw_Export!$A1176="","",IF(J1176="Duplicate","Duplicate",IF(OR(C1176="UNMAPPED",D1176="UNMAPPED"),"Unmapped",IF(F1176=0,"Blank qty",IF(F1176&lt;0,"Return","OK")))))</f>
        <v>OK</v>
      </c>
      <c r="L1176" s="36" t="n">
        <f aca="false">IF(Raw_Export!$A1176="","",IF(OR(K1176="OK",K1176="Return"),1,0))</f>
        <v>1</v>
      </c>
      <c r="M1176" s="37" t="n">
        <f aca="false">IF(Raw_Export!$A1176="","",B1176-WEEKDAY(B1176,2)+1)</f>
        <v>46272</v>
      </c>
    </row>
    <row r="1177" customFormat="false" ht="15" hidden="false" customHeight="false" outlineLevel="0" collapsed="false">
      <c r="A1177" s="36" t="str">
        <f aca="false">IF(Raw_Export!$A1177="","",TRIM(Raw_Export!A1177))</f>
        <v>TXN-101154</v>
      </c>
      <c r="B1177" s="37" t="n">
        <f aca="false">IF(Raw_Export!$A1177="","",IF(ISNUMBER(Raw_Export!B1177),Raw_Export!B1177,IF(MID(TRIM(Raw_Export!B1177),5,1)="-",DATE(LEFT(TRIM(Raw_Export!B1177),4),MID(TRIM(Raw_Export!B1177),6,2),RIGHT(TRIM(Raw_Export!B1177),2)),DATE(RIGHT(TRIM(Raw_Export!B1177),4),MATCH(MID(TRIM(Raw_Export!B1177),4,3),{"Jan","Feb","Mar","Apr","May","Jun","Jul","Aug","Sep","Oct","Nov","Dec"},0),LEFT(TRIM(Raw_Export!B1177),2)))))</f>
        <v>46272</v>
      </c>
      <c r="C1177" s="36" t="str">
        <f aca="false">IF(Raw_Export!$A1177="","",IFERROR(VLOOKUP(LOWER(TRIM(Raw_Export!C1177)),Maps!$A$2:$B$20,2,FALSE()),"UNMAPPED"))</f>
        <v>Mombasa</v>
      </c>
      <c r="D1177" s="36" t="str">
        <f aca="false">IF(Raw_Export!$A1177="","",IFERROR(VLOOKUP(LOWER(TRIM(Raw_Export!D1177)),Maps!$G$2:$I$80,2,FALSE()),"UNMAPPED"))</f>
        <v>Peanuts 250g</v>
      </c>
      <c r="E1177" s="36" t="str">
        <f aca="false">IF(Raw_Export!$A1177="","",IFERROR(VLOOKUP(LOWER(TRIM(Raw_Export!D1177)),Maps!$G$2:$I$80,3,FALSE()),"UNMAPPED"))</f>
        <v>Snacks</v>
      </c>
      <c r="F1177" s="36" t="n">
        <f aca="false">IF(Raw_Export!$A1177="","",IFERROR(VALUE(TRIM(Raw_Export!E1177)),0))</f>
        <v>6</v>
      </c>
      <c r="G1177" s="38" t="n">
        <f aca="false">IF(Raw_Export!$A1177="","",IFERROR(VALUE(SUBSTITUTE(SUBSTITUTE(UPPER(TRIM(Raw_Export!F1177)),"KES",""),",","")),0))</f>
        <v>130</v>
      </c>
      <c r="H1177" s="38" t="n">
        <f aca="false">IF(Raw_Export!$A1177="","",F1177*G1177)</f>
        <v>780</v>
      </c>
      <c r="I1177" s="36" t="str">
        <f aca="false">IF(Raw_Export!$A1177="","",IFERROR(VLOOKUP(LOWER(TRIM(Raw_Export!H1177)),Maps!$D$2:$E$12,2,FALSE()),"Other"))</f>
        <v>Card</v>
      </c>
      <c r="J1177" s="36" t="str">
        <f aca="false">IF(Raw_Export!$A1177="","",IF(COUNTIF($A$2:A1177,A1177)&gt;1,"Duplicate",""))</f>
        <v/>
      </c>
      <c r="K1177" s="36" t="str">
        <f aca="false">IF(Raw_Export!$A1177="","",IF(J1177="Duplicate","Duplicate",IF(OR(C1177="UNMAPPED",D1177="UNMAPPED"),"Unmapped",IF(F1177=0,"Blank qty",IF(F1177&lt;0,"Return","OK")))))</f>
        <v>OK</v>
      </c>
      <c r="L1177" s="36" t="n">
        <f aca="false">IF(Raw_Export!$A1177="","",IF(OR(K1177="OK",K1177="Return"),1,0))</f>
        <v>1</v>
      </c>
      <c r="M1177" s="37" t="n">
        <f aca="false">IF(Raw_Export!$A1177="","",B1177-WEEKDAY(B1177,2)+1)</f>
        <v>46272</v>
      </c>
    </row>
    <row r="1178" customFormat="false" ht="15" hidden="false" customHeight="false" outlineLevel="0" collapsed="false">
      <c r="A1178" s="36" t="str">
        <f aca="false">IF(Raw_Export!$A1178="","",TRIM(Raw_Export!A1178))</f>
        <v>TXN-101155</v>
      </c>
      <c r="B1178" s="37" t="n">
        <f aca="false">IF(Raw_Export!$A1178="","",IF(ISNUMBER(Raw_Export!B1178),Raw_Export!B1178,IF(MID(TRIM(Raw_Export!B1178),5,1)="-",DATE(LEFT(TRIM(Raw_Export!B1178),4),MID(TRIM(Raw_Export!B1178),6,2),RIGHT(TRIM(Raw_Export!B1178),2)),DATE(RIGHT(TRIM(Raw_Export!B1178),4),MATCH(MID(TRIM(Raw_Export!B1178),4,3),{"Jan","Feb","Mar","Apr","May","Jun","Jul","Aug","Sep","Oct","Nov","Dec"},0),LEFT(TRIM(Raw_Export!B1178),2)))))</f>
        <v>46272</v>
      </c>
      <c r="C1178" s="36" t="str">
        <f aca="false">IF(Raw_Export!$A1178="","",IFERROR(VLOOKUP(LOWER(TRIM(Raw_Export!C1178)),Maps!$A$2:$B$20,2,FALSE()),"UNMAPPED"))</f>
        <v>Mombasa</v>
      </c>
      <c r="D1178" s="36" t="str">
        <f aca="false">IF(Raw_Export!$A1178="","",IFERROR(VLOOKUP(LOWER(TRIM(Raw_Export!D1178)),Maps!$G$2:$I$80,2,FALSE()),"UNMAPPED"))</f>
        <v>Bleach 1L</v>
      </c>
      <c r="E1178" s="36" t="str">
        <f aca="false">IF(Raw_Export!$A1178="","",IFERROR(VLOOKUP(LOWER(TRIM(Raw_Export!D1178)),Maps!$G$2:$I$80,3,FALSE()),"UNMAPPED"))</f>
        <v>Household</v>
      </c>
      <c r="F1178" s="36" t="n">
        <f aca="false">IF(Raw_Export!$A1178="","",IFERROR(VALUE(TRIM(Raw_Export!E1178)),0))</f>
        <v>6</v>
      </c>
      <c r="G1178" s="38" t="n">
        <f aca="false">IF(Raw_Export!$A1178="","",IFERROR(VALUE(SUBSTITUTE(SUBSTITUTE(UPPER(TRIM(Raw_Export!F1178)),"KES",""),",","")),0))</f>
        <v>160</v>
      </c>
      <c r="H1178" s="38" t="n">
        <f aca="false">IF(Raw_Export!$A1178="","",F1178*G1178)</f>
        <v>960</v>
      </c>
      <c r="I1178" s="36" t="str">
        <f aca="false">IF(Raw_Export!$A1178="","",IFERROR(VLOOKUP(LOWER(TRIM(Raw_Export!H1178)),Maps!$D$2:$E$12,2,FALSE()),"Other"))</f>
        <v>M-Pesa</v>
      </c>
      <c r="J1178" s="36" t="str">
        <f aca="false">IF(Raw_Export!$A1178="","",IF(COUNTIF($A$2:A1178,A1178)&gt;1,"Duplicate",""))</f>
        <v/>
      </c>
      <c r="K1178" s="36" t="str">
        <f aca="false">IF(Raw_Export!$A1178="","",IF(J1178="Duplicate","Duplicate",IF(OR(C1178="UNMAPPED",D1178="UNMAPPED"),"Unmapped",IF(F1178=0,"Blank qty",IF(F1178&lt;0,"Return","OK")))))</f>
        <v>OK</v>
      </c>
      <c r="L1178" s="36" t="n">
        <f aca="false">IF(Raw_Export!$A1178="","",IF(OR(K1178="OK",K1178="Return"),1,0))</f>
        <v>1</v>
      </c>
      <c r="M1178" s="37" t="n">
        <f aca="false">IF(Raw_Export!$A1178="","",B1178-WEEKDAY(B1178,2)+1)</f>
        <v>46272</v>
      </c>
    </row>
    <row r="1179" customFormat="false" ht="15" hidden="false" customHeight="false" outlineLevel="0" collapsed="false">
      <c r="A1179" s="36" t="str">
        <f aca="false">IF(Raw_Export!$A1179="","",TRIM(Raw_Export!A1179))</f>
        <v>TXN-101156</v>
      </c>
      <c r="B1179" s="37" t="n">
        <f aca="false">IF(Raw_Export!$A1179="","",IF(ISNUMBER(Raw_Export!B1179),Raw_Export!B1179,IF(MID(TRIM(Raw_Export!B1179),5,1)="-",DATE(LEFT(TRIM(Raw_Export!B1179),4),MID(TRIM(Raw_Export!B1179),6,2),RIGHT(TRIM(Raw_Export!B1179),2)),DATE(RIGHT(TRIM(Raw_Export!B1179),4),MATCH(MID(TRIM(Raw_Export!B1179),4,3),{"Jan","Feb","Mar","Apr","May","Jun","Jul","Aug","Sep","Oct","Nov","Dec"},0),LEFT(TRIM(Raw_Export!B1179),2)))))</f>
        <v>46272</v>
      </c>
      <c r="C1179" s="36" t="str">
        <f aca="false">IF(Raw_Export!$A1179="","",IFERROR(VLOOKUP(LOWER(TRIM(Raw_Export!C1179)),Maps!$A$2:$B$20,2,FALSE()),"UNMAPPED"))</f>
        <v>Mombasa</v>
      </c>
      <c r="D1179" s="36" t="str">
        <f aca="false">IF(Raw_Export!$A1179="","",IFERROR(VLOOKUP(LOWER(TRIM(Raw_Export!D1179)),Maps!$G$2:$I$80,2,FALSE()),"UNMAPPED"))</f>
        <v>Eggs Tray 30</v>
      </c>
      <c r="E1179" s="36" t="str">
        <f aca="false">IF(Raw_Export!$A1179="","",IFERROR(VLOOKUP(LOWER(TRIM(Raw_Export!D1179)),Maps!$G$2:$I$80,3,FALSE()),"UNMAPPED"))</f>
        <v>Dairy &amp; Eggs</v>
      </c>
      <c r="F1179" s="36" t="n">
        <f aca="false">IF(Raw_Export!$A1179="","",IFERROR(VALUE(TRIM(Raw_Export!E1179)),0))</f>
        <v>4</v>
      </c>
      <c r="G1179" s="38" t="n">
        <f aca="false">IF(Raw_Export!$A1179="","",IFERROR(VALUE(SUBSTITUTE(SUBSTITUTE(UPPER(TRIM(Raw_Export!F1179)),"KES",""),",","")),0))</f>
        <v>405</v>
      </c>
      <c r="H1179" s="38" t="n">
        <f aca="false">IF(Raw_Export!$A1179="","",F1179*G1179)</f>
        <v>1620</v>
      </c>
      <c r="I1179" s="36" t="str">
        <f aca="false">IF(Raw_Export!$A1179="","",IFERROR(VLOOKUP(LOWER(TRIM(Raw_Export!H1179)),Maps!$D$2:$E$12,2,FALSE()),"Other"))</f>
        <v>M-Pesa</v>
      </c>
      <c r="J1179" s="36" t="str">
        <f aca="false">IF(Raw_Export!$A1179="","",IF(COUNTIF($A$2:A1179,A1179)&gt;1,"Duplicate",""))</f>
        <v/>
      </c>
      <c r="K1179" s="36" t="str">
        <f aca="false">IF(Raw_Export!$A1179="","",IF(J1179="Duplicate","Duplicate",IF(OR(C1179="UNMAPPED",D1179="UNMAPPED"),"Unmapped",IF(F1179=0,"Blank qty",IF(F1179&lt;0,"Return","OK")))))</f>
        <v>OK</v>
      </c>
      <c r="L1179" s="36" t="n">
        <f aca="false">IF(Raw_Export!$A1179="","",IF(OR(K1179="OK",K1179="Return"),1,0))</f>
        <v>1</v>
      </c>
      <c r="M1179" s="37" t="n">
        <f aca="false">IF(Raw_Export!$A1179="","",B1179-WEEKDAY(B1179,2)+1)</f>
        <v>46272</v>
      </c>
    </row>
    <row r="1180" customFormat="false" ht="15" hidden="false" customHeight="false" outlineLevel="0" collapsed="false">
      <c r="A1180" s="36" t="str">
        <f aca="false">IF(Raw_Export!$A1180="","",TRIM(Raw_Export!A1180))</f>
        <v>TXN-101157</v>
      </c>
      <c r="B1180" s="37" t="n">
        <f aca="false">IF(Raw_Export!$A1180="","",IF(ISNUMBER(Raw_Export!B1180),Raw_Export!B1180,IF(MID(TRIM(Raw_Export!B1180),5,1)="-",DATE(LEFT(TRIM(Raw_Export!B1180),4),MID(TRIM(Raw_Export!B1180),6,2),RIGHT(TRIM(Raw_Export!B1180),2)),DATE(RIGHT(TRIM(Raw_Export!B1180),4),MATCH(MID(TRIM(Raw_Export!B1180),4,3),{"Jan","Feb","Mar","Apr","May","Jun","Jul","Aug","Sep","Oct","Nov","Dec"},0),LEFT(TRIM(Raw_Export!B1180),2)))))</f>
        <v>46272</v>
      </c>
      <c r="C1180" s="36" t="str">
        <f aca="false">IF(Raw_Export!$A1180="","",IFERROR(VLOOKUP(LOWER(TRIM(Raw_Export!C1180)),Maps!$A$2:$B$20,2,FALSE()),"UNMAPPED"))</f>
        <v>Mombasa</v>
      </c>
      <c r="D1180" s="36" t="str">
        <f aca="false">IF(Raw_Export!$A1180="","",IFERROR(VLOOKUP(LOWER(TRIM(Raw_Export!D1180)),Maps!$G$2:$I$80,2,FALSE()),"UNMAPPED"))</f>
        <v>Tea Leaves 250g</v>
      </c>
      <c r="E1180" s="36" t="str">
        <f aca="false">IF(Raw_Export!$A1180="","",IFERROR(VLOOKUP(LOWER(TRIM(Raw_Export!D1180)),Maps!$G$2:$I$80,3,FALSE()),"UNMAPPED"))</f>
        <v>Beverages</v>
      </c>
      <c r="F1180" s="36" t="n">
        <f aca="false">IF(Raw_Export!$A1180="","",IFERROR(VALUE(TRIM(Raw_Export!E1180)),0))</f>
        <v>1</v>
      </c>
      <c r="G1180" s="38" t="n">
        <f aca="false">IF(Raw_Export!$A1180="","",IFERROR(VALUE(SUBSTITUTE(SUBSTITUTE(UPPER(TRIM(Raw_Export!F1180)),"KES",""),",","")),0))</f>
        <v>150</v>
      </c>
      <c r="H1180" s="38" t="n">
        <f aca="false">IF(Raw_Export!$A1180="","",F1180*G1180)</f>
        <v>150</v>
      </c>
      <c r="I1180" s="36" t="str">
        <f aca="false">IF(Raw_Export!$A1180="","",IFERROR(VLOOKUP(LOWER(TRIM(Raw_Export!H1180)),Maps!$D$2:$E$12,2,FALSE()),"Other"))</f>
        <v>M-Pesa</v>
      </c>
      <c r="J1180" s="36" t="str">
        <f aca="false">IF(Raw_Export!$A1180="","",IF(COUNTIF($A$2:A1180,A1180)&gt;1,"Duplicate",""))</f>
        <v/>
      </c>
      <c r="K1180" s="36" t="str">
        <f aca="false">IF(Raw_Export!$A1180="","",IF(J1180="Duplicate","Duplicate",IF(OR(C1180="UNMAPPED",D1180="UNMAPPED"),"Unmapped",IF(F1180=0,"Blank qty",IF(F1180&lt;0,"Return","OK")))))</f>
        <v>OK</v>
      </c>
      <c r="L1180" s="36" t="n">
        <f aca="false">IF(Raw_Export!$A1180="","",IF(OR(K1180="OK",K1180="Return"),1,0))</f>
        <v>1</v>
      </c>
      <c r="M1180" s="37" t="n">
        <f aca="false">IF(Raw_Export!$A1180="","",B1180-WEEKDAY(B1180,2)+1)</f>
        <v>46272</v>
      </c>
    </row>
    <row r="1181" customFormat="false" ht="15" hidden="false" customHeight="false" outlineLevel="0" collapsed="false">
      <c r="A1181" s="36" t="str">
        <f aca="false">IF(Raw_Export!$A1181="","",TRIM(Raw_Export!A1181))</f>
        <v>TXN-101158</v>
      </c>
      <c r="B1181" s="37" t="n">
        <f aca="false">IF(Raw_Export!$A1181="","",IF(ISNUMBER(Raw_Export!B1181),Raw_Export!B1181,IF(MID(TRIM(Raw_Export!B1181),5,1)="-",DATE(LEFT(TRIM(Raw_Export!B1181),4),MID(TRIM(Raw_Export!B1181),6,2),RIGHT(TRIM(Raw_Export!B1181),2)),DATE(RIGHT(TRIM(Raw_Export!B1181),4),MATCH(MID(TRIM(Raw_Export!B1181),4,3),{"Jan","Feb","Mar","Apr","May","Jun","Jul","Aug","Sep","Oct","Nov","Dec"},0),LEFT(TRIM(Raw_Export!B1181),2)))))</f>
        <v>46272</v>
      </c>
      <c r="C1181" s="36" t="str">
        <f aca="false">IF(Raw_Export!$A1181="","",IFERROR(VLOOKUP(LOWER(TRIM(Raw_Export!C1181)),Maps!$A$2:$B$20,2,FALSE()),"UNMAPPED"))</f>
        <v>Mombasa</v>
      </c>
      <c r="D1181" s="36" t="str">
        <f aca="false">IF(Raw_Export!$A1181="","",IFERROR(VLOOKUP(LOWER(TRIM(Raw_Export!D1181)),Maps!$G$2:$I$80,2,FALSE()),"UNMAPPED"))</f>
        <v>Soda 500ml</v>
      </c>
      <c r="E1181" s="36" t="str">
        <f aca="false">IF(Raw_Export!$A1181="","",IFERROR(VLOOKUP(LOWER(TRIM(Raw_Export!D1181)),Maps!$G$2:$I$80,3,FALSE()),"UNMAPPED"))</f>
        <v>Beverages</v>
      </c>
      <c r="F1181" s="36" t="n">
        <f aca="false">IF(Raw_Export!$A1181="","",IFERROR(VALUE(TRIM(Raw_Export!E1181)),0))</f>
        <v>2</v>
      </c>
      <c r="G1181" s="38" t="n">
        <f aca="false">IF(Raw_Export!$A1181="","",IFERROR(VALUE(SUBSTITUTE(SUBSTITUTE(UPPER(TRIM(Raw_Export!F1181)),"KES",""),",","")),0))</f>
        <v>60</v>
      </c>
      <c r="H1181" s="38" t="n">
        <f aca="false">IF(Raw_Export!$A1181="","",F1181*G1181)</f>
        <v>120</v>
      </c>
      <c r="I1181" s="36" t="str">
        <f aca="false">IF(Raw_Export!$A1181="","",IFERROR(VLOOKUP(LOWER(TRIM(Raw_Export!H1181)),Maps!$D$2:$E$12,2,FALSE()),"Other"))</f>
        <v>M-Pesa</v>
      </c>
      <c r="J1181" s="36" t="str">
        <f aca="false">IF(Raw_Export!$A1181="","",IF(COUNTIF($A$2:A1181,A1181)&gt;1,"Duplicate",""))</f>
        <v/>
      </c>
      <c r="K1181" s="36" t="str">
        <f aca="false">IF(Raw_Export!$A1181="","",IF(J1181="Duplicate","Duplicate",IF(OR(C1181="UNMAPPED",D1181="UNMAPPED"),"Unmapped",IF(F1181=0,"Blank qty",IF(F1181&lt;0,"Return","OK")))))</f>
        <v>OK</v>
      </c>
      <c r="L1181" s="36" t="n">
        <f aca="false">IF(Raw_Export!$A1181="","",IF(OR(K1181="OK",K1181="Return"),1,0))</f>
        <v>1</v>
      </c>
      <c r="M1181" s="37" t="n">
        <f aca="false">IF(Raw_Export!$A1181="","",B1181-WEEKDAY(B1181,2)+1)</f>
        <v>46272</v>
      </c>
    </row>
    <row r="1182" customFormat="false" ht="15" hidden="false" customHeight="false" outlineLevel="0" collapsed="false">
      <c r="A1182" s="36" t="str">
        <f aca="false">IF(Raw_Export!$A1182="","",TRIM(Raw_Export!A1182))</f>
        <v>TXN-101159</v>
      </c>
      <c r="B1182" s="37" t="n">
        <f aca="false">IF(Raw_Export!$A1182="","",IF(ISNUMBER(Raw_Export!B1182),Raw_Export!B1182,IF(MID(TRIM(Raw_Export!B1182),5,1)="-",DATE(LEFT(TRIM(Raw_Export!B1182),4),MID(TRIM(Raw_Export!B1182),6,2),RIGHT(TRIM(Raw_Export!B1182),2)),DATE(RIGHT(TRIM(Raw_Export!B1182),4),MATCH(MID(TRIM(Raw_Export!B1182),4,3),{"Jan","Feb","Mar","Apr","May","Jun","Jul","Aug","Sep","Oct","Nov","Dec"},0),LEFT(TRIM(Raw_Export!B1182),2)))))</f>
        <v>46272</v>
      </c>
      <c r="C1182" s="36" t="str">
        <f aca="false">IF(Raw_Export!$A1182="","",IFERROR(VLOOKUP(LOWER(TRIM(Raw_Export!C1182)),Maps!$A$2:$B$20,2,FALSE()),"UNMAPPED"))</f>
        <v>Kisumu</v>
      </c>
      <c r="D1182" s="36" t="str">
        <f aca="false">IF(Raw_Export!$A1182="","",IFERROR(VLOOKUP(LOWER(TRIM(Raw_Export!D1182)),Maps!$G$2:$I$80,2,FALSE()),"UNMAPPED"))</f>
        <v>Soda 500ml</v>
      </c>
      <c r="E1182" s="36" t="str">
        <f aca="false">IF(Raw_Export!$A1182="","",IFERROR(VLOOKUP(LOWER(TRIM(Raw_Export!D1182)),Maps!$G$2:$I$80,3,FALSE()),"UNMAPPED"))</f>
        <v>Beverages</v>
      </c>
      <c r="F1182" s="36" t="n">
        <f aca="false">IF(Raw_Export!$A1182="","",IFERROR(VALUE(TRIM(Raw_Export!E1182)),0))</f>
        <v>4</v>
      </c>
      <c r="G1182" s="38" t="n">
        <f aca="false">IF(Raw_Export!$A1182="","",IFERROR(VALUE(SUBSTITUTE(SUBSTITUTE(UPPER(TRIM(Raw_Export!F1182)),"KES",""),",","")),0))</f>
        <v>60</v>
      </c>
      <c r="H1182" s="38" t="n">
        <f aca="false">IF(Raw_Export!$A1182="","",F1182*G1182)</f>
        <v>240</v>
      </c>
      <c r="I1182" s="36" t="str">
        <f aca="false">IF(Raw_Export!$A1182="","",IFERROR(VLOOKUP(LOWER(TRIM(Raw_Export!H1182)),Maps!$D$2:$E$12,2,FALSE()),"Other"))</f>
        <v>Cash</v>
      </c>
      <c r="J1182" s="36" t="str">
        <f aca="false">IF(Raw_Export!$A1182="","",IF(COUNTIF($A$2:A1182,A1182)&gt;1,"Duplicate",""))</f>
        <v/>
      </c>
      <c r="K1182" s="36" t="str">
        <f aca="false">IF(Raw_Export!$A1182="","",IF(J1182="Duplicate","Duplicate",IF(OR(C1182="UNMAPPED",D1182="UNMAPPED"),"Unmapped",IF(F1182=0,"Blank qty",IF(F1182&lt;0,"Return","OK")))))</f>
        <v>OK</v>
      </c>
      <c r="L1182" s="36" t="n">
        <f aca="false">IF(Raw_Export!$A1182="","",IF(OR(K1182="OK",K1182="Return"),1,0))</f>
        <v>1</v>
      </c>
      <c r="M1182" s="37" t="n">
        <f aca="false">IF(Raw_Export!$A1182="","",B1182-WEEKDAY(B1182,2)+1)</f>
        <v>46272</v>
      </c>
    </row>
    <row r="1183" customFormat="false" ht="15" hidden="false" customHeight="false" outlineLevel="0" collapsed="false">
      <c r="A1183" s="36" t="str">
        <f aca="false">IF(Raw_Export!$A1183="","",TRIM(Raw_Export!A1183))</f>
        <v>TXN-101160</v>
      </c>
      <c r="B1183" s="37" t="n">
        <f aca="false">IF(Raw_Export!$A1183="","",IF(ISNUMBER(Raw_Export!B1183),Raw_Export!B1183,IF(MID(TRIM(Raw_Export!B1183),5,1)="-",DATE(LEFT(TRIM(Raw_Export!B1183),4),MID(TRIM(Raw_Export!B1183),6,2),RIGHT(TRIM(Raw_Export!B1183),2)),DATE(RIGHT(TRIM(Raw_Export!B1183),4),MATCH(MID(TRIM(Raw_Export!B1183),4,3),{"Jan","Feb","Mar","Apr","May","Jun","Jul","Aug","Sep","Oct","Nov","Dec"},0),LEFT(TRIM(Raw_Export!B1183),2)))))</f>
        <v>46272</v>
      </c>
      <c r="C1183" s="36" t="str">
        <f aca="false">IF(Raw_Export!$A1183="","",IFERROR(VLOOKUP(LOWER(TRIM(Raw_Export!C1183)),Maps!$A$2:$B$20,2,FALSE()),"UNMAPPED"))</f>
        <v>Kisumu</v>
      </c>
      <c r="D1183" s="36" t="str">
        <f aca="false">IF(Raw_Export!$A1183="","",IFERROR(VLOOKUP(LOWER(TRIM(Raw_Export!D1183)),Maps!$G$2:$I$80,2,FALSE()),"UNMAPPED"))</f>
        <v>Matches 10pk</v>
      </c>
      <c r="E1183" s="36" t="str">
        <f aca="false">IF(Raw_Export!$A1183="","",IFERROR(VLOOKUP(LOWER(TRIM(Raw_Export!D1183)),Maps!$G$2:$I$80,3,FALSE()),"UNMAPPED"))</f>
        <v>Household</v>
      </c>
      <c r="F1183" s="36" t="n">
        <f aca="false">IF(Raw_Export!$A1183="","",IFERROR(VALUE(TRIM(Raw_Export!E1183)),0))</f>
        <v>2</v>
      </c>
      <c r="G1183" s="38" t="n">
        <f aca="false">IF(Raw_Export!$A1183="","",IFERROR(VALUE(SUBSTITUTE(SUBSTITUTE(UPPER(TRIM(Raw_Export!F1183)),"KES",""),",","")),0))</f>
        <v>50</v>
      </c>
      <c r="H1183" s="38" t="n">
        <f aca="false">IF(Raw_Export!$A1183="","",F1183*G1183)</f>
        <v>100</v>
      </c>
      <c r="I1183" s="36" t="str">
        <f aca="false">IF(Raw_Export!$A1183="","",IFERROR(VLOOKUP(LOWER(TRIM(Raw_Export!H1183)),Maps!$D$2:$E$12,2,FALSE()),"Other"))</f>
        <v>M-Pesa</v>
      </c>
      <c r="J1183" s="36" t="str">
        <f aca="false">IF(Raw_Export!$A1183="","",IF(COUNTIF($A$2:A1183,A1183)&gt;1,"Duplicate",""))</f>
        <v/>
      </c>
      <c r="K1183" s="36" t="str">
        <f aca="false">IF(Raw_Export!$A1183="","",IF(J1183="Duplicate","Duplicate",IF(OR(C1183="UNMAPPED",D1183="UNMAPPED"),"Unmapped",IF(F1183=0,"Blank qty",IF(F1183&lt;0,"Return","OK")))))</f>
        <v>OK</v>
      </c>
      <c r="L1183" s="36" t="n">
        <f aca="false">IF(Raw_Export!$A1183="","",IF(OR(K1183="OK",K1183="Return"),1,0))</f>
        <v>1</v>
      </c>
      <c r="M1183" s="37" t="n">
        <f aca="false">IF(Raw_Export!$A1183="","",B1183-WEEKDAY(B1183,2)+1)</f>
        <v>46272</v>
      </c>
    </row>
    <row r="1184" customFormat="false" ht="15" hidden="false" customHeight="false" outlineLevel="0" collapsed="false">
      <c r="A1184" s="36" t="str">
        <f aca="false">IF(Raw_Export!$A1184="","",TRIM(Raw_Export!A1184))</f>
        <v>TXN-101161</v>
      </c>
      <c r="B1184" s="37" t="n">
        <f aca="false">IF(Raw_Export!$A1184="","",IF(ISNUMBER(Raw_Export!B1184),Raw_Export!B1184,IF(MID(TRIM(Raw_Export!B1184),5,1)="-",DATE(LEFT(TRIM(Raw_Export!B1184),4),MID(TRIM(Raw_Export!B1184),6,2),RIGHT(TRIM(Raw_Export!B1184),2)),DATE(RIGHT(TRIM(Raw_Export!B1184),4),MATCH(MID(TRIM(Raw_Export!B1184),4,3),{"Jan","Feb","Mar","Apr","May","Jun","Jul","Aug","Sep","Oct","Nov","Dec"},0),LEFT(TRIM(Raw_Export!B1184),2)))))</f>
        <v>46272</v>
      </c>
      <c r="C1184" s="36" t="str">
        <f aca="false">IF(Raw_Export!$A1184="","",IFERROR(VLOOKUP(LOWER(TRIM(Raw_Export!C1184)),Maps!$A$2:$B$20,2,FALSE()),"UNMAPPED"))</f>
        <v>Kisumu</v>
      </c>
      <c r="D1184" s="36" t="str">
        <f aca="false">IF(Raw_Export!$A1184="","",IFERROR(VLOOKUP(LOWER(TRIM(Raw_Export!D1184)),Maps!$G$2:$I$80,2,FALSE()),"UNMAPPED"))</f>
        <v>Dish Soap 750ml</v>
      </c>
      <c r="E1184" s="36" t="str">
        <f aca="false">IF(Raw_Export!$A1184="","",IFERROR(VLOOKUP(LOWER(TRIM(Raw_Export!D1184)),Maps!$G$2:$I$80,3,FALSE()),"UNMAPPED"))</f>
        <v>Household</v>
      </c>
      <c r="F1184" s="36" t="n">
        <f aca="false">IF(Raw_Export!$A1184="","",IFERROR(VALUE(TRIM(Raw_Export!E1184)),0))</f>
        <v>1</v>
      </c>
      <c r="G1184" s="38" t="n">
        <f aca="false">IF(Raw_Export!$A1184="","",IFERROR(VALUE(SUBSTITUTE(SUBSTITUTE(UPPER(TRIM(Raw_Export!F1184)),"KES",""),",","")),0))</f>
        <v>190</v>
      </c>
      <c r="H1184" s="38" t="n">
        <f aca="false">IF(Raw_Export!$A1184="","",F1184*G1184)</f>
        <v>190</v>
      </c>
      <c r="I1184" s="36" t="str">
        <f aca="false">IF(Raw_Export!$A1184="","",IFERROR(VLOOKUP(LOWER(TRIM(Raw_Export!H1184)),Maps!$D$2:$E$12,2,FALSE()),"Other"))</f>
        <v>Card</v>
      </c>
      <c r="J1184" s="36" t="str">
        <f aca="false">IF(Raw_Export!$A1184="","",IF(COUNTIF($A$2:A1184,A1184)&gt;1,"Duplicate",""))</f>
        <v/>
      </c>
      <c r="K1184" s="36" t="str">
        <f aca="false">IF(Raw_Export!$A1184="","",IF(J1184="Duplicate","Duplicate",IF(OR(C1184="UNMAPPED",D1184="UNMAPPED"),"Unmapped",IF(F1184=0,"Blank qty",IF(F1184&lt;0,"Return","OK")))))</f>
        <v>OK</v>
      </c>
      <c r="L1184" s="36" t="n">
        <f aca="false">IF(Raw_Export!$A1184="","",IF(OR(K1184="OK",K1184="Return"),1,0))</f>
        <v>1</v>
      </c>
      <c r="M1184" s="37" t="n">
        <f aca="false">IF(Raw_Export!$A1184="","",B1184-WEEKDAY(B1184,2)+1)</f>
        <v>46272</v>
      </c>
    </row>
    <row r="1185" customFormat="false" ht="15" hidden="false" customHeight="false" outlineLevel="0" collapsed="false">
      <c r="A1185" s="36" t="str">
        <f aca="false">IF(Raw_Export!$A1185="","",TRIM(Raw_Export!A1185))</f>
        <v>TXN-101162</v>
      </c>
      <c r="B1185" s="37" t="n">
        <f aca="false">IF(Raw_Export!$A1185="","",IF(ISNUMBER(Raw_Export!B1185),Raw_Export!B1185,IF(MID(TRIM(Raw_Export!B1185),5,1)="-",DATE(LEFT(TRIM(Raw_Export!B1185),4),MID(TRIM(Raw_Export!B1185),6,2),RIGHT(TRIM(Raw_Export!B1185),2)),DATE(RIGHT(TRIM(Raw_Export!B1185),4),MATCH(MID(TRIM(Raw_Export!B1185),4,3),{"Jan","Feb","Mar","Apr","May","Jun","Jul","Aug","Sep","Oct","Nov","Dec"},0),LEFT(TRIM(Raw_Export!B1185),2)))))</f>
        <v>46272</v>
      </c>
      <c r="C1185" s="36" t="str">
        <f aca="false">IF(Raw_Export!$A1185="","",IFERROR(VLOOKUP(LOWER(TRIM(Raw_Export!C1185)),Maps!$A$2:$B$20,2,FALSE()),"UNMAPPED"))</f>
        <v>Kisumu</v>
      </c>
      <c r="D1185" s="36" t="str">
        <f aca="false">IF(Raw_Export!$A1185="","",IFERROR(VLOOKUP(LOWER(TRIM(Raw_Export!D1185)),Maps!$G$2:$I$80,2,FALSE()),"UNMAPPED"))</f>
        <v>Yoghurt 500ml</v>
      </c>
      <c r="E1185" s="36" t="str">
        <f aca="false">IF(Raw_Export!$A1185="","",IFERROR(VLOOKUP(LOWER(TRIM(Raw_Export!D1185)),Maps!$G$2:$I$80,3,FALSE()),"UNMAPPED"))</f>
        <v>Dairy &amp; Eggs</v>
      </c>
      <c r="F1185" s="36" t="n">
        <f aca="false">IF(Raw_Export!$A1185="","",IFERROR(VALUE(TRIM(Raw_Export!E1185)),0))</f>
        <v>6</v>
      </c>
      <c r="G1185" s="38" t="n">
        <f aca="false">IF(Raw_Export!$A1185="","",IFERROR(VALUE(SUBSTITUTE(SUBSTITUTE(UPPER(TRIM(Raw_Export!F1185)),"KES",""),",","")),0))</f>
        <v>120</v>
      </c>
      <c r="H1185" s="38" t="n">
        <f aca="false">IF(Raw_Export!$A1185="","",F1185*G1185)</f>
        <v>720</v>
      </c>
      <c r="I1185" s="36" t="str">
        <f aca="false">IF(Raw_Export!$A1185="","",IFERROR(VLOOKUP(LOWER(TRIM(Raw_Export!H1185)),Maps!$D$2:$E$12,2,FALSE()),"Other"))</f>
        <v>Cash</v>
      </c>
      <c r="J1185" s="36" t="str">
        <f aca="false">IF(Raw_Export!$A1185="","",IF(COUNTIF($A$2:A1185,A1185)&gt;1,"Duplicate",""))</f>
        <v/>
      </c>
      <c r="K1185" s="36" t="str">
        <f aca="false">IF(Raw_Export!$A1185="","",IF(J1185="Duplicate","Duplicate",IF(OR(C1185="UNMAPPED",D1185="UNMAPPED"),"Unmapped",IF(F1185=0,"Blank qty",IF(F1185&lt;0,"Return","OK")))))</f>
        <v>OK</v>
      </c>
      <c r="L1185" s="36" t="n">
        <f aca="false">IF(Raw_Export!$A1185="","",IF(OR(K1185="OK",K1185="Return"),1,0))</f>
        <v>1</v>
      </c>
      <c r="M1185" s="37" t="n">
        <f aca="false">IF(Raw_Export!$A1185="","",B1185-WEEKDAY(B1185,2)+1)</f>
        <v>46272</v>
      </c>
    </row>
    <row r="1186" customFormat="false" ht="15" hidden="false" customHeight="false" outlineLevel="0" collapsed="false">
      <c r="A1186" s="36" t="str">
        <f aca="false">IF(Raw_Export!$A1186="","",TRIM(Raw_Export!A1186))</f>
        <v>TXN-101163</v>
      </c>
      <c r="B1186" s="37" t="n">
        <f aca="false">IF(Raw_Export!$A1186="","",IF(ISNUMBER(Raw_Export!B1186),Raw_Export!B1186,IF(MID(TRIM(Raw_Export!B1186),5,1)="-",DATE(LEFT(TRIM(Raw_Export!B1186),4),MID(TRIM(Raw_Export!B1186),6,2),RIGHT(TRIM(Raw_Export!B1186),2)),DATE(RIGHT(TRIM(Raw_Export!B1186),4),MATCH(MID(TRIM(Raw_Export!B1186),4,3),{"Jan","Feb","Mar","Apr","May","Jun","Jul","Aug","Sep","Oct","Nov","Dec"},0),LEFT(TRIM(Raw_Export!B1186),2)))))</f>
        <v>46272</v>
      </c>
      <c r="C1186" s="36" t="str">
        <f aca="false">IF(Raw_Export!$A1186="","",IFERROR(VLOOKUP(LOWER(TRIM(Raw_Export!C1186)),Maps!$A$2:$B$20,2,FALSE()),"UNMAPPED"))</f>
        <v>Kisumu</v>
      </c>
      <c r="D1186" s="36" t="str">
        <f aca="false">IF(Raw_Export!$A1186="","",IFERROR(VLOOKUP(LOWER(TRIM(Raw_Export!D1186)),Maps!$G$2:$I$80,2,FALSE()),"UNMAPPED"))</f>
        <v>Tea Leaves 250g</v>
      </c>
      <c r="E1186" s="36" t="str">
        <f aca="false">IF(Raw_Export!$A1186="","",IFERROR(VLOOKUP(LOWER(TRIM(Raw_Export!D1186)),Maps!$G$2:$I$80,3,FALSE()),"UNMAPPED"))</f>
        <v>Beverages</v>
      </c>
      <c r="F1186" s="36" t="n">
        <f aca="false">IF(Raw_Export!$A1186="","",IFERROR(VALUE(TRIM(Raw_Export!E1186)),0))</f>
        <v>6</v>
      </c>
      <c r="G1186" s="38" t="n">
        <f aca="false">IF(Raw_Export!$A1186="","",IFERROR(VALUE(SUBSTITUTE(SUBSTITUTE(UPPER(TRIM(Raw_Export!F1186)),"KES",""),",","")),0))</f>
        <v>150</v>
      </c>
      <c r="H1186" s="38" t="n">
        <f aca="false">IF(Raw_Export!$A1186="","",F1186*G1186)</f>
        <v>900</v>
      </c>
      <c r="I1186" s="36" t="str">
        <f aca="false">IF(Raw_Export!$A1186="","",IFERROR(VLOOKUP(LOWER(TRIM(Raw_Export!H1186)),Maps!$D$2:$E$12,2,FALSE()),"Other"))</f>
        <v>Cash</v>
      </c>
      <c r="J1186" s="36" t="str">
        <f aca="false">IF(Raw_Export!$A1186="","",IF(COUNTIF($A$2:A1186,A1186)&gt;1,"Duplicate",""))</f>
        <v/>
      </c>
      <c r="K1186" s="36" t="str">
        <f aca="false">IF(Raw_Export!$A1186="","",IF(J1186="Duplicate","Duplicate",IF(OR(C1186="UNMAPPED",D1186="UNMAPPED"),"Unmapped",IF(F1186=0,"Blank qty",IF(F1186&lt;0,"Return","OK")))))</f>
        <v>OK</v>
      </c>
      <c r="L1186" s="36" t="n">
        <f aca="false">IF(Raw_Export!$A1186="","",IF(OR(K1186="OK",K1186="Return"),1,0))</f>
        <v>1</v>
      </c>
      <c r="M1186" s="37" t="n">
        <f aca="false">IF(Raw_Export!$A1186="","",B1186-WEEKDAY(B1186,2)+1)</f>
        <v>46272</v>
      </c>
    </row>
    <row r="1187" customFormat="false" ht="15" hidden="false" customHeight="false" outlineLevel="0" collapsed="false">
      <c r="A1187" s="36" t="str">
        <f aca="false">IF(Raw_Export!$A1187="","",TRIM(Raw_Export!A1187))</f>
        <v>TXN-101164</v>
      </c>
      <c r="B1187" s="37" t="n">
        <f aca="false">IF(Raw_Export!$A1187="","",IF(ISNUMBER(Raw_Export!B1187),Raw_Export!B1187,IF(MID(TRIM(Raw_Export!B1187),5,1)="-",DATE(LEFT(TRIM(Raw_Export!B1187),4),MID(TRIM(Raw_Export!B1187),6,2),RIGHT(TRIM(Raw_Export!B1187),2)),DATE(RIGHT(TRIM(Raw_Export!B1187),4),MATCH(MID(TRIM(Raw_Export!B1187),4,3),{"Jan","Feb","Mar","Apr","May","Jun","Jul","Aug","Sep","Oct","Nov","Dec"},0),LEFT(TRIM(Raw_Export!B1187),2)))))</f>
        <v>46272</v>
      </c>
      <c r="C1187" s="36" t="str">
        <f aca="false">IF(Raw_Export!$A1187="","",IFERROR(VLOOKUP(LOWER(TRIM(Raw_Export!C1187)),Maps!$A$2:$B$20,2,FALSE()),"UNMAPPED"))</f>
        <v>Kisumu</v>
      </c>
      <c r="D1187" s="36" t="str">
        <f aca="false">IF(Raw_Export!$A1187="","",IFERROR(VLOOKUP(LOWER(TRIM(Raw_Export!D1187)),Maps!$G$2:$I$80,2,FALSE()),"UNMAPPED"))</f>
        <v>Soda 500ml</v>
      </c>
      <c r="E1187" s="36" t="str">
        <f aca="false">IF(Raw_Export!$A1187="","",IFERROR(VLOOKUP(LOWER(TRIM(Raw_Export!D1187)),Maps!$G$2:$I$80,3,FALSE()),"UNMAPPED"))</f>
        <v>Beverages</v>
      </c>
      <c r="F1187" s="36" t="n">
        <f aca="false">IF(Raw_Export!$A1187="","",IFERROR(VALUE(TRIM(Raw_Export!E1187)),0))</f>
        <v>1</v>
      </c>
      <c r="G1187" s="38" t="n">
        <f aca="false">IF(Raw_Export!$A1187="","",IFERROR(VALUE(SUBSTITUTE(SUBSTITUTE(UPPER(TRIM(Raw_Export!F1187)),"KES",""),",","")),0))</f>
        <v>60</v>
      </c>
      <c r="H1187" s="38" t="n">
        <f aca="false">IF(Raw_Export!$A1187="","",F1187*G1187)</f>
        <v>60</v>
      </c>
      <c r="I1187" s="36" t="str">
        <f aca="false">IF(Raw_Export!$A1187="","",IFERROR(VLOOKUP(LOWER(TRIM(Raw_Export!H1187)),Maps!$D$2:$E$12,2,FALSE()),"Other"))</f>
        <v>M-Pesa</v>
      </c>
      <c r="J1187" s="36" t="str">
        <f aca="false">IF(Raw_Export!$A1187="","",IF(COUNTIF($A$2:A1187,A1187)&gt;1,"Duplicate",""))</f>
        <v/>
      </c>
      <c r="K1187" s="36" t="str">
        <f aca="false">IF(Raw_Export!$A1187="","",IF(J1187="Duplicate","Duplicate",IF(OR(C1187="UNMAPPED",D1187="UNMAPPED"),"Unmapped",IF(F1187=0,"Blank qty",IF(F1187&lt;0,"Return","OK")))))</f>
        <v>OK</v>
      </c>
      <c r="L1187" s="36" t="n">
        <f aca="false">IF(Raw_Export!$A1187="","",IF(OR(K1187="OK",K1187="Return"),1,0))</f>
        <v>1</v>
      </c>
      <c r="M1187" s="37" t="n">
        <f aca="false">IF(Raw_Export!$A1187="","",B1187-WEEKDAY(B1187,2)+1)</f>
        <v>46272</v>
      </c>
    </row>
    <row r="1188" customFormat="false" ht="15" hidden="false" customHeight="false" outlineLevel="0" collapsed="false">
      <c r="A1188" s="36" t="str">
        <f aca="false">IF(Raw_Export!$A1188="","",TRIM(Raw_Export!A1188))</f>
        <v>TXN-101165</v>
      </c>
      <c r="B1188" s="37" t="n">
        <f aca="false">IF(Raw_Export!$A1188="","",IF(ISNUMBER(Raw_Export!B1188),Raw_Export!B1188,IF(MID(TRIM(Raw_Export!B1188),5,1)="-",DATE(LEFT(TRIM(Raw_Export!B1188),4),MID(TRIM(Raw_Export!B1188),6,2),RIGHT(TRIM(Raw_Export!B1188),2)),DATE(RIGHT(TRIM(Raw_Export!B1188),4),MATCH(MID(TRIM(Raw_Export!B1188),4,3),{"Jan","Feb","Mar","Apr","May","Jun","Jul","Aug","Sep","Oct","Nov","Dec"},0),LEFT(TRIM(Raw_Export!B1188),2)))))</f>
        <v>46272</v>
      </c>
      <c r="C1188" s="36" t="str">
        <f aca="false">IF(Raw_Export!$A1188="","",IFERROR(VLOOKUP(LOWER(TRIM(Raw_Export!C1188)),Maps!$A$2:$B$20,2,FALSE()),"UNMAPPED"))</f>
        <v>Kisumu</v>
      </c>
      <c r="D1188" s="36" t="str">
        <f aca="false">IF(Raw_Export!$A1188="","",IFERROR(VLOOKUP(LOWER(TRIM(Raw_Export!D1188)),Maps!$G$2:$I$80,2,FALSE()),"UNMAPPED"))</f>
        <v>Salt 500g</v>
      </c>
      <c r="E1188" s="36" t="str">
        <f aca="false">IF(Raw_Export!$A1188="","",IFERROR(VLOOKUP(LOWER(TRIM(Raw_Export!D1188)),Maps!$G$2:$I$80,3,FALSE()),"UNMAPPED"))</f>
        <v>Staples</v>
      </c>
      <c r="F1188" s="36" t="n">
        <f aca="false">IF(Raw_Export!$A1188="","",IFERROR(VALUE(TRIM(Raw_Export!E1188)),0))</f>
        <v>1</v>
      </c>
      <c r="G1188" s="38" t="n">
        <f aca="false">IF(Raw_Export!$A1188="","",IFERROR(VALUE(SUBSTITUTE(SUBSTITUTE(UPPER(TRIM(Raw_Export!F1188)),"KES",""),",","")),0))</f>
        <v>40</v>
      </c>
      <c r="H1188" s="38" t="n">
        <f aca="false">IF(Raw_Export!$A1188="","",F1188*G1188)</f>
        <v>40</v>
      </c>
      <c r="I1188" s="36" t="str">
        <f aca="false">IF(Raw_Export!$A1188="","",IFERROR(VLOOKUP(LOWER(TRIM(Raw_Export!H1188)),Maps!$D$2:$E$12,2,FALSE()),"Other"))</f>
        <v>M-Pesa</v>
      </c>
      <c r="J1188" s="36" t="str">
        <f aca="false">IF(Raw_Export!$A1188="","",IF(COUNTIF($A$2:A1188,A1188)&gt;1,"Duplicate",""))</f>
        <v/>
      </c>
      <c r="K1188" s="36" t="str">
        <f aca="false">IF(Raw_Export!$A1188="","",IF(J1188="Duplicate","Duplicate",IF(OR(C1188="UNMAPPED",D1188="UNMAPPED"),"Unmapped",IF(F1188=0,"Blank qty",IF(F1188&lt;0,"Return","OK")))))</f>
        <v>OK</v>
      </c>
      <c r="L1188" s="36" t="n">
        <f aca="false">IF(Raw_Export!$A1188="","",IF(OR(K1188="OK",K1188="Return"),1,0))</f>
        <v>1</v>
      </c>
      <c r="M1188" s="37" t="n">
        <f aca="false">IF(Raw_Export!$A1188="","",B1188-WEEKDAY(B1188,2)+1)</f>
        <v>46272</v>
      </c>
    </row>
    <row r="1189" customFormat="false" ht="15" hidden="false" customHeight="false" outlineLevel="0" collapsed="false">
      <c r="A1189" s="36" t="str">
        <f aca="false">IF(Raw_Export!$A1189="","",TRIM(Raw_Export!A1189))</f>
        <v>TXN-101166</v>
      </c>
      <c r="B1189" s="37" t="n">
        <f aca="false">IF(Raw_Export!$A1189="","",IF(ISNUMBER(Raw_Export!B1189),Raw_Export!B1189,IF(MID(TRIM(Raw_Export!B1189),5,1)="-",DATE(LEFT(TRIM(Raw_Export!B1189),4),MID(TRIM(Raw_Export!B1189),6,2),RIGHT(TRIM(Raw_Export!B1189),2)),DATE(RIGHT(TRIM(Raw_Export!B1189),4),MATCH(MID(TRIM(Raw_Export!B1189),4,3),{"Jan","Feb","Mar","Apr","May","Jun","Jul","Aug","Sep","Oct","Nov","Dec"},0),LEFT(TRIM(Raw_Export!B1189),2)))))</f>
        <v>46272</v>
      </c>
      <c r="C1189" s="36" t="str">
        <f aca="false">IF(Raw_Export!$A1189="","",IFERROR(VLOOKUP(LOWER(TRIM(Raw_Export!C1189)),Maps!$A$2:$B$20,2,FALSE()),"UNMAPPED"))</f>
        <v>Kisumu</v>
      </c>
      <c r="D1189" s="36" t="str">
        <f aca="false">IF(Raw_Export!$A1189="","",IFERROR(VLOOKUP(LOWER(TRIM(Raw_Export!D1189)),Maps!$G$2:$I$80,2,FALSE()),"UNMAPPED"))</f>
        <v>Eggs Tray 30</v>
      </c>
      <c r="E1189" s="36" t="str">
        <f aca="false">IF(Raw_Export!$A1189="","",IFERROR(VLOOKUP(LOWER(TRIM(Raw_Export!D1189)),Maps!$G$2:$I$80,3,FALSE()),"UNMAPPED"))</f>
        <v>Dairy &amp; Eggs</v>
      </c>
      <c r="F1189" s="36" t="n">
        <f aca="false">IF(Raw_Export!$A1189="","",IFERROR(VALUE(TRIM(Raw_Export!E1189)),0))</f>
        <v>1</v>
      </c>
      <c r="G1189" s="38" t="n">
        <f aca="false">IF(Raw_Export!$A1189="","",IFERROR(VALUE(SUBSTITUTE(SUBSTITUTE(UPPER(TRIM(Raw_Export!F1189)),"KES",""),",","")),0))</f>
        <v>450</v>
      </c>
      <c r="H1189" s="38" t="n">
        <f aca="false">IF(Raw_Export!$A1189="","",F1189*G1189)</f>
        <v>450</v>
      </c>
      <c r="I1189" s="36" t="str">
        <f aca="false">IF(Raw_Export!$A1189="","",IFERROR(VLOOKUP(LOWER(TRIM(Raw_Export!H1189)),Maps!$D$2:$E$12,2,FALSE()),"Other"))</f>
        <v>Cash</v>
      </c>
      <c r="J1189" s="36" t="str">
        <f aca="false">IF(Raw_Export!$A1189="","",IF(COUNTIF($A$2:A1189,A1189)&gt;1,"Duplicate",""))</f>
        <v/>
      </c>
      <c r="K1189" s="36" t="str">
        <f aca="false">IF(Raw_Export!$A1189="","",IF(J1189="Duplicate","Duplicate",IF(OR(C1189="UNMAPPED",D1189="UNMAPPED"),"Unmapped",IF(F1189=0,"Blank qty",IF(F1189&lt;0,"Return","OK")))))</f>
        <v>OK</v>
      </c>
      <c r="L1189" s="36" t="n">
        <f aca="false">IF(Raw_Export!$A1189="","",IF(OR(K1189="OK",K1189="Return"),1,0))</f>
        <v>1</v>
      </c>
      <c r="M1189" s="37" t="n">
        <f aca="false">IF(Raw_Export!$A1189="","",B1189-WEEKDAY(B1189,2)+1)</f>
        <v>46272</v>
      </c>
    </row>
    <row r="1190" customFormat="false" ht="15" hidden="false" customHeight="false" outlineLevel="0" collapsed="false">
      <c r="A1190" s="36" t="str">
        <f aca="false">IF(Raw_Export!$A1190="","",TRIM(Raw_Export!A1190))</f>
        <v>TXN-101167</v>
      </c>
      <c r="B1190" s="37" t="n">
        <f aca="false">IF(Raw_Export!$A1190="","",IF(ISNUMBER(Raw_Export!B1190),Raw_Export!B1190,IF(MID(TRIM(Raw_Export!B1190),5,1)="-",DATE(LEFT(TRIM(Raw_Export!B1190),4),MID(TRIM(Raw_Export!B1190),6,2),RIGHT(TRIM(Raw_Export!B1190),2)),DATE(RIGHT(TRIM(Raw_Export!B1190),4),MATCH(MID(TRIM(Raw_Export!B1190),4,3),{"Jan","Feb","Mar","Apr","May","Jun","Jul","Aug","Sep","Oct","Nov","Dec"},0),LEFT(TRIM(Raw_Export!B1190),2)))))</f>
        <v>46272</v>
      </c>
      <c r="C1190" s="36" t="str">
        <f aca="false">IF(Raw_Export!$A1190="","",IFERROR(VLOOKUP(LOWER(TRIM(Raw_Export!C1190)),Maps!$A$2:$B$20,2,FALSE()),"UNMAPPED"))</f>
        <v>Kisumu</v>
      </c>
      <c r="D1190" s="36" t="str">
        <f aca="false">IF(Raw_Export!$A1190="","",IFERROR(VLOOKUP(LOWER(TRIM(Raw_Export!D1190)),Maps!$G$2:$I$80,2,FALSE()),"UNMAPPED"))</f>
        <v>Cheddar 200g</v>
      </c>
      <c r="E1190" s="36" t="str">
        <f aca="false">IF(Raw_Export!$A1190="","",IFERROR(VLOOKUP(LOWER(TRIM(Raw_Export!D1190)),Maps!$G$2:$I$80,3,FALSE()),"UNMAPPED"))</f>
        <v>Dairy &amp; Eggs</v>
      </c>
      <c r="F1190" s="36" t="n">
        <f aca="false">IF(Raw_Export!$A1190="","",IFERROR(VALUE(TRIM(Raw_Export!E1190)),0))</f>
        <v>2</v>
      </c>
      <c r="G1190" s="38" t="n">
        <f aca="false">IF(Raw_Export!$A1190="","",IFERROR(VALUE(SUBSTITUTE(SUBSTITUTE(UPPER(TRIM(Raw_Export!F1190)),"KES",""),",","")),0))</f>
        <v>380</v>
      </c>
      <c r="H1190" s="38" t="n">
        <f aca="false">IF(Raw_Export!$A1190="","",F1190*G1190)</f>
        <v>760</v>
      </c>
      <c r="I1190" s="36" t="str">
        <f aca="false">IF(Raw_Export!$A1190="","",IFERROR(VLOOKUP(LOWER(TRIM(Raw_Export!H1190)),Maps!$D$2:$E$12,2,FALSE()),"Other"))</f>
        <v>Card</v>
      </c>
      <c r="J1190" s="36" t="str">
        <f aca="false">IF(Raw_Export!$A1190="","",IF(COUNTIF($A$2:A1190,A1190)&gt;1,"Duplicate",""))</f>
        <v/>
      </c>
      <c r="K1190" s="36" t="str">
        <f aca="false">IF(Raw_Export!$A1190="","",IF(J1190="Duplicate","Duplicate",IF(OR(C1190="UNMAPPED",D1190="UNMAPPED"),"Unmapped",IF(F1190=0,"Blank qty",IF(F1190&lt;0,"Return","OK")))))</f>
        <v>OK</v>
      </c>
      <c r="L1190" s="36" t="n">
        <f aca="false">IF(Raw_Export!$A1190="","",IF(OR(K1190="OK",K1190="Return"),1,0))</f>
        <v>1</v>
      </c>
      <c r="M1190" s="37" t="n">
        <f aca="false">IF(Raw_Export!$A1190="","",B1190-WEEKDAY(B1190,2)+1)</f>
        <v>46272</v>
      </c>
    </row>
    <row r="1191" customFormat="false" ht="15" hidden="false" customHeight="false" outlineLevel="0" collapsed="false">
      <c r="A1191" s="36" t="str">
        <f aca="false">IF(Raw_Export!$A1191="","",TRIM(Raw_Export!A1191))</f>
        <v>TXN-101168</v>
      </c>
      <c r="B1191" s="37" t="n">
        <f aca="false">IF(Raw_Export!$A1191="","",IF(ISNUMBER(Raw_Export!B1191),Raw_Export!B1191,IF(MID(TRIM(Raw_Export!B1191),5,1)="-",DATE(LEFT(TRIM(Raw_Export!B1191),4),MID(TRIM(Raw_Export!B1191),6,2),RIGHT(TRIM(Raw_Export!B1191),2)),DATE(RIGHT(TRIM(Raw_Export!B1191),4),MATCH(MID(TRIM(Raw_Export!B1191),4,3),{"Jan","Feb","Mar","Apr","May","Jun","Jul","Aug","Sep","Oct","Nov","Dec"},0),LEFT(TRIM(Raw_Export!B1191),2)))))</f>
        <v>46272</v>
      </c>
      <c r="C1191" s="36" t="str">
        <f aca="false">IF(Raw_Export!$A1191="","",IFERROR(VLOOKUP(LOWER(TRIM(Raw_Export!C1191)),Maps!$A$2:$B$20,2,FALSE()),"UNMAPPED"))</f>
        <v>Kisumu</v>
      </c>
      <c r="D1191" s="36" t="str">
        <f aca="false">IF(Raw_Export!$A1191="","",IFERROR(VLOOKUP(LOWER(TRIM(Raw_Export!D1191)),Maps!$G$2:$I$80,2,FALSE()),"UNMAPPED"))</f>
        <v>Cooking Oil 1L</v>
      </c>
      <c r="E1191" s="36" t="str">
        <f aca="false">IF(Raw_Export!$A1191="","",IFERROR(VLOOKUP(LOWER(TRIM(Raw_Export!D1191)),Maps!$G$2:$I$80,3,FALSE()),"UNMAPPED"))</f>
        <v>Staples</v>
      </c>
      <c r="F1191" s="36" t="n">
        <f aca="false">IF(Raw_Export!$A1191="","",IFERROR(VALUE(TRIM(Raw_Export!E1191)),0))</f>
        <v>3</v>
      </c>
      <c r="G1191" s="38" t="n">
        <f aca="false">IF(Raw_Export!$A1191="","",IFERROR(VALUE(SUBSTITUTE(SUBSTITUTE(UPPER(TRIM(Raw_Export!F1191)),"KES",""),",","")),0))</f>
        <v>330</v>
      </c>
      <c r="H1191" s="38" t="n">
        <f aca="false">IF(Raw_Export!$A1191="","",F1191*G1191)</f>
        <v>990</v>
      </c>
      <c r="I1191" s="36" t="str">
        <f aca="false">IF(Raw_Export!$A1191="","",IFERROR(VLOOKUP(LOWER(TRIM(Raw_Export!H1191)),Maps!$D$2:$E$12,2,FALSE()),"Other"))</f>
        <v>M-Pesa</v>
      </c>
      <c r="J1191" s="36" t="str">
        <f aca="false">IF(Raw_Export!$A1191="","",IF(COUNTIF($A$2:A1191,A1191)&gt;1,"Duplicate",""))</f>
        <v/>
      </c>
      <c r="K1191" s="36" t="str">
        <f aca="false">IF(Raw_Export!$A1191="","",IF(J1191="Duplicate","Duplicate",IF(OR(C1191="UNMAPPED",D1191="UNMAPPED"),"Unmapped",IF(F1191=0,"Blank qty",IF(F1191&lt;0,"Return","OK")))))</f>
        <v>OK</v>
      </c>
      <c r="L1191" s="36" t="n">
        <f aca="false">IF(Raw_Export!$A1191="","",IF(OR(K1191="OK",K1191="Return"),1,0))</f>
        <v>1</v>
      </c>
      <c r="M1191" s="37" t="n">
        <f aca="false">IF(Raw_Export!$A1191="","",B1191-WEEKDAY(B1191,2)+1)</f>
        <v>46272</v>
      </c>
    </row>
    <row r="1192" customFormat="false" ht="15" hidden="false" customHeight="false" outlineLevel="0" collapsed="false">
      <c r="A1192" s="36" t="str">
        <f aca="false">IF(Raw_Export!$A1192="","",TRIM(Raw_Export!A1192))</f>
        <v>TXN-101169</v>
      </c>
      <c r="B1192" s="37" t="n">
        <f aca="false">IF(Raw_Export!$A1192="","",IF(ISNUMBER(Raw_Export!B1192),Raw_Export!B1192,IF(MID(TRIM(Raw_Export!B1192),5,1)="-",DATE(LEFT(TRIM(Raw_Export!B1192),4),MID(TRIM(Raw_Export!B1192),6,2),RIGHT(TRIM(Raw_Export!B1192),2)),DATE(RIGHT(TRIM(Raw_Export!B1192),4),MATCH(MID(TRIM(Raw_Export!B1192),4,3),{"Jan","Feb","Mar","Apr","May","Jun","Jul","Aug","Sep","Oct","Nov","Dec"},0),LEFT(TRIM(Raw_Export!B1192),2)))))</f>
        <v>46272</v>
      </c>
      <c r="C1192" s="36" t="str">
        <f aca="false">IF(Raw_Export!$A1192="","",IFERROR(VLOOKUP(LOWER(TRIM(Raw_Export!C1192)),Maps!$A$2:$B$20,2,FALSE()),"UNMAPPED"))</f>
        <v>Kisumu</v>
      </c>
      <c r="D1192" s="36" t="str">
        <f aca="false">IF(Raw_Export!$A1192="","",IFERROR(VLOOKUP(LOWER(TRIM(Raw_Export!D1192)),Maps!$G$2:$I$80,2,FALSE()),"UNMAPPED"))</f>
        <v>Soda 500ml</v>
      </c>
      <c r="E1192" s="36" t="str">
        <f aca="false">IF(Raw_Export!$A1192="","",IFERROR(VLOOKUP(LOWER(TRIM(Raw_Export!D1192)),Maps!$G$2:$I$80,3,FALSE()),"UNMAPPED"))</f>
        <v>Beverages</v>
      </c>
      <c r="F1192" s="36" t="n">
        <f aca="false">IF(Raw_Export!$A1192="","",IFERROR(VALUE(TRIM(Raw_Export!E1192)),0))</f>
        <v>6</v>
      </c>
      <c r="G1192" s="38" t="n">
        <f aca="false">IF(Raw_Export!$A1192="","",IFERROR(VALUE(SUBSTITUTE(SUBSTITUTE(UPPER(TRIM(Raw_Export!F1192)),"KES",""),",","")),0))</f>
        <v>60</v>
      </c>
      <c r="H1192" s="38" t="n">
        <f aca="false">IF(Raw_Export!$A1192="","",F1192*G1192)</f>
        <v>360</v>
      </c>
      <c r="I1192" s="36" t="str">
        <f aca="false">IF(Raw_Export!$A1192="","",IFERROR(VLOOKUP(LOWER(TRIM(Raw_Export!H1192)),Maps!$D$2:$E$12,2,FALSE()),"Other"))</f>
        <v>M-Pesa</v>
      </c>
      <c r="J1192" s="36" t="str">
        <f aca="false">IF(Raw_Export!$A1192="","",IF(COUNTIF($A$2:A1192,A1192)&gt;1,"Duplicate",""))</f>
        <v/>
      </c>
      <c r="K1192" s="36" t="str">
        <f aca="false">IF(Raw_Export!$A1192="","",IF(J1192="Duplicate","Duplicate",IF(OR(C1192="UNMAPPED",D1192="UNMAPPED"),"Unmapped",IF(F1192=0,"Blank qty",IF(F1192&lt;0,"Return","OK")))))</f>
        <v>OK</v>
      </c>
      <c r="L1192" s="36" t="n">
        <f aca="false">IF(Raw_Export!$A1192="","",IF(OR(K1192="OK",K1192="Return"),1,0))</f>
        <v>1</v>
      </c>
      <c r="M1192" s="37" t="n">
        <f aca="false">IF(Raw_Export!$A1192="","",B1192-WEEKDAY(B1192,2)+1)</f>
        <v>46272</v>
      </c>
    </row>
    <row r="1193" customFormat="false" ht="15" hidden="false" customHeight="false" outlineLevel="0" collapsed="false">
      <c r="A1193" s="36" t="str">
        <f aca="false">IF(Raw_Export!$A1193="","",TRIM(Raw_Export!A1193))</f>
        <v>TXN-101170</v>
      </c>
      <c r="B1193" s="37" t="n">
        <f aca="false">IF(Raw_Export!$A1193="","",IF(ISNUMBER(Raw_Export!B1193),Raw_Export!B1193,IF(MID(TRIM(Raw_Export!B1193),5,1)="-",DATE(LEFT(TRIM(Raw_Export!B1193),4),MID(TRIM(Raw_Export!B1193),6,2),RIGHT(TRIM(Raw_Export!B1193),2)),DATE(RIGHT(TRIM(Raw_Export!B1193),4),MATCH(MID(TRIM(Raw_Export!B1193),4,3),{"Jan","Feb","Mar","Apr","May","Jun","Jul","Aug","Sep","Oct","Nov","Dec"},0),LEFT(TRIM(Raw_Export!B1193),2)))))</f>
        <v>46272</v>
      </c>
      <c r="C1193" s="36" t="str">
        <f aca="false">IF(Raw_Export!$A1193="","",IFERROR(VLOOKUP(LOWER(TRIM(Raw_Export!C1193)),Maps!$A$2:$B$20,2,FALSE()),"UNMAPPED"))</f>
        <v>Kisumu</v>
      </c>
      <c r="D1193" s="36" t="str">
        <f aca="false">IF(Raw_Export!$A1193="","",IFERROR(VLOOKUP(LOWER(TRIM(Raw_Export!D1193)),Maps!$G$2:$I$80,2,FALSE()),"UNMAPPED"))</f>
        <v>Coffee 100g</v>
      </c>
      <c r="E1193" s="36" t="str">
        <f aca="false">IF(Raw_Export!$A1193="","",IFERROR(VLOOKUP(LOWER(TRIM(Raw_Export!D1193)),Maps!$G$2:$I$80,3,FALSE()),"UNMAPPED"))</f>
        <v>Beverages</v>
      </c>
      <c r="F1193" s="36" t="n">
        <f aca="false">IF(Raw_Export!$A1193="","",IFERROR(VALUE(TRIM(Raw_Export!E1193)),0))</f>
        <v>6</v>
      </c>
      <c r="G1193" s="38" t="n">
        <f aca="false">IF(Raw_Export!$A1193="","",IFERROR(VALUE(SUBSTITUTE(SUBSTITUTE(UPPER(TRIM(Raw_Export!F1193)),"KES",""),",","")),0))</f>
        <v>360</v>
      </c>
      <c r="H1193" s="38" t="n">
        <f aca="false">IF(Raw_Export!$A1193="","",F1193*G1193)</f>
        <v>2160</v>
      </c>
      <c r="I1193" s="36" t="str">
        <f aca="false">IF(Raw_Export!$A1193="","",IFERROR(VLOOKUP(LOWER(TRIM(Raw_Export!H1193)),Maps!$D$2:$E$12,2,FALSE()),"Other"))</f>
        <v>M-Pesa</v>
      </c>
      <c r="J1193" s="36" t="str">
        <f aca="false">IF(Raw_Export!$A1193="","",IF(COUNTIF($A$2:A1193,A1193)&gt;1,"Duplicate",""))</f>
        <v/>
      </c>
      <c r="K1193" s="36" t="str">
        <f aca="false">IF(Raw_Export!$A1193="","",IF(J1193="Duplicate","Duplicate",IF(OR(C1193="UNMAPPED",D1193="UNMAPPED"),"Unmapped",IF(F1193=0,"Blank qty",IF(F1193&lt;0,"Return","OK")))))</f>
        <v>OK</v>
      </c>
      <c r="L1193" s="36" t="n">
        <f aca="false">IF(Raw_Export!$A1193="","",IF(OR(K1193="OK",K1193="Return"),1,0))</f>
        <v>1</v>
      </c>
      <c r="M1193" s="37" t="n">
        <f aca="false">IF(Raw_Export!$A1193="","",B1193-WEEKDAY(B1193,2)+1)</f>
        <v>46272</v>
      </c>
    </row>
    <row r="1194" customFormat="false" ht="15" hidden="false" customHeight="false" outlineLevel="0" collapsed="false">
      <c r="A1194" s="36" t="str">
        <f aca="false">IF(Raw_Export!$A1194="","",TRIM(Raw_Export!A1194))</f>
        <v>TXN-101171</v>
      </c>
      <c r="B1194" s="37" t="n">
        <f aca="false">IF(Raw_Export!$A1194="","",IF(ISNUMBER(Raw_Export!B1194),Raw_Export!B1194,IF(MID(TRIM(Raw_Export!B1194),5,1)="-",DATE(LEFT(TRIM(Raw_Export!B1194),4),MID(TRIM(Raw_Export!B1194),6,2),RIGHT(TRIM(Raw_Export!B1194),2)),DATE(RIGHT(TRIM(Raw_Export!B1194),4),MATCH(MID(TRIM(Raw_Export!B1194),4,3),{"Jan","Feb","Mar","Apr","May","Jun","Jul","Aug","Sep","Oct","Nov","Dec"},0),LEFT(TRIM(Raw_Export!B1194),2)))))</f>
        <v>46272</v>
      </c>
      <c r="C1194" s="36" t="str">
        <f aca="false">IF(Raw_Export!$A1194="","",IFERROR(VLOOKUP(LOWER(TRIM(Raw_Export!C1194)),Maps!$A$2:$B$20,2,FALSE()),"UNMAPPED"))</f>
        <v>Kisumu</v>
      </c>
      <c r="D1194" s="36" t="str">
        <f aca="false">IF(Raw_Export!$A1194="","",IFERROR(VLOOKUP(LOWER(TRIM(Raw_Export!D1194)),Maps!$G$2:$I$80,2,FALSE()),"UNMAPPED"))</f>
        <v>Matches 10pk</v>
      </c>
      <c r="E1194" s="36" t="str">
        <f aca="false">IF(Raw_Export!$A1194="","",IFERROR(VLOOKUP(LOWER(TRIM(Raw_Export!D1194)),Maps!$G$2:$I$80,3,FALSE()),"UNMAPPED"))</f>
        <v>Household</v>
      </c>
      <c r="F1194" s="36" t="n">
        <f aca="false">IF(Raw_Export!$A1194="","",IFERROR(VALUE(TRIM(Raw_Export!E1194)),0))</f>
        <v>3</v>
      </c>
      <c r="G1194" s="38" t="n">
        <f aca="false">IF(Raw_Export!$A1194="","",IFERROR(VALUE(SUBSTITUTE(SUBSTITUTE(UPPER(TRIM(Raw_Export!F1194)),"KES",""),",","")),0))</f>
        <v>50</v>
      </c>
      <c r="H1194" s="38" t="n">
        <f aca="false">IF(Raw_Export!$A1194="","",F1194*G1194)</f>
        <v>150</v>
      </c>
      <c r="I1194" s="36" t="str">
        <f aca="false">IF(Raw_Export!$A1194="","",IFERROR(VLOOKUP(LOWER(TRIM(Raw_Export!H1194)),Maps!$D$2:$E$12,2,FALSE()),"Other"))</f>
        <v>M-Pesa</v>
      </c>
      <c r="J1194" s="36" t="str">
        <f aca="false">IF(Raw_Export!$A1194="","",IF(COUNTIF($A$2:A1194,A1194)&gt;1,"Duplicate",""))</f>
        <v/>
      </c>
      <c r="K1194" s="36" t="str">
        <f aca="false">IF(Raw_Export!$A1194="","",IF(J1194="Duplicate","Duplicate",IF(OR(C1194="UNMAPPED",D1194="UNMAPPED"),"Unmapped",IF(F1194=0,"Blank qty",IF(F1194&lt;0,"Return","OK")))))</f>
        <v>OK</v>
      </c>
      <c r="L1194" s="36" t="n">
        <f aca="false">IF(Raw_Export!$A1194="","",IF(OR(K1194="OK",K1194="Return"),1,0))</f>
        <v>1</v>
      </c>
      <c r="M1194" s="37" t="n">
        <f aca="false">IF(Raw_Export!$A1194="","",B1194-WEEKDAY(B1194,2)+1)</f>
        <v>46272</v>
      </c>
    </row>
    <row r="1195" customFormat="false" ht="15" hidden="false" customHeight="false" outlineLevel="0" collapsed="false">
      <c r="A1195" s="36" t="str">
        <f aca="false">IF(Raw_Export!$A1195="","",TRIM(Raw_Export!A1195))</f>
        <v>TXN-101172</v>
      </c>
      <c r="B1195" s="37" t="n">
        <f aca="false">IF(Raw_Export!$A1195="","",IF(ISNUMBER(Raw_Export!B1195),Raw_Export!B1195,IF(MID(TRIM(Raw_Export!B1195),5,1)="-",DATE(LEFT(TRIM(Raw_Export!B1195),4),MID(TRIM(Raw_Export!B1195),6,2),RIGHT(TRIM(Raw_Export!B1195),2)),DATE(RIGHT(TRIM(Raw_Export!B1195),4),MATCH(MID(TRIM(Raw_Export!B1195),4,3),{"Jan","Feb","Mar","Apr","May","Jun","Jul","Aug","Sep","Oct","Nov","Dec"},0),LEFT(TRIM(Raw_Export!B1195),2)))))</f>
        <v>46272</v>
      </c>
      <c r="C1195" s="36" t="str">
        <f aca="false">IF(Raw_Export!$A1195="","",IFERROR(VLOOKUP(LOWER(TRIM(Raw_Export!C1195)),Maps!$A$2:$B$20,2,FALSE()),"UNMAPPED"))</f>
        <v>Kisumu</v>
      </c>
      <c r="D1195" s="36" t="str">
        <f aca="false">IF(Raw_Export!$A1195="","",IFERROR(VLOOKUP(LOWER(TRIM(Raw_Export!D1195)),Maps!$G$2:$I$80,2,FALSE()),"UNMAPPED"))</f>
        <v>Eggs Tray 30</v>
      </c>
      <c r="E1195" s="36" t="str">
        <f aca="false">IF(Raw_Export!$A1195="","",IFERROR(VLOOKUP(LOWER(TRIM(Raw_Export!D1195)),Maps!$G$2:$I$80,3,FALSE()),"UNMAPPED"))</f>
        <v>Dairy &amp; Eggs</v>
      </c>
      <c r="F1195" s="36" t="n">
        <f aca="false">IF(Raw_Export!$A1195="","",IFERROR(VALUE(TRIM(Raw_Export!E1195)),0))</f>
        <v>1</v>
      </c>
      <c r="G1195" s="38" t="n">
        <f aca="false">IF(Raw_Export!$A1195="","",IFERROR(VALUE(SUBSTITUTE(SUBSTITUTE(UPPER(TRIM(Raw_Export!F1195)),"KES",""),",","")),0))</f>
        <v>450</v>
      </c>
      <c r="H1195" s="38" t="n">
        <f aca="false">IF(Raw_Export!$A1195="","",F1195*G1195)</f>
        <v>450</v>
      </c>
      <c r="I1195" s="36" t="str">
        <f aca="false">IF(Raw_Export!$A1195="","",IFERROR(VLOOKUP(LOWER(TRIM(Raw_Export!H1195)),Maps!$D$2:$E$12,2,FALSE()),"Other"))</f>
        <v>Cash</v>
      </c>
      <c r="J1195" s="36" t="str">
        <f aca="false">IF(Raw_Export!$A1195="","",IF(COUNTIF($A$2:A1195,A1195)&gt;1,"Duplicate",""))</f>
        <v/>
      </c>
      <c r="K1195" s="36" t="str">
        <f aca="false">IF(Raw_Export!$A1195="","",IF(J1195="Duplicate","Duplicate",IF(OR(C1195="UNMAPPED",D1195="UNMAPPED"),"Unmapped",IF(F1195=0,"Blank qty",IF(F1195&lt;0,"Return","OK")))))</f>
        <v>OK</v>
      </c>
      <c r="L1195" s="36" t="n">
        <f aca="false">IF(Raw_Export!$A1195="","",IF(OR(K1195="OK",K1195="Return"),1,0))</f>
        <v>1</v>
      </c>
      <c r="M1195" s="37" t="n">
        <f aca="false">IF(Raw_Export!$A1195="","",B1195-WEEKDAY(B1195,2)+1)</f>
        <v>46272</v>
      </c>
    </row>
    <row r="1196" customFormat="false" ht="15" hidden="false" customHeight="false" outlineLevel="0" collapsed="false">
      <c r="A1196" s="36" t="str">
        <f aca="false">IF(Raw_Export!$A1196="","",TRIM(Raw_Export!A1196))</f>
        <v>TXN-101173</v>
      </c>
      <c r="B1196" s="37" t="n">
        <f aca="false">IF(Raw_Export!$A1196="","",IF(ISNUMBER(Raw_Export!B1196),Raw_Export!B1196,IF(MID(TRIM(Raw_Export!B1196),5,1)="-",DATE(LEFT(TRIM(Raw_Export!B1196),4),MID(TRIM(Raw_Export!B1196),6,2),RIGHT(TRIM(Raw_Export!B1196),2)),DATE(RIGHT(TRIM(Raw_Export!B1196),4),MATCH(MID(TRIM(Raw_Export!B1196),4,3),{"Jan","Feb","Mar","Apr","May","Jun","Jul","Aug","Sep","Oct","Nov","Dec"},0),LEFT(TRIM(Raw_Export!B1196),2)))))</f>
        <v>46272</v>
      </c>
      <c r="C1196" s="36" t="str">
        <f aca="false">IF(Raw_Export!$A1196="","",IFERROR(VLOOKUP(LOWER(TRIM(Raw_Export!C1196)),Maps!$A$2:$B$20,2,FALSE()),"UNMAPPED"))</f>
        <v>Kisumu</v>
      </c>
      <c r="D1196" s="36" t="str">
        <f aca="false">IF(Raw_Export!$A1196="","",IFERROR(VLOOKUP(LOWER(TRIM(Raw_Export!D1196)),Maps!$G$2:$I$80,2,FALSE()),"UNMAPPED"))</f>
        <v>Sanitary Pads 8pk</v>
      </c>
      <c r="E1196" s="36" t="str">
        <f aca="false">IF(Raw_Export!$A1196="","",IFERROR(VLOOKUP(LOWER(TRIM(Raw_Export!D1196)),Maps!$G$2:$I$80,3,FALSE()),"UNMAPPED"))</f>
        <v>Personal Care</v>
      </c>
      <c r="F1196" s="36" t="n">
        <f aca="false">IF(Raw_Export!$A1196="","",IFERROR(VALUE(TRIM(Raw_Export!E1196)),0))</f>
        <v>2</v>
      </c>
      <c r="G1196" s="38" t="n">
        <f aca="false">IF(Raw_Export!$A1196="","",IFERROR(VALUE(SUBSTITUTE(SUBSTITUTE(UPPER(TRIM(Raw_Export!F1196)),"KES",""),",","")),0))</f>
        <v>117</v>
      </c>
      <c r="H1196" s="38" t="n">
        <f aca="false">IF(Raw_Export!$A1196="","",F1196*G1196)</f>
        <v>234</v>
      </c>
      <c r="I1196" s="36" t="str">
        <f aca="false">IF(Raw_Export!$A1196="","",IFERROR(VLOOKUP(LOWER(TRIM(Raw_Export!H1196)),Maps!$D$2:$E$12,2,FALSE()),"Other"))</f>
        <v>Card</v>
      </c>
      <c r="J1196" s="36" t="str">
        <f aca="false">IF(Raw_Export!$A1196="","",IF(COUNTIF($A$2:A1196,A1196)&gt;1,"Duplicate",""))</f>
        <v/>
      </c>
      <c r="K1196" s="36" t="str">
        <f aca="false">IF(Raw_Export!$A1196="","",IF(J1196="Duplicate","Duplicate",IF(OR(C1196="UNMAPPED",D1196="UNMAPPED"),"Unmapped",IF(F1196=0,"Blank qty",IF(F1196&lt;0,"Return","OK")))))</f>
        <v>OK</v>
      </c>
      <c r="L1196" s="36" t="n">
        <f aca="false">IF(Raw_Export!$A1196="","",IF(OR(K1196="OK",K1196="Return"),1,0))</f>
        <v>1</v>
      </c>
      <c r="M1196" s="37" t="n">
        <f aca="false">IF(Raw_Export!$A1196="","",B1196-WEEKDAY(B1196,2)+1)</f>
        <v>46272</v>
      </c>
    </row>
    <row r="1197" customFormat="false" ht="15" hidden="false" customHeight="false" outlineLevel="0" collapsed="false">
      <c r="A1197" s="36" t="str">
        <f aca="false">IF(Raw_Export!$A1197="","",TRIM(Raw_Export!A1197))</f>
        <v>TXN-101174</v>
      </c>
      <c r="B1197" s="37" t="n">
        <f aca="false">IF(Raw_Export!$A1197="","",IF(ISNUMBER(Raw_Export!B1197),Raw_Export!B1197,IF(MID(TRIM(Raw_Export!B1197),5,1)="-",DATE(LEFT(TRIM(Raw_Export!B1197),4),MID(TRIM(Raw_Export!B1197),6,2),RIGHT(TRIM(Raw_Export!B1197),2)),DATE(RIGHT(TRIM(Raw_Export!B1197),4),MATCH(MID(TRIM(Raw_Export!B1197),4,3),{"Jan","Feb","Mar","Apr","May","Jun","Jul","Aug","Sep","Oct","Nov","Dec"},0),LEFT(TRIM(Raw_Export!B1197),2)))))</f>
        <v>46272</v>
      </c>
      <c r="C1197" s="36" t="str">
        <f aca="false">IF(Raw_Export!$A1197="","",IFERROR(VLOOKUP(LOWER(TRIM(Raw_Export!C1197)),Maps!$A$2:$B$20,2,FALSE()),"UNMAPPED"))</f>
        <v>Kisumu</v>
      </c>
      <c r="D1197" s="36" t="str">
        <f aca="false">IF(Raw_Export!$A1197="","",IFERROR(VLOOKUP(LOWER(TRIM(Raw_Export!D1197)),Maps!$G$2:$I$80,2,FALSE()),"UNMAPPED"))</f>
        <v>Eggs Tray 30</v>
      </c>
      <c r="E1197" s="36" t="str">
        <f aca="false">IF(Raw_Export!$A1197="","",IFERROR(VLOOKUP(LOWER(TRIM(Raw_Export!D1197)),Maps!$G$2:$I$80,3,FALSE()),"UNMAPPED"))</f>
        <v>Dairy &amp; Eggs</v>
      </c>
      <c r="F1197" s="36" t="n">
        <f aca="false">IF(Raw_Export!$A1197="","",IFERROR(VALUE(TRIM(Raw_Export!E1197)),0))</f>
        <v>2</v>
      </c>
      <c r="G1197" s="38" t="n">
        <f aca="false">IF(Raw_Export!$A1197="","",IFERROR(VALUE(SUBSTITUTE(SUBSTITUTE(UPPER(TRIM(Raw_Export!F1197)),"KES",""),",","")),0))</f>
        <v>450</v>
      </c>
      <c r="H1197" s="38" t="n">
        <f aca="false">IF(Raw_Export!$A1197="","",F1197*G1197)</f>
        <v>900</v>
      </c>
      <c r="I1197" s="36" t="str">
        <f aca="false">IF(Raw_Export!$A1197="","",IFERROR(VLOOKUP(LOWER(TRIM(Raw_Export!H1197)),Maps!$D$2:$E$12,2,FALSE()),"Other"))</f>
        <v>Cash</v>
      </c>
      <c r="J1197" s="36" t="str">
        <f aca="false">IF(Raw_Export!$A1197="","",IF(COUNTIF($A$2:A1197,A1197)&gt;1,"Duplicate",""))</f>
        <v/>
      </c>
      <c r="K1197" s="36" t="str">
        <f aca="false">IF(Raw_Export!$A1197="","",IF(J1197="Duplicate","Duplicate",IF(OR(C1197="UNMAPPED",D1197="UNMAPPED"),"Unmapped",IF(F1197=0,"Blank qty",IF(F1197&lt;0,"Return","OK")))))</f>
        <v>OK</v>
      </c>
      <c r="L1197" s="36" t="n">
        <f aca="false">IF(Raw_Export!$A1197="","",IF(OR(K1197="OK",K1197="Return"),1,0))</f>
        <v>1</v>
      </c>
      <c r="M1197" s="37" t="n">
        <f aca="false">IF(Raw_Export!$A1197="","",B1197-WEEKDAY(B1197,2)+1)</f>
        <v>46272</v>
      </c>
    </row>
    <row r="1198" customFormat="false" ht="15" hidden="false" customHeight="false" outlineLevel="0" collapsed="false">
      <c r="A1198" s="36" t="str">
        <f aca="false">IF(Raw_Export!$A1198="","",TRIM(Raw_Export!A1198))</f>
        <v>TXN-101175</v>
      </c>
      <c r="B1198" s="37" t="n">
        <f aca="false">IF(Raw_Export!$A1198="","",IF(ISNUMBER(Raw_Export!B1198),Raw_Export!B1198,IF(MID(TRIM(Raw_Export!B1198),5,1)="-",DATE(LEFT(TRIM(Raw_Export!B1198),4),MID(TRIM(Raw_Export!B1198),6,2),RIGHT(TRIM(Raw_Export!B1198),2)),DATE(RIGHT(TRIM(Raw_Export!B1198),4),MATCH(MID(TRIM(Raw_Export!B1198),4,3),{"Jan","Feb","Mar","Apr","May","Jun","Jul","Aug","Sep","Oct","Nov","Dec"},0),LEFT(TRIM(Raw_Export!B1198),2)))))</f>
        <v>46272</v>
      </c>
      <c r="C1198" s="36" t="str">
        <f aca="false">IF(Raw_Export!$A1198="","",IFERROR(VLOOKUP(LOWER(TRIM(Raw_Export!C1198)),Maps!$A$2:$B$20,2,FALSE()),"UNMAPPED"))</f>
        <v>Kisumu</v>
      </c>
      <c r="D1198" s="36" t="str">
        <f aca="false">IF(Raw_Export!$A1198="","",IFERROR(VLOOKUP(LOWER(TRIM(Raw_Export!D1198)),Maps!$G$2:$I$80,2,FALSE()),"UNMAPPED"))</f>
        <v>Matches 10pk</v>
      </c>
      <c r="E1198" s="36" t="str">
        <f aca="false">IF(Raw_Export!$A1198="","",IFERROR(VLOOKUP(LOWER(TRIM(Raw_Export!D1198)),Maps!$G$2:$I$80,3,FALSE()),"UNMAPPED"))</f>
        <v>Household</v>
      </c>
      <c r="F1198" s="36" t="n">
        <f aca="false">IF(Raw_Export!$A1198="","",IFERROR(VALUE(TRIM(Raw_Export!E1198)),0))</f>
        <v>1</v>
      </c>
      <c r="G1198" s="38" t="n">
        <f aca="false">IF(Raw_Export!$A1198="","",IFERROR(VALUE(SUBSTITUTE(SUBSTITUTE(UPPER(TRIM(Raw_Export!F1198)),"KES",""),",","")),0))</f>
        <v>50</v>
      </c>
      <c r="H1198" s="38" t="n">
        <f aca="false">IF(Raw_Export!$A1198="","",F1198*G1198)</f>
        <v>50</v>
      </c>
      <c r="I1198" s="36" t="str">
        <f aca="false">IF(Raw_Export!$A1198="","",IFERROR(VLOOKUP(LOWER(TRIM(Raw_Export!H1198)),Maps!$D$2:$E$12,2,FALSE()),"Other"))</f>
        <v>M-Pesa</v>
      </c>
      <c r="J1198" s="36" t="str">
        <f aca="false">IF(Raw_Export!$A1198="","",IF(COUNTIF($A$2:A1198,A1198)&gt;1,"Duplicate",""))</f>
        <v/>
      </c>
      <c r="K1198" s="36" t="str">
        <f aca="false">IF(Raw_Export!$A1198="","",IF(J1198="Duplicate","Duplicate",IF(OR(C1198="UNMAPPED",D1198="UNMAPPED"),"Unmapped",IF(F1198=0,"Blank qty",IF(F1198&lt;0,"Return","OK")))))</f>
        <v>OK</v>
      </c>
      <c r="L1198" s="36" t="n">
        <f aca="false">IF(Raw_Export!$A1198="","",IF(OR(K1198="OK",K1198="Return"),1,0))</f>
        <v>1</v>
      </c>
      <c r="M1198" s="37" t="n">
        <f aca="false">IF(Raw_Export!$A1198="","",B1198-WEEKDAY(B1198,2)+1)</f>
        <v>46272</v>
      </c>
    </row>
    <row r="1199" customFormat="false" ht="15" hidden="false" customHeight="false" outlineLevel="0" collapsed="false">
      <c r="A1199" s="36" t="str">
        <f aca="false">IF(Raw_Export!$A1199="","",TRIM(Raw_Export!A1199))</f>
        <v>TXN-101176</v>
      </c>
      <c r="B1199" s="37" t="n">
        <f aca="false">IF(Raw_Export!$A1199="","",IF(ISNUMBER(Raw_Export!B1199),Raw_Export!B1199,IF(MID(TRIM(Raw_Export!B1199),5,1)="-",DATE(LEFT(TRIM(Raw_Export!B1199),4),MID(TRIM(Raw_Export!B1199),6,2),RIGHT(TRIM(Raw_Export!B1199),2)),DATE(RIGHT(TRIM(Raw_Export!B1199),4),MATCH(MID(TRIM(Raw_Export!B1199),4,3),{"Jan","Feb","Mar","Apr","May","Jun","Jul","Aug","Sep","Oct","Nov","Dec"},0),LEFT(TRIM(Raw_Export!B1199),2)))))</f>
        <v>46272</v>
      </c>
      <c r="C1199" s="36" t="str">
        <f aca="false">IF(Raw_Export!$A1199="","",IFERROR(VLOOKUP(LOWER(TRIM(Raw_Export!C1199)),Maps!$A$2:$B$20,2,FALSE()),"UNMAPPED"))</f>
        <v>Kisumu</v>
      </c>
      <c r="D1199" s="36" t="str">
        <f aca="false">IF(Raw_Export!$A1199="","",IFERROR(VLOOKUP(LOWER(TRIM(Raw_Export!D1199)),Maps!$G$2:$I$80,2,FALSE()),"UNMAPPED"))</f>
        <v>Bottled Water 1.5L</v>
      </c>
      <c r="E1199" s="36" t="str">
        <f aca="false">IF(Raw_Export!$A1199="","",IFERROR(VLOOKUP(LOWER(TRIM(Raw_Export!D1199)),Maps!$G$2:$I$80,3,FALSE()),"UNMAPPED"))</f>
        <v>Beverages</v>
      </c>
      <c r="F1199" s="36" t="n">
        <f aca="false">IF(Raw_Export!$A1199="","",IFERROR(VALUE(TRIM(Raw_Export!E1199)),0))</f>
        <v>1</v>
      </c>
      <c r="G1199" s="38" t="n">
        <f aca="false">IF(Raw_Export!$A1199="","",IFERROR(VALUE(SUBSTITUTE(SUBSTITUTE(UPPER(TRIM(Raw_Export!F1199)),"KES",""),",","")),0))</f>
        <v>90</v>
      </c>
      <c r="H1199" s="38" t="n">
        <f aca="false">IF(Raw_Export!$A1199="","",F1199*G1199)</f>
        <v>90</v>
      </c>
      <c r="I1199" s="36" t="str">
        <f aca="false">IF(Raw_Export!$A1199="","",IFERROR(VLOOKUP(LOWER(TRIM(Raw_Export!H1199)),Maps!$D$2:$E$12,2,FALSE()),"Other"))</f>
        <v>Cash</v>
      </c>
      <c r="J1199" s="36" t="str">
        <f aca="false">IF(Raw_Export!$A1199="","",IF(COUNTIF($A$2:A1199,A1199)&gt;1,"Duplicate",""))</f>
        <v/>
      </c>
      <c r="K1199" s="36" t="str">
        <f aca="false">IF(Raw_Export!$A1199="","",IF(J1199="Duplicate","Duplicate",IF(OR(C1199="UNMAPPED",D1199="UNMAPPED"),"Unmapped",IF(F1199=0,"Blank qty",IF(F1199&lt;0,"Return","OK")))))</f>
        <v>OK</v>
      </c>
      <c r="L1199" s="36" t="n">
        <f aca="false">IF(Raw_Export!$A1199="","",IF(OR(K1199="OK",K1199="Return"),1,0))</f>
        <v>1</v>
      </c>
      <c r="M1199" s="37" t="n">
        <f aca="false">IF(Raw_Export!$A1199="","",B1199-WEEKDAY(B1199,2)+1)</f>
        <v>46272</v>
      </c>
    </row>
    <row r="1200" customFormat="false" ht="15" hidden="false" customHeight="false" outlineLevel="0" collapsed="false">
      <c r="A1200" s="36" t="str">
        <f aca="false">IF(Raw_Export!$A1200="","",TRIM(Raw_Export!A1200))</f>
        <v>TXN-101177</v>
      </c>
      <c r="B1200" s="37" t="n">
        <f aca="false">IF(Raw_Export!$A1200="","",IF(ISNUMBER(Raw_Export!B1200),Raw_Export!B1200,IF(MID(TRIM(Raw_Export!B1200),5,1)="-",DATE(LEFT(TRIM(Raw_Export!B1200),4),MID(TRIM(Raw_Export!B1200),6,2),RIGHT(TRIM(Raw_Export!B1200),2)),DATE(RIGHT(TRIM(Raw_Export!B1200),4),MATCH(MID(TRIM(Raw_Export!B1200),4,3),{"Jan","Feb","Mar","Apr","May","Jun","Jul","Aug","Sep","Oct","Nov","Dec"},0),LEFT(TRIM(Raw_Export!B1200),2)))))</f>
        <v>46272</v>
      </c>
      <c r="C1200" s="36" t="str">
        <f aca="false">IF(Raw_Export!$A1200="","",IFERROR(VLOOKUP(LOWER(TRIM(Raw_Export!C1200)),Maps!$A$2:$B$20,2,FALSE()),"UNMAPPED"))</f>
        <v>Kisumu</v>
      </c>
      <c r="D1200" s="36" t="str">
        <f aca="false">IF(Raw_Export!$A1200="","",IFERROR(VLOOKUP(LOWER(TRIM(Raw_Export!D1200)),Maps!$G$2:$I$80,2,FALSE()),"UNMAPPED"))</f>
        <v>Bottled Water 1.5L</v>
      </c>
      <c r="E1200" s="36" t="str">
        <f aca="false">IF(Raw_Export!$A1200="","",IFERROR(VLOOKUP(LOWER(TRIM(Raw_Export!D1200)),Maps!$G$2:$I$80,3,FALSE()),"UNMAPPED"))</f>
        <v>Beverages</v>
      </c>
      <c r="F1200" s="36" t="n">
        <f aca="false">IF(Raw_Export!$A1200="","",IFERROR(VALUE(TRIM(Raw_Export!E1200)),0))</f>
        <v>1</v>
      </c>
      <c r="G1200" s="38" t="n">
        <f aca="false">IF(Raw_Export!$A1200="","",IFERROR(VALUE(SUBSTITUTE(SUBSTITUTE(UPPER(TRIM(Raw_Export!F1200)),"KES",""),",","")),0))</f>
        <v>90</v>
      </c>
      <c r="H1200" s="38" t="n">
        <f aca="false">IF(Raw_Export!$A1200="","",F1200*G1200)</f>
        <v>90</v>
      </c>
      <c r="I1200" s="36" t="str">
        <f aca="false">IF(Raw_Export!$A1200="","",IFERROR(VLOOKUP(LOWER(TRIM(Raw_Export!H1200)),Maps!$D$2:$E$12,2,FALSE()),"Other"))</f>
        <v>M-Pesa</v>
      </c>
      <c r="J1200" s="36" t="str">
        <f aca="false">IF(Raw_Export!$A1200="","",IF(COUNTIF($A$2:A1200,A1200)&gt;1,"Duplicate",""))</f>
        <v/>
      </c>
      <c r="K1200" s="36" t="str">
        <f aca="false">IF(Raw_Export!$A1200="","",IF(J1200="Duplicate","Duplicate",IF(OR(C1200="UNMAPPED",D1200="UNMAPPED"),"Unmapped",IF(F1200=0,"Blank qty",IF(F1200&lt;0,"Return","OK")))))</f>
        <v>OK</v>
      </c>
      <c r="L1200" s="36" t="n">
        <f aca="false">IF(Raw_Export!$A1200="","",IF(OR(K1200="OK",K1200="Return"),1,0))</f>
        <v>1</v>
      </c>
      <c r="M1200" s="37" t="n">
        <f aca="false">IF(Raw_Export!$A1200="","",B1200-WEEKDAY(B1200,2)+1)</f>
        <v>46272</v>
      </c>
    </row>
    <row r="1201" customFormat="false" ht="15" hidden="false" customHeight="false" outlineLevel="0" collapsed="false">
      <c r="A1201" s="36" t="str">
        <f aca="false">IF(Raw_Export!$A1201="","",TRIM(Raw_Export!A1201))</f>
        <v>TXN-101178</v>
      </c>
      <c r="B1201" s="37" t="n">
        <f aca="false">IF(Raw_Export!$A1201="","",IF(ISNUMBER(Raw_Export!B1201),Raw_Export!B1201,IF(MID(TRIM(Raw_Export!B1201),5,1)="-",DATE(LEFT(TRIM(Raw_Export!B1201),4),MID(TRIM(Raw_Export!B1201),6,2),RIGHT(TRIM(Raw_Export!B1201),2)),DATE(RIGHT(TRIM(Raw_Export!B1201),4),MATCH(MID(TRIM(Raw_Export!B1201),4,3),{"Jan","Feb","Mar","Apr","May","Jun","Jul","Aug","Sep","Oct","Nov","Dec"},0),LEFT(TRIM(Raw_Export!B1201),2)))))</f>
        <v>46272</v>
      </c>
      <c r="C1201" s="36" t="str">
        <f aca="false">IF(Raw_Export!$A1201="","",IFERROR(VLOOKUP(LOWER(TRIM(Raw_Export!C1201)),Maps!$A$2:$B$20,2,FALSE()),"UNMAPPED"))</f>
        <v>Nakuru</v>
      </c>
      <c r="D1201" s="36" t="str">
        <f aca="false">IF(Raw_Export!$A1201="","",IFERROR(VLOOKUP(LOWER(TRIM(Raw_Export!D1201)),Maps!$G$2:$I$80,2,FALSE()),"UNMAPPED"))</f>
        <v>Eggs Tray 30</v>
      </c>
      <c r="E1201" s="36" t="str">
        <f aca="false">IF(Raw_Export!$A1201="","",IFERROR(VLOOKUP(LOWER(TRIM(Raw_Export!D1201)),Maps!$G$2:$I$80,3,FALSE()),"UNMAPPED"))</f>
        <v>Dairy &amp; Eggs</v>
      </c>
      <c r="F1201" s="36" t="n">
        <f aca="false">IF(Raw_Export!$A1201="","",IFERROR(VALUE(TRIM(Raw_Export!E1201)),0))</f>
        <v>1</v>
      </c>
      <c r="G1201" s="38" t="n">
        <f aca="false">IF(Raw_Export!$A1201="","",IFERROR(VALUE(SUBSTITUTE(SUBSTITUTE(UPPER(TRIM(Raw_Export!F1201)),"KES",""),",","")),0))</f>
        <v>450</v>
      </c>
      <c r="H1201" s="38" t="n">
        <f aca="false">IF(Raw_Export!$A1201="","",F1201*G1201)</f>
        <v>450</v>
      </c>
      <c r="I1201" s="36" t="str">
        <f aca="false">IF(Raw_Export!$A1201="","",IFERROR(VLOOKUP(LOWER(TRIM(Raw_Export!H1201)),Maps!$D$2:$E$12,2,FALSE()),"Other"))</f>
        <v>M-Pesa</v>
      </c>
      <c r="J1201" s="36" t="str">
        <f aca="false">IF(Raw_Export!$A1201="","",IF(COUNTIF($A$2:A1201,A1201)&gt;1,"Duplicate",""))</f>
        <v/>
      </c>
      <c r="K1201" s="36" t="str">
        <f aca="false">IF(Raw_Export!$A1201="","",IF(J1201="Duplicate","Duplicate",IF(OR(C1201="UNMAPPED",D1201="UNMAPPED"),"Unmapped",IF(F1201=0,"Blank qty",IF(F1201&lt;0,"Return","OK")))))</f>
        <v>OK</v>
      </c>
      <c r="L1201" s="36" t="n">
        <f aca="false">IF(Raw_Export!$A1201="","",IF(OR(K1201="OK",K1201="Return"),1,0))</f>
        <v>1</v>
      </c>
      <c r="M1201" s="37" t="n">
        <f aca="false">IF(Raw_Export!$A1201="","",B1201-WEEKDAY(B1201,2)+1)</f>
        <v>46272</v>
      </c>
    </row>
    <row r="1202" customFormat="false" ht="15" hidden="false" customHeight="false" outlineLevel="0" collapsed="false">
      <c r="A1202" s="36" t="str">
        <f aca="false">IF(Raw_Export!$A1202="","",TRIM(Raw_Export!A1202))</f>
        <v>TXN-101179</v>
      </c>
      <c r="B1202" s="37" t="n">
        <f aca="false">IF(Raw_Export!$A1202="","",IF(ISNUMBER(Raw_Export!B1202),Raw_Export!B1202,IF(MID(TRIM(Raw_Export!B1202),5,1)="-",DATE(LEFT(TRIM(Raw_Export!B1202),4),MID(TRIM(Raw_Export!B1202),6,2),RIGHT(TRIM(Raw_Export!B1202),2)),DATE(RIGHT(TRIM(Raw_Export!B1202),4),MATCH(MID(TRIM(Raw_Export!B1202),4,3),{"Jan","Feb","Mar","Apr","May","Jun","Jul","Aug","Sep","Oct","Nov","Dec"},0),LEFT(TRIM(Raw_Export!B1202),2)))))</f>
        <v>46272</v>
      </c>
      <c r="C1202" s="36" t="str">
        <f aca="false">IF(Raw_Export!$A1202="","",IFERROR(VLOOKUP(LOWER(TRIM(Raw_Export!C1202)),Maps!$A$2:$B$20,2,FALSE()),"UNMAPPED"))</f>
        <v>Nakuru</v>
      </c>
      <c r="D1202" s="36" t="str">
        <f aca="false">IF(Raw_Export!$A1202="","",IFERROR(VLOOKUP(LOWER(TRIM(Raw_Export!D1202)),Maps!$G$2:$I$80,2,FALSE()),"UNMAPPED"))</f>
        <v>Bottled Water 1.5L</v>
      </c>
      <c r="E1202" s="36" t="str">
        <f aca="false">IF(Raw_Export!$A1202="","",IFERROR(VLOOKUP(LOWER(TRIM(Raw_Export!D1202)),Maps!$G$2:$I$80,3,FALSE()),"UNMAPPED"))</f>
        <v>Beverages</v>
      </c>
      <c r="F1202" s="36" t="n">
        <f aca="false">IF(Raw_Export!$A1202="","",IFERROR(VALUE(TRIM(Raw_Export!E1202)),0))</f>
        <v>1</v>
      </c>
      <c r="G1202" s="38" t="n">
        <f aca="false">IF(Raw_Export!$A1202="","",IFERROR(VALUE(SUBSTITUTE(SUBSTITUTE(UPPER(TRIM(Raw_Export!F1202)),"KES",""),",","")),0))</f>
        <v>90</v>
      </c>
      <c r="H1202" s="38" t="n">
        <f aca="false">IF(Raw_Export!$A1202="","",F1202*G1202)</f>
        <v>90</v>
      </c>
      <c r="I1202" s="36" t="str">
        <f aca="false">IF(Raw_Export!$A1202="","",IFERROR(VLOOKUP(LOWER(TRIM(Raw_Export!H1202)),Maps!$D$2:$E$12,2,FALSE()),"Other"))</f>
        <v>Card</v>
      </c>
      <c r="J1202" s="36" t="str">
        <f aca="false">IF(Raw_Export!$A1202="","",IF(COUNTIF($A$2:A1202,A1202)&gt;1,"Duplicate",""))</f>
        <v/>
      </c>
      <c r="K1202" s="36" t="str">
        <f aca="false">IF(Raw_Export!$A1202="","",IF(J1202="Duplicate","Duplicate",IF(OR(C1202="UNMAPPED",D1202="UNMAPPED"),"Unmapped",IF(F1202=0,"Blank qty",IF(F1202&lt;0,"Return","OK")))))</f>
        <v>OK</v>
      </c>
      <c r="L1202" s="36" t="n">
        <f aca="false">IF(Raw_Export!$A1202="","",IF(OR(K1202="OK",K1202="Return"),1,0))</f>
        <v>1</v>
      </c>
      <c r="M1202" s="37" t="n">
        <f aca="false">IF(Raw_Export!$A1202="","",B1202-WEEKDAY(B1202,2)+1)</f>
        <v>46272</v>
      </c>
    </row>
    <row r="1203" customFormat="false" ht="15" hidden="false" customHeight="false" outlineLevel="0" collapsed="false">
      <c r="A1203" s="36" t="str">
        <f aca="false">IF(Raw_Export!$A1203="","",TRIM(Raw_Export!A1203))</f>
        <v>TXN-101180</v>
      </c>
      <c r="B1203" s="37" t="n">
        <f aca="false">IF(Raw_Export!$A1203="","",IF(ISNUMBER(Raw_Export!B1203),Raw_Export!B1203,IF(MID(TRIM(Raw_Export!B1203),5,1)="-",DATE(LEFT(TRIM(Raw_Export!B1203),4),MID(TRIM(Raw_Export!B1203),6,2),RIGHT(TRIM(Raw_Export!B1203),2)),DATE(RIGHT(TRIM(Raw_Export!B1203),4),MATCH(MID(TRIM(Raw_Export!B1203),4,3),{"Jan","Feb","Mar","Apr","May","Jun","Jul","Aug","Sep","Oct","Nov","Dec"},0),LEFT(TRIM(Raw_Export!B1203),2)))))</f>
        <v>46272</v>
      </c>
      <c r="C1203" s="36" t="str">
        <f aca="false">IF(Raw_Export!$A1203="","",IFERROR(VLOOKUP(LOWER(TRIM(Raw_Export!C1203)),Maps!$A$2:$B$20,2,FALSE()),"UNMAPPED"))</f>
        <v>Nakuru</v>
      </c>
      <c r="D1203" s="36" t="str">
        <f aca="false">IF(Raw_Export!$A1203="","",IFERROR(VLOOKUP(LOWER(TRIM(Raw_Export!D1203)),Maps!$G$2:$I$80,2,FALSE()),"UNMAPPED"))</f>
        <v>Tea Leaves 250g</v>
      </c>
      <c r="E1203" s="36" t="str">
        <f aca="false">IF(Raw_Export!$A1203="","",IFERROR(VLOOKUP(LOWER(TRIM(Raw_Export!D1203)),Maps!$G$2:$I$80,3,FALSE()),"UNMAPPED"))</f>
        <v>Beverages</v>
      </c>
      <c r="F1203" s="36" t="n">
        <f aca="false">IF(Raw_Export!$A1203="","",IFERROR(VALUE(TRIM(Raw_Export!E1203)),0))</f>
        <v>-6</v>
      </c>
      <c r="G1203" s="38" t="n">
        <f aca="false">IF(Raw_Export!$A1203="","",IFERROR(VALUE(SUBSTITUTE(SUBSTITUTE(UPPER(TRIM(Raw_Export!F1203)),"KES",""),",","")),0))</f>
        <v>150</v>
      </c>
      <c r="H1203" s="38" t="n">
        <f aca="false">IF(Raw_Export!$A1203="","",F1203*G1203)</f>
        <v>-900</v>
      </c>
      <c r="I1203" s="36" t="str">
        <f aca="false">IF(Raw_Export!$A1203="","",IFERROR(VLOOKUP(LOWER(TRIM(Raw_Export!H1203)),Maps!$D$2:$E$12,2,FALSE()),"Other"))</f>
        <v>M-Pesa</v>
      </c>
      <c r="J1203" s="36" t="str">
        <f aca="false">IF(Raw_Export!$A1203="","",IF(COUNTIF($A$2:A1203,A1203)&gt;1,"Duplicate",""))</f>
        <v/>
      </c>
      <c r="K1203" s="36" t="str">
        <f aca="false">IF(Raw_Export!$A1203="","",IF(J1203="Duplicate","Duplicate",IF(OR(C1203="UNMAPPED",D1203="UNMAPPED"),"Unmapped",IF(F1203=0,"Blank qty",IF(F1203&lt;0,"Return","OK")))))</f>
        <v>Return</v>
      </c>
      <c r="L1203" s="36" t="n">
        <f aca="false">IF(Raw_Export!$A1203="","",IF(OR(K1203="OK",K1203="Return"),1,0))</f>
        <v>1</v>
      </c>
      <c r="M1203" s="37" t="n">
        <f aca="false">IF(Raw_Export!$A1203="","",B1203-WEEKDAY(B1203,2)+1)</f>
        <v>46272</v>
      </c>
    </row>
    <row r="1204" customFormat="false" ht="15" hidden="false" customHeight="false" outlineLevel="0" collapsed="false">
      <c r="A1204" s="36" t="str">
        <f aca="false">IF(Raw_Export!$A1204="","",TRIM(Raw_Export!A1204))</f>
        <v>TXN-101181</v>
      </c>
      <c r="B1204" s="37" t="n">
        <f aca="false">IF(Raw_Export!$A1204="","",IF(ISNUMBER(Raw_Export!B1204),Raw_Export!B1204,IF(MID(TRIM(Raw_Export!B1204),5,1)="-",DATE(LEFT(TRIM(Raw_Export!B1204),4),MID(TRIM(Raw_Export!B1204),6,2),RIGHT(TRIM(Raw_Export!B1204),2)),DATE(RIGHT(TRIM(Raw_Export!B1204),4),MATCH(MID(TRIM(Raw_Export!B1204),4,3),{"Jan","Feb","Mar","Apr","May","Jun","Jul","Aug","Sep","Oct","Nov","Dec"},0),LEFT(TRIM(Raw_Export!B1204),2)))))</f>
        <v>46272</v>
      </c>
      <c r="C1204" s="36" t="str">
        <f aca="false">IF(Raw_Export!$A1204="","",IFERROR(VLOOKUP(LOWER(TRIM(Raw_Export!C1204)),Maps!$A$2:$B$20,2,FALSE()),"UNMAPPED"))</f>
        <v>Nakuru</v>
      </c>
      <c r="D1204" s="36" t="str">
        <f aca="false">IF(Raw_Export!$A1204="","",IFERROR(VLOOKUP(LOWER(TRIM(Raw_Export!D1204)),Maps!$G$2:$I$80,2,FALSE()),"UNMAPPED"))</f>
        <v>Salt 500g</v>
      </c>
      <c r="E1204" s="36" t="str">
        <f aca="false">IF(Raw_Export!$A1204="","",IFERROR(VLOOKUP(LOWER(TRIM(Raw_Export!D1204)),Maps!$G$2:$I$80,3,FALSE()),"UNMAPPED"))</f>
        <v>Staples</v>
      </c>
      <c r="F1204" s="36" t="n">
        <f aca="false">IF(Raw_Export!$A1204="","",IFERROR(VALUE(TRIM(Raw_Export!E1204)),0))</f>
        <v>4</v>
      </c>
      <c r="G1204" s="38" t="n">
        <f aca="false">IF(Raw_Export!$A1204="","",IFERROR(VALUE(SUBSTITUTE(SUBSTITUTE(UPPER(TRIM(Raw_Export!F1204)),"KES",""),",","")),0))</f>
        <v>36</v>
      </c>
      <c r="H1204" s="38" t="n">
        <f aca="false">IF(Raw_Export!$A1204="","",F1204*G1204)</f>
        <v>144</v>
      </c>
      <c r="I1204" s="36" t="str">
        <f aca="false">IF(Raw_Export!$A1204="","",IFERROR(VLOOKUP(LOWER(TRIM(Raw_Export!H1204)),Maps!$D$2:$E$12,2,FALSE()),"Other"))</f>
        <v>M-Pesa</v>
      </c>
      <c r="J1204" s="36" t="str">
        <f aca="false">IF(Raw_Export!$A1204="","",IF(COUNTIF($A$2:A1204,A1204)&gt;1,"Duplicate",""))</f>
        <v/>
      </c>
      <c r="K1204" s="36" t="str">
        <f aca="false">IF(Raw_Export!$A1204="","",IF(J1204="Duplicate","Duplicate",IF(OR(C1204="UNMAPPED",D1204="UNMAPPED"),"Unmapped",IF(F1204=0,"Blank qty",IF(F1204&lt;0,"Return","OK")))))</f>
        <v>OK</v>
      </c>
      <c r="L1204" s="36" t="n">
        <f aca="false">IF(Raw_Export!$A1204="","",IF(OR(K1204="OK",K1204="Return"),1,0))</f>
        <v>1</v>
      </c>
      <c r="M1204" s="37" t="n">
        <f aca="false">IF(Raw_Export!$A1204="","",B1204-WEEKDAY(B1204,2)+1)</f>
        <v>46272</v>
      </c>
    </row>
    <row r="1205" customFormat="false" ht="15" hidden="false" customHeight="false" outlineLevel="0" collapsed="false">
      <c r="A1205" s="36" t="str">
        <f aca="false">IF(Raw_Export!$A1205="","",TRIM(Raw_Export!A1205))</f>
        <v>TXN-101182</v>
      </c>
      <c r="B1205" s="37" t="n">
        <f aca="false">IF(Raw_Export!$A1205="","",IF(ISNUMBER(Raw_Export!B1205),Raw_Export!B1205,IF(MID(TRIM(Raw_Export!B1205),5,1)="-",DATE(LEFT(TRIM(Raw_Export!B1205),4),MID(TRIM(Raw_Export!B1205),6,2),RIGHT(TRIM(Raw_Export!B1205),2)),DATE(RIGHT(TRIM(Raw_Export!B1205),4),MATCH(MID(TRIM(Raw_Export!B1205),4,3),{"Jan","Feb","Mar","Apr","May","Jun","Jul","Aug","Sep","Oct","Nov","Dec"},0),LEFT(TRIM(Raw_Export!B1205),2)))))</f>
        <v>46272</v>
      </c>
      <c r="C1205" s="36" t="str">
        <f aca="false">IF(Raw_Export!$A1205="","",IFERROR(VLOOKUP(LOWER(TRIM(Raw_Export!C1205)),Maps!$A$2:$B$20,2,FALSE()),"UNMAPPED"))</f>
        <v>Nakuru</v>
      </c>
      <c r="D1205" s="36" t="str">
        <f aca="false">IF(Raw_Export!$A1205="","",IFERROR(VLOOKUP(LOWER(TRIM(Raw_Export!D1205)),Maps!$G$2:$I$80,2,FALSE()),"UNMAPPED"))</f>
        <v>Matches 10pk</v>
      </c>
      <c r="E1205" s="36" t="str">
        <f aca="false">IF(Raw_Export!$A1205="","",IFERROR(VLOOKUP(LOWER(TRIM(Raw_Export!D1205)),Maps!$G$2:$I$80,3,FALSE()),"UNMAPPED"))</f>
        <v>Household</v>
      </c>
      <c r="F1205" s="36" t="n">
        <f aca="false">IF(Raw_Export!$A1205="","",IFERROR(VALUE(TRIM(Raw_Export!E1205)),0))</f>
        <v>1</v>
      </c>
      <c r="G1205" s="38" t="n">
        <f aca="false">IF(Raw_Export!$A1205="","",IFERROR(VALUE(SUBSTITUTE(SUBSTITUTE(UPPER(TRIM(Raw_Export!F1205)),"KES",""),",","")),0))</f>
        <v>50</v>
      </c>
      <c r="H1205" s="38" t="n">
        <f aca="false">IF(Raw_Export!$A1205="","",F1205*G1205)</f>
        <v>50</v>
      </c>
      <c r="I1205" s="36" t="str">
        <f aca="false">IF(Raw_Export!$A1205="","",IFERROR(VLOOKUP(LOWER(TRIM(Raw_Export!H1205)),Maps!$D$2:$E$12,2,FALSE()),"Other"))</f>
        <v>Cash</v>
      </c>
      <c r="J1205" s="36" t="str">
        <f aca="false">IF(Raw_Export!$A1205="","",IF(COUNTIF($A$2:A1205,A1205)&gt;1,"Duplicate",""))</f>
        <v/>
      </c>
      <c r="K1205" s="36" t="str">
        <f aca="false">IF(Raw_Export!$A1205="","",IF(J1205="Duplicate","Duplicate",IF(OR(C1205="UNMAPPED",D1205="UNMAPPED"),"Unmapped",IF(F1205=0,"Blank qty",IF(F1205&lt;0,"Return","OK")))))</f>
        <v>OK</v>
      </c>
      <c r="L1205" s="36" t="n">
        <f aca="false">IF(Raw_Export!$A1205="","",IF(OR(K1205="OK",K1205="Return"),1,0))</f>
        <v>1</v>
      </c>
      <c r="M1205" s="37" t="n">
        <f aca="false">IF(Raw_Export!$A1205="","",B1205-WEEKDAY(B1205,2)+1)</f>
        <v>46272</v>
      </c>
    </row>
    <row r="1206" customFormat="false" ht="15" hidden="false" customHeight="false" outlineLevel="0" collapsed="false">
      <c r="A1206" s="36" t="str">
        <f aca="false">IF(Raw_Export!$A1206="","",TRIM(Raw_Export!A1206))</f>
        <v>TXN-101183</v>
      </c>
      <c r="B1206" s="37" t="n">
        <f aca="false">IF(Raw_Export!$A1206="","",IF(ISNUMBER(Raw_Export!B1206),Raw_Export!B1206,IF(MID(TRIM(Raw_Export!B1206),5,1)="-",DATE(LEFT(TRIM(Raw_Export!B1206),4),MID(TRIM(Raw_Export!B1206),6,2),RIGHT(TRIM(Raw_Export!B1206),2)),DATE(RIGHT(TRIM(Raw_Export!B1206),4),MATCH(MID(TRIM(Raw_Export!B1206),4,3),{"Jan","Feb","Mar","Apr","May","Jun","Jul","Aug","Sep","Oct","Nov","Dec"},0),LEFT(TRIM(Raw_Export!B1206),2)))))</f>
        <v>46272</v>
      </c>
      <c r="C1206" s="36" t="str">
        <f aca="false">IF(Raw_Export!$A1206="","",IFERROR(VLOOKUP(LOWER(TRIM(Raw_Export!C1206)),Maps!$A$2:$B$20,2,FALSE()),"UNMAPPED"))</f>
        <v>Nakuru</v>
      </c>
      <c r="D1206" s="36" t="str">
        <f aca="false">IF(Raw_Export!$A1206="","",IFERROR(VLOOKUP(LOWER(TRIM(Raw_Export!D1206)),Maps!$G$2:$I$80,2,FALSE()),"UNMAPPED"))</f>
        <v>Toilet Paper 10pk</v>
      </c>
      <c r="E1206" s="36" t="str">
        <f aca="false">IF(Raw_Export!$A1206="","",IFERROR(VLOOKUP(LOWER(TRIM(Raw_Export!D1206)),Maps!$G$2:$I$80,3,FALSE()),"UNMAPPED"))</f>
        <v>Household</v>
      </c>
      <c r="F1206" s="36" t="n">
        <f aca="false">IF(Raw_Export!$A1206="","",IFERROR(VALUE(TRIM(Raw_Export!E1206)),0))</f>
        <v>6</v>
      </c>
      <c r="G1206" s="38" t="n">
        <f aca="false">IF(Raw_Export!$A1206="","",IFERROR(VALUE(SUBSTITUTE(SUBSTITUTE(UPPER(TRIM(Raw_Export!F1206)),"KES",""),",","")),0))</f>
        <v>380</v>
      </c>
      <c r="H1206" s="38" t="n">
        <f aca="false">IF(Raw_Export!$A1206="","",F1206*G1206)</f>
        <v>2280</v>
      </c>
      <c r="I1206" s="36" t="str">
        <f aca="false">IF(Raw_Export!$A1206="","",IFERROR(VLOOKUP(LOWER(TRIM(Raw_Export!H1206)),Maps!$D$2:$E$12,2,FALSE()),"Other"))</f>
        <v>M-Pesa</v>
      </c>
      <c r="J1206" s="36" t="str">
        <f aca="false">IF(Raw_Export!$A1206="","",IF(COUNTIF($A$2:A1206,A1206)&gt;1,"Duplicate",""))</f>
        <v/>
      </c>
      <c r="K1206" s="36" t="str">
        <f aca="false">IF(Raw_Export!$A1206="","",IF(J1206="Duplicate","Duplicate",IF(OR(C1206="UNMAPPED",D1206="UNMAPPED"),"Unmapped",IF(F1206=0,"Blank qty",IF(F1206&lt;0,"Return","OK")))))</f>
        <v>OK</v>
      </c>
      <c r="L1206" s="36" t="n">
        <f aca="false">IF(Raw_Export!$A1206="","",IF(OR(K1206="OK",K1206="Return"),1,0))</f>
        <v>1</v>
      </c>
      <c r="M1206" s="37" t="n">
        <f aca="false">IF(Raw_Export!$A1206="","",B1206-WEEKDAY(B1206,2)+1)</f>
        <v>46272</v>
      </c>
    </row>
    <row r="1207" customFormat="false" ht="15" hidden="false" customHeight="false" outlineLevel="0" collapsed="false">
      <c r="A1207" s="36" t="str">
        <f aca="false">IF(Raw_Export!$A1207="","",TRIM(Raw_Export!A1207))</f>
        <v>TXN-101184</v>
      </c>
      <c r="B1207" s="37" t="n">
        <f aca="false">IF(Raw_Export!$A1207="","",IF(ISNUMBER(Raw_Export!B1207),Raw_Export!B1207,IF(MID(TRIM(Raw_Export!B1207),5,1)="-",DATE(LEFT(TRIM(Raw_Export!B1207),4),MID(TRIM(Raw_Export!B1207),6,2),RIGHT(TRIM(Raw_Export!B1207),2)),DATE(RIGHT(TRIM(Raw_Export!B1207),4),MATCH(MID(TRIM(Raw_Export!B1207),4,3),{"Jan","Feb","Mar","Apr","May","Jun","Jul","Aug","Sep","Oct","Nov","Dec"},0),LEFT(TRIM(Raw_Export!B1207),2)))))</f>
        <v>46272</v>
      </c>
      <c r="C1207" s="36" t="str">
        <f aca="false">IF(Raw_Export!$A1207="","",IFERROR(VLOOKUP(LOWER(TRIM(Raw_Export!C1207)),Maps!$A$2:$B$20,2,FALSE()),"UNMAPPED"))</f>
        <v>Nakuru</v>
      </c>
      <c r="D1207" s="36" t="str">
        <f aca="false">IF(Raw_Export!$A1207="","",IFERROR(VLOOKUP(LOWER(TRIM(Raw_Export!D1207)),Maps!$G$2:$I$80,2,FALSE()),"UNMAPPED"))</f>
        <v>Bleach 1L</v>
      </c>
      <c r="E1207" s="36" t="str">
        <f aca="false">IF(Raw_Export!$A1207="","",IFERROR(VLOOKUP(LOWER(TRIM(Raw_Export!D1207)),Maps!$G$2:$I$80,3,FALSE()),"UNMAPPED"))</f>
        <v>Household</v>
      </c>
      <c r="F1207" s="36" t="n">
        <f aca="false">IF(Raw_Export!$A1207="","",IFERROR(VALUE(TRIM(Raw_Export!E1207)),0))</f>
        <v>1</v>
      </c>
      <c r="G1207" s="38" t="n">
        <f aca="false">IF(Raw_Export!$A1207="","",IFERROR(VALUE(SUBSTITUTE(SUBSTITUTE(UPPER(TRIM(Raw_Export!F1207)),"KES",""),",","")),0))</f>
        <v>160</v>
      </c>
      <c r="H1207" s="38" t="n">
        <f aca="false">IF(Raw_Export!$A1207="","",F1207*G1207)</f>
        <v>160</v>
      </c>
      <c r="I1207" s="36" t="str">
        <f aca="false">IF(Raw_Export!$A1207="","",IFERROR(VLOOKUP(LOWER(TRIM(Raw_Export!H1207)),Maps!$D$2:$E$12,2,FALSE()),"Other"))</f>
        <v>M-Pesa</v>
      </c>
      <c r="J1207" s="36" t="str">
        <f aca="false">IF(Raw_Export!$A1207="","",IF(COUNTIF($A$2:A1207,A1207)&gt;1,"Duplicate",""))</f>
        <v/>
      </c>
      <c r="K1207" s="36" t="str">
        <f aca="false">IF(Raw_Export!$A1207="","",IF(J1207="Duplicate","Duplicate",IF(OR(C1207="UNMAPPED",D1207="UNMAPPED"),"Unmapped",IF(F1207=0,"Blank qty",IF(F1207&lt;0,"Return","OK")))))</f>
        <v>OK</v>
      </c>
      <c r="L1207" s="36" t="n">
        <f aca="false">IF(Raw_Export!$A1207="","",IF(OR(K1207="OK",K1207="Return"),1,0))</f>
        <v>1</v>
      </c>
      <c r="M1207" s="37" t="n">
        <f aca="false">IF(Raw_Export!$A1207="","",B1207-WEEKDAY(B1207,2)+1)</f>
        <v>46272</v>
      </c>
    </row>
    <row r="1208" customFormat="false" ht="15" hidden="false" customHeight="false" outlineLevel="0" collapsed="false">
      <c r="A1208" s="36" t="str">
        <f aca="false">IF(Raw_Export!$A1208="","",TRIM(Raw_Export!A1208))</f>
        <v>TXN-101185</v>
      </c>
      <c r="B1208" s="37" t="n">
        <f aca="false">IF(Raw_Export!$A1208="","",IF(ISNUMBER(Raw_Export!B1208),Raw_Export!B1208,IF(MID(TRIM(Raw_Export!B1208),5,1)="-",DATE(LEFT(TRIM(Raw_Export!B1208),4),MID(TRIM(Raw_Export!B1208),6,2),RIGHT(TRIM(Raw_Export!B1208),2)),DATE(RIGHT(TRIM(Raw_Export!B1208),4),MATCH(MID(TRIM(Raw_Export!B1208),4,3),{"Jan","Feb","Mar","Apr","May","Jun","Jul","Aug","Sep","Oct","Nov","Dec"},0),LEFT(TRIM(Raw_Export!B1208),2)))))</f>
        <v>46272</v>
      </c>
      <c r="C1208" s="36" t="str">
        <f aca="false">IF(Raw_Export!$A1208="","",IFERROR(VLOOKUP(LOWER(TRIM(Raw_Export!C1208)),Maps!$A$2:$B$20,2,FALSE()),"UNMAPPED"))</f>
        <v>Nakuru</v>
      </c>
      <c r="D1208" s="36" t="str">
        <f aca="false">IF(Raw_Export!$A1208="","",IFERROR(VLOOKUP(LOWER(TRIM(Raw_Export!D1208)),Maps!$G$2:$I$80,2,FALSE()),"UNMAPPED"))</f>
        <v>Soda 500ml</v>
      </c>
      <c r="E1208" s="36" t="str">
        <f aca="false">IF(Raw_Export!$A1208="","",IFERROR(VLOOKUP(LOWER(TRIM(Raw_Export!D1208)),Maps!$G$2:$I$80,3,FALSE()),"UNMAPPED"))</f>
        <v>Beverages</v>
      </c>
      <c r="F1208" s="36" t="n">
        <f aca="false">IF(Raw_Export!$A1208="","",IFERROR(VALUE(TRIM(Raw_Export!E1208)),0))</f>
        <v>6</v>
      </c>
      <c r="G1208" s="38" t="n">
        <f aca="false">IF(Raw_Export!$A1208="","",IFERROR(VALUE(SUBSTITUTE(SUBSTITUTE(UPPER(TRIM(Raw_Export!F1208)),"KES",""),",","")),0))</f>
        <v>60</v>
      </c>
      <c r="H1208" s="38" t="n">
        <f aca="false">IF(Raw_Export!$A1208="","",F1208*G1208)</f>
        <v>360</v>
      </c>
      <c r="I1208" s="36" t="str">
        <f aca="false">IF(Raw_Export!$A1208="","",IFERROR(VLOOKUP(LOWER(TRIM(Raw_Export!H1208)),Maps!$D$2:$E$12,2,FALSE()),"Other"))</f>
        <v>Cash</v>
      </c>
      <c r="J1208" s="36" t="str">
        <f aca="false">IF(Raw_Export!$A1208="","",IF(COUNTIF($A$2:A1208,A1208)&gt;1,"Duplicate",""))</f>
        <v/>
      </c>
      <c r="K1208" s="36" t="str">
        <f aca="false">IF(Raw_Export!$A1208="","",IF(J1208="Duplicate","Duplicate",IF(OR(C1208="UNMAPPED",D1208="UNMAPPED"),"Unmapped",IF(F1208=0,"Blank qty",IF(F1208&lt;0,"Return","OK")))))</f>
        <v>OK</v>
      </c>
      <c r="L1208" s="36" t="n">
        <f aca="false">IF(Raw_Export!$A1208="","",IF(OR(K1208="OK",K1208="Return"),1,0))</f>
        <v>1</v>
      </c>
      <c r="M1208" s="37" t="n">
        <f aca="false">IF(Raw_Export!$A1208="","",B1208-WEEKDAY(B1208,2)+1)</f>
        <v>46272</v>
      </c>
    </row>
    <row r="1209" customFormat="false" ht="15" hidden="false" customHeight="false" outlineLevel="0" collapsed="false">
      <c r="A1209" s="36" t="str">
        <f aca="false">IF(Raw_Export!$A1209="","",TRIM(Raw_Export!A1209))</f>
        <v>TXN-101186</v>
      </c>
      <c r="B1209" s="37" t="n">
        <f aca="false">IF(Raw_Export!$A1209="","",IF(ISNUMBER(Raw_Export!B1209),Raw_Export!B1209,IF(MID(TRIM(Raw_Export!B1209),5,1)="-",DATE(LEFT(TRIM(Raw_Export!B1209),4),MID(TRIM(Raw_Export!B1209),6,2),RIGHT(TRIM(Raw_Export!B1209),2)),DATE(RIGHT(TRIM(Raw_Export!B1209),4),MATCH(MID(TRIM(Raw_Export!B1209),4,3),{"Jan","Feb","Mar","Apr","May","Jun","Jul","Aug","Sep","Oct","Nov","Dec"},0),LEFT(TRIM(Raw_Export!B1209),2)))))</f>
        <v>46272</v>
      </c>
      <c r="C1209" s="36" t="str">
        <f aca="false">IF(Raw_Export!$A1209="","",IFERROR(VLOOKUP(LOWER(TRIM(Raw_Export!C1209)),Maps!$A$2:$B$20,2,FALSE()),"UNMAPPED"))</f>
        <v>Nakuru</v>
      </c>
      <c r="D1209" s="36" t="str">
        <f aca="false">IF(Raw_Export!$A1209="","",IFERROR(VLOOKUP(LOWER(TRIM(Raw_Export!D1209)),Maps!$G$2:$I$80,2,FALSE()),"UNMAPPED"))</f>
        <v>Eggs Tray 30</v>
      </c>
      <c r="E1209" s="36" t="str">
        <f aca="false">IF(Raw_Export!$A1209="","",IFERROR(VLOOKUP(LOWER(TRIM(Raw_Export!D1209)),Maps!$G$2:$I$80,3,FALSE()),"UNMAPPED"))</f>
        <v>Dairy &amp; Eggs</v>
      </c>
      <c r="F1209" s="36" t="n">
        <f aca="false">IF(Raw_Export!$A1209="","",IFERROR(VALUE(TRIM(Raw_Export!E1209)),0))</f>
        <v>3</v>
      </c>
      <c r="G1209" s="38" t="n">
        <f aca="false">IF(Raw_Export!$A1209="","",IFERROR(VALUE(SUBSTITUTE(SUBSTITUTE(UPPER(TRIM(Raw_Export!F1209)),"KES",""),",","")),0))</f>
        <v>450</v>
      </c>
      <c r="H1209" s="38" t="n">
        <f aca="false">IF(Raw_Export!$A1209="","",F1209*G1209)</f>
        <v>1350</v>
      </c>
      <c r="I1209" s="36" t="str">
        <f aca="false">IF(Raw_Export!$A1209="","",IFERROR(VLOOKUP(LOWER(TRIM(Raw_Export!H1209)),Maps!$D$2:$E$12,2,FALSE()),"Other"))</f>
        <v>Cash</v>
      </c>
      <c r="J1209" s="36" t="str">
        <f aca="false">IF(Raw_Export!$A1209="","",IF(COUNTIF($A$2:A1209,A1209)&gt;1,"Duplicate",""))</f>
        <v/>
      </c>
      <c r="K1209" s="36" t="str">
        <f aca="false">IF(Raw_Export!$A1209="","",IF(J1209="Duplicate","Duplicate",IF(OR(C1209="UNMAPPED",D1209="UNMAPPED"),"Unmapped",IF(F1209=0,"Blank qty",IF(F1209&lt;0,"Return","OK")))))</f>
        <v>OK</v>
      </c>
      <c r="L1209" s="36" t="n">
        <f aca="false">IF(Raw_Export!$A1209="","",IF(OR(K1209="OK",K1209="Return"),1,0))</f>
        <v>1</v>
      </c>
      <c r="M1209" s="37" t="n">
        <f aca="false">IF(Raw_Export!$A1209="","",B1209-WEEKDAY(B1209,2)+1)</f>
        <v>46272</v>
      </c>
    </row>
    <row r="1210" customFormat="false" ht="15" hidden="false" customHeight="false" outlineLevel="0" collapsed="false">
      <c r="A1210" s="36" t="str">
        <f aca="false">IF(Raw_Export!$A1210="","",TRIM(Raw_Export!A1210))</f>
        <v>TXN-101187</v>
      </c>
      <c r="B1210" s="37" t="n">
        <f aca="false">IF(Raw_Export!$A1210="","",IF(ISNUMBER(Raw_Export!B1210),Raw_Export!B1210,IF(MID(TRIM(Raw_Export!B1210),5,1)="-",DATE(LEFT(TRIM(Raw_Export!B1210),4),MID(TRIM(Raw_Export!B1210),6,2),RIGHT(TRIM(Raw_Export!B1210),2)),DATE(RIGHT(TRIM(Raw_Export!B1210),4),MATCH(MID(TRIM(Raw_Export!B1210),4,3),{"Jan","Feb","Mar","Apr","May","Jun","Jul","Aug","Sep","Oct","Nov","Dec"},0),LEFT(TRIM(Raw_Export!B1210),2)))))</f>
        <v>46272</v>
      </c>
      <c r="C1210" s="36" t="str">
        <f aca="false">IF(Raw_Export!$A1210="","",IFERROR(VLOOKUP(LOWER(TRIM(Raw_Export!C1210)),Maps!$A$2:$B$20,2,FALSE()),"UNMAPPED"))</f>
        <v>Nakuru</v>
      </c>
      <c r="D1210" s="36" t="str">
        <f aca="false">IF(Raw_Export!$A1210="","",IFERROR(VLOOKUP(LOWER(TRIM(Raw_Export!D1210)),Maps!$G$2:$I$80,2,FALSE()),"UNMAPPED"))</f>
        <v>Soda 500ml</v>
      </c>
      <c r="E1210" s="36" t="str">
        <f aca="false">IF(Raw_Export!$A1210="","",IFERROR(VLOOKUP(LOWER(TRIM(Raw_Export!D1210)),Maps!$G$2:$I$80,3,FALSE()),"UNMAPPED"))</f>
        <v>Beverages</v>
      </c>
      <c r="F1210" s="36" t="n">
        <f aca="false">IF(Raw_Export!$A1210="","",IFERROR(VALUE(TRIM(Raw_Export!E1210)),0))</f>
        <v>2</v>
      </c>
      <c r="G1210" s="38" t="n">
        <f aca="false">IF(Raw_Export!$A1210="","",IFERROR(VALUE(SUBSTITUTE(SUBSTITUTE(UPPER(TRIM(Raw_Export!F1210)),"KES",""),",","")),0))</f>
        <v>60</v>
      </c>
      <c r="H1210" s="38" t="n">
        <f aca="false">IF(Raw_Export!$A1210="","",F1210*G1210)</f>
        <v>120</v>
      </c>
      <c r="I1210" s="36" t="str">
        <f aca="false">IF(Raw_Export!$A1210="","",IFERROR(VLOOKUP(LOWER(TRIM(Raw_Export!H1210)),Maps!$D$2:$E$12,2,FALSE()),"Other"))</f>
        <v>M-Pesa</v>
      </c>
      <c r="J1210" s="36" t="str">
        <f aca="false">IF(Raw_Export!$A1210="","",IF(COUNTIF($A$2:A1210,A1210)&gt;1,"Duplicate",""))</f>
        <v/>
      </c>
      <c r="K1210" s="36" t="str">
        <f aca="false">IF(Raw_Export!$A1210="","",IF(J1210="Duplicate","Duplicate",IF(OR(C1210="UNMAPPED",D1210="UNMAPPED"),"Unmapped",IF(F1210=0,"Blank qty",IF(F1210&lt;0,"Return","OK")))))</f>
        <v>OK</v>
      </c>
      <c r="L1210" s="36" t="n">
        <f aca="false">IF(Raw_Export!$A1210="","",IF(OR(K1210="OK",K1210="Return"),1,0))</f>
        <v>1</v>
      </c>
      <c r="M1210" s="37" t="n">
        <f aca="false">IF(Raw_Export!$A1210="","",B1210-WEEKDAY(B1210,2)+1)</f>
        <v>46272</v>
      </c>
    </row>
    <row r="1211" customFormat="false" ht="15" hidden="false" customHeight="false" outlineLevel="0" collapsed="false">
      <c r="A1211" s="36" t="str">
        <f aca="false">IF(Raw_Export!$A1211="","",TRIM(Raw_Export!A1211))</f>
        <v>TXN-101188</v>
      </c>
      <c r="B1211" s="37" t="n">
        <f aca="false">IF(Raw_Export!$A1211="","",IF(ISNUMBER(Raw_Export!B1211),Raw_Export!B1211,IF(MID(TRIM(Raw_Export!B1211),5,1)="-",DATE(LEFT(TRIM(Raw_Export!B1211),4),MID(TRIM(Raw_Export!B1211),6,2),RIGHT(TRIM(Raw_Export!B1211),2)),DATE(RIGHT(TRIM(Raw_Export!B1211),4),MATCH(MID(TRIM(Raw_Export!B1211),4,3),{"Jan","Feb","Mar","Apr","May","Jun","Jul","Aug","Sep","Oct","Nov","Dec"},0),LEFT(TRIM(Raw_Export!B1211),2)))))</f>
        <v>46272</v>
      </c>
      <c r="C1211" s="36" t="str">
        <f aca="false">IF(Raw_Export!$A1211="","",IFERROR(VLOOKUP(LOWER(TRIM(Raw_Export!C1211)),Maps!$A$2:$B$20,2,FALSE()),"UNMAPPED"))</f>
        <v>Nakuru</v>
      </c>
      <c r="D1211" s="36" t="str">
        <f aca="false">IF(Raw_Export!$A1211="","",IFERROR(VLOOKUP(LOWER(TRIM(Raw_Export!D1211)),Maps!$G$2:$I$80,2,FALSE()),"UNMAPPED"))</f>
        <v>Toothpaste 100g</v>
      </c>
      <c r="E1211" s="36" t="str">
        <f aca="false">IF(Raw_Export!$A1211="","",IFERROR(VLOOKUP(LOWER(TRIM(Raw_Export!D1211)),Maps!$G$2:$I$80,3,FALSE()),"UNMAPPED"))</f>
        <v>Personal Care</v>
      </c>
      <c r="F1211" s="36" t="n">
        <f aca="false">IF(Raw_Export!$A1211="","",IFERROR(VALUE(TRIM(Raw_Export!E1211)),0))</f>
        <v>1</v>
      </c>
      <c r="G1211" s="38" t="n">
        <f aca="false">IF(Raw_Export!$A1211="","",IFERROR(VALUE(SUBSTITUTE(SUBSTITUTE(UPPER(TRIM(Raw_Export!F1211)),"KES",""),",","")),0))</f>
        <v>195</v>
      </c>
      <c r="H1211" s="38" t="n">
        <f aca="false">IF(Raw_Export!$A1211="","",F1211*G1211)</f>
        <v>195</v>
      </c>
      <c r="I1211" s="36" t="str">
        <f aca="false">IF(Raw_Export!$A1211="","",IFERROR(VLOOKUP(LOWER(TRIM(Raw_Export!H1211)),Maps!$D$2:$E$12,2,FALSE()),"Other"))</f>
        <v>Cash</v>
      </c>
      <c r="J1211" s="36" t="str">
        <f aca="false">IF(Raw_Export!$A1211="","",IF(COUNTIF($A$2:A1211,A1211)&gt;1,"Duplicate",""))</f>
        <v/>
      </c>
      <c r="K1211" s="36" t="str">
        <f aca="false">IF(Raw_Export!$A1211="","",IF(J1211="Duplicate","Duplicate",IF(OR(C1211="UNMAPPED",D1211="UNMAPPED"),"Unmapped",IF(F1211=0,"Blank qty",IF(F1211&lt;0,"Return","OK")))))</f>
        <v>OK</v>
      </c>
      <c r="L1211" s="36" t="n">
        <f aca="false">IF(Raw_Export!$A1211="","",IF(OR(K1211="OK",K1211="Return"),1,0))</f>
        <v>1</v>
      </c>
      <c r="M1211" s="37" t="n">
        <f aca="false">IF(Raw_Export!$A1211="","",B1211-WEEKDAY(B1211,2)+1)</f>
        <v>46272</v>
      </c>
    </row>
    <row r="1212" customFormat="false" ht="15" hidden="false" customHeight="false" outlineLevel="0" collapsed="false">
      <c r="A1212" s="36" t="str">
        <f aca="false">IF(Raw_Export!$A1212="","",TRIM(Raw_Export!A1212))</f>
        <v>TXN-101189</v>
      </c>
      <c r="B1212" s="37" t="n">
        <f aca="false">IF(Raw_Export!$A1212="","",IF(ISNUMBER(Raw_Export!B1212),Raw_Export!B1212,IF(MID(TRIM(Raw_Export!B1212),5,1)="-",DATE(LEFT(TRIM(Raw_Export!B1212),4),MID(TRIM(Raw_Export!B1212),6,2),RIGHT(TRIM(Raw_Export!B1212),2)),DATE(RIGHT(TRIM(Raw_Export!B1212),4),MATCH(MID(TRIM(Raw_Export!B1212),4,3),{"Jan","Feb","Mar","Apr","May","Jun","Jul","Aug","Sep","Oct","Nov","Dec"},0),LEFT(TRIM(Raw_Export!B1212),2)))))</f>
        <v>46272</v>
      </c>
      <c r="C1212" s="36" t="str">
        <f aca="false">IF(Raw_Export!$A1212="","",IFERROR(VLOOKUP(LOWER(TRIM(Raw_Export!C1212)),Maps!$A$2:$B$20,2,FALSE()),"UNMAPPED"))</f>
        <v>Nakuru</v>
      </c>
      <c r="D1212" s="36" t="str">
        <f aca="false">IF(Raw_Export!$A1212="","",IFERROR(VLOOKUP(LOWER(TRIM(Raw_Export!D1212)),Maps!$G$2:$I$80,2,FALSE()),"UNMAPPED"))</f>
        <v>Cooking Oil 1L</v>
      </c>
      <c r="E1212" s="36" t="str">
        <f aca="false">IF(Raw_Export!$A1212="","",IFERROR(VLOOKUP(LOWER(TRIM(Raw_Export!D1212)),Maps!$G$2:$I$80,3,FALSE()),"UNMAPPED"))</f>
        <v>Staples</v>
      </c>
      <c r="F1212" s="36" t="n">
        <f aca="false">IF(Raw_Export!$A1212="","",IFERROR(VALUE(TRIM(Raw_Export!E1212)),0))</f>
        <v>6</v>
      </c>
      <c r="G1212" s="38" t="n">
        <f aca="false">IF(Raw_Export!$A1212="","",IFERROR(VALUE(SUBSTITUTE(SUBSTITUTE(UPPER(TRIM(Raw_Export!F1212)),"KES",""),",","")),0))</f>
        <v>297</v>
      </c>
      <c r="H1212" s="38" t="n">
        <f aca="false">IF(Raw_Export!$A1212="","",F1212*G1212)</f>
        <v>1782</v>
      </c>
      <c r="I1212" s="36" t="str">
        <f aca="false">IF(Raw_Export!$A1212="","",IFERROR(VLOOKUP(LOWER(TRIM(Raw_Export!H1212)),Maps!$D$2:$E$12,2,FALSE()),"Other"))</f>
        <v>Card</v>
      </c>
      <c r="J1212" s="36" t="str">
        <f aca="false">IF(Raw_Export!$A1212="","",IF(COUNTIF($A$2:A1212,A1212)&gt;1,"Duplicate",""))</f>
        <v/>
      </c>
      <c r="K1212" s="36" t="str">
        <f aca="false">IF(Raw_Export!$A1212="","",IF(J1212="Duplicate","Duplicate",IF(OR(C1212="UNMAPPED",D1212="UNMAPPED"),"Unmapped",IF(F1212=0,"Blank qty",IF(F1212&lt;0,"Return","OK")))))</f>
        <v>OK</v>
      </c>
      <c r="L1212" s="36" t="n">
        <f aca="false">IF(Raw_Export!$A1212="","",IF(OR(K1212="OK",K1212="Return"),1,0))</f>
        <v>1</v>
      </c>
      <c r="M1212" s="37" t="n">
        <f aca="false">IF(Raw_Export!$A1212="","",B1212-WEEKDAY(B1212,2)+1)</f>
        <v>46272</v>
      </c>
    </row>
    <row r="1213" customFormat="false" ht="15" hidden="false" customHeight="false" outlineLevel="0" collapsed="false">
      <c r="A1213" s="36" t="str">
        <f aca="false">IF(Raw_Export!$A1213="","",TRIM(Raw_Export!A1213))</f>
        <v>TXN-101190</v>
      </c>
      <c r="B1213" s="37" t="n">
        <f aca="false">IF(Raw_Export!$A1213="","",IF(ISNUMBER(Raw_Export!B1213),Raw_Export!B1213,IF(MID(TRIM(Raw_Export!B1213),5,1)="-",DATE(LEFT(TRIM(Raw_Export!B1213),4),MID(TRIM(Raw_Export!B1213),6,2),RIGHT(TRIM(Raw_Export!B1213),2)),DATE(RIGHT(TRIM(Raw_Export!B1213),4),MATCH(MID(TRIM(Raw_Export!B1213),4,3),{"Jan","Feb","Mar","Apr","May","Jun","Jul","Aug","Sep","Oct","Nov","Dec"},0),LEFT(TRIM(Raw_Export!B1213),2)))))</f>
        <v>46272</v>
      </c>
      <c r="C1213" s="36" t="str">
        <f aca="false">IF(Raw_Export!$A1213="","",IFERROR(VLOOKUP(LOWER(TRIM(Raw_Export!C1213)),Maps!$A$2:$B$20,2,FALSE()),"UNMAPPED"))</f>
        <v>Nakuru</v>
      </c>
      <c r="D1213" s="36" t="str">
        <f aca="false">IF(Raw_Export!$A1213="","",IFERROR(VLOOKUP(LOWER(TRIM(Raw_Export!D1213)),Maps!$G$2:$I$80,2,FALSE()),"UNMAPPED"))</f>
        <v>Washing Powder 1kg</v>
      </c>
      <c r="E1213" s="36" t="str">
        <f aca="false">IF(Raw_Export!$A1213="","",IFERROR(VLOOKUP(LOWER(TRIM(Raw_Export!D1213)),Maps!$G$2:$I$80,3,FALSE()),"UNMAPPED"))</f>
        <v>Household</v>
      </c>
      <c r="F1213" s="36" t="n">
        <f aca="false">IF(Raw_Export!$A1213="","",IFERROR(VALUE(TRIM(Raw_Export!E1213)),0))</f>
        <v>3</v>
      </c>
      <c r="G1213" s="38" t="n">
        <f aca="false">IF(Raw_Export!$A1213="","",IFERROR(VALUE(SUBSTITUTE(SUBSTITUTE(UPPER(TRIM(Raw_Export!F1213)),"KES",""),",","")),0))</f>
        <v>280</v>
      </c>
      <c r="H1213" s="38" t="n">
        <f aca="false">IF(Raw_Export!$A1213="","",F1213*G1213)</f>
        <v>840</v>
      </c>
      <c r="I1213" s="36" t="str">
        <f aca="false">IF(Raw_Export!$A1213="","",IFERROR(VLOOKUP(LOWER(TRIM(Raw_Export!H1213)),Maps!$D$2:$E$12,2,FALSE()),"Other"))</f>
        <v>M-Pesa</v>
      </c>
      <c r="J1213" s="36" t="str">
        <f aca="false">IF(Raw_Export!$A1213="","",IF(COUNTIF($A$2:A1213,A1213)&gt;1,"Duplicate",""))</f>
        <v/>
      </c>
      <c r="K1213" s="36" t="str">
        <f aca="false">IF(Raw_Export!$A1213="","",IF(J1213="Duplicate","Duplicate",IF(OR(C1213="UNMAPPED",D1213="UNMAPPED"),"Unmapped",IF(F1213=0,"Blank qty",IF(F1213&lt;0,"Return","OK")))))</f>
        <v>OK</v>
      </c>
      <c r="L1213" s="36" t="n">
        <f aca="false">IF(Raw_Export!$A1213="","",IF(OR(K1213="OK",K1213="Return"),1,0))</f>
        <v>1</v>
      </c>
      <c r="M1213" s="37" t="n">
        <f aca="false">IF(Raw_Export!$A1213="","",B1213-WEEKDAY(B1213,2)+1)</f>
        <v>46272</v>
      </c>
    </row>
    <row r="1214" customFormat="false" ht="15" hidden="false" customHeight="false" outlineLevel="0" collapsed="false">
      <c r="A1214" s="36" t="str">
        <f aca="false">IF(Raw_Export!$A1214="","",TRIM(Raw_Export!A1214))</f>
        <v>TXN-101191</v>
      </c>
      <c r="B1214" s="37" t="n">
        <f aca="false">IF(Raw_Export!$A1214="","",IF(ISNUMBER(Raw_Export!B1214),Raw_Export!B1214,IF(MID(TRIM(Raw_Export!B1214),5,1)="-",DATE(LEFT(TRIM(Raw_Export!B1214),4),MID(TRIM(Raw_Export!B1214),6,2),RIGHT(TRIM(Raw_Export!B1214),2)),DATE(RIGHT(TRIM(Raw_Export!B1214),4),MATCH(MID(TRIM(Raw_Export!B1214),4,3),{"Jan","Feb","Mar","Apr","May","Jun","Jul","Aug","Sep","Oct","Nov","Dec"},0),LEFT(TRIM(Raw_Export!B1214),2)))))</f>
        <v>46272</v>
      </c>
      <c r="C1214" s="36" t="str">
        <f aca="false">IF(Raw_Export!$A1214="","",IFERROR(VLOOKUP(LOWER(TRIM(Raw_Export!C1214)),Maps!$A$2:$B$20,2,FALSE()),"UNMAPPED"))</f>
        <v>Nakuru</v>
      </c>
      <c r="D1214" s="36" t="str">
        <f aca="false">IF(Raw_Export!$A1214="","",IFERROR(VLOOKUP(LOWER(TRIM(Raw_Export!D1214)),Maps!$G$2:$I$80,2,FALSE()),"UNMAPPED"))</f>
        <v>Matches 10pk</v>
      </c>
      <c r="E1214" s="36" t="str">
        <f aca="false">IF(Raw_Export!$A1214="","",IFERROR(VLOOKUP(LOWER(TRIM(Raw_Export!D1214)),Maps!$G$2:$I$80,3,FALSE()),"UNMAPPED"))</f>
        <v>Household</v>
      </c>
      <c r="F1214" s="36" t="n">
        <f aca="false">IF(Raw_Export!$A1214="","",IFERROR(VALUE(TRIM(Raw_Export!E1214)),0))</f>
        <v>4</v>
      </c>
      <c r="G1214" s="38" t="n">
        <f aca="false">IF(Raw_Export!$A1214="","",IFERROR(VALUE(SUBSTITUTE(SUBSTITUTE(UPPER(TRIM(Raw_Export!F1214)),"KES",""),",","")),0))</f>
        <v>50</v>
      </c>
      <c r="H1214" s="38" t="n">
        <f aca="false">IF(Raw_Export!$A1214="","",F1214*G1214)</f>
        <v>200</v>
      </c>
      <c r="I1214" s="36" t="str">
        <f aca="false">IF(Raw_Export!$A1214="","",IFERROR(VLOOKUP(LOWER(TRIM(Raw_Export!H1214)),Maps!$D$2:$E$12,2,FALSE()),"Other"))</f>
        <v>M-Pesa</v>
      </c>
      <c r="J1214" s="36" t="str">
        <f aca="false">IF(Raw_Export!$A1214="","",IF(COUNTIF($A$2:A1214,A1214)&gt;1,"Duplicate",""))</f>
        <v/>
      </c>
      <c r="K1214" s="36" t="str">
        <f aca="false">IF(Raw_Export!$A1214="","",IF(J1214="Duplicate","Duplicate",IF(OR(C1214="UNMAPPED",D1214="UNMAPPED"),"Unmapped",IF(F1214=0,"Blank qty",IF(F1214&lt;0,"Return","OK")))))</f>
        <v>OK</v>
      </c>
      <c r="L1214" s="36" t="n">
        <f aca="false">IF(Raw_Export!$A1214="","",IF(OR(K1214="OK",K1214="Return"),1,0))</f>
        <v>1</v>
      </c>
      <c r="M1214" s="37" t="n">
        <f aca="false">IF(Raw_Export!$A1214="","",B1214-WEEKDAY(B1214,2)+1)</f>
        <v>46272</v>
      </c>
    </row>
    <row r="1215" customFormat="false" ht="15" hidden="false" customHeight="false" outlineLevel="0" collapsed="false">
      <c r="A1215" s="36" t="str">
        <f aca="false">IF(Raw_Export!$A1215="","",TRIM(Raw_Export!A1215))</f>
        <v>TXN-101192</v>
      </c>
      <c r="B1215" s="37" t="n">
        <f aca="false">IF(Raw_Export!$A1215="","",IF(ISNUMBER(Raw_Export!B1215),Raw_Export!B1215,IF(MID(TRIM(Raw_Export!B1215),5,1)="-",DATE(LEFT(TRIM(Raw_Export!B1215),4),MID(TRIM(Raw_Export!B1215),6,2),RIGHT(TRIM(Raw_Export!B1215),2)),DATE(RIGHT(TRIM(Raw_Export!B1215),4),MATCH(MID(TRIM(Raw_Export!B1215),4,3),{"Jan","Feb","Mar","Apr","May","Jun","Jul","Aug","Sep","Oct","Nov","Dec"},0),LEFT(TRIM(Raw_Export!B1215),2)))))</f>
        <v>46272</v>
      </c>
      <c r="C1215" s="36" t="str">
        <f aca="false">IF(Raw_Export!$A1215="","",IFERROR(VLOOKUP(LOWER(TRIM(Raw_Export!C1215)),Maps!$A$2:$B$20,2,FALSE()),"UNMAPPED"))</f>
        <v>Nakuru</v>
      </c>
      <c r="D1215" s="36" t="str">
        <f aca="false">IF(Raw_Export!$A1215="","",IFERROR(VLOOKUP(LOWER(TRIM(Raw_Export!D1215)),Maps!$G$2:$I$80,2,FALSE()),"UNMAPPED"))</f>
        <v>Matches 10pk</v>
      </c>
      <c r="E1215" s="36" t="str">
        <f aca="false">IF(Raw_Export!$A1215="","",IFERROR(VLOOKUP(LOWER(TRIM(Raw_Export!D1215)),Maps!$G$2:$I$80,3,FALSE()),"UNMAPPED"))</f>
        <v>Household</v>
      </c>
      <c r="F1215" s="36" t="n">
        <f aca="false">IF(Raw_Export!$A1215="","",IFERROR(VALUE(TRIM(Raw_Export!E1215)),0))</f>
        <v>1</v>
      </c>
      <c r="G1215" s="38" t="n">
        <f aca="false">IF(Raw_Export!$A1215="","",IFERROR(VALUE(SUBSTITUTE(SUBSTITUTE(UPPER(TRIM(Raw_Export!F1215)),"KES",""),",","")),0))</f>
        <v>50</v>
      </c>
      <c r="H1215" s="38" t="n">
        <f aca="false">IF(Raw_Export!$A1215="","",F1215*G1215)</f>
        <v>50</v>
      </c>
      <c r="I1215" s="36" t="str">
        <f aca="false">IF(Raw_Export!$A1215="","",IFERROR(VLOOKUP(LOWER(TRIM(Raw_Export!H1215)),Maps!$D$2:$E$12,2,FALSE()),"Other"))</f>
        <v>M-Pesa</v>
      </c>
      <c r="J1215" s="36" t="str">
        <f aca="false">IF(Raw_Export!$A1215="","",IF(COUNTIF($A$2:A1215,A1215)&gt;1,"Duplicate",""))</f>
        <v/>
      </c>
      <c r="K1215" s="36" t="str">
        <f aca="false">IF(Raw_Export!$A1215="","",IF(J1215="Duplicate","Duplicate",IF(OR(C1215="UNMAPPED",D1215="UNMAPPED"),"Unmapped",IF(F1215=0,"Blank qty",IF(F1215&lt;0,"Return","OK")))))</f>
        <v>OK</v>
      </c>
      <c r="L1215" s="36" t="n">
        <f aca="false">IF(Raw_Export!$A1215="","",IF(OR(K1215="OK",K1215="Return"),1,0))</f>
        <v>1</v>
      </c>
      <c r="M1215" s="37" t="n">
        <f aca="false">IF(Raw_Export!$A1215="","",B1215-WEEKDAY(B1215,2)+1)</f>
        <v>46272</v>
      </c>
    </row>
    <row r="1216" customFormat="false" ht="15" hidden="false" customHeight="false" outlineLevel="0" collapsed="false">
      <c r="A1216" s="36" t="str">
        <f aca="false">IF(Raw_Export!$A1216="","",TRIM(Raw_Export!A1216))</f>
        <v>TXN-101193</v>
      </c>
      <c r="B1216" s="37" t="n">
        <f aca="false">IF(Raw_Export!$A1216="","",IF(ISNUMBER(Raw_Export!B1216),Raw_Export!B1216,IF(MID(TRIM(Raw_Export!B1216),5,1)="-",DATE(LEFT(TRIM(Raw_Export!B1216),4),MID(TRIM(Raw_Export!B1216),6,2),RIGHT(TRIM(Raw_Export!B1216),2)),DATE(RIGHT(TRIM(Raw_Export!B1216),4),MATCH(MID(TRIM(Raw_Export!B1216),4,3),{"Jan","Feb","Mar","Apr","May","Jun","Jul","Aug","Sep","Oct","Nov","Dec"},0),LEFT(TRIM(Raw_Export!B1216),2)))))</f>
        <v>46272</v>
      </c>
      <c r="C1216" s="36" t="str">
        <f aca="false">IF(Raw_Export!$A1216="","",IFERROR(VLOOKUP(LOWER(TRIM(Raw_Export!C1216)),Maps!$A$2:$B$20,2,FALSE()),"UNMAPPED"))</f>
        <v>Nakuru</v>
      </c>
      <c r="D1216" s="36" t="str">
        <f aca="false">IF(Raw_Export!$A1216="","",IFERROR(VLOOKUP(LOWER(TRIM(Raw_Export!D1216)),Maps!$G$2:$I$80,2,FALSE()),"UNMAPPED"))</f>
        <v>Cooking Oil 1L</v>
      </c>
      <c r="E1216" s="36" t="str">
        <f aca="false">IF(Raw_Export!$A1216="","",IFERROR(VLOOKUP(LOWER(TRIM(Raw_Export!D1216)),Maps!$G$2:$I$80,3,FALSE()),"UNMAPPED"))</f>
        <v>Staples</v>
      </c>
      <c r="F1216" s="36" t="n">
        <f aca="false">IF(Raw_Export!$A1216="","",IFERROR(VALUE(TRIM(Raw_Export!E1216)),0))</f>
        <v>4</v>
      </c>
      <c r="G1216" s="38" t="n">
        <f aca="false">IF(Raw_Export!$A1216="","",IFERROR(VALUE(SUBSTITUTE(SUBSTITUTE(UPPER(TRIM(Raw_Export!F1216)),"KES",""),",","")),0))</f>
        <v>330</v>
      </c>
      <c r="H1216" s="38" t="n">
        <f aca="false">IF(Raw_Export!$A1216="","",F1216*G1216)</f>
        <v>1320</v>
      </c>
      <c r="I1216" s="36" t="str">
        <f aca="false">IF(Raw_Export!$A1216="","",IFERROR(VLOOKUP(LOWER(TRIM(Raw_Export!H1216)),Maps!$D$2:$E$12,2,FALSE()),"Other"))</f>
        <v>Cash</v>
      </c>
      <c r="J1216" s="36" t="str">
        <f aca="false">IF(Raw_Export!$A1216="","",IF(COUNTIF($A$2:A1216,A1216)&gt;1,"Duplicate",""))</f>
        <v/>
      </c>
      <c r="K1216" s="36" t="str">
        <f aca="false">IF(Raw_Export!$A1216="","",IF(J1216="Duplicate","Duplicate",IF(OR(C1216="UNMAPPED",D1216="UNMAPPED"),"Unmapped",IF(F1216=0,"Blank qty",IF(F1216&lt;0,"Return","OK")))))</f>
        <v>OK</v>
      </c>
      <c r="L1216" s="36" t="n">
        <f aca="false">IF(Raw_Export!$A1216="","",IF(OR(K1216="OK",K1216="Return"),1,0))</f>
        <v>1</v>
      </c>
      <c r="M1216" s="37" t="n">
        <f aca="false">IF(Raw_Export!$A1216="","",B1216-WEEKDAY(B1216,2)+1)</f>
        <v>46272</v>
      </c>
    </row>
    <row r="1217" customFormat="false" ht="15" hidden="false" customHeight="false" outlineLevel="0" collapsed="false">
      <c r="A1217" s="36" t="str">
        <f aca="false">IF(Raw_Export!$A1217="","",TRIM(Raw_Export!A1217))</f>
        <v>TXN-101194</v>
      </c>
      <c r="B1217" s="37" t="n">
        <f aca="false">IF(Raw_Export!$A1217="","",IF(ISNUMBER(Raw_Export!B1217),Raw_Export!B1217,IF(MID(TRIM(Raw_Export!B1217),5,1)="-",DATE(LEFT(TRIM(Raw_Export!B1217),4),MID(TRIM(Raw_Export!B1217),6,2),RIGHT(TRIM(Raw_Export!B1217),2)),DATE(RIGHT(TRIM(Raw_Export!B1217),4),MATCH(MID(TRIM(Raw_Export!B1217),4,3),{"Jan","Feb","Mar","Apr","May","Jun","Jul","Aug","Sep","Oct","Nov","Dec"},0),LEFT(TRIM(Raw_Export!B1217),2)))))</f>
        <v>46272</v>
      </c>
      <c r="C1217" s="36" t="str">
        <f aca="false">IF(Raw_Export!$A1217="","",IFERROR(VLOOKUP(LOWER(TRIM(Raw_Export!C1217)),Maps!$A$2:$B$20,2,FALSE()),"UNMAPPED"))</f>
        <v>Nakuru</v>
      </c>
      <c r="D1217" s="36" t="str">
        <f aca="false">IF(Raw_Export!$A1217="","",IFERROR(VLOOKUP(LOWER(TRIM(Raw_Export!D1217)),Maps!$G$2:$I$80,2,FALSE()),"UNMAPPED"))</f>
        <v>Toothpaste 100g</v>
      </c>
      <c r="E1217" s="36" t="str">
        <f aca="false">IF(Raw_Export!$A1217="","",IFERROR(VLOOKUP(LOWER(TRIM(Raw_Export!D1217)),Maps!$G$2:$I$80,3,FALSE()),"UNMAPPED"))</f>
        <v>Personal Care</v>
      </c>
      <c r="F1217" s="36" t="n">
        <f aca="false">IF(Raw_Export!$A1217="","",IFERROR(VALUE(TRIM(Raw_Export!E1217)),0))</f>
        <v>3</v>
      </c>
      <c r="G1217" s="38" t="n">
        <f aca="false">IF(Raw_Export!$A1217="","",IFERROR(VALUE(SUBSTITUTE(SUBSTITUTE(UPPER(TRIM(Raw_Export!F1217)),"KES",""),",","")),0))</f>
        <v>195</v>
      </c>
      <c r="H1217" s="38" t="n">
        <f aca="false">IF(Raw_Export!$A1217="","",F1217*G1217)</f>
        <v>585</v>
      </c>
      <c r="I1217" s="36" t="str">
        <f aca="false">IF(Raw_Export!$A1217="","",IFERROR(VLOOKUP(LOWER(TRIM(Raw_Export!H1217)),Maps!$D$2:$E$12,2,FALSE()),"Other"))</f>
        <v>M-Pesa</v>
      </c>
      <c r="J1217" s="36" t="str">
        <f aca="false">IF(Raw_Export!$A1217="","",IF(COUNTIF($A$2:A1217,A1217)&gt;1,"Duplicate",""))</f>
        <v/>
      </c>
      <c r="K1217" s="36" t="str">
        <f aca="false">IF(Raw_Export!$A1217="","",IF(J1217="Duplicate","Duplicate",IF(OR(C1217="UNMAPPED",D1217="UNMAPPED"),"Unmapped",IF(F1217=0,"Blank qty",IF(F1217&lt;0,"Return","OK")))))</f>
        <v>OK</v>
      </c>
      <c r="L1217" s="36" t="n">
        <f aca="false">IF(Raw_Export!$A1217="","",IF(OR(K1217="OK",K1217="Return"),1,0))</f>
        <v>1</v>
      </c>
      <c r="M1217" s="37" t="n">
        <f aca="false">IF(Raw_Export!$A1217="","",B1217-WEEKDAY(B1217,2)+1)</f>
        <v>46272</v>
      </c>
    </row>
    <row r="1218" customFormat="false" ht="15" hidden="false" customHeight="false" outlineLevel="0" collapsed="false">
      <c r="A1218" s="36" t="str">
        <f aca="false">IF(Raw_Export!$A1218="","",TRIM(Raw_Export!A1218))</f>
        <v>TXN-101195</v>
      </c>
      <c r="B1218" s="37" t="n">
        <f aca="false">IF(Raw_Export!$A1218="","",IF(ISNUMBER(Raw_Export!B1218),Raw_Export!B1218,IF(MID(TRIM(Raw_Export!B1218),5,1)="-",DATE(LEFT(TRIM(Raw_Export!B1218),4),MID(TRIM(Raw_Export!B1218),6,2),RIGHT(TRIM(Raw_Export!B1218),2)),DATE(RIGHT(TRIM(Raw_Export!B1218),4),MATCH(MID(TRIM(Raw_Export!B1218),4,3),{"Jan","Feb","Mar","Apr","May","Jun","Jul","Aug","Sep","Oct","Nov","Dec"},0),LEFT(TRIM(Raw_Export!B1218),2)))))</f>
        <v>46272</v>
      </c>
      <c r="C1218" s="36" t="str">
        <f aca="false">IF(Raw_Export!$A1218="","",IFERROR(VLOOKUP(LOWER(TRIM(Raw_Export!C1218)),Maps!$A$2:$B$20,2,FALSE()),"UNMAPPED"))</f>
        <v>Nakuru</v>
      </c>
      <c r="D1218" s="36" t="str">
        <f aca="false">IF(Raw_Export!$A1218="","",IFERROR(VLOOKUP(LOWER(TRIM(Raw_Export!D1218)),Maps!$G$2:$I$80,2,FALSE()),"UNMAPPED"))</f>
        <v>Bath Soap 175g</v>
      </c>
      <c r="E1218" s="36" t="str">
        <f aca="false">IF(Raw_Export!$A1218="","",IFERROR(VLOOKUP(LOWER(TRIM(Raw_Export!D1218)),Maps!$G$2:$I$80,3,FALSE()),"UNMAPPED"))</f>
        <v>Personal Care</v>
      </c>
      <c r="F1218" s="36" t="n">
        <f aca="false">IF(Raw_Export!$A1218="","",IFERROR(VALUE(TRIM(Raw_Export!E1218)),0))</f>
        <v>6</v>
      </c>
      <c r="G1218" s="38" t="n">
        <f aca="false">IF(Raw_Export!$A1218="","",IFERROR(VALUE(SUBSTITUTE(SUBSTITUTE(UPPER(TRIM(Raw_Export!F1218)),"KES",""),",","")),0))</f>
        <v>85</v>
      </c>
      <c r="H1218" s="38" t="n">
        <f aca="false">IF(Raw_Export!$A1218="","",F1218*G1218)</f>
        <v>510</v>
      </c>
      <c r="I1218" s="36" t="str">
        <f aca="false">IF(Raw_Export!$A1218="","",IFERROR(VLOOKUP(LOWER(TRIM(Raw_Export!H1218)),Maps!$D$2:$E$12,2,FALSE()),"Other"))</f>
        <v>M-Pesa</v>
      </c>
      <c r="J1218" s="36" t="str">
        <f aca="false">IF(Raw_Export!$A1218="","",IF(COUNTIF($A$2:A1218,A1218)&gt;1,"Duplicate",""))</f>
        <v/>
      </c>
      <c r="K1218" s="36" t="str">
        <f aca="false">IF(Raw_Export!$A1218="","",IF(J1218="Duplicate","Duplicate",IF(OR(C1218="UNMAPPED",D1218="UNMAPPED"),"Unmapped",IF(F1218=0,"Blank qty",IF(F1218&lt;0,"Return","OK")))))</f>
        <v>OK</v>
      </c>
      <c r="L1218" s="36" t="n">
        <f aca="false">IF(Raw_Export!$A1218="","",IF(OR(K1218="OK",K1218="Return"),1,0))</f>
        <v>1</v>
      </c>
      <c r="M1218" s="37" t="n">
        <f aca="false">IF(Raw_Export!$A1218="","",B1218-WEEKDAY(B1218,2)+1)</f>
        <v>46272</v>
      </c>
    </row>
    <row r="1219" customFormat="false" ht="15" hidden="false" customHeight="false" outlineLevel="0" collapsed="false">
      <c r="A1219" s="36" t="str">
        <f aca="false">IF(Raw_Export!$A1219="","",TRIM(Raw_Export!A1219))</f>
        <v>TXN-101196</v>
      </c>
      <c r="B1219" s="37" t="n">
        <f aca="false">IF(Raw_Export!$A1219="","",IF(ISNUMBER(Raw_Export!B1219),Raw_Export!B1219,IF(MID(TRIM(Raw_Export!B1219),5,1)="-",DATE(LEFT(TRIM(Raw_Export!B1219),4),MID(TRIM(Raw_Export!B1219),6,2),RIGHT(TRIM(Raw_Export!B1219),2)),DATE(RIGHT(TRIM(Raw_Export!B1219),4),MATCH(MID(TRIM(Raw_Export!B1219),4,3),{"Jan","Feb","Mar","Apr","May","Jun","Jul","Aug","Sep","Oct","Nov","Dec"},0),LEFT(TRIM(Raw_Export!B1219),2)))))</f>
        <v>46272</v>
      </c>
      <c r="C1219" s="36" t="str">
        <f aca="false">IF(Raw_Export!$A1219="","",IFERROR(VLOOKUP(LOWER(TRIM(Raw_Export!C1219)),Maps!$A$2:$B$20,2,FALSE()),"UNMAPPED"))</f>
        <v>Nakuru</v>
      </c>
      <c r="D1219" s="36" t="str">
        <f aca="false">IF(Raw_Export!$A1219="","",IFERROR(VLOOKUP(LOWER(TRIM(Raw_Export!D1219)),Maps!$G$2:$I$80,2,FALSE()),"UNMAPPED"))</f>
        <v>Fresh Milk 500ml</v>
      </c>
      <c r="E1219" s="36" t="str">
        <f aca="false">IF(Raw_Export!$A1219="","",IFERROR(VLOOKUP(LOWER(TRIM(Raw_Export!D1219)),Maps!$G$2:$I$80,3,FALSE()),"UNMAPPED"))</f>
        <v>Dairy &amp; Eggs</v>
      </c>
      <c r="F1219" s="36" t="n">
        <f aca="false">IF(Raw_Export!$A1219="","",IFERROR(VALUE(TRIM(Raw_Export!E1219)),0))</f>
        <v>1</v>
      </c>
      <c r="G1219" s="38" t="n">
        <f aca="false">IF(Raw_Export!$A1219="","",IFERROR(VALUE(SUBSTITUTE(SUBSTITUTE(UPPER(TRIM(Raw_Export!F1219)),"KES",""),",","")),0))</f>
        <v>65</v>
      </c>
      <c r="H1219" s="38" t="n">
        <f aca="false">IF(Raw_Export!$A1219="","",F1219*G1219)</f>
        <v>65</v>
      </c>
      <c r="I1219" s="36" t="str">
        <f aca="false">IF(Raw_Export!$A1219="","",IFERROR(VLOOKUP(LOWER(TRIM(Raw_Export!H1219)),Maps!$D$2:$E$12,2,FALSE()),"Other"))</f>
        <v>M-Pesa</v>
      </c>
      <c r="J1219" s="36" t="str">
        <f aca="false">IF(Raw_Export!$A1219="","",IF(COUNTIF($A$2:A1219,A1219)&gt;1,"Duplicate",""))</f>
        <v/>
      </c>
      <c r="K1219" s="36" t="str">
        <f aca="false">IF(Raw_Export!$A1219="","",IF(J1219="Duplicate","Duplicate",IF(OR(C1219="UNMAPPED",D1219="UNMAPPED"),"Unmapped",IF(F1219=0,"Blank qty",IF(F1219&lt;0,"Return","OK")))))</f>
        <v>OK</v>
      </c>
      <c r="L1219" s="36" t="n">
        <f aca="false">IF(Raw_Export!$A1219="","",IF(OR(K1219="OK",K1219="Return"),1,0))</f>
        <v>1</v>
      </c>
      <c r="M1219" s="37" t="n">
        <f aca="false">IF(Raw_Export!$A1219="","",B1219-WEEKDAY(B1219,2)+1)</f>
        <v>46272</v>
      </c>
    </row>
    <row r="1220" customFormat="false" ht="15" hidden="false" customHeight="false" outlineLevel="0" collapsed="false">
      <c r="A1220" s="36" t="str">
        <f aca="false">IF(Raw_Export!$A1220="","",TRIM(Raw_Export!A1220))</f>
        <v>TXN-101197</v>
      </c>
      <c r="B1220" s="37" t="n">
        <f aca="false">IF(Raw_Export!$A1220="","",IF(ISNUMBER(Raw_Export!B1220),Raw_Export!B1220,IF(MID(TRIM(Raw_Export!B1220),5,1)="-",DATE(LEFT(TRIM(Raw_Export!B1220),4),MID(TRIM(Raw_Export!B1220),6,2),RIGHT(TRIM(Raw_Export!B1220),2)),DATE(RIGHT(TRIM(Raw_Export!B1220),4),MATCH(MID(TRIM(Raw_Export!B1220),4,3),{"Jan","Feb","Mar","Apr","May","Jun","Jul","Aug","Sep","Oct","Nov","Dec"},0),LEFT(TRIM(Raw_Export!B1220),2)))))</f>
        <v>46272</v>
      </c>
      <c r="C1220" s="36" t="str">
        <f aca="false">IF(Raw_Export!$A1220="","",IFERROR(VLOOKUP(LOWER(TRIM(Raw_Export!C1220)),Maps!$A$2:$B$20,2,FALSE()),"UNMAPPED"))</f>
        <v>Nakuru</v>
      </c>
      <c r="D1220" s="36" t="str">
        <f aca="false">IF(Raw_Export!$A1220="","",IFERROR(VLOOKUP(LOWER(TRIM(Raw_Export!D1220)),Maps!$G$2:$I$80,2,FALSE()),"UNMAPPED"))</f>
        <v>Cooking Oil 1L</v>
      </c>
      <c r="E1220" s="36" t="str">
        <f aca="false">IF(Raw_Export!$A1220="","",IFERROR(VLOOKUP(LOWER(TRIM(Raw_Export!D1220)),Maps!$G$2:$I$80,3,FALSE()),"UNMAPPED"))</f>
        <v>Staples</v>
      </c>
      <c r="F1220" s="36" t="n">
        <f aca="false">IF(Raw_Export!$A1220="","",IFERROR(VALUE(TRIM(Raw_Export!E1220)),0))</f>
        <v>2</v>
      </c>
      <c r="G1220" s="38" t="n">
        <f aca="false">IF(Raw_Export!$A1220="","",IFERROR(VALUE(SUBSTITUTE(SUBSTITUTE(UPPER(TRIM(Raw_Export!F1220)),"KES",""),",","")),0))</f>
        <v>330</v>
      </c>
      <c r="H1220" s="38" t="n">
        <f aca="false">IF(Raw_Export!$A1220="","",F1220*G1220)</f>
        <v>660</v>
      </c>
      <c r="I1220" s="36" t="str">
        <f aca="false">IF(Raw_Export!$A1220="","",IFERROR(VLOOKUP(LOWER(TRIM(Raw_Export!H1220)),Maps!$D$2:$E$12,2,FALSE()),"Other"))</f>
        <v>Card</v>
      </c>
      <c r="J1220" s="36" t="str">
        <f aca="false">IF(Raw_Export!$A1220="","",IF(COUNTIF($A$2:A1220,A1220)&gt;1,"Duplicate",""))</f>
        <v/>
      </c>
      <c r="K1220" s="36" t="str">
        <f aca="false">IF(Raw_Export!$A1220="","",IF(J1220="Duplicate","Duplicate",IF(OR(C1220="UNMAPPED",D1220="UNMAPPED"),"Unmapped",IF(F1220=0,"Blank qty",IF(F1220&lt;0,"Return","OK")))))</f>
        <v>OK</v>
      </c>
      <c r="L1220" s="36" t="n">
        <f aca="false">IF(Raw_Export!$A1220="","",IF(OR(K1220="OK",K1220="Return"),1,0))</f>
        <v>1</v>
      </c>
      <c r="M1220" s="37" t="n">
        <f aca="false">IF(Raw_Export!$A1220="","",B1220-WEEKDAY(B1220,2)+1)</f>
        <v>46272</v>
      </c>
    </row>
    <row r="1221" customFormat="false" ht="15" hidden="false" customHeight="false" outlineLevel="0" collapsed="false">
      <c r="A1221" s="36" t="str">
        <f aca="false">IF(Raw_Export!$A1221="","",TRIM(Raw_Export!A1221))</f>
        <v>TXN-101198</v>
      </c>
      <c r="B1221" s="37" t="n">
        <f aca="false">IF(Raw_Export!$A1221="","",IF(ISNUMBER(Raw_Export!B1221),Raw_Export!B1221,IF(MID(TRIM(Raw_Export!B1221),5,1)="-",DATE(LEFT(TRIM(Raw_Export!B1221),4),MID(TRIM(Raw_Export!B1221),6,2),RIGHT(TRIM(Raw_Export!B1221),2)),DATE(RIGHT(TRIM(Raw_Export!B1221),4),MATCH(MID(TRIM(Raw_Export!B1221),4,3),{"Jan","Feb","Mar","Apr","May","Jun","Jul","Aug","Sep","Oct","Nov","Dec"},0),LEFT(TRIM(Raw_Export!B1221),2)))))</f>
        <v>46272</v>
      </c>
      <c r="C1221" s="36" t="str">
        <f aca="false">IF(Raw_Export!$A1221="","",IFERROR(VLOOKUP(LOWER(TRIM(Raw_Export!C1221)),Maps!$A$2:$B$20,2,FALSE()),"UNMAPPED"))</f>
        <v>Nakuru</v>
      </c>
      <c r="D1221" s="36" t="str">
        <f aca="false">IF(Raw_Export!$A1221="","",IFERROR(VLOOKUP(LOWER(TRIM(Raw_Export!D1221)),Maps!$G$2:$I$80,2,FALSE()),"UNMAPPED"))</f>
        <v>Bottled Water 1.5L</v>
      </c>
      <c r="E1221" s="36" t="str">
        <f aca="false">IF(Raw_Export!$A1221="","",IFERROR(VLOOKUP(LOWER(TRIM(Raw_Export!D1221)),Maps!$G$2:$I$80,3,FALSE()),"UNMAPPED"))</f>
        <v>Beverages</v>
      </c>
      <c r="F1221" s="36" t="n">
        <f aca="false">IF(Raw_Export!$A1221="","",IFERROR(VALUE(TRIM(Raw_Export!E1221)),0))</f>
        <v>6</v>
      </c>
      <c r="G1221" s="38" t="n">
        <f aca="false">IF(Raw_Export!$A1221="","",IFERROR(VALUE(SUBSTITUTE(SUBSTITUTE(UPPER(TRIM(Raw_Export!F1221)),"KES",""),",","")),0))</f>
        <v>90</v>
      </c>
      <c r="H1221" s="38" t="n">
        <f aca="false">IF(Raw_Export!$A1221="","",F1221*G1221)</f>
        <v>540</v>
      </c>
      <c r="I1221" s="36" t="str">
        <f aca="false">IF(Raw_Export!$A1221="","",IFERROR(VLOOKUP(LOWER(TRIM(Raw_Export!H1221)),Maps!$D$2:$E$12,2,FALSE()),"Other"))</f>
        <v>M-Pesa</v>
      </c>
      <c r="J1221" s="36" t="str">
        <f aca="false">IF(Raw_Export!$A1221="","",IF(COUNTIF($A$2:A1221,A1221)&gt;1,"Duplicate",""))</f>
        <v/>
      </c>
      <c r="K1221" s="36" t="str">
        <f aca="false">IF(Raw_Export!$A1221="","",IF(J1221="Duplicate","Duplicate",IF(OR(C1221="UNMAPPED",D1221="UNMAPPED"),"Unmapped",IF(F1221=0,"Blank qty",IF(F1221&lt;0,"Return","OK")))))</f>
        <v>OK</v>
      </c>
      <c r="L1221" s="36" t="n">
        <f aca="false">IF(Raw_Export!$A1221="","",IF(OR(K1221="OK",K1221="Return"),1,0))</f>
        <v>1</v>
      </c>
      <c r="M1221" s="37" t="n">
        <f aca="false">IF(Raw_Export!$A1221="","",B1221-WEEKDAY(B1221,2)+1)</f>
        <v>46272</v>
      </c>
    </row>
    <row r="1222" customFormat="false" ht="15" hidden="false" customHeight="false" outlineLevel="0" collapsed="false">
      <c r="A1222" s="36" t="str">
        <f aca="false">IF(Raw_Export!$A1222="","",TRIM(Raw_Export!A1222))</f>
        <v>TXN-101046</v>
      </c>
      <c r="B1222" s="37" t="n">
        <f aca="false">IF(Raw_Export!$A1222="","",IF(ISNUMBER(Raw_Export!B1222),Raw_Export!B1222,IF(MID(TRIM(Raw_Export!B1222),5,1)="-",DATE(LEFT(TRIM(Raw_Export!B1222),4),MID(TRIM(Raw_Export!B1222),6,2),RIGHT(TRIM(Raw_Export!B1222),2)),DATE(RIGHT(TRIM(Raw_Export!B1222),4),MATCH(MID(TRIM(Raw_Export!B1222),4,3),{"Jan","Feb","Mar","Apr","May","Jun","Jul","Aug","Sep","Oct","Nov","Dec"},0),LEFT(TRIM(Raw_Export!B1222),2)))))</f>
        <v>46271</v>
      </c>
      <c r="C1222" s="36" t="str">
        <f aca="false">IF(Raw_Export!$A1222="","",IFERROR(VLOOKUP(LOWER(TRIM(Raw_Export!C1222)),Maps!$A$2:$B$20,2,FALSE()),"UNMAPPED"))</f>
        <v>Kisumu</v>
      </c>
      <c r="D1222" s="36" t="str">
        <f aca="false">IF(Raw_Export!$A1222="","",IFERROR(VLOOKUP(LOWER(TRIM(Raw_Export!D1222)),Maps!$G$2:$I$80,2,FALSE()),"UNMAPPED"))</f>
        <v>Yoghurt 500ml</v>
      </c>
      <c r="E1222" s="36" t="str">
        <f aca="false">IF(Raw_Export!$A1222="","",IFERROR(VLOOKUP(LOWER(TRIM(Raw_Export!D1222)),Maps!$G$2:$I$80,3,FALSE()),"UNMAPPED"))</f>
        <v>Dairy &amp; Eggs</v>
      </c>
      <c r="F1222" s="36" t="n">
        <f aca="false">IF(Raw_Export!$A1222="","",IFERROR(VALUE(TRIM(Raw_Export!E1222)),0))</f>
        <v>2</v>
      </c>
      <c r="G1222" s="38" t="n">
        <f aca="false">IF(Raw_Export!$A1222="","",IFERROR(VALUE(SUBSTITUTE(SUBSTITUTE(UPPER(TRIM(Raw_Export!F1222)),"KES",""),",","")),0))</f>
        <v>120</v>
      </c>
      <c r="H1222" s="38" t="n">
        <f aca="false">IF(Raw_Export!$A1222="","",F1222*G1222)</f>
        <v>240</v>
      </c>
      <c r="I1222" s="36" t="str">
        <f aca="false">IF(Raw_Export!$A1222="","",IFERROR(VLOOKUP(LOWER(TRIM(Raw_Export!H1222)),Maps!$D$2:$E$12,2,FALSE()),"Other"))</f>
        <v>M-Pesa</v>
      </c>
      <c r="J1222" s="36" t="str">
        <f aca="false">IF(Raw_Export!$A1222="","",IF(COUNTIF($A$2:A1222,A1222)&gt;1,"Duplicate",""))</f>
        <v>Duplicate</v>
      </c>
      <c r="K1222" s="36" t="str">
        <f aca="false">IF(Raw_Export!$A1222="","",IF(J1222="Duplicate","Duplicate",IF(OR(C1222="UNMAPPED",D1222="UNMAPPED"),"Unmapped",IF(F1222=0,"Blank qty",IF(F1222&lt;0,"Return","OK")))))</f>
        <v>Duplicate</v>
      </c>
      <c r="L1222" s="36" t="n">
        <f aca="false">IF(Raw_Export!$A1222="","",IF(OR(K1222="OK",K1222="Return"),1,0))</f>
        <v>0</v>
      </c>
      <c r="M1222" s="37" t="n">
        <f aca="false">IF(Raw_Export!$A1222="","",B1222-WEEKDAY(B1222,2)+1)</f>
        <v>46265</v>
      </c>
    </row>
    <row r="1223" customFormat="false" ht="15" hidden="false" customHeight="false" outlineLevel="0" collapsed="false">
      <c r="A1223" s="36" t="str">
        <f aca="false">IF(Raw_Export!$A1223="","",TRIM(Raw_Export!A1223))</f>
        <v>TXN-101199</v>
      </c>
      <c r="B1223" s="37" t="n">
        <f aca="false">IF(Raw_Export!$A1223="","",IF(ISNUMBER(Raw_Export!B1223),Raw_Export!B1223,IF(MID(TRIM(Raw_Export!B1223),5,1)="-",DATE(LEFT(TRIM(Raw_Export!B1223),4),MID(TRIM(Raw_Export!B1223),6,2),RIGHT(TRIM(Raw_Export!B1223),2)),DATE(RIGHT(TRIM(Raw_Export!B1223),4),MATCH(MID(TRIM(Raw_Export!B1223),4,3),{"Jan","Feb","Mar","Apr","May","Jun","Jul","Aug","Sep","Oct","Nov","Dec"},0),LEFT(TRIM(Raw_Export!B1223),2)))))</f>
        <v>46272</v>
      </c>
      <c r="C1223" s="36" t="str">
        <f aca="false">IF(Raw_Export!$A1223="","",IFERROR(VLOOKUP(LOWER(TRIM(Raw_Export!C1223)),Maps!$A$2:$B$20,2,FALSE()),"UNMAPPED"))</f>
        <v>Nakuru</v>
      </c>
      <c r="D1223" s="36" t="str">
        <f aca="false">IF(Raw_Export!$A1223="","",IFERROR(VLOOKUP(LOWER(TRIM(Raw_Export!D1223)),Maps!$G$2:$I$80,2,FALSE()),"UNMAPPED"))</f>
        <v>Bleach 1L</v>
      </c>
      <c r="E1223" s="36" t="str">
        <f aca="false">IF(Raw_Export!$A1223="","",IFERROR(VLOOKUP(LOWER(TRIM(Raw_Export!D1223)),Maps!$G$2:$I$80,3,FALSE()),"UNMAPPED"))</f>
        <v>Household</v>
      </c>
      <c r="F1223" s="36" t="n">
        <f aca="false">IF(Raw_Export!$A1223="","",IFERROR(VALUE(TRIM(Raw_Export!E1223)),0))</f>
        <v>3</v>
      </c>
      <c r="G1223" s="38" t="n">
        <f aca="false">IF(Raw_Export!$A1223="","",IFERROR(VALUE(SUBSTITUTE(SUBSTITUTE(UPPER(TRIM(Raw_Export!F1223)),"KES",""),",","")),0))</f>
        <v>160</v>
      </c>
      <c r="H1223" s="38" t="n">
        <f aca="false">IF(Raw_Export!$A1223="","",F1223*G1223)</f>
        <v>480</v>
      </c>
      <c r="I1223" s="36" t="str">
        <f aca="false">IF(Raw_Export!$A1223="","",IFERROR(VLOOKUP(LOWER(TRIM(Raw_Export!H1223)),Maps!$D$2:$E$12,2,FALSE()),"Other"))</f>
        <v>Cash</v>
      </c>
      <c r="J1223" s="36" t="str">
        <f aca="false">IF(Raw_Export!$A1223="","",IF(COUNTIF($A$2:A1223,A1223)&gt;1,"Duplicate",""))</f>
        <v/>
      </c>
      <c r="K1223" s="36" t="str">
        <f aca="false">IF(Raw_Export!$A1223="","",IF(J1223="Duplicate","Duplicate",IF(OR(C1223="UNMAPPED",D1223="UNMAPPED"),"Unmapped",IF(F1223=0,"Blank qty",IF(F1223&lt;0,"Return","OK")))))</f>
        <v>OK</v>
      </c>
      <c r="L1223" s="36" t="n">
        <f aca="false">IF(Raw_Export!$A1223="","",IF(OR(K1223="OK",K1223="Return"),1,0))</f>
        <v>1</v>
      </c>
      <c r="M1223" s="37" t="n">
        <f aca="false">IF(Raw_Export!$A1223="","",B1223-WEEKDAY(B1223,2)+1)</f>
        <v>46272</v>
      </c>
    </row>
    <row r="1224" customFormat="false" ht="15" hidden="false" customHeight="false" outlineLevel="0" collapsed="false">
      <c r="A1224" s="36" t="str">
        <f aca="false">IF(Raw_Export!$A1224="","",TRIM(Raw_Export!A1224))</f>
        <v>TXN-101200</v>
      </c>
      <c r="B1224" s="37" t="n">
        <f aca="false">IF(Raw_Export!$A1224="","",IF(ISNUMBER(Raw_Export!B1224),Raw_Export!B1224,IF(MID(TRIM(Raw_Export!B1224),5,1)="-",DATE(LEFT(TRIM(Raw_Export!B1224),4),MID(TRIM(Raw_Export!B1224),6,2),RIGHT(TRIM(Raw_Export!B1224),2)),DATE(RIGHT(TRIM(Raw_Export!B1224),4),MATCH(MID(TRIM(Raw_Export!B1224),4,3),{"Jan","Feb","Mar","Apr","May","Jun","Jul","Aug","Sep","Oct","Nov","Dec"},0),LEFT(TRIM(Raw_Export!B1224),2)))))</f>
        <v>46273</v>
      </c>
      <c r="C1224" s="36" t="str">
        <f aca="false">IF(Raw_Export!$A1224="","",IFERROR(VLOOKUP(LOWER(TRIM(Raw_Export!C1224)),Maps!$A$2:$B$20,2,FALSE()),"UNMAPPED"))</f>
        <v>Nairobi CBD</v>
      </c>
      <c r="D1224" s="36" t="str">
        <f aca="false">IF(Raw_Export!$A1224="","",IFERROR(VLOOKUP(LOWER(TRIM(Raw_Export!D1224)),Maps!$G$2:$I$80,2,FALSE()),"UNMAPPED"))</f>
        <v>Toothpaste 100g</v>
      </c>
      <c r="E1224" s="36" t="str">
        <f aca="false">IF(Raw_Export!$A1224="","",IFERROR(VLOOKUP(LOWER(TRIM(Raw_Export!D1224)),Maps!$G$2:$I$80,3,FALSE()),"UNMAPPED"))</f>
        <v>Personal Care</v>
      </c>
      <c r="F1224" s="36" t="n">
        <f aca="false">IF(Raw_Export!$A1224="","",IFERROR(VALUE(TRIM(Raw_Export!E1224)),0))</f>
        <v>2</v>
      </c>
      <c r="G1224" s="38" t="n">
        <f aca="false">IF(Raw_Export!$A1224="","",IFERROR(VALUE(SUBSTITUTE(SUBSTITUTE(UPPER(TRIM(Raw_Export!F1224)),"KES",""),",","")),0))</f>
        <v>195</v>
      </c>
      <c r="H1224" s="38" t="n">
        <f aca="false">IF(Raw_Export!$A1224="","",F1224*G1224)</f>
        <v>390</v>
      </c>
      <c r="I1224" s="36" t="str">
        <f aca="false">IF(Raw_Export!$A1224="","",IFERROR(VLOOKUP(LOWER(TRIM(Raw_Export!H1224)),Maps!$D$2:$E$12,2,FALSE()),"Other"))</f>
        <v>M-Pesa</v>
      </c>
      <c r="J1224" s="36" t="str">
        <f aca="false">IF(Raw_Export!$A1224="","",IF(COUNTIF($A$2:A1224,A1224)&gt;1,"Duplicate",""))</f>
        <v/>
      </c>
      <c r="K1224" s="36" t="str">
        <f aca="false">IF(Raw_Export!$A1224="","",IF(J1224="Duplicate","Duplicate",IF(OR(C1224="UNMAPPED",D1224="UNMAPPED"),"Unmapped",IF(F1224=0,"Blank qty",IF(F1224&lt;0,"Return","OK")))))</f>
        <v>OK</v>
      </c>
      <c r="L1224" s="36" t="n">
        <f aca="false">IF(Raw_Export!$A1224="","",IF(OR(K1224="OK",K1224="Return"),1,0))</f>
        <v>1</v>
      </c>
      <c r="M1224" s="37" t="n">
        <f aca="false">IF(Raw_Export!$A1224="","",B1224-WEEKDAY(B1224,2)+1)</f>
        <v>46272</v>
      </c>
    </row>
    <row r="1225" customFormat="false" ht="15" hidden="false" customHeight="false" outlineLevel="0" collapsed="false">
      <c r="A1225" s="36" t="str">
        <f aca="false">IF(Raw_Export!$A1225="","",TRIM(Raw_Export!A1225))</f>
        <v>TXN-101201</v>
      </c>
      <c r="B1225" s="37" t="n">
        <f aca="false">IF(Raw_Export!$A1225="","",IF(ISNUMBER(Raw_Export!B1225),Raw_Export!B1225,IF(MID(TRIM(Raw_Export!B1225),5,1)="-",DATE(LEFT(TRIM(Raw_Export!B1225),4),MID(TRIM(Raw_Export!B1225),6,2),RIGHT(TRIM(Raw_Export!B1225),2)),DATE(RIGHT(TRIM(Raw_Export!B1225),4),MATCH(MID(TRIM(Raw_Export!B1225),4,3),{"Jan","Feb","Mar","Apr","May","Jun","Jul","Aug","Sep","Oct","Nov","Dec"},0),LEFT(TRIM(Raw_Export!B1225),2)))))</f>
        <v>46273</v>
      </c>
      <c r="C1225" s="36" t="str">
        <f aca="false">IF(Raw_Export!$A1225="","",IFERROR(VLOOKUP(LOWER(TRIM(Raw_Export!C1225)),Maps!$A$2:$B$20,2,FALSE()),"UNMAPPED"))</f>
        <v>Nairobi CBD</v>
      </c>
      <c r="D1225" s="36" t="str">
        <f aca="false">IF(Raw_Export!$A1225="","",IFERROR(VLOOKUP(LOWER(TRIM(Raw_Export!D1225)),Maps!$G$2:$I$80,2,FALSE()),"UNMAPPED"))</f>
        <v>Deodorant 150ml</v>
      </c>
      <c r="E1225" s="36" t="str">
        <f aca="false">IF(Raw_Export!$A1225="","",IFERROR(VLOOKUP(LOWER(TRIM(Raw_Export!D1225)),Maps!$G$2:$I$80,3,FALSE()),"UNMAPPED"))</f>
        <v>Personal Care</v>
      </c>
      <c r="F1225" s="36" t="n">
        <f aca="false">IF(Raw_Export!$A1225="","",IFERROR(VALUE(TRIM(Raw_Export!E1225)),0))</f>
        <v>3</v>
      </c>
      <c r="G1225" s="38" t="n">
        <f aca="false">IF(Raw_Export!$A1225="","",IFERROR(VALUE(SUBSTITUTE(SUBSTITUTE(UPPER(TRIM(Raw_Export!F1225)),"KES",""),",","")),0))</f>
        <v>350</v>
      </c>
      <c r="H1225" s="38" t="n">
        <f aca="false">IF(Raw_Export!$A1225="","",F1225*G1225)</f>
        <v>1050</v>
      </c>
      <c r="I1225" s="36" t="str">
        <f aca="false">IF(Raw_Export!$A1225="","",IFERROR(VLOOKUP(LOWER(TRIM(Raw_Export!H1225)),Maps!$D$2:$E$12,2,FALSE()),"Other"))</f>
        <v>Card</v>
      </c>
      <c r="J1225" s="36" t="str">
        <f aca="false">IF(Raw_Export!$A1225="","",IF(COUNTIF($A$2:A1225,A1225)&gt;1,"Duplicate",""))</f>
        <v/>
      </c>
      <c r="K1225" s="36" t="str">
        <f aca="false">IF(Raw_Export!$A1225="","",IF(J1225="Duplicate","Duplicate",IF(OR(C1225="UNMAPPED",D1225="UNMAPPED"),"Unmapped",IF(F1225=0,"Blank qty",IF(F1225&lt;0,"Return","OK")))))</f>
        <v>OK</v>
      </c>
      <c r="L1225" s="36" t="n">
        <f aca="false">IF(Raw_Export!$A1225="","",IF(OR(K1225="OK",K1225="Return"),1,0))</f>
        <v>1</v>
      </c>
      <c r="M1225" s="37" t="n">
        <f aca="false">IF(Raw_Export!$A1225="","",B1225-WEEKDAY(B1225,2)+1)</f>
        <v>46272</v>
      </c>
    </row>
    <row r="1226" customFormat="false" ht="15" hidden="false" customHeight="false" outlineLevel="0" collapsed="false">
      <c r="A1226" s="36" t="str">
        <f aca="false">IF(Raw_Export!$A1226="","",TRIM(Raw_Export!A1226))</f>
        <v>TXN-101202</v>
      </c>
      <c r="B1226" s="37" t="n">
        <f aca="false">IF(Raw_Export!$A1226="","",IF(ISNUMBER(Raw_Export!B1226),Raw_Export!B1226,IF(MID(TRIM(Raw_Export!B1226),5,1)="-",DATE(LEFT(TRIM(Raw_Export!B1226),4),MID(TRIM(Raw_Export!B1226),6,2),RIGHT(TRIM(Raw_Export!B1226),2)),DATE(RIGHT(TRIM(Raw_Export!B1226),4),MATCH(MID(TRIM(Raw_Export!B1226),4,3),{"Jan","Feb","Mar","Apr","May","Jun","Jul","Aug","Sep","Oct","Nov","Dec"},0),LEFT(TRIM(Raw_Export!B1226),2)))))</f>
        <v>46273</v>
      </c>
      <c r="C1226" s="36" t="str">
        <f aca="false">IF(Raw_Export!$A1226="","",IFERROR(VLOOKUP(LOWER(TRIM(Raw_Export!C1226)),Maps!$A$2:$B$20,2,FALSE()),"UNMAPPED"))</f>
        <v>Nairobi CBD</v>
      </c>
      <c r="D1226" s="36" t="str">
        <f aca="false">IF(Raw_Export!$A1226="","",IFERROR(VLOOKUP(LOWER(TRIM(Raw_Export!D1226)),Maps!$G$2:$I$80,2,FALSE()),"UNMAPPED"))</f>
        <v>Cooking Oil 1L</v>
      </c>
      <c r="E1226" s="36" t="str">
        <f aca="false">IF(Raw_Export!$A1226="","",IFERROR(VLOOKUP(LOWER(TRIM(Raw_Export!D1226)),Maps!$G$2:$I$80,3,FALSE()),"UNMAPPED"))</f>
        <v>Staples</v>
      </c>
      <c r="F1226" s="36" t="n">
        <f aca="false">IF(Raw_Export!$A1226="","",IFERROR(VALUE(TRIM(Raw_Export!E1226)),0))</f>
        <v>1</v>
      </c>
      <c r="G1226" s="38" t="n">
        <f aca="false">IF(Raw_Export!$A1226="","",IFERROR(VALUE(SUBSTITUTE(SUBSTITUTE(UPPER(TRIM(Raw_Export!F1226)),"KES",""),",","")),0))</f>
        <v>330</v>
      </c>
      <c r="H1226" s="38" t="n">
        <f aca="false">IF(Raw_Export!$A1226="","",F1226*G1226)</f>
        <v>330</v>
      </c>
      <c r="I1226" s="36" t="str">
        <f aca="false">IF(Raw_Export!$A1226="","",IFERROR(VLOOKUP(LOWER(TRIM(Raw_Export!H1226)),Maps!$D$2:$E$12,2,FALSE()),"Other"))</f>
        <v>Card</v>
      </c>
      <c r="J1226" s="36" t="str">
        <f aca="false">IF(Raw_Export!$A1226="","",IF(COUNTIF($A$2:A1226,A1226)&gt;1,"Duplicate",""))</f>
        <v/>
      </c>
      <c r="K1226" s="36" t="str">
        <f aca="false">IF(Raw_Export!$A1226="","",IF(J1226="Duplicate","Duplicate",IF(OR(C1226="UNMAPPED",D1226="UNMAPPED"),"Unmapped",IF(F1226=0,"Blank qty",IF(F1226&lt;0,"Return","OK")))))</f>
        <v>OK</v>
      </c>
      <c r="L1226" s="36" t="n">
        <f aca="false">IF(Raw_Export!$A1226="","",IF(OR(K1226="OK",K1226="Return"),1,0))</f>
        <v>1</v>
      </c>
      <c r="M1226" s="37" t="n">
        <f aca="false">IF(Raw_Export!$A1226="","",B1226-WEEKDAY(B1226,2)+1)</f>
        <v>46272</v>
      </c>
    </row>
    <row r="1227" customFormat="false" ht="15" hidden="false" customHeight="false" outlineLevel="0" collapsed="false">
      <c r="A1227" s="36" t="str">
        <f aca="false">IF(Raw_Export!$A1227="","",TRIM(Raw_Export!A1227))</f>
        <v>TXN-101203</v>
      </c>
      <c r="B1227" s="37" t="n">
        <f aca="false">IF(Raw_Export!$A1227="","",IF(ISNUMBER(Raw_Export!B1227),Raw_Export!B1227,IF(MID(TRIM(Raw_Export!B1227),5,1)="-",DATE(LEFT(TRIM(Raw_Export!B1227),4),MID(TRIM(Raw_Export!B1227),6,2),RIGHT(TRIM(Raw_Export!B1227),2)),DATE(RIGHT(TRIM(Raw_Export!B1227),4),MATCH(MID(TRIM(Raw_Export!B1227),4,3),{"Jan","Feb","Mar","Apr","May","Jun","Jul","Aug","Sep","Oct","Nov","Dec"},0),LEFT(TRIM(Raw_Export!B1227),2)))))</f>
        <v>46273</v>
      </c>
      <c r="C1227" s="36" t="str">
        <f aca="false">IF(Raw_Export!$A1227="","",IFERROR(VLOOKUP(LOWER(TRIM(Raw_Export!C1227)),Maps!$A$2:$B$20,2,FALSE()),"UNMAPPED"))</f>
        <v>Nairobi CBD</v>
      </c>
      <c r="D1227" s="36" t="str">
        <f aca="false">IF(Raw_Export!$A1227="","",IFERROR(VLOOKUP(LOWER(TRIM(Raw_Export!D1227)),Maps!$G$2:$I$80,2,FALSE()),"UNMAPPED"))</f>
        <v>Cooking Oil 1L</v>
      </c>
      <c r="E1227" s="36" t="str">
        <f aca="false">IF(Raw_Export!$A1227="","",IFERROR(VLOOKUP(LOWER(TRIM(Raw_Export!D1227)),Maps!$G$2:$I$80,3,FALSE()),"UNMAPPED"))</f>
        <v>Staples</v>
      </c>
      <c r="F1227" s="36" t="n">
        <f aca="false">IF(Raw_Export!$A1227="","",IFERROR(VALUE(TRIM(Raw_Export!E1227)),0))</f>
        <v>1</v>
      </c>
      <c r="G1227" s="38" t="n">
        <f aca="false">IF(Raw_Export!$A1227="","",IFERROR(VALUE(SUBSTITUTE(SUBSTITUTE(UPPER(TRIM(Raw_Export!F1227)),"KES",""),",","")),0))</f>
        <v>330</v>
      </c>
      <c r="H1227" s="38" t="n">
        <f aca="false">IF(Raw_Export!$A1227="","",F1227*G1227)</f>
        <v>330</v>
      </c>
      <c r="I1227" s="36" t="str">
        <f aca="false">IF(Raw_Export!$A1227="","",IFERROR(VLOOKUP(LOWER(TRIM(Raw_Export!H1227)),Maps!$D$2:$E$12,2,FALSE()),"Other"))</f>
        <v>Cash</v>
      </c>
      <c r="J1227" s="36" t="str">
        <f aca="false">IF(Raw_Export!$A1227="","",IF(COUNTIF($A$2:A1227,A1227)&gt;1,"Duplicate",""))</f>
        <v/>
      </c>
      <c r="K1227" s="36" t="str">
        <f aca="false">IF(Raw_Export!$A1227="","",IF(J1227="Duplicate","Duplicate",IF(OR(C1227="UNMAPPED",D1227="UNMAPPED"),"Unmapped",IF(F1227=0,"Blank qty",IF(F1227&lt;0,"Return","OK")))))</f>
        <v>OK</v>
      </c>
      <c r="L1227" s="36" t="n">
        <f aca="false">IF(Raw_Export!$A1227="","",IF(OR(K1227="OK",K1227="Return"),1,0))</f>
        <v>1</v>
      </c>
      <c r="M1227" s="37" t="n">
        <f aca="false">IF(Raw_Export!$A1227="","",B1227-WEEKDAY(B1227,2)+1)</f>
        <v>46272</v>
      </c>
    </row>
    <row r="1228" customFormat="false" ht="15" hidden="false" customHeight="false" outlineLevel="0" collapsed="false">
      <c r="A1228" s="36" t="str">
        <f aca="false">IF(Raw_Export!$A1228="","",TRIM(Raw_Export!A1228))</f>
        <v>TXN-101204</v>
      </c>
      <c r="B1228" s="37" t="n">
        <f aca="false">IF(Raw_Export!$A1228="","",IF(ISNUMBER(Raw_Export!B1228),Raw_Export!B1228,IF(MID(TRIM(Raw_Export!B1228),5,1)="-",DATE(LEFT(TRIM(Raw_Export!B1228),4),MID(TRIM(Raw_Export!B1228),6,2),RIGHT(TRIM(Raw_Export!B1228),2)),DATE(RIGHT(TRIM(Raw_Export!B1228),4),MATCH(MID(TRIM(Raw_Export!B1228),4,3),{"Jan","Feb","Mar","Apr","May","Jun","Jul","Aug","Sep","Oct","Nov","Dec"},0),LEFT(TRIM(Raw_Export!B1228),2)))))</f>
        <v>46273</v>
      </c>
      <c r="C1228" s="36" t="str">
        <f aca="false">IF(Raw_Export!$A1228="","",IFERROR(VLOOKUP(LOWER(TRIM(Raw_Export!C1228)),Maps!$A$2:$B$20,2,FALSE()),"UNMAPPED"))</f>
        <v>Nairobi CBD</v>
      </c>
      <c r="D1228" s="36" t="str">
        <f aca="false">IF(Raw_Export!$A1228="","",IFERROR(VLOOKUP(LOWER(TRIM(Raw_Export!D1228)),Maps!$G$2:$I$80,2,FALSE()),"UNMAPPED"))</f>
        <v>Sugar 2kg</v>
      </c>
      <c r="E1228" s="36" t="str">
        <f aca="false">IF(Raw_Export!$A1228="","",IFERROR(VLOOKUP(LOWER(TRIM(Raw_Export!D1228)),Maps!$G$2:$I$80,3,FALSE()),"UNMAPPED"))</f>
        <v>Staples</v>
      </c>
      <c r="F1228" s="36" t="n">
        <f aca="false">IF(Raw_Export!$A1228="","",IFERROR(VALUE(TRIM(Raw_Export!E1228)),0))</f>
        <v>2</v>
      </c>
      <c r="G1228" s="38" t="n">
        <f aca="false">IF(Raw_Export!$A1228="","",IFERROR(VALUE(SUBSTITUTE(SUBSTITUTE(UPPER(TRIM(Raw_Export!F1228)),"KES",""),",","")),0))</f>
        <v>330</v>
      </c>
      <c r="H1228" s="38" t="n">
        <f aca="false">IF(Raw_Export!$A1228="","",F1228*G1228)</f>
        <v>660</v>
      </c>
      <c r="I1228" s="36" t="str">
        <f aca="false">IF(Raw_Export!$A1228="","",IFERROR(VLOOKUP(LOWER(TRIM(Raw_Export!H1228)),Maps!$D$2:$E$12,2,FALSE()),"Other"))</f>
        <v>M-Pesa</v>
      </c>
      <c r="J1228" s="36" t="str">
        <f aca="false">IF(Raw_Export!$A1228="","",IF(COUNTIF($A$2:A1228,A1228)&gt;1,"Duplicate",""))</f>
        <v/>
      </c>
      <c r="K1228" s="36" t="str">
        <f aca="false">IF(Raw_Export!$A1228="","",IF(J1228="Duplicate","Duplicate",IF(OR(C1228="UNMAPPED",D1228="UNMAPPED"),"Unmapped",IF(F1228=0,"Blank qty",IF(F1228&lt;0,"Return","OK")))))</f>
        <v>OK</v>
      </c>
      <c r="L1228" s="36" t="n">
        <f aca="false">IF(Raw_Export!$A1228="","",IF(OR(K1228="OK",K1228="Return"),1,0))</f>
        <v>1</v>
      </c>
      <c r="M1228" s="37" t="n">
        <f aca="false">IF(Raw_Export!$A1228="","",B1228-WEEKDAY(B1228,2)+1)</f>
        <v>46272</v>
      </c>
    </row>
    <row r="1229" customFormat="false" ht="15" hidden="false" customHeight="false" outlineLevel="0" collapsed="false">
      <c r="A1229" s="36" t="str">
        <f aca="false">IF(Raw_Export!$A1229="","",TRIM(Raw_Export!A1229))</f>
        <v>TXN-101205</v>
      </c>
      <c r="B1229" s="37" t="n">
        <f aca="false">IF(Raw_Export!$A1229="","",IF(ISNUMBER(Raw_Export!B1229),Raw_Export!B1229,IF(MID(TRIM(Raw_Export!B1229),5,1)="-",DATE(LEFT(TRIM(Raw_Export!B1229),4),MID(TRIM(Raw_Export!B1229),6,2),RIGHT(TRIM(Raw_Export!B1229),2)),DATE(RIGHT(TRIM(Raw_Export!B1229),4),MATCH(MID(TRIM(Raw_Export!B1229),4,3),{"Jan","Feb","Mar","Apr","May","Jun","Jul","Aug","Sep","Oct","Nov","Dec"},0),LEFT(TRIM(Raw_Export!B1229),2)))))</f>
        <v>46273</v>
      </c>
      <c r="C1229" s="36" t="str">
        <f aca="false">IF(Raw_Export!$A1229="","",IFERROR(VLOOKUP(LOWER(TRIM(Raw_Export!C1229)),Maps!$A$2:$B$20,2,FALSE()),"UNMAPPED"))</f>
        <v>Nairobi CBD</v>
      </c>
      <c r="D1229" s="36" t="str">
        <f aca="false">IF(Raw_Export!$A1229="","",IFERROR(VLOOKUP(LOWER(TRIM(Raw_Export!D1229)),Maps!$G$2:$I$80,2,FALSE()),"UNMAPPED"))</f>
        <v>Eggs Tray 30</v>
      </c>
      <c r="E1229" s="36" t="str">
        <f aca="false">IF(Raw_Export!$A1229="","",IFERROR(VLOOKUP(LOWER(TRIM(Raw_Export!D1229)),Maps!$G$2:$I$80,3,FALSE()),"UNMAPPED"))</f>
        <v>Dairy &amp; Eggs</v>
      </c>
      <c r="F1229" s="36" t="n">
        <f aca="false">IF(Raw_Export!$A1229="","",IFERROR(VALUE(TRIM(Raw_Export!E1229)),0))</f>
        <v>2</v>
      </c>
      <c r="G1229" s="38" t="n">
        <f aca="false">IF(Raw_Export!$A1229="","",IFERROR(VALUE(SUBSTITUTE(SUBSTITUTE(UPPER(TRIM(Raw_Export!F1229)),"KES",""),",","")),0))</f>
        <v>450</v>
      </c>
      <c r="H1229" s="38" t="n">
        <f aca="false">IF(Raw_Export!$A1229="","",F1229*G1229)</f>
        <v>900</v>
      </c>
      <c r="I1229" s="36" t="str">
        <f aca="false">IF(Raw_Export!$A1229="","",IFERROR(VLOOKUP(LOWER(TRIM(Raw_Export!H1229)),Maps!$D$2:$E$12,2,FALSE()),"Other"))</f>
        <v>M-Pesa</v>
      </c>
      <c r="J1229" s="36" t="str">
        <f aca="false">IF(Raw_Export!$A1229="","",IF(COUNTIF($A$2:A1229,A1229)&gt;1,"Duplicate",""))</f>
        <v/>
      </c>
      <c r="K1229" s="36" t="str">
        <f aca="false">IF(Raw_Export!$A1229="","",IF(J1229="Duplicate","Duplicate",IF(OR(C1229="UNMAPPED",D1229="UNMAPPED"),"Unmapped",IF(F1229=0,"Blank qty",IF(F1229&lt;0,"Return","OK")))))</f>
        <v>OK</v>
      </c>
      <c r="L1229" s="36" t="n">
        <f aca="false">IF(Raw_Export!$A1229="","",IF(OR(K1229="OK",K1229="Return"),1,0))</f>
        <v>1</v>
      </c>
      <c r="M1229" s="37" t="n">
        <f aca="false">IF(Raw_Export!$A1229="","",B1229-WEEKDAY(B1229,2)+1)</f>
        <v>46272</v>
      </c>
    </row>
    <row r="1230" customFormat="false" ht="15" hidden="false" customHeight="false" outlineLevel="0" collapsed="false">
      <c r="A1230" s="36" t="str">
        <f aca="false">IF(Raw_Export!$A1230="","",TRIM(Raw_Export!A1230))</f>
        <v>TXN-101206</v>
      </c>
      <c r="B1230" s="37" t="n">
        <f aca="false">IF(Raw_Export!$A1230="","",IF(ISNUMBER(Raw_Export!B1230),Raw_Export!B1230,IF(MID(TRIM(Raw_Export!B1230),5,1)="-",DATE(LEFT(TRIM(Raw_Export!B1230),4),MID(TRIM(Raw_Export!B1230),6,2),RIGHT(TRIM(Raw_Export!B1230),2)),DATE(RIGHT(TRIM(Raw_Export!B1230),4),MATCH(MID(TRIM(Raw_Export!B1230),4,3),{"Jan","Feb","Mar","Apr","May","Jun","Jul","Aug","Sep","Oct","Nov","Dec"},0),LEFT(TRIM(Raw_Export!B1230),2)))))</f>
        <v>46273</v>
      </c>
      <c r="C1230" s="36" t="str">
        <f aca="false">IF(Raw_Export!$A1230="","",IFERROR(VLOOKUP(LOWER(TRIM(Raw_Export!C1230)),Maps!$A$2:$B$20,2,FALSE()),"UNMAPPED"))</f>
        <v>Nairobi CBD</v>
      </c>
      <c r="D1230" s="36" t="str">
        <f aca="false">IF(Raw_Export!$A1230="","",IFERROR(VLOOKUP(LOWER(TRIM(Raw_Export!D1230)),Maps!$G$2:$I$80,2,FALSE()),"UNMAPPED"))</f>
        <v>Eggs Tray 30</v>
      </c>
      <c r="E1230" s="36" t="str">
        <f aca="false">IF(Raw_Export!$A1230="","",IFERROR(VLOOKUP(LOWER(TRIM(Raw_Export!D1230)),Maps!$G$2:$I$80,3,FALSE()),"UNMAPPED"))</f>
        <v>Dairy &amp; Eggs</v>
      </c>
      <c r="F1230" s="36" t="n">
        <f aca="false">IF(Raw_Export!$A1230="","",IFERROR(VALUE(TRIM(Raw_Export!E1230)),0))</f>
        <v>3</v>
      </c>
      <c r="G1230" s="38" t="n">
        <f aca="false">IF(Raw_Export!$A1230="","",IFERROR(VALUE(SUBSTITUTE(SUBSTITUTE(UPPER(TRIM(Raw_Export!F1230)),"KES",""),",","")),0))</f>
        <v>450</v>
      </c>
      <c r="H1230" s="38" t="n">
        <f aca="false">IF(Raw_Export!$A1230="","",F1230*G1230)</f>
        <v>1350</v>
      </c>
      <c r="I1230" s="36" t="str">
        <f aca="false">IF(Raw_Export!$A1230="","",IFERROR(VLOOKUP(LOWER(TRIM(Raw_Export!H1230)),Maps!$D$2:$E$12,2,FALSE()),"Other"))</f>
        <v>M-Pesa</v>
      </c>
      <c r="J1230" s="36" t="str">
        <f aca="false">IF(Raw_Export!$A1230="","",IF(COUNTIF($A$2:A1230,A1230)&gt;1,"Duplicate",""))</f>
        <v/>
      </c>
      <c r="K1230" s="36" t="str">
        <f aca="false">IF(Raw_Export!$A1230="","",IF(J1230="Duplicate","Duplicate",IF(OR(C1230="UNMAPPED",D1230="UNMAPPED"),"Unmapped",IF(F1230=0,"Blank qty",IF(F1230&lt;0,"Return","OK")))))</f>
        <v>OK</v>
      </c>
      <c r="L1230" s="36" t="n">
        <f aca="false">IF(Raw_Export!$A1230="","",IF(OR(K1230="OK",K1230="Return"),1,0))</f>
        <v>1</v>
      </c>
      <c r="M1230" s="37" t="n">
        <f aca="false">IF(Raw_Export!$A1230="","",B1230-WEEKDAY(B1230,2)+1)</f>
        <v>46272</v>
      </c>
    </row>
    <row r="1231" customFormat="false" ht="15" hidden="false" customHeight="false" outlineLevel="0" collapsed="false">
      <c r="A1231" s="36" t="str">
        <f aca="false">IF(Raw_Export!$A1231="","",TRIM(Raw_Export!A1231))</f>
        <v>TXN-101207</v>
      </c>
      <c r="B1231" s="37" t="n">
        <f aca="false">IF(Raw_Export!$A1231="","",IF(ISNUMBER(Raw_Export!B1231),Raw_Export!B1231,IF(MID(TRIM(Raw_Export!B1231),5,1)="-",DATE(LEFT(TRIM(Raw_Export!B1231),4),MID(TRIM(Raw_Export!B1231),6,2),RIGHT(TRIM(Raw_Export!B1231),2)),DATE(RIGHT(TRIM(Raw_Export!B1231),4),MATCH(MID(TRIM(Raw_Export!B1231),4,3),{"Jan","Feb","Mar","Apr","May","Jun","Jul","Aug","Sep","Oct","Nov","Dec"},0),LEFT(TRIM(Raw_Export!B1231),2)))))</f>
        <v>46273</v>
      </c>
      <c r="C1231" s="36" t="str">
        <f aca="false">IF(Raw_Export!$A1231="","",IFERROR(VLOOKUP(LOWER(TRIM(Raw_Export!C1231)),Maps!$A$2:$B$20,2,FALSE()),"UNMAPPED"))</f>
        <v>Nairobi CBD</v>
      </c>
      <c r="D1231" s="36" t="str">
        <f aca="false">IF(Raw_Export!$A1231="","",IFERROR(VLOOKUP(LOWER(TRIM(Raw_Export!D1231)),Maps!$G$2:$I$80,2,FALSE()),"UNMAPPED"))</f>
        <v>Bread Loaf 400g</v>
      </c>
      <c r="E1231" s="36" t="str">
        <f aca="false">IF(Raw_Export!$A1231="","",IFERROR(VLOOKUP(LOWER(TRIM(Raw_Export!D1231)),Maps!$G$2:$I$80,3,FALSE()),"UNMAPPED"))</f>
        <v>Snacks</v>
      </c>
      <c r="F1231" s="36" t="n">
        <f aca="false">IF(Raw_Export!$A1231="","",IFERROR(VALUE(TRIM(Raw_Export!E1231)),0))</f>
        <v>6</v>
      </c>
      <c r="G1231" s="38" t="n">
        <f aca="false">IF(Raw_Export!$A1231="","",IFERROR(VALUE(SUBSTITUTE(SUBSTITUTE(UPPER(TRIM(Raw_Export!F1231)),"KES",""),",","")),0))</f>
        <v>65</v>
      </c>
      <c r="H1231" s="38" t="n">
        <f aca="false">IF(Raw_Export!$A1231="","",F1231*G1231)</f>
        <v>390</v>
      </c>
      <c r="I1231" s="36" t="str">
        <f aca="false">IF(Raw_Export!$A1231="","",IFERROR(VLOOKUP(LOWER(TRIM(Raw_Export!H1231)),Maps!$D$2:$E$12,2,FALSE()),"Other"))</f>
        <v>M-Pesa</v>
      </c>
      <c r="J1231" s="36" t="str">
        <f aca="false">IF(Raw_Export!$A1231="","",IF(COUNTIF($A$2:A1231,A1231)&gt;1,"Duplicate",""))</f>
        <v/>
      </c>
      <c r="K1231" s="36" t="str">
        <f aca="false">IF(Raw_Export!$A1231="","",IF(J1231="Duplicate","Duplicate",IF(OR(C1231="UNMAPPED",D1231="UNMAPPED"),"Unmapped",IF(F1231=0,"Blank qty",IF(F1231&lt;0,"Return","OK")))))</f>
        <v>OK</v>
      </c>
      <c r="L1231" s="36" t="n">
        <f aca="false">IF(Raw_Export!$A1231="","",IF(OR(K1231="OK",K1231="Return"),1,0))</f>
        <v>1</v>
      </c>
      <c r="M1231" s="37" t="n">
        <f aca="false">IF(Raw_Export!$A1231="","",B1231-WEEKDAY(B1231,2)+1)</f>
        <v>46272</v>
      </c>
    </row>
    <row r="1232" customFormat="false" ht="15" hidden="false" customHeight="false" outlineLevel="0" collapsed="false">
      <c r="A1232" s="36" t="str">
        <f aca="false">IF(Raw_Export!$A1232="","",TRIM(Raw_Export!A1232))</f>
        <v>TXN-101208</v>
      </c>
      <c r="B1232" s="37" t="n">
        <f aca="false">IF(Raw_Export!$A1232="","",IF(ISNUMBER(Raw_Export!B1232),Raw_Export!B1232,IF(MID(TRIM(Raw_Export!B1232),5,1)="-",DATE(LEFT(TRIM(Raw_Export!B1232),4),MID(TRIM(Raw_Export!B1232),6,2),RIGHT(TRIM(Raw_Export!B1232),2)),DATE(RIGHT(TRIM(Raw_Export!B1232),4),MATCH(MID(TRIM(Raw_Export!B1232),4,3),{"Jan","Feb","Mar","Apr","May","Jun","Jul","Aug","Sep","Oct","Nov","Dec"},0),LEFT(TRIM(Raw_Export!B1232),2)))))</f>
        <v>46273</v>
      </c>
      <c r="C1232" s="36" t="str">
        <f aca="false">IF(Raw_Export!$A1232="","",IFERROR(VLOOKUP(LOWER(TRIM(Raw_Export!C1232)),Maps!$A$2:$B$20,2,FALSE()),"UNMAPPED"))</f>
        <v>Nairobi CBD</v>
      </c>
      <c r="D1232" s="36" t="str">
        <f aca="false">IF(Raw_Export!$A1232="","",IFERROR(VLOOKUP(LOWER(TRIM(Raw_Export!D1232)),Maps!$G$2:$I$80,2,FALSE()),"UNMAPPED"))</f>
        <v>Cooking Oil 1L</v>
      </c>
      <c r="E1232" s="36" t="str">
        <f aca="false">IF(Raw_Export!$A1232="","",IFERROR(VLOOKUP(LOWER(TRIM(Raw_Export!D1232)),Maps!$G$2:$I$80,3,FALSE()),"UNMAPPED"))</f>
        <v>Staples</v>
      </c>
      <c r="F1232" s="36" t="n">
        <f aca="false">IF(Raw_Export!$A1232="","",IFERROR(VALUE(TRIM(Raw_Export!E1232)),0))</f>
        <v>1</v>
      </c>
      <c r="G1232" s="38" t="n">
        <f aca="false">IF(Raw_Export!$A1232="","",IFERROR(VALUE(SUBSTITUTE(SUBSTITUTE(UPPER(TRIM(Raw_Export!F1232)),"KES",""),",","")),0))</f>
        <v>330</v>
      </c>
      <c r="H1232" s="38" t="n">
        <f aca="false">IF(Raw_Export!$A1232="","",F1232*G1232)</f>
        <v>330</v>
      </c>
      <c r="I1232" s="36" t="str">
        <f aca="false">IF(Raw_Export!$A1232="","",IFERROR(VLOOKUP(LOWER(TRIM(Raw_Export!H1232)),Maps!$D$2:$E$12,2,FALSE()),"Other"))</f>
        <v>M-Pesa</v>
      </c>
      <c r="J1232" s="36" t="str">
        <f aca="false">IF(Raw_Export!$A1232="","",IF(COUNTIF($A$2:A1232,A1232)&gt;1,"Duplicate",""))</f>
        <v/>
      </c>
      <c r="K1232" s="36" t="str">
        <f aca="false">IF(Raw_Export!$A1232="","",IF(J1232="Duplicate","Duplicate",IF(OR(C1232="UNMAPPED",D1232="UNMAPPED"),"Unmapped",IF(F1232=0,"Blank qty",IF(F1232&lt;0,"Return","OK")))))</f>
        <v>OK</v>
      </c>
      <c r="L1232" s="36" t="n">
        <f aca="false">IF(Raw_Export!$A1232="","",IF(OR(K1232="OK",K1232="Return"),1,0))</f>
        <v>1</v>
      </c>
      <c r="M1232" s="37" t="n">
        <f aca="false">IF(Raw_Export!$A1232="","",B1232-WEEKDAY(B1232,2)+1)</f>
        <v>46272</v>
      </c>
    </row>
    <row r="1233" customFormat="false" ht="15" hidden="false" customHeight="false" outlineLevel="0" collapsed="false">
      <c r="A1233" s="36" t="str">
        <f aca="false">IF(Raw_Export!$A1233="","",TRIM(Raw_Export!A1233))</f>
        <v>TXN-101209</v>
      </c>
      <c r="B1233" s="37" t="n">
        <f aca="false">IF(Raw_Export!$A1233="","",IF(ISNUMBER(Raw_Export!B1233),Raw_Export!B1233,IF(MID(TRIM(Raw_Export!B1233),5,1)="-",DATE(LEFT(TRIM(Raw_Export!B1233),4),MID(TRIM(Raw_Export!B1233),6,2),RIGHT(TRIM(Raw_Export!B1233),2)),DATE(RIGHT(TRIM(Raw_Export!B1233),4),MATCH(MID(TRIM(Raw_Export!B1233),4,3),{"Jan","Feb","Mar","Apr","May","Jun","Jul","Aug","Sep","Oct","Nov","Dec"},0),LEFT(TRIM(Raw_Export!B1233),2)))))</f>
        <v>46273</v>
      </c>
      <c r="C1233" s="36" t="str">
        <f aca="false">IF(Raw_Export!$A1233="","",IFERROR(VLOOKUP(LOWER(TRIM(Raw_Export!C1233)),Maps!$A$2:$B$20,2,FALSE()),"UNMAPPED"))</f>
        <v>Nairobi CBD</v>
      </c>
      <c r="D1233" s="36" t="str">
        <f aca="false">IF(Raw_Export!$A1233="","",IFERROR(VLOOKUP(LOWER(TRIM(Raw_Export!D1233)),Maps!$G$2:$I$80,2,FALSE()),"UNMAPPED"))</f>
        <v>Cooking Oil 1L</v>
      </c>
      <c r="E1233" s="36" t="str">
        <f aca="false">IF(Raw_Export!$A1233="","",IFERROR(VLOOKUP(LOWER(TRIM(Raw_Export!D1233)),Maps!$G$2:$I$80,3,FALSE()),"UNMAPPED"))</f>
        <v>Staples</v>
      </c>
      <c r="F1233" s="36" t="n">
        <f aca="false">IF(Raw_Export!$A1233="","",IFERROR(VALUE(TRIM(Raw_Export!E1233)),0))</f>
        <v>1</v>
      </c>
      <c r="G1233" s="38" t="n">
        <f aca="false">IF(Raw_Export!$A1233="","",IFERROR(VALUE(SUBSTITUTE(SUBSTITUTE(UPPER(TRIM(Raw_Export!F1233)),"KES",""),",","")),0))</f>
        <v>330</v>
      </c>
      <c r="H1233" s="38" t="n">
        <f aca="false">IF(Raw_Export!$A1233="","",F1233*G1233)</f>
        <v>330</v>
      </c>
      <c r="I1233" s="36" t="str">
        <f aca="false">IF(Raw_Export!$A1233="","",IFERROR(VLOOKUP(LOWER(TRIM(Raw_Export!H1233)),Maps!$D$2:$E$12,2,FALSE()),"Other"))</f>
        <v>Cash</v>
      </c>
      <c r="J1233" s="36" t="str">
        <f aca="false">IF(Raw_Export!$A1233="","",IF(COUNTIF($A$2:A1233,A1233)&gt;1,"Duplicate",""))</f>
        <v/>
      </c>
      <c r="K1233" s="36" t="str">
        <f aca="false">IF(Raw_Export!$A1233="","",IF(J1233="Duplicate","Duplicate",IF(OR(C1233="UNMAPPED",D1233="UNMAPPED"),"Unmapped",IF(F1233=0,"Blank qty",IF(F1233&lt;0,"Return","OK")))))</f>
        <v>OK</v>
      </c>
      <c r="L1233" s="36" t="n">
        <f aca="false">IF(Raw_Export!$A1233="","",IF(OR(K1233="OK",K1233="Return"),1,0))</f>
        <v>1</v>
      </c>
      <c r="M1233" s="37" t="n">
        <f aca="false">IF(Raw_Export!$A1233="","",B1233-WEEKDAY(B1233,2)+1)</f>
        <v>46272</v>
      </c>
    </row>
    <row r="1234" customFormat="false" ht="15" hidden="false" customHeight="false" outlineLevel="0" collapsed="false">
      <c r="A1234" s="36" t="str">
        <f aca="false">IF(Raw_Export!$A1234="","",TRIM(Raw_Export!A1234))</f>
        <v>TXN-101210</v>
      </c>
      <c r="B1234" s="37" t="n">
        <f aca="false">IF(Raw_Export!$A1234="","",IF(ISNUMBER(Raw_Export!B1234),Raw_Export!B1234,IF(MID(TRIM(Raw_Export!B1234),5,1)="-",DATE(LEFT(TRIM(Raw_Export!B1234),4),MID(TRIM(Raw_Export!B1234),6,2),RIGHT(TRIM(Raw_Export!B1234),2)),DATE(RIGHT(TRIM(Raw_Export!B1234),4),MATCH(MID(TRIM(Raw_Export!B1234),4,3),{"Jan","Feb","Mar","Apr","May","Jun","Jul","Aug","Sep","Oct","Nov","Dec"},0),LEFT(TRIM(Raw_Export!B1234),2)))))</f>
        <v>46273</v>
      </c>
      <c r="C1234" s="36" t="str">
        <f aca="false">IF(Raw_Export!$A1234="","",IFERROR(VLOOKUP(LOWER(TRIM(Raw_Export!C1234)),Maps!$A$2:$B$20,2,FALSE()),"UNMAPPED"))</f>
        <v>Nairobi CBD</v>
      </c>
      <c r="D1234" s="36" t="str">
        <f aca="false">IF(Raw_Export!$A1234="","",IFERROR(VLOOKUP(LOWER(TRIM(Raw_Export!D1234)),Maps!$G$2:$I$80,2,FALSE()),"UNMAPPED"))</f>
        <v>Rice Pishori 2kg</v>
      </c>
      <c r="E1234" s="36" t="str">
        <f aca="false">IF(Raw_Export!$A1234="","",IFERROR(VLOOKUP(LOWER(TRIM(Raw_Export!D1234)),Maps!$G$2:$I$80,3,FALSE()),"UNMAPPED"))</f>
        <v>Staples</v>
      </c>
      <c r="F1234" s="36" t="n">
        <f aca="false">IF(Raw_Export!$A1234="","",IFERROR(VALUE(TRIM(Raw_Export!E1234)),0))</f>
        <v>2</v>
      </c>
      <c r="G1234" s="38" t="n">
        <f aca="false">IF(Raw_Export!$A1234="","",IFERROR(VALUE(SUBSTITUTE(SUBSTITUTE(UPPER(TRIM(Raw_Export!F1234)),"KES",""),",","")),0))</f>
        <v>420</v>
      </c>
      <c r="H1234" s="38" t="n">
        <f aca="false">IF(Raw_Export!$A1234="","",F1234*G1234)</f>
        <v>840</v>
      </c>
      <c r="I1234" s="36" t="str">
        <f aca="false">IF(Raw_Export!$A1234="","",IFERROR(VLOOKUP(LOWER(TRIM(Raw_Export!H1234)),Maps!$D$2:$E$12,2,FALSE()),"Other"))</f>
        <v>Card</v>
      </c>
      <c r="J1234" s="36" t="str">
        <f aca="false">IF(Raw_Export!$A1234="","",IF(COUNTIF($A$2:A1234,A1234)&gt;1,"Duplicate",""))</f>
        <v/>
      </c>
      <c r="K1234" s="36" t="str">
        <f aca="false">IF(Raw_Export!$A1234="","",IF(J1234="Duplicate","Duplicate",IF(OR(C1234="UNMAPPED",D1234="UNMAPPED"),"Unmapped",IF(F1234=0,"Blank qty",IF(F1234&lt;0,"Return","OK")))))</f>
        <v>OK</v>
      </c>
      <c r="L1234" s="36" t="n">
        <f aca="false">IF(Raw_Export!$A1234="","",IF(OR(K1234="OK",K1234="Return"),1,0))</f>
        <v>1</v>
      </c>
      <c r="M1234" s="37" t="n">
        <f aca="false">IF(Raw_Export!$A1234="","",B1234-WEEKDAY(B1234,2)+1)</f>
        <v>46272</v>
      </c>
    </row>
    <row r="1235" customFormat="false" ht="15" hidden="false" customHeight="false" outlineLevel="0" collapsed="false">
      <c r="A1235" s="36" t="str">
        <f aca="false">IF(Raw_Export!$A1235="","",TRIM(Raw_Export!A1235))</f>
        <v>TXN-101211</v>
      </c>
      <c r="B1235" s="37" t="n">
        <f aca="false">IF(Raw_Export!$A1235="","",IF(ISNUMBER(Raw_Export!B1235),Raw_Export!B1235,IF(MID(TRIM(Raw_Export!B1235),5,1)="-",DATE(LEFT(TRIM(Raw_Export!B1235),4),MID(TRIM(Raw_Export!B1235),6,2),RIGHT(TRIM(Raw_Export!B1235),2)),DATE(RIGHT(TRIM(Raw_Export!B1235),4),MATCH(MID(TRIM(Raw_Export!B1235),4,3),{"Jan","Feb","Mar","Apr","May","Jun","Jul","Aug","Sep","Oct","Nov","Dec"},0),LEFT(TRIM(Raw_Export!B1235),2)))))</f>
        <v>46273</v>
      </c>
      <c r="C1235" s="36" t="str">
        <f aca="false">IF(Raw_Export!$A1235="","",IFERROR(VLOOKUP(LOWER(TRIM(Raw_Export!C1235)),Maps!$A$2:$B$20,2,FALSE()),"UNMAPPED"))</f>
        <v>Nairobi CBD</v>
      </c>
      <c r="D1235" s="36" t="str">
        <f aca="false">IF(Raw_Export!$A1235="","",IFERROR(VLOOKUP(LOWER(TRIM(Raw_Export!D1235)),Maps!$G$2:$I$80,2,FALSE()),"UNMAPPED"))</f>
        <v>Dish Soap 750ml</v>
      </c>
      <c r="E1235" s="36" t="str">
        <f aca="false">IF(Raw_Export!$A1235="","",IFERROR(VLOOKUP(LOWER(TRIM(Raw_Export!D1235)),Maps!$G$2:$I$80,3,FALSE()),"UNMAPPED"))</f>
        <v>Household</v>
      </c>
      <c r="F1235" s="36" t="n">
        <f aca="false">IF(Raw_Export!$A1235="","",IFERROR(VALUE(TRIM(Raw_Export!E1235)),0))</f>
        <v>3</v>
      </c>
      <c r="G1235" s="38" t="n">
        <f aca="false">IF(Raw_Export!$A1235="","",IFERROR(VALUE(SUBSTITUTE(SUBSTITUTE(UPPER(TRIM(Raw_Export!F1235)),"KES",""),",","")),0))</f>
        <v>190</v>
      </c>
      <c r="H1235" s="38" t="n">
        <f aca="false">IF(Raw_Export!$A1235="","",F1235*G1235)</f>
        <v>570</v>
      </c>
      <c r="I1235" s="36" t="str">
        <f aca="false">IF(Raw_Export!$A1235="","",IFERROR(VLOOKUP(LOWER(TRIM(Raw_Export!H1235)),Maps!$D$2:$E$12,2,FALSE()),"Other"))</f>
        <v>Cash</v>
      </c>
      <c r="J1235" s="36" t="str">
        <f aca="false">IF(Raw_Export!$A1235="","",IF(COUNTIF($A$2:A1235,A1235)&gt;1,"Duplicate",""))</f>
        <v/>
      </c>
      <c r="K1235" s="36" t="str">
        <f aca="false">IF(Raw_Export!$A1235="","",IF(J1235="Duplicate","Duplicate",IF(OR(C1235="UNMAPPED",D1235="UNMAPPED"),"Unmapped",IF(F1235=0,"Blank qty",IF(F1235&lt;0,"Return","OK")))))</f>
        <v>OK</v>
      </c>
      <c r="L1235" s="36" t="n">
        <f aca="false">IF(Raw_Export!$A1235="","",IF(OR(K1235="OK",K1235="Return"),1,0))</f>
        <v>1</v>
      </c>
      <c r="M1235" s="37" t="n">
        <f aca="false">IF(Raw_Export!$A1235="","",B1235-WEEKDAY(B1235,2)+1)</f>
        <v>46272</v>
      </c>
    </row>
    <row r="1236" customFormat="false" ht="15" hidden="false" customHeight="false" outlineLevel="0" collapsed="false">
      <c r="A1236" s="36" t="str">
        <f aca="false">IF(Raw_Export!$A1236="","",TRIM(Raw_Export!A1236))</f>
        <v>TXN-101212</v>
      </c>
      <c r="B1236" s="37" t="n">
        <f aca="false">IF(Raw_Export!$A1236="","",IF(ISNUMBER(Raw_Export!B1236),Raw_Export!B1236,IF(MID(TRIM(Raw_Export!B1236),5,1)="-",DATE(LEFT(TRIM(Raw_Export!B1236),4),MID(TRIM(Raw_Export!B1236),6,2),RIGHT(TRIM(Raw_Export!B1236),2)),DATE(RIGHT(TRIM(Raw_Export!B1236),4),MATCH(MID(TRIM(Raw_Export!B1236),4,3),{"Jan","Feb","Mar","Apr","May","Jun","Jul","Aug","Sep","Oct","Nov","Dec"},0),LEFT(TRIM(Raw_Export!B1236),2)))))</f>
        <v>46273</v>
      </c>
      <c r="C1236" s="36" t="str">
        <f aca="false">IF(Raw_Export!$A1236="","",IFERROR(VLOOKUP(LOWER(TRIM(Raw_Export!C1236)),Maps!$A$2:$B$20,2,FALSE()),"UNMAPPED"))</f>
        <v>Nairobi CBD</v>
      </c>
      <c r="D1236" s="36" t="str">
        <f aca="false">IF(Raw_Export!$A1236="","",IFERROR(VLOOKUP(LOWER(TRIM(Raw_Export!D1236)),Maps!$G$2:$I$80,2,FALSE()),"UNMAPPED"))</f>
        <v>Cheddar 200g</v>
      </c>
      <c r="E1236" s="36" t="str">
        <f aca="false">IF(Raw_Export!$A1236="","",IFERROR(VLOOKUP(LOWER(TRIM(Raw_Export!D1236)),Maps!$G$2:$I$80,3,FALSE()),"UNMAPPED"))</f>
        <v>Dairy &amp; Eggs</v>
      </c>
      <c r="F1236" s="36" t="n">
        <f aca="false">IF(Raw_Export!$A1236="","",IFERROR(VALUE(TRIM(Raw_Export!E1236)),0))</f>
        <v>1</v>
      </c>
      <c r="G1236" s="38" t="n">
        <f aca="false">IF(Raw_Export!$A1236="","",IFERROR(VALUE(SUBSTITUTE(SUBSTITUTE(UPPER(TRIM(Raw_Export!F1236)),"KES",""),",","")),0))</f>
        <v>380</v>
      </c>
      <c r="H1236" s="38" t="n">
        <f aca="false">IF(Raw_Export!$A1236="","",F1236*G1236)</f>
        <v>380</v>
      </c>
      <c r="I1236" s="36" t="str">
        <f aca="false">IF(Raw_Export!$A1236="","",IFERROR(VLOOKUP(LOWER(TRIM(Raw_Export!H1236)),Maps!$D$2:$E$12,2,FALSE()),"Other"))</f>
        <v>Cash</v>
      </c>
      <c r="J1236" s="36" t="str">
        <f aca="false">IF(Raw_Export!$A1236="","",IF(COUNTIF($A$2:A1236,A1236)&gt;1,"Duplicate",""))</f>
        <v/>
      </c>
      <c r="K1236" s="36" t="str">
        <f aca="false">IF(Raw_Export!$A1236="","",IF(J1236="Duplicate","Duplicate",IF(OR(C1236="UNMAPPED",D1236="UNMAPPED"),"Unmapped",IF(F1236=0,"Blank qty",IF(F1236&lt;0,"Return","OK")))))</f>
        <v>OK</v>
      </c>
      <c r="L1236" s="36" t="n">
        <f aca="false">IF(Raw_Export!$A1236="","",IF(OR(K1236="OK",K1236="Return"),1,0))</f>
        <v>1</v>
      </c>
      <c r="M1236" s="37" t="n">
        <f aca="false">IF(Raw_Export!$A1236="","",B1236-WEEKDAY(B1236,2)+1)</f>
        <v>46272</v>
      </c>
    </row>
    <row r="1237" customFormat="false" ht="15" hidden="false" customHeight="false" outlineLevel="0" collapsed="false">
      <c r="A1237" s="36" t="str">
        <f aca="false">IF(Raw_Export!$A1237="","",TRIM(Raw_Export!A1237))</f>
        <v>TXN-101213</v>
      </c>
      <c r="B1237" s="37" t="n">
        <f aca="false">IF(Raw_Export!$A1237="","",IF(ISNUMBER(Raw_Export!B1237),Raw_Export!B1237,IF(MID(TRIM(Raw_Export!B1237),5,1)="-",DATE(LEFT(TRIM(Raw_Export!B1237),4),MID(TRIM(Raw_Export!B1237),6,2),RIGHT(TRIM(Raw_Export!B1237),2)),DATE(RIGHT(TRIM(Raw_Export!B1237),4),MATCH(MID(TRIM(Raw_Export!B1237),4,3),{"Jan","Feb","Mar","Apr","May","Jun","Jul","Aug","Sep","Oct","Nov","Dec"},0),LEFT(TRIM(Raw_Export!B1237),2)))))</f>
        <v>46273</v>
      </c>
      <c r="C1237" s="36" t="str">
        <f aca="false">IF(Raw_Export!$A1237="","",IFERROR(VLOOKUP(LOWER(TRIM(Raw_Export!C1237)),Maps!$A$2:$B$20,2,FALSE()),"UNMAPPED"))</f>
        <v>Nairobi CBD</v>
      </c>
      <c r="D1237" s="36" t="str">
        <f aca="false">IF(Raw_Export!$A1237="","",IFERROR(VLOOKUP(LOWER(TRIM(Raw_Export!D1237)),Maps!$G$2:$I$80,2,FALSE()),"UNMAPPED"))</f>
        <v>Cooking Oil 1L</v>
      </c>
      <c r="E1237" s="36" t="str">
        <f aca="false">IF(Raw_Export!$A1237="","",IFERROR(VLOOKUP(LOWER(TRIM(Raw_Export!D1237)),Maps!$G$2:$I$80,3,FALSE()),"UNMAPPED"))</f>
        <v>Staples</v>
      </c>
      <c r="F1237" s="36" t="n">
        <f aca="false">IF(Raw_Export!$A1237="","",IFERROR(VALUE(TRIM(Raw_Export!E1237)),0))</f>
        <v>3</v>
      </c>
      <c r="G1237" s="38" t="n">
        <f aca="false">IF(Raw_Export!$A1237="","",IFERROR(VALUE(SUBSTITUTE(SUBSTITUTE(UPPER(TRIM(Raw_Export!F1237)),"KES",""),",","")),0))</f>
        <v>330</v>
      </c>
      <c r="H1237" s="38" t="n">
        <f aca="false">IF(Raw_Export!$A1237="","",F1237*G1237)</f>
        <v>990</v>
      </c>
      <c r="I1237" s="36" t="str">
        <f aca="false">IF(Raw_Export!$A1237="","",IFERROR(VLOOKUP(LOWER(TRIM(Raw_Export!H1237)),Maps!$D$2:$E$12,2,FALSE()),"Other"))</f>
        <v>M-Pesa</v>
      </c>
      <c r="J1237" s="36" t="str">
        <f aca="false">IF(Raw_Export!$A1237="","",IF(COUNTIF($A$2:A1237,A1237)&gt;1,"Duplicate",""))</f>
        <v/>
      </c>
      <c r="K1237" s="36" t="str">
        <f aca="false">IF(Raw_Export!$A1237="","",IF(J1237="Duplicate","Duplicate",IF(OR(C1237="UNMAPPED",D1237="UNMAPPED"),"Unmapped",IF(F1237=0,"Blank qty",IF(F1237&lt;0,"Return","OK")))))</f>
        <v>OK</v>
      </c>
      <c r="L1237" s="36" t="n">
        <f aca="false">IF(Raw_Export!$A1237="","",IF(OR(K1237="OK",K1237="Return"),1,0))</f>
        <v>1</v>
      </c>
      <c r="M1237" s="37" t="n">
        <f aca="false">IF(Raw_Export!$A1237="","",B1237-WEEKDAY(B1237,2)+1)</f>
        <v>46272</v>
      </c>
    </row>
    <row r="1238" customFormat="false" ht="15" hidden="false" customHeight="false" outlineLevel="0" collapsed="false">
      <c r="A1238" s="36" t="str">
        <f aca="false">IF(Raw_Export!$A1238="","",TRIM(Raw_Export!A1238))</f>
        <v>TXN-101214</v>
      </c>
      <c r="B1238" s="37" t="n">
        <f aca="false">IF(Raw_Export!$A1238="","",IF(ISNUMBER(Raw_Export!B1238),Raw_Export!B1238,IF(MID(TRIM(Raw_Export!B1238),5,1)="-",DATE(LEFT(TRIM(Raw_Export!B1238),4),MID(TRIM(Raw_Export!B1238),6,2),RIGHT(TRIM(Raw_Export!B1238),2)),DATE(RIGHT(TRIM(Raw_Export!B1238),4),MATCH(MID(TRIM(Raw_Export!B1238),4,3),{"Jan","Feb","Mar","Apr","May","Jun","Jul","Aug","Sep","Oct","Nov","Dec"},0),LEFT(TRIM(Raw_Export!B1238),2)))))</f>
        <v>46273</v>
      </c>
      <c r="C1238" s="36" t="str">
        <f aca="false">IF(Raw_Export!$A1238="","",IFERROR(VLOOKUP(LOWER(TRIM(Raw_Export!C1238)),Maps!$A$2:$B$20,2,FALSE()),"UNMAPPED"))</f>
        <v>Nairobi CBD</v>
      </c>
      <c r="D1238" s="36" t="str">
        <f aca="false">IF(Raw_Export!$A1238="","",IFERROR(VLOOKUP(LOWER(TRIM(Raw_Export!D1238)),Maps!$G$2:$I$80,2,FALSE()),"UNMAPPED"))</f>
        <v>Yoghurt 500ml</v>
      </c>
      <c r="E1238" s="36" t="str">
        <f aca="false">IF(Raw_Export!$A1238="","",IFERROR(VLOOKUP(LOWER(TRIM(Raw_Export!D1238)),Maps!$G$2:$I$80,3,FALSE()),"UNMAPPED"))</f>
        <v>Dairy &amp; Eggs</v>
      </c>
      <c r="F1238" s="36" t="n">
        <f aca="false">IF(Raw_Export!$A1238="","",IFERROR(VALUE(TRIM(Raw_Export!E1238)),0))</f>
        <v>1</v>
      </c>
      <c r="G1238" s="38" t="n">
        <f aca="false">IF(Raw_Export!$A1238="","",IFERROR(VALUE(SUBSTITUTE(SUBSTITUTE(UPPER(TRIM(Raw_Export!F1238)),"KES",""),",","")),0))</f>
        <v>120</v>
      </c>
      <c r="H1238" s="38" t="n">
        <f aca="false">IF(Raw_Export!$A1238="","",F1238*G1238)</f>
        <v>120</v>
      </c>
      <c r="I1238" s="36" t="str">
        <f aca="false">IF(Raw_Export!$A1238="","",IFERROR(VLOOKUP(LOWER(TRIM(Raw_Export!H1238)),Maps!$D$2:$E$12,2,FALSE()),"Other"))</f>
        <v>Cash</v>
      </c>
      <c r="J1238" s="36" t="str">
        <f aca="false">IF(Raw_Export!$A1238="","",IF(COUNTIF($A$2:A1238,A1238)&gt;1,"Duplicate",""))</f>
        <v/>
      </c>
      <c r="K1238" s="36" t="str">
        <f aca="false">IF(Raw_Export!$A1238="","",IF(J1238="Duplicate","Duplicate",IF(OR(C1238="UNMAPPED",D1238="UNMAPPED"),"Unmapped",IF(F1238=0,"Blank qty",IF(F1238&lt;0,"Return","OK")))))</f>
        <v>OK</v>
      </c>
      <c r="L1238" s="36" t="n">
        <f aca="false">IF(Raw_Export!$A1238="","",IF(OR(K1238="OK",K1238="Return"),1,0))</f>
        <v>1</v>
      </c>
      <c r="M1238" s="37" t="n">
        <f aca="false">IF(Raw_Export!$A1238="","",B1238-WEEKDAY(B1238,2)+1)</f>
        <v>46272</v>
      </c>
    </row>
    <row r="1239" customFormat="false" ht="15" hidden="false" customHeight="false" outlineLevel="0" collapsed="false">
      <c r="A1239" s="36" t="str">
        <f aca="false">IF(Raw_Export!$A1239="","",TRIM(Raw_Export!A1239))</f>
        <v>TXN-101215</v>
      </c>
      <c r="B1239" s="37" t="n">
        <f aca="false">IF(Raw_Export!$A1239="","",IF(ISNUMBER(Raw_Export!B1239),Raw_Export!B1239,IF(MID(TRIM(Raw_Export!B1239),5,1)="-",DATE(LEFT(TRIM(Raw_Export!B1239),4),MID(TRIM(Raw_Export!B1239),6,2),RIGHT(TRIM(Raw_Export!B1239),2)),DATE(RIGHT(TRIM(Raw_Export!B1239),4),MATCH(MID(TRIM(Raw_Export!B1239),4,3),{"Jan","Feb","Mar","Apr","May","Jun","Jul","Aug","Sep","Oct","Nov","Dec"},0),LEFT(TRIM(Raw_Export!B1239),2)))))</f>
        <v>46273</v>
      </c>
      <c r="C1239" s="36" t="str">
        <f aca="false">IF(Raw_Export!$A1239="","",IFERROR(VLOOKUP(LOWER(TRIM(Raw_Export!C1239)),Maps!$A$2:$B$20,2,FALSE()),"UNMAPPED"))</f>
        <v>Nairobi CBD</v>
      </c>
      <c r="D1239" s="36" t="str">
        <f aca="false">IF(Raw_Export!$A1239="","",IFERROR(VLOOKUP(LOWER(TRIM(Raw_Export!D1239)),Maps!$G$2:$I$80,2,FALSE()),"UNMAPPED"))</f>
        <v>Sanitary Pads 8pk</v>
      </c>
      <c r="E1239" s="36" t="str">
        <f aca="false">IF(Raw_Export!$A1239="","",IFERROR(VLOOKUP(LOWER(TRIM(Raw_Export!D1239)),Maps!$G$2:$I$80,3,FALSE()),"UNMAPPED"))</f>
        <v>Personal Care</v>
      </c>
      <c r="F1239" s="36" t="n">
        <f aca="false">IF(Raw_Export!$A1239="","",IFERROR(VALUE(TRIM(Raw_Export!E1239)),0))</f>
        <v>1</v>
      </c>
      <c r="G1239" s="38" t="n">
        <f aca="false">IF(Raw_Export!$A1239="","",IFERROR(VALUE(SUBSTITUTE(SUBSTITUTE(UPPER(TRIM(Raw_Export!F1239)),"KES",""),",","")),0))</f>
        <v>130</v>
      </c>
      <c r="H1239" s="38" t="n">
        <f aca="false">IF(Raw_Export!$A1239="","",F1239*G1239)</f>
        <v>130</v>
      </c>
      <c r="I1239" s="36" t="str">
        <f aca="false">IF(Raw_Export!$A1239="","",IFERROR(VLOOKUP(LOWER(TRIM(Raw_Export!H1239)),Maps!$D$2:$E$12,2,FALSE()),"Other"))</f>
        <v>Card</v>
      </c>
      <c r="J1239" s="36" t="str">
        <f aca="false">IF(Raw_Export!$A1239="","",IF(COUNTIF($A$2:A1239,A1239)&gt;1,"Duplicate",""))</f>
        <v/>
      </c>
      <c r="K1239" s="36" t="str">
        <f aca="false">IF(Raw_Export!$A1239="","",IF(J1239="Duplicate","Duplicate",IF(OR(C1239="UNMAPPED",D1239="UNMAPPED"),"Unmapped",IF(F1239=0,"Blank qty",IF(F1239&lt;0,"Return","OK")))))</f>
        <v>OK</v>
      </c>
      <c r="L1239" s="36" t="n">
        <f aca="false">IF(Raw_Export!$A1239="","",IF(OR(K1239="OK",K1239="Return"),1,0))</f>
        <v>1</v>
      </c>
      <c r="M1239" s="37" t="n">
        <f aca="false">IF(Raw_Export!$A1239="","",B1239-WEEKDAY(B1239,2)+1)</f>
        <v>46272</v>
      </c>
    </row>
    <row r="1240" customFormat="false" ht="15" hidden="false" customHeight="false" outlineLevel="0" collapsed="false">
      <c r="A1240" s="36" t="str">
        <f aca="false">IF(Raw_Export!$A1240="","",TRIM(Raw_Export!A1240))</f>
        <v>TXN-101216</v>
      </c>
      <c r="B1240" s="37" t="n">
        <f aca="false">IF(Raw_Export!$A1240="","",IF(ISNUMBER(Raw_Export!B1240),Raw_Export!B1240,IF(MID(TRIM(Raw_Export!B1240),5,1)="-",DATE(LEFT(TRIM(Raw_Export!B1240),4),MID(TRIM(Raw_Export!B1240),6,2),RIGHT(TRIM(Raw_Export!B1240),2)),DATE(RIGHT(TRIM(Raw_Export!B1240),4),MATCH(MID(TRIM(Raw_Export!B1240),4,3),{"Jan","Feb","Mar","Apr","May","Jun","Jul","Aug","Sep","Oct","Nov","Dec"},0),LEFT(TRIM(Raw_Export!B1240),2)))))</f>
        <v>46273</v>
      </c>
      <c r="C1240" s="36" t="str">
        <f aca="false">IF(Raw_Export!$A1240="","",IFERROR(VLOOKUP(LOWER(TRIM(Raw_Export!C1240)),Maps!$A$2:$B$20,2,FALSE()),"UNMAPPED"))</f>
        <v>Nairobi CBD</v>
      </c>
      <c r="D1240" s="36" t="str">
        <f aca="false">IF(Raw_Export!$A1240="","",IFERROR(VLOOKUP(LOWER(TRIM(Raw_Export!D1240)),Maps!$G$2:$I$80,2,FALSE()),"UNMAPPED"))</f>
        <v>Spaghetti 400g</v>
      </c>
      <c r="E1240" s="36" t="str">
        <f aca="false">IF(Raw_Export!$A1240="","",IFERROR(VLOOKUP(LOWER(TRIM(Raw_Export!D1240)),Maps!$G$2:$I$80,3,FALSE()),"UNMAPPED"))</f>
        <v>Staples</v>
      </c>
      <c r="F1240" s="36" t="n">
        <f aca="false">IF(Raw_Export!$A1240="","",IFERROR(VALUE(TRIM(Raw_Export!E1240)),0))</f>
        <v>3</v>
      </c>
      <c r="G1240" s="38" t="n">
        <f aca="false">IF(Raw_Export!$A1240="","",IFERROR(VALUE(SUBSTITUTE(SUBSTITUTE(UPPER(TRIM(Raw_Export!F1240)),"KES",""),",","")),0))</f>
        <v>110</v>
      </c>
      <c r="H1240" s="38" t="n">
        <f aca="false">IF(Raw_Export!$A1240="","",F1240*G1240)</f>
        <v>330</v>
      </c>
      <c r="I1240" s="36" t="str">
        <f aca="false">IF(Raw_Export!$A1240="","",IFERROR(VLOOKUP(LOWER(TRIM(Raw_Export!H1240)),Maps!$D$2:$E$12,2,FALSE()),"Other"))</f>
        <v>Cash</v>
      </c>
      <c r="J1240" s="36" t="str">
        <f aca="false">IF(Raw_Export!$A1240="","",IF(COUNTIF($A$2:A1240,A1240)&gt;1,"Duplicate",""))</f>
        <v/>
      </c>
      <c r="K1240" s="36" t="str">
        <f aca="false">IF(Raw_Export!$A1240="","",IF(J1240="Duplicate","Duplicate",IF(OR(C1240="UNMAPPED",D1240="UNMAPPED"),"Unmapped",IF(F1240=0,"Blank qty",IF(F1240&lt;0,"Return","OK")))))</f>
        <v>OK</v>
      </c>
      <c r="L1240" s="36" t="n">
        <f aca="false">IF(Raw_Export!$A1240="","",IF(OR(K1240="OK",K1240="Return"),1,0))</f>
        <v>1</v>
      </c>
      <c r="M1240" s="37" t="n">
        <f aca="false">IF(Raw_Export!$A1240="","",B1240-WEEKDAY(B1240,2)+1)</f>
        <v>46272</v>
      </c>
    </row>
    <row r="1241" customFormat="false" ht="15" hidden="false" customHeight="false" outlineLevel="0" collapsed="false">
      <c r="A1241" s="36" t="str">
        <f aca="false">IF(Raw_Export!$A1241="","",TRIM(Raw_Export!A1241))</f>
        <v>TXN-101217</v>
      </c>
      <c r="B1241" s="37" t="n">
        <f aca="false">IF(Raw_Export!$A1241="","",IF(ISNUMBER(Raw_Export!B1241),Raw_Export!B1241,IF(MID(TRIM(Raw_Export!B1241),5,1)="-",DATE(LEFT(TRIM(Raw_Export!B1241),4),MID(TRIM(Raw_Export!B1241),6,2),RIGHT(TRIM(Raw_Export!B1241),2)),DATE(RIGHT(TRIM(Raw_Export!B1241),4),MATCH(MID(TRIM(Raw_Export!B1241),4,3),{"Jan","Feb","Mar","Apr","May","Jun","Jul","Aug","Sep","Oct","Nov","Dec"},0),LEFT(TRIM(Raw_Export!B1241),2)))))</f>
        <v>46273</v>
      </c>
      <c r="C1241" s="36" t="str">
        <f aca="false">IF(Raw_Export!$A1241="","",IFERROR(VLOOKUP(LOWER(TRIM(Raw_Export!C1241)),Maps!$A$2:$B$20,2,FALSE()),"UNMAPPED"))</f>
        <v>Nairobi CBD</v>
      </c>
      <c r="D1241" s="36" t="str">
        <f aca="false">IF(Raw_Export!$A1241="","",IFERROR(VLOOKUP(LOWER(TRIM(Raw_Export!D1241)),Maps!$G$2:$I$80,2,FALSE()),"UNMAPPED"))</f>
        <v>Fresh Milk 500ml</v>
      </c>
      <c r="E1241" s="36" t="str">
        <f aca="false">IF(Raw_Export!$A1241="","",IFERROR(VLOOKUP(LOWER(TRIM(Raw_Export!D1241)),Maps!$G$2:$I$80,3,FALSE()),"UNMAPPED"))</f>
        <v>Dairy &amp; Eggs</v>
      </c>
      <c r="F1241" s="36" t="n">
        <f aca="false">IF(Raw_Export!$A1241="","",IFERROR(VALUE(TRIM(Raw_Export!E1241)),0))</f>
        <v>3</v>
      </c>
      <c r="G1241" s="38" t="n">
        <f aca="false">IF(Raw_Export!$A1241="","",IFERROR(VALUE(SUBSTITUTE(SUBSTITUTE(UPPER(TRIM(Raw_Export!F1241)),"KES",""),",","")),0))</f>
        <v>65</v>
      </c>
      <c r="H1241" s="38" t="n">
        <f aca="false">IF(Raw_Export!$A1241="","",F1241*G1241)</f>
        <v>195</v>
      </c>
      <c r="I1241" s="36" t="str">
        <f aca="false">IF(Raw_Export!$A1241="","",IFERROR(VLOOKUP(LOWER(TRIM(Raw_Export!H1241)),Maps!$D$2:$E$12,2,FALSE()),"Other"))</f>
        <v>Cash</v>
      </c>
      <c r="J1241" s="36" t="str">
        <f aca="false">IF(Raw_Export!$A1241="","",IF(COUNTIF($A$2:A1241,A1241)&gt;1,"Duplicate",""))</f>
        <v/>
      </c>
      <c r="K1241" s="36" t="str">
        <f aca="false">IF(Raw_Export!$A1241="","",IF(J1241="Duplicate","Duplicate",IF(OR(C1241="UNMAPPED",D1241="UNMAPPED"),"Unmapped",IF(F1241=0,"Blank qty",IF(F1241&lt;0,"Return","OK")))))</f>
        <v>OK</v>
      </c>
      <c r="L1241" s="36" t="n">
        <f aca="false">IF(Raw_Export!$A1241="","",IF(OR(K1241="OK",K1241="Return"),1,0))</f>
        <v>1</v>
      </c>
      <c r="M1241" s="37" t="n">
        <f aca="false">IF(Raw_Export!$A1241="","",B1241-WEEKDAY(B1241,2)+1)</f>
        <v>46272</v>
      </c>
    </row>
    <row r="1242" customFormat="false" ht="15" hidden="false" customHeight="false" outlineLevel="0" collapsed="false">
      <c r="A1242" s="36" t="str">
        <f aca="false">IF(Raw_Export!$A1242="","",TRIM(Raw_Export!A1242))</f>
        <v>TXN-101218</v>
      </c>
      <c r="B1242" s="37" t="n">
        <f aca="false">IF(Raw_Export!$A1242="","",IF(ISNUMBER(Raw_Export!B1242),Raw_Export!B1242,IF(MID(TRIM(Raw_Export!B1242),5,1)="-",DATE(LEFT(TRIM(Raw_Export!B1242),4),MID(TRIM(Raw_Export!B1242),6,2),RIGHT(TRIM(Raw_Export!B1242),2)),DATE(RIGHT(TRIM(Raw_Export!B1242),4),MATCH(MID(TRIM(Raw_Export!B1242),4,3),{"Jan","Feb","Mar","Apr","May","Jun","Jul","Aug","Sep","Oct","Nov","Dec"},0),LEFT(TRIM(Raw_Export!B1242),2)))))</f>
        <v>46273</v>
      </c>
      <c r="C1242" s="36" t="str">
        <f aca="false">IF(Raw_Export!$A1242="","",IFERROR(VLOOKUP(LOWER(TRIM(Raw_Export!C1242)),Maps!$A$2:$B$20,2,FALSE()),"UNMAPPED"))</f>
        <v>Nairobi CBD</v>
      </c>
      <c r="D1242" s="36" t="str">
        <f aca="false">IF(Raw_Export!$A1242="","",IFERROR(VLOOKUP(LOWER(TRIM(Raw_Export!D1242)),Maps!$G$2:$I$80,2,FALSE()),"UNMAPPED"))</f>
        <v>Dish Soap 750ml</v>
      </c>
      <c r="E1242" s="36" t="str">
        <f aca="false">IF(Raw_Export!$A1242="","",IFERROR(VLOOKUP(LOWER(TRIM(Raw_Export!D1242)),Maps!$G$2:$I$80,3,FALSE()),"UNMAPPED"))</f>
        <v>Household</v>
      </c>
      <c r="F1242" s="36" t="n">
        <f aca="false">IF(Raw_Export!$A1242="","",IFERROR(VALUE(TRIM(Raw_Export!E1242)),0))</f>
        <v>2</v>
      </c>
      <c r="G1242" s="38" t="n">
        <f aca="false">IF(Raw_Export!$A1242="","",IFERROR(VALUE(SUBSTITUTE(SUBSTITUTE(UPPER(TRIM(Raw_Export!F1242)),"KES",""),",","")),0))</f>
        <v>190</v>
      </c>
      <c r="H1242" s="38" t="n">
        <f aca="false">IF(Raw_Export!$A1242="","",F1242*G1242)</f>
        <v>380</v>
      </c>
      <c r="I1242" s="36" t="str">
        <f aca="false">IF(Raw_Export!$A1242="","",IFERROR(VLOOKUP(LOWER(TRIM(Raw_Export!H1242)),Maps!$D$2:$E$12,2,FALSE()),"Other"))</f>
        <v>M-Pesa</v>
      </c>
      <c r="J1242" s="36" t="str">
        <f aca="false">IF(Raw_Export!$A1242="","",IF(COUNTIF($A$2:A1242,A1242)&gt;1,"Duplicate",""))</f>
        <v/>
      </c>
      <c r="K1242" s="36" t="str">
        <f aca="false">IF(Raw_Export!$A1242="","",IF(J1242="Duplicate","Duplicate",IF(OR(C1242="UNMAPPED",D1242="UNMAPPED"),"Unmapped",IF(F1242=0,"Blank qty",IF(F1242&lt;0,"Return","OK")))))</f>
        <v>OK</v>
      </c>
      <c r="L1242" s="36" t="n">
        <f aca="false">IF(Raw_Export!$A1242="","",IF(OR(K1242="OK",K1242="Return"),1,0))</f>
        <v>1</v>
      </c>
      <c r="M1242" s="37" t="n">
        <f aca="false">IF(Raw_Export!$A1242="","",B1242-WEEKDAY(B1242,2)+1)</f>
        <v>46272</v>
      </c>
    </row>
    <row r="1243" customFormat="false" ht="15" hidden="false" customHeight="false" outlineLevel="0" collapsed="false">
      <c r="A1243" s="36" t="str">
        <f aca="false">IF(Raw_Export!$A1243="","",TRIM(Raw_Export!A1243))</f>
        <v>TXN-101219</v>
      </c>
      <c r="B1243" s="37" t="n">
        <f aca="false">IF(Raw_Export!$A1243="","",IF(ISNUMBER(Raw_Export!B1243),Raw_Export!B1243,IF(MID(TRIM(Raw_Export!B1243),5,1)="-",DATE(LEFT(TRIM(Raw_Export!B1243),4),MID(TRIM(Raw_Export!B1243),6,2),RIGHT(TRIM(Raw_Export!B1243),2)),DATE(RIGHT(TRIM(Raw_Export!B1243),4),MATCH(MID(TRIM(Raw_Export!B1243),4,3),{"Jan","Feb","Mar","Apr","May","Jun","Jul","Aug","Sep","Oct","Nov","Dec"},0),LEFT(TRIM(Raw_Export!B1243),2)))))</f>
        <v>46273</v>
      </c>
      <c r="C1243" s="36" t="str">
        <f aca="false">IF(Raw_Export!$A1243="","",IFERROR(VLOOKUP(LOWER(TRIM(Raw_Export!C1243)),Maps!$A$2:$B$20,2,FALSE()),"UNMAPPED"))</f>
        <v>Nairobi CBD</v>
      </c>
      <c r="D1243" s="36" t="str">
        <f aca="false">IF(Raw_Export!$A1243="","",IFERROR(VLOOKUP(LOWER(TRIM(Raw_Export!D1243)),Maps!$G$2:$I$80,2,FALSE()),"UNMAPPED"))</f>
        <v>Spaghetti 400g</v>
      </c>
      <c r="E1243" s="36" t="str">
        <f aca="false">IF(Raw_Export!$A1243="","",IFERROR(VLOOKUP(LOWER(TRIM(Raw_Export!D1243)),Maps!$G$2:$I$80,3,FALSE()),"UNMAPPED"))</f>
        <v>Staples</v>
      </c>
      <c r="F1243" s="36" t="n">
        <f aca="false">IF(Raw_Export!$A1243="","",IFERROR(VALUE(TRIM(Raw_Export!E1243)),0))</f>
        <v>4</v>
      </c>
      <c r="G1243" s="38" t="n">
        <f aca="false">IF(Raw_Export!$A1243="","",IFERROR(VALUE(SUBSTITUTE(SUBSTITUTE(UPPER(TRIM(Raw_Export!F1243)),"KES",""),",","")),0))</f>
        <v>110</v>
      </c>
      <c r="H1243" s="38" t="n">
        <f aca="false">IF(Raw_Export!$A1243="","",F1243*G1243)</f>
        <v>440</v>
      </c>
      <c r="I1243" s="36" t="str">
        <f aca="false">IF(Raw_Export!$A1243="","",IFERROR(VLOOKUP(LOWER(TRIM(Raw_Export!H1243)),Maps!$D$2:$E$12,2,FALSE()),"Other"))</f>
        <v>M-Pesa</v>
      </c>
      <c r="J1243" s="36" t="str">
        <f aca="false">IF(Raw_Export!$A1243="","",IF(COUNTIF($A$2:A1243,A1243)&gt;1,"Duplicate",""))</f>
        <v/>
      </c>
      <c r="K1243" s="36" t="str">
        <f aca="false">IF(Raw_Export!$A1243="","",IF(J1243="Duplicate","Duplicate",IF(OR(C1243="UNMAPPED",D1243="UNMAPPED"),"Unmapped",IF(F1243=0,"Blank qty",IF(F1243&lt;0,"Return","OK")))))</f>
        <v>OK</v>
      </c>
      <c r="L1243" s="36" t="n">
        <f aca="false">IF(Raw_Export!$A1243="","",IF(OR(K1243="OK",K1243="Return"),1,0))</f>
        <v>1</v>
      </c>
      <c r="M1243" s="37" t="n">
        <f aca="false">IF(Raw_Export!$A1243="","",B1243-WEEKDAY(B1243,2)+1)</f>
        <v>46272</v>
      </c>
    </row>
    <row r="1244" customFormat="false" ht="15" hidden="false" customHeight="false" outlineLevel="0" collapsed="false">
      <c r="A1244" s="36" t="str">
        <f aca="false">IF(Raw_Export!$A1244="","",TRIM(Raw_Export!A1244))</f>
        <v>TXN-101220</v>
      </c>
      <c r="B1244" s="37" t="n">
        <f aca="false">IF(Raw_Export!$A1244="","",IF(ISNUMBER(Raw_Export!B1244),Raw_Export!B1244,IF(MID(TRIM(Raw_Export!B1244),5,1)="-",DATE(LEFT(TRIM(Raw_Export!B1244),4),MID(TRIM(Raw_Export!B1244),6,2),RIGHT(TRIM(Raw_Export!B1244),2)),DATE(RIGHT(TRIM(Raw_Export!B1244),4),MATCH(MID(TRIM(Raw_Export!B1244),4,3),{"Jan","Feb","Mar","Apr","May","Jun","Jul","Aug","Sep","Oct","Nov","Dec"},0),LEFT(TRIM(Raw_Export!B1244),2)))))</f>
        <v>46273</v>
      </c>
      <c r="C1244" s="36" t="str">
        <f aca="false">IF(Raw_Export!$A1244="","",IFERROR(VLOOKUP(LOWER(TRIM(Raw_Export!C1244)),Maps!$A$2:$B$20,2,FALSE()),"UNMAPPED"))</f>
        <v>Nairobi CBD</v>
      </c>
      <c r="D1244" s="36" t="str">
        <f aca="false">IF(Raw_Export!$A1244="","",IFERROR(VLOOKUP(LOWER(TRIM(Raw_Export!D1244)),Maps!$G$2:$I$80,2,FALSE()),"UNMAPPED"))</f>
        <v>UNMAPPED</v>
      </c>
      <c r="E1244" s="36" t="str">
        <f aca="false">IF(Raw_Export!$A1244="","",IFERROR(VLOOKUP(LOWER(TRIM(Raw_Export!D1244)),Maps!$G$2:$I$80,3,FALSE()),"UNMAPPED"))</f>
        <v>UNMAPPED</v>
      </c>
      <c r="F1244" s="36" t="n">
        <f aca="false">IF(Raw_Export!$A1244="","",IFERROR(VALUE(TRIM(Raw_Export!E1244)),0))</f>
        <v>1</v>
      </c>
      <c r="G1244" s="38" t="n">
        <f aca="false">IF(Raw_Export!$A1244="","",IFERROR(VALUE(SUBSTITUTE(SUBSTITUTE(UPPER(TRIM(Raw_Export!F1244)),"KES",""),",","")),0))</f>
        <v>80</v>
      </c>
      <c r="H1244" s="38" t="n">
        <f aca="false">IF(Raw_Export!$A1244="","",F1244*G1244)</f>
        <v>80</v>
      </c>
      <c r="I1244" s="36" t="str">
        <f aca="false">IF(Raw_Export!$A1244="","",IFERROR(VLOOKUP(LOWER(TRIM(Raw_Export!H1244)),Maps!$D$2:$E$12,2,FALSE()),"Other"))</f>
        <v>Cash</v>
      </c>
      <c r="J1244" s="36" t="str">
        <f aca="false">IF(Raw_Export!$A1244="","",IF(COUNTIF($A$2:A1244,A1244)&gt;1,"Duplicate",""))</f>
        <v/>
      </c>
      <c r="K1244" s="36" t="str">
        <f aca="false">IF(Raw_Export!$A1244="","",IF(J1244="Duplicate","Duplicate",IF(OR(C1244="UNMAPPED",D1244="UNMAPPED"),"Unmapped",IF(F1244=0,"Blank qty",IF(F1244&lt;0,"Return","OK")))))</f>
        <v>Unmapped</v>
      </c>
      <c r="L1244" s="36" t="n">
        <f aca="false">IF(Raw_Export!$A1244="","",IF(OR(K1244="OK",K1244="Return"),1,0))</f>
        <v>0</v>
      </c>
      <c r="M1244" s="37" t="n">
        <f aca="false">IF(Raw_Export!$A1244="","",B1244-WEEKDAY(B1244,2)+1)</f>
        <v>46272</v>
      </c>
    </row>
    <row r="1245" customFormat="false" ht="15" hidden="false" customHeight="false" outlineLevel="0" collapsed="false">
      <c r="A1245" s="36" t="str">
        <f aca="false">IF(Raw_Export!$A1245="","",TRIM(Raw_Export!A1245))</f>
        <v>TXN-101221</v>
      </c>
      <c r="B1245" s="37" t="n">
        <f aca="false">IF(Raw_Export!$A1245="","",IF(ISNUMBER(Raw_Export!B1245),Raw_Export!B1245,IF(MID(TRIM(Raw_Export!B1245),5,1)="-",DATE(LEFT(TRIM(Raw_Export!B1245),4),MID(TRIM(Raw_Export!B1245),6,2),RIGHT(TRIM(Raw_Export!B1245),2)),DATE(RIGHT(TRIM(Raw_Export!B1245),4),MATCH(MID(TRIM(Raw_Export!B1245),4,3),{"Jan","Feb","Mar","Apr","May","Jun","Jul","Aug","Sep","Oct","Nov","Dec"},0),LEFT(TRIM(Raw_Export!B1245),2)))))</f>
        <v>46273</v>
      </c>
      <c r="C1245" s="36" t="str">
        <f aca="false">IF(Raw_Export!$A1245="","",IFERROR(VLOOKUP(LOWER(TRIM(Raw_Export!C1245)),Maps!$A$2:$B$20,2,FALSE()),"UNMAPPED"))</f>
        <v>Nairobi CBD</v>
      </c>
      <c r="D1245" s="36" t="str">
        <f aca="false">IF(Raw_Export!$A1245="","",IFERROR(VLOOKUP(LOWER(TRIM(Raw_Export!D1245)),Maps!$G$2:$I$80,2,FALSE()),"UNMAPPED"))</f>
        <v>Fresh Milk 500ml</v>
      </c>
      <c r="E1245" s="36" t="str">
        <f aca="false">IF(Raw_Export!$A1245="","",IFERROR(VLOOKUP(LOWER(TRIM(Raw_Export!D1245)),Maps!$G$2:$I$80,3,FALSE()),"UNMAPPED"))</f>
        <v>Dairy &amp; Eggs</v>
      </c>
      <c r="F1245" s="36" t="n">
        <f aca="false">IF(Raw_Export!$A1245="","",IFERROR(VALUE(TRIM(Raw_Export!E1245)),0))</f>
        <v>4</v>
      </c>
      <c r="G1245" s="38" t="n">
        <f aca="false">IF(Raw_Export!$A1245="","",IFERROR(VALUE(SUBSTITUTE(SUBSTITUTE(UPPER(TRIM(Raw_Export!F1245)),"KES",""),",","")),0))</f>
        <v>65</v>
      </c>
      <c r="H1245" s="38" t="n">
        <f aca="false">IF(Raw_Export!$A1245="","",F1245*G1245)</f>
        <v>260</v>
      </c>
      <c r="I1245" s="36" t="str">
        <f aca="false">IF(Raw_Export!$A1245="","",IFERROR(VLOOKUP(LOWER(TRIM(Raw_Export!H1245)),Maps!$D$2:$E$12,2,FALSE()),"Other"))</f>
        <v>M-Pesa</v>
      </c>
      <c r="J1245" s="36" t="str">
        <f aca="false">IF(Raw_Export!$A1245="","",IF(COUNTIF($A$2:A1245,A1245)&gt;1,"Duplicate",""))</f>
        <v/>
      </c>
      <c r="K1245" s="36" t="str">
        <f aca="false">IF(Raw_Export!$A1245="","",IF(J1245="Duplicate","Duplicate",IF(OR(C1245="UNMAPPED",D1245="UNMAPPED"),"Unmapped",IF(F1245=0,"Blank qty",IF(F1245&lt;0,"Return","OK")))))</f>
        <v>OK</v>
      </c>
      <c r="L1245" s="36" t="n">
        <f aca="false">IF(Raw_Export!$A1245="","",IF(OR(K1245="OK",K1245="Return"),1,0))</f>
        <v>1</v>
      </c>
      <c r="M1245" s="37" t="n">
        <f aca="false">IF(Raw_Export!$A1245="","",B1245-WEEKDAY(B1245,2)+1)</f>
        <v>46272</v>
      </c>
    </row>
    <row r="1246" customFormat="false" ht="15" hidden="false" customHeight="false" outlineLevel="0" collapsed="false">
      <c r="A1246" s="36" t="str">
        <f aca="false">IF(Raw_Export!$A1246="","",TRIM(Raw_Export!A1246))</f>
        <v>TXN-101222</v>
      </c>
      <c r="B1246" s="37" t="n">
        <f aca="false">IF(Raw_Export!$A1246="","",IF(ISNUMBER(Raw_Export!B1246),Raw_Export!B1246,IF(MID(TRIM(Raw_Export!B1246),5,1)="-",DATE(LEFT(TRIM(Raw_Export!B1246),4),MID(TRIM(Raw_Export!B1246),6,2),RIGHT(TRIM(Raw_Export!B1246),2)),DATE(RIGHT(TRIM(Raw_Export!B1246),4),MATCH(MID(TRIM(Raw_Export!B1246),4,3),{"Jan","Feb","Mar","Apr","May","Jun","Jul","Aug","Sep","Oct","Nov","Dec"},0),LEFT(TRIM(Raw_Export!B1246),2)))))</f>
        <v>46273</v>
      </c>
      <c r="C1246" s="36" t="str">
        <f aca="false">IF(Raw_Export!$A1246="","",IFERROR(VLOOKUP(LOWER(TRIM(Raw_Export!C1246)),Maps!$A$2:$B$20,2,FALSE()),"UNMAPPED"))</f>
        <v>Nairobi CBD</v>
      </c>
      <c r="D1246" s="36" t="str">
        <f aca="false">IF(Raw_Export!$A1246="","",IFERROR(VLOOKUP(LOWER(TRIM(Raw_Export!D1246)),Maps!$G$2:$I$80,2,FALSE()),"UNMAPPED"))</f>
        <v>Eggs Tray 30</v>
      </c>
      <c r="E1246" s="36" t="str">
        <f aca="false">IF(Raw_Export!$A1246="","",IFERROR(VLOOKUP(LOWER(TRIM(Raw_Export!D1246)),Maps!$G$2:$I$80,3,FALSE()),"UNMAPPED"))</f>
        <v>Dairy &amp; Eggs</v>
      </c>
      <c r="F1246" s="36" t="n">
        <f aca="false">IF(Raw_Export!$A1246="","",IFERROR(VALUE(TRIM(Raw_Export!E1246)),0))</f>
        <v>2</v>
      </c>
      <c r="G1246" s="38" t="n">
        <f aca="false">IF(Raw_Export!$A1246="","",IFERROR(VALUE(SUBSTITUTE(SUBSTITUTE(UPPER(TRIM(Raw_Export!F1246)),"KES",""),",","")),0))</f>
        <v>450</v>
      </c>
      <c r="H1246" s="38" t="n">
        <f aca="false">IF(Raw_Export!$A1246="","",F1246*G1246)</f>
        <v>900</v>
      </c>
      <c r="I1246" s="36" t="str">
        <f aca="false">IF(Raw_Export!$A1246="","",IFERROR(VLOOKUP(LOWER(TRIM(Raw_Export!H1246)),Maps!$D$2:$E$12,2,FALSE()),"Other"))</f>
        <v>M-Pesa</v>
      </c>
      <c r="J1246" s="36" t="str">
        <f aca="false">IF(Raw_Export!$A1246="","",IF(COUNTIF($A$2:A1246,A1246)&gt;1,"Duplicate",""))</f>
        <v/>
      </c>
      <c r="K1246" s="36" t="str">
        <f aca="false">IF(Raw_Export!$A1246="","",IF(J1246="Duplicate","Duplicate",IF(OR(C1246="UNMAPPED",D1246="UNMAPPED"),"Unmapped",IF(F1246=0,"Blank qty",IF(F1246&lt;0,"Return","OK")))))</f>
        <v>OK</v>
      </c>
      <c r="L1246" s="36" t="n">
        <f aca="false">IF(Raw_Export!$A1246="","",IF(OR(K1246="OK",K1246="Return"),1,0))</f>
        <v>1</v>
      </c>
      <c r="M1246" s="37" t="n">
        <f aca="false">IF(Raw_Export!$A1246="","",B1246-WEEKDAY(B1246,2)+1)</f>
        <v>46272</v>
      </c>
    </row>
    <row r="1247" customFormat="false" ht="15" hidden="false" customHeight="false" outlineLevel="0" collapsed="false">
      <c r="A1247" s="36" t="str">
        <f aca="false">IF(Raw_Export!$A1247="","",TRIM(Raw_Export!A1247))</f>
        <v>TXN-101223</v>
      </c>
      <c r="B1247" s="37" t="n">
        <f aca="false">IF(Raw_Export!$A1247="","",IF(ISNUMBER(Raw_Export!B1247),Raw_Export!B1247,IF(MID(TRIM(Raw_Export!B1247),5,1)="-",DATE(LEFT(TRIM(Raw_Export!B1247),4),MID(TRIM(Raw_Export!B1247),6,2),RIGHT(TRIM(Raw_Export!B1247),2)),DATE(RIGHT(TRIM(Raw_Export!B1247),4),MATCH(MID(TRIM(Raw_Export!B1247),4,3),{"Jan","Feb","Mar","Apr","May","Jun","Jul","Aug","Sep","Oct","Nov","Dec"},0),LEFT(TRIM(Raw_Export!B1247),2)))))</f>
        <v>46273</v>
      </c>
      <c r="C1247" s="36" t="str">
        <f aca="false">IF(Raw_Export!$A1247="","",IFERROR(VLOOKUP(LOWER(TRIM(Raw_Export!C1247)),Maps!$A$2:$B$20,2,FALSE()),"UNMAPPED"))</f>
        <v>Nairobi CBD</v>
      </c>
      <c r="D1247" s="36" t="str">
        <f aca="false">IF(Raw_Export!$A1247="","",IFERROR(VLOOKUP(LOWER(TRIM(Raw_Export!D1247)),Maps!$G$2:$I$80,2,FALSE()),"UNMAPPED"))</f>
        <v>Toothpaste 100g</v>
      </c>
      <c r="E1247" s="36" t="str">
        <f aca="false">IF(Raw_Export!$A1247="","",IFERROR(VLOOKUP(LOWER(TRIM(Raw_Export!D1247)),Maps!$G$2:$I$80,3,FALSE()),"UNMAPPED"))</f>
        <v>Personal Care</v>
      </c>
      <c r="F1247" s="36" t="n">
        <f aca="false">IF(Raw_Export!$A1247="","",IFERROR(VALUE(TRIM(Raw_Export!E1247)),0))</f>
        <v>3</v>
      </c>
      <c r="G1247" s="38" t="n">
        <f aca="false">IF(Raw_Export!$A1247="","",IFERROR(VALUE(SUBSTITUTE(SUBSTITUTE(UPPER(TRIM(Raw_Export!F1247)),"KES",""),",","")),0))</f>
        <v>195</v>
      </c>
      <c r="H1247" s="38" t="n">
        <f aca="false">IF(Raw_Export!$A1247="","",F1247*G1247)</f>
        <v>585</v>
      </c>
      <c r="I1247" s="36" t="str">
        <f aca="false">IF(Raw_Export!$A1247="","",IFERROR(VLOOKUP(LOWER(TRIM(Raw_Export!H1247)),Maps!$D$2:$E$12,2,FALSE()),"Other"))</f>
        <v>M-Pesa</v>
      </c>
      <c r="J1247" s="36" t="str">
        <f aca="false">IF(Raw_Export!$A1247="","",IF(COUNTIF($A$2:A1247,A1247)&gt;1,"Duplicate",""))</f>
        <v/>
      </c>
      <c r="K1247" s="36" t="str">
        <f aca="false">IF(Raw_Export!$A1247="","",IF(J1247="Duplicate","Duplicate",IF(OR(C1247="UNMAPPED",D1247="UNMAPPED"),"Unmapped",IF(F1247=0,"Blank qty",IF(F1247&lt;0,"Return","OK")))))</f>
        <v>OK</v>
      </c>
      <c r="L1247" s="36" t="n">
        <f aca="false">IF(Raw_Export!$A1247="","",IF(OR(K1247="OK",K1247="Return"),1,0))</f>
        <v>1</v>
      </c>
      <c r="M1247" s="37" t="n">
        <f aca="false">IF(Raw_Export!$A1247="","",B1247-WEEKDAY(B1247,2)+1)</f>
        <v>46272</v>
      </c>
    </row>
    <row r="1248" customFormat="false" ht="15" hidden="false" customHeight="false" outlineLevel="0" collapsed="false">
      <c r="A1248" s="36" t="str">
        <f aca="false">IF(Raw_Export!$A1248="","",TRIM(Raw_Export!A1248))</f>
        <v>TXN-101224</v>
      </c>
      <c r="B1248" s="37" t="n">
        <f aca="false">IF(Raw_Export!$A1248="","",IF(ISNUMBER(Raw_Export!B1248),Raw_Export!B1248,IF(MID(TRIM(Raw_Export!B1248),5,1)="-",DATE(LEFT(TRIM(Raw_Export!B1248),4),MID(TRIM(Raw_Export!B1248),6,2),RIGHT(TRIM(Raw_Export!B1248),2)),DATE(RIGHT(TRIM(Raw_Export!B1248),4),MATCH(MID(TRIM(Raw_Export!B1248),4,3),{"Jan","Feb","Mar","Apr","May","Jun","Jul","Aug","Sep","Oct","Nov","Dec"},0),LEFT(TRIM(Raw_Export!B1248),2)))))</f>
        <v>46273</v>
      </c>
      <c r="C1248" s="36" t="str">
        <f aca="false">IF(Raw_Export!$A1248="","",IFERROR(VLOOKUP(LOWER(TRIM(Raw_Export!C1248)),Maps!$A$2:$B$20,2,FALSE()),"UNMAPPED"))</f>
        <v>Nairobi CBD</v>
      </c>
      <c r="D1248" s="36" t="str">
        <f aca="false">IF(Raw_Export!$A1248="","",IFERROR(VLOOKUP(LOWER(TRIM(Raw_Export!D1248)),Maps!$G$2:$I$80,2,FALSE()),"UNMAPPED"))</f>
        <v>Soda 500ml</v>
      </c>
      <c r="E1248" s="36" t="str">
        <f aca="false">IF(Raw_Export!$A1248="","",IFERROR(VLOOKUP(LOWER(TRIM(Raw_Export!D1248)),Maps!$G$2:$I$80,3,FALSE()),"UNMAPPED"))</f>
        <v>Beverages</v>
      </c>
      <c r="F1248" s="36" t="n">
        <f aca="false">IF(Raw_Export!$A1248="","",IFERROR(VALUE(TRIM(Raw_Export!E1248)),0))</f>
        <v>4</v>
      </c>
      <c r="G1248" s="38" t="n">
        <f aca="false">IF(Raw_Export!$A1248="","",IFERROR(VALUE(SUBSTITUTE(SUBSTITUTE(UPPER(TRIM(Raw_Export!F1248)),"KES",""),",","")),0))</f>
        <v>60</v>
      </c>
      <c r="H1248" s="38" t="n">
        <f aca="false">IF(Raw_Export!$A1248="","",F1248*G1248)</f>
        <v>240</v>
      </c>
      <c r="I1248" s="36" t="str">
        <f aca="false">IF(Raw_Export!$A1248="","",IFERROR(VLOOKUP(LOWER(TRIM(Raw_Export!H1248)),Maps!$D$2:$E$12,2,FALSE()),"Other"))</f>
        <v>M-Pesa</v>
      </c>
      <c r="J1248" s="36" t="str">
        <f aca="false">IF(Raw_Export!$A1248="","",IF(COUNTIF($A$2:A1248,A1248)&gt;1,"Duplicate",""))</f>
        <v/>
      </c>
      <c r="K1248" s="36" t="str">
        <f aca="false">IF(Raw_Export!$A1248="","",IF(J1248="Duplicate","Duplicate",IF(OR(C1248="UNMAPPED",D1248="UNMAPPED"),"Unmapped",IF(F1248=0,"Blank qty",IF(F1248&lt;0,"Return","OK")))))</f>
        <v>OK</v>
      </c>
      <c r="L1248" s="36" t="n">
        <f aca="false">IF(Raw_Export!$A1248="","",IF(OR(K1248="OK",K1248="Return"),1,0))</f>
        <v>1</v>
      </c>
      <c r="M1248" s="37" t="n">
        <f aca="false">IF(Raw_Export!$A1248="","",B1248-WEEKDAY(B1248,2)+1)</f>
        <v>46272</v>
      </c>
    </row>
    <row r="1249" customFormat="false" ht="15" hidden="false" customHeight="false" outlineLevel="0" collapsed="false">
      <c r="A1249" s="36" t="str">
        <f aca="false">IF(Raw_Export!$A1249="","",TRIM(Raw_Export!A1249))</f>
        <v>TXN-101225</v>
      </c>
      <c r="B1249" s="37" t="n">
        <f aca="false">IF(Raw_Export!$A1249="","",IF(ISNUMBER(Raw_Export!B1249),Raw_Export!B1249,IF(MID(TRIM(Raw_Export!B1249),5,1)="-",DATE(LEFT(TRIM(Raw_Export!B1249),4),MID(TRIM(Raw_Export!B1249),6,2),RIGHT(TRIM(Raw_Export!B1249),2)),DATE(RIGHT(TRIM(Raw_Export!B1249),4),MATCH(MID(TRIM(Raw_Export!B1249),4,3),{"Jan","Feb","Mar","Apr","May","Jun","Jul","Aug","Sep","Oct","Nov","Dec"},0),LEFT(TRIM(Raw_Export!B1249),2)))))</f>
        <v>46273</v>
      </c>
      <c r="C1249" s="36" t="str">
        <f aca="false">IF(Raw_Export!$A1249="","",IFERROR(VLOOKUP(LOWER(TRIM(Raw_Export!C1249)),Maps!$A$2:$B$20,2,FALSE()),"UNMAPPED"))</f>
        <v>Nairobi CBD</v>
      </c>
      <c r="D1249" s="36" t="str">
        <f aca="false">IF(Raw_Export!$A1249="","",IFERROR(VLOOKUP(LOWER(TRIM(Raw_Export!D1249)),Maps!$G$2:$I$80,2,FALSE()),"UNMAPPED"))</f>
        <v>Toilet Paper 10pk</v>
      </c>
      <c r="E1249" s="36" t="str">
        <f aca="false">IF(Raw_Export!$A1249="","",IFERROR(VLOOKUP(LOWER(TRIM(Raw_Export!D1249)),Maps!$G$2:$I$80,3,FALSE()),"UNMAPPED"))</f>
        <v>Household</v>
      </c>
      <c r="F1249" s="36" t="n">
        <f aca="false">IF(Raw_Export!$A1249="","",IFERROR(VALUE(TRIM(Raw_Export!E1249)),0))</f>
        <v>3</v>
      </c>
      <c r="G1249" s="38" t="n">
        <f aca="false">IF(Raw_Export!$A1249="","",IFERROR(VALUE(SUBSTITUTE(SUBSTITUTE(UPPER(TRIM(Raw_Export!F1249)),"KES",""),",","")),0))</f>
        <v>380</v>
      </c>
      <c r="H1249" s="38" t="n">
        <f aca="false">IF(Raw_Export!$A1249="","",F1249*G1249)</f>
        <v>1140</v>
      </c>
      <c r="I1249" s="36" t="str">
        <f aca="false">IF(Raw_Export!$A1249="","",IFERROR(VLOOKUP(LOWER(TRIM(Raw_Export!H1249)),Maps!$D$2:$E$12,2,FALSE()),"Other"))</f>
        <v>M-Pesa</v>
      </c>
      <c r="J1249" s="36" t="str">
        <f aca="false">IF(Raw_Export!$A1249="","",IF(COUNTIF($A$2:A1249,A1249)&gt;1,"Duplicate",""))</f>
        <v/>
      </c>
      <c r="K1249" s="36" t="str">
        <f aca="false">IF(Raw_Export!$A1249="","",IF(J1249="Duplicate","Duplicate",IF(OR(C1249="UNMAPPED",D1249="UNMAPPED"),"Unmapped",IF(F1249=0,"Blank qty",IF(F1249&lt;0,"Return","OK")))))</f>
        <v>OK</v>
      </c>
      <c r="L1249" s="36" t="n">
        <f aca="false">IF(Raw_Export!$A1249="","",IF(OR(K1249="OK",K1249="Return"),1,0))</f>
        <v>1</v>
      </c>
      <c r="M1249" s="37" t="n">
        <f aca="false">IF(Raw_Export!$A1249="","",B1249-WEEKDAY(B1249,2)+1)</f>
        <v>46272</v>
      </c>
    </row>
    <row r="1250" customFormat="false" ht="15" hidden="false" customHeight="false" outlineLevel="0" collapsed="false">
      <c r="A1250" s="36" t="str">
        <f aca="false">IF(Raw_Export!$A1250="","",TRIM(Raw_Export!A1250))</f>
        <v>TXN-101226</v>
      </c>
      <c r="B1250" s="37" t="n">
        <f aca="false">IF(Raw_Export!$A1250="","",IF(ISNUMBER(Raw_Export!B1250),Raw_Export!B1250,IF(MID(TRIM(Raw_Export!B1250),5,1)="-",DATE(LEFT(TRIM(Raw_Export!B1250),4),MID(TRIM(Raw_Export!B1250),6,2),RIGHT(TRIM(Raw_Export!B1250),2)),DATE(RIGHT(TRIM(Raw_Export!B1250),4),MATCH(MID(TRIM(Raw_Export!B1250),4,3),{"Jan","Feb","Mar","Apr","May","Jun","Jul","Aug","Sep","Oct","Nov","Dec"},0),LEFT(TRIM(Raw_Export!B1250),2)))))</f>
        <v>46273</v>
      </c>
      <c r="C1250" s="36" t="str">
        <f aca="false">IF(Raw_Export!$A1250="","",IFERROR(VLOOKUP(LOWER(TRIM(Raw_Export!C1250)),Maps!$A$2:$B$20,2,FALSE()),"UNMAPPED"))</f>
        <v>Nairobi CBD</v>
      </c>
      <c r="D1250" s="36" t="str">
        <f aca="false">IF(Raw_Export!$A1250="","",IFERROR(VLOOKUP(LOWER(TRIM(Raw_Export!D1250)),Maps!$G$2:$I$80,2,FALSE()),"UNMAPPED"))</f>
        <v>Sugar 2kg</v>
      </c>
      <c r="E1250" s="36" t="str">
        <f aca="false">IF(Raw_Export!$A1250="","",IFERROR(VLOOKUP(LOWER(TRIM(Raw_Export!D1250)),Maps!$G$2:$I$80,3,FALSE()),"UNMAPPED"))</f>
        <v>Staples</v>
      </c>
      <c r="F1250" s="36" t="n">
        <f aca="false">IF(Raw_Export!$A1250="","",IFERROR(VALUE(TRIM(Raw_Export!E1250)),0))</f>
        <v>2</v>
      </c>
      <c r="G1250" s="38" t="n">
        <f aca="false">IF(Raw_Export!$A1250="","",IFERROR(VALUE(SUBSTITUTE(SUBSTITUTE(UPPER(TRIM(Raw_Export!F1250)),"KES",""),",","")),0))</f>
        <v>330</v>
      </c>
      <c r="H1250" s="38" t="n">
        <f aca="false">IF(Raw_Export!$A1250="","",F1250*G1250)</f>
        <v>660</v>
      </c>
      <c r="I1250" s="36" t="str">
        <f aca="false">IF(Raw_Export!$A1250="","",IFERROR(VLOOKUP(LOWER(TRIM(Raw_Export!H1250)),Maps!$D$2:$E$12,2,FALSE()),"Other"))</f>
        <v>Card</v>
      </c>
      <c r="J1250" s="36" t="str">
        <f aca="false">IF(Raw_Export!$A1250="","",IF(COUNTIF($A$2:A1250,A1250)&gt;1,"Duplicate",""))</f>
        <v>Duplicate</v>
      </c>
      <c r="K1250" s="36" t="str">
        <f aca="false">IF(Raw_Export!$A1250="","",IF(J1250="Duplicate","Duplicate",IF(OR(C1250="UNMAPPED",D1250="UNMAPPED"),"Unmapped",IF(F1250=0,"Blank qty",IF(F1250&lt;0,"Return","OK")))))</f>
        <v>Duplicate</v>
      </c>
      <c r="L1250" s="36" t="n">
        <f aca="false">IF(Raw_Export!$A1250="","",IF(OR(K1250="OK",K1250="Return"),1,0))</f>
        <v>0</v>
      </c>
      <c r="M1250" s="37" t="n">
        <f aca="false">IF(Raw_Export!$A1250="","",B1250-WEEKDAY(B1250,2)+1)</f>
        <v>46272</v>
      </c>
    </row>
    <row r="1251" customFormat="false" ht="15" hidden="false" customHeight="false" outlineLevel="0" collapsed="false">
      <c r="A1251" s="36" t="str">
        <f aca="false">IF(Raw_Export!$A1251="","",TRIM(Raw_Export!A1251))</f>
        <v>TXN-101227</v>
      </c>
      <c r="B1251" s="37" t="n">
        <f aca="false">IF(Raw_Export!$A1251="","",IF(ISNUMBER(Raw_Export!B1251),Raw_Export!B1251,IF(MID(TRIM(Raw_Export!B1251),5,1)="-",DATE(LEFT(TRIM(Raw_Export!B1251),4),MID(TRIM(Raw_Export!B1251),6,2),RIGHT(TRIM(Raw_Export!B1251),2)),DATE(RIGHT(TRIM(Raw_Export!B1251),4),MATCH(MID(TRIM(Raw_Export!B1251),4,3),{"Jan","Feb","Mar","Apr","May","Jun","Jul","Aug","Sep","Oct","Nov","Dec"},0),LEFT(TRIM(Raw_Export!B1251),2)))))</f>
        <v>46273</v>
      </c>
      <c r="C1251" s="36" t="str">
        <f aca="false">IF(Raw_Export!$A1251="","",IFERROR(VLOOKUP(LOWER(TRIM(Raw_Export!C1251)),Maps!$A$2:$B$20,2,FALSE()),"UNMAPPED"))</f>
        <v>Nairobi CBD</v>
      </c>
      <c r="D1251" s="36" t="str">
        <f aca="false">IF(Raw_Export!$A1251="","",IFERROR(VLOOKUP(LOWER(TRIM(Raw_Export!D1251)),Maps!$G$2:$I$80,2,FALSE()),"UNMAPPED"))</f>
        <v>Cooking Oil 1L</v>
      </c>
      <c r="E1251" s="36" t="str">
        <f aca="false">IF(Raw_Export!$A1251="","",IFERROR(VLOOKUP(LOWER(TRIM(Raw_Export!D1251)),Maps!$G$2:$I$80,3,FALSE()),"UNMAPPED"))</f>
        <v>Staples</v>
      </c>
      <c r="F1251" s="36" t="n">
        <f aca="false">IF(Raw_Export!$A1251="","",IFERROR(VALUE(TRIM(Raw_Export!E1251)),0))</f>
        <v>1</v>
      </c>
      <c r="G1251" s="38" t="n">
        <f aca="false">IF(Raw_Export!$A1251="","",IFERROR(VALUE(SUBSTITUTE(SUBSTITUTE(UPPER(TRIM(Raw_Export!F1251)),"KES",""),",","")),0))</f>
        <v>330</v>
      </c>
      <c r="H1251" s="38" t="n">
        <f aca="false">IF(Raw_Export!$A1251="","",F1251*G1251)</f>
        <v>330</v>
      </c>
      <c r="I1251" s="36" t="str">
        <f aca="false">IF(Raw_Export!$A1251="","",IFERROR(VLOOKUP(LOWER(TRIM(Raw_Export!H1251)),Maps!$D$2:$E$12,2,FALSE()),"Other"))</f>
        <v>M-Pesa</v>
      </c>
      <c r="J1251" s="36" t="str">
        <f aca="false">IF(Raw_Export!$A1251="","",IF(COUNTIF($A$2:A1251,A1251)&gt;1,"Duplicate",""))</f>
        <v/>
      </c>
      <c r="K1251" s="36" t="str">
        <f aca="false">IF(Raw_Export!$A1251="","",IF(J1251="Duplicate","Duplicate",IF(OR(C1251="UNMAPPED",D1251="UNMAPPED"),"Unmapped",IF(F1251=0,"Blank qty",IF(F1251&lt;0,"Return","OK")))))</f>
        <v>OK</v>
      </c>
      <c r="L1251" s="36" t="n">
        <f aca="false">IF(Raw_Export!$A1251="","",IF(OR(K1251="OK",K1251="Return"),1,0))</f>
        <v>1</v>
      </c>
      <c r="M1251" s="37" t="n">
        <f aca="false">IF(Raw_Export!$A1251="","",B1251-WEEKDAY(B1251,2)+1)</f>
        <v>46272</v>
      </c>
    </row>
    <row r="1252" customFormat="false" ht="15" hidden="false" customHeight="false" outlineLevel="0" collapsed="false">
      <c r="A1252" s="36" t="str">
        <f aca="false">IF(Raw_Export!$A1252="","",TRIM(Raw_Export!A1252))</f>
        <v>TXN-101228</v>
      </c>
      <c r="B1252" s="37" t="n">
        <f aca="false">IF(Raw_Export!$A1252="","",IF(ISNUMBER(Raw_Export!B1252),Raw_Export!B1252,IF(MID(TRIM(Raw_Export!B1252),5,1)="-",DATE(LEFT(TRIM(Raw_Export!B1252),4),MID(TRIM(Raw_Export!B1252),6,2),RIGHT(TRIM(Raw_Export!B1252),2)),DATE(RIGHT(TRIM(Raw_Export!B1252),4),MATCH(MID(TRIM(Raw_Export!B1252),4,3),{"Jan","Feb","Mar","Apr","May","Jun","Jul","Aug","Sep","Oct","Nov","Dec"},0),LEFT(TRIM(Raw_Export!B1252),2)))))</f>
        <v>46273</v>
      </c>
      <c r="C1252" s="36" t="str">
        <f aca="false">IF(Raw_Export!$A1252="","",IFERROR(VLOOKUP(LOWER(TRIM(Raw_Export!C1252)),Maps!$A$2:$B$20,2,FALSE()),"UNMAPPED"))</f>
        <v>Nairobi CBD</v>
      </c>
      <c r="D1252" s="36" t="str">
        <f aca="false">IF(Raw_Export!$A1252="","",IFERROR(VLOOKUP(LOWER(TRIM(Raw_Export!D1252)),Maps!$G$2:$I$80,2,FALSE()),"UNMAPPED"))</f>
        <v>Bottled Water 1.5L</v>
      </c>
      <c r="E1252" s="36" t="str">
        <f aca="false">IF(Raw_Export!$A1252="","",IFERROR(VLOOKUP(LOWER(TRIM(Raw_Export!D1252)),Maps!$G$2:$I$80,3,FALSE()),"UNMAPPED"))</f>
        <v>Beverages</v>
      </c>
      <c r="F1252" s="36" t="n">
        <f aca="false">IF(Raw_Export!$A1252="","",IFERROR(VALUE(TRIM(Raw_Export!E1252)),0))</f>
        <v>3</v>
      </c>
      <c r="G1252" s="38" t="n">
        <f aca="false">IF(Raw_Export!$A1252="","",IFERROR(VALUE(SUBSTITUTE(SUBSTITUTE(UPPER(TRIM(Raw_Export!F1252)),"KES",""),",","")),0))</f>
        <v>90</v>
      </c>
      <c r="H1252" s="38" t="n">
        <f aca="false">IF(Raw_Export!$A1252="","",F1252*G1252)</f>
        <v>270</v>
      </c>
      <c r="I1252" s="36" t="str">
        <f aca="false">IF(Raw_Export!$A1252="","",IFERROR(VLOOKUP(LOWER(TRIM(Raw_Export!H1252)),Maps!$D$2:$E$12,2,FALSE()),"Other"))</f>
        <v>Cash</v>
      </c>
      <c r="J1252" s="36" t="str">
        <f aca="false">IF(Raw_Export!$A1252="","",IF(COUNTIF($A$2:A1252,A1252)&gt;1,"Duplicate",""))</f>
        <v/>
      </c>
      <c r="K1252" s="36" t="str">
        <f aca="false">IF(Raw_Export!$A1252="","",IF(J1252="Duplicate","Duplicate",IF(OR(C1252="UNMAPPED",D1252="UNMAPPED"),"Unmapped",IF(F1252=0,"Blank qty",IF(F1252&lt;0,"Return","OK")))))</f>
        <v>OK</v>
      </c>
      <c r="L1252" s="36" t="n">
        <f aca="false">IF(Raw_Export!$A1252="","",IF(OR(K1252="OK",K1252="Return"),1,0))</f>
        <v>1</v>
      </c>
      <c r="M1252" s="37" t="n">
        <f aca="false">IF(Raw_Export!$A1252="","",B1252-WEEKDAY(B1252,2)+1)</f>
        <v>46272</v>
      </c>
    </row>
    <row r="1253" customFormat="false" ht="15" hidden="false" customHeight="false" outlineLevel="0" collapsed="false">
      <c r="A1253" s="36" t="str">
        <f aca="false">IF(Raw_Export!$A1253="","",TRIM(Raw_Export!A1253))</f>
        <v>TXN-101229</v>
      </c>
      <c r="B1253" s="37" t="n">
        <f aca="false">IF(Raw_Export!$A1253="","",IF(ISNUMBER(Raw_Export!B1253),Raw_Export!B1253,IF(MID(TRIM(Raw_Export!B1253),5,1)="-",DATE(LEFT(TRIM(Raw_Export!B1253),4),MID(TRIM(Raw_Export!B1253),6,2),RIGHT(TRIM(Raw_Export!B1253),2)),DATE(RIGHT(TRIM(Raw_Export!B1253),4),MATCH(MID(TRIM(Raw_Export!B1253),4,3),{"Jan","Feb","Mar","Apr","May","Jun","Jul","Aug","Sep","Oct","Nov","Dec"},0),LEFT(TRIM(Raw_Export!B1253),2)))))</f>
        <v>46273</v>
      </c>
      <c r="C1253" s="36" t="str">
        <f aca="false">IF(Raw_Export!$A1253="","",IFERROR(VLOOKUP(LOWER(TRIM(Raw_Export!C1253)),Maps!$A$2:$B$20,2,FALSE()),"UNMAPPED"))</f>
        <v>Nairobi CBD</v>
      </c>
      <c r="D1253" s="36" t="str">
        <f aca="false">IF(Raw_Export!$A1253="","",IFERROR(VLOOKUP(LOWER(TRIM(Raw_Export!D1253)),Maps!$G$2:$I$80,2,FALSE()),"UNMAPPED"))</f>
        <v>Tea Leaves 250g</v>
      </c>
      <c r="E1253" s="36" t="str">
        <f aca="false">IF(Raw_Export!$A1253="","",IFERROR(VLOOKUP(LOWER(TRIM(Raw_Export!D1253)),Maps!$G$2:$I$80,3,FALSE()),"UNMAPPED"))</f>
        <v>Beverages</v>
      </c>
      <c r="F1253" s="36" t="n">
        <f aca="false">IF(Raw_Export!$A1253="","",IFERROR(VALUE(TRIM(Raw_Export!E1253)),0))</f>
        <v>6</v>
      </c>
      <c r="G1253" s="38" t="n">
        <f aca="false">IF(Raw_Export!$A1253="","",IFERROR(VALUE(SUBSTITUTE(SUBSTITUTE(UPPER(TRIM(Raw_Export!F1253)),"KES",""),",","")),0))</f>
        <v>150</v>
      </c>
      <c r="H1253" s="38" t="n">
        <f aca="false">IF(Raw_Export!$A1253="","",F1253*G1253)</f>
        <v>900</v>
      </c>
      <c r="I1253" s="36" t="str">
        <f aca="false">IF(Raw_Export!$A1253="","",IFERROR(VLOOKUP(LOWER(TRIM(Raw_Export!H1253)),Maps!$D$2:$E$12,2,FALSE()),"Other"))</f>
        <v>Card</v>
      </c>
      <c r="J1253" s="36" t="str">
        <f aca="false">IF(Raw_Export!$A1253="","",IF(COUNTIF($A$2:A1253,A1253)&gt;1,"Duplicate",""))</f>
        <v/>
      </c>
      <c r="K1253" s="36" t="str">
        <f aca="false">IF(Raw_Export!$A1253="","",IF(J1253="Duplicate","Duplicate",IF(OR(C1253="UNMAPPED",D1253="UNMAPPED"),"Unmapped",IF(F1253=0,"Blank qty",IF(F1253&lt;0,"Return","OK")))))</f>
        <v>OK</v>
      </c>
      <c r="L1253" s="36" t="n">
        <f aca="false">IF(Raw_Export!$A1253="","",IF(OR(K1253="OK",K1253="Return"),1,0))</f>
        <v>1</v>
      </c>
      <c r="M1253" s="37" t="n">
        <f aca="false">IF(Raw_Export!$A1253="","",B1253-WEEKDAY(B1253,2)+1)</f>
        <v>46272</v>
      </c>
    </row>
    <row r="1254" customFormat="false" ht="15" hidden="false" customHeight="false" outlineLevel="0" collapsed="false">
      <c r="A1254" s="36" t="str">
        <f aca="false">IF(Raw_Export!$A1254="","",TRIM(Raw_Export!A1254))</f>
        <v>TXN-101230</v>
      </c>
      <c r="B1254" s="37" t="n">
        <f aca="false">IF(Raw_Export!$A1254="","",IF(ISNUMBER(Raw_Export!B1254),Raw_Export!B1254,IF(MID(TRIM(Raw_Export!B1254),5,1)="-",DATE(LEFT(TRIM(Raw_Export!B1254),4),MID(TRIM(Raw_Export!B1254),6,2),RIGHT(TRIM(Raw_Export!B1254),2)),DATE(RIGHT(TRIM(Raw_Export!B1254),4),MATCH(MID(TRIM(Raw_Export!B1254),4,3),{"Jan","Feb","Mar","Apr","May","Jun","Jul","Aug","Sep","Oct","Nov","Dec"},0),LEFT(TRIM(Raw_Export!B1254),2)))))</f>
        <v>46273</v>
      </c>
      <c r="C1254" s="36" t="str">
        <f aca="false">IF(Raw_Export!$A1254="","",IFERROR(VLOOKUP(LOWER(TRIM(Raw_Export!C1254)),Maps!$A$2:$B$20,2,FALSE()),"UNMAPPED"))</f>
        <v>Nairobi CBD</v>
      </c>
      <c r="D1254" s="36" t="str">
        <f aca="false">IF(Raw_Export!$A1254="","",IFERROR(VLOOKUP(LOWER(TRIM(Raw_Export!D1254)),Maps!$G$2:$I$80,2,FALSE()),"UNMAPPED"))</f>
        <v>Yoghurt 500ml</v>
      </c>
      <c r="E1254" s="36" t="str">
        <f aca="false">IF(Raw_Export!$A1254="","",IFERROR(VLOOKUP(LOWER(TRIM(Raw_Export!D1254)),Maps!$G$2:$I$80,3,FALSE()),"UNMAPPED"))</f>
        <v>Dairy &amp; Eggs</v>
      </c>
      <c r="F1254" s="36" t="n">
        <f aca="false">IF(Raw_Export!$A1254="","",IFERROR(VALUE(TRIM(Raw_Export!E1254)),0))</f>
        <v>6</v>
      </c>
      <c r="G1254" s="38" t="n">
        <f aca="false">IF(Raw_Export!$A1254="","",IFERROR(VALUE(SUBSTITUTE(SUBSTITUTE(UPPER(TRIM(Raw_Export!F1254)),"KES",""),",","")),0))</f>
        <v>120</v>
      </c>
      <c r="H1254" s="38" t="n">
        <f aca="false">IF(Raw_Export!$A1254="","",F1254*G1254)</f>
        <v>720</v>
      </c>
      <c r="I1254" s="36" t="str">
        <f aca="false">IF(Raw_Export!$A1254="","",IFERROR(VLOOKUP(LOWER(TRIM(Raw_Export!H1254)),Maps!$D$2:$E$12,2,FALSE()),"Other"))</f>
        <v>M-Pesa</v>
      </c>
      <c r="J1254" s="36" t="str">
        <f aca="false">IF(Raw_Export!$A1254="","",IF(COUNTIF($A$2:A1254,A1254)&gt;1,"Duplicate",""))</f>
        <v/>
      </c>
      <c r="K1254" s="36" t="str">
        <f aca="false">IF(Raw_Export!$A1254="","",IF(J1254="Duplicate","Duplicate",IF(OR(C1254="UNMAPPED",D1254="UNMAPPED"),"Unmapped",IF(F1254=0,"Blank qty",IF(F1254&lt;0,"Return","OK")))))</f>
        <v>OK</v>
      </c>
      <c r="L1254" s="36" t="n">
        <f aca="false">IF(Raw_Export!$A1254="","",IF(OR(K1254="OK",K1254="Return"),1,0))</f>
        <v>1</v>
      </c>
      <c r="M1254" s="37" t="n">
        <f aca="false">IF(Raw_Export!$A1254="","",B1254-WEEKDAY(B1254,2)+1)</f>
        <v>46272</v>
      </c>
    </row>
    <row r="1255" customFormat="false" ht="15" hidden="false" customHeight="false" outlineLevel="0" collapsed="false">
      <c r="A1255" s="36" t="str">
        <f aca="false">IF(Raw_Export!$A1255="","",TRIM(Raw_Export!A1255))</f>
        <v>TXN-101231</v>
      </c>
      <c r="B1255" s="37" t="n">
        <f aca="false">IF(Raw_Export!$A1255="","",IF(ISNUMBER(Raw_Export!B1255),Raw_Export!B1255,IF(MID(TRIM(Raw_Export!B1255),5,1)="-",DATE(LEFT(TRIM(Raw_Export!B1255),4),MID(TRIM(Raw_Export!B1255),6,2),RIGHT(TRIM(Raw_Export!B1255),2)),DATE(RIGHT(TRIM(Raw_Export!B1255),4),MATCH(MID(TRIM(Raw_Export!B1255),4,3),{"Jan","Feb","Mar","Apr","May","Jun","Jul","Aug","Sep","Oct","Nov","Dec"},0),LEFT(TRIM(Raw_Export!B1255),2)))))</f>
        <v>46273</v>
      </c>
      <c r="C1255" s="36" t="str">
        <f aca="false">IF(Raw_Export!$A1255="","",IFERROR(VLOOKUP(LOWER(TRIM(Raw_Export!C1255)),Maps!$A$2:$B$20,2,FALSE()),"UNMAPPED"))</f>
        <v>Nairobi CBD</v>
      </c>
      <c r="D1255" s="36" t="str">
        <f aca="false">IF(Raw_Export!$A1255="","",IFERROR(VLOOKUP(LOWER(TRIM(Raw_Export!D1255)),Maps!$G$2:$I$80,2,FALSE()),"UNMAPPED"))</f>
        <v>Cheddar 200g</v>
      </c>
      <c r="E1255" s="36" t="str">
        <f aca="false">IF(Raw_Export!$A1255="","",IFERROR(VLOOKUP(LOWER(TRIM(Raw_Export!D1255)),Maps!$G$2:$I$80,3,FALSE()),"UNMAPPED"))</f>
        <v>Dairy &amp; Eggs</v>
      </c>
      <c r="F1255" s="36" t="n">
        <f aca="false">IF(Raw_Export!$A1255="","",IFERROR(VALUE(TRIM(Raw_Export!E1255)),0))</f>
        <v>2</v>
      </c>
      <c r="G1255" s="38" t="n">
        <f aca="false">IF(Raw_Export!$A1255="","",IFERROR(VALUE(SUBSTITUTE(SUBSTITUTE(UPPER(TRIM(Raw_Export!F1255)),"KES",""),",","")),0))</f>
        <v>380</v>
      </c>
      <c r="H1255" s="38" t="n">
        <f aca="false">IF(Raw_Export!$A1255="","",F1255*G1255)</f>
        <v>760</v>
      </c>
      <c r="I1255" s="36" t="str">
        <f aca="false">IF(Raw_Export!$A1255="","",IFERROR(VLOOKUP(LOWER(TRIM(Raw_Export!H1255)),Maps!$D$2:$E$12,2,FALSE()),"Other"))</f>
        <v>Cash</v>
      </c>
      <c r="J1255" s="36" t="str">
        <f aca="false">IF(Raw_Export!$A1255="","",IF(COUNTIF($A$2:A1255,A1255)&gt;1,"Duplicate",""))</f>
        <v/>
      </c>
      <c r="K1255" s="36" t="str">
        <f aca="false">IF(Raw_Export!$A1255="","",IF(J1255="Duplicate","Duplicate",IF(OR(C1255="UNMAPPED",D1255="UNMAPPED"),"Unmapped",IF(F1255=0,"Blank qty",IF(F1255&lt;0,"Return","OK")))))</f>
        <v>OK</v>
      </c>
      <c r="L1255" s="36" t="n">
        <f aca="false">IF(Raw_Export!$A1255="","",IF(OR(K1255="OK",K1255="Return"),1,0))</f>
        <v>1</v>
      </c>
      <c r="M1255" s="37" t="n">
        <f aca="false">IF(Raw_Export!$A1255="","",B1255-WEEKDAY(B1255,2)+1)</f>
        <v>46272</v>
      </c>
    </row>
    <row r="1256" customFormat="false" ht="15" hidden="false" customHeight="false" outlineLevel="0" collapsed="false">
      <c r="A1256" s="36" t="str">
        <f aca="false">IF(Raw_Export!$A1256="","",TRIM(Raw_Export!A1256))</f>
        <v>TXN-101232</v>
      </c>
      <c r="B1256" s="37" t="n">
        <f aca="false">IF(Raw_Export!$A1256="","",IF(ISNUMBER(Raw_Export!B1256),Raw_Export!B1256,IF(MID(TRIM(Raw_Export!B1256),5,1)="-",DATE(LEFT(TRIM(Raw_Export!B1256),4),MID(TRIM(Raw_Export!B1256),6,2),RIGHT(TRIM(Raw_Export!B1256),2)),DATE(RIGHT(TRIM(Raw_Export!B1256),4),MATCH(MID(TRIM(Raw_Export!B1256),4,3),{"Jan","Feb","Mar","Apr","May","Jun","Jul","Aug","Sep","Oct","Nov","Dec"},0),LEFT(TRIM(Raw_Export!B1256),2)))))</f>
        <v>46273</v>
      </c>
      <c r="C1256" s="36" t="str">
        <f aca="false">IF(Raw_Export!$A1256="","",IFERROR(VLOOKUP(LOWER(TRIM(Raw_Export!C1256)),Maps!$A$2:$B$20,2,FALSE()),"UNMAPPED"))</f>
        <v>Westlands</v>
      </c>
      <c r="D1256" s="36" t="str">
        <f aca="false">IF(Raw_Export!$A1256="","",IFERROR(VLOOKUP(LOWER(TRIM(Raw_Export!D1256)),Maps!$G$2:$I$80,2,FALSE()),"UNMAPPED"))</f>
        <v>Fresh Milk 500ml</v>
      </c>
      <c r="E1256" s="36" t="str">
        <f aca="false">IF(Raw_Export!$A1256="","",IFERROR(VLOOKUP(LOWER(TRIM(Raw_Export!D1256)),Maps!$G$2:$I$80,3,FALSE()),"UNMAPPED"))</f>
        <v>Dairy &amp; Eggs</v>
      </c>
      <c r="F1256" s="36" t="n">
        <f aca="false">IF(Raw_Export!$A1256="","",IFERROR(VALUE(TRIM(Raw_Export!E1256)),0))</f>
        <v>2</v>
      </c>
      <c r="G1256" s="38" t="n">
        <f aca="false">IF(Raw_Export!$A1256="","",IFERROR(VALUE(SUBSTITUTE(SUBSTITUTE(UPPER(TRIM(Raw_Export!F1256)),"KES",""),",","")),0))</f>
        <v>65</v>
      </c>
      <c r="H1256" s="38" t="n">
        <f aca="false">IF(Raw_Export!$A1256="","",F1256*G1256)</f>
        <v>130</v>
      </c>
      <c r="I1256" s="36" t="str">
        <f aca="false">IF(Raw_Export!$A1256="","",IFERROR(VLOOKUP(LOWER(TRIM(Raw_Export!H1256)),Maps!$D$2:$E$12,2,FALSE()),"Other"))</f>
        <v>M-Pesa</v>
      </c>
      <c r="J1256" s="36" t="str">
        <f aca="false">IF(Raw_Export!$A1256="","",IF(COUNTIF($A$2:A1256,A1256)&gt;1,"Duplicate",""))</f>
        <v/>
      </c>
      <c r="K1256" s="36" t="str">
        <f aca="false">IF(Raw_Export!$A1256="","",IF(J1256="Duplicate","Duplicate",IF(OR(C1256="UNMAPPED",D1256="UNMAPPED"),"Unmapped",IF(F1256=0,"Blank qty",IF(F1256&lt;0,"Return","OK")))))</f>
        <v>OK</v>
      </c>
      <c r="L1256" s="36" t="n">
        <f aca="false">IF(Raw_Export!$A1256="","",IF(OR(K1256="OK",K1256="Return"),1,0))</f>
        <v>1</v>
      </c>
      <c r="M1256" s="37" t="n">
        <f aca="false">IF(Raw_Export!$A1256="","",B1256-WEEKDAY(B1256,2)+1)</f>
        <v>46272</v>
      </c>
    </row>
    <row r="1257" customFormat="false" ht="15" hidden="false" customHeight="false" outlineLevel="0" collapsed="false">
      <c r="A1257" s="36" t="str">
        <f aca="false">IF(Raw_Export!$A1257="","",TRIM(Raw_Export!A1257))</f>
        <v>TXN-101233</v>
      </c>
      <c r="B1257" s="37" t="n">
        <f aca="false">IF(Raw_Export!$A1257="","",IF(ISNUMBER(Raw_Export!B1257),Raw_Export!B1257,IF(MID(TRIM(Raw_Export!B1257),5,1)="-",DATE(LEFT(TRIM(Raw_Export!B1257),4),MID(TRIM(Raw_Export!B1257),6,2),RIGHT(TRIM(Raw_Export!B1257),2)),DATE(RIGHT(TRIM(Raw_Export!B1257),4),MATCH(MID(TRIM(Raw_Export!B1257),4,3),{"Jan","Feb","Mar","Apr","May","Jun","Jul","Aug","Sep","Oct","Nov","Dec"},0),LEFT(TRIM(Raw_Export!B1257),2)))))</f>
        <v>46273</v>
      </c>
      <c r="C1257" s="36" t="str">
        <f aca="false">IF(Raw_Export!$A1257="","",IFERROR(VLOOKUP(LOWER(TRIM(Raw_Export!C1257)),Maps!$A$2:$B$20,2,FALSE()),"UNMAPPED"))</f>
        <v>Westlands</v>
      </c>
      <c r="D1257" s="36" t="str">
        <f aca="false">IF(Raw_Export!$A1257="","",IFERROR(VLOOKUP(LOWER(TRIM(Raw_Export!D1257)),Maps!$G$2:$I$80,2,FALSE()),"UNMAPPED"))</f>
        <v>Sugar 2kg</v>
      </c>
      <c r="E1257" s="36" t="str">
        <f aca="false">IF(Raw_Export!$A1257="","",IFERROR(VLOOKUP(LOWER(TRIM(Raw_Export!D1257)),Maps!$G$2:$I$80,3,FALSE()),"UNMAPPED"))</f>
        <v>Staples</v>
      </c>
      <c r="F1257" s="36" t="n">
        <f aca="false">IF(Raw_Export!$A1257="","",IFERROR(VALUE(TRIM(Raw_Export!E1257)),0))</f>
        <v>1</v>
      </c>
      <c r="G1257" s="38" t="n">
        <f aca="false">IF(Raw_Export!$A1257="","",IFERROR(VALUE(SUBSTITUTE(SUBSTITUTE(UPPER(TRIM(Raw_Export!F1257)),"KES",""),",","")),0))</f>
        <v>330</v>
      </c>
      <c r="H1257" s="38" t="n">
        <f aca="false">IF(Raw_Export!$A1257="","",F1257*G1257)</f>
        <v>330</v>
      </c>
      <c r="I1257" s="36" t="str">
        <f aca="false">IF(Raw_Export!$A1257="","",IFERROR(VLOOKUP(LOWER(TRIM(Raw_Export!H1257)),Maps!$D$2:$E$12,2,FALSE()),"Other"))</f>
        <v>Card</v>
      </c>
      <c r="J1257" s="36" t="str">
        <f aca="false">IF(Raw_Export!$A1257="","",IF(COUNTIF($A$2:A1257,A1257)&gt;1,"Duplicate",""))</f>
        <v/>
      </c>
      <c r="K1257" s="36" t="str">
        <f aca="false">IF(Raw_Export!$A1257="","",IF(J1257="Duplicate","Duplicate",IF(OR(C1257="UNMAPPED",D1257="UNMAPPED"),"Unmapped",IF(F1257=0,"Blank qty",IF(F1257&lt;0,"Return","OK")))))</f>
        <v>OK</v>
      </c>
      <c r="L1257" s="36" t="n">
        <f aca="false">IF(Raw_Export!$A1257="","",IF(OR(K1257="OK",K1257="Return"),1,0))</f>
        <v>1</v>
      </c>
      <c r="M1257" s="37" t="n">
        <f aca="false">IF(Raw_Export!$A1257="","",B1257-WEEKDAY(B1257,2)+1)</f>
        <v>46272</v>
      </c>
    </row>
    <row r="1258" customFormat="false" ht="15" hidden="false" customHeight="false" outlineLevel="0" collapsed="false">
      <c r="A1258" s="36" t="str">
        <f aca="false">IF(Raw_Export!$A1258="","",TRIM(Raw_Export!A1258))</f>
        <v>TXN-100364</v>
      </c>
      <c r="B1258" s="37" t="n">
        <f aca="false">IF(Raw_Export!$A1258="","",IF(ISNUMBER(Raw_Export!B1258),Raw_Export!B1258,IF(MID(TRIM(Raw_Export!B1258),5,1)="-",DATE(LEFT(TRIM(Raw_Export!B1258),4),MID(TRIM(Raw_Export!B1258),6,2),RIGHT(TRIM(Raw_Export!B1258),2)),DATE(RIGHT(TRIM(Raw_Export!B1258),4),MATCH(MID(TRIM(Raw_Export!B1258),4,3),{"Jan","Feb","Mar","Apr","May","Jun","Jul","Aug","Sep","Oct","Nov","Dec"},0),LEFT(TRIM(Raw_Export!B1258),2)))))</f>
        <v>46267</v>
      </c>
      <c r="C1258" s="36" t="str">
        <f aca="false">IF(Raw_Export!$A1258="","",IFERROR(VLOOKUP(LOWER(TRIM(Raw_Export!C1258)),Maps!$A$2:$B$20,2,FALSE()),"UNMAPPED"))</f>
        <v>Nakuru</v>
      </c>
      <c r="D1258" s="36" t="str">
        <f aca="false">IF(Raw_Export!$A1258="","",IFERROR(VLOOKUP(LOWER(TRIM(Raw_Export!D1258)),Maps!$G$2:$I$80,2,FALSE()),"UNMAPPED"))</f>
        <v>Chocolate Bar 90g</v>
      </c>
      <c r="E1258" s="36" t="str">
        <f aca="false">IF(Raw_Export!$A1258="","",IFERROR(VLOOKUP(LOWER(TRIM(Raw_Export!D1258)),Maps!$G$2:$I$80,3,FALSE()),"UNMAPPED"))</f>
        <v>Snacks</v>
      </c>
      <c r="F1258" s="36" t="n">
        <f aca="false">IF(Raw_Export!$A1258="","",IFERROR(VALUE(TRIM(Raw_Export!E1258)),0))</f>
        <v>4</v>
      </c>
      <c r="G1258" s="38" t="n">
        <f aca="false">IF(Raw_Export!$A1258="","",IFERROR(VALUE(SUBSTITUTE(SUBSTITUTE(UPPER(TRIM(Raw_Export!F1258)),"KES",""),",","")),0))</f>
        <v>140</v>
      </c>
      <c r="H1258" s="38" t="n">
        <f aca="false">IF(Raw_Export!$A1258="","",F1258*G1258)</f>
        <v>560</v>
      </c>
      <c r="I1258" s="36" t="str">
        <f aca="false">IF(Raw_Export!$A1258="","",IFERROR(VLOOKUP(LOWER(TRIM(Raw_Export!H1258)),Maps!$D$2:$E$12,2,FALSE()),"Other"))</f>
        <v>M-Pesa</v>
      </c>
      <c r="J1258" s="36" t="str">
        <f aca="false">IF(Raw_Export!$A1258="","",IF(COUNTIF($A$2:A1258,A1258)&gt;1,"Duplicate",""))</f>
        <v>Duplicate</v>
      </c>
      <c r="K1258" s="36" t="str">
        <f aca="false">IF(Raw_Export!$A1258="","",IF(J1258="Duplicate","Duplicate",IF(OR(C1258="UNMAPPED",D1258="UNMAPPED"),"Unmapped",IF(F1258=0,"Blank qty",IF(F1258&lt;0,"Return","OK")))))</f>
        <v>Duplicate</v>
      </c>
      <c r="L1258" s="36" t="n">
        <f aca="false">IF(Raw_Export!$A1258="","",IF(OR(K1258="OK",K1258="Return"),1,0))</f>
        <v>0</v>
      </c>
      <c r="M1258" s="37" t="n">
        <f aca="false">IF(Raw_Export!$A1258="","",B1258-WEEKDAY(B1258,2)+1)</f>
        <v>46265</v>
      </c>
    </row>
    <row r="1259" customFormat="false" ht="15" hidden="false" customHeight="false" outlineLevel="0" collapsed="false">
      <c r="A1259" s="36" t="str">
        <f aca="false">IF(Raw_Export!$A1259="","",TRIM(Raw_Export!A1259))</f>
        <v>TXN-101234</v>
      </c>
      <c r="B1259" s="37" t="n">
        <f aca="false">IF(Raw_Export!$A1259="","",IF(ISNUMBER(Raw_Export!B1259),Raw_Export!B1259,IF(MID(TRIM(Raw_Export!B1259),5,1)="-",DATE(LEFT(TRIM(Raw_Export!B1259),4),MID(TRIM(Raw_Export!B1259),6,2),RIGHT(TRIM(Raw_Export!B1259),2)),DATE(RIGHT(TRIM(Raw_Export!B1259),4),MATCH(MID(TRIM(Raw_Export!B1259),4,3),{"Jan","Feb","Mar","Apr","May","Jun","Jul","Aug","Sep","Oct","Nov","Dec"},0),LEFT(TRIM(Raw_Export!B1259),2)))))</f>
        <v>46273</v>
      </c>
      <c r="C1259" s="36" t="str">
        <f aca="false">IF(Raw_Export!$A1259="","",IFERROR(VLOOKUP(LOWER(TRIM(Raw_Export!C1259)),Maps!$A$2:$B$20,2,FALSE()),"UNMAPPED"))</f>
        <v>Westlands</v>
      </c>
      <c r="D1259" s="36" t="str">
        <f aca="false">IF(Raw_Export!$A1259="","",IFERROR(VLOOKUP(LOWER(TRIM(Raw_Export!D1259)),Maps!$G$2:$I$80,2,FALSE()),"UNMAPPED"))</f>
        <v>Chocolate Bar 90g</v>
      </c>
      <c r="E1259" s="36" t="str">
        <f aca="false">IF(Raw_Export!$A1259="","",IFERROR(VLOOKUP(LOWER(TRIM(Raw_Export!D1259)),Maps!$G$2:$I$80,3,FALSE()),"UNMAPPED"))</f>
        <v>Snacks</v>
      </c>
      <c r="F1259" s="36" t="n">
        <f aca="false">IF(Raw_Export!$A1259="","",IFERROR(VALUE(TRIM(Raw_Export!E1259)),0))</f>
        <v>0</v>
      </c>
      <c r="G1259" s="38" t="n">
        <f aca="false">IF(Raw_Export!$A1259="","",IFERROR(VALUE(SUBSTITUTE(SUBSTITUTE(UPPER(TRIM(Raw_Export!F1259)),"KES",""),",","")),0))</f>
        <v>140</v>
      </c>
      <c r="H1259" s="38" t="n">
        <f aca="false">IF(Raw_Export!$A1259="","",F1259*G1259)</f>
        <v>0</v>
      </c>
      <c r="I1259" s="36" t="str">
        <f aca="false">IF(Raw_Export!$A1259="","",IFERROR(VLOOKUP(LOWER(TRIM(Raw_Export!H1259)),Maps!$D$2:$E$12,2,FALSE()),"Other"))</f>
        <v>Cash</v>
      </c>
      <c r="J1259" s="36" t="str">
        <f aca="false">IF(Raw_Export!$A1259="","",IF(COUNTIF($A$2:A1259,A1259)&gt;1,"Duplicate",""))</f>
        <v/>
      </c>
      <c r="K1259" s="36" t="str">
        <f aca="false">IF(Raw_Export!$A1259="","",IF(J1259="Duplicate","Duplicate",IF(OR(C1259="UNMAPPED",D1259="UNMAPPED"),"Unmapped",IF(F1259=0,"Blank qty",IF(F1259&lt;0,"Return","OK")))))</f>
        <v>Blank qty</v>
      </c>
      <c r="L1259" s="36" t="n">
        <f aca="false">IF(Raw_Export!$A1259="","",IF(OR(K1259="OK",K1259="Return"),1,0))</f>
        <v>0</v>
      </c>
      <c r="M1259" s="37" t="n">
        <f aca="false">IF(Raw_Export!$A1259="","",B1259-WEEKDAY(B1259,2)+1)</f>
        <v>46272</v>
      </c>
    </row>
    <row r="1260" customFormat="false" ht="15" hidden="false" customHeight="false" outlineLevel="0" collapsed="false">
      <c r="A1260" s="36" t="str">
        <f aca="false">IF(Raw_Export!$A1260="","",TRIM(Raw_Export!A1260))</f>
        <v>TXN-101235</v>
      </c>
      <c r="B1260" s="37" t="n">
        <f aca="false">IF(Raw_Export!$A1260="","",IF(ISNUMBER(Raw_Export!B1260),Raw_Export!B1260,IF(MID(TRIM(Raw_Export!B1260),5,1)="-",DATE(LEFT(TRIM(Raw_Export!B1260),4),MID(TRIM(Raw_Export!B1260),6,2),RIGHT(TRIM(Raw_Export!B1260),2)),DATE(RIGHT(TRIM(Raw_Export!B1260),4),MATCH(MID(TRIM(Raw_Export!B1260),4,3),{"Jan","Feb","Mar","Apr","May","Jun","Jul","Aug","Sep","Oct","Nov","Dec"},0),LEFT(TRIM(Raw_Export!B1260),2)))))</f>
        <v>46273</v>
      </c>
      <c r="C1260" s="36" t="str">
        <f aca="false">IF(Raw_Export!$A1260="","",IFERROR(VLOOKUP(LOWER(TRIM(Raw_Export!C1260)),Maps!$A$2:$B$20,2,FALSE()),"UNMAPPED"))</f>
        <v>Westlands</v>
      </c>
      <c r="D1260" s="36" t="str">
        <f aca="false">IF(Raw_Export!$A1260="","",IFERROR(VLOOKUP(LOWER(TRIM(Raw_Export!D1260)),Maps!$G$2:$I$80,2,FALSE()),"UNMAPPED"))</f>
        <v>Bottled Water 1.5L</v>
      </c>
      <c r="E1260" s="36" t="str">
        <f aca="false">IF(Raw_Export!$A1260="","",IFERROR(VLOOKUP(LOWER(TRIM(Raw_Export!D1260)),Maps!$G$2:$I$80,3,FALSE()),"UNMAPPED"))</f>
        <v>Beverages</v>
      </c>
      <c r="F1260" s="36" t="n">
        <f aca="false">IF(Raw_Export!$A1260="","",IFERROR(VALUE(TRIM(Raw_Export!E1260)),0))</f>
        <v>3</v>
      </c>
      <c r="G1260" s="38" t="n">
        <f aca="false">IF(Raw_Export!$A1260="","",IFERROR(VALUE(SUBSTITUTE(SUBSTITUTE(UPPER(TRIM(Raw_Export!F1260)),"KES",""),",","")),0))</f>
        <v>90</v>
      </c>
      <c r="H1260" s="38" t="n">
        <f aca="false">IF(Raw_Export!$A1260="","",F1260*G1260)</f>
        <v>270</v>
      </c>
      <c r="I1260" s="36" t="str">
        <f aca="false">IF(Raw_Export!$A1260="","",IFERROR(VLOOKUP(LOWER(TRIM(Raw_Export!H1260)),Maps!$D$2:$E$12,2,FALSE()),"Other"))</f>
        <v>Cash</v>
      </c>
      <c r="J1260" s="36" t="str">
        <f aca="false">IF(Raw_Export!$A1260="","",IF(COUNTIF($A$2:A1260,A1260)&gt;1,"Duplicate",""))</f>
        <v/>
      </c>
      <c r="K1260" s="36" t="str">
        <f aca="false">IF(Raw_Export!$A1260="","",IF(J1260="Duplicate","Duplicate",IF(OR(C1260="UNMAPPED",D1260="UNMAPPED"),"Unmapped",IF(F1260=0,"Blank qty",IF(F1260&lt;0,"Return","OK")))))</f>
        <v>OK</v>
      </c>
      <c r="L1260" s="36" t="n">
        <f aca="false">IF(Raw_Export!$A1260="","",IF(OR(K1260="OK",K1260="Return"),1,0))</f>
        <v>1</v>
      </c>
      <c r="M1260" s="37" t="n">
        <f aca="false">IF(Raw_Export!$A1260="","",B1260-WEEKDAY(B1260,2)+1)</f>
        <v>46272</v>
      </c>
    </row>
    <row r="1261" customFormat="false" ht="15" hidden="false" customHeight="false" outlineLevel="0" collapsed="false">
      <c r="A1261" s="36" t="str">
        <f aca="false">IF(Raw_Export!$A1261="","",TRIM(Raw_Export!A1261))</f>
        <v>TXN-101236</v>
      </c>
      <c r="B1261" s="37" t="n">
        <f aca="false">IF(Raw_Export!$A1261="","",IF(ISNUMBER(Raw_Export!B1261),Raw_Export!B1261,IF(MID(TRIM(Raw_Export!B1261),5,1)="-",DATE(LEFT(TRIM(Raw_Export!B1261),4),MID(TRIM(Raw_Export!B1261),6,2),RIGHT(TRIM(Raw_Export!B1261),2)),DATE(RIGHT(TRIM(Raw_Export!B1261),4),MATCH(MID(TRIM(Raw_Export!B1261),4,3),{"Jan","Feb","Mar","Apr","May","Jun","Jul","Aug","Sep","Oct","Nov","Dec"},0),LEFT(TRIM(Raw_Export!B1261),2)))))</f>
        <v>46273</v>
      </c>
      <c r="C1261" s="36" t="str">
        <f aca="false">IF(Raw_Export!$A1261="","",IFERROR(VLOOKUP(LOWER(TRIM(Raw_Export!C1261)),Maps!$A$2:$B$20,2,FALSE()),"UNMAPPED"))</f>
        <v>Westlands</v>
      </c>
      <c r="D1261" s="36" t="str">
        <f aca="false">IF(Raw_Export!$A1261="","",IFERROR(VLOOKUP(LOWER(TRIM(Raw_Export!D1261)),Maps!$G$2:$I$80,2,FALSE()),"UNMAPPED"))</f>
        <v>Rice Pishori 2kg</v>
      </c>
      <c r="E1261" s="36" t="str">
        <f aca="false">IF(Raw_Export!$A1261="","",IFERROR(VLOOKUP(LOWER(TRIM(Raw_Export!D1261)),Maps!$G$2:$I$80,3,FALSE()),"UNMAPPED"))</f>
        <v>Staples</v>
      </c>
      <c r="F1261" s="36" t="n">
        <f aca="false">IF(Raw_Export!$A1261="","",IFERROR(VALUE(TRIM(Raw_Export!E1261)),0))</f>
        <v>1</v>
      </c>
      <c r="G1261" s="38" t="n">
        <f aca="false">IF(Raw_Export!$A1261="","",IFERROR(VALUE(SUBSTITUTE(SUBSTITUTE(UPPER(TRIM(Raw_Export!F1261)),"KES",""),",","")),0))</f>
        <v>420</v>
      </c>
      <c r="H1261" s="38" t="n">
        <f aca="false">IF(Raw_Export!$A1261="","",F1261*G1261)</f>
        <v>420</v>
      </c>
      <c r="I1261" s="36" t="str">
        <f aca="false">IF(Raw_Export!$A1261="","",IFERROR(VLOOKUP(LOWER(TRIM(Raw_Export!H1261)),Maps!$D$2:$E$12,2,FALSE()),"Other"))</f>
        <v>Cash</v>
      </c>
      <c r="J1261" s="36" t="str">
        <f aca="false">IF(Raw_Export!$A1261="","",IF(COUNTIF($A$2:A1261,A1261)&gt;1,"Duplicate",""))</f>
        <v/>
      </c>
      <c r="K1261" s="36" t="str">
        <f aca="false">IF(Raw_Export!$A1261="","",IF(J1261="Duplicate","Duplicate",IF(OR(C1261="UNMAPPED",D1261="UNMAPPED"),"Unmapped",IF(F1261=0,"Blank qty",IF(F1261&lt;0,"Return","OK")))))</f>
        <v>OK</v>
      </c>
      <c r="L1261" s="36" t="n">
        <f aca="false">IF(Raw_Export!$A1261="","",IF(OR(K1261="OK",K1261="Return"),1,0))</f>
        <v>1</v>
      </c>
      <c r="M1261" s="37" t="n">
        <f aca="false">IF(Raw_Export!$A1261="","",B1261-WEEKDAY(B1261,2)+1)</f>
        <v>46272</v>
      </c>
    </row>
    <row r="1262" customFormat="false" ht="15" hidden="false" customHeight="false" outlineLevel="0" collapsed="false">
      <c r="A1262" s="36" t="str">
        <f aca="false">IF(Raw_Export!$A1262="","",TRIM(Raw_Export!A1262))</f>
        <v>TXN-101237</v>
      </c>
      <c r="B1262" s="37" t="n">
        <f aca="false">IF(Raw_Export!$A1262="","",IF(ISNUMBER(Raw_Export!B1262),Raw_Export!B1262,IF(MID(TRIM(Raw_Export!B1262),5,1)="-",DATE(LEFT(TRIM(Raw_Export!B1262),4),MID(TRIM(Raw_Export!B1262),6,2),RIGHT(TRIM(Raw_Export!B1262),2)),DATE(RIGHT(TRIM(Raw_Export!B1262),4),MATCH(MID(TRIM(Raw_Export!B1262),4,3),{"Jan","Feb","Mar","Apr","May","Jun","Jul","Aug","Sep","Oct","Nov","Dec"},0),LEFT(TRIM(Raw_Export!B1262),2)))))</f>
        <v>46273</v>
      </c>
      <c r="C1262" s="36" t="str">
        <f aca="false">IF(Raw_Export!$A1262="","",IFERROR(VLOOKUP(LOWER(TRIM(Raw_Export!C1262)),Maps!$A$2:$B$20,2,FALSE()),"UNMAPPED"))</f>
        <v>Westlands</v>
      </c>
      <c r="D1262" s="36" t="str">
        <f aca="false">IF(Raw_Export!$A1262="","",IFERROR(VLOOKUP(LOWER(TRIM(Raw_Export!D1262)),Maps!$G$2:$I$80,2,FALSE()),"UNMAPPED"))</f>
        <v>Bath Soap 175g</v>
      </c>
      <c r="E1262" s="36" t="str">
        <f aca="false">IF(Raw_Export!$A1262="","",IFERROR(VLOOKUP(LOWER(TRIM(Raw_Export!D1262)),Maps!$G$2:$I$80,3,FALSE()),"UNMAPPED"))</f>
        <v>Personal Care</v>
      </c>
      <c r="F1262" s="36" t="n">
        <f aca="false">IF(Raw_Export!$A1262="","",IFERROR(VALUE(TRIM(Raw_Export!E1262)),0))</f>
        <v>3</v>
      </c>
      <c r="G1262" s="38" t="n">
        <f aca="false">IF(Raw_Export!$A1262="","",IFERROR(VALUE(SUBSTITUTE(SUBSTITUTE(UPPER(TRIM(Raw_Export!F1262)),"KES",""),",","")),0))</f>
        <v>85</v>
      </c>
      <c r="H1262" s="38" t="n">
        <f aca="false">IF(Raw_Export!$A1262="","",F1262*G1262)</f>
        <v>255</v>
      </c>
      <c r="I1262" s="36" t="str">
        <f aca="false">IF(Raw_Export!$A1262="","",IFERROR(VLOOKUP(LOWER(TRIM(Raw_Export!H1262)),Maps!$D$2:$E$12,2,FALSE()),"Other"))</f>
        <v>Cash</v>
      </c>
      <c r="J1262" s="36" t="str">
        <f aca="false">IF(Raw_Export!$A1262="","",IF(COUNTIF($A$2:A1262,A1262)&gt;1,"Duplicate",""))</f>
        <v/>
      </c>
      <c r="K1262" s="36" t="str">
        <f aca="false">IF(Raw_Export!$A1262="","",IF(J1262="Duplicate","Duplicate",IF(OR(C1262="UNMAPPED",D1262="UNMAPPED"),"Unmapped",IF(F1262=0,"Blank qty",IF(F1262&lt;0,"Return","OK")))))</f>
        <v>OK</v>
      </c>
      <c r="L1262" s="36" t="n">
        <f aca="false">IF(Raw_Export!$A1262="","",IF(OR(K1262="OK",K1262="Return"),1,0))</f>
        <v>1</v>
      </c>
      <c r="M1262" s="37" t="n">
        <f aca="false">IF(Raw_Export!$A1262="","",B1262-WEEKDAY(B1262,2)+1)</f>
        <v>46272</v>
      </c>
    </row>
    <row r="1263" customFormat="false" ht="15" hidden="false" customHeight="false" outlineLevel="0" collapsed="false">
      <c r="A1263" s="36" t="str">
        <f aca="false">IF(Raw_Export!$A1263="","",TRIM(Raw_Export!A1263))</f>
        <v>TXN-101238</v>
      </c>
      <c r="B1263" s="37" t="n">
        <f aca="false">IF(Raw_Export!$A1263="","",IF(ISNUMBER(Raw_Export!B1263),Raw_Export!B1263,IF(MID(TRIM(Raw_Export!B1263),5,1)="-",DATE(LEFT(TRIM(Raw_Export!B1263),4),MID(TRIM(Raw_Export!B1263),6,2),RIGHT(TRIM(Raw_Export!B1263),2)),DATE(RIGHT(TRIM(Raw_Export!B1263),4),MATCH(MID(TRIM(Raw_Export!B1263),4,3),{"Jan","Feb","Mar","Apr","May","Jun","Jul","Aug","Sep","Oct","Nov","Dec"},0),LEFT(TRIM(Raw_Export!B1263),2)))))</f>
        <v>46273</v>
      </c>
      <c r="C1263" s="36" t="str">
        <f aca="false">IF(Raw_Export!$A1263="","",IFERROR(VLOOKUP(LOWER(TRIM(Raw_Export!C1263)),Maps!$A$2:$B$20,2,FALSE()),"UNMAPPED"))</f>
        <v>Westlands</v>
      </c>
      <c r="D1263" s="36" t="str">
        <f aca="false">IF(Raw_Export!$A1263="","",IFERROR(VLOOKUP(LOWER(TRIM(Raw_Export!D1263)),Maps!$G$2:$I$80,2,FALSE()),"UNMAPPED"))</f>
        <v>Tea Leaves 250g</v>
      </c>
      <c r="E1263" s="36" t="str">
        <f aca="false">IF(Raw_Export!$A1263="","",IFERROR(VLOOKUP(LOWER(TRIM(Raw_Export!D1263)),Maps!$G$2:$I$80,3,FALSE()),"UNMAPPED"))</f>
        <v>Beverages</v>
      </c>
      <c r="F1263" s="36" t="n">
        <f aca="false">IF(Raw_Export!$A1263="","",IFERROR(VALUE(TRIM(Raw_Export!E1263)),0))</f>
        <v>6</v>
      </c>
      <c r="G1263" s="38" t="n">
        <f aca="false">IF(Raw_Export!$A1263="","",IFERROR(VALUE(SUBSTITUTE(SUBSTITUTE(UPPER(TRIM(Raw_Export!F1263)),"KES",""),",","")),0))</f>
        <v>150</v>
      </c>
      <c r="H1263" s="38" t="n">
        <f aca="false">IF(Raw_Export!$A1263="","",F1263*G1263)</f>
        <v>900</v>
      </c>
      <c r="I1263" s="36" t="str">
        <f aca="false">IF(Raw_Export!$A1263="","",IFERROR(VLOOKUP(LOWER(TRIM(Raw_Export!H1263)),Maps!$D$2:$E$12,2,FALSE()),"Other"))</f>
        <v>M-Pesa</v>
      </c>
      <c r="J1263" s="36" t="str">
        <f aca="false">IF(Raw_Export!$A1263="","",IF(COUNTIF($A$2:A1263,A1263)&gt;1,"Duplicate",""))</f>
        <v/>
      </c>
      <c r="K1263" s="36" t="str">
        <f aca="false">IF(Raw_Export!$A1263="","",IF(J1263="Duplicate","Duplicate",IF(OR(C1263="UNMAPPED",D1263="UNMAPPED"),"Unmapped",IF(F1263=0,"Blank qty",IF(F1263&lt;0,"Return","OK")))))</f>
        <v>OK</v>
      </c>
      <c r="L1263" s="36" t="n">
        <f aca="false">IF(Raw_Export!$A1263="","",IF(OR(K1263="OK",K1263="Return"),1,0))</f>
        <v>1</v>
      </c>
      <c r="M1263" s="37" t="n">
        <f aca="false">IF(Raw_Export!$A1263="","",B1263-WEEKDAY(B1263,2)+1)</f>
        <v>46272</v>
      </c>
    </row>
    <row r="1264" customFormat="false" ht="15" hidden="false" customHeight="false" outlineLevel="0" collapsed="false">
      <c r="A1264" s="36" t="str">
        <f aca="false">IF(Raw_Export!$A1264="","",TRIM(Raw_Export!A1264))</f>
        <v>TXN-101239</v>
      </c>
      <c r="B1264" s="37" t="n">
        <f aca="false">IF(Raw_Export!$A1264="","",IF(ISNUMBER(Raw_Export!B1264),Raw_Export!B1264,IF(MID(TRIM(Raw_Export!B1264),5,1)="-",DATE(LEFT(TRIM(Raw_Export!B1264),4),MID(TRIM(Raw_Export!B1264),6,2),RIGHT(TRIM(Raw_Export!B1264),2)),DATE(RIGHT(TRIM(Raw_Export!B1264),4),MATCH(MID(TRIM(Raw_Export!B1264),4,3),{"Jan","Feb","Mar","Apr","May","Jun","Jul","Aug","Sep","Oct","Nov","Dec"},0),LEFT(TRIM(Raw_Export!B1264),2)))))</f>
        <v>46273</v>
      </c>
      <c r="C1264" s="36" t="str">
        <f aca="false">IF(Raw_Export!$A1264="","",IFERROR(VLOOKUP(LOWER(TRIM(Raw_Export!C1264)),Maps!$A$2:$B$20,2,FALSE()),"UNMAPPED"))</f>
        <v>Westlands</v>
      </c>
      <c r="D1264" s="36" t="str">
        <f aca="false">IF(Raw_Export!$A1264="","",IFERROR(VLOOKUP(LOWER(TRIM(Raw_Export!D1264)),Maps!$G$2:$I$80,2,FALSE()),"UNMAPPED"))</f>
        <v>Body Lotion 400ml</v>
      </c>
      <c r="E1264" s="36" t="str">
        <f aca="false">IF(Raw_Export!$A1264="","",IFERROR(VLOOKUP(LOWER(TRIM(Raw_Export!D1264)),Maps!$G$2:$I$80,3,FALSE()),"UNMAPPED"))</f>
        <v>Personal Care</v>
      </c>
      <c r="F1264" s="36" t="n">
        <f aca="false">IF(Raw_Export!$A1264="","",IFERROR(VALUE(TRIM(Raw_Export!E1264)),0))</f>
        <v>1</v>
      </c>
      <c r="G1264" s="38" t="n">
        <f aca="false">IF(Raw_Export!$A1264="","",IFERROR(VALUE(SUBSTITUTE(SUBSTITUTE(UPPER(TRIM(Raw_Export!F1264)),"KES",""),",","")),0))</f>
        <v>420</v>
      </c>
      <c r="H1264" s="38" t="n">
        <f aca="false">IF(Raw_Export!$A1264="","",F1264*G1264)</f>
        <v>420</v>
      </c>
      <c r="I1264" s="36" t="str">
        <f aca="false">IF(Raw_Export!$A1264="","",IFERROR(VLOOKUP(LOWER(TRIM(Raw_Export!H1264)),Maps!$D$2:$E$12,2,FALSE()),"Other"))</f>
        <v>Cash</v>
      </c>
      <c r="J1264" s="36" t="str">
        <f aca="false">IF(Raw_Export!$A1264="","",IF(COUNTIF($A$2:A1264,A1264)&gt;1,"Duplicate",""))</f>
        <v/>
      </c>
      <c r="K1264" s="36" t="str">
        <f aca="false">IF(Raw_Export!$A1264="","",IF(J1264="Duplicate","Duplicate",IF(OR(C1264="UNMAPPED",D1264="UNMAPPED"),"Unmapped",IF(F1264=0,"Blank qty",IF(F1264&lt;0,"Return","OK")))))</f>
        <v>OK</v>
      </c>
      <c r="L1264" s="36" t="n">
        <f aca="false">IF(Raw_Export!$A1264="","",IF(OR(K1264="OK",K1264="Return"),1,0))</f>
        <v>1</v>
      </c>
      <c r="M1264" s="37" t="n">
        <f aca="false">IF(Raw_Export!$A1264="","",B1264-WEEKDAY(B1264,2)+1)</f>
        <v>46272</v>
      </c>
    </row>
    <row r="1265" customFormat="false" ht="15" hidden="false" customHeight="false" outlineLevel="0" collapsed="false">
      <c r="A1265" s="36" t="str">
        <f aca="false">IF(Raw_Export!$A1265="","",TRIM(Raw_Export!A1265))</f>
        <v>TXN-101240</v>
      </c>
      <c r="B1265" s="37" t="n">
        <f aca="false">IF(Raw_Export!$A1265="","",IF(ISNUMBER(Raw_Export!B1265),Raw_Export!B1265,IF(MID(TRIM(Raw_Export!B1265),5,1)="-",DATE(LEFT(TRIM(Raw_Export!B1265),4),MID(TRIM(Raw_Export!B1265),6,2),RIGHT(TRIM(Raw_Export!B1265),2)),DATE(RIGHT(TRIM(Raw_Export!B1265),4),MATCH(MID(TRIM(Raw_Export!B1265),4,3),{"Jan","Feb","Mar","Apr","May","Jun","Jul","Aug","Sep","Oct","Nov","Dec"},0),LEFT(TRIM(Raw_Export!B1265),2)))))</f>
        <v>46273</v>
      </c>
      <c r="C1265" s="36" t="str">
        <f aca="false">IF(Raw_Export!$A1265="","",IFERROR(VLOOKUP(LOWER(TRIM(Raw_Export!C1265)),Maps!$A$2:$B$20,2,FALSE()),"UNMAPPED"))</f>
        <v>Westlands</v>
      </c>
      <c r="D1265" s="36" t="str">
        <f aca="false">IF(Raw_Export!$A1265="","",IFERROR(VLOOKUP(LOWER(TRIM(Raw_Export!D1265)),Maps!$G$2:$I$80,2,FALSE()),"UNMAPPED"))</f>
        <v>Matches 10pk</v>
      </c>
      <c r="E1265" s="36" t="str">
        <f aca="false">IF(Raw_Export!$A1265="","",IFERROR(VLOOKUP(LOWER(TRIM(Raw_Export!D1265)),Maps!$G$2:$I$80,3,FALSE()),"UNMAPPED"))</f>
        <v>Household</v>
      </c>
      <c r="F1265" s="36" t="n">
        <f aca="false">IF(Raw_Export!$A1265="","",IFERROR(VALUE(TRIM(Raw_Export!E1265)),0))</f>
        <v>2</v>
      </c>
      <c r="G1265" s="38" t="n">
        <f aca="false">IF(Raw_Export!$A1265="","",IFERROR(VALUE(SUBSTITUTE(SUBSTITUTE(UPPER(TRIM(Raw_Export!F1265)),"KES",""),",","")),0))</f>
        <v>45</v>
      </c>
      <c r="H1265" s="38" t="n">
        <f aca="false">IF(Raw_Export!$A1265="","",F1265*G1265)</f>
        <v>90</v>
      </c>
      <c r="I1265" s="36" t="str">
        <f aca="false">IF(Raw_Export!$A1265="","",IFERROR(VLOOKUP(LOWER(TRIM(Raw_Export!H1265)),Maps!$D$2:$E$12,2,FALSE()),"Other"))</f>
        <v>M-Pesa</v>
      </c>
      <c r="J1265" s="36" t="str">
        <f aca="false">IF(Raw_Export!$A1265="","",IF(COUNTIF($A$2:A1265,A1265)&gt;1,"Duplicate",""))</f>
        <v/>
      </c>
      <c r="K1265" s="36" t="str">
        <f aca="false">IF(Raw_Export!$A1265="","",IF(J1265="Duplicate","Duplicate",IF(OR(C1265="UNMAPPED",D1265="UNMAPPED"),"Unmapped",IF(F1265=0,"Blank qty",IF(F1265&lt;0,"Return","OK")))))</f>
        <v>OK</v>
      </c>
      <c r="L1265" s="36" t="n">
        <f aca="false">IF(Raw_Export!$A1265="","",IF(OR(K1265="OK",K1265="Return"),1,0))</f>
        <v>1</v>
      </c>
      <c r="M1265" s="37" t="n">
        <f aca="false">IF(Raw_Export!$A1265="","",B1265-WEEKDAY(B1265,2)+1)</f>
        <v>46272</v>
      </c>
    </row>
    <row r="1266" customFormat="false" ht="15" hidden="false" customHeight="false" outlineLevel="0" collapsed="false">
      <c r="A1266" s="36" t="str">
        <f aca="false">IF(Raw_Export!$A1266="","",TRIM(Raw_Export!A1266))</f>
        <v>TXN-101241</v>
      </c>
      <c r="B1266" s="37" t="n">
        <f aca="false">IF(Raw_Export!$A1266="","",IF(ISNUMBER(Raw_Export!B1266),Raw_Export!B1266,IF(MID(TRIM(Raw_Export!B1266),5,1)="-",DATE(LEFT(TRIM(Raw_Export!B1266),4),MID(TRIM(Raw_Export!B1266),6,2),RIGHT(TRIM(Raw_Export!B1266),2)),DATE(RIGHT(TRIM(Raw_Export!B1266),4),MATCH(MID(TRIM(Raw_Export!B1266),4,3),{"Jan","Feb","Mar","Apr","May","Jun","Jul","Aug","Sep","Oct","Nov","Dec"},0),LEFT(TRIM(Raw_Export!B1266),2)))))</f>
        <v>46273</v>
      </c>
      <c r="C1266" s="36" t="str">
        <f aca="false">IF(Raw_Export!$A1266="","",IFERROR(VLOOKUP(LOWER(TRIM(Raw_Export!C1266)),Maps!$A$2:$B$20,2,FALSE()),"UNMAPPED"))</f>
        <v>Westlands</v>
      </c>
      <c r="D1266" s="36" t="str">
        <f aca="false">IF(Raw_Export!$A1266="","",IFERROR(VLOOKUP(LOWER(TRIM(Raw_Export!D1266)),Maps!$G$2:$I$80,2,FALSE()),"UNMAPPED"))</f>
        <v>Unga Pembe 2kg</v>
      </c>
      <c r="E1266" s="36" t="str">
        <f aca="false">IF(Raw_Export!$A1266="","",IFERROR(VLOOKUP(LOWER(TRIM(Raw_Export!D1266)),Maps!$G$2:$I$80,3,FALSE()),"UNMAPPED"))</f>
        <v>Staples</v>
      </c>
      <c r="F1266" s="36" t="n">
        <f aca="false">IF(Raw_Export!$A1266="","",IFERROR(VALUE(TRIM(Raw_Export!E1266)),0))</f>
        <v>6</v>
      </c>
      <c r="G1266" s="38" t="n">
        <f aca="false">IF(Raw_Export!$A1266="","",IFERROR(VALUE(SUBSTITUTE(SUBSTITUTE(UPPER(TRIM(Raw_Export!F1266)),"KES",""),",","")),0))</f>
        <v>190</v>
      </c>
      <c r="H1266" s="38" t="n">
        <f aca="false">IF(Raw_Export!$A1266="","",F1266*G1266)</f>
        <v>1140</v>
      </c>
      <c r="I1266" s="36" t="str">
        <f aca="false">IF(Raw_Export!$A1266="","",IFERROR(VLOOKUP(LOWER(TRIM(Raw_Export!H1266)),Maps!$D$2:$E$12,2,FALSE()),"Other"))</f>
        <v>M-Pesa</v>
      </c>
      <c r="J1266" s="36" t="str">
        <f aca="false">IF(Raw_Export!$A1266="","",IF(COUNTIF($A$2:A1266,A1266)&gt;1,"Duplicate",""))</f>
        <v/>
      </c>
      <c r="K1266" s="36" t="str">
        <f aca="false">IF(Raw_Export!$A1266="","",IF(J1266="Duplicate","Duplicate",IF(OR(C1266="UNMAPPED",D1266="UNMAPPED"),"Unmapped",IF(F1266=0,"Blank qty",IF(F1266&lt;0,"Return","OK")))))</f>
        <v>OK</v>
      </c>
      <c r="L1266" s="36" t="n">
        <f aca="false">IF(Raw_Export!$A1266="","",IF(OR(K1266="OK",K1266="Return"),1,0))</f>
        <v>1</v>
      </c>
      <c r="M1266" s="37" t="n">
        <f aca="false">IF(Raw_Export!$A1266="","",B1266-WEEKDAY(B1266,2)+1)</f>
        <v>46272</v>
      </c>
    </row>
    <row r="1267" customFormat="false" ht="15" hidden="false" customHeight="false" outlineLevel="0" collapsed="false">
      <c r="A1267" s="36" t="str">
        <f aca="false">IF(Raw_Export!$A1267="","",TRIM(Raw_Export!A1267))</f>
        <v>TXN-101242</v>
      </c>
      <c r="B1267" s="37" t="n">
        <f aca="false">IF(Raw_Export!$A1267="","",IF(ISNUMBER(Raw_Export!B1267),Raw_Export!B1267,IF(MID(TRIM(Raw_Export!B1267),5,1)="-",DATE(LEFT(TRIM(Raw_Export!B1267),4),MID(TRIM(Raw_Export!B1267),6,2),RIGHT(TRIM(Raw_Export!B1267),2)),DATE(RIGHT(TRIM(Raw_Export!B1267),4),MATCH(MID(TRIM(Raw_Export!B1267),4,3),{"Jan","Feb","Mar","Apr","May","Jun","Jul","Aug","Sep","Oct","Nov","Dec"},0),LEFT(TRIM(Raw_Export!B1267),2)))))</f>
        <v>46273</v>
      </c>
      <c r="C1267" s="36" t="str">
        <f aca="false">IF(Raw_Export!$A1267="","",IFERROR(VLOOKUP(LOWER(TRIM(Raw_Export!C1267)),Maps!$A$2:$B$20,2,FALSE()),"UNMAPPED"))</f>
        <v>Westlands</v>
      </c>
      <c r="D1267" s="36" t="str">
        <f aca="false">IF(Raw_Export!$A1267="","",IFERROR(VLOOKUP(LOWER(TRIM(Raw_Export!D1267)),Maps!$G$2:$I$80,2,FALSE()),"UNMAPPED"))</f>
        <v>Salt 500g</v>
      </c>
      <c r="E1267" s="36" t="str">
        <f aca="false">IF(Raw_Export!$A1267="","",IFERROR(VLOOKUP(LOWER(TRIM(Raw_Export!D1267)),Maps!$G$2:$I$80,3,FALSE()),"UNMAPPED"))</f>
        <v>Staples</v>
      </c>
      <c r="F1267" s="36" t="n">
        <f aca="false">IF(Raw_Export!$A1267="","",IFERROR(VALUE(TRIM(Raw_Export!E1267)),0))</f>
        <v>1</v>
      </c>
      <c r="G1267" s="38" t="n">
        <f aca="false">IF(Raw_Export!$A1267="","",IFERROR(VALUE(SUBSTITUTE(SUBSTITUTE(UPPER(TRIM(Raw_Export!F1267)),"KES",""),",","")),0))</f>
        <v>40</v>
      </c>
      <c r="H1267" s="38" t="n">
        <f aca="false">IF(Raw_Export!$A1267="","",F1267*G1267)</f>
        <v>40</v>
      </c>
      <c r="I1267" s="36" t="str">
        <f aca="false">IF(Raw_Export!$A1267="","",IFERROR(VLOOKUP(LOWER(TRIM(Raw_Export!H1267)),Maps!$D$2:$E$12,2,FALSE()),"Other"))</f>
        <v>Cash</v>
      </c>
      <c r="J1267" s="36" t="str">
        <f aca="false">IF(Raw_Export!$A1267="","",IF(COUNTIF($A$2:A1267,A1267)&gt;1,"Duplicate",""))</f>
        <v/>
      </c>
      <c r="K1267" s="36" t="str">
        <f aca="false">IF(Raw_Export!$A1267="","",IF(J1267="Duplicate","Duplicate",IF(OR(C1267="UNMAPPED",D1267="UNMAPPED"),"Unmapped",IF(F1267=0,"Blank qty",IF(F1267&lt;0,"Return","OK")))))</f>
        <v>OK</v>
      </c>
      <c r="L1267" s="36" t="n">
        <f aca="false">IF(Raw_Export!$A1267="","",IF(OR(K1267="OK",K1267="Return"),1,0))</f>
        <v>1</v>
      </c>
      <c r="M1267" s="37" t="n">
        <f aca="false">IF(Raw_Export!$A1267="","",B1267-WEEKDAY(B1267,2)+1)</f>
        <v>46272</v>
      </c>
    </row>
    <row r="1268" customFormat="false" ht="15" hidden="false" customHeight="false" outlineLevel="0" collapsed="false">
      <c r="A1268" s="36" t="str">
        <f aca="false">IF(Raw_Export!$A1268="","",TRIM(Raw_Export!A1268))</f>
        <v>TXN-101243</v>
      </c>
      <c r="B1268" s="37" t="n">
        <f aca="false">IF(Raw_Export!$A1268="","",IF(ISNUMBER(Raw_Export!B1268),Raw_Export!B1268,IF(MID(TRIM(Raw_Export!B1268),5,1)="-",DATE(LEFT(TRIM(Raw_Export!B1268),4),MID(TRIM(Raw_Export!B1268),6,2),RIGHT(TRIM(Raw_Export!B1268),2)),DATE(RIGHT(TRIM(Raw_Export!B1268),4),MATCH(MID(TRIM(Raw_Export!B1268),4,3),{"Jan","Feb","Mar","Apr","May","Jun","Jul","Aug","Sep","Oct","Nov","Dec"},0),LEFT(TRIM(Raw_Export!B1268),2)))))</f>
        <v>46273</v>
      </c>
      <c r="C1268" s="36" t="str">
        <f aca="false">IF(Raw_Export!$A1268="","",IFERROR(VLOOKUP(LOWER(TRIM(Raw_Export!C1268)),Maps!$A$2:$B$20,2,FALSE()),"UNMAPPED"))</f>
        <v>Westlands</v>
      </c>
      <c r="D1268" s="36" t="str">
        <f aca="false">IF(Raw_Export!$A1268="","",IFERROR(VLOOKUP(LOWER(TRIM(Raw_Export!D1268)),Maps!$G$2:$I$80,2,FALSE()),"UNMAPPED"))</f>
        <v>Fresh Milk 500ml</v>
      </c>
      <c r="E1268" s="36" t="str">
        <f aca="false">IF(Raw_Export!$A1268="","",IFERROR(VLOOKUP(LOWER(TRIM(Raw_Export!D1268)),Maps!$G$2:$I$80,3,FALSE()),"UNMAPPED"))</f>
        <v>Dairy &amp; Eggs</v>
      </c>
      <c r="F1268" s="36" t="n">
        <f aca="false">IF(Raw_Export!$A1268="","",IFERROR(VALUE(TRIM(Raw_Export!E1268)),0))</f>
        <v>2</v>
      </c>
      <c r="G1268" s="38" t="n">
        <f aca="false">IF(Raw_Export!$A1268="","",IFERROR(VALUE(SUBSTITUTE(SUBSTITUTE(UPPER(TRIM(Raw_Export!F1268)),"KES",""),",","")),0))</f>
        <v>65</v>
      </c>
      <c r="H1268" s="38" t="n">
        <f aca="false">IF(Raw_Export!$A1268="","",F1268*G1268)</f>
        <v>130</v>
      </c>
      <c r="I1268" s="36" t="str">
        <f aca="false">IF(Raw_Export!$A1268="","",IFERROR(VLOOKUP(LOWER(TRIM(Raw_Export!H1268)),Maps!$D$2:$E$12,2,FALSE()),"Other"))</f>
        <v>M-Pesa</v>
      </c>
      <c r="J1268" s="36" t="str">
        <f aca="false">IF(Raw_Export!$A1268="","",IF(COUNTIF($A$2:A1268,A1268)&gt;1,"Duplicate",""))</f>
        <v/>
      </c>
      <c r="K1268" s="36" t="str">
        <f aca="false">IF(Raw_Export!$A1268="","",IF(J1268="Duplicate","Duplicate",IF(OR(C1268="UNMAPPED",D1268="UNMAPPED"),"Unmapped",IF(F1268=0,"Blank qty",IF(F1268&lt;0,"Return","OK")))))</f>
        <v>OK</v>
      </c>
      <c r="L1268" s="36" t="n">
        <f aca="false">IF(Raw_Export!$A1268="","",IF(OR(K1268="OK",K1268="Return"),1,0))</f>
        <v>1</v>
      </c>
      <c r="M1268" s="37" t="n">
        <f aca="false">IF(Raw_Export!$A1268="","",B1268-WEEKDAY(B1268,2)+1)</f>
        <v>46272</v>
      </c>
    </row>
    <row r="1269" customFormat="false" ht="15" hidden="false" customHeight="false" outlineLevel="0" collapsed="false">
      <c r="A1269" s="36" t="str">
        <f aca="false">IF(Raw_Export!$A1269="","",TRIM(Raw_Export!A1269))</f>
        <v>TXN-101244</v>
      </c>
      <c r="B1269" s="37" t="n">
        <f aca="false">IF(Raw_Export!$A1269="","",IF(ISNUMBER(Raw_Export!B1269),Raw_Export!B1269,IF(MID(TRIM(Raw_Export!B1269),5,1)="-",DATE(LEFT(TRIM(Raw_Export!B1269),4),MID(TRIM(Raw_Export!B1269),6,2),RIGHT(TRIM(Raw_Export!B1269),2)),DATE(RIGHT(TRIM(Raw_Export!B1269),4),MATCH(MID(TRIM(Raw_Export!B1269),4,3),{"Jan","Feb","Mar","Apr","May","Jun","Jul","Aug","Sep","Oct","Nov","Dec"},0),LEFT(TRIM(Raw_Export!B1269),2)))))</f>
        <v>46273</v>
      </c>
      <c r="C1269" s="36" t="str">
        <f aca="false">IF(Raw_Export!$A1269="","",IFERROR(VLOOKUP(LOWER(TRIM(Raw_Export!C1269)),Maps!$A$2:$B$20,2,FALSE()),"UNMAPPED"))</f>
        <v>Westlands</v>
      </c>
      <c r="D1269" s="36" t="str">
        <f aca="false">IF(Raw_Export!$A1269="","",IFERROR(VLOOKUP(LOWER(TRIM(Raw_Export!D1269)),Maps!$G$2:$I$80,2,FALSE()),"UNMAPPED"))</f>
        <v>Unga Pembe 2kg</v>
      </c>
      <c r="E1269" s="36" t="str">
        <f aca="false">IF(Raw_Export!$A1269="","",IFERROR(VLOOKUP(LOWER(TRIM(Raw_Export!D1269)),Maps!$G$2:$I$80,3,FALSE()),"UNMAPPED"))</f>
        <v>Staples</v>
      </c>
      <c r="F1269" s="36" t="n">
        <f aca="false">IF(Raw_Export!$A1269="","",IFERROR(VALUE(TRIM(Raw_Export!E1269)),0))</f>
        <v>2</v>
      </c>
      <c r="G1269" s="38" t="n">
        <f aca="false">IF(Raw_Export!$A1269="","",IFERROR(VALUE(SUBSTITUTE(SUBSTITUTE(UPPER(TRIM(Raw_Export!F1269)),"KES",""),",","")),0))</f>
        <v>190</v>
      </c>
      <c r="H1269" s="38" t="n">
        <f aca="false">IF(Raw_Export!$A1269="","",F1269*G1269)</f>
        <v>380</v>
      </c>
      <c r="I1269" s="36" t="str">
        <f aca="false">IF(Raw_Export!$A1269="","",IFERROR(VLOOKUP(LOWER(TRIM(Raw_Export!H1269)),Maps!$D$2:$E$12,2,FALSE()),"Other"))</f>
        <v>Cash</v>
      </c>
      <c r="J1269" s="36" t="str">
        <f aca="false">IF(Raw_Export!$A1269="","",IF(COUNTIF($A$2:A1269,A1269)&gt;1,"Duplicate",""))</f>
        <v/>
      </c>
      <c r="K1269" s="36" t="str">
        <f aca="false">IF(Raw_Export!$A1269="","",IF(J1269="Duplicate","Duplicate",IF(OR(C1269="UNMAPPED",D1269="UNMAPPED"),"Unmapped",IF(F1269=0,"Blank qty",IF(F1269&lt;0,"Return","OK")))))</f>
        <v>OK</v>
      </c>
      <c r="L1269" s="36" t="n">
        <f aca="false">IF(Raw_Export!$A1269="","",IF(OR(K1269="OK",K1269="Return"),1,0))</f>
        <v>1</v>
      </c>
      <c r="M1269" s="37" t="n">
        <f aca="false">IF(Raw_Export!$A1269="","",B1269-WEEKDAY(B1269,2)+1)</f>
        <v>46272</v>
      </c>
    </row>
    <row r="1270" customFormat="false" ht="15" hidden="false" customHeight="false" outlineLevel="0" collapsed="false">
      <c r="A1270" s="36" t="str">
        <f aca="false">IF(Raw_Export!$A1270="","",TRIM(Raw_Export!A1270))</f>
        <v>TXN-101245</v>
      </c>
      <c r="B1270" s="37" t="n">
        <f aca="false">IF(Raw_Export!$A1270="","",IF(ISNUMBER(Raw_Export!B1270),Raw_Export!B1270,IF(MID(TRIM(Raw_Export!B1270),5,1)="-",DATE(LEFT(TRIM(Raw_Export!B1270),4),MID(TRIM(Raw_Export!B1270),6,2),RIGHT(TRIM(Raw_Export!B1270),2)),DATE(RIGHT(TRIM(Raw_Export!B1270),4),MATCH(MID(TRIM(Raw_Export!B1270),4,3),{"Jan","Feb","Mar","Apr","May","Jun","Jul","Aug","Sep","Oct","Nov","Dec"},0),LEFT(TRIM(Raw_Export!B1270),2)))))</f>
        <v>46273</v>
      </c>
      <c r="C1270" s="36" t="str">
        <f aca="false">IF(Raw_Export!$A1270="","",IFERROR(VLOOKUP(LOWER(TRIM(Raw_Export!C1270)),Maps!$A$2:$B$20,2,FALSE()),"UNMAPPED"))</f>
        <v>Westlands</v>
      </c>
      <c r="D1270" s="36" t="str">
        <f aca="false">IF(Raw_Export!$A1270="","",IFERROR(VLOOKUP(LOWER(TRIM(Raw_Export!D1270)),Maps!$G$2:$I$80,2,FALSE()),"UNMAPPED"))</f>
        <v>Cooking Oil 1L</v>
      </c>
      <c r="E1270" s="36" t="str">
        <f aca="false">IF(Raw_Export!$A1270="","",IFERROR(VLOOKUP(LOWER(TRIM(Raw_Export!D1270)),Maps!$G$2:$I$80,3,FALSE()),"UNMAPPED"))</f>
        <v>Staples</v>
      </c>
      <c r="F1270" s="36" t="n">
        <f aca="false">IF(Raw_Export!$A1270="","",IFERROR(VALUE(TRIM(Raw_Export!E1270)),0))</f>
        <v>1</v>
      </c>
      <c r="G1270" s="38" t="n">
        <f aca="false">IF(Raw_Export!$A1270="","",IFERROR(VALUE(SUBSTITUTE(SUBSTITUTE(UPPER(TRIM(Raw_Export!F1270)),"KES",""),",","")),0))</f>
        <v>330</v>
      </c>
      <c r="H1270" s="38" t="n">
        <f aca="false">IF(Raw_Export!$A1270="","",F1270*G1270)</f>
        <v>330</v>
      </c>
      <c r="I1270" s="36" t="str">
        <f aca="false">IF(Raw_Export!$A1270="","",IFERROR(VLOOKUP(LOWER(TRIM(Raw_Export!H1270)),Maps!$D$2:$E$12,2,FALSE()),"Other"))</f>
        <v>M-Pesa</v>
      </c>
      <c r="J1270" s="36" t="str">
        <f aca="false">IF(Raw_Export!$A1270="","",IF(COUNTIF($A$2:A1270,A1270)&gt;1,"Duplicate",""))</f>
        <v/>
      </c>
      <c r="K1270" s="36" t="str">
        <f aca="false">IF(Raw_Export!$A1270="","",IF(J1270="Duplicate","Duplicate",IF(OR(C1270="UNMAPPED",D1270="UNMAPPED"),"Unmapped",IF(F1270=0,"Blank qty",IF(F1270&lt;0,"Return","OK")))))</f>
        <v>OK</v>
      </c>
      <c r="L1270" s="36" t="n">
        <f aca="false">IF(Raw_Export!$A1270="","",IF(OR(K1270="OK",K1270="Return"),1,0))</f>
        <v>1</v>
      </c>
      <c r="M1270" s="37" t="n">
        <f aca="false">IF(Raw_Export!$A1270="","",B1270-WEEKDAY(B1270,2)+1)</f>
        <v>46272</v>
      </c>
    </row>
    <row r="1271" customFormat="false" ht="15" hidden="false" customHeight="false" outlineLevel="0" collapsed="false">
      <c r="A1271" s="36" t="str">
        <f aca="false">IF(Raw_Export!$A1271="","",TRIM(Raw_Export!A1271))</f>
        <v>TXN-101246</v>
      </c>
      <c r="B1271" s="37" t="n">
        <f aca="false">IF(Raw_Export!$A1271="","",IF(ISNUMBER(Raw_Export!B1271),Raw_Export!B1271,IF(MID(TRIM(Raw_Export!B1271),5,1)="-",DATE(LEFT(TRIM(Raw_Export!B1271),4),MID(TRIM(Raw_Export!B1271),6,2),RIGHT(TRIM(Raw_Export!B1271),2)),DATE(RIGHT(TRIM(Raw_Export!B1271),4),MATCH(MID(TRIM(Raw_Export!B1271),4,3),{"Jan","Feb","Mar","Apr","May","Jun","Jul","Aug","Sep","Oct","Nov","Dec"},0),LEFT(TRIM(Raw_Export!B1271),2)))))</f>
        <v>46273</v>
      </c>
      <c r="C1271" s="36" t="str">
        <f aca="false">IF(Raw_Export!$A1271="","",IFERROR(VLOOKUP(LOWER(TRIM(Raw_Export!C1271)),Maps!$A$2:$B$20,2,FALSE()),"UNMAPPED"))</f>
        <v>Westlands</v>
      </c>
      <c r="D1271" s="36" t="str">
        <f aca="false">IF(Raw_Export!$A1271="","",IFERROR(VLOOKUP(LOWER(TRIM(Raw_Export!D1271)),Maps!$G$2:$I$80,2,FALSE()),"UNMAPPED"))</f>
        <v>Salt 500g</v>
      </c>
      <c r="E1271" s="36" t="str">
        <f aca="false">IF(Raw_Export!$A1271="","",IFERROR(VLOOKUP(LOWER(TRIM(Raw_Export!D1271)),Maps!$G$2:$I$80,3,FALSE()),"UNMAPPED"))</f>
        <v>Staples</v>
      </c>
      <c r="F1271" s="36" t="n">
        <f aca="false">IF(Raw_Export!$A1271="","",IFERROR(VALUE(TRIM(Raw_Export!E1271)),0))</f>
        <v>3</v>
      </c>
      <c r="G1271" s="38" t="n">
        <f aca="false">IF(Raw_Export!$A1271="","",IFERROR(VALUE(SUBSTITUTE(SUBSTITUTE(UPPER(TRIM(Raw_Export!F1271)),"KES",""),",","")),0))</f>
        <v>40</v>
      </c>
      <c r="H1271" s="38" t="n">
        <f aca="false">IF(Raw_Export!$A1271="","",F1271*G1271)</f>
        <v>120</v>
      </c>
      <c r="I1271" s="36" t="str">
        <f aca="false">IF(Raw_Export!$A1271="","",IFERROR(VLOOKUP(LOWER(TRIM(Raw_Export!H1271)),Maps!$D$2:$E$12,2,FALSE()),"Other"))</f>
        <v>Cash</v>
      </c>
      <c r="J1271" s="36" t="str">
        <f aca="false">IF(Raw_Export!$A1271="","",IF(COUNTIF($A$2:A1271,A1271)&gt;1,"Duplicate",""))</f>
        <v/>
      </c>
      <c r="K1271" s="36" t="str">
        <f aca="false">IF(Raw_Export!$A1271="","",IF(J1271="Duplicate","Duplicate",IF(OR(C1271="UNMAPPED",D1271="UNMAPPED"),"Unmapped",IF(F1271=0,"Blank qty",IF(F1271&lt;0,"Return","OK")))))</f>
        <v>OK</v>
      </c>
      <c r="L1271" s="36" t="n">
        <f aca="false">IF(Raw_Export!$A1271="","",IF(OR(K1271="OK",K1271="Return"),1,0))</f>
        <v>1</v>
      </c>
      <c r="M1271" s="37" t="n">
        <f aca="false">IF(Raw_Export!$A1271="","",B1271-WEEKDAY(B1271,2)+1)</f>
        <v>46272</v>
      </c>
    </row>
    <row r="1272" customFormat="false" ht="15" hidden="false" customHeight="false" outlineLevel="0" collapsed="false">
      <c r="A1272" s="36" t="str">
        <f aca="false">IF(Raw_Export!$A1272="","",TRIM(Raw_Export!A1272))</f>
        <v>TXN-101247</v>
      </c>
      <c r="B1272" s="37" t="n">
        <f aca="false">IF(Raw_Export!$A1272="","",IF(ISNUMBER(Raw_Export!B1272),Raw_Export!B1272,IF(MID(TRIM(Raw_Export!B1272),5,1)="-",DATE(LEFT(TRIM(Raw_Export!B1272),4),MID(TRIM(Raw_Export!B1272),6,2),RIGHT(TRIM(Raw_Export!B1272),2)),DATE(RIGHT(TRIM(Raw_Export!B1272),4),MATCH(MID(TRIM(Raw_Export!B1272),4,3),{"Jan","Feb","Mar","Apr","May","Jun","Jul","Aug","Sep","Oct","Nov","Dec"},0),LEFT(TRIM(Raw_Export!B1272),2)))))</f>
        <v>46273</v>
      </c>
      <c r="C1272" s="36" t="str">
        <f aca="false">IF(Raw_Export!$A1272="","",IFERROR(VLOOKUP(LOWER(TRIM(Raw_Export!C1272)),Maps!$A$2:$B$20,2,FALSE()),"UNMAPPED"))</f>
        <v>Westlands</v>
      </c>
      <c r="D1272" s="36" t="str">
        <f aca="false">IF(Raw_Export!$A1272="","",IFERROR(VLOOKUP(LOWER(TRIM(Raw_Export!D1272)),Maps!$G$2:$I$80,2,FALSE()),"UNMAPPED"))</f>
        <v>Spaghetti 400g</v>
      </c>
      <c r="E1272" s="36" t="str">
        <f aca="false">IF(Raw_Export!$A1272="","",IFERROR(VLOOKUP(LOWER(TRIM(Raw_Export!D1272)),Maps!$G$2:$I$80,3,FALSE()),"UNMAPPED"))</f>
        <v>Staples</v>
      </c>
      <c r="F1272" s="36" t="n">
        <f aca="false">IF(Raw_Export!$A1272="","",IFERROR(VALUE(TRIM(Raw_Export!E1272)),0))</f>
        <v>6</v>
      </c>
      <c r="G1272" s="38" t="n">
        <f aca="false">IF(Raw_Export!$A1272="","",IFERROR(VALUE(SUBSTITUTE(SUBSTITUTE(UPPER(TRIM(Raw_Export!F1272)),"KES",""),",","")),0))</f>
        <v>110</v>
      </c>
      <c r="H1272" s="38" t="n">
        <f aca="false">IF(Raw_Export!$A1272="","",F1272*G1272)</f>
        <v>660</v>
      </c>
      <c r="I1272" s="36" t="str">
        <f aca="false">IF(Raw_Export!$A1272="","",IFERROR(VLOOKUP(LOWER(TRIM(Raw_Export!H1272)),Maps!$D$2:$E$12,2,FALSE()),"Other"))</f>
        <v>M-Pesa</v>
      </c>
      <c r="J1272" s="36" t="str">
        <f aca="false">IF(Raw_Export!$A1272="","",IF(COUNTIF($A$2:A1272,A1272)&gt;1,"Duplicate",""))</f>
        <v/>
      </c>
      <c r="K1272" s="36" t="str">
        <f aca="false">IF(Raw_Export!$A1272="","",IF(J1272="Duplicate","Duplicate",IF(OR(C1272="UNMAPPED",D1272="UNMAPPED"),"Unmapped",IF(F1272=0,"Blank qty",IF(F1272&lt;0,"Return","OK")))))</f>
        <v>OK</v>
      </c>
      <c r="L1272" s="36" t="n">
        <f aca="false">IF(Raw_Export!$A1272="","",IF(OR(K1272="OK",K1272="Return"),1,0))</f>
        <v>1</v>
      </c>
      <c r="M1272" s="37" t="n">
        <f aca="false">IF(Raw_Export!$A1272="","",B1272-WEEKDAY(B1272,2)+1)</f>
        <v>46272</v>
      </c>
    </row>
    <row r="1273" customFormat="false" ht="15" hidden="false" customHeight="false" outlineLevel="0" collapsed="false">
      <c r="A1273" s="36" t="str">
        <f aca="false">IF(Raw_Export!$A1273="","",TRIM(Raw_Export!A1273))</f>
        <v>TXN-101248</v>
      </c>
      <c r="B1273" s="37" t="n">
        <f aca="false">IF(Raw_Export!$A1273="","",IF(ISNUMBER(Raw_Export!B1273),Raw_Export!B1273,IF(MID(TRIM(Raw_Export!B1273),5,1)="-",DATE(LEFT(TRIM(Raw_Export!B1273),4),MID(TRIM(Raw_Export!B1273),6,2),RIGHT(TRIM(Raw_Export!B1273),2)),DATE(RIGHT(TRIM(Raw_Export!B1273),4),MATCH(MID(TRIM(Raw_Export!B1273),4,3),{"Jan","Feb","Mar","Apr","May","Jun","Jul","Aug","Sep","Oct","Nov","Dec"},0),LEFT(TRIM(Raw_Export!B1273),2)))))</f>
        <v>46273</v>
      </c>
      <c r="C1273" s="36" t="str">
        <f aca="false">IF(Raw_Export!$A1273="","",IFERROR(VLOOKUP(LOWER(TRIM(Raw_Export!C1273)),Maps!$A$2:$B$20,2,FALSE()),"UNMAPPED"))</f>
        <v>Westlands</v>
      </c>
      <c r="D1273" s="36" t="str">
        <f aca="false">IF(Raw_Export!$A1273="","",IFERROR(VLOOKUP(LOWER(TRIM(Raw_Export!D1273)),Maps!$G$2:$I$80,2,FALSE()),"UNMAPPED"))</f>
        <v>Fresh Milk 500ml</v>
      </c>
      <c r="E1273" s="36" t="str">
        <f aca="false">IF(Raw_Export!$A1273="","",IFERROR(VLOOKUP(LOWER(TRIM(Raw_Export!D1273)),Maps!$G$2:$I$80,3,FALSE()),"UNMAPPED"))</f>
        <v>Dairy &amp; Eggs</v>
      </c>
      <c r="F1273" s="36" t="n">
        <f aca="false">IF(Raw_Export!$A1273="","",IFERROR(VALUE(TRIM(Raw_Export!E1273)),0))</f>
        <v>1</v>
      </c>
      <c r="G1273" s="38" t="n">
        <f aca="false">IF(Raw_Export!$A1273="","",IFERROR(VALUE(SUBSTITUTE(SUBSTITUTE(UPPER(TRIM(Raw_Export!F1273)),"KES",""),",","")),0))</f>
        <v>65</v>
      </c>
      <c r="H1273" s="38" t="n">
        <f aca="false">IF(Raw_Export!$A1273="","",F1273*G1273)</f>
        <v>65</v>
      </c>
      <c r="I1273" s="36" t="str">
        <f aca="false">IF(Raw_Export!$A1273="","",IFERROR(VLOOKUP(LOWER(TRIM(Raw_Export!H1273)),Maps!$D$2:$E$12,2,FALSE()),"Other"))</f>
        <v>M-Pesa</v>
      </c>
      <c r="J1273" s="36" t="str">
        <f aca="false">IF(Raw_Export!$A1273="","",IF(COUNTIF($A$2:A1273,A1273)&gt;1,"Duplicate",""))</f>
        <v/>
      </c>
      <c r="K1273" s="36" t="str">
        <f aca="false">IF(Raw_Export!$A1273="","",IF(J1273="Duplicate","Duplicate",IF(OR(C1273="UNMAPPED",D1273="UNMAPPED"),"Unmapped",IF(F1273=0,"Blank qty",IF(F1273&lt;0,"Return","OK")))))</f>
        <v>OK</v>
      </c>
      <c r="L1273" s="36" t="n">
        <f aca="false">IF(Raw_Export!$A1273="","",IF(OR(K1273="OK",K1273="Return"),1,0))</f>
        <v>1</v>
      </c>
      <c r="M1273" s="37" t="n">
        <f aca="false">IF(Raw_Export!$A1273="","",B1273-WEEKDAY(B1273,2)+1)</f>
        <v>46272</v>
      </c>
    </row>
    <row r="1274" customFormat="false" ht="15" hidden="false" customHeight="false" outlineLevel="0" collapsed="false">
      <c r="A1274" s="36" t="str">
        <f aca="false">IF(Raw_Export!$A1274="","",TRIM(Raw_Export!A1274))</f>
        <v>TXN-101249</v>
      </c>
      <c r="B1274" s="37" t="n">
        <f aca="false">IF(Raw_Export!$A1274="","",IF(ISNUMBER(Raw_Export!B1274),Raw_Export!B1274,IF(MID(TRIM(Raw_Export!B1274),5,1)="-",DATE(LEFT(TRIM(Raw_Export!B1274),4),MID(TRIM(Raw_Export!B1274),6,2),RIGHT(TRIM(Raw_Export!B1274),2)),DATE(RIGHT(TRIM(Raw_Export!B1274),4),MATCH(MID(TRIM(Raw_Export!B1274),4,3),{"Jan","Feb","Mar","Apr","May","Jun","Jul","Aug","Sep","Oct","Nov","Dec"},0),LEFT(TRIM(Raw_Export!B1274),2)))))</f>
        <v>46273</v>
      </c>
      <c r="C1274" s="36" t="str">
        <f aca="false">IF(Raw_Export!$A1274="","",IFERROR(VLOOKUP(LOWER(TRIM(Raw_Export!C1274)),Maps!$A$2:$B$20,2,FALSE()),"UNMAPPED"))</f>
        <v>Westlands</v>
      </c>
      <c r="D1274" s="36" t="str">
        <f aca="false">IF(Raw_Export!$A1274="","",IFERROR(VLOOKUP(LOWER(TRIM(Raw_Export!D1274)),Maps!$G$2:$I$80,2,FALSE()),"UNMAPPED"))</f>
        <v>Toothpaste 100g</v>
      </c>
      <c r="E1274" s="36" t="str">
        <f aca="false">IF(Raw_Export!$A1274="","",IFERROR(VLOOKUP(LOWER(TRIM(Raw_Export!D1274)),Maps!$G$2:$I$80,3,FALSE()),"UNMAPPED"))</f>
        <v>Personal Care</v>
      </c>
      <c r="F1274" s="36" t="n">
        <f aca="false">IF(Raw_Export!$A1274="","",IFERROR(VALUE(TRIM(Raw_Export!E1274)),0))</f>
        <v>1</v>
      </c>
      <c r="G1274" s="38" t="n">
        <f aca="false">IF(Raw_Export!$A1274="","",IFERROR(VALUE(SUBSTITUTE(SUBSTITUTE(UPPER(TRIM(Raw_Export!F1274)),"KES",""),",","")),0))</f>
        <v>195</v>
      </c>
      <c r="H1274" s="38" t="n">
        <f aca="false">IF(Raw_Export!$A1274="","",F1274*G1274)</f>
        <v>195</v>
      </c>
      <c r="I1274" s="36" t="str">
        <f aca="false">IF(Raw_Export!$A1274="","",IFERROR(VLOOKUP(LOWER(TRIM(Raw_Export!H1274)),Maps!$D$2:$E$12,2,FALSE()),"Other"))</f>
        <v>Cash</v>
      </c>
      <c r="J1274" s="36" t="str">
        <f aca="false">IF(Raw_Export!$A1274="","",IF(COUNTIF($A$2:A1274,A1274)&gt;1,"Duplicate",""))</f>
        <v/>
      </c>
      <c r="K1274" s="36" t="str">
        <f aca="false">IF(Raw_Export!$A1274="","",IF(J1274="Duplicate","Duplicate",IF(OR(C1274="UNMAPPED",D1274="UNMAPPED"),"Unmapped",IF(F1274=0,"Blank qty",IF(F1274&lt;0,"Return","OK")))))</f>
        <v>OK</v>
      </c>
      <c r="L1274" s="36" t="n">
        <f aca="false">IF(Raw_Export!$A1274="","",IF(OR(K1274="OK",K1274="Return"),1,0))</f>
        <v>1</v>
      </c>
      <c r="M1274" s="37" t="n">
        <f aca="false">IF(Raw_Export!$A1274="","",B1274-WEEKDAY(B1274,2)+1)</f>
        <v>46272</v>
      </c>
    </row>
    <row r="1275" customFormat="false" ht="15" hidden="false" customHeight="false" outlineLevel="0" collapsed="false">
      <c r="A1275" s="36" t="str">
        <f aca="false">IF(Raw_Export!$A1275="","",TRIM(Raw_Export!A1275))</f>
        <v>TXN-101250</v>
      </c>
      <c r="B1275" s="37" t="n">
        <f aca="false">IF(Raw_Export!$A1275="","",IF(ISNUMBER(Raw_Export!B1275),Raw_Export!B1275,IF(MID(TRIM(Raw_Export!B1275),5,1)="-",DATE(LEFT(TRIM(Raw_Export!B1275),4),MID(TRIM(Raw_Export!B1275),6,2),RIGHT(TRIM(Raw_Export!B1275),2)),DATE(RIGHT(TRIM(Raw_Export!B1275),4),MATCH(MID(TRIM(Raw_Export!B1275),4,3),{"Jan","Feb","Mar","Apr","May","Jun","Jul","Aug","Sep","Oct","Nov","Dec"},0),LEFT(TRIM(Raw_Export!B1275),2)))))</f>
        <v>46273</v>
      </c>
      <c r="C1275" s="36" t="str">
        <f aca="false">IF(Raw_Export!$A1275="","",IFERROR(VLOOKUP(LOWER(TRIM(Raw_Export!C1275)),Maps!$A$2:$B$20,2,FALSE()),"UNMAPPED"))</f>
        <v>Westlands</v>
      </c>
      <c r="D1275" s="36" t="str">
        <f aca="false">IF(Raw_Export!$A1275="","",IFERROR(VLOOKUP(LOWER(TRIM(Raw_Export!D1275)),Maps!$G$2:$I$80,2,FALSE()),"UNMAPPED"))</f>
        <v>Juice 1L</v>
      </c>
      <c r="E1275" s="36" t="str">
        <f aca="false">IF(Raw_Export!$A1275="","",IFERROR(VLOOKUP(LOWER(TRIM(Raw_Export!D1275)),Maps!$G$2:$I$80,3,FALSE()),"UNMAPPED"))</f>
        <v>Beverages</v>
      </c>
      <c r="F1275" s="36" t="n">
        <f aca="false">IF(Raw_Export!$A1275="","",IFERROR(VALUE(TRIM(Raw_Export!E1275)),0))</f>
        <v>4</v>
      </c>
      <c r="G1275" s="38" t="n">
        <f aca="false">IF(Raw_Export!$A1275="","",IFERROR(VALUE(SUBSTITUTE(SUBSTITUTE(UPPER(TRIM(Raw_Export!F1275)),"KES",""),",","")),0))</f>
        <v>210</v>
      </c>
      <c r="H1275" s="38" t="n">
        <f aca="false">IF(Raw_Export!$A1275="","",F1275*G1275)</f>
        <v>840</v>
      </c>
      <c r="I1275" s="36" t="str">
        <f aca="false">IF(Raw_Export!$A1275="","",IFERROR(VLOOKUP(LOWER(TRIM(Raw_Export!H1275)),Maps!$D$2:$E$12,2,FALSE()),"Other"))</f>
        <v>Cash</v>
      </c>
      <c r="J1275" s="36" t="str">
        <f aca="false">IF(Raw_Export!$A1275="","",IF(COUNTIF($A$2:A1275,A1275)&gt;1,"Duplicate",""))</f>
        <v/>
      </c>
      <c r="K1275" s="36" t="str">
        <f aca="false">IF(Raw_Export!$A1275="","",IF(J1275="Duplicate","Duplicate",IF(OR(C1275="UNMAPPED",D1275="UNMAPPED"),"Unmapped",IF(F1275=0,"Blank qty",IF(F1275&lt;0,"Return","OK")))))</f>
        <v>OK</v>
      </c>
      <c r="L1275" s="36" t="n">
        <f aca="false">IF(Raw_Export!$A1275="","",IF(OR(K1275="OK",K1275="Return"),1,0))</f>
        <v>1</v>
      </c>
      <c r="M1275" s="37" t="n">
        <f aca="false">IF(Raw_Export!$A1275="","",B1275-WEEKDAY(B1275,2)+1)</f>
        <v>46272</v>
      </c>
    </row>
    <row r="1276" customFormat="false" ht="15" hidden="false" customHeight="false" outlineLevel="0" collapsed="false">
      <c r="A1276" s="36" t="str">
        <f aca="false">IF(Raw_Export!$A1276="","",TRIM(Raw_Export!A1276))</f>
        <v>TXN-101251</v>
      </c>
      <c r="B1276" s="37" t="n">
        <f aca="false">IF(Raw_Export!$A1276="","",IF(ISNUMBER(Raw_Export!B1276),Raw_Export!B1276,IF(MID(TRIM(Raw_Export!B1276),5,1)="-",DATE(LEFT(TRIM(Raw_Export!B1276),4),MID(TRIM(Raw_Export!B1276),6,2),RIGHT(TRIM(Raw_Export!B1276),2)),DATE(RIGHT(TRIM(Raw_Export!B1276),4),MATCH(MID(TRIM(Raw_Export!B1276),4,3),{"Jan","Feb","Mar","Apr","May","Jun","Jul","Aug","Sep","Oct","Nov","Dec"},0),LEFT(TRIM(Raw_Export!B1276),2)))))</f>
        <v>46273</v>
      </c>
      <c r="C1276" s="36" t="str">
        <f aca="false">IF(Raw_Export!$A1276="","",IFERROR(VLOOKUP(LOWER(TRIM(Raw_Export!C1276)),Maps!$A$2:$B$20,2,FALSE()),"UNMAPPED"))</f>
        <v>Westlands</v>
      </c>
      <c r="D1276" s="36" t="str">
        <f aca="false">IF(Raw_Export!$A1276="","",IFERROR(VLOOKUP(LOWER(TRIM(Raw_Export!D1276)),Maps!$G$2:$I$80,2,FALSE()),"UNMAPPED"))</f>
        <v>Tea Leaves 250g</v>
      </c>
      <c r="E1276" s="36" t="str">
        <f aca="false">IF(Raw_Export!$A1276="","",IFERROR(VLOOKUP(LOWER(TRIM(Raw_Export!D1276)),Maps!$G$2:$I$80,3,FALSE()),"UNMAPPED"))</f>
        <v>Beverages</v>
      </c>
      <c r="F1276" s="36" t="n">
        <f aca="false">IF(Raw_Export!$A1276="","",IFERROR(VALUE(TRIM(Raw_Export!E1276)),0))</f>
        <v>2</v>
      </c>
      <c r="G1276" s="38" t="n">
        <f aca="false">IF(Raw_Export!$A1276="","",IFERROR(VALUE(SUBSTITUTE(SUBSTITUTE(UPPER(TRIM(Raw_Export!F1276)),"KES",""),",","")),0))</f>
        <v>150</v>
      </c>
      <c r="H1276" s="38" t="n">
        <f aca="false">IF(Raw_Export!$A1276="","",F1276*G1276)</f>
        <v>300</v>
      </c>
      <c r="I1276" s="36" t="str">
        <f aca="false">IF(Raw_Export!$A1276="","",IFERROR(VLOOKUP(LOWER(TRIM(Raw_Export!H1276)),Maps!$D$2:$E$12,2,FALSE()),"Other"))</f>
        <v>M-Pesa</v>
      </c>
      <c r="J1276" s="36" t="str">
        <f aca="false">IF(Raw_Export!$A1276="","",IF(COUNTIF($A$2:A1276,A1276)&gt;1,"Duplicate",""))</f>
        <v/>
      </c>
      <c r="K1276" s="36" t="str">
        <f aca="false">IF(Raw_Export!$A1276="","",IF(J1276="Duplicate","Duplicate",IF(OR(C1276="UNMAPPED",D1276="UNMAPPED"),"Unmapped",IF(F1276=0,"Blank qty",IF(F1276&lt;0,"Return","OK")))))</f>
        <v>OK</v>
      </c>
      <c r="L1276" s="36" t="n">
        <f aca="false">IF(Raw_Export!$A1276="","",IF(OR(K1276="OK",K1276="Return"),1,0))</f>
        <v>1</v>
      </c>
      <c r="M1276" s="37" t="n">
        <f aca="false">IF(Raw_Export!$A1276="","",B1276-WEEKDAY(B1276,2)+1)</f>
        <v>46272</v>
      </c>
    </row>
    <row r="1277" customFormat="false" ht="15" hidden="false" customHeight="false" outlineLevel="0" collapsed="false">
      <c r="A1277" s="36" t="str">
        <f aca="false">IF(Raw_Export!$A1277="","",TRIM(Raw_Export!A1277))</f>
        <v>TXN-101252</v>
      </c>
      <c r="B1277" s="37" t="n">
        <f aca="false">IF(Raw_Export!$A1277="","",IF(ISNUMBER(Raw_Export!B1277),Raw_Export!B1277,IF(MID(TRIM(Raw_Export!B1277),5,1)="-",DATE(LEFT(TRIM(Raw_Export!B1277),4),MID(TRIM(Raw_Export!B1277),6,2),RIGHT(TRIM(Raw_Export!B1277),2)),DATE(RIGHT(TRIM(Raw_Export!B1277),4),MATCH(MID(TRIM(Raw_Export!B1277),4,3),{"Jan","Feb","Mar","Apr","May","Jun","Jul","Aug","Sep","Oct","Nov","Dec"},0),LEFT(TRIM(Raw_Export!B1277),2)))))</f>
        <v>46273</v>
      </c>
      <c r="C1277" s="36" t="str">
        <f aca="false">IF(Raw_Export!$A1277="","",IFERROR(VLOOKUP(LOWER(TRIM(Raw_Export!C1277)),Maps!$A$2:$B$20,2,FALSE()),"UNMAPPED"))</f>
        <v>Westlands</v>
      </c>
      <c r="D1277" s="36" t="str">
        <f aca="false">IF(Raw_Export!$A1277="","",IFERROR(VLOOKUP(LOWER(TRIM(Raw_Export!D1277)),Maps!$G$2:$I$80,2,FALSE()),"UNMAPPED"))</f>
        <v>Peanuts 250g</v>
      </c>
      <c r="E1277" s="36" t="str">
        <f aca="false">IF(Raw_Export!$A1277="","",IFERROR(VLOOKUP(LOWER(TRIM(Raw_Export!D1277)),Maps!$G$2:$I$80,3,FALSE()),"UNMAPPED"))</f>
        <v>Snacks</v>
      </c>
      <c r="F1277" s="36" t="n">
        <f aca="false">IF(Raw_Export!$A1277="","",IFERROR(VALUE(TRIM(Raw_Export!E1277)),0))</f>
        <v>6</v>
      </c>
      <c r="G1277" s="38" t="n">
        <f aca="false">IF(Raw_Export!$A1277="","",IFERROR(VALUE(SUBSTITUTE(SUBSTITUTE(UPPER(TRIM(Raw_Export!F1277)),"KES",""),",","")),0))</f>
        <v>130</v>
      </c>
      <c r="H1277" s="38" t="n">
        <f aca="false">IF(Raw_Export!$A1277="","",F1277*G1277)</f>
        <v>780</v>
      </c>
      <c r="I1277" s="36" t="str">
        <f aca="false">IF(Raw_Export!$A1277="","",IFERROR(VLOOKUP(LOWER(TRIM(Raw_Export!H1277)),Maps!$D$2:$E$12,2,FALSE()),"Other"))</f>
        <v>M-Pesa</v>
      </c>
      <c r="J1277" s="36" t="str">
        <f aca="false">IF(Raw_Export!$A1277="","",IF(COUNTIF($A$2:A1277,A1277)&gt;1,"Duplicate",""))</f>
        <v/>
      </c>
      <c r="K1277" s="36" t="str">
        <f aca="false">IF(Raw_Export!$A1277="","",IF(J1277="Duplicate","Duplicate",IF(OR(C1277="UNMAPPED",D1277="UNMAPPED"),"Unmapped",IF(F1277=0,"Blank qty",IF(F1277&lt;0,"Return","OK")))))</f>
        <v>OK</v>
      </c>
      <c r="L1277" s="36" t="n">
        <f aca="false">IF(Raw_Export!$A1277="","",IF(OR(K1277="OK",K1277="Return"),1,0))</f>
        <v>1</v>
      </c>
      <c r="M1277" s="37" t="n">
        <f aca="false">IF(Raw_Export!$A1277="","",B1277-WEEKDAY(B1277,2)+1)</f>
        <v>46272</v>
      </c>
    </row>
    <row r="1278" customFormat="false" ht="15" hidden="false" customHeight="false" outlineLevel="0" collapsed="false">
      <c r="A1278" s="36" t="str">
        <f aca="false">IF(Raw_Export!$A1278="","",TRIM(Raw_Export!A1278))</f>
        <v>TXN-101253</v>
      </c>
      <c r="B1278" s="37" t="n">
        <f aca="false">IF(Raw_Export!$A1278="","",IF(ISNUMBER(Raw_Export!B1278),Raw_Export!B1278,IF(MID(TRIM(Raw_Export!B1278),5,1)="-",DATE(LEFT(TRIM(Raw_Export!B1278),4),MID(TRIM(Raw_Export!B1278),6,2),RIGHT(TRIM(Raw_Export!B1278),2)),DATE(RIGHT(TRIM(Raw_Export!B1278),4),MATCH(MID(TRIM(Raw_Export!B1278),4,3),{"Jan","Feb","Mar","Apr","May","Jun","Jul","Aug","Sep","Oct","Nov","Dec"},0),LEFT(TRIM(Raw_Export!B1278),2)))))</f>
        <v>46273</v>
      </c>
      <c r="C1278" s="36" t="str">
        <f aca="false">IF(Raw_Export!$A1278="","",IFERROR(VLOOKUP(LOWER(TRIM(Raw_Export!C1278)),Maps!$A$2:$B$20,2,FALSE()),"UNMAPPED"))</f>
        <v>Westlands</v>
      </c>
      <c r="D1278" s="36" t="str">
        <f aca="false">IF(Raw_Export!$A1278="","",IFERROR(VLOOKUP(LOWER(TRIM(Raw_Export!D1278)),Maps!$G$2:$I$80,2,FALSE()),"UNMAPPED"))</f>
        <v>Sanitary Pads 8pk</v>
      </c>
      <c r="E1278" s="36" t="str">
        <f aca="false">IF(Raw_Export!$A1278="","",IFERROR(VLOOKUP(LOWER(TRIM(Raw_Export!D1278)),Maps!$G$2:$I$80,3,FALSE()),"UNMAPPED"))</f>
        <v>Personal Care</v>
      </c>
      <c r="F1278" s="36" t="n">
        <f aca="false">IF(Raw_Export!$A1278="","",IFERROR(VALUE(TRIM(Raw_Export!E1278)),0))</f>
        <v>2</v>
      </c>
      <c r="G1278" s="38" t="n">
        <f aca="false">IF(Raw_Export!$A1278="","",IFERROR(VALUE(SUBSTITUTE(SUBSTITUTE(UPPER(TRIM(Raw_Export!F1278)),"KES",""),",","")),0))</f>
        <v>130</v>
      </c>
      <c r="H1278" s="38" t="n">
        <f aca="false">IF(Raw_Export!$A1278="","",F1278*G1278)</f>
        <v>260</v>
      </c>
      <c r="I1278" s="36" t="str">
        <f aca="false">IF(Raw_Export!$A1278="","",IFERROR(VLOOKUP(LOWER(TRIM(Raw_Export!H1278)),Maps!$D$2:$E$12,2,FALSE()),"Other"))</f>
        <v>Cash</v>
      </c>
      <c r="J1278" s="36" t="str">
        <f aca="false">IF(Raw_Export!$A1278="","",IF(COUNTIF($A$2:A1278,A1278)&gt;1,"Duplicate",""))</f>
        <v/>
      </c>
      <c r="K1278" s="36" t="str">
        <f aca="false">IF(Raw_Export!$A1278="","",IF(J1278="Duplicate","Duplicate",IF(OR(C1278="UNMAPPED",D1278="UNMAPPED"),"Unmapped",IF(F1278=0,"Blank qty",IF(F1278&lt;0,"Return","OK")))))</f>
        <v>OK</v>
      </c>
      <c r="L1278" s="36" t="n">
        <f aca="false">IF(Raw_Export!$A1278="","",IF(OR(K1278="OK",K1278="Return"),1,0))</f>
        <v>1</v>
      </c>
      <c r="M1278" s="37" t="n">
        <f aca="false">IF(Raw_Export!$A1278="","",B1278-WEEKDAY(B1278,2)+1)</f>
        <v>46272</v>
      </c>
    </row>
    <row r="1279" customFormat="false" ht="15" hidden="false" customHeight="false" outlineLevel="0" collapsed="false">
      <c r="A1279" s="36" t="str">
        <f aca="false">IF(Raw_Export!$A1279="","",TRIM(Raw_Export!A1279))</f>
        <v>TXN-101254</v>
      </c>
      <c r="B1279" s="37" t="n">
        <f aca="false">IF(Raw_Export!$A1279="","",IF(ISNUMBER(Raw_Export!B1279),Raw_Export!B1279,IF(MID(TRIM(Raw_Export!B1279),5,1)="-",DATE(LEFT(TRIM(Raw_Export!B1279),4),MID(TRIM(Raw_Export!B1279),6,2),RIGHT(TRIM(Raw_Export!B1279),2)),DATE(RIGHT(TRIM(Raw_Export!B1279),4),MATCH(MID(TRIM(Raw_Export!B1279),4,3),{"Jan","Feb","Mar","Apr","May","Jun","Jul","Aug","Sep","Oct","Nov","Dec"},0),LEFT(TRIM(Raw_Export!B1279),2)))))</f>
        <v>46273</v>
      </c>
      <c r="C1279" s="36" t="str">
        <f aca="false">IF(Raw_Export!$A1279="","",IFERROR(VLOOKUP(LOWER(TRIM(Raw_Export!C1279)),Maps!$A$2:$B$20,2,FALSE()),"UNMAPPED"))</f>
        <v>Westlands</v>
      </c>
      <c r="D1279" s="36" t="str">
        <f aca="false">IF(Raw_Export!$A1279="","",IFERROR(VLOOKUP(LOWER(TRIM(Raw_Export!D1279)),Maps!$G$2:$I$80,2,FALSE()),"UNMAPPED"))</f>
        <v>Fresh Milk 500ml</v>
      </c>
      <c r="E1279" s="36" t="str">
        <f aca="false">IF(Raw_Export!$A1279="","",IFERROR(VLOOKUP(LOWER(TRIM(Raw_Export!D1279)),Maps!$G$2:$I$80,3,FALSE()),"UNMAPPED"))</f>
        <v>Dairy &amp; Eggs</v>
      </c>
      <c r="F1279" s="36" t="n">
        <f aca="false">IF(Raw_Export!$A1279="","",IFERROR(VALUE(TRIM(Raw_Export!E1279)),0))</f>
        <v>1</v>
      </c>
      <c r="G1279" s="38" t="n">
        <f aca="false">IF(Raw_Export!$A1279="","",IFERROR(VALUE(SUBSTITUTE(SUBSTITUTE(UPPER(TRIM(Raw_Export!F1279)),"KES",""),",","")),0))</f>
        <v>65</v>
      </c>
      <c r="H1279" s="38" t="n">
        <f aca="false">IF(Raw_Export!$A1279="","",F1279*G1279)</f>
        <v>65</v>
      </c>
      <c r="I1279" s="36" t="str">
        <f aca="false">IF(Raw_Export!$A1279="","",IFERROR(VLOOKUP(LOWER(TRIM(Raw_Export!H1279)),Maps!$D$2:$E$12,2,FALSE()),"Other"))</f>
        <v>M-Pesa</v>
      </c>
      <c r="J1279" s="36" t="str">
        <f aca="false">IF(Raw_Export!$A1279="","",IF(COUNTIF($A$2:A1279,A1279)&gt;1,"Duplicate",""))</f>
        <v/>
      </c>
      <c r="K1279" s="36" t="str">
        <f aca="false">IF(Raw_Export!$A1279="","",IF(J1279="Duplicate","Duplicate",IF(OR(C1279="UNMAPPED",D1279="UNMAPPED"),"Unmapped",IF(F1279=0,"Blank qty",IF(F1279&lt;0,"Return","OK")))))</f>
        <v>OK</v>
      </c>
      <c r="L1279" s="36" t="n">
        <f aca="false">IF(Raw_Export!$A1279="","",IF(OR(K1279="OK",K1279="Return"),1,0))</f>
        <v>1</v>
      </c>
      <c r="M1279" s="37" t="n">
        <f aca="false">IF(Raw_Export!$A1279="","",B1279-WEEKDAY(B1279,2)+1)</f>
        <v>46272</v>
      </c>
    </row>
    <row r="1280" customFormat="false" ht="15" hidden="false" customHeight="false" outlineLevel="0" collapsed="false">
      <c r="A1280" s="36" t="str">
        <f aca="false">IF(Raw_Export!$A1280="","",TRIM(Raw_Export!A1280))</f>
        <v>TXN-101255</v>
      </c>
      <c r="B1280" s="37" t="n">
        <f aca="false">IF(Raw_Export!$A1280="","",IF(ISNUMBER(Raw_Export!B1280),Raw_Export!B1280,IF(MID(TRIM(Raw_Export!B1280),5,1)="-",DATE(LEFT(TRIM(Raw_Export!B1280),4),MID(TRIM(Raw_Export!B1280),6,2),RIGHT(TRIM(Raw_Export!B1280),2)),DATE(RIGHT(TRIM(Raw_Export!B1280),4),MATCH(MID(TRIM(Raw_Export!B1280),4,3),{"Jan","Feb","Mar","Apr","May","Jun","Jul","Aug","Sep","Oct","Nov","Dec"},0),LEFT(TRIM(Raw_Export!B1280),2)))))</f>
        <v>46273</v>
      </c>
      <c r="C1280" s="36" t="str">
        <f aca="false">IF(Raw_Export!$A1280="","",IFERROR(VLOOKUP(LOWER(TRIM(Raw_Export!C1280)),Maps!$A$2:$B$20,2,FALSE()),"UNMAPPED"))</f>
        <v>Westlands</v>
      </c>
      <c r="D1280" s="36" t="str">
        <f aca="false">IF(Raw_Export!$A1280="","",IFERROR(VLOOKUP(LOWER(TRIM(Raw_Export!D1280)),Maps!$G$2:$I$80,2,FALSE()),"UNMAPPED"))</f>
        <v>Deodorant 150ml</v>
      </c>
      <c r="E1280" s="36" t="str">
        <f aca="false">IF(Raw_Export!$A1280="","",IFERROR(VLOOKUP(LOWER(TRIM(Raw_Export!D1280)),Maps!$G$2:$I$80,3,FALSE()),"UNMAPPED"))</f>
        <v>Personal Care</v>
      </c>
      <c r="F1280" s="36" t="n">
        <f aca="false">IF(Raw_Export!$A1280="","",IFERROR(VALUE(TRIM(Raw_Export!E1280)),0))</f>
        <v>3</v>
      </c>
      <c r="G1280" s="38" t="n">
        <f aca="false">IF(Raw_Export!$A1280="","",IFERROR(VALUE(SUBSTITUTE(SUBSTITUTE(UPPER(TRIM(Raw_Export!F1280)),"KES",""),",","")),0))</f>
        <v>315</v>
      </c>
      <c r="H1280" s="38" t="n">
        <f aca="false">IF(Raw_Export!$A1280="","",F1280*G1280)</f>
        <v>945</v>
      </c>
      <c r="I1280" s="36" t="str">
        <f aca="false">IF(Raw_Export!$A1280="","",IFERROR(VLOOKUP(LOWER(TRIM(Raw_Export!H1280)),Maps!$D$2:$E$12,2,FALSE()),"Other"))</f>
        <v>M-Pesa</v>
      </c>
      <c r="J1280" s="36" t="str">
        <f aca="false">IF(Raw_Export!$A1280="","",IF(COUNTIF($A$2:A1280,A1280)&gt;1,"Duplicate",""))</f>
        <v/>
      </c>
      <c r="K1280" s="36" t="str">
        <f aca="false">IF(Raw_Export!$A1280="","",IF(J1280="Duplicate","Duplicate",IF(OR(C1280="UNMAPPED",D1280="UNMAPPED"),"Unmapped",IF(F1280=0,"Blank qty",IF(F1280&lt;0,"Return","OK")))))</f>
        <v>OK</v>
      </c>
      <c r="L1280" s="36" t="n">
        <f aca="false">IF(Raw_Export!$A1280="","",IF(OR(K1280="OK",K1280="Return"),1,0))</f>
        <v>1</v>
      </c>
      <c r="M1280" s="37" t="n">
        <f aca="false">IF(Raw_Export!$A1280="","",B1280-WEEKDAY(B1280,2)+1)</f>
        <v>46272</v>
      </c>
    </row>
    <row r="1281" customFormat="false" ht="15" hidden="false" customHeight="false" outlineLevel="0" collapsed="false">
      <c r="A1281" s="36" t="str">
        <f aca="false">IF(Raw_Export!$A1281="","",TRIM(Raw_Export!A1281))</f>
        <v>TXN-101256</v>
      </c>
      <c r="B1281" s="37" t="n">
        <f aca="false">IF(Raw_Export!$A1281="","",IF(ISNUMBER(Raw_Export!B1281),Raw_Export!B1281,IF(MID(TRIM(Raw_Export!B1281),5,1)="-",DATE(LEFT(TRIM(Raw_Export!B1281),4),MID(TRIM(Raw_Export!B1281),6,2),RIGHT(TRIM(Raw_Export!B1281),2)),DATE(RIGHT(TRIM(Raw_Export!B1281),4),MATCH(MID(TRIM(Raw_Export!B1281),4,3),{"Jan","Feb","Mar","Apr","May","Jun","Jul","Aug","Sep","Oct","Nov","Dec"},0),LEFT(TRIM(Raw_Export!B1281),2)))))</f>
        <v>46273</v>
      </c>
      <c r="C1281" s="36" t="str">
        <f aca="false">IF(Raw_Export!$A1281="","",IFERROR(VLOOKUP(LOWER(TRIM(Raw_Export!C1281)),Maps!$A$2:$B$20,2,FALSE()),"UNMAPPED"))</f>
        <v>Westlands</v>
      </c>
      <c r="D1281" s="36" t="str">
        <f aca="false">IF(Raw_Export!$A1281="","",IFERROR(VLOOKUP(LOWER(TRIM(Raw_Export!D1281)),Maps!$G$2:$I$80,2,FALSE()),"UNMAPPED"))</f>
        <v>Juice 1L</v>
      </c>
      <c r="E1281" s="36" t="str">
        <f aca="false">IF(Raw_Export!$A1281="","",IFERROR(VLOOKUP(LOWER(TRIM(Raw_Export!D1281)),Maps!$G$2:$I$80,3,FALSE()),"UNMAPPED"))</f>
        <v>Beverages</v>
      </c>
      <c r="F1281" s="36" t="n">
        <f aca="false">IF(Raw_Export!$A1281="","",IFERROR(VALUE(TRIM(Raw_Export!E1281)),0))</f>
        <v>2</v>
      </c>
      <c r="G1281" s="38" t="n">
        <f aca="false">IF(Raw_Export!$A1281="","",IFERROR(VALUE(SUBSTITUTE(SUBSTITUTE(UPPER(TRIM(Raw_Export!F1281)),"KES",""),",","")),0))</f>
        <v>210</v>
      </c>
      <c r="H1281" s="38" t="n">
        <f aca="false">IF(Raw_Export!$A1281="","",F1281*G1281)</f>
        <v>420</v>
      </c>
      <c r="I1281" s="36" t="str">
        <f aca="false">IF(Raw_Export!$A1281="","",IFERROR(VLOOKUP(LOWER(TRIM(Raw_Export!H1281)),Maps!$D$2:$E$12,2,FALSE()),"Other"))</f>
        <v>M-Pesa</v>
      </c>
      <c r="J1281" s="36" t="str">
        <f aca="false">IF(Raw_Export!$A1281="","",IF(COUNTIF($A$2:A1281,A1281)&gt;1,"Duplicate",""))</f>
        <v/>
      </c>
      <c r="K1281" s="36" t="str">
        <f aca="false">IF(Raw_Export!$A1281="","",IF(J1281="Duplicate","Duplicate",IF(OR(C1281="UNMAPPED",D1281="UNMAPPED"),"Unmapped",IF(F1281=0,"Blank qty",IF(F1281&lt;0,"Return","OK")))))</f>
        <v>OK</v>
      </c>
      <c r="L1281" s="36" t="n">
        <f aca="false">IF(Raw_Export!$A1281="","",IF(OR(K1281="OK",K1281="Return"),1,0))</f>
        <v>1</v>
      </c>
      <c r="M1281" s="37" t="n">
        <f aca="false">IF(Raw_Export!$A1281="","",B1281-WEEKDAY(B1281,2)+1)</f>
        <v>46272</v>
      </c>
    </row>
    <row r="1282" customFormat="false" ht="15" hidden="false" customHeight="false" outlineLevel="0" collapsed="false">
      <c r="A1282" s="36" t="str">
        <f aca="false">IF(Raw_Export!$A1282="","",TRIM(Raw_Export!A1282))</f>
        <v>TXN-101257</v>
      </c>
      <c r="B1282" s="37" t="n">
        <f aca="false">IF(Raw_Export!$A1282="","",IF(ISNUMBER(Raw_Export!B1282),Raw_Export!B1282,IF(MID(TRIM(Raw_Export!B1282),5,1)="-",DATE(LEFT(TRIM(Raw_Export!B1282),4),MID(TRIM(Raw_Export!B1282),6,2),RIGHT(TRIM(Raw_Export!B1282),2)),DATE(RIGHT(TRIM(Raw_Export!B1282),4),MATCH(MID(TRIM(Raw_Export!B1282),4,3),{"Jan","Feb","Mar","Apr","May","Jun","Jul","Aug","Sep","Oct","Nov","Dec"},0),LEFT(TRIM(Raw_Export!B1282),2)))))</f>
        <v>46273</v>
      </c>
      <c r="C1282" s="36" t="str">
        <f aca="false">IF(Raw_Export!$A1282="","",IFERROR(VLOOKUP(LOWER(TRIM(Raw_Export!C1282)),Maps!$A$2:$B$20,2,FALSE()),"UNMAPPED"))</f>
        <v>Westlands</v>
      </c>
      <c r="D1282" s="36" t="str">
        <f aca="false">IF(Raw_Export!$A1282="","",IFERROR(VLOOKUP(LOWER(TRIM(Raw_Export!D1282)),Maps!$G$2:$I$80,2,FALSE()),"UNMAPPED"))</f>
        <v>Cheddar 200g</v>
      </c>
      <c r="E1282" s="36" t="str">
        <f aca="false">IF(Raw_Export!$A1282="","",IFERROR(VLOOKUP(LOWER(TRIM(Raw_Export!D1282)),Maps!$G$2:$I$80,3,FALSE()),"UNMAPPED"))</f>
        <v>Dairy &amp; Eggs</v>
      </c>
      <c r="F1282" s="36" t="n">
        <f aca="false">IF(Raw_Export!$A1282="","",IFERROR(VALUE(TRIM(Raw_Export!E1282)),0))</f>
        <v>1</v>
      </c>
      <c r="G1282" s="38" t="n">
        <f aca="false">IF(Raw_Export!$A1282="","",IFERROR(VALUE(SUBSTITUTE(SUBSTITUTE(UPPER(TRIM(Raw_Export!F1282)),"KES",""),",","")),0))</f>
        <v>380</v>
      </c>
      <c r="H1282" s="38" t="n">
        <f aca="false">IF(Raw_Export!$A1282="","",F1282*G1282)</f>
        <v>380</v>
      </c>
      <c r="I1282" s="36" t="str">
        <f aca="false">IF(Raw_Export!$A1282="","",IFERROR(VLOOKUP(LOWER(TRIM(Raw_Export!H1282)),Maps!$D$2:$E$12,2,FALSE()),"Other"))</f>
        <v>Cash</v>
      </c>
      <c r="J1282" s="36" t="str">
        <f aca="false">IF(Raw_Export!$A1282="","",IF(COUNTIF($A$2:A1282,A1282)&gt;1,"Duplicate",""))</f>
        <v/>
      </c>
      <c r="K1282" s="36" t="str">
        <f aca="false">IF(Raw_Export!$A1282="","",IF(J1282="Duplicate","Duplicate",IF(OR(C1282="UNMAPPED",D1282="UNMAPPED"),"Unmapped",IF(F1282=0,"Blank qty",IF(F1282&lt;0,"Return","OK")))))</f>
        <v>OK</v>
      </c>
      <c r="L1282" s="36" t="n">
        <f aca="false">IF(Raw_Export!$A1282="","",IF(OR(K1282="OK",K1282="Return"),1,0))</f>
        <v>1</v>
      </c>
      <c r="M1282" s="37" t="n">
        <f aca="false">IF(Raw_Export!$A1282="","",B1282-WEEKDAY(B1282,2)+1)</f>
        <v>46272</v>
      </c>
    </row>
    <row r="1283" customFormat="false" ht="15" hidden="false" customHeight="false" outlineLevel="0" collapsed="false">
      <c r="A1283" s="36" t="str">
        <f aca="false">IF(Raw_Export!$A1283="","",TRIM(Raw_Export!A1283))</f>
        <v>TXN-101258</v>
      </c>
      <c r="B1283" s="37" t="n">
        <f aca="false">IF(Raw_Export!$A1283="","",IF(ISNUMBER(Raw_Export!B1283),Raw_Export!B1283,IF(MID(TRIM(Raw_Export!B1283),5,1)="-",DATE(LEFT(TRIM(Raw_Export!B1283),4),MID(TRIM(Raw_Export!B1283),6,2),RIGHT(TRIM(Raw_Export!B1283),2)),DATE(RIGHT(TRIM(Raw_Export!B1283),4),MATCH(MID(TRIM(Raw_Export!B1283),4,3),{"Jan","Feb","Mar","Apr","May","Jun","Jul","Aug","Sep","Oct","Nov","Dec"},0),LEFT(TRIM(Raw_Export!B1283),2)))))</f>
        <v>46273</v>
      </c>
      <c r="C1283" s="36" t="str">
        <f aca="false">IF(Raw_Export!$A1283="","",IFERROR(VLOOKUP(LOWER(TRIM(Raw_Export!C1283)),Maps!$A$2:$B$20,2,FALSE()),"UNMAPPED"))</f>
        <v>Westlands</v>
      </c>
      <c r="D1283" s="36" t="str">
        <f aca="false">IF(Raw_Export!$A1283="","",IFERROR(VLOOKUP(LOWER(TRIM(Raw_Export!D1283)),Maps!$G$2:$I$80,2,FALSE()),"UNMAPPED"))</f>
        <v>Rice Pishori 2kg</v>
      </c>
      <c r="E1283" s="36" t="str">
        <f aca="false">IF(Raw_Export!$A1283="","",IFERROR(VLOOKUP(LOWER(TRIM(Raw_Export!D1283)),Maps!$G$2:$I$80,3,FALSE()),"UNMAPPED"))</f>
        <v>Staples</v>
      </c>
      <c r="F1283" s="36" t="n">
        <f aca="false">IF(Raw_Export!$A1283="","",IFERROR(VALUE(TRIM(Raw_Export!E1283)),0))</f>
        <v>1</v>
      </c>
      <c r="G1283" s="38" t="n">
        <f aca="false">IF(Raw_Export!$A1283="","",IFERROR(VALUE(SUBSTITUTE(SUBSTITUTE(UPPER(TRIM(Raw_Export!F1283)),"KES",""),",","")),0))</f>
        <v>420</v>
      </c>
      <c r="H1283" s="38" t="n">
        <f aca="false">IF(Raw_Export!$A1283="","",F1283*G1283)</f>
        <v>420</v>
      </c>
      <c r="I1283" s="36" t="str">
        <f aca="false">IF(Raw_Export!$A1283="","",IFERROR(VLOOKUP(LOWER(TRIM(Raw_Export!H1283)),Maps!$D$2:$E$12,2,FALSE()),"Other"))</f>
        <v>Cash</v>
      </c>
      <c r="J1283" s="36" t="str">
        <f aca="false">IF(Raw_Export!$A1283="","",IF(COUNTIF($A$2:A1283,A1283)&gt;1,"Duplicate",""))</f>
        <v/>
      </c>
      <c r="K1283" s="36" t="str">
        <f aca="false">IF(Raw_Export!$A1283="","",IF(J1283="Duplicate","Duplicate",IF(OR(C1283="UNMAPPED",D1283="UNMAPPED"),"Unmapped",IF(F1283=0,"Blank qty",IF(F1283&lt;0,"Return","OK")))))</f>
        <v>OK</v>
      </c>
      <c r="L1283" s="36" t="n">
        <f aca="false">IF(Raw_Export!$A1283="","",IF(OR(K1283="OK",K1283="Return"),1,0))</f>
        <v>1</v>
      </c>
      <c r="M1283" s="37" t="n">
        <f aca="false">IF(Raw_Export!$A1283="","",B1283-WEEKDAY(B1283,2)+1)</f>
        <v>46272</v>
      </c>
    </row>
    <row r="1284" customFormat="false" ht="15" hidden="false" customHeight="false" outlineLevel="0" collapsed="false">
      <c r="A1284" s="36" t="str">
        <f aca="false">IF(Raw_Export!$A1284="","",TRIM(Raw_Export!A1284))</f>
        <v>TXN-101259</v>
      </c>
      <c r="B1284" s="37" t="n">
        <f aca="false">IF(Raw_Export!$A1284="","",IF(ISNUMBER(Raw_Export!B1284),Raw_Export!B1284,IF(MID(TRIM(Raw_Export!B1284),5,1)="-",DATE(LEFT(TRIM(Raw_Export!B1284),4),MID(TRIM(Raw_Export!B1284),6,2),RIGHT(TRIM(Raw_Export!B1284),2)),DATE(RIGHT(TRIM(Raw_Export!B1284),4),MATCH(MID(TRIM(Raw_Export!B1284),4,3),{"Jan","Feb","Mar","Apr","May","Jun","Jul","Aug","Sep","Oct","Nov","Dec"},0),LEFT(TRIM(Raw_Export!B1284),2)))))</f>
        <v>46273</v>
      </c>
      <c r="C1284" s="36" t="str">
        <f aca="false">IF(Raw_Export!$A1284="","",IFERROR(VLOOKUP(LOWER(TRIM(Raw_Export!C1284)),Maps!$A$2:$B$20,2,FALSE()),"UNMAPPED"))</f>
        <v>Westlands</v>
      </c>
      <c r="D1284" s="36" t="str">
        <f aca="false">IF(Raw_Export!$A1284="","",IFERROR(VLOOKUP(LOWER(TRIM(Raw_Export!D1284)),Maps!$G$2:$I$80,2,FALSE()),"UNMAPPED"))</f>
        <v>Soda 500ml</v>
      </c>
      <c r="E1284" s="36" t="str">
        <f aca="false">IF(Raw_Export!$A1284="","",IFERROR(VLOOKUP(LOWER(TRIM(Raw_Export!D1284)),Maps!$G$2:$I$80,3,FALSE()),"UNMAPPED"))</f>
        <v>Beverages</v>
      </c>
      <c r="F1284" s="36" t="n">
        <f aca="false">IF(Raw_Export!$A1284="","",IFERROR(VALUE(TRIM(Raw_Export!E1284)),0))</f>
        <v>2</v>
      </c>
      <c r="G1284" s="38" t="n">
        <f aca="false">IF(Raw_Export!$A1284="","",IFERROR(VALUE(SUBSTITUTE(SUBSTITUTE(UPPER(TRIM(Raw_Export!F1284)),"KES",""),",","")),0))</f>
        <v>60</v>
      </c>
      <c r="H1284" s="38" t="n">
        <f aca="false">IF(Raw_Export!$A1284="","",F1284*G1284)</f>
        <v>120</v>
      </c>
      <c r="I1284" s="36" t="str">
        <f aca="false">IF(Raw_Export!$A1284="","",IFERROR(VLOOKUP(LOWER(TRIM(Raw_Export!H1284)),Maps!$D$2:$E$12,2,FALSE()),"Other"))</f>
        <v>Cash</v>
      </c>
      <c r="J1284" s="36" t="str">
        <f aca="false">IF(Raw_Export!$A1284="","",IF(COUNTIF($A$2:A1284,A1284)&gt;1,"Duplicate",""))</f>
        <v/>
      </c>
      <c r="K1284" s="36" t="str">
        <f aca="false">IF(Raw_Export!$A1284="","",IF(J1284="Duplicate","Duplicate",IF(OR(C1284="UNMAPPED",D1284="UNMAPPED"),"Unmapped",IF(F1284=0,"Blank qty",IF(F1284&lt;0,"Return","OK")))))</f>
        <v>OK</v>
      </c>
      <c r="L1284" s="36" t="n">
        <f aca="false">IF(Raw_Export!$A1284="","",IF(OR(K1284="OK",K1284="Return"),1,0))</f>
        <v>1</v>
      </c>
      <c r="M1284" s="37" t="n">
        <f aca="false">IF(Raw_Export!$A1284="","",B1284-WEEKDAY(B1284,2)+1)</f>
        <v>46272</v>
      </c>
    </row>
    <row r="1285" customFormat="false" ht="15" hidden="false" customHeight="false" outlineLevel="0" collapsed="false">
      <c r="A1285" s="36" t="str">
        <f aca="false">IF(Raw_Export!$A1285="","",TRIM(Raw_Export!A1285))</f>
        <v>TXN-101260</v>
      </c>
      <c r="B1285" s="37" t="n">
        <f aca="false">IF(Raw_Export!$A1285="","",IF(ISNUMBER(Raw_Export!B1285),Raw_Export!B1285,IF(MID(TRIM(Raw_Export!B1285),5,1)="-",DATE(LEFT(TRIM(Raw_Export!B1285),4),MID(TRIM(Raw_Export!B1285),6,2),RIGHT(TRIM(Raw_Export!B1285),2)),DATE(RIGHT(TRIM(Raw_Export!B1285),4),MATCH(MID(TRIM(Raw_Export!B1285),4,3),{"Jan","Feb","Mar","Apr","May","Jun","Jul","Aug","Sep","Oct","Nov","Dec"},0),LEFT(TRIM(Raw_Export!B1285),2)))))</f>
        <v>46273</v>
      </c>
      <c r="C1285" s="36" t="str">
        <f aca="false">IF(Raw_Export!$A1285="","",IFERROR(VLOOKUP(LOWER(TRIM(Raw_Export!C1285)),Maps!$A$2:$B$20,2,FALSE()),"UNMAPPED"))</f>
        <v>Mombasa</v>
      </c>
      <c r="D1285" s="36" t="str">
        <f aca="false">IF(Raw_Export!$A1285="","",IFERROR(VLOOKUP(LOWER(TRIM(Raw_Export!D1285)),Maps!$G$2:$I$80,2,FALSE()),"UNMAPPED"))</f>
        <v>Bleach 1L</v>
      </c>
      <c r="E1285" s="36" t="str">
        <f aca="false">IF(Raw_Export!$A1285="","",IFERROR(VLOOKUP(LOWER(TRIM(Raw_Export!D1285)),Maps!$G$2:$I$80,3,FALSE()),"UNMAPPED"))</f>
        <v>Household</v>
      </c>
      <c r="F1285" s="36" t="n">
        <f aca="false">IF(Raw_Export!$A1285="","",IFERROR(VALUE(TRIM(Raw_Export!E1285)),0))</f>
        <v>2</v>
      </c>
      <c r="G1285" s="38" t="n">
        <f aca="false">IF(Raw_Export!$A1285="","",IFERROR(VALUE(SUBSTITUTE(SUBSTITUTE(UPPER(TRIM(Raw_Export!F1285)),"KES",""),",","")),0))</f>
        <v>160</v>
      </c>
      <c r="H1285" s="38" t="n">
        <f aca="false">IF(Raw_Export!$A1285="","",F1285*G1285)</f>
        <v>320</v>
      </c>
      <c r="I1285" s="36" t="str">
        <f aca="false">IF(Raw_Export!$A1285="","",IFERROR(VLOOKUP(LOWER(TRIM(Raw_Export!H1285)),Maps!$D$2:$E$12,2,FALSE()),"Other"))</f>
        <v>Card</v>
      </c>
      <c r="J1285" s="36" t="str">
        <f aca="false">IF(Raw_Export!$A1285="","",IF(COUNTIF($A$2:A1285,A1285)&gt;1,"Duplicate",""))</f>
        <v/>
      </c>
      <c r="K1285" s="36" t="str">
        <f aca="false">IF(Raw_Export!$A1285="","",IF(J1285="Duplicate","Duplicate",IF(OR(C1285="UNMAPPED",D1285="UNMAPPED"),"Unmapped",IF(F1285=0,"Blank qty",IF(F1285&lt;0,"Return","OK")))))</f>
        <v>OK</v>
      </c>
      <c r="L1285" s="36" t="n">
        <f aca="false">IF(Raw_Export!$A1285="","",IF(OR(K1285="OK",K1285="Return"),1,0))</f>
        <v>1</v>
      </c>
      <c r="M1285" s="37" t="n">
        <f aca="false">IF(Raw_Export!$A1285="","",B1285-WEEKDAY(B1285,2)+1)</f>
        <v>46272</v>
      </c>
    </row>
    <row r="1286" customFormat="false" ht="15" hidden="false" customHeight="false" outlineLevel="0" collapsed="false">
      <c r="A1286" s="36" t="str">
        <f aca="false">IF(Raw_Export!$A1286="","",TRIM(Raw_Export!A1286))</f>
        <v>TXN-101261</v>
      </c>
      <c r="B1286" s="37" t="n">
        <f aca="false">IF(Raw_Export!$A1286="","",IF(ISNUMBER(Raw_Export!B1286),Raw_Export!B1286,IF(MID(TRIM(Raw_Export!B1286),5,1)="-",DATE(LEFT(TRIM(Raw_Export!B1286),4),MID(TRIM(Raw_Export!B1286),6,2),RIGHT(TRIM(Raw_Export!B1286),2)),DATE(RIGHT(TRIM(Raw_Export!B1286),4),MATCH(MID(TRIM(Raw_Export!B1286),4,3),{"Jan","Feb","Mar","Apr","May","Jun","Jul","Aug","Sep","Oct","Nov","Dec"},0),LEFT(TRIM(Raw_Export!B1286),2)))))</f>
        <v>46273</v>
      </c>
      <c r="C1286" s="36" t="str">
        <f aca="false">IF(Raw_Export!$A1286="","",IFERROR(VLOOKUP(LOWER(TRIM(Raw_Export!C1286)),Maps!$A$2:$B$20,2,FALSE()),"UNMAPPED"))</f>
        <v>Mombasa</v>
      </c>
      <c r="D1286" s="36" t="str">
        <f aca="false">IF(Raw_Export!$A1286="","",IFERROR(VLOOKUP(LOWER(TRIM(Raw_Export!D1286)),Maps!$G$2:$I$80,2,FALSE()),"UNMAPPED"))</f>
        <v>Soda 500ml</v>
      </c>
      <c r="E1286" s="36" t="str">
        <f aca="false">IF(Raw_Export!$A1286="","",IFERROR(VLOOKUP(LOWER(TRIM(Raw_Export!D1286)),Maps!$G$2:$I$80,3,FALSE()),"UNMAPPED"))</f>
        <v>Beverages</v>
      </c>
      <c r="F1286" s="36" t="n">
        <f aca="false">IF(Raw_Export!$A1286="","",IFERROR(VALUE(TRIM(Raw_Export!E1286)),0))</f>
        <v>2</v>
      </c>
      <c r="G1286" s="38" t="n">
        <f aca="false">IF(Raw_Export!$A1286="","",IFERROR(VALUE(SUBSTITUTE(SUBSTITUTE(UPPER(TRIM(Raw_Export!F1286)),"KES",""),",","")),0))</f>
        <v>60</v>
      </c>
      <c r="H1286" s="38" t="n">
        <f aca="false">IF(Raw_Export!$A1286="","",F1286*G1286)</f>
        <v>120</v>
      </c>
      <c r="I1286" s="36" t="str">
        <f aca="false">IF(Raw_Export!$A1286="","",IFERROR(VLOOKUP(LOWER(TRIM(Raw_Export!H1286)),Maps!$D$2:$E$12,2,FALSE()),"Other"))</f>
        <v>M-Pesa</v>
      </c>
      <c r="J1286" s="36" t="str">
        <f aca="false">IF(Raw_Export!$A1286="","",IF(COUNTIF($A$2:A1286,A1286)&gt;1,"Duplicate",""))</f>
        <v/>
      </c>
      <c r="K1286" s="36" t="str">
        <f aca="false">IF(Raw_Export!$A1286="","",IF(J1286="Duplicate","Duplicate",IF(OR(C1286="UNMAPPED",D1286="UNMAPPED"),"Unmapped",IF(F1286=0,"Blank qty",IF(F1286&lt;0,"Return","OK")))))</f>
        <v>OK</v>
      </c>
      <c r="L1286" s="36" t="n">
        <f aca="false">IF(Raw_Export!$A1286="","",IF(OR(K1286="OK",K1286="Return"),1,0))</f>
        <v>1</v>
      </c>
      <c r="M1286" s="37" t="n">
        <f aca="false">IF(Raw_Export!$A1286="","",B1286-WEEKDAY(B1286,2)+1)</f>
        <v>46272</v>
      </c>
    </row>
    <row r="1287" customFormat="false" ht="15" hidden="false" customHeight="false" outlineLevel="0" collapsed="false">
      <c r="A1287" s="36" t="str">
        <f aca="false">IF(Raw_Export!$A1287="","",TRIM(Raw_Export!A1287))</f>
        <v>TXN-101262</v>
      </c>
      <c r="B1287" s="37" t="n">
        <f aca="false">IF(Raw_Export!$A1287="","",IF(ISNUMBER(Raw_Export!B1287),Raw_Export!B1287,IF(MID(TRIM(Raw_Export!B1287),5,1)="-",DATE(LEFT(TRIM(Raw_Export!B1287),4),MID(TRIM(Raw_Export!B1287),6,2),RIGHT(TRIM(Raw_Export!B1287),2)),DATE(RIGHT(TRIM(Raw_Export!B1287),4),MATCH(MID(TRIM(Raw_Export!B1287),4,3),{"Jan","Feb","Mar","Apr","May","Jun","Jul","Aug","Sep","Oct","Nov","Dec"},0),LEFT(TRIM(Raw_Export!B1287),2)))))</f>
        <v>46273</v>
      </c>
      <c r="C1287" s="36" t="str">
        <f aca="false">IF(Raw_Export!$A1287="","",IFERROR(VLOOKUP(LOWER(TRIM(Raw_Export!C1287)),Maps!$A$2:$B$20,2,FALSE()),"UNMAPPED"))</f>
        <v>Mombasa</v>
      </c>
      <c r="D1287" s="36" t="str">
        <f aca="false">IF(Raw_Export!$A1287="","",IFERROR(VLOOKUP(LOWER(TRIM(Raw_Export!D1287)),Maps!$G$2:$I$80,2,FALSE()),"UNMAPPED"))</f>
        <v>Spaghetti 400g</v>
      </c>
      <c r="E1287" s="36" t="str">
        <f aca="false">IF(Raw_Export!$A1287="","",IFERROR(VLOOKUP(LOWER(TRIM(Raw_Export!D1287)),Maps!$G$2:$I$80,3,FALSE()),"UNMAPPED"))</f>
        <v>Staples</v>
      </c>
      <c r="F1287" s="36" t="n">
        <f aca="false">IF(Raw_Export!$A1287="","",IFERROR(VALUE(TRIM(Raw_Export!E1287)),0))</f>
        <v>4</v>
      </c>
      <c r="G1287" s="38" t="n">
        <f aca="false">IF(Raw_Export!$A1287="","",IFERROR(VALUE(SUBSTITUTE(SUBSTITUTE(UPPER(TRIM(Raw_Export!F1287)),"KES",""),",","")),0))</f>
        <v>110</v>
      </c>
      <c r="H1287" s="38" t="n">
        <f aca="false">IF(Raw_Export!$A1287="","",F1287*G1287)</f>
        <v>440</v>
      </c>
      <c r="I1287" s="36" t="str">
        <f aca="false">IF(Raw_Export!$A1287="","",IFERROR(VLOOKUP(LOWER(TRIM(Raw_Export!H1287)),Maps!$D$2:$E$12,2,FALSE()),"Other"))</f>
        <v>M-Pesa</v>
      </c>
      <c r="J1287" s="36" t="str">
        <f aca="false">IF(Raw_Export!$A1287="","",IF(COUNTIF($A$2:A1287,A1287)&gt;1,"Duplicate",""))</f>
        <v/>
      </c>
      <c r="K1287" s="36" t="str">
        <f aca="false">IF(Raw_Export!$A1287="","",IF(J1287="Duplicate","Duplicate",IF(OR(C1287="UNMAPPED",D1287="UNMAPPED"),"Unmapped",IF(F1287=0,"Blank qty",IF(F1287&lt;0,"Return","OK")))))</f>
        <v>OK</v>
      </c>
      <c r="L1287" s="36" t="n">
        <f aca="false">IF(Raw_Export!$A1287="","",IF(OR(K1287="OK",K1287="Return"),1,0))</f>
        <v>1</v>
      </c>
      <c r="M1287" s="37" t="n">
        <f aca="false">IF(Raw_Export!$A1287="","",B1287-WEEKDAY(B1287,2)+1)</f>
        <v>46272</v>
      </c>
    </row>
    <row r="1288" customFormat="false" ht="15" hidden="false" customHeight="false" outlineLevel="0" collapsed="false">
      <c r="A1288" s="36" t="str">
        <f aca="false">IF(Raw_Export!$A1288="","",TRIM(Raw_Export!A1288))</f>
        <v>TXN-101263</v>
      </c>
      <c r="B1288" s="37" t="n">
        <f aca="false">IF(Raw_Export!$A1288="","",IF(ISNUMBER(Raw_Export!B1288),Raw_Export!B1288,IF(MID(TRIM(Raw_Export!B1288),5,1)="-",DATE(LEFT(TRIM(Raw_Export!B1288),4),MID(TRIM(Raw_Export!B1288),6,2),RIGHT(TRIM(Raw_Export!B1288),2)),DATE(RIGHT(TRIM(Raw_Export!B1288),4),MATCH(MID(TRIM(Raw_Export!B1288),4,3),{"Jan","Feb","Mar","Apr","May","Jun","Jul","Aug","Sep","Oct","Nov","Dec"},0),LEFT(TRIM(Raw_Export!B1288),2)))))</f>
        <v>46273</v>
      </c>
      <c r="C1288" s="36" t="str">
        <f aca="false">IF(Raw_Export!$A1288="","",IFERROR(VLOOKUP(LOWER(TRIM(Raw_Export!C1288)),Maps!$A$2:$B$20,2,FALSE()),"UNMAPPED"))</f>
        <v>Mombasa</v>
      </c>
      <c r="D1288" s="36" t="str">
        <f aca="false">IF(Raw_Export!$A1288="","",IFERROR(VLOOKUP(LOWER(TRIM(Raw_Export!D1288)),Maps!$G$2:$I$80,2,FALSE()),"UNMAPPED"))</f>
        <v>Salt 500g</v>
      </c>
      <c r="E1288" s="36" t="str">
        <f aca="false">IF(Raw_Export!$A1288="","",IFERROR(VLOOKUP(LOWER(TRIM(Raw_Export!D1288)),Maps!$G$2:$I$80,3,FALSE()),"UNMAPPED"))</f>
        <v>Staples</v>
      </c>
      <c r="F1288" s="36" t="n">
        <f aca="false">IF(Raw_Export!$A1288="","",IFERROR(VALUE(TRIM(Raw_Export!E1288)),0))</f>
        <v>1</v>
      </c>
      <c r="G1288" s="38" t="n">
        <f aca="false">IF(Raw_Export!$A1288="","",IFERROR(VALUE(SUBSTITUTE(SUBSTITUTE(UPPER(TRIM(Raw_Export!F1288)),"KES",""),",","")),0))</f>
        <v>40</v>
      </c>
      <c r="H1288" s="38" t="n">
        <f aca="false">IF(Raw_Export!$A1288="","",F1288*G1288)</f>
        <v>40</v>
      </c>
      <c r="I1288" s="36" t="str">
        <f aca="false">IF(Raw_Export!$A1288="","",IFERROR(VLOOKUP(LOWER(TRIM(Raw_Export!H1288)),Maps!$D$2:$E$12,2,FALSE()),"Other"))</f>
        <v>Cash</v>
      </c>
      <c r="J1288" s="36" t="str">
        <f aca="false">IF(Raw_Export!$A1288="","",IF(COUNTIF($A$2:A1288,A1288)&gt;1,"Duplicate",""))</f>
        <v/>
      </c>
      <c r="K1288" s="36" t="str">
        <f aca="false">IF(Raw_Export!$A1288="","",IF(J1288="Duplicate","Duplicate",IF(OR(C1288="UNMAPPED",D1288="UNMAPPED"),"Unmapped",IF(F1288=0,"Blank qty",IF(F1288&lt;0,"Return","OK")))))</f>
        <v>OK</v>
      </c>
      <c r="L1288" s="36" t="n">
        <f aca="false">IF(Raw_Export!$A1288="","",IF(OR(K1288="OK",K1288="Return"),1,0))</f>
        <v>1</v>
      </c>
      <c r="M1288" s="37" t="n">
        <f aca="false">IF(Raw_Export!$A1288="","",B1288-WEEKDAY(B1288,2)+1)</f>
        <v>46272</v>
      </c>
    </row>
    <row r="1289" customFormat="false" ht="15" hidden="false" customHeight="false" outlineLevel="0" collapsed="false">
      <c r="A1289" s="36" t="str">
        <f aca="false">IF(Raw_Export!$A1289="","",TRIM(Raw_Export!A1289))</f>
        <v>TXN-101264</v>
      </c>
      <c r="B1289" s="37" t="n">
        <f aca="false">IF(Raw_Export!$A1289="","",IF(ISNUMBER(Raw_Export!B1289),Raw_Export!B1289,IF(MID(TRIM(Raw_Export!B1289),5,1)="-",DATE(LEFT(TRIM(Raw_Export!B1289),4),MID(TRIM(Raw_Export!B1289),6,2),RIGHT(TRIM(Raw_Export!B1289),2)),DATE(RIGHT(TRIM(Raw_Export!B1289),4),MATCH(MID(TRIM(Raw_Export!B1289),4,3),{"Jan","Feb","Mar","Apr","May","Jun","Jul","Aug","Sep","Oct","Nov","Dec"},0),LEFT(TRIM(Raw_Export!B1289),2)))))</f>
        <v>46273</v>
      </c>
      <c r="C1289" s="36" t="str">
        <f aca="false">IF(Raw_Export!$A1289="","",IFERROR(VLOOKUP(LOWER(TRIM(Raw_Export!C1289)),Maps!$A$2:$B$20,2,FALSE()),"UNMAPPED"))</f>
        <v>Mombasa</v>
      </c>
      <c r="D1289" s="36" t="str">
        <f aca="false">IF(Raw_Export!$A1289="","",IFERROR(VLOOKUP(LOWER(TRIM(Raw_Export!D1289)),Maps!$G$2:$I$80,2,FALSE()),"UNMAPPED"))</f>
        <v>Bottled Water 1.5L</v>
      </c>
      <c r="E1289" s="36" t="str">
        <f aca="false">IF(Raw_Export!$A1289="","",IFERROR(VLOOKUP(LOWER(TRIM(Raw_Export!D1289)),Maps!$G$2:$I$80,3,FALSE()),"UNMAPPED"))</f>
        <v>Beverages</v>
      </c>
      <c r="F1289" s="36" t="n">
        <f aca="false">IF(Raw_Export!$A1289="","",IFERROR(VALUE(TRIM(Raw_Export!E1289)),0))</f>
        <v>4</v>
      </c>
      <c r="G1289" s="38" t="n">
        <f aca="false">IF(Raw_Export!$A1289="","",IFERROR(VALUE(SUBSTITUTE(SUBSTITUTE(UPPER(TRIM(Raw_Export!F1289)),"KES",""),",","")),0))</f>
        <v>90</v>
      </c>
      <c r="H1289" s="38" t="n">
        <f aca="false">IF(Raw_Export!$A1289="","",F1289*G1289)</f>
        <v>360</v>
      </c>
      <c r="I1289" s="36" t="str">
        <f aca="false">IF(Raw_Export!$A1289="","",IFERROR(VLOOKUP(LOWER(TRIM(Raw_Export!H1289)),Maps!$D$2:$E$12,2,FALSE()),"Other"))</f>
        <v>Cash</v>
      </c>
      <c r="J1289" s="36" t="str">
        <f aca="false">IF(Raw_Export!$A1289="","",IF(COUNTIF($A$2:A1289,A1289)&gt;1,"Duplicate",""))</f>
        <v/>
      </c>
      <c r="K1289" s="36" t="str">
        <f aca="false">IF(Raw_Export!$A1289="","",IF(J1289="Duplicate","Duplicate",IF(OR(C1289="UNMAPPED",D1289="UNMAPPED"),"Unmapped",IF(F1289=0,"Blank qty",IF(F1289&lt;0,"Return","OK")))))</f>
        <v>OK</v>
      </c>
      <c r="L1289" s="36" t="n">
        <f aca="false">IF(Raw_Export!$A1289="","",IF(OR(K1289="OK",K1289="Return"),1,0))</f>
        <v>1</v>
      </c>
      <c r="M1289" s="37" t="n">
        <f aca="false">IF(Raw_Export!$A1289="","",B1289-WEEKDAY(B1289,2)+1)</f>
        <v>46272</v>
      </c>
    </row>
    <row r="1290" customFormat="false" ht="15" hidden="false" customHeight="false" outlineLevel="0" collapsed="false">
      <c r="A1290" s="36" t="str">
        <f aca="false">IF(Raw_Export!$A1290="","",TRIM(Raw_Export!A1290))</f>
        <v>TXN-101265</v>
      </c>
      <c r="B1290" s="37" t="n">
        <f aca="false">IF(Raw_Export!$A1290="","",IF(ISNUMBER(Raw_Export!B1290),Raw_Export!B1290,IF(MID(TRIM(Raw_Export!B1290),5,1)="-",DATE(LEFT(TRIM(Raw_Export!B1290),4),MID(TRIM(Raw_Export!B1290),6,2),RIGHT(TRIM(Raw_Export!B1290),2)),DATE(RIGHT(TRIM(Raw_Export!B1290),4),MATCH(MID(TRIM(Raw_Export!B1290),4,3),{"Jan","Feb","Mar","Apr","May","Jun","Jul","Aug","Sep","Oct","Nov","Dec"},0),LEFT(TRIM(Raw_Export!B1290),2)))))</f>
        <v>46273</v>
      </c>
      <c r="C1290" s="36" t="str">
        <f aca="false">IF(Raw_Export!$A1290="","",IFERROR(VLOOKUP(LOWER(TRIM(Raw_Export!C1290)),Maps!$A$2:$B$20,2,FALSE()),"UNMAPPED"))</f>
        <v>Mombasa</v>
      </c>
      <c r="D1290" s="36" t="str">
        <f aca="false">IF(Raw_Export!$A1290="","",IFERROR(VLOOKUP(LOWER(TRIM(Raw_Export!D1290)),Maps!$G$2:$I$80,2,FALSE()),"UNMAPPED"))</f>
        <v>Toothpaste 100g</v>
      </c>
      <c r="E1290" s="36" t="str">
        <f aca="false">IF(Raw_Export!$A1290="","",IFERROR(VLOOKUP(LOWER(TRIM(Raw_Export!D1290)),Maps!$G$2:$I$80,3,FALSE()),"UNMAPPED"))</f>
        <v>Personal Care</v>
      </c>
      <c r="F1290" s="36" t="n">
        <f aca="false">IF(Raw_Export!$A1290="","",IFERROR(VALUE(TRIM(Raw_Export!E1290)),0))</f>
        <v>2</v>
      </c>
      <c r="G1290" s="38" t="n">
        <f aca="false">IF(Raw_Export!$A1290="","",IFERROR(VALUE(SUBSTITUTE(SUBSTITUTE(UPPER(TRIM(Raw_Export!F1290)),"KES",""),",","")),0))</f>
        <v>195</v>
      </c>
      <c r="H1290" s="38" t="n">
        <f aca="false">IF(Raw_Export!$A1290="","",F1290*G1290)</f>
        <v>390</v>
      </c>
      <c r="I1290" s="36" t="str">
        <f aca="false">IF(Raw_Export!$A1290="","",IFERROR(VLOOKUP(LOWER(TRIM(Raw_Export!H1290)),Maps!$D$2:$E$12,2,FALSE()),"Other"))</f>
        <v>M-Pesa</v>
      </c>
      <c r="J1290" s="36" t="str">
        <f aca="false">IF(Raw_Export!$A1290="","",IF(COUNTIF($A$2:A1290,A1290)&gt;1,"Duplicate",""))</f>
        <v/>
      </c>
      <c r="K1290" s="36" t="str">
        <f aca="false">IF(Raw_Export!$A1290="","",IF(J1290="Duplicate","Duplicate",IF(OR(C1290="UNMAPPED",D1290="UNMAPPED"),"Unmapped",IF(F1290=0,"Blank qty",IF(F1290&lt;0,"Return","OK")))))</f>
        <v>OK</v>
      </c>
      <c r="L1290" s="36" t="n">
        <f aca="false">IF(Raw_Export!$A1290="","",IF(OR(K1290="OK",K1290="Return"),1,0))</f>
        <v>1</v>
      </c>
      <c r="M1290" s="37" t="n">
        <f aca="false">IF(Raw_Export!$A1290="","",B1290-WEEKDAY(B1290,2)+1)</f>
        <v>46272</v>
      </c>
    </row>
    <row r="1291" customFormat="false" ht="15" hidden="false" customHeight="false" outlineLevel="0" collapsed="false">
      <c r="A1291" s="36" t="str">
        <f aca="false">IF(Raw_Export!$A1291="","",TRIM(Raw_Export!A1291))</f>
        <v>TXN-101266</v>
      </c>
      <c r="B1291" s="37" t="n">
        <f aca="false">IF(Raw_Export!$A1291="","",IF(ISNUMBER(Raw_Export!B1291),Raw_Export!B1291,IF(MID(TRIM(Raw_Export!B1291),5,1)="-",DATE(LEFT(TRIM(Raw_Export!B1291),4),MID(TRIM(Raw_Export!B1291),6,2),RIGHT(TRIM(Raw_Export!B1291),2)),DATE(RIGHT(TRIM(Raw_Export!B1291),4),MATCH(MID(TRIM(Raw_Export!B1291),4,3),{"Jan","Feb","Mar","Apr","May","Jun","Jul","Aug","Sep","Oct","Nov","Dec"},0),LEFT(TRIM(Raw_Export!B1291),2)))))</f>
        <v>46273</v>
      </c>
      <c r="C1291" s="36" t="str">
        <f aca="false">IF(Raw_Export!$A1291="","",IFERROR(VLOOKUP(LOWER(TRIM(Raw_Export!C1291)),Maps!$A$2:$B$20,2,FALSE()),"UNMAPPED"))</f>
        <v>Mombasa</v>
      </c>
      <c r="D1291" s="36" t="str">
        <f aca="false">IF(Raw_Export!$A1291="","",IFERROR(VLOOKUP(LOWER(TRIM(Raw_Export!D1291)),Maps!$G$2:$I$80,2,FALSE()),"UNMAPPED"))</f>
        <v>Bottled Water 1.5L</v>
      </c>
      <c r="E1291" s="36" t="str">
        <f aca="false">IF(Raw_Export!$A1291="","",IFERROR(VLOOKUP(LOWER(TRIM(Raw_Export!D1291)),Maps!$G$2:$I$80,3,FALSE()),"UNMAPPED"))</f>
        <v>Beverages</v>
      </c>
      <c r="F1291" s="36" t="n">
        <f aca="false">IF(Raw_Export!$A1291="","",IFERROR(VALUE(TRIM(Raw_Export!E1291)),0))</f>
        <v>3</v>
      </c>
      <c r="G1291" s="38" t="n">
        <f aca="false">IF(Raw_Export!$A1291="","",IFERROR(VALUE(SUBSTITUTE(SUBSTITUTE(UPPER(TRIM(Raw_Export!F1291)),"KES",""),",","")),0))</f>
        <v>90</v>
      </c>
      <c r="H1291" s="38" t="n">
        <f aca="false">IF(Raw_Export!$A1291="","",F1291*G1291)</f>
        <v>270</v>
      </c>
      <c r="I1291" s="36" t="str">
        <f aca="false">IF(Raw_Export!$A1291="","",IFERROR(VLOOKUP(LOWER(TRIM(Raw_Export!H1291)),Maps!$D$2:$E$12,2,FALSE()),"Other"))</f>
        <v>M-Pesa</v>
      </c>
      <c r="J1291" s="36" t="str">
        <f aca="false">IF(Raw_Export!$A1291="","",IF(COUNTIF($A$2:A1291,A1291)&gt;1,"Duplicate",""))</f>
        <v/>
      </c>
      <c r="K1291" s="36" t="str">
        <f aca="false">IF(Raw_Export!$A1291="","",IF(J1291="Duplicate","Duplicate",IF(OR(C1291="UNMAPPED",D1291="UNMAPPED"),"Unmapped",IF(F1291=0,"Blank qty",IF(F1291&lt;0,"Return","OK")))))</f>
        <v>OK</v>
      </c>
      <c r="L1291" s="36" t="n">
        <f aca="false">IF(Raw_Export!$A1291="","",IF(OR(K1291="OK",K1291="Return"),1,0))</f>
        <v>1</v>
      </c>
      <c r="M1291" s="37" t="n">
        <f aca="false">IF(Raw_Export!$A1291="","",B1291-WEEKDAY(B1291,2)+1)</f>
        <v>46272</v>
      </c>
    </row>
    <row r="1292" customFormat="false" ht="15" hidden="false" customHeight="false" outlineLevel="0" collapsed="false">
      <c r="A1292" s="36" t="str">
        <f aca="false">IF(Raw_Export!$A1292="","",TRIM(Raw_Export!A1292))</f>
        <v>TXN-101267</v>
      </c>
      <c r="B1292" s="37" t="n">
        <f aca="false">IF(Raw_Export!$A1292="","",IF(ISNUMBER(Raw_Export!B1292),Raw_Export!B1292,IF(MID(TRIM(Raw_Export!B1292),5,1)="-",DATE(LEFT(TRIM(Raw_Export!B1292),4),MID(TRIM(Raw_Export!B1292),6,2),RIGHT(TRIM(Raw_Export!B1292),2)),DATE(RIGHT(TRIM(Raw_Export!B1292),4),MATCH(MID(TRIM(Raw_Export!B1292),4,3),{"Jan","Feb","Mar","Apr","May","Jun","Jul","Aug","Sep","Oct","Nov","Dec"},0),LEFT(TRIM(Raw_Export!B1292),2)))))</f>
        <v>46273</v>
      </c>
      <c r="C1292" s="36" t="str">
        <f aca="false">IF(Raw_Export!$A1292="","",IFERROR(VLOOKUP(LOWER(TRIM(Raw_Export!C1292)),Maps!$A$2:$B$20,2,FALSE()),"UNMAPPED"))</f>
        <v>Mombasa</v>
      </c>
      <c r="D1292" s="36" t="str">
        <f aca="false">IF(Raw_Export!$A1292="","",IFERROR(VLOOKUP(LOWER(TRIM(Raw_Export!D1292)),Maps!$G$2:$I$80,2,FALSE()),"UNMAPPED"))</f>
        <v>Yoghurt 500ml</v>
      </c>
      <c r="E1292" s="36" t="str">
        <f aca="false">IF(Raw_Export!$A1292="","",IFERROR(VLOOKUP(LOWER(TRIM(Raw_Export!D1292)),Maps!$G$2:$I$80,3,FALSE()),"UNMAPPED"))</f>
        <v>Dairy &amp; Eggs</v>
      </c>
      <c r="F1292" s="36" t="n">
        <f aca="false">IF(Raw_Export!$A1292="","",IFERROR(VALUE(TRIM(Raw_Export!E1292)),0))</f>
        <v>1</v>
      </c>
      <c r="G1292" s="38" t="n">
        <f aca="false">IF(Raw_Export!$A1292="","",IFERROR(VALUE(SUBSTITUTE(SUBSTITUTE(UPPER(TRIM(Raw_Export!F1292)),"KES",""),",","")),0))</f>
        <v>120</v>
      </c>
      <c r="H1292" s="38" t="n">
        <f aca="false">IF(Raw_Export!$A1292="","",F1292*G1292)</f>
        <v>120</v>
      </c>
      <c r="I1292" s="36" t="str">
        <f aca="false">IF(Raw_Export!$A1292="","",IFERROR(VLOOKUP(LOWER(TRIM(Raw_Export!H1292)),Maps!$D$2:$E$12,2,FALSE()),"Other"))</f>
        <v>Cash</v>
      </c>
      <c r="J1292" s="36" t="str">
        <f aca="false">IF(Raw_Export!$A1292="","",IF(COUNTIF($A$2:A1292,A1292)&gt;1,"Duplicate",""))</f>
        <v/>
      </c>
      <c r="K1292" s="36" t="str">
        <f aca="false">IF(Raw_Export!$A1292="","",IF(J1292="Duplicate","Duplicate",IF(OR(C1292="UNMAPPED",D1292="UNMAPPED"),"Unmapped",IF(F1292=0,"Blank qty",IF(F1292&lt;0,"Return","OK")))))</f>
        <v>OK</v>
      </c>
      <c r="L1292" s="36" t="n">
        <f aca="false">IF(Raw_Export!$A1292="","",IF(OR(K1292="OK",K1292="Return"),1,0))</f>
        <v>1</v>
      </c>
      <c r="M1292" s="37" t="n">
        <f aca="false">IF(Raw_Export!$A1292="","",B1292-WEEKDAY(B1292,2)+1)</f>
        <v>46272</v>
      </c>
    </row>
    <row r="1293" customFormat="false" ht="15" hidden="false" customHeight="false" outlineLevel="0" collapsed="false">
      <c r="A1293" s="36" t="str">
        <f aca="false">IF(Raw_Export!$A1293="","",TRIM(Raw_Export!A1293))</f>
        <v>TXN-101268</v>
      </c>
      <c r="B1293" s="37" t="n">
        <f aca="false">IF(Raw_Export!$A1293="","",IF(ISNUMBER(Raw_Export!B1293),Raw_Export!B1293,IF(MID(TRIM(Raw_Export!B1293),5,1)="-",DATE(LEFT(TRIM(Raw_Export!B1293),4),MID(TRIM(Raw_Export!B1293),6,2),RIGHT(TRIM(Raw_Export!B1293),2)),DATE(RIGHT(TRIM(Raw_Export!B1293),4),MATCH(MID(TRIM(Raw_Export!B1293),4,3),{"Jan","Feb","Mar","Apr","May","Jun","Jul","Aug","Sep","Oct","Nov","Dec"},0),LEFT(TRIM(Raw_Export!B1293),2)))))</f>
        <v>46273</v>
      </c>
      <c r="C1293" s="36" t="str">
        <f aca="false">IF(Raw_Export!$A1293="","",IFERROR(VLOOKUP(LOWER(TRIM(Raw_Export!C1293)),Maps!$A$2:$B$20,2,FALSE()),"UNMAPPED"))</f>
        <v>Mombasa</v>
      </c>
      <c r="D1293" s="36" t="str">
        <f aca="false">IF(Raw_Export!$A1293="","",IFERROR(VLOOKUP(LOWER(TRIM(Raw_Export!D1293)),Maps!$G$2:$I$80,2,FALSE()),"UNMAPPED"))</f>
        <v>UNMAPPED</v>
      </c>
      <c r="E1293" s="36" t="str">
        <f aca="false">IF(Raw_Export!$A1293="","",IFERROR(VLOOKUP(LOWER(TRIM(Raw_Export!D1293)),Maps!$G$2:$I$80,3,FALSE()),"UNMAPPED"))</f>
        <v>UNMAPPED</v>
      </c>
      <c r="F1293" s="36" t="n">
        <f aca="false">IF(Raw_Export!$A1293="","",IFERROR(VALUE(TRIM(Raw_Export!E1293)),0))</f>
        <v>2</v>
      </c>
      <c r="G1293" s="38" t="n">
        <f aca="false">IF(Raw_Export!$A1293="","",IFERROR(VALUE(SUBSTITUTE(SUBSTITUTE(UPPER(TRIM(Raw_Export!F1293)),"KES",""),",","")),0))</f>
        <v>450</v>
      </c>
      <c r="H1293" s="38" t="n">
        <f aca="false">IF(Raw_Export!$A1293="","",F1293*G1293)</f>
        <v>900</v>
      </c>
      <c r="I1293" s="36" t="str">
        <f aca="false">IF(Raw_Export!$A1293="","",IFERROR(VLOOKUP(LOWER(TRIM(Raw_Export!H1293)),Maps!$D$2:$E$12,2,FALSE()),"Other"))</f>
        <v>M-Pesa</v>
      </c>
      <c r="J1293" s="36" t="str">
        <f aca="false">IF(Raw_Export!$A1293="","",IF(COUNTIF($A$2:A1293,A1293)&gt;1,"Duplicate",""))</f>
        <v/>
      </c>
      <c r="K1293" s="36" t="str">
        <f aca="false">IF(Raw_Export!$A1293="","",IF(J1293="Duplicate","Duplicate",IF(OR(C1293="UNMAPPED",D1293="UNMAPPED"),"Unmapped",IF(F1293=0,"Blank qty",IF(F1293&lt;0,"Return","OK")))))</f>
        <v>Unmapped</v>
      </c>
      <c r="L1293" s="36" t="n">
        <f aca="false">IF(Raw_Export!$A1293="","",IF(OR(K1293="OK",K1293="Return"),1,0))</f>
        <v>0</v>
      </c>
      <c r="M1293" s="37" t="n">
        <f aca="false">IF(Raw_Export!$A1293="","",B1293-WEEKDAY(B1293,2)+1)</f>
        <v>46272</v>
      </c>
    </row>
    <row r="1294" customFormat="false" ht="15" hidden="false" customHeight="false" outlineLevel="0" collapsed="false">
      <c r="A1294" s="36" t="str">
        <f aca="false">IF(Raw_Export!$A1294="","",TRIM(Raw_Export!A1294))</f>
        <v>TXN-101269</v>
      </c>
      <c r="B1294" s="37" t="n">
        <f aca="false">IF(Raw_Export!$A1294="","",IF(ISNUMBER(Raw_Export!B1294),Raw_Export!B1294,IF(MID(TRIM(Raw_Export!B1294),5,1)="-",DATE(LEFT(TRIM(Raw_Export!B1294),4),MID(TRIM(Raw_Export!B1294),6,2),RIGHT(TRIM(Raw_Export!B1294),2)),DATE(RIGHT(TRIM(Raw_Export!B1294),4),MATCH(MID(TRIM(Raw_Export!B1294),4,3),{"Jan","Feb","Mar","Apr","May","Jun","Jul","Aug","Sep","Oct","Nov","Dec"},0),LEFT(TRIM(Raw_Export!B1294),2)))))</f>
        <v>46273</v>
      </c>
      <c r="C1294" s="36" t="str">
        <f aca="false">IF(Raw_Export!$A1294="","",IFERROR(VLOOKUP(LOWER(TRIM(Raw_Export!C1294)),Maps!$A$2:$B$20,2,FALSE()),"UNMAPPED"))</f>
        <v>Mombasa</v>
      </c>
      <c r="D1294" s="36" t="str">
        <f aca="false">IF(Raw_Export!$A1294="","",IFERROR(VLOOKUP(LOWER(TRIM(Raw_Export!D1294)),Maps!$G$2:$I$80,2,FALSE()),"UNMAPPED"))</f>
        <v>Deodorant 150ml</v>
      </c>
      <c r="E1294" s="36" t="str">
        <f aca="false">IF(Raw_Export!$A1294="","",IFERROR(VLOOKUP(LOWER(TRIM(Raw_Export!D1294)),Maps!$G$2:$I$80,3,FALSE()),"UNMAPPED"))</f>
        <v>Personal Care</v>
      </c>
      <c r="F1294" s="36" t="n">
        <f aca="false">IF(Raw_Export!$A1294="","",IFERROR(VALUE(TRIM(Raw_Export!E1294)),0))</f>
        <v>4</v>
      </c>
      <c r="G1294" s="38" t="n">
        <f aca="false">IF(Raw_Export!$A1294="","",IFERROR(VALUE(SUBSTITUTE(SUBSTITUTE(UPPER(TRIM(Raw_Export!F1294)),"KES",""),",","")),0))</f>
        <v>350</v>
      </c>
      <c r="H1294" s="38" t="n">
        <f aca="false">IF(Raw_Export!$A1294="","",F1294*G1294)</f>
        <v>1400</v>
      </c>
      <c r="I1294" s="36" t="str">
        <f aca="false">IF(Raw_Export!$A1294="","",IFERROR(VLOOKUP(LOWER(TRIM(Raw_Export!H1294)),Maps!$D$2:$E$12,2,FALSE()),"Other"))</f>
        <v>M-Pesa</v>
      </c>
      <c r="J1294" s="36" t="str">
        <f aca="false">IF(Raw_Export!$A1294="","",IF(COUNTIF($A$2:A1294,A1294)&gt;1,"Duplicate",""))</f>
        <v/>
      </c>
      <c r="K1294" s="36" t="str">
        <f aca="false">IF(Raw_Export!$A1294="","",IF(J1294="Duplicate","Duplicate",IF(OR(C1294="UNMAPPED",D1294="UNMAPPED"),"Unmapped",IF(F1294=0,"Blank qty",IF(F1294&lt;0,"Return","OK")))))</f>
        <v>OK</v>
      </c>
      <c r="L1294" s="36" t="n">
        <f aca="false">IF(Raw_Export!$A1294="","",IF(OR(K1294="OK",K1294="Return"),1,0))</f>
        <v>1</v>
      </c>
      <c r="M1294" s="37" t="n">
        <f aca="false">IF(Raw_Export!$A1294="","",B1294-WEEKDAY(B1294,2)+1)</f>
        <v>46272</v>
      </c>
    </row>
    <row r="1295" customFormat="false" ht="15" hidden="false" customHeight="false" outlineLevel="0" collapsed="false">
      <c r="A1295" s="36" t="str">
        <f aca="false">IF(Raw_Export!$A1295="","",TRIM(Raw_Export!A1295))</f>
        <v>TXN-101270</v>
      </c>
      <c r="B1295" s="37" t="n">
        <f aca="false">IF(Raw_Export!$A1295="","",IF(ISNUMBER(Raw_Export!B1295),Raw_Export!B1295,IF(MID(TRIM(Raw_Export!B1295),5,1)="-",DATE(LEFT(TRIM(Raw_Export!B1295),4),MID(TRIM(Raw_Export!B1295),6,2),RIGHT(TRIM(Raw_Export!B1295),2)),DATE(RIGHT(TRIM(Raw_Export!B1295),4),MATCH(MID(TRIM(Raw_Export!B1295),4,3),{"Jan","Feb","Mar","Apr","May","Jun","Jul","Aug","Sep","Oct","Nov","Dec"},0),LEFT(TRIM(Raw_Export!B1295),2)))))</f>
        <v>46273</v>
      </c>
      <c r="C1295" s="36" t="str">
        <f aca="false">IF(Raw_Export!$A1295="","",IFERROR(VLOOKUP(LOWER(TRIM(Raw_Export!C1295)),Maps!$A$2:$B$20,2,FALSE()),"UNMAPPED"))</f>
        <v>Mombasa</v>
      </c>
      <c r="D1295" s="36" t="str">
        <f aca="false">IF(Raw_Export!$A1295="","",IFERROR(VLOOKUP(LOWER(TRIM(Raw_Export!D1295)),Maps!$G$2:$I$80,2,FALSE()),"UNMAPPED"))</f>
        <v>Yoghurt 500ml</v>
      </c>
      <c r="E1295" s="36" t="str">
        <f aca="false">IF(Raw_Export!$A1295="","",IFERROR(VLOOKUP(LOWER(TRIM(Raw_Export!D1295)),Maps!$G$2:$I$80,3,FALSE()),"UNMAPPED"))</f>
        <v>Dairy &amp; Eggs</v>
      </c>
      <c r="F1295" s="36" t="n">
        <f aca="false">IF(Raw_Export!$A1295="","",IFERROR(VALUE(TRIM(Raw_Export!E1295)),0))</f>
        <v>1</v>
      </c>
      <c r="G1295" s="38" t="n">
        <f aca="false">IF(Raw_Export!$A1295="","",IFERROR(VALUE(SUBSTITUTE(SUBSTITUTE(UPPER(TRIM(Raw_Export!F1295)),"KES",""),",","")),0))</f>
        <v>108</v>
      </c>
      <c r="H1295" s="38" t="n">
        <f aca="false">IF(Raw_Export!$A1295="","",F1295*G1295)</f>
        <v>108</v>
      </c>
      <c r="I1295" s="36" t="str">
        <f aca="false">IF(Raw_Export!$A1295="","",IFERROR(VLOOKUP(LOWER(TRIM(Raw_Export!H1295)),Maps!$D$2:$E$12,2,FALSE()),"Other"))</f>
        <v>Cash</v>
      </c>
      <c r="J1295" s="36" t="str">
        <f aca="false">IF(Raw_Export!$A1295="","",IF(COUNTIF($A$2:A1295,A1295)&gt;1,"Duplicate",""))</f>
        <v/>
      </c>
      <c r="K1295" s="36" t="str">
        <f aca="false">IF(Raw_Export!$A1295="","",IF(J1295="Duplicate","Duplicate",IF(OR(C1295="UNMAPPED",D1295="UNMAPPED"),"Unmapped",IF(F1295=0,"Blank qty",IF(F1295&lt;0,"Return","OK")))))</f>
        <v>OK</v>
      </c>
      <c r="L1295" s="36" t="n">
        <f aca="false">IF(Raw_Export!$A1295="","",IF(OR(K1295="OK",K1295="Return"),1,0))</f>
        <v>1</v>
      </c>
      <c r="M1295" s="37" t="n">
        <f aca="false">IF(Raw_Export!$A1295="","",B1295-WEEKDAY(B1295,2)+1)</f>
        <v>46272</v>
      </c>
    </row>
    <row r="1296" customFormat="false" ht="15" hidden="false" customHeight="false" outlineLevel="0" collapsed="false">
      <c r="A1296" s="36" t="str">
        <f aca="false">IF(Raw_Export!$A1296="","",TRIM(Raw_Export!A1296))</f>
        <v>TXN-101271</v>
      </c>
      <c r="B1296" s="37" t="n">
        <f aca="false">IF(Raw_Export!$A1296="","",IF(ISNUMBER(Raw_Export!B1296),Raw_Export!B1296,IF(MID(TRIM(Raw_Export!B1296),5,1)="-",DATE(LEFT(TRIM(Raw_Export!B1296),4),MID(TRIM(Raw_Export!B1296),6,2),RIGHT(TRIM(Raw_Export!B1296),2)),DATE(RIGHT(TRIM(Raw_Export!B1296),4),MATCH(MID(TRIM(Raw_Export!B1296),4,3),{"Jan","Feb","Mar","Apr","May","Jun","Jul","Aug","Sep","Oct","Nov","Dec"},0),LEFT(TRIM(Raw_Export!B1296),2)))))</f>
        <v>46273</v>
      </c>
      <c r="C1296" s="36" t="str">
        <f aca="false">IF(Raw_Export!$A1296="","",IFERROR(VLOOKUP(LOWER(TRIM(Raw_Export!C1296)),Maps!$A$2:$B$20,2,FALSE()),"UNMAPPED"))</f>
        <v>Mombasa</v>
      </c>
      <c r="D1296" s="36" t="str">
        <f aca="false">IF(Raw_Export!$A1296="","",IFERROR(VLOOKUP(LOWER(TRIM(Raw_Export!D1296)),Maps!$G$2:$I$80,2,FALSE()),"UNMAPPED"))</f>
        <v>Bath Soap 175g</v>
      </c>
      <c r="E1296" s="36" t="str">
        <f aca="false">IF(Raw_Export!$A1296="","",IFERROR(VLOOKUP(LOWER(TRIM(Raw_Export!D1296)),Maps!$G$2:$I$80,3,FALSE()),"UNMAPPED"))</f>
        <v>Personal Care</v>
      </c>
      <c r="F1296" s="36" t="n">
        <f aca="false">IF(Raw_Export!$A1296="","",IFERROR(VALUE(TRIM(Raw_Export!E1296)),0))</f>
        <v>1</v>
      </c>
      <c r="G1296" s="38" t="n">
        <f aca="false">IF(Raw_Export!$A1296="","",IFERROR(VALUE(SUBSTITUTE(SUBSTITUTE(UPPER(TRIM(Raw_Export!F1296)),"KES",""),",","")),0))</f>
        <v>85</v>
      </c>
      <c r="H1296" s="38" t="n">
        <f aca="false">IF(Raw_Export!$A1296="","",F1296*G1296)</f>
        <v>85</v>
      </c>
      <c r="I1296" s="36" t="str">
        <f aca="false">IF(Raw_Export!$A1296="","",IFERROR(VLOOKUP(LOWER(TRIM(Raw_Export!H1296)),Maps!$D$2:$E$12,2,FALSE()),"Other"))</f>
        <v>M-Pesa</v>
      </c>
      <c r="J1296" s="36" t="str">
        <f aca="false">IF(Raw_Export!$A1296="","",IF(COUNTIF($A$2:A1296,A1296)&gt;1,"Duplicate",""))</f>
        <v/>
      </c>
      <c r="K1296" s="36" t="str">
        <f aca="false">IF(Raw_Export!$A1296="","",IF(J1296="Duplicate","Duplicate",IF(OR(C1296="UNMAPPED",D1296="UNMAPPED"),"Unmapped",IF(F1296=0,"Blank qty",IF(F1296&lt;0,"Return","OK")))))</f>
        <v>OK</v>
      </c>
      <c r="L1296" s="36" t="n">
        <f aca="false">IF(Raw_Export!$A1296="","",IF(OR(K1296="OK",K1296="Return"),1,0))</f>
        <v>1</v>
      </c>
      <c r="M1296" s="37" t="n">
        <f aca="false">IF(Raw_Export!$A1296="","",B1296-WEEKDAY(B1296,2)+1)</f>
        <v>46272</v>
      </c>
    </row>
    <row r="1297" customFormat="false" ht="15" hidden="false" customHeight="false" outlineLevel="0" collapsed="false">
      <c r="A1297" s="36" t="str">
        <f aca="false">IF(Raw_Export!$A1297="","",TRIM(Raw_Export!A1297))</f>
        <v>TXN-101272</v>
      </c>
      <c r="B1297" s="37" t="n">
        <f aca="false">IF(Raw_Export!$A1297="","",IF(ISNUMBER(Raw_Export!B1297),Raw_Export!B1297,IF(MID(TRIM(Raw_Export!B1297),5,1)="-",DATE(LEFT(TRIM(Raw_Export!B1297),4),MID(TRIM(Raw_Export!B1297),6,2),RIGHT(TRIM(Raw_Export!B1297),2)),DATE(RIGHT(TRIM(Raw_Export!B1297),4),MATCH(MID(TRIM(Raw_Export!B1297),4,3),{"Jan","Feb","Mar","Apr","May","Jun","Jul","Aug","Sep","Oct","Nov","Dec"},0),LEFT(TRIM(Raw_Export!B1297),2)))))</f>
        <v>46273</v>
      </c>
      <c r="C1297" s="36" t="str">
        <f aca="false">IF(Raw_Export!$A1297="","",IFERROR(VLOOKUP(LOWER(TRIM(Raw_Export!C1297)),Maps!$A$2:$B$20,2,FALSE()),"UNMAPPED"))</f>
        <v>Mombasa</v>
      </c>
      <c r="D1297" s="36" t="str">
        <f aca="false">IF(Raw_Export!$A1297="","",IFERROR(VLOOKUP(LOWER(TRIM(Raw_Export!D1297)),Maps!$G$2:$I$80,2,FALSE()),"UNMAPPED"))</f>
        <v>Bottled Water 1.5L</v>
      </c>
      <c r="E1297" s="36" t="str">
        <f aca="false">IF(Raw_Export!$A1297="","",IFERROR(VLOOKUP(LOWER(TRIM(Raw_Export!D1297)),Maps!$G$2:$I$80,3,FALSE()),"UNMAPPED"))</f>
        <v>Beverages</v>
      </c>
      <c r="F1297" s="36" t="n">
        <f aca="false">IF(Raw_Export!$A1297="","",IFERROR(VALUE(TRIM(Raw_Export!E1297)),0))</f>
        <v>4</v>
      </c>
      <c r="G1297" s="38" t="n">
        <f aca="false">IF(Raw_Export!$A1297="","",IFERROR(VALUE(SUBSTITUTE(SUBSTITUTE(UPPER(TRIM(Raw_Export!F1297)),"KES",""),",","")),0))</f>
        <v>90</v>
      </c>
      <c r="H1297" s="38" t="n">
        <f aca="false">IF(Raw_Export!$A1297="","",F1297*G1297)</f>
        <v>360</v>
      </c>
      <c r="I1297" s="36" t="str">
        <f aca="false">IF(Raw_Export!$A1297="","",IFERROR(VLOOKUP(LOWER(TRIM(Raw_Export!H1297)),Maps!$D$2:$E$12,2,FALSE()),"Other"))</f>
        <v>M-Pesa</v>
      </c>
      <c r="J1297" s="36" t="str">
        <f aca="false">IF(Raw_Export!$A1297="","",IF(COUNTIF($A$2:A1297,A1297)&gt;1,"Duplicate",""))</f>
        <v/>
      </c>
      <c r="K1297" s="36" t="str">
        <f aca="false">IF(Raw_Export!$A1297="","",IF(J1297="Duplicate","Duplicate",IF(OR(C1297="UNMAPPED",D1297="UNMAPPED"),"Unmapped",IF(F1297=0,"Blank qty",IF(F1297&lt;0,"Return","OK")))))</f>
        <v>OK</v>
      </c>
      <c r="L1297" s="36" t="n">
        <f aca="false">IF(Raw_Export!$A1297="","",IF(OR(K1297="OK",K1297="Return"),1,0))</f>
        <v>1</v>
      </c>
      <c r="M1297" s="37" t="n">
        <f aca="false">IF(Raw_Export!$A1297="","",B1297-WEEKDAY(B1297,2)+1)</f>
        <v>46272</v>
      </c>
    </row>
    <row r="1298" customFormat="false" ht="15" hidden="false" customHeight="false" outlineLevel="0" collapsed="false">
      <c r="A1298" s="36" t="str">
        <f aca="false">IF(Raw_Export!$A1298="","",TRIM(Raw_Export!A1298))</f>
        <v>TXN-101273</v>
      </c>
      <c r="B1298" s="37" t="n">
        <f aca="false">IF(Raw_Export!$A1298="","",IF(ISNUMBER(Raw_Export!B1298),Raw_Export!B1298,IF(MID(TRIM(Raw_Export!B1298),5,1)="-",DATE(LEFT(TRIM(Raw_Export!B1298),4),MID(TRIM(Raw_Export!B1298),6,2),RIGHT(TRIM(Raw_Export!B1298),2)),DATE(RIGHT(TRIM(Raw_Export!B1298),4),MATCH(MID(TRIM(Raw_Export!B1298),4,3),{"Jan","Feb","Mar","Apr","May","Jun","Jul","Aug","Sep","Oct","Nov","Dec"},0),LEFT(TRIM(Raw_Export!B1298),2)))))</f>
        <v>46273</v>
      </c>
      <c r="C1298" s="36" t="str">
        <f aca="false">IF(Raw_Export!$A1298="","",IFERROR(VLOOKUP(LOWER(TRIM(Raw_Export!C1298)),Maps!$A$2:$B$20,2,FALSE()),"UNMAPPED"))</f>
        <v>Mombasa</v>
      </c>
      <c r="D1298" s="36" t="str">
        <f aca="false">IF(Raw_Export!$A1298="","",IFERROR(VLOOKUP(LOWER(TRIM(Raw_Export!D1298)),Maps!$G$2:$I$80,2,FALSE()),"UNMAPPED"))</f>
        <v>Soda 500ml</v>
      </c>
      <c r="E1298" s="36" t="str">
        <f aca="false">IF(Raw_Export!$A1298="","",IFERROR(VLOOKUP(LOWER(TRIM(Raw_Export!D1298)),Maps!$G$2:$I$80,3,FALSE()),"UNMAPPED"))</f>
        <v>Beverages</v>
      </c>
      <c r="F1298" s="36" t="n">
        <f aca="false">IF(Raw_Export!$A1298="","",IFERROR(VALUE(TRIM(Raw_Export!E1298)),0))</f>
        <v>3</v>
      </c>
      <c r="G1298" s="38" t="n">
        <f aca="false">IF(Raw_Export!$A1298="","",IFERROR(VALUE(SUBSTITUTE(SUBSTITUTE(UPPER(TRIM(Raw_Export!F1298)),"KES",""),",","")),0))</f>
        <v>60</v>
      </c>
      <c r="H1298" s="38" t="n">
        <f aca="false">IF(Raw_Export!$A1298="","",F1298*G1298)</f>
        <v>180</v>
      </c>
      <c r="I1298" s="36" t="str">
        <f aca="false">IF(Raw_Export!$A1298="","",IFERROR(VLOOKUP(LOWER(TRIM(Raw_Export!H1298)),Maps!$D$2:$E$12,2,FALSE()),"Other"))</f>
        <v>Cash</v>
      </c>
      <c r="J1298" s="36" t="str">
        <f aca="false">IF(Raw_Export!$A1298="","",IF(COUNTIF($A$2:A1298,A1298)&gt;1,"Duplicate",""))</f>
        <v/>
      </c>
      <c r="K1298" s="36" t="str">
        <f aca="false">IF(Raw_Export!$A1298="","",IF(J1298="Duplicate","Duplicate",IF(OR(C1298="UNMAPPED",D1298="UNMAPPED"),"Unmapped",IF(F1298=0,"Blank qty",IF(F1298&lt;0,"Return","OK")))))</f>
        <v>OK</v>
      </c>
      <c r="L1298" s="36" t="n">
        <f aca="false">IF(Raw_Export!$A1298="","",IF(OR(K1298="OK",K1298="Return"),1,0))</f>
        <v>1</v>
      </c>
      <c r="M1298" s="37" t="n">
        <f aca="false">IF(Raw_Export!$A1298="","",B1298-WEEKDAY(B1298,2)+1)</f>
        <v>46272</v>
      </c>
    </row>
    <row r="1299" customFormat="false" ht="15" hidden="false" customHeight="false" outlineLevel="0" collapsed="false">
      <c r="A1299" s="36" t="str">
        <f aca="false">IF(Raw_Export!$A1299="","",TRIM(Raw_Export!A1299))</f>
        <v>TXN-101274</v>
      </c>
      <c r="B1299" s="37" t="n">
        <f aca="false">IF(Raw_Export!$A1299="","",IF(ISNUMBER(Raw_Export!B1299),Raw_Export!B1299,IF(MID(TRIM(Raw_Export!B1299),5,1)="-",DATE(LEFT(TRIM(Raw_Export!B1299),4),MID(TRIM(Raw_Export!B1299),6,2),RIGHT(TRIM(Raw_Export!B1299),2)),DATE(RIGHT(TRIM(Raw_Export!B1299),4),MATCH(MID(TRIM(Raw_Export!B1299),4,3),{"Jan","Feb","Mar","Apr","May","Jun","Jul","Aug","Sep","Oct","Nov","Dec"},0),LEFT(TRIM(Raw_Export!B1299),2)))))</f>
        <v>46273</v>
      </c>
      <c r="C1299" s="36" t="str">
        <f aca="false">IF(Raw_Export!$A1299="","",IFERROR(VLOOKUP(LOWER(TRIM(Raw_Export!C1299)),Maps!$A$2:$B$20,2,FALSE()),"UNMAPPED"))</f>
        <v>Mombasa</v>
      </c>
      <c r="D1299" s="36" t="str">
        <f aca="false">IF(Raw_Export!$A1299="","",IFERROR(VLOOKUP(LOWER(TRIM(Raw_Export!D1299)),Maps!$G$2:$I$80,2,FALSE()),"UNMAPPED"))</f>
        <v>Unga Pembe 2kg</v>
      </c>
      <c r="E1299" s="36" t="str">
        <f aca="false">IF(Raw_Export!$A1299="","",IFERROR(VLOOKUP(LOWER(TRIM(Raw_Export!D1299)),Maps!$G$2:$I$80,3,FALSE()),"UNMAPPED"))</f>
        <v>Staples</v>
      </c>
      <c r="F1299" s="36" t="n">
        <f aca="false">IF(Raw_Export!$A1299="","",IFERROR(VALUE(TRIM(Raw_Export!E1299)),0))</f>
        <v>2</v>
      </c>
      <c r="G1299" s="38" t="n">
        <f aca="false">IF(Raw_Export!$A1299="","",IFERROR(VALUE(SUBSTITUTE(SUBSTITUTE(UPPER(TRIM(Raw_Export!F1299)),"KES",""),",","")),0))</f>
        <v>190</v>
      </c>
      <c r="H1299" s="38" t="n">
        <f aca="false">IF(Raw_Export!$A1299="","",F1299*G1299)</f>
        <v>380</v>
      </c>
      <c r="I1299" s="36" t="str">
        <f aca="false">IF(Raw_Export!$A1299="","",IFERROR(VLOOKUP(LOWER(TRIM(Raw_Export!H1299)),Maps!$D$2:$E$12,2,FALSE()),"Other"))</f>
        <v>Cash</v>
      </c>
      <c r="J1299" s="36" t="str">
        <f aca="false">IF(Raw_Export!$A1299="","",IF(COUNTIF($A$2:A1299,A1299)&gt;1,"Duplicate",""))</f>
        <v/>
      </c>
      <c r="K1299" s="36" t="str">
        <f aca="false">IF(Raw_Export!$A1299="","",IF(J1299="Duplicate","Duplicate",IF(OR(C1299="UNMAPPED",D1299="UNMAPPED"),"Unmapped",IF(F1299=0,"Blank qty",IF(F1299&lt;0,"Return","OK")))))</f>
        <v>OK</v>
      </c>
      <c r="L1299" s="36" t="n">
        <f aca="false">IF(Raw_Export!$A1299="","",IF(OR(K1299="OK",K1299="Return"),1,0))</f>
        <v>1</v>
      </c>
      <c r="M1299" s="37" t="n">
        <f aca="false">IF(Raw_Export!$A1299="","",B1299-WEEKDAY(B1299,2)+1)</f>
        <v>46272</v>
      </c>
    </row>
    <row r="1300" customFormat="false" ht="15" hidden="false" customHeight="false" outlineLevel="0" collapsed="false">
      <c r="A1300" s="36" t="str">
        <f aca="false">IF(Raw_Export!$A1300="","",TRIM(Raw_Export!A1300))</f>
        <v>TXN-101275</v>
      </c>
      <c r="B1300" s="37" t="n">
        <f aca="false">IF(Raw_Export!$A1300="","",IF(ISNUMBER(Raw_Export!B1300),Raw_Export!B1300,IF(MID(TRIM(Raw_Export!B1300),5,1)="-",DATE(LEFT(TRIM(Raw_Export!B1300),4),MID(TRIM(Raw_Export!B1300),6,2),RIGHT(TRIM(Raw_Export!B1300),2)),DATE(RIGHT(TRIM(Raw_Export!B1300),4),MATCH(MID(TRIM(Raw_Export!B1300),4,3),{"Jan","Feb","Mar","Apr","May","Jun","Jul","Aug","Sep","Oct","Nov","Dec"},0),LEFT(TRIM(Raw_Export!B1300),2)))))</f>
        <v>46273</v>
      </c>
      <c r="C1300" s="36" t="str">
        <f aca="false">IF(Raw_Export!$A1300="","",IFERROR(VLOOKUP(LOWER(TRIM(Raw_Export!C1300)),Maps!$A$2:$B$20,2,FALSE()),"UNMAPPED"))</f>
        <v>Mombasa</v>
      </c>
      <c r="D1300" s="36" t="str">
        <f aca="false">IF(Raw_Export!$A1300="","",IFERROR(VLOOKUP(LOWER(TRIM(Raw_Export!D1300)),Maps!$G$2:$I$80,2,FALSE()),"UNMAPPED"))</f>
        <v>Bath Soap 175g</v>
      </c>
      <c r="E1300" s="36" t="str">
        <f aca="false">IF(Raw_Export!$A1300="","",IFERROR(VLOOKUP(LOWER(TRIM(Raw_Export!D1300)),Maps!$G$2:$I$80,3,FALSE()),"UNMAPPED"))</f>
        <v>Personal Care</v>
      </c>
      <c r="F1300" s="36" t="n">
        <f aca="false">IF(Raw_Export!$A1300="","",IFERROR(VALUE(TRIM(Raw_Export!E1300)),0))</f>
        <v>6</v>
      </c>
      <c r="G1300" s="38" t="n">
        <f aca="false">IF(Raw_Export!$A1300="","",IFERROR(VALUE(SUBSTITUTE(SUBSTITUTE(UPPER(TRIM(Raw_Export!F1300)),"KES",""),",","")),0))</f>
        <v>85</v>
      </c>
      <c r="H1300" s="38" t="n">
        <f aca="false">IF(Raw_Export!$A1300="","",F1300*G1300)</f>
        <v>510</v>
      </c>
      <c r="I1300" s="36" t="str">
        <f aca="false">IF(Raw_Export!$A1300="","",IFERROR(VLOOKUP(LOWER(TRIM(Raw_Export!H1300)),Maps!$D$2:$E$12,2,FALSE()),"Other"))</f>
        <v>Cash</v>
      </c>
      <c r="J1300" s="36" t="str">
        <f aca="false">IF(Raw_Export!$A1300="","",IF(COUNTIF($A$2:A1300,A1300)&gt;1,"Duplicate",""))</f>
        <v/>
      </c>
      <c r="K1300" s="36" t="str">
        <f aca="false">IF(Raw_Export!$A1300="","",IF(J1300="Duplicate","Duplicate",IF(OR(C1300="UNMAPPED",D1300="UNMAPPED"),"Unmapped",IF(F1300=0,"Blank qty",IF(F1300&lt;0,"Return","OK")))))</f>
        <v>OK</v>
      </c>
      <c r="L1300" s="36" t="n">
        <f aca="false">IF(Raw_Export!$A1300="","",IF(OR(K1300="OK",K1300="Return"),1,0))</f>
        <v>1</v>
      </c>
      <c r="M1300" s="37" t="n">
        <f aca="false">IF(Raw_Export!$A1300="","",B1300-WEEKDAY(B1300,2)+1)</f>
        <v>46272</v>
      </c>
    </row>
    <row r="1301" customFormat="false" ht="15" hidden="false" customHeight="false" outlineLevel="0" collapsed="false">
      <c r="A1301" s="36" t="str">
        <f aca="false">IF(Raw_Export!$A1301="","",TRIM(Raw_Export!A1301))</f>
        <v>TXN-101276</v>
      </c>
      <c r="B1301" s="37" t="n">
        <f aca="false">IF(Raw_Export!$A1301="","",IF(ISNUMBER(Raw_Export!B1301),Raw_Export!B1301,IF(MID(TRIM(Raw_Export!B1301),5,1)="-",DATE(LEFT(TRIM(Raw_Export!B1301),4),MID(TRIM(Raw_Export!B1301),6,2),RIGHT(TRIM(Raw_Export!B1301),2)),DATE(RIGHT(TRIM(Raw_Export!B1301),4),MATCH(MID(TRIM(Raw_Export!B1301),4,3),{"Jan","Feb","Mar","Apr","May","Jun","Jul","Aug","Sep","Oct","Nov","Dec"},0),LEFT(TRIM(Raw_Export!B1301),2)))))</f>
        <v>46273</v>
      </c>
      <c r="C1301" s="36" t="str">
        <f aca="false">IF(Raw_Export!$A1301="","",IFERROR(VLOOKUP(LOWER(TRIM(Raw_Export!C1301)),Maps!$A$2:$B$20,2,FALSE()),"UNMAPPED"))</f>
        <v>Mombasa</v>
      </c>
      <c r="D1301" s="36" t="str">
        <f aca="false">IF(Raw_Export!$A1301="","",IFERROR(VLOOKUP(LOWER(TRIM(Raw_Export!D1301)),Maps!$G$2:$I$80,2,FALSE()),"UNMAPPED"))</f>
        <v>Sugar 2kg</v>
      </c>
      <c r="E1301" s="36" t="str">
        <f aca="false">IF(Raw_Export!$A1301="","",IFERROR(VLOOKUP(LOWER(TRIM(Raw_Export!D1301)),Maps!$G$2:$I$80,3,FALSE()),"UNMAPPED"))</f>
        <v>Staples</v>
      </c>
      <c r="F1301" s="36" t="n">
        <f aca="false">IF(Raw_Export!$A1301="","",IFERROR(VALUE(TRIM(Raw_Export!E1301)),0))</f>
        <v>3</v>
      </c>
      <c r="G1301" s="38" t="n">
        <f aca="false">IF(Raw_Export!$A1301="","",IFERROR(VALUE(SUBSTITUTE(SUBSTITUTE(UPPER(TRIM(Raw_Export!F1301)),"KES",""),",","")),0))</f>
        <v>297</v>
      </c>
      <c r="H1301" s="38" t="n">
        <f aca="false">IF(Raw_Export!$A1301="","",F1301*G1301)</f>
        <v>891</v>
      </c>
      <c r="I1301" s="36" t="str">
        <f aca="false">IF(Raw_Export!$A1301="","",IFERROR(VLOOKUP(LOWER(TRIM(Raw_Export!H1301)),Maps!$D$2:$E$12,2,FALSE()),"Other"))</f>
        <v>Cash</v>
      </c>
      <c r="J1301" s="36" t="str">
        <f aca="false">IF(Raw_Export!$A1301="","",IF(COUNTIF($A$2:A1301,A1301)&gt;1,"Duplicate",""))</f>
        <v/>
      </c>
      <c r="K1301" s="36" t="str">
        <f aca="false">IF(Raw_Export!$A1301="","",IF(J1301="Duplicate","Duplicate",IF(OR(C1301="UNMAPPED",D1301="UNMAPPED"),"Unmapped",IF(F1301=0,"Blank qty",IF(F1301&lt;0,"Return","OK")))))</f>
        <v>OK</v>
      </c>
      <c r="L1301" s="36" t="n">
        <f aca="false">IF(Raw_Export!$A1301="","",IF(OR(K1301="OK",K1301="Return"),1,0))</f>
        <v>1</v>
      </c>
      <c r="M1301" s="37" t="n">
        <f aca="false">IF(Raw_Export!$A1301="","",B1301-WEEKDAY(B1301,2)+1)</f>
        <v>46272</v>
      </c>
    </row>
    <row r="1302" customFormat="false" ht="15" hidden="false" customHeight="false" outlineLevel="0" collapsed="false">
      <c r="A1302" s="36" t="str">
        <f aca="false">IF(Raw_Export!$A1302="","",TRIM(Raw_Export!A1302))</f>
        <v>TXN-101277</v>
      </c>
      <c r="B1302" s="37" t="n">
        <f aca="false">IF(Raw_Export!$A1302="","",IF(ISNUMBER(Raw_Export!B1302),Raw_Export!B1302,IF(MID(TRIM(Raw_Export!B1302),5,1)="-",DATE(LEFT(TRIM(Raw_Export!B1302),4),MID(TRIM(Raw_Export!B1302),6,2),RIGHT(TRIM(Raw_Export!B1302),2)),DATE(RIGHT(TRIM(Raw_Export!B1302),4),MATCH(MID(TRIM(Raw_Export!B1302),4,3),{"Jan","Feb","Mar","Apr","May","Jun","Jul","Aug","Sep","Oct","Nov","Dec"},0),LEFT(TRIM(Raw_Export!B1302),2)))))</f>
        <v>46273</v>
      </c>
      <c r="C1302" s="36" t="str">
        <f aca="false">IF(Raw_Export!$A1302="","",IFERROR(VLOOKUP(LOWER(TRIM(Raw_Export!C1302)),Maps!$A$2:$B$20,2,FALSE()),"UNMAPPED"))</f>
        <v>Mombasa</v>
      </c>
      <c r="D1302" s="36" t="str">
        <f aca="false">IF(Raw_Export!$A1302="","",IFERROR(VLOOKUP(LOWER(TRIM(Raw_Export!D1302)),Maps!$G$2:$I$80,2,FALSE()),"UNMAPPED"))</f>
        <v>Soda 500ml</v>
      </c>
      <c r="E1302" s="36" t="str">
        <f aca="false">IF(Raw_Export!$A1302="","",IFERROR(VLOOKUP(LOWER(TRIM(Raw_Export!D1302)),Maps!$G$2:$I$80,3,FALSE()),"UNMAPPED"))</f>
        <v>Beverages</v>
      </c>
      <c r="F1302" s="36" t="n">
        <f aca="false">IF(Raw_Export!$A1302="","",IFERROR(VALUE(TRIM(Raw_Export!E1302)),0))</f>
        <v>4</v>
      </c>
      <c r="G1302" s="38" t="n">
        <f aca="false">IF(Raw_Export!$A1302="","",IFERROR(VALUE(SUBSTITUTE(SUBSTITUTE(UPPER(TRIM(Raw_Export!F1302)),"KES",""),",","")),0))</f>
        <v>60</v>
      </c>
      <c r="H1302" s="38" t="n">
        <f aca="false">IF(Raw_Export!$A1302="","",F1302*G1302)</f>
        <v>240</v>
      </c>
      <c r="I1302" s="36" t="str">
        <f aca="false">IF(Raw_Export!$A1302="","",IFERROR(VLOOKUP(LOWER(TRIM(Raw_Export!H1302)),Maps!$D$2:$E$12,2,FALSE()),"Other"))</f>
        <v>Cash</v>
      </c>
      <c r="J1302" s="36" t="str">
        <f aca="false">IF(Raw_Export!$A1302="","",IF(COUNTIF($A$2:A1302,A1302)&gt;1,"Duplicate",""))</f>
        <v/>
      </c>
      <c r="K1302" s="36" t="str">
        <f aca="false">IF(Raw_Export!$A1302="","",IF(J1302="Duplicate","Duplicate",IF(OR(C1302="UNMAPPED",D1302="UNMAPPED"),"Unmapped",IF(F1302=0,"Blank qty",IF(F1302&lt;0,"Return","OK")))))</f>
        <v>OK</v>
      </c>
      <c r="L1302" s="36" t="n">
        <f aca="false">IF(Raw_Export!$A1302="","",IF(OR(K1302="OK",K1302="Return"),1,0))</f>
        <v>1</v>
      </c>
      <c r="M1302" s="37" t="n">
        <f aca="false">IF(Raw_Export!$A1302="","",B1302-WEEKDAY(B1302,2)+1)</f>
        <v>46272</v>
      </c>
    </row>
    <row r="1303" customFormat="false" ht="15" hidden="false" customHeight="false" outlineLevel="0" collapsed="false">
      <c r="A1303" s="36" t="str">
        <f aca="false">IF(Raw_Export!$A1303="","",TRIM(Raw_Export!A1303))</f>
        <v>TXN-101278</v>
      </c>
      <c r="B1303" s="37" t="n">
        <f aca="false">IF(Raw_Export!$A1303="","",IF(ISNUMBER(Raw_Export!B1303),Raw_Export!B1303,IF(MID(TRIM(Raw_Export!B1303),5,1)="-",DATE(LEFT(TRIM(Raw_Export!B1303),4),MID(TRIM(Raw_Export!B1303),6,2),RIGHT(TRIM(Raw_Export!B1303),2)),DATE(RIGHT(TRIM(Raw_Export!B1303),4),MATCH(MID(TRIM(Raw_Export!B1303),4,3),{"Jan","Feb","Mar","Apr","May","Jun","Jul","Aug","Sep","Oct","Nov","Dec"},0),LEFT(TRIM(Raw_Export!B1303),2)))))</f>
        <v>46273</v>
      </c>
      <c r="C1303" s="36" t="str">
        <f aca="false">IF(Raw_Export!$A1303="","",IFERROR(VLOOKUP(LOWER(TRIM(Raw_Export!C1303)),Maps!$A$2:$B$20,2,FALSE()),"UNMAPPED"))</f>
        <v>Mombasa</v>
      </c>
      <c r="D1303" s="36" t="str">
        <f aca="false">IF(Raw_Export!$A1303="","",IFERROR(VLOOKUP(LOWER(TRIM(Raw_Export!D1303)),Maps!$G$2:$I$80,2,FALSE()),"UNMAPPED"))</f>
        <v>Peanuts 250g</v>
      </c>
      <c r="E1303" s="36" t="str">
        <f aca="false">IF(Raw_Export!$A1303="","",IFERROR(VLOOKUP(LOWER(TRIM(Raw_Export!D1303)),Maps!$G$2:$I$80,3,FALSE()),"UNMAPPED"))</f>
        <v>Snacks</v>
      </c>
      <c r="F1303" s="36" t="n">
        <f aca="false">IF(Raw_Export!$A1303="","",IFERROR(VALUE(TRIM(Raw_Export!E1303)),0))</f>
        <v>1</v>
      </c>
      <c r="G1303" s="38" t="n">
        <f aca="false">IF(Raw_Export!$A1303="","",IFERROR(VALUE(SUBSTITUTE(SUBSTITUTE(UPPER(TRIM(Raw_Export!F1303)),"KES",""),",","")),0))</f>
        <v>130</v>
      </c>
      <c r="H1303" s="38" t="n">
        <f aca="false">IF(Raw_Export!$A1303="","",F1303*G1303)</f>
        <v>130</v>
      </c>
      <c r="I1303" s="36" t="str">
        <f aca="false">IF(Raw_Export!$A1303="","",IFERROR(VLOOKUP(LOWER(TRIM(Raw_Export!H1303)),Maps!$D$2:$E$12,2,FALSE()),"Other"))</f>
        <v>Cash</v>
      </c>
      <c r="J1303" s="36" t="str">
        <f aca="false">IF(Raw_Export!$A1303="","",IF(COUNTIF($A$2:A1303,A1303)&gt;1,"Duplicate",""))</f>
        <v/>
      </c>
      <c r="K1303" s="36" t="str">
        <f aca="false">IF(Raw_Export!$A1303="","",IF(J1303="Duplicate","Duplicate",IF(OR(C1303="UNMAPPED",D1303="UNMAPPED"),"Unmapped",IF(F1303=0,"Blank qty",IF(F1303&lt;0,"Return","OK")))))</f>
        <v>OK</v>
      </c>
      <c r="L1303" s="36" t="n">
        <f aca="false">IF(Raw_Export!$A1303="","",IF(OR(K1303="OK",K1303="Return"),1,0))</f>
        <v>1</v>
      </c>
      <c r="M1303" s="37" t="n">
        <f aca="false">IF(Raw_Export!$A1303="","",B1303-WEEKDAY(B1303,2)+1)</f>
        <v>46272</v>
      </c>
    </row>
    <row r="1304" customFormat="false" ht="15" hidden="false" customHeight="false" outlineLevel="0" collapsed="false">
      <c r="A1304" s="36" t="str">
        <f aca="false">IF(Raw_Export!$A1304="","",TRIM(Raw_Export!A1304))</f>
        <v>TXN-101279</v>
      </c>
      <c r="B1304" s="37" t="n">
        <f aca="false">IF(Raw_Export!$A1304="","",IF(ISNUMBER(Raw_Export!B1304),Raw_Export!B1304,IF(MID(TRIM(Raw_Export!B1304),5,1)="-",DATE(LEFT(TRIM(Raw_Export!B1304),4),MID(TRIM(Raw_Export!B1304),6,2),RIGHT(TRIM(Raw_Export!B1304),2)),DATE(RIGHT(TRIM(Raw_Export!B1304),4),MATCH(MID(TRIM(Raw_Export!B1304),4,3),{"Jan","Feb","Mar","Apr","May","Jun","Jul","Aug","Sep","Oct","Nov","Dec"},0),LEFT(TRIM(Raw_Export!B1304),2)))))</f>
        <v>46273</v>
      </c>
      <c r="C1304" s="36" t="str">
        <f aca="false">IF(Raw_Export!$A1304="","",IFERROR(VLOOKUP(LOWER(TRIM(Raw_Export!C1304)),Maps!$A$2:$B$20,2,FALSE()),"UNMAPPED"))</f>
        <v>Mombasa</v>
      </c>
      <c r="D1304" s="36" t="str">
        <f aca="false">IF(Raw_Export!$A1304="","",IFERROR(VLOOKUP(LOWER(TRIM(Raw_Export!D1304)),Maps!$G$2:$I$80,2,FALSE()),"UNMAPPED"))</f>
        <v>Tea Leaves 250g</v>
      </c>
      <c r="E1304" s="36" t="str">
        <f aca="false">IF(Raw_Export!$A1304="","",IFERROR(VLOOKUP(LOWER(TRIM(Raw_Export!D1304)),Maps!$G$2:$I$80,3,FALSE()),"UNMAPPED"))</f>
        <v>Beverages</v>
      </c>
      <c r="F1304" s="36" t="n">
        <f aca="false">IF(Raw_Export!$A1304="","",IFERROR(VALUE(TRIM(Raw_Export!E1304)),0))</f>
        <v>6</v>
      </c>
      <c r="G1304" s="38" t="n">
        <f aca="false">IF(Raw_Export!$A1304="","",IFERROR(VALUE(SUBSTITUTE(SUBSTITUTE(UPPER(TRIM(Raw_Export!F1304)),"KES",""),",","")),0))</f>
        <v>150</v>
      </c>
      <c r="H1304" s="38" t="n">
        <f aca="false">IF(Raw_Export!$A1304="","",F1304*G1304)</f>
        <v>900</v>
      </c>
      <c r="I1304" s="36" t="str">
        <f aca="false">IF(Raw_Export!$A1304="","",IFERROR(VLOOKUP(LOWER(TRIM(Raw_Export!H1304)),Maps!$D$2:$E$12,2,FALSE()),"Other"))</f>
        <v>M-Pesa</v>
      </c>
      <c r="J1304" s="36" t="str">
        <f aca="false">IF(Raw_Export!$A1304="","",IF(COUNTIF($A$2:A1304,A1304)&gt;1,"Duplicate",""))</f>
        <v/>
      </c>
      <c r="K1304" s="36" t="str">
        <f aca="false">IF(Raw_Export!$A1304="","",IF(J1304="Duplicate","Duplicate",IF(OR(C1304="UNMAPPED",D1304="UNMAPPED"),"Unmapped",IF(F1304=0,"Blank qty",IF(F1304&lt;0,"Return","OK")))))</f>
        <v>OK</v>
      </c>
      <c r="L1304" s="36" t="n">
        <f aca="false">IF(Raw_Export!$A1304="","",IF(OR(K1304="OK",K1304="Return"),1,0))</f>
        <v>1</v>
      </c>
      <c r="M1304" s="37" t="n">
        <f aca="false">IF(Raw_Export!$A1304="","",B1304-WEEKDAY(B1304,2)+1)</f>
        <v>46272</v>
      </c>
    </row>
    <row r="1305" customFormat="false" ht="15" hidden="false" customHeight="false" outlineLevel="0" collapsed="false">
      <c r="A1305" s="36" t="str">
        <f aca="false">IF(Raw_Export!$A1305="","",TRIM(Raw_Export!A1305))</f>
        <v>TXN-101280</v>
      </c>
      <c r="B1305" s="37" t="n">
        <f aca="false">IF(Raw_Export!$A1305="","",IF(ISNUMBER(Raw_Export!B1305),Raw_Export!B1305,IF(MID(TRIM(Raw_Export!B1305),5,1)="-",DATE(LEFT(TRIM(Raw_Export!B1305),4),MID(TRIM(Raw_Export!B1305),6,2),RIGHT(TRIM(Raw_Export!B1305),2)),DATE(RIGHT(TRIM(Raw_Export!B1305),4),MATCH(MID(TRIM(Raw_Export!B1305),4,3),{"Jan","Feb","Mar","Apr","May","Jun","Jul","Aug","Sep","Oct","Nov","Dec"},0),LEFT(TRIM(Raw_Export!B1305),2)))))</f>
        <v>46273</v>
      </c>
      <c r="C1305" s="36" t="str">
        <f aca="false">IF(Raw_Export!$A1305="","",IFERROR(VLOOKUP(LOWER(TRIM(Raw_Export!C1305)),Maps!$A$2:$B$20,2,FALSE()),"UNMAPPED"))</f>
        <v>Mombasa</v>
      </c>
      <c r="D1305" s="36" t="str">
        <f aca="false">IF(Raw_Export!$A1305="","",IFERROR(VLOOKUP(LOWER(TRIM(Raw_Export!D1305)),Maps!$G$2:$I$80,2,FALSE()),"UNMAPPED"))</f>
        <v>Deodorant 150ml</v>
      </c>
      <c r="E1305" s="36" t="str">
        <f aca="false">IF(Raw_Export!$A1305="","",IFERROR(VLOOKUP(LOWER(TRIM(Raw_Export!D1305)),Maps!$G$2:$I$80,3,FALSE()),"UNMAPPED"))</f>
        <v>Personal Care</v>
      </c>
      <c r="F1305" s="36" t="n">
        <f aca="false">IF(Raw_Export!$A1305="","",IFERROR(VALUE(TRIM(Raw_Export!E1305)),0))</f>
        <v>1</v>
      </c>
      <c r="G1305" s="38" t="n">
        <f aca="false">IF(Raw_Export!$A1305="","",IFERROR(VALUE(SUBSTITUTE(SUBSTITUTE(UPPER(TRIM(Raw_Export!F1305)),"KES",""),",","")),0))</f>
        <v>350</v>
      </c>
      <c r="H1305" s="38" t="n">
        <f aca="false">IF(Raw_Export!$A1305="","",F1305*G1305)</f>
        <v>350</v>
      </c>
      <c r="I1305" s="36" t="str">
        <f aca="false">IF(Raw_Export!$A1305="","",IFERROR(VLOOKUP(LOWER(TRIM(Raw_Export!H1305)),Maps!$D$2:$E$12,2,FALSE()),"Other"))</f>
        <v>M-Pesa</v>
      </c>
      <c r="J1305" s="36" t="str">
        <f aca="false">IF(Raw_Export!$A1305="","",IF(COUNTIF($A$2:A1305,A1305)&gt;1,"Duplicate",""))</f>
        <v/>
      </c>
      <c r="K1305" s="36" t="str">
        <f aca="false">IF(Raw_Export!$A1305="","",IF(J1305="Duplicate","Duplicate",IF(OR(C1305="UNMAPPED",D1305="UNMAPPED"),"Unmapped",IF(F1305=0,"Blank qty",IF(F1305&lt;0,"Return","OK")))))</f>
        <v>OK</v>
      </c>
      <c r="L1305" s="36" t="n">
        <f aca="false">IF(Raw_Export!$A1305="","",IF(OR(K1305="OK",K1305="Return"),1,0))</f>
        <v>1</v>
      </c>
      <c r="M1305" s="37" t="n">
        <f aca="false">IF(Raw_Export!$A1305="","",B1305-WEEKDAY(B1305,2)+1)</f>
        <v>46272</v>
      </c>
    </row>
    <row r="1306" customFormat="false" ht="15" hidden="false" customHeight="false" outlineLevel="0" collapsed="false">
      <c r="A1306" s="36" t="str">
        <f aca="false">IF(Raw_Export!$A1306="","",TRIM(Raw_Export!A1306))</f>
        <v>TXN-101281</v>
      </c>
      <c r="B1306" s="37" t="n">
        <f aca="false">IF(Raw_Export!$A1306="","",IF(ISNUMBER(Raw_Export!B1306),Raw_Export!B1306,IF(MID(TRIM(Raw_Export!B1306),5,1)="-",DATE(LEFT(TRIM(Raw_Export!B1306),4),MID(TRIM(Raw_Export!B1306),6,2),RIGHT(TRIM(Raw_Export!B1306),2)),DATE(RIGHT(TRIM(Raw_Export!B1306),4),MATCH(MID(TRIM(Raw_Export!B1306),4,3),{"Jan","Feb","Mar","Apr","May","Jun","Jul","Aug","Sep","Oct","Nov","Dec"},0),LEFT(TRIM(Raw_Export!B1306),2)))))</f>
        <v>46273</v>
      </c>
      <c r="C1306" s="36" t="str">
        <f aca="false">IF(Raw_Export!$A1306="","",IFERROR(VLOOKUP(LOWER(TRIM(Raw_Export!C1306)),Maps!$A$2:$B$20,2,FALSE()),"UNMAPPED"))</f>
        <v>Mombasa</v>
      </c>
      <c r="D1306" s="36" t="str">
        <f aca="false">IF(Raw_Export!$A1306="","",IFERROR(VLOOKUP(LOWER(TRIM(Raw_Export!D1306)),Maps!$G$2:$I$80,2,FALSE()),"UNMAPPED"))</f>
        <v>Spaghetti 400g</v>
      </c>
      <c r="E1306" s="36" t="str">
        <f aca="false">IF(Raw_Export!$A1306="","",IFERROR(VLOOKUP(LOWER(TRIM(Raw_Export!D1306)),Maps!$G$2:$I$80,3,FALSE()),"UNMAPPED"))</f>
        <v>Staples</v>
      </c>
      <c r="F1306" s="36" t="n">
        <f aca="false">IF(Raw_Export!$A1306="","",IFERROR(VALUE(TRIM(Raw_Export!E1306)),0))</f>
        <v>4</v>
      </c>
      <c r="G1306" s="38" t="n">
        <f aca="false">IF(Raw_Export!$A1306="","",IFERROR(VALUE(SUBSTITUTE(SUBSTITUTE(UPPER(TRIM(Raw_Export!F1306)),"KES",""),",","")),0))</f>
        <v>99</v>
      </c>
      <c r="H1306" s="38" t="n">
        <f aca="false">IF(Raw_Export!$A1306="","",F1306*G1306)</f>
        <v>396</v>
      </c>
      <c r="I1306" s="36" t="str">
        <f aca="false">IF(Raw_Export!$A1306="","",IFERROR(VLOOKUP(LOWER(TRIM(Raw_Export!H1306)),Maps!$D$2:$E$12,2,FALSE()),"Other"))</f>
        <v>Cash</v>
      </c>
      <c r="J1306" s="36" t="str">
        <f aca="false">IF(Raw_Export!$A1306="","",IF(COUNTIF($A$2:A1306,A1306)&gt;1,"Duplicate",""))</f>
        <v/>
      </c>
      <c r="K1306" s="36" t="str">
        <f aca="false">IF(Raw_Export!$A1306="","",IF(J1306="Duplicate","Duplicate",IF(OR(C1306="UNMAPPED",D1306="UNMAPPED"),"Unmapped",IF(F1306=0,"Blank qty",IF(F1306&lt;0,"Return","OK")))))</f>
        <v>OK</v>
      </c>
      <c r="L1306" s="36" t="n">
        <f aca="false">IF(Raw_Export!$A1306="","",IF(OR(K1306="OK",K1306="Return"),1,0))</f>
        <v>1</v>
      </c>
      <c r="M1306" s="37" t="n">
        <f aca="false">IF(Raw_Export!$A1306="","",B1306-WEEKDAY(B1306,2)+1)</f>
        <v>46272</v>
      </c>
    </row>
    <row r="1307" customFormat="false" ht="15" hidden="false" customHeight="false" outlineLevel="0" collapsed="false">
      <c r="A1307" s="36" t="str">
        <f aca="false">IF(Raw_Export!$A1307="","",TRIM(Raw_Export!A1307))</f>
        <v>TXN-101282</v>
      </c>
      <c r="B1307" s="37" t="n">
        <f aca="false">IF(Raw_Export!$A1307="","",IF(ISNUMBER(Raw_Export!B1307),Raw_Export!B1307,IF(MID(TRIM(Raw_Export!B1307),5,1)="-",DATE(LEFT(TRIM(Raw_Export!B1307),4),MID(TRIM(Raw_Export!B1307),6,2),RIGHT(TRIM(Raw_Export!B1307),2)),DATE(RIGHT(TRIM(Raw_Export!B1307),4),MATCH(MID(TRIM(Raw_Export!B1307),4,3),{"Jan","Feb","Mar","Apr","May","Jun","Jul","Aug","Sep","Oct","Nov","Dec"},0),LEFT(TRIM(Raw_Export!B1307),2)))))</f>
        <v>46273</v>
      </c>
      <c r="C1307" s="36" t="str">
        <f aca="false">IF(Raw_Export!$A1307="","",IFERROR(VLOOKUP(LOWER(TRIM(Raw_Export!C1307)),Maps!$A$2:$B$20,2,FALSE()),"UNMAPPED"))</f>
        <v>Mombasa</v>
      </c>
      <c r="D1307" s="36" t="str">
        <f aca="false">IF(Raw_Export!$A1307="","",IFERROR(VLOOKUP(LOWER(TRIM(Raw_Export!D1307)),Maps!$G$2:$I$80,2,FALSE()),"UNMAPPED"))</f>
        <v>Peanuts 250g</v>
      </c>
      <c r="E1307" s="36" t="str">
        <f aca="false">IF(Raw_Export!$A1307="","",IFERROR(VLOOKUP(LOWER(TRIM(Raw_Export!D1307)),Maps!$G$2:$I$80,3,FALSE()),"UNMAPPED"))</f>
        <v>Snacks</v>
      </c>
      <c r="F1307" s="36" t="n">
        <f aca="false">IF(Raw_Export!$A1307="","",IFERROR(VALUE(TRIM(Raw_Export!E1307)),0))</f>
        <v>1</v>
      </c>
      <c r="G1307" s="38" t="n">
        <f aca="false">IF(Raw_Export!$A1307="","",IFERROR(VALUE(SUBSTITUTE(SUBSTITUTE(UPPER(TRIM(Raw_Export!F1307)),"KES",""),",","")),0))</f>
        <v>130</v>
      </c>
      <c r="H1307" s="38" t="n">
        <f aca="false">IF(Raw_Export!$A1307="","",F1307*G1307)</f>
        <v>130</v>
      </c>
      <c r="I1307" s="36" t="str">
        <f aca="false">IF(Raw_Export!$A1307="","",IFERROR(VLOOKUP(LOWER(TRIM(Raw_Export!H1307)),Maps!$D$2:$E$12,2,FALSE()),"Other"))</f>
        <v>Cash</v>
      </c>
      <c r="J1307" s="36" t="str">
        <f aca="false">IF(Raw_Export!$A1307="","",IF(COUNTIF($A$2:A1307,A1307)&gt;1,"Duplicate",""))</f>
        <v/>
      </c>
      <c r="K1307" s="36" t="str">
        <f aca="false">IF(Raw_Export!$A1307="","",IF(J1307="Duplicate","Duplicate",IF(OR(C1307="UNMAPPED",D1307="UNMAPPED"),"Unmapped",IF(F1307=0,"Blank qty",IF(F1307&lt;0,"Return","OK")))))</f>
        <v>OK</v>
      </c>
      <c r="L1307" s="36" t="n">
        <f aca="false">IF(Raw_Export!$A1307="","",IF(OR(K1307="OK",K1307="Return"),1,0))</f>
        <v>1</v>
      </c>
      <c r="M1307" s="37" t="n">
        <f aca="false">IF(Raw_Export!$A1307="","",B1307-WEEKDAY(B1307,2)+1)</f>
        <v>46272</v>
      </c>
    </row>
    <row r="1308" customFormat="false" ht="15" hidden="false" customHeight="false" outlineLevel="0" collapsed="false">
      <c r="A1308" s="36" t="str">
        <f aca="false">IF(Raw_Export!$A1308="","",TRIM(Raw_Export!A1308))</f>
        <v>TXN-101283</v>
      </c>
      <c r="B1308" s="37" t="n">
        <f aca="false">IF(Raw_Export!$A1308="","",IF(ISNUMBER(Raw_Export!B1308),Raw_Export!B1308,IF(MID(TRIM(Raw_Export!B1308),5,1)="-",DATE(LEFT(TRIM(Raw_Export!B1308),4),MID(TRIM(Raw_Export!B1308),6,2),RIGHT(TRIM(Raw_Export!B1308),2)),DATE(RIGHT(TRIM(Raw_Export!B1308),4),MATCH(MID(TRIM(Raw_Export!B1308),4,3),{"Jan","Feb","Mar","Apr","May","Jun","Jul","Aug","Sep","Oct","Nov","Dec"},0),LEFT(TRIM(Raw_Export!B1308),2)))))</f>
        <v>46273</v>
      </c>
      <c r="C1308" s="36" t="str">
        <f aca="false">IF(Raw_Export!$A1308="","",IFERROR(VLOOKUP(LOWER(TRIM(Raw_Export!C1308)),Maps!$A$2:$B$20,2,FALSE()),"UNMAPPED"))</f>
        <v>Kisumu</v>
      </c>
      <c r="D1308" s="36" t="str">
        <f aca="false">IF(Raw_Export!$A1308="","",IFERROR(VLOOKUP(LOWER(TRIM(Raw_Export!D1308)),Maps!$G$2:$I$80,2,FALSE()),"UNMAPPED"))</f>
        <v>Dish Soap 750ml</v>
      </c>
      <c r="E1308" s="36" t="str">
        <f aca="false">IF(Raw_Export!$A1308="","",IFERROR(VLOOKUP(LOWER(TRIM(Raw_Export!D1308)),Maps!$G$2:$I$80,3,FALSE()),"UNMAPPED"))</f>
        <v>Household</v>
      </c>
      <c r="F1308" s="36" t="n">
        <f aca="false">IF(Raw_Export!$A1308="","",IFERROR(VALUE(TRIM(Raw_Export!E1308)),0))</f>
        <v>1</v>
      </c>
      <c r="G1308" s="38" t="n">
        <f aca="false">IF(Raw_Export!$A1308="","",IFERROR(VALUE(SUBSTITUTE(SUBSTITUTE(UPPER(TRIM(Raw_Export!F1308)),"KES",""),",","")),0))</f>
        <v>190</v>
      </c>
      <c r="H1308" s="38" t="n">
        <f aca="false">IF(Raw_Export!$A1308="","",F1308*G1308)</f>
        <v>190</v>
      </c>
      <c r="I1308" s="36" t="str">
        <f aca="false">IF(Raw_Export!$A1308="","",IFERROR(VLOOKUP(LOWER(TRIM(Raw_Export!H1308)),Maps!$D$2:$E$12,2,FALSE()),"Other"))</f>
        <v>Cash</v>
      </c>
      <c r="J1308" s="36" t="str">
        <f aca="false">IF(Raw_Export!$A1308="","",IF(COUNTIF($A$2:A1308,A1308)&gt;1,"Duplicate",""))</f>
        <v/>
      </c>
      <c r="K1308" s="36" t="str">
        <f aca="false">IF(Raw_Export!$A1308="","",IF(J1308="Duplicate","Duplicate",IF(OR(C1308="UNMAPPED",D1308="UNMAPPED"),"Unmapped",IF(F1308=0,"Blank qty",IF(F1308&lt;0,"Return","OK")))))</f>
        <v>OK</v>
      </c>
      <c r="L1308" s="36" t="n">
        <f aca="false">IF(Raw_Export!$A1308="","",IF(OR(K1308="OK",K1308="Return"),1,0))</f>
        <v>1</v>
      </c>
      <c r="M1308" s="37" t="n">
        <f aca="false">IF(Raw_Export!$A1308="","",B1308-WEEKDAY(B1308,2)+1)</f>
        <v>46272</v>
      </c>
    </row>
    <row r="1309" customFormat="false" ht="15" hidden="false" customHeight="false" outlineLevel="0" collapsed="false">
      <c r="A1309" s="36" t="str">
        <f aca="false">IF(Raw_Export!$A1309="","",TRIM(Raw_Export!A1309))</f>
        <v>TXN-101284</v>
      </c>
      <c r="B1309" s="37" t="n">
        <f aca="false">IF(Raw_Export!$A1309="","",IF(ISNUMBER(Raw_Export!B1309),Raw_Export!B1309,IF(MID(TRIM(Raw_Export!B1309),5,1)="-",DATE(LEFT(TRIM(Raw_Export!B1309),4),MID(TRIM(Raw_Export!B1309),6,2),RIGHT(TRIM(Raw_Export!B1309),2)),DATE(RIGHT(TRIM(Raw_Export!B1309),4),MATCH(MID(TRIM(Raw_Export!B1309),4,3),{"Jan","Feb","Mar","Apr","May","Jun","Jul","Aug","Sep","Oct","Nov","Dec"},0),LEFT(TRIM(Raw_Export!B1309),2)))))</f>
        <v>46273</v>
      </c>
      <c r="C1309" s="36" t="str">
        <f aca="false">IF(Raw_Export!$A1309="","",IFERROR(VLOOKUP(LOWER(TRIM(Raw_Export!C1309)),Maps!$A$2:$B$20,2,FALSE()),"UNMAPPED"))</f>
        <v>Kisumu</v>
      </c>
      <c r="D1309" s="36" t="str">
        <f aca="false">IF(Raw_Export!$A1309="","",IFERROR(VLOOKUP(LOWER(TRIM(Raw_Export!D1309)),Maps!$G$2:$I$80,2,FALSE()),"UNMAPPED"))</f>
        <v>Juice 1L</v>
      </c>
      <c r="E1309" s="36" t="str">
        <f aca="false">IF(Raw_Export!$A1309="","",IFERROR(VLOOKUP(LOWER(TRIM(Raw_Export!D1309)),Maps!$G$2:$I$80,3,FALSE()),"UNMAPPED"))</f>
        <v>Beverages</v>
      </c>
      <c r="F1309" s="36" t="n">
        <f aca="false">IF(Raw_Export!$A1309="","",IFERROR(VALUE(TRIM(Raw_Export!E1309)),0))</f>
        <v>6</v>
      </c>
      <c r="G1309" s="38" t="n">
        <f aca="false">IF(Raw_Export!$A1309="","",IFERROR(VALUE(SUBSTITUTE(SUBSTITUTE(UPPER(TRIM(Raw_Export!F1309)),"KES",""),",","")),0))</f>
        <v>210</v>
      </c>
      <c r="H1309" s="38" t="n">
        <f aca="false">IF(Raw_Export!$A1309="","",F1309*G1309)</f>
        <v>1260</v>
      </c>
      <c r="I1309" s="36" t="str">
        <f aca="false">IF(Raw_Export!$A1309="","",IFERROR(VLOOKUP(LOWER(TRIM(Raw_Export!H1309)),Maps!$D$2:$E$12,2,FALSE()),"Other"))</f>
        <v>M-Pesa</v>
      </c>
      <c r="J1309" s="36" t="str">
        <f aca="false">IF(Raw_Export!$A1309="","",IF(COUNTIF($A$2:A1309,A1309)&gt;1,"Duplicate",""))</f>
        <v/>
      </c>
      <c r="K1309" s="36" t="str">
        <f aca="false">IF(Raw_Export!$A1309="","",IF(J1309="Duplicate","Duplicate",IF(OR(C1309="UNMAPPED",D1309="UNMAPPED"),"Unmapped",IF(F1309=0,"Blank qty",IF(F1309&lt;0,"Return","OK")))))</f>
        <v>OK</v>
      </c>
      <c r="L1309" s="36" t="n">
        <f aca="false">IF(Raw_Export!$A1309="","",IF(OR(K1309="OK",K1309="Return"),1,0))</f>
        <v>1</v>
      </c>
      <c r="M1309" s="37" t="n">
        <f aca="false">IF(Raw_Export!$A1309="","",B1309-WEEKDAY(B1309,2)+1)</f>
        <v>46272</v>
      </c>
    </row>
    <row r="1310" customFormat="false" ht="15" hidden="false" customHeight="false" outlineLevel="0" collapsed="false">
      <c r="A1310" s="36" t="str">
        <f aca="false">IF(Raw_Export!$A1310="","",TRIM(Raw_Export!A1310))</f>
        <v>TXN-101285</v>
      </c>
      <c r="B1310" s="37" t="n">
        <f aca="false">IF(Raw_Export!$A1310="","",IF(ISNUMBER(Raw_Export!B1310),Raw_Export!B1310,IF(MID(TRIM(Raw_Export!B1310),5,1)="-",DATE(LEFT(TRIM(Raw_Export!B1310),4),MID(TRIM(Raw_Export!B1310),6,2),RIGHT(TRIM(Raw_Export!B1310),2)),DATE(RIGHT(TRIM(Raw_Export!B1310),4),MATCH(MID(TRIM(Raw_Export!B1310),4,3),{"Jan","Feb","Mar","Apr","May","Jun","Jul","Aug","Sep","Oct","Nov","Dec"},0),LEFT(TRIM(Raw_Export!B1310),2)))))</f>
        <v>46273</v>
      </c>
      <c r="C1310" s="36" t="str">
        <f aca="false">IF(Raw_Export!$A1310="","",IFERROR(VLOOKUP(LOWER(TRIM(Raw_Export!C1310)),Maps!$A$2:$B$20,2,FALSE()),"UNMAPPED"))</f>
        <v>Kisumu</v>
      </c>
      <c r="D1310" s="36" t="str">
        <f aca="false">IF(Raw_Export!$A1310="","",IFERROR(VLOOKUP(LOWER(TRIM(Raw_Export!D1310)),Maps!$G$2:$I$80,2,FALSE()),"UNMAPPED"))</f>
        <v>Salt 500g</v>
      </c>
      <c r="E1310" s="36" t="str">
        <f aca="false">IF(Raw_Export!$A1310="","",IFERROR(VLOOKUP(LOWER(TRIM(Raw_Export!D1310)),Maps!$G$2:$I$80,3,FALSE()),"UNMAPPED"))</f>
        <v>Staples</v>
      </c>
      <c r="F1310" s="36" t="n">
        <f aca="false">IF(Raw_Export!$A1310="","",IFERROR(VALUE(TRIM(Raw_Export!E1310)),0))</f>
        <v>4</v>
      </c>
      <c r="G1310" s="38" t="n">
        <f aca="false">IF(Raw_Export!$A1310="","",IFERROR(VALUE(SUBSTITUTE(SUBSTITUTE(UPPER(TRIM(Raw_Export!F1310)),"KES",""),",","")),0))</f>
        <v>40</v>
      </c>
      <c r="H1310" s="38" t="n">
        <f aca="false">IF(Raw_Export!$A1310="","",F1310*G1310)</f>
        <v>160</v>
      </c>
      <c r="I1310" s="36" t="str">
        <f aca="false">IF(Raw_Export!$A1310="","",IFERROR(VLOOKUP(LOWER(TRIM(Raw_Export!H1310)),Maps!$D$2:$E$12,2,FALSE()),"Other"))</f>
        <v>M-Pesa</v>
      </c>
      <c r="J1310" s="36" t="str">
        <f aca="false">IF(Raw_Export!$A1310="","",IF(COUNTIF($A$2:A1310,A1310)&gt;1,"Duplicate",""))</f>
        <v/>
      </c>
      <c r="K1310" s="36" t="str">
        <f aca="false">IF(Raw_Export!$A1310="","",IF(J1310="Duplicate","Duplicate",IF(OR(C1310="UNMAPPED",D1310="UNMAPPED"),"Unmapped",IF(F1310=0,"Blank qty",IF(F1310&lt;0,"Return","OK")))))</f>
        <v>OK</v>
      </c>
      <c r="L1310" s="36" t="n">
        <f aca="false">IF(Raw_Export!$A1310="","",IF(OR(K1310="OK",K1310="Return"),1,0))</f>
        <v>1</v>
      </c>
      <c r="M1310" s="37" t="n">
        <f aca="false">IF(Raw_Export!$A1310="","",B1310-WEEKDAY(B1310,2)+1)</f>
        <v>46272</v>
      </c>
    </row>
    <row r="1311" customFormat="false" ht="15" hidden="false" customHeight="false" outlineLevel="0" collapsed="false">
      <c r="A1311" s="36" t="str">
        <f aca="false">IF(Raw_Export!$A1311="","",TRIM(Raw_Export!A1311))</f>
        <v>TXN-101286</v>
      </c>
      <c r="B1311" s="37" t="n">
        <f aca="false">IF(Raw_Export!$A1311="","",IF(ISNUMBER(Raw_Export!B1311),Raw_Export!B1311,IF(MID(TRIM(Raw_Export!B1311),5,1)="-",DATE(LEFT(TRIM(Raw_Export!B1311),4),MID(TRIM(Raw_Export!B1311),6,2),RIGHT(TRIM(Raw_Export!B1311),2)),DATE(RIGHT(TRIM(Raw_Export!B1311),4),MATCH(MID(TRIM(Raw_Export!B1311),4,3),{"Jan","Feb","Mar","Apr","May","Jun","Jul","Aug","Sep","Oct","Nov","Dec"},0),LEFT(TRIM(Raw_Export!B1311),2)))))</f>
        <v>46273</v>
      </c>
      <c r="C1311" s="36" t="str">
        <f aca="false">IF(Raw_Export!$A1311="","",IFERROR(VLOOKUP(LOWER(TRIM(Raw_Export!C1311)),Maps!$A$2:$B$20,2,FALSE()),"UNMAPPED"))</f>
        <v>Kisumu</v>
      </c>
      <c r="D1311" s="36" t="str">
        <f aca="false">IF(Raw_Export!$A1311="","",IFERROR(VLOOKUP(LOWER(TRIM(Raw_Export!D1311)),Maps!$G$2:$I$80,2,FALSE()),"UNMAPPED"))</f>
        <v>Bleach 1L</v>
      </c>
      <c r="E1311" s="36" t="str">
        <f aca="false">IF(Raw_Export!$A1311="","",IFERROR(VLOOKUP(LOWER(TRIM(Raw_Export!D1311)),Maps!$G$2:$I$80,3,FALSE()),"UNMAPPED"))</f>
        <v>Household</v>
      </c>
      <c r="F1311" s="36" t="n">
        <f aca="false">IF(Raw_Export!$A1311="","",IFERROR(VALUE(TRIM(Raw_Export!E1311)),0))</f>
        <v>1</v>
      </c>
      <c r="G1311" s="38" t="n">
        <f aca="false">IF(Raw_Export!$A1311="","",IFERROR(VALUE(SUBSTITUTE(SUBSTITUTE(UPPER(TRIM(Raw_Export!F1311)),"KES",""),",","")),0))</f>
        <v>160</v>
      </c>
      <c r="H1311" s="38" t="n">
        <f aca="false">IF(Raw_Export!$A1311="","",F1311*G1311)</f>
        <v>160</v>
      </c>
      <c r="I1311" s="36" t="str">
        <f aca="false">IF(Raw_Export!$A1311="","",IFERROR(VLOOKUP(LOWER(TRIM(Raw_Export!H1311)),Maps!$D$2:$E$12,2,FALSE()),"Other"))</f>
        <v>Cash</v>
      </c>
      <c r="J1311" s="36" t="str">
        <f aca="false">IF(Raw_Export!$A1311="","",IF(COUNTIF($A$2:A1311,A1311)&gt;1,"Duplicate",""))</f>
        <v/>
      </c>
      <c r="K1311" s="36" t="str">
        <f aca="false">IF(Raw_Export!$A1311="","",IF(J1311="Duplicate","Duplicate",IF(OR(C1311="UNMAPPED",D1311="UNMAPPED"),"Unmapped",IF(F1311=0,"Blank qty",IF(F1311&lt;0,"Return","OK")))))</f>
        <v>OK</v>
      </c>
      <c r="L1311" s="36" t="n">
        <f aca="false">IF(Raw_Export!$A1311="","",IF(OR(K1311="OK",K1311="Return"),1,0))</f>
        <v>1</v>
      </c>
      <c r="M1311" s="37" t="n">
        <f aca="false">IF(Raw_Export!$A1311="","",B1311-WEEKDAY(B1311,2)+1)</f>
        <v>46272</v>
      </c>
    </row>
    <row r="1312" customFormat="false" ht="15" hidden="false" customHeight="false" outlineLevel="0" collapsed="false">
      <c r="A1312" s="36" t="str">
        <f aca="false">IF(Raw_Export!$A1312="","",TRIM(Raw_Export!A1312))</f>
        <v>TXN-101287</v>
      </c>
      <c r="B1312" s="37" t="n">
        <f aca="false">IF(Raw_Export!$A1312="","",IF(ISNUMBER(Raw_Export!B1312),Raw_Export!B1312,IF(MID(TRIM(Raw_Export!B1312),5,1)="-",DATE(LEFT(TRIM(Raw_Export!B1312),4),MID(TRIM(Raw_Export!B1312),6,2),RIGHT(TRIM(Raw_Export!B1312),2)),DATE(RIGHT(TRIM(Raw_Export!B1312),4),MATCH(MID(TRIM(Raw_Export!B1312),4,3),{"Jan","Feb","Mar","Apr","May","Jun","Jul","Aug","Sep","Oct","Nov","Dec"},0),LEFT(TRIM(Raw_Export!B1312),2)))))</f>
        <v>46273</v>
      </c>
      <c r="C1312" s="36" t="str">
        <f aca="false">IF(Raw_Export!$A1312="","",IFERROR(VLOOKUP(LOWER(TRIM(Raw_Export!C1312)),Maps!$A$2:$B$20,2,FALSE()),"UNMAPPED"))</f>
        <v>Kisumu</v>
      </c>
      <c r="D1312" s="36" t="str">
        <f aca="false">IF(Raw_Export!$A1312="","",IFERROR(VLOOKUP(LOWER(TRIM(Raw_Export!D1312)),Maps!$G$2:$I$80,2,FALSE()),"UNMAPPED"))</f>
        <v>Bath Soap 175g</v>
      </c>
      <c r="E1312" s="36" t="str">
        <f aca="false">IF(Raw_Export!$A1312="","",IFERROR(VLOOKUP(LOWER(TRIM(Raw_Export!D1312)),Maps!$G$2:$I$80,3,FALSE()),"UNMAPPED"))</f>
        <v>Personal Care</v>
      </c>
      <c r="F1312" s="36" t="n">
        <f aca="false">IF(Raw_Export!$A1312="","",IFERROR(VALUE(TRIM(Raw_Export!E1312)),0))</f>
        <v>2</v>
      </c>
      <c r="G1312" s="38" t="n">
        <f aca="false">IF(Raw_Export!$A1312="","",IFERROR(VALUE(SUBSTITUTE(SUBSTITUTE(UPPER(TRIM(Raw_Export!F1312)),"KES",""),",","")),0))</f>
        <v>76</v>
      </c>
      <c r="H1312" s="38" t="n">
        <f aca="false">IF(Raw_Export!$A1312="","",F1312*G1312)</f>
        <v>152</v>
      </c>
      <c r="I1312" s="36" t="str">
        <f aca="false">IF(Raw_Export!$A1312="","",IFERROR(VLOOKUP(LOWER(TRIM(Raw_Export!H1312)),Maps!$D$2:$E$12,2,FALSE()),"Other"))</f>
        <v>M-Pesa</v>
      </c>
      <c r="J1312" s="36" t="str">
        <f aca="false">IF(Raw_Export!$A1312="","",IF(COUNTIF($A$2:A1312,A1312)&gt;1,"Duplicate",""))</f>
        <v/>
      </c>
      <c r="K1312" s="36" t="str">
        <f aca="false">IF(Raw_Export!$A1312="","",IF(J1312="Duplicate","Duplicate",IF(OR(C1312="UNMAPPED",D1312="UNMAPPED"),"Unmapped",IF(F1312=0,"Blank qty",IF(F1312&lt;0,"Return","OK")))))</f>
        <v>OK</v>
      </c>
      <c r="L1312" s="36" t="n">
        <f aca="false">IF(Raw_Export!$A1312="","",IF(OR(K1312="OK",K1312="Return"),1,0))</f>
        <v>1</v>
      </c>
      <c r="M1312" s="37" t="n">
        <f aca="false">IF(Raw_Export!$A1312="","",B1312-WEEKDAY(B1312,2)+1)</f>
        <v>46272</v>
      </c>
    </row>
    <row r="1313" customFormat="false" ht="15" hidden="false" customHeight="false" outlineLevel="0" collapsed="false">
      <c r="A1313" s="36" t="str">
        <f aca="false">IF(Raw_Export!$A1313="","",TRIM(Raw_Export!A1313))</f>
        <v>TXN-101288</v>
      </c>
      <c r="B1313" s="37" t="n">
        <f aca="false">IF(Raw_Export!$A1313="","",IF(ISNUMBER(Raw_Export!B1313),Raw_Export!B1313,IF(MID(TRIM(Raw_Export!B1313),5,1)="-",DATE(LEFT(TRIM(Raw_Export!B1313),4),MID(TRIM(Raw_Export!B1313),6,2),RIGHT(TRIM(Raw_Export!B1313),2)),DATE(RIGHT(TRIM(Raw_Export!B1313),4),MATCH(MID(TRIM(Raw_Export!B1313),4,3),{"Jan","Feb","Mar","Apr","May","Jun","Jul","Aug","Sep","Oct","Nov","Dec"},0),LEFT(TRIM(Raw_Export!B1313),2)))))</f>
        <v>46273</v>
      </c>
      <c r="C1313" s="36" t="str">
        <f aca="false">IF(Raw_Export!$A1313="","",IFERROR(VLOOKUP(LOWER(TRIM(Raw_Export!C1313)),Maps!$A$2:$B$20,2,FALSE()),"UNMAPPED"))</f>
        <v>Kisumu</v>
      </c>
      <c r="D1313" s="36" t="str">
        <f aca="false">IF(Raw_Export!$A1313="","",IFERROR(VLOOKUP(LOWER(TRIM(Raw_Export!D1313)),Maps!$G$2:$I$80,2,FALSE()),"UNMAPPED"))</f>
        <v>Yoghurt 500ml</v>
      </c>
      <c r="E1313" s="36" t="str">
        <f aca="false">IF(Raw_Export!$A1313="","",IFERROR(VLOOKUP(LOWER(TRIM(Raw_Export!D1313)),Maps!$G$2:$I$80,3,FALSE()),"UNMAPPED"))</f>
        <v>Dairy &amp; Eggs</v>
      </c>
      <c r="F1313" s="36" t="n">
        <f aca="false">IF(Raw_Export!$A1313="","",IFERROR(VALUE(TRIM(Raw_Export!E1313)),0))</f>
        <v>1</v>
      </c>
      <c r="G1313" s="38" t="n">
        <f aca="false">IF(Raw_Export!$A1313="","",IFERROR(VALUE(SUBSTITUTE(SUBSTITUTE(UPPER(TRIM(Raw_Export!F1313)),"KES",""),",","")),0))</f>
        <v>120</v>
      </c>
      <c r="H1313" s="38" t="n">
        <f aca="false">IF(Raw_Export!$A1313="","",F1313*G1313)</f>
        <v>120</v>
      </c>
      <c r="I1313" s="36" t="str">
        <f aca="false">IF(Raw_Export!$A1313="","",IFERROR(VLOOKUP(LOWER(TRIM(Raw_Export!H1313)),Maps!$D$2:$E$12,2,FALSE()),"Other"))</f>
        <v>Cash</v>
      </c>
      <c r="J1313" s="36" t="str">
        <f aca="false">IF(Raw_Export!$A1313="","",IF(COUNTIF($A$2:A1313,A1313)&gt;1,"Duplicate",""))</f>
        <v/>
      </c>
      <c r="K1313" s="36" t="str">
        <f aca="false">IF(Raw_Export!$A1313="","",IF(J1313="Duplicate","Duplicate",IF(OR(C1313="UNMAPPED",D1313="UNMAPPED"),"Unmapped",IF(F1313=0,"Blank qty",IF(F1313&lt;0,"Return","OK")))))</f>
        <v>OK</v>
      </c>
      <c r="L1313" s="36" t="n">
        <f aca="false">IF(Raw_Export!$A1313="","",IF(OR(K1313="OK",K1313="Return"),1,0))</f>
        <v>1</v>
      </c>
      <c r="M1313" s="37" t="n">
        <f aca="false">IF(Raw_Export!$A1313="","",B1313-WEEKDAY(B1313,2)+1)</f>
        <v>46272</v>
      </c>
    </row>
    <row r="1314" customFormat="false" ht="15" hidden="false" customHeight="false" outlineLevel="0" collapsed="false">
      <c r="A1314" s="36" t="str">
        <f aca="false">IF(Raw_Export!$A1314="","",TRIM(Raw_Export!A1314))</f>
        <v>TXN-101289</v>
      </c>
      <c r="B1314" s="37" t="n">
        <f aca="false">IF(Raw_Export!$A1314="","",IF(ISNUMBER(Raw_Export!B1314),Raw_Export!B1314,IF(MID(TRIM(Raw_Export!B1314),5,1)="-",DATE(LEFT(TRIM(Raw_Export!B1314),4),MID(TRIM(Raw_Export!B1314),6,2),RIGHT(TRIM(Raw_Export!B1314),2)),DATE(RIGHT(TRIM(Raw_Export!B1314),4),MATCH(MID(TRIM(Raw_Export!B1314),4,3),{"Jan","Feb","Mar","Apr","May","Jun","Jul","Aug","Sep","Oct","Nov","Dec"},0),LEFT(TRIM(Raw_Export!B1314),2)))))</f>
        <v>46273</v>
      </c>
      <c r="C1314" s="36" t="str">
        <f aca="false">IF(Raw_Export!$A1314="","",IFERROR(VLOOKUP(LOWER(TRIM(Raw_Export!C1314)),Maps!$A$2:$B$20,2,FALSE()),"UNMAPPED"))</f>
        <v>Kisumu</v>
      </c>
      <c r="D1314" s="36" t="str">
        <f aca="false">IF(Raw_Export!$A1314="","",IFERROR(VLOOKUP(LOWER(TRIM(Raw_Export!D1314)),Maps!$G$2:$I$80,2,FALSE()),"UNMAPPED"))</f>
        <v>Eggs Tray 30</v>
      </c>
      <c r="E1314" s="36" t="str">
        <f aca="false">IF(Raw_Export!$A1314="","",IFERROR(VLOOKUP(LOWER(TRIM(Raw_Export!D1314)),Maps!$G$2:$I$80,3,FALSE()),"UNMAPPED"))</f>
        <v>Dairy &amp; Eggs</v>
      </c>
      <c r="F1314" s="36" t="n">
        <f aca="false">IF(Raw_Export!$A1314="","",IFERROR(VALUE(TRIM(Raw_Export!E1314)),0))</f>
        <v>2</v>
      </c>
      <c r="G1314" s="38" t="n">
        <f aca="false">IF(Raw_Export!$A1314="","",IFERROR(VALUE(SUBSTITUTE(SUBSTITUTE(UPPER(TRIM(Raw_Export!F1314)),"KES",""),",","")),0))</f>
        <v>450</v>
      </c>
      <c r="H1314" s="38" t="n">
        <f aca="false">IF(Raw_Export!$A1314="","",F1314*G1314)</f>
        <v>900</v>
      </c>
      <c r="I1314" s="36" t="str">
        <f aca="false">IF(Raw_Export!$A1314="","",IFERROR(VLOOKUP(LOWER(TRIM(Raw_Export!H1314)),Maps!$D$2:$E$12,2,FALSE()),"Other"))</f>
        <v>Card</v>
      </c>
      <c r="J1314" s="36" t="str">
        <f aca="false">IF(Raw_Export!$A1314="","",IF(COUNTIF($A$2:A1314,A1314)&gt;1,"Duplicate",""))</f>
        <v/>
      </c>
      <c r="K1314" s="36" t="str">
        <f aca="false">IF(Raw_Export!$A1314="","",IF(J1314="Duplicate","Duplicate",IF(OR(C1314="UNMAPPED",D1314="UNMAPPED"),"Unmapped",IF(F1314=0,"Blank qty",IF(F1314&lt;0,"Return","OK")))))</f>
        <v>OK</v>
      </c>
      <c r="L1314" s="36" t="n">
        <f aca="false">IF(Raw_Export!$A1314="","",IF(OR(K1314="OK",K1314="Return"),1,0))</f>
        <v>1</v>
      </c>
      <c r="M1314" s="37" t="n">
        <f aca="false">IF(Raw_Export!$A1314="","",B1314-WEEKDAY(B1314,2)+1)</f>
        <v>46272</v>
      </c>
    </row>
    <row r="1315" customFormat="false" ht="15" hidden="false" customHeight="false" outlineLevel="0" collapsed="false">
      <c r="A1315" s="36" t="str">
        <f aca="false">IF(Raw_Export!$A1315="","",TRIM(Raw_Export!A1315))</f>
        <v>TXN-101290</v>
      </c>
      <c r="B1315" s="37" t="n">
        <f aca="false">IF(Raw_Export!$A1315="","",IF(ISNUMBER(Raw_Export!B1315),Raw_Export!B1315,IF(MID(TRIM(Raw_Export!B1315),5,1)="-",DATE(LEFT(TRIM(Raw_Export!B1315),4),MID(TRIM(Raw_Export!B1315),6,2),RIGHT(TRIM(Raw_Export!B1315),2)),DATE(RIGHT(TRIM(Raw_Export!B1315),4),MATCH(MID(TRIM(Raw_Export!B1315),4,3),{"Jan","Feb","Mar","Apr","May","Jun","Jul","Aug","Sep","Oct","Nov","Dec"},0),LEFT(TRIM(Raw_Export!B1315),2)))))</f>
        <v>46273</v>
      </c>
      <c r="C1315" s="36" t="str">
        <f aca="false">IF(Raw_Export!$A1315="","",IFERROR(VLOOKUP(LOWER(TRIM(Raw_Export!C1315)),Maps!$A$2:$B$20,2,FALSE()),"UNMAPPED"))</f>
        <v>Kisumu</v>
      </c>
      <c r="D1315" s="36" t="str">
        <f aca="false">IF(Raw_Export!$A1315="","",IFERROR(VLOOKUP(LOWER(TRIM(Raw_Export!D1315)),Maps!$G$2:$I$80,2,FALSE()),"UNMAPPED"))</f>
        <v>Cheddar 200g</v>
      </c>
      <c r="E1315" s="36" t="str">
        <f aca="false">IF(Raw_Export!$A1315="","",IFERROR(VLOOKUP(LOWER(TRIM(Raw_Export!D1315)),Maps!$G$2:$I$80,3,FALSE()),"UNMAPPED"))</f>
        <v>Dairy &amp; Eggs</v>
      </c>
      <c r="F1315" s="36" t="n">
        <f aca="false">IF(Raw_Export!$A1315="","",IFERROR(VALUE(TRIM(Raw_Export!E1315)),0))</f>
        <v>2</v>
      </c>
      <c r="G1315" s="38" t="n">
        <f aca="false">IF(Raw_Export!$A1315="","",IFERROR(VALUE(SUBSTITUTE(SUBSTITUTE(UPPER(TRIM(Raw_Export!F1315)),"KES",""),",","")),0))</f>
        <v>342</v>
      </c>
      <c r="H1315" s="38" t="n">
        <f aca="false">IF(Raw_Export!$A1315="","",F1315*G1315)</f>
        <v>684</v>
      </c>
      <c r="I1315" s="36" t="str">
        <f aca="false">IF(Raw_Export!$A1315="","",IFERROR(VLOOKUP(LOWER(TRIM(Raw_Export!H1315)),Maps!$D$2:$E$12,2,FALSE()),"Other"))</f>
        <v>M-Pesa</v>
      </c>
      <c r="J1315" s="36" t="str">
        <f aca="false">IF(Raw_Export!$A1315="","",IF(COUNTIF($A$2:A1315,A1315)&gt;1,"Duplicate",""))</f>
        <v/>
      </c>
      <c r="K1315" s="36" t="str">
        <f aca="false">IF(Raw_Export!$A1315="","",IF(J1315="Duplicate","Duplicate",IF(OR(C1315="UNMAPPED",D1315="UNMAPPED"),"Unmapped",IF(F1315=0,"Blank qty",IF(F1315&lt;0,"Return","OK")))))</f>
        <v>OK</v>
      </c>
      <c r="L1315" s="36" t="n">
        <f aca="false">IF(Raw_Export!$A1315="","",IF(OR(K1315="OK",K1315="Return"),1,0))</f>
        <v>1</v>
      </c>
      <c r="M1315" s="37" t="n">
        <f aca="false">IF(Raw_Export!$A1315="","",B1315-WEEKDAY(B1315,2)+1)</f>
        <v>46272</v>
      </c>
    </row>
    <row r="1316" customFormat="false" ht="15" hidden="false" customHeight="false" outlineLevel="0" collapsed="false">
      <c r="A1316" s="36" t="str">
        <f aca="false">IF(Raw_Export!$A1316="","",TRIM(Raw_Export!A1316))</f>
        <v>TXN-101291</v>
      </c>
      <c r="B1316" s="37" t="n">
        <f aca="false">IF(Raw_Export!$A1316="","",IF(ISNUMBER(Raw_Export!B1316),Raw_Export!B1316,IF(MID(TRIM(Raw_Export!B1316),5,1)="-",DATE(LEFT(TRIM(Raw_Export!B1316),4),MID(TRIM(Raw_Export!B1316),6,2),RIGHT(TRIM(Raw_Export!B1316),2)),DATE(RIGHT(TRIM(Raw_Export!B1316),4),MATCH(MID(TRIM(Raw_Export!B1316),4,3),{"Jan","Feb","Mar","Apr","May","Jun","Jul","Aug","Sep","Oct","Nov","Dec"},0),LEFT(TRIM(Raw_Export!B1316),2)))))</f>
        <v>46273</v>
      </c>
      <c r="C1316" s="36" t="str">
        <f aca="false">IF(Raw_Export!$A1316="","",IFERROR(VLOOKUP(LOWER(TRIM(Raw_Export!C1316)),Maps!$A$2:$B$20,2,FALSE()),"UNMAPPED"))</f>
        <v>Kisumu</v>
      </c>
      <c r="D1316" s="36" t="str">
        <f aca="false">IF(Raw_Export!$A1316="","",IFERROR(VLOOKUP(LOWER(TRIM(Raw_Export!D1316)),Maps!$G$2:$I$80,2,FALSE()),"UNMAPPED"))</f>
        <v>Soda 500ml</v>
      </c>
      <c r="E1316" s="36" t="str">
        <f aca="false">IF(Raw_Export!$A1316="","",IFERROR(VLOOKUP(LOWER(TRIM(Raw_Export!D1316)),Maps!$G$2:$I$80,3,FALSE()),"UNMAPPED"))</f>
        <v>Beverages</v>
      </c>
      <c r="F1316" s="36" t="n">
        <f aca="false">IF(Raw_Export!$A1316="","",IFERROR(VALUE(TRIM(Raw_Export!E1316)),0))</f>
        <v>1</v>
      </c>
      <c r="G1316" s="38" t="n">
        <f aca="false">IF(Raw_Export!$A1316="","",IFERROR(VALUE(SUBSTITUTE(SUBSTITUTE(UPPER(TRIM(Raw_Export!F1316)),"KES",""),",","")),0))</f>
        <v>60</v>
      </c>
      <c r="H1316" s="38" t="n">
        <f aca="false">IF(Raw_Export!$A1316="","",F1316*G1316)</f>
        <v>60</v>
      </c>
      <c r="I1316" s="36" t="str">
        <f aca="false">IF(Raw_Export!$A1316="","",IFERROR(VLOOKUP(LOWER(TRIM(Raw_Export!H1316)),Maps!$D$2:$E$12,2,FALSE()),"Other"))</f>
        <v>Card</v>
      </c>
      <c r="J1316" s="36" t="str">
        <f aca="false">IF(Raw_Export!$A1316="","",IF(COUNTIF($A$2:A1316,A1316)&gt;1,"Duplicate",""))</f>
        <v/>
      </c>
      <c r="K1316" s="36" t="str">
        <f aca="false">IF(Raw_Export!$A1316="","",IF(J1316="Duplicate","Duplicate",IF(OR(C1316="UNMAPPED",D1316="UNMAPPED"),"Unmapped",IF(F1316=0,"Blank qty",IF(F1316&lt;0,"Return","OK")))))</f>
        <v>OK</v>
      </c>
      <c r="L1316" s="36" t="n">
        <f aca="false">IF(Raw_Export!$A1316="","",IF(OR(K1316="OK",K1316="Return"),1,0))</f>
        <v>1</v>
      </c>
      <c r="M1316" s="37" t="n">
        <f aca="false">IF(Raw_Export!$A1316="","",B1316-WEEKDAY(B1316,2)+1)</f>
        <v>46272</v>
      </c>
    </row>
    <row r="1317" customFormat="false" ht="15" hidden="false" customHeight="false" outlineLevel="0" collapsed="false">
      <c r="A1317" s="36" t="str">
        <f aca="false">IF(Raw_Export!$A1317="","",TRIM(Raw_Export!A1317))</f>
        <v>TXN-101292</v>
      </c>
      <c r="B1317" s="37" t="n">
        <f aca="false">IF(Raw_Export!$A1317="","",IF(ISNUMBER(Raw_Export!B1317),Raw_Export!B1317,IF(MID(TRIM(Raw_Export!B1317),5,1)="-",DATE(LEFT(TRIM(Raw_Export!B1317),4),MID(TRIM(Raw_Export!B1317),6,2),RIGHT(TRIM(Raw_Export!B1317),2)),DATE(RIGHT(TRIM(Raw_Export!B1317),4),MATCH(MID(TRIM(Raw_Export!B1317),4,3),{"Jan","Feb","Mar","Apr","May","Jun","Jul","Aug","Sep","Oct","Nov","Dec"},0),LEFT(TRIM(Raw_Export!B1317),2)))))</f>
        <v>46273</v>
      </c>
      <c r="C1317" s="36" t="str">
        <f aca="false">IF(Raw_Export!$A1317="","",IFERROR(VLOOKUP(LOWER(TRIM(Raw_Export!C1317)),Maps!$A$2:$B$20,2,FALSE()),"UNMAPPED"))</f>
        <v>Kisumu</v>
      </c>
      <c r="D1317" s="36" t="str">
        <f aca="false">IF(Raw_Export!$A1317="","",IFERROR(VLOOKUP(LOWER(TRIM(Raw_Export!D1317)),Maps!$G$2:$I$80,2,FALSE()),"UNMAPPED"))</f>
        <v>Peanuts 250g</v>
      </c>
      <c r="E1317" s="36" t="str">
        <f aca="false">IF(Raw_Export!$A1317="","",IFERROR(VLOOKUP(LOWER(TRIM(Raw_Export!D1317)),Maps!$G$2:$I$80,3,FALSE()),"UNMAPPED"))</f>
        <v>Snacks</v>
      </c>
      <c r="F1317" s="36" t="n">
        <f aca="false">IF(Raw_Export!$A1317="","",IFERROR(VALUE(TRIM(Raw_Export!E1317)),0))</f>
        <v>3</v>
      </c>
      <c r="G1317" s="38" t="n">
        <f aca="false">IF(Raw_Export!$A1317="","",IFERROR(VALUE(SUBSTITUTE(SUBSTITUTE(UPPER(TRIM(Raw_Export!F1317)),"KES",""),",","")),0))</f>
        <v>130</v>
      </c>
      <c r="H1317" s="38" t="n">
        <f aca="false">IF(Raw_Export!$A1317="","",F1317*G1317)</f>
        <v>390</v>
      </c>
      <c r="I1317" s="36" t="str">
        <f aca="false">IF(Raw_Export!$A1317="","",IFERROR(VLOOKUP(LOWER(TRIM(Raw_Export!H1317)),Maps!$D$2:$E$12,2,FALSE()),"Other"))</f>
        <v>M-Pesa</v>
      </c>
      <c r="J1317" s="36" t="str">
        <f aca="false">IF(Raw_Export!$A1317="","",IF(COUNTIF($A$2:A1317,A1317)&gt;1,"Duplicate",""))</f>
        <v/>
      </c>
      <c r="K1317" s="36" t="str">
        <f aca="false">IF(Raw_Export!$A1317="","",IF(J1317="Duplicate","Duplicate",IF(OR(C1317="UNMAPPED",D1317="UNMAPPED"),"Unmapped",IF(F1317=0,"Blank qty",IF(F1317&lt;0,"Return","OK")))))</f>
        <v>OK</v>
      </c>
      <c r="L1317" s="36" t="n">
        <f aca="false">IF(Raw_Export!$A1317="","",IF(OR(K1317="OK",K1317="Return"),1,0))</f>
        <v>1</v>
      </c>
      <c r="M1317" s="37" t="n">
        <f aca="false">IF(Raw_Export!$A1317="","",B1317-WEEKDAY(B1317,2)+1)</f>
        <v>46272</v>
      </c>
    </row>
    <row r="1318" customFormat="false" ht="15" hidden="false" customHeight="false" outlineLevel="0" collapsed="false">
      <c r="A1318" s="36" t="str">
        <f aca="false">IF(Raw_Export!$A1318="","",TRIM(Raw_Export!A1318))</f>
        <v>TXN-101972</v>
      </c>
      <c r="B1318" s="37" t="n">
        <f aca="false">IF(Raw_Export!$A1318="","",IF(ISNUMBER(Raw_Export!B1318),Raw_Export!B1318,IF(MID(TRIM(Raw_Export!B1318),5,1)="-",DATE(LEFT(TRIM(Raw_Export!B1318),4),MID(TRIM(Raw_Export!B1318),6,2),RIGHT(TRIM(Raw_Export!B1318),2)),DATE(RIGHT(TRIM(Raw_Export!B1318),4),MATCH(MID(TRIM(Raw_Export!B1318),4,3),{"Jan","Feb","Mar","Apr","May","Jun","Jul","Aug","Sep","Oct","Nov","Dec"},0),LEFT(TRIM(Raw_Export!B1318),2)))))</f>
        <v>46277</v>
      </c>
      <c r="C1318" s="36" t="str">
        <f aca="false">IF(Raw_Export!$A1318="","",IFERROR(VLOOKUP(LOWER(TRIM(Raw_Export!C1318)),Maps!$A$2:$B$20,2,FALSE()),"UNMAPPED"))</f>
        <v>Nakuru</v>
      </c>
      <c r="D1318" s="36" t="str">
        <f aca="false">IF(Raw_Export!$A1318="","",IFERROR(VLOOKUP(LOWER(TRIM(Raw_Export!D1318)),Maps!$G$2:$I$80,2,FALSE()),"UNMAPPED"))</f>
        <v>Salt 500g</v>
      </c>
      <c r="E1318" s="36" t="str">
        <f aca="false">IF(Raw_Export!$A1318="","",IFERROR(VLOOKUP(LOWER(TRIM(Raw_Export!D1318)),Maps!$G$2:$I$80,3,FALSE()),"UNMAPPED"))</f>
        <v>Staples</v>
      </c>
      <c r="F1318" s="36" t="n">
        <f aca="false">IF(Raw_Export!$A1318="","",IFERROR(VALUE(TRIM(Raw_Export!E1318)),0))</f>
        <v>2</v>
      </c>
      <c r="G1318" s="38" t="n">
        <f aca="false">IF(Raw_Export!$A1318="","",IFERROR(VALUE(SUBSTITUTE(SUBSTITUTE(UPPER(TRIM(Raw_Export!F1318)),"KES",""),",","")),0))</f>
        <v>40</v>
      </c>
      <c r="H1318" s="38" t="n">
        <f aca="false">IF(Raw_Export!$A1318="","",F1318*G1318)</f>
        <v>80</v>
      </c>
      <c r="I1318" s="36" t="str">
        <f aca="false">IF(Raw_Export!$A1318="","",IFERROR(VLOOKUP(LOWER(TRIM(Raw_Export!H1318)),Maps!$D$2:$E$12,2,FALSE()),"Other"))</f>
        <v>Cash</v>
      </c>
      <c r="J1318" s="36" t="str">
        <f aca="false">IF(Raw_Export!$A1318="","",IF(COUNTIF($A$2:A1318,A1318)&gt;1,"Duplicate",""))</f>
        <v/>
      </c>
      <c r="K1318" s="36" t="str">
        <f aca="false">IF(Raw_Export!$A1318="","",IF(J1318="Duplicate","Duplicate",IF(OR(C1318="UNMAPPED",D1318="UNMAPPED"),"Unmapped",IF(F1318=0,"Blank qty",IF(F1318&lt;0,"Return","OK")))))</f>
        <v>OK</v>
      </c>
      <c r="L1318" s="36" t="n">
        <f aca="false">IF(Raw_Export!$A1318="","",IF(OR(K1318="OK",K1318="Return"),1,0))</f>
        <v>1</v>
      </c>
      <c r="M1318" s="37" t="n">
        <f aca="false">IF(Raw_Export!$A1318="","",B1318-WEEKDAY(B1318,2)+1)</f>
        <v>46272</v>
      </c>
    </row>
    <row r="1319" customFormat="false" ht="15" hidden="false" customHeight="false" outlineLevel="0" collapsed="false">
      <c r="A1319" s="36" t="str">
        <f aca="false">IF(Raw_Export!$A1319="","",TRIM(Raw_Export!A1319))</f>
        <v>TXN-101293</v>
      </c>
      <c r="B1319" s="37" t="n">
        <f aca="false">IF(Raw_Export!$A1319="","",IF(ISNUMBER(Raw_Export!B1319),Raw_Export!B1319,IF(MID(TRIM(Raw_Export!B1319),5,1)="-",DATE(LEFT(TRIM(Raw_Export!B1319),4),MID(TRIM(Raw_Export!B1319),6,2),RIGHT(TRIM(Raw_Export!B1319),2)),DATE(RIGHT(TRIM(Raw_Export!B1319),4),MATCH(MID(TRIM(Raw_Export!B1319),4,3),{"Jan","Feb","Mar","Apr","May","Jun","Jul","Aug","Sep","Oct","Nov","Dec"},0),LEFT(TRIM(Raw_Export!B1319),2)))))</f>
        <v>46273</v>
      </c>
      <c r="C1319" s="36" t="str">
        <f aca="false">IF(Raw_Export!$A1319="","",IFERROR(VLOOKUP(LOWER(TRIM(Raw_Export!C1319)),Maps!$A$2:$B$20,2,FALSE()),"UNMAPPED"))</f>
        <v>Kisumu</v>
      </c>
      <c r="D1319" s="36" t="str">
        <f aca="false">IF(Raw_Export!$A1319="","",IFERROR(VLOOKUP(LOWER(TRIM(Raw_Export!D1319)),Maps!$G$2:$I$80,2,FALSE()),"UNMAPPED"))</f>
        <v>Fresh Milk 500ml</v>
      </c>
      <c r="E1319" s="36" t="str">
        <f aca="false">IF(Raw_Export!$A1319="","",IFERROR(VLOOKUP(LOWER(TRIM(Raw_Export!D1319)),Maps!$G$2:$I$80,3,FALSE()),"UNMAPPED"))</f>
        <v>Dairy &amp; Eggs</v>
      </c>
      <c r="F1319" s="36" t="n">
        <f aca="false">IF(Raw_Export!$A1319="","",IFERROR(VALUE(TRIM(Raw_Export!E1319)),0))</f>
        <v>1</v>
      </c>
      <c r="G1319" s="38" t="n">
        <f aca="false">IF(Raw_Export!$A1319="","",IFERROR(VALUE(SUBSTITUTE(SUBSTITUTE(UPPER(TRIM(Raw_Export!F1319)),"KES",""),",","")),0))</f>
        <v>58</v>
      </c>
      <c r="H1319" s="38" t="n">
        <f aca="false">IF(Raw_Export!$A1319="","",F1319*G1319)</f>
        <v>58</v>
      </c>
      <c r="I1319" s="36" t="str">
        <f aca="false">IF(Raw_Export!$A1319="","",IFERROR(VLOOKUP(LOWER(TRIM(Raw_Export!H1319)),Maps!$D$2:$E$12,2,FALSE()),"Other"))</f>
        <v>M-Pesa</v>
      </c>
      <c r="J1319" s="36" t="str">
        <f aca="false">IF(Raw_Export!$A1319="","",IF(COUNTIF($A$2:A1319,A1319)&gt;1,"Duplicate",""))</f>
        <v/>
      </c>
      <c r="K1319" s="36" t="str">
        <f aca="false">IF(Raw_Export!$A1319="","",IF(J1319="Duplicate","Duplicate",IF(OR(C1319="UNMAPPED",D1319="UNMAPPED"),"Unmapped",IF(F1319=0,"Blank qty",IF(F1319&lt;0,"Return","OK")))))</f>
        <v>OK</v>
      </c>
      <c r="L1319" s="36" t="n">
        <f aca="false">IF(Raw_Export!$A1319="","",IF(OR(K1319="OK",K1319="Return"),1,0))</f>
        <v>1</v>
      </c>
      <c r="M1319" s="37" t="n">
        <f aca="false">IF(Raw_Export!$A1319="","",B1319-WEEKDAY(B1319,2)+1)</f>
        <v>46272</v>
      </c>
    </row>
    <row r="1320" customFormat="false" ht="15" hidden="false" customHeight="false" outlineLevel="0" collapsed="false">
      <c r="A1320" s="36" t="str">
        <f aca="false">IF(Raw_Export!$A1320="","",TRIM(Raw_Export!A1320))</f>
        <v>TXN-101294</v>
      </c>
      <c r="B1320" s="37" t="n">
        <f aca="false">IF(Raw_Export!$A1320="","",IF(ISNUMBER(Raw_Export!B1320),Raw_Export!B1320,IF(MID(TRIM(Raw_Export!B1320),5,1)="-",DATE(LEFT(TRIM(Raw_Export!B1320),4),MID(TRIM(Raw_Export!B1320),6,2),RIGHT(TRIM(Raw_Export!B1320),2)),DATE(RIGHT(TRIM(Raw_Export!B1320),4),MATCH(MID(TRIM(Raw_Export!B1320),4,3),{"Jan","Feb","Mar","Apr","May","Jun","Jul","Aug","Sep","Oct","Nov","Dec"},0),LEFT(TRIM(Raw_Export!B1320),2)))))</f>
        <v>46273</v>
      </c>
      <c r="C1320" s="36" t="str">
        <f aca="false">IF(Raw_Export!$A1320="","",IFERROR(VLOOKUP(LOWER(TRIM(Raw_Export!C1320)),Maps!$A$2:$B$20,2,FALSE()),"UNMAPPED"))</f>
        <v>Kisumu</v>
      </c>
      <c r="D1320" s="36" t="str">
        <f aca="false">IF(Raw_Export!$A1320="","",IFERROR(VLOOKUP(LOWER(TRIM(Raw_Export!D1320)),Maps!$G$2:$I$80,2,FALSE()),"UNMAPPED"))</f>
        <v>Yoghurt 500ml</v>
      </c>
      <c r="E1320" s="36" t="str">
        <f aca="false">IF(Raw_Export!$A1320="","",IFERROR(VLOOKUP(LOWER(TRIM(Raw_Export!D1320)),Maps!$G$2:$I$80,3,FALSE()),"UNMAPPED"))</f>
        <v>Dairy &amp; Eggs</v>
      </c>
      <c r="F1320" s="36" t="n">
        <f aca="false">IF(Raw_Export!$A1320="","",IFERROR(VALUE(TRIM(Raw_Export!E1320)),0))</f>
        <v>1</v>
      </c>
      <c r="G1320" s="38" t="n">
        <f aca="false">IF(Raw_Export!$A1320="","",IFERROR(VALUE(SUBSTITUTE(SUBSTITUTE(UPPER(TRIM(Raw_Export!F1320)),"KES",""),",","")),0))</f>
        <v>120</v>
      </c>
      <c r="H1320" s="38" t="n">
        <f aca="false">IF(Raw_Export!$A1320="","",F1320*G1320)</f>
        <v>120</v>
      </c>
      <c r="I1320" s="36" t="str">
        <f aca="false">IF(Raw_Export!$A1320="","",IFERROR(VLOOKUP(LOWER(TRIM(Raw_Export!H1320)),Maps!$D$2:$E$12,2,FALSE()),"Other"))</f>
        <v>Cash</v>
      </c>
      <c r="J1320" s="36" t="str">
        <f aca="false">IF(Raw_Export!$A1320="","",IF(COUNTIF($A$2:A1320,A1320)&gt;1,"Duplicate",""))</f>
        <v/>
      </c>
      <c r="K1320" s="36" t="str">
        <f aca="false">IF(Raw_Export!$A1320="","",IF(J1320="Duplicate","Duplicate",IF(OR(C1320="UNMAPPED",D1320="UNMAPPED"),"Unmapped",IF(F1320=0,"Blank qty",IF(F1320&lt;0,"Return","OK")))))</f>
        <v>OK</v>
      </c>
      <c r="L1320" s="36" t="n">
        <f aca="false">IF(Raw_Export!$A1320="","",IF(OR(K1320="OK",K1320="Return"),1,0))</f>
        <v>1</v>
      </c>
      <c r="M1320" s="37" t="n">
        <f aca="false">IF(Raw_Export!$A1320="","",B1320-WEEKDAY(B1320,2)+1)</f>
        <v>46272</v>
      </c>
    </row>
    <row r="1321" customFormat="false" ht="15" hidden="false" customHeight="false" outlineLevel="0" collapsed="false">
      <c r="A1321" s="36" t="str">
        <f aca="false">IF(Raw_Export!$A1321="","",TRIM(Raw_Export!A1321))</f>
        <v>TXN-101295</v>
      </c>
      <c r="B1321" s="37" t="n">
        <f aca="false">IF(Raw_Export!$A1321="","",IF(ISNUMBER(Raw_Export!B1321),Raw_Export!B1321,IF(MID(TRIM(Raw_Export!B1321),5,1)="-",DATE(LEFT(TRIM(Raw_Export!B1321),4),MID(TRIM(Raw_Export!B1321),6,2),RIGHT(TRIM(Raw_Export!B1321),2)),DATE(RIGHT(TRIM(Raw_Export!B1321),4),MATCH(MID(TRIM(Raw_Export!B1321),4,3),{"Jan","Feb","Mar","Apr","May","Jun","Jul","Aug","Sep","Oct","Nov","Dec"},0),LEFT(TRIM(Raw_Export!B1321),2)))))</f>
        <v>46273</v>
      </c>
      <c r="C1321" s="36" t="str">
        <f aca="false">IF(Raw_Export!$A1321="","",IFERROR(VLOOKUP(LOWER(TRIM(Raw_Export!C1321)),Maps!$A$2:$B$20,2,FALSE()),"UNMAPPED"))</f>
        <v>Kisumu</v>
      </c>
      <c r="D1321" s="36" t="str">
        <f aca="false">IF(Raw_Export!$A1321="","",IFERROR(VLOOKUP(LOWER(TRIM(Raw_Export!D1321)),Maps!$G$2:$I$80,2,FALSE()),"UNMAPPED"))</f>
        <v>Washing Powder 1kg</v>
      </c>
      <c r="E1321" s="36" t="str">
        <f aca="false">IF(Raw_Export!$A1321="","",IFERROR(VLOOKUP(LOWER(TRIM(Raw_Export!D1321)),Maps!$G$2:$I$80,3,FALSE()),"UNMAPPED"))</f>
        <v>Household</v>
      </c>
      <c r="F1321" s="36" t="n">
        <f aca="false">IF(Raw_Export!$A1321="","",IFERROR(VALUE(TRIM(Raw_Export!E1321)),0))</f>
        <v>1</v>
      </c>
      <c r="G1321" s="38" t="n">
        <f aca="false">IF(Raw_Export!$A1321="","",IFERROR(VALUE(SUBSTITUTE(SUBSTITUTE(UPPER(TRIM(Raw_Export!F1321)),"KES",""),",","")),0))</f>
        <v>280</v>
      </c>
      <c r="H1321" s="38" t="n">
        <f aca="false">IF(Raw_Export!$A1321="","",F1321*G1321)</f>
        <v>280</v>
      </c>
      <c r="I1321" s="36" t="str">
        <f aca="false">IF(Raw_Export!$A1321="","",IFERROR(VLOOKUP(LOWER(TRIM(Raw_Export!H1321)),Maps!$D$2:$E$12,2,FALSE()),"Other"))</f>
        <v>M-Pesa</v>
      </c>
      <c r="J1321" s="36" t="str">
        <f aca="false">IF(Raw_Export!$A1321="","",IF(COUNTIF($A$2:A1321,A1321)&gt;1,"Duplicate",""))</f>
        <v/>
      </c>
      <c r="K1321" s="36" t="str">
        <f aca="false">IF(Raw_Export!$A1321="","",IF(J1321="Duplicate","Duplicate",IF(OR(C1321="UNMAPPED",D1321="UNMAPPED"),"Unmapped",IF(F1321=0,"Blank qty",IF(F1321&lt;0,"Return","OK")))))</f>
        <v>OK</v>
      </c>
      <c r="L1321" s="36" t="n">
        <f aca="false">IF(Raw_Export!$A1321="","",IF(OR(K1321="OK",K1321="Return"),1,0))</f>
        <v>1</v>
      </c>
      <c r="M1321" s="37" t="n">
        <f aca="false">IF(Raw_Export!$A1321="","",B1321-WEEKDAY(B1321,2)+1)</f>
        <v>46272</v>
      </c>
    </row>
    <row r="1322" customFormat="false" ht="15" hidden="false" customHeight="false" outlineLevel="0" collapsed="false">
      <c r="A1322" s="36" t="str">
        <f aca="false">IF(Raw_Export!$A1322="","",TRIM(Raw_Export!A1322))</f>
        <v>TXN-101296</v>
      </c>
      <c r="B1322" s="37" t="n">
        <f aca="false">IF(Raw_Export!$A1322="","",IF(ISNUMBER(Raw_Export!B1322),Raw_Export!B1322,IF(MID(TRIM(Raw_Export!B1322),5,1)="-",DATE(LEFT(TRIM(Raw_Export!B1322),4),MID(TRIM(Raw_Export!B1322),6,2),RIGHT(TRIM(Raw_Export!B1322),2)),DATE(RIGHT(TRIM(Raw_Export!B1322),4),MATCH(MID(TRIM(Raw_Export!B1322),4,3),{"Jan","Feb","Mar","Apr","May","Jun","Jul","Aug","Sep","Oct","Nov","Dec"},0),LEFT(TRIM(Raw_Export!B1322),2)))))</f>
        <v>46273</v>
      </c>
      <c r="C1322" s="36" t="str">
        <f aca="false">IF(Raw_Export!$A1322="","",IFERROR(VLOOKUP(LOWER(TRIM(Raw_Export!C1322)),Maps!$A$2:$B$20,2,FALSE()),"UNMAPPED"))</f>
        <v>Kisumu</v>
      </c>
      <c r="D1322" s="36" t="str">
        <f aca="false">IF(Raw_Export!$A1322="","",IFERROR(VLOOKUP(LOWER(TRIM(Raw_Export!D1322)),Maps!$G$2:$I$80,2,FALSE()),"UNMAPPED"))</f>
        <v>Chocolate Bar 90g</v>
      </c>
      <c r="E1322" s="36" t="str">
        <f aca="false">IF(Raw_Export!$A1322="","",IFERROR(VLOOKUP(LOWER(TRIM(Raw_Export!D1322)),Maps!$G$2:$I$80,3,FALSE()),"UNMAPPED"))</f>
        <v>Snacks</v>
      </c>
      <c r="F1322" s="36" t="n">
        <f aca="false">IF(Raw_Export!$A1322="","",IFERROR(VALUE(TRIM(Raw_Export!E1322)),0))</f>
        <v>2</v>
      </c>
      <c r="G1322" s="38" t="n">
        <f aca="false">IF(Raw_Export!$A1322="","",IFERROR(VALUE(SUBSTITUTE(SUBSTITUTE(UPPER(TRIM(Raw_Export!F1322)),"KES",""),",","")),0))</f>
        <v>140</v>
      </c>
      <c r="H1322" s="38" t="n">
        <f aca="false">IF(Raw_Export!$A1322="","",F1322*G1322)</f>
        <v>280</v>
      </c>
      <c r="I1322" s="36" t="str">
        <f aca="false">IF(Raw_Export!$A1322="","",IFERROR(VLOOKUP(LOWER(TRIM(Raw_Export!H1322)),Maps!$D$2:$E$12,2,FALSE()),"Other"))</f>
        <v>M-Pesa</v>
      </c>
      <c r="J1322" s="36" t="str">
        <f aca="false">IF(Raw_Export!$A1322="","",IF(COUNTIF($A$2:A1322,A1322)&gt;1,"Duplicate",""))</f>
        <v/>
      </c>
      <c r="K1322" s="36" t="str">
        <f aca="false">IF(Raw_Export!$A1322="","",IF(J1322="Duplicate","Duplicate",IF(OR(C1322="UNMAPPED",D1322="UNMAPPED"),"Unmapped",IF(F1322=0,"Blank qty",IF(F1322&lt;0,"Return","OK")))))</f>
        <v>OK</v>
      </c>
      <c r="L1322" s="36" t="n">
        <f aca="false">IF(Raw_Export!$A1322="","",IF(OR(K1322="OK",K1322="Return"),1,0))</f>
        <v>1</v>
      </c>
      <c r="M1322" s="37" t="n">
        <f aca="false">IF(Raw_Export!$A1322="","",B1322-WEEKDAY(B1322,2)+1)</f>
        <v>46272</v>
      </c>
    </row>
    <row r="1323" customFormat="false" ht="15" hidden="false" customHeight="false" outlineLevel="0" collapsed="false">
      <c r="A1323" s="36" t="str">
        <f aca="false">IF(Raw_Export!$A1323="","",TRIM(Raw_Export!A1323))</f>
        <v>TXN-101297</v>
      </c>
      <c r="B1323" s="37" t="n">
        <f aca="false">IF(Raw_Export!$A1323="","",IF(ISNUMBER(Raw_Export!B1323),Raw_Export!B1323,IF(MID(TRIM(Raw_Export!B1323),5,1)="-",DATE(LEFT(TRIM(Raw_Export!B1323),4),MID(TRIM(Raw_Export!B1323),6,2),RIGHT(TRIM(Raw_Export!B1323),2)),DATE(RIGHT(TRIM(Raw_Export!B1323),4),MATCH(MID(TRIM(Raw_Export!B1323),4,3),{"Jan","Feb","Mar","Apr","May","Jun","Jul","Aug","Sep","Oct","Nov","Dec"},0),LEFT(TRIM(Raw_Export!B1323),2)))))</f>
        <v>46273</v>
      </c>
      <c r="C1323" s="36" t="str">
        <f aca="false">IF(Raw_Export!$A1323="","",IFERROR(VLOOKUP(LOWER(TRIM(Raw_Export!C1323)),Maps!$A$2:$B$20,2,FALSE()),"UNMAPPED"))</f>
        <v>Kisumu</v>
      </c>
      <c r="D1323" s="36" t="str">
        <f aca="false">IF(Raw_Export!$A1323="","",IFERROR(VLOOKUP(LOWER(TRIM(Raw_Export!D1323)),Maps!$G$2:$I$80,2,FALSE()),"UNMAPPED"))</f>
        <v>Toilet Paper 10pk</v>
      </c>
      <c r="E1323" s="36" t="str">
        <f aca="false">IF(Raw_Export!$A1323="","",IFERROR(VLOOKUP(LOWER(TRIM(Raw_Export!D1323)),Maps!$G$2:$I$80,3,FALSE()),"UNMAPPED"))</f>
        <v>Household</v>
      </c>
      <c r="F1323" s="36" t="n">
        <f aca="false">IF(Raw_Export!$A1323="","",IFERROR(VALUE(TRIM(Raw_Export!E1323)),0))</f>
        <v>3</v>
      </c>
      <c r="G1323" s="38" t="n">
        <f aca="false">IF(Raw_Export!$A1323="","",IFERROR(VALUE(SUBSTITUTE(SUBSTITUTE(UPPER(TRIM(Raw_Export!F1323)),"KES",""),",","")),0))</f>
        <v>342</v>
      </c>
      <c r="H1323" s="38" t="n">
        <f aca="false">IF(Raw_Export!$A1323="","",F1323*G1323)</f>
        <v>1026</v>
      </c>
      <c r="I1323" s="36" t="str">
        <f aca="false">IF(Raw_Export!$A1323="","",IFERROR(VLOOKUP(LOWER(TRIM(Raw_Export!H1323)),Maps!$D$2:$E$12,2,FALSE()),"Other"))</f>
        <v>M-Pesa</v>
      </c>
      <c r="J1323" s="36" t="str">
        <f aca="false">IF(Raw_Export!$A1323="","",IF(COUNTIF($A$2:A1323,A1323)&gt;1,"Duplicate",""))</f>
        <v/>
      </c>
      <c r="K1323" s="36" t="str">
        <f aca="false">IF(Raw_Export!$A1323="","",IF(J1323="Duplicate","Duplicate",IF(OR(C1323="UNMAPPED",D1323="UNMAPPED"),"Unmapped",IF(F1323=0,"Blank qty",IF(F1323&lt;0,"Return","OK")))))</f>
        <v>OK</v>
      </c>
      <c r="L1323" s="36" t="n">
        <f aca="false">IF(Raw_Export!$A1323="","",IF(OR(K1323="OK",K1323="Return"),1,0))</f>
        <v>1</v>
      </c>
      <c r="M1323" s="37" t="n">
        <f aca="false">IF(Raw_Export!$A1323="","",B1323-WEEKDAY(B1323,2)+1)</f>
        <v>46272</v>
      </c>
    </row>
    <row r="1324" customFormat="false" ht="15" hidden="false" customHeight="false" outlineLevel="0" collapsed="false">
      <c r="A1324" s="36" t="str">
        <f aca="false">IF(Raw_Export!$A1324="","",TRIM(Raw_Export!A1324))</f>
        <v>TXN-101298</v>
      </c>
      <c r="B1324" s="37" t="n">
        <f aca="false">IF(Raw_Export!$A1324="","",IF(ISNUMBER(Raw_Export!B1324),Raw_Export!B1324,IF(MID(TRIM(Raw_Export!B1324),5,1)="-",DATE(LEFT(TRIM(Raw_Export!B1324),4),MID(TRIM(Raw_Export!B1324),6,2),RIGHT(TRIM(Raw_Export!B1324),2)),DATE(RIGHT(TRIM(Raw_Export!B1324),4),MATCH(MID(TRIM(Raw_Export!B1324),4,3),{"Jan","Feb","Mar","Apr","May","Jun","Jul","Aug","Sep","Oct","Nov","Dec"},0),LEFT(TRIM(Raw_Export!B1324),2)))))</f>
        <v>46273</v>
      </c>
      <c r="C1324" s="36" t="str">
        <f aca="false">IF(Raw_Export!$A1324="","",IFERROR(VLOOKUP(LOWER(TRIM(Raw_Export!C1324)),Maps!$A$2:$B$20,2,FALSE()),"UNMAPPED"))</f>
        <v>Kisumu</v>
      </c>
      <c r="D1324" s="36" t="str">
        <f aca="false">IF(Raw_Export!$A1324="","",IFERROR(VLOOKUP(LOWER(TRIM(Raw_Export!D1324)),Maps!$G$2:$I$80,2,FALSE()),"UNMAPPED"))</f>
        <v>Cooking Oil 1L</v>
      </c>
      <c r="E1324" s="36" t="str">
        <f aca="false">IF(Raw_Export!$A1324="","",IFERROR(VLOOKUP(LOWER(TRIM(Raw_Export!D1324)),Maps!$G$2:$I$80,3,FALSE()),"UNMAPPED"))</f>
        <v>Staples</v>
      </c>
      <c r="F1324" s="36" t="n">
        <f aca="false">IF(Raw_Export!$A1324="","",IFERROR(VALUE(TRIM(Raw_Export!E1324)),0))</f>
        <v>4</v>
      </c>
      <c r="G1324" s="38" t="n">
        <f aca="false">IF(Raw_Export!$A1324="","",IFERROR(VALUE(SUBSTITUTE(SUBSTITUTE(UPPER(TRIM(Raw_Export!F1324)),"KES",""),",","")),0))</f>
        <v>330</v>
      </c>
      <c r="H1324" s="38" t="n">
        <f aca="false">IF(Raw_Export!$A1324="","",F1324*G1324)</f>
        <v>1320</v>
      </c>
      <c r="I1324" s="36" t="str">
        <f aca="false">IF(Raw_Export!$A1324="","",IFERROR(VLOOKUP(LOWER(TRIM(Raw_Export!H1324)),Maps!$D$2:$E$12,2,FALSE()),"Other"))</f>
        <v>Card</v>
      </c>
      <c r="J1324" s="36" t="str">
        <f aca="false">IF(Raw_Export!$A1324="","",IF(COUNTIF($A$2:A1324,A1324)&gt;1,"Duplicate",""))</f>
        <v/>
      </c>
      <c r="K1324" s="36" t="str">
        <f aca="false">IF(Raw_Export!$A1324="","",IF(J1324="Duplicate","Duplicate",IF(OR(C1324="UNMAPPED",D1324="UNMAPPED"),"Unmapped",IF(F1324=0,"Blank qty",IF(F1324&lt;0,"Return","OK")))))</f>
        <v>OK</v>
      </c>
      <c r="L1324" s="36" t="n">
        <f aca="false">IF(Raw_Export!$A1324="","",IF(OR(K1324="OK",K1324="Return"),1,0))</f>
        <v>1</v>
      </c>
      <c r="M1324" s="37" t="n">
        <f aca="false">IF(Raw_Export!$A1324="","",B1324-WEEKDAY(B1324,2)+1)</f>
        <v>46272</v>
      </c>
    </row>
    <row r="1325" customFormat="false" ht="15" hidden="false" customHeight="false" outlineLevel="0" collapsed="false">
      <c r="A1325" s="36" t="str">
        <f aca="false">IF(Raw_Export!$A1325="","",TRIM(Raw_Export!A1325))</f>
        <v>TXN-101299</v>
      </c>
      <c r="B1325" s="37" t="n">
        <f aca="false">IF(Raw_Export!$A1325="","",IF(ISNUMBER(Raw_Export!B1325),Raw_Export!B1325,IF(MID(TRIM(Raw_Export!B1325),5,1)="-",DATE(LEFT(TRIM(Raw_Export!B1325),4),MID(TRIM(Raw_Export!B1325),6,2),RIGHT(TRIM(Raw_Export!B1325),2)),DATE(RIGHT(TRIM(Raw_Export!B1325),4),MATCH(MID(TRIM(Raw_Export!B1325),4,3),{"Jan","Feb","Mar","Apr","May","Jun","Jul","Aug","Sep","Oct","Nov","Dec"},0),LEFT(TRIM(Raw_Export!B1325),2)))))</f>
        <v>46273</v>
      </c>
      <c r="C1325" s="36" t="str">
        <f aca="false">IF(Raw_Export!$A1325="","",IFERROR(VLOOKUP(LOWER(TRIM(Raw_Export!C1325)),Maps!$A$2:$B$20,2,FALSE()),"UNMAPPED"))</f>
        <v>Kisumu</v>
      </c>
      <c r="D1325" s="36" t="str">
        <f aca="false">IF(Raw_Export!$A1325="","",IFERROR(VLOOKUP(LOWER(TRIM(Raw_Export!D1325)),Maps!$G$2:$I$80,2,FALSE()),"UNMAPPED"))</f>
        <v>Yoghurt 500ml</v>
      </c>
      <c r="E1325" s="36" t="str">
        <f aca="false">IF(Raw_Export!$A1325="","",IFERROR(VLOOKUP(LOWER(TRIM(Raw_Export!D1325)),Maps!$G$2:$I$80,3,FALSE()),"UNMAPPED"))</f>
        <v>Dairy &amp; Eggs</v>
      </c>
      <c r="F1325" s="36" t="n">
        <f aca="false">IF(Raw_Export!$A1325="","",IFERROR(VALUE(TRIM(Raw_Export!E1325)),0))</f>
        <v>1</v>
      </c>
      <c r="G1325" s="38" t="n">
        <f aca="false">IF(Raw_Export!$A1325="","",IFERROR(VALUE(SUBSTITUTE(SUBSTITUTE(UPPER(TRIM(Raw_Export!F1325)),"KES",""),",","")),0))</f>
        <v>120</v>
      </c>
      <c r="H1325" s="38" t="n">
        <f aca="false">IF(Raw_Export!$A1325="","",F1325*G1325)</f>
        <v>120</v>
      </c>
      <c r="I1325" s="36" t="str">
        <f aca="false">IF(Raw_Export!$A1325="","",IFERROR(VLOOKUP(LOWER(TRIM(Raw_Export!H1325)),Maps!$D$2:$E$12,2,FALSE()),"Other"))</f>
        <v>Cash</v>
      </c>
      <c r="J1325" s="36" t="str">
        <f aca="false">IF(Raw_Export!$A1325="","",IF(COUNTIF($A$2:A1325,A1325)&gt;1,"Duplicate",""))</f>
        <v/>
      </c>
      <c r="K1325" s="36" t="str">
        <f aca="false">IF(Raw_Export!$A1325="","",IF(J1325="Duplicate","Duplicate",IF(OR(C1325="UNMAPPED",D1325="UNMAPPED"),"Unmapped",IF(F1325=0,"Blank qty",IF(F1325&lt;0,"Return","OK")))))</f>
        <v>OK</v>
      </c>
      <c r="L1325" s="36" t="n">
        <f aca="false">IF(Raw_Export!$A1325="","",IF(OR(K1325="OK",K1325="Return"),1,0))</f>
        <v>1</v>
      </c>
      <c r="M1325" s="37" t="n">
        <f aca="false">IF(Raw_Export!$A1325="","",B1325-WEEKDAY(B1325,2)+1)</f>
        <v>46272</v>
      </c>
    </row>
    <row r="1326" customFormat="false" ht="15" hidden="false" customHeight="false" outlineLevel="0" collapsed="false">
      <c r="A1326" s="36" t="str">
        <f aca="false">IF(Raw_Export!$A1326="","",TRIM(Raw_Export!A1326))</f>
        <v>TXN-101300</v>
      </c>
      <c r="B1326" s="37" t="n">
        <f aca="false">IF(Raw_Export!$A1326="","",IF(ISNUMBER(Raw_Export!B1326),Raw_Export!B1326,IF(MID(TRIM(Raw_Export!B1326),5,1)="-",DATE(LEFT(TRIM(Raw_Export!B1326),4),MID(TRIM(Raw_Export!B1326),6,2),RIGHT(TRIM(Raw_Export!B1326),2)),DATE(RIGHT(TRIM(Raw_Export!B1326),4),MATCH(MID(TRIM(Raw_Export!B1326),4,3),{"Jan","Feb","Mar","Apr","May","Jun","Jul","Aug","Sep","Oct","Nov","Dec"},0),LEFT(TRIM(Raw_Export!B1326),2)))))</f>
        <v>46273</v>
      </c>
      <c r="C1326" s="36" t="str">
        <f aca="false">IF(Raw_Export!$A1326="","",IFERROR(VLOOKUP(LOWER(TRIM(Raw_Export!C1326)),Maps!$A$2:$B$20,2,FALSE()),"UNMAPPED"))</f>
        <v>Kisumu</v>
      </c>
      <c r="D1326" s="36" t="str">
        <f aca="false">IF(Raw_Export!$A1326="","",IFERROR(VLOOKUP(LOWER(TRIM(Raw_Export!D1326)),Maps!$G$2:$I$80,2,FALSE()),"UNMAPPED"))</f>
        <v>Rice Pishori 2kg</v>
      </c>
      <c r="E1326" s="36" t="str">
        <f aca="false">IF(Raw_Export!$A1326="","",IFERROR(VLOOKUP(LOWER(TRIM(Raw_Export!D1326)),Maps!$G$2:$I$80,3,FALSE()),"UNMAPPED"))</f>
        <v>Staples</v>
      </c>
      <c r="F1326" s="36" t="n">
        <f aca="false">IF(Raw_Export!$A1326="","",IFERROR(VALUE(TRIM(Raw_Export!E1326)),0))</f>
        <v>2</v>
      </c>
      <c r="G1326" s="38" t="n">
        <f aca="false">IF(Raw_Export!$A1326="","",IFERROR(VALUE(SUBSTITUTE(SUBSTITUTE(UPPER(TRIM(Raw_Export!F1326)),"KES",""),",","")),0))</f>
        <v>420</v>
      </c>
      <c r="H1326" s="38" t="n">
        <f aca="false">IF(Raw_Export!$A1326="","",F1326*G1326)</f>
        <v>840</v>
      </c>
      <c r="I1326" s="36" t="str">
        <f aca="false">IF(Raw_Export!$A1326="","",IFERROR(VLOOKUP(LOWER(TRIM(Raw_Export!H1326)),Maps!$D$2:$E$12,2,FALSE()),"Other"))</f>
        <v>M-Pesa</v>
      </c>
      <c r="J1326" s="36" t="str">
        <f aca="false">IF(Raw_Export!$A1326="","",IF(COUNTIF($A$2:A1326,A1326)&gt;1,"Duplicate",""))</f>
        <v/>
      </c>
      <c r="K1326" s="36" t="str">
        <f aca="false">IF(Raw_Export!$A1326="","",IF(J1326="Duplicate","Duplicate",IF(OR(C1326="UNMAPPED",D1326="UNMAPPED"),"Unmapped",IF(F1326=0,"Blank qty",IF(F1326&lt;0,"Return","OK")))))</f>
        <v>OK</v>
      </c>
      <c r="L1326" s="36" t="n">
        <f aca="false">IF(Raw_Export!$A1326="","",IF(OR(K1326="OK",K1326="Return"),1,0))</f>
        <v>1</v>
      </c>
      <c r="M1326" s="37" t="n">
        <f aca="false">IF(Raw_Export!$A1326="","",B1326-WEEKDAY(B1326,2)+1)</f>
        <v>46272</v>
      </c>
    </row>
    <row r="1327" customFormat="false" ht="15" hidden="false" customHeight="false" outlineLevel="0" collapsed="false">
      <c r="A1327" s="36" t="str">
        <f aca="false">IF(Raw_Export!$A1327="","",TRIM(Raw_Export!A1327))</f>
        <v>TXN-101544</v>
      </c>
      <c r="B1327" s="37" t="n">
        <f aca="false">IF(Raw_Export!$A1327="","",IF(ISNUMBER(Raw_Export!B1327),Raw_Export!B1327,IF(MID(TRIM(Raw_Export!B1327),5,1)="-",DATE(LEFT(TRIM(Raw_Export!B1327),4),MID(TRIM(Raw_Export!B1327),6,2),RIGHT(TRIM(Raw_Export!B1327),2)),DATE(RIGHT(TRIM(Raw_Export!B1327),4),MATCH(MID(TRIM(Raw_Export!B1327),4,3),{"Jan","Feb","Mar","Apr","May","Jun","Jul","Aug","Sep","Oct","Nov","Dec"},0),LEFT(TRIM(Raw_Export!B1327),2)))))</f>
        <v>46275</v>
      </c>
      <c r="C1327" s="36" t="str">
        <f aca="false">IF(Raw_Export!$A1327="","",IFERROR(VLOOKUP(LOWER(TRIM(Raw_Export!C1327)),Maps!$A$2:$B$20,2,FALSE()),"UNMAPPED"))</f>
        <v>Mombasa</v>
      </c>
      <c r="D1327" s="36" t="str">
        <f aca="false">IF(Raw_Export!$A1327="","",IFERROR(VLOOKUP(LOWER(TRIM(Raw_Export!D1327)),Maps!$G$2:$I$80,2,FALSE()),"UNMAPPED"))</f>
        <v>Peanuts 250g</v>
      </c>
      <c r="E1327" s="36" t="str">
        <f aca="false">IF(Raw_Export!$A1327="","",IFERROR(VLOOKUP(LOWER(TRIM(Raw_Export!D1327)),Maps!$G$2:$I$80,3,FALSE()),"UNMAPPED"))</f>
        <v>Snacks</v>
      </c>
      <c r="F1327" s="36" t="n">
        <f aca="false">IF(Raw_Export!$A1327="","",IFERROR(VALUE(TRIM(Raw_Export!E1327)),0))</f>
        <v>4</v>
      </c>
      <c r="G1327" s="38" t="n">
        <f aca="false">IF(Raw_Export!$A1327="","",IFERROR(VALUE(SUBSTITUTE(SUBSTITUTE(UPPER(TRIM(Raw_Export!F1327)),"KES",""),",","")),0))</f>
        <v>130</v>
      </c>
      <c r="H1327" s="38" t="n">
        <f aca="false">IF(Raw_Export!$A1327="","",F1327*G1327)</f>
        <v>520</v>
      </c>
      <c r="I1327" s="36" t="str">
        <f aca="false">IF(Raw_Export!$A1327="","",IFERROR(VLOOKUP(LOWER(TRIM(Raw_Export!H1327)),Maps!$D$2:$E$12,2,FALSE()),"Other"))</f>
        <v>M-Pesa</v>
      </c>
      <c r="J1327" s="36" t="str">
        <f aca="false">IF(Raw_Export!$A1327="","",IF(COUNTIF($A$2:A1327,A1327)&gt;1,"Duplicate",""))</f>
        <v/>
      </c>
      <c r="K1327" s="36" t="str">
        <f aca="false">IF(Raw_Export!$A1327="","",IF(J1327="Duplicate","Duplicate",IF(OR(C1327="UNMAPPED",D1327="UNMAPPED"),"Unmapped",IF(F1327=0,"Blank qty",IF(F1327&lt;0,"Return","OK")))))</f>
        <v>OK</v>
      </c>
      <c r="L1327" s="36" t="n">
        <f aca="false">IF(Raw_Export!$A1327="","",IF(OR(K1327="OK",K1327="Return"),1,0))</f>
        <v>1</v>
      </c>
      <c r="M1327" s="37" t="n">
        <f aca="false">IF(Raw_Export!$A1327="","",B1327-WEEKDAY(B1327,2)+1)</f>
        <v>46272</v>
      </c>
    </row>
    <row r="1328" customFormat="false" ht="15" hidden="false" customHeight="false" outlineLevel="0" collapsed="false">
      <c r="A1328" s="36" t="str">
        <f aca="false">IF(Raw_Export!$A1328="","",TRIM(Raw_Export!A1328))</f>
        <v>TXN-101301</v>
      </c>
      <c r="B1328" s="37" t="n">
        <f aca="false">IF(Raw_Export!$A1328="","",IF(ISNUMBER(Raw_Export!B1328),Raw_Export!B1328,IF(MID(TRIM(Raw_Export!B1328),5,1)="-",DATE(LEFT(TRIM(Raw_Export!B1328),4),MID(TRIM(Raw_Export!B1328),6,2),RIGHT(TRIM(Raw_Export!B1328),2)),DATE(RIGHT(TRIM(Raw_Export!B1328),4),MATCH(MID(TRIM(Raw_Export!B1328),4,3),{"Jan","Feb","Mar","Apr","May","Jun","Jul","Aug","Sep","Oct","Nov","Dec"},0),LEFT(TRIM(Raw_Export!B1328),2)))))</f>
        <v>46273</v>
      </c>
      <c r="C1328" s="36" t="str">
        <f aca="false">IF(Raw_Export!$A1328="","",IFERROR(VLOOKUP(LOWER(TRIM(Raw_Export!C1328)),Maps!$A$2:$B$20,2,FALSE()),"UNMAPPED"))</f>
        <v>Kisumu</v>
      </c>
      <c r="D1328" s="36" t="str">
        <f aca="false">IF(Raw_Export!$A1328="","",IFERROR(VLOOKUP(LOWER(TRIM(Raw_Export!D1328)),Maps!$G$2:$I$80,2,FALSE()),"UNMAPPED"))</f>
        <v>Washing Powder 1kg</v>
      </c>
      <c r="E1328" s="36" t="str">
        <f aca="false">IF(Raw_Export!$A1328="","",IFERROR(VLOOKUP(LOWER(TRIM(Raw_Export!D1328)),Maps!$G$2:$I$80,3,FALSE()),"UNMAPPED"))</f>
        <v>Household</v>
      </c>
      <c r="F1328" s="36" t="n">
        <f aca="false">IF(Raw_Export!$A1328="","",IFERROR(VALUE(TRIM(Raw_Export!E1328)),0))</f>
        <v>1</v>
      </c>
      <c r="G1328" s="38" t="n">
        <f aca="false">IF(Raw_Export!$A1328="","",IFERROR(VALUE(SUBSTITUTE(SUBSTITUTE(UPPER(TRIM(Raw_Export!F1328)),"KES",""),",","")),0))</f>
        <v>280</v>
      </c>
      <c r="H1328" s="38" t="n">
        <f aca="false">IF(Raw_Export!$A1328="","",F1328*G1328)</f>
        <v>280</v>
      </c>
      <c r="I1328" s="36" t="str">
        <f aca="false">IF(Raw_Export!$A1328="","",IFERROR(VLOOKUP(LOWER(TRIM(Raw_Export!H1328)),Maps!$D$2:$E$12,2,FALSE()),"Other"))</f>
        <v>Card</v>
      </c>
      <c r="J1328" s="36" t="str">
        <f aca="false">IF(Raw_Export!$A1328="","",IF(COUNTIF($A$2:A1328,A1328)&gt;1,"Duplicate",""))</f>
        <v/>
      </c>
      <c r="K1328" s="36" t="str">
        <f aca="false">IF(Raw_Export!$A1328="","",IF(J1328="Duplicate","Duplicate",IF(OR(C1328="UNMAPPED",D1328="UNMAPPED"),"Unmapped",IF(F1328=0,"Blank qty",IF(F1328&lt;0,"Return","OK")))))</f>
        <v>OK</v>
      </c>
      <c r="L1328" s="36" t="n">
        <f aca="false">IF(Raw_Export!$A1328="","",IF(OR(K1328="OK",K1328="Return"),1,0))</f>
        <v>1</v>
      </c>
      <c r="M1328" s="37" t="n">
        <f aca="false">IF(Raw_Export!$A1328="","",B1328-WEEKDAY(B1328,2)+1)</f>
        <v>46272</v>
      </c>
    </row>
    <row r="1329" customFormat="false" ht="15" hidden="false" customHeight="false" outlineLevel="0" collapsed="false">
      <c r="A1329" s="36" t="str">
        <f aca="false">IF(Raw_Export!$A1329="","",TRIM(Raw_Export!A1329))</f>
        <v>TXN-101302</v>
      </c>
      <c r="B1329" s="37" t="n">
        <f aca="false">IF(Raw_Export!$A1329="","",IF(ISNUMBER(Raw_Export!B1329),Raw_Export!B1329,IF(MID(TRIM(Raw_Export!B1329),5,1)="-",DATE(LEFT(TRIM(Raw_Export!B1329),4),MID(TRIM(Raw_Export!B1329),6,2),RIGHT(TRIM(Raw_Export!B1329),2)),DATE(RIGHT(TRIM(Raw_Export!B1329),4),MATCH(MID(TRIM(Raw_Export!B1329),4,3),{"Jan","Feb","Mar","Apr","May","Jun","Jul","Aug","Sep","Oct","Nov","Dec"},0),LEFT(TRIM(Raw_Export!B1329),2)))))</f>
        <v>46273</v>
      </c>
      <c r="C1329" s="36" t="str">
        <f aca="false">IF(Raw_Export!$A1329="","",IFERROR(VLOOKUP(LOWER(TRIM(Raw_Export!C1329)),Maps!$A$2:$B$20,2,FALSE()),"UNMAPPED"))</f>
        <v>Kisumu</v>
      </c>
      <c r="D1329" s="36" t="str">
        <f aca="false">IF(Raw_Export!$A1329="","",IFERROR(VLOOKUP(LOWER(TRIM(Raw_Export!D1329)),Maps!$G$2:$I$80,2,FALSE()),"UNMAPPED"))</f>
        <v>Washing Powder 1kg</v>
      </c>
      <c r="E1329" s="36" t="str">
        <f aca="false">IF(Raw_Export!$A1329="","",IFERROR(VLOOKUP(LOWER(TRIM(Raw_Export!D1329)),Maps!$G$2:$I$80,3,FALSE()),"UNMAPPED"))</f>
        <v>Household</v>
      </c>
      <c r="F1329" s="36" t="n">
        <f aca="false">IF(Raw_Export!$A1329="","",IFERROR(VALUE(TRIM(Raw_Export!E1329)),0))</f>
        <v>1</v>
      </c>
      <c r="G1329" s="38" t="n">
        <f aca="false">IF(Raw_Export!$A1329="","",IFERROR(VALUE(SUBSTITUTE(SUBSTITUTE(UPPER(TRIM(Raw_Export!F1329)),"KES",""),",","")),0))</f>
        <v>280</v>
      </c>
      <c r="H1329" s="38" t="n">
        <f aca="false">IF(Raw_Export!$A1329="","",F1329*G1329)</f>
        <v>280</v>
      </c>
      <c r="I1329" s="36" t="str">
        <f aca="false">IF(Raw_Export!$A1329="","",IFERROR(VLOOKUP(LOWER(TRIM(Raw_Export!H1329)),Maps!$D$2:$E$12,2,FALSE()),"Other"))</f>
        <v>M-Pesa</v>
      </c>
      <c r="J1329" s="36" t="str">
        <f aca="false">IF(Raw_Export!$A1329="","",IF(COUNTIF($A$2:A1329,A1329)&gt;1,"Duplicate",""))</f>
        <v/>
      </c>
      <c r="K1329" s="36" t="str">
        <f aca="false">IF(Raw_Export!$A1329="","",IF(J1329="Duplicate","Duplicate",IF(OR(C1329="UNMAPPED",D1329="UNMAPPED"),"Unmapped",IF(F1329=0,"Blank qty",IF(F1329&lt;0,"Return","OK")))))</f>
        <v>OK</v>
      </c>
      <c r="L1329" s="36" t="n">
        <f aca="false">IF(Raw_Export!$A1329="","",IF(OR(K1329="OK",K1329="Return"),1,0))</f>
        <v>1</v>
      </c>
      <c r="M1329" s="37" t="n">
        <f aca="false">IF(Raw_Export!$A1329="","",B1329-WEEKDAY(B1329,2)+1)</f>
        <v>46272</v>
      </c>
    </row>
    <row r="1330" customFormat="false" ht="15" hidden="false" customHeight="false" outlineLevel="0" collapsed="false">
      <c r="A1330" s="36" t="str">
        <f aca="false">IF(Raw_Export!$A1330="","",TRIM(Raw_Export!A1330))</f>
        <v>TXN-101303</v>
      </c>
      <c r="B1330" s="37" t="n">
        <f aca="false">IF(Raw_Export!$A1330="","",IF(ISNUMBER(Raw_Export!B1330),Raw_Export!B1330,IF(MID(TRIM(Raw_Export!B1330),5,1)="-",DATE(LEFT(TRIM(Raw_Export!B1330),4),MID(TRIM(Raw_Export!B1330),6,2),RIGHT(TRIM(Raw_Export!B1330),2)),DATE(RIGHT(TRIM(Raw_Export!B1330),4),MATCH(MID(TRIM(Raw_Export!B1330),4,3),{"Jan","Feb","Mar","Apr","May","Jun","Jul","Aug","Sep","Oct","Nov","Dec"},0),LEFT(TRIM(Raw_Export!B1330),2)))))</f>
        <v>46273</v>
      </c>
      <c r="C1330" s="36" t="str">
        <f aca="false">IF(Raw_Export!$A1330="","",IFERROR(VLOOKUP(LOWER(TRIM(Raw_Export!C1330)),Maps!$A$2:$B$20,2,FALSE()),"UNMAPPED"))</f>
        <v>Nakuru</v>
      </c>
      <c r="D1330" s="36" t="str">
        <f aca="false">IF(Raw_Export!$A1330="","",IFERROR(VLOOKUP(LOWER(TRIM(Raw_Export!D1330)),Maps!$G$2:$I$80,2,FALSE()),"UNMAPPED"))</f>
        <v>Yoghurt 500ml</v>
      </c>
      <c r="E1330" s="36" t="str">
        <f aca="false">IF(Raw_Export!$A1330="","",IFERROR(VLOOKUP(LOWER(TRIM(Raw_Export!D1330)),Maps!$G$2:$I$80,3,FALSE()),"UNMAPPED"))</f>
        <v>Dairy &amp; Eggs</v>
      </c>
      <c r="F1330" s="36" t="n">
        <f aca="false">IF(Raw_Export!$A1330="","",IFERROR(VALUE(TRIM(Raw_Export!E1330)),0))</f>
        <v>-2</v>
      </c>
      <c r="G1330" s="38" t="n">
        <f aca="false">IF(Raw_Export!$A1330="","",IFERROR(VALUE(SUBSTITUTE(SUBSTITUTE(UPPER(TRIM(Raw_Export!F1330)),"KES",""),",","")),0))</f>
        <v>120</v>
      </c>
      <c r="H1330" s="38" t="n">
        <f aca="false">IF(Raw_Export!$A1330="","",F1330*G1330)</f>
        <v>-240</v>
      </c>
      <c r="I1330" s="36" t="str">
        <f aca="false">IF(Raw_Export!$A1330="","",IFERROR(VLOOKUP(LOWER(TRIM(Raw_Export!H1330)),Maps!$D$2:$E$12,2,FALSE()),"Other"))</f>
        <v>Cash</v>
      </c>
      <c r="J1330" s="36" t="str">
        <f aca="false">IF(Raw_Export!$A1330="","",IF(COUNTIF($A$2:A1330,A1330)&gt;1,"Duplicate",""))</f>
        <v/>
      </c>
      <c r="K1330" s="36" t="str">
        <f aca="false">IF(Raw_Export!$A1330="","",IF(J1330="Duplicate","Duplicate",IF(OR(C1330="UNMAPPED",D1330="UNMAPPED"),"Unmapped",IF(F1330=0,"Blank qty",IF(F1330&lt;0,"Return","OK")))))</f>
        <v>Return</v>
      </c>
      <c r="L1330" s="36" t="n">
        <f aca="false">IF(Raw_Export!$A1330="","",IF(OR(K1330="OK",K1330="Return"),1,0))</f>
        <v>1</v>
      </c>
      <c r="M1330" s="37" t="n">
        <f aca="false">IF(Raw_Export!$A1330="","",B1330-WEEKDAY(B1330,2)+1)</f>
        <v>46272</v>
      </c>
    </row>
    <row r="1331" customFormat="false" ht="15" hidden="false" customHeight="false" outlineLevel="0" collapsed="false">
      <c r="A1331" s="36" t="str">
        <f aca="false">IF(Raw_Export!$A1331="","",TRIM(Raw_Export!A1331))</f>
        <v>TXN-101304</v>
      </c>
      <c r="B1331" s="37" t="n">
        <f aca="false">IF(Raw_Export!$A1331="","",IF(ISNUMBER(Raw_Export!B1331),Raw_Export!B1331,IF(MID(TRIM(Raw_Export!B1331),5,1)="-",DATE(LEFT(TRIM(Raw_Export!B1331),4),MID(TRIM(Raw_Export!B1331),6,2),RIGHT(TRIM(Raw_Export!B1331),2)),DATE(RIGHT(TRIM(Raw_Export!B1331),4),MATCH(MID(TRIM(Raw_Export!B1331),4,3),{"Jan","Feb","Mar","Apr","May","Jun","Jul","Aug","Sep","Oct","Nov","Dec"},0),LEFT(TRIM(Raw_Export!B1331),2)))))</f>
        <v>46273</v>
      </c>
      <c r="C1331" s="36" t="str">
        <f aca="false">IF(Raw_Export!$A1331="","",IFERROR(VLOOKUP(LOWER(TRIM(Raw_Export!C1331)),Maps!$A$2:$B$20,2,FALSE()),"UNMAPPED"))</f>
        <v>Nakuru</v>
      </c>
      <c r="D1331" s="36" t="str">
        <f aca="false">IF(Raw_Export!$A1331="","",IFERROR(VLOOKUP(LOWER(TRIM(Raw_Export!D1331)),Maps!$G$2:$I$80,2,FALSE()),"UNMAPPED"))</f>
        <v>Salt 500g</v>
      </c>
      <c r="E1331" s="36" t="str">
        <f aca="false">IF(Raw_Export!$A1331="","",IFERROR(VLOOKUP(LOWER(TRIM(Raw_Export!D1331)),Maps!$G$2:$I$80,3,FALSE()),"UNMAPPED"))</f>
        <v>Staples</v>
      </c>
      <c r="F1331" s="36" t="n">
        <f aca="false">IF(Raw_Export!$A1331="","",IFERROR(VALUE(TRIM(Raw_Export!E1331)),0))</f>
        <v>1</v>
      </c>
      <c r="G1331" s="38" t="n">
        <f aca="false">IF(Raw_Export!$A1331="","",IFERROR(VALUE(SUBSTITUTE(SUBSTITUTE(UPPER(TRIM(Raw_Export!F1331)),"KES",""),",","")),0))</f>
        <v>40</v>
      </c>
      <c r="H1331" s="38" t="n">
        <f aca="false">IF(Raw_Export!$A1331="","",F1331*G1331)</f>
        <v>40</v>
      </c>
      <c r="I1331" s="36" t="str">
        <f aca="false">IF(Raw_Export!$A1331="","",IFERROR(VLOOKUP(LOWER(TRIM(Raw_Export!H1331)),Maps!$D$2:$E$12,2,FALSE()),"Other"))</f>
        <v>Card</v>
      </c>
      <c r="J1331" s="36" t="str">
        <f aca="false">IF(Raw_Export!$A1331="","",IF(COUNTIF($A$2:A1331,A1331)&gt;1,"Duplicate",""))</f>
        <v/>
      </c>
      <c r="K1331" s="36" t="str">
        <f aca="false">IF(Raw_Export!$A1331="","",IF(J1331="Duplicate","Duplicate",IF(OR(C1331="UNMAPPED",D1331="UNMAPPED"),"Unmapped",IF(F1331=0,"Blank qty",IF(F1331&lt;0,"Return","OK")))))</f>
        <v>OK</v>
      </c>
      <c r="L1331" s="36" t="n">
        <f aca="false">IF(Raw_Export!$A1331="","",IF(OR(K1331="OK",K1331="Return"),1,0))</f>
        <v>1</v>
      </c>
      <c r="M1331" s="37" t="n">
        <f aca="false">IF(Raw_Export!$A1331="","",B1331-WEEKDAY(B1331,2)+1)</f>
        <v>46272</v>
      </c>
    </row>
    <row r="1332" customFormat="false" ht="15" hidden="false" customHeight="false" outlineLevel="0" collapsed="false">
      <c r="A1332" s="36" t="str">
        <f aca="false">IF(Raw_Export!$A1332="","",TRIM(Raw_Export!A1332))</f>
        <v>TXN-101305</v>
      </c>
      <c r="B1332" s="37" t="n">
        <f aca="false">IF(Raw_Export!$A1332="","",IF(ISNUMBER(Raw_Export!B1332),Raw_Export!B1332,IF(MID(TRIM(Raw_Export!B1332),5,1)="-",DATE(LEFT(TRIM(Raw_Export!B1332),4),MID(TRIM(Raw_Export!B1332),6,2),RIGHT(TRIM(Raw_Export!B1332),2)),DATE(RIGHT(TRIM(Raw_Export!B1332),4),MATCH(MID(TRIM(Raw_Export!B1332),4,3),{"Jan","Feb","Mar","Apr","May","Jun","Jul","Aug","Sep","Oct","Nov","Dec"},0),LEFT(TRIM(Raw_Export!B1332),2)))))</f>
        <v>46273</v>
      </c>
      <c r="C1332" s="36" t="str">
        <f aca="false">IF(Raw_Export!$A1332="","",IFERROR(VLOOKUP(LOWER(TRIM(Raw_Export!C1332)),Maps!$A$2:$B$20,2,FALSE()),"UNMAPPED"))</f>
        <v>Nakuru</v>
      </c>
      <c r="D1332" s="36" t="str">
        <f aca="false">IF(Raw_Export!$A1332="","",IFERROR(VLOOKUP(LOWER(TRIM(Raw_Export!D1332)),Maps!$G$2:$I$80,2,FALSE()),"UNMAPPED"))</f>
        <v>Sanitary Pads 8pk</v>
      </c>
      <c r="E1332" s="36" t="str">
        <f aca="false">IF(Raw_Export!$A1332="","",IFERROR(VLOOKUP(LOWER(TRIM(Raw_Export!D1332)),Maps!$G$2:$I$80,3,FALSE()),"UNMAPPED"))</f>
        <v>Personal Care</v>
      </c>
      <c r="F1332" s="36" t="n">
        <f aca="false">IF(Raw_Export!$A1332="","",IFERROR(VALUE(TRIM(Raw_Export!E1332)),0))</f>
        <v>2</v>
      </c>
      <c r="G1332" s="38" t="n">
        <f aca="false">IF(Raw_Export!$A1332="","",IFERROR(VALUE(SUBSTITUTE(SUBSTITUTE(UPPER(TRIM(Raw_Export!F1332)),"KES",""),",","")),0))</f>
        <v>130</v>
      </c>
      <c r="H1332" s="38" t="n">
        <f aca="false">IF(Raw_Export!$A1332="","",F1332*G1332)</f>
        <v>260</v>
      </c>
      <c r="I1332" s="36" t="str">
        <f aca="false">IF(Raw_Export!$A1332="","",IFERROR(VLOOKUP(LOWER(TRIM(Raw_Export!H1332)),Maps!$D$2:$E$12,2,FALSE()),"Other"))</f>
        <v>M-Pesa</v>
      </c>
      <c r="J1332" s="36" t="str">
        <f aca="false">IF(Raw_Export!$A1332="","",IF(COUNTIF($A$2:A1332,A1332)&gt;1,"Duplicate",""))</f>
        <v/>
      </c>
      <c r="K1332" s="36" t="str">
        <f aca="false">IF(Raw_Export!$A1332="","",IF(J1332="Duplicate","Duplicate",IF(OR(C1332="UNMAPPED",D1332="UNMAPPED"),"Unmapped",IF(F1332=0,"Blank qty",IF(F1332&lt;0,"Return","OK")))))</f>
        <v>OK</v>
      </c>
      <c r="L1332" s="36" t="n">
        <f aca="false">IF(Raw_Export!$A1332="","",IF(OR(K1332="OK",K1332="Return"),1,0))</f>
        <v>1</v>
      </c>
      <c r="M1332" s="37" t="n">
        <f aca="false">IF(Raw_Export!$A1332="","",B1332-WEEKDAY(B1332,2)+1)</f>
        <v>46272</v>
      </c>
    </row>
    <row r="1333" customFormat="false" ht="15" hidden="false" customHeight="false" outlineLevel="0" collapsed="false">
      <c r="A1333" s="36" t="str">
        <f aca="false">IF(Raw_Export!$A1333="","",TRIM(Raw_Export!A1333))</f>
        <v>TXN-101306</v>
      </c>
      <c r="B1333" s="37" t="n">
        <f aca="false">IF(Raw_Export!$A1333="","",IF(ISNUMBER(Raw_Export!B1333),Raw_Export!B1333,IF(MID(TRIM(Raw_Export!B1333),5,1)="-",DATE(LEFT(TRIM(Raw_Export!B1333),4),MID(TRIM(Raw_Export!B1333),6,2),RIGHT(TRIM(Raw_Export!B1333),2)),DATE(RIGHT(TRIM(Raw_Export!B1333),4),MATCH(MID(TRIM(Raw_Export!B1333),4,3),{"Jan","Feb","Mar","Apr","May","Jun","Jul","Aug","Sep","Oct","Nov","Dec"},0),LEFT(TRIM(Raw_Export!B1333),2)))))</f>
        <v>46273</v>
      </c>
      <c r="C1333" s="36" t="str">
        <f aca="false">IF(Raw_Export!$A1333="","",IFERROR(VLOOKUP(LOWER(TRIM(Raw_Export!C1333)),Maps!$A$2:$B$20,2,FALSE()),"UNMAPPED"))</f>
        <v>Nakuru</v>
      </c>
      <c r="D1333" s="36" t="str">
        <f aca="false">IF(Raw_Export!$A1333="","",IFERROR(VLOOKUP(LOWER(TRIM(Raw_Export!D1333)),Maps!$G$2:$I$80,2,FALSE()),"UNMAPPED"))</f>
        <v>Cooking Oil 1L</v>
      </c>
      <c r="E1333" s="36" t="str">
        <f aca="false">IF(Raw_Export!$A1333="","",IFERROR(VLOOKUP(LOWER(TRIM(Raw_Export!D1333)),Maps!$G$2:$I$80,3,FALSE()),"UNMAPPED"))</f>
        <v>Staples</v>
      </c>
      <c r="F1333" s="36" t="n">
        <f aca="false">IF(Raw_Export!$A1333="","",IFERROR(VALUE(TRIM(Raw_Export!E1333)),0))</f>
        <v>2</v>
      </c>
      <c r="G1333" s="38" t="n">
        <f aca="false">IF(Raw_Export!$A1333="","",IFERROR(VALUE(SUBSTITUTE(SUBSTITUTE(UPPER(TRIM(Raw_Export!F1333)),"KES",""),",","")),0))</f>
        <v>330</v>
      </c>
      <c r="H1333" s="38" t="n">
        <f aca="false">IF(Raw_Export!$A1333="","",F1333*G1333)</f>
        <v>660</v>
      </c>
      <c r="I1333" s="36" t="str">
        <f aca="false">IF(Raw_Export!$A1333="","",IFERROR(VLOOKUP(LOWER(TRIM(Raw_Export!H1333)),Maps!$D$2:$E$12,2,FALSE()),"Other"))</f>
        <v>M-Pesa</v>
      </c>
      <c r="J1333" s="36" t="str">
        <f aca="false">IF(Raw_Export!$A1333="","",IF(COUNTIF($A$2:A1333,A1333)&gt;1,"Duplicate",""))</f>
        <v/>
      </c>
      <c r="K1333" s="36" t="str">
        <f aca="false">IF(Raw_Export!$A1333="","",IF(J1333="Duplicate","Duplicate",IF(OR(C1333="UNMAPPED",D1333="UNMAPPED"),"Unmapped",IF(F1333=0,"Blank qty",IF(F1333&lt;0,"Return","OK")))))</f>
        <v>OK</v>
      </c>
      <c r="L1333" s="36" t="n">
        <f aca="false">IF(Raw_Export!$A1333="","",IF(OR(K1333="OK",K1333="Return"),1,0))</f>
        <v>1</v>
      </c>
      <c r="M1333" s="37" t="n">
        <f aca="false">IF(Raw_Export!$A1333="","",B1333-WEEKDAY(B1333,2)+1)</f>
        <v>46272</v>
      </c>
    </row>
    <row r="1334" customFormat="false" ht="15" hidden="false" customHeight="false" outlineLevel="0" collapsed="false">
      <c r="A1334" s="36" t="str">
        <f aca="false">IF(Raw_Export!$A1334="","",TRIM(Raw_Export!A1334))</f>
        <v>TXN-101307</v>
      </c>
      <c r="B1334" s="37" t="n">
        <f aca="false">IF(Raw_Export!$A1334="","",IF(ISNUMBER(Raw_Export!B1334),Raw_Export!B1334,IF(MID(TRIM(Raw_Export!B1334),5,1)="-",DATE(LEFT(TRIM(Raw_Export!B1334),4),MID(TRIM(Raw_Export!B1334),6,2),RIGHT(TRIM(Raw_Export!B1334),2)),DATE(RIGHT(TRIM(Raw_Export!B1334),4),MATCH(MID(TRIM(Raw_Export!B1334),4,3),{"Jan","Feb","Mar","Apr","May","Jun","Jul","Aug","Sep","Oct","Nov","Dec"},0),LEFT(TRIM(Raw_Export!B1334),2)))))</f>
        <v>46273</v>
      </c>
      <c r="C1334" s="36" t="str">
        <f aca="false">IF(Raw_Export!$A1334="","",IFERROR(VLOOKUP(LOWER(TRIM(Raw_Export!C1334)),Maps!$A$2:$B$20,2,FALSE()),"UNMAPPED"))</f>
        <v>Nakuru</v>
      </c>
      <c r="D1334" s="36" t="str">
        <f aca="false">IF(Raw_Export!$A1334="","",IFERROR(VLOOKUP(LOWER(TRIM(Raw_Export!D1334)),Maps!$G$2:$I$80,2,FALSE()),"UNMAPPED"))</f>
        <v>Peanuts 250g</v>
      </c>
      <c r="E1334" s="36" t="str">
        <f aca="false">IF(Raw_Export!$A1334="","",IFERROR(VLOOKUP(LOWER(TRIM(Raw_Export!D1334)),Maps!$G$2:$I$80,3,FALSE()),"UNMAPPED"))</f>
        <v>Snacks</v>
      </c>
      <c r="F1334" s="36" t="n">
        <f aca="false">IF(Raw_Export!$A1334="","",IFERROR(VALUE(TRIM(Raw_Export!E1334)),0))</f>
        <v>2</v>
      </c>
      <c r="G1334" s="38" t="n">
        <f aca="false">IF(Raw_Export!$A1334="","",IFERROR(VALUE(SUBSTITUTE(SUBSTITUTE(UPPER(TRIM(Raw_Export!F1334)),"KES",""),",","")),0))</f>
        <v>130</v>
      </c>
      <c r="H1334" s="38" t="n">
        <f aca="false">IF(Raw_Export!$A1334="","",F1334*G1334)</f>
        <v>260</v>
      </c>
      <c r="I1334" s="36" t="str">
        <f aca="false">IF(Raw_Export!$A1334="","",IFERROR(VLOOKUP(LOWER(TRIM(Raw_Export!H1334)),Maps!$D$2:$E$12,2,FALSE()),"Other"))</f>
        <v>M-Pesa</v>
      </c>
      <c r="J1334" s="36" t="str">
        <f aca="false">IF(Raw_Export!$A1334="","",IF(COUNTIF($A$2:A1334,A1334)&gt;1,"Duplicate",""))</f>
        <v/>
      </c>
      <c r="K1334" s="36" t="str">
        <f aca="false">IF(Raw_Export!$A1334="","",IF(J1334="Duplicate","Duplicate",IF(OR(C1334="UNMAPPED",D1334="UNMAPPED"),"Unmapped",IF(F1334=0,"Blank qty",IF(F1334&lt;0,"Return","OK")))))</f>
        <v>OK</v>
      </c>
      <c r="L1334" s="36" t="n">
        <f aca="false">IF(Raw_Export!$A1334="","",IF(OR(K1334="OK",K1334="Return"),1,0))</f>
        <v>1</v>
      </c>
      <c r="M1334" s="37" t="n">
        <f aca="false">IF(Raw_Export!$A1334="","",B1334-WEEKDAY(B1334,2)+1)</f>
        <v>46272</v>
      </c>
    </row>
    <row r="1335" customFormat="false" ht="15" hidden="false" customHeight="false" outlineLevel="0" collapsed="false">
      <c r="A1335" s="36" t="str">
        <f aca="false">IF(Raw_Export!$A1335="","",TRIM(Raw_Export!A1335))</f>
        <v>TXN-101308</v>
      </c>
      <c r="B1335" s="37" t="n">
        <f aca="false">IF(Raw_Export!$A1335="","",IF(ISNUMBER(Raw_Export!B1335),Raw_Export!B1335,IF(MID(TRIM(Raw_Export!B1335),5,1)="-",DATE(LEFT(TRIM(Raw_Export!B1335),4),MID(TRIM(Raw_Export!B1335),6,2),RIGHT(TRIM(Raw_Export!B1335),2)),DATE(RIGHT(TRIM(Raw_Export!B1335),4),MATCH(MID(TRIM(Raw_Export!B1335),4,3),{"Jan","Feb","Mar","Apr","May","Jun","Jul","Aug","Sep","Oct","Nov","Dec"},0),LEFT(TRIM(Raw_Export!B1335),2)))))</f>
        <v>46273</v>
      </c>
      <c r="C1335" s="36" t="str">
        <f aca="false">IF(Raw_Export!$A1335="","",IFERROR(VLOOKUP(LOWER(TRIM(Raw_Export!C1335)),Maps!$A$2:$B$20,2,FALSE()),"UNMAPPED"))</f>
        <v>Nakuru</v>
      </c>
      <c r="D1335" s="36" t="str">
        <f aca="false">IF(Raw_Export!$A1335="","",IFERROR(VLOOKUP(LOWER(TRIM(Raw_Export!D1335)),Maps!$G$2:$I$80,2,FALSE()),"UNMAPPED"))</f>
        <v>Sanitary Pads 8pk</v>
      </c>
      <c r="E1335" s="36" t="str">
        <f aca="false">IF(Raw_Export!$A1335="","",IFERROR(VLOOKUP(LOWER(TRIM(Raw_Export!D1335)),Maps!$G$2:$I$80,3,FALSE()),"UNMAPPED"))</f>
        <v>Personal Care</v>
      </c>
      <c r="F1335" s="36" t="n">
        <f aca="false">IF(Raw_Export!$A1335="","",IFERROR(VALUE(TRIM(Raw_Export!E1335)),0))</f>
        <v>6</v>
      </c>
      <c r="G1335" s="38" t="n">
        <f aca="false">IF(Raw_Export!$A1335="","",IFERROR(VALUE(SUBSTITUTE(SUBSTITUTE(UPPER(TRIM(Raw_Export!F1335)),"KES",""),",","")),0))</f>
        <v>130</v>
      </c>
      <c r="H1335" s="38" t="n">
        <f aca="false">IF(Raw_Export!$A1335="","",F1335*G1335)</f>
        <v>780</v>
      </c>
      <c r="I1335" s="36" t="str">
        <f aca="false">IF(Raw_Export!$A1335="","",IFERROR(VLOOKUP(LOWER(TRIM(Raw_Export!H1335)),Maps!$D$2:$E$12,2,FALSE()),"Other"))</f>
        <v>Card</v>
      </c>
      <c r="J1335" s="36" t="str">
        <f aca="false">IF(Raw_Export!$A1335="","",IF(COUNTIF($A$2:A1335,A1335)&gt;1,"Duplicate",""))</f>
        <v/>
      </c>
      <c r="K1335" s="36" t="str">
        <f aca="false">IF(Raw_Export!$A1335="","",IF(J1335="Duplicate","Duplicate",IF(OR(C1335="UNMAPPED",D1335="UNMAPPED"),"Unmapped",IF(F1335=0,"Blank qty",IF(F1335&lt;0,"Return","OK")))))</f>
        <v>OK</v>
      </c>
      <c r="L1335" s="36" t="n">
        <f aca="false">IF(Raw_Export!$A1335="","",IF(OR(K1335="OK",K1335="Return"),1,0))</f>
        <v>1</v>
      </c>
      <c r="M1335" s="37" t="n">
        <f aca="false">IF(Raw_Export!$A1335="","",B1335-WEEKDAY(B1335,2)+1)</f>
        <v>46272</v>
      </c>
    </row>
    <row r="1336" customFormat="false" ht="15" hidden="false" customHeight="false" outlineLevel="0" collapsed="false">
      <c r="A1336" s="36" t="str">
        <f aca="false">IF(Raw_Export!$A1336="","",TRIM(Raw_Export!A1336))</f>
        <v>TXN-101309</v>
      </c>
      <c r="B1336" s="37" t="n">
        <f aca="false">IF(Raw_Export!$A1336="","",IF(ISNUMBER(Raw_Export!B1336),Raw_Export!B1336,IF(MID(TRIM(Raw_Export!B1336),5,1)="-",DATE(LEFT(TRIM(Raw_Export!B1336),4),MID(TRIM(Raw_Export!B1336),6,2),RIGHT(TRIM(Raw_Export!B1336),2)),DATE(RIGHT(TRIM(Raw_Export!B1336),4),MATCH(MID(TRIM(Raw_Export!B1336),4,3),{"Jan","Feb","Mar","Apr","May","Jun","Jul","Aug","Sep","Oct","Nov","Dec"},0),LEFT(TRIM(Raw_Export!B1336),2)))))</f>
        <v>46273</v>
      </c>
      <c r="C1336" s="36" t="str">
        <f aca="false">IF(Raw_Export!$A1336="","",IFERROR(VLOOKUP(LOWER(TRIM(Raw_Export!C1336)),Maps!$A$2:$B$20,2,FALSE()),"UNMAPPED"))</f>
        <v>Nakuru</v>
      </c>
      <c r="D1336" s="36" t="str">
        <f aca="false">IF(Raw_Export!$A1336="","",IFERROR(VLOOKUP(LOWER(TRIM(Raw_Export!D1336)),Maps!$G$2:$I$80,2,FALSE()),"UNMAPPED"))</f>
        <v>Peanuts 250g</v>
      </c>
      <c r="E1336" s="36" t="str">
        <f aca="false">IF(Raw_Export!$A1336="","",IFERROR(VLOOKUP(LOWER(TRIM(Raw_Export!D1336)),Maps!$G$2:$I$80,3,FALSE()),"UNMAPPED"))</f>
        <v>Snacks</v>
      </c>
      <c r="F1336" s="36" t="n">
        <f aca="false">IF(Raw_Export!$A1336="","",IFERROR(VALUE(TRIM(Raw_Export!E1336)),0))</f>
        <v>4</v>
      </c>
      <c r="G1336" s="38" t="n">
        <f aca="false">IF(Raw_Export!$A1336="","",IFERROR(VALUE(SUBSTITUTE(SUBSTITUTE(UPPER(TRIM(Raw_Export!F1336)),"KES",""),",","")),0))</f>
        <v>130</v>
      </c>
      <c r="H1336" s="38" t="n">
        <f aca="false">IF(Raw_Export!$A1336="","",F1336*G1336)</f>
        <v>520</v>
      </c>
      <c r="I1336" s="36" t="str">
        <f aca="false">IF(Raw_Export!$A1336="","",IFERROR(VLOOKUP(LOWER(TRIM(Raw_Export!H1336)),Maps!$D$2:$E$12,2,FALSE()),"Other"))</f>
        <v>Cash</v>
      </c>
      <c r="J1336" s="36" t="str">
        <f aca="false">IF(Raw_Export!$A1336="","",IF(COUNTIF($A$2:A1336,A1336)&gt;1,"Duplicate",""))</f>
        <v/>
      </c>
      <c r="K1336" s="36" t="str">
        <f aca="false">IF(Raw_Export!$A1336="","",IF(J1336="Duplicate","Duplicate",IF(OR(C1336="UNMAPPED",D1336="UNMAPPED"),"Unmapped",IF(F1336=0,"Blank qty",IF(F1336&lt;0,"Return","OK")))))</f>
        <v>OK</v>
      </c>
      <c r="L1336" s="36" t="n">
        <f aca="false">IF(Raw_Export!$A1336="","",IF(OR(K1336="OK",K1336="Return"),1,0))</f>
        <v>1</v>
      </c>
      <c r="M1336" s="37" t="n">
        <f aca="false">IF(Raw_Export!$A1336="","",B1336-WEEKDAY(B1336,2)+1)</f>
        <v>46272</v>
      </c>
    </row>
    <row r="1337" customFormat="false" ht="15" hidden="false" customHeight="false" outlineLevel="0" collapsed="false">
      <c r="A1337" s="36" t="str">
        <f aca="false">IF(Raw_Export!$A1337="","",TRIM(Raw_Export!A1337))</f>
        <v>TXN-101310</v>
      </c>
      <c r="B1337" s="37" t="n">
        <f aca="false">IF(Raw_Export!$A1337="","",IF(ISNUMBER(Raw_Export!B1337),Raw_Export!B1337,IF(MID(TRIM(Raw_Export!B1337),5,1)="-",DATE(LEFT(TRIM(Raw_Export!B1337),4),MID(TRIM(Raw_Export!B1337),6,2),RIGHT(TRIM(Raw_Export!B1337),2)),DATE(RIGHT(TRIM(Raw_Export!B1337),4),MATCH(MID(TRIM(Raw_Export!B1337),4,3),{"Jan","Feb","Mar","Apr","May","Jun","Jul","Aug","Sep","Oct","Nov","Dec"},0),LEFT(TRIM(Raw_Export!B1337),2)))))</f>
        <v>46273</v>
      </c>
      <c r="C1337" s="36" t="str">
        <f aca="false">IF(Raw_Export!$A1337="","",IFERROR(VLOOKUP(LOWER(TRIM(Raw_Export!C1337)),Maps!$A$2:$B$20,2,FALSE()),"UNMAPPED"))</f>
        <v>Nakuru</v>
      </c>
      <c r="D1337" s="36" t="str">
        <f aca="false">IF(Raw_Export!$A1337="","",IFERROR(VLOOKUP(LOWER(TRIM(Raw_Export!D1337)),Maps!$G$2:$I$80,2,FALSE()),"UNMAPPED"))</f>
        <v>Cooking Oil 1L</v>
      </c>
      <c r="E1337" s="36" t="str">
        <f aca="false">IF(Raw_Export!$A1337="","",IFERROR(VLOOKUP(LOWER(TRIM(Raw_Export!D1337)),Maps!$G$2:$I$80,3,FALSE()),"UNMAPPED"))</f>
        <v>Staples</v>
      </c>
      <c r="F1337" s="36" t="n">
        <f aca="false">IF(Raw_Export!$A1337="","",IFERROR(VALUE(TRIM(Raw_Export!E1337)),0))</f>
        <v>1</v>
      </c>
      <c r="G1337" s="38" t="n">
        <f aca="false">IF(Raw_Export!$A1337="","",IFERROR(VALUE(SUBSTITUTE(SUBSTITUTE(UPPER(TRIM(Raw_Export!F1337)),"KES",""),",","")),0))</f>
        <v>330</v>
      </c>
      <c r="H1337" s="38" t="n">
        <f aca="false">IF(Raw_Export!$A1337="","",F1337*G1337)</f>
        <v>330</v>
      </c>
      <c r="I1337" s="36" t="str">
        <f aca="false">IF(Raw_Export!$A1337="","",IFERROR(VLOOKUP(LOWER(TRIM(Raw_Export!H1337)),Maps!$D$2:$E$12,2,FALSE()),"Other"))</f>
        <v>Cash</v>
      </c>
      <c r="J1337" s="36" t="str">
        <f aca="false">IF(Raw_Export!$A1337="","",IF(COUNTIF($A$2:A1337,A1337)&gt;1,"Duplicate",""))</f>
        <v/>
      </c>
      <c r="K1337" s="36" t="str">
        <f aca="false">IF(Raw_Export!$A1337="","",IF(J1337="Duplicate","Duplicate",IF(OR(C1337="UNMAPPED",D1337="UNMAPPED"),"Unmapped",IF(F1337=0,"Blank qty",IF(F1337&lt;0,"Return","OK")))))</f>
        <v>OK</v>
      </c>
      <c r="L1337" s="36" t="n">
        <f aca="false">IF(Raw_Export!$A1337="","",IF(OR(K1337="OK",K1337="Return"),1,0))</f>
        <v>1</v>
      </c>
      <c r="M1337" s="37" t="n">
        <f aca="false">IF(Raw_Export!$A1337="","",B1337-WEEKDAY(B1337,2)+1)</f>
        <v>46272</v>
      </c>
    </row>
    <row r="1338" customFormat="false" ht="15" hidden="false" customHeight="false" outlineLevel="0" collapsed="false">
      <c r="A1338" s="36" t="str">
        <f aca="false">IF(Raw_Export!$A1338="","",TRIM(Raw_Export!A1338))</f>
        <v>TXN-101311</v>
      </c>
      <c r="B1338" s="37" t="n">
        <f aca="false">IF(Raw_Export!$A1338="","",IF(ISNUMBER(Raw_Export!B1338),Raw_Export!B1338,IF(MID(TRIM(Raw_Export!B1338),5,1)="-",DATE(LEFT(TRIM(Raw_Export!B1338),4),MID(TRIM(Raw_Export!B1338),6,2),RIGHT(TRIM(Raw_Export!B1338),2)),DATE(RIGHT(TRIM(Raw_Export!B1338),4),MATCH(MID(TRIM(Raw_Export!B1338),4,3),{"Jan","Feb","Mar","Apr","May","Jun","Jul","Aug","Sep","Oct","Nov","Dec"},0),LEFT(TRIM(Raw_Export!B1338),2)))))</f>
        <v>46273</v>
      </c>
      <c r="C1338" s="36" t="str">
        <f aca="false">IF(Raw_Export!$A1338="","",IFERROR(VLOOKUP(LOWER(TRIM(Raw_Export!C1338)),Maps!$A$2:$B$20,2,FALSE()),"UNMAPPED"))</f>
        <v>Nakuru</v>
      </c>
      <c r="D1338" s="36" t="str">
        <f aca="false">IF(Raw_Export!$A1338="","",IFERROR(VLOOKUP(LOWER(TRIM(Raw_Export!D1338)),Maps!$G$2:$I$80,2,FALSE()),"UNMAPPED"))</f>
        <v>Yoghurt 500ml</v>
      </c>
      <c r="E1338" s="36" t="str">
        <f aca="false">IF(Raw_Export!$A1338="","",IFERROR(VLOOKUP(LOWER(TRIM(Raw_Export!D1338)),Maps!$G$2:$I$80,3,FALSE()),"UNMAPPED"))</f>
        <v>Dairy &amp; Eggs</v>
      </c>
      <c r="F1338" s="36" t="n">
        <f aca="false">IF(Raw_Export!$A1338="","",IFERROR(VALUE(TRIM(Raw_Export!E1338)),0))</f>
        <v>3</v>
      </c>
      <c r="G1338" s="38" t="n">
        <f aca="false">IF(Raw_Export!$A1338="","",IFERROR(VALUE(SUBSTITUTE(SUBSTITUTE(UPPER(TRIM(Raw_Export!F1338)),"KES",""),",","")),0))</f>
        <v>120</v>
      </c>
      <c r="H1338" s="38" t="n">
        <f aca="false">IF(Raw_Export!$A1338="","",F1338*G1338)</f>
        <v>360</v>
      </c>
      <c r="I1338" s="36" t="str">
        <f aca="false">IF(Raw_Export!$A1338="","",IFERROR(VLOOKUP(LOWER(TRIM(Raw_Export!H1338)),Maps!$D$2:$E$12,2,FALSE()),"Other"))</f>
        <v>Cash</v>
      </c>
      <c r="J1338" s="36" t="str">
        <f aca="false">IF(Raw_Export!$A1338="","",IF(COUNTIF($A$2:A1338,A1338)&gt;1,"Duplicate",""))</f>
        <v/>
      </c>
      <c r="K1338" s="36" t="str">
        <f aca="false">IF(Raw_Export!$A1338="","",IF(J1338="Duplicate","Duplicate",IF(OR(C1338="UNMAPPED",D1338="UNMAPPED"),"Unmapped",IF(F1338=0,"Blank qty",IF(F1338&lt;0,"Return","OK")))))</f>
        <v>OK</v>
      </c>
      <c r="L1338" s="36" t="n">
        <f aca="false">IF(Raw_Export!$A1338="","",IF(OR(K1338="OK",K1338="Return"),1,0))</f>
        <v>1</v>
      </c>
      <c r="M1338" s="37" t="n">
        <f aca="false">IF(Raw_Export!$A1338="","",B1338-WEEKDAY(B1338,2)+1)</f>
        <v>46272</v>
      </c>
    </row>
    <row r="1339" customFormat="false" ht="15" hidden="false" customHeight="false" outlineLevel="0" collapsed="false">
      <c r="A1339" s="36" t="str">
        <f aca="false">IF(Raw_Export!$A1339="","",TRIM(Raw_Export!A1339))</f>
        <v>TXN-101312</v>
      </c>
      <c r="B1339" s="37" t="n">
        <f aca="false">IF(Raw_Export!$A1339="","",IF(ISNUMBER(Raw_Export!B1339),Raw_Export!B1339,IF(MID(TRIM(Raw_Export!B1339),5,1)="-",DATE(LEFT(TRIM(Raw_Export!B1339),4),MID(TRIM(Raw_Export!B1339),6,2),RIGHT(TRIM(Raw_Export!B1339),2)),DATE(RIGHT(TRIM(Raw_Export!B1339),4),MATCH(MID(TRIM(Raw_Export!B1339),4,3),{"Jan","Feb","Mar","Apr","May","Jun","Jul","Aug","Sep","Oct","Nov","Dec"},0),LEFT(TRIM(Raw_Export!B1339),2)))))</f>
        <v>46273</v>
      </c>
      <c r="C1339" s="36" t="str">
        <f aca="false">IF(Raw_Export!$A1339="","",IFERROR(VLOOKUP(LOWER(TRIM(Raw_Export!C1339)),Maps!$A$2:$B$20,2,FALSE()),"UNMAPPED"))</f>
        <v>Nakuru</v>
      </c>
      <c r="D1339" s="36" t="str">
        <f aca="false">IF(Raw_Export!$A1339="","",IFERROR(VLOOKUP(LOWER(TRIM(Raw_Export!D1339)),Maps!$G$2:$I$80,2,FALSE()),"UNMAPPED"))</f>
        <v>Cooking Oil 1L</v>
      </c>
      <c r="E1339" s="36" t="str">
        <f aca="false">IF(Raw_Export!$A1339="","",IFERROR(VLOOKUP(LOWER(TRIM(Raw_Export!D1339)),Maps!$G$2:$I$80,3,FALSE()),"UNMAPPED"))</f>
        <v>Staples</v>
      </c>
      <c r="F1339" s="36" t="n">
        <f aca="false">IF(Raw_Export!$A1339="","",IFERROR(VALUE(TRIM(Raw_Export!E1339)),0))</f>
        <v>6</v>
      </c>
      <c r="G1339" s="38" t="n">
        <f aca="false">IF(Raw_Export!$A1339="","",IFERROR(VALUE(SUBSTITUTE(SUBSTITUTE(UPPER(TRIM(Raw_Export!F1339)),"KES",""),",","")),0))</f>
        <v>330</v>
      </c>
      <c r="H1339" s="38" t="n">
        <f aca="false">IF(Raw_Export!$A1339="","",F1339*G1339)</f>
        <v>1980</v>
      </c>
      <c r="I1339" s="36" t="str">
        <f aca="false">IF(Raw_Export!$A1339="","",IFERROR(VLOOKUP(LOWER(TRIM(Raw_Export!H1339)),Maps!$D$2:$E$12,2,FALSE()),"Other"))</f>
        <v>Card</v>
      </c>
      <c r="J1339" s="36" t="str">
        <f aca="false">IF(Raw_Export!$A1339="","",IF(COUNTIF($A$2:A1339,A1339)&gt;1,"Duplicate",""))</f>
        <v/>
      </c>
      <c r="K1339" s="36" t="str">
        <f aca="false">IF(Raw_Export!$A1339="","",IF(J1339="Duplicate","Duplicate",IF(OR(C1339="UNMAPPED",D1339="UNMAPPED"),"Unmapped",IF(F1339=0,"Blank qty",IF(F1339&lt;0,"Return","OK")))))</f>
        <v>OK</v>
      </c>
      <c r="L1339" s="36" t="n">
        <f aca="false">IF(Raw_Export!$A1339="","",IF(OR(K1339="OK",K1339="Return"),1,0))</f>
        <v>1</v>
      </c>
      <c r="M1339" s="37" t="n">
        <f aca="false">IF(Raw_Export!$A1339="","",B1339-WEEKDAY(B1339,2)+1)</f>
        <v>46272</v>
      </c>
    </row>
    <row r="1340" customFormat="false" ht="15" hidden="false" customHeight="false" outlineLevel="0" collapsed="false">
      <c r="A1340" s="36" t="str">
        <f aca="false">IF(Raw_Export!$A1340="","",TRIM(Raw_Export!A1340))</f>
        <v>TXN-101313</v>
      </c>
      <c r="B1340" s="37" t="n">
        <f aca="false">IF(Raw_Export!$A1340="","",IF(ISNUMBER(Raw_Export!B1340),Raw_Export!B1340,IF(MID(TRIM(Raw_Export!B1340),5,1)="-",DATE(LEFT(TRIM(Raw_Export!B1340),4),MID(TRIM(Raw_Export!B1340),6,2),RIGHT(TRIM(Raw_Export!B1340),2)),DATE(RIGHT(TRIM(Raw_Export!B1340),4),MATCH(MID(TRIM(Raw_Export!B1340),4,3),{"Jan","Feb","Mar","Apr","May","Jun","Jul","Aug","Sep","Oct","Nov","Dec"},0),LEFT(TRIM(Raw_Export!B1340),2)))))</f>
        <v>46273</v>
      </c>
      <c r="C1340" s="36" t="str">
        <f aca="false">IF(Raw_Export!$A1340="","",IFERROR(VLOOKUP(LOWER(TRIM(Raw_Export!C1340)),Maps!$A$2:$B$20,2,FALSE()),"UNMAPPED"))</f>
        <v>Nakuru</v>
      </c>
      <c r="D1340" s="36" t="str">
        <f aca="false">IF(Raw_Export!$A1340="","",IFERROR(VLOOKUP(LOWER(TRIM(Raw_Export!D1340)),Maps!$G$2:$I$80,2,FALSE()),"UNMAPPED"))</f>
        <v>Bath Soap 175g</v>
      </c>
      <c r="E1340" s="36" t="str">
        <f aca="false">IF(Raw_Export!$A1340="","",IFERROR(VLOOKUP(LOWER(TRIM(Raw_Export!D1340)),Maps!$G$2:$I$80,3,FALSE()),"UNMAPPED"))</f>
        <v>Personal Care</v>
      </c>
      <c r="F1340" s="36" t="n">
        <f aca="false">IF(Raw_Export!$A1340="","",IFERROR(VALUE(TRIM(Raw_Export!E1340)),0))</f>
        <v>6</v>
      </c>
      <c r="G1340" s="38" t="n">
        <f aca="false">IF(Raw_Export!$A1340="","",IFERROR(VALUE(SUBSTITUTE(SUBSTITUTE(UPPER(TRIM(Raw_Export!F1340)),"KES",""),",","")),0))</f>
        <v>85</v>
      </c>
      <c r="H1340" s="38" t="n">
        <f aca="false">IF(Raw_Export!$A1340="","",F1340*G1340)</f>
        <v>510</v>
      </c>
      <c r="I1340" s="36" t="str">
        <f aca="false">IF(Raw_Export!$A1340="","",IFERROR(VLOOKUP(LOWER(TRIM(Raw_Export!H1340)),Maps!$D$2:$E$12,2,FALSE()),"Other"))</f>
        <v>M-Pesa</v>
      </c>
      <c r="J1340" s="36" t="str">
        <f aca="false">IF(Raw_Export!$A1340="","",IF(COUNTIF($A$2:A1340,A1340)&gt;1,"Duplicate",""))</f>
        <v/>
      </c>
      <c r="K1340" s="36" t="str">
        <f aca="false">IF(Raw_Export!$A1340="","",IF(J1340="Duplicate","Duplicate",IF(OR(C1340="UNMAPPED",D1340="UNMAPPED"),"Unmapped",IF(F1340=0,"Blank qty",IF(F1340&lt;0,"Return","OK")))))</f>
        <v>OK</v>
      </c>
      <c r="L1340" s="36" t="n">
        <f aca="false">IF(Raw_Export!$A1340="","",IF(OR(K1340="OK",K1340="Return"),1,0))</f>
        <v>1</v>
      </c>
      <c r="M1340" s="37" t="n">
        <f aca="false">IF(Raw_Export!$A1340="","",B1340-WEEKDAY(B1340,2)+1)</f>
        <v>46272</v>
      </c>
    </row>
    <row r="1341" customFormat="false" ht="15" hidden="false" customHeight="false" outlineLevel="0" collapsed="false">
      <c r="A1341" s="36" t="str">
        <f aca="false">IF(Raw_Export!$A1341="","",TRIM(Raw_Export!A1341))</f>
        <v>TXN-101314</v>
      </c>
      <c r="B1341" s="37" t="n">
        <f aca="false">IF(Raw_Export!$A1341="","",IF(ISNUMBER(Raw_Export!B1341),Raw_Export!B1341,IF(MID(TRIM(Raw_Export!B1341),5,1)="-",DATE(LEFT(TRIM(Raw_Export!B1341),4),MID(TRIM(Raw_Export!B1341),6,2),RIGHT(TRIM(Raw_Export!B1341),2)),DATE(RIGHT(TRIM(Raw_Export!B1341),4),MATCH(MID(TRIM(Raw_Export!B1341),4,3),{"Jan","Feb","Mar","Apr","May","Jun","Jul","Aug","Sep","Oct","Nov","Dec"},0),LEFT(TRIM(Raw_Export!B1341),2)))))</f>
        <v>46273</v>
      </c>
      <c r="C1341" s="36" t="str">
        <f aca="false">IF(Raw_Export!$A1341="","",IFERROR(VLOOKUP(LOWER(TRIM(Raw_Export!C1341)),Maps!$A$2:$B$20,2,FALSE()),"UNMAPPED"))</f>
        <v>Nakuru</v>
      </c>
      <c r="D1341" s="36" t="str">
        <f aca="false">IF(Raw_Export!$A1341="","",IFERROR(VLOOKUP(LOWER(TRIM(Raw_Export!D1341)),Maps!$G$2:$I$80,2,FALSE()),"UNMAPPED"))</f>
        <v>Bottled Water 1.5L</v>
      </c>
      <c r="E1341" s="36" t="str">
        <f aca="false">IF(Raw_Export!$A1341="","",IFERROR(VLOOKUP(LOWER(TRIM(Raw_Export!D1341)),Maps!$G$2:$I$80,3,FALSE()),"UNMAPPED"))</f>
        <v>Beverages</v>
      </c>
      <c r="F1341" s="36" t="n">
        <f aca="false">IF(Raw_Export!$A1341="","",IFERROR(VALUE(TRIM(Raw_Export!E1341)),0))</f>
        <v>6</v>
      </c>
      <c r="G1341" s="38" t="n">
        <f aca="false">IF(Raw_Export!$A1341="","",IFERROR(VALUE(SUBSTITUTE(SUBSTITUTE(UPPER(TRIM(Raw_Export!F1341)),"KES",""),",","")),0))</f>
        <v>90</v>
      </c>
      <c r="H1341" s="38" t="n">
        <f aca="false">IF(Raw_Export!$A1341="","",F1341*G1341)</f>
        <v>540</v>
      </c>
      <c r="I1341" s="36" t="str">
        <f aca="false">IF(Raw_Export!$A1341="","",IFERROR(VLOOKUP(LOWER(TRIM(Raw_Export!H1341)),Maps!$D$2:$E$12,2,FALSE()),"Other"))</f>
        <v>Cash</v>
      </c>
      <c r="J1341" s="36" t="str">
        <f aca="false">IF(Raw_Export!$A1341="","",IF(COUNTIF($A$2:A1341,A1341)&gt;1,"Duplicate",""))</f>
        <v/>
      </c>
      <c r="K1341" s="36" t="str">
        <f aca="false">IF(Raw_Export!$A1341="","",IF(J1341="Duplicate","Duplicate",IF(OR(C1341="UNMAPPED",D1341="UNMAPPED"),"Unmapped",IF(F1341=0,"Blank qty",IF(F1341&lt;0,"Return","OK")))))</f>
        <v>OK</v>
      </c>
      <c r="L1341" s="36" t="n">
        <f aca="false">IF(Raw_Export!$A1341="","",IF(OR(K1341="OK",K1341="Return"),1,0))</f>
        <v>1</v>
      </c>
      <c r="M1341" s="37" t="n">
        <f aca="false">IF(Raw_Export!$A1341="","",B1341-WEEKDAY(B1341,2)+1)</f>
        <v>46272</v>
      </c>
    </row>
    <row r="1342" customFormat="false" ht="15" hidden="false" customHeight="false" outlineLevel="0" collapsed="false">
      <c r="A1342" s="36" t="str">
        <f aca="false">IF(Raw_Export!$A1342="","",TRIM(Raw_Export!A1342))</f>
        <v>TXN-101315</v>
      </c>
      <c r="B1342" s="37" t="n">
        <f aca="false">IF(Raw_Export!$A1342="","",IF(ISNUMBER(Raw_Export!B1342),Raw_Export!B1342,IF(MID(TRIM(Raw_Export!B1342),5,1)="-",DATE(LEFT(TRIM(Raw_Export!B1342),4),MID(TRIM(Raw_Export!B1342),6,2),RIGHT(TRIM(Raw_Export!B1342),2)),DATE(RIGHT(TRIM(Raw_Export!B1342),4),MATCH(MID(TRIM(Raw_Export!B1342),4,3),{"Jan","Feb","Mar","Apr","May","Jun","Jul","Aug","Sep","Oct","Nov","Dec"},0),LEFT(TRIM(Raw_Export!B1342),2)))))</f>
        <v>46273</v>
      </c>
      <c r="C1342" s="36" t="str">
        <f aca="false">IF(Raw_Export!$A1342="","",IFERROR(VLOOKUP(LOWER(TRIM(Raw_Export!C1342)),Maps!$A$2:$B$20,2,FALSE()),"UNMAPPED"))</f>
        <v>Nakuru</v>
      </c>
      <c r="D1342" s="36" t="str">
        <f aca="false">IF(Raw_Export!$A1342="","",IFERROR(VLOOKUP(LOWER(TRIM(Raw_Export!D1342)),Maps!$G$2:$I$80,2,FALSE()),"UNMAPPED"))</f>
        <v>Yoghurt 500ml</v>
      </c>
      <c r="E1342" s="36" t="str">
        <f aca="false">IF(Raw_Export!$A1342="","",IFERROR(VLOOKUP(LOWER(TRIM(Raw_Export!D1342)),Maps!$G$2:$I$80,3,FALSE()),"UNMAPPED"))</f>
        <v>Dairy &amp; Eggs</v>
      </c>
      <c r="F1342" s="36" t="n">
        <f aca="false">IF(Raw_Export!$A1342="","",IFERROR(VALUE(TRIM(Raw_Export!E1342)),0))</f>
        <v>4</v>
      </c>
      <c r="G1342" s="38" t="n">
        <f aca="false">IF(Raw_Export!$A1342="","",IFERROR(VALUE(SUBSTITUTE(SUBSTITUTE(UPPER(TRIM(Raw_Export!F1342)),"KES",""),",","")),0))</f>
        <v>120</v>
      </c>
      <c r="H1342" s="38" t="n">
        <f aca="false">IF(Raw_Export!$A1342="","",F1342*G1342)</f>
        <v>480</v>
      </c>
      <c r="I1342" s="36" t="str">
        <f aca="false">IF(Raw_Export!$A1342="","",IFERROR(VLOOKUP(LOWER(TRIM(Raw_Export!H1342)),Maps!$D$2:$E$12,2,FALSE()),"Other"))</f>
        <v>M-Pesa</v>
      </c>
      <c r="J1342" s="36" t="str">
        <f aca="false">IF(Raw_Export!$A1342="","",IF(COUNTIF($A$2:A1342,A1342)&gt;1,"Duplicate",""))</f>
        <v/>
      </c>
      <c r="K1342" s="36" t="str">
        <f aca="false">IF(Raw_Export!$A1342="","",IF(J1342="Duplicate","Duplicate",IF(OR(C1342="UNMAPPED",D1342="UNMAPPED"),"Unmapped",IF(F1342=0,"Blank qty",IF(F1342&lt;0,"Return","OK")))))</f>
        <v>OK</v>
      </c>
      <c r="L1342" s="36" t="n">
        <f aca="false">IF(Raw_Export!$A1342="","",IF(OR(K1342="OK",K1342="Return"),1,0))</f>
        <v>1</v>
      </c>
      <c r="M1342" s="37" t="n">
        <f aca="false">IF(Raw_Export!$A1342="","",B1342-WEEKDAY(B1342,2)+1)</f>
        <v>46272</v>
      </c>
    </row>
    <row r="1343" customFormat="false" ht="15" hidden="false" customHeight="false" outlineLevel="0" collapsed="false">
      <c r="A1343" s="36" t="str">
        <f aca="false">IF(Raw_Export!$A1343="","",TRIM(Raw_Export!A1343))</f>
        <v>TXN-101316</v>
      </c>
      <c r="B1343" s="37" t="n">
        <f aca="false">IF(Raw_Export!$A1343="","",IF(ISNUMBER(Raw_Export!B1343),Raw_Export!B1343,IF(MID(TRIM(Raw_Export!B1343),5,1)="-",DATE(LEFT(TRIM(Raw_Export!B1343),4),MID(TRIM(Raw_Export!B1343),6,2),RIGHT(TRIM(Raw_Export!B1343),2)),DATE(RIGHT(TRIM(Raw_Export!B1343),4),MATCH(MID(TRIM(Raw_Export!B1343),4,3),{"Jan","Feb","Mar","Apr","May","Jun","Jul","Aug","Sep","Oct","Nov","Dec"},0),LEFT(TRIM(Raw_Export!B1343),2)))))</f>
        <v>46273</v>
      </c>
      <c r="C1343" s="36" t="str">
        <f aca="false">IF(Raw_Export!$A1343="","",IFERROR(VLOOKUP(LOWER(TRIM(Raw_Export!C1343)),Maps!$A$2:$B$20,2,FALSE()),"UNMAPPED"))</f>
        <v>Nakuru</v>
      </c>
      <c r="D1343" s="36" t="str">
        <f aca="false">IF(Raw_Export!$A1343="","",IFERROR(VLOOKUP(LOWER(TRIM(Raw_Export!D1343)),Maps!$G$2:$I$80,2,FALSE()),"UNMAPPED"))</f>
        <v>Cooking Oil 1L</v>
      </c>
      <c r="E1343" s="36" t="str">
        <f aca="false">IF(Raw_Export!$A1343="","",IFERROR(VLOOKUP(LOWER(TRIM(Raw_Export!D1343)),Maps!$G$2:$I$80,3,FALSE()),"UNMAPPED"))</f>
        <v>Staples</v>
      </c>
      <c r="F1343" s="36" t="n">
        <f aca="false">IF(Raw_Export!$A1343="","",IFERROR(VALUE(TRIM(Raw_Export!E1343)),0))</f>
        <v>1</v>
      </c>
      <c r="G1343" s="38" t="n">
        <f aca="false">IF(Raw_Export!$A1343="","",IFERROR(VALUE(SUBSTITUTE(SUBSTITUTE(UPPER(TRIM(Raw_Export!F1343)),"KES",""),",","")),0))</f>
        <v>330</v>
      </c>
      <c r="H1343" s="38" t="n">
        <f aca="false">IF(Raw_Export!$A1343="","",F1343*G1343)</f>
        <v>330</v>
      </c>
      <c r="I1343" s="36" t="str">
        <f aca="false">IF(Raw_Export!$A1343="","",IFERROR(VLOOKUP(LOWER(TRIM(Raw_Export!H1343)),Maps!$D$2:$E$12,2,FALSE()),"Other"))</f>
        <v>M-Pesa</v>
      </c>
      <c r="J1343" s="36" t="str">
        <f aca="false">IF(Raw_Export!$A1343="","",IF(COUNTIF($A$2:A1343,A1343)&gt;1,"Duplicate",""))</f>
        <v/>
      </c>
      <c r="K1343" s="36" t="str">
        <f aca="false">IF(Raw_Export!$A1343="","",IF(J1343="Duplicate","Duplicate",IF(OR(C1343="UNMAPPED",D1343="UNMAPPED"),"Unmapped",IF(F1343=0,"Blank qty",IF(F1343&lt;0,"Return","OK")))))</f>
        <v>OK</v>
      </c>
      <c r="L1343" s="36" t="n">
        <f aca="false">IF(Raw_Export!$A1343="","",IF(OR(K1343="OK",K1343="Return"),1,0))</f>
        <v>1</v>
      </c>
      <c r="M1343" s="37" t="n">
        <f aca="false">IF(Raw_Export!$A1343="","",B1343-WEEKDAY(B1343,2)+1)</f>
        <v>46272</v>
      </c>
    </row>
    <row r="1344" customFormat="false" ht="15" hidden="false" customHeight="false" outlineLevel="0" collapsed="false">
      <c r="A1344" s="36" t="str">
        <f aca="false">IF(Raw_Export!$A1344="","",TRIM(Raw_Export!A1344))</f>
        <v>TXN-101217</v>
      </c>
      <c r="B1344" s="37" t="n">
        <f aca="false">IF(Raw_Export!$A1344="","",IF(ISNUMBER(Raw_Export!B1344),Raw_Export!B1344,IF(MID(TRIM(Raw_Export!B1344),5,1)="-",DATE(LEFT(TRIM(Raw_Export!B1344),4),MID(TRIM(Raw_Export!B1344),6,2),RIGHT(TRIM(Raw_Export!B1344),2)),DATE(RIGHT(TRIM(Raw_Export!B1344),4),MATCH(MID(TRIM(Raw_Export!B1344),4,3),{"Jan","Feb","Mar","Apr","May","Jun","Jul","Aug","Sep","Oct","Nov","Dec"},0),LEFT(TRIM(Raw_Export!B1344),2)))))</f>
        <v>46273</v>
      </c>
      <c r="C1344" s="36" t="str">
        <f aca="false">IF(Raw_Export!$A1344="","",IFERROR(VLOOKUP(LOWER(TRIM(Raw_Export!C1344)),Maps!$A$2:$B$20,2,FALSE()),"UNMAPPED"))</f>
        <v>Nairobi CBD</v>
      </c>
      <c r="D1344" s="36" t="str">
        <f aca="false">IF(Raw_Export!$A1344="","",IFERROR(VLOOKUP(LOWER(TRIM(Raw_Export!D1344)),Maps!$G$2:$I$80,2,FALSE()),"UNMAPPED"))</f>
        <v>Fresh Milk 500ml</v>
      </c>
      <c r="E1344" s="36" t="str">
        <f aca="false">IF(Raw_Export!$A1344="","",IFERROR(VLOOKUP(LOWER(TRIM(Raw_Export!D1344)),Maps!$G$2:$I$80,3,FALSE()),"UNMAPPED"))</f>
        <v>Dairy &amp; Eggs</v>
      </c>
      <c r="F1344" s="36" t="n">
        <f aca="false">IF(Raw_Export!$A1344="","",IFERROR(VALUE(TRIM(Raw_Export!E1344)),0))</f>
        <v>3</v>
      </c>
      <c r="G1344" s="38" t="n">
        <f aca="false">IF(Raw_Export!$A1344="","",IFERROR(VALUE(SUBSTITUTE(SUBSTITUTE(UPPER(TRIM(Raw_Export!F1344)),"KES",""),",","")),0))</f>
        <v>65</v>
      </c>
      <c r="H1344" s="38" t="n">
        <f aca="false">IF(Raw_Export!$A1344="","",F1344*G1344)</f>
        <v>195</v>
      </c>
      <c r="I1344" s="36" t="str">
        <f aca="false">IF(Raw_Export!$A1344="","",IFERROR(VLOOKUP(LOWER(TRIM(Raw_Export!H1344)),Maps!$D$2:$E$12,2,FALSE()),"Other"))</f>
        <v>Cash</v>
      </c>
      <c r="J1344" s="36" t="str">
        <f aca="false">IF(Raw_Export!$A1344="","",IF(COUNTIF($A$2:A1344,A1344)&gt;1,"Duplicate",""))</f>
        <v>Duplicate</v>
      </c>
      <c r="K1344" s="36" t="str">
        <f aca="false">IF(Raw_Export!$A1344="","",IF(J1344="Duplicate","Duplicate",IF(OR(C1344="UNMAPPED",D1344="UNMAPPED"),"Unmapped",IF(F1344=0,"Blank qty",IF(F1344&lt;0,"Return","OK")))))</f>
        <v>Duplicate</v>
      </c>
      <c r="L1344" s="36" t="n">
        <f aca="false">IF(Raw_Export!$A1344="","",IF(OR(K1344="OK",K1344="Return"),1,0))</f>
        <v>0</v>
      </c>
      <c r="M1344" s="37" t="n">
        <f aca="false">IF(Raw_Export!$A1344="","",B1344-WEEKDAY(B1344,2)+1)</f>
        <v>46272</v>
      </c>
    </row>
    <row r="1345" customFormat="false" ht="15" hidden="false" customHeight="false" outlineLevel="0" collapsed="false">
      <c r="A1345" s="36" t="str">
        <f aca="false">IF(Raw_Export!$A1345="","",TRIM(Raw_Export!A1345))</f>
        <v>TXN-101317</v>
      </c>
      <c r="B1345" s="37" t="n">
        <f aca="false">IF(Raw_Export!$A1345="","",IF(ISNUMBER(Raw_Export!B1345),Raw_Export!B1345,IF(MID(TRIM(Raw_Export!B1345),5,1)="-",DATE(LEFT(TRIM(Raw_Export!B1345),4),MID(TRIM(Raw_Export!B1345),6,2),RIGHT(TRIM(Raw_Export!B1345),2)),DATE(RIGHT(TRIM(Raw_Export!B1345),4),MATCH(MID(TRIM(Raw_Export!B1345),4,3),{"Jan","Feb","Mar","Apr","May","Jun","Jul","Aug","Sep","Oct","Nov","Dec"},0),LEFT(TRIM(Raw_Export!B1345),2)))))</f>
        <v>46273</v>
      </c>
      <c r="C1345" s="36" t="str">
        <f aca="false">IF(Raw_Export!$A1345="","",IFERROR(VLOOKUP(LOWER(TRIM(Raw_Export!C1345)),Maps!$A$2:$B$20,2,FALSE()),"UNMAPPED"))</f>
        <v>Nakuru</v>
      </c>
      <c r="D1345" s="36" t="str">
        <f aca="false">IF(Raw_Export!$A1345="","",IFERROR(VLOOKUP(LOWER(TRIM(Raw_Export!D1345)),Maps!$G$2:$I$80,2,FALSE()),"UNMAPPED"))</f>
        <v>Matches 10pk</v>
      </c>
      <c r="E1345" s="36" t="str">
        <f aca="false">IF(Raw_Export!$A1345="","",IFERROR(VLOOKUP(LOWER(TRIM(Raw_Export!D1345)),Maps!$G$2:$I$80,3,FALSE()),"UNMAPPED"))</f>
        <v>Household</v>
      </c>
      <c r="F1345" s="36" t="n">
        <f aca="false">IF(Raw_Export!$A1345="","",IFERROR(VALUE(TRIM(Raw_Export!E1345)),0))</f>
        <v>2</v>
      </c>
      <c r="G1345" s="38" t="n">
        <f aca="false">IF(Raw_Export!$A1345="","",IFERROR(VALUE(SUBSTITUTE(SUBSTITUTE(UPPER(TRIM(Raw_Export!F1345)),"KES",""),",","")),0))</f>
        <v>50</v>
      </c>
      <c r="H1345" s="38" t="n">
        <f aca="false">IF(Raw_Export!$A1345="","",F1345*G1345)</f>
        <v>100</v>
      </c>
      <c r="I1345" s="36" t="str">
        <f aca="false">IF(Raw_Export!$A1345="","",IFERROR(VLOOKUP(LOWER(TRIM(Raw_Export!H1345)),Maps!$D$2:$E$12,2,FALSE()),"Other"))</f>
        <v>M-Pesa</v>
      </c>
      <c r="J1345" s="36" t="str">
        <f aca="false">IF(Raw_Export!$A1345="","",IF(COUNTIF($A$2:A1345,A1345)&gt;1,"Duplicate",""))</f>
        <v/>
      </c>
      <c r="K1345" s="36" t="str">
        <f aca="false">IF(Raw_Export!$A1345="","",IF(J1345="Duplicate","Duplicate",IF(OR(C1345="UNMAPPED",D1345="UNMAPPED"),"Unmapped",IF(F1345=0,"Blank qty",IF(F1345&lt;0,"Return","OK")))))</f>
        <v>OK</v>
      </c>
      <c r="L1345" s="36" t="n">
        <f aca="false">IF(Raw_Export!$A1345="","",IF(OR(K1345="OK",K1345="Return"),1,0))</f>
        <v>1</v>
      </c>
      <c r="M1345" s="37" t="n">
        <f aca="false">IF(Raw_Export!$A1345="","",B1345-WEEKDAY(B1345,2)+1)</f>
        <v>46272</v>
      </c>
    </row>
    <row r="1346" customFormat="false" ht="15" hidden="false" customHeight="false" outlineLevel="0" collapsed="false">
      <c r="A1346" s="36" t="str">
        <f aca="false">IF(Raw_Export!$A1346="","",TRIM(Raw_Export!A1346))</f>
        <v>TXN-101318</v>
      </c>
      <c r="B1346" s="37" t="n">
        <f aca="false">IF(Raw_Export!$A1346="","",IF(ISNUMBER(Raw_Export!B1346),Raw_Export!B1346,IF(MID(TRIM(Raw_Export!B1346),5,1)="-",DATE(LEFT(TRIM(Raw_Export!B1346),4),MID(TRIM(Raw_Export!B1346),6,2),RIGHT(TRIM(Raw_Export!B1346),2)),DATE(RIGHT(TRIM(Raw_Export!B1346),4),MATCH(MID(TRIM(Raw_Export!B1346),4,3),{"Jan","Feb","Mar","Apr","May","Jun","Jul","Aug","Sep","Oct","Nov","Dec"},0),LEFT(TRIM(Raw_Export!B1346),2)))))</f>
        <v>46273</v>
      </c>
      <c r="C1346" s="36" t="str">
        <f aca="false">IF(Raw_Export!$A1346="","",IFERROR(VLOOKUP(LOWER(TRIM(Raw_Export!C1346)),Maps!$A$2:$B$20,2,FALSE()),"UNMAPPED"))</f>
        <v>Nakuru</v>
      </c>
      <c r="D1346" s="36" t="str">
        <f aca="false">IF(Raw_Export!$A1346="","",IFERROR(VLOOKUP(LOWER(TRIM(Raw_Export!D1346)),Maps!$G$2:$I$80,2,FALSE()),"UNMAPPED"))</f>
        <v>Peanuts 250g</v>
      </c>
      <c r="E1346" s="36" t="str">
        <f aca="false">IF(Raw_Export!$A1346="","",IFERROR(VLOOKUP(LOWER(TRIM(Raw_Export!D1346)),Maps!$G$2:$I$80,3,FALSE()),"UNMAPPED"))</f>
        <v>Snacks</v>
      </c>
      <c r="F1346" s="36" t="n">
        <f aca="false">IF(Raw_Export!$A1346="","",IFERROR(VALUE(TRIM(Raw_Export!E1346)),0))</f>
        <v>3</v>
      </c>
      <c r="G1346" s="38" t="n">
        <f aca="false">IF(Raw_Export!$A1346="","",IFERROR(VALUE(SUBSTITUTE(SUBSTITUTE(UPPER(TRIM(Raw_Export!F1346)),"KES",""),",","")),0))</f>
        <v>130</v>
      </c>
      <c r="H1346" s="38" t="n">
        <f aca="false">IF(Raw_Export!$A1346="","",F1346*G1346)</f>
        <v>390</v>
      </c>
      <c r="I1346" s="36" t="str">
        <f aca="false">IF(Raw_Export!$A1346="","",IFERROR(VLOOKUP(LOWER(TRIM(Raw_Export!H1346)),Maps!$D$2:$E$12,2,FALSE()),"Other"))</f>
        <v>M-Pesa</v>
      </c>
      <c r="J1346" s="36" t="str">
        <f aca="false">IF(Raw_Export!$A1346="","",IF(COUNTIF($A$2:A1346,A1346)&gt;1,"Duplicate",""))</f>
        <v/>
      </c>
      <c r="K1346" s="36" t="str">
        <f aca="false">IF(Raw_Export!$A1346="","",IF(J1346="Duplicate","Duplicate",IF(OR(C1346="UNMAPPED",D1346="UNMAPPED"),"Unmapped",IF(F1346=0,"Blank qty",IF(F1346&lt;0,"Return","OK")))))</f>
        <v>OK</v>
      </c>
      <c r="L1346" s="36" t="n">
        <f aca="false">IF(Raw_Export!$A1346="","",IF(OR(K1346="OK",K1346="Return"),1,0))</f>
        <v>1</v>
      </c>
      <c r="M1346" s="37" t="n">
        <f aca="false">IF(Raw_Export!$A1346="","",B1346-WEEKDAY(B1346,2)+1)</f>
        <v>46272</v>
      </c>
    </row>
    <row r="1347" customFormat="false" ht="15" hidden="false" customHeight="false" outlineLevel="0" collapsed="false">
      <c r="A1347" s="36" t="str">
        <f aca="false">IF(Raw_Export!$A1347="","",TRIM(Raw_Export!A1347))</f>
        <v>TXN-101319</v>
      </c>
      <c r="B1347" s="37" t="n">
        <f aca="false">IF(Raw_Export!$A1347="","",IF(ISNUMBER(Raw_Export!B1347),Raw_Export!B1347,IF(MID(TRIM(Raw_Export!B1347),5,1)="-",DATE(LEFT(TRIM(Raw_Export!B1347),4),MID(TRIM(Raw_Export!B1347),6,2),RIGHT(TRIM(Raw_Export!B1347),2)),DATE(RIGHT(TRIM(Raw_Export!B1347),4),MATCH(MID(TRIM(Raw_Export!B1347),4,3),{"Jan","Feb","Mar","Apr","May","Jun","Jul","Aug","Sep","Oct","Nov","Dec"},0),LEFT(TRIM(Raw_Export!B1347),2)))))</f>
        <v>46273</v>
      </c>
      <c r="C1347" s="36" t="str">
        <f aca="false">IF(Raw_Export!$A1347="","",IFERROR(VLOOKUP(LOWER(TRIM(Raw_Export!C1347)),Maps!$A$2:$B$20,2,FALSE()),"UNMAPPED"))</f>
        <v>Nakuru</v>
      </c>
      <c r="D1347" s="36" t="str">
        <f aca="false">IF(Raw_Export!$A1347="","",IFERROR(VLOOKUP(LOWER(TRIM(Raw_Export!D1347)),Maps!$G$2:$I$80,2,FALSE()),"UNMAPPED"))</f>
        <v>Deodorant 150ml</v>
      </c>
      <c r="E1347" s="36" t="str">
        <f aca="false">IF(Raw_Export!$A1347="","",IFERROR(VLOOKUP(LOWER(TRIM(Raw_Export!D1347)),Maps!$G$2:$I$80,3,FALSE()),"UNMAPPED"))</f>
        <v>Personal Care</v>
      </c>
      <c r="F1347" s="36" t="n">
        <f aca="false">IF(Raw_Export!$A1347="","",IFERROR(VALUE(TRIM(Raw_Export!E1347)),0))</f>
        <v>1</v>
      </c>
      <c r="G1347" s="38" t="n">
        <f aca="false">IF(Raw_Export!$A1347="","",IFERROR(VALUE(SUBSTITUTE(SUBSTITUTE(UPPER(TRIM(Raw_Export!F1347)),"KES",""),",","")),0))</f>
        <v>350</v>
      </c>
      <c r="H1347" s="38" t="n">
        <f aca="false">IF(Raw_Export!$A1347="","",F1347*G1347)</f>
        <v>350</v>
      </c>
      <c r="I1347" s="36" t="str">
        <f aca="false">IF(Raw_Export!$A1347="","",IFERROR(VLOOKUP(LOWER(TRIM(Raw_Export!H1347)),Maps!$D$2:$E$12,2,FALSE()),"Other"))</f>
        <v>M-Pesa</v>
      </c>
      <c r="J1347" s="36" t="str">
        <f aca="false">IF(Raw_Export!$A1347="","",IF(COUNTIF($A$2:A1347,A1347)&gt;1,"Duplicate",""))</f>
        <v/>
      </c>
      <c r="K1347" s="36" t="str">
        <f aca="false">IF(Raw_Export!$A1347="","",IF(J1347="Duplicate","Duplicate",IF(OR(C1347="UNMAPPED",D1347="UNMAPPED"),"Unmapped",IF(F1347=0,"Blank qty",IF(F1347&lt;0,"Return","OK")))))</f>
        <v>OK</v>
      </c>
      <c r="L1347" s="36" t="n">
        <f aca="false">IF(Raw_Export!$A1347="","",IF(OR(K1347="OK",K1347="Return"),1,0))</f>
        <v>1</v>
      </c>
      <c r="M1347" s="37" t="n">
        <f aca="false">IF(Raw_Export!$A1347="","",B1347-WEEKDAY(B1347,2)+1)</f>
        <v>46272</v>
      </c>
    </row>
    <row r="1348" customFormat="false" ht="15" hidden="false" customHeight="false" outlineLevel="0" collapsed="false">
      <c r="A1348" s="36" t="str">
        <f aca="false">IF(Raw_Export!$A1348="","",TRIM(Raw_Export!A1348))</f>
        <v>TXN-101320</v>
      </c>
      <c r="B1348" s="37" t="n">
        <f aca="false">IF(Raw_Export!$A1348="","",IF(ISNUMBER(Raw_Export!B1348),Raw_Export!B1348,IF(MID(TRIM(Raw_Export!B1348),5,1)="-",DATE(LEFT(TRIM(Raw_Export!B1348),4),MID(TRIM(Raw_Export!B1348),6,2),RIGHT(TRIM(Raw_Export!B1348),2)),DATE(RIGHT(TRIM(Raw_Export!B1348),4),MATCH(MID(TRIM(Raw_Export!B1348),4,3),{"Jan","Feb","Mar","Apr","May","Jun","Jul","Aug","Sep","Oct","Nov","Dec"},0),LEFT(TRIM(Raw_Export!B1348),2)))))</f>
        <v>46273</v>
      </c>
      <c r="C1348" s="36" t="str">
        <f aca="false">IF(Raw_Export!$A1348="","",IFERROR(VLOOKUP(LOWER(TRIM(Raw_Export!C1348)),Maps!$A$2:$B$20,2,FALSE()),"UNMAPPED"))</f>
        <v>Nakuru</v>
      </c>
      <c r="D1348" s="36" t="str">
        <f aca="false">IF(Raw_Export!$A1348="","",IFERROR(VLOOKUP(LOWER(TRIM(Raw_Export!D1348)),Maps!$G$2:$I$80,2,FALSE()),"UNMAPPED"))</f>
        <v>Dish Soap 750ml</v>
      </c>
      <c r="E1348" s="36" t="str">
        <f aca="false">IF(Raw_Export!$A1348="","",IFERROR(VLOOKUP(LOWER(TRIM(Raw_Export!D1348)),Maps!$G$2:$I$80,3,FALSE()),"UNMAPPED"))</f>
        <v>Household</v>
      </c>
      <c r="F1348" s="36" t="n">
        <f aca="false">IF(Raw_Export!$A1348="","",IFERROR(VALUE(TRIM(Raw_Export!E1348)),0))</f>
        <v>1</v>
      </c>
      <c r="G1348" s="38" t="n">
        <f aca="false">IF(Raw_Export!$A1348="","",IFERROR(VALUE(SUBSTITUTE(SUBSTITUTE(UPPER(TRIM(Raw_Export!F1348)),"KES",""),",","")),0))</f>
        <v>190</v>
      </c>
      <c r="H1348" s="38" t="n">
        <f aca="false">IF(Raw_Export!$A1348="","",F1348*G1348)</f>
        <v>190</v>
      </c>
      <c r="I1348" s="36" t="str">
        <f aca="false">IF(Raw_Export!$A1348="","",IFERROR(VLOOKUP(LOWER(TRIM(Raw_Export!H1348)),Maps!$D$2:$E$12,2,FALSE()),"Other"))</f>
        <v>Cash</v>
      </c>
      <c r="J1348" s="36" t="str">
        <f aca="false">IF(Raw_Export!$A1348="","",IF(COUNTIF($A$2:A1348,A1348)&gt;1,"Duplicate",""))</f>
        <v/>
      </c>
      <c r="K1348" s="36" t="str">
        <f aca="false">IF(Raw_Export!$A1348="","",IF(J1348="Duplicate","Duplicate",IF(OR(C1348="UNMAPPED",D1348="UNMAPPED"),"Unmapped",IF(F1348=0,"Blank qty",IF(F1348&lt;0,"Return","OK")))))</f>
        <v>OK</v>
      </c>
      <c r="L1348" s="36" t="n">
        <f aca="false">IF(Raw_Export!$A1348="","",IF(OR(K1348="OK",K1348="Return"),1,0))</f>
        <v>1</v>
      </c>
      <c r="M1348" s="37" t="n">
        <f aca="false">IF(Raw_Export!$A1348="","",B1348-WEEKDAY(B1348,2)+1)</f>
        <v>46272</v>
      </c>
    </row>
    <row r="1349" customFormat="false" ht="15" hidden="false" customHeight="false" outlineLevel="0" collapsed="false">
      <c r="A1349" s="36" t="str">
        <f aca="false">IF(Raw_Export!$A1349="","",TRIM(Raw_Export!A1349))</f>
        <v>TXN-101321</v>
      </c>
      <c r="B1349" s="37" t="n">
        <f aca="false">IF(Raw_Export!$A1349="","",IF(ISNUMBER(Raw_Export!B1349),Raw_Export!B1349,IF(MID(TRIM(Raw_Export!B1349),5,1)="-",DATE(LEFT(TRIM(Raw_Export!B1349),4),MID(TRIM(Raw_Export!B1349),6,2),RIGHT(TRIM(Raw_Export!B1349),2)),DATE(RIGHT(TRIM(Raw_Export!B1349),4),MATCH(MID(TRIM(Raw_Export!B1349),4,3),{"Jan","Feb","Mar","Apr","May","Jun","Jul","Aug","Sep","Oct","Nov","Dec"},0),LEFT(TRIM(Raw_Export!B1349),2)))))</f>
        <v>46273</v>
      </c>
      <c r="C1349" s="36" t="str">
        <f aca="false">IF(Raw_Export!$A1349="","",IFERROR(VLOOKUP(LOWER(TRIM(Raw_Export!C1349)),Maps!$A$2:$B$20,2,FALSE()),"UNMAPPED"))</f>
        <v>Nakuru</v>
      </c>
      <c r="D1349" s="36" t="str">
        <f aca="false">IF(Raw_Export!$A1349="","",IFERROR(VLOOKUP(LOWER(TRIM(Raw_Export!D1349)),Maps!$G$2:$I$80,2,FALSE()),"UNMAPPED"))</f>
        <v>Sugar 2kg</v>
      </c>
      <c r="E1349" s="36" t="str">
        <f aca="false">IF(Raw_Export!$A1349="","",IFERROR(VLOOKUP(LOWER(TRIM(Raw_Export!D1349)),Maps!$G$2:$I$80,3,FALSE()),"UNMAPPED"))</f>
        <v>Staples</v>
      </c>
      <c r="F1349" s="36" t="n">
        <f aca="false">IF(Raw_Export!$A1349="","",IFERROR(VALUE(TRIM(Raw_Export!E1349)),0))</f>
        <v>2</v>
      </c>
      <c r="G1349" s="38" t="n">
        <f aca="false">IF(Raw_Export!$A1349="","",IFERROR(VALUE(SUBSTITUTE(SUBSTITUTE(UPPER(TRIM(Raw_Export!F1349)),"KES",""),",","")),0))</f>
        <v>330</v>
      </c>
      <c r="H1349" s="38" t="n">
        <f aca="false">IF(Raw_Export!$A1349="","",F1349*G1349)</f>
        <v>660</v>
      </c>
      <c r="I1349" s="36" t="str">
        <f aca="false">IF(Raw_Export!$A1349="","",IFERROR(VLOOKUP(LOWER(TRIM(Raw_Export!H1349)),Maps!$D$2:$E$12,2,FALSE()),"Other"))</f>
        <v>M-Pesa</v>
      </c>
      <c r="J1349" s="36" t="str">
        <f aca="false">IF(Raw_Export!$A1349="","",IF(COUNTIF($A$2:A1349,A1349)&gt;1,"Duplicate",""))</f>
        <v/>
      </c>
      <c r="K1349" s="36" t="str">
        <f aca="false">IF(Raw_Export!$A1349="","",IF(J1349="Duplicate","Duplicate",IF(OR(C1349="UNMAPPED",D1349="UNMAPPED"),"Unmapped",IF(F1349=0,"Blank qty",IF(F1349&lt;0,"Return","OK")))))</f>
        <v>OK</v>
      </c>
      <c r="L1349" s="36" t="n">
        <f aca="false">IF(Raw_Export!$A1349="","",IF(OR(K1349="OK",K1349="Return"),1,0))</f>
        <v>1</v>
      </c>
      <c r="M1349" s="37" t="n">
        <f aca="false">IF(Raw_Export!$A1349="","",B1349-WEEKDAY(B1349,2)+1)</f>
        <v>46272</v>
      </c>
    </row>
    <row r="1350" customFormat="false" ht="15" hidden="false" customHeight="false" outlineLevel="0" collapsed="false">
      <c r="A1350" s="36" t="str">
        <f aca="false">IF(Raw_Export!$A1350="","",TRIM(Raw_Export!A1350))</f>
        <v>TXN-101322</v>
      </c>
      <c r="B1350" s="37" t="n">
        <f aca="false">IF(Raw_Export!$A1350="","",IF(ISNUMBER(Raw_Export!B1350),Raw_Export!B1350,IF(MID(TRIM(Raw_Export!B1350),5,1)="-",DATE(LEFT(TRIM(Raw_Export!B1350),4),MID(TRIM(Raw_Export!B1350),6,2),RIGHT(TRIM(Raw_Export!B1350),2)),DATE(RIGHT(TRIM(Raw_Export!B1350),4),MATCH(MID(TRIM(Raw_Export!B1350),4,3),{"Jan","Feb","Mar","Apr","May","Jun","Jul","Aug","Sep","Oct","Nov","Dec"},0),LEFT(TRIM(Raw_Export!B1350),2)))))</f>
        <v>46274</v>
      </c>
      <c r="C1350" s="36" t="str">
        <f aca="false">IF(Raw_Export!$A1350="","",IFERROR(VLOOKUP(LOWER(TRIM(Raw_Export!C1350)),Maps!$A$2:$B$20,2,FALSE()),"UNMAPPED"))</f>
        <v>Nairobi CBD</v>
      </c>
      <c r="D1350" s="36" t="str">
        <f aca="false">IF(Raw_Export!$A1350="","",IFERROR(VLOOKUP(LOWER(TRIM(Raw_Export!D1350)),Maps!$G$2:$I$80,2,FALSE()),"UNMAPPED"))</f>
        <v>Deodorant 150ml</v>
      </c>
      <c r="E1350" s="36" t="str">
        <f aca="false">IF(Raw_Export!$A1350="","",IFERROR(VLOOKUP(LOWER(TRIM(Raw_Export!D1350)),Maps!$G$2:$I$80,3,FALSE()),"UNMAPPED"))</f>
        <v>Personal Care</v>
      </c>
      <c r="F1350" s="36" t="n">
        <f aca="false">IF(Raw_Export!$A1350="","",IFERROR(VALUE(TRIM(Raw_Export!E1350)),0))</f>
        <v>4</v>
      </c>
      <c r="G1350" s="38" t="n">
        <f aca="false">IF(Raw_Export!$A1350="","",IFERROR(VALUE(SUBSTITUTE(SUBSTITUTE(UPPER(TRIM(Raw_Export!F1350)),"KES",""),",","")),0))</f>
        <v>350</v>
      </c>
      <c r="H1350" s="38" t="n">
        <f aca="false">IF(Raw_Export!$A1350="","",F1350*G1350)</f>
        <v>1400</v>
      </c>
      <c r="I1350" s="36" t="str">
        <f aca="false">IF(Raw_Export!$A1350="","",IFERROR(VLOOKUP(LOWER(TRIM(Raw_Export!H1350)),Maps!$D$2:$E$12,2,FALSE()),"Other"))</f>
        <v>M-Pesa</v>
      </c>
      <c r="J1350" s="36" t="str">
        <f aca="false">IF(Raw_Export!$A1350="","",IF(COUNTIF($A$2:A1350,A1350)&gt;1,"Duplicate",""))</f>
        <v/>
      </c>
      <c r="K1350" s="36" t="str">
        <f aca="false">IF(Raw_Export!$A1350="","",IF(J1350="Duplicate","Duplicate",IF(OR(C1350="UNMAPPED",D1350="UNMAPPED"),"Unmapped",IF(F1350=0,"Blank qty",IF(F1350&lt;0,"Return","OK")))))</f>
        <v>OK</v>
      </c>
      <c r="L1350" s="36" t="n">
        <f aca="false">IF(Raw_Export!$A1350="","",IF(OR(K1350="OK",K1350="Return"),1,0))</f>
        <v>1</v>
      </c>
      <c r="M1350" s="37" t="n">
        <f aca="false">IF(Raw_Export!$A1350="","",B1350-WEEKDAY(B1350,2)+1)</f>
        <v>46272</v>
      </c>
    </row>
    <row r="1351" customFormat="false" ht="15" hidden="false" customHeight="false" outlineLevel="0" collapsed="false">
      <c r="A1351" s="36" t="str">
        <f aca="false">IF(Raw_Export!$A1351="","",TRIM(Raw_Export!A1351))</f>
        <v>TXN-101209</v>
      </c>
      <c r="B1351" s="37" t="n">
        <f aca="false">IF(Raw_Export!$A1351="","",IF(ISNUMBER(Raw_Export!B1351),Raw_Export!B1351,IF(MID(TRIM(Raw_Export!B1351),5,1)="-",DATE(LEFT(TRIM(Raw_Export!B1351),4),MID(TRIM(Raw_Export!B1351),6,2),RIGHT(TRIM(Raw_Export!B1351),2)),DATE(RIGHT(TRIM(Raw_Export!B1351),4),MATCH(MID(TRIM(Raw_Export!B1351),4,3),{"Jan","Feb","Mar","Apr","May","Jun","Jul","Aug","Sep","Oct","Nov","Dec"},0),LEFT(TRIM(Raw_Export!B1351),2)))))</f>
        <v>46273</v>
      </c>
      <c r="C1351" s="36" t="str">
        <f aca="false">IF(Raw_Export!$A1351="","",IFERROR(VLOOKUP(LOWER(TRIM(Raw_Export!C1351)),Maps!$A$2:$B$20,2,FALSE()),"UNMAPPED"))</f>
        <v>Nairobi CBD</v>
      </c>
      <c r="D1351" s="36" t="str">
        <f aca="false">IF(Raw_Export!$A1351="","",IFERROR(VLOOKUP(LOWER(TRIM(Raw_Export!D1351)),Maps!$G$2:$I$80,2,FALSE()),"UNMAPPED"))</f>
        <v>Cooking Oil 1L</v>
      </c>
      <c r="E1351" s="36" t="str">
        <f aca="false">IF(Raw_Export!$A1351="","",IFERROR(VLOOKUP(LOWER(TRIM(Raw_Export!D1351)),Maps!$G$2:$I$80,3,FALSE()),"UNMAPPED"))</f>
        <v>Staples</v>
      </c>
      <c r="F1351" s="36" t="n">
        <f aca="false">IF(Raw_Export!$A1351="","",IFERROR(VALUE(TRIM(Raw_Export!E1351)),0))</f>
        <v>1</v>
      </c>
      <c r="G1351" s="38" t="n">
        <f aca="false">IF(Raw_Export!$A1351="","",IFERROR(VALUE(SUBSTITUTE(SUBSTITUTE(UPPER(TRIM(Raw_Export!F1351)),"KES",""),",","")),0))</f>
        <v>330</v>
      </c>
      <c r="H1351" s="38" t="n">
        <f aca="false">IF(Raw_Export!$A1351="","",F1351*G1351)</f>
        <v>330</v>
      </c>
      <c r="I1351" s="36" t="str">
        <f aca="false">IF(Raw_Export!$A1351="","",IFERROR(VLOOKUP(LOWER(TRIM(Raw_Export!H1351)),Maps!$D$2:$E$12,2,FALSE()),"Other"))</f>
        <v>Cash</v>
      </c>
      <c r="J1351" s="36" t="str">
        <f aca="false">IF(Raw_Export!$A1351="","",IF(COUNTIF($A$2:A1351,A1351)&gt;1,"Duplicate",""))</f>
        <v>Duplicate</v>
      </c>
      <c r="K1351" s="36" t="str">
        <f aca="false">IF(Raw_Export!$A1351="","",IF(J1351="Duplicate","Duplicate",IF(OR(C1351="UNMAPPED",D1351="UNMAPPED"),"Unmapped",IF(F1351=0,"Blank qty",IF(F1351&lt;0,"Return","OK")))))</f>
        <v>Duplicate</v>
      </c>
      <c r="L1351" s="36" t="n">
        <f aca="false">IF(Raw_Export!$A1351="","",IF(OR(K1351="OK",K1351="Return"),1,0))</f>
        <v>0</v>
      </c>
      <c r="M1351" s="37" t="n">
        <f aca="false">IF(Raw_Export!$A1351="","",B1351-WEEKDAY(B1351,2)+1)</f>
        <v>46272</v>
      </c>
    </row>
    <row r="1352" customFormat="false" ht="15" hidden="false" customHeight="false" outlineLevel="0" collapsed="false">
      <c r="A1352" s="36" t="str">
        <f aca="false">IF(Raw_Export!$A1352="","",TRIM(Raw_Export!A1352))</f>
        <v>TXN-101323</v>
      </c>
      <c r="B1352" s="37" t="n">
        <f aca="false">IF(Raw_Export!$A1352="","",IF(ISNUMBER(Raw_Export!B1352),Raw_Export!B1352,IF(MID(TRIM(Raw_Export!B1352),5,1)="-",DATE(LEFT(TRIM(Raw_Export!B1352),4),MID(TRIM(Raw_Export!B1352),6,2),RIGHT(TRIM(Raw_Export!B1352),2)),DATE(RIGHT(TRIM(Raw_Export!B1352),4),MATCH(MID(TRIM(Raw_Export!B1352),4,3),{"Jan","Feb","Mar","Apr","May","Jun","Jul","Aug","Sep","Oct","Nov","Dec"},0),LEFT(TRIM(Raw_Export!B1352),2)))))</f>
        <v>46274</v>
      </c>
      <c r="C1352" s="36" t="str">
        <f aca="false">IF(Raw_Export!$A1352="","",IFERROR(VLOOKUP(LOWER(TRIM(Raw_Export!C1352)),Maps!$A$2:$B$20,2,FALSE()),"UNMAPPED"))</f>
        <v>Nairobi CBD</v>
      </c>
      <c r="D1352" s="36" t="str">
        <f aca="false">IF(Raw_Export!$A1352="","",IFERROR(VLOOKUP(LOWER(TRIM(Raw_Export!D1352)),Maps!$G$2:$I$80,2,FALSE()),"UNMAPPED"))</f>
        <v>Bottled Water 1.5L</v>
      </c>
      <c r="E1352" s="36" t="str">
        <f aca="false">IF(Raw_Export!$A1352="","",IFERROR(VLOOKUP(LOWER(TRIM(Raw_Export!D1352)),Maps!$G$2:$I$80,3,FALSE()),"UNMAPPED"))</f>
        <v>Beverages</v>
      </c>
      <c r="F1352" s="36" t="n">
        <f aca="false">IF(Raw_Export!$A1352="","",IFERROR(VALUE(TRIM(Raw_Export!E1352)),0))</f>
        <v>2</v>
      </c>
      <c r="G1352" s="38" t="n">
        <f aca="false">IF(Raw_Export!$A1352="","",IFERROR(VALUE(SUBSTITUTE(SUBSTITUTE(UPPER(TRIM(Raw_Export!F1352)),"KES",""),",","")),0))</f>
        <v>90</v>
      </c>
      <c r="H1352" s="38" t="n">
        <f aca="false">IF(Raw_Export!$A1352="","",F1352*G1352)</f>
        <v>180</v>
      </c>
      <c r="I1352" s="36" t="str">
        <f aca="false">IF(Raw_Export!$A1352="","",IFERROR(VLOOKUP(LOWER(TRIM(Raw_Export!H1352)),Maps!$D$2:$E$12,2,FALSE()),"Other"))</f>
        <v>M-Pesa</v>
      </c>
      <c r="J1352" s="36" t="str">
        <f aca="false">IF(Raw_Export!$A1352="","",IF(COUNTIF($A$2:A1352,A1352)&gt;1,"Duplicate",""))</f>
        <v/>
      </c>
      <c r="K1352" s="36" t="str">
        <f aca="false">IF(Raw_Export!$A1352="","",IF(J1352="Duplicate","Duplicate",IF(OR(C1352="UNMAPPED",D1352="UNMAPPED"),"Unmapped",IF(F1352=0,"Blank qty",IF(F1352&lt;0,"Return","OK")))))</f>
        <v>OK</v>
      </c>
      <c r="L1352" s="36" t="n">
        <f aca="false">IF(Raw_Export!$A1352="","",IF(OR(K1352="OK",K1352="Return"),1,0))</f>
        <v>1</v>
      </c>
      <c r="M1352" s="37" t="n">
        <f aca="false">IF(Raw_Export!$A1352="","",B1352-WEEKDAY(B1352,2)+1)</f>
        <v>46272</v>
      </c>
    </row>
    <row r="1353" customFormat="false" ht="15" hidden="false" customHeight="false" outlineLevel="0" collapsed="false">
      <c r="A1353" s="36" t="str">
        <f aca="false">IF(Raw_Export!$A1353="","",TRIM(Raw_Export!A1353))</f>
        <v>TXN-101324</v>
      </c>
      <c r="B1353" s="37" t="n">
        <f aca="false">IF(Raw_Export!$A1353="","",IF(ISNUMBER(Raw_Export!B1353),Raw_Export!B1353,IF(MID(TRIM(Raw_Export!B1353),5,1)="-",DATE(LEFT(TRIM(Raw_Export!B1353),4),MID(TRIM(Raw_Export!B1353),6,2),RIGHT(TRIM(Raw_Export!B1353),2)),DATE(RIGHT(TRIM(Raw_Export!B1353),4),MATCH(MID(TRIM(Raw_Export!B1353),4,3),{"Jan","Feb","Mar","Apr","May","Jun","Jul","Aug","Sep","Oct","Nov","Dec"},0),LEFT(TRIM(Raw_Export!B1353),2)))))</f>
        <v>46274</v>
      </c>
      <c r="C1353" s="36" t="str">
        <f aca="false">IF(Raw_Export!$A1353="","",IFERROR(VLOOKUP(LOWER(TRIM(Raw_Export!C1353)),Maps!$A$2:$B$20,2,FALSE()),"UNMAPPED"))</f>
        <v>Nairobi CBD</v>
      </c>
      <c r="D1353" s="36" t="str">
        <f aca="false">IF(Raw_Export!$A1353="","",IFERROR(VLOOKUP(LOWER(TRIM(Raw_Export!D1353)),Maps!$G$2:$I$80,2,FALSE()),"UNMAPPED"))</f>
        <v>Dish Soap 750ml</v>
      </c>
      <c r="E1353" s="36" t="str">
        <f aca="false">IF(Raw_Export!$A1353="","",IFERROR(VLOOKUP(LOWER(TRIM(Raw_Export!D1353)),Maps!$G$2:$I$80,3,FALSE()),"UNMAPPED"))</f>
        <v>Household</v>
      </c>
      <c r="F1353" s="36" t="n">
        <f aca="false">IF(Raw_Export!$A1353="","",IFERROR(VALUE(TRIM(Raw_Export!E1353)),0))</f>
        <v>1</v>
      </c>
      <c r="G1353" s="38" t="n">
        <f aca="false">IF(Raw_Export!$A1353="","",IFERROR(VALUE(SUBSTITUTE(SUBSTITUTE(UPPER(TRIM(Raw_Export!F1353)),"KES",""),",","")),0))</f>
        <v>190</v>
      </c>
      <c r="H1353" s="38" t="n">
        <f aca="false">IF(Raw_Export!$A1353="","",F1353*G1353)</f>
        <v>190</v>
      </c>
      <c r="I1353" s="36" t="str">
        <f aca="false">IF(Raw_Export!$A1353="","",IFERROR(VLOOKUP(LOWER(TRIM(Raw_Export!H1353)),Maps!$D$2:$E$12,2,FALSE()),"Other"))</f>
        <v>M-Pesa</v>
      </c>
      <c r="J1353" s="36" t="str">
        <f aca="false">IF(Raw_Export!$A1353="","",IF(COUNTIF($A$2:A1353,A1353)&gt;1,"Duplicate",""))</f>
        <v/>
      </c>
      <c r="K1353" s="36" t="str">
        <f aca="false">IF(Raw_Export!$A1353="","",IF(J1353="Duplicate","Duplicate",IF(OR(C1353="UNMAPPED",D1353="UNMAPPED"),"Unmapped",IF(F1353=0,"Blank qty",IF(F1353&lt;0,"Return","OK")))))</f>
        <v>OK</v>
      </c>
      <c r="L1353" s="36" t="n">
        <f aca="false">IF(Raw_Export!$A1353="","",IF(OR(K1353="OK",K1353="Return"),1,0))</f>
        <v>1</v>
      </c>
      <c r="M1353" s="37" t="n">
        <f aca="false">IF(Raw_Export!$A1353="","",B1353-WEEKDAY(B1353,2)+1)</f>
        <v>46272</v>
      </c>
    </row>
    <row r="1354" customFormat="false" ht="15" hidden="false" customHeight="false" outlineLevel="0" collapsed="false">
      <c r="A1354" s="36" t="str">
        <f aca="false">IF(Raw_Export!$A1354="","",TRIM(Raw_Export!A1354))</f>
        <v>TXN-101325</v>
      </c>
      <c r="B1354" s="37" t="n">
        <f aca="false">IF(Raw_Export!$A1354="","",IF(ISNUMBER(Raw_Export!B1354),Raw_Export!B1354,IF(MID(TRIM(Raw_Export!B1354),5,1)="-",DATE(LEFT(TRIM(Raw_Export!B1354),4),MID(TRIM(Raw_Export!B1354),6,2),RIGHT(TRIM(Raw_Export!B1354),2)),DATE(RIGHT(TRIM(Raw_Export!B1354),4),MATCH(MID(TRIM(Raw_Export!B1354),4,3),{"Jan","Feb","Mar","Apr","May","Jun","Jul","Aug","Sep","Oct","Nov","Dec"},0),LEFT(TRIM(Raw_Export!B1354),2)))))</f>
        <v>46274</v>
      </c>
      <c r="C1354" s="36" t="str">
        <f aca="false">IF(Raw_Export!$A1354="","",IFERROR(VLOOKUP(LOWER(TRIM(Raw_Export!C1354)),Maps!$A$2:$B$20,2,FALSE()),"UNMAPPED"))</f>
        <v>Nairobi CBD</v>
      </c>
      <c r="D1354" s="36" t="str">
        <f aca="false">IF(Raw_Export!$A1354="","",IFERROR(VLOOKUP(LOWER(TRIM(Raw_Export!D1354)),Maps!$G$2:$I$80,2,FALSE()),"UNMAPPED"))</f>
        <v>Tea Leaves 250g</v>
      </c>
      <c r="E1354" s="36" t="str">
        <f aca="false">IF(Raw_Export!$A1354="","",IFERROR(VLOOKUP(LOWER(TRIM(Raw_Export!D1354)),Maps!$G$2:$I$80,3,FALSE()),"UNMAPPED"))</f>
        <v>Beverages</v>
      </c>
      <c r="F1354" s="36" t="n">
        <f aca="false">IF(Raw_Export!$A1354="","",IFERROR(VALUE(TRIM(Raw_Export!E1354)),0))</f>
        <v>2</v>
      </c>
      <c r="G1354" s="38" t="n">
        <f aca="false">IF(Raw_Export!$A1354="","",IFERROR(VALUE(SUBSTITUTE(SUBSTITUTE(UPPER(TRIM(Raw_Export!F1354)),"KES",""),",","")),0))</f>
        <v>150</v>
      </c>
      <c r="H1354" s="38" t="n">
        <f aca="false">IF(Raw_Export!$A1354="","",F1354*G1354)</f>
        <v>300</v>
      </c>
      <c r="I1354" s="36" t="str">
        <f aca="false">IF(Raw_Export!$A1354="","",IFERROR(VLOOKUP(LOWER(TRIM(Raw_Export!H1354)),Maps!$D$2:$E$12,2,FALSE()),"Other"))</f>
        <v>Cash</v>
      </c>
      <c r="J1354" s="36" t="str">
        <f aca="false">IF(Raw_Export!$A1354="","",IF(COUNTIF($A$2:A1354,A1354)&gt;1,"Duplicate",""))</f>
        <v/>
      </c>
      <c r="K1354" s="36" t="str">
        <f aca="false">IF(Raw_Export!$A1354="","",IF(J1354="Duplicate","Duplicate",IF(OR(C1354="UNMAPPED",D1354="UNMAPPED"),"Unmapped",IF(F1354=0,"Blank qty",IF(F1354&lt;0,"Return","OK")))))</f>
        <v>OK</v>
      </c>
      <c r="L1354" s="36" t="n">
        <f aca="false">IF(Raw_Export!$A1354="","",IF(OR(K1354="OK",K1354="Return"),1,0))</f>
        <v>1</v>
      </c>
      <c r="M1354" s="37" t="n">
        <f aca="false">IF(Raw_Export!$A1354="","",B1354-WEEKDAY(B1354,2)+1)</f>
        <v>46272</v>
      </c>
    </row>
    <row r="1355" customFormat="false" ht="15" hidden="false" customHeight="false" outlineLevel="0" collapsed="false">
      <c r="A1355" s="36" t="str">
        <f aca="false">IF(Raw_Export!$A1355="","",TRIM(Raw_Export!A1355))</f>
        <v>TXN-101326</v>
      </c>
      <c r="B1355" s="37" t="n">
        <f aca="false">IF(Raw_Export!$A1355="","",IF(ISNUMBER(Raw_Export!B1355),Raw_Export!B1355,IF(MID(TRIM(Raw_Export!B1355),5,1)="-",DATE(LEFT(TRIM(Raw_Export!B1355),4),MID(TRIM(Raw_Export!B1355),6,2),RIGHT(TRIM(Raw_Export!B1355),2)),DATE(RIGHT(TRIM(Raw_Export!B1355),4),MATCH(MID(TRIM(Raw_Export!B1355),4,3),{"Jan","Feb","Mar","Apr","May","Jun","Jul","Aug","Sep","Oct","Nov","Dec"},0),LEFT(TRIM(Raw_Export!B1355),2)))))</f>
        <v>46274</v>
      </c>
      <c r="C1355" s="36" t="str">
        <f aca="false">IF(Raw_Export!$A1355="","",IFERROR(VLOOKUP(LOWER(TRIM(Raw_Export!C1355)),Maps!$A$2:$B$20,2,FALSE()),"UNMAPPED"))</f>
        <v>Nairobi CBD</v>
      </c>
      <c r="D1355" s="36" t="str">
        <f aca="false">IF(Raw_Export!$A1355="","",IFERROR(VLOOKUP(LOWER(TRIM(Raw_Export!D1355)),Maps!$G$2:$I$80,2,FALSE()),"UNMAPPED"))</f>
        <v>Toilet Paper 10pk</v>
      </c>
      <c r="E1355" s="36" t="str">
        <f aca="false">IF(Raw_Export!$A1355="","",IFERROR(VLOOKUP(LOWER(TRIM(Raw_Export!D1355)),Maps!$G$2:$I$80,3,FALSE()),"UNMAPPED"))</f>
        <v>Household</v>
      </c>
      <c r="F1355" s="36" t="n">
        <f aca="false">IF(Raw_Export!$A1355="","",IFERROR(VALUE(TRIM(Raw_Export!E1355)),0))</f>
        <v>1</v>
      </c>
      <c r="G1355" s="38" t="n">
        <f aca="false">IF(Raw_Export!$A1355="","",IFERROR(VALUE(SUBSTITUTE(SUBSTITUTE(UPPER(TRIM(Raw_Export!F1355)),"KES",""),",","")),0))</f>
        <v>380</v>
      </c>
      <c r="H1355" s="38" t="n">
        <f aca="false">IF(Raw_Export!$A1355="","",F1355*G1355)</f>
        <v>380</v>
      </c>
      <c r="I1355" s="36" t="str">
        <f aca="false">IF(Raw_Export!$A1355="","",IFERROR(VLOOKUP(LOWER(TRIM(Raw_Export!H1355)),Maps!$D$2:$E$12,2,FALSE()),"Other"))</f>
        <v>Cash</v>
      </c>
      <c r="J1355" s="36" t="str">
        <f aca="false">IF(Raw_Export!$A1355="","",IF(COUNTIF($A$2:A1355,A1355)&gt;1,"Duplicate",""))</f>
        <v/>
      </c>
      <c r="K1355" s="36" t="str">
        <f aca="false">IF(Raw_Export!$A1355="","",IF(J1355="Duplicate","Duplicate",IF(OR(C1355="UNMAPPED",D1355="UNMAPPED"),"Unmapped",IF(F1355=0,"Blank qty",IF(F1355&lt;0,"Return","OK")))))</f>
        <v>OK</v>
      </c>
      <c r="L1355" s="36" t="n">
        <f aca="false">IF(Raw_Export!$A1355="","",IF(OR(K1355="OK",K1355="Return"),1,0))</f>
        <v>1</v>
      </c>
      <c r="M1355" s="37" t="n">
        <f aca="false">IF(Raw_Export!$A1355="","",B1355-WEEKDAY(B1355,2)+1)</f>
        <v>46272</v>
      </c>
    </row>
    <row r="1356" customFormat="false" ht="15" hidden="false" customHeight="false" outlineLevel="0" collapsed="false">
      <c r="A1356" s="36" t="str">
        <f aca="false">IF(Raw_Export!$A1356="","",TRIM(Raw_Export!A1356))</f>
        <v>TXN-101327</v>
      </c>
      <c r="B1356" s="37" t="n">
        <f aca="false">IF(Raw_Export!$A1356="","",IF(ISNUMBER(Raw_Export!B1356),Raw_Export!B1356,IF(MID(TRIM(Raw_Export!B1356),5,1)="-",DATE(LEFT(TRIM(Raw_Export!B1356),4),MID(TRIM(Raw_Export!B1356),6,2),RIGHT(TRIM(Raw_Export!B1356),2)),DATE(RIGHT(TRIM(Raw_Export!B1356),4),MATCH(MID(TRIM(Raw_Export!B1356),4,3),{"Jan","Feb","Mar","Apr","May","Jun","Jul","Aug","Sep","Oct","Nov","Dec"},0),LEFT(TRIM(Raw_Export!B1356),2)))))</f>
        <v>46274</v>
      </c>
      <c r="C1356" s="36" t="str">
        <f aca="false">IF(Raw_Export!$A1356="","",IFERROR(VLOOKUP(LOWER(TRIM(Raw_Export!C1356)),Maps!$A$2:$B$20,2,FALSE()),"UNMAPPED"))</f>
        <v>Nairobi CBD</v>
      </c>
      <c r="D1356" s="36" t="str">
        <f aca="false">IF(Raw_Export!$A1356="","",IFERROR(VLOOKUP(LOWER(TRIM(Raw_Export!D1356)),Maps!$G$2:$I$80,2,FALSE()),"UNMAPPED"))</f>
        <v>Chocolate Bar 90g</v>
      </c>
      <c r="E1356" s="36" t="str">
        <f aca="false">IF(Raw_Export!$A1356="","",IFERROR(VLOOKUP(LOWER(TRIM(Raw_Export!D1356)),Maps!$G$2:$I$80,3,FALSE()),"UNMAPPED"))</f>
        <v>Snacks</v>
      </c>
      <c r="F1356" s="36" t="n">
        <f aca="false">IF(Raw_Export!$A1356="","",IFERROR(VALUE(TRIM(Raw_Export!E1356)),0))</f>
        <v>1</v>
      </c>
      <c r="G1356" s="38" t="n">
        <f aca="false">IF(Raw_Export!$A1356="","",IFERROR(VALUE(SUBSTITUTE(SUBSTITUTE(UPPER(TRIM(Raw_Export!F1356)),"KES",""),",","")),0))</f>
        <v>140</v>
      </c>
      <c r="H1356" s="38" t="n">
        <f aca="false">IF(Raw_Export!$A1356="","",F1356*G1356)</f>
        <v>140</v>
      </c>
      <c r="I1356" s="36" t="str">
        <f aca="false">IF(Raw_Export!$A1356="","",IFERROR(VLOOKUP(LOWER(TRIM(Raw_Export!H1356)),Maps!$D$2:$E$12,2,FALSE()),"Other"))</f>
        <v>Card</v>
      </c>
      <c r="J1356" s="36" t="str">
        <f aca="false">IF(Raw_Export!$A1356="","",IF(COUNTIF($A$2:A1356,A1356)&gt;1,"Duplicate",""))</f>
        <v>Duplicate</v>
      </c>
      <c r="K1356" s="36" t="str">
        <f aca="false">IF(Raw_Export!$A1356="","",IF(J1356="Duplicate","Duplicate",IF(OR(C1356="UNMAPPED",D1356="UNMAPPED"),"Unmapped",IF(F1356=0,"Blank qty",IF(F1356&lt;0,"Return","OK")))))</f>
        <v>Duplicate</v>
      </c>
      <c r="L1356" s="36" t="n">
        <f aca="false">IF(Raw_Export!$A1356="","",IF(OR(K1356="OK",K1356="Return"),1,0))</f>
        <v>0</v>
      </c>
      <c r="M1356" s="37" t="n">
        <f aca="false">IF(Raw_Export!$A1356="","",B1356-WEEKDAY(B1356,2)+1)</f>
        <v>46272</v>
      </c>
    </row>
    <row r="1357" customFormat="false" ht="15" hidden="false" customHeight="false" outlineLevel="0" collapsed="false">
      <c r="A1357" s="36" t="str">
        <f aca="false">IF(Raw_Export!$A1357="","",TRIM(Raw_Export!A1357))</f>
        <v>TXN-101328</v>
      </c>
      <c r="B1357" s="37" t="n">
        <f aca="false">IF(Raw_Export!$A1357="","",IF(ISNUMBER(Raw_Export!B1357),Raw_Export!B1357,IF(MID(TRIM(Raw_Export!B1357),5,1)="-",DATE(LEFT(TRIM(Raw_Export!B1357),4),MID(TRIM(Raw_Export!B1357),6,2),RIGHT(TRIM(Raw_Export!B1357),2)),DATE(RIGHT(TRIM(Raw_Export!B1357),4),MATCH(MID(TRIM(Raw_Export!B1357),4,3),{"Jan","Feb","Mar","Apr","May","Jun","Jul","Aug","Sep","Oct","Nov","Dec"},0),LEFT(TRIM(Raw_Export!B1357),2)))))</f>
        <v>46274</v>
      </c>
      <c r="C1357" s="36" t="str">
        <f aca="false">IF(Raw_Export!$A1357="","",IFERROR(VLOOKUP(LOWER(TRIM(Raw_Export!C1357)),Maps!$A$2:$B$20,2,FALSE()),"UNMAPPED"))</f>
        <v>Nairobi CBD</v>
      </c>
      <c r="D1357" s="36" t="str">
        <f aca="false">IF(Raw_Export!$A1357="","",IFERROR(VLOOKUP(LOWER(TRIM(Raw_Export!D1357)),Maps!$G$2:$I$80,2,FALSE()),"UNMAPPED"))</f>
        <v>Soda 500ml</v>
      </c>
      <c r="E1357" s="36" t="str">
        <f aca="false">IF(Raw_Export!$A1357="","",IFERROR(VLOOKUP(LOWER(TRIM(Raw_Export!D1357)),Maps!$G$2:$I$80,3,FALSE()),"UNMAPPED"))</f>
        <v>Beverages</v>
      </c>
      <c r="F1357" s="36" t="n">
        <f aca="false">IF(Raw_Export!$A1357="","",IFERROR(VALUE(TRIM(Raw_Export!E1357)),0))</f>
        <v>1</v>
      </c>
      <c r="G1357" s="38" t="n">
        <f aca="false">IF(Raw_Export!$A1357="","",IFERROR(VALUE(SUBSTITUTE(SUBSTITUTE(UPPER(TRIM(Raw_Export!F1357)),"KES",""),",","")),0))</f>
        <v>60</v>
      </c>
      <c r="H1357" s="38" t="n">
        <f aca="false">IF(Raw_Export!$A1357="","",F1357*G1357)</f>
        <v>60</v>
      </c>
      <c r="I1357" s="36" t="str">
        <f aca="false">IF(Raw_Export!$A1357="","",IFERROR(VLOOKUP(LOWER(TRIM(Raw_Export!H1357)),Maps!$D$2:$E$12,2,FALSE()),"Other"))</f>
        <v>Cash</v>
      </c>
      <c r="J1357" s="36" t="str">
        <f aca="false">IF(Raw_Export!$A1357="","",IF(COUNTIF($A$2:A1357,A1357)&gt;1,"Duplicate",""))</f>
        <v/>
      </c>
      <c r="K1357" s="36" t="str">
        <f aca="false">IF(Raw_Export!$A1357="","",IF(J1357="Duplicate","Duplicate",IF(OR(C1357="UNMAPPED",D1357="UNMAPPED"),"Unmapped",IF(F1357=0,"Blank qty",IF(F1357&lt;0,"Return","OK")))))</f>
        <v>OK</v>
      </c>
      <c r="L1357" s="36" t="n">
        <f aca="false">IF(Raw_Export!$A1357="","",IF(OR(K1357="OK",K1357="Return"),1,0))</f>
        <v>1</v>
      </c>
      <c r="M1357" s="37" t="n">
        <f aca="false">IF(Raw_Export!$A1357="","",B1357-WEEKDAY(B1357,2)+1)</f>
        <v>46272</v>
      </c>
    </row>
    <row r="1358" customFormat="false" ht="15" hidden="false" customHeight="false" outlineLevel="0" collapsed="false">
      <c r="A1358" s="36" t="str">
        <f aca="false">IF(Raw_Export!$A1358="","",TRIM(Raw_Export!A1358))</f>
        <v>TXN-101329</v>
      </c>
      <c r="B1358" s="37" t="n">
        <f aca="false">IF(Raw_Export!$A1358="","",IF(ISNUMBER(Raw_Export!B1358),Raw_Export!B1358,IF(MID(TRIM(Raw_Export!B1358),5,1)="-",DATE(LEFT(TRIM(Raw_Export!B1358),4),MID(TRIM(Raw_Export!B1358),6,2),RIGHT(TRIM(Raw_Export!B1358),2)),DATE(RIGHT(TRIM(Raw_Export!B1358),4),MATCH(MID(TRIM(Raw_Export!B1358),4,3),{"Jan","Feb","Mar","Apr","May","Jun","Jul","Aug","Sep","Oct","Nov","Dec"},0),LEFT(TRIM(Raw_Export!B1358),2)))))</f>
        <v>46274</v>
      </c>
      <c r="C1358" s="36" t="str">
        <f aca="false">IF(Raw_Export!$A1358="","",IFERROR(VLOOKUP(LOWER(TRIM(Raw_Export!C1358)),Maps!$A$2:$B$20,2,FALSE()),"UNMAPPED"))</f>
        <v>Nairobi CBD</v>
      </c>
      <c r="D1358" s="36" t="str">
        <f aca="false">IF(Raw_Export!$A1358="","",IFERROR(VLOOKUP(LOWER(TRIM(Raw_Export!D1358)),Maps!$G$2:$I$80,2,FALSE()),"UNMAPPED"))</f>
        <v>Fresh Milk 500ml</v>
      </c>
      <c r="E1358" s="36" t="str">
        <f aca="false">IF(Raw_Export!$A1358="","",IFERROR(VLOOKUP(LOWER(TRIM(Raw_Export!D1358)),Maps!$G$2:$I$80,3,FALSE()),"UNMAPPED"))</f>
        <v>Dairy &amp; Eggs</v>
      </c>
      <c r="F1358" s="36" t="n">
        <f aca="false">IF(Raw_Export!$A1358="","",IFERROR(VALUE(TRIM(Raw_Export!E1358)),0))</f>
        <v>2</v>
      </c>
      <c r="G1358" s="38" t="n">
        <f aca="false">IF(Raw_Export!$A1358="","",IFERROR(VALUE(SUBSTITUTE(SUBSTITUTE(UPPER(TRIM(Raw_Export!F1358)),"KES",""),",","")),0))</f>
        <v>65</v>
      </c>
      <c r="H1358" s="38" t="n">
        <f aca="false">IF(Raw_Export!$A1358="","",F1358*G1358)</f>
        <v>130</v>
      </c>
      <c r="I1358" s="36" t="str">
        <f aca="false">IF(Raw_Export!$A1358="","",IFERROR(VLOOKUP(LOWER(TRIM(Raw_Export!H1358)),Maps!$D$2:$E$12,2,FALSE()),"Other"))</f>
        <v>Cash</v>
      </c>
      <c r="J1358" s="36" t="str">
        <f aca="false">IF(Raw_Export!$A1358="","",IF(COUNTIF($A$2:A1358,A1358)&gt;1,"Duplicate",""))</f>
        <v/>
      </c>
      <c r="K1358" s="36" t="str">
        <f aca="false">IF(Raw_Export!$A1358="","",IF(J1358="Duplicate","Duplicate",IF(OR(C1358="UNMAPPED",D1358="UNMAPPED"),"Unmapped",IF(F1358=0,"Blank qty",IF(F1358&lt;0,"Return","OK")))))</f>
        <v>OK</v>
      </c>
      <c r="L1358" s="36" t="n">
        <f aca="false">IF(Raw_Export!$A1358="","",IF(OR(K1358="OK",K1358="Return"),1,0))</f>
        <v>1</v>
      </c>
      <c r="M1358" s="37" t="n">
        <f aca="false">IF(Raw_Export!$A1358="","",B1358-WEEKDAY(B1358,2)+1)</f>
        <v>46272</v>
      </c>
    </row>
    <row r="1359" customFormat="false" ht="15" hidden="false" customHeight="false" outlineLevel="0" collapsed="false">
      <c r="A1359" s="36" t="str">
        <f aca="false">IF(Raw_Export!$A1359="","",TRIM(Raw_Export!A1359))</f>
        <v>TXN-101330</v>
      </c>
      <c r="B1359" s="37" t="n">
        <f aca="false">IF(Raw_Export!$A1359="","",IF(ISNUMBER(Raw_Export!B1359),Raw_Export!B1359,IF(MID(TRIM(Raw_Export!B1359),5,1)="-",DATE(LEFT(TRIM(Raw_Export!B1359),4),MID(TRIM(Raw_Export!B1359),6,2),RIGHT(TRIM(Raw_Export!B1359),2)),DATE(RIGHT(TRIM(Raw_Export!B1359),4),MATCH(MID(TRIM(Raw_Export!B1359),4,3),{"Jan","Feb","Mar","Apr","May","Jun","Jul","Aug","Sep","Oct","Nov","Dec"},0),LEFT(TRIM(Raw_Export!B1359),2)))))</f>
        <v>46274</v>
      </c>
      <c r="C1359" s="36" t="str">
        <f aca="false">IF(Raw_Export!$A1359="","",IFERROR(VLOOKUP(LOWER(TRIM(Raw_Export!C1359)),Maps!$A$2:$B$20,2,FALSE()),"UNMAPPED"))</f>
        <v>Nairobi CBD</v>
      </c>
      <c r="D1359" s="36" t="str">
        <f aca="false">IF(Raw_Export!$A1359="","",IFERROR(VLOOKUP(LOWER(TRIM(Raw_Export!D1359)),Maps!$G$2:$I$80,2,FALSE()),"UNMAPPED"))</f>
        <v>Matches 10pk</v>
      </c>
      <c r="E1359" s="36" t="str">
        <f aca="false">IF(Raw_Export!$A1359="","",IFERROR(VLOOKUP(LOWER(TRIM(Raw_Export!D1359)),Maps!$G$2:$I$80,3,FALSE()),"UNMAPPED"))</f>
        <v>Household</v>
      </c>
      <c r="F1359" s="36" t="n">
        <f aca="false">IF(Raw_Export!$A1359="","",IFERROR(VALUE(TRIM(Raw_Export!E1359)),0))</f>
        <v>1</v>
      </c>
      <c r="G1359" s="38" t="n">
        <f aca="false">IF(Raw_Export!$A1359="","",IFERROR(VALUE(SUBSTITUTE(SUBSTITUTE(UPPER(TRIM(Raw_Export!F1359)),"KES",""),",","")),0))</f>
        <v>50</v>
      </c>
      <c r="H1359" s="38" t="n">
        <f aca="false">IF(Raw_Export!$A1359="","",F1359*G1359)</f>
        <v>50</v>
      </c>
      <c r="I1359" s="36" t="str">
        <f aca="false">IF(Raw_Export!$A1359="","",IFERROR(VLOOKUP(LOWER(TRIM(Raw_Export!H1359)),Maps!$D$2:$E$12,2,FALSE()),"Other"))</f>
        <v>Cash</v>
      </c>
      <c r="J1359" s="36" t="str">
        <f aca="false">IF(Raw_Export!$A1359="","",IF(COUNTIF($A$2:A1359,A1359)&gt;1,"Duplicate",""))</f>
        <v/>
      </c>
      <c r="K1359" s="36" t="str">
        <f aca="false">IF(Raw_Export!$A1359="","",IF(J1359="Duplicate","Duplicate",IF(OR(C1359="UNMAPPED",D1359="UNMAPPED"),"Unmapped",IF(F1359=0,"Blank qty",IF(F1359&lt;0,"Return","OK")))))</f>
        <v>OK</v>
      </c>
      <c r="L1359" s="36" t="n">
        <f aca="false">IF(Raw_Export!$A1359="","",IF(OR(K1359="OK",K1359="Return"),1,0))</f>
        <v>1</v>
      </c>
      <c r="M1359" s="37" t="n">
        <f aca="false">IF(Raw_Export!$A1359="","",B1359-WEEKDAY(B1359,2)+1)</f>
        <v>46272</v>
      </c>
    </row>
    <row r="1360" customFormat="false" ht="15" hidden="false" customHeight="false" outlineLevel="0" collapsed="false">
      <c r="A1360" s="36" t="str">
        <f aca="false">IF(Raw_Export!$A1360="","",TRIM(Raw_Export!A1360))</f>
        <v>TXN-101331</v>
      </c>
      <c r="B1360" s="37" t="n">
        <f aca="false">IF(Raw_Export!$A1360="","",IF(ISNUMBER(Raw_Export!B1360),Raw_Export!B1360,IF(MID(TRIM(Raw_Export!B1360),5,1)="-",DATE(LEFT(TRIM(Raw_Export!B1360),4),MID(TRIM(Raw_Export!B1360),6,2),RIGHT(TRIM(Raw_Export!B1360),2)),DATE(RIGHT(TRIM(Raw_Export!B1360),4),MATCH(MID(TRIM(Raw_Export!B1360),4,3),{"Jan","Feb","Mar","Apr","May","Jun","Jul","Aug","Sep","Oct","Nov","Dec"},0),LEFT(TRIM(Raw_Export!B1360),2)))))</f>
        <v>46274</v>
      </c>
      <c r="C1360" s="36" t="str">
        <f aca="false">IF(Raw_Export!$A1360="","",IFERROR(VLOOKUP(LOWER(TRIM(Raw_Export!C1360)),Maps!$A$2:$B$20,2,FALSE()),"UNMAPPED"))</f>
        <v>Nairobi CBD</v>
      </c>
      <c r="D1360" s="36" t="str">
        <f aca="false">IF(Raw_Export!$A1360="","",IFERROR(VLOOKUP(LOWER(TRIM(Raw_Export!D1360)),Maps!$G$2:$I$80,2,FALSE()),"UNMAPPED"))</f>
        <v>Eggs Tray 30</v>
      </c>
      <c r="E1360" s="36" t="str">
        <f aca="false">IF(Raw_Export!$A1360="","",IFERROR(VLOOKUP(LOWER(TRIM(Raw_Export!D1360)),Maps!$G$2:$I$80,3,FALSE()),"UNMAPPED"))</f>
        <v>Dairy &amp; Eggs</v>
      </c>
      <c r="F1360" s="36" t="n">
        <f aca="false">IF(Raw_Export!$A1360="","",IFERROR(VALUE(TRIM(Raw_Export!E1360)),0))</f>
        <v>4</v>
      </c>
      <c r="G1360" s="38" t="n">
        <f aca="false">IF(Raw_Export!$A1360="","",IFERROR(VALUE(SUBSTITUTE(SUBSTITUTE(UPPER(TRIM(Raw_Export!F1360)),"KES",""),",","")),0))</f>
        <v>450</v>
      </c>
      <c r="H1360" s="38" t="n">
        <f aca="false">IF(Raw_Export!$A1360="","",F1360*G1360)</f>
        <v>1800</v>
      </c>
      <c r="I1360" s="36" t="str">
        <f aca="false">IF(Raw_Export!$A1360="","",IFERROR(VLOOKUP(LOWER(TRIM(Raw_Export!H1360)),Maps!$D$2:$E$12,2,FALSE()),"Other"))</f>
        <v>Card</v>
      </c>
      <c r="J1360" s="36" t="str">
        <f aca="false">IF(Raw_Export!$A1360="","",IF(COUNTIF($A$2:A1360,A1360)&gt;1,"Duplicate",""))</f>
        <v/>
      </c>
      <c r="K1360" s="36" t="str">
        <f aca="false">IF(Raw_Export!$A1360="","",IF(J1360="Duplicate","Duplicate",IF(OR(C1360="UNMAPPED",D1360="UNMAPPED"),"Unmapped",IF(F1360=0,"Blank qty",IF(F1360&lt;0,"Return","OK")))))</f>
        <v>OK</v>
      </c>
      <c r="L1360" s="36" t="n">
        <f aca="false">IF(Raw_Export!$A1360="","",IF(OR(K1360="OK",K1360="Return"),1,0))</f>
        <v>1</v>
      </c>
      <c r="M1360" s="37" t="n">
        <f aca="false">IF(Raw_Export!$A1360="","",B1360-WEEKDAY(B1360,2)+1)</f>
        <v>46272</v>
      </c>
    </row>
    <row r="1361" customFormat="false" ht="15" hidden="false" customHeight="false" outlineLevel="0" collapsed="false">
      <c r="A1361" s="36" t="str">
        <f aca="false">IF(Raw_Export!$A1361="","",TRIM(Raw_Export!A1361))</f>
        <v>TXN-101332</v>
      </c>
      <c r="B1361" s="37" t="n">
        <f aca="false">IF(Raw_Export!$A1361="","",IF(ISNUMBER(Raw_Export!B1361),Raw_Export!B1361,IF(MID(TRIM(Raw_Export!B1361),5,1)="-",DATE(LEFT(TRIM(Raw_Export!B1361),4),MID(TRIM(Raw_Export!B1361),6,2),RIGHT(TRIM(Raw_Export!B1361),2)),DATE(RIGHT(TRIM(Raw_Export!B1361),4),MATCH(MID(TRIM(Raw_Export!B1361),4,3),{"Jan","Feb","Mar","Apr","May","Jun","Jul","Aug","Sep","Oct","Nov","Dec"},0),LEFT(TRIM(Raw_Export!B1361),2)))))</f>
        <v>46274</v>
      </c>
      <c r="C1361" s="36" t="str">
        <f aca="false">IF(Raw_Export!$A1361="","",IFERROR(VLOOKUP(LOWER(TRIM(Raw_Export!C1361)),Maps!$A$2:$B$20,2,FALSE()),"UNMAPPED"))</f>
        <v>Nairobi CBD</v>
      </c>
      <c r="D1361" s="36" t="str">
        <f aca="false">IF(Raw_Export!$A1361="","",IFERROR(VLOOKUP(LOWER(TRIM(Raw_Export!D1361)),Maps!$G$2:$I$80,2,FALSE()),"UNMAPPED"))</f>
        <v>Dish Soap 750ml</v>
      </c>
      <c r="E1361" s="36" t="str">
        <f aca="false">IF(Raw_Export!$A1361="","",IFERROR(VLOOKUP(LOWER(TRIM(Raw_Export!D1361)),Maps!$G$2:$I$80,3,FALSE()),"UNMAPPED"))</f>
        <v>Household</v>
      </c>
      <c r="F1361" s="36" t="n">
        <f aca="false">IF(Raw_Export!$A1361="","",IFERROR(VALUE(TRIM(Raw_Export!E1361)),0))</f>
        <v>6</v>
      </c>
      <c r="G1361" s="38" t="n">
        <f aca="false">IF(Raw_Export!$A1361="","",IFERROR(VALUE(SUBSTITUTE(SUBSTITUTE(UPPER(TRIM(Raw_Export!F1361)),"KES",""),",","")),0))</f>
        <v>190</v>
      </c>
      <c r="H1361" s="38" t="n">
        <f aca="false">IF(Raw_Export!$A1361="","",F1361*G1361)</f>
        <v>1140</v>
      </c>
      <c r="I1361" s="36" t="str">
        <f aca="false">IF(Raw_Export!$A1361="","",IFERROR(VLOOKUP(LOWER(TRIM(Raw_Export!H1361)),Maps!$D$2:$E$12,2,FALSE()),"Other"))</f>
        <v>M-Pesa</v>
      </c>
      <c r="J1361" s="36" t="str">
        <f aca="false">IF(Raw_Export!$A1361="","",IF(COUNTIF($A$2:A1361,A1361)&gt;1,"Duplicate",""))</f>
        <v/>
      </c>
      <c r="K1361" s="36" t="str">
        <f aca="false">IF(Raw_Export!$A1361="","",IF(J1361="Duplicate","Duplicate",IF(OR(C1361="UNMAPPED",D1361="UNMAPPED"),"Unmapped",IF(F1361=0,"Blank qty",IF(F1361&lt;0,"Return","OK")))))</f>
        <v>OK</v>
      </c>
      <c r="L1361" s="36" t="n">
        <f aca="false">IF(Raw_Export!$A1361="","",IF(OR(K1361="OK",K1361="Return"),1,0))</f>
        <v>1</v>
      </c>
      <c r="M1361" s="37" t="n">
        <f aca="false">IF(Raw_Export!$A1361="","",B1361-WEEKDAY(B1361,2)+1)</f>
        <v>46272</v>
      </c>
    </row>
    <row r="1362" customFormat="false" ht="15" hidden="false" customHeight="false" outlineLevel="0" collapsed="false">
      <c r="A1362" s="36" t="str">
        <f aca="false">IF(Raw_Export!$A1362="","",TRIM(Raw_Export!A1362))</f>
        <v>TXN-101333</v>
      </c>
      <c r="B1362" s="37" t="n">
        <f aca="false">IF(Raw_Export!$A1362="","",IF(ISNUMBER(Raw_Export!B1362),Raw_Export!B1362,IF(MID(TRIM(Raw_Export!B1362),5,1)="-",DATE(LEFT(TRIM(Raw_Export!B1362),4),MID(TRIM(Raw_Export!B1362),6,2),RIGHT(TRIM(Raw_Export!B1362),2)),DATE(RIGHT(TRIM(Raw_Export!B1362),4),MATCH(MID(TRIM(Raw_Export!B1362),4,3),{"Jan","Feb","Mar","Apr","May","Jun","Jul","Aug","Sep","Oct","Nov","Dec"},0),LEFT(TRIM(Raw_Export!B1362),2)))))</f>
        <v>46274</v>
      </c>
      <c r="C1362" s="36" t="str">
        <f aca="false">IF(Raw_Export!$A1362="","",IFERROR(VLOOKUP(LOWER(TRIM(Raw_Export!C1362)),Maps!$A$2:$B$20,2,FALSE()),"UNMAPPED"))</f>
        <v>Nairobi CBD</v>
      </c>
      <c r="D1362" s="36" t="str">
        <f aca="false">IF(Raw_Export!$A1362="","",IFERROR(VLOOKUP(LOWER(TRIM(Raw_Export!D1362)),Maps!$G$2:$I$80,2,FALSE()),"UNMAPPED"))</f>
        <v>Peanuts 250g</v>
      </c>
      <c r="E1362" s="36" t="str">
        <f aca="false">IF(Raw_Export!$A1362="","",IFERROR(VLOOKUP(LOWER(TRIM(Raw_Export!D1362)),Maps!$G$2:$I$80,3,FALSE()),"UNMAPPED"))</f>
        <v>Snacks</v>
      </c>
      <c r="F1362" s="36" t="n">
        <f aca="false">IF(Raw_Export!$A1362="","",IFERROR(VALUE(TRIM(Raw_Export!E1362)),0))</f>
        <v>1</v>
      </c>
      <c r="G1362" s="38" t="n">
        <f aca="false">IF(Raw_Export!$A1362="","",IFERROR(VALUE(SUBSTITUTE(SUBSTITUTE(UPPER(TRIM(Raw_Export!F1362)),"KES",""),",","")),0))</f>
        <v>117</v>
      </c>
      <c r="H1362" s="38" t="n">
        <f aca="false">IF(Raw_Export!$A1362="","",F1362*G1362)</f>
        <v>117</v>
      </c>
      <c r="I1362" s="36" t="str">
        <f aca="false">IF(Raw_Export!$A1362="","",IFERROR(VLOOKUP(LOWER(TRIM(Raw_Export!H1362)),Maps!$D$2:$E$12,2,FALSE()),"Other"))</f>
        <v>M-Pesa</v>
      </c>
      <c r="J1362" s="36" t="str">
        <f aca="false">IF(Raw_Export!$A1362="","",IF(COUNTIF($A$2:A1362,A1362)&gt;1,"Duplicate",""))</f>
        <v/>
      </c>
      <c r="K1362" s="36" t="str">
        <f aca="false">IF(Raw_Export!$A1362="","",IF(J1362="Duplicate","Duplicate",IF(OR(C1362="UNMAPPED",D1362="UNMAPPED"),"Unmapped",IF(F1362=0,"Blank qty",IF(F1362&lt;0,"Return","OK")))))</f>
        <v>OK</v>
      </c>
      <c r="L1362" s="36" t="n">
        <f aca="false">IF(Raw_Export!$A1362="","",IF(OR(K1362="OK",K1362="Return"),1,0))</f>
        <v>1</v>
      </c>
      <c r="M1362" s="37" t="n">
        <f aca="false">IF(Raw_Export!$A1362="","",B1362-WEEKDAY(B1362,2)+1)</f>
        <v>46272</v>
      </c>
    </row>
    <row r="1363" customFormat="false" ht="15" hidden="false" customHeight="false" outlineLevel="0" collapsed="false">
      <c r="A1363" s="36" t="str">
        <f aca="false">IF(Raw_Export!$A1363="","",TRIM(Raw_Export!A1363))</f>
        <v>TXN-101334</v>
      </c>
      <c r="B1363" s="37" t="n">
        <f aca="false">IF(Raw_Export!$A1363="","",IF(ISNUMBER(Raw_Export!B1363),Raw_Export!B1363,IF(MID(TRIM(Raw_Export!B1363),5,1)="-",DATE(LEFT(TRIM(Raw_Export!B1363),4),MID(TRIM(Raw_Export!B1363),6,2),RIGHT(TRIM(Raw_Export!B1363),2)),DATE(RIGHT(TRIM(Raw_Export!B1363),4),MATCH(MID(TRIM(Raw_Export!B1363),4,3),{"Jan","Feb","Mar","Apr","May","Jun","Jul","Aug","Sep","Oct","Nov","Dec"},0),LEFT(TRIM(Raw_Export!B1363),2)))))</f>
        <v>46274</v>
      </c>
      <c r="C1363" s="36" t="str">
        <f aca="false">IF(Raw_Export!$A1363="","",IFERROR(VLOOKUP(LOWER(TRIM(Raw_Export!C1363)),Maps!$A$2:$B$20,2,FALSE()),"UNMAPPED"))</f>
        <v>Nairobi CBD</v>
      </c>
      <c r="D1363" s="36" t="str">
        <f aca="false">IF(Raw_Export!$A1363="","",IFERROR(VLOOKUP(LOWER(TRIM(Raw_Export!D1363)),Maps!$G$2:$I$80,2,FALSE()),"UNMAPPED"))</f>
        <v>Salt 500g</v>
      </c>
      <c r="E1363" s="36" t="str">
        <f aca="false">IF(Raw_Export!$A1363="","",IFERROR(VLOOKUP(LOWER(TRIM(Raw_Export!D1363)),Maps!$G$2:$I$80,3,FALSE()),"UNMAPPED"))</f>
        <v>Staples</v>
      </c>
      <c r="F1363" s="36" t="n">
        <f aca="false">IF(Raw_Export!$A1363="","",IFERROR(VALUE(TRIM(Raw_Export!E1363)),0))</f>
        <v>2</v>
      </c>
      <c r="G1363" s="38" t="n">
        <f aca="false">IF(Raw_Export!$A1363="","",IFERROR(VALUE(SUBSTITUTE(SUBSTITUTE(UPPER(TRIM(Raw_Export!F1363)),"KES",""),",","")),0))</f>
        <v>40</v>
      </c>
      <c r="H1363" s="38" t="n">
        <f aca="false">IF(Raw_Export!$A1363="","",F1363*G1363)</f>
        <v>80</v>
      </c>
      <c r="I1363" s="36" t="str">
        <f aca="false">IF(Raw_Export!$A1363="","",IFERROR(VLOOKUP(LOWER(TRIM(Raw_Export!H1363)),Maps!$D$2:$E$12,2,FALSE()),"Other"))</f>
        <v>M-Pesa</v>
      </c>
      <c r="J1363" s="36" t="str">
        <f aca="false">IF(Raw_Export!$A1363="","",IF(COUNTIF($A$2:A1363,A1363)&gt;1,"Duplicate",""))</f>
        <v/>
      </c>
      <c r="K1363" s="36" t="str">
        <f aca="false">IF(Raw_Export!$A1363="","",IF(J1363="Duplicate","Duplicate",IF(OR(C1363="UNMAPPED",D1363="UNMAPPED"),"Unmapped",IF(F1363=0,"Blank qty",IF(F1363&lt;0,"Return","OK")))))</f>
        <v>OK</v>
      </c>
      <c r="L1363" s="36" t="n">
        <f aca="false">IF(Raw_Export!$A1363="","",IF(OR(K1363="OK",K1363="Return"),1,0))</f>
        <v>1</v>
      </c>
      <c r="M1363" s="37" t="n">
        <f aca="false">IF(Raw_Export!$A1363="","",B1363-WEEKDAY(B1363,2)+1)</f>
        <v>46272</v>
      </c>
    </row>
    <row r="1364" customFormat="false" ht="15" hidden="false" customHeight="false" outlineLevel="0" collapsed="false">
      <c r="A1364" s="36" t="str">
        <f aca="false">IF(Raw_Export!$A1364="","",TRIM(Raw_Export!A1364))</f>
        <v>TXN-101335</v>
      </c>
      <c r="B1364" s="37" t="n">
        <f aca="false">IF(Raw_Export!$A1364="","",IF(ISNUMBER(Raw_Export!B1364),Raw_Export!B1364,IF(MID(TRIM(Raw_Export!B1364),5,1)="-",DATE(LEFT(TRIM(Raw_Export!B1364),4),MID(TRIM(Raw_Export!B1364),6,2),RIGHT(TRIM(Raw_Export!B1364),2)),DATE(RIGHT(TRIM(Raw_Export!B1364),4),MATCH(MID(TRIM(Raw_Export!B1364),4,3),{"Jan","Feb","Mar","Apr","May","Jun","Jul","Aug","Sep","Oct","Nov","Dec"},0),LEFT(TRIM(Raw_Export!B1364),2)))))</f>
        <v>46274</v>
      </c>
      <c r="C1364" s="36" t="str">
        <f aca="false">IF(Raw_Export!$A1364="","",IFERROR(VLOOKUP(LOWER(TRIM(Raw_Export!C1364)),Maps!$A$2:$B$20,2,FALSE()),"UNMAPPED"))</f>
        <v>Nairobi CBD</v>
      </c>
      <c r="D1364" s="36" t="str">
        <f aca="false">IF(Raw_Export!$A1364="","",IFERROR(VLOOKUP(LOWER(TRIM(Raw_Export!D1364)),Maps!$G$2:$I$80,2,FALSE()),"UNMAPPED"))</f>
        <v>Sanitary Pads 8pk</v>
      </c>
      <c r="E1364" s="36" t="str">
        <f aca="false">IF(Raw_Export!$A1364="","",IFERROR(VLOOKUP(LOWER(TRIM(Raw_Export!D1364)),Maps!$G$2:$I$80,3,FALSE()),"UNMAPPED"))</f>
        <v>Personal Care</v>
      </c>
      <c r="F1364" s="36" t="n">
        <f aca="false">IF(Raw_Export!$A1364="","",IFERROR(VALUE(TRIM(Raw_Export!E1364)),0))</f>
        <v>1</v>
      </c>
      <c r="G1364" s="38" t="n">
        <f aca="false">IF(Raw_Export!$A1364="","",IFERROR(VALUE(SUBSTITUTE(SUBSTITUTE(UPPER(TRIM(Raw_Export!F1364)),"KES",""),",","")),0))</f>
        <v>130</v>
      </c>
      <c r="H1364" s="38" t="n">
        <f aca="false">IF(Raw_Export!$A1364="","",F1364*G1364)</f>
        <v>130</v>
      </c>
      <c r="I1364" s="36" t="str">
        <f aca="false">IF(Raw_Export!$A1364="","",IFERROR(VLOOKUP(LOWER(TRIM(Raw_Export!H1364)),Maps!$D$2:$E$12,2,FALSE()),"Other"))</f>
        <v>Card</v>
      </c>
      <c r="J1364" s="36" t="str">
        <f aca="false">IF(Raw_Export!$A1364="","",IF(COUNTIF($A$2:A1364,A1364)&gt;1,"Duplicate",""))</f>
        <v/>
      </c>
      <c r="K1364" s="36" t="str">
        <f aca="false">IF(Raw_Export!$A1364="","",IF(J1364="Duplicate","Duplicate",IF(OR(C1364="UNMAPPED",D1364="UNMAPPED"),"Unmapped",IF(F1364=0,"Blank qty",IF(F1364&lt;0,"Return","OK")))))</f>
        <v>OK</v>
      </c>
      <c r="L1364" s="36" t="n">
        <f aca="false">IF(Raw_Export!$A1364="","",IF(OR(K1364="OK",K1364="Return"),1,0))</f>
        <v>1</v>
      </c>
      <c r="M1364" s="37" t="n">
        <f aca="false">IF(Raw_Export!$A1364="","",B1364-WEEKDAY(B1364,2)+1)</f>
        <v>46272</v>
      </c>
    </row>
    <row r="1365" customFormat="false" ht="15" hidden="false" customHeight="false" outlineLevel="0" collapsed="false">
      <c r="A1365" s="36" t="str">
        <f aca="false">IF(Raw_Export!$A1365="","",TRIM(Raw_Export!A1365))</f>
        <v>TXN-101336</v>
      </c>
      <c r="B1365" s="37" t="n">
        <f aca="false">IF(Raw_Export!$A1365="","",IF(ISNUMBER(Raw_Export!B1365),Raw_Export!B1365,IF(MID(TRIM(Raw_Export!B1365),5,1)="-",DATE(LEFT(TRIM(Raw_Export!B1365),4),MID(TRIM(Raw_Export!B1365),6,2),RIGHT(TRIM(Raw_Export!B1365),2)),DATE(RIGHT(TRIM(Raw_Export!B1365),4),MATCH(MID(TRIM(Raw_Export!B1365),4,3),{"Jan","Feb","Mar","Apr","May","Jun","Jul","Aug","Sep","Oct","Nov","Dec"},0),LEFT(TRIM(Raw_Export!B1365),2)))))</f>
        <v>46274</v>
      </c>
      <c r="C1365" s="36" t="str">
        <f aca="false">IF(Raw_Export!$A1365="","",IFERROR(VLOOKUP(LOWER(TRIM(Raw_Export!C1365)),Maps!$A$2:$B$20,2,FALSE()),"UNMAPPED"))</f>
        <v>Nairobi CBD</v>
      </c>
      <c r="D1365" s="36" t="str">
        <f aca="false">IF(Raw_Export!$A1365="","",IFERROR(VLOOKUP(LOWER(TRIM(Raw_Export!D1365)),Maps!$G$2:$I$80,2,FALSE()),"UNMAPPED"))</f>
        <v>Sugar 2kg</v>
      </c>
      <c r="E1365" s="36" t="str">
        <f aca="false">IF(Raw_Export!$A1365="","",IFERROR(VLOOKUP(LOWER(TRIM(Raw_Export!D1365)),Maps!$G$2:$I$80,3,FALSE()),"UNMAPPED"))</f>
        <v>Staples</v>
      </c>
      <c r="F1365" s="36" t="n">
        <f aca="false">IF(Raw_Export!$A1365="","",IFERROR(VALUE(TRIM(Raw_Export!E1365)),0))</f>
        <v>6</v>
      </c>
      <c r="G1365" s="38" t="n">
        <f aca="false">IF(Raw_Export!$A1365="","",IFERROR(VALUE(SUBSTITUTE(SUBSTITUTE(UPPER(TRIM(Raw_Export!F1365)),"KES",""),",","")),0))</f>
        <v>330</v>
      </c>
      <c r="H1365" s="38" t="n">
        <f aca="false">IF(Raw_Export!$A1365="","",F1365*G1365)</f>
        <v>1980</v>
      </c>
      <c r="I1365" s="36" t="str">
        <f aca="false">IF(Raw_Export!$A1365="","",IFERROR(VLOOKUP(LOWER(TRIM(Raw_Export!H1365)),Maps!$D$2:$E$12,2,FALSE()),"Other"))</f>
        <v>Cash</v>
      </c>
      <c r="J1365" s="36" t="str">
        <f aca="false">IF(Raw_Export!$A1365="","",IF(COUNTIF($A$2:A1365,A1365)&gt;1,"Duplicate",""))</f>
        <v/>
      </c>
      <c r="K1365" s="36" t="str">
        <f aca="false">IF(Raw_Export!$A1365="","",IF(J1365="Duplicate","Duplicate",IF(OR(C1365="UNMAPPED",D1365="UNMAPPED"),"Unmapped",IF(F1365=0,"Blank qty",IF(F1365&lt;0,"Return","OK")))))</f>
        <v>OK</v>
      </c>
      <c r="L1365" s="36" t="n">
        <f aca="false">IF(Raw_Export!$A1365="","",IF(OR(K1365="OK",K1365="Return"),1,0))</f>
        <v>1</v>
      </c>
      <c r="M1365" s="37" t="n">
        <f aca="false">IF(Raw_Export!$A1365="","",B1365-WEEKDAY(B1365,2)+1)</f>
        <v>46272</v>
      </c>
    </row>
    <row r="1366" customFormat="false" ht="15" hidden="false" customHeight="false" outlineLevel="0" collapsed="false">
      <c r="A1366" s="36" t="str">
        <f aca="false">IF(Raw_Export!$A1366="","",TRIM(Raw_Export!A1366))</f>
        <v>TXN-101337</v>
      </c>
      <c r="B1366" s="37" t="n">
        <f aca="false">IF(Raw_Export!$A1366="","",IF(ISNUMBER(Raw_Export!B1366),Raw_Export!B1366,IF(MID(TRIM(Raw_Export!B1366),5,1)="-",DATE(LEFT(TRIM(Raw_Export!B1366),4),MID(TRIM(Raw_Export!B1366),6,2),RIGHT(TRIM(Raw_Export!B1366),2)),DATE(RIGHT(TRIM(Raw_Export!B1366),4),MATCH(MID(TRIM(Raw_Export!B1366),4,3),{"Jan","Feb","Mar","Apr","May","Jun","Jul","Aug","Sep","Oct","Nov","Dec"},0),LEFT(TRIM(Raw_Export!B1366),2)))))</f>
        <v>46274</v>
      </c>
      <c r="C1366" s="36" t="str">
        <f aca="false">IF(Raw_Export!$A1366="","",IFERROR(VLOOKUP(LOWER(TRIM(Raw_Export!C1366)),Maps!$A$2:$B$20,2,FALSE()),"UNMAPPED"))</f>
        <v>Nairobi CBD</v>
      </c>
      <c r="D1366" s="36" t="str">
        <f aca="false">IF(Raw_Export!$A1366="","",IFERROR(VLOOKUP(LOWER(TRIM(Raw_Export!D1366)),Maps!$G$2:$I$80,2,FALSE()),"UNMAPPED"))</f>
        <v>Eggs Tray 30</v>
      </c>
      <c r="E1366" s="36" t="str">
        <f aca="false">IF(Raw_Export!$A1366="","",IFERROR(VLOOKUP(LOWER(TRIM(Raw_Export!D1366)),Maps!$G$2:$I$80,3,FALSE()),"UNMAPPED"))</f>
        <v>Dairy &amp; Eggs</v>
      </c>
      <c r="F1366" s="36" t="n">
        <f aca="false">IF(Raw_Export!$A1366="","",IFERROR(VALUE(TRIM(Raw_Export!E1366)),0))</f>
        <v>1</v>
      </c>
      <c r="G1366" s="38" t="n">
        <f aca="false">IF(Raw_Export!$A1366="","",IFERROR(VALUE(SUBSTITUTE(SUBSTITUTE(UPPER(TRIM(Raw_Export!F1366)),"KES",""),",","")),0))</f>
        <v>450</v>
      </c>
      <c r="H1366" s="38" t="n">
        <f aca="false">IF(Raw_Export!$A1366="","",F1366*G1366)</f>
        <v>450</v>
      </c>
      <c r="I1366" s="36" t="str">
        <f aca="false">IF(Raw_Export!$A1366="","",IFERROR(VLOOKUP(LOWER(TRIM(Raw_Export!H1366)),Maps!$D$2:$E$12,2,FALSE()),"Other"))</f>
        <v>M-Pesa</v>
      </c>
      <c r="J1366" s="36" t="str">
        <f aca="false">IF(Raw_Export!$A1366="","",IF(COUNTIF($A$2:A1366,A1366)&gt;1,"Duplicate",""))</f>
        <v/>
      </c>
      <c r="K1366" s="36" t="str">
        <f aca="false">IF(Raw_Export!$A1366="","",IF(J1366="Duplicate","Duplicate",IF(OR(C1366="UNMAPPED",D1366="UNMAPPED"),"Unmapped",IF(F1366=0,"Blank qty",IF(F1366&lt;0,"Return","OK")))))</f>
        <v>OK</v>
      </c>
      <c r="L1366" s="36" t="n">
        <f aca="false">IF(Raw_Export!$A1366="","",IF(OR(K1366="OK",K1366="Return"),1,0))</f>
        <v>1</v>
      </c>
      <c r="M1366" s="37" t="n">
        <f aca="false">IF(Raw_Export!$A1366="","",B1366-WEEKDAY(B1366,2)+1)</f>
        <v>46272</v>
      </c>
    </row>
    <row r="1367" customFormat="false" ht="15" hidden="false" customHeight="false" outlineLevel="0" collapsed="false">
      <c r="A1367" s="36" t="str">
        <f aca="false">IF(Raw_Export!$A1367="","",TRIM(Raw_Export!A1367))</f>
        <v>TXN-101338</v>
      </c>
      <c r="B1367" s="37" t="n">
        <f aca="false">IF(Raw_Export!$A1367="","",IF(ISNUMBER(Raw_Export!B1367),Raw_Export!B1367,IF(MID(TRIM(Raw_Export!B1367),5,1)="-",DATE(LEFT(TRIM(Raw_Export!B1367),4),MID(TRIM(Raw_Export!B1367),6,2),RIGHT(TRIM(Raw_Export!B1367),2)),DATE(RIGHT(TRIM(Raw_Export!B1367),4),MATCH(MID(TRIM(Raw_Export!B1367),4,3),{"Jan","Feb","Mar","Apr","May","Jun","Jul","Aug","Sep","Oct","Nov","Dec"},0),LEFT(TRIM(Raw_Export!B1367),2)))))</f>
        <v>46274</v>
      </c>
      <c r="C1367" s="36" t="str">
        <f aca="false">IF(Raw_Export!$A1367="","",IFERROR(VLOOKUP(LOWER(TRIM(Raw_Export!C1367)),Maps!$A$2:$B$20,2,FALSE()),"UNMAPPED"))</f>
        <v>Nairobi CBD</v>
      </c>
      <c r="D1367" s="36" t="str">
        <f aca="false">IF(Raw_Export!$A1367="","",IFERROR(VLOOKUP(LOWER(TRIM(Raw_Export!D1367)),Maps!$G$2:$I$80,2,FALSE()),"UNMAPPED"))</f>
        <v>Fresh Milk 500ml</v>
      </c>
      <c r="E1367" s="36" t="str">
        <f aca="false">IF(Raw_Export!$A1367="","",IFERROR(VLOOKUP(LOWER(TRIM(Raw_Export!D1367)),Maps!$G$2:$I$80,3,FALSE()),"UNMAPPED"))</f>
        <v>Dairy &amp; Eggs</v>
      </c>
      <c r="F1367" s="36" t="n">
        <f aca="false">IF(Raw_Export!$A1367="","",IFERROR(VALUE(TRIM(Raw_Export!E1367)),0))</f>
        <v>3</v>
      </c>
      <c r="G1367" s="38" t="n">
        <f aca="false">IF(Raw_Export!$A1367="","",IFERROR(VALUE(SUBSTITUTE(SUBSTITUTE(UPPER(TRIM(Raw_Export!F1367)),"KES",""),",","")),0))</f>
        <v>65</v>
      </c>
      <c r="H1367" s="38" t="n">
        <f aca="false">IF(Raw_Export!$A1367="","",F1367*G1367)</f>
        <v>195</v>
      </c>
      <c r="I1367" s="36" t="str">
        <f aca="false">IF(Raw_Export!$A1367="","",IFERROR(VLOOKUP(LOWER(TRIM(Raw_Export!H1367)),Maps!$D$2:$E$12,2,FALSE()),"Other"))</f>
        <v>Cash</v>
      </c>
      <c r="J1367" s="36" t="str">
        <f aca="false">IF(Raw_Export!$A1367="","",IF(COUNTIF($A$2:A1367,A1367)&gt;1,"Duplicate",""))</f>
        <v/>
      </c>
      <c r="K1367" s="36" t="str">
        <f aca="false">IF(Raw_Export!$A1367="","",IF(J1367="Duplicate","Duplicate",IF(OR(C1367="UNMAPPED",D1367="UNMAPPED"),"Unmapped",IF(F1367=0,"Blank qty",IF(F1367&lt;0,"Return","OK")))))</f>
        <v>OK</v>
      </c>
      <c r="L1367" s="36" t="n">
        <f aca="false">IF(Raw_Export!$A1367="","",IF(OR(K1367="OK",K1367="Return"),1,0))</f>
        <v>1</v>
      </c>
      <c r="M1367" s="37" t="n">
        <f aca="false">IF(Raw_Export!$A1367="","",B1367-WEEKDAY(B1367,2)+1)</f>
        <v>46272</v>
      </c>
    </row>
    <row r="1368" customFormat="false" ht="15" hidden="false" customHeight="false" outlineLevel="0" collapsed="false">
      <c r="A1368" s="36" t="str">
        <f aca="false">IF(Raw_Export!$A1368="","",TRIM(Raw_Export!A1368))</f>
        <v>TXN-101339</v>
      </c>
      <c r="B1368" s="37" t="n">
        <f aca="false">IF(Raw_Export!$A1368="","",IF(ISNUMBER(Raw_Export!B1368),Raw_Export!B1368,IF(MID(TRIM(Raw_Export!B1368),5,1)="-",DATE(LEFT(TRIM(Raw_Export!B1368),4),MID(TRIM(Raw_Export!B1368),6,2),RIGHT(TRIM(Raw_Export!B1368),2)),DATE(RIGHT(TRIM(Raw_Export!B1368),4),MATCH(MID(TRIM(Raw_Export!B1368),4,3),{"Jan","Feb","Mar","Apr","May","Jun","Jul","Aug","Sep","Oct","Nov","Dec"},0),LEFT(TRIM(Raw_Export!B1368),2)))))</f>
        <v>46274</v>
      </c>
      <c r="C1368" s="36" t="str">
        <f aca="false">IF(Raw_Export!$A1368="","",IFERROR(VLOOKUP(LOWER(TRIM(Raw_Export!C1368)),Maps!$A$2:$B$20,2,FALSE()),"UNMAPPED"))</f>
        <v>Nairobi CBD</v>
      </c>
      <c r="D1368" s="36" t="str">
        <f aca="false">IF(Raw_Export!$A1368="","",IFERROR(VLOOKUP(LOWER(TRIM(Raw_Export!D1368)),Maps!$G$2:$I$80,2,FALSE()),"UNMAPPED"))</f>
        <v>Toilet Paper 10pk</v>
      </c>
      <c r="E1368" s="36" t="str">
        <f aca="false">IF(Raw_Export!$A1368="","",IFERROR(VLOOKUP(LOWER(TRIM(Raw_Export!D1368)),Maps!$G$2:$I$80,3,FALSE()),"UNMAPPED"))</f>
        <v>Household</v>
      </c>
      <c r="F1368" s="36" t="n">
        <f aca="false">IF(Raw_Export!$A1368="","",IFERROR(VALUE(TRIM(Raw_Export!E1368)),0))</f>
        <v>2</v>
      </c>
      <c r="G1368" s="38" t="n">
        <f aca="false">IF(Raw_Export!$A1368="","",IFERROR(VALUE(SUBSTITUTE(SUBSTITUTE(UPPER(TRIM(Raw_Export!F1368)),"KES",""),",","")),0))</f>
        <v>380</v>
      </c>
      <c r="H1368" s="38" t="n">
        <f aca="false">IF(Raw_Export!$A1368="","",F1368*G1368)</f>
        <v>760</v>
      </c>
      <c r="I1368" s="36" t="str">
        <f aca="false">IF(Raw_Export!$A1368="","",IFERROR(VLOOKUP(LOWER(TRIM(Raw_Export!H1368)),Maps!$D$2:$E$12,2,FALSE()),"Other"))</f>
        <v>Card</v>
      </c>
      <c r="J1368" s="36" t="str">
        <f aca="false">IF(Raw_Export!$A1368="","",IF(COUNTIF($A$2:A1368,A1368)&gt;1,"Duplicate",""))</f>
        <v/>
      </c>
      <c r="K1368" s="36" t="str">
        <f aca="false">IF(Raw_Export!$A1368="","",IF(J1368="Duplicate","Duplicate",IF(OR(C1368="UNMAPPED",D1368="UNMAPPED"),"Unmapped",IF(F1368=0,"Blank qty",IF(F1368&lt;0,"Return","OK")))))</f>
        <v>OK</v>
      </c>
      <c r="L1368" s="36" t="n">
        <f aca="false">IF(Raw_Export!$A1368="","",IF(OR(K1368="OK",K1368="Return"),1,0))</f>
        <v>1</v>
      </c>
      <c r="M1368" s="37" t="n">
        <f aca="false">IF(Raw_Export!$A1368="","",B1368-WEEKDAY(B1368,2)+1)</f>
        <v>46272</v>
      </c>
    </row>
    <row r="1369" customFormat="false" ht="15" hidden="false" customHeight="false" outlineLevel="0" collapsed="false">
      <c r="A1369" s="36" t="str">
        <f aca="false">IF(Raw_Export!$A1369="","",TRIM(Raw_Export!A1369))</f>
        <v>TXN-101340</v>
      </c>
      <c r="B1369" s="37" t="n">
        <f aca="false">IF(Raw_Export!$A1369="","",IF(ISNUMBER(Raw_Export!B1369),Raw_Export!B1369,IF(MID(TRIM(Raw_Export!B1369),5,1)="-",DATE(LEFT(TRIM(Raw_Export!B1369),4),MID(TRIM(Raw_Export!B1369),6,2),RIGHT(TRIM(Raw_Export!B1369),2)),DATE(RIGHT(TRIM(Raw_Export!B1369),4),MATCH(MID(TRIM(Raw_Export!B1369),4,3),{"Jan","Feb","Mar","Apr","May","Jun","Jul","Aug","Sep","Oct","Nov","Dec"},0),LEFT(TRIM(Raw_Export!B1369),2)))))</f>
        <v>46274</v>
      </c>
      <c r="C1369" s="36" t="str">
        <f aca="false">IF(Raw_Export!$A1369="","",IFERROR(VLOOKUP(LOWER(TRIM(Raw_Export!C1369)),Maps!$A$2:$B$20,2,FALSE()),"UNMAPPED"))</f>
        <v>Nairobi CBD</v>
      </c>
      <c r="D1369" s="36" t="str">
        <f aca="false">IF(Raw_Export!$A1369="","",IFERROR(VLOOKUP(LOWER(TRIM(Raw_Export!D1369)),Maps!$G$2:$I$80,2,FALSE()),"UNMAPPED"))</f>
        <v>Bread Loaf 400g</v>
      </c>
      <c r="E1369" s="36" t="str">
        <f aca="false">IF(Raw_Export!$A1369="","",IFERROR(VLOOKUP(LOWER(TRIM(Raw_Export!D1369)),Maps!$G$2:$I$80,3,FALSE()),"UNMAPPED"))</f>
        <v>Snacks</v>
      </c>
      <c r="F1369" s="36" t="n">
        <f aca="false">IF(Raw_Export!$A1369="","",IFERROR(VALUE(TRIM(Raw_Export!E1369)),0))</f>
        <v>6</v>
      </c>
      <c r="G1369" s="38" t="n">
        <f aca="false">IF(Raw_Export!$A1369="","",IFERROR(VALUE(SUBSTITUTE(SUBSTITUTE(UPPER(TRIM(Raw_Export!F1369)),"KES",""),",","")),0))</f>
        <v>65</v>
      </c>
      <c r="H1369" s="38" t="n">
        <f aca="false">IF(Raw_Export!$A1369="","",F1369*G1369)</f>
        <v>390</v>
      </c>
      <c r="I1369" s="36" t="str">
        <f aca="false">IF(Raw_Export!$A1369="","",IFERROR(VLOOKUP(LOWER(TRIM(Raw_Export!H1369)),Maps!$D$2:$E$12,2,FALSE()),"Other"))</f>
        <v>M-Pesa</v>
      </c>
      <c r="J1369" s="36" t="str">
        <f aca="false">IF(Raw_Export!$A1369="","",IF(COUNTIF($A$2:A1369,A1369)&gt;1,"Duplicate",""))</f>
        <v/>
      </c>
      <c r="K1369" s="36" t="str">
        <f aca="false">IF(Raw_Export!$A1369="","",IF(J1369="Duplicate","Duplicate",IF(OR(C1369="UNMAPPED",D1369="UNMAPPED"),"Unmapped",IF(F1369=0,"Blank qty",IF(F1369&lt;0,"Return","OK")))))</f>
        <v>OK</v>
      </c>
      <c r="L1369" s="36" t="n">
        <f aca="false">IF(Raw_Export!$A1369="","",IF(OR(K1369="OK",K1369="Return"),1,0))</f>
        <v>1</v>
      </c>
      <c r="M1369" s="37" t="n">
        <f aca="false">IF(Raw_Export!$A1369="","",B1369-WEEKDAY(B1369,2)+1)</f>
        <v>46272</v>
      </c>
    </row>
    <row r="1370" customFormat="false" ht="15" hidden="false" customHeight="false" outlineLevel="0" collapsed="false">
      <c r="A1370" s="36" t="str">
        <f aca="false">IF(Raw_Export!$A1370="","",TRIM(Raw_Export!A1370))</f>
        <v>TXN-101341</v>
      </c>
      <c r="B1370" s="37" t="n">
        <f aca="false">IF(Raw_Export!$A1370="","",IF(ISNUMBER(Raw_Export!B1370),Raw_Export!B1370,IF(MID(TRIM(Raw_Export!B1370),5,1)="-",DATE(LEFT(TRIM(Raw_Export!B1370),4),MID(TRIM(Raw_Export!B1370),6,2),RIGHT(TRIM(Raw_Export!B1370),2)),DATE(RIGHT(TRIM(Raw_Export!B1370),4),MATCH(MID(TRIM(Raw_Export!B1370),4,3),{"Jan","Feb","Mar","Apr","May","Jun","Jul","Aug","Sep","Oct","Nov","Dec"},0),LEFT(TRIM(Raw_Export!B1370),2)))))</f>
        <v>46274</v>
      </c>
      <c r="C1370" s="36" t="str">
        <f aca="false">IF(Raw_Export!$A1370="","",IFERROR(VLOOKUP(LOWER(TRIM(Raw_Export!C1370)),Maps!$A$2:$B$20,2,FALSE()),"UNMAPPED"))</f>
        <v>Nairobi CBD</v>
      </c>
      <c r="D1370" s="36" t="str">
        <f aca="false">IF(Raw_Export!$A1370="","",IFERROR(VLOOKUP(LOWER(TRIM(Raw_Export!D1370)),Maps!$G$2:$I$80,2,FALSE()),"UNMAPPED"))</f>
        <v>Soda 500ml</v>
      </c>
      <c r="E1370" s="36" t="str">
        <f aca="false">IF(Raw_Export!$A1370="","",IFERROR(VLOOKUP(LOWER(TRIM(Raw_Export!D1370)),Maps!$G$2:$I$80,3,FALSE()),"UNMAPPED"))</f>
        <v>Beverages</v>
      </c>
      <c r="F1370" s="36" t="n">
        <f aca="false">IF(Raw_Export!$A1370="","",IFERROR(VALUE(TRIM(Raw_Export!E1370)),0))</f>
        <v>2</v>
      </c>
      <c r="G1370" s="38" t="n">
        <f aca="false">IF(Raw_Export!$A1370="","",IFERROR(VALUE(SUBSTITUTE(SUBSTITUTE(UPPER(TRIM(Raw_Export!F1370)),"KES",""),",","")),0))</f>
        <v>54</v>
      </c>
      <c r="H1370" s="38" t="n">
        <f aca="false">IF(Raw_Export!$A1370="","",F1370*G1370)</f>
        <v>108</v>
      </c>
      <c r="I1370" s="36" t="str">
        <f aca="false">IF(Raw_Export!$A1370="","",IFERROR(VLOOKUP(LOWER(TRIM(Raw_Export!H1370)),Maps!$D$2:$E$12,2,FALSE()),"Other"))</f>
        <v>M-Pesa</v>
      </c>
      <c r="J1370" s="36" t="str">
        <f aca="false">IF(Raw_Export!$A1370="","",IF(COUNTIF($A$2:A1370,A1370)&gt;1,"Duplicate",""))</f>
        <v/>
      </c>
      <c r="K1370" s="36" t="str">
        <f aca="false">IF(Raw_Export!$A1370="","",IF(J1370="Duplicate","Duplicate",IF(OR(C1370="UNMAPPED",D1370="UNMAPPED"),"Unmapped",IF(F1370=0,"Blank qty",IF(F1370&lt;0,"Return","OK")))))</f>
        <v>OK</v>
      </c>
      <c r="L1370" s="36" t="n">
        <f aca="false">IF(Raw_Export!$A1370="","",IF(OR(K1370="OK",K1370="Return"),1,0))</f>
        <v>1</v>
      </c>
      <c r="M1370" s="37" t="n">
        <f aca="false">IF(Raw_Export!$A1370="","",B1370-WEEKDAY(B1370,2)+1)</f>
        <v>46272</v>
      </c>
    </row>
    <row r="1371" customFormat="false" ht="15" hidden="false" customHeight="false" outlineLevel="0" collapsed="false">
      <c r="A1371" s="36" t="str">
        <f aca="false">IF(Raw_Export!$A1371="","",TRIM(Raw_Export!A1371))</f>
        <v>TXN-101342</v>
      </c>
      <c r="B1371" s="37" t="n">
        <f aca="false">IF(Raw_Export!$A1371="","",IF(ISNUMBER(Raw_Export!B1371),Raw_Export!B1371,IF(MID(TRIM(Raw_Export!B1371),5,1)="-",DATE(LEFT(TRIM(Raw_Export!B1371),4),MID(TRIM(Raw_Export!B1371),6,2),RIGHT(TRIM(Raw_Export!B1371),2)),DATE(RIGHT(TRIM(Raw_Export!B1371),4),MATCH(MID(TRIM(Raw_Export!B1371),4,3),{"Jan","Feb","Mar","Apr","May","Jun","Jul","Aug","Sep","Oct","Nov","Dec"},0),LEFT(TRIM(Raw_Export!B1371),2)))))</f>
        <v>46274</v>
      </c>
      <c r="C1371" s="36" t="str">
        <f aca="false">IF(Raw_Export!$A1371="","",IFERROR(VLOOKUP(LOWER(TRIM(Raw_Export!C1371)),Maps!$A$2:$B$20,2,FALSE()),"UNMAPPED"))</f>
        <v>Nairobi CBD</v>
      </c>
      <c r="D1371" s="36" t="str">
        <f aca="false">IF(Raw_Export!$A1371="","",IFERROR(VLOOKUP(LOWER(TRIM(Raw_Export!D1371)),Maps!$G$2:$I$80,2,FALSE()),"UNMAPPED"))</f>
        <v>Fresh Milk 500ml</v>
      </c>
      <c r="E1371" s="36" t="str">
        <f aca="false">IF(Raw_Export!$A1371="","",IFERROR(VLOOKUP(LOWER(TRIM(Raw_Export!D1371)),Maps!$G$2:$I$80,3,FALSE()),"UNMAPPED"))</f>
        <v>Dairy &amp; Eggs</v>
      </c>
      <c r="F1371" s="36" t="n">
        <f aca="false">IF(Raw_Export!$A1371="","",IFERROR(VALUE(TRIM(Raw_Export!E1371)),0))</f>
        <v>1</v>
      </c>
      <c r="G1371" s="38" t="n">
        <f aca="false">IF(Raw_Export!$A1371="","",IFERROR(VALUE(SUBSTITUTE(SUBSTITUTE(UPPER(TRIM(Raw_Export!F1371)),"KES",""),",","")),0))</f>
        <v>65</v>
      </c>
      <c r="H1371" s="38" t="n">
        <f aca="false">IF(Raw_Export!$A1371="","",F1371*G1371)</f>
        <v>65</v>
      </c>
      <c r="I1371" s="36" t="str">
        <f aca="false">IF(Raw_Export!$A1371="","",IFERROR(VLOOKUP(LOWER(TRIM(Raw_Export!H1371)),Maps!$D$2:$E$12,2,FALSE()),"Other"))</f>
        <v>M-Pesa</v>
      </c>
      <c r="J1371" s="36" t="str">
        <f aca="false">IF(Raw_Export!$A1371="","",IF(COUNTIF($A$2:A1371,A1371)&gt;1,"Duplicate",""))</f>
        <v/>
      </c>
      <c r="K1371" s="36" t="str">
        <f aca="false">IF(Raw_Export!$A1371="","",IF(J1371="Duplicate","Duplicate",IF(OR(C1371="UNMAPPED",D1371="UNMAPPED"),"Unmapped",IF(F1371=0,"Blank qty",IF(F1371&lt;0,"Return","OK")))))</f>
        <v>OK</v>
      </c>
      <c r="L1371" s="36" t="n">
        <f aca="false">IF(Raw_Export!$A1371="","",IF(OR(K1371="OK",K1371="Return"),1,0))</f>
        <v>1</v>
      </c>
      <c r="M1371" s="37" t="n">
        <f aca="false">IF(Raw_Export!$A1371="","",B1371-WEEKDAY(B1371,2)+1)</f>
        <v>46272</v>
      </c>
    </row>
    <row r="1372" customFormat="false" ht="15" hidden="false" customHeight="false" outlineLevel="0" collapsed="false">
      <c r="A1372" s="36" t="str">
        <f aca="false">IF(Raw_Export!$A1372="","",TRIM(Raw_Export!A1372))</f>
        <v>TXN-101343</v>
      </c>
      <c r="B1372" s="37" t="n">
        <f aca="false">IF(Raw_Export!$A1372="","",IF(ISNUMBER(Raw_Export!B1372),Raw_Export!B1372,IF(MID(TRIM(Raw_Export!B1372),5,1)="-",DATE(LEFT(TRIM(Raw_Export!B1372),4),MID(TRIM(Raw_Export!B1372),6,2),RIGHT(TRIM(Raw_Export!B1372),2)),DATE(RIGHT(TRIM(Raw_Export!B1372),4),MATCH(MID(TRIM(Raw_Export!B1372),4,3),{"Jan","Feb","Mar","Apr","May","Jun","Jul","Aug","Sep","Oct","Nov","Dec"},0),LEFT(TRIM(Raw_Export!B1372),2)))))</f>
        <v>46274</v>
      </c>
      <c r="C1372" s="36" t="str">
        <f aca="false">IF(Raw_Export!$A1372="","",IFERROR(VLOOKUP(LOWER(TRIM(Raw_Export!C1372)),Maps!$A$2:$B$20,2,FALSE()),"UNMAPPED"))</f>
        <v>Nairobi CBD</v>
      </c>
      <c r="D1372" s="36" t="str">
        <f aca="false">IF(Raw_Export!$A1372="","",IFERROR(VLOOKUP(LOWER(TRIM(Raw_Export!D1372)),Maps!$G$2:$I$80,2,FALSE()),"UNMAPPED"))</f>
        <v>Yoghurt 500ml</v>
      </c>
      <c r="E1372" s="36" t="str">
        <f aca="false">IF(Raw_Export!$A1372="","",IFERROR(VLOOKUP(LOWER(TRIM(Raw_Export!D1372)),Maps!$G$2:$I$80,3,FALSE()),"UNMAPPED"))</f>
        <v>Dairy &amp; Eggs</v>
      </c>
      <c r="F1372" s="36" t="n">
        <f aca="false">IF(Raw_Export!$A1372="","",IFERROR(VALUE(TRIM(Raw_Export!E1372)),0))</f>
        <v>2</v>
      </c>
      <c r="G1372" s="38" t="n">
        <f aca="false">IF(Raw_Export!$A1372="","",IFERROR(VALUE(SUBSTITUTE(SUBSTITUTE(UPPER(TRIM(Raw_Export!F1372)),"KES",""),",","")),0))</f>
        <v>120</v>
      </c>
      <c r="H1372" s="38" t="n">
        <f aca="false">IF(Raw_Export!$A1372="","",F1372*G1372)</f>
        <v>240</v>
      </c>
      <c r="I1372" s="36" t="str">
        <f aca="false">IF(Raw_Export!$A1372="","",IFERROR(VLOOKUP(LOWER(TRIM(Raw_Export!H1372)),Maps!$D$2:$E$12,2,FALSE()),"Other"))</f>
        <v>Cash</v>
      </c>
      <c r="J1372" s="36" t="str">
        <f aca="false">IF(Raw_Export!$A1372="","",IF(COUNTIF($A$2:A1372,A1372)&gt;1,"Duplicate",""))</f>
        <v/>
      </c>
      <c r="K1372" s="36" t="str">
        <f aca="false">IF(Raw_Export!$A1372="","",IF(J1372="Duplicate","Duplicate",IF(OR(C1372="UNMAPPED",D1372="UNMAPPED"),"Unmapped",IF(F1372=0,"Blank qty",IF(F1372&lt;0,"Return","OK")))))</f>
        <v>OK</v>
      </c>
      <c r="L1372" s="36" t="n">
        <f aca="false">IF(Raw_Export!$A1372="","",IF(OR(K1372="OK",K1372="Return"),1,0))</f>
        <v>1</v>
      </c>
      <c r="M1372" s="37" t="n">
        <f aca="false">IF(Raw_Export!$A1372="","",B1372-WEEKDAY(B1372,2)+1)</f>
        <v>46272</v>
      </c>
    </row>
    <row r="1373" customFormat="false" ht="15" hidden="false" customHeight="false" outlineLevel="0" collapsed="false">
      <c r="A1373" s="36" t="str">
        <f aca="false">IF(Raw_Export!$A1373="","",TRIM(Raw_Export!A1373))</f>
        <v>TXN-101344</v>
      </c>
      <c r="B1373" s="37" t="n">
        <f aca="false">IF(Raw_Export!$A1373="","",IF(ISNUMBER(Raw_Export!B1373),Raw_Export!B1373,IF(MID(TRIM(Raw_Export!B1373),5,1)="-",DATE(LEFT(TRIM(Raw_Export!B1373),4),MID(TRIM(Raw_Export!B1373),6,2),RIGHT(TRIM(Raw_Export!B1373),2)),DATE(RIGHT(TRIM(Raw_Export!B1373),4),MATCH(MID(TRIM(Raw_Export!B1373),4,3),{"Jan","Feb","Mar","Apr","May","Jun","Jul","Aug","Sep","Oct","Nov","Dec"},0),LEFT(TRIM(Raw_Export!B1373),2)))))</f>
        <v>46274</v>
      </c>
      <c r="C1373" s="36" t="str">
        <f aca="false">IF(Raw_Export!$A1373="","",IFERROR(VLOOKUP(LOWER(TRIM(Raw_Export!C1373)),Maps!$A$2:$B$20,2,FALSE()),"UNMAPPED"))</f>
        <v>Nairobi CBD</v>
      </c>
      <c r="D1373" s="36" t="str">
        <f aca="false">IF(Raw_Export!$A1373="","",IFERROR(VLOOKUP(LOWER(TRIM(Raw_Export!D1373)),Maps!$G$2:$I$80,2,FALSE()),"UNMAPPED"))</f>
        <v>Toilet Paper 10pk</v>
      </c>
      <c r="E1373" s="36" t="str">
        <f aca="false">IF(Raw_Export!$A1373="","",IFERROR(VLOOKUP(LOWER(TRIM(Raw_Export!D1373)),Maps!$G$2:$I$80,3,FALSE()),"UNMAPPED"))</f>
        <v>Household</v>
      </c>
      <c r="F1373" s="36" t="n">
        <f aca="false">IF(Raw_Export!$A1373="","",IFERROR(VALUE(TRIM(Raw_Export!E1373)),0))</f>
        <v>2</v>
      </c>
      <c r="G1373" s="38" t="n">
        <f aca="false">IF(Raw_Export!$A1373="","",IFERROR(VALUE(SUBSTITUTE(SUBSTITUTE(UPPER(TRIM(Raw_Export!F1373)),"KES",""),",","")),0))</f>
        <v>380</v>
      </c>
      <c r="H1373" s="38" t="n">
        <f aca="false">IF(Raw_Export!$A1373="","",F1373*G1373)</f>
        <v>760</v>
      </c>
      <c r="I1373" s="36" t="str">
        <f aca="false">IF(Raw_Export!$A1373="","",IFERROR(VLOOKUP(LOWER(TRIM(Raw_Export!H1373)),Maps!$D$2:$E$12,2,FALSE()),"Other"))</f>
        <v>Card</v>
      </c>
      <c r="J1373" s="36" t="str">
        <f aca="false">IF(Raw_Export!$A1373="","",IF(COUNTIF($A$2:A1373,A1373)&gt;1,"Duplicate",""))</f>
        <v/>
      </c>
      <c r="K1373" s="36" t="str">
        <f aca="false">IF(Raw_Export!$A1373="","",IF(J1373="Duplicate","Duplicate",IF(OR(C1373="UNMAPPED",D1373="UNMAPPED"),"Unmapped",IF(F1373=0,"Blank qty",IF(F1373&lt;0,"Return","OK")))))</f>
        <v>OK</v>
      </c>
      <c r="L1373" s="36" t="n">
        <f aca="false">IF(Raw_Export!$A1373="","",IF(OR(K1373="OK",K1373="Return"),1,0))</f>
        <v>1</v>
      </c>
      <c r="M1373" s="37" t="n">
        <f aca="false">IF(Raw_Export!$A1373="","",B1373-WEEKDAY(B1373,2)+1)</f>
        <v>46272</v>
      </c>
    </row>
    <row r="1374" customFormat="false" ht="15" hidden="false" customHeight="false" outlineLevel="0" collapsed="false">
      <c r="A1374" s="36" t="str">
        <f aca="false">IF(Raw_Export!$A1374="","",TRIM(Raw_Export!A1374))</f>
        <v>TXN-101345</v>
      </c>
      <c r="B1374" s="37" t="n">
        <f aca="false">IF(Raw_Export!$A1374="","",IF(ISNUMBER(Raw_Export!B1374),Raw_Export!B1374,IF(MID(TRIM(Raw_Export!B1374),5,1)="-",DATE(LEFT(TRIM(Raw_Export!B1374),4),MID(TRIM(Raw_Export!B1374),6,2),RIGHT(TRIM(Raw_Export!B1374),2)),DATE(RIGHT(TRIM(Raw_Export!B1374),4),MATCH(MID(TRIM(Raw_Export!B1374),4,3),{"Jan","Feb","Mar","Apr","May","Jun","Jul","Aug","Sep","Oct","Nov","Dec"},0),LEFT(TRIM(Raw_Export!B1374),2)))))</f>
        <v>46274</v>
      </c>
      <c r="C1374" s="36" t="str">
        <f aca="false">IF(Raw_Export!$A1374="","",IFERROR(VLOOKUP(LOWER(TRIM(Raw_Export!C1374)),Maps!$A$2:$B$20,2,FALSE()),"UNMAPPED"))</f>
        <v>Nairobi CBD</v>
      </c>
      <c r="D1374" s="36" t="str">
        <f aca="false">IF(Raw_Export!$A1374="","",IFERROR(VLOOKUP(LOWER(TRIM(Raw_Export!D1374)),Maps!$G$2:$I$80,2,FALSE()),"UNMAPPED"))</f>
        <v>Cooking Oil 1L</v>
      </c>
      <c r="E1374" s="36" t="str">
        <f aca="false">IF(Raw_Export!$A1374="","",IFERROR(VLOOKUP(LOWER(TRIM(Raw_Export!D1374)),Maps!$G$2:$I$80,3,FALSE()),"UNMAPPED"))</f>
        <v>Staples</v>
      </c>
      <c r="F1374" s="36" t="n">
        <f aca="false">IF(Raw_Export!$A1374="","",IFERROR(VALUE(TRIM(Raw_Export!E1374)),0))</f>
        <v>1</v>
      </c>
      <c r="G1374" s="38" t="n">
        <f aca="false">IF(Raw_Export!$A1374="","",IFERROR(VALUE(SUBSTITUTE(SUBSTITUTE(UPPER(TRIM(Raw_Export!F1374)),"KES",""),",","")),0))</f>
        <v>330</v>
      </c>
      <c r="H1374" s="38" t="n">
        <f aca="false">IF(Raw_Export!$A1374="","",F1374*G1374)</f>
        <v>330</v>
      </c>
      <c r="I1374" s="36" t="str">
        <f aca="false">IF(Raw_Export!$A1374="","",IFERROR(VLOOKUP(LOWER(TRIM(Raw_Export!H1374)),Maps!$D$2:$E$12,2,FALSE()),"Other"))</f>
        <v>M-Pesa</v>
      </c>
      <c r="J1374" s="36" t="str">
        <f aca="false">IF(Raw_Export!$A1374="","",IF(COUNTIF($A$2:A1374,A1374)&gt;1,"Duplicate",""))</f>
        <v/>
      </c>
      <c r="K1374" s="36" t="str">
        <f aca="false">IF(Raw_Export!$A1374="","",IF(J1374="Duplicate","Duplicate",IF(OR(C1374="UNMAPPED",D1374="UNMAPPED"),"Unmapped",IF(F1374=0,"Blank qty",IF(F1374&lt;0,"Return","OK")))))</f>
        <v>OK</v>
      </c>
      <c r="L1374" s="36" t="n">
        <f aca="false">IF(Raw_Export!$A1374="","",IF(OR(K1374="OK",K1374="Return"),1,0))</f>
        <v>1</v>
      </c>
      <c r="M1374" s="37" t="n">
        <f aca="false">IF(Raw_Export!$A1374="","",B1374-WEEKDAY(B1374,2)+1)</f>
        <v>46272</v>
      </c>
    </row>
    <row r="1375" customFormat="false" ht="15" hidden="false" customHeight="false" outlineLevel="0" collapsed="false">
      <c r="A1375" s="36" t="str">
        <f aca="false">IF(Raw_Export!$A1375="","",TRIM(Raw_Export!A1375))</f>
        <v>TXN-101346</v>
      </c>
      <c r="B1375" s="37" t="n">
        <f aca="false">IF(Raw_Export!$A1375="","",IF(ISNUMBER(Raw_Export!B1375),Raw_Export!B1375,IF(MID(TRIM(Raw_Export!B1375),5,1)="-",DATE(LEFT(TRIM(Raw_Export!B1375),4),MID(TRIM(Raw_Export!B1375),6,2),RIGHT(TRIM(Raw_Export!B1375),2)),DATE(RIGHT(TRIM(Raw_Export!B1375),4),MATCH(MID(TRIM(Raw_Export!B1375),4,3),{"Jan","Feb","Mar","Apr","May","Jun","Jul","Aug","Sep","Oct","Nov","Dec"},0),LEFT(TRIM(Raw_Export!B1375),2)))))</f>
        <v>46274</v>
      </c>
      <c r="C1375" s="36" t="str">
        <f aca="false">IF(Raw_Export!$A1375="","",IFERROR(VLOOKUP(LOWER(TRIM(Raw_Export!C1375)),Maps!$A$2:$B$20,2,FALSE()),"UNMAPPED"))</f>
        <v>Nairobi CBD</v>
      </c>
      <c r="D1375" s="36" t="str">
        <f aca="false">IF(Raw_Export!$A1375="","",IFERROR(VLOOKUP(LOWER(TRIM(Raw_Export!D1375)),Maps!$G$2:$I$80,2,FALSE()),"UNMAPPED"))</f>
        <v>Tea Leaves 250g</v>
      </c>
      <c r="E1375" s="36" t="str">
        <f aca="false">IF(Raw_Export!$A1375="","",IFERROR(VLOOKUP(LOWER(TRIM(Raw_Export!D1375)),Maps!$G$2:$I$80,3,FALSE()),"UNMAPPED"))</f>
        <v>Beverages</v>
      </c>
      <c r="F1375" s="36" t="n">
        <f aca="false">IF(Raw_Export!$A1375="","",IFERROR(VALUE(TRIM(Raw_Export!E1375)),0))</f>
        <v>3</v>
      </c>
      <c r="G1375" s="38" t="n">
        <f aca="false">IF(Raw_Export!$A1375="","",IFERROR(VALUE(SUBSTITUTE(SUBSTITUTE(UPPER(TRIM(Raw_Export!F1375)),"KES",""),",","")),0))</f>
        <v>150</v>
      </c>
      <c r="H1375" s="38" t="n">
        <f aca="false">IF(Raw_Export!$A1375="","",F1375*G1375)</f>
        <v>450</v>
      </c>
      <c r="I1375" s="36" t="str">
        <f aca="false">IF(Raw_Export!$A1375="","",IFERROR(VLOOKUP(LOWER(TRIM(Raw_Export!H1375)),Maps!$D$2:$E$12,2,FALSE()),"Other"))</f>
        <v>M-Pesa</v>
      </c>
      <c r="J1375" s="36" t="str">
        <f aca="false">IF(Raw_Export!$A1375="","",IF(COUNTIF($A$2:A1375,A1375)&gt;1,"Duplicate",""))</f>
        <v/>
      </c>
      <c r="K1375" s="36" t="str">
        <f aca="false">IF(Raw_Export!$A1375="","",IF(J1375="Duplicate","Duplicate",IF(OR(C1375="UNMAPPED",D1375="UNMAPPED"),"Unmapped",IF(F1375=0,"Blank qty",IF(F1375&lt;0,"Return","OK")))))</f>
        <v>OK</v>
      </c>
      <c r="L1375" s="36" t="n">
        <f aca="false">IF(Raw_Export!$A1375="","",IF(OR(K1375="OK",K1375="Return"),1,0))</f>
        <v>1</v>
      </c>
      <c r="M1375" s="37" t="n">
        <f aca="false">IF(Raw_Export!$A1375="","",B1375-WEEKDAY(B1375,2)+1)</f>
        <v>46272</v>
      </c>
    </row>
    <row r="1376" customFormat="false" ht="15" hidden="false" customHeight="false" outlineLevel="0" collapsed="false">
      <c r="A1376" s="36" t="str">
        <f aca="false">IF(Raw_Export!$A1376="","",TRIM(Raw_Export!A1376))</f>
        <v>TXN-101347</v>
      </c>
      <c r="B1376" s="37" t="n">
        <f aca="false">IF(Raw_Export!$A1376="","",IF(ISNUMBER(Raw_Export!B1376),Raw_Export!B1376,IF(MID(TRIM(Raw_Export!B1376),5,1)="-",DATE(LEFT(TRIM(Raw_Export!B1376),4),MID(TRIM(Raw_Export!B1376),6,2),RIGHT(TRIM(Raw_Export!B1376),2)),DATE(RIGHT(TRIM(Raw_Export!B1376),4),MATCH(MID(TRIM(Raw_Export!B1376),4,3),{"Jan","Feb","Mar","Apr","May","Jun","Jul","Aug","Sep","Oct","Nov","Dec"},0),LEFT(TRIM(Raw_Export!B1376),2)))))</f>
        <v>46274</v>
      </c>
      <c r="C1376" s="36" t="str">
        <f aca="false">IF(Raw_Export!$A1376="","",IFERROR(VLOOKUP(LOWER(TRIM(Raw_Export!C1376)),Maps!$A$2:$B$20,2,FALSE()),"UNMAPPED"))</f>
        <v>Nairobi CBD</v>
      </c>
      <c r="D1376" s="36" t="str">
        <f aca="false">IF(Raw_Export!$A1376="","",IFERROR(VLOOKUP(LOWER(TRIM(Raw_Export!D1376)),Maps!$G$2:$I$80,2,FALSE()),"UNMAPPED"))</f>
        <v>Bread Loaf 400g</v>
      </c>
      <c r="E1376" s="36" t="str">
        <f aca="false">IF(Raw_Export!$A1376="","",IFERROR(VLOOKUP(LOWER(TRIM(Raw_Export!D1376)),Maps!$G$2:$I$80,3,FALSE()),"UNMAPPED"))</f>
        <v>Snacks</v>
      </c>
      <c r="F1376" s="36" t="n">
        <f aca="false">IF(Raw_Export!$A1376="","",IFERROR(VALUE(TRIM(Raw_Export!E1376)),0))</f>
        <v>4</v>
      </c>
      <c r="G1376" s="38" t="n">
        <f aca="false">IF(Raw_Export!$A1376="","",IFERROR(VALUE(SUBSTITUTE(SUBSTITUTE(UPPER(TRIM(Raw_Export!F1376)),"KES",""),",","")),0))</f>
        <v>65</v>
      </c>
      <c r="H1376" s="38" t="n">
        <f aca="false">IF(Raw_Export!$A1376="","",F1376*G1376)</f>
        <v>260</v>
      </c>
      <c r="I1376" s="36" t="str">
        <f aca="false">IF(Raw_Export!$A1376="","",IFERROR(VLOOKUP(LOWER(TRIM(Raw_Export!H1376)),Maps!$D$2:$E$12,2,FALSE()),"Other"))</f>
        <v>M-Pesa</v>
      </c>
      <c r="J1376" s="36" t="str">
        <f aca="false">IF(Raw_Export!$A1376="","",IF(COUNTIF($A$2:A1376,A1376)&gt;1,"Duplicate",""))</f>
        <v/>
      </c>
      <c r="K1376" s="36" t="str">
        <f aca="false">IF(Raw_Export!$A1376="","",IF(J1376="Duplicate","Duplicate",IF(OR(C1376="UNMAPPED",D1376="UNMAPPED"),"Unmapped",IF(F1376=0,"Blank qty",IF(F1376&lt;0,"Return","OK")))))</f>
        <v>OK</v>
      </c>
      <c r="L1376" s="36" t="n">
        <f aca="false">IF(Raw_Export!$A1376="","",IF(OR(K1376="OK",K1376="Return"),1,0))</f>
        <v>1</v>
      </c>
      <c r="M1376" s="37" t="n">
        <f aca="false">IF(Raw_Export!$A1376="","",B1376-WEEKDAY(B1376,2)+1)</f>
        <v>46272</v>
      </c>
    </row>
    <row r="1377" customFormat="false" ht="15" hidden="false" customHeight="false" outlineLevel="0" collapsed="false">
      <c r="A1377" s="36" t="str">
        <f aca="false">IF(Raw_Export!$A1377="","",TRIM(Raw_Export!A1377))</f>
        <v>TXN-101348</v>
      </c>
      <c r="B1377" s="37" t="n">
        <f aca="false">IF(Raw_Export!$A1377="","",IF(ISNUMBER(Raw_Export!B1377),Raw_Export!B1377,IF(MID(TRIM(Raw_Export!B1377),5,1)="-",DATE(LEFT(TRIM(Raw_Export!B1377),4),MID(TRIM(Raw_Export!B1377),6,2),RIGHT(TRIM(Raw_Export!B1377),2)),DATE(RIGHT(TRIM(Raw_Export!B1377),4),MATCH(MID(TRIM(Raw_Export!B1377),4,3),{"Jan","Feb","Mar","Apr","May","Jun","Jul","Aug","Sep","Oct","Nov","Dec"},0),LEFT(TRIM(Raw_Export!B1377),2)))))</f>
        <v>46274</v>
      </c>
      <c r="C1377" s="36" t="str">
        <f aca="false">IF(Raw_Export!$A1377="","",IFERROR(VLOOKUP(LOWER(TRIM(Raw_Export!C1377)),Maps!$A$2:$B$20,2,FALSE()),"UNMAPPED"))</f>
        <v>Nairobi CBD</v>
      </c>
      <c r="D1377" s="36" t="str">
        <f aca="false">IF(Raw_Export!$A1377="","",IFERROR(VLOOKUP(LOWER(TRIM(Raw_Export!D1377)),Maps!$G$2:$I$80,2,FALSE()),"UNMAPPED"))</f>
        <v>Cooking Oil 1L</v>
      </c>
      <c r="E1377" s="36" t="str">
        <f aca="false">IF(Raw_Export!$A1377="","",IFERROR(VLOOKUP(LOWER(TRIM(Raw_Export!D1377)),Maps!$G$2:$I$80,3,FALSE()),"UNMAPPED"))</f>
        <v>Staples</v>
      </c>
      <c r="F1377" s="36" t="n">
        <f aca="false">IF(Raw_Export!$A1377="","",IFERROR(VALUE(TRIM(Raw_Export!E1377)),0))</f>
        <v>4</v>
      </c>
      <c r="G1377" s="38" t="n">
        <f aca="false">IF(Raw_Export!$A1377="","",IFERROR(VALUE(SUBSTITUTE(SUBSTITUTE(UPPER(TRIM(Raw_Export!F1377)),"KES",""),",","")),0))</f>
        <v>297</v>
      </c>
      <c r="H1377" s="38" t="n">
        <f aca="false">IF(Raw_Export!$A1377="","",F1377*G1377)</f>
        <v>1188</v>
      </c>
      <c r="I1377" s="36" t="str">
        <f aca="false">IF(Raw_Export!$A1377="","",IFERROR(VLOOKUP(LOWER(TRIM(Raw_Export!H1377)),Maps!$D$2:$E$12,2,FALSE()),"Other"))</f>
        <v>Card</v>
      </c>
      <c r="J1377" s="36" t="str">
        <f aca="false">IF(Raw_Export!$A1377="","",IF(COUNTIF($A$2:A1377,A1377)&gt;1,"Duplicate",""))</f>
        <v/>
      </c>
      <c r="K1377" s="36" t="str">
        <f aca="false">IF(Raw_Export!$A1377="","",IF(J1377="Duplicate","Duplicate",IF(OR(C1377="UNMAPPED",D1377="UNMAPPED"),"Unmapped",IF(F1377=0,"Blank qty",IF(F1377&lt;0,"Return","OK")))))</f>
        <v>OK</v>
      </c>
      <c r="L1377" s="36" t="n">
        <f aca="false">IF(Raw_Export!$A1377="","",IF(OR(K1377="OK",K1377="Return"),1,0))</f>
        <v>1</v>
      </c>
      <c r="M1377" s="37" t="n">
        <f aca="false">IF(Raw_Export!$A1377="","",B1377-WEEKDAY(B1377,2)+1)</f>
        <v>46272</v>
      </c>
    </row>
    <row r="1378" customFormat="false" ht="15" hidden="false" customHeight="false" outlineLevel="0" collapsed="false">
      <c r="A1378" s="36" t="str">
        <f aca="false">IF(Raw_Export!$A1378="","",TRIM(Raw_Export!A1378))</f>
        <v>TXN-101349</v>
      </c>
      <c r="B1378" s="37" t="n">
        <f aca="false">IF(Raw_Export!$A1378="","",IF(ISNUMBER(Raw_Export!B1378),Raw_Export!B1378,IF(MID(TRIM(Raw_Export!B1378),5,1)="-",DATE(LEFT(TRIM(Raw_Export!B1378),4),MID(TRIM(Raw_Export!B1378),6,2),RIGHT(TRIM(Raw_Export!B1378),2)),DATE(RIGHT(TRIM(Raw_Export!B1378),4),MATCH(MID(TRIM(Raw_Export!B1378),4,3),{"Jan","Feb","Mar","Apr","May","Jun","Jul","Aug","Sep","Oct","Nov","Dec"},0),LEFT(TRIM(Raw_Export!B1378),2)))))</f>
        <v>46274</v>
      </c>
      <c r="C1378" s="36" t="str">
        <f aca="false">IF(Raw_Export!$A1378="","",IFERROR(VLOOKUP(LOWER(TRIM(Raw_Export!C1378)),Maps!$A$2:$B$20,2,FALSE()),"UNMAPPED"))</f>
        <v>Nairobi CBD</v>
      </c>
      <c r="D1378" s="36" t="str">
        <f aca="false">IF(Raw_Export!$A1378="","",IFERROR(VLOOKUP(LOWER(TRIM(Raw_Export!D1378)),Maps!$G$2:$I$80,2,FALSE()),"UNMAPPED"))</f>
        <v>Cooking Oil 1L</v>
      </c>
      <c r="E1378" s="36" t="str">
        <f aca="false">IF(Raw_Export!$A1378="","",IFERROR(VLOOKUP(LOWER(TRIM(Raw_Export!D1378)),Maps!$G$2:$I$80,3,FALSE()),"UNMAPPED"))</f>
        <v>Staples</v>
      </c>
      <c r="F1378" s="36" t="n">
        <f aca="false">IF(Raw_Export!$A1378="","",IFERROR(VALUE(TRIM(Raw_Export!E1378)),0))</f>
        <v>2</v>
      </c>
      <c r="G1378" s="38" t="n">
        <f aca="false">IF(Raw_Export!$A1378="","",IFERROR(VALUE(SUBSTITUTE(SUBSTITUTE(UPPER(TRIM(Raw_Export!F1378)),"KES",""),",","")),0))</f>
        <v>330</v>
      </c>
      <c r="H1378" s="38" t="n">
        <f aca="false">IF(Raw_Export!$A1378="","",F1378*G1378)</f>
        <v>660</v>
      </c>
      <c r="I1378" s="36" t="str">
        <f aca="false">IF(Raw_Export!$A1378="","",IFERROR(VLOOKUP(LOWER(TRIM(Raw_Export!H1378)),Maps!$D$2:$E$12,2,FALSE()),"Other"))</f>
        <v>M-Pesa</v>
      </c>
      <c r="J1378" s="36" t="str">
        <f aca="false">IF(Raw_Export!$A1378="","",IF(COUNTIF($A$2:A1378,A1378)&gt;1,"Duplicate",""))</f>
        <v/>
      </c>
      <c r="K1378" s="36" t="str">
        <f aca="false">IF(Raw_Export!$A1378="","",IF(J1378="Duplicate","Duplicate",IF(OR(C1378="UNMAPPED",D1378="UNMAPPED"),"Unmapped",IF(F1378=0,"Blank qty",IF(F1378&lt;0,"Return","OK")))))</f>
        <v>OK</v>
      </c>
      <c r="L1378" s="36" t="n">
        <f aca="false">IF(Raw_Export!$A1378="","",IF(OR(K1378="OK",K1378="Return"),1,0))</f>
        <v>1</v>
      </c>
      <c r="M1378" s="37" t="n">
        <f aca="false">IF(Raw_Export!$A1378="","",B1378-WEEKDAY(B1378,2)+1)</f>
        <v>46272</v>
      </c>
    </row>
    <row r="1379" customFormat="false" ht="15" hidden="false" customHeight="false" outlineLevel="0" collapsed="false">
      <c r="A1379" s="36" t="str">
        <f aca="false">IF(Raw_Export!$A1379="","",TRIM(Raw_Export!A1379))</f>
        <v>TXN-101350</v>
      </c>
      <c r="B1379" s="37" t="n">
        <f aca="false">IF(Raw_Export!$A1379="","",IF(ISNUMBER(Raw_Export!B1379),Raw_Export!B1379,IF(MID(TRIM(Raw_Export!B1379),5,1)="-",DATE(LEFT(TRIM(Raw_Export!B1379),4),MID(TRIM(Raw_Export!B1379),6,2),RIGHT(TRIM(Raw_Export!B1379),2)),DATE(RIGHT(TRIM(Raw_Export!B1379),4),MATCH(MID(TRIM(Raw_Export!B1379),4,3),{"Jan","Feb","Mar","Apr","May","Jun","Jul","Aug","Sep","Oct","Nov","Dec"},0),LEFT(TRIM(Raw_Export!B1379),2)))))</f>
        <v>46274</v>
      </c>
      <c r="C1379" s="36" t="str">
        <f aca="false">IF(Raw_Export!$A1379="","",IFERROR(VLOOKUP(LOWER(TRIM(Raw_Export!C1379)),Maps!$A$2:$B$20,2,FALSE()),"UNMAPPED"))</f>
        <v>Nairobi CBD</v>
      </c>
      <c r="D1379" s="36" t="str">
        <f aca="false">IF(Raw_Export!$A1379="","",IFERROR(VLOOKUP(LOWER(TRIM(Raw_Export!D1379)),Maps!$G$2:$I$80,2,FALSE()),"UNMAPPED"))</f>
        <v>Eggs Tray 30</v>
      </c>
      <c r="E1379" s="36" t="str">
        <f aca="false">IF(Raw_Export!$A1379="","",IFERROR(VLOOKUP(LOWER(TRIM(Raw_Export!D1379)),Maps!$G$2:$I$80,3,FALSE()),"UNMAPPED"))</f>
        <v>Dairy &amp; Eggs</v>
      </c>
      <c r="F1379" s="36" t="n">
        <f aca="false">IF(Raw_Export!$A1379="","",IFERROR(VALUE(TRIM(Raw_Export!E1379)),0))</f>
        <v>2</v>
      </c>
      <c r="G1379" s="38" t="n">
        <f aca="false">IF(Raw_Export!$A1379="","",IFERROR(VALUE(SUBSTITUTE(SUBSTITUTE(UPPER(TRIM(Raw_Export!F1379)),"KES",""),",","")),0))</f>
        <v>450</v>
      </c>
      <c r="H1379" s="38" t="n">
        <f aca="false">IF(Raw_Export!$A1379="","",F1379*G1379)</f>
        <v>900</v>
      </c>
      <c r="I1379" s="36" t="str">
        <f aca="false">IF(Raw_Export!$A1379="","",IFERROR(VLOOKUP(LOWER(TRIM(Raw_Export!H1379)),Maps!$D$2:$E$12,2,FALSE()),"Other"))</f>
        <v>M-Pesa</v>
      </c>
      <c r="J1379" s="36" t="str">
        <f aca="false">IF(Raw_Export!$A1379="","",IF(COUNTIF($A$2:A1379,A1379)&gt;1,"Duplicate",""))</f>
        <v/>
      </c>
      <c r="K1379" s="36" t="str">
        <f aca="false">IF(Raw_Export!$A1379="","",IF(J1379="Duplicate","Duplicate",IF(OR(C1379="UNMAPPED",D1379="UNMAPPED"),"Unmapped",IF(F1379=0,"Blank qty",IF(F1379&lt;0,"Return","OK")))))</f>
        <v>OK</v>
      </c>
      <c r="L1379" s="36" t="n">
        <f aca="false">IF(Raw_Export!$A1379="","",IF(OR(K1379="OK",K1379="Return"),1,0))</f>
        <v>1</v>
      </c>
      <c r="M1379" s="37" t="n">
        <f aca="false">IF(Raw_Export!$A1379="","",B1379-WEEKDAY(B1379,2)+1)</f>
        <v>46272</v>
      </c>
    </row>
    <row r="1380" customFormat="false" ht="15" hidden="false" customHeight="false" outlineLevel="0" collapsed="false">
      <c r="A1380" s="36" t="str">
        <f aca="false">IF(Raw_Export!$A1380="","",TRIM(Raw_Export!A1380))</f>
        <v>TXN-101351</v>
      </c>
      <c r="B1380" s="37" t="n">
        <f aca="false">IF(Raw_Export!$A1380="","",IF(ISNUMBER(Raw_Export!B1380),Raw_Export!B1380,IF(MID(TRIM(Raw_Export!B1380),5,1)="-",DATE(LEFT(TRIM(Raw_Export!B1380),4),MID(TRIM(Raw_Export!B1380),6,2),RIGHT(TRIM(Raw_Export!B1380),2)),DATE(RIGHT(TRIM(Raw_Export!B1380),4),MATCH(MID(TRIM(Raw_Export!B1380),4,3),{"Jan","Feb","Mar","Apr","May","Jun","Jul","Aug","Sep","Oct","Nov","Dec"},0),LEFT(TRIM(Raw_Export!B1380),2)))))</f>
        <v>46274</v>
      </c>
      <c r="C1380" s="36" t="str">
        <f aca="false">IF(Raw_Export!$A1380="","",IFERROR(VLOOKUP(LOWER(TRIM(Raw_Export!C1380)),Maps!$A$2:$B$20,2,FALSE()),"UNMAPPED"))</f>
        <v>Nairobi CBD</v>
      </c>
      <c r="D1380" s="36" t="str">
        <f aca="false">IF(Raw_Export!$A1380="","",IFERROR(VLOOKUP(LOWER(TRIM(Raw_Export!D1380)),Maps!$G$2:$I$80,2,FALSE()),"UNMAPPED"))</f>
        <v>Fresh Milk 500ml</v>
      </c>
      <c r="E1380" s="36" t="str">
        <f aca="false">IF(Raw_Export!$A1380="","",IFERROR(VLOOKUP(LOWER(TRIM(Raw_Export!D1380)),Maps!$G$2:$I$80,3,FALSE()),"UNMAPPED"))</f>
        <v>Dairy &amp; Eggs</v>
      </c>
      <c r="F1380" s="36" t="n">
        <f aca="false">IF(Raw_Export!$A1380="","",IFERROR(VALUE(TRIM(Raw_Export!E1380)),0))</f>
        <v>1</v>
      </c>
      <c r="G1380" s="38" t="n">
        <f aca="false">IF(Raw_Export!$A1380="","",IFERROR(VALUE(SUBSTITUTE(SUBSTITUTE(UPPER(TRIM(Raw_Export!F1380)),"KES",""),",","")),0))</f>
        <v>65</v>
      </c>
      <c r="H1380" s="38" t="n">
        <f aca="false">IF(Raw_Export!$A1380="","",F1380*G1380)</f>
        <v>65</v>
      </c>
      <c r="I1380" s="36" t="str">
        <f aca="false">IF(Raw_Export!$A1380="","",IFERROR(VLOOKUP(LOWER(TRIM(Raw_Export!H1380)),Maps!$D$2:$E$12,2,FALSE()),"Other"))</f>
        <v>M-Pesa</v>
      </c>
      <c r="J1380" s="36" t="str">
        <f aca="false">IF(Raw_Export!$A1380="","",IF(COUNTIF($A$2:A1380,A1380)&gt;1,"Duplicate",""))</f>
        <v/>
      </c>
      <c r="K1380" s="36" t="str">
        <f aca="false">IF(Raw_Export!$A1380="","",IF(J1380="Duplicate","Duplicate",IF(OR(C1380="UNMAPPED",D1380="UNMAPPED"),"Unmapped",IF(F1380=0,"Blank qty",IF(F1380&lt;0,"Return","OK")))))</f>
        <v>OK</v>
      </c>
      <c r="L1380" s="36" t="n">
        <f aca="false">IF(Raw_Export!$A1380="","",IF(OR(K1380="OK",K1380="Return"),1,0))</f>
        <v>1</v>
      </c>
      <c r="M1380" s="37" t="n">
        <f aca="false">IF(Raw_Export!$A1380="","",B1380-WEEKDAY(B1380,2)+1)</f>
        <v>46272</v>
      </c>
    </row>
    <row r="1381" customFormat="false" ht="15" hidden="false" customHeight="false" outlineLevel="0" collapsed="false">
      <c r="A1381" s="36" t="str">
        <f aca="false">IF(Raw_Export!$A1381="","",TRIM(Raw_Export!A1381))</f>
        <v>TXN-101352</v>
      </c>
      <c r="B1381" s="37" t="n">
        <f aca="false">IF(Raw_Export!$A1381="","",IF(ISNUMBER(Raw_Export!B1381),Raw_Export!B1381,IF(MID(TRIM(Raw_Export!B1381),5,1)="-",DATE(LEFT(TRIM(Raw_Export!B1381),4),MID(TRIM(Raw_Export!B1381),6,2),RIGHT(TRIM(Raw_Export!B1381),2)),DATE(RIGHT(TRIM(Raw_Export!B1381),4),MATCH(MID(TRIM(Raw_Export!B1381),4,3),{"Jan","Feb","Mar","Apr","May","Jun","Jul","Aug","Sep","Oct","Nov","Dec"},0),LEFT(TRIM(Raw_Export!B1381),2)))))</f>
        <v>46274</v>
      </c>
      <c r="C1381" s="36" t="str">
        <f aca="false">IF(Raw_Export!$A1381="","",IFERROR(VLOOKUP(LOWER(TRIM(Raw_Export!C1381)),Maps!$A$2:$B$20,2,FALSE()),"UNMAPPED"))</f>
        <v>Nairobi CBD</v>
      </c>
      <c r="D1381" s="36" t="str">
        <f aca="false">IF(Raw_Export!$A1381="","",IFERROR(VLOOKUP(LOWER(TRIM(Raw_Export!D1381)),Maps!$G$2:$I$80,2,FALSE()),"UNMAPPED"))</f>
        <v>Biscuits 200g</v>
      </c>
      <c r="E1381" s="36" t="str">
        <f aca="false">IF(Raw_Export!$A1381="","",IFERROR(VLOOKUP(LOWER(TRIM(Raw_Export!D1381)),Maps!$G$2:$I$80,3,FALSE()),"UNMAPPED"))</f>
        <v>Snacks</v>
      </c>
      <c r="F1381" s="36" t="n">
        <f aca="false">IF(Raw_Export!$A1381="","",IFERROR(VALUE(TRIM(Raw_Export!E1381)),0))</f>
        <v>1</v>
      </c>
      <c r="G1381" s="38" t="n">
        <f aca="false">IF(Raw_Export!$A1381="","",IFERROR(VALUE(SUBSTITUTE(SUBSTITUTE(UPPER(TRIM(Raw_Export!F1381)),"KES",""),",","")),0))</f>
        <v>95</v>
      </c>
      <c r="H1381" s="38" t="n">
        <f aca="false">IF(Raw_Export!$A1381="","",F1381*G1381)</f>
        <v>95</v>
      </c>
      <c r="I1381" s="36" t="str">
        <f aca="false">IF(Raw_Export!$A1381="","",IFERROR(VLOOKUP(LOWER(TRIM(Raw_Export!H1381)),Maps!$D$2:$E$12,2,FALSE()),"Other"))</f>
        <v>Card</v>
      </c>
      <c r="J1381" s="36" t="str">
        <f aca="false">IF(Raw_Export!$A1381="","",IF(COUNTIF($A$2:A1381,A1381)&gt;1,"Duplicate",""))</f>
        <v/>
      </c>
      <c r="K1381" s="36" t="str">
        <f aca="false">IF(Raw_Export!$A1381="","",IF(J1381="Duplicate","Duplicate",IF(OR(C1381="UNMAPPED",D1381="UNMAPPED"),"Unmapped",IF(F1381=0,"Blank qty",IF(F1381&lt;0,"Return","OK")))))</f>
        <v>OK</v>
      </c>
      <c r="L1381" s="36" t="n">
        <f aca="false">IF(Raw_Export!$A1381="","",IF(OR(K1381="OK",K1381="Return"),1,0))</f>
        <v>1</v>
      </c>
      <c r="M1381" s="37" t="n">
        <f aca="false">IF(Raw_Export!$A1381="","",B1381-WEEKDAY(B1381,2)+1)</f>
        <v>46272</v>
      </c>
    </row>
    <row r="1382" customFormat="false" ht="15" hidden="false" customHeight="false" outlineLevel="0" collapsed="false">
      <c r="A1382" s="36" t="str">
        <f aca="false">IF(Raw_Export!$A1382="","",TRIM(Raw_Export!A1382))</f>
        <v>TXN-101353</v>
      </c>
      <c r="B1382" s="37" t="n">
        <f aca="false">IF(Raw_Export!$A1382="","",IF(ISNUMBER(Raw_Export!B1382),Raw_Export!B1382,IF(MID(TRIM(Raw_Export!B1382),5,1)="-",DATE(LEFT(TRIM(Raw_Export!B1382),4),MID(TRIM(Raw_Export!B1382),6,2),RIGHT(TRIM(Raw_Export!B1382),2)),DATE(RIGHT(TRIM(Raw_Export!B1382),4),MATCH(MID(TRIM(Raw_Export!B1382),4,3),{"Jan","Feb","Mar","Apr","May","Jun","Jul","Aug","Sep","Oct","Nov","Dec"},0),LEFT(TRIM(Raw_Export!B1382),2)))))</f>
        <v>46274</v>
      </c>
      <c r="C1382" s="36" t="str">
        <f aca="false">IF(Raw_Export!$A1382="","",IFERROR(VLOOKUP(LOWER(TRIM(Raw_Export!C1382)),Maps!$A$2:$B$20,2,FALSE()),"UNMAPPED"))</f>
        <v>Nairobi CBD</v>
      </c>
      <c r="D1382" s="36" t="str">
        <f aca="false">IF(Raw_Export!$A1382="","",IFERROR(VLOOKUP(LOWER(TRIM(Raw_Export!D1382)),Maps!$G$2:$I$80,2,FALSE()),"UNMAPPED"))</f>
        <v>Bleach 1L</v>
      </c>
      <c r="E1382" s="36" t="str">
        <f aca="false">IF(Raw_Export!$A1382="","",IFERROR(VLOOKUP(LOWER(TRIM(Raw_Export!D1382)),Maps!$G$2:$I$80,3,FALSE()),"UNMAPPED"))</f>
        <v>Household</v>
      </c>
      <c r="F1382" s="36" t="n">
        <f aca="false">IF(Raw_Export!$A1382="","",IFERROR(VALUE(TRIM(Raw_Export!E1382)),0))</f>
        <v>1</v>
      </c>
      <c r="G1382" s="38" t="n">
        <f aca="false">IF(Raw_Export!$A1382="","",IFERROR(VALUE(SUBSTITUTE(SUBSTITUTE(UPPER(TRIM(Raw_Export!F1382)),"KES",""),",","")),0))</f>
        <v>160</v>
      </c>
      <c r="H1382" s="38" t="n">
        <f aca="false">IF(Raw_Export!$A1382="","",F1382*G1382)</f>
        <v>160</v>
      </c>
      <c r="I1382" s="36" t="str">
        <f aca="false">IF(Raw_Export!$A1382="","",IFERROR(VLOOKUP(LOWER(TRIM(Raw_Export!H1382)),Maps!$D$2:$E$12,2,FALSE()),"Other"))</f>
        <v>M-Pesa</v>
      </c>
      <c r="J1382" s="36" t="str">
        <f aca="false">IF(Raw_Export!$A1382="","",IF(COUNTIF($A$2:A1382,A1382)&gt;1,"Duplicate",""))</f>
        <v/>
      </c>
      <c r="K1382" s="36" t="str">
        <f aca="false">IF(Raw_Export!$A1382="","",IF(J1382="Duplicate","Duplicate",IF(OR(C1382="UNMAPPED",D1382="UNMAPPED"),"Unmapped",IF(F1382=0,"Blank qty",IF(F1382&lt;0,"Return","OK")))))</f>
        <v>OK</v>
      </c>
      <c r="L1382" s="36" t="n">
        <f aca="false">IF(Raw_Export!$A1382="","",IF(OR(K1382="OK",K1382="Return"),1,0))</f>
        <v>1</v>
      </c>
      <c r="M1382" s="37" t="n">
        <f aca="false">IF(Raw_Export!$A1382="","",B1382-WEEKDAY(B1382,2)+1)</f>
        <v>46272</v>
      </c>
    </row>
    <row r="1383" customFormat="false" ht="15" hidden="false" customHeight="false" outlineLevel="0" collapsed="false">
      <c r="A1383" s="36" t="str">
        <f aca="false">IF(Raw_Export!$A1383="","",TRIM(Raw_Export!A1383))</f>
        <v>TXN-101354</v>
      </c>
      <c r="B1383" s="37" t="n">
        <f aca="false">IF(Raw_Export!$A1383="","",IF(ISNUMBER(Raw_Export!B1383),Raw_Export!B1383,IF(MID(TRIM(Raw_Export!B1383),5,1)="-",DATE(LEFT(TRIM(Raw_Export!B1383),4),MID(TRIM(Raw_Export!B1383),6,2),RIGHT(TRIM(Raw_Export!B1383),2)),DATE(RIGHT(TRIM(Raw_Export!B1383),4),MATCH(MID(TRIM(Raw_Export!B1383),4,3),{"Jan","Feb","Mar","Apr","May","Jun","Jul","Aug","Sep","Oct","Nov","Dec"},0),LEFT(TRIM(Raw_Export!B1383),2)))))</f>
        <v>46274</v>
      </c>
      <c r="C1383" s="36" t="str">
        <f aca="false">IF(Raw_Export!$A1383="","",IFERROR(VLOOKUP(LOWER(TRIM(Raw_Export!C1383)),Maps!$A$2:$B$20,2,FALSE()),"UNMAPPED"))</f>
        <v>Nairobi CBD</v>
      </c>
      <c r="D1383" s="36" t="str">
        <f aca="false">IF(Raw_Export!$A1383="","",IFERROR(VLOOKUP(LOWER(TRIM(Raw_Export!D1383)),Maps!$G$2:$I$80,2,FALSE()),"UNMAPPED"))</f>
        <v>Sanitary Pads 8pk</v>
      </c>
      <c r="E1383" s="36" t="str">
        <f aca="false">IF(Raw_Export!$A1383="","",IFERROR(VLOOKUP(LOWER(TRIM(Raw_Export!D1383)),Maps!$G$2:$I$80,3,FALSE()),"UNMAPPED"))</f>
        <v>Personal Care</v>
      </c>
      <c r="F1383" s="36" t="n">
        <f aca="false">IF(Raw_Export!$A1383="","",IFERROR(VALUE(TRIM(Raw_Export!E1383)),0))</f>
        <v>1</v>
      </c>
      <c r="G1383" s="38" t="n">
        <f aca="false">IF(Raw_Export!$A1383="","",IFERROR(VALUE(SUBSTITUTE(SUBSTITUTE(UPPER(TRIM(Raw_Export!F1383)),"KES",""),",","")),0))</f>
        <v>130</v>
      </c>
      <c r="H1383" s="38" t="n">
        <f aca="false">IF(Raw_Export!$A1383="","",F1383*G1383)</f>
        <v>130</v>
      </c>
      <c r="I1383" s="36" t="str">
        <f aca="false">IF(Raw_Export!$A1383="","",IFERROR(VLOOKUP(LOWER(TRIM(Raw_Export!H1383)),Maps!$D$2:$E$12,2,FALSE()),"Other"))</f>
        <v>Cash</v>
      </c>
      <c r="J1383" s="36" t="str">
        <f aca="false">IF(Raw_Export!$A1383="","",IF(COUNTIF($A$2:A1383,A1383)&gt;1,"Duplicate",""))</f>
        <v>Duplicate</v>
      </c>
      <c r="K1383" s="36" t="str">
        <f aca="false">IF(Raw_Export!$A1383="","",IF(J1383="Duplicate","Duplicate",IF(OR(C1383="UNMAPPED",D1383="UNMAPPED"),"Unmapped",IF(F1383=0,"Blank qty",IF(F1383&lt;0,"Return","OK")))))</f>
        <v>Duplicate</v>
      </c>
      <c r="L1383" s="36" t="n">
        <f aca="false">IF(Raw_Export!$A1383="","",IF(OR(K1383="OK",K1383="Return"),1,0))</f>
        <v>0</v>
      </c>
      <c r="M1383" s="37" t="n">
        <f aca="false">IF(Raw_Export!$A1383="","",B1383-WEEKDAY(B1383,2)+1)</f>
        <v>46272</v>
      </c>
    </row>
    <row r="1384" customFormat="false" ht="15" hidden="false" customHeight="false" outlineLevel="0" collapsed="false">
      <c r="A1384" s="36" t="str">
        <f aca="false">IF(Raw_Export!$A1384="","",TRIM(Raw_Export!A1384))</f>
        <v>TXN-101355</v>
      </c>
      <c r="B1384" s="37" t="n">
        <f aca="false">IF(Raw_Export!$A1384="","",IF(ISNUMBER(Raw_Export!B1384),Raw_Export!B1384,IF(MID(TRIM(Raw_Export!B1384),5,1)="-",DATE(LEFT(TRIM(Raw_Export!B1384),4),MID(TRIM(Raw_Export!B1384),6,2),RIGHT(TRIM(Raw_Export!B1384),2)),DATE(RIGHT(TRIM(Raw_Export!B1384),4),MATCH(MID(TRIM(Raw_Export!B1384),4,3),{"Jan","Feb","Mar","Apr","May","Jun","Jul","Aug","Sep","Oct","Nov","Dec"},0),LEFT(TRIM(Raw_Export!B1384),2)))))</f>
        <v>46274</v>
      </c>
      <c r="C1384" s="36" t="str">
        <f aca="false">IF(Raw_Export!$A1384="","",IFERROR(VLOOKUP(LOWER(TRIM(Raw_Export!C1384)),Maps!$A$2:$B$20,2,FALSE()),"UNMAPPED"))</f>
        <v>Nairobi CBD</v>
      </c>
      <c r="D1384" s="36" t="str">
        <f aca="false">IF(Raw_Export!$A1384="","",IFERROR(VLOOKUP(LOWER(TRIM(Raw_Export!D1384)),Maps!$G$2:$I$80,2,FALSE()),"UNMAPPED"))</f>
        <v>Soda 500ml</v>
      </c>
      <c r="E1384" s="36" t="str">
        <f aca="false">IF(Raw_Export!$A1384="","",IFERROR(VLOOKUP(LOWER(TRIM(Raw_Export!D1384)),Maps!$G$2:$I$80,3,FALSE()),"UNMAPPED"))</f>
        <v>Beverages</v>
      </c>
      <c r="F1384" s="36" t="n">
        <f aca="false">IF(Raw_Export!$A1384="","",IFERROR(VALUE(TRIM(Raw_Export!E1384)),0))</f>
        <v>3</v>
      </c>
      <c r="G1384" s="38" t="n">
        <f aca="false">IF(Raw_Export!$A1384="","",IFERROR(VALUE(SUBSTITUTE(SUBSTITUTE(UPPER(TRIM(Raw_Export!F1384)),"KES",""),",","")),0))</f>
        <v>60</v>
      </c>
      <c r="H1384" s="38" t="n">
        <f aca="false">IF(Raw_Export!$A1384="","",F1384*G1384)</f>
        <v>180</v>
      </c>
      <c r="I1384" s="36" t="str">
        <f aca="false">IF(Raw_Export!$A1384="","",IFERROR(VLOOKUP(LOWER(TRIM(Raw_Export!H1384)),Maps!$D$2:$E$12,2,FALSE()),"Other"))</f>
        <v>M-Pesa</v>
      </c>
      <c r="J1384" s="36" t="str">
        <f aca="false">IF(Raw_Export!$A1384="","",IF(COUNTIF($A$2:A1384,A1384)&gt;1,"Duplicate",""))</f>
        <v/>
      </c>
      <c r="K1384" s="36" t="str">
        <f aca="false">IF(Raw_Export!$A1384="","",IF(J1384="Duplicate","Duplicate",IF(OR(C1384="UNMAPPED",D1384="UNMAPPED"),"Unmapped",IF(F1384=0,"Blank qty",IF(F1384&lt;0,"Return","OK")))))</f>
        <v>OK</v>
      </c>
      <c r="L1384" s="36" t="n">
        <f aca="false">IF(Raw_Export!$A1384="","",IF(OR(K1384="OK",K1384="Return"),1,0))</f>
        <v>1</v>
      </c>
      <c r="M1384" s="37" t="n">
        <f aca="false">IF(Raw_Export!$A1384="","",B1384-WEEKDAY(B1384,2)+1)</f>
        <v>46272</v>
      </c>
    </row>
    <row r="1385" customFormat="false" ht="15" hidden="false" customHeight="false" outlineLevel="0" collapsed="false">
      <c r="A1385" s="36" t="str">
        <f aca="false">IF(Raw_Export!$A1385="","",TRIM(Raw_Export!A1385))</f>
        <v>TXN-101356</v>
      </c>
      <c r="B1385" s="37" t="n">
        <f aca="false">IF(Raw_Export!$A1385="","",IF(ISNUMBER(Raw_Export!B1385),Raw_Export!B1385,IF(MID(TRIM(Raw_Export!B1385),5,1)="-",DATE(LEFT(TRIM(Raw_Export!B1385),4),MID(TRIM(Raw_Export!B1385),6,2),RIGHT(TRIM(Raw_Export!B1385),2)),DATE(RIGHT(TRIM(Raw_Export!B1385),4),MATCH(MID(TRIM(Raw_Export!B1385),4,3),{"Jan","Feb","Mar","Apr","May","Jun","Jul","Aug","Sep","Oct","Nov","Dec"},0),LEFT(TRIM(Raw_Export!B1385),2)))))</f>
        <v>46274</v>
      </c>
      <c r="C1385" s="36" t="str">
        <f aca="false">IF(Raw_Export!$A1385="","",IFERROR(VLOOKUP(LOWER(TRIM(Raw_Export!C1385)),Maps!$A$2:$B$20,2,FALSE()),"UNMAPPED"))</f>
        <v>Nairobi CBD</v>
      </c>
      <c r="D1385" s="36" t="str">
        <f aca="false">IF(Raw_Export!$A1385="","",IFERROR(VLOOKUP(LOWER(TRIM(Raw_Export!D1385)),Maps!$G$2:$I$80,2,FALSE()),"UNMAPPED"))</f>
        <v>Unga Pembe 2kg</v>
      </c>
      <c r="E1385" s="36" t="str">
        <f aca="false">IF(Raw_Export!$A1385="","",IFERROR(VLOOKUP(LOWER(TRIM(Raw_Export!D1385)),Maps!$G$2:$I$80,3,FALSE()),"UNMAPPED"))</f>
        <v>Staples</v>
      </c>
      <c r="F1385" s="36" t="n">
        <f aca="false">IF(Raw_Export!$A1385="","",IFERROR(VALUE(TRIM(Raw_Export!E1385)),0))</f>
        <v>2</v>
      </c>
      <c r="G1385" s="38" t="n">
        <f aca="false">IF(Raw_Export!$A1385="","",IFERROR(VALUE(SUBSTITUTE(SUBSTITUTE(UPPER(TRIM(Raw_Export!F1385)),"KES",""),",","")),0))</f>
        <v>190</v>
      </c>
      <c r="H1385" s="38" t="n">
        <f aca="false">IF(Raw_Export!$A1385="","",F1385*G1385)</f>
        <v>380</v>
      </c>
      <c r="I1385" s="36" t="str">
        <f aca="false">IF(Raw_Export!$A1385="","",IFERROR(VLOOKUP(LOWER(TRIM(Raw_Export!H1385)),Maps!$D$2:$E$12,2,FALSE()),"Other"))</f>
        <v>M-Pesa</v>
      </c>
      <c r="J1385" s="36" t="str">
        <f aca="false">IF(Raw_Export!$A1385="","",IF(COUNTIF($A$2:A1385,A1385)&gt;1,"Duplicate",""))</f>
        <v/>
      </c>
      <c r="K1385" s="36" t="str">
        <f aca="false">IF(Raw_Export!$A1385="","",IF(J1385="Duplicate","Duplicate",IF(OR(C1385="UNMAPPED",D1385="UNMAPPED"),"Unmapped",IF(F1385=0,"Blank qty",IF(F1385&lt;0,"Return","OK")))))</f>
        <v>OK</v>
      </c>
      <c r="L1385" s="36" t="n">
        <f aca="false">IF(Raw_Export!$A1385="","",IF(OR(K1385="OK",K1385="Return"),1,0))</f>
        <v>1</v>
      </c>
      <c r="M1385" s="37" t="n">
        <f aca="false">IF(Raw_Export!$A1385="","",B1385-WEEKDAY(B1385,2)+1)</f>
        <v>46272</v>
      </c>
    </row>
    <row r="1386" customFormat="false" ht="15" hidden="false" customHeight="false" outlineLevel="0" collapsed="false">
      <c r="A1386" s="36" t="str">
        <f aca="false">IF(Raw_Export!$A1386="","",TRIM(Raw_Export!A1386))</f>
        <v>TXN-101357</v>
      </c>
      <c r="B1386" s="37" t="n">
        <f aca="false">IF(Raw_Export!$A1386="","",IF(ISNUMBER(Raw_Export!B1386),Raw_Export!B1386,IF(MID(TRIM(Raw_Export!B1386),5,1)="-",DATE(LEFT(TRIM(Raw_Export!B1386),4),MID(TRIM(Raw_Export!B1386),6,2),RIGHT(TRIM(Raw_Export!B1386),2)),DATE(RIGHT(TRIM(Raw_Export!B1386),4),MATCH(MID(TRIM(Raw_Export!B1386),4,3),{"Jan","Feb","Mar","Apr","May","Jun","Jul","Aug","Sep","Oct","Nov","Dec"},0),LEFT(TRIM(Raw_Export!B1386),2)))))</f>
        <v>46274</v>
      </c>
      <c r="C1386" s="36" t="str">
        <f aca="false">IF(Raw_Export!$A1386="","",IFERROR(VLOOKUP(LOWER(TRIM(Raw_Export!C1386)),Maps!$A$2:$B$20,2,FALSE()),"UNMAPPED"))</f>
        <v>Nairobi CBD</v>
      </c>
      <c r="D1386" s="36" t="str">
        <f aca="false">IF(Raw_Export!$A1386="","",IFERROR(VLOOKUP(LOWER(TRIM(Raw_Export!D1386)),Maps!$G$2:$I$80,2,FALSE()),"UNMAPPED"))</f>
        <v>Peanuts 250g</v>
      </c>
      <c r="E1386" s="36" t="str">
        <f aca="false">IF(Raw_Export!$A1386="","",IFERROR(VLOOKUP(LOWER(TRIM(Raw_Export!D1386)),Maps!$G$2:$I$80,3,FALSE()),"UNMAPPED"))</f>
        <v>Snacks</v>
      </c>
      <c r="F1386" s="36" t="n">
        <f aca="false">IF(Raw_Export!$A1386="","",IFERROR(VALUE(TRIM(Raw_Export!E1386)),0))</f>
        <v>2</v>
      </c>
      <c r="G1386" s="38" t="n">
        <f aca="false">IF(Raw_Export!$A1386="","",IFERROR(VALUE(SUBSTITUTE(SUBSTITUTE(UPPER(TRIM(Raw_Export!F1386)),"KES",""),",","")),0))</f>
        <v>130</v>
      </c>
      <c r="H1386" s="38" t="n">
        <f aca="false">IF(Raw_Export!$A1386="","",F1386*G1386)</f>
        <v>260</v>
      </c>
      <c r="I1386" s="36" t="str">
        <f aca="false">IF(Raw_Export!$A1386="","",IFERROR(VLOOKUP(LOWER(TRIM(Raw_Export!H1386)),Maps!$D$2:$E$12,2,FALSE()),"Other"))</f>
        <v>M-Pesa</v>
      </c>
      <c r="J1386" s="36" t="str">
        <f aca="false">IF(Raw_Export!$A1386="","",IF(COUNTIF($A$2:A1386,A1386)&gt;1,"Duplicate",""))</f>
        <v>Duplicate</v>
      </c>
      <c r="K1386" s="36" t="str">
        <f aca="false">IF(Raw_Export!$A1386="","",IF(J1386="Duplicate","Duplicate",IF(OR(C1386="UNMAPPED",D1386="UNMAPPED"),"Unmapped",IF(F1386=0,"Blank qty",IF(F1386&lt;0,"Return","OK")))))</f>
        <v>Duplicate</v>
      </c>
      <c r="L1386" s="36" t="n">
        <f aca="false">IF(Raw_Export!$A1386="","",IF(OR(K1386="OK",K1386="Return"),1,0))</f>
        <v>0</v>
      </c>
      <c r="M1386" s="37" t="n">
        <f aca="false">IF(Raw_Export!$A1386="","",B1386-WEEKDAY(B1386,2)+1)</f>
        <v>46272</v>
      </c>
    </row>
    <row r="1387" customFormat="false" ht="15" hidden="false" customHeight="false" outlineLevel="0" collapsed="false">
      <c r="A1387" s="36" t="str">
        <f aca="false">IF(Raw_Export!$A1387="","",TRIM(Raw_Export!A1387))</f>
        <v>TXN-101358</v>
      </c>
      <c r="B1387" s="37" t="n">
        <f aca="false">IF(Raw_Export!$A1387="","",IF(ISNUMBER(Raw_Export!B1387),Raw_Export!B1387,IF(MID(TRIM(Raw_Export!B1387),5,1)="-",DATE(LEFT(TRIM(Raw_Export!B1387),4),MID(TRIM(Raw_Export!B1387),6,2),RIGHT(TRIM(Raw_Export!B1387),2)),DATE(RIGHT(TRIM(Raw_Export!B1387),4),MATCH(MID(TRIM(Raw_Export!B1387),4,3),{"Jan","Feb","Mar","Apr","May","Jun","Jul","Aug","Sep","Oct","Nov","Dec"},0),LEFT(TRIM(Raw_Export!B1387),2)))))</f>
        <v>46274</v>
      </c>
      <c r="C1387" s="36" t="str">
        <f aca="false">IF(Raw_Export!$A1387="","",IFERROR(VLOOKUP(LOWER(TRIM(Raw_Export!C1387)),Maps!$A$2:$B$20,2,FALSE()),"UNMAPPED"))</f>
        <v>Nairobi CBD</v>
      </c>
      <c r="D1387" s="36" t="str">
        <f aca="false">IF(Raw_Export!$A1387="","",IFERROR(VLOOKUP(LOWER(TRIM(Raw_Export!D1387)),Maps!$G$2:$I$80,2,FALSE()),"UNMAPPED"))</f>
        <v>Tea Leaves 250g</v>
      </c>
      <c r="E1387" s="36" t="str">
        <f aca="false">IF(Raw_Export!$A1387="","",IFERROR(VLOOKUP(LOWER(TRIM(Raw_Export!D1387)),Maps!$G$2:$I$80,3,FALSE()),"UNMAPPED"))</f>
        <v>Beverages</v>
      </c>
      <c r="F1387" s="36" t="n">
        <f aca="false">IF(Raw_Export!$A1387="","",IFERROR(VALUE(TRIM(Raw_Export!E1387)),0))</f>
        <v>6</v>
      </c>
      <c r="G1387" s="38" t="n">
        <f aca="false">IF(Raw_Export!$A1387="","",IFERROR(VALUE(SUBSTITUTE(SUBSTITUTE(UPPER(TRIM(Raw_Export!F1387)),"KES",""),",","")),0))</f>
        <v>150</v>
      </c>
      <c r="H1387" s="38" t="n">
        <f aca="false">IF(Raw_Export!$A1387="","",F1387*G1387)</f>
        <v>900</v>
      </c>
      <c r="I1387" s="36" t="str">
        <f aca="false">IF(Raw_Export!$A1387="","",IFERROR(VLOOKUP(LOWER(TRIM(Raw_Export!H1387)),Maps!$D$2:$E$12,2,FALSE()),"Other"))</f>
        <v>M-Pesa</v>
      </c>
      <c r="J1387" s="36" t="str">
        <f aca="false">IF(Raw_Export!$A1387="","",IF(COUNTIF($A$2:A1387,A1387)&gt;1,"Duplicate",""))</f>
        <v/>
      </c>
      <c r="K1387" s="36" t="str">
        <f aca="false">IF(Raw_Export!$A1387="","",IF(J1387="Duplicate","Duplicate",IF(OR(C1387="UNMAPPED",D1387="UNMAPPED"),"Unmapped",IF(F1387=0,"Blank qty",IF(F1387&lt;0,"Return","OK")))))</f>
        <v>OK</v>
      </c>
      <c r="L1387" s="36" t="n">
        <f aca="false">IF(Raw_Export!$A1387="","",IF(OR(K1387="OK",K1387="Return"),1,0))</f>
        <v>1</v>
      </c>
      <c r="M1387" s="37" t="n">
        <f aca="false">IF(Raw_Export!$A1387="","",B1387-WEEKDAY(B1387,2)+1)</f>
        <v>46272</v>
      </c>
    </row>
    <row r="1388" customFormat="false" ht="15" hidden="false" customHeight="false" outlineLevel="0" collapsed="false">
      <c r="A1388" s="36" t="str">
        <f aca="false">IF(Raw_Export!$A1388="","",TRIM(Raw_Export!A1388))</f>
        <v>TXN-101359</v>
      </c>
      <c r="B1388" s="37" t="n">
        <f aca="false">IF(Raw_Export!$A1388="","",IF(ISNUMBER(Raw_Export!B1388),Raw_Export!B1388,IF(MID(TRIM(Raw_Export!B1388),5,1)="-",DATE(LEFT(TRIM(Raw_Export!B1388),4),MID(TRIM(Raw_Export!B1388),6,2),RIGHT(TRIM(Raw_Export!B1388),2)),DATE(RIGHT(TRIM(Raw_Export!B1388),4),MATCH(MID(TRIM(Raw_Export!B1388),4,3),{"Jan","Feb","Mar","Apr","May","Jun","Jul","Aug","Sep","Oct","Nov","Dec"},0),LEFT(TRIM(Raw_Export!B1388),2)))))</f>
        <v>46274</v>
      </c>
      <c r="C1388" s="36" t="str">
        <f aca="false">IF(Raw_Export!$A1388="","",IFERROR(VLOOKUP(LOWER(TRIM(Raw_Export!C1388)),Maps!$A$2:$B$20,2,FALSE()),"UNMAPPED"))</f>
        <v>Nairobi CBD</v>
      </c>
      <c r="D1388" s="36" t="str">
        <f aca="false">IF(Raw_Export!$A1388="","",IFERROR(VLOOKUP(LOWER(TRIM(Raw_Export!D1388)),Maps!$G$2:$I$80,2,FALSE()),"UNMAPPED"))</f>
        <v>Fresh Milk 500ml</v>
      </c>
      <c r="E1388" s="36" t="str">
        <f aca="false">IF(Raw_Export!$A1388="","",IFERROR(VLOOKUP(LOWER(TRIM(Raw_Export!D1388)),Maps!$G$2:$I$80,3,FALSE()),"UNMAPPED"))</f>
        <v>Dairy &amp; Eggs</v>
      </c>
      <c r="F1388" s="36" t="n">
        <f aca="false">IF(Raw_Export!$A1388="","",IFERROR(VALUE(TRIM(Raw_Export!E1388)),0))</f>
        <v>1</v>
      </c>
      <c r="G1388" s="38" t="n">
        <f aca="false">IF(Raw_Export!$A1388="","",IFERROR(VALUE(SUBSTITUTE(SUBSTITUTE(UPPER(TRIM(Raw_Export!F1388)),"KES",""),",","")),0))</f>
        <v>65</v>
      </c>
      <c r="H1388" s="38" t="n">
        <f aca="false">IF(Raw_Export!$A1388="","",F1388*G1388)</f>
        <v>65</v>
      </c>
      <c r="I1388" s="36" t="str">
        <f aca="false">IF(Raw_Export!$A1388="","",IFERROR(VLOOKUP(LOWER(TRIM(Raw_Export!H1388)),Maps!$D$2:$E$12,2,FALSE()),"Other"))</f>
        <v>Card</v>
      </c>
      <c r="J1388" s="36" t="str">
        <f aca="false">IF(Raw_Export!$A1388="","",IF(COUNTIF($A$2:A1388,A1388)&gt;1,"Duplicate",""))</f>
        <v/>
      </c>
      <c r="K1388" s="36" t="str">
        <f aca="false">IF(Raw_Export!$A1388="","",IF(J1388="Duplicate","Duplicate",IF(OR(C1388="UNMAPPED",D1388="UNMAPPED"),"Unmapped",IF(F1388=0,"Blank qty",IF(F1388&lt;0,"Return","OK")))))</f>
        <v>OK</v>
      </c>
      <c r="L1388" s="36" t="n">
        <f aca="false">IF(Raw_Export!$A1388="","",IF(OR(K1388="OK",K1388="Return"),1,0))</f>
        <v>1</v>
      </c>
      <c r="M1388" s="37" t="n">
        <f aca="false">IF(Raw_Export!$A1388="","",B1388-WEEKDAY(B1388,2)+1)</f>
        <v>46272</v>
      </c>
    </row>
    <row r="1389" customFormat="false" ht="15" hidden="false" customHeight="false" outlineLevel="0" collapsed="false">
      <c r="A1389" s="36" t="str">
        <f aca="false">IF(Raw_Export!$A1389="","",TRIM(Raw_Export!A1389))</f>
        <v>TXN-101360</v>
      </c>
      <c r="B1389" s="37" t="n">
        <f aca="false">IF(Raw_Export!$A1389="","",IF(ISNUMBER(Raw_Export!B1389),Raw_Export!B1389,IF(MID(TRIM(Raw_Export!B1389),5,1)="-",DATE(LEFT(TRIM(Raw_Export!B1389),4),MID(TRIM(Raw_Export!B1389),6,2),RIGHT(TRIM(Raw_Export!B1389),2)),DATE(RIGHT(TRIM(Raw_Export!B1389),4),MATCH(MID(TRIM(Raw_Export!B1389),4,3),{"Jan","Feb","Mar","Apr","May","Jun","Jul","Aug","Sep","Oct","Nov","Dec"},0),LEFT(TRIM(Raw_Export!B1389),2)))))</f>
        <v>46274</v>
      </c>
      <c r="C1389" s="36" t="str">
        <f aca="false">IF(Raw_Export!$A1389="","",IFERROR(VLOOKUP(LOWER(TRIM(Raw_Export!C1389)),Maps!$A$2:$B$20,2,FALSE()),"UNMAPPED"))</f>
        <v>Nairobi CBD</v>
      </c>
      <c r="D1389" s="36" t="str">
        <f aca="false">IF(Raw_Export!$A1389="","",IFERROR(VLOOKUP(LOWER(TRIM(Raw_Export!D1389)),Maps!$G$2:$I$80,2,FALSE()),"UNMAPPED"))</f>
        <v>Cooking Oil 1L</v>
      </c>
      <c r="E1389" s="36" t="str">
        <f aca="false">IF(Raw_Export!$A1389="","",IFERROR(VLOOKUP(LOWER(TRIM(Raw_Export!D1389)),Maps!$G$2:$I$80,3,FALSE()),"UNMAPPED"))</f>
        <v>Staples</v>
      </c>
      <c r="F1389" s="36" t="n">
        <f aca="false">IF(Raw_Export!$A1389="","",IFERROR(VALUE(TRIM(Raw_Export!E1389)),0))</f>
        <v>3</v>
      </c>
      <c r="G1389" s="38" t="n">
        <f aca="false">IF(Raw_Export!$A1389="","",IFERROR(VALUE(SUBSTITUTE(SUBSTITUTE(UPPER(TRIM(Raw_Export!F1389)),"KES",""),",","")),0))</f>
        <v>297</v>
      </c>
      <c r="H1389" s="38" t="n">
        <f aca="false">IF(Raw_Export!$A1389="","",F1389*G1389)</f>
        <v>891</v>
      </c>
      <c r="I1389" s="36" t="str">
        <f aca="false">IF(Raw_Export!$A1389="","",IFERROR(VLOOKUP(LOWER(TRIM(Raw_Export!H1389)),Maps!$D$2:$E$12,2,FALSE()),"Other"))</f>
        <v>Cash</v>
      </c>
      <c r="J1389" s="36" t="str">
        <f aca="false">IF(Raw_Export!$A1389="","",IF(COUNTIF($A$2:A1389,A1389)&gt;1,"Duplicate",""))</f>
        <v/>
      </c>
      <c r="K1389" s="36" t="str">
        <f aca="false">IF(Raw_Export!$A1389="","",IF(J1389="Duplicate","Duplicate",IF(OR(C1389="UNMAPPED",D1389="UNMAPPED"),"Unmapped",IF(F1389=0,"Blank qty",IF(F1389&lt;0,"Return","OK")))))</f>
        <v>OK</v>
      </c>
      <c r="L1389" s="36" t="n">
        <f aca="false">IF(Raw_Export!$A1389="","",IF(OR(K1389="OK",K1389="Return"),1,0))</f>
        <v>1</v>
      </c>
      <c r="M1389" s="37" t="n">
        <f aca="false">IF(Raw_Export!$A1389="","",B1389-WEEKDAY(B1389,2)+1)</f>
        <v>46272</v>
      </c>
    </row>
    <row r="1390" customFormat="false" ht="15" hidden="false" customHeight="false" outlineLevel="0" collapsed="false">
      <c r="A1390" s="36" t="str">
        <f aca="false">IF(Raw_Export!$A1390="","",TRIM(Raw_Export!A1390))</f>
        <v>TXN-101361</v>
      </c>
      <c r="B1390" s="37" t="n">
        <f aca="false">IF(Raw_Export!$A1390="","",IF(ISNUMBER(Raw_Export!B1390),Raw_Export!B1390,IF(MID(TRIM(Raw_Export!B1390),5,1)="-",DATE(LEFT(TRIM(Raw_Export!B1390),4),MID(TRIM(Raw_Export!B1390),6,2),RIGHT(TRIM(Raw_Export!B1390),2)),DATE(RIGHT(TRIM(Raw_Export!B1390),4),MATCH(MID(TRIM(Raw_Export!B1390),4,3),{"Jan","Feb","Mar","Apr","May","Jun","Jul","Aug","Sep","Oct","Nov","Dec"},0),LEFT(TRIM(Raw_Export!B1390),2)))))</f>
        <v>46274</v>
      </c>
      <c r="C1390" s="36" t="str">
        <f aca="false">IF(Raw_Export!$A1390="","",IFERROR(VLOOKUP(LOWER(TRIM(Raw_Export!C1390)),Maps!$A$2:$B$20,2,FALSE()),"UNMAPPED"))</f>
        <v>Westlands</v>
      </c>
      <c r="D1390" s="36" t="str">
        <f aca="false">IF(Raw_Export!$A1390="","",IFERROR(VLOOKUP(LOWER(TRIM(Raw_Export!D1390)),Maps!$G$2:$I$80,2,FALSE()),"UNMAPPED"))</f>
        <v>Spaghetti 400g</v>
      </c>
      <c r="E1390" s="36" t="str">
        <f aca="false">IF(Raw_Export!$A1390="","",IFERROR(VLOOKUP(LOWER(TRIM(Raw_Export!D1390)),Maps!$G$2:$I$80,3,FALSE()),"UNMAPPED"))</f>
        <v>Staples</v>
      </c>
      <c r="F1390" s="36" t="n">
        <f aca="false">IF(Raw_Export!$A1390="","",IFERROR(VALUE(TRIM(Raw_Export!E1390)),0))</f>
        <v>6</v>
      </c>
      <c r="G1390" s="38" t="n">
        <f aca="false">IF(Raw_Export!$A1390="","",IFERROR(VALUE(SUBSTITUTE(SUBSTITUTE(UPPER(TRIM(Raw_Export!F1390)),"KES",""),",","")),0))</f>
        <v>110</v>
      </c>
      <c r="H1390" s="38" t="n">
        <f aca="false">IF(Raw_Export!$A1390="","",F1390*G1390)</f>
        <v>660</v>
      </c>
      <c r="I1390" s="36" t="str">
        <f aca="false">IF(Raw_Export!$A1390="","",IFERROR(VLOOKUP(LOWER(TRIM(Raw_Export!H1390)),Maps!$D$2:$E$12,2,FALSE()),"Other"))</f>
        <v>M-Pesa</v>
      </c>
      <c r="J1390" s="36" t="str">
        <f aca="false">IF(Raw_Export!$A1390="","",IF(COUNTIF($A$2:A1390,A1390)&gt;1,"Duplicate",""))</f>
        <v/>
      </c>
      <c r="K1390" s="36" t="str">
        <f aca="false">IF(Raw_Export!$A1390="","",IF(J1390="Duplicate","Duplicate",IF(OR(C1390="UNMAPPED",D1390="UNMAPPED"),"Unmapped",IF(F1390=0,"Blank qty",IF(F1390&lt;0,"Return","OK")))))</f>
        <v>OK</v>
      </c>
      <c r="L1390" s="36" t="n">
        <f aca="false">IF(Raw_Export!$A1390="","",IF(OR(K1390="OK",K1390="Return"),1,0))</f>
        <v>1</v>
      </c>
      <c r="M1390" s="37" t="n">
        <f aca="false">IF(Raw_Export!$A1390="","",B1390-WEEKDAY(B1390,2)+1)</f>
        <v>46272</v>
      </c>
    </row>
    <row r="1391" customFormat="false" ht="15" hidden="false" customHeight="false" outlineLevel="0" collapsed="false">
      <c r="A1391" s="36" t="str">
        <f aca="false">IF(Raw_Export!$A1391="","",TRIM(Raw_Export!A1391))</f>
        <v>TXN-101362</v>
      </c>
      <c r="B1391" s="37" t="n">
        <f aca="false">IF(Raw_Export!$A1391="","",IF(ISNUMBER(Raw_Export!B1391),Raw_Export!B1391,IF(MID(TRIM(Raw_Export!B1391),5,1)="-",DATE(LEFT(TRIM(Raw_Export!B1391),4),MID(TRIM(Raw_Export!B1391),6,2),RIGHT(TRIM(Raw_Export!B1391),2)),DATE(RIGHT(TRIM(Raw_Export!B1391),4),MATCH(MID(TRIM(Raw_Export!B1391),4,3),{"Jan","Feb","Mar","Apr","May","Jun","Jul","Aug","Sep","Oct","Nov","Dec"},0),LEFT(TRIM(Raw_Export!B1391),2)))))</f>
        <v>46274</v>
      </c>
      <c r="C1391" s="36" t="str">
        <f aca="false">IF(Raw_Export!$A1391="","",IFERROR(VLOOKUP(LOWER(TRIM(Raw_Export!C1391)),Maps!$A$2:$B$20,2,FALSE()),"UNMAPPED"))</f>
        <v>Westlands</v>
      </c>
      <c r="D1391" s="36" t="str">
        <f aca="false">IF(Raw_Export!$A1391="","",IFERROR(VLOOKUP(LOWER(TRIM(Raw_Export!D1391)),Maps!$G$2:$I$80,2,FALSE()),"UNMAPPED"))</f>
        <v>Spaghetti 400g</v>
      </c>
      <c r="E1391" s="36" t="str">
        <f aca="false">IF(Raw_Export!$A1391="","",IFERROR(VLOOKUP(LOWER(TRIM(Raw_Export!D1391)),Maps!$G$2:$I$80,3,FALSE()),"UNMAPPED"))</f>
        <v>Staples</v>
      </c>
      <c r="F1391" s="36" t="n">
        <f aca="false">IF(Raw_Export!$A1391="","",IFERROR(VALUE(TRIM(Raw_Export!E1391)),0))</f>
        <v>1</v>
      </c>
      <c r="G1391" s="38" t="n">
        <f aca="false">IF(Raw_Export!$A1391="","",IFERROR(VALUE(SUBSTITUTE(SUBSTITUTE(UPPER(TRIM(Raw_Export!F1391)),"KES",""),",","")),0))</f>
        <v>110</v>
      </c>
      <c r="H1391" s="38" t="n">
        <f aca="false">IF(Raw_Export!$A1391="","",F1391*G1391)</f>
        <v>110</v>
      </c>
      <c r="I1391" s="36" t="str">
        <f aca="false">IF(Raw_Export!$A1391="","",IFERROR(VLOOKUP(LOWER(TRIM(Raw_Export!H1391)),Maps!$D$2:$E$12,2,FALSE()),"Other"))</f>
        <v>M-Pesa</v>
      </c>
      <c r="J1391" s="36" t="str">
        <f aca="false">IF(Raw_Export!$A1391="","",IF(COUNTIF($A$2:A1391,A1391)&gt;1,"Duplicate",""))</f>
        <v/>
      </c>
      <c r="K1391" s="36" t="str">
        <f aca="false">IF(Raw_Export!$A1391="","",IF(J1391="Duplicate","Duplicate",IF(OR(C1391="UNMAPPED",D1391="UNMAPPED"),"Unmapped",IF(F1391=0,"Blank qty",IF(F1391&lt;0,"Return","OK")))))</f>
        <v>OK</v>
      </c>
      <c r="L1391" s="36" t="n">
        <f aca="false">IF(Raw_Export!$A1391="","",IF(OR(K1391="OK",K1391="Return"),1,0))</f>
        <v>1</v>
      </c>
      <c r="M1391" s="37" t="n">
        <f aca="false">IF(Raw_Export!$A1391="","",B1391-WEEKDAY(B1391,2)+1)</f>
        <v>46272</v>
      </c>
    </row>
    <row r="1392" customFormat="false" ht="15" hidden="false" customHeight="false" outlineLevel="0" collapsed="false">
      <c r="A1392" s="36" t="str">
        <f aca="false">IF(Raw_Export!$A1392="","",TRIM(Raw_Export!A1392))</f>
        <v>TXN-101363</v>
      </c>
      <c r="B1392" s="37" t="n">
        <f aca="false">IF(Raw_Export!$A1392="","",IF(ISNUMBER(Raw_Export!B1392),Raw_Export!B1392,IF(MID(TRIM(Raw_Export!B1392),5,1)="-",DATE(LEFT(TRIM(Raw_Export!B1392),4),MID(TRIM(Raw_Export!B1392),6,2),RIGHT(TRIM(Raw_Export!B1392),2)),DATE(RIGHT(TRIM(Raw_Export!B1392),4),MATCH(MID(TRIM(Raw_Export!B1392),4,3),{"Jan","Feb","Mar","Apr","May","Jun","Jul","Aug","Sep","Oct","Nov","Dec"},0),LEFT(TRIM(Raw_Export!B1392),2)))))</f>
        <v>46274</v>
      </c>
      <c r="C1392" s="36" t="str">
        <f aca="false">IF(Raw_Export!$A1392="","",IFERROR(VLOOKUP(LOWER(TRIM(Raw_Export!C1392)),Maps!$A$2:$B$20,2,FALSE()),"UNMAPPED"))</f>
        <v>Westlands</v>
      </c>
      <c r="D1392" s="36" t="str">
        <f aca="false">IF(Raw_Export!$A1392="","",IFERROR(VLOOKUP(LOWER(TRIM(Raw_Export!D1392)),Maps!$G$2:$I$80,2,FALSE()),"UNMAPPED"))</f>
        <v>Soda 500ml</v>
      </c>
      <c r="E1392" s="36" t="str">
        <f aca="false">IF(Raw_Export!$A1392="","",IFERROR(VLOOKUP(LOWER(TRIM(Raw_Export!D1392)),Maps!$G$2:$I$80,3,FALSE()),"UNMAPPED"))</f>
        <v>Beverages</v>
      </c>
      <c r="F1392" s="36" t="n">
        <f aca="false">IF(Raw_Export!$A1392="","",IFERROR(VALUE(TRIM(Raw_Export!E1392)),0))</f>
        <v>2</v>
      </c>
      <c r="G1392" s="38" t="n">
        <f aca="false">IF(Raw_Export!$A1392="","",IFERROR(VALUE(SUBSTITUTE(SUBSTITUTE(UPPER(TRIM(Raw_Export!F1392)),"KES",""),",","")),0))</f>
        <v>60</v>
      </c>
      <c r="H1392" s="38" t="n">
        <f aca="false">IF(Raw_Export!$A1392="","",F1392*G1392)</f>
        <v>120</v>
      </c>
      <c r="I1392" s="36" t="str">
        <f aca="false">IF(Raw_Export!$A1392="","",IFERROR(VLOOKUP(LOWER(TRIM(Raw_Export!H1392)),Maps!$D$2:$E$12,2,FALSE()),"Other"))</f>
        <v>Card</v>
      </c>
      <c r="J1392" s="36" t="str">
        <f aca="false">IF(Raw_Export!$A1392="","",IF(COUNTIF($A$2:A1392,A1392)&gt;1,"Duplicate",""))</f>
        <v/>
      </c>
      <c r="K1392" s="36" t="str">
        <f aca="false">IF(Raw_Export!$A1392="","",IF(J1392="Duplicate","Duplicate",IF(OR(C1392="UNMAPPED",D1392="UNMAPPED"),"Unmapped",IF(F1392=0,"Blank qty",IF(F1392&lt;0,"Return","OK")))))</f>
        <v>OK</v>
      </c>
      <c r="L1392" s="36" t="n">
        <f aca="false">IF(Raw_Export!$A1392="","",IF(OR(K1392="OK",K1392="Return"),1,0))</f>
        <v>1</v>
      </c>
      <c r="M1392" s="37" t="n">
        <f aca="false">IF(Raw_Export!$A1392="","",B1392-WEEKDAY(B1392,2)+1)</f>
        <v>46272</v>
      </c>
    </row>
    <row r="1393" customFormat="false" ht="15" hidden="false" customHeight="false" outlineLevel="0" collapsed="false">
      <c r="A1393" s="36" t="str">
        <f aca="false">IF(Raw_Export!$A1393="","",TRIM(Raw_Export!A1393))</f>
        <v>TXN-101364</v>
      </c>
      <c r="B1393" s="37" t="n">
        <f aca="false">IF(Raw_Export!$A1393="","",IF(ISNUMBER(Raw_Export!B1393),Raw_Export!B1393,IF(MID(TRIM(Raw_Export!B1393),5,1)="-",DATE(LEFT(TRIM(Raw_Export!B1393),4),MID(TRIM(Raw_Export!B1393),6,2),RIGHT(TRIM(Raw_Export!B1393),2)),DATE(RIGHT(TRIM(Raw_Export!B1393),4),MATCH(MID(TRIM(Raw_Export!B1393),4,3),{"Jan","Feb","Mar","Apr","May","Jun","Jul","Aug","Sep","Oct","Nov","Dec"},0),LEFT(TRIM(Raw_Export!B1393),2)))))</f>
        <v>46274</v>
      </c>
      <c r="C1393" s="36" t="str">
        <f aca="false">IF(Raw_Export!$A1393="","",IFERROR(VLOOKUP(LOWER(TRIM(Raw_Export!C1393)),Maps!$A$2:$B$20,2,FALSE()),"UNMAPPED"))</f>
        <v>Westlands</v>
      </c>
      <c r="D1393" s="36" t="str">
        <f aca="false">IF(Raw_Export!$A1393="","",IFERROR(VLOOKUP(LOWER(TRIM(Raw_Export!D1393)),Maps!$G$2:$I$80,2,FALSE()),"UNMAPPED"))</f>
        <v>Salt 500g</v>
      </c>
      <c r="E1393" s="36" t="str">
        <f aca="false">IF(Raw_Export!$A1393="","",IFERROR(VLOOKUP(LOWER(TRIM(Raw_Export!D1393)),Maps!$G$2:$I$80,3,FALSE()),"UNMAPPED"))</f>
        <v>Staples</v>
      </c>
      <c r="F1393" s="36" t="n">
        <f aca="false">IF(Raw_Export!$A1393="","",IFERROR(VALUE(TRIM(Raw_Export!E1393)),0))</f>
        <v>2</v>
      </c>
      <c r="G1393" s="38" t="n">
        <f aca="false">IF(Raw_Export!$A1393="","",IFERROR(VALUE(SUBSTITUTE(SUBSTITUTE(UPPER(TRIM(Raw_Export!F1393)),"KES",""),",","")),0))</f>
        <v>40</v>
      </c>
      <c r="H1393" s="38" t="n">
        <f aca="false">IF(Raw_Export!$A1393="","",F1393*G1393)</f>
        <v>80</v>
      </c>
      <c r="I1393" s="36" t="str">
        <f aca="false">IF(Raw_Export!$A1393="","",IFERROR(VLOOKUP(LOWER(TRIM(Raw_Export!H1393)),Maps!$D$2:$E$12,2,FALSE()),"Other"))</f>
        <v>Cash</v>
      </c>
      <c r="J1393" s="36" t="str">
        <f aca="false">IF(Raw_Export!$A1393="","",IF(COUNTIF($A$2:A1393,A1393)&gt;1,"Duplicate",""))</f>
        <v/>
      </c>
      <c r="K1393" s="36" t="str">
        <f aca="false">IF(Raw_Export!$A1393="","",IF(J1393="Duplicate","Duplicate",IF(OR(C1393="UNMAPPED",D1393="UNMAPPED"),"Unmapped",IF(F1393=0,"Blank qty",IF(F1393&lt;0,"Return","OK")))))</f>
        <v>OK</v>
      </c>
      <c r="L1393" s="36" t="n">
        <f aca="false">IF(Raw_Export!$A1393="","",IF(OR(K1393="OK",K1393="Return"),1,0))</f>
        <v>1</v>
      </c>
      <c r="M1393" s="37" t="n">
        <f aca="false">IF(Raw_Export!$A1393="","",B1393-WEEKDAY(B1393,2)+1)</f>
        <v>46272</v>
      </c>
    </row>
    <row r="1394" customFormat="false" ht="15" hidden="false" customHeight="false" outlineLevel="0" collapsed="false">
      <c r="A1394" s="36" t="str">
        <f aca="false">IF(Raw_Export!$A1394="","",TRIM(Raw_Export!A1394))</f>
        <v>TXN-101365</v>
      </c>
      <c r="B1394" s="37" t="n">
        <f aca="false">IF(Raw_Export!$A1394="","",IF(ISNUMBER(Raw_Export!B1394),Raw_Export!B1394,IF(MID(TRIM(Raw_Export!B1394),5,1)="-",DATE(LEFT(TRIM(Raw_Export!B1394),4),MID(TRIM(Raw_Export!B1394),6,2),RIGHT(TRIM(Raw_Export!B1394),2)),DATE(RIGHT(TRIM(Raw_Export!B1394),4),MATCH(MID(TRIM(Raw_Export!B1394),4,3),{"Jan","Feb","Mar","Apr","May","Jun","Jul","Aug","Sep","Oct","Nov","Dec"},0),LEFT(TRIM(Raw_Export!B1394),2)))))</f>
        <v>46274</v>
      </c>
      <c r="C1394" s="36" t="str">
        <f aca="false">IF(Raw_Export!$A1394="","",IFERROR(VLOOKUP(LOWER(TRIM(Raw_Export!C1394)),Maps!$A$2:$B$20,2,FALSE()),"UNMAPPED"))</f>
        <v>Westlands</v>
      </c>
      <c r="D1394" s="36" t="str">
        <f aca="false">IF(Raw_Export!$A1394="","",IFERROR(VLOOKUP(LOWER(TRIM(Raw_Export!D1394)),Maps!$G$2:$I$80,2,FALSE()),"UNMAPPED"))</f>
        <v>Body Lotion 400ml</v>
      </c>
      <c r="E1394" s="36" t="str">
        <f aca="false">IF(Raw_Export!$A1394="","",IFERROR(VLOOKUP(LOWER(TRIM(Raw_Export!D1394)),Maps!$G$2:$I$80,3,FALSE()),"UNMAPPED"))</f>
        <v>Personal Care</v>
      </c>
      <c r="F1394" s="36" t="n">
        <f aca="false">IF(Raw_Export!$A1394="","",IFERROR(VALUE(TRIM(Raw_Export!E1394)),0))</f>
        <v>4</v>
      </c>
      <c r="G1394" s="38" t="n">
        <f aca="false">IF(Raw_Export!$A1394="","",IFERROR(VALUE(SUBSTITUTE(SUBSTITUTE(UPPER(TRIM(Raw_Export!F1394)),"KES",""),",","")),0))</f>
        <v>420</v>
      </c>
      <c r="H1394" s="38" t="n">
        <f aca="false">IF(Raw_Export!$A1394="","",F1394*G1394)</f>
        <v>1680</v>
      </c>
      <c r="I1394" s="36" t="str">
        <f aca="false">IF(Raw_Export!$A1394="","",IFERROR(VLOOKUP(LOWER(TRIM(Raw_Export!H1394)),Maps!$D$2:$E$12,2,FALSE()),"Other"))</f>
        <v>M-Pesa</v>
      </c>
      <c r="J1394" s="36" t="str">
        <f aca="false">IF(Raw_Export!$A1394="","",IF(COUNTIF($A$2:A1394,A1394)&gt;1,"Duplicate",""))</f>
        <v/>
      </c>
      <c r="K1394" s="36" t="str">
        <f aca="false">IF(Raw_Export!$A1394="","",IF(J1394="Duplicate","Duplicate",IF(OR(C1394="UNMAPPED",D1394="UNMAPPED"),"Unmapped",IF(F1394=0,"Blank qty",IF(F1394&lt;0,"Return","OK")))))</f>
        <v>OK</v>
      </c>
      <c r="L1394" s="36" t="n">
        <f aca="false">IF(Raw_Export!$A1394="","",IF(OR(K1394="OK",K1394="Return"),1,0))</f>
        <v>1</v>
      </c>
      <c r="M1394" s="37" t="n">
        <f aca="false">IF(Raw_Export!$A1394="","",B1394-WEEKDAY(B1394,2)+1)</f>
        <v>46272</v>
      </c>
    </row>
    <row r="1395" customFormat="false" ht="15" hidden="false" customHeight="false" outlineLevel="0" collapsed="false">
      <c r="A1395" s="36" t="str">
        <f aca="false">IF(Raw_Export!$A1395="","",TRIM(Raw_Export!A1395))</f>
        <v>TXN-101366</v>
      </c>
      <c r="B1395" s="37" t="n">
        <f aca="false">IF(Raw_Export!$A1395="","",IF(ISNUMBER(Raw_Export!B1395),Raw_Export!B1395,IF(MID(TRIM(Raw_Export!B1395),5,1)="-",DATE(LEFT(TRIM(Raw_Export!B1395),4),MID(TRIM(Raw_Export!B1395),6,2),RIGHT(TRIM(Raw_Export!B1395),2)),DATE(RIGHT(TRIM(Raw_Export!B1395),4),MATCH(MID(TRIM(Raw_Export!B1395),4,3),{"Jan","Feb","Mar","Apr","May","Jun","Jul","Aug","Sep","Oct","Nov","Dec"},0),LEFT(TRIM(Raw_Export!B1395),2)))))</f>
        <v>46274</v>
      </c>
      <c r="C1395" s="36" t="str">
        <f aca="false">IF(Raw_Export!$A1395="","",IFERROR(VLOOKUP(LOWER(TRIM(Raw_Export!C1395)),Maps!$A$2:$B$20,2,FALSE()),"UNMAPPED"))</f>
        <v>Westlands</v>
      </c>
      <c r="D1395" s="36" t="str">
        <f aca="false">IF(Raw_Export!$A1395="","",IFERROR(VLOOKUP(LOWER(TRIM(Raw_Export!D1395)),Maps!$G$2:$I$80,2,FALSE()),"UNMAPPED"))</f>
        <v>Spaghetti 400g</v>
      </c>
      <c r="E1395" s="36" t="str">
        <f aca="false">IF(Raw_Export!$A1395="","",IFERROR(VLOOKUP(LOWER(TRIM(Raw_Export!D1395)),Maps!$G$2:$I$80,3,FALSE()),"UNMAPPED"))</f>
        <v>Staples</v>
      </c>
      <c r="F1395" s="36" t="n">
        <f aca="false">IF(Raw_Export!$A1395="","",IFERROR(VALUE(TRIM(Raw_Export!E1395)),0))</f>
        <v>6</v>
      </c>
      <c r="G1395" s="38" t="n">
        <f aca="false">IF(Raw_Export!$A1395="","",IFERROR(VALUE(SUBSTITUTE(SUBSTITUTE(UPPER(TRIM(Raw_Export!F1395)),"KES",""),",","")),0))</f>
        <v>110</v>
      </c>
      <c r="H1395" s="38" t="n">
        <f aca="false">IF(Raw_Export!$A1395="","",F1395*G1395)</f>
        <v>660</v>
      </c>
      <c r="I1395" s="36" t="str">
        <f aca="false">IF(Raw_Export!$A1395="","",IFERROR(VLOOKUP(LOWER(TRIM(Raw_Export!H1395)),Maps!$D$2:$E$12,2,FALSE()),"Other"))</f>
        <v>M-Pesa</v>
      </c>
      <c r="J1395" s="36" t="str">
        <f aca="false">IF(Raw_Export!$A1395="","",IF(COUNTIF($A$2:A1395,A1395)&gt;1,"Duplicate",""))</f>
        <v/>
      </c>
      <c r="K1395" s="36" t="str">
        <f aca="false">IF(Raw_Export!$A1395="","",IF(J1395="Duplicate","Duplicate",IF(OR(C1395="UNMAPPED",D1395="UNMAPPED"),"Unmapped",IF(F1395=0,"Blank qty",IF(F1395&lt;0,"Return","OK")))))</f>
        <v>OK</v>
      </c>
      <c r="L1395" s="36" t="n">
        <f aca="false">IF(Raw_Export!$A1395="","",IF(OR(K1395="OK",K1395="Return"),1,0))</f>
        <v>1</v>
      </c>
      <c r="M1395" s="37" t="n">
        <f aca="false">IF(Raw_Export!$A1395="","",B1395-WEEKDAY(B1395,2)+1)</f>
        <v>46272</v>
      </c>
    </row>
    <row r="1396" customFormat="false" ht="15" hidden="false" customHeight="false" outlineLevel="0" collapsed="false">
      <c r="A1396" s="36" t="str">
        <f aca="false">IF(Raw_Export!$A1396="","",TRIM(Raw_Export!A1396))</f>
        <v>TXN-101367</v>
      </c>
      <c r="B1396" s="37" t="n">
        <f aca="false">IF(Raw_Export!$A1396="","",IF(ISNUMBER(Raw_Export!B1396),Raw_Export!B1396,IF(MID(TRIM(Raw_Export!B1396),5,1)="-",DATE(LEFT(TRIM(Raw_Export!B1396),4),MID(TRIM(Raw_Export!B1396),6,2),RIGHT(TRIM(Raw_Export!B1396),2)),DATE(RIGHT(TRIM(Raw_Export!B1396),4),MATCH(MID(TRIM(Raw_Export!B1396),4,3),{"Jan","Feb","Mar","Apr","May","Jun","Jul","Aug","Sep","Oct","Nov","Dec"},0),LEFT(TRIM(Raw_Export!B1396),2)))))</f>
        <v>46274</v>
      </c>
      <c r="C1396" s="36" t="str">
        <f aca="false">IF(Raw_Export!$A1396="","",IFERROR(VLOOKUP(LOWER(TRIM(Raw_Export!C1396)),Maps!$A$2:$B$20,2,FALSE()),"UNMAPPED"))</f>
        <v>Westlands</v>
      </c>
      <c r="D1396" s="36" t="str">
        <f aca="false">IF(Raw_Export!$A1396="","",IFERROR(VLOOKUP(LOWER(TRIM(Raw_Export!D1396)),Maps!$G$2:$I$80,2,FALSE()),"UNMAPPED"))</f>
        <v>UNMAPPED</v>
      </c>
      <c r="E1396" s="36" t="str">
        <f aca="false">IF(Raw_Export!$A1396="","",IFERROR(VLOOKUP(LOWER(TRIM(Raw_Export!D1396)),Maps!$G$2:$I$80,3,FALSE()),"UNMAPPED"))</f>
        <v>UNMAPPED</v>
      </c>
      <c r="F1396" s="36" t="n">
        <f aca="false">IF(Raw_Export!$A1396="","",IFERROR(VALUE(TRIM(Raw_Export!E1396)),0))</f>
        <v>1</v>
      </c>
      <c r="G1396" s="38" t="n">
        <f aca="false">IF(Raw_Export!$A1396="","",IFERROR(VALUE(SUBSTITUTE(SUBSTITUTE(UPPER(TRIM(Raw_Export!F1396)),"KES",""),",","")),0))</f>
        <v>36</v>
      </c>
      <c r="H1396" s="38" t="n">
        <f aca="false">IF(Raw_Export!$A1396="","",F1396*G1396)</f>
        <v>36</v>
      </c>
      <c r="I1396" s="36" t="str">
        <f aca="false">IF(Raw_Export!$A1396="","",IFERROR(VLOOKUP(LOWER(TRIM(Raw_Export!H1396)),Maps!$D$2:$E$12,2,FALSE()),"Other"))</f>
        <v>Cash</v>
      </c>
      <c r="J1396" s="36" t="str">
        <f aca="false">IF(Raw_Export!$A1396="","",IF(COUNTIF($A$2:A1396,A1396)&gt;1,"Duplicate",""))</f>
        <v/>
      </c>
      <c r="K1396" s="36" t="str">
        <f aca="false">IF(Raw_Export!$A1396="","",IF(J1396="Duplicate","Duplicate",IF(OR(C1396="UNMAPPED",D1396="UNMAPPED"),"Unmapped",IF(F1396=0,"Blank qty",IF(F1396&lt;0,"Return","OK")))))</f>
        <v>Unmapped</v>
      </c>
      <c r="L1396" s="36" t="n">
        <f aca="false">IF(Raw_Export!$A1396="","",IF(OR(K1396="OK",K1396="Return"),1,0))</f>
        <v>0</v>
      </c>
      <c r="M1396" s="37" t="n">
        <f aca="false">IF(Raw_Export!$A1396="","",B1396-WEEKDAY(B1396,2)+1)</f>
        <v>46272</v>
      </c>
    </row>
    <row r="1397" customFormat="false" ht="15" hidden="false" customHeight="false" outlineLevel="0" collapsed="false">
      <c r="A1397" s="36" t="str">
        <f aca="false">IF(Raw_Export!$A1397="","",TRIM(Raw_Export!A1397))</f>
        <v>TXN-101368</v>
      </c>
      <c r="B1397" s="37" t="n">
        <f aca="false">IF(Raw_Export!$A1397="","",IF(ISNUMBER(Raw_Export!B1397),Raw_Export!B1397,IF(MID(TRIM(Raw_Export!B1397),5,1)="-",DATE(LEFT(TRIM(Raw_Export!B1397),4),MID(TRIM(Raw_Export!B1397),6,2),RIGHT(TRIM(Raw_Export!B1397),2)),DATE(RIGHT(TRIM(Raw_Export!B1397),4),MATCH(MID(TRIM(Raw_Export!B1397),4,3),{"Jan","Feb","Mar","Apr","May","Jun","Jul","Aug","Sep","Oct","Nov","Dec"},0),LEFT(TRIM(Raw_Export!B1397),2)))))</f>
        <v>46274</v>
      </c>
      <c r="C1397" s="36" t="str">
        <f aca="false">IF(Raw_Export!$A1397="","",IFERROR(VLOOKUP(LOWER(TRIM(Raw_Export!C1397)),Maps!$A$2:$B$20,2,FALSE()),"UNMAPPED"))</f>
        <v>Westlands</v>
      </c>
      <c r="D1397" s="36" t="str">
        <f aca="false">IF(Raw_Export!$A1397="","",IFERROR(VLOOKUP(LOWER(TRIM(Raw_Export!D1397)),Maps!$G$2:$I$80,2,FALSE()),"UNMAPPED"))</f>
        <v>Washing Powder 1kg</v>
      </c>
      <c r="E1397" s="36" t="str">
        <f aca="false">IF(Raw_Export!$A1397="","",IFERROR(VLOOKUP(LOWER(TRIM(Raw_Export!D1397)),Maps!$G$2:$I$80,3,FALSE()),"UNMAPPED"))</f>
        <v>Household</v>
      </c>
      <c r="F1397" s="36" t="n">
        <f aca="false">IF(Raw_Export!$A1397="","",IFERROR(VALUE(TRIM(Raw_Export!E1397)),0))</f>
        <v>1</v>
      </c>
      <c r="G1397" s="38" t="n">
        <f aca="false">IF(Raw_Export!$A1397="","",IFERROR(VALUE(SUBSTITUTE(SUBSTITUTE(UPPER(TRIM(Raw_Export!F1397)),"KES",""),",","")),0))</f>
        <v>280</v>
      </c>
      <c r="H1397" s="38" t="n">
        <f aca="false">IF(Raw_Export!$A1397="","",F1397*G1397)</f>
        <v>280</v>
      </c>
      <c r="I1397" s="36" t="str">
        <f aca="false">IF(Raw_Export!$A1397="","",IFERROR(VLOOKUP(LOWER(TRIM(Raw_Export!H1397)),Maps!$D$2:$E$12,2,FALSE()),"Other"))</f>
        <v>M-Pesa</v>
      </c>
      <c r="J1397" s="36" t="str">
        <f aca="false">IF(Raw_Export!$A1397="","",IF(COUNTIF($A$2:A1397,A1397)&gt;1,"Duplicate",""))</f>
        <v/>
      </c>
      <c r="K1397" s="36" t="str">
        <f aca="false">IF(Raw_Export!$A1397="","",IF(J1397="Duplicate","Duplicate",IF(OR(C1397="UNMAPPED",D1397="UNMAPPED"),"Unmapped",IF(F1397=0,"Blank qty",IF(F1397&lt;0,"Return","OK")))))</f>
        <v>OK</v>
      </c>
      <c r="L1397" s="36" t="n">
        <f aca="false">IF(Raw_Export!$A1397="","",IF(OR(K1397="OK",K1397="Return"),1,0))</f>
        <v>1</v>
      </c>
      <c r="M1397" s="37" t="n">
        <f aca="false">IF(Raw_Export!$A1397="","",B1397-WEEKDAY(B1397,2)+1)</f>
        <v>46272</v>
      </c>
    </row>
    <row r="1398" customFormat="false" ht="15" hidden="false" customHeight="false" outlineLevel="0" collapsed="false">
      <c r="A1398" s="36" t="str">
        <f aca="false">IF(Raw_Export!$A1398="","",TRIM(Raw_Export!A1398))</f>
        <v>TXN-101369</v>
      </c>
      <c r="B1398" s="37" t="n">
        <f aca="false">IF(Raw_Export!$A1398="","",IF(ISNUMBER(Raw_Export!B1398),Raw_Export!B1398,IF(MID(TRIM(Raw_Export!B1398),5,1)="-",DATE(LEFT(TRIM(Raw_Export!B1398),4),MID(TRIM(Raw_Export!B1398),6,2),RIGHT(TRIM(Raw_Export!B1398),2)),DATE(RIGHT(TRIM(Raw_Export!B1398),4),MATCH(MID(TRIM(Raw_Export!B1398),4,3),{"Jan","Feb","Mar","Apr","May","Jun","Jul","Aug","Sep","Oct","Nov","Dec"},0),LEFT(TRIM(Raw_Export!B1398),2)))))</f>
        <v>46274</v>
      </c>
      <c r="C1398" s="36" t="str">
        <f aca="false">IF(Raw_Export!$A1398="","",IFERROR(VLOOKUP(LOWER(TRIM(Raw_Export!C1398)),Maps!$A$2:$B$20,2,FALSE()),"UNMAPPED"))</f>
        <v>Westlands</v>
      </c>
      <c r="D1398" s="36" t="str">
        <f aca="false">IF(Raw_Export!$A1398="","",IFERROR(VLOOKUP(LOWER(TRIM(Raw_Export!D1398)),Maps!$G$2:$I$80,2,FALSE()),"UNMAPPED"))</f>
        <v>Bath Soap 175g</v>
      </c>
      <c r="E1398" s="36" t="str">
        <f aca="false">IF(Raw_Export!$A1398="","",IFERROR(VLOOKUP(LOWER(TRIM(Raw_Export!D1398)),Maps!$G$2:$I$80,3,FALSE()),"UNMAPPED"))</f>
        <v>Personal Care</v>
      </c>
      <c r="F1398" s="36" t="n">
        <f aca="false">IF(Raw_Export!$A1398="","",IFERROR(VALUE(TRIM(Raw_Export!E1398)),0))</f>
        <v>1</v>
      </c>
      <c r="G1398" s="38" t="n">
        <f aca="false">IF(Raw_Export!$A1398="","",IFERROR(VALUE(SUBSTITUTE(SUBSTITUTE(UPPER(TRIM(Raw_Export!F1398)),"KES",""),",","")),0))</f>
        <v>85</v>
      </c>
      <c r="H1398" s="38" t="n">
        <f aca="false">IF(Raw_Export!$A1398="","",F1398*G1398)</f>
        <v>85</v>
      </c>
      <c r="I1398" s="36" t="str">
        <f aca="false">IF(Raw_Export!$A1398="","",IFERROR(VLOOKUP(LOWER(TRIM(Raw_Export!H1398)),Maps!$D$2:$E$12,2,FALSE()),"Other"))</f>
        <v>M-Pesa</v>
      </c>
      <c r="J1398" s="36" t="str">
        <f aca="false">IF(Raw_Export!$A1398="","",IF(COUNTIF($A$2:A1398,A1398)&gt;1,"Duplicate",""))</f>
        <v/>
      </c>
      <c r="K1398" s="36" t="str">
        <f aca="false">IF(Raw_Export!$A1398="","",IF(J1398="Duplicate","Duplicate",IF(OR(C1398="UNMAPPED",D1398="UNMAPPED"),"Unmapped",IF(F1398=0,"Blank qty",IF(F1398&lt;0,"Return","OK")))))</f>
        <v>OK</v>
      </c>
      <c r="L1398" s="36" t="n">
        <f aca="false">IF(Raw_Export!$A1398="","",IF(OR(K1398="OK",K1398="Return"),1,0))</f>
        <v>1</v>
      </c>
      <c r="M1398" s="37" t="n">
        <f aca="false">IF(Raw_Export!$A1398="","",B1398-WEEKDAY(B1398,2)+1)</f>
        <v>46272</v>
      </c>
    </row>
    <row r="1399" customFormat="false" ht="15" hidden="false" customHeight="false" outlineLevel="0" collapsed="false">
      <c r="A1399" s="36" t="str">
        <f aca="false">IF(Raw_Export!$A1399="","",TRIM(Raw_Export!A1399))</f>
        <v>TXN-101370</v>
      </c>
      <c r="B1399" s="37" t="n">
        <f aca="false">IF(Raw_Export!$A1399="","",IF(ISNUMBER(Raw_Export!B1399),Raw_Export!B1399,IF(MID(TRIM(Raw_Export!B1399),5,1)="-",DATE(LEFT(TRIM(Raw_Export!B1399),4),MID(TRIM(Raw_Export!B1399),6,2),RIGHT(TRIM(Raw_Export!B1399),2)),DATE(RIGHT(TRIM(Raw_Export!B1399),4),MATCH(MID(TRIM(Raw_Export!B1399),4,3),{"Jan","Feb","Mar","Apr","May","Jun","Jul","Aug","Sep","Oct","Nov","Dec"},0),LEFT(TRIM(Raw_Export!B1399),2)))))</f>
        <v>46274</v>
      </c>
      <c r="C1399" s="36" t="str">
        <f aca="false">IF(Raw_Export!$A1399="","",IFERROR(VLOOKUP(LOWER(TRIM(Raw_Export!C1399)),Maps!$A$2:$B$20,2,FALSE()),"UNMAPPED"))</f>
        <v>Westlands</v>
      </c>
      <c r="D1399" s="36" t="str">
        <f aca="false">IF(Raw_Export!$A1399="","",IFERROR(VLOOKUP(LOWER(TRIM(Raw_Export!D1399)),Maps!$G$2:$I$80,2,FALSE()),"UNMAPPED"))</f>
        <v>Salt 500g</v>
      </c>
      <c r="E1399" s="36" t="str">
        <f aca="false">IF(Raw_Export!$A1399="","",IFERROR(VLOOKUP(LOWER(TRIM(Raw_Export!D1399)),Maps!$G$2:$I$80,3,FALSE()),"UNMAPPED"))</f>
        <v>Staples</v>
      </c>
      <c r="F1399" s="36" t="n">
        <f aca="false">IF(Raw_Export!$A1399="","",IFERROR(VALUE(TRIM(Raw_Export!E1399)),0))</f>
        <v>2</v>
      </c>
      <c r="G1399" s="38" t="n">
        <f aca="false">IF(Raw_Export!$A1399="","",IFERROR(VALUE(SUBSTITUTE(SUBSTITUTE(UPPER(TRIM(Raw_Export!F1399)),"KES",""),",","")),0))</f>
        <v>36</v>
      </c>
      <c r="H1399" s="38" t="n">
        <f aca="false">IF(Raw_Export!$A1399="","",F1399*G1399)</f>
        <v>72</v>
      </c>
      <c r="I1399" s="36" t="str">
        <f aca="false">IF(Raw_Export!$A1399="","",IFERROR(VLOOKUP(LOWER(TRIM(Raw_Export!H1399)),Maps!$D$2:$E$12,2,FALSE()),"Other"))</f>
        <v>Card</v>
      </c>
      <c r="J1399" s="36" t="str">
        <f aca="false">IF(Raw_Export!$A1399="","",IF(COUNTIF($A$2:A1399,A1399)&gt;1,"Duplicate",""))</f>
        <v/>
      </c>
      <c r="K1399" s="36" t="str">
        <f aca="false">IF(Raw_Export!$A1399="","",IF(J1399="Duplicate","Duplicate",IF(OR(C1399="UNMAPPED",D1399="UNMAPPED"),"Unmapped",IF(F1399=0,"Blank qty",IF(F1399&lt;0,"Return","OK")))))</f>
        <v>OK</v>
      </c>
      <c r="L1399" s="36" t="n">
        <f aca="false">IF(Raw_Export!$A1399="","",IF(OR(K1399="OK",K1399="Return"),1,0))</f>
        <v>1</v>
      </c>
      <c r="M1399" s="37" t="n">
        <f aca="false">IF(Raw_Export!$A1399="","",B1399-WEEKDAY(B1399,2)+1)</f>
        <v>46272</v>
      </c>
    </row>
    <row r="1400" customFormat="false" ht="15" hidden="false" customHeight="false" outlineLevel="0" collapsed="false">
      <c r="A1400" s="36" t="str">
        <f aca="false">IF(Raw_Export!$A1400="","",TRIM(Raw_Export!A1400))</f>
        <v>TXN-101371</v>
      </c>
      <c r="B1400" s="37" t="n">
        <f aca="false">IF(Raw_Export!$A1400="","",IF(ISNUMBER(Raw_Export!B1400),Raw_Export!B1400,IF(MID(TRIM(Raw_Export!B1400),5,1)="-",DATE(LEFT(TRIM(Raw_Export!B1400),4),MID(TRIM(Raw_Export!B1400),6,2),RIGHT(TRIM(Raw_Export!B1400),2)),DATE(RIGHT(TRIM(Raw_Export!B1400),4),MATCH(MID(TRIM(Raw_Export!B1400),4,3),{"Jan","Feb","Mar","Apr","May","Jun","Jul","Aug","Sep","Oct","Nov","Dec"},0),LEFT(TRIM(Raw_Export!B1400),2)))))</f>
        <v>46274</v>
      </c>
      <c r="C1400" s="36" t="str">
        <f aca="false">IF(Raw_Export!$A1400="","",IFERROR(VLOOKUP(LOWER(TRIM(Raw_Export!C1400)),Maps!$A$2:$B$20,2,FALSE()),"UNMAPPED"))</f>
        <v>Westlands</v>
      </c>
      <c r="D1400" s="36" t="str">
        <f aca="false">IF(Raw_Export!$A1400="","",IFERROR(VLOOKUP(LOWER(TRIM(Raw_Export!D1400)),Maps!$G$2:$I$80,2,FALSE()),"UNMAPPED"))</f>
        <v>Matches 10pk</v>
      </c>
      <c r="E1400" s="36" t="str">
        <f aca="false">IF(Raw_Export!$A1400="","",IFERROR(VLOOKUP(LOWER(TRIM(Raw_Export!D1400)),Maps!$G$2:$I$80,3,FALSE()),"UNMAPPED"))</f>
        <v>Household</v>
      </c>
      <c r="F1400" s="36" t="n">
        <f aca="false">IF(Raw_Export!$A1400="","",IFERROR(VALUE(TRIM(Raw_Export!E1400)),0))</f>
        <v>6</v>
      </c>
      <c r="G1400" s="38" t="n">
        <f aca="false">IF(Raw_Export!$A1400="","",IFERROR(VALUE(SUBSTITUTE(SUBSTITUTE(UPPER(TRIM(Raw_Export!F1400)),"KES",""),",","")),0))</f>
        <v>50</v>
      </c>
      <c r="H1400" s="38" t="n">
        <f aca="false">IF(Raw_Export!$A1400="","",F1400*G1400)</f>
        <v>300</v>
      </c>
      <c r="I1400" s="36" t="str">
        <f aca="false">IF(Raw_Export!$A1400="","",IFERROR(VLOOKUP(LOWER(TRIM(Raw_Export!H1400)),Maps!$D$2:$E$12,2,FALSE()),"Other"))</f>
        <v>M-Pesa</v>
      </c>
      <c r="J1400" s="36" t="str">
        <f aca="false">IF(Raw_Export!$A1400="","",IF(COUNTIF($A$2:A1400,A1400)&gt;1,"Duplicate",""))</f>
        <v/>
      </c>
      <c r="K1400" s="36" t="str">
        <f aca="false">IF(Raw_Export!$A1400="","",IF(J1400="Duplicate","Duplicate",IF(OR(C1400="UNMAPPED",D1400="UNMAPPED"),"Unmapped",IF(F1400=0,"Blank qty",IF(F1400&lt;0,"Return","OK")))))</f>
        <v>OK</v>
      </c>
      <c r="L1400" s="36" t="n">
        <f aca="false">IF(Raw_Export!$A1400="","",IF(OR(K1400="OK",K1400="Return"),1,0))</f>
        <v>1</v>
      </c>
      <c r="M1400" s="37" t="n">
        <f aca="false">IF(Raw_Export!$A1400="","",B1400-WEEKDAY(B1400,2)+1)</f>
        <v>46272</v>
      </c>
    </row>
    <row r="1401" customFormat="false" ht="15" hidden="false" customHeight="false" outlineLevel="0" collapsed="false">
      <c r="A1401" s="36" t="str">
        <f aca="false">IF(Raw_Export!$A1401="","",TRIM(Raw_Export!A1401))</f>
        <v>TXN-101372</v>
      </c>
      <c r="B1401" s="37" t="n">
        <f aca="false">IF(Raw_Export!$A1401="","",IF(ISNUMBER(Raw_Export!B1401),Raw_Export!B1401,IF(MID(TRIM(Raw_Export!B1401),5,1)="-",DATE(LEFT(TRIM(Raw_Export!B1401),4),MID(TRIM(Raw_Export!B1401),6,2),RIGHT(TRIM(Raw_Export!B1401),2)),DATE(RIGHT(TRIM(Raw_Export!B1401),4),MATCH(MID(TRIM(Raw_Export!B1401),4,3),{"Jan","Feb","Mar","Apr","May","Jun","Jul","Aug","Sep","Oct","Nov","Dec"},0),LEFT(TRIM(Raw_Export!B1401),2)))))</f>
        <v>46274</v>
      </c>
      <c r="C1401" s="36" t="str">
        <f aca="false">IF(Raw_Export!$A1401="","",IFERROR(VLOOKUP(LOWER(TRIM(Raw_Export!C1401)),Maps!$A$2:$B$20,2,FALSE()),"UNMAPPED"))</f>
        <v>Westlands</v>
      </c>
      <c r="D1401" s="36" t="str">
        <f aca="false">IF(Raw_Export!$A1401="","",IFERROR(VLOOKUP(LOWER(TRIM(Raw_Export!D1401)),Maps!$G$2:$I$80,2,FALSE()),"UNMAPPED"))</f>
        <v>Fresh Milk 500ml</v>
      </c>
      <c r="E1401" s="36" t="str">
        <f aca="false">IF(Raw_Export!$A1401="","",IFERROR(VLOOKUP(LOWER(TRIM(Raw_Export!D1401)),Maps!$G$2:$I$80,3,FALSE()),"UNMAPPED"))</f>
        <v>Dairy &amp; Eggs</v>
      </c>
      <c r="F1401" s="36" t="n">
        <f aca="false">IF(Raw_Export!$A1401="","",IFERROR(VALUE(TRIM(Raw_Export!E1401)),0))</f>
        <v>4</v>
      </c>
      <c r="G1401" s="38" t="n">
        <f aca="false">IF(Raw_Export!$A1401="","",IFERROR(VALUE(SUBSTITUTE(SUBSTITUTE(UPPER(TRIM(Raw_Export!F1401)),"KES",""),",","")),0))</f>
        <v>65</v>
      </c>
      <c r="H1401" s="38" t="n">
        <f aca="false">IF(Raw_Export!$A1401="","",F1401*G1401)</f>
        <v>260</v>
      </c>
      <c r="I1401" s="36" t="str">
        <f aca="false">IF(Raw_Export!$A1401="","",IFERROR(VLOOKUP(LOWER(TRIM(Raw_Export!H1401)),Maps!$D$2:$E$12,2,FALSE()),"Other"))</f>
        <v>Card</v>
      </c>
      <c r="J1401" s="36" t="str">
        <f aca="false">IF(Raw_Export!$A1401="","",IF(COUNTIF($A$2:A1401,A1401)&gt;1,"Duplicate",""))</f>
        <v/>
      </c>
      <c r="K1401" s="36" t="str">
        <f aca="false">IF(Raw_Export!$A1401="","",IF(J1401="Duplicate","Duplicate",IF(OR(C1401="UNMAPPED",D1401="UNMAPPED"),"Unmapped",IF(F1401=0,"Blank qty",IF(F1401&lt;0,"Return","OK")))))</f>
        <v>OK</v>
      </c>
      <c r="L1401" s="36" t="n">
        <f aca="false">IF(Raw_Export!$A1401="","",IF(OR(K1401="OK",K1401="Return"),1,0))</f>
        <v>1</v>
      </c>
      <c r="M1401" s="37" t="n">
        <f aca="false">IF(Raw_Export!$A1401="","",B1401-WEEKDAY(B1401,2)+1)</f>
        <v>46272</v>
      </c>
    </row>
    <row r="1402" customFormat="false" ht="15" hidden="false" customHeight="false" outlineLevel="0" collapsed="false">
      <c r="A1402" s="36" t="str">
        <f aca="false">IF(Raw_Export!$A1402="","",TRIM(Raw_Export!A1402))</f>
        <v>TXN-101373</v>
      </c>
      <c r="B1402" s="37" t="n">
        <f aca="false">IF(Raw_Export!$A1402="","",IF(ISNUMBER(Raw_Export!B1402),Raw_Export!B1402,IF(MID(TRIM(Raw_Export!B1402),5,1)="-",DATE(LEFT(TRIM(Raw_Export!B1402),4),MID(TRIM(Raw_Export!B1402),6,2),RIGHT(TRIM(Raw_Export!B1402),2)),DATE(RIGHT(TRIM(Raw_Export!B1402),4),MATCH(MID(TRIM(Raw_Export!B1402),4,3),{"Jan","Feb","Mar","Apr","May","Jun","Jul","Aug","Sep","Oct","Nov","Dec"},0),LEFT(TRIM(Raw_Export!B1402),2)))))</f>
        <v>46274</v>
      </c>
      <c r="C1402" s="36" t="str">
        <f aca="false">IF(Raw_Export!$A1402="","",IFERROR(VLOOKUP(LOWER(TRIM(Raw_Export!C1402)),Maps!$A$2:$B$20,2,FALSE()),"UNMAPPED"))</f>
        <v>Westlands</v>
      </c>
      <c r="D1402" s="36" t="str">
        <f aca="false">IF(Raw_Export!$A1402="","",IFERROR(VLOOKUP(LOWER(TRIM(Raw_Export!D1402)),Maps!$G$2:$I$80,2,FALSE()),"UNMAPPED"))</f>
        <v>Peanuts 250g</v>
      </c>
      <c r="E1402" s="36" t="str">
        <f aca="false">IF(Raw_Export!$A1402="","",IFERROR(VLOOKUP(LOWER(TRIM(Raw_Export!D1402)),Maps!$G$2:$I$80,3,FALSE()),"UNMAPPED"))</f>
        <v>Snacks</v>
      </c>
      <c r="F1402" s="36" t="n">
        <f aca="false">IF(Raw_Export!$A1402="","",IFERROR(VALUE(TRIM(Raw_Export!E1402)),0))</f>
        <v>4</v>
      </c>
      <c r="G1402" s="38" t="n">
        <f aca="false">IF(Raw_Export!$A1402="","",IFERROR(VALUE(SUBSTITUTE(SUBSTITUTE(UPPER(TRIM(Raw_Export!F1402)),"KES",""),",","")),0))</f>
        <v>130</v>
      </c>
      <c r="H1402" s="38" t="n">
        <f aca="false">IF(Raw_Export!$A1402="","",F1402*G1402)</f>
        <v>520</v>
      </c>
      <c r="I1402" s="36" t="str">
        <f aca="false">IF(Raw_Export!$A1402="","",IFERROR(VLOOKUP(LOWER(TRIM(Raw_Export!H1402)),Maps!$D$2:$E$12,2,FALSE()),"Other"))</f>
        <v>Cash</v>
      </c>
      <c r="J1402" s="36" t="str">
        <f aca="false">IF(Raw_Export!$A1402="","",IF(COUNTIF($A$2:A1402,A1402)&gt;1,"Duplicate",""))</f>
        <v/>
      </c>
      <c r="K1402" s="36" t="str">
        <f aca="false">IF(Raw_Export!$A1402="","",IF(J1402="Duplicate","Duplicate",IF(OR(C1402="UNMAPPED",D1402="UNMAPPED"),"Unmapped",IF(F1402=0,"Blank qty",IF(F1402&lt;0,"Return","OK")))))</f>
        <v>OK</v>
      </c>
      <c r="L1402" s="36" t="n">
        <f aca="false">IF(Raw_Export!$A1402="","",IF(OR(K1402="OK",K1402="Return"),1,0))</f>
        <v>1</v>
      </c>
      <c r="M1402" s="37" t="n">
        <f aca="false">IF(Raw_Export!$A1402="","",B1402-WEEKDAY(B1402,2)+1)</f>
        <v>46272</v>
      </c>
    </row>
    <row r="1403" customFormat="false" ht="15" hidden="false" customHeight="false" outlineLevel="0" collapsed="false">
      <c r="A1403" s="36" t="str">
        <f aca="false">IF(Raw_Export!$A1403="","",TRIM(Raw_Export!A1403))</f>
        <v>TXN-101374</v>
      </c>
      <c r="B1403" s="37" t="n">
        <f aca="false">IF(Raw_Export!$A1403="","",IF(ISNUMBER(Raw_Export!B1403),Raw_Export!B1403,IF(MID(TRIM(Raw_Export!B1403),5,1)="-",DATE(LEFT(TRIM(Raw_Export!B1403),4),MID(TRIM(Raw_Export!B1403),6,2),RIGHT(TRIM(Raw_Export!B1403),2)),DATE(RIGHT(TRIM(Raw_Export!B1403),4),MATCH(MID(TRIM(Raw_Export!B1403),4,3),{"Jan","Feb","Mar","Apr","May","Jun","Jul","Aug","Sep","Oct","Nov","Dec"},0),LEFT(TRIM(Raw_Export!B1403),2)))))</f>
        <v>46274</v>
      </c>
      <c r="C1403" s="36" t="str">
        <f aca="false">IF(Raw_Export!$A1403="","",IFERROR(VLOOKUP(LOWER(TRIM(Raw_Export!C1403)),Maps!$A$2:$B$20,2,FALSE()),"UNMAPPED"))</f>
        <v>Westlands</v>
      </c>
      <c r="D1403" s="36" t="str">
        <f aca="false">IF(Raw_Export!$A1403="","",IFERROR(VLOOKUP(LOWER(TRIM(Raw_Export!D1403)),Maps!$G$2:$I$80,2,FALSE()),"UNMAPPED"))</f>
        <v>Bread Loaf 400g</v>
      </c>
      <c r="E1403" s="36" t="str">
        <f aca="false">IF(Raw_Export!$A1403="","",IFERROR(VLOOKUP(LOWER(TRIM(Raw_Export!D1403)),Maps!$G$2:$I$80,3,FALSE()),"UNMAPPED"))</f>
        <v>Snacks</v>
      </c>
      <c r="F1403" s="36" t="n">
        <f aca="false">IF(Raw_Export!$A1403="","",IFERROR(VALUE(TRIM(Raw_Export!E1403)),0))</f>
        <v>2</v>
      </c>
      <c r="G1403" s="38" t="n">
        <f aca="false">IF(Raw_Export!$A1403="","",IFERROR(VALUE(SUBSTITUTE(SUBSTITUTE(UPPER(TRIM(Raw_Export!F1403)),"KES",""),",","")),0))</f>
        <v>65</v>
      </c>
      <c r="H1403" s="38" t="n">
        <f aca="false">IF(Raw_Export!$A1403="","",F1403*G1403)</f>
        <v>130</v>
      </c>
      <c r="I1403" s="36" t="str">
        <f aca="false">IF(Raw_Export!$A1403="","",IFERROR(VLOOKUP(LOWER(TRIM(Raw_Export!H1403)),Maps!$D$2:$E$12,2,FALSE()),"Other"))</f>
        <v>M-Pesa</v>
      </c>
      <c r="J1403" s="36" t="str">
        <f aca="false">IF(Raw_Export!$A1403="","",IF(COUNTIF($A$2:A1403,A1403)&gt;1,"Duplicate",""))</f>
        <v/>
      </c>
      <c r="K1403" s="36" t="str">
        <f aca="false">IF(Raw_Export!$A1403="","",IF(J1403="Duplicate","Duplicate",IF(OR(C1403="UNMAPPED",D1403="UNMAPPED"),"Unmapped",IF(F1403=0,"Blank qty",IF(F1403&lt;0,"Return","OK")))))</f>
        <v>OK</v>
      </c>
      <c r="L1403" s="36" t="n">
        <f aca="false">IF(Raw_Export!$A1403="","",IF(OR(K1403="OK",K1403="Return"),1,0))</f>
        <v>1</v>
      </c>
      <c r="M1403" s="37" t="n">
        <f aca="false">IF(Raw_Export!$A1403="","",B1403-WEEKDAY(B1403,2)+1)</f>
        <v>46272</v>
      </c>
    </row>
    <row r="1404" customFormat="false" ht="15" hidden="false" customHeight="false" outlineLevel="0" collapsed="false">
      <c r="A1404" s="36" t="str">
        <f aca="false">IF(Raw_Export!$A1404="","",TRIM(Raw_Export!A1404))</f>
        <v>TXN-101375</v>
      </c>
      <c r="B1404" s="37" t="n">
        <f aca="false">IF(Raw_Export!$A1404="","",IF(ISNUMBER(Raw_Export!B1404),Raw_Export!B1404,IF(MID(TRIM(Raw_Export!B1404),5,1)="-",DATE(LEFT(TRIM(Raw_Export!B1404),4),MID(TRIM(Raw_Export!B1404),6,2),RIGHT(TRIM(Raw_Export!B1404),2)),DATE(RIGHT(TRIM(Raw_Export!B1404),4),MATCH(MID(TRIM(Raw_Export!B1404),4,3),{"Jan","Feb","Mar","Apr","May","Jun","Jul","Aug","Sep","Oct","Nov","Dec"},0),LEFT(TRIM(Raw_Export!B1404),2)))))</f>
        <v>46274</v>
      </c>
      <c r="C1404" s="36" t="str">
        <f aca="false">IF(Raw_Export!$A1404="","",IFERROR(VLOOKUP(LOWER(TRIM(Raw_Export!C1404)),Maps!$A$2:$B$20,2,FALSE()),"UNMAPPED"))</f>
        <v>Westlands</v>
      </c>
      <c r="D1404" s="36" t="str">
        <f aca="false">IF(Raw_Export!$A1404="","",IFERROR(VLOOKUP(LOWER(TRIM(Raw_Export!D1404)),Maps!$G$2:$I$80,2,FALSE()),"UNMAPPED"))</f>
        <v>Spaghetti 400g</v>
      </c>
      <c r="E1404" s="36" t="str">
        <f aca="false">IF(Raw_Export!$A1404="","",IFERROR(VLOOKUP(LOWER(TRIM(Raw_Export!D1404)),Maps!$G$2:$I$80,3,FALSE()),"UNMAPPED"))</f>
        <v>Staples</v>
      </c>
      <c r="F1404" s="36" t="n">
        <f aca="false">IF(Raw_Export!$A1404="","",IFERROR(VALUE(TRIM(Raw_Export!E1404)),0))</f>
        <v>1</v>
      </c>
      <c r="G1404" s="38" t="n">
        <f aca="false">IF(Raw_Export!$A1404="","",IFERROR(VALUE(SUBSTITUTE(SUBSTITUTE(UPPER(TRIM(Raw_Export!F1404)),"KES",""),",","")),0))</f>
        <v>110</v>
      </c>
      <c r="H1404" s="38" t="n">
        <f aca="false">IF(Raw_Export!$A1404="","",F1404*G1404)</f>
        <v>110</v>
      </c>
      <c r="I1404" s="36" t="str">
        <f aca="false">IF(Raw_Export!$A1404="","",IFERROR(VLOOKUP(LOWER(TRIM(Raw_Export!H1404)),Maps!$D$2:$E$12,2,FALSE()),"Other"))</f>
        <v>Cash</v>
      </c>
      <c r="J1404" s="36" t="str">
        <f aca="false">IF(Raw_Export!$A1404="","",IF(COUNTIF($A$2:A1404,A1404)&gt;1,"Duplicate",""))</f>
        <v/>
      </c>
      <c r="K1404" s="36" t="str">
        <f aca="false">IF(Raw_Export!$A1404="","",IF(J1404="Duplicate","Duplicate",IF(OR(C1404="UNMAPPED",D1404="UNMAPPED"),"Unmapped",IF(F1404=0,"Blank qty",IF(F1404&lt;0,"Return","OK")))))</f>
        <v>OK</v>
      </c>
      <c r="L1404" s="36" t="n">
        <f aca="false">IF(Raw_Export!$A1404="","",IF(OR(K1404="OK",K1404="Return"),1,0))</f>
        <v>1</v>
      </c>
      <c r="M1404" s="37" t="n">
        <f aca="false">IF(Raw_Export!$A1404="","",B1404-WEEKDAY(B1404,2)+1)</f>
        <v>46272</v>
      </c>
    </row>
    <row r="1405" customFormat="false" ht="15" hidden="false" customHeight="false" outlineLevel="0" collapsed="false">
      <c r="A1405" s="36" t="str">
        <f aca="false">IF(Raw_Export!$A1405="","",TRIM(Raw_Export!A1405))</f>
        <v>TXN-101376</v>
      </c>
      <c r="B1405" s="37" t="n">
        <f aca="false">IF(Raw_Export!$A1405="","",IF(ISNUMBER(Raw_Export!B1405),Raw_Export!B1405,IF(MID(TRIM(Raw_Export!B1405),5,1)="-",DATE(LEFT(TRIM(Raw_Export!B1405),4),MID(TRIM(Raw_Export!B1405),6,2),RIGHT(TRIM(Raw_Export!B1405),2)),DATE(RIGHT(TRIM(Raw_Export!B1405),4),MATCH(MID(TRIM(Raw_Export!B1405),4,3),{"Jan","Feb","Mar","Apr","May","Jun","Jul","Aug","Sep","Oct","Nov","Dec"},0),LEFT(TRIM(Raw_Export!B1405),2)))))</f>
        <v>46274</v>
      </c>
      <c r="C1405" s="36" t="str">
        <f aca="false">IF(Raw_Export!$A1405="","",IFERROR(VLOOKUP(LOWER(TRIM(Raw_Export!C1405)),Maps!$A$2:$B$20,2,FALSE()),"UNMAPPED"))</f>
        <v>Westlands</v>
      </c>
      <c r="D1405" s="36" t="str">
        <f aca="false">IF(Raw_Export!$A1405="","",IFERROR(VLOOKUP(LOWER(TRIM(Raw_Export!D1405)),Maps!$G$2:$I$80,2,FALSE()),"UNMAPPED"))</f>
        <v>Dish Soap 750ml</v>
      </c>
      <c r="E1405" s="36" t="str">
        <f aca="false">IF(Raw_Export!$A1405="","",IFERROR(VLOOKUP(LOWER(TRIM(Raw_Export!D1405)),Maps!$G$2:$I$80,3,FALSE()),"UNMAPPED"))</f>
        <v>Household</v>
      </c>
      <c r="F1405" s="36" t="n">
        <f aca="false">IF(Raw_Export!$A1405="","",IFERROR(VALUE(TRIM(Raw_Export!E1405)),0))</f>
        <v>2</v>
      </c>
      <c r="G1405" s="38" t="n">
        <f aca="false">IF(Raw_Export!$A1405="","",IFERROR(VALUE(SUBSTITUTE(SUBSTITUTE(UPPER(TRIM(Raw_Export!F1405)),"KES",""),",","")),0))</f>
        <v>190</v>
      </c>
      <c r="H1405" s="38" t="n">
        <f aca="false">IF(Raw_Export!$A1405="","",F1405*G1405)</f>
        <v>380</v>
      </c>
      <c r="I1405" s="36" t="str">
        <f aca="false">IF(Raw_Export!$A1405="","",IFERROR(VLOOKUP(LOWER(TRIM(Raw_Export!H1405)),Maps!$D$2:$E$12,2,FALSE()),"Other"))</f>
        <v>M-Pesa</v>
      </c>
      <c r="J1405" s="36" t="str">
        <f aca="false">IF(Raw_Export!$A1405="","",IF(COUNTIF($A$2:A1405,A1405)&gt;1,"Duplicate",""))</f>
        <v/>
      </c>
      <c r="K1405" s="36" t="str">
        <f aca="false">IF(Raw_Export!$A1405="","",IF(J1405="Duplicate","Duplicate",IF(OR(C1405="UNMAPPED",D1405="UNMAPPED"),"Unmapped",IF(F1405=0,"Blank qty",IF(F1405&lt;0,"Return","OK")))))</f>
        <v>OK</v>
      </c>
      <c r="L1405" s="36" t="n">
        <f aca="false">IF(Raw_Export!$A1405="","",IF(OR(K1405="OK",K1405="Return"),1,0))</f>
        <v>1</v>
      </c>
      <c r="M1405" s="37" t="n">
        <f aca="false">IF(Raw_Export!$A1405="","",B1405-WEEKDAY(B1405,2)+1)</f>
        <v>46272</v>
      </c>
    </row>
    <row r="1406" customFormat="false" ht="15" hidden="false" customHeight="false" outlineLevel="0" collapsed="false">
      <c r="A1406" s="36" t="str">
        <f aca="false">IF(Raw_Export!$A1406="","",TRIM(Raw_Export!A1406))</f>
        <v>TXN-101377</v>
      </c>
      <c r="B1406" s="37" t="n">
        <f aca="false">IF(Raw_Export!$A1406="","",IF(ISNUMBER(Raw_Export!B1406),Raw_Export!B1406,IF(MID(TRIM(Raw_Export!B1406),5,1)="-",DATE(LEFT(TRIM(Raw_Export!B1406),4),MID(TRIM(Raw_Export!B1406),6,2),RIGHT(TRIM(Raw_Export!B1406),2)),DATE(RIGHT(TRIM(Raw_Export!B1406),4),MATCH(MID(TRIM(Raw_Export!B1406),4,3),{"Jan","Feb","Mar","Apr","May","Jun","Jul","Aug","Sep","Oct","Nov","Dec"},0),LEFT(TRIM(Raw_Export!B1406),2)))))</f>
        <v>46274</v>
      </c>
      <c r="C1406" s="36" t="str">
        <f aca="false">IF(Raw_Export!$A1406="","",IFERROR(VLOOKUP(LOWER(TRIM(Raw_Export!C1406)),Maps!$A$2:$B$20,2,FALSE()),"UNMAPPED"))</f>
        <v>Westlands</v>
      </c>
      <c r="D1406" s="36" t="str">
        <f aca="false">IF(Raw_Export!$A1406="","",IFERROR(VLOOKUP(LOWER(TRIM(Raw_Export!D1406)),Maps!$G$2:$I$80,2,FALSE()),"UNMAPPED"))</f>
        <v>Matches 10pk</v>
      </c>
      <c r="E1406" s="36" t="str">
        <f aca="false">IF(Raw_Export!$A1406="","",IFERROR(VLOOKUP(LOWER(TRIM(Raw_Export!D1406)),Maps!$G$2:$I$80,3,FALSE()),"UNMAPPED"))</f>
        <v>Household</v>
      </c>
      <c r="F1406" s="36" t="n">
        <f aca="false">IF(Raw_Export!$A1406="","",IFERROR(VALUE(TRIM(Raw_Export!E1406)),0))</f>
        <v>6</v>
      </c>
      <c r="G1406" s="38" t="n">
        <f aca="false">IF(Raw_Export!$A1406="","",IFERROR(VALUE(SUBSTITUTE(SUBSTITUTE(UPPER(TRIM(Raw_Export!F1406)),"KES",""),",","")),0))</f>
        <v>50</v>
      </c>
      <c r="H1406" s="38" t="n">
        <f aca="false">IF(Raw_Export!$A1406="","",F1406*G1406)</f>
        <v>300</v>
      </c>
      <c r="I1406" s="36" t="str">
        <f aca="false">IF(Raw_Export!$A1406="","",IFERROR(VLOOKUP(LOWER(TRIM(Raw_Export!H1406)),Maps!$D$2:$E$12,2,FALSE()),"Other"))</f>
        <v>Cash</v>
      </c>
      <c r="J1406" s="36" t="str">
        <f aca="false">IF(Raw_Export!$A1406="","",IF(COUNTIF($A$2:A1406,A1406)&gt;1,"Duplicate",""))</f>
        <v/>
      </c>
      <c r="K1406" s="36" t="str">
        <f aca="false">IF(Raw_Export!$A1406="","",IF(J1406="Duplicate","Duplicate",IF(OR(C1406="UNMAPPED",D1406="UNMAPPED"),"Unmapped",IF(F1406=0,"Blank qty",IF(F1406&lt;0,"Return","OK")))))</f>
        <v>OK</v>
      </c>
      <c r="L1406" s="36" t="n">
        <f aca="false">IF(Raw_Export!$A1406="","",IF(OR(K1406="OK",K1406="Return"),1,0))</f>
        <v>1</v>
      </c>
      <c r="M1406" s="37" t="n">
        <f aca="false">IF(Raw_Export!$A1406="","",B1406-WEEKDAY(B1406,2)+1)</f>
        <v>46272</v>
      </c>
    </row>
    <row r="1407" customFormat="false" ht="15" hidden="false" customHeight="false" outlineLevel="0" collapsed="false">
      <c r="A1407" s="36" t="str">
        <f aca="false">IF(Raw_Export!$A1407="","",TRIM(Raw_Export!A1407))</f>
        <v>TXN-101378</v>
      </c>
      <c r="B1407" s="37" t="n">
        <f aca="false">IF(Raw_Export!$A1407="","",IF(ISNUMBER(Raw_Export!B1407),Raw_Export!B1407,IF(MID(TRIM(Raw_Export!B1407),5,1)="-",DATE(LEFT(TRIM(Raw_Export!B1407),4),MID(TRIM(Raw_Export!B1407),6,2),RIGHT(TRIM(Raw_Export!B1407),2)),DATE(RIGHT(TRIM(Raw_Export!B1407),4),MATCH(MID(TRIM(Raw_Export!B1407),4,3),{"Jan","Feb","Mar","Apr","May","Jun","Jul","Aug","Sep","Oct","Nov","Dec"},0),LEFT(TRIM(Raw_Export!B1407),2)))))</f>
        <v>46274</v>
      </c>
      <c r="C1407" s="36" t="str">
        <f aca="false">IF(Raw_Export!$A1407="","",IFERROR(VLOOKUP(LOWER(TRIM(Raw_Export!C1407)),Maps!$A$2:$B$20,2,FALSE()),"UNMAPPED"))</f>
        <v>Westlands</v>
      </c>
      <c r="D1407" s="36" t="str">
        <f aca="false">IF(Raw_Export!$A1407="","",IFERROR(VLOOKUP(LOWER(TRIM(Raw_Export!D1407)),Maps!$G$2:$I$80,2,FALSE()),"UNMAPPED"))</f>
        <v>Salt 500g</v>
      </c>
      <c r="E1407" s="36" t="str">
        <f aca="false">IF(Raw_Export!$A1407="","",IFERROR(VLOOKUP(LOWER(TRIM(Raw_Export!D1407)),Maps!$G$2:$I$80,3,FALSE()),"UNMAPPED"))</f>
        <v>Staples</v>
      </c>
      <c r="F1407" s="36" t="n">
        <f aca="false">IF(Raw_Export!$A1407="","",IFERROR(VALUE(TRIM(Raw_Export!E1407)),0))</f>
        <v>4</v>
      </c>
      <c r="G1407" s="38" t="n">
        <f aca="false">IF(Raw_Export!$A1407="","",IFERROR(VALUE(SUBSTITUTE(SUBSTITUTE(UPPER(TRIM(Raw_Export!F1407)),"KES",""),",","")),0))</f>
        <v>40</v>
      </c>
      <c r="H1407" s="38" t="n">
        <f aca="false">IF(Raw_Export!$A1407="","",F1407*G1407)</f>
        <v>160</v>
      </c>
      <c r="I1407" s="36" t="str">
        <f aca="false">IF(Raw_Export!$A1407="","",IFERROR(VLOOKUP(LOWER(TRIM(Raw_Export!H1407)),Maps!$D$2:$E$12,2,FALSE()),"Other"))</f>
        <v>M-Pesa</v>
      </c>
      <c r="J1407" s="36" t="str">
        <f aca="false">IF(Raw_Export!$A1407="","",IF(COUNTIF($A$2:A1407,A1407)&gt;1,"Duplicate",""))</f>
        <v/>
      </c>
      <c r="K1407" s="36" t="str">
        <f aca="false">IF(Raw_Export!$A1407="","",IF(J1407="Duplicate","Duplicate",IF(OR(C1407="UNMAPPED",D1407="UNMAPPED"),"Unmapped",IF(F1407=0,"Blank qty",IF(F1407&lt;0,"Return","OK")))))</f>
        <v>OK</v>
      </c>
      <c r="L1407" s="36" t="n">
        <f aca="false">IF(Raw_Export!$A1407="","",IF(OR(K1407="OK",K1407="Return"),1,0))</f>
        <v>1</v>
      </c>
      <c r="M1407" s="37" t="n">
        <f aca="false">IF(Raw_Export!$A1407="","",B1407-WEEKDAY(B1407,2)+1)</f>
        <v>46272</v>
      </c>
    </row>
    <row r="1408" customFormat="false" ht="15" hidden="false" customHeight="false" outlineLevel="0" collapsed="false">
      <c r="A1408" s="36" t="str">
        <f aca="false">IF(Raw_Export!$A1408="","",TRIM(Raw_Export!A1408))</f>
        <v>TXN-101379</v>
      </c>
      <c r="B1408" s="37" t="n">
        <f aca="false">IF(Raw_Export!$A1408="","",IF(ISNUMBER(Raw_Export!B1408),Raw_Export!B1408,IF(MID(TRIM(Raw_Export!B1408),5,1)="-",DATE(LEFT(TRIM(Raw_Export!B1408),4),MID(TRIM(Raw_Export!B1408),6,2),RIGHT(TRIM(Raw_Export!B1408),2)),DATE(RIGHT(TRIM(Raw_Export!B1408),4),MATCH(MID(TRIM(Raw_Export!B1408),4,3),{"Jan","Feb","Mar","Apr","May","Jun","Jul","Aug","Sep","Oct","Nov","Dec"},0),LEFT(TRIM(Raw_Export!B1408),2)))))</f>
        <v>46274</v>
      </c>
      <c r="C1408" s="36" t="str">
        <f aca="false">IF(Raw_Export!$A1408="","",IFERROR(VLOOKUP(LOWER(TRIM(Raw_Export!C1408)),Maps!$A$2:$B$20,2,FALSE()),"UNMAPPED"))</f>
        <v>Westlands</v>
      </c>
      <c r="D1408" s="36" t="str">
        <f aca="false">IF(Raw_Export!$A1408="","",IFERROR(VLOOKUP(LOWER(TRIM(Raw_Export!D1408)),Maps!$G$2:$I$80,2,FALSE()),"UNMAPPED"))</f>
        <v>Spaghetti 400g</v>
      </c>
      <c r="E1408" s="36" t="str">
        <f aca="false">IF(Raw_Export!$A1408="","",IFERROR(VLOOKUP(LOWER(TRIM(Raw_Export!D1408)),Maps!$G$2:$I$80,3,FALSE()),"UNMAPPED"))</f>
        <v>Staples</v>
      </c>
      <c r="F1408" s="36" t="n">
        <f aca="false">IF(Raw_Export!$A1408="","",IFERROR(VALUE(TRIM(Raw_Export!E1408)),0))</f>
        <v>3</v>
      </c>
      <c r="G1408" s="38" t="n">
        <f aca="false">IF(Raw_Export!$A1408="","",IFERROR(VALUE(SUBSTITUTE(SUBSTITUTE(UPPER(TRIM(Raw_Export!F1408)),"KES",""),",","")),0))</f>
        <v>110</v>
      </c>
      <c r="H1408" s="38" t="n">
        <f aca="false">IF(Raw_Export!$A1408="","",F1408*G1408)</f>
        <v>330</v>
      </c>
      <c r="I1408" s="36" t="str">
        <f aca="false">IF(Raw_Export!$A1408="","",IFERROR(VLOOKUP(LOWER(TRIM(Raw_Export!H1408)),Maps!$D$2:$E$12,2,FALSE()),"Other"))</f>
        <v>M-Pesa</v>
      </c>
      <c r="J1408" s="36" t="str">
        <f aca="false">IF(Raw_Export!$A1408="","",IF(COUNTIF($A$2:A1408,A1408)&gt;1,"Duplicate",""))</f>
        <v/>
      </c>
      <c r="K1408" s="36" t="str">
        <f aca="false">IF(Raw_Export!$A1408="","",IF(J1408="Duplicate","Duplicate",IF(OR(C1408="UNMAPPED",D1408="UNMAPPED"),"Unmapped",IF(F1408=0,"Blank qty",IF(F1408&lt;0,"Return","OK")))))</f>
        <v>OK</v>
      </c>
      <c r="L1408" s="36" t="n">
        <f aca="false">IF(Raw_Export!$A1408="","",IF(OR(K1408="OK",K1408="Return"),1,0))</f>
        <v>1</v>
      </c>
      <c r="M1408" s="37" t="n">
        <f aca="false">IF(Raw_Export!$A1408="","",B1408-WEEKDAY(B1408,2)+1)</f>
        <v>46272</v>
      </c>
    </row>
    <row r="1409" customFormat="false" ht="15" hidden="false" customHeight="false" outlineLevel="0" collapsed="false">
      <c r="A1409" s="36" t="str">
        <f aca="false">IF(Raw_Export!$A1409="","",TRIM(Raw_Export!A1409))</f>
        <v>TXN-101380</v>
      </c>
      <c r="B1409" s="37" t="n">
        <f aca="false">IF(Raw_Export!$A1409="","",IF(ISNUMBER(Raw_Export!B1409),Raw_Export!B1409,IF(MID(TRIM(Raw_Export!B1409),5,1)="-",DATE(LEFT(TRIM(Raw_Export!B1409),4),MID(TRIM(Raw_Export!B1409),6,2),RIGHT(TRIM(Raw_Export!B1409),2)),DATE(RIGHT(TRIM(Raw_Export!B1409),4),MATCH(MID(TRIM(Raw_Export!B1409),4,3),{"Jan","Feb","Mar","Apr","May","Jun","Jul","Aug","Sep","Oct","Nov","Dec"},0),LEFT(TRIM(Raw_Export!B1409),2)))))</f>
        <v>46274</v>
      </c>
      <c r="C1409" s="36" t="str">
        <f aca="false">IF(Raw_Export!$A1409="","",IFERROR(VLOOKUP(LOWER(TRIM(Raw_Export!C1409)),Maps!$A$2:$B$20,2,FALSE()),"UNMAPPED"))</f>
        <v>Westlands</v>
      </c>
      <c r="D1409" s="36" t="str">
        <f aca="false">IF(Raw_Export!$A1409="","",IFERROR(VLOOKUP(LOWER(TRIM(Raw_Export!D1409)),Maps!$G$2:$I$80,2,FALSE()),"UNMAPPED"))</f>
        <v>Bottled Water 1.5L</v>
      </c>
      <c r="E1409" s="36" t="str">
        <f aca="false">IF(Raw_Export!$A1409="","",IFERROR(VLOOKUP(LOWER(TRIM(Raw_Export!D1409)),Maps!$G$2:$I$80,3,FALSE()),"UNMAPPED"))</f>
        <v>Beverages</v>
      </c>
      <c r="F1409" s="36" t="n">
        <f aca="false">IF(Raw_Export!$A1409="","",IFERROR(VALUE(TRIM(Raw_Export!E1409)),0))</f>
        <v>3</v>
      </c>
      <c r="G1409" s="38" t="n">
        <f aca="false">IF(Raw_Export!$A1409="","",IFERROR(VALUE(SUBSTITUTE(SUBSTITUTE(UPPER(TRIM(Raw_Export!F1409)),"KES",""),",","")),0))</f>
        <v>90</v>
      </c>
      <c r="H1409" s="38" t="n">
        <f aca="false">IF(Raw_Export!$A1409="","",F1409*G1409)</f>
        <v>270</v>
      </c>
      <c r="I1409" s="36" t="str">
        <f aca="false">IF(Raw_Export!$A1409="","",IFERROR(VLOOKUP(LOWER(TRIM(Raw_Export!H1409)),Maps!$D$2:$E$12,2,FALSE()),"Other"))</f>
        <v>M-Pesa</v>
      </c>
      <c r="J1409" s="36" t="str">
        <f aca="false">IF(Raw_Export!$A1409="","",IF(COUNTIF($A$2:A1409,A1409)&gt;1,"Duplicate",""))</f>
        <v/>
      </c>
      <c r="K1409" s="36" t="str">
        <f aca="false">IF(Raw_Export!$A1409="","",IF(J1409="Duplicate","Duplicate",IF(OR(C1409="UNMAPPED",D1409="UNMAPPED"),"Unmapped",IF(F1409=0,"Blank qty",IF(F1409&lt;0,"Return","OK")))))</f>
        <v>OK</v>
      </c>
      <c r="L1409" s="36" t="n">
        <f aca="false">IF(Raw_Export!$A1409="","",IF(OR(K1409="OK",K1409="Return"),1,0))</f>
        <v>1</v>
      </c>
      <c r="M1409" s="37" t="n">
        <f aca="false">IF(Raw_Export!$A1409="","",B1409-WEEKDAY(B1409,2)+1)</f>
        <v>46272</v>
      </c>
    </row>
    <row r="1410" customFormat="false" ht="15" hidden="false" customHeight="false" outlineLevel="0" collapsed="false">
      <c r="A1410" s="36" t="str">
        <f aca="false">IF(Raw_Export!$A1410="","",TRIM(Raw_Export!A1410))</f>
        <v>TXN-101381</v>
      </c>
      <c r="B1410" s="37" t="n">
        <f aca="false">IF(Raw_Export!$A1410="","",IF(ISNUMBER(Raw_Export!B1410),Raw_Export!B1410,IF(MID(TRIM(Raw_Export!B1410),5,1)="-",DATE(LEFT(TRIM(Raw_Export!B1410),4),MID(TRIM(Raw_Export!B1410),6,2),RIGHT(TRIM(Raw_Export!B1410),2)),DATE(RIGHT(TRIM(Raw_Export!B1410),4),MATCH(MID(TRIM(Raw_Export!B1410),4,3),{"Jan","Feb","Mar","Apr","May","Jun","Jul","Aug","Sep","Oct","Nov","Dec"},0),LEFT(TRIM(Raw_Export!B1410),2)))))</f>
        <v>46274</v>
      </c>
      <c r="C1410" s="36" t="str">
        <f aca="false">IF(Raw_Export!$A1410="","",IFERROR(VLOOKUP(LOWER(TRIM(Raw_Export!C1410)),Maps!$A$2:$B$20,2,FALSE()),"UNMAPPED"))</f>
        <v>Westlands</v>
      </c>
      <c r="D1410" s="36" t="str">
        <f aca="false">IF(Raw_Export!$A1410="","",IFERROR(VLOOKUP(LOWER(TRIM(Raw_Export!D1410)),Maps!$G$2:$I$80,2,FALSE()),"UNMAPPED"))</f>
        <v>Soda 500ml</v>
      </c>
      <c r="E1410" s="36" t="str">
        <f aca="false">IF(Raw_Export!$A1410="","",IFERROR(VLOOKUP(LOWER(TRIM(Raw_Export!D1410)),Maps!$G$2:$I$80,3,FALSE()),"UNMAPPED"))</f>
        <v>Beverages</v>
      </c>
      <c r="F1410" s="36" t="n">
        <f aca="false">IF(Raw_Export!$A1410="","",IFERROR(VALUE(TRIM(Raw_Export!E1410)),0))</f>
        <v>1</v>
      </c>
      <c r="G1410" s="38" t="n">
        <f aca="false">IF(Raw_Export!$A1410="","",IFERROR(VALUE(SUBSTITUTE(SUBSTITUTE(UPPER(TRIM(Raw_Export!F1410)),"KES",""),",","")),0))</f>
        <v>54</v>
      </c>
      <c r="H1410" s="38" t="n">
        <f aca="false">IF(Raw_Export!$A1410="","",F1410*G1410)</f>
        <v>54</v>
      </c>
      <c r="I1410" s="36" t="str">
        <f aca="false">IF(Raw_Export!$A1410="","",IFERROR(VLOOKUP(LOWER(TRIM(Raw_Export!H1410)),Maps!$D$2:$E$12,2,FALSE()),"Other"))</f>
        <v>M-Pesa</v>
      </c>
      <c r="J1410" s="36" t="str">
        <f aca="false">IF(Raw_Export!$A1410="","",IF(COUNTIF($A$2:A1410,A1410)&gt;1,"Duplicate",""))</f>
        <v/>
      </c>
      <c r="K1410" s="36" t="str">
        <f aca="false">IF(Raw_Export!$A1410="","",IF(J1410="Duplicate","Duplicate",IF(OR(C1410="UNMAPPED",D1410="UNMAPPED"),"Unmapped",IF(F1410=0,"Blank qty",IF(F1410&lt;0,"Return","OK")))))</f>
        <v>OK</v>
      </c>
      <c r="L1410" s="36" t="n">
        <f aca="false">IF(Raw_Export!$A1410="","",IF(OR(K1410="OK",K1410="Return"),1,0))</f>
        <v>1</v>
      </c>
      <c r="M1410" s="37" t="n">
        <f aca="false">IF(Raw_Export!$A1410="","",B1410-WEEKDAY(B1410,2)+1)</f>
        <v>46272</v>
      </c>
    </row>
    <row r="1411" customFormat="false" ht="15" hidden="false" customHeight="false" outlineLevel="0" collapsed="false">
      <c r="A1411" s="36" t="str">
        <f aca="false">IF(Raw_Export!$A1411="","",TRIM(Raw_Export!A1411))</f>
        <v>TXN-101382</v>
      </c>
      <c r="B1411" s="37" t="n">
        <f aca="false">IF(Raw_Export!$A1411="","",IF(ISNUMBER(Raw_Export!B1411),Raw_Export!B1411,IF(MID(TRIM(Raw_Export!B1411),5,1)="-",DATE(LEFT(TRIM(Raw_Export!B1411),4),MID(TRIM(Raw_Export!B1411),6,2),RIGHT(TRIM(Raw_Export!B1411),2)),DATE(RIGHT(TRIM(Raw_Export!B1411),4),MATCH(MID(TRIM(Raw_Export!B1411),4,3),{"Jan","Feb","Mar","Apr","May","Jun","Jul","Aug","Sep","Oct","Nov","Dec"},0),LEFT(TRIM(Raw_Export!B1411),2)))))</f>
        <v>46274</v>
      </c>
      <c r="C1411" s="36" t="str">
        <f aca="false">IF(Raw_Export!$A1411="","",IFERROR(VLOOKUP(LOWER(TRIM(Raw_Export!C1411)),Maps!$A$2:$B$20,2,FALSE()),"UNMAPPED"))</f>
        <v>Westlands</v>
      </c>
      <c r="D1411" s="36" t="str">
        <f aca="false">IF(Raw_Export!$A1411="","",IFERROR(VLOOKUP(LOWER(TRIM(Raw_Export!D1411)),Maps!$G$2:$I$80,2,FALSE()),"UNMAPPED"))</f>
        <v>Sugar 2kg</v>
      </c>
      <c r="E1411" s="36" t="str">
        <f aca="false">IF(Raw_Export!$A1411="","",IFERROR(VLOOKUP(LOWER(TRIM(Raw_Export!D1411)),Maps!$G$2:$I$80,3,FALSE()),"UNMAPPED"))</f>
        <v>Staples</v>
      </c>
      <c r="F1411" s="36" t="n">
        <f aca="false">IF(Raw_Export!$A1411="","",IFERROR(VALUE(TRIM(Raw_Export!E1411)),0))</f>
        <v>1</v>
      </c>
      <c r="G1411" s="38" t="n">
        <f aca="false">IF(Raw_Export!$A1411="","",IFERROR(VALUE(SUBSTITUTE(SUBSTITUTE(UPPER(TRIM(Raw_Export!F1411)),"KES",""),",","")),0))</f>
        <v>330</v>
      </c>
      <c r="H1411" s="38" t="n">
        <f aca="false">IF(Raw_Export!$A1411="","",F1411*G1411)</f>
        <v>330</v>
      </c>
      <c r="I1411" s="36" t="str">
        <f aca="false">IF(Raw_Export!$A1411="","",IFERROR(VLOOKUP(LOWER(TRIM(Raw_Export!H1411)),Maps!$D$2:$E$12,2,FALSE()),"Other"))</f>
        <v>Cash</v>
      </c>
      <c r="J1411" s="36" t="str">
        <f aca="false">IF(Raw_Export!$A1411="","",IF(COUNTIF($A$2:A1411,A1411)&gt;1,"Duplicate",""))</f>
        <v/>
      </c>
      <c r="K1411" s="36" t="str">
        <f aca="false">IF(Raw_Export!$A1411="","",IF(J1411="Duplicate","Duplicate",IF(OR(C1411="UNMAPPED",D1411="UNMAPPED"),"Unmapped",IF(F1411=0,"Blank qty",IF(F1411&lt;0,"Return","OK")))))</f>
        <v>OK</v>
      </c>
      <c r="L1411" s="36" t="n">
        <f aca="false">IF(Raw_Export!$A1411="","",IF(OR(K1411="OK",K1411="Return"),1,0))</f>
        <v>1</v>
      </c>
      <c r="M1411" s="37" t="n">
        <f aca="false">IF(Raw_Export!$A1411="","",B1411-WEEKDAY(B1411,2)+1)</f>
        <v>46272</v>
      </c>
    </row>
    <row r="1412" customFormat="false" ht="15" hidden="false" customHeight="false" outlineLevel="0" collapsed="false">
      <c r="A1412" s="36" t="str">
        <f aca="false">IF(Raw_Export!$A1412="","",TRIM(Raw_Export!A1412))</f>
        <v>TXN-101383</v>
      </c>
      <c r="B1412" s="37" t="n">
        <f aca="false">IF(Raw_Export!$A1412="","",IF(ISNUMBER(Raw_Export!B1412),Raw_Export!B1412,IF(MID(TRIM(Raw_Export!B1412),5,1)="-",DATE(LEFT(TRIM(Raw_Export!B1412),4),MID(TRIM(Raw_Export!B1412),6,2),RIGHT(TRIM(Raw_Export!B1412),2)),DATE(RIGHT(TRIM(Raw_Export!B1412),4),MATCH(MID(TRIM(Raw_Export!B1412),4,3),{"Jan","Feb","Mar","Apr","May","Jun","Jul","Aug","Sep","Oct","Nov","Dec"},0),LEFT(TRIM(Raw_Export!B1412),2)))))</f>
        <v>46274</v>
      </c>
      <c r="C1412" s="36" t="str">
        <f aca="false">IF(Raw_Export!$A1412="","",IFERROR(VLOOKUP(LOWER(TRIM(Raw_Export!C1412)),Maps!$A$2:$B$20,2,FALSE()),"UNMAPPED"))</f>
        <v>Westlands</v>
      </c>
      <c r="D1412" s="36" t="str">
        <f aca="false">IF(Raw_Export!$A1412="","",IFERROR(VLOOKUP(LOWER(TRIM(Raw_Export!D1412)),Maps!$G$2:$I$80,2,FALSE()),"UNMAPPED"))</f>
        <v>Bath Soap 175g</v>
      </c>
      <c r="E1412" s="36" t="str">
        <f aca="false">IF(Raw_Export!$A1412="","",IFERROR(VLOOKUP(LOWER(TRIM(Raw_Export!D1412)),Maps!$G$2:$I$80,3,FALSE()),"UNMAPPED"))</f>
        <v>Personal Care</v>
      </c>
      <c r="F1412" s="36" t="n">
        <f aca="false">IF(Raw_Export!$A1412="","",IFERROR(VALUE(TRIM(Raw_Export!E1412)),0))</f>
        <v>2</v>
      </c>
      <c r="G1412" s="38" t="n">
        <f aca="false">IF(Raw_Export!$A1412="","",IFERROR(VALUE(SUBSTITUTE(SUBSTITUTE(UPPER(TRIM(Raw_Export!F1412)),"KES",""),",","")),0))</f>
        <v>85</v>
      </c>
      <c r="H1412" s="38" t="n">
        <f aca="false">IF(Raw_Export!$A1412="","",F1412*G1412)</f>
        <v>170</v>
      </c>
      <c r="I1412" s="36" t="str">
        <f aca="false">IF(Raw_Export!$A1412="","",IFERROR(VLOOKUP(LOWER(TRIM(Raw_Export!H1412)),Maps!$D$2:$E$12,2,FALSE()),"Other"))</f>
        <v>M-Pesa</v>
      </c>
      <c r="J1412" s="36" t="str">
        <f aca="false">IF(Raw_Export!$A1412="","",IF(COUNTIF($A$2:A1412,A1412)&gt;1,"Duplicate",""))</f>
        <v/>
      </c>
      <c r="K1412" s="36" t="str">
        <f aca="false">IF(Raw_Export!$A1412="","",IF(J1412="Duplicate","Duplicate",IF(OR(C1412="UNMAPPED",D1412="UNMAPPED"),"Unmapped",IF(F1412=0,"Blank qty",IF(F1412&lt;0,"Return","OK")))))</f>
        <v>OK</v>
      </c>
      <c r="L1412" s="36" t="n">
        <f aca="false">IF(Raw_Export!$A1412="","",IF(OR(K1412="OK",K1412="Return"),1,0))</f>
        <v>1</v>
      </c>
      <c r="M1412" s="37" t="n">
        <f aca="false">IF(Raw_Export!$A1412="","",B1412-WEEKDAY(B1412,2)+1)</f>
        <v>46272</v>
      </c>
    </row>
    <row r="1413" customFormat="false" ht="15" hidden="false" customHeight="false" outlineLevel="0" collapsed="false">
      <c r="A1413" s="36" t="str">
        <f aca="false">IF(Raw_Export!$A1413="","",TRIM(Raw_Export!A1413))</f>
        <v>TXN-101384</v>
      </c>
      <c r="B1413" s="37" t="n">
        <f aca="false">IF(Raw_Export!$A1413="","",IF(ISNUMBER(Raw_Export!B1413),Raw_Export!B1413,IF(MID(TRIM(Raw_Export!B1413),5,1)="-",DATE(LEFT(TRIM(Raw_Export!B1413),4),MID(TRIM(Raw_Export!B1413),6,2),RIGHT(TRIM(Raw_Export!B1413),2)),DATE(RIGHT(TRIM(Raw_Export!B1413),4),MATCH(MID(TRIM(Raw_Export!B1413),4,3),{"Jan","Feb","Mar","Apr","May","Jun","Jul","Aug","Sep","Oct","Nov","Dec"},0),LEFT(TRIM(Raw_Export!B1413),2)))))</f>
        <v>46274</v>
      </c>
      <c r="C1413" s="36" t="str">
        <f aca="false">IF(Raw_Export!$A1413="","",IFERROR(VLOOKUP(LOWER(TRIM(Raw_Export!C1413)),Maps!$A$2:$B$20,2,FALSE()),"UNMAPPED"))</f>
        <v>Westlands</v>
      </c>
      <c r="D1413" s="36" t="str">
        <f aca="false">IF(Raw_Export!$A1413="","",IFERROR(VLOOKUP(LOWER(TRIM(Raw_Export!D1413)),Maps!$G$2:$I$80,2,FALSE()),"UNMAPPED"))</f>
        <v>Washing Powder 1kg</v>
      </c>
      <c r="E1413" s="36" t="str">
        <f aca="false">IF(Raw_Export!$A1413="","",IFERROR(VLOOKUP(LOWER(TRIM(Raw_Export!D1413)),Maps!$G$2:$I$80,3,FALSE()),"UNMAPPED"))</f>
        <v>Household</v>
      </c>
      <c r="F1413" s="36" t="n">
        <f aca="false">IF(Raw_Export!$A1413="","",IFERROR(VALUE(TRIM(Raw_Export!E1413)),0))</f>
        <v>2</v>
      </c>
      <c r="G1413" s="38" t="n">
        <f aca="false">IF(Raw_Export!$A1413="","",IFERROR(VALUE(SUBSTITUTE(SUBSTITUTE(UPPER(TRIM(Raw_Export!F1413)),"KES",""),",","")),0))</f>
        <v>280</v>
      </c>
      <c r="H1413" s="38" t="n">
        <f aca="false">IF(Raw_Export!$A1413="","",F1413*G1413)</f>
        <v>560</v>
      </c>
      <c r="I1413" s="36" t="str">
        <f aca="false">IF(Raw_Export!$A1413="","",IFERROR(VLOOKUP(LOWER(TRIM(Raw_Export!H1413)),Maps!$D$2:$E$12,2,FALSE()),"Other"))</f>
        <v>Card</v>
      </c>
      <c r="J1413" s="36" t="str">
        <f aca="false">IF(Raw_Export!$A1413="","",IF(COUNTIF($A$2:A1413,A1413)&gt;1,"Duplicate",""))</f>
        <v/>
      </c>
      <c r="K1413" s="36" t="str">
        <f aca="false">IF(Raw_Export!$A1413="","",IF(J1413="Duplicate","Duplicate",IF(OR(C1413="UNMAPPED",D1413="UNMAPPED"),"Unmapped",IF(F1413=0,"Blank qty",IF(F1413&lt;0,"Return","OK")))))</f>
        <v>OK</v>
      </c>
      <c r="L1413" s="36" t="n">
        <f aca="false">IF(Raw_Export!$A1413="","",IF(OR(K1413="OK",K1413="Return"),1,0))</f>
        <v>1</v>
      </c>
      <c r="M1413" s="37" t="n">
        <f aca="false">IF(Raw_Export!$A1413="","",B1413-WEEKDAY(B1413,2)+1)</f>
        <v>46272</v>
      </c>
    </row>
    <row r="1414" customFormat="false" ht="15" hidden="false" customHeight="false" outlineLevel="0" collapsed="false">
      <c r="A1414" s="36" t="str">
        <f aca="false">IF(Raw_Export!$A1414="","",TRIM(Raw_Export!A1414))</f>
        <v>TXN-101385</v>
      </c>
      <c r="B1414" s="37" t="n">
        <f aca="false">IF(Raw_Export!$A1414="","",IF(ISNUMBER(Raw_Export!B1414),Raw_Export!B1414,IF(MID(TRIM(Raw_Export!B1414),5,1)="-",DATE(LEFT(TRIM(Raw_Export!B1414),4),MID(TRIM(Raw_Export!B1414),6,2),RIGHT(TRIM(Raw_Export!B1414),2)),DATE(RIGHT(TRIM(Raw_Export!B1414),4),MATCH(MID(TRIM(Raw_Export!B1414),4,3),{"Jan","Feb","Mar","Apr","May","Jun","Jul","Aug","Sep","Oct","Nov","Dec"},0),LEFT(TRIM(Raw_Export!B1414),2)))))</f>
        <v>46274</v>
      </c>
      <c r="C1414" s="36" t="str">
        <f aca="false">IF(Raw_Export!$A1414="","",IFERROR(VLOOKUP(LOWER(TRIM(Raw_Export!C1414)),Maps!$A$2:$B$20,2,FALSE()),"UNMAPPED"))</f>
        <v>Westlands</v>
      </c>
      <c r="D1414" s="36" t="str">
        <f aca="false">IF(Raw_Export!$A1414="","",IFERROR(VLOOKUP(LOWER(TRIM(Raw_Export!D1414)),Maps!$G$2:$I$80,2,FALSE()),"UNMAPPED"))</f>
        <v>Eggs Tray 30</v>
      </c>
      <c r="E1414" s="36" t="str">
        <f aca="false">IF(Raw_Export!$A1414="","",IFERROR(VLOOKUP(LOWER(TRIM(Raw_Export!D1414)),Maps!$G$2:$I$80,3,FALSE()),"UNMAPPED"))</f>
        <v>Dairy &amp; Eggs</v>
      </c>
      <c r="F1414" s="36" t="n">
        <f aca="false">IF(Raw_Export!$A1414="","",IFERROR(VALUE(TRIM(Raw_Export!E1414)),0))</f>
        <v>0</v>
      </c>
      <c r="G1414" s="38" t="n">
        <f aca="false">IF(Raw_Export!$A1414="","",IFERROR(VALUE(SUBSTITUTE(SUBSTITUTE(UPPER(TRIM(Raw_Export!F1414)),"KES",""),",","")),0))</f>
        <v>450</v>
      </c>
      <c r="H1414" s="38" t="n">
        <f aca="false">IF(Raw_Export!$A1414="","",F1414*G1414)</f>
        <v>0</v>
      </c>
      <c r="I1414" s="36" t="str">
        <f aca="false">IF(Raw_Export!$A1414="","",IFERROR(VLOOKUP(LOWER(TRIM(Raw_Export!H1414)),Maps!$D$2:$E$12,2,FALSE()),"Other"))</f>
        <v>M-Pesa</v>
      </c>
      <c r="J1414" s="36" t="str">
        <f aca="false">IF(Raw_Export!$A1414="","",IF(COUNTIF($A$2:A1414,A1414)&gt;1,"Duplicate",""))</f>
        <v/>
      </c>
      <c r="K1414" s="36" t="str">
        <f aca="false">IF(Raw_Export!$A1414="","",IF(J1414="Duplicate","Duplicate",IF(OR(C1414="UNMAPPED",D1414="UNMAPPED"),"Unmapped",IF(F1414=0,"Blank qty",IF(F1414&lt;0,"Return","OK")))))</f>
        <v>Blank qty</v>
      </c>
      <c r="L1414" s="36" t="n">
        <f aca="false">IF(Raw_Export!$A1414="","",IF(OR(K1414="OK",K1414="Return"),1,0))</f>
        <v>0</v>
      </c>
      <c r="M1414" s="37" t="n">
        <f aca="false">IF(Raw_Export!$A1414="","",B1414-WEEKDAY(B1414,2)+1)</f>
        <v>46272</v>
      </c>
    </row>
    <row r="1415" customFormat="false" ht="15" hidden="false" customHeight="false" outlineLevel="0" collapsed="false">
      <c r="A1415" s="36" t="str">
        <f aca="false">IF(Raw_Export!$A1415="","",TRIM(Raw_Export!A1415))</f>
        <v>TXN-101386</v>
      </c>
      <c r="B1415" s="37" t="n">
        <f aca="false">IF(Raw_Export!$A1415="","",IF(ISNUMBER(Raw_Export!B1415),Raw_Export!B1415,IF(MID(TRIM(Raw_Export!B1415),5,1)="-",DATE(LEFT(TRIM(Raw_Export!B1415),4),MID(TRIM(Raw_Export!B1415),6,2),RIGHT(TRIM(Raw_Export!B1415),2)),DATE(RIGHT(TRIM(Raw_Export!B1415),4),MATCH(MID(TRIM(Raw_Export!B1415),4,3),{"Jan","Feb","Mar","Apr","May","Jun","Jul","Aug","Sep","Oct","Nov","Dec"},0),LEFT(TRIM(Raw_Export!B1415),2)))))</f>
        <v>46274</v>
      </c>
      <c r="C1415" s="36" t="str">
        <f aca="false">IF(Raw_Export!$A1415="","",IFERROR(VLOOKUP(LOWER(TRIM(Raw_Export!C1415)),Maps!$A$2:$B$20,2,FALSE()),"UNMAPPED"))</f>
        <v>Westlands</v>
      </c>
      <c r="D1415" s="36" t="str">
        <f aca="false">IF(Raw_Export!$A1415="","",IFERROR(VLOOKUP(LOWER(TRIM(Raw_Export!D1415)),Maps!$G$2:$I$80,2,FALSE()),"UNMAPPED"))</f>
        <v>Peanuts 250g</v>
      </c>
      <c r="E1415" s="36" t="str">
        <f aca="false">IF(Raw_Export!$A1415="","",IFERROR(VLOOKUP(LOWER(TRIM(Raw_Export!D1415)),Maps!$G$2:$I$80,3,FALSE()),"UNMAPPED"))</f>
        <v>Snacks</v>
      </c>
      <c r="F1415" s="36" t="n">
        <f aca="false">IF(Raw_Export!$A1415="","",IFERROR(VALUE(TRIM(Raw_Export!E1415)),0))</f>
        <v>1</v>
      </c>
      <c r="G1415" s="38" t="n">
        <f aca="false">IF(Raw_Export!$A1415="","",IFERROR(VALUE(SUBSTITUTE(SUBSTITUTE(UPPER(TRIM(Raw_Export!F1415)),"KES",""),",","")),0))</f>
        <v>130</v>
      </c>
      <c r="H1415" s="38" t="n">
        <f aca="false">IF(Raw_Export!$A1415="","",F1415*G1415)</f>
        <v>130</v>
      </c>
      <c r="I1415" s="36" t="str">
        <f aca="false">IF(Raw_Export!$A1415="","",IFERROR(VLOOKUP(LOWER(TRIM(Raw_Export!H1415)),Maps!$D$2:$E$12,2,FALSE()),"Other"))</f>
        <v>Cash</v>
      </c>
      <c r="J1415" s="36" t="str">
        <f aca="false">IF(Raw_Export!$A1415="","",IF(COUNTIF($A$2:A1415,A1415)&gt;1,"Duplicate",""))</f>
        <v/>
      </c>
      <c r="K1415" s="36" t="str">
        <f aca="false">IF(Raw_Export!$A1415="","",IF(J1415="Duplicate","Duplicate",IF(OR(C1415="UNMAPPED",D1415="UNMAPPED"),"Unmapped",IF(F1415=0,"Blank qty",IF(F1415&lt;0,"Return","OK")))))</f>
        <v>OK</v>
      </c>
      <c r="L1415" s="36" t="n">
        <f aca="false">IF(Raw_Export!$A1415="","",IF(OR(K1415="OK",K1415="Return"),1,0))</f>
        <v>1</v>
      </c>
      <c r="M1415" s="37" t="n">
        <f aca="false">IF(Raw_Export!$A1415="","",B1415-WEEKDAY(B1415,2)+1)</f>
        <v>46272</v>
      </c>
    </row>
    <row r="1416" customFormat="false" ht="15" hidden="false" customHeight="false" outlineLevel="0" collapsed="false">
      <c r="A1416" s="36" t="str">
        <f aca="false">IF(Raw_Export!$A1416="","",TRIM(Raw_Export!A1416))</f>
        <v>TXN-101387</v>
      </c>
      <c r="B1416" s="37" t="n">
        <f aca="false">IF(Raw_Export!$A1416="","",IF(ISNUMBER(Raw_Export!B1416),Raw_Export!B1416,IF(MID(TRIM(Raw_Export!B1416),5,1)="-",DATE(LEFT(TRIM(Raw_Export!B1416),4),MID(TRIM(Raw_Export!B1416),6,2),RIGHT(TRIM(Raw_Export!B1416),2)),DATE(RIGHT(TRIM(Raw_Export!B1416),4),MATCH(MID(TRIM(Raw_Export!B1416),4,3),{"Jan","Feb","Mar","Apr","May","Jun","Jul","Aug","Sep","Oct","Nov","Dec"},0),LEFT(TRIM(Raw_Export!B1416),2)))))</f>
        <v>46274</v>
      </c>
      <c r="C1416" s="36" t="str">
        <f aca="false">IF(Raw_Export!$A1416="","",IFERROR(VLOOKUP(LOWER(TRIM(Raw_Export!C1416)),Maps!$A$2:$B$20,2,FALSE()),"UNMAPPED"))</f>
        <v>Westlands</v>
      </c>
      <c r="D1416" s="36" t="str">
        <f aca="false">IF(Raw_Export!$A1416="","",IFERROR(VLOOKUP(LOWER(TRIM(Raw_Export!D1416)),Maps!$G$2:$I$80,2,FALSE()),"UNMAPPED"))</f>
        <v>Bread Loaf 400g</v>
      </c>
      <c r="E1416" s="36" t="str">
        <f aca="false">IF(Raw_Export!$A1416="","",IFERROR(VLOOKUP(LOWER(TRIM(Raw_Export!D1416)),Maps!$G$2:$I$80,3,FALSE()),"UNMAPPED"))</f>
        <v>Snacks</v>
      </c>
      <c r="F1416" s="36" t="n">
        <f aca="false">IF(Raw_Export!$A1416="","",IFERROR(VALUE(TRIM(Raw_Export!E1416)),0))</f>
        <v>1</v>
      </c>
      <c r="G1416" s="38" t="n">
        <f aca="false">IF(Raw_Export!$A1416="","",IFERROR(VALUE(SUBSTITUTE(SUBSTITUTE(UPPER(TRIM(Raw_Export!F1416)),"KES",""),",","")),0))</f>
        <v>65</v>
      </c>
      <c r="H1416" s="38" t="n">
        <f aca="false">IF(Raw_Export!$A1416="","",F1416*G1416)</f>
        <v>65</v>
      </c>
      <c r="I1416" s="36" t="str">
        <f aca="false">IF(Raw_Export!$A1416="","",IFERROR(VLOOKUP(LOWER(TRIM(Raw_Export!H1416)),Maps!$D$2:$E$12,2,FALSE()),"Other"))</f>
        <v>M-Pesa</v>
      </c>
      <c r="J1416" s="36" t="str">
        <f aca="false">IF(Raw_Export!$A1416="","",IF(COUNTIF($A$2:A1416,A1416)&gt;1,"Duplicate",""))</f>
        <v/>
      </c>
      <c r="K1416" s="36" t="str">
        <f aca="false">IF(Raw_Export!$A1416="","",IF(J1416="Duplicate","Duplicate",IF(OR(C1416="UNMAPPED",D1416="UNMAPPED"),"Unmapped",IF(F1416=0,"Blank qty",IF(F1416&lt;0,"Return","OK")))))</f>
        <v>OK</v>
      </c>
      <c r="L1416" s="36" t="n">
        <f aca="false">IF(Raw_Export!$A1416="","",IF(OR(K1416="OK",K1416="Return"),1,0))</f>
        <v>1</v>
      </c>
      <c r="M1416" s="37" t="n">
        <f aca="false">IF(Raw_Export!$A1416="","",B1416-WEEKDAY(B1416,2)+1)</f>
        <v>46272</v>
      </c>
    </row>
    <row r="1417" customFormat="false" ht="15" hidden="false" customHeight="false" outlineLevel="0" collapsed="false">
      <c r="A1417" s="36" t="str">
        <f aca="false">IF(Raw_Export!$A1417="","",TRIM(Raw_Export!A1417))</f>
        <v>TXN-101388</v>
      </c>
      <c r="B1417" s="37" t="n">
        <f aca="false">IF(Raw_Export!$A1417="","",IF(ISNUMBER(Raw_Export!B1417),Raw_Export!B1417,IF(MID(TRIM(Raw_Export!B1417),5,1)="-",DATE(LEFT(TRIM(Raw_Export!B1417),4),MID(TRIM(Raw_Export!B1417),6,2),RIGHT(TRIM(Raw_Export!B1417),2)),DATE(RIGHT(TRIM(Raw_Export!B1417),4),MATCH(MID(TRIM(Raw_Export!B1417),4,3),{"Jan","Feb","Mar","Apr","May","Jun","Jul","Aug","Sep","Oct","Nov","Dec"},0),LEFT(TRIM(Raw_Export!B1417),2)))))</f>
        <v>46274</v>
      </c>
      <c r="C1417" s="36" t="str">
        <f aca="false">IF(Raw_Export!$A1417="","",IFERROR(VLOOKUP(LOWER(TRIM(Raw_Export!C1417)),Maps!$A$2:$B$20,2,FALSE()),"UNMAPPED"))</f>
        <v>Westlands</v>
      </c>
      <c r="D1417" s="36" t="str">
        <f aca="false">IF(Raw_Export!$A1417="","",IFERROR(VLOOKUP(LOWER(TRIM(Raw_Export!D1417)),Maps!$G$2:$I$80,2,FALSE()),"UNMAPPED"))</f>
        <v>Unga Pembe 2kg</v>
      </c>
      <c r="E1417" s="36" t="str">
        <f aca="false">IF(Raw_Export!$A1417="","",IFERROR(VLOOKUP(LOWER(TRIM(Raw_Export!D1417)),Maps!$G$2:$I$80,3,FALSE()),"UNMAPPED"))</f>
        <v>Staples</v>
      </c>
      <c r="F1417" s="36" t="n">
        <f aca="false">IF(Raw_Export!$A1417="","",IFERROR(VALUE(TRIM(Raw_Export!E1417)),0))</f>
        <v>1</v>
      </c>
      <c r="G1417" s="38" t="n">
        <f aca="false">IF(Raw_Export!$A1417="","",IFERROR(VALUE(SUBSTITUTE(SUBSTITUTE(UPPER(TRIM(Raw_Export!F1417)),"KES",""),",","")),0))</f>
        <v>190</v>
      </c>
      <c r="H1417" s="38" t="n">
        <f aca="false">IF(Raw_Export!$A1417="","",F1417*G1417)</f>
        <v>190</v>
      </c>
      <c r="I1417" s="36" t="str">
        <f aca="false">IF(Raw_Export!$A1417="","",IFERROR(VLOOKUP(LOWER(TRIM(Raw_Export!H1417)),Maps!$D$2:$E$12,2,FALSE()),"Other"))</f>
        <v>Cash</v>
      </c>
      <c r="J1417" s="36" t="str">
        <f aca="false">IF(Raw_Export!$A1417="","",IF(COUNTIF($A$2:A1417,A1417)&gt;1,"Duplicate",""))</f>
        <v/>
      </c>
      <c r="K1417" s="36" t="str">
        <f aca="false">IF(Raw_Export!$A1417="","",IF(J1417="Duplicate","Duplicate",IF(OR(C1417="UNMAPPED",D1417="UNMAPPED"),"Unmapped",IF(F1417=0,"Blank qty",IF(F1417&lt;0,"Return","OK")))))</f>
        <v>OK</v>
      </c>
      <c r="L1417" s="36" t="n">
        <f aca="false">IF(Raw_Export!$A1417="","",IF(OR(K1417="OK",K1417="Return"),1,0))</f>
        <v>1</v>
      </c>
      <c r="M1417" s="37" t="n">
        <f aca="false">IF(Raw_Export!$A1417="","",B1417-WEEKDAY(B1417,2)+1)</f>
        <v>46272</v>
      </c>
    </row>
    <row r="1418" customFormat="false" ht="15" hidden="false" customHeight="false" outlineLevel="0" collapsed="false">
      <c r="A1418" s="36" t="str">
        <f aca="false">IF(Raw_Export!$A1418="","",TRIM(Raw_Export!A1418))</f>
        <v>TXN-101389</v>
      </c>
      <c r="B1418" s="37" t="n">
        <f aca="false">IF(Raw_Export!$A1418="","",IF(ISNUMBER(Raw_Export!B1418),Raw_Export!B1418,IF(MID(TRIM(Raw_Export!B1418),5,1)="-",DATE(LEFT(TRIM(Raw_Export!B1418),4),MID(TRIM(Raw_Export!B1418),6,2),RIGHT(TRIM(Raw_Export!B1418),2)),DATE(RIGHT(TRIM(Raw_Export!B1418),4),MATCH(MID(TRIM(Raw_Export!B1418),4,3),{"Jan","Feb","Mar","Apr","May","Jun","Jul","Aug","Sep","Oct","Nov","Dec"},0),LEFT(TRIM(Raw_Export!B1418),2)))))</f>
        <v>46274</v>
      </c>
      <c r="C1418" s="36" t="str">
        <f aca="false">IF(Raw_Export!$A1418="","",IFERROR(VLOOKUP(LOWER(TRIM(Raw_Export!C1418)),Maps!$A$2:$B$20,2,FALSE()),"UNMAPPED"))</f>
        <v>Westlands</v>
      </c>
      <c r="D1418" s="36" t="str">
        <f aca="false">IF(Raw_Export!$A1418="","",IFERROR(VLOOKUP(LOWER(TRIM(Raw_Export!D1418)),Maps!$G$2:$I$80,2,FALSE()),"UNMAPPED"))</f>
        <v>Toilet Paper 10pk</v>
      </c>
      <c r="E1418" s="36" t="str">
        <f aca="false">IF(Raw_Export!$A1418="","",IFERROR(VLOOKUP(LOWER(TRIM(Raw_Export!D1418)),Maps!$G$2:$I$80,3,FALSE()),"UNMAPPED"))</f>
        <v>Household</v>
      </c>
      <c r="F1418" s="36" t="n">
        <f aca="false">IF(Raw_Export!$A1418="","",IFERROR(VALUE(TRIM(Raw_Export!E1418)),0))</f>
        <v>-2</v>
      </c>
      <c r="G1418" s="38" t="n">
        <f aca="false">IF(Raw_Export!$A1418="","",IFERROR(VALUE(SUBSTITUTE(SUBSTITUTE(UPPER(TRIM(Raw_Export!F1418)),"KES",""),",","")),0))</f>
        <v>380</v>
      </c>
      <c r="H1418" s="38" t="n">
        <f aca="false">IF(Raw_Export!$A1418="","",F1418*G1418)</f>
        <v>-760</v>
      </c>
      <c r="I1418" s="36" t="str">
        <f aca="false">IF(Raw_Export!$A1418="","",IFERROR(VLOOKUP(LOWER(TRIM(Raw_Export!H1418)),Maps!$D$2:$E$12,2,FALSE()),"Other"))</f>
        <v>Card</v>
      </c>
      <c r="J1418" s="36" t="str">
        <f aca="false">IF(Raw_Export!$A1418="","",IF(COUNTIF($A$2:A1418,A1418)&gt;1,"Duplicate",""))</f>
        <v/>
      </c>
      <c r="K1418" s="36" t="str">
        <f aca="false">IF(Raw_Export!$A1418="","",IF(J1418="Duplicate","Duplicate",IF(OR(C1418="UNMAPPED",D1418="UNMAPPED"),"Unmapped",IF(F1418=0,"Blank qty",IF(F1418&lt;0,"Return","OK")))))</f>
        <v>Return</v>
      </c>
      <c r="L1418" s="36" t="n">
        <f aca="false">IF(Raw_Export!$A1418="","",IF(OR(K1418="OK",K1418="Return"),1,0))</f>
        <v>1</v>
      </c>
      <c r="M1418" s="37" t="n">
        <f aca="false">IF(Raw_Export!$A1418="","",B1418-WEEKDAY(B1418,2)+1)</f>
        <v>46272</v>
      </c>
    </row>
    <row r="1419" customFormat="false" ht="15" hidden="false" customHeight="false" outlineLevel="0" collapsed="false">
      <c r="A1419" s="36" t="str">
        <f aca="false">IF(Raw_Export!$A1419="","",TRIM(Raw_Export!A1419))</f>
        <v>TXN-101390</v>
      </c>
      <c r="B1419" s="37" t="n">
        <f aca="false">IF(Raw_Export!$A1419="","",IF(ISNUMBER(Raw_Export!B1419),Raw_Export!B1419,IF(MID(TRIM(Raw_Export!B1419),5,1)="-",DATE(LEFT(TRIM(Raw_Export!B1419),4),MID(TRIM(Raw_Export!B1419),6,2),RIGHT(TRIM(Raw_Export!B1419),2)),DATE(RIGHT(TRIM(Raw_Export!B1419),4),MATCH(MID(TRIM(Raw_Export!B1419),4,3),{"Jan","Feb","Mar","Apr","May","Jun","Jul","Aug","Sep","Oct","Nov","Dec"},0),LEFT(TRIM(Raw_Export!B1419),2)))))</f>
        <v>46274</v>
      </c>
      <c r="C1419" s="36" t="str">
        <f aca="false">IF(Raw_Export!$A1419="","",IFERROR(VLOOKUP(LOWER(TRIM(Raw_Export!C1419)),Maps!$A$2:$B$20,2,FALSE()),"UNMAPPED"))</f>
        <v>Mombasa</v>
      </c>
      <c r="D1419" s="36" t="str">
        <f aca="false">IF(Raw_Export!$A1419="","",IFERROR(VLOOKUP(LOWER(TRIM(Raw_Export!D1419)),Maps!$G$2:$I$80,2,FALSE()),"UNMAPPED"))</f>
        <v>Tea Leaves 250g</v>
      </c>
      <c r="E1419" s="36" t="str">
        <f aca="false">IF(Raw_Export!$A1419="","",IFERROR(VLOOKUP(LOWER(TRIM(Raw_Export!D1419)),Maps!$G$2:$I$80,3,FALSE()),"UNMAPPED"))</f>
        <v>Beverages</v>
      </c>
      <c r="F1419" s="36" t="n">
        <f aca="false">IF(Raw_Export!$A1419="","",IFERROR(VALUE(TRIM(Raw_Export!E1419)),0))</f>
        <v>1</v>
      </c>
      <c r="G1419" s="38" t="n">
        <f aca="false">IF(Raw_Export!$A1419="","",IFERROR(VALUE(SUBSTITUTE(SUBSTITUTE(UPPER(TRIM(Raw_Export!F1419)),"KES",""),",","")),0))</f>
        <v>150</v>
      </c>
      <c r="H1419" s="38" t="n">
        <f aca="false">IF(Raw_Export!$A1419="","",F1419*G1419)</f>
        <v>150</v>
      </c>
      <c r="I1419" s="36" t="str">
        <f aca="false">IF(Raw_Export!$A1419="","",IFERROR(VLOOKUP(LOWER(TRIM(Raw_Export!H1419)),Maps!$D$2:$E$12,2,FALSE()),"Other"))</f>
        <v>M-Pesa</v>
      </c>
      <c r="J1419" s="36" t="str">
        <f aca="false">IF(Raw_Export!$A1419="","",IF(COUNTIF($A$2:A1419,A1419)&gt;1,"Duplicate",""))</f>
        <v/>
      </c>
      <c r="K1419" s="36" t="str">
        <f aca="false">IF(Raw_Export!$A1419="","",IF(J1419="Duplicate","Duplicate",IF(OR(C1419="UNMAPPED",D1419="UNMAPPED"),"Unmapped",IF(F1419=0,"Blank qty",IF(F1419&lt;0,"Return","OK")))))</f>
        <v>OK</v>
      </c>
      <c r="L1419" s="36" t="n">
        <f aca="false">IF(Raw_Export!$A1419="","",IF(OR(K1419="OK",K1419="Return"),1,0))</f>
        <v>1</v>
      </c>
      <c r="M1419" s="37" t="n">
        <f aca="false">IF(Raw_Export!$A1419="","",B1419-WEEKDAY(B1419,2)+1)</f>
        <v>46272</v>
      </c>
    </row>
    <row r="1420" customFormat="false" ht="15" hidden="false" customHeight="false" outlineLevel="0" collapsed="false">
      <c r="A1420" s="36" t="str">
        <f aca="false">IF(Raw_Export!$A1420="","",TRIM(Raw_Export!A1420))</f>
        <v>TXN-101391</v>
      </c>
      <c r="B1420" s="37" t="n">
        <f aca="false">IF(Raw_Export!$A1420="","",IF(ISNUMBER(Raw_Export!B1420),Raw_Export!B1420,IF(MID(TRIM(Raw_Export!B1420),5,1)="-",DATE(LEFT(TRIM(Raw_Export!B1420),4),MID(TRIM(Raw_Export!B1420),6,2),RIGHT(TRIM(Raw_Export!B1420),2)),DATE(RIGHT(TRIM(Raw_Export!B1420),4),MATCH(MID(TRIM(Raw_Export!B1420),4,3),{"Jan","Feb","Mar","Apr","May","Jun","Jul","Aug","Sep","Oct","Nov","Dec"},0),LEFT(TRIM(Raw_Export!B1420),2)))))</f>
        <v>46274</v>
      </c>
      <c r="C1420" s="36" t="str">
        <f aca="false">IF(Raw_Export!$A1420="","",IFERROR(VLOOKUP(LOWER(TRIM(Raw_Export!C1420)),Maps!$A$2:$B$20,2,FALSE()),"UNMAPPED"))</f>
        <v>Mombasa</v>
      </c>
      <c r="D1420" s="36" t="str">
        <f aca="false">IF(Raw_Export!$A1420="","",IFERROR(VLOOKUP(LOWER(TRIM(Raw_Export!D1420)),Maps!$G$2:$I$80,2,FALSE()),"UNMAPPED"))</f>
        <v>Juice 1L</v>
      </c>
      <c r="E1420" s="36" t="str">
        <f aca="false">IF(Raw_Export!$A1420="","",IFERROR(VLOOKUP(LOWER(TRIM(Raw_Export!D1420)),Maps!$G$2:$I$80,3,FALSE()),"UNMAPPED"))</f>
        <v>Beverages</v>
      </c>
      <c r="F1420" s="36" t="n">
        <f aca="false">IF(Raw_Export!$A1420="","",IFERROR(VALUE(TRIM(Raw_Export!E1420)),0))</f>
        <v>3</v>
      </c>
      <c r="G1420" s="38" t="n">
        <f aca="false">IF(Raw_Export!$A1420="","",IFERROR(VALUE(SUBSTITUTE(SUBSTITUTE(UPPER(TRIM(Raw_Export!F1420)),"KES",""),",","")),0))</f>
        <v>210</v>
      </c>
      <c r="H1420" s="38" t="n">
        <f aca="false">IF(Raw_Export!$A1420="","",F1420*G1420)</f>
        <v>630</v>
      </c>
      <c r="I1420" s="36" t="str">
        <f aca="false">IF(Raw_Export!$A1420="","",IFERROR(VLOOKUP(LOWER(TRIM(Raw_Export!H1420)),Maps!$D$2:$E$12,2,FALSE()),"Other"))</f>
        <v>M-Pesa</v>
      </c>
      <c r="J1420" s="36" t="str">
        <f aca="false">IF(Raw_Export!$A1420="","",IF(COUNTIF($A$2:A1420,A1420)&gt;1,"Duplicate",""))</f>
        <v/>
      </c>
      <c r="K1420" s="36" t="str">
        <f aca="false">IF(Raw_Export!$A1420="","",IF(J1420="Duplicate","Duplicate",IF(OR(C1420="UNMAPPED",D1420="UNMAPPED"),"Unmapped",IF(F1420=0,"Blank qty",IF(F1420&lt;0,"Return","OK")))))</f>
        <v>OK</v>
      </c>
      <c r="L1420" s="36" t="n">
        <f aca="false">IF(Raw_Export!$A1420="","",IF(OR(K1420="OK",K1420="Return"),1,0))</f>
        <v>1</v>
      </c>
      <c r="M1420" s="37" t="n">
        <f aca="false">IF(Raw_Export!$A1420="","",B1420-WEEKDAY(B1420,2)+1)</f>
        <v>46272</v>
      </c>
    </row>
    <row r="1421" customFormat="false" ht="15" hidden="false" customHeight="false" outlineLevel="0" collapsed="false">
      <c r="A1421" s="36" t="str">
        <f aca="false">IF(Raw_Export!$A1421="","",TRIM(Raw_Export!A1421))</f>
        <v>TXN-101392</v>
      </c>
      <c r="B1421" s="37" t="n">
        <f aca="false">IF(Raw_Export!$A1421="","",IF(ISNUMBER(Raw_Export!B1421),Raw_Export!B1421,IF(MID(TRIM(Raw_Export!B1421),5,1)="-",DATE(LEFT(TRIM(Raw_Export!B1421),4),MID(TRIM(Raw_Export!B1421),6,2),RIGHT(TRIM(Raw_Export!B1421),2)),DATE(RIGHT(TRIM(Raw_Export!B1421),4),MATCH(MID(TRIM(Raw_Export!B1421),4,3),{"Jan","Feb","Mar","Apr","May","Jun","Jul","Aug","Sep","Oct","Nov","Dec"},0),LEFT(TRIM(Raw_Export!B1421),2)))))</f>
        <v>46274</v>
      </c>
      <c r="C1421" s="36" t="str">
        <f aca="false">IF(Raw_Export!$A1421="","",IFERROR(VLOOKUP(LOWER(TRIM(Raw_Export!C1421)),Maps!$A$2:$B$20,2,FALSE()),"UNMAPPED"))</f>
        <v>Mombasa</v>
      </c>
      <c r="D1421" s="36" t="str">
        <f aca="false">IF(Raw_Export!$A1421="","",IFERROR(VLOOKUP(LOWER(TRIM(Raw_Export!D1421)),Maps!$G$2:$I$80,2,FALSE()),"UNMAPPED"))</f>
        <v>Spaghetti 400g</v>
      </c>
      <c r="E1421" s="36" t="str">
        <f aca="false">IF(Raw_Export!$A1421="","",IFERROR(VLOOKUP(LOWER(TRIM(Raw_Export!D1421)),Maps!$G$2:$I$80,3,FALSE()),"UNMAPPED"))</f>
        <v>Staples</v>
      </c>
      <c r="F1421" s="36" t="n">
        <f aca="false">IF(Raw_Export!$A1421="","",IFERROR(VALUE(TRIM(Raw_Export!E1421)),0))</f>
        <v>2</v>
      </c>
      <c r="G1421" s="38" t="n">
        <f aca="false">IF(Raw_Export!$A1421="","",IFERROR(VALUE(SUBSTITUTE(SUBSTITUTE(UPPER(TRIM(Raw_Export!F1421)),"KES",""),",","")),0))</f>
        <v>110</v>
      </c>
      <c r="H1421" s="38" t="n">
        <f aca="false">IF(Raw_Export!$A1421="","",F1421*G1421)</f>
        <v>220</v>
      </c>
      <c r="I1421" s="36" t="str">
        <f aca="false">IF(Raw_Export!$A1421="","",IFERROR(VLOOKUP(LOWER(TRIM(Raw_Export!H1421)),Maps!$D$2:$E$12,2,FALSE()),"Other"))</f>
        <v>Cash</v>
      </c>
      <c r="J1421" s="36" t="str">
        <f aca="false">IF(Raw_Export!$A1421="","",IF(COUNTIF($A$2:A1421,A1421)&gt;1,"Duplicate",""))</f>
        <v/>
      </c>
      <c r="K1421" s="36" t="str">
        <f aca="false">IF(Raw_Export!$A1421="","",IF(J1421="Duplicate","Duplicate",IF(OR(C1421="UNMAPPED",D1421="UNMAPPED"),"Unmapped",IF(F1421=0,"Blank qty",IF(F1421&lt;0,"Return","OK")))))</f>
        <v>OK</v>
      </c>
      <c r="L1421" s="36" t="n">
        <f aca="false">IF(Raw_Export!$A1421="","",IF(OR(K1421="OK",K1421="Return"),1,0))</f>
        <v>1</v>
      </c>
      <c r="M1421" s="37" t="n">
        <f aca="false">IF(Raw_Export!$A1421="","",B1421-WEEKDAY(B1421,2)+1)</f>
        <v>46272</v>
      </c>
    </row>
    <row r="1422" customFormat="false" ht="15" hidden="false" customHeight="false" outlineLevel="0" collapsed="false">
      <c r="A1422" s="36" t="str">
        <f aca="false">IF(Raw_Export!$A1422="","",TRIM(Raw_Export!A1422))</f>
        <v>TXN-101393</v>
      </c>
      <c r="B1422" s="37" t="n">
        <f aca="false">IF(Raw_Export!$A1422="","",IF(ISNUMBER(Raw_Export!B1422),Raw_Export!B1422,IF(MID(TRIM(Raw_Export!B1422),5,1)="-",DATE(LEFT(TRIM(Raw_Export!B1422),4),MID(TRIM(Raw_Export!B1422),6,2),RIGHT(TRIM(Raw_Export!B1422),2)),DATE(RIGHT(TRIM(Raw_Export!B1422),4),MATCH(MID(TRIM(Raw_Export!B1422),4,3),{"Jan","Feb","Mar","Apr","May","Jun","Jul","Aug","Sep","Oct","Nov","Dec"},0),LEFT(TRIM(Raw_Export!B1422),2)))))</f>
        <v>46274</v>
      </c>
      <c r="C1422" s="36" t="str">
        <f aca="false">IF(Raw_Export!$A1422="","",IFERROR(VLOOKUP(LOWER(TRIM(Raw_Export!C1422)),Maps!$A$2:$B$20,2,FALSE()),"UNMAPPED"))</f>
        <v>Mombasa</v>
      </c>
      <c r="D1422" s="36" t="str">
        <f aca="false">IF(Raw_Export!$A1422="","",IFERROR(VLOOKUP(LOWER(TRIM(Raw_Export!D1422)),Maps!$G$2:$I$80,2,FALSE()),"UNMAPPED"))</f>
        <v>Sugar 2kg</v>
      </c>
      <c r="E1422" s="36" t="str">
        <f aca="false">IF(Raw_Export!$A1422="","",IFERROR(VLOOKUP(LOWER(TRIM(Raw_Export!D1422)),Maps!$G$2:$I$80,3,FALSE()),"UNMAPPED"))</f>
        <v>Staples</v>
      </c>
      <c r="F1422" s="36" t="n">
        <f aca="false">IF(Raw_Export!$A1422="","",IFERROR(VALUE(TRIM(Raw_Export!E1422)),0))</f>
        <v>1</v>
      </c>
      <c r="G1422" s="38" t="n">
        <f aca="false">IF(Raw_Export!$A1422="","",IFERROR(VALUE(SUBSTITUTE(SUBSTITUTE(UPPER(TRIM(Raw_Export!F1422)),"KES",""),",","")),0))</f>
        <v>330</v>
      </c>
      <c r="H1422" s="38" t="n">
        <f aca="false">IF(Raw_Export!$A1422="","",F1422*G1422)</f>
        <v>330</v>
      </c>
      <c r="I1422" s="36" t="str">
        <f aca="false">IF(Raw_Export!$A1422="","",IFERROR(VLOOKUP(LOWER(TRIM(Raw_Export!H1422)),Maps!$D$2:$E$12,2,FALSE()),"Other"))</f>
        <v>Cash</v>
      </c>
      <c r="J1422" s="36" t="str">
        <f aca="false">IF(Raw_Export!$A1422="","",IF(COUNTIF($A$2:A1422,A1422)&gt;1,"Duplicate",""))</f>
        <v/>
      </c>
      <c r="K1422" s="36" t="str">
        <f aca="false">IF(Raw_Export!$A1422="","",IF(J1422="Duplicate","Duplicate",IF(OR(C1422="UNMAPPED",D1422="UNMAPPED"),"Unmapped",IF(F1422=0,"Blank qty",IF(F1422&lt;0,"Return","OK")))))</f>
        <v>OK</v>
      </c>
      <c r="L1422" s="36" t="n">
        <f aca="false">IF(Raw_Export!$A1422="","",IF(OR(K1422="OK",K1422="Return"),1,0))</f>
        <v>1</v>
      </c>
      <c r="M1422" s="37" t="n">
        <f aca="false">IF(Raw_Export!$A1422="","",B1422-WEEKDAY(B1422,2)+1)</f>
        <v>46272</v>
      </c>
    </row>
    <row r="1423" customFormat="false" ht="15" hidden="false" customHeight="false" outlineLevel="0" collapsed="false">
      <c r="A1423" s="36" t="str">
        <f aca="false">IF(Raw_Export!$A1423="","",TRIM(Raw_Export!A1423))</f>
        <v>TXN-101394</v>
      </c>
      <c r="B1423" s="37" t="n">
        <f aca="false">IF(Raw_Export!$A1423="","",IF(ISNUMBER(Raw_Export!B1423),Raw_Export!B1423,IF(MID(TRIM(Raw_Export!B1423),5,1)="-",DATE(LEFT(TRIM(Raw_Export!B1423),4),MID(TRIM(Raw_Export!B1423),6,2),RIGHT(TRIM(Raw_Export!B1423),2)),DATE(RIGHT(TRIM(Raw_Export!B1423),4),MATCH(MID(TRIM(Raw_Export!B1423),4,3),{"Jan","Feb","Mar","Apr","May","Jun","Jul","Aug","Sep","Oct","Nov","Dec"},0),LEFT(TRIM(Raw_Export!B1423),2)))))</f>
        <v>46274</v>
      </c>
      <c r="C1423" s="36" t="str">
        <f aca="false">IF(Raw_Export!$A1423="","",IFERROR(VLOOKUP(LOWER(TRIM(Raw_Export!C1423)),Maps!$A$2:$B$20,2,FALSE()),"UNMAPPED"))</f>
        <v>Mombasa</v>
      </c>
      <c r="D1423" s="36" t="str">
        <f aca="false">IF(Raw_Export!$A1423="","",IFERROR(VLOOKUP(LOWER(TRIM(Raw_Export!D1423)),Maps!$G$2:$I$80,2,FALSE()),"UNMAPPED"))</f>
        <v>Rice Pishori 2kg</v>
      </c>
      <c r="E1423" s="36" t="str">
        <f aca="false">IF(Raw_Export!$A1423="","",IFERROR(VLOOKUP(LOWER(TRIM(Raw_Export!D1423)),Maps!$G$2:$I$80,3,FALSE()),"UNMAPPED"))</f>
        <v>Staples</v>
      </c>
      <c r="F1423" s="36" t="n">
        <f aca="false">IF(Raw_Export!$A1423="","",IFERROR(VALUE(TRIM(Raw_Export!E1423)),0))</f>
        <v>1</v>
      </c>
      <c r="G1423" s="38" t="n">
        <f aca="false">IF(Raw_Export!$A1423="","",IFERROR(VALUE(SUBSTITUTE(SUBSTITUTE(UPPER(TRIM(Raw_Export!F1423)),"KES",""),",","")),0))</f>
        <v>420</v>
      </c>
      <c r="H1423" s="38" t="n">
        <f aca="false">IF(Raw_Export!$A1423="","",F1423*G1423)</f>
        <v>420</v>
      </c>
      <c r="I1423" s="36" t="str">
        <f aca="false">IF(Raw_Export!$A1423="","",IFERROR(VLOOKUP(LOWER(TRIM(Raw_Export!H1423)),Maps!$D$2:$E$12,2,FALSE()),"Other"))</f>
        <v>Card</v>
      </c>
      <c r="J1423" s="36" t="str">
        <f aca="false">IF(Raw_Export!$A1423="","",IF(COUNTIF($A$2:A1423,A1423)&gt;1,"Duplicate",""))</f>
        <v/>
      </c>
      <c r="K1423" s="36" t="str">
        <f aca="false">IF(Raw_Export!$A1423="","",IF(J1423="Duplicate","Duplicate",IF(OR(C1423="UNMAPPED",D1423="UNMAPPED"),"Unmapped",IF(F1423=0,"Blank qty",IF(F1423&lt;0,"Return","OK")))))</f>
        <v>OK</v>
      </c>
      <c r="L1423" s="36" t="n">
        <f aca="false">IF(Raw_Export!$A1423="","",IF(OR(K1423="OK",K1423="Return"),1,0))</f>
        <v>1</v>
      </c>
      <c r="M1423" s="37" t="n">
        <f aca="false">IF(Raw_Export!$A1423="","",B1423-WEEKDAY(B1423,2)+1)</f>
        <v>46272</v>
      </c>
    </row>
    <row r="1424" customFormat="false" ht="15" hidden="false" customHeight="false" outlineLevel="0" collapsed="false">
      <c r="A1424" s="36" t="str">
        <f aca="false">IF(Raw_Export!$A1424="","",TRIM(Raw_Export!A1424))</f>
        <v>TXN-101395</v>
      </c>
      <c r="B1424" s="37" t="n">
        <f aca="false">IF(Raw_Export!$A1424="","",IF(ISNUMBER(Raw_Export!B1424),Raw_Export!B1424,IF(MID(TRIM(Raw_Export!B1424),5,1)="-",DATE(LEFT(TRIM(Raw_Export!B1424),4),MID(TRIM(Raw_Export!B1424),6,2),RIGHT(TRIM(Raw_Export!B1424),2)),DATE(RIGHT(TRIM(Raw_Export!B1424),4),MATCH(MID(TRIM(Raw_Export!B1424),4,3),{"Jan","Feb","Mar","Apr","May","Jun","Jul","Aug","Sep","Oct","Nov","Dec"},0),LEFT(TRIM(Raw_Export!B1424),2)))))</f>
        <v>46274</v>
      </c>
      <c r="C1424" s="36" t="str">
        <f aca="false">IF(Raw_Export!$A1424="","",IFERROR(VLOOKUP(LOWER(TRIM(Raw_Export!C1424)),Maps!$A$2:$B$20,2,FALSE()),"UNMAPPED"))</f>
        <v>Mombasa</v>
      </c>
      <c r="D1424" s="36" t="str">
        <f aca="false">IF(Raw_Export!$A1424="","",IFERROR(VLOOKUP(LOWER(TRIM(Raw_Export!D1424)),Maps!$G$2:$I$80,2,FALSE()),"UNMAPPED"))</f>
        <v>Biscuits 200g</v>
      </c>
      <c r="E1424" s="36" t="str">
        <f aca="false">IF(Raw_Export!$A1424="","",IFERROR(VLOOKUP(LOWER(TRIM(Raw_Export!D1424)),Maps!$G$2:$I$80,3,FALSE()),"UNMAPPED"))</f>
        <v>Snacks</v>
      </c>
      <c r="F1424" s="36" t="n">
        <f aca="false">IF(Raw_Export!$A1424="","",IFERROR(VALUE(TRIM(Raw_Export!E1424)),0))</f>
        <v>1</v>
      </c>
      <c r="G1424" s="38" t="n">
        <f aca="false">IF(Raw_Export!$A1424="","",IFERROR(VALUE(SUBSTITUTE(SUBSTITUTE(UPPER(TRIM(Raw_Export!F1424)),"KES",""),",","")),0))</f>
        <v>95</v>
      </c>
      <c r="H1424" s="38" t="n">
        <f aca="false">IF(Raw_Export!$A1424="","",F1424*G1424)</f>
        <v>95</v>
      </c>
      <c r="I1424" s="36" t="str">
        <f aca="false">IF(Raw_Export!$A1424="","",IFERROR(VLOOKUP(LOWER(TRIM(Raw_Export!H1424)),Maps!$D$2:$E$12,2,FALSE()),"Other"))</f>
        <v>Cash</v>
      </c>
      <c r="J1424" s="36" t="str">
        <f aca="false">IF(Raw_Export!$A1424="","",IF(COUNTIF($A$2:A1424,A1424)&gt;1,"Duplicate",""))</f>
        <v/>
      </c>
      <c r="K1424" s="36" t="str">
        <f aca="false">IF(Raw_Export!$A1424="","",IF(J1424="Duplicate","Duplicate",IF(OR(C1424="UNMAPPED",D1424="UNMAPPED"),"Unmapped",IF(F1424=0,"Blank qty",IF(F1424&lt;0,"Return","OK")))))</f>
        <v>OK</v>
      </c>
      <c r="L1424" s="36" t="n">
        <f aca="false">IF(Raw_Export!$A1424="","",IF(OR(K1424="OK",K1424="Return"),1,0))</f>
        <v>1</v>
      </c>
      <c r="M1424" s="37" t="n">
        <f aca="false">IF(Raw_Export!$A1424="","",B1424-WEEKDAY(B1424,2)+1)</f>
        <v>46272</v>
      </c>
    </row>
    <row r="1425" customFormat="false" ht="15" hidden="false" customHeight="false" outlineLevel="0" collapsed="false">
      <c r="A1425" s="36" t="str">
        <f aca="false">IF(Raw_Export!$A1425="","",TRIM(Raw_Export!A1425))</f>
        <v>TXN-101396</v>
      </c>
      <c r="B1425" s="37" t="n">
        <f aca="false">IF(Raw_Export!$A1425="","",IF(ISNUMBER(Raw_Export!B1425),Raw_Export!B1425,IF(MID(TRIM(Raw_Export!B1425),5,1)="-",DATE(LEFT(TRIM(Raw_Export!B1425),4),MID(TRIM(Raw_Export!B1425),6,2),RIGHT(TRIM(Raw_Export!B1425),2)),DATE(RIGHT(TRIM(Raw_Export!B1425),4),MATCH(MID(TRIM(Raw_Export!B1425),4,3),{"Jan","Feb","Mar","Apr","May","Jun","Jul","Aug","Sep","Oct","Nov","Dec"},0),LEFT(TRIM(Raw_Export!B1425),2)))))</f>
        <v>46274</v>
      </c>
      <c r="C1425" s="36" t="str">
        <f aca="false">IF(Raw_Export!$A1425="","",IFERROR(VLOOKUP(LOWER(TRIM(Raw_Export!C1425)),Maps!$A$2:$B$20,2,FALSE()),"UNMAPPED"))</f>
        <v>Mombasa</v>
      </c>
      <c r="D1425" s="36" t="str">
        <f aca="false">IF(Raw_Export!$A1425="","",IFERROR(VLOOKUP(LOWER(TRIM(Raw_Export!D1425)),Maps!$G$2:$I$80,2,FALSE()),"UNMAPPED"))</f>
        <v>Chocolate Bar 90g</v>
      </c>
      <c r="E1425" s="36" t="str">
        <f aca="false">IF(Raw_Export!$A1425="","",IFERROR(VLOOKUP(LOWER(TRIM(Raw_Export!D1425)),Maps!$G$2:$I$80,3,FALSE()),"UNMAPPED"))</f>
        <v>Snacks</v>
      </c>
      <c r="F1425" s="36" t="n">
        <f aca="false">IF(Raw_Export!$A1425="","",IFERROR(VALUE(TRIM(Raw_Export!E1425)),0))</f>
        <v>1</v>
      </c>
      <c r="G1425" s="38" t="n">
        <f aca="false">IF(Raw_Export!$A1425="","",IFERROR(VALUE(SUBSTITUTE(SUBSTITUTE(UPPER(TRIM(Raw_Export!F1425)),"KES",""),",","")),0))</f>
        <v>140</v>
      </c>
      <c r="H1425" s="38" t="n">
        <f aca="false">IF(Raw_Export!$A1425="","",F1425*G1425)</f>
        <v>140</v>
      </c>
      <c r="I1425" s="36" t="str">
        <f aca="false">IF(Raw_Export!$A1425="","",IFERROR(VLOOKUP(LOWER(TRIM(Raw_Export!H1425)),Maps!$D$2:$E$12,2,FALSE()),"Other"))</f>
        <v>Cash</v>
      </c>
      <c r="J1425" s="36" t="str">
        <f aca="false">IF(Raw_Export!$A1425="","",IF(COUNTIF($A$2:A1425,A1425)&gt;1,"Duplicate",""))</f>
        <v/>
      </c>
      <c r="K1425" s="36" t="str">
        <f aca="false">IF(Raw_Export!$A1425="","",IF(J1425="Duplicate","Duplicate",IF(OR(C1425="UNMAPPED",D1425="UNMAPPED"),"Unmapped",IF(F1425=0,"Blank qty",IF(F1425&lt;0,"Return","OK")))))</f>
        <v>OK</v>
      </c>
      <c r="L1425" s="36" t="n">
        <f aca="false">IF(Raw_Export!$A1425="","",IF(OR(K1425="OK",K1425="Return"),1,0))</f>
        <v>1</v>
      </c>
      <c r="M1425" s="37" t="n">
        <f aca="false">IF(Raw_Export!$A1425="","",B1425-WEEKDAY(B1425,2)+1)</f>
        <v>46272</v>
      </c>
    </row>
    <row r="1426" customFormat="false" ht="15" hidden="false" customHeight="false" outlineLevel="0" collapsed="false">
      <c r="A1426" s="36" t="str">
        <f aca="false">IF(Raw_Export!$A1426="","",TRIM(Raw_Export!A1426))</f>
        <v>TXN-101397</v>
      </c>
      <c r="B1426" s="37" t="n">
        <f aca="false">IF(Raw_Export!$A1426="","",IF(ISNUMBER(Raw_Export!B1426),Raw_Export!B1426,IF(MID(TRIM(Raw_Export!B1426),5,1)="-",DATE(LEFT(TRIM(Raw_Export!B1426),4),MID(TRIM(Raw_Export!B1426),6,2),RIGHT(TRIM(Raw_Export!B1426),2)),DATE(RIGHT(TRIM(Raw_Export!B1426),4),MATCH(MID(TRIM(Raw_Export!B1426),4,3),{"Jan","Feb","Mar","Apr","May","Jun","Jul","Aug","Sep","Oct","Nov","Dec"},0),LEFT(TRIM(Raw_Export!B1426),2)))))</f>
        <v>46274</v>
      </c>
      <c r="C1426" s="36" t="str">
        <f aca="false">IF(Raw_Export!$A1426="","",IFERROR(VLOOKUP(LOWER(TRIM(Raw_Export!C1426)),Maps!$A$2:$B$20,2,FALSE()),"UNMAPPED"))</f>
        <v>Mombasa</v>
      </c>
      <c r="D1426" s="36" t="str">
        <f aca="false">IF(Raw_Export!$A1426="","",IFERROR(VLOOKUP(LOWER(TRIM(Raw_Export!D1426)),Maps!$G$2:$I$80,2,FALSE()),"UNMAPPED"))</f>
        <v>Peanuts 250g</v>
      </c>
      <c r="E1426" s="36" t="str">
        <f aca="false">IF(Raw_Export!$A1426="","",IFERROR(VLOOKUP(LOWER(TRIM(Raw_Export!D1426)),Maps!$G$2:$I$80,3,FALSE()),"UNMAPPED"))</f>
        <v>Snacks</v>
      </c>
      <c r="F1426" s="36" t="n">
        <f aca="false">IF(Raw_Export!$A1426="","",IFERROR(VALUE(TRIM(Raw_Export!E1426)),0))</f>
        <v>1</v>
      </c>
      <c r="G1426" s="38" t="n">
        <f aca="false">IF(Raw_Export!$A1426="","",IFERROR(VALUE(SUBSTITUTE(SUBSTITUTE(UPPER(TRIM(Raw_Export!F1426)),"KES",""),",","")),0))</f>
        <v>130</v>
      </c>
      <c r="H1426" s="38" t="n">
        <f aca="false">IF(Raw_Export!$A1426="","",F1426*G1426)</f>
        <v>130</v>
      </c>
      <c r="I1426" s="36" t="str">
        <f aca="false">IF(Raw_Export!$A1426="","",IFERROR(VLOOKUP(LOWER(TRIM(Raw_Export!H1426)),Maps!$D$2:$E$12,2,FALSE()),"Other"))</f>
        <v>Cash</v>
      </c>
      <c r="J1426" s="36" t="str">
        <f aca="false">IF(Raw_Export!$A1426="","",IF(COUNTIF($A$2:A1426,A1426)&gt;1,"Duplicate",""))</f>
        <v/>
      </c>
      <c r="K1426" s="36" t="str">
        <f aca="false">IF(Raw_Export!$A1426="","",IF(J1426="Duplicate","Duplicate",IF(OR(C1426="UNMAPPED",D1426="UNMAPPED"),"Unmapped",IF(F1426=0,"Blank qty",IF(F1426&lt;0,"Return","OK")))))</f>
        <v>OK</v>
      </c>
      <c r="L1426" s="36" t="n">
        <f aca="false">IF(Raw_Export!$A1426="","",IF(OR(K1426="OK",K1426="Return"),1,0))</f>
        <v>1</v>
      </c>
      <c r="M1426" s="37" t="n">
        <f aca="false">IF(Raw_Export!$A1426="","",B1426-WEEKDAY(B1426,2)+1)</f>
        <v>46272</v>
      </c>
    </row>
    <row r="1427" customFormat="false" ht="15" hidden="false" customHeight="false" outlineLevel="0" collapsed="false">
      <c r="A1427" s="36" t="str">
        <f aca="false">IF(Raw_Export!$A1427="","",TRIM(Raw_Export!A1427))</f>
        <v>TXN-101398</v>
      </c>
      <c r="B1427" s="37" t="n">
        <f aca="false">IF(Raw_Export!$A1427="","",IF(ISNUMBER(Raw_Export!B1427),Raw_Export!B1427,IF(MID(TRIM(Raw_Export!B1427),5,1)="-",DATE(LEFT(TRIM(Raw_Export!B1427),4),MID(TRIM(Raw_Export!B1427),6,2),RIGHT(TRIM(Raw_Export!B1427),2)),DATE(RIGHT(TRIM(Raw_Export!B1427),4),MATCH(MID(TRIM(Raw_Export!B1427),4,3),{"Jan","Feb","Mar","Apr","May","Jun","Jul","Aug","Sep","Oct","Nov","Dec"},0),LEFT(TRIM(Raw_Export!B1427),2)))))</f>
        <v>46274</v>
      </c>
      <c r="C1427" s="36" t="str">
        <f aca="false">IF(Raw_Export!$A1427="","",IFERROR(VLOOKUP(LOWER(TRIM(Raw_Export!C1427)),Maps!$A$2:$B$20,2,FALSE()),"UNMAPPED"))</f>
        <v>Mombasa</v>
      </c>
      <c r="D1427" s="36" t="str">
        <f aca="false">IF(Raw_Export!$A1427="","",IFERROR(VLOOKUP(LOWER(TRIM(Raw_Export!D1427)),Maps!$G$2:$I$80,2,FALSE()),"UNMAPPED"))</f>
        <v>Dish Soap 750ml</v>
      </c>
      <c r="E1427" s="36" t="str">
        <f aca="false">IF(Raw_Export!$A1427="","",IFERROR(VLOOKUP(LOWER(TRIM(Raw_Export!D1427)),Maps!$G$2:$I$80,3,FALSE()),"UNMAPPED"))</f>
        <v>Household</v>
      </c>
      <c r="F1427" s="36" t="n">
        <f aca="false">IF(Raw_Export!$A1427="","",IFERROR(VALUE(TRIM(Raw_Export!E1427)),0))</f>
        <v>2</v>
      </c>
      <c r="G1427" s="38" t="n">
        <f aca="false">IF(Raw_Export!$A1427="","",IFERROR(VALUE(SUBSTITUTE(SUBSTITUTE(UPPER(TRIM(Raw_Export!F1427)),"KES",""),",","")),0))</f>
        <v>190</v>
      </c>
      <c r="H1427" s="38" t="n">
        <f aca="false">IF(Raw_Export!$A1427="","",F1427*G1427)</f>
        <v>380</v>
      </c>
      <c r="I1427" s="36" t="str">
        <f aca="false">IF(Raw_Export!$A1427="","",IFERROR(VLOOKUP(LOWER(TRIM(Raw_Export!H1427)),Maps!$D$2:$E$12,2,FALSE()),"Other"))</f>
        <v>Cash</v>
      </c>
      <c r="J1427" s="36" t="str">
        <f aca="false">IF(Raw_Export!$A1427="","",IF(COUNTIF($A$2:A1427,A1427)&gt;1,"Duplicate",""))</f>
        <v/>
      </c>
      <c r="K1427" s="36" t="str">
        <f aca="false">IF(Raw_Export!$A1427="","",IF(J1427="Duplicate","Duplicate",IF(OR(C1427="UNMAPPED",D1427="UNMAPPED"),"Unmapped",IF(F1427=0,"Blank qty",IF(F1427&lt;0,"Return","OK")))))</f>
        <v>OK</v>
      </c>
      <c r="L1427" s="36" t="n">
        <f aca="false">IF(Raw_Export!$A1427="","",IF(OR(K1427="OK",K1427="Return"),1,0))</f>
        <v>1</v>
      </c>
      <c r="M1427" s="37" t="n">
        <f aca="false">IF(Raw_Export!$A1427="","",B1427-WEEKDAY(B1427,2)+1)</f>
        <v>46272</v>
      </c>
    </row>
    <row r="1428" customFormat="false" ht="15" hidden="false" customHeight="false" outlineLevel="0" collapsed="false">
      <c r="A1428" s="36" t="str">
        <f aca="false">IF(Raw_Export!$A1428="","",TRIM(Raw_Export!A1428))</f>
        <v>TXN-101399</v>
      </c>
      <c r="B1428" s="37" t="n">
        <f aca="false">IF(Raw_Export!$A1428="","",IF(ISNUMBER(Raw_Export!B1428),Raw_Export!B1428,IF(MID(TRIM(Raw_Export!B1428),5,1)="-",DATE(LEFT(TRIM(Raw_Export!B1428),4),MID(TRIM(Raw_Export!B1428),6,2),RIGHT(TRIM(Raw_Export!B1428),2)),DATE(RIGHT(TRIM(Raw_Export!B1428),4),MATCH(MID(TRIM(Raw_Export!B1428),4,3),{"Jan","Feb","Mar","Apr","May","Jun","Jul","Aug","Sep","Oct","Nov","Dec"},0),LEFT(TRIM(Raw_Export!B1428),2)))))</f>
        <v>46274</v>
      </c>
      <c r="C1428" s="36" t="str">
        <f aca="false">IF(Raw_Export!$A1428="","",IFERROR(VLOOKUP(LOWER(TRIM(Raw_Export!C1428)),Maps!$A$2:$B$20,2,FALSE()),"UNMAPPED"))</f>
        <v>Mombasa</v>
      </c>
      <c r="D1428" s="36" t="str">
        <f aca="false">IF(Raw_Export!$A1428="","",IFERROR(VLOOKUP(LOWER(TRIM(Raw_Export!D1428)),Maps!$G$2:$I$80,2,FALSE()),"UNMAPPED"))</f>
        <v>Yoghurt 500ml</v>
      </c>
      <c r="E1428" s="36" t="str">
        <f aca="false">IF(Raw_Export!$A1428="","",IFERROR(VLOOKUP(LOWER(TRIM(Raw_Export!D1428)),Maps!$G$2:$I$80,3,FALSE()),"UNMAPPED"))</f>
        <v>Dairy &amp; Eggs</v>
      </c>
      <c r="F1428" s="36" t="n">
        <f aca="false">IF(Raw_Export!$A1428="","",IFERROR(VALUE(TRIM(Raw_Export!E1428)),0))</f>
        <v>2</v>
      </c>
      <c r="G1428" s="38" t="n">
        <f aca="false">IF(Raw_Export!$A1428="","",IFERROR(VALUE(SUBSTITUTE(SUBSTITUTE(UPPER(TRIM(Raw_Export!F1428)),"KES",""),",","")),0))</f>
        <v>108</v>
      </c>
      <c r="H1428" s="38" t="n">
        <f aca="false">IF(Raw_Export!$A1428="","",F1428*G1428)</f>
        <v>216</v>
      </c>
      <c r="I1428" s="36" t="str">
        <f aca="false">IF(Raw_Export!$A1428="","",IFERROR(VLOOKUP(LOWER(TRIM(Raw_Export!H1428)),Maps!$D$2:$E$12,2,FALSE()),"Other"))</f>
        <v>Cash</v>
      </c>
      <c r="J1428" s="36" t="str">
        <f aca="false">IF(Raw_Export!$A1428="","",IF(COUNTIF($A$2:A1428,A1428)&gt;1,"Duplicate",""))</f>
        <v/>
      </c>
      <c r="K1428" s="36" t="str">
        <f aca="false">IF(Raw_Export!$A1428="","",IF(J1428="Duplicate","Duplicate",IF(OR(C1428="UNMAPPED",D1428="UNMAPPED"),"Unmapped",IF(F1428=0,"Blank qty",IF(F1428&lt;0,"Return","OK")))))</f>
        <v>OK</v>
      </c>
      <c r="L1428" s="36" t="n">
        <f aca="false">IF(Raw_Export!$A1428="","",IF(OR(K1428="OK",K1428="Return"),1,0))</f>
        <v>1</v>
      </c>
      <c r="M1428" s="37" t="n">
        <f aca="false">IF(Raw_Export!$A1428="","",B1428-WEEKDAY(B1428,2)+1)</f>
        <v>46272</v>
      </c>
    </row>
    <row r="1429" customFormat="false" ht="15" hidden="false" customHeight="false" outlineLevel="0" collapsed="false">
      <c r="A1429" s="36" t="str">
        <f aca="false">IF(Raw_Export!$A1429="","",TRIM(Raw_Export!A1429))</f>
        <v>TXN-101400</v>
      </c>
      <c r="B1429" s="37" t="n">
        <f aca="false">IF(Raw_Export!$A1429="","",IF(ISNUMBER(Raw_Export!B1429),Raw_Export!B1429,IF(MID(TRIM(Raw_Export!B1429),5,1)="-",DATE(LEFT(TRIM(Raw_Export!B1429),4),MID(TRIM(Raw_Export!B1429),6,2),RIGHT(TRIM(Raw_Export!B1429),2)),DATE(RIGHT(TRIM(Raw_Export!B1429),4),MATCH(MID(TRIM(Raw_Export!B1429),4,3),{"Jan","Feb","Mar","Apr","May","Jun","Jul","Aug","Sep","Oct","Nov","Dec"},0),LEFT(TRIM(Raw_Export!B1429),2)))))</f>
        <v>46274</v>
      </c>
      <c r="C1429" s="36" t="str">
        <f aca="false">IF(Raw_Export!$A1429="","",IFERROR(VLOOKUP(LOWER(TRIM(Raw_Export!C1429)),Maps!$A$2:$B$20,2,FALSE()),"UNMAPPED"))</f>
        <v>Mombasa</v>
      </c>
      <c r="D1429" s="36" t="str">
        <f aca="false">IF(Raw_Export!$A1429="","",IFERROR(VLOOKUP(LOWER(TRIM(Raw_Export!D1429)),Maps!$G$2:$I$80,2,FALSE()),"UNMAPPED"))</f>
        <v>Cooking Oil 1L</v>
      </c>
      <c r="E1429" s="36" t="str">
        <f aca="false">IF(Raw_Export!$A1429="","",IFERROR(VLOOKUP(LOWER(TRIM(Raw_Export!D1429)),Maps!$G$2:$I$80,3,FALSE()),"UNMAPPED"))</f>
        <v>Staples</v>
      </c>
      <c r="F1429" s="36" t="n">
        <f aca="false">IF(Raw_Export!$A1429="","",IFERROR(VALUE(TRIM(Raw_Export!E1429)),0))</f>
        <v>1</v>
      </c>
      <c r="G1429" s="38" t="n">
        <f aca="false">IF(Raw_Export!$A1429="","",IFERROR(VALUE(SUBSTITUTE(SUBSTITUTE(UPPER(TRIM(Raw_Export!F1429)),"KES",""),",","")),0))</f>
        <v>330</v>
      </c>
      <c r="H1429" s="38" t="n">
        <f aca="false">IF(Raw_Export!$A1429="","",F1429*G1429)</f>
        <v>330</v>
      </c>
      <c r="I1429" s="36" t="str">
        <f aca="false">IF(Raw_Export!$A1429="","",IFERROR(VLOOKUP(LOWER(TRIM(Raw_Export!H1429)),Maps!$D$2:$E$12,2,FALSE()),"Other"))</f>
        <v>M-Pesa</v>
      </c>
      <c r="J1429" s="36" t="str">
        <f aca="false">IF(Raw_Export!$A1429="","",IF(COUNTIF($A$2:A1429,A1429)&gt;1,"Duplicate",""))</f>
        <v/>
      </c>
      <c r="K1429" s="36" t="str">
        <f aca="false">IF(Raw_Export!$A1429="","",IF(J1429="Duplicate","Duplicate",IF(OR(C1429="UNMAPPED",D1429="UNMAPPED"),"Unmapped",IF(F1429=0,"Blank qty",IF(F1429&lt;0,"Return","OK")))))</f>
        <v>OK</v>
      </c>
      <c r="L1429" s="36" t="n">
        <f aca="false">IF(Raw_Export!$A1429="","",IF(OR(K1429="OK",K1429="Return"),1,0))</f>
        <v>1</v>
      </c>
      <c r="M1429" s="37" t="n">
        <f aca="false">IF(Raw_Export!$A1429="","",B1429-WEEKDAY(B1429,2)+1)</f>
        <v>46272</v>
      </c>
    </row>
    <row r="1430" customFormat="false" ht="15" hidden="false" customHeight="false" outlineLevel="0" collapsed="false">
      <c r="A1430" s="36" t="str">
        <f aca="false">IF(Raw_Export!$A1430="","",TRIM(Raw_Export!A1430))</f>
        <v>TXN-101401</v>
      </c>
      <c r="B1430" s="37" t="n">
        <f aca="false">IF(Raw_Export!$A1430="","",IF(ISNUMBER(Raw_Export!B1430),Raw_Export!B1430,IF(MID(TRIM(Raw_Export!B1430),5,1)="-",DATE(LEFT(TRIM(Raw_Export!B1430),4),MID(TRIM(Raw_Export!B1430),6,2),RIGHT(TRIM(Raw_Export!B1430),2)),DATE(RIGHT(TRIM(Raw_Export!B1430),4),MATCH(MID(TRIM(Raw_Export!B1430),4,3),{"Jan","Feb","Mar","Apr","May","Jun","Jul","Aug","Sep","Oct","Nov","Dec"},0),LEFT(TRIM(Raw_Export!B1430),2)))))</f>
        <v>46274</v>
      </c>
      <c r="C1430" s="36" t="str">
        <f aca="false">IF(Raw_Export!$A1430="","",IFERROR(VLOOKUP(LOWER(TRIM(Raw_Export!C1430)),Maps!$A$2:$B$20,2,FALSE()),"UNMAPPED"))</f>
        <v>Mombasa</v>
      </c>
      <c r="D1430" s="36" t="str">
        <f aca="false">IF(Raw_Export!$A1430="","",IFERROR(VLOOKUP(LOWER(TRIM(Raw_Export!D1430)),Maps!$G$2:$I$80,2,FALSE()),"UNMAPPED"))</f>
        <v>Sugar 2kg</v>
      </c>
      <c r="E1430" s="36" t="str">
        <f aca="false">IF(Raw_Export!$A1430="","",IFERROR(VLOOKUP(LOWER(TRIM(Raw_Export!D1430)),Maps!$G$2:$I$80,3,FALSE()),"UNMAPPED"))</f>
        <v>Staples</v>
      </c>
      <c r="F1430" s="36" t="n">
        <f aca="false">IF(Raw_Export!$A1430="","",IFERROR(VALUE(TRIM(Raw_Export!E1430)),0))</f>
        <v>2</v>
      </c>
      <c r="G1430" s="38" t="n">
        <f aca="false">IF(Raw_Export!$A1430="","",IFERROR(VALUE(SUBSTITUTE(SUBSTITUTE(UPPER(TRIM(Raw_Export!F1430)),"KES",""),",","")),0))</f>
        <v>330</v>
      </c>
      <c r="H1430" s="38" t="n">
        <f aca="false">IF(Raw_Export!$A1430="","",F1430*G1430)</f>
        <v>660</v>
      </c>
      <c r="I1430" s="36" t="str">
        <f aca="false">IF(Raw_Export!$A1430="","",IFERROR(VLOOKUP(LOWER(TRIM(Raw_Export!H1430)),Maps!$D$2:$E$12,2,FALSE()),"Other"))</f>
        <v>M-Pesa</v>
      </c>
      <c r="J1430" s="36" t="str">
        <f aca="false">IF(Raw_Export!$A1430="","",IF(COUNTIF($A$2:A1430,A1430)&gt;1,"Duplicate",""))</f>
        <v/>
      </c>
      <c r="K1430" s="36" t="str">
        <f aca="false">IF(Raw_Export!$A1430="","",IF(J1430="Duplicate","Duplicate",IF(OR(C1430="UNMAPPED",D1430="UNMAPPED"),"Unmapped",IF(F1430=0,"Blank qty",IF(F1430&lt;0,"Return","OK")))))</f>
        <v>OK</v>
      </c>
      <c r="L1430" s="36" t="n">
        <f aca="false">IF(Raw_Export!$A1430="","",IF(OR(K1430="OK",K1430="Return"),1,0))</f>
        <v>1</v>
      </c>
      <c r="M1430" s="37" t="n">
        <f aca="false">IF(Raw_Export!$A1430="","",B1430-WEEKDAY(B1430,2)+1)</f>
        <v>46272</v>
      </c>
    </row>
    <row r="1431" customFormat="false" ht="15" hidden="false" customHeight="false" outlineLevel="0" collapsed="false">
      <c r="A1431" s="36" t="str">
        <f aca="false">IF(Raw_Export!$A1431="","",TRIM(Raw_Export!A1431))</f>
        <v>TXN-101402</v>
      </c>
      <c r="B1431" s="37" t="n">
        <f aca="false">IF(Raw_Export!$A1431="","",IF(ISNUMBER(Raw_Export!B1431),Raw_Export!B1431,IF(MID(TRIM(Raw_Export!B1431),5,1)="-",DATE(LEFT(TRIM(Raw_Export!B1431),4),MID(TRIM(Raw_Export!B1431),6,2),RIGHT(TRIM(Raw_Export!B1431),2)),DATE(RIGHT(TRIM(Raw_Export!B1431),4),MATCH(MID(TRIM(Raw_Export!B1431),4,3),{"Jan","Feb","Mar","Apr","May","Jun","Jul","Aug","Sep","Oct","Nov","Dec"},0),LEFT(TRIM(Raw_Export!B1431),2)))))</f>
        <v>46274</v>
      </c>
      <c r="C1431" s="36" t="str">
        <f aca="false">IF(Raw_Export!$A1431="","",IFERROR(VLOOKUP(LOWER(TRIM(Raw_Export!C1431)),Maps!$A$2:$B$20,2,FALSE()),"UNMAPPED"))</f>
        <v>Mombasa</v>
      </c>
      <c r="D1431" s="36" t="str">
        <f aca="false">IF(Raw_Export!$A1431="","",IFERROR(VLOOKUP(LOWER(TRIM(Raw_Export!D1431)),Maps!$G$2:$I$80,2,FALSE()),"UNMAPPED"))</f>
        <v>Matches 10pk</v>
      </c>
      <c r="E1431" s="36" t="str">
        <f aca="false">IF(Raw_Export!$A1431="","",IFERROR(VLOOKUP(LOWER(TRIM(Raw_Export!D1431)),Maps!$G$2:$I$80,3,FALSE()),"UNMAPPED"))</f>
        <v>Household</v>
      </c>
      <c r="F1431" s="36" t="n">
        <f aca="false">IF(Raw_Export!$A1431="","",IFERROR(VALUE(TRIM(Raw_Export!E1431)),0))</f>
        <v>1</v>
      </c>
      <c r="G1431" s="38" t="n">
        <f aca="false">IF(Raw_Export!$A1431="","",IFERROR(VALUE(SUBSTITUTE(SUBSTITUTE(UPPER(TRIM(Raw_Export!F1431)),"KES",""),",","")),0))</f>
        <v>50</v>
      </c>
      <c r="H1431" s="38" t="n">
        <f aca="false">IF(Raw_Export!$A1431="","",F1431*G1431)</f>
        <v>50</v>
      </c>
      <c r="I1431" s="36" t="str">
        <f aca="false">IF(Raw_Export!$A1431="","",IFERROR(VLOOKUP(LOWER(TRIM(Raw_Export!H1431)),Maps!$D$2:$E$12,2,FALSE()),"Other"))</f>
        <v>M-Pesa</v>
      </c>
      <c r="J1431" s="36" t="str">
        <f aca="false">IF(Raw_Export!$A1431="","",IF(COUNTIF($A$2:A1431,A1431)&gt;1,"Duplicate",""))</f>
        <v/>
      </c>
      <c r="K1431" s="36" t="str">
        <f aca="false">IF(Raw_Export!$A1431="","",IF(J1431="Duplicate","Duplicate",IF(OR(C1431="UNMAPPED",D1431="UNMAPPED"),"Unmapped",IF(F1431=0,"Blank qty",IF(F1431&lt;0,"Return","OK")))))</f>
        <v>OK</v>
      </c>
      <c r="L1431" s="36" t="n">
        <f aca="false">IF(Raw_Export!$A1431="","",IF(OR(K1431="OK",K1431="Return"),1,0))</f>
        <v>1</v>
      </c>
      <c r="M1431" s="37" t="n">
        <f aca="false">IF(Raw_Export!$A1431="","",B1431-WEEKDAY(B1431,2)+1)</f>
        <v>46272</v>
      </c>
    </row>
    <row r="1432" customFormat="false" ht="15" hidden="false" customHeight="false" outlineLevel="0" collapsed="false">
      <c r="A1432" s="36" t="str">
        <f aca="false">IF(Raw_Export!$A1432="","",TRIM(Raw_Export!A1432))</f>
        <v>TXN-101403</v>
      </c>
      <c r="B1432" s="37" t="n">
        <f aca="false">IF(Raw_Export!$A1432="","",IF(ISNUMBER(Raw_Export!B1432),Raw_Export!B1432,IF(MID(TRIM(Raw_Export!B1432),5,1)="-",DATE(LEFT(TRIM(Raw_Export!B1432),4),MID(TRIM(Raw_Export!B1432),6,2),RIGHT(TRIM(Raw_Export!B1432),2)),DATE(RIGHT(TRIM(Raw_Export!B1432),4),MATCH(MID(TRIM(Raw_Export!B1432),4,3),{"Jan","Feb","Mar","Apr","May","Jun","Jul","Aug","Sep","Oct","Nov","Dec"},0),LEFT(TRIM(Raw_Export!B1432),2)))))</f>
        <v>46274</v>
      </c>
      <c r="C1432" s="36" t="str">
        <f aca="false">IF(Raw_Export!$A1432="","",IFERROR(VLOOKUP(LOWER(TRIM(Raw_Export!C1432)),Maps!$A$2:$B$20,2,FALSE()),"UNMAPPED"))</f>
        <v>Mombasa</v>
      </c>
      <c r="D1432" s="36" t="str">
        <f aca="false">IF(Raw_Export!$A1432="","",IFERROR(VLOOKUP(LOWER(TRIM(Raw_Export!D1432)),Maps!$G$2:$I$80,2,FALSE()),"UNMAPPED"))</f>
        <v>Cooking Oil 1L</v>
      </c>
      <c r="E1432" s="36" t="str">
        <f aca="false">IF(Raw_Export!$A1432="","",IFERROR(VLOOKUP(LOWER(TRIM(Raw_Export!D1432)),Maps!$G$2:$I$80,3,FALSE()),"UNMAPPED"))</f>
        <v>Staples</v>
      </c>
      <c r="F1432" s="36" t="n">
        <f aca="false">IF(Raw_Export!$A1432="","",IFERROR(VALUE(TRIM(Raw_Export!E1432)),0))</f>
        <v>1</v>
      </c>
      <c r="G1432" s="38" t="n">
        <f aca="false">IF(Raw_Export!$A1432="","",IFERROR(VALUE(SUBSTITUTE(SUBSTITUTE(UPPER(TRIM(Raw_Export!F1432)),"KES",""),",","")),0))</f>
        <v>330</v>
      </c>
      <c r="H1432" s="38" t="n">
        <f aca="false">IF(Raw_Export!$A1432="","",F1432*G1432)</f>
        <v>330</v>
      </c>
      <c r="I1432" s="36" t="str">
        <f aca="false">IF(Raw_Export!$A1432="","",IFERROR(VLOOKUP(LOWER(TRIM(Raw_Export!H1432)),Maps!$D$2:$E$12,2,FALSE()),"Other"))</f>
        <v>Cash</v>
      </c>
      <c r="J1432" s="36" t="str">
        <f aca="false">IF(Raw_Export!$A1432="","",IF(COUNTIF($A$2:A1432,A1432)&gt;1,"Duplicate",""))</f>
        <v/>
      </c>
      <c r="K1432" s="36" t="str">
        <f aca="false">IF(Raw_Export!$A1432="","",IF(J1432="Duplicate","Duplicate",IF(OR(C1432="UNMAPPED",D1432="UNMAPPED"),"Unmapped",IF(F1432=0,"Blank qty",IF(F1432&lt;0,"Return","OK")))))</f>
        <v>OK</v>
      </c>
      <c r="L1432" s="36" t="n">
        <f aca="false">IF(Raw_Export!$A1432="","",IF(OR(K1432="OK",K1432="Return"),1,0))</f>
        <v>1</v>
      </c>
      <c r="M1432" s="37" t="n">
        <f aca="false">IF(Raw_Export!$A1432="","",B1432-WEEKDAY(B1432,2)+1)</f>
        <v>46272</v>
      </c>
    </row>
    <row r="1433" customFormat="false" ht="15" hidden="false" customHeight="false" outlineLevel="0" collapsed="false">
      <c r="A1433" s="36" t="str">
        <f aca="false">IF(Raw_Export!$A1433="","",TRIM(Raw_Export!A1433))</f>
        <v>TXN-101404</v>
      </c>
      <c r="B1433" s="37" t="n">
        <f aca="false">IF(Raw_Export!$A1433="","",IF(ISNUMBER(Raw_Export!B1433),Raw_Export!B1433,IF(MID(TRIM(Raw_Export!B1433),5,1)="-",DATE(LEFT(TRIM(Raw_Export!B1433),4),MID(TRIM(Raw_Export!B1433),6,2),RIGHT(TRIM(Raw_Export!B1433),2)),DATE(RIGHT(TRIM(Raw_Export!B1433),4),MATCH(MID(TRIM(Raw_Export!B1433),4,3),{"Jan","Feb","Mar","Apr","May","Jun","Jul","Aug","Sep","Oct","Nov","Dec"},0),LEFT(TRIM(Raw_Export!B1433),2)))))</f>
        <v>46274</v>
      </c>
      <c r="C1433" s="36" t="str">
        <f aca="false">IF(Raw_Export!$A1433="","",IFERROR(VLOOKUP(LOWER(TRIM(Raw_Export!C1433)),Maps!$A$2:$B$20,2,FALSE()),"UNMAPPED"))</f>
        <v>Mombasa</v>
      </c>
      <c r="D1433" s="36" t="str">
        <f aca="false">IF(Raw_Export!$A1433="","",IFERROR(VLOOKUP(LOWER(TRIM(Raw_Export!D1433)),Maps!$G$2:$I$80,2,FALSE()),"UNMAPPED"))</f>
        <v>Toilet Paper 10pk</v>
      </c>
      <c r="E1433" s="36" t="str">
        <f aca="false">IF(Raw_Export!$A1433="","",IFERROR(VLOOKUP(LOWER(TRIM(Raw_Export!D1433)),Maps!$G$2:$I$80,3,FALSE()),"UNMAPPED"))</f>
        <v>Household</v>
      </c>
      <c r="F1433" s="36" t="n">
        <f aca="false">IF(Raw_Export!$A1433="","",IFERROR(VALUE(TRIM(Raw_Export!E1433)),0))</f>
        <v>3</v>
      </c>
      <c r="G1433" s="38" t="n">
        <f aca="false">IF(Raw_Export!$A1433="","",IFERROR(VALUE(SUBSTITUTE(SUBSTITUTE(UPPER(TRIM(Raw_Export!F1433)),"KES",""),",","")),0))</f>
        <v>342</v>
      </c>
      <c r="H1433" s="38" t="n">
        <f aca="false">IF(Raw_Export!$A1433="","",F1433*G1433)</f>
        <v>1026</v>
      </c>
      <c r="I1433" s="36" t="str">
        <f aca="false">IF(Raw_Export!$A1433="","",IFERROR(VLOOKUP(LOWER(TRIM(Raw_Export!H1433)),Maps!$D$2:$E$12,2,FALSE()),"Other"))</f>
        <v>Cash</v>
      </c>
      <c r="J1433" s="36" t="str">
        <f aca="false">IF(Raw_Export!$A1433="","",IF(COUNTIF($A$2:A1433,A1433)&gt;1,"Duplicate",""))</f>
        <v/>
      </c>
      <c r="K1433" s="36" t="str">
        <f aca="false">IF(Raw_Export!$A1433="","",IF(J1433="Duplicate","Duplicate",IF(OR(C1433="UNMAPPED",D1433="UNMAPPED"),"Unmapped",IF(F1433=0,"Blank qty",IF(F1433&lt;0,"Return","OK")))))</f>
        <v>OK</v>
      </c>
      <c r="L1433" s="36" t="n">
        <f aca="false">IF(Raw_Export!$A1433="","",IF(OR(K1433="OK",K1433="Return"),1,0))</f>
        <v>1</v>
      </c>
      <c r="M1433" s="37" t="n">
        <f aca="false">IF(Raw_Export!$A1433="","",B1433-WEEKDAY(B1433,2)+1)</f>
        <v>46272</v>
      </c>
    </row>
    <row r="1434" customFormat="false" ht="15" hidden="false" customHeight="false" outlineLevel="0" collapsed="false">
      <c r="A1434" s="36" t="str">
        <f aca="false">IF(Raw_Export!$A1434="","",TRIM(Raw_Export!A1434))</f>
        <v>TXN-101405</v>
      </c>
      <c r="B1434" s="37" t="n">
        <f aca="false">IF(Raw_Export!$A1434="","",IF(ISNUMBER(Raw_Export!B1434),Raw_Export!B1434,IF(MID(TRIM(Raw_Export!B1434),5,1)="-",DATE(LEFT(TRIM(Raw_Export!B1434),4),MID(TRIM(Raw_Export!B1434),6,2),RIGHT(TRIM(Raw_Export!B1434),2)),DATE(RIGHT(TRIM(Raw_Export!B1434),4),MATCH(MID(TRIM(Raw_Export!B1434),4,3),{"Jan","Feb","Mar","Apr","May","Jun","Jul","Aug","Sep","Oct","Nov","Dec"},0),LEFT(TRIM(Raw_Export!B1434),2)))))</f>
        <v>46274</v>
      </c>
      <c r="C1434" s="36" t="str">
        <f aca="false">IF(Raw_Export!$A1434="","",IFERROR(VLOOKUP(LOWER(TRIM(Raw_Export!C1434)),Maps!$A$2:$B$20,2,FALSE()),"UNMAPPED"))</f>
        <v>Mombasa</v>
      </c>
      <c r="D1434" s="36" t="str">
        <f aca="false">IF(Raw_Export!$A1434="","",IFERROR(VLOOKUP(LOWER(TRIM(Raw_Export!D1434)),Maps!$G$2:$I$80,2,FALSE()),"UNMAPPED"))</f>
        <v>Cooking Oil 1L</v>
      </c>
      <c r="E1434" s="36" t="str">
        <f aca="false">IF(Raw_Export!$A1434="","",IFERROR(VLOOKUP(LOWER(TRIM(Raw_Export!D1434)),Maps!$G$2:$I$80,3,FALSE()),"UNMAPPED"))</f>
        <v>Staples</v>
      </c>
      <c r="F1434" s="36" t="n">
        <f aca="false">IF(Raw_Export!$A1434="","",IFERROR(VALUE(TRIM(Raw_Export!E1434)),0))</f>
        <v>4</v>
      </c>
      <c r="G1434" s="38" t="n">
        <f aca="false">IF(Raw_Export!$A1434="","",IFERROR(VALUE(SUBSTITUTE(SUBSTITUTE(UPPER(TRIM(Raw_Export!F1434)),"KES",""),",","")),0))</f>
        <v>330</v>
      </c>
      <c r="H1434" s="38" t="n">
        <f aca="false">IF(Raw_Export!$A1434="","",F1434*G1434)</f>
        <v>1320</v>
      </c>
      <c r="I1434" s="36" t="str">
        <f aca="false">IF(Raw_Export!$A1434="","",IFERROR(VLOOKUP(LOWER(TRIM(Raw_Export!H1434)),Maps!$D$2:$E$12,2,FALSE()),"Other"))</f>
        <v>Cash</v>
      </c>
      <c r="J1434" s="36" t="str">
        <f aca="false">IF(Raw_Export!$A1434="","",IF(COUNTIF($A$2:A1434,A1434)&gt;1,"Duplicate",""))</f>
        <v/>
      </c>
      <c r="K1434" s="36" t="str">
        <f aca="false">IF(Raw_Export!$A1434="","",IF(J1434="Duplicate","Duplicate",IF(OR(C1434="UNMAPPED",D1434="UNMAPPED"),"Unmapped",IF(F1434=0,"Blank qty",IF(F1434&lt;0,"Return","OK")))))</f>
        <v>OK</v>
      </c>
      <c r="L1434" s="36" t="n">
        <f aca="false">IF(Raw_Export!$A1434="","",IF(OR(K1434="OK",K1434="Return"),1,0))</f>
        <v>1</v>
      </c>
      <c r="M1434" s="37" t="n">
        <f aca="false">IF(Raw_Export!$A1434="","",B1434-WEEKDAY(B1434,2)+1)</f>
        <v>46272</v>
      </c>
    </row>
    <row r="1435" customFormat="false" ht="15" hidden="false" customHeight="false" outlineLevel="0" collapsed="false">
      <c r="A1435" s="36" t="str">
        <f aca="false">IF(Raw_Export!$A1435="","",TRIM(Raw_Export!A1435))</f>
        <v>TXN-101406</v>
      </c>
      <c r="B1435" s="37" t="n">
        <f aca="false">IF(Raw_Export!$A1435="","",IF(ISNUMBER(Raw_Export!B1435),Raw_Export!B1435,IF(MID(TRIM(Raw_Export!B1435),5,1)="-",DATE(LEFT(TRIM(Raw_Export!B1435),4),MID(TRIM(Raw_Export!B1435),6,2),RIGHT(TRIM(Raw_Export!B1435),2)),DATE(RIGHT(TRIM(Raw_Export!B1435),4),MATCH(MID(TRIM(Raw_Export!B1435),4,3),{"Jan","Feb","Mar","Apr","May","Jun","Jul","Aug","Sep","Oct","Nov","Dec"},0),LEFT(TRIM(Raw_Export!B1435),2)))))</f>
        <v>46274</v>
      </c>
      <c r="C1435" s="36" t="str">
        <f aca="false">IF(Raw_Export!$A1435="","",IFERROR(VLOOKUP(LOWER(TRIM(Raw_Export!C1435)),Maps!$A$2:$B$20,2,FALSE()),"UNMAPPED"))</f>
        <v>Mombasa</v>
      </c>
      <c r="D1435" s="36" t="str">
        <f aca="false">IF(Raw_Export!$A1435="","",IFERROR(VLOOKUP(LOWER(TRIM(Raw_Export!D1435)),Maps!$G$2:$I$80,2,FALSE()),"UNMAPPED"))</f>
        <v>Bread Loaf 400g</v>
      </c>
      <c r="E1435" s="36" t="str">
        <f aca="false">IF(Raw_Export!$A1435="","",IFERROR(VLOOKUP(LOWER(TRIM(Raw_Export!D1435)),Maps!$G$2:$I$80,3,FALSE()),"UNMAPPED"))</f>
        <v>Snacks</v>
      </c>
      <c r="F1435" s="36" t="n">
        <f aca="false">IF(Raw_Export!$A1435="","",IFERROR(VALUE(TRIM(Raw_Export!E1435)),0))</f>
        <v>1</v>
      </c>
      <c r="G1435" s="38" t="n">
        <f aca="false">IF(Raw_Export!$A1435="","",IFERROR(VALUE(SUBSTITUTE(SUBSTITUTE(UPPER(TRIM(Raw_Export!F1435)),"KES",""),",","")),0))</f>
        <v>65</v>
      </c>
      <c r="H1435" s="38" t="n">
        <f aca="false">IF(Raw_Export!$A1435="","",F1435*G1435)</f>
        <v>65</v>
      </c>
      <c r="I1435" s="36" t="str">
        <f aca="false">IF(Raw_Export!$A1435="","",IFERROR(VLOOKUP(LOWER(TRIM(Raw_Export!H1435)),Maps!$D$2:$E$12,2,FALSE()),"Other"))</f>
        <v>M-Pesa</v>
      </c>
      <c r="J1435" s="36" t="str">
        <f aca="false">IF(Raw_Export!$A1435="","",IF(COUNTIF($A$2:A1435,A1435)&gt;1,"Duplicate",""))</f>
        <v/>
      </c>
      <c r="K1435" s="36" t="str">
        <f aca="false">IF(Raw_Export!$A1435="","",IF(J1435="Duplicate","Duplicate",IF(OR(C1435="UNMAPPED",D1435="UNMAPPED"),"Unmapped",IF(F1435=0,"Blank qty",IF(F1435&lt;0,"Return","OK")))))</f>
        <v>OK</v>
      </c>
      <c r="L1435" s="36" t="n">
        <f aca="false">IF(Raw_Export!$A1435="","",IF(OR(K1435="OK",K1435="Return"),1,0))</f>
        <v>1</v>
      </c>
      <c r="M1435" s="37" t="n">
        <f aca="false">IF(Raw_Export!$A1435="","",B1435-WEEKDAY(B1435,2)+1)</f>
        <v>46272</v>
      </c>
    </row>
    <row r="1436" customFormat="false" ht="15" hidden="false" customHeight="false" outlineLevel="0" collapsed="false">
      <c r="A1436" s="36" t="str">
        <f aca="false">IF(Raw_Export!$A1436="","",TRIM(Raw_Export!A1436))</f>
        <v>TXN-101407</v>
      </c>
      <c r="B1436" s="37" t="n">
        <f aca="false">IF(Raw_Export!$A1436="","",IF(ISNUMBER(Raw_Export!B1436),Raw_Export!B1436,IF(MID(TRIM(Raw_Export!B1436),5,1)="-",DATE(LEFT(TRIM(Raw_Export!B1436),4),MID(TRIM(Raw_Export!B1436),6,2),RIGHT(TRIM(Raw_Export!B1436),2)),DATE(RIGHT(TRIM(Raw_Export!B1436),4),MATCH(MID(TRIM(Raw_Export!B1436),4,3),{"Jan","Feb","Mar","Apr","May","Jun","Jul","Aug","Sep","Oct","Nov","Dec"},0),LEFT(TRIM(Raw_Export!B1436),2)))))</f>
        <v>46274</v>
      </c>
      <c r="C1436" s="36" t="str">
        <f aca="false">IF(Raw_Export!$A1436="","",IFERROR(VLOOKUP(LOWER(TRIM(Raw_Export!C1436)),Maps!$A$2:$B$20,2,FALSE()),"UNMAPPED"))</f>
        <v>Mombasa</v>
      </c>
      <c r="D1436" s="36" t="str">
        <f aca="false">IF(Raw_Export!$A1436="","",IFERROR(VLOOKUP(LOWER(TRIM(Raw_Export!D1436)),Maps!$G$2:$I$80,2,FALSE()),"UNMAPPED"))</f>
        <v>Sanitary Pads 8pk</v>
      </c>
      <c r="E1436" s="36" t="str">
        <f aca="false">IF(Raw_Export!$A1436="","",IFERROR(VLOOKUP(LOWER(TRIM(Raw_Export!D1436)),Maps!$G$2:$I$80,3,FALSE()),"UNMAPPED"))</f>
        <v>Personal Care</v>
      </c>
      <c r="F1436" s="36" t="n">
        <f aca="false">IF(Raw_Export!$A1436="","",IFERROR(VALUE(TRIM(Raw_Export!E1436)),0))</f>
        <v>6</v>
      </c>
      <c r="G1436" s="38" t="n">
        <f aca="false">IF(Raw_Export!$A1436="","",IFERROR(VALUE(SUBSTITUTE(SUBSTITUTE(UPPER(TRIM(Raw_Export!F1436)),"KES",""),",","")),0))</f>
        <v>117</v>
      </c>
      <c r="H1436" s="38" t="n">
        <f aca="false">IF(Raw_Export!$A1436="","",F1436*G1436)</f>
        <v>702</v>
      </c>
      <c r="I1436" s="36" t="str">
        <f aca="false">IF(Raw_Export!$A1436="","",IFERROR(VLOOKUP(LOWER(TRIM(Raw_Export!H1436)),Maps!$D$2:$E$12,2,FALSE()),"Other"))</f>
        <v>Card</v>
      </c>
      <c r="J1436" s="36" t="str">
        <f aca="false">IF(Raw_Export!$A1436="","",IF(COUNTIF($A$2:A1436,A1436)&gt;1,"Duplicate",""))</f>
        <v/>
      </c>
      <c r="K1436" s="36" t="str">
        <f aca="false">IF(Raw_Export!$A1436="","",IF(J1436="Duplicate","Duplicate",IF(OR(C1436="UNMAPPED",D1436="UNMAPPED"),"Unmapped",IF(F1436=0,"Blank qty",IF(F1436&lt;0,"Return","OK")))))</f>
        <v>OK</v>
      </c>
      <c r="L1436" s="36" t="n">
        <f aca="false">IF(Raw_Export!$A1436="","",IF(OR(K1436="OK",K1436="Return"),1,0))</f>
        <v>1</v>
      </c>
      <c r="M1436" s="37" t="n">
        <f aca="false">IF(Raw_Export!$A1436="","",B1436-WEEKDAY(B1436,2)+1)</f>
        <v>46272</v>
      </c>
    </row>
    <row r="1437" customFormat="false" ht="15" hidden="false" customHeight="false" outlineLevel="0" collapsed="false">
      <c r="A1437" s="36" t="str">
        <f aca="false">IF(Raw_Export!$A1437="","",TRIM(Raw_Export!A1437))</f>
        <v>TXN-101408</v>
      </c>
      <c r="B1437" s="37" t="n">
        <f aca="false">IF(Raw_Export!$A1437="","",IF(ISNUMBER(Raw_Export!B1437),Raw_Export!B1437,IF(MID(TRIM(Raw_Export!B1437),5,1)="-",DATE(LEFT(TRIM(Raw_Export!B1437),4),MID(TRIM(Raw_Export!B1437),6,2),RIGHT(TRIM(Raw_Export!B1437),2)),DATE(RIGHT(TRIM(Raw_Export!B1437),4),MATCH(MID(TRIM(Raw_Export!B1437),4,3),{"Jan","Feb","Mar","Apr","May","Jun","Jul","Aug","Sep","Oct","Nov","Dec"},0),LEFT(TRIM(Raw_Export!B1437),2)))))</f>
        <v>46274</v>
      </c>
      <c r="C1437" s="36" t="str">
        <f aca="false">IF(Raw_Export!$A1437="","",IFERROR(VLOOKUP(LOWER(TRIM(Raw_Export!C1437)),Maps!$A$2:$B$20,2,FALSE()),"UNMAPPED"))</f>
        <v>Mombasa</v>
      </c>
      <c r="D1437" s="36" t="str">
        <f aca="false">IF(Raw_Export!$A1437="","",IFERROR(VLOOKUP(LOWER(TRIM(Raw_Export!D1437)),Maps!$G$2:$I$80,2,FALSE()),"UNMAPPED"))</f>
        <v>Peanuts 250g</v>
      </c>
      <c r="E1437" s="36" t="str">
        <f aca="false">IF(Raw_Export!$A1437="","",IFERROR(VLOOKUP(LOWER(TRIM(Raw_Export!D1437)),Maps!$G$2:$I$80,3,FALSE()),"UNMAPPED"))</f>
        <v>Snacks</v>
      </c>
      <c r="F1437" s="36" t="n">
        <f aca="false">IF(Raw_Export!$A1437="","",IFERROR(VALUE(TRIM(Raw_Export!E1437)),0))</f>
        <v>1</v>
      </c>
      <c r="G1437" s="38" t="n">
        <f aca="false">IF(Raw_Export!$A1437="","",IFERROR(VALUE(SUBSTITUTE(SUBSTITUTE(UPPER(TRIM(Raw_Export!F1437)),"KES",""),",","")),0))</f>
        <v>130</v>
      </c>
      <c r="H1437" s="38" t="n">
        <f aca="false">IF(Raw_Export!$A1437="","",F1437*G1437)</f>
        <v>130</v>
      </c>
      <c r="I1437" s="36" t="str">
        <f aca="false">IF(Raw_Export!$A1437="","",IFERROR(VLOOKUP(LOWER(TRIM(Raw_Export!H1437)),Maps!$D$2:$E$12,2,FALSE()),"Other"))</f>
        <v>M-Pesa</v>
      </c>
      <c r="J1437" s="36" t="str">
        <f aca="false">IF(Raw_Export!$A1437="","",IF(COUNTIF($A$2:A1437,A1437)&gt;1,"Duplicate",""))</f>
        <v/>
      </c>
      <c r="K1437" s="36" t="str">
        <f aca="false">IF(Raw_Export!$A1437="","",IF(J1437="Duplicate","Duplicate",IF(OR(C1437="UNMAPPED",D1437="UNMAPPED"),"Unmapped",IF(F1437=0,"Blank qty",IF(F1437&lt;0,"Return","OK")))))</f>
        <v>OK</v>
      </c>
      <c r="L1437" s="36" t="n">
        <f aca="false">IF(Raw_Export!$A1437="","",IF(OR(K1437="OK",K1437="Return"),1,0))</f>
        <v>1</v>
      </c>
      <c r="M1437" s="37" t="n">
        <f aca="false">IF(Raw_Export!$A1437="","",B1437-WEEKDAY(B1437,2)+1)</f>
        <v>46272</v>
      </c>
    </row>
    <row r="1438" customFormat="false" ht="15" hidden="false" customHeight="false" outlineLevel="0" collapsed="false">
      <c r="A1438" s="36" t="str">
        <f aca="false">IF(Raw_Export!$A1438="","",TRIM(Raw_Export!A1438))</f>
        <v>TXN-101409</v>
      </c>
      <c r="B1438" s="37" t="n">
        <f aca="false">IF(Raw_Export!$A1438="","",IF(ISNUMBER(Raw_Export!B1438),Raw_Export!B1438,IF(MID(TRIM(Raw_Export!B1438),5,1)="-",DATE(LEFT(TRIM(Raw_Export!B1438),4),MID(TRIM(Raw_Export!B1438),6,2),RIGHT(TRIM(Raw_Export!B1438),2)),DATE(RIGHT(TRIM(Raw_Export!B1438),4),MATCH(MID(TRIM(Raw_Export!B1438),4,3),{"Jan","Feb","Mar","Apr","May","Jun","Jul","Aug","Sep","Oct","Nov","Dec"},0),LEFT(TRIM(Raw_Export!B1438),2)))))</f>
        <v>46274</v>
      </c>
      <c r="C1438" s="36" t="str">
        <f aca="false">IF(Raw_Export!$A1438="","",IFERROR(VLOOKUP(LOWER(TRIM(Raw_Export!C1438)),Maps!$A$2:$B$20,2,FALSE()),"UNMAPPED"))</f>
        <v>Mombasa</v>
      </c>
      <c r="D1438" s="36" t="str">
        <f aca="false">IF(Raw_Export!$A1438="","",IFERROR(VLOOKUP(LOWER(TRIM(Raw_Export!D1438)),Maps!$G$2:$I$80,2,FALSE()),"UNMAPPED"))</f>
        <v>Body Lotion 400ml</v>
      </c>
      <c r="E1438" s="36" t="str">
        <f aca="false">IF(Raw_Export!$A1438="","",IFERROR(VLOOKUP(LOWER(TRIM(Raw_Export!D1438)),Maps!$G$2:$I$80,3,FALSE()),"UNMAPPED"))</f>
        <v>Personal Care</v>
      </c>
      <c r="F1438" s="36" t="n">
        <f aca="false">IF(Raw_Export!$A1438="","",IFERROR(VALUE(TRIM(Raw_Export!E1438)),0))</f>
        <v>2</v>
      </c>
      <c r="G1438" s="38" t="n">
        <f aca="false">IF(Raw_Export!$A1438="","",IFERROR(VALUE(SUBSTITUTE(SUBSTITUTE(UPPER(TRIM(Raw_Export!F1438)),"KES",""),",","")),0))</f>
        <v>420</v>
      </c>
      <c r="H1438" s="38" t="n">
        <f aca="false">IF(Raw_Export!$A1438="","",F1438*G1438)</f>
        <v>840</v>
      </c>
      <c r="I1438" s="36" t="str">
        <f aca="false">IF(Raw_Export!$A1438="","",IFERROR(VLOOKUP(LOWER(TRIM(Raw_Export!H1438)),Maps!$D$2:$E$12,2,FALSE()),"Other"))</f>
        <v>Card</v>
      </c>
      <c r="J1438" s="36" t="str">
        <f aca="false">IF(Raw_Export!$A1438="","",IF(COUNTIF($A$2:A1438,A1438)&gt;1,"Duplicate",""))</f>
        <v/>
      </c>
      <c r="K1438" s="36" t="str">
        <f aca="false">IF(Raw_Export!$A1438="","",IF(J1438="Duplicate","Duplicate",IF(OR(C1438="UNMAPPED",D1438="UNMAPPED"),"Unmapped",IF(F1438=0,"Blank qty",IF(F1438&lt;0,"Return","OK")))))</f>
        <v>OK</v>
      </c>
      <c r="L1438" s="36" t="n">
        <f aca="false">IF(Raw_Export!$A1438="","",IF(OR(K1438="OK",K1438="Return"),1,0))</f>
        <v>1</v>
      </c>
      <c r="M1438" s="37" t="n">
        <f aca="false">IF(Raw_Export!$A1438="","",B1438-WEEKDAY(B1438,2)+1)</f>
        <v>46272</v>
      </c>
    </row>
    <row r="1439" customFormat="false" ht="15" hidden="false" customHeight="false" outlineLevel="0" collapsed="false">
      <c r="A1439" s="36" t="str">
        <f aca="false">IF(Raw_Export!$A1439="","",TRIM(Raw_Export!A1439))</f>
        <v>TXN-101410</v>
      </c>
      <c r="B1439" s="37" t="n">
        <f aca="false">IF(Raw_Export!$A1439="","",IF(ISNUMBER(Raw_Export!B1439),Raw_Export!B1439,IF(MID(TRIM(Raw_Export!B1439),5,1)="-",DATE(LEFT(TRIM(Raw_Export!B1439),4),MID(TRIM(Raw_Export!B1439),6,2),RIGHT(TRIM(Raw_Export!B1439),2)),DATE(RIGHT(TRIM(Raw_Export!B1439),4),MATCH(MID(TRIM(Raw_Export!B1439),4,3),{"Jan","Feb","Mar","Apr","May","Jun","Jul","Aug","Sep","Oct","Nov","Dec"},0),LEFT(TRIM(Raw_Export!B1439),2)))))</f>
        <v>46274</v>
      </c>
      <c r="C1439" s="36" t="str">
        <f aca="false">IF(Raw_Export!$A1439="","",IFERROR(VLOOKUP(LOWER(TRIM(Raw_Export!C1439)),Maps!$A$2:$B$20,2,FALSE()),"UNMAPPED"))</f>
        <v>Mombasa</v>
      </c>
      <c r="D1439" s="36" t="str">
        <f aca="false">IF(Raw_Export!$A1439="","",IFERROR(VLOOKUP(LOWER(TRIM(Raw_Export!D1439)),Maps!$G$2:$I$80,2,FALSE()),"UNMAPPED"))</f>
        <v>Bread Loaf 400g</v>
      </c>
      <c r="E1439" s="36" t="str">
        <f aca="false">IF(Raw_Export!$A1439="","",IFERROR(VLOOKUP(LOWER(TRIM(Raw_Export!D1439)),Maps!$G$2:$I$80,3,FALSE()),"UNMAPPED"))</f>
        <v>Snacks</v>
      </c>
      <c r="F1439" s="36" t="n">
        <f aca="false">IF(Raw_Export!$A1439="","",IFERROR(VALUE(TRIM(Raw_Export!E1439)),0))</f>
        <v>2</v>
      </c>
      <c r="G1439" s="38" t="n">
        <f aca="false">IF(Raw_Export!$A1439="","",IFERROR(VALUE(SUBSTITUTE(SUBSTITUTE(UPPER(TRIM(Raw_Export!F1439)),"KES",""),",","")),0))</f>
        <v>65</v>
      </c>
      <c r="H1439" s="38" t="n">
        <f aca="false">IF(Raw_Export!$A1439="","",F1439*G1439)</f>
        <v>130</v>
      </c>
      <c r="I1439" s="36" t="str">
        <f aca="false">IF(Raw_Export!$A1439="","",IFERROR(VLOOKUP(LOWER(TRIM(Raw_Export!H1439)),Maps!$D$2:$E$12,2,FALSE()),"Other"))</f>
        <v>M-Pesa</v>
      </c>
      <c r="J1439" s="36" t="str">
        <f aca="false">IF(Raw_Export!$A1439="","",IF(COUNTIF($A$2:A1439,A1439)&gt;1,"Duplicate",""))</f>
        <v/>
      </c>
      <c r="K1439" s="36" t="str">
        <f aca="false">IF(Raw_Export!$A1439="","",IF(J1439="Duplicate","Duplicate",IF(OR(C1439="UNMAPPED",D1439="UNMAPPED"),"Unmapped",IF(F1439=0,"Blank qty",IF(F1439&lt;0,"Return","OK")))))</f>
        <v>OK</v>
      </c>
      <c r="L1439" s="36" t="n">
        <f aca="false">IF(Raw_Export!$A1439="","",IF(OR(K1439="OK",K1439="Return"),1,0))</f>
        <v>1</v>
      </c>
      <c r="M1439" s="37" t="n">
        <f aca="false">IF(Raw_Export!$A1439="","",B1439-WEEKDAY(B1439,2)+1)</f>
        <v>46272</v>
      </c>
    </row>
    <row r="1440" customFormat="false" ht="15" hidden="false" customHeight="false" outlineLevel="0" collapsed="false">
      <c r="A1440" s="36" t="str">
        <f aca="false">IF(Raw_Export!$A1440="","",TRIM(Raw_Export!A1440))</f>
        <v>TXN-101411</v>
      </c>
      <c r="B1440" s="37" t="n">
        <f aca="false">IF(Raw_Export!$A1440="","",IF(ISNUMBER(Raw_Export!B1440),Raw_Export!B1440,IF(MID(TRIM(Raw_Export!B1440),5,1)="-",DATE(LEFT(TRIM(Raw_Export!B1440),4),MID(TRIM(Raw_Export!B1440),6,2),RIGHT(TRIM(Raw_Export!B1440),2)),DATE(RIGHT(TRIM(Raw_Export!B1440),4),MATCH(MID(TRIM(Raw_Export!B1440),4,3),{"Jan","Feb","Mar","Apr","May","Jun","Jul","Aug","Sep","Oct","Nov","Dec"},0),LEFT(TRIM(Raw_Export!B1440),2)))))</f>
        <v>46274</v>
      </c>
      <c r="C1440" s="36" t="str">
        <f aca="false">IF(Raw_Export!$A1440="","",IFERROR(VLOOKUP(LOWER(TRIM(Raw_Export!C1440)),Maps!$A$2:$B$20,2,FALSE()),"UNMAPPED"))</f>
        <v>Mombasa</v>
      </c>
      <c r="D1440" s="36" t="str">
        <f aca="false">IF(Raw_Export!$A1440="","",IFERROR(VLOOKUP(LOWER(TRIM(Raw_Export!D1440)),Maps!$G$2:$I$80,2,FALSE()),"UNMAPPED"))</f>
        <v>Peanuts 250g</v>
      </c>
      <c r="E1440" s="36" t="str">
        <f aca="false">IF(Raw_Export!$A1440="","",IFERROR(VLOOKUP(LOWER(TRIM(Raw_Export!D1440)),Maps!$G$2:$I$80,3,FALSE()),"UNMAPPED"))</f>
        <v>Snacks</v>
      </c>
      <c r="F1440" s="36" t="n">
        <f aca="false">IF(Raw_Export!$A1440="","",IFERROR(VALUE(TRIM(Raw_Export!E1440)),0))</f>
        <v>2</v>
      </c>
      <c r="G1440" s="38" t="n">
        <f aca="false">IF(Raw_Export!$A1440="","",IFERROR(VALUE(SUBSTITUTE(SUBSTITUTE(UPPER(TRIM(Raw_Export!F1440)),"KES",""),",","")),0))</f>
        <v>130</v>
      </c>
      <c r="H1440" s="38" t="n">
        <f aca="false">IF(Raw_Export!$A1440="","",F1440*G1440)</f>
        <v>260</v>
      </c>
      <c r="I1440" s="36" t="str">
        <f aca="false">IF(Raw_Export!$A1440="","",IFERROR(VLOOKUP(LOWER(TRIM(Raw_Export!H1440)),Maps!$D$2:$E$12,2,FALSE()),"Other"))</f>
        <v>M-Pesa</v>
      </c>
      <c r="J1440" s="36" t="str">
        <f aca="false">IF(Raw_Export!$A1440="","",IF(COUNTIF($A$2:A1440,A1440)&gt;1,"Duplicate",""))</f>
        <v/>
      </c>
      <c r="K1440" s="36" t="str">
        <f aca="false">IF(Raw_Export!$A1440="","",IF(J1440="Duplicate","Duplicate",IF(OR(C1440="UNMAPPED",D1440="UNMAPPED"),"Unmapped",IF(F1440=0,"Blank qty",IF(F1440&lt;0,"Return","OK")))))</f>
        <v>OK</v>
      </c>
      <c r="L1440" s="36" t="n">
        <f aca="false">IF(Raw_Export!$A1440="","",IF(OR(K1440="OK",K1440="Return"),1,0))</f>
        <v>1</v>
      </c>
      <c r="M1440" s="37" t="n">
        <f aca="false">IF(Raw_Export!$A1440="","",B1440-WEEKDAY(B1440,2)+1)</f>
        <v>46272</v>
      </c>
    </row>
    <row r="1441" customFormat="false" ht="15" hidden="false" customHeight="false" outlineLevel="0" collapsed="false">
      <c r="A1441" s="36" t="str">
        <f aca="false">IF(Raw_Export!$A1441="","",TRIM(Raw_Export!A1441))</f>
        <v>TXN-101412</v>
      </c>
      <c r="B1441" s="37" t="n">
        <f aca="false">IF(Raw_Export!$A1441="","",IF(ISNUMBER(Raw_Export!B1441),Raw_Export!B1441,IF(MID(TRIM(Raw_Export!B1441),5,1)="-",DATE(LEFT(TRIM(Raw_Export!B1441),4),MID(TRIM(Raw_Export!B1441),6,2),RIGHT(TRIM(Raw_Export!B1441),2)),DATE(RIGHT(TRIM(Raw_Export!B1441),4),MATCH(MID(TRIM(Raw_Export!B1441),4,3),{"Jan","Feb","Mar","Apr","May","Jun","Jul","Aug","Sep","Oct","Nov","Dec"},0),LEFT(TRIM(Raw_Export!B1441),2)))))</f>
        <v>46274</v>
      </c>
      <c r="C1441" s="36" t="str">
        <f aca="false">IF(Raw_Export!$A1441="","",IFERROR(VLOOKUP(LOWER(TRIM(Raw_Export!C1441)),Maps!$A$2:$B$20,2,FALSE()),"UNMAPPED"))</f>
        <v>Mombasa</v>
      </c>
      <c r="D1441" s="36" t="str">
        <f aca="false">IF(Raw_Export!$A1441="","",IFERROR(VLOOKUP(LOWER(TRIM(Raw_Export!D1441)),Maps!$G$2:$I$80,2,FALSE()),"UNMAPPED"))</f>
        <v>Cooking Oil 1L</v>
      </c>
      <c r="E1441" s="36" t="str">
        <f aca="false">IF(Raw_Export!$A1441="","",IFERROR(VLOOKUP(LOWER(TRIM(Raw_Export!D1441)),Maps!$G$2:$I$80,3,FALSE()),"UNMAPPED"))</f>
        <v>Staples</v>
      </c>
      <c r="F1441" s="36" t="n">
        <f aca="false">IF(Raw_Export!$A1441="","",IFERROR(VALUE(TRIM(Raw_Export!E1441)),0))</f>
        <v>1</v>
      </c>
      <c r="G1441" s="38" t="n">
        <f aca="false">IF(Raw_Export!$A1441="","",IFERROR(VALUE(SUBSTITUTE(SUBSTITUTE(UPPER(TRIM(Raw_Export!F1441)),"KES",""),",","")),0))</f>
        <v>330</v>
      </c>
      <c r="H1441" s="38" t="n">
        <f aca="false">IF(Raw_Export!$A1441="","",F1441*G1441)</f>
        <v>330</v>
      </c>
      <c r="I1441" s="36" t="str">
        <f aca="false">IF(Raw_Export!$A1441="","",IFERROR(VLOOKUP(LOWER(TRIM(Raw_Export!H1441)),Maps!$D$2:$E$12,2,FALSE()),"Other"))</f>
        <v>M-Pesa</v>
      </c>
      <c r="J1441" s="36" t="str">
        <f aca="false">IF(Raw_Export!$A1441="","",IF(COUNTIF($A$2:A1441,A1441)&gt;1,"Duplicate",""))</f>
        <v/>
      </c>
      <c r="K1441" s="36" t="str">
        <f aca="false">IF(Raw_Export!$A1441="","",IF(J1441="Duplicate","Duplicate",IF(OR(C1441="UNMAPPED",D1441="UNMAPPED"),"Unmapped",IF(F1441=0,"Blank qty",IF(F1441&lt;0,"Return","OK")))))</f>
        <v>OK</v>
      </c>
      <c r="L1441" s="36" t="n">
        <f aca="false">IF(Raw_Export!$A1441="","",IF(OR(K1441="OK",K1441="Return"),1,0))</f>
        <v>1</v>
      </c>
      <c r="M1441" s="37" t="n">
        <f aca="false">IF(Raw_Export!$A1441="","",B1441-WEEKDAY(B1441,2)+1)</f>
        <v>46272</v>
      </c>
    </row>
    <row r="1442" customFormat="false" ht="15" hidden="false" customHeight="false" outlineLevel="0" collapsed="false">
      <c r="A1442" s="36" t="str">
        <f aca="false">IF(Raw_Export!$A1442="","",TRIM(Raw_Export!A1442))</f>
        <v>TXN-101413</v>
      </c>
      <c r="B1442" s="37" t="n">
        <f aca="false">IF(Raw_Export!$A1442="","",IF(ISNUMBER(Raw_Export!B1442),Raw_Export!B1442,IF(MID(TRIM(Raw_Export!B1442),5,1)="-",DATE(LEFT(TRIM(Raw_Export!B1442),4),MID(TRIM(Raw_Export!B1442),6,2),RIGHT(TRIM(Raw_Export!B1442),2)),DATE(RIGHT(TRIM(Raw_Export!B1442),4),MATCH(MID(TRIM(Raw_Export!B1442),4,3),{"Jan","Feb","Mar","Apr","May","Jun","Jul","Aug","Sep","Oct","Nov","Dec"},0),LEFT(TRIM(Raw_Export!B1442),2)))))</f>
        <v>46274</v>
      </c>
      <c r="C1442" s="36" t="str">
        <f aca="false">IF(Raw_Export!$A1442="","",IFERROR(VLOOKUP(LOWER(TRIM(Raw_Export!C1442)),Maps!$A$2:$B$20,2,FALSE()),"UNMAPPED"))</f>
        <v>Mombasa</v>
      </c>
      <c r="D1442" s="36" t="str">
        <f aca="false">IF(Raw_Export!$A1442="","",IFERROR(VLOOKUP(LOWER(TRIM(Raw_Export!D1442)),Maps!$G$2:$I$80,2,FALSE()),"UNMAPPED"))</f>
        <v>Unga Pembe 2kg</v>
      </c>
      <c r="E1442" s="36" t="str">
        <f aca="false">IF(Raw_Export!$A1442="","",IFERROR(VLOOKUP(LOWER(TRIM(Raw_Export!D1442)),Maps!$G$2:$I$80,3,FALSE()),"UNMAPPED"))</f>
        <v>Staples</v>
      </c>
      <c r="F1442" s="36" t="n">
        <f aca="false">IF(Raw_Export!$A1442="","",IFERROR(VALUE(TRIM(Raw_Export!E1442)),0))</f>
        <v>1</v>
      </c>
      <c r="G1442" s="38" t="n">
        <f aca="false">IF(Raw_Export!$A1442="","",IFERROR(VALUE(SUBSTITUTE(SUBSTITUTE(UPPER(TRIM(Raw_Export!F1442)),"KES",""),",","")),0))</f>
        <v>190</v>
      </c>
      <c r="H1442" s="38" t="n">
        <f aca="false">IF(Raw_Export!$A1442="","",F1442*G1442)</f>
        <v>190</v>
      </c>
      <c r="I1442" s="36" t="str">
        <f aca="false">IF(Raw_Export!$A1442="","",IFERROR(VLOOKUP(LOWER(TRIM(Raw_Export!H1442)),Maps!$D$2:$E$12,2,FALSE()),"Other"))</f>
        <v>Card</v>
      </c>
      <c r="J1442" s="36" t="str">
        <f aca="false">IF(Raw_Export!$A1442="","",IF(COUNTIF($A$2:A1442,A1442)&gt;1,"Duplicate",""))</f>
        <v/>
      </c>
      <c r="K1442" s="36" t="str">
        <f aca="false">IF(Raw_Export!$A1442="","",IF(J1442="Duplicate","Duplicate",IF(OR(C1442="UNMAPPED",D1442="UNMAPPED"),"Unmapped",IF(F1442=0,"Blank qty",IF(F1442&lt;0,"Return","OK")))))</f>
        <v>OK</v>
      </c>
      <c r="L1442" s="36" t="n">
        <f aca="false">IF(Raw_Export!$A1442="","",IF(OR(K1442="OK",K1442="Return"),1,0))</f>
        <v>1</v>
      </c>
      <c r="M1442" s="37" t="n">
        <f aca="false">IF(Raw_Export!$A1442="","",B1442-WEEKDAY(B1442,2)+1)</f>
        <v>46272</v>
      </c>
    </row>
    <row r="1443" customFormat="false" ht="15" hidden="false" customHeight="false" outlineLevel="0" collapsed="false">
      <c r="A1443" s="36" t="str">
        <f aca="false">IF(Raw_Export!$A1443="","",TRIM(Raw_Export!A1443))</f>
        <v>TXN-101414</v>
      </c>
      <c r="B1443" s="37" t="n">
        <f aca="false">IF(Raw_Export!$A1443="","",IF(ISNUMBER(Raw_Export!B1443),Raw_Export!B1443,IF(MID(TRIM(Raw_Export!B1443),5,1)="-",DATE(LEFT(TRIM(Raw_Export!B1443),4),MID(TRIM(Raw_Export!B1443),6,2),RIGHT(TRIM(Raw_Export!B1443),2)),DATE(RIGHT(TRIM(Raw_Export!B1443),4),MATCH(MID(TRIM(Raw_Export!B1443),4,3),{"Jan","Feb","Mar","Apr","May","Jun","Jul","Aug","Sep","Oct","Nov","Dec"},0),LEFT(TRIM(Raw_Export!B1443),2)))))</f>
        <v>46274</v>
      </c>
      <c r="C1443" s="36" t="str">
        <f aca="false">IF(Raw_Export!$A1443="","",IFERROR(VLOOKUP(LOWER(TRIM(Raw_Export!C1443)),Maps!$A$2:$B$20,2,FALSE()),"UNMAPPED"))</f>
        <v>Kisumu</v>
      </c>
      <c r="D1443" s="36" t="str">
        <f aca="false">IF(Raw_Export!$A1443="","",IFERROR(VLOOKUP(LOWER(TRIM(Raw_Export!D1443)),Maps!$G$2:$I$80,2,FALSE()),"UNMAPPED"))</f>
        <v>Soda 500ml</v>
      </c>
      <c r="E1443" s="36" t="str">
        <f aca="false">IF(Raw_Export!$A1443="","",IFERROR(VLOOKUP(LOWER(TRIM(Raw_Export!D1443)),Maps!$G$2:$I$80,3,FALSE()),"UNMAPPED"))</f>
        <v>Beverages</v>
      </c>
      <c r="F1443" s="36" t="n">
        <f aca="false">IF(Raw_Export!$A1443="","",IFERROR(VALUE(TRIM(Raw_Export!E1443)),0))</f>
        <v>2</v>
      </c>
      <c r="G1443" s="38" t="n">
        <f aca="false">IF(Raw_Export!$A1443="","",IFERROR(VALUE(SUBSTITUTE(SUBSTITUTE(UPPER(TRIM(Raw_Export!F1443)),"KES",""),",","")),0))</f>
        <v>60</v>
      </c>
      <c r="H1443" s="38" t="n">
        <f aca="false">IF(Raw_Export!$A1443="","",F1443*G1443)</f>
        <v>120</v>
      </c>
      <c r="I1443" s="36" t="str">
        <f aca="false">IF(Raw_Export!$A1443="","",IFERROR(VLOOKUP(LOWER(TRIM(Raw_Export!H1443)),Maps!$D$2:$E$12,2,FALSE()),"Other"))</f>
        <v>M-Pesa</v>
      </c>
      <c r="J1443" s="36" t="str">
        <f aca="false">IF(Raw_Export!$A1443="","",IF(COUNTIF($A$2:A1443,A1443)&gt;1,"Duplicate",""))</f>
        <v/>
      </c>
      <c r="K1443" s="36" t="str">
        <f aca="false">IF(Raw_Export!$A1443="","",IF(J1443="Duplicate","Duplicate",IF(OR(C1443="UNMAPPED",D1443="UNMAPPED"),"Unmapped",IF(F1443=0,"Blank qty",IF(F1443&lt;0,"Return","OK")))))</f>
        <v>OK</v>
      </c>
      <c r="L1443" s="36" t="n">
        <f aca="false">IF(Raw_Export!$A1443="","",IF(OR(K1443="OK",K1443="Return"),1,0))</f>
        <v>1</v>
      </c>
      <c r="M1443" s="37" t="n">
        <f aca="false">IF(Raw_Export!$A1443="","",B1443-WEEKDAY(B1443,2)+1)</f>
        <v>46272</v>
      </c>
    </row>
    <row r="1444" customFormat="false" ht="15" hidden="false" customHeight="false" outlineLevel="0" collapsed="false">
      <c r="A1444" s="36" t="str">
        <f aca="false">IF(Raw_Export!$A1444="","",TRIM(Raw_Export!A1444))</f>
        <v>TXN-101415</v>
      </c>
      <c r="B1444" s="37" t="n">
        <f aca="false">IF(Raw_Export!$A1444="","",IF(ISNUMBER(Raw_Export!B1444),Raw_Export!B1444,IF(MID(TRIM(Raw_Export!B1444),5,1)="-",DATE(LEFT(TRIM(Raw_Export!B1444),4),MID(TRIM(Raw_Export!B1444),6,2),RIGHT(TRIM(Raw_Export!B1444),2)),DATE(RIGHT(TRIM(Raw_Export!B1444),4),MATCH(MID(TRIM(Raw_Export!B1444),4,3),{"Jan","Feb","Mar","Apr","May","Jun","Jul","Aug","Sep","Oct","Nov","Dec"},0),LEFT(TRIM(Raw_Export!B1444),2)))))</f>
        <v>46274</v>
      </c>
      <c r="C1444" s="36" t="str">
        <f aca="false">IF(Raw_Export!$A1444="","",IFERROR(VLOOKUP(LOWER(TRIM(Raw_Export!C1444)),Maps!$A$2:$B$20,2,FALSE()),"UNMAPPED"))</f>
        <v>Kisumu</v>
      </c>
      <c r="D1444" s="36" t="str">
        <f aca="false">IF(Raw_Export!$A1444="","",IFERROR(VLOOKUP(LOWER(TRIM(Raw_Export!D1444)),Maps!$G$2:$I$80,2,FALSE()),"UNMAPPED"))</f>
        <v>Juice 1L</v>
      </c>
      <c r="E1444" s="36" t="str">
        <f aca="false">IF(Raw_Export!$A1444="","",IFERROR(VLOOKUP(LOWER(TRIM(Raw_Export!D1444)),Maps!$G$2:$I$80,3,FALSE()),"UNMAPPED"))</f>
        <v>Beverages</v>
      </c>
      <c r="F1444" s="36" t="n">
        <f aca="false">IF(Raw_Export!$A1444="","",IFERROR(VALUE(TRIM(Raw_Export!E1444)),0))</f>
        <v>1</v>
      </c>
      <c r="G1444" s="38" t="n">
        <f aca="false">IF(Raw_Export!$A1444="","",IFERROR(VALUE(SUBSTITUTE(SUBSTITUTE(UPPER(TRIM(Raw_Export!F1444)),"KES",""),",","")),0))</f>
        <v>210</v>
      </c>
      <c r="H1444" s="38" t="n">
        <f aca="false">IF(Raw_Export!$A1444="","",F1444*G1444)</f>
        <v>210</v>
      </c>
      <c r="I1444" s="36" t="str">
        <f aca="false">IF(Raw_Export!$A1444="","",IFERROR(VLOOKUP(LOWER(TRIM(Raw_Export!H1444)),Maps!$D$2:$E$12,2,FALSE()),"Other"))</f>
        <v>M-Pesa</v>
      </c>
      <c r="J1444" s="36" t="str">
        <f aca="false">IF(Raw_Export!$A1444="","",IF(COUNTIF($A$2:A1444,A1444)&gt;1,"Duplicate",""))</f>
        <v/>
      </c>
      <c r="K1444" s="36" t="str">
        <f aca="false">IF(Raw_Export!$A1444="","",IF(J1444="Duplicate","Duplicate",IF(OR(C1444="UNMAPPED",D1444="UNMAPPED"),"Unmapped",IF(F1444=0,"Blank qty",IF(F1444&lt;0,"Return","OK")))))</f>
        <v>OK</v>
      </c>
      <c r="L1444" s="36" t="n">
        <f aca="false">IF(Raw_Export!$A1444="","",IF(OR(K1444="OK",K1444="Return"),1,0))</f>
        <v>1</v>
      </c>
      <c r="M1444" s="37" t="n">
        <f aca="false">IF(Raw_Export!$A1444="","",B1444-WEEKDAY(B1444,2)+1)</f>
        <v>46272</v>
      </c>
    </row>
    <row r="1445" customFormat="false" ht="15" hidden="false" customHeight="false" outlineLevel="0" collapsed="false">
      <c r="A1445" s="36" t="str">
        <f aca="false">IF(Raw_Export!$A1445="","",TRIM(Raw_Export!A1445))</f>
        <v>TXN-101416</v>
      </c>
      <c r="B1445" s="37" t="n">
        <f aca="false">IF(Raw_Export!$A1445="","",IF(ISNUMBER(Raw_Export!B1445),Raw_Export!B1445,IF(MID(TRIM(Raw_Export!B1445),5,1)="-",DATE(LEFT(TRIM(Raw_Export!B1445),4),MID(TRIM(Raw_Export!B1445),6,2),RIGHT(TRIM(Raw_Export!B1445),2)),DATE(RIGHT(TRIM(Raw_Export!B1445),4),MATCH(MID(TRIM(Raw_Export!B1445),4,3),{"Jan","Feb","Mar","Apr","May","Jun","Jul","Aug","Sep","Oct","Nov","Dec"},0),LEFT(TRIM(Raw_Export!B1445),2)))))</f>
        <v>46274</v>
      </c>
      <c r="C1445" s="36" t="str">
        <f aca="false">IF(Raw_Export!$A1445="","",IFERROR(VLOOKUP(LOWER(TRIM(Raw_Export!C1445)),Maps!$A$2:$B$20,2,FALSE()),"UNMAPPED"))</f>
        <v>Kisumu</v>
      </c>
      <c r="D1445" s="36" t="str">
        <f aca="false">IF(Raw_Export!$A1445="","",IFERROR(VLOOKUP(LOWER(TRIM(Raw_Export!D1445)),Maps!$G$2:$I$80,2,FALSE()),"UNMAPPED"))</f>
        <v>Toothpaste 100g</v>
      </c>
      <c r="E1445" s="36" t="str">
        <f aca="false">IF(Raw_Export!$A1445="","",IFERROR(VLOOKUP(LOWER(TRIM(Raw_Export!D1445)),Maps!$G$2:$I$80,3,FALSE()),"UNMAPPED"))</f>
        <v>Personal Care</v>
      </c>
      <c r="F1445" s="36" t="n">
        <f aca="false">IF(Raw_Export!$A1445="","",IFERROR(VALUE(TRIM(Raw_Export!E1445)),0))</f>
        <v>3</v>
      </c>
      <c r="G1445" s="38" t="n">
        <f aca="false">IF(Raw_Export!$A1445="","",IFERROR(VALUE(SUBSTITUTE(SUBSTITUTE(UPPER(TRIM(Raw_Export!F1445)),"KES",""),",","")),0))</f>
        <v>195</v>
      </c>
      <c r="H1445" s="38" t="n">
        <f aca="false">IF(Raw_Export!$A1445="","",F1445*G1445)</f>
        <v>585</v>
      </c>
      <c r="I1445" s="36" t="str">
        <f aca="false">IF(Raw_Export!$A1445="","",IFERROR(VLOOKUP(LOWER(TRIM(Raw_Export!H1445)),Maps!$D$2:$E$12,2,FALSE()),"Other"))</f>
        <v>M-Pesa</v>
      </c>
      <c r="J1445" s="36" t="str">
        <f aca="false">IF(Raw_Export!$A1445="","",IF(COUNTIF($A$2:A1445,A1445)&gt;1,"Duplicate",""))</f>
        <v/>
      </c>
      <c r="K1445" s="36" t="str">
        <f aca="false">IF(Raw_Export!$A1445="","",IF(J1445="Duplicate","Duplicate",IF(OR(C1445="UNMAPPED",D1445="UNMAPPED"),"Unmapped",IF(F1445=0,"Blank qty",IF(F1445&lt;0,"Return","OK")))))</f>
        <v>OK</v>
      </c>
      <c r="L1445" s="36" t="n">
        <f aca="false">IF(Raw_Export!$A1445="","",IF(OR(K1445="OK",K1445="Return"),1,0))</f>
        <v>1</v>
      </c>
      <c r="M1445" s="37" t="n">
        <f aca="false">IF(Raw_Export!$A1445="","",B1445-WEEKDAY(B1445,2)+1)</f>
        <v>46272</v>
      </c>
    </row>
    <row r="1446" customFormat="false" ht="15" hidden="false" customHeight="false" outlineLevel="0" collapsed="false">
      <c r="A1446" s="36" t="str">
        <f aca="false">IF(Raw_Export!$A1446="","",TRIM(Raw_Export!A1446))</f>
        <v>TXN-101417</v>
      </c>
      <c r="B1446" s="37" t="n">
        <f aca="false">IF(Raw_Export!$A1446="","",IF(ISNUMBER(Raw_Export!B1446),Raw_Export!B1446,IF(MID(TRIM(Raw_Export!B1446),5,1)="-",DATE(LEFT(TRIM(Raw_Export!B1446),4),MID(TRIM(Raw_Export!B1446),6,2),RIGHT(TRIM(Raw_Export!B1446),2)),DATE(RIGHT(TRIM(Raw_Export!B1446),4),MATCH(MID(TRIM(Raw_Export!B1446),4,3),{"Jan","Feb","Mar","Apr","May","Jun","Jul","Aug","Sep","Oct","Nov","Dec"},0),LEFT(TRIM(Raw_Export!B1446),2)))))</f>
        <v>46274</v>
      </c>
      <c r="C1446" s="36" t="str">
        <f aca="false">IF(Raw_Export!$A1446="","",IFERROR(VLOOKUP(LOWER(TRIM(Raw_Export!C1446)),Maps!$A$2:$B$20,2,FALSE()),"UNMAPPED"))</f>
        <v>Kisumu</v>
      </c>
      <c r="D1446" s="36" t="str">
        <f aca="false">IF(Raw_Export!$A1446="","",IFERROR(VLOOKUP(LOWER(TRIM(Raw_Export!D1446)),Maps!$G$2:$I$80,2,FALSE()),"UNMAPPED"))</f>
        <v>Coffee 100g</v>
      </c>
      <c r="E1446" s="36" t="str">
        <f aca="false">IF(Raw_Export!$A1446="","",IFERROR(VLOOKUP(LOWER(TRIM(Raw_Export!D1446)),Maps!$G$2:$I$80,3,FALSE()),"UNMAPPED"))</f>
        <v>Beverages</v>
      </c>
      <c r="F1446" s="36" t="n">
        <f aca="false">IF(Raw_Export!$A1446="","",IFERROR(VALUE(TRIM(Raw_Export!E1446)),0))</f>
        <v>2</v>
      </c>
      <c r="G1446" s="38" t="n">
        <f aca="false">IF(Raw_Export!$A1446="","",IFERROR(VALUE(SUBSTITUTE(SUBSTITUTE(UPPER(TRIM(Raw_Export!F1446)),"KES",""),",","")),0))</f>
        <v>360</v>
      </c>
      <c r="H1446" s="38" t="n">
        <f aca="false">IF(Raw_Export!$A1446="","",F1446*G1446)</f>
        <v>720</v>
      </c>
      <c r="I1446" s="36" t="str">
        <f aca="false">IF(Raw_Export!$A1446="","",IFERROR(VLOOKUP(LOWER(TRIM(Raw_Export!H1446)),Maps!$D$2:$E$12,2,FALSE()),"Other"))</f>
        <v>M-Pesa</v>
      </c>
      <c r="J1446" s="36" t="str">
        <f aca="false">IF(Raw_Export!$A1446="","",IF(COUNTIF($A$2:A1446,A1446)&gt;1,"Duplicate",""))</f>
        <v/>
      </c>
      <c r="K1446" s="36" t="str">
        <f aca="false">IF(Raw_Export!$A1446="","",IF(J1446="Duplicate","Duplicate",IF(OR(C1446="UNMAPPED",D1446="UNMAPPED"),"Unmapped",IF(F1446=0,"Blank qty",IF(F1446&lt;0,"Return","OK")))))</f>
        <v>OK</v>
      </c>
      <c r="L1446" s="36" t="n">
        <f aca="false">IF(Raw_Export!$A1446="","",IF(OR(K1446="OK",K1446="Return"),1,0))</f>
        <v>1</v>
      </c>
      <c r="M1446" s="37" t="n">
        <f aca="false">IF(Raw_Export!$A1446="","",B1446-WEEKDAY(B1446,2)+1)</f>
        <v>46272</v>
      </c>
    </row>
    <row r="1447" customFormat="false" ht="15" hidden="false" customHeight="false" outlineLevel="0" collapsed="false">
      <c r="A1447" s="36" t="str">
        <f aca="false">IF(Raw_Export!$A1447="","",TRIM(Raw_Export!A1447))</f>
        <v>TXN-101418</v>
      </c>
      <c r="B1447" s="37" t="n">
        <f aca="false">IF(Raw_Export!$A1447="","",IF(ISNUMBER(Raw_Export!B1447),Raw_Export!B1447,IF(MID(TRIM(Raw_Export!B1447),5,1)="-",DATE(LEFT(TRIM(Raw_Export!B1447),4),MID(TRIM(Raw_Export!B1447),6,2),RIGHT(TRIM(Raw_Export!B1447),2)),DATE(RIGHT(TRIM(Raw_Export!B1447),4),MATCH(MID(TRIM(Raw_Export!B1447),4,3),{"Jan","Feb","Mar","Apr","May","Jun","Jul","Aug","Sep","Oct","Nov","Dec"},0),LEFT(TRIM(Raw_Export!B1447),2)))))</f>
        <v>46274</v>
      </c>
      <c r="C1447" s="36" t="str">
        <f aca="false">IF(Raw_Export!$A1447="","",IFERROR(VLOOKUP(LOWER(TRIM(Raw_Export!C1447)),Maps!$A$2:$B$20,2,FALSE()),"UNMAPPED"))</f>
        <v>Kisumu</v>
      </c>
      <c r="D1447" s="36" t="str">
        <f aca="false">IF(Raw_Export!$A1447="","",IFERROR(VLOOKUP(LOWER(TRIM(Raw_Export!D1447)),Maps!$G$2:$I$80,2,FALSE()),"UNMAPPED"))</f>
        <v>Soda 500ml</v>
      </c>
      <c r="E1447" s="36" t="str">
        <f aca="false">IF(Raw_Export!$A1447="","",IFERROR(VLOOKUP(LOWER(TRIM(Raw_Export!D1447)),Maps!$G$2:$I$80,3,FALSE()),"UNMAPPED"))</f>
        <v>Beverages</v>
      </c>
      <c r="F1447" s="36" t="n">
        <f aca="false">IF(Raw_Export!$A1447="","",IFERROR(VALUE(TRIM(Raw_Export!E1447)),0))</f>
        <v>1</v>
      </c>
      <c r="G1447" s="38" t="n">
        <f aca="false">IF(Raw_Export!$A1447="","",IFERROR(VALUE(SUBSTITUTE(SUBSTITUTE(UPPER(TRIM(Raw_Export!F1447)),"KES",""),",","")),0))</f>
        <v>60</v>
      </c>
      <c r="H1447" s="38" t="n">
        <f aca="false">IF(Raw_Export!$A1447="","",F1447*G1447)</f>
        <v>60</v>
      </c>
      <c r="I1447" s="36" t="str">
        <f aca="false">IF(Raw_Export!$A1447="","",IFERROR(VLOOKUP(LOWER(TRIM(Raw_Export!H1447)),Maps!$D$2:$E$12,2,FALSE()),"Other"))</f>
        <v>Card</v>
      </c>
      <c r="J1447" s="36" t="str">
        <f aca="false">IF(Raw_Export!$A1447="","",IF(COUNTIF($A$2:A1447,A1447)&gt;1,"Duplicate",""))</f>
        <v/>
      </c>
      <c r="K1447" s="36" t="str">
        <f aca="false">IF(Raw_Export!$A1447="","",IF(J1447="Duplicate","Duplicate",IF(OR(C1447="UNMAPPED",D1447="UNMAPPED"),"Unmapped",IF(F1447=0,"Blank qty",IF(F1447&lt;0,"Return","OK")))))</f>
        <v>OK</v>
      </c>
      <c r="L1447" s="36" t="n">
        <f aca="false">IF(Raw_Export!$A1447="","",IF(OR(K1447="OK",K1447="Return"),1,0))</f>
        <v>1</v>
      </c>
      <c r="M1447" s="37" t="n">
        <f aca="false">IF(Raw_Export!$A1447="","",B1447-WEEKDAY(B1447,2)+1)</f>
        <v>46272</v>
      </c>
    </row>
    <row r="1448" customFormat="false" ht="15" hidden="false" customHeight="false" outlineLevel="0" collapsed="false">
      <c r="A1448" s="36" t="str">
        <f aca="false">IF(Raw_Export!$A1448="","",TRIM(Raw_Export!A1448))</f>
        <v>TXN-101419</v>
      </c>
      <c r="B1448" s="37" t="n">
        <f aca="false">IF(Raw_Export!$A1448="","",IF(ISNUMBER(Raw_Export!B1448),Raw_Export!B1448,IF(MID(TRIM(Raw_Export!B1448),5,1)="-",DATE(LEFT(TRIM(Raw_Export!B1448),4),MID(TRIM(Raw_Export!B1448),6,2),RIGHT(TRIM(Raw_Export!B1448),2)),DATE(RIGHT(TRIM(Raw_Export!B1448),4),MATCH(MID(TRIM(Raw_Export!B1448),4,3),{"Jan","Feb","Mar","Apr","May","Jun","Jul","Aug","Sep","Oct","Nov","Dec"},0),LEFT(TRIM(Raw_Export!B1448),2)))))</f>
        <v>46274</v>
      </c>
      <c r="C1448" s="36" t="str">
        <f aca="false">IF(Raw_Export!$A1448="","",IFERROR(VLOOKUP(LOWER(TRIM(Raw_Export!C1448)),Maps!$A$2:$B$20,2,FALSE()),"UNMAPPED"))</f>
        <v>Kisumu</v>
      </c>
      <c r="D1448" s="36" t="str">
        <f aca="false">IF(Raw_Export!$A1448="","",IFERROR(VLOOKUP(LOWER(TRIM(Raw_Export!D1448)),Maps!$G$2:$I$80,2,FALSE()),"UNMAPPED"))</f>
        <v>Soda 500ml</v>
      </c>
      <c r="E1448" s="36" t="str">
        <f aca="false">IF(Raw_Export!$A1448="","",IFERROR(VLOOKUP(LOWER(TRIM(Raw_Export!D1448)),Maps!$G$2:$I$80,3,FALSE()),"UNMAPPED"))</f>
        <v>Beverages</v>
      </c>
      <c r="F1448" s="36" t="n">
        <f aca="false">IF(Raw_Export!$A1448="","",IFERROR(VALUE(TRIM(Raw_Export!E1448)),0))</f>
        <v>3</v>
      </c>
      <c r="G1448" s="38" t="n">
        <f aca="false">IF(Raw_Export!$A1448="","",IFERROR(VALUE(SUBSTITUTE(SUBSTITUTE(UPPER(TRIM(Raw_Export!F1448)),"KES",""),",","")),0))</f>
        <v>60</v>
      </c>
      <c r="H1448" s="38" t="n">
        <f aca="false">IF(Raw_Export!$A1448="","",F1448*G1448)</f>
        <v>180</v>
      </c>
      <c r="I1448" s="36" t="str">
        <f aca="false">IF(Raw_Export!$A1448="","",IFERROR(VLOOKUP(LOWER(TRIM(Raw_Export!H1448)),Maps!$D$2:$E$12,2,FALSE()),"Other"))</f>
        <v>M-Pesa</v>
      </c>
      <c r="J1448" s="36" t="str">
        <f aca="false">IF(Raw_Export!$A1448="","",IF(COUNTIF($A$2:A1448,A1448)&gt;1,"Duplicate",""))</f>
        <v/>
      </c>
      <c r="K1448" s="36" t="str">
        <f aca="false">IF(Raw_Export!$A1448="","",IF(J1448="Duplicate","Duplicate",IF(OR(C1448="UNMAPPED",D1448="UNMAPPED"),"Unmapped",IF(F1448=0,"Blank qty",IF(F1448&lt;0,"Return","OK")))))</f>
        <v>OK</v>
      </c>
      <c r="L1448" s="36" t="n">
        <f aca="false">IF(Raw_Export!$A1448="","",IF(OR(K1448="OK",K1448="Return"),1,0))</f>
        <v>1</v>
      </c>
      <c r="M1448" s="37" t="n">
        <f aca="false">IF(Raw_Export!$A1448="","",B1448-WEEKDAY(B1448,2)+1)</f>
        <v>46272</v>
      </c>
    </row>
    <row r="1449" customFormat="false" ht="15" hidden="false" customHeight="false" outlineLevel="0" collapsed="false">
      <c r="A1449" s="36" t="str">
        <f aca="false">IF(Raw_Export!$A1449="","",TRIM(Raw_Export!A1449))</f>
        <v>TXN-101420</v>
      </c>
      <c r="B1449" s="37" t="n">
        <f aca="false">IF(Raw_Export!$A1449="","",IF(ISNUMBER(Raw_Export!B1449),Raw_Export!B1449,IF(MID(TRIM(Raw_Export!B1449),5,1)="-",DATE(LEFT(TRIM(Raw_Export!B1449),4),MID(TRIM(Raw_Export!B1449),6,2),RIGHT(TRIM(Raw_Export!B1449),2)),DATE(RIGHT(TRIM(Raw_Export!B1449),4),MATCH(MID(TRIM(Raw_Export!B1449),4,3),{"Jan","Feb","Mar","Apr","May","Jun","Jul","Aug","Sep","Oct","Nov","Dec"},0),LEFT(TRIM(Raw_Export!B1449),2)))))</f>
        <v>46274</v>
      </c>
      <c r="C1449" s="36" t="str">
        <f aca="false">IF(Raw_Export!$A1449="","",IFERROR(VLOOKUP(LOWER(TRIM(Raw_Export!C1449)),Maps!$A$2:$B$20,2,FALSE()),"UNMAPPED"))</f>
        <v>Kisumu</v>
      </c>
      <c r="D1449" s="36" t="str">
        <f aca="false">IF(Raw_Export!$A1449="","",IFERROR(VLOOKUP(LOWER(TRIM(Raw_Export!D1449)),Maps!$G$2:$I$80,2,FALSE()),"UNMAPPED"))</f>
        <v>Deodorant 150ml</v>
      </c>
      <c r="E1449" s="36" t="str">
        <f aca="false">IF(Raw_Export!$A1449="","",IFERROR(VLOOKUP(LOWER(TRIM(Raw_Export!D1449)),Maps!$G$2:$I$80,3,FALSE()),"UNMAPPED"))</f>
        <v>Personal Care</v>
      </c>
      <c r="F1449" s="36" t="n">
        <f aca="false">IF(Raw_Export!$A1449="","",IFERROR(VALUE(TRIM(Raw_Export!E1449)),0))</f>
        <v>1</v>
      </c>
      <c r="G1449" s="38" t="n">
        <f aca="false">IF(Raw_Export!$A1449="","",IFERROR(VALUE(SUBSTITUTE(SUBSTITUTE(UPPER(TRIM(Raw_Export!F1449)),"KES",""),",","")),0))</f>
        <v>350</v>
      </c>
      <c r="H1449" s="38" t="n">
        <f aca="false">IF(Raw_Export!$A1449="","",F1449*G1449)</f>
        <v>350</v>
      </c>
      <c r="I1449" s="36" t="str">
        <f aca="false">IF(Raw_Export!$A1449="","",IFERROR(VLOOKUP(LOWER(TRIM(Raw_Export!H1449)),Maps!$D$2:$E$12,2,FALSE()),"Other"))</f>
        <v>Cash</v>
      </c>
      <c r="J1449" s="36" t="str">
        <f aca="false">IF(Raw_Export!$A1449="","",IF(COUNTIF($A$2:A1449,A1449)&gt;1,"Duplicate",""))</f>
        <v/>
      </c>
      <c r="K1449" s="36" t="str">
        <f aca="false">IF(Raw_Export!$A1449="","",IF(J1449="Duplicate","Duplicate",IF(OR(C1449="UNMAPPED",D1449="UNMAPPED"),"Unmapped",IF(F1449=0,"Blank qty",IF(F1449&lt;0,"Return","OK")))))</f>
        <v>OK</v>
      </c>
      <c r="L1449" s="36" t="n">
        <f aca="false">IF(Raw_Export!$A1449="","",IF(OR(K1449="OK",K1449="Return"),1,0))</f>
        <v>1</v>
      </c>
      <c r="M1449" s="37" t="n">
        <f aca="false">IF(Raw_Export!$A1449="","",B1449-WEEKDAY(B1449,2)+1)</f>
        <v>46272</v>
      </c>
    </row>
    <row r="1450" customFormat="false" ht="15" hidden="false" customHeight="false" outlineLevel="0" collapsed="false">
      <c r="A1450" s="36" t="str">
        <f aca="false">IF(Raw_Export!$A1450="","",TRIM(Raw_Export!A1450))</f>
        <v>TXN-101421</v>
      </c>
      <c r="B1450" s="37" t="n">
        <f aca="false">IF(Raw_Export!$A1450="","",IF(ISNUMBER(Raw_Export!B1450),Raw_Export!B1450,IF(MID(TRIM(Raw_Export!B1450),5,1)="-",DATE(LEFT(TRIM(Raw_Export!B1450),4),MID(TRIM(Raw_Export!B1450),6,2),RIGHT(TRIM(Raw_Export!B1450),2)),DATE(RIGHT(TRIM(Raw_Export!B1450),4),MATCH(MID(TRIM(Raw_Export!B1450),4,3),{"Jan","Feb","Mar","Apr","May","Jun","Jul","Aug","Sep","Oct","Nov","Dec"},0),LEFT(TRIM(Raw_Export!B1450),2)))))</f>
        <v>46274</v>
      </c>
      <c r="C1450" s="36" t="str">
        <f aca="false">IF(Raw_Export!$A1450="","",IFERROR(VLOOKUP(LOWER(TRIM(Raw_Export!C1450)),Maps!$A$2:$B$20,2,FALSE()),"UNMAPPED"))</f>
        <v>Kisumu</v>
      </c>
      <c r="D1450" s="36" t="str">
        <f aca="false">IF(Raw_Export!$A1450="","",IFERROR(VLOOKUP(LOWER(TRIM(Raw_Export!D1450)),Maps!$G$2:$I$80,2,FALSE()),"UNMAPPED"))</f>
        <v>Crisps 100g</v>
      </c>
      <c r="E1450" s="36" t="str">
        <f aca="false">IF(Raw_Export!$A1450="","",IFERROR(VLOOKUP(LOWER(TRIM(Raw_Export!D1450)),Maps!$G$2:$I$80,3,FALSE()),"UNMAPPED"))</f>
        <v>Snacks</v>
      </c>
      <c r="F1450" s="36" t="n">
        <f aca="false">IF(Raw_Export!$A1450="","",IFERROR(VALUE(TRIM(Raw_Export!E1450)),0))</f>
        <v>1</v>
      </c>
      <c r="G1450" s="38" t="n">
        <f aca="false">IF(Raw_Export!$A1450="","",IFERROR(VALUE(SUBSTITUTE(SUBSTITUTE(UPPER(TRIM(Raw_Export!F1450)),"KES",""),",","")),0))</f>
        <v>80</v>
      </c>
      <c r="H1450" s="38" t="n">
        <f aca="false">IF(Raw_Export!$A1450="","",F1450*G1450)</f>
        <v>80</v>
      </c>
      <c r="I1450" s="36" t="str">
        <f aca="false">IF(Raw_Export!$A1450="","",IFERROR(VLOOKUP(LOWER(TRIM(Raw_Export!H1450)),Maps!$D$2:$E$12,2,FALSE()),"Other"))</f>
        <v>M-Pesa</v>
      </c>
      <c r="J1450" s="36" t="str">
        <f aca="false">IF(Raw_Export!$A1450="","",IF(COUNTIF($A$2:A1450,A1450)&gt;1,"Duplicate",""))</f>
        <v/>
      </c>
      <c r="K1450" s="36" t="str">
        <f aca="false">IF(Raw_Export!$A1450="","",IF(J1450="Duplicate","Duplicate",IF(OR(C1450="UNMAPPED",D1450="UNMAPPED"),"Unmapped",IF(F1450=0,"Blank qty",IF(F1450&lt;0,"Return","OK")))))</f>
        <v>OK</v>
      </c>
      <c r="L1450" s="36" t="n">
        <f aca="false">IF(Raw_Export!$A1450="","",IF(OR(K1450="OK",K1450="Return"),1,0))</f>
        <v>1</v>
      </c>
      <c r="M1450" s="37" t="n">
        <f aca="false">IF(Raw_Export!$A1450="","",B1450-WEEKDAY(B1450,2)+1)</f>
        <v>46272</v>
      </c>
    </row>
    <row r="1451" customFormat="false" ht="15" hidden="false" customHeight="false" outlineLevel="0" collapsed="false">
      <c r="A1451" s="36" t="str">
        <f aca="false">IF(Raw_Export!$A1451="","",TRIM(Raw_Export!A1451))</f>
        <v>TXN-101422</v>
      </c>
      <c r="B1451" s="37" t="n">
        <f aca="false">IF(Raw_Export!$A1451="","",IF(ISNUMBER(Raw_Export!B1451),Raw_Export!B1451,IF(MID(TRIM(Raw_Export!B1451),5,1)="-",DATE(LEFT(TRIM(Raw_Export!B1451),4),MID(TRIM(Raw_Export!B1451),6,2),RIGHT(TRIM(Raw_Export!B1451),2)),DATE(RIGHT(TRIM(Raw_Export!B1451),4),MATCH(MID(TRIM(Raw_Export!B1451),4,3),{"Jan","Feb","Mar","Apr","May","Jun","Jul","Aug","Sep","Oct","Nov","Dec"},0),LEFT(TRIM(Raw_Export!B1451),2)))))</f>
        <v>46274</v>
      </c>
      <c r="C1451" s="36" t="str">
        <f aca="false">IF(Raw_Export!$A1451="","",IFERROR(VLOOKUP(LOWER(TRIM(Raw_Export!C1451)),Maps!$A$2:$B$20,2,FALSE()),"UNMAPPED"))</f>
        <v>Kisumu</v>
      </c>
      <c r="D1451" s="36" t="str">
        <f aca="false">IF(Raw_Export!$A1451="","",IFERROR(VLOOKUP(LOWER(TRIM(Raw_Export!D1451)),Maps!$G$2:$I$80,2,FALSE()),"UNMAPPED"))</f>
        <v>Bottled Water 1.5L</v>
      </c>
      <c r="E1451" s="36" t="str">
        <f aca="false">IF(Raw_Export!$A1451="","",IFERROR(VLOOKUP(LOWER(TRIM(Raw_Export!D1451)),Maps!$G$2:$I$80,3,FALSE()),"UNMAPPED"))</f>
        <v>Beverages</v>
      </c>
      <c r="F1451" s="36" t="n">
        <f aca="false">IF(Raw_Export!$A1451="","",IFERROR(VALUE(TRIM(Raw_Export!E1451)),0))</f>
        <v>1</v>
      </c>
      <c r="G1451" s="38" t="n">
        <f aca="false">IF(Raw_Export!$A1451="","",IFERROR(VALUE(SUBSTITUTE(SUBSTITUTE(UPPER(TRIM(Raw_Export!F1451)),"KES",""),",","")),0))</f>
        <v>90</v>
      </c>
      <c r="H1451" s="38" t="n">
        <f aca="false">IF(Raw_Export!$A1451="","",F1451*G1451)</f>
        <v>90</v>
      </c>
      <c r="I1451" s="36" t="str">
        <f aca="false">IF(Raw_Export!$A1451="","",IFERROR(VLOOKUP(LOWER(TRIM(Raw_Export!H1451)),Maps!$D$2:$E$12,2,FALSE()),"Other"))</f>
        <v>M-Pesa</v>
      </c>
      <c r="J1451" s="36" t="str">
        <f aca="false">IF(Raw_Export!$A1451="","",IF(COUNTIF($A$2:A1451,A1451)&gt;1,"Duplicate",""))</f>
        <v/>
      </c>
      <c r="K1451" s="36" t="str">
        <f aca="false">IF(Raw_Export!$A1451="","",IF(J1451="Duplicate","Duplicate",IF(OR(C1451="UNMAPPED",D1451="UNMAPPED"),"Unmapped",IF(F1451=0,"Blank qty",IF(F1451&lt;0,"Return","OK")))))</f>
        <v>OK</v>
      </c>
      <c r="L1451" s="36" t="n">
        <f aca="false">IF(Raw_Export!$A1451="","",IF(OR(K1451="OK",K1451="Return"),1,0))</f>
        <v>1</v>
      </c>
      <c r="M1451" s="37" t="n">
        <f aca="false">IF(Raw_Export!$A1451="","",B1451-WEEKDAY(B1451,2)+1)</f>
        <v>46272</v>
      </c>
    </row>
    <row r="1452" customFormat="false" ht="15" hidden="false" customHeight="false" outlineLevel="0" collapsed="false">
      <c r="A1452" s="36" t="str">
        <f aca="false">IF(Raw_Export!$A1452="","",TRIM(Raw_Export!A1452))</f>
        <v>TXN-101423</v>
      </c>
      <c r="B1452" s="37" t="n">
        <f aca="false">IF(Raw_Export!$A1452="","",IF(ISNUMBER(Raw_Export!B1452),Raw_Export!B1452,IF(MID(TRIM(Raw_Export!B1452),5,1)="-",DATE(LEFT(TRIM(Raw_Export!B1452),4),MID(TRIM(Raw_Export!B1452),6,2),RIGHT(TRIM(Raw_Export!B1452),2)),DATE(RIGHT(TRIM(Raw_Export!B1452),4),MATCH(MID(TRIM(Raw_Export!B1452),4,3),{"Jan","Feb","Mar","Apr","May","Jun","Jul","Aug","Sep","Oct","Nov","Dec"},0),LEFT(TRIM(Raw_Export!B1452),2)))))</f>
        <v>46274</v>
      </c>
      <c r="C1452" s="36" t="str">
        <f aca="false">IF(Raw_Export!$A1452="","",IFERROR(VLOOKUP(LOWER(TRIM(Raw_Export!C1452)),Maps!$A$2:$B$20,2,FALSE()),"UNMAPPED"))</f>
        <v>Kisumu</v>
      </c>
      <c r="D1452" s="36" t="str">
        <f aca="false">IF(Raw_Export!$A1452="","",IFERROR(VLOOKUP(LOWER(TRIM(Raw_Export!D1452)),Maps!$G$2:$I$80,2,FALSE()),"UNMAPPED"))</f>
        <v>Juice 1L</v>
      </c>
      <c r="E1452" s="36" t="str">
        <f aca="false">IF(Raw_Export!$A1452="","",IFERROR(VLOOKUP(LOWER(TRIM(Raw_Export!D1452)),Maps!$G$2:$I$80,3,FALSE()),"UNMAPPED"))</f>
        <v>Beverages</v>
      </c>
      <c r="F1452" s="36" t="n">
        <f aca="false">IF(Raw_Export!$A1452="","",IFERROR(VALUE(TRIM(Raw_Export!E1452)),0))</f>
        <v>1</v>
      </c>
      <c r="G1452" s="38" t="n">
        <f aca="false">IF(Raw_Export!$A1452="","",IFERROR(VALUE(SUBSTITUTE(SUBSTITUTE(UPPER(TRIM(Raw_Export!F1452)),"KES",""),",","")),0))</f>
        <v>210</v>
      </c>
      <c r="H1452" s="38" t="n">
        <f aca="false">IF(Raw_Export!$A1452="","",F1452*G1452)</f>
        <v>210</v>
      </c>
      <c r="I1452" s="36" t="str">
        <f aca="false">IF(Raw_Export!$A1452="","",IFERROR(VLOOKUP(LOWER(TRIM(Raw_Export!H1452)),Maps!$D$2:$E$12,2,FALSE()),"Other"))</f>
        <v>M-Pesa</v>
      </c>
      <c r="J1452" s="36" t="str">
        <f aca="false">IF(Raw_Export!$A1452="","",IF(COUNTIF($A$2:A1452,A1452)&gt;1,"Duplicate",""))</f>
        <v/>
      </c>
      <c r="K1452" s="36" t="str">
        <f aca="false">IF(Raw_Export!$A1452="","",IF(J1452="Duplicate","Duplicate",IF(OR(C1452="UNMAPPED",D1452="UNMAPPED"),"Unmapped",IF(F1452=0,"Blank qty",IF(F1452&lt;0,"Return","OK")))))</f>
        <v>OK</v>
      </c>
      <c r="L1452" s="36" t="n">
        <f aca="false">IF(Raw_Export!$A1452="","",IF(OR(K1452="OK",K1452="Return"),1,0))</f>
        <v>1</v>
      </c>
      <c r="M1452" s="37" t="n">
        <f aca="false">IF(Raw_Export!$A1452="","",B1452-WEEKDAY(B1452,2)+1)</f>
        <v>46272</v>
      </c>
    </row>
    <row r="1453" customFormat="false" ht="15" hidden="false" customHeight="false" outlineLevel="0" collapsed="false">
      <c r="A1453" s="36" t="str">
        <f aca="false">IF(Raw_Export!$A1453="","",TRIM(Raw_Export!A1453))</f>
        <v>TXN-101424</v>
      </c>
      <c r="B1453" s="37" t="n">
        <f aca="false">IF(Raw_Export!$A1453="","",IF(ISNUMBER(Raw_Export!B1453),Raw_Export!B1453,IF(MID(TRIM(Raw_Export!B1453),5,1)="-",DATE(LEFT(TRIM(Raw_Export!B1453),4),MID(TRIM(Raw_Export!B1453),6,2),RIGHT(TRIM(Raw_Export!B1453),2)),DATE(RIGHT(TRIM(Raw_Export!B1453),4),MATCH(MID(TRIM(Raw_Export!B1453),4,3),{"Jan","Feb","Mar","Apr","May","Jun","Jul","Aug","Sep","Oct","Nov","Dec"},0),LEFT(TRIM(Raw_Export!B1453),2)))))</f>
        <v>46274</v>
      </c>
      <c r="C1453" s="36" t="str">
        <f aca="false">IF(Raw_Export!$A1453="","",IFERROR(VLOOKUP(LOWER(TRIM(Raw_Export!C1453)),Maps!$A$2:$B$20,2,FALSE()),"UNMAPPED"))</f>
        <v>Kisumu</v>
      </c>
      <c r="D1453" s="36" t="str">
        <f aca="false">IF(Raw_Export!$A1453="","",IFERROR(VLOOKUP(LOWER(TRIM(Raw_Export!D1453)),Maps!$G$2:$I$80,2,FALSE()),"UNMAPPED"))</f>
        <v>Peanuts 250g</v>
      </c>
      <c r="E1453" s="36" t="str">
        <f aca="false">IF(Raw_Export!$A1453="","",IFERROR(VLOOKUP(LOWER(TRIM(Raw_Export!D1453)),Maps!$G$2:$I$80,3,FALSE()),"UNMAPPED"))</f>
        <v>Snacks</v>
      </c>
      <c r="F1453" s="36" t="n">
        <f aca="false">IF(Raw_Export!$A1453="","",IFERROR(VALUE(TRIM(Raw_Export!E1453)),0))</f>
        <v>4</v>
      </c>
      <c r="G1453" s="38" t="n">
        <f aca="false">IF(Raw_Export!$A1453="","",IFERROR(VALUE(SUBSTITUTE(SUBSTITUTE(UPPER(TRIM(Raw_Export!F1453)),"KES",""),",","")),0))</f>
        <v>130</v>
      </c>
      <c r="H1453" s="38" t="n">
        <f aca="false">IF(Raw_Export!$A1453="","",F1453*G1453)</f>
        <v>520</v>
      </c>
      <c r="I1453" s="36" t="str">
        <f aca="false">IF(Raw_Export!$A1453="","",IFERROR(VLOOKUP(LOWER(TRIM(Raw_Export!H1453)),Maps!$D$2:$E$12,2,FALSE()),"Other"))</f>
        <v>M-Pesa</v>
      </c>
      <c r="J1453" s="36" t="str">
        <f aca="false">IF(Raw_Export!$A1453="","",IF(COUNTIF($A$2:A1453,A1453)&gt;1,"Duplicate",""))</f>
        <v/>
      </c>
      <c r="K1453" s="36" t="str">
        <f aca="false">IF(Raw_Export!$A1453="","",IF(J1453="Duplicate","Duplicate",IF(OR(C1453="UNMAPPED",D1453="UNMAPPED"),"Unmapped",IF(F1453=0,"Blank qty",IF(F1453&lt;0,"Return","OK")))))</f>
        <v>OK</v>
      </c>
      <c r="L1453" s="36" t="n">
        <f aca="false">IF(Raw_Export!$A1453="","",IF(OR(K1453="OK",K1453="Return"),1,0))</f>
        <v>1</v>
      </c>
      <c r="M1453" s="37" t="n">
        <f aca="false">IF(Raw_Export!$A1453="","",B1453-WEEKDAY(B1453,2)+1)</f>
        <v>46272</v>
      </c>
    </row>
    <row r="1454" customFormat="false" ht="15" hidden="false" customHeight="false" outlineLevel="0" collapsed="false">
      <c r="A1454" s="36" t="str">
        <f aca="false">IF(Raw_Export!$A1454="","",TRIM(Raw_Export!A1454))</f>
        <v>TXN-101425</v>
      </c>
      <c r="B1454" s="37" t="n">
        <f aca="false">IF(Raw_Export!$A1454="","",IF(ISNUMBER(Raw_Export!B1454),Raw_Export!B1454,IF(MID(TRIM(Raw_Export!B1454),5,1)="-",DATE(LEFT(TRIM(Raw_Export!B1454),4),MID(TRIM(Raw_Export!B1454),6,2),RIGHT(TRIM(Raw_Export!B1454),2)),DATE(RIGHT(TRIM(Raw_Export!B1454),4),MATCH(MID(TRIM(Raw_Export!B1454),4,3),{"Jan","Feb","Mar","Apr","May","Jun","Jul","Aug","Sep","Oct","Nov","Dec"},0),LEFT(TRIM(Raw_Export!B1454),2)))))</f>
        <v>46274</v>
      </c>
      <c r="C1454" s="36" t="str">
        <f aca="false">IF(Raw_Export!$A1454="","",IFERROR(VLOOKUP(LOWER(TRIM(Raw_Export!C1454)),Maps!$A$2:$B$20,2,FALSE()),"UNMAPPED"))</f>
        <v>Kisumu</v>
      </c>
      <c r="D1454" s="36" t="str">
        <f aca="false">IF(Raw_Export!$A1454="","",IFERROR(VLOOKUP(LOWER(TRIM(Raw_Export!D1454)),Maps!$G$2:$I$80,2,FALSE()),"UNMAPPED"))</f>
        <v>Bottled Water 1.5L</v>
      </c>
      <c r="E1454" s="36" t="str">
        <f aca="false">IF(Raw_Export!$A1454="","",IFERROR(VLOOKUP(LOWER(TRIM(Raw_Export!D1454)),Maps!$G$2:$I$80,3,FALSE()),"UNMAPPED"))</f>
        <v>Beverages</v>
      </c>
      <c r="F1454" s="36" t="n">
        <f aca="false">IF(Raw_Export!$A1454="","",IFERROR(VALUE(TRIM(Raw_Export!E1454)),0))</f>
        <v>4</v>
      </c>
      <c r="G1454" s="38" t="n">
        <f aca="false">IF(Raw_Export!$A1454="","",IFERROR(VALUE(SUBSTITUTE(SUBSTITUTE(UPPER(TRIM(Raw_Export!F1454)),"KES",""),",","")),0))</f>
        <v>90</v>
      </c>
      <c r="H1454" s="38" t="n">
        <f aca="false">IF(Raw_Export!$A1454="","",F1454*G1454)</f>
        <v>360</v>
      </c>
      <c r="I1454" s="36" t="str">
        <f aca="false">IF(Raw_Export!$A1454="","",IFERROR(VLOOKUP(LOWER(TRIM(Raw_Export!H1454)),Maps!$D$2:$E$12,2,FALSE()),"Other"))</f>
        <v>Cash</v>
      </c>
      <c r="J1454" s="36" t="str">
        <f aca="false">IF(Raw_Export!$A1454="","",IF(COUNTIF($A$2:A1454,A1454)&gt;1,"Duplicate",""))</f>
        <v/>
      </c>
      <c r="K1454" s="36" t="str">
        <f aca="false">IF(Raw_Export!$A1454="","",IF(J1454="Duplicate","Duplicate",IF(OR(C1454="UNMAPPED",D1454="UNMAPPED"),"Unmapped",IF(F1454=0,"Blank qty",IF(F1454&lt;0,"Return","OK")))))</f>
        <v>OK</v>
      </c>
      <c r="L1454" s="36" t="n">
        <f aca="false">IF(Raw_Export!$A1454="","",IF(OR(K1454="OK",K1454="Return"),1,0))</f>
        <v>1</v>
      </c>
      <c r="M1454" s="37" t="n">
        <f aca="false">IF(Raw_Export!$A1454="","",B1454-WEEKDAY(B1454,2)+1)</f>
        <v>46272</v>
      </c>
    </row>
    <row r="1455" customFormat="false" ht="15" hidden="false" customHeight="false" outlineLevel="0" collapsed="false">
      <c r="A1455" s="36" t="str">
        <f aca="false">IF(Raw_Export!$A1455="","",TRIM(Raw_Export!A1455))</f>
        <v>TXN-101426</v>
      </c>
      <c r="B1455" s="37" t="n">
        <f aca="false">IF(Raw_Export!$A1455="","",IF(ISNUMBER(Raw_Export!B1455),Raw_Export!B1455,IF(MID(TRIM(Raw_Export!B1455),5,1)="-",DATE(LEFT(TRIM(Raw_Export!B1455),4),MID(TRIM(Raw_Export!B1455),6,2),RIGHT(TRIM(Raw_Export!B1455),2)),DATE(RIGHT(TRIM(Raw_Export!B1455),4),MATCH(MID(TRIM(Raw_Export!B1455),4,3),{"Jan","Feb","Mar","Apr","May","Jun","Jul","Aug","Sep","Oct","Nov","Dec"},0),LEFT(TRIM(Raw_Export!B1455),2)))))</f>
        <v>46274</v>
      </c>
      <c r="C1455" s="36" t="str">
        <f aca="false">IF(Raw_Export!$A1455="","",IFERROR(VLOOKUP(LOWER(TRIM(Raw_Export!C1455)),Maps!$A$2:$B$20,2,FALSE()),"UNMAPPED"))</f>
        <v>Kisumu</v>
      </c>
      <c r="D1455" s="36" t="str">
        <f aca="false">IF(Raw_Export!$A1455="","",IFERROR(VLOOKUP(LOWER(TRIM(Raw_Export!D1455)),Maps!$G$2:$I$80,2,FALSE()),"UNMAPPED"))</f>
        <v>Peanuts 250g</v>
      </c>
      <c r="E1455" s="36" t="str">
        <f aca="false">IF(Raw_Export!$A1455="","",IFERROR(VLOOKUP(LOWER(TRIM(Raw_Export!D1455)),Maps!$G$2:$I$80,3,FALSE()),"UNMAPPED"))</f>
        <v>Snacks</v>
      </c>
      <c r="F1455" s="36" t="n">
        <f aca="false">IF(Raw_Export!$A1455="","",IFERROR(VALUE(TRIM(Raw_Export!E1455)),0))</f>
        <v>3</v>
      </c>
      <c r="G1455" s="38" t="n">
        <f aca="false">IF(Raw_Export!$A1455="","",IFERROR(VALUE(SUBSTITUTE(SUBSTITUTE(UPPER(TRIM(Raw_Export!F1455)),"KES",""),",","")),0))</f>
        <v>130</v>
      </c>
      <c r="H1455" s="38" t="n">
        <f aca="false">IF(Raw_Export!$A1455="","",F1455*G1455)</f>
        <v>390</v>
      </c>
      <c r="I1455" s="36" t="str">
        <f aca="false">IF(Raw_Export!$A1455="","",IFERROR(VLOOKUP(LOWER(TRIM(Raw_Export!H1455)),Maps!$D$2:$E$12,2,FALSE()),"Other"))</f>
        <v>Cash</v>
      </c>
      <c r="J1455" s="36" t="str">
        <f aca="false">IF(Raw_Export!$A1455="","",IF(COUNTIF($A$2:A1455,A1455)&gt;1,"Duplicate",""))</f>
        <v/>
      </c>
      <c r="K1455" s="36" t="str">
        <f aca="false">IF(Raw_Export!$A1455="","",IF(J1455="Duplicate","Duplicate",IF(OR(C1455="UNMAPPED",D1455="UNMAPPED"),"Unmapped",IF(F1455=0,"Blank qty",IF(F1455&lt;0,"Return","OK")))))</f>
        <v>OK</v>
      </c>
      <c r="L1455" s="36" t="n">
        <f aca="false">IF(Raw_Export!$A1455="","",IF(OR(K1455="OK",K1455="Return"),1,0))</f>
        <v>1</v>
      </c>
      <c r="M1455" s="37" t="n">
        <f aca="false">IF(Raw_Export!$A1455="","",B1455-WEEKDAY(B1455,2)+1)</f>
        <v>46272</v>
      </c>
    </row>
    <row r="1456" customFormat="false" ht="15" hidden="false" customHeight="false" outlineLevel="0" collapsed="false">
      <c r="A1456" s="36" t="str">
        <f aca="false">IF(Raw_Export!$A1456="","",TRIM(Raw_Export!A1456))</f>
        <v>TXN-101247</v>
      </c>
      <c r="B1456" s="37" t="n">
        <f aca="false">IF(Raw_Export!$A1456="","",IF(ISNUMBER(Raw_Export!B1456),Raw_Export!B1456,IF(MID(TRIM(Raw_Export!B1456),5,1)="-",DATE(LEFT(TRIM(Raw_Export!B1456),4),MID(TRIM(Raw_Export!B1456),6,2),RIGHT(TRIM(Raw_Export!B1456),2)),DATE(RIGHT(TRIM(Raw_Export!B1456),4),MATCH(MID(TRIM(Raw_Export!B1456),4,3),{"Jan","Feb","Mar","Apr","May","Jun","Jul","Aug","Sep","Oct","Nov","Dec"},0),LEFT(TRIM(Raw_Export!B1456),2)))))</f>
        <v>46273</v>
      </c>
      <c r="C1456" s="36" t="str">
        <f aca="false">IF(Raw_Export!$A1456="","",IFERROR(VLOOKUP(LOWER(TRIM(Raw_Export!C1456)),Maps!$A$2:$B$20,2,FALSE()),"UNMAPPED"))</f>
        <v>Westlands</v>
      </c>
      <c r="D1456" s="36" t="str">
        <f aca="false">IF(Raw_Export!$A1456="","",IFERROR(VLOOKUP(LOWER(TRIM(Raw_Export!D1456)),Maps!$G$2:$I$80,2,FALSE()),"UNMAPPED"))</f>
        <v>Spaghetti 400g</v>
      </c>
      <c r="E1456" s="36" t="str">
        <f aca="false">IF(Raw_Export!$A1456="","",IFERROR(VLOOKUP(LOWER(TRIM(Raw_Export!D1456)),Maps!$G$2:$I$80,3,FALSE()),"UNMAPPED"))</f>
        <v>Staples</v>
      </c>
      <c r="F1456" s="36" t="n">
        <f aca="false">IF(Raw_Export!$A1456="","",IFERROR(VALUE(TRIM(Raw_Export!E1456)),0))</f>
        <v>6</v>
      </c>
      <c r="G1456" s="38" t="n">
        <f aca="false">IF(Raw_Export!$A1456="","",IFERROR(VALUE(SUBSTITUTE(SUBSTITUTE(UPPER(TRIM(Raw_Export!F1456)),"KES",""),",","")),0))</f>
        <v>110</v>
      </c>
      <c r="H1456" s="38" t="n">
        <f aca="false">IF(Raw_Export!$A1456="","",F1456*G1456)</f>
        <v>660</v>
      </c>
      <c r="I1456" s="36" t="str">
        <f aca="false">IF(Raw_Export!$A1456="","",IFERROR(VLOOKUP(LOWER(TRIM(Raw_Export!H1456)),Maps!$D$2:$E$12,2,FALSE()),"Other"))</f>
        <v>M-Pesa</v>
      </c>
      <c r="J1456" s="36" t="str">
        <f aca="false">IF(Raw_Export!$A1456="","",IF(COUNTIF($A$2:A1456,A1456)&gt;1,"Duplicate",""))</f>
        <v>Duplicate</v>
      </c>
      <c r="K1456" s="36" t="str">
        <f aca="false">IF(Raw_Export!$A1456="","",IF(J1456="Duplicate","Duplicate",IF(OR(C1456="UNMAPPED",D1456="UNMAPPED"),"Unmapped",IF(F1456=0,"Blank qty",IF(F1456&lt;0,"Return","OK")))))</f>
        <v>Duplicate</v>
      </c>
      <c r="L1456" s="36" t="n">
        <f aca="false">IF(Raw_Export!$A1456="","",IF(OR(K1456="OK",K1456="Return"),1,0))</f>
        <v>0</v>
      </c>
      <c r="M1456" s="37" t="n">
        <f aca="false">IF(Raw_Export!$A1456="","",B1456-WEEKDAY(B1456,2)+1)</f>
        <v>46272</v>
      </c>
    </row>
    <row r="1457" customFormat="false" ht="15" hidden="false" customHeight="false" outlineLevel="0" collapsed="false">
      <c r="A1457" s="36" t="str">
        <f aca="false">IF(Raw_Export!$A1457="","",TRIM(Raw_Export!A1457))</f>
        <v>TXN-101427</v>
      </c>
      <c r="B1457" s="37" t="n">
        <f aca="false">IF(Raw_Export!$A1457="","",IF(ISNUMBER(Raw_Export!B1457),Raw_Export!B1457,IF(MID(TRIM(Raw_Export!B1457),5,1)="-",DATE(LEFT(TRIM(Raw_Export!B1457),4),MID(TRIM(Raw_Export!B1457),6,2),RIGHT(TRIM(Raw_Export!B1457),2)),DATE(RIGHT(TRIM(Raw_Export!B1457),4),MATCH(MID(TRIM(Raw_Export!B1457),4,3),{"Jan","Feb","Mar","Apr","May","Jun","Jul","Aug","Sep","Oct","Nov","Dec"},0),LEFT(TRIM(Raw_Export!B1457),2)))))</f>
        <v>46274</v>
      </c>
      <c r="C1457" s="36" t="str">
        <f aca="false">IF(Raw_Export!$A1457="","",IFERROR(VLOOKUP(LOWER(TRIM(Raw_Export!C1457)),Maps!$A$2:$B$20,2,FALSE()),"UNMAPPED"))</f>
        <v>Kisumu</v>
      </c>
      <c r="D1457" s="36" t="str">
        <f aca="false">IF(Raw_Export!$A1457="","",IFERROR(VLOOKUP(LOWER(TRIM(Raw_Export!D1457)),Maps!$G$2:$I$80,2,FALSE()),"UNMAPPED"))</f>
        <v>Bread Loaf 400g</v>
      </c>
      <c r="E1457" s="36" t="str">
        <f aca="false">IF(Raw_Export!$A1457="","",IFERROR(VLOOKUP(LOWER(TRIM(Raw_Export!D1457)),Maps!$G$2:$I$80,3,FALSE()),"UNMAPPED"))</f>
        <v>Snacks</v>
      </c>
      <c r="F1457" s="36" t="n">
        <f aca="false">IF(Raw_Export!$A1457="","",IFERROR(VALUE(TRIM(Raw_Export!E1457)),0))</f>
        <v>1</v>
      </c>
      <c r="G1457" s="38" t="n">
        <f aca="false">IF(Raw_Export!$A1457="","",IFERROR(VALUE(SUBSTITUTE(SUBSTITUTE(UPPER(TRIM(Raw_Export!F1457)),"KES",""),",","")),0))</f>
        <v>65</v>
      </c>
      <c r="H1457" s="38" t="n">
        <f aca="false">IF(Raw_Export!$A1457="","",F1457*G1457)</f>
        <v>65</v>
      </c>
      <c r="I1457" s="36" t="str">
        <f aca="false">IF(Raw_Export!$A1457="","",IFERROR(VLOOKUP(LOWER(TRIM(Raw_Export!H1457)),Maps!$D$2:$E$12,2,FALSE()),"Other"))</f>
        <v>Cash</v>
      </c>
      <c r="J1457" s="36" t="str">
        <f aca="false">IF(Raw_Export!$A1457="","",IF(COUNTIF($A$2:A1457,A1457)&gt;1,"Duplicate",""))</f>
        <v/>
      </c>
      <c r="K1457" s="36" t="str">
        <f aca="false">IF(Raw_Export!$A1457="","",IF(J1457="Duplicate","Duplicate",IF(OR(C1457="UNMAPPED",D1457="UNMAPPED"),"Unmapped",IF(F1457=0,"Blank qty",IF(F1457&lt;0,"Return","OK")))))</f>
        <v>OK</v>
      </c>
      <c r="L1457" s="36" t="n">
        <f aca="false">IF(Raw_Export!$A1457="","",IF(OR(K1457="OK",K1457="Return"),1,0))</f>
        <v>1</v>
      </c>
      <c r="M1457" s="37" t="n">
        <f aca="false">IF(Raw_Export!$A1457="","",B1457-WEEKDAY(B1457,2)+1)</f>
        <v>46272</v>
      </c>
    </row>
    <row r="1458" customFormat="false" ht="15" hidden="false" customHeight="false" outlineLevel="0" collapsed="false">
      <c r="A1458" s="36" t="str">
        <f aca="false">IF(Raw_Export!$A1458="","",TRIM(Raw_Export!A1458))</f>
        <v>TXN-101428</v>
      </c>
      <c r="B1458" s="37" t="n">
        <f aca="false">IF(Raw_Export!$A1458="","",IF(ISNUMBER(Raw_Export!B1458),Raw_Export!B1458,IF(MID(TRIM(Raw_Export!B1458),5,1)="-",DATE(LEFT(TRIM(Raw_Export!B1458),4),MID(TRIM(Raw_Export!B1458),6,2),RIGHT(TRIM(Raw_Export!B1458),2)),DATE(RIGHT(TRIM(Raw_Export!B1458),4),MATCH(MID(TRIM(Raw_Export!B1458),4,3),{"Jan","Feb","Mar","Apr","May","Jun","Jul","Aug","Sep","Oct","Nov","Dec"},0),LEFT(TRIM(Raw_Export!B1458),2)))))</f>
        <v>46274</v>
      </c>
      <c r="C1458" s="36" t="str">
        <f aca="false">IF(Raw_Export!$A1458="","",IFERROR(VLOOKUP(LOWER(TRIM(Raw_Export!C1458)),Maps!$A$2:$B$20,2,FALSE()),"UNMAPPED"))</f>
        <v>Kisumu</v>
      </c>
      <c r="D1458" s="36" t="str">
        <f aca="false">IF(Raw_Export!$A1458="","",IFERROR(VLOOKUP(LOWER(TRIM(Raw_Export!D1458)),Maps!$G$2:$I$80,2,FALSE()),"UNMAPPED"))</f>
        <v>Coffee 100g</v>
      </c>
      <c r="E1458" s="36" t="str">
        <f aca="false">IF(Raw_Export!$A1458="","",IFERROR(VLOOKUP(LOWER(TRIM(Raw_Export!D1458)),Maps!$G$2:$I$80,3,FALSE()),"UNMAPPED"))</f>
        <v>Beverages</v>
      </c>
      <c r="F1458" s="36" t="n">
        <f aca="false">IF(Raw_Export!$A1458="","",IFERROR(VALUE(TRIM(Raw_Export!E1458)),0))</f>
        <v>3</v>
      </c>
      <c r="G1458" s="38" t="n">
        <f aca="false">IF(Raw_Export!$A1458="","",IFERROR(VALUE(SUBSTITUTE(SUBSTITUTE(UPPER(TRIM(Raw_Export!F1458)),"KES",""),",","")),0))</f>
        <v>360</v>
      </c>
      <c r="H1458" s="38" t="n">
        <f aca="false">IF(Raw_Export!$A1458="","",F1458*G1458)</f>
        <v>1080</v>
      </c>
      <c r="I1458" s="36" t="str">
        <f aca="false">IF(Raw_Export!$A1458="","",IFERROR(VLOOKUP(LOWER(TRIM(Raw_Export!H1458)),Maps!$D$2:$E$12,2,FALSE()),"Other"))</f>
        <v>Cash</v>
      </c>
      <c r="J1458" s="36" t="str">
        <f aca="false">IF(Raw_Export!$A1458="","",IF(COUNTIF($A$2:A1458,A1458)&gt;1,"Duplicate",""))</f>
        <v/>
      </c>
      <c r="K1458" s="36" t="str">
        <f aca="false">IF(Raw_Export!$A1458="","",IF(J1458="Duplicate","Duplicate",IF(OR(C1458="UNMAPPED",D1458="UNMAPPED"),"Unmapped",IF(F1458=0,"Blank qty",IF(F1458&lt;0,"Return","OK")))))</f>
        <v>OK</v>
      </c>
      <c r="L1458" s="36" t="n">
        <f aca="false">IF(Raw_Export!$A1458="","",IF(OR(K1458="OK",K1458="Return"),1,0))</f>
        <v>1</v>
      </c>
      <c r="M1458" s="37" t="n">
        <f aca="false">IF(Raw_Export!$A1458="","",B1458-WEEKDAY(B1458,2)+1)</f>
        <v>46272</v>
      </c>
    </row>
    <row r="1459" customFormat="false" ht="15" hidden="false" customHeight="false" outlineLevel="0" collapsed="false">
      <c r="A1459" s="36" t="str">
        <f aca="false">IF(Raw_Export!$A1459="","",TRIM(Raw_Export!A1459))</f>
        <v>TXN-101429</v>
      </c>
      <c r="B1459" s="37" t="n">
        <f aca="false">IF(Raw_Export!$A1459="","",IF(ISNUMBER(Raw_Export!B1459),Raw_Export!B1459,IF(MID(TRIM(Raw_Export!B1459),5,1)="-",DATE(LEFT(TRIM(Raw_Export!B1459),4),MID(TRIM(Raw_Export!B1459),6,2),RIGHT(TRIM(Raw_Export!B1459),2)),DATE(RIGHT(TRIM(Raw_Export!B1459),4),MATCH(MID(TRIM(Raw_Export!B1459),4,3),{"Jan","Feb","Mar","Apr","May","Jun","Jul","Aug","Sep","Oct","Nov","Dec"},0),LEFT(TRIM(Raw_Export!B1459),2)))))</f>
        <v>46274</v>
      </c>
      <c r="C1459" s="36" t="str">
        <f aca="false">IF(Raw_Export!$A1459="","",IFERROR(VLOOKUP(LOWER(TRIM(Raw_Export!C1459)),Maps!$A$2:$B$20,2,FALSE()),"UNMAPPED"))</f>
        <v>Kisumu</v>
      </c>
      <c r="D1459" s="36" t="str">
        <f aca="false">IF(Raw_Export!$A1459="","",IFERROR(VLOOKUP(LOWER(TRIM(Raw_Export!D1459)),Maps!$G$2:$I$80,2,FALSE()),"UNMAPPED"))</f>
        <v>Cooking Oil 1L</v>
      </c>
      <c r="E1459" s="36" t="str">
        <f aca="false">IF(Raw_Export!$A1459="","",IFERROR(VLOOKUP(LOWER(TRIM(Raw_Export!D1459)),Maps!$G$2:$I$80,3,FALSE()),"UNMAPPED"))</f>
        <v>Staples</v>
      </c>
      <c r="F1459" s="36" t="n">
        <f aca="false">IF(Raw_Export!$A1459="","",IFERROR(VALUE(TRIM(Raw_Export!E1459)),0))</f>
        <v>6</v>
      </c>
      <c r="G1459" s="38" t="n">
        <f aca="false">IF(Raw_Export!$A1459="","",IFERROR(VALUE(SUBSTITUTE(SUBSTITUTE(UPPER(TRIM(Raw_Export!F1459)),"KES",""),",","")),0))</f>
        <v>330</v>
      </c>
      <c r="H1459" s="38" t="n">
        <f aca="false">IF(Raw_Export!$A1459="","",F1459*G1459)</f>
        <v>1980</v>
      </c>
      <c r="I1459" s="36" t="str">
        <f aca="false">IF(Raw_Export!$A1459="","",IFERROR(VLOOKUP(LOWER(TRIM(Raw_Export!H1459)),Maps!$D$2:$E$12,2,FALSE()),"Other"))</f>
        <v>M-Pesa</v>
      </c>
      <c r="J1459" s="36" t="str">
        <f aca="false">IF(Raw_Export!$A1459="","",IF(COUNTIF($A$2:A1459,A1459)&gt;1,"Duplicate",""))</f>
        <v/>
      </c>
      <c r="K1459" s="36" t="str">
        <f aca="false">IF(Raw_Export!$A1459="","",IF(J1459="Duplicate","Duplicate",IF(OR(C1459="UNMAPPED",D1459="UNMAPPED"),"Unmapped",IF(F1459=0,"Blank qty",IF(F1459&lt;0,"Return","OK")))))</f>
        <v>OK</v>
      </c>
      <c r="L1459" s="36" t="n">
        <f aca="false">IF(Raw_Export!$A1459="","",IF(OR(K1459="OK",K1459="Return"),1,0))</f>
        <v>1</v>
      </c>
      <c r="M1459" s="37" t="n">
        <f aca="false">IF(Raw_Export!$A1459="","",B1459-WEEKDAY(B1459,2)+1)</f>
        <v>46272</v>
      </c>
    </row>
    <row r="1460" customFormat="false" ht="15" hidden="false" customHeight="false" outlineLevel="0" collapsed="false">
      <c r="A1460" s="36" t="str">
        <f aca="false">IF(Raw_Export!$A1460="","",TRIM(Raw_Export!A1460))</f>
        <v>TXN-101430</v>
      </c>
      <c r="B1460" s="37" t="n">
        <f aca="false">IF(Raw_Export!$A1460="","",IF(ISNUMBER(Raw_Export!B1460),Raw_Export!B1460,IF(MID(TRIM(Raw_Export!B1460),5,1)="-",DATE(LEFT(TRIM(Raw_Export!B1460),4),MID(TRIM(Raw_Export!B1460),6,2),RIGHT(TRIM(Raw_Export!B1460),2)),DATE(RIGHT(TRIM(Raw_Export!B1460),4),MATCH(MID(TRIM(Raw_Export!B1460),4,3),{"Jan","Feb","Mar","Apr","May","Jun","Jul","Aug","Sep","Oct","Nov","Dec"},0),LEFT(TRIM(Raw_Export!B1460),2)))))</f>
        <v>46274</v>
      </c>
      <c r="C1460" s="36" t="str">
        <f aca="false">IF(Raw_Export!$A1460="","",IFERROR(VLOOKUP(LOWER(TRIM(Raw_Export!C1460)),Maps!$A$2:$B$20,2,FALSE()),"UNMAPPED"))</f>
        <v>Kisumu</v>
      </c>
      <c r="D1460" s="36" t="str">
        <f aca="false">IF(Raw_Export!$A1460="","",IFERROR(VLOOKUP(LOWER(TRIM(Raw_Export!D1460)),Maps!$G$2:$I$80,2,FALSE()),"UNMAPPED"))</f>
        <v>Cooking Oil 1L</v>
      </c>
      <c r="E1460" s="36" t="str">
        <f aca="false">IF(Raw_Export!$A1460="","",IFERROR(VLOOKUP(LOWER(TRIM(Raw_Export!D1460)),Maps!$G$2:$I$80,3,FALSE()),"UNMAPPED"))</f>
        <v>Staples</v>
      </c>
      <c r="F1460" s="36" t="n">
        <f aca="false">IF(Raw_Export!$A1460="","",IFERROR(VALUE(TRIM(Raw_Export!E1460)),0))</f>
        <v>2</v>
      </c>
      <c r="G1460" s="38" t="n">
        <f aca="false">IF(Raw_Export!$A1460="","",IFERROR(VALUE(SUBSTITUTE(SUBSTITUTE(UPPER(TRIM(Raw_Export!F1460)),"KES",""),",","")),0))</f>
        <v>330</v>
      </c>
      <c r="H1460" s="38" t="n">
        <f aca="false">IF(Raw_Export!$A1460="","",F1460*G1460)</f>
        <v>660</v>
      </c>
      <c r="I1460" s="36" t="str">
        <f aca="false">IF(Raw_Export!$A1460="","",IFERROR(VLOOKUP(LOWER(TRIM(Raw_Export!H1460)),Maps!$D$2:$E$12,2,FALSE()),"Other"))</f>
        <v>M-Pesa</v>
      </c>
      <c r="J1460" s="36" t="str">
        <f aca="false">IF(Raw_Export!$A1460="","",IF(COUNTIF($A$2:A1460,A1460)&gt;1,"Duplicate",""))</f>
        <v/>
      </c>
      <c r="K1460" s="36" t="str">
        <f aca="false">IF(Raw_Export!$A1460="","",IF(J1460="Duplicate","Duplicate",IF(OR(C1460="UNMAPPED",D1460="UNMAPPED"),"Unmapped",IF(F1460=0,"Blank qty",IF(F1460&lt;0,"Return","OK")))))</f>
        <v>OK</v>
      </c>
      <c r="L1460" s="36" t="n">
        <f aca="false">IF(Raw_Export!$A1460="","",IF(OR(K1460="OK",K1460="Return"),1,0))</f>
        <v>1</v>
      </c>
      <c r="M1460" s="37" t="n">
        <f aca="false">IF(Raw_Export!$A1460="","",B1460-WEEKDAY(B1460,2)+1)</f>
        <v>46272</v>
      </c>
    </row>
    <row r="1461" customFormat="false" ht="15" hidden="false" customHeight="false" outlineLevel="0" collapsed="false">
      <c r="A1461" s="36" t="str">
        <f aca="false">IF(Raw_Export!$A1461="","",TRIM(Raw_Export!A1461))</f>
        <v>TXN-101431</v>
      </c>
      <c r="B1461" s="37" t="n">
        <f aca="false">IF(Raw_Export!$A1461="","",IF(ISNUMBER(Raw_Export!B1461),Raw_Export!B1461,IF(MID(TRIM(Raw_Export!B1461),5,1)="-",DATE(LEFT(TRIM(Raw_Export!B1461),4),MID(TRIM(Raw_Export!B1461),6,2),RIGHT(TRIM(Raw_Export!B1461),2)),DATE(RIGHT(TRIM(Raw_Export!B1461),4),MATCH(MID(TRIM(Raw_Export!B1461),4,3),{"Jan","Feb","Mar","Apr","May","Jun","Jul","Aug","Sep","Oct","Nov","Dec"},0),LEFT(TRIM(Raw_Export!B1461),2)))))</f>
        <v>46274</v>
      </c>
      <c r="C1461" s="36" t="str">
        <f aca="false">IF(Raw_Export!$A1461="","",IFERROR(VLOOKUP(LOWER(TRIM(Raw_Export!C1461)),Maps!$A$2:$B$20,2,FALSE()),"UNMAPPED"))</f>
        <v>Kisumu</v>
      </c>
      <c r="D1461" s="36" t="str">
        <f aca="false">IF(Raw_Export!$A1461="","",IFERROR(VLOOKUP(LOWER(TRIM(Raw_Export!D1461)),Maps!$G$2:$I$80,2,FALSE()),"UNMAPPED"))</f>
        <v>Matches 10pk</v>
      </c>
      <c r="E1461" s="36" t="str">
        <f aca="false">IF(Raw_Export!$A1461="","",IFERROR(VLOOKUP(LOWER(TRIM(Raw_Export!D1461)),Maps!$G$2:$I$80,3,FALSE()),"UNMAPPED"))</f>
        <v>Household</v>
      </c>
      <c r="F1461" s="36" t="n">
        <f aca="false">IF(Raw_Export!$A1461="","",IFERROR(VALUE(TRIM(Raw_Export!E1461)),0))</f>
        <v>3</v>
      </c>
      <c r="G1461" s="38" t="n">
        <f aca="false">IF(Raw_Export!$A1461="","",IFERROR(VALUE(SUBSTITUTE(SUBSTITUTE(UPPER(TRIM(Raw_Export!F1461)),"KES",""),",","")),0))</f>
        <v>50</v>
      </c>
      <c r="H1461" s="38" t="n">
        <f aca="false">IF(Raw_Export!$A1461="","",F1461*G1461)</f>
        <v>150</v>
      </c>
      <c r="I1461" s="36" t="str">
        <f aca="false">IF(Raw_Export!$A1461="","",IFERROR(VLOOKUP(LOWER(TRIM(Raw_Export!H1461)),Maps!$D$2:$E$12,2,FALSE()),"Other"))</f>
        <v>Cash</v>
      </c>
      <c r="J1461" s="36" t="str">
        <f aca="false">IF(Raw_Export!$A1461="","",IF(COUNTIF($A$2:A1461,A1461)&gt;1,"Duplicate",""))</f>
        <v/>
      </c>
      <c r="K1461" s="36" t="str">
        <f aca="false">IF(Raw_Export!$A1461="","",IF(J1461="Duplicate","Duplicate",IF(OR(C1461="UNMAPPED",D1461="UNMAPPED"),"Unmapped",IF(F1461=0,"Blank qty",IF(F1461&lt;0,"Return","OK")))))</f>
        <v>OK</v>
      </c>
      <c r="L1461" s="36" t="n">
        <f aca="false">IF(Raw_Export!$A1461="","",IF(OR(K1461="OK",K1461="Return"),1,0))</f>
        <v>1</v>
      </c>
      <c r="M1461" s="37" t="n">
        <f aca="false">IF(Raw_Export!$A1461="","",B1461-WEEKDAY(B1461,2)+1)</f>
        <v>46272</v>
      </c>
    </row>
    <row r="1462" customFormat="false" ht="15" hidden="false" customHeight="false" outlineLevel="0" collapsed="false">
      <c r="A1462" s="36" t="str">
        <f aca="false">IF(Raw_Export!$A1462="","",TRIM(Raw_Export!A1462))</f>
        <v>TXN-101432</v>
      </c>
      <c r="B1462" s="37" t="n">
        <f aca="false">IF(Raw_Export!$A1462="","",IF(ISNUMBER(Raw_Export!B1462),Raw_Export!B1462,IF(MID(TRIM(Raw_Export!B1462),5,1)="-",DATE(LEFT(TRIM(Raw_Export!B1462),4),MID(TRIM(Raw_Export!B1462),6,2),RIGHT(TRIM(Raw_Export!B1462),2)),DATE(RIGHT(TRIM(Raw_Export!B1462),4),MATCH(MID(TRIM(Raw_Export!B1462),4,3),{"Jan","Feb","Mar","Apr","May","Jun","Jul","Aug","Sep","Oct","Nov","Dec"},0),LEFT(TRIM(Raw_Export!B1462),2)))))</f>
        <v>46274</v>
      </c>
      <c r="C1462" s="36" t="str">
        <f aca="false">IF(Raw_Export!$A1462="","",IFERROR(VLOOKUP(LOWER(TRIM(Raw_Export!C1462)),Maps!$A$2:$B$20,2,FALSE()),"UNMAPPED"))</f>
        <v>Kisumu</v>
      </c>
      <c r="D1462" s="36" t="str">
        <f aca="false">IF(Raw_Export!$A1462="","",IFERROR(VLOOKUP(LOWER(TRIM(Raw_Export!D1462)),Maps!$G$2:$I$80,2,FALSE()),"UNMAPPED"))</f>
        <v>Sugar 2kg</v>
      </c>
      <c r="E1462" s="36" t="str">
        <f aca="false">IF(Raw_Export!$A1462="","",IFERROR(VLOOKUP(LOWER(TRIM(Raw_Export!D1462)),Maps!$G$2:$I$80,3,FALSE()),"UNMAPPED"))</f>
        <v>Staples</v>
      </c>
      <c r="F1462" s="36" t="n">
        <f aca="false">IF(Raw_Export!$A1462="","",IFERROR(VALUE(TRIM(Raw_Export!E1462)),0))</f>
        <v>3</v>
      </c>
      <c r="G1462" s="38" t="n">
        <f aca="false">IF(Raw_Export!$A1462="","",IFERROR(VALUE(SUBSTITUTE(SUBSTITUTE(UPPER(TRIM(Raw_Export!F1462)),"KES",""),",","")),0))</f>
        <v>330</v>
      </c>
      <c r="H1462" s="38" t="n">
        <f aca="false">IF(Raw_Export!$A1462="","",F1462*G1462)</f>
        <v>990</v>
      </c>
      <c r="I1462" s="36" t="str">
        <f aca="false">IF(Raw_Export!$A1462="","",IFERROR(VLOOKUP(LOWER(TRIM(Raw_Export!H1462)),Maps!$D$2:$E$12,2,FALSE()),"Other"))</f>
        <v>Cash</v>
      </c>
      <c r="J1462" s="36" t="str">
        <f aca="false">IF(Raw_Export!$A1462="","",IF(COUNTIF($A$2:A1462,A1462)&gt;1,"Duplicate",""))</f>
        <v/>
      </c>
      <c r="K1462" s="36" t="str">
        <f aca="false">IF(Raw_Export!$A1462="","",IF(J1462="Duplicate","Duplicate",IF(OR(C1462="UNMAPPED",D1462="UNMAPPED"),"Unmapped",IF(F1462=0,"Blank qty",IF(F1462&lt;0,"Return","OK")))))</f>
        <v>OK</v>
      </c>
      <c r="L1462" s="36" t="n">
        <f aca="false">IF(Raw_Export!$A1462="","",IF(OR(K1462="OK",K1462="Return"),1,0))</f>
        <v>1</v>
      </c>
      <c r="M1462" s="37" t="n">
        <f aca="false">IF(Raw_Export!$A1462="","",B1462-WEEKDAY(B1462,2)+1)</f>
        <v>46272</v>
      </c>
    </row>
    <row r="1463" customFormat="false" ht="15" hidden="false" customHeight="false" outlineLevel="0" collapsed="false">
      <c r="A1463" s="36" t="str">
        <f aca="false">IF(Raw_Export!$A1463="","",TRIM(Raw_Export!A1463))</f>
        <v>TXN-101433</v>
      </c>
      <c r="B1463" s="37" t="n">
        <f aca="false">IF(Raw_Export!$A1463="","",IF(ISNUMBER(Raw_Export!B1463),Raw_Export!B1463,IF(MID(TRIM(Raw_Export!B1463),5,1)="-",DATE(LEFT(TRIM(Raw_Export!B1463),4),MID(TRIM(Raw_Export!B1463),6,2),RIGHT(TRIM(Raw_Export!B1463),2)),DATE(RIGHT(TRIM(Raw_Export!B1463),4),MATCH(MID(TRIM(Raw_Export!B1463),4,3),{"Jan","Feb","Mar","Apr","May","Jun","Jul","Aug","Sep","Oct","Nov","Dec"},0),LEFT(TRIM(Raw_Export!B1463),2)))))</f>
        <v>46274</v>
      </c>
      <c r="C1463" s="36" t="str">
        <f aca="false">IF(Raw_Export!$A1463="","",IFERROR(VLOOKUP(LOWER(TRIM(Raw_Export!C1463)),Maps!$A$2:$B$20,2,FALSE()),"UNMAPPED"))</f>
        <v>Kisumu</v>
      </c>
      <c r="D1463" s="36" t="str">
        <f aca="false">IF(Raw_Export!$A1463="","",IFERROR(VLOOKUP(LOWER(TRIM(Raw_Export!D1463)),Maps!$G$2:$I$80,2,FALSE()),"UNMAPPED"))</f>
        <v>Bath Soap 175g</v>
      </c>
      <c r="E1463" s="36" t="str">
        <f aca="false">IF(Raw_Export!$A1463="","",IFERROR(VLOOKUP(LOWER(TRIM(Raw_Export!D1463)),Maps!$G$2:$I$80,3,FALSE()),"UNMAPPED"))</f>
        <v>Personal Care</v>
      </c>
      <c r="F1463" s="36" t="n">
        <f aca="false">IF(Raw_Export!$A1463="","",IFERROR(VALUE(TRIM(Raw_Export!E1463)),0))</f>
        <v>-1</v>
      </c>
      <c r="G1463" s="38" t="n">
        <f aca="false">IF(Raw_Export!$A1463="","",IFERROR(VALUE(SUBSTITUTE(SUBSTITUTE(UPPER(TRIM(Raw_Export!F1463)),"KES",""),",","")),0))</f>
        <v>85</v>
      </c>
      <c r="H1463" s="38" t="n">
        <f aca="false">IF(Raw_Export!$A1463="","",F1463*G1463)</f>
        <v>-85</v>
      </c>
      <c r="I1463" s="36" t="str">
        <f aca="false">IF(Raw_Export!$A1463="","",IFERROR(VLOOKUP(LOWER(TRIM(Raw_Export!H1463)),Maps!$D$2:$E$12,2,FALSE()),"Other"))</f>
        <v>M-Pesa</v>
      </c>
      <c r="J1463" s="36" t="str">
        <f aca="false">IF(Raw_Export!$A1463="","",IF(COUNTIF($A$2:A1463,A1463)&gt;1,"Duplicate",""))</f>
        <v/>
      </c>
      <c r="K1463" s="36" t="str">
        <f aca="false">IF(Raw_Export!$A1463="","",IF(J1463="Duplicate","Duplicate",IF(OR(C1463="UNMAPPED",D1463="UNMAPPED"),"Unmapped",IF(F1463=0,"Blank qty",IF(F1463&lt;0,"Return","OK")))))</f>
        <v>Return</v>
      </c>
      <c r="L1463" s="36" t="n">
        <f aca="false">IF(Raw_Export!$A1463="","",IF(OR(K1463="OK",K1463="Return"),1,0))</f>
        <v>1</v>
      </c>
      <c r="M1463" s="37" t="n">
        <f aca="false">IF(Raw_Export!$A1463="","",B1463-WEEKDAY(B1463,2)+1)</f>
        <v>46272</v>
      </c>
    </row>
    <row r="1464" customFormat="false" ht="15" hidden="false" customHeight="false" outlineLevel="0" collapsed="false">
      <c r="A1464" s="36" t="str">
        <f aca="false">IF(Raw_Export!$A1464="","",TRIM(Raw_Export!A1464))</f>
        <v>TXN-101434</v>
      </c>
      <c r="B1464" s="37" t="n">
        <f aca="false">IF(Raw_Export!$A1464="","",IF(ISNUMBER(Raw_Export!B1464),Raw_Export!B1464,IF(MID(TRIM(Raw_Export!B1464),5,1)="-",DATE(LEFT(TRIM(Raw_Export!B1464),4),MID(TRIM(Raw_Export!B1464),6,2),RIGHT(TRIM(Raw_Export!B1464),2)),DATE(RIGHT(TRIM(Raw_Export!B1464),4),MATCH(MID(TRIM(Raw_Export!B1464),4,3),{"Jan","Feb","Mar","Apr","May","Jun","Jul","Aug","Sep","Oct","Nov","Dec"},0),LEFT(TRIM(Raw_Export!B1464),2)))))</f>
        <v>46274</v>
      </c>
      <c r="C1464" s="36" t="str">
        <f aca="false">IF(Raw_Export!$A1464="","",IFERROR(VLOOKUP(LOWER(TRIM(Raw_Export!C1464)),Maps!$A$2:$B$20,2,FALSE()),"UNMAPPED"))</f>
        <v>Kisumu</v>
      </c>
      <c r="D1464" s="36" t="str">
        <f aca="false">IF(Raw_Export!$A1464="","",IFERROR(VLOOKUP(LOWER(TRIM(Raw_Export!D1464)),Maps!$G$2:$I$80,2,FALSE()),"UNMAPPED"))</f>
        <v>Peanuts 250g</v>
      </c>
      <c r="E1464" s="36" t="str">
        <f aca="false">IF(Raw_Export!$A1464="","",IFERROR(VLOOKUP(LOWER(TRIM(Raw_Export!D1464)),Maps!$G$2:$I$80,3,FALSE()),"UNMAPPED"))</f>
        <v>Snacks</v>
      </c>
      <c r="F1464" s="36" t="n">
        <f aca="false">IF(Raw_Export!$A1464="","",IFERROR(VALUE(TRIM(Raw_Export!E1464)),0))</f>
        <v>4</v>
      </c>
      <c r="G1464" s="38" t="n">
        <f aca="false">IF(Raw_Export!$A1464="","",IFERROR(VALUE(SUBSTITUTE(SUBSTITUTE(UPPER(TRIM(Raw_Export!F1464)),"KES",""),",","")),0))</f>
        <v>130</v>
      </c>
      <c r="H1464" s="38" t="n">
        <f aca="false">IF(Raw_Export!$A1464="","",F1464*G1464)</f>
        <v>520</v>
      </c>
      <c r="I1464" s="36" t="str">
        <f aca="false">IF(Raw_Export!$A1464="","",IFERROR(VLOOKUP(LOWER(TRIM(Raw_Export!H1464)),Maps!$D$2:$E$12,2,FALSE()),"Other"))</f>
        <v>Card</v>
      </c>
      <c r="J1464" s="36" t="str">
        <f aca="false">IF(Raw_Export!$A1464="","",IF(COUNTIF($A$2:A1464,A1464)&gt;1,"Duplicate",""))</f>
        <v/>
      </c>
      <c r="K1464" s="36" t="str">
        <f aca="false">IF(Raw_Export!$A1464="","",IF(J1464="Duplicate","Duplicate",IF(OR(C1464="UNMAPPED",D1464="UNMAPPED"),"Unmapped",IF(F1464=0,"Blank qty",IF(F1464&lt;0,"Return","OK")))))</f>
        <v>OK</v>
      </c>
      <c r="L1464" s="36" t="n">
        <f aca="false">IF(Raw_Export!$A1464="","",IF(OR(K1464="OK",K1464="Return"),1,0))</f>
        <v>1</v>
      </c>
      <c r="M1464" s="37" t="n">
        <f aca="false">IF(Raw_Export!$A1464="","",B1464-WEEKDAY(B1464,2)+1)</f>
        <v>46272</v>
      </c>
    </row>
    <row r="1465" customFormat="false" ht="15" hidden="false" customHeight="false" outlineLevel="0" collapsed="false">
      <c r="A1465" s="36" t="str">
        <f aca="false">IF(Raw_Export!$A1465="","",TRIM(Raw_Export!A1465))</f>
        <v>TXN-101435</v>
      </c>
      <c r="B1465" s="37" t="n">
        <f aca="false">IF(Raw_Export!$A1465="","",IF(ISNUMBER(Raw_Export!B1465),Raw_Export!B1465,IF(MID(TRIM(Raw_Export!B1465),5,1)="-",DATE(LEFT(TRIM(Raw_Export!B1465),4),MID(TRIM(Raw_Export!B1465),6,2),RIGHT(TRIM(Raw_Export!B1465),2)),DATE(RIGHT(TRIM(Raw_Export!B1465),4),MATCH(MID(TRIM(Raw_Export!B1465),4,3),{"Jan","Feb","Mar","Apr","May","Jun","Jul","Aug","Sep","Oct","Nov","Dec"},0),LEFT(TRIM(Raw_Export!B1465),2)))))</f>
        <v>46274</v>
      </c>
      <c r="C1465" s="36" t="str">
        <f aca="false">IF(Raw_Export!$A1465="","",IFERROR(VLOOKUP(LOWER(TRIM(Raw_Export!C1465)),Maps!$A$2:$B$20,2,FALSE()),"UNMAPPED"))</f>
        <v>Kisumu</v>
      </c>
      <c r="D1465" s="36" t="str">
        <f aca="false">IF(Raw_Export!$A1465="","",IFERROR(VLOOKUP(LOWER(TRIM(Raw_Export!D1465)),Maps!$G$2:$I$80,2,FALSE()),"UNMAPPED"))</f>
        <v>Cooking Oil 1L</v>
      </c>
      <c r="E1465" s="36" t="str">
        <f aca="false">IF(Raw_Export!$A1465="","",IFERROR(VLOOKUP(LOWER(TRIM(Raw_Export!D1465)),Maps!$G$2:$I$80,3,FALSE()),"UNMAPPED"))</f>
        <v>Staples</v>
      </c>
      <c r="F1465" s="36" t="n">
        <f aca="false">IF(Raw_Export!$A1465="","",IFERROR(VALUE(TRIM(Raw_Export!E1465)),0))</f>
        <v>2</v>
      </c>
      <c r="G1465" s="38" t="n">
        <f aca="false">IF(Raw_Export!$A1465="","",IFERROR(VALUE(SUBSTITUTE(SUBSTITUTE(UPPER(TRIM(Raw_Export!F1465)),"KES",""),",","")),0))</f>
        <v>330</v>
      </c>
      <c r="H1465" s="38" t="n">
        <f aca="false">IF(Raw_Export!$A1465="","",F1465*G1465)</f>
        <v>660</v>
      </c>
      <c r="I1465" s="36" t="str">
        <f aca="false">IF(Raw_Export!$A1465="","",IFERROR(VLOOKUP(LOWER(TRIM(Raw_Export!H1465)),Maps!$D$2:$E$12,2,FALSE()),"Other"))</f>
        <v>M-Pesa</v>
      </c>
      <c r="J1465" s="36" t="str">
        <f aca="false">IF(Raw_Export!$A1465="","",IF(COUNTIF($A$2:A1465,A1465)&gt;1,"Duplicate",""))</f>
        <v/>
      </c>
      <c r="K1465" s="36" t="str">
        <f aca="false">IF(Raw_Export!$A1465="","",IF(J1465="Duplicate","Duplicate",IF(OR(C1465="UNMAPPED",D1465="UNMAPPED"),"Unmapped",IF(F1465=0,"Blank qty",IF(F1465&lt;0,"Return","OK")))))</f>
        <v>OK</v>
      </c>
      <c r="L1465" s="36" t="n">
        <f aca="false">IF(Raw_Export!$A1465="","",IF(OR(K1465="OK",K1465="Return"),1,0))</f>
        <v>1</v>
      </c>
      <c r="M1465" s="37" t="n">
        <f aca="false">IF(Raw_Export!$A1465="","",B1465-WEEKDAY(B1465,2)+1)</f>
        <v>46272</v>
      </c>
    </row>
    <row r="1466" customFormat="false" ht="15" hidden="false" customHeight="false" outlineLevel="0" collapsed="false">
      <c r="A1466" s="36" t="str">
        <f aca="false">IF(Raw_Export!$A1466="","",TRIM(Raw_Export!A1466))</f>
        <v>TXN-101436</v>
      </c>
      <c r="B1466" s="37" t="n">
        <f aca="false">IF(Raw_Export!$A1466="","",IF(ISNUMBER(Raw_Export!B1466),Raw_Export!B1466,IF(MID(TRIM(Raw_Export!B1466),5,1)="-",DATE(LEFT(TRIM(Raw_Export!B1466),4),MID(TRIM(Raw_Export!B1466),6,2),RIGHT(TRIM(Raw_Export!B1466),2)),DATE(RIGHT(TRIM(Raw_Export!B1466),4),MATCH(MID(TRIM(Raw_Export!B1466),4,3),{"Jan","Feb","Mar","Apr","May","Jun","Jul","Aug","Sep","Oct","Nov","Dec"},0),LEFT(TRIM(Raw_Export!B1466),2)))))</f>
        <v>46274</v>
      </c>
      <c r="C1466" s="36" t="str">
        <f aca="false">IF(Raw_Export!$A1466="","",IFERROR(VLOOKUP(LOWER(TRIM(Raw_Export!C1466)),Maps!$A$2:$B$20,2,FALSE()),"UNMAPPED"))</f>
        <v>Kisumu</v>
      </c>
      <c r="D1466" s="36" t="str">
        <f aca="false">IF(Raw_Export!$A1466="","",IFERROR(VLOOKUP(LOWER(TRIM(Raw_Export!D1466)),Maps!$G$2:$I$80,2,FALSE()),"UNMAPPED"))</f>
        <v>Peanuts 250g</v>
      </c>
      <c r="E1466" s="36" t="str">
        <f aca="false">IF(Raw_Export!$A1466="","",IFERROR(VLOOKUP(LOWER(TRIM(Raw_Export!D1466)),Maps!$G$2:$I$80,3,FALSE()),"UNMAPPED"))</f>
        <v>Snacks</v>
      </c>
      <c r="F1466" s="36" t="n">
        <f aca="false">IF(Raw_Export!$A1466="","",IFERROR(VALUE(TRIM(Raw_Export!E1466)),0))</f>
        <v>3</v>
      </c>
      <c r="G1466" s="38" t="n">
        <f aca="false">IF(Raw_Export!$A1466="","",IFERROR(VALUE(SUBSTITUTE(SUBSTITUTE(UPPER(TRIM(Raw_Export!F1466)),"KES",""),",","")),0))</f>
        <v>130</v>
      </c>
      <c r="H1466" s="38" t="n">
        <f aca="false">IF(Raw_Export!$A1466="","",F1466*G1466)</f>
        <v>390</v>
      </c>
      <c r="I1466" s="36" t="str">
        <f aca="false">IF(Raw_Export!$A1466="","",IFERROR(VLOOKUP(LOWER(TRIM(Raw_Export!H1466)),Maps!$D$2:$E$12,2,FALSE()),"Other"))</f>
        <v>Card</v>
      </c>
      <c r="J1466" s="36" t="str">
        <f aca="false">IF(Raw_Export!$A1466="","",IF(COUNTIF($A$2:A1466,A1466)&gt;1,"Duplicate",""))</f>
        <v/>
      </c>
      <c r="K1466" s="36" t="str">
        <f aca="false">IF(Raw_Export!$A1466="","",IF(J1466="Duplicate","Duplicate",IF(OR(C1466="UNMAPPED",D1466="UNMAPPED"),"Unmapped",IF(F1466=0,"Blank qty",IF(F1466&lt;0,"Return","OK")))))</f>
        <v>OK</v>
      </c>
      <c r="L1466" s="36" t="n">
        <f aca="false">IF(Raw_Export!$A1466="","",IF(OR(K1466="OK",K1466="Return"),1,0))</f>
        <v>1</v>
      </c>
      <c r="M1466" s="37" t="n">
        <f aca="false">IF(Raw_Export!$A1466="","",B1466-WEEKDAY(B1466,2)+1)</f>
        <v>46272</v>
      </c>
    </row>
    <row r="1467" customFormat="false" ht="15" hidden="false" customHeight="false" outlineLevel="0" collapsed="false">
      <c r="A1467" s="36" t="str">
        <f aca="false">IF(Raw_Export!$A1467="","",TRIM(Raw_Export!A1467))</f>
        <v>TXN-101437</v>
      </c>
      <c r="B1467" s="37" t="n">
        <f aca="false">IF(Raw_Export!$A1467="","",IF(ISNUMBER(Raw_Export!B1467),Raw_Export!B1467,IF(MID(TRIM(Raw_Export!B1467),5,1)="-",DATE(LEFT(TRIM(Raw_Export!B1467),4),MID(TRIM(Raw_Export!B1467),6,2),RIGHT(TRIM(Raw_Export!B1467),2)),DATE(RIGHT(TRIM(Raw_Export!B1467),4),MATCH(MID(TRIM(Raw_Export!B1467),4,3),{"Jan","Feb","Mar","Apr","May","Jun","Jul","Aug","Sep","Oct","Nov","Dec"},0),LEFT(TRIM(Raw_Export!B1467),2)))))</f>
        <v>46274</v>
      </c>
      <c r="C1467" s="36" t="str">
        <f aca="false">IF(Raw_Export!$A1467="","",IFERROR(VLOOKUP(LOWER(TRIM(Raw_Export!C1467)),Maps!$A$2:$B$20,2,FALSE()),"UNMAPPED"))</f>
        <v>Kisumu</v>
      </c>
      <c r="D1467" s="36" t="str">
        <f aca="false">IF(Raw_Export!$A1467="","",IFERROR(VLOOKUP(LOWER(TRIM(Raw_Export!D1467)),Maps!$G$2:$I$80,2,FALSE()),"UNMAPPED"))</f>
        <v>Eggs Tray 30</v>
      </c>
      <c r="E1467" s="36" t="str">
        <f aca="false">IF(Raw_Export!$A1467="","",IFERROR(VLOOKUP(LOWER(TRIM(Raw_Export!D1467)),Maps!$G$2:$I$80,3,FALSE()),"UNMAPPED"))</f>
        <v>Dairy &amp; Eggs</v>
      </c>
      <c r="F1467" s="36" t="n">
        <f aca="false">IF(Raw_Export!$A1467="","",IFERROR(VALUE(TRIM(Raw_Export!E1467)),0))</f>
        <v>6</v>
      </c>
      <c r="G1467" s="38" t="n">
        <f aca="false">IF(Raw_Export!$A1467="","",IFERROR(VALUE(SUBSTITUTE(SUBSTITUTE(UPPER(TRIM(Raw_Export!F1467)),"KES",""),",","")),0))</f>
        <v>450</v>
      </c>
      <c r="H1467" s="38" t="n">
        <f aca="false">IF(Raw_Export!$A1467="","",F1467*G1467)</f>
        <v>2700</v>
      </c>
      <c r="I1467" s="36" t="str">
        <f aca="false">IF(Raw_Export!$A1467="","",IFERROR(VLOOKUP(LOWER(TRIM(Raw_Export!H1467)),Maps!$D$2:$E$12,2,FALSE()),"Other"))</f>
        <v>M-Pesa</v>
      </c>
      <c r="J1467" s="36" t="str">
        <f aca="false">IF(Raw_Export!$A1467="","",IF(COUNTIF($A$2:A1467,A1467)&gt;1,"Duplicate",""))</f>
        <v/>
      </c>
      <c r="K1467" s="36" t="str">
        <f aca="false">IF(Raw_Export!$A1467="","",IF(J1467="Duplicate","Duplicate",IF(OR(C1467="UNMAPPED",D1467="UNMAPPED"),"Unmapped",IF(F1467=0,"Blank qty",IF(F1467&lt;0,"Return","OK")))))</f>
        <v>OK</v>
      </c>
      <c r="L1467" s="36" t="n">
        <f aca="false">IF(Raw_Export!$A1467="","",IF(OR(K1467="OK",K1467="Return"),1,0))</f>
        <v>1</v>
      </c>
      <c r="M1467" s="37" t="n">
        <f aca="false">IF(Raw_Export!$A1467="","",B1467-WEEKDAY(B1467,2)+1)</f>
        <v>46272</v>
      </c>
    </row>
    <row r="1468" customFormat="false" ht="15" hidden="false" customHeight="false" outlineLevel="0" collapsed="false">
      <c r="A1468" s="36" t="str">
        <f aca="false">IF(Raw_Export!$A1468="","",TRIM(Raw_Export!A1468))</f>
        <v>TXN-101438</v>
      </c>
      <c r="B1468" s="37" t="n">
        <f aca="false">IF(Raw_Export!$A1468="","",IF(ISNUMBER(Raw_Export!B1468),Raw_Export!B1468,IF(MID(TRIM(Raw_Export!B1468),5,1)="-",DATE(LEFT(TRIM(Raw_Export!B1468),4),MID(TRIM(Raw_Export!B1468),6,2),RIGHT(TRIM(Raw_Export!B1468),2)),DATE(RIGHT(TRIM(Raw_Export!B1468),4),MATCH(MID(TRIM(Raw_Export!B1468),4,3),{"Jan","Feb","Mar","Apr","May","Jun","Jul","Aug","Sep","Oct","Nov","Dec"},0),LEFT(TRIM(Raw_Export!B1468),2)))))</f>
        <v>46274</v>
      </c>
      <c r="C1468" s="36" t="str">
        <f aca="false">IF(Raw_Export!$A1468="","",IFERROR(VLOOKUP(LOWER(TRIM(Raw_Export!C1468)),Maps!$A$2:$B$20,2,FALSE()),"UNMAPPED"))</f>
        <v>Nakuru</v>
      </c>
      <c r="D1468" s="36" t="str">
        <f aca="false">IF(Raw_Export!$A1468="","",IFERROR(VLOOKUP(LOWER(TRIM(Raw_Export!D1468)),Maps!$G$2:$I$80,2,FALSE()),"UNMAPPED"))</f>
        <v>Bath Soap 175g</v>
      </c>
      <c r="E1468" s="36" t="str">
        <f aca="false">IF(Raw_Export!$A1468="","",IFERROR(VLOOKUP(LOWER(TRIM(Raw_Export!D1468)),Maps!$G$2:$I$80,3,FALSE()),"UNMAPPED"))</f>
        <v>Personal Care</v>
      </c>
      <c r="F1468" s="36" t="n">
        <f aca="false">IF(Raw_Export!$A1468="","",IFERROR(VALUE(TRIM(Raw_Export!E1468)),0))</f>
        <v>4</v>
      </c>
      <c r="G1468" s="38" t="n">
        <f aca="false">IF(Raw_Export!$A1468="","",IFERROR(VALUE(SUBSTITUTE(SUBSTITUTE(UPPER(TRIM(Raw_Export!F1468)),"KES",""),",","")),0))</f>
        <v>85</v>
      </c>
      <c r="H1468" s="38" t="n">
        <f aca="false">IF(Raw_Export!$A1468="","",F1468*G1468)</f>
        <v>340</v>
      </c>
      <c r="I1468" s="36" t="str">
        <f aca="false">IF(Raw_Export!$A1468="","",IFERROR(VLOOKUP(LOWER(TRIM(Raw_Export!H1468)),Maps!$D$2:$E$12,2,FALSE()),"Other"))</f>
        <v>M-Pesa</v>
      </c>
      <c r="J1468" s="36" t="str">
        <f aca="false">IF(Raw_Export!$A1468="","",IF(COUNTIF($A$2:A1468,A1468)&gt;1,"Duplicate",""))</f>
        <v>Duplicate</v>
      </c>
      <c r="K1468" s="36" t="str">
        <f aca="false">IF(Raw_Export!$A1468="","",IF(J1468="Duplicate","Duplicate",IF(OR(C1468="UNMAPPED",D1468="UNMAPPED"),"Unmapped",IF(F1468=0,"Blank qty",IF(F1468&lt;0,"Return","OK")))))</f>
        <v>Duplicate</v>
      </c>
      <c r="L1468" s="36" t="n">
        <f aca="false">IF(Raw_Export!$A1468="","",IF(OR(K1468="OK",K1468="Return"),1,0))</f>
        <v>0</v>
      </c>
      <c r="M1468" s="37" t="n">
        <f aca="false">IF(Raw_Export!$A1468="","",B1468-WEEKDAY(B1468,2)+1)</f>
        <v>46272</v>
      </c>
    </row>
    <row r="1469" customFormat="false" ht="15" hidden="false" customHeight="false" outlineLevel="0" collapsed="false">
      <c r="A1469" s="36" t="str">
        <f aca="false">IF(Raw_Export!$A1469="","",TRIM(Raw_Export!A1469))</f>
        <v>TXN-101439</v>
      </c>
      <c r="B1469" s="37" t="n">
        <f aca="false">IF(Raw_Export!$A1469="","",IF(ISNUMBER(Raw_Export!B1469),Raw_Export!B1469,IF(MID(TRIM(Raw_Export!B1469),5,1)="-",DATE(LEFT(TRIM(Raw_Export!B1469),4),MID(TRIM(Raw_Export!B1469),6,2),RIGHT(TRIM(Raw_Export!B1469),2)),DATE(RIGHT(TRIM(Raw_Export!B1469),4),MATCH(MID(TRIM(Raw_Export!B1469),4,3),{"Jan","Feb","Mar","Apr","May","Jun","Jul","Aug","Sep","Oct","Nov","Dec"},0),LEFT(TRIM(Raw_Export!B1469),2)))))</f>
        <v>46274</v>
      </c>
      <c r="C1469" s="36" t="str">
        <f aca="false">IF(Raw_Export!$A1469="","",IFERROR(VLOOKUP(LOWER(TRIM(Raw_Export!C1469)),Maps!$A$2:$B$20,2,FALSE()),"UNMAPPED"))</f>
        <v>Nakuru</v>
      </c>
      <c r="D1469" s="36" t="str">
        <f aca="false">IF(Raw_Export!$A1469="","",IFERROR(VLOOKUP(LOWER(TRIM(Raw_Export!D1469)),Maps!$G$2:$I$80,2,FALSE()),"UNMAPPED"))</f>
        <v>Eggs Tray 30</v>
      </c>
      <c r="E1469" s="36" t="str">
        <f aca="false">IF(Raw_Export!$A1469="","",IFERROR(VLOOKUP(LOWER(TRIM(Raw_Export!D1469)),Maps!$G$2:$I$80,3,FALSE()),"UNMAPPED"))</f>
        <v>Dairy &amp; Eggs</v>
      </c>
      <c r="F1469" s="36" t="n">
        <f aca="false">IF(Raw_Export!$A1469="","",IFERROR(VALUE(TRIM(Raw_Export!E1469)),0))</f>
        <v>2</v>
      </c>
      <c r="G1469" s="38" t="n">
        <f aca="false">IF(Raw_Export!$A1469="","",IFERROR(VALUE(SUBSTITUTE(SUBSTITUTE(UPPER(TRIM(Raw_Export!F1469)),"KES",""),",","")),0))</f>
        <v>450</v>
      </c>
      <c r="H1469" s="38" t="n">
        <f aca="false">IF(Raw_Export!$A1469="","",F1469*G1469)</f>
        <v>900</v>
      </c>
      <c r="I1469" s="36" t="str">
        <f aca="false">IF(Raw_Export!$A1469="","",IFERROR(VLOOKUP(LOWER(TRIM(Raw_Export!H1469)),Maps!$D$2:$E$12,2,FALSE()),"Other"))</f>
        <v>Cash</v>
      </c>
      <c r="J1469" s="36" t="str">
        <f aca="false">IF(Raw_Export!$A1469="","",IF(COUNTIF($A$2:A1469,A1469)&gt;1,"Duplicate",""))</f>
        <v/>
      </c>
      <c r="K1469" s="36" t="str">
        <f aca="false">IF(Raw_Export!$A1469="","",IF(J1469="Duplicate","Duplicate",IF(OR(C1469="UNMAPPED",D1469="UNMAPPED"),"Unmapped",IF(F1469=0,"Blank qty",IF(F1469&lt;0,"Return","OK")))))</f>
        <v>OK</v>
      </c>
      <c r="L1469" s="36" t="n">
        <f aca="false">IF(Raw_Export!$A1469="","",IF(OR(K1469="OK",K1469="Return"),1,0))</f>
        <v>1</v>
      </c>
      <c r="M1469" s="37" t="n">
        <f aca="false">IF(Raw_Export!$A1469="","",B1469-WEEKDAY(B1469,2)+1)</f>
        <v>46272</v>
      </c>
    </row>
    <row r="1470" customFormat="false" ht="15" hidden="false" customHeight="false" outlineLevel="0" collapsed="false">
      <c r="A1470" s="36" t="str">
        <f aca="false">IF(Raw_Export!$A1470="","",TRIM(Raw_Export!A1470))</f>
        <v>TXN-101440</v>
      </c>
      <c r="B1470" s="37" t="n">
        <f aca="false">IF(Raw_Export!$A1470="","",IF(ISNUMBER(Raw_Export!B1470),Raw_Export!B1470,IF(MID(TRIM(Raw_Export!B1470),5,1)="-",DATE(LEFT(TRIM(Raw_Export!B1470),4),MID(TRIM(Raw_Export!B1470),6,2),RIGHT(TRIM(Raw_Export!B1470),2)),DATE(RIGHT(TRIM(Raw_Export!B1470),4),MATCH(MID(TRIM(Raw_Export!B1470),4,3),{"Jan","Feb","Mar","Apr","May","Jun","Jul","Aug","Sep","Oct","Nov","Dec"},0),LEFT(TRIM(Raw_Export!B1470),2)))))</f>
        <v>46274</v>
      </c>
      <c r="C1470" s="36" t="str">
        <f aca="false">IF(Raw_Export!$A1470="","",IFERROR(VLOOKUP(LOWER(TRIM(Raw_Export!C1470)),Maps!$A$2:$B$20,2,FALSE()),"UNMAPPED"))</f>
        <v>Nakuru</v>
      </c>
      <c r="D1470" s="36" t="str">
        <f aca="false">IF(Raw_Export!$A1470="","",IFERROR(VLOOKUP(LOWER(TRIM(Raw_Export!D1470)),Maps!$G$2:$I$80,2,FALSE()),"UNMAPPED"))</f>
        <v>Fresh Milk 500ml</v>
      </c>
      <c r="E1470" s="36" t="str">
        <f aca="false">IF(Raw_Export!$A1470="","",IFERROR(VLOOKUP(LOWER(TRIM(Raw_Export!D1470)),Maps!$G$2:$I$80,3,FALSE()),"UNMAPPED"))</f>
        <v>Dairy &amp; Eggs</v>
      </c>
      <c r="F1470" s="36" t="n">
        <f aca="false">IF(Raw_Export!$A1470="","",IFERROR(VALUE(TRIM(Raw_Export!E1470)),0))</f>
        <v>1</v>
      </c>
      <c r="G1470" s="38" t="n">
        <f aca="false">IF(Raw_Export!$A1470="","",IFERROR(VALUE(SUBSTITUTE(SUBSTITUTE(UPPER(TRIM(Raw_Export!F1470)),"KES",""),",","")),0))</f>
        <v>65</v>
      </c>
      <c r="H1470" s="38" t="n">
        <f aca="false">IF(Raw_Export!$A1470="","",F1470*G1470)</f>
        <v>65</v>
      </c>
      <c r="I1470" s="36" t="str">
        <f aca="false">IF(Raw_Export!$A1470="","",IFERROR(VLOOKUP(LOWER(TRIM(Raw_Export!H1470)),Maps!$D$2:$E$12,2,FALSE()),"Other"))</f>
        <v>Cash</v>
      </c>
      <c r="J1470" s="36" t="str">
        <f aca="false">IF(Raw_Export!$A1470="","",IF(COUNTIF($A$2:A1470,A1470)&gt;1,"Duplicate",""))</f>
        <v/>
      </c>
      <c r="K1470" s="36" t="str">
        <f aca="false">IF(Raw_Export!$A1470="","",IF(J1470="Duplicate","Duplicate",IF(OR(C1470="UNMAPPED",D1470="UNMAPPED"),"Unmapped",IF(F1470=0,"Blank qty",IF(F1470&lt;0,"Return","OK")))))</f>
        <v>OK</v>
      </c>
      <c r="L1470" s="36" t="n">
        <f aca="false">IF(Raw_Export!$A1470="","",IF(OR(K1470="OK",K1470="Return"),1,0))</f>
        <v>1</v>
      </c>
      <c r="M1470" s="37" t="n">
        <f aca="false">IF(Raw_Export!$A1470="","",B1470-WEEKDAY(B1470,2)+1)</f>
        <v>46272</v>
      </c>
    </row>
    <row r="1471" customFormat="false" ht="15" hidden="false" customHeight="false" outlineLevel="0" collapsed="false">
      <c r="A1471" s="36" t="str">
        <f aca="false">IF(Raw_Export!$A1471="","",TRIM(Raw_Export!A1471))</f>
        <v>TXN-101441</v>
      </c>
      <c r="B1471" s="37" t="n">
        <f aca="false">IF(Raw_Export!$A1471="","",IF(ISNUMBER(Raw_Export!B1471),Raw_Export!B1471,IF(MID(TRIM(Raw_Export!B1471),5,1)="-",DATE(LEFT(TRIM(Raw_Export!B1471),4),MID(TRIM(Raw_Export!B1471),6,2),RIGHT(TRIM(Raw_Export!B1471),2)),DATE(RIGHT(TRIM(Raw_Export!B1471),4),MATCH(MID(TRIM(Raw_Export!B1471),4,3),{"Jan","Feb","Mar","Apr","May","Jun","Jul","Aug","Sep","Oct","Nov","Dec"},0),LEFT(TRIM(Raw_Export!B1471),2)))))</f>
        <v>46274</v>
      </c>
      <c r="C1471" s="36" t="str">
        <f aca="false">IF(Raw_Export!$A1471="","",IFERROR(VLOOKUP(LOWER(TRIM(Raw_Export!C1471)),Maps!$A$2:$B$20,2,FALSE()),"UNMAPPED"))</f>
        <v>Nakuru</v>
      </c>
      <c r="D1471" s="36" t="str">
        <f aca="false">IF(Raw_Export!$A1471="","",IFERROR(VLOOKUP(LOWER(TRIM(Raw_Export!D1471)),Maps!$G$2:$I$80,2,FALSE()),"UNMAPPED"))</f>
        <v>Deodorant 150ml</v>
      </c>
      <c r="E1471" s="36" t="str">
        <f aca="false">IF(Raw_Export!$A1471="","",IFERROR(VLOOKUP(LOWER(TRIM(Raw_Export!D1471)),Maps!$G$2:$I$80,3,FALSE()),"UNMAPPED"))</f>
        <v>Personal Care</v>
      </c>
      <c r="F1471" s="36" t="n">
        <f aca="false">IF(Raw_Export!$A1471="","",IFERROR(VALUE(TRIM(Raw_Export!E1471)),0))</f>
        <v>2</v>
      </c>
      <c r="G1471" s="38" t="n">
        <f aca="false">IF(Raw_Export!$A1471="","",IFERROR(VALUE(SUBSTITUTE(SUBSTITUTE(UPPER(TRIM(Raw_Export!F1471)),"KES",""),",","")),0))</f>
        <v>350</v>
      </c>
      <c r="H1471" s="38" t="n">
        <f aca="false">IF(Raw_Export!$A1471="","",F1471*G1471)</f>
        <v>700</v>
      </c>
      <c r="I1471" s="36" t="str">
        <f aca="false">IF(Raw_Export!$A1471="","",IFERROR(VLOOKUP(LOWER(TRIM(Raw_Export!H1471)),Maps!$D$2:$E$12,2,FALSE()),"Other"))</f>
        <v>Card</v>
      </c>
      <c r="J1471" s="36" t="str">
        <f aca="false">IF(Raw_Export!$A1471="","",IF(COUNTIF($A$2:A1471,A1471)&gt;1,"Duplicate",""))</f>
        <v/>
      </c>
      <c r="K1471" s="36" t="str">
        <f aca="false">IF(Raw_Export!$A1471="","",IF(J1471="Duplicate","Duplicate",IF(OR(C1471="UNMAPPED",D1471="UNMAPPED"),"Unmapped",IF(F1471=0,"Blank qty",IF(F1471&lt;0,"Return","OK")))))</f>
        <v>OK</v>
      </c>
      <c r="L1471" s="36" t="n">
        <f aca="false">IF(Raw_Export!$A1471="","",IF(OR(K1471="OK",K1471="Return"),1,0))</f>
        <v>1</v>
      </c>
      <c r="M1471" s="37" t="n">
        <f aca="false">IF(Raw_Export!$A1471="","",B1471-WEEKDAY(B1471,2)+1)</f>
        <v>46272</v>
      </c>
    </row>
    <row r="1472" customFormat="false" ht="15" hidden="false" customHeight="false" outlineLevel="0" collapsed="false">
      <c r="A1472" s="36" t="str">
        <f aca="false">IF(Raw_Export!$A1472="","",TRIM(Raw_Export!A1472))</f>
        <v>TXN-101442</v>
      </c>
      <c r="B1472" s="37" t="n">
        <f aca="false">IF(Raw_Export!$A1472="","",IF(ISNUMBER(Raw_Export!B1472),Raw_Export!B1472,IF(MID(TRIM(Raw_Export!B1472),5,1)="-",DATE(LEFT(TRIM(Raw_Export!B1472),4),MID(TRIM(Raw_Export!B1472),6,2),RIGHT(TRIM(Raw_Export!B1472),2)),DATE(RIGHT(TRIM(Raw_Export!B1472),4),MATCH(MID(TRIM(Raw_Export!B1472),4,3),{"Jan","Feb","Mar","Apr","May","Jun","Jul","Aug","Sep","Oct","Nov","Dec"},0),LEFT(TRIM(Raw_Export!B1472),2)))))</f>
        <v>46274</v>
      </c>
      <c r="C1472" s="36" t="str">
        <f aca="false">IF(Raw_Export!$A1472="","",IFERROR(VLOOKUP(LOWER(TRIM(Raw_Export!C1472)),Maps!$A$2:$B$20,2,FALSE()),"UNMAPPED"))</f>
        <v>Nakuru</v>
      </c>
      <c r="D1472" s="36" t="str">
        <f aca="false">IF(Raw_Export!$A1472="","",IFERROR(VLOOKUP(LOWER(TRIM(Raw_Export!D1472)),Maps!$G$2:$I$80,2,FALSE()),"UNMAPPED"))</f>
        <v>Fresh Milk 500ml</v>
      </c>
      <c r="E1472" s="36" t="str">
        <f aca="false">IF(Raw_Export!$A1472="","",IFERROR(VLOOKUP(LOWER(TRIM(Raw_Export!D1472)),Maps!$G$2:$I$80,3,FALSE()),"UNMAPPED"))</f>
        <v>Dairy &amp; Eggs</v>
      </c>
      <c r="F1472" s="36" t="n">
        <f aca="false">IF(Raw_Export!$A1472="","",IFERROR(VALUE(TRIM(Raw_Export!E1472)),0))</f>
        <v>3</v>
      </c>
      <c r="G1472" s="38" t="n">
        <f aca="false">IF(Raw_Export!$A1472="","",IFERROR(VALUE(SUBSTITUTE(SUBSTITUTE(UPPER(TRIM(Raw_Export!F1472)),"KES",""),",","")),0))</f>
        <v>65</v>
      </c>
      <c r="H1472" s="38" t="n">
        <f aca="false">IF(Raw_Export!$A1472="","",F1472*G1472)</f>
        <v>195</v>
      </c>
      <c r="I1472" s="36" t="str">
        <f aca="false">IF(Raw_Export!$A1472="","",IFERROR(VLOOKUP(LOWER(TRIM(Raw_Export!H1472)),Maps!$D$2:$E$12,2,FALSE()),"Other"))</f>
        <v>M-Pesa</v>
      </c>
      <c r="J1472" s="36" t="str">
        <f aca="false">IF(Raw_Export!$A1472="","",IF(COUNTIF($A$2:A1472,A1472)&gt;1,"Duplicate",""))</f>
        <v/>
      </c>
      <c r="K1472" s="36" t="str">
        <f aca="false">IF(Raw_Export!$A1472="","",IF(J1472="Duplicate","Duplicate",IF(OR(C1472="UNMAPPED",D1472="UNMAPPED"),"Unmapped",IF(F1472=0,"Blank qty",IF(F1472&lt;0,"Return","OK")))))</f>
        <v>OK</v>
      </c>
      <c r="L1472" s="36" t="n">
        <f aca="false">IF(Raw_Export!$A1472="","",IF(OR(K1472="OK",K1472="Return"),1,0))</f>
        <v>1</v>
      </c>
      <c r="M1472" s="37" t="n">
        <f aca="false">IF(Raw_Export!$A1472="","",B1472-WEEKDAY(B1472,2)+1)</f>
        <v>46272</v>
      </c>
    </row>
    <row r="1473" customFormat="false" ht="15" hidden="false" customHeight="false" outlineLevel="0" collapsed="false">
      <c r="A1473" s="36" t="str">
        <f aca="false">IF(Raw_Export!$A1473="","",TRIM(Raw_Export!A1473))</f>
        <v>TXN-101443</v>
      </c>
      <c r="B1473" s="37" t="n">
        <f aca="false">IF(Raw_Export!$A1473="","",IF(ISNUMBER(Raw_Export!B1473),Raw_Export!B1473,IF(MID(TRIM(Raw_Export!B1473),5,1)="-",DATE(LEFT(TRIM(Raw_Export!B1473),4),MID(TRIM(Raw_Export!B1473),6,2),RIGHT(TRIM(Raw_Export!B1473),2)),DATE(RIGHT(TRIM(Raw_Export!B1473),4),MATCH(MID(TRIM(Raw_Export!B1473),4,3),{"Jan","Feb","Mar","Apr","May","Jun","Jul","Aug","Sep","Oct","Nov","Dec"},0),LEFT(TRIM(Raw_Export!B1473),2)))))</f>
        <v>46274</v>
      </c>
      <c r="C1473" s="36" t="str">
        <f aca="false">IF(Raw_Export!$A1473="","",IFERROR(VLOOKUP(LOWER(TRIM(Raw_Export!C1473)),Maps!$A$2:$B$20,2,FALSE()),"UNMAPPED"))</f>
        <v>Nakuru</v>
      </c>
      <c r="D1473" s="36" t="str">
        <f aca="false">IF(Raw_Export!$A1473="","",IFERROR(VLOOKUP(LOWER(TRIM(Raw_Export!D1473)),Maps!$G$2:$I$80,2,FALSE()),"UNMAPPED"))</f>
        <v>Bleach 1L</v>
      </c>
      <c r="E1473" s="36" t="str">
        <f aca="false">IF(Raw_Export!$A1473="","",IFERROR(VLOOKUP(LOWER(TRIM(Raw_Export!D1473)),Maps!$G$2:$I$80,3,FALSE()),"UNMAPPED"))</f>
        <v>Household</v>
      </c>
      <c r="F1473" s="36" t="n">
        <f aca="false">IF(Raw_Export!$A1473="","",IFERROR(VALUE(TRIM(Raw_Export!E1473)),0))</f>
        <v>4</v>
      </c>
      <c r="G1473" s="38" t="n">
        <f aca="false">IF(Raw_Export!$A1473="","",IFERROR(VALUE(SUBSTITUTE(SUBSTITUTE(UPPER(TRIM(Raw_Export!F1473)),"KES",""),",","")),0))</f>
        <v>160</v>
      </c>
      <c r="H1473" s="38" t="n">
        <f aca="false">IF(Raw_Export!$A1473="","",F1473*G1473)</f>
        <v>640</v>
      </c>
      <c r="I1473" s="36" t="str">
        <f aca="false">IF(Raw_Export!$A1473="","",IFERROR(VLOOKUP(LOWER(TRIM(Raw_Export!H1473)),Maps!$D$2:$E$12,2,FALSE()),"Other"))</f>
        <v>M-Pesa</v>
      </c>
      <c r="J1473" s="36" t="str">
        <f aca="false">IF(Raw_Export!$A1473="","",IF(COUNTIF($A$2:A1473,A1473)&gt;1,"Duplicate",""))</f>
        <v/>
      </c>
      <c r="K1473" s="36" t="str">
        <f aca="false">IF(Raw_Export!$A1473="","",IF(J1473="Duplicate","Duplicate",IF(OR(C1473="UNMAPPED",D1473="UNMAPPED"),"Unmapped",IF(F1473=0,"Blank qty",IF(F1473&lt;0,"Return","OK")))))</f>
        <v>OK</v>
      </c>
      <c r="L1473" s="36" t="n">
        <f aca="false">IF(Raw_Export!$A1473="","",IF(OR(K1473="OK",K1473="Return"),1,0))</f>
        <v>1</v>
      </c>
      <c r="M1473" s="37" t="n">
        <f aca="false">IF(Raw_Export!$A1473="","",B1473-WEEKDAY(B1473,2)+1)</f>
        <v>46272</v>
      </c>
    </row>
    <row r="1474" customFormat="false" ht="15" hidden="false" customHeight="false" outlineLevel="0" collapsed="false">
      <c r="A1474" s="36" t="str">
        <f aca="false">IF(Raw_Export!$A1474="","",TRIM(Raw_Export!A1474))</f>
        <v>TXN-101444</v>
      </c>
      <c r="B1474" s="37" t="n">
        <f aca="false">IF(Raw_Export!$A1474="","",IF(ISNUMBER(Raw_Export!B1474),Raw_Export!B1474,IF(MID(TRIM(Raw_Export!B1474),5,1)="-",DATE(LEFT(TRIM(Raw_Export!B1474),4),MID(TRIM(Raw_Export!B1474),6,2),RIGHT(TRIM(Raw_Export!B1474),2)),DATE(RIGHT(TRIM(Raw_Export!B1474),4),MATCH(MID(TRIM(Raw_Export!B1474),4,3),{"Jan","Feb","Mar","Apr","May","Jun","Jul","Aug","Sep","Oct","Nov","Dec"},0),LEFT(TRIM(Raw_Export!B1474),2)))))</f>
        <v>46274</v>
      </c>
      <c r="C1474" s="36" t="str">
        <f aca="false">IF(Raw_Export!$A1474="","",IFERROR(VLOOKUP(LOWER(TRIM(Raw_Export!C1474)),Maps!$A$2:$B$20,2,FALSE()),"UNMAPPED"))</f>
        <v>Nakuru</v>
      </c>
      <c r="D1474" s="36" t="str">
        <f aca="false">IF(Raw_Export!$A1474="","",IFERROR(VLOOKUP(LOWER(TRIM(Raw_Export!D1474)),Maps!$G$2:$I$80,2,FALSE()),"UNMAPPED"))</f>
        <v>Cooking Oil 1L</v>
      </c>
      <c r="E1474" s="36" t="str">
        <f aca="false">IF(Raw_Export!$A1474="","",IFERROR(VLOOKUP(LOWER(TRIM(Raw_Export!D1474)),Maps!$G$2:$I$80,3,FALSE()),"UNMAPPED"))</f>
        <v>Staples</v>
      </c>
      <c r="F1474" s="36" t="n">
        <f aca="false">IF(Raw_Export!$A1474="","",IFERROR(VALUE(TRIM(Raw_Export!E1474)),0))</f>
        <v>2</v>
      </c>
      <c r="G1474" s="38" t="n">
        <f aca="false">IF(Raw_Export!$A1474="","",IFERROR(VALUE(SUBSTITUTE(SUBSTITUTE(UPPER(TRIM(Raw_Export!F1474)),"KES",""),",","")),0))</f>
        <v>330</v>
      </c>
      <c r="H1474" s="38" t="n">
        <f aca="false">IF(Raw_Export!$A1474="","",F1474*G1474)</f>
        <v>660</v>
      </c>
      <c r="I1474" s="36" t="str">
        <f aca="false">IF(Raw_Export!$A1474="","",IFERROR(VLOOKUP(LOWER(TRIM(Raw_Export!H1474)),Maps!$D$2:$E$12,2,FALSE()),"Other"))</f>
        <v>M-Pesa</v>
      </c>
      <c r="J1474" s="36" t="str">
        <f aca="false">IF(Raw_Export!$A1474="","",IF(COUNTIF($A$2:A1474,A1474)&gt;1,"Duplicate",""))</f>
        <v/>
      </c>
      <c r="K1474" s="36" t="str">
        <f aca="false">IF(Raw_Export!$A1474="","",IF(J1474="Duplicate","Duplicate",IF(OR(C1474="UNMAPPED",D1474="UNMAPPED"),"Unmapped",IF(F1474=0,"Blank qty",IF(F1474&lt;0,"Return","OK")))))</f>
        <v>OK</v>
      </c>
      <c r="L1474" s="36" t="n">
        <f aca="false">IF(Raw_Export!$A1474="","",IF(OR(K1474="OK",K1474="Return"),1,0))</f>
        <v>1</v>
      </c>
      <c r="M1474" s="37" t="n">
        <f aca="false">IF(Raw_Export!$A1474="","",B1474-WEEKDAY(B1474,2)+1)</f>
        <v>46272</v>
      </c>
    </row>
    <row r="1475" customFormat="false" ht="15" hidden="false" customHeight="false" outlineLevel="0" collapsed="false">
      <c r="A1475" s="36" t="str">
        <f aca="false">IF(Raw_Export!$A1475="","",TRIM(Raw_Export!A1475))</f>
        <v>TXN-101445</v>
      </c>
      <c r="B1475" s="37" t="n">
        <f aca="false">IF(Raw_Export!$A1475="","",IF(ISNUMBER(Raw_Export!B1475),Raw_Export!B1475,IF(MID(TRIM(Raw_Export!B1475),5,1)="-",DATE(LEFT(TRIM(Raw_Export!B1475),4),MID(TRIM(Raw_Export!B1475),6,2),RIGHT(TRIM(Raw_Export!B1475),2)),DATE(RIGHT(TRIM(Raw_Export!B1475),4),MATCH(MID(TRIM(Raw_Export!B1475),4,3),{"Jan","Feb","Mar","Apr","May","Jun","Jul","Aug","Sep","Oct","Nov","Dec"},0),LEFT(TRIM(Raw_Export!B1475),2)))))</f>
        <v>46274</v>
      </c>
      <c r="C1475" s="36" t="str">
        <f aca="false">IF(Raw_Export!$A1475="","",IFERROR(VLOOKUP(LOWER(TRIM(Raw_Export!C1475)),Maps!$A$2:$B$20,2,FALSE()),"UNMAPPED"))</f>
        <v>Nakuru</v>
      </c>
      <c r="D1475" s="36" t="str">
        <f aca="false">IF(Raw_Export!$A1475="","",IFERROR(VLOOKUP(LOWER(TRIM(Raw_Export!D1475)),Maps!$G$2:$I$80,2,FALSE()),"UNMAPPED"))</f>
        <v>Deodorant 150ml</v>
      </c>
      <c r="E1475" s="36" t="str">
        <f aca="false">IF(Raw_Export!$A1475="","",IFERROR(VLOOKUP(LOWER(TRIM(Raw_Export!D1475)),Maps!$G$2:$I$80,3,FALSE()),"UNMAPPED"))</f>
        <v>Personal Care</v>
      </c>
      <c r="F1475" s="36" t="n">
        <f aca="false">IF(Raw_Export!$A1475="","",IFERROR(VALUE(TRIM(Raw_Export!E1475)),0))</f>
        <v>1</v>
      </c>
      <c r="G1475" s="38" t="n">
        <f aca="false">IF(Raw_Export!$A1475="","",IFERROR(VALUE(SUBSTITUTE(SUBSTITUTE(UPPER(TRIM(Raw_Export!F1475)),"KES",""),",","")),0))</f>
        <v>350</v>
      </c>
      <c r="H1475" s="38" t="n">
        <f aca="false">IF(Raw_Export!$A1475="","",F1475*G1475)</f>
        <v>350</v>
      </c>
      <c r="I1475" s="36" t="str">
        <f aca="false">IF(Raw_Export!$A1475="","",IFERROR(VLOOKUP(LOWER(TRIM(Raw_Export!H1475)),Maps!$D$2:$E$12,2,FALSE()),"Other"))</f>
        <v>Cash</v>
      </c>
      <c r="J1475" s="36" t="str">
        <f aca="false">IF(Raw_Export!$A1475="","",IF(COUNTIF($A$2:A1475,A1475)&gt;1,"Duplicate",""))</f>
        <v/>
      </c>
      <c r="K1475" s="36" t="str">
        <f aca="false">IF(Raw_Export!$A1475="","",IF(J1475="Duplicate","Duplicate",IF(OR(C1475="UNMAPPED",D1475="UNMAPPED"),"Unmapped",IF(F1475=0,"Blank qty",IF(F1475&lt;0,"Return","OK")))))</f>
        <v>OK</v>
      </c>
      <c r="L1475" s="36" t="n">
        <f aca="false">IF(Raw_Export!$A1475="","",IF(OR(K1475="OK",K1475="Return"),1,0))</f>
        <v>1</v>
      </c>
      <c r="M1475" s="37" t="n">
        <f aca="false">IF(Raw_Export!$A1475="","",B1475-WEEKDAY(B1475,2)+1)</f>
        <v>46272</v>
      </c>
    </row>
    <row r="1476" customFormat="false" ht="15" hidden="false" customHeight="false" outlineLevel="0" collapsed="false">
      <c r="A1476" s="36" t="str">
        <f aca="false">IF(Raw_Export!$A1476="","",TRIM(Raw_Export!A1476))</f>
        <v>TXN-101446</v>
      </c>
      <c r="B1476" s="37" t="n">
        <f aca="false">IF(Raw_Export!$A1476="","",IF(ISNUMBER(Raw_Export!B1476),Raw_Export!B1476,IF(MID(TRIM(Raw_Export!B1476),5,1)="-",DATE(LEFT(TRIM(Raw_Export!B1476),4),MID(TRIM(Raw_Export!B1476),6,2),RIGHT(TRIM(Raw_Export!B1476),2)),DATE(RIGHT(TRIM(Raw_Export!B1476),4),MATCH(MID(TRIM(Raw_Export!B1476),4,3),{"Jan","Feb","Mar","Apr","May","Jun","Jul","Aug","Sep","Oct","Nov","Dec"},0),LEFT(TRIM(Raw_Export!B1476),2)))))</f>
        <v>46274</v>
      </c>
      <c r="C1476" s="36" t="str">
        <f aca="false">IF(Raw_Export!$A1476="","",IFERROR(VLOOKUP(LOWER(TRIM(Raw_Export!C1476)),Maps!$A$2:$B$20,2,FALSE()),"UNMAPPED"))</f>
        <v>Nakuru</v>
      </c>
      <c r="D1476" s="36" t="str">
        <f aca="false">IF(Raw_Export!$A1476="","",IFERROR(VLOOKUP(LOWER(TRIM(Raw_Export!D1476)),Maps!$G$2:$I$80,2,FALSE()),"UNMAPPED"))</f>
        <v>Biscuits 200g</v>
      </c>
      <c r="E1476" s="36" t="str">
        <f aca="false">IF(Raw_Export!$A1476="","",IFERROR(VLOOKUP(LOWER(TRIM(Raw_Export!D1476)),Maps!$G$2:$I$80,3,FALSE()),"UNMAPPED"))</f>
        <v>Snacks</v>
      </c>
      <c r="F1476" s="36" t="n">
        <f aca="false">IF(Raw_Export!$A1476="","",IFERROR(VALUE(TRIM(Raw_Export!E1476)),0))</f>
        <v>1</v>
      </c>
      <c r="G1476" s="38" t="n">
        <f aca="false">IF(Raw_Export!$A1476="","",IFERROR(VALUE(SUBSTITUTE(SUBSTITUTE(UPPER(TRIM(Raw_Export!F1476)),"KES",""),",","")),0))</f>
        <v>95</v>
      </c>
      <c r="H1476" s="38" t="n">
        <f aca="false">IF(Raw_Export!$A1476="","",F1476*G1476)</f>
        <v>95</v>
      </c>
      <c r="I1476" s="36" t="str">
        <f aca="false">IF(Raw_Export!$A1476="","",IFERROR(VLOOKUP(LOWER(TRIM(Raw_Export!H1476)),Maps!$D$2:$E$12,2,FALSE()),"Other"))</f>
        <v>Cash</v>
      </c>
      <c r="J1476" s="36" t="str">
        <f aca="false">IF(Raw_Export!$A1476="","",IF(COUNTIF($A$2:A1476,A1476)&gt;1,"Duplicate",""))</f>
        <v>Duplicate</v>
      </c>
      <c r="K1476" s="36" t="str">
        <f aca="false">IF(Raw_Export!$A1476="","",IF(J1476="Duplicate","Duplicate",IF(OR(C1476="UNMAPPED",D1476="UNMAPPED"),"Unmapped",IF(F1476=0,"Blank qty",IF(F1476&lt;0,"Return","OK")))))</f>
        <v>Duplicate</v>
      </c>
      <c r="L1476" s="36" t="n">
        <f aca="false">IF(Raw_Export!$A1476="","",IF(OR(K1476="OK",K1476="Return"),1,0))</f>
        <v>0</v>
      </c>
      <c r="M1476" s="37" t="n">
        <f aca="false">IF(Raw_Export!$A1476="","",B1476-WEEKDAY(B1476,2)+1)</f>
        <v>46272</v>
      </c>
    </row>
    <row r="1477" customFormat="false" ht="15" hidden="false" customHeight="false" outlineLevel="0" collapsed="false">
      <c r="A1477" s="36" t="str">
        <f aca="false">IF(Raw_Export!$A1477="","",TRIM(Raw_Export!A1477))</f>
        <v>TXN-101447</v>
      </c>
      <c r="B1477" s="37" t="n">
        <f aca="false">IF(Raw_Export!$A1477="","",IF(ISNUMBER(Raw_Export!B1477),Raw_Export!B1477,IF(MID(TRIM(Raw_Export!B1477),5,1)="-",DATE(LEFT(TRIM(Raw_Export!B1477),4),MID(TRIM(Raw_Export!B1477),6,2),RIGHT(TRIM(Raw_Export!B1477),2)),DATE(RIGHT(TRIM(Raw_Export!B1477),4),MATCH(MID(TRIM(Raw_Export!B1477),4,3),{"Jan","Feb","Mar","Apr","May","Jun","Jul","Aug","Sep","Oct","Nov","Dec"},0),LEFT(TRIM(Raw_Export!B1477),2)))))</f>
        <v>46274</v>
      </c>
      <c r="C1477" s="36" t="str">
        <f aca="false">IF(Raw_Export!$A1477="","",IFERROR(VLOOKUP(LOWER(TRIM(Raw_Export!C1477)),Maps!$A$2:$B$20,2,FALSE()),"UNMAPPED"))</f>
        <v>Nakuru</v>
      </c>
      <c r="D1477" s="36" t="str">
        <f aca="false">IF(Raw_Export!$A1477="","",IFERROR(VLOOKUP(LOWER(TRIM(Raw_Export!D1477)),Maps!$G$2:$I$80,2,FALSE()),"UNMAPPED"))</f>
        <v>Tea Leaves 250g</v>
      </c>
      <c r="E1477" s="36" t="str">
        <f aca="false">IF(Raw_Export!$A1477="","",IFERROR(VLOOKUP(LOWER(TRIM(Raw_Export!D1477)),Maps!$G$2:$I$80,3,FALSE()),"UNMAPPED"))</f>
        <v>Beverages</v>
      </c>
      <c r="F1477" s="36" t="n">
        <f aca="false">IF(Raw_Export!$A1477="","",IFERROR(VALUE(TRIM(Raw_Export!E1477)),0))</f>
        <v>2</v>
      </c>
      <c r="G1477" s="38" t="n">
        <f aca="false">IF(Raw_Export!$A1477="","",IFERROR(VALUE(SUBSTITUTE(SUBSTITUTE(UPPER(TRIM(Raw_Export!F1477)),"KES",""),",","")),0))</f>
        <v>150</v>
      </c>
      <c r="H1477" s="38" t="n">
        <f aca="false">IF(Raw_Export!$A1477="","",F1477*G1477)</f>
        <v>300</v>
      </c>
      <c r="I1477" s="36" t="str">
        <f aca="false">IF(Raw_Export!$A1477="","",IFERROR(VLOOKUP(LOWER(TRIM(Raw_Export!H1477)),Maps!$D$2:$E$12,2,FALSE()),"Other"))</f>
        <v>M-Pesa</v>
      </c>
      <c r="J1477" s="36" t="str">
        <f aca="false">IF(Raw_Export!$A1477="","",IF(COUNTIF($A$2:A1477,A1477)&gt;1,"Duplicate",""))</f>
        <v/>
      </c>
      <c r="K1477" s="36" t="str">
        <f aca="false">IF(Raw_Export!$A1477="","",IF(J1477="Duplicate","Duplicate",IF(OR(C1477="UNMAPPED",D1477="UNMAPPED"),"Unmapped",IF(F1477=0,"Blank qty",IF(F1477&lt;0,"Return","OK")))))</f>
        <v>OK</v>
      </c>
      <c r="L1477" s="36" t="n">
        <f aca="false">IF(Raw_Export!$A1477="","",IF(OR(K1477="OK",K1477="Return"),1,0))</f>
        <v>1</v>
      </c>
      <c r="M1477" s="37" t="n">
        <f aca="false">IF(Raw_Export!$A1477="","",B1477-WEEKDAY(B1477,2)+1)</f>
        <v>46272</v>
      </c>
    </row>
    <row r="1478" customFormat="false" ht="15" hidden="false" customHeight="false" outlineLevel="0" collapsed="false">
      <c r="A1478" s="36" t="str">
        <f aca="false">IF(Raw_Export!$A1478="","",TRIM(Raw_Export!A1478))</f>
        <v>TXN-101448</v>
      </c>
      <c r="B1478" s="37" t="n">
        <f aca="false">IF(Raw_Export!$A1478="","",IF(ISNUMBER(Raw_Export!B1478),Raw_Export!B1478,IF(MID(TRIM(Raw_Export!B1478),5,1)="-",DATE(LEFT(TRIM(Raw_Export!B1478),4),MID(TRIM(Raw_Export!B1478),6,2),RIGHT(TRIM(Raw_Export!B1478),2)),DATE(RIGHT(TRIM(Raw_Export!B1478),4),MATCH(MID(TRIM(Raw_Export!B1478),4,3),{"Jan","Feb","Mar","Apr","May","Jun","Jul","Aug","Sep","Oct","Nov","Dec"},0),LEFT(TRIM(Raw_Export!B1478),2)))))</f>
        <v>46274</v>
      </c>
      <c r="C1478" s="36" t="str">
        <f aca="false">IF(Raw_Export!$A1478="","",IFERROR(VLOOKUP(LOWER(TRIM(Raw_Export!C1478)),Maps!$A$2:$B$20,2,FALSE()),"UNMAPPED"))</f>
        <v>Nakuru</v>
      </c>
      <c r="D1478" s="36" t="str">
        <f aca="false">IF(Raw_Export!$A1478="","",IFERROR(VLOOKUP(LOWER(TRIM(Raw_Export!D1478)),Maps!$G$2:$I$80,2,FALSE()),"UNMAPPED"))</f>
        <v>Bath Soap 175g</v>
      </c>
      <c r="E1478" s="36" t="str">
        <f aca="false">IF(Raw_Export!$A1478="","",IFERROR(VLOOKUP(LOWER(TRIM(Raw_Export!D1478)),Maps!$G$2:$I$80,3,FALSE()),"UNMAPPED"))</f>
        <v>Personal Care</v>
      </c>
      <c r="F1478" s="36" t="n">
        <f aca="false">IF(Raw_Export!$A1478="","",IFERROR(VALUE(TRIM(Raw_Export!E1478)),0))</f>
        <v>1</v>
      </c>
      <c r="G1478" s="38" t="n">
        <f aca="false">IF(Raw_Export!$A1478="","",IFERROR(VALUE(SUBSTITUTE(SUBSTITUTE(UPPER(TRIM(Raw_Export!F1478)),"KES",""),",","")),0))</f>
        <v>85</v>
      </c>
      <c r="H1478" s="38" t="n">
        <f aca="false">IF(Raw_Export!$A1478="","",F1478*G1478)</f>
        <v>85</v>
      </c>
      <c r="I1478" s="36" t="str">
        <f aca="false">IF(Raw_Export!$A1478="","",IFERROR(VLOOKUP(LOWER(TRIM(Raw_Export!H1478)),Maps!$D$2:$E$12,2,FALSE()),"Other"))</f>
        <v>Cash</v>
      </c>
      <c r="J1478" s="36" t="str">
        <f aca="false">IF(Raw_Export!$A1478="","",IF(COUNTIF($A$2:A1478,A1478)&gt;1,"Duplicate",""))</f>
        <v/>
      </c>
      <c r="K1478" s="36" t="str">
        <f aca="false">IF(Raw_Export!$A1478="","",IF(J1478="Duplicate","Duplicate",IF(OR(C1478="UNMAPPED",D1478="UNMAPPED"),"Unmapped",IF(F1478=0,"Blank qty",IF(F1478&lt;0,"Return","OK")))))</f>
        <v>OK</v>
      </c>
      <c r="L1478" s="36" t="n">
        <f aca="false">IF(Raw_Export!$A1478="","",IF(OR(K1478="OK",K1478="Return"),1,0))</f>
        <v>1</v>
      </c>
      <c r="M1478" s="37" t="n">
        <f aca="false">IF(Raw_Export!$A1478="","",B1478-WEEKDAY(B1478,2)+1)</f>
        <v>46272</v>
      </c>
    </row>
    <row r="1479" customFormat="false" ht="15" hidden="false" customHeight="false" outlineLevel="0" collapsed="false">
      <c r="A1479" s="36" t="str">
        <f aca="false">IF(Raw_Export!$A1479="","",TRIM(Raw_Export!A1479))</f>
        <v>TXN-101449</v>
      </c>
      <c r="B1479" s="37" t="n">
        <f aca="false">IF(Raw_Export!$A1479="","",IF(ISNUMBER(Raw_Export!B1479),Raw_Export!B1479,IF(MID(TRIM(Raw_Export!B1479),5,1)="-",DATE(LEFT(TRIM(Raw_Export!B1479),4),MID(TRIM(Raw_Export!B1479),6,2),RIGHT(TRIM(Raw_Export!B1479),2)),DATE(RIGHT(TRIM(Raw_Export!B1479),4),MATCH(MID(TRIM(Raw_Export!B1479),4,3),{"Jan","Feb","Mar","Apr","May","Jun","Jul","Aug","Sep","Oct","Nov","Dec"},0),LEFT(TRIM(Raw_Export!B1479),2)))))</f>
        <v>46274</v>
      </c>
      <c r="C1479" s="36" t="str">
        <f aca="false">IF(Raw_Export!$A1479="","",IFERROR(VLOOKUP(LOWER(TRIM(Raw_Export!C1479)),Maps!$A$2:$B$20,2,FALSE()),"UNMAPPED"))</f>
        <v>Nakuru</v>
      </c>
      <c r="D1479" s="36" t="str">
        <f aca="false">IF(Raw_Export!$A1479="","",IFERROR(VLOOKUP(LOWER(TRIM(Raw_Export!D1479)),Maps!$G$2:$I$80,2,FALSE()),"UNMAPPED"))</f>
        <v>Washing Powder 1kg</v>
      </c>
      <c r="E1479" s="36" t="str">
        <f aca="false">IF(Raw_Export!$A1479="","",IFERROR(VLOOKUP(LOWER(TRIM(Raw_Export!D1479)),Maps!$G$2:$I$80,3,FALSE()),"UNMAPPED"))</f>
        <v>Household</v>
      </c>
      <c r="F1479" s="36" t="n">
        <f aca="false">IF(Raw_Export!$A1479="","",IFERROR(VALUE(TRIM(Raw_Export!E1479)),0))</f>
        <v>1</v>
      </c>
      <c r="G1479" s="38" t="n">
        <f aca="false">IF(Raw_Export!$A1479="","",IFERROR(VALUE(SUBSTITUTE(SUBSTITUTE(UPPER(TRIM(Raw_Export!F1479)),"KES",""),",","")),0))</f>
        <v>280</v>
      </c>
      <c r="H1479" s="38" t="n">
        <f aca="false">IF(Raw_Export!$A1479="","",F1479*G1479)</f>
        <v>280</v>
      </c>
      <c r="I1479" s="36" t="str">
        <f aca="false">IF(Raw_Export!$A1479="","",IFERROR(VLOOKUP(LOWER(TRIM(Raw_Export!H1479)),Maps!$D$2:$E$12,2,FALSE()),"Other"))</f>
        <v>M-Pesa</v>
      </c>
      <c r="J1479" s="36" t="str">
        <f aca="false">IF(Raw_Export!$A1479="","",IF(COUNTIF($A$2:A1479,A1479)&gt;1,"Duplicate",""))</f>
        <v/>
      </c>
      <c r="K1479" s="36" t="str">
        <f aca="false">IF(Raw_Export!$A1479="","",IF(J1479="Duplicate","Duplicate",IF(OR(C1479="UNMAPPED",D1479="UNMAPPED"),"Unmapped",IF(F1479=0,"Blank qty",IF(F1479&lt;0,"Return","OK")))))</f>
        <v>OK</v>
      </c>
      <c r="L1479" s="36" t="n">
        <f aca="false">IF(Raw_Export!$A1479="","",IF(OR(K1479="OK",K1479="Return"),1,0))</f>
        <v>1</v>
      </c>
      <c r="M1479" s="37" t="n">
        <f aca="false">IF(Raw_Export!$A1479="","",B1479-WEEKDAY(B1479,2)+1)</f>
        <v>46272</v>
      </c>
    </row>
    <row r="1480" customFormat="false" ht="15" hidden="false" customHeight="false" outlineLevel="0" collapsed="false">
      <c r="A1480" s="36" t="str">
        <f aca="false">IF(Raw_Export!$A1480="","",TRIM(Raw_Export!A1480))</f>
        <v>TXN-101450</v>
      </c>
      <c r="B1480" s="37" t="n">
        <f aca="false">IF(Raw_Export!$A1480="","",IF(ISNUMBER(Raw_Export!B1480),Raw_Export!B1480,IF(MID(TRIM(Raw_Export!B1480),5,1)="-",DATE(LEFT(TRIM(Raw_Export!B1480),4),MID(TRIM(Raw_Export!B1480),6,2),RIGHT(TRIM(Raw_Export!B1480),2)),DATE(RIGHT(TRIM(Raw_Export!B1480),4),MATCH(MID(TRIM(Raw_Export!B1480),4,3),{"Jan","Feb","Mar","Apr","May","Jun","Jul","Aug","Sep","Oct","Nov","Dec"},0),LEFT(TRIM(Raw_Export!B1480),2)))))</f>
        <v>46274</v>
      </c>
      <c r="C1480" s="36" t="str">
        <f aca="false">IF(Raw_Export!$A1480="","",IFERROR(VLOOKUP(LOWER(TRIM(Raw_Export!C1480)),Maps!$A$2:$B$20,2,FALSE()),"UNMAPPED"))</f>
        <v>Nakuru</v>
      </c>
      <c r="D1480" s="36" t="str">
        <f aca="false">IF(Raw_Export!$A1480="","",IFERROR(VLOOKUP(LOWER(TRIM(Raw_Export!D1480)),Maps!$G$2:$I$80,2,FALSE()),"UNMAPPED"))</f>
        <v>Spaghetti 400g</v>
      </c>
      <c r="E1480" s="36" t="str">
        <f aca="false">IF(Raw_Export!$A1480="","",IFERROR(VLOOKUP(LOWER(TRIM(Raw_Export!D1480)),Maps!$G$2:$I$80,3,FALSE()),"UNMAPPED"))</f>
        <v>Staples</v>
      </c>
      <c r="F1480" s="36" t="n">
        <f aca="false">IF(Raw_Export!$A1480="","",IFERROR(VALUE(TRIM(Raw_Export!E1480)),0))</f>
        <v>1</v>
      </c>
      <c r="G1480" s="38" t="n">
        <f aca="false">IF(Raw_Export!$A1480="","",IFERROR(VALUE(SUBSTITUTE(SUBSTITUTE(UPPER(TRIM(Raw_Export!F1480)),"KES",""),",","")),0))</f>
        <v>110</v>
      </c>
      <c r="H1480" s="38" t="n">
        <f aca="false">IF(Raw_Export!$A1480="","",F1480*G1480)</f>
        <v>110</v>
      </c>
      <c r="I1480" s="36" t="str">
        <f aca="false">IF(Raw_Export!$A1480="","",IFERROR(VLOOKUP(LOWER(TRIM(Raw_Export!H1480)),Maps!$D$2:$E$12,2,FALSE()),"Other"))</f>
        <v>Cash</v>
      </c>
      <c r="J1480" s="36" t="str">
        <f aca="false">IF(Raw_Export!$A1480="","",IF(COUNTIF($A$2:A1480,A1480)&gt;1,"Duplicate",""))</f>
        <v/>
      </c>
      <c r="K1480" s="36" t="str">
        <f aca="false">IF(Raw_Export!$A1480="","",IF(J1480="Duplicate","Duplicate",IF(OR(C1480="UNMAPPED",D1480="UNMAPPED"),"Unmapped",IF(F1480=0,"Blank qty",IF(F1480&lt;0,"Return","OK")))))</f>
        <v>OK</v>
      </c>
      <c r="L1480" s="36" t="n">
        <f aca="false">IF(Raw_Export!$A1480="","",IF(OR(K1480="OK",K1480="Return"),1,0))</f>
        <v>1</v>
      </c>
      <c r="M1480" s="37" t="n">
        <f aca="false">IF(Raw_Export!$A1480="","",B1480-WEEKDAY(B1480,2)+1)</f>
        <v>46272</v>
      </c>
    </row>
    <row r="1481" customFormat="false" ht="15" hidden="false" customHeight="false" outlineLevel="0" collapsed="false">
      <c r="A1481" s="36" t="str">
        <f aca="false">IF(Raw_Export!$A1481="","",TRIM(Raw_Export!A1481))</f>
        <v>TXN-101451</v>
      </c>
      <c r="B1481" s="37" t="n">
        <f aca="false">IF(Raw_Export!$A1481="","",IF(ISNUMBER(Raw_Export!B1481),Raw_Export!B1481,IF(MID(TRIM(Raw_Export!B1481),5,1)="-",DATE(LEFT(TRIM(Raw_Export!B1481),4),MID(TRIM(Raw_Export!B1481),6,2),RIGHT(TRIM(Raw_Export!B1481),2)),DATE(RIGHT(TRIM(Raw_Export!B1481),4),MATCH(MID(TRIM(Raw_Export!B1481),4,3),{"Jan","Feb","Mar","Apr","May","Jun","Jul","Aug","Sep","Oct","Nov","Dec"},0),LEFT(TRIM(Raw_Export!B1481),2)))))</f>
        <v>46274</v>
      </c>
      <c r="C1481" s="36" t="str">
        <f aca="false">IF(Raw_Export!$A1481="","",IFERROR(VLOOKUP(LOWER(TRIM(Raw_Export!C1481)),Maps!$A$2:$B$20,2,FALSE()),"UNMAPPED"))</f>
        <v>Nakuru</v>
      </c>
      <c r="D1481" s="36" t="str">
        <f aca="false">IF(Raw_Export!$A1481="","",IFERROR(VLOOKUP(LOWER(TRIM(Raw_Export!D1481)),Maps!$G$2:$I$80,2,FALSE()),"UNMAPPED"))</f>
        <v>Cooking Oil 1L</v>
      </c>
      <c r="E1481" s="36" t="str">
        <f aca="false">IF(Raw_Export!$A1481="","",IFERROR(VLOOKUP(LOWER(TRIM(Raw_Export!D1481)),Maps!$G$2:$I$80,3,FALSE()),"UNMAPPED"))</f>
        <v>Staples</v>
      </c>
      <c r="F1481" s="36" t="n">
        <f aca="false">IF(Raw_Export!$A1481="","",IFERROR(VALUE(TRIM(Raw_Export!E1481)),0))</f>
        <v>6</v>
      </c>
      <c r="G1481" s="38" t="n">
        <f aca="false">IF(Raw_Export!$A1481="","",IFERROR(VALUE(SUBSTITUTE(SUBSTITUTE(UPPER(TRIM(Raw_Export!F1481)),"KES",""),",","")),0))</f>
        <v>297</v>
      </c>
      <c r="H1481" s="38" t="n">
        <f aca="false">IF(Raw_Export!$A1481="","",F1481*G1481)</f>
        <v>1782</v>
      </c>
      <c r="I1481" s="36" t="str">
        <f aca="false">IF(Raw_Export!$A1481="","",IFERROR(VLOOKUP(LOWER(TRIM(Raw_Export!H1481)),Maps!$D$2:$E$12,2,FALSE()),"Other"))</f>
        <v>M-Pesa</v>
      </c>
      <c r="J1481" s="36" t="str">
        <f aca="false">IF(Raw_Export!$A1481="","",IF(COUNTIF($A$2:A1481,A1481)&gt;1,"Duplicate",""))</f>
        <v/>
      </c>
      <c r="K1481" s="36" t="str">
        <f aca="false">IF(Raw_Export!$A1481="","",IF(J1481="Duplicate","Duplicate",IF(OR(C1481="UNMAPPED",D1481="UNMAPPED"),"Unmapped",IF(F1481=0,"Blank qty",IF(F1481&lt;0,"Return","OK")))))</f>
        <v>OK</v>
      </c>
      <c r="L1481" s="36" t="n">
        <f aca="false">IF(Raw_Export!$A1481="","",IF(OR(K1481="OK",K1481="Return"),1,0))</f>
        <v>1</v>
      </c>
      <c r="M1481" s="37" t="n">
        <f aca="false">IF(Raw_Export!$A1481="","",B1481-WEEKDAY(B1481,2)+1)</f>
        <v>46272</v>
      </c>
    </row>
    <row r="1482" customFormat="false" ht="15" hidden="false" customHeight="false" outlineLevel="0" collapsed="false">
      <c r="A1482" s="36" t="str">
        <f aca="false">IF(Raw_Export!$A1482="","",TRIM(Raw_Export!A1482))</f>
        <v>TXN-101452</v>
      </c>
      <c r="B1482" s="37" t="n">
        <f aca="false">IF(Raw_Export!$A1482="","",IF(ISNUMBER(Raw_Export!B1482),Raw_Export!B1482,IF(MID(TRIM(Raw_Export!B1482),5,1)="-",DATE(LEFT(TRIM(Raw_Export!B1482),4),MID(TRIM(Raw_Export!B1482),6,2),RIGHT(TRIM(Raw_Export!B1482),2)),DATE(RIGHT(TRIM(Raw_Export!B1482),4),MATCH(MID(TRIM(Raw_Export!B1482),4,3),{"Jan","Feb","Mar","Apr","May","Jun","Jul","Aug","Sep","Oct","Nov","Dec"},0),LEFT(TRIM(Raw_Export!B1482),2)))))</f>
        <v>46274</v>
      </c>
      <c r="C1482" s="36" t="str">
        <f aca="false">IF(Raw_Export!$A1482="","",IFERROR(VLOOKUP(LOWER(TRIM(Raw_Export!C1482)),Maps!$A$2:$B$20,2,FALSE()),"UNMAPPED"))</f>
        <v>Nakuru</v>
      </c>
      <c r="D1482" s="36" t="str">
        <f aca="false">IF(Raw_Export!$A1482="","",IFERROR(VLOOKUP(LOWER(TRIM(Raw_Export!D1482)),Maps!$G$2:$I$80,2,FALSE()),"UNMAPPED"))</f>
        <v>Unga Pembe 2kg</v>
      </c>
      <c r="E1482" s="36" t="str">
        <f aca="false">IF(Raw_Export!$A1482="","",IFERROR(VLOOKUP(LOWER(TRIM(Raw_Export!D1482)),Maps!$G$2:$I$80,3,FALSE()),"UNMAPPED"))</f>
        <v>Staples</v>
      </c>
      <c r="F1482" s="36" t="n">
        <f aca="false">IF(Raw_Export!$A1482="","",IFERROR(VALUE(TRIM(Raw_Export!E1482)),0))</f>
        <v>4</v>
      </c>
      <c r="G1482" s="38" t="n">
        <f aca="false">IF(Raw_Export!$A1482="","",IFERROR(VALUE(SUBSTITUTE(SUBSTITUTE(UPPER(TRIM(Raw_Export!F1482)),"KES",""),",","")),0))</f>
        <v>190</v>
      </c>
      <c r="H1482" s="38" t="n">
        <f aca="false">IF(Raw_Export!$A1482="","",F1482*G1482)</f>
        <v>760</v>
      </c>
      <c r="I1482" s="36" t="str">
        <f aca="false">IF(Raw_Export!$A1482="","",IFERROR(VLOOKUP(LOWER(TRIM(Raw_Export!H1482)),Maps!$D$2:$E$12,2,FALSE()),"Other"))</f>
        <v>M-Pesa</v>
      </c>
      <c r="J1482" s="36" t="str">
        <f aca="false">IF(Raw_Export!$A1482="","",IF(COUNTIF($A$2:A1482,A1482)&gt;1,"Duplicate",""))</f>
        <v/>
      </c>
      <c r="K1482" s="36" t="str">
        <f aca="false">IF(Raw_Export!$A1482="","",IF(J1482="Duplicate","Duplicate",IF(OR(C1482="UNMAPPED",D1482="UNMAPPED"),"Unmapped",IF(F1482=0,"Blank qty",IF(F1482&lt;0,"Return","OK")))))</f>
        <v>OK</v>
      </c>
      <c r="L1482" s="36" t="n">
        <f aca="false">IF(Raw_Export!$A1482="","",IF(OR(K1482="OK",K1482="Return"),1,0))</f>
        <v>1</v>
      </c>
      <c r="M1482" s="37" t="n">
        <f aca="false">IF(Raw_Export!$A1482="","",B1482-WEEKDAY(B1482,2)+1)</f>
        <v>46272</v>
      </c>
    </row>
    <row r="1483" customFormat="false" ht="15" hidden="false" customHeight="false" outlineLevel="0" collapsed="false">
      <c r="A1483" s="36" t="str">
        <f aca="false">IF(Raw_Export!$A1483="","",TRIM(Raw_Export!A1483))</f>
        <v>TXN-101453</v>
      </c>
      <c r="B1483" s="37" t="n">
        <f aca="false">IF(Raw_Export!$A1483="","",IF(ISNUMBER(Raw_Export!B1483),Raw_Export!B1483,IF(MID(TRIM(Raw_Export!B1483),5,1)="-",DATE(LEFT(TRIM(Raw_Export!B1483),4),MID(TRIM(Raw_Export!B1483),6,2),RIGHT(TRIM(Raw_Export!B1483),2)),DATE(RIGHT(TRIM(Raw_Export!B1483),4),MATCH(MID(TRIM(Raw_Export!B1483),4,3),{"Jan","Feb","Mar","Apr","May","Jun","Jul","Aug","Sep","Oct","Nov","Dec"},0),LEFT(TRIM(Raw_Export!B1483),2)))))</f>
        <v>46274</v>
      </c>
      <c r="C1483" s="36" t="str">
        <f aca="false">IF(Raw_Export!$A1483="","",IFERROR(VLOOKUP(LOWER(TRIM(Raw_Export!C1483)),Maps!$A$2:$B$20,2,FALSE()),"UNMAPPED"))</f>
        <v>Nakuru</v>
      </c>
      <c r="D1483" s="36" t="str">
        <f aca="false">IF(Raw_Export!$A1483="","",IFERROR(VLOOKUP(LOWER(TRIM(Raw_Export!D1483)),Maps!$G$2:$I$80,2,FALSE()),"UNMAPPED"))</f>
        <v>Peanuts 250g</v>
      </c>
      <c r="E1483" s="36" t="str">
        <f aca="false">IF(Raw_Export!$A1483="","",IFERROR(VLOOKUP(LOWER(TRIM(Raw_Export!D1483)),Maps!$G$2:$I$80,3,FALSE()),"UNMAPPED"))</f>
        <v>Snacks</v>
      </c>
      <c r="F1483" s="36" t="n">
        <f aca="false">IF(Raw_Export!$A1483="","",IFERROR(VALUE(TRIM(Raw_Export!E1483)),0))</f>
        <v>2</v>
      </c>
      <c r="G1483" s="38" t="n">
        <f aca="false">IF(Raw_Export!$A1483="","",IFERROR(VALUE(SUBSTITUTE(SUBSTITUTE(UPPER(TRIM(Raw_Export!F1483)),"KES",""),",","")),0))</f>
        <v>130</v>
      </c>
      <c r="H1483" s="38" t="n">
        <f aca="false">IF(Raw_Export!$A1483="","",F1483*G1483)</f>
        <v>260</v>
      </c>
      <c r="I1483" s="36" t="str">
        <f aca="false">IF(Raw_Export!$A1483="","",IFERROR(VLOOKUP(LOWER(TRIM(Raw_Export!H1483)),Maps!$D$2:$E$12,2,FALSE()),"Other"))</f>
        <v>Cash</v>
      </c>
      <c r="J1483" s="36" t="str">
        <f aca="false">IF(Raw_Export!$A1483="","",IF(COUNTIF($A$2:A1483,A1483)&gt;1,"Duplicate",""))</f>
        <v/>
      </c>
      <c r="K1483" s="36" t="str">
        <f aca="false">IF(Raw_Export!$A1483="","",IF(J1483="Duplicate","Duplicate",IF(OR(C1483="UNMAPPED",D1483="UNMAPPED"),"Unmapped",IF(F1483=0,"Blank qty",IF(F1483&lt;0,"Return","OK")))))</f>
        <v>OK</v>
      </c>
      <c r="L1483" s="36" t="n">
        <f aca="false">IF(Raw_Export!$A1483="","",IF(OR(K1483="OK",K1483="Return"),1,0))</f>
        <v>1</v>
      </c>
      <c r="M1483" s="37" t="n">
        <f aca="false">IF(Raw_Export!$A1483="","",B1483-WEEKDAY(B1483,2)+1)</f>
        <v>46272</v>
      </c>
    </row>
    <row r="1484" customFormat="false" ht="15" hidden="false" customHeight="false" outlineLevel="0" collapsed="false">
      <c r="A1484" s="36" t="str">
        <f aca="false">IF(Raw_Export!$A1484="","",TRIM(Raw_Export!A1484))</f>
        <v>TXN-101454</v>
      </c>
      <c r="B1484" s="37" t="n">
        <f aca="false">IF(Raw_Export!$A1484="","",IF(ISNUMBER(Raw_Export!B1484),Raw_Export!B1484,IF(MID(TRIM(Raw_Export!B1484),5,1)="-",DATE(LEFT(TRIM(Raw_Export!B1484),4),MID(TRIM(Raw_Export!B1484),6,2),RIGHT(TRIM(Raw_Export!B1484),2)),DATE(RIGHT(TRIM(Raw_Export!B1484),4),MATCH(MID(TRIM(Raw_Export!B1484),4,3),{"Jan","Feb","Mar","Apr","May","Jun","Jul","Aug","Sep","Oct","Nov","Dec"},0),LEFT(TRIM(Raw_Export!B1484),2)))))</f>
        <v>46274</v>
      </c>
      <c r="C1484" s="36" t="str">
        <f aca="false">IF(Raw_Export!$A1484="","",IFERROR(VLOOKUP(LOWER(TRIM(Raw_Export!C1484)),Maps!$A$2:$B$20,2,FALSE()),"UNMAPPED"))</f>
        <v>Nakuru</v>
      </c>
      <c r="D1484" s="36" t="str">
        <f aca="false">IF(Raw_Export!$A1484="","",IFERROR(VLOOKUP(LOWER(TRIM(Raw_Export!D1484)),Maps!$G$2:$I$80,2,FALSE()),"UNMAPPED"))</f>
        <v>Peanuts 250g</v>
      </c>
      <c r="E1484" s="36" t="str">
        <f aca="false">IF(Raw_Export!$A1484="","",IFERROR(VLOOKUP(LOWER(TRIM(Raw_Export!D1484)),Maps!$G$2:$I$80,3,FALSE()),"UNMAPPED"))</f>
        <v>Snacks</v>
      </c>
      <c r="F1484" s="36" t="n">
        <f aca="false">IF(Raw_Export!$A1484="","",IFERROR(VALUE(TRIM(Raw_Export!E1484)),0))</f>
        <v>3</v>
      </c>
      <c r="G1484" s="38" t="n">
        <f aca="false">IF(Raw_Export!$A1484="","",IFERROR(VALUE(SUBSTITUTE(SUBSTITUTE(UPPER(TRIM(Raw_Export!F1484)),"KES",""),",","")),0))</f>
        <v>130</v>
      </c>
      <c r="H1484" s="38" t="n">
        <f aca="false">IF(Raw_Export!$A1484="","",F1484*G1484)</f>
        <v>390</v>
      </c>
      <c r="I1484" s="36" t="str">
        <f aca="false">IF(Raw_Export!$A1484="","",IFERROR(VLOOKUP(LOWER(TRIM(Raw_Export!H1484)),Maps!$D$2:$E$12,2,FALSE()),"Other"))</f>
        <v>Cash</v>
      </c>
      <c r="J1484" s="36" t="str">
        <f aca="false">IF(Raw_Export!$A1484="","",IF(COUNTIF($A$2:A1484,A1484)&gt;1,"Duplicate",""))</f>
        <v/>
      </c>
      <c r="K1484" s="36" t="str">
        <f aca="false">IF(Raw_Export!$A1484="","",IF(J1484="Duplicate","Duplicate",IF(OR(C1484="UNMAPPED",D1484="UNMAPPED"),"Unmapped",IF(F1484=0,"Blank qty",IF(F1484&lt;0,"Return","OK")))))</f>
        <v>OK</v>
      </c>
      <c r="L1484" s="36" t="n">
        <f aca="false">IF(Raw_Export!$A1484="","",IF(OR(K1484="OK",K1484="Return"),1,0))</f>
        <v>1</v>
      </c>
      <c r="M1484" s="37" t="n">
        <f aca="false">IF(Raw_Export!$A1484="","",B1484-WEEKDAY(B1484,2)+1)</f>
        <v>46272</v>
      </c>
    </row>
    <row r="1485" customFormat="false" ht="15" hidden="false" customHeight="false" outlineLevel="0" collapsed="false">
      <c r="A1485" s="36" t="str">
        <f aca="false">IF(Raw_Export!$A1485="","",TRIM(Raw_Export!A1485))</f>
        <v>TXN-101455</v>
      </c>
      <c r="B1485" s="37" t="n">
        <f aca="false">IF(Raw_Export!$A1485="","",IF(ISNUMBER(Raw_Export!B1485),Raw_Export!B1485,IF(MID(TRIM(Raw_Export!B1485),5,1)="-",DATE(LEFT(TRIM(Raw_Export!B1485),4),MID(TRIM(Raw_Export!B1485),6,2),RIGHT(TRIM(Raw_Export!B1485),2)),DATE(RIGHT(TRIM(Raw_Export!B1485),4),MATCH(MID(TRIM(Raw_Export!B1485),4,3),{"Jan","Feb","Mar","Apr","May","Jun","Jul","Aug","Sep","Oct","Nov","Dec"},0),LEFT(TRIM(Raw_Export!B1485),2)))))</f>
        <v>46274</v>
      </c>
      <c r="C1485" s="36" t="str">
        <f aca="false">IF(Raw_Export!$A1485="","",IFERROR(VLOOKUP(LOWER(TRIM(Raw_Export!C1485)),Maps!$A$2:$B$20,2,FALSE()),"UNMAPPED"))</f>
        <v>Nakuru</v>
      </c>
      <c r="D1485" s="36" t="str">
        <f aca="false">IF(Raw_Export!$A1485="","",IFERROR(VLOOKUP(LOWER(TRIM(Raw_Export!D1485)),Maps!$G$2:$I$80,2,FALSE()),"UNMAPPED"))</f>
        <v>Bread Loaf 400g</v>
      </c>
      <c r="E1485" s="36" t="str">
        <f aca="false">IF(Raw_Export!$A1485="","",IFERROR(VLOOKUP(LOWER(TRIM(Raw_Export!D1485)),Maps!$G$2:$I$80,3,FALSE()),"UNMAPPED"))</f>
        <v>Snacks</v>
      </c>
      <c r="F1485" s="36" t="n">
        <f aca="false">IF(Raw_Export!$A1485="","",IFERROR(VALUE(TRIM(Raw_Export!E1485)),0))</f>
        <v>1</v>
      </c>
      <c r="G1485" s="38" t="n">
        <f aca="false">IF(Raw_Export!$A1485="","",IFERROR(VALUE(SUBSTITUTE(SUBSTITUTE(UPPER(TRIM(Raw_Export!F1485)),"KES",""),",","")),0))</f>
        <v>65</v>
      </c>
      <c r="H1485" s="38" t="n">
        <f aca="false">IF(Raw_Export!$A1485="","",F1485*G1485)</f>
        <v>65</v>
      </c>
      <c r="I1485" s="36" t="str">
        <f aca="false">IF(Raw_Export!$A1485="","",IFERROR(VLOOKUP(LOWER(TRIM(Raw_Export!H1485)),Maps!$D$2:$E$12,2,FALSE()),"Other"))</f>
        <v>M-Pesa</v>
      </c>
      <c r="J1485" s="36" t="str">
        <f aca="false">IF(Raw_Export!$A1485="","",IF(COUNTIF($A$2:A1485,A1485)&gt;1,"Duplicate",""))</f>
        <v/>
      </c>
      <c r="K1485" s="36" t="str">
        <f aca="false">IF(Raw_Export!$A1485="","",IF(J1485="Duplicate","Duplicate",IF(OR(C1485="UNMAPPED",D1485="UNMAPPED"),"Unmapped",IF(F1485=0,"Blank qty",IF(F1485&lt;0,"Return","OK")))))</f>
        <v>OK</v>
      </c>
      <c r="L1485" s="36" t="n">
        <f aca="false">IF(Raw_Export!$A1485="","",IF(OR(K1485="OK",K1485="Return"),1,0))</f>
        <v>1</v>
      </c>
      <c r="M1485" s="37" t="n">
        <f aca="false">IF(Raw_Export!$A1485="","",B1485-WEEKDAY(B1485,2)+1)</f>
        <v>46272</v>
      </c>
    </row>
    <row r="1486" customFormat="false" ht="15" hidden="false" customHeight="false" outlineLevel="0" collapsed="false">
      <c r="A1486" s="36" t="str">
        <f aca="false">IF(Raw_Export!$A1486="","",TRIM(Raw_Export!A1486))</f>
        <v>TXN-101456</v>
      </c>
      <c r="B1486" s="37" t="n">
        <f aca="false">IF(Raw_Export!$A1486="","",IF(ISNUMBER(Raw_Export!B1486),Raw_Export!B1486,IF(MID(TRIM(Raw_Export!B1486),5,1)="-",DATE(LEFT(TRIM(Raw_Export!B1486),4),MID(TRIM(Raw_Export!B1486),6,2),RIGHT(TRIM(Raw_Export!B1486),2)),DATE(RIGHT(TRIM(Raw_Export!B1486),4),MATCH(MID(TRIM(Raw_Export!B1486),4,3),{"Jan","Feb","Mar","Apr","May","Jun","Jul","Aug","Sep","Oct","Nov","Dec"},0),LEFT(TRIM(Raw_Export!B1486),2)))))</f>
        <v>46274</v>
      </c>
      <c r="C1486" s="36" t="str">
        <f aca="false">IF(Raw_Export!$A1486="","",IFERROR(VLOOKUP(LOWER(TRIM(Raw_Export!C1486)),Maps!$A$2:$B$20,2,FALSE()),"UNMAPPED"))</f>
        <v>Nakuru</v>
      </c>
      <c r="D1486" s="36" t="str">
        <f aca="false">IF(Raw_Export!$A1486="","",IFERROR(VLOOKUP(LOWER(TRIM(Raw_Export!D1486)),Maps!$G$2:$I$80,2,FALSE()),"UNMAPPED"))</f>
        <v>Butter 250g</v>
      </c>
      <c r="E1486" s="36" t="str">
        <f aca="false">IF(Raw_Export!$A1486="","",IFERROR(VLOOKUP(LOWER(TRIM(Raw_Export!D1486)),Maps!$G$2:$I$80,3,FALSE()),"UNMAPPED"))</f>
        <v>Dairy &amp; Eggs</v>
      </c>
      <c r="F1486" s="36" t="n">
        <f aca="false">IF(Raw_Export!$A1486="","",IFERROR(VALUE(TRIM(Raw_Export!E1486)),0))</f>
        <v>6</v>
      </c>
      <c r="G1486" s="38" t="n">
        <f aca="false">IF(Raw_Export!$A1486="","",IFERROR(VALUE(SUBSTITUTE(SUBSTITUTE(UPPER(TRIM(Raw_Export!F1486)),"KES",""),",","")),0))</f>
        <v>310</v>
      </c>
      <c r="H1486" s="38" t="n">
        <f aca="false">IF(Raw_Export!$A1486="","",F1486*G1486)</f>
        <v>1860</v>
      </c>
      <c r="I1486" s="36" t="str">
        <f aca="false">IF(Raw_Export!$A1486="","",IFERROR(VLOOKUP(LOWER(TRIM(Raw_Export!H1486)),Maps!$D$2:$E$12,2,FALSE()),"Other"))</f>
        <v>M-Pesa</v>
      </c>
      <c r="J1486" s="36" t="str">
        <f aca="false">IF(Raw_Export!$A1486="","",IF(COUNTIF($A$2:A1486,A1486)&gt;1,"Duplicate",""))</f>
        <v/>
      </c>
      <c r="K1486" s="36" t="str">
        <f aca="false">IF(Raw_Export!$A1486="","",IF(J1486="Duplicate","Duplicate",IF(OR(C1486="UNMAPPED",D1486="UNMAPPED"),"Unmapped",IF(F1486=0,"Blank qty",IF(F1486&lt;0,"Return","OK")))))</f>
        <v>OK</v>
      </c>
      <c r="L1486" s="36" t="n">
        <f aca="false">IF(Raw_Export!$A1486="","",IF(OR(K1486="OK",K1486="Return"),1,0))</f>
        <v>1</v>
      </c>
      <c r="M1486" s="37" t="n">
        <f aca="false">IF(Raw_Export!$A1486="","",B1486-WEEKDAY(B1486,2)+1)</f>
        <v>46272</v>
      </c>
    </row>
    <row r="1487" customFormat="false" ht="15" hidden="false" customHeight="false" outlineLevel="0" collapsed="false">
      <c r="A1487" s="36" t="str">
        <f aca="false">IF(Raw_Export!$A1487="","",TRIM(Raw_Export!A1487))</f>
        <v>TXN-101457</v>
      </c>
      <c r="B1487" s="37" t="n">
        <f aca="false">IF(Raw_Export!$A1487="","",IF(ISNUMBER(Raw_Export!B1487),Raw_Export!B1487,IF(MID(TRIM(Raw_Export!B1487),5,1)="-",DATE(LEFT(TRIM(Raw_Export!B1487),4),MID(TRIM(Raw_Export!B1487),6,2),RIGHT(TRIM(Raw_Export!B1487),2)),DATE(RIGHT(TRIM(Raw_Export!B1487),4),MATCH(MID(TRIM(Raw_Export!B1487),4,3),{"Jan","Feb","Mar","Apr","May","Jun","Jul","Aug","Sep","Oct","Nov","Dec"},0),LEFT(TRIM(Raw_Export!B1487),2)))))</f>
        <v>46274</v>
      </c>
      <c r="C1487" s="36" t="str">
        <f aca="false">IF(Raw_Export!$A1487="","",IFERROR(VLOOKUP(LOWER(TRIM(Raw_Export!C1487)),Maps!$A$2:$B$20,2,FALSE()),"UNMAPPED"))</f>
        <v>Nakuru</v>
      </c>
      <c r="D1487" s="36" t="str">
        <f aca="false">IF(Raw_Export!$A1487="","",IFERROR(VLOOKUP(LOWER(TRIM(Raw_Export!D1487)),Maps!$G$2:$I$80,2,FALSE()),"UNMAPPED"))</f>
        <v>Rice Pishori 2kg</v>
      </c>
      <c r="E1487" s="36" t="str">
        <f aca="false">IF(Raw_Export!$A1487="","",IFERROR(VLOOKUP(LOWER(TRIM(Raw_Export!D1487)),Maps!$G$2:$I$80,3,FALSE()),"UNMAPPED"))</f>
        <v>Staples</v>
      </c>
      <c r="F1487" s="36" t="n">
        <f aca="false">IF(Raw_Export!$A1487="","",IFERROR(VALUE(TRIM(Raw_Export!E1487)),0))</f>
        <v>3</v>
      </c>
      <c r="G1487" s="38" t="n">
        <f aca="false">IF(Raw_Export!$A1487="","",IFERROR(VALUE(SUBSTITUTE(SUBSTITUTE(UPPER(TRIM(Raw_Export!F1487)),"KES",""),",","")),0))</f>
        <v>378</v>
      </c>
      <c r="H1487" s="38" t="n">
        <f aca="false">IF(Raw_Export!$A1487="","",F1487*G1487)</f>
        <v>1134</v>
      </c>
      <c r="I1487" s="36" t="str">
        <f aca="false">IF(Raw_Export!$A1487="","",IFERROR(VLOOKUP(LOWER(TRIM(Raw_Export!H1487)),Maps!$D$2:$E$12,2,FALSE()),"Other"))</f>
        <v>M-Pesa</v>
      </c>
      <c r="J1487" s="36" t="str">
        <f aca="false">IF(Raw_Export!$A1487="","",IF(COUNTIF($A$2:A1487,A1487)&gt;1,"Duplicate",""))</f>
        <v/>
      </c>
      <c r="K1487" s="36" t="str">
        <f aca="false">IF(Raw_Export!$A1487="","",IF(J1487="Duplicate","Duplicate",IF(OR(C1487="UNMAPPED",D1487="UNMAPPED"),"Unmapped",IF(F1487=0,"Blank qty",IF(F1487&lt;0,"Return","OK")))))</f>
        <v>OK</v>
      </c>
      <c r="L1487" s="36" t="n">
        <f aca="false">IF(Raw_Export!$A1487="","",IF(OR(K1487="OK",K1487="Return"),1,0))</f>
        <v>1</v>
      </c>
      <c r="M1487" s="37" t="n">
        <f aca="false">IF(Raw_Export!$A1487="","",B1487-WEEKDAY(B1487,2)+1)</f>
        <v>46272</v>
      </c>
    </row>
    <row r="1488" customFormat="false" ht="15" hidden="false" customHeight="false" outlineLevel="0" collapsed="false">
      <c r="A1488" s="36" t="str">
        <f aca="false">IF(Raw_Export!$A1488="","",TRIM(Raw_Export!A1488))</f>
        <v>TXN-101458</v>
      </c>
      <c r="B1488" s="37" t="n">
        <f aca="false">IF(Raw_Export!$A1488="","",IF(ISNUMBER(Raw_Export!B1488),Raw_Export!B1488,IF(MID(TRIM(Raw_Export!B1488),5,1)="-",DATE(LEFT(TRIM(Raw_Export!B1488),4),MID(TRIM(Raw_Export!B1488),6,2),RIGHT(TRIM(Raw_Export!B1488),2)),DATE(RIGHT(TRIM(Raw_Export!B1488),4),MATCH(MID(TRIM(Raw_Export!B1488),4,3),{"Jan","Feb","Mar","Apr","May","Jun","Jul","Aug","Sep","Oct","Nov","Dec"},0),LEFT(TRIM(Raw_Export!B1488),2)))))</f>
        <v>46274</v>
      </c>
      <c r="C1488" s="36" t="str">
        <f aca="false">IF(Raw_Export!$A1488="","",IFERROR(VLOOKUP(LOWER(TRIM(Raw_Export!C1488)),Maps!$A$2:$B$20,2,FALSE()),"UNMAPPED"))</f>
        <v>Nakuru</v>
      </c>
      <c r="D1488" s="36" t="str">
        <f aca="false">IF(Raw_Export!$A1488="","",IFERROR(VLOOKUP(LOWER(TRIM(Raw_Export!D1488)),Maps!$G$2:$I$80,2,FALSE()),"UNMAPPED"))</f>
        <v>Juice 1L</v>
      </c>
      <c r="E1488" s="36" t="str">
        <f aca="false">IF(Raw_Export!$A1488="","",IFERROR(VLOOKUP(LOWER(TRIM(Raw_Export!D1488)),Maps!$G$2:$I$80,3,FALSE()),"UNMAPPED"))</f>
        <v>Beverages</v>
      </c>
      <c r="F1488" s="36" t="n">
        <f aca="false">IF(Raw_Export!$A1488="","",IFERROR(VALUE(TRIM(Raw_Export!E1488)),0))</f>
        <v>6</v>
      </c>
      <c r="G1488" s="38" t="n">
        <f aca="false">IF(Raw_Export!$A1488="","",IFERROR(VALUE(SUBSTITUTE(SUBSTITUTE(UPPER(TRIM(Raw_Export!F1488)),"KES",""),",","")),0))</f>
        <v>189</v>
      </c>
      <c r="H1488" s="38" t="n">
        <f aca="false">IF(Raw_Export!$A1488="","",F1488*G1488)</f>
        <v>1134</v>
      </c>
      <c r="I1488" s="36" t="str">
        <f aca="false">IF(Raw_Export!$A1488="","",IFERROR(VLOOKUP(LOWER(TRIM(Raw_Export!H1488)),Maps!$D$2:$E$12,2,FALSE()),"Other"))</f>
        <v>M-Pesa</v>
      </c>
      <c r="J1488" s="36" t="str">
        <f aca="false">IF(Raw_Export!$A1488="","",IF(COUNTIF($A$2:A1488,A1488)&gt;1,"Duplicate",""))</f>
        <v/>
      </c>
      <c r="K1488" s="36" t="str">
        <f aca="false">IF(Raw_Export!$A1488="","",IF(J1488="Duplicate","Duplicate",IF(OR(C1488="UNMAPPED",D1488="UNMAPPED"),"Unmapped",IF(F1488=0,"Blank qty",IF(F1488&lt;0,"Return","OK")))))</f>
        <v>OK</v>
      </c>
      <c r="L1488" s="36" t="n">
        <f aca="false">IF(Raw_Export!$A1488="","",IF(OR(K1488="OK",K1488="Return"),1,0))</f>
        <v>1</v>
      </c>
      <c r="M1488" s="37" t="n">
        <f aca="false">IF(Raw_Export!$A1488="","",B1488-WEEKDAY(B1488,2)+1)</f>
        <v>46272</v>
      </c>
    </row>
    <row r="1489" customFormat="false" ht="15" hidden="false" customHeight="false" outlineLevel="0" collapsed="false">
      <c r="A1489" s="36" t="str">
        <f aca="false">IF(Raw_Export!$A1489="","",TRIM(Raw_Export!A1489))</f>
        <v>TXN-101459</v>
      </c>
      <c r="B1489" s="37" t="n">
        <f aca="false">IF(Raw_Export!$A1489="","",IF(ISNUMBER(Raw_Export!B1489),Raw_Export!B1489,IF(MID(TRIM(Raw_Export!B1489),5,1)="-",DATE(LEFT(TRIM(Raw_Export!B1489),4),MID(TRIM(Raw_Export!B1489),6,2),RIGHT(TRIM(Raw_Export!B1489),2)),DATE(RIGHT(TRIM(Raw_Export!B1489),4),MATCH(MID(TRIM(Raw_Export!B1489),4,3),{"Jan","Feb","Mar","Apr","May","Jun","Jul","Aug","Sep","Oct","Nov","Dec"},0),LEFT(TRIM(Raw_Export!B1489),2)))))</f>
        <v>46275</v>
      </c>
      <c r="C1489" s="36" t="str">
        <f aca="false">IF(Raw_Export!$A1489="","",IFERROR(VLOOKUP(LOWER(TRIM(Raw_Export!C1489)),Maps!$A$2:$B$20,2,FALSE()),"UNMAPPED"))</f>
        <v>Nairobi CBD</v>
      </c>
      <c r="D1489" s="36" t="str">
        <f aca="false">IF(Raw_Export!$A1489="","",IFERROR(VLOOKUP(LOWER(TRIM(Raw_Export!D1489)),Maps!$G$2:$I$80,2,FALSE()),"UNMAPPED"))</f>
        <v>Sanitary Pads 8pk</v>
      </c>
      <c r="E1489" s="36" t="str">
        <f aca="false">IF(Raw_Export!$A1489="","",IFERROR(VLOOKUP(LOWER(TRIM(Raw_Export!D1489)),Maps!$G$2:$I$80,3,FALSE()),"UNMAPPED"))</f>
        <v>Personal Care</v>
      </c>
      <c r="F1489" s="36" t="n">
        <f aca="false">IF(Raw_Export!$A1489="","",IFERROR(VALUE(TRIM(Raw_Export!E1489)),0))</f>
        <v>6</v>
      </c>
      <c r="G1489" s="38" t="n">
        <f aca="false">IF(Raw_Export!$A1489="","",IFERROR(VALUE(SUBSTITUTE(SUBSTITUTE(UPPER(TRIM(Raw_Export!F1489)),"KES",""),",","")),0))</f>
        <v>130</v>
      </c>
      <c r="H1489" s="38" t="n">
        <f aca="false">IF(Raw_Export!$A1489="","",F1489*G1489)</f>
        <v>780</v>
      </c>
      <c r="I1489" s="36" t="str">
        <f aca="false">IF(Raw_Export!$A1489="","",IFERROR(VLOOKUP(LOWER(TRIM(Raw_Export!H1489)),Maps!$D$2:$E$12,2,FALSE()),"Other"))</f>
        <v>Cash</v>
      </c>
      <c r="J1489" s="36" t="str">
        <f aca="false">IF(Raw_Export!$A1489="","",IF(COUNTIF($A$2:A1489,A1489)&gt;1,"Duplicate",""))</f>
        <v/>
      </c>
      <c r="K1489" s="36" t="str">
        <f aca="false">IF(Raw_Export!$A1489="","",IF(J1489="Duplicate","Duplicate",IF(OR(C1489="UNMAPPED",D1489="UNMAPPED"),"Unmapped",IF(F1489=0,"Blank qty",IF(F1489&lt;0,"Return","OK")))))</f>
        <v>OK</v>
      </c>
      <c r="L1489" s="36" t="n">
        <f aca="false">IF(Raw_Export!$A1489="","",IF(OR(K1489="OK",K1489="Return"),1,0))</f>
        <v>1</v>
      </c>
      <c r="M1489" s="37" t="n">
        <f aca="false">IF(Raw_Export!$A1489="","",B1489-WEEKDAY(B1489,2)+1)</f>
        <v>46272</v>
      </c>
    </row>
    <row r="1490" customFormat="false" ht="15" hidden="false" customHeight="false" outlineLevel="0" collapsed="false">
      <c r="A1490" s="36" t="str">
        <f aca="false">IF(Raw_Export!$A1490="","",TRIM(Raw_Export!A1490))</f>
        <v>TXN-101460</v>
      </c>
      <c r="B1490" s="37" t="n">
        <f aca="false">IF(Raw_Export!$A1490="","",IF(ISNUMBER(Raw_Export!B1490),Raw_Export!B1490,IF(MID(TRIM(Raw_Export!B1490),5,1)="-",DATE(LEFT(TRIM(Raw_Export!B1490),4),MID(TRIM(Raw_Export!B1490),6,2),RIGHT(TRIM(Raw_Export!B1490),2)),DATE(RIGHT(TRIM(Raw_Export!B1490),4),MATCH(MID(TRIM(Raw_Export!B1490),4,3),{"Jan","Feb","Mar","Apr","May","Jun","Jul","Aug","Sep","Oct","Nov","Dec"},0),LEFT(TRIM(Raw_Export!B1490),2)))))</f>
        <v>46275</v>
      </c>
      <c r="C1490" s="36" t="str">
        <f aca="false">IF(Raw_Export!$A1490="","",IFERROR(VLOOKUP(LOWER(TRIM(Raw_Export!C1490)),Maps!$A$2:$B$20,2,FALSE()),"UNMAPPED"))</f>
        <v>Nairobi CBD</v>
      </c>
      <c r="D1490" s="36" t="str">
        <f aca="false">IF(Raw_Export!$A1490="","",IFERROR(VLOOKUP(LOWER(TRIM(Raw_Export!D1490)),Maps!$G$2:$I$80,2,FALSE()),"UNMAPPED"))</f>
        <v>Cooking Oil 1L</v>
      </c>
      <c r="E1490" s="36" t="str">
        <f aca="false">IF(Raw_Export!$A1490="","",IFERROR(VLOOKUP(LOWER(TRIM(Raw_Export!D1490)),Maps!$G$2:$I$80,3,FALSE()),"UNMAPPED"))</f>
        <v>Staples</v>
      </c>
      <c r="F1490" s="36" t="n">
        <f aca="false">IF(Raw_Export!$A1490="","",IFERROR(VALUE(TRIM(Raw_Export!E1490)),0))</f>
        <v>3</v>
      </c>
      <c r="G1490" s="38" t="n">
        <f aca="false">IF(Raw_Export!$A1490="","",IFERROR(VALUE(SUBSTITUTE(SUBSTITUTE(UPPER(TRIM(Raw_Export!F1490)),"KES",""),",","")),0))</f>
        <v>330</v>
      </c>
      <c r="H1490" s="38" t="n">
        <f aca="false">IF(Raw_Export!$A1490="","",F1490*G1490)</f>
        <v>990</v>
      </c>
      <c r="I1490" s="36" t="str">
        <f aca="false">IF(Raw_Export!$A1490="","",IFERROR(VLOOKUP(LOWER(TRIM(Raw_Export!H1490)),Maps!$D$2:$E$12,2,FALSE()),"Other"))</f>
        <v>Card</v>
      </c>
      <c r="J1490" s="36" t="str">
        <f aca="false">IF(Raw_Export!$A1490="","",IF(COUNTIF($A$2:A1490,A1490)&gt;1,"Duplicate",""))</f>
        <v/>
      </c>
      <c r="K1490" s="36" t="str">
        <f aca="false">IF(Raw_Export!$A1490="","",IF(J1490="Duplicate","Duplicate",IF(OR(C1490="UNMAPPED",D1490="UNMAPPED"),"Unmapped",IF(F1490=0,"Blank qty",IF(F1490&lt;0,"Return","OK")))))</f>
        <v>OK</v>
      </c>
      <c r="L1490" s="36" t="n">
        <f aca="false">IF(Raw_Export!$A1490="","",IF(OR(K1490="OK",K1490="Return"),1,0))</f>
        <v>1</v>
      </c>
      <c r="M1490" s="37" t="n">
        <f aca="false">IF(Raw_Export!$A1490="","",B1490-WEEKDAY(B1490,2)+1)</f>
        <v>46272</v>
      </c>
    </row>
    <row r="1491" customFormat="false" ht="15" hidden="false" customHeight="false" outlineLevel="0" collapsed="false">
      <c r="A1491" s="36" t="str">
        <f aca="false">IF(Raw_Export!$A1491="","",TRIM(Raw_Export!A1491))</f>
        <v>TXN-101461</v>
      </c>
      <c r="B1491" s="37" t="n">
        <f aca="false">IF(Raw_Export!$A1491="","",IF(ISNUMBER(Raw_Export!B1491),Raw_Export!B1491,IF(MID(TRIM(Raw_Export!B1491),5,1)="-",DATE(LEFT(TRIM(Raw_Export!B1491),4),MID(TRIM(Raw_Export!B1491),6,2),RIGHT(TRIM(Raw_Export!B1491),2)),DATE(RIGHT(TRIM(Raw_Export!B1491),4),MATCH(MID(TRIM(Raw_Export!B1491),4,3),{"Jan","Feb","Mar","Apr","May","Jun","Jul","Aug","Sep","Oct","Nov","Dec"},0),LEFT(TRIM(Raw_Export!B1491),2)))))</f>
        <v>46275</v>
      </c>
      <c r="C1491" s="36" t="str">
        <f aca="false">IF(Raw_Export!$A1491="","",IFERROR(VLOOKUP(LOWER(TRIM(Raw_Export!C1491)),Maps!$A$2:$B$20,2,FALSE()),"UNMAPPED"))</f>
        <v>Nairobi CBD</v>
      </c>
      <c r="D1491" s="36" t="str">
        <f aca="false">IF(Raw_Export!$A1491="","",IFERROR(VLOOKUP(LOWER(TRIM(Raw_Export!D1491)),Maps!$G$2:$I$80,2,FALSE()),"UNMAPPED"))</f>
        <v>Toothpaste 100g</v>
      </c>
      <c r="E1491" s="36" t="str">
        <f aca="false">IF(Raw_Export!$A1491="","",IFERROR(VLOOKUP(LOWER(TRIM(Raw_Export!D1491)),Maps!$G$2:$I$80,3,FALSE()),"UNMAPPED"))</f>
        <v>Personal Care</v>
      </c>
      <c r="F1491" s="36" t="n">
        <f aca="false">IF(Raw_Export!$A1491="","",IFERROR(VALUE(TRIM(Raw_Export!E1491)),0))</f>
        <v>1</v>
      </c>
      <c r="G1491" s="38" t="n">
        <f aca="false">IF(Raw_Export!$A1491="","",IFERROR(VALUE(SUBSTITUTE(SUBSTITUTE(UPPER(TRIM(Raw_Export!F1491)),"KES",""),",","")),0))</f>
        <v>195</v>
      </c>
      <c r="H1491" s="38" t="n">
        <f aca="false">IF(Raw_Export!$A1491="","",F1491*G1491)</f>
        <v>195</v>
      </c>
      <c r="I1491" s="36" t="str">
        <f aca="false">IF(Raw_Export!$A1491="","",IFERROR(VLOOKUP(LOWER(TRIM(Raw_Export!H1491)),Maps!$D$2:$E$12,2,FALSE()),"Other"))</f>
        <v>Cash</v>
      </c>
      <c r="J1491" s="36" t="str">
        <f aca="false">IF(Raw_Export!$A1491="","",IF(COUNTIF($A$2:A1491,A1491)&gt;1,"Duplicate",""))</f>
        <v/>
      </c>
      <c r="K1491" s="36" t="str">
        <f aca="false">IF(Raw_Export!$A1491="","",IF(J1491="Duplicate","Duplicate",IF(OR(C1491="UNMAPPED",D1491="UNMAPPED"),"Unmapped",IF(F1491=0,"Blank qty",IF(F1491&lt;0,"Return","OK")))))</f>
        <v>OK</v>
      </c>
      <c r="L1491" s="36" t="n">
        <f aca="false">IF(Raw_Export!$A1491="","",IF(OR(K1491="OK",K1491="Return"),1,0))</f>
        <v>1</v>
      </c>
      <c r="M1491" s="37" t="n">
        <f aca="false">IF(Raw_Export!$A1491="","",B1491-WEEKDAY(B1491,2)+1)</f>
        <v>46272</v>
      </c>
    </row>
    <row r="1492" customFormat="false" ht="15" hidden="false" customHeight="false" outlineLevel="0" collapsed="false">
      <c r="A1492" s="36" t="str">
        <f aca="false">IF(Raw_Export!$A1492="","",TRIM(Raw_Export!A1492))</f>
        <v>TXN-101462</v>
      </c>
      <c r="B1492" s="37" t="n">
        <f aca="false">IF(Raw_Export!$A1492="","",IF(ISNUMBER(Raw_Export!B1492),Raw_Export!B1492,IF(MID(TRIM(Raw_Export!B1492),5,1)="-",DATE(LEFT(TRIM(Raw_Export!B1492),4),MID(TRIM(Raw_Export!B1492),6,2),RIGHT(TRIM(Raw_Export!B1492),2)),DATE(RIGHT(TRIM(Raw_Export!B1492),4),MATCH(MID(TRIM(Raw_Export!B1492),4,3),{"Jan","Feb","Mar","Apr","May","Jun","Jul","Aug","Sep","Oct","Nov","Dec"},0),LEFT(TRIM(Raw_Export!B1492),2)))))</f>
        <v>46275</v>
      </c>
      <c r="C1492" s="36" t="str">
        <f aca="false">IF(Raw_Export!$A1492="","",IFERROR(VLOOKUP(LOWER(TRIM(Raw_Export!C1492)),Maps!$A$2:$B$20,2,FALSE()),"UNMAPPED"))</f>
        <v>Nairobi CBD</v>
      </c>
      <c r="D1492" s="36" t="str">
        <f aca="false">IF(Raw_Export!$A1492="","",IFERROR(VLOOKUP(LOWER(TRIM(Raw_Export!D1492)),Maps!$G$2:$I$80,2,FALSE()),"UNMAPPED"))</f>
        <v>Rice Pishori 2kg</v>
      </c>
      <c r="E1492" s="36" t="str">
        <f aca="false">IF(Raw_Export!$A1492="","",IFERROR(VLOOKUP(LOWER(TRIM(Raw_Export!D1492)),Maps!$G$2:$I$80,3,FALSE()),"UNMAPPED"))</f>
        <v>Staples</v>
      </c>
      <c r="F1492" s="36" t="n">
        <f aca="false">IF(Raw_Export!$A1492="","",IFERROR(VALUE(TRIM(Raw_Export!E1492)),0))</f>
        <v>6</v>
      </c>
      <c r="G1492" s="38" t="n">
        <f aca="false">IF(Raw_Export!$A1492="","",IFERROR(VALUE(SUBSTITUTE(SUBSTITUTE(UPPER(TRIM(Raw_Export!F1492)),"KES",""),",","")),0))</f>
        <v>420</v>
      </c>
      <c r="H1492" s="38" t="n">
        <f aca="false">IF(Raw_Export!$A1492="","",F1492*G1492)</f>
        <v>2520</v>
      </c>
      <c r="I1492" s="36" t="str">
        <f aca="false">IF(Raw_Export!$A1492="","",IFERROR(VLOOKUP(LOWER(TRIM(Raw_Export!H1492)),Maps!$D$2:$E$12,2,FALSE()),"Other"))</f>
        <v>Card</v>
      </c>
      <c r="J1492" s="36" t="str">
        <f aca="false">IF(Raw_Export!$A1492="","",IF(COUNTIF($A$2:A1492,A1492)&gt;1,"Duplicate",""))</f>
        <v/>
      </c>
      <c r="K1492" s="36" t="str">
        <f aca="false">IF(Raw_Export!$A1492="","",IF(J1492="Duplicate","Duplicate",IF(OR(C1492="UNMAPPED",D1492="UNMAPPED"),"Unmapped",IF(F1492=0,"Blank qty",IF(F1492&lt;0,"Return","OK")))))</f>
        <v>OK</v>
      </c>
      <c r="L1492" s="36" t="n">
        <f aca="false">IF(Raw_Export!$A1492="","",IF(OR(K1492="OK",K1492="Return"),1,0))</f>
        <v>1</v>
      </c>
      <c r="M1492" s="37" t="n">
        <f aca="false">IF(Raw_Export!$A1492="","",B1492-WEEKDAY(B1492,2)+1)</f>
        <v>46272</v>
      </c>
    </row>
    <row r="1493" customFormat="false" ht="15" hidden="false" customHeight="false" outlineLevel="0" collapsed="false">
      <c r="A1493" s="36" t="str">
        <f aca="false">IF(Raw_Export!$A1493="","",TRIM(Raw_Export!A1493))</f>
        <v>TXN-101463</v>
      </c>
      <c r="B1493" s="37" t="n">
        <f aca="false">IF(Raw_Export!$A1493="","",IF(ISNUMBER(Raw_Export!B1493),Raw_Export!B1493,IF(MID(TRIM(Raw_Export!B1493),5,1)="-",DATE(LEFT(TRIM(Raw_Export!B1493),4),MID(TRIM(Raw_Export!B1493),6,2),RIGHT(TRIM(Raw_Export!B1493),2)),DATE(RIGHT(TRIM(Raw_Export!B1493),4),MATCH(MID(TRIM(Raw_Export!B1493),4,3),{"Jan","Feb","Mar","Apr","May","Jun","Jul","Aug","Sep","Oct","Nov","Dec"},0),LEFT(TRIM(Raw_Export!B1493),2)))))</f>
        <v>46275</v>
      </c>
      <c r="C1493" s="36" t="str">
        <f aca="false">IF(Raw_Export!$A1493="","",IFERROR(VLOOKUP(LOWER(TRIM(Raw_Export!C1493)),Maps!$A$2:$B$20,2,FALSE()),"UNMAPPED"))</f>
        <v>Nairobi CBD</v>
      </c>
      <c r="D1493" s="36" t="str">
        <f aca="false">IF(Raw_Export!$A1493="","",IFERROR(VLOOKUP(LOWER(TRIM(Raw_Export!D1493)),Maps!$G$2:$I$80,2,FALSE()),"UNMAPPED"))</f>
        <v>Spaghetti 400g</v>
      </c>
      <c r="E1493" s="36" t="str">
        <f aca="false">IF(Raw_Export!$A1493="","",IFERROR(VLOOKUP(LOWER(TRIM(Raw_Export!D1493)),Maps!$G$2:$I$80,3,FALSE()),"UNMAPPED"))</f>
        <v>Staples</v>
      </c>
      <c r="F1493" s="36" t="n">
        <f aca="false">IF(Raw_Export!$A1493="","",IFERROR(VALUE(TRIM(Raw_Export!E1493)),0))</f>
        <v>2</v>
      </c>
      <c r="G1493" s="38" t="n">
        <f aca="false">IF(Raw_Export!$A1493="","",IFERROR(VALUE(SUBSTITUTE(SUBSTITUTE(UPPER(TRIM(Raw_Export!F1493)),"KES",""),",","")),0))</f>
        <v>110</v>
      </c>
      <c r="H1493" s="38" t="n">
        <f aca="false">IF(Raw_Export!$A1493="","",F1493*G1493)</f>
        <v>220</v>
      </c>
      <c r="I1493" s="36" t="str">
        <f aca="false">IF(Raw_Export!$A1493="","",IFERROR(VLOOKUP(LOWER(TRIM(Raw_Export!H1493)),Maps!$D$2:$E$12,2,FALSE()),"Other"))</f>
        <v>Cash</v>
      </c>
      <c r="J1493" s="36" t="str">
        <f aca="false">IF(Raw_Export!$A1493="","",IF(COUNTIF($A$2:A1493,A1493)&gt;1,"Duplicate",""))</f>
        <v/>
      </c>
      <c r="K1493" s="36" t="str">
        <f aca="false">IF(Raw_Export!$A1493="","",IF(J1493="Duplicate","Duplicate",IF(OR(C1493="UNMAPPED",D1493="UNMAPPED"),"Unmapped",IF(F1493=0,"Blank qty",IF(F1493&lt;0,"Return","OK")))))</f>
        <v>OK</v>
      </c>
      <c r="L1493" s="36" t="n">
        <f aca="false">IF(Raw_Export!$A1493="","",IF(OR(K1493="OK",K1493="Return"),1,0))</f>
        <v>1</v>
      </c>
      <c r="M1493" s="37" t="n">
        <f aca="false">IF(Raw_Export!$A1493="","",B1493-WEEKDAY(B1493,2)+1)</f>
        <v>46272</v>
      </c>
    </row>
    <row r="1494" customFormat="false" ht="15" hidden="false" customHeight="false" outlineLevel="0" collapsed="false">
      <c r="A1494" s="36" t="str">
        <f aca="false">IF(Raw_Export!$A1494="","",TRIM(Raw_Export!A1494))</f>
        <v>TXN-101464</v>
      </c>
      <c r="B1494" s="37" t="n">
        <f aca="false">IF(Raw_Export!$A1494="","",IF(ISNUMBER(Raw_Export!B1494),Raw_Export!B1494,IF(MID(TRIM(Raw_Export!B1494),5,1)="-",DATE(LEFT(TRIM(Raw_Export!B1494),4),MID(TRIM(Raw_Export!B1494),6,2),RIGHT(TRIM(Raw_Export!B1494),2)),DATE(RIGHT(TRIM(Raw_Export!B1494),4),MATCH(MID(TRIM(Raw_Export!B1494),4,3),{"Jan","Feb","Mar","Apr","May","Jun","Jul","Aug","Sep","Oct","Nov","Dec"},0),LEFT(TRIM(Raw_Export!B1494),2)))))</f>
        <v>46275</v>
      </c>
      <c r="C1494" s="36" t="str">
        <f aca="false">IF(Raw_Export!$A1494="","",IFERROR(VLOOKUP(LOWER(TRIM(Raw_Export!C1494)),Maps!$A$2:$B$20,2,FALSE()),"UNMAPPED"))</f>
        <v>Nairobi CBD</v>
      </c>
      <c r="D1494" s="36" t="str">
        <f aca="false">IF(Raw_Export!$A1494="","",IFERROR(VLOOKUP(LOWER(TRIM(Raw_Export!D1494)),Maps!$G$2:$I$80,2,FALSE()),"UNMAPPED"))</f>
        <v>Spaghetti 400g</v>
      </c>
      <c r="E1494" s="36" t="str">
        <f aca="false">IF(Raw_Export!$A1494="","",IFERROR(VLOOKUP(LOWER(TRIM(Raw_Export!D1494)),Maps!$G$2:$I$80,3,FALSE()),"UNMAPPED"))</f>
        <v>Staples</v>
      </c>
      <c r="F1494" s="36" t="n">
        <f aca="false">IF(Raw_Export!$A1494="","",IFERROR(VALUE(TRIM(Raw_Export!E1494)),0))</f>
        <v>1</v>
      </c>
      <c r="G1494" s="38" t="n">
        <f aca="false">IF(Raw_Export!$A1494="","",IFERROR(VALUE(SUBSTITUTE(SUBSTITUTE(UPPER(TRIM(Raw_Export!F1494)),"KES",""),",","")),0))</f>
        <v>110</v>
      </c>
      <c r="H1494" s="38" t="n">
        <f aca="false">IF(Raw_Export!$A1494="","",F1494*G1494)</f>
        <v>110</v>
      </c>
      <c r="I1494" s="36" t="str">
        <f aca="false">IF(Raw_Export!$A1494="","",IFERROR(VLOOKUP(LOWER(TRIM(Raw_Export!H1494)),Maps!$D$2:$E$12,2,FALSE()),"Other"))</f>
        <v>Cash</v>
      </c>
      <c r="J1494" s="36" t="str">
        <f aca="false">IF(Raw_Export!$A1494="","",IF(COUNTIF($A$2:A1494,A1494)&gt;1,"Duplicate",""))</f>
        <v/>
      </c>
      <c r="K1494" s="36" t="str">
        <f aca="false">IF(Raw_Export!$A1494="","",IF(J1494="Duplicate","Duplicate",IF(OR(C1494="UNMAPPED",D1494="UNMAPPED"),"Unmapped",IF(F1494=0,"Blank qty",IF(F1494&lt;0,"Return","OK")))))</f>
        <v>OK</v>
      </c>
      <c r="L1494" s="36" t="n">
        <f aca="false">IF(Raw_Export!$A1494="","",IF(OR(K1494="OK",K1494="Return"),1,0))</f>
        <v>1</v>
      </c>
      <c r="M1494" s="37" t="n">
        <f aca="false">IF(Raw_Export!$A1494="","",B1494-WEEKDAY(B1494,2)+1)</f>
        <v>46272</v>
      </c>
    </row>
    <row r="1495" customFormat="false" ht="15" hidden="false" customHeight="false" outlineLevel="0" collapsed="false">
      <c r="A1495" s="36" t="str">
        <f aca="false">IF(Raw_Export!$A1495="","",TRIM(Raw_Export!A1495))</f>
        <v>TXN-101465</v>
      </c>
      <c r="B1495" s="37" t="n">
        <f aca="false">IF(Raw_Export!$A1495="","",IF(ISNUMBER(Raw_Export!B1495),Raw_Export!B1495,IF(MID(TRIM(Raw_Export!B1495),5,1)="-",DATE(LEFT(TRIM(Raw_Export!B1495),4),MID(TRIM(Raw_Export!B1495),6,2),RIGHT(TRIM(Raw_Export!B1495),2)),DATE(RIGHT(TRIM(Raw_Export!B1495),4),MATCH(MID(TRIM(Raw_Export!B1495),4,3),{"Jan","Feb","Mar","Apr","May","Jun","Jul","Aug","Sep","Oct","Nov","Dec"},0),LEFT(TRIM(Raw_Export!B1495),2)))))</f>
        <v>46275</v>
      </c>
      <c r="C1495" s="36" t="str">
        <f aca="false">IF(Raw_Export!$A1495="","",IFERROR(VLOOKUP(LOWER(TRIM(Raw_Export!C1495)),Maps!$A$2:$B$20,2,FALSE()),"UNMAPPED"))</f>
        <v>Nairobi CBD</v>
      </c>
      <c r="D1495" s="36" t="str">
        <f aca="false">IF(Raw_Export!$A1495="","",IFERROR(VLOOKUP(LOWER(TRIM(Raw_Export!D1495)),Maps!$G$2:$I$80,2,FALSE()),"UNMAPPED"))</f>
        <v>Rice Pishori 2kg</v>
      </c>
      <c r="E1495" s="36" t="str">
        <f aca="false">IF(Raw_Export!$A1495="","",IFERROR(VLOOKUP(LOWER(TRIM(Raw_Export!D1495)),Maps!$G$2:$I$80,3,FALSE()),"UNMAPPED"))</f>
        <v>Staples</v>
      </c>
      <c r="F1495" s="36" t="n">
        <f aca="false">IF(Raw_Export!$A1495="","",IFERROR(VALUE(TRIM(Raw_Export!E1495)),0))</f>
        <v>2</v>
      </c>
      <c r="G1495" s="38" t="n">
        <f aca="false">IF(Raw_Export!$A1495="","",IFERROR(VALUE(SUBSTITUTE(SUBSTITUTE(UPPER(TRIM(Raw_Export!F1495)),"KES",""),",","")),0))</f>
        <v>420</v>
      </c>
      <c r="H1495" s="38" t="n">
        <f aca="false">IF(Raw_Export!$A1495="","",F1495*G1495)</f>
        <v>840</v>
      </c>
      <c r="I1495" s="36" t="str">
        <f aca="false">IF(Raw_Export!$A1495="","",IFERROR(VLOOKUP(LOWER(TRIM(Raw_Export!H1495)),Maps!$D$2:$E$12,2,FALSE()),"Other"))</f>
        <v>M-Pesa</v>
      </c>
      <c r="J1495" s="36" t="str">
        <f aca="false">IF(Raw_Export!$A1495="","",IF(COUNTIF($A$2:A1495,A1495)&gt;1,"Duplicate",""))</f>
        <v/>
      </c>
      <c r="K1495" s="36" t="str">
        <f aca="false">IF(Raw_Export!$A1495="","",IF(J1495="Duplicate","Duplicate",IF(OR(C1495="UNMAPPED",D1495="UNMAPPED"),"Unmapped",IF(F1495=0,"Blank qty",IF(F1495&lt;0,"Return","OK")))))</f>
        <v>OK</v>
      </c>
      <c r="L1495" s="36" t="n">
        <f aca="false">IF(Raw_Export!$A1495="","",IF(OR(K1495="OK",K1495="Return"),1,0))</f>
        <v>1</v>
      </c>
      <c r="M1495" s="37" t="n">
        <f aca="false">IF(Raw_Export!$A1495="","",B1495-WEEKDAY(B1495,2)+1)</f>
        <v>46272</v>
      </c>
    </row>
    <row r="1496" customFormat="false" ht="15" hidden="false" customHeight="false" outlineLevel="0" collapsed="false">
      <c r="A1496" s="36" t="str">
        <f aca="false">IF(Raw_Export!$A1496="","",TRIM(Raw_Export!A1496))</f>
        <v>TXN-101466</v>
      </c>
      <c r="B1496" s="37" t="n">
        <f aca="false">IF(Raw_Export!$A1496="","",IF(ISNUMBER(Raw_Export!B1496),Raw_Export!B1496,IF(MID(TRIM(Raw_Export!B1496),5,1)="-",DATE(LEFT(TRIM(Raw_Export!B1496),4),MID(TRIM(Raw_Export!B1496),6,2),RIGHT(TRIM(Raw_Export!B1496),2)),DATE(RIGHT(TRIM(Raw_Export!B1496),4),MATCH(MID(TRIM(Raw_Export!B1496),4,3),{"Jan","Feb","Mar","Apr","May","Jun","Jul","Aug","Sep","Oct","Nov","Dec"},0),LEFT(TRIM(Raw_Export!B1496),2)))))</f>
        <v>46275</v>
      </c>
      <c r="C1496" s="36" t="str">
        <f aca="false">IF(Raw_Export!$A1496="","",IFERROR(VLOOKUP(LOWER(TRIM(Raw_Export!C1496)),Maps!$A$2:$B$20,2,FALSE()),"UNMAPPED"))</f>
        <v>Nairobi CBD</v>
      </c>
      <c r="D1496" s="36" t="str">
        <f aca="false">IF(Raw_Export!$A1496="","",IFERROR(VLOOKUP(LOWER(TRIM(Raw_Export!D1496)),Maps!$G$2:$I$80,2,FALSE()),"UNMAPPED"))</f>
        <v>Eggs Tray 30</v>
      </c>
      <c r="E1496" s="36" t="str">
        <f aca="false">IF(Raw_Export!$A1496="","",IFERROR(VLOOKUP(LOWER(TRIM(Raw_Export!D1496)),Maps!$G$2:$I$80,3,FALSE()),"UNMAPPED"))</f>
        <v>Dairy &amp; Eggs</v>
      </c>
      <c r="F1496" s="36" t="n">
        <f aca="false">IF(Raw_Export!$A1496="","",IFERROR(VALUE(TRIM(Raw_Export!E1496)),0))</f>
        <v>1</v>
      </c>
      <c r="G1496" s="38" t="n">
        <f aca="false">IF(Raw_Export!$A1496="","",IFERROR(VALUE(SUBSTITUTE(SUBSTITUTE(UPPER(TRIM(Raw_Export!F1496)),"KES",""),",","")),0))</f>
        <v>450</v>
      </c>
      <c r="H1496" s="38" t="n">
        <f aca="false">IF(Raw_Export!$A1496="","",F1496*G1496)</f>
        <v>450</v>
      </c>
      <c r="I1496" s="36" t="str">
        <f aca="false">IF(Raw_Export!$A1496="","",IFERROR(VLOOKUP(LOWER(TRIM(Raw_Export!H1496)),Maps!$D$2:$E$12,2,FALSE()),"Other"))</f>
        <v>M-Pesa</v>
      </c>
      <c r="J1496" s="36" t="str">
        <f aca="false">IF(Raw_Export!$A1496="","",IF(COUNTIF($A$2:A1496,A1496)&gt;1,"Duplicate",""))</f>
        <v/>
      </c>
      <c r="K1496" s="36" t="str">
        <f aca="false">IF(Raw_Export!$A1496="","",IF(J1496="Duplicate","Duplicate",IF(OR(C1496="UNMAPPED",D1496="UNMAPPED"),"Unmapped",IF(F1496=0,"Blank qty",IF(F1496&lt;0,"Return","OK")))))</f>
        <v>OK</v>
      </c>
      <c r="L1496" s="36" t="n">
        <f aca="false">IF(Raw_Export!$A1496="","",IF(OR(K1496="OK",K1496="Return"),1,0))</f>
        <v>1</v>
      </c>
      <c r="M1496" s="37" t="n">
        <f aca="false">IF(Raw_Export!$A1496="","",B1496-WEEKDAY(B1496,2)+1)</f>
        <v>46272</v>
      </c>
    </row>
    <row r="1497" customFormat="false" ht="15" hidden="false" customHeight="false" outlineLevel="0" collapsed="false">
      <c r="A1497" s="36" t="str">
        <f aca="false">IF(Raw_Export!$A1497="","",TRIM(Raw_Export!A1497))</f>
        <v>TXN-101467</v>
      </c>
      <c r="B1497" s="37" t="n">
        <f aca="false">IF(Raw_Export!$A1497="","",IF(ISNUMBER(Raw_Export!B1497),Raw_Export!B1497,IF(MID(TRIM(Raw_Export!B1497),5,1)="-",DATE(LEFT(TRIM(Raw_Export!B1497),4),MID(TRIM(Raw_Export!B1497),6,2),RIGHT(TRIM(Raw_Export!B1497),2)),DATE(RIGHT(TRIM(Raw_Export!B1497),4),MATCH(MID(TRIM(Raw_Export!B1497),4,3),{"Jan","Feb","Mar","Apr","May","Jun","Jul","Aug","Sep","Oct","Nov","Dec"},0),LEFT(TRIM(Raw_Export!B1497),2)))))</f>
        <v>46275</v>
      </c>
      <c r="C1497" s="36" t="str">
        <f aca="false">IF(Raw_Export!$A1497="","",IFERROR(VLOOKUP(LOWER(TRIM(Raw_Export!C1497)),Maps!$A$2:$B$20,2,FALSE()),"UNMAPPED"))</f>
        <v>Nairobi CBD</v>
      </c>
      <c r="D1497" s="36" t="str">
        <f aca="false">IF(Raw_Export!$A1497="","",IFERROR(VLOOKUP(LOWER(TRIM(Raw_Export!D1497)),Maps!$G$2:$I$80,2,FALSE()),"UNMAPPED"))</f>
        <v>Eggs Tray 30</v>
      </c>
      <c r="E1497" s="36" t="str">
        <f aca="false">IF(Raw_Export!$A1497="","",IFERROR(VLOOKUP(LOWER(TRIM(Raw_Export!D1497)),Maps!$G$2:$I$80,3,FALSE()),"UNMAPPED"))</f>
        <v>Dairy &amp; Eggs</v>
      </c>
      <c r="F1497" s="36" t="n">
        <f aca="false">IF(Raw_Export!$A1497="","",IFERROR(VALUE(TRIM(Raw_Export!E1497)),0))</f>
        <v>1</v>
      </c>
      <c r="G1497" s="38" t="n">
        <f aca="false">IF(Raw_Export!$A1497="","",IFERROR(VALUE(SUBSTITUTE(SUBSTITUTE(UPPER(TRIM(Raw_Export!F1497)),"KES",""),",","")),0))</f>
        <v>450</v>
      </c>
      <c r="H1497" s="38" t="n">
        <f aca="false">IF(Raw_Export!$A1497="","",F1497*G1497)</f>
        <v>450</v>
      </c>
      <c r="I1497" s="36" t="str">
        <f aca="false">IF(Raw_Export!$A1497="","",IFERROR(VLOOKUP(LOWER(TRIM(Raw_Export!H1497)),Maps!$D$2:$E$12,2,FALSE()),"Other"))</f>
        <v>Cash</v>
      </c>
      <c r="J1497" s="36" t="str">
        <f aca="false">IF(Raw_Export!$A1497="","",IF(COUNTIF($A$2:A1497,A1497)&gt;1,"Duplicate",""))</f>
        <v/>
      </c>
      <c r="K1497" s="36" t="str">
        <f aca="false">IF(Raw_Export!$A1497="","",IF(J1497="Duplicate","Duplicate",IF(OR(C1497="UNMAPPED",D1497="UNMAPPED"),"Unmapped",IF(F1497=0,"Blank qty",IF(F1497&lt;0,"Return","OK")))))</f>
        <v>OK</v>
      </c>
      <c r="L1497" s="36" t="n">
        <f aca="false">IF(Raw_Export!$A1497="","",IF(OR(K1497="OK",K1497="Return"),1,0))</f>
        <v>1</v>
      </c>
      <c r="M1497" s="37" t="n">
        <f aca="false">IF(Raw_Export!$A1497="","",B1497-WEEKDAY(B1497,2)+1)</f>
        <v>46272</v>
      </c>
    </row>
    <row r="1498" customFormat="false" ht="15" hidden="false" customHeight="false" outlineLevel="0" collapsed="false">
      <c r="A1498" s="36" t="str">
        <f aca="false">IF(Raw_Export!$A1498="","",TRIM(Raw_Export!A1498))</f>
        <v>TXN-101468</v>
      </c>
      <c r="B1498" s="37" t="n">
        <f aca="false">IF(Raw_Export!$A1498="","",IF(ISNUMBER(Raw_Export!B1498),Raw_Export!B1498,IF(MID(TRIM(Raw_Export!B1498),5,1)="-",DATE(LEFT(TRIM(Raw_Export!B1498),4),MID(TRIM(Raw_Export!B1498),6,2),RIGHT(TRIM(Raw_Export!B1498),2)),DATE(RIGHT(TRIM(Raw_Export!B1498),4),MATCH(MID(TRIM(Raw_Export!B1498),4,3),{"Jan","Feb","Mar","Apr","May","Jun","Jul","Aug","Sep","Oct","Nov","Dec"},0),LEFT(TRIM(Raw_Export!B1498),2)))))</f>
        <v>46275</v>
      </c>
      <c r="C1498" s="36" t="str">
        <f aca="false">IF(Raw_Export!$A1498="","",IFERROR(VLOOKUP(LOWER(TRIM(Raw_Export!C1498)),Maps!$A$2:$B$20,2,FALSE()),"UNMAPPED"))</f>
        <v>Nairobi CBD</v>
      </c>
      <c r="D1498" s="36" t="str">
        <f aca="false">IF(Raw_Export!$A1498="","",IFERROR(VLOOKUP(LOWER(TRIM(Raw_Export!D1498)),Maps!$G$2:$I$80,2,FALSE()),"UNMAPPED"))</f>
        <v>Tea Leaves 250g</v>
      </c>
      <c r="E1498" s="36" t="str">
        <f aca="false">IF(Raw_Export!$A1498="","",IFERROR(VLOOKUP(LOWER(TRIM(Raw_Export!D1498)),Maps!$G$2:$I$80,3,FALSE()),"UNMAPPED"))</f>
        <v>Beverages</v>
      </c>
      <c r="F1498" s="36" t="n">
        <f aca="false">IF(Raw_Export!$A1498="","",IFERROR(VALUE(TRIM(Raw_Export!E1498)),0))</f>
        <v>2</v>
      </c>
      <c r="G1498" s="38" t="n">
        <f aca="false">IF(Raw_Export!$A1498="","",IFERROR(VALUE(SUBSTITUTE(SUBSTITUTE(UPPER(TRIM(Raw_Export!F1498)),"KES",""),",","")),0))</f>
        <v>150</v>
      </c>
      <c r="H1498" s="38" t="n">
        <f aca="false">IF(Raw_Export!$A1498="","",F1498*G1498)</f>
        <v>300</v>
      </c>
      <c r="I1498" s="36" t="str">
        <f aca="false">IF(Raw_Export!$A1498="","",IFERROR(VLOOKUP(LOWER(TRIM(Raw_Export!H1498)),Maps!$D$2:$E$12,2,FALSE()),"Other"))</f>
        <v>Card</v>
      </c>
      <c r="J1498" s="36" t="str">
        <f aca="false">IF(Raw_Export!$A1498="","",IF(COUNTIF($A$2:A1498,A1498)&gt;1,"Duplicate",""))</f>
        <v/>
      </c>
      <c r="K1498" s="36" t="str">
        <f aca="false">IF(Raw_Export!$A1498="","",IF(J1498="Duplicate","Duplicate",IF(OR(C1498="UNMAPPED",D1498="UNMAPPED"),"Unmapped",IF(F1498=0,"Blank qty",IF(F1498&lt;0,"Return","OK")))))</f>
        <v>OK</v>
      </c>
      <c r="L1498" s="36" t="n">
        <f aca="false">IF(Raw_Export!$A1498="","",IF(OR(K1498="OK",K1498="Return"),1,0))</f>
        <v>1</v>
      </c>
      <c r="M1498" s="37" t="n">
        <f aca="false">IF(Raw_Export!$A1498="","",B1498-WEEKDAY(B1498,2)+1)</f>
        <v>46272</v>
      </c>
    </row>
    <row r="1499" customFormat="false" ht="15" hidden="false" customHeight="false" outlineLevel="0" collapsed="false">
      <c r="A1499" s="36" t="str">
        <f aca="false">IF(Raw_Export!$A1499="","",TRIM(Raw_Export!A1499))</f>
        <v>TXN-101469</v>
      </c>
      <c r="B1499" s="37" t="n">
        <f aca="false">IF(Raw_Export!$A1499="","",IF(ISNUMBER(Raw_Export!B1499),Raw_Export!B1499,IF(MID(TRIM(Raw_Export!B1499),5,1)="-",DATE(LEFT(TRIM(Raw_Export!B1499),4),MID(TRIM(Raw_Export!B1499),6,2),RIGHT(TRIM(Raw_Export!B1499),2)),DATE(RIGHT(TRIM(Raw_Export!B1499),4),MATCH(MID(TRIM(Raw_Export!B1499),4,3),{"Jan","Feb","Mar","Apr","May","Jun","Jul","Aug","Sep","Oct","Nov","Dec"},0),LEFT(TRIM(Raw_Export!B1499),2)))))</f>
        <v>46275</v>
      </c>
      <c r="C1499" s="36" t="str">
        <f aca="false">IF(Raw_Export!$A1499="","",IFERROR(VLOOKUP(LOWER(TRIM(Raw_Export!C1499)),Maps!$A$2:$B$20,2,FALSE()),"UNMAPPED"))</f>
        <v>Nairobi CBD</v>
      </c>
      <c r="D1499" s="36" t="str">
        <f aca="false">IF(Raw_Export!$A1499="","",IFERROR(VLOOKUP(LOWER(TRIM(Raw_Export!D1499)),Maps!$G$2:$I$80,2,FALSE()),"UNMAPPED"))</f>
        <v>Cooking Oil 1L</v>
      </c>
      <c r="E1499" s="36" t="str">
        <f aca="false">IF(Raw_Export!$A1499="","",IFERROR(VLOOKUP(LOWER(TRIM(Raw_Export!D1499)),Maps!$G$2:$I$80,3,FALSE()),"UNMAPPED"))</f>
        <v>Staples</v>
      </c>
      <c r="F1499" s="36" t="n">
        <f aca="false">IF(Raw_Export!$A1499="","",IFERROR(VALUE(TRIM(Raw_Export!E1499)),0))</f>
        <v>1</v>
      </c>
      <c r="G1499" s="38" t="n">
        <f aca="false">IF(Raw_Export!$A1499="","",IFERROR(VALUE(SUBSTITUTE(SUBSTITUTE(UPPER(TRIM(Raw_Export!F1499)),"KES",""),",","")),0))</f>
        <v>330</v>
      </c>
      <c r="H1499" s="38" t="n">
        <f aca="false">IF(Raw_Export!$A1499="","",F1499*G1499)</f>
        <v>330</v>
      </c>
      <c r="I1499" s="36" t="str">
        <f aca="false">IF(Raw_Export!$A1499="","",IFERROR(VLOOKUP(LOWER(TRIM(Raw_Export!H1499)),Maps!$D$2:$E$12,2,FALSE()),"Other"))</f>
        <v>Cash</v>
      </c>
      <c r="J1499" s="36" t="str">
        <f aca="false">IF(Raw_Export!$A1499="","",IF(COUNTIF($A$2:A1499,A1499)&gt;1,"Duplicate",""))</f>
        <v/>
      </c>
      <c r="K1499" s="36" t="str">
        <f aca="false">IF(Raw_Export!$A1499="","",IF(J1499="Duplicate","Duplicate",IF(OR(C1499="UNMAPPED",D1499="UNMAPPED"),"Unmapped",IF(F1499=0,"Blank qty",IF(F1499&lt;0,"Return","OK")))))</f>
        <v>OK</v>
      </c>
      <c r="L1499" s="36" t="n">
        <f aca="false">IF(Raw_Export!$A1499="","",IF(OR(K1499="OK",K1499="Return"),1,0))</f>
        <v>1</v>
      </c>
      <c r="M1499" s="37" t="n">
        <f aca="false">IF(Raw_Export!$A1499="","",B1499-WEEKDAY(B1499,2)+1)</f>
        <v>46272</v>
      </c>
    </row>
    <row r="1500" customFormat="false" ht="15" hidden="false" customHeight="false" outlineLevel="0" collapsed="false">
      <c r="A1500" s="36" t="str">
        <f aca="false">IF(Raw_Export!$A1500="","",TRIM(Raw_Export!A1500))</f>
        <v>TXN-101470</v>
      </c>
      <c r="B1500" s="37" t="n">
        <f aca="false">IF(Raw_Export!$A1500="","",IF(ISNUMBER(Raw_Export!B1500),Raw_Export!B1500,IF(MID(TRIM(Raw_Export!B1500),5,1)="-",DATE(LEFT(TRIM(Raw_Export!B1500),4),MID(TRIM(Raw_Export!B1500),6,2),RIGHT(TRIM(Raw_Export!B1500),2)),DATE(RIGHT(TRIM(Raw_Export!B1500),4),MATCH(MID(TRIM(Raw_Export!B1500),4,3),{"Jan","Feb","Mar","Apr","May","Jun","Jul","Aug","Sep","Oct","Nov","Dec"},0),LEFT(TRIM(Raw_Export!B1500),2)))))</f>
        <v>46275</v>
      </c>
      <c r="C1500" s="36" t="str">
        <f aca="false">IF(Raw_Export!$A1500="","",IFERROR(VLOOKUP(LOWER(TRIM(Raw_Export!C1500)),Maps!$A$2:$B$20,2,FALSE()),"UNMAPPED"))</f>
        <v>Nairobi CBD</v>
      </c>
      <c r="D1500" s="36" t="str">
        <f aca="false">IF(Raw_Export!$A1500="","",IFERROR(VLOOKUP(LOWER(TRIM(Raw_Export!D1500)),Maps!$G$2:$I$80,2,FALSE()),"UNMAPPED"))</f>
        <v>Eggs Tray 30</v>
      </c>
      <c r="E1500" s="36" t="str">
        <f aca="false">IF(Raw_Export!$A1500="","",IFERROR(VLOOKUP(LOWER(TRIM(Raw_Export!D1500)),Maps!$G$2:$I$80,3,FALSE()),"UNMAPPED"))</f>
        <v>Dairy &amp; Eggs</v>
      </c>
      <c r="F1500" s="36" t="n">
        <f aca="false">IF(Raw_Export!$A1500="","",IFERROR(VALUE(TRIM(Raw_Export!E1500)),0))</f>
        <v>4</v>
      </c>
      <c r="G1500" s="38" t="n">
        <f aca="false">IF(Raw_Export!$A1500="","",IFERROR(VALUE(SUBSTITUTE(SUBSTITUTE(UPPER(TRIM(Raw_Export!F1500)),"KES",""),",","")),0))</f>
        <v>450</v>
      </c>
      <c r="H1500" s="38" t="n">
        <f aca="false">IF(Raw_Export!$A1500="","",F1500*G1500)</f>
        <v>1800</v>
      </c>
      <c r="I1500" s="36" t="str">
        <f aca="false">IF(Raw_Export!$A1500="","",IFERROR(VLOOKUP(LOWER(TRIM(Raw_Export!H1500)),Maps!$D$2:$E$12,2,FALSE()),"Other"))</f>
        <v>Cash</v>
      </c>
      <c r="J1500" s="36" t="str">
        <f aca="false">IF(Raw_Export!$A1500="","",IF(COUNTIF($A$2:A1500,A1500)&gt;1,"Duplicate",""))</f>
        <v/>
      </c>
      <c r="K1500" s="36" t="str">
        <f aca="false">IF(Raw_Export!$A1500="","",IF(J1500="Duplicate","Duplicate",IF(OR(C1500="UNMAPPED",D1500="UNMAPPED"),"Unmapped",IF(F1500=0,"Blank qty",IF(F1500&lt;0,"Return","OK")))))</f>
        <v>OK</v>
      </c>
      <c r="L1500" s="36" t="n">
        <f aca="false">IF(Raw_Export!$A1500="","",IF(OR(K1500="OK",K1500="Return"),1,0))</f>
        <v>1</v>
      </c>
      <c r="M1500" s="37" t="n">
        <f aca="false">IF(Raw_Export!$A1500="","",B1500-WEEKDAY(B1500,2)+1)</f>
        <v>46272</v>
      </c>
    </row>
    <row r="1501" customFormat="false" ht="15" hidden="false" customHeight="false" outlineLevel="0" collapsed="false">
      <c r="A1501" s="36" t="str">
        <f aca="false">IF(Raw_Export!$A1501="","",TRIM(Raw_Export!A1501))</f>
        <v>TXN-101471</v>
      </c>
      <c r="B1501" s="37" t="n">
        <f aca="false">IF(Raw_Export!$A1501="","",IF(ISNUMBER(Raw_Export!B1501),Raw_Export!B1501,IF(MID(TRIM(Raw_Export!B1501),5,1)="-",DATE(LEFT(TRIM(Raw_Export!B1501),4),MID(TRIM(Raw_Export!B1501),6,2),RIGHT(TRIM(Raw_Export!B1501),2)),DATE(RIGHT(TRIM(Raw_Export!B1501),4),MATCH(MID(TRIM(Raw_Export!B1501),4,3),{"Jan","Feb","Mar","Apr","May","Jun","Jul","Aug","Sep","Oct","Nov","Dec"},0),LEFT(TRIM(Raw_Export!B1501),2)))))</f>
        <v>46275</v>
      </c>
      <c r="C1501" s="36" t="str">
        <f aca="false">IF(Raw_Export!$A1501="","",IFERROR(VLOOKUP(LOWER(TRIM(Raw_Export!C1501)),Maps!$A$2:$B$20,2,FALSE()),"UNMAPPED"))</f>
        <v>Nairobi CBD</v>
      </c>
      <c r="D1501" s="36" t="str">
        <f aca="false">IF(Raw_Export!$A1501="","",IFERROR(VLOOKUP(LOWER(TRIM(Raw_Export!D1501)),Maps!$G$2:$I$80,2,FALSE()),"UNMAPPED"))</f>
        <v>Sugar 2kg</v>
      </c>
      <c r="E1501" s="36" t="str">
        <f aca="false">IF(Raw_Export!$A1501="","",IFERROR(VLOOKUP(LOWER(TRIM(Raw_Export!D1501)),Maps!$G$2:$I$80,3,FALSE()),"UNMAPPED"))</f>
        <v>Staples</v>
      </c>
      <c r="F1501" s="36" t="n">
        <f aca="false">IF(Raw_Export!$A1501="","",IFERROR(VALUE(TRIM(Raw_Export!E1501)),0))</f>
        <v>1</v>
      </c>
      <c r="G1501" s="38" t="n">
        <f aca="false">IF(Raw_Export!$A1501="","",IFERROR(VALUE(SUBSTITUTE(SUBSTITUTE(UPPER(TRIM(Raw_Export!F1501)),"KES",""),",","")),0))</f>
        <v>330</v>
      </c>
      <c r="H1501" s="38" t="n">
        <f aca="false">IF(Raw_Export!$A1501="","",F1501*G1501)</f>
        <v>330</v>
      </c>
      <c r="I1501" s="36" t="str">
        <f aca="false">IF(Raw_Export!$A1501="","",IFERROR(VLOOKUP(LOWER(TRIM(Raw_Export!H1501)),Maps!$D$2:$E$12,2,FALSE()),"Other"))</f>
        <v>Cash</v>
      </c>
      <c r="J1501" s="36" t="str">
        <f aca="false">IF(Raw_Export!$A1501="","",IF(COUNTIF($A$2:A1501,A1501)&gt;1,"Duplicate",""))</f>
        <v/>
      </c>
      <c r="K1501" s="36" t="str">
        <f aca="false">IF(Raw_Export!$A1501="","",IF(J1501="Duplicate","Duplicate",IF(OR(C1501="UNMAPPED",D1501="UNMAPPED"),"Unmapped",IF(F1501=0,"Blank qty",IF(F1501&lt;0,"Return","OK")))))</f>
        <v>OK</v>
      </c>
      <c r="L1501" s="36" t="n">
        <f aca="false">IF(Raw_Export!$A1501="","",IF(OR(K1501="OK",K1501="Return"),1,0))</f>
        <v>1</v>
      </c>
      <c r="M1501" s="37" t="n">
        <f aca="false">IF(Raw_Export!$A1501="","",B1501-WEEKDAY(B1501,2)+1)</f>
        <v>46272</v>
      </c>
    </row>
    <row r="1502" customFormat="false" ht="15" hidden="false" customHeight="false" outlineLevel="0" collapsed="false">
      <c r="A1502" s="36" t="str">
        <f aca="false">IF(Raw_Export!$A1502="","",TRIM(Raw_Export!A1502))</f>
        <v>TXN-101472</v>
      </c>
      <c r="B1502" s="37" t="n">
        <f aca="false">IF(Raw_Export!$A1502="","",IF(ISNUMBER(Raw_Export!B1502),Raw_Export!B1502,IF(MID(TRIM(Raw_Export!B1502),5,1)="-",DATE(LEFT(TRIM(Raw_Export!B1502),4),MID(TRIM(Raw_Export!B1502),6,2),RIGHT(TRIM(Raw_Export!B1502),2)),DATE(RIGHT(TRIM(Raw_Export!B1502),4),MATCH(MID(TRIM(Raw_Export!B1502),4,3),{"Jan","Feb","Mar","Apr","May","Jun","Jul","Aug","Sep","Oct","Nov","Dec"},0),LEFT(TRIM(Raw_Export!B1502),2)))))</f>
        <v>46275</v>
      </c>
      <c r="C1502" s="36" t="str">
        <f aca="false">IF(Raw_Export!$A1502="","",IFERROR(VLOOKUP(LOWER(TRIM(Raw_Export!C1502)),Maps!$A$2:$B$20,2,FALSE()),"UNMAPPED"))</f>
        <v>Nairobi CBD</v>
      </c>
      <c r="D1502" s="36" t="str">
        <f aca="false">IF(Raw_Export!$A1502="","",IFERROR(VLOOKUP(LOWER(TRIM(Raw_Export!D1502)),Maps!$G$2:$I$80,2,FALSE()),"UNMAPPED"))</f>
        <v>Biscuits 200g</v>
      </c>
      <c r="E1502" s="36" t="str">
        <f aca="false">IF(Raw_Export!$A1502="","",IFERROR(VLOOKUP(LOWER(TRIM(Raw_Export!D1502)),Maps!$G$2:$I$80,3,FALSE()),"UNMAPPED"))</f>
        <v>Snacks</v>
      </c>
      <c r="F1502" s="36" t="n">
        <f aca="false">IF(Raw_Export!$A1502="","",IFERROR(VALUE(TRIM(Raw_Export!E1502)),0))</f>
        <v>6</v>
      </c>
      <c r="G1502" s="38" t="n">
        <f aca="false">IF(Raw_Export!$A1502="","",IFERROR(VALUE(SUBSTITUTE(SUBSTITUTE(UPPER(TRIM(Raw_Export!F1502)),"KES",""),",","")),0))</f>
        <v>95</v>
      </c>
      <c r="H1502" s="38" t="n">
        <f aca="false">IF(Raw_Export!$A1502="","",F1502*G1502)</f>
        <v>570</v>
      </c>
      <c r="I1502" s="36" t="str">
        <f aca="false">IF(Raw_Export!$A1502="","",IFERROR(VLOOKUP(LOWER(TRIM(Raw_Export!H1502)),Maps!$D$2:$E$12,2,FALSE()),"Other"))</f>
        <v>M-Pesa</v>
      </c>
      <c r="J1502" s="36" t="str">
        <f aca="false">IF(Raw_Export!$A1502="","",IF(COUNTIF($A$2:A1502,A1502)&gt;1,"Duplicate",""))</f>
        <v/>
      </c>
      <c r="K1502" s="36" t="str">
        <f aca="false">IF(Raw_Export!$A1502="","",IF(J1502="Duplicate","Duplicate",IF(OR(C1502="UNMAPPED",D1502="UNMAPPED"),"Unmapped",IF(F1502=0,"Blank qty",IF(F1502&lt;0,"Return","OK")))))</f>
        <v>OK</v>
      </c>
      <c r="L1502" s="36" t="n">
        <f aca="false">IF(Raw_Export!$A1502="","",IF(OR(K1502="OK",K1502="Return"),1,0))</f>
        <v>1</v>
      </c>
      <c r="M1502" s="37" t="n">
        <f aca="false">IF(Raw_Export!$A1502="","",B1502-WEEKDAY(B1502,2)+1)</f>
        <v>46272</v>
      </c>
    </row>
    <row r="1503" customFormat="false" ht="15" hidden="false" customHeight="false" outlineLevel="0" collapsed="false">
      <c r="A1503" s="36" t="str">
        <f aca="false">IF(Raw_Export!$A1503="","",TRIM(Raw_Export!A1503))</f>
        <v>TXN-101473</v>
      </c>
      <c r="B1503" s="37" t="n">
        <f aca="false">IF(Raw_Export!$A1503="","",IF(ISNUMBER(Raw_Export!B1503),Raw_Export!B1503,IF(MID(TRIM(Raw_Export!B1503),5,1)="-",DATE(LEFT(TRIM(Raw_Export!B1503),4),MID(TRIM(Raw_Export!B1503),6,2),RIGHT(TRIM(Raw_Export!B1503),2)),DATE(RIGHT(TRIM(Raw_Export!B1503),4),MATCH(MID(TRIM(Raw_Export!B1503),4,3),{"Jan","Feb","Mar","Apr","May","Jun","Jul","Aug","Sep","Oct","Nov","Dec"},0),LEFT(TRIM(Raw_Export!B1503),2)))))</f>
        <v>46275</v>
      </c>
      <c r="C1503" s="36" t="str">
        <f aca="false">IF(Raw_Export!$A1503="","",IFERROR(VLOOKUP(LOWER(TRIM(Raw_Export!C1503)),Maps!$A$2:$B$20,2,FALSE()),"UNMAPPED"))</f>
        <v>Nairobi CBD</v>
      </c>
      <c r="D1503" s="36" t="str">
        <f aca="false">IF(Raw_Export!$A1503="","",IFERROR(VLOOKUP(LOWER(TRIM(Raw_Export!D1503)),Maps!$G$2:$I$80,2,FALSE()),"UNMAPPED"))</f>
        <v>Bread Loaf 400g</v>
      </c>
      <c r="E1503" s="36" t="str">
        <f aca="false">IF(Raw_Export!$A1503="","",IFERROR(VLOOKUP(LOWER(TRIM(Raw_Export!D1503)),Maps!$G$2:$I$80,3,FALSE()),"UNMAPPED"))</f>
        <v>Snacks</v>
      </c>
      <c r="F1503" s="36" t="n">
        <f aca="false">IF(Raw_Export!$A1503="","",IFERROR(VALUE(TRIM(Raw_Export!E1503)),0))</f>
        <v>2</v>
      </c>
      <c r="G1503" s="38" t="n">
        <f aca="false">IF(Raw_Export!$A1503="","",IFERROR(VALUE(SUBSTITUTE(SUBSTITUTE(UPPER(TRIM(Raw_Export!F1503)),"KES",""),",","")),0))</f>
        <v>65</v>
      </c>
      <c r="H1503" s="38" t="n">
        <f aca="false">IF(Raw_Export!$A1503="","",F1503*G1503)</f>
        <v>130</v>
      </c>
      <c r="I1503" s="36" t="str">
        <f aca="false">IF(Raw_Export!$A1503="","",IFERROR(VLOOKUP(LOWER(TRIM(Raw_Export!H1503)),Maps!$D$2:$E$12,2,FALSE()),"Other"))</f>
        <v>Cash</v>
      </c>
      <c r="J1503" s="36" t="str">
        <f aca="false">IF(Raw_Export!$A1503="","",IF(COUNTIF($A$2:A1503,A1503)&gt;1,"Duplicate",""))</f>
        <v/>
      </c>
      <c r="K1503" s="36" t="str">
        <f aca="false">IF(Raw_Export!$A1503="","",IF(J1503="Duplicate","Duplicate",IF(OR(C1503="UNMAPPED",D1503="UNMAPPED"),"Unmapped",IF(F1503=0,"Blank qty",IF(F1503&lt;0,"Return","OK")))))</f>
        <v>OK</v>
      </c>
      <c r="L1503" s="36" t="n">
        <f aca="false">IF(Raw_Export!$A1503="","",IF(OR(K1503="OK",K1503="Return"),1,0))</f>
        <v>1</v>
      </c>
      <c r="M1503" s="37" t="n">
        <f aca="false">IF(Raw_Export!$A1503="","",B1503-WEEKDAY(B1503,2)+1)</f>
        <v>46272</v>
      </c>
    </row>
    <row r="1504" customFormat="false" ht="15" hidden="false" customHeight="false" outlineLevel="0" collapsed="false">
      <c r="A1504" s="36" t="str">
        <f aca="false">IF(Raw_Export!$A1504="","",TRIM(Raw_Export!A1504))</f>
        <v>TXN-101132</v>
      </c>
      <c r="B1504" s="37" t="n">
        <f aca="false">IF(Raw_Export!$A1504="","",IF(ISNUMBER(Raw_Export!B1504),Raw_Export!B1504,IF(MID(TRIM(Raw_Export!B1504),5,1)="-",DATE(LEFT(TRIM(Raw_Export!B1504),4),MID(TRIM(Raw_Export!B1504),6,2),RIGHT(TRIM(Raw_Export!B1504),2)),DATE(RIGHT(TRIM(Raw_Export!B1504),4),MATCH(MID(TRIM(Raw_Export!B1504),4,3),{"Jan","Feb","Mar","Apr","May","Jun","Jul","Aug","Sep","Oct","Nov","Dec"},0),LEFT(TRIM(Raw_Export!B1504),2)))))</f>
        <v>46272</v>
      </c>
      <c r="C1504" s="36" t="str">
        <f aca="false">IF(Raw_Export!$A1504="","",IFERROR(VLOOKUP(LOWER(TRIM(Raw_Export!C1504)),Maps!$A$2:$B$20,2,FALSE()),"UNMAPPED"))</f>
        <v>Westlands</v>
      </c>
      <c r="D1504" s="36" t="str">
        <f aca="false">IF(Raw_Export!$A1504="","",IFERROR(VLOOKUP(LOWER(TRIM(Raw_Export!D1504)),Maps!$G$2:$I$80,2,FALSE()),"UNMAPPED"))</f>
        <v>Juice 1L</v>
      </c>
      <c r="E1504" s="36" t="str">
        <f aca="false">IF(Raw_Export!$A1504="","",IFERROR(VLOOKUP(LOWER(TRIM(Raw_Export!D1504)),Maps!$G$2:$I$80,3,FALSE()),"UNMAPPED"))</f>
        <v>Beverages</v>
      </c>
      <c r="F1504" s="36" t="n">
        <f aca="false">IF(Raw_Export!$A1504="","",IFERROR(VALUE(TRIM(Raw_Export!E1504)),0))</f>
        <v>1</v>
      </c>
      <c r="G1504" s="38" t="n">
        <f aca="false">IF(Raw_Export!$A1504="","",IFERROR(VALUE(SUBSTITUTE(SUBSTITUTE(UPPER(TRIM(Raw_Export!F1504)),"KES",""),",","")),0))</f>
        <v>210</v>
      </c>
      <c r="H1504" s="38" t="n">
        <f aca="false">IF(Raw_Export!$A1504="","",F1504*G1504)</f>
        <v>210</v>
      </c>
      <c r="I1504" s="36" t="str">
        <f aca="false">IF(Raw_Export!$A1504="","",IFERROR(VLOOKUP(LOWER(TRIM(Raw_Export!H1504)),Maps!$D$2:$E$12,2,FALSE()),"Other"))</f>
        <v>M-Pesa</v>
      </c>
      <c r="J1504" s="36" t="str">
        <f aca="false">IF(Raw_Export!$A1504="","",IF(COUNTIF($A$2:A1504,A1504)&gt;1,"Duplicate",""))</f>
        <v>Duplicate</v>
      </c>
      <c r="K1504" s="36" t="str">
        <f aca="false">IF(Raw_Export!$A1504="","",IF(J1504="Duplicate","Duplicate",IF(OR(C1504="UNMAPPED",D1504="UNMAPPED"),"Unmapped",IF(F1504=0,"Blank qty",IF(F1504&lt;0,"Return","OK")))))</f>
        <v>Duplicate</v>
      </c>
      <c r="L1504" s="36" t="n">
        <f aca="false">IF(Raw_Export!$A1504="","",IF(OR(K1504="OK",K1504="Return"),1,0))</f>
        <v>0</v>
      </c>
      <c r="M1504" s="37" t="n">
        <f aca="false">IF(Raw_Export!$A1504="","",B1504-WEEKDAY(B1504,2)+1)</f>
        <v>46272</v>
      </c>
    </row>
    <row r="1505" customFormat="false" ht="15" hidden="false" customHeight="false" outlineLevel="0" collapsed="false">
      <c r="A1505" s="36" t="str">
        <f aca="false">IF(Raw_Export!$A1505="","",TRIM(Raw_Export!A1505))</f>
        <v>TXN-101474</v>
      </c>
      <c r="B1505" s="37" t="n">
        <f aca="false">IF(Raw_Export!$A1505="","",IF(ISNUMBER(Raw_Export!B1505),Raw_Export!B1505,IF(MID(TRIM(Raw_Export!B1505),5,1)="-",DATE(LEFT(TRIM(Raw_Export!B1505),4),MID(TRIM(Raw_Export!B1505),6,2),RIGHT(TRIM(Raw_Export!B1505),2)),DATE(RIGHT(TRIM(Raw_Export!B1505),4),MATCH(MID(TRIM(Raw_Export!B1505),4,3),{"Jan","Feb","Mar","Apr","May","Jun","Jul","Aug","Sep","Oct","Nov","Dec"},0),LEFT(TRIM(Raw_Export!B1505),2)))))</f>
        <v>46275</v>
      </c>
      <c r="C1505" s="36" t="str">
        <f aca="false">IF(Raw_Export!$A1505="","",IFERROR(VLOOKUP(LOWER(TRIM(Raw_Export!C1505)),Maps!$A$2:$B$20,2,FALSE()),"UNMAPPED"))</f>
        <v>Nairobi CBD</v>
      </c>
      <c r="D1505" s="36" t="str">
        <f aca="false">IF(Raw_Export!$A1505="","",IFERROR(VLOOKUP(LOWER(TRIM(Raw_Export!D1505)),Maps!$G$2:$I$80,2,FALSE()),"UNMAPPED"))</f>
        <v>Coffee 100g</v>
      </c>
      <c r="E1505" s="36" t="str">
        <f aca="false">IF(Raw_Export!$A1505="","",IFERROR(VLOOKUP(LOWER(TRIM(Raw_Export!D1505)),Maps!$G$2:$I$80,3,FALSE()),"UNMAPPED"))</f>
        <v>Beverages</v>
      </c>
      <c r="F1505" s="36" t="n">
        <f aca="false">IF(Raw_Export!$A1505="","",IFERROR(VALUE(TRIM(Raw_Export!E1505)),0))</f>
        <v>2</v>
      </c>
      <c r="G1505" s="38" t="n">
        <f aca="false">IF(Raw_Export!$A1505="","",IFERROR(VALUE(SUBSTITUTE(SUBSTITUTE(UPPER(TRIM(Raw_Export!F1505)),"KES",""),",","")),0))</f>
        <v>360</v>
      </c>
      <c r="H1505" s="38" t="n">
        <f aca="false">IF(Raw_Export!$A1505="","",F1505*G1505)</f>
        <v>720</v>
      </c>
      <c r="I1505" s="36" t="str">
        <f aca="false">IF(Raw_Export!$A1505="","",IFERROR(VLOOKUP(LOWER(TRIM(Raw_Export!H1505)),Maps!$D$2:$E$12,2,FALSE()),"Other"))</f>
        <v>M-Pesa</v>
      </c>
      <c r="J1505" s="36" t="str">
        <f aca="false">IF(Raw_Export!$A1505="","",IF(COUNTIF($A$2:A1505,A1505)&gt;1,"Duplicate",""))</f>
        <v/>
      </c>
      <c r="K1505" s="36" t="str">
        <f aca="false">IF(Raw_Export!$A1505="","",IF(J1505="Duplicate","Duplicate",IF(OR(C1505="UNMAPPED",D1505="UNMAPPED"),"Unmapped",IF(F1505=0,"Blank qty",IF(F1505&lt;0,"Return","OK")))))</f>
        <v>OK</v>
      </c>
      <c r="L1505" s="36" t="n">
        <f aca="false">IF(Raw_Export!$A1505="","",IF(OR(K1505="OK",K1505="Return"),1,0))</f>
        <v>1</v>
      </c>
      <c r="M1505" s="37" t="n">
        <f aca="false">IF(Raw_Export!$A1505="","",B1505-WEEKDAY(B1505,2)+1)</f>
        <v>46272</v>
      </c>
    </row>
    <row r="1506" customFormat="false" ht="15" hidden="false" customHeight="false" outlineLevel="0" collapsed="false">
      <c r="A1506" s="36" t="str">
        <f aca="false">IF(Raw_Export!$A1506="","",TRIM(Raw_Export!A1506))</f>
        <v>TXN-101475</v>
      </c>
      <c r="B1506" s="37" t="n">
        <f aca="false">IF(Raw_Export!$A1506="","",IF(ISNUMBER(Raw_Export!B1506),Raw_Export!B1506,IF(MID(TRIM(Raw_Export!B1506),5,1)="-",DATE(LEFT(TRIM(Raw_Export!B1506),4),MID(TRIM(Raw_Export!B1506),6,2),RIGHT(TRIM(Raw_Export!B1506),2)),DATE(RIGHT(TRIM(Raw_Export!B1506),4),MATCH(MID(TRIM(Raw_Export!B1506),4,3),{"Jan","Feb","Mar","Apr","May","Jun","Jul","Aug","Sep","Oct","Nov","Dec"},0),LEFT(TRIM(Raw_Export!B1506),2)))))</f>
        <v>46275</v>
      </c>
      <c r="C1506" s="36" t="str">
        <f aca="false">IF(Raw_Export!$A1506="","",IFERROR(VLOOKUP(LOWER(TRIM(Raw_Export!C1506)),Maps!$A$2:$B$20,2,FALSE()),"UNMAPPED"))</f>
        <v>Nairobi CBD</v>
      </c>
      <c r="D1506" s="36" t="str">
        <f aca="false">IF(Raw_Export!$A1506="","",IFERROR(VLOOKUP(LOWER(TRIM(Raw_Export!D1506)),Maps!$G$2:$I$80,2,FALSE()),"UNMAPPED"))</f>
        <v>Tea Leaves 250g</v>
      </c>
      <c r="E1506" s="36" t="str">
        <f aca="false">IF(Raw_Export!$A1506="","",IFERROR(VLOOKUP(LOWER(TRIM(Raw_Export!D1506)),Maps!$G$2:$I$80,3,FALSE()),"UNMAPPED"))</f>
        <v>Beverages</v>
      </c>
      <c r="F1506" s="36" t="n">
        <f aca="false">IF(Raw_Export!$A1506="","",IFERROR(VALUE(TRIM(Raw_Export!E1506)),0))</f>
        <v>1</v>
      </c>
      <c r="G1506" s="38" t="n">
        <f aca="false">IF(Raw_Export!$A1506="","",IFERROR(VALUE(SUBSTITUTE(SUBSTITUTE(UPPER(TRIM(Raw_Export!F1506)),"KES",""),",","")),0))</f>
        <v>150</v>
      </c>
      <c r="H1506" s="38" t="n">
        <f aca="false">IF(Raw_Export!$A1506="","",F1506*G1506)</f>
        <v>150</v>
      </c>
      <c r="I1506" s="36" t="str">
        <f aca="false">IF(Raw_Export!$A1506="","",IFERROR(VLOOKUP(LOWER(TRIM(Raw_Export!H1506)),Maps!$D$2:$E$12,2,FALSE()),"Other"))</f>
        <v>M-Pesa</v>
      </c>
      <c r="J1506" s="36" t="str">
        <f aca="false">IF(Raw_Export!$A1506="","",IF(COUNTIF($A$2:A1506,A1506)&gt;1,"Duplicate",""))</f>
        <v/>
      </c>
      <c r="K1506" s="36" t="str">
        <f aca="false">IF(Raw_Export!$A1506="","",IF(J1506="Duplicate","Duplicate",IF(OR(C1506="UNMAPPED",D1506="UNMAPPED"),"Unmapped",IF(F1506=0,"Blank qty",IF(F1506&lt;0,"Return","OK")))))</f>
        <v>OK</v>
      </c>
      <c r="L1506" s="36" t="n">
        <f aca="false">IF(Raw_Export!$A1506="","",IF(OR(K1506="OK",K1506="Return"),1,0))</f>
        <v>1</v>
      </c>
      <c r="M1506" s="37" t="n">
        <f aca="false">IF(Raw_Export!$A1506="","",B1506-WEEKDAY(B1506,2)+1)</f>
        <v>46272</v>
      </c>
    </row>
    <row r="1507" customFormat="false" ht="15" hidden="false" customHeight="false" outlineLevel="0" collapsed="false">
      <c r="A1507" s="36" t="str">
        <f aca="false">IF(Raw_Export!$A1507="","",TRIM(Raw_Export!A1507))</f>
        <v>TXN-101476</v>
      </c>
      <c r="B1507" s="37" t="n">
        <f aca="false">IF(Raw_Export!$A1507="","",IF(ISNUMBER(Raw_Export!B1507),Raw_Export!B1507,IF(MID(TRIM(Raw_Export!B1507),5,1)="-",DATE(LEFT(TRIM(Raw_Export!B1507),4),MID(TRIM(Raw_Export!B1507),6,2),RIGHT(TRIM(Raw_Export!B1507),2)),DATE(RIGHT(TRIM(Raw_Export!B1507),4),MATCH(MID(TRIM(Raw_Export!B1507),4,3),{"Jan","Feb","Mar","Apr","May","Jun","Jul","Aug","Sep","Oct","Nov","Dec"},0),LEFT(TRIM(Raw_Export!B1507),2)))))</f>
        <v>46275</v>
      </c>
      <c r="C1507" s="36" t="str">
        <f aca="false">IF(Raw_Export!$A1507="","",IFERROR(VLOOKUP(LOWER(TRIM(Raw_Export!C1507)),Maps!$A$2:$B$20,2,FALSE()),"UNMAPPED"))</f>
        <v>Nairobi CBD</v>
      </c>
      <c r="D1507" s="36" t="str">
        <f aca="false">IF(Raw_Export!$A1507="","",IFERROR(VLOOKUP(LOWER(TRIM(Raw_Export!D1507)),Maps!$G$2:$I$80,2,FALSE()),"UNMAPPED"))</f>
        <v>Spaghetti 400g</v>
      </c>
      <c r="E1507" s="36" t="str">
        <f aca="false">IF(Raw_Export!$A1507="","",IFERROR(VLOOKUP(LOWER(TRIM(Raw_Export!D1507)),Maps!$G$2:$I$80,3,FALSE()),"UNMAPPED"))</f>
        <v>Staples</v>
      </c>
      <c r="F1507" s="36" t="n">
        <f aca="false">IF(Raw_Export!$A1507="","",IFERROR(VALUE(TRIM(Raw_Export!E1507)),0))</f>
        <v>6</v>
      </c>
      <c r="G1507" s="38" t="n">
        <f aca="false">IF(Raw_Export!$A1507="","",IFERROR(VALUE(SUBSTITUTE(SUBSTITUTE(UPPER(TRIM(Raw_Export!F1507)),"KES",""),",","")),0))</f>
        <v>110</v>
      </c>
      <c r="H1507" s="38" t="n">
        <f aca="false">IF(Raw_Export!$A1507="","",F1507*G1507)</f>
        <v>660</v>
      </c>
      <c r="I1507" s="36" t="str">
        <f aca="false">IF(Raw_Export!$A1507="","",IFERROR(VLOOKUP(LOWER(TRIM(Raw_Export!H1507)),Maps!$D$2:$E$12,2,FALSE()),"Other"))</f>
        <v>M-Pesa</v>
      </c>
      <c r="J1507" s="36" t="str">
        <f aca="false">IF(Raw_Export!$A1507="","",IF(COUNTIF($A$2:A1507,A1507)&gt;1,"Duplicate",""))</f>
        <v/>
      </c>
      <c r="K1507" s="36" t="str">
        <f aca="false">IF(Raw_Export!$A1507="","",IF(J1507="Duplicate","Duplicate",IF(OR(C1507="UNMAPPED",D1507="UNMAPPED"),"Unmapped",IF(F1507=0,"Blank qty",IF(F1507&lt;0,"Return","OK")))))</f>
        <v>OK</v>
      </c>
      <c r="L1507" s="36" t="n">
        <f aca="false">IF(Raw_Export!$A1507="","",IF(OR(K1507="OK",K1507="Return"),1,0))</f>
        <v>1</v>
      </c>
      <c r="M1507" s="37" t="n">
        <f aca="false">IF(Raw_Export!$A1507="","",B1507-WEEKDAY(B1507,2)+1)</f>
        <v>46272</v>
      </c>
    </row>
    <row r="1508" customFormat="false" ht="15" hidden="false" customHeight="false" outlineLevel="0" collapsed="false">
      <c r="A1508" s="36" t="str">
        <f aca="false">IF(Raw_Export!$A1508="","",TRIM(Raw_Export!A1508))</f>
        <v>TXN-101477</v>
      </c>
      <c r="B1508" s="37" t="n">
        <f aca="false">IF(Raw_Export!$A1508="","",IF(ISNUMBER(Raw_Export!B1508),Raw_Export!B1508,IF(MID(TRIM(Raw_Export!B1508),5,1)="-",DATE(LEFT(TRIM(Raw_Export!B1508),4),MID(TRIM(Raw_Export!B1508),6,2),RIGHT(TRIM(Raw_Export!B1508),2)),DATE(RIGHT(TRIM(Raw_Export!B1508),4),MATCH(MID(TRIM(Raw_Export!B1508),4,3),{"Jan","Feb","Mar","Apr","May","Jun","Jul","Aug","Sep","Oct","Nov","Dec"},0),LEFT(TRIM(Raw_Export!B1508),2)))))</f>
        <v>46275</v>
      </c>
      <c r="C1508" s="36" t="str">
        <f aca="false">IF(Raw_Export!$A1508="","",IFERROR(VLOOKUP(LOWER(TRIM(Raw_Export!C1508)),Maps!$A$2:$B$20,2,FALSE()),"UNMAPPED"))</f>
        <v>Nairobi CBD</v>
      </c>
      <c r="D1508" s="36" t="str">
        <f aca="false">IF(Raw_Export!$A1508="","",IFERROR(VLOOKUP(LOWER(TRIM(Raw_Export!D1508)),Maps!$G$2:$I$80,2,FALSE()),"UNMAPPED"))</f>
        <v>Butter 250g</v>
      </c>
      <c r="E1508" s="36" t="str">
        <f aca="false">IF(Raw_Export!$A1508="","",IFERROR(VLOOKUP(LOWER(TRIM(Raw_Export!D1508)),Maps!$G$2:$I$80,3,FALSE()),"UNMAPPED"))</f>
        <v>Dairy &amp; Eggs</v>
      </c>
      <c r="F1508" s="36" t="n">
        <f aca="false">IF(Raw_Export!$A1508="","",IFERROR(VALUE(TRIM(Raw_Export!E1508)),0))</f>
        <v>3</v>
      </c>
      <c r="G1508" s="38" t="n">
        <f aca="false">IF(Raw_Export!$A1508="","",IFERROR(VALUE(SUBSTITUTE(SUBSTITUTE(UPPER(TRIM(Raw_Export!F1508)),"KES",""),",","")),0))</f>
        <v>310</v>
      </c>
      <c r="H1508" s="38" t="n">
        <f aca="false">IF(Raw_Export!$A1508="","",F1508*G1508)</f>
        <v>930</v>
      </c>
      <c r="I1508" s="36" t="str">
        <f aca="false">IF(Raw_Export!$A1508="","",IFERROR(VLOOKUP(LOWER(TRIM(Raw_Export!H1508)),Maps!$D$2:$E$12,2,FALSE()),"Other"))</f>
        <v>M-Pesa</v>
      </c>
      <c r="J1508" s="36" t="str">
        <f aca="false">IF(Raw_Export!$A1508="","",IF(COUNTIF($A$2:A1508,A1508)&gt;1,"Duplicate",""))</f>
        <v/>
      </c>
      <c r="K1508" s="36" t="str">
        <f aca="false">IF(Raw_Export!$A1508="","",IF(J1508="Duplicate","Duplicate",IF(OR(C1508="UNMAPPED",D1508="UNMAPPED"),"Unmapped",IF(F1508=0,"Blank qty",IF(F1508&lt;0,"Return","OK")))))</f>
        <v>OK</v>
      </c>
      <c r="L1508" s="36" t="n">
        <f aca="false">IF(Raw_Export!$A1508="","",IF(OR(K1508="OK",K1508="Return"),1,0))</f>
        <v>1</v>
      </c>
      <c r="M1508" s="37" t="n">
        <f aca="false">IF(Raw_Export!$A1508="","",B1508-WEEKDAY(B1508,2)+1)</f>
        <v>46272</v>
      </c>
    </row>
    <row r="1509" customFormat="false" ht="15" hidden="false" customHeight="false" outlineLevel="0" collapsed="false">
      <c r="A1509" s="36" t="str">
        <f aca="false">IF(Raw_Export!$A1509="","",TRIM(Raw_Export!A1509))</f>
        <v>TXN-101478</v>
      </c>
      <c r="B1509" s="37" t="n">
        <f aca="false">IF(Raw_Export!$A1509="","",IF(ISNUMBER(Raw_Export!B1509),Raw_Export!B1509,IF(MID(TRIM(Raw_Export!B1509),5,1)="-",DATE(LEFT(TRIM(Raw_Export!B1509),4),MID(TRIM(Raw_Export!B1509),6,2),RIGHT(TRIM(Raw_Export!B1509),2)),DATE(RIGHT(TRIM(Raw_Export!B1509),4),MATCH(MID(TRIM(Raw_Export!B1509),4,3),{"Jan","Feb","Mar","Apr","May","Jun","Jul","Aug","Sep","Oct","Nov","Dec"},0),LEFT(TRIM(Raw_Export!B1509),2)))))</f>
        <v>46275</v>
      </c>
      <c r="C1509" s="36" t="str">
        <f aca="false">IF(Raw_Export!$A1509="","",IFERROR(VLOOKUP(LOWER(TRIM(Raw_Export!C1509)),Maps!$A$2:$B$20,2,FALSE()),"UNMAPPED"))</f>
        <v>Nairobi CBD</v>
      </c>
      <c r="D1509" s="36" t="str">
        <f aca="false">IF(Raw_Export!$A1509="","",IFERROR(VLOOKUP(LOWER(TRIM(Raw_Export!D1509)),Maps!$G$2:$I$80,2,FALSE()),"UNMAPPED"))</f>
        <v>Rice Pishori 2kg</v>
      </c>
      <c r="E1509" s="36" t="str">
        <f aca="false">IF(Raw_Export!$A1509="","",IFERROR(VLOOKUP(LOWER(TRIM(Raw_Export!D1509)),Maps!$G$2:$I$80,3,FALSE()),"UNMAPPED"))</f>
        <v>Staples</v>
      </c>
      <c r="F1509" s="36" t="n">
        <f aca="false">IF(Raw_Export!$A1509="","",IFERROR(VALUE(TRIM(Raw_Export!E1509)),0))</f>
        <v>4</v>
      </c>
      <c r="G1509" s="38" t="n">
        <f aca="false">IF(Raw_Export!$A1509="","",IFERROR(VALUE(SUBSTITUTE(SUBSTITUTE(UPPER(TRIM(Raw_Export!F1509)),"KES",""),",","")),0))</f>
        <v>420</v>
      </c>
      <c r="H1509" s="38" t="n">
        <f aca="false">IF(Raw_Export!$A1509="","",F1509*G1509)</f>
        <v>1680</v>
      </c>
      <c r="I1509" s="36" t="str">
        <f aca="false">IF(Raw_Export!$A1509="","",IFERROR(VLOOKUP(LOWER(TRIM(Raw_Export!H1509)),Maps!$D$2:$E$12,2,FALSE()),"Other"))</f>
        <v>Cash</v>
      </c>
      <c r="J1509" s="36" t="str">
        <f aca="false">IF(Raw_Export!$A1509="","",IF(COUNTIF($A$2:A1509,A1509)&gt;1,"Duplicate",""))</f>
        <v/>
      </c>
      <c r="K1509" s="36" t="str">
        <f aca="false">IF(Raw_Export!$A1509="","",IF(J1509="Duplicate","Duplicate",IF(OR(C1509="UNMAPPED",D1509="UNMAPPED"),"Unmapped",IF(F1509=0,"Blank qty",IF(F1509&lt;0,"Return","OK")))))</f>
        <v>OK</v>
      </c>
      <c r="L1509" s="36" t="n">
        <f aca="false">IF(Raw_Export!$A1509="","",IF(OR(K1509="OK",K1509="Return"),1,0))</f>
        <v>1</v>
      </c>
      <c r="M1509" s="37" t="n">
        <f aca="false">IF(Raw_Export!$A1509="","",B1509-WEEKDAY(B1509,2)+1)</f>
        <v>46272</v>
      </c>
    </row>
    <row r="1510" customFormat="false" ht="15" hidden="false" customHeight="false" outlineLevel="0" collapsed="false">
      <c r="A1510" s="36" t="str">
        <f aca="false">IF(Raw_Export!$A1510="","",TRIM(Raw_Export!A1510))</f>
        <v>TXN-101479</v>
      </c>
      <c r="B1510" s="37" t="n">
        <f aca="false">IF(Raw_Export!$A1510="","",IF(ISNUMBER(Raw_Export!B1510),Raw_Export!B1510,IF(MID(TRIM(Raw_Export!B1510),5,1)="-",DATE(LEFT(TRIM(Raw_Export!B1510),4),MID(TRIM(Raw_Export!B1510),6,2),RIGHT(TRIM(Raw_Export!B1510),2)),DATE(RIGHT(TRIM(Raw_Export!B1510),4),MATCH(MID(TRIM(Raw_Export!B1510),4,3),{"Jan","Feb","Mar","Apr","May","Jun","Jul","Aug","Sep","Oct","Nov","Dec"},0),LEFT(TRIM(Raw_Export!B1510),2)))))</f>
        <v>46275</v>
      </c>
      <c r="C1510" s="36" t="str">
        <f aca="false">IF(Raw_Export!$A1510="","",IFERROR(VLOOKUP(LOWER(TRIM(Raw_Export!C1510)),Maps!$A$2:$B$20,2,FALSE()),"UNMAPPED"))</f>
        <v>Nairobi CBD</v>
      </c>
      <c r="D1510" s="36" t="str">
        <f aca="false">IF(Raw_Export!$A1510="","",IFERROR(VLOOKUP(LOWER(TRIM(Raw_Export!D1510)),Maps!$G$2:$I$80,2,FALSE()),"UNMAPPED"))</f>
        <v>Cooking Oil 1L</v>
      </c>
      <c r="E1510" s="36" t="str">
        <f aca="false">IF(Raw_Export!$A1510="","",IFERROR(VLOOKUP(LOWER(TRIM(Raw_Export!D1510)),Maps!$G$2:$I$80,3,FALSE()),"UNMAPPED"))</f>
        <v>Staples</v>
      </c>
      <c r="F1510" s="36" t="n">
        <f aca="false">IF(Raw_Export!$A1510="","",IFERROR(VALUE(TRIM(Raw_Export!E1510)),0))</f>
        <v>4</v>
      </c>
      <c r="G1510" s="38" t="n">
        <f aca="false">IF(Raw_Export!$A1510="","",IFERROR(VALUE(SUBSTITUTE(SUBSTITUTE(UPPER(TRIM(Raw_Export!F1510)),"KES",""),",","")),0))</f>
        <v>330</v>
      </c>
      <c r="H1510" s="38" t="n">
        <f aca="false">IF(Raw_Export!$A1510="","",F1510*G1510)</f>
        <v>1320</v>
      </c>
      <c r="I1510" s="36" t="str">
        <f aca="false">IF(Raw_Export!$A1510="","",IFERROR(VLOOKUP(LOWER(TRIM(Raw_Export!H1510)),Maps!$D$2:$E$12,2,FALSE()),"Other"))</f>
        <v>Card</v>
      </c>
      <c r="J1510" s="36" t="str">
        <f aca="false">IF(Raw_Export!$A1510="","",IF(COUNTIF($A$2:A1510,A1510)&gt;1,"Duplicate",""))</f>
        <v/>
      </c>
      <c r="K1510" s="36" t="str">
        <f aca="false">IF(Raw_Export!$A1510="","",IF(J1510="Duplicate","Duplicate",IF(OR(C1510="UNMAPPED",D1510="UNMAPPED"),"Unmapped",IF(F1510=0,"Blank qty",IF(F1510&lt;0,"Return","OK")))))</f>
        <v>OK</v>
      </c>
      <c r="L1510" s="36" t="n">
        <f aca="false">IF(Raw_Export!$A1510="","",IF(OR(K1510="OK",K1510="Return"),1,0))</f>
        <v>1</v>
      </c>
      <c r="M1510" s="37" t="n">
        <f aca="false">IF(Raw_Export!$A1510="","",B1510-WEEKDAY(B1510,2)+1)</f>
        <v>46272</v>
      </c>
    </row>
    <row r="1511" customFormat="false" ht="15" hidden="false" customHeight="false" outlineLevel="0" collapsed="false">
      <c r="A1511" s="36" t="str">
        <f aca="false">IF(Raw_Export!$A1511="","",TRIM(Raw_Export!A1511))</f>
        <v>TXN-101480</v>
      </c>
      <c r="B1511" s="37" t="n">
        <f aca="false">IF(Raw_Export!$A1511="","",IF(ISNUMBER(Raw_Export!B1511),Raw_Export!B1511,IF(MID(TRIM(Raw_Export!B1511),5,1)="-",DATE(LEFT(TRIM(Raw_Export!B1511),4),MID(TRIM(Raw_Export!B1511),6,2),RIGHT(TRIM(Raw_Export!B1511),2)),DATE(RIGHT(TRIM(Raw_Export!B1511),4),MATCH(MID(TRIM(Raw_Export!B1511),4,3),{"Jan","Feb","Mar","Apr","May","Jun","Jul","Aug","Sep","Oct","Nov","Dec"},0),LEFT(TRIM(Raw_Export!B1511),2)))))</f>
        <v>46275</v>
      </c>
      <c r="C1511" s="36" t="str">
        <f aca="false">IF(Raw_Export!$A1511="","",IFERROR(VLOOKUP(LOWER(TRIM(Raw_Export!C1511)),Maps!$A$2:$B$20,2,FALSE()),"UNMAPPED"))</f>
        <v>Nairobi CBD</v>
      </c>
      <c r="D1511" s="36" t="str">
        <f aca="false">IF(Raw_Export!$A1511="","",IFERROR(VLOOKUP(LOWER(TRIM(Raw_Export!D1511)),Maps!$G$2:$I$80,2,FALSE()),"UNMAPPED"))</f>
        <v>Peanuts 250g</v>
      </c>
      <c r="E1511" s="36" t="str">
        <f aca="false">IF(Raw_Export!$A1511="","",IFERROR(VLOOKUP(LOWER(TRIM(Raw_Export!D1511)),Maps!$G$2:$I$80,3,FALSE()),"UNMAPPED"))</f>
        <v>Snacks</v>
      </c>
      <c r="F1511" s="36" t="n">
        <f aca="false">IF(Raw_Export!$A1511="","",IFERROR(VALUE(TRIM(Raw_Export!E1511)),0))</f>
        <v>3</v>
      </c>
      <c r="G1511" s="38" t="n">
        <f aca="false">IF(Raw_Export!$A1511="","",IFERROR(VALUE(SUBSTITUTE(SUBSTITUTE(UPPER(TRIM(Raw_Export!F1511)),"KES",""),",","")),0))</f>
        <v>130</v>
      </c>
      <c r="H1511" s="38" t="n">
        <f aca="false">IF(Raw_Export!$A1511="","",F1511*G1511)</f>
        <v>390</v>
      </c>
      <c r="I1511" s="36" t="str">
        <f aca="false">IF(Raw_Export!$A1511="","",IFERROR(VLOOKUP(LOWER(TRIM(Raw_Export!H1511)),Maps!$D$2:$E$12,2,FALSE()),"Other"))</f>
        <v>M-Pesa</v>
      </c>
      <c r="J1511" s="36" t="str">
        <f aca="false">IF(Raw_Export!$A1511="","",IF(COUNTIF($A$2:A1511,A1511)&gt;1,"Duplicate",""))</f>
        <v/>
      </c>
      <c r="K1511" s="36" t="str">
        <f aca="false">IF(Raw_Export!$A1511="","",IF(J1511="Duplicate","Duplicate",IF(OR(C1511="UNMAPPED",D1511="UNMAPPED"),"Unmapped",IF(F1511=0,"Blank qty",IF(F1511&lt;0,"Return","OK")))))</f>
        <v>OK</v>
      </c>
      <c r="L1511" s="36" t="n">
        <f aca="false">IF(Raw_Export!$A1511="","",IF(OR(K1511="OK",K1511="Return"),1,0))</f>
        <v>1</v>
      </c>
      <c r="M1511" s="37" t="n">
        <f aca="false">IF(Raw_Export!$A1511="","",B1511-WEEKDAY(B1511,2)+1)</f>
        <v>46272</v>
      </c>
    </row>
    <row r="1512" customFormat="false" ht="15" hidden="false" customHeight="false" outlineLevel="0" collapsed="false">
      <c r="A1512" s="36" t="str">
        <f aca="false">IF(Raw_Export!$A1512="","",TRIM(Raw_Export!A1512))</f>
        <v>TXN-101481</v>
      </c>
      <c r="B1512" s="37" t="n">
        <f aca="false">IF(Raw_Export!$A1512="","",IF(ISNUMBER(Raw_Export!B1512),Raw_Export!B1512,IF(MID(TRIM(Raw_Export!B1512),5,1)="-",DATE(LEFT(TRIM(Raw_Export!B1512),4),MID(TRIM(Raw_Export!B1512),6,2),RIGHT(TRIM(Raw_Export!B1512),2)),DATE(RIGHT(TRIM(Raw_Export!B1512),4),MATCH(MID(TRIM(Raw_Export!B1512),4,3),{"Jan","Feb","Mar","Apr","May","Jun","Jul","Aug","Sep","Oct","Nov","Dec"},0),LEFT(TRIM(Raw_Export!B1512),2)))))</f>
        <v>46275</v>
      </c>
      <c r="C1512" s="36" t="str">
        <f aca="false">IF(Raw_Export!$A1512="","",IFERROR(VLOOKUP(LOWER(TRIM(Raw_Export!C1512)),Maps!$A$2:$B$20,2,FALSE()),"UNMAPPED"))</f>
        <v>Nairobi CBD</v>
      </c>
      <c r="D1512" s="36" t="str">
        <f aca="false">IF(Raw_Export!$A1512="","",IFERROR(VLOOKUP(LOWER(TRIM(Raw_Export!D1512)),Maps!$G$2:$I$80,2,FALSE()),"UNMAPPED"))</f>
        <v>Peanuts 250g</v>
      </c>
      <c r="E1512" s="36" t="str">
        <f aca="false">IF(Raw_Export!$A1512="","",IFERROR(VLOOKUP(LOWER(TRIM(Raw_Export!D1512)),Maps!$G$2:$I$80,3,FALSE()),"UNMAPPED"))</f>
        <v>Snacks</v>
      </c>
      <c r="F1512" s="36" t="n">
        <f aca="false">IF(Raw_Export!$A1512="","",IFERROR(VALUE(TRIM(Raw_Export!E1512)),0))</f>
        <v>2</v>
      </c>
      <c r="G1512" s="38" t="n">
        <f aca="false">IF(Raw_Export!$A1512="","",IFERROR(VALUE(SUBSTITUTE(SUBSTITUTE(UPPER(TRIM(Raw_Export!F1512)),"KES",""),",","")),0))</f>
        <v>130</v>
      </c>
      <c r="H1512" s="38" t="n">
        <f aca="false">IF(Raw_Export!$A1512="","",F1512*G1512)</f>
        <v>260</v>
      </c>
      <c r="I1512" s="36" t="str">
        <f aca="false">IF(Raw_Export!$A1512="","",IFERROR(VLOOKUP(LOWER(TRIM(Raw_Export!H1512)),Maps!$D$2:$E$12,2,FALSE()),"Other"))</f>
        <v>Card</v>
      </c>
      <c r="J1512" s="36" t="str">
        <f aca="false">IF(Raw_Export!$A1512="","",IF(COUNTIF($A$2:A1512,A1512)&gt;1,"Duplicate",""))</f>
        <v/>
      </c>
      <c r="K1512" s="36" t="str">
        <f aca="false">IF(Raw_Export!$A1512="","",IF(J1512="Duplicate","Duplicate",IF(OR(C1512="UNMAPPED",D1512="UNMAPPED"),"Unmapped",IF(F1512=0,"Blank qty",IF(F1512&lt;0,"Return","OK")))))</f>
        <v>OK</v>
      </c>
      <c r="L1512" s="36" t="n">
        <f aca="false">IF(Raw_Export!$A1512="","",IF(OR(K1512="OK",K1512="Return"),1,0))</f>
        <v>1</v>
      </c>
      <c r="M1512" s="37" t="n">
        <f aca="false">IF(Raw_Export!$A1512="","",B1512-WEEKDAY(B1512,2)+1)</f>
        <v>46272</v>
      </c>
    </row>
    <row r="1513" customFormat="false" ht="15" hidden="false" customHeight="false" outlineLevel="0" collapsed="false">
      <c r="A1513" s="36" t="str">
        <f aca="false">IF(Raw_Export!$A1513="","",TRIM(Raw_Export!A1513))</f>
        <v>TXN-101482</v>
      </c>
      <c r="B1513" s="37" t="n">
        <f aca="false">IF(Raw_Export!$A1513="","",IF(ISNUMBER(Raw_Export!B1513),Raw_Export!B1513,IF(MID(TRIM(Raw_Export!B1513),5,1)="-",DATE(LEFT(TRIM(Raw_Export!B1513),4),MID(TRIM(Raw_Export!B1513),6,2),RIGHT(TRIM(Raw_Export!B1513),2)),DATE(RIGHT(TRIM(Raw_Export!B1513),4),MATCH(MID(TRIM(Raw_Export!B1513),4,3),{"Jan","Feb","Mar","Apr","May","Jun","Jul","Aug","Sep","Oct","Nov","Dec"},0),LEFT(TRIM(Raw_Export!B1513),2)))))</f>
        <v>46275</v>
      </c>
      <c r="C1513" s="36" t="str">
        <f aca="false">IF(Raw_Export!$A1513="","",IFERROR(VLOOKUP(LOWER(TRIM(Raw_Export!C1513)),Maps!$A$2:$B$20,2,FALSE()),"UNMAPPED"))</f>
        <v>Nairobi CBD</v>
      </c>
      <c r="D1513" s="36" t="str">
        <f aca="false">IF(Raw_Export!$A1513="","",IFERROR(VLOOKUP(LOWER(TRIM(Raw_Export!D1513)),Maps!$G$2:$I$80,2,FALSE()),"UNMAPPED"))</f>
        <v>Soda 500ml</v>
      </c>
      <c r="E1513" s="36" t="str">
        <f aca="false">IF(Raw_Export!$A1513="","",IFERROR(VLOOKUP(LOWER(TRIM(Raw_Export!D1513)),Maps!$G$2:$I$80,3,FALSE()),"UNMAPPED"))</f>
        <v>Beverages</v>
      </c>
      <c r="F1513" s="36" t="n">
        <f aca="false">IF(Raw_Export!$A1513="","",IFERROR(VALUE(TRIM(Raw_Export!E1513)),0))</f>
        <v>2</v>
      </c>
      <c r="G1513" s="38" t="n">
        <f aca="false">IF(Raw_Export!$A1513="","",IFERROR(VALUE(SUBSTITUTE(SUBSTITUTE(UPPER(TRIM(Raw_Export!F1513)),"KES",""),",","")),0))</f>
        <v>54</v>
      </c>
      <c r="H1513" s="38" t="n">
        <f aca="false">IF(Raw_Export!$A1513="","",F1513*G1513)</f>
        <v>108</v>
      </c>
      <c r="I1513" s="36" t="str">
        <f aca="false">IF(Raw_Export!$A1513="","",IFERROR(VLOOKUP(LOWER(TRIM(Raw_Export!H1513)),Maps!$D$2:$E$12,2,FALSE()),"Other"))</f>
        <v>Cash</v>
      </c>
      <c r="J1513" s="36" t="str">
        <f aca="false">IF(Raw_Export!$A1513="","",IF(COUNTIF($A$2:A1513,A1513)&gt;1,"Duplicate",""))</f>
        <v/>
      </c>
      <c r="K1513" s="36" t="str">
        <f aca="false">IF(Raw_Export!$A1513="","",IF(J1513="Duplicate","Duplicate",IF(OR(C1513="UNMAPPED",D1513="UNMAPPED"),"Unmapped",IF(F1513=0,"Blank qty",IF(F1513&lt;0,"Return","OK")))))</f>
        <v>OK</v>
      </c>
      <c r="L1513" s="36" t="n">
        <f aca="false">IF(Raw_Export!$A1513="","",IF(OR(K1513="OK",K1513="Return"),1,0))</f>
        <v>1</v>
      </c>
      <c r="M1513" s="37" t="n">
        <f aca="false">IF(Raw_Export!$A1513="","",B1513-WEEKDAY(B1513,2)+1)</f>
        <v>46272</v>
      </c>
    </row>
    <row r="1514" customFormat="false" ht="15" hidden="false" customHeight="false" outlineLevel="0" collapsed="false">
      <c r="A1514" s="36" t="str">
        <f aca="false">IF(Raw_Export!$A1514="","",TRIM(Raw_Export!A1514))</f>
        <v>TXN-101483</v>
      </c>
      <c r="B1514" s="37" t="n">
        <f aca="false">IF(Raw_Export!$A1514="","",IF(ISNUMBER(Raw_Export!B1514),Raw_Export!B1514,IF(MID(TRIM(Raw_Export!B1514),5,1)="-",DATE(LEFT(TRIM(Raw_Export!B1514),4),MID(TRIM(Raw_Export!B1514),6,2),RIGHT(TRIM(Raw_Export!B1514),2)),DATE(RIGHT(TRIM(Raw_Export!B1514),4),MATCH(MID(TRIM(Raw_Export!B1514),4,3),{"Jan","Feb","Mar","Apr","May","Jun","Jul","Aug","Sep","Oct","Nov","Dec"},0),LEFT(TRIM(Raw_Export!B1514),2)))))</f>
        <v>46275</v>
      </c>
      <c r="C1514" s="36" t="str">
        <f aca="false">IF(Raw_Export!$A1514="","",IFERROR(VLOOKUP(LOWER(TRIM(Raw_Export!C1514)),Maps!$A$2:$B$20,2,FALSE()),"UNMAPPED"))</f>
        <v>Nairobi CBD</v>
      </c>
      <c r="D1514" s="36" t="str">
        <f aca="false">IF(Raw_Export!$A1514="","",IFERROR(VLOOKUP(LOWER(TRIM(Raw_Export!D1514)),Maps!$G$2:$I$80,2,FALSE()),"UNMAPPED"))</f>
        <v>Sugar 2kg</v>
      </c>
      <c r="E1514" s="36" t="str">
        <f aca="false">IF(Raw_Export!$A1514="","",IFERROR(VLOOKUP(LOWER(TRIM(Raw_Export!D1514)),Maps!$G$2:$I$80,3,FALSE()),"UNMAPPED"))</f>
        <v>Staples</v>
      </c>
      <c r="F1514" s="36" t="n">
        <f aca="false">IF(Raw_Export!$A1514="","",IFERROR(VALUE(TRIM(Raw_Export!E1514)),0))</f>
        <v>1</v>
      </c>
      <c r="G1514" s="38" t="n">
        <f aca="false">IF(Raw_Export!$A1514="","",IFERROR(VALUE(SUBSTITUTE(SUBSTITUTE(UPPER(TRIM(Raw_Export!F1514)),"KES",""),",","")),0))</f>
        <v>330</v>
      </c>
      <c r="H1514" s="38" t="n">
        <f aca="false">IF(Raw_Export!$A1514="","",F1514*G1514)</f>
        <v>330</v>
      </c>
      <c r="I1514" s="36" t="str">
        <f aca="false">IF(Raw_Export!$A1514="","",IFERROR(VLOOKUP(LOWER(TRIM(Raw_Export!H1514)),Maps!$D$2:$E$12,2,FALSE()),"Other"))</f>
        <v>M-Pesa</v>
      </c>
      <c r="J1514" s="36" t="str">
        <f aca="false">IF(Raw_Export!$A1514="","",IF(COUNTIF($A$2:A1514,A1514)&gt;1,"Duplicate",""))</f>
        <v/>
      </c>
      <c r="K1514" s="36" t="str">
        <f aca="false">IF(Raw_Export!$A1514="","",IF(J1514="Duplicate","Duplicate",IF(OR(C1514="UNMAPPED",D1514="UNMAPPED"),"Unmapped",IF(F1514=0,"Blank qty",IF(F1514&lt;0,"Return","OK")))))</f>
        <v>OK</v>
      </c>
      <c r="L1514" s="36" t="n">
        <f aca="false">IF(Raw_Export!$A1514="","",IF(OR(K1514="OK",K1514="Return"),1,0))</f>
        <v>1</v>
      </c>
      <c r="M1514" s="37" t="n">
        <f aca="false">IF(Raw_Export!$A1514="","",B1514-WEEKDAY(B1514,2)+1)</f>
        <v>46272</v>
      </c>
    </row>
    <row r="1515" customFormat="false" ht="15" hidden="false" customHeight="false" outlineLevel="0" collapsed="false">
      <c r="A1515" s="36" t="str">
        <f aca="false">IF(Raw_Export!$A1515="","",TRIM(Raw_Export!A1515))</f>
        <v>TXN-101484</v>
      </c>
      <c r="B1515" s="37" t="n">
        <f aca="false">IF(Raw_Export!$A1515="","",IF(ISNUMBER(Raw_Export!B1515),Raw_Export!B1515,IF(MID(TRIM(Raw_Export!B1515),5,1)="-",DATE(LEFT(TRIM(Raw_Export!B1515),4),MID(TRIM(Raw_Export!B1515),6,2),RIGHT(TRIM(Raw_Export!B1515),2)),DATE(RIGHT(TRIM(Raw_Export!B1515),4),MATCH(MID(TRIM(Raw_Export!B1515),4,3),{"Jan","Feb","Mar","Apr","May","Jun","Jul","Aug","Sep","Oct","Nov","Dec"},0),LEFT(TRIM(Raw_Export!B1515),2)))))</f>
        <v>46275</v>
      </c>
      <c r="C1515" s="36" t="str">
        <f aca="false">IF(Raw_Export!$A1515="","",IFERROR(VLOOKUP(LOWER(TRIM(Raw_Export!C1515)),Maps!$A$2:$B$20,2,FALSE()),"UNMAPPED"))</f>
        <v>Nairobi CBD</v>
      </c>
      <c r="D1515" s="36" t="str">
        <f aca="false">IF(Raw_Export!$A1515="","",IFERROR(VLOOKUP(LOWER(TRIM(Raw_Export!D1515)),Maps!$G$2:$I$80,2,FALSE()),"UNMAPPED"))</f>
        <v>Peanuts 250g</v>
      </c>
      <c r="E1515" s="36" t="str">
        <f aca="false">IF(Raw_Export!$A1515="","",IFERROR(VLOOKUP(LOWER(TRIM(Raw_Export!D1515)),Maps!$G$2:$I$80,3,FALSE()),"UNMAPPED"))</f>
        <v>Snacks</v>
      </c>
      <c r="F1515" s="36" t="n">
        <f aca="false">IF(Raw_Export!$A1515="","",IFERROR(VALUE(TRIM(Raw_Export!E1515)),0))</f>
        <v>2</v>
      </c>
      <c r="G1515" s="38" t="n">
        <f aca="false">IF(Raw_Export!$A1515="","",IFERROR(VALUE(SUBSTITUTE(SUBSTITUTE(UPPER(TRIM(Raw_Export!F1515)),"KES",""),",","")),0))</f>
        <v>130</v>
      </c>
      <c r="H1515" s="38" t="n">
        <f aca="false">IF(Raw_Export!$A1515="","",F1515*G1515)</f>
        <v>260</v>
      </c>
      <c r="I1515" s="36" t="str">
        <f aca="false">IF(Raw_Export!$A1515="","",IFERROR(VLOOKUP(LOWER(TRIM(Raw_Export!H1515)),Maps!$D$2:$E$12,2,FALSE()),"Other"))</f>
        <v>Card</v>
      </c>
      <c r="J1515" s="36" t="str">
        <f aca="false">IF(Raw_Export!$A1515="","",IF(COUNTIF($A$2:A1515,A1515)&gt;1,"Duplicate",""))</f>
        <v/>
      </c>
      <c r="K1515" s="36" t="str">
        <f aca="false">IF(Raw_Export!$A1515="","",IF(J1515="Duplicate","Duplicate",IF(OR(C1515="UNMAPPED",D1515="UNMAPPED"),"Unmapped",IF(F1515=0,"Blank qty",IF(F1515&lt;0,"Return","OK")))))</f>
        <v>OK</v>
      </c>
      <c r="L1515" s="36" t="n">
        <f aca="false">IF(Raw_Export!$A1515="","",IF(OR(K1515="OK",K1515="Return"),1,0))</f>
        <v>1</v>
      </c>
      <c r="M1515" s="37" t="n">
        <f aca="false">IF(Raw_Export!$A1515="","",B1515-WEEKDAY(B1515,2)+1)</f>
        <v>46272</v>
      </c>
    </row>
    <row r="1516" customFormat="false" ht="15" hidden="false" customHeight="false" outlineLevel="0" collapsed="false">
      <c r="A1516" s="36" t="str">
        <f aca="false">IF(Raw_Export!$A1516="","",TRIM(Raw_Export!A1516))</f>
        <v>TXN-101485</v>
      </c>
      <c r="B1516" s="37" t="n">
        <f aca="false">IF(Raw_Export!$A1516="","",IF(ISNUMBER(Raw_Export!B1516),Raw_Export!B1516,IF(MID(TRIM(Raw_Export!B1516),5,1)="-",DATE(LEFT(TRIM(Raw_Export!B1516),4),MID(TRIM(Raw_Export!B1516),6,2),RIGHT(TRIM(Raw_Export!B1516),2)),DATE(RIGHT(TRIM(Raw_Export!B1516),4),MATCH(MID(TRIM(Raw_Export!B1516),4,3),{"Jan","Feb","Mar","Apr","May","Jun","Jul","Aug","Sep","Oct","Nov","Dec"},0),LEFT(TRIM(Raw_Export!B1516),2)))))</f>
        <v>46275</v>
      </c>
      <c r="C1516" s="36" t="str">
        <f aca="false">IF(Raw_Export!$A1516="","",IFERROR(VLOOKUP(LOWER(TRIM(Raw_Export!C1516)),Maps!$A$2:$B$20,2,FALSE()),"UNMAPPED"))</f>
        <v>Nairobi CBD</v>
      </c>
      <c r="D1516" s="36" t="str">
        <f aca="false">IF(Raw_Export!$A1516="","",IFERROR(VLOOKUP(LOWER(TRIM(Raw_Export!D1516)),Maps!$G$2:$I$80,2,FALSE()),"UNMAPPED"))</f>
        <v>Salt 500g</v>
      </c>
      <c r="E1516" s="36" t="str">
        <f aca="false">IF(Raw_Export!$A1516="","",IFERROR(VLOOKUP(LOWER(TRIM(Raw_Export!D1516)),Maps!$G$2:$I$80,3,FALSE()),"UNMAPPED"))</f>
        <v>Staples</v>
      </c>
      <c r="F1516" s="36" t="n">
        <f aca="false">IF(Raw_Export!$A1516="","",IFERROR(VALUE(TRIM(Raw_Export!E1516)),0))</f>
        <v>3</v>
      </c>
      <c r="G1516" s="38" t="n">
        <f aca="false">IF(Raw_Export!$A1516="","",IFERROR(VALUE(SUBSTITUTE(SUBSTITUTE(UPPER(TRIM(Raw_Export!F1516)),"KES",""),",","")),0))</f>
        <v>40</v>
      </c>
      <c r="H1516" s="38" t="n">
        <f aca="false">IF(Raw_Export!$A1516="","",F1516*G1516)</f>
        <v>120</v>
      </c>
      <c r="I1516" s="36" t="str">
        <f aca="false">IF(Raw_Export!$A1516="","",IFERROR(VLOOKUP(LOWER(TRIM(Raw_Export!H1516)),Maps!$D$2:$E$12,2,FALSE()),"Other"))</f>
        <v>M-Pesa</v>
      </c>
      <c r="J1516" s="36" t="str">
        <f aca="false">IF(Raw_Export!$A1516="","",IF(COUNTIF($A$2:A1516,A1516)&gt;1,"Duplicate",""))</f>
        <v/>
      </c>
      <c r="K1516" s="36" t="str">
        <f aca="false">IF(Raw_Export!$A1516="","",IF(J1516="Duplicate","Duplicate",IF(OR(C1516="UNMAPPED",D1516="UNMAPPED"),"Unmapped",IF(F1516=0,"Blank qty",IF(F1516&lt;0,"Return","OK")))))</f>
        <v>OK</v>
      </c>
      <c r="L1516" s="36" t="n">
        <f aca="false">IF(Raw_Export!$A1516="","",IF(OR(K1516="OK",K1516="Return"),1,0))</f>
        <v>1</v>
      </c>
      <c r="M1516" s="37" t="n">
        <f aca="false">IF(Raw_Export!$A1516="","",B1516-WEEKDAY(B1516,2)+1)</f>
        <v>46272</v>
      </c>
    </row>
    <row r="1517" customFormat="false" ht="15" hidden="false" customHeight="false" outlineLevel="0" collapsed="false">
      <c r="A1517" s="36" t="str">
        <f aca="false">IF(Raw_Export!$A1517="","",TRIM(Raw_Export!A1517))</f>
        <v>TXN-101486</v>
      </c>
      <c r="B1517" s="37" t="n">
        <f aca="false">IF(Raw_Export!$A1517="","",IF(ISNUMBER(Raw_Export!B1517),Raw_Export!B1517,IF(MID(TRIM(Raw_Export!B1517),5,1)="-",DATE(LEFT(TRIM(Raw_Export!B1517),4),MID(TRIM(Raw_Export!B1517),6,2),RIGHT(TRIM(Raw_Export!B1517),2)),DATE(RIGHT(TRIM(Raw_Export!B1517),4),MATCH(MID(TRIM(Raw_Export!B1517),4,3),{"Jan","Feb","Mar","Apr","May","Jun","Jul","Aug","Sep","Oct","Nov","Dec"},0),LEFT(TRIM(Raw_Export!B1517),2)))))</f>
        <v>46275</v>
      </c>
      <c r="C1517" s="36" t="str">
        <f aca="false">IF(Raw_Export!$A1517="","",IFERROR(VLOOKUP(LOWER(TRIM(Raw_Export!C1517)),Maps!$A$2:$B$20,2,FALSE()),"UNMAPPED"))</f>
        <v>Nairobi CBD</v>
      </c>
      <c r="D1517" s="36" t="str">
        <f aca="false">IF(Raw_Export!$A1517="","",IFERROR(VLOOKUP(LOWER(TRIM(Raw_Export!D1517)),Maps!$G$2:$I$80,2,FALSE()),"UNMAPPED"))</f>
        <v>Tea Leaves 250g</v>
      </c>
      <c r="E1517" s="36" t="str">
        <f aca="false">IF(Raw_Export!$A1517="","",IFERROR(VLOOKUP(LOWER(TRIM(Raw_Export!D1517)),Maps!$G$2:$I$80,3,FALSE()),"UNMAPPED"))</f>
        <v>Beverages</v>
      </c>
      <c r="F1517" s="36" t="n">
        <f aca="false">IF(Raw_Export!$A1517="","",IFERROR(VALUE(TRIM(Raw_Export!E1517)),0))</f>
        <v>2</v>
      </c>
      <c r="G1517" s="38" t="n">
        <f aca="false">IF(Raw_Export!$A1517="","",IFERROR(VALUE(SUBSTITUTE(SUBSTITUTE(UPPER(TRIM(Raw_Export!F1517)),"KES",""),",","")),0))</f>
        <v>150</v>
      </c>
      <c r="H1517" s="38" t="n">
        <f aca="false">IF(Raw_Export!$A1517="","",F1517*G1517)</f>
        <v>300</v>
      </c>
      <c r="I1517" s="36" t="str">
        <f aca="false">IF(Raw_Export!$A1517="","",IFERROR(VLOOKUP(LOWER(TRIM(Raw_Export!H1517)),Maps!$D$2:$E$12,2,FALSE()),"Other"))</f>
        <v>M-Pesa</v>
      </c>
      <c r="J1517" s="36" t="str">
        <f aca="false">IF(Raw_Export!$A1517="","",IF(COUNTIF($A$2:A1517,A1517)&gt;1,"Duplicate",""))</f>
        <v/>
      </c>
      <c r="K1517" s="36" t="str">
        <f aca="false">IF(Raw_Export!$A1517="","",IF(J1517="Duplicate","Duplicate",IF(OR(C1517="UNMAPPED",D1517="UNMAPPED"),"Unmapped",IF(F1517=0,"Blank qty",IF(F1517&lt;0,"Return","OK")))))</f>
        <v>OK</v>
      </c>
      <c r="L1517" s="36" t="n">
        <f aca="false">IF(Raw_Export!$A1517="","",IF(OR(K1517="OK",K1517="Return"),1,0))</f>
        <v>1</v>
      </c>
      <c r="M1517" s="37" t="n">
        <f aca="false">IF(Raw_Export!$A1517="","",B1517-WEEKDAY(B1517,2)+1)</f>
        <v>46272</v>
      </c>
    </row>
    <row r="1518" customFormat="false" ht="15" hidden="false" customHeight="false" outlineLevel="0" collapsed="false">
      <c r="A1518" s="36" t="str">
        <f aca="false">IF(Raw_Export!$A1518="","",TRIM(Raw_Export!A1518))</f>
        <v>TXN-101487</v>
      </c>
      <c r="B1518" s="37" t="n">
        <f aca="false">IF(Raw_Export!$A1518="","",IF(ISNUMBER(Raw_Export!B1518),Raw_Export!B1518,IF(MID(TRIM(Raw_Export!B1518),5,1)="-",DATE(LEFT(TRIM(Raw_Export!B1518),4),MID(TRIM(Raw_Export!B1518),6,2),RIGHT(TRIM(Raw_Export!B1518),2)),DATE(RIGHT(TRIM(Raw_Export!B1518),4),MATCH(MID(TRIM(Raw_Export!B1518),4,3),{"Jan","Feb","Mar","Apr","May","Jun","Jul","Aug","Sep","Oct","Nov","Dec"},0),LEFT(TRIM(Raw_Export!B1518),2)))))</f>
        <v>46275</v>
      </c>
      <c r="C1518" s="36" t="str">
        <f aca="false">IF(Raw_Export!$A1518="","",IFERROR(VLOOKUP(LOWER(TRIM(Raw_Export!C1518)),Maps!$A$2:$B$20,2,FALSE()),"UNMAPPED"))</f>
        <v>Nairobi CBD</v>
      </c>
      <c r="D1518" s="36" t="str">
        <f aca="false">IF(Raw_Export!$A1518="","",IFERROR(VLOOKUP(LOWER(TRIM(Raw_Export!D1518)),Maps!$G$2:$I$80,2,FALSE()),"UNMAPPED"))</f>
        <v>Peanuts 250g</v>
      </c>
      <c r="E1518" s="36" t="str">
        <f aca="false">IF(Raw_Export!$A1518="","",IFERROR(VLOOKUP(LOWER(TRIM(Raw_Export!D1518)),Maps!$G$2:$I$80,3,FALSE()),"UNMAPPED"))</f>
        <v>Snacks</v>
      </c>
      <c r="F1518" s="36" t="n">
        <f aca="false">IF(Raw_Export!$A1518="","",IFERROR(VALUE(TRIM(Raw_Export!E1518)),0))</f>
        <v>2</v>
      </c>
      <c r="G1518" s="38" t="n">
        <f aca="false">IF(Raw_Export!$A1518="","",IFERROR(VALUE(SUBSTITUTE(SUBSTITUTE(UPPER(TRIM(Raw_Export!F1518)),"KES",""),",","")),0))</f>
        <v>130</v>
      </c>
      <c r="H1518" s="38" t="n">
        <f aca="false">IF(Raw_Export!$A1518="","",F1518*G1518)</f>
        <v>260</v>
      </c>
      <c r="I1518" s="36" t="str">
        <f aca="false">IF(Raw_Export!$A1518="","",IFERROR(VLOOKUP(LOWER(TRIM(Raw_Export!H1518)),Maps!$D$2:$E$12,2,FALSE()),"Other"))</f>
        <v>Card</v>
      </c>
      <c r="J1518" s="36" t="str">
        <f aca="false">IF(Raw_Export!$A1518="","",IF(COUNTIF($A$2:A1518,A1518)&gt;1,"Duplicate",""))</f>
        <v/>
      </c>
      <c r="K1518" s="36" t="str">
        <f aca="false">IF(Raw_Export!$A1518="","",IF(J1518="Duplicate","Duplicate",IF(OR(C1518="UNMAPPED",D1518="UNMAPPED"),"Unmapped",IF(F1518=0,"Blank qty",IF(F1518&lt;0,"Return","OK")))))</f>
        <v>OK</v>
      </c>
      <c r="L1518" s="36" t="n">
        <f aca="false">IF(Raw_Export!$A1518="","",IF(OR(K1518="OK",K1518="Return"),1,0))</f>
        <v>1</v>
      </c>
      <c r="M1518" s="37" t="n">
        <f aca="false">IF(Raw_Export!$A1518="","",B1518-WEEKDAY(B1518,2)+1)</f>
        <v>46272</v>
      </c>
    </row>
    <row r="1519" customFormat="false" ht="15" hidden="false" customHeight="false" outlineLevel="0" collapsed="false">
      <c r="A1519" s="36" t="str">
        <f aca="false">IF(Raw_Export!$A1519="","",TRIM(Raw_Export!A1519))</f>
        <v>TXN-101488</v>
      </c>
      <c r="B1519" s="37" t="n">
        <f aca="false">IF(Raw_Export!$A1519="","",IF(ISNUMBER(Raw_Export!B1519),Raw_Export!B1519,IF(MID(TRIM(Raw_Export!B1519),5,1)="-",DATE(LEFT(TRIM(Raw_Export!B1519),4),MID(TRIM(Raw_Export!B1519),6,2),RIGHT(TRIM(Raw_Export!B1519),2)),DATE(RIGHT(TRIM(Raw_Export!B1519),4),MATCH(MID(TRIM(Raw_Export!B1519),4,3),{"Jan","Feb","Mar","Apr","May","Jun","Jul","Aug","Sep","Oct","Nov","Dec"},0),LEFT(TRIM(Raw_Export!B1519),2)))))</f>
        <v>46275</v>
      </c>
      <c r="C1519" s="36" t="str">
        <f aca="false">IF(Raw_Export!$A1519="","",IFERROR(VLOOKUP(LOWER(TRIM(Raw_Export!C1519)),Maps!$A$2:$B$20,2,FALSE()),"UNMAPPED"))</f>
        <v>Nairobi CBD</v>
      </c>
      <c r="D1519" s="36" t="str">
        <f aca="false">IF(Raw_Export!$A1519="","",IFERROR(VLOOKUP(LOWER(TRIM(Raw_Export!D1519)),Maps!$G$2:$I$80,2,FALSE()),"UNMAPPED"))</f>
        <v>Sugar 2kg</v>
      </c>
      <c r="E1519" s="36" t="str">
        <f aca="false">IF(Raw_Export!$A1519="","",IFERROR(VLOOKUP(LOWER(TRIM(Raw_Export!D1519)),Maps!$G$2:$I$80,3,FALSE()),"UNMAPPED"))</f>
        <v>Staples</v>
      </c>
      <c r="F1519" s="36" t="n">
        <f aca="false">IF(Raw_Export!$A1519="","",IFERROR(VALUE(TRIM(Raw_Export!E1519)),0))</f>
        <v>2</v>
      </c>
      <c r="G1519" s="38" t="n">
        <f aca="false">IF(Raw_Export!$A1519="","",IFERROR(VALUE(SUBSTITUTE(SUBSTITUTE(UPPER(TRIM(Raw_Export!F1519)),"KES",""),",","")),0))</f>
        <v>330</v>
      </c>
      <c r="H1519" s="38" t="n">
        <f aca="false">IF(Raw_Export!$A1519="","",F1519*G1519)</f>
        <v>660</v>
      </c>
      <c r="I1519" s="36" t="str">
        <f aca="false">IF(Raw_Export!$A1519="","",IFERROR(VLOOKUP(LOWER(TRIM(Raw_Export!H1519)),Maps!$D$2:$E$12,2,FALSE()),"Other"))</f>
        <v>M-Pesa</v>
      </c>
      <c r="J1519" s="36" t="str">
        <f aca="false">IF(Raw_Export!$A1519="","",IF(COUNTIF($A$2:A1519,A1519)&gt;1,"Duplicate",""))</f>
        <v/>
      </c>
      <c r="K1519" s="36" t="str">
        <f aca="false">IF(Raw_Export!$A1519="","",IF(J1519="Duplicate","Duplicate",IF(OR(C1519="UNMAPPED",D1519="UNMAPPED"),"Unmapped",IF(F1519=0,"Blank qty",IF(F1519&lt;0,"Return","OK")))))</f>
        <v>OK</v>
      </c>
      <c r="L1519" s="36" t="n">
        <f aca="false">IF(Raw_Export!$A1519="","",IF(OR(K1519="OK",K1519="Return"),1,0))</f>
        <v>1</v>
      </c>
      <c r="M1519" s="37" t="n">
        <f aca="false">IF(Raw_Export!$A1519="","",B1519-WEEKDAY(B1519,2)+1)</f>
        <v>46272</v>
      </c>
    </row>
    <row r="1520" customFormat="false" ht="15" hidden="false" customHeight="false" outlineLevel="0" collapsed="false">
      <c r="A1520" s="36" t="str">
        <f aca="false">IF(Raw_Export!$A1520="","",TRIM(Raw_Export!A1520))</f>
        <v>TXN-101489</v>
      </c>
      <c r="B1520" s="37" t="n">
        <f aca="false">IF(Raw_Export!$A1520="","",IF(ISNUMBER(Raw_Export!B1520),Raw_Export!B1520,IF(MID(TRIM(Raw_Export!B1520),5,1)="-",DATE(LEFT(TRIM(Raw_Export!B1520),4),MID(TRIM(Raw_Export!B1520),6,2),RIGHT(TRIM(Raw_Export!B1520),2)),DATE(RIGHT(TRIM(Raw_Export!B1520),4),MATCH(MID(TRIM(Raw_Export!B1520),4,3),{"Jan","Feb","Mar","Apr","May","Jun","Jul","Aug","Sep","Oct","Nov","Dec"},0),LEFT(TRIM(Raw_Export!B1520),2)))))</f>
        <v>46275</v>
      </c>
      <c r="C1520" s="36" t="str">
        <f aca="false">IF(Raw_Export!$A1520="","",IFERROR(VLOOKUP(LOWER(TRIM(Raw_Export!C1520)),Maps!$A$2:$B$20,2,FALSE()),"UNMAPPED"))</f>
        <v>Nairobi CBD</v>
      </c>
      <c r="D1520" s="36" t="str">
        <f aca="false">IF(Raw_Export!$A1520="","",IFERROR(VLOOKUP(LOWER(TRIM(Raw_Export!D1520)),Maps!$G$2:$I$80,2,FALSE()),"UNMAPPED"))</f>
        <v>Soda 500ml</v>
      </c>
      <c r="E1520" s="36" t="str">
        <f aca="false">IF(Raw_Export!$A1520="","",IFERROR(VLOOKUP(LOWER(TRIM(Raw_Export!D1520)),Maps!$G$2:$I$80,3,FALSE()),"UNMAPPED"))</f>
        <v>Beverages</v>
      </c>
      <c r="F1520" s="36" t="n">
        <f aca="false">IF(Raw_Export!$A1520="","",IFERROR(VALUE(TRIM(Raw_Export!E1520)),0))</f>
        <v>1</v>
      </c>
      <c r="G1520" s="38" t="n">
        <f aca="false">IF(Raw_Export!$A1520="","",IFERROR(VALUE(SUBSTITUTE(SUBSTITUTE(UPPER(TRIM(Raw_Export!F1520)),"KES",""),",","")),0))</f>
        <v>60</v>
      </c>
      <c r="H1520" s="38" t="n">
        <f aca="false">IF(Raw_Export!$A1520="","",F1520*G1520)</f>
        <v>60</v>
      </c>
      <c r="I1520" s="36" t="str">
        <f aca="false">IF(Raw_Export!$A1520="","",IFERROR(VLOOKUP(LOWER(TRIM(Raw_Export!H1520)),Maps!$D$2:$E$12,2,FALSE()),"Other"))</f>
        <v>Cash</v>
      </c>
      <c r="J1520" s="36" t="str">
        <f aca="false">IF(Raw_Export!$A1520="","",IF(COUNTIF($A$2:A1520,A1520)&gt;1,"Duplicate",""))</f>
        <v/>
      </c>
      <c r="K1520" s="36" t="str">
        <f aca="false">IF(Raw_Export!$A1520="","",IF(J1520="Duplicate","Duplicate",IF(OR(C1520="UNMAPPED",D1520="UNMAPPED"),"Unmapped",IF(F1520=0,"Blank qty",IF(F1520&lt;0,"Return","OK")))))</f>
        <v>OK</v>
      </c>
      <c r="L1520" s="36" t="n">
        <f aca="false">IF(Raw_Export!$A1520="","",IF(OR(K1520="OK",K1520="Return"),1,0))</f>
        <v>1</v>
      </c>
      <c r="M1520" s="37" t="n">
        <f aca="false">IF(Raw_Export!$A1520="","",B1520-WEEKDAY(B1520,2)+1)</f>
        <v>46272</v>
      </c>
    </row>
    <row r="1521" customFormat="false" ht="15" hidden="false" customHeight="false" outlineLevel="0" collapsed="false">
      <c r="A1521" s="36" t="str">
        <f aca="false">IF(Raw_Export!$A1521="","",TRIM(Raw_Export!A1521))</f>
        <v>TXN-101490</v>
      </c>
      <c r="B1521" s="37" t="n">
        <f aca="false">IF(Raw_Export!$A1521="","",IF(ISNUMBER(Raw_Export!B1521),Raw_Export!B1521,IF(MID(TRIM(Raw_Export!B1521),5,1)="-",DATE(LEFT(TRIM(Raw_Export!B1521),4),MID(TRIM(Raw_Export!B1521),6,2),RIGHT(TRIM(Raw_Export!B1521),2)),DATE(RIGHT(TRIM(Raw_Export!B1521),4),MATCH(MID(TRIM(Raw_Export!B1521),4,3),{"Jan","Feb","Mar","Apr","May","Jun","Jul","Aug","Sep","Oct","Nov","Dec"},0),LEFT(TRIM(Raw_Export!B1521),2)))))</f>
        <v>46275</v>
      </c>
      <c r="C1521" s="36" t="str">
        <f aca="false">IF(Raw_Export!$A1521="","",IFERROR(VLOOKUP(LOWER(TRIM(Raw_Export!C1521)),Maps!$A$2:$B$20,2,FALSE()),"UNMAPPED"))</f>
        <v>Nairobi CBD</v>
      </c>
      <c r="D1521" s="36" t="str">
        <f aca="false">IF(Raw_Export!$A1521="","",IFERROR(VLOOKUP(LOWER(TRIM(Raw_Export!D1521)),Maps!$G$2:$I$80,2,FALSE()),"UNMAPPED"))</f>
        <v>Peanuts 250g</v>
      </c>
      <c r="E1521" s="36" t="str">
        <f aca="false">IF(Raw_Export!$A1521="","",IFERROR(VLOOKUP(LOWER(TRIM(Raw_Export!D1521)),Maps!$G$2:$I$80,3,FALSE()),"UNMAPPED"))</f>
        <v>Snacks</v>
      </c>
      <c r="F1521" s="36" t="n">
        <f aca="false">IF(Raw_Export!$A1521="","",IFERROR(VALUE(TRIM(Raw_Export!E1521)),0))</f>
        <v>6</v>
      </c>
      <c r="G1521" s="38" t="n">
        <f aca="false">IF(Raw_Export!$A1521="","",IFERROR(VALUE(SUBSTITUTE(SUBSTITUTE(UPPER(TRIM(Raw_Export!F1521)),"KES",""),",","")),0))</f>
        <v>130</v>
      </c>
      <c r="H1521" s="38" t="n">
        <f aca="false">IF(Raw_Export!$A1521="","",F1521*G1521)</f>
        <v>780</v>
      </c>
      <c r="I1521" s="36" t="str">
        <f aca="false">IF(Raw_Export!$A1521="","",IFERROR(VLOOKUP(LOWER(TRIM(Raw_Export!H1521)),Maps!$D$2:$E$12,2,FALSE()),"Other"))</f>
        <v>Card</v>
      </c>
      <c r="J1521" s="36" t="str">
        <f aca="false">IF(Raw_Export!$A1521="","",IF(COUNTIF($A$2:A1521,A1521)&gt;1,"Duplicate",""))</f>
        <v/>
      </c>
      <c r="K1521" s="36" t="str">
        <f aca="false">IF(Raw_Export!$A1521="","",IF(J1521="Duplicate","Duplicate",IF(OR(C1521="UNMAPPED",D1521="UNMAPPED"),"Unmapped",IF(F1521=0,"Blank qty",IF(F1521&lt;0,"Return","OK")))))</f>
        <v>OK</v>
      </c>
      <c r="L1521" s="36" t="n">
        <f aca="false">IF(Raw_Export!$A1521="","",IF(OR(K1521="OK",K1521="Return"),1,0))</f>
        <v>1</v>
      </c>
      <c r="M1521" s="37" t="n">
        <f aca="false">IF(Raw_Export!$A1521="","",B1521-WEEKDAY(B1521,2)+1)</f>
        <v>46272</v>
      </c>
    </row>
    <row r="1522" customFormat="false" ht="15" hidden="false" customHeight="false" outlineLevel="0" collapsed="false">
      <c r="A1522" s="36" t="str">
        <f aca="false">IF(Raw_Export!$A1522="","",TRIM(Raw_Export!A1522))</f>
        <v>TXN-101491</v>
      </c>
      <c r="B1522" s="37" t="n">
        <f aca="false">IF(Raw_Export!$A1522="","",IF(ISNUMBER(Raw_Export!B1522),Raw_Export!B1522,IF(MID(TRIM(Raw_Export!B1522),5,1)="-",DATE(LEFT(TRIM(Raw_Export!B1522),4),MID(TRIM(Raw_Export!B1522),6,2),RIGHT(TRIM(Raw_Export!B1522),2)),DATE(RIGHT(TRIM(Raw_Export!B1522),4),MATCH(MID(TRIM(Raw_Export!B1522),4,3),{"Jan","Feb","Mar","Apr","May","Jun","Jul","Aug","Sep","Oct","Nov","Dec"},0),LEFT(TRIM(Raw_Export!B1522),2)))))</f>
        <v>46275</v>
      </c>
      <c r="C1522" s="36" t="str">
        <f aca="false">IF(Raw_Export!$A1522="","",IFERROR(VLOOKUP(LOWER(TRIM(Raw_Export!C1522)),Maps!$A$2:$B$20,2,FALSE()),"UNMAPPED"))</f>
        <v>Nairobi CBD</v>
      </c>
      <c r="D1522" s="36" t="str">
        <f aca="false">IF(Raw_Export!$A1522="","",IFERROR(VLOOKUP(LOWER(TRIM(Raw_Export!D1522)),Maps!$G$2:$I$80,2,FALSE()),"UNMAPPED"))</f>
        <v>Fresh Milk 500ml</v>
      </c>
      <c r="E1522" s="36" t="str">
        <f aca="false">IF(Raw_Export!$A1522="","",IFERROR(VLOOKUP(LOWER(TRIM(Raw_Export!D1522)),Maps!$G$2:$I$80,3,FALSE()),"UNMAPPED"))</f>
        <v>Dairy &amp; Eggs</v>
      </c>
      <c r="F1522" s="36" t="n">
        <f aca="false">IF(Raw_Export!$A1522="","",IFERROR(VALUE(TRIM(Raw_Export!E1522)),0))</f>
        <v>1</v>
      </c>
      <c r="G1522" s="38" t="n">
        <f aca="false">IF(Raw_Export!$A1522="","",IFERROR(VALUE(SUBSTITUTE(SUBSTITUTE(UPPER(TRIM(Raw_Export!F1522)),"KES",""),",","")),0))</f>
        <v>65</v>
      </c>
      <c r="H1522" s="38" t="n">
        <f aca="false">IF(Raw_Export!$A1522="","",F1522*G1522)</f>
        <v>65</v>
      </c>
      <c r="I1522" s="36" t="str">
        <f aca="false">IF(Raw_Export!$A1522="","",IFERROR(VLOOKUP(LOWER(TRIM(Raw_Export!H1522)),Maps!$D$2:$E$12,2,FALSE()),"Other"))</f>
        <v>M-Pesa</v>
      </c>
      <c r="J1522" s="36" t="str">
        <f aca="false">IF(Raw_Export!$A1522="","",IF(COUNTIF($A$2:A1522,A1522)&gt;1,"Duplicate",""))</f>
        <v/>
      </c>
      <c r="K1522" s="36" t="str">
        <f aca="false">IF(Raw_Export!$A1522="","",IF(J1522="Duplicate","Duplicate",IF(OR(C1522="UNMAPPED",D1522="UNMAPPED"),"Unmapped",IF(F1522=0,"Blank qty",IF(F1522&lt;0,"Return","OK")))))</f>
        <v>OK</v>
      </c>
      <c r="L1522" s="36" t="n">
        <f aca="false">IF(Raw_Export!$A1522="","",IF(OR(K1522="OK",K1522="Return"),1,0))</f>
        <v>1</v>
      </c>
      <c r="M1522" s="37" t="n">
        <f aca="false">IF(Raw_Export!$A1522="","",B1522-WEEKDAY(B1522,2)+1)</f>
        <v>46272</v>
      </c>
    </row>
    <row r="1523" customFormat="false" ht="15" hidden="false" customHeight="false" outlineLevel="0" collapsed="false">
      <c r="A1523" s="36" t="str">
        <f aca="false">IF(Raw_Export!$A1523="","",TRIM(Raw_Export!A1523))</f>
        <v>TXN-101492</v>
      </c>
      <c r="B1523" s="37" t="n">
        <f aca="false">IF(Raw_Export!$A1523="","",IF(ISNUMBER(Raw_Export!B1523),Raw_Export!B1523,IF(MID(TRIM(Raw_Export!B1523),5,1)="-",DATE(LEFT(TRIM(Raw_Export!B1523),4),MID(TRIM(Raw_Export!B1523),6,2),RIGHT(TRIM(Raw_Export!B1523),2)),DATE(RIGHT(TRIM(Raw_Export!B1523),4),MATCH(MID(TRIM(Raw_Export!B1523),4,3),{"Jan","Feb","Mar","Apr","May","Jun","Jul","Aug","Sep","Oct","Nov","Dec"},0),LEFT(TRIM(Raw_Export!B1523),2)))))</f>
        <v>46275</v>
      </c>
      <c r="C1523" s="36" t="str">
        <f aca="false">IF(Raw_Export!$A1523="","",IFERROR(VLOOKUP(LOWER(TRIM(Raw_Export!C1523)),Maps!$A$2:$B$20,2,FALSE()),"UNMAPPED"))</f>
        <v>Nairobi CBD</v>
      </c>
      <c r="D1523" s="36" t="str">
        <f aca="false">IF(Raw_Export!$A1523="","",IFERROR(VLOOKUP(LOWER(TRIM(Raw_Export!D1523)),Maps!$G$2:$I$80,2,FALSE()),"UNMAPPED"))</f>
        <v>Fresh Milk 500ml</v>
      </c>
      <c r="E1523" s="36" t="str">
        <f aca="false">IF(Raw_Export!$A1523="","",IFERROR(VLOOKUP(LOWER(TRIM(Raw_Export!D1523)),Maps!$G$2:$I$80,3,FALSE()),"UNMAPPED"))</f>
        <v>Dairy &amp; Eggs</v>
      </c>
      <c r="F1523" s="36" t="n">
        <f aca="false">IF(Raw_Export!$A1523="","",IFERROR(VALUE(TRIM(Raw_Export!E1523)),0))</f>
        <v>2</v>
      </c>
      <c r="G1523" s="38" t="n">
        <f aca="false">IF(Raw_Export!$A1523="","",IFERROR(VALUE(SUBSTITUTE(SUBSTITUTE(UPPER(TRIM(Raw_Export!F1523)),"KES",""),",","")),0))</f>
        <v>65</v>
      </c>
      <c r="H1523" s="38" t="n">
        <f aca="false">IF(Raw_Export!$A1523="","",F1523*G1523)</f>
        <v>130</v>
      </c>
      <c r="I1523" s="36" t="str">
        <f aca="false">IF(Raw_Export!$A1523="","",IFERROR(VLOOKUP(LOWER(TRIM(Raw_Export!H1523)),Maps!$D$2:$E$12,2,FALSE()),"Other"))</f>
        <v>M-Pesa</v>
      </c>
      <c r="J1523" s="36" t="str">
        <f aca="false">IF(Raw_Export!$A1523="","",IF(COUNTIF($A$2:A1523,A1523)&gt;1,"Duplicate",""))</f>
        <v/>
      </c>
      <c r="K1523" s="36" t="str">
        <f aca="false">IF(Raw_Export!$A1523="","",IF(J1523="Duplicate","Duplicate",IF(OR(C1523="UNMAPPED",D1523="UNMAPPED"),"Unmapped",IF(F1523=0,"Blank qty",IF(F1523&lt;0,"Return","OK")))))</f>
        <v>OK</v>
      </c>
      <c r="L1523" s="36" t="n">
        <f aca="false">IF(Raw_Export!$A1523="","",IF(OR(K1523="OK",K1523="Return"),1,0))</f>
        <v>1</v>
      </c>
      <c r="M1523" s="37" t="n">
        <f aca="false">IF(Raw_Export!$A1523="","",B1523-WEEKDAY(B1523,2)+1)</f>
        <v>46272</v>
      </c>
    </row>
    <row r="1524" customFormat="false" ht="15" hidden="false" customHeight="false" outlineLevel="0" collapsed="false">
      <c r="A1524" s="36" t="str">
        <f aca="false">IF(Raw_Export!$A1524="","",TRIM(Raw_Export!A1524))</f>
        <v>TXN-101493</v>
      </c>
      <c r="B1524" s="37" t="n">
        <f aca="false">IF(Raw_Export!$A1524="","",IF(ISNUMBER(Raw_Export!B1524),Raw_Export!B1524,IF(MID(TRIM(Raw_Export!B1524),5,1)="-",DATE(LEFT(TRIM(Raw_Export!B1524),4),MID(TRIM(Raw_Export!B1524),6,2),RIGHT(TRIM(Raw_Export!B1524),2)),DATE(RIGHT(TRIM(Raw_Export!B1524),4),MATCH(MID(TRIM(Raw_Export!B1524),4,3),{"Jan","Feb","Mar","Apr","May","Jun","Jul","Aug","Sep","Oct","Nov","Dec"},0),LEFT(TRIM(Raw_Export!B1524),2)))))</f>
        <v>46275</v>
      </c>
      <c r="C1524" s="36" t="str">
        <f aca="false">IF(Raw_Export!$A1524="","",IFERROR(VLOOKUP(LOWER(TRIM(Raw_Export!C1524)),Maps!$A$2:$B$20,2,FALSE()),"UNMAPPED"))</f>
        <v>Nairobi CBD</v>
      </c>
      <c r="D1524" s="36" t="str">
        <f aca="false">IF(Raw_Export!$A1524="","",IFERROR(VLOOKUP(LOWER(TRIM(Raw_Export!D1524)),Maps!$G$2:$I$80,2,FALSE()),"UNMAPPED"))</f>
        <v>Cooking Oil 1L</v>
      </c>
      <c r="E1524" s="36" t="str">
        <f aca="false">IF(Raw_Export!$A1524="","",IFERROR(VLOOKUP(LOWER(TRIM(Raw_Export!D1524)),Maps!$G$2:$I$80,3,FALSE()),"UNMAPPED"))</f>
        <v>Staples</v>
      </c>
      <c r="F1524" s="36" t="n">
        <f aca="false">IF(Raw_Export!$A1524="","",IFERROR(VALUE(TRIM(Raw_Export!E1524)),0))</f>
        <v>2</v>
      </c>
      <c r="G1524" s="38" t="n">
        <f aca="false">IF(Raw_Export!$A1524="","",IFERROR(VALUE(SUBSTITUTE(SUBSTITUTE(UPPER(TRIM(Raw_Export!F1524)),"KES",""),",","")),0))</f>
        <v>330</v>
      </c>
      <c r="H1524" s="38" t="n">
        <f aca="false">IF(Raw_Export!$A1524="","",F1524*G1524)</f>
        <v>660</v>
      </c>
      <c r="I1524" s="36" t="str">
        <f aca="false">IF(Raw_Export!$A1524="","",IFERROR(VLOOKUP(LOWER(TRIM(Raw_Export!H1524)),Maps!$D$2:$E$12,2,FALSE()),"Other"))</f>
        <v>M-Pesa</v>
      </c>
      <c r="J1524" s="36" t="str">
        <f aca="false">IF(Raw_Export!$A1524="","",IF(COUNTIF($A$2:A1524,A1524)&gt;1,"Duplicate",""))</f>
        <v/>
      </c>
      <c r="K1524" s="36" t="str">
        <f aca="false">IF(Raw_Export!$A1524="","",IF(J1524="Duplicate","Duplicate",IF(OR(C1524="UNMAPPED",D1524="UNMAPPED"),"Unmapped",IF(F1524=0,"Blank qty",IF(F1524&lt;0,"Return","OK")))))</f>
        <v>OK</v>
      </c>
      <c r="L1524" s="36" t="n">
        <f aca="false">IF(Raw_Export!$A1524="","",IF(OR(K1524="OK",K1524="Return"),1,0))</f>
        <v>1</v>
      </c>
      <c r="M1524" s="37" t="n">
        <f aca="false">IF(Raw_Export!$A1524="","",B1524-WEEKDAY(B1524,2)+1)</f>
        <v>46272</v>
      </c>
    </row>
    <row r="1525" customFormat="false" ht="15" hidden="false" customHeight="false" outlineLevel="0" collapsed="false">
      <c r="A1525" s="36" t="str">
        <f aca="false">IF(Raw_Export!$A1525="","",TRIM(Raw_Export!A1525))</f>
        <v>TXN-101494</v>
      </c>
      <c r="B1525" s="37" t="n">
        <f aca="false">IF(Raw_Export!$A1525="","",IF(ISNUMBER(Raw_Export!B1525),Raw_Export!B1525,IF(MID(TRIM(Raw_Export!B1525),5,1)="-",DATE(LEFT(TRIM(Raw_Export!B1525),4),MID(TRIM(Raw_Export!B1525),6,2),RIGHT(TRIM(Raw_Export!B1525),2)),DATE(RIGHT(TRIM(Raw_Export!B1525),4),MATCH(MID(TRIM(Raw_Export!B1525),4,3),{"Jan","Feb","Mar","Apr","May","Jun","Jul","Aug","Sep","Oct","Nov","Dec"},0),LEFT(TRIM(Raw_Export!B1525),2)))))</f>
        <v>46275</v>
      </c>
      <c r="C1525" s="36" t="str">
        <f aca="false">IF(Raw_Export!$A1525="","",IFERROR(VLOOKUP(LOWER(TRIM(Raw_Export!C1525)),Maps!$A$2:$B$20,2,FALSE()),"UNMAPPED"))</f>
        <v>Westlands</v>
      </c>
      <c r="D1525" s="36" t="str">
        <f aca="false">IF(Raw_Export!$A1525="","",IFERROR(VLOOKUP(LOWER(TRIM(Raw_Export!D1525)),Maps!$G$2:$I$80,2,FALSE()),"UNMAPPED"))</f>
        <v>Unga Pembe 2kg</v>
      </c>
      <c r="E1525" s="36" t="str">
        <f aca="false">IF(Raw_Export!$A1525="","",IFERROR(VLOOKUP(LOWER(TRIM(Raw_Export!D1525)),Maps!$G$2:$I$80,3,FALSE()),"UNMAPPED"))</f>
        <v>Staples</v>
      </c>
      <c r="F1525" s="36" t="n">
        <f aca="false">IF(Raw_Export!$A1525="","",IFERROR(VALUE(TRIM(Raw_Export!E1525)),0))</f>
        <v>6</v>
      </c>
      <c r="G1525" s="38" t="n">
        <f aca="false">IF(Raw_Export!$A1525="","",IFERROR(VALUE(SUBSTITUTE(SUBSTITUTE(UPPER(TRIM(Raw_Export!F1525)),"KES",""),",","")),0))</f>
        <v>190</v>
      </c>
      <c r="H1525" s="38" t="n">
        <f aca="false">IF(Raw_Export!$A1525="","",F1525*G1525)</f>
        <v>1140</v>
      </c>
      <c r="I1525" s="36" t="str">
        <f aca="false">IF(Raw_Export!$A1525="","",IFERROR(VLOOKUP(LOWER(TRIM(Raw_Export!H1525)),Maps!$D$2:$E$12,2,FALSE()),"Other"))</f>
        <v>Card</v>
      </c>
      <c r="J1525" s="36" t="str">
        <f aca="false">IF(Raw_Export!$A1525="","",IF(COUNTIF($A$2:A1525,A1525)&gt;1,"Duplicate",""))</f>
        <v/>
      </c>
      <c r="K1525" s="36" t="str">
        <f aca="false">IF(Raw_Export!$A1525="","",IF(J1525="Duplicate","Duplicate",IF(OR(C1525="UNMAPPED",D1525="UNMAPPED"),"Unmapped",IF(F1525=0,"Blank qty",IF(F1525&lt;0,"Return","OK")))))</f>
        <v>OK</v>
      </c>
      <c r="L1525" s="36" t="n">
        <f aca="false">IF(Raw_Export!$A1525="","",IF(OR(K1525="OK",K1525="Return"),1,0))</f>
        <v>1</v>
      </c>
      <c r="M1525" s="37" t="n">
        <f aca="false">IF(Raw_Export!$A1525="","",B1525-WEEKDAY(B1525,2)+1)</f>
        <v>46272</v>
      </c>
    </row>
    <row r="1526" customFormat="false" ht="15" hidden="false" customHeight="false" outlineLevel="0" collapsed="false">
      <c r="A1526" s="36" t="str">
        <f aca="false">IF(Raw_Export!$A1526="","",TRIM(Raw_Export!A1526))</f>
        <v>TXN-101495</v>
      </c>
      <c r="B1526" s="37" t="n">
        <f aca="false">IF(Raw_Export!$A1526="","",IF(ISNUMBER(Raw_Export!B1526),Raw_Export!B1526,IF(MID(TRIM(Raw_Export!B1526),5,1)="-",DATE(LEFT(TRIM(Raw_Export!B1526),4),MID(TRIM(Raw_Export!B1526),6,2),RIGHT(TRIM(Raw_Export!B1526),2)),DATE(RIGHT(TRIM(Raw_Export!B1526),4),MATCH(MID(TRIM(Raw_Export!B1526),4,3),{"Jan","Feb","Mar","Apr","May","Jun","Jul","Aug","Sep","Oct","Nov","Dec"},0),LEFT(TRIM(Raw_Export!B1526),2)))))</f>
        <v>46275</v>
      </c>
      <c r="C1526" s="36" t="str">
        <f aca="false">IF(Raw_Export!$A1526="","",IFERROR(VLOOKUP(LOWER(TRIM(Raw_Export!C1526)),Maps!$A$2:$B$20,2,FALSE()),"UNMAPPED"))</f>
        <v>Westlands</v>
      </c>
      <c r="D1526" s="36" t="str">
        <f aca="false">IF(Raw_Export!$A1526="","",IFERROR(VLOOKUP(LOWER(TRIM(Raw_Export!D1526)),Maps!$G$2:$I$80,2,FALSE()),"UNMAPPED"))</f>
        <v>Yoghurt 500ml</v>
      </c>
      <c r="E1526" s="36" t="str">
        <f aca="false">IF(Raw_Export!$A1526="","",IFERROR(VLOOKUP(LOWER(TRIM(Raw_Export!D1526)),Maps!$G$2:$I$80,3,FALSE()),"UNMAPPED"))</f>
        <v>Dairy &amp; Eggs</v>
      </c>
      <c r="F1526" s="36" t="n">
        <f aca="false">IF(Raw_Export!$A1526="","",IFERROR(VALUE(TRIM(Raw_Export!E1526)),0))</f>
        <v>1</v>
      </c>
      <c r="G1526" s="38" t="n">
        <f aca="false">IF(Raw_Export!$A1526="","",IFERROR(VALUE(SUBSTITUTE(SUBSTITUTE(UPPER(TRIM(Raw_Export!F1526)),"KES",""),",","")),0))</f>
        <v>120</v>
      </c>
      <c r="H1526" s="38" t="n">
        <f aca="false">IF(Raw_Export!$A1526="","",F1526*G1526)</f>
        <v>120</v>
      </c>
      <c r="I1526" s="36" t="str">
        <f aca="false">IF(Raw_Export!$A1526="","",IFERROR(VLOOKUP(LOWER(TRIM(Raw_Export!H1526)),Maps!$D$2:$E$12,2,FALSE()),"Other"))</f>
        <v>Cash</v>
      </c>
      <c r="J1526" s="36" t="str">
        <f aca="false">IF(Raw_Export!$A1526="","",IF(COUNTIF($A$2:A1526,A1526)&gt;1,"Duplicate",""))</f>
        <v/>
      </c>
      <c r="K1526" s="36" t="str">
        <f aca="false">IF(Raw_Export!$A1526="","",IF(J1526="Duplicate","Duplicate",IF(OR(C1526="UNMAPPED",D1526="UNMAPPED"),"Unmapped",IF(F1526=0,"Blank qty",IF(F1526&lt;0,"Return","OK")))))</f>
        <v>OK</v>
      </c>
      <c r="L1526" s="36" t="n">
        <f aca="false">IF(Raw_Export!$A1526="","",IF(OR(K1526="OK",K1526="Return"),1,0))</f>
        <v>1</v>
      </c>
      <c r="M1526" s="37" t="n">
        <f aca="false">IF(Raw_Export!$A1526="","",B1526-WEEKDAY(B1526,2)+1)</f>
        <v>46272</v>
      </c>
    </row>
    <row r="1527" customFormat="false" ht="15" hidden="false" customHeight="false" outlineLevel="0" collapsed="false">
      <c r="A1527" s="36" t="str">
        <f aca="false">IF(Raw_Export!$A1527="","",TRIM(Raw_Export!A1527))</f>
        <v>TXN-101496</v>
      </c>
      <c r="B1527" s="37" t="n">
        <f aca="false">IF(Raw_Export!$A1527="","",IF(ISNUMBER(Raw_Export!B1527),Raw_Export!B1527,IF(MID(TRIM(Raw_Export!B1527),5,1)="-",DATE(LEFT(TRIM(Raw_Export!B1527),4),MID(TRIM(Raw_Export!B1527),6,2),RIGHT(TRIM(Raw_Export!B1527),2)),DATE(RIGHT(TRIM(Raw_Export!B1527),4),MATCH(MID(TRIM(Raw_Export!B1527),4,3),{"Jan","Feb","Mar","Apr","May","Jun","Jul","Aug","Sep","Oct","Nov","Dec"},0),LEFT(TRIM(Raw_Export!B1527),2)))))</f>
        <v>46275</v>
      </c>
      <c r="C1527" s="36" t="str">
        <f aca="false">IF(Raw_Export!$A1527="","",IFERROR(VLOOKUP(LOWER(TRIM(Raw_Export!C1527)),Maps!$A$2:$B$20,2,FALSE()),"UNMAPPED"))</f>
        <v>Westlands</v>
      </c>
      <c r="D1527" s="36" t="str">
        <f aca="false">IF(Raw_Export!$A1527="","",IFERROR(VLOOKUP(LOWER(TRIM(Raw_Export!D1527)),Maps!$G$2:$I$80,2,FALSE()),"UNMAPPED"))</f>
        <v>Soda 500ml</v>
      </c>
      <c r="E1527" s="36" t="str">
        <f aca="false">IF(Raw_Export!$A1527="","",IFERROR(VLOOKUP(LOWER(TRIM(Raw_Export!D1527)),Maps!$G$2:$I$80,3,FALSE()),"UNMAPPED"))</f>
        <v>Beverages</v>
      </c>
      <c r="F1527" s="36" t="n">
        <f aca="false">IF(Raw_Export!$A1527="","",IFERROR(VALUE(TRIM(Raw_Export!E1527)),0))</f>
        <v>4</v>
      </c>
      <c r="G1527" s="38" t="n">
        <f aca="false">IF(Raw_Export!$A1527="","",IFERROR(VALUE(SUBSTITUTE(SUBSTITUTE(UPPER(TRIM(Raw_Export!F1527)),"KES",""),",","")),0))</f>
        <v>60</v>
      </c>
      <c r="H1527" s="38" t="n">
        <f aca="false">IF(Raw_Export!$A1527="","",F1527*G1527)</f>
        <v>240</v>
      </c>
      <c r="I1527" s="36" t="str">
        <f aca="false">IF(Raw_Export!$A1527="","",IFERROR(VLOOKUP(LOWER(TRIM(Raw_Export!H1527)),Maps!$D$2:$E$12,2,FALSE()),"Other"))</f>
        <v>Card</v>
      </c>
      <c r="J1527" s="36" t="str">
        <f aca="false">IF(Raw_Export!$A1527="","",IF(COUNTIF($A$2:A1527,A1527)&gt;1,"Duplicate",""))</f>
        <v/>
      </c>
      <c r="K1527" s="36" t="str">
        <f aca="false">IF(Raw_Export!$A1527="","",IF(J1527="Duplicate","Duplicate",IF(OR(C1527="UNMAPPED",D1527="UNMAPPED"),"Unmapped",IF(F1527=0,"Blank qty",IF(F1527&lt;0,"Return","OK")))))</f>
        <v>OK</v>
      </c>
      <c r="L1527" s="36" t="n">
        <f aca="false">IF(Raw_Export!$A1527="","",IF(OR(K1527="OK",K1527="Return"),1,0))</f>
        <v>1</v>
      </c>
      <c r="M1527" s="37" t="n">
        <f aca="false">IF(Raw_Export!$A1527="","",B1527-WEEKDAY(B1527,2)+1)</f>
        <v>46272</v>
      </c>
    </row>
    <row r="1528" customFormat="false" ht="15" hidden="false" customHeight="false" outlineLevel="0" collapsed="false">
      <c r="A1528" s="36" t="str">
        <f aca="false">IF(Raw_Export!$A1528="","",TRIM(Raw_Export!A1528))</f>
        <v>TXN-101497</v>
      </c>
      <c r="B1528" s="37" t="n">
        <f aca="false">IF(Raw_Export!$A1528="","",IF(ISNUMBER(Raw_Export!B1528),Raw_Export!B1528,IF(MID(TRIM(Raw_Export!B1528),5,1)="-",DATE(LEFT(TRIM(Raw_Export!B1528),4),MID(TRIM(Raw_Export!B1528),6,2),RIGHT(TRIM(Raw_Export!B1528),2)),DATE(RIGHT(TRIM(Raw_Export!B1528),4),MATCH(MID(TRIM(Raw_Export!B1528),4,3),{"Jan","Feb","Mar","Apr","May","Jun","Jul","Aug","Sep","Oct","Nov","Dec"},0),LEFT(TRIM(Raw_Export!B1528),2)))))</f>
        <v>46275</v>
      </c>
      <c r="C1528" s="36" t="str">
        <f aca="false">IF(Raw_Export!$A1528="","",IFERROR(VLOOKUP(LOWER(TRIM(Raw_Export!C1528)),Maps!$A$2:$B$20,2,FALSE()),"UNMAPPED"))</f>
        <v>Westlands</v>
      </c>
      <c r="D1528" s="36" t="str">
        <f aca="false">IF(Raw_Export!$A1528="","",IFERROR(VLOOKUP(LOWER(TRIM(Raw_Export!D1528)),Maps!$G$2:$I$80,2,FALSE()),"UNMAPPED"))</f>
        <v>Spaghetti 400g</v>
      </c>
      <c r="E1528" s="36" t="str">
        <f aca="false">IF(Raw_Export!$A1528="","",IFERROR(VLOOKUP(LOWER(TRIM(Raw_Export!D1528)),Maps!$G$2:$I$80,3,FALSE()),"UNMAPPED"))</f>
        <v>Staples</v>
      </c>
      <c r="F1528" s="36" t="n">
        <f aca="false">IF(Raw_Export!$A1528="","",IFERROR(VALUE(TRIM(Raw_Export!E1528)),0))</f>
        <v>2</v>
      </c>
      <c r="G1528" s="38" t="n">
        <f aca="false">IF(Raw_Export!$A1528="","",IFERROR(VALUE(SUBSTITUTE(SUBSTITUTE(UPPER(TRIM(Raw_Export!F1528)),"KES",""),",","")),0))</f>
        <v>110</v>
      </c>
      <c r="H1528" s="38" t="n">
        <f aca="false">IF(Raw_Export!$A1528="","",F1528*G1528)</f>
        <v>220</v>
      </c>
      <c r="I1528" s="36" t="str">
        <f aca="false">IF(Raw_Export!$A1528="","",IFERROR(VLOOKUP(LOWER(TRIM(Raw_Export!H1528)),Maps!$D$2:$E$12,2,FALSE()),"Other"))</f>
        <v>Card</v>
      </c>
      <c r="J1528" s="36" t="str">
        <f aca="false">IF(Raw_Export!$A1528="","",IF(COUNTIF($A$2:A1528,A1528)&gt;1,"Duplicate",""))</f>
        <v/>
      </c>
      <c r="K1528" s="36" t="str">
        <f aca="false">IF(Raw_Export!$A1528="","",IF(J1528="Duplicate","Duplicate",IF(OR(C1528="UNMAPPED",D1528="UNMAPPED"),"Unmapped",IF(F1528=0,"Blank qty",IF(F1528&lt;0,"Return","OK")))))</f>
        <v>OK</v>
      </c>
      <c r="L1528" s="36" t="n">
        <f aca="false">IF(Raw_Export!$A1528="","",IF(OR(K1528="OK",K1528="Return"),1,0))</f>
        <v>1</v>
      </c>
      <c r="M1528" s="37" t="n">
        <f aca="false">IF(Raw_Export!$A1528="","",B1528-WEEKDAY(B1528,2)+1)</f>
        <v>46272</v>
      </c>
    </row>
    <row r="1529" customFormat="false" ht="15" hidden="false" customHeight="false" outlineLevel="0" collapsed="false">
      <c r="A1529" s="36" t="str">
        <f aca="false">IF(Raw_Export!$A1529="","",TRIM(Raw_Export!A1529))</f>
        <v>TXN-101498</v>
      </c>
      <c r="B1529" s="37" t="n">
        <f aca="false">IF(Raw_Export!$A1529="","",IF(ISNUMBER(Raw_Export!B1529),Raw_Export!B1529,IF(MID(TRIM(Raw_Export!B1529),5,1)="-",DATE(LEFT(TRIM(Raw_Export!B1529),4),MID(TRIM(Raw_Export!B1529),6,2),RIGHT(TRIM(Raw_Export!B1529),2)),DATE(RIGHT(TRIM(Raw_Export!B1529),4),MATCH(MID(TRIM(Raw_Export!B1529),4,3),{"Jan","Feb","Mar","Apr","May","Jun","Jul","Aug","Sep","Oct","Nov","Dec"},0),LEFT(TRIM(Raw_Export!B1529),2)))))</f>
        <v>46275</v>
      </c>
      <c r="C1529" s="36" t="str">
        <f aca="false">IF(Raw_Export!$A1529="","",IFERROR(VLOOKUP(LOWER(TRIM(Raw_Export!C1529)),Maps!$A$2:$B$20,2,FALSE()),"UNMAPPED"))</f>
        <v>Westlands</v>
      </c>
      <c r="D1529" s="36" t="str">
        <f aca="false">IF(Raw_Export!$A1529="","",IFERROR(VLOOKUP(LOWER(TRIM(Raw_Export!D1529)),Maps!$G$2:$I$80,2,FALSE()),"UNMAPPED"))</f>
        <v>Soda 500ml</v>
      </c>
      <c r="E1529" s="36" t="str">
        <f aca="false">IF(Raw_Export!$A1529="","",IFERROR(VLOOKUP(LOWER(TRIM(Raw_Export!D1529)),Maps!$G$2:$I$80,3,FALSE()),"UNMAPPED"))</f>
        <v>Beverages</v>
      </c>
      <c r="F1529" s="36" t="n">
        <f aca="false">IF(Raw_Export!$A1529="","",IFERROR(VALUE(TRIM(Raw_Export!E1529)),0))</f>
        <v>1</v>
      </c>
      <c r="G1529" s="38" t="n">
        <f aca="false">IF(Raw_Export!$A1529="","",IFERROR(VALUE(SUBSTITUTE(SUBSTITUTE(UPPER(TRIM(Raw_Export!F1529)),"KES",""),",","")),0))</f>
        <v>60</v>
      </c>
      <c r="H1529" s="38" t="n">
        <f aca="false">IF(Raw_Export!$A1529="","",F1529*G1529)</f>
        <v>60</v>
      </c>
      <c r="I1529" s="36" t="str">
        <f aca="false">IF(Raw_Export!$A1529="","",IFERROR(VLOOKUP(LOWER(TRIM(Raw_Export!H1529)),Maps!$D$2:$E$12,2,FALSE()),"Other"))</f>
        <v>Cash</v>
      </c>
      <c r="J1529" s="36" t="str">
        <f aca="false">IF(Raw_Export!$A1529="","",IF(COUNTIF($A$2:A1529,A1529)&gt;1,"Duplicate",""))</f>
        <v/>
      </c>
      <c r="K1529" s="36" t="str">
        <f aca="false">IF(Raw_Export!$A1529="","",IF(J1529="Duplicate","Duplicate",IF(OR(C1529="UNMAPPED",D1529="UNMAPPED"),"Unmapped",IF(F1529=0,"Blank qty",IF(F1529&lt;0,"Return","OK")))))</f>
        <v>OK</v>
      </c>
      <c r="L1529" s="36" t="n">
        <f aca="false">IF(Raw_Export!$A1529="","",IF(OR(K1529="OK",K1529="Return"),1,0))</f>
        <v>1</v>
      </c>
      <c r="M1529" s="37" t="n">
        <f aca="false">IF(Raw_Export!$A1529="","",B1529-WEEKDAY(B1529,2)+1)</f>
        <v>46272</v>
      </c>
    </row>
    <row r="1530" customFormat="false" ht="15" hidden="false" customHeight="false" outlineLevel="0" collapsed="false">
      <c r="A1530" s="36" t="str">
        <f aca="false">IF(Raw_Export!$A1530="","",TRIM(Raw_Export!A1530))</f>
        <v>TXN-101499</v>
      </c>
      <c r="B1530" s="37" t="n">
        <f aca="false">IF(Raw_Export!$A1530="","",IF(ISNUMBER(Raw_Export!B1530),Raw_Export!B1530,IF(MID(TRIM(Raw_Export!B1530),5,1)="-",DATE(LEFT(TRIM(Raw_Export!B1530),4),MID(TRIM(Raw_Export!B1530),6,2),RIGHT(TRIM(Raw_Export!B1530),2)),DATE(RIGHT(TRIM(Raw_Export!B1530),4),MATCH(MID(TRIM(Raw_Export!B1530),4,3),{"Jan","Feb","Mar","Apr","May","Jun","Jul","Aug","Sep","Oct","Nov","Dec"},0),LEFT(TRIM(Raw_Export!B1530),2)))))</f>
        <v>46275</v>
      </c>
      <c r="C1530" s="36" t="str">
        <f aca="false">IF(Raw_Export!$A1530="","",IFERROR(VLOOKUP(LOWER(TRIM(Raw_Export!C1530)),Maps!$A$2:$B$20,2,FALSE()),"UNMAPPED"))</f>
        <v>Westlands</v>
      </c>
      <c r="D1530" s="36" t="str">
        <f aca="false">IF(Raw_Export!$A1530="","",IFERROR(VLOOKUP(LOWER(TRIM(Raw_Export!D1530)),Maps!$G$2:$I$80,2,FALSE()),"UNMAPPED"))</f>
        <v>Juice 1L</v>
      </c>
      <c r="E1530" s="36" t="str">
        <f aca="false">IF(Raw_Export!$A1530="","",IFERROR(VLOOKUP(LOWER(TRIM(Raw_Export!D1530)),Maps!$G$2:$I$80,3,FALSE()),"UNMAPPED"))</f>
        <v>Beverages</v>
      </c>
      <c r="F1530" s="36" t="n">
        <f aca="false">IF(Raw_Export!$A1530="","",IFERROR(VALUE(TRIM(Raw_Export!E1530)),0))</f>
        <v>1</v>
      </c>
      <c r="G1530" s="38" t="n">
        <f aca="false">IF(Raw_Export!$A1530="","",IFERROR(VALUE(SUBSTITUTE(SUBSTITUTE(UPPER(TRIM(Raw_Export!F1530)),"KES",""),",","")),0))</f>
        <v>210</v>
      </c>
      <c r="H1530" s="38" t="n">
        <f aca="false">IF(Raw_Export!$A1530="","",F1530*G1530)</f>
        <v>210</v>
      </c>
      <c r="I1530" s="36" t="str">
        <f aca="false">IF(Raw_Export!$A1530="","",IFERROR(VLOOKUP(LOWER(TRIM(Raw_Export!H1530)),Maps!$D$2:$E$12,2,FALSE()),"Other"))</f>
        <v>M-Pesa</v>
      </c>
      <c r="J1530" s="36" t="str">
        <f aca="false">IF(Raw_Export!$A1530="","",IF(COUNTIF($A$2:A1530,A1530)&gt;1,"Duplicate",""))</f>
        <v/>
      </c>
      <c r="K1530" s="36" t="str">
        <f aca="false">IF(Raw_Export!$A1530="","",IF(J1530="Duplicate","Duplicate",IF(OR(C1530="UNMAPPED",D1530="UNMAPPED"),"Unmapped",IF(F1530=0,"Blank qty",IF(F1530&lt;0,"Return","OK")))))</f>
        <v>OK</v>
      </c>
      <c r="L1530" s="36" t="n">
        <f aca="false">IF(Raw_Export!$A1530="","",IF(OR(K1530="OK",K1530="Return"),1,0))</f>
        <v>1</v>
      </c>
      <c r="M1530" s="37" t="n">
        <f aca="false">IF(Raw_Export!$A1530="","",B1530-WEEKDAY(B1530,2)+1)</f>
        <v>46272</v>
      </c>
    </row>
    <row r="1531" customFormat="false" ht="15" hidden="false" customHeight="false" outlineLevel="0" collapsed="false">
      <c r="A1531" s="36" t="str">
        <f aca="false">IF(Raw_Export!$A1531="","",TRIM(Raw_Export!A1531))</f>
        <v>TXN-101500</v>
      </c>
      <c r="B1531" s="37" t="n">
        <f aca="false">IF(Raw_Export!$A1531="","",IF(ISNUMBER(Raw_Export!B1531),Raw_Export!B1531,IF(MID(TRIM(Raw_Export!B1531),5,1)="-",DATE(LEFT(TRIM(Raw_Export!B1531),4),MID(TRIM(Raw_Export!B1531),6,2),RIGHT(TRIM(Raw_Export!B1531),2)),DATE(RIGHT(TRIM(Raw_Export!B1531),4),MATCH(MID(TRIM(Raw_Export!B1531),4,3),{"Jan","Feb","Mar","Apr","May","Jun","Jul","Aug","Sep","Oct","Nov","Dec"},0),LEFT(TRIM(Raw_Export!B1531),2)))))</f>
        <v>46275</v>
      </c>
      <c r="C1531" s="36" t="str">
        <f aca="false">IF(Raw_Export!$A1531="","",IFERROR(VLOOKUP(LOWER(TRIM(Raw_Export!C1531)),Maps!$A$2:$B$20,2,FALSE()),"UNMAPPED"))</f>
        <v>Westlands</v>
      </c>
      <c r="D1531" s="36" t="str">
        <f aca="false">IF(Raw_Export!$A1531="","",IFERROR(VLOOKUP(LOWER(TRIM(Raw_Export!D1531)),Maps!$G$2:$I$80,2,FALSE()),"UNMAPPED"))</f>
        <v>Bath Soap 175g</v>
      </c>
      <c r="E1531" s="36" t="str">
        <f aca="false">IF(Raw_Export!$A1531="","",IFERROR(VLOOKUP(LOWER(TRIM(Raw_Export!D1531)),Maps!$G$2:$I$80,3,FALSE()),"UNMAPPED"))</f>
        <v>Personal Care</v>
      </c>
      <c r="F1531" s="36" t="n">
        <f aca="false">IF(Raw_Export!$A1531="","",IFERROR(VALUE(TRIM(Raw_Export!E1531)),0))</f>
        <v>1</v>
      </c>
      <c r="G1531" s="38" t="n">
        <f aca="false">IF(Raw_Export!$A1531="","",IFERROR(VALUE(SUBSTITUTE(SUBSTITUTE(UPPER(TRIM(Raw_Export!F1531)),"KES",""),",","")),0))</f>
        <v>85</v>
      </c>
      <c r="H1531" s="38" t="n">
        <f aca="false">IF(Raw_Export!$A1531="","",F1531*G1531)</f>
        <v>85</v>
      </c>
      <c r="I1531" s="36" t="str">
        <f aca="false">IF(Raw_Export!$A1531="","",IFERROR(VLOOKUP(LOWER(TRIM(Raw_Export!H1531)),Maps!$D$2:$E$12,2,FALSE()),"Other"))</f>
        <v>Cash</v>
      </c>
      <c r="J1531" s="36" t="str">
        <f aca="false">IF(Raw_Export!$A1531="","",IF(COUNTIF($A$2:A1531,A1531)&gt;1,"Duplicate",""))</f>
        <v/>
      </c>
      <c r="K1531" s="36" t="str">
        <f aca="false">IF(Raw_Export!$A1531="","",IF(J1531="Duplicate","Duplicate",IF(OR(C1531="UNMAPPED",D1531="UNMAPPED"),"Unmapped",IF(F1531=0,"Blank qty",IF(F1531&lt;0,"Return","OK")))))</f>
        <v>OK</v>
      </c>
      <c r="L1531" s="36" t="n">
        <f aca="false">IF(Raw_Export!$A1531="","",IF(OR(K1531="OK",K1531="Return"),1,0))</f>
        <v>1</v>
      </c>
      <c r="M1531" s="37" t="n">
        <f aca="false">IF(Raw_Export!$A1531="","",B1531-WEEKDAY(B1531,2)+1)</f>
        <v>46272</v>
      </c>
    </row>
    <row r="1532" customFormat="false" ht="15" hidden="false" customHeight="false" outlineLevel="0" collapsed="false">
      <c r="A1532" s="36" t="str">
        <f aca="false">IF(Raw_Export!$A1532="","",TRIM(Raw_Export!A1532))</f>
        <v>TXN-101501</v>
      </c>
      <c r="B1532" s="37" t="n">
        <f aca="false">IF(Raw_Export!$A1532="","",IF(ISNUMBER(Raw_Export!B1532),Raw_Export!B1532,IF(MID(TRIM(Raw_Export!B1532),5,1)="-",DATE(LEFT(TRIM(Raw_Export!B1532),4),MID(TRIM(Raw_Export!B1532),6,2),RIGHT(TRIM(Raw_Export!B1532),2)),DATE(RIGHT(TRIM(Raw_Export!B1532),4),MATCH(MID(TRIM(Raw_Export!B1532),4,3),{"Jan","Feb","Mar","Apr","May","Jun","Jul","Aug","Sep","Oct","Nov","Dec"},0),LEFT(TRIM(Raw_Export!B1532),2)))))</f>
        <v>46275</v>
      </c>
      <c r="C1532" s="36" t="str">
        <f aca="false">IF(Raw_Export!$A1532="","",IFERROR(VLOOKUP(LOWER(TRIM(Raw_Export!C1532)),Maps!$A$2:$B$20,2,FALSE()),"UNMAPPED"))</f>
        <v>Westlands</v>
      </c>
      <c r="D1532" s="36" t="str">
        <f aca="false">IF(Raw_Export!$A1532="","",IFERROR(VLOOKUP(LOWER(TRIM(Raw_Export!D1532)),Maps!$G$2:$I$80,2,FALSE()),"UNMAPPED"))</f>
        <v>Rice Pishori 2kg</v>
      </c>
      <c r="E1532" s="36" t="str">
        <f aca="false">IF(Raw_Export!$A1532="","",IFERROR(VLOOKUP(LOWER(TRIM(Raw_Export!D1532)),Maps!$G$2:$I$80,3,FALSE()),"UNMAPPED"))</f>
        <v>Staples</v>
      </c>
      <c r="F1532" s="36" t="n">
        <f aca="false">IF(Raw_Export!$A1532="","",IFERROR(VALUE(TRIM(Raw_Export!E1532)),0))</f>
        <v>4</v>
      </c>
      <c r="G1532" s="38" t="n">
        <f aca="false">IF(Raw_Export!$A1532="","",IFERROR(VALUE(SUBSTITUTE(SUBSTITUTE(UPPER(TRIM(Raw_Export!F1532)),"KES",""),",","")),0))</f>
        <v>420</v>
      </c>
      <c r="H1532" s="38" t="n">
        <f aca="false">IF(Raw_Export!$A1532="","",F1532*G1532)</f>
        <v>1680</v>
      </c>
      <c r="I1532" s="36" t="str">
        <f aca="false">IF(Raw_Export!$A1532="","",IFERROR(VLOOKUP(LOWER(TRIM(Raw_Export!H1532)),Maps!$D$2:$E$12,2,FALSE()),"Other"))</f>
        <v>M-Pesa</v>
      </c>
      <c r="J1532" s="36" t="str">
        <f aca="false">IF(Raw_Export!$A1532="","",IF(COUNTIF($A$2:A1532,A1532)&gt;1,"Duplicate",""))</f>
        <v/>
      </c>
      <c r="K1532" s="36" t="str">
        <f aca="false">IF(Raw_Export!$A1532="","",IF(J1532="Duplicate","Duplicate",IF(OR(C1532="UNMAPPED",D1532="UNMAPPED"),"Unmapped",IF(F1532=0,"Blank qty",IF(F1532&lt;0,"Return","OK")))))</f>
        <v>OK</v>
      </c>
      <c r="L1532" s="36" t="n">
        <f aca="false">IF(Raw_Export!$A1532="","",IF(OR(K1532="OK",K1532="Return"),1,0))</f>
        <v>1</v>
      </c>
      <c r="M1532" s="37" t="n">
        <f aca="false">IF(Raw_Export!$A1532="","",B1532-WEEKDAY(B1532,2)+1)</f>
        <v>46272</v>
      </c>
    </row>
    <row r="1533" customFormat="false" ht="15" hidden="false" customHeight="false" outlineLevel="0" collapsed="false">
      <c r="A1533" s="36" t="str">
        <f aca="false">IF(Raw_Export!$A1533="","",TRIM(Raw_Export!A1533))</f>
        <v>TXN-101502</v>
      </c>
      <c r="B1533" s="37" t="n">
        <f aca="false">IF(Raw_Export!$A1533="","",IF(ISNUMBER(Raw_Export!B1533),Raw_Export!B1533,IF(MID(TRIM(Raw_Export!B1533),5,1)="-",DATE(LEFT(TRIM(Raw_Export!B1533),4),MID(TRIM(Raw_Export!B1533),6,2),RIGHT(TRIM(Raw_Export!B1533),2)),DATE(RIGHT(TRIM(Raw_Export!B1533),4),MATCH(MID(TRIM(Raw_Export!B1533),4,3),{"Jan","Feb","Mar","Apr","May","Jun","Jul","Aug","Sep","Oct","Nov","Dec"},0),LEFT(TRIM(Raw_Export!B1533),2)))))</f>
        <v>46275</v>
      </c>
      <c r="C1533" s="36" t="str">
        <f aca="false">IF(Raw_Export!$A1533="","",IFERROR(VLOOKUP(LOWER(TRIM(Raw_Export!C1533)),Maps!$A$2:$B$20,2,FALSE()),"UNMAPPED"))</f>
        <v>Westlands</v>
      </c>
      <c r="D1533" s="36" t="str">
        <f aca="false">IF(Raw_Export!$A1533="","",IFERROR(VLOOKUP(LOWER(TRIM(Raw_Export!D1533)),Maps!$G$2:$I$80,2,FALSE()),"UNMAPPED"))</f>
        <v>Eggs Tray 30</v>
      </c>
      <c r="E1533" s="36" t="str">
        <f aca="false">IF(Raw_Export!$A1533="","",IFERROR(VLOOKUP(LOWER(TRIM(Raw_Export!D1533)),Maps!$G$2:$I$80,3,FALSE()),"UNMAPPED"))</f>
        <v>Dairy &amp; Eggs</v>
      </c>
      <c r="F1533" s="36" t="n">
        <f aca="false">IF(Raw_Export!$A1533="","",IFERROR(VALUE(TRIM(Raw_Export!E1533)),0))</f>
        <v>1</v>
      </c>
      <c r="G1533" s="38" t="n">
        <f aca="false">IF(Raw_Export!$A1533="","",IFERROR(VALUE(SUBSTITUTE(SUBSTITUTE(UPPER(TRIM(Raw_Export!F1533)),"KES",""),",","")),0))</f>
        <v>450</v>
      </c>
      <c r="H1533" s="38" t="n">
        <f aca="false">IF(Raw_Export!$A1533="","",F1533*G1533)</f>
        <v>450</v>
      </c>
      <c r="I1533" s="36" t="str">
        <f aca="false">IF(Raw_Export!$A1533="","",IFERROR(VLOOKUP(LOWER(TRIM(Raw_Export!H1533)),Maps!$D$2:$E$12,2,FALSE()),"Other"))</f>
        <v>M-Pesa</v>
      </c>
      <c r="J1533" s="36" t="str">
        <f aca="false">IF(Raw_Export!$A1533="","",IF(COUNTIF($A$2:A1533,A1533)&gt;1,"Duplicate",""))</f>
        <v/>
      </c>
      <c r="K1533" s="36" t="str">
        <f aca="false">IF(Raw_Export!$A1533="","",IF(J1533="Duplicate","Duplicate",IF(OR(C1533="UNMAPPED",D1533="UNMAPPED"),"Unmapped",IF(F1533=0,"Blank qty",IF(F1533&lt;0,"Return","OK")))))</f>
        <v>OK</v>
      </c>
      <c r="L1533" s="36" t="n">
        <f aca="false">IF(Raw_Export!$A1533="","",IF(OR(K1533="OK",K1533="Return"),1,0))</f>
        <v>1</v>
      </c>
      <c r="M1533" s="37" t="n">
        <f aca="false">IF(Raw_Export!$A1533="","",B1533-WEEKDAY(B1533,2)+1)</f>
        <v>46272</v>
      </c>
    </row>
    <row r="1534" customFormat="false" ht="15" hidden="false" customHeight="false" outlineLevel="0" collapsed="false">
      <c r="A1534" s="36" t="str">
        <f aca="false">IF(Raw_Export!$A1534="","",TRIM(Raw_Export!A1534))</f>
        <v>TXN-101503</v>
      </c>
      <c r="B1534" s="37" t="n">
        <f aca="false">IF(Raw_Export!$A1534="","",IF(ISNUMBER(Raw_Export!B1534),Raw_Export!B1534,IF(MID(TRIM(Raw_Export!B1534),5,1)="-",DATE(LEFT(TRIM(Raw_Export!B1534),4),MID(TRIM(Raw_Export!B1534),6,2),RIGHT(TRIM(Raw_Export!B1534),2)),DATE(RIGHT(TRIM(Raw_Export!B1534),4),MATCH(MID(TRIM(Raw_Export!B1534),4,3),{"Jan","Feb","Mar","Apr","May","Jun","Jul","Aug","Sep","Oct","Nov","Dec"},0),LEFT(TRIM(Raw_Export!B1534),2)))))</f>
        <v>46275</v>
      </c>
      <c r="C1534" s="36" t="str">
        <f aca="false">IF(Raw_Export!$A1534="","",IFERROR(VLOOKUP(LOWER(TRIM(Raw_Export!C1534)),Maps!$A$2:$B$20,2,FALSE()),"UNMAPPED"))</f>
        <v>Westlands</v>
      </c>
      <c r="D1534" s="36" t="str">
        <f aca="false">IF(Raw_Export!$A1534="","",IFERROR(VLOOKUP(LOWER(TRIM(Raw_Export!D1534)),Maps!$G$2:$I$80,2,FALSE()),"UNMAPPED"))</f>
        <v>Juice 1L</v>
      </c>
      <c r="E1534" s="36" t="str">
        <f aca="false">IF(Raw_Export!$A1534="","",IFERROR(VLOOKUP(LOWER(TRIM(Raw_Export!D1534)),Maps!$G$2:$I$80,3,FALSE()),"UNMAPPED"))</f>
        <v>Beverages</v>
      </c>
      <c r="F1534" s="36" t="n">
        <f aca="false">IF(Raw_Export!$A1534="","",IFERROR(VALUE(TRIM(Raw_Export!E1534)),0))</f>
        <v>4</v>
      </c>
      <c r="G1534" s="38" t="n">
        <f aca="false">IF(Raw_Export!$A1534="","",IFERROR(VALUE(SUBSTITUTE(SUBSTITUTE(UPPER(TRIM(Raw_Export!F1534)),"KES",""),",","")),0))</f>
        <v>210</v>
      </c>
      <c r="H1534" s="38" t="n">
        <f aca="false">IF(Raw_Export!$A1534="","",F1534*G1534)</f>
        <v>840</v>
      </c>
      <c r="I1534" s="36" t="str">
        <f aca="false">IF(Raw_Export!$A1534="","",IFERROR(VLOOKUP(LOWER(TRIM(Raw_Export!H1534)),Maps!$D$2:$E$12,2,FALSE()),"Other"))</f>
        <v>M-Pesa</v>
      </c>
      <c r="J1534" s="36" t="str">
        <f aca="false">IF(Raw_Export!$A1534="","",IF(COUNTIF($A$2:A1534,A1534)&gt;1,"Duplicate",""))</f>
        <v/>
      </c>
      <c r="K1534" s="36" t="str">
        <f aca="false">IF(Raw_Export!$A1534="","",IF(J1534="Duplicate","Duplicate",IF(OR(C1534="UNMAPPED",D1534="UNMAPPED"),"Unmapped",IF(F1534=0,"Blank qty",IF(F1534&lt;0,"Return","OK")))))</f>
        <v>OK</v>
      </c>
      <c r="L1534" s="36" t="n">
        <f aca="false">IF(Raw_Export!$A1534="","",IF(OR(K1534="OK",K1534="Return"),1,0))</f>
        <v>1</v>
      </c>
      <c r="M1534" s="37" t="n">
        <f aca="false">IF(Raw_Export!$A1534="","",B1534-WEEKDAY(B1534,2)+1)</f>
        <v>46272</v>
      </c>
    </row>
    <row r="1535" customFormat="false" ht="15" hidden="false" customHeight="false" outlineLevel="0" collapsed="false">
      <c r="A1535" s="36" t="str">
        <f aca="false">IF(Raw_Export!$A1535="","",TRIM(Raw_Export!A1535))</f>
        <v>TXN-101504</v>
      </c>
      <c r="B1535" s="37" t="n">
        <f aca="false">IF(Raw_Export!$A1535="","",IF(ISNUMBER(Raw_Export!B1535),Raw_Export!B1535,IF(MID(TRIM(Raw_Export!B1535),5,1)="-",DATE(LEFT(TRIM(Raw_Export!B1535),4),MID(TRIM(Raw_Export!B1535),6,2),RIGHT(TRIM(Raw_Export!B1535),2)),DATE(RIGHT(TRIM(Raw_Export!B1535),4),MATCH(MID(TRIM(Raw_Export!B1535),4,3),{"Jan","Feb","Mar","Apr","May","Jun","Jul","Aug","Sep","Oct","Nov","Dec"},0),LEFT(TRIM(Raw_Export!B1535),2)))))</f>
        <v>46275</v>
      </c>
      <c r="C1535" s="36" t="str">
        <f aca="false">IF(Raw_Export!$A1535="","",IFERROR(VLOOKUP(LOWER(TRIM(Raw_Export!C1535)),Maps!$A$2:$B$20,2,FALSE()),"UNMAPPED"))</f>
        <v>Westlands</v>
      </c>
      <c r="D1535" s="36" t="str">
        <f aca="false">IF(Raw_Export!$A1535="","",IFERROR(VLOOKUP(LOWER(TRIM(Raw_Export!D1535)),Maps!$G$2:$I$80,2,FALSE()),"UNMAPPED"))</f>
        <v>Unga Pembe 2kg</v>
      </c>
      <c r="E1535" s="36" t="str">
        <f aca="false">IF(Raw_Export!$A1535="","",IFERROR(VLOOKUP(LOWER(TRIM(Raw_Export!D1535)),Maps!$G$2:$I$80,3,FALSE()),"UNMAPPED"))</f>
        <v>Staples</v>
      </c>
      <c r="F1535" s="36" t="n">
        <f aca="false">IF(Raw_Export!$A1535="","",IFERROR(VALUE(TRIM(Raw_Export!E1535)),0))</f>
        <v>1</v>
      </c>
      <c r="G1535" s="38" t="n">
        <f aca="false">IF(Raw_Export!$A1535="","",IFERROR(VALUE(SUBSTITUTE(SUBSTITUTE(UPPER(TRIM(Raw_Export!F1535)),"KES",""),",","")),0))</f>
        <v>190</v>
      </c>
      <c r="H1535" s="38" t="n">
        <f aca="false">IF(Raw_Export!$A1535="","",F1535*G1535)</f>
        <v>190</v>
      </c>
      <c r="I1535" s="36" t="str">
        <f aca="false">IF(Raw_Export!$A1535="","",IFERROR(VLOOKUP(LOWER(TRIM(Raw_Export!H1535)),Maps!$D$2:$E$12,2,FALSE()),"Other"))</f>
        <v>Cash</v>
      </c>
      <c r="J1535" s="36" t="str">
        <f aca="false">IF(Raw_Export!$A1535="","",IF(COUNTIF($A$2:A1535,A1535)&gt;1,"Duplicate",""))</f>
        <v/>
      </c>
      <c r="K1535" s="36" t="str">
        <f aca="false">IF(Raw_Export!$A1535="","",IF(J1535="Duplicate","Duplicate",IF(OR(C1535="UNMAPPED",D1535="UNMAPPED"),"Unmapped",IF(F1535=0,"Blank qty",IF(F1535&lt;0,"Return","OK")))))</f>
        <v>OK</v>
      </c>
      <c r="L1535" s="36" t="n">
        <f aca="false">IF(Raw_Export!$A1535="","",IF(OR(K1535="OK",K1535="Return"),1,0))</f>
        <v>1</v>
      </c>
      <c r="M1535" s="37" t="n">
        <f aca="false">IF(Raw_Export!$A1535="","",B1535-WEEKDAY(B1535,2)+1)</f>
        <v>46272</v>
      </c>
    </row>
    <row r="1536" customFormat="false" ht="15" hidden="false" customHeight="false" outlineLevel="0" collapsed="false">
      <c r="A1536" s="36" t="str">
        <f aca="false">IF(Raw_Export!$A1536="","",TRIM(Raw_Export!A1536))</f>
        <v>TXN-101505</v>
      </c>
      <c r="B1536" s="37" t="n">
        <f aca="false">IF(Raw_Export!$A1536="","",IF(ISNUMBER(Raw_Export!B1536),Raw_Export!B1536,IF(MID(TRIM(Raw_Export!B1536),5,1)="-",DATE(LEFT(TRIM(Raw_Export!B1536),4),MID(TRIM(Raw_Export!B1536),6,2),RIGHT(TRIM(Raw_Export!B1536),2)),DATE(RIGHT(TRIM(Raw_Export!B1536),4),MATCH(MID(TRIM(Raw_Export!B1536),4,3),{"Jan","Feb","Mar","Apr","May","Jun","Jul","Aug","Sep","Oct","Nov","Dec"},0),LEFT(TRIM(Raw_Export!B1536),2)))))</f>
        <v>46275</v>
      </c>
      <c r="C1536" s="36" t="str">
        <f aca="false">IF(Raw_Export!$A1536="","",IFERROR(VLOOKUP(LOWER(TRIM(Raw_Export!C1536)),Maps!$A$2:$B$20,2,FALSE()),"UNMAPPED"))</f>
        <v>Westlands</v>
      </c>
      <c r="D1536" s="36" t="str">
        <f aca="false">IF(Raw_Export!$A1536="","",IFERROR(VLOOKUP(LOWER(TRIM(Raw_Export!D1536)),Maps!$G$2:$I$80,2,FALSE()),"UNMAPPED"))</f>
        <v>Washing Powder 1kg</v>
      </c>
      <c r="E1536" s="36" t="str">
        <f aca="false">IF(Raw_Export!$A1536="","",IFERROR(VLOOKUP(LOWER(TRIM(Raw_Export!D1536)),Maps!$G$2:$I$80,3,FALSE()),"UNMAPPED"))</f>
        <v>Household</v>
      </c>
      <c r="F1536" s="36" t="n">
        <f aca="false">IF(Raw_Export!$A1536="","",IFERROR(VALUE(TRIM(Raw_Export!E1536)),0))</f>
        <v>6</v>
      </c>
      <c r="G1536" s="38" t="n">
        <f aca="false">IF(Raw_Export!$A1536="","",IFERROR(VALUE(SUBSTITUTE(SUBSTITUTE(UPPER(TRIM(Raw_Export!F1536)),"KES",""),",","")),0))</f>
        <v>252</v>
      </c>
      <c r="H1536" s="38" t="n">
        <f aca="false">IF(Raw_Export!$A1536="","",F1536*G1536)</f>
        <v>1512</v>
      </c>
      <c r="I1536" s="36" t="str">
        <f aca="false">IF(Raw_Export!$A1536="","",IFERROR(VLOOKUP(LOWER(TRIM(Raw_Export!H1536)),Maps!$D$2:$E$12,2,FALSE()),"Other"))</f>
        <v>Cash</v>
      </c>
      <c r="J1536" s="36" t="str">
        <f aca="false">IF(Raw_Export!$A1536="","",IF(COUNTIF($A$2:A1536,A1536)&gt;1,"Duplicate",""))</f>
        <v/>
      </c>
      <c r="K1536" s="36" t="str">
        <f aca="false">IF(Raw_Export!$A1536="","",IF(J1536="Duplicate","Duplicate",IF(OR(C1536="UNMAPPED",D1536="UNMAPPED"),"Unmapped",IF(F1536=0,"Blank qty",IF(F1536&lt;0,"Return","OK")))))</f>
        <v>OK</v>
      </c>
      <c r="L1536" s="36" t="n">
        <f aca="false">IF(Raw_Export!$A1536="","",IF(OR(K1536="OK",K1536="Return"),1,0))</f>
        <v>1</v>
      </c>
      <c r="M1536" s="37" t="n">
        <f aca="false">IF(Raw_Export!$A1536="","",B1536-WEEKDAY(B1536,2)+1)</f>
        <v>46272</v>
      </c>
    </row>
    <row r="1537" customFormat="false" ht="15" hidden="false" customHeight="false" outlineLevel="0" collapsed="false">
      <c r="A1537" s="36" t="str">
        <f aca="false">IF(Raw_Export!$A1537="","",TRIM(Raw_Export!A1537))</f>
        <v>TXN-101506</v>
      </c>
      <c r="B1537" s="37" t="n">
        <f aca="false">IF(Raw_Export!$A1537="","",IF(ISNUMBER(Raw_Export!B1537),Raw_Export!B1537,IF(MID(TRIM(Raw_Export!B1537),5,1)="-",DATE(LEFT(TRIM(Raw_Export!B1537),4),MID(TRIM(Raw_Export!B1537),6,2),RIGHT(TRIM(Raw_Export!B1537),2)),DATE(RIGHT(TRIM(Raw_Export!B1537),4),MATCH(MID(TRIM(Raw_Export!B1537),4,3),{"Jan","Feb","Mar","Apr","May","Jun","Jul","Aug","Sep","Oct","Nov","Dec"},0),LEFT(TRIM(Raw_Export!B1537),2)))))</f>
        <v>46275</v>
      </c>
      <c r="C1537" s="36" t="str">
        <f aca="false">IF(Raw_Export!$A1537="","",IFERROR(VLOOKUP(LOWER(TRIM(Raw_Export!C1537)),Maps!$A$2:$B$20,2,FALSE()),"UNMAPPED"))</f>
        <v>Westlands</v>
      </c>
      <c r="D1537" s="36" t="str">
        <f aca="false">IF(Raw_Export!$A1537="","",IFERROR(VLOOKUP(LOWER(TRIM(Raw_Export!D1537)),Maps!$G$2:$I$80,2,FALSE()),"UNMAPPED"))</f>
        <v>Cooking Oil 1L</v>
      </c>
      <c r="E1537" s="36" t="str">
        <f aca="false">IF(Raw_Export!$A1537="","",IFERROR(VLOOKUP(LOWER(TRIM(Raw_Export!D1537)),Maps!$G$2:$I$80,3,FALSE()),"UNMAPPED"))</f>
        <v>Staples</v>
      </c>
      <c r="F1537" s="36" t="n">
        <f aca="false">IF(Raw_Export!$A1537="","",IFERROR(VALUE(TRIM(Raw_Export!E1537)),0))</f>
        <v>6</v>
      </c>
      <c r="G1537" s="38" t="n">
        <f aca="false">IF(Raw_Export!$A1537="","",IFERROR(VALUE(SUBSTITUTE(SUBSTITUTE(UPPER(TRIM(Raw_Export!F1537)),"KES",""),",","")),0))</f>
        <v>330</v>
      </c>
      <c r="H1537" s="38" t="n">
        <f aca="false">IF(Raw_Export!$A1537="","",F1537*G1537)</f>
        <v>1980</v>
      </c>
      <c r="I1537" s="36" t="str">
        <f aca="false">IF(Raw_Export!$A1537="","",IFERROR(VLOOKUP(LOWER(TRIM(Raw_Export!H1537)),Maps!$D$2:$E$12,2,FALSE()),"Other"))</f>
        <v>Card</v>
      </c>
      <c r="J1537" s="36" t="str">
        <f aca="false">IF(Raw_Export!$A1537="","",IF(COUNTIF($A$2:A1537,A1537)&gt;1,"Duplicate",""))</f>
        <v/>
      </c>
      <c r="K1537" s="36" t="str">
        <f aca="false">IF(Raw_Export!$A1537="","",IF(J1537="Duplicate","Duplicate",IF(OR(C1537="UNMAPPED",D1537="UNMAPPED"),"Unmapped",IF(F1537=0,"Blank qty",IF(F1537&lt;0,"Return","OK")))))</f>
        <v>OK</v>
      </c>
      <c r="L1537" s="36" t="n">
        <f aca="false">IF(Raw_Export!$A1537="","",IF(OR(K1537="OK",K1537="Return"),1,0))</f>
        <v>1</v>
      </c>
      <c r="M1537" s="37" t="n">
        <f aca="false">IF(Raw_Export!$A1537="","",B1537-WEEKDAY(B1537,2)+1)</f>
        <v>46272</v>
      </c>
    </row>
    <row r="1538" customFormat="false" ht="15" hidden="false" customHeight="false" outlineLevel="0" collapsed="false">
      <c r="A1538" s="36" t="str">
        <f aca="false">IF(Raw_Export!$A1538="","",TRIM(Raw_Export!A1538))</f>
        <v>TXN-101507</v>
      </c>
      <c r="B1538" s="37" t="n">
        <f aca="false">IF(Raw_Export!$A1538="","",IF(ISNUMBER(Raw_Export!B1538),Raw_Export!B1538,IF(MID(TRIM(Raw_Export!B1538),5,1)="-",DATE(LEFT(TRIM(Raw_Export!B1538),4),MID(TRIM(Raw_Export!B1538),6,2),RIGHT(TRIM(Raw_Export!B1538),2)),DATE(RIGHT(TRIM(Raw_Export!B1538),4),MATCH(MID(TRIM(Raw_Export!B1538),4,3),{"Jan","Feb","Mar","Apr","May","Jun","Jul","Aug","Sep","Oct","Nov","Dec"},0),LEFT(TRIM(Raw_Export!B1538),2)))))</f>
        <v>46275</v>
      </c>
      <c r="C1538" s="36" t="str">
        <f aca="false">IF(Raw_Export!$A1538="","",IFERROR(VLOOKUP(LOWER(TRIM(Raw_Export!C1538)),Maps!$A$2:$B$20,2,FALSE()),"UNMAPPED"))</f>
        <v>Westlands</v>
      </c>
      <c r="D1538" s="36" t="str">
        <f aca="false">IF(Raw_Export!$A1538="","",IFERROR(VLOOKUP(LOWER(TRIM(Raw_Export!D1538)),Maps!$G$2:$I$80,2,FALSE()),"UNMAPPED"))</f>
        <v>Spaghetti 400g</v>
      </c>
      <c r="E1538" s="36" t="str">
        <f aca="false">IF(Raw_Export!$A1538="","",IFERROR(VLOOKUP(LOWER(TRIM(Raw_Export!D1538)),Maps!$G$2:$I$80,3,FALSE()),"UNMAPPED"))</f>
        <v>Staples</v>
      </c>
      <c r="F1538" s="36" t="n">
        <f aca="false">IF(Raw_Export!$A1538="","",IFERROR(VALUE(TRIM(Raw_Export!E1538)),0))</f>
        <v>6</v>
      </c>
      <c r="G1538" s="38" t="n">
        <f aca="false">IF(Raw_Export!$A1538="","",IFERROR(VALUE(SUBSTITUTE(SUBSTITUTE(UPPER(TRIM(Raw_Export!F1538)),"KES",""),",","")),0))</f>
        <v>110</v>
      </c>
      <c r="H1538" s="38" t="n">
        <f aca="false">IF(Raw_Export!$A1538="","",F1538*G1538)</f>
        <v>660</v>
      </c>
      <c r="I1538" s="36" t="str">
        <f aca="false">IF(Raw_Export!$A1538="","",IFERROR(VLOOKUP(LOWER(TRIM(Raw_Export!H1538)),Maps!$D$2:$E$12,2,FALSE()),"Other"))</f>
        <v>Cash</v>
      </c>
      <c r="J1538" s="36" t="str">
        <f aca="false">IF(Raw_Export!$A1538="","",IF(COUNTIF($A$2:A1538,A1538)&gt;1,"Duplicate",""))</f>
        <v/>
      </c>
      <c r="K1538" s="36" t="str">
        <f aca="false">IF(Raw_Export!$A1538="","",IF(J1538="Duplicate","Duplicate",IF(OR(C1538="UNMAPPED",D1538="UNMAPPED"),"Unmapped",IF(F1538=0,"Blank qty",IF(F1538&lt;0,"Return","OK")))))</f>
        <v>OK</v>
      </c>
      <c r="L1538" s="36" t="n">
        <f aca="false">IF(Raw_Export!$A1538="","",IF(OR(K1538="OK",K1538="Return"),1,0))</f>
        <v>1</v>
      </c>
      <c r="M1538" s="37" t="n">
        <f aca="false">IF(Raw_Export!$A1538="","",B1538-WEEKDAY(B1538,2)+1)</f>
        <v>46272</v>
      </c>
    </row>
    <row r="1539" customFormat="false" ht="15" hidden="false" customHeight="false" outlineLevel="0" collapsed="false">
      <c r="A1539" s="36" t="str">
        <f aca="false">IF(Raw_Export!$A1539="","",TRIM(Raw_Export!A1539))</f>
        <v>TXN-101508</v>
      </c>
      <c r="B1539" s="37" t="n">
        <f aca="false">IF(Raw_Export!$A1539="","",IF(ISNUMBER(Raw_Export!B1539),Raw_Export!B1539,IF(MID(TRIM(Raw_Export!B1539),5,1)="-",DATE(LEFT(TRIM(Raw_Export!B1539),4),MID(TRIM(Raw_Export!B1539),6,2),RIGHT(TRIM(Raw_Export!B1539),2)),DATE(RIGHT(TRIM(Raw_Export!B1539),4),MATCH(MID(TRIM(Raw_Export!B1539),4,3),{"Jan","Feb","Mar","Apr","May","Jun","Jul","Aug","Sep","Oct","Nov","Dec"},0),LEFT(TRIM(Raw_Export!B1539),2)))))</f>
        <v>46275</v>
      </c>
      <c r="C1539" s="36" t="str">
        <f aca="false">IF(Raw_Export!$A1539="","",IFERROR(VLOOKUP(LOWER(TRIM(Raw_Export!C1539)),Maps!$A$2:$B$20,2,FALSE()),"UNMAPPED"))</f>
        <v>Westlands</v>
      </c>
      <c r="D1539" s="36" t="str">
        <f aca="false">IF(Raw_Export!$A1539="","",IFERROR(VLOOKUP(LOWER(TRIM(Raw_Export!D1539)),Maps!$G$2:$I$80,2,FALSE()),"UNMAPPED"))</f>
        <v>Sugar 2kg</v>
      </c>
      <c r="E1539" s="36" t="str">
        <f aca="false">IF(Raw_Export!$A1539="","",IFERROR(VLOOKUP(LOWER(TRIM(Raw_Export!D1539)),Maps!$G$2:$I$80,3,FALSE()),"UNMAPPED"))</f>
        <v>Staples</v>
      </c>
      <c r="F1539" s="36" t="n">
        <f aca="false">IF(Raw_Export!$A1539="","",IFERROR(VALUE(TRIM(Raw_Export!E1539)),0))</f>
        <v>1</v>
      </c>
      <c r="G1539" s="38" t="n">
        <f aca="false">IF(Raw_Export!$A1539="","",IFERROR(VALUE(SUBSTITUTE(SUBSTITUTE(UPPER(TRIM(Raw_Export!F1539)),"KES",""),",","")),0))</f>
        <v>297</v>
      </c>
      <c r="H1539" s="38" t="n">
        <f aca="false">IF(Raw_Export!$A1539="","",F1539*G1539)</f>
        <v>297</v>
      </c>
      <c r="I1539" s="36" t="str">
        <f aca="false">IF(Raw_Export!$A1539="","",IFERROR(VLOOKUP(LOWER(TRIM(Raw_Export!H1539)),Maps!$D$2:$E$12,2,FALSE()),"Other"))</f>
        <v>Card</v>
      </c>
      <c r="J1539" s="36" t="str">
        <f aca="false">IF(Raw_Export!$A1539="","",IF(COUNTIF($A$2:A1539,A1539)&gt;1,"Duplicate",""))</f>
        <v/>
      </c>
      <c r="K1539" s="36" t="str">
        <f aca="false">IF(Raw_Export!$A1539="","",IF(J1539="Duplicate","Duplicate",IF(OR(C1539="UNMAPPED",D1539="UNMAPPED"),"Unmapped",IF(F1539=0,"Blank qty",IF(F1539&lt;0,"Return","OK")))))</f>
        <v>OK</v>
      </c>
      <c r="L1539" s="36" t="n">
        <f aca="false">IF(Raw_Export!$A1539="","",IF(OR(K1539="OK",K1539="Return"),1,0))</f>
        <v>1</v>
      </c>
      <c r="M1539" s="37" t="n">
        <f aca="false">IF(Raw_Export!$A1539="","",B1539-WEEKDAY(B1539,2)+1)</f>
        <v>46272</v>
      </c>
    </row>
    <row r="1540" customFormat="false" ht="15" hidden="false" customHeight="false" outlineLevel="0" collapsed="false">
      <c r="A1540" s="36" t="str">
        <f aca="false">IF(Raw_Export!$A1540="","",TRIM(Raw_Export!A1540))</f>
        <v>TXN-101509</v>
      </c>
      <c r="B1540" s="37" t="n">
        <f aca="false">IF(Raw_Export!$A1540="","",IF(ISNUMBER(Raw_Export!B1540),Raw_Export!B1540,IF(MID(TRIM(Raw_Export!B1540),5,1)="-",DATE(LEFT(TRIM(Raw_Export!B1540),4),MID(TRIM(Raw_Export!B1540),6,2),RIGHT(TRIM(Raw_Export!B1540),2)),DATE(RIGHT(TRIM(Raw_Export!B1540),4),MATCH(MID(TRIM(Raw_Export!B1540),4,3),{"Jan","Feb","Mar","Apr","May","Jun","Jul","Aug","Sep","Oct","Nov","Dec"},0),LEFT(TRIM(Raw_Export!B1540),2)))))</f>
        <v>46275</v>
      </c>
      <c r="C1540" s="36" t="str">
        <f aca="false">IF(Raw_Export!$A1540="","",IFERROR(VLOOKUP(LOWER(TRIM(Raw_Export!C1540)),Maps!$A$2:$B$20,2,FALSE()),"UNMAPPED"))</f>
        <v>Westlands</v>
      </c>
      <c r="D1540" s="36" t="str">
        <f aca="false">IF(Raw_Export!$A1540="","",IFERROR(VLOOKUP(LOWER(TRIM(Raw_Export!D1540)),Maps!$G$2:$I$80,2,FALSE()),"UNMAPPED"))</f>
        <v>Cooking Oil 1L</v>
      </c>
      <c r="E1540" s="36" t="str">
        <f aca="false">IF(Raw_Export!$A1540="","",IFERROR(VLOOKUP(LOWER(TRIM(Raw_Export!D1540)),Maps!$G$2:$I$80,3,FALSE()),"UNMAPPED"))</f>
        <v>Staples</v>
      </c>
      <c r="F1540" s="36" t="n">
        <f aca="false">IF(Raw_Export!$A1540="","",IFERROR(VALUE(TRIM(Raw_Export!E1540)),0))</f>
        <v>1</v>
      </c>
      <c r="G1540" s="38" t="n">
        <f aca="false">IF(Raw_Export!$A1540="","",IFERROR(VALUE(SUBSTITUTE(SUBSTITUTE(UPPER(TRIM(Raw_Export!F1540)),"KES",""),",","")),0))</f>
        <v>330</v>
      </c>
      <c r="H1540" s="38" t="n">
        <f aca="false">IF(Raw_Export!$A1540="","",F1540*G1540)</f>
        <v>330</v>
      </c>
      <c r="I1540" s="36" t="str">
        <f aca="false">IF(Raw_Export!$A1540="","",IFERROR(VLOOKUP(LOWER(TRIM(Raw_Export!H1540)),Maps!$D$2:$E$12,2,FALSE()),"Other"))</f>
        <v>Card</v>
      </c>
      <c r="J1540" s="36" t="str">
        <f aca="false">IF(Raw_Export!$A1540="","",IF(COUNTIF($A$2:A1540,A1540)&gt;1,"Duplicate",""))</f>
        <v/>
      </c>
      <c r="K1540" s="36" t="str">
        <f aca="false">IF(Raw_Export!$A1540="","",IF(J1540="Duplicate","Duplicate",IF(OR(C1540="UNMAPPED",D1540="UNMAPPED"),"Unmapped",IF(F1540=0,"Blank qty",IF(F1540&lt;0,"Return","OK")))))</f>
        <v>OK</v>
      </c>
      <c r="L1540" s="36" t="n">
        <f aca="false">IF(Raw_Export!$A1540="","",IF(OR(K1540="OK",K1540="Return"),1,0))</f>
        <v>1</v>
      </c>
      <c r="M1540" s="37" t="n">
        <f aca="false">IF(Raw_Export!$A1540="","",B1540-WEEKDAY(B1540,2)+1)</f>
        <v>46272</v>
      </c>
    </row>
    <row r="1541" customFormat="false" ht="15" hidden="false" customHeight="false" outlineLevel="0" collapsed="false">
      <c r="A1541" s="36" t="str">
        <f aca="false">IF(Raw_Export!$A1541="","",TRIM(Raw_Export!A1541))</f>
        <v>TXN-101510</v>
      </c>
      <c r="B1541" s="37" t="n">
        <f aca="false">IF(Raw_Export!$A1541="","",IF(ISNUMBER(Raw_Export!B1541),Raw_Export!B1541,IF(MID(TRIM(Raw_Export!B1541),5,1)="-",DATE(LEFT(TRIM(Raw_Export!B1541),4),MID(TRIM(Raw_Export!B1541),6,2),RIGHT(TRIM(Raw_Export!B1541),2)),DATE(RIGHT(TRIM(Raw_Export!B1541),4),MATCH(MID(TRIM(Raw_Export!B1541),4,3),{"Jan","Feb","Mar","Apr","May","Jun","Jul","Aug","Sep","Oct","Nov","Dec"},0),LEFT(TRIM(Raw_Export!B1541),2)))))</f>
        <v>46275</v>
      </c>
      <c r="C1541" s="36" t="str">
        <f aca="false">IF(Raw_Export!$A1541="","",IFERROR(VLOOKUP(LOWER(TRIM(Raw_Export!C1541)),Maps!$A$2:$B$20,2,FALSE()),"UNMAPPED"))</f>
        <v>Westlands</v>
      </c>
      <c r="D1541" s="36" t="str">
        <f aca="false">IF(Raw_Export!$A1541="","",IFERROR(VLOOKUP(LOWER(TRIM(Raw_Export!D1541)),Maps!$G$2:$I$80,2,FALSE()),"UNMAPPED"))</f>
        <v>Cooking Oil 1L</v>
      </c>
      <c r="E1541" s="36" t="str">
        <f aca="false">IF(Raw_Export!$A1541="","",IFERROR(VLOOKUP(LOWER(TRIM(Raw_Export!D1541)),Maps!$G$2:$I$80,3,FALSE()),"UNMAPPED"))</f>
        <v>Staples</v>
      </c>
      <c r="F1541" s="36" t="n">
        <f aca="false">IF(Raw_Export!$A1541="","",IFERROR(VALUE(TRIM(Raw_Export!E1541)),0))</f>
        <v>4</v>
      </c>
      <c r="G1541" s="38" t="n">
        <f aca="false">IF(Raw_Export!$A1541="","",IFERROR(VALUE(SUBSTITUTE(SUBSTITUTE(UPPER(TRIM(Raw_Export!F1541)),"KES",""),",","")),0))</f>
        <v>330</v>
      </c>
      <c r="H1541" s="38" t="n">
        <f aca="false">IF(Raw_Export!$A1541="","",F1541*G1541)</f>
        <v>1320</v>
      </c>
      <c r="I1541" s="36" t="str">
        <f aca="false">IF(Raw_Export!$A1541="","",IFERROR(VLOOKUP(LOWER(TRIM(Raw_Export!H1541)),Maps!$D$2:$E$12,2,FALSE()),"Other"))</f>
        <v>M-Pesa</v>
      </c>
      <c r="J1541" s="36" t="str">
        <f aca="false">IF(Raw_Export!$A1541="","",IF(COUNTIF($A$2:A1541,A1541)&gt;1,"Duplicate",""))</f>
        <v/>
      </c>
      <c r="K1541" s="36" t="str">
        <f aca="false">IF(Raw_Export!$A1541="","",IF(J1541="Duplicate","Duplicate",IF(OR(C1541="UNMAPPED",D1541="UNMAPPED"),"Unmapped",IF(F1541=0,"Blank qty",IF(F1541&lt;0,"Return","OK")))))</f>
        <v>OK</v>
      </c>
      <c r="L1541" s="36" t="n">
        <f aca="false">IF(Raw_Export!$A1541="","",IF(OR(K1541="OK",K1541="Return"),1,0))</f>
        <v>1</v>
      </c>
      <c r="M1541" s="37" t="n">
        <f aca="false">IF(Raw_Export!$A1541="","",B1541-WEEKDAY(B1541,2)+1)</f>
        <v>46272</v>
      </c>
    </row>
    <row r="1542" customFormat="false" ht="15" hidden="false" customHeight="false" outlineLevel="0" collapsed="false">
      <c r="A1542" s="36" t="str">
        <f aca="false">IF(Raw_Export!$A1542="","",TRIM(Raw_Export!A1542))</f>
        <v>TXN-101511</v>
      </c>
      <c r="B1542" s="37" t="n">
        <f aca="false">IF(Raw_Export!$A1542="","",IF(ISNUMBER(Raw_Export!B1542),Raw_Export!B1542,IF(MID(TRIM(Raw_Export!B1542),5,1)="-",DATE(LEFT(TRIM(Raw_Export!B1542),4),MID(TRIM(Raw_Export!B1542),6,2),RIGHT(TRIM(Raw_Export!B1542),2)),DATE(RIGHT(TRIM(Raw_Export!B1542),4),MATCH(MID(TRIM(Raw_Export!B1542),4,3),{"Jan","Feb","Mar","Apr","May","Jun","Jul","Aug","Sep","Oct","Nov","Dec"},0),LEFT(TRIM(Raw_Export!B1542),2)))))</f>
        <v>46275</v>
      </c>
      <c r="C1542" s="36" t="str">
        <f aca="false">IF(Raw_Export!$A1542="","",IFERROR(VLOOKUP(LOWER(TRIM(Raw_Export!C1542)),Maps!$A$2:$B$20,2,FALSE()),"UNMAPPED"))</f>
        <v>Westlands</v>
      </c>
      <c r="D1542" s="36" t="str">
        <f aca="false">IF(Raw_Export!$A1542="","",IFERROR(VLOOKUP(LOWER(TRIM(Raw_Export!D1542)),Maps!$G$2:$I$80,2,FALSE()),"UNMAPPED"))</f>
        <v>Washing Powder 1kg</v>
      </c>
      <c r="E1542" s="36" t="str">
        <f aca="false">IF(Raw_Export!$A1542="","",IFERROR(VLOOKUP(LOWER(TRIM(Raw_Export!D1542)),Maps!$G$2:$I$80,3,FALSE()),"UNMAPPED"))</f>
        <v>Household</v>
      </c>
      <c r="F1542" s="36" t="n">
        <f aca="false">IF(Raw_Export!$A1542="","",IFERROR(VALUE(TRIM(Raw_Export!E1542)),0))</f>
        <v>6</v>
      </c>
      <c r="G1542" s="38" t="n">
        <f aca="false">IF(Raw_Export!$A1542="","",IFERROR(VALUE(SUBSTITUTE(SUBSTITUTE(UPPER(TRIM(Raw_Export!F1542)),"KES",""),",","")),0))</f>
        <v>280</v>
      </c>
      <c r="H1542" s="38" t="n">
        <f aca="false">IF(Raw_Export!$A1542="","",F1542*G1542)</f>
        <v>1680</v>
      </c>
      <c r="I1542" s="36" t="str">
        <f aca="false">IF(Raw_Export!$A1542="","",IFERROR(VLOOKUP(LOWER(TRIM(Raw_Export!H1542)),Maps!$D$2:$E$12,2,FALSE()),"Other"))</f>
        <v>Cash</v>
      </c>
      <c r="J1542" s="36" t="str">
        <f aca="false">IF(Raw_Export!$A1542="","",IF(COUNTIF($A$2:A1542,A1542)&gt;1,"Duplicate",""))</f>
        <v/>
      </c>
      <c r="K1542" s="36" t="str">
        <f aca="false">IF(Raw_Export!$A1542="","",IF(J1542="Duplicate","Duplicate",IF(OR(C1542="UNMAPPED",D1542="UNMAPPED"),"Unmapped",IF(F1542=0,"Blank qty",IF(F1542&lt;0,"Return","OK")))))</f>
        <v>OK</v>
      </c>
      <c r="L1542" s="36" t="n">
        <f aca="false">IF(Raw_Export!$A1542="","",IF(OR(K1542="OK",K1542="Return"),1,0))</f>
        <v>1</v>
      </c>
      <c r="M1542" s="37" t="n">
        <f aca="false">IF(Raw_Export!$A1542="","",B1542-WEEKDAY(B1542,2)+1)</f>
        <v>46272</v>
      </c>
    </row>
    <row r="1543" customFormat="false" ht="15" hidden="false" customHeight="false" outlineLevel="0" collapsed="false">
      <c r="A1543" s="36" t="str">
        <f aca="false">IF(Raw_Export!$A1543="","",TRIM(Raw_Export!A1543))</f>
        <v>TXN-101512</v>
      </c>
      <c r="B1543" s="37" t="n">
        <f aca="false">IF(Raw_Export!$A1543="","",IF(ISNUMBER(Raw_Export!B1543),Raw_Export!B1543,IF(MID(TRIM(Raw_Export!B1543),5,1)="-",DATE(LEFT(TRIM(Raw_Export!B1543),4),MID(TRIM(Raw_Export!B1543),6,2),RIGHT(TRIM(Raw_Export!B1543),2)),DATE(RIGHT(TRIM(Raw_Export!B1543),4),MATCH(MID(TRIM(Raw_Export!B1543),4,3),{"Jan","Feb","Mar","Apr","May","Jun","Jul","Aug","Sep","Oct","Nov","Dec"},0),LEFT(TRIM(Raw_Export!B1543),2)))))</f>
        <v>46275</v>
      </c>
      <c r="C1543" s="36" t="str">
        <f aca="false">IF(Raw_Export!$A1543="","",IFERROR(VLOOKUP(LOWER(TRIM(Raw_Export!C1543)),Maps!$A$2:$B$20,2,FALSE()),"UNMAPPED"))</f>
        <v>Westlands</v>
      </c>
      <c r="D1543" s="36" t="str">
        <f aca="false">IF(Raw_Export!$A1543="","",IFERROR(VLOOKUP(LOWER(TRIM(Raw_Export!D1543)),Maps!$G$2:$I$80,2,FALSE()),"UNMAPPED"))</f>
        <v>Cooking Oil 1L</v>
      </c>
      <c r="E1543" s="36" t="str">
        <f aca="false">IF(Raw_Export!$A1543="","",IFERROR(VLOOKUP(LOWER(TRIM(Raw_Export!D1543)),Maps!$G$2:$I$80,3,FALSE()),"UNMAPPED"))</f>
        <v>Staples</v>
      </c>
      <c r="F1543" s="36" t="n">
        <f aca="false">IF(Raw_Export!$A1543="","",IFERROR(VALUE(TRIM(Raw_Export!E1543)),0))</f>
        <v>1</v>
      </c>
      <c r="G1543" s="38" t="n">
        <f aca="false">IF(Raw_Export!$A1543="","",IFERROR(VALUE(SUBSTITUTE(SUBSTITUTE(UPPER(TRIM(Raw_Export!F1543)),"KES",""),",","")),0))</f>
        <v>330</v>
      </c>
      <c r="H1543" s="38" t="n">
        <f aca="false">IF(Raw_Export!$A1543="","",F1543*G1543)</f>
        <v>330</v>
      </c>
      <c r="I1543" s="36" t="str">
        <f aca="false">IF(Raw_Export!$A1543="","",IFERROR(VLOOKUP(LOWER(TRIM(Raw_Export!H1543)),Maps!$D$2:$E$12,2,FALSE()),"Other"))</f>
        <v>Card</v>
      </c>
      <c r="J1543" s="36" t="str">
        <f aca="false">IF(Raw_Export!$A1543="","",IF(COUNTIF($A$2:A1543,A1543)&gt;1,"Duplicate",""))</f>
        <v/>
      </c>
      <c r="K1543" s="36" t="str">
        <f aca="false">IF(Raw_Export!$A1543="","",IF(J1543="Duplicate","Duplicate",IF(OR(C1543="UNMAPPED",D1543="UNMAPPED"),"Unmapped",IF(F1543=0,"Blank qty",IF(F1543&lt;0,"Return","OK")))))</f>
        <v>OK</v>
      </c>
      <c r="L1543" s="36" t="n">
        <f aca="false">IF(Raw_Export!$A1543="","",IF(OR(K1543="OK",K1543="Return"),1,0))</f>
        <v>1</v>
      </c>
      <c r="M1543" s="37" t="n">
        <f aca="false">IF(Raw_Export!$A1543="","",B1543-WEEKDAY(B1543,2)+1)</f>
        <v>46272</v>
      </c>
    </row>
    <row r="1544" customFormat="false" ht="15" hidden="false" customHeight="false" outlineLevel="0" collapsed="false">
      <c r="A1544" s="36" t="str">
        <f aca="false">IF(Raw_Export!$A1544="","",TRIM(Raw_Export!A1544))</f>
        <v>TXN-101513</v>
      </c>
      <c r="B1544" s="37" t="n">
        <f aca="false">IF(Raw_Export!$A1544="","",IF(ISNUMBER(Raw_Export!B1544),Raw_Export!B1544,IF(MID(TRIM(Raw_Export!B1544),5,1)="-",DATE(LEFT(TRIM(Raw_Export!B1544),4),MID(TRIM(Raw_Export!B1544),6,2),RIGHT(TRIM(Raw_Export!B1544),2)),DATE(RIGHT(TRIM(Raw_Export!B1544),4),MATCH(MID(TRIM(Raw_Export!B1544),4,3),{"Jan","Feb","Mar","Apr","May","Jun","Jul","Aug","Sep","Oct","Nov","Dec"},0),LEFT(TRIM(Raw_Export!B1544),2)))))</f>
        <v>46275</v>
      </c>
      <c r="C1544" s="36" t="str">
        <f aca="false">IF(Raw_Export!$A1544="","",IFERROR(VLOOKUP(LOWER(TRIM(Raw_Export!C1544)),Maps!$A$2:$B$20,2,FALSE()),"UNMAPPED"))</f>
        <v>Westlands</v>
      </c>
      <c r="D1544" s="36" t="str">
        <f aca="false">IF(Raw_Export!$A1544="","",IFERROR(VLOOKUP(LOWER(TRIM(Raw_Export!D1544)),Maps!$G$2:$I$80,2,FALSE()),"UNMAPPED"))</f>
        <v>Cooking Oil 1L</v>
      </c>
      <c r="E1544" s="36" t="str">
        <f aca="false">IF(Raw_Export!$A1544="","",IFERROR(VLOOKUP(LOWER(TRIM(Raw_Export!D1544)),Maps!$G$2:$I$80,3,FALSE()),"UNMAPPED"))</f>
        <v>Staples</v>
      </c>
      <c r="F1544" s="36" t="n">
        <f aca="false">IF(Raw_Export!$A1544="","",IFERROR(VALUE(TRIM(Raw_Export!E1544)),0))</f>
        <v>3</v>
      </c>
      <c r="G1544" s="38" t="n">
        <f aca="false">IF(Raw_Export!$A1544="","",IFERROR(VALUE(SUBSTITUTE(SUBSTITUTE(UPPER(TRIM(Raw_Export!F1544)),"KES",""),",","")),0))</f>
        <v>330</v>
      </c>
      <c r="H1544" s="38" t="n">
        <f aca="false">IF(Raw_Export!$A1544="","",F1544*G1544)</f>
        <v>990</v>
      </c>
      <c r="I1544" s="36" t="str">
        <f aca="false">IF(Raw_Export!$A1544="","",IFERROR(VLOOKUP(LOWER(TRIM(Raw_Export!H1544)),Maps!$D$2:$E$12,2,FALSE()),"Other"))</f>
        <v>Cash</v>
      </c>
      <c r="J1544" s="36" t="str">
        <f aca="false">IF(Raw_Export!$A1544="","",IF(COUNTIF($A$2:A1544,A1544)&gt;1,"Duplicate",""))</f>
        <v/>
      </c>
      <c r="K1544" s="36" t="str">
        <f aca="false">IF(Raw_Export!$A1544="","",IF(J1544="Duplicate","Duplicate",IF(OR(C1544="UNMAPPED",D1544="UNMAPPED"),"Unmapped",IF(F1544=0,"Blank qty",IF(F1544&lt;0,"Return","OK")))))</f>
        <v>OK</v>
      </c>
      <c r="L1544" s="36" t="n">
        <f aca="false">IF(Raw_Export!$A1544="","",IF(OR(K1544="OK",K1544="Return"),1,0))</f>
        <v>1</v>
      </c>
      <c r="M1544" s="37" t="n">
        <f aca="false">IF(Raw_Export!$A1544="","",B1544-WEEKDAY(B1544,2)+1)</f>
        <v>46272</v>
      </c>
    </row>
    <row r="1545" customFormat="false" ht="15" hidden="false" customHeight="false" outlineLevel="0" collapsed="false">
      <c r="A1545" s="36" t="str">
        <f aca="false">IF(Raw_Export!$A1545="","",TRIM(Raw_Export!A1545))</f>
        <v>TXN-101514</v>
      </c>
      <c r="B1545" s="37" t="n">
        <f aca="false">IF(Raw_Export!$A1545="","",IF(ISNUMBER(Raw_Export!B1545),Raw_Export!B1545,IF(MID(TRIM(Raw_Export!B1545),5,1)="-",DATE(LEFT(TRIM(Raw_Export!B1545),4),MID(TRIM(Raw_Export!B1545),6,2),RIGHT(TRIM(Raw_Export!B1545),2)),DATE(RIGHT(TRIM(Raw_Export!B1545),4),MATCH(MID(TRIM(Raw_Export!B1545),4,3),{"Jan","Feb","Mar","Apr","May","Jun","Jul","Aug","Sep","Oct","Nov","Dec"},0),LEFT(TRIM(Raw_Export!B1545),2)))))</f>
        <v>46275</v>
      </c>
      <c r="C1545" s="36" t="str">
        <f aca="false">IF(Raw_Export!$A1545="","",IFERROR(VLOOKUP(LOWER(TRIM(Raw_Export!C1545)),Maps!$A$2:$B$20,2,FALSE()),"UNMAPPED"))</f>
        <v>Westlands</v>
      </c>
      <c r="D1545" s="36" t="str">
        <f aca="false">IF(Raw_Export!$A1545="","",IFERROR(VLOOKUP(LOWER(TRIM(Raw_Export!D1545)),Maps!$G$2:$I$80,2,FALSE()),"UNMAPPED"))</f>
        <v>Bath Soap 175g</v>
      </c>
      <c r="E1545" s="36" t="str">
        <f aca="false">IF(Raw_Export!$A1545="","",IFERROR(VLOOKUP(LOWER(TRIM(Raw_Export!D1545)),Maps!$G$2:$I$80,3,FALSE()),"UNMAPPED"))</f>
        <v>Personal Care</v>
      </c>
      <c r="F1545" s="36" t="n">
        <f aca="false">IF(Raw_Export!$A1545="","",IFERROR(VALUE(TRIM(Raw_Export!E1545)),0))</f>
        <v>1</v>
      </c>
      <c r="G1545" s="38" t="n">
        <f aca="false">IF(Raw_Export!$A1545="","",IFERROR(VALUE(SUBSTITUTE(SUBSTITUTE(UPPER(TRIM(Raw_Export!F1545)),"KES",""),",","")),0))</f>
        <v>85</v>
      </c>
      <c r="H1545" s="38" t="n">
        <f aca="false">IF(Raw_Export!$A1545="","",F1545*G1545)</f>
        <v>85</v>
      </c>
      <c r="I1545" s="36" t="str">
        <f aca="false">IF(Raw_Export!$A1545="","",IFERROR(VLOOKUP(LOWER(TRIM(Raw_Export!H1545)),Maps!$D$2:$E$12,2,FALSE()),"Other"))</f>
        <v>Cash</v>
      </c>
      <c r="J1545" s="36" t="str">
        <f aca="false">IF(Raw_Export!$A1545="","",IF(COUNTIF($A$2:A1545,A1545)&gt;1,"Duplicate",""))</f>
        <v/>
      </c>
      <c r="K1545" s="36" t="str">
        <f aca="false">IF(Raw_Export!$A1545="","",IF(J1545="Duplicate","Duplicate",IF(OR(C1545="UNMAPPED",D1545="UNMAPPED"),"Unmapped",IF(F1545=0,"Blank qty",IF(F1545&lt;0,"Return","OK")))))</f>
        <v>OK</v>
      </c>
      <c r="L1545" s="36" t="n">
        <f aca="false">IF(Raw_Export!$A1545="","",IF(OR(K1545="OK",K1545="Return"),1,0))</f>
        <v>1</v>
      </c>
      <c r="M1545" s="37" t="n">
        <f aca="false">IF(Raw_Export!$A1545="","",B1545-WEEKDAY(B1545,2)+1)</f>
        <v>46272</v>
      </c>
    </row>
    <row r="1546" customFormat="false" ht="15" hidden="false" customHeight="false" outlineLevel="0" collapsed="false">
      <c r="A1546" s="36" t="str">
        <f aca="false">IF(Raw_Export!$A1546="","",TRIM(Raw_Export!A1546))</f>
        <v>TXN-101515</v>
      </c>
      <c r="B1546" s="37" t="n">
        <f aca="false">IF(Raw_Export!$A1546="","",IF(ISNUMBER(Raw_Export!B1546),Raw_Export!B1546,IF(MID(TRIM(Raw_Export!B1546),5,1)="-",DATE(LEFT(TRIM(Raw_Export!B1546),4),MID(TRIM(Raw_Export!B1546),6,2),RIGHT(TRIM(Raw_Export!B1546),2)),DATE(RIGHT(TRIM(Raw_Export!B1546),4),MATCH(MID(TRIM(Raw_Export!B1546),4,3),{"Jan","Feb","Mar","Apr","May","Jun","Jul","Aug","Sep","Oct","Nov","Dec"},0),LEFT(TRIM(Raw_Export!B1546),2)))))</f>
        <v>46275</v>
      </c>
      <c r="C1546" s="36" t="str">
        <f aca="false">IF(Raw_Export!$A1546="","",IFERROR(VLOOKUP(LOWER(TRIM(Raw_Export!C1546)),Maps!$A$2:$B$20,2,FALSE()),"UNMAPPED"))</f>
        <v>Westlands</v>
      </c>
      <c r="D1546" s="36" t="str">
        <f aca="false">IF(Raw_Export!$A1546="","",IFERROR(VLOOKUP(LOWER(TRIM(Raw_Export!D1546)),Maps!$G$2:$I$80,2,FALSE()),"UNMAPPED"))</f>
        <v>Juice 1L</v>
      </c>
      <c r="E1546" s="36" t="str">
        <f aca="false">IF(Raw_Export!$A1546="","",IFERROR(VLOOKUP(LOWER(TRIM(Raw_Export!D1546)),Maps!$G$2:$I$80,3,FALSE()),"UNMAPPED"))</f>
        <v>Beverages</v>
      </c>
      <c r="F1546" s="36" t="n">
        <f aca="false">IF(Raw_Export!$A1546="","",IFERROR(VALUE(TRIM(Raw_Export!E1546)),0))</f>
        <v>2</v>
      </c>
      <c r="G1546" s="38" t="n">
        <f aca="false">IF(Raw_Export!$A1546="","",IFERROR(VALUE(SUBSTITUTE(SUBSTITUTE(UPPER(TRIM(Raw_Export!F1546)),"KES",""),",","")),0))</f>
        <v>210</v>
      </c>
      <c r="H1546" s="38" t="n">
        <f aca="false">IF(Raw_Export!$A1546="","",F1546*G1546)</f>
        <v>420</v>
      </c>
      <c r="I1546" s="36" t="str">
        <f aca="false">IF(Raw_Export!$A1546="","",IFERROR(VLOOKUP(LOWER(TRIM(Raw_Export!H1546)),Maps!$D$2:$E$12,2,FALSE()),"Other"))</f>
        <v>M-Pesa</v>
      </c>
      <c r="J1546" s="36" t="str">
        <f aca="false">IF(Raw_Export!$A1546="","",IF(COUNTIF($A$2:A1546,A1546)&gt;1,"Duplicate",""))</f>
        <v/>
      </c>
      <c r="K1546" s="36" t="str">
        <f aca="false">IF(Raw_Export!$A1546="","",IF(J1546="Duplicate","Duplicate",IF(OR(C1546="UNMAPPED",D1546="UNMAPPED"),"Unmapped",IF(F1546=0,"Blank qty",IF(F1546&lt;0,"Return","OK")))))</f>
        <v>OK</v>
      </c>
      <c r="L1546" s="36" t="n">
        <f aca="false">IF(Raw_Export!$A1546="","",IF(OR(K1546="OK",K1546="Return"),1,0))</f>
        <v>1</v>
      </c>
      <c r="M1546" s="37" t="n">
        <f aca="false">IF(Raw_Export!$A1546="","",B1546-WEEKDAY(B1546,2)+1)</f>
        <v>46272</v>
      </c>
    </row>
    <row r="1547" customFormat="false" ht="15" hidden="false" customHeight="false" outlineLevel="0" collapsed="false">
      <c r="A1547" s="36" t="str">
        <f aca="false">IF(Raw_Export!$A1547="","",TRIM(Raw_Export!A1547))</f>
        <v>TXN-101516</v>
      </c>
      <c r="B1547" s="37" t="n">
        <f aca="false">IF(Raw_Export!$A1547="","",IF(ISNUMBER(Raw_Export!B1547),Raw_Export!B1547,IF(MID(TRIM(Raw_Export!B1547),5,1)="-",DATE(LEFT(TRIM(Raw_Export!B1547),4),MID(TRIM(Raw_Export!B1547),6,2),RIGHT(TRIM(Raw_Export!B1547),2)),DATE(RIGHT(TRIM(Raw_Export!B1547),4),MATCH(MID(TRIM(Raw_Export!B1547),4,3),{"Jan","Feb","Mar","Apr","May","Jun","Jul","Aug","Sep","Oct","Nov","Dec"},0),LEFT(TRIM(Raw_Export!B1547),2)))))</f>
        <v>46275</v>
      </c>
      <c r="C1547" s="36" t="str">
        <f aca="false">IF(Raw_Export!$A1547="","",IFERROR(VLOOKUP(LOWER(TRIM(Raw_Export!C1547)),Maps!$A$2:$B$20,2,FALSE()),"UNMAPPED"))</f>
        <v>Westlands</v>
      </c>
      <c r="D1547" s="36" t="str">
        <f aca="false">IF(Raw_Export!$A1547="","",IFERROR(VLOOKUP(LOWER(TRIM(Raw_Export!D1547)),Maps!$G$2:$I$80,2,FALSE()),"UNMAPPED"))</f>
        <v>Tea Leaves 250g</v>
      </c>
      <c r="E1547" s="36" t="str">
        <f aca="false">IF(Raw_Export!$A1547="","",IFERROR(VLOOKUP(LOWER(TRIM(Raw_Export!D1547)),Maps!$G$2:$I$80,3,FALSE()),"UNMAPPED"))</f>
        <v>Beverages</v>
      </c>
      <c r="F1547" s="36" t="n">
        <f aca="false">IF(Raw_Export!$A1547="","",IFERROR(VALUE(TRIM(Raw_Export!E1547)),0))</f>
        <v>1</v>
      </c>
      <c r="G1547" s="38" t="n">
        <f aca="false">IF(Raw_Export!$A1547="","",IFERROR(VALUE(SUBSTITUTE(SUBSTITUTE(UPPER(TRIM(Raw_Export!F1547)),"KES",""),",","")),0))</f>
        <v>135</v>
      </c>
      <c r="H1547" s="38" t="n">
        <f aca="false">IF(Raw_Export!$A1547="","",F1547*G1547)</f>
        <v>135</v>
      </c>
      <c r="I1547" s="36" t="str">
        <f aca="false">IF(Raw_Export!$A1547="","",IFERROR(VLOOKUP(LOWER(TRIM(Raw_Export!H1547)),Maps!$D$2:$E$12,2,FALSE()),"Other"))</f>
        <v>M-Pesa</v>
      </c>
      <c r="J1547" s="36" t="str">
        <f aca="false">IF(Raw_Export!$A1547="","",IF(COUNTIF($A$2:A1547,A1547)&gt;1,"Duplicate",""))</f>
        <v/>
      </c>
      <c r="K1547" s="36" t="str">
        <f aca="false">IF(Raw_Export!$A1547="","",IF(J1547="Duplicate","Duplicate",IF(OR(C1547="UNMAPPED",D1547="UNMAPPED"),"Unmapped",IF(F1547=0,"Blank qty",IF(F1547&lt;0,"Return","OK")))))</f>
        <v>OK</v>
      </c>
      <c r="L1547" s="36" t="n">
        <f aca="false">IF(Raw_Export!$A1547="","",IF(OR(K1547="OK",K1547="Return"),1,0))</f>
        <v>1</v>
      </c>
      <c r="M1547" s="37" t="n">
        <f aca="false">IF(Raw_Export!$A1547="","",B1547-WEEKDAY(B1547,2)+1)</f>
        <v>46272</v>
      </c>
    </row>
    <row r="1548" customFormat="false" ht="15" hidden="false" customHeight="false" outlineLevel="0" collapsed="false">
      <c r="A1548" s="36" t="str">
        <f aca="false">IF(Raw_Export!$A1548="","",TRIM(Raw_Export!A1548))</f>
        <v>TXN-101517</v>
      </c>
      <c r="B1548" s="37" t="n">
        <f aca="false">IF(Raw_Export!$A1548="","",IF(ISNUMBER(Raw_Export!B1548),Raw_Export!B1548,IF(MID(TRIM(Raw_Export!B1548),5,1)="-",DATE(LEFT(TRIM(Raw_Export!B1548),4),MID(TRIM(Raw_Export!B1548),6,2),RIGHT(TRIM(Raw_Export!B1548),2)),DATE(RIGHT(TRIM(Raw_Export!B1548),4),MATCH(MID(TRIM(Raw_Export!B1548),4,3),{"Jan","Feb","Mar","Apr","May","Jun","Jul","Aug","Sep","Oct","Nov","Dec"},0),LEFT(TRIM(Raw_Export!B1548),2)))))</f>
        <v>46275</v>
      </c>
      <c r="C1548" s="36" t="str">
        <f aca="false">IF(Raw_Export!$A1548="","",IFERROR(VLOOKUP(LOWER(TRIM(Raw_Export!C1548)),Maps!$A$2:$B$20,2,FALSE()),"UNMAPPED"))</f>
        <v>Westlands</v>
      </c>
      <c r="D1548" s="36" t="str">
        <f aca="false">IF(Raw_Export!$A1548="","",IFERROR(VLOOKUP(LOWER(TRIM(Raw_Export!D1548)),Maps!$G$2:$I$80,2,FALSE()),"UNMAPPED"))</f>
        <v>Soda 500ml</v>
      </c>
      <c r="E1548" s="36" t="str">
        <f aca="false">IF(Raw_Export!$A1548="","",IFERROR(VLOOKUP(LOWER(TRIM(Raw_Export!D1548)),Maps!$G$2:$I$80,3,FALSE()),"UNMAPPED"))</f>
        <v>Beverages</v>
      </c>
      <c r="F1548" s="36" t="n">
        <f aca="false">IF(Raw_Export!$A1548="","",IFERROR(VALUE(TRIM(Raw_Export!E1548)),0))</f>
        <v>1</v>
      </c>
      <c r="G1548" s="38" t="n">
        <f aca="false">IF(Raw_Export!$A1548="","",IFERROR(VALUE(SUBSTITUTE(SUBSTITUTE(UPPER(TRIM(Raw_Export!F1548)),"KES",""),",","")),0))</f>
        <v>60</v>
      </c>
      <c r="H1548" s="38" t="n">
        <f aca="false">IF(Raw_Export!$A1548="","",F1548*G1548)</f>
        <v>60</v>
      </c>
      <c r="I1548" s="36" t="str">
        <f aca="false">IF(Raw_Export!$A1548="","",IFERROR(VLOOKUP(LOWER(TRIM(Raw_Export!H1548)),Maps!$D$2:$E$12,2,FALSE()),"Other"))</f>
        <v>Cash</v>
      </c>
      <c r="J1548" s="36" t="str">
        <f aca="false">IF(Raw_Export!$A1548="","",IF(COUNTIF($A$2:A1548,A1548)&gt;1,"Duplicate",""))</f>
        <v/>
      </c>
      <c r="K1548" s="36" t="str">
        <f aca="false">IF(Raw_Export!$A1548="","",IF(J1548="Duplicate","Duplicate",IF(OR(C1548="UNMAPPED",D1548="UNMAPPED"),"Unmapped",IF(F1548=0,"Blank qty",IF(F1548&lt;0,"Return","OK")))))</f>
        <v>OK</v>
      </c>
      <c r="L1548" s="36" t="n">
        <f aca="false">IF(Raw_Export!$A1548="","",IF(OR(K1548="OK",K1548="Return"),1,0))</f>
        <v>1</v>
      </c>
      <c r="M1548" s="37" t="n">
        <f aca="false">IF(Raw_Export!$A1548="","",B1548-WEEKDAY(B1548,2)+1)</f>
        <v>46272</v>
      </c>
    </row>
    <row r="1549" customFormat="false" ht="15" hidden="false" customHeight="false" outlineLevel="0" collapsed="false">
      <c r="A1549" s="36" t="str">
        <f aca="false">IF(Raw_Export!$A1549="","",TRIM(Raw_Export!A1549))</f>
        <v>TXN-101518</v>
      </c>
      <c r="B1549" s="37" t="n">
        <f aca="false">IF(Raw_Export!$A1549="","",IF(ISNUMBER(Raw_Export!B1549),Raw_Export!B1549,IF(MID(TRIM(Raw_Export!B1549),5,1)="-",DATE(LEFT(TRIM(Raw_Export!B1549),4),MID(TRIM(Raw_Export!B1549),6,2),RIGHT(TRIM(Raw_Export!B1549),2)),DATE(RIGHT(TRIM(Raw_Export!B1549),4),MATCH(MID(TRIM(Raw_Export!B1549),4,3),{"Jan","Feb","Mar","Apr","May","Jun","Jul","Aug","Sep","Oct","Nov","Dec"},0),LEFT(TRIM(Raw_Export!B1549),2)))))</f>
        <v>46275</v>
      </c>
      <c r="C1549" s="36" t="str">
        <f aca="false">IF(Raw_Export!$A1549="","",IFERROR(VLOOKUP(LOWER(TRIM(Raw_Export!C1549)),Maps!$A$2:$B$20,2,FALSE()),"UNMAPPED"))</f>
        <v>Westlands</v>
      </c>
      <c r="D1549" s="36" t="str">
        <f aca="false">IF(Raw_Export!$A1549="","",IFERROR(VLOOKUP(LOWER(TRIM(Raw_Export!D1549)),Maps!$G$2:$I$80,2,FALSE()),"UNMAPPED"))</f>
        <v>Bread Loaf 400g</v>
      </c>
      <c r="E1549" s="36" t="str">
        <f aca="false">IF(Raw_Export!$A1549="","",IFERROR(VLOOKUP(LOWER(TRIM(Raw_Export!D1549)),Maps!$G$2:$I$80,3,FALSE()),"UNMAPPED"))</f>
        <v>Snacks</v>
      </c>
      <c r="F1549" s="36" t="n">
        <f aca="false">IF(Raw_Export!$A1549="","",IFERROR(VALUE(TRIM(Raw_Export!E1549)),0))</f>
        <v>2</v>
      </c>
      <c r="G1549" s="38" t="n">
        <f aca="false">IF(Raw_Export!$A1549="","",IFERROR(VALUE(SUBSTITUTE(SUBSTITUTE(UPPER(TRIM(Raw_Export!F1549)),"KES",""),",","")),0))</f>
        <v>65</v>
      </c>
      <c r="H1549" s="38" t="n">
        <f aca="false">IF(Raw_Export!$A1549="","",F1549*G1549)</f>
        <v>130</v>
      </c>
      <c r="I1549" s="36" t="str">
        <f aca="false">IF(Raw_Export!$A1549="","",IFERROR(VLOOKUP(LOWER(TRIM(Raw_Export!H1549)),Maps!$D$2:$E$12,2,FALSE()),"Other"))</f>
        <v>Cash</v>
      </c>
      <c r="J1549" s="36" t="str">
        <f aca="false">IF(Raw_Export!$A1549="","",IF(COUNTIF($A$2:A1549,A1549)&gt;1,"Duplicate",""))</f>
        <v/>
      </c>
      <c r="K1549" s="36" t="str">
        <f aca="false">IF(Raw_Export!$A1549="","",IF(J1549="Duplicate","Duplicate",IF(OR(C1549="UNMAPPED",D1549="UNMAPPED"),"Unmapped",IF(F1549=0,"Blank qty",IF(F1549&lt;0,"Return","OK")))))</f>
        <v>OK</v>
      </c>
      <c r="L1549" s="36" t="n">
        <f aca="false">IF(Raw_Export!$A1549="","",IF(OR(K1549="OK",K1549="Return"),1,0))</f>
        <v>1</v>
      </c>
      <c r="M1549" s="37" t="n">
        <f aca="false">IF(Raw_Export!$A1549="","",B1549-WEEKDAY(B1549,2)+1)</f>
        <v>46272</v>
      </c>
    </row>
    <row r="1550" customFormat="false" ht="15" hidden="false" customHeight="false" outlineLevel="0" collapsed="false">
      <c r="A1550" s="36" t="str">
        <f aca="false">IF(Raw_Export!$A1550="","",TRIM(Raw_Export!A1550))</f>
        <v>TXN-101519</v>
      </c>
      <c r="B1550" s="37" t="n">
        <f aca="false">IF(Raw_Export!$A1550="","",IF(ISNUMBER(Raw_Export!B1550),Raw_Export!B1550,IF(MID(TRIM(Raw_Export!B1550),5,1)="-",DATE(LEFT(TRIM(Raw_Export!B1550),4),MID(TRIM(Raw_Export!B1550),6,2),RIGHT(TRIM(Raw_Export!B1550),2)),DATE(RIGHT(TRIM(Raw_Export!B1550),4),MATCH(MID(TRIM(Raw_Export!B1550),4,3),{"Jan","Feb","Mar","Apr","May","Jun","Jul","Aug","Sep","Oct","Nov","Dec"},0),LEFT(TRIM(Raw_Export!B1550),2)))))</f>
        <v>46275</v>
      </c>
      <c r="C1550" s="36" t="str">
        <f aca="false">IF(Raw_Export!$A1550="","",IFERROR(VLOOKUP(LOWER(TRIM(Raw_Export!C1550)),Maps!$A$2:$B$20,2,FALSE()),"UNMAPPED"))</f>
        <v>Westlands</v>
      </c>
      <c r="D1550" s="36" t="str">
        <f aca="false">IF(Raw_Export!$A1550="","",IFERROR(VLOOKUP(LOWER(TRIM(Raw_Export!D1550)),Maps!$G$2:$I$80,2,FALSE()),"UNMAPPED"))</f>
        <v>Bottled Water 1.5L</v>
      </c>
      <c r="E1550" s="36" t="str">
        <f aca="false">IF(Raw_Export!$A1550="","",IFERROR(VLOOKUP(LOWER(TRIM(Raw_Export!D1550)),Maps!$G$2:$I$80,3,FALSE()),"UNMAPPED"))</f>
        <v>Beverages</v>
      </c>
      <c r="F1550" s="36" t="n">
        <f aca="false">IF(Raw_Export!$A1550="","",IFERROR(VALUE(TRIM(Raw_Export!E1550)),0))</f>
        <v>6</v>
      </c>
      <c r="G1550" s="38" t="n">
        <f aca="false">IF(Raw_Export!$A1550="","",IFERROR(VALUE(SUBSTITUTE(SUBSTITUTE(UPPER(TRIM(Raw_Export!F1550)),"KES",""),",","")),0))</f>
        <v>90</v>
      </c>
      <c r="H1550" s="38" t="n">
        <f aca="false">IF(Raw_Export!$A1550="","",F1550*G1550)</f>
        <v>540</v>
      </c>
      <c r="I1550" s="36" t="str">
        <f aca="false">IF(Raw_Export!$A1550="","",IFERROR(VLOOKUP(LOWER(TRIM(Raw_Export!H1550)),Maps!$D$2:$E$12,2,FALSE()),"Other"))</f>
        <v>M-Pesa</v>
      </c>
      <c r="J1550" s="36" t="str">
        <f aca="false">IF(Raw_Export!$A1550="","",IF(COUNTIF($A$2:A1550,A1550)&gt;1,"Duplicate",""))</f>
        <v/>
      </c>
      <c r="K1550" s="36" t="str">
        <f aca="false">IF(Raw_Export!$A1550="","",IF(J1550="Duplicate","Duplicate",IF(OR(C1550="UNMAPPED",D1550="UNMAPPED"),"Unmapped",IF(F1550=0,"Blank qty",IF(F1550&lt;0,"Return","OK")))))</f>
        <v>OK</v>
      </c>
      <c r="L1550" s="36" t="n">
        <f aca="false">IF(Raw_Export!$A1550="","",IF(OR(K1550="OK",K1550="Return"),1,0))</f>
        <v>1</v>
      </c>
      <c r="M1550" s="37" t="n">
        <f aca="false">IF(Raw_Export!$A1550="","",B1550-WEEKDAY(B1550,2)+1)</f>
        <v>46272</v>
      </c>
    </row>
    <row r="1551" customFormat="false" ht="15" hidden="false" customHeight="false" outlineLevel="0" collapsed="false">
      <c r="A1551" s="36" t="str">
        <f aca="false">IF(Raw_Export!$A1551="","",TRIM(Raw_Export!A1551))</f>
        <v>TXN-101520</v>
      </c>
      <c r="B1551" s="37" t="n">
        <f aca="false">IF(Raw_Export!$A1551="","",IF(ISNUMBER(Raw_Export!B1551),Raw_Export!B1551,IF(MID(TRIM(Raw_Export!B1551),5,1)="-",DATE(LEFT(TRIM(Raw_Export!B1551),4),MID(TRIM(Raw_Export!B1551),6,2),RIGHT(TRIM(Raw_Export!B1551),2)),DATE(RIGHT(TRIM(Raw_Export!B1551),4),MATCH(MID(TRIM(Raw_Export!B1551),4,3),{"Jan","Feb","Mar","Apr","May","Jun","Jul","Aug","Sep","Oct","Nov","Dec"},0),LEFT(TRIM(Raw_Export!B1551),2)))))</f>
        <v>46275</v>
      </c>
      <c r="C1551" s="36" t="str">
        <f aca="false">IF(Raw_Export!$A1551="","",IFERROR(VLOOKUP(LOWER(TRIM(Raw_Export!C1551)),Maps!$A$2:$B$20,2,FALSE()),"UNMAPPED"))</f>
        <v>Westlands</v>
      </c>
      <c r="D1551" s="36" t="str">
        <f aca="false">IF(Raw_Export!$A1551="","",IFERROR(VLOOKUP(LOWER(TRIM(Raw_Export!D1551)),Maps!$G$2:$I$80,2,FALSE()),"UNMAPPED"))</f>
        <v>Peanuts 250g</v>
      </c>
      <c r="E1551" s="36" t="str">
        <f aca="false">IF(Raw_Export!$A1551="","",IFERROR(VLOOKUP(LOWER(TRIM(Raw_Export!D1551)),Maps!$G$2:$I$80,3,FALSE()),"UNMAPPED"))</f>
        <v>Snacks</v>
      </c>
      <c r="F1551" s="36" t="n">
        <f aca="false">IF(Raw_Export!$A1551="","",IFERROR(VALUE(TRIM(Raw_Export!E1551)),0))</f>
        <v>1</v>
      </c>
      <c r="G1551" s="38" t="n">
        <f aca="false">IF(Raw_Export!$A1551="","",IFERROR(VALUE(SUBSTITUTE(SUBSTITUTE(UPPER(TRIM(Raw_Export!F1551)),"KES",""),",","")),0))</f>
        <v>130</v>
      </c>
      <c r="H1551" s="38" t="n">
        <f aca="false">IF(Raw_Export!$A1551="","",F1551*G1551)</f>
        <v>130</v>
      </c>
      <c r="I1551" s="36" t="str">
        <f aca="false">IF(Raw_Export!$A1551="","",IFERROR(VLOOKUP(LOWER(TRIM(Raw_Export!H1551)),Maps!$D$2:$E$12,2,FALSE()),"Other"))</f>
        <v>Card</v>
      </c>
      <c r="J1551" s="36" t="str">
        <f aca="false">IF(Raw_Export!$A1551="","",IF(COUNTIF($A$2:A1551,A1551)&gt;1,"Duplicate",""))</f>
        <v/>
      </c>
      <c r="K1551" s="36" t="str">
        <f aca="false">IF(Raw_Export!$A1551="","",IF(J1551="Duplicate","Duplicate",IF(OR(C1551="UNMAPPED",D1551="UNMAPPED"),"Unmapped",IF(F1551=0,"Blank qty",IF(F1551&lt;0,"Return","OK")))))</f>
        <v>OK</v>
      </c>
      <c r="L1551" s="36" t="n">
        <f aca="false">IF(Raw_Export!$A1551="","",IF(OR(K1551="OK",K1551="Return"),1,0))</f>
        <v>1</v>
      </c>
      <c r="M1551" s="37" t="n">
        <f aca="false">IF(Raw_Export!$A1551="","",B1551-WEEKDAY(B1551,2)+1)</f>
        <v>46272</v>
      </c>
    </row>
    <row r="1552" customFormat="false" ht="15" hidden="false" customHeight="false" outlineLevel="0" collapsed="false">
      <c r="A1552" s="36" t="str">
        <f aca="false">IF(Raw_Export!$A1552="","",TRIM(Raw_Export!A1552))</f>
        <v>TXN-101521</v>
      </c>
      <c r="B1552" s="37" t="n">
        <f aca="false">IF(Raw_Export!$A1552="","",IF(ISNUMBER(Raw_Export!B1552),Raw_Export!B1552,IF(MID(TRIM(Raw_Export!B1552),5,1)="-",DATE(LEFT(TRIM(Raw_Export!B1552),4),MID(TRIM(Raw_Export!B1552),6,2),RIGHT(TRIM(Raw_Export!B1552),2)),DATE(RIGHT(TRIM(Raw_Export!B1552),4),MATCH(MID(TRIM(Raw_Export!B1552),4,3),{"Jan","Feb","Mar","Apr","May","Jun","Jul","Aug","Sep","Oct","Nov","Dec"},0),LEFT(TRIM(Raw_Export!B1552),2)))))</f>
        <v>46275</v>
      </c>
      <c r="C1552" s="36" t="str">
        <f aca="false">IF(Raw_Export!$A1552="","",IFERROR(VLOOKUP(LOWER(TRIM(Raw_Export!C1552)),Maps!$A$2:$B$20,2,FALSE()),"UNMAPPED"))</f>
        <v>Westlands</v>
      </c>
      <c r="D1552" s="36" t="str">
        <f aca="false">IF(Raw_Export!$A1552="","",IFERROR(VLOOKUP(LOWER(TRIM(Raw_Export!D1552)),Maps!$G$2:$I$80,2,FALSE()),"UNMAPPED"))</f>
        <v>Matches 10pk</v>
      </c>
      <c r="E1552" s="36" t="str">
        <f aca="false">IF(Raw_Export!$A1552="","",IFERROR(VLOOKUP(LOWER(TRIM(Raw_Export!D1552)),Maps!$G$2:$I$80,3,FALSE()),"UNMAPPED"))</f>
        <v>Household</v>
      </c>
      <c r="F1552" s="36" t="n">
        <f aca="false">IF(Raw_Export!$A1552="","",IFERROR(VALUE(TRIM(Raw_Export!E1552)),0))</f>
        <v>1</v>
      </c>
      <c r="G1552" s="38" t="n">
        <f aca="false">IF(Raw_Export!$A1552="","",IFERROR(VALUE(SUBSTITUTE(SUBSTITUTE(UPPER(TRIM(Raw_Export!F1552)),"KES",""),",","")),0))</f>
        <v>50</v>
      </c>
      <c r="H1552" s="38" t="n">
        <f aca="false">IF(Raw_Export!$A1552="","",F1552*G1552)</f>
        <v>50</v>
      </c>
      <c r="I1552" s="36" t="str">
        <f aca="false">IF(Raw_Export!$A1552="","",IFERROR(VLOOKUP(LOWER(TRIM(Raw_Export!H1552)),Maps!$D$2:$E$12,2,FALSE()),"Other"))</f>
        <v>Cash</v>
      </c>
      <c r="J1552" s="36" t="str">
        <f aca="false">IF(Raw_Export!$A1552="","",IF(COUNTIF($A$2:A1552,A1552)&gt;1,"Duplicate",""))</f>
        <v/>
      </c>
      <c r="K1552" s="36" t="str">
        <f aca="false">IF(Raw_Export!$A1552="","",IF(J1552="Duplicate","Duplicate",IF(OR(C1552="UNMAPPED",D1552="UNMAPPED"),"Unmapped",IF(F1552=0,"Blank qty",IF(F1552&lt;0,"Return","OK")))))</f>
        <v>OK</v>
      </c>
      <c r="L1552" s="36" t="n">
        <f aca="false">IF(Raw_Export!$A1552="","",IF(OR(K1552="OK",K1552="Return"),1,0))</f>
        <v>1</v>
      </c>
      <c r="M1552" s="37" t="n">
        <f aca="false">IF(Raw_Export!$A1552="","",B1552-WEEKDAY(B1552,2)+1)</f>
        <v>46272</v>
      </c>
    </row>
    <row r="1553" customFormat="false" ht="15" hidden="false" customHeight="false" outlineLevel="0" collapsed="false">
      <c r="A1553" s="36" t="str">
        <f aca="false">IF(Raw_Export!$A1553="","",TRIM(Raw_Export!A1553))</f>
        <v>TXN-101522</v>
      </c>
      <c r="B1553" s="37" t="n">
        <f aca="false">IF(Raw_Export!$A1553="","",IF(ISNUMBER(Raw_Export!B1553),Raw_Export!B1553,IF(MID(TRIM(Raw_Export!B1553),5,1)="-",DATE(LEFT(TRIM(Raw_Export!B1553),4),MID(TRIM(Raw_Export!B1553),6,2),RIGHT(TRIM(Raw_Export!B1553),2)),DATE(RIGHT(TRIM(Raw_Export!B1553),4),MATCH(MID(TRIM(Raw_Export!B1553),4,3),{"Jan","Feb","Mar","Apr","May","Jun","Jul","Aug","Sep","Oct","Nov","Dec"},0),LEFT(TRIM(Raw_Export!B1553),2)))))</f>
        <v>46275</v>
      </c>
      <c r="C1553" s="36" t="str">
        <f aca="false">IF(Raw_Export!$A1553="","",IFERROR(VLOOKUP(LOWER(TRIM(Raw_Export!C1553)),Maps!$A$2:$B$20,2,FALSE()),"UNMAPPED"))</f>
        <v>Westlands</v>
      </c>
      <c r="D1553" s="36" t="str">
        <f aca="false">IF(Raw_Export!$A1553="","",IFERROR(VLOOKUP(LOWER(TRIM(Raw_Export!D1553)),Maps!$G$2:$I$80,2,FALSE()),"UNMAPPED"))</f>
        <v>Rice Pishori 2kg</v>
      </c>
      <c r="E1553" s="36" t="str">
        <f aca="false">IF(Raw_Export!$A1553="","",IFERROR(VLOOKUP(LOWER(TRIM(Raw_Export!D1553)),Maps!$G$2:$I$80,3,FALSE()),"UNMAPPED"))</f>
        <v>Staples</v>
      </c>
      <c r="F1553" s="36" t="n">
        <f aca="false">IF(Raw_Export!$A1553="","",IFERROR(VALUE(TRIM(Raw_Export!E1553)),0))</f>
        <v>1</v>
      </c>
      <c r="G1553" s="38" t="n">
        <f aca="false">IF(Raw_Export!$A1553="","",IFERROR(VALUE(SUBSTITUTE(SUBSTITUTE(UPPER(TRIM(Raw_Export!F1553)),"KES",""),",","")),0))</f>
        <v>420</v>
      </c>
      <c r="H1553" s="38" t="n">
        <f aca="false">IF(Raw_Export!$A1553="","",F1553*G1553)</f>
        <v>420</v>
      </c>
      <c r="I1553" s="36" t="str">
        <f aca="false">IF(Raw_Export!$A1553="","",IFERROR(VLOOKUP(LOWER(TRIM(Raw_Export!H1553)),Maps!$D$2:$E$12,2,FALSE()),"Other"))</f>
        <v>M-Pesa</v>
      </c>
      <c r="J1553" s="36" t="str">
        <f aca="false">IF(Raw_Export!$A1553="","",IF(COUNTIF($A$2:A1553,A1553)&gt;1,"Duplicate",""))</f>
        <v/>
      </c>
      <c r="K1553" s="36" t="str">
        <f aca="false">IF(Raw_Export!$A1553="","",IF(J1553="Duplicate","Duplicate",IF(OR(C1553="UNMAPPED",D1553="UNMAPPED"),"Unmapped",IF(F1553=0,"Blank qty",IF(F1553&lt;0,"Return","OK")))))</f>
        <v>OK</v>
      </c>
      <c r="L1553" s="36" t="n">
        <f aca="false">IF(Raw_Export!$A1553="","",IF(OR(K1553="OK",K1553="Return"),1,0))</f>
        <v>1</v>
      </c>
      <c r="M1553" s="37" t="n">
        <f aca="false">IF(Raw_Export!$A1553="","",B1553-WEEKDAY(B1553,2)+1)</f>
        <v>46272</v>
      </c>
    </row>
    <row r="1554" customFormat="false" ht="15" hidden="false" customHeight="false" outlineLevel="0" collapsed="false">
      <c r="A1554" s="36" t="str">
        <f aca="false">IF(Raw_Export!$A1554="","",TRIM(Raw_Export!A1554))</f>
        <v>TXN-101523</v>
      </c>
      <c r="B1554" s="37" t="n">
        <f aca="false">IF(Raw_Export!$A1554="","",IF(ISNUMBER(Raw_Export!B1554),Raw_Export!B1554,IF(MID(TRIM(Raw_Export!B1554),5,1)="-",DATE(LEFT(TRIM(Raw_Export!B1554),4),MID(TRIM(Raw_Export!B1554),6,2),RIGHT(TRIM(Raw_Export!B1554),2)),DATE(RIGHT(TRIM(Raw_Export!B1554),4),MATCH(MID(TRIM(Raw_Export!B1554),4,3),{"Jan","Feb","Mar","Apr","May","Jun","Jul","Aug","Sep","Oct","Nov","Dec"},0),LEFT(TRIM(Raw_Export!B1554),2)))))</f>
        <v>46275</v>
      </c>
      <c r="C1554" s="36" t="str">
        <f aca="false">IF(Raw_Export!$A1554="","",IFERROR(VLOOKUP(LOWER(TRIM(Raw_Export!C1554)),Maps!$A$2:$B$20,2,FALSE()),"UNMAPPED"))</f>
        <v>Westlands</v>
      </c>
      <c r="D1554" s="36" t="str">
        <f aca="false">IF(Raw_Export!$A1554="","",IFERROR(VLOOKUP(LOWER(TRIM(Raw_Export!D1554)),Maps!$G$2:$I$80,2,FALSE()),"UNMAPPED"))</f>
        <v>Coffee 100g</v>
      </c>
      <c r="E1554" s="36" t="str">
        <f aca="false">IF(Raw_Export!$A1554="","",IFERROR(VLOOKUP(LOWER(TRIM(Raw_Export!D1554)),Maps!$G$2:$I$80,3,FALSE()),"UNMAPPED"))</f>
        <v>Beverages</v>
      </c>
      <c r="F1554" s="36" t="n">
        <f aca="false">IF(Raw_Export!$A1554="","",IFERROR(VALUE(TRIM(Raw_Export!E1554)),0))</f>
        <v>1</v>
      </c>
      <c r="G1554" s="38" t="n">
        <f aca="false">IF(Raw_Export!$A1554="","",IFERROR(VALUE(SUBSTITUTE(SUBSTITUTE(UPPER(TRIM(Raw_Export!F1554)),"KES",""),",","")),0))</f>
        <v>360</v>
      </c>
      <c r="H1554" s="38" t="n">
        <f aca="false">IF(Raw_Export!$A1554="","",F1554*G1554)</f>
        <v>360</v>
      </c>
      <c r="I1554" s="36" t="str">
        <f aca="false">IF(Raw_Export!$A1554="","",IFERROR(VLOOKUP(LOWER(TRIM(Raw_Export!H1554)),Maps!$D$2:$E$12,2,FALSE()),"Other"))</f>
        <v>M-Pesa</v>
      </c>
      <c r="J1554" s="36" t="str">
        <f aca="false">IF(Raw_Export!$A1554="","",IF(COUNTIF($A$2:A1554,A1554)&gt;1,"Duplicate",""))</f>
        <v/>
      </c>
      <c r="K1554" s="36" t="str">
        <f aca="false">IF(Raw_Export!$A1554="","",IF(J1554="Duplicate","Duplicate",IF(OR(C1554="UNMAPPED",D1554="UNMAPPED"),"Unmapped",IF(F1554=0,"Blank qty",IF(F1554&lt;0,"Return","OK")))))</f>
        <v>OK</v>
      </c>
      <c r="L1554" s="36" t="n">
        <f aca="false">IF(Raw_Export!$A1554="","",IF(OR(K1554="OK",K1554="Return"),1,0))</f>
        <v>1</v>
      </c>
      <c r="M1554" s="37" t="n">
        <f aca="false">IF(Raw_Export!$A1554="","",B1554-WEEKDAY(B1554,2)+1)</f>
        <v>46272</v>
      </c>
    </row>
    <row r="1555" customFormat="false" ht="15" hidden="false" customHeight="false" outlineLevel="0" collapsed="false">
      <c r="A1555" s="36" t="str">
        <f aca="false">IF(Raw_Export!$A1555="","",TRIM(Raw_Export!A1555))</f>
        <v>TXN-101524</v>
      </c>
      <c r="B1555" s="37" t="n">
        <f aca="false">IF(Raw_Export!$A1555="","",IF(ISNUMBER(Raw_Export!B1555),Raw_Export!B1555,IF(MID(TRIM(Raw_Export!B1555),5,1)="-",DATE(LEFT(TRIM(Raw_Export!B1555),4),MID(TRIM(Raw_Export!B1555),6,2),RIGHT(TRIM(Raw_Export!B1555),2)),DATE(RIGHT(TRIM(Raw_Export!B1555),4),MATCH(MID(TRIM(Raw_Export!B1555),4,3),{"Jan","Feb","Mar","Apr","May","Jun","Jul","Aug","Sep","Oct","Nov","Dec"},0),LEFT(TRIM(Raw_Export!B1555),2)))))</f>
        <v>46275</v>
      </c>
      <c r="C1555" s="36" t="str">
        <f aca="false">IF(Raw_Export!$A1555="","",IFERROR(VLOOKUP(LOWER(TRIM(Raw_Export!C1555)),Maps!$A$2:$B$20,2,FALSE()),"UNMAPPED"))</f>
        <v>Westlands</v>
      </c>
      <c r="D1555" s="36" t="str">
        <f aca="false">IF(Raw_Export!$A1555="","",IFERROR(VLOOKUP(LOWER(TRIM(Raw_Export!D1555)),Maps!$G$2:$I$80,2,FALSE()),"UNMAPPED"))</f>
        <v>Deodorant 150ml</v>
      </c>
      <c r="E1555" s="36" t="str">
        <f aca="false">IF(Raw_Export!$A1555="","",IFERROR(VLOOKUP(LOWER(TRIM(Raw_Export!D1555)),Maps!$G$2:$I$80,3,FALSE()),"UNMAPPED"))</f>
        <v>Personal Care</v>
      </c>
      <c r="F1555" s="36" t="n">
        <f aca="false">IF(Raw_Export!$A1555="","",IFERROR(VALUE(TRIM(Raw_Export!E1555)),0))</f>
        <v>1</v>
      </c>
      <c r="G1555" s="38" t="n">
        <f aca="false">IF(Raw_Export!$A1555="","",IFERROR(VALUE(SUBSTITUTE(SUBSTITUTE(UPPER(TRIM(Raw_Export!F1555)),"KES",""),",","")),0))</f>
        <v>350</v>
      </c>
      <c r="H1555" s="38" t="n">
        <f aca="false">IF(Raw_Export!$A1555="","",F1555*G1555)</f>
        <v>350</v>
      </c>
      <c r="I1555" s="36" t="str">
        <f aca="false">IF(Raw_Export!$A1555="","",IFERROR(VLOOKUP(LOWER(TRIM(Raw_Export!H1555)),Maps!$D$2:$E$12,2,FALSE()),"Other"))</f>
        <v>M-Pesa</v>
      </c>
      <c r="J1555" s="36" t="str">
        <f aca="false">IF(Raw_Export!$A1555="","",IF(COUNTIF($A$2:A1555,A1555)&gt;1,"Duplicate",""))</f>
        <v/>
      </c>
      <c r="K1555" s="36" t="str">
        <f aca="false">IF(Raw_Export!$A1555="","",IF(J1555="Duplicate","Duplicate",IF(OR(C1555="UNMAPPED",D1555="UNMAPPED"),"Unmapped",IF(F1555=0,"Blank qty",IF(F1555&lt;0,"Return","OK")))))</f>
        <v>OK</v>
      </c>
      <c r="L1555" s="36" t="n">
        <f aca="false">IF(Raw_Export!$A1555="","",IF(OR(K1555="OK",K1555="Return"),1,0))</f>
        <v>1</v>
      </c>
      <c r="M1555" s="37" t="n">
        <f aca="false">IF(Raw_Export!$A1555="","",B1555-WEEKDAY(B1555,2)+1)</f>
        <v>46272</v>
      </c>
    </row>
    <row r="1556" customFormat="false" ht="15" hidden="false" customHeight="false" outlineLevel="0" collapsed="false">
      <c r="A1556" s="36" t="str">
        <f aca="false">IF(Raw_Export!$A1556="","",TRIM(Raw_Export!A1556))</f>
        <v>TXN-101468</v>
      </c>
      <c r="B1556" s="37" t="n">
        <f aca="false">IF(Raw_Export!$A1556="","",IF(ISNUMBER(Raw_Export!B1556),Raw_Export!B1556,IF(MID(TRIM(Raw_Export!B1556),5,1)="-",DATE(LEFT(TRIM(Raw_Export!B1556),4),MID(TRIM(Raw_Export!B1556),6,2),RIGHT(TRIM(Raw_Export!B1556),2)),DATE(RIGHT(TRIM(Raw_Export!B1556),4),MATCH(MID(TRIM(Raw_Export!B1556),4,3),{"Jan","Feb","Mar","Apr","May","Jun","Jul","Aug","Sep","Oct","Nov","Dec"},0),LEFT(TRIM(Raw_Export!B1556),2)))))</f>
        <v>46275</v>
      </c>
      <c r="C1556" s="36" t="str">
        <f aca="false">IF(Raw_Export!$A1556="","",IFERROR(VLOOKUP(LOWER(TRIM(Raw_Export!C1556)),Maps!$A$2:$B$20,2,FALSE()),"UNMAPPED"))</f>
        <v>Nairobi CBD</v>
      </c>
      <c r="D1556" s="36" t="str">
        <f aca="false">IF(Raw_Export!$A1556="","",IFERROR(VLOOKUP(LOWER(TRIM(Raw_Export!D1556)),Maps!$G$2:$I$80,2,FALSE()),"UNMAPPED"))</f>
        <v>Tea Leaves 250g</v>
      </c>
      <c r="E1556" s="36" t="str">
        <f aca="false">IF(Raw_Export!$A1556="","",IFERROR(VLOOKUP(LOWER(TRIM(Raw_Export!D1556)),Maps!$G$2:$I$80,3,FALSE()),"UNMAPPED"))</f>
        <v>Beverages</v>
      </c>
      <c r="F1556" s="36" t="n">
        <f aca="false">IF(Raw_Export!$A1556="","",IFERROR(VALUE(TRIM(Raw_Export!E1556)),0))</f>
        <v>2</v>
      </c>
      <c r="G1556" s="38" t="n">
        <f aca="false">IF(Raw_Export!$A1556="","",IFERROR(VALUE(SUBSTITUTE(SUBSTITUTE(UPPER(TRIM(Raw_Export!F1556)),"KES",""),",","")),0))</f>
        <v>150</v>
      </c>
      <c r="H1556" s="38" t="n">
        <f aca="false">IF(Raw_Export!$A1556="","",F1556*G1556)</f>
        <v>300</v>
      </c>
      <c r="I1556" s="36" t="str">
        <f aca="false">IF(Raw_Export!$A1556="","",IFERROR(VLOOKUP(LOWER(TRIM(Raw_Export!H1556)),Maps!$D$2:$E$12,2,FALSE()),"Other"))</f>
        <v>Card</v>
      </c>
      <c r="J1556" s="36" t="str">
        <f aca="false">IF(Raw_Export!$A1556="","",IF(COUNTIF($A$2:A1556,A1556)&gt;1,"Duplicate",""))</f>
        <v>Duplicate</v>
      </c>
      <c r="K1556" s="36" t="str">
        <f aca="false">IF(Raw_Export!$A1556="","",IF(J1556="Duplicate","Duplicate",IF(OR(C1556="UNMAPPED",D1556="UNMAPPED"),"Unmapped",IF(F1556=0,"Blank qty",IF(F1556&lt;0,"Return","OK")))))</f>
        <v>Duplicate</v>
      </c>
      <c r="L1556" s="36" t="n">
        <f aca="false">IF(Raw_Export!$A1556="","",IF(OR(K1556="OK",K1556="Return"),1,0))</f>
        <v>0</v>
      </c>
      <c r="M1556" s="37" t="n">
        <f aca="false">IF(Raw_Export!$A1556="","",B1556-WEEKDAY(B1556,2)+1)</f>
        <v>46272</v>
      </c>
    </row>
    <row r="1557" customFormat="false" ht="15" hidden="false" customHeight="false" outlineLevel="0" collapsed="false">
      <c r="A1557" s="36" t="str">
        <f aca="false">IF(Raw_Export!$A1557="","",TRIM(Raw_Export!A1557))</f>
        <v>TXN-101525</v>
      </c>
      <c r="B1557" s="37" t="n">
        <f aca="false">IF(Raw_Export!$A1557="","",IF(ISNUMBER(Raw_Export!B1557),Raw_Export!B1557,IF(MID(TRIM(Raw_Export!B1557),5,1)="-",DATE(LEFT(TRIM(Raw_Export!B1557),4),MID(TRIM(Raw_Export!B1557),6,2),RIGHT(TRIM(Raw_Export!B1557),2)),DATE(RIGHT(TRIM(Raw_Export!B1557),4),MATCH(MID(TRIM(Raw_Export!B1557),4,3),{"Jan","Feb","Mar","Apr","May","Jun","Jul","Aug","Sep","Oct","Nov","Dec"},0),LEFT(TRIM(Raw_Export!B1557),2)))))</f>
        <v>46275</v>
      </c>
      <c r="C1557" s="36" t="str">
        <f aca="false">IF(Raw_Export!$A1557="","",IFERROR(VLOOKUP(LOWER(TRIM(Raw_Export!C1557)),Maps!$A$2:$B$20,2,FALSE()),"UNMAPPED"))</f>
        <v>Westlands</v>
      </c>
      <c r="D1557" s="36" t="str">
        <f aca="false">IF(Raw_Export!$A1557="","",IFERROR(VLOOKUP(LOWER(TRIM(Raw_Export!D1557)),Maps!$G$2:$I$80,2,FALSE()),"UNMAPPED"))</f>
        <v>Soda 500ml</v>
      </c>
      <c r="E1557" s="36" t="str">
        <f aca="false">IF(Raw_Export!$A1557="","",IFERROR(VLOOKUP(LOWER(TRIM(Raw_Export!D1557)),Maps!$G$2:$I$80,3,FALSE()),"UNMAPPED"))</f>
        <v>Beverages</v>
      </c>
      <c r="F1557" s="36" t="n">
        <f aca="false">IF(Raw_Export!$A1557="","",IFERROR(VALUE(TRIM(Raw_Export!E1557)),0))</f>
        <v>-1</v>
      </c>
      <c r="G1557" s="38" t="n">
        <f aca="false">IF(Raw_Export!$A1557="","",IFERROR(VALUE(SUBSTITUTE(SUBSTITUTE(UPPER(TRIM(Raw_Export!F1557)),"KES",""),",","")),0))</f>
        <v>60</v>
      </c>
      <c r="H1557" s="38" t="n">
        <f aca="false">IF(Raw_Export!$A1557="","",F1557*G1557)</f>
        <v>-60</v>
      </c>
      <c r="I1557" s="36" t="str">
        <f aca="false">IF(Raw_Export!$A1557="","",IFERROR(VLOOKUP(LOWER(TRIM(Raw_Export!H1557)),Maps!$D$2:$E$12,2,FALSE()),"Other"))</f>
        <v>M-Pesa</v>
      </c>
      <c r="J1557" s="36" t="str">
        <f aca="false">IF(Raw_Export!$A1557="","",IF(COUNTIF($A$2:A1557,A1557)&gt;1,"Duplicate",""))</f>
        <v/>
      </c>
      <c r="K1557" s="36" t="str">
        <f aca="false">IF(Raw_Export!$A1557="","",IF(J1557="Duplicate","Duplicate",IF(OR(C1557="UNMAPPED",D1557="UNMAPPED"),"Unmapped",IF(F1557=0,"Blank qty",IF(F1557&lt;0,"Return","OK")))))</f>
        <v>Return</v>
      </c>
      <c r="L1557" s="36" t="n">
        <f aca="false">IF(Raw_Export!$A1557="","",IF(OR(K1557="OK",K1557="Return"),1,0))</f>
        <v>1</v>
      </c>
      <c r="M1557" s="37" t="n">
        <f aca="false">IF(Raw_Export!$A1557="","",B1557-WEEKDAY(B1557,2)+1)</f>
        <v>46272</v>
      </c>
    </row>
    <row r="1558" customFormat="false" ht="15" hidden="false" customHeight="false" outlineLevel="0" collapsed="false">
      <c r="A1558" s="36" t="str">
        <f aca="false">IF(Raw_Export!$A1558="","",TRIM(Raw_Export!A1558))</f>
        <v>TXN-101526</v>
      </c>
      <c r="B1558" s="37" t="n">
        <f aca="false">IF(Raw_Export!$A1558="","",IF(ISNUMBER(Raw_Export!B1558),Raw_Export!B1558,IF(MID(TRIM(Raw_Export!B1558),5,1)="-",DATE(LEFT(TRIM(Raw_Export!B1558),4),MID(TRIM(Raw_Export!B1558),6,2),RIGHT(TRIM(Raw_Export!B1558),2)),DATE(RIGHT(TRIM(Raw_Export!B1558),4),MATCH(MID(TRIM(Raw_Export!B1558),4,3),{"Jan","Feb","Mar","Apr","May","Jun","Jul","Aug","Sep","Oct","Nov","Dec"},0),LEFT(TRIM(Raw_Export!B1558),2)))))</f>
        <v>46275</v>
      </c>
      <c r="C1558" s="36" t="str">
        <f aca="false">IF(Raw_Export!$A1558="","",IFERROR(VLOOKUP(LOWER(TRIM(Raw_Export!C1558)),Maps!$A$2:$B$20,2,FALSE()),"UNMAPPED"))</f>
        <v>Westlands</v>
      </c>
      <c r="D1558" s="36" t="str">
        <f aca="false">IF(Raw_Export!$A1558="","",IFERROR(VLOOKUP(LOWER(TRIM(Raw_Export!D1558)),Maps!$G$2:$I$80,2,FALSE()),"UNMAPPED"))</f>
        <v>Peanuts 250g</v>
      </c>
      <c r="E1558" s="36" t="str">
        <f aca="false">IF(Raw_Export!$A1558="","",IFERROR(VLOOKUP(LOWER(TRIM(Raw_Export!D1558)),Maps!$G$2:$I$80,3,FALSE()),"UNMAPPED"))</f>
        <v>Snacks</v>
      </c>
      <c r="F1558" s="36" t="n">
        <f aca="false">IF(Raw_Export!$A1558="","",IFERROR(VALUE(TRIM(Raw_Export!E1558)),0))</f>
        <v>0</v>
      </c>
      <c r="G1558" s="38" t="n">
        <f aca="false">IF(Raw_Export!$A1558="","",IFERROR(VALUE(SUBSTITUTE(SUBSTITUTE(UPPER(TRIM(Raw_Export!F1558)),"KES",""),",","")),0))</f>
        <v>130</v>
      </c>
      <c r="H1558" s="38" t="n">
        <f aca="false">IF(Raw_Export!$A1558="","",F1558*G1558)</f>
        <v>0</v>
      </c>
      <c r="I1558" s="36" t="str">
        <f aca="false">IF(Raw_Export!$A1558="","",IFERROR(VLOOKUP(LOWER(TRIM(Raw_Export!H1558)),Maps!$D$2:$E$12,2,FALSE()),"Other"))</f>
        <v>M-Pesa</v>
      </c>
      <c r="J1558" s="36" t="str">
        <f aca="false">IF(Raw_Export!$A1558="","",IF(COUNTIF($A$2:A1558,A1558)&gt;1,"Duplicate",""))</f>
        <v/>
      </c>
      <c r="K1558" s="36" t="str">
        <f aca="false">IF(Raw_Export!$A1558="","",IF(J1558="Duplicate","Duplicate",IF(OR(C1558="UNMAPPED",D1558="UNMAPPED"),"Unmapped",IF(F1558=0,"Blank qty",IF(F1558&lt;0,"Return","OK")))))</f>
        <v>Blank qty</v>
      </c>
      <c r="L1558" s="36" t="n">
        <f aca="false">IF(Raw_Export!$A1558="","",IF(OR(K1558="OK",K1558="Return"),1,0))</f>
        <v>0</v>
      </c>
      <c r="M1558" s="37" t="n">
        <f aca="false">IF(Raw_Export!$A1558="","",B1558-WEEKDAY(B1558,2)+1)</f>
        <v>46272</v>
      </c>
    </row>
    <row r="1559" customFormat="false" ht="15" hidden="false" customHeight="false" outlineLevel="0" collapsed="false">
      <c r="A1559" s="36" t="str">
        <f aca="false">IF(Raw_Export!$A1559="","",TRIM(Raw_Export!A1559))</f>
        <v>TXN-101527</v>
      </c>
      <c r="B1559" s="37" t="n">
        <f aca="false">IF(Raw_Export!$A1559="","",IF(ISNUMBER(Raw_Export!B1559),Raw_Export!B1559,IF(MID(TRIM(Raw_Export!B1559),5,1)="-",DATE(LEFT(TRIM(Raw_Export!B1559),4),MID(TRIM(Raw_Export!B1559),6,2),RIGHT(TRIM(Raw_Export!B1559),2)),DATE(RIGHT(TRIM(Raw_Export!B1559),4),MATCH(MID(TRIM(Raw_Export!B1559),4,3),{"Jan","Feb","Mar","Apr","May","Jun","Jul","Aug","Sep","Oct","Nov","Dec"},0),LEFT(TRIM(Raw_Export!B1559),2)))))</f>
        <v>46275</v>
      </c>
      <c r="C1559" s="36" t="str">
        <f aca="false">IF(Raw_Export!$A1559="","",IFERROR(VLOOKUP(LOWER(TRIM(Raw_Export!C1559)),Maps!$A$2:$B$20,2,FALSE()),"UNMAPPED"))</f>
        <v>Westlands</v>
      </c>
      <c r="D1559" s="36" t="str">
        <f aca="false">IF(Raw_Export!$A1559="","",IFERROR(VLOOKUP(LOWER(TRIM(Raw_Export!D1559)),Maps!$G$2:$I$80,2,FALSE()),"UNMAPPED"))</f>
        <v>Cooking Oil 1L</v>
      </c>
      <c r="E1559" s="36" t="str">
        <f aca="false">IF(Raw_Export!$A1559="","",IFERROR(VLOOKUP(LOWER(TRIM(Raw_Export!D1559)),Maps!$G$2:$I$80,3,FALSE()),"UNMAPPED"))</f>
        <v>Staples</v>
      </c>
      <c r="F1559" s="36" t="n">
        <f aca="false">IF(Raw_Export!$A1559="","",IFERROR(VALUE(TRIM(Raw_Export!E1559)),0))</f>
        <v>1</v>
      </c>
      <c r="G1559" s="38" t="n">
        <f aca="false">IF(Raw_Export!$A1559="","",IFERROR(VALUE(SUBSTITUTE(SUBSTITUTE(UPPER(TRIM(Raw_Export!F1559)),"KES",""),",","")),0))</f>
        <v>330</v>
      </c>
      <c r="H1559" s="38" t="n">
        <f aca="false">IF(Raw_Export!$A1559="","",F1559*G1559)</f>
        <v>330</v>
      </c>
      <c r="I1559" s="36" t="str">
        <f aca="false">IF(Raw_Export!$A1559="","",IFERROR(VLOOKUP(LOWER(TRIM(Raw_Export!H1559)),Maps!$D$2:$E$12,2,FALSE()),"Other"))</f>
        <v>Card</v>
      </c>
      <c r="J1559" s="36" t="str">
        <f aca="false">IF(Raw_Export!$A1559="","",IF(COUNTIF($A$2:A1559,A1559)&gt;1,"Duplicate",""))</f>
        <v/>
      </c>
      <c r="K1559" s="36" t="str">
        <f aca="false">IF(Raw_Export!$A1559="","",IF(J1559="Duplicate","Duplicate",IF(OR(C1559="UNMAPPED",D1559="UNMAPPED"),"Unmapped",IF(F1559=0,"Blank qty",IF(F1559&lt;0,"Return","OK")))))</f>
        <v>OK</v>
      </c>
      <c r="L1559" s="36" t="n">
        <f aca="false">IF(Raw_Export!$A1559="","",IF(OR(K1559="OK",K1559="Return"),1,0))</f>
        <v>1</v>
      </c>
      <c r="M1559" s="37" t="n">
        <f aca="false">IF(Raw_Export!$A1559="","",B1559-WEEKDAY(B1559,2)+1)</f>
        <v>46272</v>
      </c>
    </row>
    <row r="1560" customFormat="false" ht="15" hidden="false" customHeight="false" outlineLevel="0" collapsed="false">
      <c r="A1560" s="36" t="str">
        <f aca="false">IF(Raw_Export!$A1560="","",TRIM(Raw_Export!A1560))</f>
        <v>TXN-101528</v>
      </c>
      <c r="B1560" s="37" t="n">
        <f aca="false">IF(Raw_Export!$A1560="","",IF(ISNUMBER(Raw_Export!B1560),Raw_Export!B1560,IF(MID(TRIM(Raw_Export!B1560),5,1)="-",DATE(LEFT(TRIM(Raw_Export!B1560),4),MID(TRIM(Raw_Export!B1560),6,2),RIGHT(TRIM(Raw_Export!B1560),2)),DATE(RIGHT(TRIM(Raw_Export!B1560),4),MATCH(MID(TRIM(Raw_Export!B1560),4,3),{"Jan","Feb","Mar","Apr","May","Jun","Jul","Aug","Sep","Oct","Nov","Dec"},0),LEFT(TRIM(Raw_Export!B1560),2)))))</f>
        <v>46275</v>
      </c>
      <c r="C1560" s="36" t="str">
        <f aca="false">IF(Raw_Export!$A1560="","",IFERROR(VLOOKUP(LOWER(TRIM(Raw_Export!C1560)),Maps!$A$2:$B$20,2,FALSE()),"UNMAPPED"))</f>
        <v>Mombasa</v>
      </c>
      <c r="D1560" s="36" t="str">
        <f aca="false">IF(Raw_Export!$A1560="","",IFERROR(VLOOKUP(LOWER(TRIM(Raw_Export!D1560)),Maps!$G$2:$I$80,2,FALSE()),"UNMAPPED"))</f>
        <v>Juice 1L</v>
      </c>
      <c r="E1560" s="36" t="str">
        <f aca="false">IF(Raw_Export!$A1560="","",IFERROR(VLOOKUP(LOWER(TRIM(Raw_Export!D1560)),Maps!$G$2:$I$80,3,FALSE()),"UNMAPPED"))</f>
        <v>Beverages</v>
      </c>
      <c r="F1560" s="36" t="n">
        <f aca="false">IF(Raw_Export!$A1560="","",IFERROR(VALUE(TRIM(Raw_Export!E1560)),0))</f>
        <v>4</v>
      </c>
      <c r="G1560" s="38" t="n">
        <f aca="false">IF(Raw_Export!$A1560="","",IFERROR(VALUE(SUBSTITUTE(SUBSTITUTE(UPPER(TRIM(Raw_Export!F1560)),"KES",""),",","")),0))</f>
        <v>210</v>
      </c>
      <c r="H1560" s="38" t="n">
        <f aca="false">IF(Raw_Export!$A1560="","",F1560*G1560)</f>
        <v>840</v>
      </c>
      <c r="I1560" s="36" t="str">
        <f aca="false">IF(Raw_Export!$A1560="","",IFERROR(VLOOKUP(LOWER(TRIM(Raw_Export!H1560)),Maps!$D$2:$E$12,2,FALSE()),"Other"))</f>
        <v>M-Pesa</v>
      </c>
      <c r="J1560" s="36" t="str">
        <f aca="false">IF(Raw_Export!$A1560="","",IF(COUNTIF($A$2:A1560,A1560)&gt;1,"Duplicate",""))</f>
        <v/>
      </c>
      <c r="K1560" s="36" t="str">
        <f aca="false">IF(Raw_Export!$A1560="","",IF(J1560="Duplicate","Duplicate",IF(OR(C1560="UNMAPPED",D1560="UNMAPPED"),"Unmapped",IF(F1560=0,"Blank qty",IF(F1560&lt;0,"Return","OK")))))</f>
        <v>OK</v>
      </c>
      <c r="L1560" s="36" t="n">
        <f aca="false">IF(Raw_Export!$A1560="","",IF(OR(K1560="OK",K1560="Return"),1,0))</f>
        <v>1</v>
      </c>
      <c r="M1560" s="37" t="n">
        <f aca="false">IF(Raw_Export!$A1560="","",B1560-WEEKDAY(B1560,2)+1)</f>
        <v>46272</v>
      </c>
    </row>
    <row r="1561" customFormat="false" ht="15" hidden="false" customHeight="false" outlineLevel="0" collapsed="false">
      <c r="A1561" s="36" t="str">
        <f aca="false">IF(Raw_Export!$A1561="","",TRIM(Raw_Export!A1561))</f>
        <v>TXN-101529</v>
      </c>
      <c r="B1561" s="37" t="n">
        <f aca="false">IF(Raw_Export!$A1561="","",IF(ISNUMBER(Raw_Export!B1561),Raw_Export!B1561,IF(MID(TRIM(Raw_Export!B1561),5,1)="-",DATE(LEFT(TRIM(Raw_Export!B1561),4),MID(TRIM(Raw_Export!B1561),6,2),RIGHT(TRIM(Raw_Export!B1561),2)),DATE(RIGHT(TRIM(Raw_Export!B1561),4),MATCH(MID(TRIM(Raw_Export!B1561),4,3),{"Jan","Feb","Mar","Apr","May","Jun","Jul","Aug","Sep","Oct","Nov","Dec"},0),LEFT(TRIM(Raw_Export!B1561),2)))))</f>
        <v>46275</v>
      </c>
      <c r="C1561" s="36" t="str">
        <f aca="false">IF(Raw_Export!$A1561="","",IFERROR(VLOOKUP(LOWER(TRIM(Raw_Export!C1561)),Maps!$A$2:$B$20,2,FALSE()),"UNMAPPED"))</f>
        <v>Mombasa</v>
      </c>
      <c r="D1561" s="36" t="str">
        <f aca="false">IF(Raw_Export!$A1561="","",IFERROR(VLOOKUP(LOWER(TRIM(Raw_Export!D1561)),Maps!$G$2:$I$80,2,FALSE()),"UNMAPPED"))</f>
        <v>Bath Soap 175g</v>
      </c>
      <c r="E1561" s="36" t="str">
        <f aca="false">IF(Raw_Export!$A1561="","",IFERROR(VLOOKUP(LOWER(TRIM(Raw_Export!D1561)),Maps!$G$2:$I$80,3,FALSE()),"UNMAPPED"))</f>
        <v>Personal Care</v>
      </c>
      <c r="F1561" s="36" t="n">
        <f aca="false">IF(Raw_Export!$A1561="","",IFERROR(VALUE(TRIM(Raw_Export!E1561)),0))</f>
        <v>6</v>
      </c>
      <c r="G1561" s="38" t="n">
        <f aca="false">IF(Raw_Export!$A1561="","",IFERROR(VALUE(SUBSTITUTE(SUBSTITUTE(UPPER(TRIM(Raw_Export!F1561)),"KES",""),",","")),0))</f>
        <v>85</v>
      </c>
      <c r="H1561" s="38" t="n">
        <f aca="false">IF(Raw_Export!$A1561="","",F1561*G1561)</f>
        <v>510</v>
      </c>
      <c r="I1561" s="36" t="str">
        <f aca="false">IF(Raw_Export!$A1561="","",IFERROR(VLOOKUP(LOWER(TRIM(Raw_Export!H1561)),Maps!$D$2:$E$12,2,FALSE()),"Other"))</f>
        <v>M-Pesa</v>
      </c>
      <c r="J1561" s="36" t="str">
        <f aca="false">IF(Raw_Export!$A1561="","",IF(COUNTIF($A$2:A1561,A1561)&gt;1,"Duplicate",""))</f>
        <v/>
      </c>
      <c r="K1561" s="36" t="str">
        <f aca="false">IF(Raw_Export!$A1561="","",IF(J1561="Duplicate","Duplicate",IF(OR(C1561="UNMAPPED",D1561="UNMAPPED"),"Unmapped",IF(F1561=0,"Blank qty",IF(F1561&lt;0,"Return","OK")))))</f>
        <v>OK</v>
      </c>
      <c r="L1561" s="36" t="n">
        <f aca="false">IF(Raw_Export!$A1561="","",IF(OR(K1561="OK",K1561="Return"),1,0))</f>
        <v>1</v>
      </c>
      <c r="M1561" s="37" t="n">
        <f aca="false">IF(Raw_Export!$A1561="","",B1561-WEEKDAY(B1561,2)+1)</f>
        <v>46272</v>
      </c>
    </row>
    <row r="1562" customFormat="false" ht="15" hidden="false" customHeight="false" outlineLevel="0" collapsed="false">
      <c r="A1562" s="36" t="str">
        <f aca="false">IF(Raw_Export!$A1562="","",TRIM(Raw_Export!A1562))</f>
        <v>TXN-101530</v>
      </c>
      <c r="B1562" s="37" t="n">
        <f aca="false">IF(Raw_Export!$A1562="","",IF(ISNUMBER(Raw_Export!B1562),Raw_Export!B1562,IF(MID(TRIM(Raw_Export!B1562),5,1)="-",DATE(LEFT(TRIM(Raw_Export!B1562),4),MID(TRIM(Raw_Export!B1562),6,2),RIGHT(TRIM(Raw_Export!B1562),2)),DATE(RIGHT(TRIM(Raw_Export!B1562),4),MATCH(MID(TRIM(Raw_Export!B1562),4,3),{"Jan","Feb","Mar","Apr","May","Jun","Jul","Aug","Sep","Oct","Nov","Dec"},0),LEFT(TRIM(Raw_Export!B1562),2)))))</f>
        <v>46275</v>
      </c>
      <c r="C1562" s="36" t="str">
        <f aca="false">IF(Raw_Export!$A1562="","",IFERROR(VLOOKUP(LOWER(TRIM(Raw_Export!C1562)),Maps!$A$2:$B$20,2,FALSE()),"UNMAPPED"))</f>
        <v>Mombasa</v>
      </c>
      <c r="D1562" s="36" t="str">
        <f aca="false">IF(Raw_Export!$A1562="","",IFERROR(VLOOKUP(LOWER(TRIM(Raw_Export!D1562)),Maps!$G$2:$I$80,2,FALSE()),"UNMAPPED"))</f>
        <v>Bath Soap 175g</v>
      </c>
      <c r="E1562" s="36" t="str">
        <f aca="false">IF(Raw_Export!$A1562="","",IFERROR(VLOOKUP(LOWER(TRIM(Raw_Export!D1562)),Maps!$G$2:$I$80,3,FALSE()),"UNMAPPED"))</f>
        <v>Personal Care</v>
      </c>
      <c r="F1562" s="36" t="n">
        <f aca="false">IF(Raw_Export!$A1562="","",IFERROR(VALUE(TRIM(Raw_Export!E1562)),0))</f>
        <v>3</v>
      </c>
      <c r="G1562" s="38" t="n">
        <f aca="false">IF(Raw_Export!$A1562="","",IFERROR(VALUE(SUBSTITUTE(SUBSTITUTE(UPPER(TRIM(Raw_Export!F1562)),"KES",""),",","")),0))</f>
        <v>76</v>
      </c>
      <c r="H1562" s="38" t="n">
        <f aca="false">IF(Raw_Export!$A1562="","",F1562*G1562)</f>
        <v>228</v>
      </c>
      <c r="I1562" s="36" t="str">
        <f aca="false">IF(Raw_Export!$A1562="","",IFERROR(VLOOKUP(LOWER(TRIM(Raw_Export!H1562)),Maps!$D$2:$E$12,2,FALSE()),"Other"))</f>
        <v>M-Pesa</v>
      </c>
      <c r="J1562" s="36" t="str">
        <f aca="false">IF(Raw_Export!$A1562="","",IF(COUNTIF($A$2:A1562,A1562)&gt;1,"Duplicate",""))</f>
        <v/>
      </c>
      <c r="K1562" s="36" t="str">
        <f aca="false">IF(Raw_Export!$A1562="","",IF(J1562="Duplicate","Duplicate",IF(OR(C1562="UNMAPPED",D1562="UNMAPPED"),"Unmapped",IF(F1562=0,"Blank qty",IF(F1562&lt;0,"Return","OK")))))</f>
        <v>OK</v>
      </c>
      <c r="L1562" s="36" t="n">
        <f aca="false">IF(Raw_Export!$A1562="","",IF(OR(K1562="OK",K1562="Return"),1,0))</f>
        <v>1</v>
      </c>
      <c r="M1562" s="37" t="n">
        <f aca="false">IF(Raw_Export!$A1562="","",B1562-WEEKDAY(B1562,2)+1)</f>
        <v>46272</v>
      </c>
    </row>
    <row r="1563" customFormat="false" ht="15" hidden="false" customHeight="false" outlineLevel="0" collapsed="false">
      <c r="A1563" s="36" t="str">
        <f aca="false">IF(Raw_Export!$A1563="","",TRIM(Raw_Export!A1563))</f>
        <v>TXN-101531</v>
      </c>
      <c r="B1563" s="37" t="n">
        <f aca="false">IF(Raw_Export!$A1563="","",IF(ISNUMBER(Raw_Export!B1563),Raw_Export!B1563,IF(MID(TRIM(Raw_Export!B1563),5,1)="-",DATE(LEFT(TRIM(Raw_Export!B1563),4),MID(TRIM(Raw_Export!B1563),6,2),RIGHT(TRIM(Raw_Export!B1563),2)),DATE(RIGHT(TRIM(Raw_Export!B1563),4),MATCH(MID(TRIM(Raw_Export!B1563),4,3),{"Jan","Feb","Mar","Apr","May","Jun","Jul","Aug","Sep","Oct","Nov","Dec"},0),LEFT(TRIM(Raw_Export!B1563),2)))))</f>
        <v>46275</v>
      </c>
      <c r="C1563" s="36" t="str">
        <f aca="false">IF(Raw_Export!$A1563="","",IFERROR(VLOOKUP(LOWER(TRIM(Raw_Export!C1563)),Maps!$A$2:$B$20,2,FALSE()),"UNMAPPED"))</f>
        <v>Mombasa</v>
      </c>
      <c r="D1563" s="36" t="str">
        <f aca="false">IF(Raw_Export!$A1563="","",IFERROR(VLOOKUP(LOWER(TRIM(Raw_Export!D1563)),Maps!$G$2:$I$80,2,FALSE()),"UNMAPPED"))</f>
        <v>Soda 500ml</v>
      </c>
      <c r="E1563" s="36" t="str">
        <f aca="false">IF(Raw_Export!$A1563="","",IFERROR(VLOOKUP(LOWER(TRIM(Raw_Export!D1563)),Maps!$G$2:$I$80,3,FALSE()),"UNMAPPED"))</f>
        <v>Beverages</v>
      </c>
      <c r="F1563" s="36" t="n">
        <f aca="false">IF(Raw_Export!$A1563="","",IFERROR(VALUE(TRIM(Raw_Export!E1563)),0))</f>
        <v>6</v>
      </c>
      <c r="G1563" s="38" t="n">
        <f aca="false">IF(Raw_Export!$A1563="","",IFERROR(VALUE(SUBSTITUTE(SUBSTITUTE(UPPER(TRIM(Raw_Export!F1563)),"KES",""),",","")),0))</f>
        <v>60</v>
      </c>
      <c r="H1563" s="38" t="n">
        <f aca="false">IF(Raw_Export!$A1563="","",F1563*G1563)</f>
        <v>360</v>
      </c>
      <c r="I1563" s="36" t="str">
        <f aca="false">IF(Raw_Export!$A1563="","",IFERROR(VLOOKUP(LOWER(TRIM(Raw_Export!H1563)),Maps!$D$2:$E$12,2,FALSE()),"Other"))</f>
        <v>Cash</v>
      </c>
      <c r="J1563" s="36" t="str">
        <f aca="false">IF(Raw_Export!$A1563="","",IF(COUNTIF($A$2:A1563,A1563)&gt;1,"Duplicate",""))</f>
        <v/>
      </c>
      <c r="K1563" s="36" t="str">
        <f aca="false">IF(Raw_Export!$A1563="","",IF(J1563="Duplicate","Duplicate",IF(OR(C1563="UNMAPPED",D1563="UNMAPPED"),"Unmapped",IF(F1563=0,"Blank qty",IF(F1563&lt;0,"Return","OK")))))</f>
        <v>OK</v>
      </c>
      <c r="L1563" s="36" t="n">
        <f aca="false">IF(Raw_Export!$A1563="","",IF(OR(K1563="OK",K1563="Return"),1,0))</f>
        <v>1</v>
      </c>
      <c r="M1563" s="37" t="n">
        <f aca="false">IF(Raw_Export!$A1563="","",B1563-WEEKDAY(B1563,2)+1)</f>
        <v>46272</v>
      </c>
    </row>
    <row r="1564" customFormat="false" ht="15" hidden="false" customHeight="false" outlineLevel="0" collapsed="false">
      <c r="A1564" s="36" t="str">
        <f aca="false">IF(Raw_Export!$A1564="","",TRIM(Raw_Export!A1564))</f>
        <v>TXN-101532</v>
      </c>
      <c r="B1564" s="37" t="n">
        <f aca="false">IF(Raw_Export!$A1564="","",IF(ISNUMBER(Raw_Export!B1564),Raw_Export!B1564,IF(MID(TRIM(Raw_Export!B1564),5,1)="-",DATE(LEFT(TRIM(Raw_Export!B1564),4),MID(TRIM(Raw_Export!B1564),6,2),RIGHT(TRIM(Raw_Export!B1564),2)),DATE(RIGHT(TRIM(Raw_Export!B1564),4),MATCH(MID(TRIM(Raw_Export!B1564),4,3),{"Jan","Feb","Mar","Apr","May","Jun","Jul","Aug","Sep","Oct","Nov","Dec"},0),LEFT(TRIM(Raw_Export!B1564),2)))))</f>
        <v>46275</v>
      </c>
      <c r="C1564" s="36" t="str">
        <f aca="false">IF(Raw_Export!$A1564="","",IFERROR(VLOOKUP(LOWER(TRIM(Raw_Export!C1564)),Maps!$A$2:$B$20,2,FALSE()),"UNMAPPED"))</f>
        <v>Mombasa</v>
      </c>
      <c r="D1564" s="36" t="str">
        <f aca="false">IF(Raw_Export!$A1564="","",IFERROR(VLOOKUP(LOWER(TRIM(Raw_Export!D1564)),Maps!$G$2:$I$80,2,FALSE()),"UNMAPPED"))</f>
        <v>Rice Pishori 2kg</v>
      </c>
      <c r="E1564" s="36" t="str">
        <f aca="false">IF(Raw_Export!$A1564="","",IFERROR(VLOOKUP(LOWER(TRIM(Raw_Export!D1564)),Maps!$G$2:$I$80,3,FALSE()),"UNMAPPED"))</f>
        <v>Staples</v>
      </c>
      <c r="F1564" s="36" t="n">
        <f aca="false">IF(Raw_Export!$A1564="","",IFERROR(VALUE(TRIM(Raw_Export!E1564)),0))</f>
        <v>-2</v>
      </c>
      <c r="G1564" s="38" t="n">
        <f aca="false">IF(Raw_Export!$A1564="","",IFERROR(VALUE(SUBSTITUTE(SUBSTITUTE(UPPER(TRIM(Raw_Export!F1564)),"KES",""),",","")),0))</f>
        <v>420</v>
      </c>
      <c r="H1564" s="38" t="n">
        <f aca="false">IF(Raw_Export!$A1564="","",F1564*G1564)</f>
        <v>-840</v>
      </c>
      <c r="I1564" s="36" t="str">
        <f aca="false">IF(Raw_Export!$A1564="","",IFERROR(VLOOKUP(LOWER(TRIM(Raw_Export!H1564)),Maps!$D$2:$E$12,2,FALSE()),"Other"))</f>
        <v>Cash</v>
      </c>
      <c r="J1564" s="36" t="str">
        <f aca="false">IF(Raw_Export!$A1564="","",IF(COUNTIF($A$2:A1564,A1564)&gt;1,"Duplicate",""))</f>
        <v/>
      </c>
      <c r="K1564" s="36" t="str">
        <f aca="false">IF(Raw_Export!$A1564="","",IF(J1564="Duplicate","Duplicate",IF(OR(C1564="UNMAPPED",D1564="UNMAPPED"),"Unmapped",IF(F1564=0,"Blank qty",IF(F1564&lt;0,"Return","OK")))))</f>
        <v>Return</v>
      </c>
      <c r="L1564" s="36" t="n">
        <f aca="false">IF(Raw_Export!$A1564="","",IF(OR(K1564="OK",K1564="Return"),1,0))</f>
        <v>1</v>
      </c>
      <c r="M1564" s="37" t="n">
        <f aca="false">IF(Raw_Export!$A1564="","",B1564-WEEKDAY(B1564,2)+1)</f>
        <v>46272</v>
      </c>
    </row>
    <row r="1565" customFormat="false" ht="15" hidden="false" customHeight="false" outlineLevel="0" collapsed="false">
      <c r="A1565" s="36" t="str">
        <f aca="false">IF(Raw_Export!$A1565="","",TRIM(Raw_Export!A1565))</f>
        <v>TXN-101533</v>
      </c>
      <c r="B1565" s="37" t="n">
        <f aca="false">IF(Raw_Export!$A1565="","",IF(ISNUMBER(Raw_Export!B1565),Raw_Export!B1565,IF(MID(TRIM(Raw_Export!B1565),5,1)="-",DATE(LEFT(TRIM(Raw_Export!B1565),4),MID(TRIM(Raw_Export!B1565),6,2),RIGHT(TRIM(Raw_Export!B1565),2)),DATE(RIGHT(TRIM(Raw_Export!B1565),4),MATCH(MID(TRIM(Raw_Export!B1565),4,3),{"Jan","Feb","Mar","Apr","May","Jun","Jul","Aug","Sep","Oct","Nov","Dec"},0),LEFT(TRIM(Raw_Export!B1565),2)))))</f>
        <v>46275</v>
      </c>
      <c r="C1565" s="36" t="str">
        <f aca="false">IF(Raw_Export!$A1565="","",IFERROR(VLOOKUP(LOWER(TRIM(Raw_Export!C1565)),Maps!$A$2:$B$20,2,FALSE()),"UNMAPPED"))</f>
        <v>Mombasa</v>
      </c>
      <c r="D1565" s="36" t="str">
        <f aca="false">IF(Raw_Export!$A1565="","",IFERROR(VLOOKUP(LOWER(TRIM(Raw_Export!D1565)),Maps!$G$2:$I$80,2,FALSE()),"UNMAPPED"))</f>
        <v>Sanitary Pads 8pk</v>
      </c>
      <c r="E1565" s="36" t="str">
        <f aca="false">IF(Raw_Export!$A1565="","",IFERROR(VLOOKUP(LOWER(TRIM(Raw_Export!D1565)),Maps!$G$2:$I$80,3,FALSE()),"UNMAPPED"))</f>
        <v>Personal Care</v>
      </c>
      <c r="F1565" s="36" t="n">
        <f aca="false">IF(Raw_Export!$A1565="","",IFERROR(VALUE(TRIM(Raw_Export!E1565)),0))</f>
        <v>1</v>
      </c>
      <c r="G1565" s="38" t="n">
        <f aca="false">IF(Raw_Export!$A1565="","",IFERROR(VALUE(SUBSTITUTE(SUBSTITUTE(UPPER(TRIM(Raw_Export!F1565)),"KES",""),",","")),0))</f>
        <v>130</v>
      </c>
      <c r="H1565" s="38" t="n">
        <f aca="false">IF(Raw_Export!$A1565="","",F1565*G1565)</f>
        <v>130</v>
      </c>
      <c r="I1565" s="36" t="str">
        <f aca="false">IF(Raw_Export!$A1565="","",IFERROR(VLOOKUP(LOWER(TRIM(Raw_Export!H1565)),Maps!$D$2:$E$12,2,FALSE()),"Other"))</f>
        <v>M-Pesa</v>
      </c>
      <c r="J1565" s="36" t="str">
        <f aca="false">IF(Raw_Export!$A1565="","",IF(COUNTIF($A$2:A1565,A1565)&gt;1,"Duplicate",""))</f>
        <v/>
      </c>
      <c r="K1565" s="36" t="str">
        <f aca="false">IF(Raw_Export!$A1565="","",IF(J1565="Duplicate","Duplicate",IF(OR(C1565="UNMAPPED",D1565="UNMAPPED"),"Unmapped",IF(F1565=0,"Blank qty",IF(F1565&lt;0,"Return","OK")))))</f>
        <v>OK</v>
      </c>
      <c r="L1565" s="36" t="n">
        <f aca="false">IF(Raw_Export!$A1565="","",IF(OR(K1565="OK",K1565="Return"),1,0))</f>
        <v>1</v>
      </c>
      <c r="M1565" s="37" t="n">
        <f aca="false">IF(Raw_Export!$A1565="","",B1565-WEEKDAY(B1565,2)+1)</f>
        <v>46272</v>
      </c>
    </row>
    <row r="1566" customFormat="false" ht="15" hidden="false" customHeight="false" outlineLevel="0" collapsed="false">
      <c r="A1566" s="36" t="str">
        <f aca="false">IF(Raw_Export!$A1566="","",TRIM(Raw_Export!A1566))</f>
        <v>TXN-101534</v>
      </c>
      <c r="B1566" s="37" t="n">
        <f aca="false">IF(Raw_Export!$A1566="","",IF(ISNUMBER(Raw_Export!B1566),Raw_Export!B1566,IF(MID(TRIM(Raw_Export!B1566),5,1)="-",DATE(LEFT(TRIM(Raw_Export!B1566),4),MID(TRIM(Raw_Export!B1566),6,2),RIGHT(TRIM(Raw_Export!B1566),2)),DATE(RIGHT(TRIM(Raw_Export!B1566),4),MATCH(MID(TRIM(Raw_Export!B1566),4,3),{"Jan","Feb","Mar","Apr","May","Jun","Jul","Aug","Sep","Oct","Nov","Dec"},0),LEFT(TRIM(Raw_Export!B1566),2)))))</f>
        <v>46275</v>
      </c>
      <c r="C1566" s="36" t="str">
        <f aca="false">IF(Raw_Export!$A1566="","",IFERROR(VLOOKUP(LOWER(TRIM(Raw_Export!C1566)),Maps!$A$2:$B$20,2,FALSE()),"UNMAPPED"))</f>
        <v>Mombasa</v>
      </c>
      <c r="D1566" s="36" t="str">
        <f aca="false">IF(Raw_Export!$A1566="","",IFERROR(VLOOKUP(LOWER(TRIM(Raw_Export!D1566)),Maps!$G$2:$I$80,2,FALSE()),"UNMAPPED"))</f>
        <v>Cooking Oil 1L</v>
      </c>
      <c r="E1566" s="36" t="str">
        <f aca="false">IF(Raw_Export!$A1566="","",IFERROR(VLOOKUP(LOWER(TRIM(Raw_Export!D1566)),Maps!$G$2:$I$80,3,FALSE()),"UNMAPPED"))</f>
        <v>Staples</v>
      </c>
      <c r="F1566" s="36" t="n">
        <f aca="false">IF(Raw_Export!$A1566="","",IFERROR(VALUE(TRIM(Raw_Export!E1566)),0))</f>
        <v>6</v>
      </c>
      <c r="G1566" s="38" t="n">
        <f aca="false">IF(Raw_Export!$A1566="","",IFERROR(VALUE(SUBSTITUTE(SUBSTITUTE(UPPER(TRIM(Raw_Export!F1566)),"KES",""),",","")),0))</f>
        <v>330</v>
      </c>
      <c r="H1566" s="38" t="n">
        <f aca="false">IF(Raw_Export!$A1566="","",F1566*G1566)</f>
        <v>1980</v>
      </c>
      <c r="I1566" s="36" t="str">
        <f aca="false">IF(Raw_Export!$A1566="","",IFERROR(VLOOKUP(LOWER(TRIM(Raw_Export!H1566)),Maps!$D$2:$E$12,2,FALSE()),"Other"))</f>
        <v>M-Pesa</v>
      </c>
      <c r="J1566" s="36" t="str">
        <f aca="false">IF(Raw_Export!$A1566="","",IF(COUNTIF($A$2:A1566,A1566)&gt;1,"Duplicate",""))</f>
        <v/>
      </c>
      <c r="K1566" s="36" t="str">
        <f aca="false">IF(Raw_Export!$A1566="","",IF(J1566="Duplicate","Duplicate",IF(OR(C1566="UNMAPPED",D1566="UNMAPPED"),"Unmapped",IF(F1566=0,"Blank qty",IF(F1566&lt;0,"Return","OK")))))</f>
        <v>OK</v>
      </c>
      <c r="L1566" s="36" t="n">
        <f aca="false">IF(Raw_Export!$A1566="","",IF(OR(K1566="OK",K1566="Return"),1,0))</f>
        <v>1</v>
      </c>
      <c r="M1566" s="37" t="n">
        <f aca="false">IF(Raw_Export!$A1566="","",B1566-WEEKDAY(B1566,2)+1)</f>
        <v>46272</v>
      </c>
    </row>
    <row r="1567" customFormat="false" ht="15" hidden="false" customHeight="false" outlineLevel="0" collapsed="false">
      <c r="A1567" s="36" t="str">
        <f aca="false">IF(Raw_Export!$A1567="","",TRIM(Raw_Export!A1567))</f>
        <v>TXN-101535</v>
      </c>
      <c r="B1567" s="37" t="n">
        <f aca="false">IF(Raw_Export!$A1567="","",IF(ISNUMBER(Raw_Export!B1567),Raw_Export!B1567,IF(MID(TRIM(Raw_Export!B1567),5,1)="-",DATE(LEFT(TRIM(Raw_Export!B1567),4),MID(TRIM(Raw_Export!B1567),6,2),RIGHT(TRIM(Raw_Export!B1567),2)),DATE(RIGHT(TRIM(Raw_Export!B1567),4),MATCH(MID(TRIM(Raw_Export!B1567),4,3),{"Jan","Feb","Mar","Apr","May","Jun","Jul","Aug","Sep","Oct","Nov","Dec"},0),LEFT(TRIM(Raw_Export!B1567),2)))))</f>
        <v>46275</v>
      </c>
      <c r="C1567" s="36" t="str">
        <f aca="false">IF(Raw_Export!$A1567="","",IFERROR(VLOOKUP(LOWER(TRIM(Raw_Export!C1567)),Maps!$A$2:$B$20,2,FALSE()),"UNMAPPED"))</f>
        <v>Mombasa</v>
      </c>
      <c r="D1567" s="36" t="str">
        <f aca="false">IF(Raw_Export!$A1567="","",IFERROR(VLOOKUP(LOWER(TRIM(Raw_Export!D1567)),Maps!$G$2:$I$80,2,FALSE()),"UNMAPPED"))</f>
        <v>Matches 10pk</v>
      </c>
      <c r="E1567" s="36" t="str">
        <f aca="false">IF(Raw_Export!$A1567="","",IFERROR(VLOOKUP(LOWER(TRIM(Raw_Export!D1567)),Maps!$G$2:$I$80,3,FALSE()),"UNMAPPED"))</f>
        <v>Household</v>
      </c>
      <c r="F1567" s="36" t="n">
        <f aca="false">IF(Raw_Export!$A1567="","",IFERROR(VALUE(TRIM(Raw_Export!E1567)),0))</f>
        <v>6</v>
      </c>
      <c r="G1567" s="38" t="n">
        <f aca="false">IF(Raw_Export!$A1567="","",IFERROR(VALUE(SUBSTITUTE(SUBSTITUTE(UPPER(TRIM(Raw_Export!F1567)),"KES",""),",","")),0))</f>
        <v>50</v>
      </c>
      <c r="H1567" s="38" t="n">
        <f aca="false">IF(Raw_Export!$A1567="","",F1567*G1567)</f>
        <v>300</v>
      </c>
      <c r="I1567" s="36" t="str">
        <f aca="false">IF(Raw_Export!$A1567="","",IFERROR(VLOOKUP(LOWER(TRIM(Raw_Export!H1567)),Maps!$D$2:$E$12,2,FALSE()),"Other"))</f>
        <v>M-Pesa</v>
      </c>
      <c r="J1567" s="36" t="str">
        <f aca="false">IF(Raw_Export!$A1567="","",IF(COUNTIF($A$2:A1567,A1567)&gt;1,"Duplicate",""))</f>
        <v/>
      </c>
      <c r="K1567" s="36" t="str">
        <f aca="false">IF(Raw_Export!$A1567="","",IF(J1567="Duplicate","Duplicate",IF(OR(C1567="UNMAPPED",D1567="UNMAPPED"),"Unmapped",IF(F1567=0,"Blank qty",IF(F1567&lt;0,"Return","OK")))))</f>
        <v>OK</v>
      </c>
      <c r="L1567" s="36" t="n">
        <f aca="false">IF(Raw_Export!$A1567="","",IF(OR(K1567="OK",K1567="Return"),1,0))</f>
        <v>1</v>
      </c>
      <c r="M1567" s="37" t="n">
        <f aca="false">IF(Raw_Export!$A1567="","",B1567-WEEKDAY(B1567,2)+1)</f>
        <v>46272</v>
      </c>
    </row>
    <row r="1568" customFormat="false" ht="15" hidden="false" customHeight="false" outlineLevel="0" collapsed="false">
      <c r="A1568" s="36" t="str">
        <f aca="false">IF(Raw_Export!$A1568="","",TRIM(Raw_Export!A1568))</f>
        <v>TXN-101536</v>
      </c>
      <c r="B1568" s="37" t="n">
        <f aca="false">IF(Raw_Export!$A1568="","",IF(ISNUMBER(Raw_Export!B1568),Raw_Export!B1568,IF(MID(TRIM(Raw_Export!B1568),5,1)="-",DATE(LEFT(TRIM(Raw_Export!B1568),4),MID(TRIM(Raw_Export!B1568),6,2),RIGHT(TRIM(Raw_Export!B1568),2)),DATE(RIGHT(TRIM(Raw_Export!B1568),4),MATCH(MID(TRIM(Raw_Export!B1568),4,3),{"Jan","Feb","Mar","Apr","May","Jun","Jul","Aug","Sep","Oct","Nov","Dec"},0),LEFT(TRIM(Raw_Export!B1568),2)))))</f>
        <v>46275</v>
      </c>
      <c r="C1568" s="36" t="str">
        <f aca="false">IF(Raw_Export!$A1568="","",IFERROR(VLOOKUP(LOWER(TRIM(Raw_Export!C1568)),Maps!$A$2:$B$20,2,FALSE()),"UNMAPPED"))</f>
        <v>Mombasa</v>
      </c>
      <c r="D1568" s="36" t="str">
        <f aca="false">IF(Raw_Export!$A1568="","",IFERROR(VLOOKUP(LOWER(TRIM(Raw_Export!D1568)),Maps!$G$2:$I$80,2,FALSE()),"UNMAPPED"))</f>
        <v>Sugar 2kg</v>
      </c>
      <c r="E1568" s="36" t="str">
        <f aca="false">IF(Raw_Export!$A1568="","",IFERROR(VLOOKUP(LOWER(TRIM(Raw_Export!D1568)),Maps!$G$2:$I$80,3,FALSE()),"UNMAPPED"))</f>
        <v>Staples</v>
      </c>
      <c r="F1568" s="36" t="n">
        <f aca="false">IF(Raw_Export!$A1568="","",IFERROR(VALUE(TRIM(Raw_Export!E1568)),0))</f>
        <v>6</v>
      </c>
      <c r="G1568" s="38" t="n">
        <f aca="false">IF(Raw_Export!$A1568="","",IFERROR(VALUE(SUBSTITUTE(SUBSTITUTE(UPPER(TRIM(Raw_Export!F1568)),"KES",""),",","")),0))</f>
        <v>330</v>
      </c>
      <c r="H1568" s="38" t="n">
        <f aca="false">IF(Raw_Export!$A1568="","",F1568*G1568)</f>
        <v>1980</v>
      </c>
      <c r="I1568" s="36" t="str">
        <f aca="false">IF(Raw_Export!$A1568="","",IFERROR(VLOOKUP(LOWER(TRIM(Raw_Export!H1568)),Maps!$D$2:$E$12,2,FALSE()),"Other"))</f>
        <v>Cash</v>
      </c>
      <c r="J1568" s="36" t="str">
        <f aca="false">IF(Raw_Export!$A1568="","",IF(COUNTIF($A$2:A1568,A1568)&gt;1,"Duplicate",""))</f>
        <v/>
      </c>
      <c r="K1568" s="36" t="str">
        <f aca="false">IF(Raw_Export!$A1568="","",IF(J1568="Duplicate","Duplicate",IF(OR(C1568="UNMAPPED",D1568="UNMAPPED"),"Unmapped",IF(F1568=0,"Blank qty",IF(F1568&lt;0,"Return","OK")))))</f>
        <v>OK</v>
      </c>
      <c r="L1568" s="36" t="n">
        <f aca="false">IF(Raw_Export!$A1568="","",IF(OR(K1568="OK",K1568="Return"),1,0))</f>
        <v>1</v>
      </c>
      <c r="M1568" s="37" t="n">
        <f aca="false">IF(Raw_Export!$A1568="","",B1568-WEEKDAY(B1568,2)+1)</f>
        <v>46272</v>
      </c>
    </row>
    <row r="1569" customFormat="false" ht="15" hidden="false" customHeight="false" outlineLevel="0" collapsed="false">
      <c r="A1569" s="36" t="str">
        <f aca="false">IF(Raw_Export!$A1569="","",TRIM(Raw_Export!A1569))</f>
        <v>TXN-101537</v>
      </c>
      <c r="B1569" s="37" t="n">
        <f aca="false">IF(Raw_Export!$A1569="","",IF(ISNUMBER(Raw_Export!B1569),Raw_Export!B1569,IF(MID(TRIM(Raw_Export!B1569),5,1)="-",DATE(LEFT(TRIM(Raw_Export!B1569),4),MID(TRIM(Raw_Export!B1569),6,2),RIGHT(TRIM(Raw_Export!B1569),2)),DATE(RIGHT(TRIM(Raw_Export!B1569),4),MATCH(MID(TRIM(Raw_Export!B1569),4,3),{"Jan","Feb","Mar","Apr","May","Jun","Jul","Aug","Sep","Oct","Nov","Dec"},0),LEFT(TRIM(Raw_Export!B1569),2)))))</f>
        <v>46275</v>
      </c>
      <c r="C1569" s="36" t="str">
        <f aca="false">IF(Raw_Export!$A1569="","",IFERROR(VLOOKUP(LOWER(TRIM(Raw_Export!C1569)),Maps!$A$2:$B$20,2,FALSE()),"UNMAPPED"))</f>
        <v>Mombasa</v>
      </c>
      <c r="D1569" s="36" t="str">
        <f aca="false">IF(Raw_Export!$A1569="","",IFERROR(VLOOKUP(LOWER(TRIM(Raw_Export!D1569)),Maps!$G$2:$I$80,2,FALSE()),"UNMAPPED"))</f>
        <v>Biscuits 200g</v>
      </c>
      <c r="E1569" s="36" t="str">
        <f aca="false">IF(Raw_Export!$A1569="","",IFERROR(VLOOKUP(LOWER(TRIM(Raw_Export!D1569)),Maps!$G$2:$I$80,3,FALSE()),"UNMAPPED"))</f>
        <v>Snacks</v>
      </c>
      <c r="F1569" s="36" t="n">
        <f aca="false">IF(Raw_Export!$A1569="","",IFERROR(VALUE(TRIM(Raw_Export!E1569)),0))</f>
        <v>1</v>
      </c>
      <c r="G1569" s="38" t="n">
        <f aca="false">IF(Raw_Export!$A1569="","",IFERROR(VALUE(SUBSTITUTE(SUBSTITUTE(UPPER(TRIM(Raw_Export!F1569)),"KES",""),",","")),0))</f>
        <v>95</v>
      </c>
      <c r="H1569" s="38" t="n">
        <f aca="false">IF(Raw_Export!$A1569="","",F1569*G1569)</f>
        <v>95</v>
      </c>
      <c r="I1569" s="36" t="str">
        <f aca="false">IF(Raw_Export!$A1569="","",IFERROR(VLOOKUP(LOWER(TRIM(Raw_Export!H1569)),Maps!$D$2:$E$12,2,FALSE()),"Other"))</f>
        <v>M-Pesa</v>
      </c>
      <c r="J1569" s="36" t="str">
        <f aca="false">IF(Raw_Export!$A1569="","",IF(COUNTIF($A$2:A1569,A1569)&gt;1,"Duplicate",""))</f>
        <v/>
      </c>
      <c r="K1569" s="36" t="str">
        <f aca="false">IF(Raw_Export!$A1569="","",IF(J1569="Duplicate","Duplicate",IF(OR(C1569="UNMAPPED",D1569="UNMAPPED"),"Unmapped",IF(F1569=0,"Blank qty",IF(F1569&lt;0,"Return","OK")))))</f>
        <v>OK</v>
      </c>
      <c r="L1569" s="36" t="n">
        <f aca="false">IF(Raw_Export!$A1569="","",IF(OR(K1569="OK",K1569="Return"),1,0))</f>
        <v>1</v>
      </c>
      <c r="M1569" s="37" t="n">
        <f aca="false">IF(Raw_Export!$A1569="","",B1569-WEEKDAY(B1569,2)+1)</f>
        <v>46272</v>
      </c>
    </row>
    <row r="1570" customFormat="false" ht="15" hidden="false" customHeight="false" outlineLevel="0" collapsed="false">
      <c r="A1570" s="36" t="str">
        <f aca="false">IF(Raw_Export!$A1570="","",TRIM(Raw_Export!A1570))</f>
        <v>TXN-101538</v>
      </c>
      <c r="B1570" s="37" t="n">
        <f aca="false">IF(Raw_Export!$A1570="","",IF(ISNUMBER(Raw_Export!B1570),Raw_Export!B1570,IF(MID(TRIM(Raw_Export!B1570),5,1)="-",DATE(LEFT(TRIM(Raw_Export!B1570),4),MID(TRIM(Raw_Export!B1570),6,2),RIGHT(TRIM(Raw_Export!B1570),2)),DATE(RIGHT(TRIM(Raw_Export!B1570),4),MATCH(MID(TRIM(Raw_Export!B1570),4,3),{"Jan","Feb","Mar","Apr","May","Jun","Jul","Aug","Sep","Oct","Nov","Dec"},0),LEFT(TRIM(Raw_Export!B1570),2)))))</f>
        <v>46275</v>
      </c>
      <c r="C1570" s="36" t="str">
        <f aca="false">IF(Raw_Export!$A1570="","",IFERROR(VLOOKUP(LOWER(TRIM(Raw_Export!C1570)),Maps!$A$2:$B$20,2,FALSE()),"UNMAPPED"))</f>
        <v>Mombasa</v>
      </c>
      <c r="D1570" s="36" t="str">
        <f aca="false">IF(Raw_Export!$A1570="","",IFERROR(VLOOKUP(LOWER(TRIM(Raw_Export!D1570)),Maps!$G$2:$I$80,2,FALSE()),"UNMAPPED"))</f>
        <v>Yoghurt 500ml</v>
      </c>
      <c r="E1570" s="36" t="str">
        <f aca="false">IF(Raw_Export!$A1570="","",IFERROR(VLOOKUP(LOWER(TRIM(Raw_Export!D1570)),Maps!$G$2:$I$80,3,FALSE()),"UNMAPPED"))</f>
        <v>Dairy &amp; Eggs</v>
      </c>
      <c r="F1570" s="36" t="n">
        <f aca="false">IF(Raw_Export!$A1570="","",IFERROR(VALUE(TRIM(Raw_Export!E1570)),0))</f>
        <v>2</v>
      </c>
      <c r="G1570" s="38" t="n">
        <f aca="false">IF(Raw_Export!$A1570="","",IFERROR(VALUE(SUBSTITUTE(SUBSTITUTE(UPPER(TRIM(Raw_Export!F1570)),"KES",""),",","")),0))</f>
        <v>120</v>
      </c>
      <c r="H1570" s="38" t="n">
        <f aca="false">IF(Raw_Export!$A1570="","",F1570*G1570)</f>
        <v>240</v>
      </c>
      <c r="I1570" s="36" t="str">
        <f aca="false">IF(Raw_Export!$A1570="","",IFERROR(VLOOKUP(LOWER(TRIM(Raw_Export!H1570)),Maps!$D$2:$E$12,2,FALSE()),"Other"))</f>
        <v>Cash</v>
      </c>
      <c r="J1570" s="36" t="str">
        <f aca="false">IF(Raw_Export!$A1570="","",IF(COUNTIF($A$2:A1570,A1570)&gt;1,"Duplicate",""))</f>
        <v/>
      </c>
      <c r="K1570" s="36" t="str">
        <f aca="false">IF(Raw_Export!$A1570="","",IF(J1570="Duplicate","Duplicate",IF(OR(C1570="UNMAPPED",D1570="UNMAPPED"),"Unmapped",IF(F1570=0,"Blank qty",IF(F1570&lt;0,"Return","OK")))))</f>
        <v>OK</v>
      </c>
      <c r="L1570" s="36" t="n">
        <f aca="false">IF(Raw_Export!$A1570="","",IF(OR(K1570="OK",K1570="Return"),1,0))</f>
        <v>1</v>
      </c>
      <c r="M1570" s="37" t="n">
        <f aca="false">IF(Raw_Export!$A1570="","",B1570-WEEKDAY(B1570,2)+1)</f>
        <v>46272</v>
      </c>
    </row>
    <row r="1571" customFormat="false" ht="15" hidden="false" customHeight="false" outlineLevel="0" collapsed="false">
      <c r="A1571" s="36" t="str">
        <f aca="false">IF(Raw_Export!$A1571="","",TRIM(Raw_Export!A1571))</f>
        <v>TXN-101539</v>
      </c>
      <c r="B1571" s="37" t="n">
        <f aca="false">IF(Raw_Export!$A1571="","",IF(ISNUMBER(Raw_Export!B1571),Raw_Export!B1571,IF(MID(TRIM(Raw_Export!B1571),5,1)="-",DATE(LEFT(TRIM(Raw_Export!B1571),4),MID(TRIM(Raw_Export!B1571),6,2),RIGHT(TRIM(Raw_Export!B1571),2)),DATE(RIGHT(TRIM(Raw_Export!B1571),4),MATCH(MID(TRIM(Raw_Export!B1571),4,3),{"Jan","Feb","Mar","Apr","May","Jun","Jul","Aug","Sep","Oct","Nov","Dec"},0),LEFT(TRIM(Raw_Export!B1571),2)))))</f>
        <v>46275</v>
      </c>
      <c r="C1571" s="36" t="str">
        <f aca="false">IF(Raw_Export!$A1571="","",IFERROR(VLOOKUP(LOWER(TRIM(Raw_Export!C1571)),Maps!$A$2:$B$20,2,FALSE()),"UNMAPPED"))</f>
        <v>Mombasa</v>
      </c>
      <c r="D1571" s="36" t="str">
        <f aca="false">IF(Raw_Export!$A1571="","",IFERROR(VLOOKUP(LOWER(TRIM(Raw_Export!D1571)),Maps!$G$2:$I$80,2,FALSE()),"UNMAPPED"))</f>
        <v>Cooking Oil 1L</v>
      </c>
      <c r="E1571" s="36" t="str">
        <f aca="false">IF(Raw_Export!$A1571="","",IFERROR(VLOOKUP(LOWER(TRIM(Raw_Export!D1571)),Maps!$G$2:$I$80,3,FALSE()),"UNMAPPED"))</f>
        <v>Staples</v>
      </c>
      <c r="F1571" s="36" t="n">
        <f aca="false">IF(Raw_Export!$A1571="","",IFERROR(VALUE(TRIM(Raw_Export!E1571)),0))</f>
        <v>2</v>
      </c>
      <c r="G1571" s="38" t="n">
        <f aca="false">IF(Raw_Export!$A1571="","",IFERROR(VALUE(SUBSTITUTE(SUBSTITUTE(UPPER(TRIM(Raw_Export!F1571)),"KES",""),",","")),0))</f>
        <v>330</v>
      </c>
      <c r="H1571" s="38" t="n">
        <f aca="false">IF(Raw_Export!$A1571="","",F1571*G1571)</f>
        <v>660</v>
      </c>
      <c r="I1571" s="36" t="str">
        <f aca="false">IF(Raw_Export!$A1571="","",IFERROR(VLOOKUP(LOWER(TRIM(Raw_Export!H1571)),Maps!$D$2:$E$12,2,FALSE()),"Other"))</f>
        <v>M-Pesa</v>
      </c>
      <c r="J1571" s="36" t="str">
        <f aca="false">IF(Raw_Export!$A1571="","",IF(COUNTIF($A$2:A1571,A1571)&gt;1,"Duplicate",""))</f>
        <v/>
      </c>
      <c r="K1571" s="36" t="str">
        <f aca="false">IF(Raw_Export!$A1571="","",IF(J1571="Duplicate","Duplicate",IF(OR(C1571="UNMAPPED",D1571="UNMAPPED"),"Unmapped",IF(F1571=0,"Blank qty",IF(F1571&lt;0,"Return","OK")))))</f>
        <v>OK</v>
      </c>
      <c r="L1571" s="36" t="n">
        <f aca="false">IF(Raw_Export!$A1571="","",IF(OR(K1571="OK",K1571="Return"),1,0))</f>
        <v>1</v>
      </c>
      <c r="M1571" s="37" t="n">
        <f aca="false">IF(Raw_Export!$A1571="","",B1571-WEEKDAY(B1571,2)+1)</f>
        <v>46272</v>
      </c>
    </row>
    <row r="1572" customFormat="false" ht="15" hidden="false" customHeight="false" outlineLevel="0" collapsed="false">
      <c r="A1572" s="36" t="str">
        <f aca="false">IF(Raw_Export!$A1572="","",TRIM(Raw_Export!A1572))</f>
        <v>TXN-101540</v>
      </c>
      <c r="B1572" s="37" t="n">
        <f aca="false">IF(Raw_Export!$A1572="","",IF(ISNUMBER(Raw_Export!B1572),Raw_Export!B1572,IF(MID(TRIM(Raw_Export!B1572),5,1)="-",DATE(LEFT(TRIM(Raw_Export!B1572),4),MID(TRIM(Raw_Export!B1572),6,2),RIGHT(TRIM(Raw_Export!B1572),2)),DATE(RIGHT(TRIM(Raw_Export!B1572),4),MATCH(MID(TRIM(Raw_Export!B1572),4,3),{"Jan","Feb","Mar","Apr","May","Jun","Jul","Aug","Sep","Oct","Nov","Dec"},0),LEFT(TRIM(Raw_Export!B1572),2)))))</f>
        <v>46275</v>
      </c>
      <c r="C1572" s="36" t="str">
        <f aca="false">IF(Raw_Export!$A1572="","",IFERROR(VLOOKUP(LOWER(TRIM(Raw_Export!C1572)),Maps!$A$2:$B$20,2,FALSE()),"UNMAPPED"))</f>
        <v>Mombasa</v>
      </c>
      <c r="D1572" s="36" t="str">
        <f aca="false">IF(Raw_Export!$A1572="","",IFERROR(VLOOKUP(LOWER(TRIM(Raw_Export!D1572)),Maps!$G$2:$I$80,2,FALSE()),"UNMAPPED"))</f>
        <v>Matches 10pk</v>
      </c>
      <c r="E1572" s="36" t="str">
        <f aca="false">IF(Raw_Export!$A1572="","",IFERROR(VLOOKUP(LOWER(TRIM(Raw_Export!D1572)),Maps!$G$2:$I$80,3,FALSE()),"UNMAPPED"))</f>
        <v>Household</v>
      </c>
      <c r="F1572" s="36" t="n">
        <f aca="false">IF(Raw_Export!$A1572="","",IFERROR(VALUE(TRIM(Raw_Export!E1572)),0))</f>
        <v>1</v>
      </c>
      <c r="G1572" s="38" t="n">
        <f aca="false">IF(Raw_Export!$A1572="","",IFERROR(VALUE(SUBSTITUTE(SUBSTITUTE(UPPER(TRIM(Raw_Export!F1572)),"KES",""),",","")),0))</f>
        <v>50</v>
      </c>
      <c r="H1572" s="38" t="n">
        <f aca="false">IF(Raw_Export!$A1572="","",F1572*G1572)</f>
        <v>50</v>
      </c>
      <c r="I1572" s="36" t="str">
        <f aca="false">IF(Raw_Export!$A1572="","",IFERROR(VLOOKUP(LOWER(TRIM(Raw_Export!H1572)),Maps!$D$2:$E$12,2,FALSE()),"Other"))</f>
        <v>Cash</v>
      </c>
      <c r="J1572" s="36" t="str">
        <f aca="false">IF(Raw_Export!$A1572="","",IF(COUNTIF($A$2:A1572,A1572)&gt;1,"Duplicate",""))</f>
        <v/>
      </c>
      <c r="K1572" s="36" t="str">
        <f aca="false">IF(Raw_Export!$A1572="","",IF(J1572="Duplicate","Duplicate",IF(OR(C1572="UNMAPPED",D1572="UNMAPPED"),"Unmapped",IF(F1572=0,"Blank qty",IF(F1572&lt;0,"Return","OK")))))</f>
        <v>OK</v>
      </c>
      <c r="L1572" s="36" t="n">
        <f aca="false">IF(Raw_Export!$A1572="","",IF(OR(K1572="OK",K1572="Return"),1,0))</f>
        <v>1</v>
      </c>
      <c r="M1572" s="37" t="n">
        <f aca="false">IF(Raw_Export!$A1572="","",B1572-WEEKDAY(B1572,2)+1)</f>
        <v>46272</v>
      </c>
    </row>
    <row r="1573" customFormat="false" ht="15" hidden="false" customHeight="false" outlineLevel="0" collapsed="false">
      <c r="A1573" s="36" t="str">
        <f aca="false">IF(Raw_Export!$A1573="","",TRIM(Raw_Export!A1573))</f>
        <v>TXN-101541</v>
      </c>
      <c r="B1573" s="37" t="n">
        <f aca="false">IF(Raw_Export!$A1573="","",IF(ISNUMBER(Raw_Export!B1573),Raw_Export!B1573,IF(MID(TRIM(Raw_Export!B1573),5,1)="-",DATE(LEFT(TRIM(Raw_Export!B1573),4),MID(TRIM(Raw_Export!B1573),6,2),RIGHT(TRIM(Raw_Export!B1573),2)),DATE(RIGHT(TRIM(Raw_Export!B1573),4),MATCH(MID(TRIM(Raw_Export!B1573),4,3),{"Jan","Feb","Mar","Apr","May","Jun","Jul","Aug","Sep","Oct","Nov","Dec"},0),LEFT(TRIM(Raw_Export!B1573),2)))))</f>
        <v>46275</v>
      </c>
      <c r="C1573" s="36" t="str">
        <f aca="false">IF(Raw_Export!$A1573="","",IFERROR(VLOOKUP(LOWER(TRIM(Raw_Export!C1573)),Maps!$A$2:$B$20,2,FALSE()),"UNMAPPED"))</f>
        <v>Mombasa</v>
      </c>
      <c r="D1573" s="36" t="str">
        <f aca="false">IF(Raw_Export!$A1573="","",IFERROR(VLOOKUP(LOWER(TRIM(Raw_Export!D1573)),Maps!$G$2:$I$80,2,FALSE()),"UNMAPPED"))</f>
        <v>Bread Loaf 400g</v>
      </c>
      <c r="E1573" s="36" t="str">
        <f aca="false">IF(Raw_Export!$A1573="","",IFERROR(VLOOKUP(LOWER(TRIM(Raw_Export!D1573)),Maps!$G$2:$I$80,3,FALSE()),"UNMAPPED"))</f>
        <v>Snacks</v>
      </c>
      <c r="F1573" s="36" t="n">
        <f aca="false">IF(Raw_Export!$A1573="","",IFERROR(VALUE(TRIM(Raw_Export!E1573)),0))</f>
        <v>2</v>
      </c>
      <c r="G1573" s="38" t="n">
        <f aca="false">IF(Raw_Export!$A1573="","",IFERROR(VALUE(SUBSTITUTE(SUBSTITUTE(UPPER(TRIM(Raw_Export!F1573)),"KES",""),",","")),0))</f>
        <v>65</v>
      </c>
      <c r="H1573" s="38" t="n">
        <f aca="false">IF(Raw_Export!$A1573="","",F1573*G1573)</f>
        <v>130</v>
      </c>
      <c r="I1573" s="36" t="str">
        <f aca="false">IF(Raw_Export!$A1573="","",IFERROR(VLOOKUP(LOWER(TRIM(Raw_Export!H1573)),Maps!$D$2:$E$12,2,FALSE()),"Other"))</f>
        <v>M-Pesa</v>
      </c>
      <c r="J1573" s="36" t="str">
        <f aca="false">IF(Raw_Export!$A1573="","",IF(COUNTIF($A$2:A1573,A1573)&gt;1,"Duplicate",""))</f>
        <v/>
      </c>
      <c r="K1573" s="36" t="str">
        <f aca="false">IF(Raw_Export!$A1573="","",IF(J1573="Duplicate","Duplicate",IF(OR(C1573="UNMAPPED",D1573="UNMAPPED"),"Unmapped",IF(F1573=0,"Blank qty",IF(F1573&lt;0,"Return","OK")))))</f>
        <v>OK</v>
      </c>
      <c r="L1573" s="36" t="n">
        <f aca="false">IF(Raw_Export!$A1573="","",IF(OR(K1573="OK",K1573="Return"),1,0))</f>
        <v>1</v>
      </c>
      <c r="M1573" s="37" t="n">
        <f aca="false">IF(Raw_Export!$A1573="","",B1573-WEEKDAY(B1573,2)+1)</f>
        <v>46272</v>
      </c>
    </row>
    <row r="1574" customFormat="false" ht="15" hidden="false" customHeight="false" outlineLevel="0" collapsed="false">
      <c r="A1574" s="36" t="str">
        <f aca="false">IF(Raw_Export!$A1574="","",TRIM(Raw_Export!A1574))</f>
        <v>TXN-101542</v>
      </c>
      <c r="B1574" s="37" t="n">
        <f aca="false">IF(Raw_Export!$A1574="","",IF(ISNUMBER(Raw_Export!B1574),Raw_Export!B1574,IF(MID(TRIM(Raw_Export!B1574),5,1)="-",DATE(LEFT(TRIM(Raw_Export!B1574),4),MID(TRIM(Raw_Export!B1574),6,2),RIGHT(TRIM(Raw_Export!B1574),2)),DATE(RIGHT(TRIM(Raw_Export!B1574),4),MATCH(MID(TRIM(Raw_Export!B1574),4,3),{"Jan","Feb","Mar","Apr","May","Jun","Jul","Aug","Sep","Oct","Nov","Dec"},0),LEFT(TRIM(Raw_Export!B1574),2)))))</f>
        <v>46275</v>
      </c>
      <c r="C1574" s="36" t="str">
        <f aca="false">IF(Raw_Export!$A1574="","",IFERROR(VLOOKUP(LOWER(TRIM(Raw_Export!C1574)),Maps!$A$2:$B$20,2,FALSE()),"UNMAPPED"))</f>
        <v>Mombasa</v>
      </c>
      <c r="D1574" s="36" t="str">
        <f aca="false">IF(Raw_Export!$A1574="","",IFERROR(VLOOKUP(LOWER(TRIM(Raw_Export!D1574)),Maps!$G$2:$I$80,2,FALSE()),"UNMAPPED"))</f>
        <v>Fresh Milk 500ml</v>
      </c>
      <c r="E1574" s="36" t="str">
        <f aca="false">IF(Raw_Export!$A1574="","",IFERROR(VLOOKUP(LOWER(TRIM(Raw_Export!D1574)),Maps!$G$2:$I$80,3,FALSE()),"UNMAPPED"))</f>
        <v>Dairy &amp; Eggs</v>
      </c>
      <c r="F1574" s="36" t="n">
        <f aca="false">IF(Raw_Export!$A1574="","",IFERROR(VALUE(TRIM(Raw_Export!E1574)),0))</f>
        <v>4</v>
      </c>
      <c r="G1574" s="38" t="n">
        <f aca="false">IF(Raw_Export!$A1574="","",IFERROR(VALUE(SUBSTITUTE(SUBSTITUTE(UPPER(TRIM(Raw_Export!F1574)),"KES",""),",","")),0))</f>
        <v>65</v>
      </c>
      <c r="H1574" s="38" t="n">
        <f aca="false">IF(Raw_Export!$A1574="","",F1574*G1574)</f>
        <v>260</v>
      </c>
      <c r="I1574" s="36" t="str">
        <f aca="false">IF(Raw_Export!$A1574="","",IFERROR(VLOOKUP(LOWER(TRIM(Raw_Export!H1574)),Maps!$D$2:$E$12,2,FALSE()),"Other"))</f>
        <v>Cash</v>
      </c>
      <c r="J1574" s="36" t="str">
        <f aca="false">IF(Raw_Export!$A1574="","",IF(COUNTIF($A$2:A1574,A1574)&gt;1,"Duplicate",""))</f>
        <v/>
      </c>
      <c r="K1574" s="36" t="str">
        <f aca="false">IF(Raw_Export!$A1574="","",IF(J1574="Duplicate","Duplicate",IF(OR(C1574="UNMAPPED",D1574="UNMAPPED"),"Unmapped",IF(F1574=0,"Blank qty",IF(F1574&lt;0,"Return","OK")))))</f>
        <v>OK</v>
      </c>
      <c r="L1574" s="36" t="n">
        <f aca="false">IF(Raw_Export!$A1574="","",IF(OR(K1574="OK",K1574="Return"),1,0))</f>
        <v>1</v>
      </c>
      <c r="M1574" s="37" t="n">
        <f aca="false">IF(Raw_Export!$A1574="","",B1574-WEEKDAY(B1574,2)+1)</f>
        <v>46272</v>
      </c>
    </row>
    <row r="1575" customFormat="false" ht="15" hidden="false" customHeight="false" outlineLevel="0" collapsed="false">
      <c r="A1575" s="36" t="str">
        <f aca="false">IF(Raw_Export!$A1575="","",TRIM(Raw_Export!A1575))</f>
        <v>TXN-101543</v>
      </c>
      <c r="B1575" s="37" t="n">
        <f aca="false">IF(Raw_Export!$A1575="","",IF(ISNUMBER(Raw_Export!B1575),Raw_Export!B1575,IF(MID(TRIM(Raw_Export!B1575),5,1)="-",DATE(LEFT(TRIM(Raw_Export!B1575),4),MID(TRIM(Raw_Export!B1575),6,2),RIGHT(TRIM(Raw_Export!B1575),2)),DATE(RIGHT(TRIM(Raw_Export!B1575),4),MATCH(MID(TRIM(Raw_Export!B1575),4,3),{"Jan","Feb","Mar","Apr","May","Jun","Jul","Aug","Sep","Oct","Nov","Dec"},0),LEFT(TRIM(Raw_Export!B1575),2)))))</f>
        <v>46275</v>
      </c>
      <c r="C1575" s="36" t="str">
        <f aca="false">IF(Raw_Export!$A1575="","",IFERROR(VLOOKUP(LOWER(TRIM(Raw_Export!C1575)),Maps!$A$2:$B$20,2,FALSE()),"UNMAPPED"))</f>
        <v>Mombasa</v>
      </c>
      <c r="D1575" s="36" t="str">
        <f aca="false">IF(Raw_Export!$A1575="","",IFERROR(VLOOKUP(LOWER(TRIM(Raw_Export!D1575)),Maps!$G$2:$I$80,2,FALSE()),"UNMAPPED"))</f>
        <v>Fresh Milk 500ml</v>
      </c>
      <c r="E1575" s="36" t="str">
        <f aca="false">IF(Raw_Export!$A1575="","",IFERROR(VLOOKUP(LOWER(TRIM(Raw_Export!D1575)),Maps!$G$2:$I$80,3,FALSE()),"UNMAPPED"))</f>
        <v>Dairy &amp; Eggs</v>
      </c>
      <c r="F1575" s="36" t="n">
        <f aca="false">IF(Raw_Export!$A1575="","",IFERROR(VALUE(TRIM(Raw_Export!E1575)),0))</f>
        <v>2</v>
      </c>
      <c r="G1575" s="38" t="n">
        <f aca="false">IF(Raw_Export!$A1575="","",IFERROR(VALUE(SUBSTITUTE(SUBSTITUTE(UPPER(TRIM(Raw_Export!F1575)),"KES",""),",","")),0))</f>
        <v>58</v>
      </c>
      <c r="H1575" s="38" t="n">
        <f aca="false">IF(Raw_Export!$A1575="","",F1575*G1575)</f>
        <v>116</v>
      </c>
      <c r="I1575" s="36" t="str">
        <f aca="false">IF(Raw_Export!$A1575="","",IFERROR(VLOOKUP(LOWER(TRIM(Raw_Export!H1575)),Maps!$D$2:$E$12,2,FALSE()),"Other"))</f>
        <v>Cash</v>
      </c>
      <c r="J1575" s="36" t="str">
        <f aca="false">IF(Raw_Export!$A1575="","",IF(COUNTIF($A$2:A1575,A1575)&gt;1,"Duplicate",""))</f>
        <v/>
      </c>
      <c r="K1575" s="36" t="str">
        <f aca="false">IF(Raw_Export!$A1575="","",IF(J1575="Duplicate","Duplicate",IF(OR(C1575="UNMAPPED",D1575="UNMAPPED"),"Unmapped",IF(F1575=0,"Blank qty",IF(F1575&lt;0,"Return","OK")))))</f>
        <v>OK</v>
      </c>
      <c r="L1575" s="36" t="n">
        <f aca="false">IF(Raw_Export!$A1575="","",IF(OR(K1575="OK",K1575="Return"),1,0))</f>
        <v>1</v>
      </c>
      <c r="M1575" s="37" t="n">
        <f aca="false">IF(Raw_Export!$A1575="","",B1575-WEEKDAY(B1575,2)+1)</f>
        <v>46272</v>
      </c>
    </row>
    <row r="1576" customFormat="false" ht="15" hidden="false" customHeight="false" outlineLevel="0" collapsed="false">
      <c r="A1576" s="36" t="str">
        <f aca="false">IF(Raw_Export!$A1576="","",TRIM(Raw_Export!A1576))</f>
        <v>TXN-101544</v>
      </c>
      <c r="B1576" s="37" t="n">
        <f aca="false">IF(Raw_Export!$A1576="","",IF(ISNUMBER(Raw_Export!B1576),Raw_Export!B1576,IF(MID(TRIM(Raw_Export!B1576),5,1)="-",DATE(LEFT(TRIM(Raw_Export!B1576),4),MID(TRIM(Raw_Export!B1576),6,2),RIGHT(TRIM(Raw_Export!B1576),2)),DATE(RIGHT(TRIM(Raw_Export!B1576),4),MATCH(MID(TRIM(Raw_Export!B1576),4,3),{"Jan","Feb","Mar","Apr","May","Jun","Jul","Aug","Sep","Oct","Nov","Dec"},0),LEFT(TRIM(Raw_Export!B1576),2)))))</f>
        <v>46275</v>
      </c>
      <c r="C1576" s="36" t="str">
        <f aca="false">IF(Raw_Export!$A1576="","",IFERROR(VLOOKUP(LOWER(TRIM(Raw_Export!C1576)),Maps!$A$2:$B$20,2,FALSE()),"UNMAPPED"))</f>
        <v>Mombasa</v>
      </c>
      <c r="D1576" s="36" t="str">
        <f aca="false">IF(Raw_Export!$A1576="","",IFERROR(VLOOKUP(LOWER(TRIM(Raw_Export!D1576)),Maps!$G$2:$I$80,2,FALSE()),"UNMAPPED"))</f>
        <v>Peanuts 250g</v>
      </c>
      <c r="E1576" s="36" t="str">
        <f aca="false">IF(Raw_Export!$A1576="","",IFERROR(VLOOKUP(LOWER(TRIM(Raw_Export!D1576)),Maps!$G$2:$I$80,3,FALSE()),"UNMAPPED"))</f>
        <v>Snacks</v>
      </c>
      <c r="F1576" s="36" t="n">
        <f aca="false">IF(Raw_Export!$A1576="","",IFERROR(VALUE(TRIM(Raw_Export!E1576)),0))</f>
        <v>4</v>
      </c>
      <c r="G1576" s="38" t="n">
        <f aca="false">IF(Raw_Export!$A1576="","",IFERROR(VALUE(SUBSTITUTE(SUBSTITUTE(UPPER(TRIM(Raw_Export!F1576)),"KES",""),",","")),0))</f>
        <v>130</v>
      </c>
      <c r="H1576" s="38" t="n">
        <f aca="false">IF(Raw_Export!$A1576="","",F1576*G1576)</f>
        <v>520</v>
      </c>
      <c r="I1576" s="36" t="str">
        <f aca="false">IF(Raw_Export!$A1576="","",IFERROR(VLOOKUP(LOWER(TRIM(Raw_Export!H1576)),Maps!$D$2:$E$12,2,FALSE()),"Other"))</f>
        <v>M-Pesa</v>
      </c>
      <c r="J1576" s="36" t="str">
        <f aca="false">IF(Raw_Export!$A1576="","",IF(COUNTIF($A$2:A1576,A1576)&gt;1,"Duplicate",""))</f>
        <v>Duplicate</v>
      </c>
      <c r="K1576" s="36" t="str">
        <f aca="false">IF(Raw_Export!$A1576="","",IF(J1576="Duplicate","Duplicate",IF(OR(C1576="UNMAPPED",D1576="UNMAPPED"),"Unmapped",IF(F1576=0,"Blank qty",IF(F1576&lt;0,"Return","OK")))))</f>
        <v>Duplicate</v>
      </c>
      <c r="L1576" s="36" t="n">
        <f aca="false">IF(Raw_Export!$A1576="","",IF(OR(K1576="OK",K1576="Return"),1,0))</f>
        <v>0</v>
      </c>
      <c r="M1576" s="37" t="n">
        <f aca="false">IF(Raw_Export!$A1576="","",B1576-WEEKDAY(B1576,2)+1)</f>
        <v>46272</v>
      </c>
    </row>
    <row r="1577" customFormat="false" ht="15" hidden="false" customHeight="false" outlineLevel="0" collapsed="false">
      <c r="A1577" s="36" t="str">
        <f aca="false">IF(Raw_Export!$A1577="","",TRIM(Raw_Export!A1577))</f>
        <v>TXN-101545</v>
      </c>
      <c r="B1577" s="37" t="n">
        <f aca="false">IF(Raw_Export!$A1577="","",IF(ISNUMBER(Raw_Export!B1577),Raw_Export!B1577,IF(MID(TRIM(Raw_Export!B1577),5,1)="-",DATE(LEFT(TRIM(Raw_Export!B1577),4),MID(TRIM(Raw_Export!B1577),6,2),RIGHT(TRIM(Raw_Export!B1577),2)),DATE(RIGHT(TRIM(Raw_Export!B1577),4),MATCH(MID(TRIM(Raw_Export!B1577),4,3),{"Jan","Feb","Mar","Apr","May","Jun","Jul","Aug","Sep","Oct","Nov","Dec"},0),LEFT(TRIM(Raw_Export!B1577),2)))))</f>
        <v>46275</v>
      </c>
      <c r="C1577" s="36" t="str">
        <f aca="false">IF(Raw_Export!$A1577="","",IFERROR(VLOOKUP(LOWER(TRIM(Raw_Export!C1577)),Maps!$A$2:$B$20,2,FALSE()),"UNMAPPED"))</f>
        <v>Mombasa</v>
      </c>
      <c r="D1577" s="36" t="str">
        <f aca="false">IF(Raw_Export!$A1577="","",IFERROR(VLOOKUP(LOWER(TRIM(Raw_Export!D1577)),Maps!$G$2:$I$80,2,FALSE()),"UNMAPPED"))</f>
        <v>Salt 500g</v>
      </c>
      <c r="E1577" s="36" t="str">
        <f aca="false">IF(Raw_Export!$A1577="","",IFERROR(VLOOKUP(LOWER(TRIM(Raw_Export!D1577)),Maps!$G$2:$I$80,3,FALSE()),"UNMAPPED"))</f>
        <v>Staples</v>
      </c>
      <c r="F1577" s="36" t="n">
        <f aca="false">IF(Raw_Export!$A1577="","",IFERROR(VALUE(TRIM(Raw_Export!E1577)),0))</f>
        <v>1</v>
      </c>
      <c r="G1577" s="38" t="n">
        <f aca="false">IF(Raw_Export!$A1577="","",IFERROR(VALUE(SUBSTITUTE(SUBSTITUTE(UPPER(TRIM(Raw_Export!F1577)),"KES",""),",","")),0))</f>
        <v>40</v>
      </c>
      <c r="H1577" s="38" t="n">
        <f aca="false">IF(Raw_Export!$A1577="","",F1577*G1577)</f>
        <v>40</v>
      </c>
      <c r="I1577" s="36" t="str">
        <f aca="false">IF(Raw_Export!$A1577="","",IFERROR(VLOOKUP(LOWER(TRIM(Raw_Export!H1577)),Maps!$D$2:$E$12,2,FALSE()),"Other"))</f>
        <v>M-Pesa</v>
      </c>
      <c r="J1577" s="36" t="str">
        <f aca="false">IF(Raw_Export!$A1577="","",IF(COUNTIF($A$2:A1577,A1577)&gt;1,"Duplicate",""))</f>
        <v/>
      </c>
      <c r="K1577" s="36" t="str">
        <f aca="false">IF(Raw_Export!$A1577="","",IF(J1577="Duplicate","Duplicate",IF(OR(C1577="UNMAPPED",D1577="UNMAPPED"),"Unmapped",IF(F1577=0,"Blank qty",IF(F1577&lt;0,"Return","OK")))))</f>
        <v>OK</v>
      </c>
      <c r="L1577" s="36" t="n">
        <f aca="false">IF(Raw_Export!$A1577="","",IF(OR(K1577="OK",K1577="Return"),1,0))</f>
        <v>1</v>
      </c>
      <c r="M1577" s="37" t="n">
        <f aca="false">IF(Raw_Export!$A1577="","",B1577-WEEKDAY(B1577,2)+1)</f>
        <v>46272</v>
      </c>
    </row>
    <row r="1578" customFormat="false" ht="15" hidden="false" customHeight="false" outlineLevel="0" collapsed="false">
      <c r="A1578" s="36" t="str">
        <f aca="false">IF(Raw_Export!$A1578="","",TRIM(Raw_Export!A1578))</f>
        <v>TXN-101546</v>
      </c>
      <c r="B1578" s="37" t="n">
        <f aca="false">IF(Raw_Export!$A1578="","",IF(ISNUMBER(Raw_Export!B1578),Raw_Export!B1578,IF(MID(TRIM(Raw_Export!B1578),5,1)="-",DATE(LEFT(TRIM(Raw_Export!B1578),4),MID(TRIM(Raw_Export!B1578),6,2),RIGHT(TRIM(Raw_Export!B1578),2)),DATE(RIGHT(TRIM(Raw_Export!B1578),4),MATCH(MID(TRIM(Raw_Export!B1578),4,3),{"Jan","Feb","Mar","Apr","May","Jun","Jul","Aug","Sep","Oct","Nov","Dec"},0),LEFT(TRIM(Raw_Export!B1578),2)))))</f>
        <v>46275</v>
      </c>
      <c r="C1578" s="36" t="str">
        <f aca="false">IF(Raw_Export!$A1578="","",IFERROR(VLOOKUP(LOWER(TRIM(Raw_Export!C1578)),Maps!$A$2:$B$20,2,FALSE()),"UNMAPPED"))</f>
        <v>Mombasa</v>
      </c>
      <c r="D1578" s="36" t="str">
        <f aca="false">IF(Raw_Export!$A1578="","",IFERROR(VLOOKUP(LOWER(TRIM(Raw_Export!D1578)),Maps!$G$2:$I$80,2,FALSE()),"UNMAPPED"))</f>
        <v>Deodorant 150ml</v>
      </c>
      <c r="E1578" s="36" t="str">
        <f aca="false">IF(Raw_Export!$A1578="","",IFERROR(VLOOKUP(LOWER(TRIM(Raw_Export!D1578)),Maps!$G$2:$I$80,3,FALSE()),"UNMAPPED"))</f>
        <v>Personal Care</v>
      </c>
      <c r="F1578" s="36" t="n">
        <f aca="false">IF(Raw_Export!$A1578="","",IFERROR(VALUE(TRIM(Raw_Export!E1578)),0))</f>
        <v>1</v>
      </c>
      <c r="G1578" s="38" t="n">
        <f aca="false">IF(Raw_Export!$A1578="","",IFERROR(VALUE(SUBSTITUTE(SUBSTITUTE(UPPER(TRIM(Raw_Export!F1578)),"KES",""),",","")),0))</f>
        <v>350</v>
      </c>
      <c r="H1578" s="38" t="n">
        <f aca="false">IF(Raw_Export!$A1578="","",F1578*G1578)</f>
        <v>350</v>
      </c>
      <c r="I1578" s="36" t="str">
        <f aca="false">IF(Raw_Export!$A1578="","",IFERROR(VLOOKUP(LOWER(TRIM(Raw_Export!H1578)),Maps!$D$2:$E$12,2,FALSE()),"Other"))</f>
        <v>Cash</v>
      </c>
      <c r="J1578" s="36" t="str">
        <f aca="false">IF(Raw_Export!$A1578="","",IF(COUNTIF($A$2:A1578,A1578)&gt;1,"Duplicate",""))</f>
        <v/>
      </c>
      <c r="K1578" s="36" t="str">
        <f aca="false">IF(Raw_Export!$A1578="","",IF(J1578="Duplicate","Duplicate",IF(OR(C1578="UNMAPPED",D1578="UNMAPPED"),"Unmapped",IF(F1578=0,"Blank qty",IF(F1578&lt;0,"Return","OK")))))</f>
        <v>OK</v>
      </c>
      <c r="L1578" s="36" t="n">
        <f aca="false">IF(Raw_Export!$A1578="","",IF(OR(K1578="OK",K1578="Return"),1,0))</f>
        <v>1</v>
      </c>
      <c r="M1578" s="37" t="n">
        <f aca="false">IF(Raw_Export!$A1578="","",B1578-WEEKDAY(B1578,2)+1)</f>
        <v>46272</v>
      </c>
    </row>
    <row r="1579" customFormat="false" ht="15" hidden="false" customHeight="false" outlineLevel="0" collapsed="false">
      <c r="A1579" s="36" t="str">
        <f aca="false">IF(Raw_Export!$A1579="","",TRIM(Raw_Export!A1579))</f>
        <v>TXN-100878</v>
      </c>
      <c r="B1579" s="37" t="n">
        <f aca="false">IF(Raw_Export!$A1579="","",IF(ISNUMBER(Raw_Export!B1579),Raw_Export!B1579,IF(MID(TRIM(Raw_Export!B1579),5,1)="-",DATE(LEFT(TRIM(Raw_Export!B1579),4),MID(TRIM(Raw_Export!B1579),6,2),RIGHT(TRIM(Raw_Export!B1579),2)),DATE(RIGHT(TRIM(Raw_Export!B1579),4),MATCH(MID(TRIM(Raw_Export!B1579),4,3),{"Jan","Feb","Mar","Apr","May","Jun","Jul","Aug","Sep","Oct","Nov","Dec"},0),LEFT(TRIM(Raw_Export!B1579),2)))))</f>
        <v>46270</v>
      </c>
      <c r="C1579" s="36" t="str">
        <f aca="false">IF(Raw_Export!$A1579="","",IFERROR(VLOOKUP(LOWER(TRIM(Raw_Export!C1579)),Maps!$A$2:$B$20,2,FALSE()),"UNMAPPED"))</f>
        <v>Nakuru</v>
      </c>
      <c r="D1579" s="36" t="str">
        <f aca="false">IF(Raw_Export!$A1579="","",IFERROR(VLOOKUP(LOWER(TRIM(Raw_Export!D1579)),Maps!$G$2:$I$80,2,FALSE()),"UNMAPPED"))</f>
        <v>Bottled Water 1.5L</v>
      </c>
      <c r="E1579" s="36" t="str">
        <f aca="false">IF(Raw_Export!$A1579="","",IFERROR(VLOOKUP(LOWER(TRIM(Raw_Export!D1579)),Maps!$G$2:$I$80,3,FALSE()),"UNMAPPED"))</f>
        <v>Beverages</v>
      </c>
      <c r="F1579" s="36" t="n">
        <f aca="false">IF(Raw_Export!$A1579="","",IFERROR(VALUE(TRIM(Raw_Export!E1579)),0))</f>
        <v>1</v>
      </c>
      <c r="G1579" s="38" t="n">
        <f aca="false">IF(Raw_Export!$A1579="","",IFERROR(VALUE(SUBSTITUTE(SUBSTITUTE(UPPER(TRIM(Raw_Export!F1579)),"KES",""),",","")),0))</f>
        <v>90</v>
      </c>
      <c r="H1579" s="38" t="n">
        <f aca="false">IF(Raw_Export!$A1579="","",F1579*G1579)</f>
        <v>90</v>
      </c>
      <c r="I1579" s="36" t="str">
        <f aca="false">IF(Raw_Export!$A1579="","",IFERROR(VLOOKUP(LOWER(TRIM(Raw_Export!H1579)),Maps!$D$2:$E$12,2,FALSE()),"Other"))</f>
        <v>M-Pesa</v>
      </c>
      <c r="J1579" s="36" t="str">
        <f aca="false">IF(Raw_Export!$A1579="","",IF(COUNTIF($A$2:A1579,A1579)&gt;1,"Duplicate",""))</f>
        <v>Duplicate</v>
      </c>
      <c r="K1579" s="36" t="str">
        <f aca="false">IF(Raw_Export!$A1579="","",IF(J1579="Duplicate","Duplicate",IF(OR(C1579="UNMAPPED",D1579="UNMAPPED"),"Unmapped",IF(F1579=0,"Blank qty",IF(F1579&lt;0,"Return","OK")))))</f>
        <v>Duplicate</v>
      </c>
      <c r="L1579" s="36" t="n">
        <f aca="false">IF(Raw_Export!$A1579="","",IF(OR(K1579="OK",K1579="Return"),1,0))</f>
        <v>0</v>
      </c>
      <c r="M1579" s="37" t="n">
        <f aca="false">IF(Raw_Export!$A1579="","",B1579-WEEKDAY(B1579,2)+1)</f>
        <v>46265</v>
      </c>
    </row>
    <row r="1580" customFormat="false" ht="15" hidden="false" customHeight="false" outlineLevel="0" collapsed="false">
      <c r="A1580" s="36" t="str">
        <f aca="false">IF(Raw_Export!$A1580="","",TRIM(Raw_Export!A1580))</f>
        <v>TXN-101547</v>
      </c>
      <c r="B1580" s="37" t="n">
        <f aca="false">IF(Raw_Export!$A1580="","",IF(ISNUMBER(Raw_Export!B1580),Raw_Export!B1580,IF(MID(TRIM(Raw_Export!B1580),5,1)="-",DATE(LEFT(TRIM(Raw_Export!B1580),4),MID(TRIM(Raw_Export!B1580),6,2),RIGHT(TRIM(Raw_Export!B1580),2)),DATE(RIGHT(TRIM(Raw_Export!B1580),4),MATCH(MID(TRIM(Raw_Export!B1580),4,3),{"Jan","Feb","Mar","Apr","May","Jun","Jul","Aug","Sep","Oct","Nov","Dec"},0),LEFT(TRIM(Raw_Export!B1580),2)))))</f>
        <v>46275</v>
      </c>
      <c r="C1580" s="36" t="str">
        <f aca="false">IF(Raw_Export!$A1580="","",IFERROR(VLOOKUP(LOWER(TRIM(Raw_Export!C1580)),Maps!$A$2:$B$20,2,FALSE()),"UNMAPPED"))</f>
        <v>Mombasa</v>
      </c>
      <c r="D1580" s="36" t="str">
        <f aca="false">IF(Raw_Export!$A1580="","",IFERROR(VLOOKUP(LOWER(TRIM(Raw_Export!D1580)),Maps!$G$2:$I$80,2,FALSE()),"UNMAPPED"))</f>
        <v>Butter 250g</v>
      </c>
      <c r="E1580" s="36" t="str">
        <f aca="false">IF(Raw_Export!$A1580="","",IFERROR(VLOOKUP(LOWER(TRIM(Raw_Export!D1580)),Maps!$G$2:$I$80,3,FALSE()),"UNMAPPED"))</f>
        <v>Dairy &amp; Eggs</v>
      </c>
      <c r="F1580" s="36" t="n">
        <f aca="false">IF(Raw_Export!$A1580="","",IFERROR(VALUE(TRIM(Raw_Export!E1580)),0))</f>
        <v>2</v>
      </c>
      <c r="G1580" s="38" t="n">
        <f aca="false">IF(Raw_Export!$A1580="","",IFERROR(VALUE(SUBSTITUTE(SUBSTITUTE(UPPER(TRIM(Raw_Export!F1580)),"KES",""),",","")),0))</f>
        <v>310</v>
      </c>
      <c r="H1580" s="38" t="n">
        <f aca="false">IF(Raw_Export!$A1580="","",F1580*G1580)</f>
        <v>620</v>
      </c>
      <c r="I1580" s="36" t="str">
        <f aca="false">IF(Raw_Export!$A1580="","",IFERROR(VLOOKUP(LOWER(TRIM(Raw_Export!H1580)),Maps!$D$2:$E$12,2,FALSE()),"Other"))</f>
        <v>M-Pesa</v>
      </c>
      <c r="J1580" s="36" t="str">
        <f aca="false">IF(Raw_Export!$A1580="","",IF(COUNTIF($A$2:A1580,A1580)&gt;1,"Duplicate",""))</f>
        <v/>
      </c>
      <c r="K1580" s="36" t="str">
        <f aca="false">IF(Raw_Export!$A1580="","",IF(J1580="Duplicate","Duplicate",IF(OR(C1580="UNMAPPED",D1580="UNMAPPED"),"Unmapped",IF(F1580=0,"Blank qty",IF(F1580&lt;0,"Return","OK")))))</f>
        <v>OK</v>
      </c>
      <c r="L1580" s="36" t="n">
        <f aca="false">IF(Raw_Export!$A1580="","",IF(OR(K1580="OK",K1580="Return"),1,0))</f>
        <v>1</v>
      </c>
      <c r="M1580" s="37" t="n">
        <f aca="false">IF(Raw_Export!$A1580="","",B1580-WEEKDAY(B1580,2)+1)</f>
        <v>46272</v>
      </c>
    </row>
    <row r="1581" customFormat="false" ht="15" hidden="false" customHeight="false" outlineLevel="0" collapsed="false">
      <c r="A1581" s="36" t="str">
        <f aca="false">IF(Raw_Export!$A1581="","",TRIM(Raw_Export!A1581))</f>
        <v>TXN-101285</v>
      </c>
      <c r="B1581" s="37" t="n">
        <f aca="false">IF(Raw_Export!$A1581="","",IF(ISNUMBER(Raw_Export!B1581),Raw_Export!B1581,IF(MID(TRIM(Raw_Export!B1581),5,1)="-",DATE(LEFT(TRIM(Raw_Export!B1581),4),MID(TRIM(Raw_Export!B1581),6,2),RIGHT(TRIM(Raw_Export!B1581),2)),DATE(RIGHT(TRIM(Raw_Export!B1581),4),MATCH(MID(TRIM(Raw_Export!B1581),4,3),{"Jan","Feb","Mar","Apr","May","Jun","Jul","Aug","Sep","Oct","Nov","Dec"},0),LEFT(TRIM(Raw_Export!B1581),2)))))</f>
        <v>46273</v>
      </c>
      <c r="C1581" s="36" t="str">
        <f aca="false">IF(Raw_Export!$A1581="","",IFERROR(VLOOKUP(LOWER(TRIM(Raw_Export!C1581)),Maps!$A$2:$B$20,2,FALSE()),"UNMAPPED"))</f>
        <v>Kisumu</v>
      </c>
      <c r="D1581" s="36" t="str">
        <f aca="false">IF(Raw_Export!$A1581="","",IFERROR(VLOOKUP(LOWER(TRIM(Raw_Export!D1581)),Maps!$G$2:$I$80,2,FALSE()),"UNMAPPED"))</f>
        <v>Salt 500g</v>
      </c>
      <c r="E1581" s="36" t="str">
        <f aca="false">IF(Raw_Export!$A1581="","",IFERROR(VLOOKUP(LOWER(TRIM(Raw_Export!D1581)),Maps!$G$2:$I$80,3,FALSE()),"UNMAPPED"))</f>
        <v>Staples</v>
      </c>
      <c r="F1581" s="36" t="n">
        <f aca="false">IF(Raw_Export!$A1581="","",IFERROR(VALUE(TRIM(Raw_Export!E1581)),0))</f>
        <v>4</v>
      </c>
      <c r="G1581" s="38" t="n">
        <f aca="false">IF(Raw_Export!$A1581="","",IFERROR(VALUE(SUBSTITUTE(SUBSTITUTE(UPPER(TRIM(Raw_Export!F1581)),"KES",""),",","")),0))</f>
        <v>40</v>
      </c>
      <c r="H1581" s="38" t="n">
        <f aca="false">IF(Raw_Export!$A1581="","",F1581*G1581)</f>
        <v>160</v>
      </c>
      <c r="I1581" s="36" t="str">
        <f aca="false">IF(Raw_Export!$A1581="","",IFERROR(VLOOKUP(LOWER(TRIM(Raw_Export!H1581)),Maps!$D$2:$E$12,2,FALSE()),"Other"))</f>
        <v>M-Pesa</v>
      </c>
      <c r="J1581" s="36" t="str">
        <f aca="false">IF(Raw_Export!$A1581="","",IF(COUNTIF($A$2:A1581,A1581)&gt;1,"Duplicate",""))</f>
        <v>Duplicate</v>
      </c>
      <c r="K1581" s="36" t="str">
        <f aca="false">IF(Raw_Export!$A1581="","",IF(J1581="Duplicate","Duplicate",IF(OR(C1581="UNMAPPED",D1581="UNMAPPED"),"Unmapped",IF(F1581=0,"Blank qty",IF(F1581&lt;0,"Return","OK")))))</f>
        <v>Duplicate</v>
      </c>
      <c r="L1581" s="36" t="n">
        <f aca="false">IF(Raw_Export!$A1581="","",IF(OR(K1581="OK",K1581="Return"),1,0))</f>
        <v>0</v>
      </c>
      <c r="M1581" s="37" t="n">
        <f aca="false">IF(Raw_Export!$A1581="","",B1581-WEEKDAY(B1581,2)+1)</f>
        <v>46272</v>
      </c>
    </row>
    <row r="1582" customFormat="false" ht="15" hidden="false" customHeight="false" outlineLevel="0" collapsed="false">
      <c r="A1582" s="36" t="str">
        <f aca="false">IF(Raw_Export!$A1582="","",TRIM(Raw_Export!A1582))</f>
        <v>TXN-101548</v>
      </c>
      <c r="B1582" s="37" t="n">
        <f aca="false">IF(Raw_Export!$A1582="","",IF(ISNUMBER(Raw_Export!B1582),Raw_Export!B1582,IF(MID(TRIM(Raw_Export!B1582),5,1)="-",DATE(LEFT(TRIM(Raw_Export!B1582),4),MID(TRIM(Raw_Export!B1582),6,2),RIGHT(TRIM(Raw_Export!B1582),2)),DATE(RIGHT(TRIM(Raw_Export!B1582),4),MATCH(MID(TRIM(Raw_Export!B1582),4,3),{"Jan","Feb","Mar","Apr","May","Jun","Jul","Aug","Sep","Oct","Nov","Dec"},0),LEFT(TRIM(Raw_Export!B1582),2)))))</f>
        <v>46275</v>
      </c>
      <c r="C1582" s="36" t="str">
        <f aca="false">IF(Raw_Export!$A1582="","",IFERROR(VLOOKUP(LOWER(TRIM(Raw_Export!C1582)),Maps!$A$2:$B$20,2,FALSE()),"UNMAPPED"))</f>
        <v>Mombasa</v>
      </c>
      <c r="D1582" s="36" t="str">
        <f aca="false">IF(Raw_Export!$A1582="","",IFERROR(VLOOKUP(LOWER(TRIM(Raw_Export!D1582)),Maps!$G$2:$I$80,2,FALSE()),"UNMAPPED"))</f>
        <v>Toilet Paper 10pk</v>
      </c>
      <c r="E1582" s="36" t="str">
        <f aca="false">IF(Raw_Export!$A1582="","",IFERROR(VLOOKUP(LOWER(TRIM(Raw_Export!D1582)),Maps!$G$2:$I$80,3,FALSE()),"UNMAPPED"))</f>
        <v>Household</v>
      </c>
      <c r="F1582" s="36" t="n">
        <f aca="false">IF(Raw_Export!$A1582="","",IFERROR(VALUE(TRIM(Raw_Export!E1582)),0))</f>
        <v>3</v>
      </c>
      <c r="G1582" s="38" t="n">
        <f aca="false">IF(Raw_Export!$A1582="","",IFERROR(VALUE(SUBSTITUTE(SUBSTITUTE(UPPER(TRIM(Raw_Export!F1582)),"KES",""),",","")),0))</f>
        <v>380</v>
      </c>
      <c r="H1582" s="38" t="n">
        <f aca="false">IF(Raw_Export!$A1582="","",F1582*G1582)</f>
        <v>1140</v>
      </c>
      <c r="I1582" s="36" t="str">
        <f aca="false">IF(Raw_Export!$A1582="","",IFERROR(VLOOKUP(LOWER(TRIM(Raw_Export!H1582)),Maps!$D$2:$E$12,2,FALSE()),"Other"))</f>
        <v>Card</v>
      </c>
      <c r="J1582" s="36" t="str">
        <f aca="false">IF(Raw_Export!$A1582="","",IF(COUNTIF($A$2:A1582,A1582)&gt;1,"Duplicate",""))</f>
        <v/>
      </c>
      <c r="K1582" s="36" t="str">
        <f aca="false">IF(Raw_Export!$A1582="","",IF(J1582="Duplicate","Duplicate",IF(OR(C1582="UNMAPPED",D1582="UNMAPPED"),"Unmapped",IF(F1582=0,"Blank qty",IF(F1582&lt;0,"Return","OK")))))</f>
        <v>OK</v>
      </c>
      <c r="L1582" s="36" t="n">
        <f aca="false">IF(Raw_Export!$A1582="","",IF(OR(K1582="OK",K1582="Return"),1,0))</f>
        <v>1</v>
      </c>
      <c r="M1582" s="37" t="n">
        <f aca="false">IF(Raw_Export!$A1582="","",B1582-WEEKDAY(B1582,2)+1)</f>
        <v>46272</v>
      </c>
    </row>
    <row r="1583" customFormat="false" ht="15" hidden="false" customHeight="false" outlineLevel="0" collapsed="false">
      <c r="A1583" s="36" t="str">
        <f aca="false">IF(Raw_Export!$A1583="","",TRIM(Raw_Export!A1583))</f>
        <v>TXN-101549</v>
      </c>
      <c r="B1583" s="37" t="n">
        <f aca="false">IF(Raw_Export!$A1583="","",IF(ISNUMBER(Raw_Export!B1583),Raw_Export!B1583,IF(MID(TRIM(Raw_Export!B1583),5,1)="-",DATE(LEFT(TRIM(Raw_Export!B1583),4),MID(TRIM(Raw_Export!B1583),6,2),RIGHT(TRIM(Raw_Export!B1583),2)),DATE(RIGHT(TRIM(Raw_Export!B1583),4),MATCH(MID(TRIM(Raw_Export!B1583),4,3),{"Jan","Feb","Mar","Apr","May","Jun","Jul","Aug","Sep","Oct","Nov","Dec"},0),LEFT(TRIM(Raw_Export!B1583),2)))))</f>
        <v>46275</v>
      </c>
      <c r="C1583" s="36" t="str">
        <f aca="false">IF(Raw_Export!$A1583="","",IFERROR(VLOOKUP(LOWER(TRIM(Raw_Export!C1583)),Maps!$A$2:$B$20,2,FALSE()),"UNMAPPED"))</f>
        <v>Mombasa</v>
      </c>
      <c r="D1583" s="36" t="str">
        <f aca="false">IF(Raw_Export!$A1583="","",IFERROR(VLOOKUP(LOWER(TRIM(Raw_Export!D1583)),Maps!$G$2:$I$80,2,FALSE()),"UNMAPPED"))</f>
        <v>Peanuts 250g</v>
      </c>
      <c r="E1583" s="36" t="str">
        <f aca="false">IF(Raw_Export!$A1583="","",IFERROR(VLOOKUP(LOWER(TRIM(Raw_Export!D1583)),Maps!$G$2:$I$80,3,FALSE()),"UNMAPPED"))</f>
        <v>Snacks</v>
      </c>
      <c r="F1583" s="36" t="n">
        <f aca="false">IF(Raw_Export!$A1583="","",IFERROR(VALUE(TRIM(Raw_Export!E1583)),0))</f>
        <v>6</v>
      </c>
      <c r="G1583" s="38" t="n">
        <f aca="false">IF(Raw_Export!$A1583="","",IFERROR(VALUE(SUBSTITUTE(SUBSTITUTE(UPPER(TRIM(Raw_Export!F1583)),"KES",""),",","")),0))</f>
        <v>130</v>
      </c>
      <c r="H1583" s="38" t="n">
        <f aca="false">IF(Raw_Export!$A1583="","",F1583*G1583)</f>
        <v>780</v>
      </c>
      <c r="I1583" s="36" t="str">
        <f aca="false">IF(Raw_Export!$A1583="","",IFERROR(VLOOKUP(LOWER(TRIM(Raw_Export!H1583)),Maps!$D$2:$E$12,2,FALSE()),"Other"))</f>
        <v>Cash</v>
      </c>
      <c r="J1583" s="36" t="str">
        <f aca="false">IF(Raw_Export!$A1583="","",IF(COUNTIF($A$2:A1583,A1583)&gt;1,"Duplicate",""))</f>
        <v/>
      </c>
      <c r="K1583" s="36" t="str">
        <f aca="false">IF(Raw_Export!$A1583="","",IF(J1583="Duplicate","Duplicate",IF(OR(C1583="UNMAPPED",D1583="UNMAPPED"),"Unmapped",IF(F1583=0,"Blank qty",IF(F1583&lt;0,"Return","OK")))))</f>
        <v>OK</v>
      </c>
      <c r="L1583" s="36" t="n">
        <f aca="false">IF(Raw_Export!$A1583="","",IF(OR(K1583="OK",K1583="Return"),1,0))</f>
        <v>1</v>
      </c>
      <c r="M1583" s="37" t="n">
        <f aca="false">IF(Raw_Export!$A1583="","",B1583-WEEKDAY(B1583,2)+1)</f>
        <v>46272</v>
      </c>
    </row>
    <row r="1584" customFormat="false" ht="15" hidden="false" customHeight="false" outlineLevel="0" collapsed="false">
      <c r="A1584" s="36" t="str">
        <f aca="false">IF(Raw_Export!$A1584="","",TRIM(Raw_Export!A1584))</f>
        <v>TXN-101550</v>
      </c>
      <c r="B1584" s="37" t="n">
        <f aca="false">IF(Raw_Export!$A1584="","",IF(ISNUMBER(Raw_Export!B1584),Raw_Export!B1584,IF(MID(TRIM(Raw_Export!B1584),5,1)="-",DATE(LEFT(TRIM(Raw_Export!B1584),4),MID(TRIM(Raw_Export!B1584),6,2),RIGHT(TRIM(Raw_Export!B1584),2)),DATE(RIGHT(TRIM(Raw_Export!B1584),4),MATCH(MID(TRIM(Raw_Export!B1584),4,3),{"Jan","Feb","Mar","Apr","May","Jun","Jul","Aug","Sep","Oct","Nov","Dec"},0),LEFT(TRIM(Raw_Export!B1584),2)))))</f>
        <v>46275</v>
      </c>
      <c r="C1584" s="36" t="str">
        <f aca="false">IF(Raw_Export!$A1584="","",IFERROR(VLOOKUP(LOWER(TRIM(Raw_Export!C1584)),Maps!$A$2:$B$20,2,FALSE()),"UNMAPPED"))</f>
        <v>Mombasa</v>
      </c>
      <c r="D1584" s="36" t="str">
        <f aca="false">IF(Raw_Export!$A1584="","",IFERROR(VLOOKUP(LOWER(TRIM(Raw_Export!D1584)),Maps!$G$2:$I$80,2,FALSE()),"UNMAPPED"))</f>
        <v>Tea Leaves 250g</v>
      </c>
      <c r="E1584" s="36" t="str">
        <f aca="false">IF(Raw_Export!$A1584="","",IFERROR(VLOOKUP(LOWER(TRIM(Raw_Export!D1584)),Maps!$G$2:$I$80,3,FALSE()),"UNMAPPED"))</f>
        <v>Beverages</v>
      </c>
      <c r="F1584" s="36" t="n">
        <f aca="false">IF(Raw_Export!$A1584="","",IFERROR(VALUE(TRIM(Raw_Export!E1584)),0))</f>
        <v>2</v>
      </c>
      <c r="G1584" s="38" t="n">
        <f aca="false">IF(Raw_Export!$A1584="","",IFERROR(VALUE(SUBSTITUTE(SUBSTITUTE(UPPER(TRIM(Raw_Export!F1584)),"KES",""),",","")),0))</f>
        <v>150</v>
      </c>
      <c r="H1584" s="38" t="n">
        <f aca="false">IF(Raw_Export!$A1584="","",F1584*G1584)</f>
        <v>300</v>
      </c>
      <c r="I1584" s="36" t="str">
        <f aca="false">IF(Raw_Export!$A1584="","",IFERROR(VLOOKUP(LOWER(TRIM(Raw_Export!H1584)),Maps!$D$2:$E$12,2,FALSE()),"Other"))</f>
        <v>M-Pesa</v>
      </c>
      <c r="J1584" s="36" t="str">
        <f aca="false">IF(Raw_Export!$A1584="","",IF(COUNTIF($A$2:A1584,A1584)&gt;1,"Duplicate",""))</f>
        <v/>
      </c>
      <c r="K1584" s="36" t="str">
        <f aca="false">IF(Raw_Export!$A1584="","",IF(J1584="Duplicate","Duplicate",IF(OR(C1584="UNMAPPED",D1584="UNMAPPED"),"Unmapped",IF(F1584=0,"Blank qty",IF(F1584&lt;0,"Return","OK")))))</f>
        <v>OK</v>
      </c>
      <c r="L1584" s="36" t="n">
        <f aca="false">IF(Raw_Export!$A1584="","",IF(OR(K1584="OK",K1584="Return"),1,0))</f>
        <v>1</v>
      </c>
      <c r="M1584" s="37" t="n">
        <f aca="false">IF(Raw_Export!$A1584="","",B1584-WEEKDAY(B1584,2)+1)</f>
        <v>46272</v>
      </c>
    </row>
    <row r="1585" customFormat="false" ht="15" hidden="false" customHeight="false" outlineLevel="0" collapsed="false">
      <c r="A1585" s="36" t="str">
        <f aca="false">IF(Raw_Export!$A1585="","",TRIM(Raw_Export!A1585))</f>
        <v>TXN-101551</v>
      </c>
      <c r="B1585" s="37" t="n">
        <f aca="false">IF(Raw_Export!$A1585="","",IF(ISNUMBER(Raw_Export!B1585),Raw_Export!B1585,IF(MID(TRIM(Raw_Export!B1585),5,1)="-",DATE(LEFT(TRIM(Raw_Export!B1585),4),MID(TRIM(Raw_Export!B1585),6,2),RIGHT(TRIM(Raw_Export!B1585),2)),DATE(RIGHT(TRIM(Raw_Export!B1585),4),MATCH(MID(TRIM(Raw_Export!B1585),4,3),{"Jan","Feb","Mar","Apr","May","Jun","Jul","Aug","Sep","Oct","Nov","Dec"},0),LEFT(TRIM(Raw_Export!B1585),2)))))</f>
        <v>46275</v>
      </c>
      <c r="C1585" s="36" t="str">
        <f aca="false">IF(Raw_Export!$A1585="","",IFERROR(VLOOKUP(LOWER(TRIM(Raw_Export!C1585)),Maps!$A$2:$B$20,2,FALSE()),"UNMAPPED"))</f>
        <v>Mombasa</v>
      </c>
      <c r="D1585" s="36" t="str">
        <f aca="false">IF(Raw_Export!$A1585="","",IFERROR(VLOOKUP(LOWER(TRIM(Raw_Export!D1585)),Maps!$G$2:$I$80,2,FALSE()),"UNMAPPED"))</f>
        <v>Cheddar 200g</v>
      </c>
      <c r="E1585" s="36" t="str">
        <f aca="false">IF(Raw_Export!$A1585="","",IFERROR(VLOOKUP(LOWER(TRIM(Raw_Export!D1585)),Maps!$G$2:$I$80,3,FALSE()),"UNMAPPED"))</f>
        <v>Dairy &amp; Eggs</v>
      </c>
      <c r="F1585" s="36" t="n">
        <f aca="false">IF(Raw_Export!$A1585="","",IFERROR(VALUE(TRIM(Raw_Export!E1585)),0))</f>
        <v>1</v>
      </c>
      <c r="G1585" s="38" t="n">
        <f aca="false">IF(Raw_Export!$A1585="","",IFERROR(VALUE(SUBSTITUTE(SUBSTITUTE(UPPER(TRIM(Raw_Export!F1585)),"KES",""),",","")),0))</f>
        <v>380</v>
      </c>
      <c r="H1585" s="38" t="n">
        <f aca="false">IF(Raw_Export!$A1585="","",F1585*G1585)</f>
        <v>380</v>
      </c>
      <c r="I1585" s="36" t="str">
        <f aca="false">IF(Raw_Export!$A1585="","",IFERROR(VLOOKUP(LOWER(TRIM(Raw_Export!H1585)),Maps!$D$2:$E$12,2,FALSE()),"Other"))</f>
        <v>M-Pesa</v>
      </c>
      <c r="J1585" s="36" t="str">
        <f aca="false">IF(Raw_Export!$A1585="","",IF(COUNTIF($A$2:A1585,A1585)&gt;1,"Duplicate",""))</f>
        <v/>
      </c>
      <c r="K1585" s="36" t="str">
        <f aca="false">IF(Raw_Export!$A1585="","",IF(J1585="Duplicate","Duplicate",IF(OR(C1585="UNMAPPED",D1585="UNMAPPED"),"Unmapped",IF(F1585=0,"Blank qty",IF(F1585&lt;0,"Return","OK")))))</f>
        <v>OK</v>
      </c>
      <c r="L1585" s="36" t="n">
        <f aca="false">IF(Raw_Export!$A1585="","",IF(OR(K1585="OK",K1585="Return"),1,0))</f>
        <v>1</v>
      </c>
      <c r="M1585" s="37" t="n">
        <f aca="false">IF(Raw_Export!$A1585="","",B1585-WEEKDAY(B1585,2)+1)</f>
        <v>46272</v>
      </c>
    </row>
    <row r="1586" customFormat="false" ht="15" hidden="false" customHeight="false" outlineLevel="0" collapsed="false">
      <c r="A1586" s="36" t="str">
        <f aca="false">IF(Raw_Export!$A1586="","",TRIM(Raw_Export!A1586))</f>
        <v>TXN-101552</v>
      </c>
      <c r="B1586" s="37" t="n">
        <f aca="false">IF(Raw_Export!$A1586="","",IF(ISNUMBER(Raw_Export!B1586),Raw_Export!B1586,IF(MID(TRIM(Raw_Export!B1586),5,1)="-",DATE(LEFT(TRIM(Raw_Export!B1586),4),MID(TRIM(Raw_Export!B1586),6,2),RIGHT(TRIM(Raw_Export!B1586),2)),DATE(RIGHT(TRIM(Raw_Export!B1586),4),MATCH(MID(TRIM(Raw_Export!B1586),4,3),{"Jan","Feb","Mar","Apr","May","Jun","Jul","Aug","Sep","Oct","Nov","Dec"},0),LEFT(TRIM(Raw_Export!B1586),2)))))</f>
        <v>46275</v>
      </c>
      <c r="C1586" s="36" t="str">
        <f aca="false">IF(Raw_Export!$A1586="","",IFERROR(VLOOKUP(LOWER(TRIM(Raw_Export!C1586)),Maps!$A$2:$B$20,2,FALSE()),"UNMAPPED"))</f>
        <v>Mombasa</v>
      </c>
      <c r="D1586" s="36" t="str">
        <f aca="false">IF(Raw_Export!$A1586="","",IFERROR(VLOOKUP(LOWER(TRIM(Raw_Export!D1586)),Maps!$G$2:$I$80,2,FALSE()),"UNMAPPED"))</f>
        <v>Yoghurt 500ml</v>
      </c>
      <c r="E1586" s="36" t="str">
        <f aca="false">IF(Raw_Export!$A1586="","",IFERROR(VLOOKUP(LOWER(TRIM(Raw_Export!D1586)),Maps!$G$2:$I$80,3,FALSE()),"UNMAPPED"))</f>
        <v>Dairy &amp; Eggs</v>
      </c>
      <c r="F1586" s="36" t="n">
        <f aca="false">IF(Raw_Export!$A1586="","",IFERROR(VALUE(TRIM(Raw_Export!E1586)),0))</f>
        <v>6</v>
      </c>
      <c r="G1586" s="38" t="n">
        <f aca="false">IF(Raw_Export!$A1586="","",IFERROR(VALUE(SUBSTITUTE(SUBSTITUTE(UPPER(TRIM(Raw_Export!F1586)),"KES",""),",","")),0))</f>
        <v>120</v>
      </c>
      <c r="H1586" s="38" t="n">
        <f aca="false">IF(Raw_Export!$A1586="","",F1586*G1586)</f>
        <v>720</v>
      </c>
      <c r="I1586" s="36" t="str">
        <f aca="false">IF(Raw_Export!$A1586="","",IFERROR(VLOOKUP(LOWER(TRIM(Raw_Export!H1586)),Maps!$D$2:$E$12,2,FALSE()),"Other"))</f>
        <v>Cash</v>
      </c>
      <c r="J1586" s="36" t="str">
        <f aca="false">IF(Raw_Export!$A1586="","",IF(COUNTIF($A$2:A1586,A1586)&gt;1,"Duplicate",""))</f>
        <v/>
      </c>
      <c r="K1586" s="36" t="str">
        <f aca="false">IF(Raw_Export!$A1586="","",IF(J1586="Duplicate","Duplicate",IF(OR(C1586="UNMAPPED",D1586="UNMAPPED"),"Unmapped",IF(F1586=0,"Blank qty",IF(F1586&lt;0,"Return","OK")))))</f>
        <v>OK</v>
      </c>
      <c r="L1586" s="36" t="n">
        <f aca="false">IF(Raw_Export!$A1586="","",IF(OR(K1586="OK",K1586="Return"),1,0))</f>
        <v>1</v>
      </c>
      <c r="M1586" s="37" t="n">
        <f aca="false">IF(Raw_Export!$A1586="","",B1586-WEEKDAY(B1586,2)+1)</f>
        <v>46272</v>
      </c>
    </row>
    <row r="1587" customFormat="false" ht="15" hidden="false" customHeight="false" outlineLevel="0" collapsed="false">
      <c r="A1587" s="36" t="str">
        <f aca="false">IF(Raw_Export!$A1587="","",TRIM(Raw_Export!A1587))</f>
        <v>TXN-101553</v>
      </c>
      <c r="B1587" s="37" t="n">
        <f aca="false">IF(Raw_Export!$A1587="","",IF(ISNUMBER(Raw_Export!B1587),Raw_Export!B1587,IF(MID(TRIM(Raw_Export!B1587),5,1)="-",DATE(LEFT(TRIM(Raw_Export!B1587),4),MID(TRIM(Raw_Export!B1587),6,2),RIGHT(TRIM(Raw_Export!B1587),2)),DATE(RIGHT(TRIM(Raw_Export!B1587),4),MATCH(MID(TRIM(Raw_Export!B1587),4,3),{"Jan","Feb","Mar","Apr","May","Jun","Jul","Aug","Sep","Oct","Nov","Dec"},0),LEFT(TRIM(Raw_Export!B1587),2)))))</f>
        <v>46275</v>
      </c>
      <c r="C1587" s="36" t="str">
        <f aca="false">IF(Raw_Export!$A1587="","",IFERROR(VLOOKUP(LOWER(TRIM(Raw_Export!C1587)),Maps!$A$2:$B$20,2,FALSE()),"UNMAPPED"))</f>
        <v>Mombasa</v>
      </c>
      <c r="D1587" s="36" t="str">
        <f aca="false">IF(Raw_Export!$A1587="","",IFERROR(VLOOKUP(LOWER(TRIM(Raw_Export!D1587)),Maps!$G$2:$I$80,2,FALSE()),"UNMAPPED"))</f>
        <v>Bottled Water 1.5L</v>
      </c>
      <c r="E1587" s="36" t="str">
        <f aca="false">IF(Raw_Export!$A1587="","",IFERROR(VLOOKUP(LOWER(TRIM(Raw_Export!D1587)),Maps!$G$2:$I$80,3,FALSE()),"UNMAPPED"))</f>
        <v>Beverages</v>
      </c>
      <c r="F1587" s="36" t="n">
        <f aca="false">IF(Raw_Export!$A1587="","",IFERROR(VALUE(TRIM(Raw_Export!E1587)),0))</f>
        <v>2</v>
      </c>
      <c r="G1587" s="38" t="n">
        <f aca="false">IF(Raw_Export!$A1587="","",IFERROR(VALUE(SUBSTITUTE(SUBSTITUTE(UPPER(TRIM(Raw_Export!F1587)),"KES",""),",","")),0))</f>
        <v>90</v>
      </c>
      <c r="H1587" s="38" t="n">
        <f aca="false">IF(Raw_Export!$A1587="","",F1587*G1587)</f>
        <v>180</v>
      </c>
      <c r="I1587" s="36" t="str">
        <f aca="false">IF(Raw_Export!$A1587="","",IFERROR(VLOOKUP(LOWER(TRIM(Raw_Export!H1587)),Maps!$D$2:$E$12,2,FALSE()),"Other"))</f>
        <v>Card</v>
      </c>
      <c r="J1587" s="36" t="str">
        <f aca="false">IF(Raw_Export!$A1587="","",IF(COUNTIF($A$2:A1587,A1587)&gt;1,"Duplicate",""))</f>
        <v/>
      </c>
      <c r="K1587" s="36" t="str">
        <f aca="false">IF(Raw_Export!$A1587="","",IF(J1587="Duplicate","Duplicate",IF(OR(C1587="UNMAPPED",D1587="UNMAPPED"),"Unmapped",IF(F1587=0,"Blank qty",IF(F1587&lt;0,"Return","OK")))))</f>
        <v>OK</v>
      </c>
      <c r="L1587" s="36" t="n">
        <f aca="false">IF(Raw_Export!$A1587="","",IF(OR(K1587="OK",K1587="Return"),1,0))</f>
        <v>1</v>
      </c>
      <c r="M1587" s="37" t="n">
        <f aca="false">IF(Raw_Export!$A1587="","",B1587-WEEKDAY(B1587,2)+1)</f>
        <v>46272</v>
      </c>
    </row>
    <row r="1588" customFormat="false" ht="15" hidden="false" customHeight="false" outlineLevel="0" collapsed="false">
      <c r="A1588" s="36" t="str">
        <f aca="false">IF(Raw_Export!$A1588="","",TRIM(Raw_Export!A1588))</f>
        <v>TXN-101554</v>
      </c>
      <c r="B1588" s="37" t="n">
        <f aca="false">IF(Raw_Export!$A1588="","",IF(ISNUMBER(Raw_Export!B1588),Raw_Export!B1588,IF(MID(TRIM(Raw_Export!B1588),5,1)="-",DATE(LEFT(TRIM(Raw_Export!B1588),4),MID(TRIM(Raw_Export!B1588),6,2),RIGHT(TRIM(Raw_Export!B1588),2)),DATE(RIGHT(TRIM(Raw_Export!B1588),4),MATCH(MID(TRIM(Raw_Export!B1588),4,3),{"Jan","Feb","Mar","Apr","May","Jun","Jul","Aug","Sep","Oct","Nov","Dec"},0),LEFT(TRIM(Raw_Export!B1588),2)))))</f>
        <v>46275</v>
      </c>
      <c r="C1588" s="36" t="str">
        <f aca="false">IF(Raw_Export!$A1588="","",IFERROR(VLOOKUP(LOWER(TRIM(Raw_Export!C1588)),Maps!$A$2:$B$20,2,FALSE()),"UNMAPPED"))</f>
        <v>Mombasa</v>
      </c>
      <c r="D1588" s="36" t="str">
        <f aca="false">IF(Raw_Export!$A1588="","",IFERROR(VLOOKUP(LOWER(TRIM(Raw_Export!D1588)),Maps!$G$2:$I$80,2,FALSE()),"UNMAPPED"))</f>
        <v>Soda 500ml</v>
      </c>
      <c r="E1588" s="36" t="str">
        <f aca="false">IF(Raw_Export!$A1588="","",IFERROR(VLOOKUP(LOWER(TRIM(Raw_Export!D1588)),Maps!$G$2:$I$80,3,FALSE()),"UNMAPPED"))</f>
        <v>Beverages</v>
      </c>
      <c r="F1588" s="36" t="n">
        <f aca="false">IF(Raw_Export!$A1588="","",IFERROR(VALUE(TRIM(Raw_Export!E1588)),0))</f>
        <v>1</v>
      </c>
      <c r="G1588" s="38" t="n">
        <f aca="false">IF(Raw_Export!$A1588="","",IFERROR(VALUE(SUBSTITUTE(SUBSTITUTE(UPPER(TRIM(Raw_Export!F1588)),"KES",""),",","")),0))</f>
        <v>60</v>
      </c>
      <c r="H1588" s="38" t="n">
        <f aca="false">IF(Raw_Export!$A1588="","",F1588*G1588)</f>
        <v>60</v>
      </c>
      <c r="I1588" s="36" t="str">
        <f aca="false">IF(Raw_Export!$A1588="","",IFERROR(VLOOKUP(LOWER(TRIM(Raw_Export!H1588)),Maps!$D$2:$E$12,2,FALSE()),"Other"))</f>
        <v>Card</v>
      </c>
      <c r="J1588" s="36" t="str">
        <f aca="false">IF(Raw_Export!$A1588="","",IF(COUNTIF($A$2:A1588,A1588)&gt;1,"Duplicate",""))</f>
        <v/>
      </c>
      <c r="K1588" s="36" t="str">
        <f aca="false">IF(Raw_Export!$A1588="","",IF(J1588="Duplicate","Duplicate",IF(OR(C1588="UNMAPPED",D1588="UNMAPPED"),"Unmapped",IF(F1588=0,"Blank qty",IF(F1588&lt;0,"Return","OK")))))</f>
        <v>OK</v>
      </c>
      <c r="L1588" s="36" t="n">
        <f aca="false">IF(Raw_Export!$A1588="","",IF(OR(K1588="OK",K1588="Return"),1,0))</f>
        <v>1</v>
      </c>
      <c r="M1588" s="37" t="n">
        <f aca="false">IF(Raw_Export!$A1588="","",B1588-WEEKDAY(B1588,2)+1)</f>
        <v>46272</v>
      </c>
    </row>
    <row r="1589" customFormat="false" ht="15" hidden="false" customHeight="false" outlineLevel="0" collapsed="false">
      <c r="A1589" s="36" t="str">
        <f aca="false">IF(Raw_Export!$A1589="","",TRIM(Raw_Export!A1589))</f>
        <v>TXN-101555</v>
      </c>
      <c r="B1589" s="37" t="n">
        <f aca="false">IF(Raw_Export!$A1589="","",IF(ISNUMBER(Raw_Export!B1589),Raw_Export!B1589,IF(MID(TRIM(Raw_Export!B1589),5,1)="-",DATE(LEFT(TRIM(Raw_Export!B1589),4),MID(TRIM(Raw_Export!B1589),6,2),RIGHT(TRIM(Raw_Export!B1589),2)),DATE(RIGHT(TRIM(Raw_Export!B1589),4),MATCH(MID(TRIM(Raw_Export!B1589),4,3),{"Jan","Feb","Mar","Apr","May","Jun","Jul","Aug","Sep","Oct","Nov","Dec"},0),LEFT(TRIM(Raw_Export!B1589),2)))))</f>
        <v>46275</v>
      </c>
      <c r="C1589" s="36" t="str">
        <f aca="false">IF(Raw_Export!$A1589="","",IFERROR(VLOOKUP(LOWER(TRIM(Raw_Export!C1589)),Maps!$A$2:$B$20,2,FALSE()),"UNMAPPED"))</f>
        <v>Kisumu</v>
      </c>
      <c r="D1589" s="36" t="str">
        <f aca="false">IF(Raw_Export!$A1589="","",IFERROR(VLOOKUP(LOWER(TRIM(Raw_Export!D1589)),Maps!$G$2:$I$80,2,FALSE()),"UNMAPPED"))</f>
        <v>Soda 500ml</v>
      </c>
      <c r="E1589" s="36" t="str">
        <f aca="false">IF(Raw_Export!$A1589="","",IFERROR(VLOOKUP(LOWER(TRIM(Raw_Export!D1589)),Maps!$G$2:$I$80,3,FALSE()),"UNMAPPED"))</f>
        <v>Beverages</v>
      </c>
      <c r="F1589" s="36" t="n">
        <f aca="false">IF(Raw_Export!$A1589="","",IFERROR(VALUE(TRIM(Raw_Export!E1589)),0))</f>
        <v>1</v>
      </c>
      <c r="G1589" s="38" t="n">
        <f aca="false">IF(Raw_Export!$A1589="","",IFERROR(VALUE(SUBSTITUTE(SUBSTITUTE(UPPER(TRIM(Raw_Export!F1589)),"KES",""),",","")),0))</f>
        <v>60</v>
      </c>
      <c r="H1589" s="38" t="n">
        <f aca="false">IF(Raw_Export!$A1589="","",F1589*G1589)</f>
        <v>60</v>
      </c>
      <c r="I1589" s="36" t="str">
        <f aca="false">IF(Raw_Export!$A1589="","",IFERROR(VLOOKUP(LOWER(TRIM(Raw_Export!H1589)),Maps!$D$2:$E$12,2,FALSE()),"Other"))</f>
        <v>M-Pesa</v>
      </c>
      <c r="J1589" s="36" t="str">
        <f aca="false">IF(Raw_Export!$A1589="","",IF(COUNTIF($A$2:A1589,A1589)&gt;1,"Duplicate",""))</f>
        <v/>
      </c>
      <c r="K1589" s="36" t="str">
        <f aca="false">IF(Raw_Export!$A1589="","",IF(J1589="Duplicate","Duplicate",IF(OR(C1589="UNMAPPED",D1589="UNMAPPED"),"Unmapped",IF(F1589=0,"Blank qty",IF(F1589&lt;0,"Return","OK")))))</f>
        <v>OK</v>
      </c>
      <c r="L1589" s="36" t="n">
        <f aca="false">IF(Raw_Export!$A1589="","",IF(OR(K1589="OK",K1589="Return"),1,0))</f>
        <v>1</v>
      </c>
      <c r="M1589" s="37" t="n">
        <f aca="false">IF(Raw_Export!$A1589="","",B1589-WEEKDAY(B1589,2)+1)</f>
        <v>46272</v>
      </c>
    </row>
    <row r="1590" customFormat="false" ht="15" hidden="false" customHeight="false" outlineLevel="0" collapsed="false">
      <c r="A1590" s="36" t="str">
        <f aca="false">IF(Raw_Export!$A1590="","",TRIM(Raw_Export!A1590))</f>
        <v>TXN-101556</v>
      </c>
      <c r="B1590" s="37" t="n">
        <f aca="false">IF(Raw_Export!$A1590="","",IF(ISNUMBER(Raw_Export!B1590),Raw_Export!B1590,IF(MID(TRIM(Raw_Export!B1590),5,1)="-",DATE(LEFT(TRIM(Raw_Export!B1590),4),MID(TRIM(Raw_Export!B1590),6,2),RIGHT(TRIM(Raw_Export!B1590),2)),DATE(RIGHT(TRIM(Raw_Export!B1590),4),MATCH(MID(TRIM(Raw_Export!B1590),4,3),{"Jan","Feb","Mar","Apr","May","Jun","Jul","Aug","Sep","Oct","Nov","Dec"},0),LEFT(TRIM(Raw_Export!B1590),2)))))</f>
        <v>46275</v>
      </c>
      <c r="C1590" s="36" t="str">
        <f aca="false">IF(Raw_Export!$A1590="","",IFERROR(VLOOKUP(LOWER(TRIM(Raw_Export!C1590)),Maps!$A$2:$B$20,2,FALSE()),"UNMAPPED"))</f>
        <v>Kisumu</v>
      </c>
      <c r="D1590" s="36" t="str">
        <f aca="false">IF(Raw_Export!$A1590="","",IFERROR(VLOOKUP(LOWER(TRIM(Raw_Export!D1590)),Maps!$G$2:$I$80,2,FALSE()),"UNMAPPED"))</f>
        <v>Fresh Milk 500ml</v>
      </c>
      <c r="E1590" s="36" t="str">
        <f aca="false">IF(Raw_Export!$A1590="","",IFERROR(VLOOKUP(LOWER(TRIM(Raw_Export!D1590)),Maps!$G$2:$I$80,3,FALSE()),"UNMAPPED"))</f>
        <v>Dairy &amp; Eggs</v>
      </c>
      <c r="F1590" s="36" t="n">
        <f aca="false">IF(Raw_Export!$A1590="","",IFERROR(VALUE(TRIM(Raw_Export!E1590)),0))</f>
        <v>1</v>
      </c>
      <c r="G1590" s="38" t="n">
        <f aca="false">IF(Raw_Export!$A1590="","",IFERROR(VALUE(SUBSTITUTE(SUBSTITUTE(UPPER(TRIM(Raw_Export!F1590)),"KES",""),",","")),0))</f>
        <v>65</v>
      </c>
      <c r="H1590" s="38" t="n">
        <f aca="false">IF(Raw_Export!$A1590="","",F1590*G1590)</f>
        <v>65</v>
      </c>
      <c r="I1590" s="36" t="str">
        <f aca="false">IF(Raw_Export!$A1590="","",IFERROR(VLOOKUP(LOWER(TRIM(Raw_Export!H1590)),Maps!$D$2:$E$12,2,FALSE()),"Other"))</f>
        <v>M-Pesa</v>
      </c>
      <c r="J1590" s="36" t="str">
        <f aca="false">IF(Raw_Export!$A1590="","",IF(COUNTIF($A$2:A1590,A1590)&gt;1,"Duplicate",""))</f>
        <v/>
      </c>
      <c r="K1590" s="36" t="str">
        <f aca="false">IF(Raw_Export!$A1590="","",IF(J1590="Duplicate","Duplicate",IF(OR(C1590="UNMAPPED",D1590="UNMAPPED"),"Unmapped",IF(F1590=0,"Blank qty",IF(F1590&lt;0,"Return","OK")))))</f>
        <v>OK</v>
      </c>
      <c r="L1590" s="36" t="n">
        <f aca="false">IF(Raw_Export!$A1590="","",IF(OR(K1590="OK",K1590="Return"),1,0))</f>
        <v>1</v>
      </c>
      <c r="M1590" s="37" t="n">
        <f aca="false">IF(Raw_Export!$A1590="","",B1590-WEEKDAY(B1590,2)+1)</f>
        <v>46272</v>
      </c>
    </row>
    <row r="1591" customFormat="false" ht="15" hidden="false" customHeight="false" outlineLevel="0" collapsed="false">
      <c r="A1591" s="36" t="str">
        <f aca="false">IF(Raw_Export!$A1591="","",TRIM(Raw_Export!A1591))</f>
        <v>TXN-101557</v>
      </c>
      <c r="B1591" s="37" t="n">
        <f aca="false">IF(Raw_Export!$A1591="","",IF(ISNUMBER(Raw_Export!B1591),Raw_Export!B1591,IF(MID(TRIM(Raw_Export!B1591),5,1)="-",DATE(LEFT(TRIM(Raw_Export!B1591),4),MID(TRIM(Raw_Export!B1591),6,2),RIGHT(TRIM(Raw_Export!B1591),2)),DATE(RIGHT(TRIM(Raw_Export!B1591),4),MATCH(MID(TRIM(Raw_Export!B1591),4,3),{"Jan","Feb","Mar","Apr","May","Jun","Jul","Aug","Sep","Oct","Nov","Dec"},0),LEFT(TRIM(Raw_Export!B1591),2)))))</f>
        <v>46275</v>
      </c>
      <c r="C1591" s="36" t="str">
        <f aca="false">IF(Raw_Export!$A1591="","",IFERROR(VLOOKUP(LOWER(TRIM(Raw_Export!C1591)),Maps!$A$2:$B$20,2,FALSE()),"UNMAPPED"))</f>
        <v>Kisumu</v>
      </c>
      <c r="D1591" s="36" t="str">
        <f aca="false">IF(Raw_Export!$A1591="","",IFERROR(VLOOKUP(LOWER(TRIM(Raw_Export!D1591)),Maps!$G$2:$I$80,2,FALSE()),"UNMAPPED"))</f>
        <v>Bath Soap 175g</v>
      </c>
      <c r="E1591" s="36" t="str">
        <f aca="false">IF(Raw_Export!$A1591="","",IFERROR(VLOOKUP(LOWER(TRIM(Raw_Export!D1591)),Maps!$G$2:$I$80,3,FALSE()),"UNMAPPED"))</f>
        <v>Personal Care</v>
      </c>
      <c r="F1591" s="36" t="n">
        <f aca="false">IF(Raw_Export!$A1591="","",IFERROR(VALUE(TRIM(Raw_Export!E1591)),0))</f>
        <v>2</v>
      </c>
      <c r="G1591" s="38" t="n">
        <f aca="false">IF(Raw_Export!$A1591="","",IFERROR(VALUE(SUBSTITUTE(SUBSTITUTE(UPPER(TRIM(Raw_Export!F1591)),"KES",""),",","")),0))</f>
        <v>85</v>
      </c>
      <c r="H1591" s="38" t="n">
        <f aca="false">IF(Raw_Export!$A1591="","",F1591*G1591)</f>
        <v>170</v>
      </c>
      <c r="I1591" s="36" t="str">
        <f aca="false">IF(Raw_Export!$A1591="","",IFERROR(VLOOKUP(LOWER(TRIM(Raw_Export!H1591)),Maps!$D$2:$E$12,2,FALSE()),"Other"))</f>
        <v>Cash</v>
      </c>
      <c r="J1591" s="36" t="str">
        <f aca="false">IF(Raw_Export!$A1591="","",IF(COUNTIF($A$2:A1591,A1591)&gt;1,"Duplicate",""))</f>
        <v/>
      </c>
      <c r="K1591" s="36" t="str">
        <f aca="false">IF(Raw_Export!$A1591="","",IF(J1591="Duplicate","Duplicate",IF(OR(C1591="UNMAPPED",D1591="UNMAPPED"),"Unmapped",IF(F1591=0,"Blank qty",IF(F1591&lt;0,"Return","OK")))))</f>
        <v>OK</v>
      </c>
      <c r="L1591" s="36" t="n">
        <f aca="false">IF(Raw_Export!$A1591="","",IF(OR(K1591="OK",K1591="Return"),1,0))</f>
        <v>1</v>
      </c>
      <c r="M1591" s="37" t="n">
        <f aca="false">IF(Raw_Export!$A1591="","",B1591-WEEKDAY(B1591,2)+1)</f>
        <v>46272</v>
      </c>
    </row>
    <row r="1592" customFormat="false" ht="15" hidden="false" customHeight="false" outlineLevel="0" collapsed="false">
      <c r="A1592" s="36" t="str">
        <f aca="false">IF(Raw_Export!$A1592="","",TRIM(Raw_Export!A1592))</f>
        <v>TXN-101558</v>
      </c>
      <c r="B1592" s="37" t="n">
        <f aca="false">IF(Raw_Export!$A1592="","",IF(ISNUMBER(Raw_Export!B1592),Raw_Export!B1592,IF(MID(TRIM(Raw_Export!B1592),5,1)="-",DATE(LEFT(TRIM(Raw_Export!B1592),4),MID(TRIM(Raw_Export!B1592),6,2),RIGHT(TRIM(Raw_Export!B1592),2)),DATE(RIGHT(TRIM(Raw_Export!B1592),4),MATCH(MID(TRIM(Raw_Export!B1592),4,3),{"Jan","Feb","Mar","Apr","May","Jun","Jul","Aug","Sep","Oct","Nov","Dec"},0),LEFT(TRIM(Raw_Export!B1592),2)))))</f>
        <v>46275</v>
      </c>
      <c r="C1592" s="36" t="str">
        <f aca="false">IF(Raw_Export!$A1592="","",IFERROR(VLOOKUP(LOWER(TRIM(Raw_Export!C1592)),Maps!$A$2:$B$20,2,FALSE()),"UNMAPPED"))</f>
        <v>Kisumu</v>
      </c>
      <c r="D1592" s="36" t="str">
        <f aca="false">IF(Raw_Export!$A1592="","",IFERROR(VLOOKUP(LOWER(TRIM(Raw_Export!D1592)),Maps!$G$2:$I$80,2,FALSE()),"UNMAPPED"))</f>
        <v>Sugar 2kg</v>
      </c>
      <c r="E1592" s="36" t="str">
        <f aca="false">IF(Raw_Export!$A1592="","",IFERROR(VLOOKUP(LOWER(TRIM(Raw_Export!D1592)),Maps!$G$2:$I$80,3,FALSE()),"UNMAPPED"))</f>
        <v>Staples</v>
      </c>
      <c r="F1592" s="36" t="n">
        <f aca="false">IF(Raw_Export!$A1592="","",IFERROR(VALUE(TRIM(Raw_Export!E1592)),0))</f>
        <v>1</v>
      </c>
      <c r="G1592" s="38" t="n">
        <f aca="false">IF(Raw_Export!$A1592="","",IFERROR(VALUE(SUBSTITUTE(SUBSTITUTE(UPPER(TRIM(Raw_Export!F1592)),"KES",""),",","")),0))</f>
        <v>330</v>
      </c>
      <c r="H1592" s="38" t="n">
        <f aca="false">IF(Raw_Export!$A1592="","",F1592*G1592)</f>
        <v>330</v>
      </c>
      <c r="I1592" s="36" t="str">
        <f aca="false">IF(Raw_Export!$A1592="","",IFERROR(VLOOKUP(LOWER(TRIM(Raw_Export!H1592)),Maps!$D$2:$E$12,2,FALSE()),"Other"))</f>
        <v>M-Pesa</v>
      </c>
      <c r="J1592" s="36" t="str">
        <f aca="false">IF(Raw_Export!$A1592="","",IF(COUNTIF($A$2:A1592,A1592)&gt;1,"Duplicate",""))</f>
        <v/>
      </c>
      <c r="K1592" s="36" t="str">
        <f aca="false">IF(Raw_Export!$A1592="","",IF(J1592="Duplicate","Duplicate",IF(OR(C1592="UNMAPPED",D1592="UNMAPPED"),"Unmapped",IF(F1592=0,"Blank qty",IF(F1592&lt;0,"Return","OK")))))</f>
        <v>OK</v>
      </c>
      <c r="L1592" s="36" t="n">
        <f aca="false">IF(Raw_Export!$A1592="","",IF(OR(K1592="OK",K1592="Return"),1,0))</f>
        <v>1</v>
      </c>
      <c r="M1592" s="37" t="n">
        <f aca="false">IF(Raw_Export!$A1592="","",B1592-WEEKDAY(B1592,2)+1)</f>
        <v>46272</v>
      </c>
    </row>
    <row r="1593" customFormat="false" ht="15" hidden="false" customHeight="false" outlineLevel="0" collapsed="false">
      <c r="A1593" s="36" t="str">
        <f aca="false">IF(Raw_Export!$A1593="","",TRIM(Raw_Export!A1593))</f>
        <v>TXN-101559</v>
      </c>
      <c r="B1593" s="37" t="n">
        <f aca="false">IF(Raw_Export!$A1593="","",IF(ISNUMBER(Raw_Export!B1593),Raw_Export!B1593,IF(MID(TRIM(Raw_Export!B1593),5,1)="-",DATE(LEFT(TRIM(Raw_Export!B1593),4),MID(TRIM(Raw_Export!B1593),6,2),RIGHT(TRIM(Raw_Export!B1593),2)),DATE(RIGHT(TRIM(Raw_Export!B1593),4),MATCH(MID(TRIM(Raw_Export!B1593),4,3),{"Jan","Feb","Mar","Apr","May","Jun","Jul","Aug","Sep","Oct","Nov","Dec"},0),LEFT(TRIM(Raw_Export!B1593),2)))))</f>
        <v>46275</v>
      </c>
      <c r="C1593" s="36" t="str">
        <f aca="false">IF(Raw_Export!$A1593="","",IFERROR(VLOOKUP(LOWER(TRIM(Raw_Export!C1593)),Maps!$A$2:$B$20,2,FALSE()),"UNMAPPED"))</f>
        <v>Kisumu</v>
      </c>
      <c r="D1593" s="36" t="str">
        <f aca="false">IF(Raw_Export!$A1593="","",IFERROR(VLOOKUP(LOWER(TRIM(Raw_Export!D1593)),Maps!$G$2:$I$80,2,FALSE()),"UNMAPPED"))</f>
        <v>Deodorant 150ml</v>
      </c>
      <c r="E1593" s="36" t="str">
        <f aca="false">IF(Raw_Export!$A1593="","",IFERROR(VLOOKUP(LOWER(TRIM(Raw_Export!D1593)),Maps!$G$2:$I$80,3,FALSE()),"UNMAPPED"))</f>
        <v>Personal Care</v>
      </c>
      <c r="F1593" s="36" t="n">
        <f aca="false">IF(Raw_Export!$A1593="","",IFERROR(VALUE(TRIM(Raw_Export!E1593)),0))</f>
        <v>4</v>
      </c>
      <c r="G1593" s="38" t="n">
        <f aca="false">IF(Raw_Export!$A1593="","",IFERROR(VALUE(SUBSTITUTE(SUBSTITUTE(UPPER(TRIM(Raw_Export!F1593)),"KES",""),",","")),0))</f>
        <v>350</v>
      </c>
      <c r="H1593" s="38" t="n">
        <f aca="false">IF(Raw_Export!$A1593="","",F1593*G1593)</f>
        <v>1400</v>
      </c>
      <c r="I1593" s="36" t="str">
        <f aca="false">IF(Raw_Export!$A1593="","",IFERROR(VLOOKUP(LOWER(TRIM(Raw_Export!H1593)),Maps!$D$2:$E$12,2,FALSE()),"Other"))</f>
        <v>M-Pesa</v>
      </c>
      <c r="J1593" s="36" t="str">
        <f aca="false">IF(Raw_Export!$A1593="","",IF(COUNTIF($A$2:A1593,A1593)&gt;1,"Duplicate",""))</f>
        <v/>
      </c>
      <c r="K1593" s="36" t="str">
        <f aca="false">IF(Raw_Export!$A1593="","",IF(J1593="Duplicate","Duplicate",IF(OR(C1593="UNMAPPED",D1593="UNMAPPED"),"Unmapped",IF(F1593=0,"Blank qty",IF(F1593&lt;0,"Return","OK")))))</f>
        <v>OK</v>
      </c>
      <c r="L1593" s="36" t="n">
        <f aca="false">IF(Raw_Export!$A1593="","",IF(OR(K1593="OK",K1593="Return"),1,0))</f>
        <v>1</v>
      </c>
      <c r="M1593" s="37" t="n">
        <f aca="false">IF(Raw_Export!$A1593="","",B1593-WEEKDAY(B1593,2)+1)</f>
        <v>46272</v>
      </c>
    </row>
    <row r="1594" customFormat="false" ht="15" hidden="false" customHeight="false" outlineLevel="0" collapsed="false">
      <c r="A1594" s="36" t="str">
        <f aca="false">IF(Raw_Export!$A1594="","",TRIM(Raw_Export!A1594))</f>
        <v>TXN-101560</v>
      </c>
      <c r="B1594" s="37" t="n">
        <f aca="false">IF(Raw_Export!$A1594="","",IF(ISNUMBER(Raw_Export!B1594),Raw_Export!B1594,IF(MID(TRIM(Raw_Export!B1594),5,1)="-",DATE(LEFT(TRIM(Raw_Export!B1594),4),MID(TRIM(Raw_Export!B1594),6,2),RIGHT(TRIM(Raw_Export!B1594),2)),DATE(RIGHT(TRIM(Raw_Export!B1594),4),MATCH(MID(TRIM(Raw_Export!B1594),4,3),{"Jan","Feb","Mar","Apr","May","Jun","Jul","Aug","Sep","Oct","Nov","Dec"},0),LEFT(TRIM(Raw_Export!B1594),2)))))</f>
        <v>46275</v>
      </c>
      <c r="C1594" s="36" t="str">
        <f aca="false">IF(Raw_Export!$A1594="","",IFERROR(VLOOKUP(LOWER(TRIM(Raw_Export!C1594)),Maps!$A$2:$B$20,2,FALSE()),"UNMAPPED"))</f>
        <v>Kisumu</v>
      </c>
      <c r="D1594" s="36" t="str">
        <f aca="false">IF(Raw_Export!$A1594="","",IFERROR(VLOOKUP(LOWER(TRIM(Raw_Export!D1594)),Maps!$G$2:$I$80,2,FALSE()),"UNMAPPED"))</f>
        <v>Soda 500ml</v>
      </c>
      <c r="E1594" s="36" t="str">
        <f aca="false">IF(Raw_Export!$A1594="","",IFERROR(VLOOKUP(LOWER(TRIM(Raw_Export!D1594)),Maps!$G$2:$I$80,3,FALSE()),"UNMAPPED"))</f>
        <v>Beverages</v>
      </c>
      <c r="F1594" s="36" t="n">
        <f aca="false">IF(Raw_Export!$A1594="","",IFERROR(VALUE(TRIM(Raw_Export!E1594)),0))</f>
        <v>2</v>
      </c>
      <c r="G1594" s="38" t="n">
        <f aca="false">IF(Raw_Export!$A1594="","",IFERROR(VALUE(SUBSTITUTE(SUBSTITUTE(UPPER(TRIM(Raw_Export!F1594)),"KES",""),",","")),0))</f>
        <v>54</v>
      </c>
      <c r="H1594" s="38" t="n">
        <f aca="false">IF(Raw_Export!$A1594="","",F1594*G1594)</f>
        <v>108</v>
      </c>
      <c r="I1594" s="36" t="str">
        <f aca="false">IF(Raw_Export!$A1594="","",IFERROR(VLOOKUP(LOWER(TRIM(Raw_Export!H1594)),Maps!$D$2:$E$12,2,FALSE()),"Other"))</f>
        <v>Cash</v>
      </c>
      <c r="J1594" s="36" t="str">
        <f aca="false">IF(Raw_Export!$A1594="","",IF(COUNTIF($A$2:A1594,A1594)&gt;1,"Duplicate",""))</f>
        <v/>
      </c>
      <c r="K1594" s="36" t="str">
        <f aca="false">IF(Raw_Export!$A1594="","",IF(J1594="Duplicate","Duplicate",IF(OR(C1594="UNMAPPED",D1594="UNMAPPED"),"Unmapped",IF(F1594=0,"Blank qty",IF(F1594&lt;0,"Return","OK")))))</f>
        <v>OK</v>
      </c>
      <c r="L1594" s="36" t="n">
        <f aca="false">IF(Raw_Export!$A1594="","",IF(OR(K1594="OK",K1594="Return"),1,0))</f>
        <v>1</v>
      </c>
      <c r="M1594" s="37" t="n">
        <f aca="false">IF(Raw_Export!$A1594="","",B1594-WEEKDAY(B1594,2)+1)</f>
        <v>46272</v>
      </c>
    </row>
    <row r="1595" customFormat="false" ht="15" hidden="false" customHeight="false" outlineLevel="0" collapsed="false">
      <c r="A1595" s="36" t="str">
        <f aca="false">IF(Raw_Export!$A1595="","",TRIM(Raw_Export!A1595))</f>
        <v>TXN-101561</v>
      </c>
      <c r="B1595" s="37" t="n">
        <f aca="false">IF(Raw_Export!$A1595="","",IF(ISNUMBER(Raw_Export!B1595),Raw_Export!B1595,IF(MID(TRIM(Raw_Export!B1595),5,1)="-",DATE(LEFT(TRIM(Raw_Export!B1595),4),MID(TRIM(Raw_Export!B1595),6,2),RIGHT(TRIM(Raw_Export!B1595),2)),DATE(RIGHT(TRIM(Raw_Export!B1595),4),MATCH(MID(TRIM(Raw_Export!B1595),4,3),{"Jan","Feb","Mar","Apr","May","Jun","Jul","Aug","Sep","Oct","Nov","Dec"},0),LEFT(TRIM(Raw_Export!B1595),2)))))</f>
        <v>46275</v>
      </c>
      <c r="C1595" s="36" t="str">
        <f aca="false">IF(Raw_Export!$A1595="","",IFERROR(VLOOKUP(LOWER(TRIM(Raw_Export!C1595)),Maps!$A$2:$B$20,2,FALSE()),"UNMAPPED"))</f>
        <v>Kisumu</v>
      </c>
      <c r="D1595" s="36" t="str">
        <f aca="false">IF(Raw_Export!$A1595="","",IFERROR(VLOOKUP(LOWER(TRIM(Raw_Export!D1595)),Maps!$G$2:$I$80,2,FALSE()),"UNMAPPED"))</f>
        <v>Unga Pembe 2kg</v>
      </c>
      <c r="E1595" s="36" t="str">
        <f aca="false">IF(Raw_Export!$A1595="","",IFERROR(VLOOKUP(LOWER(TRIM(Raw_Export!D1595)),Maps!$G$2:$I$80,3,FALSE()),"UNMAPPED"))</f>
        <v>Staples</v>
      </c>
      <c r="F1595" s="36" t="n">
        <f aca="false">IF(Raw_Export!$A1595="","",IFERROR(VALUE(TRIM(Raw_Export!E1595)),0))</f>
        <v>3</v>
      </c>
      <c r="G1595" s="38" t="n">
        <f aca="false">IF(Raw_Export!$A1595="","",IFERROR(VALUE(SUBSTITUTE(SUBSTITUTE(UPPER(TRIM(Raw_Export!F1595)),"KES",""),",","")),0))</f>
        <v>190</v>
      </c>
      <c r="H1595" s="38" t="n">
        <f aca="false">IF(Raw_Export!$A1595="","",F1595*G1595)</f>
        <v>570</v>
      </c>
      <c r="I1595" s="36" t="str">
        <f aca="false">IF(Raw_Export!$A1595="","",IFERROR(VLOOKUP(LOWER(TRIM(Raw_Export!H1595)),Maps!$D$2:$E$12,2,FALSE()),"Other"))</f>
        <v>Card</v>
      </c>
      <c r="J1595" s="36" t="str">
        <f aca="false">IF(Raw_Export!$A1595="","",IF(COUNTIF($A$2:A1595,A1595)&gt;1,"Duplicate",""))</f>
        <v/>
      </c>
      <c r="K1595" s="36" t="str">
        <f aca="false">IF(Raw_Export!$A1595="","",IF(J1595="Duplicate","Duplicate",IF(OR(C1595="UNMAPPED",D1595="UNMAPPED"),"Unmapped",IF(F1595=0,"Blank qty",IF(F1595&lt;0,"Return","OK")))))</f>
        <v>OK</v>
      </c>
      <c r="L1595" s="36" t="n">
        <f aca="false">IF(Raw_Export!$A1595="","",IF(OR(K1595="OK",K1595="Return"),1,0))</f>
        <v>1</v>
      </c>
      <c r="M1595" s="37" t="n">
        <f aca="false">IF(Raw_Export!$A1595="","",B1595-WEEKDAY(B1595,2)+1)</f>
        <v>46272</v>
      </c>
    </row>
    <row r="1596" customFormat="false" ht="15" hidden="false" customHeight="false" outlineLevel="0" collapsed="false">
      <c r="A1596" s="36" t="str">
        <f aca="false">IF(Raw_Export!$A1596="","",TRIM(Raw_Export!A1596))</f>
        <v>TXN-101562</v>
      </c>
      <c r="B1596" s="37" t="n">
        <f aca="false">IF(Raw_Export!$A1596="","",IF(ISNUMBER(Raw_Export!B1596),Raw_Export!B1596,IF(MID(TRIM(Raw_Export!B1596),5,1)="-",DATE(LEFT(TRIM(Raw_Export!B1596),4),MID(TRIM(Raw_Export!B1596),6,2),RIGHT(TRIM(Raw_Export!B1596),2)),DATE(RIGHT(TRIM(Raw_Export!B1596),4),MATCH(MID(TRIM(Raw_Export!B1596),4,3),{"Jan","Feb","Mar","Apr","May","Jun","Jul","Aug","Sep","Oct","Nov","Dec"},0),LEFT(TRIM(Raw_Export!B1596),2)))))</f>
        <v>46275</v>
      </c>
      <c r="C1596" s="36" t="str">
        <f aca="false">IF(Raw_Export!$A1596="","",IFERROR(VLOOKUP(LOWER(TRIM(Raw_Export!C1596)),Maps!$A$2:$B$20,2,FALSE()),"UNMAPPED"))</f>
        <v>Kisumu</v>
      </c>
      <c r="D1596" s="36" t="str">
        <f aca="false">IF(Raw_Export!$A1596="","",IFERROR(VLOOKUP(LOWER(TRIM(Raw_Export!D1596)),Maps!$G$2:$I$80,2,FALSE()),"UNMAPPED"))</f>
        <v>Soda 500ml</v>
      </c>
      <c r="E1596" s="36" t="str">
        <f aca="false">IF(Raw_Export!$A1596="","",IFERROR(VLOOKUP(LOWER(TRIM(Raw_Export!D1596)),Maps!$G$2:$I$80,3,FALSE()),"UNMAPPED"))</f>
        <v>Beverages</v>
      </c>
      <c r="F1596" s="36" t="n">
        <f aca="false">IF(Raw_Export!$A1596="","",IFERROR(VALUE(TRIM(Raw_Export!E1596)),0))</f>
        <v>2</v>
      </c>
      <c r="G1596" s="38" t="n">
        <f aca="false">IF(Raw_Export!$A1596="","",IFERROR(VALUE(SUBSTITUTE(SUBSTITUTE(UPPER(TRIM(Raw_Export!F1596)),"KES",""),",","")),0))</f>
        <v>54</v>
      </c>
      <c r="H1596" s="38" t="n">
        <f aca="false">IF(Raw_Export!$A1596="","",F1596*G1596)</f>
        <v>108</v>
      </c>
      <c r="I1596" s="36" t="str">
        <f aca="false">IF(Raw_Export!$A1596="","",IFERROR(VLOOKUP(LOWER(TRIM(Raw_Export!H1596)),Maps!$D$2:$E$12,2,FALSE()),"Other"))</f>
        <v>M-Pesa</v>
      </c>
      <c r="J1596" s="36" t="str">
        <f aca="false">IF(Raw_Export!$A1596="","",IF(COUNTIF($A$2:A1596,A1596)&gt;1,"Duplicate",""))</f>
        <v/>
      </c>
      <c r="K1596" s="36" t="str">
        <f aca="false">IF(Raw_Export!$A1596="","",IF(J1596="Duplicate","Duplicate",IF(OR(C1596="UNMAPPED",D1596="UNMAPPED"),"Unmapped",IF(F1596=0,"Blank qty",IF(F1596&lt;0,"Return","OK")))))</f>
        <v>OK</v>
      </c>
      <c r="L1596" s="36" t="n">
        <f aca="false">IF(Raw_Export!$A1596="","",IF(OR(K1596="OK",K1596="Return"),1,0))</f>
        <v>1</v>
      </c>
      <c r="M1596" s="37" t="n">
        <f aca="false">IF(Raw_Export!$A1596="","",B1596-WEEKDAY(B1596,2)+1)</f>
        <v>46272</v>
      </c>
    </row>
    <row r="1597" customFormat="false" ht="15" hidden="false" customHeight="false" outlineLevel="0" collapsed="false">
      <c r="A1597" s="36" t="str">
        <f aca="false">IF(Raw_Export!$A1597="","",TRIM(Raw_Export!A1597))</f>
        <v>TXN-101563</v>
      </c>
      <c r="B1597" s="37" t="n">
        <f aca="false">IF(Raw_Export!$A1597="","",IF(ISNUMBER(Raw_Export!B1597),Raw_Export!B1597,IF(MID(TRIM(Raw_Export!B1597),5,1)="-",DATE(LEFT(TRIM(Raw_Export!B1597),4),MID(TRIM(Raw_Export!B1597),6,2),RIGHT(TRIM(Raw_Export!B1597),2)),DATE(RIGHT(TRIM(Raw_Export!B1597),4),MATCH(MID(TRIM(Raw_Export!B1597),4,3),{"Jan","Feb","Mar","Apr","May","Jun","Jul","Aug","Sep","Oct","Nov","Dec"},0),LEFT(TRIM(Raw_Export!B1597),2)))))</f>
        <v>46275</v>
      </c>
      <c r="C1597" s="36" t="str">
        <f aca="false">IF(Raw_Export!$A1597="","",IFERROR(VLOOKUP(LOWER(TRIM(Raw_Export!C1597)),Maps!$A$2:$B$20,2,FALSE()),"UNMAPPED"))</f>
        <v>Kisumu</v>
      </c>
      <c r="D1597" s="36" t="str">
        <f aca="false">IF(Raw_Export!$A1597="","",IFERROR(VLOOKUP(LOWER(TRIM(Raw_Export!D1597)),Maps!$G$2:$I$80,2,FALSE()),"UNMAPPED"))</f>
        <v>Eggs Tray 30</v>
      </c>
      <c r="E1597" s="36" t="str">
        <f aca="false">IF(Raw_Export!$A1597="","",IFERROR(VLOOKUP(LOWER(TRIM(Raw_Export!D1597)),Maps!$G$2:$I$80,3,FALSE()),"UNMAPPED"))</f>
        <v>Dairy &amp; Eggs</v>
      </c>
      <c r="F1597" s="36" t="n">
        <f aca="false">IF(Raw_Export!$A1597="","",IFERROR(VALUE(TRIM(Raw_Export!E1597)),0))</f>
        <v>1</v>
      </c>
      <c r="G1597" s="38" t="n">
        <f aca="false">IF(Raw_Export!$A1597="","",IFERROR(VALUE(SUBSTITUTE(SUBSTITUTE(UPPER(TRIM(Raw_Export!F1597)),"KES",""),",","")),0))</f>
        <v>450</v>
      </c>
      <c r="H1597" s="38" t="n">
        <f aca="false">IF(Raw_Export!$A1597="","",F1597*G1597)</f>
        <v>450</v>
      </c>
      <c r="I1597" s="36" t="str">
        <f aca="false">IF(Raw_Export!$A1597="","",IFERROR(VLOOKUP(LOWER(TRIM(Raw_Export!H1597)),Maps!$D$2:$E$12,2,FALSE()),"Other"))</f>
        <v>M-Pesa</v>
      </c>
      <c r="J1597" s="36" t="str">
        <f aca="false">IF(Raw_Export!$A1597="","",IF(COUNTIF($A$2:A1597,A1597)&gt;1,"Duplicate",""))</f>
        <v/>
      </c>
      <c r="K1597" s="36" t="str">
        <f aca="false">IF(Raw_Export!$A1597="","",IF(J1597="Duplicate","Duplicate",IF(OR(C1597="UNMAPPED",D1597="UNMAPPED"),"Unmapped",IF(F1597=0,"Blank qty",IF(F1597&lt;0,"Return","OK")))))</f>
        <v>OK</v>
      </c>
      <c r="L1597" s="36" t="n">
        <f aca="false">IF(Raw_Export!$A1597="","",IF(OR(K1597="OK",K1597="Return"),1,0))</f>
        <v>1</v>
      </c>
      <c r="M1597" s="37" t="n">
        <f aca="false">IF(Raw_Export!$A1597="","",B1597-WEEKDAY(B1597,2)+1)</f>
        <v>46272</v>
      </c>
    </row>
    <row r="1598" customFormat="false" ht="15" hidden="false" customHeight="false" outlineLevel="0" collapsed="false">
      <c r="A1598" s="36" t="str">
        <f aca="false">IF(Raw_Export!$A1598="","",TRIM(Raw_Export!A1598))</f>
        <v>TXN-101564</v>
      </c>
      <c r="B1598" s="37" t="n">
        <f aca="false">IF(Raw_Export!$A1598="","",IF(ISNUMBER(Raw_Export!B1598),Raw_Export!B1598,IF(MID(TRIM(Raw_Export!B1598),5,1)="-",DATE(LEFT(TRIM(Raw_Export!B1598),4),MID(TRIM(Raw_Export!B1598),6,2),RIGHT(TRIM(Raw_Export!B1598),2)),DATE(RIGHT(TRIM(Raw_Export!B1598),4),MATCH(MID(TRIM(Raw_Export!B1598),4,3),{"Jan","Feb","Mar","Apr","May","Jun","Jul","Aug","Sep","Oct","Nov","Dec"},0),LEFT(TRIM(Raw_Export!B1598),2)))))</f>
        <v>46275</v>
      </c>
      <c r="C1598" s="36" t="str">
        <f aca="false">IF(Raw_Export!$A1598="","",IFERROR(VLOOKUP(LOWER(TRIM(Raw_Export!C1598)),Maps!$A$2:$B$20,2,FALSE()),"UNMAPPED"))</f>
        <v>Kisumu</v>
      </c>
      <c r="D1598" s="36" t="str">
        <f aca="false">IF(Raw_Export!$A1598="","",IFERROR(VLOOKUP(LOWER(TRIM(Raw_Export!D1598)),Maps!$G$2:$I$80,2,FALSE()),"UNMAPPED"))</f>
        <v>Matches 10pk</v>
      </c>
      <c r="E1598" s="36" t="str">
        <f aca="false">IF(Raw_Export!$A1598="","",IFERROR(VLOOKUP(LOWER(TRIM(Raw_Export!D1598)),Maps!$G$2:$I$80,3,FALSE()),"UNMAPPED"))</f>
        <v>Household</v>
      </c>
      <c r="F1598" s="36" t="n">
        <f aca="false">IF(Raw_Export!$A1598="","",IFERROR(VALUE(TRIM(Raw_Export!E1598)),0))</f>
        <v>4</v>
      </c>
      <c r="G1598" s="38" t="n">
        <f aca="false">IF(Raw_Export!$A1598="","",IFERROR(VALUE(SUBSTITUTE(SUBSTITUTE(UPPER(TRIM(Raw_Export!F1598)),"KES",""),",","")),0))</f>
        <v>50</v>
      </c>
      <c r="H1598" s="38" t="n">
        <f aca="false">IF(Raw_Export!$A1598="","",F1598*G1598)</f>
        <v>200</v>
      </c>
      <c r="I1598" s="36" t="str">
        <f aca="false">IF(Raw_Export!$A1598="","",IFERROR(VLOOKUP(LOWER(TRIM(Raw_Export!H1598)),Maps!$D$2:$E$12,2,FALSE()),"Other"))</f>
        <v>Card</v>
      </c>
      <c r="J1598" s="36" t="str">
        <f aca="false">IF(Raw_Export!$A1598="","",IF(COUNTIF($A$2:A1598,A1598)&gt;1,"Duplicate",""))</f>
        <v/>
      </c>
      <c r="K1598" s="36" t="str">
        <f aca="false">IF(Raw_Export!$A1598="","",IF(J1598="Duplicate","Duplicate",IF(OR(C1598="UNMAPPED",D1598="UNMAPPED"),"Unmapped",IF(F1598=0,"Blank qty",IF(F1598&lt;0,"Return","OK")))))</f>
        <v>OK</v>
      </c>
      <c r="L1598" s="36" t="n">
        <f aca="false">IF(Raw_Export!$A1598="","",IF(OR(K1598="OK",K1598="Return"),1,0))</f>
        <v>1</v>
      </c>
      <c r="M1598" s="37" t="n">
        <f aca="false">IF(Raw_Export!$A1598="","",B1598-WEEKDAY(B1598,2)+1)</f>
        <v>46272</v>
      </c>
    </row>
    <row r="1599" customFormat="false" ht="15" hidden="false" customHeight="false" outlineLevel="0" collapsed="false">
      <c r="A1599" s="36" t="str">
        <f aca="false">IF(Raw_Export!$A1599="","",TRIM(Raw_Export!A1599))</f>
        <v>TXN-101565</v>
      </c>
      <c r="B1599" s="37" t="n">
        <f aca="false">IF(Raw_Export!$A1599="","",IF(ISNUMBER(Raw_Export!B1599),Raw_Export!B1599,IF(MID(TRIM(Raw_Export!B1599),5,1)="-",DATE(LEFT(TRIM(Raw_Export!B1599),4),MID(TRIM(Raw_Export!B1599),6,2),RIGHT(TRIM(Raw_Export!B1599),2)),DATE(RIGHT(TRIM(Raw_Export!B1599),4),MATCH(MID(TRIM(Raw_Export!B1599),4,3),{"Jan","Feb","Mar","Apr","May","Jun","Jul","Aug","Sep","Oct","Nov","Dec"},0),LEFT(TRIM(Raw_Export!B1599),2)))))</f>
        <v>46275</v>
      </c>
      <c r="C1599" s="36" t="str">
        <f aca="false">IF(Raw_Export!$A1599="","",IFERROR(VLOOKUP(LOWER(TRIM(Raw_Export!C1599)),Maps!$A$2:$B$20,2,FALSE()),"UNMAPPED"))</f>
        <v>Kisumu</v>
      </c>
      <c r="D1599" s="36" t="str">
        <f aca="false">IF(Raw_Export!$A1599="","",IFERROR(VLOOKUP(LOWER(TRIM(Raw_Export!D1599)),Maps!$G$2:$I$80,2,FALSE()),"UNMAPPED"))</f>
        <v>Peanuts 250g</v>
      </c>
      <c r="E1599" s="36" t="str">
        <f aca="false">IF(Raw_Export!$A1599="","",IFERROR(VLOOKUP(LOWER(TRIM(Raw_Export!D1599)),Maps!$G$2:$I$80,3,FALSE()),"UNMAPPED"))</f>
        <v>Snacks</v>
      </c>
      <c r="F1599" s="36" t="n">
        <f aca="false">IF(Raw_Export!$A1599="","",IFERROR(VALUE(TRIM(Raw_Export!E1599)),0))</f>
        <v>6</v>
      </c>
      <c r="G1599" s="38" t="n">
        <f aca="false">IF(Raw_Export!$A1599="","",IFERROR(VALUE(SUBSTITUTE(SUBSTITUTE(UPPER(TRIM(Raw_Export!F1599)),"KES",""),",","")),0))</f>
        <v>130</v>
      </c>
      <c r="H1599" s="38" t="n">
        <f aca="false">IF(Raw_Export!$A1599="","",F1599*G1599)</f>
        <v>780</v>
      </c>
      <c r="I1599" s="36" t="str">
        <f aca="false">IF(Raw_Export!$A1599="","",IFERROR(VLOOKUP(LOWER(TRIM(Raw_Export!H1599)),Maps!$D$2:$E$12,2,FALSE()),"Other"))</f>
        <v>M-Pesa</v>
      </c>
      <c r="J1599" s="36" t="str">
        <f aca="false">IF(Raw_Export!$A1599="","",IF(COUNTIF($A$2:A1599,A1599)&gt;1,"Duplicate",""))</f>
        <v/>
      </c>
      <c r="K1599" s="36" t="str">
        <f aca="false">IF(Raw_Export!$A1599="","",IF(J1599="Duplicate","Duplicate",IF(OR(C1599="UNMAPPED",D1599="UNMAPPED"),"Unmapped",IF(F1599=0,"Blank qty",IF(F1599&lt;0,"Return","OK")))))</f>
        <v>OK</v>
      </c>
      <c r="L1599" s="36" t="n">
        <f aca="false">IF(Raw_Export!$A1599="","",IF(OR(K1599="OK",K1599="Return"),1,0))</f>
        <v>1</v>
      </c>
      <c r="M1599" s="37" t="n">
        <f aca="false">IF(Raw_Export!$A1599="","",B1599-WEEKDAY(B1599,2)+1)</f>
        <v>46272</v>
      </c>
    </row>
    <row r="1600" customFormat="false" ht="15" hidden="false" customHeight="false" outlineLevel="0" collapsed="false">
      <c r="A1600" s="36" t="str">
        <f aca="false">IF(Raw_Export!$A1600="","",TRIM(Raw_Export!A1600))</f>
        <v>TXN-101566</v>
      </c>
      <c r="B1600" s="37" t="n">
        <f aca="false">IF(Raw_Export!$A1600="","",IF(ISNUMBER(Raw_Export!B1600),Raw_Export!B1600,IF(MID(TRIM(Raw_Export!B1600),5,1)="-",DATE(LEFT(TRIM(Raw_Export!B1600),4),MID(TRIM(Raw_Export!B1600),6,2),RIGHT(TRIM(Raw_Export!B1600),2)),DATE(RIGHT(TRIM(Raw_Export!B1600),4),MATCH(MID(TRIM(Raw_Export!B1600),4,3),{"Jan","Feb","Mar","Apr","May","Jun","Jul","Aug","Sep","Oct","Nov","Dec"},0),LEFT(TRIM(Raw_Export!B1600),2)))))</f>
        <v>46275</v>
      </c>
      <c r="C1600" s="36" t="str">
        <f aca="false">IF(Raw_Export!$A1600="","",IFERROR(VLOOKUP(LOWER(TRIM(Raw_Export!C1600)),Maps!$A$2:$B$20,2,FALSE()),"UNMAPPED"))</f>
        <v>Kisumu</v>
      </c>
      <c r="D1600" s="36" t="str">
        <f aca="false">IF(Raw_Export!$A1600="","",IFERROR(VLOOKUP(LOWER(TRIM(Raw_Export!D1600)),Maps!$G$2:$I$80,2,FALSE()),"UNMAPPED"))</f>
        <v>Fresh Milk 500ml</v>
      </c>
      <c r="E1600" s="36" t="str">
        <f aca="false">IF(Raw_Export!$A1600="","",IFERROR(VLOOKUP(LOWER(TRIM(Raw_Export!D1600)),Maps!$G$2:$I$80,3,FALSE()),"UNMAPPED"))</f>
        <v>Dairy &amp; Eggs</v>
      </c>
      <c r="F1600" s="36" t="n">
        <f aca="false">IF(Raw_Export!$A1600="","",IFERROR(VALUE(TRIM(Raw_Export!E1600)),0))</f>
        <v>1</v>
      </c>
      <c r="G1600" s="38" t="n">
        <f aca="false">IF(Raw_Export!$A1600="","",IFERROR(VALUE(SUBSTITUTE(SUBSTITUTE(UPPER(TRIM(Raw_Export!F1600)),"KES",""),",","")),0))</f>
        <v>65</v>
      </c>
      <c r="H1600" s="38" t="n">
        <f aca="false">IF(Raw_Export!$A1600="","",F1600*G1600)</f>
        <v>65</v>
      </c>
      <c r="I1600" s="36" t="str">
        <f aca="false">IF(Raw_Export!$A1600="","",IFERROR(VLOOKUP(LOWER(TRIM(Raw_Export!H1600)),Maps!$D$2:$E$12,2,FALSE()),"Other"))</f>
        <v>Card</v>
      </c>
      <c r="J1600" s="36" t="str">
        <f aca="false">IF(Raw_Export!$A1600="","",IF(COUNTIF($A$2:A1600,A1600)&gt;1,"Duplicate",""))</f>
        <v/>
      </c>
      <c r="K1600" s="36" t="str">
        <f aca="false">IF(Raw_Export!$A1600="","",IF(J1600="Duplicate","Duplicate",IF(OR(C1600="UNMAPPED",D1600="UNMAPPED"),"Unmapped",IF(F1600=0,"Blank qty",IF(F1600&lt;0,"Return","OK")))))</f>
        <v>OK</v>
      </c>
      <c r="L1600" s="36" t="n">
        <f aca="false">IF(Raw_Export!$A1600="","",IF(OR(K1600="OK",K1600="Return"),1,0))</f>
        <v>1</v>
      </c>
      <c r="M1600" s="37" t="n">
        <f aca="false">IF(Raw_Export!$A1600="","",B1600-WEEKDAY(B1600,2)+1)</f>
        <v>46272</v>
      </c>
    </row>
    <row r="1601" customFormat="false" ht="15" hidden="false" customHeight="false" outlineLevel="0" collapsed="false">
      <c r="A1601" s="36" t="str">
        <f aca="false">IF(Raw_Export!$A1601="","",TRIM(Raw_Export!A1601))</f>
        <v>TXN-101567</v>
      </c>
      <c r="B1601" s="37" t="n">
        <f aca="false">IF(Raw_Export!$A1601="","",IF(ISNUMBER(Raw_Export!B1601),Raw_Export!B1601,IF(MID(TRIM(Raw_Export!B1601),5,1)="-",DATE(LEFT(TRIM(Raw_Export!B1601),4),MID(TRIM(Raw_Export!B1601),6,2),RIGHT(TRIM(Raw_Export!B1601),2)),DATE(RIGHT(TRIM(Raw_Export!B1601),4),MATCH(MID(TRIM(Raw_Export!B1601),4,3),{"Jan","Feb","Mar","Apr","May","Jun","Jul","Aug","Sep","Oct","Nov","Dec"},0),LEFT(TRIM(Raw_Export!B1601),2)))))</f>
        <v>46275</v>
      </c>
      <c r="C1601" s="36" t="str">
        <f aca="false">IF(Raw_Export!$A1601="","",IFERROR(VLOOKUP(LOWER(TRIM(Raw_Export!C1601)),Maps!$A$2:$B$20,2,FALSE()),"UNMAPPED"))</f>
        <v>Kisumu</v>
      </c>
      <c r="D1601" s="36" t="str">
        <f aca="false">IF(Raw_Export!$A1601="","",IFERROR(VLOOKUP(LOWER(TRIM(Raw_Export!D1601)),Maps!$G$2:$I$80,2,FALSE()),"UNMAPPED"))</f>
        <v>Fresh Milk 500ml</v>
      </c>
      <c r="E1601" s="36" t="str">
        <f aca="false">IF(Raw_Export!$A1601="","",IFERROR(VLOOKUP(LOWER(TRIM(Raw_Export!D1601)),Maps!$G$2:$I$80,3,FALSE()),"UNMAPPED"))</f>
        <v>Dairy &amp; Eggs</v>
      </c>
      <c r="F1601" s="36" t="n">
        <f aca="false">IF(Raw_Export!$A1601="","",IFERROR(VALUE(TRIM(Raw_Export!E1601)),0))</f>
        <v>2</v>
      </c>
      <c r="G1601" s="38" t="n">
        <f aca="false">IF(Raw_Export!$A1601="","",IFERROR(VALUE(SUBSTITUTE(SUBSTITUTE(UPPER(TRIM(Raw_Export!F1601)),"KES",""),",","")),0))</f>
        <v>65</v>
      </c>
      <c r="H1601" s="38" t="n">
        <f aca="false">IF(Raw_Export!$A1601="","",F1601*G1601)</f>
        <v>130</v>
      </c>
      <c r="I1601" s="36" t="str">
        <f aca="false">IF(Raw_Export!$A1601="","",IFERROR(VLOOKUP(LOWER(TRIM(Raw_Export!H1601)),Maps!$D$2:$E$12,2,FALSE()),"Other"))</f>
        <v>M-Pesa</v>
      </c>
      <c r="J1601" s="36" t="str">
        <f aca="false">IF(Raw_Export!$A1601="","",IF(COUNTIF($A$2:A1601,A1601)&gt;1,"Duplicate",""))</f>
        <v>Duplicate</v>
      </c>
      <c r="K1601" s="36" t="str">
        <f aca="false">IF(Raw_Export!$A1601="","",IF(J1601="Duplicate","Duplicate",IF(OR(C1601="UNMAPPED",D1601="UNMAPPED"),"Unmapped",IF(F1601=0,"Blank qty",IF(F1601&lt;0,"Return","OK")))))</f>
        <v>Duplicate</v>
      </c>
      <c r="L1601" s="36" t="n">
        <f aca="false">IF(Raw_Export!$A1601="","",IF(OR(K1601="OK",K1601="Return"),1,0))</f>
        <v>0</v>
      </c>
      <c r="M1601" s="37" t="n">
        <f aca="false">IF(Raw_Export!$A1601="","",B1601-WEEKDAY(B1601,2)+1)</f>
        <v>46272</v>
      </c>
    </row>
    <row r="1602" customFormat="false" ht="15" hidden="false" customHeight="false" outlineLevel="0" collapsed="false">
      <c r="A1602" s="36" t="str">
        <f aca="false">IF(Raw_Export!$A1602="","",TRIM(Raw_Export!A1602))</f>
        <v>TXN-101568</v>
      </c>
      <c r="B1602" s="37" t="n">
        <f aca="false">IF(Raw_Export!$A1602="","",IF(ISNUMBER(Raw_Export!B1602),Raw_Export!B1602,IF(MID(TRIM(Raw_Export!B1602),5,1)="-",DATE(LEFT(TRIM(Raw_Export!B1602),4),MID(TRIM(Raw_Export!B1602),6,2),RIGHT(TRIM(Raw_Export!B1602),2)),DATE(RIGHT(TRIM(Raw_Export!B1602),4),MATCH(MID(TRIM(Raw_Export!B1602),4,3),{"Jan","Feb","Mar","Apr","May","Jun","Jul","Aug","Sep","Oct","Nov","Dec"},0),LEFT(TRIM(Raw_Export!B1602),2)))))</f>
        <v>46275</v>
      </c>
      <c r="C1602" s="36" t="str">
        <f aca="false">IF(Raw_Export!$A1602="","",IFERROR(VLOOKUP(LOWER(TRIM(Raw_Export!C1602)),Maps!$A$2:$B$20,2,FALSE()),"UNMAPPED"))</f>
        <v>Kisumu</v>
      </c>
      <c r="D1602" s="36" t="str">
        <f aca="false">IF(Raw_Export!$A1602="","",IFERROR(VLOOKUP(LOWER(TRIM(Raw_Export!D1602)),Maps!$G$2:$I$80,2,FALSE()),"UNMAPPED"))</f>
        <v>Fresh Milk 500ml</v>
      </c>
      <c r="E1602" s="36" t="str">
        <f aca="false">IF(Raw_Export!$A1602="","",IFERROR(VLOOKUP(LOWER(TRIM(Raw_Export!D1602)),Maps!$G$2:$I$80,3,FALSE()),"UNMAPPED"))</f>
        <v>Dairy &amp; Eggs</v>
      </c>
      <c r="F1602" s="36" t="n">
        <f aca="false">IF(Raw_Export!$A1602="","",IFERROR(VALUE(TRIM(Raw_Export!E1602)),0))</f>
        <v>1</v>
      </c>
      <c r="G1602" s="38" t="n">
        <f aca="false">IF(Raw_Export!$A1602="","",IFERROR(VALUE(SUBSTITUTE(SUBSTITUTE(UPPER(TRIM(Raw_Export!F1602)),"KES",""),",","")),0))</f>
        <v>65</v>
      </c>
      <c r="H1602" s="38" t="n">
        <f aca="false">IF(Raw_Export!$A1602="","",F1602*G1602)</f>
        <v>65</v>
      </c>
      <c r="I1602" s="36" t="str">
        <f aca="false">IF(Raw_Export!$A1602="","",IFERROR(VLOOKUP(LOWER(TRIM(Raw_Export!H1602)),Maps!$D$2:$E$12,2,FALSE()),"Other"))</f>
        <v>M-Pesa</v>
      </c>
      <c r="J1602" s="36" t="str">
        <f aca="false">IF(Raw_Export!$A1602="","",IF(COUNTIF($A$2:A1602,A1602)&gt;1,"Duplicate",""))</f>
        <v/>
      </c>
      <c r="K1602" s="36" t="str">
        <f aca="false">IF(Raw_Export!$A1602="","",IF(J1602="Duplicate","Duplicate",IF(OR(C1602="UNMAPPED",D1602="UNMAPPED"),"Unmapped",IF(F1602=0,"Blank qty",IF(F1602&lt;0,"Return","OK")))))</f>
        <v>OK</v>
      </c>
      <c r="L1602" s="36" t="n">
        <f aca="false">IF(Raw_Export!$A1602="","",IF(OR(K1602="OK",K1602="Return"),1,0))</f>
        <v>1</v>
      </c>
      <c r="M1602" s="37" t="n">
        <f aca="false">IF(Raw_Export!$A1602="","",B1602-WEEKDAY(B1602,2)+1)</f>
        <v>46272</v>
      </c>
    </row>
    <row r="1603" customFormat="false" ht="15" hidden="false" customHeight="false" outlineLevel="0" collapsed="false">
      <c r="A1603" s="36" t="str">
        <f aca="false">IF(Raw_Export!$A1603="","",TRIM(Raw_Export!A1603))</f>
        <v>TXN-101569</v>
      </c>
      <c r="B1603" s="37" t="n">
        <f aca="false">IF(Raw_Export!$A1603="","",IF(ISNUMBER(Raw_Export!B1603),Raw_Export!B1603,IF(MID(TRIM(Raw_Export!B1603),5,1)="-",DATE(LEFT(TRIM(Raw_Export!B1603),4),MID(TRIM(Raw_Export!B1603),6,2),RIGHT(TRIM(Raw_Export!B1603),2)),DATE(RIGHT(TRIM(Raw_Export!B1603),4),MATCH(MID(TRIM(Raw_Export!B1603),4,3),{"Jan","Feb","Mar","Apr","May","Jun","Jul","Aug","Sep","Oct","Nov","Dec"},0),LEFT(TRIM(Raw_Export!B1603),2)))))</f>
        <v>46275</v>
      </c>
      <c r="C1603" s="36" t="str">
        <f aca="false">IF(Raw_Export!$A1603="","",IFERROR(VLOOKUP(LOWER(TRIM(Raw_Export!C1603)),Maps!$A$2:$B$20,2,FALSE()),"UNMAPPED"))</f>
        <v>Kisumu</v>
      </c>
      <c r="D1603" s="36" t="str">
        <f aca="false">IF(Raw_Export!$A1603="","",IFERROR(VLOOKUP(LOWER(TRIM(Raw_Export!D1603)),Maps!$G$2:$I$80,2,FALSE()),"UNMAPPED"))</f>
        <v>Washing Powder 1kg</v>
      </c>
      <c r="E1603" s="36" t="str">
        <f aca="false">IF(Raw_Export!$A1603="","",IFERROR(VLOOKUP(LOWER(TRIM(Raw_Export!D1603)),Maps!$G$2:$I$80,3,FALSE()),"UNMAPPED"))</f>
        <v>Household</v>
      </c>
      <c r="F1603" s="36" t="n">
        <f aca="false">IF(Raw_Export!$A1603="","",IFERROR(VALUE(TRIM(Raw_Export!E1603)),0))</f>
        <v>3</v>
      </c>
      <c r="G1603" s="38" t="n">
        <f aca="false">IF(Raw_Export!$A1603="","",IFERROR(VALUE(SUBSTITUTE(SUBSTITUTE(UPPER(TRIM(Raw_Export!F1603)),"KES",""),",","")),0))</f>
        <v>280</v>
      </c>
      <c r="H1603" s="38" t="n">
        <f aca="false">IF(Raw_Export!$A1603="","",F1603*G1603)</f>
        <v>840</v>
      </c>
      <c r="I1603" s="36" t="str">
        <f aca="false">IF(Raw_Export!$A1603="","",IFERROR(VLOOKUP(LOWER(TRIM(Raw_Export!H1603)),Maps!$D$2:$E$12,2,FALSE()),"Other"))</f>
        <v>M-Pesa</v>
      </c>
      <c r="J1603" s="36" t="str">
        <f aca="false">IF(Raw_Export!$A1603="","",IF(COUNTIF($A$2:A1603,A1603)&gt;1,"Duplicate",""))</f>
        <v/>
      </c>
      <c r="K1603" s="36" t="str">
        <f aca="false">IF(Raw_Export!$A1603="","",IF(J1603="Duplicate","Duplicate",IF(OR(C1603="UNMAPPED",D1603="UNMAPPED"),"Unmapped",IF(F1603=0,"Blank qty",IF(F1603&lt;0,"Return","OK")))))</f>
        <v>OK</v>
      </c>
      <c r="L1603" s="36" t="n">
        <f aca="false">IF(Raw_Export!$A1603="","",IF(OR(K1603="OK",K1603="Return"),1,0))</f>
        <v>1</v>
      </c>
      <c r="M1603" s="37" t="n">
        <f aca="false">IF(Raw_Export!$A1603="","",B1603-WEEKDAY(B1603,2)+1)</f>
        <v>46272</v>
      </c>
    </row>
    <row r="1604" customFormat="false" ht="15" hidden="false" customHeight="false" outlineLevel="0" collapsed="false">
      <c r="A1604" s="36" t="str">
        <f aca="false">IF(Raw_Export!$A1604="","",TRIM(Raw_Export!A1604))</f>
        <v>TXN-101570</v>
      </c>
      <c r="B1604" s="37" t="n">
        <f aca="false">IF(Raw_Export!$A1604="","",IF(ISNUMBER(Raw_Export!B1604),Raw_Export!B1604,IF(MID(TRIM(Raw_Export!B1604),5,1)="-",DATE(LEFT(TRIM(Raw_Export!B1604),4),MID(TRIM(Raw_Export!B1604),6,2),RIGHT(TRIM(Raw_Export!B1604),2)),DATE(RIGHT(TRIM(Raw_Export!B1604),4),MATCH(MID(TRIM(Raw_Export!B1604),4,3),{"Jan","Feb","Mar","Apr","May","Jun","Jul","Aug","Sep","Oct","Nov","Dec"},0),LEFT(TRIM(Raw_Export!B1604),2)))))</f>
        <v>46275</v>
      </c>
      <c r="C1604" s="36" t="str">
        <f aca="false">IF(Raw_Export!$A1604="","",IFERROR(VLOOKUP(LOWER(TRIM(Raw_Export!C1604)),Maps!$A$2:$B$20,2,FALSE()),"UNMAPPED"))</f>
        <v>Kisumu</v>
      </c>
      <c r="D1604" s="36" t="str">
        <f aca="false">IF(Raw_Export!$A1604="","",IFERROR(VLOOKUP(LOWER(TRIM(Raw_Export!D1604)),Maps!$G$2:$I$80,2,FALSE()),"UNMAPPED"))</f>
        <v>Butter 250g</v>
      </c>
      <c r="E1604" s="36" t="str">
        <f aca="false">IF(Raw_Export!$A1604="","",IFERROR(VLOOKUP(LOWER(TRIM(Raw_Export!D1604)),Maps!$G$2:$I$80,3,FALSE()),"UNMAPPED"))</f>
        <v>Dairy &amp; Eggs</v>
      </c>
      <c r="F1604" s="36" t="n">
        <f aca="false">IF(Raw_Export!$A1604="","",IFERROR(VALUE(TRIM(Raw_Export!E1604)),0))</f>
        <v>1</v>
      </c>
      <c r="G1604" s="38" t="n">
        <f aca="false">IF(Raw_Export!$A1604="","",IFERROR(VALUE(SUBSTITUTE(SUBSTITUTE(UPPER(TRIM(Raw_Export!F1604)),"KES",""),",","")),0))</f>
        <v>310</v>
      </c>
      <c r="H1604" s="38" t="n">
        <f aca="false">IF(Raw_Export!$A1604="","",F1604*G1604)</f>
        <v>310</v>
      </c>
      <c r="I1604" s="36" t="str">
        <f aca="false">IF(Raw_Export!$A1604="","",IFERROR(VLOOKUP(LOWER(TRIM(Raw_Export!H1604)),Maps!$D$2:$E$12,2,FALSE()),"Other"))</f>
        <v>Card</v>
      </c>
      <c r="J1604" s="36" t="str">
        <f aca="false">IF(Raw_Export!$A1604="","",IF(COUNTIF($A$2:A1604,A1604)&gt;1,"Duplicate",""))</f>
        <v/>
      </c>
      <c r="K1604" s="36" t="str">
        <f aca="false">IF(Raw_Export!$A1604="","",IF(J1604="Duplicate","Duplicate",IF(OR(C1604="UNMAPPED",D1604="UNMAPPED"),"Unmapped",IF(F1604=0,"Blank qty",IF(F1604&lt;0,"Return","OK")))))</f>
        <v>OK</v>
      </c>
      <c r="L1604" s="36" t="n">
        <f aca="false">IF(Raw_Export!$A1604="","",IF(OR(K1604="OK",K1604="Return"),1,0))</f>
        <v>1</v>
      </c>
      <c r="M1604" s="37" t="n">
        <f aca="false">IF(Raw_Export!$A1604="","",B1604-WEEKDAY(B1604,2)+1)</f>
        <v>46272</v>
      </c>
    </row>
    <row r="1605" customFormat="false" ht="15" hidden="false" customHeight="false" outlineLevel="0" collapsed="false">
      <c r="A1605" s="36" t="str">
        <f aca="false">IF(Raw_Export!$A1605="","",TRIM(Raw_Export!A1605))</f>
        <v>TXN-101571</v>
      </c>
      <c r="B1605" s="37" t="n">
        <f aca="false">IF(Raw_Export!$A1605="","",IF(ISNUMBER(Raw_Export!B1605),Raw_Export!B1605,IF(MID(TRIM(Raw_Export!B1605),5,1)="-",DATE(LEFT(TRIM(Raw_Export!B1605),4),MID(TRIM(Raw_Export!B1605),6,2),RIGHT(TRIM(Raw_Export!B1605),2)),DATE(RIGHT(TRIM(Raw_Export!B1605),4),MATCH(MID(TRIM(Raw_Export!B1605),4,3),{"Jan","Feb","Mar","Apr","May","Jun","Jul","Aug","Sep","Oct","Nov","Dec"},0),LEFT(TRIM(Raw_Export!B1605),2)))))</f>
        <v>46275</v>
      </c>
      <c r="C1605" s="36" t="str">
        <f aca="false">IF(Raw_Export!$A1605="","",IFERROR(VLOOKUP(LOWER(TRIM(Raw_Export!C1605)),Maps!$A$2:$B$20,2,FALSE()),"UNMAPPED"))</f>
        <v>Kisumu</v>
      </c>
      <c r="D1605" s="36" t="str">
        <f aca="false">IF(Raw_Export!$A1605="","",IFERROR(VLOOKUP(LOWER(TRIM(Raw_Export!D1605)),Maps!$G$2:$I$80,2,FALSE()),"UNMAPPED"))</f>
        <v>Unga Pembe 2kg</v>
      </c>
      <c r="E1605" s="36" t="str">
        <f aca="false">IF(Raw_Export!$A1605="","",IFERROR(VLOOKUP(LOWER(TRIM(Raw_Export!D1605)),Maps!$G$2:$I$80,3,FALSE()),"UNMAPPED"))</f>
        <v>Staples</v>
      </c>
      <c r="F1605" s="36" t="n">
        <f aca="false">IF(Raw_Export!$A1605="","",IFERROR(VALUE(TRIM(Raw_Export!E1605)),0))</f>
        <v>1</v>
      </c>
      <c r="G1605" s="38" t="n">
        <f aca="false">IF(Raw_Export!$A1605="","",IFERROR(VALUE(SUBSTITUTE(SUBSTITUTE(UPPER(TRIM(Raw_Export!F1605)),"KES",""),",","")),0))</f>
        <v>190</v>
      </c>
      <c r="H1605" s="38" t="n">
        <f aca="false">IF(Raw_Export!$A1605="","",F1605*G1605)</f>
        <v>190</v>
      </c>
      <c r="I1605" s="36" t="str">
        <f aca="false">IF(Raw_Export!$A1605="","",IFERROR(VLOOKUP(LOWER(TRIM(Raw_Export!H1605)),Maps!$D$2:$E$12,2,FALSE()),"Other"))</f>
        <v>M-Pesa</v>
      </c>
      <c r="J1605" s="36" t="str">
        <f aca="false">IF(Raw_Export!$A1605="","",IF(COUNTIF($A$2:A1605,A1605)&gt;1,"Duplicate",""))</f>
        <v/>
      </c>
      <c r="K1605" s="36" t="str">
        <f aca="false">IF(Raw_Export!$A1605="","",IF(J1605="Duplicate","Duplicate",IF(OR(C1605="UNMAPPED",D1605="UNMAPPED"),"Unmapped",IF(F1605=0,"Blank qty",IF(F1605&lt;0,"Return","OK")))))</f>
        <v>OK</v>
      </c>
      <c r="L1605" s="36" t="n">
        <f aca="false">IF(Raw_Export!$A1605="","",IF(OR(K1605="OK",K1605="Return"),1,0))</f>
        <v>1</v>
      </c>
      <c r="M1605" s="37" t="n">
        <f aca="false">IF(Raw_Export!$A1605="","",B1605-WEEKDAY(B1605,2)+1)</f>
        <v>46272</v>
      </c>
    </row>
    <row r="1606" customFormat="false" ht="15" hidden="false" customHeight="false" outlineLevel="0" collapsed="false">
      <c r="A1606" s="36" t="str">
        <f aca="false">IF(Raw_Export!$A1606="","",TRIM(Raw_Export!A1606))</f>
        <v>TXN-101572</v>
      </c>
      <c r="B1606" s="37" t="n">
        <f aca="false">IF(Raw_Export!$A1606="","",IF(ISNUMBER(Raw_Export!B1606),Raw_Export!B1606,IF(MID(TRIM(Raw_Export!B1606),5,1)="-",DATE(LEFT(TRIM(Raw_Export!B1606),4),MID(TRIM(Raw_Export!B1606),6,2),RIGHT(TRIM(Raw_Export!B1606),2)),DATE(RIGHT(TRIM(Raw_Export!B1606),4),MATCH(MID(TRIM(Raw_Export!B1606),4,3),{"Jan","Feb","Mar","Apr","May","Jun","Jul","Aug","Sep","Oct","Nov","Dec"},0),LEFT(TRIM(Raw_Export!B1606),2)))))</f>
        <v>46275</v>
      </c>
      <c r="C1606" s="36" t="str">
        <f aca="false">IF(Raw_Export!$A1606="","",IFERROR(VLOOKUP(LOWER(TRIM(Raw_Export!C1606)),Maps!$A$2:$B$20,2,FALSE()),"UNMAPPED"))</f>
        <v>Kisumu</v>
      </c>
      <c r="D1606" s="36" t="str">
        <f aca="false">IF(Raw_Export!$A1606="","",IFERROR(VLOOKUP(LOWER(TRIM(Raw_Export!D1606)),Maps!$G$2:$I$80,2,FALSE()),"UNMAPPED"))</f>
        <v>Bath Soap 175g</v>
      </c>
      <c r="E1606" s="36" t="str">
        <f aca="false">IF(Raw_Export!$A1606="","",IFERROR(VLOOKUP(LOWER(TRIM(Raw_Export!D1606)),Maps!$G$2:$I$80,3,FALSE()),"UNMAPPED"))</f>
        <v>Personal Care</v>
      </c>
      <c r="F1606" s="36" t="n">
        <f aca="false">IF(Raw_Export!$A1606="","",IFERROR(VALUE(TRIM(Raw_Export!E1606)),0))</f>
        <v>4</v>
      </c>
      <c r="G1606" s="38" t="n">
        <f aca="false">IF(Raw_Export!$A1606="","",IFERROR(VALUE(SUBSTITUTE(SUBSTITUTE(UPPER(TRIM(Raw_Export!F1606)),"KES",""),",","")),0))</f>
        <v>85</v>
      </c>
      <c r="H1606" s="38" t="n">
        <f aca="false">IF(Raw_Export!$A1606="","",F1606*G1606)</f>
        <v>340</v>
      </c>
      <c r="I1606" s="36" t="str">
        <f aca="false">IF(Raw_Export!$A1606="","",IFERROR(VLOOKUP(LOWER(TRIM(Raw_Export!H1606)),Maps!$D$2:$E$12,2,FALSE()),"Other"))</f>
        <v>M-Pesa</v>
      </c>
      <c r="J1606" s="36" t="str">
        <f aca="false">IF(Raw_Export!$A1606="","",IF(COUNTIF($A$2:A1606,A1606)&gt;1,"Duplicate",""))</f>
        <v/>
      </c>
      <c r="K1606" s="36" t="str">
        <f aca="false">IF(Raw_Export!$A1606="","",IF(J1606="Duplicate","Duplicate",IF(OR(C1606="UNMAPPED",D1606="UNMAPPED"),"Unmapped",IF(F1606=0,"Blank qty",IF(F1606&lt;0,"Return","OK")))))</f>
        <v>OK</v>
      </c>
      <c r="L1606" s="36" t="n">
        <f aca="false">IF(Raw_Export!$A1606="","",IF(OR(K1606="OK",K1606="Return"),1,0))</f>
        <v>1</v>
      </c>
      <c r="M1606" s="37" t="n">
        <f aca="false">IF(Raw_Export!$A1606="","",B1606-WEEKDAY(B1606,2)+1)</f>
        <v>46272</v>
      </c>
    </row>
    <row r="1607" customFormat="false" ht="15" hidden="false" customHeight="false" outlineLevel="0" collapsed="false">
      <c r="A1607" s="36" t="str">
        <f aca="false">IF(Raw_Export!$A1607="","",TRIM(Raw_Export!A1607))</f>
        <v>TXN-101573</v>
      </c>
      <c r="B1607" s="37" t="n">
        <f aca="false">IF(Raw_Export!$A1607="","",IF(ISNUMBER(Raw_Export!B1607),Raw_Export!B1607,IF(MID(TRIM(Raw_Export!B1607),5,1)="-",DATE(LEFT(TRIM(Raw_Export!B1607),4),MID(TRIM(Raw_Export!B1607),6,2),RIGHT(TRIM(Raw_Export!B1607),2)),DATE(RIGHT(TRIM(Raw_Export!B1607),4),MATCH(MID(TRIM(Raw_Export!B1607),4,3),{"Jan","Feb","Mar","Apr","May","Jun","Jul","Aug","Sep","Oct","Nov","Dec"},0),LEFT(TRIM(Raw_Export!B1607),2)))))</f>
        <v>46275</v>
      </c>
      <c r="C1607" s="36" t="str">
        <f aca="false">IF(Raw_Export!$A1607="","",IFERROR(VLOOKUP(LOWER(TRIM(Raw_Export!C1607)),Maps!$A$2:$B$20,2,FALSE()),"UNMAPPED"))</f>
        <v>Kisumu</v>
      </c>
      <c r="D1607" s="36" t="str">
        <f aca="false">IF(Raw_Export!$A1607="","",IFERROR(VLOOKUP(LOWER(TRIM(Raw_Export!D1607)),Maps!$G$2:$I$80,2,FALSE()),"UNMAPPED"))</f>
        <v>Sanitary Pads 8pk</v>
      </c>
      <c r="E1607" s="36" t="str">
        <f aca="false">IF(Raw_Export!$A1607="","",IFERROR(VLOOKUP(LOWER(TRIM(Raw_Export!D1607)),Maps!$G$2:$I$80,3,FALSE()),"UNMAPPED"))</f>
        <v>Personal Care</v>
      </c>
      <c r="F1607" s="36" t="n">
        <f aca="false">IF(Raw_Export!$A1607="","",IFERROR(VALUE(TRIM(Raw_Export!E1607)),0))</f>
        <v>3</v>
      </c>
      <c r="G1607" s="38" t="n">
        <f aca="false">IF(Raw_Export!$A1607="","",IFERROR(VALUE(SUBSTITUTE(SUBSTITUTE(UPPER(TRIM(Raw_Export!F1607)),"KES",""),",","")),0))</f>
        <v>130</v>
      </c>
      <c r="H1607" s="38" t="n">
        <f aca="false">IF(Raw_Export!$A1607="","",F1607*G1607)</f>
        <v>390</v>
      </c>
      <c r="I1607" s="36" t="str">
        <f aca="false">IF(Raw_Export!$A1607="","",IFERROR(VLOOKUP(LOWER(TRIM(Raw_Export!H1607)),Maps!$D$2:$E$12,2,FALSE()),"Other"))</f>
        <v>Card</v>
      </c>
      <c r="J1607" s="36" t="str">
        <f aca="false">IF(Raw_Export!$A1607="","",IF(COUNTIF($A$2:A1607,A1607)&gt;1,"Duplicate",""))</f>
        <v/>
      </c>
      <c r="K1607" s="36" t="str">
        <f aca="false">IF(Raw_Export!$A1607="","",IF(J1607="Duplicate","Duplicate",IF(OR(C1607="UNMAPPED",D1607="UNMAPPED"),"Unmapped",IF(F1607=0,"Blank qty",IF(F1607&lt;0,"Return","OK")))))</f>
        <v>OK</v>
      </c>
      <c r="L1607" s="36" t="n">
        <f aca="false">IF(Raw_Export!$A1607="","",IF(OR(K1607="OK",K1607="Return"),1,0))</f>
        <v>1</v>
      </c>
      <c r="M1607" s="37" t="n">
        <f aca="false">IF(Raw_Export!$A1607="","",B1607-WEEKDAY(B1607,2)+1)</f>
        <v>46272</v>
      </c>
    </row>
    <row r="1608" customFormat="false" ht="15" hidden="false" customHeight="false" outlineLevel="0" collapsed="false">
      <c r="A1608" s="36" t="str">
        <f aca="false">IF(Raw_Export!$A1608="","",TRIM(Raw_Export!A1608))</f>
        <v>TXN-101574</v>
      </c>
      <c r="B1608" s="37" t="n">
        <f aca="false">IF(Raw_Export!$A1608="","",IF(ISNUMBER(Raw_Export!B1608),Raw_Export!B1608,IF(MID(TRIM(Raw_Export!B1608),5,1)="-",DATE(LEFT(TRIM(Raw_Export!B1608),4),MID(TRIM(Raw_Export!B1608),6,2),RIGHT(TRIM(Raw_Export!B1608),2)),DATE(RIGHT(TRIM(Raw_Export!B1608),4),MATCH(MID(TRIM(Raw_Export!B1608),4,3),{"Jan","Feb","Mar","Apr","May","Jun","Jul","Aug","Sep","Oct","Nov","Dec"},0),LEFT(TRIM(Raw_Export!B1608),2)))))</f>
        <v>46275</v>
      </c>
      <c r="C1608" s="36" t="str">
        <f aca="false">IF(Raw_Export!$A1608="","",IFERROR(VLOOKUP(LOWER(TRIM(Raw_Export!C1608)),Maps!$A$2:$B$20,2,FALSE()),"UNMAPPED"))</f>
        <v>Kisumu</v>
      </c>
      <c r="D1608" s="36" t="str">
        <f aca="false">IF(Raw_Export!$A1608="","",IFERROR(VLOOKUP(LOWER(TRIM(Raw_Export!D1608)),Maps!$G$2:$I$80,2,FALSE()),"UNMAPPED"))</f>
        <v>Unga Pembe 2kg</v>
      </c>
      <c r="E1608" s="36" t="str">
        <f aca="false">IF(Raw_Export!$A1608="","",IFERROR(VLOOKUP(LOWER(TRIM(Raw_Export!D1608)),Maps!$G$2:$I$80,3,FALSE()),"UNMAPPED"))</f>
        <v>Staples</v>
      </c>
      <c r="F1608" s="36" t="n">
        <f aca="false">IF(Raw_Export!$A1608="","",IFERROR(VALUE(TRIM(Raw_Export!E1608)),0))</f>
        <v>3</v>
      </c>
      <c r="G1608" s="38" t="n">
        <f aca="false">IF(Raw_Export!$A1608="","",IFERROR(VALUE(SUBSTITUTE(SUBSTITUTE(UPPER(TRIM(Raw_Export!F1608)),"KES",""),",","")),0))</f>
        <v>190</v>
      </c>
      <c r="H1608" s="38" t="n">
        <f aca="false">IF(Raw_Export!$A1608="","",F1608*G1608)</f>
        <v>570</v>
      </c>
      <c r="I1608" s="36" t="str">
        <f aca="false">IF(Raw_Export!$A1608="","",IFERROR(VLOOKUP(LOWER(TRIM(Raw_Export!H1608)),Maps!$D$2:$E$12,2,FALSE()),"Other"))</f>
        <v>M-Pesa</v>
      </c>
      <c r="J1608" s="36" t="str">
        <f aca="false">IF(Raw_Export!$A1608="","",IF(COUNTIF($A$2:A1608,A1608)&gt;1,"Duplicate",""))</f>
        <v/>
      </c>
      <c r="K1608" s="36" t="str">
        <f aca="false">IF(Raw_Export!$A1608="","",IF(J1608="Duplicate","Duplicate",IF(OR(C1608="UNMAPPED",D1608="UNMAPPED"),"Unmapped",IF(F1608=0,"Blank qty",IF(F1608&lt;0,"Return","OK")))))</f>
        <v>OK</v>
      </c>
      <c r="L1608" s="36" t="n">
        <f aca="false">IF(Raw_Export!$A1608="","",IF(OR(K1608="OK",K1608="Return"),1,0))</f>
        <v>1</v>
      </c>
      <c r="M1608" s="37" t="n">
        <f aca="false">IF(Raw_Export!$A1608="","",B1608-WEEKDAY(B1608,2)+1)</f>
        <v>46272</v>
      </c>
    </row>
    <row r="1609" customFormat="false" ht="15" hidden="false" customHeight="false" outlineLevel="0" collapsed="false">
      <c r="A1609" s="36" t="str">
        <f aca="false">IF(Raw_Export!$A1609="","",TRIM(Raw_Export!A1609))</f>
        <v>TXN-101575</v>
      </c>
      <c r="B1609" s="37" t="n">
        <f aca="false">IF(Raw_Export!$A1609="","",IF(ISNUMBER(Raw_Export!B1609),Raw_Export!B1609,IF(MID(TRIM(Raw_Export!B1609),5,1)="-",DATE(LEFT(TRIM(Raw_Export!B1609),4),MID(TRIM(Raw_Export!B1609),6,2),RIGHT(TRIM(Raw_Export!B1609),2)),DATE(RIGHT(TRIM(Raw_Export!B1609),4),MATCH(MID(TRIM(Raw_Export!B1609),4,3),{"Jan","Feb","Mar","Apr","May","Jun","Jul","Aug","Sep","Oct","Nov","Dec"},0),LEFT(TRIM(Raw_Export!B1609),2)))))</f>
        <v>46275</v>
      </c>
      <c r="C1609" s="36" t="str">
        <f aca="false">IF(Raw_Export!$A1609="","",IFERROR(VLOOKUP(LOWER(TRIM(Raw_Export!C1609)),Maps!$A$2:$B$20,2,FALSE()),"UNMAPPED"))</f>
        <v>Kisumu</v>
      </c>
      <c r="D1609" s="36" t="str">
        <f aca="false">IF(Raw_Export!$A1609="","",IFERROR(VLOOKUP(LOWER(TRIM(Raw_Export!D1609)),Maps!$G$2:$I$80,2,FALSE()),"UNMAPPED"))</f>
        <v>Sanitary Pads 8pk</v>
      </c>
      <c r="E1609" s="36" t="str">
        <f aca="false">IF(Raw_Export!$A1609="","",IFERROR(VLOOKUP(LOWER(TRIM(Raw_Export!D1609)),Maps!$G$2:$I$80,3,FALSE()),"UNMAPPED"))</f>
        <v>Personal Care</v>
      </c>
      <c r="F1609" s="36" t="n">
        <f aca="false">IF(Raw_Export!$A1609="","",IFERROR(VALUE(TRIM(Raw_Export!E1609)),0))</f>
        <v>3</v>
      </c>
      <c r="G1609" s="38" t="n">
        <f aca="false">IF(Raw_Export!$A1609="","",IFERROR(VALUE(SUBSTITUTE(SUBSTITUTE(UPPER(TRIM(Raw_Export!F1609)),"KES",""),",","")),0))</f>
        <v>130</v>
      </c>
      <c r="H1609" s="38" t="n">
        <f aca="false">IF(Raw_Export!$A1609="","",F1609*G1609)</f>
        <v>390</v>
      </c>
      <c r="I1609" s="36" t="str">
        <f aca="false">IF(Raw_Export!$A1609="","",IFERROR(VLOOKUP(LOWER(TRIM(Raw_Export!H1609)),Maps!$D$2:$E$12,2,FALSE()),"Other"))</f>
        <v>Cash</v>
      </c>
      <c r="J1609" s="36" t="str">
        <f aca="false">IF(Raw_Export!$A1609="","",IF(COUNTIF($A$2:A1609,A1609)&gt;1,"Duplicate",""))</f>
        <v/>
      </c>
      <c r="K1609" s="36" t="str">
        <f aca="false">IF(Raw_Export!$A1609="","",IF(J1609="Duplicate","Duplicate",IF(OR(C1609="UNMAPPED",D1609="UNMAPPED"),"Unmapped",IF(F1609=0,"Blank qty",IF(F1609&lt;0,"Return","OK")))))</f>
        <v>OK</v>
      </c>
      <c r="L1609" s="36" t="n">
        <f aca="false">IF(Raw_Export!$A1609="","",IF(OR(K1609="OK",K1609="Return"),1,0))</f>
        <v>1</v>
      </c>
      <c r="M1609" s="37" t="n">
        <f aca="false">IF(Raw_Export!$A1609="","",B1609-WEEKDAY(B1609,2)+1)</f>
        <v>46272</v>
      </c>
    </row>
    <row r="1610" customFormat="false" ht="15" hidden="false" customHeight="false" outlineLevel="0" collapsed="false">
      <c r="A1610" s="36" t="str">
        <f aca="false">IF(Raw_Export!$A1610="","",TRIM(Raw_Export!A1610))</f>
        <v>TXN-101576</v>
      </c>
      <c r="B1610" s="37" t="n">
        <f aca="false">IF(Raw_Export!$A1610="","",IF(ISNUMBER(Raw_Export!B1610),Raw_Export!B1610,IF(MID(TRIM(Raw_Export!B1610),5,1)="-",DATE(LEFT(TRIM(Raw_Export!B1610),4),MID(TRIM(Raw_Export!B1610),6,2),RIGHT(TRIM(Raw_Export!B1610),2)),DATE(RIGHT(TRIM(Raw_Export!B1610),4),MATCH(MID(TRIM(Raw_Export!B1610),4,3),{"Jan","Feb","Mar","Apr","May","Jun","Jul","Aug","Sep","Oct","Nov","Dec"},0),LEFT(TRIM(Raw_Export!B1610),2)))))</f>
        <v>46275</v>
      </c>
      <c r="C1610" s="36" t="str">
        <f aca="false">IF(Raw_Export!$A1610="","",IFERROR(VLOOKUP(LOWER(TRIM(Raw_Export!C1610)),Maps!$A$2:$B$20,2,FALSE()),"UNMAPPED"))</f>
        <v>Kisumu</v>
      </c>
      <c r="D1610" s="36" t="str">
        <f aca="false">IF(Raw_Export!$A1610="","",IFERROR(VLOOKUP(LOWER(TRIM(Raw_Export!D1610)),Maps!$G$2:$I$80,2,FALSE()),"UNMAPPED"))</f>
        <v>Tea Leaves 250g</v>
      </c>
      <c r="E1610" s="36" t="str">
        <f aca="false">IF(Raw_Export!$A1610="","",IFERROR(VLOOKUP(LOWER(TRIM(Raw_Export!D1610)),Maps!$G$2:$I$80,3,FALSE()),"UNMAPPED"))</f>
        <v>Beverages</v>
      </c>
      <c r="F1610" s="36" t="n">
        <f aca="false">IF(Raw_Export!$A1610="","",IFERROR(VALUE(TRIM(Raw_Export!E1610)),0))</f>
        <v>3</v>
      </c>
      <c r="G1610" s="38" t="n">
        <f aca="false">IF(Raw_Export!$A1610="","",IFERROR(VALUE(SUBSTITUTE(SUBSTITUTE(UPPER(TRIM(Raw_Export!F1610)),"KES",""),",","")),0))</f>
        <v>150</v>
      </c>
      <c r="H1610" s="38" t="n">
        <f aca="false">IF(Raw_Export!$A1610="","",F1610*G1610)</f>
        <v>450</v>
      </c>
      <c r="I1610" s="36" t="str">
        <f aca="false">IF(Raw_Export!$A1610="","",IFERROR(VLOOKUP(LOWER(TRIM(Raw_Export!H1610)),Maps!$D$2:$E$12,2,FALSE()),"Other"))</f>
        <v>M-Pesa</v>
      </c>
      <c r="J1610" s="36" t="str">
        <f aca="false">IF(Raw_Export!$A1610="","",IF(COUNTIF($A$2:A1610,A1610)&gt;1,"Duplicate",""))</f>
        <v/>
      </c>
      <c r="K1610" s="36" t="str">
        <f aca="false">IF(Raw_Export!$A1610="","",IF(J1610="Duplicate","Duplicate",IF(OR(C1610="UNMAPPED",D1610="UNMAPPED"),"Unmapped",IF(F1610=0,"Blank qty",IF(F1610&lt;0,"Return","OK")))))</f>
        <v>OK</v>
      </c>
      <c r="L1610" s="36" t="n">
        <f aca="false">IF(Raw_Export!$A1610="","",IF(OR(K1610="OK",K1610="Return"),1,0))</f>
        <v>1</v>
      </c>
      <c r="M1610" s="37" t="n">
        <f aca="false">IF(Raw_Export!$A1610="","",B1610-WEEKDAY(B1610,2)+1)</f>
        <v>46272</v>
      </c>
    </row>
    <row r="1611" customFormat="false" ht="15" hidden="false" customHeight="false" outlineLevel="0" collapsed="false">
      <c r="A1611" s="36" t="str">
        <f aca="false">IF(Raw_Export!$A1611="","",TRIM(Raw_Export!A1611))</f>
        <v>TXN-101577</v>
      </c>
      <c r="B1611" s="37" t="n">
        <f aca="false">IF(Raw_Export!$A1611="","",IF(ISNUMBER(Raw_Export!B1611),Raw_Export!B1611,IF(MID(TRIM(Raw_Export!B1611),5,1)="-",DATE(LEFT(TRIM(Raw_Export!B1611),4),MID(TRIM(Raw_Export!B1611),6,2),RIGHT(TRIM(Raw_Export!B1611),2)),DATE(RIGHT(TRIM(Raw_Export!B1611),4),MATCH(MID(TRIM(Raw_Export!B1611),4,3),{"Jan","Feb","Mar","Apr","May","Jun","Jul","Aug","Sep","Oct","Nov","Dec"},0),LEFT(TRIM(Raw_Export!B1611),2)))))</f>
        <v>46275</v>
      </c>
      <c r="C1611" s="36" t="str">
        <f aca="false">IF(Raw_Export!$A1611="","",IFERROR(VLOOKUP(LOWER(TRIM(Raw_Export!C1611)),Maps!$A$2:$B$20,2,FALSE()),"UNMAPPED"))</f>
        <v>Nakuru</v>
      </c>
      <c r="D1611" s="36" t="str">
        <f aca="false">IF(Raw_Export!$A1611="","",IFERROR(VLOOKUP(LOWER(TRIM(Raw_Export!D1611)),Maps!$G$2:$I$80,2,FALSE()),"UNMAPPED"))</f>
        <v>Soda 500ml</v>
      </c>
      <c r="E1611" s="36" t="str">
        <f aca="false">IF(Raw_Export!$A1611="","",IFERROR(VLOOKUP(LOWER(TRIM(Raw_Export!D1611)),Maps!$G$2:$I$80,3,FALSE()),"UNMAPPED"))</f>
        <v>Beverages</v>
      </c>
      <c r="F1611" s="36" t="n">
        <f aca="false">IF(Raw_Export!$A1611="","",IFERROR(VALUE(TRIM(Raw_Export!E1611)),0))</f>
        <v>3</v>
      </c>
      <c r="G1611" s="38" t="n">
        <f aca="false">IF(Raw_Export!$A1611="","",IFERROR(VALUE(SUBSTITUTE(SUBSTITUTE(UPPER(TRIM(Raw_Export!F1611)),"KES",""),",","")),0))</f>
        <v>54</v>
      </c>
      <c r="H1611" s="38" t="n">
        <f aca="false">IF(Raw_Export!$A1611="","",F1611*G1611)</f>
        <v>162</v>
      </c>
      <c r="I1611" s="36" t="str">
        <f aca="false">IF(Raw_Export!$A1611="","",IFERROR(VLOOKUP(LOWER(TRIM(Raw_Export!H1611)),Maps!$D$2:$E$12,2,FALSE()),"Other"))</f>
        <v>Cash</v>
      </c>
      <c r="J1611" s="36" t="str">
        <f aca="false">IF(Raw_Export!$A1611="","",IF(COUNTIF($A$2:A1611,A1611)&gt;1,"Duplicate",""))</f>
        <v/>
      </c>
      <c r="K1611" s="36" t="str">
        <f aca="false">IF(Raw_Export!$A1611="","",IF(J1611="Duplicate","Duplicate",IF(OR(C1611="UNMAPPED",D1611="UNMAPPED"),"Unmapped",IF(F1611=0,"Blank qty",IF(F1611&lt;0,"Return","OK")))))</f>
        <v>OK</v>
      </c>
      <c r="L1611" s="36" t="n">
        <f aca="false">IF(Raw_Export!$A1611="","",IF(OR(K1611="OK",K1611="Return"),1,0))</f>
        <v>1</v>
      </c>
      <c r="M1611" s="37" t="n">
        <f aca="false">IF(Raw_Export!$A1611="","",B1611-WEEKDAY(B1611,2)+1)</f>
        <v>46272</v>
      </c>
    </row>
    <row r="1612" customFormat="false" ht="15" hidden="false" customHeight="false" outlineLevel="0" collapsed="false">
      <c r="A1612" s="36" t="str">
        <f aca="false">IF(Raw_Export!$A1612="","",TRIM(Raw_Export!A1612))</f>
        <v>TXN-101578</v>
      </c>
      <c r="B1612" s="37" t="n">
        <f aca="false">IF(Raw_Export!$A1612="","",IF(ISNUMBER(Raw_Export!B1612),Raw_Export!B1612,IF(MID(TRIM(Raw_Export!B1612),5,1)="-",DATE(LEFT(TRIM(Raw_Export!B1612),4),MID(TRIM(Raw_Export!B1612),6,2),RIGHT(TRIM(Raw_Export!B1612),2)),DATE(RIGHT(TRIM(Raw_Export!B1612),4),MATCH(MID(TRIM(Raw_Export!B1612),4,3),{"Jan","Feb","Mar","Apr","May","Jun","Jul","Aug","Sep","Oct","Nov","Dec"},0),LEFT(TRIM(Raw_Export!B1612),2)))))</f>
        <v>46275</v>
      </c>
      <c r="C1612" s="36" t="str">
        <f aca="false">IF(Raw_Export!$A1612="","",IFERROR(VLOOKUP(LOWER(TRIM(Raw_Export!C1612)),Maps!$A$2:$B$20,2,FALSE()),"UNMAPPED"))</f>
        <v>Nakuru</v>
      </c>
      <c r="D1612" s="36" t="str">
        <f aca="false">IF(Raw_Export!$A1612="","",IFERROR(VLOOKUP(LOWER(TRIM(Raw_Export!D1612)),Maps!$G$2:$I$80,2,FALSE()),"UNMAPPED"))</f>
        <v>Sugar 2kg</v>
      </c>
      <c r="E1612" s="36" t="str">
        <f aca="false">IF(Raw_Export!$A1612="","",IFERROR(VLOOKUP(LOWER(TRIM(Raw_Export!D1612)),Maps!$G$2:$I$80,3,FALSE()),"UNMAPPED"))</f>
        <v>Staples</v>
      </c>
      <c r="F1612" s="36" t="n">
        <f aca="false">IF(Raw_Export!$A1612="","",IFERROR(VALUE(TRIM(Raw_Export!E1612)),0))</f>
        <v>6</v>
      </c>
      <c r="G1612" s="38" t="n">
        <f aca="false">IF(Raw_Export!$A1612="","",IFERROR(VALUE(SUBSTITUTE(SUBSTITUTE(UPPER(TRIM(Raw_Export!F1612)),"KES",""),",","")),0))</f>
        <v>330</v>
      </c>
      <c r="H1612" s="38" t="n">
        <f aca="false">IF(Raw_Export!$A1612="","",F1612*G1612)</f>
        <v>1980</v>
      </c>
      <c r="I1612" s="36" t="str">
        <f aca="false">IF(Raw_Export!$A1612="","",IFERROR(VLOOKUP(LOWER(TRIM(Raw_Export!H1612)),Maps!$D$2:$E$12,2,FALSE()),"Other"))</f>
        <v>M-Pesa</v>
      </c>
      <c r="J1612" s="36" t="str">
        <f aca="false">IF(Raw_Export!$A1612="","",IF(COUNTIF($A$2:A1612,A1612)&gt;1,"Duplicate",""))</f>
        <v/>
      </c>
      <c r="K1612" s="36" t="str">
        <f aca="false">IF(Raw_Export!$A1612="","",IF(J1612="Duplicate","Duplicate",IF(OR(C1612="UNMAPPED",D1612="UNMAPPED"),"Unmapped",IF(F1612=0,"Blank qty",IF(F1612&lt;0,"Return","OK")))))</f>
        <v>OK</v>
      </c>
      <c r="L1612" s="36" t="n">
        <f aca="false">IF(Raw_Export!$A1612="","",IF(OR(K1612="OK",K1612="Return"),1,0))</f>
        <v>1</v>
      </c>
      <c r="M1612" s="37" t="n">
        <f aca="false">IF(Raw_Export!$A1612="","",B1612-WEEKDAY(B1612,2)+1)</f>
        <v>46272</v>
      </c>
    </row>
    <row r="1613" customFormat="false" ht="15" hidden="false" customHeight="false" outlineLevel="0" collapsed="false">
      <c r="A1613" s="36" t="str">
        <f aca="false">IF(Raw_Export!$A1613="","",TRIM(Raw_Export!A1613))</f>
        <v>TXN-101579</v>
      </c>
      <c r="B1613" s="37" t="n">
        <f aca="false">IF(Raw_Export!$A1613="","",IF(ISNUMBER(Raw_Export!B1613),Raw_Export!B1613,IF(MID(TRIM(Raw_Export!B1613),5,1)="-",DATE(LEFT(TRIM(Raw_Export!B1613),4),MID(TRIM(Raw_Export!B1613),6,2),RIGHT(TRIM(Raw_Export!B1613),2)),DATE(RIGHT(TRIM(Raw_Export!B1613),4),MATCH(MID(TRIM(Raw_Export!B1613),4,3),{"Jan","Feb","Mar","Apr","May","Jun","Jul","Aug","Sep","Oct","Nov","Dec"},0),LEFT(TRIM(Raw_Export!B1613),2)))))</f>
        <v>46275</v>
      </c>
      <c r="C1613" s="36" t="str">
        <f aca="false">IF(Raw_Export!$A1613="","",IFERROR(VLOOKUP(LOWER(TRIM(Raw_Export!C1613)),Maps!$A$2:$B$20,2,FALSE()),"UNMAPPED"))</f>
        <v>Nakuru</v>
      </c>
      <c r="D1613" s="36" t="str">
        <f aca="false">IF(Raw_Export!$A1613="","",IFERROR(VLOOKUP(LOWER(TRIM(Raw_Export!D1613)),Maps!$G$2:$I$80,2,FALSE()),"UNMAPPED"))</f>
        <v>Tea Leaves 250g</v>
      </c>
      <c r="E1613" s="36" t="str">
        <f aca="false">IF(Raw_Export!$A1613="","",IFERROR(VLOOKUP(LOWER(TRIM(Raw_Export!D1613)),Maps!$G$2:$I$80,3,FALSE()),"UNMAPPED"))</f>
        <v>Beverages</v>
      </c>
      <c r="F1613" s="36" t="n">
        <f aca="false">IF(Raw_Export!$A1613="","",IFERROR(VALUE(TRIM(Raw_Export!E1613)),0))</f>
        <v>2</v>
      </c>
      <c r="G1613" s="38" t="n">
        <f aca="false">IF(Raw_Export!$A1613="","",IFERROR(VALUE(SUBSTITUTE(SUBSTITUTE(UPPER(TRIM(Raw_Export!F1613)),"KES",""),",","")),0))</f>
        <v>150</v>
      </c>
      <c r="H1613" s="38" t="n">
        <f aca="false">IF(Raw_Export!$A1613="","",F1613*G1613)</f>
        <v>300</v>
      </c>
      <c r="I1613" s="36" t="str">
        <f aca="false">IF(Raw_Export!$A1613="","",IFERROR(VLOOKUP(LOWER(TRIM(Raw_Export!H1613)),Maps!$D$2:$E$12,2,FALSE()),"Other"))</f>
        <v>Cash</v>
      </c>
      <c r="J1613" s="36" t="str">
        <f aca="false">IF(Raw_Export!$A1613="","",IF(COUNTIF($A$2:A1613,A1613)&gt;1,"Duplicate",""))</f>
        <v/>
      </c>
      <c r="K1613" s="36" t="str">
        <f aca="false">IF(Raw_Export!$A1613="","",IF(J1613="Duplicate","Duplicate",IF(OR(C1613="UNMAPPED",D1613="UNMAPPED"),"Unmapped",IF(F1613=0,"Blank qty",IF(F1613&lt;0,"Return","OK")))))</f>
        <v>OK</v>
      </c>
      <c r="L1613" s="36" t="n">
        <f aca="false">IF(Raw_Export!$A1613="","",IF(OR(K1613="OK",K1613="Return"),1,0))</f>
        <v>1</v>
      </c>
      <c r="M1613" s="37" t="n">
        <f aca="false">IF(Raw_Export!$A1613="","",B1613-WEEKDAY(B1613,2)+1)</f>
        <v>46272</v>
      </c>
    </row>
    <row r="1614" customFormat="false" ht="15" hidden="false" customHeight="false" outlineLevel="0" collapsed="false">
      <c r="A1614" s="36" t="str">
        <f aca="false">IF(Raw_Export!$A1614="","",TRIM(Raw_Export!A1614))</f>
        <v>TXN-101580</v>
      </c>
      <c r="B1614" s="37" t="n">
        <f aca="false">IF(Raw_Export!$A1614="","",IF(ISNUMBER(Raw_Export!B1614),Raw_Export!B1614,IF(MID(TRIM(Raw_Export!B1614),5,1)="-",DATE(LEFT(TRIM(Raw_Export!B1614),4),MID(TRIM(Raw_Export!B1614),6,2),RIGHT(TRIM(Raw_Export!B1614),2)),DATE(RIGHT(TRIM(Raw_Export!B1614),4),MATCH(MID(TRIM(Raw_Export!B1614),4,3),{"Jan","Feb","Mar","Apr","May","Jun","Jul","Aug","Sep","Oct","Nov","Dec"},0),LEFT(TRIM(Raw_Export!B1614),2)))))</f>
        <v>46275</v>
      </c>
      <c r="C1614" s="36" t="str">
        <f aca="false">IF(Raw_Export!$A1614="","",IFERROR(VLOOKUP(LOWER(TRIM(Raw_Export!C1614)),Maps!$A$2:$B$20,2,FALSE()),"UNMAPPED"))</f>
        <v>Nakuru</v>
      </c>
      <c r="D1614" s="36" t="str">
        <f aca="false">IF(Raw_Export!$A1614="","",IFERROR(VLOOKUP(LOWER(TRIM(Raw_Export!D1614)),Maps!$G$2:$I$80,2,FALSE()),"UNMAPPED"))</f>
        <v>Peanuts 250g</v>
      </c>
      <c r="E1614" s="36" t="str">
        <f aca="false">IF(Raw_Export!$A1614="","",IFERROR(VLOOKUP(LOWER(TRIM(Raw_Export!D1614)),Maps!$G$2:$I$80,3,FALSE()),"UNMAPPED"))</f>
        <v>Snacks</v>
      </c>
      <c r="F1614" s="36" t="n">
        <f aca="false">IF(Raw_Export!$A1614="","",IFERROR(VALUE(TRIM(Raw_Export!E1614)),0))</f>
        <v>1</v>
      </c>
      <c r="G1614" s="38" t="n">
        <f aca="false">IF(Raw_Export!$A1614="","",IFERROR(VALUE(SUBSTITUTE(SUBSTITUTE(UPPER(TRIM(Raw_Export!F1614)),"KES",""),",","")),0))</f>
        <v>130</v>
      </c>
      <c r="H1614" s="38" t="n">
        <f aca="false">IF(Raw_Export!$A1614="","",F1614*G1614)</f>
        <v>130</v>
      </c>
      <c r="I1614" s="36" t="str">
        <f aca="false">IF(Raw_Export!$A1614="","",IFERROR(VLOOKUP(LOWER(TRIM(Raw_Export!H1614)),Maps!$D$2:$E$12,2,FALSE()),"Other"))</f>
        <v>Card</v>
      </c>
      <c r="J1614" s="36" t="str">
        <f aca="false">IF(Raw_Export!$A1614="","",IF(COUNTIF($A$2:A1614,A1614)&gt;1,"Duplicate",""))</f>
        <v/>
      </c>
      <c r="K1614" s="36" t="str">
        <f aca="false">IF(Raw_Export!$A1614="","",IF(J1614="Duplicate","Duplicate",IF(OR(C1614="UNMAPPED",D1614="UNMAPPED"),"Unmapped",IF(F1614=0,"Blank qty",IF(F1614&lt;0,"Return","OK")))))</f>
        <v>OK</v>
      </c>
      <c r="L1614" s="36" t="n">
        <f aca="false">IF(Raw_Export!$A1614="","",IF(OR(K1614="OK",K1614="Return"),1,0))</f>
        <v>1</v>
      </c>
      <c r="M1614" s="37" t="n">
        <f aca="false">IF(Raw_Export!$A1614="","",B1614-WEEKDAY(B1614,2)+1)</f>
        <v>46272</v>
      </c>
    </row>
    <row r="1615" customFormat="false" ht="15" hidden="false" customHeight="false" outlineLevel="0" collapsed="false">
      <c r="A1615" s="36" t="str">
        <f aca="false">IF(Raw_Export!$A1615="","",TRIM(Raw_Export!A1615))</f>
        <v>TXN-101581</v>
      </c>
      <c r="B1615" s="37" t="n">
        <f aca="false">IF(Raw_Export!$A1615="","",IF(ISNUMBER(Raw_Export!B1615),Raw_Export!B1615,IF(MID(TRIM(Raw_Export!B1615),5,1)="-",DATE(LEFT(TRIM(Raw_Export!B1615),4),MID(TRIM(Raw_Export!B1615),6,2),RIGHT(TRIM(Raw_Export!B1615),2)),DATE(RIGHT(TRIM(Raw_Export!B1615),4),MATCH(MID(TRIM(Raw_Export!B1615),4,3),{"Jan","Feb","Mar","Apr","May","Jun","Jul","Aug","Sep","Oct","Nov","Dec"},0),LEFT(TRIM(Raw_Export!B1615),2)))))</f>
        <v>46275</v>
      </c>
      <c r="C1615" s="36" t="str">
        <f aca="false">IF(Raw_Export!$A1615="","",IFERROR(VLOOKUP(LOWER(TRIM(Raw_Export!C1615)),Maps!$A$2:$B$20,2,FALSE()),"UNMAPPED"))</f>
        <v>Nakuru</v>
      </c>
      <c r="D1615" s="36" t="str">
        <f aca="false">IF(Raw_Export!$A1615="","",IFERROR(VLOOKUP(LOWER(TRIM(Raw_Export!D1615)),Maps!$G$2:$I$80,2,FALSE()),"UNMAPPED"))</f>
        <v>Fresh Milk 500ml</v>
      </c>
      <c r="E1615" s="36" t="str">
        <f aca="false">IF(Raw_Export!$A1615="","",IFERROR(VLOOKUP(LOWER(TRIM(Raw_Export!D1615)),Maps!$G$2:$I$80,3,FALSE()),"UNMAPPED"))</f>
        <v>Dairy &amp; Eggs</v>
      </c>
      <c r="F1615" s="36" t="n">
        <f aca="false">IF(Raw_Export!$A1615="","",IFERROR(VALUE(TRIM(Raw_Export!E1615)),0))</f>
        <v>-4</v>
      </c>
      <c r="G1615" s="38" t="n">
        <f aca="false">IF(Raw_Export!$A1615="","",IFERROR(VALUE(SUBSTITUTE(SUBSTITUTE(UPPER(TRIM(Raw_Export!F1615)),"KES",""),",","")),0))</f>
        <v>65</v>
      </c>
      <c r="H1615" s="38" t="n">
        <f aca="false">IF(Raw_Export!$A1615="","",F1615*G1615)</f>
        <v>-260</v>
      </c>
      <c r="I1615" s="36" t="str">
        <f aca="false">IF(Raw_Export!$A1615="","",IFERROR(VLOOKUP(LOWER(TRIM(Raw_Export!H1615)),Maps!$D$2:$E$12,2,FALSE()),"Other"))</f>
        <v>Cash</v>
      </c>
      <c r="J1615" s="36" t="str">
        <f aca="false">IF(Raw_Export!$A1615="","",IF(COUNTIF($A$2:A1615,A1615)&gt;1,"Duplicate",""))</f>
        <v/>
      </c>
      <c r="K1615" s="36" t="str">
        <f aca="false">IF(Raw_Export!$A1615="","",IF(J1615="Duplicate","Duplicate",IF(OR(C1615="UNMAPPED",D1615="UNMAPPED"),"Unmapped",IF(F1615=0,"Blank qty",IF(F1615&lt;0,"Return","OK")))))</f>
        <v>Return</v>
      </c>
      <c r="L1615" s="36" t="n">
        <f aca="false">IF(Raw_Export!$A1615="","",IF(OR(K1615="OK",K1615="Return"),1,0))</f>
        <v>1</v>
      </c>
      <c r="M1615" s="37" t="n">
        <f aca="false">IF(Raw_Export!$A1615="","",B1615-WEEKDAY(B1615,2)+1)</f>
        <v>46272</v>
      </c>
    </row>
    <row r="1616" customFormat="false" ht="15" hidden="false" customHeight="false" outlineLevel="0" collapsed="false">
      <c r="A1616" s="36" t="str">
        <f aca="false">IF(Raw_Export!$A1616="","",TRIM(Raw_Export!A1616))</f>
        <v>TXN-101582</v>
      </c>
      <c r="B1616" s="37" t="n">
        <f aca="false">IF(Raw_Export!$A1616="","",IF(ISNUMBER(Raw_Export!B1616),Raw_Export!B1616,IF(MID(TRIM(Raw_Export!B1616),5,1)="-",DATE(LEFT(TRIM(Raw_Export!B1616),4),MID(TRIM(Raw_Export!B1616),6,2),RIGHT(TRIM(Raw_Export!B1616),2)),DATE(RIGHT(TRIM(Raw_Export!B1616),4),MATCH(MID(TRIM(Raw_Export!B1616),4,3),{"Jan","Feb","Mar","Apr","May","Jun","Jul","Aug","Sep","Oct","Nov","Dec"},0),LEFT(TRIM(Raw_Export!B1616),2)))))</f>
        <v>46275</v>
      </c>
      <c r="C1616" s="36" t="str">
        <f aca="false">IF(Raw_Export!$A1616="","",IFERROR(VLOOKUP(LOWER(TRIM(Raw_Export!C1616)),Maps!$A$2:$B$20,2,FALSE()),"UNMAPPED"))</f>
        <v>Nakuru</v>
      </c>
      <c r="D1616" s="36" t="str">
        <f aca="false">IF(Raw_Export!$A1616="","",IFERROR(VLOOKUP(LOWER(TRIM(Raw_Export!D1616)),Maps!$G$2:$I$80,2,FALSE()),"UNMAPPED"))</f>
        <v>Fresh Milk 500ml</v>
      </c>
      <c r="E1616" s="36" t="str">
        <f aca="false">IF(Raw_Export!$A1616="","",IFERROR(VLOOKUP(LOWER(TRIM(Raw_Export!D1616)),Maps!$G$2:$I$80,3,FALSE()),"UNMAPPED"))</f>
        <v>Dairy &amp; Eggs</v>
      </c>
      <c r="F1616" s="36" t="n">
        <f aca="false">IF(Raw_Export!$A1616="","",IFERROR(VALUE(TRIM(Raw_Export!E1616)),0))</f>
        <v>4</v>
      </c>
      <c r="G1616" s="38" t="n">
        <f aca="false">IF(Raw_Export!$A1616="","",IFERROR(VALUE(SUBSTITUTE(SUBSTITUTE(UPPER(TRIM(Raw_Export!F1616)),"KES",""),",","")),0))</f>
        <v>65</v>
      </c>
      <c r="H1616" s="38" t="n">
        <f aca="false">IF(Raw_Export!$A1616="","",F1616*G1616)</f>
        <v>260</v>
      </c>
      <c r="I1616" s="36" t="str">
        <f aca="false">IF(Raw_Export!$A1616="","",IFERROR(VLOOKUP(LOWER(TRIM(Raw_Export!H1616)),Maps!$D$2:$E$12,2,FALSE()),"Other"))</f>
        <v>Cash</v>
      </c>
      <c r="J1616" s="36" t="str">
        <f aca="false">IF(Raw_Export!$A1616="","",IF(COUNTIF($A$2:A1616,A1616)&gt;1,"Duplicate",""))</f>
        <v/>
      </c>
      <c r="K1616" s="36" t="str">
        <f aca="false">IF(Raw_Export!$A1616="","",IF(J1616="Duplicate","Duplicate",IF(OR(C1616="UNMAPPED",D1616="UNMAPPED"),"Unmapped",IF(F1616=0,"Blank qty",IF(F1616&lt;0,"Return","OK")))))</f>
        <v>OK</v>
      </c>
      <c r="L1616" s="36" t="n">
        <f aca="false">IF(Raw_Export!$A1616="","",IF(OR(K1616="OK",K1616="Return"),1,0))</f>
        <v>1</v>
      </c>
      <c r="M1616" s="37" t="n">
        <f aca="false">IF(Raw_Export!$A1616="","",B1616-WEEKDAY(B1616,2)+1)</f>
        <v>46272</v>
      </c>
    </row>
    <row r="1617" customFormat="false" ht="15" hidden="false" customHeight="false" outlineLevel="0" collapsed="false">
      <c r="A1617" s="36" t="str">
        <f aca="false">IF(Raw_Export!$A1617="","",TRIM(Raw_Export!A1617))</f>
        <v>TXN-101583</v>
      </c>
      <c r="B1617" s="37" t="n">
        <f aca="false">IF(Raw_Export!$A1617="","",IF(ISNUMBER(Raw_Export!B1617),Raw_Export!B1617,IF(MID(TRIM(Raw_Export!B1617),5,1)="-",DATE(LEFT(TRIM(Raw_Export!B1617),4),MID(TRIM(Raw_Export!B1617),6,2),RIGHT(TRIM(Raw_Export!B1617),2)),DATE(RIGHT(TRIM(Raw_Export!B1617),4),MATCH(MID(TRIM(Raw_Export!B1617),4,3),{"Jan","Feb","Mar","Apr","May","Jun","Jul","Aug","Sep","Oct","Nov","Dec"},0),LEFT(TRIM(Raw_Export!B1617),2)))))</f>
        <v>46275</v>
      </c>
      <c r="C1617" s="36" t="str">
        <f aca="false">IF(Raw_Export!$A1617="","",IFERROR(VLOOKUP(LOWER(TRIM(Raw_Export!C1617)),Maps!$A$2:$B$20,2,FALSE()),"UNMAPPED"))</f>
        <v>Nakuru</v>
      </c>
      <c r="D1617" s="36" t="str">
        <f aca="false">IF(Raw_Export!$A1617="","",IFERROR(VLOOKUP(LOWER(TRIM(Raw_Export!D1617)),Maps!$G$2:$I$80,2,FALSE()),"UNMAPPED"))</f>
        <v>Cooking Oil 1L</v>
      </c>
      <c r="E1617" s="36" t="str">
        <f aca="false">IF(Raw_Export!$A1617="","",IFERROR(VLOOKUP(LOWER(TRIM(Raw_Export!D1617)),Maps!$G$2:$I$80,3,FALSE()),"UNMAPPED"))</f>
        <v>Staples</v>
      </c>
      <c r="F1617" s="36" t="n">
        <f aca="false">IF(Raw_Export!$A1617="","",IFERROR(VALUE(TRIM(Raw_Export!E1617)),0))</f>
        <v>2</v>
      </c>
      <c r="G1617" s="38" t="n">
        <f aca="false">IF(Raw_Export!$A1617="","",IFERROR(VALUE(SUBSTITUTE(SUBSTITUTE(UPPER(TRIM(Raw_Export!F1617)),"KES",""),",","")),0))</f>
        <v>330</v>
      </c>
      <c r="H1617" s="38" t="n">
        <f aca="false">IF(Raw_Export!$A1617="","",F1617*G1617)</f>
        <v>660</v>
      </c>
      <c r="I1617" s="36" t="str">
        <f aca="false">IF(Raw_Export!$A1617="","",IFERROR(VLOOKUP(LOWER(TRIM(Raw_Export!H1617)),Maps!$D$2:$E$12,2,FALSE()),"Other"))</f>
        <v>Cash</v>
      </c>
      <c r="J1617" s="36" t="str">
        <f aca="false">IF(Raw_Export!$A1617="","",IF(COUNTIF($A$2:A1617,A1617)&gt;1,"Duplicate",""))</f>
        <v/>
      </c>
      <c r="K1617" s="36" t="str">
        <f aca="false">IF(Raw_Export!$A1617="","",IF(J1617="Duplicate","Duplicate",IF(OR(C1617="UNMAPPED",D1617="UNMAPPED"),"Unmapped",IF(F1617=0,"Blank qty",IF(F1617&lt;0,"Return","OK")))))</f>
        <v>OK</v>
      </c>
      <c r="L1617" s="36" t="n">
        <f aca="false">IF(Raw_Export!$A1617="","",IF(OR(K1617="OK",K1617="Return"),1,0))</f>
        <v>1</v>
      </c>
      <c r="M1617" s="37" t="n">
        <f aca="false">IF(Raw_Export!$A1617="","",B1617-WEEKDAY(B1617,2)+1)</f>
        <v>46272</v>
      </c>
    </row>
    <row r="1618" customFormat="false" ht="15" hidden="false" customHeight="false" outlineLevel="0" collapsed="false">
      <c r="A1618" s="36" t="str">
        <f aca="false">IF(Raw_Export!$A1618="","",TRIM(Raw_Export!A1618))</f>
        <v>TXN-101584</v>
      </c>
      <c r="B1618" s="37" t="n">
        <f aca="false">IF(Raw_Export!$A1618="","",IF(ISNUMBER(Raw_Export!B1618),Raw_Export!B1618,IF(MID(TRIM(Raw_Export!B1618),5,1)="-",DATE(LEFT(TRIM(Raw_Export!B1618),4),MID(TRIM(Raw_Export!B1618),6,2),RIGHT(TRIM(Raw_Export!B1618),2)),DATE(RIGHT(TRIM(Raw_Export!B1618),4),MATCH(MID(TRIM(Raw_Export!B1618),4,3),{"Jan","Feb","Mar","Apr","May","Jun","Jul","Aug","Sep","Oct","Nov","Dec"},0),LEFT(TRIM(Raw_Export!B1618),2)))))</f>
        <v>46275</v>
      </c>
      <c r="C1618" s="36" t="str">
        <f aca="false">IF(Raw_Export!$A1618="","",IFERROR(VLOOKUP(LOWER(TRIM(Raw_Export!C1618)),Maps!$A$2:$B$20,2,FALSE()),"UNMAPPED"))</f>
        <v>Nakuru</v>
      </c>
      <c r="D1618" s="36" t="str">
        <f aca="false">IF(Raw_Export!$A1618="","",IFERROR(VLOOKUP(LOWER(TRIM(Raw_Export!D1618)),Maps!$G$2:$I$80,2,FALSE()),"UNMAPPED"))</f>
        <v>Cooking Oil 1L</v>
      </c>
      <c r="E1618" s="36" t="str">
        <f aca="false">IF(Raw_Export!$A1618="","",IFERROR(VLOOKUP(LOWER(TRIM(Raw_Export!D1618)),Maps!$G$2:$I$80,3,FALSE()),"UNMAPPED"))</f>
        <v>Staples</v>
      </c>
      <c r="F1618" s="36" t="n">
        <f aca="false">IF(Raw_Export!$A1618="","",IFERROR(VALUE(TRIM(Raw_Export!E1618)),0))</f>
        <v>1</v>
      </c>
      <c r="G1618" s="38" t="n">
        <f aca="false">IF(Raw_Export!$A1618="","",IFERROR(VALUE(SUBSTITUTE(SUBSTITUTE(UPPER(TRIM(Raw_Export!F1618)),"KES",""),",","")),0))</f>
        <v>330</v>
      </c>
      <c r="H1618" s="38" t="n">
        <f aca="false">IF(Raw_Export!$A1618="","",F1618*G1618)</f>
        <v>330</v>
      </c>
      <c r="I1618" s="36" t="str">
        <f aca="false">IF(Raw_Export!$A1618="","",IFERROR(VLOOKUP(LOWER(TRIM(Raw_Export!H1618)),Maps!$D$2:$E$12,2,FALSE()),"Other"))</f>
        <v>Card</v>
      </c>
      <c r="J1618" s="36" t="str">
        <f aca="false">IF(Raw_Export!$A1618="","",IF(COUNTIF($A$2:A1618,A1618)&gt;1,"Duplicate",""))</f>
        <v/>
      </c>
      <c r="K1618" s="36" t="str">
        <f aca="false">IF(Raw_Export!$A1618="","",IF(J1618="Duplicate","Duplicate",IF(OR(C1618="UNMAPPED",D1618="UNMAPPED"),"Unmapped",IF(F1618=0,"Blank qty",IF(F1618&lt;0,"Return","OK")))))</f>
        <v>OK</v>
      </c>
      <c r="L1618" s="36" t="n">
        <f aca="false">IF(Raw_Export!$A1618="","",IF(OR(K1618="OK",K1618="Return"),1,0))</f>
        <v>1</v>
      </c>
      <c r="M1618" s="37" t="n">
        <f aca="false">IF(Raw_Export!$A1618="","",B1618-WEEKDAY(B1618,2)+1)</f>
        <v>46272</v>
      </c>
    </row>
    <row r="1619" customFormat="false" ht="15" hidden="false" customHeight="false" outlineLevel="0" collapsed="false">
      <c r="A1619" s="36" t="str">
        <f aca="false">IF(Raw_Export!$A1619="","",TRIM(Raw_Export!A1619))</f>
        <v>TXN-101585</v>
      </c>
      <c r="B1619" s="37" t="n">
        <f aca="false">IF(Raw_Export!$A1619="","",IF(ISNUMBER(Raw_Export!B1619),Raw_Export!B1619,IF(MID(TRIM(Raw_Export!B1619),5,1)="-",DATE(LEFT(TRIM(Raw_Export!B1619),4),MID(TRIM(Raw_Export!B1619),6,2),RIGHT(TRIM(Raw_Export!B1619),2)),DATE(RIGHT(TRIM(Raw_Export!B1619),4),MATCH(MID(TRIM(Raw_Export!B1619),4,3),{"Jan","Feb","Mar","Apr","May","Jun","Jul","Aug","Sep","Oct","Nov","Dec"},0),LEFT(TRIM(Raw_Export!B1619),2)))))</f>
        <v>46275</v>
      </c>
      <c r="C1619" s="36" t="str">
        <f aca="false">IF(Raw_Export!$A1619="","",IFERROR(VLOOKUP(LOWER(TRIM(Raw_Export!C1619)),Maps!$A$2:$B$20,2,FALSE()),"UNMAPPED"))</f>
        <v>Nakuru</v>
      </c>
      <c r="D1619" s="36" t="str">
        <f aca="false">IF(Raw_Export!$A1619="","",IFERROR(VLOOKUP(LOWER(TRIM(Raw_Export!D1619)),Maps!$G$2:$I$80,2,FALSE()),"UNMAPPED"))</f>
        <v>Bottled Water 1.5L</v>
      </c>
      <c r="E1619" s="36" t="str">
        <f aca="false">IF(Raw_Export!$A1619="","",IFERROR(VLOOKUP(LOWER(TRIM(Raw_Export!D1619)),Maps!$G$2:$I$80,3,FALSE()),"UNMAPPED"))</f>
        <v>Beverages</v>
      </c>
      <c r="F1619" s="36" t="n">
        <f aca="false">IF(Raw_Export!$A1619="","",IFERROR(VALUE(TRIM(Raw_Export!E1619)),0))</f>
        <v>-6</v>
      </c>
      <c r="G1619" s="38" t="n">
        <f aca="false">IF(Raw_Export!$A1619="","",IFERROR(VALUE(SUBSTITUTE(SUBSTITUTE(UPPER(TRIM(Raw_Export!F1619)),"KES",""),",","")),0))</f>
        <v>90</v>
      </c>
      <c r="H1619" s="38" t="n">
        <f aca="false">IF(Raw_Export!$A1619="","",F1619*G1619)</f>
        <v>-540</v>
      </c>
      <c r="I1619" s="36" t="str">
        <f aca="false">IF(Raw_Export!$A1619="","",IFERROR(VLOOKUP(LOWER(TRIM(Raw_Export!H1619)),Maps!$D$2:$E$12,2,FALSE()),"Other"))</f>
        <v>Card</v>
      </c>
      <c r="J1619" s="36" t="str">
        <f aca="false">IF(Raw_Export!$A1619="","",IF(COUNTIF($A$2:A1619,A1619)&gt;1,"Duplicate",""))</f>
        <v/>
      </c>
      <c r="K1619" s="36" t="str">
        <f aca="false">IF(Raw_Export!$A1619="","",IF(J1619="Duplicate","Duplicate",IF(OR(C1619="UNMAPPED",D1619="UNMAPPED"),"Unmapped",IF(F1619=0,"Blank qty",IF(F1619&lt;0,"Return","OK")))))</f>
        <v>Return</v>
      </c>
      <c r="L1619" s="36" t="n">
        <f aca="false">IF(Raw_Export!$A1619="","",IF(OR(K1619="OK",K1619="Return"),1,0))</f>
        <v>1</v>
      </c>
      <c r="M1619" s="37" t="n">
        <f aca="false">IF(Raw_Export!$A1619="","",B1619-WEEKDAY(B1619,2)+1)</f>
        <v>46272</v>
      </c>
    </row>
    <row r="1620" customFormat="false" ht="15" hidden="false" customHeight="false" outlineLevel="0" collapsed="false">
      <c r="A1620" s="36" t="str">
        <f aca="false">IF(Raw_Export!$A1620="","",TRIM(Raw_Export!A1620))</f>
        <v>TXN-101586</v>
      </c>
      <c r="B1620" s="37" t="n">
        <f aca="false">IF(Raw_Export!$A1620="","",IF(ISNUMBER(Raw_Export!B1620),Raw_Export!B1620,IF(MID(TRIM(Raw_Export!B1620),5,1)="-",DATE(LEFT(TRIM(Raw_Export!B1620),4),MID(TRIM(Raw_Export!B1620),6,2),RIGHT(TRIM(Raw_Export!B1620),2)),DATE(RIGHT(TRIM(Raw_Export!B1620),4),MATCH(MID(TRIM(Raw_Export!B1620),4,3),{"Jan","Feb","Mar","Apr","May","Jun","Jul","Aug","Sep","Oct","Nov","Dec"},0),LEFT(TRIM(Raw_Export!B1620),2)))))</f>
        <v>46275</v>
      </c>
      <c r="C1620" s="36" t="str">
        <f aca="false">IF(Raw_Export!$A1620="","",IFERROR(VLOOKUP(LOWER(TRIM(Raw_Export!C1620)),Maps!$A$2:$B$20,2,FALSE()),"UNMAPPED"))</f>
        <v>Nakuru</v>
      </c>
      <c r="D1620" s="36" t="str">
        <f aca="false">IF(Raw_Export!$A1620="","",IFERROR(VLOOKUP(LOWER(TRIM(Raw_Export!D1620)),Maps!$G$2:$I$80,2,FALSE()),"UNMAPPED"))</f>
        <v>Yoghurt 500ml</v>
      </c>
      <c r="E1620" s="36" t="str">
        <f aca="false">IF(Raw_Export!$A1620="","",IFERROR(VLOOKUP(LOWER(TRIM(Raw_Export!D1620)),Maps!$G$2:$I$80,3,FALSE()),"UNMAPPED"))</f>
        <v>Dairy &amp; Eggs</v>
      </c>
      <c r="F1620" s="36" t="n">
        <f aca="false">IF(Raw_Export!$A1620="","",IFERROR(VALUE(TRIM(Raw_Export!E1620)),0))</f>
        <v>3</v>
      </c>
      <c r="G1620" s="38" t="n">
        <f aca="false">IF(Raw_Export!$A1620="","",IFERROR(VALUE(SUBSTITUTE(SUBSTITUTE(UPPER(TRIM(Raw_Export!F1620)),"KES",""),",","")),0))</f>
        <v>120</v>
      </c>
      <c r="H1620" s="38" t="n">
        <f aca="false">IF(Raw_Export!$A1620="","",F1620*G1620)</f>
        <v>360</v>
      </c>
      <c r="I1620" s="36" t="str">
        <f aca="false">IF(Raw_Export!$A1620="","",IFERROR(VLOOKUP(LOWER(TRIM(Raw_Export!H1620)),Maps!$D$2:$E$12,2,FALSE()),"Other"))</f>
        <v>M-Pesa</v>
      </c>
      <c r="J1620" s="36" t="str">
        <f aca="false">IF(Raw_Export!$A1620="","",IF(COUNTIF($A$2:A1620,A1620)&gt;1,"Duplicate",""))</f>
        <v/>
      </c>
      <c r="K1620" s="36" t="str">
        <f aca="false">IF(Raw_Export!$A1620="","",IF(J1620="Duplicate","Duplicate",IF(OR(C1620="UNMAPPED",D1620="UNMAPPED"),"Unmapped",IF(F1620=0,"Blank qty",IF(F1620&lt;0,"Return","OK")))))</f>
        <v>OK</v>
      </c>
      <c r="L1620" s="36" t="n">
        <f aca="false">IF(Raw_Export!$A1620="","",IF(OR(K1620="OK",K1620="Return"),1,0))</f>
        <v>1</v>
      </c>
      <c r="M1620" s="37" t="n">
        <f aca="false">IF(Raw_Export!$A1620="","",B1620-WEEKDAY(B1620,2)+1)</f>
        <v>46272</v>
      </c>
    </row>
    <row r="1621" customFormat="false" ht="15" hidden="false" customHeight="false" outlineLevel="0" collapsed="false">
      <c r="A1621" s="36" t="str">
        <f aca="false">IF(Raw_Export!$A1621="","",TRIM(Raw_Export!A1621))</f>
        <v>TXN-101587</v>
      </c>
      <c r="B1621" s="37" t="n">
        <f aca="false">IF(Raw_Export!$A1621="","",IF(ISNUMBER(Raw_Export!B1621),Raw_Export!B1621,IF(MID(TRIM(Raw_Export!B1621),5,1)="-",DATE(LEFT(TRIM(Raw_Export!B1621),4),MID(TRIM(Raw_Export!B1621),6,2),RIGHT(TRIM(Raw_Export!B1621),2)),DATE(RIGHT(TRIM(Raw_Export!B1621),4),MATCH(MID(TRIM(Raw_Export!B1621),4,3),{"Jan","Feb","Mar","Apr","May","Jun","Jul","Aug","Sep","Oct","Nov","Dec"},0),LEFT(TRIM(Raw_Export!B1621),2)))))</f>
        <v>46275</v>
      </c>
      <c r="C1621" s="36" t="str">
        <f aca="false">IF(Raw_Export!$A1621="","",IFERROR(VLOOKUP(LOWER(TRIM(Raw_Export!C1621)),Maps!$A$2:$B$20,2,FALSE()),"UNMAPPED"))</f>
        <v>Nakuru</v>
      </c>
      <c r="D1621" s="36" t="str">
        <f aca="false">IF(Raw_Export!$A1621="","",IFERROR(VLOOKUP(LOWER(TRIM(Raw_Export!D1621)),Maps!$G$2:$I$80,2,FALSE()),"UNMAPPED"))</f>
        <v>Salt 500g</v>
      </c>
      <c r="E1621" s="36" t="str">
        <f aca="false">IF(Raw_Export!$A1621="","",IFERROR(VLOOKUP(LOWER(TRIM(Raw_Export!D1621)),Maps!$G$2:$I$80,3,FALSE()),"UNMAPPED"))</f>
        <v>Staples</v>
      </c>
      <c r="F1621" s="36" t="n">
        <f aca="false">IF(Raw_Export!$A1621="","",IFERROR(VALUE(TRIM(Raw_Export!E1621)),0))</f>
        <v>2</v>
      </c>
      <c r="G1621" s="38" t="n">
        <f aca="false">IF(Raw_Export!$A1621="","",IFERROR(VALUE(SUBSTITUTE(SUBSTITUTE(UPPER(TRIM(Raw_Export!F1621)),"KES",""),",","")),0))</f>
        <v>40</v>
      </c>
      <c r="H1621" s="38" t="n">
        <f aca="false">IF(Raw_Export!$A1621="","",F1621*G1621)</f>
        <v>80</v>
      </c>
      <c r="I1621" s="36" t="str">
        <f aca="false">IF(Raw_Export!$A1621="","",IFERROR(VLOOKUP(LOWER(TRIM(Raw_Export!H1621)),Maps!$D$2:$E$12,2,FALSE()),"Other"))</f>
        <v>M-Pesa</v>
      </c>
      <c r="J1621" s="36" t="str">
        <f aca="false">IF(Raw_Export!$A1621="","",IF(COUNTIF($A$2:A1621,A1621)&gt;1,"Duplicate",""))</f>
        <v/>
      </c>
      <c r="K1621" s="36" t="str">
        <f aca="false">IF(Raw_Export!$A1621="","",IF(J1621="Duplicate","Duplicate",IF(OR(C1621="UNMAPPED",D1621="UNMAPPED"),"Unmapped",IF(F1621=0,"Blank qty",IF(F1621&lt;0,"Return","OK")))))</f>
        <v>OK</v>
      </c>
      <c r="L1621" s="36" t="n">
        <f aca="false">IF(Raw_Export!$A1621="","",IF(OR(K1621="OK",K1621="Return"),1,0))</f>
        <v>1</v>
      </c>
      <c r="M1621" s="37" t="n">
        <f aca="false">IF(Raw_Export!$A1621="","",B1621-WEEKDAY(B1621,2)+1)</f>
        <v>46272</v>
      </c>
    </row>
    <row r="1622" customFormat="false" ht="15" hidden="false" customHeight="false" outlineLevel="0" collapsed="false">
      <c r="A1622" s="36" t="str">
        <f aca="false">IF(Raw_Export!$A1622="","",TRIM(Raw_Export!A1622))</f>
        <v>TXN-101588</v>
      </c>
      <c r="B1622" s="37" t="n">
        <f aca="false">IF(Raw_Export!$A1622="","",IF(ISNUMBER(Raw_Export!B1622),Raw_Export!B1622,IF(MID(TRIM(Raw_Export!B1622),5,1)="-",DATE(LEFT(TRIM(Raw_Export!B1622),4),MID(TRIM(Raw_Export!B1622),6,2),RIGHT(TRIM(Raw_Export!B1622),2)),DATE(RIGHT(TRIM(Raw_Export!B1622),4),MATCH(MID(TRIM(Raw_Export!B1622),4,3),{"Jan","Feb","Mar","Apr","May","Jun","Jul","Aug","Sep","Oct","Nov","Dec"},0),LEFT(TRIM(Raw_Export!B1622),2)))))</f>
        <v>46275</v>
      </c>
      <c r="C1622" s="36" t="str">
        <f aca="false">IF(Raw_Export!$A1622="","",IFERROR(VLOOKUP(LOWER(TRIM(Raw_Export!C1622)),Maps!$A$2:$B$20,2,FALSE()),"UNMAPPED"))</f>
        <v>Nakuru</v>
      </c>
      <c r="D1622" s="36" t="str">
        <f aca="false">IF(Raw_Export!$A1622="","",IFERROR(VLOOKUP(LOWER(TRIM(Raw_Export!D1622)),Maps!$G$2:$I$80,2,FALSE()),"UNMAPPED"))</f>
        <v>Peanuts 250g</v>
      </c>
      <c r="E1622" s="36" t="str">
        <f aca="false">IF(Raw_Export!$A1622="","",IFERROR(VLOOKUP(LOWER(TRIM(Raw_Export!D1622)),Maps!$G$2:$I$80,3,FALSE()),"UNMAPPED"))</f>
        <v>Snacks</v>
      </c>
      <c r="F1622" s="36" t="n">
        <f aca="false">IF(Raw_Export!$A1622="","",IFERROR(VALUE(TRIM(Raw_Export!E1622)),0))</f>
        <v>4</v>
      </c>
      <c r="G1622" s="38" t="n">
        <f aca="false">IF(Raw_Export!$A1622="","",IFERROR(VALUE(SUBSTITUTE(SUBSTITUTE(UPPER(TRIM(Raw_Export!F1622)),"KES",""),",","")),0))</f>
        <v>130</v>
      </c>
      <c r="H1622" s="38" t="n">
        <f aca="false">IF(Raw_Export!$A1622="","",F1622*G1622)</f>
        <v>520</v>
      </c>
      <c r="I1622" s="36" t="str">
        <f aca="false">IF(Raw_Export!$A1622="","",IFERROR(VLOOKUP(LOWER(TRIM(Raw_Export!H1622)),Maps!$D$2:$E$12,2,FALSE()),"Other"))</f>
        <v>Cash</v>
      </c>
      <c r="J1622" s="36" t="str">
        <f aca="false">IF(Raw_Export!$A1622="","",IF(COUNTIF($A$2:A1622,A1622)&gt;1,"Duplicate",""))</f>
        <v/>
      </c>
      <c r="K1622" s="36" t="str">
        <f aca="false">IF(Raw_Export!$A1622="","",IF(J1622="Duplicate","Duplicate",IF(OR(C1622="UNMAPPED",D1622="UNMAPPED"),"Unmapped",IF(F1622=0,"Blank qty",IF(F1622&lt;0,"Return","OK")))))</f>
        <v>OK</v>
      </c>
      <c r="L1622" s="36" t="n">
        <f aca="false">IF(Raw_Export!$A1622="","",IF(OR(K1622="OK",K1622="Return"),1,0))</f>
        <v>1</v>
      </c>
      <c r="M1622" s="37" t="n">
        <f aca="false">IF(Raw_Export!$A1622="","",B1622-WEEKDAY(B1622,2)+1)</f>
        <v>46272</v>
      </c>
    </row>
    <row r="1623" customFormat="false" ht="15" hidden="false" customHeight="false" outlineLevel="0" collapsed="false">
      <c r="A1623" s="36" t="str">
        <f aca="false">IF(Raw_Export!$A1623="","",TRIM(Raw_Export!A1623))</f>
        <v>TXN-100719</v>
      </c>
      <c r="B1623" s="37" t="n">
        <f aca="false">IF(Raw_Export!$A1623="","",IF(ISNUMBER(Raw_Export!B1623),Raw_Export!B1623,IF(MID(TRIM(Raw_Export!B1623),5,1)="-",DATE(LEFT(TRIM(Raw_Export!B1623),4),MID(TRIM(Raw_Export!B1623),6,2),RIGHT(TRIM(Raw_Export!B1623),2)),DATE(RIGHT(TRIM(Raw_Export!B1623),4),MATCH(MID(TRIM(Raw_Export!B1623),4,3),{"Jan","Feb","Mar","Apr","May","Jun","Jul","Aug","Sep","Oct","Nov","Dec"},0),LEFT(TRIM(Raw_Export!B1623),2)))))</f>
        <v>46270</v>
      </c>
      <c r="C1623" s="36" t="str">
        <f aca="false">IF(Raw_Export!$A1623="","",IFERROR(VLOOKUP(LOWER(TRIM(Raw_Export!C1623)),Maps!$A$2:$B$20,2,FALSE()),"UNMAPPED"))</f>
        <v>Nairobi CBD</v>
      </c>
      <c r="D1623" s="36" t="str">
        <f aca="false">IF(Raw_Export!$A1623="","",IFERROR(VLOOKUP(LOWER(TRIM(Raw_Export!D1623)),Maps!$G$2:$I$80,2,FALSE()),"UNMAPPED"))</f>
        <v>Spaghetti 400g</v>
      </c>
      <c r="E1623" s="36" t="str">
        <f aca="false">IF(Raw_Export!$A1623="","",IFERROR(VLOOKUP(LOWER(TRIM(Raw_Export!D1623)),Maps!$G$2:$I$80,3,FALSE()),"UNMAPPED"))</f>
        <v>Staples</v>
      </c>
      <c r="F1623" s="36" t="n">
        <f aca="false">IF(Raw_Export!$A1623="","",IFERROR(VALUE(TRIM(Raw_Export!E1623)),0))</f>
        <v>2</v>
      </c>
      <c r="G1623" s="38" t="n">
        <f aca="false">IF(Raw_Export!$A1623="","",IFERROR(VALUE(SUBSTITUTE(SUBSTITUTE(UPPER(TRIM(Raw_Export!F1623)),"KES",""),",","")),0))</f>
        <v>110</v>
      </c>
      <c r="H1623" s="38" t="n">
        <f aca="false">IF(Raw_Export!$A1623="","",F1623*G1623)</f>
        <v>220</v>
      </c>
      <c r="I1623" s="36" t="str">
        <f aca="false">IF(Raw_Export!$A1623="","",IFERROR(VLOOKUP(LOWER(TRIM(Raw_Export!H1623)),Maps!$D$2:$E$12,2,FALSE()),"Other"))</f>
        <v>Card</v>
      </c>
      <c r="J1623" s="36" t="str">
        <f aca="false">IF(Raw_Export!$A1623="","",IF(COUNTIF($A$2:A1623,A1623)&gt;1,"Duplicate",""))</f>
        <v>Duplicate</v>
      </c>
      <c r="K1623" s="36" t="str">
        <f aca="false">IF(Raw_Export!$A1623="","",IF(J1623="Duplicate","Duplicate",IF(OR(C1623="UNMAPPED",D1623="UNMAPPED"),"Unmapped",IF(F1623=0,"Blank qty",IF(F1623&lt;0,"Return","OK")))))</f>
        <v>Duplicate</v>
      </c>
      <c r="L1623" s="36" t="n">
        <f aca="false">IF(Raw_Export!$A1623="","",IF(OR(K1623="OK",K1623="Return"),1,0))</f>
        <v>0</v>
      </c>
      <c r="M1623" s="37" t="n">
        <f aca="false">IF(Raw_Export!$A1623="","",B1623-WEEKDAY(B1623,2)+1)</f>
        <v>46265</v>
      </c>
    </row>
    <row r="1624" customFormat="false" ht="15" hidden="false" customHeight="false" outlineLevel="0" collapsed="false">
      <c r="A1624" s="36" t="str">
        <f aca="false">IF(Raw_Export!$A1624="","",TRIM(Raw_Export!A1624))</f>
        <v>TXN-101589</v>
      </c>
      <c r="B1624" s="37" t="n">
        <f aca="false">IF(Raw_Export!$A1624="","",IF(ISNUMBER(Raw_Export!B1624),Raw_Export!B1624,IF(MID(TRIM(Raw_Export!B1624),5,1)="-",DATE(LEFT(TRIM(Raw_Export!B1624),4),MID(TRIM(Raw_Export!B1624),6,2),RIGHT(TRIM(Raw_Export!B1624),2)),DATE(RIGHT(TRIM(Raw_Export!B1624),4),MATCH(MID(TRIM(Raw_Export!B1624),4,3),{"Jan","Feb","Mar","Apr","May","Jun","Jul","Aug","Sep","Oct","Nov","Dec"},0),LEFT(TRIM(Raw_Export!B1624),2)))))</f>
        <v>46275</v>
      </c>
      <c r="C1624" s="36" t="str">
        <f aca="false">IF(Raw_Export!$A1624="","",IFERROR(VLOOKUP(LOWER(TRIM(Raw_Export!C1624)),Maps!$A$2:$B$20,2,FALSE()),"UNMAPPED"))</f>
        <v>Nakuru</v>
      </c>
      <c r="D1624" s="36" t="str">
        <f aca="false">IF(Raw_Export!$A1624="","",IFERROR(VLOOKUP(LOWER(TRIM(Raw_Export!D1624)),Maps!$G$2:$I$80,2,FALSE()),"UNMAPPED"))</f>
        <v>Butter 250g</v>
      </c>
      <c r="E1624" s="36" t="str">
        <f aca="false">IF(Raw_Export!$A1624="","",IFERROR(VLOOKUP(LOWER(TRIM(Raw_Export!D1624)),Maps!$G$2:$I$80,3,FALSE()),"UNMAPPED"))</f>
        <v>Dairy &amp; Eggs</v>
      </c>
      <c r="F1624" s="36" t="n">
        <f aca="false">IF(Raw_Export!$A1624="","",IFERROR(VALUE(TRIM(Raw_Export!E1624)),0))</f>
        <v>1</v>
      </c>
      <c r="G1624" s="38" t="n">
        <f aca="false">IF(Raw_Export!$A1624="","",IFERROR(VALUE(SUBSTITUTE(SUBSTITUTE(UPPER(TRIM(Raw_Export!F1624)),"KES",""),",","")),0))</f>
        <v>310</v>
      </c>
      <c r="H1624" s="38" t="n">
        <f aca="false">IF(Raw_Export!$A1624="","",F1624*G1624)</f>
        <v>310</v>
      </c>
      <c r="I1624" s="36" t="str">
        <f aca="false">IF(Raw_Export!$A1624="","",IFERROR(VLOOKUP(LOWER(TRIM(Raw_Export!H1624)),Maps!$D$2:$E$12,2,FALSE()),"Other"))</f>
        <v>M-Pesa</v>
      </c>
      <c r="J1624" s="36" t="str">
        <f aca="false">IF(Raw_Export!$A1624="","",IF(COUNTIF($A$2:A1624,A1624)&gt;1,"Duplicate",""))</f>
        <v/>
      </c>
      <c r="K1624" s="36" t="str">
        <f aca="false">IF(Raw_Export!$A1624="","",IF(J1624="Duplicate","Duplicate",IF(OR(C1624="UNMAPPED",D1624="UNMAPPED"),"Unmapped",IF(F1624=0,"Blank qty",IF(F1624&lt;0,"Return","OK")))))</f>
        <v>OK</v>
      </c>
      <c r="L1624" s="36" t="n">
        <f aca="false">IF(Raw_Export!$A1624="","",IF(OR(K1624="OK",K1624="Return"),1,0))</f>
        <v>1</v>
      </c>
      <c r="M1624" s="37" t="n">
        <f aca="false">IF(Raw_Export!$A1624="","",B1624-WEEKDAY(B1624,2)+1)</f>
        <v>46272</v>
      </c>
    </row>
    <row r="1625" customFormat="false" ht="15" hidden="false" customHeight="false" outlineLevel="0" collapsed="false">
      <c r="A1625" s="36" t="str">
        <f aca="false">IF(Raw_Export!$A1625="","",TRIM(Raw_Export!A1625))</f>
        <v>TXN-101590</v>
      </c>
      <c r="B1625" s="37" t="n">
        <f aca="false">IF(Raw_Export!$A1625="","",IF(ISNUMBER(Raw_Export!B1625),Raw_Export!B1625,IF(MID(TRIM(Raw_Export!B1625),5,1)="-",DATE(LEFT(TRIM(Raw_Export!B1625),4),MID(TRIM(Raw_Export!B1625),6,2),RIGHT(TRIM(Raw_Export!B1625),2)),DATE(RIGHT(TRIM(Raw_Export!B1625),4),MATCH(MID(TRIM(Raw_Export!B1625),4,3),{"Jan","Feb","Mar","Apr","May","Jun","Jul","Aug","Sep","Oct","Nov","Dec"},0),LEFT(TRIM(Raw_Export!B1625),2)))))</f>
        <v>46275</v>
      </c>
      <c r="C1625" s="36" t="str">
        <f aca="false">IF(Raw_Export!$A1625="","",IFERROR(VLOOKUP(LOWER(TRIM(Raw_Export!C1625)),Maps!$A$2:$B$20,2,FALSE()),"UNMAPPED"))</f>
        <v>Nakuru</v>
      </c>
      <c r="D1625" s="36" t="str">
        <f aca="false">IF(Raw_Export!$A1625="","",IFERROR(VLOOKUP(LOWER(TRIM(Raw_Export!D1625)),Maps!$G$2:$I$80,2,FALSE()),"UNMAPPED"))</f>
        <v>Matches 10pk</v>
      </c>
      <c r="E1625" s="36" t="str">
        <f aca="false">IF(Raw_Export!$A1625="","",IFERROR(VLOOKUP(LOWER(TRIM(Raw_Export!D1625)),Maps!$G$2:$I$80,3,FALSE()),"UNMAPPED"))</f>
        <v>Household</v>
      </c>
      <c r="F1625" s="36" t="n">
        <f aca="false">IF(Raw_Export!$A1625="","",IFERROR(VALUE(TRIM(Raw_Export!E1625)),0))</f>
        <v>1</v>
      </c>
      <c r="G1625" s="38" t="n">
        <f aca="false">IF(Raw_Export!$A1625="","",IFERROR(VALUE(SUBSTITUTE(SUBSTITUTE(UPPER(TRIM(Raw_Export!F1625)),"KES",""),",","")),0))</f>
        <v>50</v>
      </c>
      <c r="H1625" s="38" t="n">
        <f aca="false">IF(Raw_Export!$A1625="","",F1625*G1625)</f>
        <v>50</v>
      </c>
      <c r="I1625" s="36" t="str">
        <f aca="false">IF(Raw_Export!$A1625="","",IFERROR(VLOOKUP(LOWER(TRIM(Raw_Export!H1625)),Maps!$D$2:$E$12,2,FALSE()),"Other"))</f>
        <v>M-Pesa</v>
      </c>
      <c r="J1625" s="36" t="str">
        <f aca="false">IF(Raw_Export!$A1625="","",IF(COUNTIF($A$2:A1625,A1625)&gt;1,"Duplicate",""))</f>
        <v/>
      </c>
      <c r="K1625" s="36" t="str">
        <f aca="false">IF(Raw_Export!$A1625="","",IF(J1625="Duplicate","Duplicate",IF(OR(C1625="UNMAPPED",D1625="UNMAPPED"),"Unmapped",IF(F1625=0,"Blank qty",IF(F1625&lt;0,"Return","OK")))))</f>
        <v>OK</v>
      </c>
      <c r="L1625" s="36" t="n">
        <f aca="false">IF(Raw_Export!$A1625="","",IF(OR(K1625="OK",K1625="Return"),1,0))</f>
        <v>1</v>
      </c>
      <c r="M1625" s="37" t="n">
        <f aca="false">IF(Raw_Export!$A1625="","",B1625-WEEKDAY(B1625,2)+1)</f>
        <v>46272</v>
      </c>
    </row>
    <row r="1626" customFormat="false" ht="15" hidden="false" customHeight="false" outlineLevel="0" collapsed="false">
      <c r="A1626" s="36" t="str">
        <f aca="false">IF(Raw_Export!$A1626="","",TRIM(Raw_Export!A1626))</f>
        <v>TXN-101591</v>
      </c>
      <c r="B1626" s="37" t="n">
        <f aca="false">IF(Raw_Export!$A1626="","",IF(ISNUMBER(Raw_Export!B1626),Raw_Export!B1626,IF(MID(TRIM(Raw_Export!B1626),5,1)="-",DATE(LEFT(TRIM(Raw_Export!B1626),4),MID(TRIM(Raw_Export!B1626),6,2),RIGHT(TRIM(Raw_Export!B1626),2)),DATE(RIGHT(TRIM(Raw_Export!B1626),4),MATCH(MID(TRIM(Raw_Export!B1626),4,3),{"Jan","Feb","Mar","Apr","May","Jun","Jul","Aug","Sep","Oct","Nov","Dec"},0),LEFT(TRIM(Raw_Export!B1626),2)))))</f>
        <v>46275</v>
      </c>
      <c r="C1626" s="36" t="str">
        <f aca="false">IF(Raw_Export!$A1626="","",IFERROR(VLOOKUP(LOWER(TRIM(Raw_Export!C1626)),Maps!$A$2:$B$20,2,FALSE()),"UNMAPPED"))</f>
        <v>Nakuru</v>
      </c>
      <c r="D1626" s="36" t="str">
        <f aca="false">IF(Raw_Export!$A1626="","",IFERROR(VLOOKUP(LOWER(TRIM(Raw_Export!D1626)),Maps!$G$2:$I$80,2,FALSE()),"UNMAPPED"))</f>
        <v>Bottled Water 1.5L</v>
      </c>
      <c r="E1626" s="36" t="str">
        <f aca="false">IF(Raw_Export!$A1626="","",IFERROR(VLOOKUP(LOWER(TRIM(Raw_Export!D1626)),Maps!$G$2:$I$80,3,FALSE()),"UNMAPPED"))</f>
        <v>Beverages</v>
      </c>
      <c r="F1626" s="36" t="n">
        <f aca="false">IF(Raw_Export!$A1626="","",IFERROR(VALUE(TRIM(Raw_Export!E1626)),0))</f>
        <v>4</v>
      </c>
      <c r="G1626" s="38" t="n">
        <f aca="false">IF(Raw_Export!$A1626="","",IFERROR(VALUE(SUBSTITUTE(SUBSTITUTE(UPPER(TRIM(Raw_Export!F1626)),"KES",""),",","")),0))</f>
        <v>90</v>
      </c>
      <c r="H1626" s="38" t="n">
        <f aca="false">IF(Raw_Export!$A1626="","",F1626*G1626)</f>
        <v>360</v>
      </c>
      <c r="I1626" s="36" t="str">
        <f aca="false">IF(Raw_Export!$A1626="","",IFERROR(VLOOKUP(LOWER(TRIM(Raw_Export!H1626)),Maps!$D$2:$E$12,2,FALSE()),"Other"))</f>
        <v>Cash</v>
      </c>
      <c r="J1626" s="36" t="str">
        <f aca="false">IF(Raw_Export!$A1626="","",IF(COUNTIF($A$2:A1626,A1626)&gt;1,"Duplicate",""))</f>
        <v/>
      </c>
      <c r="K1626" s="36" t="str">
        <f aca="false">IF(Raw_Export!$A1626="","",IF(J1626="Duplicate","Duplicate",IF(OR(C1626="UNMAPPED",D1626="UNMAPPED"),"Unmapped",IF(F1626=0,"Blank qty",IF(F1626&lt;0,"Return","OK")))))</f>
        <v>OK</v>
      </c>
      <c r="L1626" s="36" t="n">
        <f aca="false">IF(Raw_Export!$A1626="","",IF(OR(K1626="OK",K1626="Return"),1,0))</f>
        <v>1</v>
      </c>
      <c r="M1626" s="37" t="n">
        <f aca="false">IF(Raw_Export!$A1626="","",B1626-WEEKDAY(B1626,2)+1)</f>
        <v>46272</v>
      </c>
    </row>
    <row r="1627" customFormat="false" ht="15" hidden="false" customHeight="false" outlineLevel="0" collapsed="false">
      <c r="A1627" s="36" t="str">
        <f aca="false">IF(Raw_Export!$A1627="","",TRIM(Raw_Export!A1627))</f>
        <v>TXN-101592</v>
      </c>
      <c r="B1627" s="37" t="n">
        <f aca="false">IF(Raw_Export!$A1627="","",IF(ISNUMBER(Raw_Export!B1627),Raw_Export!B1627,IF(MID(TRIM(Raw_Export!B1627),5,1)="-",DATE(LEFT(TRIM(Raw_Export!B1627),4),MID(TRIM(Raw_Export!B1627),6,2),RIGHT(TRIM(Raw_Export!B1627),2)),DATE(RIGHT(TRIM(Raw_Export!B1627),4),MATCH(MID(TRIM(Raw_Export!B1627),4,3),{"Jan","Feb","Mar","Apr","May","Jun","Jul","Aug","Sep","Oct","Nov","Dec"},0),LEFT(TRIM(Raw_Export!B1627),2)))))</f>
        <v>46275</v>
      </c>
      <c r="C1627" s="36" t="str">
        <f aca="false">IF(Raw_Export!$A1627="","",IFERROR(VLOOKUP(LOWER(TRIM(Raw_Export!C1627)),Maps!$A$2:$B$20,2,FALSE()),"UNMAPPED"))</f>
        <v>Nakuru</v>
      </c>
      <c r="D1627" s="36" t="str">
        <f aca="false">IF(Raw_Export!$A1627="","",IFERROR(VLOOKUP(LOWER(TRIM(Raw_Export!D1627)),Maps!$G$2:$I$80,2,FALSE()),"UNMAPPED"))</f>
        <v>Tea Leaves 250g</v>
      </c>
      <c r="E1627" s="36" t="str">
        <f aca="false">IF(Raw_Export!$A1627="","",IFERROR(VLOOKUP(LOWER(TRIM(Raw_Export!D1627)),Maps!$G$2:$I$80,3,FALSE()),"UNMAPPED"))</f>
        <v>Beverages</v>
      </c>
      <c r="F1627" s="36" t="n">
        <f aca="false">IF(Raw_Export!$A1627="","",IFERROR(VALUE(TRIM(Raw_Export!E1627)),0))</f>
        <v>1</v>
      </c>
      <c r="G1627" s="38" t="n">
        <f aca="false">IF(Raw_Export!$A1627="","",IFERROR(VALUE(SUBSTITUTE(SUBSTITUTE(UPPER(TRIM(Raw_Export!F1627)),"KES",""),",","")),0))</f>
        <v>150</v>
      </c>
      <c r="H1627" s="38" t="n">
        <f aca="false">IF(Raw_Export!$A1627="","",F1627*G1627)</f>
        <v>150</v>
      </c>
      <c r="I1627" s="36" t="str">
        <f aca="false">IF(Raw_Export!$A1627="","",IFERROR(VLOOKUP(LOWER(TRIM(Raw_Export!H1627)),Maps!$D$2:$E$12,2,FALSE()),"Other"))</f>
        <v>M-Pesa</v>
      </c>
      <c r="J1627" s="36" t="str">
        <f aca="false">IF(Raw_Export!$A1627="","",IF(COUNTIF($A$2:A1627,A1627)&gt;1,"Duplicate",""))</f>
        <v/>
      </c>
      <c r="K1627" s="36" t="str">
        <f aca="false">IF(Raw_Export!$A1627="","",IF(J1627="Duplicate","Duplicate",IF(OR(C1627="UNMAPPED",D1627="UNMAPPED"),"Unmapped",IF(F1627=0,"Blank qty",IF(F1627&lt;0,"Return","OK")))))</f>
        <v>OK</v>
      </c>
      <c r="L1627" s="36" t="n">
        <f aca="false">IF(Raw_Export!$A1627="","",IF(OR(K1627="OK",K1627="Return"),1,0))</f>
        <v>1</v>
      </c>
      <c r="M1627" s="37" t="n">
        <f aca="false">IF(Raw_Export!$A1627="","",B1627-WEEKDAY(B1627,2)+1)</f>
        <v>46272</v>
      </c>
    </row>
    <row r="1628" customFormat="false" ht="15" hidden="false" customHeight="false" outlineLevel="0" collapsed="false">
      <c r="A1628" s="36" t="str">
        <f aca="false">IF(Raw_Export!$A1628="","",TRIM(Raw_Export!A1628))</f>
        <v>TXN-101593</v>
      </c>
      <c r="B1628" s="37" t="n">
        <f aca="false">IF(Raw_Export!$A1628="","",IF(ISNUMBER(Raw_Export!B1628),Raw_Export!B1628,IF(MID(TRIM(Raw_Export!B1628),5,1)="-",DATE(LEFT(TRIM(Raw_Export!B1628),4),MID(TRIM(Raw_Export!B1628),6,2),RIGHT(TRIM(Raw_Export!B1628),2)),DATE(RIGHT(TRIM(Raw_Export!B1628),4),MATCH(MID(TRIM(Raw_Export!B1628),4,3),{"Jan","Feb","Mar","Apr","May","Jun","Jul","Aug","Sep","Oct","Nov","Dec"},0),LEFT(TRIM(Raw_Export!B1628),2)))))</f>
        <v>46275</v>
      </c>
      <c r="C1628" s="36" t="str">
        <f aca="false">IF(Raw_Export!$A1628="","",IFERROR(VLOOKUP(LOWER(TRIM(Raw_Export!C1628)),Maps!$A$2:$B$20,2,FALSE()),"UNMAPPED"))</f>
        <v>Nakuru</v>
      </c>
      <c r="D1628" s="36" t="str">
        <f aca="false">IF(Raw_Export!$A1628="","",IFERROR(VLOOKUP(LOWER(TRIM(Raw_Export!D1628)),Maps!$G$2:$I$80,2,FALSE()),"UNMAPPED"))</f>
        <v>Biscuits 200g</v>
      </c>
      <c r="E1628" s="36" t="str">
        <f aca="false">IF(Raw_Export!$A1628="","",IFERROR(VLOOKUP(LOWER(TRIM(Raw_Export!D1628)),Maps!$G$2:$I$80,3,FALSE()),"UNMAPPED"))</f>
        <v>Snacks</v>
      </c>
      <c r="F1628" s="36" t="n">
        <f aca="false">IF(Raw_Export!$A1628="","",IFERROR(VALUE(TRIM(Raw_Export!E1628)),0))</f>
        <v>4</v>
      </c>
      <c r="G1628" s="38" t="n">
        <f aca="false">IF(Raw_Export!$A1628="","",IFERROR(VALUE(SUBSTITUTE(SUBSTITUTE(UPPER(TRIM(Raw_Export!F1628)),"KES",""),",","")),0))</f>
        <v>95</v>
      </c>
      <c r="H1628" s="38" t="n">
        <f aca="false">IF(Raw_Export!$A1628="","",F1628*G1628)</f>
        <v>380</v>
      </c>
      <c r="I1628" s="36" t="str">
        <f aca="false">IF(Raw_Export!$A1628="","",IFERROR(VLOOKUP(LOWER(TRIM(Raw_Export!H1628)),Maps!$D$2:$E$12,2,FALSE()),"Other"))</f>
        <v>M-Pesa</v>
      </c>
      <c r="J1628" s="36" t="str">
        <f aca="false">IF(Raw_Export!$A1628="","",IF(COUNTIF($A$2:A1628,A1628)&gt;1,"Duplicate",""))</f>
        <v/>
      </c>
      <c r="K1628" s="36" t="str">
        <f aca="false">IF(Raw_Export!$A1628="","",IF(J1628="Duplicate","Duplicate",IF(OR(C1628="UNMAPPED",D1628="UNMAPPED"),"Unmapped",IF(F1628=0,"Blank qty",IF(F1628&lt;0,"Return","OK")))))</f>
        <v>OK</v>
      </c>
      <c r="L1628" s="36" t="n">
        <f aca="false">IF(Raw_Export!$A1628="","",IF(OR(K1628="OK",K1628="Return"),1,0))</f>
        <v>1</v>
      </c>
      <c r="M1628" s="37" t="n">
        <f aca="false">IF(Raw_Export!$A1628="","",B1628-WEEKDAY(B1628,2)+1)</f>
        <v>46272</v>
      </c>
    </row>
    <row r="1629" customFormat="false" ht="15" hidden="false" customHeight="false" outlineLevel="0" collapsed="false">
      <c r="A1629" s="36" t="str">
        <f aca="false">IF(Raw_Export!$A1629="","",TRIM(Raw_Export!A1629))</f>
        <v>TXN-101594</v>
      </c>
      <c r="B1629" s="37" t="n">
        <f aca="false">IF(Raw_Export!$A1629="","",IF(ISNUMBER(Raw_Export!B1629),Raw_Export!B1629,IF(MID(TRIM(Raw_Export!B1629),5,1)="-",DATE(LEFT(TRIM(Raw_Export!B1629),4),MID(TRIM(Raw_Export!B1629),6,2),RIGHT(TRIM(Raw_Export!B1629),2)),DATE(RIGHT(TRIM(Raw_Export!B1629),4),MATCH(MID(TRIM(Raw_Export!B1629),4,3),{"Jan","Feb","Mar","Apr","May","Jun","Jul","Aug","Sep","Oct","Nov","Dec"},0),LEFT(TRIM(Raw_Export!B1629),2)))))</f>
        <v>46275</v>
      </c>
      <c r="C1629" s="36" t="str">
        <f aca="false">IF(Raw_Export!$A1629="","",IFERROR(VLOOKUP(LOWER(TRIM(Raw_Export!C1629)),Maps!$A$2:$B$20,2,FALSE()),"UNMAPPED"))</f>
        <v>Nakuru</v>
      </c>
      <c r="D1629" s="36" t="str">
        <f aca="false">IF(Raw_Export!$A1629="","",IFERROR(VLOOKUP(LOWER(TRIM(Raw_Export!D1629)),Maps!$G$2:$I$80,2,FALSE()),"UNMAPPED"))</f>
        <v>Sugar 2kg</v>
      </c>
      <c r="E1629" s="36" t="str">
        <f aca="false">IF(Raw_Export!$A1629="","",IFERROR(VLOOKUP(LOWER(TRIM(Raw_Export!D1629)),Maps!$G$2:$I$80,3,FALSE()),"UNMAPPED"))</f>
        <v>Staples</v>
      </c>
      <c r="F1629" s="36" t="n">
        <f aca="false">IF(Raw_Export!$A1629="","",IFERROR(VALUE(TRIM(Raw_Export!E1629)),0))</f>
        <v>1</v>
      </c>
      <c r="G1629" s="38" t="n">
        <f aca="false">IF(Raw_Export!$A1629="","",IFERROR(VALUE(SUBSTITUTE(SUBSTITUTE(UPPER(TRIM(Raw_Export!F1629)),"KES",""),",","")),0))</f>
        <v>330</v>
      </c>
      <c r="H1629" s="38" t="n">
        <f aca="false">IF(Raw_Export!$A1629="","",F1629*G1629)</f>
        <v>330</v>
      </c>
      <c r="I1629" s="36" t="str">
        <f aca="false">IF(Raw_Export!$A1629="","",IFERROR(VLOOKUP(LOWER(TRIM(Raw_Export!H1629)),Maps!$D$2:$E$12,2,FALSE()),"Other"))</f>
        <v>M-Pesa</v>
      </c>
      <c r="J1629" s="36" t="str">
        <f aca="false">IF(Raw_Export!$A1629="","",IF(COUNTIF($A$2:A1629,A1629)&gt;1,"Duplicate",""))</f>
        <v/>
      </c>
      <c r="K1629" s="36" t="str">
        <f aca="false">IF(Raw_Export!$A1629="","",IF(J1629="Duplicate","Duplicate",IF(OR(C1629="UNMAPPED",D1629="UNMAPPED"),"Unmapped",IF(F1629=0,"Blank qty",IF(F1629&lt;0,"Return","OK")))))</f>
        <v>OK</v>
      </c>
      <c r="L1629" s="36" t="n">
        <f aca="false">IF(Raw_Export!$A1629="","",IF(OR(K1629="OK",K1629="Return"),1,0))</f>
        <v>1</v>
      </c>
      <c r="M1629" s="37" t="n">
        <f aca="false">IF(Raw_Export!$A1629="","",B1629-WEEKDAY(B1629,2)+1)</f>
        <v>46272</v>
      </c>
    </row>
    <row r="1630" customFormat="false" ht="15" hidden="false" customHeight="false" outlineLevel="0" collapsed="false">
      <c r="A1630" s="36" t="str">
        <f aca="false">IF(Raw_Export!$A1630="","",TRIM(Raw_Export!A1630))</f>
        <v>TXN-101595</v>
      </c>
      <c r="B1630" s="37" t="n">
        <f aca="false">IF(Raw_Export!$A1630="","",IF(ISNUMBER(Raw_Export!B1630),Raw_Export!B1630,IF(MID(TRIM(Raw_Export!B1630),5,1)="-",DATE(LEFT(TRIM(Raw_Export!B1630),4),MID(TRIM(Raw_Export!B1630),6,2),RIGHT(TRIM(Raw_Export!B1630),2)),DATE(RIGHT(TRIM(Raw_Export!B1630),4),MATCH(MID(TRIM(Raw_Export!B1630),4,3),{"Jan","Feb","Mar","Apr","May","Jun","Jul","Aug","Sep","Oct","Nov","Dec"},0),LEFT(TRIM(Raw_Export!B1630),2)))))</f>
        <v>46275</v>
      </c>
      <c r="C1630" s="36" t="str">
        <f aca="false">IF(Raw_Export!$A1630="","",IFERROR(VLOOKUP(LOWER(TRIM(Raw_Export!C1630)),Maps!$A$2:$B$20,2,FALSE()),"UNMAPPED"))</f>
        <v>Nakuru</v>
      </c>
      <c r="D1630" s="36" t="str">
        <f aca="false">IF(Raw_Export!$A1630="","",IFERROR(VLOOKUP(LOWER(TRIM(Raw_Export!D1630)),Maps!$G$2:$I$80,2,FALSE()),"UNMAPPED"))</f>
        <v>Coffee 100g</v>
      </c>
      <c r="E1630" s="36" t="str">
        <f aca="false">IF(Raw_Export!$A1630="","",IFERROR(VLOOKUP(LOWER(TRIM(Raw_Export!D1630)),Maps!$G$2:$I$80,3,FALSE()),"UNMAPPED"))</f>
        <v>Beverages</v>
      </c>
      <c r="F1630" s="36" t="n">
        <f aca="false">IF(Raw_Export!$A1630="","",IFERROR(VALUE(TRIM(Raw_Export!E1630)),0))</f>
        <v>0</v>
      </c>
      <c r="G1630" s="38" t="n">
        <f aca="false">IF(Raw_Export!$A1630="","",IFERROR(VALUE(SUBSTITUTE(SUBSTITUTE(UPPER(TRIM(Raw_Export!F1630)),"KES",""),",","")),0))</f>
        <v>360</v>
      </c>
      <c r="H1630" s="38" t="n">
        <f aca="false">IF(Raw_Export!$A1630="","",F1630*G1630)</f>
        <v>0</v>
      </c>
      <c r="I1630" s="36" t="str">
        <f aca="false">IF(Raw_Export!$A1630="","",IFERROR(VLOOKUP(LOWER(TRIM(Raw_Export!H1630)),Maps!$D$2:$E$12,2,FALSE()),"Other"))</f>
        <v>M-Pesa</v>
      </c>
      <c r="J1630" s="36" t="str">
        <f aca="false">IF(Raw_Export!$A1630="","",IF(COUNTIF($A$2:A1630,A1630)&gt;1,"Duplicate",""))</f>
        <v/>
      </c>
      <c r="K1630" s="36" t="str">
        <f aca="false">IF(Raw_Export!$A1630="","",IF(J1630="Duplicate","Duplicate",IF(OR(C1630="UNMAPPED",D1630="UNMAPPED"),"Unmapped",IF(F1630=0,"Blank qty",IF(F1630&lt;0,"Return","OK")))))</f>
        <v>Blank qty</v>
      </c>
      <c r="L1630" s="36" t="n">
        <f aca="false">IF(Raw_Export!$A1630="","",IF(OR(K1630="OK",K1630="Return"),1,0))</f>
        <v>0</v>
      </c>
      <c r="M1630" s="37" t="n">
        <f aca="false">IF(Raw_Export!$A1630="","",B1630-WEEKDAY(B1630,2)+1)</f>
        <v>46272</v>
      </c>
    </row>
    <row r="1631" customFormat="false" ht="15" hidden="false" customHeight="false" outlineLevel="0" collapsed="false">
      <c r="A1631" s="36" t="str">
        <f aca="false">IF(Raw_Export!$A1631="","",TRIM(Raw_Export!A1631))</f>
        <v>TXN-101596</v>
      </c>
      <c r="B1631" s="37" t="n">
        <f aca="false">IF(Raw_Export!$A1631="","",IF(ISNUMBER(Raw_Export!B1631),Raw_Export!B1631,IF(MID(TRIM(Raw_Export!B1631),5,1)="-",DATE(LEFT(TRIM(Raw_Export!B1631),4),MID(TRIM(Raw_Export!B1631),6,2),RIGHT(TRIM(Raw_Export!B1631),2)),DATE(RIGHT(TRIM(Raw_Export!B1631),4),MATCH(MID(TRIM(Raw_Export!B1631),4,3),{"Jan","Feb","Mar","Apr","May","Jun","Jul","Aug","Sep","Oct","Nov","Dec"},0),LEFT(TRIM(Raw_Export!B1631),2)))))</f>
        <v>46275</v>
      </c>
      <c r="C1631" s="36" t="str">
        <f aca="false">IF(Raw_Export!$A1631="","",IFERROR(VLOOKUP(LOWER(TRIM(Raw_Export!C1631)),Maps!$A$2:$B$20,2,FALSE()),"UNMAPPED"))</f>
        <v>Nakuru</v>
      </c>
      <c r="D1631" s="36" t="str">
        <f aca="false">IF(Raw_Export!$A1631="","",IFERROR(VLOOKUP(LOWER(TRIM(Raw_Export!D1631)),Maps!$G$2:$I$80,2,FALSE()),"UNMAPPED"))</f>
        <v>Toothpaste 100g</v>
      </c>
      <c r="E1631" s="36" t="str">
        <f aca="false">IF(Raw_Export!$A1631="","",IFERROR(VLOOKUP(LOWER(TRIM(Raw_Export!D1631)),Maps!$G$2:$I$80,3,FALSE()),"UNMAPPED"))</f>
        <v>Personal Care</v>
      </c>
      <c r="F1631" s="36" t="n">
        <f aca="false">IF(Raw_Export!$A1631="","",IFERROR(VALUE(TRIM(Raw_Export!E1631)),0))</f>
        <v>1</v>
      </c>
      <c r="G1631" s="38" t="n">
        <f aca="false">IF(Raw_Export!$A1631="","",IFERROR(VALUE(SUBSTITUTE(SUBSTITUTE(UPPER(TRIM(Raw_Export!F1631)),"KES",""),",","")),0))</f>
        <v>195</v>
      </c>
      <c r="H1631" s="38" t="n">
        <f aca="false">IF(Raw_Export!$A1631="","",F1631*G1631)</f>
        <v>195</v>
      </c>
      <c r="I1631" s="36" t="str">
        <f aca="false">IF(Raw_Export!$A1631="","",IFERROR(VLOOKUP(LOWER(TRIM(Raw_Export!H1631)),Maps!$D$2:$E$12,2,FALSE()),"Other"))</f>
        <v>Cash</v>
      </c>
      <c r="J1631" s="36" t="str">
        <f aca="false">IF(Raw_Export!$A1631="","",IF(COUNTIF($A$2:A1631,A1631)&gt;1,"Duplicate",""))</f>
        <v/>
      </c>
      <c r="K1631" s="36" t="str">
        <f aca="false">IF(Raw_Export!$A1631="","",IF(J1631="Duplicate","Duplicate",IF(OR(C1631="UNMAPPED",D1631="UNMAPPED"),"Unmapped",IF(F1631=0,"Blank qty",IF(F1631&lt;0,"Return","OK")))))</f>
        <v>OK</v>
      </c>
      <c r="L1631" s="36" t="n">
        <f aca="false">IF(Raw_Export!$A1631="","",IF(OR(K1631="OK",K1631="Return"),1,0))</f>
        <v>1</v>
      </c>
      <c r="M1631" s="37" t="n">
        <f aca="false">IF(Raw_Export!$A1631="","",B1631-WEEKDAY(B1631,2)+1)</f>
        <v>46272</v>
      </c>
    </row>
    <row r="1632" customFormat="false" ht="15" hidden="false" customHeight="false" outlineLevel="0" collapsed="false">
      <c r="A1632" s="36" t="str">
        <f aca="false">IF(Raw_Export!$A1632="","",TRIM(Raw_Export!A1632))</f>
        <v>TXN-101597</v>
      </c>
      <c r="B1632" s="37" t="n">
        <f aca="false">IF(Raw_Export!$A1632="","",IF(ISNUMBER(Raw_Export!B1632),Raw_Export!B1632,IF(MID(TRIM(Raw_Export!B1632),5,1)="-",DATE(LEFT(TRIM(Raw_Export!B1632),4),MID(TRIM(Raw_Export!B1632),6,2),RIGHT(TRIM(Raw_Export!B1632),2)),DATE(RIGHT(TRIM(Raw_Export!B1632),4),MATCH(MID(TRIM(Raw_Export!B1632),4,3),{"Jan","Feb","Mar","Apr","May","Jun","Jul","Aug","Sep","Oct","Nov","Dec"},0),LEFT(TRIM(Raw_Export!B1632),2)))))</f>
        <v>46275</v>
      </c>
      <c r="C1632" s="36" t="str">
        <f aca="false">IF(Raw_Export!$A1632="","",IFERROR(VLOOKUP(LOWER(TRIM(Raw_Export!C1632)),Maps!$A$2:$B$20,2,FALSE()),"UNMAPPED"))</f>
        <v>Nakuru</v>
      </c>
      <c r="D1632" s="36" t="str">
        <f aca="false">IF(Raw_Export!$A1632="","",IFERROR(VLOOKUP(LOWER(TRIM(Raw_Export!D1632)),Maps!$G$2:$I$80,2,FALSE()),"UNMAPPED"))</f>
        <v>Bread Loaf 400g</v>
      </c>
      <c r="E1632" s="36" t="str">
        <f aca="false">IF(Raw_Export!$A1632="","",IFERROR(VLOOKUP(LOWER(TRIM(Raw_Export!D1632)),Maps!$G$2:$I$80,3,FALSE()),"UNMAPPED"))</f>
        <v>Snacks</v>
      </c>
      <c r="F1632" s="36" t="n">
        <f aca="false">IF(Raw_Export!$A1632="","",IFERROR(VALUE(TRIM(Raw_Export!E1632)),0))</f>
        <v>1</v>
      </c>
      <c r="G1632" s="38" t="n">
        <f aca="false">IF(Raw_Export!$A1632="","",IFERROR(VALUE(SUBSTITUTE(SUBSTITUTE(UPPER(TRIM(Raw_Export!F1632)),"KES",""),",","")),0))</f>
        <v>65</v>
      </c>
      <c r="H1632" s="38" t="n">
        <f aca="false">IF(Raw_Export!$A1632="","",F1632*G1632)</f>
        <v>65</v>
      </c>
      <c r="I1632" s="36" t="str">
        <f aca="false">IF(Raw_Export!$A1632="","",IFERROR(VLOOKUP(LOWER(TRIM(Raw_Export!H1632)),Maps!$D$2:$E$12,2,FALSE()),"Other"))</f>
        <v>Card</v>
      </c>
      <c r="J1632" s="36" t="str">
        <f aca="false">IF(Raw_Export!$A1632="","",IF(COUNTIF($A$2:A1632,A1632)&gt;1,"Duplicate",""))</f>
        <v/>
      </c>
      <c r="K1632" s="36" t="str">
        <f aca="false">IF(Raw_Export!$A1632="","",IF(J1632="Duplicate","Duplicate",IF(OR(C1632="UNMAPPED",D1632="UNMAPPED"),"Unmapped",IF(F1632=0,"Blank qty",IF(F1632&lt;0,"Return","OK")))))</f>
        <v>OK</v>
      </c>
      <c r="L1632" s="36" t="n">
        <f aca="false">IF(Raw_Export!$A1632="","",IF(OR(K1632="OK",K1632="Return"),1,0))</f>
        <v>1</v>
      </c>
      <c r="M1632" s="37" t="n">
        <f aca="false">IF(Raw_Export!$A1632="","",B1632-WEEKDAY(B1632,2)+1)</f>
        <v>46272</v>
      </c>
    </row>
    <row r="1633" customFormat="false" ht="15" hidden="false" customHeight="false" outlineLevel="0" collapsed="false">
      <c r="A1633" s="36" t="str">
        <f aca="false">IF(Raw_Export!$A1633="","",TRIM(Raw_Export!A1633))</f>
        <v>TXN-101598</v>
      </c>
      <c r="B1633" s="37" t="n">
        <f aca="false">IF(Raw_Export!$A1633="","",IF(ISNUMBER(Raw_Export!B1633),Raw_Export!B1633,IF(MID(TRIM(Raw_Export!B1633),5,1)="-",DATE(LEFT(TRIM(Raw_Export!B1633),4),MID(TRIM(Raw_Export!B1633),6,2),RIGHT(TRIM(Raw_Export!B1633),2)),DATE(RIGHT(TRIM(Raw_Export!B1633),4),MATCH(MID(TRIM(Raw_Export!B1633),4,3),{"Jan","Feb","Mar","Apr","May","Jun","Jul","Aug","Sep","Oct","Nov","Dec"},0),LEFT(TRIM(Raw_Export!B1633),2)))))</f>
        <v>46275</v>
      </c>
      <c r="C1633" s="36" t="str">
        <f aca="false">IF(Raw_Export!$A1633="","",IFERROR(VLOOKUP(LOWER(TRIM(Raw_Export!C1633)),Maps!$A$2:$B$20,2,FALSE()),"UNMAPPED"))</f>
        <v>Nakuru</v>
      </c>
      <c r="D1633" s="36" t="str">
        <f aca="false">IF(Raw_Export!$A1633="","",IFERROR(VLOOKUP(LOWER(TRIM(Raw_Export!D1633)),Maps!$G$2:$I$80,2,FALSE()),"UNMAPPED"))</f>
        <v>Butter 250g</v>
      </c>
      <c r="E1633" s="36" t="str">
        <f aca="false">IF(Raw_Export!$A1633="","",IFERROR(VLOOKUP(LOWER(TRIM(Raw_Export!D1633)),Maps!$G$2:$I$80,3,FALSE()),"UNMAPPED"))</f>
        <v>Dairy &amp; Eggs</v>
      </c>
      <c r="F1633" s="36" t="n">
        <f aca="false">IF(Raw_Export!$A1633="","",IFERROR(VALUE(TRIM(Raw_Export!E1633)),0))</f>
        <v>1</v>
      </c>
      <c r="G1633" s="38" t="n">
        <f aca="false">IF(Raw_Export!$A1633="","",IFERROR(VALUE(SUBSTITUTE(SUBSTITUTE(UPPER(TRIM(Raw_Export!F1633)),"KES",""),",","")),0))</f>
        <v>310</v>
      </c>
      <c r="H1633" s="38" t="n">
        <f aca="false">IF(Raw_Export!$A1633="","",F1633*G1633)</f>
        <v>310</v>
      </c>
      <c r="I1633" s="36" t="str">
        <f aca="false">IF(Raw_Export!$A1633="","",IFERROR(VLOOKUP(LOWER(TRIM(Raw_Export!H1633)),Maps!$D$2:$E$12,2,FALSE()),"Other"))</f>
        <v>M-Pesa</v>
      </c>
      <c r="J1633" s="36" t="str">
        <f aca="false">IF(Raw_Export!$A1633="","",IF(COUNTIF($A$2:A1633,A1633)&gt;1,"Duplicate",""))</f>
        <v/>
      </c>
      <c r="K1633" s="36" t="str">
        <f aca="false">IF(Raw_Export!$A1633="","",IF(J1633="Duplicate","Duplicate",IF(OR(C1633="UNMAPPED",D1633="UNMAPPED"),"Unmapped",IF(F1633=0,"Blank qty",IF(F1633&lt;0,"Return","OK")))))</f>
        <v>OK</v>
      </c>
      <c r="L1633" s="36" t="n">
        <f aca="false">IF(Raw_Export!$A1633="","",IF(OR(K1633="OK",K1633="Return"),1,0))</f>
        <v>1</v>
      </c>
      <c r="M1633" s="37" t="n">
        <f aca="false">IF(Raw_Export!$A1633="","",B1633-WEEKDAY(B1633,2)+1)</f>
        <v>46272</v>
      </c>
    </row>
    <row r="1634" customFormat="false" ht="15" hidden="false" customHeight="false" outlineLevel="0" collapsed="false">
      <c r="A1634" s="36" t="str">
        <f aca="false">IF(Raw_Export!$A1634="","",TRIM(Raw_Export!A1634))</f>
        <v>TXN-101599</v>
      </c>
      <c r="B1634" s="37" t="n">
        <f aca="false">IF(Raw_Export!$A1634="","",IF(ISNUMBER(Raw_Export!B1634),Raw_Export!B1634,IF(MID(TRIM(Raw_Export!B1634),5,1)="-",DATE(LEFT(TRIM(Raw_Export!B1634),4),MID(TRIM(Raw_Export!B1634),6,2),RIGHT(TRIM(Raw_Export!B1634),2)),DATE(RIGHT(TRIM(Raw_Export!B1634),4),MATCH(MID(TRIM(Raw_Export!B1634),4,3),{"Jan","Feb","Mar","Apr","May","Jun","Jul","Aug","Sep","Oct","Nov","Dec"},0),LEFT(TRIM(Raw_Export!B1634),2)))))</f>
        <v>46275</v>
      </c>
      <c r="C1634" s="36" t="str">
        <f aca="false">IF(Raw_Export!$A1634="","",IFERROR(VLOOKUP(LOWER(TRIM(Raw_Export!C1634)),Maps!$A$2:$B$20,2,FALSE()),"UNMAPPED"))</f>
        <v>Nakuru</v>
      </c>
      <c r="D1634" s="36" t="str">
        <f aca="false">IF(Raw_Export!$A1634="","",IFERROR(VLOOKUP(LOWER(TRIM(Raw_Export!D1634)),Maps!$G$2:$I$80,2,FALSE()),"UNMAPPED"))</f>
        <v>Cooking Oil 1L</v>
      </c>
      <c r="E1634" s="36" t="str">
        <f aca="false">IF(Raw_Export!$A1634="","",IFERROR(VLOOKUP(LOWER(TRIM(Raw_Export!D1634)),Maps!$G$2:$I$80,3,FALSE()),"UNMAPPED"))</f>
        <v>Staples</v>
      </c>
      <c r="F1634" s="36" t="n">
        <f aca="false">IF(Raw_Export!$A1634="","",IFERROR(VALUE(TRIM(Raw_Export!E1634)),0))</f>
        <v>2</v>
      </c>
      <c r="G1634" s="38" t="n">
        <f aca="false">IF(Raw_Export!$A1634="","",IFERROR(VALUE(SUBSTITUTE(SUBSTITUTE(UPPER(TRIM(Raw_Export!F1634)),"KES",""),",","")),0))</f>
        <v>330</v>
      </c>
      <c r="H1634" s="38" t="n">
        <f aca="false">IF(Raw_Export!$A1634="","",F1634*G1634)</f>
        <v>660</v>
      </c>
      <c r="I1634" s="36" t="str">
        <f aca="false">IF(Raw_Export!$A1634="","",IFERROR(VLOOKUP(LOWER(TRIM(Raw_Export!H1634)),Maps!$D$2:$E$12,2,FALSE()),"Other"))</f>
        <v>M-Pesa</v>
      </c>
      <c r="J1634" s="36" t="str">
        <f aca="false">IF(Raw_Export!$A1634="","",IF(COUNTIF($A$2:A1634,A1634)&gt;1,"Duplicate",""))</f>
        <v/>
      </c>
      <c r="K1634" s="36" t="str">
        <f aca="false">IF(Raw_Export!$A1634="","",IF(J1634="Duplicate","Duplicate",IF(OR(C1634="UNMAPPED",D1634="UNMAPPED"),"Unmapped",IF(F1634=0,"Blank qty",IF(F1634&lt;0,"Return","OK")))))</f>
        <v>OK</v>
      </c>
      <c r="L1634" s="36" t="n">
        <f aca="false">IF(Raw_Export!$A1634="","",IF(OR(K1634="OK",K1634="Return"),1,0))</f>
        <v>1</v>
      </c>
      <c r="M1634" s="37" t="n">
        <f aca="false">IF(Raw_Export!$A1634="","",B1634-WEEKDAY(B1634,2)+1)</f>
        <v>46272</v>
      </c>
    </row>
    <row r="1635" customFormat="false" ht="15" hidden="false" customHeight="false" outlineLevel="0" collapsed="false">
      <c r="A1635" s="36" t="str">
        <f aca="false">IF(Raw_Export!$A1635="","",TRIM(Raw_Export!A1635))</f>
        <v>TXN-101600</v>
      </c>
      <c r="B1635" s="37" t="n">
        <f aca="false">IF(Raw_Export!$A1635="","",IF(ISNUMBER(Raw_Export!B1635),Raw_Export!B1635,IF(MID(TRIM(Raw_Export!B1635),5,1)="-",DATE(LEFT(TRIM(Raw_Export!B1635),4),MID(TRIM(Raw_Export!B1635),6,2),RIGHT(TRIM(Raw_Export!B1635),2)),DATE(RIGHT(TRIM(Raw_Export!B1635),4),MATCH(MID(TRIM(Raw_Export!B1635),4,3),{"Jan","Feb","Mar","Apr","May","Jun","Jul","Aug","Sep","Oct","Nov","Dec"},0),LEFT(TRIM(Raw_Export!B1635),2)))))</f>
        <v>46275</v>
      </c>
      <c r="C1635" s="36" t="str">
        <f aca="false">IF(Raw_Export!$A1635="","",IFERROR(VLOOKUP(LOWER(TRIM(Raw_Export!C1635)),Maps!$A$2:$B$20,2,FALSE()),"UNMAPPED"))</f>
        <v>Nakuru</v>
      </c>
      <c r="D1635" s="36" t="str">
        <f aca="false">IF(Raw_Export!$A1635="","",IFERROR(VLOOKUP(LOWER(TRIM(Raw_Export!D1635)),Maps!$G$2:$I$80,2,FALSE()),"UNMAPPED"))</f>
        <v>Spaghetti 400g</v>
      </c>
      <c r="E1635" s="36" t="str">
        <f aca="false">IF(Raw_Export!$A1635="","",IFERROR(VLOOKUP(LOWER(TRIM(Raw_Export!D1635)),Maps!$G$2:$I$80,3,FALSE()),"UNMAPPED"))</f>
        <v>Staples</v>
      </c>
      <c r="F1635" s="36" t="n">
        <f aca="false">IF(Raw_Export!$A1635="","",IFERROR(VALUE(TRIM(Raw_Export!E1635)),0))</f>
        <v>1</v>
      </c>
      <c r="G1635" s="38" t="n">
        <f aca="false">IF(Raw_Export!$A1635="","",IFERROR(VALUE(SUBSTITUTE(SUBSTITUTE(UPPER(TRIM(Raw_Export!F1635)),"KES",""),",","")),0))</f>
        <v>110</v>
      </c>
      <c r="H1635" s="38" t="n">
        <f aca="false">IF(Raw_Export!$A1635="","",F1635*G1635)</f>
        <v>110</v>
      </c>
      <c r="I1635" s="36" t="str">
        <f aca="false">IF(Raw_Export!$A1635="","",IFERROR(VLOOKUP(LOWER(TRIM(Raw_Export!H1635)),Maps!$D$2:$E$12,2,FALSE()),"Other"))</f>
        <v>Cash</v>
      </c>
      <c r="J1635" s="36" t="str">
        <f aca="false">IF(Raw_Export!$A1635="","",IF(COUNTIF($A$2:A1635,A1635)&gt;1,"Duplicate",""))</f>
        <v/>
      </c>
      <c r="K1635" s="36" t="str">
        <f aca="false">IF(Raw_Export!$A1635="","",IF(J1635="Duplicate","Duplicate",IF(OR(C1635="UNMAPPED",D1635="UNMAPPED"),"Unmapped",IF(F1635=0,"Blank qty",IF(F1635&lt;0,"Return","OK")))))</f>
        <v>OK</v>
      </c>
      <c r="L1635" s="36" t="n">
        <f aca="false">IF(Raw_Export!$A1635="","",IF(OR(K1635="OK",K1635="Return"),1,0))</f>
        <v>1</v>
      </c>
      <c r="M1635" s="37" t="n">
        <f aca="false">IF(Raw_Export!$A1635="","",B1635-WEEKDAY(B1635,2)+1)</f>
        <v>46272</v>
      </c>
    </row>
    <row r="1636" customFormat="false" ht="15" hidden="false" customHeight="false" outlineLevel="0" collapsed="false">
      <c r="A1636" s="36" t="str">
        <f aca="false">IF(Raw_Export!$A1636="","",TRIM(Raw_Export!A1636))</f>
        <v>TXN-101601</v>
      </c>
      <c r="B1636" s="37" t="n">
        <f aca="false">IF(Raw_Export!$A1636="","",IF(ISNUMBER(Raw_Export!B1636),Raw_Export!B1636,IF(MID(TRIM(Raw_Export!B1636),5,1)="-",DATE(LEFT(TRIM(Raw_Export!B1636),4),MID(TRIM(Raw_Export!B1636),6,2),RIGHT(TRIM(Raw_Export!B1636),2)),DATE(RIGHT(TRIM(Raw_Export!B1636),4),MATCH(MID(TRIM(Raw_Export!B1636),4,3),{"Jan","Feb","Mar","Apr","May","Jun","Jul","Aug","Sep","Oct","Nov","Dec"},0),LEFT(TRIM(Raw_Export!B1636),2)))))</f>
        <v>46275</v>
      </c>
      <c r="C1636" s="36" t="str">
        <f aca="false">IF(Raw_Export!$A1636="","",IFERROR(VLOOKUP(LOWER(TRIM(Raw_Export!C1636)),Maps!$A$2:$B$20,2,FALSE()),"UNMAPPED"))</f>
        <v>Nakuru</v>
      </c>
      <c r="D1636" s="36" t="str">
        <f aca="false">IF(Raw_Export!$A1636="","",IFERROR(VLOOKUP(LOWER(TRIM(Raw_Export!D1636)),Maps!$G$2:$I$80,2,FALSE()),"UNMAPPED"))</f>
        <v>Butter 250g</v>
      </c>
      <c r="E1636" s="36" t="str">
        <f aca="false">IF(Raw_Export!$A1636="","",IFERROR(VLOOKUP(LOWER(TRIM(Raw_Export!D1636)),Maps!$G$2:$I$80,3,FALSE()),"UNMAPPED"))</f>
        <v>Dairy &amp; Eggs</v>
      </c>
      <c r="F1636" s="36" t="n">
        <f aca="false">IF(Raw_Export!$A1636="","",IFERROR(VALUE(TRIM(Raw_Export!E1636)),0))</f>
        <v>2</v>
      </c>
      <c r="G1636" s="38" t="n">
        <f aca="false">IF(Raw_Export!$A1636="","",IFERROR(VALUE(SUBSTITUTE(SUBSTITUTE(UPPER(TRIM(Raw_Export!F1636)),"KES",""),",","")),0))</f>
        <v>310</v>
      </c>
      <c r="H1636" s="38" t="n">
        <f aca="false">IF(Raw_Export!$A1636="","",F1636*G1636)</f>
        <v>620</v>
      </c>
      <c r="I1636" s="36" t="str">
        <f aca="false">IF(Raw_Export!$A1636="","",IFERROR(VLOOKUP(LOWER(TRIM(Raw_Export!H1636)),Maps!$D$2:$E$12,2,FALSE()),"Other"))</f>
        <v>M-Pesa</v>
      </c>
      <c r="J1636" s="36" t="str">
        <f aca="false">IF(Raw_Export!$A1636="","",IF(COUNTIF($A$2:A1636,A1636)&gt;1,"Duplicate",""))</f>
        <v/>
      </c>
      <c r="K1636" s="36" t="str">
        <f aca="false">IF(Raw_Export!$A1636="","",IF(J1636="Duplicate","Duplicate",IF(OR(C1636="UNMAPPED",D1636="UNMAPPED"),"Unmapped",IF(F1636=0,"Blank qty",IF(F1636&lt;0,"Return","OK")))))</f>
        <v>OK</v>
      </c>
      <c r="L1636" s="36" t="n">
        <f aca="false">IF(Raw_Export!$A1636="","",IF(OR(K1636="OK",K1636="Return"),1,0))</f>
        <v>1</v>
      </c>
      <c r="M1636" s="37" t="n">
        <f aca="false">IF(Raw_Export!$A1636="","",B1636-WEEKDAY(B1636,2)+1)</f>
        <v>46272</v>
      </c>
    </row>
    <row r="1637" customFormat="false" ht="15" hidden="false" customHeight="false" outlineLevel="0" collapsed="false">
      <c r="A1637" s="36" t="str">
        <f aca="false">IF(Raw_Export!$A1637="","",TRIM(Raw_Export!A1637))</f>
        <v>TXN-101602</v>
      </c>
      <c r="B1637" s="37" t="n">
        <f aca="false">IF(Raw_Export!$A1637="","",IF(ISNUMBER(Raw_Export!B1637),Raw_Export!B1637,IF(MID(TRIM(Raw_Export!B1637),5,1)="-",DATE(LEFT(TRIM(Raw_Export!B1637),4),MID(TRIM(Raw_Export!B1637),6,2),RIGHT(TRIM(Raw_Export!B1637),2)),DATE(RIGHT(TRIM(Raw_Export!B1637),4),MATCH(MID(TRIM(Raw_Export!B1637),4,3),{"Jan","Feb","Mar","Apr","May","Jun","Jul","Aug","Sep","Oct","Nov","Dec"},0),LEFT(TRIM(Raw_Export!B1637),2)))))</f>
        <v>46276</v>
      </c>
      <c r="C1637" s="36" t="str">
        <f aca="false">IF(Raw_Export!$A1637="","",IFERROR(VLOOKUP(LOWER(TRIM(Raw_Export!C1637)),Maps!$A$2:$B$20,2,FALSE()),"UNMAPPED"))</f>
        <v>Nairobi CBD</v>
      </c>
      <c r="D1637" s="36" t="str">
        <f aca="false">IF(Raw_Export!$A1637="","",IFERROR(VLOOKUP(LOWER(TRIM(Raw_Export!D1637)),Maps!$G$2:$I$80,2,FALSE()),"UNMAPPED"))</f>
        <v>Spaghetti 400g</v>
      </c>
      <c r="E1637" s="36" t="str">
        <f aca="false">IF(Raw_Export!$A1637="","",IFERROR(VLOOKUP(LOWER(TRIM(Raw_Export!D1637)),Maps!$G$2:$I$80,3,FALSE()),"UNMAPPED"))</f>
        <v>Staples</v>
      </c>
      <c r="F1637" s="36" t="n">
        <f aca="false">IF(Raw_Export!$A1637="","",IFERROR(VALUE(TRIM(Raw_Export!E1637)),0))</f>
        <v>2</v>
      </c>
      <c r="G1637" s="38" t="n">
        <f aca="false">IF(Raw_Export!$A1637="","",IFERROR(VALUE(SUBSTITUTE(SUBSTITUTE(UPPER(TRIM(Raw_Export!F1637)),"KES",""),",","")),0))</f>
        <v>110</v>
      </c>
      <c r="H1637" s="38" t="n">
        <f aca="false">IF(Raw_Export!$A1637="","",F1637*G1637)</f>
        <v>220</v>
      </c>
      <c r="I1637" s="36" t="str">
        <f aca="false">IF(Raw_Export!$A1637="","",IFERROR(VLOOKUP(LOWER(TRIM(Raw_Export!H1637)),Maps!$D$2:$E$12,2,FALSE()),"Other"))</f>
        <v>Cash</v>
      </c>
      <c r="J1637" s="36" t="str">
        <f aca="false">IF(Raw_Export!$A1637="","",IF(COUNTIF($A$2:A1637,A1637)&gt;1,"Duplicate",""))</f>
        <v/>
      </c>
      <c r="K1637" s="36" t="str">
        <f aca="false">IF(Raw_Export!$A1637="","",IF(J1637="Duplicate","Duplicate",IF(OR(C1637="UNMAPPED",D1637="UNMAPPED"),"Unmapped",IF(F1637=0,"Blank qty",IF(F1637&lt;0,"Return","OK")))))</f>
        <v>OK</v>
      </c>
      <c r="L1637" s="36" t="n">
        <f aca="false">IF(Raw_Export!$A1637="","",IF(OR(K1637="OK",K1637="Return"),1,0))</f>
        <v>1</v>
      </c>
      <c r="M1637" s="37" t="n">
        <f aca="false">IF(Raw_Export!$A1637="","",B1637-WEEKDAY(B1637,2)+1)</f>
        <v>46272</v>
      </c>
    </row>
    <row r="1638" customFormat="false" ht="15" hidden="false" customHeight="false" outlineLevel="0" collapsed="false">
      <c r="A1638" s="36" t="str">
        <f aca="false">IF(Raw_Export!$A1638="","",TRIM(Raw_Export!A1638))</f>
        <v>TXN-101603</v>
      </c>
      <c r="B1638" s="37" t="n">
        <f aca="false">IF(Raw_Export!$A1638="","",IF(ISNUMBER(Raw_Export!B1638),Raw_Export!B1638,IF(MID(TRIM(Raw_Export!B1638),5,1)="-",DATE(LEFT(TRIM(Raw_Export!B1638),4),MID(TRIM(Raw_Export!B1638),6,2),RIGHT(TRIM(Raw_Export!B1638),2)),DATE(RIGHT(TRIM(Raw_Export!B1638),4),MATCH(MID(TRIM(Raw_Export!B1638),4,3),{"Jan","Feb","Mar","Apr","May","Jun","Jul","Aug","Sep","Oct","Nov","Dec"},0),LEFT(TRIM(Raw_Export!B1638),2)))))</f>
        <v>46276</v>
      </c>
      <c r="C1638" s="36" t="str">
        <f aca="false">IF(Raw_Export!$A1638="","",IFERROR(VLOOKUP(LOWER(TRIM(Raw_Export!C1638)),Maps!$A$2:$B$20,2,FALSE()),"UNMAPPED"))</f>
        <v>Nairobi CBD</v>
      </c>
      <c r="D1638" s="36" t="str">
        <f aca="false">IF(Raw_Export!$A1638="","",IFERROR(VLOOKUP(LOWER(TRIM(Raw_Export!D1638)),Maps!$G$2:$I$80,2,FALSE()),"UNMAPPED"))</f>
        <v>Spaghetti 400g</v>
      </c>
      <c r="E1638" s="36" t="str">
        <f aca="false">IF(Raw_Export!$A1638="","",IFERROR(VLOOKUP(LOWER(TRIM(Raw_Export!D1638)),Maps!$G$2:$I$80,3,FALSE()),"UNMAPPED"))</f>
        <v>Staples</v>
      </c>
      <c r="F1638" s="36" t="n">
        <f aca="false">IF(Raw_Export!$A1638="","",IFERROR(VALUE(TRIM(Raw_Export!E1638)),0))</f>
        <v>2</v>
      </c>
      <c r="G1638" s="38" t="n">
        <f aca="false">IF(Raw_Export!$A1638="","",IFERROR(VALUE(SUBSTITUTE(SUBSTITUTE(UPPER(TRIM(Raw_Export!F1638)),"KES",""),",","")),0))</f>
        <v>110</v>
      </c>
      <c r="H1638" s="38" t="n">
        <f aca="false">IF(Raw_Export!$A1638="","",F1638*G1638)</f>
        <v>220</v>
      </c>
      <c r="I1638" s="36" t="str">
        <f aca="false">IF(Raw_Export!$A1638="","",IFERROR(VLOOKUP(LOWER(TRIM(Raw_Export!H1638)),Maps!$D$2:$E$12,2,FALSE()),"Other"))</f>
        <v>Cash</v>
      </c>
      <c r="J1638" s="36" t="str">
        <f aca="false">IF(Raw_Export!$A1638="","",IF(COUNTIF($A$2:A1638,A1638)&gt;1,"Duplicate",""))</f>
        <v/>
      </c>
      <c r="K1638" s="36" t="str">
        <f aca="false">IF(Raw_Export!$A1638="","",IF(J1638="Duplicate","Duplicate",IF(OR(C1638="UNMAPPED",D1638="UNMAPPED"),"Unmapped",IF(F1638=0,"Blank qty",IF(F1638&lt;0,"Return","OK")))))</f>
        <v>OK</v>
      </c>
      <c r="L1638" s="36" t="n">
        <f aca="false">IF(Raw_Export!$A1638="","",IF(OR(K1638="OK",K1638="Return"),1,0))</f>
        <v>1</v>
      </c>
      <c r="M1638" s="37" t="n">
        <f aca="false">IF(Raw_Export!$A1638="","",B1638-WEEKDAY(B1638,2)+1)</f>
        <v>46272</v>
      </c>
    </row>
    <row r="1639" customFormat="false" ht="15" hidden="false" customHeight="false" outlineLevel="0" collapsed="false">
      <c r="A1639" s="36" t="str">
        <f aca="false">IF(Raw_Export!$A1639="","",TRIM(Raw_Export!A1639))</f>
        <v>TXN-101604</v>
      </c>
      <c r="B1639" s="37" t="n">
        <f aca="false">IF(Raw_Export!$A1639="","",IF(ISNUMBER(Raw_Export!B1639),Raw_Export!B1639,IF(MID(TRIM(Raw_Export!B1639),5,1)="-",DATE(LEFT(TRIM(Raw_Export!B1639),4),MID(TRIM(Raw_Export!B1639),6,2),RIGHT(TRIM(Raw_Export!B1639),2)),DATE(RIGHT(TRIM(Raw_Export!B1639),4),MATCH(MID(TRIM(Raw_Export!B1639),4,3),{"Jan","Feb","Mar","Apr","May","Jun","Jul","Aug","Sep","Oct","Nov","Dec"},0),LEFT(TRIM(Raw_Export!B1639),2)))))</f>
        <v>46276</v>
      </c>
      <c r="C1639" s="36" t="str">
        <f aca="false">IF(Raw_Export!$A1639="","",IFERROR(VLOOKUP(LOWER(TRIM(Raw_Export!C1639)),Maps!$A$2:$B$20,2,FALSE()),"UNMAPPED"))</f>
        <v>Nairobi CBD</v>
      </c>
      <c r="D1639" s="36" t="str">
        <f aca="false">IF(Raw_Export!$A1639="","",IFERROR(VLOOKUP(LOWER(TRIM(Raw_Export!D1639)),Maps!$G$2:$I$80,2,FALSE()),"UNMAPPED"))</f>
        <v>Soda 500ml</v>
      </c>
      <c r="E1639" s="36" t="str">
        <f aca="false">IF(Raw_Export!$A1639="","",IFERROR(VLOOKUP(LOWER(TRIM(Raw_Export!D1639)),Maps!$G$2:$I$80,3,FALSE()),"UNMAPPED"))</f>
        <v>Beverages</v>
      </c>
      <c r="F1639" s="36" t="n">
        <f aca="false">IF(Raw_Export!$A1639="","",IFERROR(VALUE(TRIM(Raw_Export!E1639)),0))</f>
        <v>6</v>
      </c>
      <c r="G1639" s="38" t="n">
        <f aca="false">IF(Raw_Export!$A1639="","",IFERROR(VALUE(SUBSTITUTE(SUBSTITUTE(UPPER(TRIM(Raw_Export!F1639)),"KES",""),",","")),0))</f>
        <v>60</v>
      </c>
      <c r="H1639" s="38" t="n">
        <f aca="false">IF(Raw_Export!$A1639="","",F1639*G1639)</f>
        <v>360</v>
      </c>
      <c r="I1639" s="36" t="str">
        <f aca="false">IF(Raw_Export!$A1639="","",IFERROR(VLOOKUP(LOWER(TRIM(Raw_Export!H1639)),Maps!$D$2:$E$12,2,FALSE()),"Other"))</f>
        <v>M-Pesa</v>
      </c>
      <c r="J1639" s="36" t="str">
        <f aca="false">IF(Raw_Export!$A1639="","",IF(COUNTIF($A$2:A1639,A1639)&gt;1,"Duplicate",""))</f>
        <v/>
      </c>
      <c r="K1639" s="36" t="str">
        <f aca="false">IF(Raw_Export!$A1639="","",IF(J1639="Duplicate","Duplicate",IF(OR(C1639="UNMAPPED",D1639="UNMAPPED"),"Unmapped",IF(F1639=0,"Blank qty",IF(F1639&lt;0,"Return","OK")))))</f>
        <v>OK</v>
      </c>
      <c r="L1639" s="36" t="n">
        <f aca="false">IF(Raw_Export!$A1639="","",IF(OR(K1639="OK",K1639="Return"),1,0))</f>
        <v>1</v>
      </c>
      <c r="M1639" s="37" t="n">
        <f aca="false">IF(Raw_Export!$A1639="","",B1639-WEEKDAY(B1639,2)+1)</f>
        <v>46272</v>
      </c>
    </row>
    <row r="1640" customFormat="false" ht="15" hidden="false" customHeight="false" outlineLevel="0" collapsed="false">
      <c r="A1640" s="36" t="str">
        <f aca="false">IF(Raw_Export!$A1640="","",TRIM(Raw_Export!A1640))</f>
        <v>TXN-101605</v>
      </c>
      <c r="B1640" s="37" t="n">
        <f aca="false">IF(Raw_Export!$A1640="","",IF(ISNUMBER(Raw_Export!B1640),Raw_Export!B1640,IF(MID(TRIM(Raw_Export!B1640),5,1)="-",DATE(LEFT(TRIM(Raw_Export!B1640),4),MID(TRIM(Raw_Export!B1640),6,2),RIGHT(TRIM(Raw_Export!B1640),2)),DATE(RIGHT(TRIM(Raw_Export!B1640),4),MATCH(MID(TRIM(Raw_Export!B1640),4,3),{"Jan","Feb","Mar","Apr","May","Jun","Jul","Aug","Sep","Oct","Nov","Dec"},0),LEFT(TRIM(Raw_Export!B1640),2)))))</f>
        <v>46276</v>
      </c>
      <c r="C1640" s="36" t="str">
        <f aca="false">IF(Raw_Export!$A1640="","",IFERROR(VLOOKUP(LOWER(TRIM(Raw_Export!C1640)),Maps!$A$2:$B$20,2,FALSE()),"UNMAPPED"))</f>
        <v>Nairobi CBD</v>
      </c>
      <c r="D1640" s="36" t="str">
        <f aca="false">IF(Raw_Export!$A1640="","",IFERROR(VLOOKUP(LOWER(TRIM(Raw_Export!D1640)),Maps!$G$2:$I$80,2,FALSE()),"UNMAPPED"))</f>
        <v>Bleach 1L</v>
      </c>
      <c r="E1640" s="36" t="str">
        <f aca="false">IF(Raw_Export!$A1640="","",IFERROR(VLOOKUP(LOWER(TRIM(Raw_Export!D1640)),Maps!$G$2:$I$80,3,FALSE()),"UNMAPPED"))</f>
        <v>Household</v>
      </c>
      <c r="F1640" s="36" t="n">
        <f aca="false">IF(Raw_Export!$A1640="","",IFERROR(VALUE(TRIM(Raw_Export!E1640)),0))</f>
        <v>2</v>
      </c>
      <c r="G1640" s="38" t="n">
        <f aca="false">IF(Raw_Export!$A1640="","",IFERROR(VALUE(SUBSTITUTE(SUBSTITUTE(UPPER(TRIM(Raw_Export!F1640)),"KES",""),",","")),0))</f>
        <v>160</v>
      </c>
      <c r="H1640" s="38" t="n">
        <f aca="false">IF(Raw_Export!$A1640="","",F1640*G1640)</f>
        <v>320</v>
      </c>
      <c r="I1640" s="36" t="str">
        <f aca="false">IF(Raw_Export!$A1640="","",IFERROR(VLOOKUP(LOWER(TRIM(Raw_Export!H1640)),Maps!$D$2:$E$12,2,FALSE()),"Other"))</f>
        <v>Cash</v>
      </c>
      <c r="J1640" s="36" t="str">
        <f aca="false">IF(Raw_Export!$A1640="","",IF(COUNTIF($A$2:A1640,A1640)&gt;1,"Duplicate",""))</f>
        <v/>
      </c>
      <c r="K1640" s="36" t="str">
        <f aca="false">IF(Raw_Export!$A1640="","",IF(J1640="Duplicate","Duplicate",IF(OR(C1640="UNMAPPED",D1640="UNMAPPED"),"Unmapped",IF(F1640=0,"Blank qty",IF(F1640&lt;0,"Return","OK")))))</f>
        <v>OK</v>
      </c>
      <c r="L1640" s="36" t="n">
        <f aca="false">IF(Raw_Export!$A1640="","",IF(OR(K1640="OK",K1640="Return"),1,0))</f>
        <v>1</v>
      </c>
      <c r="M1640" s="37" t="n">
        <f aca="false">IF(Raw_Export!$A1640="","",B1640-WEEKDAY(B1640,2)+1)</f>
        <v>46272</v>
      </c>
    </row>
    <row r="1641" customFormat="false" ht="15" hidden="false" customHeight="false" outlineLevel="0" collapsed="false">
      <c r="A1641" s="36" t="str">
        <f aca="false">IF(Raw_Export!$A1641="","",TRIM(Raw_Export!A1641))</f>
        <v>TXN-101606</v>
      </c>
      <c r="B1641" s="37" t="n">
        <f aca="false">IF(Raw_Export!$A1641="","",IF(ISNUMBER(Raw_Export!B1641),Raw_Export!B1641,IF(MID(TRIM(Raw_Export!B1641),5,1)="-",DATE(LEFT(TRIM(Raw_Export!B1641),4),MID(TRIM(Raw_Export!B1641),6,2),RIGHT(TRIM(Raw_Export!B1641),2)),DATE(RIGHT(TRIM(Raw_Export!B1641),4),MATCH(MID(TRIM(Raw_Export!B1641),4,3),{"Jan","Feb","Mar","Apr","May","Jun","Jul","Aug","Sep","Oct","Nov","Dec"},0),LEFT(TRIM(Raw_Export!B1641),2)))))</f>
        <v>46276</v>
      </c>
      <c r="C1641" s="36" t="str">
        <f aca="false">IF(Raw_Export!$A1641="","",IFERROR(VLOOKUP(LOWER(TRIM(Raw_Export!C1641)),Maps!$A$2:$B$20,2,FALSE()),"UNMAPPED"))</f>
        <v>Nairobi CBD</v>
      </c>
      <c r="D1641" s="36" t="str">
        <f aca="false">IF(Raw_Export!$A1641="","",IFERROR(VLOOKUP(LOWER(TRIM(Raw_Export!D1641)),Maps!$G$2:$I$80,2,FALSE()),"UNMAPPED"))</f>
        <v>Soda 500ml</v>
      </c>
      <c r="E1641" s="36" t="str">
        <f aca="false">IF(Raw_Export!$A1641="","",IFERROR(VLOOKUP(LOWER(TRIM(Raw_Export!D1641)),Maps!$G$2:$I$80,3,FALSE()),"UNMAPPED"))</f>
        <v>Beverages</v>
      </c>
      <c r="F1641" s="36" t="n">
        <f aca="false">IF(Raw_Export!$A1641="","",IFERROR(VALUE(TRIM(Raw_Export!E1641)),0))</f>
        <v>1</v>
      </c>
      <c r="G1641" s="38" t="n">
        <f aca="false">IF(Raw_Export!$A1641="","",IFERROR(VALUE(SUBSTITUTE(SUBSTITUTE(UPPER(TRIM(Raw_Export!F1641)),"KES",""),",","")),0))</f>
        <v>60</v>
      </c>
      <c r="H1641" s="38" t="n">
        <f aca="false">IF(Raw_Export!$A1641="","",F1641*G1641)</f>
        <v>60</v>
      </c>
      <c r="I1641" s="36" t="str">
        <f aca="false">IF(Raw_Export!$A1641="","",IFERROR(VLOOKUP(LOWER(TRIM(Raw_Export!H1641)),Maps!$D$2:$E$12,2,FALSE()),"Other"))</f>
        <v>M-Pesa</v>
      </c>
      <c r="J1641" s="36" t="str">
        <f aca="false">IF(Raw_Export!$A1641="","",IF(COUNTIF($A$2:A1641,A1641)&gt;1,"Duplicate",""))</f>
        <v/>
      </c>
      <c r="K1641" s="36" t="str">
        <f aca="false">IF(Raw_Export!$A1641="","",IF(J1641="Duplicate","Duplicate",IF(OR(C1641="UNMAPPED",D1641="UNMAPPED"),"Unmapped",IF(F1641=0,"Blank qty",IF(F1641&lt;0,"Return","OK")))))</f>
        <v>OK</v>
      </c>
      <c r="L1641" s="36" t="n">
        <f aca="false">IF(Raw_Export!$A1641="","",IF(OR(K1641="OK",K1641="Return"),1,0))</f>
        <v>1</v>
      </c>
      <c r="M1641" s="37" t="n">
        <f aca="false">IF(Raw_Export!$A1641="","",B1641-WEEKDAY(B1641,2)+1)</f>
        <v>46272</v>
      </c>
    </row>
    <row r="1642" customFormat="false" ht="15" hidden="false" customHeight="false" outlineLevel="0" collapsed="false">
      <c r="A1642" s="36" t="str">
        <f aca="false">IF(Raw_Export!$A1642="","",TRIM(Raw_Export!A1642))</f>
        <v>TXN-101607</v>
      </c>
      <c r="B1642" s="37" t="n">
        <f aca="false">IF(Raw_Export!$A1642="","",IF(ISNUMBER(Raw_Export!B1642),Raw_Export!B1642,IF(MID(TRIM(Raw_Export!B1642),5,1)="-",DATE(LEFT(TRIM(Raw_Export!B1642),4),MID(TRIM(Raw_Export!B1642),6,2),RIGHT(TRIM(Raw_Export!B1642),2)),DATE(RIGHT(TRIM(Raw_Export!B1642),4),MATCH(MID(TRIM(Raw_Export!B1642),4,3),{"Jan","Feb","Mar","Apr","May","Jun","Jul","Aug","Sep","Oct","Nov","Dec"},0),LEFT(TRIM(Raw_Export!B1642),2)))))</f>
        <v>46276</v>
      </c>
      <c r="C1642" s="36" t="str">
        <f aca="false">IF(Raw_Export!$A1642="","",IFERROR(VLOOKUP(LOWER(TRIM(Raw_Export!C1642)),Maps!$A$2:$B$20,2,FALSE()),"UNMAPPED"))</f>
        <v>Nairobi CBD</v>
      </c>
      <c r="D1642" s="36" t="str">
        <f aca="false">IF(Raw_Export!$A1642="","",IFERROR(VLOOKUP(LOWER(TRIM(Raw_Export!D1642)),Maps!$G$2:$I$80,2,FALSE()),"UNMAPPED"))</f>
        <v>Soda 500ml</v>
      </c>
      <c r="E1642" s="36" t="str">
        <f aca="false">IF(Raw_Export!$A1642="","",IFERROR(VLOOKUP(LOWER(TRIM(Raw_Export!D1642)),Maps!$G$2:$I$80,3,FALSE()),"UNMAPPED"))</f>
        <v>Beverages</v>
      </c>
      <c r="F1642" s="36" t="n">
        <f aca="false">IF(Raw_Export!$A1642="","",IFERROR(VALUE(TRIM(Raw_Export!E1642)),0))</f>
        <v>6</v>
      </c>
      <c r="G1642" s="38" t="n">
        <f aca="false">IF(Raw_Export!$A1642="","",IFERROR(VALUE(SUBSTITUTE(SUBSTITUTE(UPPER(TRIM(Raw_Export!F1642)),"KES",""),",","")),0))</f>
        <v>60</v>
      </c>
      <c r="H1642" s="38" t="n">
        <f aca="false">IF(Raw_Export!$A1642="","",F1642*G1642)</f>
        <v>360</v>
      </c>
      <c r="I1642" s="36" t="str">
        <f aca="false">IF(Raw_Export!$A1642="","",IFERROR(VLOOKUP(LOWER(TRIM(Raw_Export!H1642)),Maps!$D$2:$E$12,2,FALSE()),"Other"))</f>
        <v>M-Pesa</v>
      </c>
      <c r="J1642" s="36" t="str">
        <f aca="false">IF(Raw_Export!$A1642="","",IF(COUNTIF($A$2:A1642,A1642)&gt;1,"Duplicate",""))</f>
        <v/>
      </c>
      <c r="K1642" s="36" t="str">
        <f aca="false">IF(Raw_Export!$A1642="","",IF(J1642="Duplicate","Duplicate",IF(OR(C1642="UNMAPPED",D1642="UNMAPPED"),"Unmapped",IF(F1642=0,"Blank qty",IF(F1642&lt;0,"Return","OK")))))</f>
        <v>OK</v>
      </c>
      <c r="L1642" s="36" t="n">
        <f aca="false">IF(Raw_Export!$A1642="","",IF(OR(K1642="OK",K1642="Return"),1,0))</f>
        <v>1</v>
      </c>
      <c r="M1642" s="37" t="n">
        <f aca="false">IF(Raw_Export!$A1642="","",B1642-WEEKDAY(B1642,2)+1)</f>
        <v>46272</v>
      </c>
    </row>
    <row r="1643" customFormat="false" ht="15" hidden="false" customHeight="false" outlineLevel="0" collapsed="false">
      <c r="A1643" s="36" t="str">
        <f aca="false">IF(Raw_Export!$A1643="","",TRIM(Raw_Export!A1643))</f>
        <v>TXN-101608</v>
      </c>
      <c r="B1643" s="37" t="n">
        <f aca="false">IF(Raw_Export!$A1643="","",IF(ISNUMBER(Raw_Export!B1643),Raw_Export!B1643,IF(MID(TRIM(Raw_Export!B1643),5,1)="-",DATE(LEFT(TRIM(Raw_Export!B1643),4),MID(TRIM(Raw_Export!B1643),6,2),RIGHT(TRIM(Raw_Export!B1643),2)),DATE(RIGHT(TRIM(Raw_Export!B1643),4),MATCH(MID(TRIM(Raw_Export!B1643),4,3),{"Jan","Feb","Mar","Apr","May","Jun","Jul","Aug","Sep","Oct","Nov","Dec"},0),LEFT(TRIM(Raw_Export!B1643),2)))))</f>
        <v>46276</v>
      </c>
      <c r="C1643" s="36" t="str">
        <f aca="false">IF(Raw_Export!$A1643="","",IFERROR(VLOOKUP(LOWER(TRIM(Raw_Export!C1643)),Maps!$A$2:$B$20,2,FALSE()),"UNMAPPED"))</f>
        <v>Nairobi CBD</v>
      </c>
      <c r="D1643" s="36" t="str">
        <f aca="false">IF(Raw_Export!$A1643="","",IFERROR(VLOOKUP(LOWER(TRIM(Raw_Export!D1643)),Maps!$G$2:$I$80,2,FALSE()),"UNMAPPED"))</f>
        <v>Fresh Milk 500ml</v>
      </c>
      <c r="E1643" s="36" t="str">
        <f aca="false">IF(Raw_Export!$A1643="","",IFERROR(VLOOKUP(LOWER(TRIM(Raw_Export!D1643)),Maps!$G$2:$I$80,3,FALSE()),"UNMAPPED"))</f>
        <v>Dairy &amp; Eggs</v>
      </c>
      <c r="F1643" s="36" t="n">
        <f aca="false">IF(Raw_Export!$A1643="","",IFERROR(VALUE(TRIM(Raw_Export!E1643)),0))</f>
        <v>6</v>
      </c>
      <c r="G1643" s="38" t="n">
        <f aca="false">IF(Raw_Export!$A1643="","",IFERROR(VALUE(SUBSTITUTE(SUBSTITUTE(UPPER(TRIM(Raw_Export!F1643)),"KES",""),",","")),0))</f>
        <v>65</v>
      </c>
      <c r="H1643" s="38" t="n">
        <f aca="false">IF(Raw_Export!$A1643="","",F1643*G1643)</f>
        <v>390</v>
      </c>
      <c r="I1643" s="36" t="str">
        <f aca="false">IF(Raw_Export!$A1643="","",IFERROR(VLOOKUP(LOWER(TRIM(Raw_Export!H1643)),Maps!$D$2:$E$12,2,FALSE()),"Other"))</f>
        <v>M-Pesa</v>
      </c>
      <c r="J1643" s="36" t="str">
        <f aca="false">IF(Raw_Export!$A1643="","",IF(COUNTIF($A$2:A1643,A1643)&gt;1,"Duplicate",""))</f>
        <v/>
      </c>
      <c r="K1643" s="36" t="str">
        <f aca="false">IF(Raw_Export!$A1643="","",IF(J1643="Duplicate","Duplicate",IF(OR(C1643="UNMAPPED",D1643="UNMAPPED"),"Unmapped",IF(F1643=0,"Blank qty",IF(F1643&lt;0,"Return","OK")))))</f>
        <v>OK</v>
      </c>
      <c r="L1643" s="36" t="n">
        <f aca="false">IF(Raw_Export!$A1643="","",IF(OR(K1643="OK",K1643="Return"),1,0))</f>
        <v>1</v>
      </c>
      <c r="M1643" s="37" t="n">
        <f aca="false">IF(Raw_Export!$A1643="","",B1643-WEEKDAY(B1643,2)+1)</f>
        <v>46272</v>
      </c>
    </row>
    <row r="1644" customFormat="false" ht="15" hidden="false" customHeight="false" outlineLevel="0" collapsed="false">
      <c r="A1644" s="36" t="str">
        <f aca="false">IF(Raw_Export!$A1644="","",TRIM(Raw_Export!A1644))</f>
        <v>TXN-101609</v>
      </c>
      <c r="B1644" s="37" t="n">
        <f aca="false">IF(Raw_Export!$A1644="","",IF(ISNUMBER(Raw_Export!B1644),Raw_Export!B1644,IF(MID(TRIM(Raw_Export!B1644),5,1)="-",DATE(LEFT(TRIM(Raw_Export!B1644),4),MID(TRIM(Raw_Export!B1644),6,2),RIGHT(TRIM(Raw_Export!B1644),2)),DATE(RIGHT(TRIM(Raw_Export!B1644),4),MATCH(MID(TRIM(Raw_Export!B1644),4,3),{"Jan","Feb","Mar","Apr","May","Jun","Jul","Aug","Sep","Oct","Nov","Dec"},0),LEFT(TRIM(Raw_Export!B1644),2)))))</f>
        <v>46276</v>
      </c>
      <c r="C1644" s="36" t="str">
        <f aca="false">IF(Raw_Export!$A1644="","",IFERROR(VLOOKUP(LOWER(TRIM(Raw_Export!C1644)),Maps!$A$2:$B$20,2,FALSE()),"UNMAPPED"))</f>
        <v>Nairobi CBD</v>
      </c>
      <c r="D1644" s="36" t="str">
        <f aca="false">IF(Raw_Export!$A1644="","",IFERROR(VLOOKUP(LOWER(TRIM(Raw_Export!D1644)),Maps!$G$2:$I$80,2,FALSE()),"UNMAPPED"))</f>
        <v>Fresh Milk 500ml</v>
      </c>
      <c r="E1644" s="36" t="str">
        <f aca="false">IF(Raw_Export!$A1644="","",IFERROR(VLOOKUP(LOWER(TRIM(Raw_Export!D1644)),Maps!$G$2:$I$80,3,FALSE()),"UNMAPPED"))</f>
        <v>Dairy &amp; Eggs</v>
      </c>
      <c r="F1644" s="36" t="n">
        <f aca="false">IF(Raw_Export!$A1644="","",IFERROR(VALUE(TRIM(Raw_Export!E1644)),0))</f>
        <v>1</v>
      </c>
      <c r="G1644" s="38" t="n">
        <f aca="false">IF(Raw_Export!$A1644="","",IFERROR(VALUE(SUBSTITUTE(SUBSTITUTE(UPPER(TRIM(Raw_Export!F1644)),"KES",""),",","")),0))</f>
        <v>65</v>
      </c>
      <c r="H1644" s="38" t="n">
        <f aca="false">IF(Raw_Export!$A1644="","",F1644*G1644)</f>
        <v>65</v>
      </c>
      <c r="I1644" s="36" t="str">
        <f aca="false">IF(Raw_Export!$A1644="","",IFERROR(VLOOKUP(LOWER(TRIM(Raw_Export!H1644)),Maps!$D$2:$E$12,2,FALSE()),"Other"))</f>
        <v>Cash</v>
      </c>
      <c r="J1644" s="36" t="str">
        <f aca="false">IF(Raw_Export!$A1644="","",IF(COUNTIF($A$2:A1644,A1644)&gt;1,"Duplicate",""))</f>
        <v/>
      </c>
      <c r="K1644" s="36" t="str">
        <f aca="false">IF(Raw_Export!$A1644="","",IF(J1644="Duplicate","Duplicate",IF(OR(C1644="UNMAPPED",D1644="UNMAPPED"),"Unmapped",IF(F1644=0,"Blank qty",IF(F1644&lt;0,"Return","OK")))))</f>
        <v>OK</v>
      </c>
      <c r="L1644" s="36" t="n">
        <f aca="false">IF(Raw_Export!$A1644="","",IF(OR(K1644="OK",K1644="Return"),1,0))</f>
        <v>1</v>
      </c>
      <c r="M1644" s="37" t="n">
        <f aca="false">IF(Raw_Export!$A1644="","",B1644-WEEKDAY(B1644,2)+1)</f>
        <v>46272</v>
      </c>
    </row>
    <row r="1645" customFormat="false" ht="15" hidden="false" customHeight="false" outlineLevel="0" collapsed="false">
      <c r="A1645" s="36" t="str">
        <f aca="false">IF(Raw_Export!$A1645="","",TRIM(Raw_Export!A1645))</f>
        <v>TXN-101610</v>
      </c>
      <c r="B1645" s="37" t="n">
        <f aca="false">IF(Raw_Export!$A1645="","",IF(ISNUMBER(Raw_Export!B1645),Raw_Export!B1645,IF(MID(TRIM(Raw_Export!B1645),5,1)="-",DATE(LEFT(TRIM(Raw_Export!B1645),4),MID(TRIM(Raw_Export!B1645),6,2),RIGHT(TRIM(Raw_Export!B1645),2)),DATE(RIGHT(TRIM(Raw_Export!B1645),4),MATCH(MID(TRIM(Raw_Export!B1645),4,3),{"Jan","Feb","Mar","Apr","May","Jun","Jul","Aug","Sep","Oct","Nov","Dec"},0),LEFT(TRIM(Raw_Export!B1645),2)))))</f>
        <v>46276</v>
      </c>
      <c r="C1645" s="36" t="str">
        <f aca="false">IF(Raw_Export!$A1645="","",IFERROR(VLOOKUP(LOWER(TRIM(Raw_Export!C1645)),Maps!$A$2:$B$20,2,FALSE()),"UNMAPPED"))</f>
        <v>Nairobi CBD</v>
      </c>
      <c r="D1645" s="36" t="str">
        <f aca="false">IF(Raw_Export!$A1645="","",IFERROR(VLOOKUP(LOWER(TRIM(Raw_Export!D1645)),Maps!$G$2:$I$80,2,FALSE()),"UNMAPPED"))</f>
        <v>Unga Pembe 2kg</v>
      </c>
      <c r="E1645" s="36" t="str">
        <f aca="false">IF(Raw_Export!$A1645="","",IFERROR(VLOOKUP(LOWER(TRIM(Raw_Export!D1645)),Maps!$G$2:$I$80,3,FALSE()),"UNMAPPED"))</f>
        <v>Staples</v>
      </c>
      <c r="F1645" s="36" t="n">
        <f aca="false">IF(Raw_Export!$A1645="","",IFERROR(VALUE(TRIM(Raw_Export!E1645)),0))</f>
        <v>1</v>
      </c>
      <c r="G1645" s="38" t="n">
        <f aca="false">IF(Raw_Export!$A1645="","",IFERROR(VALUE(SUBSTITUTE(SUBSTITUTE(UPPER(TRIM(Raw_Export!F1645)),"KES",""),",","")),0))</f>
        <v>190</v>
      </c>
      <c r="H1645" s="38" t="n">
        <f aca="false">IF(Raw_Export!$A1645="","",F1645*G1645)</f>
        <v>190</v>
      </c>
      <c r="I1645" s="36" t="str">
        <f aca="false">IF(Raw_Export!$A1645="","",IFERROR(VLOOKUP(LOWER(TRIM(Raw_Export!H1645)),Maps!$D$2:$E$12,2,FALSE()),"Other"))</f>
        <v>Cash</v>
      </c>
      <c r="J1645" s="36" t="str">
        <f aca="false">IF(Raw_Export!$A1645="","",IF(COUNTIF($A$2:A1645,A1645)&gt;1,"Duplicate",""))</f>
        <v/>
      </c>
      <c r="K1645" s="36" t="str">
        <f aca="false">IF(Raw_Export!$A1645="","",IF(J1645="Duplicate","Duplicate",IF(OR(C1645="UNMAPPED",D1645="UNMAPPED"),"Unmapped",IF(F1645=0,"Blank qty",IF(F1645&lt;0,"Return","OK")))))</f>
        <v>OK</v>
      </c>
      <c r="L1645" s="36" t="n">
        <f aca="false">IF(Raw_Export!$A1645="","",IF(OR(K1645="OK",K1645="Return"),1,0))</f>
        <v>1</v>
      </c>
      <c r="M1645" s="37" t="n">
        <f aca="false">IF(Raw_Export!$A1645="","",B1645-WEEKDAY(B1645,2)+1)</f>
        <v>46272</v>
      </c>
    </row>
    <row r="1646" customFormat="false" ht="15" hidden="false" customHeight="false" outlineLevel="0" collapsed="false">
      <c r="A1646" s="36" t="str">
        <f aca="false">IF(Raw_Export!$A1646="","",TRIM(Raw_Export!A1646))</f>
        <v>TXN-101611</v>
      </c>
      <c r="B1646" s="37" t="n">
        <f aca="false">IF(Raw_Export!$A1646="","",IF(ISNUMBER(Raw_Export!B1646),Raw_Export!B1646,IF(MID(TRIM(Raw_Export!B1646),5,1)="-",DATE(LEFT(TRIM(Raw_Export!B1646),4),MID(TRIM(Raw_Export!B1646),6,2),RIGHT(TRIM(Raw_Export!B1646),2)),DATE(RIGHT(TRIM(Raw_Export!B1646),4),MATCH(MID(TRIM(Raw_Export!B1646),4,3),{"Jan","Feb","Mar","Apr","May","Jun","Jul","Aug","Sep","Oct","Nov","Dec"},0),LEFT(TRIM(Raw_Export!B1646),2)))))</f>
        <v>46276</v>
      </c>
      <c r="C1646" s="36" t="str">
        <f aca="false">IF(Raw_Export!$A1646="","",IFERROR(VLOOKUP(LOWER(TRIM(Raw_Export!C1646)),Maps!$A$2:$B$20,2,FALSE()),"UNMAPPED"))</f>
        <v>Nairobi CBD</v>
      </c>
      <c r="D1646" s="36" t="str">
        <f aca="false">IF(Raw_Export!$A1646="","",IFERROR(VLOOKUP(LOWER(TRIM(Raw_Export!D1646)),Maps!$G$2:$I$80,2,FALSE()),"UNMAPPED"))</f>
        <v>Coffee 100g</v>
      </c>
      <c r="E1646" s="36" t="str">
        <f aca="false">IF(Raw_Export!$A1646="","",IFERROR(VLOOKUP(LOWER(TRIM(Raw_Export!D1646)),Maps!$G$2:$I$80,3,FALSE()),"UNMAPPED"))</f>
        <v>Beverages</v>
      </c>
      <c r="F1646" s="36" t="n">
        <f aca="false">IF(Raw_Export!$A1646="","",IFERROR(VALUE(TRIM(Raw_Export!E1646)),0))</f>
        <v>2</v>
      </c>
      <c r="G1646" s="38" t="n">
        <f aca="false">IF(Raw_Export!$A1646="","",IFERROR(VALUE(SUBSTITUTE(SUBSTITUTE(UPPER(TRIM(Raw_Export!F1646)),"KES",""),",","")),0))</f>
        <v>360</v>
      </c>
      <c r="H1646" s="38" t="n">
        <f aca="false">IF(Raw_Export!$A1646="","",F1646*G1646)</f>
        <v>720</v>
      </c>
      <c r="I1646" s="36" t="str">
        <f aca="false">IF(Raw_Export!$A1646="","",IFERROR(VLOOKUP(LOWER(TRIM(Raw_Export!H1646)),Maps!$D$2:$E$12,2,FALSE()),"Other"))</f>
        <v>M-Pesa</v>
      </c>
      <c r="J1646" s="36" t="str">
        <f aca="false">IF(Raw_Export!$A1646="","",IF(COUNTIF($A$2:A1646,A1646)&gt;1,"Duplicate",""))</f>
        <v/>
      </c>
      <c r="K1646" s="36" t="str">
        <f aca="false">IF(Raw_Export!$A1646="","",IF(J1646="Duplicate","Duplicate",IF(OR(C1646="UNMAPPED",D1646="UNMAPPED"),"Unmapped",IF(F1646=0,"Blank qty",IF(F1646&lt;0,"Return","OK")))))</f>
        <v>OK</v>
      </c>
      <c r="L1646" s="36" t="n">
        <f aca="false">IF(Raw_Export!$A1646="","",IF(OR(K1646="OK",K1646="Return"),1,0))</f>
        <v>1</v>
      </c>
      <c r="M1646" s="37" t="n">
        <f aca="false">IF(Raw_Export!$A1646="","",B1646-WEEKDAY(B1646,2)+1)</f>
        <v>46272</v>
      </c>
    </row>
    <row r="1647" customFormat="false" ht="15" hidden="false" customHeight="false" outlineLevel="0" collapsed="false">
      <c r="A1647" s="36" t="str">
        <f aca="false">IF(Raw_Export!$A1647="","",TRIM(Raw_Export!A1647))</f>
        <v>TXN-101612</v>
      </c>
      <c r="B1647" s="37" t="n">
        <f aca="false">IF(Raw_Export!$A1647="","",IF(ISNUMBER(Raw_Export!B1647),Raw_Export!B1647,IF(MID(TRIM(Raw_Export!B1647),5,1)="-",DATE(LEFT(TRIM(Raw_Export!B1647),4),MID(TRIM(Raw_Export!B1647),6,2),RIGHT(TRIM(Raw_Export!B1647),2)),DATE(RIGHT(TRIM(Raw_Export!B1647),4),MATCH(MID(TRIM(Raw_Export!B1647),4,3),{"Jan","Feb","Mar","Apr","May","Jun","Jul","Aug","Sep","Oct","Nov","Dec"},0),LEFT(TRIM(Raw_Export!B1647),2)))))</f>
        <v>46276</v>
      </c>
      <c r="C1647" s="36" t="str">
        <f aca="false">IF(Raw_Export!$A1647="","",IFERROR(VLOOKUP(LOWER(TRIM(Raw_Export!C1647)),Maps!$A$2:$B$20,2,FALSE()),"UNMAPPED"))</f>
        <v>Nairobi CBD</v>
      </c>
      <c r="D1647" s="36" t="str">
        <f aca="false">IF(Raw_Export!$A1647="","",IFERROR(VLOOKUP(LOWER(TRIM(Raw_Export!D1647)),Maps!$G$2:$I$80,2,FALSE()),"UNMAPPED"))</f>
        <v>Fresh Milk 500ml</v>
      </c>
      <c r="E1647" s="36" t="str">
        <f aca="false">IF(Raw_Export!$A1647="","",IFERROR(VLOOKUP(LOWER(TRIM(Raw_Export!D1647)),Maps!$G$2:$I$80,3,FALSE()),"UNMAPPED"))</f>
        <v>Dairy &amp; Eggs</v>
      </c>
      <c r="F1647" s="36" t="n">
        <f aca="false">IF(Raw_Export!$A1647="","",IFERROR(VALUE(TRIM(Raw_Export!E1647)),0))</f>
        <v>4</v>
      </c>
      <c r="G1647" s="38" t="n">
        <f aca="false">IF(Raw_Export!$A1647="","",IFERROR(VALUE(SUBSTITUTE(SUBSTITUTE(UPPER(TRIM(Raw_Export!F1647)),"KES",""),",","")),0))</f>
        <v>65</v>
      </c>
      <c r="H1647" s="38" t="n">
        <f aca="false">IF(Raw_Export!$A1647="","",F1647*G1647)</f>
        <v>260</v>
      </c>
      <c r="I1647" s="36" t="str">
        <f aca="false">IF(Raw_Export!$A1647="","",IFERROR(VLOOKUP(LOWER(TRIM(Raw_Export!H1647)),Maps!$D$2:$E$12,2,FALSE()),"Other"))</f>
        <v>Card</v>
      </c>
      <c r="J1647" s="36" t="str">
        <f aca="false">IF(Raw_Export!$A1647="","",IF(COUNTIF($A$2:A1647,A1647)&gt;1,"Duplicate",""))</f>
        <v/>
      </c>
      <c r="K1647" s="36" t="str">
        <f aca="false">IF(Raw_Export!$A1647="","",IF(J1647="Duplicate","Duplicate",IF(OR(C1647="UNMAPPED",D1647="UNMAPPED"),"Unmapped",IF(F1647=0,"Blank qty",IF(F1647&lt;0,"Return","OK")))))</f>
        <v>OK</v>
      </c>
      <c r="L1647" s="36" t="n">
        <f aca="false">IF(Raw_Export!$A1647="","",IF(OR(K1647="OK",K1647="Return"),1,0))</f>
        <v>1</v>
      </c>
      <c r="M1647" s="37" t="n">
        <f aca="false">IF(Raw_Export!$A1647="","",B1647-WEEKDAY(B1647,2)+1)</f>
        <v>46272</v>
      </c>
    </row>
    <row r="1648" customFormat="false" ht="15" hidden="false" customHeight="false" outlineLevel="0" collapsed="false">
      <c r="A1648" s="36" t="str">
        <f aca="false">IF(Raw_Export!$A1648="","",TRIM(Raw_Export!A1648))</f>
        <v>TXN-101613</v>
      </c>
      <c r="B1648" s="37" t="n">
        <f aca="false">IF(Raw_Export!$A1648="","",IF(ISNUMBER(Raw_Export!B1648),Raw_Export!B1648,IF(MID(TRIM(Raw_Export!B1648),5,1)="-",DATE(LEFT(TRIM(Raw_Export!B1648),4),MID(TRIM(Raw_Export!B1648),6,2),RIGHT(TRIM(Raw_Export!B1648),2)),DATE(RIGHT(TRIM(Raw_Export!B1648),4),MATCH(MID(TRIM(Raw_Export!B1648),4,3),{"Jan","Feb","Mar","Apr","May","Jun","Jul","Aug","Sep","Oct","Nov","Dec"},0),LEFT(TRIM(Raw_Export!B1648),2)))))</f>
        <v>46276</v>
      </c>
      <c r="C1648" s="36" t="str">
        <f aca="false">IF(Raw_Export!$A1648="","",IFERROR(VLOOKUP(LOWER(TRIM(Raw_Export!C1648)),Maps!$A$2:$B$20,2,FALSE()),"UNMAPPED"))</f>
        <v>Nairobi CBD</v>
      </c>
      <c r="D1648" s="36" t="str">
        <f aca="false">IF(Raw_Export!$A1648="","",IFERROR(VLOOKUP(LOWER(TRIM(Raw_Export!D1648)),Maps!$G$2:$I$80,2,FALSE()),"UNMAPPED"))</f>
        <v>Sanitary Pads 8pk</v>
      </c>
      <c r="E1648" s="36" t="str">
        <f aca="false">IF(Raw_Export!$A1648="","",IFERROR(VLOOKUP(LOWER(TRIM(Raw_Export!D1648)),Maps!$G$2:$I$80,3,FALSE()),"UNMAPPED"))</f>
        <v>Personal Care</v>
      </c>
      <c r="F1648" s="36" t="n">
        <f aca="false">IF(Raw_Export!$A1648="","",IFERROR(VALUE(TRIM(Raw_Export!E1648)),0))</f>
        <v>2</v>
      </c>
      <c r="G1648" s="38" t="n">
        <f aca="false">IF(Raw_Export!$A1648="","",IFERROR(VALUE(SUBSTITUTE(SUBSTITUTE(UPPER(TRIM(Raw_Export!F1648)),"KES",""),",","")),0))</f>
        <v>130</v>
      </c>
      <c r="H1648" s="38" t="n">
        <f aca="false">IF(Raw_Export!$A1648="","",F1648*G1648)</f>
        <v>260</v>
      </c>
      <c r="I1648" s="36" t="str">
        <f aca="false">IF(Raw_Export!$A1648="","",IFERROR(VLOOKUP(LOWER(TRIM(Raw_Export!H1648)),Maps!$D$2:$E$12,2,FALSE()),"Other"))</f>
        <v>M-Pesa</v>
      </c>
      <c r="J1648" s="36" t="str">
        <f aca="false">IF(Raw_Export!$A1648="","",IF(COUNTIF($A$2:A1648,A1648)&gt;1,"Duplicate",""))</f>
        <v/>
      </c>
      <c r="K1648" s="36" t="str">
        <f aca="false">IF(Raw_Export!$A1648="","",IF(J1648="Duplicate","Duplicate",IF(OR(C1648="UNMAPPED",D1648="UNMAPPED"),"Unmapped",IF(F1648=0,"Blank qty",IF(F1648&lt;0,"Return","OK")))))</f>
        <v>OK</v>
      </c>
      <c r="L1648" s="36" t="n">
        <f aca="false">IF(Raw_Export!$A1648="","",IF(OR(K1648="OK",K1648="Return"),1,0))</f>
        <v>1</v>
      </c>
      <c r="M1648" s="37" t="n">
        <f aca="false">IF(Raw_Export!$A1648="","",B1648-WEEKDAY(B1648,2)+1)</f>
        <v>46272</v>
      </c>
    </row>
    <row r="1649" customFormat="false" ht="15" hidden="false" customHeight="false" outlineLevel="0" collapsed="false">
      <c r="A1649" s="36" t="str">
        <f aca="false">IF(Raw_Export!$A1649="","",TRIM(Raw_Export!A1649))</f>
        <v>TXN-101614</v>
      </c>
      <c r="B1649" s="37" t="n">
        <f aca="false">IF(Raw_Export!$A1649="","",IF(ISNUMBER(Raw_Export!B1649),Raw_Export!B1649,IF(MID(TRIM(Raw_Export!B1649),5,1)="-",DATE(LEFT(TRIM(Raw_Export!B1649),4),MID(TRIM(Raw_Export!B1649),6,2),RIGHT(TRIM(Raw_Export!B1649),2)),DATE(RIGHT(TRIM(Raw_Export!B1649),4),MATCH(MID(TRIM(Raw_Export!B1649),4,3),{"Jan","Feb","Mar","Apr","May","Jun","Jul","Aug","Sep","Oct","Nov","Dec"},0),LEFT(TRIM(Raw_Export!B1649),2)))))</f>
        <v>46276</v>
      </c>
      <c r="C1649" s="36" t="str">
        <f aca="false">IF(Raw_Export!$A1649="","",IFERROR(VLOOKUP(LOWER(TRIM(Raw_Export!C1649)),Maps!$A$2:$B$20,2,FALSE()),"UNMAPPED"))</f>
        <v>Nairobi CBD</v>
      </c>
      <c r="D1649" s="36" t="str">
        <f aca="false">IF(Raw_Export!$A1649="","",IFERROR(VLOOKUP(LOWER(TRIM(Raw_Export!D1649)),Maps!$G$2:$I$80,2,FALSE()),"UNMAPPED"))</f>
        <v>Tea Leaves 250g</v>
      </c>
      <c r="E1649" s="36" t="str">
        <f aca="false">IF(Raw_Export!$A1649="","",IFERROR(VLOOKUP(LOWER(TRIM(Raw_Export!D1649)),Maps!$G$2:$I$80,3,FALSE()),"UNMAPPED"))</f>
        <v>Beverages</v>
      </c>
      <c r="F1649" s="36" t="n">
        <f aca="false">IF(Raw_Export!$A1649="","",IFERROR(VALUE(TRIM(Raw_Export!E1649)),0))</f>
        <v>1</v>
      </c>
      <c r="G1649" s="38" t="n">
        <f aca="false">IF(Raw_Export!$A1649="","",IFERROR(VALUE(SUBSTITUTE(SUBSTITUTE(UPPER(TRIM(Raw_Export!F1649)),"KES",""),",","")),0))</f>
        <v>150</v>
      </c>
      <c r="H1649" s="38" t="n">
        <f aca="false">IF(Raw_Export!$A1649="","",F1649*G1649)</f>
        <v>150</v>
      </c>
      <c r="I1649" s="36" t="str">
        <f aca="false">IF(Raw_Export!$A1649="","",IFERROR(VLOOKUP(LOWER(TRIM(Raw_Export!H1649)),Maps!$D$2:$E$12,2,FALSE()),"Other"))</f>
        <v>M-Pesa</v>
      </c>
      <c r="J1649" s="36" t="str">
        <f aca="false">IF(Raw_Export!$A1649="","",IF(COUNTIF($A$2:A1649,A1649)&gt;1,"Duplicate",""))</f>
        <v/>
      </c>
      <c r="K1649" s="36" t="str">
        <f aca="false">IF(Raw_Export!$A1649="","",IF(J1649="Duplicate","Duplicate",IF(OR(C1649="UNMAPPED",D1649="UNMAPPED"),"Unmapped",IF(F1649=0,"Blank qty",IF(F1649&lt;0,"Return","OK")))))</f>
        <v>OK</v>
      </c>
      <c r="L1649" s="36" t="n">
        <f aca="false">IF(Raw_Export!$A1649="","",IF(OR(K1649="OK",K1649="Return"),1,0))</f>
        <v>1</v>
      </c>
      <c r="M1649" s="37" t="n">
        <f aca="false">IF(Raw_Export!$A1649="","",B1649-WEEKDAY(B1649,2)+1)</f>
        <v>46272</v>
      </c>
    </row>
    <row r="1650" customFormat="false" ht="15" hidden="false" customHeight="false" outlineLevel="0" collapsed="false">
      <c r="A1650" s="36" t="str">
        <f aca="false">IF(Raw_Export!$A1650="","",TRIM(Raw_Export!A1650))</f>
        <v>TXN-101615</v>
      </c>
      <c r="B1650" s="37" t="n">
        <f aca="false">IF(Raw_Export!$A1650="","",IF(ISNUMBER(Raw_Export!B1650),Raw_Export!B1650,IF(MID(TRIM(Raw_Export!B1650),5,1)="-",DATE(LEFT(TRIM(Raw_Export!B1650),4),MID(TRIM(Raw_Export!B1650),6,2),RIGHT(TRIM(Raw_Export!B1650),2)),DATE(RIGHT(TRIM(Raw_Export!B1650),4),MATCH(MID(TRIM(Raw_Export!B1650),4,3),{"Jan","Feb","Mar","Apr","May","Jun","Jul","Aug","Sep","Oct","Nov","Dec"},0),LEFT(TRIM(Raw_Export!B1650),2)))))</f>
        <v>46276</v>
      </c>
      <c r="C1650" s="36" t="str">
        <f aca="false">IF(Raw_Export!$A1650="","",IFERROR(VLOOKUP(LOWER(TRIM(Raw_Export!C1650)),Maps!$A$2:$B$20,2,FALSE()),"UNMAPPED"))</f>
        <v>Nairobi CBD</v>
      </c>
      <c r="D1650" s="36" t="str">
        <f aca="false">IF(Raw_Export!$A1650="","",IFERROR(VLOOKUP(LOWER(TRIM(Raw_Export!D1650)),Maps!$G$2:$I$80,2,FALSE()),"UNMAPPED"))</f>
        <v>Matches 10pk</v>
      </c>
      <c r="E1650" s="36" t="str">
        <f aca="false">IF(Raw_Export!$A1650="","",IFERROR(VLOOKUP(LOWER(TRIM(Raw_Export!D1650)),Maps!$G$2:$I$80,3,FALSE()),"UNMAPPED"))</f>
        <v>Household</v>
      </c>
      <c r="F1650" s="36" t="n">
        <f aca="false">IF(Raw_Export!$A1650="","",IFERROR(VALUE(TRIM(Raw_Export!E1650)),0))</f>
        <v>4</v>
      </c>
      <c r="G1650" s="38" t="n">
        <f aca="false">IF(Raw_Export!$A1650="","",IFERROR(VALUE(SUBSTITUTE(SUBSTITUTE(UPPER(TRIM(Raw_Export!F1650)),"KES",""),",","")),0))</f>
        <v>50</v>
      </c>
      <c r="H1650" s="38" t="n">
        <f aca="false">IF(Raw_Export!$A1650="","",F1650*G1650)</f>
        <v>200</v>
      </c>
      <c r="I1650" s="36" t="str">
        <f aca="false">IF(Raw_Export!$A1650="","",IFERROR(VLOOKUP(LOWER(TRIM(Raw_Export!H1650)),Maps!$D$2:$E$12,2,FALSE()),"Other"))</f>
        <v>M-Pesa</v>
      </c>
      <c r="J1650" s="36" t="str">
        <f aca="false">IF(Raw_Export!$A1650="","",IF(COUNTIF($A$2:A1650,A1650)&gt;1,"Duplicate",""))</f>
        <v/>
      </c>
      <c r="K1650" s="36" t="str">
        <f aca="false">IF(Raw_Export!$A1650="","",IF(J1650="Duplicate","Duplicate",IF(OR(C1650="UNMAPPED",D1650="UNMAPPED"),"Unmapped",IF(F1650=0,"Blank qty",IF(F1650&lt;0,"Return","OK")))))</f>
        <v>OK</v>
      </c>
      <c r="L1650" s="36" t="n">
        <f aca="false">IF(Raw_Export!$A1650="","",IF(OR(K1650="OK",K1650="Return"),1,0))</f>
        <v>1</v>
      </c>
      <c r="M1650" s="37" t="n">
        <f aca="false">IF(Raw_Export!$A1650="","",B1650-WEEKDAY(B1650,2)+1)</f>
        <v>46272</v>
      </c>
    </row>
    <row r="1651" customFormat="false" ht="15" hidden="false" customHeight="false" outlineLevel="0" collapsed="false">
      <c r="A1651" s="36" t="str">
        <f aca="false">IF(Raw_Export!$A1651="","",TRIM(Raw_Export!A1651))</f>
        <v>TXN-101616</v>
      </c>
      <c r="B1651" s="37" t="n">
        <f aca="false">IF(Raw_Export!$A1651="","",IF(ISNUMBER(Raw_Export!B1651),Raw_Export!B1651,IF(MID(TRIM(Raw_Export!B1651),5,1)="-",DATE(LEFT(TRIM(Raw_Export!B1651),4),MID(TRIM(Raw_Export!B1651),6,2),RIGHT(TRIM(Raw_Export!B1651),2)),DATE(RIGHT(TRIM(Raw_Export!B1651),4),MATCH(MID(TRIM(Raw_Export!B1651),4,3),{"Jan","Feb","Mar","Apr","May","Jun","Jul","Aug","Sep","Oct","Nov","Dec"},0),LEFT(TRIM(Raw_Export!B1651),2)))))</f>
        <v>46276</v>
      </c>
      <c r="C1651" s="36" t="str">
        <f aca="false">IF(Raw_Export!$A1651="","",IFERROR(VLOOKUP(LOWER(TRIM(Raw_Export!C1651)),Maps!$A$2:$B$20,2,FALSE()),"UNMAPPED"))</f>
        <v>Nairobi CBD</v>
      </c>
      <c r="D1651" s="36" t="str">
        <f aca="false">IF(Raw_Export!$A1651="","",IFERROR(VLOOKUP(LOWER(TRIM(Raw_Export!D1651)),Maps!$G$2:$I$80,2,FALSE()),"UNMAPPED"))</f>
        <v>Fresh Milk 500ml</v>
      </c>
      <c r="E1651" s="36" t="str">
        <f aca="false">IF(Raw_Export!$A1651="","",IFERROR(VLOOKUP(LOWER(TRIM(Raw_Export!D1651)),Maps!$G$2:$I$80,3,FALSE()),"UNMAPPED"))</f>
        <v>Dairy &amp; Eggs</v>
      </c>
      <c r="F1651" s="36" t="n">
        <f aca="false">IF(Raw_Export!$A1651="","",IFERROR(VALUE(TRIM(Raw_Export!E1651)),0))</f>
        <v>4</v>
      </c>
      <c r="G1651" s="38" t="n">
        <f aca="false">IF(Raw_Export!$A1651="","",IFERROR(VALUE(SUBSTITUTE(SUBSTITUTE(UPPER(TRIM(Raw_Export!F1651)),"KES",""),",","")),0))</f>
        <v>65</v>
      </c>
      <c r="H1651" s="38" t="n">
        <f aca="false">IF(Raw_Export!$A1651="","",F1651*G1651)</f>
        <v>260</v>
      </c>
      <c r="I1651" s="36" t="str">
        <f aca="false">IF(Raw_Export!$A1651="","",IFERROR(VLOOKUP(LOWER(TRIM(Raw_Export!H1651)),Maps!$D$2:$E$12,2,FALSE()),"Other"))</f>
        <v>Card</v>
      </c>
      <c r="J1651" s="36" t="str">
        <f aca="false">IF(Raw_Export!$A1651="","",IF(COUNTIF($A$2:A1651,A1651)&gt;1,"Duplicate",""))</f>
        <v/>
      </c>
      <c r="K1651" s="36" t="str">
        <f aca="false">IF(Raw_Export!$A1651="","",IF(J1651="Duplicate","Duplicate",IF(OR(C1651="UNMAPPED",D1651="UNMAPPED"),"Unmapped",IF(F1651=0,"Blank qty",IF(F1651&lt;0,"Return","OK")))))</f>
        <v>OK</v>
      </c>
      <c r="L1651" s="36" t="n">
        <f aca="false">IF(Raw_Export!$A1651="","",IF(OR(K1651="OK",K1651="Return"),1,0))</f>
        <v>1</v>
      </c>
      <c r="M1651" s="37" t="n">
        <f aca="false">IF(Raw_Export!$A1651="","",B1651-WEEKDAY(B1651,2)+1)</f>
        <v>46272</v>
      </c>
    </row>
    <row r="1652" customFormat="false" ht="15" hidden="false" customHeight="false" outlineLevel="0" collapsed="false">
      <c r="A1652" s="36" t="str">
        <f aca="false">IF(Raw_Export!$A1652="","",TRIM(Raw_Export!A1652))</f>
        <v>TXN-101617</v>
      </c>
      <c r="B1652" s="37" t="n">
        <f aca="false">IF(Raw_Export!$A1652="","",IF(ISNUMBER(Raw_Export!B1652),Raw_Export!B1652,IF(MID(TRIM(Raw_Export!B1652),5,1)="-",DATE(LEFT(TRIM(Raw_Export!B1652),4),MID(TRIM(Raw_Export!B1652),6,2),RIGHT(TRIM(Raw_Export!B1652),2)),DATE(RIGHT(TRIM(Raw_Export!B1652),4),MATCH(MID(TRIM(Raw_Export!B1652),4,3),{"Jan","Feb","Mar","Apr","May","Jun","Jul","Aug","Sep","Oct","Nov","Dec"},0),LEFT(TRIM(Raw_Export!B1652),2)))))</f>
        <v>46276</v>
      </c>
      <c r="C1652" s="36" t="str">
        <f aca="false">IF(Raw_Export!$A1652="","",IFERROR(VLOOKUP(LOWER(TRIM(Raw_Export!C1652)),Maps!$A$2:$B$20,2,FALSE()),"UNMAPPED"))</f>
        <v>Nairobi CBD</v>
      </c>
      <c r="D1652" s="36" t="str">
        <f aca="false">IF(Raw_Export!$A1652="","",IFERROR(VLOOKUP(LOWER(TRIM(Raw_Export!D1652)),Maps!$G$2:$I$80,2,FALSE()),"UNMAPPED"))</f>
        <v>Sugar 2kg</v>
      </c>
      <c r="E1652" s="36" t="str">
        <f aca="false">IF(Raw_Export!$A1652="","",IFERROR(VLOOKUP(LOWER(TRIM(Raw_Export!D1652)),Maps!$G$2:$I$80,3,FALSE()),"UNMAPPED"))</f>
        <v>Staples</v>
      </c>
      <c r="F1652" s="36" t="n">
        <f aca="false">IF(Raw_Export!$A1652="","",IFERROR(VALUE(TRIM(Raw_Export!E1652)),0))</f>
        <v>1</v>
      </c>
      <c r="G1652" s="38" t="n">
        <f aca="false">IF(Raw_Export!$A1652="","",IFERROR(VALUE(SUBSTITUTE(SUBSTITUTE(UPPER(TRIM(Raw_Export!F1652)),"KES",""),",","")),0))</f>
        <v>330</v>
      </c>
      <c r="H1652" s="38" t="n">
        <f aca="false">IF(Raw_Export!$A1652="","",F1652*G1652)</f>
        <v>330</v>
      </c>
      <c r="I1652" s="36" t="str">
        <f aca="false">IF(Raw_Export!$A1652="","",IFERROR(VLOOKUP(LOWER(TRIM(Raw_Export!H1652)),Maps!$D$2:$E$12,2,FALSE()),"Other"))</f>
        <v>M-Pesa</v>
      </c>
      <c r="J1652" s="36" t="str">
        <f aca="false">IF(Raw_Export!$A1652="","",IF(COUNTIF($A$2:A1652,A1652)&gt;1,"Duplicate",""))</f>
        <v/>
      </c>
      <c r="K1652" s="36" t="str">
        <f aca="false">IF(Raw_Export!$A1652="","",IF(J1652="Duplicate","Duplicate",IF(OR(C1652="UNMAPPED",D1652="UNMAPPED"),"Unmapped",IF(F1652=0,"Blank qty",IF(F1652&lt;0,"Return","OK")))))</f>
        <v>OK</v>
      </c>
      <c r="L1652" s="36" t="n">
        <f aca="false">IF(Raw_Export!$A1652="","",IF(OR(K1652="OK",K1652="Return"),1,0))</f>
        <v>1</v>
      </c>
      <c r="M1652" s="37" t="n">
        <f aca="false">IF(Raw_Export!$A1652="","",B1652-WEEKDAY(B1652,2)+1)</f>
        <v>46272</v>
      </c>
    </row>
    <row r="1653" customFormat="false" ht="15" hidden="false" customHeight="false" outlineLevel="0" collapsed="false">
      <c r="A1653" s="36" t="str">
        <f aca="false">IF(Raw_Export!$A1653="","",TRIM(Raw_Export!A1653))</f>
        <v>TXN-101618</v>
      </c>
      <c r="B1653" s="37" t="n">
        <f aca="false">IF(Raw_Export!$A1653="","",IF(ISNUMBER(Raw_Export!B1653),Raw_Export!B1653,IF(MID(TRIM(Raw_Export!B1653),5,1)="-",DATE(LEFT(TRIM(Raw_Export!B1653),4),MID(TRIM(Raw_Export!B1653),6,2),RIGHT(TRIM(Raw_Export!B1653),2)),DATE(RIGHT(TRIM(Raw_Export!B1653),4),MATCH(MID(TRIM(Raw_Export!B1653),4,3),{"Jan","Feb","Mar","Apr","May","Jun","Jul","Aug","Sep","Oct","Nov","Dec"},0),LEFT(TRIM(Raw_Export!B1653),2)))))</f>
        <v>46276</v>
      </c>
      <c r="C1653" s="36" t="str">
        <f aca="false">IF(Raw_Export!$A1653="","",IFERROR(VLOOKUP(LOWER(TRIM(Raw_Export!C1653)),Maps!$A$2:$B$20,2,FALSE()),"UNMAPPED"))</f>
        <v>Nairobi CBD</v>
      </c>
      <c r="D1653" s="36" t="str">
        <f aca="false">IF(Raw_Export!$A1653="","",IFERROR(VLOOKUP(LOWER(TRIM(Raw_Export!D1653)),Maps!$G$2:$I$80,2,FALSE()),"UNMAPPED"))</f>
        <v>Deodorant 150ml</v>
      </c>
      <c r="E1653" s="36" t="str">
        <f aca="false">IF(Raw_Export!$A1653="","",IFERROR(VLOOKUP(LOWER(TRIM(Raw_Export!D1653)),Maps!$G$2:$I$80,3,FALSE()),"UNMAPPED"))</f>
        <v>Personal Care</v>
      </c>
      <c r="F1653" s="36" t="n">
        <f aca="false">IF(Raw_Export!$A1653="","",IFERROR(VALUE(TRIM(Raw_Export!E1653)),0))</f>
        <v>1</v>
      </c>
      <c r="G1653" s="38" t="n">
        <f aca="false">IF(Raw_Export!$A1653="","",IFERROR(VALUE(SUBSTITUTE(SUBSTITUTE(UPPER(TRIM(Raw_Export!F1653)),"KES",""),",","")),0))</f>
        <v>350</v>
      </c>
      <c r="H1653" s="38" t="n">
        <f aca="false">IF(Raw_Export!$A1653="","",F1653*G1653)</f>
        <v>350</v>
      </c>
      <c r="I1653" s="36" t="str">
        <f aca="false">IF(Raw_Export!$A1653="","",IFERROR(VLOOKUP(LOWER(TRIM(Raw_Export!H1653)),Maps!$D$2:$E$12,2,FALSE()),"Other"))</f>
        <v>Cash</v>
      </c>
      <c r="J1653" s="36" t="str">
        <f aca="false">IF(Raw_Export!$A1653="","",IF(COUNTIF($A$2:A1653,A1653)&gt;1,"Duplicate",""))</f>
        <v/>
      </c>
      <c r="K1653" s="36" t="str">
        <f aca="false">IF(Raw_Export!$A1653="","",IF(J1653="Duplicate","Duplicate",IF(OR(C1653="UNMAPPED",D1653="UNMAPPED"),"Unmapped",IF(F1653=0,"Blank qty",IF(F1653&lt;0,"Return","OK")))))</f>
        <v>OK</v>
      </c>
      <c r="L1653" s="36" t="n">
        <f aca="false">IF(Raw_Export!$A1653="","",IF(OR(K1653="OK",K1653="Return"),1,0))</f>
        <v>1</v>
      </c>
      <c r="M1653" s="37" t="n">
        <f aca="false">IF(Raw_Export!$A1653="","",B1653-WEEKDAY(B1653,2)+1)</f>
        <v>46272</v>
      </c>
    </row>
    <row r="1654" customFormat="false" ht="15" hidden="false" customHeight="false" outlineLevel="0" collapsed="false">
      <c r="A1654" s="36" t="str">
        <f aca="false">IF(Raw_Export!$A1654="","",TRIM(Raw_Export!A1654))</f>
        <v>TXN-101619</v>
      </c>
      <c r="B1654" s="37" t="n">
        <f aca="false">IF(Raw_Export!$A1654="","",IF(ISNUMBER(Raw_Export!B1654),Raw_Export!B1654,IF(MID(TRIM(Raw_Export!B1654),5,1)="-",DATE(LEFT(TRIM(Raw_Export!B1654),4),MID(TRIM(Raw_Export!B1654),6,2),RIGHT(TRIM(Raw_Export!B1654),2)),DATE(RIGHT(TRIM(Raw_Export!B1654),4),MATCH(MID(TRIM(Raw_Export!B1654),4,3),{"Jan","Feb","Mar","Apr","May","Jun","Jul","Aug","Sep","Oct","Nov","Dec"},0),LEFT(TRIM(Raw_Export!B1654),2)))))</f>
        <v>46276</v>
      </c>
      <c r="C1654" s="36" t="str">
        <f aca="false">IF(Raw_Export!$A1654="","",IFERROR(VLOOKUP(LOWER(TRIM(Raw_Export!C1654)),Maps!$A$2:$B$20,2,FALSE()),"UNMAPPED"))</f>
        <v>Nairobi CBD</v>
      </c>
      <c r="D1654" s="36" t="str">
        <f aca="false">IF(Raw_Export!$A1654="","",IFERROR(VLOOKUP(LOWER(TRIM(Raw_Export!D1654)),Maps!$G$2:$I$80,2,FALSE()),"UNMAPPED"))</f>
        <v>Cheddar 200g</v>
      </c>
      <c r="E1654" s="36" t="str">
        <f aca="false">IF(Raw_Export!$A1654="","",IFERROR(VLOOKUP(LOWER(TRIM(Raw_Export!D1654)),Maps!$G$2:$I$80,3,FALSE()),"UNMAPPED"))</f>
        <v>Dairy &amp; Eggs</v>
      </c>
      <c r="F1654" s="36" t="n">
        <f aca="false">IF(Raw_Export!$A1654="","",IFERROR(VALUE(TRIM(Raw_Export!E1654)),0))</f>
        <v>4</v>
      </c>
      <c r="G1654" s="38" t="n">
        <f aca="false">IF(Raw_Export!$A1654="","",IFERROR(VALUE(SUBSTITUTE(SUBSTITUTE(UPPER(TRIM(Raw_Export!F1654)),"KES",""),",","")),0))</f>
        <v>380</v>
      </c>
      <c r="H1654" s="38" t="n">
        <f aca="false">IF(Raw_Export!$A1654="","",F1654*G1654)</f>
        <v>1520</v>
      </c>
      <c r="I1654" s="36" t="str">
        <f aca="false">IF(Raw_Export!$A1654="","",IFERROR(VLOOKUP(LOWER(TRIM(Raw_Export!H1654)),Maps!$D$2:$E$12,2,FALSE()),"Other"))</f>
        <v>M-Pesa</v>
      </c>
      <c r="J1654" s="36" t="str">
        <f aca="false">IF(Raw_Export!$A1654="","",IF(COUNTIF($A$2:A1654,A1654)&gt;1,"Duplicate",""))</f>
        <v/>
      </c>
      <c r="K1654" s="36" t="str">
        <f aca="false">IF(Raw_Export!$A1654="","",IF(J1654="Duplicate","Duplicate",IF(OR(C1654="UNMAPPED",D1654="UNMAPPED"),"Unmapped",IF(F1654=0,"Blank qty",IF(F1654&lt;0,"Return","OK")))))</f>
        <v>OK</v>
      </c>
      <c r="L1654" s="36" t="n">
        <f aca="false">IF(Raw_Export!$A1654="","",IF(OR(K1654="OK",K1654="Return"),1,0))</f>
        <v>1</v>
      </c>
      <c r="M1654" s="37" t="n">
        <f aca="false">IF(Raw_Export!$A1654="","",B1654-WEEKDAY(B1654,2)+1)</f>
        <v>46272</v>
      </c>
    </row>
    <row r="1655" customFormat="false" ht="15" hidden="false" customHeight="false" outlineLevel="0" collapsed="false">
      <c r="A1655" s="36" t="str">
        <f aca="false">IF(Raw_Export!$A1655="","",TRIM(Raw_Export!A1655))</f>
        <v>TXN-101620</v>
      </c>
      <c r="B1655" s="37" t="n">
        <f aca="false">IF(Raw_Export!$A1655="","",IF(ISNUMBER(Raw_Export!B1655),Raw_Export!B1655,IF(MID(TRIM(Raw_Export!B1655),5,1)="-",DATE(LEFT(TRIM(Raw_Export!B1655),4),MID(TRIM(Raw_Export!B1655),6,2),RIGHT(TRIM(Raw_Export!B1655),2)),DATE(RIGHT(TRIM(Raw_Export!B1655),4),MATCH(MID(TRIM(Raw_Export!B1655),4,3),{"Jan","Feb","Mar","Apr","May","Jun","Jul","Aug","Sep","Oct","Nov","Dec"},0),LEFT(TRIM(Raw_Export!B1655),2)))))</f>
        <v>46276</v>
      </c>
      <c r="C1655" s="36" t="str">
        <f aca="false">IF(Raw_Export!$A1655="","",IFERROR(VLOOKUP(LOWER(TRIM(Raw_Export!C1655)),Maps!$A$2:$B$20,2,FALSE()),"UNMAPPED"))</f>
        <v>Nairobi CBD</v>
      </c>
      <c r="D1655" s="36" t="str">
        <f aca="false">IF(Raw_Export!$A1655="","",IFERROR(VLOOKUP(LOWER(TRIM(Raw_Export!D1655)),Maps!$G$2:$I$80,2,FALSE()),"UNMAPPED"))</f>
        <v>Peanuts 250g</v>
      </c>
      <c r="E1655" s="36" t="str">
        <f aca="false">IF(Raw_Export!$A1655="","",IFERROR(VLOOKUP(LOWER(TRIM(Raw_Export!D1655)),Maps!$G$2:$I$80,3,FALSE()),"UNMAPPED"))</f>
        <v>Snacks</v>
      </c>
      <c r="F1655" s="36" t="n">
        <f aca="false">IF(Raw_Export!$A1655="","",IFERROR(VALUE(TRIM(Raw_Export!E1655)),0))</f>
        <v>2</v>
      </c>
      <c r="G1655" s="38" t="n">
        <f aca="false">IF(Raw_Export!$A1655="","",IFERROR(VALUE(SUBSTITUTE(SUBSTITUTE(UPPER(TRIM(Raw_Export!F1655)),"KES",""),",","")),0))</f>
        <v>130</v>
      </c>
      <c r="H1655" s="38" t="n">
        <f aca="false">IF(Raw_Export!$A1655="","",F1655*G1655)</f>
        <v>260</v>
      </c>
      <c r="I1655" s="36" t="str">
        <f aca="false">IF(Raw_Export!$A1655="","",IFERROR(VLOOKUP(LOWER(TRIM(Raw_Export!H1655)),Maps!$D$2:$E$12,2,FALSE()),"Other"))</f>
        <v>M-Pesa</v>
      </c>
      <c r="J1655" s="36" t="str">
        <f aca="false">IF(Raw_Export!$A1655="","",IF(COUNTIF($A$2:A1655,A1655)&gt;1,"Duplicate",""))</f>
        <v/>
      </c>
      <c r="K1655" s="36" t="str">
        <f aca="false">IF(Raw_Export!$A1655="","",IF(J1655="Duplicate","Duplicate",IF(OR(C1655="UNMAPPED",D1655="UNMAPPED"),"Unmapped",IF(F1655=0,"Blank qty",IF(F1655&lt;0,"Return","OK")))))</f>
        <v>OK</v>
      </c>
      <c r="L1655" s="36" t="n">
        <f aca="false">IF(Raw_Export!$A1655="","",IF(OR(K1655="OK",K1655="Return"),1,0))</f>
        <v>1</v>
      </c>
      <c r="M1655" s="37" t="n">
        <f aca="false">IF(Raw_Export!$A1655="","",B1655-WEEKDAY(B1655,2)+1)</f>
        <v>46272</v>
      </c>
    </row>
    <row r="1656" customFormat="false" ht="15" hidden="false" customHeight="false" outlineLevel="0" collapsed="false">
      <c r="A1656" s="36" t="str">
        <f aca="false">IF(Raw_Export!$A1656="","",TRIM(Raw_Export!A1656))</f>
        <v>TXN-101621</v>
      </c>
      <c r="B1656" s="37" t="n">
        <f aca="false">IF(Raw_Export!$A1656="","",IF(ISNUMBER(Raw_Export!B1656),Raw_Export!B1656,IF(MID(TRIM(Raw_Export!B1656),5,1)="-",DATE(LEFT(TRIM(Raw_Export!B1656),4),MID(TRIM(Raw_Export!B1656),6,2),RIGHT(TRIM(Raw_Export!B1656),2)),DATE(RIGHT(TRIM(Raw_Export!B1656),4),MATCH(MID(TRIM(Raw_Export!B1656),4,3),{"Jan","Feb","Mar","Apr","May","Jun","Jul","Aug","Sep","Oct","Nov","Dec"},0),LEFT(TRIM(Raw_Export!B1656),2)))))</f>
        <v>46276</v>
      </c>
      <c r="C1656" s="36" t="str">
        <f aca="false">IF(Raw_Export!$A1656="","",IFERROR(VLOOKUP(LOWER(TRIM(Raw_Export!C1656)),Maps!$A$2:$B$20,2,FALSE()),"UNMAPPED"))</f>
        <v>Nairobi CBD</v>
      </c>
      <c r="D1656" s="36" t="str">
        <f aca="false">IF(Raw_Export!$A1656="","",IFERROR(VLOOKUP(LOWER(TRIM(Raw_Export!D1656)),Maps!$G$2:$I$80,2,FALSE()),"UNMAPPED"))</f>
        <v>Body Lotion 400ml</v>
      </c>
      <c r="E1656" s="36" t="str">
        <f aca="false">IF(Raw_Export!$A1656="","",IFERROR(VLOOKUP(LOWER(TRIM(Raw_Export!D1656)),Maps!$G$2:$I$80,3,FALSE()),"UNMAPPED"))</f>
        <v>Personal Care</v>
      </c>
      <c r="F1656" s="36" t="n">
        <f aca="false">IF(Raw_Export!$A1656="","",IFERROR(VALUE(TRIM(Raw_Export!E1656)),0))</f>
        <v>4</v>
      </c>
      <c r="G1656" s="38" t="n">
        <f aca="false">IF(Raw_Export!$A1656="","",IFERROR(VALUE(SUBSTITUTE(SUBSTITUTE(UPPER(TRIM(Raw_Export!F1656)),"KES",""),",","")),0))</f>
        <v>420</v>
      </c>
      <c r="H1656" s="38" t="n">
        <f aca="false">IF(Raw_Export!$A1656="","",F1656*G1656)</f>
        <v>1680</v>
      </c>
      <c r="I1656" s="36" t="str">
        <f aca="false">IF(Raw_Export!$A1656="","",IFERROR(VLOOKUP(LOWER(TRIM(Raw_Export!H1656)),Maps!$D$2:$E$12,2,FALSE()),"Other"))</f>
        <v>Card</v>
      </c>
      <c r="J1656" s="36" t="str">
        <f aca="false">IF(Raw_Export!$A1656="","",IF(COUNTIF($A$2:A1656,A1656)&gt;1,"Duplicate",""))</f>
        <v/>
      </c>
      <c r="K1656" s="36" t="str">
        <f aca="false">IF(Raw_Export!$A1656="","",IF(J1656="Duplicate","Duplicate",IF(OR(C1656="UNMAPPED",D1656="UNMAPPED"),"Unmapped",IF(F1656=0,"Blank qty",IF(F1656&lt;0,"Return","OK")))))</f>
        <v>OK</v>
      </c>
      <c r="L1656" s="36" t="n">
        <f aca="false">IF(Raw_Export!$A1656="","",IF(OR(K1656="OK",K1656="Return"),1,0))</f>
        <v>1</v>
      </c>
      <c r="M1656" s="37" t="n">
        <f aca="false">IF(Raw_Export!$A1656="","",B1656-WEEKDAY(B1656,2)+1)</f>
        <v>46272</v>
      </c>
    </row>
    <row r="1657" customFormat="false" ht="15" hidden="false" customHeight="false" outlineLevel="0" collapsed="false">
      <c r="A1657" s="36" t="str">
        <f aca="false">IF(Raw_Export!$A1657="","",TRIM(Raw_Export!A1657))</f>
        <v>TXN-101622</v>
      </c>
      <c r="B1657" s="37" t="n">
        <f aca="false">IF(Raw_Export!$A1657="","",IF(ISNUMBER(Raw_Export!B1657),Raw_Export!B1657,IF(MID(TRIM(Raw_Export!B1657),5,1)="-",DATE(LEFT(TRIM(Raw_Export!B1657),4),MID(TRIM(Raw_Export!B1657),6,2),RIGHT(TRIM(Raw_Export!B1657),2)),DATE(RIGHT(TRIM(Raw_Export!B1657),4),MATCH(MID(TRIM(Raw_Export!B1657),4,3),{"Jan","Feb","Mar","Apr","May","Jun","Jul","Aug","Sep","Oct","Nov","Dec"},0),LEFT(TRIM(Raw_Export!B1657),2)))))</f>
        <v>46276</v>
      </c>
      <c r="C1657" s="36" t="str">
        <f aca="false">IF(Raw_Export!$A1657="","",IFERROR(VLOOKUP(LOWER(TRIM(Raw_Export!C1657)),Maps!$A$2:$B$20,2,FALSE()),"UNMAPPED"))</f>
        <v>Nairobi CBD</v>
      </c>
      <c r="D1657" s="36" t="str">
        <f aca="false">IF(Raw_Export!$A1657="","",IFERROR(VLOOKUP(LOWER(TRIM(Raw_Export!D1657)),Maps!$G$2:$I$80,2,FALSE()),"UNMAPPED"))</f>
        <v>Body Lotion 400ml</v>
      </c>
      <c r="E1657" s="36" t="str">
        <f aca="false">IF(Raw_Export!$A1657="","",IFERROR(VLOOKUP(LOWER(TRIM(Raw_Export!D1657)),Maps!$G$2:$I$80,3,FALSE()),"UNMAPPED"))</f>
        <v>Personal Care</v>
      </c>
      <c r="F1657" s="36" t="n">
        <f aca="false">IF(Raw_Export!$A1657="","",IFERROR(VALUE(TRIM(Raw_Export!E1657)),0))</f>
        <v>1</v>
      </c>
      <c r="G1657" s="38" t="n">
        <f aca="false">IF(Raw_Export!$A1657="","",IFERROR(VALUE(SUBSTITUTE(SUBSTITUTE(UPPER(TRIM(Raw_Export!F1657)),"KES",""),",","")),0))</f>
        <v>378</v>
      </c>
      <c r="H1657" s="38" t="n">
        <f aca="false">IF(Raw_Export!$A1657="","",F1657*G1657)</f>
        <v>378</v>
      </c>
      <c r="I1657" s="36" t="str">
        <f aca="false">IF(Raw_Export!$A1657="","",IFERROR(VLOOKUP(LOWER(TRIM(Raw_Export!H1657)),Maps!$D$2:$E$12,2,FALSE()),"Other"))</f>
        <v>M-Pesa</v>
      </c>
      <c r="J1657" s="36" t="str">
        <f aca="false">IF(Raw_Export!$A1657="","",IF(COUNTIF($A$2:A1657,A1657)&gt;1,"Duplicate",""))</f>
        <v/>
      </c>
      <c r="K1657" s="36" t="str">
        <f aca="false">IF(Raw_Export!$A1657="","",IF(J1657="Duplicate","Duplicate",IF(OR(C1657="UNMAPPED",D1657="UNMAPPED"),"Unmapped",IF(F1657=0,"Blank qty",IF(F1657&lt;0,"Return","OK")))))</f>
        <v>OK</v>
      </c>
      <c r="L1657" s="36" t="n">
        <f aca="false">IF(Raw_Export!$A1657="","",IF(OR(K1657="OK",K1657="Return"),1,0))</f>
        <v>1</v>
      </c>
      <c r="M1657" s="37" t="n">
        <f aca="false">IF(Raw_Export!$A1657="","",B1657-WEEKDAY(B1657,2)+1)</f>
        <v>46272</v>
      </c>
    </row>
    <row r="1658" customFormat="false" ht="15" hidden="false" customHeight="false" outlineLevel="0" collapsed="false">
      <c r="A1658" s="36" t="str">
        <f aca="false">IF(Raw_Export!$A1658="","",TRIM(Raw_Export!A1658))</f>
        <v>TXN-101623</v>
      </c>
      <c r="B1658" s="37" t="n">
        <f aca="false">IF(Raw_Export!$A1658="","",IF(ISNUMBER(Raw_Export!B1658),Raw_Export!B1658,IF(MID(TRIM(Raw_Export!B1658),5,1)="-",DATE(LEFT(TRIM(Raw_Export!B1658),4),MID(TRIM(Raw_Export!B1658),6,2),RIGHT(TRIM(Raw_Export!B1658),2)),DATE(RIGHT(TRIM(Raw_Export!B1658),4),MATCH(MID(TRIM(Raw_Export!B1658),4,3),{"Jan","Feb","Mar","Apr","May","Jun","Jul","Aug","Sep","Oct","Nov","Dec"},0),LEFT(TRIM(Raw_Export!B1658),2)))))</f>
        <v>46276</v>
      </c>
      <c r="C1658" s="36" t="str">
        <f aca="false">IF(Raw_Export!$A1658="","",IFERROR(VLOOKUP(LOWER(TRIM(Raw_Export!C1658)),Maps!$A$2:$B$20,2,FALSE()),"UNMAPPED"))</f>
        <v>Nairobi CBD</v>
      </c>
      <c r="D1658" s="36" t="str">
        <f aca="false">IF(Raw_Export!$A1658="","",IFERROR(VLOOKUP(LOWER(TRIM(Raw_Export!D1658)),Maps!$G$2:$I$80,2,FALSE()),"UNMAPPED"))</f>
        <v>Washing Powder 1kg</v>
      </c>
      <c r="E1658" s="36" t="str">
        <f aca="false">IF(Raw_Export!$A1658="","",IFERROR(VLOOKUP(LOWER(TRIM(Raw_Export!D1658)),Maps!$G$2:$I$80,3,FALSE()),"UNMAPPED"))</f>
        <v>Household</v>
      </c>
      <c r="F1658" s="36" t="n">
        <f aca="false">IF(Raw_Export!$A1658="","",IFERROR(VALUE(TRIM(Raw_Export!E1658)),0))</f>
        <v>1</v>
      </c>
      <c r="G1658" s="38" t="n">
        <f aca="false">IF(Raw_Export!$A1658="","",IFERROR(VALUE(SUBSTITUTE(SUBSTITUTE(UPPER(TRIM(Raw_Export!F1658)),"KES",""),",","")),0))</f>
        <v>280</v>
      </c>
      <c r="H1658" s="38" t="n">
        <f aca="false">IF(Raw_Export!$A1658="","",F1658*G1658)</f>
        <v>280</v>
      </c>
      <c r="I1658" s="36" t="str">
        <f aca="false">IF(Raw_Export!$A1658="","",IFERROR(VLOOKUP(LOWER(TRIM(Raw_Export!H1658)),Maps!$D$2:$E$12,2,FALSE()),"Other"))</f>
        <v>Card</v>
      </c>
      <c r="J1658" s="36" t="str">
        <f aca="false">IF(Raw_Export!$A1658="","",IF(COUNTIF($A$2:A1658,A1658)&gt;1,"Duplicate",""))</f>
        <v/>
      </c>
      <c r="K1658" s="36" t="str">
        <f aca="false">IF(Raw_Export!$A1658="","",IF(J1658="Duplicate","Duplicate",IF(OR(C1658="UNMAPPED",D1658="UNMAPPED"),"Unmapped",IF(F1658=0,"Blank qty",IF(F1658&lt;0,"Return","OK")))))</f>
        <v>OK</v>
      </c>
      <c r="L1658" s="36" t="n">
        <f aca="false">IF(Raw_Export!$A1658="","",IF(OR(K1658="OK",K1658="Return"),1,0))</f>
        <v>1</v>
      </c>
      <c r="M1658" s="37" t="n">
        <f aca="false">IF(Raw_Export!$A1658="","",B1658-WEEKDAY(B1658,2)+1)</f>
        <v>46272</v>
      </c>
    </row>
    <row r="1659" customFormat="false" ht="15" hidden="false" customHeight="false" outlineLevel="0" collapsed="false">
      <c r="A1659" s="36" t="str">
        <f aca="false">IF(Raw_Export!$A1659="","",TRIM(Raw_Export!A1659))</f>
        <v>TXN-101624</v>
      </c>
      <c r="B1659" s="37" t="n">
        <f aca="false">IF(Raw_Export!$A1659="","",IF(ISNUMBER(Raw_Export!B1659),Raw_Export!B1659,IF(MID(TRIM(Raw_Export!B1659),5,1)="-",DATE(LEFT(TRIM(Raw_Export!B1659),4),MID(TRIM(Raw_Export!B1659),6,2),RIGHT(TRIM(Raw_Export!B1659),2)),DATE(RIGHT(TRIM(Raw_Export!B1659),4),MATCH(MID(TRIM(Raw_Export!B1659),4,3),{"Jan","Feb","Mar","Apr","May","Jun","Jul","Aug","Sep","Oct","Nov","Dec"},0),LEFT(TRIM(Raw_Export!B1659),2)))))</f>
        <v>46276</v>
      </c>
      <c r="C1659" s="36" t="str">
        <f aca="false">IF(Raw_Export!$A1659="","",IFERROR(VLOOKUP(LOWER(TRIM(Raw_Export!C1659)),Maps!$A$2:$B$20,2,FALSE()),"UNMAPPED"))</f>
        <v>Nairobi CBD</v>
      </c>
      <c r="D1659" s="36" t="str">
        <f aca="false">IF(Raw_Export!$A1659="","",IFERROR(VLOOKUP(LOWER(TRIM(Raw_Export!D1659)),Maps!$G$2:$I$80,2,FALSE()),"UNMAPPED"))</f>
        <v>Sugar 2kg</v>
      </c>
      <c r="E1659" s="36" t="str">
        <f aca="false">IF(Raw_Export!$A1659="","",IFERROR(VLOOKUP(LOWER(TRIM(Raw_Export!D1659)),Maps!$G$2:$I$80,3,FALSE()),"UNMAPPED"))</f>
        <v>Staples</v>
      </c>
      <c r="F1659" s="36" t="n">
        <f aca="false">IF(Raw_Export!$A1659="","",IFERROR(VALUE(TRIM(Raw_Export!E1659)),0))</f>
        <v>1</v>
      </c>
      <c r="G1659" s="38" t="n">
        <f aca="false">IF(Raw_Export!$A1659="","",IFERROR(VALUE(SUBSTITUTE(SUBSTITUTE(UPPER(TRIM(Raw_Export!F1659)),"KES",""),",","")),0))</f>
        <v>330</v>
      </c>
      <c r="H1659" s="38" t="n">
        <f aca="false">IF(Raw_Export!$A1659="","",F1659*G1659)</f>
        <v>330</v>
      </c>
      <c r="I1659" s="36" t="str">
        <f aca="false">IF(Raw_Export!$A1659="","",IFERROR(VLOOKUP(LOWER(TRIM(Raw_Export!H1659)),Maps!$D$2:$E$12,2,FALSE()),"Other"))</f>
        <v>Cash</v>
      </c>
      <c r="J1659" s="36" t="str">
        <f aca="false">IF(Raw_Export!$A1659="","",IF(COUNTIF($A$2:A1659,A1659)&gt;1,"Duplicate",""))</f>
        <v/>
      </c>
      <c r="K1659" s="36" t="str">
        <f aca="false">IF(Raw_Export!$A1659="","",IF(J1659="Duplicate","Duplicate",IF(OR(C1659="UNMAPPED",D1659="UNMAPPED"),"Unmapped",IF(F1659=0,"Blank qty",IF(F1659&lt;0,"Return","OK")))))</f>
        <v>OK</v>
      </c>
      <c r="L1659" s="36" t="n">
        <f aca="false">IF(Raw_Export!$A1659="","",IF(OR(K1659="OK",K1659="Return"),1,0))</f>
        <v>1</v>
      </c>
      <c r="M1659" s="37" t="n">
        <f aca="false">IF(Raw_Export!$A1659="","",B1659-WEEKDAY(B1659,2)+1)</f>
        <v>46272</v>
      </c>
    </row>
    <row r="1660" customFormat="false" ht="15" hidden="false" customHeight="false" outlineLevel="0" collapsed="false">
      <c r="A1660" s="36" t="str">
        <f aca="false">IF(Raw_Export!$A1660="","",TRIM(Raw_Export!A1660))</f>
        <v>TXN-101625</v>
      </c>
      <c r="B1660" s="37" t="n">
        <f aca="false">IF(Raw_Export!$A1660="","",IF(ISNUMBER(Raw_Export!B1660),Raw_Export!B1660,IF(MID(TRIM(Raw_Export!B1660),5,1)="-",DATE(LEFT(TRIM(Raw_Export!B1660),4),MID(TRIM(Raw_Export!B1660),6,2),RIGHT(TRIM(Raw_Export!B1660),2)),DATE(RIGHT(TRIM(Raw_Export!B1660),4),MATCH(MID(TRIM(Raw_Export!B1660),4,3),{"Jan","Feb","Mar","Apr","May","Jun","Jul","Aug","Sep","Oct","Nov","Dec"},0),LEFT(TRIM(Raw_Export!B1660),2)))))</f>
        <v>46276</v>
      </c>
      <c r="C1660" s="36" t="str">
        <f aca="false">IF(Raw_Export!$A1660="","",IFERROR(VLOOKUP(LOWER(TRIM(Raw_Export!C1660)),Maps!$A$2:$B$20,2,FALSE()),"UNMAPPED"))</f>
        <v>Nairobi CBD</v>
      </c>
      <c r="D1660" s="36" t="str">
        <f aca="false">IF(Raw_Export!$A1660="","",IFERROR(VLOOKUP(LOWER(TRIM(Raw_Export!D1660)),Maps!$G$2:$I$80,2,FALSE()),"UNMAPPED"))</f>
        <v>Biscuits 200g</v>
      </c>
      <c r="E1660" s="36" t="str">
        <f aca="false">IF(Raw_Export!$A1660="","",IFERROR(VLOOKUP(LOWER(TRIM(Raw_Export!D1660)),Maps!$G$2:$I$80,3,FALSE()),"UNMAPPED"))</f>
        <v>Snacks</v>
      </c>
      <c r="F1660" s="36" t="n">
        <f aca="false">IF(Raw_Export!$A1660="","",IFERROR(VALUE(TRIM(Raw_Export!E1660)),0))</f>
        <v>3</v>
      </c>
      <c r="G1660" s="38" t="n">
        <f aca="false">IF(Raw_Export!$A1660="","",IFERROR(VALUE(SUBSTITUTE(SUBSTITUTE(UPPER(TRIM(Raw_Export!F1660)),"KES",""),",","")),0))</f>
        <v>95</v>
      </c>
      <c r="H1660" s="38" t="n">
        <f aca="false">IF(Raw_Export!$A1660="","",F1660*G1660)</f>
        <v>285</v>
      </c>
      <c r="I1660" s="36" t="str">
        <f aca="false">IF(Raw_Export!$A1660="","",IFERROR(VLOOKUP(LOWER(TRIM(Raw_Export!H1660)),Maps!$D$2:$E$12,2,FALSE()),"Other"))</f>
        <v>Cash</v>
      </c>
      <c r="J1660" s="36" t="str">
        <f aca="false">IF(Raw_Export!$A1660="","",IF(COUNTIF($A$2:A1660,A1660)&gt;1,"Duplicate",""))</f>
        <v/>
      </c>
      <c r="K1660" s="36" t="str">
        <f aca="false">IF(Raw_Export!$A1660="","",IF(J1660="Duplicate","Duplicate",IF(OR(C1660="UNMAPPED",D1660="UNMAPPED"),"Unmapped",IF(F1660=0,"Blank qty",IF(F1660&lt;0,"Return","OK")))))</f>
        <v>OK</v>
      </c>
      <c r="L1660" s="36" t="n">
        <f aca="false">IF(Raw_Export!$A1660="","",IF(OR(K1660="OK",K1660="Return"),1,0))</f>
        <v>1</v>
      </c>
      <c r="M1660" s="37" t="n">
        <f aca="false">IF(Raw_Export!$A1660="","",B1660-WEEKDAY(B1660,2)+1)</f>
        <v>46272</v>
      </c>
    </row>
    <row r="1661" customFormat="false" ht="15" hidden="false" customHeight="false" outlineLevel="0" collapsed="false">
      <c r="A1661" s="36" t="str">
        <f aca="false">IF(Raw_Export!$A1661="","",TRIM(Raw_Export!A1661))</f>
        <v>TXN-101626</v>
      </c>
      <c r="B1661" s="37" t="n">
        <f aca="false">IF(Raw_Export!$A1661="","",IF(ISNUMBER(Raw_Export!B1661),Raw_Export!B1661,IF(MID(TRIM(Raw_Export!B1661),5,1)="-",DATE(LEFT(TRIM(Raw_Export!B1661),4),MID(TRIM(Raw_Export!B1661),6,2),RIGHT(TRIM(Raw_Export!B1661),2)),DATE(RIGHT(TRIM(Raw_Export!B1661),4),MATCH(MID(TRIM(Raw_Export!B1661),4,3),{"Jan","Feb","Mar","Apr","May","Jun","Jul","Aug","Sep","Oct","Nov","Dec"},0),LEFT(TRIM(Raw_Export!B1661),2)))))</f>
        <v>46276</v>
      </c>
      <c r="C1661" s="36" t="str">
        <f aca="false">IF(Raw_Export!$A1661="","",IFERROR(VLOOKUP(LOWER(TRIM(Raw_Export!C1661)),Maps!$A$2:$B$20,2,FALSE()),"UNMAPPED"))</f>
        <v>Nairobi CBD</v>
      </c>
      <c r="D1661" s="36" t="str">
        <f aca="false">IF(Raw_Export!$A1661="","",IFERROR(VLOOKUP(LOWER(TRIM(Raw_Export!D1661)),Maps!$G$2:$I$80,2,FALSE()),"UNMAPPED"))</f>
        <v>Spaghetti 400g</v>
      </c>
      <c r="E1661" s="36" t="str">
        <f aca="false">IF(Raw_Export!$A1661="","",IFERROR(VLOOKUP(LOWER(TRIM(Raw_Export!D1661)),Maps!$G$2:$I$80,3,FALSE()),"UNMAPPED"))</f>
        <v>Staples</v>
      </c>
      <c r="F1661" s="36" t="n">
        <f aca="false">IF(Raw_Export!$A1661="","",IFERROR(VALUE(TRIM(Raw_Export!E1661)),0))</f>
        <v>1</v>
      </c>
      <c r="G1661" s="38" t="n">
        <f aca="false">IF(Raw_Export!$A1661="","",IFERROR(VALUE(SUBSTITUTE(SUBSTITUTE(UPPER(TRIM(Raw_Export!F1661)),"KES",""),",","")),0))</f>
        <v>110</v>
      </c>
      <c r="H1661" s="38" t="n">
        <f aca="false">IF(Raw_Export!$A1661="","",F1661*G1661)</f>
        <v>110</v>
      </c>
      <c r="I1661" s="36" t="str">
        <f aca="false">IF(Raw_Export!$A1661="","",IFERROR(VLOOKUP(LOWER(TRIM(Raw_Export!H1661)),Maps!$D$2:$E$12,2,FALSE()),"Other"))</f>
        <v>Card</v>
      </c>
      <c r="J1661" s="36" t="str">
        <f aca="false">IF(Raw_Export!$A1661="","",IF(COUNTIF($A$2:A1661,A1661)&gt;1,"Duplicate",""))</f>
        <v/>
      </c>
      <c r="K1661" s="36" t="str">
        <f aca="false">IF(Raw_Export!$A1661="","",IF(J1661="Duplicate","Duplicate",IF(OR(C1661="UNMAPPED",D1661="UNMAPPED"),"Unmapped",IF(F1661=0,"Blank qty",IF(F1661&lt;0,"Return","OK")))))</f>
        <v>OK</v>
      </c>
      <c r="L1661" s="36" t="n">
        <f aca="false">IF(Raw_Export!$A1661="","",IF(OR(K1661="OK",K1661="Return"),1,0))</f>
        <v>1</v>
      </c>
      <c r="M1661" s="37" t="n">
        <f aca="false">IF(Raw_Export!$A1661="","",B1661-WEEKDAY(B1661,2)+1)</f>
        <v>46272</v>
      </c>
    </row>
    <row r="1662" customFormat="false" ht="15" hidden="false" customHeight="false" outlineLevel="0" collapsed="false">
      <c r="A1662" s="36" t="str">
        <f aca="false">IF(Raw_Export!$A1662="","",TRIM(Raw_Export!A1662))</f>
        <v>TXN-101627</v>
      </c>
      <c r="B1662" s="37" t="n">
        <f aca="false">IF(Raw_Export!$A1662="","",IF(ISNUMBER(Raw_Export!B1662),Raw_Export!B1662,IF(MID(TRIM(Raw_Export!B1662),5,1)="-",DATE(LEFT(TRIM(Raw_Export!B1662),4),MID(TRIM(Raw_Export!B1662),6,2),RIGHT(TRIM(Raw_Export!B1662),2)),DATE(RIGHT(TRIM(Raw_Export!B1662),4),MATCH(MID(TRIM(Raw_Export!B1662),4,3),{"Jan","Feb","Mar","Apr","May","Jun","Jul","Aug","Sep","Oct","Nov","Dec"},0),LEFT(TRIM(Raw_Export!B1662),2)))))</f>
        <v>46276</v>
      </c>
      <c r="C1662" s="36" t="str">
        <f aca="false">IF(Raw_Export!$A1662="","",IFERROR(VLOOKUP(LOWER(TRIM(Raw_Export!C1662)),Maps!$A$2:$B$20,2,FALSE()),"UNMAPPED"))</f>
        <v>Nairobi CBD</v>
      </c>
      <c r="D1662" s="36" t="str">
        <f aca="false">IF(Raw_Export!$A1662="","",IFERROR(VLOOKUP(LOWER(TRIM(Raw_Export!D1662)),Maps!$G$2:$I$80,2,FALSE()),"UNMAPPED"))</f>
        <v>Soda 500ml</v>
      </c>
      <c r="E1662" s="36" t="str">
        <f aca="false">IF(Raw_Export!$A1662="","",IFERROR(VLOOKUP(LOWER(TRIM(Raw_Export!D1662)),Maps!$G$2:$I$80,3,FALSE()),"UNMAPPED"))</f>
        <v>Beverages</v>
      </c>
      <c r="F1662" s="36" t="n">
        <f aca="false">IF(Raw_Export!$A1662="","",IFERROR(VALUE(TRIM(Raw_Export!E1662)),0))</f>
        <v>1</v>
      </c>
      <c r="G1662" s="38" t="n">
        <f aca="false">IF(Raw_Export!$A1662="","",IFERROR(VALUE(SUBSTITUTE(SUBSTITUTE(UPPER(TRIM(Raw_Export!F1662)),"KES",""),",","")),0))</f>
        <v>60</v>
      </c>
      <c r="H1662" s="38" t="n">
        <f aca="false">IF(Raw_Export!$A1662="","",F1662*G1662)</f>
        <v>60</v>
      </c>
      <c r="I1662" s="36" t="str">
        <f aca="false">IF(Raw_Export!$A1662="","",IFERROR(VLOOKUP(LOWER(TRIM(Raw_Export!H1662)),Maps!$D$2:$E$12,2,FALSE()),"Other"))</f>
        <v>Card</v>
      </c>
      <c r="J1662" s="36" t="str">
        <f aca="false">IF(Raw_Export!$A1662="","",IF(COUNTIF($A$2:A1662,A1662)&gt;1,"Duplicate",""))</f>
        <v/>
      </c>
      <c r="K1662" s="36" t="str">
        <f aca="false">IF(Raw_Export!$A1662="","",IF(J1662="Duplicate","Duplicate",IF(OR(C1662="UNMAPPED",D1662="UNMAPPED"),"Unmapped",IF(F1662=0,"Blank qty",IF(F1662&lt;0,"Return","OK")))))</f>
        <v>OK</v>
      </c>
      <c r="L1662" s="36" t="n">
        <f aca="false">IF(Raw_Export!$A1662="","",IF(OR(K1662="OK",K1662="Return"),1,0))</f>
        <v>1</v>
      </c>
      <c r="M1662" s="37" t="n">
        <f aca="false">IF(Raw_Export!$A1662="","",B1662-WEEKDAY(B1662,2)+1)</f>
        <v>46272</v>
      </c>
    </row>
    <row r="1663" customFormat="false" ht="15" hidden="false" customHeight="false" outlineLevel="0" collapsed="false">
      <c r="A1663" s="36" t="str">
        <f aca="false">IF(Raw_Export!$A1663="","",TRIM(Raw_Export!A1663))</f>
        <v>TXN-101628</v>
      </c>
      <c r="B1663" s="37" t="n">
        <f aca="false">IF(Raw_Export!$A1663="","",IF(ISNUMBER(Raw_Export!B1663),Raw_Export!B1663,IF(MID(TRIM(Raw_Export!B1663),5,1)="-",DATE(LEFT(TRIM(Raw_Export!B1663),4),MID(TRIM(Raw_Export!B1663),6,2),RIGHT(TRIM(Raw_Export!B1663),2)),DATE(RIGHT(TRIM(Raw_Export!B1663),4),MATCH(MID(TRIM(Raw_Export!B1663),4,3),{"Jan","Feb","Mar","Apr","May","Jun","Jul","Aug","Sep","Oct","Nov","Dec"},0),LEFT(TRIM(Raw_Export!B1663),2)))))</f>
        <v>46276</v>
      </c>
      <c r="C1663" s="36" t="str">
        <f aca="false">IF(Raw_Export!$A1663="","",IFERROR(VLOOKUP(LOWER(TRIM(Raw_Export!C1663)),Maps!$A$2:$B$20,2,FALSE()),"UNMAPPED"))</f>
        <v>Nairobi CBD</v>
      </c>
      <c r="D1663" s="36" t="str">
        <f aca="false">IF(Raw_Export!$A1663="","",IFERROR(VLOOKUP(LOWER(TRIM(Raw_Export!D1663)),Maps!$G$2:$I$80,2,FALSE()),"UNMAPPED"))</f>
        <v>Cheddar 200g</v>
      </c>
      <c r="E1663" s="36" t="str">
        <f aca="false">IF(Raw_Export!$A1663="","",IFERROR(VLOOKUP(LOWER(TRIM(Raw_Export!D1663)),Maps!$G$2:$I$80,3,FALSE()),"UNMAPPED"))</f>
        <v>Dairy &amp; Eggs</v>
      </c>
      <c r="F1663" s="36" t="n">
        <f aca="false">IF(Raw_Export!$A1663="","",IFERROR(VALUE(TRIM(Raw_Export!E1663)),0))</f>
        <v>2</v>
      </c>
      <c r="G1663" s="38" t="n">
        <f aca="false">IF(Raw_Export!$A1663="","",IFERROR(VALUE(SUBSTITUTE(SUBSTITUTE(UPPER(TRIM(Raw_Export!F1663)),"KES",""),",","")),0))</f>
        <v>380</v>
      </c>
      <c r="H1663" s="38" t="n">
        <f aca="false">IF(Raw_Export!$A1663="","",F1663*G1663)</f>
        <v>760</v>
      </c>
      <c r="I1663" s="36" t="str">
        <f aca="false">IF(Raw_Export!$A1663="","",IFERROR(VLOOKUP(LOWER(TRIM(Raw_Export!H1663)),Maps!$D$2:$E$12,2,FALSE()),"Other"))</f>
        <v>M-Pesa</v>
      </c>
      <c r="J1663" s="36" t="str">
        <f aca="false">IF(Raw_Export!$A1663="","",IF(COUNTIF($A$2:A1663,A1663)&gt;1,"Duplicate",""))</f>
        <v/>
      </c>
      <c r="K1663" s="36" t="str">
        <f aca="false">IF(Raw_Export!$A1663="","",IF(J1663="Duplicate","Duplicate",IF(OR(C1663="UNMAPPED",D1663="UNMAPPED"),"Unmapped",IF(F1663=0,"Blank qty",IF(F1663&lt;0,"Return","OK")))))</f>
        <v>OK</v>
      </c>
      <c r="L1663" s="36" t="n">
        <f aca="false">IF(Raw_Export!$A1663="","",IF(OR(K1663="OK",K1663="Return"),1,0))</f>
        <v>1</v>
      </c>
      <c r="M1663" s="37" t="n">
        <f aca="false">IF(Raw_Export!$A1663="","",B1663-WEEKDAY(B1663,2)+1)</f>
        <v>46272</v>
      </c>
    </row>
    <row r="1664" customFormat="false" ht="15" hidden="false" customHeight="false" outlineLevel="0" collapsed="false">
      <c r="A1664" s="36" t="str">
        <f aca="false">IF(Raw_Export!$A1664="","",TRIM(Raw_Export!A1664))</f>
        <v>TXN-101629</v>
      </c>
      <c r="B1664" s="37" t="n">
        <f aca="false">IF(Raw_Export!$A1664="","",IF(ISNUMBER(Raw_Export!B1664),Raw_Export!B1664,IF(MID(TRIM(Raw_Export!B1664),5,1)="-",DATE(LEFT(TRIM(Raw_Export!B1664),4),MID(TRIM(Raw_Export!B1664),6,2),RIGHT(TRIM(Raw_Export!B1664),2)),DATE(RIGHT(TRIM(Raw_Export!B1664),4),MATCH(MID(TRIM(Raw_Export!B1664),4,3),{"Jan","Feb","Mar","Apr","May","Jun","Jul","Aug","Sep","Oct","Nov","Dec"},0),LEFT(TRIM(Raw_Export!B1664),2)))))</f>
        <v>46276</v>
      </c>
      <c r="C1664" s="36" t="str">
        <f aca="false">IF(Raw_Export!$A1664="","",IFERROR(VLOOKUP(LOWER(TRIM(Raw_Export!C1664)),Maps!$A$2:$B$20,2,FALSE()),"UNMAPPED"))</f>
        <v>Nairobi CBD</v>
      </c>
      <c r="D1664" s="36" t="str">
        <f aca="false">IF(Raw_Export!$A1664="","",IFERROR(VLOOKUP(LOWER(TRIM(Raw_Export!D1664)),Maps!$G$2:$I$80,2,FALSE()),"UNMAPPED"))</f>
        <v>Matches 10pk</v>
      </c>
      <c r="E1664" s="36" t="str">
        <f aca="false">IF(Raw_Export!$A1664="","",IFERROR(VLOOKUP(LOWER(TRIM(Raw_Export!D1664)),Maps!$G$2:$I$80,3,FALSE()),"UNMAPPED"))</f>
        <v>Household</v>
      </c>
      <c r="F1664" s="36" t="n">
        <f aca="false">IF(Raw_Export!$A1664="","",IFERROR(VALUE(TRIM(Raw_Export!E1664)),0))</f>
        <v>1</v>
      </c>
      <c r="G1664" s="38" t="n">
        <f aca="false">IF(Raw_Export!$A1664="","",IFERROR(VALUE(SUBSTITUTE(SUBSTITUTE(UPPER(TRIM(Raw_Export!F1664)),"KES",""),",","")),0))</f>
        <v>50</v>
      </c>
      <c r="H1664" s="38" t="n">
        <f aca="false">IF(Raw_Export!$A1664="","",F1664*G1664)</f>
        <v>50</v>
      </c>
      <c r="I1664" s="36" t="str">
        <f aca="false">IF(Raw_Export!$A1664="","",IFERROR(VLOOKUP(LOWER(TRIM(Raw_Export!H1664)),Maps!$D$2:$E$12,2,FALSE()),"Other"))</f>
        <v>M-Pesa</v>
      </c>
      <c r="J1664" s="36" t="str">
        <f aca="false">IF(Raw_Export!$A1664="","",IF(COUNTIF($A$2:A1664,A1664)&gt;1,"Duplicate",""))</f>
        <v/>
      </c>
      <c r="K1664" s="36" t="str">
        <f aca="false">IF(Raw_Export!$A1664="","",IF(J1664="Duplicate","Duplicate",IF(OR(C1664="UNMAPPED",D1664="UNMAPPED"),"Unmapped",IF(F1664=0,"Blank qty",IF(F1664&lt;0,"Return","OK")))))</f>
        <v>OK</v>
      </c>
      <c r="L1664" s="36" t="n">
        <f aca="false">IF(Raw_Export!$A1664="","",IF(OR(K1664="OK",K1664="Return"),1,0))</f>
        <v>1</v>
      </c>
      <c r="M1664" s="37" t="n">
        <f aca="false">IF(Raw_Export!$A1664="","",B1664-WEEKDAY(B1664,2)+1)</f>
        <v>46272</v>
      </c>
    </row>
    <row r="1665" customFormat="false" ht="15" hidden="false" customHeight="false" outlineLevel="0" collapsed="false">
      <c r="A1665" s="36" t="str">
        <f aca="false">IF(Raw_Export!$A1665="","",TRIM(Raw_Export!A1665))</f>
        <v>TXN-101630</v>
      </c>
      <c r="B1665" s="37" t="n">
        <f aca="false">IF(Raw_Export!$A1665="","",IF(ISNUMBER(Raw_Export!B1665),Raw_Export!B1665,IF(MID(TRIM(Raw_Export!B1665),5,1)="-",DATE(LEFT(TRIM(Raw_Export!B1665),4),MID(TRIM(Raw_Export!B1665),6,2),RIGHT(TRIM(Raw_Export!B1665),2)),DATE(RIGHT(TRIM(Raw_Export!B1665),4),MATCH(MID(TRIM(Raw_Export!B1665),4,3),{"Jan","Feb","Mar","Apr","May","Jun","Jul","Aug","Sep","Oct","Nov","Dec"},0),LEFT(TRIM(Raw_Export!B1665),2)))))</f>
        <v>46276</v>
      </c>
      <c r="C1665" s="36" t="str">
        <f aca="false">IF(Raw_Export!$A1665="","",IFERROR(VLOOKUP(LOWER(TRIM(Raw_Export!C1665)),Maps!$A$2:$B$20,2,FALSE()),"UNMAPPED"))</f>
        <v>Nairobi CBD</v>
      </c>
      <c r="D1665" s="36" t="str">
        <f aca="false">IF(Raw_Export!$A1665="","",IFERROR(VLOOKUP(LOWER(TRIM(Raw_Export!D1665)),Maps!$G$2:$I$80,2,FALSE()),"UNMAPPED"))</f>
        <v>Juice 1L</v>
      </c>
      <c r="E1665" s="36" t="str">
        <f aca="false">IF(Raw_Export!$A1665="","",IFERROR(VLOOKUP(LOWER(TRIM(Raw_Export!D1665)),Maps!$G$2:$I$80,3,FALSE()),"UNMAPPED"))</f>
        <v>Beverages</v>
      </c>
      <c r="F1665" s="36" t="n">
        <f aca="false">IF(Raw_Export!$A1665="","",IFERROR(VALUE(TRIM(Raw_Export!E1665)),0))</f>
        <v>3</v>
      </c>
      <c r="G1665" s="38" t="n">
        <f aca="false">IF(Raw_Export!$A1665="","",IFERROR(VALUE(SUBSTITUTE(SUBSTITUTE(UPPER(TRIM(Raw_Export!F1665)),"KES",""),",","")),0))</f>
        <v>210</v>
      </c>
      <c r="H1665" s="38" t="n">
        <f aca="false">IF(Raw_Export!$A1665="","",F1665*G1665)</f>
        <v>630</v>
      </c>
      <c r="I1665" s="36" t="str">
        <f aca="false">IF(Raw_Export!$A1665="","",IFERROR(VLOOKUP(LOWER(TRIM(Raw_Export!H1665)),Maps!$D$2:$E$12,2,FALSE()),"Other"))</f>
        <v>M-Pesa</v>
      </c>
      <c r="J1665" s="36" t="str">
        <f aca="false">IF(Raw_Export!$A1665="","",IF(COUNTIF($A$2:A1665,A1665)&gt;1,"Duplicate",""))</f>
        <v/>
      </c>
      <c r="K1665" s="36" t="str">
        <f aca="false">IF(Raw_Export!$A1665="","",IF(J1665="Duplicate","Duplicate",IF(OR(C1665="UNMAPPED",D1665="UNMAPPED"),"Unmapped",IF(F1665=0,"Blank qty",IF(F1665&lt;0,"Return","OK")))))</f>
        <v>OK</v>
      </c>
      <c r="L1665" s="36" t="n">
        <f aca="false">IF(Raw_Export!$A1665="","",IF(OR(K1665="OK",K1665="Return"),1,0))</f>
        <v>1</v>
      </c>
      <c r="M1665" s="37" t="n">
        <f aca="false">IF(Raw_Export!$A1665="","",B1665-WEEKDAY(B1665,2)+1)</f>
        <v>46272</v>
      </c>
    </row>
    <row r="1666" customFormat="false" ht="15" hidden="false" customHeight="false" outlineLevel="0" collapsed="false">
      <c r="A1666" s="36" t="str">
        <f aca="false">IF(Raw_Export!$A1666="","",TRIM(Raw_Export!A1666))</f>
        <v>TXN-101631</v>
      </c>
      <c r="B1666" s="37" t="n">
        <f aca="false">IF(Raw_Export!$A1666="","",IF(ISNUMBER(Raw_Export!B1666),Raw_Export!B1666,IF(MID(TRIM(Raw_Export!B1666),5,1)="-",DATE(LEFT(TRIM(Raw_Export!B1666),4),MID(TRIM(Raw_Export!B1666),6,2),RIGHT(TRIM(Raw_Export!B1666),2)),DATE(RIGHT(TRIM(Raw_Export!B1666),4),MATCH(MID(TRIM(Raw_Export!B1666),4,3),{"Jan","Feb","Mar","Apr","May","Jun","Jul","Aug","Sep","Oct","Nov","Dec"},0),LEFT(TRIM(Raw_Export!B1666),2)))))</f>
        <v>46276</v>
      </c>
      <c r="C1666" s="36" t="str">
        <f aca="false">IF(Raw_Export!$A1666="","",IFERROR(VLOOKUP(LOWER(TRIM(Raw_Export!C1666)),Maps!$A$2:$B$20,2,FALSE()),"UNMAPPED"))</f>
        <v>Nairobi CBD</v>
      </c>
      <c r="D1666" s="36" t="str">
        <f aca="false">IF(Raw_Export!$A1666="","",IFERROR(VLOOKUP(LOWER(TRIM(Raw_Export!D1666)),Maps!$G$2:$I$80,2,FALSE()),"UNMAPPED"))</f>
        <v>Sanitary Pads 8pk</v>
      </c>
      <c r="E1666" s="36" t="str">
        <f aca="false">IF(Raw_Export!$A1666="","",IFERROR(VLOOKUP(LOWER(TRIM(Raw_Export!D1666)),Maps!$G$2:$I$80,3,FALSE()),"UNMAPPED"))</f>
        <v>Personal Care</v>
      </c>
      <c r="F1666" s="36" t="n">
        <f aca="false">IF(Raw_Export!$A1666="","",IFERROR(VALUE(TRIM(Raw_Export!E1666)),0))</f>
        <v>2</v>
      </c>
      <c r="G1666" s="38" t="n">
        <f aca="false">IF(Raw_Export!$A1666="","",IFERROR(VALUE(SUBSTITUTE(SUBSTITUTE(UPPER(TRIM(Raw_Export!F1666)),"KES",""),",","")),0))</f>
        <v>130</v>
      </c>
      <c r="H1666" s="38" t="n">
        <f aca="false">IF(Raw_Export!$A1666="","",F1666*G1666)</f>
        <v>260</v>
      </c>
      <c r="I1666" s="36" t="str">
        <f aca="false">IF(Raw_Export!$A1666="","",IFERROR(VLOOKUP(LOWER(TRIM(Raw_Export!H1666)),Maps!$D$2:$E$12,2,FALSE()),"Other"))</f>
        <v>M-Pesa</v>
      </c>
      <c r="J1666" s="36" t="str">
        <f aca="false">IF(Raw_Export!$A1666="","",IF(COUNTIF($A$2:A1666,A1666)&gt;1,"Duplicate",""))</f>
        <v/>
      </c>
      <c r="K1666" s="36" t="str">
        <f aca="false">IF(Raw_Export!$A1666="","",IF(J1666="Duplicate","Duplicate",IF(OR(C1666="UNMAPPED",D1666="UNMAPPED"),"Unmapped",IF(F1666=0,"Blank qty",IF(F1666&lt;0,"Return","OK")))))</f>
        <v>OK</v>
      </c>
      <c r="L1666" s="36" t="n">
        <f aca="false">IF(Raw_Export!$A1666="","",IF(OR(K1666="OK",K1666="Return"),1,0))</f>
        <v>1</v>
      </c>
      <c r="M1666" s="37" t="n">
        <f aca="false">IF(Raw_Export!$A1666="","",B1666-WEEKDAY(B1666,2)+1)</f>
        <v>46272</v>
      </c>
    </row>
    <row r="1667" customFormat="false" ht="15" hidden="false" customHeight="false" outlineLevel="0" collapsed="false">
      <c r="A1667" s="36" t="str">
        <f aca="false">IF(Raw_Export!$A1667="","",TRIM(Raw_Export!A1667))</f>
        <v>TXN-101632</v>
      </c>
      <c r="B1667" s="37" t="n">
        <f aca="false">IF(Raw_Export!$A1667="","",IF(ISNUMBER(Raw_Export!B1667),Raw_Export!B1667,IF(MID(TRIM(Raw_Export!B1667),5,1)="-",DATE(LEFT(TRIM(Raw_Export!B1667),4),MID(TRIM(Raw_Export!B1667),6,2),RIGHT(TRIM(Raw_Export!B1667),2)),DATE(RIGHT(TRIM(Raw_Export!B1667),4),MATCH(MID(TRIM(Raw_Export!B1667),4,3),{"Jan","Feb","Mar","Apr","May","Jun","Jul","Aug","Sep","Oct","Nov","Dec"},0),LEFT(TRIM(Raw_Export!B1667),2)))))</f>
        <v>46276</v>
      </c>
      <c r="C1667" s="36" t="str">
        <f aca="false">IF(Raw_Export!$A1667="","",IFERROR(VLOOKUP(LOWER(TRIM(Raw_Export!C1667)),Maps!$A$2:$B$20,2,FALSE()),"UNMAPPED"))</f>
        <v>Nairobi CBD</v>
      </c>
      <c r="D1667" s="36" t="str">
        <f aca="false">IF(Raw_Export!$A1667="","",IFERROR(VLOOKUP(LOWER(TRIM(Raw_Export!D1667)),Maps!$G$2:$I$80,2,FALSE()),"UNMAPPED"))</f>
        <v>Sanitary Pads 8pk</v>
      </c>
      <c r="E1667" s="36" t="str">
        <f aca="false">IF(Raw_Export!$A1667="","",IFERROR(VLOOKUP(LOWER(TRIM(Raw_Export!D1667)),Maps!$G$2:$I$80,3,FALSE()),"UNMAPPED"))</f>
        <v>Personal Care</v>
      </c>
      <c r="F1667" s="36" t="n">
        <f aca="false">IF(Raw_Export!$A1667="","",IFERROR(VALUE(TRIM(Raw_Export!E1667)),0))</f>
        <v>6</v>
      </c>
      <c r="G1667" s="38" t="n">
        <f aca="false">IF(Raw_Export!$A1667="","",IFERROR(VALUE(SUBSTITUTE(SUBSTITUTE(UPPER(TRIM(Raw_Export!F1667)),"KES",""),",","")),0))</f>
        <v>130</v>
      </c>
      <c r="H1667" s="38" t="n">
        <f aca="false">IF(Raw_Export!$A1667="","",F1667*G1667)</f>
        <v>780</v>
      </c>
      <c r="I1667" s="36" t="str">
        <f aca="false">IF(Raw_Export!$A1667="","",IFERROR(VLOOKUP(LOWER(TRIM(Raw_Export!H1667)),Maps!$D$2:$E$12,2,FALSE()),"Other"))</f>
        <v>Cash</v>
      </c>
      <c r="J1667" s="36" t="str">
        <f aca="false">IF(Raw_Export!$A1667="","",IF(COUNTIF($A$2:A1667,A1667)&gt;1,"Duplicate",""))</f>
        <v/>
      </c>
      <c r="K1667" s="36" t="str">
        <f aca="false">IF(Raw_Export!$A1667="","",IF(J1667="Duplicate","Duplicate",IF(OR(C1667="UNMAPPED",D1667="UNMAPPED"),"Unmapped",IF(F1667=0,"Blank qty",IF(F1667&lt;0,"Return","OK")))))</f>
        <v>OK</v>
      </c>
      <c r="L1667" s="36" t="n">
        <f aca="false">IF(Raw_Export!$A1667="","",IF(OR(K1667="OK",K1667="Return"),1,0))</f>
        <v>1</v>
      </c>
      <c r="M1667" s="37" t="n">
        <f aca="false">IF(Raw_Export!$A1667="","",B1667-WEEKDAY(B1667,2)+1)</f>
        <v>46272</v>
      </c>
    </row>
    <row r="1668" customFormat="false" ht="15" hidden="false" customHeight="false" outlineLevel="0" collapsed="false">
      <c r="A1668" s="36" t="str">
        <f aca="false">IF(Raw_Export!$A1668="","",TRIM(Raw_Export!A1668))</f>
        <v>TXN-101633</v>
      </c>
      <c r="B1668" s="37" t="n">
        <f aca="false">IF(Raw_Export!$A1668="","",IF(ISNUMBER(Raw_Export!B1668),Raw_Export!B1668,IF(MID(TRIM(Raw_Export!B1668),5,1)="-",DATE(LEFT(TRIM(Raw_Export!B1668),4),MID(TRIM(Raw_Export!B1668),6,2),RIGHT(TRIM(Raw_Export!B1668),2)),DATE(RIGHT(TRIM(Raw_Export!B1668),4),MATCH(MID(TRIM(Raw_Export!B1668),4,3),{"Jan","Feb","Mar","Apr","May","Jun","Jul","Aug","Sep","Oct","Nov","Dec"},0),LEFT(TRIM(Raw_Export!B1668),2)))))</f>
        <v>46276</v>
      </c>
      <c r="C1668" s="36" t="str">
        <f aca="false">IF(Raw_Export!$A1668="","",IFERROR(VLOOKUP(LOWER(TRIM(Raw_Export!C1668)),Maps!$A$2:$B$20,2,FALSE()),"UNMAPPED"))</f>
        <v>Nairobi CBD</v>
      </c>
      <c r="D1668" s="36" t="str">
        <f aca="false">IF(Raw_Export!$A1668="","",IFERROR(VLOOKUP(LOWER(TRIM(Raw_Export!D1668)),Maps!$G$2:$I$80,2,FALSE()),"UNMAPPED"))</f>
        <v>Tea Leaves 250g</v>
      </c>
      <c r="E1668" s="36" t="str">
        <f aca="false">IF(Raw_Export!$A1668="","",IFERROR(VLOOKUP(LOWER(TRIM(Raw_Export!D1668)),Maps!$G$2:$I$80,3,FALSE()),"UNMAPPED"))</f>
        <v>Beverages</v>
      </c>
      <c r="F1668" s="36" t="n">
        <f aca="false">IF(Raw_Export!$A1668="","",IFERROR(VALUE(TRIM(Raw_Export!E1668)),0))</f>
        <v>2</v>
      </c>
      <c r="G1668" s="38" t="n">
        <f aca="false">IF(Raw_Export!$A1668="","",IFERROR(VALUE(SUBSTITUTE(SUBSTITUTE(UPPER(TRIM(Raw_Export!F1668)),"KES",""),",","")),0))</f>
        <v>150</v>
      </c>
      <c r="H1668" s="38" t="n">
        <f aca="false">IF(Raw_Export!$A1668="","",F1668*G1668)</f>
        <v>300</v>
      </c>
      <c r="I1668" s="36" t="str">
        <f aca="false">IF(Raw_Export!$A1668="","",IFERROR(VLOOKUP(LOWER(TRIM(Raw_Export!H1668)),Maps!$D$2:$E$12,2,FALSE()),"Other"))</f>
        <v>M-Pesa</v>
      </c>
      <c r="J1668" s="36" t="str">
        <f aca="false">IF(Raw_Export!$A1668="","",IF(COUNTIF($A$2:A1668,A1668)&gt;1,"Duplicate",""))</f>
        <v/>
      </c>
      <c r="K1668" s="36" t="str">
        <f aca="false">IF(Raw_Export!$A1668="","",IF(J1668="Duplicate","Duplicate",IF(OR(C1668="UNMAPPED",D1668="UNMAPPED"),"Unmapped",IF(F1668=0,"Blank qty",IF(F1668&lt;0,"Return","OK")))))</f>
        <v>OK</v>
      </c>
      <c r="L1668" s="36" t="n">
        <f aca="false">IF(Raw_Export!$A1668="","",IF(OR(K1668="OK",K1668="Return"),1,0))</f>
        <v>1</v>
      </c>
      <c r="M1668" s="37" t="n">
        <f aca="false">IF(Raw_Export!$A1668="","",B1668-WEEKDAY(B1668,2)+1)</f>
        <v>46272</v>
      </c>
    </row>
    <row r="1669" customFormat="false" ht="15" hidden="false" customHeight="false" outlineLevel="0" collapsed="false">
      <c r="A1669" s="36" t="str">
        <f aca="false">IF(Raw_Export!$A1669="","",TRIM(Raw_Export!A1669))</f>
        <v>TXN-101634</v>
      </c>
      <c r="B1669" s="37" t="n">
        <f aca="false">IF(Raw_Export!$A1669="","",IF(ISNUMBER(Raw_Export!B1669),Raw_Export!B1669,IF(MID(TRIM(Raw_Export!B1669),5,1)="-",DATE(LEFT(TRIM(Raw_Export!B1669),4),MID(TRIM(Raw_Export!B1669),6,2),RIGHT(TRIM(Raw_Export!B1669),2)),DATE(RIGHT(TRIM(Raw_Export!B1669),4),MATCH(MID(TRIM(Raw_Export!B1669),4,3),{"Jan","Feb","Mar","Apr","May","Jun","Jul","Aug","Sep","Oct","Nov","Dec"},0),LEFT(TRIM(Raw_Export!B1669),2)))))</f>
        <v>46276</v>
      </c>
      <c r="C1669" s="36" t="str">
        <f aca="false">IF(Raw_Export!$A1669="","",IFERROR(VLOOKUP(LOWER(TRIM(Raw_Export!C1669)),Maps!$A$2:$B$20,2,FALSE()),"UNMAPPED"))</f>
        <v>Nairobi CBD</v>
      </c>
      <c r="D1669" s="36" t="str">
        <f aca="false">IF(Raw_Export!$A1669="","",IFERROR(VLOOKUP(LOWER(TRIM(Raw_Export!D1669)),Maps!$G$2:$I$80,2,FALSE()),"UNMAPPED"))</f>
        <v>Cooking Oil 1L</v>
      </c>
      <c r="E1669" s="36" t="str">
        <f aca="false">IF(Raw_Export!$A1669="","",IFERROR(VLOOKUP(LOWER(TRIM(Raw_Export!D1669)),Maps!$G$2:$I$80,3,FALSE()),"UNMAPPED"))</f>
        <v>Staples</v>
      </c>
      <c r="F1669" s="36" t="n">
        <f aca="false">IF(Raw_Export!$A1669="","",IFERROR(VALUE(TRIM(Raw_Export!E1669)),0))</f>
        <v>2</v>
      </c>
      <c r="G1669" s="38" t="n">
        <f aca="false">IF(Raw_Export!$A1669="","",IFERROR(VALUE(SUBSTITUTE(SUBSTITUTE(UPPER(TRIM(Raw_Export!F1669)),"KES",""),",","")),0))</f>
        <v>330</v>
      </c>
      <c r="H1669" s="38" t="n">
        <f aca="false">IF(Raw_Export!$A1669="","",F1669*G1669)</f>
        <v>660</v>
      </c>
      <c r="I1669" s="36" t="str">
        <f aca="false">IF(Raw_Export!$A1669="","",IFERROR(VLOOKUP(LOWER(TRIM(Raw_Export!H1669)),Maps!$D$2:$E$12,2,FALSE()),"Other"))</f>
        <v>Cash</v>
      </c>
      <c r="J1669" s="36" t="str">
        <f aca="false">IF(Raw_Export!$A1669="","",IF(COUNTIF($A$2:A1669,A1669)&gt;1,"Duplicate",""))</f>
        <v/>
      </c>
      <c r="K1669" s="36" t="str">
        <f aca="false">IF(Raw_Export!$A1669="","",IF(J1669="Duplicate","Duplicate",IF(OR(C1669="UNMAPPED",D1669="UNMAPPED"),"Unmapped",IF(F1669=0,"Blank qty",IF(F1669&lt;0,"Return","OK")))))</f>
        <v>OK</v>
      </c>
      <c r="L1669" s="36" t="n">
        <f aca="false">IF(Raw_Export!$A1669="","",IF(OR(K1669="OK",K1669="Return"),1,0))</f>
        <v>1</v>
      </c>
      <c r="M1669" s="37" t="n">
        <f aca="false">IF(Raw_Export!$A1669="","",B1669-WEEKDAY(B1669,2)+1)</f>
        <v>46272</v>
      </c>
    </row>
    <row r="1670" customFormat="false" ht="15" hidden="false" customHeight="false" outlineLevel="0" collapsed="false">
      <c r="A1670" s="36" t="str">
        <f aca="false">IF(Raw_Export!$A1670="","",TRIM(Raw_Export!A1670))</f>
        <v>TXN-101635</v>
      </c>
      <c r="B1670" s="37" t="n">
        <f aca="false">IF(Raw_Export!$A1670="","",IF(ISNUMBER(Raw_Export!B1670),Raw_Export!B1670,IF(MID(TRIM(Raw_Export!B1670),5,1)="-",DATE(LEFT(TRIM(Raw_Export!B1670),4),MID(TRIM(Raw_Export!B1670),6,2),RIGHT(TRIM(Raw_Export!B1670),2)),DATE(RIGHT(TRIM(Raw_Export!B1670),4),MATCH(MID(TRIM(Raw_Export!B1670),4,3),{"Jan","Feb","Mar","Apr","May","Jun","Jul","Aug","Sep","Oct","Nov","Dec"},0),LEFT(TRIM(Raw_Export!B1670),2)))))</f>
        <v>46276</v>
      </c>
      <c r="C1670" s="36" t="str">
        <f aca="false">IF(Raw_Export!$A1670="","",IFERROR(VLOOKUP(LOWER(TRIM(Raw_Export!C1670)),Maps!$A$2:$B$20,2,FALSE()),"UNMAPPED"))</f>
        <v>Nairobi CBD</v>
      </c>
      <c r="D1670" s="36" t="str">
        <f aca="false">IF(Raw_Export!$A1670="","",IFERROR(VLOOKUP(LOWER(TRIM(Raw_Export!D1670)),Maps!$G$2:$I$80,2,FALSE()),"UNMAPPED"))</f>
        <v>Juice 1L</v>
      </c>
      <c r="E1670" s="36" t="str">
        <f aca="false">IF(Raw_Export!$A1670="","",IFERROR(VLOOKUP(LOWER(TRIM(Raw_Export!D1670)),Maps!$G$2:$I$80,3,FALSE()),"UNMAPPED"))</f>
        <v>Beverages</v>
      </c>
      <c r="F1670" s="36" t="n">
        <f aca="false">IF(Raw_Export!$A1670="","",IFERROR(VALUE(TRIM(Raw_Export!E1670)),0))</f>
        <v>1</v>
      </c>
      <c r="G1670" s="38" t="n">
        <f aca="false">IF(Raw_Export!$A1670="","",IFERROR(VALUE(SUBSTITUTE(SUBSTITUTE(UPPER(TRIM(Raw_Export!F1670)),"KES",""),",","")),0))</f>
        <v>210</v>
      </c>
      <c r="H1670" s="38" t="n">
        <f aca="false">IF(Raw_Export!$A1670="","",F1670*G1670)</f>
        <v>210</v>
      </c>
      <c r="I1670" s="36" t="str">
        <f aca="false">IF(Raw_Export!$A1670="","",IFERROR(VLOOKUP(LOWER(TRIM(Raw_Export!H1670)),Maps!$D$2:$E$12,2,FALSE()),"Other"))</f>
        <v>M-Pesa</v>
      </c>
      <c r="J1670" s="36" t="str">
        <f aca="false">IF(Raw_Export!$A1670="","",IF(COUNTIF($A$2:A1670,A1670)&gt;1,"Duplicate",""))</f>
        <v/>
      </c>
      <c r="K1670" s="36" t="str">
        <f aca="false">IF(Raw_Export!$A1670="","",IF(J1670="Duplicate","Duplicate",IF(OR(C1670="UNMAPPED",D1670="UNMAPPED"),"Unmapped",IF(F1670=0,"Blank qty",IF(F1670&lt;0,"Return","OK")))))</f>
        <v>OK</v>
      </c>
      <c r="L1670" s="36" t="n">
        <f aca="false">IF(Raw_Export!$A1670="","",IF(OR(K1670="OK",K1670="Return"),1,0))</f>
        <v>1</v>
      </c>
      <c r="M1670" s="37" t="n">
        <f aca="false">IF(Raw_Export!$A1670="","",B1670-WEEKDAY(B1670,2)+1)</f>
        <v>46272</v>
      </c>
    </row>
    <row r="1671" customFormat="false" ht="15" hidden="false" customHeight="false" outlineLevel="0" collapsed="false">
      <c r="A1671" s="36" t="str">
        <f aca="false">IF(Raw_Export!$A1671="","",TRIM(Raw_Export!A1671))</f>
        <v>TXN-101636</v>
      </c>
      <c r="B1671" s="37" t="n">
        <f aca="false">IF(Raw_Export!$A1671="","",IF(ISNUMBER(Raw_Export!B1671),Raw_Export!B1671,IF(MID(TRIM(Raw_Export!B1671),5,1)="-",DATE(LEFT(TRIM(Raw_Export!B1671),4),MID(TRIM(Raw_Export!B1671),6,2),RIGHT(TRIM(Raw_Export!B1671),2)),DATE(RIGHT(TRIM(Raw_Export!B1671),4),MATCH(MID(TRIM(Raw_Export!B1671),4,3),{"Jan","Feb","Mar","Apr","May","Jun","Jul","Aug","Sep","Oct","Nov","Dec"},0),LEFT(TRIM(Raw_Export!B1671),2)))))</f>
        <v>46276</v>
      </c>
      <c r="C1671" s="36" t="str">
        <f aca="false">IF(Raw_Export!$A1671="","",IFERROR(VLOOKUP(LOWER(TRIM(Raw_Export!C1671)),Maps!$A$2:$B$20,2,FALSE()),"UNMAPPED"))</f>
        <v>Nairobi CBD</v>
      </c>
      <c r="D1671" s="36" t="str">
        <f aca="false">IF(Raw_Export!$A1671="","",IFERROR(VLOOKUP(LOWER(TRIM(Raw_Export!D1671)),Maps!$G$2:$I$80,2,FALSE()),"UNMAPPED"))</f>
        <v>Soda 500ml</v>
      </c>
      <c r="E1671" s="36" t="str">
        <f aca="false">IF(Raw_Export!$A1671="","",IFERROR(VLOOKUP(LOWER(TRIM(Raw_Export!D1671)),Maps!$G$2:$I$80,3,FALSE()),"UNMAPPED"))</f>
        <v>Beverages</v>
      </c>
      <c r="F1671" s="36" t="n">
        <f aca="false">IF(Raw_Export!$A1671="","",IFERROR(VALUE(TRIM(Raw_Export!E1671)),0))</f>
        <v>1</v>
      </c>
      <c r="G1671" s="38" t="n">
        <f aca="false">IF(Raw_Export!$A1671="","",IFERROR(VALUE(SUBSTITUTE(SUBSTITUTE(UPPER(TRIM(Raw_Export!F1671)),"KES",""),",","")),0))</f>
        <v>60</v>
      </c>
      <c r="H1671" s="38" t="n">
        <f aca="false">IF(Raw_Export!$A1671="","",F1671*G1671)</f>
        <v>60</v>
      </c>
      <c r="I1671" s="36" t="str">
        <f aca="false">IF(Raw_Export!$A1671="","",IFERROR(VLOOKUP(LOWER(TRIM(Raw_Export!H1671)),Maps!$D$2:$E$12,2,FALSE()),"Other"))</f>
        <v>M-Pesa</v>
      </c>
      <c r="J1671" s="36" t="str">
        <f aca="false">IF(Raw_Export!$A1671="","",IF(COUNTIF($A$2:A1671,A1671)&gt;1,"Duplicate",""))</f>
        <v/>
      </c>
      <c r="K1671" s="36" t="str">
        <f aca="false">IF(Raw_Export!$A1671="","",IF(J1671="Duplicate","Duplicate",IF(OR(C1671="UNMAPPED",D1671="UNMAPPED"),"Unmapped",IF(F1671=0,"Blank qty",IF(F1671&lt;0,"Return","OK")))))</f>
        <v>OK</v>
      </c>
      <c r="L1671" s="36" t="n">
        <f aca="false">IF(Raw_Export!$A1671="","",IF(OR(K1671="OK",K1671="Return"),1,0))</f>
        <v>1</v>
      </c>
      <c r="M1671" s="37" t="n">
        <f aca="false">IF(Raw_Export!$A1671="","",B1671-WEEKDAY(B1671,2)+1)</f>
        <v>46272</v>
      </c>
    </row>
    <row r="1672" customFormat="false" ht="15" hidden="false" customHeight="false" outlineLevel="0" collapsed="false">
      <c r="A1672" s="36" t="str">
        <f aca="false">IF(Raw_Export!$A1672="","",TRIM(Raw_Export!A1672))</f>
        <v>TXN-101637</v>
      </c>
      <c r="B1672" s="37" t="n">
        <f aca="false">IF(Raw_Export!$A1672="","",IF(ISNUMBER(Raw_Export!B1672),Raw_Export!B1672,IF(MID(TRIM(Raw_Export!B1672),5,1)="-",DATE(LEFT(TRIM(Raw_Export!B1672),4),MID(TRIM(Raw_Export!B1672),6,2),RIGHT(TRIM(Raw_Export!B1672),2)),DATE(RIGHT(TRIM(Raw_Export!B1672),4),MATCH(MID(TRIM(Raw_Export!B1672),4,3),{"Jan","Feb","Mar","Apr","May","Jun","Jul","Aug","Sep","Oct","Nov","Dec"},0),LEFT(TRIM(Raw_Export!B1672),2)))))</f>
        <v>46276</v>
      </c>
      <c r="C1672" s="36" t="str">
        <f aca="false">IF(Raw_Export!$A1672="","",IFERROR(VLOOKUP(LOWER(TRIM(Raw_Export!C1672)),Maps!$A$2:$B$20,2,FALSE()),"UNMAPPED"))</f>
        <v>Nairobi CBD</v>
      </c>
      <c r="D1672" s="36" t="str">
        <f aca="false">IF(Raw_Export!$A1672="","",IFERROR(VLOOKUP(LOWER(TRIM(Raw_Export!D1672)),Maps!$G$2:$I$80,2,FALSE()),"UNMAPPED"))</f>
        <v>Fresh Milk 500ml</v>
      </c>
      <c r="E1672" s="36" t="str">
        <f aca="false">IF(Raw_Export!$A1672="","",IFERROR(VLOOKUP(LOWER(TRIM(Raw_Export!D1672)),Maps!$G$2:$I$80,3,FALSE()),"UNMAPPED"))</f>
        <v>Dairy &amp; Eggs</v>
      </c>
      <c r="F1672" s="36" t="n">
        <f aca="false">IF(Raw_Export!$A1672="","",IFERROR(VALUE(TRIM(Raw_Export!E1672)),0))</f>
        <v>2</v>
      </c>
      <c r="G1672" s="38" t="n">
        <f aca="false">IF(Raw_Export!$A1672="","",IFERROR(VALUE(SUBSTITUTE(SUBSTITUTE(UPPER(TRIM(Raw_Export!F1672)),"KES",""),",","")),0))</f>
        <v>65</v>
      </c>
      <c r="H1672" s="38" t="n">
        <f aca="false">IF(Raw_Export!$A1672="","",F1672*G1672)</f>
        <v>130</v>
      </c>
      <c r="I1672" s="36" t="str">
        <f aca="false">IF(Raw_Export!$A1672="","",IFERROR(VLOOKUP(LOWER(TRIM(Raw_Export!H1672)),Maps!$D$2:$E$12,2,FALSE()),"Other"))</f>
        <v>Cash</v>
      </c>
      <c r="J1672" s="36" t="str">
        <f aca="false">IF(Raw_Export!$A1672="","",IF(COUNTIF($A$2:A1672,A1672)&gt;1,"Duplicate",""))</f>
        <v/>
      </c>
      <c r="K1672" s="36" t="str">
        <f aca="false">IF(Raw_Export!$A1672="","",IF(J1672="Duplicate","Duplicate",IF(OR(C1672="UNMAPPED",D1672="UNMAPPED"),"Unmapped",IF(F1672=0,"Blank qty",IF(F1672&lt;0,"Return","OK")))))</f>
        <v>OK</v>
      </c>
      <c r="L1672" s="36" t="n">
        <f aca="false">IF(Raw_Export!$A1672="","",IF(OR(K1672="OK",K1672="Return"),1,0))</f>
        <v>1</v>
      </c>
      <c r="M1672" s="37" t="n">
        <f aca="false">IF(Raw_Export!$A1672="","",B1672-WEEKDAY(B1672,2)+1)</f>
        <v>46272</v>
      </c>
    </row>
    <row r="1673" customFormat="false" ht="15" hidden="false" customHeight="false" outlineLevel="0" collapsed="false">
      <c r="A1673" s="36" t="str">
        <f aca="false">IF(Raw_Export!$A1673="","",TRIM(Raw_Export!A1673))</f>
        <v>TXN-101638</v>
      </c>
      <c r="B1673" s="37" t="n">
        <f aca="false">IF(Raw_Export!$A1673="","",IF(ISNUMBER(Raw_Export!B1673),Raw_Export!B1673,IF(MID(TRIM(Raw_Export!B1673),5,1)="-",DATE(LEFT(TRIM(Raw_Export!B1673),4),MID(TRIM(Raw_Export!B1673),6,2),RIGHT(TRIM(Raw_Export!B1673),2)),DATE(RIGHT(TRIM(Raw_Export!B1673),4),MATCH(MID(TRIM(Raw_Export!B1673),4,3),{"Jan","Feb","Mar","Apr","May","Jun","Jul","Aug","Sep","Oct","Nov","Dec"},0),LEFT(TRIM(Raw_Export!B1673),2)))))</f>
        <v>46276</v>
      </c>
      <c r="C1673" s="36" t="str">
        <f aca="false">IF(Raw_Export!$A1673="","",IFERROR(VLOOKUP(LOWER(TRIM(Raw_Export!C1673)),Maps!$A$2:$B$20,2,FALSE()),"UNMAPPED"))</f>
        <v>Nairobi CBD</v>
      </c>
      <c r="D1673" s="36" t="str">
        <f aca="false">IF(Raw_Export!$A1673="","",IFERROR(VLOOKUP(LOWER(TRIM(Raw_Export!D1673)),Maps!$G$2:$I$80,2,FALSE()),"UNMAPPED"))</f>
        <v>Body Lotion 400ml</v>
      </c>
      <c r="E1673" s="36" t="str">
        <f aca="false">IF(Raw_Export!$A1673="","",IFERROR(VLOOKUP(LOWER(TRIM(Raw_Export!D1673)),Maps!$G$2:$I$80,3,FALSE()),"UNMAPPED"))</f>
        <v>Personal Care</v>
      </c>
      <c r="F1673" s="36" t="n">
        <f aca="false">IF(Raw_Export!$A1673="","",IFERROR(VALUE(TRIM(Raw_Export!E1673)),0))</f>
        <v>3</v>
      </c>
      <c r="G1673" s="38" t="n">
        <f aca="false">IF(Raw_Export!$A1673="","",IFERROR(VALUE(SUBSTITUTE(SUBSTITUTE(UPPER(TRIM(Raw_Export!F1673)),"KES",""),",","")),0))</f>
        <v>420</v>
      </c>
      <c r="H1673" s="38" t="n">
        <f aca="false">IF(Raw_Export!$A1673="","",F1673*G1673)</f>
        <v>1260</v>
      </c>
      <c r="I1673" s="36" t="str">
        <f aca="false">IF(Raw_Export!$A1673="","",IFERROR(VLOOKUP(LOWER(TRIM(Raw_Export!H1673)),Maps!$D$2:$E$12,2,FALSE()),"Other"))</f>
        <v>M-Pesa</v>
      </c>
      <c r="J1673" s="36" t="str">
        <f aca="false">IF(Raw_Export!$A1673="","",IF(COUNTIF($A$2:A1673,A1673)&gt;1,"Duplicate",""))</f>
        <v/>
      </c>
      <c r="K1673" s="36" t="str">
        <f aca="false">IF(Raw_Export!$A1673="","",IF(J1673="Duplicate","Duplicate",IF(OR(C1673="UNMAPPED",D1673="UNMAPPED"),"Unmapped",IF(F1673=0,"Blank qty",IF(F1673&lt;0,"Return","OK")))))</f>
        <v>OK</v>
      </c>
      <c r="L1673" s="36" t="n">
        <f aca="false">IF(Raw_Export!$A1673="","",IF(OR(K1673="OK",K1673="Return"),1,0))</f>
        <v>1</v>
      </c>
      <c r="M1673" s="37" t="n">
        <f aca="false">IF(Raw_Export!$A1673="","",B1673-WEEKDAY(B1673,2)+1)</f>
        <v>46272</v>
      </c>
    </row>
    <row r="1674" customFormat="false" ht="15" hidden="false" customHeight="false" outlineLevel="0" collapsed="false">
      <c r="A1674" s="36" t="str">
        <f aca="false">IF(Raw_Export!$A1674="","",TRIM(Raw_Export!A1674))</f>
        <v>TXN-101639</v>
      </c>
      <c r="B1674" s="37" t="n">
        <f aca="false">IF(Raw_Export!$A1674="","",IF(ISNUMBER(Raw_Export!B1674),Raw_Export!B1674,IF(MID(TRIM(Raw_Export!B1674),5,1)="-",DATE(LEFT(TRIM(Raw_Export!B1674),4),MID(TRIM(Raw_Export!B1674),6,2),RIGHT(TRIM(Raw_Export!B1674),2)),DATE(RIGHT(TRIM(Raw_Export!B1674),4),MATCH(MID(TRIM(Raw_Export!B1674),4,3),{"Jan","Feb","Mar","Apr","May","Jun","Jul","Aug","Sep","Oct","Nov","Dec"},0),LEFT(TRIM(Raw_Export!B1674),2)))))</f>
        <v>46276</v>
      </c>
      <c r="C1674" s="36" t="str">
        <f aca="false">IF(Raw_Export!$A1674="","",IFERROR(VLOOKUP(LOWER(TRIM(Raw_Export!C1674)),Maps!$A$2:$B$20,2,FALSE()),"UNMAPPED"))</f>
        <v>Nairobi CBD</v>
      </c>
      <c r="D1674" s="36" t="str">
        <f aca="false">IF(Raw_Export!$A1674="","",IFERROR(VLOOKUP(LOWER(TRIM(Raw_Export!D1674)),Maps!$G$2:$I$80,2,FALSE()),"UNMAPPED"))</f>
        <v>Biscuits 200g</v>
      </c>
      <c r="E1674" s="36" t="str">
        <f aca="false">IF(Raw_Export!$A1674="","",IFERROR(VLOOKUP(LOWER(TRIM(Raw_Export!D1674)),Maps!$G$2:$I$80,3,FALSE()),"UNMAPPED"))</f>
        <v>Snacks</v>
      </c>
      <c r="F1674" s="36" t="n">
        <f aca="false">IF(Raw_Export!$A1674="","",IFERROR(VALUE(TRIM(Raw_Export!E1674)),0))</f>
        <v>1</v>
      </c>
      <c r="G1674" s="38" t="n">
        <f aca="false">IF(Raw_Export!$A1674="","",IFERROR(VALUE(SUBSTITUTE(SUBSTITUTE(UPPER(TRIM(Raw_Export!F1674)),"KES",""),",","")),0))</f>
        <v>95</v>
      </c>
      <c r="H1674" s="38" t="n">
        <f aca="false">IF(Raw_Export!$A1674="","",F1674*G1674)</f>
        <v>95</v>
      </c>
      <c r="I1674" s="36" t="str">
        <f aca="false">IF(Raw_Export!$A1674="","",IFERROR(VLOOKUP(LOWER(TRIM(Raw_Export!H1674)),Maps!$D$2:$E$12,2,FALSE()),"Other"))</f>
        <v>Cash</v>
      </c>
      <c r="J1674" s="36" t="str">
        <f aca="false">IF(Raw_Export!$A1674="","",IF(COUNTIF($A$2:A1674,A1674)&gt;1,"Duplicate",""))</f>
        <v/>
      </c>
      <c r="K1674" s="36" t="str">
        <f aca="false">IF(Raw_Export!$A1674="","",IF(J1674="Duplicate","Duplicate",IF(OR(C1674="UNMAPPED",D1674="UNMAPPED"),"Unmapped",IF(F1674=0,"Blank qty",IF(F1674&lt;0,"Return","OK")))))</f>
        <v>OK</v>
      </c>
      <c r="L1674" s="36" t="n">
        <f aca="false">IF(Raw_Export!$A1674="","",IF(OR(K1674="OK",K1674="Return"),1,0))</f>
        <v>1</v>
      </c>
      <c r="M1674" s="37" t="n">
        <f aca="false">IF(Raw_Export!$A1674="","",B1674-WEEKDAY(B1674,2)+1)</f>
        <v>46272</v>
      </c>
    </row>
    <row r="1675" customFormat="false" ht="15" hidden="false" customHeight="false" outlineLevel="0" collapsed="false">
      <c r="A1675" s="36" t="str">
        <f aca="false">IF(Raw_Export!$A1675="","",TRIM(Raw_Export!A1675))</f>
        <v>TXN-101640</v>
      </c>
      <c r="B1675" s="37" t="n">
        <f aca="false">IF(Raw_Export!$A1675="","",IF(ISNUMBER(Raw_Export!B1675),Raw_Export!B1675,IF(MID(TRIM(Raw_Export!B1675),5,1)="-",DATE(LEFT(TRIM(Raw_Export!B1675),4),MID(TRIM(Raw_Export!B1675),6,2),RIGHT(TRIM(Raw_Export!B1675),2)),DATE(RIGHT(TRIM(Raw_Export!B1675),4),MATCH(MID(TRIM(Raw_Export!B1675),4,3),{"Jan","Feb","Mar","Apr","May","Jun","Jul","Aug","Sep","Oct","Nov","Dec"},0),LEFT(TRIM(Raw_Export!B1675),2)))))</f>
        <v>46276</v>
      </c>
      <c r="C1675" s="36" t="str">
        <f aca="false">IF(Raw_Export!$A1675="","",IFERROR(VLOOKUP(LOWER(TRIM(Raw_Export!C1675)),Maps!$A$2:$B$20,2,FALSE()),"UNMAPPED"))</f>
        <v>Nairobi CBD</v>
      </c>
      <c r="D1675" s="36" t="str">
        <f aca="false">IF(Raw_Export!$A1675="","",IFERROR(VLOOKUP(LOWER(TRIM(Raw_Export!D1675)),Maps!$G$2:$I$80,2,FALSE()),"UNMAPPED"))</f>
        <v>Yoghurt 500ml</v>
      </c>
      <c r="E1675" s="36" t="str">
        <f aca="false">IF(Raw_Export!$A1675="","",IFERROR(VLOOKUP(LOWER(TRIM(Raw_Export!D1675)),Maps!$G$2:$I$80,3,FALSE()),"UNMAPPED"))</f>
        <v>Dairy &amp; Eggs</v>
      </c>
      <c r="F1675" s="36" t="n">
        <f aca="false">IF(Raw_Export!$A1675="","",IFERROR(VALUE(TRIM(Raw_Export!E1675)),0))</f>
        <v>4</v>
      </c>
      <c r="G1675" s="38" t="n">
        <f aca="false">IF(Raw_Export!$A1675="","",IFERROR(VALUE(SUBSTITUTE(SUBSTITUTE(UPPER(TRIM(Raw_Export!F1675)),"KES",""),",","")),0))</f>
        <v>120</v>
      </c>
      <c r="H1675" s="38" t="n">
        <f aca="false">IF(Raw_Export!$A1675="","",F1675*G1675)</f>
        <v>480</v>
      </c>
      <c r="I1675" s="36" t="str">
        <f aca="false">IF(Raw_Export!$A1675="","",IFERROR(VLOOKUP(LOWER(TRIM(Raw_Export!H1675)),Maps!$D$2:$E$12,2,FALSE()),"Other"))</f>
        <v>Card</v>
      </c>
      <c r="J1675" s="36" t="str">
        <f aca="false">IF(Raw_Export!$A1675="","",IF(COUNTIF($A$2:A1675,A1675)&gt;1,"Duplicate",""))</f>
        <v/>
      </c>
      <c r="K1675" s="36" t="str">
        <f aca="false">IF(Raw_Export!$A1675="","",IF(J1675="Duplicate","Duplicate",IF(OR(C1675="UNMAPPED",D1675="UNMAPPED"),"Unmapped",IF(F1675=0,"Blank qty",IF(F1675&lt;0,"Return","OK")))))</f>
        <v>OK</v>
      </c>
      <c r="L1675" s="36" t="n">
        <f aca="false">IF(Raw_Export!$A1675="","",IF(OR(K1675="OK",K1675="Return"),1,0))</f>
        <v>1</v>
      </c>
      <c r="M1675" s="37" t="n">
        <f aca="false">IF(Raw_Export!$A1675="","",B1675-WEEKDAY(B1675,2)+1)</f>
        <v>46272</v>
      </c>
    </row>
    <row r="1676" customFormat="false" ht="15" hidden="false" customHeight="false" outlineLevel="0" collapsed="false">
      <c r="A1676" s="36" t="str">
        <f aca="false">IF(Raw_Export!$A1676="","",TRIM(Raw_Export!A1676))</f>
        <v>TXN-101641</v>
      </c>
      <c r="B1676" s="37" t="n">
        <f aca="false">IF(Raw_Export!$A1676="","",IF(ISNUMBER(Raw_Export!B1676),Raw_Export!B1676,IF(MID(TRIM(Raw_Export!B1676),5,1)="-",DATE(LEFT(TRIM(Raw_Export!B1676),4),MID(TRIM(Raw_Export!B1676),6,2),RIGHT(TRIM(Raw_Export!B1676),2)),DATE(RIGHT(TRIM(Raw_Export!B1676),4),MATCH(MID(TRIM(Raw_Export!B1676),4,3),{"Jan","Feb","Mar","Apr","May","Jun","Jul","Aug","Sep","Oct","Nov","Dec"},0),LEFT(TRIM(Raw_Export!B1676),2)))))</f>
        <v>46276</v>
      </c>
      <c r="C1676" s="36" t="str">
        <f aca="false">IF(Raw_Export!$A1676="","",IFERROR(VLOOKUP(LOWER(TRIM(Raw_Export!C1676)),Maps!$A$2:$B$20,2,FALSE()),"UNMAPPED"))</f>
        <v>Nairobi CBD</v>
      </c>
      <c r="D1676" s="36" t="str">
        <f aca="false">IF(Raw_Export!$A1676="","",IFERROR(VLOOKUP(LOWER(TRIM(Raw_Export!D1676)),Maps!$G$2:$I$80,2,FALSE()),"UNMAPPED"))</f>
        <v>Bleach 1L</v>
      </c>
      <c r="E1676" s="36" t="str">
        <f aca="false">IF(Raw_Export!$A1676="","",IFERROR(VLOOKUP(LOWER(TRIM(Raw_Export!D1676)),Maps!$G$2:$I$80,3,FALSE()),"UNMAPPED"))</f>
        <v>Household</v>
      </c>
      <c r="F1676" s="36" t="n">
        <f aca="false">IF(Raw_Export!$A1676="","",IFERROR(VALUE(TRIM(Raw_Export!E1676)),0))</f>
        <v>3</v>
      </c>
      <c r="G1676" s="38" t="n">
        <f aca="false">IF(Raw_Export!$A1676="","",IFERROR(VALUE(SUBSTITUTE(SUBSTITUTE(UPPER(TRIM(Raw_Export!F1676)),"KES",""),",","")),0))</f>
        <v>160</v>
      </c>
      <c r="H1676" s="38" t="n">
        <f aca="false">IF(Raw_Export!$A1676="","",F1676*G1676)</f>
        <v>480</v>
      </c>
      <c r="I1676" s="36" t="str">
        <f aca="false">IF(Raw_Export!$A1676="","",IFERROR(VLOOKUP(LOWER(TRIM(Raw_Export!H1676)),Maps!$D$2:$E$12,2,FALSE()),"Other"))</f>
        <v>Cash</v>
      </c>
      <c r="J1676" s="36" t="str">
        <f aca="false">IF(Raw_Export!$A1676="","",IF(COUNTIF($A$2:A1676,A1676)&gt;1,"Duplicate",""))</f>
        <v/>
      </c>
      <c r="K1676" s="36" t="str">
        <f aca="false">IF(Raw_Export!$A1676="","",IF(J1676="Duplicate","Duplicate",IF(OR(C1676="UNMAPPED",D1676="UNMAPPED"),"Unmapped",IF(F1676=0,"Blank qty",IF(F1676&lt;0,"Return","OK")))))</f>
        <v>OK</v>
      </c>
      <c r="L1676" s="36" t="n">
        <f aca="false">IF(Raw_Export!$A1676="","",IF(OR(K1676="OK",K1676="Return"),1,0))</f>
        <v>1</v>
      </c>
      <c r="M1676" s="37" t="n">
        <f aca="false">IF(Raw_Export!$A1676="","",B1676-WEEKDAY(B1676,2)+1)</f>
        <v>46272</v>
      </c>
    </row>
    <row r="1677" customFormat="false" ht="15" hidden="false" customHeight="false" outlineLevel="0" collapsed="false">
      <c r="A1677" s="36" t="str">
        <f aca="false">IF(Raw_Export!$A1677="","",TRIM(Raw_Export!A1677))</f>
        <v>TXN-101642</v>
      </c>
      <c r="B1677" s="37" t="n">
        <f aca="false">IF(Raw_Export!$A1677="","",IF(ISNUMBER(Raw_Export!B1677),Raw_Export!B1677,IF(MID(TRIM(Raw_Export!B1677),5,1)="-",DATE(LEFT(TRIM(Raw_Export!B1677),4),MID(TRIM(Raw_Export!B1677),6,2),RIGHT(TRIM(Raw_Export!B1677),2)),DATE(RIGHT(TRIM(Raw_Export!B1677),4),MATCH(MID(TRIM(Raw_Export!B1677),4,3),{"Jan","Feb","Mar","Apr","May","Jun","Jul","Aug","Sep","Oct","Nov","Dec"},0),LEFT(TRIM(Raw_Export!B1677),2)))))</f>
        <v>46276</v>
      </c>
      <c r="C1677" s="36" t="str">
        <f aca="false">IF(Raw_Export!$A1677="","",IFERROR(VLOOKUP(LOWER(TRIM(Raw_Export!C1677)),Maps!$A$2:$B$20,2,FALSE()),"UNMAPPED"))</f>
        <v>Nairobi CBD</v>
      </c>
      <c r="D1677" s="36" t="str">
        <f aca="false">IF(Raw_Export!$A1677="","",IFERROR(VLOOKUP(LOWER(TRIM(Raw_Export!D1677)),Maps!$G$2:$I$80,2,FALSE()),"UNMAPPED"))</f>
        <v>Washing Powder 1kg</v>
      </c>
      <c r="E1677" s="36" t="str">
        <f aca="false">IF(Raw_Export!$A1677="","",IFERROR(VLOOKUP(LOWER(TRIM(Raw_Export!D1677)),Maps!$G$2:$I$80,3,FALSE()),"UNMAPPED"))</f>
        <v>Household</v>
      </c>
      <c r="F1677" s="36" t="n">
        <f aca="false">IF(Raw_Export!$A1677="","",IFERROR(VALUE(TRIM(Raw_Export!E1677)),0))</f>
        <v>2</v>
      </c>
      <c r="G1677" s="38" t="n">
        <f aca="false">IF(Raw_Export!$A1677="","",IFERROR(VALUE(SUBSTITUTE(SUBSTITUTE(UPPER(TRIM(Raw_Export!F1677)),"KES",""),",","")),0))</f>
        <v>280</v>
      </c>
      <c r="H1677" s="38" t="n">
        <f aca="false">IF(Raw_Export!$A1677="","",F1677*G1677)</f>
        <v>560</v>
      </c>
      <c r="I1677" s="36" t="str">
        <f aca="false">IF(Raw_Export!$A1677="","",IFERROR(VLOOKUP(LOWER(TRIM(Raw_Export!H1677)),Maps!$D$2:$E$12,2,FALSE()),"Other"))</f>
        <v>Cash</v>
      </c>
      <c r="J1677" s="36" t="str">
        <f aca="false">IF(Raw_Export!$A1677="","",IF(COUNTIF($A$2:A1677,A1677)&gt;1,"Duplicate",""))</f>
        <v/>
      </c>
      <c r="K1677" s="36" t="str">
        <f aca="false">IF(Raw_Export!$A1677="","",IF(J1677="Duplicate","Duplicate",IF(OR(C1677="UNMAPPED",D1677="UNMAPPED"),"Unmapped",IF(F1677=0,"Blank qty",IF(F1677&lt;0,"Return","OK")))))</f>
        <v>OK</v>
      </c>
      <c r="L1677" s="36" t="n">
        <f aca="false">IF(Raw_Export!$A1677="","",IF(OR(K1677="OK",K1677="Return"),1,0))</f>
        <v>1</v>
      </c>
      <c r="M1677" s="37" t="n">
        <f aca="false">IF(Raw_Export!$A1677="","",B1677-WEEKDAY(B1677,2)+1)</f>
        <v>46272</v>
      </c>
    </row>
    <row r="1678" customFormat="false" ht="15" hidden="false" customHeight="false" outlineLevel="0" collapsed="false">
      <c r="A1678" s="36" t="str">
        <f aca="false">IF(Raw_Export!$A1678="","",TRIM(Raw_Export!A1678))</f>
        <v>TXN-101643</v>
      </c>
      <c r="B1678" s="37" t="n">
        <f aca="false">IF(Raw_Export!$A1678="","",IF(ISNUMBER(Raw_Export!B1678),Raw_Export!B1678,IF(MID(TRIM(Raw_Export!B1678),5,1)="-",DATE(LEFT(TRIM(Raw_Export!B1678),4),MID(TRIM(Raw_Export!B1678),6,2),RIGHT(TRIM(Raw_Export!B1678),2)),DATE(RIGHT(TRIM(Raw_Export!B1678),4),MATCH(MID(TRIM(Raw_Export!B1678),4,3),{"Jan","Feb","Mar","Apr","May","Jun","Jul","Aug","Sep","Oct","Nov","Dec"},0),LEFT(TRIM(Raw_Export!B1678),2)))))</f>
        <v>46276</v>
      </c>
      <c r="C1678" s="36" t="str">
        <f aca="false">IF(Raw_Export!$A1678="","",IFERROR(VLOOKUP(LOWER(TRIM(Raw_Export!C1678)),Maps!$A$2:$B$20,2,FALSE()),"UNMAPPED"))</f>
        <v>Nairobi CBD</v>
      </c>
      <c r="D1678" s="36" t="str">
        <f aca="false">IF(Raw_Export!$A1678="","",IFERROR(VLOOKUP(LOWER(TRIM(Raw_Export!D1678)),Maps!$G$2:$I$80,2,FALSE()),"UNMAPPED"))</f>
        <v>Soda 500ml</v>
      </c>
      <c r="E1678" s="36" t="str">
        <f aca="false">IF(Raw_Export!$A1678="","",IFERROR(VLOOKUP(LOWER(TRIM(Raw_Export!D1678)),Maps!$G$2:$I$80,3,FALSE()),"UNMAPPED"))</f>
        <v>Beverages</v>
      </c>
      <c r="F1678" s="36" t="n">
        <f aca="false">IF(Raw_Export!$A1678="","",IFERROR(VALUE(TRIM(Raw_Export!E1678)),0))</f>
        <v>2</v>
      </c>
      <c r="G1678" s="38" t="n">
        <f aca="false">IF(Raw_Export!$A1678="","",IFERROR(VALUE(SUBSTITUTE(SUBSTITUTE(UPPER(TRIM(Raw_Export!F1678)),"KES",""),",","")),0))</f>
        <v>60</v>
      </c>
      <c r="H1678" s="38" t="n">
        <f aca="false">IF(Raw_Export!$A1678="","",F1678*G1678)</f>
        <v>120</v>
      </c>
      <c r="I1678" s="36" t="str">
        <f aca="false">IF(Raw_Export!$A1678="","",IFERROR(VLOOKUP(LOWER(TRIM(Raw_Export!H1678)),Maps!$D$2:$E$12,2,FALSE()),"Other"))</f>
        <v>M-Pesa</v>
      </c>
      <c r="J1678" s="36" t="str">
        <f aca="false">IF(Raw_Export!$A1678="","",IF(COUNTIF($A$2:A1678,A1678)&gt;1,"Duplicate",""))</f>
        <v/>
      </c>
      <c r="K1678" s="36" t="str">
        <f aca="false">IF(Raw_Export!$A1678="","",IF(J1678="Duplicate","Duplicate",IF(OR(C1678="UNMAPPED",D1678="UNMAPPED"),"Unmapped",IF(F1678=0,"Blank qty",IF(F1678&lt;0,"Return","OK")))))</f>
        <v>OK</v>
      </c>
      <c r="L1678" s="36" t="n">
        <f aca="false">IF(Raw_Export!$A1678="","",IF(OR(K1678="OK",K1678="Return"),1,0))</f>
        <v>1</v>
      </c>
      <c r="M1678" s="37" t="n">
        <f aca="false">IF(Raw_Export!$A1678="","",B1678-WEEKDAY(B1678,2)+1)</f>
        <v>46272</v>
      </c>
    </row>
    <row r="1679" customFormat="false" ht="15" hidden="false" customHeight="false" outlineLevel="0" collapsed="false">
      <c r="A1679" s="36" t="str">
        <f aca="false">IF(Raw_Export!$A1679="","",TRIM(Raw_Export!A1679))</f>
        <v>TXN-101644</v>
      </c>
      <c r="B1679" s="37" t="n">
        <f aca="false">IF(Raw_Export!$A1679="","",IF(ISNUMBER(Raw_Export!B1679),Raw_Export!B1679,IF(MID(TRIM(Raw_Export!B1679),5,1)="-",DATE(LEFT(TRIM(Raw_Export!B1679),4),MID(TRIM(Raw_Export!B1679),6,2),RIGHT(TRIM(Raw_Export!B1679),2)),DATE(RIGHT(TRIM(Raw_Export!B1679),4),MATCH(MID(TRIM(Raw_Export!B1679),4,3),{"Jan","Feb","Mar","Apr","May","Jun","Jul","Aug","Sep","Oct","Nov","Dec"},0),LEFT(TRIM(Raw_Export!B1679),2)))))</f>
        <v>46276</v>
      </c>
      <c r="C1679" s="36" t="str">
        <f aca="false">IF(Raw_Export!$A1679="","",IFERROR(VLOOKUP(LOWER(TRIM(Raw_Export!C1679)),Maps!$A$2:$B$20,2,FALSE()),"UNMAPPED"))</f>
        <v>Nairobi CBD</v>
      </c>
      <c r="D1679" s="36" t="str">
        <f aca="false">IF(Raw_Export!$A1679="","",IFERROR(VLOOKUP(LOWER(TRIM(Raw_Export!D1679)),Maps!$G$2:$I$80,2,FALSE()),"UNMAPPED"))</f>
        <v>Bath Soap 175g</v>
      </c>
      <c r="E1679" s="36" t="str">
        <f aca="false">IF(Raw_Export!$A1679="","",IFERROR(VLOOKUP(LOWER(TRIM(Raw_Export!D1679)),Maps!$G$2:$I$80,3,FALSE()),"UNMAPPED"))</f>
        <v>Personal Care</v>
      </c>
      <c r="F1679" s="36" t="n">
        <f aca="false">IF(Raw_Export!$A1679="","",IFERROR(VALUE(TRIM(Raw_Export!E1679)),0))</f>
        <v>1</v>
      </c>
      <c r="G1679" s="38" t="n">
        <f aca="false">IF(Raw_Export!$A1679="","",IFERROR(VALUE(SUBSTITUTE(SUBSTITUTE(UPPER(TRIM(Raw_Export!F1679)),"KES",""),",","")),0))</f>
        <v>85</v>
      </c>
      <c r="H1679" s="38" t="n">
        <f aca="false">IF(Raw_Export!$A1679="","",F1679*G1679)</f>
        <v>85</v>
      </c>
      <c r="I1679" s="36" t="str">
        <f aca="false">IF(Raw_Export!$A1679="","",IFERROR(VLOOKUP(LOWER(TRIM(Raw_Export!H1679)),Maps!$D$2:$E$12,2,FALSE()),"Other"))</f>
        <v>Cash</v>
      </c>
      <c r="J1679" s="36" t="str">
        <f aca="false">IF(Raw_Export!$A1679="","",IF(COUNTIF($A$2:A1679,A1679)&gt;1,"Duplicate",""))</f>
        <v/>
      </c>
      <c r="K1679" s="36" t="str">
        <f aca="false">IF(Raw_Export!$A1679="","",IF(J1679="Duplicate","Duplicate",IF(OR(C1679="UNMAPPED",D1679="UNMAPPED"),"Unmapped",IF(F1679=0,"Blank qty",IF(F1679&lt;0,"Return","OK")))))</f>
        <v>OK</v>
      </c>
      <c r="L1679" s="36" t="n">
        <f aca="false">IF(Raw_Export!$A1679="","",IF(OR(K1679="OK",K1679="Return"),1,0))</f>
        <v>1</v>
      </c>
      <c r="M1679" s="37" t="n">
        <f aca="false">IF(Raw_Export!$A1679="","",B1679-WEEKDAY(B1679,2)+1)</f>
        <v>46272</v>
      </c>
    </row>
    <row r="1680" customFormat="false" ht="15" hidden="false" customHeight="false" outlineLevel="0" collapsed="false">
      <c r="A1680" s="36" t="str">
        <f aca="false">IF(Raw_Export!$A1680="","",TRIM(Raw_Export!A1680))</f>
        <v>TXN-101645</v>
      </c>
      <c r="B1680" s="37" t="n">
        <f aca="false">IF(Raw_Export!$A1680="","",IF(ISNUMBER(Raw_Export!B1680),Raw_Export!B1680,IF(MID(TRIM(Raw_Export!B1680),5,1)="-",DATE(LEFT(TRIM(Raw_Export!B1680),4),MID(TRIM(Raw_Export!B1680),6,2),RIGHT(TRIM(Raw_Export!B1680),2)),DATE(RIGHT(TRIM(Raw_Export!B1680),4),MATCH(MID(TRIM(Raw_Export!B1680),4,3),{"Jan","Feb","Mar","Apr","May","Jun","Jul","Aug","Sep","Oct","Nov","Dec"},0),LEFT(TRIM(Raw_Export!B1680),2)))))</f>
        <v>46276</v>
      </c>
      <c r="C1680" s="36" t="str">
        <f aca="false">IF(Raw_Export!$A1680="","",IFERROR(VLOOKUP(LOWER(TRIM(Raw_Export!C1680)),Maps!$A$2:$B$20,2,FALSE()),"UNMAPPED"))</f>
        <v>Nairobi CBD</v>
      </c>
      <c r="D1680" s="36" t="str">
        <f aca="false">IF(Raw_Export!$A1680="","",IFERROR(VLOOKUP(LOWER(TRIM(Raw_Export!D1680)),Maps!$G$2:$I$80,2,FALSE()),"UNMAPPED"))</f>
        <v>Eggs Tray 30</v>
      </c>
      <c r="E1680" s="36" t="str">
        <f aca="false">IF(Raw_Export!$A1680="","",IFERROR(VLOOKUP(LOWER(TRIM(Raw_Export!D1680)),Maps!$G$2:$I$80,3,FALSE()),"UNMAPPED"))</f>
        <v>Dairy &amp; Eggs</v>
      </c>
      <c r="F1680" s="36" t="n">
        <f aca="false">IF(Raw_Export!$A1680="","",IFERROR(VALUE(TRIM(Raw_Export!E1680)),0))</f>
        <v>1</v>
      </c>
      <c r="G1680" s="38" t="n">
        <f aca="false">IF(Raw_Export!$A1680="","",IFERROR(VALUE(SUBSTITUTE(SUBSTITUTE(UPPER(TRIM(Raw_Export!F1680)),"KES",""),",","")),0))</f>
        <v>450</v>
      </c>
      <c r="H1680" s="38" t="n">
        <f aca="false">IF(Raw_Export!$A1680="","",F1680*G1680)</f>
        <v>450</v>
      </c>
      <c r="I1680" s="36" t="str">
        <f aca="false">IF(Raw_Export!$A1680="","",IFERROR(VLOOKUP(LOWER(TRIM(Raw_Export!H1680)),Maps!$D$2:$E$12,2,FALSE()),"Other"))</f>
        <v>Cash</v>
      </c>
      <c r="J1680" s="36" t="str">
        <f aca="false">IF(Raw_Export!$A1680="","",IF(COUNTIF($A$2:A1680,A1680)&gt;1,"Duplicate",""))</f>
        <v/>
      </c>
      <c r="K1680" s="36" t="str">
        <f aca="false">IF(Raw_Export!$A1680="","",IF(J1680="Duplicate","Duplicate",IF(OR(C1680="UNMAPPED",D1680="UNMAPPED"),"Unmapped",IF(F1680=0,"Blank qty",IF(F1680&lt;0,"Return","OK")))))</f>
        <v>OK</v>
      </c>
      <c r="L1680" s="36" t="n">
        <f aca="false">IF(Raw_Export!$A1680="","",IF(OR(K1680="OK",K1680="Return"),1,0))</f>
        <v>1</v>
      </c>
      <c r="M1680" s="37" t="n">
        <f aca="false">IF(Raw_Export!$A1680="","",B1680-WEEKDAY(B1680,2)+1)</f>
        <v>46272</v>
      </c>
    </row>
    <row r="1681" customFormat="false" ht="15" hidden="false" customHeight="false" outlineLevel="0" collapsed="false">
      <c r="A1681" s="36" t="str">
        <f aca="false">IF(Raw_Export!$A1681="","",TRIM(Raw_Export!A1681))</f>
        <v>TXN-101646</v>
      </c>
      <c r="B1681" s="37" t="n">
        <f aca="false">IF(Raw_Export!$A1681="","",IF(ISNUMBER(Raw_Export!B1681),Raw_Export!B1681,IF(MID(TRIM(Raw_Export!B1681),5,1)="-",DATE(LEFT(TRIM(Raw_Export!B1681),4),MID(TRIM(Raw_Export!B1681),6,2),RIGHT(TRIM(Raw_Export!B1681),2)),DATE(RIGHT(TRIM(Raw_Export!B1681),4),MATCH(MID(TRIM(Raw_Export!B1681),4,3),{"Jan","Feb","Mar","Apr","May","Jun","Jul","Aug","Sep","Oct","Nov","Dec"},0),LEFT(TRIM(Raw_Export!B1681),2)))))</f>
        <v>46276</v>
      </c>
      <c r="C1681" s="36" t="str">
        <f aca="false">IF(Raw_Export!$A1681="","",IFERROR(VLOOKUP(LOWER(TRIM(Raw_Export!C1681)),Maps!$A$2:$B$20,2,FALSE()),"UNMAPPED"))</f>
        <v>Nairobi CBD</v>
      </c>
      <c r="D1681" s="36" t="str">
        <f aca="false">IF(Raw_Export!$A1681="","",IFERROR(VLOOKUP(LOWER(TRIM(Raw_Export!D1681)),Maps!$G$2:$I$80,2,FALSE()),"UNMAPPED"))</f>
        <v>Cheddar 200g</v>
      </c>
      <c r="E1681" s="36" t="str">
        <f aca="false">IF(Raw_Export!$A1681="","",IFERROR(VLOOKUP(LOWER(TRIM(Raw_Export!D1681)),Maps!$G$2:$I$80,3,FALSE()),"UNMAPPED"))</f>
        <v>Dairy &amp; Eggs</v>
      </c>
      <c r="F1681" s="36" t="n">
        <f aca="false">IF(Raw_Export!$A1681="","",IFERROR(VALUE(TRIM(Raw_Export!E1681)),0))</f>
        <v>3</v>
      </c>
      <c r="G1681" s="38" t="n">
        <f aca="false">IF(Raw_Export!$A1681="","",IFERROR(VALUE(SUBSTITUTE(SUBSTITUTE(UPPER(TRIM(Raw_Export!F1681)),"KES",""),",","")),0))</f>
        <v>380</v>
      </c>
      <c r="H1681" s="38" t="n">
        <f aca="false">IF(Raw_Export!$A1681="","",F1681*G1681)</f>
        <v>1140</v>
      </c>
      <c r="I1681" s="36" t="str">
        <f aca="false">IF(Raw_Export!$A1681="","",IFERROR(VLOOKUP(LOWER(TRIM(Raw_Export!H1681)),Maps!$D$2:$E$12,2,FALSE()),"Other"))</f>
        <v>Card</v>
      </c>
      <c r="J1681" s="36" t="str">
        <f aca="false">IF(Raw_Export!$A1681="","",IF(COUNTIF($A$2:A1681,A1681)&gt;1,"Duplicate",""))</f>
        <v/>
      </c>
      <c r="K1681" s="36" t="str">
        <f aca="false">IF(Raw_Export!$A1681="","",IF(J1681="Duplicate","Duplicate",IF(OR(C1681="UNMAPPED",D1681="UNMAPPED"),"Unmapped",IF(F1681=0,"Blank qty",IF(F1681&lt;0,"Return","OK")))))</f>
        <v>OK</v>
      </c>
      <c r="L1681" s="36" t="n">
        <f aca="false">IF(Raw_Export!$A1681="","",IF(OR(K1681="OK",K1681="Return"),1,0))</f>
        <v>1</v>
      </c>
      <c r="M1681" s="37" t="n">
        <f aca="false">IF(Raw_Export!$A1681="","",B1681-WEEKDAY(B1681,2)+1)</f>
        <v>46272</v>
      </c>
    </row>
    <row r="1682" customFormat="false" ht="15" hidden="false" customHeight="false" outlineLevel="0" collapsed="false">
      <c r="A1682" s="36" t="str">
        <f aca="false">IF(Raw_Export!$A1682="","",TRIM(Raw_Export!A1682))</f>
        <v>TXN-101647</v>
      </c>
      <c r="B1682" s="37" t="n">
        <f aca="false">IF(Raw_Export!$A1682="","",IF(ISNUMBER(Raw_Export!B1682),Raw_Export!B1682,IF(MID(TRIM(Raw_Export!B1682),5,1)="-",DATE(LEFT(TRIM(Raw_Export!B1682),4),MID(TRIM(Raw_Export!B1682),6,2),RIGHT(TRIM(Raw_Export!B1682),2)),DATE(RIGHT(TRIM(Raw_Export!B1682),4),MATCH(MID(TRIM(Raw_Export!B1682),4,3),{"Jan","Feb","Mar","Apr","May","Jun","Jul","Aug","Sep","Oct","Nov","Dec"},0),LEFT(TRIM(Raw_Export!B1682),2)))))</f>
        <v>46276</v>
      </c>
      <c r="C1682" s="36" t="str">
        <f aca="false">IF(Raw_Export!$A1682="","",IFERROR(VLOOKUP(LOWER(TRIM(Raw_Export!C1682)),Maps!$A$2:$B$20,2,FALSE()),"UNMAPPED"))</f>
        <v>Westlands</v>
      </c>
      <c r="D1682" s="36" t="str">
        <f aca="false">IF(Raw_Export!$A1682="","",IFERROR(VLOOKUP(LOWER(TRIM(Raw_Export!D1682)),Maps!$G$2:$I$80,2,FALSE()),"UNMAPPED"))</f>
        <v>Bath Soap 175g</v>
      </c>
      <c r="E1682" s="36" t="str">
        <f aca="false">IF(Raw_Export!$A1682="","",IFERROR(VLOOKUP(LOWER(TRIM(Raw_Export!D1682)),Maps!$G$2:$I$80,3,FALSE()),"UNMAPPED"))</f>
        <v>Personal Care</v>
      </c>
      <c r="F1682" s="36" t="n">
        <f aca="false">IF(Raw_Export!$A1682="","",IFERROR(VALUE(TRIM(Raw_Export!E1682)),0))</f>
        <v>1</v>
      </c>
      <c r="G1682" s="38" t="n">
        <f aca="false">IF(Raw_Export!$A1682="","",IFERROR(VALUE(SUBSTITUTE(SUBSTITUTE(UPPER(TRIM(Raw_Export!F1682)),"KES",""),",","")),0))</f>
        <v>85</v>
      </c>
      <c r="H1682" s="38" t="n">
        <f aca="false">IF(Raw_Export!$A1682="","",F1682*G1682)</f>
        <v>85</v>
      </c>
      <c r="I1682" s="36" t="str">
        <f aca="false">IF(Raw_Export!$A1682="","",IFERROR(VLOOKUP(LOWER(TRIM(Raw_Export!H1682)),Maps!$D$2:$E$12,2,FALSE()),"Other"))</f>
        <v>Card</v>
      </c>
      <c r="J1682" s="36" t="str">
        <f aca="false">IF(Raw_Export!$A1682="","",IF(COUNTIF($A$2:A1682,A1682)&gt;1,"Duplicate",""))</f>
        <v/>
      </c>
      <c r="K1682" s="36" t="str">
        <f aca="false">IF(Raw_Export!$A1682="","",IF(J1682="Duplicate","Duplicate",IF(OR(C1682="UNMAPPED",D1682="UNMAPPED"),"Unmapped",IF(F1682=0,"Blank qty",IF(F1682&lt;0,"Return","OK")))))</f>
        <v>OK</v>
      </c>
      <c r="L1682" s="36" t="n">
        <f aca="false">IF(Raw_Export!$A1682="","",IF(OR(K1682="OK",K1682="Return"),1,0))</f>
        <v>1</v>
      </c>
      <c r="M1682" s="37" t="n">
        <f aca="false">IF(Raw_Export!$A1682="","",B1682-WEEKDAY(B1682,2)+1)</f>
        <v>46272</v>
      </c>
    </row>
    <row r="1683" customFormat="false" ht="15" hidden="false" customHeight="false" outlineLevel="0" collapsed="false">
      <c r="A1683" s="36" t="str">
        <f aca="false">IF(Raw_Export!$A1683="","",TRIM(Raw_Export!A1683))</f>
        <v>TXN-101648</v>
      </c>
      <c r="B1683" s="37" t="n">
        <f aca="false">IF(Raw_Export!$A1683="","",IF(ISNUMBER(Raw_Export!B1683),Raw_Export!B1683,IF(MID(TRIM(Raw_Export!B1683),5,1)="-",DATE(LEFT(TRIM(Raw_Export!B1683),4),MID(TRIM(Raw_Export!B1683),6,2),RIGHT(TRIM(Raw_Export!B1683),2)),DATE(RIGHT(TRIM(Raw_Export!B1683),4),MATCH(MID(TRIM(Raw_Export!B1683),4,3),{"Jan","Feb","Mar","Apr","May","Jun","Jul","Aug","Sep","Oct","Nov","Dec"},0),LEFT(TRIM(Raw_Export!B1683),2)))))</f>
        <v>46276</v>
      </c>
      <c r="C1683" s="36" t="str">
        <f aca="false">IF(Raw_Export!$A1683="","",IFERROR(VLOOKUP(LOWER(TRIM(Raw_Export!C1683)),Maps!$A$2:$B$20,2,FALSE()),"UNMAPPED"))</f>
        <v>Westlands</v>
      </c>
      <c r="D1683" s="36" t="str">
        <f aca="false">IF(Raw_Export!$A1683="","",IFERROR(VLOOKUP(LOWER(TRIM(Raw_Export!D1683)),Maps!$G$2:$I$80,2,FALSE()),"UNMAPPED"))</f>
        <v>Sanitary Pads 8pk</v>
      </c>
      <c r="E1683" s="36" t="str">
        <f aca="false">IF(Raw_Export!$A1683="","",IFERROR(VLOOKUP(LOWER(TRIM(Raw_Export!D1683)),Maps!$G$2:$I$80,3,FALSE()),"UNMAPPED"))</f>
        <v>Personal Care</v>
      </c>
      <c r="F1683" s="36" t="n">
        <f aca="false">IF(Raw_Export!$A1683="","",IFERROR(VALUE(TRIM(Raw_Export!E1683)),0))</f>
        <v>1</v>
      </c>
      <c r="G1683" s="38" t="n">
        <f aca="false">IF(Raw_Export!$A1683="","",IFERROR(VALUE(SUBSTITUTE(SUBSTITUTE(UPPER(TRIM(Raw_Export!F1683)),"KES",""),",","")),0))</f>
        <v>130</v>
      </c>
      <c r="H1683" s="38" t="n">
        <f aca="false">IF(Raw_Export!$A1683="","",F1683*G1683)</f>
        <v>130</v>
      </c>
      <c r="I1683" s="36" t="str">
        <f aca="false">IF(Raw_Export!$A1683="","",IFERROR(VLOOKUP(LOWER(TRIM(Raw_Export!H1683)),Maps!$D$2:$E$12,2,FALSE()),"Other"))</f>
        <v>Card</v>
      </c>
      <c r="J1683" s="36" t="str">
        <f aca="false">IF(Raw_Export!$A1683="","",IF(COUNTIF($A$2:A1683,A1683)&gt;1,"Duplicate",""))</f>
        <v/>
      </c>
      <c r="K1683" s="36" t="str">
        <f aca="false">IF(Raw_Export!$A1683="","",IF(J1683="Duplicate","Duplicate",IF(OR(C1683="UNMAPPED",D1683="UNMAPPED"),"Unmapped",IF(F1683=0,"Blank qty",IF(F1683&lt;0,"Return","OK")))))</f>
        <v>OK</v>
      </c>
      <c r="L1683" s="36" t="n">
        <f aca="false">IF(Raw_Export!$A1683="","",IF(OR(K1683="OK",K1683="Return"),1,0))</f>
        <v>1</v>
      </c>
      <c r="M1683" s="37" t="n">
        <f aca="false">IF(Raw_Export!$A1683="","",B1683-WEEKDAY(B1683,2)+1)</f>
        <v>46272</v>
      </c>
    </row>
    <row r="1684" customFormat="false" ht="15" hidden="false" customHeight="false" outlineLevel="0" collapsed="false">
      <c r="A1684" s="36" t="str">
        <f aca="false">IF(Raw_Export!$A1684="","",TRIM(Raw_Export!A1684))</f>
        <v>TXN-101649</v>
      </c>
      <c r="B1684" s="37" t="n">
        <f aca="false">IF(Raw_Export!$A1684="","",IF(ISNUMBER(Raw_Export!B1684),Raw_Export!B1684,IF(MID(TRIM(Raw_Export!B1684),5,1)="-",DATE(LEFT(TRIM(Raw_Export!B1684),4),MID(TRIM(Raw_Export!B1684),6,2),RIGHT(TRIM(Raw_Export!B1684),2)),DATE(RIGHT(TRIM(Raw_Export!B1684),4),MATCH(MID(TRIM(Raw_Export!B1684),4,3),{"Jan","Feb","Mar","Apr","May","Jun","Jul","Aug","Sep","Oct","Nov","Dec"},0),LEFT(TRIM(Raw_Export!B1684),2)))))</f>
        <v>46276</v>
      </c>
      <c r="C1684" s="36" t="str">
        <f aca="false">IF(Raw_Export!$A1684="","",IFERROR(VLOOKUP(LOWER(TRIM(Raw_Export!C1684)),Maps!$A$2:$B$20,2,FALSE()),"UNMAPPED"))</f>
        <v>Westlands</v>
      </c>
      <c r="D1684" s="36" t="str">
        <f aca="false">IF(Raw_Export!$A1684="","",IFERROR(VLOOKUP(LOWER(TRIM(Raw_Export!D1684)),Maps!$G$2:$I$80,2,FALSE()),"UNMAPPED"))</f>
        <v>Peanuts 250g</v>
      </c>
      <c r="E1684" s="36" t="str">
        <f aca="false">IF(Raw_Export!$A1684="","",IFERROR(VLOOKUP(LOWER(TRIM(Raw_Export!D1684)),Maps!$G$2:$I$80,3,FALSE()),"UNMAPPED"))</f>
        <v>Snacks</v>
      </c>
      <c r="F1684" s="36" t="n">
        <f aca="false">IF(Raw_Export!$A1684="","",IFERROR(VALUE(TRIM(Raw_Export!E1684)),0))</f>
        <v>4</v>
      </c>
      <c r="G1684" s="38" t="n">
        <f aca="false">IF(Raw_Export!$A1684="","",IFERROR(VALUE(SUBSTITUTE(SUBSTITUTE(UPPER(TRIM(Raw_Export!F1684)),"KES",""),",","")),0))</f>
        <v>130</v>
      </c>
      <c r="H1684" s="38" t="n">
        <f aca="false">IF(Raw_Export!$A1684="","",F1684*G1684)</f>
        <v>520</v>
      </c>
      <c r="I1684" s="36" t="str">
        <f aca="false">IF(Raw_Export!$A1684="","",IFERROR(VLOOKUP(LOWER(TRIM(Raw_Export!H1684)),Maps!$D$2:$E$12,2,FALSE()),"Other"))</f>
        <v>Cash</v>
      </c>
      <c r="J1684" s="36" t="str">
        <f aca="false">IF(Raw_Export!$A1684="","",IF(COUNTIF($A$2:A1684,A1684)&gt;1,"Duplicate",""))</f>
        <v/>
      </c>
      <c r="K1684" s="36" t="str">
        <f aca="false">IF(Raw_Export!$A1684="","",IF(J1684="Duplicate","Duplicate",IF(OR(C1684="UNMAPPED",D1684="UNMAPPED"),"Unmapped",IF(F1684=0,"Blank qty",IF(F1684&lt;0,"Return","OK")))))</f>
        <v>OK</v>
      </c>
      <c r="L1684" s="36" t="n">
        <f aca="false">IF(Raw_Export!$A1684="","",IF(OR(K1684="OK",K1684="Return"),1,0))</f>
        <v>1</v>
      </c>
      <c r="M1684" s="37" t="n">
        <f aca="false">IF(Raw_Export!$A1684="","",B1684-WEEKDAY(B1684,2)+1)</f>
        <v>46272</v>
      </c>
    </row>
    <row r="1685" customFormat="false" ht="15" hidden="false" customHeight="false" outlineLevel="0" collapsed="false">
      <c r="A1685" s="36" t="str">
        <f aca="false">IF(Raw_Export!$A1685="","",TRIM(Raw_Export!A1685))</f>
        <v>TXN-101650</v>
      </c>
      <c r="B1685" s="37" t="n">
        <f aca="false">IF(Raw_Export!$A1685="","",IF(ISNUMBER(Raw_Export!B1685),Raw_Export!B1685,IF(MID(TRIM(Raw_Export!B1685),5,1)="-",DATE(LEFT(TRIM(Raw_Export!B1685),4),MID(TRIM(Raw_Export!B1685),6,2),RIGHT(TRIM(Raw_Export!B1685),2)),DATE(RIGHT(TRIM(Raw_Export!B1685),4),MATCH(MID(TRIM(Raw_Export!B1685),4,3),{"Jan","Feb","Mar","Apr","May","Jun","Jul","Aug","Sep","Oct","Nov","Dec"},0),LEFT(TRIM(Raw_Export!B1685),2)))))</f>
        <v>46276</v>
      </c>
      <c r="C1685" s="36" t="str">
        <f aca="false">IF(Raw_Export!$A1685="","",IFERROR(VLOOKUP(LOWER(TRIM(Raw_Export!C1685)),Maps!$A$2:$B$20,2,FALSE()),"UNMAPPED"))</f>
        <v>Westlands</v>
      </c>
      <c r="D1685" s="36" t="str">
        <f aca="false">IF(Raw_Export!$A1685="","",IFERROR(VLOOKUP(LOWER(TRIM(Raw_Export!D1685)),Maps!$G$2:$I$80,2,FALSE()),"UNMAPPED"))</f>
        <v>Juice 1L</v>
      </c>
      <c r="E1685" s="36" t="str">
        <f aca="false">IF(Raw_Export!$A1685="","",IFERROR(VLOOKUP(LOWER(TRIM(Raw_Export!D1685)),Maps!$G$2:$I$80,3,FALSE()),"UNMAPPED"))</f>
        <v>Beverages</v>
      </c>
      <c r="F1685" s="36" t="n">
        <f aca="false">IF(Raw_Export!$A1685="","",IFERROR(VALUE(TRIM(Raw_Export!E1685)),0))</f>
        <v>1</v>
      </c>
      <c r="G1685" s="38" t="n">
        <f aca="false">IF(Raw_Export!$A1685="","",IFERROR(VALUE(SUBSTITUTE(SUBSTITUTE(UPPER(TRIM(Raw_Export!F1685)),"KES",""),",","")),0))</f>
        <v>210</v>
      </c>
      <c r="H1685" s="38" t="n">
        <f aca="false">IF(Raw_Export!$A1685="","",F1685*G1685)</f>
        <v>210</v>
      </c>
      <c r="I1685" s="36" t="str">
        <f aca="false">IF(Raw_Export!$A1685="","",IFERROR(VLOOKUP(LOWER(TRIM(Raw_Export!H1685)),Maps!$D$2:$E$12,2,FALSE()),"Other"))</f>
        <v>Cash</v>
      </c>
      <c r="J1685" s="36" t="str">
        <f aca="false">IF(Raw_Export!$A1685="","",IF(COUNTIF($A$2:A1685,A1685)&gt;1,"Duplicate",""))</f>
        <v/>
      </c>
      <c r="K1685" s="36" t="str">
        <f aca="false">IF(Raw_Export!$A1685="","",IF(J1685="Duplicate","Duplicate",IF(OR(C1685="UNMAPPED",D1685="UNMAPPED"),"Unmapped",IF(F1685=0,"Blank qty",IF(F1685&lt;0,"Return","OK")))))</f>
        <v>OK</v>
      </c>
      <c r="L1685" s="36" t="n">
        <f aca="false">IF(Raw_Export!$A1685="","",IF(OR(K1685="OK",K1685="Return"),1,0))</f>
        <v>1</v>
      </c>
      <c r="M1685" s="37" t="n">
        <f aca="false">IF(Raw_Export!$A1685="","",B1685-WEEKDAY(B1685,2)+1)</f>
        <v>46272</v>
      </c>
    </row>
    <row r="1686" customFormat="false" ht="15" hidden="false" customHeight="false" outlineLevel="0" collapsed="false">
      <c r="A1686" s="36" t="str">
        <f aca="false">IF(Raw_Export!$A1686="","",TRIM(Raw_Export!A1686))</f>
        <v>TXN-101651</v>
      </c>
      <c r="B1686" s="37" t="n">
        <f aca="false">IF(Raw_Export!$A1686="","",IF(ISNUMBER(Raw_Export!B1686),Raw_Export!B1686,IF(MID(TRIM(Raw_Export!B1686),5,1)="-",DATE(LEFT(TRIM(Raw_Export!B1686),4),MID(TRIM(Raw_Export!B1686),6,2),RIGHT(TRIM(Raw_Export!B1686),2)),DATE(RIGHT(TRIM(Raw_Export!B1686),4),MATCH(MID(TRIM(Raw_Export!B1686),4,3),{"Jan","Feb","Mar","Apr","May","Jun","Jul","Aug","Sep","Oct","Nov","Dec"},0),LEFT(TRIM(Raw_Export!B1686),2)))))</f>
        <v>46276</v>
      </c>
      <c r="C1686" s="36" t="str">
        <f aca="false">IF(Raw_Export!$A1686="","",IFERROR(VLOOKUP(LOWER(TRIM(Raw_Export!C1686)),Maps!$A$2:$B$20,2,FALSE()),"UNMAPPED"))</f>
        <v>Westlands</v>
      </c>
      <c r="D1686" s="36" t="str">
        <f aca="false">IF(Raw_Export!$A1686="","",IFERROR(VLOOKUP(LOWER(TRIM(Raw_Export!D1686)),Maps!$G$2:$I$80,2,FALSE()),"UNMAPPED"))</f>
        <v>Fresh Milk 500ml</v>
      </c>
      <c r="E1686" s="36" t="str">
        <f aca="false">IF(Raw_Export!$A1686="","",IFERROR(VLOOKUP(LOWER(TRIM(Raw_Export!D1686)),Maps!$G$2:$I$80,3,FALSE()),"UNMAPPED"))</f>
        <v>Dairy &amp; Eggs</v>
      </c>
      <c r="F1686" s="36" t="n">
        <f aca="false">IF(Raw_Export!$A1686="","",IFERROR(VALUE(TRIM(Raw_Export!E1686)),0))</f>
        <v>1</v>
      </c>
      <c r="G1686" s="38" t="n">
        <f aca="false">IF(Raw_Export!$A1686="","",IFERROR(VALUE(SUBSTITUTE(SUBSTITUTE(UPPER(TRIM(Raw_Export!F1686)),"KES",""),",","")),0))</f>
        <v>65</v>
      </c>
      <c r="H1686" s="38" t="n">
        <f aca="false">IF(Raw_Export!$A1686="","",F1686*G1686)</f>
        <v>65</v>
      </c>
      <c r="I1686" s="36" t="str">
        <f aca="false">IF(Raw_Export!$A1686="","",IFERROR(VLOOKUP(LOWER(TRIM(Raw_Export!H1686)),Maps!$D$2:$E$12,2,FALSE()),"Other"))</f>
        <v>M-Pesa</v>
      </c>
      <c r="J1686" s="36" t="str">
        <f aca="false">IF(Raw_Export!$A1686="","",IF(COUNTIF($A$2:A1686,A1686)&gt;1,"Duplicate",""))</f>
        <v/>
      </c>
      <c r="K1686" s="36" t="str">
        <f aca="false">IF(Raw_Export!$A1686="","",IF(J1686="Duplicate","Duplicate",IF(OR(C1686="UNMAPPED",D1686="UNMAPPED"),"Unmapped",IF(F1686=0,"Blank qty",IF(F1686&lt;0,"Return","OK")))))</f>
        <v>OK</v>
      </c>
      <c r="L1686" s="36" t="n">
        <f aca="false">IF(Raw_Export!$A1686="","",IF(OR(K1686="OK",K1686="Return"),1,0))</f>
        <v>1</v>
      </c>
      <c r="M1686" s="37" t="n">
        <f aca="false">IF(Raw_Export!$A1686="","",B1686-WEEKDAY(B1686,2)+1)</f>
        <v>46272</v>
      </c>
    </row>
    <row r="1687" customFormat="false" ht="15" hidden="false" customHeight="false" outlineLevel="0" collapsed="false">
      <c r="A1687" s="36" t="str">
        <f aca="false">IF(Raw_Export!$A1687="","",TRIM(Raw_Export!A1687))</f>
        <v>TXN-101652</v>
      </c>
      <c r="B1687" s="37" t="n">
        <f aca="false">IF(Raw_Export!$A1687="","",IF(ISNUMBER(Raw_Export!B1687),Raw_Export!B1687,IF(MID(TRIM(Raw_Export!B1687),5,1)="-",DATE(LEFT(TRIM(Raw_Export!B1687),4),MID(TRIM(Raw_Export!B1687),6,2),RIGHT(TRIM(Raw_Export!B1687),2)),DATE(RIGHT(TRIM(Raw_Export!B1687),4),MATCH(MID(TRIM(Raw_Export!B1687),4,3),{"Jan","Feb","Mar","Apr","May","Jun","Jul","Aug","Sep","Oct","Nov","Dec"},0),LEFT(TRIM(Raw_Export!B1687),2)))))</f>
        <v>46276</v>
      </c>
      <c r="C1687" s="36" t="str">
        <f aca="false">IF(Raw_Export!$A1687="","",IFERROR(VLOOKUP(LOWER(TRIM(Raw_Export!C1687)),Maps!$A$2:$B$20,2,FALSE()),"UNMAPPED"))</f>
        <v>Westlands</v>
      </c>
      <c r="D1687" s="36" t="str">
        <f aca="false">IF(Raw_Export!$A1687="","",IFERROR(VLOOKUP(LOWER(TRIM(Raw_Export!D1687)),Maps!$G$2:$I$80,2,FALSE()),"UNMAPPED"))</f>
        <v>Soda 500ml</v>
      </c>
      <c r="E1687" s="36" t="str">
        <f aca="false">IF(Raw_Export!$A1687="","",IFERROR(VLOOKUP(LOWER(TRIM(Raw_Export!D1687)),Maps!$G$2:$I$80,3,FALSE()),"UNMAPPED"))</f>
        <v>Beverages</v>
      </c>
      <c r="F1687" s="36" t="n">
        <f aca="false">IF(Raw_Export!$A1687="","",IFERROR(VALUE(TRIM(Raw_Export!E1687)),0))</f>
        <v>2</v>
      </c>
      <c r="G1687" s="38" t="n">
        <f aca="false">IF(Raw_Export!$A1687="","",IFERROR(VALUE(SUBSTITUTE(SUBSTITUTE(UPPER(TRIM(Raw_Export!F1687)),"KES",""),",","")),0))</f>
        <v>60</v>
      </c>
      <c r="H1687" s="38" t="n">
        <f aca="false">IF(Raw_Export!$A1687="","",F1687*G1687)</f>
        <v>120</v>
      </c>
      <c r="I1687" s="36" t="str">
        <f aca="false">IF(Raw_Export!$A1687="","",IFERROR(VLOOKUP(LOWER(TRIM(Raw_Export!H1687)),Maps!$D$2:$E$12,2,FALSE()),"Other"))</f>
        <v>M-Pesa</v>
      </c>
      <c r="J1687" s="36" t="str">
        <f aca="false">IF(Raw_Export!$A1687="","",IF(COUNTIF($A$2:A1687,A1687)&gt;1,"Duplicate",""))</f>
        <v/>
      </c>
      <c r="K1687" s="36" t="str">
        <f aca="false">IF(Raw_Export!$A1687="","",IF(J1687="Duplicate","Duplicate",IF(OR(C1687="UNMAPPED",D1687="UNMAPPED"),"Unmapped",IF(F1687=0,"Blank qty",IF(F1687&lt;0,"Return","OK")))))</f>
        <v>OK</v>
      </c>
      <c r="L1687" s="36" t="n">
        <f aca="false">IF(Raw_Export!$A1687="","",IF(OR(K1687="OK",K1687="Return"),1,0))</f>
        <v>1</v>
      </c>
      <c r="M1687" s="37" t="n">
        <f aca="false">IF(Raw_Export!$A1687="","",B1687-WEEKDAY(B1687,2)+1)</f>
        <v>46272</v>
      </c>
    </row>
    <row r="1688" customFormat="false" ht="15" hidden="false" customHeight="false" outlineLevel="0" collapsed="false">
      <c r="A1688" s="36" t="str">
        <f aca="false">IF(Raw_Export!$A1688="","",TRIM(Raw_Export!A1688))</f>
        <v>TXN-101653</v>
      </c>
      <c r="B1688" s="37" t="n">
        <f aca="false">IF(Raw_Export!$A1688="","",IF(ISNUMBER(Raw_Export!B1688),Raw_Export!B1688,IF(MID(TRIM(Raw_Export!B1688),5,1)="-",DATE(LEFT(TRIM(Raw_Export!B1688),4),MID(TRIM(Raw_Export!B1688),6,2),RIGHT(TRIM(Raw_Export!B1688),2)),DATE(RIGHT(TRIM(Raw_Export!B1688),4),MATCH(MID(TRIM(Raw_Export!B1688),4,3),{"Jan","Feb","Mar","Apr","May","Jun","Jul","Aug","Sep","Oct","Nov","Dec"},0),LEFT(TRIM(Raw_Export!B1688),2)))))</f>
        <v>46276</v>
      </c>
      <c r="C1688" s="36" t="str">
        <f aca="false">IF(Raw_Export!$A1688="","",IFERROR(VLOOKUP(LOWER(TRIM(Raw_Export!C1688)),Maps!$A$2:$B$20,2,FALSE()),"UNMAPPED"))</f>
        <v>Westlands</v>
      </c>
      <c r="D1688" s="36" t="str">
        <f aca="false">IF(Raw_Export!$A1688="","",IFERROR(VLOOKUP(LOWER(TRIM(Raw_Export!D1688)),Maps!$G$2:$I$80,2,FALSE()),"UNMAPPED"))</f>
        <v>Eggs Tray 30</v>
      </c>
      <c r="E1688" s="36" t="str">
        <f aca="false">IF(Raw_Export!$A1688="","",IFERROR(VLOOKUP(LOWER(TRIM(Raw_Export!D1688)),Maps!$G$2:$I$80,3,FALSE()),"UNMAPPED"))</f>
        <v>Dairy &amp; Eggs</v>
      </c>
      <c r="F1688" s="36" t="n">
        <f aca="false">IF(Raw_Export!$A1688="","",IFERROR(VALUE(TRIM(Raw_Export!E1688)),0))</f>
        <v>3</v>
      </c>
      <c r="G1688" s="38" t="n">
        <f aca="false">IF(Raw_Export!$A1688="","",IFERROR(VALUE(SUBSTITUTE(SUBSTITUTE(UPPER(TRIM(Raw_Export!F1688)),"KES",""),",","")),0))</f>
        <v>450</v>
      </c>
      <c r="H1688" s="38" t="n">
        <f aca="false">IF(Raw_Export!$A1688="","",F1688*G1688)</f>
        <v>1350</v>
      </c>
      <c r="I1688" s="36" t="str">
        <f aca="false">IF(Raw_Export!$A1688="","",IFERROR(VLOOKUP(LOWER(TRIM(Raw_Export!H1688)),Maps!$D$2:$E$12,2,FALSE()),"Other"))</f>
        <v>M-Pesa</v>
      </c>
      <c r="J1688" s="36" t="str">
        <f aca="false">IF(Raw_Export!$A1688="","",IF(COUNTIF($A$2:A1688,A1688)&gt;1,"Duplicate",""))</f>
        <v/>
      </c>
      <c r="K1688" s="36" t="str">
        <f aca="false">IF(Raw_Export!$A1688="","",IF(J1688="Duplicate","Duplicate",IF(OR(C1688="UNMAPPED",D1688="UNMAPPED"),"Unmapped",IF(F1688=0,"Blank qty",IF(F1688&lt;0,"Return","OK")))))</f>
        <v>OK</v>
      </c>
      <c r="L1688" s="36" t="n">
        <f aca="false">IF(Raw_Export!$A1688="","",IF(OR(K1688="OK",K1688="Return"),1,0))</f>
        <v>1</v>
      </c>
      <c r="M1688" s="37" t="n">
        <f aca="false">IF(Raw_Export!$A1688="","",B1688-WEEKDAY(B1688,2)+1)</f>
        <v>46272</v>
      </c>
    </row>
    <row r="1689" customFormat="false" ht="15" hidden="false" customHeight="false" outlineLevel="0" collapsed="false">
      <c r="A1689" s="36" t="str">
        <f aca="false">IF(Raw_Export!$A1689="","",TRIM(Raw_Export!A1689))</f>
        <v>TXN-101654</v>
      </c>
      <c r="B1689" s="37" t="n">
        <f aca="false">IF(Raw_Export!$A1689="","",IF(ISNUMBER(Raw_Export!B1689),Raw_Export!B1689,IF(MID(TRIM(Raw_Export!B1689),5,1)="-",DATE(LEFT(TRIM(Raw_Export!B1689),4),MID(TRIM(Raw_Export!B1689),6,2),RIGHT(TRIM(Raw_Export!B1689),2)),DATE(RIGHT(TRIM(Raw_Export!B1689),4),MATCH(MID(TRIM(Raw_Export!B1689),4,3),{"Jan","Feb","Mar","Apr","May","Jun","Jul","Aug","Sep","Oct","Nov","Dec"},0),LEFT(TRIM(Raw_Export!B1689),2)))))</f>
        <v>46276</v>
      </c>
      <c r="C1689" s="36" t="str">
        <f aca="false">IF(Raw_Export!$A1689="","",IFERROR(VLOOKUP(LOWER(TRIM(Raw_Export!C1689)),Maps!$A$2:$B$20,2,FALSE()),"UNMAPPED"))</f>
        <v>Westlands</v>
      </c>
      <c r="D1689" s="36" t="str">
        <f aca="false">IF(Raw_Export!$A1689="","",IFERROR(VLOOKUP(LOWER(TRIM(Raw_Export!D1689)),Maps!$G$2:$I$80,2,FALSE()),"UNMAPPED"))</f>
        <v>Eggs Tray 30</v>
      </c>
      <c r="E1689" s="36" t="str">
        <f aca="false">IF(Raw_Export!$A1689="","",IFERROR(VLOOKUP(LOWER(TRIM(Raw_Export!D1689)),Maps!$G$2:$I$80,3,FALSE()),"UNMAPPED"))</f>
        <v>Dairy &amp; Eggs</v>
      </c>
      <c r="F1689" s="36" t="n">
        <f aca="false">IF(Raw_Export!$A1689="","",IFERROR(VALUE(TRIM(Raw_Export!E1689)),0))</f>
        <v>3</v>
      </c>
      <c r="G1689" s="38" t="n">
        <f aca="false">IF(Raw_Export!$A1689="","",IFERROR(VALUE(SUBSTITUTE(SUBSTITUTE(UPPER(TRIM(Raw_Export!F1689)),"KES",""),",","")),0))</f>
        <v>405</v>
      </c>
      <c r="H1689" s="38" t="n">
        <f aca="false">IF(Raw_Export!$A1689="","",F1689*G1689)</f>
        <v>1215</v>
      </c>
      <c r="I1689" s="36" t="str">
        <f aca="false">IF(Raw_Export!$A1689="","",IFERROR(VLOOKUP(LOWER(TRIM(Raw_Export!H1689)),Maps!$D$2:$E$12,2,FALSE()),"Other"))</f>
        <v>M-Pesa</v>
      </c>
      <c r="J1689" s="36" t="str">
        <f aca="false">IF(Raw_Export!$A1689="","",IF(COUNTIF($A$2:A1689,A1689)&gt;1,"Duplicate",""))</f>
        <v/>
      </c>
      <c r="K1689" s="36" t="str">
        <f aca="false">IF(Raw_Export!$A1689="","",IF(J1689="Duplicate","Duplicate",IF(OR(C1689="UNMAPPED",D1689="UNMAPPED"),"Unmapped",IF(F1689=0,"Blank qty",IF(F1689&lt;0,"Return","OK")))))</f>
        <v>OK</v>
      </c>
      <c r="L1689" s="36" t="n">
        <f aca="false">IF(Raw_Export!$A1689="","",IF(OR(K1689="OK",K1689="Return"),1,0))</f>
        <v>1</v>
      </c>
      <c r="M1689" s="37" t="n">
        <f aca="false">IF(Raw_Export!$A1689="","",B1689-WEEKDAY(B1689,2)+1)</f>
        <v>46272</v>
      </c>
    </row>
    <row r="1690" customFormat="false" ht="15" hidden="false" customHeight="false" outlineLevel="0" collapsed="false">
      <c r="A1690" s="36" t="str">
        <f aca="false">IF(Raw_Export!$A1690="","",TRIM(Raw_Export!A1690))</f>
        <v>TXN-101655</v>
      </c>
      <c r="B1690" s="37" t="n">
        <f aca="false">IF(Raw_Export!$A1690="","",IF(ISNUMBER(Raw_Export!B1690),Raw_Export!B1690,IF(MID(TRIM(Raw_Export!B1690),5,1)="-",DATE(LEFT(TRIM(Raw_Export!B1690),4),MID(TRIM(Raw_Export!B1690),6,2),RIGHT(TRIM(Raw_Export!B1690),2)),DATE(RIGHT(TRIM(Raw_Export!B1690),4),MATCH(MID(TRIM(Raw_Export!B1690),4,3),{"Jan","Feb","Mar","Apr","May","Jun","Jul","Aug","Sep","Oct","Nov","Dec"},0),LEFT(TRIM(Raw_Export!B1690),2)))))</f>
        <v>46276</v>
      </c>
      <c r="C1690" s="36" t="str">
        <f aca="false">IF(Raw_Export!$A1690="","",IFERROR(VLOOKUP(LOWER(TRIM(Raw_Export!C1690)),Maps!$A$2:$B$20,2,FALSE()),"UNMAPPED"))</f>
        <v>Westlands</v>
      </c>
      <c r="D1690" s="36" t="str">
        <f aca="false">IF(Raw_Export!$A1690="","",IFERROR(VLOOKUP(LOWER(TRIM(Raw_Export!D1690)),Maps!$G$2:$I$80,2,FALSE()),"UNMAPPED"))</f>
        <v>Salt 500g</v>
      </c>
      <c r="E1690" s="36" t="str">
        <f aca="false">IF(Raw_Export!$A1690="","",IFERROR(VLOOKUP(LOWER(TRIM(Raw_Export!D1690)),Maps!$G$2:$I$80,3,FALSE()),"UNMAPPED"))</f>
        <v>Staples</v>
      </c>
      <c r="F1690" s="36" t="n">
        <f aca="false">IF(Raw_Export!$A1690="","",IFERROR(VALUE(TRIM(Raw_Export!E1690)),0))</f>
        <v>2</v>
      </c>
      <c r="G1690" s="38" t="n">
        <f aca="false">IF(Raw_Export!$A1690="","",IFERROR(VALUE(SUBSTITUTE(SUBSTITUTE(UPPER(TRIM(Raw_Export!F1690)),"KES",""),",","")),0))</f>
        <v>40</v>
      </c>
      <c r="H1690" s="38" t="n">
        <f aca="false">IF(Raw_Export!$A1690="","",F1690*G1690)</f>
        <v>80</v>
      </c>
      <c r="I1690" s="36" t="str">
        <f aca="false">IF(Raw_Export!$A1690="","",IFERROR(VLOOKUP(LOWER(TRIM(Raw_Export!H1690)),Maps!$D$2:$E$12,2,FALSE()),"Other"))</f>
        <v>Cash</v>
      </c>
      <c r="J1690" s="36" t="str">
        <f aca="false">IF(Raw_Export!$A1690="","",IF(COUNTIF($A$2:A1690,A1690)&gt;1,"Duplicate",""))</f>
        <v/>
      </c>
      <c r="K1690" s="36" t="str">
        <f aca="false">IF(Raw_Export!$A1690="","",IF(J1690="Duplicate","Duplicate",IF(OR(C1690="UNMAPPED",D1690="UNMAPPED"),"Unmapped",IF(F1690=0,"Blank qty",IF(F1690&lt;0,"Return","OK")))))</f>
        <v>OK</v>
      </c>
      <c r="L1690" s="36" t="n">
        <f aca="false">IF(Raw_Export!$A1690="","",IF(OR(K1690="OK",K1690="Return"),1,0))</f>
        <v>1</v>
      </c>
      <c r="M1690" s="37" t="n">
        <f aca="false">IF(Raw_Export!$A1690="","",B1690-WEEKDAY(B1690,2)+1)</f>
        <v>46272</v>
      </c>
    </row>
    <row r="1691" customFormat="false" ht="15" hidden="false" customHeight="false" outlineLevel="0" collapsed="false">
      <c r="A1691" s="36" t="str">
        <f aca="false">IF(Raw_Export!$A1691="","",TRIM(Raw_Export!A1691))</f>
        <v>TXN-101656</v>
      </c>
      <c r="B1691" s="37" t="n">
        <f aca="false">IF(Raw_Export!$A1691="","",IF(ISNUMBER(Raw_Export!B1691),Raw_Export!B1691,IF(MID(TRIM(Raw_Export!B1691),5,1)="-",DATE(LEFT(TRIM(Raw_Export!B1691),4),MID(TRIM(Raw_Export!B1691),6,2),RIGHT(TRIM(Raw_Export!B1691),2)),DATE(RIGHT(TRIM(Raw_Export!B1691),4),MATCH(MID(TRIM(Raw_Export!B1691),4,3),{"Jan","Feb","Mar","Apr","May","Jun","Jul","Aug","Sep","Oct","Nov","Dec"},0),LEFT(TRIM(Raw_Export!B1691),2)))))</f>
        <v>46276</v>
      </c>
      <c r="C1691" s="36" t="str">
        <f aca="false">IF(Raw_Export!$A1691="","",IFERROR(VLOOKUP(LOWER(TRIM(Raw_Export!C1691)),Maps!$A$2:$B$20,2,FALSE()),"UNMAPPED"))</f>
        <v>Westlands</v>
      </c>
      <c r="D1691" s="36" t="str">
        <f aca="false">IF(Raw_Export!$A1691="","",IFERROR(VLOOKUP(LOWER(TRIM(Raw_Export!D1691)),Maps!$G$2:$I$80,2,FALSE()),"UNMAPPED"))</f>
        <v>Crisps 100g</v>
      </c>
      <c r="E1691" s="36" t="str">
        <f aca="false">IF(Raw_Export!$A1691="","",IFERROR(VLOOKUP(LOWER(TRIM(Raw_Export!D1691)),Maps!$G$2:$I$80,3,FALSE()),"UNMAPPED"))</f>
        <v>Snacks</v>
      </c>
      <c r="F1691" s="36" t="n">
        <f aca="false">IF(Raw_Export!$A1691="","",IFERROR(VALUE(TRIM(Raw_Export!E1691)),0))</f>
        <v>3</v>
      </c>
      <c r="G1691" s="38" t="n">
        <f aca="false">IF(Raw_Export!$A1691="","",IFERROR(VALUE(SUBSTITUTE(SUBSTITUTE(UPPER(TRIM(Raw_Export!F1691)),"KES",""),",","")),0))</f>
        <v>80</v>
      </c>
      <c r="H1691" s="38" t="n">
        <f aca="false">IF(Raw_Export!$A1691="","",F1691*G1691)</f>
        <v>240</v>
      </c>
      <c r="I1691" s="36" t="str">
        <f aca="false">IF(Raw_Export!$A1691="","",IFERROR(VLOOKUP(LOWER(TRIM(Raw_Export!H1691)),Maps!$D$2:$E$12,2,FALSE()),"Other"))</f>
        <v>Cash</v>
      </c>
      <c r="J1691" s="36" t="str">
        <f aca="false">IF(Raw_Export!$A1691="","",IF(COUNTIF($A$2:A1691,A1691)&gt;1,"Duplicate",""))</f>
        <v/>
      </c>
      <c r="K1691" s="36" t="str">
        <f aca="false">IF(Raw_Export!$A1691="","",IF(J1691="Duplicate","Duplicate",IF(OR(C1691="UNMAPPED",D1691="UNMAPPED"),"Unmapped",IF(F1691=0,"Blank qty",IF(F1691&lt;0,"Return","OK")))))</f>
        <v>OK</v>
      </c>
      <c r="L1691" s="36" t="n">
        <f aca="false">IF(Raw_Export!$A1691="","",IF(OR(K1691="OK",K1691="Return"),1,0))</f>
        <v>1</v>
      </c>
      <c r="M1691" s="37" t="n">
        <f aca="false">IF(Raw_Export!$A1691="","",B1691-WEEKDAY(B1691,2)+1)</f>
        <v>46272</v>
      </c>
    </row>
    <row r="1692" customFormat="false" ht="15" hidden="false" customHeight="false" outlineLevel="0" collapsed="false">
      <c r="A1692" s="36" t="str">
        <f aca="false">IF(Raw_Export!$A1692="","",TRIM(Raw_Export!A1692))</f>
        <v>TXN-101657</v>
      </c>
      <c r="B1692" s="37" t="n">
        <f aca="false">IF(Raw_Export!$A1692="","",IF(ISNUMBER(Raw_Export!B1692),Raw_Export!B1692,IF(MID(TRIM(Raw_Export!B1692),5,1)="-",DATE(LEFT(TRIM(Raw_Export!B1692),4),MID(TRIM(Raw_Export!B1692),6,2),RIGHT(TRIM(Raw_Export!B1692),2)),DATE(RIGHT(TRIM(Raw_Export!B1692),4),MATCH(MID(TRIM(Raw_Export!B1692),4,3),{"Jan","Feb","Mar","Apr","May","Jun","Jul","Aug","Sep","Oct","Nov","Dec"},0),LEFT(TRIM(Raw_Export!B1692),2)))))</f>
        <v>46276</v>
      </c>
      <c r="C1692" s="36" t="str">
        <f aca="false">IF(Raw_Export!$A1692="","",IFERROR(VLOOKUP(LOWER(TRIM(Raw_Export!C1692)),Maps!$A$2:$B$20,2,FALSE()),"UNMAPPED"))</f>
        <v>Westlands</v>
      </c>
      <c r="D1692" s="36" t="str">
        <f aca="false">IF(Raw_Export!$A1692="","",IFERROR(VLOOKUP(LOWER(TRIM(Raw_Export!D1692)),Maps!$G$2:$I$80,2,FALSE()),"UNMAPPED"))</f>
        <v>Fresh Milk 500ml</v>
      </c>
      <c r="E1692" s="36" t="str">
        <f aca="false">IF(Raw_Export!$A1692="","",IFERROR(VLOOKUP(LOWER(TRIM(Raw_Export!D1692)),Maps!$G$2:$I$80,3,FALSE()),"UNMAPPED"))</f>
        <v>Dairy &amp; Eggs</v>
      </c>
      <c r="F1692" s="36" t="n">
        <f aca="false">IF(Raw_Export!$A1692="","",IFERROR(VALUE(TRIM(Raw_Export!E1692)),0))</f>
        <v>1</v>
      </c>
      <c r="G1692" s="38" t="n">
        <f aca="false">IF(Raw_Export!$A1692="","",IFERROR(VALUE(SUBSTITUTE(SUBSTITUTE(UPPER(TRIM(Raw_Export!F1692)),"KES",""),",","")),0))</f>
        <v>65</v>
      </c>
      <c r="H1692" s="38" t="n">
        <f aca="false">IF(Raw_Export!$A1692="","",F1692*G1692)</f>
        <v>65</v>
      </c>
      <c r="I1692" s="36" t="str">
        <f aca="false">IF(Raw_Export!$A1692="","",IFERROR(VLOOKUP(LOWER(TRIM(Raw_Export!H1692)),Maps!$D$2:$E$12,2,FALSE()),"Other"))</f>
        <v>M-Pesa</v>
      </c>
      <c r="J1692" s="36" t="str">
        <f aca="false">IF(Raw_Export!$A1692="","",IF(COUNTIF($A$2:A1692,A1692)&gt;1,"Duplicate",""))</f>
        <v/>
      </c>
      <c r="K1692" s="36" t="str">
        <f aca="false">IF(Raw_Export!$A1692="","",IF(J1692="Duplicate","Duplicate",IF(OR(C1692="UNMAPPED",D1692="UNMAPPED"),"Unmapped",IF(F1692=0,"Blank qty",IF(F1692&lt;0,"Return","OK")))))</f>
        <v>OK</v>
      </c>
      <c r="L1692" s="36" t="n">
        <f aca="false">IF(Raw_Export!$A1692="","",IF(OR(K1692="OK",K1692="Return"),1,0))</f>
        <v>1</v>
      </c>
      <c r="M1692" s="37" t="n">
        <f aca="false">IF(Raw_Export!$A1692="","",B1692-WEEKDAY(B1692,2)+1)</f>
        <v>46272</v>
      </c>
    </row>
    <row r="1693" customFormat="false" ht="15" hidden="false" customHeight="false" outlineLevel="0" collapsed="false">
      <c r="A1693" s="36" t="str">
        <f aca="false">IF(Raw_Export!$A1693="","",TRIM(Raw_Export!A1693))</f>
        <v>TXN-101658</v>
      </c>
      <c r="B1693" s="37" t="n">
        <f aca="false">IF(Raw_Export!$A1693="","",IF(ISNUMBER(Raw_Export!B1693),Raw_Export!B1693,IF(MID(TRIM(Raw_Export!B1693),5,1)="-",DATE(LEFT(TRIM(Raw_Export!B1693),4),MID(TRIM(Raw_Export!B1693),6,2),RIGHT(TRIM(Raw_Export!B1693),2)),DATE(RIGHT(TRIM(Raw_Export!B1693),4),MATCH(MID(TRIM(Raw_Export!B1693),4,3),{"Jan","Feb","Mar","Apr","May","Jun","Jul","Aug","Sep","Oct","Nov","Dec"},0),LEFT(TRIM(Raw_Export!B1693),2)))))</f>
        <v>46276</v>
      </c>
      <c r="C1693" s="36" t="str">
        <f aca="false">IF(Raw_Export!$A1693="","",IFERROR(VLOOKUP(LOWER(TRIM(Raw_Export!C1693)),Maps!$A$2:$B$20,2,FALSE()),"UNMAPPED"))</f>
        <v>Westlands</v>
      </c>
      <c r="D1693" s="36" t="str">
        <f aca="false">IF(Raw_Export!$A1693="","",IFERROR(VLOOKUP(LOWER(TRIM(Raw_Export!D1693)),Maps!$G$2:$I$80,2,FALSE()),"UNMAPPED"))</f>
        <v>Dish Soap 750ml</v>
      </c>
      <c r="E1693" s="36" t="str">
        <f aca="false">IF(Raw_Export!$A1693="","",IFERROR(VLOOKUP(LOWER(TRIM(Raw_Export!D1693)),Maps!$G$2:$I$80,3,FALSE()),"UNMAPPED"))</f>
        <v>Household</v>
      </c>
      <c r="F1693" s="36" t="n">
        <f aca="false">IF(Raw_Export!$A1693="","",IFERROR(VALUE(TRIM(Raw_Export!E1693)),0))</f>
        <v>6</v>
      </c>
      <c r="G1693" s="38" t="n">
        <f aca="false">IF(Raw_Export!$A1693="","",IFERROR(VALUE(SUBSTITUTE(SUBSTITUTE(UPPER(TRIM(Raw_Export!F1693)),"KES",""),",","")),0))</f>
        <v>190</v>
      </c>
      <c r="H1693" s="38" t="n">
        <f aca="false">IF(Raw_Export!$A1693="","",F1693*G1693)</f>
        <v>1140</v>
      </c>
      <c r="I1693" s="36" t="str">
        <f aca="false">IF(Raw_Export!$A1693="","",IFERROR(VLOOKUP(LOWER(TRIM(Raw_Export!H1693)),Maps!$D$2:$E$12,2,FALSE()),"Other"))</f>
        <v>M-Pesa</v>
      </c>
      <c r="J1693" s="36" t="str">
        <f aca="false">IF(Raw_Export!$A1693="","",IF(COUNTIF($A$2:A1693,A1693)&gt;1,"Duplicate",""))</f>
        <v/>
      </c>
      <c r="K1693" s="36" t="str">
        <f aca="false">IF(Raw_Export!$A1693="","",IF(J1693="Duplicate","Duplicate",IF(OR(C1693="UNMAPPED",D1693="UNMAPPED"),"Unmapped",IF(F1693=0,"Blank qty",IF(F1693&lt;0,"Return","OK")))))</f>
        <v>OK</v>
      </c>
      <c r="L1693" s="36" t="n">
        <f aca="false">IF(Raw_Export!$A1693="","",IF(OR(K1693="OK",K1693="Return"),1,0))</f>
        <v>1</v>
      </c>
      <c r="M1693" s="37" t="n">
        <f aca="false">IF(Raw_Export!$A1693="","",B1693-WEEKDAY(B1693,2)+1)</f>
        <v>46272</v>
      </c>
    </row>
    <row r="1694" customFormat="false" ht="15" hidden="false" customHeight="false" outlineLevel="0" collapsed="false">
      <c r="A1694" s="36" t="str">
        <f aca="false">IF(Raw_Export!$A1694="","",TRIM(Raw_Export!A1694))</f>
        <v>TXN-101659</v>
      </c>
      <c r="B1694" s="37" t="n">
        <f aca="false">IF(Raw_Export!$A1694="","",IF(ISNUMBER(Raw_Export!B1694),Raw_Export!B1694,IF(MID(TRIM(Raw_Export!B1694),5,1)="-",DATE(LEFT(TRIM(Raw_Export!B1694),4),MID(TRIM(Raw_Export!B1694),6,2),RIGHT(TRIM(Raw_Export!B1694),2)),DATE(RIGHT(TRIM(Raw_Export!B1694),4),MATCH(MID(TRIM(Raw_Export!B1694),4,3),{"Jan","Feb","Mar","Apr","May","Jun","Jul","Aug","Sep","Oct","Nov","Dec"},0),LEFT(TRIM(Raw_Export!B1694),2)))))</f>
        <v>46276</v>
      </c>
      <c r="C1694" s="36" t="str">
        <f aca="false">IF(Raw_Export!$A1694="","",IFERROR(VLOOKUP(LOWER(TRIM(Raw_Export!C1694)),Maps!$A$2:$B$20,2,FALSE()),"UNMAPPED"))</f>
        <v>Westlands</v>
      </c>
      <c r="D1694" s="36" t="str">
        <f aca="false">IF(Raw_Export!$A1694="","",IFERROR(VLOOKUP(LOWER(TRIM(Raw_Export!D1694)),Maps!$G$2:$I$80,2,FALSE()),"UNMAPPED"))</f>
        <v>Washing Powder 1kg</v>
      </c>
      <c r="E1694" s="36" t="str">
        <f aca="false">IF(Raw_Export!$A1694="","",IFERROR(VLOOKUP(LOWER(TRIM(Raw_Export!D1694)),Maps!$G$2:$I$80,3,FALSE()),"UNMAPPED"))</f>
        <v>Household</v>
      </c>
      <c r="F1694" s="36" t="n">
        <f aca="false">IF(Raw_Export!$A1694="","",IFERROR(VALUE(TRIM(Raw_Export!E1694)),0))</f>
        <v>3</v>
      </c>
      <c r="G1694" s="38" t="n">
        <f aca="false">IF(Raw_Export!$A1694="","",IFERROR(VALUE(SUBSTITUTE(SUBSTITUTE(UPPER(TRIM(Raw_Export!F1694)),"KES",""),",","")),0))</f>
        <v>252</v>
      </c>
      <c r="H1694" s="38" t="n">
        <f aca="false">IF(Raw_Export!$A1694="","",F1694*G1694)</f>
        <v>756</v>
      </c>
      <c r="I1694" s="36" t="str">
        <f aca="false">IF(Raw_Export!$A1694="","",IFERROR(VLOOKUP(LOWER(TRIM(Raw_Export!H1694)),Maps!$D$2:$E$12,2,FALSE()),"Other"))</f>
        <v>M-Pesa</v>
      </c>
      <c r="J1694" s="36" t="str">
        <f aca="false">IF(Raw_Export!$A1694="","",IF(COUNTIF($A$2:A1694,A1694)&gt;1,"Duplicate",""))</f>
        <v/>
      </c>
      <c r="K1694" s="36" t="str">
        <f aca="false">IF(Raw_Export!$A1694="","",IF(J1694="Duplicate","Duplicate",IF(OR(C1694="UNMAPPED",D1694="UNMAPPED"),"Unmapped",IF(F1694=0,"Blank qty",IF(F1694&lt;0,"Return","OK")))))</f>
        <v>OK</v>
      </c>
      <c r="L1694" s="36" t="n">
        <f aca="false">IF(Raw_Export!$A1694="","",IF(OR(K1694="OK",K1694="Return"),1,0))</f>
        <v>1</v>
      </c>
      <c r="M1694" s="37" t="n">
        <f aca="false">IF(Raw_Export!$A1694="","",B1694-WEEKDAY(B1694,2)+1)</f>
        <v>46272</v>
      </c>
    </row>
    <row r="1695" customFormat="false" ht="15" hidden="false" customHeight="false" outlineLevel="0" collapsed="false">
      <c r="A1695" s="36" t="str">
        <f aca="false">IF(Raw_Export!$A1695="","",TRIM(Raw_Export!A1695))</f>
        <v>TXN-101660</v>
      </c>
      <c r="B1695" s="37" t="n">
        <f aca="false">IF(Raw_Export!$A1695="","",IF(ISNUMBER(Raw_Export!B1695),Raw_Export!B1695,IF(MID(TRIM(Raw_Export!B1695),5,1)="-",DATE(LEFT(TRIM(Raw_Export!B1695),4),MID(TRIM(Raw_Export!B1695),6,2),RIGHT(TRIM(Raw_Export!B1695),2)),DATE(RIGHT(TRIM(Raw_Export!B1695),4),MATCH(MID(TRIM(Raw_Export!B1695),4,3),{"Jan","Feb","Mar","Apr","May","Jun","Jul","Aug","Sep","Oct","Nov","Dec"},0),LEFT(TRIM(Raw_Export!B1695),2)))))</f>
        <v>46276</v>
      </c>
      <c r="C1695" s="36" t="str">
        <f aca="false">IF(Raw_Export!$A1695="","",IFERROR(VLOOKUP(LOWER(TRIM(Raw_Export!C1695)),Maps!$A$2:$B$20,2,FALSE()),"UNMAPPED"))</f>
        <v>Westlands</v>
      </c>
      <c r="D1695" s="36" t="str">
        <f aca="false">IF(Raw_Export!$A1695="","",IFERROR(VLOOKUP(LOWER(TRIM(Raw_Export!D1695)),Maps!$G$2:$I$80,2,FALSE()),"UNMAPPED"))</f>
        <v>Yoghurt 500ml</v>
      </c>
      <c r="E1695" s="36" t="str">
        <f aca="false">IF(Raw_Export!$A1695="","",IFERROR(VLOOKUP(LOWER(TRIM(Raw_Export!D1695)),Maps!$G$2:$I$80,3,FALSE()),"UNMAPPED"))</f>
        <v>Dairy &amp; Eggs</v>
      </c>
      <c r="F1695" s="36" t="n">
        <f aca="false">IF(Raw_Export!$A1695="","",IFERROR(VALUE(TRIM(Raw_Export!E1695)),0))</f>
        <v>3</v>
      </c>
      <c r="G1695" s="38" t="n">
        <f aca="false">IF(Raw_Export!$A1695="","",IFERROR(VALUE(SUBSTITUTE(SUBSTITUTE(UPPER(TRIM(Raw_Export!F1695)),"KES",""),",","")),0))</f>
        <v>120</v>
      </c>
      <c r="H1695" s="38" t="n">
        <f aca="false">IF(Raw_Export!$A1695="","",F1695*G1695)</f>
        <v>360</v>
      </c>
      <c r="I1695" s="36" t="str">
        <f aca="false">IF(Raw_Export!$A1695="","",IFERROR(VLOOKUP(LOWER(TRIM(Raw_Export!H1695)),Maps!$D$2:$E$12,2,FALSE()),"Other"))</f>
        <v>Card</v>
      </c>
      <c r="J1695" s="36" t="str">
        <f aca="false">IF(Raw_Export!$A1695="","",IF(COUNTIF($A$2:A1695,A1695)&gt;1,"Duplicate",""))</f>
        <v/>
      </c>
      <c r="K1695" s="36" t="str">
        <f aca="false">IF(Raw_Export!$A1695="","",IF(J1695="Duplicate","Duplicate",IF(OR(C1695="UNMAPPED",D1695="UNMAPPED"),"Unmapped",IF(F1695=0,"Blank qty",IF(F1695&lt;0,"Return","OK")))))</f>
        <v>OK</v>
      </c>
      <c r="L1695" s="36" t="n">
        <f aca="false">IF(Raw_Export!$A1695="","",IF(OR(K1695="OK",K1695="Return"),1,0))</f>
        <v>1</v>
      </c>
      <c r="M1695" s="37" t="n">
        <f aca="false">IF(Raw_Export!$A1695="","",B1695-WEEKDAY(B1695,2)+1)</f>
        <v>46272</v>
      </c>
    </row>
    <row r="1696" customFormat="false" ht="15" hidden="false" customHeight="false" outlineLevel="0" collapsed="false">
      <c r="A1696" s="36" t="str">
        <f aca="false">IF(Raw_Export!$A1696="","",TRIM(Raw_Export!A1696))</f>
        <v>TXN-101661</v>
      </c>
      <c r="B1696" s="37" t="n">
        <f aca="false">IF(Raw_Export!$A1696="","",IF(ISNUMBER(Raw_Export!B1696),Raw_Export!B1696,IF(MID(TRIM(Raw_Export!B1696),5,1)="-",DATE(LEFT(TRIM(Raw_Export!B1696),4),MID(TRIM(Raw_Export!B1696),6,2),RIGHT(TRIM(Raw_Export!B1696),2)),DATE(RIGHT(TRIM(Raw_Export!B1696),4),MATCH(MID(TRIM(Raw_Export!B1696),4,3),{"Jan","Feb","Mar","Apr","May","Jun","Jul","Aug","Sep","Oct","Nov","Dec"},0),LEFT(TRIM(Raw_Export!B1696),2)))))</f>
        <v>46276</v>
      </c>
      <c r="C1696" s="36" t="str">
        <f aca="false">IF(Raw_Export!$A1696="","",IFERROR(VLOOKUP(LOWER(TRIM(Raw_Export!C1696)),Maps!$A$2:$B$20,2,FALSE()),"UNMAPPED"))</f>
        <v>Westlands</v>
      </c>
      <c r="D1696" s="36" t="str">
        <f aca="false">IF(Raw_Export!$A1696="","",IFERROR(VLOOKUP(LOWER(TRIM(Raw_Export!D1696)),Maps!$G$2:$I$80,2,FALSE()),"UNMAPPED"))</f>
        <v>Fresh Milk 500ml</v>
      </c>
      <c r="E1696" s="36" t="str">
        <f aca="false">IF(Raw_Export!$A1696="","",IFERROR(VLOOKUP(LOWER(TRIM(Raw_Export!D1696)),Maps!$G$2:$I$80,3,FALSE()),"UNMAPPED"))</f>
        <v>Dairy &amp; Eggs</v>
      </c>
      <c r="F1696" s="36" t="n">
        <f aca="false">IF(Raw_Export!$A1696="","",IFERROR(VALUE(TRIM(Raw_Export!E1696)),0))</f>
        <v>2</v>
      </c>
      <c r="G1696" s="38" t="n">
        <f aca="false">IF(Raw_Export!$A1696="","",IFERROR(VALUE(SUBSTITUTE(SUBSTITUTE(UPPER(TRIM(Raw_Export!F1696)),"KES",""),",","")),0))</f>
        <v>65</v>
      </c>
      <c r="H1696" s="38" t="n">
        <f aca="false">IF(Raw_Export!$A1696="","",F1696*G1696)</f>
        <v>130</v>
      </c>
      <c r="I1696" s="36" t="str">
        <f aca="false">IF(Raw_Export!$A1696="","",IFERROR(VLOOKUP(LOWER(TRIM(Raw_Export!H1696)),Maps!$D$2:$E$12,2,FALSE()),"Other"))</f>
        <v>M-Pesa</v>
      </c>
      <c r="J1696" s="36" t="str">
        <f aca="false">IF(Raw_Export!$A1696="","",IF(COUNTIF($A$2:A1696,A1696)&gt;1,"Duplicate",""))</f>
        <v/>
      </c>
      <c r="K1696" s="36" t="str">
        <f aca="false">IF(Raw_Export!$A1696="","",IF(J1696="Duplicate","Duplicate",IF(OR(C1696="UNMAPPED",D1696="UNMAPPED"),"Unmapped",IF(F1696=0,"Blank qty",IF(F1696&lt;0,"Return","OK")))))</f>
        <v>OK</v>
      </c>
      <c r="L1696" s="36" t="n">
        <f aca="false">IF(Raw_Export!$A1696="","",IF(OR(K1696="OK",K1696="Return"),1,0))</f>
        <v>1</v>
      </c>
      <c r="M1696" s="37" t="n">
        <f aca="false">IF(Raw_Export!$A1696="","",B1696-WEEKDAY(B1696,2)+1)</f>
        <v>46272</v>
      </c>
    </row>
    <row r="1697" customFormat="false" ht="15" hidden="false" customHeight="false" outlineLevel="0" collapsed="false">
      <c r="A1697" s="36" t="str">
        <f aca="false">IF(Raw_Export!$A1697="","",TRIM(Raw_Export!A1697))</f>
        <v>TXN-101662</v>
      </c>
      <c r="B1697" s="37" t="n">
        <f aca="false">IF(Raw_Export!$A1697="","",IF(ISNUMBER(Raw_Export!B1697),Raw_Export!B1697,IF(MID(TRIM(Raw_Export!B1697),5,1)="-",DATE(LEFT(TRIM(Raw_Export!B1697),4),MID(TRIM(Raw_Export!B1697),6,2),RIGHT(TRIM(Raw_Export!B1697),2)),DATE(RIGHT(TRIM(Raw_Export!B1697),4),MATCH(MID(TRIM(Raw_Export!B1697),4,3),{"Jan","Feb","Mar","Apr","May","Jun","Jul","Aug","Sep","Oct","Nov","Dec"},0),LEFT(TRIM(Raw_Export!B1697),2)))))</f>
        <v>46276</v>
      </c>
      <c r="C1697" s="36" t="str">
        <f aca="false">IF(Raw_Export!$A1697="","",IFERROR(VLOOKUP(LOWER(TRIM(Raw_Export!C1697)),Maps!$A$2:$B$20,2,FALSE()),"UNMAPPED"))</f>
        <v>Westlands</v>
      </c>
      <c r="D1697" s="36" t="str">
        <f aca="false">IF(Raw_Export!$A1697="","",IFERROR(VLOOKUP(LOWER(TRIM(Raw_Export!D1697)),Maps!$G$2:$I$80,2,FALSE()),"UNMAPPED"))</f>
        <v>Soda 500ml</v>
      </c>
      <c r="E1697" s="36" t="str">
        <f aca="false">IF(Raw_Export!$A1697="","",IFERROR(VLOOKUP(LOWER(TRIM(Raw_Export!D1697)),Maps!$G$2:$I$80,3,FALSE()),"UNMAPPED"))</f>
        <v>Beverages</v>
      </c>
      <c r="F1697" s="36" t="n">
        <f aca="false">IF(Raw_Export!$A1697="","",IFERROR(VALUE(TRIM(Raw_Export!E1697)),0))</f>
        <v>1</v>
      </c>
      <c r="G1697" s="38" t="n">
        <f aca="false">IF(Raw_Export!$A1697="","",IFERROR(VALUE(SUBSTITUTE(SUBSTITUTE(UPPER(TRIM(Raw_Export!F1697)),"KES",""),",","")),0))</f>
        <v>60</v>
      </c>
      <c r="H1697" s="38" t="n">
        <f aca="false">IF(Raw_Export!$A1697="","",F1697*G1697)</f>
        <v>60</v>
      </c>
      <c r="I1697" s="36" t="str">
        <f aca="false">IF(Raw_Export!$A1697="","",IFERROR(VLOOKUP(LOWER(TRIM(Raw_Export!H1697)),Maps!$D$2:$E$12,2,FALSE()),"Other"))</f>
        <v>Cash</v>
      </c>
      <c r="J1697" s="36" t="str">
        <f aca="false">IF(Raw_Export!$A1697="","",IF(COUNTIF($A$2:A1697,A1697)&gt;1,"Duplicate",""))</f>
        <v/>
      </c>
      <c r="K1697" s="36" t="str">
        <f aca="false">IF(Raw_Export!$A1697="","",IF(J1697="Duplicate","Duplicate",IF(OR(C1697="UNMAPPED",D1697="UNMAPPED"),"Unmapped",IF(F1697=0,"Blank qty",IF(F1697&lt;0,"Return","OK")))))</f>
        <v>OK</v>
      </c>
      <c r="L1697" s="36" t="n">
        <f aca="false">IF(Raw_Export!$A1697="","",IF(OR(K1697="OK",K1697="Return"),1,0))</f>
        <v>1</v>
      </c>
      <c r="M1697" s="37" t="n">
        <f aca="false">IF(Raw_Export!$A1697="","",B1697-WEEKDAY(B1697,2)+1)</f>
        <v>46272</v>
      </c>
    </row>
    <row r="1698" customFormat="false" ht="15" hidden="false" customHeight="false" outlineLevel="0" collapsed="false">
      <c r="A1698" s="36" t="str">
        <f aca="false">IF(Raw_Export!$A1698="","",TRIM(Raw_Export!A1698))</f>
        <v>TXN-101663</v>
      </c>
      <c r="B1698" s="37" t="n">
        <f aca="false">IF(Raw_Export!$A1698="","",IF(ISNUMBER(Raw_Export!B1698),Raw_Export!B1698,IF(MID(TRIM(Raw_Export!B1698),5,1)="-",DATE(LEFT(TRIM(Raw_Export!B1698),4),MID(TRIM(Raw_Export!B1698),6,2),RIGHT(TRIM(Raw_Export!B1698),2)),DATE(RIGHT(TRIM(Raw_Export!B1698),4),MATCH(MID(TRIM(Raw_Export!B1698),4,3),{"Jan","Feb","Mar","Apr","May","Jun","Jul","Aug","Sep","Oct","Nov","Dec"},0),LEFT(TRIM(Raw_Export!B1698),2)))))</f>
        <v>46276</v>
      </c>
      <c r="C1698" s="36" t="str">
        <f aca="false">IF(Raw_Export!$A1698="","",IFERROR(VLOOKUP(LOWER(TRIM(Raw_Export!C1698)),Maps!$A$2:$B$20,2,FALSE()),"UNMAPPED"))</f>
        <v>Westlands</v>
      </c>
      <c r="D1698" s="36" t="str">
        <f aca="false">IF(Raw_Export!$A1698="","",IFERROR(VLOOKUP(LOWER(TRIM(Raw_Export!D1698)),Maps!$G$2:$I$80,2,FALSE()),"UNMAPPED"))</f>
        <v>Chocolate Bar 90g</v>
      </c>
      <c r="E1698" s="36" t="str">
        <f aca="false">IF(Raw_Export!$A1698="","",IFERROR(VLOOKUP(LOWER(TRIM(Raw_Export!D1698)),Maps!$G$2:$I$80,3,FALSE()),"UNMAPPED"))</f>
        <v>Snacks</v>
      </c>
      <c r="F1698" s="36" t="n">
        <f aca="false">IF(Raw_Export!$A1698="","",IFERROR(VALUE(TRIM(Raw_Export!E1698)),0))</f>
        <v>3</v>
      </c>
      <c r="G1698" s="38" t="n">
        <f aca="false">IF(Raw_Export!$A1698="","",IFERROR(VALUE(SUBSTITUTE(SUBSTITUTE(UPPER(TRIM(Raw_Export!F1698)),"KES",""),",","")),0))</f>
        <v>140</v>
      </c>
      <c r="H1698" s="38" t="n">
        <f aca="false">IF(Raw_Export!$A1698="","",F1698*G1698)</f>
        <v>420</v>
      </c>
      <c r="I1698" s="36" t="str">
        <f aca="false">IF(Raw_Export!$A1698="","",IFERROR(VLOOKUP(LOWER(TRIM(Raw_Export!H1698)),Maps!$D$2:$E$12,2,FALSE()),"Other"))</f>
        <v>M-Pesa</v>
      </c>
      <c r="J1698" s="36" t="str">
        <f aca="false">IF(Raw_Export!$A1698="","",IF(COUNTIF($A$2:A1698,A1698)&gt;1,"Duplicate",""))</f>
        <v/>
      </c>
      <c r="K1698" s="36" t="str">
        <f aca="false">IF(Raw_Export!$A1698="","",IF(J1698="Duplicate","Duplicate",IF(OR(C1698="UNMAPPED",D1698="UNMAPPED"),"Unmapped",IF(F1698=0,"Blank qty",IF(F1698&lt;0,"Return","OK")))))</f>
        <v>OK</v>
      </c>
      <c r="L1698" s="36" t="n">
        <f aca="false">IF(Raw_Export!$A1698="","",IF(OR(K1698="OK",K1698="Return"),1,0))</f>
        <v>1</v>
      </c>
      <c r="M1698" s="37" t="n">
        <f aca="false">IF(Raw_Export!$A1698="","",B1698-WEEKDAY(B1698,2)+1)</f>
        <v>46272</v>
      </c>
    </row>
    <row r="1699" customFormat="false" ht="15" hidden="false" customHeight="false" outlineLevel="0" collapsed="false">
      <c r="A1699" s="36" t="str">
        <f aca="false">IF(Raw_Export!$A1699="","",TRIM(Raw_Export!A1699))</f>
        <v>TXN-100424</v>
      </c>
      <c r="B1699" s="37" t="n">
        <f aca="false">IF(Raw_Export!$A1699="","",IF(ISNUMBER(Raw_Export!B1699),Raw_Export!B1699,IF(MID(TRIM(Raw_Export!B1699),5,1)="-",DATE(LEFT(TRIM(Raw_Export!B1699),4),MID(TRIM(Raw_Export!B1699),6,2),RIGHT(TRIM(Raw_Export!B1699),2)),DATE(RIGHT(TRIM(Raw_Export!B1699),4),MATCH(MID(TRIM(Raw_Export!B1699),4,3),{"Jan","Feb","Mar","Apr","May","Jun","Jul","Aug","Sep","Oct","Nov","Dec"},0),LEFT(TRIM(Raw_Export!B1699),2)))))</f>
        <v>46268</v>
      </c>
      <c r="C1699" s="36" t="str">
        <f aca="false">IF(Raw_Export!$A1699="","",IFERROR(VLOOKUP(LOWER(TRIM(Raw_Export!C1699)),Maps!$A$2:$B$20,2,FALSE()),"UNMAPPED"))</f>
        <v>Westlands</v>
      </c>
      <c r="D1699" s="36" t="str">
        <f aca="false">IF(Raw_Export!$A1699="","",IFERROR(VLOOKUP(LOWER(TRIM(Raw_Export!D1699)),Maps!$G$2:$I$80,2,FALSE()),"UNMAPPED"))</f>
        <v>Unga Pembe 2kg</v>
      </c>
      <c r="E1699" s="36" t="str">
        <f aca="false">IF(Raw_Export!$A1699="","",IFERROR(VLOOKUP(LOWER(TRIM(Raw_Export!D1699)),Maps!$G$2:$I$80,3,FALSE()),"UNMAPPED"))</f>
        <v>Staples</v>
      </c>
      <c r="F1699" s="36" t="n">
        <f aca="false">IF(Raw_Export!$A1699="","",IFERROR(VALUE(TRIM(Raw_Export!E1699)),0))</f>
        <v>-1</v>
      </c>
      <c r="G1699" s="38" t="n">
        <f aca="false">IF(Raw_Export!$A1699="","",IFERROR(VALUE(SUBSTITUTE(SUBSTITUTE(UPPER(TRIM(Raw_Export!F1699)),"KES",""),",","")),0))</f>
        <v>190</v>
      </c>
      <c r="H1699" s="38" t="n">
        <f aca="false">IF(Raw_Export!$A1699="","",F1699*G1699)</f>
        <v>-190</v>
      </c>
      <c r="I1699" s="36" t="str">
        <f aca="false">IF(Raw_Export!$A1699="","",IFERROR(VLOOKUP(LOWER(TRIM(Raw_Export!H1699)),Maps!$D$2:$E$12,2,FALSE()),"Other"))</f>
        <v>M-Pesa</v>
      </c>
      <c r="J1699" s="36" t="str">
        <f aca="false">IF(Raw_Export!$A1699="","",IF(COUNTIF($A$2:A1699,A1699)&gt;1,"Duplicate",""))</f>
        <v>Duplicate</v>
      </c>
      <c r="K1699" s="36" t="str">
        <f aca="false">IF(Raw_Export!$A1699="","",IF(J1699="Duplicate","Duplicate",IF(OR(C1699="UNMAPPED",D1699="UNMAPPED"),"Unmapped",IF(F1699=0,"Blank qty",IF(F1699&lt;0,"Return","OK")))))</f>
        <v>Duplicate</v>
      </c>
      <c r="L1699" s="36" t="n">
        <f aca="false">IF(Raw_Export!$A1699="","",IF(OR(K1699="OK",K1699="Return"),1,0))</f>
        <v>0</v>
      </c>
      <c r="M1699" s="37" t="n">
        <f aca="false">IF(Raw_Export!$A1699="","",B1699-WEEKDAY(B1699,2)+1)</f>
        <v>46265</v>
      </c>
    </row>
    <row r="1700" customFormat="false" ht="15" hidden="false" customHeight="false" outlineLevel="0" collapsed="false">
      <c r="A1700" s="36" t="str">
        <f aca="false">IF(Raw_Export!$A1700="","",TRIM(Raw_Export!A1700))</f>
        <v>TXN-101664</v>
      </c>
      <c r="B1700" s="37" t="n">
        <f aca="false">IF(Raw_Export!$A1700="","",IF(ISNUMBER(Raw_Export!B1700),Raw_Export!B1700,IF(MID(TRIM(Raw_Export!B1700),5,1)="-",DATE(LEFT(TRIM(Raw_Export!B1700),4),MID(TRIM(Raw_Export!B1700),6,2),RIGHT(TRIM(Raw_Export!B1700),2)),DATE(RIGHT(TRIM(Raw_Export!B1700),4),MATCH(MID(TRIM(Raw_Export!B1700),4,3),{"Jan","Feb","Mar","Apr","May","Jun","Jul","Aug","Sep","Oct","Nov","Dec"},0),LEFT(TRIM(Raw_Export!B1700),2)))))</f>
        <v>46276</v>
      </c>
      <c r="C1700" s="36" t="str">
        <f aca="false">IF(Raw_Export!$A1700="","",IFERROR(VLOOKUP(LOWER(TRIM(Raw_Export!C1700)),Maps!$A$2:$B$20,2,FALSE()),"UNMAPPED"))</f>
        <v>Westlands</v>
      </c>
      <c r="D1700" s="36" t="str">
        <f aca="false">IF(Raw_Export!$A1700="","",IFERROR(VLOOKUP(LOWER(TRIM(Raw_Export!D1700)),Maps!$G$2:$I$80,2,FALSE()),"UNMAPPED"))</f>
        <v>Juice 1L</v>
      </c>
      <c r="E1700" s="36" t="str">
        <f aca="false">IF(Raw_Export!$A1700="","",IFERROR(VLOOKUP(LOWER(TRIM(Raw_Export!D1700)),Maps!$G$2:$I$80,3,FALSE()),"UNMAPPED"))</f>
        <v>Beverages</v>
      </c>
      <c r="F1700" s="36" t="n">
        <f aca="false">IF(Raw_Export!$A1700="","",IFERROR(VALUE(TRIM(Raw_Export!E1700)),0))</f>
        <v>1</v>
      </c>
      <c r="G1700" s="38" t="n">
        <f aca="false">IF(Raw_Export!$A1700="","",IFERROR(VALUE(SUBSTITUTE(SUBSTITUTE(UPPER(TRIM(Raw_Export!F1700)),"KES",""),",","")),0))</f>
        <v>210</v>
      </c>
      <c r="H1700" s="38" t="n">
        <f aca="false">IF(Raw_Export!$A1700="","",F1700*G1700)</f>
        <v>210</v>
      </c>
      <c r="I1700" s="36" t="str">
        <f aca="false">IF(Raw_Export!$A1700="","",IFERROR(VLOOKUP(LOWER(TRIM(Raw_Export!H1700)),Maps!$D$2:$E$12,2,FALSE()),"Other"))</f>
        <v>Cash</v>
      </c>
      <c r="J1700" s="36" t="str">
        <f aca="false">IF(Raw_Export!$A1700="","",IF(COUNTIF($A$2:A1700,A1700)&gt;1,"Duplicate",""))</f>
        <v/>
      </c>
      <c r="K1700" s="36" t="str">
        <f aca="false">IF(Raw_Export!$A1700="","",IF(J1700="Duplicate","Duplicate",IF(OR(C1700="UNMAPPED",D1700="UNMAPPED"),"Unmapped",IF(F1700=0,"Blank qty",IF(F1700&lt;0,"Return","OK")))))</f>
        <v>OK</v>
      </c>
      <c r="L1700" s="36" t="n">
        <f aca="false">IF(Raw_Export!$A1700="","",IF(OR(K1700="OK",K1700="Return"),1,0))</f>
        <v>1</v>
      </c>
      <c r="M1700" s="37" t="n">
        <f aca="false">IF(Raw_Export!$A1700="","",B1700-WEEKDAY(B1700,2)+1)</f>
        <v>46272</v>
      </c>
    </row>
    <row r="1701" customFormat="false" ht="15" hidden="false" customHeight="false" outlineLevel="0" collapsed="false">
      <c r="A1701" s="36" t="str">
        <f aca="false">IF(Raw_Export!$A1701="","",TRIM(Raw_Export!A1701))</f>
        <v>TXN-101665</v>
      </c>
      <c r="B1701" s="37" t="n">
        <f aca="false">IF(Raw_Export!$A1701="","",IF(ISNUMBER(Raw_Export!B1701),Raw_Export!B1701,IF(MID(TRIM(Raw_Export!B1701),5,1)="-",DATE(LEFT(TRIM(Raw_Export!B1701),4),MID(TRIM(Raw_Export!B1701),6,2),RIGHT(TRIM(Raw_Export!B1701),2)),DATE(RIGHT(TRIM(Raw_Export!B1701),4),MATCH(MID(TRIM(Raw_Export!B1701),4,3),{"Jan","Feb","Mar","Apr","May","Jun","Jul","Aug","Sep","Oct","Nov","Dec"},0),LEFT(TRIM(Raw_Export!B1701),2)))))</f>
        <v>46276</v>
      </c>
      <c r="C1701" s="36" t="str">
        <f aca="false">IF(Raw_Export!$A1701="","",IFERROR(VLOOKUP(LOWER(TRIM(Raw_Export!C1701)),Maps!$A$2:$B$20,2,FALSE()),"UNMAPPED"))</f>
        <v>Westlands</v>
      </c>
      <c r="D1701" s="36" t="str">
        <f aca="false">IF(Raw_Export!$A1701="","",IFERROR(VLOOKUP(LOWER(TRIM(Raw_Export!D1701)),Maps!$G$2:$I$80,2,FALSE()),"UNMAPPED"))</f>
        <v>Deodorant 150ml</v>
      </c>
      <c r="E1701" s="36" t="str">
        <f aca="false">IF(Raw_Export!$A1701="","",IFERROR(VLOOKUP(LOWER(TRIM(Raw_Export!D1701)),Maps!$G$2:$I$80,3,FALSE()),"UNMAPPED"))</f>
        <v>Personal Care</v>
      </c>
      <c r="F1701" s="36" t="n">
        <f aca="false">IF(Raw_Export!$A1701="","",IFERROR(VALUE(TRIM(Raw_Export!E1701)),0))</f>
        <v>2</v>
      </c>
      <c r="G1701" s="38" t="n">
        <f aca="false">IF(Raw_Export!$A1701="","",IFERROR(VALUE(SUBSTITUTE(SUBSTITUTE(UPPER(TRIM(Raw_Export!F1701)),"KES",""),",","")),0))</f>
        <v>350</v>
      </c>
      <c r="H1701" s="38" t="n">
        <f aca="false">IF(Raw_Export!$A1701="","",F1701*G1701)</f>
        <v>700</v>
      </c>
      <c r="I1701" s="36" t="str">
        <f aca="false">IF(Raw_Export!$A1701="","",IFERROR(VLOOKUP(LOWER(TRIM(Raw_Export!H1701)),Maps!$D$2:$E$12,2,FALSE()),"Other"))</f>
        <v>M-Pesa</v>
      </c>
      <c r="J1701" s="36" t="str">
        <f aca="false">IF(Raw_Export!$A1701="","",IF(COUNTIF($A$2:A1701,A1701)&gt;1,"Duplicate",""))</f>
        <v/>
      </c>
      <c r="K1701" s="36" t="str">
        <f aca="false">IF(Raw_Export!$A1701="","",IF(J1701="Duplicate","Duplicate",IF(OR(C1701="UNMAPPED",D1701="UNMAPPED"),"Unmapped",IF(F1701=0,"Blank qty",IF(F1701&lt;0,"Return","OK")))))</f>
        <v>OK</v>
      </c>
      <c r="L1701" s="36" t="n">
        <f aca="false">IF(Raw_Export!$A1701="","",IF(OR(K1701="OK",K1701="Return"),1,0))</f>
        <v>1</v>
      </c>
      <c r="M1701" s="37" t="n">
        <f aca="false">IF(Raw_Export!$A1701="","",B1701-WEEKDAY(B1701,2)+1)</f>
        <v>46272</v>
      </c>
    </row>
    <row r="1702" customFormat="false" ht="15" hidden="false" customHeight="false" outlineLevel="0" collapsed="false">
      <c r="A1702" s="36" t="str">
        <f aca="false">IF(Raw_Export!$A1702="","",TRIM(Raw_Export!A1702))</f>
        <v>TXN-101666</v>
      </c>
      <c r="B1702" s="37" t="n">
        <f aca="false">IF(Raw_Export!$A1702="","",IF(ISNUMBER(Raw_Export!B1702),Raw_Export!B1702,IF(MID(TRIM(Raw_Export!B1702),5,1)="-",DATE(LEFT(TRIM(Raw_Export!B1702),4),MID(TRIM(Raw_Export!B1702),6,2),RIGHT(TRIM(Raw_Export!B1702),2)),DATE(RIGHT(TRIM(Raw_Export!B1702),4),MATCH(MID(TRIM(Raw_Export!B1702),4,3),{"Jan","Feb","Mar","Apr","May","Jun","Jul","Aug","Sep","Oct","Nov","Dec"},0),LEFT(TRIM(Raw_Export!B1702),2)))))</f>
        <v>46276</v>
      </c>
      <c r="C1702" s="36" t="str">
        <f aca="false">IF(Raw_Export!$A1702="","",IFERROR(VLOOKUP(LOWER(TRIM(Raw_Export!C1702)),Maps!$A$2:$B$20,2,FALSE()),"UNMAPPED"))</f>
        <v>Westlands</v>
      </c>
      <c r="D1702" s="36" t="str">
        <f aca="false">IF(Raw_Export!$A1702="","",IFERROR(VLOOKUP(LOWER(TRIM(Raw_Export!D1702)),Maps!$G$2:$I$80,2,FALSE()),"UNMAPPED"))</f>
        <v>Yoghurt 500ml</v>
      </c>
      <c r="E1702" s="36" t="str">
        <f aca="false">IF(Raw_Export!$A1702="","",IFERROR(VLOOKUP(LOWER(TRIM(Raw_Export!D1702)),Maps!$G$2:$I$80,3,FALSE()),"UNMAPPED"))</f>
        <v>Dairy &amp; Eggs</v>
      </c>
      <c r="F1702" s="36" t="n">
        <f aca="false">IF(Raw_Export!$A1702="","",IFERROR(VALUE(TRIM(Raw_Export!E1702)),0))</f>
        <v>4</v>
      </c>
      <c r="G1702" s="38" t="n">
        <f aca="false">IF(Raw_Export!$A1702="","",IFERROR(VALUE(SUBSTITUTE(SUBSTITUTE(UPPER(TRIM(Raw_Export!F1702)),"KES",""),",","")),0))</f>
        <v>120</v>
      </c>
      <c r="H1702" s="38" t="n">
        <f aca="false">IF(Raw_Export!$A1702="","",F1702*G1702)</f>
        <v>480</v>
      </c>
      <c r="I1702" s="36" t="str">
        <f aca="false">IF(Raw_Export!$A1702="","",IFERROR(VLOOKUP(LOWER(TRIM(Raw_Export!H1702)),Maps!$D$2:$E$12,2,FALSE()),"Other"))</f>
        <v>M-Pesa</v>
      </c>
      <c r="J1702" s="36" t="str">
        <f aca="false">IF(Raw_Export!$A1702="","",IF(COUNTIF($A$2:A1702,A1702)&gt;1,"Duplicate",""))</f>
        <v/>
      </c>
      <c r="K1702" s="36" t="str">
        <f aca="false">IF(Raw_Export!$A1702="","",IF(J1702="Duplicate","Duplicate",IF(OR(C1702="UNMAPPED",D1702="UNMAPPED"),"Unmapped",IF(F1702=0,"Blank qty",IF(F1702&lt;0,"Return","OK")))))</f>
        <v>OK</v>
      </c>
      <c r="L1702" s="36" t="n">
        <f aca="false">IF(Raw_Export!$A1702="","",IF(OR(K1702="OK",K1702="Return"),1,0))</f>
        <v>1</v>
      </c>
      <c r="M1702" s="37" t="n">
        <f aca="false">IF(Raw_Export!$A1702="","",B1702-WEEKDAY(B1702,2)+1)</f>
        <v>46272</v>
      </c>
    </row>
    <row r="1703" customFormat="false" ht="15" hidden="false" customHeight="false" outlineLevel="0" collapsed="false">
      <c r="A1703" s="36" t="str">
        <f aca="false">IF(Raw_Export!$A1703="","",TRIM(Raw_Export!A1703))</f>
        <v>TXN-101667</v>
      </c>
      <c r="B1703" s="37" t="n">
        <f aca="false">IF(Raw_Export!$A1703="","",IF(ISNUMBER(Raw_Export!B1703),Raw_Export!B1703,IF(MID(TRIM(Raw_Export!B1703),5,1)="-",DATE(LEFT(TRIM(Raw_Export!B1703),4),MID(TRIM(Raw_Export!B1703),6,2),RIGHT(TRIM(Raw_Export!B1703),2)),DATE(RIGHT(TRIM(Raw_Export!B1703),4),MATCH(MID(TRIM(Raw_Export!B1703),4,3),{"Jan","Feb","Mar","Apr","May","Jun","Jul","Aug","Sep","Oct","Nov","Dec"},0),LEFT(TRIM(Raw_Export!B1703),2)))))</f>
        <v>46276</v>
      </c>
      <c r="C1703" s="36" t="str">
        <f aca="false">IF(Raw_Export!$A1703="","",IFERROR(VLOOKUP(LOWER(TRIM(Raw_Export!C1703)),Maps!$A$2:$B$20,2,FALSE()),"UNMAPPED"))</f>
        <v>Westlands</v>
      </c>
      <c r="D1703" s="36" t="str">
        <f aca="false">IF(Raw_Export!$A1703="","",IFERROR(VLOOKUP(LOWER(TRIM(Raw_Export!D1703)),Maps!$G$2:$I$80,2,FALSE()),"UNMAPPED"))</f>
        <v>Toothpaste 100g</v>
      </c>
      <c r="E1703" s="36" t="str">
        <f aca="false">IF(Raw_Export!$A1703="","",IFERROR(VLOOKUP(LOWER(TRIM(Raw_Export!D1703)),Maps!$G$2:$I$80,3,FALSE()),"UNMAPPED"))</f>
        <v>Personal Care</v>
      </c>
      <c r="F1703" s="36" t="n">
        <f aca="false">IF(Raw_Export!$A1703="","",IFERROR(VALUE(TRIM(Raw_Export!E1703)),0))</f>
        <v>3</v>
      </c>
      <c r="G1703" s="38" t="n">
        <f aca="false">IF(Raw_Export!$A1703="","",IFERROR(VALUE(SUBSTITUTE(SUBSTITUTE(UPPER(TRIM(Raw_Export!F1703)),"KES",""),",","")),0))</f>
        <v>195</v>
      </c>
      <c r="H1703" s="38" t="n">
        <f aca="false">IF(Raw_Export!$A1703="","",F1703*G1703)</f>
        <v>585</v>
      </c>
      <c r="I1703" s="36" t="str">
        <f aca="false">IF(Raw_Export!$A1703="","",IFERROR(VLOOKUP(LOWER(TRIM(Raw_Export!H1703)),Maps!$D$2:$E$12,2,FALSE()),"Other"))</f>
        <v>Cash</v>
      </c>
      <c r="J1703" s="36" t="str">
        <f aca="false">IF(Raw_Export!$A1703="","",IF(COUNTIF($A$2:A1703,A1703)&gt;1,"Duplicate",""))</f>
        <v/>
      </c>
      <c r="K1703" s="36" t="str">
        <f aca="false">IF(Raw_Export!$A1703="","",IF(J1703="Duplicate","Duplicate",IF(OR(C1703="UNMAPPED",D1703="UNMAPPED"),"Unmapped",IF(F1703=0,"Blank qty",IF(F1703&lt;0,"Return","OK")))))</f>
        <v>OK</v>
      </c>
      <c r="L1703" s="36" t="n">
        <f aca="false">IF(Raw_Export!$A1703="","",IF(OR(K1703="OK",K1703="Return"),1,0))</f>
        <v>1</v>
      </c>
      <c r="M1703" s="37" t="n">
        <f aca="false">IF(Raw_Export!$A1703="","",B1703-WEEKDAY(B1703,2)+1)</f>
        <v>46272</v>
      </c>
    </row>
    <row r="1704" customFormat="false" ht="15" hidden="false" customHeight="false" outlineLevel="0" collapsed="false">
      <c r="A1704" s="36" t="str">
        <f aca="false">IF(Raw_Export!$A1704="","",TRIM(Raw_Export!A1704))</f>
        <v>TXN-101668</v>
      </c>
      <c r="B1704" s="37" t="n">
        <f aca="false">IF(Raw_Export!$A1704="","",IF(ISNUMBER(Raw_Export!B1704),Raw_Export!B1704,IF(MID(TRIM(Raw_Export!B1704),5,1)="-",DATE(LEFT(TRIM(Raw_Export!B1704),4),MID(TRIM(Raw_Export!B1704),6,2),RIGHT(TRIM(Raw_Export!B1704),2)),DATE(RIGHT(TRIM(Raw_Export!B1704),4),MATCH(MID(TRIM(Raw_Export!B1704),4,3),{"Jan","Feb","Mar","Apr","May","Jun","Jul","Aug","Sep","Oct","Nov","Dec"},0),LEFT(TRIM(Raw_Export!B1704),2)))))</f>
        <v>46276</v>
      </c>
      <c r="C1704" s="36" t="str">
        <f aca="false">IF(Raw_Export!$A1704="","",IFERROR(VLOOKUP(LOWER(TRIM(Raw_Export!C1704)),Maps!$A$2:$B$20,2,FALSE()),"UNMAPPED"))</f>
        <v>Westlands</v>
      </c>
      <c r="D1704" s="36" t="str">
        <f aca="false">IF(Raw_Export!$A1704="","",IFERROR(VLOOKUP(LOWER(TRIM(Raw_Export!D1704)),Maps!$G$2:$I$80,2,FALSE()),"UNMAPPED"))</f>
        <v>Bottled Water 1.5L</v>
      </c>
      <c r="E1704" s="36" t="str">
        <f aca="false">IF(Raw_Export!$A1704="","",IFERROR(VLOOKUP(LOWER(TRIM(Raw_Export!D1704)),Maps!$G$2:$I$80,3,FALSE()),"UNMAPPED"))</f>
        <v>Beverages</v>
      </c>
      <c r="F1704" s="36" t="n">
        <f aca="false">IF(Raw_Export!$A1704="","",IFERROR(VALUE(TRIM(Raw_Export!E1704)),0))</f>
        <v>1</v>
      </c>
      <c r="G1704" s="38" t="n">
        <f aca="false">IF(Raw_Export!$A1704="","",IFERROR(VALUE(SUBSTITUTE(SUBSTITUTE(UPPER(TRIM(Raw_Export!F1704)),"KES",""),",","")),0))</f>
        <v>90</v>
      </c>
      <c r="H1704" s="38" t="n">
        <f aca="false">IF(Raw_Export!$A1704="","",F1704*G1704)</f>
        <v>90</v>
      </c>
      <c r="I1704" s="36" t="str">
        <f aca="false">IF(Raw_Export!$A1704="","",IFERROR(VLOOKUP(LOWER(TRIM(Raw_Export!H1704)),Maps!$D$2:$E$12,2,FALSE()),"Other"))</f>
        <v>Cash</v>
      </c>
      <c r="J1704" s="36" t="str">
        <f aca="false">IF(Raw_Export!$A1704="","",IF(COUNTIF($A$2:A1704,A1704)&gt;1,"Duplicate",""))</f>
        <v/>
      </c>
      <c r="K1704" s="36" t="str">
        <f aca="false">IF(Raw_Export!$A1704="","",IF(J1704="Duplicate","Duplicate",IF(OR(C1704="UNMAPPED",D1704="UNMAPPED"),"Unmapped",IF(F1704=0,"Blank qty",IF(F1704&lt;0,"Return","OK")))))</f>
        <v>OK</v>
      </c>
      <c r="L1704" s="36" t="n">
        <f aca="false">IF(Raw_Export!$A1704="","",IF(OR(K1704="OK",K1704="Return"),1,0))</f>
        <v>1</v>
      </c>
      <c r="M1704" s="37" t="n">
        <f aca="false">IF(Raw_Export!$A1704="","",B1704-WEEKDAY(B1704,2)+1)</f>
        <v>46272</v>
      </c>
    </row>
    <row r="1705" customFormat="false" ht="15" hidden="false" customHeight="false" outlineLevel="0" collapsed="false">
      <c r="A1705" s="36" t="str">
        <f aca="false">IF(Raw_Export!$A1705="","",TRIM(Raw_Export!A1705))</f>
        <v>TXN-101669</v>
      </c>
      <c r="B1705" s="37" t="n">
        <f aca="false">IF(Raw_Export!$A1705="","",IF(ISNUMBER(Raw_Export!B1705),Raw_Export!B1705,IF(MID(TRIM(Raw_Export!B1705),5,1)="-",DATE(LEFT(TRIM(Raw_Export!B1705),4),MID(TRIM(Raw_Export!B1705),6,2),RIGHT(TRIM(Raw_Export!B1705),2)),DATE(RIGHT(TRIM(Raw_Export!B1705),4),MATCH(MID(TRIM(Raw_Export!B1705),4,3),{"Jan","Feb","Mar","Apr","May","Jun","Jul","Aug","Sep","Oct","Nov","Dec"},0),LEFT(TRIM(Raw_Export!B1705),2)))))</f>
        <v>46276</v>
      </c>
      <c r="C1705" s="36" t="str">
        <f aca="false">IF(Raw_Export!$A1705="","",IFERROR(VLOOKUP(LOWER(TRIM(Raw_Export!C1705)),Maps!$A$2:$B$20,2,FALSE()),"UNMAPPED"))</f>
        <v>Westlands</v>
      </c>
      <c r="D1705" s="36" t="str">
        <f aca="false">IF(Raw_Export!$A1705="","",IFERROR(VLOOKUP(LOWER(TRIM(Raw_Export!D1705)),Maps!$G$2:$I$80,2,FALSE()),"UNMAPPED"))</f>
        <v>UNMAPPED</v>
      </c>
      <c r="E1705" s="36" t="str">
        <f aca="false">IF(Raw_Export!$A1705="","",IFERROR(VLOOKUP(LOWER(TRIM(Raw_Export!D1705)),Maps!$G$2:$I$80,3,FALSE()),"UNMAPPED"))</f>
        <v>UNMAPPED</v>
      </c>
      <c r="F1705" s="36" t="n">
        <f aca="false">IF(Raw_Export!$A1705="","",IFERROR(VALUE(TRIM(Raw_Export!E1705)),0))</f>
        <v>1</v>
      </c>
      <c r="G1705" s="38" t="n">
        <f aca="false">IF(Raw_Export!$A1705="","",IFERROR(VALUE(SUBSTITUTE(SUBSTITUTE(UPPER(TRIM(Raw_Export!F1705)),"KES",""),",","")),0))</f>
        <v>450</v>
      </c>
      <c r="H1705" s="38" t="n">
        <f aca="false">IF(Raw_Export!$A1705="","",F1705*G1705)</f>
        <v>450</v>
      </c>
      <c r="I1705" s="36" t="str">
        <f aca="false">IF(Raw_Export!$A1705="","",IFERROR(VLOOKUP(LOWER(TRIM(Raw_Export!H1705)),Maps!$D$2:$E$12,2,FALSE()),"Other"))</f>
        <v>M-Pesa</v>
      </c>
      <c r="J1705" s="36" t="str">
        <f aca="false">IF(Raw_Export!$A1705="","",IF(COUNTIF($A$2:A1705,A1705)&gt;1,"Duplicate",""))</f>
        <v/>
      </c>
      <c r="K1705" s="36" t="str">
        <f aca="false">IF(Raw_Export!$A1705="","",IF(J1705="Duplicate","Duplicate",IF(OR(C1705="UNMAPPED",D1705="UNMAPPED"),"Unmapped",IF(F1705=0,"Blank qty",IF(F1705&lt;0,"Return","OK")))))</f>
        <v>Unmapped</v>
      </c>
      <c r="L1705" s="36" t="n">
        <f aca="false">IF(Raw_Export!$A1705="","",IF(OR(K1705="OK",K1705="Return"),1,0))</f>
        <v>0</v>
      </c>
      <c r="M1705" s="37" t="n">
        <f aca="false">IF(Raw_Export!$A1705="","",B1705-WEEKDAY(B1705,2)+1)</f>
        <v>46272</v>
      </c>
    </row>
    <row r="1706" customFormat="false" ht="15" hidden="false" customHeight="false" outlineLevel="0" collapsed="false">
      <c r="A1706" s="36" t="str">
        <f aca="false">IF(Raw_Export!$A1706="","",TRIM(Raw_Export!A1706))</f>
        <v>TXN-101670</v>
      </c>
      <c r="B1706" s="37" t="n">
        <f aca="false">IF(Raw_Export!$A1706="","",IF(ISNUMBER(Raw_Export!B1706),Raw_Export!B1706,IF(MID(TRIM(Raw_Export!B1706),5,1)="-",DATE(LEFT(TRIM(Raw_Export!B1706),4),MID(TRIM(Raw_Export!B1706),6,2),RIGHT(TRIM(Raw_Export!B1706),2)),DATE(RIGHT(TRIM(Raw_Export!B1706),4),MATCH(MID(TRIM(Raw_Export!B1706),4,3),{"Jan","Feb","Mar","Apr","May","Jun","Jul","Aug","Sep","Oct","Nov","Dec"},0),LEFT(TRIM(Raw_Export!B1706),2)))))</f>
        <v>46276</v>
      </c>
      <c r="C1706" s="36" t="str">
        <f aca="false">IF(Raw_Export!$A1706="","",IFERROR(VLOOKUP(LOWER(TRIM(Raw_Export!C1706)),Maps!$A$2:$B$20,2,FALSE()),"UNMAPPED"))</f>
        <v>Westlands</v>
      </c>
      <c r="D1706" s="36" t="str">
        <f aca="false">IF(Raw_Export!$A1706="","",IFERROR(VLOOKUP(LOWER(TRIM(Raw_Export!D1706)),Maps!$G$2:$I$80,2,FALSE()),"UNMAPPED"))</f>
        <v>Cooking Oil 1L</v>
      </c>
      <c r="E1706" s="36" t="str">
        <f aca="false">IF(Raw_Export!$A1706="","",IFERROR(VLOOKUP(LOWER(TRIM(Raw_Export!D1706)),Maps!$G$2:$I$80,3,FALSE()),"UNMAPPED"))</f>
        <v>Staples</v>
      </c>
      <c r="F1706" s="36" t="n">
        <f aca="false">IF(Raw_Export!$A1706="","",IFERROR(VALUE(TRIM(Raw_Export!E1706)),0))</f>
        <v>2</v>
      </c>
      <c r="G1706" s="38" t="n">
        <f aca="false">IF(Raw_Export!$A1706="","",IFERROR(VALUE(SUBSTITUTE(SUBSTITUTE(UPPER(TRIM(Raw_Export!F1706)),"KES",""),",","")),0))</f>
        <v>330</v>
      </c>
      <c r="H1706" s="38" t="n">
        <f aca="false">IF(Raw_Export!$A1706="","",F1706*G1706)</f>
        <v>660</v>
      </c>
      <c r="I1706" s="36" t="str">
        <f aca="false">IF(Raw_Export!$A1706="","",IFERROR(VLOOKUP(LOWER(TRIM(Raw_Export!H1706)),Maps!$D$2:$E$12,2,FALSE()),"Other"))</f>
        <v>M-Pesa</v>
      </c>
      <c r="J1706" s="36" t="str">
        <f aca="false">IF(Raw_Export!$A1706="","",IF(COUNTIF($A$2:A1706,A1706)&gt;1,"Duplicate",""))</f>
        <v/>
      </c>
      <c r="K1706" s="36" t="str">
        <f aca="false">IF(Raw_Export!$A1706="","",IF(J1706="Duplicate","Duplicate",IF(OR(C1706="UNMAPPED",D1706="UNMAPPED"),"Unmapped",IF(F1706=0,"Blank qty",IF(F1706&lt;0,"Return","OK")))))</f>
        <v>OK</v>
      </c>
      <c r="L1706" s="36" t="n">
        <f aca="false">IF(Raw_Export!$A1706="","",IF(OR(K1706="OK",K1706="Return"),1,0))</f>
        <v>1</v>
      </c>
      <c r="M1706" s="37" t="n">
        <f aca="false">IF(Raw_Export!$A1706="","",B1706-WEEKDAY(B1706,2)+1)</f>
        <v>46272</v>
      </c>
    </row>
    <row r="1707" customFormat="false" ht="15" hidden="false" customHeight="false" outlineLevel="0" collapsed="false">
      <c r="A1707" s="36" t="str">
        <f aca="false">IF(Raw_Export!$A1707="","",TRIM(Raw_Export!A1707))</f>
        <v>TXN-101671</v>
      </c>
      <c r="B1707" s="37" t="n">
        <f aca="false">IF(Raw_Export!$A1707="","",IF(ISNUMBER(Raw_Export!B1707),Raw_Export!B1707,IF(MID(TRIM(Raw_Export!B1707),5,1)="-",DATE(LEFT(TRIM(Raw_Export!B1707),4),MID(TRIM(Raw_Export!B1707),6,2),RIGHT(TRIM(Raw_Export!B1707),2)),DATE(RIGHT(TRIM(Raw_Export!B1707),4),MATCH(MID(TRIM(Raw_Export!B1707),4,3),{"Jan","Feb","Mar","Apr","May","Jun","Jul","Aug","Sep","Oct","Nov","Dec"},0),LEFT(TRIM(Raw_Export!B1707),2)))))</f>
        <v>46276</v>
      </c>
      <c r="C1707" s="36" t="str">
        <f aca="false">IF(Raw_Export!$A1707="","",IFERROR(VLOOKUP(LOWER(TRIM(Raw_Export!C1707)),Maps!$A$2:$B$20,2,FALSE()),"UNMAPPED"))</f>
        <v>Westlands</v>
      </c>
      <c r="D1707" s="36" t="str">
        <f aca="false">IF(Raw_Export!$A1707="","",IFERROR(VLOOKUP(LOWER(TRIM(Raw_Export!D1707)),Maps!$G$2:$I$80,2,FALSE()),"UNMAPPED"))</f>
        <v>Dish Soap 750ml</v>
      </c>
      <c r="E1707" s="36" t="str">
        <f aca="false">IF(Raw_Export!$A1707="","",IFERROR(VLOOKUP(LOWER(TRIM(Raw_Export!D1707)),Maps!$G$2:$I$80,3,FALSE()),"UNMAPPED"))</f>
        <v>Household</v>
      </c>
      <c r="F1707" s="36" t="n">
        <f aca="false">IF(Raw_Export!$A1707="","",IFERROR(VALUE(TRIM(Raw_Export!E1707)),0))</f>
        <v>6</v>
      </c>
      <c r="G1707" s="38" t="n">
        <f aca="false">IF(Raw_Export!$A1707="","",IFERROR(VALUE(SUBSTITUTE(SUBSTITUTE(UPPER(TRIM(Raw_Export!F1707)),"KES",""),",","")),0))</f>
        <v>190</v>
      </c>
      <c r="H1707" s="38" t="n">
        <f aca="false">IF(Raw_Export!$A1707="","",F1707*G1707)</f>
        <v>1140</v>
      </c>
      <c r="I1707" s="36" t="str">
        <f aca="false">IF(Raw_Export!$A1707="","",IFERROR(VLOOKUP(LOWER(TRIM(Raw_Export!H1707)),Maps!$D$2:$E$12,2,FALSE()),"Other"))</f>
        <v>M-Pesa</v>
      </c>
      <c r="J1707" s="36" t="str">
        <f aca="false">IF(Raw_Export!$A1707="","",IF(COUNTIF($A$2:A1707,A1707)&gt;1,"Duplicate",""))</f>
        <v/>
      </c>
      <c r="K1707" s="36" t="str">
        <f aca="false">IF(Raw_Export!$A1707="","",IF(J1707="Duplicate","Duplicate",IF(OR(C1707="UNMAPPED",D1707="UNMAPPED"),"Unmapped",IF(F1707=0,"Blank qty",IF(F1707&lt;0,"Return","OK")))))</f>
        <v>OK</v>
      </c>
      <c r="L1707" s="36" t="n">
        <f aca="false">IF(Raw_Export!$A1707="","",IF(OR(K1707="OK",K1707="Return"),1,0))</f>
        <v>1</v>
      </c>
      <c r="M1707" s="37" t="n">
        <f aca="false">IF(Raw_Export!$A1707="","",B1707-WEEKDAY(B1707,2)+1)</f>
        <v>46272</v>
      </c>
    </row>
    <row r="1708" customFormat="false" ht="15" hidden="false" customHeight="false" outlineLevel="0" collapsed="false">
      <c r="A1708" s="36" t="str">
        <f aca="false">IF(Raw_Export!$A1708="","",TRIM(Raw_Export!A1708))</f>
        <v>TXN-101672</v>
      </c>
      <c r="B1708" s="37" t="n">
        <f aca="false">IF(Raw_Export!$A1708="","",IF(ISNUMBER(Raw_Export!B1708),Raw_Export!B1708,IF(MID(TRIM(Raw_Export!B1708),5,1)="-",DATE(LEFT(TRIM(Raw_Export!B1708),4),MID(TRIM(Raw_Export!B1708),6,2),RIGHT(TRIM(Raw_Export!B1708),2)),DATE(RIGHT(TRIM(Raw_Export!B1708),4),MATCH(MID(TRIM(Raw_Export!B1708),4,3),{"Jan","Feb","Mar","Apr","May","Jun","Jul","Aug","Sep","Oct","Nov","Dec"},0),LEFT(TRIM(Raw_Export!B1708),2)))))</f>
        <v>46276</v>
      </c>
      <c r="C1708" s="36" t="str">
        <f aca="false">IF(Raw_Export!$A1708="","",IFERROR(VLOOKUP(LOWER(TRIM(Raw_Export!C1708)),Maps!$A$2:$B$20,2,FALSE()),"UNMAPPED"))</f>
        <v>Westlands</v>
      </c>
      <c r="D1708" s="36" t="str">
        <f aca="false">IF(Raw_Export!$A1708="","",IFERROR(VLOOKUP(LOWER(TRIM(Raw_Export!D1708)),Maps!$G$2:$I$80,2,FALSE()),"UNMAPPED"))</f>
        <v>Body Lotion 400ml</v>
      </c>
      <c r="E1708" s="36" t="str">
        <f aca="false">IF(Raw_Export!$A1708="","",IFERROR(VLOOKUP(LOWER(TRIM(Raw_Export!D1708)),Maps!$G$2:$I$80,3,FALSE()),"UNMAPPED"))</f>
        <v>Personal Care</v>
      </c>
      <c r="F1708" s="36" t="n">
        <f aca="false">IF(Raw_Export!$A1708="","",IFERROR(VALUE(TRIM(Raw_Export!E1708)),0))</f>
        <v>-4</v>
      </c>
      <c r="G1708" s="38" t="n">
        <f aca="false">IF(Raw_Export!$A1708="","",IFERROR(VALUE(SUBSTITUTE(SUBSTITUTE(UPPER(TRIM(Raw_Export!F1708)),"KES",""),",","")),0))</f>
        <v>420</v>
      </c>
      <c r="H1708" s="38" t="n">
        <f aca="false">IF(Raw_Export!$A1708="","",F1708*G1708)</f>
        <v>-1680</v>
      </c>
      <c r="I1708" s="36" t="str">
        <f aca="false">IF(Raw_Export!$A1708="","",IFERROR(VLOOKUP(LOWER(TRIM(Raw_Export!H1708)),Maps!$D$2:$E$12,2,FALSE()),"Other"))</f>
        <v>Cash</v>
      </c>
      <c r="J1708" s="36" t="str">
        <f aca="false">IF(Raw_Export!$A1708="","",IF(COUNTIF($A$2:A1708,A1708)&gt;1,"Duplicate",""))</f>
        <v/>
      </c>
      <c r="K1708" s="36" t="str">
        <f aca="false">IF(Raw_Export!$A1708="","",IF(J1708="Duplicate","Duplicate",IF(OR(C1708="UNMAPPED",D1708="UNMAPPED"),"Unmapped",IF(F1708=0,"Blank qty",IF(F1708&lt;0,"Return","OK")))))</f>
        <v>Return</v>
      </c>
      <c r="L1708" s="36" t="n">
        <f aca="false">IF(Raw_Export!$A1708="","",IF(OR(K1708="OK",K1708="Return"),1,0))</f>
        <v>1</v>
      </c>
      <c r="M1708" s="37" t="n">
        <f aca="false">IF(Raw_Export!$A1708="","",B1708-WEEKDAY(B1708,2)+1)</f>
        <v>46272</v>
      </c>
    </row>
    <row r="1709" customFormat="false" ht="15" hidden="false" customHeight="false" outlineLevel="0" collapsed="false">
      <c r="A1709" s="36" t="str">
        <f aca="false">IF(Raw_Export!$A1709="","",TRIM(Raw_Export!A1709))</f>
        <v>TXN-101673</v>
      </c>
      <c r="B1709" s="37" t="n">
        <f aca="false">IF(Raw_Export!$A1709="","",IF(ISNUMBER(Raw_Export!B1709),Raw_Export!B1709,IF(MID(TRIM(Raw_Export!B1709),5,1)="-",DATE(LEFT(TRIM(Raw_Export!B1709),4),MID(TRIM(Raw_Export!B1709),6,2),RIGHT(TRIM(Raw_Export!B1709),2)),DATE(RIGHT(TRIM(Raw_Export!B1709),4),MATCH(MID(TRIM(Raw_Export!B1709),4,3),{"Jan","Feb","Mar","Apr","May","Jun","Jul","Aug","Sep","Oct","Nov","Dec"},0),LEFT(TRIM(Raw_Export!B1709),2)))))</f>
        <v>46276</v>
      </c>
      <c r="C1709" s="36" t="str">
        <f aca="false">IF(Raw_Export!$A1709="","",IFERROR(VLOOKUP(LOWER(TRIM(Raw_Export!C1709)),Maps!$A$2:$B$20,2,FALSE()),"UNMAPPED"))</f>
        <v>Westlands</v>
      </c>
      <c r="D1709" s="36" t="str">
        <f aca="false">IF(Raw_Export!$A1709="","",IFERROR(VLOOKUP(LOWER(TRIM(Raw_Export!D1709)),Maps!$G$2:$I$80,2,FALSE()),"UNMAPPED"))</f>
        <v>Soda 500ml</v>
      </c>
      <c r="E1709" s="36" t="str">
        <f aca="false">IF(Raw_Export!$A1709="","",IFERROR(VLOOKUP(LOWER(TRIM(Raw_Export!D1709)),Maps!$G$2:$I$80,3,FALSE()),"UNMAPPED"))</f>
        <v>Beverages</v>
      </c>
      <c r="F1709" s="36" t="n">
        <f aca="false">IF(Raw_Export!$A1709="","",IFERROR(VALUE(TRIM(Raw_Export!E1709)),0))</f>
        <v>1</v>
      </c>
      <c r="G1709" s="38" t="n">
        <f aca="false">IF(Raw_Export!$A1709="","",IFERROR(VALUE(SUBSTITUTE(SUBSTITUTE(UPPER(TRIM(Raw_Export!F1709)),"KES",""),",","")),0))</f>
        <v>60</v>
      </c>
      <c r="H1709" s="38" t="n">
        <f aca="false">IF(Raw_Export!$A1709="","",F1709*G1709)</f>
        <v>60</v>
      </c>
      <c r="I1709" s="36" t="str">
        <f aca="false">IF(Raw_Export!$A1709="","",IFERROR(VLOOKUP(LOWER(TRIM(Raw_Export!H1709)),Maps!$D$2:$E$12,2,FALSE()),"Other"))</f>
        <v>M-Pesa</v>
      </c>
      <c r="J1709" s="36" t="str">
        <f aca="false">IF(Raw_Export!$A1709="","",IF(COUNTIF($A$2:A1709,A1709)&gt;1,"Duplicate",""))</f>
        <v/>
      </c>
      <c r="K1709" s="36" t="str">
        <f aca="false">IF(Raw_Export!$A1709="","",IF(J1709="Duplicate","Duplicate",IF(OR(C1709="UNMAPPED",D1709="UNMAPPED"),"Unmapped",IF(F1709=0,"Blank qty",IF(F1709&lt;0,"Return","OK")))))</f>
        <v>OK</v>
      </c>
      <c r="L1709" s="36" t="n">
        <f aca="false">IF(Raw_Export!$A1709="","",IF(OR(K1709="OK",K1709="Return"),1,0))</f>
        <v>1</v>
      </c>
      <c r="M1709" s="37" t="n">
        <f aca="false">IF(Raw_Export!$A1709="","",B1709-WEEKDAY(B1709,2)+1)</f>
        <v>46272</v>
      </c>
    </row>
    <row r="1710" customFormat="false" ht="15" hidden="false" customHeight="false" outlineLevel="0" collapsed="false">
      <c r="A1710" s="36" t="str">
        <f aca="false">IF(Raw_Export!$A1710="","",TRIM(Raw_Export!A1710))</f>
        <v>TXN-101674</v>
      </c>
      <c r="B1710" s="37" t="n">
        <f aca="false">IF(Raw_Export!$A1710="","",IF(ISNUMBER(Raw_Export!B1710),Raw_Export!B1710,IF(MID(TRIM(Raw_Export!B1710),5,1)="-",DATE(LEFT(TRIM(Raw_Export!B1710),4),MID(TRIM(Raw_Export!B1710),6,2),RIGHT(TRIM(Raw_Export!B1710),2)),DATE(RIGHT(TRIM(Raw_Export!B1710),4),MATCH(MID(TRIM(Raw_Export!B1710),4,3),{"Jan","Feb","Mar","Apr","May","Jun","Jul","Aug","Sep","Oct","Nov","Dec"},0),LEFT(TRIM(Raw_Export!B1710),2)))))</f>
        <v>46276</v>
      </c>
      <c r="C1710" s="36" t="str">
        <f aca="false">IF(Raw_Export!$A1710="","",IFERROR(VLOOKUP(LOWER(TRIM(Raw_Export!C1710)),Maps!$A$2:$B$20,2,FALSE()),"UNMAPPED"))</f>
        <v>Westlands</v>
      </c>
      <c r="D1710" s="36" t="str">
        <f aca="false">IF(Raw_Export!$A1710="","",IFERROR(VLOOKUP(LOWER(TRIM(Raw_Export!D1710)),Maps!$G$2:$I$80,2,FALSE()),"UNMAPPED"))</f>
        <v>Sugar 2kg</v>
      </c>
      <c r="E1710" s="36" t="str">
        <f aca="false">IF(Raw_Export!$A1710="","",IFERROR(VLOOKUP(LOWER(TRIM(Raw_Export!D1710)),Maps!$G$2:$I$80,3,FALSE()),"UNMAPPED"))</f>
        <v>Staples</v>
      </c>
      <c r="F1710" s="36" t="n">
        <f aca="false">IF(Raw_Export!$A1710="","",IFERROR(VALUE(TRIM(Raw_Export!E1710)),0))</f>
        <v>1</v>
      </c>
      <c r="G1710" s="38" t="n">
        <f aca="false">IF(Raw_Export!$A1710="","",IFERROR(VALUE(SUBSTITUTE(SUBSTITUTE(UPPER(TRIM(Raw_Export!F1710)),"KES",""),",","")),0))</f>
        <v>330</v>
      </c>
      <c r="H1710" s="38" t="n">
        <f aca="false">IF(Raw_Export!$A1710="","",F1710*G1710)</f>
        <v>330</v>
      </c>
      <c r="I1710" s="36" t="str">
        <f aca="false">IF(Raw_Export!$A1710="","",IFERROR(VLOOKUP(LOWER(TRIM(Raw_Export!H1710)),Maps!$D$2:$E$12,2,FALSE()),"Other"))</f>
        <v>M-Pesa</v>
      </c>
      <c r="J1710" s="36" t="str">
        <f aca="false">IF(Raw_Export!$A1710="","",IF(COUNTIF($A$2:A1710,A1710)&gt;1,"Duplicate",""))</f>
        <v/>
      </c>
      <c r="K1710" s="36" t="str">
        <f aca="false">IF(Raw_Export!$A1710="","",IF(J1710="Duplicate","Duplicate",IF(OR(C1710="UNMAPPED",D1710="UNMAPPED"),"Unmapped",IF(F1710=0,"Blank qty",IF(F1710&lt;0,"Return","OK")))))</f>
        <v>OK</v>
      </c>
      <c r="L1710" s="36" t="n">
        <f aca="false">IF(Raw_Export!$A1710="","",IF(OR(K1710="OK",K1710="Return"),1,0))</f>
        <v>1</v>
      </c>
      <c r="M1710" s="37" t="n">
        <f aca="false">IF(Raw_Export!$A1710="","",B1710-WEEKDAY(B1710,2)+1)</f>
        <v>46272</v>
      </c>
    </row>
    <row r="1711" customFormat="false" ht="15" hidden="false" customHeight="false" outlineLevel="0" collapsed="false">
      <c r="A1711" s="36" t="str">
        <f aca="false">IF(Raw_Export!$A1711="","",TRIM(Raw_Export!A1711))</f>
        <v>TXN-101675</v>
      </c>
      <c r="B1711" s="37" t="n">
        <f aca="false">IF(Raw_Export!$A1711="","",IF(ISNUMBER(Raw_Export!B1711),Raw_Export!B1711,IF(MID(TRIM(Raw_Export!B1711),5,1)="-",DATE(LEFT(TRIM(Raw_Export!B1711),4),MID(TRIM(Raw_Export!B1711),6,2),RIGHT(TRIM(Raw_Export!B1711),2)),DATE(RIGHT(TRIM(Raw_Export!B1711),4),MATCH(MID(TRIM(Raw_Export!B1711),4,3),{"Jan","Feb","Mar","Apr","May","Jun","Jul","Aug","Sep","Oct","Nov","Dec"},0),LEFT(TRIM(Raw_Export!B1711),2)))))</f>
        <v>46276</v>
      </c>
      <c r="C1711" s="36" t="str">
        <f aca="false">IF(Raw_Export!$A1711="","",IFERROR(VLOOKUP(LOWER(TRIM(Raw_Export!C1711)),Maps!$A$2:$B$20,2,FALSE()),"UNMAPPED"))</f>
        <v>Westlands</v>
      </c>
      <c r="D1711" s="36" t="str">
        <f aca="false">IF(Raw_Export!$A1711="","",IFERROR(VLOOKUP(LOWER(TRIM(Raw_Export!D1711)),Maps!$G$2:$I$80,2,FALSE()),"UNMAPPED"))</f>
        <v>Washing Powder 1kg</v>
      </c>
      <c r="E1711" s="36" t="str">
        <f aca="false">IF(Raw_Export!$A1711="","",IFERROR(VLOOKUP(LOWER(TRIM(Raw_Export!D1711)),Maps!$G$2:$I$80,3,FALSE()),"UNMAPPED"))</f>
        <v>Household</v>
      </c>
      <c r="F1711" s="36" t="n">
        <f aca="false">IF(Raw_Export!$A1711="","",IFERROR(VALUE(TRIM(Raw_Export!E1711)),0))</f>
        <v>1</v>
      </c>
      <c r="G1711" s="38" t="n">
        <f aca="false">IF(Raw_Export!$A1711="","",IFERROR(VALUE(SUBSTITUTE(SUBSTITUTE(UPPER(TRIM(Raw_Export!F1711)),"KES",""),",","")),0))</f>
        <v>280</v>
      </c>
      <c r="H1711" s="38" t="n">
        <f aca="false">IF(Raw_Export!$A1711="","",F1711*G1711)</f>
        <v>280</v>
      </c>
      <c r="I1711" s="36" t="str">
        <f aca="false">IF(Raw_Export!$A1711="","",IFERROR(VLOOKUP(LOWER(TRIM(Raw_Export!H1711)),Maps!$D$2:$E$12,2,FALSE()),"Other"))</f>
        <v>Cash</v>
      </c>
      <c r="J1711" s="36" t="str">
        <f aca="false">IF(Raw_Export!$A1711="","",IF(COUNTIF($A$2:A1711,A1711)&gt;1,"Duplicate",""))</f>
        <v/>
      </c>
      <c r="K1711" s="36" t="str">
        <f aca="false">IF(Raw_Export!$A1711="","",IF(J1711="Duplicate","Duplicate",IF(OR(C1711="UNMAPPED",D1711="UNMAPPED"),"Unmapped",IF(F1711=0,"Blank qty",IF(F1711&lt;0,"Return","OK")))))</f>
        <v>OK</v>
      </c>
      <c r="L1711" s="36" t="n">
        <f aca="false">IF(Raw_Export!$A1711="","",IF(OR(K1711="OK",K1711="Return"),1,0))</f>
        <v>1</v>
      </c>
      <c r="M1711" s="37" t="n">
        <f aca="false">IF(Raw_Export!$A1711="","",B1711-WEEKDAY(B1711,2)+1)</f>
        <v>46272</v>
      </c>
    </row>
    <row r="1712" customFormat="false" ht="15" hidden="false" customHeight="false" outlineLevel="0" collapsed="false">
      <c r="A1712" s="36" t="str">
        <f aca="false">IF(Raw_Export!$A1712="","",TRIM(Raw_Export!A1712))</f>
        <v>TXN-102132</v>
      </c>
      <c r="B1712" s="37" t="n">
        <f aca="false">IF(Raw_Export!$A1712="","",IF(ISNUMBER(Raw_Export!B1712),Raw_Export!B1712,IF(MID(TRIM(Raw_Export!B1712),5,1)="-",DATE(LEFT(TRIM(Raw_Export!B1712),4),MID(TRIM(Raw_Export!B1712),6,2),RIGHT(TRIM(Raw_Export!B1712),2)),DATE(RIGHT(TRIM(Raw_Export!B1712),4),MATCH(MID(TRIM(Raw_Export!B1712),4,3),{"Jan","Feb","Mar","Apr","May","Jun","Jul","Aug","Sep","Oct","Nov","Dec"},0),LEFT(TRIM(Raw_Export!B1712),2)))))</f>
        <v>46278</v>
      </c>
      <c r="C1712" s="36" t="str">
        <f aca="false">IF(Raw_Export!$A1712="","",IFERROR(VLOOKUP(LOWER(TRIM(Raw_Export!C1712)),Maps!$A$2:$B$20,2,FALSE()),"UNMAPPED"))</f>
        <v>Kisumu</v>
      </c>
      <c r="D1712" s="36" t="str">
        <f aca="false">IF(Raw_Export!$A1712="","",IFERROR(VLOOKUP(LOWER(TRIM(Raw_Export!D1712)),Maps!$G$2:$I$80,2,FALSE()),"UNMAPPED"))</f>
        <v>Salt 500g</v>
      </c>
      <c r="E1712" s="36" t="str">
        <f aca="false">IF(Raw_Export!$A1712="","",IFERROR(VLOOKUP(LOWER(TRIM(Raw_Export!D1712)),Maps!$G$2:$I$80,3,FALSE()),"UNMAPPED"))</f>
        <v>Staples</v>
      </c>
      <c r="F1712" s="36" t="n">
        <f aca="false">IF(Raw_Export!$A1712="","",IFERROR(VALUE(TRIM(Raw_Export!E1712)),0))</f>
        <v>6</v>
      </c>
      <c r="G1712" s="38" t="n">
        <f aca="false">IF(Raw_Export!$A1712="","",IFERROR(VALUE(SUBSTITUTE(SUBSTITUTE(UPPER(TRIM(Raw_Export!F1712)),"KES",""),",","")),0))</f>
        <v>40</v>
      </c>
      <c r="H1712" s="38" t="n">
        <f aca="false">IF(Raw_Export!$A1712="","",F1712*G1712)</f>
        <v>240</v>
      </c>
      <c r="I1712" s="36" t="str">
        <f aca="false">IF(Raw_Export!$A1712="","",IFERROR(VLOOKUP(LOWER(TRIM(Raw_Export!H1712)),Maps!$D$2:$E$12,2,FALSE()),"Other"))</f>
        <v>M-Pesa</v>
      </c>
      <c r="J1712" s="36" t="str">
        <f aca="false">IF(Raw_Export!$A1712="","",IF(COUNTIF($A$2:A1712,A1712)&gt;1,"Duplicate",""))</f>
        <v/>
      </c>
      <c r="K1712" s="36" t="str">
        <f aca="false">IF(Raw_Export!$A1712="","",IF(J1712="Duplicate","Duplicate",IF(OR(C1712="UNMAPPED",D1712="UNMAPPED"),"Unmapped",IF(F1712=0,"Blank qty",IF(F1712&lt;0,"Return","OK")))))</f>
        <v>OK</v>
      </c>
      <c r="L1712" s="36" t="n">
        <f aca="false">IF(Raw_Export!$A1712="","",IF(OR(K1712="OK",K1712="Return"),1,0))</f>
        <v>1</v>
      </c>
      <c r="M1712" s="37" t="n">
        <f aca="false">IF(Raw_Export!$A1712="","",B1712-WEEKDAY(B1712,2)+1)</f>
        <v>46272</v>
      </c>
    </row>
    <row r="1713" customFormat="false" ht="15" hidden="false" customHeight="false" outlineLevel="0" collapsed="false">
      <c r="A1713" s="36" t="str">
        <f aca="false">IF(Raw_Export!$A1713="","",TRIM(Raw_Export!A1713))</f>
        <v>TXN-101676</v>
      </c>
      <c r="B1713" s="37" t="n">
        <f aca="false">IF(Raw_Export!$A1713="","",IF(ISNUMBER(Raw_Export!B1713),Raw_Export!B1713,IF(MID(TRIM(Raw_Export!B1713),5,1)="-",DATE(LEFT(TRIM(Raw_Export!B1713),4),MID(TRIM(Raw_Export!B1713),6,2),RIGHT(TRIM(Raw_Export!B1713),2)),DATE(RIGHT(TRIM(Raw_Export!B1713),4),MATCH(MID(TRIM(Raw_Export!B1713),4,3),{"Jan","Feb","Mar","Apr","May","Jun","Jul","Aug","Sep","Oct","Nov","Dec"},0),LEFT(TRIM(Raw_Export!B1713),2)))))</f>
        <v>46276</v>
      </c>
      <c r="C1713" s="36" t="str">
        <f aca="false">IF(Raw_Export!$A1713="","",IFERROR(VLOOKUP(LOWER(TRIM(Raw_Export!C1713)),Maps!$A$2:$B$20,2,FALSE()),"UNMAPPED"))</f>
        <v>Westlands</v>
      </c>
      <c r="D1713" s="36" t="str">
        <f aca="false">IF(Raw_Export!$A1713="","",IFERROR(VLOOKUP(LOWER(TRIM(Raw_Export!D1713)),Maps!$G$2:$I$80,2,FALSE()),"UNMAPPED"))</f>
        <v>Sugar 2kg</v>
      </c>
      <c r="E1713" s="36" t="str">
        <f aca="false">IF(Raw_Export!$A1713="","",IFERROR(VLOOKUP(LOWER(TRIM(Raw_Export!D1713)),Maps!$G$2:$I$80,3,FALSE()),"UNMAPPED"))</f>
        <v>Staples</v>
      </c>
      <c r="F1713" s="36" t="n">
        <f aca="false">IF(Raw_Export!$A1713="","",IFERROR(VALUE(TRIM(Raw_Export!E1713)),0))</f>
        <v>4</v>
      </c>
      <c r="G1713" s="38" t="n">
        <f aca="false">IF(Raw_Export!$A1713="","",IFERROR(VALUE(SUBSTITUTE(SUBSTITUTE(UPPER(TRIM(Raw_Export!F1713)),"KES",""),",","")),0))</f>
        <v>330</v>
      </c>
      <c r="H1713" s="38" t="n">
        <f aca="false">IF(Raw_Export!$A1713="","",F1713*G1713)</f>
        <v>1320</v>
      </c>
      <c r="I1713" s="36" t="str">
        <f aca="false">IF(Raw_Export!$A1713="","",IFERROR(VLOOKUP(LOWER(TRIM(Raw_Export!H1713)),Maps!$D$2:$E$12,2,FALSE()),"Other"))</f>
        <v>Cash</v>
      </c>
      <c r="J1713" s="36" t="str">
        <f aca="false">IF(Raw_Export!$A1713="","",IF(COUNTIF($A$2:A1713,A1713)&gt;1,"Duplicate",""))</f>
        <v/>
      </c>
      <c r="K1713" s="36" t="str">
        <f aca="false">IF(Raw_Export!$A1713="","",IF(J1713="Duplicate","Duplicate",IF(OR(C1713="UNMAPPED",D1713="UNMAPPED"),"Unmapped",IF(F1713=0,"Blank qty",IF(F1713&lt;0,"Return","OK")))))</f>
        <v>OK</v>
      </c>
      <c r="L1713" s="36" t="n">
        <f aca="false">IF(Raw_Export!$A1713="","",IF(OR(K1713="OK",K1713="Return"),1,0))</f>
        <v>1</v>
      </c>
      <c r="M1713" s="37" t="n">
        <f aca="false">IF(Raw_Export!$A1713="","",B1713-WEEKDAY(B1713,2)+1)</f>
        <v>46272</v>
      </c>
    </row>
    <row r="1714" customFormat="false" ht="15" hidden="false" customHeight="false" outlineLevel="0" collapsed="false">
      <c r="A1714" s="36" t="str">
        <f aca="false">IF(Raw_Export!$A1714="","",TRIM(Raw_Export!A1714))</f>
        <v>TXN-101677</v>
      </c>
      <c r="B1714" s="37" t="n">
        <f aca="false">IF(Raw_Export!$A1714="","",IF(ISNUMBER(Raw_Export!B1714),Raw_Export!B1714,IF(MID(TRIM(Raw_Export!B1714),5,1)="-",DATE(LEFT(TRIM(Raw_Export!B1714),4),MID(TRIM(Raw_Export!B1714),6,2),RIGHT(TRIM(Raw_Export!B1714),2)),DATE(RIGHT(TRIM(Raw_Export!B1714),4),MATCH(MID(TRIM(Raw_Export!B1714),4,3),{"Jan","Feb","Mar","Apr","May","Jun","Jul","Aug","Sep","Oct","Nov","Dec"},0),LEFT(TRIM(Raw_Export!B1714),2)))))</f>
        <v>46276</v>
      </c>
      <c r="C1714" s="36" t="str">
        <f aca="false">IF(Raw_Export!$A1714="","",IFERROR(VLOOKUP(LOWER(TRIM(Raw_Export!C1714)),Maps!$A$2:$B$20,2,FALSE()),"UNMAPPED"))</f>
        <v>Westlands</v>
      </c>
      <c r="D1714" s="36" t="str">
        <f aca="false">IF(Raw_Export!$A1714="","",IFERROR(VLOOKUP(LOWER(TRIM(Raw_Export!D1714)),Maps!$G$2:$I$80,2,FALSE()),"UNMAPPED"))</f>
        <v>Sugar 2kg</v>
      </c>
      <c r="E1714" s="36" t="str">
        <f aca="false">IF(Raw_Export!$A1714="","",IFERROR(VLOOKUP(LOWER(TRIM(Raw_Export!D1714)),Maps!$G$2:$I$80,3,FALSE()),"UNMAPPED"))</f>
        <v>Staples</v>
      </c>
      <c r="F1714" s="36" t="n">
        <f aca="false">IF(Raw_Export!$A1714="","",IFERROR(VALUE(TRIM(Raw_Export!E1714)),0))</f>
        <v>1</v>
      </c>
      <c r="G1714" s="38" t="n">
        <f aca="false">IF(Raw_Export!$A1714="","",IFERROR(VALUE(SUBSTITUTE(SUBSTITUTE(UPPER(TRIM(Raw_Export!F1714)),"KES",""),",","")),0))</f>
        <v>330</v>
      </c>
      <c r="H1714" s="38" t="n">
        <f aca="false">IF(Raw_Export!$A1714="","",F1714*G1714)</f>
        <v>330</v>
      </c>
      <c r="I1714" s="36" t="str">
        <f aca="false">IF(Raw_Export!$A1714="","",IFERROR(VLOOKUP(LOWER(TRIM(Raw_Export!H1714)),Maps!$D$2:$E$12,2,FALSE()),"Other"))</f>
        <v>Cash</v>
      </c>
      <c r="J1714" s="36" t="str">
        <f aca="false">IF(Raw_Export!$A1714="","",IF(COUNTIF($A$2:A1714,A1714)&gt;1,"Duplicate",""))</f>
        <v/>
      </c>
      <c r="K1714" s="36" t="str">
        <f aca="false">IF(Raw_Export!$A1714="","",IF(J1714="Duplicate","Duplicate",IF(OR(C1714="UNMAPPED",D1714="UNMAPPED"),"Unmapped",IF(F1714=0,"Blank qty",IF(F1714&lt;0,"Return","OK")))))</f>
        <v>OK</v>
      </c>
      <c r="L1714" s="36" t="n">
        <f aca="false">IF(Raw_Export!$A1714="","",IF(OR(K1714="OK",K1714="Return"),1,0))</f>
        <v>1</v>
      </c>
      <c r="M1714" s="37" t="n">
        <f aca="false">IF(Raw_Export!$A1714="","",B1714-WEEKDAY(B1714,2)+1)</f>
        <v>46272</v>
      </c>
    </row>
    <row r="1715" customFormat="false" ht="15" hidden="false" customHeight="false" outlineLevel="0" collapsed="false">
      <c r="A1715" s="36" t="str">
        <f aca="false">IF(Raw_Export!$A1715="","",TRIM(Raw_Export!A1715))</f>
        <v>TXN-101678</v>
      </c>
      <c r="B1715" s="37" t="n">
        <f aca="false">IF(Raw_Export!$A1715="","",IF(ISNUMBER(Raw_Export!B1715),Raw_Export!B1715,IF(MID(TRIM(Raw_Export!B1715),5,1)="-",DATE(LEFT(TRIM(Raw_Export!B1715),4),MID(TRIM(Raw_Export!B1715),6,2),RIGHT(TRIM(Raw_Export!B1715),2)),DATE(RIGHT(TRIM(Raw_Export!B1715),4),MATCH(MID(TRIM(Raw_Export!B1715),4,3),{"Jan","Feb","Mar","Apr","May","Jun","Jul","Aug","Sep","Oct","Nov","Dec"},0),LEFT(TRIM(Raw_Export!B1715),2)))))</f>
        <v>46276</v>
      </c>
      <c r="C1715" s="36" t="str">
        <f aca="false">IF(Raw_Export!$A1715="","",IFERROR(VLOOKUP(LOWER(TRIM(Raw_Export!C1715)),Maps!$A$2:$B$20,2,FALSE()),"UNMAPPED"))</f>
        <v>Westlands</v>
      </c>
      <c r="D1715" s="36" t="str">
        <f aca="false">IF(Raw_Export!$A1715="","",IFERROR(VLOOKUP(LOWER(TRIM(Raw_Export!D1715)),Maps!$G$2:$I$80,2,FALSE()),"UNMAPPED"))</f>
        <v>Soda 500ml</v>
      </c>
      <c r="E1715" s="36" t="str">
        <f aca="false">IF(Raw_Export!$A1715="","",IFERROR(VLOOKUP(LOWER(TRIM(Raw_Export!D1715)),Maps!$G$2:$I$80,3,FALSE()),"UNMAPPED"))</f>
        <v>Beverages</v>
      </c>
      <c r="F1715" s="36" t="n">
        <f aca="false">IF(Raw_Export!$A1715="","",IFERROR(VALUE(TRIM(Raw_Export!E1715)),0))</f>
        <v>3</v>
      </c>
      <c r="G1715" s="38" t="n">
        <f aca="false">IF(Raw_Export!$A1715="","",IFERROR(VALUE(SUBSTITUTE(SUBSTITUTE(UPPER(TRIM(Raw_Export!F1715)),"KES",""),",","")),0))</f>
        <v>60</v>
      </c>
      <c r="H1715" s="38" t="n">
        <f aca="false">IF(Raw_Export!$A1715="","",F1715*G1715)</f>
        <v>180</v>
      </c>
      <c r="I1715" s="36" t="str">
        <f aca="false">IF(Raw_Export!$A1715="","",IFERROR(VLOOKUP(LOWER(TRIM(Raw_Export!H1715)),Maps!$D$2:$E$12,2,FALSE()),"Other"))</f>
        <v>Cash</v>
      </c>
      <c r="J1715" s="36" t="str">
        <f aca="false">IF(Raw_Export!$A1715="","",IF(COUNTIF($A$2:A1715,A1715)&gt;1,"Duplicate",""))</f>
        <v/>
      </c>
      <c r="K1715" s="36" t="str">
        <f aca="false">IF(Raw_Export!$A1715="","",IF(J1715="Duplicate","Duplicate",IF(OR(C1715="UNMAPPED",D1715="UNMAPPED"),"Unmapped",IF(F1715=0,"Blank qty",IF(F1715&lt;0,"Return","OK")))))</f>
        <v>OK</v>
      </c>
      <c r="L1715" s="36" t="n">
        <f aca="false">IF(Raw_Export!$A1715="","",IF(OR(K1715="OK",K1715="Return"),1,0))</f>
        <v>1</v>
      </c>
      <c r="M1715" s="37" t="n">
        <f aca="false">IF(Raw_Export!$A1715="","",B1715-WEEKDAY(B1715,2)+1)</f>
        <v>46272</v>
      </c>
    </row>
    <row r="1716" customFormat="false" ht="15" hidden="false" customHeight="false" outlineLevel="0" collapsed="false">
      <c r="A1716" s="36" t="str">
        <f aca="false">IF(Raw_Export!$A1716="","",TRIM(Raw_Export!A1716))</f>
        <v>TXN-101679</v>
      </c>
      <c r="B1716" s="37" t="n">
        <f aca="false">IF(Raw_Export!$A1716="","",IF(ISNUMBER(Raw_Export!B1716),Raw_Export!B1716,IF(MID(TRIM(Raw_Export!B1716),5,1)="-",DATE(LEFT(TRIM(Raw_Export!B1716),4),MID(TRIM(Raw_Export!B1716),6,2),RIGHT(TRIM(Raw_Export!B1716),2)),DATE(RIGHT(TRIM(Raw_Export!B1716),4),MATCH(MID(TRIM(Raw_Export!B1716),4,3),{"Jan","Feb","Mar","Apr","May","Jun","Jul","Aug","Sep","Oct","Nov","Dec"},0),LEFT(TRIM(Raw_Export!B1716),2)))))</f>
        <v>46276</v>
      </c>
      <c r="C1716" s="36" t="str">
        <f aca="false">IF(Raw_Export!$A1716="","",IFERROR(VLOOKUP(LOWER(TRIM(Raw_Export!C1716)),Maps!$A$2:$B$20,2,FALSE()),"UNMAPPED"))</f>
        <v>Westlands</v>
      </c>
      <c r="D1716" s="36" t="str">
        <f aca="false">IF(Raw_Export!$A1716="","",IFERROR(VLOOKUP(LOWER(TRIM(Raw_Export!D1716)),Maps!$G$2:$I$80,2,FALSE()),"UNMAPPED"))</f>
        <v>Biscuits 200g</v>
      </c>
      <c r="E1716" s="36" t="str">
        <f aca="false">IF(Raw_Export!$A1716="","",IFERROR(VLOOKUP(LOWER(TRIM(Raw_Export!D1716)),Maps!$G$2:$I$80,3,FALSE()),"UNMAPPED"))</f>
        <v>Snacks</v>
      </c>
      <c r="F1716" s="36" t="n">
        <f aca="false">IF(Raw_Export!$A1716="","",IFERROR(VALUE(TRIM(Raw_Export!E1716)),0))</f>
        <v>3</v>
      </c>
      <c r="G1716" s="38" t="n">
        <f aca="false">IF(Raw_Export!$A1716="","",IFERROR(VALUE(SUBSTITUTE(SUBSTITUTE(UPPER(TRIM(Raw_Export!F1716)),"KES",""),",","")),0))</f>
        <v>95</v>
      </c>
      <c r="H1716" s="38" t="n">
        <f aca="false">IF(Raw_Export!$A1716="","",F1716*G1716)</f>
        <v>285</v>
      </c>
      <c r="I1716" s="36" t="str">
        <f aca="false">IF(Raw_Export!$A1716="","",IFERROR(VLOOKUP(LOWER(TRIM(Raw_Export!H1716)),Maps!$D$2:$E$12,2,FALSE()),"Other"))</f>
        <v>M-Pesa</v>
      </c>
      <c r="J1716" s="36" t="str">
        <f aca="false">IF(Raw_Export!$A1716="","",IF(COUNTIF($A$2:A1716,A1716)&gt;1,"Duplicate",""))</f>
        <v/>
      </c>
      <c r="K1716" s="36" t="str">
        <f aca="false">IF(Raw_Export!$A1716="","",IF(J1716="Duplicate","Duplicate",IF(OR(C1716="UNMAPPED",D1716="UNMAPPED"),"Unmapped",IF(F1716=0,"Blank qty",IF(F1716&lt;0,"Return","OK")))))</f>
        <v>OK</v>
      </c>
      <c r="L1716" s="36" t="n">
        <f aca="false">IF(Raw_Export!$A1716="","",IF(OR(K1716="OK",K1716="Return"),1,0))</f>
        <v>1</v>
      </c>
      <c r="M1716" s="37" t="n">
        <f aca="false">IF(Raw_Export!$A1716="","",B1716-WEEKDAY(B1716,2)+1)</f>
        <v>46272</v>
      </c>
    </row>
    <row r="1717" customFormat="false" ht="15" hidden="false" customHeight="false" outlineLevel="0" collapsed="false">
      <c r="A1717" s="36" t="str">
        <f aca="false">IF(Raw_Export!$A1717="","",TRIM(Raw_Export!A1717))</f>
        <v>TXN-101680</v>
      </c>
      <c r="B1717" s="37" t="n">
        <f aca="false">IF(Raw_Export!$A1717="","",IF(ISNUMBER(Raw_Export!B1717),Raw_Export!B1717,IF(MID(TRIM(Raw_Export!B1717),5,1)="-",DATE(LEFT(TRIM(Raw_Export!B1717),4),MID(TRIM(Raw_Export!B1717),6,2),RIGHT(TRIM(Raw_Export!B1717),2)),DATE(RIGHT(TRIM(Raw_Export!B1717),4),MATCH(MID(TRIM(Raw_Export!B1717),4,3),{"Jan","Feb","Mar","Apr","May","Jun","Jul","Aug","Sep","Oct","Nov","Dec"},0),LEFT(TRIM(Raw_Export!B1717),2)))))</f>
        <v>46276</v>
      </c>
      <c r="C1717" s="36" t="str">
        <f aca="false">IF(Raw_Export!$A1717="","",IFERROR(VLOOKUP(LOWER(TRIM(Raw_Export!C1717)),Maps!$A$2:$B$20,2,FALSE()),"UNMAPPED"))</f>
        <v>Westlands</v>
      </c>
      <c r="D1717" s="36" t="str">
        <f aca="false">IF(Raw_Export!$A1717="","",IFERROR(VLOOKUP(LOWER(TRIM(Raw_Export!D1717)),Maps!$G$2:$I$80,2,FALSE()),"UNMAPPED"))</f>
        <v>Washing Powder 1kg</v>
      </c>
      <c r="E1717" s="36" t="str">
        <f aca="false">IF(Raw_Export!$A1717="","",IFERROR(VLOOKUP(LOWER(TRIM(Raw_Export!D1717)),Maps!$G$2:$I$80,3,FALSE()),"UNMAPPED"))</f>
        <v>Household</v>
      </c>
      <c r="F1717" s="36" t="n">
        <f aca="false">IF(Raw_Export!$A1717="","",IFERROR(VALUE(TRIM(Raw_Export!E1717)),0))</f>
        <v>3</v>
      </c>
      <c r="G1717" s="38" t="n">
        <f aca="false">IF(Raw_Export!$A1717="","",IFERROR(VALUE(SUBSTITUTE(SUBSTITUTE(UPPER(TRIM(Raw_Export!F1717)),"KES",""),",","")),0))</f>
        <v>280</v>
      </c>
      <c r="H1717" s="38" t="n">
        <f aca="false">IF(Raw_Export!$A1717="","",F1717*G1717)</f>
        <v>840</v>
      </c>
      <c r="I1717" s="36" t="str">
        <f aca="false">IF(Raw_Export!$A1717="","",IFERROR(VLOOKUP(LOWER(TRIM(Raw_Export!H1717)),Maps!$D$2:$E$12,2,FALSE()),"Other"))</f>
        <v>M-Pesa</v>
      </c>
      <c r="J1717" s="36" t="str">
        <f aca="false">IF(Raw_Export!$A1717="","",IF(COUNTIF($A$2:A1717,A1717)&gt;1,"Duplicate",""))</f>
        <v/>
      </c>
      <c r="K1717" s="36" t="str">
        <f aca="false">IF(Raw_Export!$A1717="","",IF(J1717="Duplicate","Duplicate",IF(OR(C1717="UNMAPPED",D1717="UNMAPPED"),"Unmapped",IF(F1717=0,"Blank qty",IF(F1717&lt;0,"Return","OK")))))</f>
        <v>OK</v>
      </c>
      <c r="L1717" s="36" t="n">
        <f aca="false">IF(Raw_Export!$A1717="","",IF(OR(K1717="OK",K1717="Return"),1,0))</f>
        <v>1</v>
      </c>
      <c r="M1717" s="37" t="n">
        <f aca="false">IF(Raw_Export!$A1717="","",B1717-WEEKDAY(B1717,2)+1)</f>
        <v>46272</v>
      </c>
    </row>
    <row r="1718" customFormat="false" ht="15" hidden="false" customHeight="false" outlineLevel="0" collapsed="false">
      <c r="A1718" s="36" t="str">
        <f aca="false">IF(Raw_Export!$A1718="","",TRIM(Raw_Export!A1718))</f>
        <v>TXN-101681</v>
      </c>
      <c r="B1718" s="37" t="n">
        <f aca="false">IF(Raw_Export!$A1718="","",IF(ISNUMBER(Raw_Export!B1718),Raw_Export!B1718,IF(MID(TRIM(Raw_Export!B1718),5,1)="-",DATE(LEFT(TRIM(Raw_Export!B1718),4),MID(TRIM(Raw_Export!B1718),6,2),RIGHT(TRIM(Raw_Export!B1718),2)),DATE(RIGHT(TRIM(Raw_Export!B1718),4),MATCH(MID(TRIM(Raw_Export!B1718),4,3),{"Jan","Feb","Mar","Apr","May","Jun","Jul","Aug","Sep","Oct","Nov","Dec"},0),LEFT(TRIM(Raw_Export!B1718),2)))))</f>
        <v>46276</v>
      </c>
      <c r="C1718" s="36" t="str">
        <f aca="false">IF(Raw_Export!$A1718="","",IFERROR(VLOOKUP(LOWER(TRIM(Raw_Export!C1718)),Maps!$A$2:$B$20,2,FALSE()),"UNMAPPED"))</f>
        <v>Westlands</v>
      </c>
      <c r="D1718" s="36" t="str">
        <f aca="false">IF(Raw_Export!$A1718="","",IFERROR(VLOOKUP(LOWER(TRIM(Raw_Export!D1718)),Maps!$G$2:$I$80,2,FALSE()),"UNMAPPED"))</f>
        <v>Fresh Milk 500ml</v>
      </c>
      <c r="E1718" s="36" t="str">
        <f aca="false">IF(Raw_Export!$A1718="","",IFERROR(VLOOKUP(LOWER(TRIM(Raw_Export!D1718)),Maps!$G$2:$I$80,3,FALSE()),"UNMAPPED"))</f>
        <v>Dairy &amp; Eggs</v>
      </c>
      <c r="F1718" s="36" t="n">
        <f aca="false">IF(Raw_Export!$A1718="","",IFERROR(VALUE(TRIM(Raw_Export!E1718)),0))</f>
        <v>1</v>
      </c>
      <c r="G1718" s="38" t="n">
        <f aca="false">IF(Raw_Export!$A1718="","",IFERROR(VALUE(SUBSTITUTE(SUBSTITUTE(UPPER(TRIM(Raw_Export!F1718)),"KES",""),",","")),0))</f>
        <v>65</v>
      </c>
      <c r="H1718" s="38" t="n">
        <f aca="false">IF(Raw_Export!$A1718="","",F1718*G1718)</f>
        <v>65</v>
      </c>
      <c r="I1718" s="36" t="str">
        <f aca="false">IF(Raw_Export!$A1718="","",IFERROR(VLOOKUP(LOWER(TRIM(Raw_Export!H1718)),Maps!$D$2:$E$12,2,FALSE()),"Other"))</f>
        <v>Cash</v>
      </c>
      <c r="J1718" s="36" t="str">
        <f aca="false">IF(Raw_Export!$A1718="","",IF(COUNTIF($A$2:A1718,A1718)&gt;1,"Duplicate",""))</f>
        <v/>
      </c>
      <c r="K1718" s="36" t="str">
        <f aca="false">IF(Raw_Export!$A1718="","",IF(J1718="Duplicate","Duplicate",IF(OR(C1718="UNMAPPED",D1718="UNMAPPED"),"Unmapped",IF(F1718=0,"Blank qty",IF(F1718&lt;0,"Return","OK")))))</f>
        <v>OK</v>
      </c>
      <c r="L1718" s="36" t="n">
        <f aca="false">IF(Raw_Export!$A1718="","",IF(OR(K1718="OK",K1718="Return"),1,0))</f>
        <v>1</v>
      </c>
      <c r="M1718" s="37" t="n">
        <f aca="false">IF(Raw_Export!$A1718="","",B1718-WEEKDAY(B1718,2)+1)</f>
        <v>46272</v>
      </c>
    </row>
    <row r="1719" customFormat="false" ht="15" hidden="false" customHeight="false" outlineLevel="0" collapsed="false">
      <c r="A1719" s="36" t="str">
        <f aca="false">IF(Raw_Export!$A1719="","",TRIM(Raw_Export!A1719))</f>
        <v>TXN-101682</v>
      </c>
      <c r="B1719" s="37" t="n">
        <f aca="false">IF(Raw_Export!$A1719="","",IF(ISNUMBER(Raw_Export!B1719),Raw_Export!B1719,IF(MID(TRIM(Raw_Export!B1719),5,1)="-",DATE(LEFT(TRIM(Raw_Export!B1719),4),MID(TRIM(Raw_Export!B1719),6,2),RIGHT(TRIM(Raw_Export!B1719),2)),DATE(RIGHT(TRIM(Raw_Export!B1719),4),MATCH(MID(TRIM(Raw_Export!B1719),4,3),{"Jan","Feb","Mar","Apr","May","Jun","Jul","Aug","Sep","Oct","Nov","Dec"},0),LEFT(TRIM(Raw_Export!B1719),2)))))</f>
        <v>46276</v>
      </c>
      <c r="C1719" s="36" t="str">
        <f aca="false">IF(Raw_Export!$A1719="","",IFERROR(VLOOKUP(LOWER(TRIM(Raw_Export!C1719)),Maps!$A$2:$B$20,2,FALSE()),"UNMAPPED"))</f>
        <v>Westlands</v>
      </c>
      <c r="D1719" s="36" t="str">
        <f aca="false">IF(Raw_Export!$A1719="","",IFERROR(VLOOKUP(LOWER(TRIM(Raw_Export!D1719)),Maps!$G$2:$I$80,2,FALSE()),"UNMAPPED"))</f>
        <v>Cooking Oil 1L</v>
      </c>
      <c r="E1719" s="36" t="str">
        <f aca="false">IF(Raw_Export!$A1719="","",IFERROR(VLOOKUP(LOWER(TRIM(Raw_Export!D1719)),Maps!$G$2:$I$80,3,FALSE()),"UNMAPPED"))</f>
        <v>Staples</v>
      </c>
      <c r="F1719" s="36" t="n">
        <f aca="false">IF(Raw_Export!$A1719="","",IFERROR(VALUE(TRIM(Raw_Export!E1719)),0))</f>
        <v>2</v>
      </c>
      <c r="G1719" s="38" t="n">
        <f aca="false">IF(Raw_Export!$A1719="","",IFERROR(VALUE(SUBSTITUTE(SUBSTITUTE(UPPER(TRIM(Raw_Export!F1719)),"KES",""),",","")),0))</f>
        <v>330</v>
      </c>
      <c r="H1719" s="38" t="n">
        <f aca="false">IF(Raw_Export!$A1719="","",F1719*G1719)</f>
        <v>660</v>
      </c>
      <c r="I1719" s="36" t="str">
        <f aca="false">IF(Raw_Export!$A1719="","",IFERROR(VLOOKUP(LOWER(TRIM(Raw_Export!H1719)),Maps!$D$2:$E$12,2,FALSE()),"Other"))</f>
        <v>Card</v>
      </c>
      <c r="J1719" s="36" t="str">
        <f aca="false">IF(Raw_Export!$A1719="","",IF(COUNTIF($A$2:A1719,A1719)&gt;1,"Duplicate",""))</f>
        <v/>
      </c>
      <c r="K1719" s="36" t="str">
        <f aca="false">IF(Raw_Export!$A1719="","",IF(J1719="Duplicate","Duplicate",IF(OR(C1719="UNMAPPED",D1719="UNMAPPED"),"Unmapped",IF(F1719=0,"Blank qty",IF(F1719&lt;0,"Return","OK")))))</f>
        <v>OK</v>
      </c>
      <c r="L1719" s="36" t="n">
        <f aca="false">IF(Raw_Export!$A1719="","",IF(OR(K1719="OK",K1719="Return"),1,0))</f>
        <v>1</v>
      </c>
      <c r="M1719" s="37" t="n">
        <f aca="false">IF(Raw_Export!$A1719="","",B1719-WEEKDAY(B1719,2)+1)</f>
        <v>46272</v>
      </c>
    </row>
    <row r="1720" customFormat="false" ht="15" hidden="false" customHeight="false" outlineLevel="0" collapsed="false">
      <c r="A1720" s="36" t="str">
        <f aca="false">IF(Raw_Export!$A1720="","",TRIM(Raw_Export!A1720))</f>
        <v>TXN-101683</v>
      </c>
      <c r="B1720" s="37" t="n">
        <f aca="false">IF(Raw_Export!$A1720="","",IF(ISNUMBER(Raw_Export!B1720),Raw_Export!B1720,IF(MID(TRIM(Raw_Export!B1720),5,1)="-",DATE(LEFT(TRIM(Raw_Export!B1720),4),MID(TRIM(Raw_Export!B1720),6,2),RIGHT(TRIM(Raw_Export!B1720),2)),DATE(RIGHT(TRIM(Raw_Export!B1720),4),MATCH(MID(TRIM(Raw_Export!B1720),4,3),{"Jan","Feb","Mar","Apr","May","Jun","Jul","Aug","Sep","Oct","Nov","Dec"},0),LEFT(TRIM(Raw_Export!B1720),2)))))</f>
        <v>46276</v>
      </c>
      <c r="C1720" s="36" t="str">
        <f aca="false">IF(Raw_Export!$A1720="","",IFERROR(VLOOKUP(LOWER(TRIM(Raw_Export!C1720)),Maps!$A$2:$B$20,2,FALSE()),"UNMAPPED"))</f>
        <v>Westlands</v>
      </c>
      <c r="D1720" s="36" t="str">
        <f aca="false">IF(Raw_Export!$A1720="","",IFERROR(VLOOKUP(LOWER(TRIM(Raw_Export!D1720)),Maps!$G$2:$I$80,2,FALSE()),"UNMAPPED"))</f>
        <v>Body Lotion 400ml</v>
      </c>
      <c r="E1720" s="36" t="str">
        <f aca="false">IF(Raw_Export!$A1720="","",IFERROR(VLOOKUP(LOWER(TRIM(Raw_Export!D1720)),Maps!$G$2:$I$80,3,FALSE()),"UNMAPPED"))</f>
        <v>Personal Care</v>
      </c>
      <c r="F1720" s="36" t="n">
        <f aca="false">IF(Raw_Export!$A1720="","",IFERROR(VALUE(TRIM(Raw_Export!E1720)),0))</f>
        <v>1</v>
      </c>
      <c r="G1720" s="38" t="n">
        <f aca="false">IF(Raw_Export!$A1720="","",IFERROR(VALUE(SUBSTITUTE(SUBSTITUTE(UPPER(TRIM(Raw_Export!F1720)),"KES",""),",","")),0))</f>
        <v>420</v>
      </c>
      <c r="H1720" s="38" t="n">
        <f aca="false">IF(Raw_Export!$A1720="","",F1720*G1720)</f>
        <v>420</v>
      </c>
      <c r="I1720" s="36" t="str">
        <f aca="false">IF(Raw_Export!$A1720="","",IFERROR(VLOOKUP(LOWER(TRIM(Raw_Export!H1720)),Maps!$D$2:$E$12,2,FALSE()),"Other"))</f>
        <v>Card</v>
      </c>
      <c r="J1720" s="36" t="str">
        <f aca="false">IF(Raw_Export!$A1720="","",IF(COUNTIF($A$2:A1720,A1720)&gt;1,"Duplicate",""))</f>
        <v/>
      </c>
      <c r="K1720" s="36" t="str">
        <f aca="false">IF(Raw_Export!$A1720="","",IF(J1720="Duplicate","Duplicate",IF(OR(C1720="UNMAPPED",D1720="UNMAPPED"),"Unmapped",IF(F1720=0,"Blank qty",IF(F1720&lt;0,"Return","OK")))))</f>
        <v>OK</v>
      </c>
      <c r="L1720" s="36" t="n">
        <f aca="false">IF(Raw_Export!$A1720="","",IF(OR(K1720="OK",K1720="Return"),1,0))</f>
        <v>1</v>
      </c>
      <c r="M1720" s="37" t="n">
        <f aca="false">IF(Raw_Export!$A1720="","",B1720-WEEKDAY(B1720,2)+1)</f>
        <v>46272</v>
      </c>
    </row>
    <row r="1721" customFormat="false" ht="15" hidden="false" customHeight="false" outlineLevel="0" collapsed="false">
      <c r="A1721" s="36" t="str">
        <f aca="false">IF(Raw_Export!$A1721="","",TRIM(Raw_Export!A1721))</f>
        <v>TXN-101684</v>
      </c>
      <c r="B1721" s="37" t="n">
        <f aca="false">IF(Raw_Export!$A1721="","",IF(ISNUMBER(Raw_Export!B1721),Raw_Export!B1721,IF(MID(TRIM(Raw_Export!B1721),5,1)="-",DATE(LEFT(TRIM(Raw_Export!B1721),4),MID(TRIM(Raw_Export!B1721),6,2),RIGHT(TRIM(Raw_Export!B1721),2)),DATE(RIGHT(TRIM(Raw_Export!B1721),4),MATCH(MID(TRIM(Raw_Export!B1721),4,3),{"Jan","Feb","Mar","Apr","May","Jun","Jul","Aug","Sep","Oct","Nov","Dec"},0),LEFT(TRIM(Raw_Export!B1721),2)))))</f>
        <v>46276</v>
      </c>
      <c r="C1721" s="36" t="str">
        <f aca="false">IF(Raw_Export!$A1721="","",IFERROR(VLOOKUP(LOWER(TRIM(Raw_Export!C1721)),Maps!$A$2:$B$20,2,FALSE()),"UNMAPPED"))</f>
        <v>Mombasa</v>
      </c>
      <c r="D1721" s="36" t="str">
        <f aca="false">IF(Raw_Export!$A1721="","",IFERROR(VLOOKUP(LOWER(TRIM(Raw_Export!D1721)),Maps!$G$2:$I$80,2,FALSE()),"UNMAPPED"))</f>
        <v>Tea Leaves 250g</v>
      </c>
      <c r="E1721" s="36" t="str">
        <f aca="false">IF(Raw_Export!$A1721="","",IFERROR(VLOOKUP(LOWER(TRIM(Raw_Export!D1721)),Maps!$G$2:$I$80,3,FALSE()),"UNMAPPED"))</f>
        <v>Beverages</v>
      </c>
      <c r="F1721" s="36" t="n">
        <f aca="false">IF(Raw_Export!$A1721="","",IFERROR(VALUE(TRIM(Raw_Export!E1721)),0))</f>
        <v>3</v>
      </c>
      <c r="G1721" s="38" t="n">
        <f aca="false">IF(Raw_Export!$A1721="","",IFERROR(VALUE(SUBSTITUTE(SUBSTITUTE(UPPER(TRIM(Raw_Export!F1721)),"KES",""),",","")),0))</f>
        <v>150</v>
      </c>
      <c r="H1721" s="38" t="n">
        <f aca="false">IF(Raw_Export!$A1721="","",F1721*G1721)</f>
        <v>450</v>
      </c>
      <c r="I1721" s="36" t="str">
        <f aca="false">IF(Raw_Export!$A1721="","",IFERROR(VLOOKUP(LOWER(TRIM(Raw_Export!H1721)),Maps!$D$2:$E$12,2,FALSE()),"Other"))</f>
        <v>M-Pesa</v>
      </c>
      <c r="J1721" s="36" t="str">
        <f aca="false">IF(Raw_Export!$A1721="","",IF(COUNTIF($A$2:A1721,A1721)&gt;1,"Duplicate",""))</f>
        <v/>
      </c>
      <c r="K1721" s="36" t="str">
        <f aca="false">IF(Raw_Export!$A1721="","",IF(J1721="Duplicate","Duplicate",IF(OR(C1721="UNMAPPED",D1721="UNMAPPED"),"Unmapped",IF(F1721=0,"Blank qty",IF(F1721&lt;0,"Return","OK")))))</f>
        <v>OK</v>
      </c>
      <c r="L1721" s="36" t="n">
        <f aca="false">IF(Raw_Export!$A1721="","",IF(OR(K1721="OK",K1721="Return"),1,0))</f>
        <v>1</v>
      </c>
      <c r="M1721" s="37" t="n">
        <f aca="false">IF(Raw_Export!$A1721="","",B1721-WEEKDAY(B1721,2)+1)</f>
        <v>46272</v>
      </c>
    </row>
    <row r="1722" customFormat="false" ht="15" hidden="false" customHeight="false" outlineLevel="0" collapsed="false">
      <c r="A1722" s="36" t="str">
        <f aca="false">IF(Raw_Export!$A1722="","",TRIM(Raw_Export!A1722))</f>
        <v>TXN-101685</v>
      </c>
      <c r="B1722" s="37" t="n">
        <f aca="false">IF(Raw_Export!$A1722="","",IF(ISNUMBER(Raw_Export!B1722),Raw_Export!B1722,IF(MID(TRIM(Raw_Export!B1722),5,1)="-",DATE(LEFT(TRIM(Raw_Export!B1722),4),MID(TRIM(Raw_Export!B1722),6,2),RIGHT(TRIM(Raw_Export!B1722),2)),DATE(RIGHT(TRIM(Raw_Export!B1722),4),MATCH(MID(TRIM(Raw_Export!B1722),4,3),{"Jan","Feb","Mar","Apr","May","Jun","Jul","Aug","Sep","Oct","Nov","Dec"},0),LEFT(TRIM(Raw_Export!B1722),2)))))</f>
        <v>46276</v>
      </c>
      <c r="C1722" s="36" t="str">
        <f aca="false">IF(Raw_Export!$A1722="","",IFERROR(VLOOKUP(LOWER(TRIM(Raw_Export!C1722)),Maps!$A$2:$B$20,2,FALSE()),"UNMAPPED"))</f>
        <v>Mombasa</v>
      </c>
      <c r="D1722" s="36" t="str">
        <f aca="false">IF(Raw_Export!$A1722="","",IFERROR(VLOOKUP(LOWER(TRIM(Raw_Export!D1722)),Maps!$G$2:$I$80,2,FALSE()),"UNMAPPED"))</f>
        <v>UNMAPPED</v>
      </c>
      <c r="E1722" s="36" t="str">
        <f aca="false">IF(Raw_Export!$A1722="","",IFERROR(VLOOKUP(LOWER(TRIM(Raw_Export!D1722)),Maps!$G$2:$I$80,3,FALSE()),"UNMAPPED"))</f>
        <v>UNMAPPED</v>
      </c>
      <c r="F1722" s="36" t="n">
        <f aca="false">IF(Raw_Export!$A1722="","",IFERROR(VALUE(TRIM(Raw_Export!E1722)),0))</f>
        <v>2</v>
      </c>
      <c r="G1722" s="38" t="n">
        <f aca="false">IF(Raw_Export!$A1722="","",IFERROR(VALUE(SUBSTITUTE(SUBSTITUTE(UPPER(TRIM(Raw_Export!F1722)),"KES",""),",","")),0))</f>
        <v>297</v>
      </c>
      <c r="H1722" s="38" t="n">
        <f aca="false">IF(Raw_Export!$A1722="","",F1722*G1722)</f>
        <v>594</v>
      </c>
      <c r="I1722" s="36" t="str">
        <f aca="false">IF(Raw_Export!$A1722="","",IFERROR(VLOOKUP(LOWER(TRIM(Raw_Export!H1722)),Maps!$D$2:$E$12,2,FALSE()),"Other"))</f>
        <v>Cash</v>
      </c>
      <c r="J1722" s="36" t="str">
        <f aca="false">IF(Raw_Export!$A1722="","",IF(COUNTIF($A$2:A1722,A1722)&gt;1,"Duplicate",""))</f>
        <v/>
      </c>
      <c r="K1722" s="36" t="str">
        <f aca="false">IF(Raw_Export!$A1722="","",IF(J1722="Duplicate","Duplicate",IF(OR(C1722="UNMAPPED",D1722="UNMAPPED"),"Unmapped",IF(F1722=0,"Blank qty",IF(F1722&lt;0,"Return","OK")))))</f>
        <v>Unmapped</v>
      </c>
      <c r="L1722" s="36" t="n">
        <f aca="false">IF(Raw_Export!$A1722="","",IF(OR(K1722="OK",K1722="Return"),1,0))</f>
        <v>0</v>
      </c>
      <c r="M1722" s="37" t="n">
        <f aca="false">IF(Raw_Export!$A1722="","",B1722-WEEKDAY(B1722,2)+1)</f>
        <v>46272</v>
      </c>
    </row>
    <row r="1723" customFormat="false" ht="15" hidden="false" customHeight="false" outlineLevel="0" collapsed="false">
      <c r="A1723" s="36" t="str">
        <f aca="false">IF(Raw_Export!$A1723="","",TRIM(Raw_Export!A1723))</f>
        <v>TXN-101686</v>
      </c>
      <c r="B1723" s="37" t="n">
        <f aca="false">IF(Raw_Export!$A1723="","",IF(ISNUMBER(Raw_Export!B1723),Raw_Export!B1723,IF(MID(TRIM(Raw_Export!B1723),5,1)="-",DATE(LEFT(TRIM(Raw_Export!B1723),4),MID(TRIM(Raw_Export!B1723),6,2),RIGHT(TRIM(Raw_Export!B1723),2)),DATE(RIGHT(TRIM(Raw_Export!B1723),4),MATCH(MID(TRIM(Raw_Export!B1723),4,3),{"Jan","Feb","Mar","Apr","May","Jun","Jul","Aug","Sep","Oct","Nov","Dec"},0),LEFT(TRIM(Raw_Export!B1723),2)))))</f>
        <v>46276</v>
      </c>
      <c r="C1723" s="36" t="str">
        <f aca="false">IF(Raw_Export!$A1723="","",IFERROR(VLOOKUP(LOWER(TRIM(Raw_Export!C1723)),Maps!$A$2:$B$20,2,FALSE()),"UNMAPPED"))</f>
        <v>Mombasa</v>
      </c>
      <c r="D1723" s="36" t="str">
        <f aca="false">IF(Raw_Export!$A1723="","",IFERROR(VLOOKUP(LOWER(TRIM(Raw_Export!D1723)),Maps!$G$2:$I$80,2,FALSE()),"UNMAPPED"))</f>
        <v>Toilet Paper 10pk</v>
      </c>
      <c r="E1723" s="36" t="str">
        <f aca="false">IF(Raw_Export!$A1723="","",IFERROR(VLOOKUP(LOWER(TRIM(Raw_Export!D1723)),Maps!$G$2:$I$80,3,FALSE()),"UNMAPPED"))</f>
        <v>Household</v>
      </c>
      <c r="F1723" s="36" t="n">
        <f aca="false">IF(Raw_Export!$A1723="","",IFERROR(VALUE(TRIM(Raw_Export!E1723)),0))</f>
        <v>4</v>
      </c>
      <c r="G1723" s="38" t="n">
        <f aca="false">IF(Raw_Export!$A1723="","",IFERROR(VALUE(SUBSTITUTE(SUBSTITUTE(UPPER(TRIM(Raw_Export!F1723)),"KES",""),",","")),0))</f>
        <v>380</v>
      </c>
      <c r="H1723" s="38" t="n">
        <f aca="false">IF(Raw_Export!$A1723="","",F1723*G1723)</f>
        <v>1520</v>
      </c>
      <c r="I1723" s="36" t="str">
        <f aca="false">IF(Raw_Export!$A1723="","",IFERROR(VLOOKUP(LOWER(TRIM(Raw_Export!H1723)),Maps!$D$2:$E$12,2,FALSE()),"Other"))</f>
        <v>M-Pesa</v>
      </c>
      <c r="J1723" s="36" t="str">
        <f aca="false">IF(Raw_Export!$A1723="","",IF(COUNTIF($A$2:A1723,A1723)&gt;1,"Duplicate",""))</f>
        <v/>
      </c>
      <c r="K1723" s="36" t="str">
        <f aca="false">IF(Raw_Export!$A1723="","",IF(J1723="Duplicate","Duplicate",IF(OR(C1723="UNMAPPED",D1723="UNMAPPED"),"Unmapped",IF(F1723=0,"Blank qty",IF(F1723&lt;0,"Return","OK")))))</f>
        <v>OK</v>
      </c>
      <c r="L1723" s="36" t="n">
        <f aca="false">IF(Raw_Export!$A1723="","",IF(OR(K1723="OK",K1723="Return"),1,0))</f>
        <v>1</v>
      </c>
      <c r="M1723" s="37" t="n">
        <f aca="false">IF(Raw_Export!$A1723="","",B1723-WEEKDAY(B1723,2)+1)</f>
        <v>46272</v>
      </c>
    </row>
    <row r="1724" customFormat="false" ht="15" hidden="false" customHeight="false" outlineLevel="0" collapsed="false">
      <c r="A1724" s="36" t="str">
        <f aca="false">IF(Raw_Export!$A1724="","",TRIM(Raw_Export!A1724))</f>
        <v>TXN-101687</v>
      </c>
      <c r="B1724" s="37" t="n">
        <f aca="false">IF(Raw_Export!$A1724="","",IF(ISNUMBER(Raw_Export!B1724),Raw_Export!B1724,IF(MID(TRIM(Raw_Export!B1724),5,1)="-",DATE(LEFT(TRIM(Raw_Export!B1724),4),MID(TRIM(Raw_Export!B1724),6,2),RIGHT(TRIM(Raw_Export!B1724),2)),DATE(RIGHT(TRIM(Raw_Export!B1724),4),MATCH(MID(TRIM(Raw_Export!B1724),4,3),{"Jan","Feb","Mar","Apr","May","Jun","Jul","Aug","Sep","Oct","Nov","Dec"},0),LEFT(TRIM(Raw_Export!B1724),2)))))</f>
        <v>46276</v>
      </c>
      <c r="C1724" s="36" t="str">
        <f aca="false">IF(Raw_Export!$A1724="","",IFERROR(VLOOKUP(LOWER(TRIM(Raw_Export!C1724)),Maps!$A$2:$B$20,2,FALSE()),"UNMAPPED"))</f>
        <v>Mombasa</v>
      </c>
      <c r="D1724" s="36" t="str">
        <f aca="false">IF(Raw_Export!$A1724="","",IFERROR(VLOOKUP(LOWER(TRIM(Raw_Export!D1724)),Maps!$G$2:$I$80,2,FALSE()),"UNMAPPED"))</f>
        <v>Yoghurt 500ml</v>
      </c>
      <c r="E1724" s="36" t="str">
        <f aca="false">IF(Raw_Export!$A1724="","",IFERROR(VLOOKUP(LOWER(TRIM(Raw_Export!D1724)),Maps!$G$2:$I$80,3,FALSE()),"UNMAPPED"))</f>
        <v>Dairy &amp; Eggs</v>
      </c>
      <c r="F1724" s="36" t="n">
        <f aca="false">IF(Raw_Export!$A1724="","",IFERROR(VALUE(TRIM(Raw_Export!E1724)),0))</f>
        <v>1</v>
      </c>
      <c r="G1724" s="38" t="n">
        <f aca="false">IF(Raw_Export!$A1724="","",IFERROR(VALUE(SUBSTITUTE(SUBSTITUTE(UPPER(TRIM(Raw_Export!F1724)),"KES",""),",","")),0))</f>
        <v>120</v>
      </c>
      <c r="H1724" s="38" t="n">
        <f aca="false">IF(Raw_Export!$A1724="","",F1724*G1724)</f>
        <v>120</v>
      </c>
      <c r="I1724" s="36" t="str">
        <f aca="false">IF(Raw_Export!$A1724="","",IFERROR(VLOOKUP(LOWER(TRIM(Raw_Export!H1724)),Maps!$D$2:$E$12,2,FALSE()),"Other"))</f>
        <v>Cash</v>
      </c>
      <c r="J1724" s="36" t="str">
        <f aca="false">IF(Raw_Export!$A1724="","",IF(COUNTIF($A$2:A1724,A1724)&gt;1,"Duplicate",""))</f>
        <v/>
      </c>
      <c r="K1724" s="36" t="str">
        <f aca="false">IF(Raw_Export!$A1724="","",IF(J1724="Duplicate","Duplicate",IF(OR(C1724="UNMAPPED",D1724="UNMAPPED"),"Unmapped",IF(F1724=0,"Blank qty",IF(F1724&lt;0,"Return","OK")))))</f>
        <v>OK</v>
      </c>
      <c r="L1724" s="36" t="n">
        <f aca="false">IF(Raw_Export!$A1724="","",IF(OR(K1724="OK",K1724="Return"),1,0))</f>
        <v>1</v>
      </c>
      <c r="M1724" s="37" t="n">
        <f aca="false">IF(Raw_Export!$A1724="","",B1724-WEEKDAY(B1724,2)+1)</f>
        <v>46272</v>
      </c>
    </row>
    <row r="1725" customFormat="false" ht="15" hidden="false" customHeight="false" outlineLevel="0" collapsed="false">
      <c r="A1725" s="36" t="str">
        <f aca="false">IF(Raw_Export!$A1725="","",TRIM(Raw_Export!A1725))</f>
        <v>TXN-101688</v>
      </c>
      <c r="B1725" s="37" t="n">
        <f aca="false">IF(Raw_Export!$A1725="","",IF(ISNUMBER(Raw_Export!B1725),Raw_Export!B1725,IF(MID(TRIM(Raw_Export!B1725),5,1)="-",DATE(LEFT(TRIM(Raw_Export!B1725),4),MID(TRIM(Raw_Export!B1725),6,2),RIGHT(TRIM(Raw_Export!B1725),2)),DATE(RIGHT(TRIM(Raw_Export!B1725),4),MATCH(MID(TRIM(Raw_Export!B1725),4,3),{"Jan","Feb","Mar","Apr","May","Jun","Jul","Aug","Sep","Oct","Nov","Dec"},0),LEFT(TRIM(Raw_Export!B1725),2)))))</f>
        <v>46276</v>
      </c>
      <c r="C1725" s="36" t="str">
        <f aca="false">IF(Raw_Export!$A1725="","",IFERROR(VLOOKUP(LOWER(TRIM(Raw_Export!C1725)),Maps!$A$2:$B$20,2,FALSE()),"UNMAPPED"))</f>
        <v>Mombasa</v>
      </c>
      <c r="D1725" s="36" t="str">
        <f aca="false">IF(Raw_Export!$A1725="","",IFERROR(VLOOKUP(LOWER(TRIM(Raw_Export!D1725)),Maps!$G$2:$I$80,2,FALSE()),"UNMAPPED"))</f>
        <v>Bottled Water 1.5L</v>
      </c>
      <c r="E1725" s="36" t="str">
        <f aca="false">IF(Raw_Export!$A1725="","",IFERROR(VLOOKUP(LOWER(TRIM(Raw_Export!D1725)),Maps!$G$2:$I$80,3,FALSE()),"UNMAPPED"))</f>
        <v>Beverages</v>
      </c>
      <c r="F1725" s="36" t="n">
        <f aca="false">IF(Raw_Export!$A1725="","",IFERROR(VALUE(TRIM(Raw_Export!E1725)),0))</f>
        <v>3</v>
      </c>
      <c r="G1725" s="38" t="n">
        <f aca="false">IF(Raw_Export!$A1725="","",IFERROR(VALUE(SUBSTITUTE(SUBSTITUTE(UPPER(TRIM(Raw_Export!F1725)),"KES",""),",","")),0))</f>
        <v>90</v>
      </c>
      <c r="H1725" s="38" t="n">
        <f aca="false">IF(Raw_Export!$A1725="","",F1725*G1725)</f>
        <v>270</v>
      </c>
      <c r="I1725" s="36" t="str">
        <f aca="false">IF(Raw_Export!$A1725="","",IFERROR(VLOOKUP(LOWER(TRIM(Raw_Export!H1725)),Maps!$D$2:$E$12,2,FALSE()),"Other"))</f>
        <v>Card</v>
      </c>
      <c r="J1725" s="36" t="str">
        <f aca="false">IF(Raw_Export!$A1725="","",IF(COUNTIF($A$2:A1725,A1725)&gt;1,"Duplicate",""))</f>
        <v/>
      </c>
      <c r="K1725" s="36" t="str">
        <f aca="false">IF(Raw_Export!$A1725="","",IF(J1725="Duplicate","Duplicate",IF(OR(C1725="UNMAPPED",D1725="UNMAPPED"),"Unmapped",IF(F1725=0,"Blank qty",IF(F1725&lt;0,"Return","OK")))))</f>
        <v>OK</v>
      </c>
      <c r="L1725" s="36" t="n">
        <f aca="false">IF(Raw_Export!$A1725="","",IF(OR(K1725="OK",K1725="Return"),1,0))</f>
        <v>1</v>
      </c>
      <c r="M1725" s="37" t="n">
        <f aca="false">IF(Raw_Export!$A1725="","",B1725-WEEKDAY(B1725,2)+1)</f>
        <v>46272</v>
      </c>
    </row>
    <row r="1726" customFormat="false" ht="15" hidden="false" customHeight="false" outlineLevel="0" collapsed="false">
      <c r="A1726" s="36" t="str">
        <f aca="false">IF(Raw_Export!$A1726="","",TRIM(Raw_Export!A1726))</f>
        <v>TXN-101689</v>
      </c>
      <c r="B1726" s="37" t="n">
        <f aca="false">IF(Raw_Export!$A1726="","",IF(ISNUMBER(Raw_Export!B1726),Raw_Export!B1726,IF(MID(TRIM(Raw_Export!B1726),5,1)="-",DATE(LEFT(TRIM(Raw_Export!B1726),4),MID(TRIM(Raw_Export!B1726),6,2),RIGHT(TRIM(Raw_Export!B1726),2)),DATE(RIGHT(TRIM(Raw_Export!B1726),4),MATCH(MID(TRIM(Raw_Export!B1726),4,3),{"Jan","Feb","Mar","Apr","May","Jun","Jul","Aug","Sep","Oct","Nov","Dec"},0),LEFT(TRIM(Raw_Export!B1726),2)))))</f>
        <v>46276</v>
      </c>
      <c r="C1726" s="36" t="str">
        <f aca="false">IF(Raw_Export!$A1726="","",IFERROR(VLOOKUP(LOWER(TRIM(Raw_Export!C1726)),Maps!$A$2:$B$20,2,FALSE()),"UNMAPPED"))</f>
        <v>Mombasa</v>
      </c>
      <c r="D1726" s="36" t="str">
        <f aca="false">IF(Raw_Export!$A1726="","",IFERROR(VLOOKUP(LOWER(TRIM(Raw_Export!D1726)),Maps!$G$2:$I$80,2,FALSE()),"UNMAPPED"))</f>
        <v>Crisps 100g</v>
      </c>
      <c r="E1726" s="36" t="str">
        <f aca="false">IF(Raw_Export!$A1726="","",IFERROR(VLOOKUP(LOWER(TRIM(Raw_Export!D1726)),Maps!$G$2:$I$80,3,FALSE()),"UNMAPPED"))</f>
        <v>Snacks</v>
      </c>
      <c r="F1726" s="36" t="n">
        <f aca="false">IF(Raw_Export!$A1726="","",IFERROR(VALUE(TRIM(Raw_Export!E1726)),0))</f>
        <v>1</v>
      </c>
      <c r="G1726" s="38" t="n">
        <f aca="false">IF(Raw_Export!$A1726="","",IFERROR(VALUE(SUBSTITUTE(SUBSTITUTE(UPPER(TRIM(Raw_Export!F1726)),"KES",""),",","")),0))</f>
        <v>80</v>
      </c>
      <c r="H1726" s="38" t="n">
        <f aca="false">IF(Raw_Export!$A1726="","",F1726*G1726)</f>
        <v>80</v>
      </c>
      <c r="I1726" s="36" t="str">
        <f aca="false">IF(Raw_Export!$A1726="","",IFERROR(VLOOKUP(LOWER(TRIM(Raw_Export!H1726)),Maps!$D$2:$E$12,2,FALSE()),"Other"))</f>
        <v>M-Pesa</v>
      </c>
      <c r="J1726" s="36" t="str">
        <f aca="false">IF(Raw_Export!$A1726="","",IF(COUNTIF($A$2:A1726,A1726)&gt;1,"Duplicate",""))</f>
        <v/>
      </c>
      <c r="K1726" s="36" t="str">
        <f aca="false">IF(Raw_Export!$A1726="","",IF(J1726="Duplicate","Duplicate",IF(OR(C1726="UNMAPPED",D1726="UNMAPPED"),"Unmapped",IF(F1726=0,"Blank qty",IF(F1726&lt;0,"Return","OK")))))</f>
        <v>OK</v>
      </c>
      <c r="L1726" s="36" t="n">
        <f aca="false">IF(Raw_Export!$A1726="","",IF(OR(K1726="OK",K1726="Return"),1,0))</f>
        <v>1</v>
      </c>
      <c r="M1726" s="37" t="n">
        <f aca="false">IF(Raw_Export!$A1726="","",B1726-WEEKDAY(B1726,2)+1)</f>
        <v>46272</v>
      </c>
    </row>
    <row r="1727" customFormat="false" ht="15" hidden="false" customHeight="false" outlineLevel="0" collapsed="false">
      <c r="A1727" s="36" t="str">
        <f aca="false">IF(Raw_Export!$A1727="","",TRIM(Raw_Export!A1727))</f>
        <v>TXN-101690</v>
      </c>
      <c r="B1727" s="37" t="n">
        <f aca="false">IF(Raw_Export!$A1727="","",IF(ISNUMBER(Raw_Export!B1727),Raw_Export!B1727,IF(MID(TRIM(Raw_Export!B1727),5,1)="-",DATE(LEFT(TRIM(Raw_Export!B1727),4),MID(TRIM(Raw_Export!B1727),6,2),RIGHT(TRIM(Raw_Export!B1727),2)),DATE(RIGHT(TRIM(Raw_Export!B1727),4),MATCH(MID(TRIM(Raw_Export!B1727),4,3),{"Jan","Feb","Mar","Apr","May","Jun","Jul","Aug","Sep","Oct","Nov","Dec"},0),LEFT(TRIM(Raw_Export!B1727),2)))))</f>
        <v>46276</v>
      </c>
      <c r="C1727" s="36" t="str">
        <f aca="false">IF(Raw_Export!$A1727="","",IFERROR(VLOOKUP(LOWER(TRIM(Raw_Export!C1727)),Maps!$A$2:$B$20,2,FALSE()),"UNMAPPED"))</f>
        <v>Mombasa</v>
      </c>
      <c r="D1727" s="36" t="str">
        <f aca="false">IF(Raw_Export!$A1727="","",IFERROR(VLOOKUP(LOWER(TRIM(Raw_Export!D1727)),Maps!$G$2:$I$80,2,FALSE()),"UNMAPPED"))</f>
        <v>Soda 500ml</v>
      </c>
      <c r="E1727" s="36" t="str">
        <f aca="false">IF(Raw_Export!$A1727="","",IFERROR(VLOOKUP(LOWER(TRIM(Raw_Export!D1727)),Maps!$G$2:$I$80,3,FALSE()),"UNMAPPED"))</f>
        <v>Beverages</v>
      </c>
      <c r="F1727" s="36" t="n">
        <f aca="false">IF(Raw_Export!$A1727="","",IFERROR(VALUE(TRIM(Raw_Export!E1727)),0))</f>
        <v>1</v>
      </c>
      <c r="G1727" s="38" t="n">
        <f aca="false">IF(Raw_Export!$A1727="","",IFERROR(VALUE(SUBSTITUTE(SUBSTITUTE(UPPER(TRIM(Raw_Export!F1727)),"KES",""),",","")),0))</f>
        <v>60</v>
      </c>
      <c r="H1727" s="38" t="n">
        <f aca="false">IF(Raw_Export!$A1727="","",F1727*G1727)</f>
        <v>60</v>
      </c>
      <c r="I1727" s="36" t="str">
        <f aca="false">IF(Raw_Export!$A1727="","",IFERROR(VLOOKUP(LOWER(TRIM(Raw_Export!H1727)),Maps!$D$2:$E$12,2,FALSE()),"Other"))</f>
        <v>Cash</v>
      </c>
      <c r="J1727" s="36" t="str">
        <f aca="false">IF(Raw_Export!$A1727="","",IF(COUNTIF($A$2:A1727,A1727)&gt;1,"Duplicate",""))</f>
        <v/>
      </c>
      <c r="K1727" s="36" t="str">
        <f aca="false">IF(Raw_Export!$A1727="","",IF(J1727="Duplicate","Duplicate",IF(OR(C1727="UNMAPPED",D1727="UNMAPPED"),"Unmapped",IF(F1727=0,"Blank qty",IF(F1727&lt;0,"Return","OK")))))</f>
        <v>OK</v>
      </c>
      <c r="L1727" s="36" t="n">
        <f aca="false">IF(Raw_Export!$A1727="","",IF(OR(K1727="OK",K1727="Return"),1,0))</f>
        <v>1</v>
      </c>
      <c r="M1727" s="37" t="n">
        <f aca="false">IF(Raw_Export!$A1727="","",B1727-WEEKDAY(B1727,2)+1)</f>
        <v>46272</v>
      </c>
    </row>
    <row r="1728" customFormat="false" ht="15" hidden="false" customHeight="false" outlineLevel="0" collapsed="false">
      <c r="A1728" s="36" t="str">
        <f aca="false">IF(Raw_Export!$A1728="","",TRIM(Raw_Export!A1728))</f>
        <v>TXN-101691</v>
      </c>
      <c r="B1728" s="37" t="n">
        <f aca="false">IF(Raw_Export!$A1728="","",IF(ISNUMBER(Raw_Export!B1728),Raw_Export!B1728,IF(MID(TRIM(Raw_Export!B1728),5,1)="-",DATE(LEFT(TRIM(Raw_Export!B1728),4),MID(TRIM(Raw_Export!B1728),6,2),RIGHT(TRIM(Raw_Export!B1728),2)),DATE(RIGHT(TRIM(Raw_Export!B1728),4),MATCH(MID(TRIM(Raw_Export!B1728),4,3),{"Jan","Feb","Mar","Apr","May","Jun","Jul","Aug","Sep","Oct","Nov","Dec"},0),LEFT(TRIM(Raw_Export!B1728),2)))))</f>
        <v>46276</v>
      </c>
      <c r="C1728" s="36" t="str">
        <f aca="false">IF(Raw_Export!$A1728="","",IFERROR(VLOOKUP(LOWER(TRIM(Raw_Export!C1728)),Maps!$A$2:$B$20,2,FALSE()),"UNMAPPED"))</f>
        <v>Mombasa</v>
      </c>
      <c r="D1728" s="36" t="str">
        <f aca="false">IF(Raw_Export!$A1728="","",IFERROR(VLOOKUP(LOWER(TRIM(Raw_Export!D1728)),Maps!$G$2:$I$80,2,FALSE()),"UNMAPPED"))</f>
        <v>Body Lotion 400ml</v>
      </c>
      <c r="E1728" s="36" t="str">
        <f aca="false">IF(Raw_Export!$A1728="","",IFERROR(VLOOKUP(LOWER(TRIM(Raw_Export!D1728)),Maps!$G$2:$I$80,3,FALSE()),"UNMAPPED"))</f>
        <v>Personal Care</v>
      </c>
      <c r="F1728" s="36" t="n">
        <f aca="false">IF(Raw_Export!$A1728="","",IFERROR(VALUE(TRIM(Raw_Export!E1728)),0))</f>
        <v>1</v>
      </c>
      <c r="G1728" s="38" t="n">
        <f aca="false">IF(Raw_Export!$A1728="","",IFERROR(VALUE(SUBSTITUTE(SUBSTITUTE(UPPER(TRIM(Raw_Export!F1728)),"KES",""),",","")),0))</f>
        <v>420</v>
      </c>
      <c r="H1728" s="38" t="n">
        <f aca="false">IF(Raw_Export!$A1728="","",F1728*G1728)</f>
        <v>420</v>
      </c>
      <c r="I1728" s="36" t="str">
        <f aca="false">IF(Raw_Export!$A1728="","",IFERROR(VLOOKUP(LOWER(TRIM(Raw_Export!H1728)),Maps!$D$2:$E$12,2,FALSE()),"Other"))</f>
        <v>M-Pesa</v>
      </c>
      <c r="J1728" s="36" t="str">
        <f aca="false">IF(Raw_Export!$A1728="","",IF(COUNTIF($A$2:A1728,A1728)&gt;1,"Duplicate",""))</f>
        <v/>
      </c>
      <c r="K1728" s="36" t="str">
        <f aca="false">IF(Raw_Export!$A1728="","",IF(J1728="Duplicate","Duplicate",IF(OR(C1728="UNMAPPED",D1728="UNMAPPED"),"Unmapped",IF(F1728=0,"Blank qty",IF(F1728&lt;0,"Return","OK")))))</f>
        <v>OK</v>
      </c>
      <c r="L1728" s="36" t="n">
        <f aca="false">IF(Raw_Export!$A1728="","",IF(OR(K1728="OK",K1728="Return"),1,0))</f>
        <v>1</v>
      </c>
      <c r="M1728" s="37" t="n">
        <f aca="false">IF(Raw_Export!$A1728="","",B1728-WEEKDAY(B1728,2)+1)</f>
        <v>46272</v>
      </c>
    </row>
    <row r="1729" customFormat="false" ht="15" hidden="false" customHeight="false" outlineLevel="0" collapsed="false">
      <c r="A1729" s="36" t="str">
        <f aca="false">IF(Raw_Export!$A1729="","",TRIM(Raw_Export!A1729))</f>
        <v>TXN-101692</v>
      </c>
      <c r="B1729" s="37" t="n">
        <f aca="false">IF(Raw_Export!$A1729="","",IF(ISNUMBER(Raw_Export!B1729),Raw_Export!B1729,IF(MID(TRIM(Raw_Export!B1729),5,1)="-",DATE(LEFT(TRIM(Raw_Export!B1729),4),MID(TRIM(Raw_Export!B1729),6,2),RIGHT(TRIM(Raw_Export!B1729),2)),DATE(RIGHT(TRIM(Raw_Export!B1729),4),MATCH(MID(TRIM(Raw_Export!B1729),4,3),{"Jan","Feb","Mar","Apr","May","Jun","Jul","Aug","Sep","Oct","Nov","Dec"},0),LEFT(TRIM(Raw_Export!B1729),2)))))</f>
        <v>46276</v>
      </c>
      <c r="C1729" s="36" t="str">
        <f aca="false">IF(Raw_Export!$A1729="","",IFERROR(VLOOKUP(LOWER(TRIM(Raw_Export!C1729)),Maps!$A$2:$B$20,2,FALSE()),"UNMAPPED"))</f>
        <v>Mombasa</v>
      </c>
      <c r="D1729" s="36" t="str">
        <f aca="false">IF(Raw_Export!$A1729="","",IFERROR(VLOOKUP(LOWER(TRIM(Raw_Export!D1729)),Maps!$G$2:$I$80,2,FALSE()),"UNMAPPED"))</f>
        <v>Tea Leaves 250g</v>
      </c>
      <c r="E1729" s="36" t="str">
        <f aca="false">IF(Raw_Export!$A1729="","",IFERROR(VLOOKUP(LOWER(TRIM(Raw_Export!D1729)),Maps!$G$2:$I$80,3,FALSE()),"UNMAPPED"))</f>
        <v>Beverages</v>
      </c>
      <c r="F1729" s="36" t="n">
        <f aca="false">IF(Raw_Export!$A1729="","",IFERROR(VALUE(TRIM(Raw_Export!E1729)),0))</f>
        <v>2</v>
      </c>
      <c r="G1729" s="38" t="n">
        <f aca="false">IF(Raw_Export!$A1729="","",IFERROR(VALUE(SUBSTITUTE(SUBSTITUTE(UPPER(TRIM(Raw_Export!F1729)),"KES",""),",","")),0))</f>
        <v>150</v>
      </c>
      <c r="H1729" s="38" t="n">
        <f aca="false">IF(Raw_Export!$A1729="","",F1729*G1729)</f>
        <v>300</v>
      </c>
      <c r="I1729" s="36" t="str">
        <f aca="false">IF(Raw_Export!$A1729="","",IFERROR(VLOOKUP(LOWER(TRIM(Raw_Export!H1729)),Maps!$D$2:$E$12,2,FALSE()),"Other"))</f>
        <v>M-Pesa</v>
      </c>
      <c r="J1729" s="36" t="str">
        <f aca="false">IF(Raw_Export!$A1729="","",IF(COUNTIF($A$2:A1729,A1729)&gt;1,"Duplicate",""))</f>
        <v/>
      </c>
      <c r="K1729" s="36" t="str">
        <f aca="false">IF(Raw_Export!$A1729="","",IF(J1729="Duplicate","Duplicate",IF(OR(C1729="UNMAPPED",D1729="UNMAPPED"),"Unmapped",IF(F1729=0,"Blank qty",IF(F1729&lt;0,"Return","OK")))))</f>
        <v>OK</v>
      </c>
      <c r="L1729" s="36" t="n">
        <f aca="false">IF(Raw_Export!$A1729="","",IF(OR(K1729="OK",K1729="Return"),1,0))</f>
        <v>1</v>
      </c>
      <c r="M1729" s="37" t="n">
        <f aca="false">IF(Raw_Export!$A1729="","",B1729-WEEKDAY(B1729,2)+1)</f>
        <v>46272</v>
      </c>
    </row>
    <row r="1730" customFormat="false" ht="15" hidden="false" customHeight="false" outlineLevel="0" collapsed="false">
      <c r="A1730" s="36" t="str">
        <f aca="false">IF(Raw_Export!$A1730="","",TRIM(Raw_Export!A1730))</f>
        <v>TXN-101693</v>
      </c>
      <c r="B1730" s="37" t="n">
        <f aca="false">IF(Raw_Export!$A1730="","",IF(ISNUMBER(Raw_Export!B1730),Raw_Export!B1730,IF(MID(TRIM(Raw_Export!B1730),5,1)="-",DATE(LEFT(TRIM(Raw_Export!B1730),4),MID(TRIM(Raw_Export!B1730),6,2),RIGHT(TRIM(Raw_Export!B1730),2)),DATE(RIGHT(TRIM(Raw_Export!B1730),4),MATCH(MID(TRIM(Raw_Export!B1730),4,3),{"Jan","Feb","Mar","Apr","May","Jun","Jul","Aug","Sep","Oct","Nov","Dec"},0),LEFT(TRIM(Raw_Export!B1730),2)))))</f>
        <v>46276</v>
      </c>
      <c r="C1730" s="36" t="str">
        <f aca="false">IF(Raw_Export!$A1730="","",IFERROR(VLOOKUP(LOWER(TRIM(Raw_Export!C1730)),Maps!$A$2:$B$20,2,FALSE()),"UNMAPPED"))</f>
        <v>Mombasa</v>
      </c>
      <c r="D1730" s="36" t="str">
        <f aca="false">IF(Raw_Export!$A1730="","",IFERROR(VLOOKUP(LOWER(TRIM(Raw_Export!D1730)),Maps!$G$2:$I$80,2,FALSE()),"UNMAPPED"))</f>
        <v>Sanitary Pads 8pk</v>
      </c>
      <c r="E1730" s="36" t="str">
        <f aca="false">IF(Raw_Export!$A1730="","",IFERROR(VLOOKUP(LOWER(TRIM(Raw_Export!D1730)),Maps!$G$2:$I$80,3,FALSE()),"UNMAPPED"))</f>
        <v>Personal Care</v>
      </c>
      <c r="F1730" s="36" t="n">
        <f aca="false">IF(Raw_Export!$A1730="","",IFERROR(VALUE(TRIM(Raw_Export!E1730)),0))</f>
        <v>1</v>
      </c>
      <c r="G1730" s="38" t="n">
        <f aca="false">IF(Raw_Export!$A1730="","",IFERROR(VALUE(SUBSTITUTE(SUBSTITUTE(UPPER(TRIM(Raw_Export!F1730)),"KES",""),",","")),0))</f>
        <v>117</v>
      </c>
      <c r="H1730" s="38" t="n">
        <f aca="false">IF(Raw_Export!$A1730="","",F1730*G1730)</f>
        <v>117</v>
      </c>
      <c r="I1730" s="36" t="str">
        <f aca="false">IF(Raw_Export!$A1730="","",IFERROR(VLOOKUP(LOWER(TRIM(Raw_Export!H1730)),Maps!$D$2:$E$12,2,FALSE()),"Other"))</f>
        <v>M-Pesa</v>
      </c>
      <c r="J1730" s="36" t="str">
        <f aca="false">IF(Raw_Export!$A1730="","",IF(COUNTIF($A$2:A1730,A1730)&gt;1,"Duplicate",""))</f>
        <v/>
      </c>
      <c r="K1730" s="36" t="str">
        <f aca="false">IF(Raw_Export!$A1730="","",IF(J1730="Duplicate","Duplicate",IF(OR(C1730="UNMAPPED",D1730="UNMAPPED"),"Unmapped",IF(F1730=0,"Blank qty",IF(F1730&lt;0,"Return","OK")))))</f>
        <v>OK</v>
      </c>
      <c r="L1730" s="36" t="n">
        <f aca="false">IF(Raw_Export!$A1730="","",IF(OR(K1730="OK",K1730="Return"),1,0))</f>
        <v>1</v>
      </c>
      <c r="M1730" s="37" t="n">
        <f aca="false">IF(Raw_Export!$A1730="","",B1730-WEEKDAY(B1730,2)+1)</f>
        <v>46272</v>
      </c>
    </row>
    <row r="1731" customFormat="false" ht="15" hidden="false" customHeight="false" outlineLevel="0" collapsed="false">
      <c r="A1731" s="36" t="str">
        <f aca="false">IF(Raw_Export!$A1731="","",TRIM(Raw_Export!A1731))</f>
        <v>TXN-101694</v>
      </c>
      <c r="B1731" s="37" t="n">
        <f aca="false">IF(Raw_Export!$A1731="","",IF(ISNUMBER(Raw_Export!B1731),Raw_Export!B1731,IF(MID(TRIM(Raw_Export!B1731),5,1)="-",DATE(LEFT(TRIM(Raw_Export!B1731),4),MID(TRIM(Raw_Export!B1731),6,2),RIGHT(TRIM(Raw_Export!B1731),2)),DATE(RIGHT(TRIM(Raw_Export!B1731),4),MATCH(MID(TRIM(Raw_Export!B1731),4,3),{"Jan","Feb","Mar","Apr","May","Jun","Jul","Aug","Sep","Oct","Nov","Dec"},0),LEFT(TRIM(Raw_Export!B1731),2)))))</f>
        <v>46276</v>
      </c>
      <c r="C1731" s="36" t="str">
        <f aca="false">IF(Raw_Export!$A1731="","",IFERROR(VLOOKUP(LOWER(TRIM(Raw_Export!C1731)),Maps!$A$2:$B$20,2,FALSE()),"UNMAPPED"))</f>
        <v>Mombasa</v>
      </c>
      <c r="D1731" s="36" t="str">
        <f aca="false">IF(Raw_Export!$A1731="","",IFERROR(VLOOKUP(LOWER(TRIM(Raw_Export!D1731)),Maps!$G$2:$I$80,2,FALSE()),"UNMAPPED"))</f>
        <v>Eggs Tray 30</v>
      </c>
      <c r="E1731" s="36" t="str">
        <f aca="false">IF(Raw_Export!$A1731="","",IFERROR(VLOOKUP(LOWER(TRIM(Raw_Export!D1731)),Maps!$G$2:$I$80,3,FALSE()),"UNMAPPED"))</f>
        <v>Dairy &amp; Eggs</v>
      </c>
      <c r="F1731" s="36" t="n">
        <f aca="false">IF(Raw_Export!$A1731="","",IFERROR(VALUE(TRIM(Raw_Export!E1731)),0))</f>
        <v>1</v>
      </c>
      <c r="G1731" s="38" t="n">
        <f aca="false">IF(Raw_Export!$A1731="","",IFERROR(VALUE(SUBSTITUTE(SUBSTITUTE(UPPER(TRIM(Raw_Export!F1731)),"KES",""),",","")),0))</f>
        <v>450</v>
      </c>
      <c r="H1731" s="38" t="n">
        <f aca="false">IF(Raw_Export!$A1731="","",F1731*G1731)</f>
        <v>450</v>
      </c>
      <c r="I1731" s="36" t="str">
        <f aca="false">IF(Raw_Export!$A1731="","",IFERROR(VLOOKUP(LOWER(TRIM(Raw_Export!H1731)),Maps!$D$2:$E$12,2,FALSE()),"Other"))</f>
        <v>M-Pesa</v>
      </c>
      <c r="J1731" s="36" t="str">
        <f aca="false">IF(Raw_Export!$A1731="","",IF(COUNTIF($A$2:A1731,A1731)&gt;1,"Duplicate",""))</f>
        <v/>
      </c>
      <c r="K1731" s="36" t="str">
        <f aca="false">IF(Raw_Export!$A1731="","",IF(J1731="Duplicate","Duplicate",IF(OR(C1731="UNMAPPED",D1731="UNMAPPED"),"Unmapped",IF(F1731=0,"Blank qty",IF(F1731&lt;0,"Return","OK")))))</f>
        <v>OK</v>
      </c>
      <c r="L1731" s="36" t="n">
        <f aca="false">IF(Raw_Export!$A1731="","",IF(OR(K1731="OK",K1731="Return"),1,0))</f>
        <v>1</v>
      </c>
      <c r="M1731" s="37" t="n">
        <f aca="false">IF(Raw_Export!$A1731="","",B1731-WEEKDAY(B1731,2)+1)</f>
        <v>46272</v>
      </c>
    </row>
    <row r="1732" customFormat="false" ht="15" hidden="false" customHeight="false" outlineLevel="0" collapsed="false">
      <c r="A1732" s="36" t="str">
        <f aca="false">IF(Raw_Export!$A1732="","",TRIM(Raw_Export!A1732))</f>
        <v>TXN-101695</v>
      </c>
      <c r="B1732" s="37" t="n">
        <f aca="false">IF(Raw_Export!$A1732="","",IF(ISNUMBER(Raw_Export!B1732),Raw_Export!B1732,IF(MID(TRIM(Raw_Export!B1732),5,1)="-",DATE(LEFT(TRIM(Raw_Export!B1732),4),MID(TRIM(Raw_Export!B1732),6,2),RIGHT(TRIM(Raw_Export!B1732),2)),DATE(RIGHT(TRIM(Raw_Export!B1732),4),MATCH(MID(TRIM(Raw_Export!B1732),4,3),{"Jan","Feb","Mar","Apr","May","Jun","Jul","Aug","Sep","Oct","Nov","Dec"},0),LEFT(TRIM(Raw_Export!B1732),2)))))</f>
        <v>46276</v>
      </c>
      <c r="C1732" s="36" t="str">
        <f aca="false">IF(Raw_Export!$A1732="","",IFERROR(VLOOKUP(LOWER(TRIM(Raw_Export!C1732)),Maps!$A$2:$B$20,2,FALSE()),"UNMAPPED"))</f>
        <v>Mombasa</v>
      </c>
      <c r="D1732" s="36" t="str">
        <f aca="false">IF(Raw_Export!$A1732="","",IFERROR(VLOOKUP(LOWER(TRIM(Raw_Export!D1732)),Maps!$G$2:$I$80,2,FALSE()),"UNMAPPED"))</f>
        <v>Bath Soap 175g</v>
      </c>
      <c r="E1732" s="36" t="str">
        <f aca="false">IF(Raw_Export!$A1732="","",IFERROR(VLOOKUP(LOWER(TRIM(Raw_Export!D1732)),Maps!$G$2:$I$80,3,FALSE()),"UNMAPPED"))</f>
        <v>Personal Care</v>
      </c>
      <c r="F1732" s="36" t="n">
        <f aca="false">IF(Raw_Export!$A1732="","",IFERROR(VALUE(TRIM(Raw_Export!E1732)),0))</f>
        <v>1</v>
      </c>
      <c r="G1732" s="38" t="n">
        <f aca="false">IF(Raw_Export!$A1732="","",IFERROR(VALUE(SUBSTITUTE(SUBSTITUTE(UPPER(TRIM(Raw_Export!F1732)),"KES",""),",","")),0))</f>
        <v>85</v>
      </c>
      <c r="H1732" s="38" t="n">
        <f aca="false">IF(Raw_Export!$A1732="","",F1732*G1732)</f>
        <v>85</v>
      </c>
      <c r="I1732" s="36" t="str">
        <f aca="false">IF(Raw_Export!$A1732="","",IFERROR(VLOOKUP(LOWER(TRIM(Raw_Export!H1732)),Maps!$D$2:$E$12,2,FALSE()),"Other"))</f>
        <v>M-Pesa</v>
      </c>
      <c r="J1732" s="36" t="str">
        <f aca="false">IF(Raw_Export!$A1732="","",IF(COUNTIF($A$2:A1732,A1732)&gt;1,"Duplicate",""))</f>
        <v/>
      </c>
      <c r="K1732" s="36" t="str">
        <f aca="false">IF(Raw_Export!$A1732="","",IF(J1732="Duplicate","Duplicate",IF(OR(C1732="UNMAPPED",D1732="UNMAPPED"),"Unmapped",IF(F1732=0,"Blank qty",IF(F1732&lt;0,"Return","OK")))))</f>
        <v>OK</v>
      </c>
      <c r="L1732" s="36" t="n">
        <f aca="false">IF(Raw_Export!$A1732="","",IF(OR(K1732="OK",K1732="Return"),1,0))</f>
        <v>1</v>
      </c>
      <c r="M1732" s="37" t="n">
        <f aca="false">IF(Raw_Export!$A1732="","",B1732-WEEKDAY(B1732,2)+1)</f>
        <v>46272</v>
      </c>
    </row>
    <row r="1733" customFormat="false" ht="15" hidden="false" customHeight="false" outlineLevel="0" collapsed="false">
      <c r="A1733" s="36" t="str">
        <f aca="false">IF(Raw_Export!$A1733="","",TRIM(Raw_Export!A1733))</f>
        <v>TXN-101696</v>
      </c>
      <c r="B1733" s="37" t="n">
        <f aca="false">IF(Raw_Export!$A1733="","",IF(ISNUMBER(Raw_Export!B1733),Raw_Export!B1733,IF(MID(TRIM(Raw_Export!B1733),5,1)="-",DATE(LEFT(TRIM(Raw_Export!B1733),4),MID(TRIM(Raw_Export!B1733),6,2),RIGHT(TRIM(Raw_Export!B1733),2)),DATE(RIGHT(TRIM(Raw_Export!B1733),4),MATCH(MID(TRIM(Raw_Export!B1733),4,3),{"Jan","Feb","Mar","Apr","May","Jun","Jul","Aug","Sep","Oct","Nov","Dec"},0),LEFT(TRIM(Raw_Export!B1733),2)))))</f>
        <v>46276</v>
      </c>
      <c r="C1733" s="36" t="str">
        <f aca="false">IF(Raw_Export!$A1733="","",IFERROR(VLOOKUP(LOWER(TRIM(Raw_Export!C1733)),Maps!$A$2:$B$20,2,FALSE()),"UNMAPPED"))</f>
        <v>Mombasa</v>
      </c>
      <c r="D1733" s="36" t="str">
        <f aca="false">IF(Raw_Export!$A1733="","",IFERROR(VLOOKUP(LOWER(TRIM(Raw_Export!D1733)),Maps!$G$2:$I$80,2,FALSE()),"UNMAPPED"))</f>
        <v>Cooking Oil 1L</v>
      </c>
      <c r="E1733" s="36" t="str">
        <f aca="false">IF(Raw_Export!$A1733="","",IFERROR(VLOOKUP(LOWER(TRIM(Raw_Export!D1733)),Maps!$G$2:$I$80,3,FALSE()),"UNMAPPED"))</f>
        <v>Staples</v>
      </c>
      <c r="F1733" s="36" t="n">
        <f aca="false">IF(Raw_Export!$A1733="","",IFERROR(VALUE(TRIM(Raw_Export!E1733)),0))</f>
        <v>1</v>
      </c>
      <c r="G1733" s="38" t="n">
        <f aca="false">IF(Raw_Export!$A1733="","",IFERROR(VALUE(SUBSTITUTE(SUBSTITUTE(UPPER(TRIM(Raw_Export!F1733)),"KES",""),",","")),0))</f>
        <v>330</v>
      </c>
      <c r="H1733" s="38" t="n">
        <f aca="false">IF(Raw_Export!$A1733="","",F1733*G1733)</f>
        <v>330</v>
      </c>
      <c r="I1733" s="36" t="str">
        <f aca="false">IF(Raw_Export!$A1733="","",IFERROR(VLOOKUP(LOWER(TRIM(Raw_Export!H1733)),Maps!$D$2:$E$12,2,FALSE()),"Other"))</f>
        <v>Card</v>
      </c>
      <c r="J1733" s="36" t="str">
        <f aca="false">IF(Raw_Export!$A1733="","",IF(COUNTIF($A$2:A1733,A1733)&gt;1,"Duplicate",""))</f>
        <v/>
      </c>
      <c r="K1733" s="36" t="str">
        <f aca="false">IF(Raw_Export!$A1733="","",IF(J1733="Duplicate","Duplicate",IF(OR(C1733="UNMAPPED",D1733="UNMAPPED"),"Unmapped",IF(F1733=0,"Blank qty",IF(F1733&lt;0,"Return","OK")))))</f>
        <v>OK</v>
      </c>
      <c r="L1733" s="36" t="n">
        <f aca="false">IF(Raw_Export!$A1733="","",IF(OR(K1733="OK",K1733="Return"),1,0))</f>
        <v>1</v>
      </c>
      <c r="M1733" s="37" t="n">
        <f aca="false">IF(Raw_Export!$A1733="","",B1733-WEEKDAY(B1733,2)+1)</f>
        <v>46272</v>
      </c>
    </row>
    <row r="1734" customFormat="false" ht="15" hidden="false" customHeight="false" outlineLevel="0" collapsed="false">
      <c r="A1734" s="36" t="str">
        <f aca="false">IF(Raw_Export!$A1734="","",TRIM(Raw_Export!A1734))</f>
        <v>TXN-101697</v>
      </c>
      <c r="B1734" s="37" t="n">
        <f aca="false">IF(Raw_Export!$A1734="","",IF(ISNUMBER(Raw_Export!B1734),Raw_Export!B1734,IF(MID(TRIM(Raw_Export!B1734),5,1)="-",DATE(LEFT(TRIM(Raw_Export!B1734),4),MID(TRIM(Raw_Export!B1734),6,2),RIGHT(TRIM(Raw_Export!B1734),2)),DATE(RIGHT(TRIM(Raw_Export!B1734),4),MATCH(MID(TRIM(Raw_Export!B1734),4,3),{"Jan","Feb","Mar","Apr","May","Jun","Jul","Aug","Sep","Oct","Nov","Dec"},0),LEFT(TRIM(Raw_Export!B1734),2)))))</f>
        <v>46276</v>
      </c>
      <c r="C1734" s="36" t="str">
        <f aca="false">IF(Raw_Export!$A1734="","",IFERROR(VLOOKUP(LOWER(TRIM(Raw_Export!C1734)),Maps!$A$2:$B$20,2,FALSE()),"UNMAPPED"))</f>
        <v>Mombasa</v>
      </c>
      <c r="D1734" s="36" t="str">
        <f aca="false">IF(Raw_Export!$A1734="","",IFERROR(VLOOKUP(LOWER(TRIM(Raw_Export!D1734)),Maps!$G$2:$I$80,2,FALSE()),"UNMAPPED"))</f>
        <v>Rice Pishori 2kg</v>
      </c>
      <c r="E1734" s="36" t="str">
        <f aca="false">IF(Raw_Export!$A1734="","",IFERROR(VLOOKUP(LOWER(TRIM(Raw_Export!D1734)),Maps!$G$2:$I$80,3,FALSE()),"UNMAPPED"))</f>
        <v>Staples</v>
      </c>
      <c r="F1734" s="36" t="n">
        <f aca="false">IF(Raw_Export!$A1734="","",IFERROR(VALUE(TRIM(Raw_Export!E1734)),0))</f>
        <v>1</v>
      </c>
      <c r="G1734" s="38" t="n">
        <f aca="false">IF(Raw_Export!$A1734="","",IFERROR(VALUE(SUBSTITUTE(SUBSTITUTE(UPPER(TRIM(Raw_Export!F1734)),"KES",""),",","")),0))</f>
        <v>420</v>
      </c>
      <c r="H1734" s="38" t="n">
        <f aca="false">IF(Raw_Export!$A1734="","",F1734*G1734)</f>
        <v>420</v>
      </c>
      <c r="I1734" s="36" t="str">
        <f aca="false">IF(Raw_Export!$A1734="","",IFERROR(VLOOKUP(LOWER(TRIM(Raw_Export!H1734)),Maps!$D$2:$E$12,2,FALSE()),"Other"))</f>
        <v>M-Pesa</v>
      </c>
      <c r="J1734" s="36" t="str">
        <f aca="false">IF(Raw_Export!$A1734="","",IF(COUNTIF($A$2:A1734,A1734)&gt;1,"Duplicate",""))</f>
        <v/>
      </c>
      <c r="K1734" s="36" t="str">
        <f aca="false">IF(Raw_Export!$A1734="","",IF(J1734="Duplicate","Duplicate",IF(OR(C1734="UNMAPPED",D1734="UNMAPPED"),"Unmapped",IF(F1734=0,"Blank qty",IF(F1734&lt;0,"Return","OK")))))</f>
        <v>OK</v>
      </c>
      <c r="L1734" s="36" t="n">
        <f aca="false">IF(Raw_Export!$A1734="","",IF(OR(K1734="OK",K1734="Return"),1,0))</f>
        <v>1</v>
      </c>
      <c r="M1734" s="37" t="n">
        <f aca="false">IF(Raw_Export!$A1734="","",B1734-WEEKDAY(B1734,2)+1)</f>
        <v>46272</v>
      </c>
    </row>
    <row r="1735" customFormat="false" ht="15" hidden="false" customHeight="false" outlineLevel="0" collapsed="false">
      <c r="A1735" s="36" t="str">
        <f aca="false">IF(Raw_Export!$A1735="","",TRIM(Raw_Export!A1735))</f>
        <v>TXN-101698</v>
      </c>
      <c r="B1735" s="37" t="n">
        <f aca="false">IF(Raw_Export!$A1735="","",IF(ISNUMBER(Raw_Export!B1735),Raw_Export!B1735,IF(MID(TRIM(Raw_Export!B1735),5,1)="-",DATE(LEFT(TRIM(Raw_Export!B1735),4),MID(TRIM(Raw_Export!B1735),6,2),RIGHT(TRIM(Raw_Export!B1735),2)),DATE(RIGHT(TRIM(Raw_Export!B1735),4),MATCH(MID(TRIM(Raw_Export!B1735),4,3),{"Jan","Feb","Mar","Apr","May","Jun","Jul","Aug","Sep","Oct","Nov","Dec"},0),LEFT(TRIM(Raw_Export!B1735),2)))))</f>
        <v>46276</v>
      </c>
      <c r="C1735" s="36" t="str">
        <f aca="false">IF(Raw_Export!$A1735="","",IFERROR(VLOOKUP(LOWER(TRIM(Raw_Export!C1735)),Maps!$A$2:$B$20,2,FALSE()),"UNMAPPED"))</f>
        <v>Mombasa</v>
      </c>
      <c r="D1735" s="36" t="str">
        <f aca="false">IF(Raw_Export!$A1735="","",IFERROR(VLOOKUP(LOWER(TRIM(Raw_Export!D1735)),Maps!$G$2:$I$80,2,FALSE()),"UNMAPPED"))</f>
        <v>Sugar 2kg</v>
      </c>
      <c r="E1735" s="36" t="str">
        <f aca="false">IF(Raw_Export!$A1735="","",IFERROR(VLOOKUP(LOWER(TRIM(Raw_Export!D1735)),Maps!$G$2:$I$80,3,FALSE()),"UNMAPPED"))</f>
        <v>Staples</v>
      </c>
      <c r="F1735" s="36" t="n">
        <f aca="false">IF(Raw_Export!$A1735="","",IFERROR(VALUE(TRIM(Raw_Export!E1735)),0))</f>
        <v>4</v>
      </c>
      <c r="G1735" s="38" t="n">
        <f aca="false">IF(Raw_Export!$A1735="","",IFERROR(VALUE(SUBSTITUTE(SUBSTITUTE(UPPER(TRIM(Raw_Export!F1735)),"KES",""),",","")),0))</f>
        <v>330</v>
      </c>
      <c r="H1735" s="38" t="n">
        <f aca="false">IF(Raw_Export!$A1735="","",F1735*G1735)</f>
        <v>1320</v>
      </c>
      <c r="I1735" s="36" t="str">
        <f aca="false">IF(Raw_Export!$A1735="","",IFERROR(VLOOKUP(LOWER(TRIM(Raw_Export!H1735)),Maps!$D$2:$E$12,2,FALSE()),"Other"))</f>
        <v>M-Pesa</v>
      </c>
      <c r="J1735" s="36" t="str">
        <f aca="false">IF(Raw_Export!$A1735="","",IF(COUNTIF($A$2:A1735,A1735)&gt;1,"Duplicate",""))</f>
        <v/>
      </c>
      <c r="K1735" s="36" t="str">
        <f aca="false">IF(Raw_Export!$A1735="","",IF(J1735="Duplicate","Duplicate",IF(OR(C1735="UNMAPPED",D1735="UNMAPPED"),"Unmapped",IF(F1735=0,"Blank qty",IF(F1735&lt;0,"Return","OK")))))</f>
        <v>OK</v>
      </c>
      <c r="L1735" s="36" t="n">
        <f aca="false">IF(Raw_Export!$A1735="","",IF(OR(K1735="OK",K1735="Return"),1,0))</f>
        <v>1</v>
      </c>
      <c r="M1735" s="37" t="n">
        <f aca="false">IF(Raw_Export!$A1735="","",B1735-WEEKDAY(B1735,2)+1)</f>
        <v>46272</v>
      </c>
    </row>
    <row r="1736" customFormat="false" ht="15" hidden="false" customHeight="false" outlineLevel="0" collapsed="false">
      <c r="A1736" s="36" t="str">
        <f aca="false">IF(Raw_Export!$A1736="","",TRIM(Raw_Export!A1736))</f>
        <v>TXN-101699</v>
      </c>
      <c r="B1736" s="37" t="n">
        <f aca="false">IF(Raw_Export!$A1736="","",IF(ISNUMBER(Raw_Export!B1736),Raw_Export!B1736,IF(MID(TRIM(Raw_Export!B1736),5,1)="-",DATE(LEFT(TRIM(Raw_Export!B1736),4),MID(TRIM(Raw_Export!B1736),6,2),RIGHT(TRIM(Raw_Export!B1736),2)),DATE(RIGHT(TRIM(Raw_Export!B1736),4),MATCH(MID(TRIM(Raw_Export!B1736),4,3),{"Jan","Feb","Mar","Apr","May","Jun","Jul","Aug","Sep","Oct","Nov","Dec"},0),LEFT(TRIM(Raw_Export!B1736),2)))))</f>
        <v>46276</v>
      </c>
      <c r="C1736" s="36" t="str">
        <f aca="false">IF(Raw_Export!$A1736="","",IFERROR(VLOOKUP(LOWER(TRIM(Raw_Export!C1736)),Maps!$A$2:$B$20,2,FALSE()),"UNMAPPED"))</f>
        <v>Mombasa</v>
      </c>
      <c r="D1736" s="36" t="str">
        <f aca="false">IF(Raw_Export!$A1736="","",IFERROR(VLOOKUP(LOWER(TRIM(Raw_Export!D1736)),Maps!$G$2:$I$80,2,FALSE()),"UNMAPPED"))</f>
        <v>Sanitary Pads 8pk</v>
      </c>
      <c r="E1736" s="36" t="str">
        <f aca="false">IF(Raw_Export!$A1736="","",IFERROR(VLOOKUP(LOWER(TRIM(Raw_Export!D1736)),Maps!$G$2:$I$80,3,FALSE()),"UNMAPPED"))</f>
        <v>Personal Care</v>
      </c>
      <c r="F1736" s="36" t="n">
        <f aca="false">IF(Raw_Export!$A1736="","",IFERROR(VALUE(TRIM(Raw_Export!E1736)),0))</f>
        <v>1</v>
      </c>
      <c r="G1736" s="38" t="n">
        <f aca="false">IF(Raw_Export!$A1736="","",IFERROR(VALUE(SUBSTITUTE(SUBSTITUTE(UPPER(TRIM(Raw_Export!F1736)),"KES",""),",","")),0))</f>
        <v>130</v>
      </c>
      <c r="H1736" s="38" t="n">
        <f aca="false">IF(Raw_Export!$A1736="","",F1736*G1736)</f>
        <v>130</v>
      </c>
      <c r="I1736" s="36" t="str">
        <f aca="false">IF(Raw_Export!$A1736="","",IFERROR(VLOOKUP(LOWER(TRIM(Raw_Export!H1736)),Maps!$D$2:$E$12,2,FALSE()),"Other"))</f>
        <v>M-Pesa</v>
      </c>
      <c r="J1736" s="36" t="str">
        <f aca="false">IF(Raw_Export!$A1736="","",IF(COUNTIF($A$2:A1736,A1736)&gt;1,"Duplicate",""))</f>
        <v/>
      </c>
      <c r="K1736" s="36" t="str">
        <f aca="false">IF(Raw_Export!$A1736="","",IF(J1736="Duplicate","Duplicate",IF(OR(C1736="UNMAPPED",D1736="UNMAPPED"),"Unmapped",IF(F1736=0,"Blank qty",IF(F1736&lt;0,"Return","OK")))))</f>
        <v>OK</v>
      </c>
      <c r="L1736" s="36" t="n">
        <f aca="false">IF(Raw_Export!$A1736="","",IF(OR(K1736="OK",K1736="Return"),1,0))</f>
        <v>1</v>
      </c>
      <c r="M1736" s="37" t="n">
        <f aca="false">IF(Raw_Export!$A1736="","",B1736-WEEKDAY(B1736,2)+1)</f>
        <v>46272</v>
      </c>
    </row>
    <row r="1737" customFormat="false" ht="15" hidden="false" customHeight="false" outlineLevel="0" collapsed="false">
      <c r="A1737" s="36" t="str">
        <f aca="false">IF(Raw_Export!$A1737="","",TRIM(Raw_Export!A1737))</f>
        <v>TXN-101700</v>
      </c>
      <c r="B1737" s="37" t="n">
        <f aca="false">IF(Raw_Export!$A1737="","",IF(ISNUMBER(Raw_Export!B1737),Raw_Export!B1737,IF(MID(TRIM(Raw_Export!B1737),5,1)="-",DATE(LEFT(TRIM(Raw_Export!B1737),4),MID(TRIM(Raw_Export!B1737),6,2),RIGHT(TRIM(Raw_Export!B1737),2)),DATE(RIGHT(TRIM(Raw_Export!B1737),4),MATCH(MID(TRIM(Raw_Export!B1737),4,3),{"Jan","Feb","Mar","Apr","May","Jun","Jul","Aug","Sep","Oct","Nov","Dec"},0),LEFT(TRIM(Raw_Export!B1737),2)))))</f>
        <v>46276</v>
      </c>
      <c r="C1737" s="36" t="str">
        <f aca="false">IF(Raw_Export!$A1737="","",IFERROR(VLOOKUP(LOWER(TRIM(Raw_Export!C1737)),Maps!$A$2:$B$20,2,FALSE()),"UNMAPPED"))</f>
        <v>Mombasa</v>
      </c>
      <c r="D1737" s="36" t="str">
        <f aca="false">IF(Raw_Export!$A1737="","",IFERROR(VLOOKUP(LOWER(TRIM(Raw_Export!D1737)),Maps!$G$2:$I$80,2,FALSE()),"UNMAPPED"))</f>
        <v>Sanitary Pads 8pk</v>
      </c>
      <c r="E1737" s="36" t="str">
        <f aca="false">IF(Raw_Export!$A1737="","",IFERROR(VLOOKUP(LOWER(TRIM(Raw_Export!D1737)),Maps!$G$2:$I$80,3,FALSE()),"UNMAPPED"))</f>
        <v>Personal Care</v>
      </c>
      <c r="F1737" s="36" t="n">
        <f aca="false">IF(Raw_Export!$A1737="","",IFERROR(VALUE(TRIM(Raw_Export!E1737)),0))</f>
        <v>3</v>
      </c>
      <c r="G1737" s="38" t="n">
        <f aca="false">IF(Raw_Export!$A1737="","",IFERROR(VALUE(SUBSTITUTE(SUBSTITUTE(UPPER(TRIM(Raw_Export!F1737)),"KES",""),",","")),0))</f>
        <v>130</v>
      </c>
      <c r="H1737" s="38" t="n">
        <f aca="false">IF(Raw_Export!$A1737="","",F1737*G1737)</f>
        <v>390</v>
      </c>
      <c r="I1737" s="36" t="str">
        <f aca="false">IF(Raw_Export!$A1737="","",IFERROR(VLOOKUP(LOWER(TRIM(Raw_Export!H1737)),Maps!$D$2:$E$12,2,FALSE()),"Other"))</f>
        <v>M-Pesa</v>
      </c>
      <c r="J1737" s="36" t="str">
        <f aca="false">IF(Raw_Export!$A1737="","",IF(COUNTIF($A$2:A1737,A1737)&gt;1,"Duplicate",""))</f>
        <v/>
      </c>
      <c r="K1737" s="36" t="str">
        <f aca="false">IF(Raw_Export!$A1737="","",IF(J1737="Duplicate","Duplicate",IF(OR(C1737="UNMAPPED",D1737="UNMAPPED"),"Unmapped",IF(F1737=0,"Blank qty",IF(F1737&lt;0,"Return","OK")))))</f>
        <v>OK</v>
      </c>
      <c r="L1737" s="36" t="n">
        <f aca="false">IF(Raw_Export!$A1737="","",IF(OR(K1737="OK",K1737="Return"),1,0))</f>
        <v>1</v>
      </c>
      <c r="M1737" s="37" t="n">
        <f aca="false">IF(Raw_Export!$A1737="","",B1737-WEEKDAY(B1737,2)+1)</f>
        <v>46272</v>
      </c>
    </row>
    <row r="1738" customFormat="false" ht="15" hidden="false" customHeight="false" outlineLevel="0" collapsed="false">
      <c r="A1738" s="36" t="str">
        <f aca="false">IF(Raw_Export!$A1738="","",TRIM(Raw_Export!A1738))</f>
        <v>TXN-101701</v>
      </c>
      <c r="B1738" s="37" t="n">
        <f aca="false">IF(Raw_Export!$A1738="","",IF(ISNUMBER(Raw_Export!B1738),Raw_Export!B1738,IF(MID(TRIM(Raw_Export!B1738),5,1)="-",DATE(LEFT(TRIM(Raw_Export!B1738),4),MID(TRIM(Raw_Export!B1738),6,2),RIGHT(TRIM(Raw_Export!B1738),2)),DATE(RIGHT(TRIM(Raw_Export!B1738),4),MATCH(MID(TRIM(Raw_Export!B1738),4,3),{"Jan","Feb","Mar","Apr","May","Jun","Jul","Aug","Sep","Oct","Nov","Dec"},0),LEFT(TRIM(Raw_Export!B1738),2)))))</f>
        <v>46276</v>
      </c>
      <c r="C1738" s="36" t="str">
        <f aca="false">IF(Raw_Export!$A1738="","",IFERROR(VLOOKUP(LOWER(TRIM(Raw_Export!C1738)),Maps!$A$2:$B$20,2,FALSE()),"UNMAPPED"))</f>
        <v>Mombasa</v>
      </c>
      <c r="D1738" s="36" t="str">
        <f aca="false">IF(Raw_Export!$A1738="","",IFERROR(VLOOKUP(LOWER(TRIM(Raw_Export!D1738)),Maps!$G$2:$I$80,2,FALSE()),"UNMAPPED"))</f>
        <v>Soda 500ml</v>
      </c>
      <c r="E1738" s="36" t="str">
        <f aca="false">IF(Raw_Export!$A1738="","",IFERROR(VLOOKUP(LOWER(TRIM(Raw_Export!D1738)),Maps!$G$2:$I$80,3,FALSE()),"UNMAPPED"))</f>
        <v>Beverages</v>
      </c>
      <c r="F1738" s="36" t="n">
        <f aca="false">IF(Raw_Export!$A1738="","",IFERROR(VALUE(TRIM(Raw_Export!E1738)),0))</f>
        <v>2</v>
      </c>
      <c r="G1738" s="38" t="n">
        <f aca="false">IF(Raw_Export!$A1738="","",IFERROR(VALUE(SUBSTITUTE(SUBSTITUTE(UPPER(TRIM(Raw_Export!F1738)),"KES",""),",","")),0))</f>
        <v>60</v>
      </c>
      <c r="H1738" s="38" t="n">
        <f aca="false">IF(Raw_Export!$A1738="","",F1738*G1738)</f>
        <v>120</v>
      </c>
      <c r="I1738" s="36" t="str">
        <f aca="false">IF(Raw_Export!$A1738="","",IFERROR(VLOOKUP(LOWER(TRIM(Raw_Export!H1738)),Maps!$D$2:$E$12,2,FALSE()),"Other"))</f>
        <v>Cash</v>
      </c>
      <c r="J1738" s="36" t="str">
        <f aca="false">IF(Raw_Export!$A1738="","",IF(COUNTIF($A$2:A1738,A1738)&gt;1,"Duplicate",""))</f>
        <v/>
      </c>
      <c r="K1738" s="36" t="str">
        <f aca="false">IF(Raw_Export!$A1738="","",IF(J1738="Duplicate","Duplicate",IF(OR(C1738="UNMAPPED",D1738="UNMAPPED"),"Unmapped",IF(F1738=0,"Blank qty",IF(F1738&lt;0,"Return","OK")))))</f>
        <v>OK</v>
      </c>
      <c r="L1738" s="36" t="n">
        <f aca="false">IF(Raw_Export!$A1738="","",IF(OR(K1738="OK",K1738="Return"),1,0))</f>
        <v>1</v>
      </c>
      <c r="M1738" s="37" t="n">
        <f aca="false">IF(Raw_Export!$A1738="","",B1738-WEEKDAY(B1738,2)+1)</f>
        <v>46272</v>
      </c>
    </row>
    <row r="1739" customFormat="false" ht="15" hidden="false" customHeight="false" outlineLevel="0" collapsed="false">
      <c r="A1739" s="36" t="str">
        <f aca="false">IF(Raw_Export!$A1739="","",TRIM(Raw_Export!A1739))</f>
        <v>TXN-101702</v>
      </c>
      <c r="B1739" s="37" t="n">
        <f aca="false">IF(Raw_Export!$A1739="","",IF(ISNUMBER(Raw_Export!B1739),Raw_Export!B1739,IF(MID(TRIM(Raw_Export!B1739),5,1)="-",DATE(LEFT(TRIM(Raw_Export!B1739),4),MID(TRIM(Raw_Export!B1739),6,2),RIGHT(TRIM(Raw_Export!B1739),2)),DATE(RIGHT(TRIM(Raw_Export!B1739),4),MATCH(MID(TRIM(Raw_Export!B1739),4,3),{"Jan","Feb","Mar","Apr","May","Jun","Jul","Aug","Sep","Oct","Nov","Dec"},0),LEFT(TRIM(Raw_Export!B1739),2)))))</f>
        <v>46276</v>
      </c>
      <c r="C1739" s="36" t="str">
        <f aca="false">IF(Raw_Export!$A1739="","",IFERROR(VLOOKUP(LOWER(TRIM(Raw_Export!C1739)),Maps!$A$2:$B$20,2,FALSE()),"UNMAPPED"))</f>
        <v>Mombasa</v>
      </c>
      <c r="D1739" s="36" t="str">
        <f aca="false">IF(Raw_Export!$A1739="","",IFERROR(VLOOKUP(LOWER(TRIM(Raw_Export!D1739)),Maps!$G$2:$I$80,2,FALSE()),"UNMAPPED"))</f>
        <v>Eggs Tray 30</v>
      </c>
      <c r="E1739" s="36" t="str">
        <f aca="false">IF(Raw_Export!$A1739="","",IFERROR(VLOOKUP(LOWER(TRIM(Raw_Export!D1739)),Maps!$G$2:$I$80,3,FALSE()),"UNMAPPED"))</f>
        <v>Dairy &amp; Eggs</v>
      </c>
      <c r="F1739" s="36" t="n">
        <f aca="false">IF(Raw_Export!$A1739="","",IFERROR(VALUE(TRIM(Raw_Export!E1739)),0))</f>
        <v>6</v>
      </c>
      <c r="G1739" s="38" t="n">
        <f aca="false">IF(Raw_Export!$A1739="","",IFERROR(VALUE(SUBSTITUTE(SUBSTITUTE(UPPER(TRIM(Raw_Export!F1739)),"KES",""),",","")),0))</f>
        <v>450</v>
      </c>
      <c r="H1739" s="38" t="n">
        <f aca="false">IF(Raw_Export!$A1739="","",F1739*G1739)</f>
        <v>2700</v>
      </c>
      <c r="I1739" s="36" t="str">
        <f aca="false">IF(Raw_Export!$A1739="","",IFERROR(VLOOKUP(LOWER(TRIM(Raw_Export!H1739)),Maps!$D$2:$E$12,2,FALSE()),"Other"))</f>
        <v>M-Pesa</v>
      </c>
      <c r="J1739" s="36" t="str">
        <f aca="false">IF(Raw_Export!$A1739="","",IF(COUNTIF($A$2:A1739,A1739)&gt;1,"Duplicate",""))</f>
        <v/>
      </c>
      <c r="K1739" s="36" t="str">
        <f aca="false">IF(Raw_Export!$A1739="","",IF(J1739="Duplicate","Duplicate",IF(OR(C1739="UNMAPPED",D1739="UNMAPPED"),"Unmapped",IF(F1739=0,"Blank qty",IF(F1739&lt;0,"Return","OK")))))</f>
        <v>OK</v>
      </c>
      <c r="L1739" s="36" t="n">
        <f aca="false">IF(Raw_Export!$A1739="","",IF(OR(K1739="OK",K1739="Return"),1,0))</f>
        <v>1</v>
      </c>
      <c r="M1739" s="37" t="n">
        <f aca="false">IF(Raw_Export!$A1739="","",B1739-WEEKDAY(B1739,2)+1)</f>
        <v>46272</v>
      </c>
    </row>
    <row r="1740" customFormat="false" ht="15" hidden="false" customHeight="false" outlineLevel="0" collapsed="false">
      <c r="A1740" s="36" t="str">
        <f aca="false">IF(Raw_Export!$A1740="","",TRIM(Raw_Export!A1740))</f>
        <v>TXN-101703</v>
      </c>
      <c r="B1740" s="37" t="n">
        <f aca="false">IF(Raw_Export!$A1740="","",IF(ISNUMBER(Raw_Export!B1740),Raw_Export!B1740,IF(MID(TRIM(Raw_Export!B1740),5,1)="-",DATE(LEFT(TRIM(Raw_Export!B1740),4),MID(TRIM(Raw_Export!B1740),6,2),RIGHT(TRIM(Raw_Export!B1740),2)),DATE(RIGHT(TRIM(Raw_Export!B1740),4),MATCH(MID(TRIM(Raw_Export!B1740),4,3),{"Jan","Feb","Mar","Apr","May","Jun","Jul","Aug","Sep","Oct","Nov","Dec"},0),LEFT(TRIM(Raw_Export!B1740),2)))))</f>
        <v>46276</v>
      </c>
      <c r="C1740" s="36" t="str">
        <f aca="false">IF(Raw_Export!$A1740="","",IFERROR(VLOOKUP(LOWER(TRIM(Raw_Export!C1740)),Maps!$A$2:$B$20,2,FALSE()),"UNMAPPED"))</f>
        <v>Mombasa</v>
      </c>
      <c r="D1740" s="36" t="str">
        <f aca="false">IF(Raw_Export!$A1740="","",IFERROR(VLOOKUP(LOWER(TRIM(Raw_Export!D1740)),Maps!$G$2:$I$80,2,FALSE()),"UNMAPPED"))</f>
        <v>Unga Pembe 2kg</v>
      </c>
      <c r="E1740" s="36" t="str">
        <f aca="false">IF(Raw_Export!$A1740="","",IFERROR(VLOOKUP(LOWER(TRIM(Raw_Export!D1740)),Maps!$G$2:$I$80,3,FALSE()),"UNMAPPED"))</f>
        <v>Staples</v>
      </c>
      <c r="F1740" s="36" t="n">
        <f aca="false">IF(Raw_Export!$A1740="","",IFERROR(VALUE(TRIM(Raw_Export!E1740)),0))</f>
        <v>3</v>
      </c>
      <c r="G1740" s="38" t="n">
        <f aca="false">IF(Raw_Export!$A1740="","",IFERROR(VALUE(SUBSTITUTE(SUBSTITUTE(UPPER(TRIM(Raw_Export!F1740)),"KES",""),",","")),0))</f>
        <v>190</v>
      </c>
      <c r="H1740" s="38" t="n">
        <f aca="false">IF(Raw_Export!$A1740="","",F1740*G1740)</f>
        <v>570</v>
      </c>
      <c r="I1740" s="36" t="str">
        <f aca="false">IF(Raw_Export!$A1740="","",IFERROR(VLOOKUP(LOWER(TRIM(Raw_Export!H1740)),Maps!$D$2:$E$12,2,FALSE()),"Other"))</f>
        <v>M-Pesa</v>
      </c>
      <c r="J1740" s="36" t="str">
        <f aca="false">IF(Raw_Export!$A1740="","",IF(COUNTIF($A$2:A1740,A1740)&gt;1,"Duplicate",""))</f>
        <v/>
      </c>
      <c r="K1740" s="36" t="str">
        <f aca="false">IF(Raw_Export!$A1740="","",IF(J1740="Duplicate","Duplicate",IF(OR(C1740="UNMAPPED",D1740="UNMAPPED"),"Unmapped",IF(F1740=0,"Blank qty",IF(F1740&lt;0,"Return","OK")))))</f>
        <v>OK</v>
      </c>
      <c r="L1740" s="36" t="n">
        <f aca="false">IF(Raw_Export!$A1740="","",IF(OR(K1740="OK",K1740="Return"),1,0))</f>
        <v>1</v>
      </c>
      <c r="M1740" s="37" t="n">
        <f aca="false">IF(Raw_Export!$A1740="","",B1740-WEEKDAY(B1740,2)+1)</f>
        <v>46272</v>
      </c>
    </row>
    <row r="1741" customFormat="false" ht="15" hidden="false" customHeight="false" outlineLevel="0" collapsed="false">
      <c r="A1741" s="36" t="str">
        <f aca="false">IF(Raw_Export!$A1741="","",TRIM(Raw_Export!A1741))</f>
        <v>TXN-101704</v>
      </c>
      <c r="B1741" s="37" t="n">
        <f aca="false">IF(Raw_Export!$A1741="","",IF(ISNUMBER(Raw_Export!B1741),Raw_Export!B1741,IF(MID(TRIM(Raw_Export!B1741),5,1)="-",DATE(LEFT(TRIM(Raw_Export!B1741),4),MID(TRIM(Raw_Export!B1741),6,2),RIGHT(TRIM(Raw_Export!B1741),2)),DATE(RIGHT(TRIM(Raw_Export!B1741),4),MATCH(MID(TRIM(Raw_Export!B1741),4,3),{"Jan","Feb","Mar","Apr","May","Jun","Jul","Aug","Sep","Oct","Nov","Dec"},0),LEFT(TRIM(Raw_Export!B1741),2)))))</f>
        <v>46276</v>
      </c>
      <c r="C1741" s="36" t="str">
        <f aca="false">IF(Raw_Export!$A1741="","",IFERROR(VLOOKUP(LOWER(TRIM(Raw_Export!C1741)),Maps!$A$2:$B$20,2,FALSE()),"UNMAPPED"))</f>
        <v>Mombasa</v>
      </c>
      <c r="D1741" s="36" t="str">
        <f aca="false">IF(Raw_Export!$A1741="","",IFERROR(VLOOKUP(LOWER(TRIM(Raw_Export!D1741)),Maps!$G$2:$I$80,2,FALSE()),"UNMAPPED"))</f>
        <v>Unga Pembe 2kg</v>
      </c>
      <c r="E1741" s="36" t="str">
        <f aca="false">IF(Raw_Export!$A1741="","",IFERROR(VLOOKUP(LOWER(TRIM(Raw_Export!D1741)),Maps!$G$2:$I$80,3,FALSE()),"UNMAPPED"))</f>
        <v>Staples</v>
      </c>
      <c r="F1741" s="36" t="n">
        <f aca="false">IF(Raw_Export!$A1741="","",IFERROR(VALUE(TRIM(Raw_Export!E1741)),0))</f>
        <v>4</v>
      </c>
      <c r="G1741" s="38" t="n">
        <f aca="false">IF(Raw_Export!$A1741="","",IFERROR(VALUE(SUBSTITUTE(SUBSTITUTE(UPPER(TRIM(Raw_Export!F1741)),"KES",""),",","")),0))</f>
        <v>190</v>
      </c>
      <c r="H1741" s="38" t="n">
        <f aca="false">IF(Raw_Export!$A1741="","",F1741*G1741)</f>
        <v>760</v>
      </c>
      <c r="I1741" s="36" t="str">
        <f aca="false">IF(Raw_Export!$A1741="","",IFERROR(VLOOKUP(LOWER(TRIM(Raw_Export!H1741)),Maps!$D$2:$E$12,2,FALSE()),"Other"))</f>
        <v>M-Pesa</v>
      </c>
      <c r="J1741" s="36" t="str">
        <f aca="false">IF(Raw_Export!$A1741="","",IF(COUNTIF($A$2:A1741,A1741)&gt;1,"Duplicate",""))</f>
        <v/>
      </c>
      <c r="K1741" s="36" t="str">
        <f aca="false">IF(Raw_Export!$A1741="","",IF(J1741="Duplicate","Duplicate",IF(OR(C1741="UNMAPPED",D1741="UNMAPPED"),"Unmapped",IF(F1741=0,"Blank qty",IF(F1741&lt;0,"Return","OK")))))</f>
        <v>OK</v>
      </c>
      <c r="L1741" s="36" t="n">
        <f aca="false">IF(Raw_Export!$A1741="","",IF(OR(K1741="OK",K1741="Return"),1,0))</f>
        <v>1</v>
      </c>
      <c r="M1741" s="37" t="n">
        <f aca="false">IF(Raw_Export!$A1741="","",B1741-WEEKDAY(B1741,2)+1)</f>
        <v>46272</v>
      </c>
    </row>
    <row r="1742" customFormat="false" ht="15" hidden="false" customHeight="false" outlineLevel="0" collapsed="false">
      <c r="A1742" s="36" t="str">
        <f aca="false">IF(Raw_Export!$A1742="","",TRIM(Raw_Export!A1742))</f>
        <v>TXN-101705</v>
      </c>
      <c r="B1742" s="37" t="n">
        <f aca="false">IF(Raw_Export!$A1742="","",IF(ISNUMBER(Raw_Export!B1742),Raw_Export!B1742,IF(MID(TRIM(Raw_Export!B1742),5,1)="-",DATE(LEFT(TRIM(Raw_Export!B1742),4),MID(TRIM(Raw_Export!B1742),6,2),RIGHT(TRIM(Raw_Export!B1742),2)),DATE(RIGHT(TRIM(Raw_Export!B1742),4),MATCH(MID(TRIM(Raw_Export!B1742),4,3),{"Jan","Feb","Mar","Apr","May","Jun","Jul","Aug","Sep","Oct","Nov","Dec"},0),LEFT(TRIM(Raw_Export!B1742),2)))))</f>
        <v>46276</v>
      </c>
      <c r="C1742" s="36" t="str">
        <f aca="false">IF(Raw_Export!$A1742="","",IFERROR(VLOOKUP(LOWER(TRIM(Raw_Export!C1742)),Maps!$A$2:$B$20,2,FALSE()),"UNMAPPED"))</f>
        <v>Mombasa</v>
      </c>
      <c r="D1742" s="36" t="str">
        <f aca="false">IF(Raw_Export!$A1742="","",IFERROR(VLOOKUP(LOWER(TRIM(Raw_Export!D1742)),Maps!$G$2:$I$80,2,FALSE()),"UNMAPPED"))</f>
        <v>Eggs Tray 30</v>
      </c>
      <c r="E1742" s="36" t="str">
        <f aca="false">IF(Raw_Export!$A1742="","",IFERROR(VLOOKUP(LOWER(TRIM(Raw_Export!D1742)),Maps!$G$2:$I$80,3,FALSE()),"UNMAPPED"))</f>
        <v>Dairy &amp; Eggs</v>
      </c>
      <c r="F1742" s="36" t="n">
        <f aca="false">IF(Raw_Export!$A1742="","",IFERROR(VALUE(TRIM(Raw_Export!E1742)),0))</f>
        <v>1</v>
      </c>
      <c r="G1742" s="38" t="n">
        <f aca="false">IF(Raw_Export!$A1742="","",IFERROR(VALUE(SUBSTITUTE(SUBSTITUTE(UPPER(TRIM(Raw_Export!F1742)),"KES",""),",","")),0))</f>
        <v>450</v>
      </c>
      <c r="H1742" s="38" t="n">
        <f aca="false">IF(Raw_Export!$A1742="","",F1742*G1742)</f>
        <v>450</v>
      </c>
      <c r="I1742" s="36" t="str">
        <f aca="false">IF(Raw_Export!$A1742="","",IFERROR(VLOOKUP(LOWER(TRIM(Raw_Export!H1742)),Maps!$D$2:$E$12,2,FALSE()),"Other"))</f>
        <v>M-Pesa</v>
      </c>
      <c r="J1742" s="36" t="str">
        <f aca="false">IF(Raw_Export!$A1742="","",IF(COUNTIF($A$2:A1742,A1742)&gt;1,"Duplicate",""))</f>
        <v/>
      </c>
      <c r="K1742" s="36" t="str">
        <f aca="false">IF(Raw_Export!$A1742="","",IF(J1742="Duplicate","Duplicate",IF(OR(C1742="UNMAPPED",D1742="UNMAPPED"),"Unmapped",IF(F1742=0,"Blank qty",IF(F1742&lt;0,"Return","OK")))))</f>
        <v>OK</v>
      </c>
      <c r="L1742" s="36" t="n">
        <f aca="false">IF(Raw_Export!$A1742="","",IF(OR(K1742="OK",K1742="Return"),1,0))</f>
        <v>1</v>
      </c>
      <c r="M1742" s="37" t="n">
        <f aca="false">IF(Raw_Export!$A1742="","",B1742-WEEKDAY(B1742,2)+1)</f>
        <v>46272</v>
      </c>
    </row>
    <row r="1743" customFormat="false" ht="15" hidden="false" customHeight="false" outlineLevel="0" collapsed="false">
      <c r="A1743" s="36" t="str">
        <f aca="false">IF(Raw_Export!$A1743="","",TRIM(Raw_Export!A1743))</f>
        <v>TXN-101706</v>
      </c>
      <c r="B1743" s="37" t="n">
        <f aca="false">IF(Raw_Export!$A1743="","",IF(ISNUMBER(Raw_Export!B1743),Raw_Export!B1743,IF(MID(TRIM(Raw_Export!B1743),5,1)="-",DATE(LEFT(TRIM(Raw_Export!B1743),4),MID(TRIM(Raw_Export!B1743),6,2),RIGHT(TRIM(Raw_Export!B1743),2)),DATE(RIGHT(TRIM(Raw_Export!B1743),4),MATCH(MID(TRIM(Raw_Export!B1743),4,3),{"Jan","Feb","Mar","Apr","May","Jun","Jul","Aug","Sep","Oct","Nov","Dec"},0),LEFT(TRIM(Raw_Export!B1743),2)))))</f>
        <v>46276</v>
      </c>
      <c r="C1743" s="36" t="str">
        <f aca="false">IF(Raw_Export!$A1743="","",IFERROR(VLOOKUP(LOWER(TRIM(Raw_Export!C1743)),Maps!$A$2:$B$20,2,FALSE()),"UNMAPPED"))</f>
        <v>Mombasa</v>
      </c>
      <c r="D1743" s="36" t="str">
        <f aca="false">IF(Raw_Export!$A1743="","",IFERROR(VLOOKUP(LOWER(TRIM(Raw_Export!D1743)),Maps!$G$2:$I$80,2,FALSE()),"UNMAPPED"))</f>
        <v>Fresh Milk 500ml</v>
      </c>
      <c r="E1743" s="36" t="str">
        <f aca="false">IF(Raw_Export!$A1743="","",IFERROR(VLOOKUP(LOWER(TRIM(Raw_Export!D1743)),Maps!$G$2:$I$80,3,FALSE()),"UNMAPPED"))</f>
        <v>Dairy &amp; Eggs</v>
      </c>
      <c r="F1743" s="36" t="n">
        <f aca="false">IF(Raw_Export!$A1743="","",IFERROR(VALUE(TRIM(Raw_Export!E1743)),0))</f>
        <v>1</v>
      </c>
      <c r="G1743" s="38" t="n">
        <f aca="false">IF(Raw_Export!$A1743="","",IFERROR(VALUE(SUBSTITUTE(SUBSTITUTE(UPPER(TRIM(Raw_Export!F1743)),"KES",""),",","")),0))</f>
        <v>65</v>
      </c>
      <c r="H1743" s="38" t="n">
        <f aca="false">IF(Raw_Export!$A1743="","",F1743*G1743)</f>
        <v>65</v>
      </c>
      <c r="I1743" s="36" t="str">
        <f aca="false">IF(Raw_Export!$A1743="","",IFERROR(VLOOKUP(LOWER(TRIM(Raw_Export!H1743)),Maps!$D$2:$E$12,2,FALSE()),"Other"))</f>
        <v>M-Pesa</v>
      </c>
      <c r="J1743" s="36" t="str">
        <f aca="false">IF(Raw_Export!$A1743="","",IF(COUNTIF($A$2:A1743,A1743)&gt;1,"Duplicate",""))</f>
        <v/>
      </c>
      <c r="K1743" s="36" t="str">
        <f aca="false">IF(Raw_Export!$A1743="","",IF(J1743="Duplicate","Duplicate",IF(OR(C1743="UNMAPPED",D1743="UNMAPPED"),"Unmapped",IF(F1743=0,"Blank qty",IF(F1743&lt;0,"Return","OK")))))</f>
        <v>OK</v>
      </c>
      <c r="L1743" s="36" t="n">
        <f aca="false">IF(Raw_Export!$A1743="","",IF(OR(K1743="OK",K1743="Return"),1,0))</f>
        <v>1</v>
      </c>
      <c r="M1743" s="37" t="n">
        <f aca="false">IF(Raw_Export!$A1743="","",B1743-WEEKDAY(B1743,2)+1)</f>
        <v>46272</v>
      </c>
    </row>
    <row r="1744" customFormat="false" ht="15" hidden="false" customHeight="false" outlineLevel="0" collapsed="false">
      <c r="A1744" s="36" t="str">
        <f aca="false">IF(Raw_Export!$A1744="","",TRIM(Raw_Export!A1744))</f>
        <v>TXN-101707</v>
      </c>
      <c r="B1744" s="37" t="n">
        <f aca="false">IF(Raw_Export!$A1744="","",IF(ISNUMBER(Raw_Export!B1744),Raw_Export!B1744,IF(MID(TRIM(Raw_Export!B1744),5,1)="-",DATE(LEFT(TRIM(Raw_Export!B1744),4),MID(TRIM(Raw_Export!B1744),6,2),RIGHT(TRIM(Raw_Export!B1744),2)),DATE(RIGHT(TRIM(Raw_Export!B1744),4),MATCH(MID(TRIM(Raw_Export!B1744),4,3),{"Jan","Feb","Mar","Apr","May","Jun","Jul","Aug","Sep","Oct","Nov","Dec"},0),LEFT(TRIM(Raw_Export!B1744),2)))))</f>
        <v>46276</v>
      </c>
      <c r="C1744" s="36" t="str">
        <f aca="false">IF(Raw_Export!$A1744="","",IFERROR(VLOOKUP(LOWER(TRIM(Raw_Export!C1744)),Maps!$A$2:$B$20,2,FALSE()),"UNMAPPED"))</f>
        <v>Mombasa</v>
      </c>
      <c r="D1744" s="36" t="str">
        <f aca="false">IF(Raw_Export!$A1744="","",IFERROR(VLOOKUP(LOWER(TRIM(Raw_Export!D1744)),Maps!$G$2:$I$80,2,FALSE()),"UNMAPPED"))</f>
        <v>Deodorant 150ml</v>
      </c>
      <c r="E1744" s="36" t="str">
        <f aca="false">IF(Raw_Export!$A1744="","",IFERROR(VLOOKUP(LOWER(TRIM(Raw_Export!D1744)),Maps!$G$2:$I$80,3,FALSE()),"UNMAPPED"))</f>
        <v>Personal Care</v>
      </c>
      <c r="F1744" s="36" t="n">
        <f aca="false">IF(Raw_Export!$A1744="","",IFERROR(VALUE(TRIM(Raw_Export!E1744)),0))</f>
        <v>2</v>
      </c>
      <c r="G1744" s="38" t="n">
        <f aca="false">IF(Raw_Export!$A1744="","",IFERROR(VALUE(SUBSTITUTE(SUBSTITUTE(UPPER(TRIM(Raw_Export!F1744)),"KES",""),",","")),0))</f>
        <v>350</v>
      </c>
      <c r="H1744" s="38" t="n">
        <f aca="false">IF(Raw_Export!$A1744="","",F1744*G1744)</f>
        <v>700</v>
      </c>
      <c r="I1744" s="36" t="str">
        <f aca="false">IF(Raw_Export!$A1744="","",IFERROR(VLOOKUP(LOWER(TRIM(Raw_Export!H1744)),Maps!$D$2:$E$12,2,FALSE()),"Other"))</f>
        <v>M-Pesa</v>
      </c>
      <c r="J1744" s="36" t="str">
        <f aca="false">IF(Raw_Export!$A1744="","",IF(COUNTIF($A$2:A1744,A1744)&gt;1,"Duplicate",""))</f>
        <v/>
      </c>
      <c r="K1744" s="36" t="str">
        <f aca="false">IF(Raw_Export!$A1744="","",IF(J1744="Duplicate","Duplicate",IF(OR(C1744="UNMAPPED",D1744="UNMAPPED"),"Unmapped",IF(F1744=0,"Blank qty",IF(F1744&lt;0,"Return","OK")))))</f>
        <v>OK</v>
      </c>
      <c r="L1744" s="36" t="n">
        <f aca="false">IF(Raw_Export!$A1744="","",IF(OR(K1744="OK",K1744="Return"),1,0))</f>
        <v>1</v>
      </c>
      <c r="M1744" s="37" t="n">
        <f aca="false">IF(Raw_Export!$A1744="","",B1744-WEEKDAY(B1744,2)+1)</f>
        <v>46272</v>
      </c>
    </row>
    <row r="1745" customFormat="false" ht="15" hidden="false" customHeight="false" outlineLevel="0" collapsed="false">
      <c r="A1745" s="36" t="str">
        <f aca="false">IF(Raw_Export!$A1745="","",TRIM(Raw_Export!A1745))</f>
        <v>TXN-101708</v>
      </c>
      <c r="B1745" s="37" t="n">
        <f aca="false">IF(Raw_Export!$A1745="","",IF(ISNUMBER(Raw_Export!B1745),Raw_Export!B1745,IF(MID(TRIM(Raw_Export!B1745),5,1)="-",DATE(LEFT(TRIM(Raw_Export!B1745),4),MID(TRIM(Raw_Export!B1745),6,2),RIGHT(TRIM(Raw_Export!B1745),2)),DATE(RIGHT(TRIM(Raw_Export!B1745),4),MATCH(MID(TRIM(Raw_Export!B1745),4,3),{"Jan","Feb","Mar","Apr","May","Jun","Jul","Aug","Sep","Oct","Nov","Dec"},0),LEFT(TRIM(Raw_Export!B1745),2)))))</f>
        <v>46276</v>
      </c>
      <c r="C1745" s="36" t="str">
        <f aca="false">IF(Raw_Export!$A1745="","",IFERROR(VLOOKUP(LOWER(TRIM(Raw_Export!C1745)),Maps!$A$2:$B$20,2,FALSE()),"UNMAPPED"))</f>
        <v>Mombasa</v>
      </c>
      <c r="D1745" s="36" t="str">
        <f aca="false">IF(Raw_Export!$A1745="","",IFERROR(VLOOKUP(LOWER(TRIM(Raw_Export!D1745)),Maps!$G$2:$I$80,2,FALSE()),"UNMAPPED"))</f>
        <v>Bath Soap 175g</v>
      </c>
      <c r="E1745" s="36" t="str">
        <f aca="false">IF(Raw_Export!$A1745="","",IFERROR(VLOOKUP(LOWER(TRIM(Raw_Export!D1745)),Maps!$G$2:$I$80,3,FALSE()),"UNMAPPED"))</f>
        <v>Personal Care</v>
      </c>
      <c r="F1745" s="36" t="n">
        <f aca="false">IF(Raw_Export!$A1745="","",IFERROR(VALUE(TRIM(Raw_Export!E1745)),0))</f>
        <v>-2</v>
      </c>
      <c r="G1745" s="38" t="n">
        <f aca="false">IF(Raw_Export!$A1745="","",IFERROR(VALUE(SUBSTITUTE(SUBSTITUTE(UPPER(TRIM(Raw_Export!F1745)),"KES",""),",","")),0))</f>
        <v>85</v>
      </c>
      <c r="H1745" s="38" t="n">
        <f aca="false">IF(Raw_Export!$A1745="","",F1745*G1745)</f>
        <v>-170</v>
      </c>
      <c r="I1745" s="36" t="str">
        <f aca="false">IF(Raw_Export!$A1745="","",IFERROR(VLOOKUP(LOWER(TRIM(Raw_Export!H1745)),Maps!$D$2:$E$12,2,FALSE()),"Other"))</f>
        <v>Cash</v>
      </c>
      <c r="J1745" s="36" t="str">
        <f aca="false">IF(Raw_Export!$A1745="","",IF(COUNTIF($A$2:A1745,A1745)&gt;1,"Duplicate",""))</f>
        <v/>
      </c>
      <c r="K1745" s="36" t="str">
        <f aca="false">IF(Raw_Export!$A1745="","",IF(J1745="Duplicate","Duplicate",IF(OR(C1745="UNMAPPED",D1745="UNMAPPED"),"Unmapped",IF(F1745=0,"Blank qty",IF(F1745&lt;0,"Return","OK")))))</f>
        <v>Return</v>
      </c>
      <c r="L1745" s="36" t="n">
        <f aca="false">IF(Raw_Export!$A1745="","",IF(OR(K1745="OK",K1745="Return"),1,0))</f>
        <v>1</v>
      </c>
      <c r="M1745" s="37" t="n">
        <f aca="false">IF(Raw_Export!$A1745="","",B1745-WEEKDAY(B1745,2)+1)</f>
        <v>46272</v>
      </c>
    </row>
    <row r="1746" customFormat="false" ht="15" hidden="false" customHeight="false" outlineLevel="0" collapsed="false">
      <c r="A1746" s="36" t="str">
        <f aca="false">IF(Raw_Export!$A1746="","",TRIM(Raw_Export!A1746))</f>
        <v>TXN-101709</v>
      </c>
      <c r="B1746" s="37" t="n">
        <f aca="false">IF(Raw_Export!$A1746="","",IF(ISNUMBER(Raw_Export!B1746),Raw_Export!B1746,IF(MID(TRIM(Raw_Export!B1746),5,1)="-",DATE(LEFT(TRIM(Raw_Export!B1746),4),MID(TRIM(Raw_Export!B1746),6,2),RIGHT(TRIM(Raw_Export!B1746),2)),DATE(RIGHT(TRIM(Raw_Export!B1746),4),MATCH(MID(TRIM(Raw_Export!B1746),4,3),{"Jan","Feb","Mar","Apr","May","Jun","Jul","Aug","Sep","Oct","Nov","Dec"},0),LEFT(TRIM(Raw_Export!B1746),2)))))</f>
        <v>46276</v>
      </c>
      <c r="C1746" s="36" t="str">
        <f aca="false">IF(Raw_Export!$A1746="","",IFERROR(VLOOKUP(LOWER(TRIM(Raw_Export!C1746)),Maps!$A$2:$B$20,2,FALSE()),"UNMAPPED"))</f>
        <v>Mombasa</v>
      </c>
      <c r="D1746" s="36" t="str">
        <f aca="false">IF(Raw_Export!$A1746="","",IFERROR(VLOOKUP(LOWER(TRIM(Raw_Export!D1746)),Maps!$G$2:$I$80,2,FALSE()),"UNMAPPED"))</f>
        <v>Bleach 1L</v>
      </c>
      <c r="E1746" s="36" t="str">
        <f aca="false">IF(Raw_Export!$A1746="","",IFERROR(VLOOKUP(LOWER(TRIM(Raw_Export!D1746)),Maps!$G$2:$I$80,3,FALSE()),"UNMAPPED"))</f>
        <v>Household</v>
      </c>
      <c r="F1746" s="36" t="n">
        <f aca="false">IF(Raw_Export!$A1746="","",IFERROR(VALUE(TRIM(Raw_Export!E1746)),0))</f>
        <v>2</v>
      </c>
      <c r="G1746" s="38" t="n">
        <f aca="false">IF(Raw_Export!$A1746="","",IFERROR(VALUE(SUBSTITUTE(SUBSTITUTE(UPPER(TRIM(Raw_Export!F1746)),"KES",""),",","")),0))</f>
        <v>160</v>
      </c>
      <c r="H1746" s="38" t="n">
        <f aca="false">IF(Raw_Export!$A1746="","",F1746*G1746)</f>
        <v>320</v>
      </c>
      <c r="I1746" s="36" t="str">
        <f aca="false">IF(Raw_Export!$A1746="","",IFERROR(VLOOKUP(LOWER(TRIM(Raw_Export!H1746)),Maps!$D$2:$E$12,2,FALSE()),"Other"))</f>
        <v>Cash</v>
      </c>
      <c r="J1746" s="36" t="str">
        <f aca="false">IF(Raw_Export!$A1746="","",IF(COUNTIF($A$2:A1746,A1746)&gt;1,"Duplicate",""))</f>
        <v/>
      </c>
      <c r="K1746" s="36" t="str">
        <f aca="false">IF(Raw_Export!$A1746="","",IF(J1746="Duplicate","Duplicate",IF(OR(C1746="UNMAPPED",D1746="UNMAPPED"),"Unmapped",IF(F1746=0,"Blank qty",IF(F1746&lt;0,"Return","OK")))))</f>
        <v>OK</v>
      </c>
      <c r="L1746" s="36" t="n">
        <f aca="false">IF(Raw_Export!$A1746="","",IF(OR(K1746="OK",K1746="Return"),1,0))</f>
        <v>1</v>
      </c>
      <c r="M1746" s="37" t="n">
        <f aca="false">IF(Raw_Export!$A1746="","",B1746-WEEKDAY(B1746,2)+1)</f>
        <v>46272</v>
      </c>
    </row>
    <row r="1747" customFormat="false" ht="15" hidden="false" customHeight="false" outlineLevel="0" collapsed="false">
      <c r="A1747" s="36" t="str">
        <f aca="false">IF(Raw_Export!$A1747="","",TRIM(Raw_Export!A1747))</f>
        <v>TXN-101710</v>
      </c>
      <c r="B1747" s="37" t="n">
        <f aca="false">IF(Raw_Export!$A1747="","",IF(ISNUMBER(Raw_Export!B1747),Raw_Export!B1747,IF(MID(TRIM(Raw_Export!B1747),5,1)="-",DATE(LEFT(TRIM(Raw_Export!B1747),4),MID(TRIM(Raw_Export!B1747),6,2),RIGHT(TRIM(Raw_Export!B1747),2)),DATE(RIGHT(TRIM(Raw_Export!B1747),4),MATCH(MID(TRIM(Raw_Export!B1747),4,3),{"Jan","Feb","Mar","Apr","May","Jun","Jul","Aug","Sep","Oct","Nov","Dec"},0),LEFT(TRIM(Raw_Export!B1747),2)))))</f>
        <v>46276</v>
      </c>
      <c r="C1747" s="36" t="str">
        <f aca="false">IF(Raw_Export!$A1747="","",IFERROR(VLOOKUP(LOWER(TRIM(Raw_Export!C1747)),Maps!$A$2:$B$20,2,FALSE()),"UNMAPPED"))</f>
        <v>Mombasa</v>
      </c>
      <c r="D1747" s="36" t="str">
        <f aca="false">IF(Raw_Export!$A1747="","",IFERROR(VLOOKUP(LOWER(TRIM(Raw_Export!D1747)),Maps!$G$2:$I$80,2,FALSE()),"UNMAPPED"))</f>
        <v>Toilet Paper 10pk</v>
      </c>
      <c r="E1747" s="36" t="str">
        <f aca="false">IF(Raw_Export!$A1747="","",IFERROR(VLOOKUP(LOWER(TRIM(Raw_Export!D1747)),Maps!$G$2:$I$80,3,FALSE()),"UNMAPPED"))</f>
        <v>Household</v>
      </c>
      <c r="F1747" s="36" t="n">
        <f aca="false">IF(Raw_Export!$A1747="","",IFERROR(VALUE(TRIM(Raw_Export!E1747)),0))</f>
        <v>2</v>
      </c>
      <c r="G1747" s="38" t="n">
        <f aca="false">IF(Raw_Export!$A1747="","",IFERROR(VALUE(SUBSTITUTE(SUBSTITUTE(UPPER(TRIM(Raw_Export!F1747)),"KES",""),",","")),0))</f>
        <v>380</v>
      </c>
      <c r="H1747" s="38" t="n">
        <f aca="false">IF(Raw_Export!$A1747="","",F1747*G1747)</f>
        <v>760</v>
      </c>
      <c r="I1747" s="36" t="str">
        <f aca="false">IF(Raw_Export!$A1747="","",IFERROR(VLOOKUP(LOWER(TRIM(Raw_Export!H1747)),Maps!$D$2:$E$12,2,FALSE()),"Other"))</f>
        <v>Cash</v>
      </c>
      <c r="J1747" s="36" t="str">
        <f aca="false">IF(Raw_Export!$A1747="","",IF(COUNTIF($A$2:A1747,A1747)&gt;1,"Duplicate",""))</f>
        <v>Duplicate</v>
      </c>
      <c r="K1747" s="36" t="str">
        <f aca="false">IF(Raw_Export!$A1747="","",IF(J1747="Duplicate","Duplicate",IF(OR(C1747="UNMAPPED",D1747="UNMAPPED"),"Unmapped",IF(F1747=0,"Blank qty",IF(F1747&lt;0,"Return","OK")))))</f>
        <v>Duplicate</v>
      </c>
      <c r="L1747" s="36" t="n">
        <f aca="false">IF(Raw_Export!$A1747="","",IF(OR(K1747="OK",K1747="Return"),1,0))</f>
        <v>0</v>
      </c>
      <c r="M1747" s="37" t="n">
        <f aca="false">IF(Raw_Export!$A1747="","",B1747-WEEKDAY(B1747,2)+1)</f>
        <v>46272</v>
      </c>
    </row>
    <row r="1748" customFormat="false" ht="15" hidden="false" customHeight="false" outlineLevel="0" collapsed="false">
      <c r="A1748" s="36" t="str">
        <f aca="false">IF(Raw_Export!$A1748="","",TRIM(Raw_Export!A1748))</f>
        <v>TXN-101711</v>
      </c>
      <c r="B1748" s="37" t="n">
        <f aca="false">IF(Raw_Export!$A1748="","",IF(ISNUMBER(Raw_Export!B1748),Raw_Export!B1748,IF(MID(TRIM(Raw_Export!B1748),5,1)="-",DATE(LEFT(TRIM(Raw_Export!B1748),4),MID(TRIM(Raw_Export!B1748),6,2),RIGHT(TRIM(Raw_Export!B1748),2)),DATE(RIGHT(TRIM(Raw_Export!B1748),4),MATCH(MID(TRIM(Raw_Export!B1748),4,3),{"Jan","Feb","Mar","Apr","May","Jun","Jul","Aug","Sep","Oct","Nov","Dec"},0),LEFT(TRIM(Raw_Export!B1748),2)))))</f>
        <v>46276</v>
      </c>
      <c r="C1748" s="36" t="str">
        <f aca="false">IF(Raw_Export!$A1748="","",IFERROR(VLOOKUP(LOWER(TRIM(Raw_Export!C1748)),Maps!$A$2:$B$20,2,FALSE()),"UNMAPPED"))</f>
        <v>Mombasa</v>
      </c>
      <c r="D1748" s="36" t="str">
        <f aca="false">IF(Raw_Export!$A1748="","",IFERROR(VLOOKUP(LOWER(TRIM(Raw_Export!D1748)),Maps!$G$2:$I$80,2,FALSE()),"UNMAPPED"))</f>
        <v>Juice 1L</v>
      </c>
      <c r="E1748" s="36" t="str">
        <f aca="false">IF(Raw_Export!$A1748="","",IFERROR(VLOOKUP(LOWER(TRIM(Raw_Export!D1748)),Maps!$G$2:$I$80,3,FALSE()),"UNMAPPED"))</f>
        <v>Beverages</v>
      </c>
      <c r="F1748" s="36" t="n">
        <f aca="false">IF(Raw_Export!$A1748="","",IFERROR(VALUE(TRIM(Raw_Export!E1748)),0))</f>
        <v>6</v>
      </c>
      <c r="G1748" s="38" t="n">
        <f aca="false">IF(Raw_Export!$A1748="","",IFERROR(VALUE(SUBSTITUTE(SUBSTITUTE(UPPER(TRIM(Raw_Export!F1748)),"KES",""),",","")),0))</f>
        <v>210</v>
      </c>
      <c r="H1748" s="38" t="n">
        <f aca="false">IF(Raw_Export!$A1748="","",F1748*G1748)</f>
        <v>1260</v>
      </c>
      <c r="I1748" s="36" t="str">
        <f aca="false">IF(Raw_Export!$A1748="","",IFERROR(VLOOKUP(LOWER(TRIM(Raw_Export!H1748)),Maps!$D$2:$E$12,2,FALSE()),"Other"))</f>
        <v>Card</v>
      </c>
      <c r="J1748" s="36" t="str">
        <f aca="false">IF(Raw_Export!$A1748="","",IF(COUNTIF($A$2:A1748,A1748)&gt;1,"Duplicate",""))</f>
        <v/>
      </c>
      <c r="K1748" s="36" t="str">
        <f aca="false">IF(Raw_Export!$A1748="","",IF(J1748="Duplicate","Duplicate",IF(OR(C1748="UNMAPPED",D1748="UNMAPPED"),"Unmapped",IF(F1748=0,"Blank qty",IF(F1748&lt;0,"Return","OK")))))</f>
        <v>OK</v>
      </c>
      <c r="L1748" s="36" t="n">
        <f aca="false">IF(Raw_Export!$A1748="","",IF(OR(K1748="OK",K1748="Return"),1,0))</f>
        <v>1</v>
      </c>
      <c r="M1748" s="37" t="n">
        <f aca="false">IF(Raw_Export!$A1748="","",B1748-WEEKDAY(B1748,2)+1)</f>
        <v>46272</v>
      </c>
    </row>
    <row r="1749" customFormat="false" ht="15" hidden="false" customHeight="false" outlineLevel="0" collapsed="false">
      <c r="A1749" s="36" t="str">
        <f aca="false">IF(Raw_Export!$A1749="","",TRIM(Raw_Export!A1749))</f>
        <v>TXN-101712</v>
      </c>
      <c r="B1749" s="37" t="n">
        <f aca="false">IF(Raw_Export!$A1749="","",IF(ISNUMBER(Raw_Export!B1749),Raw_Export!B1749,IF(MID(TRIM(Raw_Export!B1749),5,1)="-",DATE(LEFT(TRIM(Raw_Export!B1749),4),MID(TRIM(Raw_Export!B1749),6,2),RIGHT(TRIM(Raw_Export!B1749),2)),DATE(RIGHT(TRIM(Raw_Export!B1749),4),MATCH(MID(TRIM(Raw_Export!B1749),4,3),{"Jan","Feb","Mar","Apr","May","Jun","Jul","Aug","Sep","Oct","Nov","Dec"},0),LEFT(TRIM(Raw_Export!B1749),2)))))</f>
        <v>46276</v>
      </c>
      <c r="C1749" s="36" t="str">
        <f aca="false">IF(Raw_Export!$A1749="","",IFERROR(VLOOKUP(LOWER(TRIM(Raw_Export!C1749)),Maps!$A$2:$B$20,2,FALSE()),"UNMAPPED"))</f>
        <v>Mombasa</v>
      </c>
      <c r="D1749" s="36" t="str">
        <f aca="false">IF(Raw_Export!$A1749="","",IFERROR(VLOOKUP(LOWER(TRIM(Raw_Export!D1749)),Maps!$G$2:$I$80,2,FALSE()),"UNMAPPED"))</f>
        <v>Cooking Oil 1L</v>
      </c>
      <c r="E1749" s="36" t="str">
        <f aca="false">IF(Raw_Export!$A1749="","",IFERROR(VLOOKUP(LOWER(TRIM(Raw_Export!D1749)),Maps!$G$2:$I$80,3,FALSE()),"UNMAPPED"))</f>
        <v>Staples</v>
      </c>
      <c r="F1749" s="36" t="n">
        <f aca="false">IF(Raw_Export!$A1749="","",IFERROR(VALUE(TRIM(Raw_Export!E1749)),0))</f>
        <v>2</v>
      </c>
      <c r="G1749" s="38" t="n">
        <f aca="false">IF(Raw_Export!$A1749="","",IFERROR(VALUE(SUBSTITUTE(SUBSTITUTE(UPPER(TRIM(Raw_Export!F1749)),"KES",""),",","")),0))</f>
        <v>330</v>
      </c>
      <c r="H1749" s="38" t="n">
        <f aca="false">IF(Raw_Export!$A1749="","",F1749*G1749)</f>
        <v>660</v>
      </c>
      <c r="I1749" s="36" t="str">
        <f aca="false">IF(Raw_Export!$A1749="","",IFERROR(VLOOKUP(LOWER(TRIM(Raw_Export!H1749)),Maps!$D$2:$E$12,2,FALSE()),"Other"))</f>
        <v>Card</v>
      </c>
      <c r="J1749" s="36" t="str">
        <f aca="false">IF(Raw_Export!$A1749="","",IF(COUNTIF($A$2:A1749,A1749)&gt;1,"Duplicate",""))</f>
        <v/>
      </c>
      <c r="K1749" s="36" t="str">
        <f aca="false">IF(Raw_Export!$A1749="","",IF(J1749="Duplicate","Duplicate",IF(OR(C1749="UNMAPPED",D1749="UNMAPPED"),"Unmapped",IF(F1749=0,"Blank qty",IF(F1749&lt;0,"Return","OK")))))</f>
        <v>OK</v>
      </c>
      <c r="L1749" s="36" t="n">
        <f aca="false">IF(Raw_Export!$A1749="","",IF(OR(K1749="OK",K1749="Return"),1,0))</f>
        <v>1</v>
      </c>
      <c r="M1749" s="37" t="n">
        <f aca="false">IF(Raw_Export!$A1749="","",B1749-WEEKDAY(B1749,2)+1)</f>
        <v>46272</v>
      </c>
    </row>
    <row r="1750" customFormat="false" ht="15" hidden="false" customHeight="false" outlineLevel="0" collapsed="false">
      <c r="A1750" s="36" t="str">
        <f aca="false">IF(Raw_Export!$A1750="","",TRIM(Raw_Export!A1750))</f>
        <v>TXN-101713</v>
      </c>
      <c r="B1750" s="37" t="n">
        <f aca="false">IF(Raw_Export!$A1750="","",IF(ISNUMBER(Raw_Export!B1750),Raw_Export!B1750,IF(MID(TRIM(Raw_Export!B1750),5,1)="-",DATE(LEFT(TRIM(Raw_Export!B1750),4),MID(TRIM(Raw_Export!B1750),6,2),RIGHT(TRIM(Raw_Export!B1750),2)),DATE(RIGHT(TRIM(Raw_Export!B1750),4),MATCH(MID(TRIM(Raw_Export!B1750),4,3),{"Jan","Feb","Mar","Apr","May","Jun","Jul","Aug","Sep","Oct","Nov","Dec"},0),LEFT(TRIM(Raw_Export!B1750),2)))))</f>
        <v>46276</v>
      </c>
      <c r="C1750" s="36" t="str">
        <f aca="false">IF(Raw_Export!$A1750="","",IFERROR(VLOOKUP(LOWER(TRIM(Raw_Export!C1750)),Maps!$A$2:$B$20,2,FALSE()),"UNMAPPED"))</f>
        <v>Mombasa</v>
      </c>
      <c r="D1750" s="36" t="str">
        <f aca="false">IF(Raw_Export!$A1750="","",IFERROR(VLOOKUP(LOWER(TRIM(Raw_Export!D1750)),Maps!$G$2:$I$80,2,FALSE()),"UNMAPPED"))</f>
        <v>Matches 10pk</v>
      </c>
      <c r="E1750" s="36" t="str">
        <f aca="false">IF(Raw_Export!$A1750="","",IFERROR(VLOOKUP(LOWER(TRIM(Raw_Export!D1750)),Maps!$G$2:$I$80,3,FALSE()),"UNMAPPED"))</f>
        <v>Household</v>
      </c>
      <c r="F1750" s="36" t="n">
        <f aca="false">IF(Raw_Export!$A1750="","",IFERROR(VALUE(TRIM(Raw_Export!E1750)),0))</f>
        <v>1</v>
      </c>
      <c r="G1750" s="38" t="n">
        <f aca="false">IF(Raw_Export!$A1750="","",IFERROR(VALUE(SUBSTITUTE(SUBSTITUTE(UPPER(TRIM(Raw_Export!F1750)),"KES",""),",","")),0))</f>
        <v>50</v>
      </c>
      <c r="H1750" s="38" t="n">
        <f aca="false">IF(Raw_Export!$A1750="","",F1750*G1750)</f>
        <v>50</v>
      </c>
      <c r="I1750" s="36" t="str">
        <f aca="false">IF(Raw_Export!$A1750="","",IFERROR(VLOOKUP(LOWER(TRIM(Raw_Export!H1750)),Maps!$D$2:$E$12,2,FALSE()),"Other"))</f>
        <v>M-Pesa</v>
      </c>
      <c r="J1750" s="36" t="str">
        <f aca="false">IF(Raw_Export!$A1750="","",IF(COUNTIF($A$2:A1750,A1750)&gt;1,"Duplicate",""))</f>
        <v/>
      </c>
      <c r="K1750" s="36" t="str">
        <f aca="false">IF(Raw_Export!$A1750="","",IF(J1750="Duplicate","Duplicate",IF(OR(C1750="UNMAPPED",D1750="UNMAPPED"),"Unmapped",IF(F1750=0,"Blank qty",IF(F1750&lt;0,"Return","OK")))))</f>
        <v>OK</v>
      </c>
      <c r="L1750" s="36" t="n">
        <f aca="false">IF(Raw_Export!$A1750="","",IF(OR(K1750="OK",K1750="Return"),1,0))</f>
        <v>1</v>
      </c>
      <c r="M1750" s="37" t="n">
        <f aca="false">IF(Raw_Export!$A1750="","",B1750-WEEKDAY(B1750,2)+1)</f>
        <v>46272</v>
      </c>
    </row>
    <row r="1751" customFormat="false" ht="15" hidden="false" customHeight="false" outlineLevel="0" collapsed="false">
      <c r="A1751" s="36" t="str">
        <f aca="false">IF(Raw_Export!$A1751="","",TRIM(Raw_Export!A1751))</f>
        <v>TXN-101714</v>
      </c>
      <c r="B1751" s="37" t="n">
        <f aca="false">IF(Raw_Export!$A1751="","",IF(ISNUMBER(Raw_Export!B1751),Raw_Export!B1751,IF(MID(TRIM(Raw_Export!B1751),5,1)="-",DATE(LEFT(TRIM(Raw_Export!B1751),4),MID(TRIM(Raw_Export!B1751),6,2),RIGHT(TRIM(Raw_Export!B1751),2)),DATE(RIGHT(TRIM(Raw_Export!B1751),4),MATCH(MID(TRIM(Raw_Export!B1751),4,3),{"Jan","Feb","Mar","Apr","May","Jun","Jul","Aug","Sep","Oct","Nov","Dec"},0),LEFT(TRIM(Raw_Export!B1751),2)))))</f>
        <v>46276</v>
      </c>
      <c r="C1751" s="36" t="str">
        <f aca="false">IF(Raw_Export!$A1751="","",IFERROR(VLOOKUP(LOWER(TRIM(Raw_Export!C1751)),Maps!$A$2:$B$20,2,FALSE()),"UNMAPPED"))</f>
        <v>Kisumu</v>
      </c>
      <c r="D1751" s="36" t="str">
        <f aca="false">IF(Raw_Export!$A1751="","",IFERROR(VLOOKUP(LOWER(TRIM(Raw_Export!D1751)),Maps!$G$2:$I$80,2,FALSE()),"UNMAPPED"))</f>
        <v>Soda 500ml</v>
      </c>
      <c r="E1751" s="36" t="str">
        <f aca="false">IF(Raw_Export!$A1751="","",IFERROR(VLOOKUP(LOWER(TRIM(Raw_Export!D1751)),Maps!$G$2:$I$80,3,FALSE()),"UNMAPPED"))</f>
        <v>Beverages</v>
      </c>
      <c r="F1751" s="36" t="n">
        <f aca="false">IF(Raw_Export!$A1751="","",IFERROR(VALUE(TRIM(Raw_Export!E1751)),0))</f>
        <v>4</v>
      </c>
      <c r="G1751" s="38" t="n">
        <f aca="false">IF(Raw_Export!$A1751="","",IFERROR(VALUE(SUBSTITUTE(SUBSTITUTE(UPPER(TRIM(Raw_Export!F1751)),"KES",""),",","")),0))</f>
        <v>54</v>
      </c>
      <c r="H1751" s="38" t="n">
        <f aca="false">IF(Raw_Export!$A1751="","",F1751*G1751)</f>
        <v>216</v>
      </c>
      <c r="I1751" s="36" t="str">
        <f aca="false">IF(Raw_Export!$A1751="","",IFERROR(VLOOKUP(LOWER(TRIM(Raw_Export!H1751)),Maps!$D$2:$E$12,2,FALSE()),"Other"))</f>
        <v>M-Pesa</v>
      </c>
      <c r="J1751" s="36" t="str">
        <f aca="false">IF(Raw_Export!$A1751="","",IF(COUNTIF($A$2:A1751,A1751)&gt;1,"Duplicate",""))</f>
        <v/>
      </c>
      <c r="K1751" s="36" t="str">
        <f aca="false">IF(Raw_Export!$A1751="","",IF(J1751="Duplicate","Duplicate",IF(OR(C1751="UNMAPPED",D1751="UNMAPPED"),"Unmapped",IF(F1751=0,"Blank qty",IF(F1751&lt;0,"Return","OK")))))</f>
        <v>OK</v>
      </c>
      <c r="L1751" s="36" t="n">
        <f aca="false">IF(Raw_Export!$A1751="","",IF(OR(K1751="OK",K1751="Return"),1,0))</f>
        <v>1</v>
      </c>
      <c r="M1751" s="37" t="n">
        <f aca="false">IF(Raw_Export!$A1751="","",B1751-WEEKDAY(B1751,2)+1)</f>
        <v>46272</v>
      </c>
    </row>
    <row r="1752" customFormat="false" ht="15" hidden="false" customHeight="false" outlineLevel="0" collapsed="false">
      <c r="A1752" s="36" t="str">
        <f aca="false">IF(Raw_Export!$A1752="","",TRIM(Raw_Export!A1752))</f>
        <v>TXN-101715</v>
      </c>
      <c r="B1752" s="37" t="n">
        <f aca="false">IF(Raw_Export!$A1752="","",IF(ISNUMBER(Raw_Export!B1752),Raw_Export!B1752,IF(MID(TRIM(Raw_Export!B1752),5,1)="-",DATE(LEFT(TRIM(Raw_Export!B1752),4),MID(TRIM(Raw_Export!B1752),6,2),RIGHT(TRIM(Raw_Export!B1752),2)),DATE(RIGHT(TRIM(Raw_Export!B1752),4),MATCH(MID(TRIM(Raw_Export!B1752),4,3),{"Jan","Feb","Mar","Apr","May","Jun","Jul","Aug","Sep","Oct","Nov","Dec"},0),LEFT(TRIM(Raw_Export!B1752),2)))))</f>
        <v>46276</v>
      </c>
      <c r="C1752" s="36" t="str">
        <f aca="false">IF(Raw_Export!$A1752="","",IFERROR(VLOOKUP(LOWER(TRIM(Raw_Export!C1752)),Maps!$A$2:$B$20,2,FALSE()),"UNMAPPED"))</f>
        <v>Kisumu</v>
      </c>
      <c r="D1752" s="36" t="str">
        <f aca="false">IF(Raw_Export!$A1752="","",IFERROR(VLOOKUP(LOWER(TRIM(Raw_Export!D1752)),Maps!$G$2:$I$80,2,FALSE()),"UNMAPPED"))</f>
        <v>Butter 250g</v>
      </c>
      <c r="E1752" s="36" t="str">
        <f aca="false">IF(Raw_Export!$A1752="","",IFERROR(VLOOKUP(LOWER(TRIM(Raw_Export!D1752)),Maps!$G$2:$I$80,3,FALSE()),"UNMAPPED"))</f>
        <v>Dairy &amp; Eggs</v>
      </c>
      <c r="F1752" s="36" t="n">
        <f aca="false">IF(Raw_Export!$A1752="","",IFERROR(VALUE(TRIM(Raw_Export!E1752)),0))</f>
        <v>2</v>
      </c>
      <c r="G1752" s="38" t="n">
        <f aca="false">IF(Raw_Export!$A1752="","",IFERROR(VALUE(SUBSTITUTE(SUBSTITUTE(UPPER(TRIM(Raw_Export!F1752)),"KES",""),",","")),0))</f>
        <v>310</v>
      </c>
      <c r="H1752" s="38" t="n">
        <f aca="false">IF(Raw_Export!$A1752="","",F1752*G1752)</f>
        <v>620</v>
      </c>
      <c r="I1752" s="36" t="str">
        <f aca="false">IF(Raw_Export!$A1752="","",IFERROR(VLOOKUP(LOWER(TRIM(Raw_Export!H1752)),Maps!$D$2:$E$12,2,FALSE()),"Other"))</f>
        <v>Card</v>
      </c>
      <c r="J1752" s="36" t="str">
        <f aca="false">IF(Raw_Export!$A1752="","",IF(COUNTIF($A$2:A1752,A1752)&gt;1,"Duplicate",""))</f>
        <v/>
      </c>
      <c r="K1752" s="36" t="str">
        <f aca="false">IF(Raw_Export!$A1752="","",IF(J1752="Duplicate","Duplicate",IF(OR(C1752="UNMAPPED",D1752="UNMAPPED"),"Unmapped",IF(F1752=0,"Blank qty",IF(F1752&lt;0,"Return","OK")))))</f>
        <v>OK</v>
      </c>
      <c r="L1752" s="36" t="n">
        <f aca="false">IF(Raw_Export!$A1752="","",IF(OR(K1752="OK",K1752="Return"),1,0))</f>
        <v>1</v>
      </c>
      <c r="M1752" s="37" t="n">
        <f aca="false">IF(Raw_Export!$A1752="","",B1752-WEEKDAY(B1752,2)+1)</f>
        <v>46272</v>
      </c>
    </row>
    <row r="1753" customFormat="false" ht="15" hidden="false" customHeight="false" outlineLevel="0" collapsed="false">
      <c r="A1753" s="36" t="str">
        <f aca="false">IF(Raw_Export!$A1753="","",TRIM(Raw_Export!A1753))</f>
        <v>TXN-101716</v>
      </c>
      <c r="B1753" s="37" t="n">
        <f aca="false">IF(Raw_Export!$A1753="","",IF(ISNUMBER(Raw_Export!B1753),Raw_Export!B1753,IF(MID(TRIM(Raw_Export!B1753),5,1)="-",DATE(LEFT(TRIM(Raw_Export!B1753),4),MID(TRIM(Raw_Export!B1753),6,2),RIGHT(TRIM(Raw_Export!B1753),2)),DATE(RIGHT(TRIM(Raw_Export!B1753),4),MATCH(MID(TRIM(Raw_Export!B1753),4,3),{"Jan","Feb","Mar","Apr","May","Jun","Jul","Aug","Sep","Oct","Nov","Dec"},0),LEFT(TRIM(Raw_Export!B1753),2)))))</f>
        <v>46276</v>
      </c>
      <c r="C1753" s="36" t="str">
        <f aca="false">IF(Raw_Export!$A1753="","",IFERROR(VLOOKUP(LOWER(TRIM(Raw_Export!C1753)),Maps!$A$2:$B$20,2,FALSE()),"UNMAPPED"))</f>
        <v>Kisumu</v>
      </c>
      <c r="D1753" s="36" t="str">
        <f aca="false">IF(Raw_Export!$A1753="","",IFERROR(VLOOKUP(LOWER(TRIM(Raw_Export!D1753)),Maps!$G$2:$I$80,2,FALSE()),"UNMAPPED"))</f>
        <v>Coffee 100g</v>
      </c>
      <c r="E1753" s="36" t="str">
        <f aca="false">IF(Raw_Export!$A1753="","",IFERROR(VLOOKUP(LOWER(TRIM(Raw_Export!D1753)),Maps!$G$2:$I$80,3,FALSE()),"UNMAPPED"))</f>
        <v>Beverages</v>
      </c>
      <c r="F1753" s="36" t="n">
        <f aca="false">IF(Raw_Export!$A1753="","",IFERROR(VALUE(TRIM(Raw_Export!E1753)),0))</f>
        <v>4</v>
      </c>
      <c r="G1753" s="38" t="n">
        <f aca="false">IF(Raw_Export!$A1753="","",IFERROR(VALUE(SUBSTITUTE(SUBSTITUTE(UPPER(TRIM(Raw_Export!F1753)),"KES",""),",","")),0))</f>
        <v>324</v>
      </c>
      <c r="H1753" s="38" t="n">
        <f aca="false">IF(Raw_Export!$A1753="","",F1753*G1753)</f>
        <v>1296</v>
      </c>
      <c r="I1753" s="36" t="str">
        <f aca="false">IF(Raw_Export!$A1753="","",IFERROR(VLOOKUP(LOWER(TRIM(Raw_Export!H1753)),Maps!$D$2:$E$12,2,FALSE()),"Other"))</f>
        <v>Cash</v>
      </c>
      <c r="J1753" s="36" t="str">
        <f aca="false">IF(Raw_Export!$A1753="","",IF(COUNTIF($A$2:A1753,A1753)&gt;1,"Duplicate",""))</f>
        <v/>
      </c>
      <c r="K1753" s="36" t="str">
        <f aca="false">IF(Raw_Export!$A1753="","",IF(J1753="Duplicate","Duplicate",IF(OR(C1753="UNMAPPED",D1753="UNMAPPED"),"Unmapped",IF(F1753=0,"Blank qty",IF(F1753&lt;0,"Return","OK")))))</f>
        <v>OK</v>
      </c>
      <c r="L1753" s="36" t="n">
        <f aca="false">IF(Raw_Export!$A1753="","",IF(OR(K1753="OK",K1753="Return"),1,0))</f>
        <v>1</v>
      </c>
      <c r="M1753" s="37" t="n">
        <f aca="false">IF(Raw_Export!$A1753="","",B1753-WEEKDAY(B1753,2)+1)</f>
        <v>46272</v>
      </c>
    </row>
    <row r="1754" customFormat="false" ht="15" hidden="false" customHeight="false" outlineLevel="0" collapsed="false">
      <c r="A1754" s="36" t="str">
        <f aca="false">IF(Raw_Export!$A1754="","",TRIM(Raw_Export!A1754))</f>
        <v>TXN-101717</v>
      </c>
      <c r="B1754" s="37" t="n">
        <f aca="false">IF(Raw_Export!$A1754="","",IF(ISNUMBER(Raw_Export!B1754),Raw_Export!B1754,IF(MID(TRIM(Raw_Export!B1754),5,1)="-",DATE(LEFT(TRIM(Raw_Export!B1754),4),MID(TRIM(Raw_Export!B1754),6,2),RIGHT(TRIM(Raw_Export!B1754),2)),DATE(RIGHT(TRIM(Raw_Export!B1754),4),MATCH(MID(TRIM(Raw_Export!B1754),4,3),{"Jan","Feb","Mar","Apr","May","Jun","Jul","Aug","Sep","Oct","Nov","Dec"},0),LEFT(TRIM(Raw_Export!B1754),2)))))</f>
        <v>46276</v>
      </c>
      <c r="C1754" s="36" t="str">
        <f aca="false">IF(Raw_Export!$A1754="","",IFERROR(VLOOKUP(LOWER(TRIM(Raw_Export!C1754)),Maps!$A$2:$B$20,2,FALSE()),"UNMAPPED"))</f>
        <v>Kisumu</v>
      </c>
      <c r="D1754" s="36" t="str">
        <f aca="false">IF(Raw_Export!$A1754="","",IFERROR(VLOOKUP(LOWER(TRIM(Raw_Export!D1754)),Maps!$G$2:$I$80,2,FALSE()),"UNMAPPED"))</f>
        <v>Butter 250g</v>
      </c>
      <c r="E1754" s="36" t="str">
        <f aca="false">IF(Raw_Export!$A1754="","",IFERROR(VLOOKUP(LOWER(TRIM(Raw_Export!D1754)),Maps!$G$2:$I$80,3,FALSE()),"UNMAPPED"))</f>
        <v>Dairy &amp; Eggs</v>
      </c>
      <c r="F1754" s="36" t="n">
        <f aca="false">IF(Raw_Export!$A1754="","",IFERROR(VALUE(TRIM(Raw_Export!E1754)),0))</f>
        <v>2</v>
      </c>
      <c r="G1754" s="38" t="n">
        <f aca="false">IF(Raw_Export!$A1754="","",IFERROR(VALUE(SUBSTITUTE(SUBSTITUTE(UPPER(TRIM(Raw_Export!F1754)),"KES",""),",","")),0))</f>
        <v>310</v>
      </c>
      <c r="H1754" s="38" t="n">
        <f aca="false">IF(Raw_Export!$A1754="","",F1754*G1754)</f>
        <v>620</v>
      </c>
      <c r="I1754" s="36" t="str">
        <f aca="false">IF(Raw_Export!$A1754="","",IFERROR(VLOOKUP(LOWER(TRIM(Raw_Export!H1754)),Maps!$D$2:$E$12,2,FALSE()),"Other"))</f>
        <v>Cash</v>
      </c>
      <c r="J1754" s="36" t="str">
        <f aca="false">IF(Raw_Export!$A1754="","",IF(COUNTIF($A$2:A1754,A1754)&gt;1,"Duplicate",""))</f>
        <v/>
      </c>
      <c r="K1754" s="36" t="str">
        <f aca="false">IF(Raw_Export!$A1754="","",IF(J1754="Duplicate","Duplicate",IF(OR(C1754="UNMAPPED",D1754="UNMAPPED"),"Unmapped",IF(F1754=0,"Blank qty",IF(F1754&lt;0,"Return","OK")))))</f>
        <v>OK</v>
      </c>
      <c r="L1754" s="36" t="n">
        <f aca="false">IF(Raw_Export!$A1754="","",IF(OR(K1754="OK",K1754="Return"),1,0))</f>
        <v>1</v>
      </c>
      <c r="M1754" s="37" t="n">
        <f aca="false">IF(Raw_Export!$A1754="","",B1754-WEEKDAY(B1754,2)+1)</f>
        <v>46272</v>
      </c>
    </row>
    <row r="1755" customFormat="false" ht="15" hidden="false" customHeight="false" outlineLevel="0" collapsed="false">
      <c r="A1755" s="36" t="str">
        <f aca="false">IF(Raw_Export!$A1755="","",TRIM(Raw_Export!A1755))</f>
        <v>TXN-101718</v>
      </c>
      <c r="B1755" s="37" t="n">
        <f aca="false">IF(Raw_Export!$A1755="","",IF(ISNUMBER(Raw_Export!B1755),Raw_Export!B1755,IF(MID(TRIM(Raw_Export!B1755),5,1)="-",DATE(LEFT(TRIM(Raw_Export!B1755),4),MID(TRIM(Raw_Export!B1755),6,2),RIGHT(TRIM(Raw_Export!B1755),2)),DATE(RIGHT(TRIM(Raw_Export!B1755),4),MATCH(MID(TRIM(Raw_Export!B1755),4,3),{"Jan","Feb","Mar","Apr","May","Jun","Jul","Aug","Sep","Oct","Nov","Dec"},0),LEFT(TRIM(Raw_Export!B1755),2)))))</f>
        <v>46276</v>
      </c>
      <c r="C1755" s="36" t="str">
        <f aca="false">IF(Raw_Export!$A1755="","",IFERROR(VLOOKUP(LOWER(TRIM(Raw_Export!C1755)),Maps!$A$2:$B$20,2,FALSE()),"UNMAPPED"))</f>
        <v>Kisumu</v>
      </c>
      <c r="D1755" s="36" t="str">
        <f aca="false">IF(Raw_Export!$A1755="","",IFERROR(VLOOKUP(LOWER(TRIM(Raw_Export!D1755)),Maps!$G$2:$I$80,2,FALSE()),"UNMAPPED"))</f>
        <v>Juice 1L</v>
      </c>
      <c r="E1755" s="36" t="str">
        <f aca="false">IF(Raw_Export!$A1755="","",IFERROR(VLOOKUP(LOWER(TRIM(Raw_Export!D1755)),Maps!$G$2:$I$80,3,FALSE()),"UNMAPPED"))</f>
        <v>Beverages</v>
      </c>
      <c r="F1755" s="36" t="n">
        <f aca="false">IF(Raw_Export!$A1755="","",IFERROR(VALUE(TRIM(Raw_Export!E1755)),0))</f>
        <v>2</v>
      </c>
      <c r="G1755" s="38" t="n">
        <f aca="false">IF(Raw_Export!$A1755="","",IFERROR(VALUE(SUBSTITUTE(SUBSTITUTE(UPPER(TRIM(Raw_Export!F1755)),"KES",""),",","")),0))</f>
        <v>210</v>
      </c>
      <c r="H1755" s="38" t="n">
        <f aca="false">IF(Raw_Export!$A1755="","",F1755*G1755)</f>
        <v>420</v>
      </c>
      <c r="I1755" s="36" t="str">
        <f aca="false">IF(Raw_Export!$A1755="","",IFERROR(VLOOKUP(LOWER(TRIM(Raw_Export!H1755)),Maps!$D$2:$E$12,2,FALSE()),"Other"))</f>
        <v>M-Pesa</v>
      </c>
      <c r="J1755" s="36" t="str">
        <f aca="false">IF(Raw_Export!$A1755="","",IF(COUNTIF($A$2:A1755,A1755)&gt;1,"Duplicate",""))</f>
        <v/>
      </c>
      <c r="K1755" s="36" t="str">
        <f aca="false">IF(Raw_Export!$A1755="","",IF(J1755="Duplicate","Duplicate",IF(OR(C1755="UNMAPPED",D1755="UNMAPPED"),"Unmapped",IF(F1755=0,"Blank qty",IF(F1755&lt;0,"Return","OK")))))</f>
        <v>OK</v>
      </c>
      <c r="L1755" s="36" t="n">
        <f aca="false">IF(Raw_Export!$A1755="","",IF(OR(K1755="OK",K1755="Return"),1,0))</f>
        <v>1</v>
      </c>
      <c r="M1755" s="37" t="n">
        <f aca="false">IF(Raw_Export!$A1755="","",B1755-WEEKDAY(B1755,2)+1)</f>
        <v>46272</v>
      </c>
    </row>
    <row r="1756" customFormat="false" ht="15" hidden="false" customHeight="false" outlineLevel="0" collapsed="false">
      <c r="A1756" s="36" t="str">
        <f aca="false">IF(Raw_Export!$A1756="","",TRIM(Raw_Export!A1756))</f>
        <v>TXN-101719</v>
      </c>
      <c r="B1756" s="37" t="n">
        <f aca="false">IF(Raw_Export!$A1756="","",IF(ISNUMBER(Raw_Export!B1756),Raw_Export!B1756,IF(MID(TRIM(Raw_Export!B1756),5,1)="-",DATE(LEFT(TRIM(Raw_Export!B1756),4),MID(TRIM(Raw_Export!B1756),6,2),RIGHT(TRIM(Raw_Export!B1756),2)),DATE(RIGHT(TRIM(Raw_Export!B1756),4),MATCH(MID(TRIM(Raw_Export!B1756),4,3),{"Jan","Feb","Mar","Apr","May","Jun","Jul","Aug","Sep","Oct","Nov","Dec"},0),LEFT(TRIM(Raw_Export!B1756),2)))))</f>
        <v>46276</v>
      </c>
      <c r="C1756" s="36" t="str">
        <f aca="false">IF(Raw_Export!$A1756="","",IFERROR(VLOOKUP(LOWER(TRIM(Raw_Export!C1756)),Maps!$A$2:$B$20,2,FALSE()),"UNMAPPED"))</f>
        <v>Kisumu</v>
      </c>
      <c r="D1756" s="36" t="str">
        <f aca="false">IF(Raw_Export!$A1756="","",IFERROR(VLOOKUP(LOWER(TRIM(Raw_Export!D1756)),Maps!$G$2:$I$80,2,FALSE()),"UNMAPPED"))</f>
        <v>Cooking Oil 1L</v>
      </c>
      <c r="E1756" s="36" t="str">
        <f aca="false">IF(Raw_Export!$A1756="","",IFERROR(VLOOKUP(LOWER(TRIM(Raw_Export!D1756)),Maps!$G$2:$I$80,3,FALSE()),"UNMAPPED"))</f>
        <v>Staples</v>
      </c>
      <c r="F1756" s="36" t="n">
        <f aca="false">IF(Raw_Export!$A1756="","",IFERROR(VALUE(TRIM(Raw_Export!E1756)),0))</f>
        <v>3</v>
      </c>
      <c r="G1756" s="38" t="n">
        <f aca="false">IF(Raw_Export!$A1756="","",IFERROR(VALUE(SUBSTITUTE(SUBSTITUTE(UPPER(TRIM(Raw_Export!F1756)),"KES",""),",","")),0))</f>
        <v>330</v>
      </c>
      <c r="H1756" s="38" t="n">
        <f aca="false">IF(Raw_Export!$A1756="","",F1756*G1756)</f>
        <v>990</v>
      </c>
      <c r="I1756" s="36" t="str">
        <f aca="false">IF(Raw_Export!$A1756="","",IFERROR(VLOOKUP(LOWER(TRIM(Raw_Export!H1756)),Maps!$D$2:$E$12,2,FALSE()),"Other"))</f>
        <v>M-Pesa</v>
      </c>
      <c r="J1756" s="36" t="str">
        <f aca="false">IF(Raw_Export!$A1756="","",IF(COUNTIF($A$2:A1756,A1756)&gt;1,"Duplicate",""))</f>
        <v/>
      </c>
      <c r="K1756" s="36" t="str">
        <f aca="false">IF(Raw_Export!$A1756="","",IF(J1756="Duplicate","Duplicate",IF(OR(C1756="UNMAPPED",D1756="UNMAPPED"),"Unmapped",IF(F1756=0,"Blank qty",IF(F1756&lt;0,"Return","OK")))))</f>
        <v>OK</v>
      </c>
      <c r="L1756" s="36" t="n">
        <f aca="false">IF(Raw_Export!$A1756="","",IF(OR(K1756="OK",K1756="Return"),1,0))</f>
        <v>1</v>
      </c>
      <c r="M1756" s="37" t="n">
        <f aca="false">IF(Raw_Export!$A1756="","",B1756-WEEKDAY(B1756,2)+1)</f>
        <v>46272</v>
      </c>
    </row>
    <row r="1757" customFormat="false" ht="15" hidden="false" customHeight="false" outlineLevel="0" collapsed="false">
      <c r="A1757" s="36" t="str">
        <f aca="false">IF(Raw_Export!$A1757="","",TRIM(Raw_Export!A1757))</f>
        <v>TXN-101720</v>
      </c>
      <c r="B1757" s="37" t="n">
        <f aca="false">IF(Raw_Export!$A1757="","",IF(ISNUMBER(Raw_Export!B1757),Raw_Export!B1757,IF(MID(TRIM(Raw_Export!B1757),5,1)="-",DATE(LEFT(TRIM(Raw_Export!B1757),4),MID(TRIM(Raw_Export!B1757),6,2),RIGHT(TRIM(Raw_Export!B1757),2)),DATE(RIGHT(TRIM(Raw_Export!B1757),4),MATCH(MID(TRIM(Raw_Export!B1757),4,3),{"Jan","Feb","Mar","Apr","May","Jun","Jul","Aug","Sep","Oct","Nov","Dec"},0),LEFT(TRIM(Raw_Export!B1757),2)))))</f>
        <v>46276</v>
      </c>
      <c r="C1757" s="36" t="str">
        <f aca="false">IF(Raw_Export!$A1757="","",IFERROR(VLOOKUP(LOWER(TRIM(Raw_Export!C1757)),Maps!$A$2:$B$20,2,FALSE()),"UNMAPPED"))</f>
        <v>Kisumu</v>
      </c>
      <c r="D1757" s="36" t="str">
        <f aca="false">IF(Raw_Export!$A1757="","",IFERROR(VLOOKUP(LOWER(TRIM(Raw_Export!D1757)),Maps!$G$2:$I$80,2,FALSE()),"UNMAPPED"))</f>
        <v>Butter 250g</v>
      </c>
      <c r="E1757" s="36" t="str">
        <f aca="false">IF(Raw_Export!$A1757="","",IFERROR(VLOOKUP(LOWER(TRIM(Raw_Export!D1757)),Maps!$G$2:$I$80,3,FALSE()),"UNMAPPED"))</f>
        <v>Dairy &amp; Eggs</v>
      </c>
      <c r="F1757" s="36" t="n">
        <f aca="false">IF(Raw_Export!$A1757="","",IFERROR(VALUE(TRIM(Raw_Export!E1757)),0))</f>
        <v>2</v>
      </c>
      <c r="G1757" s="38" t="n">
        <f aca="false">IF(Raw_Export!$A1757="","",IFERROR(VALUE(SUBSTITUTE(SUBSTITUTE(UPPER(TRIM(Raw_Export!F1757)),"KES",""),",","")),0))</f>
        <v>310</v>
      </c>
      <c r="H1757" s="38" t="n">
        <f aca="false">IF(Raw_Export!$A1757="","",F1757*G1757)</f>
        <v>620</v>
      </c>
      <c r="I1757" s="36" t="str">
        <f aca="false">IF(Raw_Export!$A1757="","",IFERROR(VLOOKUP(LOWER(TRIM(Raw_Export!H1757)),Maps!$D$2:$E$12,2,FALSE()),"Other"))</f>
        <v>Card</v>
      </c>
      <c r="J1757" s="36" t="str">
        <f aca="false">IF(Raw_Export!$A1757="","",IF(COUNTIF($A$2:A1757,A1757)&gt;1,"Duplicate",""))</f>
        <v/>
      </c>
      <c r="K1757" s="36" t="str">
        <f aca="false">IF(Raw_Export!$A1757="","",IF(J1757="Duplicate","Duplicate",IF(OR(C1757="UNMAPPED",D1757="UNMAPPED"),"Unmapped",IF(F1757=0,"Blank qty",IF(F1757&lt;0,"Return","OK")))))</f>
        <v>OK</v>
      </c>
      <c r="L1757" s="36" t="n">
        <f aca="false">IF(Raw_Export!$A1757="","",IF(OR(K1757="OK",K1757="Return"),1,0))</f>
        <v>1</v>
      </c>
      <c r="M1757" s="37" t="n">
        <f aca="false">IF(Raw_Export!$A1757="","",B1757-WEEKDAY(B1757,2)+1)</f>
        <v>46272</v>
      </c>
    </row>
    <row r="1758" customFormat="false" ht="15" hidden="false" customHeight="false" outlineLevel="0" collapsed="false">
      <c r="A1758" s="36" t="str">
        <f aca="false">IF(Raw_Export!$A1758="","",TRIM(Raw_Export!A1758))</f>
        <v>TXN-101721</v>
      </c>
      <c r="B1758" s="37" t="n">
        <f aca="false">IF(Raw_Export!$A1758="","",IF(ISNUMBER(Raw_Export!B1758),Raw_Export!B1758,IF(MID(TRIM(Raw_Export!B1758),5,1)="-",DATE(LEFT(TRIM(Raw_Export!B1758),4),MID(TRIM(Raw_Export!B1758),6,2),RIGHT(TRIM(Raw_Export!B1758),2)),DATE(RIGHT(TRIM(Raw_Export!B1758),4),MATCH(MID(TRIM(Raw_Export!B1758),4,3),{"Jan","Feb","Mar","Apr","May","Jun","Jul","Aug","Sep","Oct","Nov","Dec"},0),LEFT(TRIM(Raw_Export!B1758),2)))))</f>
        <v>46276</v>
      </c>
      <c r="C1758" s="36" t="str">
        <f aca="false">IF(Raw_Export!$A1758="","",IFERROR(VLOOKUP(LOWER(TRIM(Raw_Export!C1758)),Maps!$A$2:$B$20,2,FALSE()),"UNMAPPED"))</f>
        <v>Kisumu</v>
      </c>
      <c r="D1758" s="36" t="str">
        <f aca="false">IF(Raw_Export!$A1758="","",IFERROR(VLOOKUP(LOWER(TRIM(Raw_Export!D1758)),Maps!$G$2:$I$80,2,FALSE()),"UNMAPPED"))</f>
        <v>Toothpaste 100g</v>
      </c>
      <c r="E1758" s="36" t="str">
        <f aca="false">IF(Raw_Export!$A1758="","",IFERROR(VLOOKUP(LOWER(TRIM(Raw_Export!D1758)),Maps!$G$2:$I$80,3,FALSE()),"UNMAPPED"))</f>
        <v>Personal Care</v>
      </c>
      <c r="F1758" s="36" t="n">
        <f aca="false">IF(Raw_Export!$A1758="","",IFERROR(VALUE(TRIM(Raw_Export!E1758)),0))</f>
        <v>4</v>
      </c>
      <c r="G1758" s="38" t="n">
        <f aca="false">IF(Raw_Export!$A1758="","",IFERROR(VALUE(SUBSTITUTE(SUBSTITUTE(UPPER(TRIM(Raw_Export!F1758)),"KES",""),",","")),0))</f>
        <v>195</v>
      </c>
      <c r="H1758" s="38" t="n">
        <f aca="false">IF(Raw_Export!$A1758="","",F1758*G1758)</f>
        <v>780</v>
      </c>
      <c r="I1758" s="36" t="str">
        <f aca="false">IF(Raw_Export!$A1758="","",IFERROR(VLOOKUP(LOWER(TRIM(Raw_Export!H1758)),Maps!$D$2:$E$12,2,FALSE()),"Other"))</f>
        <v>Cash</v>
      </c>
      <c r="J1758" s="36" t="str">
        <f aca="false">IF(Raw_Export!$A1758="","",IF(COUNTIF($A$2:A1758,A1758)&gt;1,"Duplicate",""))</f>
        <v/>
      </c>
      <c r="K1758" s="36" t="str">
        <f aca="false">IF(Raw_Export!$A1758="","",IF(J1758="Duplicate","Duplicate",IF(OR(C1758="UNMAPPED",D1758="UNMAPPED"),"Unmapped",IF(F1758=0,"Blank qty",IF(F1758&lt;0,"Return","OK")))))</f>
        <v>OK</v>
      </c>
      <c r="L1758" s="36" t="n">
        <f aca="false">IF(Raw_Export!$A1758="","",IF(OR(K1758="OK",K1758="Return"),1,0))</f>
        <v>1</v>
      </c>
      <c r="M1758" s="37" t="n">
        <f aca="false">IF(Raw_Export!$A1758="","",B1758-WEEKDAY(B1758,2)+1)</f>
        <v>46272</v>
      </c>
    </row>
    <row r="1759" customFormat="false" ht="15" hidden="false" customHeight="false" outlineLevel="0" collapsed="false">
      <c r="A1759" s="36" t="str">
        <f aca="false">IF(Raw_Export!$A1759="","",TRIM(Raw_Export!A1759))</f>
        <v>TXN-101722</v>
      </c>
      <c r="B1759" s="37" t="n">
        <f aca="false">IF(Raw_Export!$A1759="","",IF(ISNUMBER(Raw_Export!B1759),Raw_Export!B1759,IF(MID(TRIM(Raw_Export!B1759),5,1)="-",DATE(LEFT(TRIM(Raw_Export!B1759),4),MID(TRIM(Raw_Export!B1759),6,2),RIGHT(TRIM(Raw_Export!B1759),2)),DATE(RIGHT(TRIM(Raw_Export!B1759),4),MATCH(MID(TRIM(Raw_Export!B1759),4,3),{"Jan","Feb","Mar","Apr","May","Jun","Jul","Aug","Sep","Oct","Nov","Dec"},0),LEFT(TRIM(Raw_Export!B1759),2)))))</f>
        <v>46276</v>
      </c>
      <c r="C1759" s="36" t="str">
        <f aca="false">IF(Raw_Export!$A1759="","",IFERROR(VLOOKUP(LOWER(TRIM(Raw_Export!C1759)),Maps!$A$2:$B$20,2,FALSE()),"UNMAPPED"))</f>
        <v>Kisumu</v>
      </c>
      <c r="D1759" s="36" t="str">
        <f aca="false">IF(Raw_Export!$A1759="","",IFERROR(VLOOKUP(LOWER(TRIM(Raw_Export!D1759)),Maps!$G$2:$I$80,2,FALSE()),"UNMAPPED"))</f>
        <v>Washing Powder 1kg</v>
      </c>
      <c r="E1759" s="36" t="str">
        <f aca="false">IF(Raw_Export!$A1759="","",IFERROR(VLOOKUP(LOWER(TRIM(Raw_Export!D1759)),Maps!$G$2:$I$80,3,FALSE()),"UNMAPPED"))</f>
        <v>Household</v>
      </c>
      <c r="F1759" s="36" t="n">
        <f aca="false">IF(Raw_Export!$A1759="","",IFERROR(VALUE(TRIM(Raw_Export!E1759)),0))</f>
        <v>4</v>
      </c>
      <c r="G1759" s="38" t="n">
        <f aca="false">IF(Raw_Export!$A1759="","",IFERROR(VALUE(SUBSTITUTE(SUBSTITUTE(UPPER(TRIM(Raw_Export!F1759)),"KES",""),",","")),0))</f>
        <v>280</v>
      </c>
      <c r="H1759" s="38" t="n">
        <f aca="false">IF(Raw_Export!$A1759="","",F1759*G1759)</f>
        <v>1120</v>
      </c>
      <c r="I1759" s="36" t="str">
        <f aca="false">IF(Raw_Export!$A1759="","",IFERROR(VLOOKUP(LOWER(TRIM(Raw_Export!H1759)),Maps!$D$2:$E$12,2,FALSE()),"Other"))</f>
        <v>M-Pesa</v>
      </c>
      <c r="J1759" s="36" t="str">
        <f aca="false">IF(Raw_Export!$A1759="","",IF(COUNTIF($A$2:A1759,A1759)&gt;1,"Duplicate",""))</f>
        <v/>
      </c>
      <c r="K1759" s="36" t="str">
        <f aca="false">IF(Raw_Export!$A1759="","",IF(J1759="Duplicate","Duplicate",IF(OR(C1759="UNMAPPED",D1759="UNMAPPED"),"Unmapped",IF(F1759=0,"Blank qty",IF(F1759&lt;0,"Return","OK")))))</f>
        <v>OK</v>
      </c>
      <c r="L1759" s="36" t="n">
        <f aca="false">IF(Raw_Export!$A1759="","",IF(OR(K1759="OK",K1759="Return"),1,0))</f>
        <v>1</v>
      </c>
      <c r="M1759" s="37" t="n">
        <f aca="false">IF(Raw_Export!$A1759="","",B1759-WEEKDAY(B1759,2)+1)</f>
        <v>46272</v>
      </c>
    </row>
    <row r="1760" customFormat="false" ht="15" hidden="false" customHeight="false" outlineLevel="0" collapsed="false">
      <c r="A1760" s="36" t="str">
        <f aca="false">IF(Raw_Export!$A1760="","",TRIM(Raw_Export!A1760))</f>
        <v>TXN-101723</v>
      </c>
      <c r="B1760" s="37" t="n">
        <f aca="false">IF(Raw_Export!$A1760="","",IF(ISNUMBER(Raw_Export!B1760),Raw_Export!B1760,IF(MID(TRIM(Raw_Export!B1760),5,1)="-",DATE(LEFT(TRIM(Raw_Export!B1760),4),MID(TRIM(Raw_Export!B1760),6,2),RIGHT(TRIM(Raw_Export!B1760),2)),DATE(RIGHT(TRIM(Raw_Export!B1760),4),MATCH(MID(TRIM(Raw_Export!B1760),4,3),{"Jan","Feb","Mar","Apr","May","Jun","Jul","Aug","Sep","Oct","Nov","Dec"},0),LEFT(TRIM(Raw_Export!B1760),2)))))</f>
        <v>46276</v>
      </c>
      <c r="C1760" s="36" t="str">
        <f aca="false">IF(Raw_Export!$A1760="","",IFERROR(VLOOKUP(LOWER(TRIM(Raw_Export!C1760)),Maps!$A$2:$B$20,2,FALSE()),"UNMAPPED"))</f>
        <v>Kisumu</v>
      </c>
      <c r="D1760" s="36" t="str">
        <f aca="false">IF(Raw_Export!$A1760="","",IFERROR(VLOOKUP(LOWER(TRIM(Raw_Export!D1760)),Maps!$G$2:$I$80,2,FALSE()),"UNMAPPED"))</f>
        <v>Matches 10pk</v>
      </c>
      <c r="E1760" s="36" t="str">
        <f aca="false">IF(Raw_Export!$A1760="","",IFERROR(VLOOKUP(LOWER(TRIM(Raw_Export!D1760)),Maps!$G$2:$I$80,3,FALSE()),"UNMAPPED"))</f>
        <v>Household</v>
      </c>
      <c r="F1760" s="36" t="n">
        <f aca="false">IF(Raw_Export!$A1760="","",IFERROR(VALUE(TRIM(Raw_Export!E1760)),0))</f>
        <v>4</v>
      </c>
      <c r="G1760" s="38" t="n">
        <f aca="false">IF(Raw_Export!$A1760="","",IFERROR(VALUE(SUBSTITUTE(SUBSTITUTE(UPPER(TRIM(Raw_Export!F1760)),"KES",""),",","")),0))</f>
        <v>50</v>
      </c>
      <c r="H1760" s="38" t="n">
        <f aca="false">IF(Raw_Export!$A1760="","",F1760*G1760)</f>
        <v>200</v>
      </c>
      <c r="I1760" s="36" t="str">
        <f aca="false">IF(Raw_Export!$A1760="","",IFERROR(VLOOKUP(LOWER(TRIM(Raw_Export!H1760)),Maps!$D$2:$E$12,2,FALSE()),"Other"))</f>
        <v>M-Pesa</v>
      </c>
      <c r="J1760" s="36" t="str">
        <f aca="false">IF(Raw_Export!$A1760="","",IF(COUNTIF($A$2:A1760,A1760)&gt;1,"Duplicate",""))</f>
        <v/>
      </c>
      <c r="K1760" s="36" t="str">
        <f aca="false">IF(Raw_Export!$A1760="","",IF(J1760="Duplicate","Duplicate",IF(OR(C1760="UNMAPPED",D1760="UNMAPPED"),"Unmapped",IF(F1760=0,"Blank qty",IF(F1760&lt;0,"Return","OK")))))</f>
        <v>OK</v>
      </c>
      <c r="L1760" s="36" t="n">
        <f aca="false">IF(Raw_Export!$A1760="","",IF(OR(K1760="OK",K1760="Return"),1,0))</f>
        <v>1</v>
      </c>
      <c r="M1760" s="37" t="n">
        <f aca="false">IF(Raw_Export!$A1760="","",B1760-WEEKDAY(B1760,2)+1)</f>
        <v>46272</v>
      </c>
    </row>
    <row r="1761" customFormat="false" ht="15" hidden="false" customHeight="false" outlineLevel="0" collapsed="false">
      <c r="A1761" s="36" t="str">
        <f aca="false">IF(Raw_Export!$A1761="","",TRIM(Raw_Export!A1761))</f>
        <v>TXN-101724</v>
      </c>
      <c r="B1761" s="37" t="n">
        <f aca="false">IF(Raw_Export!$A1761="","",IF(ISNUMBER(Raw_Export!B1761),Raw_Export!B1761,IF(MID(TRIM(Raw_Export!B1761),5,1)="-",DATE(LEFT(TRIM(Raw_Export!B1761),4),MID(TRIM(Raw_Export!B1761),6,2),RIGHT(TRIM(Raw_Export!B1761),2)),DATE(RIGHT(TRIM(Raw_Export!B1761),4),MATCH(MID(TRIM(Raw_Export!B1761),4,3),{"Jan","Feb","Mar","Apr","May","Jun","Jul","Aug","Sep","Oct","Nov","Dec"},0),LEFT(TRIM(Raw_Export!B1761),2)))))</f>
        <v>46276</v>
      </c>
      <c r="C1761" s="36" t="str">
        <f aca="false">IF(Raw_Export!$A1761="","",IFERROR(VLOOKUP(LOWER(TRIM(Raw_Export!C1761)),Maps!$A$2:$B$20,2,FALSE()),"UNMAPPED"))</f>
        <v>Kisumu</v>
      </c>
      <c r="D1761" s="36" t="str">
        <f aca="false">IF(Raw_Export!$A1761="","",IFERROR(VLOOKUP(LOWER(TRIM(Raw_Export!D1761)),Maps!$G$2:$I$80,2,FALSE()),"UNMAPPED"))</f>
        <v>Matches 10pk</v>
      </c>
      <c r="E1761" s="36" t="str">
        <f aca="false">IF(Raw_Export!$A1761="","",IFERROR(VLOOKUP(LOWER(TRIM(Raw_Export!D1761)),Maps!$G$2:$I$80,3,FALSE()),"UNMAPPED"))</f>
        <v>Household</v>
      </c>
      <c r="F1761" s="36" t="n">
        <f aca="false">IF(Raw_Export!$A1761="","",IFERROR(VALUE(TRIM(Raw_Export!E1761)),0))</f>
        <v>1</v>
      </c>
      <c r="G1761" s="38" t="n">
        <f aca="false">IF(Raw_Export!$A1761="","",IFERROR(VALUE(SUBSTITUTE(SUBSTITUTE(UPPER(TRIM(Raw_Export!F1761)),"KES",""),",","")),0))</f>
        <v>50</v>
      </c>
      <c r="H1761" s="38" t="n">
        <f aca="false">IF(Raw_Export!$A1761="","",F1761*G1761)</f>
        <v>50</v>
      </c>
      <c r="I1761" s="36" t="str">
        <f aca="false">IF(Raw_Export!$A1761="","",IFERROR(VLOOKUP(LOWER(TRIM(Raw_Export!H1761)),Maps!$D$2:$E$12,2,FALSE()),"Other"))</f>
        <v>M-Pesa</v>
      </c>
      <c r="J1761" s="36" t="str">
        <f aca="false">IF(Raw_Export!$A1761="","",IF(COUNTIF($A$2:A1761,A1761)&gt;1,"Duplicate",""))</f>
        <v/>
      </c>
      <c r="K1761" s="36" t="str">
        <f aca="false">IF(Raw_Export!$A1761="","",IF(J1761="Duplicate","Duplicate",IF(OR(C1761="UNMAPPED",D1761="UNMAPPED"),"Unmapped",IF(F1761=0,"Blank qty",IF(F1761&lt;0,"Return","OK")))))</f>
        <v>OK</v>
      </c>
      <c r="L1761" s="36" t="n">
        <f aca="false">IF(Raw_Export!$A1761="","",IF(OR(K1761="OK",K1761="Return"),1,0))</f>
        <v>1</v>
      </c>
      <c r="M1761" s="37" t="n">
        <f aca="false">IF(Raw_Export!$A1761="","",B1761-WEEKDAY(B1761,2)+1)</f>
        <v>46272</v>
      </c>
    </row>
    <row r="1762" customFormat="false" ht="15" hidden="false" customHeight="false" outlineLevel="0" collapsed="false">
      <c r="A1762" s="36" t="str">
        <f aca="false">IF(Raw_Export!$A1762="","",TRIM(Raw_Export!A1762))</f>
        <v>TXN-101725</v>
      </c>
      <c r="B1762" s="37" t="n">
        <f aca="false">IF(Raw_Export!$A1762="","",IF(ISNUMBER(Raw_Export!B1762),Raw_Export!B1762,IF(MID(TRIM(Raw_Export!B1762),5,1)="-",DATE(LEFT(TRIM(Raw_Export!B1762),4),MID(TRIM(Raw_Export!B1762),6,2),RIGHT(TRIM(Raw_Export!B1762),2)),DATE(RIGHT(TRIM(Raw_Export!B1762),4),MATCH(MID(TRIM(Raw_Export!B1762),4,3),{"Jan","Feb","Mar","Apr","May","Jun","Jul","Aug","Sep","Oct","Nov","Dec"},0),LEFT(TRIM(Raw_Export!B1762),2)))))</f>
        <v>46276</v>
      </c>
      <c r="C1762" s="36" t="str">
        <f aca="false">IF(Raw_Export!$A1762="","",IFERROR(VLOOKUP(LOWER(TRIM(Raw_Export!C1762)),Maps!$A$2:$B$20,2,FALSE()),"UNMAPPED"))</f>
        <v>Kisumu</v>
      </c>
      <c r="D1762" s="36" t="str">
        <f aca="false">IF(Raw_Export!$A1762="","",IFERROR(VLOOKUP(LOWER(TRIM(Raw_Export!D1762)),Maps!$G$2:$I$80,2,FALSE()),"UNMAPPED"))</f>
        <v>UNMAPPED</v>
      </c>
      <c r="E1762" s="36" t="str">
        <f aca="false">IF(Raw_Export!$A1762="","",IFERROR(VLOOKUP(LOWER(TRIM(Raw_Export!D1762)),Maps!$G$2:$I$80,3,FALSE()),"UNMAPPED"))</f>
        <v>UNMAPPED</v>
      </c>
      <c r="F1762" s="36" t="n">
        <f aca="false">IF(Raw_Export!$A1762="","",IFERROR(VALUE(TRIM(Raw_Export!E1762)),0))</f>
        <v>3</v>
      </c>
      <c r="G1762" s="38" t="n">
        <f aca="false">IF(Raw_Export!$A1762="","",IFERROR(VALUE(SUBSTITUTE(SUBSTITUTE(UPPER(TRIM(Raw_Export!F1762)),"KES",""),",","")),0))</f>
        <v>110</v>
      </c>
      <c r="H1762" s="38" t="n">
        <f aca="false">IF(Raw_Export!$A1762="","",F1762*G1762)</f>
        <v>330</v>
      </c>
      <c r="I1762" s="36" t="str">
        <f aca="false">IF(Raw_Export!$A1762="","",IFERROR(VLOOKUP(LOWER(TRIM(Raw_Export!H1762)),Maps!$D$2:$E$12,2,FALSE()),"Other"))</f>
        <v>Cash</v>
      </c>
      <c r="J1762" s="36" t="str">
        <f aca="false">IF(Raw_Export!$A1762="","",IF(COUNTIF($A$2:A1762,A1762)&gt;1,"Duplicate",""))</f>
        <v/>
      </c>
      <c r="K1762" s="36" t="str">
        <f aca="false">IF(Raw_Export!$A1762="","",IF(J1762="Duplicate","Duplicate",IF(OR(C1762="UNMAPPED",D1762="UNMAPPED"),"Unmapped",IF(F1762=0,"Blank qty",IF(F1762&lt;0,"Return","OK")))))</f>
        <v>Unmapped</v>
      </c>
      <c r="L1762" s="36" t="n">
        <f aca="false">IF(Raw_Export!$A1762="","",IF(OR(K1762="OK",K1762="Return"),1,0))</f>
        <v>0</v>
      </c>
      <c r="M1762" s="37" t="n">
        <f aca="false">IF(Raw_Export!$A1762="","",B1762-WEEKDAY(B1762,2)+1)</f>
        <v>46272</v>
      </c>
    </row>
    <row r="1763" customFormat="false" ht="15" hidden="false" customHeight="false" outlineLevel="0" collapsed="false">
      <c r="A1763" s="36" t="str">
        <f aca="false">IF(Raw_Export!$A1763="","",TRIM(Raw_Export!A1763))</f>
        <v>TXN-101726</v>
      </c>
      <c r="B1763" s="37" t="n">
        <f aca="false">IF(Raw_Export!$A1763="","",IF(ISNUMBER(Raw_Export!B1763),Raw_Export!B1763,IF(MID(TRIM(Raw_Export!B1763),5,1)="-",DATE(LEFT(TRIM(Raw_Export!B1763),4),MID(TRIM(Raw_Export!B1763),6,2),RIGHT(TRIM(Raw_Export!B1763),2)),DATE(RIGHT(TRIM(Raw_Export!B1763),4),MATCH(MID(TRIM(Raw_Export!B1763),4,3),{"Jan","Feb","Mar","Apr","May","Jun","Jul","Aug","Sep","Oct","Nov","Dec"},0),LEFT(TRIM(Raw_Export!B1763),2)))))</f>
        <v>46276</v>
      </c>
      <c r="C1763" s="36" t="str">
        <f aca="false">IF(Raw_Export!$A1763="","",IFERROR(VLOOKUP(LOWER(TRIM(Raw_Export!C1763)),Maps!$A$2:$B$20,2,FALSE()),"UNMAPPED"))</f>
        <v>Kisumu</v>
      </c>
      <c r="D1763" s="36" t="str">
        <f aca="false">IF(Raw_Export!$A1763="","",IFERROR(VLOOKUP(LOWER(TRIM(Raw_Export!D1763)),Maps!$G$2:$I$80,2,FALSE()),"UNMAPPED"))</f>
        <v>Eggs Tray 30</v>
      </c>
      <c r="E1763" s="36" t="str">
        <f aca="false">IF(Raw_Export!$A1763="","",IFERROR(VLOOKUP(LOWER(TRIM(Raw_Export!D1763)),Maps!$G$2:$I$80,3,FALSE()),"UNMAPPED"))</f>
        <v>Dairy &amp; Eggs</v>
      </c>
      <c r="F1763" s="36" t="n">
        <f aca="false">IF(Raw_Export!$A1763="","",IFERROR(VALUE(TRIM(Raw_Export!E1763)),0))</f>
        <v>1</v>
      </c>
      <c r="G1763" s="38" t="n">
        <f aca="false">IF(Raw_Export!$A1763="","",IFERROR(VALUE(SUBSTITUTE(SUBSTITUTE(UPPER(TRIM(Raw_Export!F1763)),"KES",""),",","")),0))</f>
        <v>450</v>
      </c>
      <c r="H1763" s="38" t="n">
        <f aca="false">IF(Raw_Export!$A1763="","",F1763*G1763)</f>
        <v>450</v>
      </c>
      <c r="I1763" s="36" t="str">
        <f aca="false">IF(Raw_Export!$A1763="","",IFERROR(VLOOKUP(LOWER(TRIM(Raw_Export!H1763)),Maps!$D$2:$E$12,2,FALSE()),"Other"))</f>
        <v>M-Pesa</v>
      </c>
      <c r="J1763" s="36" t="str">
        <f aca="false">IF(Raw_Export!$A1763="","",IF(COUNTIF($A$2:A1763,A1763)&gt;1,"Duplicate",""))</f>
        <v/>
      </c>
      <c r="K1763" s="36" t="str">
        <f aca="false">IF(Raw_Export!$A1763="","",IF(J1763="Duplicate","Duplicate",IF(OR(C1763="UNMAPPED",D1763="UNMAPPED"),"Unmapped",IF(F1763=0,"Blank qty",IF(F1763&lt;0,"Return","OK")))))</f>
        <v>OK</v>
      </c>
      <c r="L1763" s="36" t="n">
        <f aca="false">IF(Raw_Export!$A1763="","",IF(OR(K1763="OK",K1763="Return"),1,0))</f>
        <v>1</v>
      </c>
      <c r="M1763" s="37" t="n">
        <f aca="false">IF(Raw_Export!$A1763="","",B1763-WEEKDAY(B1763,2)+1)</f>
        <v>46272</v>
      </c>
    </row>
    <row r="1764" customFormat="false" ht="15" hidden="false" customHeight="false" outlineLevel="0" collapsed="false">
      <c r="A1764" s="36" t="str">
        <f aca="false">IF(Raw_Export!$A1764="","",TRIM(Raw_Export!A1764))</f>
        <v>TXN-101727</v>
      </c>
      <c r="B1764" s="37" t="n">
        <f aca="false">IF(Raw_Export!$A1764="","",IF(ISNUMBER(Raw_Export!B1764),Raw_Export!B1764,IF(MID(TRIM(Raw_Export!B1764),5,1)="-",DATE(LEFT(TRIM(Raw_Export!B1764),4),MID(TRIM(Raw_Export!B1764),6,2),RIGHT(TRIM(Raw_Export!B1764),2)),DATE(RIGHT(TRIM(Raw_Export!B1764),4),MATCH(MID(TRIM(Raw_Export!B1764),4,3),{"Jan","Feb","Mar","Apr","May","Jun","Jul","Aug","Sep","Oct","Nov","Dec"},0),LEFT(TRIM(Raw_Export!B1764),2)))))</f>
        <v>46276</v>
      </c>
      <c r="C1764" s="36" t="str">
        <f aca="false">IF(Raw_Export!$A1764="","",IFERROR(VLOOKUP(LOWER(TRIM(Raw_Export!C1764)),Maps!$A$2:$B$20,2,FALSE()),"UNMAPPED"))</f>
        <v>Kisumu</v>
      </c>
      <c r="D1764" s="36" t="str">
        <f aca="false">IF(Raw_Export!$A1764="","",IFERROR(VLOOKUP(LOWER(TRIM(Raw_Export!D1764)),Maps!$G$2:$I$80,2,FALSE()),"UNMAPPED"))</f>
        <v>Body Lotion 400ml</v>
      </c>
      <c r="E1764" s="36" t="str">
        <f aca="false">IF(Raw_Export!$A1764="","",IFERROR(VLOOKUP(LOWER(TRIM(Raw_Export!D1764)),Maps!$G$2:$I$80,3,FALSE()),"UNMAPPED"))</f>
        <v>Personal Care</v>
      </c>
      <c r="F1764" s="36" t="n">
        <f aca="false">IF(Raw_Export!$A1764="","",IFERROR(VALUE(TRIM(Raw_Export!E1764)),0))</f>
        <v>2</v>
      </c>
      <c r="G1764" s="38" t="n">
        <f aca="false">IF(Raw_Export!$A1764="","",IFERROR(VALUE(SUBSTITUTE(SUBSTITUTE(UPPER(TRIM(Raw_Export!F1764)),"KES",""),",","")),0))</f>
        <v>420</v>
      </c>
      <c r="H1764" s="38" t="n">
        <f aca="false">IF(Raw_Export!$A1764="","",F1764*G1764)</f>
        <v>840</v>
      </c>
      <c r="I1764" s="36" t="str">
        <f aca="false">IF(Raw_Export!$A1764="","",IFERROR(VLOOKUP(LOWER(TRIM(Raw_Export!H1764)),Maps!$D$2:$E$12,2,FALSE()),"Other"))</f>
        <v>Cash</v>
      </c>
      <c r="J1764" s="36" t="str">
        <f aca="false">IF(Raw_Export!$A1764="","",IF(COUNTIF($A$2:A1764,A1764)&gt;1,"Duplicate",""))</f>
        <v/>
      </c>
      <c r="K1764" s="36" t="str">
        <f aca="false">IF(Raw_Export!$A1764="","",IF(J1764="Duplicate","Duplicate",IF(OR(C1764="UNMAPPED",D1764="UNMAPPED"),"Unmapped",IF(F1764=0,"Blank qty",IF(F1764&lt;0,"Return","OK")))))</f>
        <v>OK</v>
      </c>
      <c r="L1764" s="36" t="n">
        <f aca="false">IF(Raw_Export!$A1764="","",IF(OR(K1764="OK",K1764="Return"),1,0))</f>
        <v>1</v>
      </c>
      <c r="M1764" s="37" t="n">
        <f aca="false">IF(Raw_Export!$A1764="","",B1764-WEEKDAY(B1764,2)+1)</f>
        <v>46272</v>
      </c>
    </row>
    <row r="1765" customFormat="false" ht="15" hidden="false" customHeight="false" outlineLevel="0" collapsed="false">
      <c r="A1765" s="36" t="str">
        <f aca="false">IF(Raw_Export!$A1765="","",TRIM(Raw_Export!A1765))</f>
        <v>TXN-101728</v>
      </c>
      <c r="B1765" s="37" t="n">
        <f aca="false">IF(Raw_Export!$A1765="","",IF(ISNUMBER(Raw_Export!B1765),Raw_Export!B1765,IF(MID(TRIM(Raw_Export!B1765),5,1)="-",DATE(LEFT(TRIM(Raw_Export!B1765),4),MID(TRIM(Raw_Export!B1765),6,2),RIGHT(TRIM(Raw_Export!B1765),2)),DATE(RIGHT(TRIM(Raw_Export!B1765),4),MATCH(MID(TRIM(Raw_Export!B1765),4,3),{"Jan","Feb","Mar","Apr","May","Jun","Jul","Aug","Sep","Oct","Nov","Dec"},0),LEFT(TRIM(Raw_Export!B1765),2)))))</f>
        <v>46276</v>
      </c>
      <c r="C1765" s="36" t="str">
        <f aca="false">IF(Raw_Export!$A1765="","",IFERROR(VLOOKUP(LOWER(TRIM(Raw_Export!C1765)),Maps!$A$2:$B$20,2,FALSE()),"UNMAPPED"))</f>
        <v>Kisumu</v>
      </c>
      <c r="D1765" s="36" t="str">
        <f aca="false">IF(Raw_Export!$A1765="","",IFERROR(VLOOKUP(LOWER(TRIM(Raw_Export!D1765)),Maps!$G$2:$I$80,2,FALSE()),"UNMAPPED"))</f>
        <v>Unga Pembe 2kg</v>
      </c>
      <c r="E1765" s="36" t="str">
        <f aca="false">IF(Raw_Export!$A1765="","",IFERROR(VLOOKUP(LOWER(TRIM(Raw_Export!D1765)),Maps!$G$2:$I$80,3,FALSE()),"UNMAPPED"))</f>
        <v>Staples</v>
      </c>
      <c r="F1765" s="36" t="n">
        <f aca="false">IF(Raw_Export!$A1765="","",IFERROR(VALUE(TRIM(Raw_Export!E1765)),0))</f>
        <v>1</v>
      </c>
      <c r="G1765" s="38" t="n">
        <f aca="false">IF(Raw_Export!$A1765="","",IFERROR(VALUE(SUBSTITUTE(SUBSTITUTE(UPPER(TRIM(Raw_Export!F1765)),"KES",""),",","")),0))</f>
        <v>190</v>
      </c>
      <c r="H1765" s="38" t="n">
        <f aca="false">IF(Raw_Export!$A1765="","",F1765*G1765)</f>
        <v>190</v>
      </c>
      <c r="I1765" s="36" t="str">
        <f aca="false">IF(Raw_Export!$A1765="","",IFERROR(VLOOKUP(LOWER(TRIM(Raw_Export!H1765)),Maps!$D$2:$E$12,2,FALSE()),"Other"))</f>
        <v>M-Pesa</v>
      </c>
      <c r="J1765" s="36" t="str">
        <f aca="false">IF(Raw_Export!$A1765="","",IF(COUNTIF($A$2:A1765,A1765)&gt;1,"Duplicate",""))</f>
        <v/>
      </c>
      <c r="K1765" s="36" t="str">
        <f aca="false">IF(Raw_Export!$A1765="","",IF(J1765="Duplicate","Duplicate",IF(OR(C1765="UNMAPPED",D1765="UNMAPPED"),"Unmapped",IF(F1765=0,"Blank qty",IF(F1765&lt;0,"Return","OK")))))</f>
        <v>OK</v>
      </c>
      <c r="L1765" s="36" t="n">
        <f aca="false">IF(Raw_Export!$A1765="","",IF(OR(K1765="OK",K1765="Return"),1,0))</f>
        <v>1</v>
      </c>
      <c r="M1765" s="37" t="n">
        <f aca="false">IF(Raw_Export!$A1765="","",B1765-WEEKDAY(B1765,2)+1)</f>
        <v>46272</v>
      </c>
    </row>
    <row r="1766" customFormat="false" ht="15" hidden="false" customHeight="false" outlineLevel="0" collapsed="false">
      <c r="A1766" s="36" t="str">
        <f aca="false">IF(Raw_Export!$A1766="","",TRIM(Raw_Export!A1766))</f>
        <v>TXN-101729</v>
      </c>
      <c r="B1766" s="37" t="n">
        <f aca="false">IF(Raw_Export!$A1766="","",IF(ISNUMBER(Raw_Export!B1766),Raw_Export!B1766,IF(MID(TRIM(Raw_Export!B1766),5,1)="-",DATE(LEFT(TRIM(Raw_Export!B1766),4),MID(TRIM(Raw_Export!B1766),6,2),RIGHT(TRIM(Raw_Export!B1766),2)),DATE(RIGHT(TRIM(Raw_Export!B1766),4),MATCH(MID(TRIM(Raw_Export!B1766),4,3),{"Jan","Feb","Mar","Apr","May","Jun","Jul","Aug","Sep","Oct","Nov","Dec"},0),LEFT(TRIM(Raw_Export!B1766),2)))))</f>
        <v>46276</v>
      </c>
      <c r="C1766" s="36" t="str">
        <f aca="false">IF(Raw_Export!$A1766="","",IFERROR(VLOOKUP(LOWER(TRIM(Raw_Export!C1766)),Maps!$A$2:$B$20,2,FALSE()),"UNMAPPED"))</f>
        <v>Kisumu</v>
      </c>
      <c r="D1766" s="36" t="str">
        <f aca="false">IF(Raw_Export!$A1766="","",IFERROR(VLOOKUP(LOWER(TRIM(Raw_Export!D1766)),Maps!$G$2:$I$80,2,FALSE()),"UNMAPPED"))</f>
        <v>Soda 500ml</v>
      </c>
      <c r="E1766" s="36" t="str">
        <f aca="false">IF(Raw_Export!$A1766="","",IFERROR(VLOOKUP(LOWER(TRIM(Raw_Export!D1766)),Maps!$G$2:$I$80,3,FALSE()),"UNMAPPED"))</f>
        <v>Beverages</v>
      </c>
      <c r="F1766" s="36" t="n">
        <f aca="false">IF(Raw_Export!$A1766="","",IFERROR(VALUE(TRIM(Raw_Export!E1766)),0))</f>
        <v>1</v>
      </c>
      <c r="G1766" s="38" t="n">
        <f aca="false">IF(Raw_Export!$A1766="","",IFERROR(VALUE(SUBSTITUTE(SUBSTITUTE(UPPER(TRIM(Raw_Export!F1766)),"KES",""),",","")),0))</f>
        <v>60</v>
      </c>
      <c r="H1766" s="38" t="n">
        <f aca="false">IF(Raw_Export!$A1766="","",F1766*G1766)</f>
        <v>60</v>
      </c>
      <c r="I1766" s="36" t="str">
        <f aca="false">IF(Raw_Export!$A1766="","",IFERROR(VLOOKUP(LOWER(TRIM(Raw_Export!H1766)),Maps!$D$2:$E$12,2,FALSE()),"Other"))</f>
        <v>M-Pesa</v>
      </c>
      <c r="J1766" s="36" t="str">
        <f aca="false">IF(Raw_Export!$A1766="","",IF(COUNTIF($A$2:A1766,A1766)&gt;1,"Duplicate",""))</f>
        <v/>
      </c>
      <c r="K1766" s="36" t="str">
        <f aca="false">IF(Raw_Export!$A1766="","",IF(J1766="Duplicate","Duplicate",IF(OR(C1766="UNMAPPED",D1766="UNMAPPED"),"Unmapped",IF(F1766=0,"Blank qty",IF(F1766&lt;0,"Return","OK")))))</f>
        <v>OK</v>
      </c>
      <c r="L1766" s="36" t="n">
        <f aca="false">IF(Raw_Export!$A1766="","",IF(OR(K1766="OK",K1766="Return"),1,0))</f>
        <v>1</v>
      </c>
      <c r="M1766" s="37" t="n">
        <f aca="false">IF(Raw_Export!$A1766="","",B1766-WEEKDAY(B1766,2)+1)</f>
        <v>46272</v>
      </c>
    </row>
    <row r="1767" customFormat="false" ht="15" hidden="false" customHeight="false" outlineLevel="0" collapsed="false">
      <c r="A1767" s="36" t="str">
        <f aca="false">IF(Raw_Export!$A1767="","",TRIM(Raw_Export!A1767))</f>
        <v>TXN-101730</v>
      </c>
      <c r="B1767" s="37" t="n">
        <f aca="false">IF(Raw_Export!$A1767="","",IF(ISNUMBER(Raw_Export!B1767),Raw_Export!B1767,IF(MID(TRIM(Raw_Export!B1767),5,1)="-",DATE(LEFT(TRIM(Raw_Export!B1767),4),MID(TRIM(Raw_Export!B1767),6,2),RIGHT(TRIM(Raw_Export!B1767),2)),DATE(RIGHT(TRIM(Raw_Export!B1767),4),MATCH(MID(TRIM(Raw_Export!B1767),4,3),{"Jan","Feb","Mar","Apr","May","Jun","Jul","Aug","Sep","Oct","Nov","Dec"},0),LEFT(TRIM(Raw_Export!B1767),2)))))</f>
        <v>46276</v>
      </c>
      <c r="C1767" s="36" t="str">
        <f aca="false">IF(Raw_Export!$A1767="","",IFERROR(VLOOKUP(LOWER(TRIM(Raw_Export!C1767)),Maps!$A$2:$B$20,2,FALSE()),"UNMAPPED"))</f>
        <v>Kisumu</v>
      </c>
      <c r="D1767" s="36" t="str">
        <f aca="false">IF(Raw_Export!$A1767="","",IFERROR(VLOOKUP(LOWER(TRIM(Raw_Export!D1767)),Maps!$G$2:$I$80,2,FALSE()),"UNMAPPED"))</f>
        <v>Butter 250g</v>
      </c>
      <c r="E1767" s="36" t="str">
        <f aca="false">IF(Raw_Export!$A1767="","",IFERROR(VLOOKUP(LOWER(TRIM(Raw_Export!D1767)),Maps!$G$2:$I$80,3,FALSE()),"UNMAPPED"))</f>
        <v>Dairy &amp; Eggs</v>
      </c>
      <c r="F1767" s="36" t="n">
        <f aca="false">IF(Raw_Export!$A1767="","",IFERROR(VALUE(TRIM(Raw_Export!E1767)),0))</f>
        <v>1</v>
      </c>
      <c r="G1767" s="38" t="n">
        <f aca="false">IF(Raw_Export!$A1767="","",IFERROR(VALUE(SUBSTITUTE(SUBSTITUTE(UPPER(TRIM(Raw_Export!F1767)),"KES",""),",","")),0))</f>
        <v>279</v>
      </c>
      <c r="H1767" s="38" t="n">
        <f aca="false">IF(Raw_Export!$A1767="","",F1767*G1767)</f>
        <v>279</v>
      </c>
      <c r="I1767" s="36" t="str">
        <f aca="false">IF(Raw_Export!$A1767="","",IFERROR(VLOOKUP(LOWER(TRIM(Raw_Export!H1767)),Maps!$D$2:$E$12,2,FALSE()),"Other"))</f>
        <v>Cash</v>
      </c>
      <c r="J1767" s="36" t="str">
        <f aca="false">IF(Raw_Export!$A1767="","",IF(COUNTIF($A$2:A1767,A1767)&gt;1,"Duplicate",""))</f>
        <v/>
      </c>
      <c r="K1767" s="36" t="str">
        <f aca="false">IF(Raw_Export!$A1767="","",IF(J1767="Duplicate","Duplicate",IF(OR(C1767="UNMAPPED",D1767="UNMAPPED"),"Unmapped",IF(F1767=0,"Blank qty",IF(F1767&lt;0,"Return","OK")))))</f>
        <v>OK</v>
      </c>
      <c r="L1767" s="36" t="n">
        <f aca="false">IF(Raw_Export!$A1767="","",IF(OR(K1767="OK",K1767="Return"),1,0))</f>
        <v>1</v>
      </c>
      <c r="M1767" s="37" t="n">
        <f aca="false">IF(Raw_Export!$A1767="","",B1767-WEEKDAY(B1767,2)+1)</f>
        <v>46272</v>
      </c>
    </row>
    <row r="1768" customFormat="false" ht="15" hidden="false" customHeight="false" outlineLevel="0" collapsed="false">
      <c r="A1768" s="36" t="str">
        <f aca="false">IF(Raw_Export!$A1768="","",TRIM(Raw_Export!A1768))</f>
        <v>TXN-101731</v>
      </c>
      <c r="B1768" s="37" t="n">
        <f aca="false">IF(Raw_Export!$A1768="","",IF(ISNUMBER(Raw_Export!B1768),Raw_Export!B1768,IF(MID(TRIM(Raw_Export!B1768),5,1)="-",DATE(LEFT(TRIM(Raw_Export!B1768),4),MID(TRIM(Raw_Export!B1768),6,2),RIGHT(TRIM(Raw_Export!B1768),2)),DATE(RIGHT(TRIM(Raw_Export!B1768),4),MATCH(MID(TRIM(Raw_Export!B1768),4,3),{"Jan","Feb","Mar","Apr","May","Jun","Jul","Aug","Sep","Oct","Nov","Dec"},0),LEFT(TRIM(Raw_Export!B1768),2)))))</f>
        <v>46276</v>
      </c>
      <c r="C1768" s="36" t="str">
        <f aca="false">IF(Raw_Export!$A1768="","",IFERROR(VLOOKUP(LOWER(TRIM(Raw_Export!C1768)),Maps!$A$2:$B$20,2,FALSE()),"UNMAPPED"))</f>
        <v>Kisumu</v>
      </c>
      <c r="D1768" s="36" t="str">
        <f aca="false">IF(Raw_Export!$A1768="","",IFERROR(VLOOKUP(LOWER(TRIM(Raw_Export!D1768)),Maps!$G$2:$I$80,2,FALSE()),"UNMAPPED"))</f>
        <v>Cooking Oil 1L</v>
      </c>
      <c r="E1768" s="36" t="str">
        <f aca="false">IF(Raw_Export!$A1768="","",IFERROR(VLOOKUP(LOWER(TRIM(Raw_Export!D1768)),Maps!$G$2:$I$80,3,FALSE()),"UNMAPPED"))</f>
        <v>Staples</v>
      </c>
      <c r="F1768" s="36" t="n">
        <f aca="false">IF(Raw_Export!$A1768="","",IFERROR(VALUE(TRIM(Raw_Export!E1768)),0))</f>
        <v>2</v>
      </c>
      <c r="G1768" s="38" t="n">
        <f aca="false">IF(Raw_Export!$A1768="","",IFERROR(VALUE(SUBSTITUTE(SUBSTITUTE(UPPER(TRIM(Raw_Export!F1768)),"KES",""),",","")),0))</f>
        <v>330</v>
      </c>
      <c r="H1768" s="38" t="n">
        <f aca="false">IF(Raw_Export!$A1768="","",F1768*G1768)</f>
        <v>660</v>
      </c>
      <c r="I1768" s="36" t="str">
        <f aca="false">IF(Raw_Export!$A1768="","",IFERROR(VLOOKUP(LOWER(TRIM(Raw_Export!H1768)),Maps!$D$2:$E$12,2,FALSE()),"Other"))</f>
        <v>Cash</v>
      </c>
      <c r="J1768" s="36" t="str">
        <f aca="false">IF(Raw_Export!$A1768="","",IF(COUNTIF($A$2:A1768,A1768)&gt;1,"Duplicate",""))</f>
        <v/>
      </c>
      <c r="K1768" s="36" t="str">
        <f aca="false">IF(Raw_Export!$A1768="","",IF(J1768="Duplicate","Duplicate",IF(OR(C1768="UNMAPPED",D1768="UNMAPPED"),"Unmapped",IF(F1768=0,"Blank qty",IF(F1768&lt;0,"Return","OK")))))</f>
        <v>OK</v>
      </c>
      <c r="L1768" s="36" t="n">
        <f aca="false">IF(Raw_Export!$A1768="","",IF(OR(K1768="OK",K1768="Return"),1,0))</f>
        <v>1</v>
      </c>
      <c r="M1768" s="37" t="n">
        <f aca="false">IF(Raw_Export!$A1768="","",B1768-WEEKDAY(B1768,2)+1)</f>
        <v>46272</v>
      </c>
    </row>
    <row r="1769" customFormat="false" ht="15" hidden="false" customHeight="false" outlineLevel="0" collapsed="false">
      <c r="A1769" s="36" t="str">
        <f aca="false">IF(Raw_Export!$A1769="","",TRIM(Raw_Export!A1769))</f>
        <v>TXN-101732</v>
      </c>
      <c r="B1769" s="37" t="n">
        <f aca="false">IF(Raw_Export!$A1769="","",IF(ISNUMBER(Raw_Export!B1769),Raw_Export!B1769,IF(MID(TRIM(Raw_Export!B1769),5,1)="-",DATE(LEFT(TRIM(Raw_Export!B1769),4),MID(TRIM(Raw_Export!B1769),6,2),RIGHT(TRIM(Raw_Export!B1769),2)),DATE(RIGHT(TRIM(Raw_Export!B1769),4),MATCH(MID(TRIM(Raw_Export!B1769),4,3),{"Jan","Feb","Mar","Apr","May","Jun","Jul","Aug","Sep","Oct","Nov","Dec"},0),LEFT(TRIM(Raw_Export!B1769),2)))))</f>
        <v>46276</v>
      </c>
      <c r="C1769" s="36" t="str">
        <f aca="false">IF(Raw_Export!$A1769="","",IFERROR(VLOOKUP(LOWER(TRIM(Raw_Export!C1769)),Maps!$A$2:$B$20,2,FALSE()),"UNMAPPED"))</f>
        <v>Kisumu</v>
      </c>
      <c r="D1769" s="36" t="str">
        <f aca="false">IF(Raw_Export!$A1769="","",IFERROR(VLOOKUP(LOWER(TRIM(Raw_Export!D1769)),Maps!$G$2:$I$80,2,FALSE()),"UNMAPPED"))</f>
        <v>Cheddar 200g</v>
      </c>
      <c r="E1769" s="36" t="str">
        <f aca="false">IF(Raw_Export!$A1769="","",IFERROR(VLOOKUP(LOWER(TRIM(Raw_Export!D1769)),Maps!$G$2:$I$80,3,FALSE()),"UNMAPPED"))</f>
        <v>Dairy &amp; Eggs</v>
      </c>
      <c r="F1769" s="36" t="n">
        <f aca="false">IF(Raw_Export!$A1769="","",IFERROR(VALUE(TRIM(Raw_Export!E1769)),0))</f>
        <v>3</v>
      </c>
      <c r="G1769" s="38" t="n">
        <f aca="false">IF(Raw_Export!$A1769="","",IFERROR(VALUE(SUBSTITUTE(SUBSTITUTE(UPPER(TRIM(Raw_Export!F1769)),"KES",""),",","")),0))</f>
        <v>380</v>
      </c>
      <c r="H1769" s="38" t="n">
        <f aca="false">IF(Raw_Export!$A1769="","",F1769*G1769)</f>
        <v>1140</v>
      </c>
      <c r="I1769" s="36" t="str">
        <f aca="false">IF(Raw_Export!$A1769="","",IFERROR(VLOOKUP(LOWER(TRIM(Raw_Export!H1769)),Maps!$D$2:$E$12,2,FALSE()),"Other"))</f>
        <v>M-Pesa</v>
      </c>
      <c r="J1769" s="36" t="str">
        <f aca="false">IF(Raw_Export!$A1769="","",IF(COUNTIF($A$2:A1769,A1769)&gt;1,"Duplicate",""))</f>
        <v/>
      </c>
      <c r="K1769" s="36" t="str">
        <f aca="false">IF(Raw_Export!$A1769="","",IF(J1769="Duplicate","Duplicate",IF(OR(C1769="UNMAPPED",D1769="UNMAPPED"),"Unmapped",IF(F1769=0,"Blank qty",IF(F1769&lt;0,"Return","OK")))))</f>
        <v>OK</v>
      </c>
      <c r="L1769" s="36" t="n">
        <f aca="false">IF(Raw_Export!$A1769="","",IF(OR(K1769="OK",K1769="Return"),1,0))</f>
        <v>1</v>
      </c>
      <c r="M1769" s="37" t="n">
        <f aca="false">IF(Raw_Export!$A1769="","",B1769-WEEKDAY(B1769,2)+1)</f>
        <v>46272</v>
      </c>
    </row>
    <row r="1770" customFormat="false" ht="15" hidden="false" customHeight="false" outlineLevel="0" collapsed="false">
      <c r="A1770" s="36" t="str">
        <f aca="false">IF(Raw_Export!$A1770="","",TRIM(Raw_Export!A1770))</f>
        <v>TXN-101733</v>
      </c>
      <c r="B1770" s="37" t="n">
        <f aca="false">IF(Raw_Export!$A1770="","",IF(ISNUMBER(Raw_Export!B1770),Raw_Export!B1770,IF(MID(TRIM(Raw_Export!B1770),5,1)="-",DATE(LEFT(TRIM(Raw_Export!B1770),4),MID(TRIM(Raw_Export!B1770),6,2),RIGHT(TRIM(Raw_Export!B1770),2)),DATE(RIGHT(TRIM(Raw_Export!B1770),4),MATCH(MID(TRIM(Raw_Export!B1770),4,3),{"Jan","Feb","Mar","Apr","May","Jun","Jul","Aug","Sep","Oct","Nov","Dec"},0),LEFT(TRIM(Raw_Export!B1770),2)))))</f>
        <v>46276</v>
      </c>
      <c r="C1770" s="36" t="str">
        <f aca="false">IF(Raw_Export!$A1770="","",IFERROR(VLOOKUP(LOWER(TRIM(Raw_Export!C1770)),Maps!$A$2:$B$20,2,FALSE()),"UNMAPPED"))</f>
        <v>Kisumu</v>
      </c>
      <c r="D1770" s="36" t="str">
        <f aca="false">IF(Raw_Export!$A1770="","",IFERROR(VLOOKUP(LOWER(TRIM(Raw_Export!D1770)),Maps!$G$2:$I$80,2,FALSE()),"UNMAPPED"))</f>
        <v>Unga Pembe 2kg</v>
      </c>
      <c r="E1770" s="36" t="str">
        <f aca="false">IF(Raw_Export!$A1770="","",IFERROR(VLOOKUP(LOWER(TRIM(Raw_Export!D1770)),Maps!$G$2:$I$80,3,FALSE()),"UNMAPPED"))</f>
        <v>Staples</v>
      </c>
      <c r="F1770" s="36" t="n">
        <f aca="false">IF(Raw_Export!$A1770="","",IFERROR(VALUE(TRIM(Raw_Export!E1770)),0))</f>
        <v>2</v>
      </c>
      <c r="G1770" s="38" t="n">
        <f aca="false">IF(Raw_Export!$A1770="","",IFERROR(VALUE(SUBSTITUTE(SUBSTITUTE(UPPER(TRIM(Raw_Export!F1770)),"KES",""),",","")),0))</f>
        <v>190</v>
      </c>
      <c r="H1770" s="38" t="n">
        <f aca="false">IF(Raw_Export!$A1770="","",F1770*G1770)</f>
        <v>380</v>
      </c>
      <c r="I1770" s="36" t="str">
        <f aca="false">IF(Raw_Export!$A1770="","",IFERROR(VLOOKUP(LOWER(TRIM(Raw_Export!H1770)),Maps!$D$2:$E$12,2,FALSE()),"Other"))</f>
        <v>M-Pesa</v>
      </c>
      <c r="J1770" s="36" t="str">
        <f aca="false">IF(Raw_Export!$A1770="","",IF(COUNTIF($A$2:A1770,A1770)&gt;1,"Duplicate",""))</f>
        <v/>
      </c>
      <c r="K1770" s="36" t="str">
        <f aca="false">IF(Raw_Export!$A1770="","",IF(J1770="Duplicate","Duplicate",IF(OR(C1770="UNMAPPED",D1770="UNMAPPED"),"Unmapped",IF(F1770=0,"Blank qty",IF(F1770&lt;0,"Return","OK")))))</f>
        <v>OK</v>
      </c>
      <c r="L1770" s="36" t="n">
        <f aca="false">IF(Raw_Export!$A1770="","",IF(OR(K1770="OK",K1770="Return"),1,0))</f>
        <v>1</v>
      </c>
      <c r="M1770" s="37" t="n">
        <f aca="false">IF(Raw_Export!$A1770="","",B1770-WEEKDAY(B1770,2)+1)</f>
        <v>46272</v>
      </c>
    </row>
    <row r="1771" customFormat="false" ht="15" hidden="false" customHeight="false" outlineLevel="0" collapsed="false">
      <c r="A1771" s="36" t="str">
        <f aca="false">IF(Raw_Export!$A1771="","",TRIM(Raw_Export!A1771))</f>
        <v>TXN-101734</v>
      </c>
      <c r="B1771" s="37" t="n">
        <f aca="false">IF(Raw_Export!$A1771="","",IF(ISNUMBER(Raw_Export!B1771),Raw_Export!B1771,IF(MID(TRIM(Raw_Export!B1771),5,1)="-",DATE(LEFT(TRIM(Raw_Export!B1771),4),MID(TRIM(Raw_Export!B1771),6,2),RIGHT(TRIM(Raw_Export!B1771),2)),DATE(RIGHT(TRIM(Raw_Export!B1771),4),MATCH(MID(TRIM(Raw_Export!B1771),4,3),{"Jan","Feb","Mar","Apr","May","Jun","Jul","Aug","Sep","Oct","Nov","Dec"},0),LEFT(TRIM(Raw_Export!B1771),2)))))</f>
        <v>46276</v>
      </c>
      <c r="C1771" s="36" t="str">
        <f aca="false">IF(Raw_Export!$A1771="","",IFERROR(VLOOKUP(LOWER(TRIM(Raw_Export!C1771)),Maps!$A$2:$B$20,2,FALSE()),"UNMAPPED"))</f>
        <v>Kisumu</v>
      </c>
      <c r="D1771" s="36" t="str">
        <f aca="false">IF(Raw_Export!$A1771="","",IFERROR(VLOOKUP(LOWER(TRIM(Raw_Export!D1771)),Maps!$G$2:$I$80,2,FALSE()),"UNMAPPED"))</f>
        <v>Sugar 2kg</v>
      </c>
      <c r="E1771" s="36" t="str">
        <f aca="false">IF(Raw_Export!$A1771="","",IFERROR(VLOOKUP(LOWER(TRIM(Raw_Export!D1771)),Maps!$G$2:$I$80,3,FALSE()),"UNMAPPED"))</f>
        <v>Staples</v>
      </c>
      <c r="F1771" s="36" t="n">
        <f aca="false">IF(Raw_Export!$A1771="","",IFERROR(VALUE(TRIM(Raw_Export!E1771)),0))</f>
        <v>3</v>
      </c>
      <c r="G1771" s="38" t="n">
        <f aca="false">IF(Raw_Export!$A1771="","",IFERROR(VALUE(SUBSTITUTE(SUBSTITUTE(UPPER(TRIM(Raw_Export!F1771)),"KES",""),",","")),0))</f>
        <v>330</v>
      </c>
      <c r="H1771" s="38" t="n">
        <f aca="false">IF(Raw_Export!$A1771="","",F1771*G1771)</f>
        <v>990</v>
      </c>
      <c r="I1771" s="36" t="str">
        <f aca="false">IF(Raw_Export!$A1771="","",IFERROR(VLOOKUP(LOWER(TRIM(Raw_Export!H1771)),Maps!$D$2:$E$12,2,FALSE()),"Other"))</f>
        <v>M-Pesa</v>
      </c>
      <c r="J1771" s="36" t="str">
        <f aca="false">IF(Raw_Export!$A1771="","",IF(COUNTIF($A$2:A1771,A1771)&gt;1,"Duplicate",""))</f>
        <v/>
      </c>
      <c r="K1771" s="36" t="str">
        <f aca="false">IF(Raw_Export!$A1771="","",IF(J1771="Duplicate","Duplicate",IF(OR(C1771="UNMAPPED",D1771="UNMAPPED"),"Unmapped",IF(F1771=0,"Blank qty",IF(F1771&lt;0,"Return","OK")))))</f>
        <v>OK</v>
      </c>
      <c r="L1771" s="36" t="n">
        <f aca="false">IF(Raw_Export!$A1771="","",IF(OR(K1771="OK",K1771="Return"),1,0))</f>
        <v>1</v>
      </c>
      <c r="M1771" s="37" t="n">
        <f aca="false">IF(Raw_Export!$A1771="","",B1771-WEEKDAY(B1771,2)+1)</f>
        <v>46272</v>
      </c>
    </row>
    <row r="1772" customFormat="false" ht="15" hidden="false" customHeight="false" outlineLevel="0" collapsed="false">
      <c r="A1772" s="36" t="str">
        <f aca="false">IF(Raw_Export!$A1772="","",TRIM(Raw_Export!A1772))</f>
        <v>TXN-101735</v>
      </c>
      <c r="B1772" s="37" t="n">
        <f aca="false">IF(Raw_Export!$A1772="","",IF(ISNUMBER(Raw_Export!B1772),Raw_Export!B1772,IF(MID(TRIM(Raw_Export!B1772),5,1)="-",DATE(LEFT(TRIM(Raw_Export!B1772),4),MID(TRIM(Raw_Export!B1772),6,2),RIGHT(TRIM(Raw_Export!B1772),2)),DATE(RIGHT(TRIM(Raw_Export!B1772),4),MATCH(MID(TRIM(Raw_Export!B1772),4,3),{"Jan","Feb","Mar","Apr","May","Jun","Jul","Aug","Sep","Oct","Nov","Dec"},0),LEFT(TRIM(Raw_Export!B1772),2)))))</f>
        <v>46276</v>
      </c>
      <c r="C1772" s="36" t="str">
        <f aca="false">IF(Raw_Export!$A1772="","",IFERROR(VLOOKUP(LOWER(TRIM(Raw_Export!C1772)),Maps!$A$2:$B$20,2,FALSE()),"UNMAPPED"))</f>
        <v>Kisumu</v>
      </c>
      <c r="D1772" s="36" t="str">
        <f aca="false">IF(Raw_Export!$A1772="","",IFERROR(VLOOKUP(LOWER(TRIM(Raw_Export!D1772)),Maps!$G$2:$I$80,2,FALSE()),"UNMAPPED"))</f>
        <v>Soda 500ml</v>
      </c>
      <c r="E1772" s="36" t="str">
        <f aca="false">IF(Raw_Export!$A1772="","",IFERROR(VLOOKUP(LOWER(TRIM(Raw_Export!D1772)),Maps!$G$2:$I$80,3,FALSE()),"UNMAPPED"))</f>
        <v>Beverages</v>
      </c>
      <c r="F1772" s="36" t="n">
        <f aca="false">IF(Raw_Export!$A1772="","",IFERROR(VALUE(TRIM(Raw_Export!E1772)),0))</f>
        <v>1</v>
      </c>
      <c r="G1772" s="38" t="n">
        <f aca="false">IF(Raw_Export!$A1772="","",IFERROR(VALUE(SUBSTITUTE(SUBSTITUTE(UPPER(TRIM(Raw_Export!F1772)),"KES",""),",","")),0))</f>
        <v>60</v>
      </c>
      <c r="H1772" s="38" t="n">
        <f aca="false">IF(Raw_Export!$A1772="","",F1772*G1772)</f>
        <v>60</v>
      </c>
      <c r="I1772" s="36" t="str">
        <f aca="false">IF(Raw_Export!$A1772="","",IFERROR(VLOOKUP(LOWER(TRIM(Raw_Export!H1772)),Maps!$D$2:$E$12,2,FALSE()),"Other"))</f>
        <v>Cash</v>
      </c>
      <c r="J1772" s="36" t="str">
        <f aca="false">IF(Raw_Export!$A1772="","",IF(COUNTIF($A$2:A1772,A1772)&gt;1,"Duplicate",""))</f>
        <v/>
      </c>
      <c r="K1772" s="36" t="str">
        <f aca="false">IF(Raw_Export!$A1772="","",IF(J1772="Duplicate","Duplicate",IF(OR(C1772="UNMAPPED",D1772="UNMAPPED"),"Unmapped",IF(F1772=0,"Blank qty",IF(F1772&lt;0,"Return","OK")))))</f>
        <v>OK</v>
      </c>
      <c r="L1772" s="36" t="n">
        <f aca="false">IF(Raw_Export!$A1772="","",IF(OR(K1772="OK",K1772="Return"),1,0))</f>
        <v>1</v>
      </c>
      <c r="M1772" s="37" t="n">
        <f aca="false">IF(Raw_Export!$A1772="","",B1772-WEEKDAY(B1772,2)+1)</f>
        <v>46272</v>
      </c>
    </row>
    <row r="1773" customFormat="false" ht="15" hidden="false" customHeight="false" outlineLevel="0" collapsed="false">
      <c r="A1773" s="36" t="str">
        <f aca="false">IF(Raw_Export!$A1773="","",TRIM(Raw_Export!A1773))</f>
        <v>TXN-101736</v>
      </c>
      <c r="B1773" s="37" t="n">
        <f aca="false">IF(Raw_Export!$A1773="","",IF(ISNUMBER(Raw_Export!B1773),Raw_Export!B1773,IF(MID(TRIM(Raw_Export!B1773),5,1)="-",DATE(LEFT(TRIM(Raw_Export!B1773),4),MID(TRIM(Raw_Export!B1773),6,2),RIGHT(TRIM(Raw_Export!B1773),2)),DATE(RIGHT(TRIM(Raw_Export!B1773),4),MATCH(MID(TRIM(Raw_Export!B1773),4,3),{"Jan","Feb","Mar","Apr","May","Jun","Jul","Aug","Sep","Oct","Nov","Dec"},0),LEFT(TRIM(Raw_Export!B1773),2)))))</f>
        <v>46276</v>
      </c>
      <c r="C1773" s="36" t="str">
        <f aca="false">IF(Raw_Export!$A1773="","",IFERROR(VLOOKUP(LOWER(TRIM(Raw_Export!C1773)),Maps!$A$2:$B$20,2,FALSE()),"UNMAPPED"))</f>
        <v>Kisumu</v>
      </c>
      <c r="D1773" s="36" t="str">
        <f aca="false">IF(Raw_Export!$A1773="","",IFERROR(VLOOKUP(LOWER(TRIM(Raw_Export!D1773)),Maps!$G$2:$I$80,2,FALSE()),"UNMAPPED"))</f>
        <v>Cooking Oil 1L</v>
      </c>
      <c r="E1773" s="36" t="str">
        <f aca="false">IF(Raw_Export!$A1773="","",IFERROR(VLOOKUP(LOWER(TRIM(Raw_Export!D1773)),Maps!$G$2:$I$80,3,FALSE()),"UNMAPPED"))</f>
        <v>Staples</v>
      </c>
      <c r="F1773" s="36" t="n">
        <f aca="false">IF(Raw_Export!$A1773="","",IFERROR(VALUE(TRIM(Raw_Export!E1773)),0))</f>
        <v>4</v>
      </c>
      <c r="G1773" s="38" t="n">
        <f aca="false">IF(Raw_Export!$A1773="","",IFERROR(VALUE(SUBSTITUTE(SUBSTITUTE(UPPER(TRIM(Raw_Export!F1773)),"KES",""),",","")),0))</f>
        <v>330</v>
      </c>
      <c r="H1773" s="38" t="n">
        <f aca="false">IF(Raw_Export!$A1773="","",F1773*G1773)</f>
        <v>1320</v>
      </c>
      <c r="I1773" s="36" t="str">
        <f aca="false">IF(Raw_Export!$A1773="","",IFERROR(VLOOKUP(LOWER(TRIM(Raw_Export!H1773)),Maps!$D$2:$E$12,2,FALSE()),"Other"))</f>
        <v>M-Pesa</v>
      </c>
      <c r="J1773" s="36" t="str">
        <f aca="false">IF(Raw_Export!$A1773="","",IF(COUNTIF($A$2:A1773,A1773)&gt;1,"Duplicate",""))</f>
        <v/>
      </c>
      <c r="K1773" s="36" t="str">
        <f aca="false">IF(Raw_Export!$A1773="","",IF(J1773="Duplicate","Duplicate",IF(OR(C1773="UNMAPPED",D1773="UNMAPPED"),"Unmapped",IF(F1773=0,"Blank qty",IF(F1773&lt;0,"Return","OK")))))</f>
        <v>OK</v>
      </c>
      <c r="L1773" s="36" t="n">
        <f aca="false">IF(Raw_Export!$A1773="","",IF(OR(K1773="OK",K1773="Return"),1,0))</f>
        <v>1</v>
      </c>
      <c r="M1773" s="37" t="n">
        <f aca="false">IF(Raw_Export!$A1773="","",B1773-WEEKDAY(B1773,2)+1)</f>
        <v>46272</v>
      </c>
    </row>
    <row r="1774" customFormat="false" ht="15" hidden="false" customHeight="false" outlineLevel="0" collapsed="false">
      <c r="A1774" s="36" t="str">
        <f aca="false">IF(Raw_Export!$A1774="","",TRIM(Raw_Export!A1774))</f>
        <v>TXN-101737</v>
      </c>
      <c r="B1774" s="37" t="n">
        <f aca="false">IF(Raw_Export!$A1774="","",IF(ISNUMBER(Raw_Export!B1774),Raw_Export!B1774,IF(MID(TRIM(Raw_Export!B1774),5,1)="-",DATE(LEFT(TRIM(Raw_Export!B1774),4),MID(TRIM(Raw_Export!B1774),6,2),RIGHT(TRIM(Raw_Export!B1774),2)),DATE(RIGHT(TRIM(Raw_Export!B1774),4),MATCH(MID(TRIM(Raw_Export!B1774),4,3),{"Jan","Feb","Mar","Apr","May","Jun","Jul","Aug","Sep","Oct","Nov","Dec"},0),LEFT(TRIM(Raw_Export!B1774),2)))))</f>
        <v>46276</v>
      </c>
      <c r="C1774" s="36" t="str">
        <f aca="false">IF(Raw_Export!$A1774="","",IFERROR(VLOOKUP(LOWER(TRIM(Raw_Export!C1774)),Maps!$A$2:$B$20,2,FALSE()),"UNMAPPED"))</f>
        <v>Kisumu</v>
      </c>
      <c r="D1774" s="36" t="str">
        <f aca="false">IF(Raw_Export!$A1774="","",IFERROR(VLOOKUP(LOWER(TRIM(Raw_Export!D1774)),Maps!$G$2:$I$80,2,FALSE()),"UNMAPPED"))</f>
        <v>Soda 500ml</v>
      </c>
      <c r="E1774" s="36" t="str">
        <f aca="false">IF(Raw_Export!$A1774="","",IFERROR(VLOOKUP(LOWER(TRIM(Raw_Export!D1774)),Maps!$G$2:$I$80,3,FALSE()),"UNMAPPED"))</f>
        <v>Beverages</v>
      </c>
      <c r="F1774" s="36" t="n">
        <f aca="false">IF(Raw_Export!$A1774="","",IFERROR(VALUE(TRIM(Raw_Export!E1774)),0))</f>
        <v>3</v>
      </c>
      <c r="G1774" s="38" t="n">
        <f aca="false">IF(Raw_Export!$A1774="","",IFERROR(VALUE(SUBSTITUTE(SUBSTITUTE(UPPER(TRIM(Raw_Export!F1774)),"KES",""),",","")),0))</f>
        <v>60</v>
      </c>
      <c r="H1774" s="38" t="n">
        <f aca="false">IF(Raw_Export!$A1774="","",F1774*G1774)</f>
        <v>180</v>
      </c>
      <c r="I1774" s="36" t="str">
        <f aca="false">IF(Raw_Export!$A1774="","",IFERROR(VLOOKUP(LOWER(TRIM(Raw_Export!H1774)),Maps!$D$2:$E$12,2,FALSE()),"Other"))</f>
        <v>Card</v>
      </c>
      <c r="J1774" s="36" t="str">
        <f aca="false">IF(Raw_Export!$A1774="","",IF(COUNTIF($A$2:A1774,A1774)&gt;1,"Duplicate",""))</f>
        <v/>
      </c>
      <c r="K1774" s="36" t="str">
        <f aca="false">IF(Raw_Export!$A1774="","",IF(J1774="Duplicate","Duplicate",IF(OR(C1774="UNMAPPED",D1774="UNMAPPED"),"Unmapped",IF(F1774=0,"Blank qty",IF(F1774&lt;0,"Return","OK")))))</f>
        <v>OK</v>
      </c>
      <c r="L1774" s="36" t="n">
        <f aca="false">IF(Raw_Export!$A1774="","",IF(OR(K1774="OK",K1774="Return"),1,0))</f>
        <v>1</v>
      </c>
      <c r="M1774" s="37" t="n">
        <f aca="false">IF(Raw_Export!$A1774="","",B1774-WEEKDAY(B1774,2)+1)</f>
        <v>46272</v>
      </c>
    </row>
    <row r="1775" customFormat="false" ht="15" hidden="false" customHeight="false" outlineLevel="0" collapsed="false">
      <c r="A1775" s="36" t="str">
        <f aca="false">IF(Raw_Export!$A1775="","",TRIM(Raw_Export!A1775))</f>
        <v>TXN-101738</v>
      </c>
      <c r="B1775" s="37" t="n">
        <f aca="false">IF(Raw_Export!$A1775="","",IF(ISNUMBER(Raw_Export!B1775),Raw_Export!B1775,IF(MID(TRIM(Raw_Export!B1775),5,1)="-",DATE(LEFT(TRIM(Raw_Export!B1775),4),MID(TRIM(Raw_Export!B1775),6,2),RIGHT(TRIM(Raw_Export!B1775),2)),DATE(RIGHT(TRIM(Raw_Export!B1775),4),MATCH(MID(TRIM(Raw_Export!B1775),4,3),{"Jan","Feb","Mar","Apr","May","Jun","Jul","Aug","Sep","Oct","Nov","Dec"},0),LEFT(TRIM(Raw_Export!B1775),2)))))</f>
        <v>46276</v>
      </c>
      <c r="C1775" s="36" t="str">
        <f aca="false">IF(Raw_Export!$A1775="","",IFERROR(VLOOKUP(LOWER(TRIM(Raw_Export!C1775)),Maps!$A$2:$B$20,2,FALSE()),"UNMAPPED"))</f>
        <v>Kisumu</v>
      </c>
      <c r="D1775" s="36" t="str">
        <f aca="false">IF(Raw_Export!$A1775="","",IFERROR(VLOOKUP(LOWER(TRIM(Raw_Export!D1775)),Maps!$G$2:$I$80,2,FALSE()),"UNMAPPED"))</f>
        <v>Peanuts 250g</v>
      </c>
      <c r="E1775" s="36" t="str">
        <f aca="false">IF(Raw_Export!$A1775="","",IFERROR(VLOOKUP(LOWER(TRIM(Raw_Export!D1775)),Maps!$G$2:$I$80,3,FALSE()),"UNMAPPED"))</f>
        <v>Snacks</v>
      </c>
      <c r="F1775" s="36" t="n">
        <f aca="false">IF(Raw_Export!$A1775="","",IFERROR(VALUE(TRIM(Raw_Export!E1775)),0))</f>
        <v>6</v>
      </c>
      <c r="G1775" s="38" t="n">
        <f aca="false">IF(Raw_Export!$A1775="","",IFERROR(VALUE(SUBSTITUTE(SUBSTITUTE(UPPER(TRIM(Raw_Export!F1775)),"KES",""),",","")),0))</f>
        <v>117</v>
      </c>
      <c r="H1775" s="38" t="n">
        <f aca="false">IF(Raw_Export!$A1775="","",F1775*G1775)</f>
        <v>702</v>
      </c>
      <c r="I1775" s="36" t="str">
        <f aca="false">IF(Raw_Export!$A1775="","",IFERROR(VLOOKUP(LOWER(TRIM(Raw_Export!H1775)),Maps!$D$2:$E$12,2,FALSE()),"Other"))</f>
        <v>Cash</v>
      </c>
      <c r="J1775" s="36" t="str">
        <f aca="false">IF(Raw_Export!$A1775="","",IF(COUNTIF($A$2:A1775,A1775)&gt;1,"Duplicate",""))</f>
        <v/>
      </c>
      <c r="K1775" s="36" t="str">
        <f aca="false">IF(Raw_Export!$A1775="","",IF(J1775="Duplicate","Duplicate",IF(OR(C1775="UNMAPPED",D1775="UNMAPPED"),"Unmapped",IF(F1775=0,"Blank qty",IF(F1775&lt;0,"Return","OK")))))</f>
        <v>OK</v>
      </c>
      <c r="L1775" s="36" t="n">
        <f aca="false">IF(Raw_Export!$A1775="","",IF(OR(K1775="OK",K1775="Return"),1,0))</f>
        <v>1</v>
      </c>
      <c r="M1775" s="37" t="n">
        <f aca="false">IF(Raw_Export!$A1775="","",B1775-WEEKDAY(B1775,2)+1)</f>
        <v>46272</v>
      </c>
    </row>
    <row r="1776" customFormat="false" ht="15" hidden="false" customHeight="false" outlineLevel="0" collapsed="false">
      <c r="A1776" s="36" t="str">
        <f aca="false">IF(Raw_Export!$A1776="","",TRIM(Raw_Export!A1776))</f>
        <v>TXN-101739</v>
      </c>
      <c r="B1776" s="37" t="n">
        <f aca="false">IF(Raw_Export!$A1776="","",IF(ISNUMBER(Raw_Export!B1776),Raw_Export!B1776,IF(MID(TRIM(Raw_Export!B1776),5,1)="-",DATE(LEFT(TRIM(Raw_Export!B1776),4),MID(TRIM(Raw_Export!B1776),6,2),RIGHT(TRIM(Raw_Export!B1776),2)),DATE(RIGHT(TRIM(Raw_Export!B1776),4),MATCH(MID(TRIM(Raw_Export!B1776),4,3),{"Jan","Feb","Mar","Apr","May","Jun","Jul","Aug","Sep","Oct","Nov","Dec"},0),LEFT(TRIM(Raw_Export!B1776),2)))))</f>
        <v>46276</v>
      </c>
      <c r="C1776" s="36" t="str">
        <f aca="false">IF(Raw_Export!$A1776="","",IFERROR(VLOOKUP(LOWER(TRIM(Raw_Export!C1776)),Maps!$A$2:$B$20,2,FALSE()),"UNMAPPED"))</f>
        <v>Kisumu</v>
      </c>
      <c r="D1776" s="36" t="str">
        <f aca="false">IF(Raw_Export!$A1776="","",IFERROR(VLOOKUP(LOWER(TRIM(Raw_Export!D1776)),Maps!$G$2:$I$80,2,FALSE()),"UNMAPPED"))</f>
        <v>Tea Leaves 250g</v>
      </c>
      <c r="E1776" s="36" t="str">
        <f aca="false">IF(Raw_Export!$A1776="","",IFERROR(VLOOKUP(LOWER(TRIM(Raw_Export!D1776)),Maps!$G$2:$I$80,3,FALSE()),"UNMAPPED"))</f>
        <v>Beverages</v>
      </c>
      <c r="F1776" s="36" t="n">
        <f aca="false">IF(Raw_Export!$A1776="","",IFERROR(VALUE(TRIM(Raw_Export!E1776)),0))</f>
        <v>2</v>
      </c>
      <c r="G1776" s="38" t="n">
        <f aca="false">IF(Raw_Export!$A1776="","",IFERROR(VALUE(SUBSTITUTE(SUBSTITUTE(UPPER(TRIM(Raw_Export!F1776)),"KES",""),",","")),0))</f>
        <v>150</v>
      </c>
      <c r="H1776" s="38" t="n">
        <f aca="false">IF(Raw_Export!$A1776="","",F1776*G1776)</f>
        <v>300</v>
      </c>
      <c r="I1776" s="36" t="str">
        <f aca="false">IF(Raw_Export!$A1776="","",IFERROR(VLOOKUP(LOWER(TRIM(Raw_Export!H1776)),Maps!$D$2:$E$12,2,FALSE()),"Other"))</f>
        <v>Cash</v>
      </c>
      <c r="J1776" s="36" t="str">
        <f aca="false">IF(Raw_Export!$A1776="","",IF(COUNTIF($A$2:A1776,A1776)&gt;1,"Duplicate",""))</f>
        <v/>
      </c>
      <c r="K1776" s="36" t="str">
        <f aca="false">IF(Raw_Export!$A1776="","",IF(J1776="Duplicate","Duplicate",IF(OR(C1776="UNMAPPED",D1776="UNMAPPED"),"Unmapped",IF(F1776=0,"Blank qty",IF(F1776&lt;0,"Return","OK")))))</f>
        <v>OK</v>
      </c>
      <c r="L1776" s="36" t="n">
        <f aca="false">IF(Raw_Export!$A1776="","",IF(OR(K1776="OK",K1776="Return"),1,0))</f>
        <v>1</v>
      </c>
      <c r="M1776" s="37" t="n">
        <f aca="false">IF(Raw_Export!$A1776="","",B1776-WEEKDAY(B1776,2)+1)</f>
        <v>46272</v>
      </c>
    </row>
    <row r="1777" customFormat="false" ht="15" hidden="false" customHeight="false" outlineLevel="0" collapsed="false">
      <c r="A1777" s="36" t="str">
        <f aca="false">IF(Raw_Export!$A1777="","",TRIM(Raw_Export!A1777))</f>
        <v>TXN-101740</v>
      </c>
      <c r="B1777" s="37" t="n">
        <f aca="false">IF(Raw_Export!$A1777="","",IF(ISNUMBER(Raw_Export!B1777),Raw_Export!B1777,IF(MID(TRIM(Raw_Export!B1777),5,1)="-",DATE(LEFT(TRIM(Raw_Export!B1777),4),MID(TRIM(Raw_Export!B1777),6,2),RIGHT(TRIM(Raw_Export!B1777),2)),DATE(RIGHT(TRIM(Raw_Export!B1777),4),MATCH(MID(TRIM(Raw_Export!B1777),4,3),{"Jan","Feb","Mar","Apr","May","Jun","Jul","Aug","Sep","Oct","Nov","Dec"},0),LEFT(TRIM(Raw_Export!B1777),2)))))</f>
        <v>46276</v>
      </c>
      <c r="C1777" s="36" t="str">
        <f aca="false">IF(Raw_Export!$A1777="","",IFERROR(VLOOKUP(LOWER(TRIM(Raw_Export!C1777)),Maps!$A$2:$B$20,2,FALSE()),"UNMAPPED"))</f>
        <v>Kisumu</v>
      </c>
      <c r="D1777" s="36" t="str">
        <f aca="false">IF(Raw_Export!$A1777="","",IFERROR(VLOOKUP(LOWER(TRIM(Raw_Export!D1777)),Maps!$G$2:$I$80,2,FALSE()),"UNMAPPED"))</f>
        <v>Eggs Tray 30</v>
      </c>
      <c r="E1777" s="36" t="str">
        <f aca="false">IF(Raw_Export!$A1777="","",IFERROR(VLOOKUP(LOWER(TRIM(Raw_Export!D1777)),Maps!$G$2:$I$80,3,FALSE()),"UNMAPPED"))</f>
        <v>Dairy &amp; Eggs</v>
      </c>
      <c r="F1777" s="36" t="n">
        <f aca="false">IF(Raw_Export!$A1777="","",IFERROR(VALUE(TRIM(Raw_Export!E1777)),0))</f>
        <v>1</v>
      </c>
      <c r="G1777" s="38" t="n">
        <f aca="false">IF(Raw_Export!$A1777="","",IFERROR(VALUE(SUBSTITUTE(SUBSTITUTE(UPPER(TRIM(Raw_Export!F1777)),"KES",""),",","")),0))</f>
        <v>450</v>
      </c>
      <c r="H1777" s="38" t="n">
        <f aca="false">IF(Raw_Export!$A1777="","",F1777*G1777)</f>
        <v>450</v>
      </c>
      <c r="I1777" s="36" t="str">
        <f aca="false">IF(Raw_Export!$A1777="","",IFERROR(VLOOKUP(LOWER(TRIM(Raw_Export!H1777)),Maps!$D$2:$E$12,2,FALSE()),"Other"))</f>
        <v>Card</v>
      </c>
      <c r="J1777" s="36" t="str">
        <f aca="false">IF(Raw_Export!$A1777="","",IF(COUNTIF($A$2:A1777,A1777)&gt;1,"Duplicate",""))</f>
        <v/>
      </c>
      <c r="K1777" s="36" t="str">
        <f aca="false">IF(Raw_Export!$A1777="","",IF(J1777="Duplicate","Duplicate",IF(OR(C1777="UNMAPPED",D1777="UNMAPPED"),"Unmapped",IF(F1777=0,"Blank qty",IF(F1777&lt;0,"Return","OK")))))</f>
        <v>OK</v>
      </c>
      <c r="L1777" s="36" t="n">
        <f aca="false">IF(Raw_Export!$A1777="","",IF(OR(K1777="OK",K1777="Return"),1,0))</f>
        <v>1</v>
      </c>
      <c r="M1777" s="37" t="n">
        <f aca="false">IF(Raw_Export!$A1777="","",B1777-WEEKDAY(B1777,2)+1)</f>
        <v>46272</v>
      </c>
    </row>
    <row r="1778" customFormat="false" ht="15" hidden="false" customHeight="false" outlineLevel="0" collapsed="false">
      <c r="A1778" s="36" t="str">
        <f aca="false">IF(Raw_Export!$A1778="","",TRIM(Raw_Export!A1778))</f>
        <v>TXN-101741</v>
      </c>
      <c r="B1778" s="37" t="n">
        <f aca="false">IF(Raw_Export!$A1778="","",IF(ISNUMBER(Raw_Export!B1778),Raw_Export!B1778,IF(MID(TRIM(Raw_Export!B1778),5,1)="-",DATE(LEFT(TRIM(Raw_Export!B1778),4),MID(TRIM(Raw_Export!B1778),6,2),RIGHT(TRIM(Raw_Export!B1778),2)),DATE(RIGHT(TRIM(Raw_Export!B1778),4),MATCH(MID(TRIM(Raw_Export!B1778),4,3),{"Jan","Feb","Mar","Apr","May","Jun","Jul","Aug","Sep","Oct","Nov","Dec"},0),LEFT(TRIM(Raw_Export!B1778),2)))))</f>
        <v>46276</v>
      </c>
      <c r="C1778" s="36" t="str">
        <f aca="false">IF(Raw_Export!$A1778="","",IFERROR(VLOOKUP(LOWER(TRIM(Raw_Export!C1778)),Maps!$A$2:$B$20,2,FALSE()),"UNMAPPED"))</f>
        <v>Kisumu</v>
      </c>
      <c r="D1778" s="36" t="str">
        <f aca="false">IF(Raw_Export!$A1778="","",IFERROR(VLOOKUP(LOWER(TRIM(Raw_Export!D1778)),Maps!$G$2:$I$80,2,FALSE()),"UNMAPPED"))</f>
        <v>Fresh Milk 500ml</v>
      </c>
      <c r="E1778" s="36" t="str">
        <f aca="false">IF(Raw_Export!$A1778="","",IFERROR(VLOOKUP(LOWER(TRIM(Raw_Export!D1778)),Maps!$G$2:$I$80,3,FALSE()),"UNMAPPED"))</f>
        <v>Dairy &amp; Eggs</v>
      </c>
      <c r="F1778" s="36" t="n">
        <f aca="false">IF(Raw_Export!$A1778="","",IFERROR(VALUE(TRIM(Raw_Export!E1778)),0))</f>
        <v>3</v>
      </c>
      <c r="G1778" s="38" t="n">
        <f aca="false">IF(Raw_Export!$A1778="","",IFERROR(VALUE(SUBSTITUTE(SUBSTITUTE(UPPER(TRIM(Raw_Export!F1778)),"KES",""),",","")),0))</f>
        <v>65</v>
      </c>
      <c r="H1778" s="38" t="n">
        <f aca="false">IF(Raw_Export!$A1778="","",F1778*G1778)</f>
        <v>195</v>
      </c>
      <c r="I1778" s="36" t="str">
        <f aca="false">IF(Raw_Export!$A1778="","",IFERROR(VLOOKUP(LOWER(TRIM(Raw_Export!H1778)),Maps!$D$2:$E$12,2,FALSE()),"Other"))</f>
        <v>M-Pesa</v>
      </c>
      <c r="J1778" s="36" t="str">
        <f aca="false">IF(Raw_Export!$A1778="","",IF(COUNTIF($A$2:A1778,A1778)&gt;1,"Duplicate",""))</f>
        <v/>
      </c>
      <c r="K1778" s="36" t="str">
        <f aca="false">IF(Raw_Export!$A1778="","",IF(J1778="Duplicate","Duplicate",IF(OR(C1778="UNMAPPED",D1778="UNMAPPED"),"Unmapped",IF(F1778=0,"Blank qty",IF(F1778&lt;0,"Return","OK")))))</f>
        <v>OK</v>
      </c>
      <c r="L1778" s="36" t="n">
        <f aca="false">IF(Raw_Export!$A1778="","",IF(OR(K1778="OK",K1778="Return"),1,0))</f>
        <v>1</v>
      </c>
      <c r="M1778" s="37" t="n">
        <f aca="false">IF(Raw_Export!$A1778="","",B1778-WEEKDAY(B1778,2)+1)</f>
        <v>46272</v>
      </c>
    </row>
    <row r="1779" customFormat="false" ht="15" hidden="false" customHeight="false" outlineLevel="0" collapsed="false">
      <c r="A1779" s="36" t="str">
        <f aca="false">IF(Raw_Export!$A1779="","",TRIM(Raw_Export!A1779))</f>
        <v>TXN-101742</v>
      </c>
      <c r="B1779" s="37" t="n">
        <f aca="false">IF(Raw_Export!$A1779="","",IF(ISNUMBER(Raw_Export!B1779),Raw_Export!B1779,IF(MID(TRIM(Raw_Export!B1779),5,1)="-",DATE(LEFT(TRIM(Raw_Export!B1779),4),MID(TRIM(Raw_Export!B1779),6,2),RIGHT(TRIM(Raw_Export!B1779),2)),DATE(RIGHT(TRIM(Raw_Export!B1779),4),MATCH(MID(TRIM(Raw_Export!B1779),4,3),{"Jan","Feb","Mar","Apr","May","Jun","Jul","Aug","Sep","Oct","Nov","Dec"},0),LEFT(TRIM(Raw_Export!B1779),2)))))</f>
        <v>46276</v>
      </c>
      <c r="C1779" s="36" t="str">
        <f aca="false">IF(Raw_Export!$A1779="","",IFERROR(VLOOKUP(LOWER(TRIM(Raw_Export!C1779)),Maps!$A$2:$B$20,2,FALSE()),"UNMAPPED"))</f>
        <v>Nakuru</v>
      </c>
      <c r="D1779" s="36" t="str">
        <f aca="false">IF(Raw_Export!$A1779="","",IFERROR(VLOOKUP(LOWER(TRIM(Raw_Export!D1779)),Maps!$G$2:$I$80,2,FALSE()),"UNMAPPED"))</f>
        <v>Bread Loaf 400g</v>
      </c>
      <c r="E1779" s="36" t="str">
        <f aca="false">IF(Raw_Export!$A1779="","",IFERROR(VLOOKUP(LOWER(TRIM(Raw_Export!D1779)),Maps!$G$2:$I$80,3,FALSE()),"UNMAPPED"))</f>
        <v>Snacks</v>
      </c>
      <c r="F1779" s="36" t="n">
        <f aca="false">IF(Raw_Export!$A1779="","",IFERROR(VALUE(TRIM(Raw_Export!E1779)),0))</f>
        <v>1</v>
      </c>
      <c r="G1779" s="38" t="n">
        <f aca="false">IF(Raw_Export!$A1779="","",IFERROR(VALUE(SUBSTITUTE(SUBSTITUTE(UPPER(TRIM(Raw_Export!F1779)),"KES",""),",","")),0))</f>
        <v>65</v>
      </c>
      <c r="H1779" s="38" t="n">
        <f aca="false">IF(Raw_Export!$A1779="","",F1779*G1779)</f>
        <v>65</v>
      </c>
      <c r="I1779" s="36" t="str">
        <f aca="false">IF(Raw_Export!$A1779="","",IFERROR(VLOOKUP(LOWER(TRIM(Raw_Export!H1779)),Maps!$D$2:$E$12,2,FALSE()),"Other"))</f>
        <v>Cash</v>
      </c>
      <c r="J1779" s="36" t="str">
        <f aca="false">IF(Raw_Export!$A1779="","",IF(COUNTIF($A$2:A1779,A1779)&gt;1,"Duplicate",""))</f>
        <v/>
      </c>
      <c r="K1779" s="36" t="str">
        <f aca="false">IF(Raw_Export!$A1779="","",IF(J1779="Duplicate","Duplicate",IF(OR(C1779="UNMAPPED",D1779="UNMAPPED"),"Unmapped",IF(F1779=0,"Blank qty",IF(F1779&lt;0,"Return","OK")))))</f>
        <v>OK</v>
      </c>
      <c r="L1779" s="36" t="n">
        <f aca="false">IF(Raw_Export!$A1779="","",IF(OR(K1779="OK",K1779="Return"),1,0))</f>
        <v>1</v>
      </c>
      <c r="M1779" s="37" t="n">
        <f aca="false">IF(Raw_Export!$A1779="","",B1779-WEEKDAY(B1779,2)+1)</f>
        <v>46272</v>
      </c>
    </row>
    <row r="1780" customFormat="false" ht="15" hidden="false" customHeight="false" outlineLevel="0" collapsed="false">
      <c r="A1780" s="36" t="str">
        <f aca="false">IF(Raw_Export!$A1780="","",TRIM(Raw_Export!A1780))</f>
        <v>TXN-101743</v>
      </c>
      <c r="B1780" s="37" t="n">
        <f aca="false">IF(Raw_Export!$A1780="","",IF(ISNUMBER(Raw_Export!B1780),Raw_Export!B1780,IF(MID(TRIM(Raw_Export!B1780),5,1)="-",DATE(LEFT(TRIM(Raw_Export!B1780),4),MID(TRIM(Raw_Export!B1780),6,2),RIGHT(TRIM(Raw_Export!B1780),2)),DATE(RIGHT(TRIM(Raw_Export!B1780),4),MATCH(MID(TRIM(Raw_Export!B1780),4,3),{"Jan","Feb","Mar","Apr","May","Jun","Jul","Aug","Sep","Oct","Nov","Dec"},0),LEFT(TRIM(Raw_Export!B1780),2)))))</f>
        <v>46276</v>
      </c>
      <c r="C1780" s="36" t="str">
        <f aca="false">IF(Raw_Export!$A1780="","",IFERROR(VLOOKUP(LOWER(TRIM(Raw_Export!C1780)),Maps!$A$2:$B$20,2,FALSE()),"UNMAPPED"))</f>
        <v>Nakuru</v>
      </c>
      <c r="D1780" s="36" t="str">
        <f aca="false">IF(Raw_Export!$A1780="","",IFERROR(VLOOKUP(LOWER(TRIM(Raw_Export!D1780)),Maps!$G$2:$I$80,2,FALSE()),"UNMAPPED"))</f>
        <v>Toilet Paper 10pk</v>
      </c>
      <c r="E1780" s="36" t="str">
        <f aca="false">IF(Raw_Export!$A1780="","",IFERROR(VLOOKUP(LOWER(TRIM(Raw_Export!D1780)),Maps!$G$2:$I$80,3,FALSE()),"UNMAPPED"))</f>
        <v>Household</v>
      </c>
      <c r="F1780" s="36" t="n">
        <f aca="false">IF(Raw_Export!$A1780="","",IFERROR(VALUE(TRIM(Raw_Export!E1780)),0))</f>
        <v>2</v>
      </c>
      <c r="G1780" s="38" t="n">
        <f aca="false">IF(Raw_Export!$A1780="","",IFERROR(VALUE(SUBSTITUTE(SUBSTITUTE(UPPER(TRIM(Raw_Export!F1780)),"KES",""),",","")),0))</f>
        <v>380</v>
      </c>
      <c r="H1780" s="38" t="n">
        <f aca="false">IF(Raw_Export!$A1780="","",F1780*G1780)</f>
        <v>760</v>
      </c>
      <c r="I1780" s="36" t="str">
        <f aca="false">IF(Raw_Export!$A1780="","",IFERROR(VLOOKUP(LOWER(TRIM(Raw_Export!H1780)),Maps!$D$2:$E$12,2,FALSE()),"Other"))</f>
        <v>Cash</v>
      </c>
      <c r="J1780" s="36" t="str">
        <f aca="false">IF(Raw_Export!$A1780="","",IF(COUNTIF($A$2:A1780,A1780)&gt;1,"Duplicate",""))</f>
        <v/>
      </c>
      <c r="K1780" s="36" t="str">
        <f aca="false">IF(Raw_Export!$A1780="","",IF(J1780="Duplicate","Duplicate",IF(OR(C1780="UNMAPPED",D1780="UNMAPPED"),"Unmapped",IF(F1780=0,"Blank qty",IF(F1780&lt;0,"Return","OK")))))</f>
        <v>OK</v>
      </c>
      <c r="L1780" s="36" t="n">
        <f aca="false">IF(Raw_Export!$A1780="","",IF(OR(K1780="OK",K1780="Return"),1,0))</f>
        <v>1</v>
      </c>
      <c r="M1780" s="37" t="n">
        <f aca="false">IF(Raw_Export!$A1780="","",B1780-WEEKDAY(B1780,2)+1)</f>
        <v>46272</v>
      </c>
    </row>
    <row r="1781" customFormat="false" ht="15" hidden="false" customHeight="false" outlineLevel="0" collapsed="false">
      <c r="A1781" s="36" t="str">
        <f aca="false">IF(Raw_Export!$A1781="","",TRIM(Raw_Export!A1781))</f>
        <v>TXN-100339</v>
      </c>
      <c r="B1781" s="37" t="n">
        <f aca="false">IF(Raw_Export!$A1781="","",IF(ISNUMBER(Raw_Export!B1781),Raw_Export!B1781,IF(MID(TRIM(Raw_Export!B1781),5,1)="-",DATE(LEFT(TRIM(Raw_Export!B1781),4),MID(TRIM(Raw_Export!B1781),6,2),RIGHT(TRIM(Raw_Export!B1781),2)),DATE(RIGHT(TRIM(Raw_Export!B1781),4),MATCH(MID(TRIM(Raw_Export!B1781),4,3),{"Jan","Feb","Mar","Apr","May","Jun","Jul","Aug","Sep","Oct","Nov","Dec"},0),LEFT(TRIM(Raw_Export!B1781),2)))))</f>
        <v>46267</v>
      </c>
      <c r="C1781" s="36" t="str">
        <f aca="false">IF(Raw_Export!$A1781="","",IFERROR(VLOOKUP(LOWER(TRIM(Raw_Export!C1781)),Maps!$A$2:$B$20,2,FALSE()),"UNMAPPED"))</f>
        <v>Kisumu</v>
      </c>
      <c r="D1781" s="36" t="str">
        <f aca="false">IF(Raw_Export!$A1781="","",IFERROR(VLOOKUP(LOWER(TRIM(Raw_Export!D1781)),Maps!$G$2:$I$80,2,FALSE()),"UNMAPPED"))</f>
        <v>Peanuts 250g</v>
      </c>
      <c r="E1781" s="36" t="str">
        <f aca="false">IF(Raw_Export!$A1781="","",IFERROR(VLOOKUP(LOWER(TRIM(Raw_Export!D1781)),Maps!$G$2:$I$80,3,FALSE()),"UNMAPPED"))</f>
        <v>Snacks</v>
      </c>
      <c r="F1781" s="36" t="n">
        <f aca="false">IF(Raw_Export!$A1781="","",IFERROR(VALUE(TRIM(Raw_Export!E1781)),0))</f>
        <v>6</v>
      </c>
      <c r="G1781" s="38" t="n">
        <f aca="false">IF(Raw_Export!$A1781="","",IFERROR(VALUE(SUBSTITUTE(SUBSTITUTE(UPPER(TRIM(Raw_Export!F1781)),"KES",""),",","")),0))</f>
        <v>130</v>
      </c>
      <c r="H1781" s="38" t="n">
        <f aca="false">IF(Raw_Export!$A1781="","",F1781*G1781)</f>
        <v>780</v>
      </c>
      <c r="I1781" s="36" t="str">
        <f aca="false">IF(Raw_Export!$A1781="","",IFERROR(VLOOKUP(LOWER(TRIM(Raw_Export!H1781)),Maps!$D$2:$E$12,2,FALSE()),"Other"))</f>
        <v>M-Pesa</v>
      </c>
      <c r="J1781" s="36" t="str">
        <f aca="false">IF(Raw_Export!$A1781="","",IF(COUNTIF($A$2:A1781,A1781)&gt;1,"Duplicate",""))</f>
        <v>Duplicate</v>
      </c>
      <c r="K1781" s="36" t="str">
        <f aca="false">IF(Raw_Export!$A1781="","",IF(J1781="Duplicate","Duplicate",IF(OR(C1781="UNMAPPED",D1781="UNMAPPED"),"Unmapped",IF(F1781=0,"Blank qty",IF(F1781&lt;0,"Return","OK")))))</f>
        <v>Duplicate</v>
      </c>
      <c r="L1781" s="36" t="n">
        <f aca="false">IF(Raw_Export!$A1781="","",IF(OR(K1781="OK",K1781="Return"),1,0))</f>
        <v>0</v>
      </c>
      <c r="M1781" s="37" t="n">
        <f aca="false">IF(Raw_Export!$A1781="","",B1781-WEEKDAY(B1781,2)+1)</f>
        <v>46265</v>
      </c>
    </row>
    <row r="1782" customFormat="false" ht="15" hidden="false" customHeight="false" outlineLevel="0" collapsed="false">
      <c r="A1782" s="36" t="str">
        <f aca="false">IF(Raw_Export!$A1782="","",TRIM(Raw_Export!A1782))</f>
        <v>TXN-101744</v>
      </c>
      <c r="B1782" s="37" t="n">
        <f aca="false">IF(Raw_Export!$A1782="","",IF(ISNUMBER(Raw_Export!B1782),Raw_Export!B1782,IF(MID(TRIM(Raw_Export!B1782),5,1)="-",DATE(LEFT(TRIM(Raw_Export!B1782),4),MID(TRIM(Raw_Export!B1782),6,2),RIGHT(TRIM(Raw_Export!B1782),2)),DATE(RIGHT(TRIM(Raw_Export!B1782),4),MATCH(MID(TRIM(Raw_Export!B1782),4,3),{"Jan","Feb","Mar","Apr","May","Jun","Jul","Aug","Sep","Oct","Nov","Dec"},0),LEFT(TRIM(Raw_Export!B1782),2)))))</f>
        <v>46276</v>
      </c>
      <c r="C1782" s="36" t="str">
        <f aca="false">IF(Raw_Export!$A1782="","",IFERROR(VLOOKUP(LOWER(TRIM(Raw_Export!C1782)),Maps!$A$2:$B$20,2,FALSE()),"UNMAPPED"))</f>
        <v>Nakuru</v>
      </c>
      <c r="D1782" s="36" t="str">
        <f aca="false">IF(Raw_Export!$A1782="","",IFERROR(VLOOKUP(LOWER(TRIM(Raw_Export!D1782)),Maps!$G$2:$I$80,2,FALSE()),"UNMAPPED"))</f>
        <v>Matches 10pk</v>
      </c>
      <c r="E1782" s="36" t="str">
        <f aca="false">IF(Raw_Export!$A1782="","",IFERROR(VLOOKUP(LOWER(TRIM(Raw_Export!D1782)),Maps!$G$2:$I$80,3,FALSE()),"UNMAPPED"))</f>
        <v>Household</v>
      </c>
      <c r="F1782" s="36" t="n">
        <f aca="false">IF(Raw_Export!$A1782="","",IFERROR(VALUE(TRIM(Raw_Export!E1782)),0))</f>
        <v>2</v>
      </c>
      <c r="G1782" s="38" t="n">
        <f aca="false">IF(Raw_Export!$A1782="","",IFERROR(VALUE(SUBSTITUTE(SUBSTITUTE(UPPER(TRIM(Raw_Export!F1782)),"KES",""),",","")),0))</f>
        <v>50</v>
      </c>
      <c r="H1782" s="38" t="n">
        <f aca="false">IF(Raw_Export!$A1782="","",F1782*G1782)</f>
        <v>100</v>
      </c>
      <c r="I1782" s="36" t="str">
        <f aca="false">IF(Raw_Export!$A1782="","",IFERROR(VLOOKUP(LOWER(TRIM(Raw_Export!H1782)),Maps!$D$2:$E$12,2,FALSE()),"Other"))</f>
        <v>Cash</v>
      </c>
      <c r="J1782" s="36" t="str">
        <f aca="false">IF(Raw_Export!$A1782="","",IF(COUNTIF($A$2:A1782,A1782)&gt;1,"Duplicate",""))</f>
        <v/>
      </c>
      <c r="K1782" s="36" t="str">
        <f aca="false">IF(Raw_Export!$A1782="","",IF(J1782="Duplicate","Duplicate",IF(OR(C1782="UNMAPPED",D1782="UNMAPPED"),"Unmapped",IF(F1782=0,"Blank qty",IF(F1782&lt;0,"Return","OK")))))</f>
        <v>OK</v>
      </c>
      <c r="L1782" s="36" t="n">
        <f aca="false">IF(Raw_Export!$A1782="","",IF(OR(K1782="OK",K1782="Return"),1,0))</f>
        <v>1</v>
      </c>
      <c r="M1782" s="37" t="n">
        <f aca="false">IF(Raw_Export!$A1782="","",B1782-WEEKDAY(B1782,2)+1)</f>
        <v>46272</v>
      </c>
    </row>
    <row r="1783" customFormat="false" ht="15" hidden="false" customHeight="false" outlineLevel="0" collapsed="false">
      <c r="A1783" s="36" t="str">
        <f aca="false">IF(Raw_Export!$A1783="","",TRIM(Raw_Export!A1783))</f>
        <v>TXN-101745</v>
      </c>
      <c r="B1783" s="37" t="n">
        <f aca="false">IF(Raw_Export!$A1783="","",IF(ISNUMBER(Raw_Export!B1783),Raw_Export!B1783,IF(MID(TRIM(Raw_Export!B1783),5,1)="-",DATE(LEFT(TRIM(Raw_Export!B1783),4),MID(TRIM(Raw_Export!B1783),6,2),RIGHT(TRIM(Raw_Export!B1783),2)),DATE(RIGHT(TRIM(Raw_Export!B1783),4),MATCH(MID(TRIM(Raw_Export!B1783),4,3),{"Jan","Feb","Mar","Apr","May","Jun","Jul","Aug","Sep","Oct","Nov","Dec"},0),LEFT(TRIM(Raw_Export!B1783),2)))))</f>
        <v>46276</v>
      </c>
      <c r="C1783" s="36" t="str">
        <f aca="false">IF(Raw_Export!$A1783="","",IFERROR(VLOOKUP(LOWER(TRIM(Raw_Export!C1783)),Maps!$A$2:$B$20,2,FALSE()),"UNMAPPED"))</f>
        <v>Nakuru</v>
      </c>
      <c r="D1783" s="36" t="str">
        <f aca="false">IF(Raw_Export!$A1783="","",IFERROR(VLOOKUP(LOWER(TRIM(Raw_Export!D1783)),Maps!$G$2:$I$80,2,FALSE()),"UNMAPPED"))</f>
        <v>Salt 500g</v>
      </c>
      <c r="E1783" s="36" t="str">
        <f aca="false">IF(Raw_Export!$A1783="","",IFERROR(VLOOKUP(LOWER(TRIM(Raw_Export!D1783)),Maps!$G$2:$I$80,3,FALSE()),"UNMAPPED"))</f>
        <v>Staples</v>
      </c>
      <c r="F1783" s="36" t="n">
        <f aca="false">IF(Raw_Export!$A1783="","",IFERROR(VALUE(TRIM(Raw_Export!E1783)),0))</f>
        <v>1</v>
      </c>
      <c r="G1783" s="38" t="n">
        <f aca="false">IF(Raw_Export!$A1783="","",IFERROR(VALUE(SUBSTITUTE(SUBSTITUTE(UPPER(TRIM(Raw_Export!F1783)),"KES",""),",","")),0))</f>
        <v>40</v>
      </c>
      <c r="H1783" s="38" t="n">
        <f aca="false">IF(Raw_Export!$A1783="","",F1783*G1783)</f>
        <v>40</v>
      </c>
      <c r="I1783" s="36" t="str">
        <f aca="false">IF(Raw_Export!$A1783="","",IFERROR(VLOOKUP(LOWER(TRIM(Raw_Export!H1783)),Maps!$D$2:$E$12,2,FALSE()),"Other"))</f>
        <v>M-Pesa</v>
      </c>
      <c r="J1783" s="36" t="str">
        <f aca="false">IF(Raw_Export!$A1783="","",IF(COUNTIF($A$2:A1783,A1783)&gt;1,"Duplicate",""))</f>
        <v/>
      </c>
      <c r="K1783" s="36" t="str">
        <f aca="false">IF(Raw_Export!$A1783="","",IF(J1783="Duplicate","Duplicate",IF(OR(C1783="UNMAPPED",D1783="UNMAPPED"),"Unmapped",IF(F1783=0,"Blank qty",IF(F1783&lt;0,"Return","OK")))))</f>
        <v>OK</v>
      </c>
      <c r="L1783" s="36" t="n">
        <f aca="false">IF(Raw_Export!$A1783="","",IF(OR(K1783="OK",K1783="Return"),1,0))</f>
        <v>1</v>
      </c>
      <c r="M1783" s="37" t="n">
        <f aca="false">IF(Raw_Export!$A1783="","",B1783-WEEKDAY(B1783,2)+1)</f>
        <v>46272</v>
      </c>
    </row>
    <row r="1784" customFormat="false" ht="15" hidden="false" customHeight="false" outlineLevel="0" collapsed="false">
      <c r="A1784" s="36" t="str">
        <f aca="false">IF(Raw_Export!$A1784="","",TRIM(Raw_Export!A1784))</f>
        <v>TXN-101746</v>
      </c>
      <c r="B1784" s="37" t="n">
        <f aca="false">IF(Raw_Export!$A1784="","",IF(ISNUMBER(Raw_Export!B1784),Raw_Export!B1784,IF(MID(TRIM(Raw_Export!B1784),5,1)="-",DATE(LEFT(TRIM(Raw_Export!B1784),4),MID(TRIM(Raw_Export!B1784),6,2),RIGHT(TRIM(Raw_Export!B1784),2)),DATE(RIGHT(TRIM(Raw_Export!B1784),4),MATCH(MID(TRIM(Raw_Export!B1784),4,3),{"Jan","Feb","Mar","Apr","May","Jun","Jul","Aug","Sep","Oct","Nov","Dec"},0),LEFT(TRIM(Raw_Export!B1784),2)))))</f>
        <v>46276</v>
      </c>
      <c r="C1784" s="36" t="str">
        <f aca="false">IF(Raw_Export!$A1784="","",IFERROR(VLOOKUP(LOWER(TRIM(Raw_Export!C1784)),Maps!$A$2:$B$20,2,FALSE()),"UNMAPPED"))</f>
        <v>Nakuru</v>
      </c>
      <c r="D1784" s="36" t="str">
        <f aca="false">IF(Raw_Export!$A1784="","",IFERROR(VLOOKUP(LOWER(TRIM(Raw_Export!D1784)),Maps!$G$2:$I$80,2,FALSE()),"UNMAPPED"))</f>
        <v>Juice 1L</v>
      </c>
      <c r="E1784" s="36" t="str">
        <f aca="false">IF(Raw_Export!$A1784="","",IFERROR(VLOOKUP(LOWER(TRIM(Raw_Export!D1784)),Maps!$G$2:$I$80,3,FALSE()),"UNMAPPED"))</f>
        <v>Beverages</v>
      </c>
      <c r="F1784" s="36" t="n">
        <f aca="false">IF(Raw_Export!$A1784="","",IFERROR(VALUE(TRIM(Raw_Export!E1784)),0))</f>
        <v>1</v>
      </c>
      <c r="G1784" s="38" t="n">
        <f aca="false">IF(Raw_Export!$A1784="","",IFERROR(VALUE(SUBSTITUTE(SUBSTITUTE(UPPER(TRIM(Raw_Export!F1784)),"KES",""),",","")),0))</f>
        <v>210</v>
      </c>
      <c r="H1784" s="38" t="n">
        <f aca="false">IF(Raw_Export!$A1784="","",F1784*G1784)</f>
        <v>210</v>
      </c>
      <c r="I1784" s="36" t="str">
        <f aca="false">IF(Raw_Export!$A1784="","",IFERROR(VLOOKUP(LOWER(TRIM(Raw_Export!H1784)),Maps!$D$2:$E$12,2,FALSE()),"Other"))</f>
        <v>M-Pesa</v>
      </c>
      <c r="J1784" s="36" t="str">
        <f aca="false">IF(Raw_Export!$A1784="","",IF(COUNTIF($A$2:A1784,A1784)&gt;1,"Duplicate",""))</f>
        <v/>
      </c>
      <c r="K1784" s="36" t="str">
        <f aca="false">IF(Raw_Export!$A1784="","",IF(J1784="Duplicate","Duplicate",IF(OR(C1784="UNMAPPED",D1784="UNMAPPED"),"Unmapped",IF(F1784=0,"Blank qty",IF(F1784&lt;0,"Return","OK")))))</f>
        <v>OK</v>
      </c>
      <c r="L1784" s="36" t="n">
        <f aca="false">IF(Raw_Export!$A1784="","",IF(OR(K1784="OK",K1784="Return"),1,0))</f>
        <v>1</v>
      </c>
      <c r="M1784" s="37" t="n">
        <f aca="false">IF(Raw_Export!$A1784="","",B1784-WEEKDAY(B1784,2)+1)</f>
        <v>46272</v>
      </c>
    </row>
    <row r="1785" customFormat="false" ht="15" hidden="false" customHeight="false" outlineLevel="0" collapsed="false">
      <c r="A1785" s="36" t="str">
        <f aca="false">IF(Raw_Export!$A1785="","",TRIM(Raw_Export!A1785))</f>
        <v>TXN-101747</v>
      </c>
      <c r="B1785" s="37" t="n">
        <f aca="false">IF(Raw_Export!$A1785="","",IF(ISNUMBER(Raw_Export!B1785),Raw_Export!B1785,IF(MID(TRIM(Raw_Export!B1785),5,1)="-",DATE(LEFT(TRIM(Raw_Export!B1785),4),MID(TRIM(Raw_Export!B1785),6,2),RIGHT(TRIM(Raw_Export!B1785),2)),DATE(RIGHT(TRIM(Raw_Export!B1785),4),MATCH(MID(TRIM(Raw_Export!B1785),4,3),{"Jan","Feb","Mar","Apr","May","Jun","Jul","Aug","Sep","Oct","Nov","Dec"},0),LEFT(TRIM(Raw_Export!B1785),2)))))</f>
        <v>46276</v>
      </c>
      <c r="C1785" s="36" t="str">
        <f aca="false">IF(Raw_Export!$A1785="","",IFERROR(VLOOKUP(LOWER(TRIM(Raw_Export!C1785)),Maps!$A$2:$B$20,2,FALSE()),"UNMAPPED"))</f>
        <v>Nakuru</v>
      </c>
      <c r="D1785" s="36" t="str">
        <f aca="false">IF(Raw_Export!$A1785="","",IFERROR(VLOOKUP(LOWER(TRIM(Raw_Export!D1785)),Maps!$G$2:$I$80,2,FALSE()),"UNMAPPED"))</f>
        <v>Unga Pembe 2kg</v>
      </c>
      <c r="E1785" s="36" t="str">
        <f aca="false">IF(Raw_Export!$A1785="","",IFERROR(VLOOKUP(LOWER(TRIM(Raw_Export!D1785)),Maps!$G$2:$I$80,3,FALSE()),"UNMAPPED"))</f>
        <v>Staples</v>
      </c>
      <c r="F1785" s="36" t="n">
        <f aca="false">IF(Raw_Export!$A1785="","",IFERROR(VALUE(TRIM(Raw_Export!E1785)),0))</f>
        <v>1</v>
      </c>
      <c r="G1785" s="38" t="n">
        <f aca="false">IF(Raw_Export!$A1785="","",IFERROR(VALUE(SUBSTITUTE(SUBSTITUTE(UPPER(TRIM(Raw_Export!F1785)),"KES",""),",","")),0))</f>
        <v>190</v>
      </c>
      <c r="H1785" s="38" t="n">
        <f aca="false">IF(Raw_Export!$A1785="","",F1785*G1785)</f>
        <v>190</v>
      </c>
      <c r="I1785" s="36" t="str">
        <f aca="false">IF(Raw_Export!$A1785="","",IFERROR(VLOOKUP(LOWER(TRIM(Raw_Export!H1785)),Maps!$D$2:$E$12,2,FALSE()),"Other"))</f>
        <v>M-Pesa</v>
      </c>
      <c r="J1785" s="36" t="str">
        <f aca="false">IF(Raw_Export!$A1785="","",IF(COUNTIF($A$2:A1785,A1785)&gt;1,"Duplicate",""))</f>
        <v/>
      </c>
      <c r="K1785" s="36" t="str">
        <f aca="false">IF(Raw_Export!$A1785="","",IF(J1785="Duplicate","Duplicate",IF(OR(C1785="UNMAPPED",D1785="UNMAPPED"),"Unmapped",IF(F1785=0,"Blank qty",IF(F1785&lt;0,"Return","OK")))))</f>
        <v>OK</v>
      </c>
      <c r="L1785" s="36" t="n">
        <f aca="false">IF(Raw_Export!$A1785="","",IF(OR(K1785="OK",K1785="Return"),1,0))</f>
        <v>1</v>
      </c>
      <c r="M1785" s="37" t="n">
        <f aca="false">IF(Raw_Export!$A1785="","",B1785-WEEKDAY(B1785,2)+1)</f>
        <v>46272</v>
      </c>
    </row>
    <row r="1786" customFormat="false" ht="15" hidden="false" customHeight="false" outlineLevel="0" collapsed="false">
      <c r="A1786" s="36" t="str">
        <f aca="false">IF(Raw_Export!$A1786="","",TRIM(Raw_Export!A1786))</f>
        <v>TXN-101748</v>
      </c>
      <c r="B1786" s="37" t="n">
        <f aca="false">IF(Raw_Export!$A1786="","",IF(ISNUMBER(Raw_Export!B1786),Raw_Export!B1786,IF(MID(TRIM(Raw_Export!B1786),5,1)="-",DATE(LEFT(TRIM(Raw_Export!B1786),4),MID(TRIM(Raw_Export!B1786),6,2),RIGHT(TRIM(Raw_Export!B1786),2)),DATE(RIGHT(TRIM(Raw_Export!B1786),4),MATCH(MID(TRIM(Raw_Export!B1786),4,3),{"Jan","Feb","Mar","Apr","May","Jun","Jul","Aug","Sep","Oct","Nov","Dec"},0),LEFT(TRIM(Raw_Export!B1786),2)))))</f>
        <v>46276</v>
      </c>
      <c r="C1786" s="36" t="str">
        <f aca="false">IF(Raw_Export!$A1786="","",IFERROR(VLOOKUP(LOWER(TRIM(Raw_Export!C1786)),Maps!$A$2:$B$20,2,FALSE()),"UNMAPPED"))</f>
        <v>Nakuru</v>
      </c>
      <c r="D1786" s="36" t="str">
        <f aca="false">IF(Raw_Export!$A1786="","",IFERROR(VLOOKUP(LOWER(TRIM(Raw_Export!D1786)),Maps!$G$2:$I$80,2,FALSE()),"UNMAPPED"))</f>
        <v>Unga Pembe 2kg</v>
      </c>
      <c r="E1786" s="36" t="str">
        <f aca="false">IF(Raw_Export!$A1786="","",IFERROR(VLOOKUP(LOWER(TRIM(Raw_Export!D1786)),Maps!$G$2:$I$80,3,FALSE()),"UNMAPPED"))</f>
        <v>Staples</v>
      </c>
      <c r="F1786" s="36" t="n">
        <f aca="false">IF(Raw_Export!$A1786="","",IFERROR(VALUE(TRIM(Raw_Export!E1786)),0))</f>
        <v>1</v>
      </c>
      <c r="G1786" s="38" t="n">
        <f aca="false">IF(Raw_Export!$A1786="","",IFERROR(VALUE(SUBSTITUTE(SUBSTITUTE(UPPER(TRIM(Raw_Export!F1786)),"KES",""),",","")),0))</f>
        <v>190</v>
      </c>
      <c r="H1786" s="38" t="n">
        <f aca="false">IF(Raw_Export!$A1786="","",F1786*G1786)</f>
        <v>190</v>
      </c>
      <c r="I1786" s="36" t="str">
        <f aca="false">IF(Raw_Export!$A1786="","",IFERROR(VLOOKUP(LOWER(TRIM(Raw_Export!H1786)),Maps!$D$2:$E$12,2,FALSE()),"Other"))</f>
        <v>Card</v>
      </c>
      <c r="J1786" s="36" t="str">
        <f aca="false">IF(Raw_Export!$A1786="","",IF(COUNTIF($A$2:A1786,A1786)&gt;1,"Duplicate",""))</f>
        <v/>
      </c>
      <c r="K1786" s="36" t="str">
        <f aca="false">IF(Raw_Export!$A1786="","",IF(J1786="Duplicate","Duplicate",IF(OR(C1786="UNMAPPED",D1786="UNMAPPED"),"Unmapped",IF(F1786=0,"Blank qty",IF(F1786&lt;0,"Return","OK")))))</f>
        <v>OK</v>
      </c>
      <c r="L1786" s="36" t="n">
        <f aca="false">IF(Raw_Export!$A1786="","",IF(OR(K1786="OK",K1786="Return"),1,0))</f>
        <v>1</v>
      </c>
      <c r="M1786" s="37" t="n">
        <f aca="false">IF(Raw_Export!$A1786="","",B1786-WEEKDAY(B1786,2)+1)</f>
        <v>46272</v>
      </c>
    </row>
    <row r="1787" customFormat="false" ht="15" hidden="false" customHeight="false" outlineLevel="0" collapsed="false">
      <c r="A1787" s="36" t="str">
        <f aca="false">IF(Raw_Export!$A1787="","",TRIM(Raw_Export!A1787))</f>
        <v>TXN-101749</v>
      </c>
      <c r="B1787" s="37" t="n">
        <f aca="false">IF(Raw_Export!$A1787="","",IF(ISNUMBER(Raw_Export!B1787),Raw_Export!B1787,IF(MID(TRIM(Raw_Export!B1787),5,1)="-",DATE(LEFT(TRIM(Raw_Export!B1787),4),MID(TRIM(Raw_Export!B1787),6,2),RIGHT(TRIM(Raw_Export!B1787),2)),DATE(RIGHT(TRIM(Raw_Export!B1787),4),MATCH(MID(TRIM(Raw_Export!B1787),4,3),{"Jan","Feb","Mar","Apr","May","Jun","Jul","Aug","Sep","Oct","Nov","Dec"},0),LEFT(TRIM(Raw_Export!B1787),2)))))</f>
        <v>46276</v>
      </c>
      <c r="C1787" s="36" t="str">
        <f aca="false">IF(Raw_Export!$A1787="","",IFERROR(VLOOKUP(LOWER(TRIM(Raw_Export!C1787)),Maps!$A$2:$B$20,2,FALSE()),"UNMAPPED"))</f>
        <v>Nakuru</v>
      </c>
      <c r="D1787" s="36" t="str">
        <f aca="false">IF(Raw_Export!$A1787="","",IFERROR(VLOOKUP(LOWER(TRIM(Raw_Export!D1787)),Maps!$G$2:$I$80,2,FALSE()),"UNMAPPED"))</f>
        <v>Spaghetti 400g</v>
      </c>
      <c r="E1787" s="36" t="str">
        <f aca="false">IF(Raw_Export!$A1787="","",IFERROR(VLOOKUP(LOWER(TRIM(Raw_Export!D1787)),Maps!$G$2:$I$80,3,FALSE()),"UNMAPPED"))</f>
        <v>Staples</v>
      </c>
      <c r="F1787" s="36" t="n">
        <f aca="false">IF(Raw_Export!$A1787="","",IFERROR(VALUE(TRIM(Raw_Export!E1787)),0))</f>
        <v>2</v>
      </c>
      <c r="G1787" s="38" t="n">
        <f aca="false">IF(Raw_Export!$A1787="","",IFERROR(VALUE(SUBSTITUTE(SUBSTITUTE(UPPER(TRIM(Raw_Export!F1787)),"KES",""),",","")),0))</f>
        <v>110</v>
      </c>
      <c r="H1787" s="38" t="n">
        <f aca="false">IF(Raw_Export!$A1787="","",F1787*G1787)</f>
        <v>220</v>
      </c>
      <c r="I1787" s="36" t="str">
        <f aca="false">IF(Raw_Export!$A1787="","",IFERROR(VLOOKUP(LOWER(TRIM(Raw_Export!H1787)),Maps!$D$2:$E$12,2,FALSE()),"Other"))</f>
        <v>Cash</v>
      </c>
      <c r="J1787" s="36" t="str">
        <f aca="false">IF(Raw_Export!$A1787="","",IF(COUNTIF($A$2:A1787,A1787)&gt;1,"Duplicate",""))</f>
        <v/>
      </c>
      <c r="K1787" s="36" t="str">
        <f aca="false">IF(Raw_Export!$A1787="","",IF(J1787="Duplicate","Duplicate",IF(OR(C1787="UNMAPPED",D1787="UNMAPPED"),"Unmapped",IF(F1787=0,"Blank qty",IF(F1787&lt;0,"Return","OK")))))</f>
        <v>OK</v>
      </c>
      <c r="L1787" s="36" t="n">
        <f aca="false">IF(Raw_Export!$A1787="","",IF(OR(K1787="OK",K1787="Return"),1,0))</f>
        <v>1</v>
      </c>
      <c r="M1787" s="37" t="n">
        <f aca="false">IF(Raw_Export!$A1787="","",B1787-WEEKDAY(B1787,2)+1)</f>
        <v>46272</v>
      </c>
    </row>
    <row r="1788" customFormat="false" ht="15" hidden="false" customHeight="false" outlineLevel="0" collapsed="false">
      <c r="A1788" s="36" t="str">
        <f aca="false">IF(Raw_Export!$A1788="","",TRIM(Raw_Export!A1788))</f>
        <v>TXN-101750</v>
      </c>
      <c r="B1788" s="37" t="n">
        <f aca="false">IF(Raw_Export!$A1788="","",IF(ISNUMBER(Raw_Export!B1788),Raw_Export!B1788,IF(MID(TRIM(Raw_Export!B1788),5,1)="-",DATE(LEFT(TRIM(Raw_Export!B1788),4),MID(TRIM(Raw_Export!B1788),6,2),RIGHT(TRIM(Raw_Export!B1788),2)),DATE(RIGHT(TRIM(Raw_Export!B1788),4),MATCH(MID(TRIM(Raw_Export!B1788),4,3),{"Jan","Feb","Mar","Apr","May","Jun","Jul","Aug","Sep","Oct","Nov","Dec"},0),LEFT(TRIM(Raw_Export!B1788),2)))))</f>
        <v>46276</v>
      </c>
      <c r="C1788" s="36" t="str">
        <f aca="false">IF(Raw_Export!$A1788="","",IFERROR(VLOOKUP(LOWER(TRIM(Raw_Export!C1788)),Maps!$A$2:$B$20,2,FALSE()),"UNMAPPED"))</f>
        <v>Nakuru</v>
      </c>
      <c r="D1788" s="36" t="str">
        <f aca="false">IF(Raw_Export!$A1788="","",IFERROR(VLOOKUP(LOWER(TRIM(Raw_Export!D1788)),Maps!$G$2:$I$80,2,FALSE()),"UNMAPPED"))</f>
        <v>Butter 250g</v>
      </c>
      <c r="E1788" s="36" t="str">
        <f aca="false">IF(Raw_Export!$A1788="","",IFERROR(VLOOKUP(LOWER(TRIM(Raw_Export!D1788)),Maps!$G$2:$I$80,3,FALSE()),"UNMAPPED"))</f>
        <v>Dairy &amp; Eggs</v>
      </c>
      <c r="F1788" s="36" t="n">
        <f aca="false">IF(Raw_Export!$A1788="","",IFERROR(VALUE(TRIM(Raw_Export!E1788)),0))</f>
        <v>1</v>
      </c>
      <c r="G1788" s="38" t="n">
        <f aca="false">IF(Raw_Export!$A1788="","",IFERROR(VALUE(SUBSTITUTE(SUBSTITUTE(UPPER(TRIM(Raw_Export!F1788)),"KES",""),",","")),0))</f>
        <v>310</v>
      </c>
      <c r="H1788" s="38" t="n">
        <f aca="false">IF(Raw_Export!$A1788="","",F1788*G1788)</f>
        <v>310</v>
      </c>
      <c r="I1788" s="36" t="str">
        <f aca="false">IF(Raw_Export!$A1788="","",IFERROR(VLOOKUP(LOWER(TRIM(Raw_Export!H1788)),Maps!$D$2:$E$12,2,FALSE()),"Other"))</f>
        <v>M-Pesa</v>
      </c>
      <c r="J1788" s="36" t="str">
        <f aca="false">IF(Raw_Export!$A1788="","",IF(COUNTIF($A$2:A1788,A1788)&gt;1,"Duplicate",""))</f>
        <v/>
      </c>
      <c r="K1788" s="36" t="str">
        <f aca="false">IF(Raw_Export!$A1788="","",IF(J1788="Duplicate","Duplicate",IF(OR(C1788="UNMAPPED",D1788="UNMAPPED"),"Unmapped",IF(F1788=0,"Blank qty",IF(F1788&lt;0,"Return","OK")))))</f>
        <v>OK</v>
      </c>
      <c r="L1788" s="36" t="n">
        <f aca="false">IF(Raw_Export!$A1788="","",IF(OR(K1788="OK",K1788="Return"),1,0))</f>
        <v>1</v>
      </c>
      <c r="M1788" s="37" t="n">
        <f aca="false">IF(Raw_Export!$A1788="","",B1788-WEEKDAY(B1788,2)+1)</f>
        <v>46272</v>
      </c>
    </row>
    <row r="1789" customFormat="false" ht="15" hidden="false" customHeight="false" outlineLevel="0" collapsed="false">
      <c r="A1789" s="36" t="str">
        <f aca="false">IF(Raw_Export!$A1789="","",TRIM(Raw_Export!A1789))</f>
        <v>TXN-101751</v>
      </c>
      <c r="B1789" s="37" t="n">
        <f aca="false">IF(Raw_Export!$A1789="","",IF(ISNUMBER(Raw_Export!B1789),Raw_Export!B1789,IF(MID(TRIM(Raw_Export!B1789),5,1)="-",DATE(LEFT(TRIM(Raw_Export!B1789),4),MID(TRIM(Raw_Export!B1789),6,2),RIGHT(TRIM(Raw_Export!B1789),2)),DATE(RIGHT(TRIM(Raw_Export!B1789),4),MATCH(MID(TRIM(Raw_Export!B1789),4,3),{"Jan","Feb","Mar","Apr","May","Jun","Jul","Aug","Sep","Oct","Nov","Dec"},0),LEFT(TRIM(Raw_Export!B1789),2)))))</f>
        <v>46276</v>
      </c>
      <c r="C1789" s="36" t="str">
        <f aca="false">IF(Raw_Export!$A1789="","",IFERROR(VLOOKUP(LOWER(TRIM(Raw_Export!C1789)),Maps!$A$2:$B$20,2,FALSE()),"UNMAPPED"))</f>
        <v>Nakuru</v>
      </c>
      <c r="D1789" s="36" t="str">
        <f aca="false">IF(Raw_Export!$A1789="","",IFERROR(VLOOKUP(LOWER(TRIM(Raw_Export!D1789)),Maps!$G$2:$I$80,2,FALSE()),"UNMAPPED"))</f>
        <v>Spaghetti 400g</v>
      </c>
      <c r="E1789" s="36" t="str">
        <f aca="false">IF(Raw_Export!$A1789="","",IFERROR(VLOOKUP(LOWER(TRIM(Raw_Export!D1789)),Maps!$G$2:$I$80,3,FALSE()),"UNMAPPED"))</f>
        <v>Staples</v>
      </c>
      <c r="F1789" s="36" t="n">
        <f aca="false">IF(Raw_Export!$A1789="","",IFERROR(VALUE(TRIM(Raw_Export!E1789)),0))</f>
        <v>3</v>
      </c>
      <c r="G1789" s="38" t="n">
        <f aca="false">IF(Raw_Export!$A1789="","",IFERROR(VALUE(SUBSTITUTE(SUBSTITUTE(UPPER(TRIM(Raw_Export!F1789)),"KES",""),",","")),0))</f>
        <v>110</v>
      </c>
      <c r="H1789" s="38" t="n">
        <f aca="false">IF(Raw_Export!$A1789="","",F1789*G1789)</f>
        <v>330</v>
      </c>
      <c r="I1789" s="36" t="str">
        <f aca="false">IF(Raw_Export!$A1789="","",IFERROR(VLOOKUP(LOWER(TRIM(Raw_Export!H1789)),Maps!$D$2:$E$12,2,FALSE()),"Other"))</f>
        <v>Card</v>
      </c>
      <c r="J1789" s="36" t="str">
        <f aca="false">IF(Raw_Export!$A1789="","",IF(COUNTIF($A$2:A1789,A1789)&gt;1,"Duplicate",""))</f>
        <v/>
      </c>
      <c r="K1789" s="36" t="str">
        <f aca="false">IF(Raw_Export!$A1789="","",IF(J1789="Duplicate","Duplicate",IF(OR(C1789="UNMAPPED",D1789="UNMAPPED"),"Unmapped",IF(F1789=0,"Blank qty",IF(F1789&lt;0,"Return","OK")))))</f>
        <v>OK</v>
      </c>
      <c r="L1789" s="36" t="n">
        <f aca="false">IF(Raw_Export!$A1789="","",IF(OR(K1789="OK",K1789="Return"),1,0))</f>
        <v>1</v>
      </c>
      <c r="M1789" s="37" t="n">
        <f aca="false">IF(Raw_Export!$A1789="","",B1789-WEEKDAY(B1789,2)+1)</f>
        <v>46272</v>
      </c>
    </row>
    <row r="1790" customFormat="false" ht="15" hidden="false" customHeight="false" outlineLevel="0" collapsed="false">
      <c r="A1790" s="36" t="str">
        <f aca="false">IF(Raw_Export!$A1790="","",TRIM(Raw_Export!A1790))</f>
        <v>TXN-101752</v>
      </c>
      <c r="B1790" s="37" t="n">
        <f aca="false">IF(Raw_Export!$A1790="","",IF(ISNUMBER(Raw_Export!B1790),Raw_Export!B1790,IF(MID(TRIM(Raw_Export!B1790),5,1)="-",DATE(LEFT(TRIM(Raw_Export!B1790),4),MID(TRIM(Raw_Export!B1790),6,2),RIGHT(TRIM(Raw_Export!B1790),2)),DATE(RIGHT(TRIM(Raw_Export!B1790),4),MATCH(MID(TRIM(Raw_Export!B1790),4,3),{"Jan","Feb","Mar","Apr","May","Jun","Jul","Aug","Sep","Oct","Nov","Dec"},0),LEFT(TRIM(Raw_Export!B1790),2)))))</f>
        <v>46276</v>
      </c>
      <c r="C1790" s="36" t="str">
        <f aca="false">IF(Raw_Export!$A1790="","",IFERROR(VLOOKUP(LOWER(TRIM(Raw_Export!C1790)),Maps!$A$2:$B$20,2,FALSE()),"UNMAPPED"))</f>
        <v>Nakuru</v>
      </c>
      <c r="D1790" s="36" t="str">
        <f aca="false">IF(Raw_Export!$A1790="","",IFERROR(VLOOKUP(LOWER(TRIM(Raw_Export!D1790)),Maps!$G$2:$I$80,2,FALSE()),"UNMAPPED"))</f>
        <v>Yoghurt 500ml</v>
      </c>
      <c r="E1790" s="36" t="str">
        <f aca="false">IF(Raw_Export!$A1790="","",IFERROR(VLOOKUP(LOWER(TRIM(Raw_Export!D1790)),Maps!$G$2:$I$80,3,FALSE()),"UNMAPPED"))</f>
        <v>Dairy &amp; Eggs</v>
      </c>
      <c r="F1790" s="36" t="n">
        <f aca="false">IF(Raw_Export!$A1790="","",IFERROR(VALUE(TRIM(Raw_Export!E1790)),0))</f>
        <v>6</v>
      </c>
      <c r="G1790" s="38" t="n">
        <f aca="false">IF(Raw_Export!$A1790="","",IFERROR(VALUE(SUBSTITUTE(SUBSTITUTE(UPPER(TRIM(Raw_Export!F1790)),"KES",""),",","")),0))</f>
        <v>120</v>
      </c>
      <c r="H1790" s="38" t="n">
        <f aca="false">IF(Raw_Export!$A1790="","",F1790*G1790)</f>
        <v>720</v>
      </c>
      <c r="I1790" s="36" t="str">
        <f aca="false">IF(Raw_Export!$A1790="","",IFERROR(VLOOKUP(LOWER(TRIM(Raw_Export!H1790)),Maps!$D$2:$E$12,2,FALSE()),"Other"))</f>
        <v>Card</v>
      </c>
      <c r="J1790" s="36" t="str">
        <f aca="false">IF(Raw_Export!$A1790="","",IF(COUNTIF($A$2:A1790,A1790)&gt;1,"Duplicate",""))</f>
        <v/>
      </c>
      <c r="K1790" s="36" t="str">
        <f aca="false">IF(Raw_Export!$A1790="","",IF(J1790="Duplicate","Duplicate",IF(OR(C1790="UNMAPPED",D1790="UNMAPPED"),"Unmapped",IF(F1790=0,"Blank qty",IF(F1790&lt;0,"Return","OK")))))</f>
        <v>OK</v>
      </c>
      <c r="L1790" s="36" t="n">
        <f aca="false">IF(Raw_Export!$A1790="","",IF(OR(K1790="OK",K1790="Return"),1,0))</f>
        <v>1</v>
      </c>
      <c r="M1790" s="37" t="n">
        <f aca="false">IF(Raw_Export!$A1790="","",B1790-WEEKDAY(B1790,2)+1)</f>
        <v>46272</v>
      </c>
    </row>
    <row r="1791" customFormat="false" ht="15" hidden="false" customHeight="false" outlineLevel="0" collapsed="false">
      <c r="A1791" s="36" t="str">
        <f aca="false">IF(Raw_Export!$A1791="","",TRIM(Raw_Export!A1791))</f>
        <v>TXN-101753</v>
      </c>
      <c r="B1791" s="37" t="n">
        <f aca="false">IF(Raw_Export!$A1791="","",IF(ISNUMBER(Raw_Export!B1791),Raw_Export!B1791,IF(MID(TRIM(Raw_Export!B1791),5,1)="-",DATE(LEFT(TRIM(Raw_Export!B1791),4),MID(TRIM(Raw_Export!B1791),6,2),RIGHT(TRIM(Raw_Export!B1791),2)),DATE(RIGHT(TRIM(Raw_Export!B1791),4),MATCH(MID(TRIM(Raw_Export!B1791),4,3),{"Jan","Feb","Mar","Apr","May","Jun","Jul","Aug","Sep","Oct","Nov","Dec"},0),LEFT(TRIM(Raw_Export!B1791),2)))))</f>
        <v>46276</v>
      </c>
      <c r="C1791" s="36" t="str">
        <f aca="false">IF(Raw_Export!$A1791="","",IFERROR(VLOOKUP(LOWER(TRIM(Raw_Export!C1791)),Maps!$A$2:$B$20,2,FALSE()),"UNMAPPED"))</f>
        <v>Nakuru</v>
      </c>
      <c r="D1791" s="36" t="str">
        <f aca="false">IF(Raw_Export!$A1791="","",IFERROR(VLOOKUP(LOWER(TRIM(Raw_Export!D1791)),Maps!$G$2:$I$80,2,FALSE()),"UNMAPPED"))</f>
        <v>Soda 500ml</v>
      </c>
      <c r="E1791" s="36" t="str">
        <f aca="false">IF(Raw_Export!$A1791="","",IFERROR(VLOOKUP(LOWER(TRIM(Raw_Export!D1791)),Maps!$G$2:$I$80,3,FALSE()),"UNMAPPED"))</f>
        <v>Beverages</v>
      </c>
      <c r="F1791" s="36" t="n">
        <f aca="false">IF(Raw_Export!$A1791="","",IFERROR(VALUE(TRIM(Raw_Export!E1791)),0))</f>
        <v>3</v>
      </c>
      <c r="G1791" s="38" t="n">
        <f aca="false">IF(Raw_Export!$A1791="","",IFERROR(VALUE(SUBSTITUTE(SUBSTITUTE(UPPER(TRIM(Raw_Export!F1791)),"KES",""),",","")),0))</f>
        <v>60</v>
      </c>
      <c r="H1791" s="38" t="n">
        <f aca="false">IF(Raw_Export!$A1791="","",F1791*G1791)</f>
        <v>180</v>
      </c>
      <c r="I1791" s="36" t="str">
        <f aca="false">IF(Raw_Export!$A1791="","",IFERROR(VLOOKUP(LOWER(TRIM(Raw_Export!H1791)),Maps!$D$2:$E$12,2,FALSE()),"Other"))</f>
        <v>M-Pesa</v>
      </c>
      <c r="J1791" s="36" t="str">
        <f aca="false">IF(Raw_Export!$A1791="","",IF(COUNTIF($A$2:A1791,A1791)&gt;1,"Duplicate",""))</f>
        <v/>
      </c>
      <c r="K1791" s="36" t="str">
        <f aca="false">IF(Raw_Export!$A1791="","",IF(J1791="Duplicate","Duplicate",IF(OR(C1791="UNMAPPED",D1791="UNMAPPED"),"Unmapped",IF(F1791=0,"Blank qty",IF(F1791&lt;0,"Return","OK")))))</f>
        <v>OK</v>
      </c>
      <c r="L1791" s="36" t="n">
        <f aca="false">IF(Raw_Export!$A1791="","",IF(OR(K1791="OK",K1791="Return"),1,0))</f>
        <v>1</v>
      </c>
      <c r="M1791" s="37" t="n">
        <f aca="false">IF(Raw_Export!$A1791="","",B1791-WEEKDAY(B1791,2)+1)</f>
        <v>46272</v>
      </c>
    </row>
    <row r="1792" customFormat="false" ht="15" hidden="false" customHeight="false" outlineLevel="0" collapsed="false">
      <c r="A1792" s="36" t="str">
        <f aca="false">IF(Raw_Export!$A1792="","",TRIM(Raw_Export!A1792))</f>
        <v>TXN-101754</v>
      </c>
      <c r="B1792" s="37" t="n">
        <f aca="false">IF(Raw_Export!$A1792="","",IF(ISNUMBER(Raw_Export!B1792),Raw_Export!B1792,IF(MID(TRIM(Raw_Export!B1792),5,1)="-",DATE(LEFT(TRIM(Raw_Export!B1792),4),MID(TRIM(Raw_Export!B1792),6,2),RIGHT(TRIM(Raw_Export!B1792),2)),DATE(RIGHT(TRIM(Raw_Export!B1792),4),MATCH(MID(TRIM(Raw_Export!B1792),4,3),{"Jan","Feb","Mar","Apr","May","Jun","Jul","Aug","Sep","Oct","Nov","Dec"},0),LEFT(TRIM(Raw_Export!B1792),2)))))</f>
        <v>46276</v>
      </c>
      <c r="C1792" s="36" t="str">
        <f aca="false">IF(Raw_Export!$A1792="","",IFERROR(VLOOKUP(LOWER(TRIM(Raw_Export!C1792)),Maps!$A$2:$B$20,2,FALSE()),"UNMAPPED"))</f>
        <v>Nakuru</v>
      </c>
      <c r="D1792" s="36" t="str">
        <f aca="false">IF(Raw_Export!$A1792="","",IFERROR(VLOOKUP(LOWER(TRIM(Raw_Export!D1792)),Maps!$G$2:$I$80,2,FALSE()),"UNMAPPED"))</f>
        <v>Peanuts 250g</v>
      </c>
      <c r="E1792" s="36" t="str">
        <f aca="false">IF(Raw_Export!$A1792="","",IFERROR(VLOOKUP(LOWER(TRIM(Raw_Export!D1792)),Maps!$G$2:$I$80,3,FALSE()),"UNMAPPED"))</f>
        <v>Snacks</v>
      </c>
      <c r="F1792" s="36" t="n">
        <f aca="false">IF(Raw_Export!$A1792="","",IFERROR(VALUE(TRIM(Raw_Export!E1792)),0))</f>
        <v>1</v>
      </c>
      <c r="G1792" s="38" t="n">
        <f aca="false">IF(Raw_Export!$A1792="","",IFERROR(VALUE(SUBSTITUTE(SUBSTITUTE(UPPER(TRIM(Raw_Export!F1792)),"KES",""),",","")),0))</f>
        <v>130</v>
      </c>
      <c r="H1792" s="38" t="n">
        <f aca="false">IF(Raw_Export!$A1792="","",F1792*G1792)</f>
        <v>130</v>
      </c>
      <c r="I1792" s="36" t="str">
        <f aca="false">IF(Raw_Export!$A1792="","",IFERROR(VLOOKUP(LOWER(TRIM(Raw_Export!H1792)),Maps!$D$2:$E$12,2,FALSE()),"Other"))</f>
        <v>Card</v>
      </c>
      <c r="J1792" s="36" t="str">
        <f aca="false">IF(Raw_Export!$A1792="","",IF(COUNTIF($A$2:A1792,A1792)&gt;1,"Duplicate",""))</f>
        <v/>
      </c>
      <c r="K1792" s="36" t="str">
        <f aca="false">IF(Raw_Export!$A1792="","",IF(J1792="Duplicate","Duplicate",IF(OR(C1792="UNMAPPED",D1792="UNMAPPED"),"Unmapped",IF(F1792=0,"Blank qty",IF(F1792&lt;0,"Return","OK")))))</f>
        <v>OK</v>
      </c>
      <c r="L1792" s="36" t="n">
        <f aca="false">IF(Raw_Export!$A1792="","",IF(OR(K1792="OK",K1792="Return"),1,0))</f>
        <v>1</v>
      </c>
      <c r="M1792" s="37" t="n">
        <f aca="false">IF(Raw_Export!$A1792="","",B1792-WEEKDAY(B1792,2)+1)</f>
        <v>46272</v>
      </c>
    </row>
    <row r="1793" customFormat="false" ht="15" hidden="false" customHeight="false" outlineLevel="0" collapsed="false">
      <c r="A1793" s="36" t="str">
        <f aca="false">IF(Raw_Export!$A1793="","",TRIM(Raw_Export!A1793))</f>
        <v>TXN-101755</v>
      </c>
      <c r="B1793" s="37" t="n">
        <f aca="false">IF(Raw_Export!$A1793="","",IF(ISNUMBER(Raw_Export!B1793),Raw_Export!B1793,IF(MID(TRIM(Raw_Export!B1793),5,1)="-",DATE(LEFT(TRIM(Raw_Export!B1793),4),MID(TRIM(Raw_Export!B1793),6,2),RIGHT(TRIM(Raw_Export!B1793),2)),DATE(RIGHT(TRIM(Raw_Export!B1793),4),MATCH(MID(TRIM(Raw_Export!B1793),4,3),{"Jan","Feb","Mar","Apr","May","Jun","Jul","Aug","Sep","Oct","Nov","Dec"},0),LEFT(TRIM(Raw_Export!B1793),2)))))</f>
        <v>46276</v>
      </c>
      <c r="C1793" s="36" t="str">
        <f aca="false">IF(Raw_Export!$A1793="","",IFERROR(VLOOKUP(LOWER(TRIM(Raw_Export!C1793)),Maps!$A$2:$B$20,2,FALSE()),"UNMAPPED"))</f>
        <v>Nakuru</v>
      </c>
      <c r="D1793" s="36" t="str">
        <f aca="false">IF(Raw_Export!$A1793="","",IFERROR(VLOOKUP(LOWER(TRIM(Raw_Export!D1793)),Maps!$G$2:$I$80,2,FALSE()),"UNMAPPED"))</f>
        <v>Salt 500g</v>
      </c>
      <c r="E1793" s="36" t="str">
        <f aca="false">IF(Raw_Export!$A1793="","",IFERROR(VLOOKUP(LOWER(TRIM(Raw_Export!D1793)),Maps!$G$2:$I$80,3,FALSE()),"UNMAPPED"))</f>
        <v>Staples</v>
      </c>
      <c r="F1793" s="36" t="n">
        <f aca="false">IF(Raw_Export!$A1793="","",IFERROR(VALUE(TRIM(Raw_Export!E1793)),0))</f>
        <v>1</v>
      </c>
      <c r="G1793" s="38" t="n">
        <f aca="false">IF(Raw_Export!$A1793="","",IFERROR(VALUE(SUBSTITUTE(SUBSTITUTE(UPPER(TRIM(Raw_Export!F1793)),"KES",""),",","")),0))</f>
        <v>40</v>
      </c>
      <c r="H1793" s="38" t="n">
        <f aca="false">IF(Raw_Export!$A1793="","",F1793*G1793)</f>
        <v>40</v>
      </c>
      <c r="I1793" s="36" t="str">
        <f aca="false">IF(Raw_Export!$A1793="","",IFERROR(VLOOKUP(LOWER(TRIM(Raw_Export!H1793)),Maps!$D$2:$E$12,2,FALSE()),"Other"))</f>
        <v>Cash</v>
      </c>
      <c r="J1793" s="36" t="str">
        <f aca="false">IF(Raw_Export!$A1793="","",IF(COUNTIF($A$2:A1793,A1793)&gt;1,"Duplicate",""))</f>
        <v/>
      </c>
      <c r="K1793" s="36" t="str">
        <f aca="false">IF(Raw_Export!$A1793="","",IF(J1793="Duplicate","Duplicate",IF(OR(C1793="UNMAPPED",D1793="UNMAPPED"),"Unmapped",IF(F1793=0,"Blank qty",IF(F1793&lt;0,"Return","OK")))))</f>
        <v>OK</v>
      </c>
      <c r="L1793" s="36" t="n">
        <f aca="false">IF(Raw_Export!$A1793="","",IF(OR(K1793="OK",K1793="Return"),1,0))</f>
        <v>1</v>
      </c>
      <c r="M1793" s="37" t="n">
        <f aca="false">IF(Raw_Export!$A1793="","",B1793-WEEKDAY(B1793,2)+1)</f>
        <v>46272</v>
      </c>
    </row>
    <row r="1794" customFormat="false" ht="15" hidden="false" customHeight="false" outlineLevel="0" collapsed="false">
      <c r="A1794" s="36" t="str">
        <f aca="false">IF(Raw_Export!$A1794="","",TRIM(Raw_Export!A1794))</f>
        <v>TXN-101756</v>
      </c>
      <c r="B1794" s="37" t="n">
        <f aca="false">IF(Raw_Export!$A1794="","",IF(ISNUMBER(Raw_Export!B1794),Raw_Export!B1794,IF(MID(TRIM(Raw_Export!B1794),5,1)="-",DATE(LEFT(TRIM(Raw_Export!B1794),4),MID(TRIM(Raw_Export!B1794),6,2),RIGHT(TRIM(Raw_Export!B1794),2)),DATE(RIGHT(TRIM(Raw_Export!B1794),4),MATCH(MID(TRIM(Raw_Export!B1794),4,3),{"Jan","Feb","Mar","Apr","May","Jun","Jul","Aug","Sep","Oct","Nov","Dec"},0),LEFT(TRIM(Raw_Export!B1794),2)))))</f>
        <v>46276</v>
      </c>
      <c r="C1794" s="36" t="str">
        <f aca="false">IF(Raw_Export!$A1794="","",IFERROR(VLOOKUP(LOWER(TRIM(Raw_Export!C1794)),Maps!$A$2:$B$20,2,FALSE()),"UNMAPPED"))</f>
        <v>Nakuru</v>
      </c>
      <c r="D1794" s="36" t="str">
        <f aca="false">IF(Raw_Export!$A1794="","",IFERROR(VLOOKUP(LOWER(TRIM(Raw_Export!D1794)),Maps!$G$2:$I$80,2,FALSE()),"UNMAPPED"))</f>
        <v>Fresh Milk 500ml</v>
      </c>
      <c r="E1794" s="36" t="str">
        <f aca="false">IF(Raw_Export!$A1794="","",IFERROR(VLOOKUP(LOWER(TRIM(Raw_Export!D1794)),Maps!$G$2:$I$80,3,FALSE()),"UNMAPPED"))</f>
        <v>Dairy &amp; Eggs</v>
      </c>
      <c r="F1794" s="36" t="n">
        <f aca="false">IF(Raw_Export!$A1794="","",IFERROR(VALUE(TRIM(Raw_Export!E1794)),0))</f>
        <v>3</v>
      </c>
      <c r="G1794" s="38" t="n">
        <f aca="false">IF(Raw_Export!$A1794="","",IFERROR(VALUE(SUBSTITUTE(SUBSTITUTE(UPPER(TRIM(Raw_Export!F1794)),"KES",""),",","")),0))</f>
        <v>65</v>
      </c>
      <c r="H1794" s="38" t="n">
        <f aca="false">IF(Raw_Export!$A1794="","",F1794*G1794)</f>
        <v>195</v>
      </c>
      <c r="I1794" s="36" t="str">
        <f aca="false">IF(Raw_Export!$A1794="","",IFERROR(VLOOKUP(LOWER(TRIM(Raw_Export!H1794)),Maps!$D$2:$E$12,2,FALSE()),"Other"))</f>
        <v>Card</v>
      </c>
      <c r="J1794" s="36" t="str">
        <f aca="false">IF(Raw_Export!$A1794="","",IF(COUNTIF($A$2:A1794,A1794)&gt;1,"Duplicate",""))</f>
        <v/>
      </c>
      <c r="K1794" s="36" t="str">
        <f aca="false">IF(Raw_Export!$A1794="","",IF(J1794="Duplicate","Duplicate",IF(OR(C1794="UNMAPPED",D1794="UNMAPPED"),"Unmapped",IF(F1794=0,"Blank qty",IF(F1794&lt;0,"Return","OK")))))</f>
        <v>OK</v>
      </c>
      <c r="L1794" s="36" t="n">
        <f aca="false">IF(Raw_Export!$A1794="","",IF(OR(K1794="OK",K1794="Return"),1,0))</f>
        <v>1</v>
      </c>
      <c r="M1794" s="37" t="n">
        <f aca="false">IF(Raw_Export!$A1794="","",B1794-WEEKDAY(B1794,2)+1)</f>
        <v>46272</v>
      </c>
    </row>
    <row r="1795" customFormat="false" ht="15" hidden="false" customHeight="false" outlineLevel="0" collapsed="false">
      <c r="A1795" s="36" t="str">
        <f aca="false">IF(Raw_Export!$A1795="","",TRIM(Raw_Export!A1795))</f>
        <v>TXN-101757</v>
      </c>
      <c r="B1795" s="37" t="n">
        <f aca="false">IF(Raw_Export!$A1795="","",IF(ISNUMBER(Raw_Export!B1795),Raw_Export!B1795,IF(MID(TRIM(Raw_Export!B1795),5,1)="-",DATE(LEFT(TRIM(Raw_Export!B1795),4),MID(TRIM(Raw_Export!B1795),6,2),RIGHT(TRIM(Raw_Export!B1795),2)),DATE(RIGHT(TRIM(Raw_Export!B1795),4),MATCH(MID(TRIM(Raw_Export!B1795),4,3),{"Jan","Feb","Mar","Apr","May","Jun","Jul","Aug","Sep","Oct","Nov","Dec"},0),LEFT(TRIM(Raw_Export!B1795),2)))))</f>
        <v>46276</v>
      </c>
      <c r="C1795" s="36" t="str">
        <f aca="false">IF(Raw_Export!$A1795="","",IFERROR(VLOOKUP(LOWER(TRIM(Raw_Export!C1795)),Maps!$A$2:$B$20,2,FALSE()),"UNMAPPED"))</f>
        <v>Nakuru</v>
      </c>
      <c r="D1795" s="36" t="str">
        <f aca="false">IF(Raw_Export!$A1795="","",IFERROR(VLOOKUP(LOWER(TRIM(Raw_Export!D1795)),Maps!$G$2:$I$80,2,FALSE()),"UNMAPPED"))</f>
        <v>Dish Soap 750ml</v>
      </c>
      <c r="E1795" s="36" t="str">
        <f aca="false">IF(Raw_Export!$A1795="","",IFERROR(VLOOKUP(LOWER(TRIM(Raw_Export!D1795)),Maps!$G$2:$I$80,3,FALSE()),"UNMAPPED"))</f>
        <v>Household</v>
      </c>
      <c r="F1795" s="36" t="n">
        <f aca="false">IF(Raw_Export!$A1795="","",IFERROR(VALUE(TRIM(Raw_Export!E1795)),0))</f>
        <v>4</v>
      </c>
      <c r="G1795" s="38" t="n">
        <f aca="false">IF(Raw_Export!$A1795="","",IFERROR(VALUE(SUBSTITUTE(SUBSTITUTE(UPPER(TRIM(Raw_Export!F1795)),"KES",""),",","")),0))</f>
        <v>190</v>
      </c>
      <c r="H1795" s="38" t="n">
        <f aca="false">IF(Raw_Export!$A1795="","",F1795*G1795)</f>
        <v>760</v>
      </c>
      <c r="I1795" s="36" t="str">
        <f aca="false">IF(Raw_Export!$A1795="","",IFERROR(VLOOKUP(LOWER(TRIM(Raw_Export!H1795)),Maps!$D$2:$E$12,2,FALSE()),"Other"))</f>
        <v>Cash</v>
      </c>
      <c r="J1795" s="36" t="str">
        <f aca="false">IF(Raw_Export!$A1795="","",IF(COUNTIF($A$2:A1795,A1795)&gt;1,"Duplicate",""))</f>
        <v/>
      </c>
      <c r="K1795" s="36" t="str">
        <f aca="false">IF(Raw_Export!$A1795="","",IF(J1795="Duplicate","Duplicate",IF(OR(C1795="UNMAPPED",D1795="UNMAPPED"),"Unmapped",IF(F1795=0,"Blank qty",IF(F1795&lt;0,"Return","OK")))))</f>
        <v>OK</v>
      </c>
      <c r="L1795" s="36" t="n">
        <f aca="false">IF(Raw_Export!$A1795="","",IF(OR(K1795="OK",K1795="Return"),1,0))</f>
        <v>1</v>
      </c>
      <c r="M1795" s="37" t="n">
        <f aca="false">IF(Raw_Export!$A1795="","",B1795-WEEKDAY(B1795,2)+1)</f>
        <v>46272</v>
      </c>
    </row>
    <row r="1796" customFormat="false" ht="15" hidden="false" customHeight="false" outlineLevel="0" collapsed="false">
      <c r="A1796" s="36" t="str">
        <f aca="false">IF(Raw_Export!$A1796="","",TRIM(Raw_Export!A1796))</f>
        <v>TXN-101758</v>
      </c>
      <c r="B1796" s="37" t="n">
        <f aca="false">IF(Raw_Export!$A1796="","",IF(ISNUMBER(Raw_Export!B1796),Raw_Export!B1796,IF(MID(TRIM(Raw_Export!B1796),5,1)="-",DATE(LEFT(TRIM(Raw_Export!B1796),4),MID(TRIM(Raw_Export!B1796),6,2),RIGHT(TRIM(Raw_Export!B1796),2)),DATE(RIGHT(TRIM(Raw_Export!B1796),4),MATCH(MID(TRIM(Raw_Export!B1796),4,3),{"Jan","Feb","Mar","Apr","May","Jun","Jul","Aug","Sep","Oct","Nov","Dec"},0),LEFT(TRIM(Raw_Export!B1796),2)))))</f>
        <v>46276</v>
      </c>
      <c r="C1796" s="36" t="str">
        <f aca="false">IF(Raw_Export!$A1796="","",IFERROR(VLOOKUP(LOWER(TRIM(Raw_Export!C1796)),Maps!$A$2:$B$20,2,FALSE()),"UNMAPPED"))</f>
        <v>Nakuru</v>
      </c>
      <c r="D1796" s="36" t="str">
        <f aca="false">IF(Raw_Export!$A1796="","",IFERROR(VLOOKUP(LOWER(TRIM(Raw_Export!D1796)),Maps!$G$2:$I$80,2,FALSE()),"UNMAPPED"))</f>
        <v>Body Lotion 400ml</v>
      </c>
      <c r="E1796" s="36" t="str">
        <f aca="false">IF(Raw_Export!$A1796="","",IFERROR(VLOOKUP(LOWER(TRIM(Raw_Export!D1796)),Maps!$G$2:$I$80,3,FALSE()),"UNMAPPED"))</f>
        <v>Personal Care</v>
      </c>
      <c r="F1796" s="36" t="n">
        <f aca="false">IF(Raw_Export!$A1796="","",IFERROR(VALUE(TRIM(Raw_Export!E1796)),0))</f>
        <v>6</v>
      </c>
      <c r="G1796" s="38" t="n">
        <f aca="false">IF(Raw_Export!$A1796="","",IFERROR(VALUE(SUBSTITUTE(SUBSTITUTE(UPPER(TRIM(Raw_Export!F1796)),"KES",""),",","")),0))</f>
        <v>420</v>
      </c>
      <c r="H1796" s="38" t="n">
        <f aca="false">IF(Raw_Export!$A1796="","",F1796*G1796)</f>
        <v>2520</v>
      </c>
      <c r="I1796" s="36" t="str">
        <f aca="false">IF(Raw_Export!$A1796="","",IFERROR(VLOOKUP(LOWER(TRIM(Raw_Export!H1796)),Maps!$D$2:$E$12,2,FALSE()),"Other"))</f>
        <v>M-Pesa</v>
      </c>
      <c r="J1796" s="36" t="str">
        <f aca="false">IF(Raw_Export!$A1796="","",IF(COUNTIF($A$2:A1796,A1796)&gt;1,"Duplicate",""))</f>
        <v/>
      </c>
      <c r="K1796" s="36" t="str">
        <f aca="false">IF(Raw_Export!$A1796="","",IF(J1796="Duplicate","Duplicate",IF(OR(C1796="UNMAPPED",D1796="UNMAPPED"),"Unmapped",IF(F1796=0,"Blank qty",IF(F1796&lt;0,"Return","OK")))))</f>
        <v>OK</v>
      </c>
      <c r="L1796" s="36" t="n">
        <f aca="false">IF(Raw_Export!$A1796="","",IF(OR(K1796="OK",K1796="Return"),1,0))</f>
        <v>1</v>
      </c>
      <c r="M1796" s="37" t="n">
        <f aca="false">IF(Raw_Export!$A1796="","",B1796-WEEKDAY(B1796,2)+1)</f>
        <v>46272</v>
      </c>
    </row>
    <row r="1797" customFormat="false" ht="15" hidden="false" customHeight="false" outlineLevel="0" collapsed="false">
      <c r="A1797" s="36" t="str">
        <f aca="false">IF(Raw_Export!$A1797="","",TRIM(Raw_Export!A1797))</f>
        <v>TXN-101759</v>
      </c>
      <c r="B1797" s="37" t="n">
        <f aca="false">IF(Raw_Export!$A1797="","",IF(ISNUMBER(Raw_Export!B1797),Raw_Export!B1797,IF(MID(TRIM(Raw_Export!B1797),5,1)="-",DATE(LEFT(TRIM(Raw_Export!B1797),4),MID(TRIM(Raw_Export!B1797),6,2),RIGHT(TRIM(Raw_Export!B1797),2)),DATE(RIGHT(TRIM(Raw_Export!B1797),4),MATCH(MID(TRIM(Raw_Export!B1797),4,3),{"Jan","Feb","Mar","Apr","May","Jun","Jul","Aug","Sep","Oct","Nov","Dec"},0),LEFT(TRIM(Raw_Export!B1797),2)))))</f>
        <v>46276</v>
      </c>
      <c r="C1797" s="36" t="str">
        <f aca="false">IF(Raw_Export!$A1797="","",IFERROR(VLOOKUP(LOWER(TRIM(Raw_Export!C1797)),Maps!$A$2:$B$20,2,FALSE()),"UNMAPPED"))</f>
        <v>Nakuru</v>
      </c>
      <c r="D1797" s="36" t="str">
        <f aca="false">IF(Raw_Export!$A1797="","",IFERROR(VLOOKUP(LOWER(TRIM(Raw_Export!D1797)),Maps!$G$2:$I$80,2,FALSE()),"UNMAPPED"))</f>
        <v>Salt 500g</v>
      </c>
      <c r="E1797" s="36" t="str">
        <f aca="false">IF(Raw_Export!$A1797="","",IFERROR(VLOOKUP(LOWER(TRIM(Raw_Export!D1797)),Maps!$G$2:$I$80,3,FALSE()),"UNMAPPED"))</f>
        <v>Staples</v>
      </c>
      <c r="F1797" s="36" t="n">
        <f aca="false">IF(Raw_Export!$A1797="","",IFERROR(VALUE(TRIM(Raw_Export!E1797)),0))</f>
        <v>2</v>
      </c>
      <c r="G1797" s="38" t="n">
        <f aca="false">IF(Raw_Export!$A1797="","",IFERROR(VALUE(SUBSTITUTE(SUBSTITUTE(UPPER(TRIM(Raw_Export!F1797)),"KES",""),",","")),0))</f>
        <v>40</v>
      </c>
      <c r="H1797" s="38" t="n">
        <f aca="false">IF(Raw_Export!$A1797="","",F1797*G1797)</f>
        <v>80</v>
      </c>
      <c r="I1797" s="36" t="str">
        <f aca="false">IF(Raw_Export!$A1797="","",IFERROR(VLOOKUP(LOWER(TRIM(Raw_Export!H1797)),Maps!$D$2:$E$12,2,FALSE()),"Other"))</f>
        <v>M-Pesa</v>
      </c>
      <c r="J1797" s="36" t="str">
        <f aca="false">IF(Raw_Export!$A1797="","",IF(COUNTIF($A$2:A1797,A1797)&gt;1,"Duplicate",""))</f>
        <v/>
      </c>
      <c r="K1797" s="36" t="str">
        <f aca="false">IF(Raw_Export!$A1797="","",IF(J1797="Duplicate","Duplicate",IF(OR(C1797="UNMAPPED",D1797="UNMAPPED"),"Unmapped",IF(F1797=0,"Blank qty",IF(F1797&lt;0,"Return","OK")))))</f>
        <v>OK</v>
      </c>
      <c r="L1797" s="36" t="n">
        <f aca="false">IF(Raw_Export!$A1797="","",IF(OR(K1797="OK",K1797="Return"),1,0))</f>
        <v>1</v>
      </c>
      <c r="M1797" s="37" t="n">
        <f aca="false">IF(Raw_Export!$A1797="","",B1797-WEEKDAY(B1797,2)+1)</f>
        <v>46272</v>
      </c>
    </row>
    <row r="1798" customFormat="false" ht="15" hidden="false" customHeight="false" outlineLevel="0" collapsed="false">
      <c r="A1798" s="36" t="str">
        <f aca="false">IF(Raw_Export!$A1798="","",TRIM(Raw_Export!A1798))</f>
        <v>TXN-101760</v>
      </c>
      <c r="B1798" s="37" t="n">
        <f aca="false">IF(Raw_Export!$A1798="","",IF(ISNUMBER(Raw_Export!B1798),Raw_Export!B1798,IF(MID(TRIM(Raw_Export!B1798),5,1)="-",DATE(LEFT(TRIM(Raw_Export!B1798),4),MID(TRIM(Raw_Export!B1798),6,2),RIGHT(TRIM(Raw_Export!B1798),2)),DATE(RIGHT(TRIM(Raw_Export!B1798),4),MATCH(MID(TRIM(Raw_Export!B1798),4,3),{"Jan","Feb","Mar","Apr","May","Jun","Jul","Aug","Sep","Oct","Nov","Dec"},0),LEFT(TRIM(Raw_Export!B1798),2)))))</f>
        <v>46276</v>
      </c>
      <c r="C1798" s="36" t="str">
        <f aca="false">IF(Raw_Export!$A1798="","",IFERROR(VLOOKUP(LOWER(TRIM(Raw_Export!C1798)),Maps!$A$2:$B$20,2,FALSE()),"UNMAPPED"))</f>
        <v>Nakuru</v>
      </c>
      <c r="D1798" s="36" t="str">
        <f aca="false">IF(Raw_Export!$A1798="","",IFERROR(VLOOKUP(LOWER(TRIM(Raw_Export!D1798)),Maps!$G$2:$I$80,2,FALSE()),"UNMAPPED"))</f>
        <v>Spaghetti 400g</v>
      </c>
      <c r="E1798" s="36" t="str">
        <f aca="false">IF(Raw_Export!$A1798="","",IFERROR(VLOOKUP(LOWER(TRIM(Raw_Export!D1798)),Maps!$G$2:$I$80,3,FALSE()),"UNMAPPED"))</f>
        <v>Staples</v>
      </c>
      <c r="F1798" s="36" t="n">
        <f aca="false">IF(Raw_Export!$A1798="","",IFERROR(VALUE(TRIM(Raw_Export!E1798)),0))</f>
        <v>2</v>
      </c>
      <c r="G1798" s="38" t="n">
        <f aca="false">IF(Raw_Export!$A1798="","",IFERROR(VALUE(SUBSTITUTE(SUBSTITUTE(UPPER(TRIM(Raw_Export!F1798)),"KES",""),",","")),0))</f>
        <v>110</v>
      </c>
      <c r="H1798" s="38" t="n">
        <f aca="false">IF(Raw_Export!$A1798="","",F1798*G1798)</f>
        <v>220</v>
      </c>
      <c r="I1798" s="36" t="str">
        <f aca="false">IF(Raw_Export!$A1798="","",IFERROR(VLOOKUP(LOWER(TRIM(Raw_Export!H1798)),Maps!$D$2:$E$12,2,FALSE()),"Other"))</f>
        <v>Cash</v>
      </c>
      <c r="J1798" s="36" t="str">
        <f aca="false">IF(Raw_Export!$A1798="","",IF(COUNTIF($A$2:A1798,A1798)&gt;1,"Duplicate",""))</f>
        <v/>
      </c>
      <c r="K1798" s="36" t="str">
        <f aca="false">IF(Raw_Export!$A1798="","",IF(J1798="Duplicate","Duplicate",IF(OR(C1798="UNMAPPED",D1798="UNMAPPED"),"Unmapped",IF(F1798=0,"Blank qty",IF(F1798&lt;0,"Return","OK")))))</f>
        <v>OK</v>
      </c>
      <c r="L1798" s="36" t="n">
        <f aca="false">IF(Raw_Export!$A1798="","",IF(OR(K1798="OK",K1798="Return"),1,0))</f>
        <v>1</v>
      </c>
      <c r="M1798" s="37" t="n">
        <f aca="false">IF(Raw_Export!$A1798="","",B1798-WEEKDAY(B1798,2)+1)</f>
        <v>46272</v>
      </c>
    </row>
    <row r="1799" customFormat="false" ht="15" hidden="false" customHeight="false" outlineLevel="0" collapsed="false">
      <c r="A1799" s="36" t="str">
        <f aca="false">IF(Raw_Export!$A1799="","",TRIM(Raw_Export!A1799))</f>
        <v>TXN-101761</v>
      </c>
      <c r="B1799" s="37" t="n">
        <f aca="false">IF(Raw_Export!$A1799="","",IF(ISNUMBER(Raw_Export!B1799),Raw_Export!B1799,IF(MID(TRIM(Raw_Export!B1799),5,1)="-",DATE(LEFT(TRIM(Raw_Export!B1799),4),MID(TRIM(Raw_Export!B1799),6,2),RIGHT(TRIM(Raw_Export!B1799),2)),DATE(RIGHT(TRIM(Raw_Export!B1799),4),MATCH(MID(TRIM(Raw_Export!B1799),4,3),{"Jan","Feb","Mar","Apr","May","Jun","Jul","Aug","Sep","Oct","Nov","Dec"},0),LEFT(TRIM(Raw_Export!B1799),2)))))</f>
        <v>46276</v>
      </c>
      <c r="C1799" s="36" t="str">
        <f aca="false">IF(Raw_Export!$A1799="","",IFERROR(VLOOKUP(LOWER(TRIM(Raw_Export!C1799)),Maps!$A$2:$B$20,2,FALSE()),"UNMAPPED"))</f>
        <v>Nakuru</v>
      </c>
      <c r="D1799" s="36" t="str">
        <f aca="false">IF(Raw_Export!$A1799="","",IFERROR(VLOOKUP(LOWER(TRIM(Raw_Export!D1799)),Maps!$G$2:$I$80,2,FALSE()),"UNMAPPED"))</f>
        <v>Unga Pembe 2kg</v>
      </c>
      <c r="E1799" s="36" t="str">
        <f aca="false">IF(Raw_Export!$A1799="","",IFERROR(VLOOKUP(LOWER(TRIM(Raw_Export!D1799)),Maps!$G$2:$I$80,3,FALSE()),"UNMAPPED"))</f>
        <v>Staples</v>
      </c>
      <c r="F1799" s="36" t="n">
        <f aca="false">IF(Raw_Export!$A1799="","",IFERROR(VALUE(TRIM(Raw_Export!E1799)),0))</f>
        <v>3</v>
      </c>
      <c r="G1799" s="38" t="n">
        <f aca="false">IF(Raw_Export!$A1799="","",IFERROR(VALUE(SUBSTITUTE(SUBSTITUTE(UPPER(TRIM(Raw_Export!F1799)),"KES",""),",","")),0))</f>
        <v>190</v>
      </c>
      <c r="H1799" s="38" t="n">
        <f aca="false">IF(Raw_Export!$A1799="","",F1799*G1799)</f>
        <v>570</v>
      </c>
      <c r="I1799" s="36" t="str">
        <f aca="false">IF(Raw_Export!$A1799="","",IFERROR(VLOOKUP(LOWER(TRIM(Raw_Export!H1799)),Maps!$D$2:$E$12,2,FALSE()),"Other"))</f>
        <v>M-Pesa</v>
      </c>
      <c r="J1799" s="36" t="str">
        <f aca="false">IF(Raw_Export!$A1799="","",IF(COUNTIF($A$2:A1799,A1799)&gt;1,"Duplicate",""))</f>
        <v/>
      </c>
      <c r="K1799" s="36" t="str">
        <f aca="false">IF(Raw_Export!$A1799="","",IF(J1799="Duplicate","Duplicate",IF(OR(C1799="UNMAPPED",D1799="UNMAPPED"),"Unmapped",IF(F1799=0,"Blank qty",IF(F1799&lt;0,"Return","OK")))))</f>
        <v>OK</v>
      </c>
      <c r="L1799" s="36" t="n">
        <f aca="false">IF(Raw_Export!$A1799="","",IF(OR(K1799="OK",K1799="Return"),1,0))</f>
        <v>1</v>
      </c>
      <c r="M1799" s="37" t="n">
        <f aca="false">IF(Raw_Export!$A1799="","",B1799-WEEKDAY(B1799,2)+1)</f>
        <v>46272</v>
      </c>
    </row>
    <row r="1800" customFormat="false" ht="15" hidden="false" customHeight="false" outlineLevel="0" collapsed="false">
      <c r="A1800" s="36" t="str">
        <f aca="false">IF(Raw_Export!$A1800="","",TRIM(Raw_Export!A1800))</f>
        <v>TXN-101762</v>
      </c>
      <c r="B1800" s="37" t="n">
        <f aca="false">IF(Raw_Export!$A1800="","",IF(ISNUMBER(Raw_Export!B1800),Raw_Export!B1800,IF(MID(TRIM(Raw_Export!B1800),5,1)="-",DATE(LEFT(TRIM(Raw_Export!B1800),4),MID(TRIM(Raw_Export!B1800),6,2),RIGHT(TRIM(Raw_Export!B1800),2)),DATE(RIGHT(TRIM(Raw_Export!B1800),4),MATCH(MID(TRIM(Raw_Export!B1800),4,3),{"Jan","Feb","Mar","Apr","May","Jun","Jul","Aug","Sep","Oct","Nov","Dec"},0),LEFT(TRIM(Raw_Export!B1800),2)))))</f>
        <v>46276</v>
      </c>
      <c r="C1800" s="36" t="str">
        <f aca="false">IF(Raw_Export!$A1800="","",IFERROR(VLOOKUP(LOWER(TRIM(Raw_Export!C1800)),Maps!$A$2:$B$20,2,FALSE()),"UNMAPPED"))</f>
        <v>Nakuru</v>
      </c>
      <c r="D1800" s="36" t="str">
        <f aca="false">IF(Raw_Export!$A1800="","",IFERROR(VLOOKUP(LOWER(TRIM(Raw_Export!D1800)),Maps!$G$2:$I$80,2,FALSE()),"UNMAPPED"))</f>
        <v>Deodorant 150ml</v>
      </c>
      <c r="E1800" s="36" t="str">
        <f aca="false">IF(Raw_Export!$A1800="","",IFERROR(VLOOKUP(LOWER(TRIM(Raw_Export!D1800)),Maps!$G$2:$I$80,3,FALSE()),"UNMAPPED"))</f>
        <v>Personal Care</v>
      </c>
      <c r="F1800" s="36" t="n">
        <f aca="false">IF(Raw_Export!$A1800="","",IFERROR(VALUE(TRIM(Raw_Export!E1800)),0))</f>
        <v>6</v>
      </c>
      <c r="G1800" s="38" t="n">
        <f aca="false">IF(Raw_Export!$A1800="","",IFERROR(VALUE(SUBSTITUTE(SUBSTITUTE(UPPER(TRIM(Raw_Export!F1800)),"KES",""),",","")),0))</f>
        <v>350</v>
      </c>
      <c r="H1800" s="38" t="n">
        <f aca="false">IF(Raw_Export!$A1800="","",F1800*G1800)</f>
        <v>2100</v>
      </c>
      <c r="I1800" s="36" t="str">
        <f aca="false">IF(Raw_Export!$A1800="","",IFERROR(VLOOKUP(LOWER(TRIM(Raw_Export!H1800)),Maps!$D$2:$E$12,2,FALSE()),"Other"))</f>
        <v>M-Pesa</v>
      </c>
      <c r="J1800" s="36" t="str">
        <f aca="false">IF(Raw_Export!$A1800="","",IF(COUNTIF($A$2:A1800,A1800)&gt;1,"Duplicate",""))</f>
        <v/>
      </c>
      <c r="K1800" s="36" t="str">
        <f aca="false">IF(Raw_Export!$A1800="","",IF(J1800="Duplicate","Duplicate",IF(OR(C1800="UNMAPPED",D1800="UNMAPPED"),"Unmapped",IF(F1800=0,"Blank qty",IF(F1800&lt;0,"Return","OK")))))</f>
        <v>OK</v>
      </c>
      <c r="L1800" s="36" t="n">
        <f aca="false">IF(Raw_Export!$A1800="","",IF(OR(K1800="OK",K1800="Return"),1,0))</f>
        <v>1</v>
      </c>
      <c r="M1800" s="37" t="n">
        <f aca="false">IF(Raw_Export!$A1800="","",B1800-WEEKDAY(B1800,2)+1)</f>
        <v>46272</v>
      </c>
    </row>
    <row r="1801" customFormat="false" ht="15" hidden="false" customHeight="false" outlineLevel="0" collapsed="false">
      <c r="A1801" s="36" t="str">
        <f aca="false">IF(Raw_Export!$A1801="","",TRIM(Raw_Export!A1801))</f>
        <v>TXN-101763</v>
      </c>
      <c r="B1801" s="37" t="n">
        <f aca="false">IF(Raw_Export!$A1801="","",IF(ISNUMBER(Raw_Export!B1801),Raw_Export!B1801,IF(MID(TRIM(Raw_Export!B1801),5,1)="-",DATE(LEFT(TRIM(Raw_Export!B1801),4),MID(TRIM(Raw_Export!B1801),6,2),RIGHT(TRIM(Raw_Export!B1801),2)),DATE(RIGHT(TRIM(Raw_Export!B1801),4),MATCH(MID(TRIM(Raw_Export!B1801),4,3),{"Jan","Feb","Mar","Apr","May","Jun","Jul","Aug","Sep","Oct","Nov","Dec"},0),LEFT(TRIM(Raw_Export!B1801),2)))))</f>
        <v>46276</v>
      </c>
      <c r="C1801" s="36" t="str">
        <f aca="false">IF(Raw_Export!$A1801="","",IFERROR(VLOOKUP(LOWER(TRIM(Raw_Export!C1801)),Maps!$A$2:$B$20,2,FALSE()),"UNMAPPED"))</f>
        <v>Nakuru</v>
      </c>
      <c r="D1801" s="36" t="str">
        <f aca="false">IF(Raw_Export!$A1801="","",IFERROR(VLOOKUP(LOWER(TRIM(Raw_Export!D1801)),Maps!$G$2:$I$80,2,FALSE()),"UNMAPPED"))</f>
        <v>Sanitary Pads 8pk</v>
      </c>
      <c r="E1801" s="36" t="str">
        <f aca="false">IF(Raw_Export!$A1801="","",IFERROR(VLOOKUP(LOWER(TRIM(Raw_Export!D1801)),Maps!$G$2:$I$80,3,FALSE()),"UNMAPPED"))</f>
        <v>Personal Care</v>
      </c>
      <c r="F1801" s="36" t="n">
        <f aca="false">IF(Raw_Export!$A1801="","",IFERROR(VALUE(TRIM(Raw_Export!E1801)),0))</f>
        <v>2</v>
      </c>
      <c r="G1801" s="38" t="n">
        <f aca="false">IF(Raw_Export!$A1801="","",IFERROR(VALUE(SUBSTITUTE(SUBSTITUTE(UPPER(TRIM(Raw_Export!F1801)),"KES",""),",","")),0))</f>
        <v>130</v>
      </c>
      <c r="H1801" s="38" t="n">
        <f aca="false">IF(Raw_Export!$A1801="","",F1801*G1801)</f>
        <v>260</v>
      </c>
      <c r="I1801" s="36" t="str">
        <f aca="false">IF(Raw_Export!$A1801="","",IFERROR(VLOOKUP(LOWER(TRIM(Raw_Export!H1801)),Maps!$D$2:$E$12,2,FALSE()),"Other"))</f>
        <v>Cash</v>
      </c>
      <c r="J1801" s="36" t="str">
        <f aca="false">IF(Raw_Export!$A1801="","",IF(COUNTIF($A$2:A1801,A1801)&gt;1,"Duplicate",""))</f>
        <v/>
      </c>
      <c r="K1801" s="36" t="str">
        <f aca="false">IF(Raw_Export!$A1801="","",IF(J1801="Duplicate","Duplicate",IF(OR(C1801="UNMAPPED",D1801="UNMAPPED"),"Unmapped",IF(F1801=0,"Blank qty",IF(F1801&lt;0,"Return","OK")))))</f>
        <v>OK</v>
      </c>
      <c r="L1801" s="36" t="n">
        <f aca="false">IF(Raw_Export!$A1801="","",IF(OR(K1801="OK",K1801="Return"),1,0))</f>
        <v>1</v>
      </c>
      <c r="M1801" s="37" t="n">
        <f aca="false">IF(Raw_Export!$A1801="","",B1801-WEEKDAY(B1801,2)+1)</f>
        <v>46272</v>
      </c>
    </row>
    <row r="1802" customFormat="false" ht="15" hidden="false" customHeight="false" outlineLevel="0" collapsed="false">
      <c r="A1802" s="36" t="str">
        <f aca="false">IF(Raw_Export!$A1802="","",TRIM(Raw_Export!A1802))</f>
        <v>TXN-101764</v>
      </c>
      <c r="B1802" s="37" t="n">
        <f aca="false">IF(Raw_Export!$A1802="","",IF(ISNUMBER(Raw_Export!B1802),Raw_Export!B1802,IF(MID(TRIM(Raw_Export!B1802),5,1)="-",DATE(LEFT(TRIM(Raw_Export!B1802),4),MID(TRIM(Raw_Export!B1802),6,2),RIGHT(TRIM(Raw_Export!B1802),2)),DATE(RIGHT(TRIM(Raw_Export!B1802),4),MATCH(MID(TRIM(Raw_Export!B1802),4,3),{"Jan","Feb","Mar","Apr","May","Jun","Jul","Aug","Sep","Oct","Nov","Dec"},0),LEFT(TRIM(Raw_Export!B1802),2)))))</f>
        <v>46276</v>
      </c>
      <c r="C1802" s="36" t="str">
        <f aca="false">IF(Raw_Export!$A1802="","",IFERROR(VLOOKUP(LOWER(TRIM(Raw_Export!C1802)),Maps!$A$2:$B$20,2,FALSE()),"UNMAPPED"))</f>
        <v>Nakuru</v>
      </c>
      <c r="D1802" s="36" t="str">
        <f aca="false">IF(Raw_Export!$A1802="","",IFERROR(VLOOKUP(LOWER(TRIM(Raw_Export!D1802)),Maps!$G$2:$I$80,2,FALSE()),"UNMAPPED"))</f>
        <v>Fresh Milk 500ml</v>
      </c>
      <c r="E1802" s="36" t="str">
        <f aca="false">IF(Raw_Export!$A1802="","",IFERROR(VLOOKUP(LOWER(TRIM(Raw_Export!D1802)),Maps!$G$2:$I$80,3,FALSE()),"UNMAPPED"))</f>
        <v>Dairy &amp; Eggs</v>
      </c>
      <c r="F1802" s="36" t="n">
        <f aca="false">IF(Raw_Export!$A1802="","",IFERROR(VALUE(TRIM(Raw_Export!E1802)),0))</f>
        <v>2</v>
      </c>
      <c r="G1802" s="38" t="n">
        <f aca="false">IF(Raw_Export!$A1802="","",IFERROR(VALUE(SUBSTITUTE(SUBSTITUTE(UPPER(TRIM(Raw_Export!F1802)),"KES",""),",","")),0))</f>
        <v>65</v>
      </c>
      <c r="H1802" s="38" t="n">
        <f aca="false">IF(Raw_Export!$A1802="","",F1802*G1802)</f>
        <v>130</v>
      </c>
      <c r="I1802" s="36" t="str">
        <f aca="false">IF(Raw_Export!$A1802="","",IFERROR(VLOOKUP(LOWER(TRIM(Raw_Export!H1802)),Maps!$D$2:$E$12,2,FALSE()),"Other"))</f>
        <v>Card</v>
      </c>
      <c r="J1802" s="36" t="str">
        <f aca="false">IF(Raw_Export!$A1802="","",IF(COUNTIF($A$2:A1802,A1802)&gt;1,"Duplicate",""))</f>
        <v/>
      </c>
      <c r="K1802" s="36" t="str">
        <f aca="false">IF(Raw_Export!$A1802="","",IF(J1802="Duplicate","Duplicate",IF(OR(C1802="UNMAPPED",D1802="UNMAPPED"),"Unmapped",IF(F1802=0,"Blank qty",IF(F1802&lt;0,"Return","OK")))))</f>
        <v>OK</v>
      </c>
      <c r="L1802" s="36" t="n">
        <f aca="false">IF(Raw_Export!$A1802="","",IF(OR(K1802="OK",K1802="Return"),1,0))</f>
        <v>1</v>
      </c>
      <c r="M1802" s="37" t="n">
        <f aca="false">IF(Raw_Export!$A1802="","",B1802-WEEKDAY(B1802,2)+1)</f>
        <v>46272</v>
      </c>
    </row>
    <row r="1803" customFormat="false" ht="15" hidden="false" customHeight="false" outlineLevel="0" collapsed="false">
      <c r="A1803" s="36" t="str">
        <f aca="false">IF(Raw_Export!$A1803="","",TRIM(Raw_Export!A1803))</f>
        <v>TXN-101765</v>
      </c>
      <c r="B1803" s="37" t="n">
        <f aca="false">IF(Raw_Export!$A1803="","",IF(ISNUMBER(Raw_Export!B1803),Raw_Export!B1803,IF(MID(TRIM(Raw_Export!B1803),5,1)="-",DATE(LEFT(TRIM(Raw_Export!B1803),4),MID(TRIM(Raw_Export!B1803),6,2),RIGHT(TRIM(Raw_Export!B1803),2)),DATE(RIGHT(TRIM(Raw_Export!B1803),4),MATCH(MID(TRIM(Raw_Export!B1803),4,3),{"Jan","Feb","Mar","Apr","May","Jun","Jul","Aug","Sep","Oct","Nov","Dec"},0),LEFT(TRIM(Raw_Export!B1803),2)))))</f>
        <v>46276</v>
      </c>
      <c r="C1803" s="36" t="str">
        <f aca="false">IF(Raw_Export!$A1803="","",IFERROR(VLOOKUP(LOWER(TRIM(Raw_Export!C1803)),Maps!$A$2:$B$20,2,FALSE()),"UNMAPPED"))</f>
        <v>Nakuru</v>
      </c>
      <c r="D1803" s="36" t="str">
        <f aca="false">IF(Raw_Export!$A1803="","",IFERROR(VLOOKUP(LOWER(TRIM(Raw_Export!D1803)),Maps!$G$2:$I$80,2,FALSE()),"UNMAPPED"))</f>
        <v>Spaghetti 400g</v>
      </c>
      <c r="E1803" s="36" t="str">
        <f aca="false">IF(Raw_Export!$A1803="","",IFERROR(VLOOKUP(LOWER(TRIM(Raw_Export!D1803)),Maps!$G$2:$I$80,3,FALSE()),"UNMAPPED"))</f>
        <v>Staples</v>
      </c>
      <c r="F1803" s="36" t="n">
        <f aca="false">IF(Raw_Export!$A1803="","",IFERROR(VALUE(TRIM(Raw_Export!E1803)),0))</f>
        <v>6</v>
      </c>
      <c r="G1803" s="38" t="n">
        <f aca="false">IF(Raw_Export!$A1803="","",IFERROR(VALUE(SUBSTITUTE(SUBSTITUTE(UPPER(TRIM(Raw_Export!F1803)),"KES",""),",","")),0))</f>
        <v>110</v>
      </c>
      <c r="H1803" s="38" t="n">
        <f aca="false">IF(Raw_Export!$A1803="","",F1803*G1803)</f>
        <v>660</v>
      </c>
      <c r="I1803" s="36" t="str">
        <f aca="false">IF(Raw_Export!$A1803="","",IFERROR(VLOOKUP(LOWER(TRIM(Raw_Export!H1803)),Maps!$D$2:$E$12,2,FALSE()),"Other"))</f>
        <v>Cash</v>
      </c>
      <c r="J1803" s="36" t="str">
        <f aca="false">IF(Raw_Export!$A1803="","",IF(COUNTIF($A$2:A1803,A1803)&gt;1,"Duplicate",""))</f>
        <v/>
      </c>
      <c r="K1803" s="36" t="str">
        <f aca="false">IF(Raw_Export!$A1803="","",IF(J1803="Duplicate","Duplicate",IF(OR(C1803="UNMAPPED",D1803="UNMAPPED"),"Unmapped",IF(F1803=0,"Blank qty",IF(F1803&lt;0,"Return","OK")))))</f>
        <v>OK</v>
      </c>
      <c r="L1803" s="36" t="n">
        <f aca="false">IF(Raw_Export!$A1803="","",IF(OR(K1803="OK",K1803="Return"),1,0))</f>
        <v>1</v>
      </c>
      <c r="M1803" s="37" t="n">
        <f aca="false">IF(Raw_Export!$A1803="","",B1803-WEEKDAY(B1803,2)+1)</f>
        <v>46272</v>
      </c>
    </row>
    <row r="1804" customFormat="false" ht="15" hidden="false" customHeight="false" outlineLevel="0" collapsed="false">
      <c r="A1804" s="36" t="str">
        <f aca="false">IF(Raw_Export!$A1804="","",TRIM(Raw_Export!A1804))</f>
        <v>TXN-101766</v>
      </c>
      <c r="B1804" s="37" t="n">
        <f aca="false">IF(Raw_Export!$A1804="","",IF(ISNUMBER(Raw_Export!B1804),Raw_Export!B1804,IF(MID(TRIM(Raw_Export!B1804),5,1)="-",DATE(LEFT(TRIM(Raw_Export!B1804),4),MID(TRIM(Raw_Export!B1804),6,2),RIGHT(TRIM(Raw_Export!B1804),2)),DATE(RIGHT(TRIM(Raw_Export!B1804),4),MATCH(MID(TRIM(Raw_Export!B1804),4,3),{"Jan","Feb","Mar","Apr","May","Jun","Jul","Aug","Sep","Oct","Nov","Dec"},0),LEFT(TRIM(Raw_Export!B1804),2)))))</f>
        <v>46276</v>
      </c>
      <c r="C1804" s="36" t="str">
        <f aca="false">IF(Raw_Export!$A1804="","",IFERROR(VLOOKUP(LOWER(TRIM(Raw_Export!C1804)),Maps!$A$2:$B$20,2,FALSE()),"UNMAPPED"))</f>
        <v>Nakuru</v>
      </c>
      <c r="D1804" s="36" t="str">
        <f aca="false">IF(Raw_Export!$A1804="","",IFERROR(VLOOKUP(LOWER(TRIM(Raw_Export!D1804)),Maps!$G$2:$I$80,2,FALSE()),"UNMAPPED"))</f>
        <v>Bread Loaf 400g</v>
      </c>
      <c r="E1804" s="36" t="str">
        <f aca="false">IF(Raw_Export!$A1804="","",IFERROR(VLOOKUP(LOWER(TRIM(Raw_Export!D1804)),Maps!$G$2:$I$80,3,FALSE()),"UNMAPPED"))</f>
        <v>Snacks</v>
      </c>
      <c r="F1804" s="36" t="n">
        <f aca="false">IF(Raw_Export!$A1804="","",IFERROR(VALUE(TRIM(Raw_Export!E1804)),0))</f>
        <v>3</v>
      </c>
      <c r="G1804" s="38" t="n">
        <f aca="false">IF(Raw_Export!$A1804="","",IFERROR(VALUE(SUBSTITUTE(SUBSTITUTE(UPPER(TRIM(Raw_Export!F1804)),"KES",""),",","")),0))</f>
        <v>65</v>
      </c>
      <c r="H1804" s="38" t="n">
        <f aca="false">IF(Raw_Export!$A1804="","",F1804*G1804)</f>
        <v>195</v>
      </c>
      <c r="I1804" s="36" t="str">
        <f aca="false">IF(Raw_Export!$A1804="","",IFERROR(VLOOKUP(LOWER(TRIM(Raw_Export!H1804)),Maps!$D$2:$E$12,2,FALSE()),"Other"))</f>
        <v>Card</v>
      </c>
      <c r="J1804" s="36" t="str">
        <f aca="false">IF(Raw_Export!$A1804="","",IF(COUNTIF($A$2:A1804,A1804)&gt;1,"Duplicate",""))</f>
        <v/>
      </c>
      <c r="K1804" s="36" t="str">
        <f aca="false">IF(Raw_Export!$A1804="","",IF(J1804="Duplicate","Duplicate",IF(OR(C1804="UNMAPPED",D1804="UNMAPPED"),"Unmapped",IF(F1804=0,"Blank qty",IF(F1804&lt;0,"Return","OK")))))</f>
        <v>OK</v>
      </c>
      <c r="L1804" s="36" t="n">
        <f aca="false">IF(Raw_Export!$A1804="","",IF(OR(K1804="OK",K1804="Return"),1,0))</f>
        <v>1</v>
      </c>
      <c r="M1804" s="37" t="n">
        <f aca="false">IF(Raw_Export!$A1804="","",B1804-WEEKDAY(B1804,2)+1)</f>
        <v>46272</v>
      </c>
    </row>
    <row r="1805" customFormat="false" ht="15" hidden="false" customHeight="false" outlineLevel="0" collapsed="false">
      <c r="A1805" s="36" t="str">
        <f aca="false">IF(Raw_Export!$A1805="","",TRIM(Raw_Export!A1805))</f>
        <v>TXN-101767</v>
      </c>
      <c r="B1805" s="37" t="n">
        <f aca="false">IF(Raw_Export!$A1805="","",IF(ISNUMBER(Raw_Export!B1805),Raw_Export!B1805,IF(MID(TRIM(Raw_Export!B1805),5,1)="-",DATE(LEFT(TRIM(Raw_Export!B1805),4),MID(TRIM(Raw_Export!B1805),6,2),RIGHT(TRIM(Raw_Export!B1805),2)),DATE(RIGHT(TRIM(Raw_Export!B1805),4),MATCH(MID(TRIM(Raw_Export!B1805),4,3),{"Jan","Feb","Mar","Apr","May","Jun","Jul","Aug","Sep","Oct","Nov","Dec"},0),LEFT(TRIM(Raw_Export!B1805),2)))))</f>
        <v>46276</v>
      </c>
      <c r="C1805" s="36" t="str">
        <f aca="false">IF(Raw_Export!$A1805="","",IFERROR(VLOOKUP(LOWER(TRIM(Raw_Export!C1805)),Maps!$A$2:$B$20,2,FALSE()),"UNMAPPED"))</f>
        <v>Nakuru</v>
      </c>
      <c r="D1805" s="36" t="str">
        <f aca="false">IF(Raw_Export!$A1805="","",IFERROR(VLOOKUP(LOWER(TRIM(Raw_Export!D1805)),Maps!$G$2:$I$80,2,FALSE()),"UNMAPPED"))</f>
        <v>Bath Soap 175g</v>
      </c>
      <c r="E1805" s="36" t="str">
        <f aca="false">IF(Raw_Export!$A1805="","",IFERROR(VLOOKUP(LOWER(TRIM(Raw_Export!D1805)),Maps!$G$2:$I$80,3,FALSE()),"UNMAPPED"))</f>
        <v>Personal Care</v>
      </c>
      <c r="F1805" s="36" t="n">
        <f aca="false">IF(Raw_Export!$A1805="","",IFERROR(VALUE(TRIM(Raw_Export!E1805)),0))</f>
        <v>2</v>
      </c>
      <c r="G1805" s="38" t="n">
        <f aca="false">IF(Raw_Export!$A1805="","",IFERROR(VALUE(SUBSTITUTE(SUBSTITUTE(UPPER(TRIM(Raw_Export!F1805)),"KES",""),",","")),0))</f>
        <v>85</v>
      </c>
      <c r="H1805" s="38" t="n">
        <f aca="false">IF(Raw_Export!$A1805="","",F1805*G1805)</f>
        <v>170</v>
      </c>
      <c r="I1805" s="36" t="str">
        <f aca="false">IF(Raw_Export!$A1805="","",IFERROR(VLOOKUP(LOWER(TRIM(Raw_Export!H1805)),Maps!$D$2:$E$12,2,FALSE()),"Other"))</f>
        <v>Card</v>
      </c>
      <c r="J1805" s="36" t="str">
        <f aca="false">IF(Raw_Export!$A1805="","",IF(COUNTIF($A$2:A1805,A1805)&gt;1,"Duplicate",""))</f>
        <v/>
      </c>
      <c r="K1805" s="36" t="str">
        <f aca="false">IF(Raw_Export!$A1805="","",IF(J1805="Duplicate","Duplicate",IF(OR(C1805="UNMAPPED",D1805="UNMAPPED"),"Unmapped",IF(F1805=0,"Blank qty",IF(F1805&lt;0,"Return","OK")))))</f>
        <v>OK</v>
      </c>
      <c r="L1805" s="36" t="n">
        <f aca="false">IF(Raw_Export!$A1805="","",IF(OR(K1805="OK",K1805="Return"),1,0))</f>
        <v>1</v>
      </c>
      <c r="M1805" s="37" t="n">
        <f aca="false">IF(Raw_Export!$A1805="","",B1805-WEEKDAY(B1805,2)+1)</f>
        <v>46272</v>
      </c>
    </row>
    <row r="1806" customFormat="false" ht="15" hidden="false" customHeight="false" outlineLevel="0" collapsed="false">
      <c r="A1806" s="36" t="str">
        <f aca="false">IF(Raw_Export!$A1806="","",TRIM(Raw_Export!A1806))</f>
        <v>TXN-101768</v>
      </c>
      <c r="B1806" s="37" t="n">
        <f aca="false">IF(Raw_Export!$A1806="","",IF(ISNUMBER(Raw_Export!B1806),Raw_Export!B1806,IF(MID(TRIM(Raw_Export!B1806),5,1)="-",DATE(LEFT(TRIM(Raw_Export!B1806),4),MID(TRIM(Raw_Export!B1806),6,2),RIGHT(TRIM(Raw_Export!B1806),2)),DATE(RIGHT(TRIM(Raw_Export!B1806),4),MATCH(MID(TRIM(Raw_Export!B1806),4,3),{"Jan","Feb","Mar","Apr","May","Jun","Jul","Aug","Sep","Oct","Nov","Dec"},0),LEFT(TRIM(Raw_Export!B1806),2)))))</f>
        <v>46276</v>
      </c>
      <c r="C1806" s="36" t="str">
        <f aca="false">IF(Raw_Export!$A1806="","",IFERROR(VLOOKUP(LOWER(TRIM(Raw_Export!C1806)),Maps!$A$2:$B$20,2,FALSE()),"UNMAPPED"))</f>
        <v>Nakuru</v>
      </c>
      <c r="D1806" s="36" t="str">
        <f aca="false">IF(Raw_Export!$A1806="","",IFERROR(VLOOKUP(LOWER(TRIM(Raw_Export!D1806)),Maps!$G$2:$I$80,2,FALSE()),"UNMAPPED"))</f>
        <v>Matches 10pk</v>
      </c>
      <c r="E1806" s="36" t="str">
        <f aca="false">IF(Raw_Export!$A1806="","",IFERROR(VLOOKUP(LOWER(TRIM(Raw_Export!D1806)),Maps!$G$2:$I$80,3,FALSE()),"UNMAPPED"))</f>
        <v>Household</v>
      </c>
      <c r="F1806" s="36" t="n">
        <f aca="false">IF(Raw_Export!$A1806="","",IFERROR(VALUE(TRIM(Raw_Export!E1806)),0))</f>
        <v>1</v>
      </c>
      <c r="G1806" s="38" t="n">
        <f aca="false">IF(Raw_Export!$A1806="","",IFERROR(VALUE(SUBSTITUTE(SUBSTITUTE(UPPER(TRIM(Raw_Export!F1806)),"KES",""),",","")),0))</f>
        <v>50</v>
      </c>
      <c r="H1806" s="38" t="n">
        <f aca="false">IF(Raw_Export!$A1806="","",F1806*G1806)</f>
        <v>50</v>
      </c>
      <c r="I1806" s="36" t="str">
        <f aca="false">IF(Raw_Export!$A1806="","",IFERROR(VLOOKUP(LOWER(TRIM(Raw_Export!H1806)),Maps!$D$2:$E$12,2,FALSE()),"Other"))</f>
        <v>Card</v>
      </c>
      <c r="J1806" s="36" t="str">
        <f aca="false">IF(Raw_Export!$A1806="","",IF(COUNTIF($A$2:A1806,A1806)&gt;1,"Duplicate",""))</f>
        <v/>
      </c>
      <c r="K1806" s="36" t="str">
        <f aca="false">IF(Raw_Export!$A1806="","",IF(J1806="Duplicate","Duplicate",IF(OR(C1806="UNMAPPED",D1806="UNMAPPED"),"Unmapped",IF(F1806=0,"Blank qty",IF(F1806&lt;0,"Return","OK")))))</f>
        <v>OK</v>
      </c>
      <c r="L1806" s="36" t="n">
        <f aca="false">IF(Raw_Export!$A1806="","",IF(OR(K1806="OK",K1806="Return"),1,0))</f>
        <v>1</v>
      </c>
      <c r="M1806" s="37" t="n">
        <f aca="false">IF(Raw_Export!$A1806="","",B1806-WEEKDAY(B1806,2)+1)</f>
        <v>46272</v>
      </c>
    </row>
    <row r="1807" customFormat="false" ht="15" hidden="false" customHeight="false" outlineLevel="0" collapsed="false">
      <c r="A1807" s="36" t="str">
        <f aca="false">IF(Raw_Export!$A1807="","",TRIM(Raw_Export!A1807))</f>
        <v>TXN-101769</v>
      </c>
      <c r="B1807" s="37" t="n">
        <f aca="false">IF(Raw_Export!$A1807="","",IF(ISNUMBER(Raw_Export!B1807),Raw_Export!B1807,IF(MID(TRIM(Raw_Export!B1807),5,1)="-",DATE(LEFT(TRIM(Raw_Export!B1807),4),MID(TRIM(Raw_Export!B1807),6,2),RIGHT(TRIM(Raw_Export!B1807),2)),DATE(RIGHT(TRIM(Raw_Export!B1807),4),MATCH(MID(TRIM(Raw_Export!B1807),4,3),{"Jan","Feb","Mar","Apr","May","Jun","Jul","Aug","Sep","Oct","Nov","Dec"},0),LEFT(TRIM(Raw_Export!B1807),2)))))</f>
        <v>46276</v>
      </c>
      <c r="C1807" s="36" t="str">
        <f aca="false">IF(Raw_Export!$A1807="","",IFERROR(VLOOKUP(LOWER(TRIM(Raw_Export!C1807)),Maps!$A$2:$B$20,2,FALSE()),"UNMAPPED"))</f>
        <v>Nakuru</v>
      </c>
      <c r="D1807" s="36" t="str">
        <f aca="false">IF(Raw_Export!$A1807="","",IFERROR(VLOOKUP(LOWER(TRIM(Raw_Export!D1807)),Maps!$G$2:$I$80,2,FALSE()),"UNMAPPED"))</f>
        <v>Cooking Oil 1L</v>
      </c>
      <c r="E1807" s="36" t="str">
        <f aca="false">IF(Raw_Export!$A1807="","",IFERROR(VLOOKUP(LOWER(TRIM(Raw_Export!D1807)),Maps!$G$2:$I$80,3,FALSE()),"UNMAPPED"))</f>
        <v>Staples</v>
      </c>
      <c r="F1807" s="36" t="n">
        <f aca="false">IF(Raw_Export!$A1807="","",IFERROR(VALUE(TRIM(Raw_Export!E1807)),0))</f>
        <v>2</v>
      </c>
      <c r="G1807" s="38" t="n">
        <f aca="false">IF(Raw_Export!$A1807="","",IFERROR(VALUE(SUBSTITUTE(SUBSTITUTE(UPPER(TRIM(Raw_Export!F1807)),"KES",""),",","")),0))</f>
        <v>330</v>
      </c>
      <c r="H1807" s="38" t="n">
        <f aca="false">IF(Raw_Export!$A1807="","",F1807*G1807)</f>
        <v>660</v>
      </c>
      <c r="I1807" s="36" t="str">
        <f aca="false">IF(Raw_Export!$A1807="","",IFERROR(VLOOKUP(LOWER(TRIM(Raw_Export!H1807)),Maps!$D$2:$E$12,2,FALSE()),"Other"))</f>
        <v>M-Pesa</v>
      </c>
      <c r="J1807" s="36" t="str">
        <f aca="false">IF(Raw_Export!$A1807="","",IF(COUNTIF($A$2:A1807,A1807)&gt;1,"Duplicate",""))</f>
        <v/>
      </c>
      <c r="K1807" s="36" t="str">
        <f aca="false">IF(Raw_Export!$A1807="","",IF(J1807="Duplicate","Duplicate",IF(OR(C1807="UNMAPPED",D1807="UNMAPPED"),"Unmapped",IF(F1807=0,"Blank qty",IF(F1807&lt;0,"Return","OK")))))</f>
        <v>OK</v>
      </c>
      <c r="L1807" s="36" t="n">
        <f aca="false">IF(Raw_Export!$A1807="","",IF(OR(K1807="OK",K1807="Return"),1,0))</f>
        <v>1</v>
      </c>
      <c r="M1807" s="37" t="n">
        <f aca="false">IF(Raw_Export!$A1807="","",B1807-WEEKDAY(B1807,2)+1)</f>
        <v>46272</v>
      </c>
    </row>
    <row r="1808" customFormat="false" ht="15" hidden="false" customHeight="false" outlineLevel="0" collapsed="false">
      <c r="A1808" s="36" t="str">
        <f aca="false">IF(Raw_Export!$A1808="","",TRIM(Raw_Export!A1808))</f>
        <v>TXN-100792</v>
      </c>
      <c r="B1808" s="37" t="n">
        <f aca="false">IF(Raw_Export!$A1808="","",IF(ISNUMBER(Raw_Export!B1808),Raw_Export!B1808,IF(MID(TRIM(Raw_Export!B1808),5,1)="-",DATE(LEFT(TRIM(Raw_Export!B1808),4),MID(TRIM(Raw_Export!B1808),6,2),RIGHT(TRIM(Raw_Export!B1808),2)),DATE(RIGHT(TRIM(Raw_Export!B1808),4),MATCH(MID(TRIM(Raw_Export!B1808),4,3),{"Jan","Feb","Mar","Apr","May","Jun","Jul","Aug","Sep","Oct","Nov","Dec"},0),LEFT(TRIM(Raw_Export!B1808),2)))))</f>
        <v>46270</v>
      </c>
      <c r="C1808" s="36" t="str">
        <f aca="false">IF(Raw_Export!$A1808="","",IFERROR(VLOOKUP(LOWER(TRIM(Raw_Export!C1808)),Maps!$A$2:$B$20,2,FALSE()),"UNMAPPED"))</f>
        <v>Westlands</v>
      </c>
      <c r="D1808" s="36" t="str">
        <f aca="false">IF(Raw_Export!$A1808="","",IFERROR(VLOOKUP(LOWER(TRIM(Raw_Export!D1808)),Maps!$G$2:$I$80,2,FALSE()),"UNMAPPED"))</f>
        <v>Spaghetti 400g</v>
      </c>
      <c r="E1808" s="36" t="str">
        <f aca="false">IF(Raw_Export!$A1808="","",IFERROR(VLOOKUP(LOWER(TRIM(Raw_Export!D1808)),Maps!$G$2:$I$80,3,FALSE()),"UNMAPPED"))</f>
        <v>Staples</v>
      </c>
      <c r="F1808" s="36" t="n">
        <f aca="false">IF(Raw_Export!$A1808="","",IFERROR(VALUE(TRIM(Raw_Export!E1808)),0))</f>
        <v>6</v>
      </c>
      <c r="G1808" s="38" t="n">
        <f aca="false">IF(Raw_Export!$A1808="","",IFERROR(VALUE(SUBSTITUTE(SUBSTITUTE(UPPER(TRIM(Raw_Export!F1808)),"KES",""),",","")),0))</f>
        <v>99</v>
      </c>
      <c r="H1808" s="38" t="n">
        <f aca="false">IF(Raw_Export!$A1808="","",F1808*G1808)</f>
        <v>594</v>
      </c>
      <c r="I1808" s="36" t="str">
        <f aca="false">IF(Raw_Export!$A1808="","",IFERROR(VLOOKUP(LOWER(TRIM(Raw_Export!H1808)),Maps!$D$2:$E$12,2,FALSE()),"Other"))</f>
        <v>Cash</v>
      </c>
      <c r="J1808" s="36" t="str">
        <f aca="false">IF(Raw_Export!$A1808="","",IF(COUNTIF($A$2:A1808,A1808)&gt;1,"Duplicate",""))</f>
        <v>Duplicate</v>
      </c>
      <c r="K1808" s="36" t="str">
        <f aca="false">IF(Raw_Export!$A1808="","",IF(J1808="Duplicate","Duplicate",IF(OR(C1808="UNMAPPED",D1808="UNMAPPED"),"Unmapped",IF(F1808=0,"Blank qty",IF(F1808&lt;0,"Return","OK")))))</f>
        <v>Duplicate</v>
      </c>
      <c r="L1808" s="36" t="n">
        <f aca="false">IF(Raw_Export!$A1808="","",IF(OR(K1808="OK",K1808="Return"),1,0))</f>
        <v>0</v>
      </c>
      <c r="M1808" s="37" t="n">
        <f aca="false">IF(Raw_Export!$A1808="","",B1808-WEEKDAY(B1808,2)+1)</f>
        <v>46265</v>
      </c>
    </row>
    <row r="1809" customFormat="false" ht="15" hidden="false" customHeight="false" outlineLevel="0" collapsed="false">
      <c r="A1809" s="36" t="str">
        <f aca="false">IF(Raw_Export!$A1809="","",TRIM(Raw_Export!A1809))</f>
        <v>TXN-101770</v>
      </c>
      <c r="B1809" s="37" t="n">
        <f aca="false">IF(Raw_Export!$A1809="","",IF(ISNUMBER(Raw_Export!B1809),Raw_Export!B1809,IF(MID(TRIM(Raw_Export!B1809),5,1)="-",DATE(LEFT(TRIM(Raw_Export!B1809),4),MID(TRIM(Raw_Export!B1809),6,2),RIGHT(TRIM(Raw_Export!B1809),2)),DATE(RIGHT(TRIM(Raw_Export!B1809),4),MATCH(MID(TRIM(Raw_Export!B1809),4,3),{"Jan","Feb","Mar","Apr","May","Jun","Jul","Aug","Sep","Oct","Nov","Dec"},0),LEFT(TRIM(Raw_Export!B1809),2)))))</f>
        <v>46277</v>
      </c>
      <c r="C1809" s="36" t="str">
        <f aca="false">IF(Raw_Export!$A1809="","",IFERROR(VLOOKUP(LOWER(TRIM(Raw_Export!C1809)),Maps!$A$2:$B$20,2,FALSE()),"UNMAPPED"))</f>
        <v>Nairobi CBD</v>
      </c>
      <c r="D1809" s="36" t="str">
        <f aca="false">IF(Raw_Export!$A1809="","",IFERROR(VLOOKUP(LOWER(TRIM(Raw_Export!D1809)),Maps!$G$2:$I$80,2,FALSE()),"UNMAPPED"))</f>
        <v>Matches 10pk</v>
      </c>
      <c r="E1809" s="36" t="str">
        <f aca="false">IF(Raw_Export!$A1809="","",IFERROR(VLOOKUP(LOWER(TRIM(Raw_Export!D1809)),Maps!$G$2:$I$80,3,FALSE()),"UNMAPPED"))</f>
        <v>Household</v>
      </c>
      <c r="F1809" s="36" t="n">
        <f aca="false">IF(Raw_Export!$A1809="","",IFERROR(VALUE(TRIM(Raw_Export!E1809)),0))</f>
        <v>4</v>
      </c>
      <c r="G1809" s="38" t="n">
        <f aca="false">IF(Raw_Export!$A1809="","",IFERROR(VALUE(SUBSTITUTE(SUBSTITUTE(UPPER(TRIM(Raw_Export!F1809)),"KES",""),",","")),0))</f>
        <v>50</v>
      </c>
      <c r="H1809" s="38" t="n">
        <f aca="false">IF(Raw_Export!$A1809="","",F1809*G1809)</f>
        <v>200</v>
      </c>
      <c r="I1809" s="36" t="str">
        <f aca="false">IF(Raw_Export!$A1809="","",IFERROR(VLOOKUP(LOWER(TRIM(Raw_Export!H1809)),Maps!$D$2:$E$12,2,FALSE()),"Other"))</f>
        <v>Card</v>
      </c>
      <c r="J1809" s="36" t="str">
        <f aca="false">IF(Raw_Export!$A1809="","",IF(COUNTIF($A$2:A1809,A1809)&gt;1,"Duplicate",""))</f>
        <v/>
      </c>
      <c r="K1809" s="36" t="str">
        <f aca="false">IF(Raw_Export!$A1809="","",IF(J1809="Duplicate","Duplicate",IF(OR(C1809="UNMAPPED",D1809="UNMAPPED"),"Unmapped",IF(F1809=0,"Blank qty",IF(F1809&lt;0,"Return","OK")))))</f>
        <v>OK</v>
      </c>
      <c r="L1809" s="36" t="n">
        <f aca="false">IF(Raw_Export!$A1809="","",IF(OR(K1809="OK",K1809="Return"),1,0))</f>
        <v>1</v>
      </c>
      <c r="M1809" s="37" t="n">
        <f aca="false">IF(Raw_Export!$A1809="","",B1809-WEEKDAY(B1809,2)+1)</f>
        <v>46272</v>
      </c>
    </row>
    <row r="1810" customFormat="false" ht="15" hidden="false" customHeight="false" outlineLevel="0" collapsed="false">
      <c r="A1810" s="36" t="str">
        <f aca="false">IF(Raw_Export!$A1810="","",TRIM(Raw_Export!A1810))</f>
        <v>TXN-101771</v>
      </c>
      <c r="B1810" s="37" t="n">
        <f aca="false">IF(Raw_Export!$A1810="","",IF(ISNUMBER(Raw_Export!B1810),Raw_Export!B1810,IF(MID(TRIM(Raw_Export!B1810),5,1)="-",DATE(LEFT(TRIM(Raw_Export!B1810),4),MID(TRIM(Raw_Export!B1810),6,2),RIGHT(TRIM(Raw_Export!B1810),2)),DATE(RIGHT(TRIM(Raw_Export!B1810),4),MATCH(MID(TRIM(Raw_Export!B1810),4,3),{"Jan","Feb","Mar","Apr","May","Jun","Jul","Aug","Sep","Oct","Nov","Dec"},0),LEFT(TRIM(Raw_Export!B1810),2)))))</f>
        <v>46277</v>
      </c>
      <c r="C1810" s="36" t="str">
        <f aca="false">IF(Raw_Export!$A1810="","",IFERROR(VLOOKUP(LOWER(TRIM(Raw_Export!C1810)),Maps!$A$2:$B$20,2,FALSE()),"UNMAPPED"))</f>
        <v>Nairobi CBD</v>
      </c>
      <c r="D1810" s="36" t="str">
        <f aca="false">IF(Raw_Export!$A1810="","",IFERROR(VLOOKUP(LOWER(TRIM(Raw_Export!D1810)),Maps!$G$2:$I$80,2,FALSE()),"UNMAPPED"))</f>
        <v>Soda 500ml</v>
      </c>
      <c r="E1810" s="36" t="str">
        <f aca="false">IF(Raw_Export!$A1810="","",IFERROR(VLOOKUP(LOWER(TRIM(Raw_Export!D1810)),Maps!$G$2:$I$80,3,FALSE()),"UNMAPPED"))</f>
        <v>Beverages</v>
      </c>
      <c r="F1810" s="36" t="n">
        <f aca="false">IF(Raw_Export!$A1810="","",IFERROR(VALUE(TRIM(Raw_Export!E1810)),0))</f>
        <v>3</v>
      </c>
      <c r="G1810" s="38" t="n">
        <f aca="false">IF(Raw_Export!$A1810="","",IFERROR(VALUE(SUBSTITUTE(SUBSTITUTE(UPPER(TRIM(Raw_Export!F1810)),"KES",""),",","")),0))</f>
        <v>60</v>
      </c>
      <c r="H1810" s="38" t="n">
        <f aca="false">IF(Raw_Export!$A1810="","",F1810*G1810)</f>
        <v>180</v>
      </c>
      <c r="I1810" s="36" t="str">
        <f aca="false">IF(Raw_Export!$A1810="","",IFERROR(VLOOKUP(LOWER(TRIM(Raw_Export!H1810)),Maps!$D$2:$E$12,2,FALSE()),"Other"))</f>
        <v>Cash</v>
      </c>
      <c r="J1810" s="36" t="str">
        <f aca="false">IF(Raw_Export!$A1810="","",IF(COUNTIF($A$2:A1810,A1810)&gt;1,"Duplicate",""))</f>
        <v/>
      </c>
      <c r="K1810" s="36" t="str">
        <f aca="false">IF(Raw_Export!$A1810="","",IF(J1810="Duplicate","Duplicate",IF(OR(C1810="UNMAPPED",D1810="UNMAPPED"),"Unmapped",IF(F1810=0,"Blank qty",IF(F1810&lt;0,"Return","OK")))))</f>
        <v>OK</v>
      </c>
      <c r="L1810" s="36" t="n">
        <f aca="false">IF(Raw_Export!$A1810="","",IF(OR(K1810="OK",K1810="Return"),1,0))</f>
        <v>1</v>
      </c>
      <c r="M1810" s="37" t="n">
        <f aca="false">IF(Raw_Export!$A1810="","",B1810-WEEKDAY(B1810,2)+1)</f>
        <v>46272</v>
      </c>
    </row>
    <row r="1811" customFormat="false" ht="15" hidden="false" customHeight="false" outlineLevel="0" collapsed="false">
      <c r="A1811" s="36" t="str">
        <f aca="false">IF(Raw_Export!$A1811="","",TRIM(Raw_Export!A1811))</f>
        <v>TXN-101772</v>
      </c>
      <c r="B1811" s="37" t="n">
        <f aca="false">IF(Raw_Export!$A1811="","",IF(ISNUMBER(Raw_Export!B1811),Raw_Export!B1811,IF(MID(TRIM(Raw_Export!B1811),5,1)="-",DATE(LEFT(TRIM(Raw_Export!B1811),4),MID(TRIM(Raw_Export!B1811),6,2),RIGHT(TRIM(Raw_Export!B1811),2)),DATE(RIGHT(TRIM(Raw_Export!B1811),4),MATCH(MID(TRIM(Raw_Export!B1811),4,3),{"Jan","Feb","Mar","Apr","May","Jun","Jul","Aug","Sep","Oct","Nov","Dec"},0),LEFT(TRIM(Raw_Export!B1811),2)))))</f>
        <v>46277</v>
      </c>
      <c r="C1811" s="36" t="str">
        <f aca="false">IF(Raw_Export!$A1811="","",IFERROR(VLOOKUP(LOWER(TRIM(Raw_Export!C1811)),Maps!$A$2:$B$20,2,FALSE()),"UNMAPPED"))</f>
        <v>Nairobi CBD</v>
      </c>
      <c r="D1811" s="36" t="str">
        <f aca="false">IF(Raw_Export!$A1811="","",IFERROR(VLOOKUP(LOWER(TRIM(Raw_Export!D1811)),Maps!$G$2:$I$80,2,FALSE()),"UNMAPPED"))</f>
        <v>Toothpaste 100g</v>
      </c>
      <c r="E1811" s="36" t="str">
        <f aca="false">IF(Raw_Export!$A1811="","",IFERROR(VLOOKUP(LOWER(TRIM(Raw_Export!D1811)),Maps!$G$2:$I$80,3,FALSE()),"UNMAPPED"))</f>
        <v>Personal Care</v>
      </c>
      <c r="F1811" s="36" t="n">
        <f aca="false">IF(Raw_Export!$A1811="","",IFERROR(VALUE(TRIM(Raw_Export!E1811)),0))</f>
        <v>1</v>
      </c>
      <c r="G1811" s="38" t="n">
        <f aca="false">IF(Raw_Export!$A1811="","",IFERROR(VALUE(SUBSTITUTE(SUBSTITUTE(UPPER(TRIM(Raw_Export!F1811)),"KES",""),",","")),0))</f>
        <v>195</v>
      </c>
      <c r="H1811" s="38" t="n">
        <f aca="false">IF(Raw_Export!$A1811="","",F1811*G1811)</f>
        <v>195</v>
      </c>
      <c r="I1811" s="36" t="str">
        <f aca="false">IF(Raw_Export!$A1811="","",IFERROR(VLOOKUP(LOWER(TRIM(Raw_Export!H1811)),Maps!$D$2:$E$12,2,FALSE()),"Other"))</f>
        <v>M-Pesa</v>
      </c>
      <c r="J1811" s="36" t="str">
        <f aca="false">IF(Raw_Export!$A1811="","",IF(COUNTIF($A$2:A1811,A1811)&gt;1,"Duplicate",""))</f>
        <v/>
      </c>
      <c r="K1811" s="36" t="str">
        <f aca="false">IF(Raw_Export!$A1811="","",IF(J1811="Duplicate","Duplicate",IF(OR(C1811="UNMAPPED",D1811="UNMAPPED"),"Unmapped",IF(F1811=0,"Blank qty",IF(F1811&lt;0,"Return","OK")))))</f>
        <v>OK</v>
      </c>
      <c r="L1811" s="36" t="n">
        <f aca="false">IF(Raw_Export!$A1811="","",IF(OR(K1811="OK",K1811="Return"),1,0))</f>
        <v>1</v>
      </c>
      <c r="M1811" s="37" t="n">
        <f aca="false">IF(Raw_Export!$A1811="","",B1811-WEEKDAY(B1811,2)+1)</f>
        <v>46272</v>
      </c>
    </row>
    <row r="1812" customFormat="false" ht="15" hidden="false" customHeight="false" outlineLevel="0" collapsed="false">
      <c r="A1812" s="36" t="str">
        <f aca="false">IF(Raw_Export!$A1812="","",TRIM(Raw_Export!A1812))</f>
        <v>TXN-101773</v>
      </c>
      <c r="B1812" s="37" t="n">
        <f aca="false">IF(Raw_Export!$A1812="","",IF(ISNUMBER(Raw_Export!B1812),Raw_Export!B1812,IF(MID(TRIM(Raw_Export!B1812),5,1)="-",DATE(LEFT(TRIM(Raw_Export!B1812),4),MID(TRIM(Raw_Export!B1812),6,2),RIGHT(TRIM(Raw_Export!B1812),2)),DATE(RIGHT(TRIM(Raw_Export!B1812),4),MATCH(MID(TRIM(Raw_Export!B1812),4,3),{"Jan","Feb","Mar","Apr","May","Jun","Jul","Aug","Sep","Oct","Nov","Dec"},0),LEFT(TRIM(Raw_Export!B1812),2)))))</f>
        <v>46277</v>
      </c>
      <c r="C1812" s="36" t="str">
        <f aca="false">IF(Raw_Export!$A1812="","",IFERROR(VLOOKUP(LOWER(TRIM(Raw_Export!C1812)),Maps!$A$2:$B$20,2,FALSE()),"UNMAPPED"))</f>
        <v>Nairobi CBD</v>
      </c>
      <c r="D1812" s="36" t="str">
        <f aca="false">IF(Raw_Export!$A1812="","",IFERROR(VLOOKUP(LOWER(TRIM(Raw_Export!D1812)),Maps!$G$2:$I$80,2,FALSE()),"UNMAPPED"))</f>
        <v>Bread Loaf 400g</v>
      </c>
      <c r="E1812" s="36" t="str">
        <f aca="false">IF(Raw_Export!$A1812="","",IFERROR(VLOOKUP(LOWER(TRIM(Raw_Export!D1812)),Maps!$G$2:$I$80,3,FALSE()),"UNMAPPED"))</f>
        <v>Snacks</v>
      </c>
      <c r="F1812" s="36" t="n">
        <f aca="false">IF(Raw_Export!$A1812="","",IFERROR(VALUE(TRIM(Raw_Export!E1812)),0))</f>
        <v>2</v>
      </c>
      <c r="G1812" s="38" t="n">
        <f aca="false">IF(Raw_Export!$A1812="","",IFERROR(VALUE(SUBSTITUTE(SUBSTITUTE(UPPER(TRIM(Raw_Export!F1812)),"KES",""),",","")),0))</f>
        <v>65</v>
      </c>
      <c r="H1812" s="38" t="n">
        <f aca="false">IF(Raw_Export!$A1812="","",F1812*G1812)</f>
        <v>130</v>
      </c>
      <c r="I1812" s="36" t="str">
        <f aca="false">IF(Raw_Export!$A1812="","",IFERROR(VLOOKUP(LOWER(TRIM(Raw_Export!H1812)),Maps!$D$2:$E$12,2,FALSE()),"Other"))</f>
        <v>Cash</v>
      </c>
      <c r="J1812" s="36" t="str">
        <f aca="false">IF(Raw_Export!$A1812="","",IF(COUNTIF($A$2:A1812,A1812)&gt;1,"Duplicate",""))</f>
        <v/>
      </c>
      <c r="K1812" s="36" t="str">
        <f aca="false">IF(Raw_Export!$A1812="","",IF(J1812="Duplicate","Duplicate",IF(OR(C1812="UNMAPPED",D1812="UNMAPPED"),"Unmapped",IF(F1812=0,"Blank qty",IF(F1812&lt;0,"Return","OK")))))</f>
        <v>OK</v>
      </c>
      <c r="L1812" s="36" t="n">
        <f aca="false">IF(Raw_Export!$A1812="","",IF(OR(K1812="OK",K1812="Return"),1,0))</f>
        <v>1</v>
      </c>
      <c r="M1812" s="37" t="n">
        <f aca="false">IF(Raw_Export!$A1812="","",B1812-WEEKDAY(B1812,2)+1)</f>
        <v>46272</v>
      </c>
    </row>
    <row r="1813" customFormat="false" ht="15" hidden="false" customHeight="false" outlineLevel="0" collapsed="false">
      <c r="A1813" s="36" t="str">
        <f aca="false">IF(Raw_Export!$A1813="","",TRIM(Raw_Export!A1813))</f>
        <v>TXN-101774</v>
      </c>
      <c r="B1813" s="37" t="n">
        <f aca="false">IF(Raw_Export!$A1813="","",IF(ISNUMBER(Raw_Export!B1813),Raw_Export!B1813,IF(MID(TRIM(Raw_Export!B1813),5,1)="-",DATE(LEFT(TRIM(Raw_Export!B1813),4),MID(TRIM(Raw_Export!B1813),6,2),RIGHT(TRIM(Raw_Export!B1813),2)),DATE(RIGHT(TRIM(Raw_Export!B1813),4),MATCH(MID(TRIM(Raw_Export!B1813),4,3),{"Jan","Feb","Mar","Apr","May","Jun","Jul","Aug","Sep","Oct","Nov","Dec"},0),LEFT(TRIM(Raw_Export!B1813),2)))))</f>
        <v>46277</v>
      </c>
      <c r="C1813" s="36" t="str">
        <f aca="false">IF(Raw_Export!$A1813="","",IFERROR(VLOOKUP(LOWER(TRIM(Raw_Export!C1813)),Maps!$A$2:$B$20,2,FALSE()),"UNMAPPED"))</f>
        <v>Nairobi CBD</v>
      </c>
      <c r="D1813" s="36" t="str">
        <f aca="false">IF(Raw_Export!$A1813="","",IFERROR(VLOOKUP(LOWER(TRIM(Raw_Export!D1813)),Maps!$G$2:$I$80,2,FALSE()),"UNMAPPED"))</f>
        <v>Soda 500ml</v>
      </c>
      <c r="E1813" s="36" t="str">
        <f aca="false">IF(Raw_Export!$A1813="","",IFERROR(VLOOKUP(LOWER(TRIM(Raw_Export!D1813)),Maps!$G$2:$I$80,3,FALSE()),"UNMAPPED"))</f>
        <v>Beverages</v>
      </c>
      <c r="F1813" s="36" t="n">
        <f aca="false">IF(Raw_Export!$A1813="","",IFERROR(VALUE(TRIM(Raw_Export!E1813)),0))</f>
        <v>1</v>
      </c>
      <c r="G1813" s="38" t="n">
        <f aca="false">IF(Raw_Export!$A1813="","",IFERROR(VALUE(SUBSTITUTE(SUBSTITUTE(UPPER(TRIM(Raw_Export!F1813)),"KES",""),",","")),0))</f>
        <v>60</v>
      </c>
      <c r="H1813" s="38" t="n">
        <f aca="false">IF(Raw_Export!$A1813="","",F1813*G1813)</f>
        <v>60</v>
      </c>
      <c r="I1813" s="36" t="str">
        <f aca="false">IF(Raw_Export!$A1813="","",IFERROR(VLOOKUP(LOWER(TRIM(Raw_Export!H1813)),Maps!$D$2:$E$12,2,FALSE()),"Other"))</f>
        <v>M-Pesa</v>
      </c>
      <c r="J1813" s="36" t="str">
        <f aca="false">IF(Raw_Export!$A1813="","",IF(COUNTIF($A$2:A1813,A1813)&gt;1,"Duplicate",""))</f>
        <v/>
      </c>
      <c r="K1813" s="36" t="str">
        <f aca="false">IF(Raw_Export!$A1813="","",IF(J1813="Duplicate","Duplicate",IF(OR(C1813="UNMAPPED",D1813="UNMAPPED"),"Unmapped",IF(F1813=0,"Blank qty",IF(F1813&lt;0,"Return","OK")))))</f>
        <v>OK</v>
      </c>
      <c r="L1813" s="36" t="n">
        <f aca="false">IF(Raw_Export!$A1813="","",IF(OR(K1813="OK",K1813="Return"),1,0))</f>
        <v>1</v>
      </c>
      <c r="M1813" s="37" t="n">
        <f aca="false">IF(Raw_Export!$A1813="","",B1813-WEEKDAY(B1813,2)+1)</f>
        <v>46272</v>
      </c>
    </row>
    <row r="1814" customFormat="false" ht="15" hidden="false" customHeight="false" outlineLevel="0" collapsed="false">
      <c r="A1814" s="36" t="str">
        <f aca="false">IF(Raw_Export!$A1814="","",TRIM(Raw_Export!A1814))</f>
        <v>TXN-101775</v>
      </c>
      <c r="B1814" s="37" t="n">
        <f aca="false">IF(Raw_Export!$A1814="","",IF(ISNUMBER(Raw_Export!B1814),Raw_Export!B1814,IF(MID(TRIM(Raw_Export!B1814),5,1)="-",DATE(LEFT(TRIM(Raw_Export!B1814),4),MID(TRIM(Raw_Export!B1814),6,2),RIGHT(TRIM(Raw_Export!B1814),2)),DATE(RIGHT(TRIM(Raw_Export!B1814),4),MATCH(MID(TRIM(Raw_Export!B1814),4,3),{"Jan","Feb","Mar","Apr","May","Jun","Jul","Aug","Sep","Oct","Nov","Dec"},0),LEFT(TRIM(Raw_Export!B1814),2)))))</f>
        <v>46277</v>
      </c>
      <c r="C1814" s="36" t="str">
        <f aca="false">IF(Raw_Export!$A1814="","",IFERROR(VLOOKUP(LOWER(TRIM(Raw_Export!C1814)),Maps!$A$2:$B$20,2,FALSE()),"UNMAPPED"))</f>
        <v>Nairobi CBD</v>
      </c>
      <c r="D1814" s="36" t="str">
        <f aca="false">IF(Raw_Export!$A1814="","",IFERROR(VLOOKUP(LOWER(TRIM(Raw_Export!D1814)),Maps!$G$2:$I$80,2,FALSE()),"UNMAPPED"))</f>
        <v>Rice Pishori 2kg</v>
      </c>
      <c r="E1814" s="36" t="str">
        <f aca="false">IF(Raw_Export!$A1814="","",IFERROR(VLOOKUP(LOWER(TRIM(Raw_Export!D1814)),Maps!$G$2:$I$80,3,FALSE()),"UNMAPPED"))</f>
        <v>Staples</v>
      </c>
      <c r="F1814" s="36" t="n">
        <f aca="false">IF(Raw_Export!$A1814="","",IFERROR(VALUE(TRIM(Raw_Export!E1814)),0))</f>
        <v>3</v>
      </c>
      <c r="G1814" s="38" t="n">
        <f aca="false">IF(Raw_Export!$A1814="","",IFERROR(VALUE(SUBSTITUTE(SUBSTITUTE(UPPER(TRIM(Raw_Export!F1814)),"KES",""),",","")),0))</f>
        <v>420</v>
      </c>
      <c r="H1814" s="38" t="n">
        <f aca="false">IF(Raw_Export!$A1814="","",F1814*G1814)</f>
        <v>1260</v>
      </c>
      <c r="I1814" s="36" t="str">
        <f aca="false">IF(Raw_Export!$A1814="","",IFERROR(VLOOKUP(LOWER(TRIM(Raw_Export!H1814)),Maps!$D$2:$E$12,2,FALSE()),"Other"))</f>
        <v>Cash</v>
      </c>
      <c r="J1814" s="36" t="str">
        <f aca="false">IF(Raw_Export!$A1814="","",IF(COUNTIF($A$2:A1814,A1814)&gt;1,"Duplicate",""))</f>
        <v/>
      </c>
      <c r="K1814" s="36" t="str">
        <f aca="false">IF(Raw_Export!$A1814="","",IF(J1814="Duplicate","Duplicate",IF(OR(C1814="UNMAPPED",D1814="UNMAPPED"),"Unmapped",IF(F1814=0,"Blank qty",IF(F1814&lt;0,"Return","OK")))))</f>
        <v>OK</v>
      </c>
      <c r="L1814" s="36" t="n">
        <f aca="false">IF(Raw_Export!$A1814="","",IF(OR(K1814="OK",K1814="Return"),1,0))</f>
        <v>1</v>
      </c>
      <c r="M1814" s="37" t="n">
        <f aca="false">IF(Raw_Export!$A1814="","",B1814-WEEKDAY(B1814,2)+1)</f>
        <v>46272</v>
      </c>
    </row>
    <row r="1815" customFormat="false" ht="15" hidden="false" customHeight="false" outlineLevel="0" collapsed="false">
      <c r="A1815" s="36" t="str">
        <f aca="false">IF(Raw_Export!$A1815="","",TRIM(Raw_Export!A1815))</f>
        <v>TXN-101776</v>
      </c>
      <c r="B1815" s="37" t="n">
        <f aca="false">IF(Raw_Export!$A1815="","",IF(ISNUMBER(Raw_Export!B1815),Raw_Export!B1815,IF(MID(TRIM(Raw_Export!B1815),5,1)="-",DATE(LEFT(TRIM(Raw_Export!B1815),4),MID(TRIM(Raw_Export!B1815),6,2),RIGHT(TRIM(Raw_Export!B1815),2)),DATE(RIGHT(TRIM(Raw_Export!B1815),4),MATCH(MID(TRIM(Raw_Export!B1815),4,3),{"Jan","Feb","Mar","Apr","May","Jun","Jul","Aug","Sep","Oct","Nov","Dec"},0),LEFT(TRIM(Raw_Export!B1815),2)))))</f>
        <v>46277</v>
      </c>
      <c r="C1815" s="36" t="str">
        <f aca="false">IF(Raw_Export!$A1815="","",IFERROR(VLOOKUP(LOWER(TRIM(Raw_Export!C1815)),Maps!$A$2:$B$20,2,FALSE()),"UNMAPPED"))</f>
        <v>Nairobi CBD</v>
      </c>
      <c r="D1815" s="36" t="str">
        <f aca="false">IF(Raw_Export!$A1815="","",IFERROR(VLOOKUP(LOWER(TRIM(Raw_Export!D1815)),Maps!$G$2:$I$80,2,FALSE()),"UNMAPPED"))</f>
        <v>Rice Pishori 2kg</v>
      </c>
      <c r="E1815" s="36" t="str">
        <f aca="false">IF(Raw_Export!$A1815="","",IFERROR(VLOOKUP(LOWER(TRIM(Raw_Export!D1815)),Maps!$G$2:$I$80,3,FALSE()),"UNMAPPED"))</f>
        <v>Staples</v>
      </c>
      <c r="F1815" s="36" t="n">
        <f aca="false">IF(Raw_Export!$A1815="","",IFERROR(VALUE(TRIM(Raw_Export!E1815)),0))</f>
        <v>1</v>
      </c>
      <c r="G1815" s="38" t="n">
        <f aca="false">IF(Raw_Export!$A1815="","",IFERROR(VALUE(SUBSTITUTE(SUBSTITUTE(UPPER(TRIM(Raw_Export!F1815)),"KES",""),",","")),0))</f>
        <v>420</v>
      </c>
      <c r="H1815" s="38" t="n">
        <f aca="false">IF(Raw_Export!$A1815="","",F1815*G1815)</f>
        <v>420</v>
      </c>
      <c r="I1815" s="36" t="str">
        <f aca="false">IF(Raw_Export!$A1815="","",IFERROR(VLOOKUP(LOWER(TRIM(Raw_Export!H1815)),Maps!$D$2:$E$12,2,FALSE()),"Other"))</f>
        <v>Cash</v>
      </c>
      <c r="J1815" s="36" t="str">
        <f aca="false">IF(Raw_Export!$A1815="","",IF(COUNTIF($A$2:A1815,A1815)&gt;1,"Duplicate",""))</f>
        <v/>
      </c>
      <c r="K1815" s="36" t="str">
        <f aca="false">IF(Raw_Export!$A1815="","",IF(J1815="Duplicate","Duplicate",IF(OR(C1815="UNMAPPED",D1815="UNMAPPED"),"Unmapped",IF(F1815=0,"Blank qty",IF(F1815&lt;0,"Return","OK")))))</f>
        <v>OK</v>
      </c>
      <c r="L1815" s="36" t="n">
        <f aca="false">IF(Raw_Export!$A1815="","",IF(OR(K1815="OK",K1815="Return"),1,0))</f>
        <v>1</v>
      </c>
      <c r="M1815" s="37" t="n">
        <f aca="false">IF(Raw_Export!$A1815="","",B1815-WEEKDAY(B1815,2)+1)</f>
        <v>46272</v>
      </c>
    </row>
    <row r="1816" customFormat="false" ht="15" hidden="false" customHeight="false" outlineLevel="0" collapsed="false">
      <c r="A1816" s="36" t="str">
        <f aca="false">IF(Raw_Export!$A1816="","",TRIM(Raw_Export!A1816))</f>
        <v>TXN-101777</v>
      </c>
      <c r="B1816" s="37" t="n">
        <f aca="false">IF(Raw_Export!$A1816="","",IF(ISNUMBER(Raw_Export!B1816),Raw_Export!B1816,IF(MID(TRIM(Raw_Export!B1816),5,1)="-",DATE(LEFT(TRIM(Raw_Export!B1816),4),MID(TRIM(Raw_Export!B1816),6,2),RIGHT(TRIM(Raw_Export!B1816),2)),DATE(RIGHT(TRIM(Raw_Export!B1816),4),MATCH(MID(TRIM(Raw_Export!B1816),4,3),{"Jan","Feb","Mar","Apr","May","Jun","Jul","Aug","Sep","Oct","Nov","Dec"},0),LEFT(TRIM(Raw_Export!B1816),2)))))</f>
        <v>46277</v>
      </c>
      <c r="C1816" s="36" t="str">
        <f aca="false">IF(Raw_Export!$A1816="","",IFERROR(VLOOKUP(LOWER(TRIM(Raw_Export!C1816)),Maps!$A$2:$B$20,2,FALSE()),"UNMAPPED"))</f>
        <v>Nairobi CBD</v>
      </c>
      <c r="D1816" s="36" t="str">
        <f aca="false">IF(Raw_Export!$A1816="","",IFERROR(VLOOKUP(LOWER(TRIM(Raw_Export!D1816)),Maps!$G$2:$I$80,2,FALSE()),"UNMAPPED"))</f>
        <v>Cooking Oil 1L</v>
      </c>
      <c r="E1816" s="36" t="str">
        <f aca="false">IF(Raw_Export!$A1816="","",IFERROR(VLOOKUP(LOWER(TRIM(Raw_Export!D1816)),Maps!$G$2:$I$80,3,FALSE()),"UNMAPPED"))</f>
        <v>Staples</v>
      </c>
      <c r="F1816" s="36" t="n">
        <f aca="false">IF(Raw_Export!$A1816="","",IFERROR(VALUE(TRIM(Raw_Export!E1816)),0))</f>
        <v>1</v>
      </c>
      <c r="G1816" s="38" t="n">
        <f aca="false">IF(Raw_Export!$A1816="","",IFERROR(VALUE(SUBSTITUTE(SUBSTITUTE(UPPER(TRIM(Raw_Export!F1816)),"KES",""),",","")),0))</f>
        <v>330</v>
      </c>
      <c r="H1816" s="38" t="n">
        <f aca="false">IF(Raw_Export!$A1816="","",F1816*G1816)</f>
        <v>330</v>
      </c>
      <c r="I1816" s="36" t="str">
        <f aca="false">IF(Raw_Export!$A1816="","",IFERROR(VLOOKUP(LOWER(TRIM(Raw_Export!H1816)),Maps!$D$2:$E$12,2,FALSE()),"Other"))</f>
        <v>M-Pesa</v>
      </c>
      <c r="J1816" s="36" t="str">
        <f aca="false">IF(Raw_Export!$A1816="","",IF(COUNTIF($A$2:A1816,A1816)&gt;1,"Duplicate",""))</f>
        <v/>
      </c>
      <c r="K1816" s="36" t="str">
        <f aca="false">IF(Raw_Export!$A1816="","",IF(J1816="Duplicate","Duplicate",IF(OR(C1816="UNMAPPED",D1816="UNMAPPED"),"Unmapped",IF(F1816=0,"Blank qty",IF(F1816&lt;0,"Return","OK")))))</f>
        <v>OK</v>
      </c>
      <c r="L1816" s="36" t="n">
        <f aca="false">IF(Raw_Export!$A1816="","",IF(OR(K1816="OK",K1816="Return"),1,0))</f>
        <v>1</v>
      </c>
      <c r="M1816" s="37" t="n">
        <f aca="false">IF(Raw_Export!$A1816="","",B1816-WEEKDAY(B1816,2)+1)</f>
        <v>46272</v>
      </c>
    </row>
    <row r="1817" customFormat="false" ht="15" hidden="false" customHeight="false" outlineLevel="0" collapsed="false">
      <c r="A1817" s="36" t="str">
        <f aca="false">IF(Raw_Export!$A1817="","",TRIM(Raw_Export!A1817))</f>
        <v>TXN-101778</v>
      </c>
      <c r="B1817" s="37" t="n">
        <f aca="false">IF(Raw_Export!$A1817="","",IF(ISNUMBER(Raw_Export!B1817),Raw_Export!B1817,IF(MID(TRIM(Raw_Export!B1817),5,1)="-",DATE(LEFT(TRIM(Raw_Export!B1817),4),MID(TRIM(Raw_Export!B1817),6,2),RIGHT(TRIM(Raw_Export!B1817),2)),DATE(RIGHT(TRIM(Raw_Export!B1817),4),MATCH(MID(TRIM(Raw_Export!B1817),4,3),{"Jan","Feb","Mar","Apr","May","Jun","Jul","Aug","Sep","Oct","Nov","Dec"},0),LEFT(TRIM(Raw_Export!B1817),2)))))</f>
        <v>46277</v>
      </c>
      <c r="C1817" s="36" t="str">
        <f aca="false">IF(Raw_Export!$A1817="","",IFERROR(VLOOKUP(LOWER(TRIM(Raw_Export!C1817)),Maps!$A$2:$B$20,2,FALSE()),"UNMAPPED"))</f>
        <v>Nairobi CBD</v>
      </c>
      <c r="D1817" s="36" t="str">
        <f aca="false">IF(Raw_Export!$A1817="","",IFERROR(VLOOKUP(LOWER(TRIM(Raw_Export!D1817)),Maps!$G$2:$I$80,2,FALSE()),"UNMAPPED"))</f>
        <v>Body Lotion 400ml</v>
      </c>
      <c r="E1817" s="36" t="str">
        <f aca="false">IF(Raw_Export!$A1817="","",IFERROR(VLOOKUP(LOWER(TRIM(Raw_Export!D1817)),Maps!$G$2:$I$80,3,FALSE()),"UNMAPPED"))</f>
        <v>Personal Care</v>
      </c>
      <c r="F1817" s="36" t="n">
        <f aca="false">IF(Raw_Export!$A1817="","",IFERROR(VALUE(TRIM(Raw_Export!E1817)),0))</f>
        <v>1</v>
      </c>
      <c r="G1817" s="38" t="n">
        <f aca="false">IF(Raw_Export!$A1817="","",IFERROR(VALUE(SUBSTITUTE(SUBSTITUTE(UPPER(TRIM(Raw_Export!F1817)),"KES",""),",","")),0))</f>
        <v>420</v>
      </c>
      <c r="H1817" s="38" t="n">
        <f aca="false">IF(Raw_Export!$A1817="","",F1817*G1817)</f>
        <v>420</v>
      </c>
      <c r="I1817" s="36" t="str">
        <f aca="false">IF(Raw_Export!$A1817="","",IFERROR(VLOOKUP(LOWER(TRIM(Raw_Export!H1817)),Maps!$D$2:$E$12,2,FALSE()),"Other"))</f>
        <v>M-Pesa</v>
      </c>
      <c r="J1817" s="36" t="str">
        <f aca="false">IF(Raw_Export!$A1817="","",IF(COUNTIF($A$2:A1817,A1817)&gt;1,"Duplicate",""))</f>
        <v/>
      </c>
      <c r="K1817" s="36" t="str">
        <f aca="false">IF(Raw_Export!$A1817="","",IF(J1817="Duplicate","Duplicate",IF(OR(C1817="UNMAPPED",D1817="UNMAPPED"),"Unmapped",IF(F1817=0,"Blank qty",IF(F1817&lt;0,"Return","OK")))))</f>
        <v>OK</v>
      </c>
      <c r="L1817" s="36" t="n">
        <f aca="false">IF(Raw_Export!$A1817="","",IF(OR(K1817="OK",K1817="Return"),1,0))</f>
        <v>1</v>
      </c>
      <c r="M1817" s="37" t="n">
        <f aca="false">IF(Raw_Export!$A1817="","",B1817-WEEKDAY(B1817,2)+1)</f>
        <v>46272</v>
      </c>
    </row>
    <row r="1818" customFormat="false" ht="15" hidden="false" customHeight="false" outlineLevel="0" collapsed="false">
      <c r="A1818" s="36" t="str">
        <f aca="false">IF(Raw_Export!$A1818="","",TRIM(Raw_Export!A1818))</f>
        <v>TXN-101779</v>
      </c>
      <c r="B1818" s="37" t="n">
        <f aca="false">IF(Raw_Export!$A1818="","",IF(ISNUMBER(Raw_Export!B1818),Raw_Export!B1818,IF(MID(TRIM(Raw_Export!B1818),5,1)="-",DATE(LEFT(TRIM(Raw_Export!B1818),4),MID(TRIM(Raw_Export!B1818),6,2),RIGHT(TRIM(Raw_Export!B1818),2)),DATE(RIGHT(TRIM(Raw_Export!B1818),4),MATCH(MID(TRIM(Raw_Export!B1818),4,3),{"Jan","Feb","Mar","Apr","May","Jun","Jul","Aug","Sep","Oct","Nov","Dec"},0),LEFT(TRIM(Raw_Export!B1818),2)))))</f>
        <v>46277</v>
      </c>
      <c r="C1818" s="36" t="str">
        <f aca="false">IF(Raw_Export!$A1818="","",IFERROR(VLOOKUP(LOWER(TRIM(Raw_Export!C1818)),Maps!$A$2:$B$20,2,FALSE()),"UNMAPPED"))</f>
        <v>Nairobi CBD</v>
      </c>
      <c r="D1818" s="36" t="str">
        <f aca="false">IF(Raw_Export!$A1818="","",IFERROR(VLOOKUP(LOWER(TRIM(Raw_Export!D1818)),Maps!$G$2:$I$80,2,FALSE()),"UNMAPPED"))</f>
        <v>Soda 500ml</v>
      </c>
      <c r="E1818" s="36" t="str">
        <f aca="false">IF(Raw_Export!$A1818="","",IFERROR(VLOOKUP(LOWER(TRIM(Raw_Export!D1818)),Maps!$G$2:$I$80,3,FALSE()),"UNMAPPED"))</f>
        <v>Beverages</v>
      </c>
      <c r="F1818" s="36" t="n">
        <f aca="false">IF(Raw_Export!$A1818="","",IFERROR(VALUE(TRIM(Raw_Export!E1818)),0))</f>
        <v>6</v>
      </c>
      <c r="G1818" s="38" t="n">
        <f aca="false">IF(Raw_Export!$A1818="","",IFERROR(VALUE(SUBSTITUTE(SUBSTITUTE(UPPER(TRIM(Raw_Export!F1818)),"KES",""),",","")),0))</f>
        <v>60</v>
      </c>
      <c r="H1818" s="38" t="n">
        <f aca="false">IF(Raw_Export!$A1818="","",F1818*G1818)</f>
        <v>360</v>
      </c>
      <c r="I1818" s="36" t="str">
        <f aca="false">IF(Raw_Export!$A1818="","",IFERROR(VLOOKUP(LOWER(TRIM(Raw_Export!H1818)),Maps!$D$2:$E$12,2,FALSE()),"Other"))</f>
        <v>Card</v>
      </c>
      <c r="J1818" s="36" t="str">
        <f aca="false">IF(Raw_Export!$A1818="","",IF(COUNTIF($A$2:A1818,A1818)&gt;1,"Duplicate",""))</f>
        <v/>
      </c>
      <c r="K1818" s="36" t="str">
        <f aca="false">IF(Raw_Export!$A1818="","",IF(J1818="Duplicate","Duplicate",IF(OR(C1818="UNMAPPED",D1818="UNMAPPED"),"Unmapped",IF(F1818=0,"Blank qty",IF(F1818&lt;0,"Return","OK")))))</f>
        <v>OK</v>
      </c>
      <c r="L1818" s="36" t="n">
        <f aca="false">IF(Raw_Export!$A1818="","",IF(OR(K1818="OK",K1818="Return"),1,0))</f>
        <v>1</v>
      </c>
      <c r="M1818" s="37" t="n">
        <f aca="false">IF(Raw_Export!$A1818="","",B1818-WEEKDAY(B1818,2)+1)</f>
        <v>46272</v>
      </c>
    </row>
    <row r="1819" customFormat="false" ht="15" hidden="false" customHeight="false" outlineLevel="0" collapsed="false">
      <c r="A1819" s="36" t="str">
        <f aca="false">IF(Raw_Export!$A1819="","",TRIM(Raw_Export!A1819))</f>
        <v>TXN-101780</v>
      </c>
      <c r="B1819" s="37" t="n">
        <f aca="false">IF(Raw_Export!$A1819="","",IF(ISNUMBER(Raw_Export!B1819),Raw_Export!B1819,IF(MID(TRIM(Raw_Export!B1819),5,1)="-",DATE(LEFT(TRIM(Raw_Export!B1819),4),MID(TRIM(Raw_Export!B1819),6,2),RIGHT(TRIM(Raw_Export!B1819),2)),DATE(RIGHT(TRIM(Raw_Export!B1819),4),MATCH(MID(TRIM(Raw_Export!B1819),4,3),{"Jan","Feb","Mar","Apr","May","Jun","Jul","Aug","Sep","Oct","Nov","Dec"},0),LEFT(TRIM(Raw_Export!B1819),2)))))</f>
        <v>46277</v>
      </c>
      <c r="C1819" s="36" t="str">
        <f aca="false">IF(Raw_Export!$A1819="","",IFERROR(VLOOKUP(LOWER(TRIM(Raw_Export!C1819)),Maps!$A$2:$B$20,2,FALSE()),"UNMAPPED"))</f>
        <v>Nairobi CBD</v>
      </c>
      <c r="D1819" s="36" t="str">
        <f aca="false">IF(Raw_Export!$A1819="","",IFERROR(VLOOKUP(LOWER(TRIM(Raw_Export!D1819)),Maps!$G$2:$I$80,2,FALSE()),"UNMAPPED"))</f>
        <v>Spaghetti 400g</v>
      </c>
      <c r="E1819" s="36" t="str">
        <f aca="false">IF(Raw_Export!$A1819="","",IFERROR(VLOOKUP(LOWER(TRIM(Raw_Export!D1819)),Maps!$G$2:$I$80,3,FALSE()),"UNMAPPED"))</f>
        <v>Staples</v>
      </c>
      <c r="F1819" s="36" t="n">
        <f aca="false">IF(Raw_Export!$A1819="","",IFERROR(VALUE(TRIM(Raw_Export!E1819)),0))</f>
        <v>1</v>
      </c>
      <c r="G1819" s="38" t="n">
        <f aca="false">IF(Raw_Export!$A1819="","",IFERROR(VALUE(SUBSTITUTE(SUBSTITUTE(UPPER(TRIM(Raw_Export!F1819)),"KES",""),",","")),0))</f>
        <v>110</v>
      </c>
      <c r="H1819" s="38" t="n">
        <f aca="false">IF(Raw_Export!$A1819="","",F1819*G1819)</f>
        <v>110</v>
      </c>
      <c r="I1819" s="36" t="str">
        <f aca="false">IF(Raw_Export!$A1819="","",IFERROR(VLOOKUP(LOWER(TRIM(Raw_Export!H1819)),Maps!$D$2:$E$12,2,FALSE()),"Other"))</f>
        <v>M-Pesa</v>
      </c>
      <c r="J1819" s="36" t="str">
        <f aca="false">IF(Raw_Export!$A1819="","",IF(COUNTIF($A$2:A1819,A1819)&gt;1,"Duplicate",""))</f>
        <v/>
      </c>
      <c r="K1819" s="36" t="str">
        <f aca="false">IF(Raw_Export!$A1819="","",IF(J1819="Duplicate","Duplicate",IF(OR(C1819="UNMAPPED",D1819="UNMAPPED"),"Unmapped",IF(F1819=0,"Blank qty",IF(F1819&lt;0,"Return","OK")))))</f>
        <v>OK</v>
      </c>
      <c r="L1819" s="36" t="n">
        <f aca="false">IF(Raw_Export!$A1819="","",IF(OR(K1819="OK",K1819="Return"),1,0))</f>
        <v>1</v>
      </c>
      <c r="M1819" s="37" t="n">
        <f aca="false">IF(Raw_Export!$A1819="","",B1819-WEEKDAY(B1819,2)+1)</f>
        <v>46272</v>
      </c>
    </row>
    <row r="1820" customFormat="false" ht="15" hidden="false" customHeight="false" outlineLevel="0" collapsed="false">
      <c r="A1820" s="36" t="str">
        <f aca="false">IF(Raw_Export!$A1820="","",TRIM(Raw_Export!A1820))</f>
        <v>TXN-101781</v>
      </c>
      <c r="B1820" s="37" t="n">
        <f aca="false">IF(Raw_Export!$A1820="","",IF(ISNUMBER(Raw_Export!B1820),Raw_Export!B1820,IF(MID(TRIM(Raw_Export!B1820),5,1)="-",DATE(LEFT(TRIM(Raw_Export!B1820),4),MID(TRIM(Raw_Export!B1820),6,2),RIGHT(TRIM(Raw_Export!B1820),2)),DATE(RIGHT(TRIM(Raw_Export!B1820),4),MATCH(MID(TRIM(Raw_Export!B1820),4,3),{"Jan","Feb","Mar","Apr","May","Jun","Jul","Aug","Sep","Oct","Nov","Dec"},0),LEFT(TRIM(Raw_Export!B1820),2)))))</f>
        <v>46277</v>
      </c>
      <c r="C1820" s="36" t="str">
        <f aca="false">IF(Raw_Export!$A1820="","",IFERROR(VLOOKUP(LOWER(TRIM(Raw_Export!C1820)),Maps!$A$2:$B$20,2,FALSE()),"UNMAPPED"))</f>
        <v>Nairobi CBD</v>
      </c>
      <c r="D1820" s="36" t="str">
        <f aca="false">IF(Raw_Export!$A1820="","",IFERROR(VLOOKUP(LOWER(TRIM(Raw_Export!D1820)),Maps!$G$2:$I$80,2,FALSE()),"UNMAPPED"))</f>
        <v>Bottled Water 1.5L</v>
      </c>
      <c r="E1820" s="36" t="str">
        <f aca="false">IF(Raw_Export!$A1820="","",IFERROR(VLOOKUP(LOWER(TRIM(Raw_Export!D1820)),Maps!$G$2:$I$80,3,FALSE()),"UNMAPPED"))</f>
        <v>Beverages</v>
      </c>
      <c r="F1820" s="36" t="n">
        <f aca="false">IF(Raw_Export!$A1820="","",IFERROR(VALUE(TRIM(Raw_Export!E1820)),0))</f>
        <v>2</v>
      </c>
      <c r="G1820" s="38" t="n">
        <f aca="false">IF(Raw_Export!$A1820="","",IFERROR(VALUE(SUBSTITUTE(SUBSTITUTE(UPPER(TRIM(Raw_Export!F1820)),"KES",""),",","")),0))</f>
        <v>90</v>
      </c>
      <c r="H1820" s="38" t="n">
        <f aca="false">IF(Raw_Export!$A1820="","",F1820*G1820)</f>
        <v>180</v>
      </c>
      <c r="I1820" s="36" t="str">
        <f aca="false">IF(Raw_Export!$A1820="","",IFERROR(VLOOKUP(LOWER(TRIM(Raw_Export!H1820)),Maps!$D$2:$E$12,2,FALSE()),"Other"))</f>
        <v>M-Pesa</v>
      </c>
      <c r="J1820" s="36" t="str">
        <f aca="false">IF(Raw_Export!$A1820="","",IF(COUNTIF($A$2:A1820,A1820)&gt;1,"Duplicate",""))</f>
        <v/>
      </c>
      <c r="K1820" s="36" t="str">
        <f aca="false">IF(Raw_Export!$A1820="","",IF(J1820="Duplicate","Duplicate",IF(OR(C1820="UNMAPPED",D1820="UNMAPPED"),"Unmapped",IF(F1820=0,"Blank qty",IF(F1820&lt;0,"Return","OK")))))</f>
        <v>OK</v>
      </c>
      <c r="L1820" s="36" t="n">
        <f aca="false">IF(Raw_Export!$A1820="","",IF(OR(K1820="OK",K1820="Return"),1,0))</f>
        <v>1</v>
      </c>
      <c r="M1820" s="37" t="n">
        <f aca="false">IF(Raw_Export!$A1820="","",B1820-WEEKDAY(B1820,2)+1)</f>
        <v>46272</v>
      </c>
    </row>
    <row r="1821" customFormat="false" ht="15" hidden="false" customHeight="false" outlineLevel="0" collapsed="false">
      <c r="A1821" s="36" t="str">
        <f aca="false">IF(Raw_Export!$A1821="","",TRIM(Raw_Export!A1821))</f>
        <v>TXN-101782</v>
      </c>
      <c r="B1821" s="37" t="n">
        <f aca="false">IF(Raw_Export!$A1821="","",IF(ISNUMBER(Raw_Export!B1821),Raw_Export!B1821,IF(MID(TRIM(Raw_Export!B1821),5,1)="-",DATE(LEFT(TRIM(Raw_Export!B1821),4),MID(TRIM(Raw_Export!B1821),6,2),RIGHT(TRIM(Raw_Export!B1821),2)),DATE(RIGHT(TRIM(Raw_Export!B1821),4),MATCH(MID(TRIM(Raw_Export!B1821),4,3),{"Jan","Feb","Mar","Apr","May","Jun","Jul","Aug","Sep","Oct","Nov","Dec"},0),LEFT(TRIM(Raw_Export!B1821),2)))))</f>
        <v>46277</v>
      </c>
      <c r="C1821" s="36" t="str">
        <f aca="false">IF(Raw_Export!$A1821="","",IFERROR(VLOOKUP(LOWER(TRIM(Raw_Export!C1821)),Maps!$A$2:$B$20,2,FALSE()),"UNMAPPED"))</f>
        <v>Nairobi CBD</v>
      </c>
      <c r="D1821" s="36" t="str">
        <f aca="false">IF(Raw_Export!$A1821="","",IFERROR(VLOOKUP(LOWER(TRIM(Raw_Export!D1821)),Maps!$G$2:$I$80,2,FALSE()),"UNMAPPED"))</f>
        <v>Unga Pembe 2kg</v>
      </c>
      <c r="E1821" s="36" t="str">
        <f aca="false">IF(Raw_Export!$A1821="","",IFERROR(VLOOKUP(LOWER(TRIM(Raw_Export!D1821)),Maps!$G$2:$I$80,3,FALSE()),"UNMAPPED"))</f>
        <v>Staples</v>
      </c>
      <c r="F1821" s="36" t="n">
        <f aca="false">IF(Raw_Export!$A1821="","",IFERROR(VALUE(TRIM(Raw_Export!E1821)),0))</f>
        <v>1</v>
      </c>
      <c r="G1821" s="38" t="n">
        <f aca="false">IF(Raw_Export!$A1821="","",IFERROR(VALUE(SUBSTITUTE(SUBSTITUTE(UPPER(TRIM(Raw_Export!F1821)),"KES",""),",","")),0))</f>
        <v>190</v>
      </c>
      <c r="H1821" s="38" t="n">
        <f aca="false">IF(Raw_Export!$A1821="","",F1821*G1821)</f>
        <v>190</v>
      </c>
      <c r="I1821" s="36" t="str">
        <f aca="false">IF(Raw_Export!$A1821="","",IFERROR(VLOOKUP(LOWER(TRIM(Raw_Export!H1821)),Maps!$D$2:$E$12,2,FALSE()),"Other"))</f>
        <v>M-Pesa</v>
      </c>
      <c r="J1821" s="36" t="str">
        <f aca="false">IF(Raw_Export!$A1821="","",IF(COUNTIF($A$2:A1821,A1821)&gt;1,"Duplicate",""))</f>
        <v/>
      </c>
      <c r="K1821" s="36" t="str">
        <f aca="false">IF(Raw_Export!$A1821="","",IF(J1821="Duplicate","Duplicate",IF(OR(C1821="UNMAPPED",D1821="UNMAPPED"),"Unmapped",IF(F1821=0,"Blank qty",IF(F1821&lt;0,"Return","OK")))))</f>
        <v>OK</v>
      </c>
      <c r="L1821" s="36" t="n">
        <f aca="false">IF(Raw_Export!$A1821="","",IF(OR(K1821="OK",K1821="Return"),1,0))</f>
        <v>1</v>
      </c>
      <c r="M1821" s="37" t="n">
        <f aca="false">IF(Raw_Export!$A1821="","",B1821-WEEKDAY(B1821,2)+1)</f>
        <v>46272</v>
      </c>
    </row>
    <row r="1822" customFormat="false" ht="15" hidden="false" customHeight="false" outlineLevel="0" collapsed="false">
      <c r="A1822" s="36" t="str">
        <f aca="false">IF(Raw_Export!$A1822="","",TRIM(Raw_Export!A1822))</f>
        <v>TXN-101783</v>
      </c>
      <c r="B1822" s="37" t="n">
        <f aca="false">IF(Raw_Export!$A1822="","",IF(ISNUMBER(Raw_Export!B1822),Raw_Export!B1822,IF(MID(TRIM(Raw_Export!B1822),5,1)="-",DATE(LEFT(TRIM(Raw_Export!B1822),4),MID(TRIM(Raw_Export!B1822),6,2),RIGHT(TRIM(Raw_Export!B1822),2)),DATE(RIGHT(TRIM(Raw_Export!B1822),4),MATCH(MID(TRIM(Raw_Export!B1822),4,3),{"Jan","Feb","Mar","Apr","May","Jun","Jul","Aug","Sep","Oct","Nov","Dec"},0),LEFT(TRIM(Raw_Export!B1822),2)))))</f>
        <v>46277</v>
      </c>
      <c r="C1822" s="36" t="str">
        <f aca="false">IF(Raw_Export!$A1822="","",IFERROR(VLOOKUP(LOWER(TRIM(Raw_Export!C1822)),Maps!$A$2:$B$20,2,FALSE()),"UNMAPPED"))</f>
        <v>Nairobi CBD</v>
      </c>
      <c r="D1822" s="36" t="str">
        <f aca="false">IF(Raw_Export!$A1822="","",IFERROR(VLOOKUP(LOWER(TRIM(Raw_Export!D1822)),Maps!$G$2:$I$80,2,FALSE()),"UNMAPPED"))</f>
        <v>Body Lotion 400ml</v>
      </c>
      <c r="E1822" s="36" t="str">
        <f aca="false">IF(Raw_Export!$A1822="","",IFERROR(VLOOKUP(LOWER(TRIM(Raw_Export!D1822)),Maps!$G$2:$I$80,3,FALSE()),"UNMAPPED"))</f>
        <v>Personal Care</v>
      </c>
      <c r="F1822" s="36" t="n">
        <f aca="false">IF(Raw_Export!$A1822="","",IFERROR(VALUE(TRIM(Raw_Export!E1822)),0))</f>
        <v>6</v>
      </c>
      <c r="G1822" s="38" t="n">
        <f aca="false">IF(Raw_Export!$A1822="","",IFERROR(VALUE(SUBSTITUTE(SUBSTITUTE(UPPER(TRIM(Raw_Export!F1822)),"KES",""),",","")),0))</f>
        <v>420</v>
      </c>
      <c r="H1822" s="38" t="n">
        <f aca="false">IF(Raw_Export!$A1822="","",F1822*G1822)</f>
        <v>2520</v>
      </c>
      <c r="I1822" s="36" t="str">
        <f aca="false">IF(Raw_Export!$A1822="","",IFERROR(VLOOKUP(LOWER(TRIM(Raw_Export!H1822)),Maps!$D$2:$E$12,2,FALSE()),"Other"))</f>
        <v>Cash</v>
      </c>
      <c r="J1822" s="36" t="str">
        <f aca="false">IF(Raw_Export!$A1822="","",IF(COUNTIF($A$2:A1822,A1822)&gt;1,"Duplicate",""))</f>
        <v/>
      </c>
      <c r="K1822" s="36" t="str">
        <f aca="false">IF(Raw_Export!$A1822="","",IF(J1822="Duplicate","Duplicate",IF(OR(C1822="UNMAPPED",D1822="UNMAPPED"),"Unmapped",IF(F1822=0,"Blank qty",IF(F1822&lt;0,"Return","OK")))))</f>
        <v>OK</v>
      </c>
      <c r="L1822" s="36" t="n">
        <f aca="false">IF(Raw_Export!$A1822="","",IF(OR(K1822="OK",K1822="Return"),1,0))</f>
        <v>1</v>
      </c>
      <c r="M1822" s="37" t="n">
        <f aca="false">IF(Raw_Export!$A1822="","",B1822-WEEKDAY(B1822,2)+1)</f>
        <v>46272</v>
      </c>
    </row>
    <row r="1823" customFormat="false" ht="15" hidden="false" customHeight="false" outlineLevel="0" collapsed="false">
      <c r="A1823" s="36" t="str">
        <f aca="false">IF(Raw_Export!$A1823="","",TRIM(Raw_Export!A1823))</f>
        <v>TXN-101784</v>
      </c>
      <c r="B1823" s="37" t="n">
        <f aca="false">IF(Raw_Export!$A1823="","",IF(ISNUMBER(Raw_Export!B1823),Raw_Export!B1823,IF(MID(TRIM(Raw_Export!B1823),5,1)="-",DATE(LEFT(TRIM(Raw_Export!B1823),4),MID(TRIM(Raw_Export!B1823),6,2),RIGHT(TRIM(Raw_Export!B1823),2)),DATE(RIGHT(TRIM(Raw_Export!B1823),4),MATCH(MID(TRIM(Raw_Export!B1823),4,3),{"Jan","Feb","Mar","Apr","May","Jun","Jul","Aug","Sep","Oct","Nov","Dec"},0),LEFT(TRIM(Raw_Export!B1823),2)))))</f>
        <v>46277</v>
      </c>
      <c r="C1823" s="36" t="str">
        <f aca="false">IF(Raw_Export!$A1823="","",IFERROR(VLOOKUP(LOWER(TRIM(Raw_Export!C1823)),Maps!$A$2:$B$20,2,FALSE()),"UNMAPPED"))</f>
        <v>Nairobi CBD</v>
      </c>
      <c r="D1823" s="36" t="str">
        <f aca="false">IF(Raw_Export!$A1823="","",IFERROR(VLOOKUP(LOWER(TRIM(Raw_Export!D1823)),Maps!$G$2:$I$80,2,FALSE()),"UNMAPPED"))</f>
        <v>Toilet Paper 10pk</v>
      </c>
      <c r="E1823" s="36" t="str">
        <f aca="false">IF(Raw_Export!$A1823="","",IFERROR(VLOOKUP(LOWER(TRIM(Raw_Export!D1823)),Maps!$G$2:$I$80,3,FALSE()),"UNMAPPED"))</f>
        <v>Household</v>
      </c>
      <c r="F1823" s="36" t="n">
        <f aca="false">IF(Raw_Export!$A1823="","",IFERROR(VALUE(TRIM(Raw_Export!E1823)),0))</f>
        <v>1</v>
      </c>
      <c r="G1823" s="38" t="n">
        <f aca="false">IF(Raw_Export!$A1823="","",IFERROR(VALUE(SUBSTITUTE(SUBSTITUTE(UPPER(TRIM(Raw_Export!F1823)),"KES",""),",","")),0))</f>
        <v>380</v>
      </c>
      <c r="H1823" s="38" t="n">
        <f aca="false">IF(Raw_Export!$A1823="","",F1823*G1823)</f>
        <v>380</v>
      </c>
      <c r="I1823" s="36" t="str">
        <f aca="false">IF(Raw_Export!$A1823="","",IFERROR(VLOOKUP(LOWER(TRIM(Raw_Export!H1823)),Maps!$D$2:$E$12,2,FALSE()),"Other"))</f>
        <v>Cash</v>
      </c>
      <c r="J1823" s="36" t="str">
        <f aca="false">IF(Raw_Export!$A1823="","",IF(COUNTIF($A$2:A1823,A1823)&gt;1,"Duplicate",""))</f>
        <v/>
      </c>
      <c r="K1823" s="36" t="str">
        <f aca="false">IF(Raw_Export!$A1823="","",IF(J1823="Duplicate","Duplicate",IF(OR(C1823="UNMAPPED",D1823="UNMAPPED"),"Unmapped",IF(F1823=0,"Blank qty",IF(F1823&lt;0,"Return","OK")))))</f>
        <v>OK</v>
      </c>
      <c r="L1823" s="36" t="n">
        <f aca="false">IF(Raw_Export!$A1823="","",IF(OR(K1823="OK",K1823="Return"),1,0))</f>
        <v>1</v>
      </c>
      <c r="M1823" s="37" t="n">
        <f aca="false">IF(Raw_Export!$A1823="","",B1823-WEEKDAY(B1823,2)+1)</f>
        <v>46272</v>
      </c>
    </row>
    <row r="1824" customFormat="false" ht="15" hidden="false" customHeight="false" outlineLevel="0" collapsed="false">
      <c r="A1824" s="36" t="str">
        <f aca="false">IF(Raw_Export!$A1824="","",TRIM(Raw_Export!A1824))</f>
        <v>TXN-101785</v>
      </c>
      <c r="B1824" s="37" t="n">
        <f aca="false">IF(Raw_Export!$A1824="","",IF(ISNUMBER(Raw_Export!B1824),Raw_Export!B1824,IF(MID(TRIM(Raw_Export!B1824),5,1)="-",DATE(LEFT(TRIM(Raw_Export!B1824),4),MID(TRIM(Raw_Export!B1824),6,2),RIGHT(TRIM(Raw_Export!B1824),2)),DATE(RIGHT(TRIM(Raw_Export!B1824),4),MATCH(MID(TRIM(Raw_Export!B1824),4,3),{"Jan","Feb","Mar","Apr","May","Jun","Jul","Aug","Sep","Oct","Nov","Dec"},0),LEFT(TRIM(Raw_Export!B1824),2)))))</f>
        <v>46277</v>
      </c>
      <c r="C1824" s="36" t="str">
        <f aca="false">IF(Raw_Export!$A1824="","",IFERROR(VLOOKUP(LOWER(TRIM(Raw_Export!C1824)),Maps!$A$2:$B$20,2,FALSE()),"UNMAPPED"))</f>
        <v>Nairobi CBD</v>
      </c>
      <c r="D1824" s="36" t="str">
        <f aca="false">IF(Raw_Export!$A1824="","",IFERROR(VLOOKUP(LOWER(TRIM(Raw_Export!D1824)),Maps!$G$2:$I$80,2,FALSE()),"UNMAPPED"))</f>
        <v>Rice Pishori 2kg</v>
      </c>
      <c r="E1824" s="36" t="str">
        <f aca="false">IF(Raw_Export!$A1824="","",IFERROR(VLOOKUP(LOWER(TRIM(Raw_Export!D1824)),Maps!$G$2:$I$80,3,FALSE()),"UNMAPPED"))</f>
        <v>Staples</v>
      </c>
      <c r="F1824" s="36" t="n">
        <f aca="false">IF(Raw_Export!$A1824="","",IFERROR(VALUE(TRIM(Raw_Export!E1824)),0))</f>
        <v>1</v>
      </c>
      <c r="G1824" s="38" t="n">
        <f aca="false">IF(Raw_Export!$A1824="","",IFERROR(VALUE(SUBSTITUTE(SUBSTITUTE(UPPER(TRIM(Raw_Export!F1824)),"KES",""),",","")),0))</f>
        <v>420</v>
      </c>
      <c r="H1824" s="38" t="n">
        <f aca="false">IF(Raw_Export!$A1824="","",F1824*G1824)</f>
        <v>420</v>
      </c>
      <c r="I1824" s="36" t="str">
        <f aca="false">IF(Raw_Export!$A1824="","",IFERROR(VLOOKUP(LOWER(TRIM(Raw_Export!H1824)),Maps!$D$2:$E$12,2,FALSE()),"Other"))</f>
        <v>Cash</v>
      </c>
      <c r="J1824" s="36" t="str">
        <f aca="false">IF(Raw_Export!$A1824="","",IF(COUNTIF($A$2:A1824,A1824)&gt;1,"Duplicate",""))</f>
        <v/>
      </c>
      <c r="K1824" s="36" t="str">
        <f aca="false">IF(Raw_Export!$A1824="","",IF(J1824="Duplicate","Duplicate",IF(OR(C1824="UNMAPPED",D1824="UNMAPPED"),"Unmapped",IF(F1824=0,"Blank qty",IF(F1824&lt;0,"Return","OK")))))</f>
        <v>OK</v>
      </c>
      <c r="L1824" s="36" t="n">
        <f aca="false">IF(Raw_Export!$A1824="","",IF(OR(K1824="OK",K1824="Return"),1,0))</f>
        <v>1</v>
      </c>
      <c r="M1824" s="37" t="n">
        <f aca="false">IF(Raw_Export!$A1824="","",B1824-WEEKDAY(B1824,2)+1)</f>
        <v>46272</v>
      </c>
    </row>
    <row r="1825" customFormat="false" ht="15" hidden="false" customHeight="false" outlineLevel="0" collapsed="false">
      <c r="A1825" s="36" t="str">
        <f aca="false">IF(Raw_Export!$A1825="","",TRIM(Raw_Export!A1825))</f>
        <v>TXN-101786</v>
      </c>
      <c r="B1825" s="37" t="n">
        <f aca="false">IF(Raw_Export!$A1825="","",IF(ISNUMBER(Raw_Export!B1825),Raw_Export!B1825,IF(MID(TRIM(Raw_Export!B1825),5,1)="-",DATE(LEFT(TRIM(Raw_Export!B1825),4),MID(TRIM(Raw_Export!B1825),6,2),RIGHT(TRIM(Raw_Export!B1825),2)),DATE(RIGHT(TRIM(Raw_Export!B1825),4),MATCH(MID(TRIM(Raw_Export!B1825),4,3),{"Jan","Feb","Mar","Apr","May","Jun","Jul","Aug","Sep","Oct","Nov","Dec"},0),LEFT(TRIM(Raw_Export!B1825),2)))))</f>
        <v>46277</v>
      </c>
      <c r="C1825" s="36" t="str">
        <f aca="false">IF(Raw_Export!$A1825="","",IFERROR(VLOOKUP(LOWER(TRIM(Raw_Export!C1825)),Maps!$A$2:$B$20,2,FALSE()),"UNMAPPED"))</f>
        <v>Nairobi CBD</v>
      </c>
      <c r="D1825" s="36" t="str">
        <f aca="false">IF(Raw_Export!$A1825="","",IFERROR(VLOOKUP(LOWER(TRIM(Raw_Export!D1825)),Maps!$G$2:$I$80,2,FALSE()),"UNMAPPED"))</f>
        <v>Soda 500ml</v>
      </c>
      <c r="E1825" s="36" t="str">
        <f aca="false">IF(Raw_Export!$A1825="","",IFERROR(VLOOKUP(LOWER(TRIM(Raw_Export!D1825)),Maps!$G$2:$I$80,3,FALSE()),"UNMAPPED"))</f>
        <v>Beverages</v>
      </c>
      <c r="F1825" s="36" t="n">
        <f aca="false">IF(Raw_Export!$A1825="","",IFERROR(VALUE(TRIM(Raw_Export!E1825)),0))</f>
        <v>4</v>
      </c>
      <c r="G1825" s="38" t="n">
        <f aca="false">IF(Raw_Export!$A1825="","",IFERROR(VALUE(SUBSTITUTE(SUBSTITUTE(UPPER(TRIM(Raw_Export!F1825)),"KES",""),",","")),0))</f>
        <v>60</v>
      </c>
      <c r="H1825" s="38" t="n">
        <f aca="false">IF(Raw_Export!$A1825="","",F1825*G1825)</f>
        <v>240</v>
      </c>
      <c r="I1825" s="36" t="str">
        <f aca="false">IF(Raw_Export!$A1825="","",IFERROR(VLOOKUP(LOWER(TRIM(Raw_Export!H1825)),Maps!$D$2:$E$12,2,FALSE()),"Other"))</f>
        <v>Card</v>
      </c>
      <c r="J1825" s="36" t="str">
        <f aca="false">IF(Raw_Export!$A1825="","",IF(COUNTIF($A$2:A1825,A1825)&gt;1,"Duplicate",""))</f>
        <v/>
      </c>
      <c r="K1825" s="36" t="str">
        <f aca="false">IF(Raw_Export!$A1825="","",IF(J1825="Duplicate","Duplicate",IF(OR(C1825="UNMAPPED",D1825="UNMAPPED"),"Unmapped",IF(F1825=0,"Blank qty",IF(F1825&lt;0,"Return","OK")))))</f>
        <v>OK</v>
      </c>
      <c r="L1825" s="36" t="n">
        <f aca="false">IF(Raw_Export!$A1825="","",IF(OR(K1825="OK",K1825="Return"),1,0))</f>
        <v>1</v>
      </c>
      <c r="M1825" s="37" t="n">
        <f aca="false">IF(Raw_Export!$A1825="","",B1825-WEEKDAY(B1825,2)+1)</f>
        <v>46272</v>
      </c>
    </row>
    <row r="1826" customFormat="false" ht="15" hidden="false" customHeight="false" outlineLevel="0" collapsed="false">
      <c r="A1826" s="36" t="str">
        <f aca="false">IF(Raw_Export!$A1826="","",TRIM(Raw_Export!A1826))</f>
        <v>TXN-101787</v>
      </c>
      <c r="B1826" s="37" t="n">
        <f aca="false">IF(Raw_Export!$A1826="","",IF(ISNUMBER(Raw_Export!B1826),Raw_Export!B1826,IF(MID(TRIM(Raw_Export!B1826),5,1)="-",DATE(LEFT(TRIM(Raw_Export!B1826),4),MID(TRIM(Raw_Export!B1826),6,2),RIGHT(TRIM(Raw_Export!B1826),2)),DATE(RIGHT(TRIM(Raw_Export!B1826),4),MATCH(MID(TRIM(Raw_Export!B1826),4,3),{"Jan","Feb","Mar","Apr","May","Jun","Jul","Aug","Sep","Oct","Nov","Dec"},0),LEFT(TRIM(Raw_Export!B1826),2)))))</f>
        <v>46277</v>
      </c>
      <c r="C1826" s="36" t="str">
        <f aca="false">IF(Raw_Export!$A1826="","",IFERROR(VLOOKUP(LOWER(TRIM(Raw_Export!C1826)),Maps!$A$2:$B$20,2,FALSE()),"UNMAPPED"))</f>
        <v>Nairobi CBD</v>
      </c>
      <c r="D1826" s="36" t="str">
        <f aca="false">IF(Raw_Export!$A1826="","",IFERROR(VLOOKUP(LOWER(TRIM(Raw_Export!D1826)),Maps!$G$2:$I$80,2,FALSE()),"UNMAPPED"))</f>
        <v>Salt 500g</v>
      </c>
      <c r="E1826" s="36" t="str">
        <f aca="false">IF(Raw_Export!$A1826="","",IFERROR(VLOOKUP(LOWER(TRIM(Raw_Export!D1826)),Maps!$G$2:$I$80,3,FALSE()),"UNMAPPED"))</f>
        <v>Staples</v>
      </c>
      <c r="F1826" s="36" t="n">
        <f aca="false">IF(Raw_Export!$A1826="","",IFERROR(VALUE(TRIM(Raw_Export!E1826)),0))</f>
        <v>2</v>
      </c>
      <c r="G1826" s="38" t="n">
        <f aca="false">IF(Raw_Export!$A1826="","",IFERROR(VALUE(SUBSTITUTE(SUBSTITUTE(UPPER(TRIM(Raw_Export!F1826)),"KES",""),",","")),0))</f>
        <v>40</v>
      </c>
      <c r="H1826" s="38" t="n">
        <f aca="false">IF(Raw_Export!$A1826="","",F1826*G1826)</f>
        <v>80</v>
      </c>
      <c r="I1826" s="36" t="str">
        <f aca="false">IF(Raw_Export!$A1826="","",IFERROR(VLOOKUP(LOWER(TRIM(Raw_Export!H1826)),Maps!$D$2:$E$12,2,FALSE()),"Other"))</f>
        <v>M-Pesa</v>
      </c>
      <c r="J1826" s="36" t="str">
        <f aca="false">IF(Raw_Export!$A1826="","",IF(COUNTIF($A$2:A1826,A1826)&gt;1,"Duplicate",""))</f>
        <v/>
      </c>
      <c r="K1826" s="36" t="str">
        <f aca="false">IF(Raw_Export!$A1826="","",IF(J1826="Duplicate","Duplicate",IF(OR(C1826="UNMAPPED",D1826="UNMAPPED"),"Unmapped",IF(F1826=0,"Blank qty",IF(F1826&lt;0,"Return","OK")))))</f>
        <v>OK</v>
      </c>
      <c r="L1826" s="36" t="n">
        <f aca="false">IF(Raw_Export!$A1826="","",IF(OR(K1826="OK",K1826="Return"),1,0))</f>
        <v>1</v>
      </c>
      <c r="M1826" s="37" t="n">
        <f aca="false">IF(Raw_Export!$A1826="","",B1826-WEEKDAY(B1826,2)+1)</f>
        <v>46272</v>
      </c>
    </row>
    <row r="1827" customFormat="false" ht="15" hidden="false" customHeight="false" outlineLevel="0" collapsed="false">
      <c r="A1827" s="36" t="str">
        <f aca="false">IF(Raw_Export!$A1827="","",TRIM(Raw_Export!A1827))</f>
        <v>TXN-101788</v>
      </c>
      <c r="B1827" s="37" t="n">
        <f aca="false">IF(Raw_Export!$A1827="","",IF(ISNUMBER(Raw_Export!B1827),Raw_Export!B1827,IF(MID(TRIM(Raw_Export!B1827),5,1)="-",DATE(LEFT(TRIM(Raw_Export!B1827),4),MID(TRIM(Raw_Export!B1827),6,2),RIGHT(TRIM(Raw_Export!B1827),2)),DATE(RIGHT(TRIM(Raw_Export!B1827),4),MATCH(MID(TRIM(Raw_Export!B1827),4,3),{"Jan","Feb","Mar","Apr","May","Jun","Jul","Aug","Sep","Oct","Nov","Dec"},0),LEFT(TRIM(Raw_Export!B1827),2)))))</f>
        <v>46277</v>
      </c>
      <c r="C1827" s="36" t="str">
        <f aca="false">IF(Raw_Export!$A1827="","",IFERROR(VLOOKUP(LOWER(TRIM(Raw_Export!C1827)),Maps!$A$2:$B$20,2,FALSE()),"UNMAPPED"))</f>
        <v>Nairobi CBD</v>
      </c>
      <c r="D1827" s="36" t="str">
        <f aca="false">IF(Raw_Export!$A1827="","",IFERROR(VLOOKUP(LOWER(TRIM(Raw_Export!D1827)),Maps!$G$2:$I$80,2,FALSE()),"UNMAPPED"))</f>
        <v>Cooking Oil 1L</v>
      </c>
      <c r="E1827" s="36" t="str">
        <f aca="false">IF(Raw_Export!$A1827="","",IFERROR(VLOOKUP(LOWER(TRIM(Raw_Export!D1827)),Maps!$G$2:$I$80,3,FALSE()),"UNMAPPED"))</f>
        <v>Staples</v>
      </c>
      <c r="F1827" s="36" t="n">
        <f aca="false">IF(Raw_Export!$A1827="","",IFERROR(VALUE(TRIM(Raw_Export!E1827)),0))</f>
        <v>2</v>
      </c>
      <c r="G1827" s="38" t="n">
        <f aca="false">IF(Raw_Export!$A1827="","",IFERROR(VALUE(SUBSTITUTE(SUBSTITUTE(UPPER(TRIM(Raw_Export!F1827)),"KES",""),",","")),0))</f>
        <v>330</v>
      </c>
      <c r="H1827" s="38" t="n">
        <f aca="false">IF(Raw_Export!$A1827="","",F1827*G1827)</f>
        <v>660</v>
      </c>
      <c r="I1827" s="36" t="str">
        <f aca="false">IF(Raw_Export!$A1827="","",IFERROR(VLOOKUP(LOWER(TRIM(Raw_Export!H1827)),Maps!$D$2:$E$12,2,FALSE()),"Other"))</f>
        <v>M-Pesa</v>
      </c>
      <c r="J1827" s="36" t="str">
        <f aca="false">IF(Raw_Export!$A1827="","",IF(COUNTIF($A$2:A1827,A1827)&gt;1,"Duplicate",""))</f>
        <v/>
      </c>
      <c r="K1827" s="36" t="str">
        <f aca="false">IF(Raw_Export!$A1827="","",IF(J1827="Duplicate","Duplicate",IF(OR(C1827="UNMAPPED",D1827="UNMAPPED"),"Unmapped",IF(F1827=0,"Blank qty",IF(F1827&lt;0,"Return","OK")))))</f>
        <v>OK</v>
      </c>
      <c r="L1827" s="36" t="n">
        <f aca="false">IF(Raw_Export!$A1827="","",IF(OR(K1827="OK",K1827="Return"),1,0))</f>
        <v>1</v>
      </c>
      <c r="M1827" s="37" t="n">
        <f aca="false">IF(Raw_Export!$A1827="","",B1827-WEEKDAY(B1827,2)+1)</f>
        <v>46272</v>
      </c>
    </row>
    <row r="1828" customFormat="false" ht="15" hidden="false" customHeight="false" outlineLevel="0" collapsed="false">
      <c r="A1828" s="36" t="str">
        <f aca="false">IF(Raw_Export!$A1828="","",TRIM(Raw_Export!A1828))</f>
        <v>TXN-101789</v>
      </c>
      <c r="B1828" s="37" t="n">
        <f aca="false">IF(Raw_Export!$A1828="","",IF(ISNUMBER(Raw_Export!B1828),Raw_Export!B1828,IF(MID(TRIM(Raw_Export!B1828),5,1)="-",DATE(LEFT(TRIM(Raw_Export!B1828),4),MID(TRIM(Raw_Export!B1828),6,2),RIGHT(TRIM(Raw_Export!B1828),2)),DATE(RIGHT(TRIM(Raw_Export!B1828),4),MATCH(MID(TRIM(Raw_Export!B1828),4,3),{"Jan","Feb","Mar","Apr","May","Jun","Jul","Aug","Sep","Oct","Nov","Dec"},0),LEFT(TRIM(Raw_Export!B1828),2)))))</f>
        <v>46277</v>
      </c>
      <c r="C1828" s="36" t="str">
        <f aca="false">IF(Raw_Export!$A1828="","",IFERROR(VLOOKUP(LOWER(TRIM(Raw_Export!C1828)),Maps!$A$2:$B$20,2,FALSE()),"UNMAPPED"))</f>
        <v>Nairobi CBD</v>
      </c>
      <c r="D1828" s="36" t="str">
        <f aca="false">IF(Raw_Export!$A1828="","",IFERROR(VLOOKUP(LOWER(TRIM(Raw_Export!D1828)),Maps!$G$2:$I$80,2,FALSE()),"UNMAPPED"))</f>
        <v>Eggs Tray 30</v>
      </c>
      <c r="E1828" s="36" t="str">
        <f aca="false">IF(Raw_Export!$A1828="","",IFERROR(VLOOKUP(LOWER(TRIM(Raw_Export!D1828)),Maps!$G$2:$I$80,3,FALSE()),"UNMAPPED"))</f>
        <v>Dairy &amp; Eggs</v>
      </c>
      <c r="F1828" s="36" t="n">
        <f aca="false">IF(Raw_Export!$A1828="","",IFERROR(VALUE(TRIM(Raw_Export!E1828)),0))</f>
        <v>1</v>
      </c>
      <c r="G1828" s="38" t="n">
        <f aca="false">IF(Raw_Export!$A1828="","",IFERROR(VALUE(SUBSTITUTE(SUBSTITUTE(UPPER(TRIM(Raw_Export!F1828)),"KES",""),",","")),0))</f>
        <v>450</v>
      </c>
      <c r="H1828" s="38" t="n">
        <f aca="false">IF(Raw_Export!$A1828="","",F1828*G1828)</f>
        <v>450</v>
      </c>
      <c r="I1828" s="36" t="str">
        <f aca="false">IF(Raw_Export!$A1828="","",IFERROR(VLOOKUP(LOWER(TRIM(Raw_Export!H1828)),Maps!$D$2:$E$12,2,FALSE()),"Other"))</f>
        <v>Cash</v>
      </c>
      <c r="J1828" s="36" t="str">
        <f aca="false">IF(Raw_Export!$A1828="","",IF(COUNTIF($A$2:A1828,A1828)&gt;1,"Duplicate",""))</f>
        <v/>
      </c>
      <c r="K1828" s="36" t="str">
        <f aca="false">IF(Raw_Export!$A1828="","",IF(J1828="Duplicate","Duplicate",IF(OR(C1828="UNMAPPED",D1828="UNMAPPED"),"Unmapped",IF(F1828=0,"Blank qty",IF(F1828&lt;0,"Return","OK")))))</f>
        <v>OK</v>
      </c>
      <c r="L1828" s="36" t="n">
        <f aca="false">IF(Raw_Export!$A1828="","",IF(OR(K1828="OK",K1828="Return"),1,0))</f>
        <v>1</v>
      </c>
      <c r="M1828" s="37" t="n">
        <f aca="false">IF(Raw_Export!$A1828="","",B1828-WEEKDAY(B1828,2)+1)</f>
        <v>46272</v>
      </c>
    </row>
    <row r="1829" customFormat="false" ht="15" hidden="false" customHeight="false" outlineLevel="0" collapsed="false">
      <c r="A1829" s="36" t="str">
        <f aca="false">IF(Raw_Export!$A1829="","",TRIM(Raw_Export!A1829))</f>
        <v>TXN-101790</v>
      </c>
      <c r="B1829" s="37" t="n">
        <f aca="false">IF(Raw_Export!$A1829="","",IF(ISNUMBER(Raw_Export!B1829),Raw_Export!B1829,IF(MID(TRIM(Raw_Export!B1829),5,1)="-",DATE(LEFT(TRIM(Raw_Export!B1829),4),MID(TRIM(Raw_Export!B1829),6,2),RIGHT(TRIM(Raw_Export!B1829),2)),DATE(RIGHT(TRIM(Raw_Export!B1829),4),MATCH(MID(TRIM(Raw_Export!B1829),4,3),{"Jan","Feb","Mar","Apr","May","Jun","Jul","Aug","Sep","Oct","Nov","Dec"},0),LEFT(TRIM(Raw_Export!B1829),2)))))</f>
        <v>46277</v>
      </c>
      <c r="C1829" s="36" t="str">
        <f aca="false">IF(Raw_Export!$A1829="","",IFERROR(VLOOKUP(LOWER(TRIM(Raw_Export!C1829)),Maps!$A$2:$B$20,2,FALSE()),"UNMAPPED"))</f>
        <v>Nairobi CBD</v>
      </c>
      <c r="D1829" s="36" t="str">
        <f aca="false">IF(Raw_Export!$A1829="","",IFERROR(VLOOKUP(LOWER(TRIM(Raw_Export!D1829)),Maps!$G$2:$I$80,2,FALSE()),"UNMAPPED"))</f>
        <v>Matches 10pk</v>
      </c>
      <c r="E1829" s="36" t="str">
        <f aca="false">IF(Raw_Export!$A1829="","",IFERROR(VLOOKUP(LOWER(TRIM(Raw_Export!D1829)),Maps!$G$2:$I$80,3,FALSE()),"UNMAPPED"))</f>
        <v>Household</v>
      </c>
      <c r="F1829" s="36" t="n">
        <f aca="false">IF(Raw_Export!$A1829="","",IFERROR(VALUE(TRIM(Raw_Export!E1829)),0))</f>
        <v>1</v>
      </c>
      <c r="G1829" s="38" t="n">
        <f aca="false">IF(Raw_Export!$A1829="","",IFERROR(VALUE(SUBSTITUTE(SUBSTITUTE(UPPER(TRIM(Raw_Export!F1829)),"KES",""),",","")),0))</f>
        <v>50</v>
      </c>
      <c r="H1829" s="38" t="n">
        <f aca="false">IF(Raw_Export!$A1829="","",F1829*G1829)</f>
        <v>50</v>
      </c>
      <c r="I1829" s="36" t="str">
        <f aca="false">IF(Raw_Export!$A1829="","",IFERROR(VLOOKUP(LOWER(TRIM(Raw_Export!H1829)),Maps!$D$2:$E$12,2,FALSE()),"Other"))</f>
        <v>M-Pesa</v>
      </c>
      <c r="J1829" s="36" t="str">
        <f aca="false">IF(Raw_Export!$A1829="","",IF(COUNTIF($A$2:A1829,A1829)&gt;1,"Duplicate",""))</f>
        <v/>
      </c>
      <c r="K1829" s="36" t="str">
        <f aca="false">IF(Raw_Export!$A1829="","",IF(J1829="Duplicate","Duplicate",IF(OR(C1829="UNMAPPED",D1829="UNMAPPED"),"Unmapped",IF(F1829=0,"Blank qty",IF(F1829&lt;0,"Return","OK")))))</f>
        <v>OK</v>
      </c>
      <c r="L1829" s="36" t="n">
        <f aca="false">IF(Raw_Export!$A1829="","",IF(OR(K1829="OK",K1829="Return"),1,0))</f>
        <v>1</v>
      </c>
      <c r="M1829" s="37" t="n">
        <f aca="false">IF(Raw_Export!$A1829="","",B1829-WEEKDAY(B1829,2)+1)</f>
        <v>46272</v>
      </c>
    </row>
    <row r="1830" customFormat="false" ht="15" hidden="false" customHeight="false" outlineLevel="0" collapsed="false">
      <c r="A1830" s="36" t="str">
        <f aca="false">IF(Raw_Export!$A1830="","",TRIM(Raw_Export!A1830))</f>
        <v>TXN-101791</v>
      </c>
      <c r="B1830" s="37" t="n">
        <f aca="false">IF(Raw_Export!$A1830="","",IF(ISNUMBER(Raw_Export!B1830),Raw_Export!B1830,IF(MID(TRIM(Raw_Export!B1830),5,1)="-",DATE(LEFT(TRIM(Raw_Export!B1830),4),MID(TRIM(Raw_Export!B1830),6,2),RIGHT(TRIM(Raw_Export!B1830),2)),DATE(RIGHT(TRIM(Raw_Export!B1830),4),MATCH(MID(TRIM(Raw_Export!B1830),4,3),{"Jan","Feb","Mar","Apr","May","Jun","Jul","Aug","Sep","Oct","Nov","Dec"},0),LEFT(TRIM(Raw_Export!B1830),2)))))</f>
        <v>46277</v>
      </c>
      <c r="C1830" s="36" t="str">
        <f aca="false">IF(Raw_Export!$A1830="","",IFERROR(VLOOKUP(LOWER(TRIM(Raw_Export!C1830)),Maps!$A$2:$B$20,2,FALSE()),"UNMAPPED"))</f>
        <v>Nairobi CBD</v>
      </c>
      <c r="D1830" s="36" t="str">
        <f aca="false">IF(Raw_Export!$A1830="","",IFERROR(VLOOKUP(LOWER(TRIM(Raw_Export!D1830)),Maps!$G$2:$I$80,2,FALSE()),"UNMAPPED"))</f>
        <v>Peanuts 250g</v>
      </c>
      <c r="E1830" s="36" t="str">
        <f aca="false">IF(Raw_Export!$A1830="","",IFERROR(VLOOKUP(LOWER(TRIM(Raw_Export!D1830)),Maps!$G$2:$I$80,3,FALSE()),"UNMAPPED"))</f>
        <v>Snacks</v>
      </c>
      <c r="F1830" s="36" t="n">
        <f aca="false">IF(Raw_Export!$A1830="","",IFERROR(VALUE(TRIM(Raw_Export!E1830)),0))</f>
        <v>1</v>
      </c>
      <c r="G1830" s="38" t="n">
        <f aca="false">IF(Raw_Export!$A1830="","",IFERROR(VALUE(SUBSTITUTE(SUBSTITUTE(UPPER(TRIM(Raw_Export!F1830)),"KES",""),",","")),0))</f>
        <v>130</v>
      </c>
      <c r="H1830" s="38" t="n">
        <f aca="false">IF(Raw_Export!$A1830="","",F1830*G1830)</f>
        <v>130</v>
      </c>
      <c r="I1830" s="36" t="str">
        <f aca="false">IF(Raw_Export!$A1830="","",IFERROR(VLOOKUP(LOWER(TRIM(Raw_Export!H1830)),Maps!$D$2:$E$12,2,FALSE()),"Other"))</f>
        <v>Card</v>
      </c>
      <c r="J1830" s="36" t="str">
        <f aca="false">IF(Raw_Export!$A1830="","",IF(COUNTIF($A$2:A1830,A1830)&gt;1,"Duplicate",""))</f>
        <v/>
      </c>
      <c r="K1830" s="36" t="str">
        <f aca="false">IF(Raw_Export!$A1830="","",IF(J1830="Duplicate","Duplicate",IF(OR(C1830="UNMAPPED",D1830="UNMAPPED"),"Unmapped",IF(F1830=0,"Blank qty",IF(F1830&lt;0,"Return","OK")))))</f>
        <v>OK</v>
      </c>
      <c r="L1830" s="36" t="n">
        <f aca="false">IF(Raw_Export!$A1830="","",IF(OR(K1830="OK",K1830="Return"),1,0))</f>
        <v>1</v>
      </c>
      <c r="M1830" s="37" t="n">
        <f aca="false">IF(Raw_Export!$A1830="","",B1830-WEEKDAY(B1830,2)+1)</f>
        <v>46272</v>
      </c>
    </row>
    <row r="1831" customFormat="false" ht="15" hidden="false" customHeight="false" outlineLevel="0" collapsed="false">
      <c r="A1831" s="36" t="str">
        <f aca="false">IF(Raw_Export!$A1831="","",TRIM(Raw_Export!A1831))</f>
        <v>TXN-101792</v>
      </c>
      <c r="B1831" s="37" t="n">
        <f aca="false">IF(Raw_Export!$A1831="","",IF(ISNUMBER(Raw_Export!B1831),Raw_Export!B1831,IF(MID(TRIM(Raw_Export!B1831),5,1)="-",DATE(LEFT(TRIM(Raw_Export!B1831),4),MID(TRIM(Raw_Export!B1831),6,2),RIGHT(TRIM(Raw_Export!B1831),2)),DATE(RIGHT(TRIM(Raw_Export!B1831),4),MATCH(MID(TRIM(Raw_Export!B1831),4,3),{"Jan","Feb","Mar","Apr","May","Jun","Jul","Aug","Sep","Oct","Nov","Dec"},0),LEFT(TRIM(Raw_Export!B1831),2)))))</f>
        <v>46277</v>
      </c>
      <c r="C1831" s="36" t="str">
        <f aca="false">IF(Raw_Export!$A1831="","",IFERROR(VLOOKUP(LOWER(TRIM(Raw_Export!C1831)),Maps!$A$2:$B$20,2,FALSE()),"UNMAPPED"))</f>
        <v>Nairobi CBD</v>
      </c>
      <c r="D1831" s="36" t="str">
        <f aca="false">IF(Raw_Export!$A1831="","",IFERROR(VLOOKUP(LOWER(TRIM(Raw_Export!D1831)),Maps!$G$2:$I$80,2,FALSE()),"UNMAPPED"))</f>
        <v>Soda 500ml</v>
      </c>
      <c r="E1831" s="36" t="str">
        <f aca="false">IF(Raw_Export!$A1831="","",IFERROR(VLOOKUP(LOWER(TRIM(Raw_Export!D1831)),Maps!$G$2:$I$80,3,FALSE()),"UNMAPPED"))</f>
        <v>Beverages</v>
      </c>
      <c r="F1831" s="36" t="n">
        <f aca="false">IF(Raw_Export!$A1831="","",IFERROR(VALUE(TRIM(Raw_Export!E1831)),0))</f>
        <v>2</v>
      </c>
      <c r="G1831" s="38" t="n">
        <f aca="false">IF(Raw_Export!$A1831="","",IFERROR(VALUE(SUBSTITUTE(SUBSTITUTE(UPPER(TRIM(Raw_Export!F1831)),"KES",""),",","")),0))</f>
        <v>60</v>
      </c>
      <c r="H1831" s="38" t="n">
        <f aca="false">IF(Raw_Export!$A1831="","",F1831*G1831)</f>
        <v>120</v>
      </c>
      <c r="I1831" s="36" t="str">
        <f aca="false">IF(Raw_Export!$A1831="","",IFERROR(VLOOKUP(LOWER(TRIM(Raw_Export!H1831)),Maps!$D$2:$E$12,2,FALSE()),"Other"))</f>
        <v>Cash</v>
      </c>
      <c r="J1831" s="36" t="str">
        <f aca="false">IF(Raw_Export!$A1831="","",IF(COUNTIF($A$2:A1831,A1831)&gt;1,"Duplicate",""))</f>
        <v/>
      </c>
      <c r="K1831" s="36" t="str">
        <f aca="false">IF(Raw_Export!$A1831="","",IF(J1831="Duplicate","Duplicate",IF(OR(C1831="UNMAPPED",D1831="UNMAPPED"),"Unmapped",IF(F1831=0,"Blank qty",IF(F1831&lt;0,"Return","OK")))))</f>
        <v>OK</v>
      </c>
      <c r="L1831" s="36" t="n">
        <f aca="false">IF(Raw_Export!$A1831="","",IF(OR(K1831="OK",K1831="Return"),1,0))</f>
        <v>1</v>
      </c>
      <c r="M1831" s="37" t="n">
        <f aca="false">IF(Raw_Export!$A1831="","",B1831-WEEKDAY(B1831,2)+1)</f>
        <v>46272</v>
      </c>
    </row>
    <row r="1832" customFormat="false" ht="15" hidden="false" customHeight="false" outlineLevel="0" collapsed="false">
      <c r="A1832" s="36" t="str">
        <f aca="false">IF(Raw_Export!$A1832="","",TRIM(Raw_Export!A1832))</f>
        <v>TXN-101793</v>
      </c>
      <c r="B1832" s="37" t="n">
        <f aca="false">IF(Raw_Export!$A1832="","",IF(ISNUMBER(Raw_Export!B1832),Raw_Export!B1832,IF(MID(TRIM(Raw_Export!B1832),5,1)="-",DATE(LEFT(TRIM(Raw_Export!B1832),4),MID(TRIM(Raw_Export!B1832),6,2),RIGHT(TRIM(Raw_Export!B1832),2)),DATE(RIGHT(TRIM(Raw_Export!B1832),4),MATCH(MID(TRIM(Raw_Export!B1832),4,3),{"Jan","Feb","Mar","Apr","May","Jun","Jul","Aug","Sep","Oct","Nov","Dec"},0),LEFT(TRIM(Raw_Export!B1832),2)))))</f>
        <v>46277</v>
      </c>
      <c r="C1832" s="36" t="str">
        <f aca="false">IF(Raw_Export!$A1832="","",IFERROR(VLOOKUP(LOWER(TRIM(Raw_Export!C1832)),Maps!$A$2:$B$20,2,FALSE()),"UNMAPPED"))</f>
        <v>Nairobi CBD</v>
      </c>
      <c r="D1832" s="36" t="str">
        <f aca="false">IF(Raw_Export!$A1832="","",IFERROR(VLOOKUP(LOWER(TRIM(Raw_Export!D1832)),Maps!$G$2:$I$80,2,FALSE()),"UNMAPPED"))</f>
        <v>Body Lotion 400ml</v>
      </c>
      <c r="E1832" s="36" t="str">
        <f aca="false">IF(Raw_Export!$A1832="","",IFERROR(VLOOKUP(LOWER(TRIM(Raw_Export!D1832)),Maps!$G$2:$I$80,3,FALSE()),"UNMAPPED"))</f>
        <v>Personal Care</v>
      </c>
      <c r="F1832" s="36" t="n">
        <f aca="false">IF(Raw_Export!$A1832="","",IFERROR(VALUE(TRIM(Raw_Export!E1832)),0))</f>
        <v>2</v>
      </c>
      <c r="G1832" s="38" t="n">
        <f aca="false">IF(Raw_Export!$A1832="","",IFERROR(VALUE(SUBSTITUTE(SUBSTITUTE(UPPER(TRIM(Raw_Export!F1832)),"KES",""),",","")),0))</f>
        <v>420</v>
      </c>
      <c r="H1832" s="38" t="n">
        <f aca="false">IF(Raw_Export!$A1832="","",F1832*G1832)</f>
        <v>840</v>
      </c>
      <c r="I1832" s="36" t="str">
        <f aca="false">IF(Raw_Export!$A1832="","",IFERROR(VLOOKUP(LOWER(TRIM(Raw_Export!H1832)),Maps!$D$2:$E$12,2,FALSE()),"Other"))</f>
        <v>M-Pesa</v>
      </c>
      <c r="J1832" s="36" t="str">
        <f aca="false">IF(Raw_Export!$A1832="","",IF(COUNTIF($A$2:A1832,A1832)&gt;1,"Duplicate",""))</f>
        <v/>
      </c>
      <c r="K1832" s="36" t="str">
        <f aca="false">IF(Raw_Export!$A1832="","",IF(J1832="Duplicate","Duplicate",IF(OR(C1832="UNMAPPED",D1832="UNMAPPED"),"Unmapped",IF(F1832=0,"Blank qty",IF(F1832&lt;0,"Return","OK")))))</f>
        <v>OK</v>
      </c>
      <c r="L1832" s="36" t="n">
        <f aca="false">IF(Raw_Export!$A1832="","",IF(OR(K1832="OK",K1832="Return"),1,0))</f>
        <v>1</v>
      </c>
      <c r="M1832" s="37" t="n">
        <f aca="false">IF(Raw_Export!$A1832="","",B1832-WEEKDAY(B1832,2)+1)</f>
        <v>46272</v>
      </c>
    </row>
    <row r="1833" customFormat="false" ht="15" hidden="false" customHeight="false" outlineLevel="0" collapsed="false">
      <c r="A1833" s="36" t="str">
        <f aca="false">IF(Raw_Export!$A1833="","",TRIM(Raw_Export!A1833))</f>
        <v>TXN-101794</v>
      </c>
      <c r="B1833" s="37" t="n">
        <f aca="false">IF(Raw_Export!$A1833="","",IF(ISNUMBER(Raw_Export!B1833),Raw_Export!B1833,IF(MID(TRIM(Raw_Export!B1833),5,1)="-",DATE(LEFT(TRIM(Raw_Export!B1833),4),MID(TRIM(Raw_Export!B1833),6,2),RIGHT(TRIM(Raw_Export!B1833),2)),DATE(RIGHT(TRIM(Raw_Export!B1833),4),MATCH(MID(TRIM(Raw_Export!B1833),4,3),{"Jan","Feb","Mar","Apr","May","Jun","Jul","Aug","Sep","Oct","Nov","Dec"},0),LEFT(TRIM(Raw_Export!B1833),2)))))</f>
        <v>46277</v>
      </c>
      <c r="C1833" s="36" t="str">
        <f aca="false">IF(Raw_Export!$A1833="","",IFERROR(VLOOKUP(LOWER(TRIM(Raw_Export!C1833)),Maps!$A$2:$B$20,2,FALSE()),"UNMAPPED"))</f>
        <v>Nairobi CBD</v>
      </c>
      <c r="D1833" s="36" t="str">
        <f aca="false">IF(Raw_Export!$A1833="","",IFERROR(VLOOKUP(LOWER(TRIM(Raw_Export!D1833)),Maps!$G$2:$I$80,2,FALSE()),"UNMAPPED"))</f>
        <v>Tea Leaves 250g</v>
      </c>
      <c r="E1833" s="36" t="str">
        <f aca="false">IF(Raw_Export!$A1833="","",IFERROR(VLOOKUP(LOWER(TRIM(Raw_Export!D1833)),Maps!$G$2:$I$80,3,FALSE()),"UNMAPPED"))</f>
        <v>Beverages</v>
      </c>
      <c r="F1833" s="36" t="n">
        <f aca="false">IF(Raw_Export!$A1833="","",IFERROR(VALUE(TRIM(Raw_Export!E1833)),0))</f>
        <v>2</v>
      </c>
      <c r="G1833" s="38" t="n">
        <f aca="false">IF(Raw_Export!$A1833="","",IFERROR(VALUE(SUBSTITUTE(SUBSTITUTE(UPPER(TRIM(Raw_Export!F1833)),"KES",""),",","")),0))</f>
        <v>150</v>
      </c>
      <c r="H1833" s="38" t="n">
        <f aca="false">IF(Raw_Export!$A1833="","",F1833*G1833)</f>
        <v>300</v>
      </c>
      <c r="I1833" s="36" t="str">
        <f aca="false">IF(Raw_Export!$A1833="","",IFERROR(VLOOKUP(LOWER(TRIM(Raw_Export!H1833)),Maps!$D$2:$E$12,2,FALSE()),"Other"))</f>
        <v>Cash</v>
      </c>
      <c r="J1833" s="36" t="str">
        <f aca="false">IF(Raw_Export!$A1833="","",IF(COUNTIF($A$2:A1833,A1833)&gt;1,"Duplicate",""))</f>
        <v/>
      </c>
      <c r="K1833" s="36" t="str">
        <f aca="false">IF(Raw_Export!$A1833="","",IF(J1833="Duplicate","Duplicate",IF(OR(C1833="UNMAPPED",D1833="UNMAPPED"),"Unmapped",IF(F1833=0,"Blank qty",IF(F1833&lt;0,"Return","OK")))))</f>
        <v>OK</v>
      </c>
      <c r="L1833" s="36" t="n">
        <f aca="false">IF(Raw_Export!$A1833="","",IF(OR(K1833="OK",K1833="Return"),1,0))</f>
        <v>1</v>
      </c>
      <c r="M1833" s="37" t="n">
        <f aca="false">IF(Raw_Export!$A1833="","",B1833-WEEKDAY(B1833,2)+1)</f>
        <v>46272</v>
      </c>
    </row>
    <row r="1834" customFormat="false" ht="15" hidden="false" customHeight="false" outlineLevel="0" collapsed="false">
      <c r="A1834" s="36" t="str">
        <f aca="false">IF(Raw_Export!$A1834="","",TRIM(Raw_Export!A1834))</f>
        <v>TXN-101795</v>
      </c>
      <c r="B1834" s="37" t="n">
        <f aca="false">IF(Raw_Export!$A1834="","",IF(ISNUMBER(Raw_Export!B1834),Raw_Export!B1834,IF(MID(TRIM(Raw_Export!B1834),5,1)="-",DATE(LEFT(TRIM(Raw_Export!B1834),4),MID(TRIM(Raw_Export!B1834),6,2),RIGHT(TRIM(Raw_Export!B1834),2)),DATE(RIGHT(TRIM(Raw_Export!B1834),4),MATCH(MID(TRIM(Raw_Export!B1834),4,3),{"Jan","Feb","Mar","Apr","May","Jun","Jul","Aug","Sep","Oct","Nov","Dec"},0),LEFT(TRIM(Raw_Export!B1834),2)))))</f>
        <v>46277</v>
      </c>
      <c r="C1834" s="36" t="str">
        <f aca="false">IF(Raw_Export!$A1834="","",IFERROR(VLOOKUP(LOWER(TRIM(Raw_Export!C1834)),Maps!$A$2:$B$20,2,FALSE()),"UNMAPPED"))</f>
        <v>Nairobi CBD</v>
      </c>
      <c r="D1834" s="36" t="str">
        <f aca="false">IF(Raw_Export!$A1834="","",IFERROR(VLOOKUP(LOWER(TRIM(Raw_Export!D1834)),Maps!$G$2:$I$80,2,FALSE()),"UNMAPPED"))</f>
        <v>Crisps 100g</v>
      </c>
      <c r="E1834" s="36" t="str">
        <f aca="false">IF(Raw_Export!$A1834="","",IFERROR(VLOOKUP(LOWER(TRIM(Raw_Export!D1834)),Maps!$G$2:$I$80,3,FALSE()),"UNMAPPED"))</f>
        <v>Snacks</v>
      </c>
      <c r="F1834" s="36" t="n">
        <f aca="false">IF(Raw_Export!$A1834="","",IFERROR(VALUE(TRIM(Raw_Export!E1834)),0))</f>
        <v>2</v>
      </c>
      <c r="G1834" s="38" t="n">
        <f aca="false">IF(Raw_Export!$A1834="","",IFERROR(VALUE(SUBSTITUTE(SUBSTITUTE(UPPER(TRIM(Raw_Export!F1834)),"KES",""),",","")),0))</f>
        <v>80</v>
      </c>
      <c r="H1834" s="38" t="n">
        <f aca="false">IF(Raw_Export!$A1834="","",F1834*G1834)</f>
        <v>160</v>
      </c>
      <c r="I1834" s="36" t="str">
        <f aca="false">IF(Raw_Export!$A1834="","",IFERROR(VLOOKUP(LOWER(TRIM(Raw_Export!H1834)),Maps!$D$2:$E$12,2,FALSE()),"Other"))</f>
        <v>Cash</v>
      </c>
      <c r="J1834" s="36" t="str">
        <f aca="false">IF(Raw_Export!$A1834="","",IF(COUNTIF($A$2:A1834,A1834)&gt;1,"Duplicate",""))</f>
        <v/>
      </c>
      <c r="K1834" s="36" t="str">
        <f aca="false">IF(Raw_Export!$A1834="","",IF(J1834="Duplicate","Duplicate",IF(OR(C1834="UNMAPPED",D1834="UNMAPPED"),"Unmapped",IF(F1834=0,"Blank qty",IF(F1834&lt;0,"Return","OK")))))</f>
        <v>OK</v>
      </c>
      <c r="L1834" s="36" t="n">
        <f aca="false">IF(Raw_Export!$A1834="","",IF(OR(K1834="OK",K1834="Return"),1,0))</f>
        <v>1</v>
      </c>
      <c r="M1834" s="37" t="n">
        <f aca="false">IF(Raw_Export!$A1834="","",B1834-WEEKDAY(B1834,2)+1)</f>
        <v>46272</v>
      </c>
    </row>
    <row r="1835" customFormat="false" ht="15" hidden="false" customHeight="false" outlineLevel="0" collapsed="false">
      <c r="A1835" s="36" t="str">
        <f aca="false">IF(Raw_Export!$A1835="","",TRIM(Raw_Export!A1835))</f>
        <v>TXN-101796</v>
      </c>
      <c r="B1835" s="37" t="n">
        <f aca="false">IF(Raw_Export!$A1835="","",IF(ISNUMBER(Raw_Export!B1835),Raw_Export!B1835,IF(MID(TRIM(Raw_Export!B1835),5,1)="-",DATE(LEFT(TRIM(Raw_Export!B1835),4),MID(TRIM(Raw_Export!B1835),6,2),RIGHT(TRIM(Raw_Export!B1835),2)),DATE(RIGHT(TRIM(Raw_Export!B1835),4),MATCH(MID(TRIM(Raw_Export!B1835),4,3),{"Jan","Feb","Mar","Apr","May","Jun","Jul","Aug","Sep","Oct","Nov","Dec"},0),LEFT(TRIM(Raw_Export!B1835),2)))))</f>
        <v>46277</v>
      </c>
      <c r="C1835" s="36" t="str">
        <f aca="false">IF(Raw_Export!$A1835="","",IFERROR(VLOOKUP(LOWER(TRIM(Raw_Export!C1835)),Maps!$A$2:$B$20,2,FALSE()),"UNMAPPED"))</f>
        <v>Nairobi CBD</v>
      </c>
      <c r="D1835" s="36" t="str">
        <f aca="false">IF(Raw_Export!$A1835="","",IFERROR(VLOOKUP(LOWER(TRIM(Raw_Export!D1835)),Maps!$G$2:$I$80,2,FALSE()),"UNMAPPED"))</f>
        <v>Bath Soap 175g</v>
      </c>
      <c r="E1835" s="36" t="str">
        <f aca="false">IF(Raw_Export!$A1835="","",IFERROR(VLOOKUP(LOWER(TRIM(Raw_Export!D1835)),Maps!$G$2:$I$80,3,FALSE()),"UNMAPPED"))</f>
        <v>Personal Care</v>
      </c>
      <c r="F1835" s="36" t="n">
        <f aca="false">IF(Raw_Export!$A1835="","",IFERROR(VALUE(TRIM(Raw_Export!E1835)),0))</f>
        <v>6</v>
      </c>
      <c r="G1835" s="38" t="n">
        <f aca="false">IF(Raw_Export!$A1835="","",IFERROR(VALUE(SUBSTITUTE(SUBSTITUTE(UPPER(TRIM(Raw_Export!F1835)),"KES",""),",","")),0))</f>
        <v>85</v>
      </c>
      <c r="H1835" s="38" t="n">
        <f aca="false">IF(Raw_Export!$A1835="","",F1835*G1835)</f>
        <v>510</v>
      </c>
      <c r="I1835" s="36" t="str">
        <f aca="false">IF(Raw_Export!$A1835="","",IFERROR(VLOOKUP(LOWER(TRIM(Raw_Export!H1835)),Maps!$D$2:$E$12,2,FALSE()),"Other"))</f>
        <v>M-Pesa</v>
      </c>
      <c r="J1835" s="36" t="str">
        <f aca="false">IF(Raw_Export!$A1835="","",IF(COUNTIF($A$2:A1835,A1835)&gt;1,"Duplicate",""))</f>
        <v/>
      </c>
      <c r="K1835" s="36" t="str">
        <f aca="false">IF(Raw_Export!$A1835="","",IF(J1835="Duplicate","Duplicate",IF(OR(C1835="UNMAPPED",D1835="UNMAPPED"),"Unmapped",IF(F1835=0,"Blank qty",IF(F1835&lt;0,"Return","OK")))))</f>
        <v>OK</v>
      </c>
      <c r="L1835" s="36" t="n">
        <f aca="false">IF(Raw_Export!$A1835="","",IF(OR(K1835="OK",K1835="Return"),1,0))</f>
        <v>1</v>
      </c>
      <c r="M1835" s="37" t="n">
        <f aca="false">IF(Raw_Export!$A1835="","",B1835-WEEKDAY(B1835,2)+1)</f>
        <v>46272</v>
      </c>
    </row>
    <row r="1836" customFormat="false" ht="15" hidden="false" customHeight="false" outlineLevel="0" collapsed="false">
      <c r="A1836" s="36" t="str">
        <f aca="false">IF(Raw_Export!$A1836="","",TRIM(Raw_Export!A1836))</f>
        <v>TXN-101797</v>
      </c>
      <c r="B1836" s="37" t="n">
        <f aca="false">IF(Raw_Export!$A1836="","",IF(ISNUMBER(Raw_Export!B1836),Raw_Export!B1836,IF(MID(TRIM(Raw_Export!B1836),5,1)="-",DATE(LEFT(TRIM(Raw_Export!B1836),4),MID(TRIM(Raw_Export!B1836),6,2),RIGHT(TRIM(Raw_Export!B1836),2)),DATE(RIGHT(TRIM(Raw_Export!B1836),4),MATCH(MID(TRIM(Raw_Export!B1836),4,3),{"Jan","Feb","Mar","Apr","May","Jun","Jul","Aug","Sep","Oct","Nov","Dec"},0),LEFT(TRIM(Raw_Export!B1836),2)))))</f>
        <v>46277</v>
      </c>
      <c r="C1836" s="36" t="str">
        <f aca="false">IF(Raw_Export!$A1836="","",IFERROR(VLOOKUP(LOWER(TRIM(Raw_Export!C1836)),Maps!$A$2:$B$20,2,FALSE()),"UNMAPPED"))</f>
        <v>Nairobi CBD</v>
      </c>
      <c r="D1836" s="36" t="str">
        <f aca="false">IF(Raw_Export!$A1836="","",IFERROR(VLOOKUP(LOWER(TRIM(Raw_Export!D1836)),Maps!$G$2:$I$80,2,FALSE()),"UNMAPPED"))</f>
        <v>Unga Pembe 2kg</v>
      </c>
      <c r="E1836" s="36" t="str">
        <f aca="false">IF(Raw_Export!$A1836="","",IFERROR(VLOOKUP(LOWER(TRIM(Raw_Export!D1836)),Maps!$G$2:$I$80,3,FALSE()),"UNMAPPED"))</f>
        <v>Staples</v>
      </c>
      <c r="F1836" s="36" t="n">
        <f aca="false">IF(Raw_Export!$A1836="","",IFERROR(VALUE(TRIM(Raw_Export!E1836)),0))</f>
        <v>1</v>
      </c>
      <c r="G1836" s="38" t="n">
        <f aca="false">IF(Raw_Export!$A1836="","",IFERROR(VALUE(SUBSTITUTE(SUBSTITUTE(UPPER(TRIM(Raw_Export!F1836)),"KES",""),",","")),0))</f>
        <v>190</v>
      </c>
      <c r="H1836" s="38" t="n">
        <f aca="false">IF(Raw_Export!$A1836="","",F1836*G1836)</f>
        <v>190</v>
      </c>
      <c r="I1836" s="36" t="str">
        <f aca="false">IF(Raw_Export!$A1836="","",IFERROR(VLOOKUP(LOWER(TRIM(Raw_Export!H1836)),Maps!$D$2:$E$12,2,FALSE()),"Other"))</f>
        <v>M-Pesa</v>
      </c>
      <c r="J1836" s="36" t="str">
        <f aca="false">IF(Raw_Export!$A1836="","",IF(COUNTIF($A$2:A1836,A1836)&gt;1,"Duplicate",""))</f>
        <v/>
      </c>
      <c r="K1836" s="36" t="str">
        <f aca="false">IF(Raw_Export!$A1836="","",IF(J1836="Duplicate","Duplicate",IF(OR(C1836="UNMAPPED",D1836="UNMAPPED"),"Unmapped",IF(F1836=0,"Blank qty",IF(F1836&lt;0,"Return","OK")))))</f>
        <v>OK</v>
      </c>
      <c r="L1836" s="36" t="n">
        <f aca="false">IF(Raw_Export!$A1836="","",IF(OR(K1836="OK",K1836="Return"),1,0))</f>
        <v>1</v>
      </c>
      <c r="M1836" s="37" t="n">
        <f aca="false">IF(Raw_Export!$A1836="","",B1836-WEEKDAY(B1836,2)+1)</f>
        <v>46272</v>
      </c>
    </row>
    <row r="1837" customFormat="false" ht="15" hidden="false" customHeight="false" outlineLevel="0" collapsed="false">
      <c r="A1837" s="36" t="str">
        <f aca="false">IF(Raw_Export!$A1837="","",TRIM(Raw_Export!A1837))</f>
        <v>TXN-101798</v>
      </c>
      <c r="B1837" s="37" t="n">
        <f aca="false">IF(Raw_Export!$A1837="","",IF(ISNUMBER(Raw_Export!B1837),Raw_Export!B1837,IF(MID(TRIM(Raw_Export!B1837),5,1)="-",DATE(LEFT(TRIM(Raw_Export!B1837),4),MID(TRIM(Raw_Export!B1837),6,2),RIGHT(TRIM(Raw_Export!B1837),2)),DATE(RIGHT(TRIM(Raw_Export!B1837),4),MATCH(MID(TRIM(Raw_Export!B1837),4,3),{"Jan","Feb","Mar","Apr","May","Jun","Jul","Aug","Sep","Oct","Nov","Dec"},0),LEFT(TRIM(Raw_Export!B1837),2)))))</f>
        <v>46277</v>
      </c>
      <c r="C1837" s="36" t="str">
        <f aca="false">IF(Raw_Export!$A1837="","",IFERROR(VLOOKUP(LOWER(TRIM(Raw_Export!C1837)),Maps!$A$2:$B$20,2,FALSE()),"UNMAPPED"))</f>
        <v>Nairobi CBD</v>
      </c>
      <c r="D1837" s="36" t="str">
        <f aca="false">IF(Raw_Export!$A1837="","",IFERROR(VLOOKUP(LOWER(TRIM(Raw_Export!D1837)),Maps!$G$2:$I$80,2,FALSE()),"UNMAPPED"))</f>
        <v>Crisps 100g</v>
      </c>
      <c r="E1837" s="36" t="str">
        <f aca="false">IF(Raw_Export!$A1837="","",IFERROR(VLOOKUP(LOWER(TRIM(Raw_Export!D1837)),Maps!$G$2:$I$80,3,FALSE()),"UNMAPPED"))</f>
        <v>Snacks</v>
      </c>
      <c r="F1837" s="36" t="n">
        <f aca="false">IF(Raw_Export!$A1837="","",IFERROR(VALUE(TRIM(Raw_Export!E1837)),0))</f>
        <v>1</v>
      </c>
      <c r="G1837" s="38" t="n">
        <f aca="false">IF(Raw_Export!$A1837="","",IFERROR(VALUE(SUBSTITUTE(SUBSTITUTE(UPPER(TRIM(Raw_Export!F1837)),"KES",""),",","")),0))</f>
        <v>80</v>
      </c>
      <c r="H1837" s="38" t="n">
        <f aca="false">IF(Raw_Export!$A1837="","",F1837*G1837)</f>
        <v>80</v>
      </c>
      <c r="I1837" s="36" t="str">
        <f aca="false">IF(Raw_Export!$A1837="","",IFERROR(VLOOKUP(LOWER(TRIM(Raw_Export!H1837)),Maps!$D$2:$E$12,2,FALSE()),"Other"))</f>
        <v>Card</v>
      </c>
      <c r="J1837" s="36" t="str">
        <f aca="false">IF(Raw_Export!$A1837="","",IF(COUNTIF($A$2:A1837,A1837)&gt;1,"Duplicate",""))</f>
        <v/>
      </c>
      <c r="K1837" s="36" t="str">
        <f aca="false">IF(Raw_Export!$A1837="","",IF(J1837="Duplicate","Duplicate",IF(OR(C1837="UNMAPPED",D1837="UNMAPPED"),"Unmapped",IF(F1837=0,"Blank qty",IF(F1837&lt;0,"Return","OK")))))</f>
        <v>OK</v>
      </c>
      <c r="L1837" s="36" t="n">
        <f aca="false">IF(Raw_Export!$A1837="","",IF(OR(K1837="OK",K1837="Return"),1,0))</f>
        <v>1</v>
      </c>
      <c r="M1837" s="37" t="n">
        <f aca="false">IF(Raw_Export!$A1837="","",B1837-WEEKDAY(B1837,2)+1)</f>
        <v>46272</v>
      </c>
    </row>
    <row r="1838" customFormat="false" ht="15" hidden="false" customHeight="false" outlineLevel="0" collapsed="false">
      <c r="A1838" s="36" t="str">
        <f aca="false">IF(Raw_Export!$A1838="","",TRIM(Raw_Export!A1838))</f>
        <v>TXN-101799</v>
      </c>
      <c r="B1838" s="37" t="n">
        <f aca="false">IF(Raw_Export!$A1838="","",IF(ISNUMBER(Raw_Export!B1838),Raw_Export!B1838,IF(MID(TRIM(Raw_Export!B1838),5,1)="-",DATE(LEFT(TRIM(Raw_Export!B1838),4),MID(TRIM(Raw_Export!B1838),6,2),RIGHT(TRIM(Raw_Export!B1838),2)),DATE(RIGHT(TRIM(Raw_Export!B1838),4),MATCH(MID(TRIM(Raw_Export!B1838),4,3),{"Jan","Feb","Mar","Apr","May","Jun","Jul","Aug","Sep","Oct","Nov","Dec"},0),LEFT(TRIM(Raw_Export!B1838),2)))))</f>
        <v>46277</v>
      </c>
      <c r="C1838" s="36" t="str">
        <f aca="false">IF(Raw_Export!$A1838="","",IFERROR(VLOOKUP(LOWER(TRIM(Raw_Export!C1838)),Maps!$A$2:$B$20,2,FALSE()),"UNMAPPED"))</f>
        <v>Nairobi CBD</v>
      </c>
      <c r="D1838" s="36" t="str">
        <f aca="false">IF(Raw_Export!$A1838="","",IFERROR(VLOOKUP(LOWER(TRIM(Raw_Export!D1838)),Maps!$G$2:$I$80,2,FALSE()),"UNMAPPED"))</f>
        <v>Soda 500ml</v>
      </c>
      <c r="E1838" s="36" t="str">
        <f aca="false">IF(Raw_Export!$A1838="","",IFERROR(VLOOKUP(LOWER(TRIM(Raw_Export!D1838)),Maps!$G$2:$I$80,3,FALSE()),"UNMAPPED"))</f>
        <v>Beverages</v>
      </c>
      <c r="F1838" s="36" t="n">
        <f aca="false">IF(Raw_Export!$A1838="","",IFERROR(VALUE(TRIM(Raw_Export!E1838)),0))</f>
        <v>1</v>
      </c>
      <c r="G1838" s="38" t="n">
        <f aca="false">IF(Raw_Export!$A1838="","",IFERROR(VALUE(SUBSTITUTE(SUBSTITUTE(UPPER(TRIM(Raw_Export!F1838)),"KES",""),",","")),0))</f>
        <v>60</v>
      </c>
      <c r="H1838" s="38" t="n">
        <f aca="false">IF(Raw_Export!$A1838="","",F1838*G1838)</f>
        <v>60</v>
      </c>
      <c r="I1838" s="36" t="str">
        <f aca="false">IF(Raw_Export!$A1838="","",IFERROR(VLOOKUP(LOWER(TRIM(Raw_Export!H1838)),Maps!$D$2:$E$12,2,FALSE()),"Other"))</f>
        <v>M-Pesa</v>
      </c>
      <c r="J1838" s="36" t="str">
        <f aca="false">IF(Raw_Export!$A1838="","",IF(COUNTIF($A$2:A1838,A1838)&gt;1,"Duplicate",""))</f>
        <v/>
      </c>
      <c r="K1838" s="36" t="str">
        <f aca="false">IF(Raw_Export!$A1838="","",IF(J1838="Duplicate","Duplicate",IF(OR(C1838="UNMAPPED",D1838="UNMAPPED"),"Unmapped",IF(F1838=0,"Blank qty",IF(F1838&lt;0,"Return","OK")))))</f>
        <v>OK</v>
      </c>
      <c r="L1838" s="36" t="n">
        <f aca="false">IF(Raw_Export!$A1838="","",IF(OR(K1838="OK",K1838="Return"),1,0))</f>
        <v>1</v>
      </c>
      <c r="M1838" s="37" t="n">
        <f aca="false">IF(Raw_Export!$A1838="","",B1838-WEEKDAY(B1838,2)+1)</f>
        <v>46272</v>
      </c>
    </row>
    <row r="1839" customFormat="false" ht="15" hidden="false" customHeight="false" outlineLevel="0" collapsed="false">
      <c r="A1839" s="36" t="str">
        <f aca="false">IF(Raw_Export!$A1839="","",TRIM(Raw_Export!A1839))</f>
        <v>TXN-101800</v>
      </c>
      <c r="B1839" s="37" t="n">
        <f aca="false">IF(Raw_Export!$A1839="","",IF(ISNUMBER(Raw_Export!B1839),Raw_Export!B1839,IF(MID(TRIM(Raw_Export!B1839),5,1)="-",DATE(LEFT(TRIM(Raw_Export!B1839),4),MID(TRIM(Raw_Export!B1839),6,2),RIGHT(TRIM(Raw_Export!B1839),2)),DATE(RIGHT(TRIM(Raw_Export!B1839),4),MATCH(MID(TRIM(Raw_Export!B1839),4,3),{"Jan","Feb","Mar","Apr","May","Jun","Jul","Aug","Sep","Oct","Nov","Dec"},0),LEFT(TRIM(Raw_Export!B1839),2)))))</f>
        <v>46277</v>
      </c>
      <c r="C1839" s="36" t="str">
        <f aca="false">IF(Raw_Export!$A1839="","",IFERROR(VLOOKUP(LOWER(TRIM(Raw_Export!C1839)),Maps!$A$2:$B$20,2,FALSE()),"UNMAPPED"))</f>
        <v>Nairobi CBD</v>
      </c>
      <c r="D1839" s="36" t="str">
        <f aca="false">IF(Raw_Export!$A1839="","",IFERROR(VLOOKUP(LOWER(TRIM(Raw_Export!D1839)),Maps!$G$2:$I$80,2,FALSE()),"UNMAPPED"))</f>
        <v>Crisps 100g</v>
      </c>
      <c r="E1839" s="36" t="str">
        <f aca="false">IF(Raw_Export!$A1839="","",IFERROR(VLOOKUP(LOWER(TRIM(Raw_Export!D1839)),Maps!$G$2:$I$80,3,FALSE()),"UNMAPPED"))</f>
        <v>Snacks</v>
      </c>
      <c r="F1839" s="36" t="n">
        <f aca="false">IF(Raw_Export!$A1839="","",IFERROR(VALUE(TRIM(Raw_Export!E1839)),0))</f>
        <v>3</v>
      </c>
      <c r="G1839" s="38" t="n">
        <f aca="false">IF(Raw_Export!$A1839="","",IFERROR(VALUE(SUBSTITUTE(SUBSTITUTE(UPPER(TRIM(Raw_Export!F1839)),"KES",""),",","")),0))</f>
        <v>80</v>
      </c>
      <c r="H1839" s="38" t="n">
        <f aca="false">IF(Raw_Export!$A1839="","",F1839*G1839)</f>
        <v>240</v>
      </c>
      <c r="I1839" s="36" t="str">
        <f aca="false">IF(Raw_Export!$A1839="","",IFERROR(VLOOKUP(LOWER(TRIM(Raw_Export!H1839)),Maps!$D$2:$E$12,2,FALSE()),"Other"))</f>
        <v>Cash</v>
      </c>
      <c r="J1839" s="36" t="str">
        <f aca="false">IF(Raw_Export!$A1839="","",IF(COUNTIF($A$2:A1839,A1839)&gt;1,"Duplicate",""))</f>
        <v/>
      </c>
      <c r="K1839" s="36" t="str">
        <f aca="false">IF(Raw_Export!$A1839="","",IF(J1839="Duplicate","Duplicate",IF(OR(C1839="UNMAPPED",D1839="UNMAPPED"),"Unmapped",IF(F1839=0,"Blank qty",IF(F1839&lt;0,"Return","OK")))))</f>
        <v>OK</v>
      </c>
      <c r="L1839" s="36" t="n">
        <f aca="false">IF(Raw_Export!$A1839="","",IF(OR(K1839="OK",K1839="Return"),1,0))</f>
        <v>1</v>
      </c>
      <c r="M1839" s="37" t="n">
        <f aca="false">IF(Raw_Export!$A1839="","",B1839-WEEKDAY(B1839,2)+1)</f>
        <v>46272</v>
      </c>
    </row>
    <row r="1840" customFormat="false" ht="15" hidden="false" customHeight="false" outlineLevel="0" collapsed="false">
      <c r="A1840" s="36" t="str">
        <f aca="false">IF(Raw_Export!$A1840="","",TRIM(Raw_Export!A1840))</f>
        <v>TXN-101801</v>
      </c>
      <c r="B1840" s="37" t="n">
        <f aca="false">IF(Raw_Export!$A1840="","",IF(ISNUMBER(Raw_Export!B1840),Raw_Export!B1840,IF(MID(TRIM(Raw_Export!B1840),5,1)="-",DATE(LEFT(TRIM(Raw_Export!B1840),4),MID(TRIM(Raw_Export!B1840),6,2),RIGHT(TRIM(Raw_Export!B1840),2)),DATE(RIGHT(TRIM(Raw_Export!B1840),4),MATCH(MID(TRIM(Raw_Export!B1840),4,3),{"Jan","Feb","Mar","Apr","May","Jun","Jul","Aug","Sep","Oct","Nov","Dec"},0),LEFT(TRIM(Raw_Export!B1840),2)))))</f>
        <v>46277</v>
      </c>
      <c r="C1840" s="36" t="str">
        <f aca="false">IF(Raw_Export!$A1840="","",IFERROR(VLOOKUP(LOWER(TRIM(Raw_Export!C1840)),Maps!$A$2:$B$20,2,FALSE()),"UNMAPPED"))</f>
        <v>Nairobi CBD</v>
      </c>
      <c r="D1840" s="36" t="str">
        <f aca="false">IF(Raw_Export!$A1840="","",IFERROR(VLOOKUP(LOWER(TRIM(Raw_Export!D1840)),Maps!$G$2:$I$80,2,FALSE()),"UNMAPPED"))</f>
        <v>Deodorant 150ml</v>
      </c>
      <c r="E1840" s="36" t="str">
        <f aca="false">IF(Raw_Export!$A1840="","",IFERROR(VLOOKUP(LOWER(TRIM(Raw_Export!D1840)),Maps!$G$2:$I$80,3,FALSE()),"UNMAPPED"))</f>
        <v>Personal Care</v>
      </c>
      <c r="F1840" s="36" t="n">
        <f aca="false">IF(Raw_Export!$A1840="","",IFERROR(VALUE(TRIM(Raw_Export!E1840)),0))</f>
        <v>3</v>
      </c>
      <c r="G1840" s="38" t="n">
        <f aca="false">IF(Raw_Export!$A1840="","",IFERROR(VALUE(SUBSTITUTE(SUBSTITUTE(UPPER(TRIM(Raw_Export!F1840)),"KES",""),",","")),0))</f>
        <v>350</v>
      </c>
      <c r="H1840" s="38" t="n">
        <f aca="false">IF(Raw_Export!$A1840="","",F1840*G1840)</f>
        <v>1050</v>
      </c>
      <c r="I1840" s="36" t="str">
        <f aca="false">IF(Raw_Export!$A1840="","",IFERROR(VLOOKUP(LOWER(TRIM(Raw_Export!H1840)),Maps!$D$2:$E$12,2,FALSE()),"Other"))</f>
        <v>Card</v>
      </c>
      <c r="J1840" s="36" t="str">
        <f aca="false">IF(Raw_Export!$A1840="","",IF(COUNTIF($A$2:A1840,A1840)&gt;1,"Duplicate",""))</f>
        <v/>
      </c>
      <c r="K1840" s="36" t="str">
        <f aca="false">IF(Raw_Export!$A1840="","",IF(J1840="Duplicate","Duplicate",IF(OR(C1840="UNMAPPED",D1840="UNMAPPED"),"Unmapped",IF(F1840=0,"Blank qty",IF(F1840&lt;0,"Return","OK")))))</f>
        <v>OK</v>
      </c>
      <c r="L1840" s="36" t="n">
        <f aca="false">IF(Raw_Export!$A1840="","",IF(OR(K1840="OK",K1840="Return"),1,0))</f>
        <v>1</v>
      </c>
      <c r="M1840" s="37" t="n">
        <f aca="false">IF(Raw_Export!$A1840="","",B1840-WEEKDAY(B1840,2)+1)</f>
        <v>46272</v>
      </c>
    </row>
    <row r="1841" customFormat="false" ht="15" hidden="false" customHeight="false" outlineLevel="0" collapsed="false">
      <c r="A1841" s="36" t="str">
        <f aca="false">IF(Raw_Export!$A1841="","",TRIM(Raw_Export!A1841))</f>
        <v>TXN-101802</v>
      </c>
      <c r="B1841" s="37" t="n">
        <f aca="false">IF(Raw_Export!$A1841="","",IF(ISNUMBER(Raw_Export!B1841),Raw_Export!B1841,IF(MID(TRIM(Raw_Export!B1841),5,1)="-",DATE(LEFT(TRIM(Raw_Export!B1841),4),MID(TRIM(Raw_Export!B1841),6,2),RIGHT(TRIM(Raw_Export!B1841),2)),DATE(RIGHT(TRIM(Raw_Export!B1841),4),MATCH(MID(TRIM(Raw_Export!B1841),4,3),{"Jan","Feb","Mar","Apr","May","Jun","Jul","Aug","Sep","Oct","Nov","Dec"},0),LEFT(TRIM(Raw_Export!B1841),2)))))</f>
        <v>46277</v>
      </c>
      <c r="C1841" s="36" t="str">
        <f aca="false">IF(Raw_Export!$A1841="","",IFERROR(VLOOKUP(LOWER(TRIM(Raw_Export!C1841)),Maps!$A$2:$B$20,2,FALSE()),"UNMAPPED"))</f>
        <v>Nairobi CBD</v>
      </c>
      <c r="D1841" s="36" t="str">
        <f aca="false">IF(Raw_Export!$A1841="","",IFERROR(VLOOKUP(LOWER(TRIM(Raw_Export!D1841)),Maps!$G$2:$I$80,2,FALSE()),"UNMAPPED"))</f>
        <v>Coffee 100g</v>
      </c>
      <c r="E1841" s="36" t="str">
        <f aca="false">IF(Raw_Export!$A1841="","",IFERROR(VLOOKUP(LOWER(TRIM(Raw_Export!D1841)),Maps!$G$2:$I$80,3,FALSE()),"UNMAPPED"))</f>
        <v>Beverages</v>
      </c>
      <c r="F1841" s="36" t="n">
        <f aca="false">IF(Raw_Export!$A1841="","",IFERROR(VALUE(TRIM(Raw_Export!E1841)),0))</f>
        <v>6</v>
      </c>
      <c r="G1841" s="38" t="n">
        <f aca="false">IF(Raw_Export!$A1841="","",IFERROR(VALUE(SUBSTITUTE(SUBSTITUTE(UPPER(TRIM(Raw_Export!F1841)),"KES",""),",","")),0))</f>
        <v>360</v>
      </c>
      <c r="H1841" s="38" t="n">
        <f aca="false">IF(Raw_Export!$A1841="","",F1841*G1841)</f>
        <v>2160</v>
      </c>
      <c r="I1841" s="36" t="str">
        <f aca="false">IF(Raw_Export!$A1841="","",IFERROR(VLOOKUP(LOWER(TRIM(Raw_Export!H1841)),Maps!$D$2:$E$12,2,FALSE()),"Other"))</f>
        <v>M-Pesa</v>
      </c>
      <c r="J1841" s="36" t="str">
        <f aca="false">IF(Raw_Export!$A1841="","",IF(COUNTIF($A$2:A1841,A1841)&gt;1,"Duplicate",""))</f>
        <v/>
      </c>
      <c r="K1841" s="36" t="str">
        <f aca="false">IF(Raw_Export!$A1841="","",IF(J1841="Duplicate","Duplicate",IF(OR(C1841="UNMAPPED",D1841="UNMAPPED"),"Unmapped",IF(F1841=0,"Blank qty",IF(F1841&lt;0,"Return","OK")))))</f>
        <v>OK</v>
      </c>
      <c r="L1841" s="36" t="n">
        <f aca="false">IF(Raw_Export!$A1841="","",IF(OR(K1841="OK",K1841="Return"),1,0))</f>
        <v>1</v>
      </c>
      <c r="M1841" s="37" t="n">
        <f aca="false">IF(Raw_Export!$A1841="","",B1841-WEEKDAY(B1841,2)+1)</f>
        <v>46272</v>
      </c>
    </row>
    <row r="1842" customFormat="false" ht="15" hidden="false" customHeight="false" outlineLevel="0" collapsed="false">
      <c r="A1842" s="36" t="str">
        <f aca="false">IF(Raw_Export!$A1842="","",TRIM(Raw_Export!A1842))</f>
        <v>TXN-101803</v>
      </c>
      <c r="B1842" s="37" t="n">
        <f aca="false">IF(Raw_Export!$A1842="","",IF(ISNUMBER(Raw_Export!B1842),Raw_Export!B1842,IF(MID(TRIM(Raw_Export!B1842),5,1)="-",DATE(LEFT(TRIM(Raw_Export!B1842),4),MID(TRIM(Raw_Export!B1842),6,2),RIGHT(TRIM(Raw_Export!B1842),2)),DATE(RIGHT(TRIM(Raw_Export!B1842),4),MATCH(MID(TRIM(Raw_Export!B1842),4,3),{"Jan","Feb","Mar","Apr","May","Jun","Jul","Aug","Sep","Oct","Nov","Dec"},0),LEFT(TRIM(Raw_Export!B1842),2)))))</f>
        <v>46277</v>
      </c>
      <c r="C1842" s="36" t="str">
        <f aca="false">IF(Raw_Export!$A1842="","",IFERROR(VLOOKUP(LOWER(TRIM(Raw_Export!C1842)),Maps!$A$2:$B$20,2,FALSE()),"UNMAPPED"))</f>
        <v>Nairobi CBD</v>
      </c>
      <c r="D1842" s="36" t="str">
        <f aca="false">IF(Raw_Export!$A1842="","",IFERROR(VLOOKUP(LOWER(TRIM(Raw_Export!D1842)),Maps!$G$2:$I$80,2,FALSE()),"UNMAPPED"))</f>
        <v>Peanuts 250g</v>
      </c>
      <c r="E1842" s="36" t="str">
        <f aca="false">IF(Raw_Export!$A1842="","",IFERROR(VLOOKUP(LOWER(TRIM(Raw_Export!D1842)),Maps!$G$2:$I$80,3,FALSE()),"UNMAPPED"))</f>
        <v>Snacks</v>
      </c>
      <c r="F1842" s="36" t="n">
        <f aca="false">IF(Raw_Export!$A1842="","",IFERROR(VALUE(TRIM(Raw_Export!E1842)),0))</f>
        <v>1</v>
      </c>
      <c r="G1842" s="38" t="n">
        <f aca="false">IF(Raw_Export!$A1842="","",IFERROR(VALUE(SUBSTITUTE(SUBSTITUTE(UPPER(TRIM(Raw_Export!F1842)),"KES",""),",","")),0))</f>
        <v>130</v>
      </c>
      <c r="H1842" s="38" t="n">
        <f aca="false">IF(Raw_Export!$A1842="","",F1842*G1842)</f>
        <v>130</v>
      </c>
      <c r="I1842" s="36" t="str">
        <f aca="false">IF(Raw_Export!$A1842="","",IFERROR(VLOOKUP(LOWER(TRIM(Raw_Export!H1842)),Maps!$D$2:$E$12,2,FALSE()),"Other"))</f>
        <v>M-Pesa</v>
      </c>
      <c r="J1842" s="36" t="str">
        <f aca="false">IF(Raw_Export!$A1842="","",IF(COUNTIF($A$2:A1842,A1842)&gt;1,"Duplicate",""))</f>
        <v/>
      </c>
      <c r="K1842" s="36" t="str">
        <f aca="false">IF(Raw_Export!$A1842="","",IF(J1842="Duplicate","Duplicate",IF(OR(C1842="UNMAPPED",D1842="UNMAPPED"),"Unmapped",IF(F1842=0,"Blank qty",IF(F1842&lt;0,"Return","OK")))))</f>
        <v>OK</v>
      </c>
      <c r="L1842" s="36" t="n">
        <f aca="false">IF(Raw_Export!$A1842="","",IF(OR(K1842="OK",K1842="Return"),1,0))</f>
        <v>1</v>
      </c>
      <c r="M1842" s="37" t="n">
        <f aca="false">IF(Raw_Export!$A1842="","",B1842-WEEKDAY(B1842,2)+1)</f>
        <v>46272</v>
      </c>
    </row>
    <row r="1843" customFormat="false" ht="15" hidden="false" customHeight="false" outlineLevel="0" collapsed="false">
      <c r="A1843" s="36" t="str">
        <f aca="false">IF(Raw_Export!$A1843="","",TRIM(Raw_Export!A1843))</f>
        <v>TXN-101804</v>
      </c>
      <c r="B1843" s="37" t="n">
        <f aca="false">IF(Raw_Export!$A1843="","",IF(ISNUMBER(Raw_Export!B1843),Raw_Export!B1843,IF(MID(TRIM(Raw_Export!B1843),5,1)="-",DATE(LEFT(TRIM(Raw_Export!B1843),4),MID(TRIM(Raw_Export!B1843),6,2),RIGHT(TRIM(Raw_Export!B1843),2)),DATE(RIGHT(TRIM(Raw_Export!B1843),4),MATCH(MID(TRIM(Raw_Export!B1843),4,3),{"Jan","Feb","Mar","Apr","May","Jun","Jul","Aug","Sep","Oct","Nov","Dec"},0),LEFT(TRIM(Raw_Export!B1843),2)))))</f>
        <v>46277</v>
      </c>
      <c r="C1843" s="36" t="str">
        <f aca="false">IF(Raw_Export!$A1843="","",IFERROR(VLOOKUP(LOWER(TRIM(Raw_Export!C1843)),Maps!$A$2:$B$20,2,FALSE()),"UNMAPPED"))</f>
        <v>Nairobi CBD</v>
      </c>
      <c r="D1843" s="36" t="str">
        <f aca="false">IF(Raw_Export!$A1843="","",IFERROR(VLOOKUP(LOWER(TRIM(Raw_Export!D1843)),Maps!$G$2:$I$80,2,FALSE()),"UNMAPPED"))</f>
        <v>Matches 10pk</v>
      </c>
      <c r="E1843" s="36" t="str">
        <f aca="false">IF(Raw_Export!$A1843="","",IFERROR(VLOOKUP(LOWER(TRIM(Raw_Export!D1843)),Maps!$G$2:$I$80,3,FALSE()),"UNMAPPED"))</f>
        <v>Household</v>
      </c>
      <c r="F1843" s="36" t="n">
        <f aca="false">IF(Raw_Export!$A1843="","",IFERROR(VALUE(TRIM(Raw_Export!E1843)),0))</f>
        <v>1</v>
      </c>
      <c r="G1843" s="38" t="n">
        <f aca="false">IF(Raw_Export!$A1843="","",IFERROR(VALUE(SUBSTITUTE(SUBSTITUTE(UPPER(TRIM(Raw_Export!F1843)),"KES",""),",","")),0))</f>
        <v>50</v>
      </c>
      <c r="H1843" s="38" t="n">
        <f aca="false">IF(Raw_Export!$A1843="","",F1843*G1843)</f>
        <v>50</v>
      </c>
      <c r="I1843" s="36" t="str">
        <f aca="false">IF(Raw_Export!$A1843="","",IFERROR(VLOOKUP(LOWER(TRIM(Raw_Export!H1843)),Maps!$D$2:$E$12,2,FALSE()),"Other"))</f>
        <v>M-Pesa</v>
      </c>
      <c r="J1843" s="36" t="str">
        <f aca="false">IF(Raw_Export!$A1843="","",IF(COUNTIF($A$2:A1843,A1843)&gt;1,"Duplicate",""))</f>
        <v/>
      </c>
      <c r="K1843" s="36" t="str">
        <f aca="false">IF(Raw_Export!$A1843="","",IF(J1843="Duplicate","Duplicate",IF(OR(C1843="UNMAPPED",D1843="UNMAPPED"),"Unmapped",IF(F1843=0,"Blank qty",IF(F1843&lt;0,"Return","OK")))))</f>
        <v>OK</v>
      </c>
      <c r="L1843" s="36" t="n">
        <f aca="false">IF(Raw_Export!$A1843="","",IF(OR(K1843="OK",K1843="Return"),1,0))</f>
        <v>1</v>
      </c>
      <c r="M1843" s="37" t="n">
        <f aca="false">IF(Raw_Export!$A1843="","",B1843-WEEKDAY(B1843,2)+1)</f>
        <v>46272</v>
      </c>
    </row>
    <row r="1844" customFormat="false" ht="15" hidden="false" customHeight="false" outlineLevel="0" collapsed="false">
      <c r="A1844" s="36" t="str">
        <f aca="false">IF(Raw_Export!$A1844="","",TRIM(Raw_Export!A1844))</f>
        <v>TXN-101805</v>
      </c>
      <c r="B1844" s="37" t="n">
        <f aca="false">IF(Raw_Export!$A1844="","",IF(ISNUMBER(Raw_Export!B1844),Raw_Export!B1844,IF(MID(TRIM(Raw_Export!B1844),5,1)="-",DATE(LEFT(TRIM(Raw_Export!B1844),4),MID(TRIM(Raw_Export!B1844),6,2),RIGHT(TRIM(Raw_Export!B1844),2)),DATE(RIGHT(TRIM(Raw_Export!B1844),4),MATCH(MID(TRIM(Raw_Export!B1844),4,3),{"Jan","Feb","Mar","Apr","May","Jun","Jul","Aug","Sep","Oct","Nov","Dec"},0),LEFT(TRIM(Raw_Export!B1844),2)))))</f>
        <v>46277</v>
      </c>
      <c r="C1844" s="36" t="str">
        <f aca="false">IF(Raw_Export!$A1844="","",IFERROR(VLOOKUP(LOWER(TRIM(Raw_Export!C1844)),Maps!$A$2:$B$20,2,FALSE()),"UNMAPPED"))</f>
        <v>Nairobi CBD</v>
      </c>
      <c r="D1844" s="36" t="str">
        <f aca="false">IF(Raw_Export!$A1844="","",IFERROR(VLOOKUP(LOWER(TRIM(Raw_Export!D1844)),Maps!$G$2:$I$80,2,FALSE()),"UNMAPPED"))</f>
        <v>Bath Soap 175g</v>
      </c>
      <c r="E1844" s="36" t="str">
        <f aca="false">IF(Raw_Export!$A1844="","",IFERROR(VLOOKUP(LOWER(TRIM(Raw_Export!D1844)),Maps!$G$2:$I$80,3,FALSE()),"UNMAPPED"))</f>
        <v>Personal Care</v>
      </c>
      <c r="F1844" s="36" t="n">
        <f aca="false">IF(Raw_Export!$A1844="","",IFERROR(VALUE(TRIM(Raw_Export!E1844)),0))</f>
        <v>2</v>
      </c>
      <c r="G1844" s="38" t="n">
        <f aca="false">IF(Raw_Export!$A1844="","",IFERROR(VALUE(SUBSTITUTE(SUBSTITUTE(UPPER(TRIM(Raw_Export!F1844)),"KES",""),",","")),0))</f>
        <v>85</v>
      </c>
      <c r="H1844" s="38" t="n">
        <f aca="false">IF(Raw_Export!$A1844="","",F1844*G1844)</f>
        <v>170</v>
      </c>
      <c r="I1844" s="36" t="str">
        <f aca="false">IF(Raw_Export!$A1844="","",IFERROR(VLOOKUP(LOWER(TRIM(Raw_Export!H1844)),Maps!$D$2:$E$12,2,FALSE()),"Other"))</f>
        <v>Cash</v>
      </c>
      <c r="J1844" s="36" t="str">
        <f aca="false">IF(Raw_Export!$A1844="","",IF(COUNTIF($A$2:A1844,A1844)&gt;1,"Duplicate",""))</f>
        <v/>
      </c>
      <c r="K1844" s="36" t="str">
        <f aca="false">IF(Raw_Export!$A1844="","",IF(J1844="Duplicate","Duplicate",IF(OR(C1844="UNMAPPED",D1844="UNMAPPED"),"Unmapped",IF(F1844=0,"Blank qty",IF(F1844&lt;0,"Return","OK")))))</f>
        <v>OK</v>
      </c>
      <c r="L1844" s="36" t="n">
        <f aca="false">IF(Raw_Export!$A1844="","",IF(OR(K1844="OK",K1844="Return"),1,0))</f>
        <v>1</v>
      </c>
      <c r="M1844" s="37" t="n">
        <f aca="false">IF(Raw_Export!$A1844="","",B1844-WEEKDAY(B1844,2)+1)</f>
        <v>46272</v>
      </c>
    </row>
    <row r="1845" customFormat="false" ht="15" hidden="false" customHeight="false" outlineLevel="0" collapsed="false">
      <c r="A1845" s="36" t="str">
        <f aca="false">IF(Raw_Export!$A1845="","",TRIM(Raw_Export!A1845))</f>
        <v>TXN-101806</v>
      </c>
      <c r="B1845" s="37" t="n">
        <f aca="false">IF(Raw_Export!$A1845="","",IF(ISNUMBER(Raw_Export!B1845),Raw_Export!B1845,IF(MID(TRIM(Raw_Export!B1845),5,1)="-",DATE(LEFT(TRIM(Raw_Export!B1845),4),MID(TRIM(Raw_Export!B1845),6,2),RIGHT(TRIM(Raw_Export!B1845),2)),DATE(RIGHT(TRIM(Raw_Export!B1845),4),MATCH(MID(TRIM(Raw_Export!B1845),4,3),{"Jan","Feb","Mar","Apr","May","Jun","Jul","Aug","Sep","Oct","Nov","Dec"},0),LEFT(TRIM(Raw_Export!B1845),2)))))</f>
        <v>46277</v>
      </c>
      <c r="C1845" s="36" t="str">
        <f aca="false">IF(Raw_Export!$A1845="","",IFERROR(VLOOKUP(LOWER(TRIM(Raw_Export!C1845)),Maps!$A$2:$B$20,2,FALSE()),"UNMAPPED"))</f>
        <v>Nairobi CBD</v>
      </c>
      <c r="D1845" s="36" t="str">
        <f aca="false">IF(Raw_Export!$A1845="","",IFERROR(VLOOKUP(LOWER(TRIM(Raw_Export!D1845)),Maps!$G$2:$I$80,2,FALSE()),"UNMAPPED"))</f>
        <v>Eggs Tray 30</v>
      </c>
      <c r="E1845" s="36" t="str">
        <f aca="false">IF(Raw_Export!$A1845="","",IFERROR(VLOOKUP(LOWER(TRIM(Raw_Export!D1845)),Maps!$G$2:$I$80,3,FALSE()),"UNMAPPED"))</f>
        <v>Dairy &amp; Eggs</v>
      </c>
      <c r="F1845" s="36" t="n">
        <f aca="false">IF(Raw_Export!$A1845="","",IFERROR(VALUE(TRIM(Raw_Export!E1845)),0))</f>
        <v>2</v>
      </c>
      <c r="G1845" s="38" t="n">
        <f aca="false">IF(Raw_Export!$A1845="","",IFERROR(VALUE(SUBSTITUTE(SUBSTITUTE(UPPER(TRIM(Raw_Export!F1845)),"KES",""),",","")),0))</f>
        <v>450</v>
      </c>
      <c r="H1845" s="38" t="n">
        <f aca="false">IF(Raw_Export!$A1845="","",F1845*G1845)</f>
        <v>900</v>
      </c>
      <c r="I1845" s="36" t="str">
        <f aca="false">IF(Raw_Export!$A1845="","",IFERROR(VLOOKUP(LOWER(TRIM(Raw_Export!H1845)),Maps!$D$2:$E$12,2,FALSE()),"Other"))</f>
        <v>M-Pesa</v>
      </c>
      <c r="J1845" s="36" t="str">
        <f aca="false">IF(Raw_Export!$A1845="","",IF(COUNTIF($A$2:A1845,A1845)&gt;1,"Duplicate",""))</f>
        <v/>
      </c>
      <c r="K1845" s="36" t="str">
        <f aca="false">IF(Raw_Export!$A1845="","",IF(J1845="Duplicate","Duplicate",IF(OR(C1845="UNMAPPED",D1845="UNMAPPED"),"Unmapped",IF(F1845=0,"Blank qty",IF(F1845&lt;0,"Return","OK")))))</f>
        <v>OK</v>
      </c>
      <c r="L1845" s="36" t="n">
        <f aca="false">IF(Raw_Export!$A1845="","",IF(OR(K1845="OK",K1845="Return"),1,0))</f>
        <v>1</v>
      </c>
      <c r="M1845" s="37" t="n">
        <f aca="false">IF(Raw_Export!$A1845="","",B1845-WEEKDAY(B1845,2)+1)</f>
        <v>46272</v>
      </c>
    </row>
    <row r="1846" customFormat="false" ht="15" hidden="false" customHeight="false" outlineLevel="0" collapsed="false">
      <c r="A1846" s="36" t="str">
        <f aca="false">IF(Raw_Export!$A1846="","",TRIM(Raw_Export!A1846))</f>
        <v>TXN-101807</v>
      </c>
      <c r="B1846" s="37" t="n">
        <f aca="false">IF(Raw_Export!$A1846="","",IF(ISNUMBER(Raw_Export!B1846),Raw_Export!B1846,IF(MID(TRIM(Raw_Export!B1846),5,1)="-",DATE(LEFT(TRIM(Raw_Export!B1846),4),MID(TRIM(Raw_Export!B1846),6,2),RIGHT(TRIM(Raw_Export!B1846),2)),DATE(RIGHT(TRIM(Raw_Export!B1846),4),MATCH(MID(TRIM(Raw_Export!B1846),4,3),{"Jan","Feb","Mar","Apr","May","Jun","Jul","Aug","Sep","Oct","Nov","Dec"},0),LEFT(TRIM(Raw_Export!B1846),2)))))</f>
        <v>46277</v>
      </c>
      <c r="C1846" s="36" t="str">
        <f aca="false">IF(Raw_Export!$A1846="","",IFERROR(VLOOKUP(LOWER(TRIM(Raw_Export!C1846)),Maps!$A$2:$B$20,2,FALSE()),"UNMAPPED"))</f>
        <v>Nairobi CBD</v>
      </c>
      <c r="D1846" s="36" t="str">
        <f aca="false">IF(Raw_Export!$A1846="","",IFERROR(VLOOKUP(LOWER(TRIM(Raw_Export!D1846)),Maps!$G$2:$I$80,2,FALSE()),"UNMAPPED"))</f>
        <v>Coffee 100g</v>
      </c>
      <c r="E1846" s="36" t="str">
        <f aca="false">IF(Raw_Export!$A1846="","",IFERROR(VLOOKUP(LOWER(TRIM(Raw_Export!D1846)),Maps!$G$2:$I$80,3,FALSE()),"UNMAPPED"))</f>
        <v>Beverages</v>
      </c>
      <c r="F1846" s="36" t="n">
        <f aca="false">IF(Raw_Export!$A1846="","",IFERROR(VALUE(TRIM(Raw_Export!E1846)),0))</f>
        <v>6</v>
      </c>
      <c r="G1846" s="38" t="n">
        <f aca="false">IF(Raw_Export!$A1846="","",IFERROR(VALUE(SUBSTITUTE(SUBSTITUTE(UPPER(TRIM(Raw_Export!F1846)),"KES",""),",","")),0))</f>
        <v>360</v>
      </c>
      <c r="H1846" s="38" t="n">
        <f aca="false">IF(Raw_Export!$A1846="","",F1846*G1846)</f>
        <v>2160</v>
      </c>
      <c r="I1846" s="36" t="str">
        <f aca="false">IF(Raw_Export!$A1846="","",IFERROR(VLOOKUP(LOWER(TRIM(Raw_Export!H1846)),Maps!$D$2:$E$12,2,FALSE()),"Other"))</f>
        <v>Cash</v>
      </c>
      <c r="J1846" s="36" t="str">
        <f aca="false">IF(Raw_Export!$A1846="","",IF(COUNTIF($A$2:A1846,A1846)&gt;1,"Duplicate",""))</f>
        <v/>
      </c>
      <c r="K1846" s="36" t="str">
        <f aca="false">IF(Raw_Export!$A1846="","",IF(J1846="Duplicate","Duplicate",IF(OR(C1846="UNMAPPED",D1846="UNMAPPED"),"Unmapped",IF(F1846=0,"Blank qty",IF(F1846&lt;0,"Return","OK")))))</f>
        <v>OK</v>
      </c>
      <c r="L1846" s="36" t="n">
        <f aca="false">IF(Raw_Export!$A1846="","",IF(OR(K1846="OK",K1846="Return"),1,0))</f>
        <v>1</v>
      </c>
      <c r="M1846" s="37" t="n">
        <f aca="false">IF(Raw_Export!$A1846="","",B1846-WEEKDAY(B1846,2)+1)</f>
        <v>46272</v>
      </c>
    </row>
    <row r="1847" customFormat="false" ht="15" hidden="false" customHeight="false" outlineLevel="0" collapsed="false">
      <c r="A1847" s="36" t="str">
        <f aca="false">IF(Raw_Export!$A1847="","",TRIM(Raw_Export!A1847))</f>
        <v>TXN-101808</v>
      </c>
      <c r="B1847" s="37" t="n">
        <f aca="false">IF(Raw_Export!$A1847="","",IF(ISNUMBER(Raw_Export!B1847),Raw_Export!B1847,IF(MID(TRIM(Raw_Export!B1847),5,1)="-",DATE(LEFT(TRIM(Raw_Export!B1847),4),MID(TRIM(Raw_Export!B1847),6,2),RIGHT(TRIM(Raw_Export!B1847),2)),DATE(RIGHT(TRIM(Raw_Export!B1847),4),MATCH(MID(TRIM(Raw_Export!B1847),4,3),{"Jan","Feb","Mar","Apr","May","Jun","Jul","Aug","Sep","Oct","Nov","Dec"},0),LEFT(TRIM(Raw_Export!B1847),2)))))</f>
        <v>46277</v>
      </c>
      <c r="C1847" s="36" t="str">
        <f aca="false">IF(Raw_Export!$A1847="","",IFERROR(VLOOKUP(LOWER(TRIM(Raw_Export!C1847)),Maps!$A$2:$B$20,2,FALSE()),"UNMAPPED"))</f>
        <v>Nairobi CBD</v>
      </c>
      <c r="D1847" s="36" t="str">
        <f aca="false">IF(Raw_Export!$A1847="","",IFERROR(VLOOKUP(LOWER(TRIM(Raw_Export!D1847)),Maps!$G$2:$I$80,2,FALSE()),"UNMAPPED"))</f>
        <v>Body Lotion 400ml</v>
      </c>
      <c r="E1847" s="36" t="str">
        <f aca="false">IF(Raw_Export!$A1847="","",IFERROR(VLOOKUP(LOWER(TRIM(Raw_Export!D1847)),Maps!$G$2:$I$80,3,FALSE()),"UNMAPPED"))</f>
        <v>Personal Care</v>
      </c>
      <c r="F1847" s="36" t="n">
        <f aca="false">IF(Raw_Export!$A1847="","",IFERROR(VALUE(TRIM(Raw_Export!E1847)),0))</f>
        <v>1</v>
      </c>
      <c r="G1847" s="38" t="n">
        <f aca="false">IF(Raw_Export!$A1847="","",IFERROR(VALUE(SUBSTITUTE(SUBSTITUTE(UPPER(TRIM(Raw_Export!F1847)),"KES",""),",","")),0))</f>
        <v>420</v>
      </c>
      <c r="H1847" s="38" t="n">
        <f aca="false">IF(Raw_Export!$A1847="","",F1847*G1847)</f>
        <v>420</v>
      </c>
      <c r="I1847" s="36" t="str">
        <f aca="false">IF(Raw_Export!$A1847="","",IFERROR(VLOOKUP(LOWER(TRIM(Raw_Export!H1847)),Maps!$D$2:$E$12,2,FALSE()),"Other"))</f>
        <v>Cash</v>
      </c>
      <c r="J1847" s="36" t="str">
        <f aca="false">IF(Raw_Export!$A1847="","",IF(COUNTIF($A$2:A1847,A1847)&gt;1,"Duplicate",""))</f>
        <v/>
      </c>
      <c r="K1847" s="36" t="str">
        <f aca="false">IF(Raw_Export!$A1847="","",IF(J1847="Duplicate","Duplicate",IF(OR(C1847="UNMAPPED",D1847="UNMAPPED"),"Unmapped",IF(F1847=0,"Blank qty",IF(F1847&lt;0,"Return","OK")))))</f>
        <v>OK</v>
      </c>
      <c r="L1847" s="36" t="n">
        <f aca="false">IF(Raw_Export!$A1847="","",IF(OR(K1847="OK",K1847="Return"),1,0))</f>
        <v>1</v>
      </c>
      <c r="M1847" s="37" t="n">
        <f aca="false">IF(Raw_Export!$A1847="","",B1847-WEEKDAY(B1847,2)+1)</f>
        <v>46272</v>
      </c>
    </row>
    <row r="1848" customFormat="false" ht="15" hidden="false" customHeight="false" outlineLevel="0" collapsed="false">
      <c r="A1848" s="36" t="str">
        <f aca="false">IF(Raw_Export!$A1848="","",TRIM(Raw_Export!A1848))</f>
        <v>TXN-101809</v>
      </c>
      <c r="B1848" s="37" t="n">
        <f aca="false">IF(Raw_Export!$A1848="","",IF(ISNUMBER(Raw_Export!B1848),Raw_Export!B1848,IF(MID(TRIM(Raw_Export!B1848),5,1)="-",DATE(LEFT(TRIM(Raw_Export!B1848),4),MID(TRIM(Raw_Export!B1848),6,2),RIGHT(TRIM(Raw_Export!B1848),2)),DATE(RIGHT(TRIM(Raw_Export!B1848),4),MATCH(MID(TRIM(Raw_Export!B1848),4,3),{"Jan","Feb","Mar","Apr","May","Jun","Jul","Aug","Sep","Oct","Nov","Dec"},0),LEFT(TRIM(Raw_Export!B1848),2)))))</f>
        <v>46277</v>
      </c>
      <c r="C1848" s="36" t="str">
        <f aca="false">IF(Raw_Export!$A1848="","",IFERROR(VLOOKUP(LOWER(TRIM(Raw_Export!C1848)),Maps!$A$2:$B$20,2,FALSE()),"UNMAPPED"))</f>
        <v>Nairobi CBD</v>
      </c>
      <c r="D1848" s="36" t="str">
        <f aca="false">IF(Raw_Export!$A1848="","",IFERROR(VLOOKUP(LOWER(TRIM(Raw_Export!D1848)),Maps!$G$2:$I$80,2,FALSE()),"UNMAPPED"))</f>
        <v>Spaghetti 400g</v>
      </c>
      <c r="E1848" s="36" t="str">
        <f aca="false">IF(Raw_Export!$A1848="","",IFERROR(VLOOKUP(LOWER(TRIM(Raw_Export!D1848)),Maps!$G$2:$I$80,3,FALSE()),"UNMAPPED"))</f>
        <v>Staples</v>
      </c>
      <c r="F1848" s="36" t="n">
        <f aca="false">IF(Raw_Export!$A1848="","",IFERROR(VALUE(TRIM(Raw_Export!E1848)),0))</f>
        <v>2</v>
      </c>
      <c r="G1848" s="38" t="n">
        <f aca="false">IF(Raw_Export!$A1848="","",IFERROR(VALUE(SUBSTITUTE(SUBSTITUTE(UPPER(TRIM(Raw_Export!F1848)),"KES",""),",","")),0))</f>
        <v>110</v>
      </c>
      <c r="H1848" s="38" t="n">
        <f aca="false">IF(Raw_Export!$A1848="","",F1848*G1848)</f>
        <v>220</v>
      </c>
      <c r="I1848" s="36" t="str">
        <f aca="false">IF(Raw_Export!$A1848="","",IFERROR(VLOOKUP(LOWER(TRIM(Raw_Export!H1848)),Maps!$D$2:$E$12,2,FALSE()),"Other"))</f>
        <v>M-Pesa</v>
      </c>
      <c r="J1848" s="36" t="str">
        <f aca="false">IF(Raw_Export!$A1848="","",IF(COUNTIF($A$2:A1848,A1848)&gt;1,"Duplicate",""))</f>
        <v/>
      </c>
      <c r="K1848" s="36" t="str">
        <f aca="false">IF(Raw_Export!$A1848="","",IF(J1848="Duplicate","Duplicate",IF(OR(C1848="UNMAPPED",D1848="UNMAPPED"),"Unmapped",IF(F1848=0,"Blank qty",IF(F1848&lt;0,"Return","OK")))))</f>
        <v>OK</v>
      </c>
      <c r="L1848" s="36" t="n">
        <f aca="false">IF(Raw_Export!$A1848="","",IF(OR(K1848="OK",K1848="Return"),1,0))</f>
        <v>1</v>
      </c>
      <c r="M1848" s="37" t="n">
        <f aca="false">IF(Raw_Export!$A1848="","",B1848-WEEKDAY(B1848,2)+1)</f>
        <v>46272</v>
      </c>
    </row>
    <row r="1849" customFormat="false" ht="15" hidden="false" customHeight="false" outlineLevel="0" collapsed="false">
      <c r="A1849" s="36" t="str">
        <f aca="false">IF(Raw_Export!$A1849="","",TRIM(Raw_Export!A1849))</f>
        <v>TXN-101810</v>
      </c>
      <c r="B1849" s="37" t="n">
        <f aca="false">IF(Raw_Export!$A1849="","",IF(ISNUMBER(Raw_Export!B1849),Raw_Export!B1849,IF(MID(TRIM(Raw_Export!B1849),5,1)="-",DATE(LEFT(TRIM(Raw_Export!B1849),4),MID(TRIM(Raw_Export!B1849),6,2),RIGHT(TRIM(Raw_Export!B1849),2)),DATE(RIGHT(TRIM(Raw_Export!B1849),4),MATCH(MID(TRIM(Raw_Export!B1849),4,3),{"Jan","Feb","Mar","Apr","May","Jun","Jul","Aug","Sep","Oct","Nov","Dec"},0),LEFT(TRIM(Raw_Export!B1849),2)))))</f>
        <v>46277</v>
      </c>
      <c r="C1849" s="36" t="str">
        <f aca="false">IF(Raw_Export!$A1849="","",IFERROR(VLOOKUP(LOWER(TRIM(Raw_Export!C1849)),Maps!$A$2:$B$20,2,FALSE()),"UNMAPPED"))</f>
        <v>Nairobi CBD</v>
      </c>
      <c r="D1849" s="36" t="str">
        <f aca="false">IF(Raw_Export!$A1849="","",IFERROR(VLOOKUP(LOWER(TRIM(Raw_Export!D1849)),Maps!$G$2:$I$80,2,FALSE()),"UNMAPPED"))</f>
        <v>Soda 500ml</v>
      </c>
      <c r="E1849" s="36" t="str">
        <f aca="false">IF(Raw_Export!$A1849="","",IFERROR(VLOOKUP(LOWER(TRIM(Raw_Export!D1849)),Maps!$G$2:$I$80,3,FALSE()),"UNMAPPED"))</f>
        <v>Beverages</v>
      </c>
      <c r="F1849" s="36" t="n">
        <f aca="false">IF(Raw_Export!$A1849="","",IFERROR(VALUE(TRIM(Raw_Export!E1849)),0))</f>
        <v>1</v>
      </c>
      <c r="G1849" s="38" t="n">
        <f aca="false">IF(Raw_Export!$A1849="","",IFERROR(VALUE(SUBSTITUTE(SUBSTITUTE(UPPER(TRIM(Raw_Export!F1849)),"KES",""),",","")),0))</f>
        <v>60</v>
      </c>
      <c r="H1849" s="38" t="n">
        <f aca="false">IF(Raw_Export!$A1849="","",F1849*G1849)</f>
        <v>60</v>
      </c>
      <c r="I1849" s="36" t="str">
        <f aca="false">IF(Raw_Export!$A1849="","",IFERROR(VLOOKUP(LOWER(TRIM(Raw_Export!H1849)),Maps!$D$2:$E$12,2,FALSE()),"Other"))</f>
        <v>Card</v>
      </c>
      <c r="J1849" s="36" t="str">
        <f aca="false">IF(Raw_Export!$A1849="","",IF(COUNTIF($A$2:A1849,A1849)&gt;1,"Duplicate",""))</f>
        <v/>
      </c>
      <c r="K1849" s="36" t="str">
        <f aca="false">IF(Raw_Export!$A1849="","",IF(J1849="Duplicate","Duplicate",IF(OR(C1849="UNMAPPED",D1849="UNMAPPED"),"Unmapped",IF(F1849=0,"Blank qty",IF(F1849&lt;0,"Return","OK")))))</f>
        <v>OK</v>
      </c>
      <c r="L1849" s="36" t="n">
        <f aca="false">IF(Raw_Export!$A1849="","",IF(OR(K1849="OK",K1849="Return"),1,0))</f>
        <v>1</v>
      </c>
      <c r="M1849" s="37" t="n">
        <f aca="false">IF(Raw_Export!$A1849="","",B1849-WEEKDAY(B1849,2)+1)</f>
        <v>46272</v>
      </c>
    </row>
    <row r="1850" customFormat="false" ht="15" hidden="false" customHeight="false" outlineLevel="0" collapsed="false">
      <c r="A1850" s="36" t="str">
        <f aca="false">IF(Raw_Export!$A1850="","",TRIM(Raw_Export!A1850))</f>
        <v>TXN-101811</v>
      </c>
      <c r="B1850" s="37" t="n">
        <f aca="false">IF(Raw_Export!$A1850="","",IF(ISNUMBER(Raw_Export!B1850),Raw_Export!B1850,IF(MID(TRIM(Raw_Export!B1850),5,1)="-",DATE(LEFT(TRIM(Raw_Export!B1850),4),MID(TRIM(Raw_Export!B1850),6,2),RIGHT(TRIM(Raw_Export!B1850),2)),DATE(RIGHT(TRIM(Raw_Export!B1850),4),MATCH(MID(TRIM(Raw_Export!B1850),4,3),{"Jan","Feb","Mar","Apr","May","Jun","Jul","Aug","Sep","Oct","Nov","Dec"},0),LEFT(TRIM(Raw_Export!B1850),2)))))</f>
        <v>46277</v>
      </c>
      <c r="C1850" s="36" t="str">
        <f aca="false">IF(Raw_Export!$A1850="","",IFERROR(VLOOKUP(LOWER(TRIM(Raw_Export!C1850)),Maps!$A$2:$B$20,2,FALSE()),"UNMAPPED"))</f>
        <v>Nairobi CBD</v>
      </c>
      <c r="D1850" s="36" t="str">
        <f aca="false">IF(Raw_Export!$A1850="","",IFERROR(VLOOKUP(LOWER(TRIM(Raw_Export!D1850)),Maps!$G$2:$I$80,2,FALSE()),"UNMAPPED"))</f>
        <v>Eggs Tray 30</v>
      </c>
      <c r="E1850" s="36" t="str">
        <f aca="false">IF(Raw_Export!$A1850="","",IFERROR(VLOOKUP(LOWER(TRIM(Raw_Export!D1850)),Maps!$G$2:$I$80,3,FALSE()),"UNMAPPED"))</f>
        <v>Dairy &amp; Eggs</v>
      </c>
      <c r="F1850" s="36" t="n">
        <f aca="false">IF(Raw_Export!$A1850="","",IFERROR(VALUE(TRIM(Raw_Export!E1850)),0))</f>
        <v>4</v>
      </c>
      <c r="G1850" s="38" t="n">
        <f aca="false">IF(Raw_Export!$A1850="","",IFERROR(VALUE(SUBSTITUTE(SUBSTITUTE(UPPER(TRIM(Raw_Export!F1850)),"KES",""),",","")),0))</f>
        <v>405</v>
      </c>
      <c r="H1850" s="38" t="n">
        <f aca="false">IF(Raw_Export!$A1850="","",F1850*G1850)</f>
        <v>1620</v>
      </c>
      <c r="I1850" s="36" t="str">
        <f aca="false">IF(Raw_Export!$A1850="","",IFERROR(VLOOKUP(LOWER(TRIM(Raw_Export!H1850)),Maps!$D$2:$E$12,2,FALSE()),"Other"))</f>
        <v>M-Pesa</v>
      </c>
      <c r="J1850" s="36" t="str">
        <f aca="false">IF(Raw_Export!$A1850="","",IF(COUNTIF($A$2:A1850,A1850)&gt;1,"Duplicate",""))</f>
        <v/>
      </c>
      <c r="K1850" s="36" t="str">
        <f aca="false">IF(Raw_Export!$A1850="","",IF(J1850="Duplicate","Duplicate",IF(OR(C1850="UNMAPPED",D1850="UNMAPPED"),"Unmapped",IF(F1850=0,"Blank qty",IF(F1850&lt;0,"Return","OK")))))</f>
        <v>OK</v>
      </c>
      <c r="L1850" s="36" t="n">
        <f aca="false">IF(Raw_Export!$A1850="","",IF(OR(K1850="OK",K1850="Return"),1,0))</f>
        <v>1</v>
      </c>
      <c r="M1850" s="37" t="n">
        <f aca="false">IF(Raw_Export!$A1850="","",B1850-WEEKDAY(B1850,2)+1)</f>
        <v>46272</v>
      </c>
    </row>
    <row r="1851" customFormat="false" ht="15" hidden="false" customHeight="false" outlineLevel="0" collapsed="false">
      <c r="A1851" s="36" t="str">
        <f aca="false">IF(Raw_Export!$A1851="","",TRIM(Raw_Export!A1851))</f>
        <v>TXN-101812</v>
      </c>
      <c r="B1851" s="37" t="n">
        <f aca="false">IF(Raw_Export!$A1851="","",IF(ISNUMBER(Raw_Export!B1851),Raw_Export!B1851,IF(MID(TRIM(Raw_Export!B1851),5,1)="-",DATE(LEFT(TRIM(Raw_Export!B1851),4),MID(TRIM(Raw_Export!B1851),6,2),RIGHT(TRIM(Raw_Export!B1851),2)),DATE(RIGHT(TRIM(Raw_Export!B1851),4),MATCH(MID(TRIM(Raw_Export!B1851),4,3),{"Jan","Feb","Mar","Apr","May","Jun","Jul","Aug","Sep","Oct","Nov","Dec"},0),LEFT(TRIM(Raw_Export!B1851),2)))))</f>
        <v>46277</v>
      </c>
      <c r="C1851" s="36" t="str">
        <f aca="false">IF(Raw_Export!$A1851="","",IFERROR(VLOOKUP(LOWER(TRIM(Raw_Export!C1851)),Maps!$A$2:$B$20,2,FALSE()),"UNMAPPED"))</f>
        <v>Nairobi CBD</v>
      </c>
      <c r="D1851" s="36" t="str">
        <f aca="false">IF(Raw_Export!$A1851="","",IFERROR(VLOOKUP(LOWER(TRIM(Raw_Export!D1851)),Maps!$G$2:$I$80,2,FALSE()),"UNMAPPED"))</f>
        <v>Bread Loaf 400g</v>
      </c>
      <c r="E1851" s="36" t="str">
        <f aca="false">IF(Raw_Export!$A1851="","",IFERROR(VLOOKUP(LOWER(TRIM(Raw_Export!D1851)),Maps!$G$2:$I$80,3,FALSE()),"UNMAPPED"))</f>
        <v>Snacks</v>
      </c>
      <c r="F1851" s="36" t="n">
        <f aca="false">IF(Raw_Export!$A1851="","",IFERROR(VALUE(TRIM(Raw_Export!E1851)),0))</f>
        <v>3</v>
      </c>
      <c r="G1851" s="38" t="n">
        <f aca="false">IF(Raw_Export!$A1851="","",IFERROR(VALUE(SUBSTITUTE(SUBSTITUTE(UPPER(TRIM(Raw_Export!F1851)),"KES",""),",","")),0))</f>
        <v>65</v>
      </c>
      <c r="H1851" s="38" t="n">
        <f aca="false">IF(Raw_Export!$A1851="","",F1851*G1851)</f>
        <v>195</v>
      </c>
      <c r="I1851" s="36" t="str">
        <f aca="false">IF(Raw_Export!$A1851="","",IFERROR(VLOOKUP(LOWER(TRIM(Raw_Export!H1851)),Maps!$D$2:$E$12,2,FALSE()),"Other"))</f>
        <v>Cash</v>
      </c>
      <c r="J1851" s="36" t="str">
        <f aca="false">IF(Raw_Export!$A1851="","",IF(COUNTIF($A$2:A1851,A1851)&gt;1,"Duplicate",""))</f>
        <v/>
      </c>
      <c r="K1851" s="36" t="str">
        <f aca="false">IF(Raw_Export!$A1851="","",IF(J1851="Duplicate","Duplicate",IF(OR(C1851="UNMAPPED",D1851="UNMAPPED"),"Unmapped",IF(F1851=0,"Blank qty",IF(F1851&lt;0,"Return","OK")))))</f>
        <v>OK</v>
      </c>
      <c r="L1851" s="36" t="n">
        <f aca="false">IF(Raw_Export!$A1851="","",IF(OR(K1851="OK",K1851="Return"),1,0))</f>
        <v>1</v>
      </c>
      <c r="M1851" s="37" t="n">
        <f aca="false">IF(Raw_Export!$A1851="","",B1851-WEEKDAY(B1851,2)+1)</f>
        <v>46272</v>
      </c>
    </row>
    <row r="1852" customFormat="false" ht="15" hidden="false" customHeight="false" outlineLevel="0" collapsed="false">
      <c r="A1852" s="36" t="str">
        <f aca="false">IF(Raw_Export!$A1852="","",TRIM(Raw_Export!A1852))</f>
        <v>TXN-101813</v>
      </c>
      <c r="B1852" s="37" t="n">
        <f aca="false">IF(Raw_Export!$A1852="","",IF(ISNUMBER(Raw_Export!B1852),Raw_Export!B1852,IF(MID(TRIM(Raw_Export!B1852),5,1)="-",DATE(LEFT(TRIM(Raw_Export!B1852),4),MID(TRIM(Raw_Export!B1852),6,2),RIGHT(TRIM(Raw_Export!B1852),2)),DATE(RIGHT(TRIM(Raw_Export!B1852),4),MATCH(MID(TRIM(Raw_Export!B1852),4,3),{"Jan","Feb","Mar","Apr","May","Jun","Jul","Aug","Sep","Oct","Nov","Dec"},0),LEFT(TRIM(Raw_Export!B1852),2)))))</f>
        <v>46277</v>
      </c>
      <c r="C1852" s="36" t="str">
        <f aca="false">IF(Raw_Export!$A1852="","",IFERROR(VLOOKUP(LOWER(TRIM(Raw_Export!C1852)),Maps!$A$2:$B$20,2,FALSE()),"UNMAPPED"))</f>
        <v>Nairobi CBD</v>
      </c>
      <c r="D1852" s="36" t="str">
        <f aca="false">IF(Raw_Export!$A1852="","",IFERROR(VLOOKUP(LOWER(TRIM(Raw_Export!D1852)),Maps!$G$2:$I$80,2,FALSE()),"UNMAPPED"))</f>
        <v>Bleach 1L</v>
      </c>
      <c r="E1852" s="36" t="str">
        <f aca="false">IF(Raw_Export!$A1852="","",IFERROR(VLOOKUP(LOWER(TRIM(Raw_Export!D1852)),Maps!$G$2:$I$80,3,FALSE()),"UNMAPPED"))</f>
        <v>Household</v>
      </c>
      <c r="F1852" s="36" t="n">
        <f aca="false">IF(Raw_Export!$A1852="","",IFERROR(VALUE(TRIM(Raw_Export!E1852)),0))</f>
        <v>2</v>
      </c>
      <c r="G1852" s="38" t="n">
        <f aca="false">IF(Raw_Export!$A1852="","",IFERROR(VALUE(SUBSTITUTE(SUBSTITUTE(UPPER(TRIM(Raw_Export!F1852)),"KES",""),",","")),0))</f>
        <v>160</v>
      </c>
      <c r="H1852" s="38" t="n">
        <f aca="false">IF(Raw_Export!$A1852="","",F1852*G1852)</f>
        <v>320</v>
      </c>
      <c r="I1852" s="36" t="str">
        <f aca="false">IF(Raw_Export!$A1852="","",IFERROR(VLOOKUP(LOWER(TRIM(Raw_Export!H1852)),Maps!$D$2:$E$12,2,FALSE()),"Other"))</f>
        <v>Cash</v>
      </c>
      <c r="J1852" s="36" t="str">
        <f aca="false">IF(Raw_Export!$A1852="","",IF(COUNTIF($A$2:A1852,A1852)&gt;1,"Duplicate",""))</f>
        <v/>
      </c>
      <c r="K1852" s="36" t="str">
        <f aca="false">IF(Raw_Export!$A1852="","",IF(J1852="Duplicate","Duplicate",IF(OR(C1852="UNMAPPED",D1852="UNMAPPED"),"Unmapped",IF(F1852=0,"Blank qty",IF(F1852&lt;0,"Return","OK")))))</f>
        <v>OK</v>
      </c>
      <c r="L1852" s="36" t="n">
        <f aca="false">IF(Raw_Export!$A1852="","",IF(OR(K1852="OK",K1852="Return"),1,0))</f>
        <v>1</v>
      </c>
      <c r="M1852" s="37" t="n">
        <f aca="false">IF(Raw_Export!$A1852="","",B1852-WEEKDAY(B1852,2)+1)</f>
        <v>46272</v>
      </c>
    </row>
    <row r="1853" customFormat="false" ht="15" hidden="false" customHeight="false" outlineLevel="0" collapsed="false">
      <c r="A1853" s="36" t="str">
        <f aca="false">IF(Raw_Export!$A1853="","",TRIM(Raw_Export!A1853))</f>
        <v>TXN-101814</v>
      </c>
      <c r="B1853" s="37" t="n">
        <f aca="false">IF(Raw_Export!$A1853="","",IF(ISNUMBER(Raw_Export!B1853),Raw_Export!B1853,IF(MID(TRIM(Raw_Export!B1853),5,1)="-",DATE(LEFT(TRIM(Raw_Export!B1853),4),MID(TRIM(Raw_Export!B1853),6,2),RIGHT(TRIM(Raw_Export!B1853),2)),DATE(RIGHT(TRIM(Raw_Export!B1853),4),MATCH(MID(TRIM(Raw_Export!B1853),4,3),{"Jan","Feb","Mar","Apr","May","Jun","Jul","Aug","Sep","Oct","Nov","Dec"},0),LEFT(TRIM(Raw_Export!B1853),2)))))</f>
        <v>46277</v>
      </c>
      <c r="C1853" s="36" t="str">
        <f aca="false">IF(Raw_Export!$A1853="","",IFERROR(VLOOKUP(LOWER(TRIM(Raw_Export!C1853)),Maps!$A$2:$B$20,2,FALSE()),"UNMAPPED"))</f>
        <v>Nairobi CBD</v>
      </c>
      <c r="D1853" s="36" t="str">
        <f aca="false">IF(Raw_Export!$A1853="","",IFERROR(VLOOKUP(LOWER(TRIM(Raw_Export!D1853)),Maps!$G$2:$I$80,2,FALSE()),"UNMAPPED"))</f>
        <v>Dish Soap 750ml</v>
      </c>
      <c r="E1853" s="36" t="str">
        <f aca="false">IF(Raw_Export!$A1853="","",IFERROR(VLOOKUP(LOWER(TRIM(Raw_Export!D1853)),Maps!$G$2:$I$80,3,FALSE()),"UNMAPPED"))</f>
        <v>Household</v>
      </c>
      <c r="F1853" s="36" t="n">
        <f aca="false">IF(Raw_Export!$A1853="","",IFERROR(VALUE(TRIM(Raw_Export!E1853)),0))</f>
        <v>1</v>
      </c>
      <c r="G1853" s="38" t="n">
        <f aca="false">IF(Raw_Export!$A1853="","",IFERROR(VALUE(SUBSTITUTE(SUBSTITUTE(UPPER(TRIM(Raw_Export!F1853)),"KES",""),",","")),0))</f>
        <v>190</v>
      </c>
      <c r="H1853" s="38" t="n">
        <f aca="false">IF(Raw_Export!$A1853="","",F1853*G1853)</f>
        <v>190</v>
      </c>
      <c r="I1853" s="36" t="str">
        <f aca="false">IF(Raw_Export!$A1853="","",IFERROR(VLOOKUP(LOWER(TRIM(Raw_Export!H1853)),Maps!$D$2:$E$12,2,FALSE()),"Other"))</f>
        <v>M-Pesa</v>
      </c>
      <c r="J1853" s="36" t="str">
        <f aca="false">IF(Raw_Export!$A1853="","",IF(COUNTIF($A$2:A1853,A1853)&gt;1,"Duplicate",""))</f>
        <v/>
      </c>
      <c r="K1853" s="36" t="str">
        <f aca="false">IF(Raw_Export!$A1853="","",IF(J1853="Duplicate","Duplicate",IF(OR(C1853="UNMAPPED",D1853="UNMAPPED"),"Unmapped",IF(F1853=0,"Blank qty",IF(F1853&lt;0,"Return","OK")))))</f>
        <v>OK</v>
      </c>
      <c r="L1853" s="36" t="n">
        <f aca="false">IF(Raw_Export!$A1853="","",IF(OR(K1853="OK",K1853="Return"),1,0))</f>
        <v>1</v>
      </c>
      <c r="M1853" s="37" t="n">
        <f aca="false">IF(Raw_Export!$A1853="","",B1853-WEEKDAY(B1853,2)+1)</f>
        <v>46272</v>
      </c>
    </row>
    <row r="1854" customFormat="false" ht="15" hidden="false" customHeight="false" outlineLevel="0" collapsed="false">
      <c r="A1854" s="36" t="str">
        <f aca="false">IF(Raw_Export!$A1854="","",TRIM(Raw_Export!A1854))</f>
        <v>TXN-101815</v>
      </c>
      <c r="B1854" s="37" t="n">
        <f aca="false">IF(Raw_Export!$A1854="","",IF(ISNUMBER(Raw_Export!B1854),Raw_Export!B1854,IF(MID(TRIM(Raw_Export!B1854),5,1)="-",DATE(LEFT(TRIM(Raw_Export!B1854),4),MID(TRIM(Raw_Export!B1854),6,2),RIGHT(TRIM(Raw_Export!B1854),2)),DATE(RIGHT(TRIM(Raw_Export!B1854),4),MATCH(MID(TRIM(Raw_Export!B1854),4,3),{"Jan","Feb","Mar","Apr","May","Jun","Jul","Aug","Sep","Oct","Nov","Dec"},0),LEFT(TRIM(Raw_Export!B1854),2)))))</f>
        <v>46277</v>
      </c>
      <c r="C1854" s="36" t="str">
        <f aca="false">IF(Raw_Export!$A1854="","",IFERROR(VLOOKUP(LOWER(TRIM(Raw_Export!C1854)),Maps!$A$2:$B$20,2,FALSE()),"UNMAPPED"))</f>
        <v>Nairobi CBD</v>
      </c>
      <c r="D1854" s="36" t="str">
        <f aca="false">IF(Raw_Export!$A1854="","",IFERROR(VLOOKUP(LOWER(TRIM(Raw_Export!D1854)),Maps!$G$2:$I$80,2,FALSE()),"UNMAPPED"))</f>
        <v>Peanuts 250g</v>
      </c>
      <c r="E1854" s="36" t="str">
        <f aca="false">IF(Raw_Export!$A1854="","",IFERROR(VLOOKUP(LOWER(TRIM(Raw_Export!D1854)),Maps!$G$2:$I$80,3,FALSE()),"UNMAPPED"))</f>
        <v>Snacks</v>
      </c>
      <c r="F1854" s="36" t="n">
        <f aca="false">IF(Raw_Export!$A1854="","",IFERROR(VALUE(TRIM(Raw_Export!E1854)),0))</f>
        <v>1</v>
      </c>
      <c r="G1854" s="38" t="n">
        <f aca="false">IF(Raw_Export!$A1854="","",IFERROR(VALUE(SUBSTITUTE(SUBSTITUTE(UPPER(TRIM(Raw_Export!F1854)),"KES",""),",","")),0))</f>
        <v>130</v>
      </c>
      <c r="H1854" s="38" t="n">
        <f aca="false">IF(Raw_Export!$A1854="","",F1854*G1854)</f>
        <v>130</v>
      </c>
      <c r="I1854" s="36" t="str">
        <f aca="false">IF(Raw_Export!$A1854="","",IFERROR(VLOOKUP(LOWER(TRIM(Raw_Export!H1854)),Maps!$D$2:$E$12,2,FALSE()),"Other"))</f>
        <v>Cash</v>
      </c>
      <c r="J1854" s="36" t="str">
        <f aca="false">IF(Raw_Export!$A1854="","",IF(COUNTIF($A$2:A1854,A1854)&gt;1,"Duplicate",""))</f>
        <v/>
      </c>
      <c r="K1854" s="36" t="str">
        <f aca="false">IF(Raw_Export!$A1854="","",IF(J1854="Duplicate","Duplicate",IF(OR(C1854="UNMAPPED",D1854="UNMAPPED"),"Unmapped",IF(F1854=0,"Blank qty",IF(F1854&lt;0,"Return","OK")))))</f>
        <v>OK</v>
      </c>
      <c r="L1854" s="36" t="n">
        <f aca="false">IF(Raw_Export!$A1854="","",IF(OR(K1854="OK",K1854="Return"),1,0))</f>
        <v>1</v>
      </c>
      <c r="M1854" s="37" t="n">
        <f aca="false">IF(Raw_Export!$A1854="","",B1854-WEEKDAY(B1854,2)+1)</f>
        <v>46272</v>
      </c>
    </row>
    <row r="1855" customFormat="false" ht="15" hidden="false" customHeight="false" outlineLevel="0" collapsed="false">
      <c r="A1855" s="36" t="str">
        <f aca="false">IF(Raw_Export!$A1855="","",TRIM(Raw_Export!A1855))</f>
        <v>TXN-101816</v>
      </c>
      <c r="B1855" s="37" t="n">
        <f aca="false">IF(Raw_Export!$A1855="","",IF(ISNUMBER(Raw_Export!B1855),Raw_Export!B1855,IF(MID(TRIM(Raw_Export!B1855),5,1)="-",DATE(LEFT(TRIM(Raw_Export!B1855),4),MID(TRIM(Raw_Export!B1855),6,2),RIGHT(TRIM(Raw_Export!B1855),2)),DATE(RIGHT(TRIM(Raw_Export!B1855),4),MATCH(MID(TRIM(Raw_Export!B1855),4,3),{"Jan","Feb","Mar","Apr","May","Jun","Jul","Aug","Sep","Oct","Nov","Dec"},0),LEFT(TRIM(Raw_Export!B1855),2)))))</f>
        <v>46277</v>
      </c>
      <c r="C1855" s="36" t="str">
        <f aca="false">IF(Raw_Export!$A1855="","",IFERROR(VLOOKUP(LOWER(TRIM(Raw_Export!C1855)),Maps!$A$2:$B$20,2,FALSE()),"UNMAPPED"))</f>
        <v>Nairobi CBD</v>
      </c>
      <c r="D1855" s="36" t="str">
        <f aca="false">IF(Raw_Export!$A1855="","",IFERROR(VLOOKUP(LOWER(TRIM(Raw_Export!D1855)),Maps!$G$2:$I$80,2,FALSE()),"UNMAPPED"))</f>
        <v>Salt 500g</v>
      </c>
      <c r="E1855" s="36" t="str">
        <f aca="false">IF(Raw_Export!$A1855="","",IFERROR(VLOOKUP(LOWER(TRIM(Raw_Export!D1855)),Maps!$G$2:$I$80,3,FALSE()),"UNMAPPED"))</f>
        <v>Staples</v>
      </c>
      <c r="F1855" s="36" t="n">
        <f aca="false">IF(Raw_Export!$A1855="","",IFERROR(VALUE(TRIM(Raw_Export!E1855)),0))</f>
        <v>3</v>
      </c>
      <c r="G1855" s="38" t="n">
        <f aca="false">IF(Raw_Export!$A1855="","",IFERROR(VALUE(SUBSTITUTE(SUBSTITUTE(UPPER(TRIM(Raw_Export!F1855)),"KES",""),",","")),0))</f>
        <v>40</v>
      </c>
      <c r="H1855" s="38" t="n">
        <f aca="false">IF(Raw_Export!$A1855="","",F1855*G1855)</f>
        <v>120</v>
      </c>
      <c r="I1855" s="36" t="str">
        <f aca="false">IF(Raw_Export!$A1855="","",IFERROR(VLOOKUP(LOWER(TRIM(Raw_Export!H1855)),Maps!$D$2:$E$12,2,FALSE()),"Other"))</f>
        <v>M-Pesa</v>
      </c>
      <c r="J1855" s="36" t="str">
        <f aca="false">IF(Raw_Export!$A1855="","",IF(COUNTIF($A$2:A1855,A1855)&gt;1,"Duplicate",""))</f>
        <v/>
      </c>
      <c r="K1855" s="36" t="str">
        <f aca="false">IF(Raw_Export!$A1855="","",IF(J1855="Duplicate","Duplicate",IF(OR(C1855="UNMAPPED",D1855="UNMAPPED"),"Unmapped",IF(F1855=0,"Blank qty",IF(F1855&lt;0,"Return","OK")))))</f>
        <v>OK</v>
      </c>
      <c r="L1855" s="36" t="n">
        <f aca="false">IF(Raw_Export!$A1855="","",IF(OR(K1855="OK",K1855="Return"),1,0))</f>
        <v>1</v>
      </c>
      <c r="M1855" s="37" t="n">
        <f aca="false">IF(Raw_Export!$A1855="","",B1855-WEEKDAY(B1855,2)+1)</f>
        <v>46272</v>
      </c>
    </row>
    <row r="1856" customFormat="false" ht="15" hidden="false" customHeight="false" outlineLevel="0" collapsed="false">
      <c r="A1856" s="36" t="str">
        <f aca="false">IF(Raw_Export!$A1856="","",TRIM(Raw_Export!A1856))</f>
        <v>TXN-101817</v>
      </c>
      <c r="B1856" s="37" t="n">
        <f aca="false">IF(Raw_Export!$A1856="","",IF(ISNUMBER(Raw_Export!B1856),Raw_Export!B1856,IF(MID(TRIM(Raw_Export!B1856),5,1)="-",DATE(LEFT(TRIM(Raw_Export!B1856),4),MID(TRIM(Raw_Export!B1856),6,2),RIGHT(TRIM(Raw_Export!B1856),2)),DATE(RIGHT(TRIM(Raw_Export!B1856),4),MATCH(MID(TRIM(Raw_Export!B1856),4,3),{"Jan","Feb","Mar","Apr","May","Jun","Jul","Aug","Sep","Oct","Nov","Dec"},0),LEFT(TRIM(Raw_Export!B1856),2)))))</f>
        <v>46277</v>
      </c>
      <c r="C1856" s="36" t="str">
        <f aca="false">IF(Raw_Export!$A1856="","",IFERROR(VLOOKUP(LOWER(TRIM(Raw_Export!C1856)),Maps!$A$2:$B$20,2,FALSE()),"UNMAPPED"))</f>
        <v>Nairobi CBD</v>
      </c>
      <c r="D1856" s="36" t="str">
        <f aca="false">IF(Raw_Export!$A1856="","",IFERROR(VLOOKUP(LOWER(TRIM(Raw_Export!D1856)),Maps!$G$2:$I$80,2,FALSE()),"UNMAPPED"))</f>
        <v>Sugar 2kg</v>
      </c>
      <c r="E1856" s="36" t="str">
        <f aca="false">IF(Raw_Export!$A1856="","",IFERROR(VLOOKUP(LOWER(TRIM(Raw_Export!D1856)),Maps!$G$2:$I$80,3,FALSE()),"UNMAPPED"))</f>
        <v>Staples</v>
      </c>
      <c r="F1856" s="36" t="n">
        <f aca="false">IF(Raw_Export!$A1856="","",IFERROR(VALUE(TRIM(Raw_Export!E1856)),0))</f>
        <v>6</v>
      </c>
      <c r="G1856" s="38" t="n">
        <f aca="false">IF(Raw_Export!$A1856="","",IFERROR(VALUE(SUBSTITUTE(SUBSTITUTE(UPPER(TRIM(Raw_Export!F1856)),"KES",""),",","")),0))</f>
        <v>330</v>
      </c>
      <c r="H1856" s="38" t="n">
        <f aca="false">IF(Raw_Export!$A1856="","",F1856*G1856)</f>
        <v>1980</v>
      </c>
      <c r="I1856" s="36" t="str">
        <f aca="false">IF(Raw_Export!$A1856="","",IFERROR(VLOOKUP(LOWER(TRIM(Raw_Export!H1856)),Maps!$D$2:$E$12,2,FALSE()),"Other"))</f>
        <v>Card</v>
      </c>
      <c r="J1856" s="36" t="str">
        <f aca="false">IF(Raw_Export!$A1856="","",IF(COUNTIF($A$2:A1856,A1856)&gt;1,"Duplicate",""))</f>
        <v/>
      </c>
      <c r="K1856" s="36" t="str">
        <f aca="false">IF(Raw_Export!$A1856="","",IF(J1856="Duplicate","Duplicate",IF(OR(C1856="UNMAPPED",D1856="UNMAPPED"),"Unmapped",IF(F1856=0,"Blank qty",IF(F1856&lt;0,"Return","OK")))))</f>
        <v>OK</v>
      </c>
      <c r="L1856" s="36" t="n">
        <f aca="false">IF(Raw_Export!$A1856="","",IF(OR(K1856="OK",K1856="Return"),1,0))</f>
        <v>1</v>
      </c>
      <c r="M1856" s="37" t="n">
        <f aca="false">IF(Raw_Export!$A1856="","",B1856-WEEKDAY(B1856,2)+1)</f>
        <v>46272</v>
      </c>
    </row>
    <row r="1857" customFormat="false" ht="15" hidden="false" customHeight="false" outlineLevel="0" collapsed="false">
      <c r="A1857" s="36" t="str">
        <f aca="false">IF(Raw_Export!$A1857="","",TRIM(Raw_Export!A1857))</f>
        <v>TXN-101818</v>
      </c>
      <c r="B1857" s="37" t="n">
        <f aca="false">IF(Raw_Export!$A1857="","",IF(ISNUMBER(Raw_Export!B1857),Raw_Export!B1857,IF(MID(TRIM(Raw_Export!B1857),5,1)="-",DATE(LEFT(TRIM(Raw_Export!B1857),4),MID(TRIM(Raw_Export!B1857),6,2),RIGHT(TRIM(Raw_Export!B1857),2)),DATE(RIGHT(TRIM(Raw_Export!B1857),4),MATCH(MID(TRIM(Raw_Export!B1857),4,3),{"Jan","Feb","Mar","Apr","May","Jun","Jul","Aug","Sep","Oct","Nov","Dec"},0),LEFT(TRIM(Raw_Export!B1857),2)))))</f>
        <v>46277</v>
      </c>
      <c r="C1857" s="36" t="str">
        <f aca="false">IF(Raw_Export!$A1857="","",IFERROR(VLOOKUP(LOWER(TRIM(Raw_Export!C1857)),Maps!$A$2:$B$20,2,FALSE()),"UNMAPPED"))</f>
        <v>Nairobi CBD</v>
      </c>
      <c r="D1857" s="36" t="str">
        <f aca="false">IF(Raw_Export!$A1857="","",IFERROR(VLOOKUP(LOWER(TRIM(Raw_Export!D1857)),Maps!$G$2:$I$80,2,FALSE()),"UNMAPPED"))</f>
        <v>Soda 500ml</v>
      </c>
      <c r="E1857" s="36" t="str">
        <f aca="false">IF(Raw_Export!$A1857="","",IFERROR(VLOOKUP(LOWER(TRIM(Raw_Export!D1857)),Maps!$G$2:$I$80,3,FALSE()),"UNMAPPED"))</f>
        <v>Beverages</v>
      </c>
      <c r="F1857" s="36" t="n">
        <f aca="false">IF(Raw_Export!$A1857="","",IFERROR(VALUE(TRIM(Raw_Export!E1857)),0))</f>
        <v>6</v>
      </c>
      <c r="G1857" s="38" t="n">
        <f aca="false">IF(Raw_Export!$A1857="","",IFERROR(VALUE(SUBSTITUTE(SUBSTITUTE(UPPER(TRIM(Raw_Export!F1857)),"KES",""),",","")),0))</f>
        <v>54</v>
      </c>
      <c r="H1857" s="38" t="n">
        <f aca="false">IF(Raw_Export!$A1857="","",F1857*G1857)</f>
        <v>324</v>
      </c>
      <c r="I1857" s="36" t="str">
        <f aca="false">IF(Raw_Export!$A1857="","",IFERROR(VLOOKUP(LOWER(TRIM(Raw_Export!H1857)),Maps!$D$2:$E$12,2,FALSE()),"Other"))</f>
        <v>M-Pesa</v>
      </c>
      <c r="J1857" s="36" t="str">
        <f aca="false">IF(Raw_Export!$A1857="","",IF(COUNTIF($A$2:A1857,A1857)&gt;1,"Duplicate",""))</f>
        <v/>
      </c>
      <c r="K1857" s="36" t="str">
        <f aca="false">IF(Raw_Export!$A1857="","",IF(J1857="Duplicate","Duplicate",IF(OR(C1857="UNMAPPED",D1857="UNMAPPED"),"Unmapped",IF(F1857=0,"Blank qty",IF(F1857&lt;0,"Return","OK")))))</f>
        <v>OK</v>
      </c>
      <c r="L1857" s="36" t="n">
        <f aca="false">IF(Raw_Export!$A1857="","",IF(OR(K1857="OK",K1857="Return"),1,0))</f>
        <v>1</v>
      </c>
      <c r="M1857" s="37" t="n">
        <f aca="false">IF(Raw_Export!$A1857="","",B1857-WEEKDAY(B1857,2)+1)</f>
        <v>46272</v>
      </c>
    </row>
    <row r="1858" customFormat="false" ht="15" hidden="false" customHeight="false" outlineLevel="0" collapsed="false">
      <c r="A1858" s="36" t="str">
        <f aca="false">IF(Raw_Export!$A1858="","",TRIM(Raw_Export!A1858))</f>
        <v>TXN-101819</v>
      </c>
      <c r="B1858" s="37" t="n">
        <f aca="false">IF(Raw_Export!$A1858="","",IF(ISNUMBER(Raw_Export!B1858),Raw_Export!B1858,IF(MID(TRIM(Raw_Export!B1858),5,1)="-",DATE(LEFT(TRIM(Raw_Export!B1858),4),MID(TRIM(Raw_Export!B1858),6,2),RIGHT(TRIM(Raw_Export!B1858),2)),DATE(RIGHT(TRIM(Raw_Export!B1858),4),MATCH(MID(TRIM(Raw_Export!B1858),4,3),{"Jan","Feb","Mar","Apr","May","Jun","Jul","Aug","Sep","Oct","Nov","Dec"},0),LEFT(TRIM(Raw_Export!B1858),2)))))</f>
        <v>46277</v>
      </c>
      <c r="C1858" s="36" t="str">
        <f aca="false">IF(Raw_Export!$A1858="","",IFERROR(VLOOKUP(LOWER(TRIM(Raw_Export!C1858)),Maps!$A$2:$B$20,2,FALSE()),"UNMAPPED"))</f>
        <v>Nairobi CBD</v>
      </c>
      <c r="D1858" s="36" t="str">
        <f aca="false">IF(Raw_Export!$A1858="","",IFERROR(VLOOKUP(LOWER(TRIM(Raw_Export!D1858)),Maps!$G$2:$I$80,2,FALSE()),"UNMAPPED"))</f>
        <v>Cooking Oil 1L</v>
      </c>
      <c r="E1858" s="36" t="str">
        <f aca="false">IF(Raw_Export!$A1858="","",IFERROR(VLOOKUP(LOWER(TRIM(Raw_Export!D1858)),Maps!$G$2:$I$80,3,FALSE()),"UNMAPPED"))</f>
        <v>Staples</v>
      </c>
      <c r="F1858" s="36" t="n">
        <f aca="false">IF(Raw_Export!$A1858="","",IFERROR(VALUE(TRIM(Raw_Export!E1858)),0))</f>
        <v>1</v>
      </c>
      <c r="G1858" s="38" t="n">
        <f aca="false">IF(Raw_Export!$A1858="","",IFERROR(VALUE(SUBSTITUTE(SUBSTITUTE(UPPER(TRIM(Raw_Export!F1858)),"KES",""),",","")),0))</f>
        <v>330</v>
      </c>
      <c r="H1858" s="38" t="n">
        <f aca="false">IF(Raw_Export!$A1858="","",F1858*G1858)</f>
        <v>330</v>
      </c>
      <c r="I1858" s="36" t="str">
        <f aca="false">IF(Raw_Export!$A1858="","",IFERROR(VLOOKUP(LOWER(TRIM(Raw_Export!H1858)),Maps!$D$2:$E$12,2,FALSE()),"Other"))</f>
        <v>M-Pesa</v>
      </c>
      <c r="J1858" s="36" t="str">
        <f aca="false">IF(Raw_Export!$A1858="","",IF(COUNTIF($A$2:A1858,A1858)&gt;1,"Duplicate",""))</f>
        <v/>
      </c>
      <c r="K1858" s="36" t="str">
        <f aca="false">IF(Raw_Export!$A1858="","",IF(J1858="Duplicate","Duplicate",IF(OR(C1858="UNMAPPED",D1858="UNMAPPED"),"Unmapped",IF(F1858=0,"Blank qty",IF(F1858&lt;0,"Return","OK")))))</f>
        <v>OK</v>
      </c>
      <c r="L1858" s="36" t="n">
        <f aca="false">IF(Raw_Export!$A1858="","",IF(OR(K1858="OK",K1858="Return"),1,0))</f>
        <v>1</v>
      </c>
      <c r="M1858" s="37" t="n">
        <f aca="false">IF(Raw_Export!$A1858="","",B1858-WEEKDAY(B1858,2)+1)</f>
        <v>46272</v>
      </c>
    </row>
    <row r="1859" customFormat="false" ht="15" hidden="false" customHeight="false" outlineLevel="0" collapsed="false">
      <c r="A1859" s="36" t="str">
        <f aca="false">IF(Raw_Export!$A1859="","",TRIM(Raw_Export!A1859))</f>
        <v>TXN-101820</v>
      </c>
      <c r="B1859" s="37" t="n">
        <f aca="false">IF(Raw_Export!$A1859="","",IF(ISNUMBER(Raw_Export!B1859),Raw_Export!B1859,IF(MID(TRIM(Raw_Export!B1859),5,1)="-",DATE(LEFT(TRIM(Raw_Export!B1859),4),MID(TRIM(Raw_Export!B1859),6,2),RIGHT(TRIM(Raw_Export!B1859),2)),DATE(RIGHT(TRIM(Raw_Export!B1859),4),MATCH(MID(TRIM(Raw_Export!B1859),4,3),{"Jan","Feb","Mar","Apr","May","Jun","Jul","Aug","Sep","Oct","Nov","Dec"},0),LEFT(TRIM(Raw_Export!B1859),2)))))</f>
        <v>46277</v>
      </c>
      <c r="C1859" s="36" t="str">
        <f aca="false">IF(Raw_Export!$A1859="","",IFERROR(VLOOKUP(LOWER(TRIM(Raw_Export!C1859)),Maps!$A$2:$B$20,2,FALSE()),"UNMAPPED"))</f>
        <v>Nairobi CBD</v>
      </c>
      <c r="D1859" s="36" t="str">
        <f aca="false">IF(Raw_Export!$A1859="","",IFERROR(VLOOKUP(LOWER(TRIM(Raw_Export!D1859)),Maps!$G$2:$I$80,2,FALSE()),"UNMAPPED"))</f>
        <v>Cooking Oil 1L</v>
      </c>
      <c r="E1859" s="36" t="str">
        <f aca="false">IF(Raw_Export!$A1859="","",IFERROR(VLOOKUP(LOWER(TRIM(Raw_Export!D1859)),Maps!$G$2:$I$80,3,FALSE()),"UNMAPPED"))</f>
        <v>Staples</v>
      </c>
      <c r="F1859" s="36" t="n">
        <f aca="false">IF(Raw_Export!$A1859="","",IFERROR(VALUE(TRIM(Raw_Export!E1859)),0))</f>
        <v>1</v>
      </c>
      <c r="G1859" s="38" t="n">
        <f aca="false">IF(Raw_Export!$A1859="","",IFERROR(VALUE(SUBSTITUTE(SUBSTITUTE(UPPER(TRIM(Raw_Export!F1859)),"KES",""),",","")),0))</f>
        <v>330</v>
      </c>
      <c r="H1859" s="38" t="n">
        <f aca="false">IF(Raw_Export!$A1859="","",F1859*G1859)</f>
        <v>330</v>
      </c>
      <c r="I1859" s="36" t="str">
        <f aca="false">IF(Raw_Export!$A1859="","",IFERROR(VLOOKUP(LOWER(TRIM(Raw_Export!H1859)),Maps!$D$2:$E$12,2,FALSE()),"Other"))</f>
        <v>M-Pesa</v>
      </c>
      <c r="J1859" s="36" t="str">
        <f aca="false">IF(Raw_Export!$A1859="","",IF(COUNTIF($A$2:A1859,A1859)&gt;1,"Duplicate",""))</f>
        <v/>
      </c>
      <c r="K1859" s="36" t="str">
        <f aca="false">IF(Raw_Export!$A1859="","",IF(J1859="Duplicate","Duplicate",IF(OR(C1859="UNMAPPED",D1859="UNMAPPED"),"Unmapped",IF(F1859=0,"Blank qty",IF(F1859&lt;0,"Return","OK")))))</f>
        <v>OK</v>
      </c>
      <c r="L1859" s="36" t="n">
        <f aca="false">IF(Raw_Export!$A1859="","",IF(OR(K1859="OK",K1859="Return"),1,0))</f>
        <v>1</v>
      </c>
      <c r="M1859" s="37" t="n">
        <f aca="false">IF(Raw_Export!$A1859="","",B1859-WEEKDAY(B1859,2)+1)</f>
        <v>46272</v>
      </c>
    </row>
    <row r="1860" customFormat="false" ht="15" hidden="false" customHeight="false" outlineLevel="0" collapsed="false">
      <c r="A1860" s="36" t="str">
        <f aca="false">IF(Raw_Export!$A1860="","",TRIM(Raw_Export!A1860))</f>
        <v>TXN-101821</v>
      </c>
      <c r="B1860" s="37" t="n">
        <f aca="false">IF(Raw_Export!$A1860="","",IF(ISNUMBER(Raw_Export!B1860),Raw_Export!B1860,IF(MID(TRIM(Raw_Export!B1860),5,1)="-",DATE(LEFT(TRIM(Raw_Export!B1860),4),MID(TRIM(Raw_Export!B1860),6,2),RIGHT(TRIM(Raw_Export!B1860),2)),DATE(RIGHT(TRIM(Raw_Export!B1860),4),MATCH(MID(TRIM(Raw_Export!B1860),4,3),{"Jan","Feb","Mar","Apr","May","Jun","Jul","Aug","Sep","Oct","Nov","Dec"},0),LEFT(TRIM(Raw_Export!B1860),2)))))</f>
        <v>46277</v>
      </c>
      <c r="C1860" s="36" t="str">
        <f aca="false">IF(Raw_Export!$A1860="","",IFERROR(VLOOKUP(LOWER(TRIM(Raw_Export!C1860)),Maps!$A$2:$B$20,2,FALSE()),"UNMAPPED"))</f>
        <v>Nairobi CBD</v>
      </c>
      <c r="D1860" s="36" t="str">
        <f aca="false">IF(Raw_Export!$A1860="","",IFERROR(VLOOKUP(LOWER(TRIM(Raw_Export!D1860)),Maps!$G$2:$I$80,2,FALSE()),"UNMAPPED"))</f>
        <v>Soda 500ml</v>
      </c>
      <c r="E1860" s="36" t="str">
        <f aca="false">IF(Raw_Export!$A1860="","",IFERROR(VLOOKUP(LOWER(TRIM(Raw_Export!D1860)),Maps!$G$2:$I$80,3,FALSE()),"UNMAPPED"))</f>
        <v>Beverages</v>
      </c>
      <c r="F1860" s="36" t="n">
        <f aca="false">IF(Raw_Export!$A1860="","",IFERROR(VALUE(TRIM(Raw_Export!E1860)),0))</f>
        <v>1</v>
      </c>
      <c r="G1860" s="38" t="n">
        <f aca="false">IF(Raw_Export!$A1860="","",IFERROR(VALUE(SUBSTITUTE(SUBSTITUTE(UPPER(TRIM(Raw_Export!F1860)),"KES",""),",","")),0))</f>
        <v>60</v>
      </c>
      <c r="H1860" s="38" t="n">
        <f aca="false">IF(Raw_Export!$A1860="","",F1860*G1860)</f>
        <v>60</v>
      </c>
      <c r="I1860" s="36" t="str">
        <f aca="false">IF(Raw_Export!$A1860="","",IFERROR(VLOOKUP(LOWER(TRIM(Raw_Export!H1860)),Maps!$D$2:$E$12,2,FALSE()),"Other"))</f>
        <v>Cash</v>
      </c>
      <c r="J1860" s="36" t="str">
        <f aca="false">IF(Raw_Export!$A1860="","",IF(COUNTIF($A$2:A1860,A1860)&gt;1,"Duplicate",""))</f>
        <v/>
      </c>
      <c r="K1860" s="36" t="str">
        <f aca="false">IF(Raw_Export!$A1860="","",IF(J1860="Duplicate","Duplicate",IF(OR(C1860="UNMAPPED",D1860="UNMAPPED"),"Unmapped",IF(F1860=0,"Blank qty",IF(F1860&lt;0,"Return","OK")))))</f>
        <v>OK</v>
      </c>
      <c r="L1860" s="36" t="n">
        <f aca="false">IF(Raw_Export!$A1860="","",IF(OR(K1860="OK",K1860="Return"),1,0))</f>
        <v>1</v>
      </c>
      <c r="M1860" s="37" t="n">
        <f aca="false">IF(Raw_Export!$A1860="","",B1860-WEEKDAY(B1860,2)+1)</f>
        <v>46272</v>
      </c>
    </row>
    <row r="1861" customFormat="false" ht="15" hidden="false" customHeight="false" outlineLevel="0" collapsed="false">
      <c r="A1861" s="36" t="str">
        <f aca="false">IF(Raw_Export!$A1861="","",TRIM(Raw_Export!A1861))</f>
        <v>TXN-101822</v>
      </c>
      <c r="B1861" s="37" t="n">
        <f aca="false">IF(Raw_Export!$A1861="","",IF(ISNUMBER(Raw_Export!B1861),Raw_Export!B1861,IF(MID(TRIM(Raw_Export!B1861),5,1)="-",DATE(LEFT(TRIM(Raw_Export!B1861),4),MID(TRIM(Raw_Export!B1861),6,2),RIGHT(TRIM(Raw_Export!B1861),2)),DATE(RIGHT(TRIM(Raw_Export!B1861),4),MATCH(MID(TRIM(Raw_Export!B1861),4,3),{"Jan","Feb","Mar","Apr","May","Jun","Jul","Aug","Sep","Oct","Nov","Dec"},0),LEFT(TRIM(Raw_Export!B1861),2)))))</f>
        <v>46277</v>
      </c>
      <c r="C1861" s="36" t="str">
        <f aca="false">IF(Raw_Export!$A1861="","",IFERROR(VLOOKUP(LOWER(TRIM(Raw_Export!C1861)),Maps!$A$2:$B$20,2,FALSE()),"UNMAPPED"))</f>
        <v>Nairobi CBD</v>
      </c>
      <c r="D1861" s="36" t="str">
        <f aca="false">IF(Raw_Export!$A1861="","",IFERROR(VLOOKUP(LOWER(TRIM(Raw_Export!D1861)),Maps!$G$2:$I$80,2,FALSE()),"UNMAPPED"))</f>
        <v>Biscuits 200g</v>
      </c>
      <c r="E1861" s="36" t="str">
        <f aca="false">IF(Raw_Export!$A1861="","",IFERROR(VLOOKUP(LOWER(TRIM(Raw_Export!D1861)),Maps!$G$2:$I$80,3,FALSE()),"UNMAPPED"))</f>
        <v>Snacks</v>
      </c>
      <c r="F1861" s="36" t="n">
        <f aca="false">IF(Raw_Export!$A1861="","",IFERROR(VALUE(TRIM(Raw_Export!E1861)),0))</f>
        <v>1</v>
      </c>
      <c r="G1861" s="38" t="n">
        <f aca="false">IF(Raw_Export!$A1861="","",IFERROR(VALUE(SUBSTITUTE(SUBSTITUTE(UPPER(TRIM(Raw_Export!F1861)),"KES",""),",","")),0))</f>
        <v>95</v>
      </c>
      <c r="H1861" s="38" t="n">
        <f aca="false">IF(Raw_Export!$A1861="","",F1861*G1861)</f>
        <v>95</v>
      </c>
      <c r="I1861" s="36" t="str">
        <f aca="false">IF(Raw_Export!$A1861="","",IFERROR(VLOOKUP(LOWER(TRIM(Raw_Export!H1861)),Maps!$D$2:$E$12,2,FALSE()),"Other"))</f>
        <v>Cash</v>
      </c>
      <c r="J1861" s="36" t="str">
        <f aca="false">IF(Raw_Export!$A1861="","",IF(COUNTIF($A$2:A1861,A1861)&gt;1,"Duplicate",""))</f>
        <v/>
      </c>
      <c r="K1861" s="36" t="str">
        <f aca="false">IF(Raw_Export!$A1861="","",IF(J1861="Duplicate","Duplicate",IF(OR(C1861="UNMAPPED",D1861="UNMAPPED"),"Unmapped",IF(F1861=0,"Blank qty",IF(F1861&lt;0,"Return","OK")))))</f>
        <v>OK</v>
      </c>
      <c r="L1861" s="36" t="n">
        <f aca="false">IF(Raw_Export!$A1861="","",IF(OR(K1861="OK",K1861="Return"),1,0))</f>
        <v>1</v>
      </c>
      <c r="M1861" s="37" t="n">
        <f aca="false">IF(Raw_Export!$A1861="","",B1861-WEEKDAY(B1861,2)+1)</f>
        <v>46272</v>
      </c>
    </row>
    <row r="1862" customFormat="false" ht="15" hidden="false" customHeight="false" outlineLevel="0" collapsed="false">
      <c r="A1862" s="36" t="str">
        <f aca="false">IF(Raw_Export!$A1862="","",TRIM(Raw_Export!A1862))</f>
        <v>TXN-101823</v>
      </c>
      <c r="B1862" s="37" t="n">
        <f aca="false">IF(Raw_Export!$A1862="","",IF(ISNUMBER(Raw_Export!B1862),Raw_Export!B1862,IF(MID(TRIM(Raw_Export!B1862),5,1)="-",DATE(LEFT(TRIM(Raw_Export!B1862),4),MID(TRIM(Raw_Export!B1862),6,2),RIGHT(TRIM(Raw_Export!B1862),2)),DATE(RIGHT(TRIM(Raw_Export!B1862),4),MATCH(MID(TRIM(Raw_Export!B1862),4,3),{"Jan","Feb","Mar","Apr","May","Jun","Jul","Aug","Sep","Oct","Nov","Dec"},0),LEFT(TRIM(Raw_Export!B1862),2)))))</f>
        <v>46277</v>
      </c>
      <c r="C1862" s="36" t="str">
        <f aca="false">IF(Raw_Export!$A1862="","",IFERROR(VLOOKUP(LOWER(TRIM(Raw_Export!C1862)),Maps!$A$2:$B$20,2,FALSE()),"UNMAPPED"))</f>
        <v>Nairobi CBD</v>
      </c>
      <c r="D1862" s="36" t="str">
        <f aca="false">IF(Raw_Export!$A1862="","",IFERROR(VLOOKUP(LOWER(TRIM(Raw_Export!D1862)),Maps!$G$2:$I$80,2,FALSE()),"UNMAPPED"))</f>
        <v>Dish Soap 750ml</v>
      </c>
      <c r="E1862" s="36" t="str">
        <f aca="false">IF(Raw_Export!$A1862="","",IFERROR(VLOOKUP(LOWER(TRIM(Raw_Export!D1862)),Maps!$G$2:$I$80,3,FALSE()),"UNMAPPED"))</f>
        <v>Household</v>
      </c>
      <c r="F1862" s="36" t="n">
        <f aca="false">IF(Raw_Export!$A1862="","",IFERROR(VALUE(TRIM(Raw_Export!E1862)),0))</f>
        <v>4</v>
      </c>
      <c r="G1862" s="38" t="n">
        <f aca="false">IF(Raw_Export!$A1862="","",IFERROR(VALUE(SUBSTITUTE(SUBSTITUTE(UPPER(TRIM(Raw_Export!F1862)),"KES",""),",","")),0))</f>
        <v>190</v>
      </c>
      <c r="H1862" s="38" t="n">
        <f aca="false">IF(Raw_Export!$A1862="","",F1862*G1862)</f>
        <v>760</v>
      </c>
      <c r="I1862" s="36" t="str">
        <f aca="false">IF(Raw_Export!$A1862="","",IFERROR(VLOOKUP(LOWER(TRIM(Raw_Export!H1862)),Maps!$D$2:$E$12,2,FALSE()),"Other"))</f>
        <v>M-Pesa</v>
      </c>
      <c r="J1862" s="36" t="str">
        <f aca="false">IF(Raw_Export!$A1862="","",IF(COUNTIF($A$2:A1862,A1862)&gt;1,"Duplicate",""))</f>
        <v/>
      </c>
      <c r="K1862" s="36" t="str">
        <f aca="false">IF(Raw_Export!$A1862="","",IF(J1862="Duplicate","Duplicate",IF(OR(C1862="UNMAPPED",D1862="UNMAPPED"),"Unmapped",IF(F1862=0,"Blank qty",IF(F1862&lt;0,"Return","OK")))))</f>
        <v>OK</v>
      </c>
      <c r="L1862" s="36" t="n">
        <f aca="false">IF(Raw_Export!$A1862="","",IF(OR(K1862="OK",K1862="Return"),1,0))</f>
        <v>1</v>
      </c>
      <c r="M1862" s="37" t="n">
        <f aca="false">IF(Raw_Export!$A1862="","",B1862-WEEKDAY(B1862,2)+1)</f>
        <v>46272</v>
      </c>
    </row>
    <row r="1863" customFormat="false" ht="15" hidden="false" customHeight="false" outlineLevel="0" collapsed="false">
      <c r="A1863" s="36" t="str">
        <f aca="false">IF(Raw_Export!$A1863="","",TRIM(Raw_Export!A1863))</f>
        <v>TXN-101824</v>
      </c>
      <c r="B1863" s="37" t="n">
        <f aca="false">IF(Raw_Export!$A1863="","",IF(ISNUMBER(Raw_Export!B1863),Raw_Export!B1863,IF(MID(TRIM(Raw_Export!B1863),5,1)="-",DATE(LEFT(TRIM(Raw_Export!B1863),4),MID(TRIM(Raw_Export!B1863),6,2),RIGHT(TRIM(Raw_Export!B1863),2)),DATE(RIGHT(TRIM(Raw_Export!B1863),4),MATCH(MID(TRIM(Raw_Export!B1863),4,3),{"Jan","Feb","Mar","Apr","May","Jun","Jul","Aug","Sep","Oct","Nov","Dec"},0),LEFT(TRIM(Raw_Export!B1863),2)))))</f>
        <v>46277</v>
      </c>
      <c r="C1863" s="36" t="str">
        <f aca="false">IF(Raw_Export!$A1863="","",IFERROR(VLOOKUP(LOWER(TRIM(Raw_Export!C1863)),Maps!$A$2:$B$20,2,FALSE()),"UNMAPPED"))</f>
        <v>Nairobi CBD</v>
      </c>
      <c r="D1863" s="36" t="str">
        <f aca="false">IF(Raw_Export!$A1863="","",IFERROR(VLOOKUP(LOWER(TRIM(Raw_Export!D1863)),Maps!$G$2:$I$80,2,FALSE()),"UNMAPPED"))</f>
        <v>Salt 500g</v>
      </c>
      <c r="E1863" s="36" t="str">
        <f aca="false">IF(Raw_Export!$A1863="","",IFERROR(VLOOKUP(LOWER(TRIM(Raw_Export!D1863)),Maps!$G$2:$I$80,3,FALSE()),"UNMAPPED"))</f>
        <v>Staples</v>
      </c>
      <c r="F1863" s="36" t="n">
        <f aca="false">IF(Raw_Export!$A1863="","",IFERROR(VALUE(TRIM(Raw_Export!E1863)),0))</f>
        <v>3</v>
      </c>
      <c r="G1863" s="38" t="n">
        <f aca="false">IF(Raw_Export!$A1863="","",IFERROR(VALUE(SUBSTITUTE(SUBSTITUTE(UPPER(TRIM(Raw_Export!F1863)),"KES",""),",","")),0))</f>
        <v>40</v>
      </c>
      <c r="H1863" s="38" t="n">
        <f aca="false">IF(Raw_Export!$A1863="","",F1863*G1863)</f>
        <v>120</v>
      </c>
      <c r="I1863" s="36" t="str">
        <f aca="false">IF(Raw_Export!$A1863="","",IFERROR(VLOOKUP(LOWER(TRIM(Raw_Export!H1863)),Maps!$D$2:$E$12,2,FALSE()),"Other"))</f>
        <v>M-Pesa</v>
      </c>
      <c r="J1863" s="36" t="str">
        <f aca="false">IF(Raw_Export!$A1863="","",IF(COUNTIF($A$2:A1863,A1863)&gt;1,"Duplicate",""))</f>
        <v/>
      </c>
      <c r="K1863" s="36" t="str">
        <f aca="false">IF(Raw_Export!$A1863="","",IF(J1863="Duplicate","Duplicate",IF(OR(C1863="UNMAPPED",D1863="UNMAPPED"),"Unmapped",IF(F1863=0,"Blank qty",IF(F1863&lt;0,"Return","OK")))))</f>
        <v>OK</v>
      </c>
      <c r="L1863" s="36" t="n">
        <f aca="false">IF(Raw_Export!$A1863="","",IF(OR(K1863="OK",K1863="Return"),1,0))</f>
        <v>1</v>
      </c>
      <c r="M1863" s="37" t="n">
        <f aca="false">IF(Raw_Export!$A1863="","",B1863-WEEKDAY(B1863,2)+1)</f>
        <v>46272</v>
      </c>
    </row>
    <row r="1864" customFormat="false" ht="15" hidden="false" customHeight="false" outlineLevel="0" collapsed="false">
      <c r="A1864" s="36" t="str">
        <f aca="false">IF(Raw_Export!$A1864="","",TRIM(Raw_Export!A1864))</f>
        <v>TXN-101825</v>
      </c>
      <c r="B1864" s="37" t="n">
        <f aca="false">IF(Raw_Export!$A1864="","",IF(ISNUMBER(Raw_Export!B1864),Raw_Export!B1864,IF(MID(TRIM(Raw_Export!B1864),5,1)="-",DATE(LEFT(TRIM(Raw_Export!B1864),4),MID(TRIM(Raw_Export!B1864),6,2),RIGHT(TRIM(Raw_Export!B1864),2)),DATE(RIGHT(TRIM(Raw_Export!B1864),4),MATCH(MID(TRIM(Raw_Export!B1864),4,3),{"Jan","Feb","Mar","Apr","May","Jun","Jul","Aug","Sep","Oct","Nov","Dec"},0),LEFT(TRIM(Raw_Export!B1864),2)))))</f>
        <v>46277</v>
      </c>
      <c r="C1864" s="36" t="str">
        <f aca="false">IF(Raw_Export!$A1864="","",IFERROR(VLOOKUP(LOWER(TRIM(Raw_Export!C1864)),Maps!$A$2:$B$20,2,FALSE()),"UNMAPPED"))</f>
        <v>Nairobi CBD</v>
      </c>
      <c r="D1864" s="36" t="str">
        <f aca="false">IF(Raw_Export!$A1864="","",IFERROR(VLOOKUP(LOWER(TRIM(Raw_Export!D1864)),Maps!$G$2:$I$80,2,FALSE()),"UNMAPPED"))</f>
        <v>Matches 10pk</v>
      </c>
      <c r="E1864" s="36" t="str">
        <f aca="false">IF(Raw_Export!$A1864="","",IFERROR(VLOOKUP(LOWER(TRIM(Raw_Export!D1864)),Maps!$G$2:$I$80,3,FALSE()),"UNMAPPED"))</f>
        <v>Household</v>
      </c>
      <c r="F1864" s="36" t="n">
        <f aca="false">IF(Raw_Export!$A1864="","",IFERROR(VALUE(TRIM(Raw_Export!E1864)),0))</f>
        <v>6</v>
      </c>
      <c r="G1864" s="38" t="n">
        <f aca="false">IF(Raw_Export!$A1864="","",IFERROR(VALUE(SUBSTITUTE(SUBSTITUTE(UPPER(TRIM(Raw_Export!F1864)),"KES",""),",","")),0))</f>
        <v>50</v>
      </c>
      <c r="H1864" s="38" t="n">
        <f aca="false">IF(Raw_Export!$A1864="","",F1864*G1864)</f>
        <v>300</v>
      </c>
      <c r="I1864" s="36" t="str">
        <f aca="false">IF(Raw_Export!$A1864="","",IFERROR(VLOOKUP(LOWER(TRIM(Raw_Export!H1864)),Maps!$D$2:$E$12,2,FALSE()),"Other"))</f>
        <v>Cash</v>
      </c>
      <c r="J1864" s="36" t="str">
        <f aca="false">IF(Raw_Export!$A1864="","",IF(COUNTIF($A$2:A1864,A1864)&gt;1,"Duplicate",""))</f>
        <v/>
      </c>
      <c r="K1864" s="36" t="str">
        <f aca="false">IF(Raw_Export!$A1864="","",IF(J1864="Duplicate","Duplicate",IF(OR(C1864="UNMAPPED",D1864="UNMAPPED"),"Unmapped",IF(F1864=0,"Blank qty",IF(F1864&lt;0,"Return","OK")))))</f>
        <v>OK</v>
      </c>
      <c r="L1864" s="36" t="n">
        <f aca="false">IF(Raw_Export!$A1864="","",IF(OR(K1864="OK",K1864="Return"),1,0))</f>
        <v>1</v>
      </c>
      <c r="M1864" s="37" t="n">
        <f aca="false">IF(Raw_Export!$A1864="","",B1864-WEEKDAY(B1864,2)+1)</f>
        <v>46272</v>
      </c>
    </row>
    <row r="1865" customFormat="false" ht="15" hidden="false" customHeight="false" outlineLevel="0" collapsed="false">
      <c r="A1865" s="36" t="str">
        <f aca="false">IF(Raw_Export!$A1865="","",TRIM(Raw_Export!A1865))</f>
        <v>TXN-101826</v>
      </c>
      <c r="B1865" s="37" t="n">
        <f aca="false">IF(Raw_Export!$A1865="","",IF(ISNUMBER(Raw_Export!B1865),Raw_Export!B1865,IF(MID(TRIM(Raw_Export!B1865),5,1)="-",DATE(LEFT(TRIM(Raw_Export!B1865),4),MID(TRIM(Raw_Export!B1865),6,2),RIGHT(TRIM(Raw_Export!B1865),2)),DATE(RIGHT(TRIM(Raw_Export!B1865),4),MATCH(MID(TRIM(Raw_Export!B1865),4,3),{"Jan","Feb","Mar","Apr","May","Jun","Jul","Aug","Sep","Oct","Nov","Dec"},0),LEFT(TRIM(Raw_Export!B1865),2)))))</f>
        <v>46277</v>
      </c>
      <c r="C1865" s="36" t="str">
        <f aca="false">IF(Raw_Export!$A1865="","",IFERROR(VLOOKUP(LOWER(TRIM(Raw_Export!C1865)),Maps!$A$2:$B$20,2,FALSE()),"UNMAPPED"))</f>
        <v>Nairobi CBD</v>
      </c>
      <c r="D1865" s="36" t="str">
        <f aca="false">IF(Raw_Export!$A1865="","",IFERROR(VLOOKUP(LOWER(TRIM(Raw_Export!D1865)),Maps!$G$2:$I$80,2,FALSE()),"UNMAPPED"))</f>
        <v>Chocolate Bar 90g</v>
      </c>
      <c r="E1865" s="36" t="str">
        <f aca="false">IF(Raw_Export!$A1865="","",IFERROR(VLOOKUP(LOWER(TRIM(Raw_Export!D1865)),Maps!$G$2:$I$80,3,FALSE()),"UNMAPPED"))</f>
        <v>Snacks</v>
      </c>
      <c r="F1865" s="36" t="n">
        <f aca="false">IF(Raw_Export!$A1865="","",IFERROR(VALUE(TRIM(Raw_Export!E1865)),0))</f>
        <v>1</v>
      </c>
      <c r="G1865" s="38" t="n">
        <f aca="false">IF(Raw_Export!$A1865="","",IFERROR(VALUE(SUBSTITUTE(SUBSTITUTE(UPPER(TRIM(Raw_Export!F1865)),"KES",""),",","")),0))</f>
        <v>140</v>
      </c>
      <c r="H1865" s="38" t="n">
        <f aca="false">IF(Raw_Export!$A1865="","",F1865*G1865)</f>
        <v>140</v>
      </c>
      <c r="I1865" s="36" t="str">
        <f aca="false">IF(Raw_Export!$A1865="","",IFERROR(VLOOKUP(LOWER(TRIM(Raw_Export!H1865)),Maps!$D$2:$E$12,2,FALSE()),"Other"))</f>
        <v>Card</v>
      </c>
      <c r="J1865" s="36" t="str">
        <f aca="false">IF(Raw_Export!$A1865="","",IF(COUNTIF($A$2:A1865,A1865)&gt;1,"Duplicate",""))</f>
        <v/>
      </c>
      <c r="K1865" s="36" t="str">
        <f aca="false">IF(Raw_Export!$A1865="","",IF(J1865="Duplicate","Duplicate",IF(OR(C1865="UNMAPPED",D1865="UNMAPPED"),"Unmapped",IF(F1865=0,"Blank qty",IF(F1865&lt;0,"Return","OK")))))</f>
        <v>OK</v>
      </c>
      <c r="L1865" s="36" t="n">
        <f aca="false">IF(Raw_Export!$A1865="","",IF(OR(K1865="OK",K1865="Return"),1,0))</f>
        <v>1</v>
      </c>
      <c r="M1865" s="37" t="n">
        <f aca="false">IF(Raw_Export!$A1865="","",B1865-WEEKDAY(B1865,2)+1)</f>
        <v>46272</v>
      </c>
    </row>
    <row r="1866" customFormat="false" ht="15" hidden="false" customHeight="false" outlineLevel="0" collapsed="false">
      <c r="A1866" s="36" t="str">
        <f aca="false">IF(Raw_Export!$A1866="","",TRIM(Raw_Export!A1866))</f>
        <v>TXN-101827</v>
      </c>
      <c r="B1866" s="37" t="n">
        <f aca="false">IF(Raw_Export!$A1866="","",IF(ISNUMBER(Raw_Export!B1866),Raw_Export!B1866,IF(MID(TRIM(Raw_Export!B1866),5,1)="-",DATE(LEFT(TRIM(Raw_Export!B1866),4),MID(TRIM(Raw_Export!B1866),6,2),RIGHT(TRIM(Raw_Export!B1866),2)),DATE(RIGHT(TRIM(Raw_Export!B1866),4),MATCH(MID(TRIM(Raw_Export!B1866),4,3),{"Jan","Feb","Mar","Apr","May","Jun","Jul","Aug","Sep","Oct","Nov","Dec"},0),LEFT(TRIM(Raw_Export!B1866),2)))))</f>
        <v>46277</v>
      </c>
      <c r="C1866" s="36" t="str">
        <f aca="false">IF(Raw_Export!$A1866="","",IFERROR(VLOOKUP(LOWER(TRIM(Raw_Export!C1866)),Maps!$A$2:$B$20,2,FALSE()),"UNMAPPED"))</f>
        <v>Nairobi CBD</v>
      </c>
      <c r="D1866" s="36" t="str">
        <f aca="false">IF(Raw_Export!$A1866="","",IFERROR(VLOOKUP(LOWER(TRIM(Raw_Export!D1866)),Maps!$G$2:$I$80,2,FALSE()),"UNMAPPED"))</f>
        <v>Bottled Water 1.5L</v>
      </c>
      <c r="E1866" s="36" t="str">
        <f aca="false">IF(Raw_Export!$A1866="","",IFERROR(VLOOKUP(LOWER(TRIM(Raw_Export!D1866)),Maps!$G$2:$I$80,3,FALSE()),"UNMAPPED"))</f>
        <v>Beverages</v>
      </c>
      <c r="F1866" s="36" t="n">
        <f aca="false">IF(Raw_Export!$A1866="","",IFERROR(VALUE(TRIM(Raw_Export!E1866)),0))</f>
        <v>1</v>
      </c>
      <c r="G1866" s="38" t="n">
        <f aca="false">IF(Raw_Export!$A1866="","",IFERROR(VALUE(SUBSTITUTE(SUBSTITUTE(UPPER(TRIM(Raw_Export!F1866)),"KES",""),",","")),0))</f>
        <v>90</v>
      </c>
      <c r="H1866" s="38" t="n">
        <f aca="false">IF(Raw_Export!$A1866="","",F1866*G1866)</f>
        <v>90</v>
      </c>
      <c r="I1866" s="36" t="str">
        <f aca="false">IF(Raw_Export!$A1866="","",IFERROR(VLOOKUP(LOWER(TRIM(Raw_Export!H1866)),Maps!$D$2:$E$12,2,FALSE()),"Other"))</f>
        <v>M-Pesa</v>
      </c>
      <c r="J1866" s="36" t="str">
        <f aca="false">IF(Raw_Export!$A1866="","",IF(COUNTIF($A$2:A1866,A1866)&gt;1,"Duplicate",""))</f>
        <v/>
      </c>
      <c r="K1866" s="36" t="str">
        <f aca="false">IF(Raw_Export!$A1866="","",IF(J1866="Duplicate","Duplicate",IF(OR(C1866="UNMAPPED",D1866="UNMAPPED"),"Unmapped",IF(F1866=0,"Blank qty",IF(F1866&lt;0,"Return","OK")))))</f>
        <v>OK</v>
      </c>
      <c r="L1866" s="36" t="n">
        <f aca="false">IF(Raw_Export!$A1866="","",IF(OR(K1866="OK",K1866="Return"),1,0))</f>
        <v>1</v>
      </c>
      <c r="M1866" s="37" t="n">
        <f aca="false">IF(Raw_Export!$A1866="","",B1866-WEEKDAY(B1866,2)+1)</f>
        <v>46272</v>
      </c>
    </row>
    <row r="1867" customFormat="false" ht="15" hidden="false" customHeight="false" outlineLevel="0" collapsed="false">
      <c r="A1867" s="36" t="str">
        <f aca="false">IF(Raw_Export!$A1867="","",TRIM(Raw_Export!A1867))</f>
        <v>TXN-101828</v>
      </c>
      <c r="B1867" s="37" t="n">
        <f aca="false">IF(Raw_Export!$A1867="","",IF(ISNUMBER(Raw_Export!B1867),Raw_Export!B1867,IF(MID(TRIM(Raw_Export!B1867),5,1)="-",DATE(LEFT(TRIM(Raw_Export!B1867),4),MID(TRIM(Raw_Export!B1867),6,2),RIGHT(TRIM(Raw_Export!B1867),2)),DATE(RIGHT(TRIM(Raw_Export!B1867),4),MATCH(MID(TRIM(Raw_Export!B1867),4,3),{"Jan","Feb","Mar","Apr","May","Jun","Jul","Aug","Sep","Oct","Nov","Dec"},0),LEFT(TRIM(Raw_Export!B1867),2)))))</f>
        <v>46277</v>
      </c>
      <c r="C1867" s="36" t="str">
        <f aca="false">IF(Raw_Export!$A1867="","",IFERROR(VLOOKUP(LOWER(TRIM(Raw_Export!C1867)),Maps!$A$2:$B$20,2,FALSE()),"UNMAPPED"))</f>
        <v>Nairobi CBD</v>
      </c>
      <c r="D1867" s="36" t="str">
        <f aca="false">IF(Raw_Export!$A1867="","",IFERROR(VLOOKUP(LOWER(TRIM(Raw_Export!D1867)),Maps!$G$2:$I$80,2,FALSE()),"UNMAPPED"))</f>
        <v>Juice 1L</v>
      </c>
      <c r="E1867" s="36" t="str">
        <f aca="false">IF(Raw_Export!$A1867="","",IFERROR(VLOOKUP(LOWER(TRIM(Raw_Export!D1867)),Maps!$G$2:$I$80,3,FALSE()),"UNMAPPED"))</f>
        <v>Beverages</v>
      </c>
      <c r="F1867" s="36" t="n">
        <f aca="false">IF(Raw_Export!$A1867="","",IFERROR(VALUE(TRIM(Raw_Export!E1867)),0))</f>
        <v>1</v>
      </c>
      <c r="G1867" s="38" t="n">
        <f aca="false">IF(Raw_Export!$A1867="","",IFERROR(VALUE(SUBSTITUTE(SUBSTITUTE(UPPER(TRIM(Raw_Export!F1867)),"KES",""),",","")),0))</f>
        <v>189</v>
      </c>
      <c r="H1867" s="38" t="n">
        <f aca="false">IF(Raw_Export!$A1867="","",F1867*G1867)</f>
        <v>189</v>
      </c>
      <c r="I1867" s="36" t="str">
        <f aca="false">IF(Raw_Export!$A1867="","",IFERROR(VLOOKUP(LOWER(TRIM(Raw_Export!H1867)),Maps!$D$2:$E$12,2,FALSE()),"Other"))</f>
        <v>Cash</v>
      </c>
      <c r="J1867" s="36" t="str">
        <f aca="false">IF(Raw_Export!$A1867="","",IF(COUNTIF($A$2:A1867,A1867)&gt;1,"Duplicate",""))</f>
        <v/>
      </c>
      <c r="K1867" s="36" t="str">
        <f aca="false">IF(Raw_Export!$A1867="","",IF(J1867="Duplicate","Duplicate",IF(OR(C1867="UNMAPPED",D1867="UNMAPPED"),"Unmapped",IF(F1867=0,"Blank qty",IF(F1867&lt;0,"Return","OK")))))</f>
        <v>OK</v>
      </c>
      <c r="L1867" s="36" t="n">
        <f aca="false">IF(Raw_Export!$A1867="","",IF(OR(K1867="OK",K1867="Return"),1,0))</f>
        <v>1</v>
      </c>
      <c r="M1867" s="37" t="n">
        <f aca="false">IF(Raw_Export!$A1867="","",B1867-WEEKDAY(B1867,2)+1)</f>
        <v>46272</v>
      </c>
    </row>
    <row r="1868" customFormat="false" ht="15" hidden="false" customHeight="false" outlineLevel="0" collapsed="false">
      <c r="A1868" s="36" t="str">
        <f aca="false">IF(Raw_Export!$A1868="","",TRIM(Raw_Export!A1868))</f>
        <v>TXN-101829</v>
      </c>
      <c r="B1868" s="37" t="n">
        <f aca="false">IF(Raw_Export!$A1868="","",IF(ISNUMBER(Raw_Export!B1868),Raw_Export!B1868,IF(MID(TRIM(Raw_Export!B1868),5,1)="-",DATE(LEFT(TRIM(Raw_Export!B1868),4),MID(TRIM(Raw_Export!B1868),6,2),RIGHT(TRIM(Raw_Export!B1868),2)),DATE(RIGHT(TRIM(Raw_Export!B1868),4),MATCH(MID(TRIM(Raw_Export!B1868),4,3),{"Jan","Feb","Mar","Apr","May","Jun","Jul","Aug","Sep","Oct","Nov","Dec"},0),LEFT(TRIM(Raw_Export!B1868),2)))))</f>
        <v>46277</v>
      </c>
      <c r="C1868" s="36" t="str">
        <f aca="false">IF(Raw_Export!$A1868="","",IFERROR(VLOOKUP(LOWER(TRIM(Raw_Export!C1868)),Maps!$A$2:$B$20,2,FALSE()),"UNMAPPED"))</f>
        <v>Westlands</v>
      </c>
      <c r="D1868" s="36" t="str">
        <f aca="false">IF(Raw_Export!$A1868="","",IFERROR(VLOOKUP(LOWER(TRIM(Raw_Export!D1868)),Maps!$G$2:$I$80,2,FALSE()),"UNMAPPED"))</f>
        <v>Salt 500g</v>
      </c>
      <c r="E1868" s="36" t="str">
        <f aca="false">IF(Raw_Export!$A1868="","",IFERROR(VLOOKUP(LOWER(TRIM(Raw_Export!D1868)),Maps!$G$2:$I$80,3,FALSE()),"UNMAPPED"))</f>
        <v>Staples</v>
      </c>
      <c r="F1868" s="36" t="n">
        <f aca="false">IF(Raw_Export!$A1868="","",IFERROR(VALUE(TRIM(Raw_Export!E1868)),0))</f>
        <v>6</v>
      </c>
      <c r="G1868" s="38" t="n">
        <f aca="false">IF(Raw_Export!$A1868="","",IFERROR(VALUE(SUBSTITUTE(SUBSTITUTE(UPPER(TRIM(Raw_Export!F1868)),"KES",""),",","")),0))</f>
        <v>40</v>
      </c>
      <c r="H1868" s="38" t="n">
        <f aca="false">IF(Raw_Export!$A1868="","",F1868*G1868)</f>
        <v>240</v>
      </c>
      <c r="I1868" s="36" t="str">
        <f aca="false">IF(Raw_Export!$A1868="","",IFERROR(VLOOKUP(LOWER(TRIM(Raw_Export!H1868)),Maps!$D$2:$E$12,2,FALSE()),"Other"))</f>
        <v>Card</v>
      </c>
      <c r="J1868" s="36" t="str">
        <f aca="false">IF(Raw_Export!$A1868="","",IF(COUNTIF($A$2:A1868,A1868)&gt;1,"Duplicate",""))</f>
        <v/>
      </c>
      <c r="K1868" s="36" t="str">
        <f aca="false">IF(Raw_Export!$A1868="","",IF(J1868="Duplicate","Duplicate",IF(OR(C1868="UNMAPPED",D1868="UNMAPPED"),"Unmapped",IF(F1868=0,"Blank qty",IF(F1868&lt;0,"Return","OK")))))</f>
        <v>OK</v>
      </c>
      <c r="L1868" s="36" t="n">
        <f aca="false">IF(Raw_Export!$A1868="","",IF(OR(K1868="OK",K1868="Return"),1,0))</f>
        <v>1</v>
      </c>
      <c r="M1868" s="37" t="n">
        <f aca="false">IF(Raw_Export!$A1868="","",B1868-WEEKDAY(B1868,2)+1)</f>
        <v>46272</v>
      </c>
    </row>
    <row r="1869" customFormat="false" ht="15" hidden="false" customHeight="false" outlineLevel="0" collapsed="false">
      <c r="A1869" s="36" t="str">
        <f aca="false">IF(Raw_Export!$A1869="","",TRIM(Raw_Export!A1869))</f>
        <v>TXN-101830</v>
      </c>
      <c r="B1869" s="37" t="n">
        <f aca="false">IF(Raw_Export!$A1869="","",IF(ISNUMBER(Raw_Export!B1869),Raw_Export!B1869,IF(MID(TRIM(Raw_Export!B1869),5,1)="-",DATE(LEFT(TRIM(Raw_Export!B1869),4),MID(TRIM(Raw_Export!B1869),6,2),RIGHT(TRIM(Raw_Export!B1869),2)),DATE(RIGHT(TRIM(Raw_Export!B1869),4),MATCH(MID(TRIM(Raw_Export!B1869),4,3),{"Jan","Feb","Mar","Apr","May","Jun","Jul","Aug","Sep","Oct","Nov","Dec"},0),LEFT(TRIM(Raw_Export!B1869),2)))))</f>
        <v>46277</v>
      </c>
      <c r="C1869" s="36" t="str">
        <f aca="false">IF(Raw_Export!$A1869="","",IFERROR(VLOOKUP(LOWER(TRIM(Raw_Export!C1869)),Maps!$A$2:$B$20,2,FALSE()),"UNMAPPED"))</f>
        <v>Westlands</v>
      </c>
      <c r="D1869" s="36" t="str">
        <f aca="false">IF(Raw_Export!$A1869="","",IFERROR(VLOOKUP(LOWER(TRIM(Raw_Export!D1869)),Maps!$G$2:$I$80,2,FALSE()),"UNMAPPED"))</f>
        <v>Cooking Oil 1L</v>
      </c>
      <c r="E1869" s="36" t="str">
        <f aca="false">IF(Raw_Export!$A1869="","",IFERROR(VLOOKUP(LOWER(TRIM(Raw_Export!D1869)),Maps!$G$2:$I$80,3,FALSE()),"UNMAPPED"))</f>
        <v>Staples</v>
      </c>
      <c r="F1869" s="36" t="n">
        <f aca="false">IF(Raw_Export!$A1869="","",IFERROR(VALUE(TRIM(Raw_Export!E1869)),0))</f>
        <v>3</v>
      </c>
      <c r="G1869" s="38" t="n">
        <f aca="false">IF(Raw_Export!$A1869="","",IFERROR(VALUE(SUBSTITUTE(SUBSTITUTE(UPPER(TRIM(Raw_Export!F1869)),"KES",""),",","")),0))</f>
        <v>297</v>
      </c>
      <c r="H1869" s="38" t="n">
        <f aca="false">IF(Raw_Export!$A1869="","",F1869*G1869)</f>
        <v>891</v>
      </c>
      <c r="I1869" s="36" t="str">
        <f aca="false">IF(Raw_Export!$A1869="","",IFERROR(VLOOKUP(LOWER(TRIM(Raw_Export!H1869)),Maps!$D$2:$E$12,2,FALSE()),"Other"))</f>
        <v>M-Pesa</v>
      </c>
      <c r="J1869" s="36" t="str">
        <f aca="false">IF(Raw_Export!$A1869="","",IF(COUNTIF($A$2:A1869,A1869)&gt;1,"Duplicate",""))</f>
        <v/>
      </c>
      <c r="K1869" s="36" t="str">
        <f aca="false">IF(Raw_Export!$A1869="","",IF(J1869="Duplicate","Duplicate",IF(OR(C1869="UNMAPPED",D1869="UNMAPPED"),"Unmapped",IF(F1869=0,"Blank qty",IF(F1869&lt;0,"Return","OK")))))</f>
        <v>OK</v>
      </c>
      <c r="L1869" s="36" t="n">
        <f aca="false">IF(Raw_Export!$A1869="","",IF(OR(K1869="OK",K1869="Return"),1,0))</f>
        <v>1</v>
      </c>
      <c r="M1869" s="37" t="n">
        <f aca="false">IF(Raw_Export!$A1869="","",B1869-WEEKDAY(B1869,2)+1)</f>
        <v>46272</v>
      </c>
    </row>
    <row r="1870" customFormat="false" ht="15" hidden="false" customHeight="false" outlineLevel="0" collapsed="false">
      <c r="A1870" s="36" t="str">
        <f aca="false">IF(Raw_Export!$A1870="","",TRIM(Raw_Export!A1870))</f>
        <v>TXN-101831</v>
      </c>
      <c r="B1870" s="37" t="n">
        <f aca="false">IF(Raw_Export!$A1870="","",IF(ISNUMBER(Raw_Export!B1870),Raw_Export!B1870,IF(MID(TRIM(Raw_Export!B1870),5,1)="-",DATE(LEFT(TRIM(Raw_Export!B1870),4),MID(TRIM(Raw_Export!B1870),6,2),RIGHT(TRIM(Raw_Export!B1870),2)),DATE(RIGHT(TRIM(Raw_Export!B1870),4),MATCH(MID(TRIM(Raw_Export!B1870),4,3),{"Jan","Feb","Mar","Apr","May","Jun","Jul","Aug","Sep","Oct","Nov","Dec"},0),LEFT(TRIM(Raw_Export!B1870),2)))))</f>
        <v>46277</v>
      </c>
      <c r="C1870" s="36" t="str">
        <f aca="false">IF(Raw_Export!$A1870="","",IFERROR(VLOOKUP(LOWER(TRIM(Raw_Export!C1870)),Maps!$A$2:$B$20,2,FALSE()),"UNMAPPED"))</f>
        <v>Westlands</v>
      </c>
      <c r="D1870" s="36" t="str">
        <f aca="false">IF(Raw_Export!$A1870="","",IFERROR(VLOOKUP(LOWER(TRIM(Raw_Export!D1870)),Maps!$G$2:$I$80,2,FALSE()),"UNMAPPED"))</f>
        <v>Soda 500ml</v>
      </c>
      <c r="E1870" s="36" t="str">
        <f aca="false">IF(Raw_Export!$A1870="","",IFERROR(VLOOKUP(LOWER(TRIM(Raw_Export!D1870)),Maps!$G$2:$I$80,3,FALSE()),"UNMAPPED"))</f>
        <v>Beverages</v>
      </c>
      <c r="F1870" s="36" t="n">
        <f aca="false">IF(Raw_Export!$A1870="","",IFERROR(VALUE(TRIM(Raw_Export!E1870)),0))</f>
        <v>1</v>
      </c>
      <c r="G1870" s="38" t="n">
        <f aca="false">IF(Raw_Export!$A1870="","",IFERROR(VALUE(SUBSTITUTE(SUBSTITUTE(UPPER(TRIM(Raw_Export!F1870)),"KES",""),",","")),0))</f>
        <v>60</v>
      </c>
      <c r="H1870" s="38" t="n">
        <f aca="false">IF(Raw_Export!$A1870="","",F1870*G1870)</f>
        <v>60</v>
      </c>
      <c r="I1870" s="36" t="str">
        <f aca="false">IF(Raw_Export!$A1870="","",IFERROR(VLOOKUP(LOWER(TRIM(Raw_Export!H1870)),Maps!$D$2:$E$12,2,FALSE()),"Other"))</f>
        <v>Cash</v>
      </c>
      <c r="J1870" s="36" t="str">
        <f aca="false">IF(Raw_Export!$A1870="","",IF(COUNTIF($A$2:A1870,A1870)&gt;1,"Duplicate",""))</f>
        <v/>
      </c>
      <c r="K1870" s="36" t="str">
        <f aca="false">IF(Raw_Export!$A1870="","",IF(J1870="Duplicate","Duplicate",IF(OR(C1870="UNMAPPED",D1870="UNMAPPED"),"Unmapped",IF(F1870=0,"Blank qty",IF(F1870&lt;0,"Return","OK")))))</f>
        <v>OK</v>
      </c>
      <c r="L1870" s="36" t="n">
        <f aca="false">IF(Raw_Export!$A1870="","",IF(OR(K1870="OK",K1870="Return"),1,0))</f>
        <v>1</v>
      </c>
      <c r="M1870" s="37" t="n">
        <f aca="false">IF(Raw_Export!$A1870="","",B1870-WEEKDAY(B1870,2)+1)</f>
        <v>46272</v>
      </c>
    </row>
    <row r="1871" customFormat="false" ht="15" hidden="false" customHeight="false" outlineLevel="0" collapsed="false">
      <c r="A1871" s="36" t="str">
        <f aca="false">IF(Raw_Export!$A1871="","",TRIM(Raw_Export!A1871))</f>
        <v>TXN-101832</v>
      </c>
      <c r="B1871" s="37" t="n">
        <f aca="false">IF(Raw_Export!$A1871="","",IF(ISNUMBER(Raw_Export!B1871),Raw_Export!B1871,IF(MID(TRIM(Raw_Export!B1871),5,1)="-",DATE(LEFT(TRIM(Raw_Export!B1871),4),MID(TRIM(Raw_Export!B1871),6,2),RIGHT(TRIM(Raw_Export!B1871),2)),DATE(RIGHT(TRIM(Raw_Export!B1871),4),MATCH(MID(TRIM(Raw_Export!B1871),4,3),{"Jan","Feb","Mar","Apr","May","Jun","Jul","Aug","Sep","Oct","Nov","Dec"},0),LEFT(TRIM(Raw_Export!B1871),2)))))</f>
        <v>46277</v>
      </c>
      <c r="C1871" s="36" t="str">
        <f aca="false">IF(Raw_Export!$A1871="","",IFERROR(VLOOKUP(LOWER(TRIM(Raw_Export!C1871)),Maps!$A$2:$B$20,2,FALSE()),"UNMAPPED"))</f>
        <v>Westlands</v>
      </c>
      <c r="D1871" s="36" t="str">
        <f aca="false">IF(Raw_Export!$A1871="","",IFERROR(VLOOKUP(LOWER(TRIM(Raw_Export!D1871)),Maps!$G$2:$I$80,2,FALSE()),"UNMAPPED"))</f>
        <v>Juice 1L</v>
      </c>
      <c r="E1871" s="36" t="str">
        <f aca="false">IF(Raw_Export!$A1871="","",IFERROR(VLOOKUP(LOWER(TRIM(Raw_Export!D1871)),Maps!$G$2:$I$80,3,FALSE()),"UNMAPPED"))</f>
        <v>Beverages</v>
      </c>
      <c r="F1871" s="36" t="n">
        <f aca="false">IF(Raw_Export!$A1871="","",IFERROR(VALUE(TRIM(Raw_Export!E1871)),0))</f>
        <v>1</v>
      </c>
      <c r="G1871" s="38" t="n">
        <f aca="false">IF(Raw_Export!$A1871="","",IFERROR(VALUE(SUBSTITUTE(SUBSTITUTE(UPPER(TRIM(Raw_Export!F1871)),"KES",""),",","")),0))</f>
        <v>210</v>
      </c>
      <c r="H1871" s="38" t="n">
        <f aca="false">IF(Raw_Export!$A1871="","",F1871*G1871)</f>
        <v>210</v>
      </c>
      <c r="I1871" s="36" t="str">
        <f aca="false">IF(Raw_Export!$A1871="","",IFERROR(VLOOKUP(LOWER(TRIM(Raw_Export!H1871)),Maps!$D$2:$E$12,2,FALSE()),"Other"))</f>
        <v>Cash</v>
      </c>
      <c r="J1871" s="36" t="str">
        <f aca="false">IF(Raw_Export!$A1871="","",IF(COUNTIF($A$2:A1871,A1871)&gt;1,"Duplicate",""))</f>
        <v/>
      </c>
      <c r="K1871" s="36" t="str">
        <f aca="false">IF(Raw_Export!$A1871="","",IF(J1871="Duplicate","Duplicate",IF(OR(C1871="UNMAPPED",D1871="UNMAPPED"),"Unmapped",IF(F1871=0,"Blank qty",IF(F1871&lt;0,"Return","OK")))))</f>
        <v>OK</v>
      </c>
      <c r="L1871" s="36" t="n">
        <f aca="false">IF(Raw_Export!$A1871="","",IF(OR(K1871="OK",K1871="Return"),1,0))</f>
        <v>1</v>
      </c>
      <c r="M1871" s="37" t="n">
        <f aca="false">IF(Raw_Export!$A1871="","",B1871-WEEKDAY(B1871,2)+1)</f>
        <v>46272</v>
      </c>
    </row>
    <row r="1872" customFormat="false" ht="15" hidden="false" customHeight="false" outlineLevel="0" collapsed="false">
      <c r="A1872" s="36" t="str">
        <f aca="false">IF(Raw_Export!$A1872="","",TRIM(Raw_Export!A1872))</f>
        <v>TXN-101833</v>
      </c>
      <c r="B1872" s="37" t="n">
        <f aca="false">IF(Raw_Export!$A1872="","",IF(ISNUMBER(Raw_Export!B1872),Raw_Export!B1872,IF(MID(TRIM(Raw_Export!B1872),5,1)="-",DATE(LEFT(TRIM(Raw_Export!B1872),4),MID(TRIM(Raw_Export!B1872),6,2),RIGHT(TRIM(Raw_Export!B1872),2)),DATE(RIGHT(TRIM(Raw_Export!B1872),4),MATCH(MID(TRIM(Raw_Export!B1872),4,3),{"Jan","Feb","Mar","Apr","May","Jun","Jul","Aug","Sep","Oct","Nov","Dec"},0),LEFT(TRIM(Raw_Export!B1872),2)))))</f>
        <v>46277</v>
      </c>
      <c r="C1872" s="36" t="str">
        <f aca="false">IF(Raw_Export!$A1872="","",IFERROR(VLOOKUP(LOWER(TRIM(Raw_Export!C1872)),Maps!$A$2:$B$20,2,FALSE()),"UNMAPPED"))</f>
        <v>Westlands</v>
      </c>
      <c r="D1872" s="36" t="str">
        <f aca="false">IF(Raw_Export!$A1872="","",IFERROR(VLOOKUP(LOWER(TRIM(Raw_Export!D1872)),Maps!$G$2:$I$80,2,FALSE()),"UNMAPPED"))</f>
        <v>Deodorant 150ml</v>
      </c>
      <c r="E1872" s="36" t="str">
        <f aca="false">IF(Raw_Export!$A1872="","",IFERROR(VLOOKUP(LOWER(TRIM(Raw_Export!D1872)),Maps!$G$2:$I$80,3,FALSE()),"UNMAPPED"))</f>
        <v>Personal Care</v>
      </c>
      <c r="F1872" s="36" t="n">
        <f aca="false">IF(Raw_Export!$A1872="","",IFERROR(VALUE(TRIM(Raw_Export!E1872)),0))</f>
        <v>2</v>
      </c>
      <c r="G1872" s="38" t="n">
        <f aca="false">IF(Raw_Export!$A1872="","",IFERROR(VALUE(SUBSTITUTE(SUBSTITUTE(UPPER(TRIM(Raw_Export!F1872)),"KES",""),",","")),0))</f>
        <v>350</v>
      </c>
      <c r="H1872" s="38" t="n">
        <f aca="false">IF(Raw_Export!$A1872="","",F1872*G1872)</f>
        <v>700</v>
      </c>
      <c r="I1872" s="36" t="str">
        <f aca="false">IF(Raw_Export!$A1872="","",IFERROR(VLOOKUP(LOWER(TRIM(Raw_Export!H1872)),Maps!$D$2:$E$12,2,FALSE()),"Other"))</f>
        <v>M-Pesa</v>
      </c>
      <c r="J1872" s="36" t="str">
        <f aca="false">IF(Raw_Export!$A1872="","",IF(COUNTIF($A$2:A1872,A1872)&gt;1,"Duplicate",""))</f>
        <v/>
      </c>
      <c r="K1872" s="36" t="str">
        <f aca="false">IF(Raw_Export!$A1872="","",IF(J1872="Duplicate","Duplicate",IF(OR(C1872="UNMAPPED",D1872="UNMAPPED"),"Unmapped",IF(F1872=0,"Blank qty",IF(F1872&lt;0,"Return","OK")))))</f>
        <v>OK</v>
      </c>
      <c r="L1872" s="36" t="n">
        <f aca="false">IF(Raw_Export!$A1872="","",IF(OR(K1872="OK",K1872="Return"),1,0))</f>
        <v>1</v>
      </c>
      <c r="M1872" s="37" t="n">
        <f aca="false">IF(Raw_Export!$A1872="","",B1872-WEEKDAY(B1872,2)+1)</f>
        <v>46272</v>
      </c>
    </row>
    <row r="1873" customFormat="false" ht="15" hidden="false" customHeight="false" outlineLevel="0" collapsed="false">
      <c r="A1873" s="36" t="str">
        <f aca="false">IF(Raw_Export!$A1873="","",TRIM(Raw_Export!A1873))</f>
        <v>TXN-101834</v>
      </c>
      <c r="B1873" s="37" t="n">
        <f aca="false">IF(Raw_Export!$A1873="","",IF(ISNUMBER(Raw_Export!B1873),Raw_Export!B1873,IF(MID(TRIM(Raw_Export!B1873),5,1)="-",DATE(LEFT(TRIM(Raw_Export!B1873),4),MID(TRIM(Raw_Export!B1873),6,2),RIGHT(TRIM(Raw_Export!B1873),2)),DATE(RIGHT(TRIM(Raw_Export!B1873),4),MATCH(MID(TRIM(Raw_Export!B1873),4,3),{"Jan","Feb","Mar","Apr","May","Jun","Jul","Aug","Sep","Oct","Nov","Dec"},0),LEFT(TRIM(Raw_Export!B1873),2)))))</f>
        <v>46277</v>
      </c>
      <c r="C1873" s="36" t="str">
        <f aca="false">IF(Raw_Export!$A1873="","",IFERROR(VLOOKUP(LOWER(TRIM(Raw_Export!C1873)),Maps!$A$2:$B$20,2,FALSE()),"UNMAPPED"))</f>
        <v>Westlands</v>
      </c>
      <c r="D1873" s="36" t="str">
        <f aca="false">IF(Raw_Export!$A1873="","",IFERROR(VLOOKUP(LOWER(TRIM(Raw_Export!D1873)),Maps!$G$2:$I$80,2,FALSE()),"UNMAPPED"))</f>
        <v>Soda 500ml</v>
      </c>
      <c r="E1873" s="36" t="str">
        <f aca="false">IF(Raw_Export!$A1873="","",IFERROR(VLOOKUP(LOWER(TRIM(Raw_Export!D1873)),Maps!$G$2:$I$80,3,FALSE()),"UNMAPPED"))</f>
        <v>Beverages</v>
      </c>
      <c r="F1873" s="36" t="n">
        <f aca="false">IF(Raw_Export!$A1873="","",IFERROR(VALUE(TRIM(Raw_Export!E1873)),0))</f>
        <v>3</v>
      </c>
      <c r="G1873" s="38" t="n">
        <f aca="false">IF(Raw_Export!$A1873="","",IFERROR(VALUE(SUBSTITUTE(SUBSTITUTE(UPPER(TRIM(Raw_Export!F1873)),"KES",""),",","")),0))</f>
        <v>54</v>
      </c>
      <c r="H1873" s="38" t="n">
        <f aca="false">IF(Raw_Export!$A1873="","",F1873*G1873)</f>
        <v>162</v>
      </c>
      <c r="I1873" s="36" t="str">
        <f aca="false">IF(Raw_Export!$A1873="","",IFERROR(VLOOKUP(LOWER(TRIM(Raw_Export!H1873)),Maps!$D$2:$E$12,2,FALSE()),"Other"))</f>
        <v>Cash</v>
      </c>
      <c r="J1873" s="36" t="str">
        <f aca="false">IF(Raw_Export!$A1873="","",IF(COUNTIF($A$2:A1873,A1873)&gt;1,"Duplicate",""))</f>
        <v/>
      </c>
      <c r="K1873" s="36" t="str">
        <f aca="false">IF(Raw_Export!$A1873="","",IF(J1873="Duplicate","Duplicate",IF(OR(C1873="UNMAPPED",D1873="UNMAPPED"),"Unmapped",IF(F1873=0,"Blank qty",IF(F1873&lt;0,"Return","OK")))))</f>
        <v>OK</v>
      </c>
      <c r="L1873" s="36" t="n">
        <f aca="false">IF(Raw_Export!$A1873="","",IF(OR(K1873="OK",K1873="Return"),1,0))</f>
        <v>1</v>
      </c>
      <c r="M1873" s="37" t="n">
        <f aca="false">IF(Raw_Export!$A1873="","",B1873-WEEKDAY(B1873,2)+1)</f>
        <v>46272</v>
      </c>
    </row>
    <row r="1874" customFormat="false" ht="15" hidden="false" customHeight="false" outlineLevel="0" collapsed="false">
      <c r="A1874" s="36" t="str">
        <f aca="false">IF(Raw_Export!$A1874="","",TRIM(Raw_Export!A1874))</f>
        <v>TXN-101835</v>
      </c>
      <c r="B1874" s="37" t="n">
        <f aca="false">IF(Raw_Export!$A1874="","",IF(ISNUMBER(Raw_Export!B1874),Raw_Export!B1874,IF(MID(TRIM(Raw_Export!B1874),5,1)="-",DATE(LEFT(TRIM(Raw_Export!B1874),4),MID(TRIM(Raw_Export!B1874),6,2),RIGHT(TRIM(Raw_Export!B1874),2)),DATE(RIGHT(TRIM(Raw_Export!B1874),4),MATCH(MID(TRIM(Raw_Export!B1874),4,3),{"Jan","Feb","Mar","Apr","May","Jun","Jul","Aug","Sep","Oct","Nov","Dec"},0),LEFT(TRIM(Raw_Export!B1874),2)))))</f>
        <v>46277</v>
      </c>
      <c r="C1874" s="36" t="str">
        <f aca="false">IF(Raw_Export!$A1874="","",IFERROR(VLOOKUP(LOWER(TRIM(Raw_Export!C1874)),Maps!$A$2:$B$20,2,FALSE()),"UNMAPPED"))</f>
        <v>Westlands</v>
      </c>
      <c r="D1874" s="36" t="str">
        <f aca="false">IF(Raw_Export!$A1874="","",IFERROR(VLOOKUP(LOWER(TRIM(Raw_Export!D1874)),Maps!$G$2:$I$80,2,FALSE()),"UNMAPPED"))</f>
        <v>Dish Soap 750ml</v>
      </c>
      <c r="E1874" s="36" t="str">
        <f aca="false">IF(Raw_Export!$A1874="","",IFERROR(VLOOKUP(LOWER(TRIM(Raw_Export!D1874)),Maps!$G$2:$I$80,3,FALSE()),"UNMAPPED"))</f>
        <v>Household</v>
      </c>
      <c r="F1874" s="36" t="n">
        <f aca="false">IF(Raw_Export!$A1874="","",IFERROR(VALUE(TRIM(Raw_Export!E1874)),0))</f>
        <v>4</v>
      </c>
      <c r="G1874" s="38" t="n">
        <f aca="false">IF(Raw_Export!$A1874="","",IFERROR(VALUE(SUBSTITUTE(SUBSTITUTE(UPPER(TRIM(Raw_Export!F1874)),"KES",""),",","")),0))</f>
        <v>190</v>
      </c>
      <c r="H1874" s="38" t="n">
        <f aca="false">IF(Raw_Export!$A1874="","",F1874*G1874)</f>
        <v>760</v>
      </c>
      <c r="I1874" s="36" t="str">
        <f aca="false">IF(Raw_Export!$A1874="","",IFERROR(VLOOKUP(LOWER(TRIM(Raw_Export!H1874)),Maps!$D$2:$E$12,2,FALSE()),"Other"))</f>
        <v>M-Pesa</v>
      </c>
      <c r="J1874" s="36" t="str">
        <f aca="false">IF(Raw_Export!$A1874="","",IF(COUNTIF($A$2:A1874,A1874)&gt;1,"Duplicate",""))</f>
        <v/>
      </c>
      <c r="K1874" s="36" t="str">
        <f aca="false">IF(Raw_Export!$A1874="","",IF(J1874="Duplicate","Duplicate",IF(OR(C1874="UNMAPPED",D1874="UNMAPPED"),"Unmapped",IF(F1874=0,"Blank qty",IF(F1874&lt;0,"Return","OK")))))</f>
        <v>OK</v>
      </c>
      <c r="L1874" s="36" t="n">
        <f aca="false">IF(Raw_Export!$A1874="","",IF(OR(K1874="OK",K1874="Return"),1,0))</f>
        <v>1</v>
      </c>
      <c r="M1874" s="37" t="n">
        <f aca="false">IF(Raw_Export!$A1874="","",B1874-WEEKDAY(B1874,2)+1)</f>
        <v>46272</v>
      </c>
    </row>
    <row r="1875" customFormat="false" ht="15" hidden="false" customHeight="false" outlineLevel="0" collapsed="false">
      <c r="A1875" s="36" t="str">
        <f aca="false">IF(Raw_Export!$A1875="","",TRIM(Raw_Export!A1875))</f>
        <v>TXN-101836</v>
      </c>
      <c r="B1875" s="37" t="n">
        <f aca="false">IF(Raw_Export!$A1875="","",IF(ISNUMBER(Raw_Export!B1875),Raw_Export!B1875,IF(MID(TRIM(Raw_Export!B1875),5,1)="-",DATE(LEFT(TRIM(Raw_Export!B1875),4),MID(TRIM(Raw_Export!B1875),6,2),RIGHT(TRIM(Raw_Export!B1875),2)),DATE(RIGHT(TRIM(Raw_Export!B1875),4),MATCH(MID(TRIM(Raw_Export!B1875),4,3),{"Jan","Feb","Mar","Apr","May","Jun","Jul","Aug","Sep","Oct","Nov","Dec"},0),LEFT(TRIM(Raw_Export!B1875),2)))))</f>
        <v>46277</v>
      </c>
      <c r="C1875" s="36" t="str">
        <f aca="false">IF(Raw_Export!$A1875="","",IFERROR(VLOOKUP(LOWER(TRIM(Raw_Export!C1875)),Maps!$A$2:$B$20,2,FALSE()),"UNMAPPED"))</f>
        <v>Westlands</v>
      </c>
      <c r="D1875" s="36" t="str">
        <f aca="false">IF(Raw_Export!$A1875="","",IFERROR(VLOOKUP(LOWER(TRIM(Raw_Export!D1875)),Maps!$G$2:$I$80,2,FALSE()),"UNMAPPED"))</f>
        <v>Rice Pishori 2kg</v>
      </c>
      <c r="E1875" s="36" t="str">
        <f aca="false">IF(Raw_Export!$A1875="","",IFERROR(VLOOKUP(LOWER(TRIM(Raw_Export!D1875)),Maps!$G$2:$I$80,3,FALSE()),"UNMAPPED"))</f>
        <v>Staples</v>
      </c>
      <c r="F1875" s="36" t="n">
        <f aca="false">IF(Raw_Export!$A1875="","",IFERROR(VALUE(TRIM(Raw_Export!E1875)),0))</f>
        <v>1</v>
      </c>
      <c r="G1875" s="38" t="n">
        <f aca="false">IF(Raw_Export!$A1875="","",IFERROR(VALUE(SUBSTITUTE(SUBSTITUTE(UPPER(TRIM(Raw_Export!F1875)),"KES",""),",","")),0))</f>
        <v>378</v>
      </c>
      <c r="H1875" s="38" t="n">
        <f aca="false">IF(Raw_Export!$A1875="","",F1875*G1875)</f>
        <v>378</v>
      </c>
      <c r="I1875" s="36" t="str">
        <f aca="false">IF(Raw_Export!$A1875="","",IFERROR(VLOOKUP(LOWER(TRIM(Raw_Export!H1875)),Maps!$D$2:$E$12,2,FALSE()),"Other"))</f>
        <v>M-Pesa</v>
      </c>
      <c r="J1875" s="36" t="str">
        <f aca="false">IF(Raw_Export!$A1875="","",IF(COUNTIF($A$2:A1875,A1875)&gt;1,"Duplicate",""))</f>
        <v/>
      </c>
      <c r="K1875" s="36" t="str">
        <f aca="false">IF(Raw_Export!$A1875="","",IF(J1875="Duplicate","Duplicate",IF(OR(C1875="UNMAPPED",D1875="UNMAPPED"),"Unmapped",IF(F1875=0,"Blank qty",IF(F1875&lt;0,"Return","OK")))))</f>
        <v>OK</v>
      </c>
      <c r="L1875" s="36" t="n">
        <f aca="false">IF(Raw_Export!$A1875="","",IF(OR(K1875="OK",K1875="Return"),1,0))</f>
        <v>1</v>
      </c>
      <c r="M1875" s="37" t="n">
        <f aca="false">IF(Raw_Export!$A1875="","",B1875-WEEKDAY(B1875,2)+1)</f>
        <v>46272</v>
      </c>
    </row>
    <row r="1876" customFormat="false" ht="15" hidden="false" customHeight="false" outlineLevel="0" collapsed="false">
      <c r="A1876" s="36" t="str">
        <f aca="false">IF(Raw_Export!$A1876="","",TRIM(Raw_Export!A1876))</f>
        <v>TXN-101837</v>
      </c>
      <c r="B1876" s="37" t="n">
        <f aca="false">IF(Raw_Export!$A1876="","",IF(ISNUMBER(Raw_Export!B1876),Raw_Export!B1876,IF(MID(TRIM(Raw_Export!B1876),5,1)="-",DATE(LEFT(TRIM(Raw_Export!B1876),4),MID(TRIM(Raw_Export!B1876),6,2),RIGHT(TRIM(Raw_Export!B1876),2)),DATE(RIGHT(TRIM(Raw_Export!B1876),4),MATCH(MID(TRIM(Raw_Export!B1876),4,3),{"Jan","Feb","Mar","Apr","May","Jun","Jul","Aug","Sep","Oct","Nov","Dec"},0),LEFT(TRIM(Raw_Export!B1876),2)))))</f>
        <v>46277</v>
      </c>
      <c r="C1876" s="36" t="str">
        <f aca="false">IF(Raw_Export!$A1876="","",IFERROR(VLOOKUP(LOWER(TRIM(Raw_Export!C1876)),Maps!$A$2:$B$20,2,FALSE()),"UNMAPPED"))</f>
        <v>Westlands</v>
      </c>
      <c r="D1876" s="36" t="str">
        <f aca="false">IF(Raw_Export!$A1876="","",IFERROR(VLOOKUP(LOWER(TRIM(Raw_Export!D1876)),Maps!$G$2:$I$80,2,FALSE()),"UNMAPPED"))</f>
        <v>Soda 500ml</v>
      </c>
      <c r="E1876" s="36" t="str">
        <f aca="false">IF(Raw_Export!$A1876="","",IFERROR(VLOOKUP(LOWER(TRIM(Raw_Export!D1876)),Maps!$G$2:$I$80,3,FALSE()),"UNMAPPED"))</f>
        <v>Beverages</v>
      </c>
      <c r="F1876" s="36" t="n">
        <f aca="false">IF(Raw_Export!$A1876="","",IFERROR(VALUE(TRIM(Raw_Export!E1876)),0))</f>
        <v>1</v>
      </c>
      <c r="G1876" s="38" t="n">
        <f aca="false">IF(Raw_Export!$A1876="","",IFERROR(VALUE(SUBSTITUTE(SUBSTITUTE(UPPER(TRIM(Raw_Export!F1876)),"KES",""),",","")),0))</f>
        <v>60</v>
      </c>
      <c r="H1876" s="38" t="n">
        <f aca="false">IF(Raw_Export!$A1876="","",F1876*G1876)</f>
        <v>60</v>
      </c>
      <c r="I1876" s="36" t="str">
        <f aca="false">IF(Raw_Export!$A1876="","",IFERROR(VLOOKUP(LOWER(TRIM(Raw_Export!H1876)),Maps!$D$2:$E$12,2,FALSE()),"Other"))</f>
        <v>M-Pesa</v>
      </c>
      <c r="J1876" s="36" t="str">
        <f aca="false">IF(Raw_Export!$A1876="","",IF(COUNTIF($A$2:A1876,A1876)&gt;1,"Duplicate",""))</f>
        <v/>
      </c>
      <c r="K1876" s="36" t="str">
        <f aca="false">IF(Raw_Export!$A1876="","",IF(J1876="Duplicate","Duplicate",IF(OR(C1876="UNMAPPED",D1876="UNMAPPED"),"Unmapped",IF(F1876=0,"Blank qty",IF(F1876&lt;0,"Return","OK")))))</f>
        <v>OK</v>
      </c>
      <c r="L1876" s="36" t="n">
        <f aca="false">IF(Raw_Export!$A1876="","",IF(OR(K1876="OK",K1876="Return"),1,0))</f>
        <v>1</v>
      </c>
      <c r="M1876" s="37" t="n">
        <f aca="false">IF(Raw_Export!$A1876="","",B1876-WEEKDAY(B1876,2)+1)</f>
        <v>46272</v>
      </c>
    </row>
    <row r="1877" customFormat="false" ht="15" hidden="false" customHeight="false" outlineLevel="0" collapsed="false">
      <c r="A1877" s="36" t="str">
        <f aca="false">IF(Raw_Export!$A1877="","",TRIM(Raw_Export!A1877))</f>
        <v>TXN-101838</v>
      </c>
      <c r="B1877" s="37" t="n">
        <f aca="false">IF(Raw_Export!$A1877="","",IF(ISNUMBER(Raw_Export!B1877),Raw_Export!B1877,IF(MID(TRIM(Raw_Export!B1877),5,1)="-",DATE(LEFT(TRIM(Raw_Export!B1877),4),MID(TRIM(Raw_Export!B1877),6,2),RIGHT(TRIM(Raw_Export!B1877),2)),DATE(RIGHT(TRIM(Raw_Export!B1877),4),MATCH(MID(TRIM(Raw_Export!B1877),4,3),{"Jan","Feb","Mar","Apr","May","Jun","Jul","Aug","Sep","Oct","Nov","Dec"},0),LEFT(TRIM(Raw_Export!B1877),2)))))</f>
        <v>46277</v>
      </c>
      <c r="C1877" s="36" t="str">
        <f aca="false">IF(Raw_Export!$A1877="","",IFERROR(VLOOKUP(LOWER(TRIM(Raw_Export!C1877)),Maps!$A$2:$B$20,2,FALSE()),"UNMAPPED"))</f>
        <v>Westlands</v>
      </c>
      <c r="D1877" s="36" t="str">
        <f aca="false">IF(Raw_Export!$A1877="","",IFERROR(VLOOKUP(LOWER(TRIM(Raw_Export!D1877)),Maps!$G$2:$I$80,2,FALSE()),"UNMAPPED"))</f>
        <v>Unga Pembe 2kg</v>
      </c>
      <c r="E1877" s="36" t="str">
        <f aca="false">IF(Raw_Export!$A1877="","",IFERROR(VLOOKUP(LOWER(TRIM(Raw_Export!D1877)),Maps!$G$2:$I$80,3,FALSE()),"UNMAPPED"))</f>
        <v>Staples</v>
      </c>
      <c r="F1877" s="36" t="n">
        <f aca="false">IF(Raw_Export!$A1877="","",IFERROR(VALUE(TRIM(Raw_Export!E1877)),0))</f>
        <v>2</v>
      </c>
      <c r="G1877" s="38" t="n">
        <f aca="false">IF(Raw_Export!$A1877="","",IFERROR(VALUE(SUBSTITUTE(SUBSTITUTE(UPPER(TRIM(Raw_Export!F1877)),"KES",""),",","")),0))</f>
        <v>190</v>
      </c>
      <c r="H1877" s="38" t="n">
        <f aca="false">IF(Raw_Export!$A1877="","",F1877*G1877)</f>
        <v>380</v>
      </c>
      <c r="I1877" s="36" t="str">
        <f aca="false">IF(Raw_Export!$A1877="","",IFERROR(VLOOKUP(LOWER(TRIM(Raw_Export!H1877)),Maps!$D$2:$E$12,2,FALSE()),"Other"))</f>
        <v>Cash</v>
      </c>
      <c r="J1877" s="36" t="str">
        <f aca="false">IF(Raw_Export!$A1877="","",IF(COUNTIF($A$2:A1877,A1877)&gt;1,"Duplicate",""))</f>
        <v/>
      </c>
      <c r="K1877" s="36" t="str">
        <f aca="false">IF(Raw_Export!$A1877="","",IF(J1877="Duplicate","Duplicate",IF(OR(C1877="UNMAPPED",D1877="UNMAPPED"),"Unmapped",IF(F1877=0,"Blank qty",IF(F1877&lt;0,"Return","OK")))))</f>
        <v>OK</v>
      </c>
      <c r="L1877" s="36" t="n">
        <f aca="false">IF(Raw_Export!$A1877="","",IF(OR(K1877="OK",K1877="Return"),1,0))</f>
        <v>1</v>
      </c>
      <c r="M1877" s="37" t="n">
        <f aca="false">IF(Raw_Export!$A1877="","",B1877-WEEKDAY(B1877,2)+1)</f>
        <v>46272</v>
      </c>
    </row>
    <row r="1878" customFormat="false" ht="15" hidden="false" customHeight="false" outlineLevel="0" collapsed="false">
      <c r="A1878" s="36" t="str">
        <f aca="false">IF(Raw_Export!$A1878="","",TRIM(Raw_Export!A1878))</f>
        <v>TXN-101839</v>
      </c>
      <c r="B1878" s="37" t="n">
        <f aca="false">IF(Raw_Export!$A1878="","",IF(ISNUMBER(Raw_Export!B1878),Raw_Export!B1878,IF(MID(TRIM(Raw_Export!B1878),5,1)="-",DATE(LEFT(TRIM(Raw_Export!B1878),4),MID(TRIM(Raw_Export!B1878),6,2),RIGHT(TRIM(Raw_Export!B1878),2)),DATE(RIGHT(TRIM(Raw_Export!B1878),4),MATCH(MID(TRIM(Raw_Export!B1878),4,3),{"Jan","Feb","Mar","Apr","May","Jun","Jul","Aug","Sep","Oct","Nov","Dec"},0),LEFT(TRIM(Raw_Export!B1878),2)))))</f>
        <v>46277</v>
      </c>
      <c r="C1878" s="36" t="str">
        <f aca="false">IF(Raw_Export!$A1878="","",IFERROR(VLOOKUP(LOWER(TRIM(Raw_Export!C1878)),Maps!$A$2:$B$20,2,FALSE()),"UNMAPPED"))</f>
        <v>Westlands</v>
      </c>
      <c r="D1878" s="36" t="str">
        <f aca="false">IF(Raw_Export!$A1878="","",IFERROR(VLOOKUP(LOWER(TRIM(Raw_Export!D1878)),Maps!$G$2:$I$80,2,FALSE()),"UNMAPPED"))</f>
        <v>Peanuts 250g</v>
      </c>
      <c r="E1878" s="36" t="str">
        <f aca="false">IF(Raw_Export!$A1878="","",IFERROR(VLOOKUP(LOWER(TRIM(Raw_Export!D1878)),Maps!$G$2:$I$80,3,FALSE()),"UNMAPPED"))</f>
        <v>Snacks</v>
      </c>
      <c r="F1878" s="36" t="n">
        <f aca="false">IF(Raw_Export!$A1878="","",IFERROR(VALUE(TRIM(Raw_Export!E1878)),0))</f>
        <v>1</v>
      </c>
      <c r="G1878" s="38" t="n">
        <f aca="false">IF(Raw_Export!$A1878="","",IFERROR(VALUE(SUBSTITUTE(SUBSTITUTE(UPPER(TRIM(Raw_Export!F1878)),"KES",""),",","")),0))</f>
        <v>130</v>
      </c>
      <c r="H1878" s="38" t="n">
        <f aca="false">IF(Raw_Export!$A1878="","",F1878*G1878)</f>
        <v>130</v>
      </c>
      <c r="I1878" s="36" t="str">
        <f aca="false">IF(Raw_Export!$A1878="","",IFERROR(VLOOKUP(LOWER(TRIM(Raw_Export!H1878)),Maps!$D$2:$E$12,2,FALSE()),"Other"))</f>
        <v>M-Pesa</v>
      </c>
      <c r="J1878" s="36" t="str">
        <f aca="false">IF(Raw_Export!$A1878="","",IF(COUNTIF($A$2:A1878,A1878)&gt;1,"Duplicate",""))</f>
        <v/>
      </c>
      <c r="K1878" s="36" t="str">
        <f aca="false">IF(Raw_Export!$A1878="","",IF(J1878="Duplicate","Duplicate",IF(OR(C1878="UNMAPPED",D1878="UNMAPPED"),"Unmapped",IF(F1878=0,"Blank qty",IF(F1878&lt;0,"Return","OK")))))</f>
        <v>OK</v>
      </c>
      <c r="L1878" s="36" t="n">
        <f aca="false">IF(Raw_Export!$A1878="","",IF(OR(K1878="OK",K1878="Return"),1,0))</f>
        <v>1</v>
      </c>
      <c r="M1878" s="37" t="n">
        <f aca="false">IF(Raw_Export!$A1878="","",B1878-WEEKDAY(B1878,2)+1)</f>
        <v>46272</v>
      </c>
    </row>
    <row r="1879" customFormat="false" ht="15" hidden="false" customHeight="false" outlineLevel="0" collapsed="false">
      <c r="A1879" s="36" t="str">
        <f aca="false">IF(Raw_Export!$A1879="","",TRIM(Raw_Export!A1879))</f>
        <v>TXN-101840</v>
      </c>
      <c r="B1879" s="37" t="n">
        <f aca="false">IF(Raw_Export!$A1879="","",IF(ISNUMBER(Raw_Export!B1879),Raw_Export!B1879,IF(MID(TRIM(Raw_Export!B1879),5,1)="-",DATE(LEFT(TRIM(Raw_Export!B1879),4),MID(TRIM(Raw_Export!B1879),6,2),RIGHT(TRIM(Raw_Export!B1879),2)),DATE(RIGHT(TRIM(Raw_Export!B1879),4),MATCH(MID(TRIM(Raw_Export!B1879),4,3),{"Jan","Feb","Mar","Apr","May","Jun","Jul","Aug","Sep","Oct","Nov","Dec"},0),LEFT(TRIM(Raw_Export!B1879),2)))))</f>
        <v>46277</v>
      </c>
      <c r="C1879" s="36" t="str">
        <f aca="false">IF(Raw_Export!$A1879="","",IFERROR(VLOOKUP(LOWER(TRIM(Raw_Export!C1879)),Maps!$A$2:$B$20,2,FALSE()),"UNMAPPED"))</f>
        <v>Westlands</v>
      </c>
      <c r="D1879" s="36" t="str">
        <f aca="false">IF(Raw_Export!$A1879="","",IFERROR(VLOOKUP(LOWER(TRIM(Raw_Export!D1879)),Maps!$G$2:$I$80,2,FALSE()),"UNMAPPED"))</f>
        <v>Cooking Oil 1L</v>
      </c>
      <c r="E1879" s="36" t="str">
        <f aca="false">IF(Raw_Export!$A1879="","",IFERROR(VLOOKUP(LOWER(TRIM(Raw_Export!D1879)),Maps!$G$2:$I$80,3,FALSE()),"UNMAPPED"))</f>
        <v>Staples</v>
      </c>
      <c r="F1879" s="36" t="n">
        <f aca="false">IF(Raw_Export!$A1879="","",IFERROR(VALUE(TRIM(Raw_Export!E1879)),0))</f>
        <v>2</v>
      </c>
      <c r="G1879" s="38" t="n">
        <f aca="false">IF(Raw_Export!$A1879="","",IFERROR(VALUE(SUBSTITUTE(SUBSTITUTE(UPPER(TRIM(Raw_Export!F1879)),"KES",""),",","")),0))</f>
        <v>297</v>
      </c>
      <c r="H1879" s="38" t="n">
        <f aca="false">IF(Raw_Export!$A1879="","",F1879*G1879)</f>
        <v>594</v>
      </c>
      <c r="I1879" s="36" t="str">
        <f aca="false">IF(Raw_Export!$A1879="","",IFERROR(VLOOKUP(LOWER(TRIM(Raw_Export!H1879)),Maps!$D$2:$E$12,2,FALSE()),"Other"))</f>
        <v>M-Pesa</v>
      </c>
      <c r="J1879" s="36" t="str">
        <f aca="false">IF(Raw_Export!$A1879="","",IF(COUNTIF($A$2:A1879,A1879)&gt;1,"Duplicate",""))</f>
        <v/>
      </c>
      <c r="K1879" s="36" t="str">
        <f aca="false">IF(Raw_Export!$A1879="","",IF(J1879="Duplicate","Duplicate",IF(OR(C1879="UNMAPPED",D1879="UNMAPPED"),"Unmapped",IF(F1879=0,"Blank qty",IF(F1879&lt;0,"Return","OK")))))</f>
        <v>OK</v>
      </c>
      <c r="L1879" s="36" t="n">
        <f aca="false">IF(Raw_Export!$A1879="","",IF(OR(K1879="OK",K1879="Return"),1,0))</f>
        <v>1</v>
      </c>
      <c r="M1879" s="37" t="n">
        <f aca="false">IF(Raw_Export!$A1879="","",B1879-WEEKDAY(B1879,2)+1)</f>
        <v>46272</v>
      </c>
    </row>
    <row r="1880" customFormat="false" ht="15" hidden="false" customHeight="false" outlineLevel="0" collapsed="false">
      <c r="A1880" s="36" t="str">
        <f aca="false">IF(Raw_Export!$A1880="","",TRIM(Raw_Export!A1880))</f>
        <v>TXN-101841</v>
      </c>
      <c r="B1880" s="37" t="n">
        <f aca="false">IF(Raw_Export!$A1880="","",IF(ISNUMBER(Raw_Export!B1880),Raw_Export!B1880,IF(MID(TRIM(Raw_Export!B1880),5,1)="-",DATE(LEFT(TRIM(Raw_Export!B1880),4),MID(TRIM(Raw_Export!B1880),6,2),RIGHT(TRIM(Raw_Export!B1880),2)),DATE(RIGHT(TRIM(Raw_Export!B1880),4),MATCH(MID(TRIM(Raw_Export!B1880),4,3),{"Jan","Feb","Mar","Apr","May","Jun","Jul","Aug","Sep","Oct","Nov","Dec"},0),LEFT(TRIM(Raw_Export!B1880),2)))))</f>
        <v>46277</v>
      </c>
      <c r="C1880" s="36" t="str">
        <f aca="false">IF(Raw_Export!$A1880="","",IFERROR(VLOOKUP(LOWER(TRIM(Raw_Export!C1880)),Maps!$A$2:$B$20,2,FALSE()),"UNMAPPED"))</f>
        <v>Westlands</v>
      </c>
      <c r="D1880" s="36" t="str">
        <f aca="false">IF(Raw_Export!$A1880="","",IFERROR(VLOOKUP(LOWER(TRIM(Raw_Export!D1880)),Maps!$G$2:$I$80,2,FALSE()),"UNMAPPED"))</f>
        <v>Deodorant 150ml</v>
      </c>
      <c r="E1880" s="36" t="str">
        <f aca="false">IF(Raw_Export!$A1880="","",IFERROR(VLOOKUP(LOWER(TRIM(Raw_Export!D1880)),Maps!$G$2:$I$80,3,FALSE()),"UNMAPPED"))</f>
        <v>Personal Care</v>
      </c>
      <c r="F1880" s="36" t="n">
        <f aca="false">IF(Raw_Export!$A1880="","",IFERROR(VALUE(TRIM(Raw_Export!E1880)),0))</f>
        <v>1</v>
      </c>
      <c r="G1880" s="38" t="n">
        <f aca="false">IF(Raw_Export!$A1880="","",IFERROR(VALUE(SUBSTITUTE(SUBSTITUTE(UPPER(TRIM(Raw_Export!F1880)),"KES",""),",","")),0))</f>
        <v>350</v>
      </c>
      <c r="H1880" s="38" t="n">
        <f aca="false">IF(Raw_Export!$A1880="","",F1880*G1880)</f>
        <v>350</v>
      </c>
      <c r="I1880" s="36" t="str">
        <f aca="false">IF(Raw_Export!$A1880="","",IFERROR(VLOOKUP(LOWER(TRIM(Raw_Export!H1880)),Maps!$D$2:$E$12,2,FALSE()),"Other"))</f>
        <v>M-Pesa</v>
      </c>
      <c r="J1880" s="36" t="str">
        <f aca="false">IF(Raw_Export!$A1880="","",IF(COUNTIF($A$2:A1880,A1880)&gt;1,"Duplicate",""))</f>
        <v/>
      </c>
      <c r="K1880" s="36" t="str">
        <f aca="false">IF(Raw_Export!$A1880="","",IF(J1880="Duplicate","Duplicate",IF(OR(C1880="UNMAPPED",D1880="UNMAPPED"),"Unmapped",IF(F1880=0,"Blank qty",IF(F1880&lt;0,"Return","OK")))))</f>
        <v>OK</v>
      </c>
      <c r="L1880" s="36" t="n">
        <f aca="false">IF(Raw_Export!$A1880="","",IF(OR(K1880="OK",K1880="Return"),1,0))</f>
        <v>1</v>
      </c>
      <c r="M1880" s="37" t="n">
        <f aca="false">IF(Raw_Export!$A1880="","",B1880-WEEKDAY(B1880,2)+1)</f>
        <v>46272</v>
      </c>
    </row>
    <row r="1881" customFormat="false" ht="15" hidden="false" customHeight="false" outlineLevel="0" collapsed="false">
      <c r="A1881" s="36" t="str">
        <f aca="false">IF(Raw_Export!$A1881="","",TRIM(Raw_Export!A1881))</f>
        <v>TXN-101842</v>
      </c>
      <c r="B1881" s="37" t="n">
        <f aca="false">IF(Raw_Export!$A1881="","",IF(ISNUMBER(Raw_Export!B1881),Raw_Export!B1881,IF(MID(TRIM(Raw_Export!B1881),5,1)="-",DATE(LEFT(TRIM(Raw_Export!B1881),4),MID(TRIM(Raw_Export!B1881),6,2),RIGHT(TRIM(Raw_Export!B1881),2)),DATE(RIGHT(TRIM(Raw_Export!B1881),4),MATCH(MID(TRIM(Raw_Export!B1881),4,3),{"Jan","Feb","Mar","Apr","May","Jun","Jul","Aug","Sep","Oct","Nov","Dec"},0),LEFT(TRIM(Raw_Export!B1881),2)))))</f>
        <v>46277</v>
      </c>
      <c r="C1881" s="36" t="str">
        <f aca="false">IF(Raw_Export!$A1881="","",IFERROR(VLOOKUP(LOWER(TRIM(Raw_Export!C1881)),Maps!$A$2:$B$20,2,FALSE()),"UNMAPPED"))</f>
        <v>Westlands</v>
      </c>
      <c r="D1881" s="36" t="str">
        <f aca="false">IF(Raw_Export!$A1881="","",IFERROR(VLOOKUP(LOWER(TRIM(Raw_Export!D1881)),Maps!$G$2:$I$80,2,FALSE()),"UNMAPPED"))</f>
        <v>Peanuts 250g</v>
      </c>
      <c r="E1881" s="36" t="str">
        <f aca="false">IF(Raw_Export!$A1881="","",IFERROR(VLOOKUP(LOWER(TRIM(Raw_Export!D1881)),Maps!$G$2:$I$80,3,FALSE()),"UNMAPPED"))</f>
        <v>Snacks</v>
      </c>
      <c r="F1881" s="36" t="n">
        <f aca="false">IF(Raw_Export!$A1881="","",IFERROR(VALUE(TRIM(Raw_Export!E1881)),0))</f>
        <v>1</v>
      </c>
      <c r="G1881" s="38" t="n">
        <f aca="false">IF(Raw_Export!$A1881="","",IFERROR(VALUE(SUBSTITUTE(SUBSTITUTE(UPPER(TRIM(Raw_Export!F1881)),"KES",""),",","")),0))</f>
        <v>130</v>
      </c>
      <c r="H1881" s="38" t="n">
        <f aca="false">IF(Raw_Export!$A1881="","",F1881*G1881)</f>
        <v>130</v>
      </c>
      <c r="I1881" s="36" t="str">
        <f aca="false">IF(Raw_Export!$A1881="","",IFERROR(VLOOKUP(LOWER(TRIM(Raw_Export!H1881)),Maps!$D$2:$E$12,2,FALSE()),"Other"))</f>
        <v>M-Pesa</v>
      </c>
      <c r="J1881" s="36" t="str">
        <f aca="false">IF(Raw_Export!$A1881="","",IF(COUNTIF($A$2:A1881,A1881)&gt;1,"Duplicate",""))</f>
        <v/>
      </c>
      <c r="K1881" s="36" t="str">
        <f aca="false">IF(Raw_Export!$A1881="","",IF(J1881="Duplicate","Duplicate",IF(OR(C1881="UNMAPPED",D1881="UNMAPPED"),"Unmapped",IF(F1881=0,"Blank qty",IF(F1881&lt;0,"Return","OK")))))</f>
        <v>OK</v>
      </c>
      <c r="L1881" s="36" t="n">
        <f aca="false">IF(Raw_Export!$A1881="","",IF(OR(K1881="OK",K1881="Return"),1,0))</f>
        <v>1</v>
      </c>
      <c r="M1881" s="37" t="n">
        <f aca="false">IF(Raw_Export!$A1881="","",B1881-WEEKDAY(B1881,2)+1)</f>
        <v>46272</v>
      </c>
    </row>
    <row r="1882" customFormat="false" ht="15" hidden="false" customHeight="false" outlineLevel="0" collapsed="false">
      <c r="A1882" s="36" t="str">
        <f aca="false">IF(Raw_Export!$A1882="","",TRIM(Raw_Export!A1882))</f>
        <v>TXN-101843</v>
      </c>
      <c r="B1882" s="37" t="n">
        <f aca="false">IF(Raw_Export!$A1882="","",IF(ISNUMBER(Raw_Export!B1882),Raw_Export!B1882,IF(MID(TRIM(Raw_Export!B1882),5,1)="-",DATE(LEFT(TRIM(Raw_Export!B1882),4),MID(TRIM(Raw_Export!B1882),6,2),RIGHT(TRIM(Raw_Export!B1882),2)),DATE(RIGHT(TRIM(Raw_Export!B1882),4),MATCH(MID(TRIM(Raw_Export!B1882),4,3),{"Jan","Feb","Mar","Apr","May","Jun","Jul","Aug","Sep","Oct","Nov","Dec"},0),LEFT(TRIM(Raw_Export!B1882),2)))))</f>
        <v>46277</v>
      </c>
      <c r="C1882" s="36" t="str">
        <f aca="false">IF(Raw_Export!$A1882="","",IFERROR(VLOOKUP(LOWER(TRIM(Raw_Export!C1882)),Maps!$A$2:$B$20,2,FALSE()),"UNMAPPED"))</f>
        <v>Westlands</v>
      </c>
      <c r="D1882" s="36" t="str">
        <f aca="false">IF(Raw_Export!$A1882="","",IFERROR(VLOOKUP(LOWER(TRIM(Raw_Export!D1882)),Maps!$G$2:$I$80,2,FALSE()),"UNMAPPED"))</f>
        <v>Washing Powder 1kg</v>
      </c>
      <c r="E1882" s="36" t="str">
        <f aca="false">IF(Raw_Export!$A1882="","",IFERROR(VLOOKUP(LOWER(TRIM(Raw_Export!D1882)),Maps!$G$2:$I$80,3,FALSE()),"UNMAPPED"))</f>
        <v>Household</v>
      </c>
      <c r="F1882" s="36" t="n">
        <f aca="false">IF(Raw_Export!$A1882="","",IFERROR(VALUE(TRIM(Raw_Export!E1882)),0))</f>
        <v>3</v>
      </c>
      <c r="G1882" s="38" t="n">
        <f aca="false">IF(Raw_Export!$A1882="","",IFERROR(VALUE(SUBSTITUTE(SUBSTITUTE(UPPER(TRIM(Raw_Export!F1882)),"KES",""),",","")),0))</f>
        <v>280</v>
      </c>
      <c r="H1882" s="38" t="n">
        <f aca="false">IF(Raw_Export!$A1882="","",F1882*G1882)</f>
        <v>840</v>
      </c>
      <c r="I1882" s="36" t="str">
        <f aca="false">IF(Raw_Export!$A1882="","",IFERROR(VLOOKUP(LOWER(TRIM(Raw_Export!H1882)),Maps!$D$2:$E$12,2,FALSE()),"Other"))</f>
        <v>Cash</v>
      </c>
      <c r="J1882" s="36" t="str">
        <f aca="false">IF(Raw_Export!$A1882="","",IF(COUNTIF($A$2:A1882,A1882)&gt;1,"Duplicate",""))</f>
        <v/>
      </c>
      <c r="K1882" s="36" t="str">
        <f aca="false">IF(Raw_Export!$A1882="","",IF(J1882="Duplicate","Duplicate",IF(OR(C1882="UNMAPPED",D1882="UNMAPPED"),"Unmapped",IF(F1882=0,"Blank qty",IF(F1882&lt;0,"Return","OK")))))</f>
        <v>OK</v>
      </c>
      <c r="L1882" s="36" t="n">
        <f aca="false">IF(Raw_Export!$A1882="","",IF(OR(K1882="OK",K1882="Return"),1,0))</f>
        <v>1</v>
      </c>
      <c r="M1882" s="37" t="n">
        <f aca="false">IF(Raw_Export!$A1882="","",B1882-WEEKDAY(B1882,2)+1)</f>
        <v>46272</v>
      </c>
    </row>
    <row r="1883" customFormat="false" ht="15" hidden="false" customHeight="false" outlineLevel="0" collapsed="false">
      <c r="A1883" s="36" t="str">
        <f aca="false">IF(Raw_Export!$A1883="","",TRIM(Raw_Export!A1883))</f>
        <v>TXN-101844</v>
      </c>
      <c r="B1883" s="37" t="n">
        <f aca="false">IF(Raw_Export!$A1883="","",IF(ISNUMBER(Raw_Export!B1883),Raw_Export!B1883,IF(MID(TRIM(Raw_Export!B1883),5,1)="-",DATE(LEFT(TRIM(Raw_Export!B1883),4),MID(TRIM(Raw_Export!B1883),6,2),RIGHT(TRIM(Raw_Export!B1883),2)),DATE(RIGHT(TRIM(Raw_Export!B1883),4),MATCH(MID(TRIM(Raw_Export!B1883),4,3),{"Jan","Feb","Mar","Apr","May","Jun","Jul","Aug","Sep","Oct","Nov","Dec"},0),LEFT(TRIM(Raw_Export!B1883),2)))))</f>
        <v>46277</v>
      </c>
      <c r="C1883" s="36" t="str">
        <f aca="false">IF(Raw_Export!$A1883="","",IFERROR(VLOOKUP(LOWER(TRIM(Raw_Export!C1883)),Maps!$A$2:$B$20,2,FALSE()),"UNMAPPED"))</f>
        <v>Westlands</v>
      </c>
      <c r="D1883" s="36" t="str">
        <f aca="false">IF(Raw_Export!$A1883="","",IFERROR(VLOOKUP(LOWER(TRIM(Raw_Export!D1883)),Maps!$G$2:$I$80,2,FALSE()),"UNMAPPED"))</f>
        <v>Peanuts 250g</v>
      </c>
      <c r="E1883" s="36" t="str">
        <f aca="false">IF(Raw_Export!$A1883="","",IFERROR(VLOOKUP(LOWER(TRIM(Raw_Export!D1883)),Maps!$G$2:$I$80,3,FALSE()),"UNMAPPED"))</f>
        <v>Snacks</v>
      </c>
      <c r="F1883" s="36" t="n">
        <f aca="false">IF(Raw_Export!$A1883="","",IFERROR(VALUE(TRIM(Raw_Export!E1883)),0))</f>
        <v>2</v>
      </c>
      <c r="G1883" s="38" t="n">
        <f aca="false">IF(Raw_Export!$A1883="","",IFERROR(VALUE(SUBSTITUTE(SUBSTITUTE(UPPER(TRIM(Raw_Export!F1883)),"KES",""),",","")),0))</f>
        <v>130</v>
      </c>
      <c r="H1883" s="38" t="n">
        <f aca="false">IF(Raw_Export!$A1883="","",F1883*G1883)</f>
        <v>260</v>
      </c>
      <c r="I1883" s="36" t="str">
        <f aca="false">IF(Raw_Export!$A1883="","",IFERROR(VLOOKUP(LOWER(TRIM(Raw_Export!H1883)),Maps!$D$2:$E$12,2,FALSE()),"Other"))</f>
        <v>M-Pesa</v>
      </c>
      <c r="J1883" s="36" t="str">
        <f aca="false">IF(Raw_Export!$A1883="","",IF(COUNTIF($A$2:A1883,A1883)&gt;1,"Duplicate",""))</f>
        <v/>
      </c>
      <c r="K1883" s="36" t="str">
        <f aca="false">IF(Raw_Export!$A1883="","",IF(J1883="Duplicate","Duplicate",IF(OR(C1883="UNMAPPED",D1883="UNMAPPED"),"Unmapped",IF(F1883=0,"Blank qty",IF(F1883&lt;0,"Return","OK")))))</f>
        <v>OK</v>
      </c>
      <c r="L1883" s="36" t="n">
        <f aca="false">IF(Raw_Export!$A1883="","",IF(OR(K1883="OK",K1883="Return"),1,0))</f>
        <v>1</v>
      </c>
      <c r="M1883" s="37" t="n">
        <f aca="false">IF(Raw_Export!$A1883="","",B1883-WEEKDAY(B1883,2)+1)</f>
        <v>46272</v>
      </c>
    </row>
    <row r="1884" customFormat="false" ht="15" hidden="false" customHeight="false" outlineLevel="0" collapsed="false">
      <c r="A1884" s="36" t="str">
        <f aca="false">IF(Raw_Export!$A1884="","",TRIM(Raw_Export!A1884))</f>
        <v>TXN-101845</v>
      </c>
      <c r="B1884" s="37" t="n">
        <f aca="false">IF(Raw_Export!$A1884="","",IF(ISNUMBER(Raw_Export!B1884),Raw_Export!B1884,IF(MID(TRIM(Raw_Export!B1884),5,1)="-",DATE(LEFT(TRIM(Raw_Export!B1884),4),MID(TRIM(Raw_Export!B1884),6,2),RIGHT(TRIM(Raw_Export!B1884),2)),DATE(RIGHT(TRIM(Raw_Export!B1884),4),MATCH(MID(TRIM(Raw_Export!B1884),4,3),{"Jan","Feb","Mar","Apr","May","Jun","Jul","Aug","Sep","Oct","Nov","Dec"},0),LEFT(TRIM(Raw_Export!B1884),2)))))</f>
        <v>46277</v>
      </c>
      <c r="C1884" s="36" t="str">
        <f aca="false">IF(Raw_Export!$A1884="","",IFERROR(VLOOKUP(LOWER(TRIM(Raw_Export!C1884)),Maps!$A$2:$B$20,2,FALSE()),"UNMAPPED"))</f>
        <v>Westlands</v>
      </c>
      <c r="D1884" s="36" t="str">
        <f aca="false">IF(Raw_Export!$A1884="","",IFERROR(VLOOKUP(LOWER(TRIM(Raw_Export!D1884)),Maps!$G$2:$I$80,2,FALSE()),"UNMAPPED"))</f>
        <v>Bath Soap 175g</v>
      </c>
      <c r="E1884" s="36" t="str">
        <f aca="false">IF(Raw_Export!$A1884="","",IFERROR(VLOOKUP(LOWER(TRIM(Raw_Export!D1884)),Maps!$G$2:$I$80,3,FALSE()),"UNMAPPED"))</f>
        <v>Personal Care</v>
      </c>
      <c r="F1884" s="36" t="n">
        <f aca="false">IF(Raw_Export!$A1884="","",IFERROR(VALUE(TRIM(Raw_Export!E1884)),0))</f>
        <v>6</v>
      </c>
      <c r="G1884" s="38" t="n">
        <f aca="false">IF(Raw_Export!$A1884="","",IFERROR(VALUE(SUBSTITUTE(SUBSTITUTE(UPPER(TRIM(Raw_Export!F1884)),"KES",""),",","")),0))</f>
        <v>85</v>
      </c>
      <c r="H1884" s="38" t="n">
        <f aca="false">IF(Raw_Export!$A1884="","",F1884*G1884)</f>
        <v>510</v>
      </c>
      <c r="I1884" s="36" t="str">
        <f aca="false">IF(Raw_Export!$A1884="","",IFERROR(VLOOKUP(LOWER(TRIM(Raw_Export!H1884)),Maps!$D$2:$E$12,2,FALSE()),"Other"))</f>
        <v>Cash</v>
      </c>
      <c r="J1884" s="36" t="str">
        <f aca="false">IF(Raw_Export!$A1884="","",IF(COUNTIF($A$2:A1884,A1884)&gt;1,"Duplicate",""))</f>
        <v/>
      </c>
      <c r="K1884" s="36" t="str">
        <f aca="false">IF(Raw_Export!$A1884="","",IF(J1884="Duplicate","Duplicate",IF(OR(C1884="UNMAPPED",D1884="UNMAPPED"),"Unmapped",IF(F1884=0,"Blank qty",IF(F1884&lt;0,"Return","OK")))))</f>
        <v>OK</v>
      </c>
      <c r="L1884" s="36" t="n">
        <f aca="false">IF(Raw_Export!$A1884="","",IF(OR(K1884="OK",K1884="Return"),1,0))</f>
        <v>1</v>
      </c>
      <c r="M1884" s="37" t="n">
        <f aca="false">IF(Raw_Export!$A1884="","",B1884-WEEKDAY(B1884,2)+1)</f>
        <v>46272</v>
      </c>
    </row>
    <row r="1885" customFormat="false" ht="15" hidden="false" customHeight="false" outlineLevel="0" collapsed="false">
      <c r="A1885" s="36" t="str">
        <f aca="false">IF(Raw_Export!$A1885="","",TRIM(Raw_Export!A1885))</f>
        <v>TXN-101846</v>
      </c>
      <c r="B1885" s="37" t="n">
        <f aca="false">IF(Raw_Export!$A1885="","",IF(ISNUMBER(Raw_Export!B1885),Raw_Export!B1885,IF(MID(TRIM(Raw_Export!B1885),5,1)="-",DATE(LEFT(TRIM(Raw_Export!B1885),4),MID(TRIM(Raw_Export!B1885),6,2),RIGHT(TRIM(Raw_Export!B1885),2)),DATE(RIGHT(TRIM(Raw_Export!B1885),4),MATCH(MID(TRIM(Raw_Export!B1885),4,3),{"Jan","Feb","Mar","Apr","May","Jun","Jul","Aug","Sep","Oct","Nov","Dec"},0),LEFT(TRIM(Raw_Export!B1885),2)))))</f>
        <v>46277</v>
      </c>
      <c r="C1885" s="36" t="str">
        <f aca="false">IF(Raw_Export!$A1885="","",IFERROR(VLOOKUP(LOWER(TRIM(Raw_Export!C1885)),Maps!$A$2:$B$20,2,FALSE()),"UNMAPPED"))</f>
        <v>Westlands</v>
      </c>
      <c r="D1885" s="36" t="str">
        <f aca="false">IF(Raw_Export!$A1885="","",IFERROR(VLOOKUP(LOWER(TRIM(Raw_Export!D1885)),Maps!$G$2:$I$80,2,FALSE()),"UNMAPPED"))</f>
        <v>UNMAPPED</v>
      </c>
      <c r="E1885" s="36" t="str">
        <f aca="false">IF(Raw_Export!$A1885="","",IFERROR(VLOOKUP(LOWER(TRIM(Raw_Export!D1885)),Maps!$G$2:$I$80,3,FALSE()),"UNMAPPED"))</f>
        <v>UNMAPPED</v>
      </c>
      <c r="F1885" s="36" t="n">
        <f aca="false">IF(Raw_Export!$A1885="","",IFERROR(VALUE(TRIM(Raw_Export!E1885)),0))</f>
        <v>1</v>
      </c>
      <c r="G1885" s="38" t="n">
        <f aca="false">IF(Raw_Export!$A1885="","",IFERROR(VALUE(SUBSTITUTE(SUBSTITUTE(UPPER(TRIM(Raw_Export!F1885)),"KES",""),",","")),0))</f>
        <v>330</v>
      </c>
      <c r="H1885" s="38" t="n">
        <f aca="false">IF(Raw_Export!$A1885="","",F1885*G1885)</f>
        <v>330</v>
      </c>
      <c r="I1885" s="36" t="str">
        <f aca="false">IF(Raw_Export!$A1885="","",IFERROR(VLOOKUP(LOWER(TRIM(Raw_Export!H1885)),Maps!$D$2:$E$12,2,FALSE()),"Other"))</f>
        <v>Cash</v>
      </c>
      <c r="J1885" s="36" t="str">
        <f aca="false">IF(Raw_Export!$A1885="","",IF(COUNTIF($A$2:A1885,A1885)&gt;1,"Duplicate",""))</f>
        <v/>
      </c>
      <c r="K1885" s="36" t="str">
        <f aca="false">IF(Raw_Export!$A1885="","",IF(J1885="Duplicate","Duplicate",IF(OR(C1885="UNMAPPED",D1885="UNMAPPED"),"Unmapped",IF(F1885=0,"Blank qty",IF(F1885&lt;0,"Return","OK")))))</f>
        <v>Unmapped</v>
      </c>
      <c r="L1885" s="36" t="n">
        <f aca="false">IF(Raw_Export!$A1885="","",IF(OR(K1885="OK",K1885="Return"),1,0))</f>
        <v>0</v>
      </c>
      <c r="M1885" s="37" t="n">
        <f aca="false">IF(Raw_Export!$A1885="","",B1885-WEEKDAY(B1885,2)+1)</f>
        <v>46272</v>
      </c>
    </row>
    <row r="1886" customFormat="false" ht="15" hidden="false" customHeight="false" outlineLevel="0" collapsed="false">
      <c r="A1886" s="36" t="str">
        <f aca="false">IF(Raw_Export!$A1886="","",TRIM(Raw_Export!A1886))</f>
        <v>TXN-101922</v>
      </c>
      <c r="B1886" s="37" t="n">
        <f aca="false">IF(Raw_Export!$A1886="","",IF(ISNUMBER(Raw_Export!B1886),Raw_Export!B1886,IF(MID(TRIM(Raw_Export!B1886),5,1)="-",DATE(LEFT(TRIM(Raw_Export!B1886),4),MID(TRIM(Raw_Export!B1886),6,2),RIGHT(TRIM(Raw_Export!B1886),2)),DATE(RIGHT(TRIM(Raw_Export!B1886),4),MATCH(MID(TRIM(Raw_Export!B1886),4,3),{"Jan","Feb","Mar","Apr","May","Jun","Jul","Aug","Sep","Oct","Nov","Dec"},0),LEFT(TRIM(Raw_Export!B1886),2)))))</f>
        <v>46277</v>
      </c>
      <c r="C1886" s="36" t="str">
        <f aca="false">IF(Raw_Export!$A1886="","",IFERROR(VLOOKUP(LOWER(TRIM(Raw_Export!C1886)),Maps!$A$2:$B$20,2,FALSE()),"UNMAPPED"))</f>
        <v>Mombasa</v>
      </c>
      <c r="D1886" s="36" t="str">
        <f aca="false">IF(Raw_Export!$A1886="","",IFERROR(VLOOKUP(LOWER(TRIM(Raw_Export!D1886)),Maps!$G$2:$I$80,2,FALSE()),"UNMAPPED"))</f>
        <v>Bread Loaf 400g</v>
      </c>
      <c r="E1886" s="36" t="str">
        <f aca="false">IF(Raw_Export!$A1886="","",IFERROR(VLOOKUP(LOWER(TRIM(Raw_Export!D1886)),Maps!$G$2:$I$80,3,FALSE()),"UNMAPPED"))</f>
        <v>Snacks</v>
      </c>
      <c r="F1886" s="36" t="n">
        <f aca="false">IF(Raw_Export!$A1886="","",IFERROR(VALUE(TRIM(Raw_Export!E1886)),0))</f>
        <v>2</v>
      </c>
      <c r="G1886" s="38" t="n">
        <f aca="false">IF(Raw_Export!$A1886="","",IFERROR(VALUE(SUBSTITUTE(SUBSTITUTE(UPPER(TRIM(Raw_Export!F1886)),"KES",""),",","")),0))</f>
        <v>65</v>
      </c>
      <c r="H1886" s="38" t="n">
        <f aca="false">IF(Raw_Export!$A1886="","",F1886*G1886)</f>
        <v>130</v>
      </c>
      <c r="I1886" s="36" t="str">
        <f aca="false">IF(Raw_Export!$A1886="","",IFERROR(VLOOKUP(LOWER(TRIM(Raw_Export!H1886)),Maps!$D$2:$E$12,2,FALSE()),"Other"))</f>
        <v>M-Pesa</v>
      </c>
      <c r="J1886" s="36" t="str">
        <f aca="false">IF(Raw_Export!$A1886="","",IF(COUNTIF($A$2:A1886,A1886)&gt;1,"Duplicate",""))</f>
        <v/>
      </c>
      <c r="K1886" s="36" t="str">
        <f aca="false">IF(Raw_Export!$A1886="","",IF(J1886="Duplicate","Duplicate",IF(OR(C1886="UNMAPPED",D1886="UNMAPPED"),"Unmapped",IF(F1886=0,"Blank qty",IF(F1886&lt;0,"Return","OK")))))</f>
        <v>OK</v>
      </c>
      <c r="L1886" s="36" t="n">
        <f aca="false">IF(Raw_Export!$A1886="","",IF(OR(K1886="OK",K1886="Return"),1,0))</f>
        <v>1</v>
      </c>
      <c r="M1886" s="37" t="n">
        <f aca="false">IF(Raw_Export!$A1886="","",B1886-WEEKDAY(B1886,2)+1)</f>
        <v>46272</v>
      </c>
    </row>
    <row r="1887" customFormat="false" ht="15" hidden="false" customHeight="false" outlineLevel="0" collapsed="false">
      <c r="A1887" s="36" t="str">
        <f aca="false">IF(Raw_Export!$A1887="","",TRIM(Raw_Export!A1887))</f>
        <v>TXN-101847</v>
      </c>
      <c r="B1887" s="37" t="n">
        <f aca="false">IF(Raw_Export!$A1887="","",IF(ISNUMBER(Raw_Export!B1887),Raw_Export!B1887,IF(MID(TRIM(Raw_Export!B1887),5,1)="-",DATE(LEFT(TRIM(Raw_Export!B1887),4),MID(TRIM(Raw_Export!B1887),6,2),RIGHT(TRIM(Raw_Export!B1887),2)),DATE(RIGHT(TRIM(Raw_Export!B1887),4),MATCH(MID(TRIM(Raw_Export!B1887),4,3),{"Jan","Feb","Mar","Apr","May","Jun","Jul","Aug","Sep","Oct","Nov","Dec"},0),LEFT(TRIM(Raw_Export!B1887),2)))))</f>
        <v>46277</v>
      </c>
      <c r="C1887" s="36" t="str">
        <f aca="false">IF(Raw_Export!$A1887="","",IFERROR(VLOOKUP(LOWER(TRIM(Raw_Export!C1887)),Maps!$A$2:$B$20,2,FALSE()),"UNMAPPED"))</f>
        <v>Westlands</v>
      </c>
      <c r="D1887" s="36" t="str">
        <f aca="false">IF(Raw_Export!$A1887="","",IFERROR(VLOOKUP(LOWER(TRIM(Raw_Export!D1887)),Maps!$G$2:$I$80,2,FALSE()),"UNMAPPED"))</f>
        <v>Biscuits 200g</v>
      </c>
      <c r="E1887" s="36" t="str">
        <f aca="false">IF(Raw_Export!$A1887="","",IFERROR(VLOOKUP(LOWER(TRIM(Raw_Export!D1887)),Maps!$G$2:$I$80,3,FALSE()),"UNMAPPED"))</f>
        <v>Snacks</v>
      </c>
      <c r="F1887" s="36" t="n">
        <f aca="false">IF(Raw_Export!$A1887="","",IFERROR(VALUE(TRIM(Raw_Export!E1887)),0))</f>
        <v>1</v>
      </c>
      <c r="G1887" s="38" t="n">
        <f aca="false">IF(Raw_Export!$A1887="","",IFERROR(VALUE(SUBSTITUTE(SUBSTITUTE(UPPER(TRIM(Raw_Export!F1887)),"KES",""),",","")),0))</f>
        <v>95</v>
      </c>
      <c r="H1887" s="38" t="n">
        <f aca="false">IF(Raw_Export!$A1887="","",F1887*G1887)</f>
        <v>95</v>
      </c>
      <c r="I1887" s="36" t="str">
        <f aca="false">IF(Raw_Export!$A1887="","",IFERROR(VLOOKUP(LOWER(TRIM(Raw_Export!H1887)),Maps!$D$2:$E$12,2,FALSE()),"Other"))</f>
        <v>M-Pesa</v>
      </c>
      <c r="J1887" s="36" t="str">
        <f aca="false">IF(Raw_Export!$A1887="","",IF(COUNTIF($A$2:A1887,A1887)&gt;1,"Duplicate",""))</f>
        <v/>
      </c>
      <c r="K1887" s="36" t="str">
        <f aca="false">IF(Raw_Export!$A1887="","",IF(J1887="Duplicate","Duplicate",IF(OR(C1887="UNMAPPED",D1887="UNMAPPED"),"Unmapped",IF(F1887=0,"Blank qty",IF(F1887&lt;0,"Return","OK")))))</f>
        <v>OK</v>
      </c>
      <c r="L1887" s="36" t="n">
        <f aca="false">IF(Raw_Export!$A1887="","",IF(OR(K1887="OK",K1887="Return"),1,0))</f>
        <v>1</v>
      </c>
      <c r="M1887" s="37" t="n">
        <f aca="false">IF(Raw_Export!$A1887="","",B1887-WEEKDAY(B1887,2)+1)</f>
        <v>46272</v>
      </c>
    </row>
    <row r="1888" customFormat="false" ht="15" hidden="false" customHeight="false" outlineLevel="0" collapsed="false">
      <c r="A1888" s="36" t="str">
        <f aca="false">IF(Raw_Export!$A1888="","",TRIM(Raw_Export!A1888))</f>
        <v>TXN-101848</v>
      </c>
      <c r="B1888" s="37" t="n">
        <f aca="false">IF(Raw_Export!$A1888="","",IF(ISNUMBER(Raw_Export!B1888),Raw_Export!B1888,IF(MID(TRIM(Raw_Export!B1888),5,1)="-",DATE(LEFT(TRIM(Raw_Export!B1888),4),MID(TRIM(Raw_Export!B1888),6,2),RIGHT(TRIM(Raw_Export!B1888),2)),DATE(RIGHT(TRIM(Raw_Export!B1888),4),MATCH(MID(TRIM(Raw_Export!B1888),4,3),{"Jan","Feb","Mar","Apr","May","Jun","Jul","Aug","Sep","Oct","Nov","Dec"},0),LEFT(TRIM(Raw_Export!B1888),2)))))</f>
        <v>46277</v>
      </c>
      <c r="C1888" s="36" t="str">
        <f aca="false">IF(Raw_Export!$A1888="","",IFERROR(VLOOKUP(LOWER(TRIM(Raw_Export!C1888)),Maps!$A$2:$B$20,2,FALSE()),"UNMAPPED"))</f>
        <v>Westlands</v>
      </c>
      <c r="D1888" s="36" t="str">
        <f aca="false">IF(Raw_Export!$A1888="","",IFERROR(VLOOKUP(LOWER(TRIM(Raw_Export!D1888)),Maps!$G$2:$I$80,2,FALSE()),"UNMAPPED"))</f>
        <v>Matches 10pk</v>
      </c>
      <c r="E1888" s="36" t="str">
        <f aca="false">IF(Raw_Export!$A1888="","",IFERROR(VLOOKUP(LOWER(TRIM(Raw_Export!D1888)),Maps!$G$2:$I$80,3,FALSE()),"UNMAPPED"))</f>
        <v>Household</v>
      </c>
      <c r="F1888" s="36" t="n">
        <f aca="false">IF(Raw_Export!$A1888="","",IFERROR(VALUE(TRIM(Raw_Export!E1888)),0))</f>
        <v>2</v>
      </c>
      <c r="G1888" s="38" t="n">
        <f aca="false">IF(Raw_Export!$A1888="","",IFERROR(VALUE(SUBSTITUTE(SUBSTITUTE(UPPER(TRIM(Raw_Export!F1888)),"KES",""),",","")),0))</f>
        <v>50</v>
      </c>
      <c r="H1888" s="38" t="n">
        <f aca="false">IF(Raw_Export!$A1888="","",F1888*G1888)</f>
        <v>100</v>
      </c>
      <c r="I1888" s="36" t="str">
        <f aca="false">IF(Raw_Export!$A1888="","",IFERROR(VLOOKUP(LOWER(TRIM(Raw_Export!H1888)),Maps!$D$2:$E$12,2,FALSE()),"Other"))</f>
        <v>Cash</v>
      </c>
      <c r="J1888" s="36" t="str">
        <f aca="false">IF(Raw_Export!$A1888="","",IF(COUNTIF($A$2:A1888,A1888)&gt;1,"Duplicate",""))</f>
        <v/>
      </c>
      <c r="K1888" s="36" t="str">
        <f aca="false">IF(Raw_Export!$A1888="","",IF(J1888="Duplicate","Duplicate",IF(OR(C1888="UNMAPPED",D1888="UNMAPPED"),"Unmapped",IF(F1888=0,"Blank qty",IF(F1888&lt;0,"Return","OK")))))</f>
        <v>OK</v>
      </c>
      <c r="L1888" s="36" t="n">
        <f aca="false">IF(Raw_Export!$A1888="","",IF(OR(K1888="OK",K1888="Return"),1,0))</f>
        <v>1</v>
      </c>
      <c r="M1888" s="37" t="n">
        <f aca="false">IF(Raw_Export!$A1888="","",B1888-WEEKDAY(B1888,2)+1)</f>
        <v>46272</v>
      </c>
    </row>
    <row r="1889" customFormat="false" ht="15" hidden="false" customHeight="false" outlineLevel="0" collapsed="false">
      <c r="A1889" s="36" t="str">
        <f aca="false">IF(Raw_Export!$A1889="","",TRIM(Raw_Export!A1889))</f>
        <v>TXN-101849</v>
      </c>
      <c r="B1889" s="37" t="n">
        <f aca="false">IF(Raw_Export!$A1889="","",IF(ISNUMBER(Raw_Export!B1889),Raw_Export!B1889,IF(MID(TRIM(Raw_Export!B1889),5,1)="-",DATE(LEFT(TRIM(Raw_Export!B1889),4),MID(TRIM(Raw_Export!B1889),6,2),RIGHT(TRIM(Raw_Export!B1889),2)),DATE(RIGHT(TRIM(Raw_Export!B1889),4),MATCH(MID(TRIM(Raw_Export!B1889),4,3),{"Jan","Feb","Mar","Apr","May","Jun","Jul","Aug","Sep","Oct","Nov","Dec"},0),LEFT(TRIM(Raw_Export!B1889),2)))))</f>
        <v>46277</v>
      </c>
      <c r="C1889" s="36" t="str">
        <f aca="false">IF(Raw_Export!$A1889="","",IFERROR(VLOOKUP(LOWER(TRIM(Raw_Export!C1889)),Maps!$A$2:$B$20,2,FALSE()),"UNMAPPED"))</f>
        <v>Westlands</v>
      </c>
      <c r="D1889" s="36" t="str">
        <f aca="false">IF(Raw_Export!$A1889="","",IFERROR(VLOOKUP(LOWER(TRIM(Raw_Export!D1889)),Maps!$G$2:$I$80,2,FALSE()),"UNMAPPED"))</f>
        <v>Yoghurt 500ml</v>
      </c>
      <c r="E1889" s="36" t="str">
        <f aca="false">IF(Raw_Export!$A1889="","",IFERROR(VLOOKUP(LOWER(TRIM(Raw_Export!D1889)),Maps!$G$2:$I$80,3,FALSE()),"UNMAPPED"))</f>
        <v>Dairy &amp; Eggs</v>
      </c>
      <c r="F1889" s="36" t="n">
        <f aca="false">IF(Raw_Export!$A1889="","",IFERROR(VALUE(TRIM(Raw_Export!E1889)),0))</f>
        <v>1</v>
      </c>
      <c r="G1889" s="38" t="n">
        <f aca="false">IF(Raw_Export!$A1889="","",IFERROR(VALUE(SUBSTITUTE(SUBSTITUTE(UPPER(TRIM(Raw_Export!F1889)),"KES",""),",","")),0))</f>
        <v>120</v>
      </c>
      <c r="H1889" s="38" t="n">
        <f aca="false">IF(Raw_Export!$A1889="","",F1889*G1889)</f>
        <v>120</v>
      </c>
      <c r="I1889" s="36" t="str">
        <f aca="false">IF(Raw_Export!$A1889="","",IFERROR(VLOOKUP(LOWER(TRIM(Raw_Export!H1889)),Maps!$D$2:$E$12,2,FALSE()),"Other"))</f>
        <v>M-Pesa</v>
      </c>
      <c r="J1889" s="36" t="str">
        <f aca="false">IF(Raw_Export!$A1889="","",IF(COUNTIF($A$2:A1889,A1889)&gt;1,"Duplicate",""))</f>
        <v/>
      </c>
      <c r="K1889" s="36" t="str">
        <f aca="false">IF(Raw_Export!$A1889="","",IF(J1889="Duplicate","Duplicate",IF(OR(C1889="UNMAPPED",D1889="UNMAPPED"),"Unmapped",IF(F1889=0,"Blank qty",IF(F1889&lt;0,"Return","OK")))))</f>
        <v>OK</v>
      </c>
      <c r="L1889" s="36" t="n">
        <f aca="false">IF(Raw_Export!$A1889="","",IF(OR(K1889="OK",K1889="Return"),1,0))</f>
        <v>1</v>
      </c>
      <c r="M1889" s="37" t="n">
        <f aca="false">IF(Raw_Export!$A1889="","",B1889-WEEKDAY(B1889,2)+1)</f>
        <v>46272</v>
      </c>
    </row>
    <row r="1890" customFormat="false" ht="15" hidden="false" customHeight="false" outlineLevel="0" collapsed="false">
      <c r="A1890" s="36" t="str">
        <f aca="false">IF(Raw_Export!$A1890="","",TRIM(Raw_Export!A1890))</f>
        <v>TXN-101850</v>
      </c>
      <c r="B1890" s="37" t="n">
        <f aca="false">IF(Raw_Export!$A1890="","",IF(ISNUMBER(Raw_Export!B1890),Raw_Export!B1890,IF(MID(TRIM(Raw_Export!B1890),5,1)="-",DATE(LEFT(TRIM(Raw_Export!B1890),4),MID(TRIM(Raw_Export!B1890),6,2),RIGHT(TRIM(Raw_Export!B1890),2)),DATE(RIGHT(TRIM(Raw_Export!B1890),4),MATCH(MID(TRIM(Raw_Export!B1890),4,3),{"Jan","Feb","Mar","Apr","May","Jun","Jul","Aug","Sep","Oct","Nov","Dec"},0),LEFT(TRIM(Raw_Export!B1890),2)))))</f>
        <v>46277</v>
      </c>
      <c r="C1890" s="36" t="str">
        <f aca="false">IF(Raw_Export!$A1890="","",IFERROR(VLOOKUP(LOWER(TRIM(Raw_Export!C1890)),Maps!$A$2:$B$20,2,FALSE()),"UNMAPPED"))</f>
        <v>Westlands</v>
      </c>
      <c r="D1890" s="36" t="str">
        <f aca="false">IF(Raw_Export!$A1890="","",IFERROR(VLOOKUP(LOWER(TRIM(Raw_Export!D1890)),Maps!$G$2:$I$80,2,FALSE()),"UNMAPPED"))</f>
        <v>Juice 1L</v>
      </c>
      <c r="E1890" s="36" t="str">
        <f aca="false">IF(Raw_Export!$A1890="","",IFERROR(VLOOKUP(LOWER(TRIM(Raw_Export!D1890)),Maps!$G$2:$I$80,3,FALSE()),"UNMAPPED"))</f>
        <v>Beverages</v>
      </c>
      <c r="F1890" s="36" t="n">
        <f aca="false">IF(Raw_Export!$A1890="","",IFERROR(VALUE(TRIM(Raw_Export!E1890)),0))</f>
        <v>2</v>
      </c>
      <c r="G1890" s="38" t="n">
        <f aca="false">IF(Raw_Export!$A1890="","",IFERROR(VALUE(SUBSTITUTE(SUBSTITUTE(UPPER(TRIM(Raw_Export!F1890)),"KES",""),",","")),0))</f>
        <v>210</v>
      </c>
      <c r="H1890" s="38" t="n">
        <f aca="false">IF(Raw_Export!$A1890="","",F1890*G1890)</f>
        <v>420</v>
      </c>
      <c r="I1890" s="36" t="str">
        <f aca="false">IF(Raw_Export!$A1890="","",IFERROR(VLOOKUP(LOWER(TRIM(Raw_Export!H1890)),Maps!$D$2:$E$12,2,FALSE()),"Other"))</f>
        <v>Card</v>
      </c>
      <c r="J1890" s="36" t="str">
        <f aca="false">IF(Raw_Export!$A1890="","",IF(COUNTIF($A$2:A1890,A1890)&gt;1,"Duplicate",""))</f>
        <v/>
      </c>
      <c r="K1890" s="36" t="str">
        <f aca="false">IF(Raw_Export!$A1890="","",IF(J1890="Duplicate","Duplicate",IF(OR(C1890="UNMAPPED",D1890="UNMAPPED"),"Unmapped",IF(F1890=0,"Blank qty",IF(F1890&lt;0,"Return","OK")))))</f>
        <v>OK</v>
      </c>
      <c r="L1890" s="36" t="n">
        <f aca="false">IF(Raw_Export!$A1890="","",IF(OR(K1890="OK",K1890="Return"),1,0))</f>
        <v>1</v>
      </c>
      <c r="M1890" s="37" t="n">
        <f aca="false">IF(Raw_Export!$A1890="","",B1890-WEEKDAY(B1890,2)+1)</f>
        <v>46272</v>
      </c>
    </row>
    <row r="1891" customFormat="false" ht="15" hidden="false" customHeight="false" outlineLevel="0" collapsed="false">
      <c r="A1891" s="36" t="str">
        <f aca="false">IF(Raw_Export!$A1891="","",TRIM(Raw_Export!A1891))</f>
        <v>TXN-101851</v>
      </c>
      <c r="B1891" s="37" t="n">
        <f aca="false">IF(Raw_Export!$A1891="","",IF(ISNUMBER(Raw_Export!B1891),Raw_Export!B1891,IF(MID(TRIM(Raw_Export!B1891),5,1)="-",DATE(LEFT(TRIM(Raw_Export!B1891),4),MID(TRIM(Raw_Export!B1891),6,2),RIGHT(TRIM(Raw_Export!B1891),2)),DATE(RIGHT(TRIM(Raw_Export!B1891),4),MATCH(MID(TRIM(Raw_Export!B1891),4,3),{"Jan","Feb","Mar","Apr","May","Jun","Jul","Aug","Sep","Oct","Nov","Dec"},0),LEFT(TRIM(Raw_Export!B1891),2)))))</f>
        <v>46277</v>
      </c>
      <c r="C1891" s="36" t="str">
        <f aca="false">IF(Raw_Export!$A1891="","",IFERROR(VLOOKUP(LOWER(TRIM(Raw_Export!C1891)),Maps!$A$2:$B$20,2,FALSE()),"UNMAPPED"))</f>
        <v>Westlands</v>
      </c>
      <c r="D1891" s="36" t="str">
        <f aca="false">IF(Raw_Export!$A1891="","",IFERROR(VLOOKUP(LOWER(TRIM(Raw_Export!D1891)),Maps!$G$2:$I$80,2,FALSE()),"UNMAPPED"))</f>
        <v>Soda 500ml</v>
      </c>
      <c r="E1891" s="36" t="str">
        <f aca="false">IF(Raw_Export!$A1891="","",IFERROR(VLOOKUP(LOWER(TRIM(Raw_Export!D1891)),Maps!$G$2:$I$80,3,FALSE()),"UNMAPPED"))</f>
        <v>Beverages</v>
      </c>
      <c r="F1891" s="36" t="n">
        <f aca="false">IF(Raw_Export!$A1891="","",IFERROR(VALUE(TRIM(Raw_Export!E1891)),0))</f>
        <v>1</v>
      </c>
      <c r="G1891" s="38" t="n">
        <f aca="false">IF(Raw_Export!$A1891="","",IFERROR(VALUE(SUBSTITUTE(SUBSTITUTE(UPPER(TRIM(Raw_Export!F1891)),"KES",""),",","")),0))</f>
        <v>60</v>
      </c>
      <c r="H1891" s="38" t="n">
        <f aca="false">IF(Raw_Export!$A1891="","",F1891*G1891)</f>
        <v>60</v>
      </c>
      <c r="I1891" s="36" t="str">
        <f aca="false">IF(Raw_Export!$A1891="","",IFERROR(VLOOKUP(LOWER(TRIM(Raw_Export!H1891)),Maps!$D$2:$E$12,2,FALSE()),"Other"))</f>
        <v>M-Pesa</v>
      </c>
      <c r="J1891" s="36" t="str">
        <f aca="false">IF(Raw_Export!$A1891="","",IF(COUNTIF($A$2:A1891,A1891)&gt;1,"Duplicate",""))</f>
        <v/>
      </c>
      <c r="K1891" s="36" t="str">
        <f aca="false">IF(Raw_Export!$A1891="","",IF(J1891="Duplicate","Duplicate",IF(OR(C1891="UNMAPPED",D1891="UNMAPPED"),"Unmapped",IF(F1891=0,"Blank qty",IF(F1891&lt;0,"Return","OK")))))</f>
        <v>OK</v>
      </c>
      <c r="L1891" s="36" t="n">
        <f aca="false">IF(Raw_Export!$A1891="","",IF(OR(K1891="OK",K1891="Return"),1,0))</f>
        <v>1</v>
      </c>
      <c r="M1891" s="37" t="n">
        <f aca="false">IF(Raw_Export!$A1891="","",B1891-WEEKDAY(B1891,2)+1)</f>
        <v>46272</v>
      </c>
    </row>
    <row r="1892" customFormat="false" ht="15" hidden="false" customHeight="false" outlineLevel="0" collapsed="false">
      <c r="A1892" s="36" t="str">
        <f aca="false">IF(Raw_Export!$A1892="","",TRIM(Raw_Export!A1892))</f>
        <v>TXN-101852</v>
      </c>
      <c r="B1892" s="37" t="n">
        <f aca="false">IF(Raw_Export!$A1892="","",IF(ISNUMBER(Raw_Export!B1892),Raw_Export!B1892,IF(MID(TRIM(Raw_Export!B1892),5,1)="-",DATE(LEFT(TRIM(Raw_Export!B1892),4),MID(TRIM(Raw_Export!B1892),6,2),RIGHT(TRIM(Raw_Export!B1892),2)),DATE(RIGHT(TRIM(Raw_Export!B1892),4),MATCH(MID(TRIM(Raw_Export!B1892),4,3),{"Jan","Feb","Mar","Apr","May","Jun","Jul","Aug","Sep","Oct","Nov","Dec"},0),LEFT(TRIM(Raw_Export!B1892),2)))))</f>
        <v>46277</v>
      </c>
      <c r="C1892" s="36" t="str">
        <f aca="false">IF(Raw_Export!$A1892="","",IFERROR(VLOOKUP(LOWER(TRIM(Raw_Export!C1892)),Maps!$A$2:$B$20,2,FALSE()),"UNMAPPED"))</f>
        <v>Westlands</v>
      </c>
      <c r="D1892" s="36" t="str">
        <f aca="false">IF(Raw_Export!$A1892="","",IFERROR(VLOOKUP(LOWER(TRIM(Raw_Export!D1892)),Maps!$G$2:$I$80,2,FALSE()),"UNMAPPED"))</f>
        <v>Matches 10pk</v>
      </c>
      <c r="E1892" s="36" t="str">
        <f aca="false">IF(Raw_Export!$A1892="","",IFERROR(VLOOKUP(LOWER(TRIM(Raw_Export!D1892)),Maps!$G$2:$I$80,3,FALSE()),"UNMAPPED"))</f>
        <v>Household</v>
      </c>
      <c r="F1892" s="36" t="n">
        <f aca="false">IF(Raw_Export!$A1892="","",IFERROR(VALUE(TRIM(Raw_Export!E1892)),0))</f>
        <v>1</v>
      </c>
      <c r="G1892" s="38" t="n">
        <f aca="false">IF(Raw_Export!$A1892="","",IFERROR(VALUE(SUBSTITUTE(SUBSTITUTE(UPPER(TRIM(Raw_Export!F1892)),"KES",""),",","")),0))</f>
        <v>50</v>
      </c>
      <c r="H1892" s="38" t="n">
        <f aca="false">IF(Raw_Export!$A1892="","",F1892*G1892)</f>
        <v>50</v>
      </c>
      <c r="I1892" s="36" t="str">
        <f aca="false">IF(Raw_Export!$A1892="","",IFERROR(VLOOKUP(LOWER(TRIM(Raw_Export!H1892)),Maps!$D$2:$E$12,2,FALSE()),"Other"))</f>
        <v>M-Pesa</v>
      </c>
      <c r="J1892" s="36" t="str">
        <f aca="false">IF(Raw_Export!$A1892="","",IF(COUNTIF($A$2:A1892,A1892)&gt;1,"Duplicate",""))</f>
        <v/>
      </c>
      <c r="K1892" s="36" t="str">
        <f aca="false">IF(Raw_Export!$A1892="","",IF(J1892="Duplicate","Duplicate",IF(OR(C1892="UNMAPPED",D1892="UNMAPPED"),"Unmapped",IF(F1892=0,"Blank qty",IF(F1892&lt;0,"Return","OK")))))</f>
        <v>OK</v>
      </c>
      <c r="L1892" s="36" t="n">
        <f aca="false">IF(Raw_Export!$A1892="","",IF(OR(K1892="OK",K1892="Return"),1,0))</f>
        <v>1</v>
      </c>
      <c r="M1892" s="37" t="n">
        <f aca="false">IF(Raw_Export!$A1892="","",B1892-WEEKDAY(B1892,2)+1)</f>
        <v>46272</v>
      </c>
    </row>
    <row r="1893" customFormat="false" ht="15" hidden="false" customHeight="false" outlineLevel="0" collapsed="false">
      <c r="A1893" s="36" t="str">
        <f aca="false">IF(Raw_Export!$A1893="","",TRIM(Raw_Export!A1893))</f>
        <v>TXN-101853</v>
      </c>
      <c r="B1893" s="37" t="n">
        <f aca="false">IF(Raw_Export!$A1893="","",IF(ISNUMBER(Raw_Export!B1893),Raw_Export!B1893,IF(MID(TRIM(Raw_Export!B1893),5,1)="-",DATE(LEFT(TRIM(Raw_Export!B1893),4),MID(TRIM(Raw_Export!B1893),6,2),RIGHT(TRIM(Raw_Export!B1893),2)),DATE(RIGHT(TRIM(Raw_Export!B1893),4),MATCH(MID(TRIM(Raw_Export!B1893),4,3),{"Jan","Feb","Mar","Apr","May","Jun","Jul","Aug","Sep","Oct","Nov","Dec"},0),LEFT(TRIM(Raw_Export!B1893),2)))))</f>
        <v>46277</v>
      </c>
      <c r="C1893" s="36" t="str">
        <f aca="false">IF(Raw_Export!$A1893="","",IFERROR(VLOOKUP(LOWER(TRIM(Raw_Export!C1893)),Maps!$A$2:$B$20,2,FALSE()),"UNMAPPED"))</f>
        <v>Westlands</v>
      </c>
      <c r="D1893" s="36" t="str">
        <f aca="false">IF(Raw_Export!$A1893="","",IFERROR(VLOOKUP(LOWER(TRIM(Raw_Export!D1893)),Maps!$G$2:$I$80,2,FALSE()),"UNMAPPED"))</f>
        <v>Dish Soap 750ml</v>
      </c>
      <c r="E1893" s="36" t="str">
        <f aca="false">IF(Raw_Export!$A1893="","",IFERROR(VLOOKUP(LOWER(TRIM(Raw_Export!D1893)),Maps!$G$2:$I$80,3,FALSE()),"UNMAPPED"))</f>
        <v>Household</v>
      </c>
      <c r="F1893" s="36" t="n">
        <f aca="false">IF(Raw_Export!$A1893="","",IFERROR(VALUE(TRIM(Raw_Export!E1893)),0))</f>
        <v>1</v>
      </c>
      <c r="G1893" s="38" t="n">
        <f aca="false">IF(Raw_Export!$A1893="","",IFERROR(VALUE(SUBSTITUTE(SUBSTITUTE(UPPER(TRIM(Raw_Export!F1893)),"KES",""),",","")),0))</f>
        <v>190</v>
      </c>
      <c r="H1893" s="38" t="n">
        <f aca="false">IF(Raw_Export!$A1893="","",F1893*G1893)</f>
        <v>190</v>
      </c>
      <c r="I1893" s="36" t="str">
        <f aca="false">IF(Raw_Export!$A1893="","",IFERROR(VLOOKUP(LOWER(TRIM(Raw_Export!H1893)),Maps!$D$2:$E$12,2,FALSE()),"Other"))</f>
        <v>M-Pesa</v>
      </c>
      <c r="J1893" s="36" t="str">
        <f aca="false">IF(Raw_Export!$A1893="","",IF(COUNTIF($A$2:A1893,A1893)&gt;1,"Duplicate",""))</f>
        <v/>
      </c>
      <c r="K1893" s="36" t="str">
        <f aca="false">IF(Raw_Export!$A1893="","",IF(J1893="Duplicate","Duplicate",IF(OR(C1893="UNMAPPED",D1893="UNMAPPED"),"Unmapped",IF(F1893=0,"Blank qty",IF(F1893&lt;0,"Return","OK")))))</f>
        <v>OK</v>
      </c>
      <c r="L1893" s="36" t="n">
        <f aca="false">IF(Raw_Export!$A1893="","",IF(OR(K1893="OK",K1893="Return"),1,0))</f>
        <v>1</v>
      </c>
      <c r="M1893" s="37" t="n">
        <f aca="false">IF(Raw_Export!$A1893="","",B1893-WEEKDAY(B1893,2)+1)</f>
        <v>46272</v>
      </c>
    </row>
    <row r="1894" customFormat="false" ht="15" hidden="false" customHeight="false" outlineLevel="0" collapsed="false">
      <c r="A1894" s="36" t="str">
        <f aca="false">IF(Raw_Export!$A1894="","",TRIM(Raw_Export!A1894))</f>
        <v>TXN-101854</v>
      </c>
      <c r="B1894" s="37" t="n">
        <f aca="false">IF(Raw_Export!$A1894="","",IF(ISNUMBER(Raw_Export!B1894),Raw_Export!B1894,IF(MID(TRIM(Raw_Export!B1894),5,1)="-",DATE(LEFT(TRIM(Raw_Export!B1894),4),MID(TRIM(Raw_Export!B1894),6,2),RIGHT(TRIM(Raw_Export!B1894),2)),DATE(RIGHT(TRIM(Raw_Export!B1894),4),MATCH(MID(TRIM(Raw_Export!B1894),4,3),{"Jan","Feb","Mar","Apr","May","Jun","Jul","Aug","Sep","Oct","Nov","Dec"},0),LEFT(TRIM(Raw_Export!B1894),2)))))</f>
        <v>46277</v>
      </c>
      <c r="C1894" s="36" t="str">
        <f aca="false">IF(Raw_Export!$A1894="","",IFERROR(VLOOKUP(LOWER(TRIM(Raw_Export!C1894)),Maps!$A$2:$B$20,2,FALSE()),"UNMAPPED"))</f>
        <v>Westlands</v>
      </c>
      <c r="D1894" s="36" t="str">
        <f aca="false">IF(Raw_Export!$A1894="","",IFERROR(VLOOKUP(LOWER(TRIM(Raw_Export!D1894)),Maps!$G$2:$I$80,2,FALSE()),"UNMAPPED"))</f>
        <v>Bread Loaf 400g</v>
      </c>
      <c r="E1894" s="36" t="str">
        <f aca="false">IF(Raw_Export!$A1894="","",IFERROR(VLOOKUP(LOWER(TRIM(Raw_Export!D1894)),Maps!$G$2:$I$80,3,FALSE()),"UNMAPPED"))</f>
        <v>Snacks</v>
      </c>
      <c r="F1894" s="36" t="n">
        <f aca="false">IF(Raw_Export!$A1894="","",IFERROR(VALUE(TRIM(Raw_Export!E1894)),0))</f>
        <v>1</v>
      </c>
      <c r="G1894" s="38" t="n">
        <f aca="false">IF(Raw_Export!$A1894="","",IFERROR(VALUE(SUBSTITUTE(SUBSTITUTE(UPPER(TRIM(Raw_Export!F1894)),"KES",""),",","")),0))</f>
        <v>65</v>
      </c>
      <c r="H1894" s="38" t="n">
        <f aca="false">IF(Raw_Export!$A1894="","",F1894*G1894)</f>
        <v>65</v>
      </c>
      <c r="I1894" s="36" t="str">
        <f aca="false">IF(Raw_Export!$A1894="","",IFERROR(VLOOKUP(LOWER(TRIM(Raw_Export!H1894)),Maps!$D$2:$E$12,2,FALSE()),"Other"))</f>
        <v>Cash</v>
      </c>
      <c r="J1894" s="36" t="str">
        <f aca="false">IF(Raw_Export!$A1894="","",IF(COUNTIF($A$2:A1894,A1894)&gt;1,"Duplicate",""))</f>
        <v/>
      </c>
      <c r="K1894" s="36" t="str">
        <f aca="false">IF(Raw_Export!$A1894="","",IF(J1894="Duplicate","Duplicate",IF(OR(C1894="UNMAPPED",D1894="UNMAPPED"),"Unmapped",IF(F1894=0,"Blank qty",IF(F1894&lt;0,"Return","OK")))))</f>
        <v>OK</v>
      </c>
      <c r="L1894" s="36" t="n">
        <f aca="false">IF(Raw_Export!$A1894="","",IF(OR(K1894="OK",K1894="Return"),1,0))</f>
        <v>1</v>
      </c>
      <c r="M1894" s="37" t="n">
        <f aca="false">IF(Raw_Export!$A1894="","",B1894-WEEKDAY(B1894,2)+1)</f>
        <v>46272</v>
      </c>
    </row>
    <row r="1895" customFormat="false" ht="15" hidden="false" customHeight="false" outlineLevel="0" collapsed="false">
      <c r="A1895" s="36" t="str">
        <f aca="false">IF(Raw_Export!$A1895="","",TRIM(Raw_Export!A1895))</f>
        <v>TXN-101855</v>
      </c>
      <c r="B1895" s="37" t="n">
        <f aca="false">IF(Raw_Export!$A1895="","",IF(ISNUMBER(Raw_Export!B1895),Raw_Export!B1895,IF(MID(TRIM(Raw_Export!B1895),5,1)="-",DATE(LEFT(TRIM(Raw_Export!B1895),4),MID(TRIM(Raw_Export!B1895),6,2),RIGHT(TRIM(Raw_Export!B1895),2)),DATE(RIGHT(TRIM(Raw_Export!B1895),4),MATCH(MID(TRIM(Raw_Export!B1895),4,3),{"Jan","Feb","Mar","Apr","May","Jun","Jul","Aug","Sep","Oct","Nov","Dec"},0),LEFT(TRIM(Raw_Export!B1895),2)))))</f>
        <v>46277</v>
      </c>
      <c r="C1895" s="36" t="str">
        <f aca="false">IF(Raw_Export!$A1895="","",IFERROR(VLOOKUP(LOWER(TRIM(Raw_Export!C1895)),Maps!$A$2:$B$20,2,FALSE()),"UNMAPPED"))</f>
        <v>Westlands</v>
      </c>
      <c r="D1895" s="36" t="str">
        <f aca="false">IF(Raw_Export!$A1895="","",IFERROR(VLOOKUP(LOWER(TRIM(Raw_Export!D1895)),Maps!$G$2:$I$80,2,FALSE()),"UNMAPPED"))</f>
        <v>Bottled Water 1.5L</v>
      </c>
      <c r="E1895" s="36" t="str">
        <f aca="false">IF(Raw_Export!$A1895="","",IFERROR(VLOOKUP(LOWER(TRIM(Raw_Export!D1895)),Maps!$G$2:$I$80,3,FALSE()),"UNMAPPED"))</f>
        <v>Beverages</v>
      </c>
      <c r="F1895" s="36" t="n">
        <f aca="false">IF(Raw_Export!$A1895="","",IFERROR(VALUE(TRIM(Raw_Export!E1895)),0))</f>
        <v>4</v>
      </c>
      <c r="G1895" s="38" t="n">
        <f aca="false">IF(Raw_Export!$A1895="","",IFERROR(VALUE(SUBSTITUTE(SUBSTITUTE(UPPER(TRIM(Raw_Export!F1895)),"KES",""),",","")),0))</f>
        <v>90</v>
      </c>
      <c r="H1895" s="38" t="n">
        <f aca="false">IF(Raw_Export!$A1895="","",F1895*G1895)</f>
        <v>360</v>
      </c>
      <c r="I1895" s="36" t="str">
        <f aca="false">IF(Raw_Export!$A1895="","",IFERROR(VLOOKUP(LOWER(TRIM(Raw_Export!H1895)),Maps!$D$2:$E$12,2,FALSE()),"Other"))</f>
        <v>Card</v>
      </c>
      <c r="J1895" s="36" t="str">
        <f aca="false">IF(Raw_Export!$A1895="","",IF(COUNTIF($A$2:A1895,A1895)&gt;1,"Duplicate",""))</f>
        <v/>
      </c>
      <c r="K1895" s="36" t="str">
        <f aca="false">IF(Raw_Export!$A1895="","",IF(J1895="Duplicate","Duplicate",IF(OR(C1895="UNMAPPED",D1895="UNMAPPED"),"Unmapped",IF(F1895=0,"Blank qty",IF(F1895&lt;0,"Return","OK")))))</f>
        <v>OK</v>
      </c>
      <c r="L1895" s="36" t="n">
        <f aca="false">IF(Raw_Export!$A1895="","",IF(OR(K1895="OK",K1895="Return"),1,0))</f>
        <v>1</v>
      </c>
      <c r="M1895" s="37" t="n">
        <f aca="false">IF(Raw_Export!$A1895="","",B1895-WEEKDAY(B1895,2)+1)</f>
        <v>46272</v>
      </c>
    </row>
    <row r="1896" customFormat="false" ht="15" hidden="false" customHeight="false" outlineLevel="0" collapsed="false">
      <c r="A1896" s="36" t="str">
        <f aca="false">IF(Raw_Export!$A1896="","",TRIM(Raw_Export!A1896))</f>
        <v>TXN-101856</v>
      </c>
      <c r="B1896" s="37" t="n">
        <f aca="false">IF(Raw_Export!$A1896="","",IF(ISNUMBER(Raw_Export!B1896),Raw_Export!B1896,IF(MID(TRIM(Raw_Export!B1896),5,1)="-",DATE(LEFT(TRIM(Raw_Export!B1896),4),MID(TRIM(Raw_Export!B1896),6,2),RIGHT(TRIM(Raw_Export!B1896),2)),DATE(RIGHT(TRIM(Raw_Export!B1896),4),MATCH(MID(TRIM(Raw_Export!B1896),4,3),{"Jan","Feb","Mar","Apr","May","Jun","Jul","Aug","Sep","Oct","Nov","Dec"},0),LEFT(TRIM(Raw_Export!B1896),2)))))</f>
        <v>46277</v>
      </c>
      <c r="C1896" s="36" t="str">
        <f aca="false">IF(Raw_Export!$A1896="","",IFERROR(VLOOKUP(LOWER(TRIM(Raw_Export!C1896)),Maps!$A$2:$B$20,2,FALSE()),"UNMAPPED"))</f>
        <v>Westlands</v>
      </c>
      <c r="D1896" s="36" t="str">
        <f aca="false">IF(Raw_Export!$A1896="","",IFERROR(VLOOKUP(LOWER(TRIM(Raw_Export!D1896)),Maps!$G$2:$I$80,2,FALSE()),"UNMAPPED"))</f>
        <v>UNMAPPED</v>
      </c>
      <c r="E1896" s="36" t="str">
        <f aca="false">IF(Raw_Export!$A1896="","",IFERROR(VLOOKUP(LOWER(TRIM(Raw_Export!D1896)),Maps!$G$2:$I$80,3,FALSE()),"UNMAPPED"))</f>
        <v>UNMAPPED</v>
      </c>
      <c r="F1896" s="36" t="n">
        <f aca="false">IF(Raw_Export!$A1896="","",IFERROR(VALUE(TRIM(Raw_Export!E1896)),0))</f>
        <v>1</v>
      </c>
      <c r="G1896" s="38" t="n">
        <f aca="false">IF(Raw_Export!$A1896="","",IFERROR(VALUE(SUBSTITUTE(SUBSTITUTE(UPPER(TRIM(Raw_Export!F1896)),"KES",""),",","")),0))</f>
        <v>65</v>
      </c>
      <c r="H1896" s="38" t="n">
        <f aca="false">IF(Raw_Export!$A1896="","",F1896*G1896)</f>
        <v>65</v>
      </c>
      <c r="I1896" s="36" t="str">
        <f aca="false">IF(Raw_Export!$A1896="","",IFERROR(VLOOKUP(LOWER(TRIM(Raw_Export!H1896)),Maps!$D$2:$E$12,2,FALSE()),"Other"))</f>
        <v>Cash</v>
      </c>
      <c r="J1896" s="36" t="str">
        <f aca="false">IF(Raw_Export!$A1896="","",IF(COUNTIF($A$2:A1896,A1896)&gt;1,"Duplicate",""))</f>
        <v/>
      </c>
      <c r="K1896" s="36" t="str">
        <f aca="false">IF(Raw_Export!$A1896="","",IF(J1896="Duplicate","Duplicate",IF(OR(C1896="UNMAPPED",D1896="UNMAPPED"),"Unmapped",IF(F1896=0,"Blank qty",IF(F1896&lt;0,"Return","OK")))))</f>
        <v>Unmapped</v>
      </c>
      <c r="L1896" s="36" t="n">
        <f aca="false">IF(Raw_Export!$A1896="","",IF(OR(K1896="OK",K1896="Return"),1,0))</f>
        <v>0</v>
      </c>
      <c r="M1896" s="37" t="n">
        <f aca="false">IF(Raw_Export!$A1896="","",B1896-WEEKDAY(B1896,2)+1)</f>
        <v>46272</v>
      </c>
    </row>
    <row r="1897" customFormat="false" ht="15" hidden="false" customHeight="false" outlineLevel="0" collapsed="false">
      <c r="A1897" s="36" t="str">
        <f aca="false">IF(Raw_Export!$A1897="","",TRIM(Raw_Export!A1897))</f>
        <v>TXN-101857</v>
      </c>
      <c r="B1897" s="37" t="n">
        <f aca="false">IF(Raw_Export!$A1897="","",IF(ISNUMBER(Raw_Export!B1897),Raw_Export!B1897,IF(MID(TRIM(Raw_Export!B1897),5,1)="-",DATE(LEFT(TRIM(Raw_Export!B1897),4),MID(TRIM(Raw_Export!B1897),6,2),RIGHT(TRIM(Raw_Export!B1897),2)),DATE(RIGHT(TRIM(Raw_Export!B1897),4),MATCH(MID(TRIM(Raw_Export!B1897),4,3),{"Jan","Feb","Mar","Apr","May","Jun","Jul","Aug","Sep","Oct","Nov","Dec"},0),LEFT(TRIM(Raw_Export!B1897),2)))))</f>
        <v>46277</v>
      </c>
      <c r="C1897" s="36" t="str">
        <f aca="false">IF(Raw_Export!$A1897="","",IFERROR(VLOOKUP(LOWER(TRIM(Raw_Export!C1897)),Maps!$A$2:$B$20,2,FALSE()),"UNMAPPED"))</f>
        <v>Westlands</v>
      </c>
      <c r="D1897" s="36" t="str">
        <f aca="false">IF(Raw_Export!$A1897="","",IFERROR(VLOOKUP(LOWER(TRIM(Raw_Export!D1897)),Maps!$G$2:$I$80,2,FALSE()),"UNMAPPED"))</f>
        <v>Rice Pishori 2kg</v>
      </c>
      <c r="E1897" s="36" t="str">
        <f aca="false">IF(Raw_Export!$A1897="","",IFERROR(VLOOKUP(LOWER(TRIM(Raw_Export!D1897)),Maps!$G$2:$I$80,3,FALSE()),"UNMAPPED"))</f>
        <v>Staples</v>
      </c>
      <c r="F1897" s="36" t="n">
        <f aca="false">IF(Raw_Export!$A1897="","",IFERROR(VALUE(TRIM(Raw_Export!E1897)),0))</f>
        <v>1</v>
      </c>
      <c r="G1897" s="38" t="n">
        <f aca="false">IF(Raw_Export!$A1897="","",IFERROR(VALUE(SUBSTITUTE(SUBSTITUTE(UPPER(TRIM(Raw_Export!F1897)),"KES",""),",","")),0))</f>
        <v>420</v>
      </c>
      <c r="H1897" s="38" t="n">
        <f aca="false">IF(Raw_Export!$A1897="","",F1897*G1897)</f>
        <v>420</v>
      </c>
      <c r="I1897" s="36" t="str">
        <f aca="false">IF(Raw_Export!$A1897="","",IFERROR(VLOOKUP(LOWER(TRIM(Raw_Export!H1897)),Maps!$D$2:$E$12,2,FALSE()),"Other"))</f>
        <v>Card</v>
      </c>
      <c r="J1897" s="36" t="str">
        <f aca="false">IF(Raw_Export!$A1897="","",IF(COUNTIF($A$2:A1897,A1897)&gt;1,"Duplicate",""))</f>
        <v>Duplicate</v>
      </c>
      <c r="K1897" s="36" t="str">
        <f aca="false">IF(Raw_Export!$A1897="","",IF(J1897="Duplicate","Duplicate",IF(OR(C1897="UNMAPPED",D1897="UNMAPPED"),"Unmapped",IF(F1897=0,"Blank qty",IF(F1897&lt;0,"Return","OK")))))</f>
        <v>Duplicate</v>
      </c>
      <c r="L1897" s="36" t="n">
        <f aca="false">IF(Raw_Export!$A1897="","",IF(OR(K1897="OK",K1897="Return"),1,0))</f>
        <v>0</v>
      </c>
      <c r="M1897" s="37" t="n">
        <f aca="false">IF(Raw_Export!$A1897="","",B1897-WEEKDAY(B1897,2)+1)</f>
        <v>46272</v>
      </c>
    </row>
    <row r="1898" customFormat="false" ht="15" hidden="false" customHeight="false" outlineLevel="0" collapsed="false">
      <c r="A1898" s="36" t="str">
        <f aca="false">IF(Raw_Export!$A1898="","",TRIM(Raw_Export!A1898))</f>
        <v>TXN-101858</v>
      </c>
      <c r="B1898" s="37" t="n">
        <f aca="false">IF(Raw_Export!$A1898="","",IF(ISNUMBER(Raw_Export!B1898),Raw_Export!B1898,IF(MID(TRIM(Raw_Export!B1898),5,1)="-",DATE(LEFT(TRIM(Raw_Export!B1898),4),MID(TRIM(Raw_Export!B1898),6,2),RIGHT(TRIM(Raw_Export!B1898),2)),DATE(RIGHT(TRIM(Raw_Export!B1898),4),MATCH(MID(TRIM(Raw_Export!B1898),4,3),{"Jan","Feb","Mar","Apr","May","Jun","Jul","Aug","Sep","Oct","Nov","Dec"},0),LEFT(TRIM(Raw_Export!B1898),2)))))</f>
        <v>46277</v>
      </c>
      <c r="C1898" s="36" t="str">
        <f aca="false">IF(Raw_Export!$A1898="","",IFERROR(VLOOKUP(LOWER(TRIM(Raw_Export!C1898)),Maps!$A$2:$B$20,2,FALSE()),"UNMAPPED"))</f>
        <v>Westlands</v>
      </c>
      <c r="D1898" s="36" t="str">
        <f aca="false">IF(Raw_Export!$A1898="","",IFERROR(VLOOKUP(LOWER(TRIM(Raw_Export!D1898)),Maps!$G$2:$I$80,2,FALSE()),"UNMAPPED"))</f>
        <v>Peanuts 250g</v>
      </c>
      <c r="E1898" s="36" t="str">
        <f aca="false">IF(Raw_Export!$A1898="","",IFERROR(VLOOKUP(LOWER(TRIM(Raw_Export!D1898)),Maps!$G$2:$I$80,3,FALSE()),"UNMAPPED"))</f>
        <v>Snacks</v>
      </c>
      <c r="F1898" s="36" t="n">
        <f aca="false">IF(Raw_Export!$A1898="","",IFERROR(VALUE(TRIM(Raw_Export!E1898)),0))</f>
        <v>3</v>
      </c>
      <c r="G1898" s="38" t="n">
        <f aca="false">IF(Raw_Export!$A1898="","",IFERROR(VALUE(SUBSTITUTE(SUBSTITUTE(UPPER(TRIM(Raw_Export!F1898)),"KES",""),",","")),0))</f>
        <v>130</v>
      </c>
      <c r="H1898" s="38" t="n">
        <f aca="false">IF(Raw_Export!$A1898="","",F1898*G1898)</f>
        <v>390</v>
      </c>
      <c r="I1898" s="36" t="str">
        <f aca="false">IF(Raw_Export!$A1898="","",IFERROR(VLOOKUP(LOWER(TRIM(Raw_Export!H1898)),Maps!$D$2:$E$12,2,FALSE()),"Other"))</f>
        <v>Cash</v>
      </c>
      <c r="J1898" s="36" t="str">
        <f aca="false">IF(Raw_Export!$A1898="","",IF(COUNTIF($A$2:A1898,A1898)&gt;1,"Duplicate",""))</f>
        <v/>
      </c>
      <c r="K1898" s="36" t="str">
        <f aca="false">IF(Raw_Export!$A1898="","",IF(J1898="Duplicate","Duplicate",IF(OR(C1898="UNMAPPED",D1898="UNMAPPED"),"Unmapped",IF(F1898=0,"Blank qty",IF(F1898&lt;0,"Return","OK")))))</f>
        <v>OK</v>
      </c>
      <c r="L1898" s="36" t="n">
        <f aca="false">IF(Raw_Export!$A1898="","",IF(OR(K1898="OK",K1898="Return"),1,0))</f>
        <v>1</v>
      </c>
      <c r="M1898" s="37" t="n">
        <f aca="false">IF(Raw_Export!$A1898="","",B1898-WEEKDAY(B1898,2)+1)</f>
        <v>46272</v>
      </c>
    </row>
    <row r="1899" customFormat="false" ht="15" hidden="false" customHeight="false" outlineLevel="0" collapsed="false">
      <c r="A1899" s="36" t="str">
        <f aca="false">IF(Raw_Export!$A1899="","",TRIM(Raw_Export!A1899))</f>
        <v>TXN-101859</v>
      </c>
      <c r="B1899" s="37" t="n">
        <f aca="false">IF(Raw_Export!$A1899="","",IF(ISNUMBER(Raw_Export!B1899),Raw_Export!B1899,IF(MID(TRIM(Raw_Export!B1899),5,1)="-",DATE(LEFT(TRIM(Raw_Export!B1899),4),MID(TRIM(Raw_Export!B1899),6,2),RIGHT(TRIM(Raw_Export!B1899),2)),DATE(RIGHT(TRIM(Raw_Export!B1899),4),MATCH(MID(TRIM(Raw_Export!B1899),4,3),{"Jan","Feb","Mar","Apr","May","Jun","Jul","Aug","Sep","Oct","Nov","Dec"},0),LEFT(TRIM(Raw_Export!B1899),2)))))</f>
        <v>46277</v>
      </c>
      <c r="C1899" s="36" t="str">
        <f aca="false">IF(Raw_Export!$A1899="","",IFERROR(VLOOKUP(LOWER(TRIM(Raw_Export!C1899)),Maps!$A$2:$B$20,2,FALSE()),"UNMAPPED"))</f>
        <v>Westlands</v>
      </c>
      <c r="D1899" s="36" t="str">
        <f aca="false">IF(Raw_Export!$A1899="","",IFERROR(VLOOKUP(LOWER(TRIM(Raw_Export!D1899)),Maps!$G$2:$I$80,2,FALSE()),"UNMAPPED"))</f>
        <v>Soda 500ml</v>
      </c>
      <c r="E1899" s="36" t="str">
        <f aca="false">IF(Raw_Export!$A1899="","",IFERROR(VLOOKUP(LOWER(TRIM(Raw_Export!D1899)),Maps!$G$2:$I$80,3,FALSE()),"UNMAPPED"))</f>
        <v>Beverages</v>
      </c>
      <c r="F1899" s="36" t="n">
        <f aca="false">IF(Raw_Export!$A1899="","",IFERROR(VALUE(TRIM(Raw_Export!E1899)),0))</f>
        <v>4</v>
      </c>
      <c r="G1899" s="38" t="n">
        <f aca="false">IF(Raw_Export!$A1899="","",IFERROR(VALUE(SUBSTITUTE(SUBSTITUTE(UPPER(TRIM(Raw_Export!F1899)),"KES",""),",","")),0))</f>
        <v>60</v>
      </c>
      <c r="H1899" s="38" t="n">
        <f aca="false">IF(Raw_Export!$A1899="","",F1899*G1899)</f>
        <v>240</v>
      </c>
      <c r="I1899" s="36" t="str">
        <f aca="false">IF(Raw_Export!$A1899="","",IFERROR(VLOOKUP(LOWER(TRIM(Raw_Export!H1899)),Maps!$D$2:$E$12,2,FALSE()),"Other"))</f>
        <v>M-Pesa</v>
      </c>
      <c r="J1899" s="36" t="str">
        <f aca="false">IF(Raw_Export!$A1899="","",IF(COUNTIF($A$2:A1899,A1899)&gt;1,"Duplicate",""))</f>
        <v/>
      </c>
      <c r="K1899" s="36" t="str">
        <f aca="false">IF(Raw_Export!$A1899="","",IF(J1899="Duplicate","Duplicate",IF(OR(C1899="UNMAPPED",D1899="UNMAPPED"),"Unmapped",IF(F1899=0,"Blank qty",IF(F1899&lt;0,"Return","OK")))))</f>
        <v>OK</v>
      </c>
      <c r="L1899" s="36" t="n">
        <f aca="false">IF(Raw_Export!$A1899="","",IF(OR(K1899="OK",K1899="Return"),1,0))</f>
        <v>1</v>
      </c>
      <c r="M1899" s="37" t="n">
        <f aca="false">IF(Raw_Export!$A1899="","",B1899-WEEKDAY(B1899,2)+1)</f>
        <v>46272</v>
      </c>
    </row>
    <row r="1900" customFormat="false" ht="15" hidden="false" customHeight="false" outlineLevel="0" collapsed="false">
      <c r="A1900" s="36" t="str">
        <f aca="false">IF(Raw_Export!$A1900="","",TRIM(Raw_Export!A1900))</f>
        <v>TXN-101860</v>
      </c>
      <c r="B1900" s="37" t="n">
        <f aca="false">IF(Raw_Export!$A1900="","",IF(ISNUMBER(Raw_Export!B1900),Raw_Export!B1900,IF(MID(TRIM(Raw_Export!B1900),5,1)="-",DATE(LEFT(TRIM(Raw_Export!B1900),4),MID(TRIM(Raw_Export!B1900),6,2),RIGHT(TRIM(Raw_Export!B1900),2)),DATE(RIGHT(TRIM(Raw_Export!B1900),4),MATCH(MID(TRIM(Raw_Export!B1900),4,3),{"Jan","Feb","Mar","Apr","May","Jun","Jul","Aug","Sep","Oct","Nov","Dec"},0),LEFT(TRIM(Raw_Export!B1900),2)))))</f>
        <v>46277</v>
      </c>
      <c r="C1900" s="36" t="str">
        <f aca="false">IF(Raw_Export!$A1900="","",IFERROR(VLOOKUP(LOWER(TRIM(Raw_Export!C1900)),Maps!$A$2:$B$20,2,FALSE()),"UNMAPPED"))</f>
        <v>Westlands</v>
      </c>
      <c r="D1900" s="36" t="str">
        <f aca="false">IF(Raw_Export!$A1900="","",IFERROR(VLOOKUP(LOWER(TRIM(Raw_Export!D1900)),Maps!$G$2:$I$80,2,FALSE()),"UNMAPPED"))</f>
        <v>Soda 500ml</v>
      </c>
      <c r="E1900" s="36" t="str">
        <f aca="false">IF(Raw_Export!$A1900="","",IFERROR(VLOOKUP(LOWER(TRIM(Raw_Export!D1900)),Maps!$G$2:$I$80,3,FALSE()),"UNMAPPED"))</f>
        <v>Beverages</v>
      </c>
      <c r="F1900" s="36" t="n">
        <f aca="false">IF(Raw_Export!$A1900="","",IFERROR(VALUE(TRIM(Raw_Export!E1900)),0))</f>
        <v>1</v>
      </c>
      <c r="G1900" s="38" t="n">
        <f aca="false">IF(Raw_Export!$A1900="","",IFERROR(VALUE(SUBSTITUTE(SUBSTITUTE(UPPER(TRIM(Raw_Export!F1900)),"KES",""),",","")),0))</f>
        <v>60</v>
      </c>
      <c r="H1900" s="38" t="n">
        <f aca="false">IF(Raw_Export!$A1900="","",F1900*G1900)</f>
        <v>60</v>
      </c>
      <c r="I1900" s="36" t="str">
        <f aca="false">IF(Raw_Export!$A1900="","",IFERROR(VLOOKUP(LOWER(TRIM(Raw_Export!H1900)),Maps!$D$2:$E$12,2,FALSE()),"Other"))</f>
        <v>Card</v>
      </c>
      <c r="J1900" s="36" t="str">
        <f aca="false">IF(Raw_Export!$A1900="","",IF(COUNTIF($A$2:A1900,A1900)&gt;1,"Duplicate",""))</f>
        <v/>
      </c>
      <c r="K1900" s="36" t="str">
        <f aca="false">IF(Raw_Export!$A1900="","",IF(J1900="Duplicate","Duplicate",IF(OR(C1900="UNMAPPED",D1900="UNMAPPED"),"Unmapped",IF(F1900=0,"Blank qty",IF(F1900&lt;0,"Return","OK")))))</f>
        <v>OK</v>
      </c>
      <c r="L1900" s="36" t="n">
        <f aca="false">IF(Raw_Export!$A1900="","",IF(OR(K1900="OK",K1900="Return"),1,0))</f>
        <v>1</v>
      </c>
      <c r="M1900" s="37" t="n">
        <f aca="false">IF(Raw_Export!$A1900="","",B1900-WEEKDAY(B1900,2)+1)</f>
        <v>46272</v>
      </c>
    </row>
    <row r="1901" customFormat="false" ht="15" hidden="false" customHeight="false" outlineLevel="0" collapsed="false">
      <c r="A1901" s="36" t="str">
        <f aca="false">IF(Raw_Export!$A1901="","",TRIM(Raw_Export!A1901))</f>
        <v>TXN-101861</v>
      </c>
      <c r="B1901" s="37" t="n">
        <f aca="false">IF(Raw_Export!$A1901="","",IF(ISNUMBER(Raw_Export!B1901),Raw_Export!B1901,IF(MID(TRIM(Raw_Export!B1901),5,1)="-",DATE(LEFT(TRIM(Raw_Export!B1901),4),MID(TRIM(Raw_Export!B1901),6,2),RIGHT(TRIM(Raw_Export!B1901),2)),DATE(RIGHT(TRIM(Raw_Export!B1901),4),MATCH(MID(TRIM(Raw_Export!B1901),4,3),{"Jan","Feb","Mar","Apr","May","Jun","Jul","Aug","Sep","Oct","Nov","Dec"},0),LEFT(TRIM(Raw_Export!B1901),2)))))</f>
        <v>46277</v>
      </c>
      <c r="C1901" s="36" t="str">
        <f aca="false">IF(Raw_Export!$A1901="","",IFERROR(VLOOKUP(LOWER(TRIM(Raw_Export!C1901)),Maps!$A$2:$B$20,2,FALSE()),"UNMAPPED"))</f>
        <v>Westlands</v>
      </c>
      <c r="D1901" s="36" t="str">
        <f aca="false">IF(Raw_Export!$A1901="","",IFERROR(VLOOKUP(LOWER(TRIM(Raw_Export!D1901)),Maps!$G$2:$I$80,2,FALSE()),"UNMAPPED"))</f>
        <v>Chocolate Bar 90g</v>
      </c>
      <c r="E1901" s="36" t="str">
        <f aca="false">IF(Raw_Export!$A1901="","",IFERROR(VLOOKUP(LOWER(TRIM(Raw_Export!D1901)),Maps!$G$2:$I$80,3,FALSE()),"UNMAPPED"))</f>
        <v>Snacks</v>
      </c>
      <c r="F1901" s="36" t="n">
        <f aca="false">IF(Raw_Export!$A1901="","",IFERROR(VALUE(TRIM(Raw_Export!E1901)),0))</f>
        <v>2</v>
      </c>
      <c r="G1901" s="38" t="n">
        <f aca="false">IF(Raw_Export!$A1901="","",IFERROR(VALUE(SUBSTITUTE(SUBSTITUTE(UPPER(TRIM(Raw_Export!F1901)),"KES",""),",","")),0))</f>
        <v>126</v>
      </c>
      <c r="H1901" s="38" t="n">
        <f aca="false">IF(Raw_Export!$A1901="","",F1901*G1901)</f>
        <v>252</v>
      </c>
      <c r="I1901" s="36" t="str">
        <f aca="false">IF(Raw_Export!$A1901="","",IFERROR(VLOOKUP(LOWER(TRIM(Raw_Export!H1901)),Maps!$D$2:$E$12,2,FALSE()),"Other"))</f>
        <v>M-Pesa</v>
      </c>
      <c r="J1901" s="36" t="str">
        <f aca="false">IF(Raw_Export!$A1901="","",IF(COUNTIF($A$2:A1901,A1901)&gt;1,"Duplicate",""))</f>
        <v/>
      </c>
      <c r="K1901" s="36" t="str">
        <f aca="false">IF(Raw_Export!$A1901="","",IF(J1901="Duplicate","Duplicate",IF(OR(C1901="UNMAPPED",D1901="UNMAPPED"),"Unmapped",IF(F1901=0,"Blank qty",IF(F1901&lt;0,"Return","OK")))))</f>
        <v>OK</v>
      </c>
      <c r="L1901" s="36" t="n">
        <f aca="false">IF(Raw_Export!$A1901="","",IF(OR(K1901="OK",K1901="Return"),1,0))</f>
        <v>1</v>
      </c>
      <c r="M1901" s="37" t="n">
        <f aca="false">IF(Raw_Export!$A1901="","",B1901-WEEKDAY(B1901,2)+1)</f>
        <v>46272</v>
      </c>
    </row>
    <row r="1902" customFormat="false" ht="15" hidden="false" customHeight="false" outlineLevel="0" collapsed="false">
      <c r="A1902" s="36" t="str">
        <f aca="false">IF(Raw_Export!$A1902="","",TRIM(Raw_Export!A1902))</f>
        <v>TXN-101862</v>
      </c>
      <c r="B1902" s="37" t="n">
        <f aca="false">IF(Raw_Export!$A1902="","",IF(ISNUMBER(Raw_Export!B1902),Raw_Export!B1902,IF(MID(TRIM(Raw_Export!B1902),5,1)="-",DATE(LEFT(TRIM(Raw_Export!B1902),4),MID(TRIM(Raw_Export!B1902),6,2),RIGHT(TRIM(Raw_Export!B1902),2)),DATE(RIGHT(TRIM(Raw_Export!B1902),4),MATCH(MID(TRIM(Raw_Export!B1902),4,3),{"Jan","Feb","Mar","Apr","May","Jun","Jul","Aug","Sep","Oct","Nov","Dec"},0),LEFT(TRIM(Raw_Export!B1902),2)))))</f>
        <v>46277</v>
      </c>
      <c r="C1902" s="36" t="str">
        <f aca="false">IF(Raw_Export!$A1902="","",IFERROR(VLOOKUP(LOWER(TRIM(Raw_Export!C1902)),Maps!$A$2:$B$20,2,FALSE()),"UNMAPPED"))</f>
        <v>Westlands</v>
      </c>
      <c r="D1902" s="36" t="str">
        <f aca="false">IF(Raw_Export!$A1902="","",IFERROR(VLOOKUP(LOWER(TRIM(Raw_Export!D1902)),Maps!$G$2:$I$80,2,FALSE()),"UNMAPPED"))</f>
        <v>Sanitary Pads 8pk</v>
      </c>
      <c r="E1902" s="36" t="str">
        <f aca="false">IF(Raw_Export!$A1902="","",IFERROR(VLOOKUP(LOWER(TRIM(Raw_Export!D1902)),Maps!$G$2:$I$80,3,FALSE()),"UNMAPPED"))</f>
        <v>Personal Care</v>
      </c>
      <c r="F1902" s="36" t="n">
        <f aca="false">IF(Raw_Export!$A1902="","",IFERROR(VALUE(TRIM(Raw_Export!E1902)),0))</f>
        <v>1</v>
      </c>
      <c r="G1902" s="38" t="n">
        <f aca="false">IF(Raw_Export!$A1902="","",IFERROR(VALUE(SUBSTITUTE(SUBSTITUTE(UPPER(TRIM(Raw_Export!F1902)),"KES",""),",","")),0))</f>
        <v>130</v>
      </c>
      <c r="H1902" s="38" t="n">
        <f aca="false">IF(Raw_Export!$A1902="","",F1902*G1902)</f>
        <v>130</v>
      </c>
      <c r="I1902" s="36" t="str">
        <f aca="false">IF(Raw_Export!$A1902="","",IFERROR(VLOOKUP(LOWER(TRIM(Raw_Export!H1902)),Maps!$D$2:$E$12,2,FALSE()),"Other"))</f>
        <v>M-Pesa</v>
      </c>
      <c r="J1902" s="36" t="str">
        <f aca="false">IF(Raw_Export!$A1902="","",IF(COUNTIF($A$2:A1902,A1902)&gt;1,"Duplicate",""))</f>
        <v>Duplicate</v>
      </c>
      <c r="K1902" s="36" t="str">
        <f aca="false">IF(Raw_Export!$A1902="","",IF(J1902="Duplicate","Duplicate",IF(OR(C1902="UNMAPPED",D1902="UNMAPPED"),"Unmapped",IF(F1902=0,"Blank qty",IF(F1902&lt;0,"Return","OK")))))</f>
        <v>Duplicate</v>
      </c>
      <c r="L1902" s="36" t="n">
        <f aca="false">IF(Raw_Export!$A1902="","",IF(OR(K1902="OK",K1902="Return"),1,0))</f>
        <v>0</v>
      </c>
      <c r="M1902" s="37" t="n">
        <f aca="false">IF(Raw_Export!$A1902="","",B1902-WEEKDAY(B1902,2)+1)</f>
        <v>46272</v>
      </c>
    </row>
    <row r="1903" customFormat="false" ht="15" hidden="false" customHeight="false" outlineLevel="0" collapsed="false">
      <c r="A1903" s="36" t="str">
        <f aca="false">IF(Raw_Export!$A1903="","",TRIM(Raw_Export!A1903))</f>
        <v>TXN-101863</v>
      </c>
      <c r="B1903" s="37" t="n">
        <f aca="false">IF(Raw_Export!$A1903="","",IF(ISNUMBER(Raw_Export!B1903),Raw_Export!B1903,IF(MID(TRIM(Raw_Export!B1903),5,1)="-",DATE(LEFT(TRIM(Raw_Export!B1903),4),MID(TRIM(Raw_Export!B1903),6,2),RIGHT(TRIM(Raw_Export!B1903),2)),DATE(RIGHT(TRIM(Raw_Export!B1903),4),MATCH(MID(TRIM(Raw_Export!B1903),4,3),{"Jan","Feb","Mar","Apr","May","Jun","Jul","Aug","Sep","Oct","Nov","Dec"},0),LEFT(TRIM(Raw_Export!B1903),2)))))</f>
        <v>46277</v>
      </c>
      <c r="C1903" s="36" t="str">
        <f aca="false">IF(Raw_Export!$A1903="","",IFERROR(VLOOKUP(LOWER(TRIM(Raw_Export!C1903)),Maps!$A$2:$B$20,2,FALSE()),"UNMAPPED"))</f>
        <v>Westlands</v>
      </c>
      <c r="D1903" s="36" t="str">
        <f aca="false">IF(Raw_Export!$A1903="","",IFERROR(VLOOKUP(LOWER(TRIM(Raw_Export!D1903)),Maps!$G$2:$I$80,2,FALSE()),"UNMAPPED"))</f>
        <v>Crisps 100g</v>
      </c>
      <c r="E1903" s="36" t="str">
        <f aca="false">IF(Raw_Export!$A1903="","",IFERROR(VLOOKUP(LOWER(TRIM(Raw_Export!D1903)),Maps!$G$2:$I$80,3,FALSE()),"UNMAPPED"))</f>
        <v>Snacks</v>
      </c>
      <c r="F1903" s="36" t="n">
        <f aca="false">IF(Raw_Export!$A1903="","",IFERROR(VALUE(TRIM(Raw_Export!E1903)),0))</f>
        <v>2</v>
      </c>
      <c r="G1903" s="38" t="n">
        <f aca="false">IF(Raw_Export!$A1903="","",IFERROR(VALUE(SUBSTITUTE(SUBSTITUTE(UPPER(TRIM(Raw_Export!F1903)),"KES",""),",","")),0))</f>
        <v>80</v>
      </c>
      <c r="H1903" s="38" t="n">
        <f aca="false">IF(Raw_Export!$A1903="","",F1903*G1903)</f>
        <v>160</v>
      </c>
      <c r="I1903" s="36" t="str">
        <f aca="false">IF(Raw_Export!$A1903="","",IFERROR(VLOOKUP(LOWER(TRIM(Raw_Export!H1903)),Maps!$D$2:$E$12,2,FALSE()),"Other"))</f>
        <v>Cash</v>
      </c>
      <c r="J1903" s="36" t="str">
        <f aca="false">IF(Raw_Export!$A1903="","",IF(COUNTIF($A$2:A1903,A1903)&gt;1,"Duplicate",""))</f>
        <v/>
      </c>
      <c r="K1903" s="36" t="str">
        <f aca="false">IF(Raw_Export!$A1903="","",IF(J1903="Duplicate","Duplicate",IF(OR(C1903="UNMAPPED",D1903="UNMAPPED"),"Unmapped",IF(F1903=0,"Blank qty",IF(F1903&lt;0,"Return","OK")))))</f>
        <v>OK</v>
      </c>
      <c r="L1903" s="36" t="n">
        <f aca="false">IF(Raw_Export!$A1903="","",IF(OR(K1903="OK",K1903="Return"),1,0))</f>
        <v>1</v>
      </c>
      <c r="M1903" s="37" t="n">
        <f aca="false">IF(Raw_Export!$A1903="","",B1903-WEEKDAY(B1903,2)+1)</f>
        <v>46272</v>
      </c>
    </row>
    <row r="1904" customFormat="false" ht="15" hidden="false" customHeight="false" outlineLevel="0" collapsed="false">
      <c r="A1904" s="36" t="str">
        <f aca="false">IF(Raw_Export!$A1904="","",TRIM(Raw_Export!A1904))</f>
        <v>TXN-101864</v>
      </c>
      <c r="B1904" s="37" t="n">
        <f aca="false">IF(Raw_Export!$A1904="","",IF(ISNUMBER(Raw_Export!B1904),Raw_Export!B1904,IF(MID(TRIM(Raw_Export!B1904),5,1)="-",DATE(LEFT(TRIM(Raw_Export!B1904),4),MID(TRIM(Raw_Export!B1904),6,2),RIGHT(TRIM(Raw_Export!B1904),2)),DATE(RIGHT(TRIM(Raw_Export!B1904),4),MATCH(MID(TRIM(Raw_Export!B1904),4,3),{"Jan","Feb","Mar","Apr","May","Jun","Jul","Aug","Sep","Oct","Nov","Dec"},0),LEFT(TRIM(Raw_Export!B1904),2)))))</f>
        <v>46277</v>
      </c>
      <c r="C1904" s="36" t="str">
        <f aca="false">IF(Raw_Export!$A1904="","",IFERROR(VLOOKUP(LOWER(TRIM(Raw_Export!C1904)),Maps!$A$2:$B$20,2,FALSE()),"UNMAPPED"))</f>
        <v>Westlands</v>
      </c>
      <c r="D1904" s="36" t="str">
        <f aca="false">IF(Raw_Export!$A1904="","",IFERROR(VLOOKUP(LOWER(TRIM(Raw_Export!D1904)),Maps!$G$2:$I$80,2,FALSE()),"UNMAPPED"))</f>
        <v>Cooking Oil 1L</v>
      </c>
      <c r="E1904" s="36" t="str">
        <f aca="false">IF(Raw_Export!$A1904="","",IFERROR(VLOOKUP(LOWER(TRIM(Raw_Export!D1904)),Maps!$G$2:$I$80,3,FALSE()),"UNMAPPED"))</f>
        <v>Staples</v>
      </c>
      <c r="F1904" s="36" t="n">
        <f aca="false">IF(Raw_Export!$A1904="","",IFERROR(VALUE(TRIM(Raw_Export!E1904)),0))</f>
        <v>2</v>
      </c>
      <c r="G1904" s="38" t="n">
        <f aca="false">IF(Raw_Export!$A1904="","",IFERROR(VALUE(SUBSTITUTE(SUBSTITUTE(UPPER(TRIM(Raw_Export!F1904)),"KES",""),",","")),0))</f>
        <v>330</v>
      </c>
      <c r="H1904" s="38" t="n">
        <f aca="false">IF(Raw_Export!$A1904="","",F1904*G1904)</f>
        <v>660</v>
      </c>
      <c r="I1904" s="36" t="str">
        <f aca="false">IF(Raw_Export!$A1904="","",IFERROR(VLOOKUP(LOWER(TRIM(Raw_Export!H1904)),Maps!$D$2:$E$12,2,FALSE()),"Other"))</f>
        <v>Cash</v>
      </c>
      <c r="J1904" s="36" t="str">
        <f aca="false">IF(Raw_Export!$A1904="","",IF(COUNTIF($A$2:A1904,A1904)&gt;1,"Duplicate",""))</f>
        <v/>
      </c>
      <c r="K1904" s="36" t="str">
        <f aca="false">IF(Raw_Export!$A1904="","",IF(J1904="Duplicate","Duplicate",IF(OR(C1904="UNMAPPED",D1904="UNMAPPED"),"Unmapped",IF(F1904=0,"Blank qty",IF(F1904&lt;0,"Return","OK")))))</f>
        <v>OK</v>
      </c>
      <c r="L1904" s="36" t="n">
        <f aca="false">IF(Raw_Export!$A1904="","",IF(OR(K1904="OK",K1904="Return"),1,0))</f>
        <v>1</v>
      </c>
      <c r="M1904" s="37" t="n">
        <f aca="false">IF(Raw_Export!$A1904="","",B1904-WEEKDAY(B1904,2)+1)</f>
        <v>46272</v>
      </c>
    </row>
    <row r="1905" customFormat="false" ht="15" hidden="false" customHeight="false" outlineLevel="0" collapsed="false">
      <c r="A1905" s="36" t="str">
        <f aca="false">IF(Raw_Export!$A1905="","",TRIM(Raw_Export!A1905))</f>
        <v>TXN-101865</v>
      </c>
      <c r="B1905" s="37" t="n">
        <f aca="false">IF(Raw_Export!$A1905="","",IF(ISNUMBER(Raw_Export!B1905),Raw_Export!B1905,IF(MID(TRIM(Raw_Export!B1905),5,1)="-",DATE(LEFT(TRIM(Raw_Export!B1905),4),MID(TRIM(Raw_Export!B1905),6,2),RIGHT(TRIM(Raw_Export!B1905),2)),DATE(RIGHT(TRIM(Raw_Export!B1905),4),MATCH(MID(TRIM(Raw_Export!B1905),4,3),{"Jan","Feb","Mar","Apr","May","Jun","Jul","Aug","Sep","Oct","Nov","Dec"},0),LEFT(TRIM(Raw_Export!B1905),2)))))</f>
        <v>46277</v>
      </c>
      <c r="C1905" s="36" t="str">
        <f aca="false">IF(Raw_Export!$A1905="","",IFERROR(VLOOKUP(LOWER(TRIM(Raw_Export!C1905)),Maps!$A$2:$B$20,2,FALSE()),"UNMAPPED"))</f>
        <v>Westlands</v>
      </c>
      <c r="D1905" s="36" t="str">
        <f aca="false">IF(Raw_Export!$A1905="","",IFERROR(VLOOKUP(LOWER(TRIM(Raw_Export!D1905)),Maps!$G$2:$I$80,2,FALSE()),"UNMAPPED"))</f>
        <v>Deodorant 150ml</v>
      </c>
      <c r="E1905" s="36" t="str">
        <f aca="false">IF(Raw_Export!$A1905="","",IFERROR(VLOOKUP(LOWER(TRIM(Raw_Export!D1905)),Maps!$G$2:$I$80,3,FALSE()),"UNMAPPED"))</f>
        <v>Personal Care</v>
      </c>
      <c r="F1905" s="36" t="n">
        <f aca="false">IF(Raw_Export!$A1905="","",IFERROR(VALUE(TRIM(Raw_Export!E1905)),0))</f>
        <v>1</v>
      </c>
      <c r="G1905" s="38" t="n">
        <f aca="false">IF(Raw_Export!$A1905="","",IFERROR(VALUE(SUBSTITUTE(SUBSTITUTE(UPPER(TRIM(Raw_Export!F1905)),"KES",""),",","")),0))</f>
        <v>350</v>
      </c>
      <c r="H1905" s="38" t="n">
        <f aca="false">IF(Raw_Export!$A1905="","",F1905*G1905)</f>
        <v>350</v>
      </c>
      <c r="I1905" s="36" t="str">
        <f aca="false">IF(Raw_Export!$A1905="","",IFERROR(VLOOKUP(LOWER(TRIM(Raw_Export!H1905)),Maps!$D$2:$E$12,2,FALSE()),"Other"))</f>
        <v>M-Pesa</v>
      </c>
      <c r="J1905" s="36" t="str">
        <f aca="false">IF(Raw_Export!$A1905="","",IF(COUNTIF($A$2:A1905,A1905)&gt;1,"Duplicate",""))</f>
        <v/>
      </c>
      <c r="K1905" s="36" t="str">
        <f aca="false">IF(Raw_Export!$A1905="","",IF(J1905="Duplicate","Duplicate",IF(OR(C1905="UNMAPPED",D1905="UNMAPPED"),"Unmapped",IF(F1905=0,"Blank qty",IF(F1905&lt;0,"Return","OK")))))</f>
        <v>OK</v>
      </c>
      <c r="L1905" s="36" t="n">
        <f aca="false">IF(Raw_Export!$A1905="","",IF(OR(K1905="OK",K1905="Return"),1,0))</f>
        <v>1</v>
      </c>
      <c r="M1905" s="37" t="n">
        <f aca="false">IF(Raw_Export!$A1905="","",B1905-WEEKDAY(B1905,2)+1)</f>
        <v>46272</v>
      </c>
    </row>
    <row r="1906" customFormat="false" ht="15" hidden="false" customHeight="false" outlineLevel="0" collapsed="false">
      <c r="A1906" s="36" t="str">
        <f aca="false">IF(Raw_Export!$A1906="","",TRIM(Raw_Export!A1906))</f>
        <v>TXN-101866</v>
      </c>
      <c r="B1906" s="37" t="n">
        <f aca="false">IF(Raw_Export!$A1906="","",IF(ISNUMBER(Raw_Export!B1906),Raw_Export!B1906,IF(MID(TRIM(Raw_Export!B1906),5,1)="-",DATE(LEFT(TRIM(Raw_Export!B1906),4),MID(TRIM(Raw_Export!B1906),6,2),RIGHT(TRIM(Raw_Export!B1906),2)),DATE(RIGHT(TRIM(Raw_Export!B1906),4),MATCH(MID(TRIM(Raw_Export!B1906),4,3),{"Jan","Feb","Mar","Apr","May","Jun","Jul","Aug","Sep","Oct","Nov","Dec"},0),LEFT(TRIM(Raw_Export!B1906),2)))))</f>
        <v>46277</v>
      </c>
      <c r="C1906" s="36" t="str">
        <f aca="false">IF(Raw_Export!$A1906="","",IFERROR(VLOOKUP(LOWER(TRIM(Raw_Export!C1906)),Maps!$A$2:$B$20,2,FALSE()),"UNMAPPED"))</f>
        <v>Westlands</v>
      </c>
      <c r="D1906" s="36" t="str">
        <f aca="false">IF(Raw_Export!$A1906="","",IFERROR(VLOOKUP(LOWER(TRIM(Raw_Export!D1906)),Maps!$G$2:$I$80,2,FALSE()),"UNMAPPED"))</f>
        <v>Sugar 2kg</v>
      </c>
      <c r="E1906" s="36" t="str">
        <f aca="false">IF(Raw_Export!$A1906="","",IFERROR(VLOOKUP(LOWER(TRIM(Raw_Export!D1906)),Maps!$G$2:$I$80,3,FALSE()),"UNMAPPED"))</f>
        <v>Staples</v>
      </c>
      <c r="F1906" s="36" t="n">
        <f aca="false">IF(Raw_Export!$A1906="","",IFERROR(VALUE(TRIM(Raw_Export!E1906)),0))</f>
        <v>2</v>
      </c>
      <c r="G1906" s="38" t="n">
        <f aca="false">IF(Raw_Export!$A1906="","",IFERROR(VALUE(SUBSTITUTE(SUBSTITUTE(UPPER(TRIM(Raw_Export!F1906)),"KES",""),",","")),0))</f>
        <v>330</v>
      </c>
      <c r="H1906" s="38" t="n">
        <f aca="false">IF(Raw_Export!$A1906="","",F1906*G1906)</f>
        <v>660</v>
      </c>
      <c r="I1906" s="36" t="str">
        <f aca="false">IF(Raw_Export!$A1906="","",IFERROR(VLOOKUP(LOWER(TRIM(Raw_Export!H1906)),Maps!$D$2:$E$12,2,FALSE()),"Other"))</f>
        <v>M-Pesa</v>
      </c>
      <c r="J1906" s="36" t="str">
        <f aca="false">IF(Raw_Export!$A1906="","",IF(COUNTIF($A$2:A1906,A1906)&gt;1,"Duplicate",""))</f>
        <v/>
      </c>
      <c r="K1906" s="36" t="str">
        <f aca="false">IF(Raw_Export!$A1906="","",IF(J1906="Duplicate","Duplicate",IF(OR(C1906="UNMAPPED",D1906="UNMAPPED"),"Unmapped",IF(F1906=0,"Blank qty",IF(F1906&lt;0,"Return","OK")))))</f>
        <v>OK</v>
      </c>
      <c r="L1906" s="36" t="n">
        <f aca="false">IF(Raw_Export!$A1906="","",IF(OR(K1906="OK",K1906="Return"),1,0))</f>
        <v>1</v>
      </c>
      <c r="M1906" s="37" t="n">
        <f aca="false">IF(Raw_Export!$A1906="","",B1906-WEEKDAY(B1906,2)+1)</f>
        <v>46272</v>
      </c>
    </row>
    <row r="1907" customFormat="false" ht="15" hidden="false" customHeight="false" outlineLevel="0" collapsed="false">
      <c r="A1907" s="36" t="str">
        <f aca="false">IF(Raw_Export!$A1907="","",TRIM(Raw_Export!A1907))</f>
        <v>TXN-101867</v>
      </c>
      <c r="B1907" s="37" t="n">
        <f aca="false">IF(Raw_Export!$A1907="","",IF(ISNUMBER(Raw_Export!B1907),Raw_Export!B1907,IF(MID(TRIM(Raw_Export!B1907),5,1)="-",DATE(LEFT(TRIM(Raw_Export!B1907),4),MID(TRIM(Raw_Export!B1907),6,2),RIGHT(TRIM(Raw_Export!B1907),2)),DATE(RIGHT(TRIM(Raw_Export!B1907),4),MATCH(MID(TRIM(Raw_Export!B1907),4,3),{"Jan","Feb","Mar","Apr","May","Jun","Jul","Aug","Sep","Oct","Nov","Dec"},0),LEFT(TRIM(Raw_Export!B1907),2)))))</f>
        <v>46277</v>
      </c>
      <c r="C1907" s="36" t="str">
        <f aca="false">IF(Raw_Export!$A1907="","",IFERROR(VLOOKUP(LOWER(TRIM(Raw_Export!C1907)),Maps!$A$2:$B$20,2,FALSE()),"UNMAPPED"))</f>
        <v>Westlands</v>
      </c>
      <c r="D1907" s="36" t="str">
        <f aca="false">IF(Raw_Export!$A1907="","",IFERROR(VLOOKUP(LOWER(TRIM(Raw_Export!D1907)),Maps!$G$2:$I$80,2,FALSE()),"UNMAPPED"))</f>
        <v>Soda 500ml</v>
      </c>
      <c r="E1907" s="36" t="str">
        <f aca="false">IF(Raw_Export!$A1907="","",IFERROR(VLOOKUP(LOWER(TRIM(Raw_Export!D1907)),Maps!$G$2:$I$80,3,FALSE()),"UNMAPPED"))</f>
        <v>Beverages</v>
      </c>
      <c r="F1907" s="36" t="n">
        <f aca="false">IF(Raw_Export!$A1907="","",IFERROR(VALUE(TRIM(Raw_Export!E1907)),0))</f>
        <v>1</v>
      </c>
      <c r="G1907" s="38" t="n">
        <f aca="false">IF(Raw_Export!$A1907="","",IFERROR(VALUE(SUBSTITUTE(SUBSTITUTE(UPPER(TRIM(Raw_Export!F1907)),"KES",""),",","")),0))</f>
        <v>60</v>
      </c>
      <c r="H1907" s="38" t="n">
        <f aca="false">IF(Raw_Export!$A1907="","",F1907*G1907)</f>
        <v>60</v>
      </c>
      <c r="I1907" s="36" t="str">
        <f aca="false">IF(Raw_Export!$A1907="","",IFERROR(VLOOKUP(LOWER(TRIM(Raw_Export!H1907)),Maps!$D$2:$E$12,2,FALSE()),"Other"))</f>
        <v>Cash</v>
      </c>
      <c r="J1907" s="36" t="str">
        <f aca="false">IF(Raw_Export!$A1907="","",IF(COUNTIF($A$2:A1907,A1907)&gt;1,"Duplicate",""))</f>
        <v/>
      </c>
      <c r="K1907" s="36" t="str">
        <f aca="false">IF(Raw_Export!$A1907="","",IF(J1907="Duplicate","Duplicate",IF(OR(C1907="UNMAPPED",D1907="UNMAPPED"),"Unmapped",IF(F1907=0,"Blank qty",IF(F1907&lt;0,"Return","OK")))))</f>
        <v>OK</v>
      </c>
      <c r="L1907" s="36" t="n">
        <f aca="false">IF(Raw_Export!$A1907="","",IF(OR(K1907="OK",K1907="Return"),1,0))</f>
        <v>1</v>
      </c>
      <c r="M1907" s="37" t="n">
        <f aca="false">IF(Raw_Export!$A1907="","",B1907-WEEKDAY(B1907,2)+1)</f>
        <v>46272</v>
      </c>
    </row>
    <row r="1908" customFormat="false" ht="15" hidden="false" customHeight="false" outlineLevel="0" collapsed="false">
      <c r="A1908" s="36" t="str">
        <f aca="false">IF(Raw_Export!$A1908="","",TRIM(Raw_Export!A1908))</f>
        <v>TXN-101868</v>
      </c>
      <c r="B1908" s="37" t="n">
        <f aca="false">IF(Raw_Export!$A1908="","",IF(ISNUMBER(Raw_Export!B1908),Raw_Export!B1908,IF(MID(TRIM(Raw_Export!B1908),5,1)="-",DATE(LEFT(TRIM(Raw_Export!B1908),4),MID(TRIM(Raw_Export!B1908),6,2),RIGHT(TRIM(Raw_Export!B1908),2)),DATE(RIGHT(TRIM(Raw_Export!B1908),4),MATCH(MID(TRIM(Raw_Export!B1908),4,3),{"Jan","Feb","Mar","Apr","May","Jun","Jul","Aug","Sep","Oct","Nov","Dec"},0),LEFT(TRIM(Raw_Export!B1908),2)))))</f>
        <v>46277</v>
      </c>
      <c r="C1908" s="36" t="str">
        <f aca="false">IF(Raw_Export!$A1908="","",IFERROR(VLOOKUP(LOWER(TRIM(Raw_Export!C1908)),Maps!$A$2:$B$20,2,FALSE()),"UNMAPPED"))</f>
        <v>Westlands</v>
      </c>
      <c r="D1908" s="36" t="str">
        <f aca="false">IF(Raw_Export!$A1908="","",IFERROR(VLOOKUP(LOWER(TRIM(Raw_Export!D1908)),Maps!$G$2:$I$80,2,FALSE()),"UNMAPPED"))</f>
        <v>Bleach 1L</v>
      </c>
      <c r="E1908" s="36" t="str">
        <f aca="false">IF(Raw_Export!$A1908="","",IFERROR(VLOOKUP(LOWER(TRIM(Raw_Export!D1908)),Maps!$G$2:$I$80,3,FALSE()),"UNMAPPED"))</f>
        <v>Household</v>
      </c>
      <c r="F1908" s="36" t="n">
        <f aca="false">IF(Raw_Export!$A1908="","",IFERROR(VALUE(TRIM(Raw_Export!E1908)),0))</f>
        <v>1</v>
      </c>
      <c r="G1908" s="38" t="n">
        <f aca="false">IF(Raw_Export!$A1908="","",IFERROR(VALUE(SUBSTITUTE(SUBSTITUTE(UPPER(TRIM(Raw_Export!F1908)),"KES",""),",","")),0))</f>
        <v>160</v>
      </c>
      <c r="H1908" s="38" t="n">
        <f aca="false">IF(Raw_Export!$A1908="","",F1908*G1908)</f>
        <v>160</v>
      </c>
      <c r="I1908" s="36" t="str">
        <f aca="false">IF(Raw_Export!$A1908="","",IFERROR(VLOOKUP(LOWER(TRIM(Raw_Export!H1908)),Maps!$D$2:$E$12,2,FALSE()),"Other"))</f>
        <v>Cash</v>
      </c>
      <c r="J1908" s="36" t="str">
        <f aca="false">IF(Raw_Export!$A1908="","",IF(COUNTIF($A$2:A1908,A1908)&gt;1,"Duplicate",""))</f>
        <v/>
      </c>
      <c r="K1908" s="36" t="str">
        <f aca="false">IF(Raw_Export!$A1908="","",IF(J1908="Duplicate","Duplicate",IF(OR(C1908="UNMAPPED",D1908="UNMAPPED"),"Unmapped",IF(F1908=0,"Blank qty",IF(F1908&lt;0,"Return","OK")))))</f>
        <v>OK</v>
      </c>
      <c r="L1908" s="36" t="n">
        <f aca="false">IF(Raw_Export!$A1908="","",IF(OR(K1908="OK",K1908="Return"),1,0))</f>
        <v>1</v>
      </c>
      <c r="M1908" s="37" t="n">
        <f aca="false">IF(Raw_Export!$A1908="","",B1908-WEEKDAY(B1908,2)+1)</f>
        <v>46272</v>
      </c>
    </row>
    <row r="1909" customFormat="false" ht="15" hidden="false" customHeight="false" outlineLevel="0" collapsed="false">
      <c r="A1909" s="36" t="str">
        <f aca="false">IF(Raw_Export!$A1909="","",TRIM(Raw_Export!A1909))</f>
        <v>TXN-101869</v>
      </c>
      <c r="B1909" s="37" t="n">
        <f aca="false">IF(Raw_Export!$A1909="","",IF(ISNUMBER(Raw_Export!B1909),Raw_Export!B1909,IF(MID(TRIM(Raw_Export!B1909),5,1)="-",DATE(LEFT(TRIM(Raw_Export!B1909),4),MID(TRIM(Raw_Export!B1909),6,2),RIGHT(TRIM(Raw_Export!B1909),2)),DATE(RIGHT(TRIM(Raw_Export!B1909),4),MATCH(MID(TRIM(Raw_Export!B1909),4,3),{"Jan","Feb","Mar","Apr","May","Jun","Jul","Aug","Sep","Oct","Nov","Dec"},0),LEFT(TRIM(Raw_Export!B1909),2)))))</f>
        <v>46277</v>
      </c>
      <c r="C1909" s="36" t="str">
        <f aca="false">IF(Raw_Export!$A1909="","",IFERROR(VLOOKUP(LOWER(TRIM(Raw_Export!C1909)),Maps!$A$2:$B$20,2,FALSE()),"UNMAPPED"))</f>
        <v>Westlands</v>
      </c>
      <c r="D1909" s="36" t="str">
        <f aca="false">IF(Raw_Export!$A1909="","",IFERROR(VLOOKUP(LOWER(TRIM(Raw_Export!D1909)),Maps!$G$2:$I$80,2,FALSE()),"UNMAPPED"))</f>
        <v>Butter 250g</v>
      </c>
      <c r="E1909" s="36" t="str">
        <f aca="false">IF(Raw_Export!$A1909="","",IFERROR(VLOOKUP(LOWER(TRIM(Raw_Export!D1909)),Maps!$G$2:$I$80,3,FALSE()),"UNMAPPED"))</f>
        <v>Dairy &amp; Eggs</v>
      </c>
      <c r="F1909" s="36" t="n">
        <f aca="false">IF(Raw_Export!$A1909="","",IFERROR(VALUE(TRIM(Raw_Export!E1909)),0))</f>
        <v>2</v>
      </c>
      <c r="G1909" s="38" t="n">
        <f aca="false">IF(Raw_Export!$A1909="","",IFERROR(VALUE(SUBSTITUTE(SUBSTITUTE(UPPER(TRIM(Raw_Export!F1909)),"KES",""),",","")),0))</f>
        <v>310</v>
      </c>
      <c r="H1909" s="38" t="n">
        <f aca="false">IF(Raw_Export!$A1909="","",F1909*G1909)</f>
        <v>620</v>
      </c>
      <c r="I1909" s="36" t="str">
        <f aca="false">IF(Raw_Export!$A1909="","",IFERROR(VLOOKUP(LOWER(TRIM(Raw_Export!H1909)),Maps!$D$2:$E$12,2,FALSE()),"Other"))</f>
        <v>M-Pesa</v>
      </c>
      <c r="J1909" s="36" t="str">
        <f aca="false">IF(Raw_Export!$A1909="","",IF(COUNTIF($A$2:A1909,A1909)&gt;1,"Duplicate",""))</f>
        <v/>
      </c>
      <c r="K1909" s="36" t="str">
        <f aca="false">IF(Raw_Export!$A1909="","",IF(J1909="Duplicate","Duplicate",IF(OR(C1909="UNMAPPED",D1909="UNMAPPED"),"Unmapped",IF(F1909=0,"Blank qty",IF(F1909&lt;0,"Return","OK")))))</f>
        <v>OK</v>
      </c>
      <c r="L1909" s="36" t="n">
        <f aca="false">IF(Raw_Export!$A1909="","",IF(OR(K1909="OK",K1909="Return"),1,0))</f>
        <v>1</v>
      </c>
      <c r="M1909" s="37" t="n">
        <f aca="false">IF(Raw_Export!$A1909="","",B1909-WEEKDAY(B1909,2)+1)</f>
        <v>46272</v>
      </c>
    </row>
    <row r="1910" customFormat="false" ht="15" hidden="false" customHeight="false" outlineLevel="0" collapsed="false">
      <c r="A1910" s="36" t="str">
        <f aca="false">IF(Raw_Export!$A1910="","",TRIM(Raw_Export!A1910))</f>
        <v>TXN-101870</v>
      </c>
      <c r="B1910" s="37" t="n">
        <f aca="false">IF(Raw_Export!$A1910="","",IF(ISNUMBER(Raw_Export!B1910),Raw_Export!B1910,IF(MID(TRIM(Raw_Export!B1910),5,1)="-",DATE(LEFT(TRIM(Raw_Export!B1910),4),MID(TRIM(Raw_Export!B1910),6,2),RIGHT(TRIM(Raw_Export!B1910),2)),DATE(RIGHT(TRIM(Raw_Export!B1910),4),MATCH(MID(TRIM(Raw_Export!B1910),4,3),{"Jan","Feb","Mar","Apr","May","Jun","Jul","Aug","Sep","Oct","Nov","Dec"},0),LEFT(TRIM(Raw_Export!B1910),2)))))</f>
        <v>46277</v>
      </c>
      <c r="C1910" s="36" t="str">
        <f aca="false">IF(Raw_Export!$A1910="","",IFERROR(VLOOKUP(LOWER(TRIM(Raw_Export!C1910)),Maps!$A$2:$B$20,2,FALSE()),"UNMAPPED"))</f>
        <v>Westlands</v>
      </c>
      <c r="D1910" s="36" t="str">
        <f aca="false">IF(Raw_Export!$A1910="","",IFERROR(VLOOKUP(LOWER(TRIM(Raw_Export!D1910)),Maps!$G$2:$I$80,2,FALSE()),"UNMAPPED"))</f>
        <v>Unga Pembe 2kg</v>
      </c>
      <c r="E1910" s="36" t="str">
        <f aca="false">IF(Raw_Export!$A1910="","",IFERROR(VLOOKUP(LOWER(TRIM(Raw_Export!D1910)),Maps!$G$2:$I$80,3,FALSE()),"UNMAPPED"))</f>
        <v>Staples</v>
      </c>
      <c r="F1910" s="36" t="n">
        <f aca="false">IF(Raw_Export!$A1910="","",IFERROR(VALUE(TRIM(Raw_Export!E1910)),0))</f>
        <v>3</v>
      </c>
      <c r="G1910" s="38" t="n">
        <f aca="false">IF(Raw_Export!$A1910="","",IFERROR(VALUE(SUBSTITUTE(SUBSTITUTE(UPPER(TRIM(Raw_Export!F1910)),"KES",""),",","")),0))</f>
        <v>190</v>
      </c>
      <c r="H1910" s="38" t="n">
        <f aca="false">IF(Raw_Export!$A1910="","",F1910*G1910)</f>
        <v>570</v>
      </c>
      <c r="I1910" s="36" t="str">
        <f aca="false">IF(Raw_Export!$A1910="","",IFERROR(VLOOKUP(LOWER(TRIM(Raw_Export!H1910)),Maps!$D$2:$E$12,2,FALSE()),"Other"))</f>
        <v>Card</v>
      </c>
      <c r="J1910" s="36" t="str">
        <f aca="false">IF(Raw_Export!$A1910="","",IF(COUNTIF($A$2:A1910,A1910)&gt;1,"Duplicate",""))</f>
        <v/>
      </c>
      <c r="K1910" s="36" t="str">
        <f aca="false">IF(Raw_Export!$A1910="","",IF(J1910="Duplicate","Duplicate",IF(OR(C1910="UNMAPPED",D1910="UNMAPPED"),"Unmapped",IF(F1910=0,"Blank qty",IF(F1910&lt;0,"Return","OK")))))</f>
        <v>OK</v>
      </c>
      <c r="L1910" s="36" t="n">
        <f aca="false">IF(Raw_Export!$A1910="","",IF(OR(K1910="OK",K1910="Return"),1,0))</f>
        <v>1</v>
      </c>
      <c r="M1910" s="37" t="n">
        <f aca="false">IF(Raw_Export!$A1910="","",B1910-WEEKDAY(B1910,2)+1)</f>
        <v>46272</v>
      </c>
    </row>
    <row r="1911" customFormat="false" ht="15" hidden="false" customHeight="false" outlineLevel="0" collapsed="false">
      <c r="A1911" s="36" t="str">
        <f aca="false">IF(Raw_Export!$A1911="","",TRIM(Raw_Export!A1911))</f>
        <v>TXN-101871</v>
      </c>
      <c r="B1911" s="37" t="n">
        <f aca="false">IF(Raw_Export!$A1911="","",IF(ISNUMBER(Raw_Export!B1911),Raw_Export!B1911,IF(MID(TRIM(Raw_Export!B1911),5,1)="-",DATE(LEFT(TRIM(Raw_Export!B1911),4),MID(TRIM(Raw_Export!B1911),6,2),RIGHT(TRIM(Raw_Export!B1911),2)),DATE(RIGHT(TRIM(Raw_Export!B1911),4),MATCH(MID(TRIM(Raw_Export!B1911),4,3),{"Jan","Feb","Mar","Apr","May","Jun","Jul","Aug","Sep","Oct","Nov","Dec"},0),LEFT(TRIM(Raw_Export!B1911),2)))))</f>
        <v>46277</v>
      </c>
      <c r="C1911" s="36" t="str">
        <f aca="false">IF(Raw_Export!$A1911="","",IFERROR(VLOOKUP(LOWER(TRIM(Raw_Export!C1911)),Maps!$A$2:$B$20,2,FALSE()),"UNMAPPED"))</f>
        <v>Westlands</v>
      </c>
      <c r="D1911" s="36" t="str">
        <f aca="false">IF(Raw_Export!$A1911="","",IFERROR(VLOOKUP(LOWER(TRIM(Raw_Export!D1911)),Maps!$G$2:$I$80,2,FALSE()),"UNMAPPED"))</f>
        <v>Bottled Water 1.5L</v>
      </c>
      <c r="E1911" s="36" t="str">
        <f aca="false">IF(Raw_Export!$A1911="","",IFERROR(VLOOKUP(LOWER(TRIM(Raw_Export!D1911)),Maps!$G$2:$I$80,3,FALSE()),"UNMAPPED"))</f>
        <v>Beverages</v>
      </c>
      <c r="F1911" s="36" t="n">
        <f aca="false">IF(Raw_Export!$A1911="","",IFERROR(VALUE(TRIM(Raw_Export!E1911)),0))</f>
        <v>2</v>
      </c>
      <c r="G1911" s="38" t="n">
        <f aca="false">IF(Raw_Export!$A1911="","",IFERROR(VALUE(SUBSTITUTE(SUBSTITUTE(UPPER(TRIM(Raw_Export!F1911)),"KES",""),",","")),0))</f>
        <v>90</v>
      </c>
      <c r="H1911" s="38" t="n">
        <f aca="false">IF(Raw_Export!$A1911="","",F1911*G1911)</f>
        <v>180</v>
      </c>
      <c r="I1911" s="36" t="str">
        <f aca="false">IF(Raw_Export!$A1911="","",IFERROR(VLOOKUP(LOWER(TRIM(Raw_Export!H1911)),Maps!$D$2:$E$12,2,FALSE()),"Other"))</f>
        <v>M-Pesa</v>
      </c>
      <c r="J1911" s="36" t="str">
        <f aca="false">IF(Raw_Export!$A1911="","",IF(COUNTIF($A$2:A1911,A1911)&gt;1,"Duplicate",""))</f>
        <v/>
      </c>
      <c r="K1911" s="36" t="str">
        <f aca="false">IF(Raw_Export!$A1911="","",IF(J1911="Duplicate","Duplicate",IF(OR(C1911="UNMAPPED",D1911="UNMAPPED"),"Unmapped",IF(F1911=0,"Blank qty",IF(F1911&lt;0,"Return","OK")))))</f>
        <v>OK</v>
      </c>
      <c r="L1911" s="36" t="n">
        <f aca="false">IF(Raw_Export!$A1911="","",IF(OR(K1911="OK",K1911="Return"),1,0))</f>
        <v>1</v>
      </c>
      <c r="M1911" s="37" t="n">
        <f aca="false">IF(Raw_Export!$A1911="","",B1911-WEEKDAY(B1911,2)+1)</f>
        <v>46272</v>
      </c>
    </row>
    <row r="1912" customFormat="false" ht="15" hidden="false" customHeight="false" outlineLevel="0" collapsed="false">
      <c r="A1912" s="36" t="str">
        <f aca="false">IF(Raw_Export!$A1912="","",TRIM(Raw_Export!A1912))</f>
        <v>TXN-101872</v>
      </c>
      <c r="B1912" s="37" t="n">
        <f aca="false">IF(Raw_Export!$A1912="","",IF(ISNUMBER(Raw_Export!B1912),Raw_Export!B1912,IF(MID(TRIM(Raw_Export!B1912),5,1)="-",DATE(LEFT(TRIM(Raw_Export!B1912),4),MID(TRIM(Raw_Export!B1912),6,2),RIGHT(TRIM(Raw_Export!B1912),2)),DATE(RIGHT(TRIM(Raw_Export!B1912),4),MATCH(MID(TRIM(Raw_Export!B1912),4,3),{"Jan","Feb","Mar","Apr","May","Jun","Jul","Aug","Sep","Oct","Nov","Dec"},0),LEFT(TRIM(Raw_Export!B1912),2)))))</f>
        <v>46277</v>
      </c>
      <c r="C1912" s="36" t="str">
        <f aca="false">IF(Raw_Export!$A1912="","",IFERROR(VLOOKUP(LOWER(TRIM(Raw_Export!C1912)),Maps!$A$2:$B$20,2,FALSE()),"UNMAPPED"))</f>
        <v>Westlands</v>
      </c>
      <c r="D1912" s="36" t="str">
        <f aca="false">IF(Raw_Export!$A1912="","",IFERROR(VLOOKUP(LOWER(TRIM(Raw_Export!D1912)),Maps!$G$2:$I$80,2,FALSE()),"UNMAPPED"))</f>
        <v>Tea Leaves 250g</v>
      </c>
      <c r="E1912" s="36" t="str">
        <f aca="false">IF(Raw_Export!$A1912="","",IFERROR(VLOOKUP(LOWER(TRIM(Raw_Export!D1912)),Maps!$G$2:$I$80,3,FALSE()),"UNMAPPED"))</f>
        <v>Beverages</v>
      </c>
      <c r="F1912" s="36" t="n">
        <f aca="false">IF(Raw_Export!$A1912="","",IFERROR(VALUE(TRIM(Raw_Export!E1912)),0))</f>
        <v>1</v>
      </c>
      <c r="G1912" s="38" t="n">
        <f aca="false">IF(Raw_Export!$A1912="","",IFERROR(VALUE(SUBSTITUTE(SUBSTITUTE(UPPER(TRIM(Raw_Export!F1912)),"KES",""),",","")),0))</f>
        <v>135</v>
      </c>
      <c r="H1912" s="38" t="n">
        <f aca="false">IF(Raw_Export!$A1912="","",F1912*G1912)</f>
        <v>135</v>
      </c>
      <c r="I1912" s="36" t="str">
        <f aca="false">IF(Raw_Export!$A1912="","",IFERROR(VLOOKUP(LOWER(TRIM(Raw_Export!H1912)),Maps!$D$2:$E$12,2,FALSE()),"Other"))</f>
        <v>M-Pesa</v>
      </c>
      <c r="J1912" s="36" t="str">
        <f aca="false">IF(Raw_Export!$A1912="","",IF(COUNTIF($A$2:A1912,A1912)&gt;1,"Duplicate",""))</f>
        <v/>
      </c>
      <c r="K1912" s="36" t="str">
        <f aca="false">IF(Raw_Export!$A1912="","",IF(J1912="Duplicate","Duplicate",IF(OR(C1912="UNMAPPED",D1912="UNMAPPED"),"Unmapped",IF(F1912=0,"Blank qty",IF(F1912&lt;0,"Return","OK")))))</f>
        <v>OK</v>
      </c>
      <c r="L1912" s="36" t="n">
        <f aca="false">IF(Raw_Export!$A1912="","",IF(OR(K1912="OK",K1912="Return"),1,0))</f>
        <v>1</v>
      </c>
      <c r="M1912" s="37" t="n">
        <f aca="false">IF(Raw_Export!$A1912="","",B1912-WEEKDAY(B1912,2)+1)</f>
        <v>46272</v>
      </c>
    </row>
    <row r="1913" customFormat="false" ht="15" hidden="false" customHeight="false" outlineLevel="0" collapsed="false">
      <c r="A1913" s="36" t="str">
        <f aca="false">IF(Raw_Export!$A1913="","",TRIM(Raw_Export!A1913))</f>
        <v>TXN-101873</v>
      </c>
      <c r="B1913" s="37" t="n">
        <f aca="false">IF(Raw_Export!$A1913="","",IF(ISNUMBER(Raw_Export!B1913),Raw_Export!B1913,IF(MID(TRIM(Raw_Export!B1913),5,1)="-",DATE(LEFT(TRIM(Raw_Export!B1913),4),MID(TRIM(Raw_Export!B1913),6,2),RIGHT(TRIM(Raw_Export!B1913),2)),DATE(RIGHT(TRIM(Raw_Export!B1913),4),MATCH(MID(TRIM(Raw_Export!B1913),4,3),{"Jan","Feb","Mar","Apr","May","Jun","Jul","Aug","Sep","Oct","Nov","Dec"},0),LEFT(TRIM(Raw_Export!B1913),2)))))</f>
        <v>46277</v>
      </c>
      <c r="C1913" s="36" t="str">
        <f aca="false">IF(Raw_Export!$A1913="","",IFERROR(VLOOKUP(LOWER(TRIM(Raw_Export!C1913)),Maps!$A$2:$B$20,2,FALSE()),"UNMAPPED"))</f>
        <v>Westlands</v>
      </c>
      <c r="D1913" s="36" t="str">
        <f aca="false">IF(Raw_Export!$A1913="","",IFERROR(VLOOKUP(LOWER(TRIM(Raw_Export!D1913)),Maps!$G$2:$I$80,2,FALSE()),"UNMAPPED"))</f>
        <v>Sugar 2kg</v>
      </c>
      <c r="E1913" s="36" t="str">
        <f aca="false">IF(Raw_Export!$A1913="","",IFERROR(VLOOKUP(LOWER(TRIM(Raw_Export!D1913)),Maps!$G$2:$I$80,3,FALSE()),"UNMAPPED"))</f>
        <v>Staples</v>
      </c>
      <c r="F1913" s="36" t="n">
        <f aca="false">IF(Raw_Export!$A1913="","",IFERROR(VALUE(TRIM(Raw_Export!E1913)),0))</f>
        <v>3</v>
      </c>
      <c r="G1913" s="38" t="n">
        <f aca="false">IF(Raw_Export!$A1913="","",IFERROR(VALUE(SUBSTITUTE(SUBSTITUTE(UPPER(TRIM(Raw_Export!F1913)),"KES",""),",","")),0))</f>
        <v>330</v>
      </c>
      <c r="H1913" s="38" t="n">
        <f aca="false">IF(Raw_Export!$A1913="","",F1913*G1913)</f>
        <v>990</v>
      </c>
      <c r="I1913" s="36" t="str">
        <f aca="false">IF(Raw_Export!$A1913="","",IFERROR(VLOOKUP(LOWER(TRIM(Raw_Export!H1913)),Maps!$D$2:$E$12,2,FALSE()),"Other"))</f>
        <v>Cash</v>
      </c>
      <c r="J1913" s="36" t="str">
        <f aca="false">IF(Raw_Export!$A1913="","",IF(COUNTIF($A$2:A1913,A1913)&gt;1,"Duplicate",""))</f>
        <v/>
      </c>
      <c r="K1913" s="36" t="str">
        <f aca="false">IF(Raw_Export!$A1913="","",IF(J1913="Duplicate","Duplicate",IF(OR(C1913="UNMAPPED",D1913="UNMAPPED"),"Unmapped",IF(F1913=0,"Blank qty",IF(F1913&lt;0,"Return","OK")))))</f>
        <v>OK</v>
      </c>
      <c r="L1913" s="36" t="n">
        <f aca="false">IF(Raw_Export!$A1913="","",IF(OR(K1913="OK",K1913="Return"),1,0))</f>
        <v>1</v>
      </c>
      <c r="M1913" s="37" t="n">
        <f aca="false">IF(Raw_Export!$A1913="","",B1913-WEEKDAY(B1913,2)+1)</f>
        <v>46272</v>
      </c>
    </row>
    <row r="1914" customFormat="false" ht="15" hidden="false" customHeight="false" outlineLevel="0" collapsed="false">
      <c r="A1914" s="36" t="str">
        <f aca="false">IF(Raw_Export!$A1914="","",TRIM(Raw_Export!A1914))</f>
        <v>TXN-101874</v>
      </c>
      <c r="B1914" s="37" t="n">
        <f aca="false">IF(Raw_Export!$A1914="","",IF(ISNUMBER(Raw_Export!B1914),Raw_Export!B1914,IF(MID(TRIM(Raw_Export!B1914),5,1)="-",DATE(LEFT(TRIM(Raw_Export!B1914),4),MID(TRIM(Raw_Export!B1914),6,2),RIGHT(TRIM(Raw_Export!B1914),2)),DATE(RIGHT(TRIM(Raw_Export!B1914),4),MATCH(MID(TRIM(Raw_Export!B1914),4,3),{"Jan","Feb","Mar","Apr","May","Jun","Jul","Aug","Sep","Oct","Nov","Dec"},0),LEFT(TRIM(Raw_Export!B1914),2)))))</f>
        <v>46277</v>
      </c>
      <c r="C1914" s="36" t="str">
        <f aca="false">IF(Raw_Export!$A1914="","",IFERROR(VLOOKUP(LOWER(TRIM(Raw_Export!C1914)),Maps!$A$2:$B$20,2,FALSE()),"UNMAPPED"))</f>
        <v>Westlands</v>
      </c>
      <c r="D1914" s="36" t="str">
        <f aca="false">IF(Raw_Export!$A1914="","",IFERROR(VLOOKUP(LOWER(TRIM(Raw_Export!D1914)),Maps!$G$2:$I$80,2,FALSE()),"UNMAPPED"))</f>
        <v>Chocolate Bar 90g</v>
      </c>
      <c r="E1914" s="36" t="str">
        <f aca="false">IF(Raw_Export!$A1914="","",IFERROR(VLOOKUP(LOWER(TRIM(Raw_Export!D1914)),Maps!$G$2:$I$80,3,FALSE()),"UNMAPPED"))</f>
        <v>Snacks</v>
      </c>
      <c r="F1914" s="36" t="n">
        <f aca="false">IF(Raw_Export!$A1914="","",IFERROR(VALUE(TRIM(Raw_Export!E1914)),0))</f>
        <v>3</v>
      </c>
      <c r="G1914" s="38" t="n">
        <f aca="false">IF(Raw_Export!$A1914="","",IFERROR(VALUE(SUBSTITUTE(SUBSTITUTE(UPPER(TRIM(Raw_Export!F1914)),"KES",""),",","")),0))</f>
        <v>140</v>
      </c>
      <c r="H1914" s="38" t="n">
        <f aca="false">IF(Raw_Export!$A1914="","",F1914*G1914)</f>
        <v>420</v>
      </c>
      <c r="I1914" s="36" t="str">
        <f aca="false">IF(Raw_Export!$A1914="","",IFERROR(VLOOKUP(LOWER(TRIM(Raw_Export!H1914)),Maps!$D$2:$E$12,2,FALSE()),"Other"))</f>
        <v>M-Pesa</v>
      </c>
      <c r="J1914" s="36" t="str">
        <f aca="false">IF(Raw_Export!$A1914="","",IF(COUNTIF($A$2:A1914,A1914)&gt;1,"Duplicate",""))</f>
        <v/>
      </c>
      <c r="K1914" s="36" t="str">
        <f aca="false">IF(Raw_Export!$A1914="","",IF(J1914="Duplicate","Duplicate",IF(OR(C1914="UNMAPPED",D1914="UNMAPPED"),"Unmapped",IF(F1914=0,"Blank qty",IF(F1914&lt;0,"Return","OK")))))</f>
        <v>OK</v>
      </c>
      <c r="L1914" s="36" t="n">
        <f aca="false">IF(Raw_Export!$A1914="","",IF(OR(K1914="OK",K1914="Return"),1,0))</f>
        <v>1</v>
      </c>
      <c r="M1914" s="37" t="n">
        <f aca="false">IF(Raw_Export!$A1914="","",B1914-WEEKDAY(B1914,2)+1)</f>
        <v>46272</v>
      </c>
    </row>
    <row r="1915" customFormat="false" ht="15" hidden="false" customHeight="false" outlineLevel="0" collapsed="false">
      <c r="A1915" s="36" t="str">
        <f aca="false">IF(Raw_Export!$A1915="","",TRIM(Raw_Export!A1915))</f>
        <v>TXN-101875</v>
      </c>
      <c r="B1915" s="37" t="n">
        <f aca="false">IF(Raw_Export!$A1915="","",IF(ISNUMBER(Raw_Export!B1915),Raw_Export!B1915,IF(MID(TRIM(Raw_Export!B1915),5,1)="-",DATE(LEFT(TRIM(Raw_Export!B1915),4),MID(TRIM(Raw_Export!B1915),6,2),RIGHT(TRIM(Raw_Export!B1915),2)),DATE(RIGHT(TRIM(Raw_Export!B1915),4),MATCH(MID(TRIM(Raw_Export!B1915),4,3),{"Jan","Feb","Mar","Apr","May","Jun","Jul","Aug","Sep","Oct","Nov","Dec"},0),LEFT(TRIM(Raw_Export!B1915),2)))))</f>
        <v>46277</v>
      </c>
      <c r="C1915" s="36" t="str">
        <f aca="false">IF(Raw_Export!$A1915="","",IFERROR(VLOOKUP(LOWER(TRIM(Raw_Export!C1915)),Maps!$A$2:$B$20,2,FALSE()),"UNMAPPED"))</f>
        <v>Westlands</v>
      </c>
      <c r="D1915" s="36" t="str">
        <f aca="false">IF(Raw_Export!$A1915="","",IFERROR(VLOOKUP(LOWER(TRIM(Raw_Export!D1915)),Maps!$G$2:$I$80,2,FALSE()),"UNMAPPED"))</f>
        <v>Peanuts 250g</v>
      </c>
      <c r="E1915" s="36" t="str">
        <f aca="false">IF(Raw_Export!$A1915="","",IFERROR(VLOOKUP(LOWER(TRIM(Raw_Export!D1915)),Maps!$G$2:$I$80,3,FALSE()),"UNMAPPED"))</f>
        <v>Snacks</v>
      </c>
      <c r="F1915" s="36" t="n">
        <f aca="false">IF(Raw_Export!$A1915="","",IFERROR(VALUE(TRIM(Raw_Export!E1915)),0))</f>
        <v>3</v>
      </c>
      <c r="G1915" s="38" t="n">
        <f aca="false">IF(Raw_Export!$A1915="","",IFERROR(VALUE(SUBSTITUTE(SUBSTITUTE(UPPER(TRIM(Raw_Export!F1915)),"KES",""),",","")),0))</f>
        <v>130</v>
      </c>
      <c r="H1915" s="38" t="n">
        <f aca="false">IF(Raw_Export!$A1915="","",F1915*G1915)</f>
        <v>390</v>
      </c>
      <c r="I1915" s="36" t="str">
        <f aca="false">IF(Raw_Export!$A1915="","",IFERROR(VLOOKUP(LOWER(TRIM(Raw_Export!H1915)),Maps!$D$2:$E$12,2,FALSE()),"Other"))</f>
        <v>M-Pesa</v>
      </c>
      <c r="J1915" s="36" t="str">
        <f aca="false">IF(Raw_Export!$A1915="","",IF(COUNTIF($A$2:A1915,A1915)&gt;1,"Duplicate",""))</f>
        <v/>
      </c>
      <c r="K1915" s="36" t="str">
        <f aca="false">IF(Raw_Export!$A1915="","",IF(J1915="Duplicate","Duplicate",IF(OR(C1915="UNMAPPED",D1915="UNMAPPED"),"Unmapped",IF(F1915=0,"Blank qty",IF(F1915&lt;0,"Return","OK")))))</f>
        <v>OK</v>
      </c>
      <c r="L1915" s="36" t="n">
        <f aca="false">IF(Raw_Export!$A1915="","",IF(OR(K1915="OK",K1915="Return"),1,0))</f>
        <v>1</v>
      </c>
      <c r="M1915" s="37" t="n">
        <f aca="false">IF(Raw_Export!$A1915="","",B1915-WEEKDAY(B1915,2)+1)</f>
        <v>46272</v>
      </c>
    </row>
    <row r="1916" customFormat="false" ht="15" hidden="false" customHeight="false" outlineLevel="0" collapsed="false">
      <c r="A1916" s="36" t="str">
        <f aca="false">IF(Raw_Export!$A1916="","",TRIM(Raw_Export!A1916))</f>
        <v>TXN-101876</v>
      </c>
      <c r="B1916" s="37" t="n">
        <f aca="false">IF(Raw_Export!$A1916="","",IF(ISNUMBER(Raw_Export!B1916),Raw_Export!B1916,IF(MID(TRIM(Raw_Export!B1916),5,1)="-",DATE(LEFT(TRIM(Raw_Export!B1916),4),MID(TRIM(Raw_Export!B1916),6,2),RIGHT(TRIM(Raw_Export!B1916),2)),DATE(RIGHT(TRIM(Raw_Export!B1916),4),MATCH(MID(TRIM(Raw_Export!B1916),4,3),{"Jan","Feb","Mar","Apr","May","Jun","Jul","Aug","Sep","Oct","Nov","Dec"},0),LEFT(TRIM(Raw_Export!B1916),2)))))</f>
        <v>46277</v>
      </c>
      <c r="C1916" s="36" t="str">
        <f aca="false">IF(Raw_Export!$A1916="","",IFERROR(VLOOKUP(LOWER(TRIM(Raw_Export!C1916)),Maps!$A$2:$B$20,2,FALSE()),"UNMAPPED"))</f>
        <v>Westlands</v>
      </c>
      <c r="D1916" s="36" t="str">
        <f aca="false">IF(Raw_Export!$A1916="","",IFERROR(VLOOKUP(LOWER(TRIM(Raw_Export!D1916)),Maps!$G$2:$I$80,2,FALSE()),"UNMAPPED"))</f>
        <v>Chocolate Bar 90g</v>
      </c>
      <c r="E1916" s="36" t="str">
        <f aca="false">IF(Raw_Export!$A1916="","",IFERROR(VLOOKUP(LOWER(TRIM(Raw_Export!D1916)),Maps!$G$2:$I$80,3,FALSE()),"UNMAPPED"))</f>
        <v>Snacks</v>
      </c>
      <c r="F1916" s="36" t="n">
        <f aca="false">IF(Raw_Export!$A1916="","",IFERROR(VALUE(TRIM(Raw_Export!E1916)),0))</f>
        <v>1</v>
      </c>
      <c r="G1916" s="38" t="n">
        <f aca="false">IF(Raw_Export!$A1916="","",IFERROR(VALUE(SUBSTITUTE(SUBSTITUTE(UPPER(TRIM(Raw_Export!F1916)),"KES",""),",","")),0))</f>
        <v>140</v>
      </c>
      <c r="H1916" s="38" t="n">
        <f aca="false">IF(Raw_Export!$A1916="","",F1916*G1916)</f>
        <v>140</v>
      </c>
      <c r="I1916" s="36" t="str">
        <f aca="false">IF(Raw_Export!$A1916="","",IFERROR(VLOOKUP(LOWER(TRIM(Raw_Export!H1916)),Maps!$D$2:$E$12,2,FALSE()),"Other"))</f>
        <v>Cash</v>
      </c>
      <c r="J1916" s="36" t="str">
        <f aca="false">IF(Raw_Export!$A1916="","",IF(COUNTIF($A$2:A1916,A1916)&gt;1,"Duplicate",""))</f>
        <v/>
      </c>
      <c r="K1916" s="36" t="str">
        <f aca="false">IF(Raw_Export!$A1916="","",IF(J1916="Duplicate","Duplicate",IF(OR(C1916="UNMAPPED",D1916="UNMAPPED"),"Unmapped",IF(F1916=0,"Blank qty",IF(F1916&lt;0,"Return","OK")))))</f>
        <v>OK</v>
      </c>
      <c r="L1916" s="36" t="n">
        <f aca="false">IF(Raw_Export!$A1916="","",IF(OR(K1916="OK",K1916="Return"),1,0))</f>
        <v>1</v>
      </c>
      <c r="M1916" s="37" t="n">
        <f aca="false">IF(Raw_Export!$A1916="","",B1916-WEEKDAY(B1916,2)+1)</f>
        <v>46272</v>
      </c>
    </row>
    <row r="1917" customFormat="false" ht="15" hidden="false" customHeight="false" outlineLevel="0" collapsed="false">
      <c r="A1917" s="36" t="str">
        <f aca="false">IF(Raw_Export!$A1917="","",TRIM(Raw_Export!A1917))</f>
        <v>TXN-101877</v>
      </c>
      <c r="B1917" s="37" t="n">
        <f aca="false">IF(Raw_Export!$A1917="","",IF(ISNUMBER(Raw_Export!B1917),Raw_Export!B1917,IF(MID(TRIM(Raw_Export!B1917),5,1)="-",DATE(LEFT(TRIM(Raw_Export!B1917),4),MID(TRIM(Raw_Export!B1917),6,2),RIGHT(TRIM(Raw_Export!B1917),2)),DATE(RIGHT(TRIM(Raw_Export!B1917),4),MATCH(MID(TRIM(Raw_Export!B1917),4,3),{"Jan","Feb","Mar","Apr","May","Jun","Jul","Aug","Sep","Oct","Nov","Dec"},0),LEFT(TRIM(Raw_Export!B1917),2)))))</f>
        <v>46277</v>
      </c>
      <c r="C1917" s="36" t="str">
        <f aca="false">IF(Raw_Export!$A1917="","",IFERROR(VLOOKUP(LOWER(TRIM(Raw_Export!C1917)),Maps!$A$2:$B$20,2,FALSE()),"UNMAPPED"))</f>
        <v>Westlands</v>
      </c>
      <c r="D1917" s="36" t="str">
        <f aca="false">IF(Raw_Export!$A1917="","",IFERROR(VLOOKUP(LOWER(TRIM(Raw_Export!D1917)),Maps!$G$2:$I$80,2,FALSE()),"UNMAPPED"))</f>
        <v>Washing Powder 1kg</v>
      </c>
      <c r="E1917" s="36" t="str">
        <f aca="false">IF(Raw_Export!$A1917="","",IFERROR(VLOOKUP(LOWER(TRIM(Raw_Export!D1917)),Maps!$G$2:$I$80,3,FALSE()),"UNMAPPED"))</f>
        <v>Household</v>
      </c>
      <c r="F1917" s="36" t="n">
        <f aca="false">IF(Raw_Export!$A1917="","",IFERROR(VALUE(TRIM(Raw_Export!E1917)),0))</f>
        <v>2</v>
      </c>
      <c r="G1917" s="38" t="n">
        <f aca="false">IF(Raw_Export!$A1917="","",IFERROR(VALUE(SUBSTITUTE(SUBSTITUTE(UPPER(TRIM(Raw_Export!F1917)),"KES",""),",","")),0))</f>
        <v>280</v>
      </c>
      <c r="H1917" s="38" t="n">
        <f aca="false">IF(Raw_Export!$A1917="","",F1917*G1917)</f>
        <v>560</v>
      </c>
      <c r="I1917" s="36" t="str">
        <f aca="false">IF(Raw_Export!$A1917="","",IFERROR(VLOOKUP(LOWER(TRIM(Raw_Export!H1917)),Maps!$D$2:$E$12,2,FALSE()),"Other"))</f>
        <v>M-Pesa</v>
      </c>
      <c r="J1917" s="36" t="str">
        <f aca="false">IF(Raw_Export!$A1917="","",IF(COUNTIF($A$2:A1917,A1917)&gt;1,"Duplicate",""))</f>
        <v/>
      </c>
      <c r="K1917" s="36" t="str">
        <f aca="false">IF(Raw_Export!$A1917="","",IF(J1917="Duplicate","Duplicate",IF(OR(C1917="UNMAPPED",D1917="UNMAPPED"),"Unmapped",IF(F1917=0,"Blank qty",IF(F1917&lt;0,"Return","OK")))))</f>
        <v>OK</v>
      </c>
      <c r="L1917" s="36" t="n">
        <f aca="false">IF(Raw_Export!$A1917="","",IF(OR(K1917="OK",K1917="Return"),1,0))</f>
        <v>1</v>
      </c>
      <c r="M1917" s="37" t="n">
        <f aca="false">IF(Raw_Export!$A1917="","",B1917-WEEKDAY(B1917,2)+1)</f>
        <v>46272</v>
      </c>
    </row>
    <row r="1918" customFormat="false" ht="15" hidden="false" customHeight="false" outlineLevel="0" collapsed="false">
      <c r="A1918" s="36" t="str">
        <f aca="false">IF(Raw_Export!$A1918="","",TRIM(Raw_Export!A1918))</f>
        <v>TXN-101878</v>
      </c>
      <c r="B1918" s="37" t="n">
        <f aca="false">IF(Raw_Export!$A1918="","",IF(ISNUMBER(Raw_Export!B1918),Raw_Export!B1918,IF(MID(TRIM(Raw_Export!B1918),5,1)="-",DATE(LEFT(TRIM(Raw_Export!B1918),4),MID(TRIM(Raw_Export!B1918),6,2),RIGHT(TRIM(Raw_Export!B1918),2)),DATE(RIGHT(TRIM(Raw_Export!B1918),4),MATCH(MID(TRIM(Raw_Export!B1918),4,3),{"Jan","Feb","Mar","Apr","May","Jun","Jul","Aug","Sep","Oct","Nov","Dec"},0),LEFT(TRIM(Raw_Export!B1918),2)))))</f>
        <v>46277</v>
      </c>
      <c r="C1918" s="36" t="str">
        <f aca="false">IF(Raw_Export!$A1918="","",IFERROR(VLOOKUP(LOWER(TRIM(Raw_Export!C1918)),Maps!$A$2:$B$20,2,FALSE()),"UNMAPPED"))</f>
        <v>Westlands</v>
      </c>
      <c r="D1918" s="36" t="str">
        <f aca="false">IF(Raw_Export!$A1918="","",IFERROR(VLOOKUP(LOWER(TRIM(Raw_Export!D1918)),Maps!$G$2:$I$80,2,FALSE()),"UNMAPPED"))</f>
        <v>Fresh Milk 500ml</v>
      </c>
      <c r="E1918" s="36" t="str">
        <f aca="false">IF(Raw_Export!$A1918="","",IFERROR(VLOOKUP(LOWER(TRIM(Raw_Export!D1918)),Maps!$G$2:$I$80,3,FALSE()),"UNMAPPED"))</f>
        <v>Dairy &amp; Eggs</v>
      </c>
      <c r="F1918" s="36" t="n">
        <f aca="false">IF(Raw_Export!$A1918="","",IFERROR(VALUE(TRIM(Raw_Export!E1918)),0))</f>
        <v>1</v>
      </c>
      <c r="G1918" s="38" t="n">
        <f aca="false">IF(Raw_Export!$A1918="","",IFERROR(VALUE(SUBSTITUTE(SUBSTITUTE(UPPER(TRIM(Raw_Export!F1918)),"KES",""),",","")),0))</f>
        <v>65</v>
      </c>
      <c r="H1918" s="38" t="n">
        <f aca="false">IF(Raw_Export!$A1918="","",F1918*G1918)</f>
        <v>65</v>
      </c>
      <c r="I1918" s="36" t="str">
        <f aca="false">IF(Raw_Export!$A1918="","",IFERROR(VLOOKUP(LOWER(TRIM(Raw_Export!H1918)),Maps!$D$2:$E$12,2,FALSE()),"Other"))</f>
        <v>Cash</v>
      </c>
      <c r="J1918" s="36" t="str">
        <f aca="false">IF(Raw_Export!$A1918="","",IF(COUNTIF($A$2:A1918,A1918)&gt;1,"Duplicate",""))</f>
        <v/>
      </c>
      <c r="K1918" s="36" t="str">
        <f aca="false">IF(Raw_Export!$A1918="","",IF(J1918="Duplicate","Duplicate",IF(OR(C1918="UNMAPPED",D1918="UNMAPPED"),"Unmapped",IF(F1918=0,"Blank qty",IF(F1918&lt;0,"Return","OK")))))</f>
        <v>OK</v>
      </c>
      <c r="L1918" s="36" t="n">
        <f aca="false">IF(Raw_Export!$A1918="","",IF(OR(K1918="OK",K1918="Return"),1,0))</f>
        <v>1</v>
      </c>
      <c r="M1918" s="37" t="n">
        <f aca="false">IF(Raw_Export!$A1918="","",B1918-WEEKDAY(B1918,2)+1)</f>
        <v>46272</v>
      </c>
    </row>
    <row r="1919" customFormat="false" ht="15" hidden="false" customHeight="false" outlineLevel="0" collapsed="false">
      <c r="A1919" s="36" t="str">
        <f aca="false">IF(Raw_Export!$A1919="","",TRIM(Raw_Export!A1919))</f>
        <v>TXN-101879</v>
      </c>
      <c r="B1919" s="37" t="n">
        <f aca="false">IF(Raw_Export!$A1919="","",IF(ISNUMBER(Raw_Export!B1919),Raw_Export!B1919,IF(MID(TRIM(Raw_Export!B1919),5,1)="-",DATE(LEFT(TRIM(Raw_Export!B1919),4),MID(TRIM(Raw_Export!B1919),6,2),RIGHT(TRIM(Raw_Export!B1919),2)),DATE(RIGHT(TRIM(Raw_Export!B1919),4),MATCH(MID(TRIM(Raw_Export!B1919),4,3),{"Jan","Feb","Mar","Apr","May","Jun","Jul","Aug","Sep","Oct","Nov","Dec"},0),LEFT(TRIM(Raw_Export!B1919),2)))))</f>
        <v>46277</v>
      </c>
      <c r="C1919" s="36" t="str">
        <f aca="false">IF(Raw_Export!$A1919="","",IFERROR(VLOOKUP(LOWER(TRIM(Raw_Export!C1919)),Maps!$A$2:$B$20,2,FALSE()),"UNMAPPED"))</f>
        <v>Westlands</v>
      </c>
      <c r="D1919" s="36" t="str">
        <f aca="false">IF(Raw_Export!$A1919="","",IFERROR(VLOOKUP(LOWER(TRIM(Raw_Export!D1919)),Maps!$G$2:$I$80,2,FALSE()),"UNMAPPED"))</f>
        <v>Unga Pembe 2kg</v>
      </c>
      <c r="E1919" s="36" t="str">
        <f aca="false">IF(Raw_Export!$A1919="","",IFERROR(VLOOKUP(LOWER(TRIM(Raw_Export!D1919)),Maps!$G$2:$I$80,3,FALSE()),"UNMAPPED"))</f>
        <v>Staples</v>
      </c>
      <c r="F1919" s="36" t="n">
        <f aca="false">IF(Raw_Export!$A1919="","",IFERROR(VALUE(TRIM(Raw_Export!E1919)),0))</f>
        <v>-6</v>
      </c>
      <c r="G1919" s="38" t="n">
        <f aca="false">IF(Raw_Export!$A1919="","",IFERROR(VALUE(SUBSTITUTE(SUBSTITUTE(UPPER(TRIM(Raw_Export!F1919)),"KES",""),",","")),0))</f>
        <v>190</v>
      </c>
      <c r="H1919" s="38" t="n">
        <f aca="false">IF(Raw_Export!$A1919="","",F1919*G1919)</f>
        <v>-1140</v>
      </c>
      <c r="I1919" s="36" t="str">
        <f aca="false">IF(Raw_Export!$A1919="","",IFERROR(VLOOKUP(LOWER(TRIM(Raw_Export!H1919)),Maps!$D$2:$E$12,2,FALSE()),"Other"))</f>
        <v>Cash</v>
      </c>
      <c r="J1919" s="36" t="str">
        <f aca="false">IF(Raw_Export!$A1919="","",IF(COUNTIF($A$2:A1919,A1919)&gt;1,"Duplicate",""))</f>
        <v/>
      </c>
      <c r="K1919" s="36" t="str">
        <f aca="false">IF(Raw_Export!$A1919="","",IF(J1919="Duplicate","Duplicate",IF(OR(C1919="UNMAPPED",D1919="UNMAPPED"),"Unmapped",IF(F1919=0,"Blank qty",IF(F1919&lt;0,"Return","OK")))))</f>
        <v>Return</v>
      </c>
      <c r="L1919" s="36" t="n">
        <f aca="false">IF(Raw_Export!$A1919="","",IF(OR(K1919="OK",K1919="Return"),1,0))</f>
        <v>1</v>
      </c>
      <c r="M1919" s="37" t="n">
        <f aca="false">IF(Raw_Export!$A1919="","",B1919-WEEKDAY(B1919,2)+1)</f>
        <v>46272</v>
      </c>
    </row>
    <row r="1920" customFormat="false" ht="15" hidden="false" customHeight="false" outlineLevel="0" collapsed="false">
      <c r="A1920" s="36" t="str">
        <f aca="false">IF(Raw_Export!$A1920="","",TRIM(Raw_Export!A1920))</f>
        <v>TXN-101880</v>
      </c>
      <c r="B1920" s="37" t="n">
        <f aca="false">IF(Raw_Export!$A1920="","",IF(ISNUMBER(Raw_Export!B1920),Raw_Export!B1920,IF(MID(TRIM(Raw_Export!B1920),5,1)="-",DATE(LEFT(TRIM(Raw_Export!B1920),4),MID(TRIM(Raw_Export!B1920),6,2),RIGHT(TRIM(Raw_Export!B1920),2)),DATE(RIGHT(TRIM(Raw_Export!B1920),4),MATCH(MID(TRIM(Raw_Export!B1920),4,3),{"Jan","Feb","Mar","Apr","May","Jun","Jul","Aug","Sep","Oct","Nov","Dec"},0),LEFT(TRIM(Raw_Export!B1920),2)))))</f>
        <v>46277</v>
      </c>
      <c r="C1920" s="36" t="str">
        <f aca="false">IF(Raw_Export!$A1920="","",IFERROR(VLOOKUP(LOWER(TRIM(Raw_Export!C1920)),Maps!$A$2:$B$20,2,FALSE()),"UNMAPPED"))</f>
        <v>Westlands</v>
      </c>
      <c r="D1920" s="36" t="str">
        <f aca="false">IF(Raw_Export!$A1920="","",IFERROR(VLOOKUP(LOWER(TRIM(Raw_Export!D1920)),Maps!$G$2:$I$80,2,FALSE()),"UNMAPPED"))</f>
        <v>Sanitary Pads 8pk</v>
      </c>
      <c r="E1920" s="36" t="str">
        <f aca="false">IF(Raw_Export!$A1920="","",IFERROR(VLOOKUP(LOWER(TRIM(Raw_Export!D1920)),Maps!$G$2:$I$80,3,FALSE()),"UNMAPPED"))</f>
        <v>Personal Care</v>
      </c>
      <c r="F1920" s="36" t="n">
        <f aca="false">IF(Raw_Export!$A1920="","",IFERROR(VALUE(TRIM(Raw_Export!E1920)),0))</f>
        <v>6</v>
      </c>
      <c r="G1920" s="38" t="n">
        <f aca="false">IF(Raw_Export!$A1920="","",IFERROR(VALUE(SUBSTITUTE(SUBSTITUTE(UPPER(TRIM(Raw_Export!F1920)),"KES",""),",","")),0))</f>
        <v>130</v>
      </c>
      <c r="H1920" s="38" t="n">
        <f aca="false">IF(Raw_Export!$A1920="","",F1920*G1920)</f>
        <v>780</v>
      </c>
      <c r="I1920" s="36" t="str">
        <f aca="false">IF(Raw_Export!$A1920="","",IFERROR(VLOOKUP(LOWER(TRIM(Raw_Export!H1920)),Maps!$D$2:$E$12,2,FALSE()),"Other"))</f>
        <v>Card</v>
      </c>
      <c r="J1920" s="36" t="str">
        <f aca="false">IF(Raw_Export!$A1920="","",IF(COUNTIF($A$2:A1920,A1920)&gt;1,"Duplicate",""))</f>
        <v/>
      </c>
      <c r="K1920" s="36" t="str">
        <f aca="false">IF(Raw_Export!$A1920="","",IF(J1920="Duplicate","Duplicate",IF(OR(C1920="UNMAPPED",D1920="UNMAPPED"),"Unmapped",IF(F1920=0,"Blank qty",IF(F1920&lt;0,"Return","OK")))))</f>
        <v>OK</v>
      </c>
      <c r="L1920" s="36" t="n">
        <f aca="false">IF(Raw_Export!$A1920="","",IF(OR(K1920="OK",K1920="Return"),1,0))</f>
        <v>1</v>
      </c>
      <c r="M1920" s="37" t="n">
        <f aca="false">IF(Raw_Export!$A1920="","",B1920-WEEKDAY(B1920,2)+1)</f>
        <v>46272</v>
      </c>
    </row>
    <row r="1921" customFormat="false" ht="15" hidden="false" customHeight="false" outlineLevel="0" collapsed="false">
      <c r="A1921" s="36" t="str">
        <f aca="false">IF(Raw_Export!$A1921="","",TRIM(Raw_Export!A1921))</f>
        <v>TXN-101881</v>
      </c>
      <c r="B1921" s="37" t="n">
        <f aca="false">IF(Raw_Export!$A1921="","",IF(ISNUMBER(Raw_Export!B1921),Raw_Export!B1921,IF(MID(TRIM(Raw_Export!B1921),5,1)="-",DATE(LEFT(TRIM(Raw_Export!B1921),4),MID(TRIM(Raw_Export!B1921),6,2),RIGHT(TRIM(Raw_Export!B1921),2)),DATE(RIGHT(TRIM(Raw_Export!B1921),4),MATCH(MID(TRIM(Raw_Export!B1921),4,3),{"Jan","Feb","Mar","Apr","May","Jun","Jul","Aug","Sep","Oct","Nov","Dec"},0),LEFT(TRIM(Raw_Export!B1921),2)))))</f>
        <v>46277</v>
      </c>
      <c r="C1921" s="36" t="str">
        <f aca="false">IF(Raw_Export!$A1921="","",IFERROR(VLOOKUP(LOWER(TRIM(Raw_Export!C1921)),Maps!$A$2:$B$20,2,FALSE()),"UNMAPPED"))</f>
        <v>Westlands</v>
      </c>
      <c r="D1921" s="36" t="str">
        <f aca="false">IF(Raw_Export!$A1921="","",IFERROR(VLOOKUP(LOWER(TRIM(Raw_Export!D1921)),Maps!$G$2:$I$80,2,FALSE()),"UNMAPPED"))</f>
        <v>Cheddar 200g</v>
      </c>
      <c r="E1921" s="36" t="str">
        <f aca="false">IF(Raw_Export!$A1921="","",IFERROR(VLOOKUP(LOWER(TRIM(Raw_Export!D1921)),Maps!$G$2:$I$80,3,FALSE()),"UNMAPPED"))</f>
        <v>Dairy &amp; Eggs</v>
      </c>
      <c r="F1921" s="36" t="n">
        <f aca="false">IF(Raw_Export!$A1921="","",IFERROR(VALUE(TRIM(Raw_Export!E1921)),0))</f>
        <v>3</v>
      </c>
      <c r="G1921" s="38" t="n">
        <f aca="false">IF(Raw_Export!$A1921="","",IFERROR(VALUE(SUBSTITUTE(SUBSTITUTE(UPPER(TRIM(Raw_Export!F1921)),"KES",""),",","")),0))</f>
        <v>380</v>
      </c>
      <c r="H1921" s="38" t="n">
        <f aca="false">IF(Raw_Export!$A1921="","",F1921*G1921)</f>
        <v>1140</v>
      </c>
      <c r="I1921" s="36" t="str">
        <f aca="false">IF(Raw_Export!$A1921="","",IFERROR(VLOOKUP(LOWER(TRIM(Raw_Export!H1921)),Maps!$D$2:$E$12,2,FALSE()),"Other"))</f>
        <v>M-Pesa</v>
      </c>
      <c r="J1921" s="36" t="str">
        <f aca="false">IF(Raw_Export!$A1921="","",IF(COUNTIF($A$2:A1921,A1921)&gt;1,"Duplicate",""))</f>
        <v/>
      </c>
      <c r="K1921" s="36" t="str">
        <f aca="false">IF(Raw_Export!$A1921="","",IF(J1921="Duplicate","Duplicate",IF(OR(C1921="UNMAPPED",D1921="UNMAPPED"),"Unmapped",IF(F1921=0,"Blank qty",IF(F1921&lt;0,"Return","OK")))))</f>
        <v>OK</v>
      </c>
      <c r="L1921" s="36" t="n">
        <f aca="false">IF(Raw_Export!$A1921="","",IF(OR(K1921="OK",K1921="Return"),1,0))</f>
        <v>1</v>
      </c>
      <c r="M1921" s="37" t="n">
        <f aca="false">IF(Raw_Export!$A1921="","",B1921-WEEKDAY(B1921,2)+1)</f>
        <v>46272</v>
      </c>
    </row>
    <row r="1922" customFormat="false" ht="15" hidden="false" customHeight="false" outlineLevel="0" collapsed="false">
      <c r="A1922" s="36" t="str">
        <f aca="false">IF(Raw_Export!$A1922="","",TRIM(Raw_Export!A1922))</f>
        <v>TXN-101882</v>
      </c>
      <c r="B1922" s="37" t="n">
        <f aca="false">IF(Raw_Export!$A1922="","",IF(ISNUMBER(Raw_Export!B1922),Raw_Export!B1922,IF(MID(TRIM(Raw_Export!B1922),5,1)="-",DATE(LEFT(TRIM(Raw_Export!B1922),4),MID(TRIM(Raw_Export!B1922),6,2),RIGHT(TRIM(Raw_Export!B1922),2)),DATE(RIGHT(TRIM(Raw_Export!B1922),4),MATCH(MID(TRIM(Raw_Export!B1922),4,3),{"Jan","Feb","Mar","Apr","May","Jun","Jul","Aug","Sep","Oct","Nov","Dec"},0),LEFT(TRIM(Raw_Export!B1922),2)))))</f>
        <v>46277</v>
      </c>
      <c r="C1922" s="36" t="str">
        <f aca="false">IF(Raw_Export!$A1922="","",IFERROR(VLOOKUP(LOWER(TRIM(Raw_Export!C1922)),Maps!$A$2:$B$20,2,FALSE()),"UNMAPPED"))</f>
        <v>Westlands</v>
      </c>
      <c r="D1922" s="36" t="str">
        <f aca="false">IF(Raw_Export!$A1922="","",IFERROR(VLOOKUP(LOWER(TRIM(Raw_Export!D1922)),Maps!$G$2:$I$80,2,FALSE()),"UNMAPPED"))</f>
        <v>Sanitary Pads 8pk</v>
      </c>
      <c r="E1922" s="36" t="str">
        <f aca="false">IF(Raw_Export!$A1922="","",IFERROR(VLOOKUP(LOWER(TRIM(Raw_Export!D1922)),Maps!$G$2:$I$80,3,FALSE()),"UNMAPPED"))</f>
        <v>Personal Care</v>
      </c>
      <c r="F1922" s="36" t="n">
        <f aca="false">IF(Raw_Export!$A1922="","",IFERROR(VALUE(TRIM(Raw_Export!E1922)),0))</f>
        <v>2</v>
      </c>
      <c r="G1922" s="38" t="n">
        <f aca="false">IF(Raw_Export!$A1922="","",IFERROR(VALUE(SUBSTITUTE(SUBSTITUTE(UPPER(TRIM(Raw_Export!F1922)),"KES",""),",","")),0))</f>
        <v>117</v>
      </c>
      <c r="H1922" s="38" t="n">
        <f aca="false">IF(Raw_Export!$A1922="","",F1922*G1922)</f>
        <v>234</v>
      </c>
      <c r="I1922" s="36" t="str">
        <f aca="false">IF(Raw_Export!$A1922="","",IFERROR(VLOOKUP(LOWER(TRIM(Raw_Export!H1922)),Maps!$D$2:$E$12,2,FALSE()),"Other"))</f>
        <v>M-Pesa</v>
      </c>
      <c r="J1922" s="36" t="str">
        <f aca="false">IF(Raw_Export!$A1922="","",IF(COUNTIF($A$2:A1922,A1922)&gt;1,"Duplicate",""))</f>
        <v/>
      </c>
      <c r="K1922" s="36" t="str">
        <f aca="false">IF(Raw_Export!$A1922="","",IF(J1922="Duplicate","Duplicate",IF(OR(C1922="UNMAPPED",D1922="UNMAPPED"),"Unmapped",IF(F1922=0,"Blank qty",IF(F1922&lt;0,"Return","OK")))))</f>
        <v>OK</v>
      </c>
      <c r="L1922" s="36" t="n">
        <f aca="false">IF(Raw_Export!$A1922="","",IF(OR(K1922="OK",K1922="Return"),1,0))</f>
        <v>1</v>
      </c>
      <c r="M1922" s="37" t="n">
        <f aca="false">IF(Raw_Export!$A1922="","",B1922-WEEKDAY(B1922,2)+1)</f>
        <v>46272</v>
      </c>
    </row>
    <row r="1923" customFormat="false" ht="15" hidden="false" customHeight="false" outlineLevel="0" collapsed="false">
      <c r="A1923" s="36" t="str">
        <f aca="false">IF(Raw_Export!$A1923="","",TRIM(Raw_Export!A1923))</f>
        <v>TXN-101883</v>
      </c>
      <c r="B1923" s="37" t="n">
        <f aca="false">IF(Raw_Export!$A1923="","",IF(ISNUMBER(Raw_Export!B1923),Raw_Export!B1923,IF(MID(TRIM(Raw_Export!B1923),5,1)="-",DATE(LEFT(TRIM(Raw_Export!B1923),4),MID(TRIM(Raw_Export!B1923),6,2),RIGHT(TRIM(Raw_Export!B1923),2)),DATE(RIGHT(TRIM(Raw_Export!B1923),4),MATCH(MID(TRIM(Raw_Export!B1923),4,3),{"Jan","Feb","Mar","Apr","May","Jun","Jul","Aug","Sep","Oct","Nov","Dec"},0),LEFT(TRIM(Raw_Export!B1923),2)))))</f>
        <v>46277</v>
      </c>
      <c r="C1923" s="36" t="str">
        <f aca="false">IF(Raw_Export!$A1923="","",IFERROR(VLOOKUP(LOWER(TRIM(Raw_Export!C1923)),Maps!$A$2:$B$20,2,FALSE()),"UNMAPPED"))</f>
        <v>Westlands</v>
      </c>
      <c r="D1923" s="36" t="str">
        <f aca="false">IF(Raw_Export!$A1923="","",IFERROR(VLOOKUP(LOWER(TRIM(Raw_Export!D1923)),Maps!$G$2:$I$80,2,FALSE()),"UNMAPPED"))</f>
        <v>Bottled Water 1.5L</v>
      </c>
      <c r="E1923" s="36" t="str">
        <f aca="false">IF(Raw_Export!$A1923="","",IFERROR(VLOOKUP(LOWER(TRIM(Raw_Export!D1923)),Maps!$G$2:$I$80,3,FALSE()),"UNMAPPED"))</f>
        <v>Beverages</v>
      </c>
      <c r="F1923" s="36" t="n">
        <f aca="false">IF(Raw_Export!$A1923="","",IFERROR(VALUE(TRIM(Raw_Export!E1923)),0))</f>
        <v>1</v>
      </c>
      <c r="G1923" s="38" t="n">
        <f aca="false">IF(Raw_Export!$A1923="","",IFERROR(VALUE(SUBSTITUTE(SUBSTITUTE(UPPER(TRIM(Raw_Export!F1923)),"KES",""),",","")),0))</f>
        <v>90</v>
      </c>
      <c r="H1923" s="38" t="n">
        <f aca="false">IF(Raw_Export!$A1923="","",F1923*G1923)</f>
        <v>90</v>
      </c>
      <c r="I1923" s="36" t="str">
        <f aca="false">IF(Raw_Export!$A1923="","",IFERROR(VLOOKUP(LOWER(TRIM(Raw_Export!H1923)),Maps!$D$2:$E$12,2,FALSE()),"Other"))</f>
        <v>Card</v>
      </c>
      <c r="J1923" s="36" t="str">
        <f aca="false">IF(Raw_Export!$A1923="","",IF(COUNTIF($A$2:A1923,A1923)&gt;1,"Duplicate",""))</f>
        <v/>
      </c>
      <c r="K1923" s="36" t="str">
        <f aca="false">IF(Raw_Export!$A1923="","",IF(J1923="Duplicate","Duplicate",IF(OR(C1923="UNMAPPED",D1923="UNMAPPED"),"Unmapped",IF(F1923=0,"Blank qty",IF(F1923&lt;0,"Return","OK")))))</f>
        <v>OK</v>
      </c>
      <c r="L1923" s="36" t="n">
        <f aca="false">IF(Raw_Export!$A1923="","",IF(OR(K1923="OK",K1923="Return"),1,0))</f>
        <v>1</v>
      </c>
      <c r="M1923" s="37" t="n">
        <f aca="false">IF(Raw_Export!$A1923="","",B1923-WEEKDAY(B1923,2)+1)</f>
        <v>46272</v>
      </c>
    </row>
    <row r="1924" customFormat="false" ht="15" hidden="false" customHeight="false" outlineLevel="0" collapsed="false">
      <c r="A1924" s="36" t="str">
        <f aca="false">IF(Raw_Export!$A1924="","",TRIM(Raw_Export!A1924))</f>
        <v>TXN-101884</v>
      </c>
      <c r="B1924" s="37" t="n">
        <f aca="false">IF(Raw_Export!$A1924="","",IF(ISNUMBER(Raw_Export!B1924),Raw_Export!B1924,IF(MID(TRIM(Raw_Export!B1924),5,1)="-",DATE(LEFT(TRIM(Raw_Export!B1924),4),MID(TRIM(Raw_Export!B1924),6,2),RIGHT(TRIM(Raw_Export!B1924),2)),DATE(RIGHT(TRIM(Raw_Export!B1924),4),MATCH(MID(TRIM(Raw_Export!B1924),4,3),{"Jan","Feb","Mar","Apr","May","Jun","Jul","Aug","Sep","Oct","Nov","Dec"},0),LEFT(TRIM(Raw_Export!B1924),2)))))</f>
        <v>46277</v>
      </c>
      <c r="C1924" s="36" t="str">
        <f aca="false">IF(Raw_Export!$A1924="","",IFERROR(VLOOKUP(LOWER(TRIM(Raw_Export!C1924)),Maps!$A$2:$B$20,2,FALSE()),"UNMAPPED"))</f>
        <v>Westlands</v>
      </c>
      <c r="D1924" s="36" t="str">
        <f aca="false">IF(Raw_Export!$A1924="","",IFERROR(VLOOKUP(LOWER(TRIM(Raw_Export!D1924)),Maps!$G$2:$I$80,2,FALSE()),"UNMAPPED"))</f>
        <v>Fresh Milk 500ml</v>
      </c>
      <c r="E1924" s="36" t="str">
        <f aca="false">IF(Raw_Export!$A1924="","",IFERROR(VLOOKUP(LOWER(TRIM(Raw_Export!D1924)),Maps!$G$2:$I$80,3,FALSE()),"UNMAPPED"))</f>
        <v>Dairy &amp; Eggs</v>
      </c>
      <c r="F1924" s="36" t="n">
        <f aca="false">IF(Raw_Export!$A1924="","",IFERROR(VALUE(TRIM(Raw_Export!E1924)),0))</f>
        <v>1</v>
      </c>
      <c r="G1924" s="38" t="n">
        <f aca="false">IF(Raw_Export!$A1924="","",IFERROR(VALUE(SUBSTITUTE(SUBSTITUTE(UPPER(TRIM(Raw_Export!F1924)),"KES",""),",","")),0))</f>
        <v>65</v>
      </c>
      <c r="H1924" s="38" t="n">
        <f aca="false">IF(Raw_Export!$A1924="","",F1924*G1924)</f>
        <v>65</v>
      </c>
      <c r="I1924" s="36" t="str">
        <f aca="false">IF(Raw_Export!$A1924="","",IFERROR(VLOOKUP(LOWER(TRIM(Raw_Export!H1924)),Maps!$D$2:$E$12,2,FALSE()),"Other"))</f>
        <v>Cash</v>
      </c>
      <c r="J1924" s="36" t="str">
        <f aca="false">IF(Raw_Export!$A1924="","",IF(COUNTIF($A$2:A1924,A1924)&gt;1,"Duplicate",""))</f>
        <v/>
      </c>
      <c r="K1924" s="36" t="str">
        <f aca="false">IF(Raw_Export!$A1924="","",IF(J1924="Duplicate","Duplicate",IF(OR(C1924="UNMAPPED",D1924="UNMAPPED"),"Unmapped",IF(F1924=0,"Blank qty",IF(F1924&lt;0,"Return","OK")))))</f>
        <v>OK</v>
      </c>
      <c r="L1924" s="36" t="n">
        <f aca="false">IF(Raw_Export!$A1924="","",IF(OR(K1924="OK",K1924="Return"),1,0))</f>
        <v>1</v>
      </c>
      <c r="M1924" s="37" t="n">
        <f aca="false">IF(Raw_Export!$A1924="","",B1924-WEEKDAY(B1924,2)+1)</f>
        <v>46272</v>
      </c>
    </row>
    <row r="1925" customFormat="false" ht="15" hidden="false" customHeight="false" outlineLevel="0" collapsed="false">
      <c r="A1925" s="36" t="str">
        <f aca="false">IF(Raw_Export!$A1925="","",TRIM(Raw_Export!A1925))</f>
        <v>TXN-101885</v>
      </c>
      <c r="B1925" s="37" t="n">
        <f aca="false">IF(Raw_Export!$A1925="","",IF(ISNUMBER(Raw_Export!B1925),Raw_Export!B1925,IF(MID(TRIM(Raw_Export!B1925),5,1)="-",DATE(LEFT(TRIM(Raw_Export!B1925),4),MID(TRIM(Raw_Export!B1925),6,2),RIGHT(TRIM(Raw_Export!B1925),2)),DATE(RIGHT(TRIM(Raw_Export!B1925),4),MATCH(MID(TRIM(Raw_Export!B1925),4,3),{"Jan","Feb","Mar","Apr","May","Jun","Jul","Aug","Sep","Oct","Nov","Dec"},0),LEFT(TRIM(Raw_Export!B1925),2)))))</f>
        <v>46277</v>
      </c>
      <c r="C1925" s="36" t="str">
        <f aca="false">IF(Raw_Export!$A1925="","",IFERROR(VLOOKUP(LOWER(TRIM(Raw_Export!C1925)),Maps!$A$2:$B$20,2,FALSE()),"UNMAPPED"))</f>
        <v>Mombasa</v>
      </c>
      <c r="D1925" s="36" t="str">
        <f aca="false">IF(Raw_Export!$A1925="","",IFERROR(VLOOKUP(LOWER(TRIM(Raw_Export!D1925)),Maps!$G$2:$I$80,2,FALSE()),"UNMAPPED"))</f>
        <v>Tea Leaves 250g</v>
      </c>
      <c r="E1925" s="36" t="str">
        <f aca="false">IF(Raw_Export!$A1925="","",IFERROR(VLOOKUP(LOWER(TRIM(Raw_Export!D1925)),Maps!$G$2:$I$80,3,FALSE()),"UNMAPPED"))</f>
        <v>Beverages</v>
      </c>
      <c r="F1925" s="36" t="n">
        <f aca="false">IF(Raw_Export!$A1925="","",IFERROR(VALUE(TRIM(Raw_Export!E1925)),0))</f>
        <v>2</v>
      </c>
      <c r="G1925" s="38" t="n">
        <f aca="false">IF(Raw_Export!$A1925="","",IFERROR(VALUE(SUBSTITUTE(SUBSTITUTE(UPPER(TRIM(Raw_Export!F1925)),"KES",""),",","")),0))</f>
        <v>150</v>
      </c>
      <c r="H1925" s="38" t="n">
        <f aca="false">IF(Raw_Export!$A1925="","",F1925*G1925)</f>
        <v>300</v>
      </c>
      <c r="I1925" s="36" t="str">
        <f aca="false">IF(Raw_Export!$A1925="","",IFERROR(VLOOKUP(LOWER(TRIM(Raw_Export!H1925)),Maps!$D$2:$E$12,2,FALSE()),"Other"))</f>
        <v>M-Pesa</v>
      </c>
      <c r="J1925" s="36" t="str">
        <f aca="false">IF(Raw_Export!$A1925="","",IF(COUNTIF($A$2:A1925,A1925)&gt;1,"Duplicate",""))</f>
        <v/>
      </c>
      <c r="K1925" s="36" t="str">
        <f aca="false">IF(Raw_Export!$A1925="","",IF(J1925="Duplicate","Duplicate",IF(OR(C1925="UNMAPPED",D1925="UNMAPPED"),"Unmapped",IF(F1925=0,"Blank qty",IF(F1925&lt;0,"Return","OK")))))</f>
        <v>OK</v>
      </c>
      <c r="L1925" s="36" t="n">
        <f aca="false">IF(Raw_Export!$A1925="","",IF(OR(K1925="OK",K1925="Return"),1,0))</f>
        <v>1</v>
      </c>
      <c r="M1925" s="37" t="n">
        <f aca="false">IF(Raw_Export!$A1925="","",B1925-WEEKDAY(B1925,2)+1)</f>
        <v>46272</v>
      </c>
    </row>
    <row r="1926" customFormat="false" ht="15" hidden="false" customHeight="false" outlineLevel="0" collapsed="false">
      <c r="A1926" s="36" t="str">
        <f aca="false">IF(Raw_Export!$A1926="","",TRIM(Raw_Export!A1926))</f>
        <v>TXN-101886</v>
      </c>
      <c r="B1926" s="37" t="n">
        <f aca="false">IF(Raw_Export!$A1926="","",IF(ISNUMBER(Raw_Export!B1926),Raw_Export!B1926,IF(MID(TRIM(Raw_Export!B1926),5,1)="-",DATE(LEFT(TRIM(Raw_Export!B1926),4),MID(TRIM(Raw_Export!B1926),6,2),RIGHT(TRIM(Raw_Export!B1926),2)),DATE(RIGHT(TRIM(Raw_Export!B1926),4),MATCH(MID(TRIM(Raw_Export!B1926),4,3),{"Jan","Feb","Mar","Apr","May","Jun","Jul","Aug","Sep","Oct","Nov","Dec"},0),LEFT(TRIM(Raw_Export!B1926),2)))))</f>
        <v>46277</v>
      </c>
      <c r="C1926" s="36" t="str">
        <f aca="false">IF(Raw_Export!$A1926="","",IFERROR(VLOOKUP(LOWER(TRIM(Raw_Export!C1926)),Maps!$A$2:$B$20,2,FALSE()),"UNMAPPED"))</f>
        <v>Mombasa</v>
      </c>
      <c r="D1926" s="36" t="str">
        <f aca="false">IF(Raw_Export!$A1926="","",IFERROR(VLOOKUP(LOWER(TRIM(Raw_Export!D1926)),Maps!$G$2:$I$80,2,FALSE()),"UNMAPPED"))</f>
        <v>Chocolate Bar 90g</v>
      </c>
      <c r="E1926" s="36" t="str">
        <f aca="false">IF(Raw_Export!$A1926="","",IFERROR(VLOOKUP(LOWER(TRIM(Raw_Export!D1926)),Maps!$G$2:$I$80,3,FALSE()),"UNMAPPED"))</f>
        <v>Snacks</v>
      </c>
      <c r="F1926" s="36" t="n">
        <f aca="false">IF(Raw_Export!$A1926="","",IFERROR(VALUE(TRIM(Raw_Export!E1926)),0))</f>
        <v>3</v>
      </c>
      <c r="G1926" s="38" t="n">
        <f aca="false">IF(Raw_Export!$A1926="","",IFERROR(VALUE(SUBSTITUTE(SUBSTITUTE(UPPER(TRIM(Raw_Export!F1926)),"KES",""),",","")),0))</f>
        <v>140</v>
      </c>
      <c r="H1926" s="38" t="n">
        <f aca="false">IF(Raw_Export!$A1926="","",F1926*G1926)</f>
        <v>420</v>
      </c>
      <c r="I1926" s="36" t="str">
        <f aca="false">IF(Raw_Export!$A1926="","",IFERROR(VLOOKUP(LOWER(TRIM(Raw_Export!H1926)),Maps!$D$2:$E$12,2,FALSE()),"Other"))</f>
        <v>M-Pesa</v>
      </c>
      <c r="J1926" s="36" t="str">
        <f aca="false">IF(Raw_Export!$A1926="","",IF(COUNTIF($A$2:A1926,A1926)&gt;1,"Duplicate",""))</f>
        <v/>
      </c>
      <c r="K1926" s="36" t="str">
        <f aca="false">IF(Raw_Export!$A1926="","",IF(J1926="Duplicate","Duplicate",IF(OR(C1926="UNMAPPED",D1926="UNMAPPED"),"Unmapped",IF(F1926=0,"Blank qty",IF(F1926&lt;0,"Return","OK")))))</f>
        <v>OK</v>
      </c>
      <c r="L1926" s="36" t="n">
        <f aca="false">IF(Raw_Export!$A1926="","",IF(OR(K1926="OK",K1926="Return"),1,0))</f>
        <v>1</v>
      </c>
      <c r="M1926" s="37" t="n">
        <f aca="false">IF(Raw_Export!$A1926="","",B1926-WEEKDAY(B1926,2)+1)</f>
        <v>46272</v>
      </c>
    </row>
    <row r="1927" customFormat="false" ht="15" hidden="false" customHeight="false" outlineLevel="0" collapsed="false">
      <c r="A1927" s="36" t="str">
        <f aca="false">IF(Raw_Export!$A1927="","",TRIM(Raw_Export!A1927))</f>
        <v>TXN-101887</v>
      </c>
      <c r="B1927" s="37" t="n">
        <f aca="false">IF(Raw_Export!$A1927="","",IF(ISNUMBER(Raw_Export!B1927),Raw_Export!B1927,IF(MID(TRIM(Raw_Export!B1927),5,1)="-",DATE(LEFT(TRIM(Raw_Export!B1927),4),MID(TRIM(Raw_Export!B1927),6,2),RIGHT(TRIM(Raw_Export!B1927),2)),DATE(RIGHT(TRIM(Raw_Export!B1927),4),MATCH(MID(TRIM(Raw_Export!B1927),4,3),{"Jan","Feb","Mar","Apr","May","Jun","Jul","Aug","Sep","Oct","Nov","Dec"},0),LEFT(TRIM(Raw_Export!B1927),2)))))</f>
        <v>46277</v>
      </c>
      <c r="C1927" s="36" t="str">
        <f aca="false">IF(Raw_Export!$A1927="","",IFERROR(VLOOKUP(LOWER(TRIM(Raw_Export!C1927)),Maps!$A$2:$B$20,2,FALSE()),"UNMAPPED"))</f>
        <v>Mombasa</v>
      </c>
      <c r="D1927" s="36" t="str">
        <f aca="false">IF(Raw_Export!$A1927="","",IFERROR(VLOOKUP(LOWER(TRIM(Raw_Export!D1927)),Maps!$G$2:$I$80,2,FALSE()),"UNMAPPED"))</f>
        <v>Matches 10pk</v>
      </c>
      <c r="E1927" s="36" t="str">
        <f aca="false">IF(Raw_Export!$A1927="","",IFERROR(VLOOKUP(LOWER(TRIM(Raw_Export!D1927)),Maps!$G$2:$I$80,3,FALSE()),"UNMAPPED"))</f>
        <v>Household</v>
      </c>
      <c r="F1927" s="36" t="n">
        <f aca="false">IF(Raw_Export!$A1927="","",IFERROR(VALUE(TRIM(Raw_Export!E1927)),0))</f>
        <v>6</v>
      </c>
      <c r="G1927" s="38" t="n">
        <f aca="false">IF(Raw_Export!$A1927="","",IFERROR(VALUE(SUBSTITUTE(SUBSTITUTE(UPPER(TRIM(Raw_Export!F1927)),"KES",""),",","")),0))</f>
        <v>50</v>
      </c>
      <c r="H1927" s="38" t="n">
        <f aca="false">IF(Raw_Export!$A1927="","",F1927*G1927)</f>
        <v>300</v>
      </c>
      <c r="I1927" s="36" t="str">
        <f aca="false">IF(Raw_Export!$A1927="","",IFERROR(VLOOKUP(LOWER(TRIM(Raw_Export!H1927)),Maps!$D$2:$E$12,2,FALSE()),"Other"))</f>
        <v>M-Pesa</v>
      </c>
      <c r="J1927" s="36" t="str">
        <f aca="false">IF(Raw_Export!$A1927="","",IF(COUNTIF($A$2:A1927,A1927)&gt;1,"Duplicate",""))</f>
        <v/>
      </c>
      <c r="K1927" s="36" t="str">
        <f aca="false">IF(Raw_Export!$A1927="","",IF(J1927="Duplicate","Duplicate",IF(OR(C1927="UNMAPPED",D1927="UNMAPPED"),"Unmapped",IF(F1927=0,"Blank qty",IF(F1927&lt;0,"Return","OK")))))</f>
        <v>OK</v>
      </c>
      <c r="L1927" s="36" t="n">
        <f aca="false">IF(Raw_Export!$A1927="","",IF(OR(K1927="OK",K1927="Return"),1,0))</f>
        <v>1</v>
      </c>
      <c r="M1927" s="37" t="n">
        <f aca="false">IF(Raw_Export!$A1927="","",B1927-WEEKDAY(B1927,2)+1)</f>
        <v>46272</v>
      </c>
    </row>
    <row r="1928" customFormat="false" ht="15" hidden="false" customHeight="false" outlineLevel="0" collapsed="false">
      <c r="A1928" s="36" t="str">
        <f aca="false">IF(Raw_Export!$A1928="","",TRIM(Raw_Export!A1928))</f>
        <v>TXN-101888</v>
      </c>
      <c r="B1928" s="37" t="n">
        <f aca="false">IF(Raw_Export!$A1928="","",IF(ISNUMBER(Raw_Export!B1928),Raw_Export!B1928,IF(MID(TRIM(Raw_Export!B1928),5,1)="-",DATE(LEFT(TRIM(Raw_Export!B1928),4),MID(TRIM(Raw_Export!B1928),6,2),RIGHT(TRIM(Raw_Export!B1928),2)),DATE(RIGHT(TRIM(Raw_Export!B1928),4),MATCH(MID(TRIM(Raw_Export!B1928),4,3),{"Jan","Feb","Mar","Apr","May","Jun","Jul","Aug","Sep","Oct","Nov","Dec"},0),LEFT(TRIM(Raw_Export!B1928),2)))))</f>
        <v>46277</v>
      </c>
      <c r="C1928" s="36" t="str">
        <f aca="false">IF(Raw_Export!$A1928="","",IFERROR(VLOOKUP(LOWER(TRIM(Raw_Export!C1928)),Maps!$A$2:$B$20,2,FALSE()),"UNMAPPED"))</f>
        <v>Mombasa</v>
      </c>
      <c r="D1928" s="36" t="str">
        <f aca="false">IF(Raw_Export!$A1928="","",IFERROR(VLOOKUP(LOWER(TRIM(Raw_Export!D1928)),Maps!$G$2:$I$80,2,FALSE()),"UNMAPPED"))</f>
        <v>Bottled Water 1.5L</v>
      </c>
      <c r="E1928" s="36" t="str">
        <f aca="false">IF(Raw_Export!$A1928="","",IFERROR(VLOOKUP(LOWER(TRIM(Raw_Export!D1928)),Maps!$G$2:$I$80,3,FALSE()),"UNMAPPED"))</f>
        <v>Beverages</v>
      </c>
      <c r="F1928" s="36" t="n">
        <f aca="false">IF(Raw_Export!$A1928="","",IFERROR(VALUE(TRIM(Raw_Export!E1928)),0))</f>
        <v>1</v>
      </c>
      <c r="G1928" s="38" t="n">
        <f aca="false">IF(Raw_Export!$A1928="","",IFERROR(VALUE(SUBSTITUTE(SUBSTITUTE(UPPER(TRIM(Raw_Export!F1928)),"KES",""),",","")),0))</f>
        <v>90</v>
      </c>
      <c r="H1928" s="38" t="n">
        <f aca="false">IF(Raw_Export!$A1928="","",F1928*G1928)</f>
        <v>90</v>
      </c>
      <c r="I1928" s="36" t="str">
        <f aca="false">IF(Raw_Export!$A1928="","",IFERROR(VLOOKUP(LOWER(TRIM(Raw_Export!H1928)),Maps!$D$2:$E$12,2,FALSE()),"Other"))</f>
        <v>M-Pesa</v>
      </c>
      <c r="J1928" s="36" t="str">
        <f aca="false">IF(Raw_Export!$A1928="","",IF(COUNTIF($A$2:A1928,A1928)&gt;1,"Duplicate",""))</f>
        <v/>
      </c>
      <c r="K1928" s="36" t="str">
        <f aca="false">IF(Raw_Export!$A1928="","",IF(J1928="Duplicate","Duplicate",IF(OR(C1928="UNMAPPED",D1928="UNMAPPED"),"Unmapped",IF(F1928=0,"Blank qty",IF(F1928&lt;0,"Return","OK")))))</f>
        <v>OK</v>
      </c>
      <c r="L1928" s="36" t="n">
        <f aca="false">IF(Raw_Export!$A1928="","",IF(OR(K1928="OK",K1928="Return"),1,0))</f>
        <v>1</v>
      </c>
      <c r="M1928" s="37" t="n">
        <f aca="false">IF(Raw_Export!$A1928="","",B1928-WEEKDAY(B1928,2)+1)</f>
        <v>46272</v>
      </c>
    </row>
    <row r="1929" customFormat="false" ht="15" hidden="false" customHeight="false" outlineLevel="0" collapsed="false">
      <c r="A1929" s="36" t="str">
        <f aca="false">IF(Raw_Export!$A1929="","",TRIM(Raw_Export!A1929))</f>
        <v>TXN-101889</v>
      </c>
      <c r="B1929" s="37" t="n">
        <f aca="false">IF(Raw_Export!$A1929="","",IF(ISNUMBER(Raw_Export!B1929),Raw_Export!B1929,IF(MID(TRIM(Raw_Export!B1929),5,1)="-",DATE(LEFT(TRIM(Raw_Export!B1929),4),MID(TRIM(Raw_Export!B1929),6,2),RIGHT(TRIM(Raw_Export!B1929),2)),DATE(RIGHT(TRIM(Raw_Export!B1929),4),MATCH(MID(TRIM(Raw_Export!B1929),4,3),{"Jan","Feb","Mar","Apr","May","Jun","Jul","Aug","Sep","Oct","Nov","Dec"},0),LEFT(TRIM(Raw_Export!B1929),2)))))</f>
        <v>46277</v>
      </c>
      <c r="C1929" s="36" t="str">
        <f aca="false">IF(Raw_Export!$A1929="","",IFERROR(VLOOKUP(LOWER(TRIM(Raw_Export!C1929)),Maps!$A$2:$B$20,2,FALSE()),"UNMAPPED"))</f>
        <v>Mombasa</v>
      </c>
      <c r="D1929" s="36" t="str">
        <f aca="false">IF(Raw_Export!$A1929="","",IFERROR(VLOOKUP(LOWER(TRIM(Raw_Export!D1929)),Maps!$G$2:$I$80,2,FALSE()),"UNMAPPED"))</f>
        <v>Cooking Oil 1L</v>
      </c>
      <c r="E1929" s="36" t="str">
        <f aca="false">IF(Raw_Export!$A1929="","",IFERROR(VLOOKUP(LOWER(TRIM(Raw_Export!D1929)),Maps!$G$2:$I$80,3,FALSE()),"UNMAPPED"))</f>
        <v>Staples</v>
      </c>
      <c r="F1929" s="36" t="n">
        <f aca="false">IF(Raw_Export!$A1929="","",IFERROR(VALUE(TRIM(Raw_Export!E1929)),0))</f>
        <v>2</v>
      </c>
      <c r="G1929" s="38" t="n">
        <f aca="false">IF(Raw_Export!$A1929="","",IFERROR(VALUE(SUBSTITUTE(SUBSTITUTE(UPPER(TRIM(Raw_Export!F1929)),"KES",""),",","")),0))</f>
        <v>330</v>
      </c>
      <c r="H1929" s="38" t="n">
        <f aca="false">IF(Raw_Export!$A1929="","",F1929*G1929)</f>
        <v>660</v>
      </c>
      <c r="I1929" s="36" t="str">
        <f aca="false">IF(Raw_Export!$A1929="","",IFERROR(VLOOKUP(LOWER(TRIM(Raw_Export!H1929)),Maps!$D$2:$E$12,2,FALSE()),"Other"))</f>
        <v>Cash</v>
      </c>
      <c r="J1929" s="36" t="str">
        <f aca="false">IF(Raw_Export!$A1929="","",IF(COUNTIF($A$2:A1929,A1929)&gt;1,"Duplicate",""))</f>
        <v/>
      </c>
      <c r="K1929" s="36" t="str">
        <f aca="false">IF(Raw_Export!$A1929="","",IF(J1929="Duplicate","Duplicate",IF(OR(C1929="UNMAPPED",D1929="UNMAPPED"),"Unmapped",IF(F1929=0,"Blank qty",IF(F1929&lt;0,"Return","OK")))))</f>
        <v>OK</v>
      </c>
      <c r="L1929" s="36" t="n">
        <f aca="false">IF(Raw_Export!$A1929="","",IF(OR(K1929="OK",K1929="Return"),1,0))</f>
        <v>1</v>
      </c>
      <c r="M1929" s="37" t="n">
        <f aca="false">IF(Raw_Export!$A1929="","",B1929-WEEKDAY(B1929,2)+1)</f>
        <v>46272</v>
      </c>
    </row>
    <row r="1930" customFormat="false" ht="15" hidden="false" customHeight="false" outlineLevel="0" collapsed="false">
      <c r="A1930" s="36" t="str">
        <f aca="false">IF(Raw_Export!$A1930="","",TRIM(Raw_Export!A1930))</f>
        <v>TXN-101890</v>
      </c>
      <c r="B1930" s="37" t="n">
        <f aca="false">IF(Raw_Export!$A1930="","",IF(ISNUMBER(Raw_Export!B1930),Raw_Export!B1930,IF(MID(TRIM(Raw_Export!B1930),5,1)="-",DATE(LEFT(TRIM(Raw_Export!B1930),4),MID(TRIM(Raw_Export!B1930),6,2),RIGHT(TRIM(Raw_Export!B1930),2)),DATE(RIGHT(TRIM(Raw_Export!B1930),4),MATCH(MID(TRIM(Raw_Export!B1930),4,3),{"Jan","Feb","Mar","Apr","May","Jun","Jul","Aug","Sep","Oct","Nov","Dec"},0),LEFT(TRIM(Raw_Export!B1930),2)))))</f>
        <v>46277</v>
      </c>
      <c r="C1930" s="36" t="str">
        <f aca="false">IF(Raw_Export!$A1930="","",IFERROR(VLOOKUP(LOWER(TRIM(Raw_Export!C1930)),Maps!$A$2:$B$20,2,FALSE()),"UNMAPPED"))</f>
        <v>Mombasa</v>
      </c>
      <c r="D1930" s="36" t="str">
        <f aca="false">IF(Raw_Export!$A1930="","",IFERROR(VLOOKUP(LOWER(TRIM(Raw_Export!D1930)),Maps!$G$2:$I$80,2,FALSE()),"UNMAPPED"))</f>
        <v>Matches 10pk</v>
      </c>
      <c r="E1930" s="36" t="str">
        <f aca="false">IF(Raw_Export!$A1930="","",IFERROR(VLOOKUP(LOWER(TRIM(Raw_Export!D1930)),Maps!$G$2:$I$80,3,FALSE()),"UNMAPPED"))</f>
        <v>Household</v>
      </c>
      <c r="F1930" s="36" t="n">
        <f aca="false">IF(Raw_Export!$A1930="","",IFERROR(VALUE(TRIM(Raw_Export!E1930)),0))</f>
        <v>1</v>
      </c>
      <c r="G1930" s="38" t="n">
        <f aca="false">IF(Raw_Export!$A1930="","",IFERROR(VALUE(SUBSTITUTE(SUBSTITUTE(UPPER(TRIM(Raw_Export!F1930)),"KES",""),",","")),0))</f>
        <v>50</v>
      </c>
      <c r="H1930" s="38" t="n">
        <f aca="false">IF(Raw_Export!$A1930="","",F1930*G1930)</f>
        <v>50</v>
      </c>
      <c r="I1930" s="36" t="str">
        <f aca="false">IF(Raw_Export!$A1930="","",IFERROR(VLOOKUP(LOWER(TRIM(Raw_Export!H1930)),Maps!$D$2:$E$12,2,FALSE()),"Other"))</f>
        <v>M-Pesa</v>
      </c>
      <c r="J1930" s="36" t="str">
        <f aca="false">IF(Raw_Export!$A1930="","",IF(COUNTIF($A$2:A1930,A1930)&gt;1,"Duplicate",""))</f>
        <v/>
      </c>
      <c r="K1930" s="36" t="str">
        <f aca="false">IF(Raw_Export!$A1930="","",IF(J1930="Duplicate","Duplicate",IF(OR(C1930="UNMAPPED",D1930="UNMAPPED"),"Unmapped",IF(F1930=0,"Blank qty",IF(F1930&lt;0,"Return","OK")))))</f>
        <v>OK</v>
      </c>
      <c r="L1930" s="36" t="n">
        <f aca="false">IF(Raw_Export!$A1930="","",IF(OR(K1930="OK",K1930="Return"),1,0))</f>
        <v>1</v>
      </c>
      <c r="M1930" s="37" t="n">
        <f aca="false">IF(Raw_Export!$A1930="","",B1930-WEEKDAY(B1930,2)+1)</f>
        <v>46272</v>
      </c>
    </row>
    <row r="1931" customFormat="false" ht="15" hidden="false" customHeight="false" outlineLevel="0" collapsed="false">
      <c r="A1931" s="36" t="str">
        <f aca="false">IF(Raw_Export!$A1931="","",TRIM(Raw_Export!A1931))</f>
        <v>TXN-101891</v>
      </c>
      <c r="B1931" s="37" t="n">
        <f aca="false">IF(Raw_Export!$A1931="","",IF(ISNUMBER(Raw_Export!B1931),Raw_Export!B1931,IF(MID(TRIM(Raw_Export!B1931),5,1)="-",DATE(LEFT(TRIM(Raw_Export!B1931),4),MID(TRIM(Raw_Export!B1931),6,2),RIGHT(TRIM(Raw_Export!B1931),2)),DATE(RIGHT(TRIM(Raw_Export!B1931),4),MATCH(MID(TRIM(Raw_Export!B1931),4,3),{"Jan","Feb","Mar","Apr","May","Jun","Jul","Aug","Sep","Oct","Nov","Dec"},0),LEFT(TRIM(Raw_Export!B1931),2)))))</f>
        <v>46277</v>
      </c>
      <c r="C1931" s="36" t="str">
        <f aca="false">IF(Raw_Export!$A1931="","",IFERROR(VLOOKUP(LOWER(TRIM(Raw_Export!C1931)),Maps!$A$2:$B$20,2,FALSE()),"UNMAPPED"))</f>
        <v>Mombasa</v>
      </c>
      <c r="D1931" s="36" t="str">
        <f aca="false">IF(Raw_Export!$A1931="","",IFERROR(VLOOKUP(LOWER(TRIM(Raw_Export!D1931)),Maps!$G$2:$I$80,2,FALSE()),"UNMAPPED"))</f>
        <v>Soda 500ml</v>
      </c>
      <c r="E1931" s="36" t="str">
        <f aca="false">IF(Raw_Export!$A1931="","",IFERROR(VLOOKUP(LOWER(TRIM(Raw_Export!D1931)),Maps!$G$2:$I$80,3,FALSE()),"UNMAPPED"))</f>
        <v>Beverages</v>
      </c>
      <c r="F1931" s="36" t="n">
        <f aca="false">IF(Raw_Export!$A1931="","",IFERROR(VALUE(TRIM(Raw_Export!E1931)),0))</f>
        <v>6</v>
      </c>
      <c r="G1931" s="38" t="n">
        <f aca="false">IF(Raw_Export!$A1931="","",IFERROR(VALUE(SUBSTITUTE(SUBSTITUTE(UPPER(TRIM(Raw_Export!F1931)),"KES",""),",","")),0))</f>
        <v>60</v>
      </c>
      <c r="H1931" s="38" t="n">
        <f aca="false">IF(Raw_Export!$A1931="","",F1931*G1931)</f>
        <v>360</v>
      </c>
      <c r="I1931" s="36" t="str">
        <f aca="false">IF(Raw_Export!$A1931="","",IFERROR(VLOOKUP(LOWER(TRIM(Raw_Export!H1931)),Maps!$D$2:$E$12,2,FALSE()),"Other"))</f>
        <v>M-Pesa</v>
      </c>
      <c r="J1931" s="36" t="str">
        <f aca="false">IF(Raw_Export!$A1931="","",IF(COUNTIF($A$2:A1931,A1931)&gt;1,"Duplicate",""))</f>
        <v/>
      </c>
      <c r="K1931" s="36" t="str">
        <f aca="false">IF(Raw_Export!$A1931="","",IF(J1931="Duplicate","Duplicate",IF(OR(C1931="UNMAPPED",D1931="UNMAPPED"),"Unmapped",IF(F1931=0,"Blank qty",IF(F1931&lt;0,"Return","OK")))))</f>
        <v>OK</v>
      </c>
      <c r="L1931" s="36" t="n">
        <f aca="false">IF(Raw_Export!$A1931="","",IF(OR(K1931="OK",K1931="Return"),1,0))</f>
        <v>1</v>
      </c>
      <c r="M1931" s="37" t="n">
        <f aca="false">IF(Raw_Export!$A1931="","",B1931-WEEKDAY(B1931,2)+1)</f>
        <v>46272</v>
      </c>
    </row>
    <row r="1932" customFormat="false" ht="15" hidden="false" customHeight="false" outlineLevel="0" collapsed="false">
      <c r="A1932" s="36" t="str">
        <f aca="false">IF(Raw_Export!$A1932="","",TRIM(Raw_Export!A1932))</f>
        <v>TXN-101892</v>
      </c>
      <c r="B1932" s="37" t="n">
        <f aca="false">IF(Raw_Export!$A1932="","",IF(ISNUMBER(Raw_Export!B1932),Raw_Export!B1932,IF(MID(TRIM(Raw_Export!B1932),5,1)="-",DATE(LEFT(TRIM(Raw_Export!B1932),4),MID(TRIM(Raw_Export!B1932),6,2),RIGHT(TRIM(Raw_Export!B1932),2)),DATE(RIGHT(TRIM(Raw_Export!B1932),4),MATCH(MID(TRIM(Raw_Export!B1932),4,3),{"Jan","Feb","Mar","Apr","May","Jun","Jul","Aug","Sep","Oct","Nov","Dec"},0),LEFT(TRIM(Raw_Export!B1932),2)))))</f>
        <v>46277</v>
      </c>
      <c r="C1932" s="36" t="str">
        <f aca="false">IF(Raw_Export!$A1932="","",IFERROR(VLOOKUP(LOWER(TRIM(Raw_Export!C1932)),Maps!$A$2:$B$20,2,FALSE()),"UNMAPPED"))</f>
        <v>Mombasa</v>
      </c>
      <c r="D1932" s="36" t="str">
        <f aca="false">IF(Raw_Export!$A1932="","",IFERROR(VLOOKUP(LOWER(TRIM(Raw_Export!D1932)),Maps!$G$2:$I$80,2,FALSE()),"UNMAPPED"))</f>
        <v>Soda 500ml</v>
      </c>
      <c r="E1932" s="36" t="str">
        <f aca="false">IF(Raw_Export!$A1932="","",IFERROR(VLOOKUP(LOWER(TRIM(Raw_Export!D1932)),Maps!$G$2:$I$80,3,FALSE()),"UNMAPPED"))</f>
        <v>Beverages</v>
      </c>
      <c r="F1932" s="36" t="n">
        <f aca="false">IF(Raw_Export!$A1932="","",IFERROR(VALUE(TRIM(Raw_Export!E1932)),0))</f>
        <v>4</v>
      </c>
      <c r="G1932" s="38" t="n">
        <f aca="false">IF(Raw_Export!$A1932="","",IFERROR(VALUE(SUBSTITUTE(SUBSTITUTE(UPPER(TRIM(Raw_Export!F1932)),"KES",""),",","")),0))</f>
        <v>60</v>
      </c>
      <c r="H1932" s="38" t="n">
        <f aca="false">IF(Raw_Export!$A1932="","",F1932*G1932)</f>
        <v>240</v>
      </c>
      <c r="I1932" s="36" t="str">
        <f aca="false">IF(Raw_Export!$A1932="","",IFERROR(VLOOKUP(LOWER(TRIM(Raw_Export!H1932)),Maps!$D$2:$E$12,2,FALSE()),"Other"))</f>
        <v>M-Pesa</v>
      </c>
      <c r="J1932" s="36" t="str">
        <f aca="false">IF(Raw_Export!$A1932="","",IF(COUNTIF($A$2:A1932,A1932)&gt;1,"Duplicate",""))</f>
        <v/>
      </c>
      <c r="K1932" s="36" t="str">
        <f aca="false">IF(Raw_Export!$A1932="","",IF(J1932="Duplicate","Duplicate",IF(OR(C1932="UNMAPPED",D1932="UNMAPPED"),"Unmapped",IF(F1932=0,"Blank qty",IF(F1932&lt;0,"Return","OK")))))</f>
        <v>OK</v>
      </c>
      <c r="L1932" s="36" t="n">
        <f aca="false">IF(Raw_Export!$A1932="","",IF(OR(K1932="OK",K1932="Return"),1,0))</f>
        <v>1</v>
      </c>
      <c r="M1932" s="37" t="n">
        <f aca="false">IF(Raw_Export!$A1932="","",B1932-WEEKDAY(B1932,2)+1)</f>
        <v>46272</v>
      </c>
    </row>
    <row r="1933" customFormat="false" ht="15" hidden="false" customHeight="false" outlineLevel="0" collapsed="false">
      <c r="A1933" s="36" t="str">
        <f aca="false">IF(Raw_Export!$A1933="","",TRIM(Raw_Export!A1933))</f>
        <v>TXN-101893</v>
      </c>
      <c r="B1933" s="37" t="n">
        <f aca="false">IF(Raw_Export!$A1933="","",IF(ISNUMBER(Raw_Export!B1933),Raw_Export!B1933,IF(MID(TRIM(Raw_Export!B1933),5,1)="-",DATE(LEFT(TRIM(Raw_Export!B1933),4),MID(TRIM(Raw_Export!B1933),6,2),RIGHT(TRIM(Raw_Export!B1933),2)),DATE(RIGHT(TRIM(Raw_Export!B1933),4),MATCH(MID(TRIM(Raw_Export!B1933),4,3),{"Jan","Feb","Mar","Apr","May","Jun","Jul","Aug","Sep","Oct","Nov","Dec"},0),LEFT(TRIM(Raw_Export!B1933),2)))))</f>
        <v>46277</v>
      </c>
      <c r="C1933" s="36" t="str">
        <f aca="false">IF(Raw_Export!$A1933="","",IFERROR(VLOOKUP(LOWER(TRIM(Raw_Export!C1933)),Maps!$A$2:$B$20,2,FALSE()),"UNMAPPED"))</f>
        <v>Mombasa</v>
      </c>
      <c r="D1933" s="36" t="str">
        <f aca="false">IF(Raw_Export!$A1933="","",IFERROR(VLOOKUP(LOWER(TRIM(Raw_Export!D1933)),Maps!$G$2:$I$80,2,FALSE()),"UNMAPPED"))</f>
        <v>Deodorant 150ml</v>
      </c>
      <c r="E1933" s="36" t="str">
        <f aca="false">IF(Raw_Export!$A1933="","",IFERROR(VLOOKUP(LOWER(TRIM(Raw_Export!D1933)),Maps!$G$2:$I$80,3,FALSE()),"UNMAPPED"))</f>
        <v>Personal Care</v>
      </c>
      <c r="F1933" s="36" t="n">
        <f aca="false">IF(Raw_Export!$A1933="","",IFERROR(VALUE(TRIM(Raw_Export!E1933)),0))</f>
        <v>2</v>
      </c>
      <c r="G1933" s="38" t="n">
        <f aca="false">IF(Raw_Export!$A1933="","",IFERROR(VALUE(SUBSTITUTE(SUBSTITUTE(UPPER(TRIM(Raw_Export!F1933)),"KES",""),",","")),0))</f>
        <v>350</v>
      </c>
      <c r="H1933" s="38" t="n">
        <f aca="false">IF(Raw_Export!$A1933="","",F1933*G1933)</f>
        <v>700</v>
      </c>
      <c r="I1933" s="36" t="str">
        <f aca="false">IF(Raw_Export!$A1933="","",IFERROR(VLOOKUP(LOWER(TRIM(Raw_Export!H1933)),Maps!$D$2:$E$12,2,FALSE()),"Other"))</f>
        <v>M-Pesa</v>
      </c>
      <c r="J1933" s="36" t="str">
        <f aca="false">IF(Raw_Export!$A1933="","",IF(COUNTIF($A$2:A1933,A1933)&gt;1,"Duplicate",""))</f>
        <v/>
      </c>
      <c r="K1933" s="36" t="str">
        <f aca="false">IF(Raw_Export!$A1933="","",IF(J1933="Duplicate","Duplicate",IF(OR(C1933="UNMAPPED",D1933="UNMAPPED"),"Unmapped",IF(F1933=0,"Blank qty",IF(F1933&lt;0,"Return","OK")))))</f>
        <v>OK</v>
      </c>
      <c r="L1933" s="36" t="n">
        <f aca="false">IF(Raw_Export!$A1933="","",IF(OR(K1933="OK",K1933="Return"),1,0))</f>
        <v>1</v>
      </c>
      <c r="M1933" s="37" t="n">
        <f aca="false">IF(Raw_Export!$A1933="","",B1933-WEEKDAY(B1933,2)+1)</f>
        <v>46272</v>
      </c>
    </row>
    <row r="1934" customFormat="false" ht="15" hidden="false" customHeight="false" outlineLevel="0" collapsed="false">
      <c r="A1934" s="36" t="str">
        <f aca="false">IF(Raw_Export!$A1934="","",TRIM(Raw_Export!A1934))</f>
        <v>TXN-101894</v>
      </c>
      <c r="B1934" s="37" t="n">
        <f aca="false">IF(Raw_Export!$A1934="","",IF(ISNUMBER(Raw_Export!B1934),Raw_Export!B1934,IF(MID(TRIM(Raw_Export!B1934),5,1)="-",DATE(LEFT(TRIM(Raw_Export!B1934),4),MID(TRIM(Raw_Export!B1934),6,2),RIGHT(TRIM(Raw_Export!B1934),2)),DATE(RIGHT(TRIM(Raw_Export!B1934),4),MATCH(MID(TRIM(Raw_Export!B1934),4,3),{"Jan","Feb","Mar","Apr","May","Jun","Jul","Aug","Sep","Oct","Nov","Dec"},0),LEFT(TRIM(Raw_Export!B1934),2)))))</f>
        <v>46277</v>
      </c>
      <c r="C1934" s="36" t="str">
        <f aca="false">IF(Raw_Export!$A1934="","",IFERROR(VLOOKUP(LOWER(TRIM(Raw_Export!C1934)),Maps!$A$2:$B$20,2,FALSE()),"UNMAPPED"))</f>
        <v>Mombasa</v>
      </c>
      <c r="D1934" s="36" t="str">
        <f aca="false">IF(Raw_Export!$A1934="","",IFERROR(VLOOKUP(LOWER(TRIM(Raw_Export!D1934)),Maps!$G$2:$I$80,2,FALSE()),"UNMAPPED"))</f>
        <v>Unga Pembe 2kg</v>
      </c>
      <c r="E1934" s="36" t="str">
        <f aca="false">IF(Raw_Export!$A1934="","",IFERROR(VLOOKUP(LOWER(TRIM(Raw_Export!D1934)),Maps!$G$2:$I$80,3,FALSE()),"UNMAPPED"))</f>
        <v>Staples</v>
      </c>
      <c r="F1934" s="36" t="n">
        <f aca="false">IF(Raw_Export!$A1934="","",IFERROR(VALUE(TRIM(Raw_Export!E1934)),0))</f>
        <v>2</v>
      </c>
      <c r="G1934" s="38" t="n">
        <f aca="false">IF(Raw_Export!$A1934="","",IFERROR(VALUE(SUBSTITUTE(SUBSTITUTE(UPPER(TRIM(Raw_Export!F1934)),"KES",""),",","")),0))</f>
        <v>171</v>
      </c>
      <c r="H1934" s="38" t="n">
        <f aca="false">IF(Raw_Export!$A1934="","",F1934*G1934)</f>
        <v>342</v>
      </c>
      <c r="I1934" s="36" t="str">
        <f aca="false">IF(Raw_Export!$A1934="","",IFERROR(VLOOKUP(LOWER(TRIM(Raw_Export!H1934)),Maps!$D$2:$E$12,2,FALSE()),"Other"))</f>
        <v>M-Pesa</v>
      </c>
      <c r="J1934" s="36" t="str">
        <f aca="false">IF(Raw_Export!$A1934="","",IF(COUNTIF($A$2:A1934,A1934)&gt;1,"Duplicate",""))</f>
        <v/>
      </c>
      <c r="K1934" s="36" t="str">
        <f aca="false">IF(Raw_Export!$A1934="","",IF(J1934="Duplicate","Duplicate",IF(OR(C1934="UNMAPPED",D1934="UNMAPPED"),"Unmapped",IF(F1934=0,"Blank qty",IF(F1934&lt;0,"Return","OK")))))</f>
        <v>OK</v>
      </c>
      <c r="L1934" s="36" t="n">
        <f aca="false">IF(Raw_Export!$A1934="","",IF(OR(K1934="OK",K1934="Return"),1,0))</f>
        <v>1</v>
      </c>
      <c r="M1934" s="37" t="n">
        <f aca="false">IF(Raw_Export!$A1934="","",B1934-WEEKDAY(B1934,2)+1)</f>
        <v>46272</v>
      </c>
    </row>
    <row r="1935" customFormat="false" ht="15" hidden="false" customHeight="false" outlineLevel="0" collapsed="false">
      <c r="A1935" s="36" t="str">
        <f aca="false">IF(Raw_Export!$A1935="","",TRIM(Raw_Export!A1935))</f>
        <v>TXN-101895</v>
      </c>
      <c r="B1935" s="37" t="n">
        <f aca="false">IF(Raw_Export!$A1935="","",IF(ISNUMBER(Raw_Export!B1935),Raw_Export!B1935,IF(MID(TRIM(Raw_Export!B1935),5,1)="-",DATE(LEFT(TRIM(Raw_Export!B1935),4),MID(TRIM(Raw_Export!B1935),6,2),RIGHT(TRIM(Raw_Export!B1935),2)),DATE(RIGHT(TRIM(Raw_Export!B1935),4),MATCH(MID(TRIM(Raw_Export!B1935),4,3),{"Jan","Feb","Mar","Apr","May","Jun","Jul","Aug","Sep","Oct","Nov","Dec"},0),LEFT(TRIM(Raw_Export!B1935),2)))))</f>
        <v>46277</v>
      </c>
      <c r="C1935" s="36" t="str">
        <f aca="false">IF(Raw_Export!$A1935="","",IFERROR(VLOOKUP(LOWER(TRIM(Raw_Export!C1935)),Maps!$A$2:$B$20,2,FALSE()),"UNMAPPED"))</f>
        <v>Mombasa</v>
      </c>
      <c r="D1935" s="36" t="str">
        <f aca="false">IF(Raw_Export!$A1935="","",IFERROR(VLOOKUP(LOWER(TRIM(Raw_Export!D1935)),Maps!$G$2:$I$80,2,FALSE()),"UNMAPPED"))</f>
        <v>Unga Pembe 2kg</v>
      </c>
      <c r="E1935" s="36" t="str">
        <f aca="false">IF(Raw_Export!$A1935="","",IFERROR(VLOOKUP(LOWER(TRIM(Raw_Export!D1935)),Maps!$G$2:$I$80,3,FALSE()),"UNMAPPED"))</f>
        <v>Staples</v>
      </c>
      <c r="F1935" s="36" t="n">
        <f aca="false">IF(Raw_Export!$A1935="","",IFERROR(VALUE(TRIM(Raw_Export!E1935)),0))</f>
        <v>1</v>
      </c>
      <c r="G1935" s="38" t="n">
        <f aca="false">IF(Raw_Export!$A1935="","",IFERROR(VALUE(SUBSTITUTE(SUBSTITUTE(UPPER(TRIM(Raw_Export!F1935)),"KES",""),",","")),0))</f>
        <v>190</v>
      </c>
      <c r="H1935" s="38" t="n">
        <f aca="false">IF(Raw_Export!$A1935="","",F1935*G1935)</f>
        <v>190</v>
      </c>
      <c r="I1935" s="36" t="str">
        <f aca="false">IF(Raw_Export!$A1935="","",IFERROR(VLOOKUP(LOWER(TRIM(Raw_Export!H1935)),Maps!$D$2:$E$12,2,FALSE()),"Other"))</f>
        <v>Card</v>
      </c>
      <c r="J1935" s="36" t="str">
        <f aca="false">IF(Raw_Export!$A1935="","",IF(COUNTIF($A$2:A1935,A1935)&gt;1,"Duplicate",""))</f>
        <v/>
      </c>
      <c r="K1935" s="36" t="str">
        <f aca="false">IF(Raw_Export!$A1935="","",IF(J1935="Duplicate","Duplicate",IF(OR(C1935="UNMAPPED",D1935="UNMAPPED"),"Unmapped",IF(F1935=0,"Blank qty",IF(F1935&lt;0,"Return","OK")))))</f>
        <v>OK</v>
      </c>
      <c r="L1935" s="36" t="n">
        <f aca="false">IF(Raw_Export!$A1935="","",IF(OR(K1935="OK",K1935="Return"),1,0))</f>
        <v>1</v>
      </c>
      <c r="M1935" s="37" t="n">
        <f aca="false">IF(Raw_Export!$A1935="","",B1935-WEEKDAY(B1935,2)+1)</f>
        <v>46272</v>
      </c>
    </row>
    <row r="1936" customFormat="false" ht="15" hidden="false" customHeight="false" outlineLevel="0" collapsed="false">
      <c r="A1936" s="36" t="str">
        <f aca="false">IF(Raw_Export!$A1936="","",TRIM(Raw_Export!A1936))</f>
        <v>TXN-101896</v>
      </c>
      <c r="B1936" s="37" t="n">
        <f aca="false">IF(Raw_Export!$A1936="","",IF(ISNUMBER(Raw_Export!B1936),Raw_Export!B1936,IF(MID(TRIM(Raw_Export!B1936),5,1)="-",DATE(LEFT(TRIM(Raw_Export!B1936),4),MID(TRIM(Raw_Export!B1936),6,2),RIGHT(TRIM(Raw_Export!B1936),2)),DATE(RIGHT(TRIM(Raw_Export!B1936),4),MATCH(MID(TRIM(Raw_Export!B1936),4,3),{"Jan","Feb","Mar","Apr","May","Jun","Jul","Aug","Sep","Oct","Nov","Dec"},0),LEFT(TRIM(Raw_Export!B1936),2)))))</f>
        <v>46277</v>
      </c>
      <c r="C1936" s="36" t="str">
        <f aca="false">IF(Raw_Export!$A1936="","",IFERROR(VLOOKUP(LOWER(TRIM(Raw_Export!C1936)),Maps!$A$2:$B$20,2,FALSE()),"UNMAPPED"))</f>
        <v>Mombasa</v>
      </c>
      <c r="D1936" s="36" t="str">
        <f aca="false">IF(Raw_Export!$A1936="","",IFERROR(VLOOKUP(LOWER(TRIM(Raw_Export!D1936)),Maps!$G$2:$I$80,2,FALSE()),"UNMAPPED"))</f>
        <v>Crisps 100g</v>
      </c>
      <c r="E1936" s="36" t="str">
        <f aca="false">IF(Raw_Export!$A1936="","",IFERROR(VLOOKUP(LOWER(TRIM(Raw_Export!D1936)),Maps!$G$2:$I$80,3,FALSE()),"UNMAPPED"))</f>
        <v>Snacks</v>
      </c>
      <c r="F1936" s="36" t="n">
        <f aca="false">IF(Raw_Export!$A1936="","",IFERROR(VALUE(TRIM(Raw_Export!E1936)),0))</f>
        <v>6</v>
      </c>
      <c r="G1936" s="38" t="n">
        <f aca="false">IF(Raw_Export!$A1936="","",IFERROR(VALUE(SUBSTITUTE(SUBSTITUTE(UPPER(TRIM(Raw_Export!F1936)),"KES",""),",","")),0))</f>
        <v>80</v>
      </c>
      <c r="H1936" s="38" t="n">
        <f aca="false">IF(Raw_Export!$A1936="","",F1936*G1936)</f>
        <v>480</v>
      </c>
      <c r="I1936" s="36" t="str">
        <f aca="false">IF(Raw_Export!$A1936="","",IFERROR(VLOOKUP(LOWER(TRIM(Raw_Export!H1936)),Maps!$D$2:$E$12,2,FALSE()),"Other"))</f>
        <v>Cash</v>
      </c>
      <c r="J1936" s="36" t="str">
        <f aca="false">IF(Raw_Export!$A1936="","",IF(COUNTIF($A$2:A1936,A1936)&gt;1,"Duplicate",""))</f>
        <v/>
      </c>
      <c r="K1936" s="36" t="str">
        <f aca="false">IF(Raw_Export!$A1936="","",IF(J1936="Duplicate","Duplicate",IF(OR(C1936="UNMAPPED",D1936="UNMAPPED"),"Unmapped",IF(F1936=0,"Blank qty",IF(F1936&lt;0,"Return","OK")))))</f>
        <v>OK</v>
      </c>
      <c r="L1936" s="36" t="n">
        <f aca="false">IF(Raw_Export!$A1936="","",IF(OR(K1936="OK",K1936="Return"),1,0))</f>
        <v>1</v>
      </c>
      <c r="M1936" s="37" t="n">
        <f aca="false">IF(Raw_Export!$A1936="","",B1936-WEEKDAY(B1936,2)+1)</f>
        <v>46272</v>
      </c>
    </row>
    <row r="1937" customFormat="false" ht="15" hidden="false" customHeight="false" outlineLevel="0" collapsed="false">
      <c r="A1937" s="36" t="str">
        <f aca="false">IF(Raw_Export!$A1937="","",TRIM(Raw_Export!A1937))</f>
        <v>TXN-101897</v>
      </c>
      <c r="B1937" s="37" t="n">
        <f aca="false">IF(Raw_Export!$A1937="","",IF(ISNUMBER(Raw_Export!B1937),Raw_Export!B1937,IF(MID(TRIM(Raw_Export!B1937),5,1)="-",DATE(LEFT(TRIM(Raw_Export!B1937),4),MID(TRIM(Raw_Export!B1937),6,2),RIGHT(TRIM(Raw_Export!B1937),2)),DATE(RIGHT(TRIM(Raw_Export!B1937),4),MATCH(MID(TRIM(Raw_Export!B1937),4,3),{"Jan","Feb","Mar","Apr","May","Jun","Jul","Aug","Sep","Oct","Nov","Dec"},0),LEFT(TRIM(Raw_Export!B1937),2)))))</f>
        <v>46277</v>
      </c>
      <c r="C1937" s="36" t="str">
        <f aca="false">IF(Raw_Export!$A1937="","",IFERROR(VLOOKUP(LOWER(TRIM(Raw_Export!C1937)),Maps!$A$2:$B$20,2,FALSE()),"UNMAPPED"))</f>
        <v>Mombasa</v>
      </c>
      <c r="D1937" s="36" t="str">
        <f aca="false">IF(Raw_Export!$A1937="","",IFERROR(VLOOKUP(LOWER(TRIM(Raw_Export!D1937)),Maps!$G$2:$I$80,2,FALSE()),"UNMAPPED"))</f>
        <v>Salt 500g</v>
      </c>
      <c r="E1937" s="36" t="str">
        <f aca="false">IF(Raw_Export!$A1937="","",IFERROR(VLOOKUP(LOWER(TRIM(Raw_Export!D1937)),Maps!$G$2:$I$80,3,FALSE()),"UNMAPPED"))</f>
        <v>Staples</v>
      </c>
      <c r="F1937" s="36" t="n">
        <f aca="false">IF(Raw_Export!$A1937="","",IFERROR(VALUE(TRIM(Raw_Export!E1937)),0))</f>
        <v>1</v>
      </c>
      <c r="G1937" s="38" t="n">
        <f aca="false">IF(Raw_Export!$A1937="","",IFERROR(VALUE(SUBSTITUTE(SUBSTITUTE(UPPER(TRIM(Raw_Export!F1937)),"KES",""),",","")),0))</f>
        <v>40</v>
      </c>
      <c r="H1937" s="38" t="n">
        <f aca="false">IF(Raw_Export!$A1937="","",F1937*G1937)</f>
        <v>40</v>
      </c>
      <c r="I1937" s="36" t="str">
        <f aca="false">IF(Raw_Export!$A1937="","",IFERROR(VLOOKUP(LOWER(TRIM(Raw_Export!H1937)),Maps!$D$2:$E$12,2,FALSE()),"Other"))</f>
        <v>Card</v>
      </c>
      <c r="J1937" s="36" t="str">
        <f aca="false">IF(Raw_Export!$A1937="","",IF(COUNTIF($A$2:A1937,A1937)&gt;1,"Duplicate",""))</f>
        <v/>
      </c>
      <c r="K1937" s="36" t="str">
        <f aca="false">IF(Raw_Export!$A1937="","",IF(J1937="Duplicate","Duplicate",IF(OR(C1937="UNMAPPED",D1937="UNMAPPED"),"Unmapped",IF(F1937=0,"Blank qty",IF(F1937&lt;0,"Return","OK")))))</f>
        <v>OK</v>
      </c>
      <c r="L1937" s="36" t="n">
        <f aca="false">IF(Raw_Export!$A1937="","",IF(OR(K1937="OK",K1937="Return"),1,0))</f>
        <v>1</v>
      </c>
      <c r="M1937" s="37" t="n">
        <f aca="false">IF(Raw_Export!$A1937="","",B1937-WEEKDAY(B1937,2)+1)</f>
        <v>46272</v>
      </c>
    </row>
    <row r="1938" customFormat="false" ht="15" hidden="false" customHeight="false" outlineLevel="0" collapsed="false">
      <c r="A1938" s="36" t="str">
        <f aca="false">IF(Raw_Export!$A1938="","",TRIM(Raw_Export!A1938))</f>
        <v>TXN-101898</v>
      </c>
      <c r="B1938" s="37" t="n">
        <f aca="false">IF(Raw_Export!$A1938="","",IF(ISNUMBER(Raw_Export!B1938),Raw_Export!B1938,IF(MID(TRIM(Raw_Export!B1938),5,1)="-",DATE(LEFT(TRIM(Raw_Export!B1938),4),MID(TRIM(Raw_Export!B1938),6,2),RIGHT(TRIM(Raw_Export!B1938),2)),DATE(RIGHT(TRIM(Raw_Export!B1938),4),MATCH(MID(TRIM(Raw_Export!B1938),4,3),{"Jan","Feb","Mar","Apr","May","Jun","Jul","Aug","Sep","Oct","Nov","Dec"},0),LEFT(TRIM(Raw_Export!B1938),2)))))</f>
        <v>46277</v>
      </c>
      <c r="C1938" s="36" t="str">
        <f aca="false">IF(Raw_Export!$A1938="","",IFERROR(VLOOKUP(LOWER(TRIM(Raw_Export!C1938)),Maps!$A$2:$B$20,2,FALSE()),"UNMAPPED"))</f>
        <v>Mombasa</v>
      </c>
      <c r="D1938" s="36" t="str">
        <f aca="false">IF(Raw_Export!$A1938="","",IFERROR(VLOOKUP(LOWER(TRIM(Raw_Export!D1938)),Maps!$G$2:$I$80,2,FALSE()),"UNMAPPED"))</f>
        <v>Peanuts 250g</v>
      </c>
      <c r="E1938" s="36" t="str">
        <f aca="false">IF(Raw_Export!$A1938="","",IFERROR(VLOOKUP(LOWER(TRIM(Raw_Export!D1938)),Maps!$G$2:$I$80,3,FALSE()),"UNMAPPED"))</f>
        <v>Snacks</v>
      </c>
      <c r="F1938" s="36" t="n">
        <f aca="false">IF(Raw_Export!$A1938="","",IFERROR(VALUE(TRIM(Raw_Export!E1938)),0))</f>
        <v>2</v>
      </c>
      <c r="G1938" s="38" t="n">
        <f aca="false">IF(Raw_Export!$A1938="","",IFERROR(VALUE(SUBSTITUTE(SUBSTITUTE(UPPER(TRIM(Raw_Export!F1938)),"KES",""),",","")),0))</f>
        <v>130</v>
      </c>
      <c r="H1938" s="38" t="n">
        <f aca="false">IF(Raw_Export!$A1938="","",F1938*G1938)</f>
        <v>260</v>
      </c>
      <c r="I1938" s="36" t="str">
        <f aca="false">IF(Raw_Export!$A1938="","",IFERROR(VLOOKUP(LOWER(TRIM(Raw_Export!H1938)),Maps!$D$2:$E$12,2,FALSE()),"Other"))</f>
        <v>Card</v>
      </c>
      <c r="J1938" s="36" t="str">
        <f aca="false">IF(Raw_Export!$A1938="","",IF(COUNTIF($A$2:A1938,A1938)&gt;1,"Duplicate",""))</f>
        <v/>
      </c>
      <c r="K1938" s="36" t="str">
        <f aca="false">IF(Raw_Export!$A1938="","",IF(J1938="Duplicate","Duplicate",IF(OR(C1938="UNMAPPED",D1938="UNMAPPED"),"Unmapped",IF(F1938=0,"Blank qty",IF(F1938&lt;0,"Return","OK")))))</f>
        <v>OK</v>
      </c>
      <c r="L1938" s="36" t="n">
        <f aca="false">IF(Raw_Export!$A1938="","",IF(OR(K1938="OK",K1938="Return"),1,0))</f>
        <v>1</v>
      </c>
      <c r="M1938" s="37" t="n">
        <f aca="false">IF(Raw_Export!$A1938="","",B1938-WEEKDAY(B1938,2)+1)</f>
        <v>46272</v>
      </c>
    </row>
    <row r="1939" customFormat="false" ht="15" hidden="false" customHeight="false" outlineLevel="0" collapsed="false">
      <c r="A1939" s="36" t="str">
        <f aca="false">IF(Raw_Export!$A1939="","",TRIM(Raw_Export!A1939))</f>
        <v>TXN-101899</v>
      </c>
      <c r="B1939" s="37" t="n">
        <f aca="false">IF(Raw_Export!$A1939="","",IF(ISNUMBER(Raw_Export!B1939),Raw_Export!B1939,IF(MID(TRIM(Raw_Export!B1939),5,1)="-",DATE(LEFT(TRIM(Raw_Export!B1939),4),MID(TRIM(Raw_Export!B1939),6,2),RIGHT(TRIM(Raw_Export!B1939),2)),DATE(RIGHT(TRIM(Raw_Export!B1939),4),MATCH(MID(TRIM(Raw_Export!B1939),4,3),{"Jan","Feb","Mar","Apr","May","Jun","Jul","Aug","Sep","Oct","Nov","Dec"},0),LEFT(TRIM(Raw_Export!B1939),2)))))</f>
        <v>46277</v>
      </c>
      <c r="C1939" s="36" t="str">
        <f aca="false">IF(Raw_Export!$A1939="","",IFERROR(VLOOKUP(LOWER(TRIM(Raw_Export!C1939)),Maps!$A$2:$B$20,2,FALSE()),"UNMAPPED"))</f>
        <v>Mombasa</v>
      </c>
      <c r="D1939" s="36" t="str">
        <f aca="false">IF(Raw_Export!$A1939="","",IFERROR(VLOOKUP(LOWER(TRIM(Raw_Export!D1939)),Maps!$G$2:$I$80,2,FALSE()),"UNMAPPED"))</f>
        <v>Yoghurt 500ml</v>
      </c>
      <c r="E1939" s="36" t="str">
        <f aca="false">IF(Raw_Export!$A1939="","",IFERROR(VLOOKUP(LOWER(TRIM(Raw_Export!D1939)),Maps!$G$2:$I$80,3,FALSE()),"UNMAPPED"))</f>
        <v>Dairy &amp; Eggs</v>
      </c>
      <c r="F1939" s="36" t="n">
        <f aca="false">IF(Raw_Export!$A1939="","",IFERROR(VALUE(TRIM(Raw_Export!E1939)),0))</f>
        <v>2</v>
      </c>
      <c r="G1939" s="38" t="n">
        <f aca="false">IF(Raw_Export!$A1939="","",IFERROR(VALUE(SUBSTITUTE(SUBSTITUTE(UPPER(TRIM(Raw_Export!F1939)),"KES",""),",","")),0))</f>
        <v>120</v>
      </c>
      <c r="H1939" s="38" t="n">
        <f aca="false">IF(Raw_Export!$A1939="","",F1939*G1939)</f>
        <v>240</v>
      </c>
      <c r="I1939" s="36" t="str">
        <f aca="false">IF(Raw_Export!$A1939="","",IFERROR(VLOOKUP(LOWER(TRIM(Raw_Export!H1939)),Maps!$D$2:$E$12,2,FALSE()),"Other"))</f>
        <v>Card</v>
      </c>
      <c r="J1939" s="36" t="str">
        <f aca="false">IF(Raw_Export!$A1939="","",IF(COUNTIF($A$2:A1939,A1939)&gt;1,"Duplicate",""))</f>
        <v/>
      </c>
      <c r="K1939" s="36" t="str">
        <f aca="false">IF(Raw_Export!$A1939="","",IF(J1939="Duplicate","Duplicate",IF(OR(C1939="UNMAPPED",D1939="UNMAPPED"),"Unmapped",IF(F1939=0,"Blank qty",IF(F1939&lt;0,"Return","OK")))))</f>
        <v>OK</v>
      </c>
      <c r="L1939" s="36" t="n">
        <f aca="false">IF(Raw_Export!$A1939="","",IF(OR(K1939="OK",K1939="Return"),1,0))</f>
        <v>1</v>
      </c>
      <c r="M1939" s="37" t="n">
        <f aca="false">IF(Raw_Export!$A1939="","",B1939-WEEKDAY(B1939,2)+1)</f>
        <v>46272</v>
      </c>
    </row>
    <row r="1940" customFormat="false" ht="15" hidden="false" customHeight="false" outlineLevel="0" collapsed="false">
      <c r="A1940" s="36" t="str">
        <f aca="false">IF(Raw_Export!$A1940="","",TRIM(Raw_Export!A1940))</f>
        <v>TXN-101900</v>
      </c>
      <c r="B1940" s="37" t="n">
        <f aca="false">IF(Raw_Export!$A1940="","",IF(ISNUMBER(Raw_Export!B1940),Raw_Export!B1940,IF(MID(TRIM(Raw_Export!B1940),5,1)="-",DATE(LEFT(TRIM(Raw_Export!B1940),4),MID(TRIM(Raw_Export!B1940),6,2),RIGHT(TRIM(Raw_Export!B1940),2)),DATE(RIGHT(TRIM(Raw_Export!B1940),4),MATCH(MID(TRIM(Raw_Export!B1940),4,3),{"Jan","Feb","Mar","Apr","May","Jun","Jul","Aug","Sep","Oct","Nov","Dec"},0),LEFT(TRIM(Raw_Export!B1940),2)))))</f>
        <v>46277</v>
      </c>
      <c r="C1940" s="36" t="str">
        <f aca="false">IF(Raw_Export!$A1940="","",IFERROR(VLOOKUP(LOWER(TRIM(Raw_Export!C1940)),Maps!$A$2:$B$20,2,FALSE()),"UNMAPPED"))</f>
        <v>Mombasa</v>
      </c>
      <c r="D1940" s="36" t="str">
        <f aca="false">IF(Raw_Export!$A1940="","",IFERROR(VLOOKUP(LOWER(TRIM(Raw_Export!D1940)),Maps!$G$2:$I$80,2,FALSE()),"UNMAPPED"))</f>
        <v>Soda 500ml</v>
      </c>
      <c r="E1940" s="36" t="str">
        <f aca="false">IF(Raw_Export!$A1940="","",IFERROR(VLOOKUP(LOWER(TRIM(Raw_Export!D1940)),Maps!$G$2:$I$80,3,FALSE()),"UNMAPPED"))</f>
        <v>Beverages</v>
      </c>
      <c r="F1940" s="36" t="n">
        <f aca="false">IF(Raw_Export!$A1940="","",IFERROR(VALUE(TRIM(Raw_Export!E1940)),0))</f>
        <v>2</v>
      </c>
      <c r="G1940" s="38" t="n">
        <f aca="false">IF(Raw_Export!$A1940="","",IFERROR(VALUE(SUBSTITUTE(SUBSTITUTE(UPPER(TRIM(Raw_Export!F1940)),"KES",""),",","")),0))</f>
        <v>60</v>
      </c>
      <c r="H1940" s="38" t="n">
        <f aca="false">IF(Raw_Export!$A1940="","",F1940*G1940)</f>
        <v>120</v>
      </c>
      <c r="I1940" s="36" t="str">
        <f aca="false">IF(Raw_Export!$A1940="","",IFERROR(VLOOKUP(LOWER(TRIM(Raw_Export!H1940)),Maps!$D$2:$E$12,2,FALSE()),"Other"))</f>
        <v>M-Pesa</v>
      </c>
      <c r="J1940" s="36" t="str">
        <f aca="false">IF(Raw_Export!$A1940="","",IF(COUNTIF($A$2:A1940,A1940)&gt;1,"Duplicate",""))</f>
        <v/>
      </c>
      <c r="K1940" s="36" t="str">
        <f aca="false">IF(Raw_Export!$A1940="","",IF(J1940="Duplicate","Duplicate",IF(OR(C1940="UNMAPPED",D1940="UNMAPPED"),"Unmapped",IF(F1940=0,"Blank qty",IF(F1940&lt;0,"Return","OK")))))</f>
        <v>OK</v>
      </c>
      <c r="L1940" s="36" t="n">
        <f aca="false">IF(Raw_Export!$A1940="","",IF(OR(K1940="OK",K1940="Return"),1,0))</f>
        <v>1</v>
      </c>
      <c r="M1940" s="37" t="n">
        <f aca="false">IF(Raw_Export!$A1940="","",B1940-WEEKDAY(B1940,2)+1)</f>
        <v>46272</v>
      </c>
    </row>
    <row r="1941" customFormat="false" ht="15" hidden="false" customHeight="false" outlineLevel="0" collapsed="false">
      <c r="A1941" s="36" t="str">
        <f aca="false">IF(Raw_Export!$A1941="","",TRIM(Raw_Export!A1941))</f>
        <v>TXN-101901</v>
      </c>
      <c r="B1941" s="37" t="n">
        <f aca="false">IF(Raw_Export!$A1941="","",IF(ISNUMBER(Raw_Export!B1941),Raw_Export!B1941,IF(MID(TRIM(Raw_Export!B1941),5,1)="-",DATE(LEFT(TRIM(Raw_Export!B1941),4),MID(TRIM(Raw_Export!B1941),6,2),RIGHT(TRIM(Raw_Export!B1941),2)),DATE(RIGHT(TRIM(Raw_Export!B1941),4),MATCH(MID(TRIM(Raw_Export!B1941),4,3),{"Jan","Feb","Mar","Apr","May","Jun","Jul","Aug","Sep","Oct","Nov","Dec"},0),LEFT(TRIM(Raw_Export!B1941),2)))))</f>
        <v>46277</v>
      </c>
      <c r="C1941" s="36" t="str">
        <f aca="false">IF(Raw_Export!$A1941="","",IFERROR(VLOOKUP(LOWER(TRIM(Raw_Export!C1941)),Maps!$A$2:$B$20,2,FALSE()),"UNMAPPED"))</f>
        <v>Mombasa</v>
      </c>
      <c r="D1941" s="36" t="str">
        <f aca="false">IF(Raw_Export!$A1941="","",IFERROR(VLOOKUP(LOWER(TRIM(Raw_Export!D1941)),Maps!$G$2:$I$80,2,FALSE()),"UNMAPPED"))</f>
        <v>Cooking Oil 1L</v>
      </c>
      <c r="E1941" s="36" t="str">
        <f aca="false">IF(Raw_Export!$A1941="","",IFERROR(VLOOKUP(LOWER(TRIM(Raw_Export!D1941)),Maps!$G$2:$I$80,3,FALSE()),"UNMAPPED"))</f>
        <v>Staples</v>
      </c>
      <c r="F1941" s="36" t="n">
        <f aca="false">IF(Raw_Export!$A1941="","",IFERROR(VALUE(TRIM(Raw_Export!E1941)),0))</f>
        <v>1</v>
      </c>
      <c r="G1941" s="38" t="n">
        <f aca="false">IF(Raw_Export!$A1941="","",IFERROR(VALUE(SUBSTITUTE(SUBSTITUTE(UPPER(TRIM(Raw_Export!F1941)),"KES",""),",","")),0))</f>
        <v>330</v>
      </c>
      <c r="H1941" s="38" t="n">
        <f aca="false">IF(Raw_Export!$A1941="","",F1941*G1941)</f>
        <v>330</v>
      </c>
      <c r="I1941" s="36" t="str">
        <f aca="false">IF(Raw_Export!$A1941="","",IFERROR(VLOOKUP(LOWER(TRIM(Raw_Export!H1941)),Maps!$D$2:$E$12,2,FALSE()),"Other"))</f>
        <v>Card</v>
      </c>
      <c r="J1941" s="36" t="str">
        <f aca="false">IF(Raw_Export!$A1941="","",IF(COUNTIF($A$2:A1941,A1941)&gt;1,"Duplicate",""))</f>
        <v/>
      </c>
      <c r="K1941" s="36" t="str">
        <f aca="false">IF(Raw_Export!$A1941="","",IF(J1941="Duplicate","Duplicate",IF(OR(C1941="UNMAPPED",D1941="UNMAPPED"),"Unmapped",IF(F1941=0,"Blank qty",IF(F1941&lt;0,"Return","OK")))))</f>
        <v>OK</v>
      </c>
      <c r="L1941" s="36" t="n">
        <f aca="false">IF(Raw_Export!$A1941="","",IF(OR(K1941="OK",K1941="Return"),1,0))</f>
        <v>1</v>
      </c>
      <c r="M1941" s="37" t="n">
        <f aca="false">IF(Raw_Export!$A1941="","",B1941-WEEKDAY(B1941,2)+1)</f>
        <v>46272</v>
      </c>
    </row>
    <row r="1942" customFormat="false" ht="15" hidden="false" customHeight="false" outlineLevel="0" collapsed="false">
      <c r="A1942" s="36" t="str">
        <f aca="false">IF(Raw_Export!$A1942="","",TRIM(Raw_Export!A1942))</f>
        <v>TXN-101902</v>
      </c>
      <c r="B1942" s="37" t="n">
        <f aca="false">IF(Raw_Export!$A1942="","",IF(ISNUMBER(Raw_Export!B1942),Raw_Export!B1942,IF(MID(TRIM(Raw_Export!B1942),5,1)="-",DATE(LEFT(TRIM(Raw_Export!B1942),4),MID(TRIM(Raw_Export!B1942),6,2),RIGHT(TRIM(Raw_Export!B1942),2)),DATE(RIGHT(TRIM(Raw_Export!B1942),4),MATCH(MID(TRIM(Raw_Export!B1942),4,3),{"Jan","Feb","Mar","Apr","May","Jun","Jul","Aug","Sep","Oct","Nov","Dec"},0),LEFT(TRIM(Raw_Export!B1942),2)))))</f>
        <v>46277</v>
      </c>
      <c r="C1942" s="36" t="str">
        <f aca="false">IF(Raw_Export!$A1942="","",IFERROR(VLOOKUP(LOWER(TRIM(Raw_Export!C1942)),Maps!$A$2:$B$20,2,FALSE()),"UNMAPPED"))</f>
        <v>Mombasa</v>
      </c>
      <c r="D1942" s="36" t="str">
        <f aca="false">IF(Raw_Export!$A1942="","",IFERROR(VLOOKUP(LOWER(TRIM(Raw_Export!D1942)),Maps!$G$2:$I$80,2,FALSE()),"UNMAPPED"))</f>
        <v>Bottled Water 1.5L</v>
      </c>
      <c r="E1942" s="36" t="str">
        <f aca="false">IF(Raw_Export!$A1942="","",IFERROR(VLOOKUP(LOWER(TRIM(Raw_Export!D1942)),Maps!$G$2:$I$80,3,FALSE()),"UNMAPPED"))</f>
        <v>Beverages</v>
      </c>
      <c r="F1942" s="36" t="n">
        <f aca="false">IF(Raw_Export!$A1942="","",IFERROR(VALUE(TRIM(Raw_Export!E1942)),0))</f>
        <v>1</v>
      </c>
      <c r="G1942" s="38" t="n">
        <f aca="false">IF(Raw_Export!$A1942="","",IFERROR(VALUE(SUBSTITUTE(SUBSTITUTE(UPPER(TRIM(Raw_Export!F1942)),"KES",""),",","")),0))</f>
        <v>90</v>
      </c>
      <c r="H1942" s="38" t="n">
        <f aca="false">IF(Raw_Export!$A1942="","",F1942*G1942)</f>
        <v>90</v>
      </c>
      <c r="I1942" s="36" t="str">
        <f aca="false">IF(Raw_Export!$A1942="","",IFERROR(VLOOKUP(LOWER(TRIM(Raw_Export!H1942)),Maps!$D$2:$E$12,2,FALSE()),"Other"))</f>
        <v>Cash</v>
      </c>
      <c r="J1942" s="36" t="str">
        <f aca="false">IF(Raw_Export!$A1942="","",IF(COUNTIF($A$2:A1942,A1942)&gt;1,"Duplicate",""))</f>
        <v/>
      </c>
      <c r="K1942" s="36" t="str">
        <f aca="false">IF(Raw_Export!$A1942="","",IF(J1942="Duplicate","Duplicate",IF(OR(C1942="UNMAPPED",D1942="UNMAPPED"),"Unmapped",IF(F1942=0,"Blank qty",IF(F1942&lt;0,"Return","OK")))))</f>
        <v>OK</v>
      </c>
      <c r="L1942" s="36" t="n">
        <f aca="false">IF(Raw_Export!$A1942="","",IF(OR(K1942="OK",K1942="Return"),1,0))</f>
        <v>1</v>
      </c>
      <c r="M1942" s="37" t="n">
        <f aca="false">IF(Raw_Export!$A1942="","",B1942-WEEKDAY(B1942,2)+1)</f>
        <v>46272</v>
      </c>
    </row>
    <row r="1943" customFormat="false" ht="15" hidden="false" customHeight="false" outlineLevel="0" collapsed="false">
      <c r="A1943" s="36" t="str">
        <f aca="false">IF(Raw_Export!$A1943="","",TRIM(Raw_Export!A1943))</f>
        <v>TXN-101903</v>
      </c>
      <c r="B1943" s="37" t="n">
        <f aca="false">IF(Raw_Export!$A1943="","",IF(ISNUMBER(Raw_Export!B1943),Raw_Export!B1943,IF(MID(TRIM(Raw_Export!B1943),5,1)="-",DATE(LEFT(TRIM(Raw_Export!B1943),4),MID(TRIM(Raw_Export!B1943),6,2),RIGHT(TRIM(Raw_Export!B1943),2)),DATE(RIGHT(TRIM(Raw_Export!B1943),4),MATCH(MID(TRIM(Raw_Export!B1943),4,3),{"Jan","Feb","Mar","Apr","May","Jun","Jul","Aug","Sep","Oct","Nov","Dec"},0),LEFT(TRIM(Raw_Export!B1943),2)))))</f>
        <v>46277</v>
      </c>
      <c r="C1943" s="36" t="str">
        <f aca="false">IF(Raw_Export!$A1943="","",IFERROR(VLOOKUP(LOWER(TRIM(Raw_Export!C1943)),Maps!$A$2:$B$20,2,FALSE()),"UNMAPPED"))</f>
        <v>Mombasa</v>
      </c>
      <c r="D1943" s="36" t="str">
        <f aca="false">IF(Raw_Export!$A1943="","",IFERROR(VLOOKUP(LOWER(TRIM(Raw_Export!D1943)),Maps!$G$2:$I$80,2,FALSE()),"UNMAPPED"))</f>
        <v>Bottled Water 1.5L</v>
      </c>
      <c r="E1943" s="36" t="str">
        <f aca="false">IF(Raw_Export!$A1943="","",IFERROR(VLOOKUP(LOWER(TRIM(Raw_Export!D1943)),Maps!$G$2:$I$80,3,FALSE()),"UNMAPPED"))</f>
        <v>Beverages</v>
      </c>
      <c r="F1943" s="36" t="n">
        <f aca="false">IF(Raw_Export!$A1943="","",IFERROR(VALUE(TRIM(Raw_Export!E1943)),0))</f>
        <v>1</v>
      </c>
      <c r="G1943" s="38" t="n">
        <f aca="false">IF(Raw_Export!$A1943="","",IFERROR(VALUE(SUBSTITUTE(SUBSTITUTE(UPPER(TRIM(Raw_Export!F1943)),"KES",""),",","")),0))</f>
        <v>90</v>
      </c>
      <c r="H1943" s="38" t="n">
        <f aca="false">IF(Raw_Export!$A1943="","",F1943*G1943)</f>
        <v>90</v>
      </c>
      <c r="I1943" s="36" t="str">
        <f aca="false">IF(Raw_Export!$A1943="","",IFERROR(VLOOKUP(LOWER(TRIM(Raw_Export!H1943)),Maps!$D$2:$E$12,2,FALSE()),"Other"))</f>
        <v>Cash</v>
      </c>
      <c r="J1943" s="36" t="str">
        <f aca="false">IF(Raw_Export!$A1943="","",IF(COUNTIF($A$2:A1943,A1943)&gt;1,"Duplicate",""))</f>
        <v/>
      </c>
      <c r="K1943" s="36" t="str">
        <f aca="false">IF(Raw_Export!$A1943="","",IF(J1943="Duplicate","Duplicate",IF(OR(C1943="UNMAPPED",D1943="UNMAPPED"),"Unmapped",IF(F1943=0,"Blank qty",IF(F1943&lt;0,"Return","OK")))))</f>
        <v>OK</v>
      </c>
      <c r="L1943" s="36" t="n">
        <f aca="false">IF(Raw_Export!$A1943="","",IF(OR(K1943="OK",K1943="Return"),1,0))</f>
        <v>1</v>
      </c>
      <c r="M1943" s="37" t="n">
        <f aca="false">IF(Raw_Export!$A1943="","",B1943-WEEKDAY(B1943,2)+1)</f>
        <v>46272</v>
      </c>
    </row>
    <row r="1944" customFormat="false" ht="15" hidden="false" customHeight="false" outlineLevel="0" collapsed="false">
      <c r="A1944" s="36" t="str">
        <f aca="false">IF(Raw_Export!$A1944="","",TRIM(Raw_Export!A1944))</f>
        <v>TXN-101904</v>
      </c>
      <c r="B1944" s="37" t="n">
        <f aca="false">IF(Raw_Export!$A1944="","",IF(ISNUMBER(Raw_Export!B1944),Raw_Export!B1944,IF(MID(TRIM(Raw_Export!B1944),5,1)="-",DATE(LEFT(TRIM(Raw_Export!B1944),4),MID(TRIM(Raw_Export!B1944),6,2),RIGHT(TRIM(Raw_Export!B1944),2)),DATE(RIGHT(TRIM(Raw_Export!B1944),4),MATCH(MID(TRIM(Raw_Export!B1944),4,3),{"Jan","Feb","Mar","Apr","May","Jun","Jul","Aug","Sep","Oct","Nov","Dec"},0),LEFT(TRIM(Raw_Export!B1944),2)))))</f>
        <v>46277</v>
      </c>
      <c r="C1944" s="36" t="str">
        <f aca="false">IF(Raw_Export!$A1944="","",IFERROR(VLOOKUP(LOWER(TRIM(Raw_Export!C1944)),Maps!$A$2:$B$20,2,FALSE()),"UNMAPPED"))</f>
        <v>Mombasa</v>
      </c>
      <c r="D1944" s="36" t="str">
        <f aca="false">IF(Raw_Export!$A1944="","",IFERROR(VLOOKUP(LOWER(TRIM(Raw_Export!D1944)),Maps!$G$2:$I$80,2,FALSE()),"UNMAPPED"))</f>
        <v>Eggs Tray 30</v>
      </c>
      <c r="E1944" s="36" t="str">
        <f aca="false">IF(Raw_Export!$A1944="","",IFERROR(VLOOKUP(LOWER(TRIM(Raw_Export!D1944)),Maps!$G$2:$I$80,3,FALSE()),"UNMAPPED"))</f>
        <v>Dairy &amp; Eggs</v>
      </c>
      <c r="F1944" s="36" t="n">
        <f aca="false">IF(Raw_Export!$A1944="","",IFERROR(VALUE(TRIM(Raw_Export!E1944)),0))</f>
        <v>4</v>
      </c>
      <c r="G1944" s="38" t="n">
        <f aca="false">IF(Raw_Export!$A1944="","",IFERROR(VALUE(SUBSTITUTE(SUBSTITUTE(UPPER(TRIM(Raw_Export!F1944)),"KES",""),",","")),0))</f>
        <v>450</v>
      </c>
      <c r="H1944" s="38" t="n">
        <f aca="false">IF(Raw_Export!$A1944="","",F1944*G1944)</f>
        <v>1800</v>
      </c>
      <c r="I1944" s="36" t="str">
        <f aca="false">IF(Raw_Export!$A1944="","",IFERROR(VLOOKUP(LOWER(TRIM(Raw_Export!H1944)),Maps!$D$2:$E$12,2,FALSE()),"Other"))</f>
        <v>M-Pesa</v>
      </c>
      <c r="J1944" s="36" t="str">
        <f aca="false">IF(Raw_Export!$A1944="","",IF(COUNTIF($A$2:A1944,A1944)&gt;1,"Duplicate",""))</f>
        <v/>
      </c>
      <c r="K1944" s="36" t="str">
        <f aca="false">IF(Raw_Export!$A1944="","",IF(J1944="Duplicate","Duplicate",IF(OR(C1944="UNMAPPED",D1944="UNMAPPED"),"Unmapped",IF(F1944=0,"Blank qty",IF(F1944&lt;0,"Return","OK")))))</f>
        <v>OK</v>
      </c>
      <c r="L1944" s="36" t="n">
        <f aca="false">IF(Raw_Export!$A1944="","",IF(OR(K1944="OK",K1944="Return"),1,0))</f>
        <v>1</v>
      </c>
      <c r="M1944" s="37" t="n">
        <f aca="false">IF(Raw_Export!$A1944="","",B1944-WEEKDAY(B1944,2)+1)</f>
        <v>46272</v>
      </c>
    </row>
    <row r="1945" customFormat="false" ht="15" hidden="false" customHeight="false" outlineLevel="0" collapsed="false">
      <c r="A1945" s="36" t="str">
        <f aca="false">IF(Raw_Export!$A1945="","",TRIM(Raw_Export!A1945))</f>
        <v>TXN-101905</v>
      </c>
      <c r="B1945" s="37" t="n">
        <f aca="false">IF(Raw_Export!$A1945="","",IF(ISNUMBER(Raw_Export!B1945),Raw_Export!B1945,IF(MID(TRIM(Raw_Export!B1945),5,1)="-",DATE(LEFT(TRIM(Raw_Export!B1945),4),MID(TRIM(Raw_Export!B1945),6,2),RIGHT(TRIM(Raw_Export!B1945),2)),DATE(RIGHT(TRIM(Raw_Export!B1945),4),MATCH(MID(TRIM(Raw_Export!B1945),4,3),{"Jan","Feb","Mar","Apr","May","Jun","Jul","Aug","Sep","Oct","Nov","Dec"},0),LEFT(TRIM(Raw_Export!B1945),2)))))</f>
        <v>46277</v>
      </c>
      <c r="C1945" s="36" t="str">
        <f aca="false">IF(Raw_Export!$A1945="","",IFERROR(VLOOKUP(LOWER(TRIM(Raw_Export!C1945)),Maps!$A$2:$B$20,2,FALSE()),"UNMAPPED"))</f>
        <v>Mombasa</v>
      </c>
      <c r="D1945" s="36" t="str">
        <f aca="false">IF(Raw_Export!$A1945="","",IFERROR(VLOOKUP(LOWER(TRIM(Raw_Export!D1945)),Maps!$G$2:$I$80,2,FALSE()),"UNMAPPED"))</f>
        <v>Deodorant 150ml</v>
      </c>
      <c r="E1945" s="36" t="str">
        <f aca="false">IF(Raw_Export!$A1945="","",IFERROR(VLOOKUP(LOWER(TRIM(Raw_Export!D1945)),Maps!$G$2:$I$80,3,FALSE()),"UNMAPPED"))</f>
        <v>Personal Care</v>
      </c>
      <c r="F1945" s="36" t="n">
        <f aca="false">IF(Raw_Export!$A1945="","",IFERROR(VALUE(TRIM(Raw_Export!E1945)),0))</f>
        <v>1</v>
      </c>
      <c r="G1945" s="38" t="n">
        <f aca="false">IF(Raw_Export!$A1945="","",IFERROR(VALUE(SUBSTITUTE(SUBSTITUTE(UPPER(TRIM(Raw_Export!F1945)),"KES",""),",","")),0))</f>
        <v>350</v>
      </c>
      <c r="H1945" s="38" t="n">
        <f aca="false">IF(Raw_Export!$A1945="","",F1945*G1945)</f>
        <v>350</v>
      </c>
      <c r="I1945" s="36" t="str">
        <f aca="false">IF(Raw_Export!$A1945="","",IFERROR(VLOOKUP(LOWER(TRIM(Raw_Export!H1945)),Maps!$D$2:$E$12,2,FALSE()),"Other"))</f>
        <v>Cash</v>
      </c>
      <c r="J1945" s="36" t="str">
        <f aca="false">IF(Raw_Export!$A1945="","",IF(COUNTIF($A$2:A1945,A1945)&gt;1,"Duplicate",""))</f>
        <v/>
      </c>
      <c r="K1945" s="36" t="str">
        <f aca="false">IF(Raw_Export!$A1945="","",IF(J1945="Duplicate","Duplicate",IF(OR(C1945="UNMAPPED",D1945="UNMAPPED"),"Unmapped",IF(F1945=0,"Blank qty",IF(F1945&lt;0,"Return","OK")))))</f>
        <v>OK</v>
      </c>
      <c r="L1945" s="36" t="n">
        <f aca="false">IF(Raw_Export!$A1945="","",IF(OR(K1945="OK",K1945="Return"),1,0))</f>
        <v>1</v>
      </c>
      <c r="M1945" s="37" t="n">
        <f aca="false">IF(Raw_Export!$A1945="","",B1945-WEEKDAY(B1945,2)+1)</f>
        <v>46272</v>
      </c>
    </row>
    <row r="1946" customFormat="false" ht="15" hidden="false" customHeight="false" outlineLevel="0" collapsed="false">
      <c r="A1946" s="36" t="str">
        <f aca="false">IF(Raw_Export!$A1946="","",TRIM(Raw_Export!A1946))</f>
        <v>TXN-101906</v>
      </c>
      <c r="B1946" s="37" t="n">
        <f aca="false">IF(Raw_Export!$A1946="","",IF(ISNUMBER(Raw_Export!B1946),Raw_Export!B1946,IF(MID(TRIM(Raw_Export!B1946),5,1)="-",DATE(LEFT(TRIM(Raw_Export!B1946),4),MID(TRIM(Raw_Export!B1946),6,2),RIGHT(TRIM(Raw_Export!B1946),2)),DATE(RIGHT(TRIM(Raw_Export!B1946),4),MATCH(MID(TRIM(Raw_Export!B1946),4,3),{"Jan","Feb","Mar","Apr","May","Jun","Jul","Aug","Sep","Oct","Nov","Dec"},0),LEFT(TRIM(Raw_Export!B1946),2)))))</f>
        <v>46277</v>
      </c>
      <c r="C1946" s="36" t="str">
        <f aca="false">IF(Raw_Export!$A1946="","",IFERROR(VLOOKUP(LOWER(TRIM(Raw_Export!C1946)),Maps!$A$2:$B$20,2,FALSE()),"UNMAPPED"))</f>
        <v>Mombasa</v>
      </c>
      <c r="D1946" s="36" t="str">
        <f aca="false">IF(Raw_Export!$A1946="","",IFERROR(VLOOKUP(LOWER(TRIM(Raw_Export!D1946)),Maps!$G$2:$I$80,2,FALSE()),"UNMAPPED"))</f>
        <v>Deodorant 150ml</v>
      </c>
      <c r="E1946" s="36" t="str">
        <f aca="false">IF(Raw_Export!$A1946="","",IFERROR(VLOOKUP(LOWER(TRIM(Raw_Export!D1946)),Maps!$G$2:$I$80,3,FALSE()),"UNMAPPED"))</f>
        <v>Personal Care</v>
      </c>
      <c r="F1946" s="36" t="n">
        <f aca="false">IF(Raw_Export!$A1946="","",IFERROR(VALUE(TRIM(Raw_Export!E1946)),0))</f>
        <v>6</v>
      </c>
      <c r="G1946" s="38" t="n">
        <f aca="false">IF(Raw_Export!$A1946="","",IFERROR(VALUE(SUBSTITUTE(SUBSTITUTE(UPPER(TRIM(Raw_Export!F1946)),"KES",""),",","")),0))</f>
        <v>350</v>
      </c>
      <c r="H1946" s="38" t="n">
        <f aca="false">IF(Raw_Export!$A1946="","",F1946*G1946)</f>
        <v>2100</v>
      </c>
      <c r="I1946" s="36" t="str">
        <f aca="false">IF(Raw_Export!$A1946="","",IFERROR(VLOOKUP(LOWER(TRIM(Raw_Export!H1946)),Maps!$D$2:$E$12,2,FALSE()),"Other"))</f>
        <v>Cash</v>
      </c>
      <c r="J1946" s="36" t="str">
        <f aca="false">IF(Raw_Export!$A1946="","",IF(COUNTIF($A$2:A1946,A1946)&gt;1,"Duplicate",""))</f>
        <v/>
      </c>
      <c r="K1946" s="36" t="str">
        <f aca="false">IF(Raw_Export!$A1946="","",IF(J1946="Duplicate","Duplicate",IF(OR(C1946="UNMAPPED",D1946="UNMAPPED"),"Unmapped",IF(F1946=0,"Blank qty",IF(F1946&lt;0,"Return","OK")))))</f>
        <v>OK</v>
      </c>
      <c r="L1946" s="36" t="n">
        <f aca="false">IF(Raw_Export!$A1946="","",IF(OR(K1946="OK",K1946="Return"),1,0))</f>
        <v>1</v>
      </c>
      <c r="M1946" s="37" t="n">
        <f aca="false">IF(Raw_Export!$A1946="","",B1946-WEEKDAY(B1946,2)+1)</f>
        <v>46272</v>
      </c>
    </row>
    <row r="1947" customFormat="false" ht="15" hidden="false" customHeight="false" outlineLevel="0" collapsed="false">
      <c r="A1947" s="36" t="str">
        <f aca="false">IF(Raw_Export!$A1947="","",TRIM(Raw_Export!A1947))</f>
        <v>TXN-101907</v>
      </c>
      <c r="B1947" s="37" t="n">
        <f aca="false">IF(Raw_Export!$A1947="","",IF(ISNUMBER(Raw_Export!B1947),Raw_Export!B1947,IF(MID(TRIM(Raw_Export!B1947),5,1)="-",DATE(LEFT(TRIM(Raw_Export!B1947),4),MID(TRIM(Raw_Export!B1947),6,2),RIGHT(TRIM(Raw_Export!B1947),2)),DATE(RIGHT(TRIM(Raw_Export!B1947),4),MATCH(MID(TRIM(Raw_Export!B1947),4,3),{"Jan","Feb","Mar","Apr","May","Jun","Jul","Aug","Sep","Oct","Nov","Dec"},0),LEFT(TRIM(Raw_Export!B1947),2)))))</f>
        <v>46277</v>
      </c>
      <c r="C1947" s="36" t="str">
        <f aca="false">IF(Raw_Export!$A1947="","",IFERROR(VLOOKUP(LOWER(TRIM(Raw_Export!C1947)),Maps!$A$2:$B$20,2,FALSE()),"UNMAPPED"))</f>
        <v>Mombasa</v>
      </c>
      <c r="D1947" s="36" t="str">
        <f aca="false">IF(Raw_Export!$A1947="","",IFERROR(VLOOKUP(LOWER(TRIM(Raw_Export!D1947)),Maps!$G$2:$I$80,2,FALSE()),"UNMAPPED"))</f>
        <v>Body Lotion 400ml</v>
      </c>
      <c r="E1947" s="36" t="str">
        <f aca="false">IF(Raw_Export!$A1947="","",IFERROR(VLOOKUP(LOWER(TRIM(Raw_Export!D1947)),Maps!$G$2:$I$80,3,FALSE()),"UNMAPPED"))</f>
        <v>Personal Care</v>
      </c>
      <c r="F1947" s="36" t="n">
        <f aca="false">IF(Raw_Export!$A1947="","",IFERROR(VALUE(TRIM(Raw_Export!E1947)),0))</f>
        <v>2</v>
      </c>
      <c r="G1947" s="38" t="n">
        <f aca="false">IF(Raw_Export!$A1947="","",IFERROR(VALUE(SUBSTITUTE(SUBSTITUTE(UPPER(TRIM(Raw_Export!F1947)),"KES",""),",","")),0))</f>
        <v>420</v>
      </c>
      <c r="H1947" s="38" t="n">
        <f aca="false">IF(Raw_Export!$A1947="","",F1947*G1947)</f>
        <v>840</v>
      </c>
      <c r="I1947" s="36" t="str">
        <f aca="false">IF(Raw_Export!$A1947="","",IFERROR(VLOOKUP(LOWER(TRIM(Raw_Export!H1947)),Maps!$D$2:$E$12,2,FALSE()),"Other"))</f>
        <v>Cash</v>
      </c>
      <c r="J1947" s="36" t="str">
        <f aca="false">IF(Raw_Export!$A1947="","",IF(COUNTIF($A$2:A1947,A1947)&gt;1,"Duplicate",""))</f>
        <v/>
      </c>
      <c r="K1947" s="36" t="str">
        <f aca="false">IF(Raw_Export!$A1947="","",IF(J1947="Duplicate","Duplicate",IF(OR(C1947="UNMAPPED",D1947="UNMAPPED"),"Unmapped",IF(F1947=0,"Blank qty",IF(F1947&lt;0,"Return","OK")))))</f>
        <v>OK</v>
      </c>
      <c r="L1947" s="36" t="n">
        <f aca="false">IF(Raw_Export!$A1947="","",IF(OR(K1947="OK",K1947="Return"),1,0))</f>
        <v>1</v>
      </c>
      <c r="M1947" s="37" t="n">
        <f aca="false">IF(Raw_Export!$A1947="","",B1947-WEEKDAY(B1947,2)+1)</f>
        <v>46272</v>
      </c>
    </row>
    <row r="1948" customFormat="false" ht="15" hidden="false" customHeight="false" outlineLevel="0" collapsed="false">
      <c r="A1948" s="36" t="str">
        <f aca="false">IF(Raw_Export!$A1948="","",TRIM(Raw_Export!A1948))</f>
        <v>TXN-101908</v>
      </c>
      <c r="B1948" s="37" t="n">
        <f aca="false">IF(Raw_Export!$A1948="","",IF(ISNUMBER(Raw_Export!B1948),Raw_Export!B1948,IF(MID(TRIM(Raw_Export!B1948),5,1)="-",DATE(LEFT(TRIM(Raw_Export!B1948),4),MID(TRIM(Raw_Export!B1948),6,2),RIGHT(TRIM(Raw_Export!B1948),2)),DATE(RIGHT(TRIM(Raw_Export!B1948),4),MATCH(MID(TRIM(Raw_Export!B1948),4,3),{"Jan","Feb","Mar","Apr","May","Jun","Jul","Aug","Sep","Oct","Nov","Dec"},0),LEFT(TRIM(Raw_Export!B1948),2)))))</f>
        <v>46277</v>
      </c>
      <c r="C1948" s="36" t="str">
        <f aca="false">IF(Raw_Export!$A1948="","",IFERROR(VLOOKUP(LOWER(TRIM(Raw_Export!C1948)),Maps!$A$2:$B$20,2,FALSE()),"UNMAPPED"))</f>
        <v>Mombasa</v>
      </c>
      <c r="D1948" s="36" t="str">
        <f aca="false">IF(Raw_Export!$A1948="","",IFERROR(VLOOKUP(LOWER(TRIM(Raw_Export!D1948)),Maps!$G$2:$I$80,2,FALSE()),"UNMAPPED"))</f>
        <v>Bread Loaf 400g</v>
      </c>
      <c r="E1948" s="36" t="str">
        <f aca="false">IF(Raw_Export!$A1948="","",IFERROR(VLOOKUP(LOWER(TRIM(Raw_Export!D1948)),Maps!$G$2:$I$80,3,FALSE()),"UNMAPPED"))</f>
        <v>Snacks</v>
      </c>
      <c r="F1948" s="36" t="n">
        <f aca="false">IF(Raw_Export!$A1948="","",IFERROR(VALUE(TRIM(Raw_Export!E1948)),0))</f>
        <v>6</v>
      </c>
      <c r="G1948" s="38" t="n">
        <f aca="false">IF(Raw_Export!$A1948="","",IFERROR(VALUE(SUBSTITUTE(SUBSTITUTE(UPPER(TRIM(Raw_Export!F1948)),"KES",""),",","")),0))</f>
        <v>65</v>
      </c>
      <c r="H1948" s="38" t="n">
        <f aca="false">IF(Raw_Export!$A1948="","",F1948*G1948)</f>
        <v>390</v>
      </c>
      <c r="I1948" s="36" t="str">
        <f aca="false">IF(Raw_Export!$A1948="","",IFERROR(VLOOKUP(LOWER(TRIM(Raw_Export!H1948)),Maps!$D$2:$E$12,2,FALSE()),"Other"))</f>
        <v>M-Pesa</v>
      </c>
      <c r="J1948" s="36" t="str">
        <f aca="false">IF(Raw_Export!$A1948="","",IF(COUNTIF($A$2:A1948,A1948)&gt;1,"Duplicate",""))</f>
        <v/>
      </c>
      <c r="K1948" s="36" t="str">
        <f aca="false">IF(Raw_Export!$A1948="","",IF(J1948="Duplicate","Duplicate",IF(OR(C1948="UNMAPPED",D1948="UNMAPPED"),"Unmapped",IF(F1948=0,"Blank qty",IF(F1948&lt;0,"Return","OK")))))</f>
        <v>OK</v>
      </c>
      <c r="L1948" s="36" t="n">
        <f aca="false">IF(Raw_Export!$A1948="","",IF(OR(K1948="OK",K1948="Return"),1,0))</f>
        <v>1</v>
      </c>
      <c r="M1948" s="37" t="n">
        <f aca="false">IF(Raw_Export!$A1948="","",B1948-WEEKDAY(B1948,2)+1)</f>
        <v>46272</v>
      </c>
    </row>
    <row r="1949" customFormat="false" ht="15" hidden="false" customHeight="false" outlineLevel="0" collapsed="false">
      <c r="A1949" s="36" t="str">
        <f aca="false">IF(Raw_Export!$A1949="","",TRIM(Raw_Export!A1949))</f>
        <v>TXN-101909</v>
      </c>
      <c r="B1949" s="37" t="n">
        <f aca="false">IF(Raw_Export!$A1949="","",IF(ISNUMBER(Raw_Export!B1949),Raw_Export!B1949,IF(MID(TRIM(Raw_Export!B1949),5,1)="-",DATE(LEFT(TRIM(Raw_Export!B1949),4),MID(TRIM(Raw_Export!B1949),6,2),RIGHT(TRIM(Raw_Export!B1949),2)),DATE(RIGHT(TRIM(Raw_Export!B1949),4),MATCH(MID(TRIM(Raw_Export!B1949),4,3),{"Jan","Feb","Mar","Apr","May","Jun","Jul","Aug","Sep","Oct","Nov","Dec"},0),LEFT(TRIM(Raw_Export!B1949),2)))))</f>
        <v>46277</v>
      </c>
      <c r="C1949" s="36" t="str">
        <f aca="false">IF(Raw_Export!$A1949="","",IFERROR(VLOOKUP(LOWER(TRIM(Raw_Export!C1949)),Maps!$A$2:$B$20,2,FALSE()),"UNMAPPED"))</f>
        <v>Mombasa</v>
      </c>
      <c r="D1949" s="36" t="str">
        <f aca="false">IF(Raw_Export!$A1949="","",IFERROR(VLOOKUP(LOWER(TRIM(Raw_Export!D1949)),Maps!$G$2:$I$80,2,FALSE()),"UNMAPPED"))</f>
        <v>Crisps 100g</v>
      </c>
      <c r="E1949" s="36" t="str">
        <f aca="false">IF(Raw_Export!$A1949="","",IFERROR(VLOOKUP(LOWER(TRIM(Raw_Export!D1949)),Maps!$G$2:$I$80,3,FALSE()),"UNMAPPED"))</f>
        <v>Snacks</v>
      </c>
      <c r="F1949" s="36" t="n">
        <f aca="false">IF(Raw_Export!$A1949="","",IFERROR(VALUE(TRIM(Raw_Export!E1949)),0))</f>
        <v>3</v>
      </c>
      <c r="G1949" s="38" t="n">
        <f aca="false">IF(Raw_Export!$A1949="","",IFERROR(VALUE(SUBSTITUTE(SUBSTITUTE(UPPER(TRIM(Raw_Export!F1949)),"KES",""),",","")),0))</f>
        <v>72</v>
      </c>
      <c r="H1949" s="38" t="n">
        <f aca="false">IF(Raw_Export!$A1949="","",F1949*G1949)</f>
        <v>216</v>
      </c>
      <c r="I1949" s="36" t="str">
        <f aca="false">IF(Raw_Export!$A1949="","",IFERROR(VLOOKUP(LOWER(TRIM(Raw_Export!H1949)),Maps!$D$2:$E$12,2,FALSE()),"Other"))</f>
        <v>Cash</v>
      </c>
      <c r="J1949" s="36" t="str">
        <f aca="false">IF(Raw_Export!$A1949="","",IF(COUNTIF($A$2:A1949,A1949)&gt;1,"Duplicate",""))</f>
        <v/>
      </c>
      <c r="K1949" s="36" t="str">
        <f aca="false">IF(Raw_Export!$A1949="","",IF(J1949="Duplicate","Duplicate",IF(OR(C1949="UNMAPPED",D1949="UNMAPPED"),"Unmapped",IF(F1949=0,"Blank qty",IF(F1949&lt;0,"Return","OK")))))</f>
        <v>OK</v>
      </c>
      <c r="L1949" s="36" t="n">
        <f aca="false">IF(Raw_Export!$A1949="","",IF(OR(K1949="OK",K1949="Return"),1,0))</f>
        <v>1</v>
      </c>
      <c r="M1949" s="37" t="n">
        <f aca="false">IF(Raw_Export!$A1949="","",B1949-WEEKDAY(B1949,2)+1)</f>
        <v>46272</v>
      </c>
    </row>
    <row r="1950" customFormat="false" ht="15" hidden="false" customHeight="false" outlineLevel="0" collapsed="false">
      <c r="A1950" s="36" t="str">
        <f aca="false">IF(Raw_Export!$A1950="","",TRIM(Raw_Export!A1950))</f>
        <v>TXN-101910</v>
      </c>
      <c r="B1950" s="37" t="n">
        <f aca="false">IF(Raw_Export!$A1950="","",IF(ISNUMBER(Raw_Export!B1950),Raw_Export!B1950,IF(MID(TRIM(Raw_Export!B1950),5,1)="-",DATE(LEFT(TRIM(Raw_Export!B1950),4),MID(TRIM(Raw_Export!B1950),6,2),RIGHT(TRIM(Raw_Export!B1950),2)),DATE(RIGHT(TRIM(Raw_Export!B1950),4),MATCH(MID(TRIM(Raw_Export!B1950),4,3),{"Jan","Feb","Mar","Apr","May","Jun","Jul","Aug","Sep","Oct","Nov","Dec"},0),LEFT(TRIM(Raw_Export!B1950),2)))))</f>
        <v>46277</v>
      </c>
      <c r="C1950" s="36" t="str">
        <f aca="false">IF(Raw_Export!$A1950="","",IFERROR(VLOOKUP(LOWER(TRIM(Raw_Export!C1950)),Maps!$A$2:$B$20,2,FALSE()),"UNMAPPED"))</f>
        <v>Mombasa</v>
      </c>
      <c r="D1950" s="36" t="str">
        <f aca="false">IF(Raw_Export!$A1950="","",IFERROR(VLOOKUP(LOWER(TRIM(Raw_Export!D1950)),Maps!$G$2:$I$80,2,FALSE()),"UNMAPPED"))</f>
        <v>Chocolate Bar 90g</v>
      </c>
      <c r="E1950" s="36" t="str">
        <f aca="false">IF(Raw_Export!$A1950="","",IFERROR(VLOOKUP(LOWER(TRIM(Raw_Export!D1950)),Maps!$G$2:$I$80,3,FALSE()),"UNMAPPED"))</f>
        <v>Snacks</v>
      </c>
      <c r="F1950" s="36" t="n">
        <f aca="false">IF(Raw_Export!$A1950="","",IFERROR(VALUE(TRIM(Raw_Export!E1950)),0))</f>
        <v>6</v>
      </c>
      <c r="G1950" s="38" t="n">
        <f aca="false">IF(Raw_Export!$A1950="","",IFERROR(VALUE(SUBSTITUTE(SUBSTITUTE(UPPER(TRIM(Raw_Export!F1950)),"KES",""),",","")),0))</f>
        <v>140</v>
      </c>
      <c r="H1950" s="38" t="n">
        <f aca="false">IF(Raw_Export!$A1950="","",F1950*G1950)</f>
        <v>840</v>
      </c>
      <c r="I1950" s="36" t="str">
        <f aca="false">IF(Raw_Export!$A1950="","",IFERROR(VLOOKUP(LOWER(TRIM(Raw_Export!H1950)),Maps!$D$2:$E$12,2,FALSE()),"Other"))</f>
        <v>Cash</v>
      </c>
      <c r="J1950" s="36" t="str">
        <f aca="false">IF(Raw_Export!$A1950="","",IF(COUNTIF($A$2:A1950,A1950)&gt;1,"Duplicate",""))</f>
        <v/>
      </c>
      <c r="K1950" s="36" t="str">
        <f aca="false">IF(Raw_Export!$A1950="","",IF(J1950="Duplicate","Duplicate",IF(OR(C1950="UNMAPPED",D1950="UNMAPPED"),"Unmapped",IF(F1950=0,"Blank qty",IF(F1950&lt;0,"Return","OK")))))</f>
        <v>OK</v>
      </c>
      <c r="L1950" s="36" t="n">
        <f aca="false">IF(Raw_Export!$A1950="","",IF(OR(K1950="OK",K1950="Return"),1,0))</f>
        <v>1</v>
      </c>
      <c r="M1950" s="37" t="n">
        <f aca="false">IF(Raw_Export!$A1950="","",B1950-WEEKDAY(B1950,2)+1)</f>
        <v>46272</v>
      </c>
    </row>
    <row r="1951" customFormat="false" ht="15" hidden="false" customHeight="false" outlineLevel="0" collapsed="false">
      <c r="A1951" s="36" t="str">
        <f aca="false">IF(Raw_Export!$A1951="","",TRIM(Raw_Export!A1951))</f>
        <v>TXN-101911</v>
      </c>
      <c r="B1951" s="37" t="n">
        <f aca="false">IF(Raw_Export!$A1951="","",IF(ISNUMBER(Raw_Export!B1951),Raw_Export!B1951,IF(MID(TRIM(Raw_Export!B1951),5,1)="-",DATE(LEFT(TRIM(Raw_Export!B1951),4),MID(TRIM(Raw_Export!B1951),6,2),RIGHT(TRIM(Raw_Export!B1951),2)),DATE(RIGHT(TRIM(Raw_Export!B1951),4),MATCH(MID(TRIM(Raw_Export!B1951),4,3),{"Jan","Feb","Mar","Apr","May","Jun","Jul","Aug","Sep","Oct","Nov","Dec"},0),LEFT(TRIM(Raw_Export!B1951),2)))))</f>
        <v>46277</v>
      </c>
      <c r="C1951" s="36" t="str">
        <f aca="false">IF(Raw_Export!$A1951="","",IFERROR(VLOOKUP(LOWER(TRIM(Raw_Export!C1951)),Maps!$A$2:$B$20,2,FALSE()),"UNMAPPED"))</f>
        <v>Mombasa</v>
      </c>
      <c r="D1951" s="36" t="str">
        <f aca="false">IF(Raw_Export!$A1951="","",IFERROR(VLOOKUP(LOWER(TRIM(Raw_Export!D1951)),Maps!$G$2:$I$80,2,FALSE()),"UNMAPPED"))</f>
        <v>Salt 500g</v>
      </c>
      <c r="E1951" s="36" t="str">
        <f aca="false">IF(Raw_Export!$A1951="","",IFERROR(VLOOKUP(LOWER(TRIM(Raw_Export!D1951)),Maps!$G$2:$I$80,3,FALSE()),"UNMAPPED"))</f>
        <v>Staples</v>
      </c>
      <c r="F1951" s="36" t="n">
        <f aca="false">IF(Raw_Export!$A1951="","",IFERROR(VALUE(TRIM(Raw_Export!E1951)),0))</f>
        <v>6</v>
      </c>
      <c r="G1951" s="38" t="n">
        <f aca="false">IF(Raw_Export!$A1951="","",IFERROR(VALUE(SUBSTITUTE(SUBSTITUTE(UPPER(TRIM(Raw_Export!F1951)),"KES",""),",","")),0))</f>
        <v>40</v>
      </c>
      <c r="H1951" s="38" t="n">
        <f aca="false">IF(Raw_Export!$A1951="","",F1951*G1951)</f>
        <v>240</v>
      </c>
      <c r="I1951" s="36" t="str">
        <f aca="false">IF(Raw_Export!$A1951="","",IFERROR(VLOOKUP(LOWER(TRIM(Raw_Export!H1951)),Maps!$D$2:$E$12,2,FALSE()),"Other"))</f>
        <v>M-Pesa</v>
      </c>
      <c r="J1951" s="36" t="str">
        <f aca="false">IF(Raw_Export!$A1951="","",IF(COUNTIF($A$2:A1951,A1951)&gt;1,"Duplicate",""))</f>
        <v/>
      </c>
      <c r="K1951" s="36" t="str">
        <f aca="false">IF(Raw_Export!$A1951="","",IF(J1951="Duplicate","Duplicate",IF(OR(C1951="UNMAPPED",D1951="UNMAPPED"),"Unmapped",IF(F1951=0,"Blank qty",IF(F1951&lt;0,"Return","OK")))))</f>
        <v>OK</v>
      </c>
      <c r="L1951" s="36" t="n">
        <f aca="false">IF(Raw_Export!$A1951="","",IF(OR(K1951="OK",K1951="Return"),1,0))</f>
        <v>1</v>
      </c>
      <c r="M1951" s="37" t="n">
        <f aca="false">IF(Raw_Export!$A1951="","",B1951-WEEKDAY(B1951,2)+1)</f>
        <v>46272</v>
      </c>
    </row>
    <row r="1952" customFormat="false" ht="15" hidden="false" customHeight="false" outlineLevel="0" collapsed="false">
      <c r="A1952" s="36" t="str">
        <f aca="false">IF(Raw_Export!$A1952="","",TRIM(Raw_Export!A1952))</f>
        <v>TXN-101912</v>
      </c>
      <c r="B1952" s="37" t="n">
        <f aca="false">IF(Raw_Export!$A1952="","",IF(ISNUMBER(Raw_Export!B1952),Raw_Export!B1952,IF(MID(TRIM(Raw_Export!B1952),5,1)="-",DATE(LEFT(TRIM(Raw_Export!B1952),4),MID(TRIM(Raw_Export!B1952),6,2),RIGHT(TRIM(Raw_Export!B1952),2)),DATE(RIGHT(TRIM(Raw_Export!B1952),4),MATCH(MID(TRIM(Raw_Export!B1952),4,3),{"Jan","Feb","Mar","Apr","May","Jun","Jul","Aug","Sep","Oct","Nov","Dec"},0),LEFT(TRIM(Raw_Export!B1952),2)))))</f>
        <v>46277</v>
      </c>
      <c r="C1952" s="36" t="str">
        <f aca="false">IF(Raw_Export!$A1952="","",IFERROR(VLOOKUP(LOWER(TRIM(Raw_Export!C1952)),Maps!$A$2:$B$20,2,FALSE()),"UNMAPPED"))</f>
        <v>Mombasa</v>
      </c>
      <c r="D1952" s="36" t="str">
        <f aca="false">IF(Raw_Export!$A1952="","",IFERROR(VLOOKUP(LOWER(TRIM(Raw_Export!D1952)),Maps!$G$2:$I$80,2,FALSE()),"UNMAPPED"))</f>
        <v>Sanitary Pads 8pk</v>
      </c>
      <c r="E1952" s="36" t="str">
        <f aca="false">IF(Raw_Export!$A1952="","",IFERROR(VLOOKUP(LOWER(TRIM(Raw_Export!D1952)),Maps!$G$2:$I$80,3,FALSE()),"UNMAPPED"))</f>
        <v>Personal Care</v>
      </c>
      <c r="F1952" s="36" t="n">
        <f aca="false">IF(Raw_Export!$A1952="","",IFERROR(VALUE(TRIM(Raw_Export!E1952)),0))</f>
        <v>1</v>
      </c>
      <c r="G1952" s="38" t="n">
        <f aca="false">IF(Raw_Export!$A1952="","",IFERROR(VALUE(SUBSTITUTE(SUBSTITUTE(UPPER(TRIM(Raw_Export!F1952)),"KES",""),",","")),0))</f>
        <v>130</v>
      </c>
      <c r="H1952" s="38" t="n">
        <f aca="false">IF(Raw_Export!$A1952="","",F1952*G1952)</f>
        <v>130</v>
      </c>
      <c r="I1952" s="36" t="str">
        <f aca="false">IF(Raw_Export!$A1952="","",IFERROR(VLOOKUP(LOWER(TRIM(Raw_Export!H1952)),Maps!$D$2:$E$12,2,FALSE()),"Other"))</f>
        <v>M-Pesa</v>
      </c>
      <c r="J1952" s="36" t="str">
        <f aca="false">IF(Raw_Export!$A1952="","",IF(COUNTIF($A$2:A1952,A1952)&gt;1,"Duplicate",""))</f>
        <v/>
      </c>
      <c r="K1952" s="36" t="str">
        <f aca="false">IF(Raw_Export!$A1952="","",IF(J1952="Duplicate","Duplicate",IF(OR(C1952="UNMAPPED",D1952="UNMAPPED"),"Unmapped",IF(F1952=0,"Blank qty",IF(F1952&lt;0,"Return","OK")))))</f>
        <v>OK</v>
      </c>
      <c r="L1952" s="36" t="n">
        <f aca="false">IF(Raw_Export!$A1952="","",IF(OR(K1952="OK",K1952="Return"),1,0))</f>
        <v>1</v>
      </c>
      <c r="M1952" s="37" t="n">
        <f aca="false">IF(Raw_Export!$A1952="","",B1952-WEEKDAY(B1952,2)+1)</f>
        <v>46272</v>
      </c>
    </row>
    <row r="1953" customFormat="false" ht="15" hidden="false" customHeight="false" outlineLevel="0" collapsed="false">
      <c r="A1953" s="36" t="str">
        <f aca="false">IF(Raw_Export!$A1953="","",TRIM(Raw_Export!A1953))</f>
        <v>TXN-101913</v>
      </c>
      <c r="B1953" s="37" t="n">
        <f aca="false">IF(Raw_Export!$A1953="","",IF(ISNUMBER(Raw_Export!B1953),Raw_Export!B1953,IF(MID(TRIM(Raw_Export!B1953),5,1)="-",DATE(LEFT(TRIM(Raw_Export!B1953),4),MID(TRIM(Raw_Export!B1953),6,2),RIGHT(TRIM(Raw_Export!B1953),2)),DATE(RIGHT(TRIM(Raw_Export!B1953),4),MATCH(MID(TRIM(Raw_Export!B1953),4,3),{"Jan","Feb","Mar","Apr","May","Jun","Jul","Aug","Sep","Oct","Nov","Dec"},0),LEFT(TRIM(Raw_Export!B1953),2)))))</f>
        <v>46277</v>
      </c>
      <c r="C1953" s="36" t="str">
        <f aca="false">IF(Raw_Export!$A1953="","",IFERROR(VLOOKUP(LOWER(TRIM(Raw_Export!C1953)),Maps!$A$2:$B$20,2,FALSE()),"UNMAPPED"))</f>
        <v>Mombasa</v>
      </c>
      <c r="D1953" s="36" t="str">
        <f aca="false">IF(Raw_Export!$A1953="","",IFERROR(VLOOKUP(LOWER(TRIM(Raw_Export!D1953)),Maps!$G$2:$I$80,2,FALSE()),"UNMAPPED"))</f>
        <v>Fresh Milk 500ml</v>
      </c>
      <c r="E1953" s="36" t="str">
        <f aca="false">IF(Raw_Export!$A1953="","",IFERROR(VLOOKUP(LOWER(TRIM(Raw_Export!D1953)),Maps!$G$2:$I$80,3,FALSE()),"UNMAPPED"))</f>
        <v>Dairy &amp; Eggs</v>
      </c>
      <c r="F1953" s="36" t="n">
        <f aca="false">IF(Raw_Export!$A1953="","",IFERROR(VALUE(TRIM(Raw_Export!E1953)),0))</f>
        <v>2</v>
      </c>
      <c r="G1953" s="38" t="n">
        <f aca="false">IF(Raw_Export!$A1953="","",IFERROR(VALUE(SUBSTITUTE(SUBSTITUTE(UPPER(TRIM(Raw_Export!F1953)),"KES",""),",","")),0))</f>
        <v>65</v>
      </c>
      <c r="H1953" s="38" t="n">
        <f aca="false">IF(Raw_Export!$A1953="","",F1953*G1953)</f>
        <v>130</v>
      </c>
      <c r="I1953" s="36" t="str">
        <f aca="false">IF(Raw_Export!$A1953="","",IFERROR(VLOOKUP(LOWER(TRIM(Raw_Export!H1953)),Maps!$D$2:$E$12,2,FALSE()),"Other"))</f>
        <v>M-Pesa</v>
      </c>
      <c r="J1953" s="36" t="str">
        <f aca="false">IF(Raw_Export!$A1953="","",IF(COUNTIF($A$2:A1953,A1953)&gt;1,"Duplicate",""))</f>
        <v/>
      </c>
      <c r="K1953" s="36" t="str">
        <f aca="false">IF(Raw_Export!$A1953="","",IF(J1953="Duplicate","Duplicate",IF(OR(C1953="UNMAPPED",D1953="UNMAPPED"),"Unmapped",IF(F1953=0,"Blank qty",IF(F1953&lt;0,"Return","OK")))))</f>
        <v>OK</v>
      </c>
      <c r="L1953" s="36" t="n">
        <f aca="false">IF(Raw_Export!$A1953="","",IF(OR(K1953="OK",K1953="Return"),1,0))</f>
        <v>1</v>
      </c>
      <c r="M1953" s="37" t="n">
        <f aca="false">IF(Raw_Export!$A1953="","",B1953-WEEKDAY(B1953,2)+1)</f>
        <v>46272</v>
      </c>
    </row>
    <row r="1954" customFormat="false" ht="15" hidden="false" customHeight="false" outlineLevel="0" collapsed="false">
      <c r="A1954" s="36" t="str">
        <f aca="false">IF(Raw_Export!$A1954="","",TRIM(Raw_Export!A1954))</f>
        <v>TXN-101914</v>
      </c>
      <c r="B1954" s="37" t="n">
        <f aca="false">IF(Raw_Export!$A1954="","",IF(ISNUMBER(Raw_Export!B1954),Raw_Export!B1954,IF(MID(TRIM(Raw_Export!B1954),5,1)="-",DATE(LEFT(TRIM(Raw_Export!B1954),4),MID(TRIM(Raw_Export!B1954),6,2),RIGHT(TRIM(Raw_Export!B1954),2)),DATE(RIGHT(TRIM(Raw_Export!B1954),4),MATCH(MID(TRIM(Raw_Export!B1954),4,3),{"Jan","Feb","Mar","Apr","May","Jun","Jul","Aug","Sep","Oct","Nov","Dec"},0),LEFT(TRIM(Raw_Export!B1954),2)))))</f>
        <v>46277</v>
      </c>
      <c r="C1954" s="36" t="str">
        <f aca="false">IF(Raw_Export!$A1954="","",IFERROR(VLOOKUP(LOWER(TRIM(Raw_Export!C1954)),Maps!$A$2:$B$20,2,FALSE()),"UNMAPPED"))</f>
        <v>Mombasa</v>
      </c>
      <c r="D1954" s="36" t="str">
        <f aca="false">IF(Raw_Export!$A1954="","",IFERROR(VLOOKUP(LOWER(TRIM(Raw_Export!D1954)),Maps!$G$2:$I$80,2,FALSE()),"UNMAPPED"))</f>
        <v>Tea Leaves 250g</v>
      </c>
      <c r="E1954" s="36" t="str">
        <f aca="false">IF(Raw_Export!$A1954="","",IFERROR(VLOOKUP(LOWER(TRIM(Raw_Export!D1954)),Maps!$G$2:$I$80,3,FALSE()),"UNMAPPED"))</f>
        <v>Beverages</v>
      </c>
      <c r="F1954" s="36" t="n">
        <f aca="false">IF(Raw_Export!$A1954="","",IFERROR(VALUE(TRIM(Raw_Export!E1954)),0))</f>
        <v>2</v>
      </c>
      <c r="G1954" s="38" t="n">
        <f aca="false">IF(Raw_Export!$A1954="","",IFERROR(VALUE(SUBSTITUTE(SUBSTITUTE(UPPER(TRIM(Raw_Export!F1954)),"KES",""),",","")),0))</f>
        <v>150</v>
      </c>
      <c r="H1954" s="38" t="n">
        <f aca="false">IF(Raw_Export!$A1954="","",F1954*G1954)</f>
        <v>300</v>
      </c>
      <c r="I1954" s="36" t="str">
        <f aca="false">IF(Raw_Export!$A1954="","",IFERROR(VLOOKUP(LOWER(TRIM(Raw_Export!H1954)),Maps!$D$2:$E$12,2,FALSE()),"Other"))</f>
        <v>Cash</v>
      </c>
      <c r="J1954" s="36" t="str">
        <f aca="false">IF(Raw_Export!$A1954="","",IF(COUNTIF($A$2:A1954,A1954)&gt;1,"Duplicate",""))</f>
        <v/>
      </c>
      <c r="K1954" s="36" t="str">
        <f aca="false">IF(Raw_Export!$A1954="","",IF(J1954="Duplicate","Duplicate",IF(OR(C1954="UNMAPPED",D1954="UNMAPPED"),"Unmapped",IF(F1954=0,"Blank qty",IF(F1954&lt;0,"Return","OK")))))</f>
        <v>OK</v>
      </c>
      <c r="L1954" s="36" t="n">
        <f aca="false">IF(Raw_Export!$A1954="","",IF(OR(K1954="OK",K1954="Return"),1,0))</f>
        <v>1</v>
      </c>
      <c r="M1954" s="37" t="n">
        <f aca="false">IF(Raw_Export!$A1954="","",B1954-WEEKDAY(B1954,2)+1)</f>
        <v>46272</v>
      </c>
    </row>
    <row r="1955" customFormat="false" ht="15" hidden="false" customHeight="false" outlineLevel="0" collapsed="false">
      <c r="A1955" s="36" t="str">
        <f aca="false">IF(Raw_Export!$A1955="","",TRIM(Raw_Export!A1955))</f>
        <v>TXN-101915</v>
      </c>
      <c r="B1955" s="37" t="n">
        <f aca="false">IF(Raw_Export!$A1955="","",IF(ISNUMBER(Raw_Export!B1955),Raw_Export!B1955,IF(MID(TRIM(Raw_Export!B1955),5,1)="-",DATE(LEFT(TRIM(Raw_Export!B1955),4),MID(TRIM(Raw_Export!B1955),6,2),RIGHT(TRIM(Raw_Export!B1955),2)),DATE(RIGHT(TRIM(Raw_Export!B1955),4),MATCH(MID(TRIM(Raw_Export!B1955),4,3),{"Jan","Feb","Mar","Apr","May","Jun","Jul","Aug","Sep","Oct","Nov","Dec"},0),LEFT(TRIM(Raw_Export!B1955),2)))))</f>
        <v>46277</v>
      </c>
      <c r="C1955" s="36" t="str">
        <f aca="false">IF(Raw_Export!$A1955="","",IFERROR(VLOOKUP(LOWER(TRIM(Raw_Export!C1955)),Maps!$A$2:$B$20,2,FALSE()),"UNMAPPED"))</f>
        <v>Mombasa</v>
      </c>
      <c r="D1955" s="36" t="str">
        <f aca="false">IF(Raw_Export!$A1955="","",IFERROR(VLOOKUP(LOWER(TRIM(Raw_Export!D1955)),Maps!$G$2:$I$80,2,FALSE()),"UNMAPPED"))</f>
        <v>Sugar 2kg</v>
      </c>
      <c r="E1955" s="36" t="str">
        <f aca="false">IF(Raw_Export!$A1955="","",IFERROR(VLOOKUP(LOWER(TRIM(Raw_Export!D1955)),Maps!$G$2:$I$80,3,FALSE()),"UNMAPPED"))</f>
        <v>Staples</v>
      </c>
      <c r="F1955" s="36" t="n">
        <f aca="false">IF(Raw_Export!$A1955="","",IFERROR(VALUE(TRIM(Raw_Export!E1955)),0))</f>
        <v>4</v>
      </c>
      <c r="G1955" s="38" t="n">
        <f aca="false">IF(Raw_Export!$A1955="","",IFERROR(VALUE(SUBSTITUTE(SUBSTITUTE(UPPER(TRIM(Raw_Export!F1955)),"KES",""),",","")),0))</f>
        <v>330</v>
      </c>
      <c r="H1955" s="38" t="n">
        <f aca="false">IF(Raw_Export!$A1955="","",F1955*G1955)</f>
        <v>1320</v>
      </c>
      <c r="I1955" s="36" t="str">
        <f aca="false">IF(Raw_Export!$A1955="","",IFERROR(VLOOKUP(LOWER(TRIM(Raw_Export!H1955)),Maps!$D$2:$E$12,2,FALSE()),"Other"))</f>
        <v>M-Pesa</v>
      </c>
      <c r="J1955" s="36" t="str">
        <f aca="false">IF(Raw_Export!$A1955="","",IF(COUNTIF($A$2:A1955,A1955)&gt;1,"Duplicate",""))</f>
        <v/>
      </c>
      <c r="K1955" s="36" t="str">
        <f aca="false">IF(Raw_Export!$A1955="","",IF(J1955="Duplicate","Duplicate",IF(OR(C1955="UNMAPPED",D1955="UNMAPPED"),"Unmapped",IF(F1955=0,"Blank qty",IF(F1955&lt;0,"Return","OK")))))</f>
        <v>OK</v>
      </c>
      <c r="L1955" s="36" t="n">
        <f aca="false">IF(Raw_Export!$A1955="","",IF(OR(K1955="OK",K1955="Return"),1,0))</f>
        <v>1</v>
      </c>
      <c r="M1955" s="37" t="n">
        <f aca="false">IF(Raw_Export!$A1955="","",B1955-WEEKDAY(B1955,2)+1)</f>
        <v>46272</v>
      </c>
    </row>
    <row r="1956" customFormat="false" ht="15" hidden="false" customHeight="false" outlineLevel="0" collapsed="false">
      <c r="A1956" s="36" t="str">
        <f aca="false">IF(Raw_Export!$A1956="","",TRIM(Raw_Export!A1956))</f>
        <v>TXN-101916</v>
      </c>
      <c r="B1956" s="37" t="n">
        <f aca="false">IF(Raw_Export!$A1956="","",IF(ISNUMBER(Raw_Export!B1956),Raw_Export!B1956,IF(MID(TRIM(Raw_Export!B1956),5,1)="-",DATE(LEFT(TRIM(Raw_Export!B1956),4),MID(TRIM(Raw_Export!B1956),6,2),RIGHT(TRIM(Raw_Export!B1956),2)),DATE(RIGHT(TRIM(Raw_Export!B1956),4),MATCH(MID(TRIM(Raw_Export!B1956),4,3),{"Jan","Feb","Mar","Apr","May","Jun","Jul","Aug","Sep","Oct","Nov","Dec"},0),LEFT(TRIM(Raw_Export!B1956),2)))))</f>
        <v>46277</v>
      </c>
      <c r="C1956" s="36" t="str">
        <f aca="false">IF(Raw_Export!$A1956="","",IFERROR(VLOOKUP(LOWER(TRIM(Raw_Export!C1956)),Maps!$A$2:$B$20,2,FALSE()),"UNMAPPED"))</f>
        <v>Mombasa</v>
      </c>
      <c r="D1956" s="36" t="str">
        <f aca="false">IF(Raw_Export!$A1956="","",IFERROR(VLOOKUP(LOWER(TRIM(Raw_Export!D1956)),Maps!$G$2:$I$80,2,FALSE()),"UNMAPPED"))</f>
        <v>Bath Soap 175g</v>
      </c>
      <c r="E1956" s="36" t="str">
        <f aca="false">IF(Raw_Export!$A1956="","",IFERROR(VLOOKUP(LOWER(TRIM(Raw_Export!D1956)),Maps!$G$2:$I$80,3,FALSE()),"UNMAPPED"))</f>
        <v>Personal Care</v>
      </c>
      <c r="F1956" s="36" t="n">
        <f aca="false">IF(Raw_Export!$A1956="","",IFERROR(VALUE(TRIM(Raw_Export!E1956)),0))</f>
        <v>1</v>
      </c>
      <c r="G1956" s="38" t="n">
        <f aca="false">IF(Raw_Export!$A1956="","",IFERROR(VALUE(SUBSTITUTE(SUBSTITUTE(UPPER(TRIM(Raw_Export!F1956)),"KES",""),",","")),0))</f>
        <v>85</v>
      </c>
      <c r="H1956" s="38" t="n">
        <f aca="false">IF(Raw_Export!$A1956="","",F1956*G1956)</f>
        <v>85</v>
      </c>
      <c r="I1956" s="36" t="str">
        <f aca="false">IF(Raw_Export!$A1956="","",IFERROR(VLOOKUP(LOWER(TRIM(Raw_Export!H1956)),Maps!$D$2:$E$12,2,FALSE()),"Other"))</f>
        <v>M-Pesa</v>
      </c>
      <c r="J1956" s="36" t="str">
        <f aca="false">IF(Raw_Export!$A1956="","",IF(COUNTIF($A$2:A1956,A1956)&gt;1,"Duplicate",""))</f>
        <v/>
      </c>
      <c r="K1956" s="36" t="str">
        <f aca="false">IF(Raw_Export!$A1956="","",IF(J1956="Duplicate","Duplicate",IF(OR(C1956="UNMAPPED",D1956="UNMAPPED"),"Unmapped",IF(F1956=0,"Blank qty",IF(F1956&lt;0,"Return","OK")))))</f>
        <v>OK</v>
      </c>
      <c r="L1956" s="36" t="n">
        <f aca="false">IF(Raw_Export!$A1956="","",IF(OR(K1956="OK",K1956="Return"),1,0))</f>
        <v>1</v>
      </c>
      <c r="M1956" s="37" t="n">
        <f aca="false">IF(Raw_Export!$A1956="","",B1956-WEEKDAY(B1956,2)+1)</f>
        <v>46272</v>
      </c>
    </row>
    <row r="1957" customFormat="false" ht="15" hidden="false" customHeight="false" outlineLevel="0" collapsed="false">
      <c r="A1957" s="36" t="str">
        <f aca="false">IF(Raw_Export!$A1957="","",TRIM(Raw_Export!A1957))</f>
        <v>TXN-101917</v>
      </c>
      <c r="B1957" s="37" t="n">
        <f aca="false">IF(Raw_Export!$A1957="","",IF(ISNUMBER(Raw_Export!B1957),Raw_Export!B1957,IF(MID(TRIM(Raw_Export!B1957),5,1)="-",DATE(LEFT(TRIM(Raw_Export!B1957),4),MID(TRIM(Raw_Export!B1957),6,2),RIGHT(TRIM(Raw_Export!B1957),2)),DATE(RIGHT(TRIM(Raw_Export!B1957),4),MATCH(MID(TRIM(Raw_Export!B1957),4,3),{"Jan","Feb","Mar","Apr","May","Jun","Jul","Aug","Sep","Oct","Nov","Dec"},0),LEFT(TRIM(Raw_Export!B1957),2)))))</f>
        <v>46277</v>
      </c>
      <c r="C1957" s="36" t="str">
        <f aca="false">IF(Raw_Export!$A1957="","",IFERROR(VLOOKUP(LOWER(TRIM(Raw_Export!C1957)),Maps!$A$2:$B$20,2,FALSE()),"UNMAPPED"))</f>
        <v>Mombasa</v>
      </c>
      <c r="D1957" s="36" t="str">
        <f aca="false">IF(Raw_Export!$A1957="","",IFERROR(VLOOKUP(LOWER(TRIM(Raw_Export!D1957)),Maps!$G$2:$I$80,2,FALSE()),"UNMAPPED"))</f>
        <v>Sugar 2kg</v>
      </c>
      <c r="E1957" s="36" t="str">
        <f aca="false">IF(Raw_Export!$A1957="","",IFERROR(VLOOKUP(LOWER(TRIM(Raw_Export!D1957)),Maps!$G$2:$I$80,3,FALSE()),"UNMAPPED"))</f>
        <v>Staples</v>
      </c>
      <c r="F1957" s="36" t="n">
        <f aca="false">IF(Raw_Export!$A1957="","",IFERROR(VALUE(TRIM(Raw_Export!E1957)),0))</f>
        <v>1</v>
      </c>
      <c r="G1957" s="38" t="n">
        <f aca="false">IF(Raw_Export!$A1957="","",IFERROR(VALUE(SUBSTITUTE(SUBSTITUTE(UPPER(TRIM(Raw_Export!F1957)),"KES",""),",","")),0))</f>
        <v>330</v>
      </c>
      <c r="H1957" s="38" t="n">
        <f aca="false">IF(Raw_Export!$A1957="","",F1957*G1957)</f>
        <v>330</v>
      </c>
      <c r="I1957" s="36" t="str">
        <f aca="false">IF(Raw_Export!$A1957="","",IFERROR(VLOOKUP(LOWER(TRIM(Raw_Export!H1957)),Maps!$D$2:$E$12,2,FALSE()),"Other"))</f>
        <v>Cash</v>
      </c>
      <c r="J1957" s="36" t="str">
        <f aca="false">IF(Raw_Export!$A1957="","",IF(COUNTIF($A$2:A1957,A1957)&gt;1,"Duplicate",""))</f>
        <v/>
      </c>
      <c r="K1957" s="36" t="str">
        <f aca="false">IF(Raw_Export!$A1957="","",IF(J1957="Duplicate","Duplicate",IF(OR(C1957="UNMAPPED",D1957="UNMAPPED"),"Unmapped",IF(F1957=0,"Blank qty",IF(F1957&lt;0,"Return","OK")))))</f>
        <v>OK</v>
      </c>
      <c r="L1957" s="36" t="n">
        <f aca="false">IF(Raw_Export!$A1957="","",IF(OR(K1957="OK",K1957="Return"),1,0))</f>
        <v>1</v>
      </c>
      <c r="M1957" s="37" t="n">
        <f aca="false">IF(Raw_Export!$A1957="","",B1957-WEEKDAY(B1957,2)+1)</f>
        <v>46272</v>
      </c>
    </row>
    <row r="1958" customFormat="false" ht="15" hidden="false" customHeight="false" outlineLevel="0" collapsed="false">
      <c r="A1958" s="36" t="str">
        <f aca="false">IF(Raw_Export!$A1958="","",TRIM(Raw_Export!A1958))</f>
        <v>TXN-101918</v>
      </c>
      <c r="B1958" s="37" t="n">
        <f aca="false">IF(Raw_Export!$A1958="","",IF(ISNUMBER(Raw_Export!B1958),Raw_Export!B1958,IF(MID(TRIM(Raw_Export!B1958),5,1)="-",DATE(LEFT(TRIM(Raw_Export!B1958),4),MID(TRIM(Raw_Export!B1958),6,2),RIGHT(TRIM(Raw_Export!B1958),2)),DATE(RIGHT(TRIM(Raw_Export!B1958),4),MATCH(MID(TRIM(Raw_Export!B1958),4,3),{"Jan","Feb","Mar","Apr","May","Jun","Jul","Aug","Sep","Oct","Nov","Dec"},0),LEFT(TRIM(Raw_Export!B1958),2)))))</f>
        <v>46277</v>
      </c>
      <c r="C1958" s="36" t="str">
        <f aca="false">IF(Raw_Export!$A1958="","",IFERROR(VLOOKUP(LOWER(TRIM(Raw_Export!C1958)),Maps!$A$2:$B$20,2,FALSE()),"UNMAPPED"))</f>
        <v>Mombasa</v>
      </c>
      <c r="D1958" s="36" t="str">
        <f aca="false">IF(Raw_Export!$A1958="","",IFERROR(VLOOKUP(LOWER(TRIM(Raw_Export!D1958)),Maps!$G$2:$I$80,2,FALSE()),"UNMAPPED"))</f>
        <v>Biscuits 200g</v>
      </c>
      <c r="E1958" s="36" t="str">
        <f aca="false">IF(Raw_Export!$A1958="","",IFERROR(VLOOKUP(LOWER(TRIM(Raw_Export!D1958)),Maps!$G$2:$I$80,3,FALSE()),"UNMAPPED"))</f>
        <v>Snacks</v>
      </c>
      <c r="F1958" s="36" t="n">
        <f aca="false">IF(Raw_Export!$A1958="","",IFERROR(VALUE(TRIM(Raw_Export!E1958)),0))</f>
        <v>6</v>
      </c>
      <c r="G1958" s="38" t="n">
        <f aca="false">IF(Raw_Export!$A1958="","",IFERROR(VALUE(SUBSTITUTE(SUBSTITUTE(UPPER(TRIM(Raw_Export!F1958)),"KES",""),",","")),0))</f>
        <v>95</v>
      </c>
      <c r="H1958" s="38" t="n">
        <f aca="false">IF(Raw_Export!$A1958="","",F1958*G1958)</f>
        <v>570</v>
      </c>
      <c r="I1958" s="36" t="str">
        <f aca="false">IF(Raw_Export!$A1958="","",IFERROR(VLOOKUP(LOWER(TRIM(Raw_Export!H1958)),Maps!$D$2:$E$12,2,FALSE()),"Other"))</f>
        <v>M-Pesa</v>
      </c>
      <c r="J1958" s="36" t="str">
        <f aca="false">IF(Raw_Export!$A1958="","",IF(COUNTIF($A$2:A1958,A1958)&gt;1,"Duplicate",""))</f>
        <v/>
      </c>
      <c r="K1958" s="36" t="str">
        <f aca="false">IF(Raw_Export!$A1958="","",IF(J1958="Duplicate","Duplicate",IF(OR(C1958="UNMAPPED",D1958="UNMAPPED"),"Unmapped",IF(F1958=0,"Blank qty",IF(F1958&lt;0,"Return","OK")))))</f>
        <v>OK</v>
      </c>
      <c r="L1958" s="36" t="n">
        <f aca="false">IF(Raw_Export!$A1958="","",IF(OR(K1958="OK",K1958="Return"),1,0))</f>
        <v>1</v>
      </c>
      <c r="M1958" s="37" t="n">
        <f aca="false">IF(Raw_Export!$A1958="","",B1958-WEEKDAY(B1958,2)+1)</f>
        <v>46272</v>
      </c>
    </row>
    <row r="1959" customFormat="false" ht="15" hidden="false" customHeight="false" outlineLevel="0" collapsed="false">
      <c r="A1959" s="36" t="str">
        <f aca="false">IF(Raw_Export!$A1959="","",TRIM(Raw_Export!A1959))</f>
        <v>TXN-101919</v>
      </c>
      <c r="B1959" s="37" t="n">
        <f aca="false">IF(Raw_Export!$A1959="","",IF(ISNUMBER(Raw_Export!B1959),Raw_Export!B1959,IF(MID(TRIM(Raw_Export!B1959),5,1)="-",DATE(LEFT(TRIM(Raw_Export!B1959),4),MID(TRIM(Raw_Export!B1959),6,2),RIGHT(TRIM(Raw_Export!B1959),2)),DATE(RIGHT(TRIM(Raw_Export!B1959),4),MATCH(MID(TRIM(Raw_Export!B1959),4,3),{"Jan","Feb","Mar","Apr","May","Jun","Jul","Aug","Sep","Oct","Nov","Dec"},0),LEFT(TRIM(Raw_Export!B1959),2)))))</f>
        <v>46277</v>
      </c>
      <c r="C1959" s="36" t="str">
        <f aca="false">IF(Raw_Export!$A1959="","",IFERROR(VLOOKUP(LOWER(TRIM(Raw_Export!C1959)),Maps!$A$2:$B$20,2,FALSE()),"UNMAPPED"))</f>
        <v>Mombasa</v>
      </c>
      <c r="D1959" s="36" t="str">
        <f aca="false">IF(Raw_Export!$A1959="","",IFERROR(VLOOKUP(LOWER(TRIM(Raw_Export!D1959)),Maps!$G$2:$I$80,2,FALSE()),"UNMAPPED"))</f>
        <v>Bath Soap 175g</v>
      </c>
      <c r="E1959" s="36" t="str">
        <f aca="false">IF(Raw_Export!$A1959="","",IFERROR(VLOOKUP(LOWER(TRIM(Raw_Export!D1959)),Maps!$G$2:$I$80,3,FALSE()),"UNMAPPED"))</f>
        <v>Personal Care</v>
      </c>
      <c r="F1959" s="36" t="n">
        <f aca="false">IF(Raw_Export!$A1959="","",IFERROR(VALUE(TRIM(Raw_Export!E1959)),0))</f>
        <v>1</v>
      </c>
      <c r="G1959" s="38" t="n">
        <f aca="false">IF(Raw_Export!$A1959="","",IFERROR(VALUE(SUBSTITUTE(SUBSTITUTE(UPPER(TRIM(Raw_Export!F1959)),"KES",""),",","")),0))</f>
        <v>85</v>
      </c>
      <c r="H1959" s="38" t="n">
        <f aca="false">IF(Raw_Export!$A1959="","",F1959*G1959)</f>
        <v>85</v>
      </c>
      <c r="I1959" s="36" t="str">
        <f aca="false">IF(Raw_Export!$A1959="","",IFERROR(VLOOKUP(LOWER(TRIM(Raw_Export!H1959)),Maps!$D$2:$E$12,2,FALSE()),"Other"))</f>
        <v>M-Pesa</v>
      </c>
      <c r="J1959" s="36" t="str">
        <f aca="false">IF(Raw_Export!$A1959="","",IF(COUNTIF($A$2:A1959,A1959)&gt;1,"Duplicate",""))</f>
        <v/>
      </c>
      <c r="K1959" s="36" t="str">
        <f aca="false">IF(Raw_Export!$A1959="","",IF(J1959="Duplicate","Duplicate",IF(OR(C1959="UNMAPPED",D1959="UNMAPPED"),"Unmapped",IF(F1959=0,"Blank qty",IF(F1959&lt;0,"Return","OK")))))</f>
        <v>OK</v>
      </c>
      <c r="L1959" s="36" t="n">
        <f aca="false">IF(Raw_Export!$A1959="","",IF(OR(K1959="OK",K1959="Return"),1,0))</f>
        <v>1</v>
      </c>
      <c r="M1959" s="37" t="n">
        <f aca="false">IF(Raw_Export!$A1959="","",B1959-WEEKDAY(B1959,2)+1)</f>
        <v>46272</v>
      </c>
    </row>
    <row r="1960" customFormat="false" ht="15" hidden="false" customHeight="false" outlineLevel="0" collapsed="false">
      <c r="A1960" s="36" t="str">
        <f aca="false">IF(Raw_Export!$A1960="","",TRIM(Raw_Export!A1960))</f>
        <v>TXN-101920</v>
      </c>
      <c r="B1960" s="37" t="n">
        <f aca="false">IF(Raw_Export!$A1960="","",IF(ISNUMBER(Raw_Export!B1960),Raw_Export!B1960,IF(MID(TRIM(Raw_Export!B1960),5,1)="-",DATE(LEFT(TRIM(Raw_Export!B1960),4),MID(TRIM(Raw_Export!B1960),6,2),RIGHT(TRIM(Raw_Export!B1960),2)),DATE(RIGHT(TRIM(Raw_Export!B1960),4),MATCH(MID(TRIM(Raw_Export!B1960),4,3),{"Jan","Feb","Mar","Apr","May","Jun","Jul","Aug","Sep","Oct","Nov","Dec"},0),LEFT(TRIM(Raw_Export!B1960),2)))))</f>
        <v>46277</v>
      </c>
      <c r="C1960" s="36" t="str">
        <f aca="false">IF(Raw_Export!$A1960="","",IFERROR(VLOOKUP(LOWER(TRIM(Raw_Export!C1960)),Maps!$A$2:$B$20,2,FALSE()),"UNMAPPED"))</f>
        <v>Mombasa</v>
      </c>
      <c r="D1960" s="36" t="str">
        <f aca="false">IF(Raw_Export!$A1960="","",IFERROR(VLOOKUP(LOWER(TRIM(Raw_Export!D1960)),Maps!$G$2:$I$80,2,FALSE()),"UNMAPPED"))</f>
        <v>Coffee 100g</v>
      </c>
      <c r="E1960" s="36" t="str">
        <f aca="false">IF(Raw_Export!$A1960="","",IFERROR(VLOOKUP(LOWER(TRIM(Raw_Export!D1960)),Maps!$G$2:$I$80,3,FALSE()),"UNMAPPED"))</f>
        <v>Beverages</v>
      </c>
      <c r="F1960" s="36" t="n">
        <f aca="false">IF(Raw_Export!$A1960="","",IFERROR(VALUE(TRIM(Raw_Export!E1960)),0))</f>
        <v>2</v>
      </c>
      <c r="G1960" s="38" t="n">
        <f aca="false">IF(Raw_Export!$A1960="","",IFERROR(VALUE(SUBSTITUTE(SUBSTITUTE(UPPER(TRIM(Raw_Export!F1960)),"KES",""),",","")),0))</f>
        <v>360</v>
      </c>
      <c r="H1960" s="38" t="n">
        <f aca="false">IF(Raw_Export!$A1960="","",F1960*G1960)</f>
        <v>720</v>
      </c>
      <c r="I1960" s="36" t="str">
        <f aca="false">IF(Raw_Export!$A1960="","",IFERROR(VLOOKUP(LOWER(TRIM(Raw_Export!H1960)),Maps!$D$2:$E$12,2,FALSE()),"Other"))</f>
        <v>Card</v>
      </c>
      <c r="J1960" s="36" t="str">
        <f aca="false">IF(Raw_Export!$A1960="","",IF(COUNTIF($A$2:A1960,A1960)&gt;1,"Duplicate",""))</f>
        <v/>
      </c>
      <c r="K1960" s="36" t="str">
        <f aca="false">IF(Raw_Export!$A1960="","",IF(J1960="Duplicate","Duplicate",IF(OR(C1960="UNMAPPED",D1960="UNMAPPED"),"Unmapped",IF(F1960=0,"Blank qty",IF(F1960&lt;0,"Return","OK")))))</f>
        <v>OK</v>
      </c>
      <c r="L1960" s="36" t="n">
        <f aca="false">IF(Raw_Export!$A1960="","",IF(OR(K1960="OK",K1960="Return"),1,0))</f>
        <v>1</v>
      </c>
      <c r="M1960" s="37" t="n">
        <f aca="false">IF(Raw_Export!$A1960="","",B1960-WEEKDAY(B1960,2)+1)</f>
        <v>46272</v>
      </c>
    </row>
    <row r="1961" customFormat="false" ht="15" hidden="false" customHeight="false" outlineLevel="0" collapsed="false">
      <c r="A1961" s="36" t="str">
        <f aca="false">IF(Raw_Export!$A1961="","",TRIM(Raw_Export!A1961))</f>
        <v>TXN-101921</v>
      </c>
      <c r="B1961" s="37" t="n">
        <f aca="false">IF(Raw_Export!$A1961="","",IF(ISNUMBER(Raw_Export!B1961),Raw_Export!B1961,IF(MID(TRIM(Raw_Export!B1961),5,1)="-",DATE(LEFT(TRIM(Raw_Export!B1961),4),MID(TRIM(Raw_Export!B1961),6,2),RIGHT(TRIM(Raw_Export!B1961),2)),DATE(RIGHT(TRIM(Raw_Export!B1961),4),MATCH(MID(TRIM(Raw_Export!B1961),4,3),{"Jan","Feb","Mar","Apr","May","Jun","Jul","Aug","Sep","Oct","Nov","Dec"},0),LEFT(TRIM(Raw_Export!B1961),2)))))</f>
        <v>46277</v>
      </c>
      <c r="C1961" s="36" t="str">
        <f aca="false">IF(Raw_Export!$A1961="","",IFERROR(VLOOKUP(LOWER(TRIM(Raw_Export!C1961)),Maps!$A$2:$B$20,2,FALSE()),"UNMAPPED"))</f>
        <v>Mombasa</v>
      </c>
      <c r="D1961" s="36" t="str">
        <f aca="false">IF(Raw_Export!$A1961="","",IFERROR(VLOOKUP(LOWER(TRIM(Raw_Export!D1961)),Maps!$G$2:$I$80,2,FALSE()),"UNMAPPED"))</f>
        <v>Salt 500g</v>
      </c>
      <c r="E1961" s="36" t="str">
        <f aca="false">IF(Raw_Export!$A1961="","",IFERROR(VLOOKUP(LOWER(TRIM(Raw_Export!D1961)),Maps!$G$2:$I$80,3,FALSE()),"UNMAPPED"))</f>
        <v>Staples</v>
      </c>
      <c r="F1961" s="36" t="n">
        <f aca="false">IF(Raw_Export!$A1961="","",IFERROR(VALUE(TRIM(Raw_Export!E1961)),0))</f>
        <v>3</v>
      </c>
      <c r="G1961" s="38" t="n">
        <f aca="false">IF(Raw_Export!$A1961="","",IFERROR(VALUE(SUBSTITUTE(SUBSTITUTE(UPPER(TRIM(Raw_Export!F1961)),"KES",""),",","")),0))</f>
        <v>40</v>
      </c>
      <c r="H1961" s="38" t="n">
        <f aca="false">IF(Raw_Export!$A1961="","",F1961*G1961)</f>
        <v>120</v>
      </c>
      <c r="I1961" s="36" t="str">
        <f aca="false">IF(Raw_Export!$A1961="","",IFERROR(VLOOKUP(LOWER(TRIM(Raw_Export!H1961)),Maps!$D$2:$E$12,2,FALSE()),"Other"))</f>
        <v>Card</v>
      </c>
      <c r="J1961" s="36" t="str">
        <f aca="false">IF(Raw_Export!$A1961="","",IF(COUNTIF($A$2:A1961,A1961)&gt;1,"Duplicate",""))</f>
        <v/>
      </c>
      <c r="K1961" s="36" t="str">
        <f aca="false">IF(Raw_Export!$A1961="","",IF(J1961="Duplicate","Duplicate",IF(OR(C1961="UNMAPPED",D1961="UNMAPPED"),"Unmapped",IF(F1961=0,"Blank qty",IF(F1961&lt;0,"Return","OK")))))</f>
        <v>OK</v>
      </c>
      <c r="L1961" s="36" t="n">
        <f aca="false">IF(Raw_Export!$A1961="","",IF(OR(K1961="OK",K1961="Return"),1,0))</f>
        <v>1</v>
      </c>
      <c r="M1961" s="37" t="n">
        <f aca="false">IF(Raw_Export!$A1961="","",B1961-WEEKDAY(B1961,2)+1)</f>
        <v>46272</v>
      </c>
    </row>
    <row r="1962" customFormat="false" ht="15" hidden="false" customHeight="false" outlineLevel="0" collapsed="false">
      <c r="A1962" s="36" t="str">
        <f aca="false">IF(Raw_Export!$A1962="","",TRIM(Raw_Export!A1962))</f>
        <v>TXN-101922</v>
      </c>
      <c r="B1962" s="37" t="n">
        <f aca="false">IF(Raw_Export!$A1962="","",IF(ISNUMBER(Raw_Export!B1962),Raw_Export!B1962,IF(MID(TRIM(Raw_Export!B1962),5,1)="-",DATE(LEFT(TRIM(Raw_Export!B1962),4),MID(TRIM(Raw_Export!B1962),6,2),RIGHT(TRIM(Raw_Export!B1962),2)),DATE(RIGHT(TRIM(Raw_Export!B1962),4),MATCH(MID(TRIM(Raw_Export!B1962),4,3),{"Jan","Feb","Mar","Apr","May","Jun","Jul","Aug","Sep","Oct","Nov","Dec"},0),LEFT(TRIM(Raw_Export!B1962),2)))))</f>
        <v>46277</v>
      </c>
      <c r="C1962" s="36" t="str">
        <f aca="false">IF(Raw_Export!$A1962="","",IFERROR(VLOOKUP(LOWER(TRIM(Raw_Export!C1962)),Maps!$A$2:$B$20,2,FALSE()),"UNMAPPED"))</f>
        <v>Mombasa</v>
      </c>
      <c r="D1962" s="36" t="str">
        <f aca="false">IF(Raw_Export!$A1962="","",IFERROR(VLOOKUP(LOWER(TRIM(Raw_Export!D1962)),Maps!$G$2:$I$80,2,FALSE()),"UNMAPPED"))</f>
        <v>Bread Loaf 400g</v>
      </c>
      <c r="E1962" s="36" t="str">
        <f aca="false">IF(Raw_Export!$A1962="","",IFERROR(VLOOKUP(LOWER(TRIM(Raw_Export!D1962)),Maps!$G$2:$I$80,3,FALSE()),"UNMAPPED"))</f>
        <v>Snacks</v>
      </c>
      <c r="F1962" s="36" t="n">
        <f aca="false">IF(Raw_Export!$A1962="","",IFERROR(VALUE(TRIM(Raw_Export!E1962)),0))</f>
        <v>2</v>
      </c>
      <c r="G1962" s="38" t="n">
        <f aca="false">IF(Raw_Export!$A1962="","",IFERROR(VALUE(SUBSTITUTE(SUBSTITUTE(UPPER(TRIM(Raw_Export!F1962)),"KES",""),",","")),0))</f>
        <v>65</v>
      </c>
      <c r="H1962" s="38" t="n">
        <f aca="false">IF(Raw_Export!$A1962="","",F1962*G1962)</f>
        <v>130</v>
      </c>
      <c r="I1962" s="36" t="str">
        <f aca="false">IF(Raw_Export!$A1962="","",IFERROR(VLOOKUP(LOWER(TRIM(Raw_Export!H1962)),Maps!$D$2:$E$12,2,FALSE()),"Other"))</f>
        <v>M-Pesa</v>
      </c>
      <c r="J1962" s="36" t="str">
        <f aca="false">IF(Raw_Export!$A1962="","",IF(COUNTIF($A$2:A1962,A1962)&gt;1,"Duplicate",""))</f>
        <v>Duplicate</v>
      </c>
      <c r="K1962" s="36" t="str">
        <f aca="false">IF(Raw_Export!$A1962="","",IF(J1962="Duplicate","Duplicate",IF(OR(C1962="UNMAPPED",D1962="UNMAPPED"),"Unmapped",IF(F1962=0,"Blank qty",IF(F1962&lt;0,"Return","OK")))))</f>
        <v>Duplicate</v>
      </c>
      <c r="L1962" s="36" t="n">
        <f aca="false">IF(Raw_Export!$A1962="","",IF(OR(K1962="OK",K1962="Return"),1,0))</f>
        <v>0</v>
      </c>
      <c r="M1962" s="37" t="n">
        <f aca="false">IF(Raw_Export!$A1962="","",B1962-WEEKDAY(B1962,2)+1)</f>
        <v>46272</v>
      </c>
    </row>
    <row r="1963" customFormat="false" ht="15" hidden="false" customHeight="false" outlineLevel="0" collapsed="false">
      <c r="A1963" s="36" t="str">
        <f aca="false">IF(Raw_Export!$A1963="","",TRIM(Raw_Export!A1963))</f>
        <v>TXN-101923</v>
      </c>
      <c r="B1963" s="37" t="n">
        <f aca="false">IF(Raw_Export!$A1963="","",IF(ISNUMBER(Raw_Export!B1963),Raw_Export!B1963,IF(MID(TRIM(Raw_Export!B1963),5,1)="-",DATE(LEFT(TRIM(Raw_Export!B1963),4),MID(TRIM(Raw_Export!B1963),6,2),RIGHT(TRIM(Raw_Export!B1963),2)),DATE(RIGHT(TRIM(Raw_Export!B1963),4),MATCH(MID(TRIM(Raw_Export!B1963),4,3),{"Jan","Feb","Mar","Apr","May","Jun","Jul","Aug","Sep","Oct","Nov","Dec"},0),LEFT(TRIM(Raw_Export!B1963),2)))))</f>
        <v>46277</v>
      </c>
      <c r="C1963" s="36" t="str">
        <f aca="false">IF(Raw_Export!$A1963="","",IFERROR(VLOOKUP(LOWER(TRIM(Raw_Export!C1963)),Maps!$A$2:$B$20,2,FALSE()),"UNMAPPED"))</f>
        <v>Mombasa</v>
      </c>
      <c r="D1963" s="36" t="str">
        <f aca="false">IF(Raw_Export!$A1963="","",IFERROR(VLOOKUP(LOWER(TRIM(Raw_Export!D1963)),Maps!$G$2:$I$80,2,FALSE()),"UNMAPPED"))</f>
        <v>Cooking Oil 1L</v>
      </c>
      <c r="E1963" s="36" t="str">
        <f aca="false">IF(Raw_Export!$A1963="","",IFERROR(VLOOKUP(LOWER(TRIM(Raw_Export!D1963)),Maps!$G$2:$I$80,3,FALSE()),"UNMAPPED"))</f>
        <v>Staples</v>
      </c>
      <c r="F1963" s="36" t="n">
        <f aca="false">IF(Raw_Export!$A1963="","",IFERROR(VALUE(TRIM(Raw_Export!E1963)),0))</f>
        <v>4</v>
      </c>
      <c r="G1963" s="38" t="n">
        <f aca="false">IF(Raw_Export!$A1963="","",IFERROR(VALUE(SUBSTITUTE(SUBSTITUTE(UPPER(TRIM(Raw_Export!F1963)),"KES",""),",","")),0))</f>
        <v>330</v>
      </c>
      <c r="H1963" s="38" t="n">
        <f aca="false">IF(Raw_Export!$A1963="","",F1963*G1963)</f>
        <v>1320</v>
      </c>
      <c r="I1963" s="36" t="str">
        <f aca="false">IF(Raw_Export!$A1963="","",IFERROR(VLOOKUP(LOWER(TRIM(Raw_Export!H1963)),Maps!$D$2:$E$12,2,FALSE()),"Other"))</f>
        <v>M-Pesa</v>
      </c>
      <c r="J1963" s="36" t="str">
        <f aca="false">IF(Raw_Export!$A1963="","",IF(COUNTIF($A$2:A1963,A1963)&gt;1,"Duplicate",""))</f>
        <v/>
      </c>
      <c r="K1963" s="36" t="str">
        <f aca="false">IF(Raw_Export!$A1963="","",IF(J1963="Duplicate","Duplicate",IF(OR(C1963="UNMAPPED",D1963="UNMAPPED"),"Unmapped",IF(F1963=0,"Blank qty",IF(F1963&lt;0,"Return","OK")))))</f>
        <v>OK</v>
      </c>
      <c r="L1963" s="36" t="n">
        <f aca="false">IF(Raw_Export!$A1963="","",IF(OR(K1963="OK",K1963="Return"),1,0))</f>
        <v>1</v>
      </c>
      <c r="M1963" s="37" t="n">
        <f aca="false">IF(Raw_Export!$A1963="","",B1963-WEEKDAY(B1963,2)+1)</f>
        <v>46272</v>
      </c>
    </row>
    <row r="1964" customFormat="false" ht="15" hidden="false" customHeight="false" outlineLevel="0" collapsed="false">
      <c r="A1964" s="36" t="str">
        <f aca="false">IF(Raw_Export!$A1964="","",TRIM(Raw_Export!A1964))</f>
        <v>TXN-101924</v>
      </c>
      <c r="B1964" s="37" t="n">
        <f aca="false">IF(Raw_Export!$A1964="","",IF(ISNUMBER(Raw_Export!B1964),Raw_Export!B1964,IF(MID(TRIM(Raw_Export!B1964),5,1)="-",DATE(LEFT(TRIM(Raw_Export!B1964),4),MID(TRIM(Raw_Export!B1964),6,2),RIGHT(TRIM(Raw_Export!B1964),2)),DATE(RIGHT(TRIM(Raw_Export!B1964),4),MATCH(MID(TRIM(Raw_Export!B1964),4,3),{"Jan","Feb","Mar","Apr","May","Jun","Jul","Aug","Sep","Oct","Nov","Dec"},0),LEFT(TRIM(Raw_Export!B1964),2)))))</f>
        <v>46277</v>
      </c>
      <c r="C1964" s="36" t="str">
        <f aca="false">IF(Raw_Export!$A1964="","",IFERROR(VLOOKUP(LOWER(TRIM(Raw_Export!C1964)),Maps!$A$2:$B$20,2,FALSE()),"UNMAPPED"))</f>
        <v>Kisumu</v>
      </c>
      <c r="D1964" s="36" t="str">
        <f aca="false">IF(Raw_Export!$A1964="","",IFERROR(VLOOKUP(LOWER(TRIM(Raw_Export!D1964)),Maps!$G$2:$I$80,2,FALSE()),"UNMAPPED"))</f>
        <v>Salt 500g</v>
      </c>
      <c r="E1964" s="36" t="str">
        <f aca="false">IF(Raw_Export!$A1964="","",IFERROR(VLOOKUP(LOWER(TRIM(Raw_Export!D1964)),Maps!$G$2:$I$80,3,FALSE()),"UNMAPPED"))</f>
        <v>Staples</v>
      </c>
      <c r="F1964" s="36" t="n">
        <f aca="false">IF(Raw_Export!$A1964="","",IFERROR(VALUE(TRIM(Raw_Export!E1964)),0))</f>
        <v>3</v>
      </c>
      <c r="G1964" s="38" t="n">
        <f aca="false">IF(Raw_Export!$A1964="","",IFERROR(VALUE(SUBSTITUTE(SUBSTITUTE(UPPER(TRIM(Raw_Export!F1964)),"KES",""),",","")),0))</f>
        <v>40</v>
      </c>
      <c r="H1964" s="38" t="n">
        <f aca="false">IF(Raw_Export!$A1964="","",F1964*G1964)</f>
        <v>120</v>
      </c>
      <c r="I1964" s="36" t="str">
        <f aca="false">IF(Raw_Export!$A1964="","",IFERROR(VLOOKUP(LOWER(TRIM(Raw_Export!H1964)),Maps!$D$2:$E$12,2,FALSE()),"Other"))</f>
        <v>Cash</v>
      </c>
      <c r="J1964" s="36" t="str">
        <f aca="false">IF(Raw_Export!$A1964="","",IF(COUNTIF($A$2:A1964,A1964)&gt;1,"Duplicate",""))</f>
        <v/>
      </c>
      <c r="K1964" s="36" t="str">
        <f aca="false">IF(Raw_Export!$A1964="","",IF(J1964="Duplicate","Duplicate",IF(OR(C1964="UNMAPPED",D1964="UNMAPPED"),"Unmapped",IF(F1964=0,"Blank qty",IF(F1964&lt;0,"Return","OK")))))</f>
        <v>OK</v>
      </c>
      <c r="L1964" s="36" t="n">
        <f aca="false">IF(Raw_Export!$A1964="","",IF(OR(K1964="OK",K1964="Return"),1,0))</f>
        <v>1</v>
      </c>
      <c r="M1964" s="37" t="n">
        <f aca="false">IF(Raw_Export!$A1964="","",B1964-WEEKDAY(B1964,2)+1)</f>
        <v>46272</v>
      </c>
    </row>
    <row r="1965" customFormat="false" ht="15" hidden="false" customHeight="false" outlineLevel="0" collapsed="false">
      <c r="A1965" s="36" t="str">
        <f aca="false">IF(Raw_Export!$A1965="","",TRIM(Raw_Export!A1965))</f>
        <v>TXN-101925</v>
      </c>
      <c r="B1965" s="37" t="n">
        <f aca="false">IF(Raw_Export!$A1965="","",IF(ISNUMBER(Raw_Export!B1965),Raw_Export!B1965,IF(MID(TRIM(Raw_Export!B1965),5,1)="-",DATE(LEFT(TRIM(Raw_Export!B1965),4),MID(TRIM(Raw_Export!B1965),6,2),RIGHT(TRIM(Raw_Export!B1965),2)),DATE(RIGHT(TRIM(Raw_Export!B1965),4),MATCH(MID(TRIM(Raw_Export!B1965),4,3),{"Jan","Feb","Mar","Apr","May","Jun","Jul","Aug","Sep","Oct","Nov","Dec"},0),LEFT(TRIM(Raw_Export!B1965),2)))))</f>
        <v>46277</v>
      </c>
      <c r="C1965" s="36" t="str">
        <f aca="false">IF(Raw_Export!$A1965="","",IFERROR(VLOOKUP(LOWER(TRIM(Raw_Export!C1965)),Maps!$A$2:$B$20,2,FALSE()),"UNMAPPED"))</f>
        <v>Kisumu</v>
      </c>
      <c r="D1965" s="36" t="str">
        <f aca="false">IF(Raw_Export!$A1965="","",IFERROR(VLOOKUP(LOWER(TRIM(Raw_Export!D1965)),Maps!$G$2:$I$80,2,FALSE()),"UNMAPPED"))</f>
        <v>Bath Soap 175g</v>
      </c>
      <c r="E1965" s="36" t="str">
        <f aca="false">IF(Raw_Export!$A1965="","",IFERROR(VLOOKUP(LOWER(TRIM(Raw_Export!D1965)),Maps!$G$2:$I$80,3,FALSE()),"UNMAPPED"))</f>
        <v>Personal Care</v>
      </c>
      <c r="F1965" s="36" t="n">
        <f aca="false">IF(Raw_Export!$A1965="","",IFERROR(VALUE(TRIM(Raw_Export!E1965)),0))</f>
        <v>6</v>
      </c>
      <c r="G1965" s="38" t="n">
        <f aca="false">IF(Raw_Export!$A1965="","",IFERROR(VALUE(SUBSTITUTE(SUBSTITUTE(UPPER(TRIM(Raw_Export!F1965)),"KES",""),",","")),0))</f>
        <v>85</v>
      </c>
      <c r="H1965" s="38" t="n">
        <f aca="false">IF(Raw_Export!$A1965="","",F1965*G1965)</f>
        <v>510</v>
      </c>
      <c r="I1965" s="36" t="str">
        <f aca="false">IF(Raw_Export!$A1965="","",IFERROR(VLOOKUP(LOWER(TRIM(Raw_Export!H1965)),Maps!$D$2:$E$12,2,FALSE()),"Other"))</f>
        <v>Card</v>
      </c>
      <c r="J1965" s="36" t="str">
        <f aca="false">IF(Raw_Export!$A1965="","",IF(COUNTIF($A$2:A1965,A1965)&gt;1,"Duplicate",""))</f>
        <v/>
      </c>
      <c r="K1965" s="36" t="str">
        <f aca="false">IF(Raw_Export!$A1965="","",IF(J1965="Duplicate","Duplicate",IF(OR(C1965="UNMAPPED",D1965="UNMAPPED"),"Unmapped",IF(F1965=0,"Blank qty",IF(F1965&lt;0,"Return","OK")))))</f>
        <v>OK</v>
      </c>
      <c r="L1965" s="36" t="n">
        <f aca="false">IF(Raw_Export!$A1965="","",IF(OR(K1965="OK",K1965="Return"),1,0))</f>
        <v>1</v>
      </c>
      <c r="M1965" s="37" t="n">
        <f aca="false">IF(Raw_Export!$A1965="","",B1965-WEEKDAY(B1965,2)+1)</f>
        <v>46272</v>
      </c>
    </row>
    <row r="1966" customFormat="false" ht="15" hidden="false" customHeight="false" outlineLevel="0" collapsed="false">
      <c r="A1966" s="36" t="str">
        <f aca="false">IF(Raw_Export!$A1966="","",TRIM(Raw_Export!A1966))</f>
        <v>TXN-101926</v>
      </c>
      <c r="B1966" s="37" t="n">
        <f aca="false">IF(Raw_Export!$A1966="","",IF(ISNUMBER(Raw_Export!B1966),Raw_Export!B1966,IF(MID(TRIM(Raw_Export!B1966),5,1)="-",DATE(LEFT(TRIM(Raw_Export!B1966),4),MID(TRIM(Raw_Export!B1966),6,2),RIGHT(TRIM(Raw_Export!B1966),2)),DATE(RIGHT(TRIM(Raw_Export!B1966),4),MATCH(MID(TRIM(Raw_Export!B1966),4,3),{"Jan","Feb","Mar","Apr","May","Jun","Jul","Aug","Sep","Oct","Nov","Dec"},0),LEFT(TRIM(Raw_Export!B1966),2)))))</f>
        <v>46277</v>
      </c>
      <c r="C1966" s="36" t="str">
        <f aca="false">IF(Raw_Export!$A1966="","",IFERROR(VLOOKUP(LOWER(TRIM(Raw_Export!C1966)),Maps!$A$2:$B$20,2,FALSE()),"UNMAPPED"))</f>
        <v>Kisumu</v>
      </c>
      <c r="D1966" s="36" t="str">
        <f aca="false">IF(Raw_Export!$A1966="","",IFERROR(VLOOKUP(LOWER(TRIM(Raw_Export!D1966)),Maps!$G$2:$I$80,2,FALSE()),"UNMAPPED"))</f>
        <v>Tea Leaves 250g</v>
      </c>
      <c r="E1966" s="36" t="str">
        <f aca="false">IF(Raw_Export!$A1966="","",IFERROR(VLOOKUP(LOWER(TRIM(Raw_Export!D1966)),Maps!$G$2:$I$80,3,FALSE()),"UNMAPPED"))</f>
        <v>Beverages</v>
      </c>
      <c r="F1966" s="36" t="n">
        <f aca="false">IF(Raw_Export!$A1966="","",IFERROR(VALUE(TRIM(Raw_Export!E1966)),0))</f>
        <v>4</v>
      </c>
      <c r="G1966" s="38" t="n">
        <f aca="false">IF(Raw_Export!$A1966="","",IFERROR(VALUE(SUBSTITUTE(SUBSTITUTE(UPPER(TRIM(Raw_Export!F1966)),"KES",""),",","")),0))</f>
        <v>150</v>
      </c>
      <c r="H1966" s="38" t="n">
        <f aca="false">IF(Raw_Export!$A1966="","",F1966*G1966)</f>
        <v>600</v>
      </c>
      <c r="I1966" s="36" t="str">
        <f aca="false">IF(Raw_Export!$A1966="","",IFERROR(VLOOKUP(LOWER(TRIM(Raw_Export!H1966)),Maps!$D$2:$E$12,2,FALSE()),"Other"))</f>
        <v>M-Pesa</v>
      </c>
      <c r="J1966" s="36" t="str">
        <f aca="false">IF(Raw_Export!$A1966="","",IF(COUNTIF($A$2:A1966,A1966)&gt;1,"Duplicate",""))</f>
        <v/>
      </c>
      <c r="K1966" s="36" t="str">
        <f aca="false">IF(Raw_Export!$A1966="","",IF(J1966="Duplicate","Duplicate",IF(OR(C1966="UNMAPPED",D1966="UNMAPPED"),"Unmapped",IF(F1966=0,"Blank qty",IF(F1966&lt;0,"Return","OK")))))</f>
        <v>OK</v>
      </c>
      <c r="L1966" s="36" t="n">
        <f aca="false">IF(Raw_Export!$A1966="","",IF(OR(K1966="OK",K1966="Return"),1,0))</f>
        <v>1</v>
      </c>
      <c r="M1966" s="37" t="n">
        <f aca="false">IF(Raw_Export!$A1966="","",B1966-WEEKDAY(B1966,2)+1)</f>
        <v>46272</v>
      </c>
    </row>
    <row r="1967" customFormat="false" ht="15" hidden="false" customHeight="false" outlineLevel="0" collapsed="false">
      <c r="A1967" s="36" t="str">
        <f aca="false">IF(Raw_Export!$A1967="","",TRIM(Raw_Export!A1967))</f>
        <v>TXN-101927</v>
      </c>
      <c r="B1967" s="37" t="n">
        <f aca="false">IF(Raw_Export!$A1967="","",IF(ISNUMBER(Raw_Export!B1967),Raw_Export!B1967,IF(MID(TRIM(Raw_Export!B1967),5,1)="-",DATE(LEFT(TRIM(Raw_Export!B1967),4),MID(TRIM(Raw_Export!B1967),6,2),RIGHT(TRIM(Raw_Export!B1967),2)),DATE(RIGHT(TRIM(Raw_Export!B1967),4),MATCH(MID(TRIM(Raw_Export!B1967),4,3),{"Jan","Feb","Mar","Apr","May","Jun","Jul","Aug","Sep","Oct","Nov","Dec"},0),LEFT(TRIM(Raw_Export!B1967),2)))))</f>
        <v>46277</v>
      </c>
      <c r="C1967" s="36" t="str">
        <f aca="false">IF(Raw_Export!$A1967="","",IFERROR(VLOOKUP(LOWER(TRIM(Raw_Export!C1967)),Maps!$A$2:$B$20,2,FALSE()),"UNMAPPED"))</f>
        <v>Kisumu</v>
      </c>
      <c r="D1967" s="36" t="str">
        <f aca="false">IF(Raw_Export!$A1967="","",IFERROR(VLOOKUP(LOWER(TRIM(Raw_Export!D1967)),Maps!$G$2:$I$80,2,FALSE()),"UNMAPPED"))</f>
        <v>Cooking Oil 1L</v>
      </c>
      <c r="E1967" s="36" t="str">
        <f aca="false">IF(Raw_Export!$A1967="","",IFERROR(VLOOKUP(LOWER(TRIM(Raw_Export!D1967)),Maps!$G$2:$I$80,3,FALSE()),"UNMAPPED"))</f>
        <v>Staples</v>
      </c>
      <c r="F1967" s="36" t="n">
        <f aca="false">IF(Raw_Export!$A1967="","",IFERROR(VALUE(TRIM(Raw_Export!E1967)),0))</f>
        <v>2</v>
      </c>
      <c r="G1967" s="38" t="n">
        <f aca="false">IF(Raw_Export!$A1967="","",IFERROR(VALUE(SUBSTITUTE(SUBSTITUTE(UPPER(TRIM(Raw_Export!F1967)),"KES",""),",","")),0))</f>
        <v>330</v>
      </c>
      <c r="H1967" s="38" t="n">
        <f aca="false">IF(Raw_Export!$A1967="","",F1967*G1967)</f>
        <v>660</v>
      </c>
      <c r="I1967" s="36" t="str">
        <f aca="false">IF(Raw_Export!$A1967="","",IFERROR(VLOOKUP(LOWER(TRIM(Raw_Export!H1967)),Maps!$D$2:$E$12,2,FALSE()),"Other"))</f>
        <v>Cash</v>
      </c>
      <c r="J1967" s="36" t="str">
        <f aca="false">IF(Raw_Export!$A1967="","",IF(COUNTIF($A$2:A1967,A1967)&gt;1,"Duplicate",""))</f>
        <v/>
      </c>
      <c r="K1967" s="36" t="str">
        <f aca="false">IF(Raw_Export!$A1967="","",IF(J1967="Duplicate","Duplicate",IF(OR(C1967="UNMAPPED",D1967="UNMAPPED"),"Unmapped",IF(F1967=0,"Blank qty",IF(F1967&lt;0,"Return","OK")))))</f>
        <v>OK</v>
      </c>
      <c r="L1967" s="36" t="n">
        <f aca="false">IF(Raw_Export!$A1967="","",IF(OR(K1967="OK",K1967="Return"),1,0))</f>
        <v>1</v>
      </c>
      <c r="M1967" s="37" t="n">
        <f aca="false">IF(Raw_Export!$A1967="","",B1967-WEEKDAY(B1967,2)+1)</f>
        <v>46272</v>
      </c>
    </row>
    <row r="1968" customFormat="false" ht="15" hidden="false" customHeight="false" outlineLevel="0" collapsed="false">
      <c r="A1968" s="36" t="str">
        <f aca="false">IF(Raw_Export!$A1968="","",TRIM(Raw_Export!A1968))</f>
        <v>TXN-101928</v>
      </c>
      <c r="B1968" s="37" t="n">
        <f aca="false">IF(Raw_Export!$A1968="","",IF(ISNUMBER(Raw_Export!B1968),Raw_Export!B1968,IF(MID(TRIM(Raw_Export!B1968),5,1)="-",DATE(LEFT(TRIM(Raw_Export!B1968),4),MID(TRIM(Raw_Export!B1968),6,2),RIGHT(TRIM(Raw_Export!B1968),2)),DATE(RIGHT(TRIM(Raw_Export!B1968),4),MATCH(MID(TRIM(Raw_Export!B1968),4,3),{"Jan","Feb","Mar","Apr","May","Jun","Jul","Aug","Sep","Oct","Nov","Dec"},0),LEFT(TRIM(Raw_Export!B1968),2)))))</f>
        <v>46277</v>
      </c>
      <c r="C1968" s="36" t="str">
        <f aca="false">IF(Raw_Export!$A1968="","",IFERROR(VLOOKUP(LOWER(TRIM(Raw_Export!C1968)),Maps!$A$2:$B$20,2,FALSE()),"UNMAPPED"))</f>
        <v>Kisumu</v>
      </c>
      <c r="D1968" s="36" t="str">
        <f aca="false">IF(Raw_Export!$A1968="","",IFERROR(VLOOKUP(LOWER(TRIM(Raw_Export!D1968)),Maps!$G$2:$I$80,2,FALSE()),"UNMAPPED"))</f>
        <v>Yoghurt 500ml</v>
      </c>
      <c r="E1968" s="36" t="str">
        <f aca="false">IF(Raw_Export!$A1968="","",IFERROR(VLOOKUP(LOWER(TRIM(Raw_Export!D1968)),Maps!$G$2:$I$80,3,FALSE()),"UNMAPPED"))</f>
        <v>Dairy &amp; Eggs</v>
      </c>
      <c r="F1968" s="36" t="n">
        <f aca="false">IF(Raw_Export!$A1968="","",IFERROR(VALUE(TRIM(Raw_Export!E1968)),0))</f>
        <v>2</v>
      </c>
      <c r="G1968" s="38" t="n">
        <f aca="false">IF(Raw_Export!$A1968="","",IFERROR(VALUE(SUBSTITUTE(SUBSTITUTE(UPPER(TRIM(Raw_Export!F1968)),"KES",""),",","")),0))</f>
        <v>120</v>
      </c>
      <c r="H1968" s="38" t="n">
        <f aca="false">IF(Raw_Export!$A1968="","",F1968*G1968)</f>
        <v>240</v>
      </c>
      <c r="I1968" s="36" t="str">
        <f aca="false">IF(Raw_Export!$A1968="","",IFERROR(VLOOKUP(LOWER(TRIM(Raw_Export!H1968)),Maps!$D$2:$E$12,2,FALSE()),"Other"))</f>
        <v>M-Pesa</v>
      </c>
      <c r="J1968" s="36" t="str">
        <f aca="false">IF(Raw_Export!$A1968="","",IF(COUNTIF($A$2:A1968,A1968)&gt;1,"Duplicate",""))</f>
        <v/>
      </c>
      <c r="K1968" s="36" t="str">
        <f aca="false">IF(Raw_Export!$A1968="","",IF(J1968="Duplicate","Duplicate",IF(OR(C1968="UNMAPPED",D1968="UNMAPPED"),"Unmapped",IF(F1968=0,"Blank qty",IF(F1968&lt;0,"Return","OK")))))</f>
        <v>OK</v>
      </c>
      <c r="L1968" s="36" t="n">
        <f aca="false">IF(Raw_Export!$A1968="","",IF(OR(K1968="OK",K1968="Return"),1,0))</f>
        <v>1</v>
      </c>
      <c r="M1968" s="37" t="n">
        <f aca="false">IF(Raw_Export!$A1968="","",B1968-WEEKDAY(B1968,2)+1)</f>
        <v>46272</v>
      </c>
    </row>
    <row r="1969" customFormat="false" ht="15" hidden="false" customHeight="false" outlineLevel="0" collapsed="false">
      <c r="A1969" s="36" t="str">
        <f aca="false">IF(Raw_Export!$A1969="","",TRIM(Raw_Export!A1969))</f>
        <v>TXN-101929</v>
      </c>
      <c r="B1969" s="37" t="n">
        <f aca="false">IF(Raw_Export!$A1969="","",IF(ISNUMBER(Raw_Export!B1969),Raw_Export!B1969,IF(MID(TRIM(Raw_Export!B1969),5,1)="-",DATE(LEFT(TRIM(Raw_Export!B1969),4),MID(TRIM(Raw_Export!B1969),6,2),RIGHT(TRIM(Raw_Export!B1969),2)),DATE(RIGHT(TRIM(Raw_Export!B1969),4),MATCH(MID(TRIM(Raw_Export!B1969),4,3),{"Jan","Feb","Mar","Apr","May","Jun","Jul","Aug","Sep","Oct","Nov","Dec"},0),LEFT(TRIM(Raw_Export!B1969),2)))))</f>
        <v>46277</v>
      </c>
      <c r="C1969" s="36" t="str">
        <f aca="false">IF(Raw_Export!$A1969="","",IFERROR(VLOOKUP(LOWER(TRIM(Raw_Export!C1969)),Maps!$A$2:$B$20,2,FALSE()),"UNMAPPED"))</f>
        <v>Kisumu</v>
      </c>
      <c r="D1969" s="36" t="str">
        <f aca="false">IF(Raw_Export!$A1969="","",IFERROR(VLOOKUP(LOWER(TRIM(Raw_Export!D1969)),Maps!$G$2:$I$80,2,FALSE()),"UNMAPPED"))</f>
        <v>Bath Soap 175g</v>
      </c>
      <c r="E1969" s="36" t="str">
        <f aca="false">IF(Raw_Export!$A1969="","",IFERROR(VLOOKUP(LOWER(TRIM(Raw_Export!D1969)),Maps!$G$2:$I$80,3,FALSE()),"UNMAPPED"))</f>
        <v>Personal Care</v>
      </c>
      <c r="F1969" s="36" t="n">
        <f aca="false">IF(Raw_Export!$A1969="","",IFERROR(VALUE(TRIM(Raw_Export!E1969)),0))</f>
        <v>1</v>
      </c>
      <c r="G1969" s="38" t="n">
        <f aca="false">IF(Raw_Export!$A1969="","",IFERROR(VALUE(SUBSTITUTE(SUBSTITUTE(UPPER(TRIM(Raw_Export!F1969)),"KES",""),",","")),0))</f>
        <v>85</v>
      </c>
      <c r="H1969" s="38" t="n">
        <f aca="false">IF(Raw_Export!$A1969="","",F1969*G1969)</f>
        <v>85</v>
      </c>
      <c r="I1969" s="36" t="str">
        <f aca="false">IF(Raw_Export!$A1969="","",IFERROR(VLOOKUP(LOWER(TRIM(Raw_Export!H1969)),Maps!$D$2:$E$12,2,FALSE()),"Other"))</f>
        <v>M-Pesa</v>
      </c>
      <c r="J1969" s="36" t="str">
        <f aca="false">IF(Raw_Export!$A1969="","",IF(COUNTIF($A$2:A1969,A1969)&gt;1,"Duplicate",""))</f>
        <v/>
      </c>
      <c r="K1969" s="36" t="str">
        <f aca="false">IF(Raw_Export!$A1969="","",IF(J1969="Duplicate","Duplicate",IF(OR(C1969="UNMAPPED",D1969="UNMAPPED"),"Unmapped",IF(F1969=0,"Blank qty",IF(F1969&lt;0,"Return","OK")))))</f>
        <v>OK</v>
      </c>
      <c r="L1969" s="36" t="n">
        <f aca="false">IF(Raw_Export!$A1969="","",IF(OR(K1969="OK",K1969="Return"),1,0))</f>
        <v>1</v>
      </c>
      <c r="M1969" s="37" t="n">
        <f aca="false">IF(Raw_Export!$A1969="","",B1969-WEEKDAY(B1969,2)+1)</f>
        <v>46272</v>
      </c>
    </row>
    <row r="1970" customFormat="false" ht="15" hidden="false" customHeight="false" outlineLevel="0" collapsed="false">
      <c r="A1970" s="36" t="str">
        <f aca="false">IF(Raw_Export!$A1970="","",TRIM(Raw_Export!A1970))</f>
        <v>TXN-101930</v>
      </c>
      <c r="B1970" s="37" t="n">
        <f aca="false">IF(Raw_Export!$A1970="","",IF(ISNUMBER(Raw_Export!B1970),Raw_Export!B1970,IF(MID(TRIM(Raw_Export!B1970),5,1)="-",DATE(LEFT(TRIM(Raw_Export!B1970),4),MID(TRIM(Raw_Export!B1970),6,2),RIGHT(TRIM(Raw_Export!B1970),2)),DATE(RIGHT(TRIM(Raw_Export!B1970),4),MATCH(MID(TRIM(Raw_Export!B1970),4,3),{"Jan","Feb","Mar","Apr","May","Jun","Jul","Aug","Sep","Oct","Nov","Dec"},0),LEFT(TRIM(Raw_Export!B1970),2)))))</f>
        <v>46277</v>
      </c>
      <c r="C1970" s="36" t="str">
        <f aca="false">IF(Raw_Export!$A1970="","",IFERROR(VLOOKUP(LOWER(TRIM(Raw_Export!C1970)),Maps!$A$2:$B$20,2,FALSE()),"UNMAPPED"))</f>
        <v>Kisumu</v>
      </c>
      <c r="D1970" s="36" t="str">
        <f aca="false">IF(Raw_Export!$A1970="","",IFERROR(VLOOKUP(LOWER(TRIM(Raw_Export!D1970)),Maps!$G$2:$I$80,2,FALSE()),"UNMAPPED"))</f>
        <v>Cooking Oil 1L</v>
      </c>
      <c r="E1970" s="36" t="str">
        <f aca="false">IF(Raw_Export!$A1970="","",IFERROR(VLOOKUP(LOWER(TRIM(Raw_Export!D1970)),Maps!$G$2:$I$80,3,FALSE()),"UNMAPPED"))</f>
        <v>Staples</v>
      </c>
      <c r="F1970" s="36" t="n">
        <f aca="false">IF(Raw_Export!$A1970="","",IFERROR(VALUE(TRIM(Raw_Export!E1970)),0))</f>
        <v>6</v>
      </c>
      <c r="G1970" s="38" t="n">
        <f aca="false">IF(Raw_Export!$A1970="","",IFERROR(VALUE(SUBSTITUTE(SUBSTITUTE(UPPER(TRIM(Raw_Export!F1970)),"KES",""),",","")),0))</f>
        <v>297</v>
      </c>
      <c r="H1970" s="38" t="n">
        <f aca="false">IF(Raw_Export!$A1970="","",F1970*G1970)</f>
        <v>1782</v>
      </c>
      <c r="I1970" s="36" t="str">
        <f aca="false">IF(Raw_Export!$A1970="","",IFERROR(VLOOKUP(LOWER(TRIM(Raw_Export!H1970)),Maps!$D$2:$E$12,2,FALSE()),"Other"))</f>
        <v>M-Pesa</v>
      </c>
      <c r="J1970" s="36" t="str">
        <f aca="false">IF(Raw_Export!$A1970="","",IF(COUNTIF($A$2:A1970,A1970)&gt;1,"Duplicate",""))</f>
        <v/>
      </c>
      <c r="K1970" s="36" t="str">
        <f aca="false">IF(Raw_Export!$A1970="","",IF(J1970="Duplicate","Duplicate",IF(OR(C1970="UNMAPPED",D1970="UNMAPPED"),"Unmapped",IF(F1970=0,"Blank qty",IF(F1970&lt;0,"Return","OK")))))</f>
        <v>OK</v>
      </c>
      <c r="L1970" s="36" t="n">
        <f aca="false">IF(Raw_Export!$A1970="","",IF(OR(K1970="OK",K1970="Return"),1,0))</f>
        <v>1</v>
      </c>
      <c r="M1970" s="37" t="n">
        <f aca="false">IF(Raw_Export!$A1970="","",B1970-WEEKDAY(B1970,2)+1)</f>
        <v>46272</v>
      </c>
    </row>
    <row r="1971" customFormat="false" ht="15" hidden="false" customHeight="false" outlineLevel="0" collapsed="false">
      <c r="A1971" s="36" t="str">
        <f aca="false">IF(Raw_Export!$A1971="","",TRIM(Raw_Export!A1971))</f>
        <v>TXN-101931</v>
      </c>
      <c r="B1971" s="37" t="n">
        <f aca="false">IF(Raw_Export!$A1971="","",IF(ISNUMBER(Raw_Export!B1971),Raw_Export!B1971,IF(MID(TRIM(Raw_Export!B1971),5,1)="-",DATE(LEFT(TRIM(Raw_Export!B1971),4),MID(TRIM(Raw_Export!B1971),6,2),RIGHT(TRIM(Raw_Export!B1971),2)),DATE(RIGHT(TRIM(Raw_Export!B1971),4),MATCH(MID(TRIM(Raw_Export!B1971),4,3),{"Jan","Feb","Mar","Apr","May","Jun","Jul","Aug","Sep","Oct","Nov","Dec"},0),LEFT(TRIM(Raw_Export!B1971),2)))))</f>
        <v>46277</v>
      </c>
      <c r="C1971" s="36" t="str">
        <f aca="false">IF(Raw_Export!$A1971="","",IFERROR(VLOOKUP(LOWER(TRIM(Raw_Export!C1971)),Maps!$A$2:$B$20,2,FALSE()),"UNMAPPED"))</f>
        <v>Kisumu</v>
      </c>
      <c r="D1971" s="36" t="str">
        <f aca="false">IF(Raw_Export!$A1971="","",IFERROR(VLOOKUP(LOWER(TRIM(Raw_Export!D1971)),Maps!$G$2:$I$80,2,FALSE()),"UNMAPPED"))</f>
        <v>Cooking Oil 1L</v>
      </c>
      <c r="E1971" s="36" t="str">
        <f aca="false">IF(Raw_Export!$A1971="","",IFERROR(VLOOKUP(LOWER(TRIM(Raw_Export!D1971)),Maps!$G$2:$I$80,3,FALSE()),"UNMAPPED"))</f>
        <v>Staples</v>
      </c>
      <c r="F1971" s="36" t="n">
        <f aca="false">IF(Raw_Export!$A1971="","",IFERROR(VALUE(TRIM(Raw_Export!E1971)),0))</f>
        <v>1</v>
      </c>
      <c r="G1971" s="38" t="n">
        <f aca="false">IF(Raw_Export!$A1971="","",IFERROR(VALUE(SUBSTITUTE(SUBSTITUTE(UPPER(TRIM(Raw_Export!F1971)),"KES",""),",","")),0))</f>
        <v>330</v>
      </c>
      <c r="H1971" s="38" t="n">
        <f aca="false">IF(Raw_Export!$A1971="","",F1971*G1971)</f>
        <v>330</v>
      </c>
      <c r="I1971" s="36" t="str">
        <f aca="false">IF(Raw_Export!$A1971="","",IFERROR(VLOOKUP(LOWER(TRIM(Raw_Export!H1971)),Maps!$D$2:$E$12,2,FALSE()),"Other"))</f>
        <v>Cash</v>
      </c>
      <c r="J1971" s="36" t="str">
        <f aca="false">IF(Raw_Export!$A1971="","",IF(COUNTIF($A$2:A1971,A1971)&gt;1,"Duplicate",""))</f>
        <v/>
      </c>
      <c r="K1971" s="36" t="str">
        <f aca="false">IF(Raw_Export!$A1971="","",IF(J1971="Duplicate","Duplicate",IF(OR(C1971="UNMAPPED",D1971="UNMAPPED"),"Unmapped",IF(F1971=0,"Blank qty",IF(F1971&lt;0,"Return","OK")))))</f>
        <v>OK</v>
      </c>
      <c r="L1971" s="36" t="n">
        <f aca="false">IF(Raw_Export!$A1971="","",IF(OR(K1971="OK",K1971="Return"),1,0))</f>
        <v>1</v>
      </c>
      <c r="M1971" s="37" t="n">
        <f aca="false">IF(Raw_Export!$A1971="","",B1971-WEEKDAY(B1971,2)+1)</f>
        <v>46272</v>
      </c>
    </row>
    <row r="1972" customFormat="false" ht="15" hidden="false" customHeight="false" outlineLevel="0" collapsed="false">
      <c r="A1972" s="36" t="str">
        <f aca="false">IF(Raw_Export!$A1972="","",TRIM(Raw_Export!A1972))</f>
        <v>TXN-101932</v>
      </c>
      <c r="B1972" s="37" t="n">
        <f aca="false">IF(Raw_Export!$A1972="","",IF(ISNUMBER(Raw_Export!B1972),Raw_Export!B1972,IF(MID(TRIM(Raw_Export!B1972),5,1)="-",DATE(LEFT(TRIM(Raw_Export!B1972),4),MID(TRIM(Raw_Export!B1972),6,2),RIGHT(TRIM(Raw_Export!B1972),2)),DATE(RIGHT(TRIM(Raw_Export!B1972),4),MATCH(MID(TRIM(Raw_Export!B1972),4,3),{"Jan","Feb","Mar","Apr","May","Jun","Jul","Aug","Sep","Oct","Nov","Dec"},0),LEFT(TRIM(Raw_Export!B1972),2)))))</f>
        <v>46277</v>
      </c>
      <c r="C1972" s="36" t="str">
        <f aca="false">IF(Raw_Export!$A1972="","",IFERROR(VLOOKUP(LOWER(TRIM(Raw_Export!C1972)),Maps!$A$2:$B$20,2,FALSE()),"UNMAPPED"))</f>
        <v>Kisumu</v>
      </c>
      <c r="D1972" s="36" t="str">
        <f aca="false">IF(Raw_Export!$A1972="","",IFERROR(VLOOKUP(LOWER(TRIM(Raw_Export!D1972)),Maps!$G$2:$I$80,2,FALSE()),"UNMAPPED"))</f>
        <v>Fresh Milk 500ml</v>
      </c>
      <c r="E1972" s="36" t="str">
        <f aca="false">IF(Raw_Export!$A1972="","",IFERROR(VLOOKUP(LOWER(TRIM(Raw_Export!D1972)),Maps!$G$2:$I$80,3,FALSE()),"UNMAPPED"))</f>
        <v>Dairy &amp; Eggs</v>
      </c>
      <c r="F1972" s="36" t="n">
        <f aca="false">IF(Raw_Export!$A1972="","",IFERROR(VALUE(TRIM(Raw_Export!E1972)),0))</f>
        <v>3</v>
      </c>
      <c r="G1972" s="38" t="n">
        <f aca="false">IF(Raw_Export!$A1972="","",IFERROR(VALUE(SUBSTITUTE(SUBSTITUTE(UPPER(TRIM(Raw_Export!F1972)),"KES",""),",","")),0))</f>
        <v>65</v>
      </c>
      <c r="H1972" s="38" t="n">
        <f aca="false">IF(Raw_Export!$A1972="","",F1972*G1972)</f>
        <v>195</v>
      </c>
      <c r="I1972" s="36" t="str">
        <f aca="false">IF(Raw_Export!$A1972="","",IFERROR(VLOOKUP(LOWER(TRIM(Raw_Export!H1972)),Maps!$D$2:$E$12,2,FALSE()),"Other"))</f>
        <v>M-Pesa</v>
      </c>
      <c r="J1972" s="36" t="str">
        <f aca="false">IF(Raw_Export!$A1972="","",IF(COUNTIF($A$2:A1972,A1972)&gt;1,"Duplicate",""))</f>
        <v/>
      </c>
      <c r="K1972" s="36" t="str">
        <f aca="false">IF(Raw_Export!$A1972="","",IF(J1972="Duplicate","Duplicate",IF(OR(C1972="UNMAPPED",D1972="UNMAPPED"),"Unmapped",IF(F1972=0,"Blank qty",IF(F1972&lt;0,"Return","OK")))))</f>
        <v>OK</v>
      </c>
      <c r="L1972" s="36" t="n">
        <f aca="false">IF(Raw_Export!$A1972="","",IF(OR(K1972="OK",K1972="Return"),1,0))</f>
        <v>1</v>
      </c>
      <c r="M1972" s="37" t="n">
        <f aca="false">IF(Raw_Export!$A1972="","",B1972-WEEKDAY(B1972,2)+1)</f>
        <v>46272</v>
      </c>
    </row>
    <row r="1973" customFormat="false" ht="15" hidden="false" customHeight="false" outlineLevel="0" collapsed="false">
      <c r="A1973" s="36" t="str">
        <f aca="false">IF(Raw_Export!$A1973="","",TRIM(Raw_Export!A1973))</f>
        <v>TXN-101933</v>
      </c>
      <c r="B1973" s="37" t="n">
        <f aca="false">IF(Raw_Export!$A1973="","",IF(ISNUMBER(Raw_Export!B1973),Raw_Export!B1973,IF(MID(TRIM(Raw_Export!B1973),5,1)="-",DATE(LEFT(TRIM(Raw_Export!B1973),4),MID(TRIM(Raw_Export!B1973),6,2),RIGHT(TRIM(Raw_Export!B1973),2)),DATE(RIGHT(TRIM(Raw_Export!B1973),4),MATCH(MID(TRIM(Raw_Export!B1973),4,3),{"Jan","Feb","Mar","Apr","May","Jun","Jul","Aug","Sep","Oct","Nov","Dec"},0),LEFT(TRIM(Raw_Export!B1973),2)))))</f>
        <v>46277</v>
      </c>
      <c r="C1973" s="36" t="str">
        <f aca="false">IF(Raw_Export!$A1973="","",IFERROR(VLOOKUP(LOWER(TRIM(Raw_Export!C1973)),Maps!$A$2:$B$20,2,FALSE()),"UNMAPPED"))</f>
        <v>Kisumu</v>
      </c>
      <c r="D1973" s="36" t="str">
        <f aca="false">IF(Raw_Export!$A1973="","",IFERROR(VLOOKUP(LOWER(TRIM(Raw_Export!D1973)),Maps!$G$2:$I$80,2,FALSE()),"UNMAPPED"))</f>
        <v>Matches 10pk</v>
      </c>
      <c r="E1973" s="36" t="str">
        <f aca="false">IF(Raw_Export!$A1973="","",IFERROR(VLOOKUP(LOWER(TRIM(Raw_Export!D1973)),Maps!$G$2:$I$80,3,FALSE()),"UNMAPPED"))</f>
        <v>Household</v>
      </c>
      <c r="F1973" s="36" t="n">
        <f aca="false">IF(Raw_Export!$A1973="","",IFERROR(VALUE(TRIM(Raw_Export!E1973)),0))</f>
        <v>2</v>
      </c>
      <c r="G1973" s="38" t="n">
        <f aca="false">IF(Raw_Export!$A1973="","",IFERROR(VALUE(SUBSTITUTE(SUBSTITUTE(UPPER(TRIM(Raw_Export!F1973)),"KES",""),",","")),0))</f>
        <v>50</v>
      </c>
      <c r="H1973" s="38" t="n">
        <f aca="false">IF(Raw_Export!$A1973="","",F1973*G1973)</f>
        <v>100</v>
      </c>
      <c r="I1973" s="36" t="str">
        <f aca="false">IF(Raw_Export!$A1973="","",IFERROR(VLOOKUP(LOWER(TRIM(Raw_Export!H1973)),Maps!$D$2:$E$12,2,FALSE()),"Other"))</f>
        <v>Card</v>
      </c>
      <c r="J1973" s="36" t="str">
        <f aca="false">IF(Raw_Export!$A1973="","",IF(COUNTIF($A$2:A1973,A1973)&gt;1,"Duplicate",""))</f>
        <v/>
      </c>
      <c r="K1973" s="36" t="str">
        <f aca="false">IF(Raw_Export!$A1973="","",IF(J1973="Duplicate","Duplicate",IF(OR(C1973="UNMAPPED",D1973="UNMAPPED"),"Unmapped",IF(F1973=0,"Blank qty",IF(F1973&lt;0,"Return","OK")))))</f>
        <v>OK</v>
      </c>
      <c r="L1973" s="36" t="n">
        <f aca="false">IF(Raw_Export!$A1973="","",IF(OR(K1973="OK",K1973="Return"),1,0))</f>
        <v>1</v>
      </c>
      <c r="M1973" s="37" t="n">
        <f aca="false">IF(Raw_Export!$A1973="","",B1973-WEEKDAY(B1973,2)+1)</f>
        <v>46272</v>
      </c>
    </row>
    <row r="1974" customFormat="false" ht="15" hidden="false" customHeight="false" outlineLevel="0" collapsed="false">
      <c r="A1974" s="36" t="str">
        <f aca="false">IF(Raw_Export!$A1974="","",TRIM(Raw_Export!A1974))</f>
        <v>TXN-101934</v>
      </c>
      <c r="B1974" s="37" t="n">
        <f aca="false">IF(Raw_Export!$A1974="","",IF(ISNUMBER(Raw_Export!B1974),Raw_Export!B1974,IF(MID(TRIM(Raw_Export!B1974),5,1)="-",DATE(LEFT(TRIM(Raw_Export!B1974),4),MID(TRIM(Raw_Export!B1974),6,2),RIGHT(TRIM(Raw_Export!B1974),2)),DATE(RIGHT(TRIM(Raw_Export!B1974),4),MATCH(MID(TRIM(Raw_Export!B1974),4,3),{"Jan","Feb","Mar","Apr","May","Jun","Jul","Aug","Sep","Oct","Nov","Dec"},0),LEFT(TRIM(Raw_Export!B1974),2)))))</f>
        <v>46277</v>
      </c>
      <c r="C1974" s="36" t="str">
        <f aca="false">IF(Raw_Export!$A1974="","",IFERROR(VLOOKUP(LOWER(TRIM(Raw_Export!C1974)),Maps!$A$2:$B$20,2,FALSE()),"UNMAPPED"))</f>
        <v>Kisumu</v>
      </c>
      <c r="D1974" s="36" t="str">
        <f aca="false">IF(Raw_Export!$A1974="","",IFERROR(VLOOKUP(LOWER(TRIM(Raw_Export!D1974)),Maps!$G$2:$I$80,2,FALSE()),"UNMAPPED"))</f>
        <v>Bleach 1L</v>
      </c>
      <c r="E1974" s="36" t="str">
        <f aca="false">IF(Raw_Export!$A1974="","",IFERROR(VLOOKUP(LOWER(TRIM(Raw_Export!D1974)),Maps!$G$2:$I$80,3,FALSE()),"UNMAPPED"))</f>
        <v>Household</v>
      </c>
      <c r="F1974" s="36" t="n">
        <f aca="false">IF(Raw_Export!$A1974="","",IFERROR(VALUE(TRIM(Raw_Export!E1974)),0))</f>
        <v>6</v>
      </c>
      <c r="G1974" s="38" t="n">
        <f aca="false">IF(Raw_Export!$A1974="","",IFERROR(VALUE(SUBSTITUTE(SUBSTITUTE(UPPER(TRIM(Raw_Export!F1974)),"KES",""),",","")),0))</f>
        <v>160</v>
      </c>
      <c r="H1974" s="38" t="n">
        <f aca="false">IF(Raw_Export!$A1974="","",F1974*G1974)</f>
        <v>960</v>
      </c>
      <c r="I1974" s="36" t="str">
        <f aca="false">IF(Raw_Export!$A1974="","",IFERROR(VLOOKUP(LOWER(TRIM(Raw_Export!H1974)),Maps!$D$2:$E$12,2,FALSE()),"Other"))</f>
        <v>M-Pesa</v>
      </c>
      <c r="J1974" s="36" t="str">
        <f aca="false">IF(Raw_Export!$A1974="","",IF(COUNTIF($A$2:A1974,A1974)&gt;1,"Duplicate",""))</f>
        <v/>
      </c>
      <c r="K1974" s="36" t="str">
        <f aca="false">IF(Raw_Export!$A1974="","",IF(J1974="Duplicate","Duplicate",IF(OR(C1974="UNMAPPED",D1974="UNMAPPED"),"Unmapped",IF(F1974=0,"Blank qty",IF(F1974&lt;0,"Return","OK")))))</f>
        <v>OK</v>
      </c>
      <c r="L1974" s="36" t="n">
        <f aca="false">IF(Raw_Export!$A1974="","",IF(OR(K1974="OK",K1974="Return"),1,0))</f>
        <v>1</v>
      </c>
      <c r="M1974" s="37" t="n">
        <f aca="false">IF(Raw_Export!$A1974="","",B1974-WEEKDAY(B1974,2)+1)</f>
        <v>46272</v>
      </c>
    </row>
    <row r="1975" customFormat="false" ht="15" hidden="false" customHeight="false" outlineLevel="0" collapsed="false">
      <c r="A1975" s="36" t="str">
        <f aca="false">IF(Raw_Export!$A1975="","",TRIM(Raw_Export!A1975))</f>
        <v>TXN-101935</v>
      </c>
      <c r="B1975" s="37" t="n">
        <f aca="false">IF(Raw_Export!$A1975="","",IF(ISNUMBER(Raw_Export!B1975),Raw_Export!B1975,IF(MID(TRIM(Raw_Export!B1975),5,1)="-",DATE(LEFT(TRIM(Raw_Export!B1975),4),MID(TRIM(Raw_Export!B1975),6,2),RIGHT(TRIM(Raw_Export!B1975),2)),DATE(RIGHT(TRIM(Raw_Export!B1975),4),MATCH(MID(TRIM(Raw_Export!B1975),4,3),{"Jan","Feb","Mar","Apr","May","Jun","Jul","Aug","Sep","Oct","Nov","Dec"},0),LEFT(TRIM(Raw_Export!B1975),2)))))</f>
        <v>46277</v>
      </c>
      <c r="C1975" s="36" t="str">
        <f aca="false">IF(Raw_Export!$A1975="","",IFERROR(VLOOKUP(LOWER(TRIM(Raw_Export!C1975)),Maps!$A$2:$B$20,2,FALSE()),"UNMAPPED"))</f>
        <v>Kisumu</v>
      </c>
      <c r="D1975" s="36" t="str">
        <f aca="false">IF(Raw_Export!$A1975="","",IFERROR(VLOOKUP(LOWER(TRIM(Raw_Export!D1975)),Maps!$G$2:$I$80,2,FALSE()),"UNMAPPED"))</f>
        <v>Yoghurt 500ml</v>
      </c>
      <c r="E1975" s="36" t="str">
        <f aca="false">IF(Raw_Export!$A1975="","",IFERROR(VLOOKUP(LOWER(TRIM(Raw_Export!D1975)),Maps!$G$2:$I$80,3,FALSE()),"UNMAPPED"))</f>
        <v>Dairy &amp; Eggs</v>
      </c>
      <c r="F1975" s="36" t="n">
        <f aca="false">IF(Raw_Export!$A1975="","",IFERROR(VALUE(TRIM(Raw_Export!E1975)),0))</f>
        <v>1</v>
      </c>
      <c r="G1975" s="38" t="n">
        <f aca="false">IF(Raw_Export!$A1975="","",IFERROR(VALUE(SUBSTITUTE(SUBSTITUTE(UPPER(TRIM(Raw_Export!F1975)),"KES",""),",","")),0))</f>
        <v>120</v>
      </c>
      <c r="H1975" s="38" t="n">
        <f aca="false">IF(Raw_Export!$A1975="","",F1975*G1975)</f>
        <v>120</v>
      </c>
      <c r="I1975" s="36" t="str">
        <f aca="false">IF(Raw_Export!$A1975="","",IFERROR(VLOOKUP(LOWER(TRIM(Raw_Export!H1975)),Maps!$D$2:$E$12,2,FALSE()),"Other"))</f>
        <v>M-Pesa</v>
      </c>
      <c r="J1975" s="36" t="str">
        <f aca="false">IF(Raw_Export!$A1975="","",IF(COUNTIF($A$2:A1975,A1975)&gt;1,"Duplicate",""))</f>
        <v/>
      </c>
      <c r="K1975" s="36" t="str">
        <f aca="false">IF(Raw_Export!$A1975="","",IF(J1975="Duplicate","Duplicate",IF(OR(C1975="UNMAPPED",D1975="UNMAPPED"),"Unmapped",IF(F1975=0,"Blank qty",IF(F1975&lt;0,"Return","OK")))))</f>
        <v>OK</v>
      </c>
      <c r="L1975" s="36" t="n">
        <f aca="false">IF(Raw_Export!$A1975="","",IF(OR(K1975="OK",K1975="Return"),1,0))</f>
        <v>1</v>
      </c>
      <c r="M1975" s="37" t="n">
        <f aca="false">IF(Raw_Export!$A1975="","",B1975-WEEKDAY(B1975,2)+1)</f>
        <v>46272</v>
      </c>
    </row>
    <row r="1976" customFormat="false" ht="15" hidden="false" customHeight="false" outlineLevel="0" collapsed="false">
      <c r="A1976" s="36" t="str">
        <f aca="false">IF(Raw_Export!$A1976="","",TRIM(Raw_Export!A1976))</f>
        <v>TXN-101936</v>
      </c>
      <c r="B1976" s="37" t="n">
        <f aca="false">IF(Raw_Export!$A1976="","",IF(ISNUMBER(Raw_Export!B1976),Raw_Export!B1976,IF(MID(TRIM(Raw_Export!B1976),5,1)="-",DATE(LEFT(TRIM(Raw_Export!B1976),4),MID(TRIM(Raw_Export!B1976),6,2),RIGHT(TRIM(Raw_Export!B1976),2)),DATE(RIGHT(TRIM(Raw_Export!B1976),4),MATCH(MID(TRIM(Raw_Export!B1976),4,3),{"Jan","Feb","Mar","Apr","May","Jun","Jul","Aug","Sep","Oct","Nov","Dec"},0),LEFT(TRIM(Raw_Export!B1976),2)))))</f>
        <v>46277</v>
      </c>
      <c r="C1976" s="36" t="str">
        <f aca="false">IF(Raw_Export!$A1976="","",IFERROR(VLOOKUP(LOWER(TRIM(Raw_Export!C1976)),Maps!$A$2:$B$20,2,FALSE()),"UNMAPPED"))</f>
        <v>Kisumu</v>
      </c>
      <c r="D1976" s="36" t="str">
        <f aca="false">IF(Raw_Export!$A1976="","",IFERROR(VLOOKUP(LOWER(TRIM(Raw_Export!D1976)),Maps!$G$2:$I$80,2,FALSE()),"UNMAPPED"))</f>
        <v>Body Lotion 400ml</v>
      </c>
      <c r="E1976" s="36" t="str">
        <f aca="false">IF(Raw_Export!$A1976="","",IFERROR(VLOOKUP(LOWER(TRIM(Raw_Export!D1976)),Maps!$G$2:$I$80,3,FALSE()),"UNMAPPED"))</f>
        <v>Personal Care</v>
      </c>
      <c r="F1976" s="36" t="n">
        <f aca="false">IF(Raw_Export!$A1976="","",IFERROR(VALUE(TRIM(Raw_Export!E1976)),0))</f>
        <v>2</v>
      </c>
      <c r="G1976" s="38" t="n">
        <f aca="false">IF(Raw_Export!$A1976="","",IFERROR(VALUE(SUBSTITUTE(SUBSTITUTE(UPPER(TRIM(Raw_Export!F1976)),"KES",""),",","")),0))</f>
        <v>420</v>
      </c>
      <c r="H1976" s="38" t="n">
        <f aca="false">IF(Raw_Export!$A1976="","",F1976*G1976)</f>
        <v>840</v>
      </c>
      <c r="I1976" s="36" t="str">
        <f aca="false">IF(Raw_Export!$A1976="","",IFERROR(VLOOKUP(LOWER(TRIM(Raw_Export!H1976)),Maps!$D$2:$E$12,2,FALSE()),"Other"))</f>
        <v>Cash</v>
      </c>
      <c r="J1976" s="36" t="str">
        <f aca="false">IF(Raw_Export!$A1976="","",IF(COUNTIF($A$2:A1976,A1976)&gt;1,"Duplicate",""))</f>
        <v/>
      </c>
      <c r="K1976" s="36" t="str">
        <f aca="false">IF(Raw_Export!$A1976="","",IF(J1976="Duplicate","Duplicate",IF(OR(C1976="UNMAPPED",D1976="UNMAPPED"),"Unmapped",IF(F1976=0,"Blank qty",IF(F1976&lt;0,"Return","OK")))))</f>
        <v>OK</v>
      </c>
      <c r="L1976" s="36" t="n">
        <f aca="false">IF(Raw_Export!$A1976="","",IF(OR(K1976="OK",K1976="Return"),1,0))</f>
        <v>1</v>
      </c>
      <c r="M1976" s="37" t="n">
        <f aca="false">IF(Raw_Export!$A1976="","",B1976-WEEKDAY(B1976,2)+1)</f>
        <v>46272</v>
      </c>
    </row>
    <row r="1977" customFormat="false" ht="15" hidden="false" customHeight="false" outlineLevel="0" collapsed="false">
      <c r="A1977" s="36" t="str">
        <f aca="false">IF(Raw_Export!$A1977="","",TRIM(Raw_Export!A1977))</f>
        <v>TXN-101937</v>
      </c>
      <c r="B1977" s="37" t="n">
        <f aca="false">IF(Raw_Export!$A1977="","",IF(ISNUMBER(Raw_Export!B1977),Raw_Export!B1977,IF(MID(TRIM(Raw_Export!B1977),5,1)="-",DATE(LEFT(TRIM(Raw_Export!B1977),4),MID(TRIM(Raw_Export!B1977),6,2),RIGHT(TRIM(Raw_Export!B1977),2)),DATE(RIGHT(TRIM(Raw_Export!B1977),4),MATCH(MID(TRIM(Raw_Export!B1977),4,3),{"Jan","Feb","Mar","Apr","May","Jun","Jul","Aug","Sep","Oct","Nov","Dec"},0),LEFT(TRIM(Raw_Export!B1977),2)))))</f>
        <v>46277</v>
      </c>
      <c r="C1977" s="36" t="str">
        <f aca="false">IF(Raw_Export!$A1977="","",IFERROR(VLOOKUP(LOWER(TRIM(Raw_Export!C1977)),Maps!$A$2:$B$20,2,FALSE()),"UNMAPPED"))</f>
        <v>Kisumu</v>
      </c>
      <c r="D1977" s="36" t="str">
        <f aca="false">IF(Raw_Export!$A1977="","",IFERROR(VLOOKUP(LOWER(TRIM(Raw_Export!D1977)),Maps!$G$2:$I$80,2,FALSE()),"UNMAPPED"))</f>
        <v>Unga Pembe 2kg</v>
      </c>
      <c r="E1977" s="36" t="str">
        <f aca="false">IF(Raw_Export!$A1977="","",IFERROR(VLOOKUP(LOWER(TRIM(Raw_Export!D1977)),Maps!$G$2:$I$80,3,FALSE()),"UNMAPPED"))</f>
        <v>Staples</v>
      </c>
      <c r="F1977" s="36" t="n">
        <f aca="false">IF(Raw_Export!$A1977="","",IFERROR(VALUE(TRIM(Raw_Export!E1977)),0))</f>
        <v>4</v>
      </c>
      <c r="G1977" s="38" t="n">
        <f aca="false">IF(Raw_Export!$A1977="","",IFERROR(VALUE(SUBSTITUTE(SUBSTITUTE(UPPER(TRIM(Raw_Export!F1977)),"KES",""),",","")),0))</f>
        <v>190</v>
      </c>
      <c r="H1977" s="38" t="n">
        <f aca="false">IF(Raw_Export!$A1977="","",F1977*G1977)</f>
        <v>760</v>
      </c>
      <c r="I1977" s="36" t="str">
        <f aca="false">IF(Raw_Export!$A1977="","",IFERROR(VLOOKUP(LOWER(TRIM(Raw_Export!H1977)),Maps!$D$2:$E$12,2,FALSE()),"Other"))</f>
        <v>Cash</v>
      </c>
      <c r="J1977" s="36" t="str">
        <f aca="false">IF(Raw_Export!$A1977="","",IF(COUNTIF($A$2:A1977,A1977)&gt;1,"Duplicate",""))</f>
        <v/>
      </c>
      <c r="K1977" s="36" t="str">
        <f aca="false">IF(Raw_Export!$A1977="","",IF(J1977="Duplicate","Duplicate",IF(OR(C1977="UNMAPPED",D1977="UNMAPPED"),"Unmapped",IF(F1977=0,"Blank qty",IF(F1977&lt;0,"Return","OK")))))</f>
        <v>OK</v>
      </c>
      <c r="L1977" s="36" t="n">
        <f aca="false">IF(Raw_Export!$A1977="","",IF(OR(K1977="OK",K1977="Return"),1,0))</f>
        <v>1</v>
      </c>
      <c r="M1977" s="37" t="n">
        <f aca="false">IF(Raw_Export!$A1977="","",B1977-WEEKDAY(B1977,2)+1)</f>
        <v>46272</v>
      </c>
    </row>
    <row r="1978" customFormat="false" ht="15" hidden="false" customHeight="false" outlineLevel="0" collapsed="false">
      <c r="A1978" s="36" t="str">
        <f aca="false">IF(Raw_Export!$A1978="","",TRIM(Raw_Export!A1978))</f>
        <v>TXN-101938</v>
      </c>
      <c r="B1978" s="37" t="n">
        <f aca="false">IF(Raw_Export!$A1978="","",IF(ISNUMBER(Raw_Export!B1978),Raw_Export!B1978,IF(MID(TRIM(Raw_Export!B1978),5,1)="-",DATE(LEFT(TRIM(Raw_Export!B1978),4),MID(TRIM(Raw_Export!B1978),6,2),RIGHT(TRIM(Raw_Export!B1978),2)),DATE(RIGHT(TRIM(Raw_Export!B1978),4),MATCH(MID(TRIM(Raw_Export!B1978),4,3),{"Jan","Feb","Mar","Apr","May","Jun","Jul","Aug","Sep","Oct","Nov","Dec"},0),LEFT(TRIM(Raw_Export!B1978),2)))))</f>
        <v>46277</v>
      </c>
      <c r="C1978" s="36" t="str">
        <f aca="false">IF(Raw_Export!$A1978="","",IFERROR(VLOOKUP(LOWER(TRIM(Raw_Export!C1978)),Maps!$A$2:$B$20,2,FALSE()),"UNMAPPED"))</f>
        <v>Kisumu</v>
      </c>
      <c r="D1978" s="36" t="str">
        <f aca="false">IF(Raw_Export!$A1978="","",IFERROR(VLOOKUP(LOWER(TRIM(Raw_Export!D1978)),Maps!$G$2:$I$80,2,FALSE()),"UNMAPPED"))</f>
        <v>Sugar 2kg</v>
      </c>
      <c r="E1978" s="36" t="str">
        <f aca="false">IF(Raw_Export!$A1978="","",IFERROR(VLOOKUP(LOWER(TRIM(Raw_Export!D1978)),Maps!$G$2:$I$80,3,FALSE()),"UNMAPPED"))</f>
        <v>Staples</v>
      </c>
      <c r="F1978" s="36" t="n">
        <f aca="false">IF(Raw_Export!$A1978="","",IFERROR(VALUE(TRIM(Raw_Export!E1978)),0))</f>
        <v>1</v>
      </c>
      <c r="G1978" s="38" t="n">
        <f aca="false">IF(Raw_Export!$A1978="","",IFERROR(VALUE(SUBSTITUTE(SUBSTITUTE(UPPER(TRIM(Raw_Export!F1978)),"KES",""),",","")),0))</f>
        <v>330</v>
      </c>
      <c r="H1978" s="38" t="n">
        <f aca="false">IF(Raw_Export!$A1978="","",F1978*G1978)</f>
        <v>330</v>
      </c>
      <c r="I1978" s="36" t="str">
        <f aca="false">IF(Raw_Export!$A1978="","",IFERROR(VLOOKUP(LOWER(TRIM(Raw_Export!H1978)),Maps!$D$2:$E$12,2,FALSE()),"Other"))</f>
        <v>Cash</v>
      </c>
      <c r="J1978" s="36" t="str">
        <f aca="false">IF(Raw_Export!$A1978="","",IF(COUNTIF($A$2:A1978,A1978)&gt;1,"Duplicate",""))</f>
        <v/>
      </c>
      <c r="K1978" s="36" t="str">
        <f aca="false">IF(Raw_Export!$A1978="","",IF(J1978="Duplicate","Duplicate",IF(OR(C1978="UNMAPPED",D1978="UNMAPPED"),"Unmapped",IF(F1978=0,"Blank qty",IF(F1978&lt;0,"Return","OK")))))</f>
        <v>OK</v>
      </c>
      <c r="L1978" s="36" t="n">
        <f aca="false">IF(Raw_Export!$A1978="","",IF(OR(K1978="OK",K1978="Return"),1,0))</f>
        <v>1</v>
      </c>
      <c r="M1978" s="37" t="n">
        <f aca="false">IF(Raw_Export!$A1978="","",B1978-WEEKDAY(B1978,2)+1)</f>
        <v>46272</v>
      </c>
    </row>
    <row r="1979" customFormat="false" ht="15" hidden="false" customHeight="false" outlineLevel="0" collapsed="false">
      <c r="A1979" s="36" t="str">
        <f aca="false">IF(Raw_Export!$A1979="","",TRIM(Raw_Export!A1979))</f>
        <v>TXN-101939</v>
      </c>
      <c r="B1979" s="37" t="n">
        <f aca="false">IF(Raw_Export!$A1979="","",IF(ISNUMBER(Raw_Export!B1979),Raw_Export!B1979,IF(MID(TRIM(Raw_Export!B1979),5,1)="-",DATE(LEFT(TRIM(Raw_Export!B1979),4),MID(TRIM(Raw_Export!B1979),6,2),RIGHT(TRIM(Raw_Export!B1979),2)),DATE(RIGHT(TRIM(Raw_Export!B1979),4),MATCH(MID(TRIM(Raw_Export!B1979),4,3),{"Jan","Feb","Mar","Apr","May","Jun","Jul","Aug","Sep","Oct","Nov","Dec"},0),LEFT(TRIM(Raw_Export!B1979),2)))))</f>
        <v>46277</v>
      </c>
      <c r="C1979" s="36" t="str">
        <f aca="false">IF(Raw_Export!$A1979="","",IFERROR(VLOOKUP(LOWER(TRIM(Raw_Export!C1979)),Maps!$A$2:$B$20,2,FALSE()),"UNMAPPED"))</f>
        <v>Kisumu</v>
      </c>
      <c r="D1979" s="36" t="str">
        <f aca="false">IF(Raw_Export!$A1979="","",IFERROR(VLOOKUP(LOWER(TRIM(Raw_Export!D1979)),Maps!$G$2:$I$80,2,FALSE()),"UNMAPPED"))</f>
        <v>Yoghurt 500ml</v>
      </c>
      <c r="E1979" s="36" t="str">
        <f aca="false">IF(Raw_Export!$A1979="","",IFERROR(VLOOKUP(LOWER(TRIM(Raw_Export!D1979)),Maps!$G$2:$I$80,3,FALSE()),"UNMAPPED"))</f>
        <v>Dairy &amp; Eggs</v>
      </c>
      <c r="F1979" s="36" t="n">
        <f aca="false">IF(Raw_Export!$A1979="","",IFERROR(VALUE(TRIM(Raw_Export!E1979)),0))</f>
        <v>6</v>
      </c>
      <c r="G1979" s="38" t="n">
        <f aca="false">IF(Raw_Export!$A1979="","",IFERROR(VALUE(SUBSTITUTE(SUBSTITUTE(UPPER(TRIM(Raw_Export!F1979)),"KES",""),",","")),0))</f>
        <v>120</v>
      </c>
      <c r="H1979" s="38" t="n">
        <f aca="false">IF(Raw_Export!$A1979="","",F1979*G1979)</f>
        <v>720</v>
      </c>
      <c r="I1979" s="36" t="str">
        <f aca="false">IF(Raw_Export!$A1979="","",IFERROR(VLOOKUP(LOWER(TRIM(Raw_Export!H1979)),Maps!$D$2:$E$12,2,FALSE()),"Other"))</f>
        <v>Cash</v>
      </c>
      <c r="J1979" s="36" t="str">
        <f aca="false">IF(Raw_Export!$A1979="","",IF(COUNTIF($A$2:A1979,A1979)&gt;1,"Duplicate",""))</f>
        <v/>
      </c>
      <c r="K1979" s="36" t="str">
        <f aca="false">IF(Raw_Export!$A1979="","",IF(J1979="Duplicate","Duplicate",IF(OR(C1979="UNMAPPED",D1979="UNMAPPED"),"Unmapped",IF(F1979=0,"Blank qty",IF(F1979&lt;0,"Return","OK")))))</f>
        <v>OK</v>
      </c>
      <c r="L1979" s="36" t="n">
        <f aca="false">IF(Raw_Export!$A1979="","",IF(OR(K1979="OK",K1979="Return"),1,0))</f>
        <v>1</v>
      </c>
      <c r="M1979" s="37" t="n">
        <f aca="false">IF(Raw_Export!$A1979="","",B1979-WEEKDAY(B1979,2)+1)</f>
        <v>46272</v>
      </c>
    </row>
    <row r="1980" customFormat="false" ht="15" hidden="false" customHeight="false" outlineLevel="0" collapsed="false">
      <c r="A1980" s="36" t="str">
        <f aca="false">IF(Raw_Export!$A1980="","",TRIM(Raw_Export!A1980))</f>
        <v>TXN-101940</v>
      </c>
      <c r="B1980" s="37" t="n">
        <f aca="false">IF(Raw_Export!$A1980="","",IF(ISNUMBER(Raw_Export!B1980),Raw_Export!B1980,IF(MID(TRIM(Raw_Export!B1980),5,1)="-",DATE(LEFT(TRIM(Raw_Export!B1980),4),MID(TRIM(Raw_Export!B1980),6,2),RIGHT(TRIM(Raw_Export!B1980),2)),DATE(RIGHT(TRIM(Raw_Export!B1980),4),MATCH(MID(TRIM(Raw_Export!B1980),4,3),{"Jan","Feb","Mar","Apr","May","Jun","Jul","Aug","Sep","Oct","Nov","Dec"},0),LEFT(TRIM(Raw_Export!B1980),2)))))</f>
        <v>46277</v>
      </c>
      <c r="C1980" s="36" t="str">
        <f aca="false">IF(Raw_Export!$A1980="","",IFERROR(VLOOKUP(LOWER(TRIM(Raw_Export!C1980)),Maps!$A$2:$B$20,2,FALSE()),"UNMAPPED"))</f>
        <v>Kisumu</v>
      </c>
      <c r="D1980" s="36" t="str">
        <f aca="false">IF(Raw_Export!$A1980="","",IFERROR(VLOOKUP(LOWER(TRIM(Raw_Export!D1980)),Maps!$G$2:$I$80,2,FALSE()),"UNMAPPED"))</f>
        <v>Cooking Oil 1L</v>
      </c>
      <c r="E1980" s="36" t="str">
        <f aca="false">IF(Raw_Export!$A1980="","",IFERROR(VLOOKUP(LOWER(TRIM(Raw_Export!D1980)),Maps!$G$2:$I$80,3,FALSE()),"UNMAPPED"))</f>
        <v>Staples</v>
      </c>
      <c r="F1980" s="36" t="n">
        <f aca="false">IF(Raw_Export!$A1980="","",IFERROR(VALUE(TRIM(Raw_Export!E1980)),0))</f>
        <v>6</v>
      </c>
      <c r="G1980" s="38" t="n">
        <f aca="false">IF(Raw_Export!$A1980="","",IFERROR(VALUE(SUBSTITUTE(SUBSTITUTE(UPPER(TRIM(Raw_Export!F1980)),"KES",""),",","")),0))</f>
        <v>330</v>
      </c>
      <c r="H1980" s="38" t="n">
        <f aca="false">IF(Raw_Export!$A1980="","",F1980*G1980)</f>
        <v>1980</v>
      </c>
      <c r="I1980" s="36" t="str">
        <f aca="false">IF(Raw_Export!$A1980="","",IFERROR(VLOOKUP(LOWER(TRIM(Raw_Export!H1980)),Maps!$D$2:$E$12,2,FALSE()),"Other"))</f>
        <v>M-Pesa</v>
      </c>
      <c r="J1980" s="36" t="str">
        <f aca="false">IF(Raw_Export!$A1980="","",IF(COUNTIF($A$2:A1980,A1980)&gt;1,"Duplicate",""))</f>
        <v/>
      </c>
      <c r="K1980" s="36" t="str">
        <f aca="false">IF(Raw_Export!$A1980="","",IF(J1980="Duplicate","Duplicate",IF(OR(C1980="UNMAPPED",D1980="UNMAPPED"),"Unmapped",IF(F1980=0,"Blank qty",IF(F1980&lt;0,"Return","OK")))))</f>
        <v>OK</v>
      </c>
      <c r="L1980" s="36" t="n">
        <f aca="false">IF(Raw_Export!$A1980="","",IF(OR(K1980="OK",K1980="Return"),1,0))</f>
        <v>1</v>
      </c>
      <c r="M1980" s="37" t="n">
        <f aca="false">IF(Raw_Export!$A1980="","",B1980-WEEKDAY(B1980,2)+1)</f>
        <v>46272</v>
      </c>
    </row>
    <row r="1981" customFormat="false" ht="15" hidden="false" customHeight="false" outlineLevel="0" collapsed="false">
      <c r="A1981" s="36" t="str">
        <f aca="false">IF(Raw_Export!$A1981="","",TRIM(Raw_Export!A1981))</f>
        <v>TXN-101941</v>
      </c>
      <c r="B1981" s="37" t="n">
        <f aca="false">IF(Raw_Export!$A1981="","",IF(ISNUMBER(Raw_Export!B1981),Raw_Export!B1981,IF(MID(TRIM(Raw_Export!B1981),5,1)="-",DATE(LEFT(TRIM(Raw_Export!B1981),4),MID(TRIM(Raw_Export!B1981),6,2),RIGHT(TRIM(Raw_Export!B1981),2)),DATE(RIGHT(TRIM(Raw_Export!B1981),4),MATCH(MID(TRIM(Raw_Export!B1981),4,3),{"Jan","Feb","Mar","Apr","May","Jun","Jul","Aug","Sep","Oct","Nov","Dec"},0),LEFT(TRIM(Raw_Export!B1981),2)))))</f>
        <v>46277</v>
      </c>
      <c r="C1981" s="36" t="str">
        <f aca="false">IF(Raw_Export!$A1981="","",IFERROR(VLOOKUP(LOWER(TRIM(Raw_Export!C1981)),Maps!$A$2:$B$20,2,FALSE()),"UNMAPPED"))</f>
        <v>Kisumu</v>
      </c>
      <c r="D1981" s="36" t="str">
        <f aca="false">IF(Raw_Export!$A1981="","",IFERROR(VLOOKUP(LOWER(TRIM(Raw_Export!D1981)),Maps!$G$2:$I$80,2,FALSE()),"UNMAPPED"))</f>
        <v>Bread Loaf 400g</v>
      </c>
      <c r="E1981" s="36" t="str">
        <f aca="false">IF(Raw_Export!$A1981="","",IFERROR(VLOOKUP(LOWER(TRIM(Raw_Export!D1981)),Maps!$G$2:$I$80,3,FALSE()),"UNMAPPED"))</f>
        <v>Snacks</v>
      </c>
      <c r="F1981" s="36" t="n">
        <f aca="false">IF(Raw_Export!$A1981="","",IFERROR(VALUE(TRIM(Raw_Export!E1981)),0))</f>
        <v>1</v>
      </c>
      <c r="G1981" s="38" t="n">
        <f aca="false">IF(Raw_Export!$A1981="","",IFERROR(VALUE(SUBSTITUTE(SUBSTITUTE(UPPER(TRIM(Raw_Export!F1981)),"KES",""),",","")),0))</f>
        <v>65</v>
      </c>
      <c r="H1981" s="38" t="n">
        <f aca="false">IF(Raw_Export!$A1981="","",F1981*G1981)</f>
        <v>65</v>
      </c>
      <c r="I1981" s="36" t="str">
        <f aca="false">IF(Raw_Export!$A1981="","",IFERROR(VLOOKUP(LOWER(TRIM(Raw_Export!H1981)),Maps!$D$2:$E$12,2,FALSE()),"Other"))</f>
        <v>Cash</v>
      </c>
      <c r="J1981" s="36" t="str">
        <f aca="false">IF(Raw_Export!$A1981="","",IF(COUNTIF($A$2:A1981,A1981)&gt;1,"Duplicate",""))</f>
        <v/>
      </c>
      <c r="K1981" s="36" t="str">
        <f aca="false">IF(Raw_Export!$A1981="","",IF(J1981="Duplicate","Duplicate",IF(OR(C1981="UNMAPPED",D1981="UNMAPPED"),"Unmapped",IF(F1981=0,"Blank qty",IF(F1981&lt;0,"Return","OK")))))</f>
        <v>OK</v>
      </c>
      <c r="L1981" s="36" t="n">
        <f aca="false">IF(Raw_Export!$A1981="","",IF(OR(K1981="OK",K1981="Return"),1,0))</f>
        <v>1</v>
      </c>
      <c r="M1981" s="37" t="n">
        <f aca="false">IF(Raw_Export!$A1981="","",B1981-WEEKDAY(B1981,2)+1)</f>
        <v>46272</v>
      </c>
    </row>
    <row r="1982" customFormat="false" ht="15" hidden="false" customHeight="false" outlineLevel="0" collapsed="false">
      <c r="A1982" s="36" t="str">
        <f aca="false">IF(Raw_Export!$A1982="","",TRIM(Raw_Export!A1982))</f>
        <v>TXN-101942</v>
      </c>
      <c r="B1982" s="37" t="n">
        <f aca="false">IF(Raw_Export!$A1982="","",IF(ISNUMBER(Raw_Export!B1982),Raw_Export!B1982,IF(MID(TRIM(Raw_Export!B1982),5,1)="-",DATE(LEFT(TRIM(Raw_Export!B1982),4),MID(TRIM(Raw_Export!B1982),6,2),RIGHT(TRIM(Raw_Export!B1982),2)),DATE(RIGHT(TRIM(Raw_Export!B1982),4),MATCH(MID(TRIM(Raw_Export!B1982),4,3),{"Jan","Feb","Mar","Apr","May","Jun","Jul","Aug","Sep","Oct","Nov","Dec"},0),LEFT(TRIM(Raw_Export!B1982),2)))))</f>
        <v>46277</v>
      </c>
      <c r="C1982" s="36" t="str">
        <f aca="false">IF(Raw_Export!$A1982="","",IFERROR(VLOOKUP(LOWER(TRIM(Raw_Export!C1982)),Maps!$A$2:$B$20,2,FALSE()),"UNMAPPED"))</f>
        <v>Kisumu</v>
      </c>
      <c r="D1982" s="36" t="str">
        <f aca="false">IF(Raw_Export!$A1982="","",IFERROR(VLOOKUP(LOWER(TRIM(Raw_Export!D1982)),Maps!$G$2:$I$80,2,FALSE()),"UNMAPPED"))</f>
        <v>Spaghetti 400g</v>
      </c>
      <c r="E1982" s="36" t="str">
        <f aca="false">IF(Raw_Export!$A1982="","",IFERROR(VLOOKUP(LOWER(TRIM(Raw_Export!D1982)),Maps!$G$2:$I$80,3,FALSE()),"UNMAPPED"))</f>
        <v>Staples</v>
      </c>
      <c r="F1982" s="36" t="n">
        <f aca="false">IF(Raw_Export!$A1982="","",IFERROR(VALUE(TRIM(Raw_Export!E1982)),0))</f>
        <v>2</v>
      </c>
      <c r="G1982" s="38" t="n">
        <f aca="false">IF(Raw_Export!$A1982="","",IFERROR(VALUE(SUBSTITUTE(SUBSTITUTE(UPPER(TRIM(Raw_Export!F1982)),"KES",""),",","")),0))</f>
        <v>99</v>
      </c>
      <c r="H1982" s="38" t="n">
        <f aca="false">IF(Raw_Export!$A1982="","",F1982*G1982)</f>
        <v>198</v>
      </c>
      <c r="I1982" s="36" t="str">
        <f aca="false">IF(Raw_Export!$A1982="","",IFERROR(VLOOKUP(LOWER(TRIM(Raw_Export!H1982)),Maps!$D$2:$E$12,2,FALSE()),"Other"))</f>
        <v>M-Pesa</v>
      </c>
      <c r="J1982" s="36" t="str">
        <f aca="false">IF(Raw_Export!$A1982="","",IF(COUNTIF($A$2:A1982,A1982)&gt;1,"Duplicate",""))</f>
        <v/>
      </c>
      <c r="K1982" s="36" t="str">
        <f aca="false">IF(Raw_Export!$A1982="","",IF(J1982="Duplicate","Duplicate",IF(OR(C1982="UNMAPPED",D1982="UNMAPPED"),"Unmapped",IF(F1982=0,"Blank qty",IF(F1982&lt;0,"Return","OK")))))</f>
        <v>OK</v>
      </c>
      <c r="L1982" s="36" t="n">
        <f aca="false">IF(Raw_Export!$A1982="","",IF(OR(K1982="OK",K1982="Return"),1,0))</f>
        <v>1</v>
      </c>
      <c r="M1982" s="37" t="n">
        <f aca="false">IF(Raw_Export!$A1982="","",B1982-WEEKDAY(B1982,2)+1)</f>
        <v>46272</v>
      </c>
    </row>
    <row r="1983" customFormat="false" ht="15" hidden="false" customHeight="false" outlineLevel="0" collapsed="false">
      <c r="A1983" s="36" t="str">
        <f aca="false">IF(Raw_Export!$A1983="","",TRIM(Raw_Export!A1983))</f>
        <v>TXN-101943</v>
      </c>
      <c r="B1983" s="37" t="n">
        <f aca="false">IF(Raw_Export!$A1983="","",IF(ISNUMBER(Raw_Export!B1983),Raw_Export!B1983,IF(MID(TRIM(Raw_Export!B1983),5,1)="-",DATE(LEFT(TRIM(Raw_Export!B1983),4),MID(TRIM(Raw_Export!B1983),6,2),RIGHT(TRIM(Raw_Export!B1983),2)),DATE(RIGHT(TRIM(Raw_Export!B1983),4),MATCH(MID(TRIM(Raw_Export!B1983),4,3),{"Jan","Feb","Mar","Apr","May","Jun","Jul","Aug","Sep","Oct","Nov","Dec"},0),LEFT(TRIM(Raw_Export!B1983),2)))))</f>
        <v>46277</v>
      </c>
      <c r="C1983" s="36" t="str">
        <f aca="false">IF(Raw_Export!$A1983="","",IFERROR(VLOOKUP(LOWER(TRIM(Raw_Export!C1983)),Maps!$A$2:$B$20,2,FALSE()),"UNMAPPED"))</f>
        <v>Kisumu</v>
      </c>
      <c r="D1983" s="36" t="str">
        <f aca="false">IF(Raw_Export!$A1983="","",IFERROR(VLOOKUP(LOWER(TRIM(Raw_Export!D1983)),Maps!$G$2:$I$80,2,FALSE()),"UNMAPPED"))</f>
        <v>Soda 500ml</v>
      </c>
      <c r="E1983" s="36" t="str">
        <f aca="false">IF(Raw_Export!$A1983="","",IFERROR(VLOOKUP(LOWER(TRIM(Raw_Export!D1983)),Maps!$G$2:$I$80,3,FALSE()),"UNMAPPED"))</f>
        <v>Beverages</v>
      </c>
      <c r="F1983" s="36" t="n">
        <f aca="false">IF(Raw_Export!$A1983="","",IFERROR(VALUE(TRIM(Raw_Export!E1983)),0))</f>
        <v>1</v>
      </c>
      <c r="G1983" s="38" t="n">
        <f aca="false">IF(Raw_Export!$A1983="","",IFERROR(VALUE(SUBSTITUTE(SUBSTITUTE(UPPER(TRIM(Raw_Export!F1983)),"KES",""),",","")),0))</f>
        <v>54</v>
      </c>
      <c r="H1983" s="38" t="n">
        <f aca="false">IF(Raw_Export!$A1983="","",F1983*G1983)</f>
        <v>54</v>
      </c>
      <c r="I1983" s="36" t="str">
        <f aca="false">IF(Raw_Export!$A1983="","",IFERROR(VLOOKUP(LOWER(TRIM(Raw_Export!H1983)),Maps!$D$2:$E$12,2,FALSE()),"Other"))</f>
        <v>Cash</v>
      </c>
      <c r="J1983" s="36" t="str">
        <f aca="false">IF(Raw_Export!$A1983="","",IF(COUNTIF($A$2:A1983,A1983)&gt;1,"Duplicate",""))</f>
        <v/>
      </c>
      <c r="K1983" s="36" t="str">
        <f aca="false">IF(Raw_Export!$A1983="","",IF(J1983="Duplicate","Duplicate",IF(OR(C1983="UNMAPPED",D1983="UNMAPPED"),"Unmapped",IF(F1983=0,"Blank qty",IF(F1983&lt;0,"Return","OK")))))</f>
        <v>OK</v>
      </c>
      <c r="L1983" s="36" t="n">
        <f aca="false">IF(Raw_Export!$A1983="","",IF(OR(K1983="OK",K1983="Return"),1,0))</f>
        <v>1</v>
      </c>
      <c r="M1983" s="37" t="n">
        <f aca="false">IF(Raw_Export!$A1983="","",B1983-WEEKDAY(B1983,2)+1)</f>
        <v>46272</v>
      </c>
    </row>
    <row r="1984" customFormat="false" ht="15" hidden="false" customHeight="false" outlineLevel="0" collapsed="false">
      <c r="A1984" s="36" t="str">
        <f aca="false">IF(Raw_Export!$A1984="","",TRIM(Raw_Export!A1984))</f>
        <v>TXN-101944</v>
      </c>
      <c r="B1984" s="37" t="n">
        <f aca="false">IF(Raw_Export!$A1984="","",IF(ISNUMBER(Raw_Export!B1984),Raw_Export!B1984,IF(MID(TRIM(Raw_Export!B1984),5,1)="-",DATE(LEFT(TRIM(Raw_Export!B1984),4),MID(TRIM(Raw_Export!B1984),6,2),RIGHT(TRIM(Raw_Export!B1984),2)),DATE(RIGHT(TRIM(Raw_Export!B1984),4),MATCH(MID(TRIM(Raw_Export!B1984),4,3),{"Jan","Feb","Mar","Apr","May","Jun","Jul","Aug","Sep","Oct","Nov","Dec"},0),LEFT(TRIM(Raw_Export!B1984),2)))))</f>
        <v>46277</v>
      </c>
      <c r="C1984" s="36" t="str">
        <f aca="false">IF(Raw_Export!$A1984="","",IFERROR(VLOOKUP(LOWER(TRIM(Raw_Export!C1984)),Maps!$A$2:$B$20,2,FALSE()),"UNMAPPED"))</f>
        <v>Kisumu</v>
      </c>
      <c r="D1984" s="36" t="str">
        <f aca="false">IF(Raw_Export!$A1984="","",IFERROR(VLOOKUP(LOWER(TRIM(Raw_Export!D1984)),Maps!$G$2:$I$80,2,FALSE()),"UNMAPPED"))</f>
        <v>Chocolate Bar 90g</v>
      </c>
      <c r="E1984" s="36" t="str">
        <f aca="false">IF(Raw_Export!$A1984="","",IFERROR(VLOOKUP(LOWER(TRIM(Raw_Export!D1984)),Maps!$G$2:$I$80,3,FALSE()),"UNMAPPED"))</f>
        <v>Snacks</v>
      </c>
      <c r="F1984" s="36" t="n">
        <f aca="false">IF(Raw_Export!$A1984="","",IFERROR(VALUE(TRIM(Raw_Export!E1984)),0))</f>
        <v>1</v>
      </c>
      <c r="G1984" s="38" t="n">
        <f aca="false">IF(Raw_Export!$A1984="","",IFERROR(VALUE(SUBSTITUTE(SUBSTITUTE(UPPER(TRIM(Raw_Export!F1984)),"KES",""),",","")),0))</f>
        <v>140</v>
      </c>
      <c r="H1984" s="38" t="n">
        <f aca="false">IF(Raw_Export!$A1984="","",F1984*G1984)</f>
        <v>140</v>
      </c>
      <c r="I1984" s="36" t="str">
        <f aca="false">IF(Raw_Export!$A1984="","",IFERROR(VLOOKUP(LOWER(TRIM(Raw_Export!H1984)),Maps!$D$2:$E$12,2,FALSE()),"Other"))</f>
        <v>Cash</v>
      </c>
      <c r="J1984" s="36" t="str">
        <f aca="false">IF(Raw_Export!$A1984="","",IF(COUNTIF($A$2:A1984,A1984)&gt;1,"Duplicate",""))</f>
        <v/>
      </c>
      <c r="K1984" s="36" t="str">
        <f aca="false">IF(Raw_Export!$A1984="","",IF(J1984="Duplicate","Duplicate",IF(OR(C1984="UNMAPPED",D1984="UNMAPPED"),"Unmapped",IF(F1984=0,"Blank qty",IF(F1984&lt;0,"Return","OK")))))</f>
        <v>OK</v>
      </c>
      <c r="L1984" s="36" t="n">
        <f aca="false">IF(Raw_Export!$A1984="","",IF(OR(K1984="OK",K1984="Return"),1,0))</f>
        <v>1</v>
      </c>
      <c r="M1984" s="37" t="n">
        <f aca="false">IF(Raw_Export!$A1984="","",B1984-WEEKDAY(B1984,2)+1)</f>
        <v>46272</v>
      </c>
    </row>
    <row r="1985" customFormat="false" ht="15" hidden="false" customHeight="false" outlineLevel="0" collapsed="false">
      <c r="A1985" s="36" t="str">
        <f aca="false">IF(Raw_Export!$A1985="","",TRIM(Raw_Export!A1985))</f>
        <v>TXN-101945</v>
      </c>
      <c r="B1985" s="37" t="n">
        <f aca="false">IF(Raw_Export!$A1985="","",IF(ISNUMBER(Raw_Export!B1985),Raw_Export!B1985,IF(MID(TRIM(Raw_Export!B1985),5,1)="-",DATE(LEFT(TRIM(Raw_Export!B1985),4),MID(TRIM(Raw_Export!B1985),6,2),RIGHT(TRIM(Raw_Export!B1985),2)),DATE(RIGHT(TRIM(Raw_Export!B1985),4),MATCH(MID(TRIM(Raw_Export!B1985),4,3),{"Jan","Feb","Mar","Apr","May","Jun","Jul","Aug","Sep","Oct","Nov","Dec"},0),LEFT(TRIM(Raw_Export!B1985),2)))))</f>
        <v>46277</v>
      </c>
      <c r="C1985" s="36" t="str">
        <f aca="false">IF(Raw_Export!$A1985="","",IFERROR(VLOOKUP(LOWER(TRIM(Raw_Export!C1985)),Maps!$A$2:$B$20,2,FALSE()),"UNMAPPED"))</f>
        <v>Kisumu</v>
      </c>
      <c r="D1985" s="36" t="str">
        <f aca="false">IF(Raw_Export!$A1985="","",IFERROR(VLOOKUP(LOWER(TRIM(Raw_Export!D1985)),Maps!$G$2:$I$80,2,FALSE()),"UNMAPPED"))</f>
        <v>Fresh Milk 500ml</v>
      </c>
      <c r="E1985" s="36" t="str">
        <f aca="false">IF(Raw_Export!$A1985="","",IFERROR(VLOOKUP(LOWER(TRIM(Raw_Export!D1985)),Maps!$G$2:$I$80,3,FALSE()),"UNMAPPED"))</f>
        <v>Dairy &amp; Eggs</v>
      </c>
      <c r="F1985" s="36" t="n">
        <f aca="false">IF(Raw_Export!$A1985="","",IFERROR(VALUE(TRIM(Raw_Export!E1985)),0))</f>
        <v>1</v>
      </c>
      <c r="G1985" s="38" t="n">
        <f aca="false">IF(Raw_Export!$A1985="","",IFERROR(VALUE(SUBSTITUTE(SUBSTITUTE(UPPER(TRIM(Raw_Export!F1985)),"KES",""),",","")),0))</f>
        <v>58</v>
      </c>
      <c r="H1985" s="38" t="n">
        <f aca="false">IF(Raw_Export!$A1985="","",F1985*G1985)</f>
        <v>58</v>
      </c>
      <c r="I1985" s="36" t="str">
        <f aca="false">IF(Raw_Export!$A1985="","",IFERROR(VLOOKUP(LOWER(TRIM(Raw_Export!H1985)),Maps!$D$2:$E$12,2,FALSE()),"Other"))</f>
        <v>Card</v>
      </c>
      <c r="J1985" s="36" t="str">
        <f aca="false">IF(Raw_Export!$A1985="","",IF(COUNTIF($A$2:A1985,A1985)&gt;1,"Duplicate",""))</f>
        <v/>
      </c>
      <c r="K1985" s="36" t="str">
        <f aca="false">IF(Raw_Export!$A1985="","",IF(J1985="Duplicate","Duplicate",IF(OR(C1985="UNMAPPED",D1985="UNMAPPED"),"Unmapped",IF(F1985=0,"Blank qty",IF(F1985&lt;0,"Return","OK")))))</f>
        <v>OK</v>
      </c>
      <c r="L1985" s="36" t="n">
        <f aca="false">IF(Raw_Export!$A1985="","",IF(OR(K1985="OK",K1985="Return"),1,0))</f>
        <v>1</v>
      </c>
      <c r="M1985" s="37" t="n">
        <f aca="false">IF(Raw_Export!$A1985="","",B1985-WEEKDAY(B1985,2)+1)</f>
        <v>46272</v>
      </c>
    </row>
    <row r="1986" customFormat="false" ht="15" hidden="false" customHeight="false" outlineLevel="0" collapsed="false">
      <c r="A1986" s="36" t="str">
        <f aca="false">IF(Raw_Export!$A1986="","",TRIM(Raw_Export!A1986))</f>
        <v>TXN-101946</v>
      </c>
      <c r="B1986" s="37" t="n">
        <f aca="false">IF(Raw_Export!$A1986="","",IF(ISNUMBER(Raw_Export!B1986),Raw_Export!B1986,IF(MID(TRIM(Raw_Export!B1986),5,1)="-",DATE(LEFT(TRIM(Raw_Export!B1986),4),MID(TRIM(Raw_Export!B1986),6,2),RIGHT(TRIM(Raw_Export!B1986),2)),DATE(RIGHT(TRIM(Raw_Export!B1986),4),MATCH(MID(TRIM(Raw_Export!B1986),4,3),{"Jan","Feb","Mar","Apr","May","Jun","Jul","Aug","Sep","Oct","Nov","Dec"},0),LEFT(TRIM(Raw_Export!B1986),2)))))</f>
        <v>46277</v>
      </c>
      <c r="C1986" s="36" t="str">
        <f aca="false">IF(Raw_Export!$A1986="","",IFERROR(VLOOKUP(LOWER(TRIM(Raw_Export!C1986)),Maps!$A$2:$B$20,2,FALSE()),"UNMAPPED"))</f>
        <v>Kisumu</v>
      </c>
      <c r="D1986" s="36" t="str">
        <f aca="false">IF(Raw_Export!$A1986="","",IFERROR(VLOOKUP(LOWER(TRIM(Raw_Export!D1986)),Maps!$G$2:$I$80,2,FALSE()),"UNMAPPED"))</f>
        <v>Cooking Oil 1L</v>
      </c>
      <c r="E1986" s="36" t="str">
        <f aca="false">IF(Raw_Export!$A1986="","",IFERROR(VLOOKUP(LOWER(TRIM(Raw_Export!D1986)),Maps!$G$2:$I$80,3,FALSE()),"UNMAPPED"))</f>
        <v>Staples</v>
      </c>
      <c r="F1986" s="36" t="n">
        <f aca="false">IF(Raw_Export!$A1986="","",IFERROR(VALUE(TRIM(Raw_Export!E1986)),0))</f>
        <v>4</v>
      </c>
      <c r="G1986" s="38" t="n">
        <f aca="false">IF(Raw_Export!$A1986="","",IFERROR(VALUE(SUBSTITUTE(SUBSTITUTE(UPPER(TRIM(Raw_Export!F1986)),"KES",""),",","")),0))</f>
        <v>330</v>
      </c>
      <c r="H1986" s="38" t="n">
        <f aca="false">IF(Raw_Export!$A1986="","",F1986*G1986)</f>
        <v>1320</v>
      </c>
      <c r="I1986" s="36" t="str">
        <f aca="false">IF(Raw_Export!$A1986="","",IFERROR(VLOOKUP(LOWER(TRIM(Raw_Export!H1986)),Maps!$D$2:$E$12,2,FALSE()),"Other"))</f>
        <v>Cash</v>
      </c>
      <c r="J1986" s="36" t="str">
        <f aca="false">IF(Raw_Export!$A1986="","",IF(COUNTIF($A$2:A1986,A1986)&gt;1,"Duplicate",""))</f>
        <v/>
      </c>
      <c r="K1986" s="36" t="str">
        <f aca="false">IF(Raw_Export!$A1986="","",IF(J1986="Duplicate","Duplicate",IF(OR(C1986="UNMAPPED",D1986="UNMAPPED"),"Unmapped",IF(F1986=0,"Blank qty",IF(F1986&lt;0,"Return","OK")))))</f>
        <v>OK</v>
      </c>
      <c r="L1986" s="36" t="n">
        <f aca="false">IF(Raw_Export!$A1986="","",IF(OR(K1986="OK",K1986="Return"),1,0))</f>
        <v>1</v>
      </c>
      <c r="M1986" s="37" t="n">
        <f aca="false">IF(Raw_Export!$A1986="","",B1986-WEEKDAY(B1986,2)+1)</f>
        <v>46272</v>
      </c>
    </row>
    <row r="1987" customFormat="false" ht="15" hidden="false" customHeight="false" outlineLevel="0" collapsed="false">
      <c r="A1987" s="36" t="str">
        <f aca="false">IF(Raw_Export!$A1987="","",TRIM(Raw_Export!A1987))</f>
        <v>TXN-101947</v>
      </c>
      <c r="B1987" s="37" t="n">
        <f aca="false">IF(Raw_Export!$A1987="","",IF(ISNUMBER(Raw_Export!B1987),Raw_Export!B1987,IF(MID(TRIM(Raw_Export!B1987),5,1)="-",DATE(LEFT(TRIM(Raw_Export!B1987),4),MID(TRIM(Raw_Export!B1987),6,2),RIGHT(TRIM(Raw_Export!B1987),2)),DATE(RIGHT(TRIM(Raw_Export!B1987),4),MATCH(MID(TRIM(Raw_Export!B1987),4,3),{"Jan","Feb","Mar","Apr","May","Jun","Jul","Aug","Sep","Oct","Nov","Dec"},0),LEFT(TRIM(Raw_Export!B1987),2)))))</f>
        <v>46277</v>
      </c>
      <c r="C1987" s="36" t="str">
        <f aca="false">IF(Raw_Export!$A1987="","",IFERROR(VLOOKUP(LOWER(TRIM(Raw_Export!C1987)),Maps!$A$2:$B$20,2,FALSE()),"UNMAPPED"))</f>
        <v>Kisumu</v>
      </c>
      <c r="D1987" s="36" t="str">
        <f aca="false">IF(Raw_Export!$A1987="","",IFERROR(VLOOKUP(LOWER(TRIM(Raw_Export!D1987)),Maps!$G$2:$I$80,2,FALSE()),"UNMAPPED"))</f>
        <v>Cheddar 200g</v>
      </c>
      <c r="E1987" s="36" t="str">
        <f aca="false">IF(Raw_Export!$A1987="","",IFERROR(VLOOKUP(LOWER(TRIM(Raw_Export!D1987)),Maps!$G$2:$I$80,3,FALSE()),"UNMAPPED"))</f>
        <v>Dairy &amp; Eggs</v>
      </c>
      <c r="F1987" s="36" t="n">
        <f aca="false">IF(Raw_Export!$A1987="","",IFERROR(VALUE(TRIM(Raw_Export!E1987)),0))</f>
        <v>2</v>
      </c>
      <c r="G1987" s="38" t="n">
        <f aca="false">IF(Raw_Export!$A1987="","",IFERROR(VALUE(SUBSTITUTE(SUBSTITUTE(UPPER(TRIM(Raw_Export!F1987)),"KES",""),",","")),0))</f>
        <v>380</v>
      </c>
      <c r="H1987" s="38" t="n">
        <f aca="false">IF(Raw_Export!$A1987="","",F1987*G1987)</f>
        <v>760</v>
      </c>
      <c r="I1987" s="36" t="str">
        <f aca="false">IF(Raw_Export!$A1987="","",IFERROR(VLOOKUP(LOWER(TRIM(Raw_Export!H1987)),Maps!$D$2:$E$12,2,FALSE()),"Other"))</f>
        <v>Cash</v>
      </c>
      <c r="J1987" s="36" t="str">
        <f aca="false">IF(Raw_Export!$A1987="","",IF(COUNTIF($A$2:A1987,A1987)&gt;1,"Duplicate",""))</f>
        <v/>
      </c>
      <c r="K1987" s="36" t="str">
        <f aca="false">IF(Raw_Export!$A1987="","",IF(J1987="Duplicate","Duplicate",IF(OR(C1987="UNMAPPED",D1987="UNMAPPED"),"Unmapped",IF(F1987=0,"Blank qty",IF(F1987&lt;0,"Return","OK")))))</f>
        <v>OK</v>
      </c>
      <c r="L1987" s="36" t="n">
        <f aca="false">IF(Raw_Export!$A1987="","",IF(OR(K1987="OK",K1987="Return"),1,0))</f>
        <v>1</v>
      </c>
      <c r="M1987" s="37" t="n">
        <f aca="false">IF(Raw_Export!$A1987="","",B1987-WEEKDAY(B1987,2)+1)</f>
        <v>46272</v>
      </c>
    </row>
    <row r="1988" customFormat="false" ht="15" hidden="false" customHeight="false" outlineLevel="0" collapsed="false">
      <c r="A1988" s="36" t="str">
        <f aca="false">IF(Raw_Export!$A1988="","",TRIM(Raw_Export!A1988))</f>
        <v>TXN-101948</v>
      </c>
      <c r="B1988" s="37" t="n">
        <f aca="false">IF(Raw_Export!$A1988="","",IF(ISNUMBER(Raw_Export!B1988),Raw_Export!B1988,IF(MID(TRIM(Raw_Export!B1988),5,1)="-",DATE(LEFT(TRIM(Raw_Export!B1988),4),MID(TRIM(Raw_Export!B1988),6,2),RIGHT(TRIM(Raw_Export!B1988),2)),DATE(RIGHT(TRIM(Raw_Export!B1988),4),MATCH(MID(TRIM(Raw_Export!B1988),4,3),{"Jan","Feb","Mar","Apr","May","Jun","Jul","Aug","Sep","Oct","Nov","Dec"},0),LEFT(TRIM(Raw_Export!B1988),2)))))</f>
        <v>46277</v>
      </c>
      <c r="C1988" s="36" t="str">
        <f aca="false">IF(Raw_Export!$A1988="","",IFERROR(VLOOKUP(LOWER(TRIM(Raw_Export!C1988)),Maps!$A$2:$B$20,2,FALSE()),"UNMAPPED"))</f>
        <v>Kisumu</v>
      </c>
      <c r="D1988" s="36" t="str">
        <f aca="false">IF(Raw_Export!$A1988="","",IFERROR(VLOOKUP(LOWER(TRIM(Raw_Export!D1988)),Maps!$G$2:$I$80,2,FALSE()),"UNMAPPED"))</f>
        <v>Soda 500ml</v>
      </c>
      <c r="E1988" s="36" t="str">
        <f aca="false">IF(Raw_Export!$A1988="","",IFERROR(VLOOKUP(LOWER(TRIM(Raw_Export!D1988)),Maps!$G$2:$I$80,3,FALSE()),"UNMAPPED"))</f>
        <v>Beverages</v>
      </c>
      <c r="F1988" s="36" t="n">
        <f aca="false">IF(Raw_Export!$A1988="","",IFERROR(VALUE(TRIM(Raw_Export!E1988)),0))</f>
        <v>1</v>
      </c>
      <c r="G1988" s="38" t="n">
        <f aca="false">IF(Raw_Export!$A1988="","",IFERROR(VALUE(SUBSTITUTE(SUBSTITUTE(UPPER(TRIM(Raw_Export!F1988)),"KES",""),",","")),0))</f>
        <v>60</v>
      </c>
      <c r="H1988" s="38" t="n">
        <f aca="false">IF(Raw_Export!$A1988="","",F1988*G1988)</f>
        <v>60</v>
      </c>
      <c r="I1988" s="36" t="str">
        <f aca="false">IF(Raw_Export!$A1988="","",IFERROR(VLOOKUP(LOWER(TRIM(Raw_Export!H1988)),Maps!$D$2:$E$12,2,FALSE()),"Other"))</f>
        <v>Card</v>
      </c>
      <c r="J1988" s="36" t="str">
        <f aca="false">IF(Raw_Export!$A1988="","",IF(COUNTIF($A$2:A1988,A1988)&gt;1,"Duplicate",""))</f>
        <v/>
      </c>
      <c r="K1988" s="36" t="str">
        <f aca="false">IF(Raw_Export!$A1988="","",IF(J1988="Duplicate","Duplicate",IF(OR(C1988="UNMAPPED",D1988="UNMAPPED"),"Unmapped",IF(F1988=0,"Blank qty",IF(F1988&lt;0,"Return","OK")))))</f>
        <v>OK</v>
      </c>
      <c r="L1988" s="36" t="n">
        <f aca="false">IF(Raw_Export!$A1988="","",IF(OR(K1988="OK",K1988="Return"),1,0))</f>
        <v>1</v>
      </c>
      <c r="M1988" s="37" t="n">
        <f aca="false">IF(Raw_Export!$A1988="","",B1988-WEEKDAY(B1988,2)+1)</f>
        <v>46272</v>
      </c>
    </row>
    <row r="1989" customFormat="false" ht="15" hidden="false" customHeight="false" outlineLevel="0" collapsed="false">
      <c r="A1989" s="36" t="str">
        <f aca="false">IF(Raw_Export!$A1989="","",TRIM(Raw_Export!A1989))</f>
        <v>TXN-101949</v>
      </c>
      <c r="B1989" s="37" t="n">
        <f aca="false">IF(Raw_Export!$A1989="","",IF(ISNUMBER(Raw_Export!B1989),Raw_Export!B1989,IF(MID(TRIM(Raw_Export!B1989),5,1)="-",DATE(LEFT(TRIM(Raw_Export!B1989),4),MID(TRIM(Raw_Export!B1989),6,2),RIGHT(TRIM(Raw_Export!B1989),2)),DATE(RIGHT(TRIM(Raw_Export!B1989),4),MATCH(MID(TRIM(Raw_Export!B1989),4,3),{"Jan","Feb","Mar","Apr","May","Jun","Jul","Aug","Sep","Oct","Nov","Dec"},0),LEFT(TRIM(Raw_Export!B1989),2)))))</f>
        <v>46277</v>
      </c>
      <c r="C1989" s="36" t="str">
        <f aca="false">IF(Raw_Export!$A1989="","",IFERROR(VLOOKUP(LOWER(TRIM(Raw_Export!C1989)),Maps!$A$2:$B$20,2,FALSE()),"UNMAPPED"))</f>
        <v>Kisumu</v>
      </c>
      <c r="D1989" s="36" t="str">
        <f aca="false">IF(Raw_Export!$A1989="","",IFERROR(VLOOKUP(LOWER(TRIM(Raw_Export!D1989)),Maps!$G$2:$I$80,2,FALSE()),"UNMAPPED"))</f>
        <v>Crisps 100g</v>
      </c>
      <c r="E1989" s="36" t="str">
        <f aca="false">IF(Raw_Export!$A1989="","",IFERROR(VLOOKUP(LOWER(TRIM(Raw_Export!D1989)),Maps!$G$2:$I$80,3,FALSE()),"UNMAPPED"))</f>
        <v>Snacks</v>
      </c>
      <c r="F1989" s="36" t="n">
        <f aca="false">IF(Raw_Export!$A1989="","",IFERROR(VALUE(TRIM(Raw_Export!E1989)),0))</f>
        <v>2</v>
      </c>
      <c r="G1989" s="38" t="n">
        <f aca="false">IF(Raw_Export!$A1989="","",IFERROR(VALUE(SUBSTITUTE(SUBSTITUTE(UPPER(TRIM(Raw_Export!F1989)),"KES",""),",","")),0))</f>
        <v>80</v>
      </c>
      <c r="H1989" s="38" t="n">
        <f aca="false">IF(Raw_Export!$A1989="","",F1989*G1989)</f>
        <v>160</v>
      </c>
      <c r="I1989" s="36" t="str">
        <f aca="false">IF(Raw_Export!$A1989="","",IFERROR(VLOOKUP(LOWER(TRIM(Raw_Export!H1989)),Maps!$D$2:$E$12,2,FALSE()),"Other"))</f>
        <v>Cash</v>
      </c>
      <c r="J1989" s="36" t="str">
        <f aca="false">IF(Raw_Export!$A1989="","",IF(COUNTIF($A$2:A1989,A1989)&gt;1,"Duplicate",""))</f>
        <v/>
      </c>
      <c r="K1989" s="36" t="str">
        <f aca="false">IF(Raw_Export!$A1989="","",IF(J1989="Duplicate","Duplicate",IF(OR(C1989="UNMAPPED",D1989="UNMAPPED"),"Unmapped",IF(F1989=0,"Blank qty",IF(F1989&lt;0,"Return","OK")))))</f>
        <v>OK</v>
      </c>
      <c r="L1989" s="36" t="n">
        <f aca="false">IF(Raw_Export!$A1989="","",IF(OR(K1989="OK",K1989="Return"),1,0))</f>
        <v>1</v>
      </c>
      <c r="M1989" s="37" t="n">
        <f aca="false">IF(Raw_Export!$A1989="","",B1989-WEEKDAY(B1989,2)+1)</f>
        <v>46272</v>
      </c>
    </row>
    <row r="1990" customFormat="false" ht="15" hidden="false" customHeight="false" outlineLevel="0" collapsed="false">
      <c r="A1990" s="36" t="str">
        <f aca="false">IF(Raw_Export!$A1990="","",TRIM(Raw_Export!A1990))</f>
        <v>TXN-101950</v>
      </c>
      <c r="B1990" s="37" t="n">
        <f aca="false">IF(Raw_Export!$A1990="","",IF(ISNUMBER(Raw_Export!B1990),Raw_Export!B1990,IF(MID(TRIM(Raw_Export!B1990),5,1)="-",DATE(LEFT(TRIM(Raw_Export!B1990),4),MID(TRIM(Raw_Export!B1990),6,2),RIGHT(TRIM(Raw_Export!B1990),2)),DATE(RIGHT(TRIM(Raw_Export!B1990),4),MATCH(MID(TRIM(Raw_Export!B1990),4,3),{"Jan","Feb","Mar","Apr","May","Jun","Jul","Aug","Sep","Oct","Nov","Dec"},0),LEFT(TRIM(Raw_Export!B1990),2)))))</f>
        <v>46277</v>
      </c>
      <c r="C1990" s="36" t="str">
        <f aca="false">IF(Raw_Export!$A1990="","",IFERROR(VLOOKUP(LOWER(TRIM(Raw_Export!C1990)),Maps!$A$2:$B$20,2,FALSE()),"UNMAPPED"))</f>
        <v>Kisumu</v>
      </c>
      <c r="D1990" s="36" t="str">
        <f aca="false">IF(Raw_Export!$A1990="","",IFERROR(VLOOKUP(LOWER(TRIM(Raw_Export!D1990)),Maps!$G$2:$I$80,2,FALSE()),"UNMAPPED"))</f>
        <v>Tea Leaves 250g</v>
      </c>
      <c r="E1990" s="36" t="str">
        <f aca="false">IF(Raw_Export!$A1990="","",IFERROR(VLOOKUP(LOWER(TRIM(Raw_Export!D1990)),Maps!$G$2:$I$80,3,FALSE()),"UNMAPPED"))</f>
        <v>Beverages</v>
      </c>
      <c r="F1990" s="36" t="n">
        <f aca="false">IF(Raw_Export!$A1990="","",IFERROR(VALUE(TRIM(Raw_Export!E1990)),0))</f>
        <v>4</v>
      </c>
      <c r="G1990" s="38" t="n">
        <f aca="false">IF(Raw_Export!$A1990="","",IFERROR(VALUE(SUBSTITUTE(SUBSTITUTE(UPPER(TRIM(Raw_Export!F1990)),"KES",""),",","")),0))</f>
        <v>150</v>
      </c>
      <c r="H1990" s="38" t="n">
        <f aca="false">IF(Raw_Export!$A1990="","",F1990*G1990)</f>
        <v>600</v>
      </c>
      <c r="I1990" s="36" t="str">
        <f aca="false">IF(Raw_Export!$A1990="","",IFERROR(VLOOKUP(LOWER(TRIM(Raw_Export!H1990)),Maps!$D$2:$E$12,2,FALSE()),"Other"))</f>
        <v>M-Pesa</v>
      </c>
      <c r="J1990" s="36" t="str">
        <f aca="false">IF(Raw_Export!$A1990="","",IF(COUNTIF($A$2:A1990,A1990)&gt;1,"Duplicate",""))</f>
        <v/>
      </c>
      <c r="K1990" s="36" t="str">
        <f aca="false">IF(Raw_Export!$A1990="","",IF(J1990="Duplicate","Duplicate",IF(OR(C1990="UNMAPPED",D1990="UNMAPPED"),"Unmapped",IF(F1990=0,"Blank qty",IF(F1990&lt;0,"Return","OK")))))</f>
        <v>OK</v>
      </c>
      <c r="L1990" s="36" t="n">
        <f aca="false">IF(Raw_Export!$A1990="","",IF(OR(K1990="OK",K1990="Return"),1,0))</f>
        <v>1</v>
      </c>
      <c r="M1990" s="37" t="n">
        <f aca="false">IF(Raw_Export!$A1990="","",B1990-WEEKDAY(B1990,2)+1)</f>
        <v>46272</v>
      </c>
    </row>
    <row r="1991" customFormat="false" ht="15" hidden="false" customHeight="false" outlineLevel="0" collapsed="false">
      <c r="A1991" s="36" t="str">
        <f aca="false">IF(Raw_Export!$A1991="","",TRIM(Raw_Export!A1991))</f>
        <v>TXN-101951</v>
      </c>
      <c r="B1991" s="37" t="n">
        <f aca="false">IF(Raw_Export!$A1991="","",IF(ISNUMBER(Raw_Export!B1991),Raw_Export!B1991,IF(MID(TRIM(Raw_Export!B1991),5,1)="-",DATE(LEFT(TRIM(Raw_Export!B1991),4),MID(TRIM(Raw_Export!B1991),6,2),RIGHT(TRIM(Raw_Export!B1991),2)),DATE(RIGHT(TRIM(Raw_Export!B1991),4),MATCH(MID(TRIM(Raw_Export!B1991),4,3),{"Jan","Feb","Mar","Apr","May","Jun","Jul","Aug","Sep","Oct","Nov","Dec"},0),LEFT(TRIM(Raw_Export!B1991),2)))))</f>
        <v>46277</v>
      </c>
      <c r="C1991" s="36" t="str">
        <f aca="false">IF(Raw_Export!$A1991="","",IFERROR(VLOOKUP(LOWER(TRIM(Raw_Export!C1991)),Maps!$A$2:$B$20,2,FALSE()),"UNMAPPED"))</f>
        <v>Kisumu</v>
      </c>
      <c r="D1991" s="36" t="str">
        <f aca="false">IF(Raw_Export!$A1991="","",IFERROR(VLOOKUP(LOWER(TRIM(Raw_Export!D1991)),Maps!$G$2:$I$80,2,FALSE()),"UNMAPPED"))</f>
        <v>Fresh Milk 500ml</v>
      </c>
      <c r="E1991" s="36" t="str">
        <f aca="false">IF(Raw_Export!$A1991="","",IFERROR(VLOOKUP(LOWER(TRIM(Raw_Export!D1991)),Maps!$G$2:$I$80,3,FALSE()),"UNMAPPED"))</f>
        <v>Dairy &amp; Eggs</v>
      </c>
      <c r="F1991" s="36" t="n">
        <f aca="false">IF(Raw_Export!$A1991="","",IFERROR(VALUE(TRIM(Raw_Export!E1991)),0))</f>
        <v>3</v>
      </c>
      <c r="G1991" s="38" t="n">
        <f aca="false">IF(Raw_Export!$A1991="","",IFERROR(VALUE(SUBSTITUTE(SUBSTITUTE(UPPER(TRIM(Raw_Export!F1991)),"KES",""),",","")),0))</f>
        <v>65</v>
      </c>
      <c r="H1991" s="38" t="n">
        <f aca="false">IF(Raw_Export!$A1991="","",F1991*G1991)</f>
        <v>195</v>
      </c>
      <c r="I1991" s="36" t="str">
        <f aca="false">IF(Raw_Export!$A1991="","",IFERROR(VLOOKUP(LOWER(TRIM(Raw_Export!H1991)),Maps!$D$2:$E$12,2,FALSE()),"Other"))</f>
        <v>Card</v>
      </c>
      <c r="J1991" s="36" t="str">
        <f aca="false">IF(Raw_Export!$A1991="","",IF(COUNTIF($A$2:A1991,A1991)&gt;1,"Duplicate",""))</f>
        <v/>
      </c>
      <c r="K1991" s="36" t="str">
        <f aca="false">IF(Raw_Export!$A1991="","",IF(J1991="Duplicate","Duplicate",IF(OR(C1991="UNMAPPED",D1991="UNMAPPED"),"Unmapped",IF(F1991=0,"Blank qty",IF(F1991&lt;0,"Return","OK")))))</f>
        <v>OK</v>
      </c>
      <c r="L1991" s="36" t="n">
        <f aca="false">IF(Raw_Export!$A1991="","",IF(OR(K1991="OK",K1991="Return"),1,0))</f>
        <v>1</v>
      </c>
      <c r="M1991" s="37" t="n">
        <f aca="false">IF(Raw_Export!$A1991="","",B1991-WEEKDAY(B1991,2)+1)</f>
        <v>46272</v>
      </c>
    </row>
    <row r="1992" customFormat="false" ht="15" hidden="false" customHeight="false" outlineLevel="0" collapsed="false">
      <c r="A1992" s="36" t="str">
        <f aca="false">IF(Raw_Export!$A1992="","",TRIM(Raw_Export!A1992))</f>
        <v>TXN-101952</v>
      </c>
      <c r="B1992" s="37" t="n">
        <f aca="false">IF(Raw_Export!$A1992="","",IF(ISNUMBER(Raw_Export!B1992),Raw_Export!B1992,IF(MID(TRIM(Raw_Export!B1992),5,1)="-",DATE(LEFT(TRIM(Raw_Export!B1992),4),MID(TRIM(Raw_Export!B1992),6,2),RIGHT(TRIM(Raw_Export!B1992),2)),DATE(RIGHT(TRIM(Raw_Export!B1992),4),MATCH(MID(TRIM(Raw_Export!B1992),4,3),{"Jan","Feb","Mar","Apr","May","Jun","Jul","Aug","Sep","Oct","Nov","Dec"},0),LEFT(TRIM(Raw_Export!B1992),2)))))</f>
        <v>46277</v>
      </c>
      <c r="C1992" s="36" t="str">
        <f aca="false">IF(Raw_Export!$A1992="","",IFERROR(VLOOKUP(LOWER(TRIM(Raw_Export!C1992)),Maps!$A$2:$B$20,2,FALSE()),"UNMAPPED"))</f>
        <v>Kisumu</v>
      </c>
      <c r="D1992" s="36" t="str">
        <f aca="false">IF(Raw_Export!$A1992="","",IFERROR(VLOOKUP(LOWER(TRIM(Raw_Export!D1992)),Maps!$G$2:$I$80,2,FALSE()),"UNMAPPED"))</f>
        <v>Toilet Paper 10pk</v>
      </c>
      <c r="E1992" s="36" t="str">
        <f aca="false">IF(Raw_Export!$A1992="","",IFERROR(VLOOKUP(LOWER(TRIM(Raw_Export!D1992)),Maps!$G$2:$I$80,3,FALSE()),"UNMAPPED"))</f>
        <v>Household</v>
      </c>
      <c r="F1992" s="36" t="n">
        <f aca="false">IF(Raw_Export!$A1992="","",IFERROR(VALUE(TRIM(Raw_Export!E1992)),0))</f>
        <v>6</v>
      </c>
      <c r="G1992" s="38" t="n">
        <f aca="false">IF(Raw_Export!$A1992="","",IFERROR(VALUE(SUBSTITUTE(SUBSTITUTE(UPPER(TRIM(Raw_Export!F1992)),"KES",""),",","")),0))</f>
        <v>380</v>
      </c>
      <c r="H1992" s="38" t="n">
        <f aca="false">IF(Raw_Export!$A1992="","",F1992*G1992)</f>
        <v>2280</v>
      </c>
      <c r="I1992" s="36" t="str">
        <f aca="false">IF(Raw_Export!$A1992="","",IFERROR(VLOOKUP(LOWER(TRIM(Raw_Export!H1992)),Maps!$D$2:$E$12,2,FALSE()),"Other"))</f>
        <v>Card</v>
      </c>
      <c r="J1992" s="36" t="str">
        <f aca="false">IF(Raw_Export!$A1992="","",IF(COUNTIF($A$2:A1992,A1992)&gt;1,"Duplicate",""))</f>
        <v/>
      </c>
      <c r="K1992" s="36" t="str">
        <f aca="false">IF(Raw_Export!$A1992="","",IF(J1992="Duplicate","Duplicate",IF(OR(C1992="UNMAPPED",D1992="UNMAPPED"),"Unmapped",IF(F1992=0,"Blank qty",IF(F1992&lt;0,"Return","OK")))))</f>
        <v>OK</v>
      </c>
      <c r="L1992" s="36" t="n">
        <f aca="false">IF(Raw_Export!$A1992="","",IF(OR(K1992="OK",K1992="Return"),1,0))</f>
        <v>1</v>
      </c>
      <c r="M1992" s="37" t="n">
        <f aca="false">IF(Raw_Export!$A1992="","",B1992-WEEKDAY(B1992,2)+1)</f>
        <v>46272</v>
      </c>
    </row>
    <row r="1993" customFormat="false" ht="15" hidden="false" customHeight="false" outlineLevel="0" collapsed="false">
      <c r="A1993" s="36" t="str">
        <f aca="false">IF(Raw_Export!$A1993="","",TRIM(Raw_Export!A1993))</f>
        <v>TXN-101953</v>
      </c>
      <c r="B1993" s="37" t="n">
        <f aca="false">IF(Raw_Export!$A1993="","",IF(ISNUMBER(Raw_Export!B1993),Raw_Export!B1993,IF(MID(TRIM(Raw_Export!B1993),5,1)="-",DATE(LEFT(TRIM(Raw_Export!B1993),4),MID(TRIM(Raw_Export!B1993),6,2),RIGHT(TRIM(Raw_Export!B1993),2)),DATE(RIGHT(TRIM(Raw_Export!B1993),4),MATCH(MID(TRIM(Raw_Export!B1993),4,3),{"Jan","Feb","Mar","Apr","May","Jun","Jul","Aug","Sep","Oct","Nov","Dec"},0),LEFT(TRIM(Raw_Export!B1993),2)))))</f>
        <v>46277</v>
      </c>
      <c r="C1993" s="36" t="str">
        <f aca="false">IF(Raw_Export!$A1993="","",IFERROR(VLOOKUP(LOWER(TRIM(Raw_Export!C1993)),Maps!$A$2:$B$20,2,FALSE()),"UNMAPPED"))</f>
        <v>Kisumu</v>
      </c>
      <c r="D1993" s="36" t="str">
        <f aca="false">IF(Raw_Export!$A1993="","",IFERROR(VLOOKUP(LOWER(TRIM(Raw_Export!D1993)),Maps!$G$2:$I$80,2,FALSE()),"UNMAPPED"))</f>
        <v>Fresh Milk 500ml</v>
      </c>
      <c r="E1993" s="36" t="str">
        <f aca="false">IF(Raw_Export!$A1993="","",IFERROR(VLOOKUP(LOWER(TRIM(Raw_Export!D1993)),Maps!$G$2:$I$80,3,FALSE()),"UNMAPPED"))</f>
        <v>Dairy &amp; Eggs</v>
      </c>
      <c r="F1993" s="36" t="n">
        <f aca="false">IF(Raw_Export!$A1993="","",IFERROR(VALUE(TRIM(Raw_Export!E1993)),0))</f>
        <v>2</v>
      </c>
      <c r="G1993" s="38" t="n">
        <f aca="false">IF(Raw_Export!$A1993="","",IFERROR(VALUE(SUBSTITUTE(SUBSTITUTE(UPPER(TRIM(Raw_Export!F1993)),"KES",""),",","")),0))</f>
        <v>65</v>
      </c>
      <c r="H1993" s="38" t="n">
        <f aca="false">IF(Raw_Export!$A1993="","",F1993*G1993)</f>
        <v>130</v>
      </c>
      <c r="I1993" s="36" t="str">
        <f aca="false">IF(Raw_Export!$A1993="","",IFERROR(VLOOKUP(LOWER(TRIM(Raw_Export!H1993)),Maps!$D$2:$E$12,2,FALSE()),"Other"))</f>
        <v>M-Pesa</v>
      </c>
      <c r="J1993" s="36" t="str">
        <f aca="false">IF(Raw_Export!$A1993="","",IF(COUNTIF($A$2:A1993,A1993)&gt;1,"Duplicate",""))</f>
        <v/>
      </c>
      <c r="K1993" s="36" t="str">
        <f aca="false">IF(Raw_Export!$A1993="","",IF(J1993="Duplicate","Duplicate",IF(OR(C1993="UNMAPPED",D1993="UNMAPPED"),"Unmapped",IF(F1993=0,"Blank qty",IF(F1993&lt;0,"Return","OK")))))</f>
        <v>OK</v>
      </c>
      <c r="L1993" s="36" t="n">
        <f aca="false">IF(Raw_Export!$A1993="","",IF(OR(K1993="OK",K1993="Return"),1,0))</f>
        <v>1</v>
      </c>
      <c r="M1993" s="37" t="n">
        <f aca="false">IF(Raw_Export!$A1993="","",B1993-WEEKDAY(B1993,2)+1)</f>
        <v>46272</v>
      </c>
    </row>
    <row r="1994" customFormat="false" ht="15" hidden="false" customHeight="false" outlineLevel="0" collapsed="false">
      <c r="A1994" s="36" t="str">
        <f aca="false">IF(Raw_Export!$A1994="","",TRIM(Raw_Export!A1994))</f>
        <v>TXN-101954</v>
      </c>
      <c r="B1994" s="37" t="n">
        <f aca="false">IF(Raw_Export!$A1994="","",IF(ISNUMBER(Raw_Export!B1994),Raw_Export!B1994,IF(MID(TRIM(Raw_Export!B1994),5,1)="-",DATE(LEFT(TRIM(Raw_Export!B1994),4),MID(TRIM(Raw_Export!B1994),6,2),RIGHT(TRIM(Raw_Export!B1994),2)),DATE(RIGHT(TRIM(Raw_Export!B1994),4),MATCH(MID(TRIM(Raw_Export!B1994),4,3),{"Jan","Feb","Mar","Apr","May","Jun","Jul","Aug","Sep","Oct","Nov","Dec"},0),LEFT(TRIM(Raw_Export!B1994),2)))))</f>
        <v>46277</v>
      </c>
      <c r="C1994" s="36" t="str">
        <f aca="false">IF(Raw_Export!$A1994="","",IFERROR(VLOOKUP(LOWER(TRIM(Raw_Export!C1994)),Maps!$A$2:$B$20,2,FALSE()),"UNMAPPED"))</f>
        <v>Kisumu</v>
      </c>
      <c r="D1994" s="36" t="str">
        <f aca="false">IF(Raw_Export!$A1994="","",IFERROR(VLOOKUP(LOWER(TRIM(Raw_Export!D1994)),Maps!$G$2:$I$80,2,FALSE()),"UNMAPPED"))</f>
        <v>Fresh Milk 500ml</v>
      </c>
      <c r="E1994" s="36" t="str">
        <f aca="false">IF(Raw_Export!$A1994="","",IFERROR(VLOOKUP(LOWER(TRIM(Raw_Export!D1994)),Maps!$G$2:$I$80,3,FALSE()),"UNMAPPED"))</f>
        <v>Dairy &amp; Eggs</v>
      </c>
      <c r="F1994" s="36" t="n">
        <f aca="false">IF(Raw_Export!$A1994="","",IFERROR(VALUE(TRIM(Raw_Export!E1994)),0))</f>
        <v>6</v>
      </c>
      <c r="G1994" s="38" t="n">
        <f aca="false">IF(Raw_Export!$A1994="","",IFERROR(VALUE(SUBSTITUTE(SUBSTITUTE(UPPER(TRIM(Raw_Export!F1994)),"KES",""),",","")),0))</f>
        <v>65</v>
      </c>
      <c r="H1994" s="38" t="n">
        <f aca="false">IF(Raw_Export!$A1994="","",F1994*G1994)</f>
        <v>390</v>
      </c>
      <c r="I1994" s="36" t="str">
        <f aca="false">IF(Raw_Export!$A1994="","",IFERROR(VLOOKUP(LOWER(TRIM(Raw_Export!H1994)),Maps!$D$2:$E$12,2,FALSE()),"Other"))</f>
        <v>M-Pesa</v>
      </c>
      <c r="J1994" s="36" t="str">
        <f aca="false">IF(Raw_Export!$A1994="","",IF(COUNTIF($A$2:A1994,A1994)&gt;1,"Duplicate",""))</f>
        <v/>
      </c>
      <c r="K1994" s="36" t="str">
        <f aca="false">IF(Raw_Export!$A1994="","",IF(J1994="Duplicate","Duplicate",IF(OR(C1994="UNMAPPED",D1994="UNMAPPED"),"Unmapped",IF(F1994=0,"Blank qty",IF(F1994&lt;0,"Return","OK")))))</f>
        <v>OK</v>
      </c>
      <c r="L1994" s="36" t="n">
        <f aca="false">IF(Raw_Export!$A1994="","",IF(OR(K1994="OK",K1994="Return"),1,0))</f>
        <v>1</v>
      </c>
      <c r="M1994" s="37" t="n">
        <f aca="false">IF(Raw_Export!$A1994="","",B1994-WEEKDAY(B1994,2)+1)</f>
        <v>46272</v>
      </c>
    </row>
    <row r="1995" customFormat="false" ht="15" hidden="false" customHeight="false" outlineLevel="0" collapsed="false">
      <c r="A1995" s="36" t="str">
        <f aca="false">IF(Raw_Export!$A1995="","",TRIM(Raw_Export!A1995))</f>
        <v>TXN-101955</v>
      </c>
      <c r="B1995" s="37" t="n">
        <f aca="false">IF(Raw_Export!$A1995="","",IF(ISNUMBER(Raw_Export!B1995),Raw_Export!B1995,IF(MID(TRIM(Raw_Export!B1995),5,1)="-",DATE(LEFT(TRIM(Raw_Export!B1995),4),MID(TRIM(Raw_Export!B1995),6,2),RIGHT(TRIM(Raw_Export!B1995),2)),DATE(RIGHT(TRIM(Raw_Export!B1995),4),MATCH(MID(TRIM(Raw_Export!B1995),4,3),{"Jan","Feb","Mar","Apr","May","Jun","Jul","Aug","Sep","Oct","Nov","Dec"},0),LEFT(TRIM(Raw_Export!B1995),2)))))</f>
        <v>46277</v>
      </c>
      <c r="C1995" s="36" t="str">
        <f aca="false">IF(Raw_Export!$A1995="","",IFERROR(VLOOKUP(LOWER(TRIM(Raw_Export!C1995)),Maps!$A$2:$B$20,2,FALSE()),"UNMAPPED"))</f>
        <v>Kisumu</v>
      </c>
      <c r="D1995" s="36" t="str">
        <f aca="false">IF(Raw_Export!$A1995="","",IFERROR(VLOOKUP(LOWER(TRIM(Raw_Export!D1995)),Maps!$G$2:$I$80,2,FALSE()),"UNMAPPED"))</f>
        <v>Bottled Water 1.5L</v>
      </c>
      <c r="E1995" s="36" t="str">
        <f aca="false">IF(Raw_Export!$A1995="","",IFERROR(VLOOKUP(LOWER(TRIM(Raw_Export!D1995)),Maps!$G$2:$I$80,3,FALSE()),"UNMAPPED"))</f>
        <v>Beverages</v>
      </c>
      <c r="F1995" s="36" t="n">
        <f aca="false">IF(Raw_Export!$A1995="","",IFERROR(VALUE(TRIM(Raw_Export!E1995)),0))</f>
        <v>6</v>
      </c>
      <c r="G1995" s="38" t="n">
        <f aca="false">IF(Raw_Export!$A1995="","",IFERROR(VALUE(SUBSTITUTE(SUBSTITUTE(UPPER(TRIM(Raw_Export!F1995)),"KES",""),",","")),0))</f>
        <v>90</v>
      </c>
      <c r="H1995" s="38" t="n">
        <f aca="false">IF(Raw_Export!$A1995="","",F1995*G1995)</f>
        <v>540</v>
      </c>
      <c r="I1995" s="36" t="str">
        <f aca="false">IF(Raw_Export!$A1995="","",IFERROR(VLOOKUP(LOWER(TRIM(Raw_Export!H1995)),Maps!$D$2:$E$12,2,FALSE()),"Other"))</f>
        <v>M-Pesa</v>
      </c>
      <c r="J1995" s="36" t="str">
        <f aca="false">IF(Raw_Export!$A1995="","",IF(COUNTIF($A$2:A1995,A1995)&gt;1,"Duplicate",""))</f>
        <v/>
      </c>
      <c r="K1995" s="36" t="str">
        <f aca="false">IF(Raw_Export!$A1995="","",IF(J1995="Duplicate","Duplicate",IF(OR(C1995="UNMAPPED",D1995="UNMAPPED"),"Unmapped",IF(F1995=0,"Blank qty",IF(F1995&lt;0,"Return","OK")))))</f>
        <v>OK</v>
      </c>
      <c r="L1995" s="36" t="n">
        <f aca="false">IF(Raw_Export!$A1995="","",IF(OR(K1995="OK",K1995="Return"),1,0))</f>
        <v>1</v>
      </c>
      <c r="M1995" s="37" t="n">
        <f aca="false">IF(Raw_Export!$A1995="","",B1995-WEEKDAY(B1995,2)+1)</f>
        <v>46272</v>
      </c>
    </row>
    <row r="1996" customFormat="false" ht="15" hidden="false" customHeight="false" outlineLevel="0" collapsed="false">
      <c r="A1996" s="36" t="str">
        <f aca="false">IF(Raw_Export!$A1996="","",TRIM(Raw_Export!A1996))</f>
        <v>TXN-101956</v>
      </c>
      <c r="B1996" s="37" t="n">
        <f aca="false">IF(Raw_Export!$A1996="","",IF(ISNUMBER(Raw_Export!B1996),Raw_Export!B1996,IF(MID(TRIM(Raw_Export!B1996),5,1)="-",DATE(LEFT(TRIM(Raw_Export!B1996),4),MID(TRIM(Raw_Export!B1996),6,2),RIGHT(TRIM(Raw_Export!B1996),2)),DATE(RIGHT(TRIM(Raw_Export!B1996),4),MATCH(MID(TRIM(Raw_Export!B1996),4,3),{"Jan","Feb","Mar","Apr","May","Jun","Jul","Aug","Sep","Oct","Nov","Dec"},0),LEFT(TRIM(Raw_Export!B1996),2)))))</f>
        <v>46277</v>
      </c>
      <c r="C1996" s="36" t="str">
        <f aca="false">IF(Raw_Export!$A1996="","",IFERROR(VLOOKUP(LOWER(TRIM(Raw_Export!C1996)),Maps!$A$2:$B$20,2,FALSE()),"UNMAPPED"))</f>
        <v>Kisumu</v>
      </c>
      <c r="D1996" s="36" t="str">
        <f aca="false">IF(Raw_Export!$A1996="","",IFERROR(VLOOKUP(LOWER(TRIM(Raw_Export!D1996)),Maps!$G$2:$I$80,2,FALSE()),"UNMAPPED"))</f>
        <v>Soda 500ml</v>
      </c>
      <c r="E1996" s="36" t="str">
        <f aca="false">IF(Raw_Export!$A1996="","",IFERROR(VLOOKUP(LOWER(TRIM(Raw_Export!D1996)),Maps!$G$2:$I$80,3,FALSE()),"UNMAPPED"))</f>
        <v>Beverages</v>
      </c>
      <c r="F1996" s="36" t="n">
        <f aca="false">IF(Raw_Export!$A1996="","",IFERROR(VALUE(TRIM(Raw_Export!E1996)),0))</f>
        <v>2</v>
      </c>
      <c r="G1996" s="38" t="n">
        <f aca="false">IF(Raw_Export!$A1996="","",IFERROR(VALUE(SUBSTITUTE(SUBSTITUTE(UPPER(TRIM(Raw_Export!F1996)),"KES",""),",","")),0))</f>
        <v>60</v>
      </c>
      <c r="H1996" s="38" t="n">
        <f aca="false">IF(Raw_Export!$A1996="","",F1996*G1996)</f>
        <v>120</v>
      </c>
      <c r="I1996" s="36" t="str">
        <f aca="false">IF(Raw_Export!$A1996="","",IFERROR(VLOOKUP(LOWER(TRIM(Raw_Export!H1996)),Maps!$D$2:$E$12,2,FALSE()),"Other"))</f>
        <v>M-Pesa</v>
      </c>
      <c r="J1996" s="36" t="str">
        <f aca="false">IF(Raw_Export!$A1996="","",IF(COUNTIF($A$2:A1996,A1996)&gt;1,"Duplicate",""))</f>
        <v/>
      </c>
      <c r="K1996" s="36" t="str">
        <f aca="false">IF(Raw_Export!$A1996="","",IF(J1996="Duplicate","Duplicate",IF(OR(C1996="UNMAPPED",D1996="UNMAPPED"),"Unmapped",IF(F1996=0,"Blank qty",IF(F1996&lt;0,"Return","OK")))))</f>
        <v>OK</v>
      </c>
      <c r="L1996" s="36" t="n">
        <f aca="false">IF(Raw_Export!$A1996="","",IF(OR(K1996="OK",K1996="Return"),1,0))</f>
        <v>1</v>
      </c>
      <c r="M1996" s="37" t="n">
        <f aca="false">IF(Raw_Export!$A1996="","",B1996-WEEKDAY(B1996,2)+1)</f>
        <v>46272</v>
      </c>
    </row>
    <row r="1997" customFormat="false" ht="15" hidden="false" customHeight="false" outlineLevel="0" collapsed="false">
      <c r="A1997" s="36" t="str">
        <f aca="false">IF(Raw_Export!$A1997="","",TRIM(Raw_Export!A1997))</f>
        <v>TXN-101957</v>
      </c>
      <c r="B1997" s="37" t="n">
        <f aca="false">IF(Raw_Export!$A1997="","",IF(ISNUMBER(Raw_Export!B1997),Raw_Export!B1997,IF(MID(TRIM(Raw_Export!B1997),5,1)="-",DATE(LEFT(TRIM(Raw_Export!B1997),4),MID(TRIM(Raw_Export!B1997),6,2),RIGHT(TRIM(Raw_Export!B1997),2)),DATE(RIGHT(TRIM(Raw_Export!B1997),4),MATCH(MID(TRIM(Raw_Export!B1997),4,3),{"Jan","Feb","Mar","Apr","May","Jun","Jul","Aug","Sep","Oct","Nov","Dec"},0),LEFT(TRIM(Raw_Export!B1997),2)))))</f>
        <v>46277</v>
      </c>
      <c r="C1997" s="36" t="str">
        <f aca="false">IF(Raw_Export!$A1997="","",IFERROR(VLOOKUP(LOWER(TRIM(Raw_Export!C1997)),Maps!$A$2:$B$20,2,FALSE()),"UNMAPPED"))</f>
        <v>Kisumu</v>
      </c>
      <c r="D1997" s="36" t="str">
        <f aca="false">IF(Raw_Export!$A1997="","",IFERROR(VLOOKUP(LOWER(TRIM(Raw_Export!D1997)),Maps!$G$2:$I$80,2,FALSE()),"UNMAPPED"))</f>
        <v>Cooking Oil 1L</v>
      </c>
      <c r="E1997" s="36" t="str">
        <f aca="false">IF(Raw_Export!$A1997="","",IFERROR(VLOOKUP(LOWER(TRIM(Raw_Export!D1997)),Maps!$G$2:$I$80,3,FALSE()),"UNMAPPED"))</f>
        <v>Staples</v>
      </c>
      <c r="F1997" s="36" t="n">
        <f aca="false">IF(Raw_Export!$A1997="","",IFERROR(VALUE(TRIM(Raw_Export!E1997)),0))</f>
        <v>2</v>
      </c>
      <c r="G1997" s="38" t="n">
        <f aca="false">IF(Raw_Export!$A1997="","",IFERROR(VALUE(SUBSTITUTE(SUBSTITUTE(UPPER(TRIM(Raw_Export!F1997)),"KES",""),",","")),0))</f>
        <v>330</v>
      </c>
      <c r="H1997" s="38" t="n">
        <f aca="false">IF(Raw_Export!$A1997="","",F1997*G1997)</f>
        <v>660</v>
      </c>
      <c r="I1997" s="36" t="str">
        <f aca="false">IF(Raw_Export!$A1997="","",IFERROR(VLOOKUP(LOWER(TRIM(Raw_Export!H1997)),Maps!$D$2:$E$12,2,FALSE()),"Other"))</f>
        <v>Cash</v>
      </c>
      <c r="J1997" s="36" t="str">
        <f aca="false">IF(Raw_Export!$A1997="","",IF(COUNTIF($A$2:A1997,A1997)&gt;1,"Duplicate",""))</f>
        <v/>
      </c>
      <c r="K1997" s="36" t="str">
        <f aca="false">IF(Raw_Export!$A1997="","",IF(J1997="Duplicate","Duplicate",IF(OR(C1997="UNMAPPED",D1997="UNMAPPED"),"Unmapped",IF(F1997=0,"Blank qty",IF(F1997&lt;0,"Return","OK")))))</f>
        <v>OK</v>
      </c>
      <c r="L1997" s="36" t="n">
        <f aca="false">IF(Raw_Export!$A1997="","",IF(OR(K1997="OK",K1997="Return"),1,0))</f>
        <v>1</v>
      </c>
      <c r="M1997" s="37" t="n">
        <f aca="false">IF(Raw_Export!$A1997="","",B1997-WEEKDAY(B1997,2)+1)</f>
        <v>46272</v>
      </c>
    </row>
    <row r="1998" customFormat="false" ht="15" hidden="false" customHeight="false" outlineLevel="0" collapsed="false">
      <c r="A1998" s="36" t="str">
        <f aca="false">IF(Raw_Export!$A1998="","",TRIM(Raw_Export!A1998))</f>
        <v>TXN-101958</v>
      </c>
      <c r="B1998" s="37" t="n">
        <f aca="false">IF(Raw_Export!$A1998="","",IF(ISNUMBER(Raw_Export!B1998),Raw_Export!B1998,IF(MID(TRIM(Raw_Export!B1998),5,1)="-",DATE(LEFT(TRIM(Raw_Export!B1998),4),MID(TRIM(Raw_Export!B1998),6,2),RIGHT(TRIM(Raw_Export!B1998),2)),DATE(RIGHT(TRIM(Raw_Export!B1998),4),MATCH(MID(TRIM(Raw_Export!B1998),4,3),{"Jan","Feb","Mar","Apr","May","Jun","Jul","Aug","Sep","Oct","Nov","Dec"},0),LEFT(TRIM(Raw_Export!B1998),2)))))</f>
        <v>46277</v>
      </c>
      <c r="C1998" s="36" t="str">
        <f aca="false">IF(Raw_Export!$A1998="","",IFERROR(VLOOKUP(LOWER(TRIM(Raw_Export!C1998)),Maps!$A$2:$B$20,2,FALSE()),"UNMAPPED"))</f>
        <v>Kisumu</v>
      </c>
      <c r="D1998" s="36" t="str">
        <f aca="false">IF(Raw_Export!$A1998="","",IFERROR(VLOOKUP(LOWER(TRIM(Raw_Export!D1998)),Maps!$G$2:$I$80,2,FALSE()),"UNMAPPED"))</f>
        <v>Sugar 2kg</v>
      </c>
      <c r="E1998" s="36" t="str">
        <f aca="false">IF(Raw_Export!$A1998="","",IFERROR(VLOOKUP(LOWER(TRIM(Raw_Export!D1998)),Maps!$G$2:$I$80,3,FALSE()),"UNMAPPED"))</f>
        <v>Staples</v>
      </c>
      <c r="F1998" s="36" t="n">
        <f aca="false">IF(Raw_Export!$A1998="","",IFERROR(VALUE(TRIM(Raw_Export!E1998)),0))</f>
        <v>2</v>
      </c>
      <c r="G1998" s="38" t="n">
        <f aca="false">IF(Raw_Export!$A1998="","",IFERROR(VALUE(SUBSTITUTE(SUBSTITUTE(UPPER(TRIM(Raw_Export!F1998)),"KES",""),",","")),0))</f>
        <v>330</v>
      </c>
      <c r="H1998" s="38" t="n">
        <f aca="false">IF(Raw_Export!$A1998="","",F1998*G1998)</f>
        <v>660</v>
      </c>
      <c r="I1998" s="36" t="str">
        <f aca="false">IF(Raw_Export!$A1998="","",IFERROR(VLOOKUP(LOWER(TRIM(Raw_Export!H1998)),Maps!$D$2:$E$12,2,FALSE()),"Other"))</f>
        <v>M-Pesa</v>
      </c>
      <c r="J1998" s="36" t="str">
        <f aca="false">IF(Raw_Export!$A1998="","",IF(COUNTIF($A$2:A1998,A1998)&gt;1,"Duplicate",""))</f>
        <v/>
      </c>
      <c r="K1998" s="36" t="str">
        <f aca="false">IF(Raw_Export!$A1998="","",IF(J1998="Duplicate","Duplicate",IF(OR(C1998="UNMAPPED",D1998="UNMAPPED"),"Unmapped",IF(F1998=0,"Blank qty",IF(F1998&lt;0,"Return","OK")))))</f>
        <v>OK</v>
      </c>
      <c r="L1998" s="36" t="n">
        <f aca="false">IF(Raw_Export!$A1998="","",IF(OR(K1998="OK",K1998="Return"),1,0))</f>
        <v>1</v>
      </c>
      <c r="M1998" s="37" t="n">
        <f aca="false">IF(Raw_Export!$A1998="","",B1998-WEEKDAY(B1998,2)+1)</f>
        <v>46272</v>
      </c>
    </row>
    <row r="1999" customFormat="false" ht="15" hidden="false" customHeight="false" outlineLevel="0" collapsed="false">
      <c r="A1999" s="36" t="str">
        <f aca="false">IF(Raw_Export!$A1999="","",TRIM(Raw_Export!A1999))</f>
        <v>TXN-101959</v>
      </c>
      <c r="B1999" s="37" t="n">
        <f aca="false">IF(Raw_Export!$A1999="","",IF(ISNUMBER(Raw_Export!B1999),Raw_Export!B1999,IF(MID(TRIM(Raw_Export!B1999),5,1)="-",DATE(LEFT(TRIM(Raw_Export!B1999),4),MID(TRIM(Raw_Export!B1999),6,2),RIGHT(TRIM(Raw_Export!B1999),2)),DATE(RIGHT(TRIM(Raw_Export!B1999),4),MATCH(MID(TRIM(Raw_Export!B1999),4,3),{"Jan","Feb","Mar","Apr","May","Jun","Jul","Aug","Sep","Oct","Nov","Dec"},0),LEFT(TRIM(Raw_Export!B1999),2)))))</f>
        <v>46277</v>
      </c>
      <c r="C1999" s="36" t="str">
        <f aca="false">IF(Raw_Export!$A1999="","",IFERROR(VLOOKUP(LOWER(TRIM(Raw_Export!C1999)),Maps!$A$2:$B$20,2,FALSE()),"UNMAPPED"))</f>
        <v>Nakuru</v>
      </c>
      <c r="D1999" s="36" t="str">
        <f aca="false">IF(Raw_Export!$A1999="","",IFERROR(VLOOKUP(LOWER(TRIM(Raw_Export!D1999)),Maps!$G$2:$I$80,2,FALSE()),"UNMAPPED"))</f>
        <v>Bottled Water 1.5L</v>
      </c>
      <c r="E1999" s="36" t="str">
        <f aca="false">IF(Raw_Export!$A1999="","",IFERROR(VLOOKUP(LOWER(TRIM(Raw_Export!D1999)),Maps!$G$2:$I$80,3,FALSE()),"UNMAPPED"))</f>
        <v>Beverages</v>
      </c>
      <c r="F1999" s="36" t="n">
        <f aca="false">IF(Raw_Export!$A1999="","",IFERROR(VALUE(TRIM(Raw_Export!E1999)),0))</f>
        <v>1</v>
      </c>
      <c r="G1999" s="38" t="n">
        <f aca="false">IF(Raw_Export!$A1999="","",IFERROR(VALUE(SUBSTITUTE(SUBSTITUTE(UPPER(TRIM(Raw_Export!F1999)),"KES",""),",","")),0))</f>
        <v>90</v>
      </c>
      <c r="H1999" s="38" t="n">
        <f aca="false">IF(Raw_Export!$A1999="","",F1999*G1999)</f>
        <v>90</v>
      </c>
      <c r="I1999" s="36" t="str">
        <f aca="false">IF(Raw_Export!$A1999="","",IFERROR(VLOOKUP(LOWER(TRIM(Raw_Export!H1999)),Maps!$D$2:$E$12,2,FALSE()),"Other"))</f>
        <v>Cash</v>
      </c>
      <c r="J1999" s="36" t="str">
        <f aca="false">IF(Raw_Export!$A1999="","",IF(COUNTIF($A$2:A1999,A1999)&gt;1,"Duplicate",""))</f>
        <v/>
      </c>
      <c r="K1999" s="36" t="str">
        <f aca="false">IF(Raw_Export!$A1999="","",IF(J1999="Duplicate","Duplicate",IF(OR(C1999="UNMAPPED",D1999="UNMAPPED"),"Unmapped",IF(F1999=0,"Blank qty",IF(F1999&lt;0,"Return","OK")))))</f>
        <v>OK</v>
      </c>
      <c r="L1999" s="36" t="n">
        <f aca="false">IF(Raw_Export!$A1999="","",IF(OR(K1999="OK",K1999="Return"),1,0))</f>
        <v>1</v>
      </c>
      <c r="M1999" s="37" t="n">
        <f aca="false">IF(Raw_Export!$A1999="","",B1999-WEEKDAY(B1999,2)+1)</f>
        <v>46272</v>
      </c>
    </row>
    <row r="2000" customFormat="false" ht="15" hidden="false" customHeight="false" outlineLevel="0" collapsed="false">
      <c r="A2000" s="36" t="str">
        <f aca="false">IF(Raw_Export!$A2000="","",TRIM(Raw_Export!A2000))</f>
        <v>TXN-101960</v>
      </c>
      <c r="B2000" s="37" t="n">
        <f aca="false">IF(Raw_Export!$A2000="","",IF(ISNUMBER(Raw_Export!B2000),Raw_Export!B2000,IF(MID(TRIM(Raw_Export!B2000),5,1)="-",DATE(LEFT(TRIM(Raw_Export!B2000),4),MID(TRIM(Raw_Export!B2000),6,2),RIGHT(TRIM(Raw_Export!B2000),2)),DATE(RIGHT(TRIM(Raw_Export!B2000),4),MATCH(MID(TRIM(Raw_Export!B2000),4,3),{"Jan","Feb","Mar","Apr","May","Jun","Jul","Aug","Sep","Oct","Nov","Dec"},0),LEFT(TRIM(Raw_Export!B2000),2)))))</f>
        <v>46277</v>
      </c>
      <c r="C2000" s="36" t="str">
        <f aca="false">IF(Raw_Export!$A2000="","",IFERROR(VLOOKUP(LOWER(TRIM(Raw_Export!C2000)),Maps!$A$2:$B$20,2,FALSE()),"UNMAPPED"))</f>
        <v>Nakuru</v>
      </c>
      <c r="D2000" s="36" t="str">
        <f aca="false">IF(Raw_Export!$A2000="","",IFERROR(VLOOKUP(LOWER(TRIM(Raw_Export!D2000)),Maps!$G$2:$I$80,2,FALSE()),"UNMAPPED"))</f>
        <v>Sugar 2kg</v>
      </c>
      <c r="E2000" s="36" t="str">
        <f aca="false">IF(Raw_Export!$A2000="","",IFERROR(VLOOKUP(LOWER(TRIM(Raw_Export!D2000)),Maps!$G$2:$I$80,3,FALSE()),"UNMAPPED"))</f>
        <v>Staples</v>
      </c>
      <c r="F2000" s="36" t="n">
        <f aca="false">IF(Raw_Export!$A2000="","",IFERROR(VALUE(TRIM(Raw_Export!E2000)),0))</f>
        <v>1</v>
      </c>
      <c r="G2000" s="38" t="n">
        <f aca="false">IF(Raw_Export!$A2000="","",IFERROR(VALUE(SUBSTITUTE(SUBSTITUTE(UPPER(TRIM(Raw_Export!F2000)),"KES",""),",","")),0))</f>
        <v>330</v>
      </c>
      <c r="H2000" s="38" t="n">
        <f aca="false">IF(Raw_Export!$A2000="","",F2000*G2000)</f>
        <v>330</v>
      </c>
      <c r="I2000" s="36" t="str">
        <f aca="false">IF(Raw_Export!$A2000="","",IFERROR(VLOOKUP(LOWER(TRIM(Raw_Export!H2000)),Maps!$D$2:$E$12,2,FALSE()),"Other"))</f>
        <v>M-Pesa</v>
      </c>
      <c r="J2000" s="36" t="str">
        <f aca="false">IF(Raw_Export!$A2000="","",IF(COUNTIF($A$2:A2000,A2000)&gt;1,"Duplicate",""))</f>
        <v/>
      </c>
      <c r="K2000" s="36" t="str">
        <f aca="false">IF(Raw_Export!$A2000="","",IF(J2000="Duplicate","Duplicate",IF(OR(C2000="UNMAPPED",D2000="UNMAPPED"),"Unmapped",IF(F2000=0,"Blank qty",IF(F2000&lt;0,"Return","OK")))))</f>
        <v>OK</v>
      </c>
      <c r="L2000" s="36" t="n">
        <f aca="false">IF(Raw_Export!$A2000="","",IF(OR(K2000="OK",K2000="Return"),1,0))</f>
        <v>1</v>
      </c>
      <c r="M2000" s="37" t="n">
        <f aca="false">IF(Raw_Export!$A2000="","",B2000-WEEKDAY(B2000,2)+1)</f>
        <v>46272</v>
      </c>
    </row>
    <row r="2001" customFormat="false" ht="15" hidden="false" customHeight="false" outlineLevel="0" collapsed="false">
      <c r="A2001" s="36" t="str">
        <f aca="false">IF(Raw_Export!$A2001="","",TRIM(Raw_Export!A2001))</f>
        <v>TXN-101961</v>
      </c>
      <c r="B2001" s="37" t="n">
        <f aca="false">IF(Raw_Export!$A2001="","",IF(ISNUMBER(Raw_Export!B2001),Raw_Export!B2001,IF(MID(TRIM(Raw_Export!B2001),5,1)="-",DATE(LEFT(TRIM(Raw_Export!B2001),4),MID(TRIM(Raw_Export!B2001),6,2),RIGHT(TRIM(Raw_Export!B2001),2)),DATE(RIGHT(TRIM(Raw_Export!B2001),4),MATCH(MID(TRIM(Raw_Export!B2001),4,3),{"Jan","Feb","Mar","Apr","May","Jun","Jul","Aug","Sep","Oct","Nov","Dec"},0),LEFT(TRIM(Raw_Export!B2001),2)))))</f>
        <v>46277</v>
      </c>
      <c r="C2001" s="36" t="str">
        <f aca="false">IF(Raw_Export!$A2001="","",IFERROR(VLOOKUP(LOWER(TRIM(Raw_Export!C2001)),Maps!$A$2:$B$20,2,FALSE()),"UNMAPPED"))</f>
        <v>Nakuru</v>
      </c>
      <c r="D2001" s="36" t="str">
        <f aca="false">IF(Raw_Export!$A2001="","",IFERROR(VLOOKUP(LOWER(TRIM(Raw_Export!D2001)),Maps!$G$2:$I$80,2,FALSE()),"UNMAPPED"))</f>
        <v>Bath Soap 175g</v>
      </c>
      <c r="E2001" s="36" t="str">
        <f aca="false">IF(Raw_Export!$A2001="","",IFERROR(VLOOKUP(LOWER(TRIM(Raw_Export!D2001)),Maps!$G$2:$I$80,3,FALSE()),"UNMAPPED"))</f>
        <v>Personal Care</v>
      </c>
      <c r="F2001" s="36" t="n">
        <f aca="false">IF(Raw_Export!$A2001="","",IFERROR(VALUE(TRIM(Raw_Export!E2001)),0))</f>
        <v>3</v>
      </c>
      <c r="G2001" s="38" t="n">
        <f aca="false">IF(Raw_Export!$A2001="","",IFERROR(VALUE(SUBSTITUTE(SUBSTITUTE(UPPER(TRIM(Raw_Export!F2001)),"KES",""),",","")),0))</f>
        <v>85</v>
      </c>
      <c r="H2001" s="38" t="n">
        <f aca="false">IF(Raw_Export!$A2001="","",F2001*G2001)</f>
        <v>255</v>
      </c>
      <c r="I2001" s="36" t="str">
        <f aca="false">IF(Raw_Export!$A2001="","",IFERROR(VLOOKUP(LOWER(TRIM(Raw_Export!H2001)),Maps!$D$2:$E$12,2,FALSE()),"Other"))</f>
        <v>Card</v>
      </c>
      <c r="J2001" s="36" t="str">
        <f aca="false">IF(Raw_Export!$A2001="","",IF(COUNTIF($A$2:A2001,A2001)&gt;1,"Duplicate",""))</f>
        <v/>
      </c>
      <c r="K2001" s="36" t="str">
        <f aca="false">IF(Raw_Export!$A2001="","",IF(J2001="Duplicate","Duplicate",IF(OR(C2001="UNMAPPED",D2001="UNMAPPED"),"Unmapped",IF(F2001=0,"Blank qty",IF(F2001&lt;0,"Return","OK")))))</f>
        <v>OK</v>
      </c>
      <c r="L2001" s="36" t="n">
        <f aca="false">IF(Raw_Export!$A2001="","",IF(OR(K2001="OK",K2001="Return"),1,0))</f>
        <v>1</v>
      </c>
      <c r="M2001" s="37" t="n">
        <f aca="false">IF(Raw_Export!$A2001="","",B2001-WEEKDAY(B2001,2)+1)</f>
        <v>46272</v>
      </c>
    </row>
    <row r="2002" customFormat="false" ht="15" hidden="false" customHeight="false" outlineLevel="0" collapsed="false">
      <c r="A2002" s="36" t="str">
        <f aca="false">IF(Raw_Export!$A2002="","",TRIM(Raw_Export!A2002))</f>
        <v>TXN-101962</v>
      </c>
      <c r="B2002" s="37" t="n">
        <f aca="false">IF(Raw_Export!$A2002="","",IF(ISNUMBER(Raw_Export!B2002),Raw_Export!B2002,IF(MID(TRIM(Raw_Export!B2002),5,1)="-",DATE(LEFT(TRIM(Raw_Export!B2002),4),MID(TRIM(Raw_Export!B2002),6,2),RIGHT(TRIM(Raw_Export!B2002),2)),DATE(RIGHT(TRIM(Raw_Export!B2002),4),MATCH(MID(TRIM(Raw_Export!B2002),4,3),{"Jan","Feb","Mar","Apr","May","Jun","Jul","Aug","Sep","Oct","Nov","Dec"},0),LEFT(TRIM(Raw_Export!B2002),2)))))</f>
        <v>46277</v>
      </c>
      <c r="C2002" s="36" t="str">
        <f aca="false">IF(Raw_Export!$A2002="","",IFERROR(VLOOKUP(LOWER(TRIM(Raw_Export!C2002)),Maps!$A$2:$B$20,2,FALSE()),"UNMAPPED"))</f>
        <v>Nakuru</v>
      </c>
      <c r="D2002" s="36" t="str">
        <f aca="false">IF(Raw_Export!$A2002="","",IFERROR(VLOOKUP(LOWER(TRIM(Raw_Export!D2002)),Maps!$G$2:$I$80,2,FALSE()),"UNMAPPED"))</f>
        <v>Eggs Tray 30</v>
      </c>
      <c r="E2002" s="36" t="str">
        <f aca="false">IF(Raw_Export!$A2002="","",IFERROR(VLOOKUP(LOWER(TRIM(Raw_Export!D2002)),Maps!$G$2:$I$80,3,FALSE()),"UNMAPPED"))</f>
        <v>Dairy &amp; Eggs</v>
      </c>
      <c r="F2002" s="36" t="n">
        <f aca="false">IF(Raw_Export!$A2002="","",IFERROR(VALUE(TRIM(Raw_Export!E2002)),0))</f>
        <v>4</v>
      </c>
      <c r="G2002" s="38" t="n">
        <f aca="false">IF(Raw_Export!$A2002="","",IFERROR(VALUE(SUBSTITUTE(SUBSTITUTE(UPPER(TRIM(Raw_Export!F2002)),"KES",""),",","")),0))</f>
        <v>450</v>
      </c>
      <c r="H2002" s="38" t="n">
        <f aca="false">IF(Raw_Export!$A2002="","",F2002*G2002)</f>
        <v>1800</v>
      </c>
      <c r="I2002" s="36" t="str">
        <f aca="false">IF(Raw_Export!$A2002="","",IFERROR(VLOOKUP(LOWER(TRIM(Raw_Export!H2002)),Maps!$D$2:$E$12,2,FALSE()),"Other"))</f>
        <v>M-Pesa</v>
      </c>
      <c r="J2002" s="36" t="str">
        <f aca="false">IF(Raw_Export!$A2002="","",IF(COUNTIF($A$2:A2002,A2002)&gt;1,"Duplicate",""))</f>
        <v/>
      </c>
      <c r="K2002" s="36" t="str">
        <f aca="false">IF(Raw_Export!$A2002="","",IF(J2002="Duplicate","Duplicate",IF(OR(C2002="UNMAPPED",D2002="UNMAPPED"),"Unmapped",IF(F2002=0,"Blank qty",IF(F2002&lt;0,"Return","OK")))))</f>
        <v>OK</v>
      </c>
      <c r="L2002" s="36" t="n">
        <f aca="false">IF(Raw_Export!$A2002="","",IF(OR(K2002="OK",K2002="Return"),1,0))</f>
        <v>1</v>
      </c>
      <c r="M2002" s="37" t="n">
        <f aca="false">IF(Raw_Export!$A2002="","",B2002-WEEKDAY(B2002,2)+1)</f>
        <v>46272</v>
      </c>
    </row>
    <row r="2003" customFormat="false" ht="15" hidden="false" customHeight="false" outlineLevel="0" collapsed="false">
      <c r="A2003" s="36" t="str">
        <f aca="false">IF(Raw_Export!$A2003="","",TRIM(Raw_Export!A2003))</f>
        <v>TXN-101963</v>
      </c>
      <c r="B2003" s="37" t="n">
        <f aca="false">IF(Raw_Export!$A2003="","",IF(ISNUMBER(Raw_Export!B2003),Raw_Export!B2003,IF(MID(TRIM(Raw_Export!B2003),5,1)="-",DATE(LEFT(TRIM(Raw_Export!B2003),4),MID(TRIM(Raw_Export!B2003),6,2),RIGHT(TRIM(Raw_Export!B2003),2)),DATE(RIGHT(TRIM(Raw_Export!B2003),4),MATCH(MID(TRIM(Raw_Export!B2003),4,3),{"Jan","Feb","Mar","Apr","May","Jun","Jul","Aug","Sep","Oct","Nov","Dec"},0),LEFT(TRIM(Raw_Export!B2003),2)))))</f>
        <v>46277</v>
      </c>
      <c r="C2003" s="36" t="str">
        <f aca="false">IF(Raw_Export!$A2003="","",IFERROR(VLOOKUP(LOWER(TRIM(Raw_Export!C2003)),Maps!$A$2:$B$20,2,FALSE()),"UNMAPPED"))</f>
        <v>Nakuru</v>
      </c>
      <c r="D2003" s="36" t="str">
        <f aca="false">IF(Raw_Export!$A2003="","",IFERROR(VLOOKUP(LOWER(TRIM(Raw_Export!D2003)),Maps!$G$2:$I$80,2,FALSE()),"UNMAPPED"))</f>
        <v>Soda 500ml</v>
      </c>
      <c r="E2003" s="36" t="str">
        <f aca="false">IF(Raw_Export!$A2003="","",IFERROR(VLOOKUP(LOWER(TRIM(Raw_Export!D2003)),Maps!$G$2:$I$80,3,FALSE()),"UNMAPPED"))</f>
        <v>Beverages</v>
      </c>
      <c r="F2003" s="36" t="n">
        <f aca="false">IF(Raw_Export!$A2003="","",IFERROR(VALUE(TRIM(Raw_Export!E2003)),0))</f>
        <v>4</v>
      </c>
      <c r="G2003" s="38" t="n">
        <f aca="false">IF(Raw_Export!$A2003="","",IFERROR(VALUE(SUBSTITUTE(SUBSTITUTE(UPPER(TRIM(Raw_Export!F2003)),"KES",""),",","")),0))</f>
        <v>60</v>
      </c>
      <c r="H2003" s="38" t="n">
        <f aca="false">IF(Raw_Export!$A2003="","",F2003*G2003)</f>
        <v>240</v>
      </c>
      <c r="I2003" s="36" t="str">
        <f aca="false">IF(Raw_Export!$A2003="","",IFERROR(VLOOKUP(LOWER(TRIM(Raw_Export!H2003)),Maps!$D$2:$E$12,2,FALSE()),"Other"))</f>
        <v>Cash</v>
      </c>
      <c r="J2003" s="36" t="str">
        <f aca="false">IF(Raw_Export!$A2003="","",IF(COUNTIF($A$2:A2003,A2003)&gt;1,"Duplicate",""))</f>
        <v/>
      </c>
      <c r="K2003" s="36" t="str">
        <f aca="false">IF(Raw_Export!$A2003="","",IF(J2003="Duplicate","Duplicate",IF(OR(C2003="UNMAPPED",D2003="UNMAPPED"),"Unmapped",IF(F2003=0,"Blank qty",IF(F2003&lt;0,"Return","OK")))))</f>
        <v>OK</v>
      </c>
      <c r="L2003" s="36" t="n">
        <f aca="false">IF(Raw_Export!$A2003="","",IF(OR(K2003="OK",K2003="Return"),1,0))</f>
        <v>1</v>
      </c>
      <c r="M2003" s="37" t="n">
        <f aca="false">IF(Raw_Export!$A2003="","",B2003-WEEKDAY(B2003,2)+1)</f>
        <v>46272</v>
      </c>
    </row>
    <row r="2004" customFormat="false" ht="15" hidden="false" customHeight="false" outlineLevel="0" collapsed="false">
      <c r="A2004" s="36" t="str">
        <f aca="false">IF(Raw_Export!$A2004="","",TRIM(Raw_Export!A2004))</f>
        <v>TXN-101964</v>
      </c>
      <c r="B2004" s="37" t="n">
        <f aca="false">IF(Raw_Export!$A2004="","",IF(ISNUMBER(Raw_Export!B2004),Raw_Export!B2004,IF(MID(TRIM(Raw_Export!B2004),5,1)="-",DATE(LEFT(TRIM(Raw_Export!B2004),4),MID(TRIM(Raw_Export!B2004),6,2),RIGHT(TRIM(Raw_Export!B2004),2)),DATE(RIGHT(TRIM(Raw_Export!B2004),4),MATCH(MID(TRIM(Raw_Export!B2004),4,3),{"Jan","Feb","Mar","Apr","May","Jun","Jul","Aug","Sep","Oct","Nov","Dec"},0),LEFT(TRIM(Raw_Export!B2004),2)))))</f>
        <v>46277</v>
      </c>
      <c r="C2004" s="36" t="str">
        <f aca="false">IF(Raw_Export!$A2004="","",IFERROR(VLOOKUP(LOWER(TRIM(Raw_Export!C2004)),Maps!$A$2:$B$20,2,FALSE()),"UNMAPPED"))</f>
        <v>Nakuru</v>
      </c>
      <c r="D2004" s="36" t="str">
        <f aca="false">IF(Raw_Export!$A2004="","",IFERROR(VLOOKUP(LOWER(TRIM(Raw_Export!D2004)),Maps!$G$2:$I$80,2,FALSE()),"UNMAPPED"))</f>
        <v>Peanuts 250g</v>
      </c>
      <c r="E2004" s="36" t="str">
        <f aca="false">IF(Raw_Export!$A2004="","",IFERROR(VLOOKUP(LOWER(TRIM(Raw_Export!D2004)),Maps!$G$2:$I$80,3,FALSE()),"UNMAPPED"))</f>
        <v>Snacks</v>
      </c>
      <c r="F2004" s="36" t="n">
        <f aca="false">IF(Raw_Export!$A2004="","",IFERROR(VALUE(TRIM(Raw_Export!E2004)),0))</f>
        <v>4</v>
      </c>
      <c r="G2004" s="38" t="n">
        <f aca="false">IF(Raw_Export!$A2004="","",IFERROR(VALUE(SUBSTITUTE(SUBSTITUTE(UPPER(TRIM(Raw_Export!F2004)),"KES",""),",","")),0))</f>
        <v>130</v>
      </c>
      <c r="H2004" s="38" t="n">
        <f aca="false">IF(Raw_Export!$A2004="","",F2004*G2004)</f>
        <v>520</v>
      </c>
      <c r="I2004" s="36" t="str">
        <f aca="false">IF(Raw_Export!$A2004="","",IFERROR(VLOOKUP(LOWER(TRIM(Raw_Export!H2004)),Maps!$D$2:$E$12,2,FALSE()),"Other"))</f>
        <v>Cash</v>
      </c>
      <c r="J2004" s="36" t="str">
        <f aca="false">IF(Raw_Export!$A2004="","",IF(COUNTIF($A$2:A2004,A2004)&gt;1,"Duplicate",""))</f>
        <v/>
      </c>
      <c r="K2004" s="36" t="str">
        <f aca="false">IF(Raw_Export!$A2004="","",IF(J2004="Duplicate","Duplicate",IF(OR(C2004="UNMAPPED",D2004="UNMAPPED"),"Unmapped",IF(F2004=0,"Blank qty",IF(F2004&lt;0,"Return","OK")))))</f>
        <v>OK</v>
      </c>
      <c r="L2004" s="36" t="n">
        <f aca="false">IF(Raw_Export!$A2004="","",IF(OR(K2004="OK",K2004="Return"),1,0))</f>
        <v>1</v>
      </c>
      <c r="M2004" s="37" t="n">
        <f aca="false">IF(Raw_Export!$A2004="","",B2004-WEEKDAY(B2004,2)+1)</f>
        <v>46272</v>
      </c>
    </row>
    <row r="2005" customFormat="false" ht="15" hidden="false" customHeight="false" outlineLevel="0" collapsed="false">
      <c r="A2005" s="36" t="str">
        <f aca="false">IF(Raw_Export!$A2005="","",TRIM(Raw_Export!A2005))</f>
        <v>TXN-101965</v>
      </c>
      <c r="B2005" s="37" t="n">
        <f aca="false">IF(Raw_Export!$A2005="","",IF(ISNUMBER(Raw_Export!B2005),Raw_Export!B2005,IF(MID(TRIM(Raw_Export!B2005),5,1)="-",DATE(LEFT(TRIM(Raw_Export!B2005),4),MID(TRIM(Raw_Export!B2005),6,2),RIGHT(TRIM(Raw_Export!B2005),2)),DATE(RIGHT(TRIM(Raw_Export!B2005),4),MATCH(MID(TRIM(Raw_Export!B2005),4,3),{"Jan","Feb","Mar","Apr","May","Jun","Jul","Aug","Sep","Oct","Nov","Dec"},0),LEFT(TRIM(Raw_Export!B2005),2)))))</f>
        <v>46277</v>
      </c>
      <c r="C2005" s="36" t="str">
        <f aca="false">IF(Raw_Export!$A2005="","",IFERROR(VLOOKUP(LOWER(TRIM(Raw_Export!C2005)),Maps!$A$2:$B$20,2,FALSE()),"UNMAPPED"))</f>
        <v>Nakuru</v>
      </c>
      <c r="D2005" s="36" t="str">
        <f aca="false">IF(Raw_Export!$A2005="","",IFERROR(VLOOKUP(LOWER(TRIM(Raw_Export!D2005)),Maps!$G$2:$I$80,2,FALSE()),"UNMAPPED"))</f>
        <v>Eggs Tray 30</v>
      </c>
      <c r="E2005" s="36" t="str">
        <f aca="false">IF(Raw_Export!$A2005="","",IFERROR(VLOOKUP(LOWER(TRIM(Raw_Export!D2005)),Maps!$G$2:$I$80,3,FALSE()),"UNMAPPED"))</f>
        <v>Dairy &amp; Eggs</v>
      </c>
      <c r="F2005" s="36" t="n">
        <f aca="false">IF(Raw_Export!$A2005="","",IFERROR(VALUE(TRIM(Raw_Export!E2005)),0))</f>
        <v>4</v>
      </c>
      <c r="G2005" s="38" t="n">
        <f aca="false">IF(Raw_Export!$A2005="","",IFERROR(VALUE(SUBSTITUTE(SUBSTITUTE(UPPER(TRIM(Raw_Export!F2005)),"KES",""),",","")),0))</f>
        <v>450</v>
      </c>
      <c r="H2005" s="38" t="n">
        <f aca="false">IF(Raw_Export!$A2005="","",F2005*G2005)</f>
        <v>1800</v>
      </c>
      <c r="I2005" s="36" t="str">
        <f aca="false">IF(Raw_Export!$A2005="","",IFERROR(VLOOKUP(LOWER(TRIM(Raw_Export!H2005)),Maps!$D$2:$E$12,2,FALSE()),"Other"))</f>
        <v>Cash</v>
      </c>
      <c r="J2005" s="36" t="str">
        <f aca="false">IF(Raw_Export!$A2005="","",IF(COUNTIF($A$2:A2005,A2005)&gt;1,"Duplicate",""))</f>
        <v/>
      </c>
      <c r="K2005" s="36" t="str">
        <f aca="false">IF(Raw_Export!$A2005="","",IF(J2005="Duplicate","Duplicate",IF(OR(C2005="UNMAPPED",D2005="UNMAPPED"),"Unmapped",IF(F2005=0,"Blank qty",IF(F2005&lt;0,"Return","OK")))))</f>
        <v>OK</v>
      </c>
      <c r="L2005" s="36" t="n">
        <f aca="false">IF(Raw_Export!$A2005="","",IF(OR(K2005="OK",K2005="Return"),1,0))</f>
        <v>1</v>
      </c>
      <c r="M2005" s="37" t="n">
        <f aca="false">IF(Raw_Export!$A2005="","",B2005-WEEKDAY(B2005,2)+1)</f>
        <v>46272</v>
      </c>
    </row>
    <row r="2006" customFormat="false" ht="15" hidden="false" customHeight="false" outlineLevel="0" collapsed="false">
      <c r="A2006" s="36" t="str">
        <f aca="false">IF(Raw_Export!$A2006="","",TRIM(Raw_Export!A2006))</f>
        <v>TXN-101966</v>
      </c>
      <c r="B2006" s="37" t="n">
        <f aca="false">IF(Raw_Export!$A2006="","",IF(ISNUMBER(Raw_Export!B2006),Raw_Export!B2006,IF(MID(TRIM(Raw_Export!B2006),5,1)="-",DATE(LEFT(TRIM(Raw_Export!B2006),4),MID(TRIM(Raw_Export!B2006),6,2),RIGHT(TRIM(Raw_Export!B2006),2)),DATE(RIGHT(TRIM(Raw_Export!B2006),4),MATCH(MID(TRIM(Raw_Export!B2006),4,3),{"Jan","Feb","Mar","Apr","May","Jun","Jul","Aug","Sep","Oct","Nov","Dec"},0),LEFT(TRIM(Raw_Export!B2006),2)))))</f>
        <v>46277</v>
      </c>
      <c r="C2006" s="36" t="str">
        <f aca="false">IF(Raw_Export!$A2006="","",IFERROR(VLOOKUP(LOWER(TRIM(Raw_Export!C2006)),Maps!$A$2:$B$20,2,FALSE()),"UNMAPPED"))</f>
        <v>Nakuru</v>
      </c>
      <c r="D2006" s="36" t="str">
        <f aca="false">IF(Raw_Export!$A2006="","",IFERROR(VLOOKUP(LOWER(TRIM(Raw_Export!D2006)),Maps!$G$2:$I$80,2,FALSE()),"UNMAPPED"))</f>
        <v>Crisps 100g</v>
      </c>
      <c r="E2006" s="36" t="str">
        <f aca="false">IF(Raw_Export!$A2006="","",IFERROR(VLOOKUP(LOWER(TRIM(Raw_Export!D2006)),Maps!$G$2:$I$80,3,FALSE()),"UNMAPPED"))</f>
        <v>Snacks</v>
      </c>
      <c r="F2006" s="36" t="n">
        <f aca="false">IF(Raw_Export!$A2006="","",IFERROR(VALUE(TRIM(Raw_Export!E2006)),0))</f>
        <v>1</v>
      </c>
      <c r="G2006" s="38" t="n">
        <f aca="false">IF(Raw_Export!$A2006="","",IFERROR(VALUE(SUBSTITUTE(SUBSTITUTE(UPPER(TRIM(Raw_Export!F2006)),"KES",""),",","")),0))</f>
        <v>80</v>
      </c>
      <c r="H2006" s="38" t="n">
        <f aca="false">IF(Raw_Export!$A2006="","",F2006*G2006)</f>
        <v>80</v>
      </c>
      <c r="I2006" s="36" t="str">
        <f aca="false">IF(Raw_Export!$A2006="","",IFERROR(VLOOKUP(LOWER(TRIM(Raw_Export!H2006)),Maps!$D$2:$E$12,2,FALSE()),"Other"))</f>
        <v>M-Pesa</v>
      </c>
      <c r="J2006" s="36" t="str">
        <f aca="false">IF(Raw_Export!$A2006="","",IF(COUNTIF($A$2:A2006,A2006)&gt;1,"Duplicate",""))</f>
        <v/>
      </c>
      <c r="K2006" s="36" t="str">
        <f aca="false">IF(Raw_Export!$A2006="","",IF(J2006="Duplicate","Duplicate",IF(OR(C2006="UNMAPPED",D2006="UNMAPPED"),"Unmapped",IF(F2006=0,"Blank qty",IF(F2006&lt;0,"Return","OK")))))</f>
        <v>OK</v>
      </c>
      <c r="L2006" s="36" t="n">
        <f aca="false">IF(Raw_Export!$A2006="","",IF(OR(K2006="OK",K2006="Return"),1,0))</f>
        <v>1</v>
      </c>
      <c r="M2006" s="37" t="n">
        <f aca="false">IF(Raw_Export!$A2006="","",B2006-WEEKDAY(B2006,2)+1)</f>
        <v>46272</v>
      </c>
    </row>
    <row r="2007" customFormat="false" ht="15" hidden="false" customHeight="false" outlineLevel="0" collapsed="false">
      <c r="A2007" s="36" t="str">
        <f aca="false">IF(Raw_Export!$A2007="","",TRIM(Raw_Export!A2007))</f>
        <v>TXN-101967</v>
      </c>
      <c r="B2007" s="37" t="n">
        <f aca="false">IF(Raw_Export!$A2007="","",IF(ISNUMBER(Raw_Export!B2007),Raw_Export!B2007,IF(MID(TRIM(Raw_Export!B2007),5,1)="-",DATE(LEFT(TRIM(Raw_Export!B2007),4),MID(TRIM(Raw_Export!B2007),6,2),RIGHT(TRIM(Raw_Export!B2007),2)),DATE(RIGHT(TRIM(Raw_Export!B2007),4),MATCH(MID(TRIM(Raw_Export!B2007),4,3),{"Jan","Feb","Mar","Apr","May","Jun","Jul","Aug","Sep","Oct","Nov","Dec"},0),LEFT(TRIM(Raw_Export!B2007),2)))))</f>
        <v>46277</v>
      </c>
      <c r="C2007" s="36" t="str">
        <f aca="false">IF(Raw_Export!$A2007="","",IFERROR(VLOOKUP(LOWER(TRIM(Raw_Export!C2007)),Maps!$A$2:$B$20,2,FALSE()),"UNMAPPED"))</f>
        <v>Nakuru</v>
      </c>
      <c r="D2007" s="36" t="str">
        <f aca="false">IF(Raw_Export!$A2007="","",IFERROR(VLOOKUP(LOWER(TRIM(Raw_Export!D2007)),Maps!$G$2:$I$80,2,FALSE()),"UNMAPPED"))</f>
        <v>Washing Powder 1kg</v>
      </c>
      <c r="E2007" s="36" t="str">
        <f aca="false">IF(Raw_Export!$A2007="","",IFERROR(VLOOKUP(LOWER(TRIM(Raw_Export!D2007)),Maps!$G$2:$I$80,3,FALSE()),"UNMAPPED"))</f>
        <v>Household</v>
      </c>
      <c r="F2007" s="36" t="n">
        <f aca="false">IF(Raw_Export!$A2007="","",IFERROR(VALUE(TRIM(Raw_Export!E2007)),0))</f>
        <v>1</v>
      </c>
      <c r="G2007" s="38" t="n">
        <f aca="false">IF(Raw_Export!$A2007="","",IFERROR(VALUE(SUBSTITUTE(SUBSTITUTE(UPPER(TRIM(Raw_Export!F2007)),"KES",""),",","")),0))</f>
        <v>280</v>
      </c>
      <c r="H2007" s="38" t="n">
        <f aca="false">IF(Raw_Export!$A2007="","",F2007*G2007)</f>
        <v>280</v>
      </c>
      <c r="I2007" s="36" t="str">
        <f aca="false">IF(Raw_Export!$A2007="","",IFERROR(VLOOKUP(LOWER(TRIM(Raw_Export!H2007)),Maps!$D$2:$E$12,2,FALSE()),"Other"))</f>
        <v>Cash</v>
      </c>
      <c r="J2007" s="36" t="str">
        <f aca="false">IF(Raw_Export!$A2007="","",IF(COUNTIF($A$2:A2007,A2007)&gt;1,"Duplicate",""))</f>
        <v/>
      </c>
      <c r="K2007" s="36" t="str">
        <f aca="false">IF(Raw_Export!$A2007="","",IF(J2007="Duplicate","Duplicate",IF(OR(C2007="UNMAPPED",D2007="UNMAPPED"),"Unmapped",IF(F2007=0,"Blank qty",IF(F2007&lt;0,"Return","OK")))))</f>
        <v>OK</v>
      </c>
      <c r="L2007" s="36" t="n">
        <f aca="false">IF(Raw_Export!$A2007="","",IF(OR(K2007="OK",K2007="Return"),1,0))</f>
        <v>1</v>
      </c>
      <c r="M2007" s="37" t="n">
        <f aca="false">IF(Raw_Export!$A2007="","",B2007-WEEKDAY(B2007,2)+1)</f>
        <v>46272</v>
      </c>
    </row>
    <row r="2008" customFormat="false" ht="15" hidden="false" customHeight="false" outlineLevel="0" collapsed="false">
      <c r="A2008" s="36" t="str">
        <f aca="false">IF(Raw_Export!$A2008="","",TRIM(Raw_Export!A2008))</f>
        <v>TXN-101968</v>
      </c>
      <c r="B2008" s="37" t="n">
        <f aca="false">IF(Raw_Export!$A2008="","",IF(ISNUMBER(Raw_Export!B2008),Raw_Export!B2008,IF(MID(TRIM(Raw_Export!B2008),5,1)="-",DATE(LEFT(TRIM(Raw_Export!B2008),4),MID(TRIM(Raw_Export!B2008),6,2),RIGHT(TRIM(Raw_Export!B2008),2)),DATE(RIGHT(TRIM(Raw_Export!B2008),4),MATCH(MID(TRIM(Raw_Export!B2008),4,3),{"Jan","Feb","Mar","Apr","May","Jun","Jul","Aug","Sep","Oct","Nov","Dec"},0),LEFT(TRIM(Raw_Export!B2008),2)))))</f>
        <v>46277</v>
      </c>
      <c r="C2008" s="36" t="str">
        <f aca="false">IF(Raw_Export!$A2008="","",IFERROR(VLOOKUP(LOWER(TRIM(Raw_Export!C2008)),Maps!$A$2:$B$20,2,FALSE()),"UNMAPPED"))</f>
        <v>Nakuru</v>
      </c>
      <c r="D2008" s="36" t="str">
        <f aca="false">IF(Raw_Export!$A2008="","",IFERROR(VLOOKUP(LOWER(TRIM(Raw_Export!D2008)),Maps!$G$2:$I$80,2,FALSE()),"UNMAPPED"))</f>
        <v>Bread Loaf 400g</v>
      </c>
      <c r="E2008" s="36" t="str">
        <f aca="false">IF(Raw_Export!$A2008="","",IFERROR(VLOOKUP(LOWER(TRIM(Raw_Export!D2008)),Maps!$G$2:$I$80,3,FALSE()),"UNMAPPED"))</f>
        <v>Snacks</v>
      </c>
      <c r="F2008" s="36" t="n">
        <f aca="false">IF(Raw_Export!$A2008="","",IFERROR(VALUE(TRIM(Raw_Export!E2008)),0))</f>
        <v>1</v>
      </c>
      <c r="G2008" s="38" t="n">
        <f aca="false">IF(Raw_Export!$A2008="","",IFERROR(VALUE(SUBSTITUTE(SUBSTITUTE(UPPER(TRIM(Raw_Export!F2008)),"KES",""),",","")),0))</f>
        <v>65</v>
      </c>
      <c r="H2008" s="38" t="n">
        <f aca="false">IF(Raw_Export!$A2008="","",F2008*G2008)</f>
        <v>65</v>
      </c>
      <c r="I2008" s="36" t="str">
        <f aca="false">IF(Raw_Export!$A2008="","",IFERROR(VLOOKUP(LOWER(TRIM(Raw_Export!H2008)),Maps!$D$2:$E$12,2,FALSE()),"Other"))</f>
        <v>Cash</v>
      </c>
      <c r="J2008" s="36" t="str">
        <f aca="false">IF(Raw_Export!$A2008="","",IF(COUNTIF($A$2:A2008,A2008)&gt;1,"Duplicate",""))</f>
        <v/>
      </c>
      <c r="K2008" s="36" t="str">
        <f aca="false">IF(Raw_Export!$A2008="","",IF(J2008="Duplicate","Duplicate",IF(OR(C2008="UNMAPPED",D2008="UNMAPPED"),"Unmapped",IF(F2008=0,"Blank qty",IF(F2008&lt;0,"Return","OK")))))</f>
        <v>OK</v>
      </c>
      <c r="L2008" s="36" t="n">
        <f aca="false">IF(Raw_Export!$A2008="","",IF(OR(K2008="OK",K2008="Return"),1,0))</f>
        <v>1</v>
      </c>
      <c r="M2008" s="37" t="n">
        <f aca="false">IF(Raw_Export!$A2008="","",B2008-WEEKDAY(B2008,2)+1)</f>
        <v>46272</v>
      </c>
    </row>
    <row r="2009" customFormat="false" ht="15" hidden="false" customHeight="false" outlineLevel="0" collapsed="false">
      <c r="A2009" s="36" t="str">
        <f aca="false">IF(Raw_Export!$A2009="","",TRIM(Raw_Export!A2009))</f>
        <v>TXN-101969</v>
      </c>
      <c r="B2009" s="37" t="n">
        <f aca="false">IF(Raw_Export!$A2009="","",IF(ISNUMBER(Raw_Export!B2009),Raw_Export!B2009,IF(MID(TRIM(Raw_Export!B2009),5,1)="-",DATE(LEFT(TRIM(Raw_Export!B2009),4),MID(TRIM(Raw_Export!B2009),6,2),RIGHT(TRIM(Raw_Export!B2009),2)),DATE(RIGHT(TRIM(Raw_Export!B2009),4),MATCH(MID(TRIM(Raw_Export!B2009),4,3),{"Jan","Feb","Mar","Apr","May","Jun","Jul","Aug","Sep","Oct","Nov","Dec"},0),LEFT(TRIM(Raw_Export!B2009),2)))))</f>
        <v>46277</v>
      </c>
      <c r="C2009" s="36" t="str">
        <f aca="false">IF(Raw_Export!$A2009="","",IFERROR(VLOOKUP(LOWER(TRIM(Raw_Export!C2009)),Maps!$A$2:$B$20,2,FALSE()),"UNMAPPED"))</f>
        <v>Nakuru</v>
      </c>
      <c r="D2009" s="36" t="str">
        <f aca="false">IF(Raw_Export!$A2009="","",IFERROR(VLOOKUP(LOWER(TRIM(Raw_Export!D2009)),Maps!$G$2:$I$80,2,FALSE()),"UNMAPPED"))</f>
        <v>Cooking Oil 1L</v>
      </c>
      <c r="E2009" s="36" t="str">
        <f aca="false">IF(Raw_Export!$A2009="","",IFERROR(VLOOKUP(LOWER(TRIM(Raw_Export!D2009)),Maps!$G$2:$I$80,3,FALSE()),"UNMAPPED"))</f>
        <v>Staples</v>
      </c>
      <c r="F2009" s="36" t="n">
        <f aca="false">IF(Raw_Export!$A2009="","",IFERROR(VALUE(TRIM(Raw_Export!E2009)),0))</f>
        <v>3</v>
      </c>
      <c r="G2009" s="38" t="n">
        <f aca="false">IF(Raw_Export!$A2009="","",IFERROR(VALUE(SUBSTITUTE(SUBSTITUTE(UPPER(TRIM(Raw_Export!F2009)),"KES",""),",","")),0))</f>
        <v>330</v>
      </c>
      <c r="H2009" s="38" t="n">
        <f aca="false">IF(Raw_Export!$A2009="","",F2009*G2009)</f>
        <v>990</v>
      </c>
      <c r="I2009" s="36" t="str">
        <f aca="false">IF(Raw_Export!$A2009="","",IFERROR(VLOOKUP(LOWER(TRIM(Raw_Export!H2009)),Maps!$D$2:$E$12,2,FALSE()),"Other"))</f>
        <v>M-Pesa</v>
      </c>
      <c r="J2009" s="36" t="str">
        <f aca="false">IF(Raw_Export!$A2009="","",IF(COUNTIF($A$2:A2009,A2009)&gt;1,"Duplicate",""))</f>
        <v/>
      </c>
      <c r="K2009" s="36" t="str">
        <f aca="false">IF(Raw_Export!$A2009="","",IF(J2009="Duplicate","Duplicate",IF(OR(C2009="UNMAPPED",D2009="UNMAPPED"),"Unmapped",IF(F2009=0,"Blank qty",IF(F2009&lt;0,"Return","OK")))))</f>
        <v>OK</v>
      </c>
      <c r="L2009" s="36" t="n">
        <f aca="false">IF(Raw_Export!$A2009="","",IF(OR(K2009="OK",K2009="Return"),1,0))</f>
        <v>1</v>
      </c>
      <c r="M2009" s="37" t="n">
        <f aca="false">IF(Raw_Export!$A2009="","",B2009-WEEKDAY(B2009,2)+1)</f>
        <v>46272</v>
      </c>
    </row>
    <row r="2010" customFormat="false" ht="15" hidden="false" customHeight="false" outlineLevel="0" collapsed="false">
      <c r="A2010" s="36" t="str">
        <f aca="false">IF(Raw_Export!$A2010="","",TRIM(Raw_Export!A2010))</f>
        <v>TXN-101970</v>
      </c>
      <c r="B2010" s="37" t="n">
        <f aca="false">IF(Raw_Export!$A2010="","",IF(ISNUMBER(Raw_Export!B2010),Raw_Export!B2010,IF(MID(TRIM(Raw_Export!B2010),5,1)="-",DATE(LEFT(TRIM(Raw_Export!B2010),4),MID(TRIM(Raw_Export!B2010),6,2),RIGHT(TRIM(Raw_Export!B2010),2)),DATE(RIGHT(TRIM(Raw_Export!B2010),4),MATCH(MID(TRIM(Raw_Export!B2010),4,3),{"Jan","Feb","Mar","Apr","May","Jun","Jul","Aug","Sep","Oct","Nov","Dec"},0),LEFT(TRIM(Raw_Export!B2010),2)))))</f>
        <v>46277</v>
      </c>
      <c r="C2010" s="36" t="str">
        <f aca="false">IF(Raw_Export!$A2010="","",IFERROR(VLOOKUP(LOWER(TRIM(Raw_Export!C2010)),Maps!$A$2:$B$20,2,FALSE()),"UNMAPPED"))</f>
        <v>Nakuru</v>
      </c>
      <c r="D2010" s="36" t="str">
        <f aca="false">IF(Raw_Export!$A2010="","",IFERROR(VLOOKUP(LOWER(TRIM(Raw_Export!D2010)),Maps!$G$2:$I$80,2,FALSE()),"UNMAPPED"))</f>
        <v>Fresh Milk 500ml</v>
      </c>
      <c r="E2010" s="36" t="str">
        <f aca="false">IF(Raw_Export!$A2010="","",IFERROR(VLOOKUP(LOWER(TRIM(Raw_Export!D2010)),Maps!$G$2:$I$80,3,FALSE()),"UNMAPPED"))</f>
        <v>Dairy &amp; Eggs</v>
      </c>
      <c r="F2010" s="36" t="n">
        <f aca="false">IF(Raw_Export!$A2010="","",IFERROR(VALUE(TRIM(Raw_Export!E2010)),0))</f>
        <v>4</v>
      </c>
      <c r="G2010" s="38" t="n">
        <f aca="false">IF(Raw_Export!$A2010="","",IFERROR(VALUE(SUBSTITUTE(SUBSTITUTE(UPPER(TRIM(Raw_Export!F2010)),"KES",""),",","")),0))</f>
        <v>65</v>
      </c>
      <c r="H2010" s="38" t="n">
        <f aca="false">IF(Raw_Export!$A2010="","",F2010*G2010)</f>
        <v>260</v>
      </c>
      <c r="I2010" s="36" t="str">
        <f aca="false">IF(Raw_Export!$A2010="","",IFERROR(VLOOKUP(LOWER(TRIM(Raw_Export!H2010)),Maps!$D$2:$E$12,2,FALSE()),"Other"))</f>
        <v>Cash</v>
      </c>
      <c r="J2010" s="36" t="str">
        <f aca="false">IF(Raw_Export!$A2010="","",IF(COUNTIF($A$2:A2010,A2010)&gt;1,"Duplicate",""))</f>
        <v/>
      </c>
      <c r="K2010" s="36" t="str">
        <f aca="false">IF(Raw_Export!$A2010="","",IF(J2010="Duplicate","Duplicate",IF(OR(C2010="UNMAPPED",D2010="UNMAPPED"),"Unmapped",IF(F2010=0,"Blank qty",IF(F2010&lt;0,"Return","OK")))))</f>
        <v>OK</v>
      </c>
      <c r="L2010" s="36" t="n">
        <f aca="false">IF(Raw_Export!$A2010="","",IF(OR(K2010="OK",K2010="Return"),1,0))</f>
        <v>1</v>
      </c>
      <c r="M2010" s="37" t="n">
        <f aca="false">IF(Raw_Export!$A2010="","",B2010-WEEKDAY(B2010,2)+1)</f>
        <v>46272</v>
      </c>
    </row>
    <row r="2011" customFormat="false" ht="15" hidden="false" customHeight="false" outlineLevel="0" collapsed="false">
      <c r="A2011" s="36" t="str">
        <f aca="false">IF(Raw_Export!$A2011="","",TRIM(Raw_Export!A2011))</f>
        <v>TXN-101971</v>
      </c>
      <c r="B2011" s="37" t="n">
        <f aca="false">IF(Raw_Export!$A2011="","",IF(ISNUMBER(Raw_Export!B2011),Raw_Export!B2011,IF(MID(TRIM(Raw_Export!B2011),5,1)="-",DATE(LEFT(TRIM(Raw_Export!B2011),4),MID(TRIM(Raw_Export!B2011),6,2),RIGHT(TRIM(Raw_Export!B2011),2)),DATE(RIGHT(TRIM(Raw_Export!B2011),4),MATCH(MID(TRIM(Raw_Export!B2011),4,3),{"Jan","Feb","Mar","Apr","May","Jun","Jul","Aug","Sep","Oct","Nov","Dec"},0),LEFT(TRIM(Raw_Export!B2011),2)))))</f>
        <v>46277</v>
      </c>
      <c r="C2011" s="36" t="str">
        <f aca="false">IF(Raw_Export!$A2011="","",IFERROR(VLOOKUP(LOWER(TRIM(Raw_Export!C2011)),Maps!$A$2:$B$20,2,FALSE()),"UNMAPPED"))</f>
        <v>Nakuru</v>
      </c>
      <c r="D2011" s="36" t="str">
        <f aca="false">IF(Raw_Export!$A2011="","",IFERROR(VLOOKUP(LOWER(TRIM(Raw_Export!D2011)),Maps!$G$2:$I$80,2,FALSE()),"UNMAPPED"))</f>
        <v>Soda 500ml</v>
      </c>
      <c r="E2011" s="36" t="str">
        <f aca="false">IF(Raw_Export!$A2011="","",IFERROR(VLOOKUP(LOWER(TRIM(Raw_Export!D2011)),Maps!$G$2:$I$80,3,FALSE()),"UNMAPPED"))</f>
        <v>Beverages</v>
      </c>
      <c r="F2011" s="36" t="n">
        <f aca="false">IF(Raw_Export!$A2011="","",IFERROR(VALUE(TRIM(Raw_Export!E2011)),0))</f>
        <v>6</v>
      </c>
      <c r="G2011" s="38" t="n">
        <f aca="false">IF(Raw_Export!$A2011="","",IFERROR(VALUE(SUBSTITUTE(SUBSTITUTE(UPPER(TRIM(Raw_Export!F2011)),"KES",""),",","")),0))</f>
        <v>60</v>
      </c>
      <c r="H2011" s="38" t="n">
        <f aca="false">IF(Raw_Export!$A2011="","",F2011*G2011)</f>
        <v>360</v>
      </c>
      <c r="I2011" s="36" t="str">
        <f aca="false">IF(Raw_Export!$A2011="","",IFERROR(VLOOKUP(LOWER(TRIM(Raw_Export!H2011)),Maps!$D$2:$E$12,2,FALSE()),"Other"))</f>
        <v>M-Pesa</v>
      </c>
      <c r="J2011" s="36" t="str">
        <f aca="false">IF(Raw_Export!$A2011="","",IF(COUNTIF($A$2:A2011,A2011)&gt;1,"Duplicate",""))</f>
        <v/>
      </c>
      <c r="K2011" s="36" t="str">
        <f aca="false">IF(Raw_Export!$A2011="","",IF(J2011="Duplicate","Duplicate",IF(OR(C2011="UNMAPPED",D2011="UNMAPPED"),"Unmapped",IF(F2011=0,"Blank qty",IF(F2011&lt;0,"Return","OK")))))</f>
        <v>OK</v>
      </c>
      <c r="L2011" s="36" t="n">
        <f aca="false">IF(Raw_Export!$A2011="","",IF(OR(K2011="OK",K2011="Return"),1,0))</f>
        <v>1</v>
      </c>
      <c r="M2011" s="37" t="n">
        <f aca="false">IF(Raw_Export!$A2011="","",B2011-WEEKDAY(B2011,2)+1)</f>
        <v>46272</v>
      </c>
    </row>
    <row r="2012" customFormat="false" ht="15" hidden="false" customHeight="false" outlineLevel="0" collapsed="false">
      <c r="A2012" s="36" t="str">
        <f aca="false">IF(Raw_Export!$A2012="","",TRIM(Raw_Export!A2012))</f>
        <v>TXN-101972</v>
      </c>
      <c r="B2012" s="37" t="n">
        <f aca="false">IF(Raw_Export!$A2012="","",IF(ISNUMBER(Raw_Export!B2012),Raw_Export!B2012,IF(MID(TRIM(Raw_Export!B2012),5,1)="-",DATE(LEFT(TRIM(Raw_Export!B2012),4),MID(TRIM(Raw_Export!B2012),6,2),RIGHT(TRIM(Raw_Export!B2012),2)),DATE(RIGHT(TRIM(Raw_Export!B2012),4),MATCH(MID(TRIM(Raw_Export!B2012),4,3),{"Jan","Feb","Mar","Apr","May","Jun","Jul","Aug","Sep","Oct","Nov","Dec"},0),LEFT(TRIM(Raw_Export!B2012),2)))))</f>
        <v>46277</v>
      </c>
      <c r="C2012" s="36" t="str">
        <f aca="false">IF(Raw_Export!$A2012="","",IFERROR(VLOOKUP(LOWER(TRIM(Raw_Export!C2012)),Maps!$A$2:$B$20,2,FALSE()),"UNMAPPED"))</f>
        <v>Nakuru</v>
      </c>
      <c r="D2012" s="36" t="str">
        <f aca="false">IF(Raw_Export!$A2012="","",IFERROR(VLOOKUP(LOWER(TRIM(Raw_Export!D2012)),Maps!$G$2:$I$80,2,FALSE()),"UNMAPPED"))</f>
        <v>Salt 500g</v>
      </c>
      <c r="E2012" s="36" t="str">
        <f aca="false">IF(Raw_Export!$A2012="","",IFERROR(VLOOKUP(LOWER(TRIM(Raw_Export!D2012)),Maps!$G$2:$I$80,3,FALSE()),"UNMAPPED"))</f>
        <v>Staples</v>
      </c>
      <c r="F2012" s="36" t="n">
        <f aca="false">IF(Raw_Export!$A2012="","",IFERROR(VALUE(TRIM(Raw_Export!E2012)),0))</f>
        <v>2</v>
      </c>
      <c r="G2012" s="38" t="n">
        <f aca="false">IF(Raw_Export!$A2012="","",IFERROR(VALUE(SUBSTITUTE(SUBSTITUTE(UPPER(TRIM(Raw_Export!F2012)),"KES",""),",","")),0))</f>
        <v>40</v>
      </c>
      <c r="H2012" s="38" t="n">
        <f aca="false">IF(Raw_Export!$A2012="","",F2012*G2012)</f>
        <v>80</v>
      </c>
      <c r="I2012" s="36" t="str">
        <f aca="false">IF(Raw_Export!$A2012="","",IFERROR(VLOOKUP(LOWER(TRIM(Raw_Export!H2012)),Maps!$D$2:$E$12,2,FALSE()),"Other"))</f>
        <v>Cash</v>
      </c>
      <c r="J2012" s="36" t="str">
        <f aca="false">IF(Raw_Export!$A2012="","",IF(COUNTIF($A$2:A2012,A2012)&gt;1,"Duplicate",""))</f>
        <v>Duplicate</v>
      </c>
      <c r="K2012" s="36" t="str">
        <f aca="false">IF(Raw_Export!$A2012="","",IF(J2012="Duplicate","Duplicate",IF(OR(C2012="UNMAPPED",D2012="UNMAPPED"),"Unmapped",IF(F2012=0,"Blank qty",IF(F2012&lt;0,"Return","OK")))))</f>
        <v>Duplicate</v>
      </c>
      <c r="L2012" s="36" t="n">
        <f aca="false">IF(Raw_Export!$A2012="","",IF(OR(K2012="OK",K2012="Return"),1,0))</f>
        <v>0</v>
      </c>
      <c r="M2012" s="37" t="n">
        <f aca="false">IF(Raw_Export!$A2012="","",B2012-WEEKDAY(B2012,2)+1)</f>
        <v>46272</v>
      </c>
    </row>
    <row r="2013" customFormat="false" ht="15" hidden="false" customHeight="false" outlineLevel="0" collapsed="false">
      <c r="A2013" s="36" t="str">
        <f aca="false">IF(Raw_Export!$A2013="","",TRIM(Raw_Export!A2013))</f>
        <v>TXN-101973</v>
      </c>
      <c r="B2013" s="37" t="n">
        <f aca="false">IF(Raw_Export!$A2013="","",IF(ISNUMBER(Raw_Export!B2013),Raw_Export!B2013,IF(MID(TRIM(Raw_Export!B2013),5,1)="-",DATE(LEFT(TRIM(Raw_Export!B2013),4),MID(TRIM(Raw_Export!B2013),6,2),RIGHT(TRIM(Raw_Export!B2013),2)),DATE(RIGHT(TRIM(Raw_Export!B2013),4),MATCH(MID(TRIM(Raw_Export!B2013),4,3),{"Jan","Feb","Mar","Apr","May","Jun","Jul","Aug","Sep","Oct","Nov","Dec"},0),LEFT(TRIM(Raw_Export!B2013),2)))))</f>
        <v>46277</v>
      </c>
      <c r="C2013" s="36" t="str">
        <f aca="false">IF(Raw_Export!$A2013="","",IFERROR(VLOOKUP(LOWER(TRIM(Raw_Export!C2013)),Maps!$A$2:$B$20,2,FALSE()),"UNMAPPED"))</f>
        <v>Nakuru</v>
      </c>
      <c r="D2013" s="36" t="str">
        <f aca="false">IF(Raw_Export!$A2013="","",IFERROR(VLOOKUP(LOWER(TRIM(Raw_Export!D2013)),Maps!$G$2:$I$80,2,FALSE()),"UNMAPPED"))</f>
        <v>Soda 500ml</v>
      </c>
      <c r="E2013" s="36" t="str">
        <f aca="false">IF(Raw_Export!$A2013="","",IFERROR(VLOOKUP(LOWER(TRIM(Raw_Export!D2013)),Maps!$G$2:$I$80,3,FALSE()),"UNMAPPED"))</f>
        <v>Beverages</v>
      </c>
      <c r="F2013" s="36" t="n">
        <f aca="false">IF(Raw_Export!$A2013="","",IFERROR(VALUE(TRIM(Raw_Export!E2013)),0))</f>
        <v>1</v>
      </c>
      <c r="G2013" s="38" t="n">
        <f aca="false">IF(Raw_Export!$A2013="","",IFERROR(VALUE(SUBSTITUTE(SUBSTITUTE(UPPER(TRIM(Raw_Export!F2013)),"KES",""),",","")),0))</f>
        <v>54</v>
      </c>
      <c r="H2013" s="38" t="n">
        <f aca="false">IF(Raw_Export!$A2013="","",F2013*G2013)</f>
        <v>54</v>
      </c>
      <c r="I2013" s="36" t="str">
        <f aca="false">IF(Raw_Export!$A2013="","",IFERROR(VLOOKUP(LOWER(TRIM(Raw_Export!H2013)),Maps!$D$2:$E$12,2,FALSE()),"Other"))</f>
        <v>Cash</v>
      </c>
      <c r="J2013" s="36" t="str">
        <f aca="false">IF(Raw_Export!$A2013="","",IF(COUNTIF($A$2:A2013,A2013)&gt;1,"Duplicate",""))</f>
        <v/>
      </c>
      <c r="K2013" s="36" t="str">
        <f aca="false">IF(Raw_Export!$A2013="","",IF(J2013="Duplicate","Duplicate",IF(OR(C2013="UNMAPPED",D2013="UNMAPPED"),"Unmapped",IF(F2013=0,"Blank qty",IF(F2013&lt;0,"Return","OK")))))</f>
        <v>OK</v>
      </c>
      <c r="L2013" s="36" t="n">
        <f aca="false">IF(Raw_Export!$A2013="","",IF(OR(K2013="OK",K2013="Return"),1,0))</f>
        <v>1</v>
      </c>
      <c r="M2013" s="37" t="n">
        <f aca="false">IF(Raw_Export!$A2013="","",B2013-WEEKDAY(B2013,2)+1)</f>
        <v>46272</v>
      </c>
    </row>
    <row r="2014" customFormat="false" ht="15" hidden="false" customHeight="false" outlineLevel="0" collapsed="false">
      <c r="A2014" s="36" t="str">
        <f aca="false">IF(Raw_Export!$A2014="","",TRIM(Raw_Export!A2014))</f>
        <v>TXN-101974</v>
      </c>
      <c r="B2014" s="37" t="n">
        <f aca="false">IF(Raw_Export!$A2014="","",IF(ISNUMBER(Raw_Export!B2014),Raw_Export!B2014,IF(MID(TRIM(Raw_Export!B2014),5,1)="-",DATE(LEFT(TRIM(Raw_Export!B2014),4),MID(TRIM(Raw_Export!B2014),6,2),RIGHT(TRIM(Raw_Export!B2014),2)),DATE(RIGHT(TRIM(Raw_Export!B2014),4),MATCH(MID(TRIM(Raw_Export!B2014),4,3),{"Jan","Feb","Mar","Apr","May","Jun","Jul","Aug","Sep","Oct","Nov","Dec"},0),LEFT(TRIM(Raw_Export!B2014),2)))))</f>
        <v>46277</v>
      </c>
      <c r="C2014" s="36" t="str">
        <f aca="false">IF(Raw_Export!$A2014="","",IFERROR(VLOOKUP(LOWER(TRIM(Raw_Export!C2014)),Maps!$A$2:$B$20,2,FALSE()),"UNMAPPED"))</f>
        <v>Nakuru</v>
      </c>
      <c r="D2014" s="36" t="str">
        <f aca="false">IF(Raw_Export!$A2014="","",IFERROR(VLOOKUP(LOWER(TRIM(Raw_Export!D2014)),Maps!$G$2:$I$80,2,FALSE()),"UNMAPPED"))</f>
        <v>Rice Pishori 2kg</v>
      </c>
      <c r="E2014" s="36" t="str">
        <f aca="false">IF(Raw_Export!$A2014="","",IFERROR(VLOOKUP(LOWER(TRIM(Raw_Export!D2014)),Maps!$G$2:$I$80,3,FALSE()),"UNMAPPED"))</f>
        <v>Staples</v>
      </c>
      <c r="F2014" s="36" t="n">
        <f aca="false">IF(Raw_Export!$A2014="","",IFERROR(VALUE(TRIM(Raw_Export!E2014)),0))</f>
        <v>6</v>
      </c>
      <c r="G2014" s="38" t="n">
        <f aca="false">IF(Raw_Export!$A2014="","",IFERROR(VALUE(SUBSTITUTE(SUBSTITUTE(UPPER(TRIM(Raw_Export!F2014)),"KES",""),",","")),0))</f>
        <v>420</v>
      </c>
      <c r="H2014" s="38" t="n">
        <f aca="false">IF(Raw_Export!$A2014="","",F2014*G2014)</f>
        <v>2520</v>
      </c>
      <c r="I2014" s="36" t="str">
        <f aca="false">IF(Raw_Export!$A2014="","",IFERROR(VLOOKUP(LOWER(TRIM(Raw_Export!H2014)),Maps!$D$2:$E$12,2,FALSE()),"Other"))</f>
        <v>M-Pesa</v>
      </c>
      <c r="J2014" s="36" t="str">
        <f aca="false">IF(Raw_Export!$A2014="","",IF(COUNTIF($A$2:A2014,A2014)&gt;1,"Duplicate",""))</f>
        <v/>
      </c>
      <c r="K2014" s="36" t="str">
        <f aca="false">IF(Raw_Export!$A2014="","",IF(J2014="Duplicate","Duplicate",IF(OR(C2014="UNMAPPED",D2014="UNMAPPED"),"Unmapped",IF(F2014=0,"Blank qty",IF(F2014&lt;0,"Return","OK")))))</f>
        <v>OK</v>
      </c>
      <c r="L2014" s="36" t="n">
        <f aca="false">IF(Raw_Export!$A2014="","",IF(OR(K2014="OK",K2014="Return"),1,0))</f>
        <v>1</v>
      </c>
      <c r="M2014" s="37" t="n">
        <f aca="false">IF(Raw_Export!$A2014="","",B2014-WEEKDAY(B2014,2)+1)</f>
        <v>46272</v>
      </c>
    </row>
    <row r="2015" customFormat="false" ht="15" hidden="false" customHeight="false" outlineLevel="0" collapsed="false">
      <c r="A2015" s="36" t="str">
        <f aca="false">IF(Raw_Export!$A2015="","",TRIM(Raw_Export!A2015))</f>
        <v>TXN-101975</v>
      </c>
      <c r="B2015" s="37" t="n">
        <f aca="false">IF(Raw_Export!$A2015="","",IF(ISNUMBER(Raw_Export!B2015),Raw_Export!B2015,IF(MID(TRIM(Raw_Export!B2015),5,1)="-",DATE(LEFT(TRIM(Raw_Export!B2015),4),MID(TRIM(Raw_Export!B2015),6,2),RIGHT(TRIM(Raw_Export!B2015),2)),DATE(RIGHT(TRIM(Raw_Export!B2015),4),MATCH(MID(TRIM(Raw_Export!B2015),4,3),{"Jan","Feb","Mar","Apr","May","Jun","Jul","Aug","Sep","Oct","Nov","Dec"},0),LEFT(TRIM(Raw_Export!B2015),2)))))</f>
        <v>46277</v>
      </c>
      <c r="C2015" s="36" t="str">
        <f aca="false">IF(Raw_Export!$A2015="","",IFERROR(VLOOKUP(LOWER(TRIM(Raw_Export!C2015)),Maps!$A$2:$B$20,2,FALSE()),"UNMAPPED"))</f>
        <v>Nakuru</v>
      </c>
      <c r="D2015" s="36" t="str">
        <f aca="false">IF(Raw_Export!$A2015="","",IFERROR(VLOOKUP(LOWER(TRIM(Raw_Export!D2015)),Maps!$G$2:$I$80,2,FALSE()),"UNMAPPED"))</f>
        <v>Salt 500g</v>
      </c>
      <c r="E2015" s="36" t="str">
        <f aca="false">IF(Raw_Export!$A2015="","",IFERROR(VLOOKUP(LOWER(TRIM(Raw_Export!D2015)),Maps!$G$2:$I$80,3,FALSE()),"UNMAPPED"))</f>
        <v>Staples</v>
      </c>
      <c r="F2015" s="36" t="n">
        <f aca="false">IF(Raw_Export!$A2015="","",IFERROR(VALUE(TRIM(Raw_Export!E2015)),0))</f>
        <v>1</v>
      </c>
      <c r="G2015" s="38" t="n">
        <f aca="false">IF(Raw_Export!$A2015="","",IFERROR(VALUE(SUBSTITUTE(SUBSTITUTE(UPPER(TRIM(Raw_Export!F2015)),"KES",""),",","")),0))</f>
        <v>40</v>
      </c>
      <c r="H2015" s="38" t="n">
        <f aca="false">IF(Raw_Export!$A2015="","",F2015*G2015)</f>
        <v>40</v>
      </c>
      <c r="I2015" s="36" t="str">
        <f aca="false">IF(Raw_Export!$A2015="","",IFERROR(VLOOKUP(LOWER(TRIM(Raw_Export!H2015)),Maps!$D$2:$E$12,2,FALSE()),"Other"))</f>
        <v>M-Pesa</v>
      </c>
      <c r="J2015" s="36" t="str">
        <f aca="false">IF(Raw_Export!$A2015="","",IF(COUNTIF($A$2:A2015,A2015)&gt;1,"Duplicate",""))</f>
        <v/>
      </c>
      <c r="K2015" s="36" t="str">
        <f aca="false">IF(Raw_Export!$A2015="","",IF(J2015="Duplicate","Duplicate",IF(OR(C2015="UNMAPPED",D2015="UNMAPPED"),"Unmapped",IF(F2015=0,"Blank qty",IF(F2015&lt;0,"Return","OK")))))</f>
        <v>OK</v>
      </c>
      <c r="L2015" s="36" t="n">
        <f aca="false">IF(Raw_Export!$A2015="","",IF(OR(K2015="OK",K2015="Return"),1,0))</f>
        <v>1</v>
      </c>
      <c r="M2015" s="37" t="n">
        <f aca="false">IF(Raw_Export!$A2015="","",B2015-WEEKDAY(B2015,2)+1)</f>
        <v>46272</v>
      </c>
    </row>
    <row r="2016" customFormat="false" ht="15" hidden="false" customHeight="false" outlineLevel="0" collapsed="false">
      <c r="A2016" s="36" t="str">
        <f aca="false">IF(Raw_Export!$A2016="","",TRIM(Raw_Export!A2016))</f>
        <v>TXN-101976</v>
      </c>
      <c r="B2016" s="37" t="n">
        <f aca="false">IF(Raw_Export!$A2016="","",IF(ISNUMBER(Raw_Export!B2016),Raw_Export!B2016,IF(MID(TRIM(Raw_Export!B2016),5,1)="-",DATE(LEFT(TRIM(Raw_Export!B2016),4),MID(TRIM(Raw_Export!B2016),6,2),RIGHT(TRIM(Raw_Export!B2016),2)),DATE(RIGHT(TRIM(Raw_Export!B2016),4),MATCH(MID(TRIM(Raw_Export!B2016),4,3),{"Jan","Feb","Mar","Apr","May","Jun","Jul","Aug","Sep","Oct","Nov","Dec"},0),LEFT(TRIM(Raw_Export!B2016),2)))))</f>
        <v>46277</v>
      </c>
      <c r="C2016" s="36" t="str">
        <f aca="false">IF(Raw_Export!$A2016="","",IFERROR(VLOOKUP(LOWER(TRIM(Raw_Export!C2016)),Maps!$A$2:$B$20,2,FALSE()),"UNMAPPED"))</f>
        <v>Nakuru</v>
      </c>
      <c r="D2016" s="36" t="str">
        <f aca="false">IF(Raw_Export!$A2016="","",IFERROR(VLOOKUP(LOWER(TRIM(Raw_Export!D2016)),Maps!$G$2:$I$80,2,FALSE()),"UNMAPPED"))</f>
        <v>Fresh Milk 500ml</v>
      </c>
      <c r="E2016" s="36" t="str">
        <f aca="false">IF(Raw_Export!$A2016="","",IFERROR(VLOOKUP(LOWER(TRIM(Raw_Export!D2016)),Maps!$G$2:$I$80,3,FALSE()),"UNMAPPED"))</f>
        <v>Dairy &amp; Eggs</v>
      </c>
      <c r="F2016" s="36" t="n">
        <f aca="false">IF(Raw_Export!$A2016="","",IFERROR(VALUE(TRIM(Raw_Export!E2016)),0))</f>
        <v>1</v>
      </c>
      <c r="G2016" s="38" t="n">
        <f aca="false">IF(Raw_Export!$A2016="","",IFERROR(VALUE(SUBSTITUTE(SUBSTITUTE(UPPER(TRIM(Raw_Export!F2016)),"KES",""),",","")),0))</f>
        <v>65</v>
      </c>
      <c r="H2016" s="38" t="n">
        <f aca="false">IF(Raw_Export!$A2016="","",F2016*G2016)</f>
        <v>65</v>
      </c>
      <c r="I2016" s="36" t="str">
        <f aca="false">IF(Raw_Export!$A2016="","",IFERROR(VLOOKUP(LOWER(TRIM(Raw_Export!H2016)),Maps!$D$2:$E$12,2,FALSE()),"Other"))</f>
        <v>Cash</v>
      </c>
      <c r="J2016" s="36" t="str">
        <f aca="false">IF(Raw_Export!$A2016="","",IF(COUNTIF($A$2:A2016,A2016)&gt;1,"Duplicate",""))</f>
        <v/>
      </c>
      <c r="K2016" s="36" t="str">
        <f aca="false">IF(Raw_Export!$A2016="","",IF(J2016="Duplicate","Duplicate",IF(OR(C2016="UNMAPPED",D2016="UNMAPPED"),"Unmapped",IF(F2016=0,"Blank qty",IF(F2016&lt;0,"Return","OK")))))</f>
        <v>OK</v>
      </c>
      <c r="L2016" s="36" t="n">
        <f aca="false">IF(Raw_Export!$A2016="","",IF(OR(K2016="OK",K2016="Return"),1,0))</f>
        <v>1</v>
      </c>
      <c r="M2016" s="37" t="n">
        <f aca="false">IF(Raw_Export!$A2016="","",B2016-WEEKDAY(B2016,2)+1)</f>
        <v>46272</v>
      </c>
    </row>
    <row r="2017" customFormat="false" ht="15" hidden="false" customHeight="false" outlineLevel="0" collapsed="false">
      <c r="A2017" s="36" t="str">
        <f aca="false">IF(Raw_Export!$A2017="","",TRIM(Raw_Export!A2017))</f>
        <v>TXN-101977</v>
      </c>
      <c r="B2017" s="37" t="n">
        <f aca="false">IF(Raw_Export!$A2017="","",IF(ISNUMBER(Raw_Export!B2017),Raw_Export!B2017,IF(MID(TRIM(Raw_Export!B2017),5,1)="-",DATE(LEFT(TRIM(Raw_Export!B2017),4),MID(TRIM(Raw_Export!B2017),6,2),RIGHT(TRIM(Raw_Export!B2017),2)),DATE(RIGHT(TRIM(Raw_Export!B2017),4),MATCH(MID(TRIM(Raw_Export!B2017),4,3),{"Jan","Feb","Mar","Apr","May","Jun","Jul","Aug","Sep","Oct","Nov","Dec"},0),LEFT(TRIM(Raw_Export!B2017),2)))))</f>
        <v>46277</v>
      </c>
      <c r="C2017" s="36" t="str">
        <f aca="false">IF(Raw_Export!$A2017="","",IFERROR(VLOOKUP(LOWER(TRIM(Raw_Export!C2017)),Maps!$A$2:$B$20,2,FALSE()),"UNMAPPED"))</f>
        <v>Nakuru</v>
      </c>
      <c r="D2017" s="36" t="str">
        <f aca="false">IF(Raw_Export!$A2017="","",IFERROR(VLOOKUP(LOWER(TRIM(Raw_Export!D2017)),Maps!$G$2:$I$80,2,FALSE()),"UNMAPPED"))</f>
        <v>Rice Pishori 2kg</v>
      </c>
      <c r="E2017" s="36" t="str">
        <f aca="false">IF(Raw_Export!$A2017="","",IFERROR(VLOOKUP(LOWER(TRIM(Raw_Export!D2017)),Maps!$G$2:$I$80,3,FALSE()),"UNMAPPED"))</f>
        <v>Staples</v>
      </c>
      <c r="F2017" s="36" t="n">
        <f aca="false">IF(Raw_Export!$A2017="","",IFERROR(VALUE(TRIM(Raw_Export!E2017)),0))</f>
        <v>1</v>
      </c>
      <c r="G2017" s="38" t="n">
        <f aca="false">IF(Raw_Export!$A2017="","",IFERROR(VALUE(SUBSTITUTE(SUBSTITUTE(UPPER(TRIM(Raw_Export!F2017)),"KES",""),",","")),0))</f>
        <v>420</v>
      </c>
      <c r="H2017" s="38" t="n">
        <f aca="false">IF(Raw_Export!$A2017="","",F2017*G2017)</f>
        <v>420</v>
      </c>
      <c r="I2017" s="36" t="str">
        <f aca="false">IF(Raw_Export!$A2017="","",IFERROR(VLOOKUP(LOWER(TRIM(Raw_Export!H2017)),Maps!$D$2:$E$12,2,FALSE()),"Other"))</f>
        <v>M-Pesa</v>
      </c>
      <c r="J2017" s="36" t="str">
        <f aca="false">IF(Raw_Export!$A2017="","",IF(COUNTIF($A$2:A2017,A2017)&gt;1,"Duplicate",""))</f>
        <v/>
      </c>
      <c r="K2017" s="36" t="str">
        <f aca="false">IF(Raw_Export!$A2017="","",IF(J2017="Duplicate","Duplicate",IF(OR(C2017="UNMAPPED",D2017="UNMAPPED"),"Unmapped",IF(F2017=0,"Blank qty",IF(F2017&lt;0,"Return","OK")))))</f>
        <v>OK</v>
      </c>
      <c r="L2017" s="36" t="n">
        <f aca="false">IF(Raw_Export!$A2017="","",IF(OR(K2017="OK",K2017="Return"),1,0))</f>
        <v>1</v>
      </c>
      <c r="M2017" s="37" t="n">
        <f aca="false">IF(Raw_Export!$A2017="","",B2017-WEEKDAY(B2017,2)+1)</f>
        <v>46272</v>
      </c>
    </row>
    <row r="2018" customFormat="false" ht="15" hidden="false" customHeight="false" outlineLevel="0" collapsed="false">
      <c r="A2018" s="36" t="str">
        <f aca="false">IF(Raw_Export!$A2018="","",TRIM(Raw_Export!A2018))</f>
        <v>TXN-101978</v>
      </c>
      <c r="B2018" s="37" t="n">
        <f aca="false">IF(Raw_Export!$A2018="","",IF(ISNUMBER(Raw_Export!B2018),Raw_Export!B2018,IF(MID(TRIM(Raw_Export!B2018),5,1)="-",DATE(LEFT(TRIM(Raw_Export!B2018),4),MID(TRIM(Raw_Export!B2018),6,2),RIGHT(TRIM(Raw_Export!B2018),2)),DATE(RIGHT(TRIM(Raw_Export!B2018),4),MATCH(MID(TRIM(Raw_Export!B2018),4,3),{"Jan","Feb","Mar","Apr","May","Jun","Jul","Aug","Sep","Oct","Nov","Dec"},0),LEFT(TRIM(Raw_Export!B2018),2)))))</f>
        <v>46277</v>
      </c>
      <c r="C2018" s="36" t="str">
        <f aca="false">IF(Raw_Export!$A2018="","",IFERROR(VLOOKUP(LOWER(TRIM(Raw_Export!C2018)),Maps!$A$2:$B$20,2,FALSE()),"UNMAPPED"))</f>
        <v>Nakuru</v>
      </c>
      <c r="D2018" s="36" t="str">
        <f aca="false">IF(Raw_Export!$A2018="","",IFERROR(VLOOKUP(LOWER(TRIM(Raw_Export!D2018)),Maps!$G$2:$I$80,2,FALSE()),"UNMAPPED"))</f>
        <v>Washing Powder 1kg</v>
      </c>
      <c r="E2018" s="36" t="str">
        <f aca="false">IF(Raw_Export!$A2018="","",IFERROR(VLOOKUP(LOWER(TRIM(Raw_Export!D2018)),Maps!$G$2:$I$80,3,FALSE()),"UNMAPPED"))</f>
        <v>Household</v>
      </c>
      <c r="F2018" s="36" t="n">
        <f aca="false">IF(Raw_Export!$A2018="","",IFERROR(VALUE(TRIM(Raw_Export!E2018)),0))</f>
        <v>2</v>
      </c>
      <c r="G2018" s="38" t="n">
        <f aca="false">IF(Raw_Export!$A2018="","",IFERROR(VALUE(SUBSTITUTE(SUBSTITUTE(UPPER(TRIM(Raw_Export!F2018)),"KES",""),",","")),0))</f>
        <v>280</v>
      </c>
      <c r="H2018" s="38" t="n">
        <f aca="false">IF(Raw_Export!$A2018="","",F2018*G2018)</f>
        <v>560</v>
      </c>
      <c r="I2018" s="36" t="str">
        <f aca="false">IF(Raw_Export!$A2018="","",IFERROR(VLOOKUP(LOWER(TRIM(Raw_Export!H2018)),Maps!$D$2:$E$12,2,FALSE()),"Other"))</f>
        <v>M-Pesa</v>
      </c>
      <c r="J2018" s="36" t="str">
        <f aca="false">IF(Raw_Export!$A2018="","",IF(COUNTIF($A$2:A2018,A2018)&gt;1,"Duplicate",""))</f>
        <v/>
      </c>
      <c r="K2018" s="36" t="str">
        <f aca="false">IF(Raw_Export!$A2018="","",IF(J2018="Duplicate","Duplicate",IF(OR(C2018="UNMAPPED",D2018="UNMAPPED"),"Unmapped",IF(F2018=0,"Blank qty",IF(F2018&lt;0,"Return","OK")))))</f>
        <v>OK</v>
      </c>
      <c r="L2018" s="36" t="n">
        <f aca="false">IF(Raw_Export!$A2018="","",IF(OR(K2018="OK",K2018="Return"),1,0))</f>
        <v>1</v>
      </c>
      <c r="M2018" s="37" t="n">
        <f aca="false">IF(Raw_Export!$A2018="","",B2018-WEEKDAY(B2018,2)+1)</f>
        <v>46272</v>
      </c>
    </row>
    <row r="2019" customFormat="false" ht="15" hidden="false" customHeight="false" outlineLevel="0" collapsed="false">
      <c r="A2019" s="36" t="str">
        <f aca="false">IF(Raw_Export!$A2019="","",TRIM(Raw_Export!A2019))</f>
        <v>TXN-101979</v>
      </c>
      <c r="B2019" s="37" t="n">
        <f aca="false">IF(Raw_Export!$A2019="","",IF(ISNUMBER(Raw_Export!B2019),Raw_Export!B2019,IF(MID(TRIM(Raw_Export!B2019),5,1)="-",DATE(LEFT(TRIM(Raw_Export!B2019),4),MID(TRIM(Raw_Export!B2019),6,2),RIGHT(TRIM(Raw_Export!B2019),2)),DATE(RIGHT(TRIM(Raw_Export!B2019),4),MATCH(MID(TRIM(Raw_Export!B2019),4,3),{"Jan","Feb","Mar","Apr","May","Jun","Jul","Aug","Sep","Oct","Nov","Dec"},0),LEFT(TRIM(Raw_Export!B2019),2)))))</f>
        <v>46277</v>
      </c>
      <c r="C2019" s="36" t="str">
        <f aca="false">IF(Raw_Export!$A2019="","",IFERROR(VLOOKUP(LOWER(TRIM(Raw_Export!C2019)),Maps!$A$2:$B$20,2,FALSE()),"UNMAPPED"))</f>
        <v>Nakuru</v>
      </c>
      <c r="D2019" s="36" t="str">
        <f aca="false">IF(Raw_Export!$A2019="","",IFERROR(VLOOKUP(LOWER(TRIM(Raw_Export!D2019)),Maps!$G$2:$I$80,2,FALSE()),"UNMAPPED"))</f>
        <v>Soda 500ml</v>
      </c>
      <c r="E2019" s="36" t="str">
        <f aca="false">IF(Raw_Export!$A2019="","",IFERROR(VLOOKUP(LOWER(TRIM(Raw_Export!D2019)),Maps!$G$2:$I$80,3,FALSE()),"UNMAPPED"))</f>
        <v>Beverages</v>
      </c>
      <c r="F2019" s="36" t="n">
        <f aca="false">IF(Raw_Export!$A2019="","",IFERROR(VALUE(TRIM(Raw_Export!E2019)),0))</f>
        <v>4</v>
      </c>
      <c r="G2019" s="38" t="n">
        <f aca="false">IF(Raw_Export!$A2019="","",IFERROR(VALUE(SUBSTITUTE(SUBSTITUTE(UPPER(TRIM(Raw_Export!F2019)),"KES",""),",","")),0))</f>
        <v>60</v>
      </c>
      <c r="H2019" s="38" t="n">
        <f aca="false">IF(Raw_Export!$A2019="","",F2019*G2019)</f>
        <v>240</v>
      </c>
      <c r="I2019" s="36" t="str">
        <f aca="false">IF(Raw_Export!$A2019="","",IFERROR(VLOOKUP(LOWER(TRIM(Raw_Export!H2019)),Maps!$D$2:$E$12,2,FALSE()),"Other"))</f>
        <v>Cash</v>
      </c>
      <c r="J2019" s="36" t="str">
        <f aca="false">IF(Raw_Export!$A2019="","",IF(COUNTIF($A$2:A2019,A2019)&gt;1,"Duplicate",""))</f>
        <v/>
      </c>
      <c r="K2019" s="36" t="str">
        <f aca="false">IF(Raw_Export!$A2019="","",IF(J2019="Duplicate","Duplicate",IF(OR(C2019="UNMAPPED",D2019="UNMAPPED"),"Unmapped",IF(F2019=0,"Blank qty",IF(F2019&lt;0,"Return","OK")))))</f>
        <v>OK</v>
      </c>
      <c r="L2019" s="36" t="n">
        <f aca="false">IF(Raw_Export!$A2019="","",IF(OR(K2019="OK",K2019="Return"),1,0))</f>
        <v>1</v>
      </c>
      <c r="M2019" s="37" t="n">
        <f aca="false">IF(Raw_Export!$A2019="","",B2019-WEEKDAY(B2019,2)+1)</f>
        <v>46272</v>
      </c>
    </row>
    <row r="2020" customFormat="false" ht="15" hidden="false" customHeight="false" outlineLevel="0" collapsed="false">
      <c r="A2020" s="36" t="str">
        <f aca="false">IF(Raw_Export!$A2020="","",TRIM(Raw_Export!A2020))</f>
        <v>TXN-101980</v>
      </c>
      <c r="B2020" s="37" t="n">
        <f aca="false">IF(Raw_Export!$A2020="","",IF(ISNUMBER(Raw_Export!B2020),Raw_Export!B2020,IF(MID(TRIM(Raw_Export!B2020),5,1)="-",DATE(LEFT(TRIM(Raw_Export!B2020),4),MID(TRIM(Raw_Export!B2020),6,2),RIGHT(TRIM(Raw_Export!B2020),2)),DATE(RIGHT(TRIM(Raw_Export!B2020),4),MATCH(MID(TRIM(Raw_Export!B2020),4,3),{"Jan","Feb","Mar","Apr","May","Jun","Jul","Aug","Sep","Oct","Nov","Dec"},0),LEFT(TRIM(Raw_Export!B2020),2)))))</f>
        <v>46277</v>
      </c>
      <c r="C2020" s="36" t="str">
        <f aca="false">IF(Raw_Export!$A2020="","",IFERROR(VLOOKUP(LOWER(TRIM(Raw_Export!C2020)),Maps!$A$2:$B$20,2,FALSE()),"UNMAPPED"))</f>
        <v>Nakuru</v>
      </c>
      <c r="D2020" s="36" t="str">
        <f aca="false">IF(Raw_Export!$A2020="","",IFERROR(VLOOKUP(LOWER(TRIM(Raw_Export!D2020)),Maps!$G$2:$I$80,2,FALSE()),"UNMAPPED"))</f>
        <v>Deodorant 150ml</v>
      </c>
      <c r="E2020" s="36" t="str">
        <f aca="false">IF(Raw_Export!$A2020="","",IFERROR(VLOOKUP(LOWER(TRIM(Raw_Export!D2020)),Maps!$G$2:$I$80,3,FALSE()),"UNMAPPED"))</f>
        <v>Personal Care</v>
      </c>
      <c r="F2020" s="36" t="n">
        <f aca="false">IF(Raw_Export!$A2020="","",IFERROR(VALUE(TRIM(Raw_Export!E2020)),0))</f>
        <v>1</v>
      </c>
      <c r="G2020" s="38" t="n">
        <f aca="false">IF(Raw_Export!$A2020="","",IFERROR(VALUE(SUBSTITUTE(SUBSTITUTE(UPPER(TRIM(Raw_Export!F2020)),"KES",""),",","")),0))</f>
        <v>350</v>
      </c>
      <c r="H2020" s="38" t="n">
        <f aca="false">IF(Raw_Export!$A2020="","",F2020*G2020)</f>
        <v>350</v>
      </c>
      <c r="I2020" s="36" t="str">
        <f aca="false">IF(Raw_Export!$A2020="","",IFERROR(VLOOKUP(LOWER(TRIM(Raw_Export!H2020)),Maps!$D$2:$E$12,2,FALSE()),"Other"))</f>
        <v>M-Pesa</v>
      </c>
      <c r="J2020" s="36" t="str">
        <f aca="false">IF(Raw_Export!$A2020="","",IF(COUNTIF($A$2:A2020,A2020)&gt;1,"Duplicate",""))</f>
        <v/>
      </c>
      <c r="K2020" s="36" t="str">
        <f aca="false">IF(Raw_Export!$A2020="","",IF(J2020="Duplicate","Duplicate",IF(OR(C2020="UNMAPPED",D2020="UNMAPPED"),"Unmapped",IF(F2020=0,"Blank qty",IF(F2020&lt;0,"Return","OK")))))</f>
        <v>OK</v>
      </c>
      <c r="L2020" s="36" t="n">
        <f aca="false">IF(Raw_Export!$A2020="","",IF(OR(K2020="OK",K2020="Return"),1,0))</f>
        <v>1</v>
      </c>
      <c r="M2020" s="37" t="n">
        <f aca="false">IF(Raw_Export!$A2020="","",B2020-WEEKDAY(B2020,2)+1)</f>
        <v>46272</v>
      </c>
    </row>
    <row r="2021" customFormat="false" ht="15" hidden="false" customHeight="false" outlineLevel="0" collapsed="false">
      <c r="A2021" s="36" t="str">
        <f aca="false">IF(Raw_Export!$A2021="","",TRIM(Raw_Export!A2021))</f>
        <v>TXN-101981</v>
      </c>
      <c r="B2021" s="37" t="n">
        <f aca="false">IF(Raw_Export!$A2021="","",IF(ISNUMBER(Raw_Export!B2021),Raw_Export!B2021,IF(MID(TRIM(Raw_Export!B2021),5,1)="-",DATE(LEFT(TRIM(Raw_Export!B2021),4),MID(TRIM(Raw_Export!B2021),6,2),RIGHT(TRIM(Raw_Export!B2021),2)),DATE(RIGHT(TRIM(Raw_Export!B2021),4),MATCH(MID(TRIM(Raw_Export!B2021),4,3),{"Jan","Feb","Mar","Apr","May","Jun","Jul","Aug","Sep","Oct","Nov","Dec"},0),LEFT(TRIM(Raw_Export!B2021),2)))))</f>
        <v>46277</v>
      </c>
      <c r="C2021" s="36" t="str">
        <f aca="false">IF(Raw_Export!$A2021="","",IFERROR(VLOOKUP(LOWER(TRIM(Raw_Export!C2021)),Maps!$A$2:$B$20,2,FALSE()),"UNMAPPED"))</f>
        <v>Nakuru</v>
      </c>
      <c r="D2021" s="36" t="str">
        <f aca="false">IF(Raw_Export!$A2021="","",IFERROR(VLOOKUP(LOWER(TRIM(Raw_Export!D2021)),Maps!$G$2:$I$80,2,FALSE()),"UNMAPPED"))</f>
        <v>Tea Leaves 250g</v>
      </c>
      <c r="E2021" s="36" t="str">
        <f aca="false">IF(Raw_Export!$A2021="","",IFERROR(VLOOKUP(LOWER(TRIM(Raw_Export!D2021)),Maps!$G$2:$I$80,3,FALSE()),"UNMAPPED"))</f>
        <v>Beverages</v>
      </c>
      <c r="F2021" s="36" t="n">
        <f aca="false">IF(Raw_Export!$A2021="","",IFERROR(VALUE(TRIM(Raw_Export!E2021)),0))</f>
        <v>1</v>
      </c>
      <c r="G2021" s="38" t="n">
        <f aca="false">IF(Raw_Export!$A2021="","",IFERROR(VALUE(SUBSTITUTE(SUBSTITUTE(UPPER(TRIM(Raw_Export!F2021)),"KES",""),",","")),0))</f>
        <v>150</v>
      </c>
      <c r="H2021" s="38" t="n">
        <f aca="false">IF(Raw_Export!$A2021="","",F2021*G2021)</f>
        <v>150</v>
      </c>
      <c r="I2021" s="36" t="str">
        <f aca="false">IF(Raw_Export!$A2021="","",IFERROR(VLOOKUP(LOWER(TRIM(Raw_Export!H2021)),Maps!$D$2:$E$12,2,FALSE()),"Other"))</f>
        <v>M-Pesa</v>
      </c>
      <c r="J2021" s="36" t="str">
        <f aca="false">IF(Raw_Export!$A2021="","",IF(COUNTIF($A$2:A2021,A2021)&gt;1,"Duplicate",""))</f>
        <v/>
      </c>
      <c r="K2021" s="36" t="str">
        <f aca="false">IF(Raw_Export!$A2021="","",IF(J2021="Duplicate","Duplicate",IF(OR(C2021="UNMAPPED",D2021="UNMAPPED"),"Unmapped",IF(F2021=0,"Blank qty",IF(F2021&lt;0,"Return","OK")))))</f>
        <v>OK</v>
      </c>
      <c r="L2021" s="36" t="n">
        <f aca="false">IF(Raw_Export!$A2021="","",IF(OR(K2021="OK",K2021="Return"),1,0))</f>
        <v>1</v>
      </c>
      <c r="M2021" s="37" t="n">
        <f aca="false">IF(Raw_Export!$A2021="","",B2021-WEEKDAY(B2021,2)+1)</f>
        <v>46272</v>
      </c>
    </row>
    <row r="2022" customFormat="false" ht="15" hidden="false" customHeight="false" outlineLevel="0" collapsed="false">
      <c r="A2022" s="36" t="str">
        <f aca="false">IF(Raw_Export!$A2022="","",TRIM(Raw_Export!A2022))</f>
        <v>TXN-101982</v>
      </c>
      <c r="B2022" s="37" t="n">
        <f aca="false">IF(Raw_Export!$A2022="","",IF(ISNUMBER(Raw_Export!B2022),Raw_Export!B2022,IF(MID(TRIM(Raw_Export!B2022),5,1)="-",DATE(LEFT(TRIM(Raw_Export!B2022),4),MID(TRIM(Raw_Export!B2022),6,2),RIGHT(TRIM(Raw_Export!B2022),2)),DATE(RIGHT(TRIM(Raw_Export!B2022),4),MATCH(MID(TRIM(Raw_Export!B2022),4,3),{"Jan","Feb","Mar","Apr","May","Jun","Jul","Aug","Sep","Oct","Nov","Dec"},0),LEFT(TRIM(Raw_Export!B2022),2)))))</f>
        <v>46277</v>
      </c>
      <c r="C2022" s="36" t="str">
        <f aca="false">IF(Raw_Export!$A2022="","",IFERROR(VLOOKUP(LOWER(TRIM(Raw_Export!C2022)),Maps!$A$2:$B$20,2,FALSE()),"UNMAPPED"))</f>
        <v>Nakuru</v>
      </c>
      <c r="D2022" s="36" t="str">
        <f aca="false">IF(Raw_Export!$A2022="","",IFERROR(VLOOKUP(LOWER(TRIM(Raw_Export!D2022)),Maps!$G$2:$I$80,2,FALSE()),"UNMAPPED"))</f>
        <v>Bottled Water 1.5L</v>
      </c>
      <c r="E2022" s="36" t="str">
        <f aca="false">IF(Raw_Export!$A2022="","",IFERROR(VLOOKUP(LOWER(TRIM(Raw_Export!D2022)),Maps!$G$2:$I$80,3,FALSE()),"UNMAPPED"))</f>
        <v>Beverages</v>
      </c>
      <c r="F2022" s="36" t="n">
        <f aca="false">IF(Raw_Export!$A2022="","",IFERROR(VALUE(TRIM(Raw_Export!E2022)),0))</f>
        <v>3</v>
      </c>
      <c r="G2022" s="38" t="n">
        <f aca="false">IF(Raw_Export!$A2022="","",IFERROR(VALUE(SUBSTITUTE(SUBSTITUTE(UPPER(TRIM(Raw_Export!F2022)),"KES",""),",","")),0))</f>
        <v>90</v>
      </c>
      <c r="H2022" s="38" t="n">
        <f aca="false">IF(Raw_Export!$A2022="","",F2022*G2022)</f>
        <v>270</v>
      </c>
      <c r="I2022" s="36" t="str">
        <f aca="false">IF(Raw_Export!$A2022="","",IFERROR(VLOOKUP(LOWER(TRIM(Raw_Export!H2022)),Maps!$D$2:$E$12,2,FALSE()),"Other"))</f>
        <v>Cash</v>
      </c>
      <c r="J2022" s="36" t="str">
        <f aca="false">IF(Raw_Export!$A2022="","",IF(COUNTIF($A$2:A2022,A2022)&gt;1,"Duplicate",""))</f>
        <v/>
      </c>
      <c r="K2022" s="36" t="str">
        <f aca="false">IF(Raw_Export!$A2022="","",IF(J2022="Duplicate","Duplicate",IF(OR(C2022="UNMAPPED",D2022="UNMAPPED"),"Unmapped",IF(F2022=0,"Blank qty",IF(F2022&lt;0,"Return","OK")))))</f>
        <v>OK</v>
      </c>
      <c r="L2022" s="36" t="n">
        <f aca="false">IF(Raw_Export!$A2022="","",IF(OR(K2022="OK",K2022="Return"),1,0))</f>
        <v>1</v>
      </c>
      <c r="M2022" s="37" t="n">
        <f aca="false">IF(Raw_Export!$A2022="","",B2022-WEEKDAY(B2022,2)+1)</f>
        <v>46272</v>
      </c>
    </row>
    <row r="2023" customFormat="false" ht="15" hidden="false" customHeight="false" outlineLevel="0" collapsed="false">
      <c r="A2023" s="36" t="str">
        <f aca="false">IF(Raw_Export!$A2023="","",TRIM(Raw_Export!A2023))</f>
        <v>TXN-101983</v>
      </c>
      <c r="B2023" s="37" t="n">
        <f aca="false">IF(Raw_Export!$A2023="","",IF(ISNUMBER(Raw_Export!B2023),Raw_Export!B2023,IF(MID(TRIM(Raw_Export!B2023),5,1)="-",DATE(LEFT(TRIM(Raw_Export!B2023),4),MID(TRIM(Raw_Export!B2023),6,2),RIGHT(TRIM(Raw_Export!B2023),2)),DATE(RIGHT(TRIM(Raw_Export!B2023),4),MATCH(MID(TRIM(Raw_Export!B2023),4,3),{"Jan","Feb","Mar","Apr","May","Jun","Jul","Aug","Sep","Oct","Nov","Dec"},0),LEFT(TRIM(Raw_Export!B2023),2)))))</f>
        <v>46277</v>
      </c>
      <c r="C2023" s="36" t="str">
        <f aca="false">IF(Raw_Export!$A2023="","",IFERROR(VLOOKUP(LOWER(TRIM(Raw_Export!C2023)),Maps!$A$2:$B$20,2,FALSE()),"UNMAPPED"))</f>
        <v>Nakuru</v>
      </c>
      <c r="D2023" s="36" t="str">
        <f aca="false">IF(Raw_Export!$A2023="","",IFERROR(VLOOKUP(LOWER(TRIM(Raw_Export!D2023)),Maps!$G$2:$I$80,2,FALSE()),"UNMAPPED"))</f>
        <v>Cooking Oil 1L</v>
      </c>
      <c r="E2023" s="36" t="str">
        <f aca="false">IF(Raw_Export!$A2023="","",IFERROR(VLOOKUP(LOWER(TRIM(Raw_Export!D2023)),Maps!$G$2:$I$80,3,FALSE()),"UNMAPPED"))</f>
        <v>Staples</v>
      </c>
      <c r="F2023" s="36" t="n">
        <f aca="false">IF(Raw_Export!$A2023="","",IFERROR(VALUE(TRIM(Raw_Export!E2023)),0))</f>
        <v>3</v>
      </c>
      <c r="G2023" s="38" t="n">
        <f aca="false">IF(Raw_Export!$A2023="","",IFERROR(VALUE(SUBSTITUTE(SUBSTITUTE(UPPER(TRIM(Raw_Export!F2023)),"KES",""),",","")),0))</f>
        <v>330</v>
      </c>
      <c r="H2023" s="38" t="n">
        <f aca="false">IF(Raw_Export!$A2023="","",F2023*G2023)</f>
        <v>990</v>
      </c>
      <c r="I2023" s="36" t="str">
        <f aca="false">IF(Raw_Export!$A2023="","",IFERROR(VLOOKUP(LOWER(TRIM(Raw_Export!H2023)),Maps!$D$2:$E$12,2,FALSE()),"Other"))</f>
        <v>Card</v>
      </c>
      <c r="J2023" s="36" t="str">
        <f aca="false">IF(Raw_Export!$A2023="","",IF(COUNTIF($A$2:A2023,A2023)&gt;1,"Duplicate",""))</f>
        <v/>
      </c>
      <c r="K2023" s="36" t="str">
        <f aca="false">IF(Raw_Export!$A2023="","",IF(J2023="Duplicate","Duplicate",IF(OR(C2023="UNMAPPED",D2023="UNMAPPED"),"Unmapped",IF(F2023=0,"Blank qty",IF(F2023&lt;0,"Return","OK")))))</f>
        <v>OK</v>
      </c>
      <c r="L2023" s="36" t="n">
        <f aca="false">IF(Raw_Export!$A2023="","",IF(OR(K2023="OK",K2023="Return"),1,0))</f>
        <v>1</v>
      </c>
      <c r="M2023" s="37" t="n">
        <f aca="false">IF(Raw_Export!$A2023="","",B2023-WEEKDAY(B2023,2)+1)</f>
        <v>46272</v>
      </c>
    </row>
    <row r="2024" customFormat="false" ht="15" hidden="false" customHeight="false" outlineLevel="0" collapsed="false">
      <c r="A2024" s="36" t="str">
        <f aca="false">IF(Raw_Export!$A2024="","",TRIM(Raw_Export!A2024))</f>
        <v>TXN-101984</v>
      </c>
      <c r="B2024" s="37" t="n">
        <f aca="false">IF(Raw_Export!$A2024="","",IF(ISNUMBER(Raw_Export!B2024),Raw_Export!B2024,IF(MID(TRIM(Raw_Export!B2024),5,1)="-",DATE(LEFT(TRIM(Raw_Export!B2024),4),MID(TRIM(Raw_Export!B2024),6,2),RIGHT(TRIM(Raw_Export!B2024),2)),DATE(RIGHT(TRIM(Raw_Export!B2024),4),MATCH(MID(TRIM(Raw_Export!B2024),4,3),{"Jan","Feb","Mar","Apr","May","Jun","Jul","Aug","Sep","Oct","Nov","Dec"},0),LEFT(TRIM(Raw_Export!B2024),2)))))</f>
        <v>46277</v>
      </c>
      <c r="C2024" s="36" t="str">
        <f aca="false">IF(Raw_Export!$A2024="","",IFERROR(VLOOKUP(LOWER(TRIM(Raw_Export!C2024)),Maps!$A$2:$B$20,2,FALSE()),"UNMAPPED"))</f>
        <v>Nakuru</v>
      </c>
      <c r="D2024" s="36" t="str">
        <f aca="false">IF(Raw_Export!$A2024="","",IFERROR(VLOOKUP(LOWER(TRIM(Raw_Export!D2024)),Maps!$G$2:$I$80,2,FALSE()),"UNMAPPED"))</f>
        <v>Bread Loaf 400g</v>
      </c>
      <c r="E2024" s="36" t="str">
        <f aca="false">IF(Raw_Export!$A2024="","",IFERROR(VLOOKUP(LOWER(TRIM(Raw_Export!D2024)),Maps!$G$2:$I$80,3,FALSE()),"UNMAPPED"))</f>
        <v>Snacks</v>
      </c>
      <c r="F2024" s="36" t="n">
        <f aca="false">IF(Raw_Export!$A2024="","",IFERROR(VALUE(TRIM(Raw_Export!E2024)),0))</f>
        <v>1</v>
      </c>
      <c r="G2024" s="38" t="n">
        <f aca="false">IF(Raw_Export!$A2024="","",IFERROR(VALUE(SUBSTITUTE(SUBSTITUTE(UPPER(TRIM(Raw_Export!F2024)),"KES",""),",","")),0))</f>
        <v>65</v>
      </c>
      <c r="H2024" s="38" t="n">
        <f aca="false">IF(Raw_Export!$A2024="","",F2024*G2024)</f>
        <v>65</v>
      </c>
      <c r="I2024" s="36" t="str">
        <f aca="false">IF(Raw_Export!$A2024="","",IFERROR(VLOOKUP(LOWER(TRIM(Raw_Export!H2024)),Maps!$D$2:$E$12,2,FALSE()),"Other"))</f>
        <v>Card</v>
      </c>
      <c r="J2024" s="36" t="str">
        <f aca="false">IF(Raw_Export!$A2024="","",IF(COUNTIF($A$2:A2024,A2024)&gt;1,"Duplicate",""))</f>
        <v/>
      </c>
      <c r="K2024" s="36" t="str">
        <f aca="false">IF(Raw_Export!$A2024="","",IF(J2024="Duplicate","Duplicate",IF(OR(C2024="UNMAPPED",D2024="UNMAPPED"),"Unmapped",IF(F2024=0,"Blank qty",IF(F2024&lt;0,"Return","OK")))))</f>
        <v>OK</v>
      </c>
      <c r="L2024" s="36" t="n">
        <f aca="false">IF(Raw_Export!$A2024="","",IF(OR(K2024="OK",K2024="Return"),1,0))</f>
        <v>1</v>
      </c>
      <c r="M2024" s="37" t="n">
        <f aca="false">IF(Raw_Export!$A2024="","",B2024-WEEKDAY(B2024,2)+1)</f>
        <v>46272</v>
      </c>
    </row>
    <row r="2025" customFormat="false" ht="15" hidden="false" customHeight="false" outlineLevel="0" collapsed="false">
      <c r="A2025" s="36" t="str">
        <f aca="false">IF(Raw_Export!$A2025="","",TRIM(Raw_Export!A2025))</f>
        <v>TXN-101985</v>
      </c>
      <c r="B2025" s="37" t="n">
        <f aca="false">IF(Raw_Export!$A2025="","",IF(ISNUMBER(Raw_Export!B2025),Raw_Export!B2025,IF(MID(TRIM(Raw_Export!B2025),5,1)="-",DATE(LEFT(TRIM(Raw_Export!B2025),4),MID(TRIM(Raw_Export!B2025),6,2),RIGHT(TRIM(Raw_Export!B2025),2)),DATE(RIGHT(TRIM(Raw_Export!B2025),4),MATCH(MID(TRIM(Raw_Export!B2025),4,3),{"Jan","Feb","Mar","Apr","May","Jun","Jul","Aug","Sep","Oct","Nov","Dec"},0),LEFT(TRIM(Raw_Export!B2025),2)))))</f>
        <v>46277</v>
      </c>
      <c r="C2025" s="36" t="str">
        <f aca="false">IF(Raw_Export!$A2025="","",IFERROR(VLOOKUP(LOWER(TRIM(Raw_Export!C2025)),Maps!$A$2:$B$20,2,FALSE()),"UNMAPPED"))</f>
        <v>Nakuru</v>
      </c>
      <c r="D2025" s="36" t="str">
        <f aca="false">IF(Raw_Export!$A2025="","",IFERROR(VLOOKUP(LOWER(TRIM(Raw_Export!D2025)),Maps!$G$2:$I$80,2,FALSE()),"UNMAPPED"))</f>
        <v>Cooking Oil 1L</v>
      </c>
      <c r="E2025" s="36" t="str">
        <f aca="false">IF(Raw_Export!$A2025="","",IFERROR(VLOOKUP(LOWER(TRIM(Raw_Export!D2025)),Maps!$G$2:$I$80,3,FALSE()),"UNMAPPED"))</f>
        <v>Staples</v>
      </c>
      <c r="F2025" s="36" t="n">
        <f aca="false">IF(Raw_Export!$A2025="","",IFERROR(VALUE(TRIM(Raw_Export!E2025)),0))</f>
        <v>1</v>
      </c>
      <c r="G2025" s="38" t="n">
        <f aca="false">IF(Raw_Export!$A2025="","",IFERROR(VALUE(SUBSTITUTE(SUBSTITUTE(UPPER(TRIM(Raw_Export!F2025)),"KES",""),",","")),0))</f>
        <v>330</v>
      </c>
      <c r="H2025" s="38" t="n">
        <f aca="false">IF(Raw_Export!$A2025="","",F2025*G2025)</f>
        <v>330</v>
      </c>
      <c r="I2025" s="36" t="str">
        <f aca="false">IF(Raw_Export!$A2025="","",IFERROR(VLOOKUP(LOWER(TRIM(Raw_Export!H2025)),Maps!$D$2:$E$12,2,FALSE()),"Other"))</f>
        <v>Card</v>
      </c>
      <c r="J2025" s="36" t="str">
        <f aca="false">IF(Raw_Export!$A2025="","",IF(COUNTIF($A$2:A2025,A2025)&gt;1,"Duplicate",""))</f>
        <v/>
      </c>
      <c r="K2025" s="36" t="str">
        <f aca="false">IF(Raw_Export!$A2025="","",IF(J2025="Duplicate","Duplicate",IF(OR(C2025="UNMAPPED",D2025="UNMAPPED"),"Unmapped",IF(F2025=0,"Blank qty",IF(F2025&lt;0,"Return","OK")))))</f>
        <v>OK</v>
      </c>
      <c r="L2025" s="36" t="n">
        <f aca="false">IF(Raw_Export!$A2025="","",IF(OR(K2025="OK",K2025="Return"),1,0))</f>
        <v>1</v>
      </c>
      <c r="M2025" s="37" t="n">
        <f aca="false">IF(Raw_Export!$A2025="","",B2025-WEEKDAY(B2025,2)+1)</f>
        <v>46272</v>
      </c>
    </row>
    <row r="2026" customFormat="false" ht="15" hidden="false" customHeight="false" outlineLevel="0" collapsed="false">
      <c r="A2026" s="36" t="str">
        <f aca="false">IF(Raw_Export!$A2026="","",TRIM(Raw_Export!A2026))</f>
        <v>TXN-101986</v>
      </c>
      <c r="B2026" s="37" t="n">
        <f aca="false">IF(Raw_Export!$A2026="","",IF(ISNUMBER(Raw_Export!B2026),Raw_Export!B2026,IF(MID(TRIM(Raw_Export!B2026),5,1)="-",DATE(LEFT(TRIM(Raw_Export!B2026),4),MID(TRIM(Raw_Export!B2026),6,2),RIGHT(TRIM(Raw_Export!B2026),2)),DATE(RIGHT(TRIM(Raw_Export!B2026),4),MATCH(MID(TRIM(Raw_Export!B2026),4,3),{"Jan","Feb","Mar","Apr","May","Jun","Jul","Aug","Sep","Oct","Nov","Dec"},0),LEFT(TRIM(Raw_Export!B2026),2)))))</f>
        <v>46277</v>
      </c>
      <c r="C2026" s="36" t="str">
        <f aca="false">IF(Raw_Export!$A2026="","",IFERROR(VLOOKUP(LOWER(TRIM(Raw_Export!C2026)),Maps!$A$2:$B$20,2,FALSE()),"UNMAPPED"))</f>
        <v>Nakuru</v>
      </c>
      <c r="D2026" s="36" t="str">
        <f aca="false">IF(Raw_Export!$A2026="","",IFERROR(VLOOKUP(LOWER(TRIM(Raw_Export!D2026)),Maps!$G$2:$I$80,2,FALSE()),"UNMAPPED"))</f>
        <v>Washing Powder 1kg</v>
      </c>
      <c r="E2026" s="36" t="str">
        <f aca="false">IF(Raw_Export!$A2026="","",IFERROR(VLOOKUP(LOWER(TRIM(Raw_Export!D2026)),Maps!$G$2:$I$80,3,FALSE()),"UNMAPPED"))</f>
        <v>Household</v>
      </c>
      <c r="F2026" s="36" t="n">
        <f aca="false">IF(Raw_Export!$A2026="","",IFERROR(VALUE(TRIM(Raw_Export!E2026)),0))</f>
        <v>1</v>
      </c>
      <c r="G2026" s="38" t="n">
        <f aca="false">IF(Raw_Export!$A2026="","",IFERROR(VALUE(SUBSTITUTE(SUBSTITUTE(UPPER(TRIM(Raw_Export!F2026)),"KES",""),",","")),0))</f>
        <v>280</v>
      </c>
      <c r="H2026" s="38" t="n">
        <f aca="false">IF(Raw_Export!$A2026="","",F2026*G2026)</f>
        <v>280</v>
      </c>
      <c r="I2026" s="36" t="str">
        <f aca="false">IF(Raw_Export!$A2026="","",IFERROR(VLOOKUP(LOWER(TRIM(Raw_Export!H2026)),Maps!$D$2:$E$12,2,FALSE()),"Other"))</f>
        <v>Cash</v>
      </c>
      <c r="J2026" s="36" t="str">
        <f aca="false">IF(Raw_Export!$A2026="","",IF(COUNTIF($A$2:A2026,A2026)&gt;1,"Duplicate",""))</f>
        <v/>
      </c>
      <c r="K2026" s="36" t="str">
        <f aca="false">IF(Raw_Export!$A2026="","",IF(J2026="Duplicate","Duplicate",IF(OR(C2026="UNMAPPED",D2026="UNMAPPED"),"Unmapped",IF(F2026=0,"Blank qty",IF(F2026&lt;0,"Return","OK")))))</f>
        <v>OK</v>
      </c>
      <c r="L2026" s="36" t="n">
        <f aca="false">IF(Raw_Export!$A2026="","",IF(OR(K2026="OK",K2026="Return"),1,0))</f>
        <v>1</v>
      </c>
      <c r="M2026" s="37" t="n">
        <f aca="false">IF(Raw_Export!$A2026="","",B2026-WEEKDAY(B2026,2)+1)</f>
        <v>46272</v>
      </c>
    </row>
    <row r="2027" customFormat="false" ht="15" hidden="false" customHeight="false" outlineLevel="0" collapsed="false">
      <c r="A2027" s="36" t="str">
        <f aca="false">IF(Raw_Export!$A2027="","",TRIM(Raw_Export!A2027))</f>
        <v>TXN-101987</v>
      </c>
      <c r="B2027" s="37" t="n">
        <f aca="false">IF(Raw_Export!$A2027="","",IF(ISNUMBER(Raw_Export!B2027),Raw_Export!B2027,IF(MID(TRIM(Raw_Export!B2027),5,1)="-",DATE(LEFT(TRIM(Raw_Export!B2027),4),MID(TRIM(Raw_Export!B2027),6,2),RIGHT(TRIM(Raw_Export!B2027),2)),DATE(RIGHT(TRIM(Raw_Export!B2027),4),MATCH(MID(TRIM(Raw_Export!B2027),4,3),{"Jan","Feb","Mar","Apr","May","Jun","Jul","Aug","Sep","Oct","Nov","Dec"},0),LEFT(TRIM(Raw_Export!B2027),2)))))</f>
        <v>46277</v>
      </c>
      <c r="C2027" s="36" t="str">
        <f aca="false">IF(Raw_Export!$A2027="","",IFERROR(VLOOKUP(LOWER(TRIM(Raw_Export!C2027)),Maps!$A$2:$B$20,2,FALSE()),"UNMAPPED"))</f>
        <v>Nakuru</v>
      </c>
      <c r="D2027" s="36" t="str">
        <f aca="false">IF(Raw_Export!$A2027="","",IFERROR(VLOOKUP(LOWER(TRIM(Raw_Export!D2027)),Maps!$G$2:$I$80,2,FALSE()),"UNMAPPED"))</f>
        <v>Sanitary Pads 8pk</v>
      </c>
      <c r="E2027" s="36" t="str">
        <f aca="false">IF(Raw_Export!$A2027="","",IFERROR(VLOOKUP(LOWER(TRIM(Raw_Export!D2027)),Maps!$G$2:$I$80,3,FALSE()),"UNMAPPED"))</f>
        <v>Personal Care</v>
      </c>
      <c r="F2027" s="36" t="n">
        <f aca="false">IF(Raw_Export!$A2027="","",IFERROR(VALUE(TRIM(Raw_Export!E2027)),0))</f>
        <v>2</v>
      </c>
      <c r="G2027" s="38" t="n">
        <f aca="false">IF(Raw_Export!$A2027="","",IFERROR(VALUE(SUBSTITUTE(SUBSTITUTE(UPPER(TRIM(Raw_Export!F2027)),"KES",""),",","")),0))</f>
        <v>130</v>
      </c>
      <c r="H2027" s="38" t="n">
        <f aca="false">IF(Raw_Export!$A2027="","",F2027*G2027)</f>
        <v>260</v>
      </c>
      <c r="I2027" s="36" t="str">
        <f aca="false">IF(Raw_Export!$A2027="","",IFERROR(VLOOKUP(LOWER(TRIM(Raw_Export!H2027)),Maps!$D$2:$E$12,2,FALSE()),"Other"))</f>
        <v>M-Pesa</v>
      </c>
      <c r="J2027" s="36" t="str">
        <f aca="false">IF(Raw_Export!$A2027="","",IF(COUNTIF($A$2:A2027,A2027)&gt;1,"Duplicate",""))</f>
        <v/>
      </c>
      <c r="K2027" s="36" t="str">
        <f aca="false">IF(Raw_Export!$A2027="","",IF(J2027="Duplicate","Duplicate",IF(OR(C2027="UNMAPPED",D2027="UNMAPPED"),"Unmapped",IF(F2027=0,"Blank qty",IF(F2027&lt;0,"Return","OK")))))</f>
        <v>OK</v>
      </c>
      <c r="L2027" s="36" t="n">
        <f aca="false">IF(Raw_Export!$A2027="","",IF(OR(K2027="OK",K2027="Return"),1,0))</f>
        <v>1</v>
      </c>
      <c r="M2027" s="37" t="n">
        <f aca="false">IF(Raw_Export!$A2027="","",B2027-WEEKDAY(B2027,2)+1)</f>
        <v>46272</v>
      </c>
    </row>
    <row r="2028" customFormat="false" ht="15" hidden="false" customHeight="false" outlineLevel="0" collapsed="false">
      <c r="A2028" s="36" t="str">
        <f aca="false">IF(Raw_Export!$A2028="","",TRIM(Raw_Export!A2028))</f>
        <v>TXN-101988</v>
      </c>
      <c r="B2028" s="37" t="n">
        <f aca="false">IF(Raw_Export!$A2028="","",IF(ISNUMBER(Raw_Export!B2028),Raw_Export!B2028,IF(MID(TRIM(Raw_Export!B2028),5,1)="-",DATE(LEFT(TRIM(Raw_Export!B2028),4),MID(TRIM(Raw_Export!B2028),6,2),RIGHT(TRIM(Raw_Export!B2028),2)),DATE(RIGHT(TRIM(Raw_Export!B2028),4),MATCH(MID(TRIM(Raw_Export!B2028),4,3),{"Jan","Feb","Mar","Apr","May","Jun","Jul","Aug","Sep","Oct","Nov","Dec"},0),LEFT(TRIM(Raw_Export!B2028),2)))))</f>
        <v>46277</v>
      </c>
      <c r="C2028" s="36" t="str">
        <f aca="false">IF(Raw_Export!$A2028="","",IFERROR(VLOOKUP(LOWER(TRIM(Raw_Export!C2028)),Maps!$A$2:$B$20,2,FALSE()),"UNMAPPED"))</f>
        <v>Nakuru</v>
      </c>
      <c r="D2028" s="36" t="str">
        <f aca="false">IF(Raw_Export!$A2028="","",IFERROR(VLOOKUP(LOWER(TRIM(Raw_Export!D2028)),Maps!$G$2:$I$80,2,FALSE()),"UNMAPPED"))</f>
        <v>Matches 10pk</v>
      </c>
      <c r="E2028" s="36" t="str">
        <f aca="false">IF(Raw_Export!$A2028="","",IFERROR(VLOOKUP(LOWER(TRIM(Raw_Export!D2028)),Maps!$G$2:$I$80,3,FALSE()),"UNMAPPED"))</f>
        <v>Household</v>
      </c>
      <c r="F2028" s="36" t="n">
        <f aca="false">IF(Raw_Export!$A2028="","",IFERROR(VALUE(TRIM(Raw_Export!E2028)),0))</f>
        <v>3</v>
      </c>
      <c r="G2028" s="38" t="n">
        <f aca="false">IF(Raw_Export!$A2028="","",IFERROR(VALUE(SUBSTITUTE(SUBSTITUTE(UPPER(TRIM(Raw_Export!F2028)),"KES",""),",","")),0))</f>
        <v>50</v>
      </c>
      <c r="H2028" s="38" t="n">
        <f aca="false">IF(Raw_Export!$A2028="","",F2028*G2028)</f>
        <v>150</v>
      </c>
      <c r="I2028" s="36" t="str">
        <f aca="false">IF(Raw_Export!$A2028="","",IFERROR(VLOOKUP(LOWER(TRIM(Raw_Export!H2028)),Maps!$D$2:$E$12,2,FALSE()),"Other"))</f>
        <v>M-Pesa</v>
      </c>
      <c r="J2028" s="36" t="str">
        <f aca="false">IF(Raw_Export!$A2028="","",IF(COUNTIF($A$2:A2028,A2028)&gt;1,"Duplicate",""))</f>
        <v/>
      </c>
      <c r="K2028" s="36" t="str">
        <f aca="false">IF(Raw_Export!$A2028="","",IF(J2028="Duplicate","Duplicate",IF(OR(C2028="UNMAPPED",D2028="UNMAPPED"),"Unmapped",IF(F2028=0,"Blank qty",IF(F2028&lt;0,"Return","OK")))))</f>
        <v>OK</v>
      </c>
      <c r="L2028" s="36" t="n">
        <f aca="false">IF(Raw_Export!$A2028="","",IF(OR(K2028="OK",K2028="Return"),1,0))</f>
        <v>1</v>
      </c>
      <c r="M2028" s="37" t="n">
        <f aca="false">IF(Raw_Export!$A2028="","",B2028-WEEKDAY(B2028,2)+1)</f>
        <v>46272</v>
      </c>
    </row>
    <row r="2029" customFormat="false" ht="15" hidden="false" customHeight="false" outlineLevel="0" collapsed="false">
      <c r="A2029" s="36" t="str">
        <f aca="false">IF(Raw_Export!$A2029="","",TRIM(Raw_Export!A2029))</f>
        <v>TXN-101989</v>
      </c>
      <c r="B2029" s="37" t="n">
        <f aca="false">IF(Raw_Export!$A2029="","",IF(ISNUMBER(Raw_Export!B2029),Raw_Export!B2029,IF(MID(TRIM(Raw_Export!B2029),5,1)="-",DATE(LEFT(TRIM(Raw_Export!B2029),4),MID(TRIM(Raw_Export!B2029),6,2),RIGHT(TRIM(Raw_Export!B2029),2)),DATE(RIGHT(TRIM(Raw_Export!B2029),4),MATCH(MID(TRIM(Raw_Export!B2029),4,3),{"Jan","Feb","Mar","Apr","May","Jun","Jul","Aug","Sep","Oct","Nov","Dec"},0),LEFT(TRIM(Raw_Export!B2029),2)))))</f>
        <v>46277</v>
      </c>
      <c r="C2029" s="36" t="str">
        <f aca="false">IF(Raw_Export!$A2029="","",IFERROR(VLOOKUP(LOWER(TRIM(Raw_Export!C2029)),Maps!$A$2:$B$20,2,FALSE()),"UNMAPPED"))</f>
        <v>Nakuru</v>
      </c>
      <c r="D2029" s="36" t="str">
        <f aca="false">IF(Raw_Export!$A2029="","",IFERROR(VLOOKUP(LOWER(TRIM(Raw_Export!D2029)),Maps!$G$2:$I$80,2,FALSE()),"UNMAPPED"))</f>
        <v>Crisps 100g</v>
      </c>
      <c r="E2029" s="36" t="str">
        <f aca="false">IF(Raw_Export!$A2029="","",IFERROR(VLOOKUP(LOWER(TRIM(Raw_Export!D2029)),Maps!$G$2:$I$80,3,FALSE()),"UNMAPPED"))</f>
        <v>Snacks</v>
      </c>
      <c r="F2029" s="36" t="n">
        <f aca="false">IF(Raw_Export!$A2029="","",IFERROR(VALUE(TRIM(Raw_Export!E2029)),0))</f>
        <v>1</v>
      </c>
      <c r="G2029" s="38" t="n">
        <f aca="false">IF(Raw_Export!$A2029="","",IFERROR(VALUE(SUBSTITUTE(SUBSTITUTE(UPPER(TRIM(Raw_Export!F2029)),"KES",""),",","")),0))</f>
        <v>80</v>
      </c>
      <c r="H2029" s="38" t="n">
        <f aca="false">IF(Raw_Export!$A2029="","",F2029*G2029)</f>
        <v>80</v>
      </c>
      <c r="I2029" s="36" t="str">
        <f aca="false">IF(Raw_Export!$A2029="","",IFERROR(VLOOKUP(LOWER(TRIM(Raw_Export!H2029)),Maps!$D$2:$E$12,2,FALSE()),"Other"))</f>
        <v>Card</v>
      </c>
      <c r="J2029" s="36" t="str">
        <f aca="false">IF(Raw_Export!$A2029="","",IF(COUNTIF($A$2:A2029,A2029)&gt;1,"Duplicate",""))</f>
        <v/>
      </c>
      <c r="K2029" s="36" t="str">
        <f aca="false">IF(Raw_Export!$A2029="","",IF(J2029="Duplicate","Duplicate",IF(OR(C2029="UNMAPPED",D2029="UNMAPPED"),"Unmapped",IF(F2029=0,"Blank qty",IF(F2029&lt;0,"Return","OK")))))</f>
        <v>OK</v>
      </c>
      <c r="L2029" s="36" t="n">
        <f aca="false">IF(Raw_Export!$A2029="","",IF(OR(K2029="OK",K2029="Return"),1,0))</f>
        <v>1</v>
      </c>
      <c r="M2029" s="37" t="n">
        <f aca="false">IF(Raw_Export!$A2029="","",B2029-WEEKDAY(B2029,2)+1)</f>
        <v>46272</v>
      </c>
    </row>
    <row r="2030" customFormat="false" ht="15" hidden="false" customHeight="false" outlineLevel="0" collapsed="false">
      <c r="A2030" s="36" t="str">
        <f aca="false">IF(Raw_Export!$A2030="","",TRIM(Raw_Export!A2030))</f>
        <v>TXN-101990</v>
      </c>
      <c r="B2030" s="37" t="n">
        <f aca="false">IF(Raw_Export!$A2030="","",IF(ISNUMBER(Raw_Export!B2030),Raw_Export!B2030,IF(MID(TRIM(Raw_Export!B2030),5,1)="-",DATE(LEFT(TRIM(Raw_Export!B2030),4),MID(TRIM(Raw_Export!B2030),6,2),RIGHT(TRIM(Raw_Export!B2030),2)),DATE(RIGHT(TRIM(Raw_Export!B2030),4),MATCH(MID(TRIM(Raw_Export!B2030),4,3),{"Jan","Feb","Mar","Apr","May","Jun","Jul","Aug","Sep","Oct","Nov","Dec"},0),LEFT(TRIM(Raw_Export!B2030),2)))))</f>
        <v>46277</v>
      </c>
      <c r="C2030" s="36" t="str">
        <f aca="false">IF(Raw_Export!$A2030="","",IFERROR(VLOOKUP(LOWER(TRIM(Raw_Export!C2030)),Maps!$A$2:$B$20,2,FALSE()),"UNMAPPED"))</f>
        <v>Nakuru</v>
      </c>
      <c r="D2030" s="36" t="str">
        <f aca="false">IF(Raw_Export!$A2030="","",IFERROR(VLOOKUP(LOWER(TRIM(Raw_Export!D2030)),Maps!$G$2:$I$80,2,FALSE()),"UNMAPPED"))</f>
        <v>Tea Leaves 250g</v>
      </c>
      <c r="E2030" s="36" t="str">
        <f aca="false">IF(Raw_Export!$A2030="","",IFERROR(VLOOKUP(LOWER(TRIM(Raw_Export!D2030)),Maps!$G$2:$I$80,3,FALSE()),"UNMAPPED"))</f>
        <v>Beverages</v>
      </c>
      <c r="F2030" s="36" t="n">
        <f aca="false">IF(Raw_Export!$A2030="","",IFERROR(VALUE(TRIM(Raw_Export!E2030)),0))</f>
        <v>1</v>
      </c>
      <c r="G2030" s="38" t="n">
        <f aca="false">IF(Raw_Export!$A2030="","",IFERROR(VALUE(SUBSTITUTE(SUBSTITUTE(UPPER(TRIM(Raw_Export!F2030)),"KES",""),",","")),0))</f>
        <v>150</v>
      </c>
      <c r="H2030" s="38" t="n">
        <f aca="false">IF(Raw_Export!$A2030="","",F2030*G2030)</f>
        <v>150</v>
      </c>
      <c r="I2030" s="36" t="str">
        <f aca="false">IF(Raw_Export!$A2030="","",IFERROR(VLOOKUP(LOWER(TRIM(Raw_Export!H2030)),Maps!$D$2:$E$12,2,FALSE()),"Other"))</f>
        <v>Cash</v>
      </c>
      <c r="J2030" s="36" t="str">
        <f aca="false">IF(Raw_Export!$A2030="","",IF(COUNTIF($A$2:A2030,A2030)&gt;1,"Duplicate",""))</f>
        <v/>
      </c>
      <c r="K2030" s="36" t="str">
        <f aca="false">IF(Raw_Export!$A2030="","",IF(J2030="Duplicate","Duplicate",IF(OR(C2030="UNMAPPED",D2030="UNMAPPED"),"Unmapped",IF(F2030=0,"Blank qty",IF(F2030&lt;0,"Return","OK")))))</f>
        <v>OK</v>
      </c>
      <c r="L2030" s="36" t="n">
        <f aca="false">IF(Raw_Export!$A2030="","",IF(OR(K2030="OK",K2030="Return"),1,0))</f>
        <v>1</v>
      </c>
      <c r="M2030" s="37" t="n">
        <f aca="false">IF(Raw_Export!$A2030="","",B2030-WEEKDAY(B2030,2)+1)</f>
        <v>46272</v>
      </c>
    </row>
    <row r="2031" customFormat="false" ht="15" hidden="false" customHeight="false" outlineLevel="0" collapsed="false">
      <c r="A2031" s="36" t="str">
        <f aca="false">IF(Raw_Export!$A2031="","",TRIM(Raw_Export!A2031))</f>
        <v>TXN-101991</v>
      </c>
      <c r="B2031" s="37" t="n">
        <f aca="false">IF(Raw_Export!$A2031="","",IF(ISNUMBER(Raw_Export!B2031),Raw_Export!B2031,IF(MID(TRIM(Raw_Export!B2031),5,1)="-",DATE(LEFT(TRIM(Raw_Export!B2031),4),MID(TRIM(Raw_Export!B2031),6,2),RIGHT(TRIM(Raw_Export!B2031),2)),DATE(RIGHT(TRIM(Raw_Export!B2031),4),MATCH(MID(TRIM(Raw_Export!B2031),4,3),{"Jan","Feb","Mar","Apr","May","Jun","Jul","Aug","Sep","Oct","Nov","Dec"},0),LEFT(TRIM(Raw_Export!B2031),2)))))</f>
        <v>46277</v>
      </c>
      <c r="C2031" s="36" t="str">
        <f aca="false">IF(Raw_Export!$A2031="","",IFERROR(VLOOKUP(LOWER(TRIM(Raw_Export!C2031)),Maps!$A$2:$B$20,2,FALSE()),"UNMAPPED"))</f>
        <v>Nakuru</v>
      </c>
      <c r="D2031" s="36" t="str">
        <f aca="false">IF(Raw_Export!$A2031="","",IFERROR(VLOOKUP(LOWER(TRIM(Raw_Export!D2031)),Maps!$G$2:$I$80,2,FALSE()),"UNMAPPED"))</f>
        <v>Soda 500ml</v>
      </c>
      <c r="E2031" s="36" t="str">
        <f aca="false">IF(Raw_Export!$A2031="","",IFERROR(VLOOKUP(LOWER(TRIM(Raw_Export!D2031)),Maps!$G$2:$I$80,3,FALSE()),"UNMAPPED"))</f>
        <v>Beverages</v>
      </c>
      <c r="F2031" s="36" t="n">
        <f aca="false">IF(Raw_Export!$A2031="","",IFERROR(VALUE(TRIM(Raw_Export!E2031)),0))</f>
        <v>1</v>
      </c>
      <c r="G2031" s="38" t="n">
        <f aca="false">IF(Raw_Export!$A2031="","",IFERROR(VALUE(SUBSTITUTE(SUBSTITUTE(UPPER(TRIM(Raw_Export!F2031)),"KES",""),",","")),0))</f>
        <v>60</v>
      </c>
      <c r="H2031" s="38" t="n">
        <f aca="false">IF(Raw_Export!$A2031="","",F2031*G2031)</f>
        <v>60</v>
      </c>
      <c r="I2031" s="36" t="str">
        <f aca="false">IF(Raw_Export!$A2031="","",IFERROR(VLOOKUP(LOWER(TRIM(Raw_Export!H2031)),Maps!$D$2:$E$12,2,FALSE()),"Other"))</f>
        <v>M-Pesa</v>
      </c>
      <c r="J2031" s="36" t="str">
        <f aca="false">IF(Raw_Export!$A2031="","",IF(COUNTIF($A$2:A2031,A2031)&gt;1,"Duplicate",""))</f>
        <v/>
      </c>
      <c r="K2031" s="36" t="str">
        <f aca="false">IF(Raw_Export!$A2031="","",IF(J2031="Duplicate","Duplicate",IF(OR(C2031="UNMAPPED",D2031="UNMAPPED"),"Unmapped",IF(F2031=0,"Blank qty",IF(F2031&lt;0,"Return","OK")))))</f>
        <v>OK</v>
      </c>
      <c r="L2031" s="36" t="n">
        <f aca="false">IF(Raw_Export!$A2031="","",IF(OR(K2031="OK",K2031="Return"),1,0))</f>
        <v>1</v>
      </c>
      <c r="M2031" s="37" t="n">
        <f aca="false">IF(Raw_Export!$A2031="","",B2031-WEEKDAY(B2031,2)+1)</f>
        <v>46272</v>
      </c>
    </row>
    <row r="2032" customFormat="false" ht="15" hidden="false" customHeight="false" outlineLevel="0" collapsed="false">
      <c r="A2032" s="36" t="str">
        <f aca="false">IF(Raw_Export!$A2032="","",TRIM(Raw_Export!A2032))</f>
        <v>TXN-101992</v>
      </c>
      <c r="B2032" s="37" t="n">
        <f aca="false">IF(Raw_Export!$A2032="","",IF(ISNUMBER(Raw_Export!B2032),Raw_Export!B2032,IF(MID(TRIM(Raw_Export!B2032),5,1)="-",DATE(LEFT(TRIM(Raw_Export!B2032),4),MID(TRIM(Raw_Export!B2032),6,2),RIGHT(TRIM(Raw_Export!B2032),2)),DATE(RIGHT(TRIM(Raw_Export!B2032),4),MATCH(MID(TRIM(Raw_Export!B2032),4,3),{"Jan","Feb","Mar","Apr","May","Jun","Jul","Aug","Sep","Oct","Nov","Dec"},0),LEFT(TRIM(Raw_Export!B2032),2)))))</f>
        <v>46277</v>
      </c>
      <c r="C2032" s="36" t="str">
        <f aca="false">IF(Raw_Export!$A2032="","",IFERROR(VLOOKUP(LOWER(TRIM(Raw_Export!C2032)),Maps!$A$2:$B$20,2,FALSE()),"UNMAPPED"))</f>
        <v>Nakuru</v>
      </c>
      <c r="D2032" s="36" t="str">
        <f aca="false">IF(Raw_Export!$A2032="","",IFERROR(VLOOKUP(LOWER(TRIM(Raw_Export!D2032)),Maps!$G$2:$I$80,2,FALSE()),"UNMAPPED"))</f>
        <v>Unga Pembe 2kg</v>
      </c>
      <c r="E2032" s="36" t="str">
        <f aca="false">IF(Raw_Export!$A2032="","",IFERROR(VLOOKUP(LOWER(TRIM(Raw_Export!D2032)),Maps!$G$2:$I$80,3,FALSE()),"UNMAPPED"))</f>
        <v>Staples</v>
      </c>
      <c r="F2032" s="36" t="n">
        <f aca="false">IF(Raw_Export!$A2032="","",IFERROR(VALUE(TRIM(Raw_Export!E2032)),0))</f>
        <v>1</v>
      </c>
      <c r="G2032" s="38" t="n">
        <f aca="false">IF(Raw_Export!$A2032="","",IFERROR(VALUE(SUBSTITUTE(SUBSTITUTE(UPPER(TRIM(Raw_Export!F2032)),"KES",""),",","")),0))</f>
        <v>190</v>
      </c>
      <c r="H2032" s="38" t="n">
        <f aca="false">IF(Raw_Export!$A2032="","",F2032*G2032)</f>
        <v>190</v>
      </c>
      <c r="I2032" s="36" t="str">
        <f aca="false">IF(Raw_Export!$A2032="","",IFERROR(VLOOKUP(LOWER(TRIM(Raw_Export!H2032)),Maps!$D$2:$E$12,2,FALSE()),"Other"))</f>
        <v>M-Pesa</v>
      </c>
      <c r="J2032" s="36" t="str">
        <f aca="false">IF(Raw_Export!$A2032="","",IF(COUNTIF($A$2:A2032,A2032)&gt;1,"Duplicate",""))</f>
        <v/>
      </c>
      <c r="K2032" s="36" t="str">
        <f aca="false">IF(Raw_Export!$A2032="","",IF(J2032="Duplicate","Duplicate",IF(OR(C2032="UNMAPPED",D2032="UNMAPPED"),"Unmapped",IF(F2032=0,"Blank qty",IF(F2032&lt;0,"Return","OK")))))</f>
        <v>OK</v>
      </c>
      <c r="L2032" s="36" t="n">
        <f aca="false">IF(Raw_Export!$A2032="","",IF(OR(K2032="OK",K2032="Return"),1,0))</f>
        <v>1</v>
      </c>
      <c r="M2032" s="37" t="n">
        <f aca="false">IF(Raw_Export!$A2032="","",B2032-WEEKDAY(B2032,2)+1)</f>
        <v>46272</v>
      </c>
    </row>
    <row r="2033" customFormat="false" ht="15" hidden="false" customHeight="false" outlineLevel="0" collapsed="false">
      <c r="A2033" s="36" t="str">
        <f aca="false">IF(Raw_Export!$A2033="","",TRIM(Raw_Export!A2033))</f>
        <v>TXN-101993</v>
      </c>
      <c r="B2033" s="37" t="n">
        <f aca="false">IF(Raw_Export!$A2033="","",IF(ISNUMBER(Raw_Export!B2033),Raw_Export!B2033,IF(MID(TRIM(Raw_Export!B2033),5,1)="-",DATE(LEFT(TRIM(Raw_Export!B2033),4),MID(TRIM(Raw_Export!B2033),6,2),RIGHT(TRIM(Raw_Export!B2033),2)),DATE(RIGHT(TRIM(Raw_Export!B2033),4),MATCH(MID(TRIM(Raw_Export!B2033),4,3),{"Jan","Feb","Mar","Apr","May","Jun","Jul","Aug","Sep","Oct","Nov","Dec"},0),LEFT(TRIM(Raw_Export!B2033),2)))))</f>
        <v>46278</v>
      </c>
      <c r="C2033" s="36" t="str">
        <f aca="false">IF(Raw_Export!$A2033="","",IFERROR(VLOOKUP(LOWER(TRIM(Raw_Export!C2033)),Maps!$A$2:$B$20,2,FALSE()),"UNMAPPED"))</f>
        <v>Nairobi CBD</v>
      </c>
      <c r="D2033" s="36" t="str">
        <f aca="false">IF(Raw_Export!$A2033="","",IFERROR(VLOOKUP(LOWER(TRIM(Raw_Export!D2033)),Maps!$G$2:$I$80,2,FALSE()),"UNMAPPED"))</f>
        <v>Fresh Milk 500ml</v>
      </c>
      <c r="E2033" s="36" t="str">
        <f aca="false">IF(Raw_Export!$A2033="","",IFERROR(VLOOKUP(LOWER(TRIM(Raw_Export!D2033)),Maps!$G$2:$I$80,3,FALSE()),"UNMAPPED"))</f>
        <v>Dairy &amp; Eggs</v>
      </c>
      <c r="F2033" s="36" t="n">
        <f aca="false">IF(Raw_Export!$A2033="","",IFERROR(VALUE(TRIM(Raw_Export!E2033)),0))</f>
        <v>1</v>
      </c>
      <c r="G2033" s="38" t="n">
        <f aca="false">IF(Raw_Export!$A2033="","",IFERROR(VALUE(SUBSTITUTE(SUBSTITUTE(UPPER(TRIM(Raw_Export!F2033)),"KES",""),",","")),0))</f>
        <v>65</v>
      </c>
      <c r="H2033" s="38" t="n">
        <f aca="false">IF(Raw_Export!$A2033="","",F2033*G2033)</f>
        <v>65</v>
      </c>
      <c r="I2033" s="36" t="str">
        <f aca="false">IF(Raw_Export!$A2033="","",IFERROR(VLOOKUP(LOWER(TRIM(Raw_Export!H2033)),Maps!$D$2:$E$12,2,FALSE()),"Other"))</f>
        <v>Cash</v>
      </c>
      <c r="J2033" s="36" t="str">
        <f aca="false">IF(Raw_Export!$A2033="","",IF(COUNTIF($A$2:A2033,A2033)&gt;1,"Duplicate",""))</f>
        <v/>
      </c>
      <c r="K2033" s="36" t="str">
        <f aca="false">IF(Raw_Export!$A2033="","",IF(J2033="Duplicate","Duplicate",IF(OR(C2033="UNMAPPED",D2033="UNMAPPED"),"Unmapped",IF(F2033=0,"Blank qty",IF(F2033&lt;0,"Return","OK")))))</f>
        <v>OK</v>
      </c>
      <c r="L2033" s="36" t="n">
        <f aca="false">IF(Raw_Export!$A2033="","",IF(OR(K2033="OK",K2033="Return"),1,0))</f>
        <v>1</v>
      </c>
      <c r="M2033" s="37" t="n">
        <f aca="false">IF(Raw_Export!$A2033="","",B2033-WEEKDAY(B2033,2)+1)</f>
        <v>46272</v>
      </c>
    </row>
    <row r="2034" customFormat="false" ht="15" hidden="false" customHeight="false" outlineLevel="0" collapsed="false">
      <c r="A2034" s="36" t="str">
        <f aca="false">IF(Raw_Export!$A2034="","",TRIM(Raw_Export!A2034))</f>
        <v>TXN-101994</v>
      </c>
      <c r="B2034" s="37" t="n">
        <f aca="false">IF(Raw_Export!$A2034="","",IF(ISNUMBER(Raw_Export!B2034),Raw_Export!B2034,IF(MID(TRIM(Raw_Export!B2034),5,1)="-",DATE(LEFT(TRIM(Raw_Export!B2034),4),MID(TRIM(Raw_Export!B2034),6,2),RIGHT(TRIM(Raw_Export!B2034),2)),DATE(RIGHT(TRIM(Raw_Export!B2034),4),MATCH(MID(TRIM(Raw_Export!B2034),4,3),{"Jan","Feb","Mar","Apr","May","Jun","Jul","Aug","Sep","Oct","Nov","Dec"},0),LEFT(TRIM(Raw_Export!B2034),2)))))</f>
        <v>46278</v>
      </c>
      <c r="C2034" s="36" t="str">
        <f aca="false">IF(Raw_Export!$A2034="","",IFERROR(VLOOKUP(LOWER(TRIM(Raw_Export!C2034)),Maps!$A$2:$B$20,2,FALSE()),"UNMAPPED"))</f>
        <v>Nairobi CBD</v>
      </c>
      <c r="D2034" s="36" t="str">
        <f aca="false">IF(Raw_Export!$A2034="","",IFERROR(VLOOKUP(LOWER(TRIM(Raw_Export!D2034)),Maps!$G$2:$I$80,2,FALSE()),"UNMAPPED"))</f>
        <v>Cooking Oil 1L</v>
      </c>
      <c r="E2034" s="36" t="str">
        <f aca="false">IF(Raw_Export!$A2034="","",IFERROR(VLOOKUP(LOWER(TRIM(Raw_Export!D2034)),Maps!$G$2:$I$80,3,FALSE()),"UNMAPPED"))</f>
        <v>Staples</v>
      </c>
      <c r="F2034" s="36" t="n">
        <f aca="false">IF(Raw_Export!$A2034="","",IFERROR(VALUE(TRIM(Raw_Export!E2034)),0))</f>
        <v>1</v>
      </c>
      <c r="G2034" s="38" t="n">
        <f aca="false">IF(Raw_Export!$A2034="","",IFERROR(VALUE(SUBSTITUTE(SUBSTITUTE(UPPER(TRIM(Raw_Export!F2034)),"KES",""),",","")),0))</f>
        <v>330</v>
      </c>
      <c r="H2034" s="38" t="n">
        <f aca="false">IF(Raw_Export!$A2034="","",F2034*G2034)</f>
        <v>330</v>
      </c>
      <c r="I2034" s="36" t="str">
        <f aca="false">IF(Raw_Export!$A2034="","",IFERROR(VLOOKUP(LOWER(TRIM(Raw_Export!H2034)),Maps!$D$2:$E$12,2,FALSE()),"Other"))</f>
        <v>M-Pesa</v>
      </c>
      <c r="J2034" s="36" t="str">
        <f aca="false">IF(Raw_Export!$A2034="","",IF(COUNTIF($A$2:A2034,A2034)&gt;1,"Duplicate",""))</f>
        <v/>
      </c>
      <c r="K2034" s="36" t="str">
        <f aca="false">IF(Raw_Export!$A2034="","",IF(J2034="Duplicate","Duplicate",IF(OR(C2034="UNMAPPED",D2034="UNMAPPED"),"Unmapped",IF(F2034=0,"Blank qty",IF(F2034&lt;0,"Return","OK")))))</f>
        <v>OK</v>
      </c>
      <c r="L2034" s="36" t="n">
        <f aca="false">IF(Raw_Export!$A2034="","",IF(OR(K2034="OK",K2034="Return"),1,0))</f>
        <v>1</v>
      </c>
      <c r="M2034" s="37" t="n">
        <f aca="false">IF(Raw_Export!$A2034="","",B2034-WEEKDAY(B2034,2)+1)</f>
        <v>46272</v>
      </c>
    </row>
    <row r="2035" customFormat="false" ht="15" hidden="false" customHeight="false" outlineLevel="0" collapsed="false">
      <c r="A2035" s="36" t="str">
        <f aca="false">IF(Raw_Export!$A2035="","",TRIM(Raw_Export!A2035))</f>
        <v>TXN-101995</v>
      </c>
      <c r="B2035" s="37" t="n">
        <f aca="false">IF(Raw_Export!$A2035="","",IF(ISNUMBER(Raw_Export!B2035),Raw_Export!B2035,IF(MID(TRIM(Raw_Export!B2035),5,1)="-",DATE(LEFT(TRIM(Raw_Export!B2035),4),MID(TRIM(Raw_Export!B2035),6,2),RIGHT(TRIM(Raw_Export!B2035),2)),DATE(RIGHT(TRIM(Raw_Export!B2035),4),MATCH(MID(TRIM(Raw_Export!B2035),4,3),{"Jan","Feb","Mar","Apr","May","Jun","Jul","Aug","Sep","Oct","Nov","Dec"},0),LEFT(TRIM(Raw_Export!B2035),2)))))</f>
        <v>46278</v>
      </c>
      <c r="C2035" s="36" t="str">
        <f aca="false">IF(Raw_Export!$A2035="","",IFERROR(VLOOKUP(LOWER(TRIM(Raw_Export!C2035)),Maps!$A$2:$B$20,2,FALSE()),"UNMAPPED"))</f>
        <v>Nairobi CBD</v>
      </c>
      <c r="D2035" s="36" t="str">
        <f aca="false">IF(Raw_Export!$A2035="","",IFERROR(VLOOKUP(LOWER(TRIM(Raw_Export!D2035)),Maps!$G$2:$I$80,2,FALSE()),"UNMAPPED"))</f>
        <v>Cooking Oil 1L</v>
      </c>
      <c r="E2035" s="36" t="str">
        <f aca="false">IF(Raw_Export!$A2035="","",IFERROR(VLOOKUP(LOWER(TRIM(Raw_Export!D2035)),Maps!$G$2:$I$80,3,FALSE()),"UNMAPPED"))</f>
        <v>Staples</v>
      </c>
      <c r="F2035" s="36" t="n">
        <f aca="false">IF(Raw_Export!$A2035="","",IFERROR(VALUE(TRIM(Raw_Export!E2035)),0))</f>
        <v>4</v>
      </c>
      <c r="G2035" s="38" t="n">
        <f aca="false">IF(Raw_Export!$A2035="","",IFERROR(VALUE(SUBSTITUTE(SUBSTITUTE(UPPER(TRIM(Raw_Export!F2035)),"KES",""),",","")),0))</f>
        <v>330</v>
      </c>
      <c r="H2035" s="38" t="n">
        <f aca="false">IF(Raw_Export!$A2035="","",F2035*G2035)</f>
        <v>1320</v>
      </c>
      <c r="I2035" s="36" t="str">
        <f aca="false">IF(Raw_Export!$A2035="","",IFERROR(VLOOKUP(LOWER(TRIM(Raw_Export!H2035)),Maps!$D$2:$E$12,2,FALSE()),"Other"))</f>
        <v>Cash</v>
      </c>
      <c r="J2035" s="36" t="str">
        <f aca="false">IF(Raw_Export!$A2035="","",IF(COUNTIF($A$2:A2035,A2035)&gt;1,"Duplicate",""))</f>
        <v/>
      </c>
      <c r="K2035" s="36" t="str">
        <f aca="false">IF(Raw_Export!$A2035="","",IF(J2035="Duplicate","Duplicate",IF(OR(C2035="UNMAPPED",D2035="UNMAPPED"),"Unmapped",IF(F2035=0,"Blank qty",IF(F2035&lt;0,"Return","OK")))))</f>
        <v>OK</v>
      </c>
      <c r="L2035" s="36" t="n">
        <f aca="false">IF(Raw_Export!$A2035="","",IF(OR(K2035="OK",K2035="Return"),1,0))</f>
        <v>1</v>
      </c>
      <c r="M2035" s="37" t="n">
        <f aca="false">IF(Raw_Export!$A2035="","",B2035-WEEKDAY(B2035,2)+1)</f>
        <v>46272</v>
      </c>
    </row>
    <row r="2036" customFormat="false" ht="15" hidden="false" customHeight="false" outlineLevel="0" collapsed="false">
      <c r="A2036" s="36" t="str">
        <f aca="false">IF(Raw_Export!$A2036="","",TRIM(Raw_Export!A2036))</f>
        <v>TXN-101996</v>
      </c>
      <c r="B2036" s="37" t="n">
        <f aca="false">IF(Raw_Export!$A2036="","",IF(ISNUMBER(Raw_Export!B2036),Raw_Export!B2036,IF(MID(TRIM(Raw_Export!B2036),5,1)="-",DATE(LEFT(TRIM(Raw_Export!B2036),4),MID(TRIM(Raw_Export!B2036),6,2),RIGHT(TRIM(Raw_Export!B2036),2)),DATE(RIGHT(TRIM(Raw_Export!B2036),4),MATCH(MID(TRIM(Raw_Export!B2036),4,3),{"Jan","Feb","Mar","Apr","May","Jun","Jul","Aug","Sep","Oct","Nov","Dec"},0),LEFT(TRIM(Raw_Export!B2036),2)))))</f>
        <v>46278</v>
      </c>
      <c r="C2036" s="36" t="str">
        <f aca="false">IF(Raw_Export!$A2036="","",IFERROR(VLOOKUP(LOWER(TRIM(Raw_Export!C2036)),Maps!$A$2:$B$20,2,FALSE()),"UNMAPPED"))</f>
        <v>Nairobi CBD</v>
      </c>
      <c r="D2036" s="36" t="str">
        <f aca="false">IF(Raw_Export!$A2036="","",IFERROR(VLOOKUP(LOWER(TRIM(Raw_Export!D2036)),Maps!$G$2:$I$80,2,FALSE()),"UNMAPPED"))</f>
        <v>Sugar 2kg</v>
      </c>
      <c r="E2036" s="36" t="str">
        <f aca="false">IF(Raw_Export!$A2036="","",IFERROR(VLOOKUP(LOWER(TRIM(Raw_Export!D2036)),Maps!$G$2:$I$80,3,FALSE()),"UNMAPPED"))</f>
        <v>Staples</v>
      </c>
      <c r="F2036" s="36" t="n">
        <f aca="false">IF(Raw_Export!$A2036="","",IFERROR(VALUE(TRIM(Raw_Export!E2036)),0))</f>
        <v>3</v>
      </c>
      <c r="G2036" s="38" t="n">
        <f aca="false">IF(Raw_Export!$A2036="","",IFERROR(VALUE(SUBSTITUTE(SUBSTITUTE(UPPER(TRIM(Raw_Export!F2036)),"KES",""),",","")),0))</f>
        <v>330</v>
      </c>
      <c r="H2036" s="38" t="n">
        <f aca="false">IF(Raw_Export!$A2036="","",F2036*G2036)</f>
        <v>990</v>
      </c>
      <c r="I2036" s="36" t="str">
        <f aca="false">IF(Raw_Export!$A2036="","",IFERROR(VLOOKUP(LOWER(TRIM(Raw_Export!H2036)),Maps!$D$2:$E$12,2,FALSE()),"Other"))</f>
        <v>Card</v>
      </c>
      <c r="J2036" s="36" t="str">
        <f aca="false">IF(Raw_Export!$A2036="","",IF(COUNTIF($A$2:A2036,A2036)&gt;1,"Duplicate",""))</f>
        <v/>
      </c>
      <c r="K2036" s="36" t="str">
        <f aca="false">IF(Raw_Export!$A2036="","",IF(J2036="Duplicate","Duplicate",IF(OR(C2036="UNMAPPED",D2036="UNMAPPED"),"Unmapped",IF(F2036=0,"Blank qty",IF(F2036&lt;0,"Return","OK")))))</f>
        <v>OK</v>
      </c>
      <c r="L2036" s="36" t="n">
        <f aca="false">IF(Raw_Export!$A2036="","",IF(OR(K2036="OK",K2036="Return"),1,0))</f>
        <v>1</v>
      </c>
      <c r="M2036" s="37" t="n">
        <f aca="false">IF(Raw_Export!$A2036="","",B2036-WEEKDAY(B2036,2)+1)</f>
        <v>46272</v>
      </c>
    </row>
    <row r="2037" customFormat="false" ht="15" hidden="false" customHeight="false" outlineLevel="0" collapsed="false">
      <c r="A2037" s="36" t="str">
        <f aca="false">IF(Raw_Export!$A2037="","",TRIM(Raw_Export!A2037))</f>
        <v>TXN-101997</v>
      </c>
      <c r="B2037" s="37" t="n">
        <f aca="false">IF(Raw_Export!$A2037="","",IF(ISNUMBER(Raw_Export!B2037),Raw_Export!B2037,IF(MID(TRIM(Raw_Export!B2037),5,1)="-",DATE(LEFT(TRIM(Raw_Export!B2037),4),MID(TRIM(Raw_Export!B2037),6,2),RIGHT(TRIM(Raw_Export!B2037),2)),DATE(RIGHT(TRIM(Raw_Export!B2037),4),MATCH(MID(TRIM(Raw_Export!B2037),4,3),{"Jan","Feb","Mar","Apr","May","Jun","Jul","Aug","Sep","Oct","Nov","Dec"},0),LEFT(TRIM(Raw_Export!B2037),2)))))</f>
        <v>46278</v>
      </c>
      <c r="C2037" s="36" t="str">
        <f aca="false">IF(Raw_Export!$A2037="","",IFERROR(VLOOKUP(LOWER(TRIM(Raw_Export!C2037)),Maps!$A$2:$B$20,2,FALSE()),"UNMAPPED"))</f>
        <v>Nairobi CBD</v>
      </c>
      <c r="D2037" s="36" t="str">
        <f aca="false">IF(Raw_Export!$A2037="","",IFERROR(VLOOKUP(LOWER(TRIM(Raw_Export!D2037)),Maps!$G$2:$I$80,2,FALSE()),"UNMAPPED"))</f>
        <v>Biscuits 200g</v>
      </c>
      <c r="E2037" s="36" t="str">
        <f aca="false">IF(Raw_Export!$A2037="","",IFERROR(VLOOKUP(LOWER(TRIM(Raw_Export!D2037)),Maps!$G$2:$I$80,3,FALSE()),"UNMAPPED"))</f>
        <v>Snacks</v>
      </c>
      <c r="F2037" s="36" t="n">
        <f aca="false">IF(Raw_Export!$A2037="","",IFERROR(VALUE(TRIM(Raw_Export!E2037)),0))</f>
        <v>2</v>
      </c>
      <c r="G2037" s="38" t="n">
        <f aca="false">IF(Raw_Export!$A2037="","",IFERROR(VALUE(SUBSTITUTE(SUBSTITUTE(UPPER(TRIM(Raw_Export!F2037)),"KES",""),",","")),0))</f>
        <v>95</v>
      </c>
      <c r="H2037" s="38" t="n">
        <f aca="false">IF(Raw_Export!$A2037="","",F2037*G2037)</f>
        <v>190</v>
      </c>
      <c r="I2037" s="36" t="str">
        <f aca="false">IF(Raw_Export!$A2037="","",IFERROR(VLOOKUP(LOWER(TRIM(Raw_Export!H2037)),Maps!$D$2:$E$12,2,FALSE()),"Other"))</f>
        <v>M-Pesa</v>
      </c>
      <c r="J2037" s="36" t="str">
        <f aca="false">IF(Raw_Export!$A2037="","",IF(COUNTIF($A$2:A2037,A2037)&gt;1,"Duplicate",""))</f>
        <v/>
      </c>
      <c r="K2037" s="36" t="str">
        <f aca="false">IF(Raw_Export!$A2037="","",IF(J2037="Duplicate","Duplicate",IF(OR(C2037="UNMAPPED",D2037="UNMAPPED"),"Unmapped",IF(F2037=0,"Blank qty",IF(F2037&lt;0,"Return","OK")))))</f>
        <v>OK</v>
      </c>
      <c r="L2037" s="36" t="n">
        <f aca="false">IF(Raw_Export!$A2037="","",IF(OR(K2037="OK",K2037="Return"),1,0))</f>
        <v>1</v>
      </c>
      <c r="M2037" s="37" t="n">
        <f aca="false">IF(Raw_Export!$A2037="","",B2037-WEEKDAY(B2037,2)+1)</f>
        <v>46272</v>
      </c>
    </row>
    <row r="2038" customFormat="false" ht="15" hidden="false" customHeight="false" outlineLevel="0" collapsed="false">
      <c r="A2038" s="36" t="str">
        <f aca="false">IF(Raw_Export!$A2038="","",TRIM(Raw_Export!A2038))</f>
        <v>TXN-101998</v>
      </c>
      <c r="B2038" s="37" t="n">
        <f aca="false">IF(Raw_Export!$A2038="","",IF(ISNUMBER(Raw_Export!B2038),Raw_Export!B2038,IF(MID(TRIM(Raw_Export!B2038),5,1)="-",DATE(LEFT(TRIM(Raw_Export!B2038),4),MID(TRIM(Raw_Export!B2038),6,2),RIGHT(TRIM(Raw_Export!B2038),2)),DATE(RIGHT(TRIM(Raw_Export!B2038),4),MATCH(MID(TRIM(Raw_Export!B2038),4,3),{"Jan","Feb","Mar","Apr","May","Jun","Jul","Aug","Sep","Oct","Nov","Dec"},0),LEFT(TRIM(Raw_Export!B2038),2)))))</f>
        <v>46278</v>
      </c>
      <c r="C2038" s="36" t="str">
        <f aca="false">IF(Raw_Export!$A2038="","",IFERROR(VLOOKUP(LOWER(TRIM(Raw_Export!C2038)),Maps!$A$2:$B$20,2,FALSE()),"UNMAPPED"))</f>
        <v>Nairobi CBD</v>
      </c>
      <c r="D2038" s="36" t="str">
        <f aca="false">IF(Raw_Export!$A2038="","",IFERROR(VLOOKUP(LOWER(TRIM(Raw_Export!D2038)),Maps!$G$2:$I$80,2,FALSE()),"UNMAPPED"))</f>
        <v>Soda 500ml</v>
      </c>
      <c r="E2038" s="36" t="str">
        <f aca="false">IF(Raw_Export!$A2038="","",IFERROR(VLOOKUP(LOWER(TRIM(Raw_Export!D2038)),Maps!$G$2:$I$80,3,FALSE()),"UNMAPPED"))</f>
        <v>Beverages</v>
      </c>
      <c r="F2038" s="36" t="n">
        <f aca="false">IF(Raw_Export!$A2038="","",IFERROR(VALUE(TRIM(Raw_Export!E2038)),0))</f>
        <v>1</v>
      </c>
      <c r="G2038" s="38" t="n">
        <f aca="false">IF(Raw_Export!$A2038="","",IFERROR(VALUE(SUBSTITUTE(SUBSTITUTE(UPPER(TRIM(Raw_Export!F2038)),"KES",""),",","")),0))</f>
        <v>60</v>
      </c>
      <c r="H2038" s="38" t="n">
        <f aca="false">IF(Raw_Export!$A2038="","",F2038*G2038)</f>
        <v>60</v>
      </c>
      <c r="I2038" s="36" t="str">
        <f aca="false">IF(Raw_Export!$A2038="","",IFERROR(VLOOKUP(LOWER(TRIM(Raw_Export!H2038)),Maps!$D$2:$E$12,2,FALSE()),"Other"))</f>
        <v>M-Pesa</v>
      </c>
      <c r="J2038" s="36" t="str">
        <f aca="false">IF(Raw_Export!$A2038="","",IF(COUNTIF($A$2:A2038,A2038)&gt;1,"Duplicate",""))</f>
        <v/>
      </c>
      <c r="K2038" s="36" t="str">
        <f aca="false">IF(Raw_Export!$A2038="","",IF(J2038="Duplicate","Duplicate",IF(OR(C2038="UNMAPPED",D2038="UNMAPPED"),"Unmapped",IF(F2038=0,"Blank qty",IF(F2038&lt;0,"Return","OK")))))</f>
        <v>OK</v>
      </c>
      <c r="L2038" s="36" t="n">
        <f aca="false">IF(Raw_Export!$A2038="","",IF(OR(K2038="OK",K2038="Return"),1,0))</f>
        <v>1</v>
      </c>
      <c r="M2038" s="37" t="n">
        <f aca="false">IF(Raw_Export!$A2038="","",B2038-WEEKDAY(B2038,2)+1)</f>
        <v>46272</v>
      </c>
    </row>
    <row r="2039" customFormat="false" ht="15" hidden="false" customHeight="false" outlineLevel="0" collapsed="false">
      <c r="A2039" s="36" t="str">
        <f aca="false">IF(Raw_Export!$A2039="","",TRIM(Raw_Export!A2039))</f>
        <v>TXN-101999</v>
      </c>
      <c r="B2039" s="37" t="n">
        <f aca="false">IF(Raw_Export!$A2039="","",IF(ISNUMBER(Raw_Export!B2039),Raw_Export!B2039,IF(MID(TRIM(Raw_Export!B2039),5,1)="-",DATE(LEFT(TRIM(Raw_Export!B2039),4),MID(TRIM(Raw_Export!B2039),6,2),RIGHT(TRIM(Raw_Export!B2039),2)),DATE(RIGHT(TRIM(Raw_Export!B2039),4),MATCH(MID(TRIM(Raw_Export!B2039),4,3),{"Jan","Feb","Mar","Apr","May","Jun","Jul","Aug","Sep","Oct","Nov","Dec"},0),LEFT(TRIM(Raw_Export!B2039),2)))))</f>
        <v>46278</v>
      </c>
      <c r="C2039" s="36" t="str">
        <f aca="false">IF(Raw_Export!$A2039="","",IFERROR(VLOOKUP(LOWER(TRIM(Raw_Export!C2039)),Maps!$A$2:$B$20,2,FALSE()),"UNMAPPED"))</f>
        <v>Nairobi CBD</v>
      </c>
      <c r="D2039" s="36" t="str">
        <f aca="false">IF(Raw_Export!$A2039="","",IFERROR(VLOOKUP(LOWER(TRIM(Raw_Export!D2039)),Maps!$G$2:$I$80,2,FALSE()),"UNMAPPED"))</f>
        <v>Peanuts 250g</v>
      </c>
      <c r="E2039" s="36" t="str">
        <f aca="false">IF(Raw_Export!$A2039="","",IFERROR(VLOOKUP(LOWER(TRIM(Raw_Export!D2039)),Maps!$G$2:$I$80,3,FALSE()),"UNMAPPED"))</f>
        <v>Snacks</v>
      </c>
      <c r="F2039" s="36" t="n">
        <f aca="false">IF(Raw_Export!$A2039="","",IFERROR(VALUE(TRIM(Raw_Export!E2039)),0))</f>
        <v>1</v>
      </c>
      <c r="G2039" s="38" t="n">
        <f aca="false">IF(Raw_Export!$A2039="","",IFERROR(VALUE(SUBSTITUTE(SUBSTITUTE(UPPER(TRIM(Raw_Export!F2039)),"KES",""),",","")),0))</f>
        <v>130</v>
      </c>
      <c r="H2039" s="38" t="n">
        <f aca="false">IF(Raw_Export!$A2039="","",F2039*G2039)</f>
        <v>130</v>
      </c>
      <c r="I2039" s="36" t="str">
        <f aca="false">IF(Raw_Export!$A2039="","",IFERROR(VLOOKUP(LOWER(TRIM(Raw_Export!H2039)),Maps!$D$2:$E$12,2,FALSE()),"Other"))</f>
        <v>Cash</v>
      </c>
      <c r="J2039" s="36" t="str">
        <f aca="false">IF(Raw_Export!$A2039="","",IF(COUNTIF($A$2:A2039,A2039)&gt;1,"Duplicate",""))</f>
        <v/>
      </c>
      <c r="K2039" s="36" t="str">
        <f aca="false">IF(Raw_Export!$A2039="","",IF(J2039="Duplicate","Duplicate",IF(OR(C2039="UNMAPPED",D2039="UNMAPPED"),"Unmapped",IF(F2039=0,"Blank qty",IF(F2039&lt;0,"Return","OK")))))</f>
        <v>OK</v>
      </c>
      <c r="L2039" s="36" t="n">
        <f aca="false">IF(Raw_Export!$A2039="","",IF(OR(K2039="OK",K2039="Return"),1,0))</f>
        <v>1</v>
      </c>
      <c r="M2039" s="37" t="n">
        <f aca="false">IF(Raw_Export!$A2039="","",B2039-WEEKDAY(B2039,2)+1)</f>
        <v>46272</v>
      </c>
    </row>
    <row r="2040" customFormat="false" ht="15" hidden="false" customHeight="false" outlineLevel="0" collapsed="false">
      <c r="A2040" s="36" t="str">
        <f aca="false">IF(Raw_Export!$A2040="","",TRIM(Raw_Export!A2040))</f>
        <v>TXN-102000</v>
      </c>
      <c r="B2040" s="37" t="n">
        <f aca="false">IF(Raw_Export!$A2040="","",IF(ISNUMBER(Raw_Export!B2040),Raw_Export!B2040,IF(MID(TRIM(Raw_Export!B2040),5,1)="-",DATE(LEFT(TRIM(Raw_Export!B2040),4),MID(TRIM(Raw_Export!B2040),6,2),RIGHT(TRIM(Raw_Export!B2040),2)),DATE(RIGHT(TRIM(Raw_Export!B2040),4),MATCH(MID(TRIM(Raw_Export!B2040),4,3),{"Jan","Feb","Mar","Apr","May","Jun","Jul","Aug","Sep","Oct","Nov","Dec"},0),LEFT(TRIM(Raw_Export!B2040),2)))))</f>
        <v>46278</v>
      </c>
      <c r="C2040" s="36" t="str">
        <f aca="false">IF(Raw_Export!$A2040="","",IFERROR(VLOOKUP(LOWER(TRIM(Raw_Export!C2040)),Maps!$A$2:$B$20,2,FALSE()),"UNMAPPED"))</f>
        <v>Nairobi CBD</v>
      </c>
      <c r="D2040" s="36" t="str">
        <f aca="false">IF(Raw_Export!$A2040="","",IFERROR(VLOOKUP(LOWER(TRIM(Raw_Export!D2040)),Maps!$G$2:$I$80,2,FALSE()),"UNMAPPED"))</f>
        <v>Bleach 1L</v>
      </c>
      <c r="E2040" s="36" t="str">
        <f aca="false">IF(Raw_Export!$A2040="","",IFERROR(VLOOKUP(LOWER(TRIM(Raw_Export!D2040)),Maps!$G$2:$I$80,3,FALSE()),"UNMAPPED"))</f>
        <v>Household</v>
      </c>
      <c r="F2040" s="36" t="n">
        <f aca="false">IF(Raw_Export!$A2040="","",IFERROR(VALUE(TRIM(Raw_Export!E2040)),0))</f>
        <v>1</v>
      </c>
      <c r="G2040" s="38" t="n">
        <f aca="false">IF(Raw_Export!$A2040="","",IFERROR(VALUE(SUBSTITUTE(SUBSTITUTE(UPPER(TRIM(Raw_Export!F2040)),"KES",""),",","")),0))</f>
        <v>160</v>
      </c>
      <c r="H2040" s="38" t="n">
        <f aca="false">IF(Raw_Export!$A2040="","",F2040*G2040)</f>
        <v>160</v>
      </c>
      <c r="I2040" s="36" t="str">
        <f aca="false">IF(Raw_Export!$A2040="","",IFERROR(VLOOKUP(LOWER(TRIM(Raw_Export!H2040)),Maps!$D$2:$E$12,2,FALSE()),"Other"))</f>
        <v>M-Pesa</v>
      </c>
      <c r="J2040" s="36" t="str">
        <f aca="false">IF(Raw_Export!$A2040="","",IF(COUNTIF($A$2:A2040,A2040)&gt;1,"Duplicate",""))</f>
        <v/>
      </c>
      <c r="K2040" s="36" t="str">
        <f aca="false">IF(Raw_Export!$A2040="","",IF(J2040="Duplicate","Duplicate",IF(OR(C2040="UNMAPPED",D2040="UNMAPPED"),"Unmapped",IF(F2040=0,"Blank qty",IF(F2040&lt;0,"Return","OK")))))</f>
        <v>OK</v>
      </c>
      <c r="L2040" s="36" t="n">
        <f aca="false">IF(Raw_Export!$A2040="","",IF(OR(K2040="OK",K2040="Return"),1,0))</f>
        <v>1</v>
      </c>
      <c r="M2040" s="37" t="n">
        <f aca="false">IF(Raw_Export!$A2040="","",B2040-WEEKDAY(B2040,2)+1)</f>
        <v>46272</v>
      </c>
    </row>
    <row r="2041" customFormat="false" ht="15" hidden="false" customHeight="false" outlineLevel="0" collapsed="false">
      <c r="A2041" s="36" t="str">
        <f aca="false">IF(Raw_Export!$A2041="","",TRIM(Raw_Export!A2041))</f>
        <v>TXN-102001</v>
      </c>
      <c r="B2041" s="37" t="n">
        <f aca="false">IF(Raw_Export!$A2041="","",IF(ISNUMBER(Raw_Export!B2041),Raw_Export!B2041,IF(MID(TRIM(Raw_Export!B2041),5,1)="-",DATE(LEFT(TRIM(Raw_Export!B2041),4),MID(TRIM(Raw_Export!B2041),6,2),RIGHT(TRIM(Raw_Export!B2041),2)),DATE(RIGHT(TRIM(Raw_Export!B2041),4),MATCH(MID(TRIM(Raw_Export!B2041),4,3),{"Jan","Feb","Mar","Apr","May","Jun","Jul","Aug","Sep","Oct","Nov","Dec"},0),LEFT(TRIM(Raw_Export!B2041),2)))))</f>
        <v>46278</v>
      </c>
      <c r="C2041" s="36" t="str">
        <f aca="false">IF(Raw_Export!$A2041="","",IFERROR(VLOOKUP(LOWER(TRIM(Raw_Export!C2041)),Maps!$A$2:$B$20,2,FALSE()),"UNMAPPED"))</f>
        <v>Nairobi CBD</v>
      </c>
      <c r="D2041" s="36" t="str">
        <f aca="false">IF(Raw_Export!$A2041="","",IFERROR(VLOOKUP(LOWER(TRIM(Raw_Export!D2041)),Maps!$G$2:$I$80,2,FALSE()),"UNMAPPED"))</f>
        <v>Bottled Water 1.5L</v>
      </c>
      <c r="E2041" s="36" t="str">
        <f aca="false">IF(Raw_Export!$A2041="","",IFERROR(VLOOKUP(LOWER(TRIM(Raw_Export!D2041)),Maps!$G$2:$I$80,3,FALSE()),"UNMAPPED"))</f>
        <v>Beverages</v>
      </c>
      <c r="F2041" s="36" t="n">
        <f aca="false">IF(Raw_Export!$A2041="","",IFERROR(VALUE(TRIM(Raw_Export!E2041)),0))</f>
        <v>1</v>
      </c>
      <c r="G2041" s="38" t="n">
        <f aca="false">IF(Raw_Export!$A2041="","",IFERROR(VALUE(SUBSTITUTE(SUBSTITUTE(UPPER(TRIM(Raw_Export!F2041)),"KES",""),",","")),0))</f>
        <v>90</v>
      </c>
      <c r="H2041" s="38" t="n">
        <f aca="false">IF(Raw_Export!$A2041="","",F2041*G2041)</f>
        <v>90</v>
      </c>
      <c r="I2041" s="36" t="str">
        <f aca="false">IF(Raw_Export!$A2041="","",IFERROR(VLOOKUP(LOWER(TRIM(Raw_Export!H2041)),Maps!$D$2:$E$12,2,FALSE()),"Other"))</f>
        <v>M-Pesa</v>
      </c>
      <c r="J2041" s="36" t="str">
        <f aca="false">IF(Raw_Export!$A2041="","",IF(COUNTIF($A$2:A2041,A2041)&gt;1,"Duplicate",""))</f>
        <v/>
      </c>
      <c r="K2041" s="36" t="str">
        <f aca="false">IF(Raw_Export!$A2041="","",IF(J2041="Duplicate","Duplicate",IF(OR(C2041="UNMAPPED",D2041="UNMAPPED"),"Unmapped",IF(F2041=0,"Blank qty",IF(F2041&lt;0,"Return","OK")))))</f>
        <v>OK</v>
      </c>
      <c r="L2041" s="36" t="n">
        <f aca="false">IF(Raw_Export!$A2041="","",IF(OR(K2041="OK",K2041="Return"),1,0))</f>
        <v>1</v>
      </c>
      <c r="M2041" s="37" t="n">
        <f aca="false">IF(Raw_Export!$A2041="","",B2041-WEEKDAY(B2041,2)+1)</f>
        <v>46272</v>
      </c>
    </row>
    <row r="2042" customFormat="false" ht="15" hidden="false" customHeight="false" outlineLevel="0" collapsed="false">
      <c r="A2042" s="36" t="str">
        <f aca="false">IF(Raw_Export!$A2042="","",TRIM(Raw_Export!A2042))</f>
        <v>TXN-102002</v>
      </c>
      <c r="B2042" s="37" t="n">
        <f aca="false">IF(Raw_Export!$A2042="","",IF(ISNUMBER(Raw_Export!B2042),Raw_Export!B2042,IF(MID(TRIM(Raw_Export!B2042),5,1)="-",DATE(LEFT(TRIM(Raw_Export!B2042),4),MID(TRIM(Raw_Export!B2042),6,2),RIGHT(TRIM(Raw_Export!B2042),2)),DATE(RIGHT(TRIM(Raw_Export!B2042),4),MATCH(MID(TRIM(Raw_Export!B2042),4,3),{"Jan","Feb","Mar","Apr","May","Jun","Jul","Aug","Sep","Oct","Nov","Dec"},0),LEFT(TRIM(Raw_Export!B2042),2)))))</f>
        <v>46278</v>
      </c>
      <c r="C2042" s="36" t="str">
        <f aca="false">IF(Raw_Export!$A2042="","",IFERROR(VLOOKUP(LOWER(TRIM(Raw_Export!C2042)),Maps!$A$2:$B$20,2,FALSE()),"UNMAPPED"))</f>
        <v>Nairobi CBD</v>
      </c>
      <c r="D2042" s="36" t="str">
        <f aca="false">IF(Raw_Export!$A2042="","",IFERROR(VLOOKUP(LOWER(TRIM(Raw_Export!D2042)),Maps!$G$2:$I$80,2,FALSE()),"UNMAPPED"))</f>
        <v>Sugar 2kg</v>
      </c>
      <c r="E2042" s="36" t="str">
        <f aca="false">IF(Raw_Export!$A2042="","",IFERROR(VLOOKUP(LOWER(TRIM(Raw_Export!D2042)),Maps!$G$2:$I$80,3,FALSE()),"UNMAPPED"))</f>
        <v>Staples</v>
      </c>
      <c r="F2042" s="36" t="n">
        <f aca="false">IF(Raw_Export!$A2042="","",IFERROR(VALUE(TRIM(Raw_Export!E2042)),0))</f>
        <v>1</v>
      </c>
      <c r="G2042" s="38" t="n">
        <f aca="false">IF(Raw_Export!$A2042="","",IFERROR(VALUE(SUBSTITUTE(SUBSTITUTE(UPPER(TRIM(Raw_Export!F2042)),"KES",""),",","")),0))</f>
        <v>330</v>
      </c>
      <c r="H2042" s="38" t="n">
        <f aca="false">IF(Raw_Export!$A2042="","",F2042*G2042)</f>
        <v>330</v>
      </c>
      <c r="I2042" s="36" t="str">
        <f aca="false">IF(Raw_Export!$A2042="","",IFERROR(VLOOKUP(LOWER(TRIM(Raw_Export!H2042)),Maps!$D$2:$E$12,2,FALSE()),"Other"))</f>
        <v>M-Pesa</v>
      </c>
      <c r="J2042" s="36" t="str">
        <f aca="false">IF(Raw_Export!$A2042="","",IF(COUNTIF($A$2:A2042,A2042)&gt;1,"Duplicate",""))</f>
        <v/>
      </c>
      <c r="K2042" s="36" t="str">
        <f aca="false">IF(Raw_Export!$A2042="","",IF(J2042="Duplicate","Duplicate",IF(OR(C2042="UNMAPPED",D2042="UNMAPPED"),"Unmapped",IF(F2042=0,"Blank qty",IF(F2042&lt;0,"Return","OK")))))</f>
        <v>OK</v>
      </c>
      <c r="L2042" s="36" t="n">
        <f aca="false">IF(Raw_Export!$A2042="","",IF(OR(K2042="OK",K2042="Return"),1,0))</f>
        <v>1</v>
      </c>
      <c r="M2042" s="37" t="n">
        <f aca="false">IF(Raw_Export!$A2042="","",B2042-WEEKDAY(B2042,2)+1)</f>
        <v>46272</v>
      </c>
    </row>
    <row r="2043" customFormat="false" ht="15" hidden="false" customHeight="false" outlineLevel="0" collapsed="false">
      <c r="A2043" s="36" t="str">
        <f aca="false">IF(Raw_Export!$A2043="","",TRIM(Raw_Export!A2043))</f>
        <v>TXN-102003</v>
      </c>
      <c r="B2043" s="37" t="n">
        <f aca="false">IF(Raw_Export!$A2043="","",IF(ISNUMBER(Raw_Export!B2043),Raw_Export!B2043,IF(MID(TRIM(Raw_Export!B2043),5,1)="-",DATE(LEFT(TRIM(Raw_Export!B2043),4),MID(TRIM(Raw_Export!B2043),6,2),RIGHT(TRIM(Raw_Export!B2043),2)),DATE(RIGHT(TRIM(Raw_Export!B2043),4),MATCH(MID(TRIM(Raw_Export!B2043),4,3),{"Jan","Feb","Mar","Apr","May","Jun","Jul","Aug","Sep","Oct","Nov","Dec"},0),LEFT(TRIM(Raw_Export!B2043),2)))))</f>
        <v>46278</v>
      </c>
      <c r="C2043" s="36" t="str">
        <f aca="false">IF(Raw_Export!$A2043="","",IFERROR(VLOOKUP(LOWER(TRIM(Raw_Export!C2043)),Maps!$A$2:$B$20,2,FALSE()),"UNMAPPED"))</f>
        <v>Nairobi CBD</v>
      </c>
      <c r="D2043" s="36" t="str">
        <f aca="false">IF(Raw_Export!$A2043="","",IFERROR(VLOOKUP(LOWER(TRIM(Raw_Export!D2043)),Maps!$G$2:$I$80,2,FALSE()),"UNMAPPED"))</f>
        <v>Dish Soap 750ml</v>
      </c>
      <c r="E2043" s="36" t="str">
        <f aca="false">IF(Raw_Export!$A2043="","",IFERROR(VLOOKUP(LOWER(TRIM(Raw_Export!D2043)),Maps!$G$2:$I$80,3,FALSE()),"UNMAPPED"))</f>
        <v>Household</v>
      </c>
      <c r="F2043" s="36" t="n">
        <f aca="false">IF(Raw_Export!$A2043="","",IFERROR(VALUE(TRIM(Raw_Export!E2043)),0))</f>
        <v>6</v>
      </c>
      <c r="G2043" s="38" t="n">
        <f aca="false">IF(Raw_Export!$A2043="","",IFERROR(VALUE(SUBSTITUTE(SUBSTITUTE(UPPER(TRIM(Raw_Export!F2043)),"KES",""),",","")),0))</f>
        <v>190</v>
      </c>
      <c r="H2043" s="38" t="n">
        <f aca="false">IF(Raw_Export!$A2043="","",F2043*G2043)</f>
        <v>1140</v>
      </c>
      <c r="I2043" s="36" t="str">
        <f aca="false">IF(Raw_Export!$A2043="","",IFERROR(VLOOKUP(LOWER(TRIM(Raw_Export!H2043)),Maps!$D$2:$E$12,2,FALSE()),"Other"))</f>
        <v>Cash</v>
      </c>
      <c r="J2043" s="36" t="str">
        <f aca="false">IF(Raw_Export!$A2043="","",IF(COUNTIF($A$2:A2043,A2043)&gt;1,"Duplicate",""))</f>
        <v/>
      </c>
      <c r="K2043" s="36" t="str">
        <f aca="false">IF(Raw_Export!$A2043="","",IF(J2043="Duplicate","Duplicate",IF(OR(C2043="UNMAPPED",D2043="UNMAPPED"),"Unmapped",IF(F2043=0,"Blank qty",IF(F2043&lt;0,"Return","OK")))))</f>
        <v>OK</v>
      </c>
      <c r="L2043" s="36" t="n">
        <f aca="false">IF(Raw_Export!$A2043="","",IF(OR(K2043="OK",K2043="Return"),1,0))</f>
        <v>1</v>
      </c>
      <c r="M2043" s="37" t="n">
        <f aca="false">IF(Raw_Export!$A2043="","",B2043-WEEKDAY(B2043,2)+1)</f>
        <v>46272</v>
      </c>
    </row>
    <row r="2044" customFormat="false" ht="15" hidden="false" customHeight="false" outlineLevel="0" collapsed="false">
      <c r="A2044" s="36" t="str">
        <f aca="false">IF(Raw_Export!$A2044="","",TRIM(Raw_Export!A2044))</f>
        <v>TXN-102004</v>
      </c>
      <c r="B2044" s="37" t="n">
        <f aca="false">IF(Raw_Export!$A2044="","",IF(ISNUMBER(Raw_Export!B2044),Raw_Export!B2044,IF(MID(TRIM(Raw_Export!B2044),5,1)="-",DATE(LEFT(TRIM(Raw_Export!B2044),4),MID(TRIM(Raw_Export!B2044),6,2),RIGHT(TRIM(Raw_Export!B2044),2)),DATE(RIGHT(TRIM(Raw_Export!B2044),4),MATCH(MID(TRIM(Raw_Export!B2044),4,3),{"Jan","Feb","Mar","Apr","May","Jun","Jul","Aug","Sep","Oct","Nov","Dec"},0),LEFT(TRIM(Raw_Export!B2044),2)))))</f>
        <v>46278</v>
      </c>
      <c r="C2044" s="36" t="str">
        <f aca="false">IF(Raw_Export!$A2044="","",IFERROR(VLOOKUP(LOWER(TRIM(Raw_Export!C2044)),Maps!$A$2:$B$20,2,FALSE()),"UNMAPPED"))</f>
        <v>Nairobi CBD</v>
      </c>
      <c r="D2044" s="36" t="str">
        <f aca="false">IF(Raw_Export!$A2044="","",IFERROR(VLOOKUP(LOWER(TRIM(Raw_Export!D2044)),Maps!$G$2:$I$80,2,FALSE()),"UNMAPPED"))</f>
        <v>Bread Loaf 400g</v>
      </c>
      <c r="E2044" s="36" t="str">
        <f aca="false">IF(Raw_Export!$A2044="","",IFERROR(VLOOKUP(LOWER(TRIM(Raw_Export!D2044)),Maps!$G$2:$I$80,3,FALSE()),"UNMAPPED"))</f>
        <v>Snacks</v>
      </c>
      <c r="F2044" s="36" t="n">
        <f aca="false">IF(Raw_Export!$A2044="","",IFERROR(VALUE(TRIM(Raw_Export!E2044)),0))</f>
        <v>1</v>
      </c>
      <c r="G2044" s="38" t="n">
        <f aca="false">IF(Raw_Export!$A2044="","",IFERROR(VALUE(SUBSTITUTE(SUBSTITUTE(UPPER(TRIM(Raw_Export!F2044)),"KES",""),",","")),0))</f>
        <v>65</v>
      </c>
      <c r="H2044" s="38" t="n">
        <f aca="false">IF(Raw_Export!$A2044="","",F2044*G2044)</f>
        <v>65</v>
      </c>
      <c r="I2044" s="36" t="str">
        <f aca="false">IF(Raw_Export!$A2044="","",IFERROR(VLOOKUP(LOWER(TRIM(Raw_Export!H2044)),Maps!$D$2:$E$12,2,FALSE()),"Other"))</f>
        <v>Cash</v>
      </c>
      <c r="J2044" s="36" t="str">
        <f aca="false">IF(Raw_Export!$A2044="","",IF(COUNTIF($A$2:A2044,A2044)&gt;1,"Duplicate",""))</f>
        <v/>
      </c>
      <c r="K2044" s="36" t="str">
        <f aca="false">IF(Raw_Export!$A2044="","",IF(J2044="Duplicate","Duplicate",IF(OR(C2044="UNMAPPED",D2044="UNMAPPED"),"Unmapped",IF(F2044=0,"Blank qty",IF(F2044&lt;0,"Return","OK")))))</f>
        <v>OK</v>
      </c>
      <c r="L2044" s="36" t="n">
        <f aca="false">IF(Raw_Export!$A2044="","",IF(OR(K2044="OK",K2044="Return"),1,0))</f>
        <v>1</v>
      </c>
      <c r="M2044" s="37" t="n">
        <f aca="false">IF(Raw_Export!$A2044="","",B2044-WEEKDAY(B2044,2)+1)</f>
        <v>46272</v>
      </c>
    </row>
    <row r="2045" customFormat="false" ht="15" hidden="false" customHeight="false" outlineLevel="0" collapsed="false">
      <c r="A2045" s="36" t="str">
        <f aca="false">IF(Raw_Export!$A2045="","",TRIM(Raw_Export!A2045))</f>
        <v>TXN-102005</v>
      </c>
      <c r="B2045" s="37" t="n">
        <f aca="false">IF(Raw_Export!$A2045="","",IF(ISNUMBER(Raw_Export!B2045),Raw_Export!B2045,IF(MID(TRIM(Raw_Export!B2045),5,1)="-",DATE(LEFT(TRIM(Raw_Export!B2045),4),MID(TRIM(Raw_Export!B2045),6,2),RIGHT(TRIM(Raw_Export!B2045),2)),DATE(RIGHT(TRIM(Raw_Export!B2045),4),MATCH(MID(TRIM(Raw_Export!B2045),4,3),{"Jan","Feb","Mar","Apr","May","Jun","Jul","Aug","Sep","Oct","Nov","Dec"},0),LEFT(TRIM(Raw_Export!B2045),2)))))</f>
        <v>46278</v>
      </c>
      <c r="C2045" s="36" t="str">
        <f aca="false">IF(Raw_Export!$A2045="","",IFERROR(VLOOKUP(LOWER(TRIM(Raw_Export!C2045)),Maps!$A$2:$B$20,2,FALSE()),"UNMAPPED"))</f>
        <v>Nairobi CBD</v>
      </c>
      <c r="D2045" s="36" t="str">
        <f aca="false">IF(Raw_Export!$A2045="","",IFERROR(VLOOKUP(LOWER(TRIM(Raw_Export!D2045)),Maps!$G$2:$I$80,2,FALSE()),"UNMAPPED"))</f>
        <v>Sanitary Pads 8pk</v>
      </c>
      <c r="E2045" s="36" t="str">
        <f aca="false">IF(Raw_Export!$A2045="","",IFERROR(VLOOKUP(LOWER(TRIM(Raw_Export!D2045)),Maps!$G$2:$I$80,3,FALSE()),"UNMAPPED"))</f>
        <v>Personal Care</v>
      </c>
      <c r="F2045" s="36" t="n">
        <f aca="false">IF(Raw_Export!$A2045="","",IFERROR(VALUE(TRIM(Raw_Export!E2045)),0))</f>
        <v>6</v>
      </c>
      <c r="G2045" s="38" t="n">
        <f aca="false">IF(Raw_Export!$A2045="","",IFERROR(VALUE(SUBSTITUTE(SUBSTITUTE(UPPER(TRIM(Raw_Export!F2045)),"KES",""),",","")),0))</f>
        <v>130</v>
      </c>
      <c r="H2045" s="38" t="n">
        <f aca="false">IF(Raw_Export!$A2045="","",F2045*G2045)</f>
        <v>780</v>
      </c>
      <c r="I2045" s="36" t="str">
        <f aca="false">IF(Raw_Export!$A2045="","",IFERROR(VLOOKUP(LOWER(TRIM(Raw_Export!H2045)),Maps!$D$2:$E$12,2,FALSE()),"Other"))</f>
        <v>Cash</v>
      </c>
      <c r="J2045" s="36" t="str">
        <f aca="false">IF(Raw_Export!$A2045="","",IF(COUNTIF($A$2:A2045,A2045)&gt;1,"Duplicate",""))</f>
        <v/>
      </c>
      <c r="K2045" s="36" t="str">
        <f aca="false">IF(Raw_Export!$A2045="","",IF(J2045="Duplicate","Duplicate",IF(OR(C2045="UNMAPPED",D2045="UNMAPPED"),"Unmapped",IF(F2045=0,"Blank qty",IF(F2045&lt;0,"Return","OK")))))</f>
        <v>OK</v>
      </c>
      <c r="L2045" s="36" t="n">
        <f aca="false">IF(Raw_Export!$A2045="","",IF(OR(K2045="OK",K2045="Return"),1,0))</f>
        <v>1</v>
      </c>
      <c r="M2045" s="37" t="n">
        <f aca="false">IF(Raw_Export!$A2045="","",B2045-WEEKDAY(B2045,2)+1)</f>
        <v>46272</v>
      </c>
    </row>
    <row r="2046" customFormat="false" ht="15" hidden="false" customHeight="false" outlineLevel="0" collapsed="false">
      <c r="A2046" s="36" t="str">
        <f aca="false">IF(Raw_Export!$A2046="","",TRIM(Raw_Export!A2046))</f>
        <v>TXN-102006</v>
      </c>
      <c r="B2046" s="37" t="n">
        <f aca="false">IF(Raw_Export!$A2046="","",IF(ISNUMBER(Raw_Export!B2046),Raw_Export!B2046,IF(MID(TRIM(Raw_Export!B2046),5,1)="-",DATE(LEFT(TRIM(Raw_Export!B2046),4),MID(TRIM(Raw_Export!B2046),6,2),RIGHT(TRIM(Raw_Export!B2046),2)),DATE(RIGHT(TRIM(Raw_Export!B2046),4),MATCH(MID(TRIM(Raw_Export!B2046),4,3),{"Jan","Feb","Mar","Apr","May","Jun","Jul","Aug","Sep","Oct","Nov","Dec"},0),LEFT(TRIM(Raw_Export!B2046),2)))))</f>
        <v>46278</v>
      </c>
      <c r="C2046" s="36" t="str">
        <f aca="false">IF(Raw_Export!$A2046="","",IFERROR(VLOOKUP(LOWER(TRIM(Raw_Export!C2046)),Maps!$A$2:$B$20,2,FALSE()),"UNMAPPED"))</f>
        <v>Nairobi CBD</v>
      </c>
      <c r="D2046" s="36" t="str">
        <f aca="false">IF(Raw_Export!$A2046="","",IFERROR(VLOOKUP(LOWER(TRIM(Raw_Export!D2046)),Maps!$G$2:$I$80,2,FALSE()),"UNMAPPED"))</f>
        <v>Soda 500ml</v>
      </c>
      <c r="E2046" s="36" t="str">
        <f aca="false">IF(Raw_Export!$A2046="","",IFERROR(VLOOKUP(LOWER(TRIM(Raw_Export!D2046)),Maps!$G$2:$I$80,3,FALSE()),"UNMAPPED"))</f>
        <v>Beverages</v>
      </c>
      <c r="F2046" s="36" t="n">
        <f aca="false">IF(Raw_Export!$A2046="","",IFERROR(VALUE(TRIM(Raw_Export!E2046)),0))</f>
        <v>6</v>
      </c>
      <c r="G2046" s="38" t="n">
        <f aca="false">IF(Raw_Export!$A2046="","",IFERROR(VALUE(SUBSTITUTE(SUBSTITUTE(UPPER(TRIM(Raw_Export!F2046)),"KES",""),",","")),0))</f>
        <v>60</v>
      </c>
      <c r="H2046" s="38" t="n">
        <f aca="false">IF(Raw_Export!$A2046="","",F2046*G2046)</f>
        <v>360</v>
      </c>
      <c r="I2046" s="36" t="str">
        <f aca="false">IF(Raw_Export!$A2046="","",IFERROR(VLOOKUP(LOWER(TRIM(Raw_Export!H2046)),Maps!$D$2:$E$12,2,FALSE()),"Other"))</f>
        <v>Card</v>
      </c>
      <c r="J2046" s="36" t="str">
        <f aca="false">IF(Raw_Export!$A2046="","",IF(COUNTIF($A$2:A2046,A2046)&gt;1,"Duplicate",""))</f>
        <v/>
      </c>
      <c r="K2046" s="36" t="str">
        <f aca="false">IF(Raw_Export!$A2046="","",IF(J2046="Duplicate","Duplicate",IF(OR(C2046="UNMAPPED",D2046="UNMAPPED"),"Unmapped",IF(F2046=0,"Blank qty",IF(F2046&lt;0,"Return","OK")))))</f>
        <v>OK</v>
      </c>
      <c r="L2046" s="36" t="n">
        <f aca="false">IF(Raw_Export!$A2046="","",IF(OR(K2046="OK",K2046="Return"),1,0))</f>
        <v>1</v>
      </c>
      <c r="M2046" s="37" t="n">
        <f aca="false">IF(Raw_Export!$A2046="","",B2046-WEEKDAY(B2046,2)+1)</f>
        <v>46272</v>
      </c>
    </row>
    <row r="2047" customFormat="false" ht="15" hidden="false" customHeight="false" outlineLevel="0" collapsed="false">
      <c r="A2047" s="36" t="str">
        <f aca="false">IF(Raw_Export!$A2047="","",TRIM(Raw_Export!A2047))</f>
        <v>TXN-102007</v>
      </c>
      <c r="B2047" s="37" t="n">
        <f aca="false">IF(Raw_Export!$A2047="","",IF(ISNUMBER(Raw_Export!B2047),Raw_Export!B2047,IF(MID(TRIM(Raw_Export!B2047),5,1)="-",DATE(LEFT(TRIM(Raw_Export!B2047),4),MID(TRIM(Raw_Export!B2047),6,2),RIGHT(TRIM(Raw_Export!B2047),2)),DATE(RIGHT(TRIM(Raw_Export!B2047),4),MATCH(MID(TRIM(Raw_Export!B2047),4,3),{"Jan","Feb","Mar","Apr","May","Jun","Jul","Aug","Sep","Oct","Nov","Dec"},0),LEFT(TRIM(Raw_Export!B2047),2)))))</f>
        <v>46278</v>
      </c>
      <c r="C2047" s="36" t="str">
        <f aca="false">IF(Raw_Export!$A2047="","",IFERROR(VLOOKUP(LOWER(TRIM(Raw_Export!C2047)),Maps!$A$2:$B$20,2,FALSE()),"UNMAPPED"))</f>
        <v>Nairobi CBD</v>
      </c>
      <c r="D2047" s="36" t="str">
        <f aca="false">IF(Raw_Export!$A2047="","",IFERROR(VLOOKUP(LOWER(TRIM(Raw_Export!D2047)),Maps!$G$2:$I$80,2,FALSE()),"UNMAPPED"))</f>
        <v>Soda 500ml</v>
      </c>
      <c r="E2047" s="36" t="str">
        <f aca="false">IF(Raw_Export!$A2047="","",IFERROR(VLOOKUP(LOWER(TRIM(Raw_Export!D2047)),Maps!$G$2:$I$80,3,FALSE()),"UNMAPPED"))</f>
        <v>Beverages</v>
      </c>
      <c r="F2047" s="36" t="n">
        <f aca="false">IF(Raw_Export!$A2047="","",IFERROR(VALUE(TRIM(Raw_Export!E2047)),0))</f>
        <v>1</v>
      </c>
      <c r="G2047" s="38" t="n">
        <f aca="false">IF(Raw_Export!$A2047="","",IFERROR(VALUE(SUBSTITUTE(SUBSTITUTE(UPPER(TRIM(Raw_Export!F2047)),"KES",""),",","")),0))</f>
        <v>60</v>
      </c>
      <c r="H2047" s="38" t="n">
        <f aca="false">IF(Raw_Export!$A2047="","",F2047*G2047)</f>
        <v>60</v>
      </c>
      <c r="I2047" s="36" t="str">
        <f aca="false">IF(Raw_Export!$A2047="","",IFERROR(VLOOKUP(LOWER(TRIM(Raw_Export!H2047)),Maps!$D$2:$E$12,2,FALSE()),"Other"))</f>
        <v>M-Pesa</v>
      </c>
      <c r="J2047" s="36" t="str">
        <f aca="false">IF(Raw_Export!$A2047="","",IF(COUNTIF($A$2:A2047,A2047)&gt;1,"Duplicate",""))</f>
        <v/>
      </c>
      <c r="K2047" s="36" t="str">
        <f aca="false">IF(Raw_Export!$A2047="","",IF(J2047="Duplicate","Duplicate",IF(OR(C2047="UNMAPPED",D2047="UNMAPPED"),"Unmapped",IF(F2047=0,"Blank qty",IF(F2047&lt;0,"Return","OK")))))</f>
        <v>OK</v>
      </c>
      <c r="L2047" s="36" t="n">
        <f aca="false">IF(Raw_Export!$A2047="","",IF(OR(K2047="OK",K2047="Return"),1,0))</f>
        <v>1</v>
      </c>
      <c r="M2047" s="37" t="n">
        <f aca="false">IF(Raw_Export!$A2047="","",B2047-WEEKDAY(B2047,2)+1)</f>
        <v>46272</v>
      </c>
    </row>
    <row r="2048" customFormat="false" ht="15" hidden="false" customHeight="false" outlineLevel="0" collapsed="false">
      <c r="A2048" s="36" t="str">
        <f aca="false">IF(Raw_Export!$A2048="","",TRIM(Raw_Export!A2048))</f>
        <v>TXN-102008</v>
      </c>
      <c r="B2048" s="37" t="n">
        <f aca="false">IF(Raw_Export!$A2048="","",IF(ISNUMBER(Raw_Export!B2048),Raw_Export!B2048,IF(MID(TRIM(Raw_Export!B2048),5,1)="-",DATE(LEFT(TRIM(Raw_Export!B2048),4),MID(TRIM(Raw_Export!B2048),6,2),RIGHT(TRIM(Raw_Export!B2048),2)),DATE(RIGHT(TRIM(Raw_Export!B2048),4),MATCH(MID(TRIM(Raw_Export!B2048),4,3),{"Jan","Feb","Mar","Apr","May","Jun","Jul","Aug","Sep","Oct","Nov","Dec"},0),LEFT(TRIM(Raw_Export!B2048),2)))))</f>
        <v>46278</v>
      </c>
      <c r="C2048" s="36" t="str">
        <f aca="false">IF(Raw_Export!$A2048="","",IFERROR(VLOOKUP(LOWER(TRIM(Raw_Export!C2048)),Maps!$A$2:$B$20,2,FALSE()),"UNMAPPED"))</f>
        <v>Nairobi CBD</v>
      </c>
      <c r="D2048" s="36" t="str">
        <f aca="false">IF(Raw_Export!$A2048="","",IFERROR(VLOOKUP(LOWER(TRIM(Raw_Export!D2048)),Maps!$G$2:$I$80,2,FALSE()),"UNMAPPED"))</f>
        <v>Cooking Oil 1L</v>
      </c>
      <c r="E2048" s="36" t="str">
        <f aca="false">IF(Raw_Export!$A2048="","",IFERROR(VLOOKUP(LOWER(TRIM(Raw_Export!D2048)),Maps!$G$2:$I$80,3,FALSE()),"UNMAPPED"))</f>
        <v>Staples</v>
      </c>
      <c r="F2048" s="36" t="n">
        <f aca="false">IF(Raw_Export!$A2048="","",IFERROR(VALUE(TRIM(Raw_Export!E2048)),0))</f>
        <v>1</v>
      </c>
      <c r="G2048" s="38" t="n">
        <f aca="false">IF(Raw_Export!$A2048="","",IFERROR(VALUE(SUBSTITUTE(SUBSTITUTE(UPPER(TRIM(Raw_Export!F2048)),"KES",""),",","")),0))</f>
        <v>330</v>
      </c>
      <c r="H2048" s="38" t="n">
        <f aca="false">IF(Raw_Export!$A2048="","",F2048*G2048)</f>
        <v>330</v>
      </c>
      <c r="I2048" s="36" t="str">
        <f aca="false">IF(Raw_Export!$A2048="","",IFERROR(VLOOKUP(LOWER(TRIM(Raw_Export!H2048)),Maps!$D$2:$E$12,2,FALSE()),"Other"))</f>
        <v>Card</v>
      </c>
      <c r="J2048" s="36" t="str">
        <f aca="false">IF(Raw_Export!$A2048="","",IF(COUNTIF($A$2:A2048,A2048)&gt;1,"Duplicate",""))</f>
        <v/>
      </c>
      <c r="K2048" s="36" t="str">
        <f aca="false">IF(Raw_Export!$A2048="","",IF(J2048="Duplicate","Duplicate",IF(OR(C2048="UNMAPPED",D2048="UNMAPPED"),"Unmapped",IF(F2048=0,"Blank qty",IF(F2048&lt;0,"Return","OK")))))</f>
        <v>OK</v>
      </c>
      <c r="L2048" s="36" t="n">
        <f aca="false">IF(Raw_Export!$A2048="","",IF(OR(K2048="OK",K2048="Return"),1,0))</f>
        <v>1</v>
      </c>
      <c r="M2048" s="37" t="n">
        <f aca="false">IF(Raw_Export!$A2048="","",B2048-WEEKDAY(B2048,2)+1)</f>
        <v>46272</v>
      </c>
    </row>
    <row r="2049" customFormat="false" ht="15" hidden="false" customHeight="false" outlineLevel="0" collapsed="false">
      <c r="A2049" s="36" t="str">
        <f aca="false">IF(Raw_Export!$A2049="","",TRIM(Raw_Export!A2049))</f>
        <v>TXN-102009</v>
      </c>
      <c r="B2049" s="37" t="n">
        <f aca="false">IF(Raw_Export!$A2049="","",IF(ISNUMBER(Raw_Export!B2049),Raw_Export!B2049,IF(MID(TRIM(Raw_Export!B2049),5,1)="-",DATE(LEFT(TRIM(Raw_Export!B2049),4),MID(TRIM(Raw_Export!B2049),6,2),RIGHT(TRIM(Raw_Export!B2049),2)),DATE(RIGHT(TRIM(Raw_Export!B2049),4),MATCH(MID(TRIM(Raw_Export!B2049),4,3),{"Jan","Feb","Mar","Apr","May","Jun","Jul","Aug","Sep","Oct","Nov","Dec"},0),LEFT(TRIM(Raw_Export!B2049),2)))))</f>
        <v>46278</v>
      </c>
      <c r="C2049" s="36" t="str">
        <f aca="false">IF(Raw_Export!$A2049="","",IFERROR(VLOOKUP(LOWER(TRIM(Raw_Export!C2049)),Maps!$A$2:$B$20,2,FALSE()),"UNMAPPED"))</f>
        <v>Nairobi CBD</v>
      </c>
      <c r="D2049" s="36" t="str">
        <f aca="false">IF(Raw_Export!$A2049="","",IFERROR(VLOOKUP(LOWER(TRIM(Raw_Export!D2049)),Maps!$G$2:$I$80,2,FALSE()),"UNMAPPED"))</f>
        <v>Rice Pishori 2kg</v>
      </c>
      <c r="E2049" s="36" t="str">
        <f aca="false">IF(Raw_Export!$A2049="","",IFERROR(VLOOKUP(LOWER(TRIM(Raw_Export!D2049)),Maps!$G$2:$I$80,3,FALSE()),"UNMAPPED"))</f>
        <v>Staples</v>
      </c>
      <c r="F2049" s="36" t="n">
        <f aca="false">IF(Raw_Export!$A2049="","",IFERROR(VALUE(TRIM(Raw_Export!E2049)),0))</f>
        <v>3</v>
      </c>
      <c r="G2049" s="38" t="n">
        <f aca="false">IF(Raw_Export!$A2049="","",IFERROR(VALUE(SUBSTITUTE(SUBSTITUTE(UPPER(TRIM(Raw_Export!F2049)),"KES",""),",","")),0))</f>
        <v>420</v>
      </c>
      <c r="H2049" s="38" t="n">
        <f aca="false">IF(Raw_Export!$A2049="","",F2049*G2049)</f>
        <v>1260</v>
      </c>
      <c r="I2049" s="36" t="str">
        <f aca="false">IF(Raw_Export!$A2049="","",IFERROR(VLOOKUP(LOWER(TRIM(Raw_Export!H2049)),Maps!$D$2:$E$12,2,FALSE()),"Other"))</f>
        <v>M-Pesa</v>
      </c>
      <c r="J2049" s="36" t="str">
        <f aca="false">IF(Raw_Export!$A2049="","",IF(COUNTIF($A$2:A2049,A2049)&gt;1,"Duplicate",""))</f>
        <v/>
      </c>
      <c r="K2049" s="36" t="str">
        <f aca="false">IF(Raw_Export!$A2049="","",IF(J2049="Duplicate","Duplicate",IF(OR(C2049="UNMAPPED",D2049="UNMAPPED"),"Unmapped",IF(F2049=0,"Blank qty",IF(F2049&lt;0,"Return","OK")))))</f>
        <v>OK</v>
      </c>
      <c r="L2049" s="36" t="n">
        <f aca="false">IF(Raw_Export!$A2049="","",IF(OR(K2049="OK",K2049="Return"),1,0))</f>
        <v>1</v>
      </c>
      <c r="M2049" s="37" t="n">
        <f aca="false">IF(Raw_Export!$A2049="","",B2049-WEEKDAY(B2049,2)+1)</f>
        <v>46272</v>
      </c>
    </row>
    <row r="2050" customFormat="false" ht="15" hidden="false" customHeight="false" outlineLevel="0" collapsed="false">
      <c r="A2050" s="36" t="str">
        <f aca="false">IF(Raw_Export!$A2050="","",TRIM(Raw_Export!A2050))</f>
        <v>TXN-102010</v>
      </c>
      <c r="B2050" s="37" t="n">
        <f aca="false">IF(Raw_Export!$A2050="","",IF(ISNUMBER(Raw_Export!B2050),Raw_Export!B2050,IF(MID(TRIM(Raw_Export!B2050),5,1)="-",DATE(LEFT(TRIM(Raw_Export!B2050),4),MID(TRIM(Raw_Export!B2050),6,2),RIGHT(TRIM(Raw_Export!B2050),2)),DATE(RIGHT(TRIM(Raw_Export!B2050),4),MATCH(MID(TRIM(Raw_Export!B2050),4,3),{"Jan","Feb","Mar","Apr","May","Jun","Jul","Aug","Sep","Oct","Nov","Dec"},0),LEFT(TRIM(Raw_Export!B2050),2)))))</f>
        <v>46278</v>
      </c>
      <c r="C2050" s="36" t="str">
        <f aca="false">IF(Raw_Export!$A2050="","",IFERROR(VLOOKUP(LOWER(TRIM(Raw_Export!C2050)),Maps!$A$2:$B$20,2,FALSE()),"UNMAPPED"))</f>
        <v>Nairobi CBD</v>
      </c>
      <c r="D2050" s="36" t="str">
        <f aca="false">IF(Raw_Export!$A2050="","",IFERROR(VLOOKUP(LOWER(TRIM(Raw_Export!D2050)),Maps!$G$2:$I$80,2,FALSE()),"UNMAPPED"))</f>
        <v>Tea Leaves 250g</v>
      </c>
      <c r="E2050" s="36" t="str">
        <f aca="false">IF(Raw_Export!$A2050="","",IFERROR(VLOOKUP(LOWER(TRIM(Raw_Export!D2050)),Maps!$G$2:$I$80,3,FALSE()),"UNMAPPED"))</f>
        <v>Beverages</v>
      </c>
      <c r="F2050" s="36" t="n">
        <f aca="false">IF(Raw_Export!$A2050="","",IFERROR(VALUE(TRIM(Raw_Export!E2050)),0))</f>
        <v>1</v>
      </c>
      <c r="G2050" s="38" t="n">
        <f aca="false">IF(Raw_Export!$A2050="","",IFERROR(VALUE(SUBSTITUTE(SUBSTITUTE(UPPER(TRIM(Raw_Export!F2050)),"KES",""),",","")),0))</f>
        <v>150</v>
      </c>
      <c r="H2050" s="38" t="n">
        <f aca="false">IF(Raw_Export!$A2050="","",F2050*G2050)</f>
        <v>150</v>
      </c>
      <c r="I2050" s="36" t="str">
        <f aca="false">IF(Raw_Export!$A2050="","",IFERROR(VLOOKUP(LOWER(TRIM(Raw_Export!H2050)),Maps!$D$2:$E$12,2,FALSE()),"Other"))</f>
        <v>Cash</v>
      </c>
      <c r="J2050" s="36" t="str">
        <f aca="false">IF(Raw_Export!$A2050="","",IF(COUNTIF($A$2:A2050,A2050)&gt;1,"Duplicate",""))</f>
        <v/>
      </c>
      <c r="K2050" s="36" t="str">
        <f aca="false">IF(Raw_Export!$A2050="","",IF(J2050="Duplicate","Duplicate",IF(OR(C2050="UNMAPPED",D2050="UNMAPPED"),"Unmapped",IF(F2050=0,"Blank qty",IF(F2050&lt;0,"Return","OK")))))</f>
        <v>OK</v>
      </c>
      <c r="L2050" s="36" t="n">
        <f aca="false">IF(Raw_Export!$A2050="","",IF(OR(K2050="OK",K2050="Return"),1,0))</f>
        <v>1</v>
      </c>
      <c r="M2050" s="37" t="n">
        <f aca="false">IF(Raw_Export!$A2050="","",B2050-WEEKDAY(B2050,2)+1)</f>
        <v>46272</v>
      </c>
    </row>
    <row r="2051" customFormat="false" ht="15" hidden="false" customHeight="false" outlineLevel="0" collapsed="false">
      <c r="A2051" s="36" t="str">
        <f aca="false">IF(Raw_Export!$A2051="","",TRIM(Raw_Export!A2051))</f>
        <v>TXN-102011</v>
      </c>
      <c r="B2051" s="37" t="n">
        <f aca="false">IF(Raw_Export!$A2051="","",IF(ISNUMBER(Raw_Export!B2051),Raw_Export!B2051,IF(MID(TRIM(Raw_Export!B2051),5,1)="-",DATE(LEFT(TRIM(Raw_Export!B2051),4),MID(TRIM(Raw_Export!B2051),6,2),RIGHT(TRIM(Raw_Export!B2051),2)),DATE(RIGHT(TRIM(Raw_Export!B2051),4),MATCH(MID(TRIM(Raw_Export!B2051),4,3),{"Jan","Feb","Mar","Apr","May","Jun","Jul","Aug","Sep","Oct","Nov","Dec"},0),LEFT(TRIM(Raw_Export!B2051),2)))))</f>
        <v>46278</v>
      </c>
      <c r="C2051" s="36" t="str">
        <f aca="false">IF(Raw_Export!$A2051="","",IFERROR(VLOOKUP(LOWER(TRIM(Raw_Export!C2051)),Maps!$A$2:$B$20,2,FALSE()),"UNMAPPED"))</f>
        <v>Nairobi CBD</v>
      </c>
      <c r="D2051" s="36" t="str">
        <f aca="false">IF(Raw_Export!$A2051="","",IFERROR(VLOOKUP(LOWER(TRIM(Raw_Export!D2051)),Maps!$G$2:$I$80,2,FALSE()),"UNMAPPED"))</f>
        <v>Tea Leaves 250g</v>
      </c>
      <c r="E2051" s="36" t="str">
        <f aca="false">IF(Raw_Export!$A2051="","",IFERROR(VLOOKUP(LOWER(TRIM(Raw_Export!D2051)),Maps!$G$2:$I$80,3,FALSE()),"UNMAPPED"))</f>
        <v>Beverages</v>
      </c>
      <c r="F2051" s="36" t="n">
        <f aca="false">IF(Raw_Export!$A2051="","",IFERROR(VALUE(TRIM(Raw_Export!E2051)),0))</f>
        <v>6</v>
      </c>
      <c r="G2051" s="38" t="n">
        <f aca="false">IF(Raw_Export!$A2051="","",IFERROR(VALUE(SUBSTITUTE(SUBSTITUTE(UPPER(TRIM(Raw_Export!F2051)),"KES",""),",","")),0))</f>
        <v>150</v>
      </c>
      <c r="H2051" s="38" t="n">
        <f aca="false">IF(Raw_Export!$A2051="","",F2051*G2051)</f>
        <v>900</v>
      </c>
      <c r="I2051" s="36" t="str">
        <f aca="false">IF(Raw_Export!$A2051="","",IFERROR(VLOOKUP(LOWER(TRIM(Raw_Export!H2051)),Maps!$D$2:$E$12,2,FALSE()),"Other"))</f>
        <v>M-Pesa</v>
      </c>
      <c r="J2051" s="36" t="str">
        <f aca="false">IF(Raw_Export!$A2051="","",IF(COUNTIF($A$2:A2051,A2051)&gt;1,"Duplicate",""))</f>
        <v/>
      </c>
      <c r="K2051" s="36" t="str">
        <f aca="false">IF(Raw_Export!$A2051="","",IF(J2051="Duplicate","Duplicate",IF(OR(C2051="UNMAPPED",D2051="UNMAPPED"),"Unmapped",IF(F2051=0,"Blank qty",IF(F2051&lt;0,"Return","OK")))))</f>
        <v>OK</v>
      </c>
      <c r="L2051" s="36" t="n">
        <f aca="false">IF(Raw_Export!$A2051="","",IF(OR(K2051="OK",K2051="Return"),1,0))</f>
        <v>1</v>
      </c>
      <c r="M2051" s="37" t="n">
        <f aca="false">IF(Raw_Export!$A2051="","",B2051-WEEKDAY(B2051,2)+1)</f>
        <v>46272</v>
      </c>
    </row>
    <row r="2052" customFormat="false" ht="15" hidden="false" customHeight="false" outlineLevel="0" collapsed="false">
      <c r="A2052" s="36" t="str">
        <f aca="false">IF(Raw_Export!$A2052="","",TRIM(Raw_Export!A2052))</f>
        <v>TXN-102012</v>
      </c>
      <c r="B2052" s="37" t="n">
        <f aca="false">IF(Raw_Export!$A2052="","",IF(ISNUMBER(Raw_Export!B2052),Raw_Export!B2052,IF(MID(TRIM(Raw_Export!B2052),5,1)="-",DATE(LEFT(TRIM(Raw_Export!B2052),4),MID(TRIM(Raw_Export!B2052),6,2),RIGHT(TRIM(Raw_Export!B2052),2)),DATE(RIGHT(TRIM(Raw_Export!B2052),4),MATCH(MID(TRIM(Raw_Export!B2052),4,3),{"Jan","Feb","Mar","Apr","May","Jun","Jul","Aug","Sep","Oct","Nov","Dec"},0),LEFT(TRIM(Raw_Export!B2052),2)))))</f>
        <v>46278</v>
      </c>
      <c r="C2052" s="36" t="str">
        <f aca="false">IF(Raw_Export!$A2052="","",IFERROR(VLOOKUP(LOWER(TRIM(Raw_Export!C2052)),Maps!$A$2:$B$20,2,FALSE()),"UNMAPPED"))</f>
        <v>Nairobi CBD</v>
      </c>
      <c r="D2052" s="36" t="str">
        <f aca="false">IF(Raw_Export!$A2052="","",IFERROR(VLOOKUP(LOWER(TRIM(Raw_Export!D2052)),Maps!$G$2:$I$80,2,FALSE()),"UNMAPPED"))</f>
        <v>Salt 500g</v>
      </c>
      <c r="E2052" s="36" t="str">
        <f aca="false">IF(Raw_Export!$A2052="","",IFERROR(VLOOKUP(LOWER(TRIM(Raw_Export!D2052)),Maps!$G$2:$I$80,3,FALSE()),"UNMAPPED"))</f>
        <v>Staples</v>
      </c>
      <c r="F2052" s="36" t="n">
        <f aca="false">IF(Raw_Export!$A2052="","",IFERROR(VALUE(TRIM(Raw_Export!E2052)),0))</f>
        <v>3</v>
      </c>
      <c r="G2052" s="38" t="n">
        <f aca="false">IF(Raw_Export!$A2052="","",IFERROR(VALUE(SUBSTITUTE(SUBSTITUTE(UPPER(TRIM(Raw_Export!F2052)),"KES",""),",","")),0))</f>
        <v>40</v>
      </c>
      <c r="H2052" s="38" t="n">
        <f aca="false">IF(Raw_Export!$A2052="","",F2052*G2052)</f>
        <v>120</v>
      </c>
      <c r="I2052" s="36" t="str">
        <f aca="false">IF(Raw_Export!$A2052="","",IFERROR(VLOOKUP(LOWER(TRIM(Raw_Export!H2052)),Maps!$D$2:$E$12,2,FALSE()),"Other"))</f>
        <v>M-Pesa</v>
      </c>
      <c r="J2052" s="36" t="str">
        <f aca="false">IF(Raw_Export!$A2052="","",IF(COUNTIF($A$2:A2052,A2052)&gt;1,"Duplicate",""))</f>
        <v/>
      </c>
      <c r="K2052" s="36" t="str">
        <f aca="false">IF(Raw_Export!$A2052="","",IF(J2052="Duplicate","Duplicate",IF(OR(C2052="UNMAPPED",D2052="UNMAPPED"),"Unmapped",IF(F2052=0,"Blank qty",IF(F2052&lt;0,"Return","OK")))))</f>
        <v>OK</v>
      </c>
      <c r="L2052" s="36" t="n">
        <f aca="false">IF(Raw_Export!$A2052="","",IF(OR(K2052="OK",K2052="Return"),1,0))</f>
        <v>1</v>
      </c>
      <c r="M2052" s="37" t="n">
        <f aca="false">IF(Raw_Export!$A2052="","",B2052-WEEKDAY(B2052,2)+1)</f>
        <v>46272</v>
      </c>
    </row>
    <row r="2053" customFormat="false" ht="15" hidden="false" customHeight="false" outlineLevel="0" collapsed="false">
      <c r="A2053" s="36" t="str">
        <f aca="false">IF(Raw_Export!$A2053="","",TRIM(Raw_Export!A2053))</f>
        <v>TXN-102013</v>
      </c>
      <c r="B2053" s="37" t="n">
        <f aca="false">IF(Raw_Export!$A2053="","",IF(ISNUMBER(Raw_Export!B2053),Raw_Export!B2053,IF(MID(TRIM(Raw_Export!B2053),5,1)="-",DATE(LEFT(TRIM(Raw_Export!B2053),4),MID(TRIM(Raw_Export!B2053),6,2),RIGHT(TRIM(Raw_Export!B2053),2)),DATE(RIGHT(TRIM(Raw_Export!B2053),4),MATCH(MID(TRIM(Raw_Export!B2053),4,3),{"Jan","Feb","Mar","Apr","May","Jun","Jul","Aug","Sep","Oct","Nov","Dec"},0),LEFT(TRIM(Raw_Export!B2053),2)))))</f>
        <v>46278</v>
      </c>
      <c r="C2053" s="36" t="str">
        <f aca="false">IF(Raw_Export!$A2053="","",IFERROR(VLOOKUP(LOWER(TRIM(Raw_Export!C2053)),Maps!$A$2:$B$20,2,FALSE()),"UNMAPPED"))</f>
        <v>Nairobi CBD</v>
      </c>
      <c r="D2053" s="36" t="str">
        <f aca="false">IF(Raw_Export!$A2053="","",IFERROR(VLOOKUP(LOWER(TRIM(Raw_Export!D2053)),Maps!$G$2:$I$80,2,FALSE()),"UNMAPPED"))</f>
        <v>Deodorant 150ml</v>
      </c>
      <c r="E2053" s="36" t="str">
        <f aca="false">IF(Raw_Export!$A2053="","",IFERROR(VLOOKUP(LOWER(TRIM(Raw_Export!D2053)),Maps!$G$2:$I$80,3,FALSE()),"UNMAPPED"))</f>
        <v>Personal Care</v>
      </c>
      <c r="F2053" s="36" t="n">
        <f aca="false">IF(Raw_Export!$A2053="","",IFERROR(VALUE(TRIM(Raw_Export!E2053)),0))</f>
        <v>2</v>
      </c>
      <c r="G2053" s="38" t="n">
        <f aca="false">IF(Raw_Export!$A2053="","",IFERROR(VALUE(SUBSTITUTE(SUBSTITUTE(UPPER(TRIM(Raw_Export!F2053)),"KES",""),",","")),0))</f>
        <v>350</v>
      </c>
      <c r="H2053" s="38" t="n">
        <f aca="false">IF(Raw_Export!$A2053="","",F2053*G2053)</f>
        <v>700</v>
      </c>
      <c r="I2053" s="36" t="str">
        <f aca="false">IF(Raw_Export!$A2053="","",IFERROR(VLOOKUP(LOWER(TRIM(Raw_Export!H2053)),Maps!$D$2:$E$12,2,FALSE()),"Other"))</f>
        <v>M-Pesa</v>
      </c>
      <c r="J2053" s="36" t="str">
        <f aca="false">IF(Raw_Export!$A2053="","",IF(COUNTIF($A$2:A2053,A2053)&gt;1,"Duplicate",""))</f>
        <v/>
      </c>
      <c r="K2053" s="36" t="str">
        <f aca="false">IF(Raw_Export!$A2053="","",IF(J2053="Duplicate","Duplicate",IF(OR(C2053="UNMAPPED",D2053="UNMAPPED"),"Unmapped",IF(F2053=0,"Blank qty",IF(F2053&lt;0,"Return","OK")))))</f>
        <v>OK</v>
      </c>
      <c r="L2053" s="36" t="n">
        <f aca="false">IF(Raw_Export!$A2053="","",IF(OR(K2053="OK",K2053="Return"),1,0))</f>
        <v>1</v>
      </c>
      <c r="M2053" s="37" t="n">
        <f aca="false">IF(Raw_Export!$A2053="","",B2053-WEEKDAY(B2053,2)+1)</f>
        <v>46272</v>
      </c>
    </row>
    <row r="2054" customFormat="false" ht="15" hidden="false" customHeight="false" outlineLevel="0" collapsed="false">
      <c r="A2054" s="36" t="str">
        <f aca="false">IF(Raw_Export!$A2054="","",TRIM(Raw_Export!A2054))</f>
        <v>TXN-102014</v>
      </c>
      <c r="B2054" s="37" t="n">
        <f aca="false">IF(Raw_Export!$A2054="","",IF(ISNUMBER(Raw_Export!B2054),Raw_Export!B2054,IF(MID(TRIM(Raw_Export!B2054),5,1)="-",DATE(LEFT(TRIM(Raw_Export!B2054),4),MID(TRIM(Raw_Export!B2054),6,2),RIGHT(TRIM(Raw_Export!B2054),2)),DATE(RIGHT(TRIM(Raw_Export!B2054),4),MATCH(MID(TRIM(Raw_Export!B2054),4,3),{"Jan","Feb","Mar","Apr","May","Jun","Jul","Aug","Sep","Oct","Nov","Dec"},0),LEFT(TRIM(Raw_Export!B2054),2)))))</f>
        <v>46278</v>
      </c>
      <c r="C2054" s="36" t="str">
        <f aca="false">IF(Raw_Export!$A2054="","",IFERROR(VLOOKUP(LOWER(TRIM(Raw_Export!C2054)),Maps!$A$2:$B$20,2,FALSE()),"UNMAPPED"))</f>
        <v>Nairobi CBD</v>
      </c>
      <c r="D2054" s="36" t="str">
        <f aca="false">IF(Raw_Export!$A2054="","",IFERROR(VLOOKUP(LOWER(TRIM(Raw_Export!D2054)),Maps!$G$2:$I$80,2,FALSE()),"UNMAPPED"))</f>
        <v>Biscuits 200g</v>
      </c>
      <c r="E2054" s="36" t="str">
        <f aca="false">IF(Raw_Export!$A2054="","",IFERROR(VLOOKUP(LOWER(TRIM(Raw_Export!D2054)),Maps!$G$2:$I$80,3,FALSE()),"UNMAPPED"))</f>
        <v>Snacks</v>
      </c>
      <c r="F2054" s="36" t="n">
        <f aca="false">IF(Raw_Export!$A2054="","",IFERROR(VALUE(TRIM(Raw_Export!E2054)),0))</f>
        <v>2</v>
      </c>
      <c r="G2054" s="38" t="n">
        <f aca="false">IF(Raw_Export!$A2054="","",IFERROR(VALUE(SUBSTITUTE(SUBSTITUTE(UPPER(TRIM(Raw_Export!F2054)),"KES",""),",","")),0))</f>
        <v>95</v>
      </c>
      <c r="H2054" s="38" t="n">
        <f aca="false">IF(Raw_Export!$A2054="","",F2054*G2054)</f>
        <v>190</v>
      </c>
      <c r="I2054" s="36" t="str">
        <f aca="false">IF(Raw_Export!$A2054="","",IFERROR(VLOOKUP(LOWER(TRIM(Raw_Export!H2054)),Maps!$D$2:$E$12,2,FALSE()),"Other"))</f>
        <v>Cash</v>
      </c>
      <c r="J2054" s="36" t="str">
        <f aca="false">IF(Raw_Export!$A2054="","",IF(COUNTIF($A$2:A2054,A2054)&gt;1,"Duplicate",""))</f>
        <v/>
      </c>
      <c r="K2054" s="36" t="str">
        <f aca="false">IF(Raw_Export!$A2054="","",IF(J2054="Duplicate","Duplicate",IF(OR(C2054="UNMAPPED",D2054="UNMAPPED"),"Unmapped",IF(F2054=0,"Blank qty",IF(F2054&lt;0,"Return","OK")))))</f>
        <v>OK</v>
      </c>
      <c r="L2054" s="36" t="n">
        <f aca="false">IF(Raw_Export!$A2054="","",IF(OR(K2054="OK",K2054="Return"),1,0))</f>
        <v>1</v>
      </c>
      <c r="M2054" s="37" t="n">
        <f aca="false">IF(Raw_Export!$A2054="","",B2054-WEEKDAY(B2054,2)+1)</f>
        <v>46272</v>
      </c>
    </row>
    <row r="2055" customFormat="false" ht="15" hidden="false" customHeight="false" outlineLevel="0" collapsed="false">
      <c r="A2055" s="36" t="str">
        <f aca="false">IF(Raw_Export!$A2055="","",TRIM(Raw_Export!A2055))</f>
        <v>TXN-102015</v>
      </c>
      <c r="B2055" s="37" t="n">
        <f aca="false">IF(Raw_Export!$A2055="","",IF(ISNUMBER(Raw_Export!B2055),Raw_Export!B2055,IF(MID(TRIM(Raw_Export!B2055),5,1)="-",DATE(LEFT(TRIM(Raw_Export!B2055),4),MID(TRIM(Raw_Export!B2055),6,2),RIGHT(TRIM(Raw_Export!B2055),2)),DATE(RIGHT(TRIM(Raw_Export!B2055),4),MATCH(MID(TRIM(Raw_Export!B2055),4,3),{"Jan","Feb","Mar","Apr","May","Jun","Jul","Aug","Sep","Oct","Nov","Dec"},0),LEFT(TRIM(Raw_Export!B2055),2)))))</f>
        <v>46278</v>
      </c>
      <c r="C2055" s="36" t="str">
        <f aca="false">IF(Raw_Export!$A2055="","",IFERROR(VLOOKUP(LOWER(TRIM(Raw_Export!C2055)),Maps!$A$2:$B$20,2,FALSE()),"UNMAPPED"))</f>
        <v>Nairobi CBD</v>
      </c>
      <c r="D2055" s="36" t="str">
        <f aca="false">IF(Raw_Export!$A2055="","",IFERROR(VLOOKUP(LOWER(TRIM(Raw_Export!D2055)),Maps!$G$2:$I$80,2,FALSE()),"UNMAPPED"))</f>
        <v>Matches 10pk</v>
      </c>
      <c r="E2055" s="36" t="str">
        <f aca="false">IF(Raw_Export!$A2055="","",IFERROR(VLOOKUP(LOWER(TRIM(Raw_Export!D2055)),Maps!$G$2:$I$80,3,FALSE()),"UNMAPPED"))</f>
        <v>Household</v>
      </c>
      <c r="F2055" s="36" t="n">
        <f aca="false">IF(Raw_Export!$A2055="","",IFERROR(VALUE(TRIM(Raw_Export!E2055)),0))</f>
        <v>1</v>
      </c>
      <c r="G2055" s="38" t="n">
        <f aca="false">IF(Raw_Export!$A2055="","",IFERROR(VALUE(SUBSTITUTE(SUBSTITUTE(UPPER(TRIM(Raw_Export!F2055)),"KES",""),",","")),0))</f>
        <v>50</v>
      </c>
      <c r="H2055" s="38" t="n">
        <f aca="false">IF(Raw_Export!$A2055="","",F2055*G2055)</f>
        <v>50</v>
      </c>
      <c r="I2055" s="36" t="str">
        <f aca="false">IF(Raw_Export!$A2055="","",IFERROR(VLOOKUP(LOWER(TRIM(Raw_Export!H2055)),Maps!$D$2:$E$12,2,FALSE()),"Other"))</f>
        <v>Cash</v>
      </c>
      <c r="J2055" s="36" t="str">
        <f aca="false">IF(Raw_Export!$A2055="","",IF(COUNTIF($A$2:A2055,A2055)&gt;1,"Duplicate",""))</f>
        <v/>
      </c>
      <c r="K2055" s="36" t="str">
        <f aca="false">IF(Raw_Export!$A2055="","",IF(J2055="Duplicate","Duplicate",IF(OR(C2055="UNMAPPED",D2055="UNMAPPED"),"Unmapped",IF(F2055=0,"Blank qty",IF(F2055&lt;0,"Return","OK")))))</f>
        <v>OK</v>
      </c>
      <c r="L2055" s="36" t="n">
        <f aca="false">IF(Raw_Export!$A2055="","",IF(OR(K2055="OK",K2055="Return"),1,0))</f>
        <v>1</v>
      </c>
      <c r="M2055" s="37" t="n">
        <f aca="false">IF(Raw_Export!$A2055="","",B2055-WEEKDAY(B2055,2)+1)</f>
        <v>46272</v>
      </c>
    </row>
    <row r="2056" customFormat="false" ht="15" hidden="false" customHeight="false" outlineLevel="0" collapsed="false">
      <c r="A2056" s="36" t="str">
        <f aca="false">IF(Raw_Export!$A2056="","",TRIM(Raw_Export!A2056))</f>
        <v>TXN-102016</v>
      </c>
      <c r="B2056" s="37" t="n">
        <f aca="false">IF(Raw_Export!$A2056="","",IF(ISNUMBER(Raw_Export!B2056),Raw_Export!B2056,IF(MID(TRIM(Raw_Export!B2056),5,1)="-",DATE(LEFT(TRIM(Raw_Export!B2056),4),MID(TRIM(Raw_Export!B2056),6,2),RIGHT(TRIM(Raw_Export!B2056),2)),DATE(RIGHT(TRIM(Raw_Export!B2056),4),MATCH(MID(TRIM(Raw_Export!B2056),4,3),{"Jan","Feb","Mar","Apr","May","Jun","Jul","Aug","Sep","Oct","Nov","Dec"},0),LEFT(TRIM(Raw_Export!B2056),2)))))</f>
        <v>46278</v>
      </c>
      <c r="C2056" s="36" t="str">
        <f aca="false">IF(Raw_Export!$A2056="","",IFERROR(VLOOKUP(LOWER(TRIM(Raw_Export!C2056)),Maps!$A$2:$B$20,2,FALSE()),"UNMAPPED"))</f>
        <v>Nairobi CBD</v>
      </c>
      <c r="D2056" s="36" t="str">
        <f aca="false">IF(Raw_Export!$A2056="","",IFERROR(VLOOKUP(LOWER(TRIM(Raw_Export!D2056)),Maps!$G$2:$I$80,2,FALSE()),"UNMAPPED"))</f>
        <v>Bath Soap 175g</v>
      </c>
      <c r="E2056" s="36" t="str">
        <f aca="false">IF(Raw_Export!$A2056="","",IFERROR(VLOOKUP(LOWER(TRIM(Raw_Export!D2056)),Maps!$G$2:$I$80,3,FALSE()),"UNMAPPED"))</f>
        <v>Personal Care</v>
      </c>
      <c r="F2056" s="36" t="n">
        <f aca="false">IF(Raw_Export!$A2056="","",IFERROR(VALUE(TRIM(Raw_Export!E2056)),0))</f>
        <v>2</v>
      </c>
      <c r="G2056" s="38" t="n">
        <f aca="false">IF(Raw_Export!$A2056="","",IFERROR(VALUE(SUBSTITUTE(SUBSTITUTE(UPPER(TRIM(Raw_Export!F2056)),"KES",""),",","")),0))</f>
        <v>85</v>
      </c>
      <c r="H2056" s="38" t="n">
        <f aca="false">IF(Raw_Export!$A2056="","",F2056*G2056)</f>
        <v>170</v>
      </c>
      <c r="I2056" s="36" t="str">
        <f aca="false">IF(Raw_Export!$A2056="","",IFERROR(VLOOKUP(LOWER(TRIM(Raw_Export!H2056)),Maps!$D$2:$E$12,2,FALSE()),"Other"))</f>
        <v>M-Pesa</v>
      </c>
      <c r="J2056" s="36" t="str">
        <f aca="false">IF(Raw_Export!$A2056="","",IF(COUNTIF($A$2:A2056,A2056)&gt;1,"Duplicate",""))</f>
        <v/>
      </c>
      <c r="K2056" s="36" t="str">
        <f aca="false">IF(Raw_Export!$A2056="","",IF(J2056="Duplicate","Duplicate",IF(OR(C2056="UNMAPPED",D2056="UNMAPPED"),"Unmapped",IF(F2056=0,"Blank qty",IF(F2056&lt;0,"Return","OK")))))</f>
        <v>OK</v>
      </c>
      <c r="L2056" s="36" t="n">
        <f aca="false">IF(Raw_Export!$A2056="","",IF(OR(K2056="OK",K2056="Return"),1,0))</f>
        <v>1</v>
      </c>
      <c r="M2056" s="37" t="n">
        <f aca="false">IF(Raw_Export!$A2056="","",B2056-WEEKDAY(B2056,2)+1)</f>
        <v>46272</v>
      </c>
    </row>
    <row r="2057" customFormat="false" ht="15" hidden="false" customHeight="false" outlineLevel="0" collapsed="false">
      <c r="A2057" s="36" t="str">
        <f aca="false">IF(Raw_Export!$A2057="","",TRIM(Raw_Export!A2057))</f>
        <v>TXN-102017</v>
      </c>
      <c r="B2057" s="37" t="n">
        <f aca="false">IF(Raw_Export!$A2057="","",IF(ISNUMBER(Raw_Export!B2057),Raw_Export!B2057,IF(MID(TRIM(Raw_Export!B2057),5,1)="-",DATE(LEFT(TRIM(Raw_Export!B2057),4),MID(TRIM(Raw_Export!B2057),6,2),RIGHT(TRIM(Raw_Export!B2057),2)),DATE(RIGHT(TRIM(Raw_Export!B2057),4),MATCH(MID(TRIM(Raw_Export!B2057),4,3),{"Jan","Feb","Mar","Apr","May","Jun","Jul","Aug","Sep","Oct","Nov","Dec"},0),LEFT(TRIM(Raw_Export!B2057),2)))))</f>
        <v>46278</v>
      </c>
      <c r="C2057" s="36" t="str">
        <f aca="false">IF(Raw_Export!$A2057="","",IFERROR(VLOOKUP(LOWER(TRIM(Raw_Export!C2057)),Maps!$A$2:$B$20,2,FALSE()),"UNMAPPED"))</f>
        <v>Nairobi CBD</v>
      </c>
      <c r="D2057" s="36" t="str">
        <f aca="false">IF(Raw_Export!$A2057="","",IFERROR(VLOOKUP(LOWER(TRIM(Raw_Export!D2057)),Maps!$G$2:$I$80,2,FALSE()),"UNMAPPED"))</f>
        <v>Tea Leaves 250g</v>
      </c>
      <c r="E2057" s="36" t="str">
        <f aca="false">IF(Raw_Export!$A2057="","",IFERROR(VLOOKUP(LOWER(TRIM(Raw_Export!D2057)),Maps!$G$2:$I$80,3,FALSE()),"UNMAPPED"))</f>
        <v>Beverages</v>
      </c>
      <c r="F2057" s="36" t="n">
        <f aca="false">IF(Raw_Export!$A2057="","",IFERROR(VALUE(TRIM(Raw_Export!E2057)),0))</f>
        <v>4</v>
      </c>
      <c r="G2057" s="38" t="n">
        <f aca="false">IF(Raw_Export!$A2057="","",IFERROR(VALUE(SUBSTITUTE(SUBSTITUTE(UPPER(TRIM(Raw_Export!F2057)),"KES",""),",","")),0))</f>
        <v>150</v>
      </c>
      <c r="H2057" s="38" t="n">
        <f aca="false">IF(Raw_Export!$A2057="","",F2057*G2057)</f>
        <v>600</v>
      </c>
      <c r="I2057" s="36" t="str">
        <f aca="false">IF(Raw_Export!$A2057="","",IFERROR(VLOOKUP(LOWER(TRIM(Raw_Export!H2057)),Maps!$D$2:$E$12,2,FALSE()),"Other"))</f>
        <v>Cash</v>
      </c>
      <c r="J2057" s="36" t="str">
        <f aca="false">IF(Raw_Export!$A2057="","",IF(COUNTIF($A$2:A2057,A2057)&gt;1,"Duplicate",""))</f>
        <v/>
      </c>
      <c r="K2057" s="36" t="str">
        <f aca="false">IF(Raw_Export!$A2057="","",IF(J2057="Duplicate","Duplicate",IF(OR(C2057="UNMAPPED",D2057="UNMAPPED"),"Unmapped",IF(F2057=0,"Blank qty",IF(F2057&lt;0,"Return","OK")))))</f>
        <v>OK</v>
      </c>
      <c r="L2057" s="36" t="n">
        <f aca="false">IF(Raw_Export!$A2057="","",IF(OR(K2057="OK",K2057="Return"),1,0))</f>
        <v>1</v>
      </c>
      <c r="M2057" s="37" t="n">
        <f aca="false">IF(Raw_Export!$A2057="","",B2057-WEEKDAY(B2057,2)+1)</f>
        <v>46272</v>
      </c>
    </row>
    <row r="2058" customFormat="false" ht="15" hidden="false" customHeight="false" outlineLevel="0" collapsed="false">
      <c r="A2058" s="36" t="str">
        <f aca="false">IF(Raw_Export!$A2058="","",TRIM(Raw_Export!A2058))</f>
        <v>TXN-102018</v>
      </c>
      <c r="B2058" s="37" t="n">
        <f aca="false">IF(Raw_Export!$A2058="","",IF(ISNUMBER(Raw_Export!B2058),Raw_Export!B2058,IF(MID(TRIM(Raw_Export!B2058),5,1)="-",DATE(LEFT(TRIM(Raw_Export!B2058),4),MID(TRIM(Raw_Export!B2058),6,2),RIGHT(TRIM(Raw_Export!B2058),2)),DATE(RIGHT(TRIM(Raw_Export!B2058),4),MATCH(MID(TRIM(Raw_Export!B2058),4,3),{"Jan","Feb","Mar","Apr","May","Jun","Jul","Aug","Sep","Oct","Nov","Dec"},0),LEFT(TRIM(Raw_Export!B2058),2)))))</f>
        <v>46278</v>
      </c>
      <c r="C2058" s="36" t="str">
        <f aca="false">IF(Raw_Export!$A2058="","",IFERROR(VLOOKUP(LOWER(TRIM(Raw_Export!C2058)),Maps!$A$2:$B$20,2,FALSE()),"UNMAPPED"))</f>
        <v>Nairobi CBD</v>
      </c>
      <c r="D2058" s="36" t="str">
        <f aca="false">IF(Raw_Export!$A2058="","",IFERROR(VLOOKUP(LOWER(TRIM(Raw_Export!D2058)),Maps!$G$2:$I$80,2,FALSE()),"UNMAPPED"))</f>
        <v>Cooking Oil 1L</v>
      </c>
      <c r="E2058" s="36" t="str">
        <f aca="false">IF(Raw_Export!$A2058="","",IFERROR(VLOOKUP(LOWER(TRIM(Raw_Export!D2058)),Maps!$G$2:$I$80,3,FALSE()),"UNMAPPED"))</f>
        <v>Staples</v>
      </c>
      <c r="F2058" s="36" t="n">
        <f aca="false">IF(Raw_Export!$A2058="","",IFERROR(VALUE(TRIM(Raw_Export!E2058)),0))</f>
        <v>3</v>
      </c>
      <c r="G2058" s="38" t="n">
        <f aca="false">IF(Raw_Export!$A2058="","",IFERROR(VALUE(SUBSTITUTE(SUBSTITUTE(UPPER(TRIM(Raw_Export!F2058)),"KES",""),",","")),0))</f>
        <v>330</v>
      </c>
      <c r="H2058" s="38" t="n">
        <f aca="false">IF(Raw_Export!$A2058="","",F2058*G2058)</f>
        <v>990</v>
      </c>
      <c r="I2058" s="36" t="str">
        <f aca="false">IF(Raw_Export!$A2058="","",IFERROR(VLOOKUP(LOWER(TRIM(Raw_Export!H2058)),Maps!$D$2:$E$12,2,FALSE()),"Other"))</f>
        <v>M-Pesa</v>
      </c>
      <c r="J2058" s="36" t="str">
        <f aca="false">IF(Raw_Export!$A2058="","",IF(COUNTIF($A$2:A2058,A2058)&gt;1,"Duplicate",""))</f>
        <v/>
      </c>
      <c r="K2058" s="36" t="str">
        <f aca="false">IF(Raw_Export!$A2058="","",IF(J2058="Duplicate","Duplicate",IF(OR(C2058="UNMAPPED",D2058="UNMAPPED"),"Unmapped",IF(F2058=0,"Blank qty",IF(F2058&lt;0,"Return","OK")))))</f>
        <v>OK</v>
      </c>
      <c r="L2058" s="36" t="n">
        <f aca="false">IF(Raw_Export!$A2058="","",IF(OR(K2058="OK",K2058="Return"),1,0))</f>
        <v>1</v>
      </c>
      <c r="M2058" s="37" t="n">
        <f aca="false">IF(Raw_Export!$A2058="","",B2058-WEEKDAY(B2058,2)+1)</f>
        <v>46272</v>
      </c>
    </row>
    <row r="2059" customFormat="false" ht="15" hidden="false" customHeight="false" outlineLevel="0" collapsed="false">
      <c r="A2059" s="36" t="str">
        <f aca="false">IF(Raw_Export!$A2059="","",TRIM(Raw_Export!A2059))</f>
        <v>TXN-102019</v>
      </c>
      <c r="B2059" s="37" t="n">
        <f aca="false">IF(Raw_Export!$A2059="","",IF(ISNUMBER(Raw_Export!B2059),Raw_Export!B2059,IF(MID(TRIM(Raw_Export!B2059),5,1)="-",DATE(LEFT(TRIM(Raw_Export!B2059),4),MID(TRIM(Raw_Export!B2059),6,2),RIGHT(TRIM(Raw_Export!B2059),2)),DATE(RIGHT(TRIM(Raw_Export!B2059),4),MATCH(MID(TRIM(Raw_Export!B2059),4,3),{"Jan","Feb","Mar","Apr","May","Jun","Jul","Aug","Sep","Oct","Nov","Dec"},0),LEFT(TRIM(Raw_Export!B2059),2)))))</f>
        <v>46278</v>
      </c>
      <c r="C2059" s="36" t="str">
        <f aca="false">IF(Raw_Export!$A2059="","",IFERROR(VLOOKUP(LOWER(TRIM(Raw_Export!C2059)),Maps!$A$2:$B$20,2,FALSE()),"UNMAPPED"))</f>
        <v>Nairobi CBD</v>
      </c>
      <c r="D2059" s="36" t="str">
        <f aca="false">IF(Raw_Export!$A2059="","",IFERROR(VLOOKUP(LOWER(TRIM(Raw_Export!D2059)),Maps!$G$2:$I$80,2,FALSE()),"UNMAPPED"))</f>
        <v>Dish Soap 750ml</v>
      </c>
      <c r="E2059" s="36" t="str">
        <f aca="false">IF(Raw_Export!$A2059="","",IFERROR(VLOOKUP(LOWER(TRIM(Raw_Export!D2059)),Maps!$G$2:$I$80,3,FALSE()),"UNMAPPED"))</f>
        <v>Household</v>
      </c>
      <c r="F2059" s="36" t="n">
        <f aca="false">IF(Raw_Export!$A2059="","",IFERROR(VALUE(TRIM(Raw_Export!E2059)),0))</f>
        <v>3</v>
      </c>
      <c r="G2059" s="38" t="n">
        <f aca="false">IF(Raw_Export!$A2059="","",IFERROR(VALUE(SUBSTITUTE(SUBSTITUTE(UPPER(TRIM(Raw_Export!F2059)),"KES",""),",","")),0))</f>
        <v>190</v>
      </c>
      <c r="H2059" s="38" t="n">
        <f aca="false">IF(Raw_Export!$A2059="","",F2059*G2059)</f>
        <v>570</v>
      </c>
      <c r="I2059" s="36" t="str">
        <f aca="false">IF(Raw_Export!$A2059="","",IFERROR(VLOOKUP(LOWER(TRIM(Raw_Export!H2059)),Maps!$D$2:$E$12,2,FALSE()),"Other"))</f>
        <v>M-Pesa</v>
      </c>
      <c r="J2059" s="36" t="str">
        <f aca="false">IF(Raw_Export!$A2059="","",IF(COUNTIF($A$2:A2059,A2059)&gt;1,"Duplicate",""))</f>
        <v/>
      </c>
      <c r="K2059" s="36" t="str">
        <f aca="false">IF(Raw_Export!$A2059="","",IF(J2059="Duplicate","Duplicate",IF(OR(C2059="UNMAPPED",D2059="UNMAPPED"),"Unmapped",IF(F2059=0,"Blank qty",IF(F2059&lt;0,"Return","OK")))))</f>
        <v>OK</v>
      </c>
      <c r="L2059" s="36" t="n">
        <f aca="false">IF(Raw_Export!$A2059="","",IF(OR(K2059="OK",K2059="Return"),1,0))</f>
        <v>1</v>
      </c>
      <c r="M2059" s="37" t="n">
        <f aca="false">IF(Raw_Export!$A2059="","",B2059-WEEKDAY(B2059,2)+1)</f>
        <v>46272</v>
      </c>
    </row>
    <row r="2060" customFormat="false" ht="15" hidden="false" customHeight="false" outlineLevel="0" collapsed="false">
      <c r="A2060" s="36" t="str">
        <f aca="false">IF(Raw_Export!$A2060="","",TRIM(Raw_Export!A2060))</f>
        <v>TXN-102020</v>
      </c>
      <c r="B2060" s="37" t="n">
        <f aca="false">IF(Raw_Export!$A2060="","",IF(ISNUMBER(Raw_Export!B2060),Raw_Export!B2060,IF(MID(TRIM(Raw_Export!B2060),5,1)="-",DATE(LEFT(TRIM(Raw_Export!B2060),4),MID(TRIM(Raw_Export!B2060),6,2),RIGHT(TRIM(Raw_Export!B2060),2)),DATE(RIGHT(TRIM(Raw_Export!B2060),4),MATCH(MID(TRIM(Raw_Export!B2060),4,3),{"Jan","Feb","Mar","Apr","May","Jun","Jul","Aug","Sep","Oct","Nov","Dec"},0),LEFT(TRIM(Raw_Export!B2060),2)))))</f>
        <v>46278</v>
      </c>
      <c r="C2060" s="36" t="str">
        <f aca="false">IF(Raw_Export!$A2060="","",IFERROR(VLOOKUP(LOWER(TRIM(Raw_Export!C2060)),Maps!$A$2:$B$20,2,FALSE()),"UNMAPPED"))</f>
        <v>Nairobi CBD</v>
      </c>
      <c r="D2060" s="36" t="str">
        <f aca="false">IF(Raw_Export!$A2060="","",IFERROR(VLOOKUP(LOWER(TRIM(Raw_Export!D2060)),Maps!$G$2:$I$80,2,FALSE()),"UNMAPPED"))</f>
        <v>Bath Soap 175g</v>
      </c>
      <c r="E2060" s="36" t="str">
        <f aca="false">IF(Raw_Export!$A2060="","",IFERROR(VLOOKUP(LOWER(TRIM(Raw_Export!D2060)),Maps!$G$2:$I$80,3,FALSE()),"UNMAPPED"))</f>
        <v>Personal Care</v>
      </c>
      <c r="F2060" s="36" t="n">
        <f aca="false">IF(Raw_Export!$A2060="","",IFERROR(VALUE(TRIM(Raw_Export!E2060)),0))</f>
        <v>2</v>
      </c>
      <c r="G2060" s="38" t="n">
        <f aca="false">IF(Raw_Export!$A2060="","",IFERROR(VALUE(SUBSTITUTE(SUBSTITUTE(UPPER(TRIM(Raw_Export!F2060)),"KES",""),",","")),0))</f>
        <v>85</v>
      </c>
      <c r="H2060" s="38" t="n">
        <f aca="false">IF(Raw_Export!$A2060="","",F2060*G2060)</f>
        <v>170</v>
      </c>
      <c r="I2060" s="36" t="str">
        <f aca="false">IF(Raw_Export!$A2060="","",IFERROR(VLOOKUP(LOWER(TRIM(Raw_Export!H2060)),Maps!$D$2:$E$12,2,FALSE()),"Other"))</f>
        <v>M-Pesa</v>
      </c>
      <c r="J2060" s="36" t="str">
        <f aca="false">IF(Raw_Export!$A2060="","",IF(COUNTIF($A$2:A2060,A2060)&gt;1,"Duplicate",""))</f>
        <v/>
      </c>
      <c r="K2060" s="36" t="str">
        <f aca="false">IF(Raw_Export!$A2060="","",IF(J2060="Duplicate","Duplicate",IF(OR(C2060="UNMAPPED",D2060="UNMAPPED"),"Unmapped",IF(F2060=0,"Blank qty",IF(F2060&lt;0,"Return","OK")))))</f>
        <v>OK</v>
      </c>
      <c r="L2060" s="36" t="n">
        <f aca="false">IF(Raw_Export!$A2060="","",IF(OR(K2060="OK",K2060="Return"),1,0))</f>
        <v>1</v>
      </c>
      <c r="M2060" s="37" t="n">
        <f aca="false">IF(Raw_Export!$A2060="","",B2060-WEEKDAY(B2060,2)+1)</f>
        <v>46272</v>
      </c>
    </row>
    <row r="2061" customFormat="false" ht="15" hidden="false" customHeight="false" outlineLevel="0" collapsed="false">
      <c r="A2061" s="36" t="str">
        <f aca="false">IF(Raw_Export!$A2061="","",TRIM(Raw_Export!A2061))</f>
        <v>TXN-102021</v>
      </c>
      <c r="B2061" s="37" t="n">
        <f aca="false">IF(Raw_Export!$A2061="","",IF(ISNUMBER(Raw_Export!B2061),Raw_Export!B2061,IF(MID(TRIM(Raw_Export!B2061),5,1)="-",DATE(LEFT(TRIM(Raw_Export!B2061),4),MID(TRIM(Raw_Export!B2061),6,2),RIGHT(TRIM(Raw_Export!B2061),2)),DATE(RIGHT(TRIM(Raw_Export!B2061),4),MATCH(MID(TRIM(Raw_Export!B2061),4,3),{"Jan","Feb","Mar","Apr","May","Jun","Jul","Aug","Sep","Oct","Nov","Dec"},0),LEFT(TRIM(Raw_Export!B2061),2)))))</f>
        <v>46278</v>
      </c>
      <c r="C2061" s="36" t="str">
        <f aca="false">IF(Raw_Export!$A2061="","",IFERROR(VLOOKUP(LOWER(TRIM(Raw_Export!C2061)),Maps!$A$2:$B$20,2,FALSE()),"UNMAPPED"))</f>
        <v>Nairobi CBD</v>
      </c>
      <c r="D2061" s="36" t="str">
        <f aca="false">IF(Raw_Export!$A2061="","",IFERROR(VLOOKUP(LOWER(TRIM(Raw_Export!D2061)),Maps!$G$2:$I$80,2,FALSE()),"UNMAPPED"))</f>
        <v>Bottled Water 1.5L</v>
      </c>
      <c r="E2061" s="36" t="str">
        <f aca="false">IF(Raw_Export!$A2061="","",IFERROR(VLOOKUP(LOWER(TRIM(Raw_Export!D2061)),Maps!$G$2:$I$80,3,FALSE()),"UNMAPPED"))</f>
        <v>Beverages</v>
      </c>
      <c r="F2061" s="36" t="n">
        <f aca="false">IF(Raw_Export!$A2061="","",IFERROR(VALUE(TRIM(Raw_Export!E2061)),0))</f>
        <v>2</v>
      </c>
      <c r="G2061" s="38" t="n">
        <f aca="false">IF(Raw_Export!$A2061="","",IFERROR(VALUE(SUBSTITUTE(SUBSTITUTE(UPPER(TRIM(Raw_Export!F2061)),"KES",""),",","")),0))</f>
        <v>90</v>
      </c>
      <c r="H2061" s="38" t="n">
        <f aca="false">IF(Raw_Export!$A2061="","",F2061*G2061)</f>
        <v>180</v>
      </c>
      <c r="I2061" s="36" t="str">
        <f aca="false">IF(Raw_Export!$A2061="","",IFERROR(VLOOKUP(LOWER(TRIM(Raw_Export!H2061)),Maps!$D$2:$E$12,2,FALSE()),"Other"))</f>
        <v>M-Pesa</v>
      </c>
      <c r="J2061" s="36" t="str">
        <f aca="false">IF(Raw_Export!$A2061="","",IF(COUNTIF($A$2:A2061,A2061)&gt;1,"Duplicate",""))</f>
        <v/>
      </c>
      <c r="K2061" s="36" t="str">
        <f aca="false">IF(Raw_Export!$A2061="","",IF(J2061="Duplicate","Duplicate",IF(OR(C2061="UNMAPPED",D2061="UNMAPPED"),"Unmapped",IF(F2061=0,"Blank qty",IF(F2061&lt;0,"Return","OK")))))</f>
        <v>OK</v>
      </c>
      <c r="L2061" s="36" t="n">
        <f aca="false">IF(Raw_Export!$A2061="","",IF(OR(K2061="OK",K2061="Return"),1,0))</f>
        <v>1</v>
      </c>
      <c r="M2061" s="37" t="n">
        <f aca="false">IF(Raw_Export!$A2061="","",B2061-WEEKDAY(B2061,2)+1)</f>
        <v>46272</v>
      </c>
    </row>
    <row r="2062" customFormat="false" ht="15" hidden="false" customHeight="false" outlineLevel="0" collapsed="false">
      <c r="A2062" s="36" t="str">
        <f aca="false">IF(Raw_Export!$A2062="","",TRIM(Raw_Export!A2062))</f>
        <v>TXN-102022</v>
      </c>
      <c r="B2062" s="37" t="n">
        <f aca="false">IF(Raw_Export!$A2062="","",IF(ISNUMBER(Raw_Export!B2062),Raw_Export!B2062,IF(MID(TRIM(Raw_Export!B2062),5,1)="-",DATE(LEFT(TRIM(Raw_Export!B2062),4),MID(TRIM(Raw_Export!B2062),6,2),RIGHT(TRIM(Raw_Export!B2062),2)),DATE(RIGHT(TRIM(Raw_Export!B2062),4),MATCH(MID(TRIM(Raw_Export!B2062),4,3),{"Jan","Feb","Mar","Apr","May","Jun","Jul","Aug","Sep","Oct","Nov","Dec"},0),LEFT(TRIM(Raw_Export!B2062),2)))))</f>
        <v>46278</v>
      </c>
      <c r="C2062" s="36" t="str">
        <f aca="false">IF(Raw_Export!$A2062="","",IFERROR(VLOOKUP(LOWER(TRIM(Raw_Export!C2062)),Maps!$A$2:$B$20,2,FALSE()),"UNMAPPED"))</f>
        <v>Nairobi CBD</v>
      </c>
      <c r="D2062" s="36" t="str">
        <f aca="false">IF(Raw_Export!$A2062="","",IFERROR(VLOOKUP(LOWER(TRIM(Raw_Export!D2062)),Maps!$G$2:$I$80,2,FALSE()),"UNMAPPED"))</f>
        <v>Peanuts 250g</v>
      </c>
      <c r="E2062" s="36" t="str">
        <f aca="false">IF(Raw_Export!$A2062="","",IFERROR(VLOOKUP(LOWER(TRIM(Raw_Export!D2062)),Maps!$G$2:$I$80,3,FALSE()),"UNMAPPED"))</f>
        <v>Snacks</v>
      </c>
      <c r="F2062" s="36" t="n">
        <f aca="false">IF(Raw_Export!$A2062="","",IFERROR(VALUE(TRIM(Raw_Export!E2062)),0))</f>
        <v>1</v>
      </c>
      <c r="G2062" s="38" t="n">
        <f aca="false">IF(Raw_Export!$A2062="","",IFERROR(VALUE(SUBSTITUTE(SUBSTITUTE(UPPER(TRIM(Raw_Export!F2062)),"KES",""),",","")),0))</f>
        <v>130</v>
      </c>
      <c r="H2062" s="38" t="n">
        <f aca="false">IF(Raw_Export!$A2062="","",F2062*G2062)</f>
        <v>130</v>
      </c>
      <c r="I2062" s="36" t="str">
        <f aca="false">IF(Raw_Export!$A2062="","",IFERROR(VLOOKUP(LOWER(TRIM(Raw_Export!H2062)),Maps!$D$2:$E$12,2,FALSE()),"Other"))</f>
        <v>M-Pesa</v>
      </c>
      <c r="J2062" s="36" t="str">
        <f aca="false">IF(Raw_Export!$A2062="","",IF(COUNTIF($A$2:A2062,A2062)&gt;1,"Duplicate",""))</f>
        <v/>
      </c>
      <c r="K2062" s="36" t="str">
        <f aca="false">IF(Raw_Export!$A2062="","",IF(J2062="Duplicate","Duplicate",IF(OR(C2062="UNMAPPED",D2062="UNMAPPED"),"Unmapped",IF(F2062=0,"Blank qty",IF(F2062&lt;0,"Return","OK")))))</f>
        <v>OK</v>
      </c>
      <c r="L2062" s="36" t="n">
        <f aca="false">IF(Raw_Export!$A2062="","",IF(OR(K2062="OK",K2062="Return"),1,0))</f>
        <v>1</v>
      </c>
      <c r="M2062" s="37" t="n">
        <f aca="false">IF(Raw_Export!$A2062="","",B2062-WEEKDAY(B2062,2)+1)</f>
        <v>46272</v>
      </c>
    </row>
    <row r="2063" customFormat="false" ht="15" hidden="false" customHeight="false" outlineLevel="0" collapsed="false">
      <c r="A2063" s="36" t="str">
        <f aca="false">IF(Raw_Export!$A2063="","",TRIM(Raw_Export!A2063))</f>
        <v>TXN-101408</v>
      </c>
      <c r="B2063" s="37" t="n">
        <f aca="false">IF(Raw_Export!$A2063="","",IF(ISNUMBER(Raw_Export!B2063),Raw_Export!B2063,IF(MID(TRIM(Raw_Export!B2063),5,1)="-",DATE(LEFT(TRIM(Raw_Export!B2063),4),MID(TRIM(Raw_Export!B2063),6,2),RIGHT(TRIM(Raw_Export!B2063),2)),DATE(RIGHT(TRIM(Raw_Export!B2063),4),MATCH(MID(TRIM(Raw_Export!B2063),4,3),{"Jan","Feb","Mar","Apr","May","Jun","Jul","Aug","Sep","Oct","Nov","Dec"},0),LEFT(TRIM(Raw_Export!B2063),2)))))</f>
        <v>46274</v>
      </c>
      <c r="C2063" s="36" t="str">
        <f aca="false">IF(Raw_Export!$A2063="","",IFERROR(VLOOKUP(LOWER(TRIM(Raw_Export!C2063)),Maps!$A$2:$B$20,2,FALSE()),"UNMAPPED"))</f>
        <v>Mombasa</v>
      </c>
      <c r="D2063" s="36" t="str">
        <f aca="false">IF(Raw_Export!$A2063="","",IFERROR(VLOOKUP(LOWER(TRIM(Raw_Export!D2063)),Maps!$G$2:$I$80,2,FALSE()),"UNMAPPED"))</f>
        <v>Peanuts 250g</v>
      </c>
      <c r="E2063" s="36" t="str">
        <f aca="false">IF(Raw_Export!$A2063="","",IFERROR(VLOOKUP(LOWER(TRIM(Raw_Export!D2063)),Maps!$G$2:$I$80,3,FALSE()),"UNMAPPED"))</f>
        <v>Snacks</v>
      </c>
      <c r="F2063" s="36" t="n">
        <f aca="false">IF(Raw_Export!$A2063="","",IFERROR(VALUE(TRIM(Raw_Export!E2063)),0))</f>
        <v>1</v>
      </c>
      <c r="G2063" s="38" t="n">
        <f aca="false">IF(Raw_Export!$A2063="","",IFERROR(VALUE(SUBSTITUTE(SUBSTITUTE(UPPER(TRIM(Raw_Export!F2063)),"KES",""),",","")),0))</f>
        <v>130</v>
      </c>
      <c r="H2063" s="38" t="n">
        <f aca="false">IF(Raw_Export!$A2063="","",F2063*G2063)</f>
        <v>130</v>
      </c>
      <c r="I2063" s="36" t="str">
        <f aca="false">IF(Raw_Export!$A2063="","",IFERROR(VLOOKUP(LOWER(TRIM(Raw_Export!H2063)),Maps!$D$2:$E$12,2,FALSE()),"Other"))</f>
        <v>M-Pesa</v>
      </c>
      <c r="J2063" s="36" t="str">
        <f aca="false">IF(Raw_Export!$A2063="","",IF(COUNTIF($A$2:A2063,A2063)&gt;1,"Duplicate",""))</f>
        <v>Duplicate</v>
      </c>
      <c r="K2063" s="36" t="str">
        <f aca="false">IF(Raw_Export!$A2063="","",IF(J2063="Duplicate","Duplicate",IF(OR(C2063="UNMAPPED",D2063="UNMAPPED"),"Unmapped",IF(F2063=0,"Blank qty",IF(F2063&lt;0,"Return","OK")))))</f>
        <v>Duplicate</v>
      </c>
      <c r="L2063" s="36" t="n">
        <f aca="false">IF(Raw_Export!$A2063="","",IF(OR(K2063="OK",K2063="Return"),1,0))</f>
        <v>0</v>
      </c>
      <c r="M2063" s="37" t="n">
        <f aca="false">IF(Raw_Export!$A2063="","",B2063-WEEKDAY(B2063,2)+1)</f>
        <v>46272</v>
      </c>
    </row>
    <row r="2064" customFormat="false" ht="15" hidden="false" customHeight="false" outlineLevel="0" collapsed="false">
      <c r="A2064" s="36" t="str">
        <f aca="false">IF(Raw_Export!$A2064="","",TRIM(Raw_Export!A2064))</f>
        <v>TXN-102023</v>
      </c>
      <c r="B2064" s="37" t="n">
        <f aca="false">IF(Raw_Export!$A2064="","",IF(ISNUMBER(Raw_Export!B2064),Raw_Export!B2064,IF(MID(TRIM(Raw_Export!B2064),5,1)="-",DATE(LEFT(TRIM(Raw_Export!B2064),4),MID(TRIM(Raw_Export!B2064),6,2),RIGHT(TRIM(Raw_Export!B2064),2)),DATE(RIGHT(TRIM(Raw_Export!B2064),4),MATCH(MID(TRIM(Raw_Export!B2064),4,3),{"Jan","Feb","Mar","Apr","May","Jun","Jul","Aug","Sep","Oct","Nov","Dec"},0),LEFT(TRIM(Raw_Export!B2064),2)))))</f>
        <v>46278</v>
      </c>
      <c r="C2064" s="36" t="str">
        <f aca="false">IF(Raw_Export!$A2064="","",IFERROR(VLOOKUP(LOWER(TRIM(Raw_Export!C2064)),Maps!$A$2:$B$20,2,FALSE()),"UNMAPPED"))</f>
        <v>Nairobi CBD</v>
      </c>
      <c r="D2064" s="36" t="str">
        <f aca="false">IF(Raw_Export!$A2064="","",IFERROR(VLOOKUP(LOWER(TRIM(Raw_Export!D2064)),Maps!$G$2:$I$80,2,FALSE()),"UNMAPPED"))</f>
        <v>Coffee 100g</v>
      </c>
      <c r="E2064" s="36" t="str">
        <f aca="false">IF(Raw_Export!$A2064="","",IFERROR(VLOOKUP(LOWER(TRIM(Raw_Export!D2064)),Maps!$G$2:$I$80,3,FALSE()),"UNMAPPED"))</f>
        <v>Beverages</v>
      </c>
      <c r="F2064" s="36" t="n">
        <f aca="false">IF(Raw_Export!$A2064="","",IFERROR(VALUE(TRIM(Raw_Export!E2064)),0))</f>
        <v>1</v>
      </c>
      <c r="G2064" s="38" t="n">
        <f aca="false">IF(Raw_Export!$A2064="","",IFERROR(VALUE(SUBSTITUTE(SUBSTITUTE(UPPER(TRIM(Raw_Export!F2064)),"KES",""),",","")),0))</f>
        <v>360</v>
      </c>
      <c r="H2064" s="38" t="n">
        <f aca="false">IF(Raw_Export!$A2064="","",F2064*G2064)</f>
        <v>360</v>
      </c>
      <c r="I2064" s="36" t="str">
        <f aca="false">IF(Raw_Export!$A2064="","",IFERROR(VLOOKUP(LOWER(TRIM(Raw_Export!H2064)),Maps!$D$2:$E$12,2,FALSE()),"Other"))</f>
        <v>Cash</v>
      </c>
      <c r="J2064" s="36" t="str">
        <f aca="false">IF(Raw_Export!$A2064="","",IF(COUNTIF($A$2:A2064,A2064)&gt;1,"Duplicate",""))</f>
        <v/>
      </c>
      <c r="K2064" s="36" t="str">
        <f aca="false">IF(Raw_Export!$A2064="","",IF(J2064="Duplicate","Duplicate",IF(OR(C2064="UNMAPPED",D2064="UNMAPPED"),"Unmapped",IF(F2064=0,"Blank qty",IF(F2064&lt;0,"Return","OK")))))</f>
        <v>OK</v>
      </c>
      <c r="L2064" s="36" t="n">
        <f aca="false">IF(Raw_Export!$A2064="","",IF(OR(K2064="OK",K2064="Return"),1,0))</f>
        <v>1</v>
      </c>
      <c r="M2064" s="37" t="n">
        <f aca="false">IF(Raw_Export!$A2064="","",B2064-WEEKDAY(B2064,2)+1)</f>
        <v>46272</v>
      </c>
    </row>
    <row r="2065" customFormat="false" ht="15" hidden="false" customHeight="false" outlineLevel="0" collapsed="false">
      <c r="A2065" s="36" t="str">
        <f aca="false">IF(Raw_Export!$A2065="","",TRIM(Raw_Export!A2065))</f>
        <v>TXN-102024</v>
      </c>
      <c r="B2065" s="37" t="n">
        <f aca="false">IF(Raw_Export!$A2065="","",IF(ISNUMBER(Raw_Export!B2065),Raw_Export!B2065,IF(MID(TRIM(Raw_Export!B2065),5,1)="-",DATE(LEFT(TRIM(Raw_Export!B2065),4),MID(TRIM(Raw_Export!B2065),6,2),RIGHT(TRIM(Raw_Export!B2065),2)),DATE(RIGHT(TRIM(Raw_Export!B2065),4),MATCH(MID(TRIM(Raw_Export!B2065),4,3),{"Jan","Feb","Mar","Apr","May","Jun","Jul","Aug","Sep","Oct","Nov","Dec"},0),LEFT(TRIM(Raw_Export!B2065),2)))))</f>
        <v>46278</v>
      </c>
      <c r="C2065" s="36" t="str">
        <f aca="false">IF(Raw_Export!$A2065="","",IFERROR(VLOOKUP(LOWER(TRIM(Raw_Export!C2065)),Maps!$A$2:$B$20,2,FALSE()),"UNMAPPED"))</f>
        <v>Nairobi CBD</v>
      </c>
      <c r="D2065" s="36" t="str">
        <f aca="false">IF(Raw_Export!$A2065="","",IFERROR(VLOOKUP(LOWER(TRIM(Raw_Export!D2065)),Maps!$G$2:$I$80,2,FALSE()),"UNMAPPED"))</f>
        <v>Sanitary Pads 8pk</v>
      </c>
      <c r="E2065" s="36" t="str">
        <f aca="false">IF(Raw_Export!$A2065="","",IFERROR(VLOOKUP(LOWER(TRIM(Raw_Export!D2065)),Maps!$G$2:$I$80,3,FALSE()),"UNMAPPED"))</f>
        <v>Personal Care</v>
      </c>
      <c r="F2065" s="36" t="n">
        <f aca="false">IF(Raw_Export!$A2065="","",IFERROR(VALUE(TRIM(Raw_Export!E2065)),0))</f>
        <v>4</v>
      </c>
      <c r="G2065" s="38" t="n">
        <f aca="false">IF(Raw_Export!$A2065="","",IFERROR(VALUE(SUBSTITUTE(SUBSTITUTE(UPPER(TRIM(Raw_Export!F2065)),"KES",""),",","")),0))</f>
        <v>130</v>
      </c>
      <c r="H2065" s="38" t="n">
        <f aca="false">IF(Raw_Export!$A2065="","",F2065*G2065)</f>
        <v>520</v>
      </c>
      <c r="I2065" s="36" t="str">
        <f aca="false">IF(Raw_Export!$A2065="","",IFERROR(VLOOKUP(LOWER(TRIM(Raw_Export!H2065)),Maps!$D$2:$E$12,2,FALSE()),"Other"))</f>
        <v>Cash</v>
      </c>
      <c r="J2065" s="36" t="str">
        <f aca="false">IF(Raw_Export!$A2065="","",IF(COUNTIF($A$2:A2065,A2065)&gt;1,"Duplicate",""))</f>
        <v/>
      </c>
      <c r="K2065" s="36" t="str">
        <f aca="false">IF(Raw_Export!$A2065="","",IF(J2065="Duplicate","Duplicate",IF(OR(C2065="UNMAPPED",D2065="UNMAPPED"),"Unmapped",IF(F2065=0,"Blank qty",IF(F2065&lt;0,"Return","OK")))))</f>
        <v>OK</v>
      </c>
      <c r="L2065" s="36" t="n">
        <f aca="false">IF(Raw_Export!$A2065="","",IF(OR(K2065="OK",K2065="Return"),1,0))</f>
        <v>1</v>
      </c>
      <c r="M2065" s="37" t="n">
        <f aca="false">IF(Raw_Export!$A2065="","",B2065-WEEKDAY(B2065,2)+1)</f>
        <v>46272</v>
      </c>
    </row>
    <row r="2066" customFormat="false" ht="15" hidden="false" customHeight="false" outlineLevel="0" collapsed="false">
      <c r="A2066" s="36" t="str">
        <f aca="false">IF(Raw_Export!$A2066="","",TRIM(Raw_Export!A2066))</f>
        <v>TXN-102025</v>
      </c>
      <c r="B2066" s="37" t="n">
        <f aca="false">IF(Raw_Export!$A2066="","",IF(ISNUMBER(Raw_Export!B2066),Raw_Export!B2066,IF(MID(TRIM(Raw_Export!B2066),5,1)="-",DATE(LEFT(TRIM(Raw_Export!B2066),4),MID(TRIM(Raw_Export!B2066),6,2),RIGHT(TRIM(Raw_Export!B2066),2)),DATE(RIGHT(TRIM(Raw_Export!B2066),4),MATCH(MID(TRIM(Raw_Export!B2066),4,3),{"Jan","Feb","Mar","Apr","May","Jun","Jul","Aug","Sep","Oct","Nov","Dec"},0),LEFT(TRIM(Raw_Export!B2066),2)))))</f>
        <v>46278</v>
      </c>
      <c r="C2066" s="36" t="str">
        <f aca="false">IF(Raw_Export!$A2066="","",IFERROR(VLOOKUP(LOWER(TRIM(Raw_Export!C2066)),Maps!$A$2:$B$20,2,FALSE()),"UNMAPPED"))</f>
        <v>Nairobi CBD</v>
      </c>
      <c r="D2066" s="36" t="str">
        <f aca="false">IF(Raw_Export!$A2066="","",IFERROR(VLOOKUP(LOWER(TRIM(Raw_Export!D2066)),Maps!$G$2:$I$80,2,FALSE()),"UNMAPPED"))</f>
        <v>Soda 500ml</v>
      </c>
      <c r="E2066" s="36" t="str">
        <f aca="false">IF(Raw_Export!$A2066="","",IFERROR(VLOOKUP(LOWER(TRIM(Raw_Export!D2066)),Maps!$G$2:$I$80,3,FALSE()),"UNMAPPED"))</f>
        <v>Beverages</v>
      </c>
      <c r="F2066" s="36" t="n">
        <f aca="false">IF(Raw_Export!$A2066="","",IFERROR(VALUE(TRIM(Raw_Export!E2066)),0))</f>
        <v>1</v>
      </c>
      <c r="G2066" s="38" t="n">
        <f aca="false">IF(Raw_Export!$A2066="","",IFERROR(VALUE(SUBSTITUTE(SUBSTITUTE(UPPER(TRIM(Raw_Export!F2066)),"KES",""),",","")),0))</f>
        <v>54</v>
      </c>
      <c r="H2066" s="38" t="n">
        <f aca="false">IF(Raw_Export!$A2066="","",F2066*G2066)</f>
        <v>54</v>
      </c>
      <c r="I2066" s="36" t="str">
        <f aca="false">IF(Raw_Export!$A2066="","",IFERROR(VLOOKUP(LOWER(TRIM(Raw_Export!H2066)),Maps!$D$2:$E$12,2,FALSE()),"Other"))</f>
        <v>M-Pesa</v>
      </c>
      <c r="J2066" s="36" t="str">
        <f aca="false">IF(Raw_Export!$A2066="","",IF(COUNTIF($A$2:A2066,A2066)&gt;1,"Duplicate",""))</f>
        <v/>
      </c>
      <c r="K2066" s="36" t="str">
        <f aca="false">IF(Raw_Export!$A2066="","",IF(J2066="Duplicate","Duplicate",IF(OR(C2066="UNMAPPED",D2066="UNMAPPED"),"Unmapped",IF(F2066=0,"Blank qty",IF(F2066&lt;0,"Return","OK")))))</f>
        <v>OK</v>
      </c>
      <c r="L2066" s="36" t="n">
        <f aca="false">IF(Raw_Export!$A2066="","",IF(OR(K2066="OK",K2066="Return"),1,0))</f>
        <v>1</v>
      </c>
      <c r="M2066" s="37" t="n">
        <f aca="false">IF(Raw_Export!$A2066="","",B2066-WEEKDAY(B2066,2)+1)</f>
        <v>46272</v>
      </c>
    </row>
    <row r="2067" customFormat="false" ht="15" hidden="false" customHeight="false" outlineLevel="0" collapsed="false">
      <c r="A2067" s="36" t="str">
        <f aca="false">IF(Raw_Export!$A2067="","",TRIM(Raw_Export!A2067))</f>
        <v>TXN-102093</v>
      </c>
      <c r="B2067" s="37" t="n">
        <f aca="false">IF(Raw_Export!$A2067="","",IF(ISNUMBER(Raw_Export!B2067),Raw_Export!B2067,IF(MID(TRIM(Raw_Export!B2067),5,1)="-",DATE(LEFT(TRIM(Raw_Export!B2067),4),MID(TRIM(Raw_Export!B2067),6,2),RIGHT(TRIM(Raw_Export!B2067),2)),DATE(RIGHT(TRIM(Raw_Export!B2067),4),MATCH(MID(TRIM(Raw_Export!B2067),4,3),{"Jan","Feb","Mar","Apr","May","Jun","Jul","Aug","Sep","Oct","Nov","Dec"},0),LEFT(TRIM(Raw_Export!B2067),2)))))</f>
        <v>46278</v>
      </c>
      <c r="C2067" s="36" t="str">
        <f aca="false">IF(Raw_Export!$A2067="","",IFERROR(VLOOKUP(LOWER(TRIM(Raw_Export!C2067)),Maps!$A$2:$B$20,2,FALSE()),"UNMAPPED"))</f>
        <v>Mombasa</v>
      </c>
      <c r="D2067" s="36" t="str">
        <f aca="false">IF(Raw_Export!$A2067="","",IFERROR(VLOOKUP(LOWER(TRIM(Raw_Export!D2067)),Maps!$G$2:$I$80,2,FALSE()),"UNMAPPED"))</f>
        <v>Tea Leaves 250g</v>
      </c>
      <c r="E2067" s="36" t="str">
        <f aca="false">IF(Raw_Export!$A2067="","",IFERROR(VLOOKUP(LOWER(TRIM(Raw_Export!D2067)),Maps!$G$2:$I$80,3,FALSE()),"UNMAPPED"))</f>
        <v>Beverages</v>
      </c>
      <c r="F2067" s="36" t="n">
        <f aca="false">IF(Raw_Export!$A2067="","",IFERROR(VALUE(TRIM(Raw_Export!E2067)),0))</f>
        <v>1</v>
      </c>
      <c r="G2067" s="38" t="n">
        <f aca="false">IF(Raw_Export!$A2067="","",IFERROR(VALUE(SUBSTITUTE(SUBSTITUTE(UPPER(TRIM(Raw_Export!F2067)),"KES",""),",","")),0))</f>
        <v>150</v>
      </c>
      <c r="H2067" s="38" t="n">
        <f aca="false">IF(Raw_Export!$A2067="","",F2067*G2067)</f>
        <v>150</v>
      </c>
      <c r="I2067" s="36" t="str">
        <f aca="false">IF(Raw_Export!$A2067="","",IFERROR(VLOOKUP(LOWER(TRIM(Raw_Export!H2067)),Maps!$D$2:$E$12,2,FALSE()),"Other"))</f>
        <v>Cash</v>
      </c>
      <c r="J2067" s="36" t="str">
        <f aca="false">IF(Raw_Export!$A2067="","",IF(COUNTIF($A$2:A2067,A2067)&gt;1,"Duplicate",""))</f>
        <v/>
      </c>
      <c r="K2067" s="36" t="str">
        <f aca="false">IF(Raw_Export!$A2067="","",IF(J2067="Duplicate","Duplicate",IF(OR(C2067="UNMAPPED",D2067="UNMAPPED"),"Unmapped",IF(F2067=0,"Blank qty",IF(F2067&lt;0,"Return","OK")))))</f>
        <v>OK</v>
      </c>
      <c r="L2067" s="36" t="n">
        <f aca="false">IF(Raw_Export!$A2067="","",IF(OR(K2067="OK",K2067="Return"),1,0))</f>
        <v>1</v>
      </c>
      <c r="M2067" s="37" t="n">
        <f aca="false">IF(Raw_Export!$A2067="","",B2067-WEEKDAY(B2067,2)+1)</f>
        <v>46272</v>
      </c>
    </row>
    <row r="2068" customFormat="false" ht="15" hidden="false" customHeight="false" outlineLevel="0" collapsed="false">
      <c r="A2068" s="36" t="str">
        <f aca="false">IF(Raw_Export!$A2068="","",TRIM(Raw_Export!A2068))</f>
        <v>TXN-102026</v>
      </c>
      <c r="B2068" s="37" t="n">
        <f aca="false">IF(Raw_Export!$A2068="","",IF(ISNUMBER(Raw_Export!B2068),Raw_Export!B2068,IF(MID(TRIM(Raw_Export!B2068),5,1)="-",DATE(LEFT(TRIM(Raw_Export!B2068),4),MID(TRIM(Raw_Export!B2068),6,2),RIGHT(TRIM(Raw_Export!B2068),2)),DATE(RIGHT(TRIM(Raw_Export!B2068),4),MATCH(MID(TRIM(Raw_Export!B2068),4,3),{"Jan","Feb","Mar","Apr","May","Jun","Jul","Aug","Sep","Oct","Nov","Dec"},0),LEFT(TRIM(Raw_Export!B2068),2)))))</f>
        <v>46278</v>
      </c>
      <c r="C2068" s="36" t="str">
        <f aca="false">IF(Raw_Export!$A2068="","",IFERROR(VLOOKUP(LOWER(TRIM(Raw_Export!C2068)),Maps!$A$2:$B$20,2,FALSE()),"UNMAPPED"))</f>
        <v>Nairobi CBD</v>
      </c>
      <c r="D2068" s="36" t="str">
        <f aca="false">IF(Raw_Export!$A2068="","",IFERROR(VLOOKUP(LOWER(TRIM(Raw_Export!D2068)),Maps!$G$2:$I$80,2,FALSE()),"UNMAPPED"))</f>
        <v>Crisps 100g</v>
      </c>
      <c r="E2068" s="36" t="str">
        <f aca="false">IF(Raw_Export!$A2068="","",IFERROR(VLOOKUP(LOWER(TRIM(Raw_Export!D2068)),Maps!$G$2:$I$80,3,FALSE()),"UNMAPPED"))</f>
        <v>Snacks</v>
      </c>
      <c r="F2068" s="36" t="n">
        <f aca="false">IF(Raw_Export!$A2068="","",IFERROR(VALUE(TRIM(Raw_Export!E2068)),0))</f>
        <v>6</v>
      </c>
      <c r="G2068" s="38" t="n">
        <f aca="false">IF(Raw_Export!$A2068="","",IFERROR(VALUE(SUBSTITUTE(SUBSTITUTE(UPPER(TRIM(Raw_Export!F2068)),"KES",""),",","")),0))</f>
        <v>80</v>
      </c>
      <c r="H2068" s="38" t="n">
        <f aca="false">IF(Raw_Export!$A2068="","",F2068*G2068)</f>
        <v>480</v>
      </c>
      <c r="I2068" s="36" t="str">
        <f aca="false">IF(Raw_Export!$A2068="","",IFERROR(VLOOKUP(LOWER(TRIM(Raw_Export!H2068)),Maps!$D$2:$E$12,2,FALSE()),"Other"))</f>
        <v>M-Pesa</v>
      </c>
      <c r="J2068" s="36" t="str">
        <f aca="false">IF(Raw_Export!$A2068="","",IF(COUNTIF($A$2:A2068,A2068)&gt;1,"Duplicate",""))</f>
        <v/>
      </c>
      <c r="K2068" s="36" t="str">
        <f aca="false">IF(Raw_Export!$A2068="","",IF(J2068="Duplicate","Duplicate",IF(OR(C2068="UNMAPPED",D2068="UNMAPPED"),"Unmapped",IF(F2068=0,"Blank qty",IF(F2068&lt;0,"Return","OK")))))</f>
        <v>OK</v>
      </c>
      <c r="L2068" s="36" t="n">
        <f aca="false">IF(Raw_Export!$A2068="","",IF(OR(K2068="OK",K2068="Return"),1,0))</f>
        <v>1</v>
      </c>
      <c r="M2068" s="37" t="n">
        <f aca="false">IF(Raw_Export!$A2068="","",B2068-WEEKDAY(B2068,2)+1)</f>
        <v>46272</v>
      </c>
    </row>
    <row r="2069" customFormat="false" ht="15" hidden="false" customHeight="false" outlineLevel="0" collapsed="false">
      <c r="A2069" s="36" t="str">
        <f aca="false">IF(Raw_Export!$A2069="","",TRIM(Raw_Export!A2069))</f>
        <v>TXN-102027</v>
      </c>
      <c r="B2069" s="37" t="n">
        <f aca="false">IF(Raw_Export!$A2069="","",IF(ISNUMBER(Raw_Export!B2069),Raw_Export!B2069,IF(MID(TRIM(Raw_Export!B2069),5,1)="-",DATE(LEFT(TRIM(Raw_Export!B2069),4),MID(TRIM(Raw_Export!B2069),6,2),RIGHT(TRIM(Raw_Export!B2069),2)),DATE(RIGHT(TRIM(Raw_Export!B2069),4),MATCH(MID(TRIM(Raw_Export!B2069),4,3),{"Jan","Feb","Mar","Apr","May","Jun","Jul","Aug","Sep","Oct","Nov","Dec"},0),LEFT(TRIM(Raw_Export!B2069),2)))))</f>
        <v>46278</v>
      </c>
      <c r="C2069" s="36" t="str">
        <f aca="false">IF(Raw_Export!$A2069="","",IFERROR(VLOOKUP(LOWER(TRIM(Raw_Export!C2069)),Maps!$A$2:$B$20,2,FALSE()),"UNMAPPED"))</f>
        <v>Nairobi CBD</v>
      </c>
      <c r="D2069" s="36" t="str">
        <f aca="false">IF(Raw_Export!$A2069="","",IFERROR(VLOOKUP(LOWER(TRIM(Raw_Export!D2069)),Maps!$G$2:$I$80,2,FALSE()),"UNMAPPED"))</f>
        <v>Soda 500ml</v>
      </c>
      <c r="E2069" s="36" t="str">
        <f aca="false">IF(Raw_Export!$A2069="","",IFERROR(VLOOKUP(LOWER(TRIM(Raw_Export!D2069)),Maps!$G$2:$I$80,3,FALSE()),"UNMAPPED"))</f>
        <v>Beverages</v>
      </c>
      <c r="F2069" s="36" t="n">
        <f aca="false">IF(Raw_Export!$A2069="","",IFERROR(VALUE(TRIM(Raw_Export!E2069)),0))</f>
        <v>3</v>
      </c>
      <c r="G2069" s="38" t="n">
        <f aca="false">IF(Raw_Export!$A2069="","",IFERROR(VALUE(SUBSTITUTE(SUBSTITUTE(UPPER(TRIM(Raw_Export!F2069)),"KES",""),",","")),0))</f>
        <v>60</v>
      </c>
      <c r="H2069" s="38" t="n">
        <f aca="false">IF(Raw_Export!$A2069="","",F2069*G2069)</f>
        <v>180</v>
      </c>
      <c r="I2069" s="36" t="str">
        <f aca="false">IF(Raw_Export!$A2069="","",IFERROR(VLOOKUP(LOWER(TRIM(Raw_Export!H2069)),Maps!$D$2:$E$12,2,FALSE()),"Other"))</f>
        <v>Cash</v>
      </c>
      <c r="J2069" s="36" t="str">
        <f aca="false">IF(Raw_Export!$A2069="","",IF(COUNTIF($A$2:A2069,A2069)&gt;1,"Duplicate",""))</f>
        <v/>
      </c>
      <c r="K2069" s="36" t="str">
        <f aca="false">IF(Raw_Export!$A2069="","",IF(J2069="Duplicate","Duplicate",IF(OR(C2069="UNMAPPED",D2069="UNMAPPED"),"Unmapped",IF(F2069=0,"Blank qty",IF(F2069&lt;0,"Return","OK")))))</f>
        <v>OK</v>
      </c>
      <c r="L2069" s="36" t="n">
        <f aca="false">IF(Raw_Export!$A2069="","",IF(OR(K2069="OK",K2069="Return"),1,0))</f>
        <v>1</v>
      </c>
      <c r="M2069" s="37" t="n">
        <f aca="false">IF(Raw_Export!$A2069="","",B2069-WEEKDAY(B2069,2)+1)</f>
        <v>46272</v>
      </c>
    </row>
    <row r="2070" customFormat="false" ht="15" hidden="false" customHeight="false" outlineLevel="0" collapsed="false">
      <c r="A2070" s="36" t="str">
        <f aca="false">IF(Raw_Export!$A2070="","",TRIM(Raw_Export!A2070))</f>
        <v>TXN-102028</v>
      </c>
      <c r="B2070" s="37" t="n">
        <f aca="false">IF(Raw_Export!$A2070="","",IF(ISNUMBER(Raw_Export!B2070),Raw_Export!B2070,IF(MID(TRIM(Raw_Export!B2070),5,1)="-",DATE(LEFT(TRIM(Raw_Export!B2070),4),MID(TRIM(Raw_Export!B2070),6,2),RIGHT(TRIM(Raw_Export!B2070),2)),DATE(RIGHT(TRIM(Raw_Export!B2070),4),MATCH(MID(TRIM(Raw_Export!B2070),4,3),{"Jan","Feb","Mar","Apr","May","Jun","Jul","Aug","Sep","Oct","Nov","Dec"},0),LEFT(TRIM(Raw_Export!B2070),2)))))</f>
        <v>46278</v>
      </c>
      <c r="C2070" s="36" t="str">
        <f aca="false">IF(Raw_Export!$A2070="","",IFERROR(VLOOKUP(LOWER(TRIM(Raw_Export!C2070)),Maps!$A$2:$B$20,2,FALSE()),"UNMAPPED"))</f>
        <v>Nairobi CBD</v>
      </c>
      <c r="D2070" s="36" t="str">
        <f aca="false">IF(Raw_Export!$A2070="","",IFERROR(VLOOKUP(LOWER(TRIM(Raw_Export!D2070)),Maps!$G$2:$I$80,2,FALSE()),"UNMAPPED"))</f>
        <v>Spaghetti 400g</v>
      </c>
      <c r="E2070" s="36" t="str">
        <f aca="false">IF(Raw_Export!$A2070="","",IFERROR(VLOOKUP(LOWER(TRIM(Raw_Export!D2070)),Maps!$G$2:$I$80,3,FALSE()),"UNMAPPED"))</f>
        <v>Staples</v>
      </c>
      <c r="F2070" s="36" t="n">
        <f aca="false">IF(Raw_Export!$A2070="","",IFERROR(VALUE(TRIM(Raw_Export!E2070)),0))</f>
        <v>3</v>
      </c>
      <c r="G2070" s="38" t="n">
        <f aca="false">IF(Raw_Export!$A2070="","",IFERROR(VALUE(SUBSTITUTE(SUBSTITUTE(UPPER(TRIM(Raw_Export!F2070)),"KES",""),",","")),0))</f>
        <v>110</v>
      </c>
      <c r="H2070" s="38" t="n">
        <f aca="false">IF(Raw_Export!$A2070="","",F2070*G2070)</f>
        <v>330</v>
      </c>
      <c r="I2070" s="36" t="str">
        <f aca="false">IF(Raw_Export!$A2070="","",IFERROR(VLOOKUP(LOWER(TRIM(Raw_Export!H2070)),Maps!$D$2:$E$12,2,FALSE()),"Other"))</f>
        <v>Cash</v>
      </c>
      <c r="J2070" s="36" t="str">
        <f aca="false">IF(Raw_Export!$A2070="","",IF(COUNTIF($A$2:A2070,A2070)&gt;1,"Duplicate",""))</f>
        <v/>
      </c>
      <c r="K2070" s="36" t="str">
        <f aca="false">IF(Raw_Export!$A2070="","",IF(J2070="Duplicate","Duplicate",IF(OR(C2070="UNMAPPED",D2070="UNMAPPED"),"Unmapped",IF(F2070=0,"Blank qty",IF(F2070&lt;0,"Return","OK")))))</f>
        <v>OK</v>
      </c>
      <c r="L2070" s="36" t="n">
        <f aca="false">IF(Raw_Export!$A2070="","",IF(OR(K2070="OK",K2070="Return"),1,0))</f>
        <v>1</v>
      </c>
      <c r="M2070" s="37" t="n">
        <f aca="false">IF(Raw_Export!$A2070="","",B2070-WEEKDAY(B2070,2)+1)</f>
        <v>46272</v>
      </c>
    </row>
    <row r="2071" customFormat="false" ht="15" hidden="false" customHeight="false" outlineLevel="0" collapsed="false">
      <c r="A2071" s="36" t="str">
        <f aca="false">IF(Raw_Export!$A2071="","",TRIM(Raw_Export!A2071))</f>
        <v>TXN-102029</v>
      </c>
      <c r="B2071" s="37" t="n">
        <f aca="false">IF(Raw_Export!$A2071="","",IF(ISNUMBER(Raw_Export!B2071),Raw_Export!B2071,IF(MID(TRIM(Raw_Export!B2071),5,1)="-",DATE(LEFT(TRIM(Raw_Export!B2071),4),MID(TRIM(Raw_Export!B2071),6,2),RIGHT(TRIM(Raw_Export!B2071),2)),DATE(RIGHT(TRIM(Raw_Export!B2071),4),MATCH(MID(TRIM(Raw_Export!B2071),4,3),{"Jan","Feb","Mar","Apr","May","Jun","Jul","Aug","Sep","Oct","Nov","Dec"},0),LEFT(TRIM(Raw_Export!B2071),2)))))</f>
        <v>46278</v>
      </c>
      <c r="C2071" s="36" t="str">
        <f aca="false">IF(Raw_Export!$A2071="","",IFERROR(VLOOKUP(LOWER(TRIM(Raw_Export!C2071)),Maps!$A$2:$B$20,2,FALSE()),"UNMAPPED"))</f>
        <v>Nairobi CBD</v>
      </c>
      <c r="D2071" s="36" t="str">
        <f aca="false">IF(Raw_Export!$A2071="","",IFERROR(VLOOKUP(LOWER(TRIM(Raw_Export!D2071)),Maps!$G$2:$I$80,2,FALSE()),"UNMAPPED"))</f>
        <v>Deodorant 150ml</v>
      </c>
      <c r="E2071" s="36" t="str">
        <f aca="false">IF(Raw_Export!$A2071="","",IFERROR(VLOOKUP(LOWER(TRIM(Raw_Export!D2071)),Maps!$G$2:$I$80,3,FALSE()),"UNMAPPED"))</f>
        <v>Personal Care</v>
      </c>
      <c r="F2071" s="36" t="n">
        <f aca="false">IF(Raw_Export!$A2071="","",IFERROR(VALUE(TRIM(Raw_Export!E2071)),0))</f>
        <v>6</v>
      </c>
      <c r="G2071" s="38" t="n">
        <f aca="false">IF(Raw_Export!$A2071="","",IFERROR(VALUE(SUBSTITUTE(SUBSTITUTE(UPPER(TRIM(Raw_Export!F2071)),"KES",""),",","")),0))</f>
        <v>350</v>
      </c>
      <c r="H2071" s="38" t="n">
        <f aca="false">IF(Raw_Export!$A2071="","",F2071*G2071)</f>
        <v>2100</v>
      </c>
      <c r="I2071" s="36" t="str">
        <f aca="false">IF(Raw_Export!$A2071="","",IFERROR(VLOOKUP(LOWER(TRIM(Raw_Export!H2071)),Maps!$D$2:$E$12,2,FALSE()),"Other"))</f>
        <v>Card</v>
      </c>
      <c r="J2071" s="36" t="str">
        <f aca="false">IF(Raw_Export!$A2071="","",IF(COUNTIF($A$2:A2071,A2071)&gt;1,"Duplicate",""))</f>
        <v/>
      </c>
      <c r="K2071" s="36" t="str">
        <f aca="false">IF(Raw_Export!$A2071="","",IF(J2071="Duplicate","Duplicate",IF(OR(C2071="UNMAPPED",D2071="UNMAPPED"),"Unmapped",IF(F2071=0,"Blank qty",IF(F2071&lt;0,"Return","OK")))))</f>
        <v>OK</v>
      </c>
      <c r="L2071" s="36" t="n">
        <f aca="false">IF(Raw_Export!$A2071="","",IF(OR(K2071="OK",K2071="Return"),1,0))</f>
        <v>1</v>
      </c>
      <c r="M2071" s="37" t="n">
        <f aca="false">IF(Raw_Export!$A2071="","",B2071-WEEKDAY(B2071,2)+1)</f>
        <v>46272</v>
      </c>
    </row>
    <row r="2072" customFormat="false" ht="15" hidden="false" customHeight="false" outlineLevel="0" collapsed="false">
      <c r="A2072" s="36" t="str">
        <f aca="false">IF(Raw_Export!$A2072="","",TRIM(Raw_Export!A2072))</f>
        <v>TXN-102030</v>
      </c>
      <c r="B2072" s="37" t="n">
        <f aca="false">IF(Raw_Export!$A2072="","",IF(ISNUMBER(Raw_Export!B2072),Raw_Export!B2072,IF(MID(TRIM(Raw_Export!B2072),5,1)="-",DATE(LEFT(TRIM(Raw_Export!B2072),4),MID(TRIM(Raw_Export!B2072),6,2),RIGHT(TRIM(Raw_Export!B2072),2)),DATE(RIGHT(TRIM(Raw_Export!B2072),4),MATCH(MID(TRIM(Raw_Export!B2072),4,3),{"Jan","Feb","Mar","Apr","May","Jun","Jul","Aug","Sep","Oct","Nov","Dec"},0),LEFT(TRIM(Raw_Export!B2072),2)))))</f>
        <v>46278</v>
      </c>
      <c r="C2072" s="36" t="str">
        <f aca="false">IF(Raw_Export!$A2072="","",IFERROR(VLOOKUP(LOWER(TRIM(Raw_Export!C2072)),Maps!$A$2:$B$20,2,FALSE()),"UNMAPPED"))</f>
        <v>Nairobi CBD</v>
      </c>
      <c r="D2072" s="36" t="str">
        <f aca="false">IF(Raw_Export!$A2072="","",IFERROR(VLOOKUP(LOWER(TRIM(Raw_Export!D2072)),Maps!$G$2:$I$80,2,FALSE()),"UNMAPPED"))</f>
        <v>Sanitary Pads 8pk</v>
      </c>
      <c r="E2072" s="36" t="str">
        <f aca="false">IF(Raw_Export!$A2072="","",IFERROR(VLOOKUP(LOWER(TRIM(Raw_Export!D2072)),Maps!$G$2:$I$80,3,FALSE()),"UNMAPPED"))</f>
        <v>Personal Care</v>
      </c>
      <c r="F2072" s="36" t="n">
        <f aca="false">IF(Raw_Export!$A2072="","",IFERROR(VALUE(TRIM(Raw_Export!E2072)),0))</f>
        <v>6</v>
      </c>
      <c r="G2072" s="38" t="n">
        <f aca="false">IF(Raw_Export!$A2072="","",IFERROR(VALUE(SUBSTITUTE(SUBSTITUTE(UPPER(TRIM(Raw_Export!F2072)),"KES",""),",","")),0))</f>
        <v>130</v>
      </c>
      <c r="H2072" s="38" t="n">
        <f aca="false">IF(Raw_Export!$A2072="","",F2072*G2072)</f>
        <v>780</v>
      </c>
      <c r="I2072" s="36" t="str">
        <f aca="false">IF(Raw_Export!$A2072="","",IFERROR(VLOOKUP(LOWER(TRIM(Raw_Export!H2072)),Maps!$D$2:$E$12,2,FALSE()),"Other"))</f>
        <v>M-Pesa</v>
      </c>
      <c r="J2072" s="36" t="str">
        <f aca="false">IF(Raw_Export!$A2072="","",IF(COUNTIF($A$2:A2072,A2072)&gt;1,"Duplicate",""))</f>
        <v/>
      </c>
      <c r="K2072" s="36" t="str">
        <f aca="false">IF(Raw_Export!$A2072="","",IF(J2072="Duplicate","Duplicate",IF(OR(C2072="UNMAPPED",D2072="UNMAPPED"),"Unmapped",IF(F2072=0,"Blank qty",IF(F2072&lt;0,"Return","OK")))))</f>
        <v>OK</v>
      </c>
      <c r="L2072" s="36" t="n">
        <f aca="false">IF(Raw_Export!$A2072="","",IF(OR(K2072="OK",K2072="Return"),1,0))</f>
        <v>1</v>
      </c>
      <c r="M2072" s="37" t="n">
        <f aca="false">IF(Raw_Export!$A2072="","",B2072-WEEKDAY(B2072,2)+1)</f>
        <v>46272</v>
      </c>
    </row>
    <row r="2073" customFormat="false" ht="15" hidden="false" customHeight="false" outlineLevel="0" collapsed="false">
      <c r="A2073" s="36" t="str">
        <f aca="false">IF(Raw_Export!$A2073="","",TRIM(Raw_Export!A2073))</f>
        <v>TXN-102031</v>
      </c>
      <c r="B2073" s="37" t="n">
        <f aca="false">IF(Raw_Export!$A2073="","",IF(ISNUMBER(Raw_Export!B2073),Raw_Export!B2073,IF(MID(TRIM(Raw_Export!B2073),5,1)="-",DATE(LEFT(TRIM(Raw_Export!B2073),4),MID(TRIM(Raw_Export!B2073),6,2),RIGHT(TRIM(Raw_Export!B2073),2)),DATE(RIGHT(TRIM(Raw_Export!B2073),4),MATCH(MID(TRIM(Raw_Export!B2073),4,3),{"Jan","Feb","Mar","Apr","May","Jun","Jul","Aug","Sep","Oct","Nov","Dec"},0),LEFT(TRIM(Raw_Export!B2073),2)))))</f>
        <v>46278</v>
      </c>
      <c r="C2073" s="36" t="str">
        <f aca="false">IF(Raw_Export!$A2073="","",IFERROR(VLOOKUP(LOWER(TRIM(Raw_Export!C2073)),Maps!$A$2:$B$20,2,FALSE()),"UNMAPPED"))</f>
        <v>Nairobi CBD</v>
      </c>
      <c r="D2073" s="36" t="str">
        <f aca="false">IF(Raw_Export!$A2073="","",IFERROR(VLOOKUP(LOWER(TRIM(Raw_Export!D2073)),Maps!$G$2:$I$80,2,FALSE()),"UNMAPPED"))</f>
        <v>Cooking Oil 1L</v>
      </c>
      <c r="E2073" s="36" t="str">
        <f aca="false">IF(Raw_Export!$A2073="","",IFERROR(VLOOKUP(LOWER(TRIM(Raw_Export!D2073)),Maps!$G$2:$I$80,3,FALSE()),"UNMAPPED"))</f>
        <v>Staples</v>
      </c>
      <c r="F2073" s="36" t="n">
        <f aca="false">IF(Raw_Export!$A2073="","",IFERROR(VALUE(TRIM(Raw_Export!E2073)),0))</f>
        <v>1</v>
      </c>
      <c r="G2073" s="38" t="n">
        <f aca="false">IF(Raw_Export!$A2073="","",IFERROR(VALUE(SUBSTITUTE(SUBSTITUTE(UPPER(TRIM(Raw_Export!F2073)),"KES",""),",","")),0))</f>
        <v>330</v>
      </c>
      <c r="H2073" s="38" t="n">
        <f aca="false">IF(Raw_Export!$A2073="","",F2073*G2073)</f>
        <v>330</v>
      </c>
      <c r="I2073" s="36" t="str">
        <f aca="false">IF(Raw_Export!$A2073="","",IFERROR(VLOOKUP(LOWER(TRIM(Raw_Export!H2073)),Maps!$D$2:$E$12,2,FALSE()),"Other"))</f>
        <v>Card</v>
      </c>
      <c r="J2073" s="36" t="str">
        <f aca="false">IF(Raw_Export!$A2073="","",IF(COUNTIF($A$2:A2073,A2073)&gt;1,"Duplicate",""))</f>
        <v/>
      </c>
      <c r="K2073" s="36" t="str">
        <f aca="false">IF(Raw_Export!$A2073="","",IF(J2073="Duplicate","Duplicate",IF(OR(C2073="UNMAPPED",D2073="UNMAPPED"),"Unmapped",IF(F2073=0,"Blank qty",IF(F2073&lt;0,"Return","OK")))))</f>
        <v>OK</v>
      </c>
      <c r="L2073" s="36" t="n">
        <f aca="false">IF(Raw_Export!$A2073="","",IF(OR(K2073="OK",K2073="Return"),1,0))</f>
        <v>1</v>
      </c>
      <c r="M2073" s="37" t="n">
        <f aca="false">IF(Raw_Export!$A2073="","",B2073-WEEKDAY(B2073,2)+1)</f>
        <v>46272</v>
      </c>
    </row>
    <row r="2074" customFormat="false" ht="15" hidden="false" customHeight="false" outlineLevel="0" collapsed="false">
      <c r="A2074" s="36" t="str">
        <f aca="false">IF(Raw_Export!$A2074="","",TRIM(Raw_Export!A2074))</f>
        <v>TXN-102032</v>
      </c>
      <c r="B2074" s="37" t="n">
        <f aca="false">IF(Raw_Export!$A2074="","",IF(ISNUMBER(Raw_Export!B2074),Raw_Export!B2074,IF(MID(TRIM(Raw_Export!B2074),5,1)="-",DATE(LEFT(TRIM(Raw_Export!B2074),4),MID(TRIM(Raw_Export!B2074),6,2),RIGHT(TRIM(Raw_Export!B2074),2)),DATE(RIGHT(TRIM(Raw_Export!B2074),4),MATCH(MID(TRIM(Raw_Export!B2074),4,3),{"Jan","Feb","Mar","Apr","May","Jun","Jul","Aug","Sep","Oct","Nov","Dec"},0),LEFT(TRIM(Raw_Export!B2074),2)))))</f>
        <v>46278</v>
      </c>
      <c r="C2074" s="36" t="str">
        <f aca="false">IF(Raw_Export!$A2074="","",IFERROR(VLOOKUP(LOWER(TRIM(Raw_Export!C2074)),Maps!$A$2:$B$20,2,FALSE()),"UNMAPPED"))</f>
        <v>Nairobi CBD</v>
      </c>
      <c r="D2074" s="36" t="str">
        <f aca="false">IF(Raw_Export!$A2074="","",IFERROR(VLOOKUP(LOWER(TRIM(Raw_Export!D2074)),Maps!$G$2:$I$80,2,FALSE()),"UNMAPPED"))</f>
        <v>Soda 500ml</v>
      </c>
      <c r="E2074" s="36" t="str">
        <f aca="false">IF(Raw_Export!$A2074="","",IFERROR(VLOOKUP(LOWER(TRIM(Raw_Export!D2074)),Maps!$G$2:$I$80,3,FALSE()),"UNMAPPED"))</f>
        <v>Beverages</v>
      </c>
      <c r="F2074" s="36" t="n">
        <f aca="false">IF(Raw_Export!$A2074="","",IFERROR(VALUE(TRIM(Raw_Export!E2074)),0))</f>
        <v>1</v>
      </c>
      <c r="G2074" s="38" t="n">
        <f aca="false">IF(Raw_Export!$A2074="","",IFERROR(VALUE(SUBSTITUTE(SUBSTITUTE(UPPER(TRIM(Raw_Export!F2074)),"KES",""),",","")),0))</f>
        <v>60</v>
      </c>
      <c r="H2074" s="38" t="n">
        <f aca="false">IF(Raw_Export!$A2074="","",F2074*G2074)</f>
        <v>60</v>
      </c>
      <c r="I2074" s="36" t="str">
        <f aca="false">IF(Raw_Export!$A2074="","",IFERROR(VLOOKUP(LOWER(TRIM(Raw_Export!H2074)),Maps!$D$2:$E$12,2,FALSE()),"Other"))</f>
        <v>M-Pesa</v>
      </c>
      <c r="J2074" s="36" t="str">
        <f aca="false">IF(Raw_Export!$A2074="","",IF(COUNTIF($A$2:A2074,A2074)&gt;1,"Duplicate",""))</f>
        <v/>
      </c>
      <c r="K2074" s="36" t="str">
        <f aca="false">IF(Raw_Export!$A2074="","",IF(J2074="Duplicate","Duplicate",IF(OR(C2074="UNMAPPED",D2074="UNMAPPED"),"Unmapped",IF(F2074=0,"Blank qty",IF(F2074&lt;0,"Return","OK")))))</f>
        <v>OK</v>
      </c>
      <c r="L2074" s="36" t="n">
        <f aca="false">IF(Raw_Export!$A2074="","",IF(OR(K2074="OK",K2074="Return"),1,0))</f>
        <v>1</v>
      </c>
      <c r="M2074" s="37" t="n">
        <f aca="false">IF(Raw_Export!$A2074="","",B2074-WEEKDAY(B2074,2)+1)</f>
        <v>46272</v>
      </c>
    </row>
    <row r="2075" customFormat="false" ht="15" hidden="false" customHeight="false" outlineLevel="0" collapsed="false">
      <c r="A2075" s="36" t="str">
        <f aca="false">IF(Raw_Export!$A2075="","",TRIM(Raw_Export!A2075))</f>
        <v>TXN-102033</v>
      </c>
      <c r="B2075" s="37" t="n">
        <f aca="false">IF(Raw_Export!$A2075="","",IF(ISNUMBER(Raw_Export!B2075),Raw_Export!B2075,IF(MID(TRIM(Raw_Export!B2075),5,1)="-",DATE(LEFT(TRIM(Raw_Export!B2075),4),MID(TRIM(Raw_Export!B2075),6,2),RIGHT(TRIM(Raw_Export!B2075),2)),DATE(RIGHT(TRIM(Raw_Export!B2075),4),MATCH(MID(TRIM(Raw_Export!B2075),4,3),{"Jan","Feb","Mar","Apr","May","Jun","Jul","Aug","Sep","Oct","Nov","Dec"},0),LEFT(TRIM(Raw_Export!B2075),2)))))</f>
        <v>46278</v>
      </c>
      <c r="C2075" s="36" t="str">
        <f aca="false">IF(Raw_Export!$A2075="","",IFERROR(VLOOKUP(LOWER(TRIM(Raw_Export!C2075)),Maps!$A$2:$B$20,2,FALSE()),"UNMAPPED"))</f>
        <v>Nairobi CBD</v>
      </c>
      <c r="D2075" s="36" t="str">
        <f aca="false">IF(Raw_Export!$A2075="","",IFERROR(VLOOKUP(LOWER(TRIM(Raw_Export!D2075)),Maps!$G$2:$I$80,2,FALSE()),"UNMAPPED"))</f>
        <v>Cooking Oil 1L</v>
      </c>
      <c r="E2075" s="36" t="str">
        <f aca="false">IF(Raw_Export!$A2075="","",IFERROR(VLOOKUP(LOWER(TRIM(Raw_Export!D2075)),Maps!$G$2:$I$80,3,FALSE()),"UNMAPPED"))</f>
        <v>Staples</v>
      </c>
      <c r="F2075" s="36" t="n">
        <f aca="false">IF(Raw_Export!$A2075="","",IFERROR(VALUE(TRIM(Raw_Export!E2075)),0))</f>
        <v>-1</v>
      </c>
      <c r="G2075" s="38" t="n">
        <f aca="false">IF(Raw_Export!$A2075="","",IFERROR(VALUE(SUBSTITUTE(SUBSTITUTE(UPPER(TRIM(Raw_Export!F2075)),"KES",""),",","")),0))</f>
        <v>330</v>
      </c>
      <c r="H2075" s="38" t="n">
        <f aca="false">IF(Raw_Export!$A2075="","",F2075*G2075)</f>
        <v>-330</v>
      </c>
      <c r="I2075" s="36" t="str">
        <f aca="false">IF(Raw_Export!$A2075="","",IFERROR(VLOOKUP(LOWER(TRIM(Raw_Export!H2075)),Maps!$D$2:$E$12,2,FALSE()),"Other"))</f>
        <v>M-Pesa</v>
      </c>
      <c r="J2075" s="36" t="str">
        <f aca="false">IF(Raw_Export!$A2075="","",IF(COUNTIF($A$2:A2075,A2075)&gt;1,"Duplicate",""))</f>
        <v/>
      </c>
      <c r="K2075" s="36" t="str">
        <f aca="false">IF(Raw_Export!$A2075="","",IF(J2075="Duplicate","Duplicate",IF(OR(C2075="UNMAPPED",D2075="UNMAPPED"),"Unmapped",IF(F2075=0,"Blank qty",IF(F2075&lt;0,"Return","OK")))))</f>
        <v>Return</v>
      </c>
      <c r="L2075" s="36" t="n">
        <f aca="false">IF(Raw_Export!$A2075="","",IF(OR(K2075="OK",K2075="Return"),1,0))</f>
        <v>1</v>
      </c>
      <c r="M2075" s="37" t="n">
        <f aca="false">IF(Raw_Export!$A2075="","",B2075-WEEKDAY(B2075,2)+1)</f>
        <v>46272</v>
      </c>
    </row>
    <row r="2076" customFormat="false" ht="15" hidden="false" customHeight="false" outlineLevel="0" collapsed="false">
      <c r="A2076" s="36" t="str">
        <f aca="false">IF(Raw_Export!$A2076="","",TRIM(Raw_Export!A2076))</f>
        <v>TXN-102034</v>
      </c>
      <c r="B2076" s="37" t="n">
        <f aca="false">IF(Raw_Export!$A2076="","",IF(ISNUMBER(Raw_Export!B2076),Raw_Export!B2076,IF(MID(TRIM(Raw_Export!B2076),5,1)="-",DATE(LEFT(TRIM(Raw_Export!B2076),4),MID(TRIM(Raw_Export!B2076),6,2),RIGHT(TRIM(Raw_Export!B2076),2)),DATE(RIGHT(TRIM(Raw_Export!B2076),4),MATCH(MID(TRIM(Raw_Export!B2076),4,3),{"Jan","Feb","Mar","Apr","May","Jun","Jul","Aug","Sep","Oct","Nov","Dec"},0),LEFT(TRIM(Raw_Export!B2076),2)))))</f>
        <v>46278</v>
      </c>
      <c r="C2076" s="36" t="str">
        <f aca="false">IF(Raw_Export!$A2076="","",IFERROR(VLOOKUP(LOWER(TRIM(Raw_Export!C2076)),Maps!$A$2:$B$20,2,FALSE()),"UNMAPPED"))</f>
        <v>Nairobi CBD</v>
      </c>
      <c r="D2076" s="36" t="str">
        <f aca="false">IF(Raw_Export!$A2076="","",IFERROR(VLOOKUP(LOWER(TRIM(Raw_Export!D2076)),Maps!$G$2:$I$80,2,FALSE()),"UNMAPPED"))</f>
        <v>Butter 250g</v>
      </c>
      <c r="E2076" s="36" t="str">
        <f aca="false">IF(Raw_Export!$A2076="","",IFERROR(VLOOKUP(LOWER(TRIM(Raw_Export!D2076)),Maps!$G$2:$I$80,3,FALSE()),"UNMAPPED"))</f>
        <v>Dairy &amp; Eggs</v>
      </c>
      <c r="F2076" s="36" t="n">
        <f aca="false">IF(Raw_Export!$A2076="","",IFERROR(VALUE(TRIM(Raw_Export!E2076)),0))</f>
        <v>2</v>
      </c>
      <c r="G2076" s="38" t="n">
        <f aca="false">IF(Raw_Export!$A2076="","",IFERROR(VALUE(SUBSTITUTE(SUBSTITUTE(UPPER(TRIM(Raw_Export!F2076)),"KES",""),",","")),0))</f>
        <v>310</v>
      </c>
      <c r="H2076" s="38" t="n">
        <f aca="false">IF(Raw_Export!$A2076="","",F2076*G2076)</f>
        <v>620</v>
      </c>
      <c r="I2076" s="36" t="str">
        <f aca="false">IF(Raw_Export!$A2076="","",IFERROR(VLOOKUP(LOWER(TRIM(Raw_Export!H2076)),Maps!$D$2:$E$12,2,FALSE()),"Other"))</f>
        <v>Cash</v>
      </c>
      <c r="J2076" s="36" t="str">
        <f aca="false">IF(Raw_Export!$A2076="","",IF(COUNTIF($A$2:A2076,A2076)&gt;1,"Duplicate",""))</f>
        <v/>
      </c>
      <c r="K2076" s="36" t="str">
        <f aca="false">IF(Raw_Export!$A2076="","",IF(J2076="Duplicate","Duplicate",IF(OR(C2076="UNMAPPED",D2076="UNMAPPED"),"Unmapped",IF(F2076=0,"Blank qty",IF(F2076&lt;0,"Return","OK")))))</f>
        <v>OK</v>
      </c>
      <c r="L2076" s="36" t="n">
        <f aca="false">IF(Raw_Export!$A2076="","",IF(OR(K2076="OK",K2076="Return"),1,0))</f>
        <v>1</v>
      </c>
      <c r="M2076" s="37" t="n">
        <f aca="false">IF(Raw_Export!$A2076="","",B2076-WEEKDAY(B2076,2)+1)</f>
        <v>46272</v>
      </c>
    </row>
    <row r="2077" customFormat="false" ht="15" hidden="false" customHeight="false" outlineLevel="0" collapsed="false">
      <c r="A2077" s="36" t="str">
        <f aca="false">IF(Raw_Export!$A2077="","",TRIM(Raw_Export!A2077))</f>
        <v>TXN-102035</v>
      </c>
      <c r="B2077" s="37" t="n">
        <f aca="false">IF(Raw_Export!$A2077="","",IF(ISNUMBER(Raw_Export!B2077),Raw_Export!B2077,IF(MID(TRIM(Raw_Export!B2077),5,1)="-",DATE(LEFT(TRIM(Raw_Export!B2077),4),MID(TRIM(Raw_Export!B2077),6,2),RIGHT(TRIM(Raw_Export!B2077),2)),DATE(RIGHT(TRIM(Raw_Export!B2077),4),MATCH(MID(TRIM(Raw_Export!B2077),4,3),{"Jan","Feb","Mar","Apr","May","Jun","Jul","Aug","Sep","Oct","Nov","Dec"},0),LEFT(TRIM(Raw_Export!B2077),2)))))</f>
        <v>46278</v>
      </c>
      <c r="C2077" s="36" t="str">
        <f aca="false">IF(Raw_Export!$A2077="","",IFERROR(VLOOKUP(LOWER(TRIM(Raw_Export!C2077)),Maps!$A$2:$B$20,2,FALSE()),"UNMAPPED"))</f>
        <v>Nairobi CBD</v>
      </c>
      <c r="D2077" s="36" t="str">
        <f aca="false">IF(Raw_Export!$A2077="","",IFERROR(VLOOKUP(LOWER(TRIM(Raw_Export!D2077)),Maps!$G$2:$I$80,2,FALSE()),"UNMAPPED"))</f>
        <v>Sanitary Pads 8pk</v>
      </c>
      <c r="E2077" s="36" t="str">
        <f aca="false">IF(Raw_Export!$A2077="","",IFERROR(VLOOKUP(LOWER(TRIM(Raw_Export!D2077)),Maps!$G$2:$I$80,3,FALSE()),"UNMAPPED"))</f>
        <v>Personal Care</v>
      </c>
      <c r="F2077" s="36" t="n">
        <f aca="false">IF(Raw_Export!$A2077="","",IFERROR(VALUE(TRIM(Raw_Export!E2077)),0))</f>
        <v>2</v>
      </c>
      <c r="G2077" s="38" t="n">
        <f aca="false">IF(Raw_Export!$A2077="","",IFERROR(VALUE(SUBSTITUTE(SUBSTITUTE(UPPER(TRIM(Raw_Export!F2077)),"KES",""),",","")),0))</f>
        <v>130</v>
      </c>
      <c r="H2077" s="38" t="n">
        <f aca="false">IF(Raw_Export!$A2077="","",F2077*G2077)</f>
        <v>260</v>
      </c>
      <c r="I2077" s="36" t="str">
        <f aca="false">IF(Raw_Export!$A2077="","",IFERROR(VLOOKUP(LOWER(TRIM(Raw_Export!H2077)),Maps!$D$2:$E$12,2,FALSE()),"Other"))</f>
        <v>M-Pesa</v>
      </c>
      <c r="J2077" s="36" t="str">
        <f aca="false">IF(Raw_Export!$A2077="","",IF(COUNTIF($A$2:A2077,A2077)&gt;1,"Duplicate",""))</f>
        <v/>
      </c>
      <c r="K2077" s="36" t="str">
        <f aca="false">IF(Raw_Export!$A2077="","",IF(J2077="Duplicate","Duplicate",IF(OR(C2077="UNMAPPED",D2077="UNMAPPED"),"Unmapped",IF(F2077=0,"Blank qty",IF(F2077&lt;0,"Return","OK")))))</f>
        <v>OK</v>
      </c>
      <c r="L2077" s="36" t="n">
        <f aca="false">IF(Raw_Export!$A2077="","",IF(OR(K2077="OK",K2077="Return"),1,0))</f>
        <v>1</v>
      </c>
      <c r="M2077" s="37" t="n">
        <f aca="false">IF(Raw_Export!$A2077="","",B2077-WEEKDAY(B2077,2)+1)</f>
        <v>46272</v>
      </c>
    </row>
    <row r="2078" customFormat="false" ht="15" hidden="false" customHeight="false" outlineLevel="0" collapsed="false">
      <c r="A2078" s="36" t="str">
        <f aca="false">IF(Raw_Export!$A2078="","",TRIM(Raw_Export!A2078))</f>
        <v>TXN-102036</v>
      </c>
      <c r="B2078" s="37" t="n">
        <f aca="false">IF(Raw_Export!$A2078="","",IF(ISNUMBER(Raw_Export!B2078),Raw_Export!B2078,IF(MID(TRIM(Raw_Export!B2078),5,1)="-",DATE(LEFT(TRIM(Raw_Export!B2078),4),MID(TRIM(Raw_Export!B2078),6,2),RIGHT(TRIM(Raw_Export!B2078),2)),DATE(RIGHT(TRIM(Raw_Export!B2078),4),MATCH(MID(TRIM(Raw_Export!B2078),4,3),{"Jan","Feb","Mar","Apr","May","Jun","Jul","Aug","Sep","Oct","Nov","Dec"},0),LEFT(TRIM(Raw_Export!B2078),2)))))</f>
        <v>46278</v>
      </c>
      <c r="C2078" s="36" t="str">
        <f aca="false">IF(Raw_Export!$A2078="","",IFERROR(VLOOKUP(LOWER(TRIM(Raw_Export!C2078)),Maps!$A$2:$B$20,2,FALSE()),"UNMAPPED"))</f>
        <v>Nairobi CBD</v>
      </c>
      <c r="D2078" s="36" t="str">
        <f aca="false">IF(Raw_Export!$A2078="","",IFERROR(VLOOKUP(LOWER(TRIM(Raw_Export!D2078)),Maps!$G$2:$I$80,2,FALSE()),"UNMAPPED"))</f>
        <v>Toothpaste 100g</v>
      </c>
      <c r="E2078" s="36" t="str">
        <f aca="false">IF(Raw_Export!$A2078="","",IFERROR(VLOOKUP(LOWER(TRIM(Raw_Export!D2078)),Maps!$G$2:$I$80,3,FALSE()),"UNMAPPED"))</f>
        <v>Personal Care</v>
      </c>
      <c r="F2078" s="36" t="n">
        <f aca="false">IF(Raw_Export!$A2078="","",IFERROR(VALUE(TRIM(Raw_Export!E2078)),0))</f>
        <v>6</v>
      </c>
      <c r="G2078" s="38" t="n">
        <f aca="false">IF(Raw_Export!$A2078="","",IFERROR(VALUE(SUBSTITUTE(SUBSTITUTE(UPPER(TRIM(Raw_Export!F2078)),"KES",""),",","")),0))</f>
        <v>195</v>
      </c>
      <c r="H2078" s="38" t="n">
        <f aca="false">IF(Raw_Export!$A2078="","",F2078*G2078)</f>
        <v>1170</v>
      </c>
      <c r="I2078" s="36" t="str">
        <f aca="false">IF(Raw_Export!$A2078="","",IFERROR(VLOOKUP(LOWER(TRIM(Raw_Export!H2078)),Maps!$D$2:$E$12,2,FALSE()),"Other"))</f>
        <v>Card</v>
      </c>
      <c r="J2078" s="36" t="str">
        <f aca="false">IF(Raw_Export!$A2078="","",IF(COUNTIF($A$2:A2078,A2078)&gt;1,"Duplicate",""))</f>
        <v/>
      </c>
      <c r="K2078" s="36" t="str">
        <f aca="false">IF(Raw_Export!$A2078="","",IF(J2078="Duplicate","Duplicate",IF(OR(C2078="UNMAPPED",D2078="UNMAPPED"),"Unmapped",IF(F2078=0,"Blank qty",IF(F2078&lt;0,"Return","OK")))))</f>
        <v>OK</v>
      </c>
      <c r="L2078" s="36" t="n">
        <f aca="false">IF(Raw_Export!$A2078="","",IF(OR(K2078="OK",K2078="Return"),1,0))</f>
        <v>1</v>
      </c>
      <c r="M2078" s="37" t="n">
        <f aca="false">IF(Raw_Export!$A2078="","",B2078-WEEKDAY(B2078,2)+1)</f>
        <v>46272</v>
      </c>
    </row>
    <row r="2079" customFormat="false" ht="15" hidden="false" customHeight="false" outlineLevel="0" collapsed="false">
      <c r="A2079" s="36" t="str">
        <f aca="false">IF(Raw_Export!$A2079="","",TRIM(Raw_Export!A2079))</f>
        <v>TXN-102037</v>
      </c>
      <c r="B2079" s="37" t="n">
        <f aca="false">IF(Raw_Export!$A2079="","",IF(ISNUMBER(Raw_Export!B2079),Raw_Export!B2079,IF(MID(TRIM(Raw_Export!B2079),5,1)="-",DATE(LEFT(TRIM(Raw_Export!B2079),4),MID(TRIM(Raw_Export!B2079),6,2),RIGHT(TRIM(Raw_Export!B2079),2)),DATE(RIGHT(TRIM(Raw_Export!B2079),4),MATCH(MID(TRIM(Raw_Export!B2079),4,3),{"Jan","Feb","Mar","Apr","May","Jun","Jul","Aug","Sep","Oct","Nov","Dec"},0),LEFT(TRIM(Raw_Export!B2079),2)))))</f>
        <v>46278</v>
      </c>
      <c r="C2079" s="36" t="str">
        <f aca="false">IF(Raw_Export!$A2079="","",IFERROR(VLOOKUP(LOWER(TRIM(Raw_Export!C2079)),Maps!$A$2:$B$20,2,FALSE()),"UNMAPPED"))</f>
        <v>Nairobi CBD</v>
      </c>
      <c r="D2079" s="36" t="str">
        <f aca="false">IF(Raw_Export!$A2079="","",IFERROR(VLOOKUP(LOWER(TRIM(Raw_Export!D2079)),Maps!$G$2:$I$80,2,FALSE()),"UNMAPPED"))</f>
        <v>Deodorant 150ml</v>
      </c>
      <c r="E2079" s="36" t="str">
        <f aca="false">IF(Raw_Export!$A2079="","",IFERROR(VLOOKUP(LOWER(TRIM(Raw_Export!D2079)),Maps!$G$2:$I$80,3,FALSE()),"UNMAPPED"))</f>
        <v>Personal Care</v>
      </c>
      <c r="F2079" s="36" t="n">
        <f aca="false">IF(Raw_Export!$A2079="","",IFERROR(VALUE(TRIM(Raw_Export!E2079)),0))</f>
        <v>1</v>
      </c>
      <c r="G2079" s="38" t="n">
        <f aca="false">IF(Raw_Export!$A2079="","",IFERROR(VALUE(SUBSTITUTE(SUBSTITUTE(UPPER(TRIM(Raw_Export!F2079)),"KES",""),",","")),0))</f>
        <v>350</v>
      </c>
      <c r="H2079" s="38" t="n">
        <f aca="false">IF(Raw_Export!$A2079="","",F2079*G2079)</f>
        <v>350</v>
      </c>
      <c r="I2079" s="36" t="str">
        <f aca="false">IF(Raw_Export!$A2079="","",IFERROR(VLOOKUP(LOWER(TRIM(Raw_Export!H2079)),Maps!$D$2:$E$12,2,FALSE()),"Other"))</f>
        <v>M-Pesa</v>
      </c>
      <c r="J2079" s="36" t="str">
        <f aca="false">IF(Raw_Export!$A2079="","",IF(COUNTIF($A$2:A2079,A2079)&gt;1,"Duplicate",""))</f>
        <v/>
      </c>
      <c r="K2079" s="36" t="str">
        <f aca="false">IF(Raw_Export!$A2079="","",IF(J2079="Duplicate","Duplicate",IF(OR(C2079="UNMAPPED",D2079="UNMAPPED"),"Unmapped",IF(F2079=0,"Blank qty",IF(F2079&lt;0,"Return","OK")))))</f>
        <v>OK</v>
      </c>
      <c r="L2079" s="36" t="n">
        <f aca="false">IF(Raw_Export!$A2079="","",IF(OR(K2079="OK",K2079="Return"),1,0))</f>
        <v>1</v>
      </c>
      <c r="M2079" s="37" t="n">
        <f aca="false">IF(Raw_Export!$A2079="","",B2079-WEEKDAY(B2079,2)+1)</f>
        <v>46272</v>
      </c>
    </row>
    <row r="2080" customFormat="false" ht="15" hidden="false" customHeight="false" outlineLevel="0" collapsed="false">
      <c r="A2080" s="36" t="str">
        <f aca="false">IF(Raw_Export!$A2080="","",TRIM(Raw_Export!A2080))</f>
        <v>TXN-102038</v>
      </c>
      <c r="B2080" s="37" t="n">
        <f aca="false">IF(Raw_Export!$A2080="","",IF(ISNUMBER(Raw_Export!B2080),Raw_Export!B2080,IF(MID(TRIM(Raw_Export!B2080),5,1)="-",DATE(LEFT(TRIM(Raw_Export!B2080),4),MID(TRIM(Raw_Export!B2080),6,2),RIGHT(TRIM(Raw_Export!B2080),2)),DATE(RIGHT(TRIM(Raw_Export!B2080),4),MATCH(MID(TRIM(Raw_Export!B2080),4,3),{"Jan","Feb","Mar","Apr","May","Jun","Jul","Aug","Sep","Oct","Nov","Dec"},0),LEFT(TRIM(Raw_Export!B2080),2)))))</f>
        <v>46278</v>
      </c>
      <c r="C2080" s="36" t="str">
        <f aca="false">IF(Raw_Export!$A2080="","",IFERROR(VLOOKUP(LOWER(TRIM(Raw_Export!C2080)),Maps!$A$2:$B$20,2,FALSE()),"UNMAPPED"))</f>
        <v>Nairobi CBD</v>
      </c>
      <c r="D2080" s="36" t="str">
        <f aca="false">IF(Raw_Export!$A2080="","",IFERROR(VLOOKUP(LOWER(TRIM(Raw_Export!D2080)),Maps!$G$2:$I$80,2,FALSE()),"UNMAPPED"))</f>
        <v>Sanitary Pads 8pk</v>
      </c>
      <c r="E2080" s="36" t="str">
        <f aca="false">IF(Raw_Export!$A2080="","",IFERROR(VLOOKUP(LOWER(TRIM(Raw_Export!D2080)),Maps!$G$2:$I$80,3,FALSE()),"UNMAPPED"))</f>
        <v>Personal Care</v>
      </c>
      <c r="F2080" s="36" t="n">
        <f aca="false">IF(Raw_Export!$A2080="","",IFERROR(VALUE(TRIM(Raw_Export!E2080)),0))</f>
        <v>1</v>
      </c>
      <c r="G2080" s="38" t="n">
        <f aca="false">IF(Raw_Export!$A2080="","",IFERROR(VALUE(SUBSTITUTE(SUBSTITUTE(UPPER(TRIM(Raw_Export!F2080)),"KES",""),",","")),0))</f>
        <v>117</v>
      </c>
      <c r="H2080" s="38" t="n">
        <f aca="false">IF(Raw_Export!$A2080="","",F2080*G2080)</f>
        <v>117</v>
      </c>
      <c r="I2080" s="36" t="str">
        <f aca="false">IF(Raw_Export!$A2080="","",IFERROR(VLOOKUP(LOWER(TRIM(Raw_Export!H2080)),Maps!$D$2:$E$12,2,FALSE()),"Other"))</f>
        <v>M-Pesa</v>
      </c>
      <c r="J2080" s="36" t="str">
        <f aca="false">IF(Raw_Export!$A2080="","",IF(COUNTIF($A$2:A2080,A2080)&gt;1,"Duplicate",""))</f>
        <v/>
      </c>
      <c r="K2080" s="36" t="str">
        <f aca="false">IF(Raw_Export!$A2080="","",IF(J2080="Duplicate","Duplicate",IF(OR(C2080="UNMAPPED",D2080="UNMAPPED"),"Unmapped",IF(F2080=0,"Blank qty",IF(F2080&lt;0,"Return","OK")))))</f>
        <v>OK</v>
      </c>
      <c r="L2080" s="36" t="n">
        <f aca="false">IF(Raw_Export!$A2080="","",IF(OR(K2080="OK",K2080="Return"),1,0))</f>
        <v>1</v>
      </c>
      <c r="M2080" s="37" t="n">
        <f aca="false">IF(Raw_Export!$A2080="","",B2080-WEEKDAY(B2080,2)+1)</f>
        <v>46272</v>
      </c>
    </row>
    <row r="2081" customFormat="false" ht="15" hidden="false" customHeight="false" outlineLevel="0" collapsed="false">
      <c r="A2081" s="36" t="str">
        <f aca="false">IF(Raw_Export!$A2081="","",TRIM(Raw_Export!A2081))</f>
        <v>TXN-102039</v>
      </c>
      <c r="B2081" s="37" t="n">
        <f aca="false">IF(Raw_Export!$A2081="","",IF(ISNUMBER(Raw_Export!B2081),Raw_Export!B2081,IF(MID(TRIM(Raw_Export!B2081),5,1)="-",DATE(LEFT(TRIM(Raw_Export!B2081),4),MID(TRIM(Raw_Export!B2081),6,2),RIGHT(TRIM(Raw_Export!B2081),2)),DATE(RIGHT(TRIM(Raw_Export!B2081),4),MATCH(MID(TRIM(Raw_Export!B2081),4,3),{"Jan","Feb","Mar","Apr","May","Jun","Jul","Aug","Sep","Oct","Nov","Dec"},0),LEFT(TRIM(Raw_Export!B2081),2)))))</f>
        <v>46278</v>
      </c>
      <c r="C2081" s="36" t="str">
        <f aca="false">IF(Raw_Export!$A2081="","",IFERROR(VLOOKUP(LOWER(TRIM(Raw_Export!C2081)),Maps!$A$2:$B$20,2,FALSE()),"UNMAPPED"))</f>
        <v>Nairobi CBD</v>
      </c>
      <c r="D2081" s="36" t="str">
        <f aca="false">IF(Raw_Export!$A2081="","",IFERROR(VLOOKUP(LOWER(TRIM(Raw_Export!D2081)),Maps!$G$2:$I$80,2,FALSE()),"UNMAPPED"))</f>
        <v>Spaghetti 400g</v>
      </c>
      <c r="E2081" s="36" t="str">
        <f aca="false">IF(Raw_Export!$A2081="","",IFERROR(VLOOKUP(LOWER(TRIM(Raw_Export!D2081)),Maps!$G$2:$I$80,3,FALSE()),"UNMAPPED"))</f>
        <v>Staples</v>
      </c>
      <c r="F2081" s="36" t="n">
        <f aca="false">IF(Raw_Export!$A2081="","",IFERROR(VALUE(TRIM(Raw_Export!E2081)),0))</f>
        <v>3</v>
      </c>
      <c r="G2081" s="38" t="n">
        <f aca="false">IF(Raw_Export!$A2081="","",IFERROR(VALUE(SUBSTITUTE(SUBSTITUTE(UPPER(TRIM(Raw_Export!F2081)),"KES",""),",","")),0))</f>
        <v>110</v>
      </c>
      <c r="H2081" s="38" t="n">
        <f aca="false">IF(Raw_Export!$A2081="","",F2081*G2081)</f>
        <v>330</v>
      </c>
      <c r="I2081" s="36" t="str">
        <f aca="false">IF(Raw_Export!$A2081="","",IFERROR(VLOOKUP(LOWER(TRIM(Raw_Export!H2081)),Maps!$D$2:$E$12,2,FALSE()),"Other"))</f>
        <v>M-Pesa</v>
      </c>
      <c r="J2081" s="36" t="str">
        <f aca="false">IF(Raw_Export!$A2081="","",IF(COUNTIF($A$2:A2081,A2081)&gt;1,"Duplicate",""))</f>
        <v/>
      </c>
      <c r="K2081" s="36" t="str">
        <f aca="false">IF(Raw_Export!$A2081="","",IF(J2081="Duplicate","Duplicate",IF(OR(C2081="UNMAPPED",D2081="UNMAPPED"),"Unmapped",IF(F2081=0,"Blank qty",IF(F2081&lt;0,"Return","OK")))))</f>
        <v>OK</v>
      </c>
      <c r="L2081" s="36" t="n">
        <f aca="false">IF(Raw_Export!$A2081="","",IF(OR(K2081="OK",K2081="Return"),1,0))</f>
        <v>1</v>
      </c>
      <c r="M2081" s="37" t="n">
        <f aca="false">IF(Raw_Export!$A2081="","",B2081-WEEKDAY(B2081,2)+1)</f>
        <v>46272</v>
      </c>
    </row>
    <row r="2082" customFormat="false" ht="15" hidden="false" customHeight="false" outlineLevel="0" collapsed="false">
      <c r="A2082" s="36" t="str">
        <f aca="false">IF(Raw_Export!$A2082="","",TRIM(Raw_Export!A2082))</f>
        <v>TXN-102040</v>
      </c>
      <c r="B2082" s="37" t="n">
        <f aca="false">IF(Raw_Export!$A2082="","",IF(ISNUMBER(Raw_Export!B2082),Raw_Export!B2082,IF(MID(TRIM(Raw_Export!B2082),5,1)="-",DATE(LEFT(TRIM(Raw_Export!B2082),4),MID(TRIM(Raw_Export!B2082),6,2),RIGHT(TRIM(Raw_Export!B2082),2)),DATE(RIGHT(TRIM(Raw_Export!B2082),4),MATCH(MID(TRIM(Raw_Export!B2082),4,3),{"Jan","Feb","Mar","Apr","May","Jun","Jul","Aug","Sep","Oct","Nov","Dec"},0),LEFT(TRIM(Raw_Export!B2082),2)))))</f>
        <v>46278</v>
      </c>
      <c r="C2082" s="36" t="str">
        <f aca="false">IF(Raw_Export!$A2082="","",IFERROR(VLOOKUP(LOWER(TRIM(Raw_Export!C2082)),Maps!$A$2:$B$20,2,FALSE()),"UNMAPPED"))</f>
        <v>Nairobi CBD</v>
      </c>
      <c r="D2082" s="36" t="str">
        <f aca="false">IF(Raw_Export!$A2082="","",IFERROR(VLOOKUP(LOWER(TRIM(Raw_Export!D2082)),Maps!$G$2:$I$80,2,FALSE()),"UNMAPPED"))</f>
        <v>Unga Pembe 2kg</v>
      </c>
      <c r="E2082" s="36" t="str">
        <f aca="false">IF(Raw_Export!$A2082="","",IFERROR(VLOOKUP(LOWER(TRIM(Raw_Export!D2082)),Maps!$G$2:$I$80,3,FALSE()),"UNMAPPED"))</f>
        <v>Staples</v>
      </c>
      <c r="F2082" s="36" t="n">
        <f aca="false">IF(Raw_Export!$A2082="","",IFERROR(VALUE(TRIM(Raw_Export!E2082)),0))</f>
        <v>2</v>
      </c>
      <c r="G2082" s="38" t="n">
        <f aca="false">IF(Raw_Export!$A2082="","",IFERROR(VALUE(SUBSTITUTE(SUBSTITUTE(UPPER(TRIM(Raw_Export!F2082)),"KES",""),",","")),0))</f>
        <v>171</v>
      </c>
      <c r="H2082" s="38" t="n">
        <f aca="false">IF(Raw_Export!$A2082="","",F2082*G2082)</f>
        <v>342</v>
      </c>
      <c r="I2082" s="36" t="str">
        <f aca="false">IF(Raw_Export!$A2082="","",IFERROR(VLOOKUP(LOWER(TRIM(Raw_Export!H2082)),Maps!$D$2:$E$12,2,FALSE()),"Other"))</f>
        <v>Card</v>
      </c>
      <c r="J2082" s="36" t="str">
        <f aca="false">IF(Raw_Export!$A2082="","",IF(COUNTIF($A$2:A2082,A2082)&gt;1,"Duplicate",""))</f>
        <v/>
      </c>
      <c r="K2082" s="36" t="str">
        <f aca="false">IF(Raw_Export!$A2082="","",IF(J2082="Duplicate","Duplicate",IF(OR(C2082="UNMAPPED",D2082="UNMAPPED"),"Unmapped",IF(F2082=0,"Blank qty",IF(F2082&lt;0,"Return","OK")))))</f>
        <v>OK</v>
      </c>
      <c r="L2082" s="36" t="n">
        <f aca="false">IF(Raw_Export!$A2082="","",IF(OR(K2082="OK",K2082="Return"),1,0))</f>
        <v>1</v>
      </c>
      <c r="M2082" s="37" t="n">
        <f aca="false">IF(Raw_Export!$A2082="","",B2082-WEEKDAY(B2082,2)+1)</f>
        <v>46272</v>
      </c>
    </row>
    <row r="2083" customFormat="false" ht="15" hidden="false" customHeight="false" outlineLevel="0" collapsed="false">
      <c r="A2083" s="36" t="str">
        <f aca="false">IF(Raw_Export!$A2083="","",TRIM(Raw_Export!A2083))</f>
        <v>TXN-102041</v>
      </c>
      <c r="B2083" s="37" t="n">
        <f aca="false">IF(Raw_Export!$A2083="","",IF(ISNUMBER(Raw_Export!B2083),Raw_Export!B2083,IF(MID(TRIM(Raw_Export!B2083),5,1)="-",DATE(LEFT(TRIM(Raw_Export!B2083),4),MID(TRIM(Raw_Export!B2083),6,2),RIGHT(TRIM(Raw_Export!B2083),2)),DATE(RIGHT(TRIM(Raw_Export!B2083),4),MATCH(MID(TRIM(Raw_Export!B2083),4,3),{"Jan","Feb","Mar","Apr","May","Jun","Jul","Aug","Sep","Oct","Nov","Dec"},0),LEFT(TRIM(Raw_Export!B2083),2)))))</f>
        <v>46278</v>
      </c>
      <c r="C2083" s="36" t="str">
        <f aca="false">IF(Raw_Export!$A2083="","",IFERROR(VLOOKUP(LOWER(TRIM(Raw_Export!C2083)),Maps!$A$2:$B$20,2,FALSE()),"UNMAPPED"))</f>
        <v>Nairobi CBD</v>
      </c>
      <c r="D2083" s="36" t="str">
        <f aca="false">IF(Raw_Export!$A2083="","",IFERROR(VLOOKUP(LOWER(TRIM(Raw_Export!D2083)),Maps!$G$2:$I$80,2,FALSE()),"UNMAPPED"))</f>
        <v>Matches 10pk</v>
      </c>
      <c r="E2083" s="36" t="str">
        <f aca="false">IF(Raw_Export!$A2083="","",IFERROR(VLOOKUP(LOWER(TRIM(Raw_Export!D2083)),Maps!$G$2:$I$80,3,FALSE()),"UNMAPPED"))</f>
        <v>Household</v>
      </c>
      <c r="F2083" s="36" t="n">
        <f aca="false">IF(Raw_Export!$A2083="","",IFERROR(VALUE(TRIM(Raw_Export!E2083)),0))</f>
        <v>6</v>
      </c>
      <c r="G2083" s="38" t="n">
        <f aca="false">IF(Raw_Export!$A2083="","",IFERROR(VALUE(SUBSTITUTE(SUBSTITUTE(UPPER(TRIM(Raw_Export!F2083)),"KES",""),",","")),0))</f>
        <v>50</v>
      </c>
      <c r="H2083" s="38" t="n">
        <f aca="false">IF(Raw_Export!$A2083="","",F2083*G2083)</f>
        <v>300</v>
      </c>
      <c r="I2083" s="36" t="str">
        <f aca="false">IF(Raw_Export!$A2083="","",IFERROR(VLOOKUP(LOWER(TRIM(Raw_Export!H2083)),Maps!$D$2:$E$12,2,FALSE()),"Other"))</f>
        <v>Cash</v>
      </c>
      <c r="J2083" s="36" t="str">
        <f aca="false">IF(Raw_Export!$A2083="","",IF(COUNTIF($A$2:A2083,A2083)&gt;1,"Duplicate",""))</f>
        <v/>
      </c>
      <c r="K2083" s="36" t="str">
        <f aca="false">IF(Raw_Export!$A2083="","",IF(J2083="Duplicate","Duplicate",IF(OR(C2083="UNMAPPED",D2083="UNMAPPED"),"Unmapped",IF(F2083=0,"Blank qty",IF(F2083&lt;0,"Return","OK")))))</f>
        <v>OK</v>
      </c>
      <c r="L2083" s="36" t="n">
        <f aca="false">IF(Raw_Export!$A2083="","",IF(OR(K2083="OK",K2083="Return"),1,0))</f>
        <v>1</v>
      </c>
      <c r="M2083" s="37" t="n">
        <f aca="false">IF(Raw_Export!$A2083="","",B2083-WEEKDAY(B2083,2)+1)</f>
        <v>46272</v>
      </c>
    </row>
    <row r="2084" customFormat="false" ht="15" hidden="false" customHeight="false" outlineLevel="0" collapsed="false">
      <c r="A2084" s="36" t="str">
        <f aca="false">IF(Raw_Export!$A2084="","",TRIM(Raw_Export!A2084))</f>
        <v>TXN-102042</v>
      </c>
      <c r="B2084" s="37" t="n">
        <f aca="false">IF(Raw_Export!$A2084="","",IF(ISNUMBER(Raw_Export!B2084),Raw_Export!B2084,IF(MID(TRIM(Raw_Export!B2084),5,1)="-",DATE(LEFT(TRIM(Raw_Export!B2084),4),MID(TRIM(Raw_Export!B2084),6,2),RIGHT(TRIM(Raw_Export!B2084),2)),DATE(RIGHT(TRIM(Raw_Export!B2084),4),MATCH(MID(TRIM(Raw_Export!B2084),4,3),{"Jan","Feb","Mar","Apr","May","Jun","Jul","Aug","Sep","Oct","Nov","Dec"},0),LEFT(TRIM(Raw_Export!B2084),2)))))</f>
        <v>46278</v>
      </c>
      <c r="C2084" s="36" t="str">
        <f aca="false">IF(Raw_Export!$A2084="","",IFERROR(VLOOKUP(LOWER(TRIM(Raw_Export!C2084)),Maps!$A$2:$B$20,2,FALSE()),"UNMAPPED"))</f>
        <v>Nairobi CBD</v>
      </c>
      <c r="D2084" s="36" t="str">
        <f aca="false">IF(Raw_Export!$A2084="","",IFERROR(VLOOKUP(LOWER(TRIM(Raw_Export!D2084)),Maps!$G$2:$I$80,2,FALSE()),"UNMAPPED"))</f>
        <v>Crisps 100g</v>
      </c>
      <c r="E2084" s="36" t="str">
        <f aca="false">IF(Raw_Export!$A2084="","",IFERROR(VLOOKUP(LOWER(TRIM(Raw_Export!D2084)),Maps!$G$2:$I$80,3,FALSE()),"UNMAPPED"))</f>
        <v>Snacks</v>
      </c>
      <c r="F2084" s="36" t="n">
        <f aca="false">IF(Raw_Export!$A2084="","",IFERROR(VALUE(TRIM(Raw_Export!E2084)),0))</f>
        <v>3</v>
      </c>
      <c r="G2084" s="38" t="n">
        <f aca="false">IF(Raw_Export!$A2084="","",IFERROR(VALUE(SUBSTITUTE(SUBSTITUTE(UPPER(TRIM(Raw_Export!F2084)),"KES",""),",","")),0))</f>
        <v>80</v>
      </c>
      <c r="H2084" s="38" t="n">
        <f aca="false">IF(Raw_Export!$A2084="","",F2084*G2084)</f>
        <v>240</v>
      </c>
      <c r="I2084" s="36" t="str">
        <f aca="false">IF(Raw_Export!$A2084="","",IFERROR(VLOOKUP(LOWER(TRIM(Raw_Export!H2084)),Maps!$D$2:$E$12,2,FALSE()),"Other"))</f>
        <v>Card</v>
      </c>
      <c r="J2084" s="36" t="str">
        <f aca="false">IF(Raw_Export!$A2084="","",IF(COUNTIF($A$2:A2084,A2084)&gt;1,"Duplicate",""))</f>
        <v/>
      </c>
      <c r="K2084" s="36" t="str">
        <f aca="false">IF(Raw_Export!$A2084="","",IF(J2084="Duplicate","Duplicate",IF(OR(C2084="UNMAPPED",D2084="UNMAPPED"),"Unmapped",IF(F2084=0,"Blank qty",IF(F2084&lt;0,"Return","OK")))))</f>
        <v>OK</v>
      </c>
      <c r="L2084" s="36" t="n">
        <f aca="false">IF(Raw_Export!$A2084="","",IF(OR(K2084="OK",K2084="Return"),1,0))</f>
        <v>1</v>
      </c>
      <c r="M2084" s="37" t="n">
        <f aca="false">IF(Raw_Export!$A2084="","",B2084-WEEKDAY(B2084,2)+1)</f>
        <v>46272</v>
      </c>
    </row>
    <row r="2085" customFormat="false" ht="15" hidden="false" customHeight="false" outlineLevel="0" collapsed="false">
      <c r="A2085" s="36" t="str">
        <f aca="false">IF(Raw_Export!$A2085="","",TRIM(Raw_Export!A2085))</f>
        <v>TXN-102043</v>
      </c>
      <c r="B2085" s="37" t="n">
        <f aca="false">IF(Raw_Export!$A2085="","",IF(ISNUMBER(Raw_Export!B2085),Raw_Export!B2085,IF(MID(TRIM(Raw_Export!B2085),5,1)="-",DATE(LEFT(TRIM(Raw_Export!B2085),4),MID(TRIM(Raw_Export!B2085),6,2),RIGHT(TRIM(Raw_Export!B2085),2)),DATE(RIGHT(TRIM(Raw_Export!B2085),4),MATCH(MID(TRIM(Raw_Export!B2085),4,3),{"Jan","Feb","Mar","Apr","May","Jun","Jul","Aug","Sep","Oct","Nov","Dec"},0),LEFT(TRIM(Raw_Export!B2085),2)))))</f>
        <v>46278</v>
      </c>
      <c r="C2085" s="36" t="str">
        <f aca="false">IF(Raw_Export!$A2085="","",IFERROR(VLOOKUP(LOWER(TRIM(Raw_Export!C2085)),Maps!$A$2:$B$20,2,FALSE()),"UNMAPPED"))</f>
        <v>Nairobi CBD</v>
      </c>
      <c r="D2085" s="36" t="str">
        <f aca="false">IF(Raw_Export!$A2085="","",IFERROR(VLOOKUP(LOWER(TRIM(Raw_Export!D2085)),Maps!$G$2:$I$80,2,FALSE()),"UNMAPPED"))</f>
        <v>Cooking Oil 1L</v>
      </c>
      <c r="E2085" s="36" t="str">
        <f aca="false">IF(Raw_Export!$A2085="","",IFERROR(VLOOKUP(LOWER(TRIM(Raw_Export!D2085)),Maps!$G$2:$I$80,3,FALSE()),"UNMAPPED"))</f>
        <v>Staples</v>
      </c>
      <c r="F2085" s="36" t="n">
        <f aca="false">IF(Raw_Export!$A2085="","",IFERROR(VALUE(TRIM(Raw_Export!E2085)),0))</f>
        <v>3</v>
      </c>
      <c r="G2085" s="38" t="n">
        <f aca="false">IF(Raw_Export!$A2085="","",IFERROR(VALUE(SUBSTITUTE(SUBSTITUTE(UPPER(TRIM(Raw_Export!F2085)),"KES",""),",","")),0))</f>
        <v>330</v>
      </c>
      <c r="H2085" s="38" t="n">
        <f aca="false">IF(Raw_Export!$A2085="","",F2085*G2085)</f>
        <v>990</v>
      </c>
      <c r="I2085" s="36" t="str">
        <f aca="false">IF(Raw_Export!$A2085="","",IFERROR(VLOOKUP(LOWER(TRIM(Raw_Export!H2085)),Maps!$D$2:$E$12,2,FALSE()),"Other"))</f>
        <v>M-Pesa</v>
      </c>
      <c r="J2085" s="36" t="str">
        <f aca="false">IF(Raw_Export!$A2085="","",IF(COUNTIF($A$2:A2085,A2085)&gt;1,"Duplicate",""))</f>
        <v/>
      </c>
      <c r="K2085" s="36" t="str">
        <f aca="false">IF(Raw_Export!$A2085="","",IF(J2085="Duplicate","Duplicate",IF(OR(C2085="UNMAPPED",D2085="UNMAPPED"),"Unmapped",IF(F2085=0,"Blank qty",IF(F2085&lt;0,"Return","OK")))))</f>
        <v>OK</v>
      </c>
      <c r="L2085" s="36" t="n">
        <f aca="false">IF(Raw_Export!$A2085="","",IF(OR(K2085="OK",K2085="Return"),1,0))</f>
        <v>1</v>
      </c>
      <c r="M2085" s="37" t="n">
        <f aca="false">IF(Raw_Export!$A2085="","",B2085-WEEKDAY(B2085,2)+1)</f>
        <v>46272</v>
      </c>
    </row>
    <row r="2086" customFormat="false" ht="15" hidden="false" customHeight="false" outlineLevel="0" collapsed="false">
      <c r="A2086" s="36" t="str">
        <f aca="false">IF(Raw_Export!$A2086="","",TRIM(Raw_Export!A2086))</f>
        <v>TXN-102044</v>
      </c>
      <c r="B2086" s="37" t="n">
        <f aca="false">IF(Raw_Export!$A2086="","",IF(ISNUMBER(Raw_Export!B2086),Raw_Export!B2086,IF(MID(TRIM(Raw_Export!B2086),5,1)="-",DATE(LEFT(TRIM(Raw_Export!B2086),4),MID(TRIM(Raw_Export!B2086),6,2),RIGHT(TRIM(Raw_Export!B2086),2)),DATE(RIGHT(TRIM(Raw_Export!B2086),4),MATCH(MID(TRIM(Raw_Export!B2086),4,3),{"Jan","Feb","Mar","Apr","May","Jun","Jul","Aug","Sep","Oct","Nov","Dec"},0),LEFT(TRIM(Raw_Export!B2086),2)))))</f>
        <v>46278</v>
      </c>
      <c r="C2086" s="36" t="str">
        <f aca="false">IF(Raw_Export!$A2086="","",IFERROR(VLOOKUP(LOWER(TRIM(Raw_Export!C2086)),Maps!$A$2:$B$20,2,FALSE()),"UNMAPPED"))</f>
        <v>Nairobi CBD</v>
      </c>
      <c r="D2086" s="36" t="str">
        <f aca="false">IF(Raw_Export!$A2086="","",IFERROR(VLOOKUP(LOWER(TRIM(Raw_Export!D2086)),Maps!$G$2:$I$80,2,FALSE()),"UNMAPPED"))</f>
        <v>Bottled Water 1.5L</v>
      </c>
      <c r="E2086" s="36" t="str">
        <f aca="false">IF(Raw_Export!$A2086="","",IFERROR(VLOOKUP(LOWER(TRIM(Raw_Export!D2086)),Maps!$G$2:$I$80,3,FALSE()),"UNMAPPED"))</f>
        <v>Beverages</v>
      </c>
      <c r="F2086" s="36" t="n">
        <f aca="false">IF(Raw_Export!$A2086="","",IFERROR(VALUE(TRIM(Raw_Export!E2086)),0))</f>
        <v>2</v>
      </c>
      <c r="G2086" s="38" t="n">
        <f aca="false">IF(Raw_Export!$A2086="","",IFERROR(VALUE(SUBSTITUTE(SUBSTITUTE(UPPER(TRIM(Raw_Export!F2086)),"KES",""),",","")),0))</f>
        <v>90</v>
      </c>
      <c r="H2086" s="38" t="n">
        <f aca="false">IF(Raw_Export!$A2086="","",F2086*G2086)</f>
        <v>180</v>
      </c>
      <c r="I2086" s="36" t="str">
        <f aca="false">IF(Raw_Export!$A2086="","",IFERROR(VLOOKUP(LOWER(TRIM(Raw_Export!H2086)),Maps!$D$2:$E$12,2,FALSE()),"Other"))</f>
        <v>M-Pesa</v>
      </c>
      <c r="J2086" s="36" t="str">
        <f aca="false">IF(Raw_Export!$A2086="","",IF(COUNTIF($A$2:A2086,A2086)&gt;1,"Duplicate",""))</f>
        <v/>
      </c>
      <c r="K2086" s="36" t="str">
        <f aca="false">IF(Raw_Export!$A2086="","",IF(J2086="Duplicate","Duplicate",IF(OR(C2086="UNMAPPED",D2086="UNMAPPED"),"Unmapped",IF(F2086=0,"Blank qty",IF(F2086&lt;0,"Return","OK")))))</f>
        <v>OK</v>
      </c>
      <c r="L2086" s="36" t="n">
        <f aca="false">IF(Raw_Export!$A2086="","",IF(OR(K2086="OK",K2086="Return"),1,0))</f>
        <v>1</v>
      </c>
      <c r="M2086" s="37" t="n">
        <f aca="false">IF(Raw_Export!$A2086="","",B2086-WEEKDAY(B2086,2)+1)</f>
        <v>46272</v>
      </c>
    </row>
    <row r="2087" customFormat="false" ht="15" hidden="false" customHeight="false" outlineLevel="0" collapsed="false">
      <c r="A2087" s="36" t="str">
        <f aca="false">IF(Raw_Export!$A2087="","",TRIM(Raw_Export!A2087))</f>
        <v>TXN-102045</v>
      </c>
      <c r="B2087" s="37" t="n">
        <f aca="false">IF(Raw_Export!$A2087="","",IF(ISNUMBER(Raw_Export!B2087),Raw_Export!B2087,IF(MID(TRIM(Raw_Export!B2087),5,1)="-",DATE(LEFT(TRIM(Raw_Export!B2087),4),MID(TRIM(Raw_Export!B2087),6,2),RIGHT(TRIM(Raw_Export!B2087),2)),DATE(RIGHT(TRIM(Raw_Export!B2087),4),MATCH(MID(TRIM(Raw_Export!B2087),4,3),{"Jan","Feb","Mar","Apr","May","Jun","Jul","Aug","Sep","Oct","Nov","Dec"},0),LEFT(TRIM(Raw_Export!B2087),2)))))</f>
        <v>46278</v>
      </c>
      <c r="C2087" s="36" t="str">
        <f aca="false">IF(Raw_Export!$A2087="","",IFERROR(VLOOKUP(LOWER(TRIM(Raw_Export!C2087)),Maps!$A$2:$B$20,2,FALSE()),"UNMAPPED"))</f>
        <v>Westlands</v>
      </c>
      <c r="D2087" s="36" t="str">
        <f aca="false">IF(Raw_Export!$A2087="","",IFERROR(VLOOKUP(LOWER(TRIM(Raw_Export!D2087)),Maps!$G$2:$I$80,2,FALSE()),"UNMAPPED"))</f>
        <v>Tea Leaves 250g</v>
      </c>
      <c r="E2087" s="36" t="str">
        <f aca="false">IF(Raw_Export!$A2087="","",IFERROR(VLOOKUP(LOWER(TRIM(Raw_Export!D2087)),Maps!$G$2:$I$80,3,FALSE()),"UNMAPPED"))</f>
        <v>Beverages</v>
      </c>
      <c r="F2087" s="36" t="n">
        <f aca="false">IF(Raw_Export!$A2087="","",IFERROR(VALUE(TRIM(Raw_Export!E2087)),0))</f>
        <v>1</v>
      </c>
      <c r="G2087" s="38" t="n">
        <f aca="false">IF(Raw_Export!$A2087="","",IFERROR(VALUE(SUBSTITUTE(SUBSTITUTE(UPPER(TRIM(Raw_Export!F2087)),"KES",""),",","")),0))</f>
        <v>150</v>
      </c>
      <c r="H2087" s="38" t="n">
        <f aca="false">IF(Raw_Export!$A2087="","",F2087*G2087)</f>
        <v>150</v>
      </c>
      <c r="I2087" s="36" t="str">
        <f aca="false">IF(Raw_Export!$A2087="","",IFERROR(VLOOKUP(LOWER(TRIM(Raw_Export!H2087)),Maps!$D$2:$E$12,2,FALSE()),"Other"))</f>
        <v>M-Pesa</v>
      </c>
      <c r="J2087" s="36" t="str">
        <f aca="false">IF(Raw_Export!$A2087="","",IF(COUNTIF($A$2:A2087,A2087)&gt;1,"Duplicate",""))</f>
        <v/>
      </c>
      <c r="K2087" s="36" t="str">
        <f aca="false">IF(Raw_Export!$A2087="","",IF(J2087="Duplicate","Duplicate",IF(OR(C2087="UNMAPPED",D2087="UNMAPPED"),"Unmapped",IF(F2087=0,"Blank qty",IF(F2087&lt;0,"Return","OK")))))</f>
        <v>OK</v>
      </c>
      <c r="L2087" s="36" t="n">
        <f aca="false">IF(Raw_Export!$A2087="","",IF(OR(K2087="OK",K2087="Return"),1,0))</f>
        <v>1</v>
      </c>
      <c r="M2087" s="37" t="n">
        <f aca="false">IF(Raw_Export!$A2087="","",B2087-WEEKDAY(B2087,2)+1)</f>
        <v>46272</v>
      </c>
    </row>
    <row r="2088" customFormat="false" ht="15" hidden="false" customHeight="false" outlineLevel="0" collapsed="false">
      <c r="A2088" s="36" t="str">
        <f aca="false">IF(Raw_Export!$A2088="","",TRIM(Raw_Export!A2088))</f>
        <v>TXN-102046</v>
      </c>
      <c r="B2088" s="37" t="n">
        <f aca="false">IF(Raw_Export!$A2088="","",IF(ISNUMBER(Raw_Export!B2088),Raw_Export!B2088,IF(MID(TRIM(Raw_Export!B2088),5,1)="-",DATE(LEFT(TRIM(Raw_Export!B2088),4),MID(TRIM(Raw_Export!B2088),6,2),RIGHT(TRIM(Raw_Export!B2088),2)),DATE(RIGHT(TRIM(Raw_Export!B2088),4),MATCH(MID(TRIM(Raw_Export!B2088),4,3),{"Jan","Feb","Mar","Apr","May","Jun","Jul","Aug","Sep","Oct","Nov","Dec"},0),LEFT(TRIM(Raw_Export!B2088),2)))))</f>
        <v>46278</v>
      </c>
      <c r="C2088" s="36" t="str">
        <f aca="false">IF(Raw_Export!$A2088="","",IFERROR(VLOOKUP(LOWER(TRIM(Raw_Export!C2088)),Maps!$A$2:$B$20,2,FALSE()),"UNMAPPED"))</f>
        <v>Westlands</v>
      </c>
      <c r="D2088" s="36" t="str">
        <f aca="false">IF(Raw_Export!$A2088="","",IFERROR(VLOOKUP(LOWER(TRIM(Raw_Export!D2088)),Maps!$G$2:$I$80,2,FALSE()),"UNMAPPED"))</f>
        <v>Tea Leaves 250g</v>
      </c>
      <c r="E2088" s="36" t="str">
        <f aca="false">IF(Raw_Export!$A2088="","",IFERROR(VLOOKUP(LOWER(TRIM(Raw_Export!D2088)),Maps!$G$2:$I$80,3,FALSE()),"UNMAPPED"))</f>
        <v>Beverages</v>
      </c>
      <c r="F2088" s="36" t="n">
        <f aca="false">IF(Raw_Export!$A2088="","",IFERROR(VALUE(TRIM(Raw_Export!E2088)),0))</f>
        <v>3</v>
      </c>
      <c r="G2088" s="38" t="n">
        <f aca="false">IF(Raw_Export!$A2088="","",IFERROR(VALUE(SUBSTITUTE(SUBSTITUTE(UPPER(TRIM(Raw_Export!F2088)),"KES",""),",","")),0))</f>
        <v>150</v>
      </c>
      <c r="H2088" s="38" t="n">
        <f aca="false">IF(Raw_Export!$A2088="","",F2088*G2088)</f>
        <v>450</v>
      </c>
      <c r="I2088" s="36" t="str">
        <f aca="false">IF(Raw_Export!$A2088="","",IFERROR(VLOOKUP(LOWER(TRIM(Raw_Export!H2088)),Maps!$D$2:$E$12,2,FALSE()),"Other"))</f>
        <v>M-Pesa</v>
      </c>
      <c r="J2088" s="36" t="str">
        <f aca="false">IF(Raw_Export!$A2088="","",IF(COUNTIF($A$2:A2088,A2088)&gt;1,"Duplicate",""))</f>
        <v/>
      </c>
      <c r="K2088" s="36" t="str">
        <f aca="false">IF(Raw_Export!$A2088="","",IF(J2088="Duplicate","Duplicate",IF(OR(C2088="UNMAPPED",D2088="UNMAPPED"),"Unmapped",IF(F2088=0,"Blank qty",IF(F2088&lt;0,"Return","OK")))))</f>
        <v>OK</v>
      </c>
      <c r="L2088" s="36" t="n">
        <f aca="false">IF(Raw_Export!$A2088="","",IF(OR(K2088="OK",K2088="Return"),1,0))</f>
        <v>1</v>
      </c>
      <c r="M2088" s="37" t="n">
        <f aca="false">IF(Raw_Export!$A2088="","",B2088-WEEKDAY(B2088,2)+1)</f>
        <v>46272</v>
      </c>
    </row>
    <row r="2089" customFormat="false" ht="15" hidden="false" customHeight="false" outlineLevel="0" collapsed="false">
      <c r="A2089" s="36" t="str">
        <f aca="false">IF(Raw_Export!$A2089="","",TRIM(Raw_Export!A2089))</f>
        <v>TXN-102047</v>
      </c>
      <c r="B2089" s="37" t="n">
        <f aca="false">IF(Raw_Export!$A2089="","",IF(ISNUMBER(Raw_Export!B2089),Raw_Export!B2089,IF(MID(TRIM(Raw_Export!B2089),5,1)="-",DATE(LEFT(TRIM(Raw_Export!B2089),4),MID(TRIM(Raw_Export!B2089),6,2),RIGHT(TRIM(Raw_Export!B2089),2)),DATE(RIGHT(TRIM(Raw_Export!B2089),4),MATCH(MID(TRIM(Raw_Export!B2089),4,3),{"Jan","Feb","Mar","Apr","May","Jun","Jul","Aug","Sep","Oct","Nov","Dec"},0),LEFT(TRIM(Raw_Export!B2089),2)))))</f>
        <v>46278</v>
      </c>
      <c r="C2089" s="36" t="str">
        <f aca="false">IF(Raw_Export!$A2089="","",IFERROR(VLOOKUP(LOWER(TRIM(Raw_Export!C2089)),Maps!$A$2:$B$20,2,FALSE()),"UNMAPPED"))</f>
        <v>Westlands</v>
      </c>
      <c r="D2089" s="36" t="str">
        <f aca="false">IF(Raw_Export!$A2089="","",IFERROR(VLOOKUP(LOWER(TRIM(Raw_Export!D2089)),Maps!$G$2:$I$80,2,FALSE()),"UNMAPPED"))</f>
        <v>Peanuts 250g</v>
      </c>
      <c r="E2089" s="36" t="str">
        <f aca="false">IF(Raw_Export!$A2089="","",IFERROR(VLOOKUP(LOWER(TRIM(Raw_Export!D2089)),Maps!$G$2:$I$80,3,FALSE()),"UNMAPPED"))</f>
        <v>Snacks</v>
      </c>
      <c r="F2089" s="36" t="n">
        <f aca="false">IF(Raw_Export!$A2089="","",IFERROR(VALUE(TRIM(Raw_Export!E2089)),0))</f>
        <v>6</v>
      </c>
      <c r="G2089" s="38" t="n">
        <f aca="false">IF(Raw_Export!$A2089="","",IFERROR(VALUE(SUBSTITUTE(SUBSTITUTE(UPPER(TRIM(Raw_Export!F2089)),"KES",""),",","")),0))</f>
        <v>130</v>
      </c>
      <c r="H2089" s="38" t="n">
        <f aca="false">IF(Raw_Export!$A2089="","",F2089*G2089)</f>
        <v>780</v>
      </c>
      <c r="I2089" s="36" t="str">
        <f aca="false">IF(Raw_Export!$A2089="","",IFERROR(VLOOKUP(LOWER(TRIM(Raw_Export!H2089)),Maps!$D$2:$E$12,2,FALSE()),"Other"))</f>
        <v>M-Pesa</v>
      </c>
      <c r="J2089" s="36" t="str">
        <f aca="false">IF(Raw_Export!$A2089="","",IF(COUNTIF($A$2:A2089,A2089)&gt;1,"Duplicate",""))</f>
        <v/>
      </c>
      <c r="K2089" s="36" t="str">
        <f aca="false">IF(Raw_Export!$A2089="","",IF(J2089="Duplicate","Duplicate",IF(OR(C2089="UNMAPPED",D2089="UNMAPPED"),"Unmapped",IF(F2089=0,"Blank qty",IF(F2089&lt;0,"Return","OK")))))</f>
        <v>OK</v>
      </c>
      <c r="L2089" s="36" t="n">
        <f aca="false">IF(Raw_Export!$A2089="","",IF(OR(K2089="OK",K2089="Return"),1,0))</f>
        <v>1</v>
      </c>
      <c r="M2089" s="37" t="n">
        <f aca="false">IF(Raw_Export!$A2089="","",B2089-WEEKDAY(B2089,2)+1)</f>
        <v>46272</v>
      </c>
    </row>
    <row r="2090" customFormat="false" ht="15" hidden="false" customHeight="false" outlineLevel="0" collapsed="false">
      <c r="A2090" s="36" t="str">
        <f aca="false">IF(Raw_Export!$A2090="","",TRIM(Raw_Export!A2090))</f>
        <v>TXN-102048</v>
      </c>
      <c r="B2090" s="37" t="n">
        <f aca="false">IF(Raw_Export!$A2090="","",IF(ISNUMBER(Raw_Export!B2090),Raw_Export!B2090,IF(MID(TRIM(Raw_Export!B2090),5,1)="-",DATE(LEFT(TRIM(Raw_Export!B2090),4),MID(TRIM(Raw_Export!B2090),6,2),RIGHT(TRIM(Raw_Export!B2090),2)),DATE(RIGHT(TRIM(Raw_Export!B2090),4),MATCH(MID(TRIM(Raw_Export!B2090),4,3),{"Jan","Feb","Mar","Apr","May","Jun","Jul","Aug","Sep","Oct","Nov","Dec"},0),LEFT(TRIM(Raw_Export!B2090),2)))))</f>
        <v>46278</v>
      </c>
      <c r="C2090" s="36" t="str">
        <f aca="false">IF(Raw_Export!$A2090="","",IFERROR(VLOOKUP(LOWER(TRIM(Raw_Export!C2090)),Maps!$A$2:$B$20,2,FALSE()),"UNMAPPED"))</f>
        <v>Westlands</v>
      </c>
      <c r="D2090" s="36" t="str">
        <f aca="false">IF(Raw_Export!$A2090="","",IFERROR(VLOOKUP(LOWER(TRIM(Raw_Export!D2090)),Maps!$G$2:$I$80,2,FALSE()),"UNMAPPED"))</f>
        <v>Cooking Oil 1L</v>
      </c>
      <c r="E2090" s="36" t="str">
        <f aca="false">IF(Raw_Export!$A2090="","",IFERROR(VLOOKUP(LOWER(TRIM(Raw_Export!D2090)),Maps!$G$2:$I$80,3,FALSE()),"UNMAPPED"))</f>
        <v>Staples</v>
      </c>
      <c r="F2090" s="36" t="n">
        <f aca="false">IF(Raw_Export!$A2090="","",IFERROR(VALUE(TRIM(Raw_Export!E2090)),0))</f>
        <v>0</v>
      </c>
      <c r="G2090" s="38" t="n">
        <f aca="false">IF(Raw_Export!$A2090="","",IFERROR(VALUE(SUBSTITUTE(SUBSTITUTE(UPPER(TRIM(Raw_Export!F2090)),"KES",""),",","")),0))</f>
        <v>330</v>
      </c>
      <c r="H2090" s="38" t="n">
        <f aca="false">IF(Raw_Export!$A2090="","",F2090*G2090)</f>
        <v>0</v>
      </c>
      <c r="I2090" s="36" t="str">
        <f aca="false">IF(Raw_Export!$A2090="","",IFERROR(VLOOKUP(LOWER(TRIM(Raw_Export!H2090)),Maps!$D$2:$E$12,2,FALSE()),"Other"))</f>
        <v>Card</v>
      </c>
      <c r="J2090" s="36" t="str">
        <f aca="false">IF(Raw_Export!$A2090="","",IF(COUNTIF($A$2:A2090,A2090)&gt;1,"Duplicate",""))</f>
        <v/>
      </c>
      <c r="K2090" s="36" t="str">
        <f aca="false">IF(Raw_Export!$A2090="","",IF(J2090="Duplicate","Duplicate",IF(OR(C2090="UNMAPPED",D2090="UNMAPPED"),"Unmapped",IF(F2090=0,"Blank qty",IF(F2090&lt;0,"Return","OK")))))</f>
        <v>Blank qty</v>
      </c>
      <c r="L2090" s="36" t="n">
        <f aca="false">IF(Raw_Export!$A2090="","",IF(OR(K2090="OK",K2090="Return"),1,0))</f>
        <v>0</v>
      </c>
      <c r="M2090" s="37" t="n">
        <f aca="false">IF(Raw_Export!$A2090="","",B2090-WEEKDAY(B2090,2)+1)</f>
        <v>46272</v>
      </c>
    </row>
    <row r="2091" customFormat="false" ht="15" hidden="false" customHeight="false" outlineLevel="0" collapsed="false">
      <c r="A2091" s="36" t="str">
        <f aca="false">IF(Raw_Export!$A2091="","",TRIM(Raw_Export!A2091))</f>
        <v>TXN-102049</v>
      </c>
      <c r="B2091" s="37" t="n">
        <f aca="false">IF(Raw_Export!$A2091="","",IF(ISNUMBER(Raw_Export!B2091),Raw_Export!B2091,IF(MID(TRIM(Raw_Export!B2091),5,1)="-",DATE(LEFT(TRIM(Raw_Export!B2091),4),MID(TRIM(Raw_Export!B2091),6,2),RIGHT(TRIM(Raw_Export!B2091),2)),DATE(RIGHT(TRIM(Raw_Export!B2091),4),MATCH(MID(TRIM(Raw_Export!B2091),4,3),{"Jan","Feb","Mar","Apr","May","Jun","Jul","Aug","Sep","Oct","Nov","Dec"},0),LEFT(TRIM(Raw_Export!B2091),2)))))</f>
        <v>46278</v>
      </c>
      <c r="C2091" s="36" t="str">
        <f aca="false">IF(Raw_Export!$A2091="","",IFERROR(VLOOKUP(LOWER(TRIM(Raw_Export!C2091)),Maps!$A$2:$B$20,2,FALSE()),"UNMAPPED"))</f>
        <v>Westlands</v>
      </c>
      <c r="D2091" s="36" t="str">
        <f aca="false">IF(Raw_Export!$A2091="","",IFERROR(VLOOKUP(LOWER(TRIM(Raw_Export!D2091)),Maps!$G$2:$I$80,2,FALSE()),"UNMAPPED"))</f>
        <v>Cooking Oil 1L</v>
      </c>
      <c r="E2091" s="36" t="str">
        <f aca="false">IF(Raw_Export!$A2091="","",IFERROR(VLOOKUP(LOWER(TRIM(Raw_Export!D2091)),Maps!$G$2:$I$80,3,FALSE()),"UNMAPPED"))</f>
        <v>Staples</v>
      </c>
      <c r="F2091" s="36" t="n">
        <f aca="false">IF(Raw_Export!$A2091="","",IFERROR(VALUE(TRIM(Raw_Export!E2091)),0))</f>
        <v>6</v>
      </c>
      <c r="G2091" s="38" t="n">
        <f aca="false">IF(Raw_Export!$A2091="","",IFERROR(VALUE(SUBSTITUTE(SUBSTITUTE(UPPER(TRIM(Raw_Export!F2091)),"KES",""),",","")),0))</f>
        <v>330</v>
      </c>
      <c r="H2091" s="38" t="n">
        <f aca="false">IF(Raw_Export!$A2091="","",F2091*G2091)</f>
        <v>1980</v>
      </c>
      <c r="I2091" s="36" t="str">
        <f aca="false">IF(Raw_Export!$A2091="","",IFERROR(VLOOKUP(LOWER(TRIM(Raw_Export!H2091)),Maps!$D$2:$E$12,2,FALSE()),"Other"))</f>
        <v>M-Pesa</v>
      </c>
      <c r="J2091" s="36" t="str">
        <f aca="false">IF(Raw_Export!$A2091="","",IF(COUNTIF($A$2:A2091,A2091)&gt;1,"Duplicate",""))</f>
        <v/>
      </c>
      <c r="K2091" s="36" t="str">
        <f aca="false">IF(Raw_Export!$A2091="","",IF(J2091="Duplicate","Duplicate",IF(OR(C2091="UNMAPPED",D2091="UNMAPPED"),"Unmapped",IF(F2091=0,"Blank qty",IF(F2091&lt;0,"Return","OK")))))</f>
        <v>OK</v>
      </c>
      <c r="L2091" s="36" t="n">
        <f aca="false">IF(Raw_Export!$A2091="","",IF(OR(K2091="OK",K2091="Return"),1,0))</f>
        <v>1</v>
      </c>
      <c r="M2091" s="37" t="n">
        <f aca="false">IF(Raw_Export!$A2091="","",B2091-WEEKDAY(B2091,2)+1)</f>
        <v>46272</v>
      </c>
    </row>
    <row r="2092" customFormat="false" ht="15" hidden="false" customHeight="false" outlineLevel="0" collapsed="false">
      <c r="A2092" s="36" t="str">
        <f aca="false">IF(Raw_Export!$A2092="","",TRIM(Raw_Export!A2092))</f>
        <v>TXN-102050</v>
      </c>
      <c r="B2092" s="37" t="n">
        <f aca="false">IF(Raw_Export!$A2092="","",IF(ISNUMBER(Raw_Export!B2092),Raw_Export!B2092,IF(MID(TRIM(Raw_Export!B2092),5,1)="-",DATE(LEFT(TRIM(Raw_Export!B2092),4),MID(TRIM(Raw_Export!B2092),6,2),RIGHT(TRIM(Raw_Export!B2092),2)),DATE(RIGHT(TRIM(Raw_Export!B2092),4),MATCH(MID(TRIM(Raw_Export!B2092),4,3),{"Jan","Feb","Mar","Apr","May","Jun","Jul","Aug","Sep","Oct","Nov","Dec"},0),LEFT(TRIM(Raw_Export!B2092),2)))))</f>
        <v>46278</v>
      </c>
      <c r="C2092" s="36" t="str">
        <f aca="false">IF(Raw_Export!$A2092="","",IFERROR(VLOOKUP(LOWER(TRIM(Raw_Export!C2092)),Maps!$A$2:$B$20,2,FALSE()),"UNMAPPED"))</f>
        <v>Westlands</v>
      </c>
      <c r="D2092" s="36" t="str">
        <f aca="false">IF(Raw_Export!$A2092="","",IFERROR(VLOOKUP(LOWER(TRIM(Raw_Export!D2092)),Maps!$G$2:$I$80,2,FALSE()),"UNMAPPED"))</f>
        <v>Cooking Oil 1L</v>
      </c>
      <c r="E2092" s="36" t="str">
        <f aca="false">IF(Raw_Export!$A2092="","",IFERROR(VLOOKUP(LOWER(TRIM(Raw_Export!D2092)),Maps!$G$2:$I$80,3,FALSE()),"UNMAPPED"))</f>
        <v>Staples</v>
      </c>
      <c r="F2092" s="36" t="n">
        <f aca="false">IF(Raw_Export!$A2092="","",IFERROR(VALUE(TRIM(Raw_Export!E2092)),0))</f>
        <v>6</v>
      </c>
      <c r="G2092" s="38" t="n">
        <f aca="false">IF(Raw_Export!$A2092="","",IFERROR(VALUE(SUBSTITUTE(SUBSTITUTE(UPPER(TRIM(Raw_Export!F2092)),"KES",""),",","")),0))</f>
        <v>330</v>
      </c>
      <c r="H2092" s="38" t="n">
        <f aca="false">IF(Raw_Export!$A2092="","",F2092*G2092)</f>
        <v>1980</v>
      </c>
      <c r="I2092" s="36" t="str">
        <f aca="false">IF(Raw_Export!$A2092="","",IFERROR(VLOOKUP(LOWER(TRIM(Raw_Export!H2092)),Maps!$D$2:$E$12,2,FALSE()),"Other"))</f>
        <v>Cash</v>
      </c>
      <c r="J2092" s="36" t="str">
        <f aca="false">IF(Raw_Export!$A2092="","",IF(COUNTIF($A$2:A2092,A2092)&gt;1,"Duplicate",""))</f>
        <v/>
      </c>
      <c r="K2092" s="36" t="str">
        <f aca="false">IF(Raw_Export!$A2092="","",IF(J2092="Duplicate","Duplicate",IF(OR(C2092="UNMAPPED",D2092="UNMAPPED"),"Unmapped",IF(F2092=0,"Blank qty",IF(F2092&lt;0,"Return","OK")))))</f>
        <v>OK</v>
      </c>
      <c r="L2092" s="36" t="n">
        <f aca="false">IF(Raw_Export!$A2092="","",IF(OR(K2092="OK",K2092="Return"),1,0))</f>
        <v>1</v>
      </c>
      <c r="M2092" s="37" t="n">
        <f aca="false">IF(Raw_Export!$A2092="","",B2092-WEEKDAY(B2092,2)+1)</f>
        <v>46272</v>
      </c>
    </row>
    <row r="2093" customFormat="false" ht="15" hidden="false" customHeight="false" outlineLevel="0" collapsed="false">
      <c r="A2093" s="36" t="str">
        <f aca="false">IF(Raw_Export!$A2093="","",TRIM(Raw_Export!A2093))</f>
        <v>TXN-102051</v>
      </c>
      <c r="B2093" s="37" t="n">
        <f aca="false">IF(Raw_Export!$A2093="","",IF(ISNUMBER(Raw_Export!B2093),Raw_Export!B2093,IF(MID(TRIM(Raw_Export!B2093),5,1)="-",DATE(LEFT(TRIM(Raw_Export!B2093),4),MID(TRIM(Raw_Export!B2093),6,2),RIGHT(TRIM(Raw_Export!B2093),2)),DATE(RIGHT(TRIM(Raw_Export!B2093),4),MATCH(MID(TRIM(Raw_Export!B2093),4,3),{"Jan","Feb","Mar","Apr","May","Jun","Jul","Aug","Sep","Oct","Nov","Dec"},0),LEFT(TRIM(Raw_Export!B2093),2)))))</f>
        <v>46278</v>
      </c>
      <c r="C2093" s="36" t="str">
        <f aca="false">IF(Raw_Export!$A2093="","",IFERROR(VLOOKUP(LOWER(TRIM(Raw_Export!C2093)),Maps!$A$2:$B$20,2,FALSE()),"UNMAPPED"))</f>
        <v>Westlands</v>
      </c>
      <c r="D2093" s="36" t="str">
        <f aca="false">IF(Raw_Export!$A2093="","",IFERROR(VLOOKUP(LOWER(TRIM(Raw_Export!D2093)),Maps!$G$2:$I$80,2,FALSE()),"UNMAPPED"))</f>
        <v>Bleach 1L</v>
      </c>
      <c r="E2093" s="36" t="str">
        <f aca="false">IF(Raw_Export!$A2093="","",IFERROR(VLOOKUP(LOWER(TRIM(Raw_Export!D2093)),Maps!$G$2:$I$80,3,FALSE()),"UNMAPPED"))</f>
        <v>Household</v>
      </c>
      <c r="F2093" s="36" t="n">
        <f aca="false">IF(Raw_Export!$A2093="","",IFERROR(VALUE(TRIM(Raw_Export!E2093)),0))</f>
        <v>4</v>
      </c>
      <c r="G2093" s="38" t="n">
        <f aca="false">IF(Raw_Export!$A2093="","",IFERROR(VALUE(SUBSTITUTE(SUBSTITUTE(UPPER(TRIM(Raw_Export!F2093)),"KES",""),",","")),0))</f>
        <v>160</v>
      </c>
      <c r="H2093" s="38" t="n">
        <f aca="false">IF(Raw_Export!$A2093="","",F2093*G2093)</f>
        <v>640</v>
      </c>
      <c r="I2093" s="36" t="str">
        <f aca="false">IF(Raw_Export!$A2093="","",IFERROR(VLOOKUP(LOWER(TRIM(Raw_Export!H2093)),Maps!$D$2:$E$12,2,FALSE()),"Other"))</f>
        <v>Cash</v>
      </c>
      <c r="J2093" s="36" t="str">
        <f aca="false">IF(Raw_Export!$A2093="","",IF(COUNTIF($A$2:A2093,A2093)&gt;1,"Duplicate",""))</f>
        <v/>
      </c>
      <c r="K2093" s="36" t="str">
        <f aca="false">IF(Raw_Export!$A2093="","",IF(J2093="Duplicate","Duplicate",IF(OR(C2093="UNMAPPED",D2093="UNMAPPED"),"Unmapped",IF(F2093=0,"Blank qty",IF(F2093&lt;0,"Return","OK")))))</f>
        <v>OK</v>
      </c>
      <c r="L2093" s="36" t="n">
        <f aca="false">IF(Raw_Export!$A2093="","",IF(OR(K2093="OK",K2093="Return"),1,0))</f>
        <v>1</v>
      </c>
      <c r="M2093" s="37" t="n">
        <f aca="false">IF(Raw_Export!$A2093="","",B2093-WEEKDAY(B2093,2)+1)</f>
        <v>46272</v>
      </c>
    </row>
    <row r="2094" customFormat="false" ht="15" hidden="false" customHeight="false" outlineLevel="0" collapsed="false">
      <c r="A2094" s="36" t="str">
        <f aca="false">IF(Raw_Export!$A2094="","",TRIM(Raw_Export!A2094))</f>
        <v>TXN-102052</v>
      </c>
      <c r="B2094" s="37" t="n">
        <f aca="false">IF(Raw_Export!$A2094="","",IF(ISNUMBER(Raw_Export!B2094),Raw_Export!B2094,IF(MID(TRIM(Raw_Export!B2094),5,1)="-",DATE(LEFT(TRIM(Raw_Export!B2094),4),MID(TRIM(Raw_Export!B2094),6,2),RIGHT(TRIM(Raw_Export!B2094),2)),DATE(RIGHT(TRIM(Raw_Export!B2094),4),MATCH(MID(TRIM(Raw_Export!B2094),4,3),{"Jan","Feb","Mar","Apr","May","Jun","Jul","Aug","Sep","Oct","Nov","Dec"},0),LEFT(TRIM(Raw_Export!B2094),2)))))</f>
        <v>46278</v>
      </c>
      <c r="C2094" s="36" t="str">
        <f aca="false">IF(Raw_Export!$A2094="","",IFERROR(VLOOKUP(LOWER(TRIM(Raw_Export!C2094)),Maps!$A$2:$B$20,2,FALSE()),"UNMAPPED"))</f>
        <v>Westlands</v>
      </c>
      <c r="D2094" s="36" t="str">
        <f aca="false">IF(Raw_Export!$A2094="","",IFERROR(VLOOKUP(LOWER(TRIM(Raw_Export!D2094)),Maps!$G$2:$I$80,2,FALSE()),"UNMAPPED"))</f>
        <v>Eggs Tray 30</v>
      </c>
      <c r="E2094" s="36" t="str">
        <f aca="false">IF(Raw_Export!$A2094="","",IFERROR(VLOOKUP(LOWER(TRIM(Raw_Export!D2094)),Maps!$G$2:$I$80,3,FALSE()),"UNMAPPED"))</f>
        <v>Dairy &amp; Eggs</v>
      </c>
      <c r="F2094" s="36" t="n">
        <f aca="false">IF(Raw_Export!$A2094="","",IFERROR(VALUE(TRIM(Raw_Export!E2094)),0))</f>
        <v>1</v>
      </c>
      <c r="G2094" s="38" t="n">
        <f aca="false">IF(Raw_Export!$A2094="","",IFERROR(VALUE(SUBSTITUTE(SUBSTITUTE(UPPER(TRIM(Raw_Export!F2094)),"KES",""),",","")),0))</f>
        <v>450</v>
      </c>
      <c r="H2094" s="38" t="n">
        <f aca="false">IF(Raw_Export!$A2094="","",F2094*G2094)</f>
        <v>450</v>
      </c>
      <c r="I2094" s="36" t="str">
        <f aca="false">IF(Raw_Export!$A2094="","",IFERROR(VLOOKUP(LOWER(TRIM(Raw_Export!H2094)),Maps!$D$2:$E$12,2,FALSE()),"Other"))</f>
        <v>M-Pesa</v>
      </c>
      <c r="J2094" s="36" t="str">
        <f aca="false">IF(Raw_Export!$A2094="","",IF(COUNTIF($A$2:A2094,A2094)&gt;1,"Duplicate",""))</f>
        <v/>
      </c>
      <c r="K2094" s="36" t="str">
        <f aca="false">IF(Raw_Export!$A2094="","",IF(J2094="Duplicate","Duplicate",IF(OR(C2094="UNMAPPED",D2094="UNMAPPED"),"Unmapped",IF(F2094=0,"Blank qty",IF(F2094&lt;0,"Return","OK")))))</f>
        <v>OK</v>
      </c>
      <c r="L2094" s="36" t="n">
        <f aca="false">IF(Raw_Export!$A2094="","",IF(OR(K2094="OK",K2094="Return"),1,0))</f>
        <v>1</v>
      </c>
      <c r="M2094" s="37" t="n">
        <f aca="false">IF(Raw_Export!$A2094="","",B2094-WEEKDAY(B2094,2)+1)</f>
        <v>46272</v>
      </c>
    </row>
    <row r="2095" customFormat="false" ht="15" hidden="false" customHeight="false" outlineLevel="0" collapsed="false">
      <c r="A2095" s="36" t="str">
        <f aca="false">IF(Raw_Export!$A2095="","",TRIM(Raw_Export!A2095))</f>
        <v>TXN-102053</v>
      </c>
      <c r="B2095" s="37" t="n">
        <f aca="false">IF(Raw_Export!$A2095="","",IF(ISNUMBER(Raw_Export!B2095),Raw_Export!B2095,IF(MID(TRIM(Raw_Export!B2095),5,1)="-",DATE(LEFT(TRIM(Raw_Export!B2095),4),MID(TRIM(Raw_Export!B2095),6,2),RIGHT(TRIM(Raw_Export!B2095),2)),DATE(RIGHT(TRIM(Raw_Export!B2095),4),MATCH(MID(TRIM(Raw_Export!B2095),4,3),{"Jan","Feb","Mar","Apr","May","Jun","Jul","Aug","Sep","Oct","Nov","Dec"},0),LEFT(TRIM(Raw_Export!B2095),2)))))</f>
        <v>46278</v>
      </c>
      <c r="C2095" s="36" t="str">
        <f aca="false">IF(Raw_Export!$A2095="","",IFERROR(VLOOKUP(LOWER(TRIM(Raw_Export!C2095)),Maps!$A$2:$B$20,2,FALSE()),"UNMAPPED"))</f>
        <v>Westlands</v>
      </c>
      <c r="D2095" s="36" t="str">
        <f aca="false">IF(Raw_Export!$A2095="","",IFERROR(VLOOKUP(LOWER(TRIM(Raw_Export!D2095)),Maps!$G$2:$I$80,2,FALSE()),"UNMAPPED"))</f>
        <v>Cooking Oil 1L</v>
      </c>
      <c r="E2095" s="36" t="str">
        <f aca="false">IF(Raw_Export!$A2095="","",IFERROR(VLOOKUP(LOWER(TRIM(Raw_Export!D2095)),Maps!$G$2:$I$80,3,FALSE()),"UNMAPPED"))</f>
        <v>Staples</v>
      </c>
      <c r="F2095" s="36" t="n">
        <f aca="false">IF(Raw_Export!$A2095="","",IFERROR(VALUE(TRIM(Raw_Export!E2095)),0))</f>
        <v>3</v>
      </c>
      <c r="G2095" s="38" t="n">
        <f aca="false">IF(Raw_Export!$A2095="","",IFERROR(VALUE(SUBSTITUTE(SUBSTITUTE(UPPER(TRIM(Raw_Export!F2095)),"KES",""),",","")),0))</f>
        <v>297</v>
      </c>
      <c r="H2095" s="38" t="n">
        <f aca="false">IF(Raw_Export!$A2095="","",F2095*G2095)</f>
        <v>891</v>
      </c>
      <c r="I2095" s="36" t="str">
        <f aca="false">IF(Raw_Export!$A2095="","",IFERROR(VLOOKUP(LOWER(TRIM(Raw_Export!H2095)),Maps!$D$2:$E$12,2,FALSE()),"Other"))</f>
        <v>M-Pesa</v>
      </c>
      <c r="J2095" s="36" t="str">
        <f aca="false">IF(Raw_Export!$A2095="","",IF(COUNTIF($A$2:A2095,A2095)&gt;1,"Duplicate",""))</f>
        <v/>
      </c>
      <c r="K2095" s="36" t="str">
        <f aca="false">IF(Raw_Export!$A2095="","",IF(J2095="Duplicate","Duplicate",IF(OR(C2095="UNMAPPED",D2095="UNMAPPED"),"Unmapped",IF(F2095=0,"Blank qty",IF(F2095&lt;0,"Return","OK")))))</f>
        <v>OK</v>
      </c>
      <c r="L2095" s="36" t="n">
        <f aca="false">IF(Raw_Export!$A2095="","",IF(OR(K2095="OK",K2095="Return"),1,0))</f>
        <v>1</v>
      </c>
      <c r="M2095" s="37" t="n">
        <f aca="false">IF(Raw_Export!$A2095="","",B2095-WEEKDAY(B2095,2)+1)</f>
        <v>46272</v>
      </c>
    </row>
    <row r="2096" customFormat="false" ht="15" hidden="false" customHeight="false" outlineLevel="0" collapsed="false">
      <c r="A2096" s="36" t="str">
        <f aca="false">IF(Raw_Export!$A2096="","",TRIM(Raw_Export!A2096))</f>
        <v>TXN-102054</v>
      </c>
      <c r="B2096" s="37" t="n">
        <f aca="false">IF(Raw_Export!$A2096="","",IF(ISNUMBER(Raw_Export!B2096),Raw_Export!B2096,IF(MID(TRIM(Raw_Export!B2096),5,1)="-",DATE(LEFT(TRIM(Raw_Export!B2096),4),MID(TRIM(Raw_Export!B2096),6,2),RIGHT(TRIM(Raw_Export!B2096),2)),DATE(RIGHT(TRIM(Raw_Export!B2096),4),MATCH(MID(TRIM(Raw_Export!B2096),4,3),{"Jan","Feb","Mar","Apr","May","Jun","Jul","Aug","Sep","Oct","Nov","Dec"},0),LEFT(TRIM(Raw_Export!B2096),2)))))</f>
        <v>46278</v>
      </c>
      <c r="C2096" s="36" t="str">
        <f aca="false">IF(Raw_Export!$A2096="","",IFERROR(VLOOKUP(LOWER(TRIM(Raw_Export!C2096)),Maps!$A$2:$B$20,2,FALSE()),"UNMAPPED"))</f>
        <v>Westlands</v>
      </c>
      <c r="D2096" s="36" t="str">
        <f aca="false">IF(Raw_Export!$A2096="","",IFERROR(VLOOKUP(LOWER(TRIM(Raw_Export!D2096)),Maps!$G$2:$I$80,2,FALSE()),"UNMAPPED"))</f>
        <v>UNMAPPED</v>
      </c>
      <c r="E2096" s="36" t="str">
        <f aca="false">IF(Raw_Export!$A2096="","",IFERROR(VLOOKUP(LOWER(TRIM(Raw_Export!D2096)),Maps!$G$2:$I$80,3,FALSE()),"UNMAPPED"))</f>
        <v>UNMAPPED</v>
      </c>
      <c r="F2096" s="36" t="n">
        <f aca="false">IF(Raw_Export!$A2096="","",IFERROR(VALUE(TRIM(Raw_Export!E2096)),0))</f>
        <v>3</v>
      </c>
      <c r="G2096" s="38" t="n">
        <f aca="false">IF(Raw_Export!$A2096="","",IFERROR(VALUE(SUBSTITUTE(SUBSTITUTE(UPPER(TRIM(Raw_Export!F2096)),"KES",""),",","")),0))</f>
        <v>110</v>
      </c>
      <c r="H2096" s="38" t="n">
        <f aca="false">IF(Raw_Export!$A2096="","",F2096*G2096)</f>
        <v>330</v>
      </c>
      <c r="I2096" s="36" t="str">
        <f aca="false">IF(Raw_Export!$A2096="","",IFERROR(VLOOKUP(LOWER(TRIM(Raw_Export!H2096)),Maps!$D$2:$E$12,2,FALSE()),"Other"))</f>
        <v>M-Pesa</v>
      </c>
      <c r="J2096" s="36" t="str">
        <f aca="false">IF(Raw_Export!$A2096="","",IF(COUNTIF($A$2:A2096,A2096)&gt;1,"Duplicate",""))</f>
        <v/>
      </c>
      <c r="K2096" s="36" t="str">
        <f aca="false">IF(Raw_Export!$A2096="","",IF(J2096="Duplicate","Duplicate",IF(OR(C2096="UNMAPPED",D2096="UNMAPPED"),"Unmapped",IF(F2096=0,"Blank qty",IF(F2096&lt;0,"Return","OK")))))</f>
        <v>Unmapped</v>
      </c>
      <c r="L2096" s="36" t="n">
        <f aca="false">IF(Raw_Export!$A2096="","",IF(OR(K2096="OK",K2096="Return"),1,0))</f>
        <v>0</v>
      </c>
      <c r="M2096" s="37" t="n">
        <f aca="false">IF(Raw_Export!$A2096="","",B2096-WEEKDAY(B2096,2)+1)</f>
        <v>46272</v>
      </c>
    </row>
    <row r="2097" customFormat="false" ht="15" hidden="false" customHeight="false" outlineLevel="0" collapsed="false">
      <c r="A2097" s="36" t="str">
        <f aca="false">IF(Raw_Export!$A2097="","",TRIM(Raw_Export!A2097))</f>
        <v>TXN-102055</v>
      </c>
      <c r="B2097" s="37" t="n">
        <f aca="false">IF(Raw_Export!$A2097="","",IF(ISNUMBER(Raw_Export!B2097),Raw_Export!B2097,IF(MID(TRIM(Raw_Export!B2097),5,1)="-",DATE(LEFT(TRIM(Raw_Export!B2097),4),MID(TRIM(Raw_Export!B2097),6,2),RIGHT(TRIM(Raw_Export!B2097),2)),DATE(RIGHT(TRIM(Raw_Export!B2097),4),MATCH(MID(TRIM(Raw_Export!B2097),4,3),{"Jan","Feb","Mar","Apr","May","Jun","Jul","Aug","Sep","Oct","Nov","Dec"},0),LEFT(TRIM(Raw_Export!B2097),2)))))</f>
        <v>46278</v>
      </c>
      <c r="C2097" s="36" t="str">
        <f aca="false">IF(Raw_Export!$A2097="","",IFERROR(VLOOKUP(LOWER(TRIM(Raw_Export!C2097)),Maps!$A$2:$B$20,2,FALSE()),"UNMAPPED"))</f>
        <v>Westlands</v>
      </c>
      <c r="D2097" s="36" t="str">
        <f aca="false">IF(Raw_Export!$A2097="","",IFERROR(VLOOKUP(LOWER(TRIM(Raw_Export!D2097)),Maps!$G$2:$I$80,2,FALSE()),"UNMAPPED"))</f>
        <v>Bread Loaf 400g</v>
      </c>
      <c r="E2097" s="36" t="str">
        <f aca="false">IF(Raw_Export!$A2097="","",IFERROR(VLOOKUP(LOWER(TRIM(Raw_Export!D2097)),Maps!$G$2:$I$80,3,FALSE()),"UNMAPPED"))</f>
        <v>Snacks</v>
      </c>
      <c r="F2097" s="36" t="n">
        <f aca="false">IF(Raw_Export!$A2097="","",IFERROR(VALUE(TRIM(Raw_Export!E2097)),0))</f>
        <v>2</v>
      </c>
      <c r="G2097" s="38" t="n">
        <f aca="false">IF(Raw_Export!$A2097="","",IFERROR(VALUE(SUBSTITUTE(SUBSTITUTE(UPPER(TRIM(Raw_Export!F2097)),"KES",""),",","")),0))</f>
        <v>65</v>
      </c>
      <c r="H2097" s="38" t="n">
        <f aca="false">IF(Raw_Export!$A2097="","",F2097*G2097)</f>
        <v>130</v>
      </c>
      <c r="I2097" s="36" t="str">
        <f aca="false">IF(Raw_Export!$A2097="","",IFERROR(VLOOKUP(LOWER(TRIM(Raw_Export!H2097)),Maps!$D$2:$E$12,2,FALSE()),"Other"))</f>
        <v>M-Pesa</v>
      </c>
      <c r="J2097" s="36" t="str">
        <f aca="false">IF(Raw_Export!$A2097="","",IF(COUNTIF($A$2:A2097,A2097)&gt;1,"Duplicate",""))</f>
        <v/>
      </c>
      <c r="K2097" s="36" t="str">
        <f aca="false">IF(Raw_Export!$A2097="","",IF(J2097="Duplicate","Duplicate",IF(OR(C2097="UNMAPPED",D2097="UNMAPPED"),"Unmapped",IF(F2097=0,"Blank qty",IF(F2097&lt;0,"Return","OK")))))</f>
        <v>OK</v>
      </c>
      <c r="L2097" s="36" t="n">
        <f aca="false">IF(Raw_Export!$A2097="","",IF(OR(K2097="OK",K2097="Return"),1,0))</f>
        <v>1</v>
      </c>
      <c r="M2097" s="37" t="n">
        <f aca="false">IF(Raw_Export!$A2097="","",B2097-WEEKDAY(B2097,2)+1)</f>
        <v>46272</v>
      </c>
    </row>
    <row r="2098" customFormat="false" ht="15" hidden="false" customHeight="false" outlineLevel="0" collapsed="false">
      <c r="A2098" s="36" t="str">
        <f aca="false">IF(Raw_Export!$A2098="","",TRIM(Raw_Export!A2098))</f>
        <v>TXN-102056</v>
      </c>
      <c r="B2098" s="37" t="n">
        <f aca="false">IF(Raw_Export!$A2098="","",IF(ISNUMBER(Raw_Export!B2098),Raw_Export!B2098,IF(MID(TRIM(Raw_Export!B2098),5,1)="-",DATE(LEFT(TRIM(Raw_Export!B2098),4),MID(TRIM(Raw_Export!B2098),6,2),RIGHT(TRIM(Raw_Export!B2098),2)),DATE(RIGHT(TRIM(Raw_Export!B2098),4),MATCH(MID(TRIM(Raw_Export!B2098),4,3),{"Jan","Feb","Mar","Apr","May","Jun","Jul","Aug","Sep","Oct","Nov","Dec"},0),LEFT(TRIM(Raw_Export!B2098),2)))))</f>
        <v>46278</v>
      </c>
      <c r="C2098" s="36" t="str">
        <f aca="false">IF(Raw_Export!$A2098="","",IFERROR(VLOOKUP(LOWER(TRIM(Raw_Export!C2098)),Maps!$A$2:$B$20,2,FALSE()),"UNMAPPED"))</f>
        <v>Westlands</v>
      </c>
      <c r="D2098" s="36" t="str">
        <f aca="false">IF(Raw_Export!$A2098="","",IFERROR(VLOOKUP(LOWER(TRIM(Raw_Export!D2098)),Maps!$G$2:$I$80,2,FALSE()),"UNMAPPED"))</f>
        <v>Eggs Tray 30</v>
      </c>
      <c r="E2098" s="36" t="str">
        <f aca="false">IF(Raw_Export!$A2098="","",IFERROR(VLOOKUP(LOWER(TRIM(Raw_Export!D2098)),Maps!$G$2:$I$80,3,FALSE()),"UNMAPPED"))</f>
        <v>Dairy &amp; Eggs</v>
      </c>
      <c r="F2098" s="36" t="n">
        <f aca="false">IF(Raw_Export!$A2098="","",IFERROR(VALUE(TRIM(Raw_Export!E2098)),0))</f>
        <v>2</v>
      </c>
      <c r="G2098" s="38" t="n">
        <f aca="false">IF(Raw_Export!$A2098="","",IFERROR(VALUE(SUBSTITUTE(SUBSTITUTE(UPPER(TRIM(Raw_Export!F2098)),"KES",""),",","")),0))</f>
        <v>450</v>
      </c>
      <c r="H2098" s="38" t="n">
        <f aca="false">IF(Raw_Export!$A2098="","",F2098*G2098)</f>
        <v>900</v>
      </c>
      <c r="I2098" s="36" t="str">
        <f aca="false">IF(Raw_Export!$A2098="","",IFERROR(VLOOKUP(LOWER(TRIM(Raw_Export!H2098)),Maps!$D$2:$E$12,2,FALSE()),"Other"))</f>
        <v>M-Pesa</v>
      </c>
      <c r="J2098" s="36" t="str">
        <f aca="false">IF(Raw_Export!$A2098="","",IF(COUNTIF($A$2:A2098,A2098)&gt;1,"Duplicate",""))</f>
        <v/>
      </c>
      <c r="K2098" s="36" t="str">
        <f aca="false">IF(Raw_Export!$A2098="","",IF(J2098="Duplicate","Duplicate",IF(OR(C2098="UNMAPPED",D2098="UNMAPPED"),"Unmapped",IF(F2098=0,"Blank qty",IF(F2098&lt;0,"Return","OK")))))</f>
        <v>OK</v>
      </c>
      <c r="L2098" s="36" t="n">
        <f aca="false">IF(Raw_Export!$A2098="","",IF(OR(K2098="OK",K2098="Return"),1,0))</f>
        <v>1</v>
      </c>
      <c r="M2098" s="37" t="n">
        <f aca="false">IF(Raw_Export!$A2098="","",B2098-WEEKDAY(B2098,2)+1)</f>
        <v>46272</v>
      </c>
    </row>
    <row r="2099" customFormat="false" ht="15" hidden="false" customHeight="false" outlineLevel="0" collapsed="false">
      <c r="A2099" s="36" t="str">
        <f aca="false">IF(Raw_Export!$A2099="","",TRIM(Raw_Export!A2099))</f>
        <v>TXN-102057</v>
      </c>
      <c r="B2099" s="37" t="n">
        <f aca="false">IF(Raw_Export!$A2099="","",IF(ISNUMBER(Raw_Export!B2099),Raw_Export!B2099,IF(MID(TRIM(Raw_Export!B2099),5,1)="-",DATE(LEFT(TRIM(Raw_Export!B2099),4),MID(TRIM(Raw_Export!B2099),6,2),RIGHT(TRIM(Raw_Export!B2099),2)),DATE(RIGHT(TRIM(Raw_Export!B2099),4),MATCH(MID(TRIM(Raw_Export!B2099),4,3),{"Jan","Feb","Mar","Apr","May","Jun","Jul","Aug","Sep","Oct","Nov","Dec"},0),LEFT(TRIM(Raw_Export!B2099),2)))))</f>
        <v>46278</v>
      </c>
      <c r="C2099" s="36" t="str">
        <f aca="false">IF(Raw_Export!$A2099="","",IFERROR(VLOOKUP(LOWER(TRIM(Raw_Export!C2099)),Maps!$A$2:$B$20,2,FALSE()),"UNMAPPED"))</f>
        <v>Westlands</v>
      </c>
      <c r="D2099" s="36" t="str">
        <f aca="false">IF(Raw_Export!$A2099="","",IFERROR(VLOOKUP(LOWER(TRIM(Raw_Export!D2099)),Maps!$G$2:$I$80,2,FALSE()),"UNMAPPED"))</f>
        <v>Rice Pishori 2kg</v>
      </c>
      <c r="E2099" s="36" t="str">
        <f aca="false">IF(Raw_Export!$A2099="","",IFERROR(VLOOKUP(LOWER(TRIM(Raw_Export!D2099)),Maps!$G$2:$I$80,3,FALSE()),"UNMAPPED"))</f>
        <v>Staples</v>
      </c>
      <c r="F2099" s="36" t="n">
        <f aca="false">IF(Raw_Export!$A2099="","",IFERROR(VALUE(TRIM(Raw_Export!E2099)),0))</f>
        <v>3</v>
      </c>
      <c r="G2099" s="38" t="n">
        <f aca="false">IF(Raw_Export!$A2099="","",IFERROR(VALUE(SUBSTITUTE(SUBSTITUTE(UPPER(TRIM(Raw_Export!F2099)),"KES",""),",","")),0))</f>
        <v>420</v>
      </c>
      <c r="H2099" s="38" t="n">
        <f aca="false">IF(Raw_Export!$A2099="","",F2099*G2099)</f>
        <v>1260</v>
      </c>
      <c r="I2099" s="36" t="str">
        <f aca="false">IF(Raw_Export!$A2099="","",IFERROR(VLOOKUP(LOWER(TRIM(Raw_Export!H2099)),Maps!$D$2:$E$12,2,FALSE()),"Other"))</f>
        <v>Cash</v>
      </c>
      <c r="J2099" s="36" t="str">
        <f aca="false">IF(Raw_Export!$A2099="","",IF(COUNTIF($A$2:A2099,A2099)&gt;1,"Duplicate",""))</f>
        <v/>
      </c>
      <c r="K2099" s="36" t="str">
        <f aca="false">IF(Raw_Export!$A2099="","",IF(J2099="Duplicate","Duplicate",IF(OR(C2099="UNMAPPED",D2099="UNMAPPED"),"Unmapped",IF(F2099=0,"Blank qty",IF(F2099&lt;0,"Return","OK")))))</f>
        <v>OK</v>
      </c>
      <c r="L2099" s="36" t="n">
        <f aca="false">IF(Raw_Export!$A2099="","",IF(OR(K2099="OK",K2099="Return"),1,0))</f>
        <v>1</v>
      </c>
      <c r="M2099" s="37" t="n">
        <f aca="false">IF(Raw_Export!$A2099="","",B2099-WEEKDAY(B2099,2)+1)</f>
        <v>46272</v>
      </c>
    </row>
    <row r="2100" customFormat="false" ht="15" hidden="false" customHeight="false" outlineLevel="0" collapsed="false">
      <c r="A2100" s="36" t="str">
        <f aca="false">IF(Raw_Export!$A2100="","",TRIM(Raw_Export!A2100))</f>
        <v>TXN-102058</v>
      </c>
      <c r="B2100" s="37" t="n">
        <f aca="false">IF(Raw_Export!$A2100="","",IF(ISNUMBER(Raw_Export!B2100),Raw_Export!B2100,IF(MID(TRIM(Raw_Export!B2100),5,1)="-",DATE(LEFT(TRIM(Raw_Export!B2100),4),MID(TRIM(Raw_Export!B2100),6,2),RIGHT(TRIM(Raw_Export!B2100),2)),DATE(RIGHT(TRIM(Raw_Export!B2100),4),MATCH(MID(TRIM(Raw_Export!B2100),4,3),{"Jan","Feb","Mar","Apr","May","Jun","Jul","Aug","Sep","Oct","Nov","Dec"},0),LEFT(TRIM(Raw_Export!B2100),2)))))</f>
        <v>46278</v>
      </c>
      <c r="C2100" s="36" t="str">
        <f aca="false">IF(Raw_Export!$A2100="","",IFERROR(VLOOKUP(LOWER(TRIM(Raw_Export!C2100)),Maps!$A$2:$B$20,2,FALSE()),"UNMAPPED"))</f>
        <v>Westlands</v>
      </c>
      <c r="D2100" s="36" t="str">
        <f aca="false">IF(Raw_Export!$A2100="","",IFERROR(VLOOKUP(LOWER(TRIM(Raw_Export!D2100)),Maps!$G$2:$I$80,2,FALSE()),"UNMAPPED"))</f>
        <v>Matches 10pk</v>
      </c>
      <c r="E2100" s="36" t="str">
        <f aca="false">IF(Raw_Export!$A2100="","",IFERROR(VLOOKUP(LOWER(TRIM(Raw_Export!D2100)),Maps!$G$2:$I$80,3,FALSE()),"UNMAPPED"))</f>
        <v>Household</v>
      </c>
      <c r="F2100" s="36" t="n">
        <f aca="false">IF(Raw_Export!$A2100="","",IFERROR(VALUE(TRIM(Raw_Export!E2100)),0))</f>
        <v>6</v>
      </c>
      <c r="G2100" s="38" t="n">
        <f aca="false">IF(Raw_Export!$A2100="","",IFERROR(VALUE(SUBSTITUTE(SUBSTITUTE(UPPER(TRIM(Raw_Export!F2100)),"KES",""),",","")),0))</f>
        <v>45</v>
      </c>
      <c r="H2100" s="38" t="n">
        <f aca="false">IF(Raw_Export!$A2100="","",F2100*G2100)</f>
        <v>270</v>
      </c>
      <c r="I2100" s="36" t="str">
        <f aca="false">IF(Raw_Export!$A2100="","",IFERROR(VLOOKUP(LOWER(TRIM(Raw_Export!H2100)),Maps!$D$2:$E$12,2,FALSE()),"Other"))</f>
        <v>Cash</v>
      </c>
      <c r="J2100" s="36" t="str">
        <f aca="false">IF(Raw_Export!$A2100="","",IF(COUNTIF($A$2:A2100,A2100)&gt;1,"Duplicate",""))</f>
        <v/>
      </c>
      <c r="K2100" s="36" t="str">
        <f aca="false">IF(Raw_Export!$A2100="","",IF(J2100="Duplicate","Duplicate",IF(OR(C2100="UNMAPPED",D2100="UNMAPPED"),"Unmapped",IF(F2100=0,"Blank qty",IF(F2100&lt;0,"Return","OK")))))</f>
        <v>OK</v>
      </c>
      <c r="L2100" s="36" t="n">
        <f aca="false">IF(Raw_Export!$A2100="","",IF(OR(K2100="OK",K2100="Return"),1,0))</f>
        <v>1</v>
      </c>
      <c r="M2100" s="37" t="n">
        <f aca="false">IF(Raw_Export!$A2100="","",B2100-WEEKDAY(B2100,2)+1)</f>
        <v>46272</v>
      </c>
    </row>
    <row r="2101" customFormat="false" ht="15" hidden="false" customHeight="false" outlineLevel="0" collapsed="false">
      <c r="A2101" s="36" t="str">
        <f aca="false">IF(Raw_Export!$A2101="","",TRIM(Raw_Export!A2101))</f>
        <v>TXN-102059</v>
      </c>
      <c r="B2101" s="37" t="n">
        <f aca="false">IF(Raw_Export!$A2101="","",IF(ISNUMBER(Raw_Export!B2101),Raw_Export!B2101,IF(MID(TRIM(Raw_Export!B2101),5,1)="-",DATE(LEFT(TRIM(Raw_Export!B2101),4),MID(TRIM(Raw_Export!B2101),6,2),RIGHT(TRIM(Raw_Export!B2101),2)),DATE(RIGHT(TRIM(Raw_Export!B2101),4),MATCH(MID(TRIM(Raw_Export!B2101),4,3),{"Jan","Feb","Mar","Apr","May","Jun","Jul","Aug","Sep","Oct","Nov","Dec"},0),LEFT(TRIM(Raw_Export!B2101),2)))))</f>
        <v>46278</v>
      </c>
      <c r="C2101" s="36" t="str">
        <f aca="false">IF(Raw_Export!$A2101="","",IFERROR(VLOOKUP(LOWER(TRIM(Raw_Export!C2101)),Maps!$A$2:$B$20,2,FALSE()),"UNMAPPED"))</f>
        <v>Westlands</v>
      </c>
      <c r="D2101" s="36" t="str">
        <f aca="false">IF(Raw_Export!$A2101="","",IFERROR(VLOOKUP(LOWER(TRIM(Raw_Export!D2101)),Maps!$G$2:$I$80,2,FALSE()),"UNMAPPED"))</f>
        <v>Peanuts 250g</v>
      </c>
      <c r="E2101" s="36" t="str">
        <f aca="false">IF(Raw_Export!$A2101="","",IFERROR(VLOOKUP(LOWER(TRIM(Raw_Export!D2101)),Maps!$G$2:$I$80,3,FALSE()),"UNMAPPED"))</f>
        <v>Snacks</v>
      </c>
      <c r="F2101" s="36" t="n">
        <f aca="false">IF(Raw_Export!$A2101="","",IFERROR(VALUE(TRIM(Raw_Export!E2101)),0))</f>
        <v>1</v>
      </c>
      <c r="G2101" s="38" t="n">
        <f aca="false">IF(Raw_Export!$A2101="","",IFERROR(VALUE(SUBSTITUTE(SUBSTITUTE(UPPER(TRIM(Raw_Export!F2101)),"KES",""),",","")),0))</f>
        <v>130</v>
      </c>
      <c r="H2101" s="38" t="n">
        <f aca="false">IF(Raw_Export!$A2101="","",F2101*G2101)</f>
        <v>130</v>
      </c>
      <c r="I2101" s="36" t="str">
        <f aca="false">IF(Raw_Export!$A2101="","",IFERROR(VLOOKUP(LOWER(TRIM(Raw_Export!H2101)),Maps!$D$2:$E$12,2,FALSE()),"Other"))</f>
        <v>Cash</v>
      </c>
      <c r="J2101" s="36" t="str">
        <f aca="false">IF(Raw_Export!$A2101="","",IF(COUNTIF($A$2:A2101,A2101)&gt;1,"Duplicate",""))</f>
        <v/>
      </c>
      <c r="K2101" s="36" t="str">
        <f aca="false">IF(Raw_Export!$A2101="","",IF(J2101="Duplicate","Duplicate",IF(OR(C2101="UNMAPPED",D2101="UNMAPPED"),"Unmapped",IF(F2101=0,"Blank qty",IF(F2101&lt;0,"Return","OK")))))</f>
        <v>OK</v>
      </c>
      <c r="L2101" s="36" t="n">
        <f aca="false">IF(Raw_Export!$A2101="","",IF(OR(K2101="OK",K2101="Return"),1,0))</f>
        <v>1</v>
      </c>
      <c r="M2101" s="37" t="n">
        <f aca="false">IF(Raw_Export!$A2101="","",B2101-WEEKDAY(B2101,2)+1)</f>
        <v>46272</v>
      </c>
    </row>
    <row r="2102" customFormat="false" ht="15" hidden="false" customHeight="false" outlineLevel="0" collapsed="false">
      <c r="A2102" s="36" t="str">
        <f aca="false">IF(Raw_Export!$A2102="","",TRIM(Raw_Export!A2102))</f>
        <v>TXN-102060</v>
      </c>
      <c r="B2102" s="37" t="n">
        <f aca="false">IF(Raw_Export!$A2102="","",IF(ISNUMBER(Raw_Export!B2102),Raw_Export!B2102,IF(MID(TRIM(Raw_Export!B2102),5,1)="-",DATE(LEFT(TRIM(Raw_Export!B2102),4),MID(TRIM(Raw_Export!B2102),6,2),RIGHT(TRIM(Raw_Export!B2102),2)),DATE(RIGHT(TRIM(Raw_Export!B2102),4),MATCH(MID(TRIM(Raw_Export!B2102),4,3),{"Jan","Feb","Mar","Apr","May","Jun","Jul","Aug","Sep","Oct","Nov","Dec"},0),LEFT(TRIM(Raw_Export!B2102),2)))))</f>
        <v>46278</v>
      </c>
      <c r="C2102" s="36" t="str">
        <f aca="false">IF(Raw_Export!$A2102="","",IFERROR(VLOOKUP(LOWER(TRIM(Raw_Export!C2102)),Maps!$A$2:$B$20,2,FALSE()),"UNMAPPED"))</f>
        <v>Westlands</v>
      </c>
      <c r="D2102" s="36" t="str">
        <f aca="false">IF(Raw_Export!$A2102="","",IFERROR(VLOOKUP(LOWER(TRIM(Raw_Export!D2102)),Maps!$G$2:$I$80,2,FALSE()),"UNMAPPED"))</f>
        <v>Salt 500g</v>
      </c>
      <c r="E2102" s="36" t="str">
        <f aca="false">IF(Raw_Export!$A2102="","",IFERROR(VLOOKUP(LOWER(TRIM(Raw_Export!D2102)),Maps!$G$2:$I$80,3,FALSE()),"UNMAPPED"))</f>
        <v>Staples</v>
      </c>
      <c r="F2102" s="36" t="n">
        <f aca="false">IF(Raw_Export!$A2102="","",IFERROR(VALUE(TRIM(Raw_Export!E2102)),0))</f>
        <v>3</v>
      </c>
      <c r="G2102" s="38" t="n">
        <f aca="false">IF(Raw_Export!$A2102="","",IFERROR(VALUE(SUBSTITUTE(SUBSTITUTE(UPPER(TRIM(Raw_Export!F2102)),"KES",""),",","")),0))</f>
        <v>40</v>
      </c>
      <c r="H2102" s="38" t="n">
        <f aca="false">IF(Raw_Export!$A2102="","",F2102*G2102)</f>
        <v>120</v>
      </c>
      <c r="I2102" s="36" t="str">
        <f aca="false">IF(Raw_Export!$A2102="","",IFERROR(VLOOKUP(LOWER(TRIM(Raw_Export!H2102)),Maps!$D$2:$E$12,2,FALSE()),"Other"))</f>
        <v>M-Pesa</v>
      </c>
      <c r="J2102" s="36" t="str">
        <f aca="false">IF(Raw_Export!$A2102="","",IF(COUNTIF($A$2:A2102,A2102)&gt;1,"Duplicate",""))</f>
        <v/>
      </c>
      <c r="K2102" s="36" t="str">
        <f aca="false">IF(Raw_Export!$A2102="","",IF(J2102="Duplicate","Duplicate",IF(OR(C2102="UNMAPPED",D2102="UNMAPPED"),"Unmapped",IF(F2102=0,"Blank qty",IF(F2102&lt;0,"Return","OK")))))</f>
        <v>OK</v>
      </c>
      <c r="L2102" s="36" t="n">
        <f aca="false">IF(Raw_Export!$A2102="","",IF(OR(K2102="OK",K2102="Return"),1,0))</f>
        <v>1</v>
      </c>
      <c r="M2102" s="37" t="n">
        <f aca="false">IF(Raw_Export!$A2102="","",B2102-WEEKDAY(B2102,2)+1)</f>
        <v>46272</v>
      </c>
    </row>
    <row r="2103" customFormat="false" ht="15" hidden="false" customHeight="false" outlineLevel="0" collapsed="false">
      <c r="A2103" s="36" t="str">
        <f aca="false">IF(Raw_Export!$A2103="","",TRIM(Raw_Export!A2103))</f>
        <v>TXN-102061</v>
      </c>
      <c r="B2103" s="37" t="n">
        <f aca="false">IF(Raw_Export!$A2103="","",IF(ISNUMBER(Raw_Export!B2103),Raw_Export!B2103,IF(MID(TRIM(Raw_Export!B2103),5,1)="-",DATE(LEFT(TRIM(Raw_Export!B2103),4),MID(TRIM(Raw_Export!B2103),6,2),RIGHT(TRIM(Raw_Export!B2103),2)),DATE(RIGHT(TRIM(Raw_Export!B2103),4),MATCH(MID(TRIM(Raw_Export!B2103),4,3),{"Jan","Feb","Mar","Apr","May","Jun","Jul","Aug","Sep","Oct","Nov","Dec"},0),LEFT(TRIM(Raw_Export!B2103),2)))))</f>
        <v>46278</v>
      </c>
      <c r="C2103" s="36" t="str">
        <f aca="false">IF(Raw_Export!$A2103="","",IFERROR(VLOOKUP(LOWER(TRIM(Raw_Export!C2103)),Maps!$A$2:$B$20,2,FALSE()),"UNMAPPED"))</f>
        <v>Westlands</v>
      </c>
      <c r="D2103" s="36" t="str">
        <f aca="false">IF(Raw_Export!$A2103="","",IFERROR(VLOOKUP(LOWER(TRIM(Raw_Export!D2103)),Maps!$G$2:$I$80,2,FALSE()),"UNMAPPED"))</f>
        <v>Fresh Milk 500ml</v>
      </c>
      <c r="E2103" s="36" t="str">
        <f aca="false">IF(Raw_Export!$A2103="","",IFERROR(VLOOKUP(LOWER(TRIM(Raw_Export!D2103)),Maps!$G$2:$I$80,3,FALSE()),"UNMAPPED"))</f>
        <v>Dairy &amp; Eggs</v>
      </c>
      <c r="F2103" s="36" t="n">
        <f aca="false">IF(Raw_Export!$A2103="","",IFERROR(VALUE(TRIM(Raw_Export!E2103)),0))</f>
        <v>1</v>
      </c>
      <c r="G2103" s="38" t="n">
        <f aca="false">IF(Raw_Export!$A2103="","",IFERROR(VALUE(SUBSTITUTE(SUBSTITUTE(UPPER(TRIM(Raw_Export!F2103)),"KES",""),",","")),0))</f>
        <v>65</v>
      </c>
      <c r="H2103" s="38" t="n">
        <f aca="false">IF(Raw_Export!$A2103="","",F2103*G2103)</f>
        <v>65</v>
      </c>
      <c r="I2103" s="36" t="str">
        <f aca="false">IF(Raw_Export!$A2103="","",IFERROR(VLOOKUP(LOWER(TRIM(Raw_Export!H2103)),Maps!$D$2:$E$12,2,FALSE()),"Other"))</f>
        <v>M-Pesa</v>
      </c>
      <c r="J2103" s="36" t="str">
        <f aca="false">IF(Raw_Export!$A2103="","",IF(COUNTIF($A$2:A2103,A2103)&gt;1,"Duplicate",""))</f>
        <v/>
      </c>
      <c r="K2103" s="36" t="str">
        <f aca="false">IF(Raw_Export!$A2103="","",IF(J2103="Duplicate","Duplicate",IF(OR(C2103="UNMAPPED",D2103="UNMAPPED"),"Unmapped",IF(F2103=0,"Blank qty",IF(F2103&lt;0,"Return","OK")))))</f>
        <v>OK</v>
      </c>
      <c r="L2103" s="36" t="n">
        <f aca="false">IF(Raw_Export!$A2103="","",IF(OR(K2103="OK",K2103="Return"),1,0))</f>
        <v>1</v>
      </c>
      <c r="M2103" s="37" t="n">
        <f aca="false">IF(Raw_Export!$A2103="","",B2103-WEEKDAY(B2103,2)+1)</f>
        <v>46272</v>
      </c>
    </row>
    <row r="2104" customFormat="false" ht="15" hidden="false" customHeight="false" outlineLevel="0" collapsed="false">
      <c r="A2104" s="36" t="str">
        <f aca="false">IF(Raw_Export!$A2104="","",TRIM(Raw_Export!A2104))</f>
        <v>TXN-102062</v>
      </c>
      <c r="B2104" s="37" t="n">
        <f aca="false">IF(Raw_Export!$A2104="","",IF(ISNUMBER(Raw_Export!B2104),Raw_Export!B2104,IF(MID(TRIM(Raw_Export!B2104),5,1)="-",DATE(LEFT(TRIM(Raw_Export!B2104),4),MID(TRIM(Raw_Export!B2104),6,2),RIGHT(TRIM(Raw_Export!B2104),2)),DATE(RIGHT(TRIM(Raw_Export!B2104),4),MATCH(MID(TRIM(Raw_Export!B2104),4,3),{"Jan","Feb","Mar","Apr","May","Jun","Jul","Aug","Sep","Oct","Nov","Dec"},0),LEFT(TRIM(Raw_Export!B2104),2)))))</f>
        <v>46278</v>
      </c>
      <c r="C2104" s="36" t="str">
        <f aca="false">IF(Raw_Export!$A2104="","",IFERROR(VLOOKUP(LOWER(TRIM(Raw_Export!C2104)),Maps!$A$2:$B$20,2,FALSE()),"UNMAPPED"))</f>
        <v>Westlands</v>
      </c>
      <c r="D2104" s="36" t="str">
        <f aca="false">IF(Raw_Export!$A2104="","",IFERROR(VLOOKUP(LOWER(TRIM(Raw_Export!D2104)),Maps!$G$2:$I$80,2,FALSE()),"UNMAPPED"))</f>
        <v>Crisps 100g</v>
      </c>
      <c r="E2104" s="36" t="str">
        <f aca="false">IF(Raw_Export!$A2104="","",IFERROR(VLOOKUP(LOWER(TRIM(Raw_Export!D2104)),Maps!$G$2:$I$80,3,FALSE()),"UNMAPPED"))</f>
        <v>Snacks</v>
      </c>
      <c r="F2104" s="36" t="n">
        <f aca="false">IF(Raw_Export!$A2104="","",IFERROR(VALUE(TRIM(Raw_Export!E2104)),0))</f>
        <v>6</v>
      </c>
      <c r="G2104" s="38" t="n">
        <f aca="false">IF(Raw_Export!$A2104="","",IFERROR(VALUE(SUBSTITUTE(SUBSTITUTE(UPPER(TRIM(Raw_Export!F2104)),"KES",""),",","")),0))</f>
        <v>80</v>
      </c>
      <c r="H2104" s="38" t="n">
        <f aca="false">IF(Raw_Export!$A2104="","",F2104*G2104)</f>
        <v>480</v>
      </c>
      <c r="I2104" s="36" t="str">
        <f aca="false">IF(Raw_Export!$A2104="","",IFERROR(VLOOKUP(LOWER(TRIM(Raw_Export!H2104)),Maps!$D$2:$E$12,2,FALSE()),"Other"))</f>
        <v>M-Pesa</v>
      </c>
      <c r="J2104" s="36" t="str">
        <f aca="false">IF(Raw_Export!$A2104="","",IF(COUNTIF($A$2:A2104,A2104)&gt;1,"Duplicate",""))</f>
        <v/>
      </c>
      <c r="K2104" s="36" t="str">
        <f aca="false">IF(Raw_Export!$A2104="","",IF(J2104="Duplicate","Duplicate",IF(OR(C2104="UNMAPPED",D2104="UNMAPPED"),"Unmapped",IF(F2104=0,"Blank qty",IF(F2104&lt;0,"Return","OK")))))</f>
        <v>OK</v>
      </c>
      <c r="L2104" s="36" t="n">
        <f aca="false">IF(Raw_Export!$A2104="","",IF(OR(K2104="OK",K2104="Return"),1,0))</f>
        <v>1</v>
      </c>
      <c r="M2104" s="37" t="n">
        <f aca="false">IF(Raw_Export!$A2104="","",B2104-WEEKDAY(B2104,2)+1)</f>
        <v>46272</v>
      </c>
    </row>
    <row r="2105" customFormat="false" ht="15" hidden="false" customHeight="false" outlineLevel="0" collapsed="false">
      <c r="A2105" s="36" t="str">
        <f aca="false">IF(Raw_Export!$A2105="","",TRIM(Raw_Export!A2105))</f>
        <v>TXN-102063</v>
      </c>
      <c r="B2105" s="37" t="n">
        <f aca="false">IF(Raw_Export!$A2105="","",IF(ISNUMBER(Raw_Export!B2105),Raw_Export!B2105,IF(MID(TRIM(Raw_Export!B2105),5,1)="-",DATE(LEFT(TRIM(Raw_Export!B2105),4),MID(TRIM(Raw_Export!B2105),6,2),RIGHT(TRIM(Raw_Export!B2105),2)),DATE(RIGHT(TRIM(Raw_Export!B2105),4),MATCH(MID(TRIM(Raw_Export!B2105),4,3),{"Jan","Feb","Mar","Apr","May","Jun","Jul","Aug","Sep","Oct","Nov","Dec"},0),LEFT(TRIM(Raw_Export!B2105),2)))))</f>
        <v>46278</v>
      </c>
      <c r="C2105" s="36" t="str">
        <f aca="false">IF(Raw_Export!$A2105="","",IFERROR(VLOOKUP(LOWER(TRIM(Raw_Export!C2105)),Maps!$A$2:$B$20,2,FALSE()),"UNMAPPED"))</f>
        <v>Westlands</v>
      </c>
      <c r="D2105" s="36" t="str">
        <f aca="false">IF(Raw_Export!$A2105="","",IFERROR(VLOOKUP(LOWER(TRIM(Raw_Export!D2105)),Maps!$G$2:$I$80,2,FALSE()),"UNMAPPED"))</f>
        <v>Toothpaste 100g</v>
      </c>
      <c r="E2105" s="36" t="str">
        <f aca="false">IF(Raw_Export!$A2105="","",IFERROR(VLOOKUP(LOWER(TRIM(Raw_Export!D2105)),Maps!$G$2:$I$80,3,FALSE()),"UNMAPPED"))</f>
        <v>Personal Care</v>
      </c>
      <c r="F2105" s="36" t="n">
        <f aca="false">IF(Raw_Export!$A2105="","",IFERROR(VALUE(TRIM(Raw_Export!E2105)),0))</f>
        <v>3</v>
      </c>
      <c r="G2105" s="38" t="n">
        <f aca="false">IF(Raw_Export!$A2105="","",IFERROR(VALUE(SUBSTITUTE(SUBSTITUTE(UPPER(TRIM(Raw_Export!F2105)),"KES",""),",","")),0))</f>
        <v>195</v>
      </c>
      <c r="H2105" s="38" t="n">
        <f aca="false">IF(Raw_Export!$A2105="","",F2105*G2105)</f>
        <v>585</v>
      </c>
      <c r="I2105" s="36" t="str">
        <f aca="false">IF(Raw_Export!$A2105="","",IFERROR(VLOOKUP(LOWER(TRIM(Raw_Export!H2105)),Maps!$D$2:$E$12,2,FALSE()),"Other"))</f>
        <v>Cash</v>
      </c>
      <c r="J2105" s="36" t="str">
        <f aca="false">IF(Raw_Export!$A2105="","",IF(COUNTIF($A$2:A2105,A2105)&gt;1,"Duplicate",""))</f>
        <v/>
      </c>
      <c r="K2105" s="36" t="str">
        <f aca="false">IF(Raw_Export!$A2105="","",IF(J2105="Duplicate","Duplicate",IF(OR(C2105="UNMAPPED",D2105="UNMAPPED"),"Unmapped",IF(F2105=0,"Blank qty",IF(F2105&lt;0,"Return","OK")))))</f>
        <v>OK</v>
      </c>
      <c r="L2105" s="36" t="n">
        <f aca="false">IF(Raw_Export!$A2105="","",IF(OR(K2105="OK",K2105="Return"),1,0))</f>
        <v>1</v>
      </c>
      <c r="M2105" s="37" t="n">
        <f aca="false">IF(Raw_Export!$A2105="","",B2105-WEEKDAY(B2105,2)+1)</f>
        <v>46272</v>
      </c>
    </row>
    <row r="2106" customFormat="false" ht="15" hidden="false" customHeight="false" outlineLevel="0" collapsed="false">
      <c r="A2106" s="36" t="str">
        <f aca="false">IF(Raw_Export!$A2106="","",TRIM(Raw_Export!A2106))</f>
        <v>TXN-102064</v>
      </c>
      <c r="B2106" s="37" t="n">
        <f aca="false">IF(Raw_Export!$A2106="","",IF(ISNUMBER(Raw_Export!B2106),Raw_Export!B2106,IF(MID(TRIM(Raw_Export!B2106),5,1)="-",DATE(LEFT(TRIM(Raw_Export!B2106),4),MID(TRIM(Raw_Export!B2106),6,2),RIGHT(TRIM(Raw_Export!B2106),2)),DATE(RIGHT(TRIM(Raw_Export!B2106),4),MATCH(MID(TRIM(Raw_Export!B2106),4,3),{"Jan","Feb","Mar","Apr","May","Jun","Jul","Aug","Sep","Oct","Nov","Dec"},0),LEFT(TRIM(Raw_Export!B2106),2)))))</f>
        <v>46278</v>
      </c>
      <c r="C2106" s="36" t="str">
        <f aca="false">IF(Raw_Export!$A2106="","",IFERROR(VLOOKUP(LOWER(TRIM(Raw_Export!C2106)),Maps!$A$2:$B$20,2,FALSE()),"UNMAPPED"))</f>
        <v>Westlands</v>
      </c>
      <c r="D2106" s="36" t="str">
        <f aca="false">IF(Raw_Export!$A2106="","",IFERROR(VLOOKUP(LOWER(TRIM(Raw_Export!D2106)),Maps!$G$2:$I$80,2,FALSE()),"UNMAPPED"))</f>
        <v>Juice 1L</v>
      </c>
      <c r="E2106" s="36" t="str">
        <f aca="false">IF(Raw_Export!$A2106="","",IFERROR(VLOOKUP(LOWER(TRIM(Raw_Export!D2106)),Maps!$G$2:$I$80,3,FALSE()),"UNMAPPED"))</f>
        <v>Beverages</v>
      </c>
      <c r="F2106" s="36" t="n">
        <f aca="false">IF(Raw_Export!$A2106="","",IFERROR(VALUE(TRIM(Raw_Export!E2106)),0))</f>
        <v>1</v>
      </c>
      <c r="G2106" s="38" t="n">
        <f aca="false">IF(Raw_Export!$A2106="","",IFERROR(VALUE(SUBSTITUTE(SUBSTITUTE(UPPER(TRIM(Raw_Export!F2106)),"KES",""),",","")),0))</f>
        <v>210</v>
      </c>
      <c r="H2106" s="38" t="n">
        <f aca="false">IF(Raw_Export!$A2106="","",F2106*G2106)</f>
        <v>210</v>
      </c>
      <c r="I2106" s="36" t="str">
        <f aca="false">IF(Raw_Export!$A2106="","",IFERROR(VLOOKUP(LOWER(TRIM(Raw_Export!H2106)),Maps!$D$2:$E$12,2,FALSE()),"Other"))</f>
        <v>Card</v>
      </c>
      <c r="J2106" s="36" t="str">
        <f aca="false">IF(Raw_Export!$A2106="","",IF(COUNTIF($A$2:A2106,A2106)&gt;1,"Duplicate",""))</f>
        <v/>
      </c>
      <c r="K2106" s="36" t="str">
        <f aca="false">IF(Raw_Export!$A2106="","",IF(J2106="Duplicate","Duplicate",IF(OR(C2106="UNMAPPED",D2106="UNMAPPED"),"Unmapped",IF(F2106=0,"Blank qty",IF(F2106&lt;0,"Return","OK")))))</f>
        <v>OK</v>
      </c>
      <c r="L2106" s="36" t="n">
        <f aca="false">IF(Raw_Export!$A2106="","",IF(OR(K2106="OK",K2106="Return"),1,0))</f>
        <v>1</v>
      </c>
      <c r="M2106" s="37" t="n">
        <f aca="false">IF(Raw_Export!$A2106="","",B2106-WEEKDAY(B2106,2)+1)</f>
        <v>46272</v>
      </c>
    </row>
    <row r="2107" customFormat="false" ht="15" hidden="false" customHeight="false" outlineLevel="0" collapsed="false">
      <c r="A2107" s="36" t="str">
        <f aca="false">IF(Raw_Export!$A2107="","",TRIM(Raw_Export!A2107))</f>
        <v>TXN-102065</v>
      </c>
      <c r="B2107" s="37" t="n">
        <f aca="false">IF(Raw_Export!$A2107="","",IF(ISNUMBER(Raw_Export!B2107),Raw_Export!B2107,IF(MID(TRIM(Raw_Export!B2107),5,1)="-",DATE(LEFT(TRIM(Raw_Export!B2107),4),MID(TRIM(Raw_Export!B2107),6,2),RIGHT(TRIM(Raw_Export!B2107),2)),DATE(RIGHT(TRIM(Raw_Export!B2107),4),MATCH(MID(TRIM(Raw_Export!B2107),4,3),{"Jan","Feb","Mar","Apr","May","Jun","Jul","Aug","Sep","Oct","Nov","Dec"},0),LEFT(TRIM(Raw_Export!B2107),2)))))</f>
        <v>46278</v>
      </c>
      <c r="C2107" s="36" t="str">
        <f aca="false">IF(Raw_Export!$A2107="","",IFERROR(VLOOKUP(LOWER(TRIM(Raw_Export!C2107)),Maps!$A$2:$B$20,2,FALSE()),"UNMAPPED"))</f>
        <v>Westlands</v>
      </c>
      <c r="D2107" s="36" t="str">
        <f aca="false">IF(Raw_Export!$A2107="","",IFERROR(VLOOKUP(LOWER(TRIM(Raw_Export!D2107)),Maps!$G$2:$I$80,2,FALSE()),"UNMAPPED"))</f>
        <v>Yoghurt 500ml</v>
      </c>
      <c r="E2107" s="36" t="str">
        <f aca="false">IF(Raw_Export!$A2107="","",IFERROR(VLOOKUP(LOWER(TRIM(Raw_Export!D2107)),Maps!$G$2:$I$80,3,FALSE()),"UNMAPPED"))</f>
        <v>Dairy &amp; Eggs</v>
      </c>
      <c r="F2107" s="36" t="n">
        <f aca="false">IF(Raw_Export!$A2107="","",IFERROR(VALUE(TRIM(Raw_Export!E2107)),0))</f>
        <v>2</v>
      </c>
      <c r="G2107" s="38" t="n">
        <f aca="false">IF(Raw_Export!$A2107="","",IFERROR(VALUE(SUBSTITUTE(SUBSTITUTE(UPPER(TRIM(Raw_Export!F2107)),"KES",""),",","")),0))</f>
        <v>120</v>
      </c>
      <c r="H2107" s="38" t="n">
        <f aca="false">IF(Raw_Export!$A2107="","",F2107*G2107)</f>
        <v>240</v>
      </c>
      <c r="I2107" s="36" t="str">
        <f aca="false">IF(Raw_Export!$A2107="","",IFERROR(VLOOKUP(LOWER(TRIM(Raw_Export!H2107)),Maps!$D$2:$E$12,2,FALSE()),"Other"))</f>
        <v>Cash</v>
      </c>
      <c r="J2107" s="36" t="str">
        <f aca="false">IF(Raw_Export!$A2107="","",IF(COUNTIF($A$2:A2107,A2107)&gt;1,"Duplicate",""))</f>
        <v/>
      </c>
      <c r="K2107" s="36" t="str">
        <f aca="false">IF(Raw_Export!$A2107="","",IF(J2107="Duplicate","Duplicate",IF(OR(C2107="UNMAPPED",D2107="UNMAPPED"),"Unmapped",IF(F2107=0,"Blank qty",IF(F2107&lt;0,"Return","OK")))))</f>
        <v>OK</v>
      </c>
      <c r="L2107" s="36" t="n">
        <f aca="false">IF(Raw_Export!$A2107="","",IF(OR(K2107="OK",K2107="Return"),1,0))</f>
        <v>1</v>
      </c>
      <c r="M2107" s="37" t="n">
        <f aca="false">IF(Raw_Export!$A2107="","",B2107-WEEKDAY(B2107,2)+1)</f>
        <v>46272</v>
      </c>
    </row>
    <row r="2108" customFormat="false" ht="15" hidden="false" customHeight="false" outlineLevel="0" collapsed="false">
      <c r="A2108" s="36" t="str">
        <f aca="false">IF(Raw_Export!$A2108="","",TRIM(Raw_Export!A2108))</f>
        <v>TXN-102066</v>
      </c>
      <c r="B2108" s="37" t="n">
        <f aca="false">IF(Raw_Export!$A2108="","",IF(ISNUMBER(Raw_Export!B2108),Raw_Export!B2108,IF(MID(TRIM(Raw_Export!B2108),5,1)="-",DATE(LEFT(TRIM(Raw_Export!B2108),4),MID(TRIM(Raw_Export!B2108),6,2),RIGHT(TRIM(Raw_Export!B2108),2)),DATE(RIGHT(TRIM(Raw_Export!B2108),4),MATCH(MID(TRIM(Raw_Export!B2108),4,3),{"Jan","Feb","Mar","Apr","May","Jun","Jul","Aug","Sep","Oct","Nov","Dec"},0),LEFT(TRIM(Raw_Export!B2108),2)))))</f>
        <v>46278</v>
      </c>
      <c r="C2108" s="36" t="str">
        <f aca="false">IF(Raw_Export!$A2108="","",IFERROR(VLOOKUP(LOWER(TRIM(Raw_Export!C2108)),Maps!$A$2:$B$20,2,FALSE()),"UNMAPPED"))</f>
        <v>Westlands</v>
      </c>
      <c r="D2108" s="36" t="str">
        <f aca="false">IF(Raw_Export!$A2108="","",IFERROR(VLOOKUP(LOWER(TRIM(Raw_Export!D2108)),Maps!$G$2:$I$80,2,FALSE()),"UNMAPPED"))</f>
        <v>Bleach 1L</v>
      </c>
      <c r="E2108" s="36" t="str">
        <f aca="false">IF(Raw_Export!$A2108="","",IFERROR(VLOOKUP(LOWER(TRIM(Raw_Export!D2108)),Maps!$G$2:$I$80,3,FALSE()),"UNMAPPED"))</f>
        <v>Household</v>
      </c>
      <c r="F2108" s="36" t="n">
        <f aca="false">IF(Raw_Export!$A2108="","",IFERROR(VALUE(TRIM(Raw_Export!E2108)),0))</f>
        <v>6</v>
      </c>
      <c r="G2108" s="38" t="n">
        <f aca="false">IF(Raw_Export!$A2108="","",IFERROR(VALUE(SUBSTITUTE(SUBSTITUTE(UPPER(TRIM(Raw_Export!F2108)),"KES",""),",","")),0))</f>
        <v>144</v>
      </c>
      <c r="H2108" s="38" t="n">
        <f aca="false">IF(Raw_Export!$A2108="","",F2108*G2108)</f>
        <v>864</v>
      </c>
      <c r="I2108" s="36" t="str">
        <f aca="false">IF(Raw_Export!$A2108="","",IFERROR(VLOOKUP(LOWER(TRIM(Raw_Export!H2108)),Maps!$D$2:$E$12,2,FALSE()),"Other"))</f>
        <v>M-Pesa</v>
      </c>
      <c r="J2108" s="36" t="str">
        <f aca="false">IF(Raw_Export!$A2108="","",IF(COUNTIF($A$2:A2108,A2108)&gt;1,"Duplicate",""))</f>
        <v/>
      </c>
      <c r="K2108" s="36" t="str">
        <f aca="false">IF(Raw_Export!$A2108="","",IF(J2108="Duplicate","Duplicate",IF(OR(C2108="UNMAPPED",D2108="UNMAPPED"),"Unmapped",IF(F2108=0,"Blank qty",IF(F2108&lt;0,"Return","OK")))))</f>
        <v>OK</v>
      </c>
      <c r="L2108" s="36" t="n">
        <f aca="false">IF(Raw_Export!$A2108="","",IF(OR(K2108="OK",K2108="Return"),1,0))</f>
        <v>1</v>
      </c>
      <c r="M2108" s="37" t="n">
        <f aca="false">IF(Raw_Export!$A2108="","",B2108-WEEKDAY(B2108,2)+1)</f>
        <v>46272</v>
      </c>
    </row>
    <row r="2109" customFormat="false" ht="15" hidden="false" customHeight="false" outlineLevel="0" collapsed="false">
      <c r="A2109" s="36" t="str">
        <f aca="false">IF(Raw_Export!$A2109="","",TRIM(Raw_Export!A2109))</f>
        <v>TXN-102067</v>
      </c>
      <c r="B2109" s="37" t="n">
        <f aca="false">IF(Raw_Export!$A2109="","",IF(ISNUMBER(Raw_Export!B2109),Raw_Export!B2109,IF(MID(TRIM(Raw_Export!B2109),5,1)="-",DATE(LEFT(TRIM(Raw_Export!B2109),4),MID(TRIM(Raw_Export!B2109),6,2),RIGHT(TRIM(Raw_Export!B2109),2)),DATE(RIGHT(TRIM(Raw_Export!B2109),4),MATCH(MID(TRIM(Raw_Export!B2109),4,3),{"Jan","Feb","Mar","Apr","May","Jun","Jul","Aug","Sep","Oct","Nov","Dec"},0),LEFT(TRIM(Raw_Export!B2109),2)))))</f>
        <v>46278</v>
      </c>
      <c r="C2109" s="36" t="str">
        <f aca="false">IF(Raw_Export!$A2109="","",IFERROR(VLOOKUP(LOWER(TRIM(Raw_Export!C2109)),Maps!$A$2:$B$20,2,FALSE()),"UNMAPPED"))</f>
        <v>Westlands</v>
      </c>
      <c r="D2109" s="36" t="str">
        <f aca="false">IF(Raw_Export!$A2109="","",IFERROR(VLOOKUP(LOWER(TRIM(Raw_Export!D2109)),Maps!$G$2:$I$80,2,FALSE()),"UNMAPPED"))</f>
        <v>Bath Soap 175g</v>
      </c>
      <c r="E2109" s="36" t="str">
        <f aca="false">IF(Raw_Export!$A2109="","",IFERROR(VLOOKUP(LOWER(TRIM(Raw_Export!D2109)),Maps!$G$2:$I$80,3,FALSE()),"UNMAPPED"))</f>
        <v>Personal Care</v>
      </c>
      <c r="F2109" s="36" t="n">
        <f aca="false">IF(Raw_Export!$A2109="","",IFERROR(VALUE(TRIM(Raw_Export!E2109)),0))</f>
        <v>1</v>
      </c>
      <c r="G2109" s="38" t="n">
        <f aca="false">IF(Raw_Export!$A2109="","",IFERROR(VALUE(SUBSTITUTE(SUBSTITUTE(UPPER(TRIM(Raw_Export!F2109)),"KES",""),",","")),0))</f>
        <v>85</v>
      </c>
      <c r="H2109" s="38" t="n">
        <f aca="false">IF(Raw_Export!$A2109="","",F2109*G2109)</f>
        <v>85</v>
      </c>
      <c r="I2109" s="36" t="str">
        <f aca="false">IF(Raw_Export!$A2109="","",IFERROR(VLOOKUP(LOWER(TRIM(Raw_Export!H2109)),Maps!$D$2:$E$12,2,FALSE()),"Other"))</f>
        <v>Cash</v>
      </c>
      <c r="J2109" s="36" t="str">
        <f aca="false">IF(Raw_Export!$A2109="","",IF(COUNTIF($A$2:A2109,A2109)&gt;1,"Duplicate",""))</f>
        <v/>
      </c>
      <c r="K2109" s="36" t="str">
        <f aca="false">IF(Raw_Export!$A2109="","",IF(J2109="Duplicate","Duplicate",IF(OR(C2109="UNMAPPED",D2109="UNMAPPED"),"Unmapped",IF(F2109=0,"Blank qty",IF(F2109&lt;0,"Return","OK")))))</f>
        <v>OK</v>
      </c>
      <c r="L2109" s="36" t="n">
        <f aca="false">IF(Raw_Export!$A2109="","",IF(OR(K2109="OK",K2109="Return"),1,0))</f>
        <v>1</v>
      </c>
      <c r="M2109" s="37" t="n">
        <f aca="false">IF(Raw_Export!$A2109="","",B2109-WEEKDAY(B2109,2)+1)</f>
        <v>46272</v>
      </c>
    </row>
    <row r="2110" customFormat="false" ht="15" hidden="false" customHeight="false" outlineLevel="0" collapsed="false">
      <c r="A2110" s="36" t="str">
        <f aca="false">IF(Raw_Export!$A2110="","",TRIM(Raw_Export!A2110))</f>
        <v>TXN-102068</v>
      </c>
      <c r="B2110" s="37" t="n">
        <f aca="false">IF(Raw_Export!$A2110="","",IF(ISNUMBER(Raw_Export!B2110),Raw_Export!B2110,IF(MID(TRIM(Raw_Export!B2110),5,1)="-",DATE(LEFT(TRIM(Raw_Export!B2110),4),MID(TRIM(Raw_Export!B2110),6,2),RIGHT(TRIM(Raw_Export!B2110),2)),DATE(RIGHT(TRIM(Raw_Export!B2110),4),MATCH(MID(TRIM(Raw_Export!B2110),4,3),{"Jan","Feb","Mar","Apr","May","Jun","Jul","Aug","Sep","Oct","Nov","Dec"},0),LEFT(TRIM(Raw_Export!B2110),2)))))</f>
        <v>46278</v>
      </c>
      <c r="C2110" s="36" t="str">
        <f aca="false">IF(Raw_Export!$A2110="","",IFERROR(VLOOKUP(LOWER(TRIM(Raw_Export!C2110)),Maps!$A$2:$B$20,2,FALSE()),"UNMAPPED"))</f>
        <v>Westlands</v>
      </c>
      <c r="D2110" s="36" t="str">
        <f aca="false">IF(Raw_Export!$A2110="","",IFERROR(VLOOKUP(LOWER(TRIM(Raw_Export!D2110)),Maps!$G$2:$I$80,2,FALSE()),"UNMAPPED"))</f>
        <v>Yoghurt 500ml</v>
      </c>
      <c r="E2110" s="36" t="str">
        <f aca="false">IF(Raw_Export!$A2110="","",IFERROR(VLOOKUP(LOWER(TRIM(Raw_Export!D2110)),Maps!$G$2:$I$80,3,FALSE()),"UNMAPPED"))</f>
        <v>Dairy &amp; Eggs</v>
      </c>
      <c r="F2110" s="36" t="n">
        <f aca="false">IF(Raw_Export!$A2110="","",IFERROR(VALUE(TRIM(Raw_Export!E2110)),0))</f>
        <v>1</v>
      </c>
      <c r="G2110" s="38" t="n">
        <f aca="false">IF(Raw_Export!$A2110="","",IFERROR(VALUE(SUBSTITUTE(SUBSTITUTE(UPPER(TRIM(Raw_Export!F2110)),"KES",""),",","")),0))</f>
        <v>120</v>
      </c>
      <c r="H2110" s="38" t="n">
        <f aca="false">IF(Raw_Export!$A2110="","",F2110*G2110)</f>
        <v>120</v>
      </c>
      <c r="I2110" s="36" t="str">
        <f aca="false">IF(Raw_Export!$A2110="","",IFERROR(VLOOKUP(LOWER(TRIM(Raw_Export!H2110)),Maps!$D$2:$E$12,2,FALSE()),"Other"))</f>
        <v>Cash</v>
      </c>
      <c r="J2110" s="36" t="str">
        <f aca="false">IF(Raw_Export!$A2110="","",IF(COUNTIF($A$2:A2110,A2110)&gt;1,"Duplicate",""))</f>
        <v/>
      </c>
      <c r="K2110" s="36" t="str">
        <f aca="false">IF(Raw_Export!$A2110="","",IF(J2110="Duplicate","Duplicate",IF(OR(C2110="UNMAPPED",D2110="UNMAPPED"),"Unmapped",IF(F2110=0,"Blank qty",IF(F2110&lt;0,"Return","OK")))))</f>
        <v>OK</v>
      </c>
      <c r="L2110" s="36" t="n">
        <f aca="false">IF(Raw_Export!$A2110="","",IF(OR(K2110="OK",K2110="Return"),1,0))</f>
        <v>1</v>
      </c>
      <c r="M2110" s="37" t="n">
        <f aca="false">IF(Raw_Export!$A2110="","",B2110-WEEKDAY(B2110,2)+1)</f>
        <v>46272</v>
      </c>
    </row>
    <row r="2111" customFormat="false" ht="15" hidden="false" customHeight="false" outlineLevel="0" collapsed="false">
      <c r="A2111" s="36" t="str">
        <f aca="false">IF(Raw_Export!$A2111="","",TRIM(Raw_Export!A2111))</f>
        <v>TXN-102069</v>
      </c>
      <c r="B2111" s="37" t="n">
        <f aca="false">IF(Raw_Export!$A2111="","",IF(ISNUMBER(Raw_Export!B2111),Raw_Export!B2111,IF(MID(TRIM(Raw_Export!B2111),5,1)="-",DATE(LEFT(TRIM(Raw_Export!B2111),4),MID(TRIM(Raw_Export!B2111),6,2),RIGHT(TRIM(Raw_Export!B2111),2)),DATE(RIGHT(TRIM(Raw_Export!B2111),4),MATCH(MID(TRIM(Raw_Export!B2111),4,3),{"Jan","Feb","Mar","Apr","May","Jun","Jul","Aug","Sep","Oct","Nov","Dec"},0),LEFT(TRIM(Raw_Export!B2111),2)))))</f>
        <v>46278</v>
      </c>
      <c r="C2111" s="36" t="str">
        <f aca="false">IF(Raw_Export!$A2111="","",IFERROR(VLOOKUP(LOWER(TRIM(Raw_Export!C2111)),Maps!$A$2:$B$20,2,FALSE()),"UNMAPPED"))</f>
        <v>Westlands</v>
      </c>
      <c r="D2111" s="36" t="str">
        <f aca="false">IF(Raw_Export!$A2111="","",IFERROR(VLOOKUP(LOWER(TRIM(Raw_Export!D2111)),Maps!$G$2:$I$80,2,FALSE()),"UNMAPPED"))</f>
        <v>Coffee 100g</v>
      </c>
      <c r="E2111" s="36" t="str">
        <f aca="false">IF(Raw_Export!$A2111="","",IFERROR(VLOOKUP(LOWER(TRIM(Raw_Export!D2111)),Maps!$G$2:$I$80,3,FALSE()),"UNMAPPED"))</f>
        <v>Beverages</v>
      </c>
      <c r="F2111" s="36" t="n">
        <f aca="false">IF(Raw_Export!$A2111="","",IFERROR(VALUE(TRIM(Raw_Export!E2111)),0))</f>
        <v>2</v>
      </c>
      <c r="G2111" s="38" t="n">
        <f aca="false">IF(Raw_Export!$A2111="","",IFERROR(VALUE(SUBSTITUTE(SUBSTITUTE(UPPER(TRIM(Raw_Export!F2111)),"KES",""),",","")),0))</f>
        <v>360</v>
      </c>
      <c r="H2111" s="38" t="n">
        <f aca="false">IF(Raw_Export!$A2111="","",F2111*G2111)</f>
        <v>720</v>
      </c>
      <c r="I2111" s="36" t="str">
        <f aca="false">IF(Raw_Export!$A2111="","",IFERROR(VLOOKUP(LOWER(TRIM(Raw_Export!H2111)),Maps!$D$2:$E$12,2,FALSE()),"Other"))</f>
        <v>M-Pesa</v>
      </c>
      <c r="J2111" s="36" t="str">
        <f aca="false">IF(Raw_Export!$A2111="","",IF(COUNTIF($A$2:A2111,A2111)&gt;1,"Duplicate",""))</f>
        <v/>
      </c>
      <c r="K2111" s="36" t="str">
        <f aca="false">IF(Raw_Export!$A2111="","",IF(J2111="Duplicate","Duplicate",IF(OR(C2111="UNMAPPED",D2111="UNMAPPED"),"Unmapped",IF(F2111=0,"Blank qty",IF(F2111&lt;0,"Return","OK")))))</f>
        <v>OK</v>
      </c>
      <c r="L2111" s="36" t="n">
        <f aca="false">IF(Raw_Export!$A2111="","",IF(OR(K2111="OK",K2111="Return"),1,0))</f>
        <v>1</v>
      </c>
      <c r="M2111" s="37" t="n">
        <f aca="false">IF(Raw_Export!$A2111="","",B2111-WEEKDAY(B2111,2)+1)</f>
        <v>46272</v>
      </c>
    </row>
    <row r="2112" customFormat="false" ht="15" hidden="false" customHeight="false" outlineLevel="0" collapsed="false">
      <c r="A2112" s="36" t="str">
        <f aca="false">IF(Raw_Export!$A2112="","",TRIM(Raw_Export!A2112))</f>
        <v>TXN-102070</v>
      </c>
      <c r="B2112" s="37" t="n">
        <f aca="false">IF(Raw_Export!$A2112="","",IF(ISNUMBER(Raw_Export!B2112),Raw_Export!B2112,IF(MID(TRIM(Raw_Export!B2112),5,1)="-",DATE(LEFT(TRIM(Raw_Export!B2112),4),MID(TRIM(Raw_Export!B2112),6,2),RIGHT(TRIM(Raw_Export!B2112),2)),DATE(RIGHT(TRIM(Raw_Export!B2112),4),MATCH(MID(TRIM(Raw_Export!B2112),4,3),{"Jan","Feb","Mar","Apr","May","Jun","Jul","Aug","Sep","Oct","Nov","Dec"},0),LEFT(TRIM(Raw_Export!B2112),2)))))</f>
        <v>46278</v>
      </c>
      <c r="C2112" s="36" t="str">
        <f aca="false">IF(Raw_Export!$A2112="","",IFERROR(VLOOKUP(LOWER(TRIM(Raw_Export!C2112)),Maps!$A$2:$B$20,2,FALSE()),"UNMAPPED"))</f>
        <v>Westlands</v>
      </c>
      <c r="D2112" s="36" t="str">
        <f aca="false">IF(Raw_Export!$A2112="","",IFERROR(VLOOKUP(LOWER(TRIM(Raw_Export!D2112)),Maps!$G$2:$I$80,2,FALSE()),"UNMAPPED"))</f>
        <v>Yoghurt 500ml</v>
      </c>
      <c r="E2112" s="36" t="str">
        <f aca="false">IF(Raw_Export!$A2112="","",IFERROR(VLOOKUP(LOWER(TRIM(Raw_Export!D2112)),Maps!$G$2:$I$80,3,FALSE()),"UNMAPPED"))</f>
        <v>Dairy &amp; Eggs</v>
      </c>
      <c r="F2112" s="36" t="n">
        <f aca="false">IF(Raw_Export!$A2112="","",IFERROR(VALUE(TRIM(Raw_Export!E2112)),0))</f>
        <v>2</v>
      </c>
      <c r="G2112" s="38" t="n">
        <f aca="false">IF(Raw_Export!$A2112="","",IFERROR(VALUE(SUBSTITUTE(SUBSTITUTE(UPPER(TRIM(Raw_Export!F2112)),"KES",""),",","")),0))</f>
        <v>120</v>
      </c>
      <c r="H2112" s="38" t="n">
        <f aca="false">IF(Raw_Export!$A2112="","",F2112*G2112)</f>
        <v>240</v>
      </c>
      <c r="I2112" s="36" t="str">
        <f aca="false">IF(Raw_Export!$A2112="","",IFERROR(VLOOKUP(LOWER(TRIM(Raw_Export!H2112)),Maps!$D$2:$E$12,2,FALSE()),"Other"))</f>
        <v>Cash</v>
      </c>
      <c r="J2112" s="36" t="str">
        <f aca="false">IF(Raw_Export!$A2112="","",IF(COUNTIF($A$2:A2112,A2112)&gt;1,"Duplicate",""))</f>
        <v/>
      </c>
      <c r="K2112" s="36" t="str">
        <f aca="false">IF(Raw_Export!$A2112="","",IF(J2112="Duplicate","Duplicate",IF(OR(C2112="UNMAPPED",D2112="UNMAPPED"),"Unmapped",IF(F2112=0,"Blank qty",IF(F2112&lt;0,"Return","OK")))))</f>
        <v>OK</v>
      </c>
      <c r="L2112" s="36" t="n">
        <f aca="false">IF(Raw_Export!$A2112="","",IF(OR(K2112="OK",K2112="Return"),1,0))</f>
        <v>1</v>
      </c>
      <c r="M2112" s="37" t="n">
        <f aca="false">IF(Raw_Export!$A2112="","",B2112-WEEKDAY(B2112,2)+1)</f>
        <v>46272</v>
      </c>
    </row>
    <row r="2113" customFormat="false" ht="15" hidden="false" customHeight="false" outlineLevel="0" collapsed="false">
      <c r="A2113" s="36" t="str">
        <f aca="false">IF(Raw_Export!$A2113="","",TRIM(Raw_Export!A2113))</f>
        <v>TXN-102071</v>
      </c>
      <c r="B2113" s="37" t="n">
        <f aca="false">IF(Raw_Export!$A2113="","",IF(ISNUMBER(Raw_Export!B2113),Raw_Export!B2113,IF(MID(TRIM(Raw_Export!B2113),5,1)="-",DATE(LEFT(TRIM(Raw_Export!B2113),4),MID(TRIM(Raw_Export!B2113),6,2),RIGHT(TRIM(Raw_Export!B2113),2)),DATE(RIGHT(TRIM(Raw_Export!B2113),4),MATCH(MID(TRIM(Raw_Export!B2113),4,3),{"Jan","Feb","Mar","Apr","May","Jun","Jul","Aug","Sep","Oct","Nov","Dec"},0),LEFT(TRIM(Raw_Export!B2113),2)))))</f>
        <v>46278</v>
      </c>
      <c r="C2113" s="36" t="str">
        <f aca="false">IF(Raw_Export!$A2113="","",IFERROR(VLOOKUP(LOWER(TRIM(Raw_Export!C2113)),Maps!$A$2:$B$20,2,FALSE()),"UNMAPPED"))</f>
        <v>Westlands</v>
      </c>
      <c r="D2113" s="36" t="str">
        <f aca="false">IF(Raw_Export!$A2113="","",IFERROR(VLOOKUP(LOWER(TRIM(Raw_Export!D2113)),Maps!$G$2:$I$80,2,FALSE()),"UNMAPPED"))</f>
        <v>Tea Leaves 250g</v>
      </c>
      <c r="E2113" s="36" t="str">
        <f aca="false">IF(Raw_Export!$A2113="","",IFERROR(VLOOKUP(LOWER(TRIM(Raw_Export!D2113)),Maps!$G$2:$I$80,3,FALSE()),"UNMAPPED"))</f>
        <v>Beverages</v>
      </c>
      <c r="F2113" s="36" t="n">
        <f aca="false">IF(Raw_Export!$A2113="","",IFERROR(VALUE(TRIM(Raw_Export!E2113)),0))</f>
        <v>1</v>
      </c>
      <c r="G2113" s="38" t="n">
        <f aca="false">IF(Raw_Export!$A2113="","",IFERROR(VALUE(SUBSTITUTE(SUBSTITUTE(UPPER(TRIM(Raw_Export!F2113)),"KES",""),",","")),0))</f>
        <v>150</v>
      </c>
      <c r="H2113" s="38" t="n">
        <f aca="false">IF(Raw_Export!$A2113="","",F2113*G2113)</f>
        <v>150</v>
      </c>
      <c r="I2113" s="36" t="str">
        <f aca="false">IF(Raw_Export!$A2113="","",IFERROR(VLOOKUP(LOWER(TRIM(Raw_Export!H2113)),Maps!$D$2:$E$12,2,FALSE()),"Other"))</f>
        <v>M-Pesa</v>
      </c>
      <c r="J2113" s="36" t="str">
        <f aca="false">IF(Raw_Export!$A2113="","",IF(COUNTIF($A$2:A2113,A2113)&gt;1,"Duplicate",""))</f>
        <v/>
      </c>
      <c r="K2113" s="36" t="str">
        <f aca="false">IF(Raw_Export!$A2113="","",IF(J2113="Duplicate","Duplicate",IF(OR(C2113="UNMAPPED",D2113="UNMAPPED"),"Unmapped",IF(F2113=0,"Blank qty",IF(F2113&lt;0,"Return","OK")))))</f>
        <v>OK</v>
      </c>
      <c r="L2113" s="36" t="n">
        <f aca="false">IF(Raw_Export!$A2113="","",IF(OR(K2113="OK",K2113="Return"),1,0))</f>
        <v>1</v>
      </c>
      <c r="M2113" s="37" t="n">
        <f aca="false">IF(Raw_Export!$A2113="","",B2113-WEEKDAY(B2113,2)+1)</f>
        <v>46272</v>
      </c>
    </row>
    <row r="2114" customFormat="false" ht="15" hidden="false" customHeight="false" outlineLevel="0" collapsed="false">
      <c r="A2114" s="36" t="str">
        <f aca="false">IF(Raw_Export!$A2114="","",TRIM(Raw_Export!A2114))</f>
        <v>TXN-102072</v>
      </c>
      <c r="B2114" s="37" t="n">
        <f aca="false">IF(Raw_Export!$A2114="","",IF(ISNUMBER(Raw_Export!B2114),Raw_Export!B2114,IF(MID(TRIM(Raw_Export!B2114),5,1)="-",DATE(LEFT(TRIM(Raw_Export!B2114),4),MID(TRIM(Raw_Export!B2114),6,2),RIGHT(TRIM(Raw_Export!B2114),2)),DATE(RIGHT(TRIM(Raw_Export!B2114),4),MATCH(MID(TRIM(Raw_Export!B2114),4,3),{"Jan","Feb","Mar","Apr","May","Jun","Jul","Aug","Sep","Oct","Nov","Dec"},0),LEFT(TRIM(Raw_Export!B2114),2)))))</f>
        <v>46278</v>
      </c>
      <c r="C2114" s="36" t="str">
        <f aca="false">IF(Raw_Export!$A2114="","",IFERROR(VLOOKUP(LOWER(TRIM(Raw_Export!C2114)),Maps!$A$2:$B$20,2,FALSE()),"UNMAPPED"))</f>
        <v>Westlands</v>
      </c>
      <c r="D2114" s="36" t="str">
        <f aca="false">IF(Raw_Export!$A2114="","",IFERROR(VLOOKUP(LOWER(TRIM(Raw_Export!D2114)),Maps!$G$2:$I$80,2,FALSE()),"UNMAPPED"))</f>
        <v>Peanuts 250g</v>
      </c>
      <c r="E2114" s="36" t="str">
        <f aca="false">IF(Raw_Export!$A2114="","",IFERROR(VLOOKUP(LOWER(TRIM(Raw_Export!D2114)),Maps!$G$2:$I$80,3,FALSE()),"UNMAPPED"))</f>
        <v>Snacks</v>
      </c>
      <c r="F2114" s="36" t="n">
        <f aca="false">IF(Raw_Export!$A2114="","",IFERROR(VALUE(TRIM(Raw_Export!E2114)),0))</f>
        <v>1</v>
      </c>
      <c r="G2114" s="38" t="n">
        <f aca="false">IF(Raw_Export!$A2114="","",IFERROR(VALUE(SUBSTITUTE(SUBSTITUTE(UPPER(TRIM(Raw_Export!F2114)),"KES",""),",","")),0))</f>
        <v>130</v>
      </c>
      <c r="H2114" s="38" t="n">
        <f aca="false">IF(Raw_Export!$A2114="","",F2114*G2114)</f>
        <v>130</v>
      </c>
      <c r="I2114" s="36" t="str">
        <f aca="false">IF(Raw_Export!$A2114="","",IFERROR(VLOOKUP(LOWER(TRIM(Raw_Export!H2114)),Maps!$D$2:$E$12,2,FALSE()),"Other"))</f>
        <v>M-Pesa</v>
      </c>
      <c r="J2114" s="36" t="str">
        <f aca="false">IF(Raw_Export!$A2114="","",IF(COUNTIF($A$2:A2114,A2114)&gt;1,"Duplicate",""))</f>
        <v/>
      </c>
      <c r="K2114" s="36" t="str">
        <f aca="false">IF(Raw_Export!$A2114="","",IF(J2114="Duplicate","Duplicate",IF(OR(C2114="UNMAPPED",D2114="UNMAPPED"),"Unmapped",IF(F2114=0,"Blank qty",IF(F2114&lt;0,"Return","OK")))))</f>
        <v>OK</v>
      </c>
      <c r="L2114" s="36" t="n">
        <f aca="false">IF(Raw_Export!$A2114="","",IF(OR(K2114="OK",K2114="Return"),1,0))</f>
        <v>1</v>
      </c>
      <c r="M2114" s="37" t="n">
        <f aca="false">IF(Raw_Export!$A2114="","",B2114-WEEKDAY(B2114,2)+1)</f>
        <v>46272</v>
      </c>
    </row>
    <row r="2115" customFormat="false" ht="15" hidden="false" customHeight="false" outlineLevel="0" collapsed="false">
      <c r="A2115" s="36" t="str">
        <f aca="false">IF(Raw_Export!$A2115="","",TRIM(Raw_Export!A2115))</f>
        <v>TXN-102073</v>
      </c>
      <c r="B2115" s="37" t="n">
        <f aca="false">IF(Raw_Export!$A2115="","",IF(ISNUMBER(Raw_Export!B2115),Raw_Export!B2115,IF(MID(TRIM(Raw_Export!B2115),5,1)="-",DATE(LEFT(TRIM(Raw_Export!B2115),4),MID(TRIM(Raw_Export!B2115),6,2),RIGHT(TRIM(Raw_Export!B2115),2)),DATE(RIGHT(TRIM(Raw_Export!B2115),4),MATCH(MID(TRIM(Raw_Export!B2115),4,3),{"Jan","Feb","Mar","Apr","May","Jun","Jul","Aug","Sep","Oct","Nov","Dec"},0),LEFT(TRIM(Raw_Export!B2115),2)))))</f>
        <v>46278</v>
      </c>
      <c r="C2115" s="36" t="str">
        <f aca="false">IF(Raw_Export!$A2115="","",IFERROR(VLOOKUP(LOWER(TRIM(Raw_Export!C2115)),Maps!$A$2:$B$20,2,FALSE()),"UNMAPPED"))</f>
        <v>Westlands</v>
      </c>
      <c r="D2115" s="36" t="str">
        <f aca="false">IF(Raw_Export!$A2115="","",IFERROR(VLOOKUP(LOWER(TRIM(Raw_Export!D2115)),Maps!$G$2:$I$80,2,FALSE()),"UNMAPPED"))</f>
        <v>Matches 10pk</v>
      </c>
      <c r="E2115" s="36" t="str">
        <f aca="false">IF(Raw_Export!$A2115="","",IFERROR(VLOOKUP(LOWER(TRIM(Raw_Export!D2115)),Maps!$G$2:$I$80,3,FALSE()),"UNMAPPED"))</f>
        <v>Household</v>
      </c>
      <c r="F2115" s="36" t="n">
        <f aca="false">IF(Raw_Export!$A2115="","",IFERROR(VALUE(TRIM(Raw_Export!E2115)),0))</f>
        <v>1</v>
      </c>
      <c r="G2115" s="38" t="n">
        <f aca="false">IF(Raw_Export!$A2115="","",IFERROR(VALUE(SUBSTITUTE(SUBSTITUTE(UPPER(TRIM(Raw_Export!F2115)),"KES",""),",","")),0))</f>
        <v>50</v>
      </c>
      <c r="H2115" s="38" t="n">
        <f aca="false">IF(Raw_Export!$A2115="","",F2115*G2115)</f>
        <v>50</v>
      </c>
      <c r="I2115" s="36" t="str">
        <f aca="false">IF(Raw_Export!$A2115="","",IFERROR(VLOOKUP(LOWER(TRIM(Raw_Export!H2115)),Maps!$D$2:$E$12,2,FALSE()),"Other"))</f>
        <v>M-Pesa</v>
      </c>
      <c r="J2115" s="36" t="str">
        <f aca="false">IF(Raw_Export!$A2115="","",IF(COUNTIF($A$2:A2115,A2115)&gt;1,"Duplicate",""))</f>
        <v/>
      </c>
      <c r="K2115" s="36" t="str">
        <f aca="false">IF(Raw_Export!$A2115="","",IF(J2115="Duplicate","Duplicate",IF(OR(C2115="UNMAPPED",D2115="UNMAPPED"),"Unmapped",IF(F2115=0,"Blank qty",IF(F2115&lt;0,"Return","OK")))))</f>
        <v>OK</v>
      </c>
      <c r="L2115" s="36" t="n">
        <f aca="false">IF(Raw_Export!$A2115="","",IF(OR(K2115="OK",K2115="Return"),1,0))</f>
        <v>1</v>
      </c>
      <c r="M2115" s="37" t="n">
        <f aca="false">IF(Raw_Export!$A2115="","",B2115-WEEKDAY(B2115,2)+1)</f>
        <v>46272</v>
      </c>
    </row>
    <row r="2116" customFormat="false" ht="15" hidden="false" customHeight="false" outlineLevel="0" collapsed="false">
      <c r="A2116" s="36" t="str">
        <f aca="false">IF(Raw_Export!$A2116="","",TRIM(Raw_Export!A2116))</f>
        <v>TXN-102074</v>
      </c>
      <c r="B2116" s="37" t="n">
        <f aca="false">IF(Raw_Export!$A2116="","",IF(ISNUMBER(Raw_Export!B2116),Raw_Export!B2116,IF(MID(TRIM(Raw_Export!B2116),5,1)="-",DATE(LEFT(TRIM(Raw_Export!B2116),4),MID(TRIM(Raw_Export!B2116),6,2),RIGHT(TRIM(Raw_Export!B2116),2)),DATE(RIGHT(TRIM(Raw_Export!B2116),4),MATCH(MID(TRIM(Raw_Export!B2116),4,3),{"Jan","Feb","Mar","Apr","May","Jun","Jul","Aug","Sep","Oct","Nov","Dec"},0),LEFT(TRIM(Raw_Export!B2116),2)))))</f>
        <v>46278</v>
      </c>
      <c r="C2116" s="36" t="str">
        <f aca="false">IF(Raw_Export!$A2116="","",IFERROR(VLOOKUP(LOWER(TRIM(Raw_Export!C2116)),Maps!$A$2:$B$20,2,FALSE()),"UNMAPPED"))</f>
        <v>Westlands</v>
      </c>
      <c r="D2116" s="36" t="str">
        <f aca="false">IF(Raw_Export!$A2116="","",IFERROR(VLOOKUP(LOWER(TRIM(Raw_Export!D2116)),Maps!$G$2:$I$80,2,FALSE()),"UNMAPPED"))</f>
        <v>Salt 500g</v>
      </c>
      <c r="E2116" s="36" t="str">
        <f aca="false">IF(Raw_Export!$A2116="","",IFERROR(VLOOKUP(LOWER(TRIM(Raw_Export!D2116)),Maps!$G$2:$I$80,3,FALSE()),"UNMAPPED"))</f>
        <v>Staples</v>
      </c>
      <c r="F2116" s="36" t="n">
        <f aca="false">IF(Raw_Export!$A2116="","",IFERROR(VALUE(TRIM(Raw_Export!E2116)),0))</f>
        <v>3</v>
      </c>
      <c r="G2116" s="38" t="n">
        <f aca="false">IF(Raw_Export!$A2116="","",IFERROR(VALUE(SUBSTITUTE(SUBSTITUTE(UPPER(TRIM(Raw_Export!F2116)),"KES",""),",","")),0))</f>
        <v>36</v>
      </c>
      <c r="H2116" s="38" t="n">
        <f aca="false">IF(Raw_Export!$A2116="","",F2116*G2116)</f>
        <v>108</v>
      </c>
      <c r="I2116" s="36" t="str">
        <f aca="false">IF(Raw_Export!$A2116="","",IFERROR(VLOOKUP(LOWER(TRIM(Raw_Export!H2116)),Maps!$D$2:$E$12,2,FALSE()),"Other"))</f>
        <v>M-Pesa</v>
      </c>
      <c r="J2116" s="36" t="str">
        <f aca="false">IF(Raw_Export!$A2116="","",IF(COUNTIF($A$2:A2116,A2116)&gt;1,"Duplicate",""))</f>
        <v/>
      </c>
      <c r="K2116" s="36" t="str">
        <f aca="false">IF(Raw_Export!$A2116="","",IF(J2116="Duplicate","Duplicate",IF(OR(C2116="UNMAPPED",D2116="UNMAPPED"),"Unmapped",IF(F2116=0,"Blank qty",IF(F2116&lt;0,"Return","OK")))))</f>
        <v>OK</v>
      </c>
      <c r="L2116" s="36" t="n">
        <f aca="false">IF(Raw_Export!$A2116="","",IF(OR(K2116="OK",K2116="Return"),1,0))</f>
        <v>1</v>
      </c>
      <c r="M2116" s="37" t="n">
        <f aca="false">IF(Raw_Export!$A2116="","",B2116-WEEKDAY(B2116,2)+1)</f>
        <v>46272</v>
      </c>
    </row>
    <row r="2117" customFormat="false" ht="15" hidden="false" customHeight="false" outlineLevel="0" collapsed="false">
      <c r="A2117" s="36" t="str">
        <f aca="false">IF(Raw_Export!$A2117="","",TRIM(Raw_Export!A2117))</f>
        <v>TXN-101025</v>
      </c>
      <c r="B2117" s="37" t="n">
        <f aca="false">IF(Raw_Export!$A2117="","",IF(ISNUMBER(Raw_Export!B2117),Raw_Export!B2117,IF(MID(TRIM(Raw_Export!B2117),5,1)="-",DATE(LEFT(TRIM(Raw_Export!B2117),4),MID(TRIM(Raw_Export!B2117),6,2),RIGHT(TRIM(Raw_Export!B2117),2)),DATE(RIGHT(TRIM(Raw_Export!B2117),4),MATCH(MID(TRIM(Raw_Export!B2117),4,3),{"Jan","Feb","Mar","Apr","May","Jun","Jul","Aug","Sep","Oct","Nov","Dec"},0),LEFT(TRIM(Raw_Export!B2117),2)))))</f>
        <v>46271</v>
      </c>
      <c r="C2117" s="36" t="str">
        <f aca="false">IF(Raw_Export!$A2117="","",IFERROR(VLOOKUP(LOWER(TRIM(Raw_Export!C2117)),Maps!$A$2:$B$20,2,FALSE()),"UNMAPPED"))</f>
        <v>Kisumu</v>
      </c>
      <c r="D2117" s="36" t="str">
        <f aca="false">IF(Raw_Export!$A2117="","",IFERROR(VLOOKUP(LOWER(TRIM(Raw_Export!D2117)),Maps!$G$2:$I$80,2,FALSE()),"UNMAPPED"))</f>
        <v>Bleach 1L</v>
      </c>
      <c r="E2117" s="36" t="str">
        <f aca="false">IF(Raw_Export!$A2117="","",IFERROR(VLOOKUP(LOWER(TRIM(Raw_Export!D2117)),Maps!$G$2:$I$80,3,FALSE()),"UNMAPPED"))</f>
        <v>Household</v>
      </c>
      <c r="F2117" s="36" t="n">
        <f aca="false">IF(Raw_Export!$A2117="","",IFERROR(VALUE(TRIM(Raw_Export!E2117)),0))</f>
        <v>1</v>
      </c>
      <c r="G2117" s="38" t="n">
        <f aca="false">IF(Raw_Export!$A2117="","",IFERROR(VALUE(SUBSTITUTE(SUBSTITUTE(UPPER(TRIM(Raw_Export!F2117)),"KES",""),",","")),0))</f>
        <v>160</v>
      </c>
      <c r="H2117" s="38" t="n">
        <f aca="false">IF(Raw_Export!$A2117="","",F2117*G2117)</f>
        <v>160</v>
      </c>
      <c r="I2117" s="36" t="str">
        <f aca="false">IF(Raw_Export!$A2117="","",IFERROR(VLOOKUP(LOWER(TRIM(Raw_Export!H2117)),Maps!$D$2:$E$12,2,FALSE()),"Other"))</f>
        <v>Cash</v>
      </c>
      <c r="J2117" s="36" t="str">
        <f aca="false">IF(Raw_Export!$A2117="","",IF(COUNTIF($A$2:A2117,A2117)&gt;1,"Duplicate",""))</f>
        <v>Duplicate</v>
      </c>
      <c r="K2117" s="36" t="str">
        <f aca="false">IF(Raw_Export!$A2117="","",IF(J2117="Duplicate","Duplicate",IF(OR(C2117="UNMAPPED",D2117="UNMAPPED"),"Unmapped",IF(F2117=0,"Blank qty",IF(F2117&lt;0,"Return","OK")))))</f>
        <v>Duplicate</v>
      </c>
      <c r="L2117" s="36" t="n">
        <f aca="false">IF(Raw_Export!$A2117="","",IF(OR(K2117="OK",K2117="Return"),1,0))</f>
        <v>0</v>
      </c>
      <c r="M2117" s="37" t="n">
        <f aca="false">IF(Raw_Export!$A2117="","",B2117-WEEKDAY(B2117,2)+1)</f>
        <v>46265</v>
      </c>
    </row>
    <row r="2118" customFormat="false" ht="15" hidden="false" customHeight="false" outlineLevel="0" collapsed="false">
      <c r="A2118" s="36" t="str">
        <f aca="false">IF(Raw_Export!$A2118="","",TRIM(Raw_Export!A2118))</f>
        <v>TXN-102075</v>
      </c>
      <c r="B2118" s="37" t="n">
        <f aca="false">IF(Raw_Export!$A2118="","",IF(ISNUMBER(Raw_Export!B2118),Raw_Export!B2118,IF(MID(TRIM(Raw_Export!B2118),5,1)="-",DATE(LEFT(TRIM(Raw_Export!B2118),4),MID(TRIM(Raw_Export!B2118),6,2),RIGHT(TRIM(Raw_Export!B2118),2)),DATE(RIGHT(TRIM(Raw_Export!B2118),4),MATCH(MID(TRIM(Raw_Export!B2118),4,3),{"Jan","Feb","Mar","Apr","May","Jun","Jul","Aug","Sep","Oct","Nov","Dec"},0),LEFT(TRIM(Raw_Export!B2118),2)))))</f>
        <v>46278</v>
      </c>
      <c r="C2118" s="36" t="str">
        <f aca="false">IF(Raw_Export!$A2118="","",IFERROR(VLOOKUP(LOWER(TRIM(Raw_Export!C2118)),Maps!$A$2:$B$20,2,FALSE()),"UNMAPPED"))</f>
        <v>Westlands</v>
      </c>
      <c r="D2118" s="36" t="str">
        <f aca="false">IF(Raw_Export!$A2118="","",IFERROR(VLOOKUP(LOWER(TRIM(Raw_Export!D2118)),Maps!$G$2:$I$80,2,FALSE()),"UNMAPPED"))</f>
        <v>Peanuts 250g</v>
      </c>
      <c r="E2118" s="36" t="str">
        <f aca="false">IF(Raw_Export!$A2118="","",IFERROR(VLOOKUP(LOWER(TRIM(Raw_Export!D2118)),Maps!$G$2:$I$80,3,FALSE()),"UNMAPPED"))</f>
        <v>Snacks</v>
      </c>
      <c r="F2118" s="36" t="n">
        <f aca="false">IF(Raw_Export!$A2118="","",IFERROR(VALUE(TRIM(Raw_Export!E2118)),0))</f>
        <v>3</v>
      </c>
      <c r="G2118" s="38" t="n">
        <f aca="false">IF(Raw_Export!$A2118="","",IFERROR(VALUE(SUBSTITUTE(SUBSTITUTE(UPPER(TRIM(Raw_Export!F2118)),"KES",""),",","")),0))</f>
        <v>130</v>
      </c>
      <c r="H2118" s="38" t="n">
        <f aca="false">IF(Raw_Export!$A2118="","",F2118*G2118)</f>
        <v>390</v>
      </c>
      <c r="I2118" s="36" t="str">
        <f aca="false">IF(Raw_Export!$A2118="","",IFERROR(VLOOKUP(LOWER(TRIM(Raw_Export!H2118)),Maps!$D$2:$E$12,2,FALSE()),"Other"))</f>
        <v>M-Pesa</v>
      </c>
      <c r="J2118" s="36" t="str">
        <f aca="false">IF(Raw_Export!$A2118="","",IF(COUNTIF($A$2:A2118,A2118)&gt;1,"Duplicate",""))</f>
        <v/>
      </c>
      <c r="K2118" s="36" t="str">
        <f aca="false">IF(Raw_Export!$A2118="","",IF(J2118="Duplicate","Duplicate",IF(OR(C2118="UNMAPPED",D2118="UNMAPPED"),"Unmapped",IF(F2118=0,"Blank qty",IF(F2118&lt;0,"Return","OK")))))</f>
        <v>OK</v>
      </c>
      <c r="L2118" s="36" t="n">
        <f aca="false">IF(Raw_Export!$A2118="","",IF(OR(K2118="OK",K2118="Return"),1,0))</f>
        <v>1</v>
      </c>
      <c r="M2118" s="37" t="n">
        <f aca="false">IF(Raw_Export!$A2118="","",B2118-WEEKDAY(B2118,2)+1)</f>
        <v>46272</v>
      </c>
    </row>
    <row r="2119" customFormat="false" ht="15" hidden="false" customHeight="false" outlineLevel="0" collapsed="false">
      <c r="A2119" s="36" t="str">
        <f aca="false">IF(Raw_Export!$A2119="","",TRIM(Raw_Export!A2119))</f>
        <v>TXN-102076</v>
      </c>
      <c r="B2119" s="37" t="n">
        <f aca="false">IF(Raw_Export!$A2119="","",IF(ISNUMBER(Raw_Export!B2119),Raw_Export!B2119,IF(MID(TRIM(Raw_Export!B2119),5,1)="-",DATE(LEFT(TRIM(Raw_Export!B2119),4),MID(TRIM(Raw_Export!B2119),6,2),RIGHT(TRIM(Raw_Export!B2119),2)),DATE(RIGHT(TRIM(Raw_Export!B2119),4),MATCH(MID(TRIM(Raw_Export!B2119),4,3),{"Jan","Feb","Mar","Apr","May","Jun","Jul","Aug","Sep","Oct","Nov","Dec"},0),LEFT(TRIM(Raw_Export!B2119),2)))))</f>
        <v>46278</v>
      </c>
      <c r="C2119" s="36" t="str">
        <f aca="false">IF(Raw_Export!$A2119="","",IFERROR(VLOOKUP(LOWER(TRIM(Raw_Export!C2119)),Maps!$A$2:$B$20,2,FALSE()),"UNMAPPED"))</f>
        <v>Westlands</v>
      </c>
      <c r="D2119" s="36" t="str">
        <f aca="false">IF(Raw_Export!$A2119="","",IFERROR(VLOOKUP(LOWER(TRIM(Raw_Export!D2119)),Maps!$G$2:$I$80,2,FALSE()),"UNMAPPED"))</f>
        <v>Sugar 2kg</v>
      </c>
      <c r="E2119" s="36" t="str">
        <f aca="false">IF(Raw_Export!$A2119="","",IFERROR(VLOOKUP(LOWER(TRIM(Raw_Export!D2119)),Maps!$G$2:$I$80,3,FALSE()),"UNMAPPED"))</f>
        <v>Staples</v>
      </c>
      <c r="F2119" s="36" t="n">
        <f aca="false">IF(Raw_Export!$A2119="","",IFERROR(VALUE(TRIM(Raw_Export!E2119)),0))</f>
        <v>2</v>
      </c>
      <c r="G2119" s="38" t="n">
        <f aca="false">IF(Raw_Export!$A2119="","",IFERROR(VALUE(SUBSTITUTE(SUBSTITUTE(UPPER(TRIM(Raw_Export!F2119)),"KES",""),",","")),0))</f>
        <v>330</v>
      </c>
      <c r="H2119" s="38" t="n">
        <f aca="false">IF(Raw_Export!$A2119="","",F2119*G2119)</f>
        <v>660</v>
      </c>
      <c r="I2119" s="36" t="str">
        <f aca="false">IF(Raw_Export!$A2119="","",IFERROR(VLOOKUP(LOWER(TRIM(Raw_Export!H2119)),Maps!$D$2:$E$12,2,FALSE()),"Other"))</f>
        <v>M-Pesa</v>
      </c>
      <c r="J2119" s="36" t="str">
        <f aca="false">IF(Raw_Export!$A2119="","",IF(COUNTIF($A$2:A2119,A2119)&gt;1,"Duplicate",""))</f>
        <v/>
      </c>
      <c r="K2119" s="36" t="str">
        <f aca="false">IF(Raw_Export!$A2119="","",IF(J2119="Duplicate","Duplicate",IF(OR(C2119="UNMAPPED",D2119="UNMAPPED"),"Unmapped",IF(F2119=0,"Blank qty",IF(F2119&lt;0,"Return","OK")))))</f>
        <v>OK</v>
      </c>
      <c r="L2119" s="36" t="n">
        <f aca="false">IF(Raw_Export!$A2119="","",IF(OR(K2119="OK",K2119="Return"),1,0))</f>
        <v>1</v>
      </c>
      <c r="M2119" s="37" t="n">
        <f aca="false">IF(Raw_Export!$A2119="","",B2119-WEEKDAY(B2119,2)+1)</f>
        <v>46272</v>
      </c>
    </row>
    <row r="2120" customFormat="false" ht="15" hidden="false" customHeight="false" outlineLevel="0" collapsed="false">
      <c r="A2120" s="36" t="str">
        <f aca="false">IF(Raw_Export!$A2120="","",TRIM(Raw_Export!A2120))</f>
        <v>TXN-102077</v>
      </c>
      <c r="B2120" s="37" t="n">
        <f aca="false">IF(Raw_Export!$A2120="","",IF(ISNUMBER(Raw_Export!B2120),Raw_Export!B2120,IF(MID(TRIM(Raw_Export!B2120),5,1)="-",DATE(LEFT(TRIM(Raw_Export!B2120),4),MID(TRIM(Raw_Export!B2120),6,2),RIGHT(TRIM(Raw_Export!B2120),2)),DATE(RIGHT(TRIM(Raw_Export!B2120),4),MATCH(MID(TRIM(Raw_Export!B2120),4,3),{"Jan","Feb","Mar","Apr","May","Jun","Jul","Aug","Sep","Oct","Nov","Dec"},0),LEFT(TRIM(Raw_Export!B2120),2)))))</f>
        <v>46278</v>
      </c>
      <c r="C2120" s="36" t="str">
        <f aca="false">IF(Raw_Export!$A2120="","",IFERROR(VLOOKUP(LOWER(TRIM(Raw_Export!C2120)),Maps!$A$2:$B$20,2,FALSE()),"UNMAPPED"))</f>
        <v>Westlands</v>
      </c>
      <c r="D2120" s="36" t="str">
        <f aca="false">IF(Raw_Export!$A2120="","",IFERROR(VLOOKUP(LOWER(TRIM(Raw_Export!D2120)),Maps!$G$2:$I$80,2,FALSE()),"UNMAPPED"))</f>
        <v>Chocolate Bar 90g</v>
      </c>
      <c r="E2120" s="36" t="str">
        <f aca="false">IF(Raw_Export!$A2120="","",IFERROR(VLOOKUP(LOWER(TRIM(Raw_Export!D2120)),Maps!$G$2:$I$80,3,FALSE()),"UNMAPPED"))</f>
        <v>Snacks</v>
      </c>
      <c r="F2120" s="36" t="n">
        <f aca="false">IF(Raw_Export!$A2120="","",IFERROR(VALUE(TRIM(Raw_Export!E2120)),0))</f>
        <v>6</v>
      </c>
      <c r="G2120" s="38" t="n">
        <f aca="false">IF(Raw_Export!$A2120="","",IFERROR(VALUE(SUBSTITUTE(SUBSTITUTE(UPPER(TRIM(Raw_Export!F2120)),"KES",""),",","")),0))</f>
        <v>140</v>
      </c>
      <c r="H2120" s="38" t="n">
        <f aca="false">IF(Raw_Export!$A2120="","",F2120*G2120)</f>
        <v>840</v>
      </c>
      <c r="I2120" s="36" t="str">
        <f aca="false">IF(Raw_Export!$A2120="","",IFERROR(VLOOKUP(LOWER(TRIM(Raw_Export!H2120)),Maps!$D$2:$E$12,2,FALSE()),"Other"))</f>
        <v>Card</v>
      </c>
      <c r="J2120" s="36" t="str">
        <f aca="false">IF(Raw_Export!$A2120="","",IF(COUNTIF($A$2:A2120,A2120)&gt;1,"Duplicate",""))</f>
        <v/>
      </c>
      <c r="K2120" s="36" t="str">
        <f aca="false">IF(Raw_Export!$A2120="","",IF(J2120="Duplicate","Duplicate",IF(OR(C2120="UNMAPPED",D2120="UNMAPPED"),"Unmapped",IF(F2120=0,"Blank qty",IF(F2120&lt;0,"Return","OK")))))</f>
        <v>OK</v>
      </c>
      <c r="L2120" s="36" t="n">
        <f aca="false">IF(Raw_Export!$A2120="","",IF(OR(K2120="OK",K2120="Return"),1,0))</f>
        <v>1</v>
      </c>
      <c r="M2120" s="37" t="n">
        <f aca="false">IF(Raw_Export!$A2120="","",B2120-WEEKDAY(B2120,2)+1)</f>
        <v>46272</v>
      </c>
    </row>
    <row r="2121" customFormat="false" ht="15" hidden="false" customHeight="false" outlineLevel="0" collapsed="false">
      <c r="A2121" s="36" t="str">
        <f aca="false">IF(Raw_Export!$A2121="","",TRIM(Raw_Export!A2121))</f>
        <v>TXN-102078</v>
      </c>
      <c r="B2121" s="37" t="n">
        <f aca="false">IF(Raw_Export!$A2121="","",IF(ISNUMBER(Raw_Export!B2121),Raw_Export!B2121,IF(MID(TRIM(Raw_Export!B2121),5,1)="-",DATE(LEFT(TRIM(Raw_Export!B2121),4),MID(TRIM(Raw_Export!B2121),6,2),RIGHT(TRIM(Raw_Export!B2121),2)),DATE(RIGHT(TRIM(Raw_Export!B2121),4),MATCH(MID(TRIM(Raw_Export!B2121),4,3),{"Jan","Feb","Mar","Apr","May","Jun","Jul","Aug","Sep","Oct","Nov","Dec"},0),LEFT(TRIM(Raw_Export!B2121),2)))))</f>
        <v>46278</v>
      </c>
      <c r="C2121" s="36" t="str">
        <f aca="false">IF(Raw_Export!$A2121="","",IFERROR(VLOOKUP(LOWER(TRIM(Raw_Export!C2121)),Maps!$A$2:$B$20,2,FALSE()),"UNMAPPED"))</f>
        <v>Westlands</v>
      </c>
      <c r="D2121" s="36" t="str">
        <f aca="false">IF(Raw_Export!$A2121="","",IFERROR(VLOOKUP(LOWER(TRIM(Raw_Export!D2121)),Maps!$G$2:$I$80,2,FALSE()),"UNMAPPED"))</f>
        <v>Matches 10pk</v>
      </c>
      <c r="E2121" s="36" t="str">
        <f aca="false">IF(Raw_Export!$A2121="","",IFERROR(VLOOKUP(LOWER(TRIM(Raw_Export!D2121)),Maps!$G$2:$I$80,3,FALSE()),"UNMAPPED"))</f>
        <v>Household</v>
      </c>
      <c r="F2121" s="36" t="n">
        <f aca="false">IF(Raw_Export!$A2121="","",IFERROR(VALUE(TRIM(Raw_Export!E2121)),0))</f>
        <v>3</v>
      </c>
      <c r="G2121" s="38" t="n">
        <f aca="false">IF(Raw_Export!$A2121="","",IFERROR(VALUE(SUBSTITUTE(SUBSTITUTE(UPPER(TRIM(Raw_Export!F2121)),"KES",""),",","")),0))</f>
        <v>50</v>
      </c>
      <c r="H2121" s="38" t="n">
        <f aca="false">IF(Raw_Export!$A2121="","",F2121*G2121)</f>
        <v>150</v>
      </c>
      <c r="I2121" s="36" t="str">
        <f aca="false">IF(Raw_Export!$A2121="","",IFERROR(VLOOKUP(LOWER(TRIM(Raw_Export!H2121)),Maps!$D$2:$E$12,2,FALSE()),"Other"))</f>
        <v>M-Pesa</v>
      </c>
      <c r="J2121" s="36" t="str">
        <f aca="false">IF(Raw_Export!$A2121="","",IF(COUNTIF($A$2:A2121,A2121)&gt;1,"Duplicate",""))</f>
        <v/>
      </c>
      <c r="K2121" s="36" t="str">
        <f aca="false">IF(Raw_Export!$A2121="","",IF(J2121="Duplicate","Duplicate",IF(OR(C2121="UNMAPPED",D2121="UNMAPPED"),"Unmapped",IF(F2121=0,"Blank qty",IF(F2121&lt;0,"Return","OK")))))</f>
        <v>OK</v>
      </c>
      <c r="L2121" s="36" t="n">
        <f aca="false">IF(Raw_Export!$A2121="","",IF(OR(K2121="OK",K2121="Return"),1,0))</f>
        <v>1</v>
      </c>
      <c r="M2121" s="37" t="n">
        <f aca="false">IF(Raw_Export!$A2121="","",B2121-WEEKDAY(B2121,2)+1)</f>
        <v>46272</v>
      </c>
    </row>
    <row r="2122" customFormat="false" ht="15" hidden="false" customHeight="false" outlineLevel="0" collapsed="false">
      <c r="A2122" s="36" t="str">
        <f aca="false">IF(Raw_Export!$A2122="","",TRIM(Raw_Export!A2122))</f>
        <v>TXN-102079</v>
      </c>
      <c r="B2122" s="37" t="n">
        <f aca="false">IF(Raw_Export!$A2122="","",IF(ISNUMBER(Raw_Export!B2122),Raw_Export!B2122,IF(MID(TRIM(Raw_Export!B2122),5,1)="-",DATE(LEFT(TRIM(Raw_Export!B2122),4),MID(TRIM(Raw_Export!B2122),6,2),RIGHT(TRIM(Raw_Export!B2122),2)),DATE(RIGHT(TRIM(Raw_Export!B2122),4),MATCH(MID(TRIM(Raw_Export!B2122),4,3),{"Jan","Feb","Mar","Apr","May","Jun","Jul","Aug","Sep","Oct","Nov","Dec"},0),LEFT(TRIM(Raw_Export!B2122),2)))))</f>
        <v>46278</v>
      </c>
      <c r="C2122" s="36" t="str">
        <f aca="false">IF(Raw_Export!$A2122="","",IFERROR(VLOOKUP(LOWER(TRIM(Raw_Export!C2122)),Maps!$A$2:$B$20,2,FALSE()),"UNMAPPED"))</f>
        <v>Westlands</v>
      </c>
      <c r="D2122" s="36" t="str">
        <f aca="false">IF(Raw_Export!$A2122="","",IFERROR(VLOOKUP(LOWER(TRIM(Raw_Export!D2122)),Maps!$G$2:$I$80,2,FALSE()),"UNMAPPED"))</f>
        <v>Sanitary Pads 8pk</v>
      </c>
      <c r="E2122" s="36" t="str">
        <f aca="false">IF(Raw_Export!$A2122="","",IFERROR(VLOOKUP(LOWER(TRIM(Raw_Export!D2122)),Maps!$G$2:$I$80,3,FALSE()),"UNMAPPED"))</f>
        <v>Personal Care</v>
      </c>
      <c r="F2122" s="36" t="n">
        <f aca="false">IF(Raw_Export!$A2122="","",IFERROR(VALUE(TRIM(Raw_Export!E2122)),0))</f>
        <v>1</v>
      </c>
      <c r="G2122" s="38" t="n">
        <f aca="false">IF(Raw_Export!$A2122="","",IFERROR(VALUE(SUBSTITUTE(SUBSTITUTE(UPPER(TRIM(Raw_Export!F2122)),"KES",""),",","")),0))</f>
        <v>130</v>
      </c>
      <c r="H2122" s="38" t="n">
        <f aca="false">IF(Raw_Export!$A2122="","",F2122*G2122)</f>
        <v>130</v>
      </c>
      <c r="I2122" s="36" t="str">
        <f aca="false">IF(Raw_Export!$A2122="","",IFERROR(VLOOKUP(LOWER(TRIM(Raw_Export!H2122)),Maps!$D$2:$E$12,2,FALSE()),"Other"))</f>
        <v>Cash</v>
      </c>
      <c r="J2122" s="36" t="str">
        <f aca="false">IF(Raw_Export!$A2122="","",IF(COUNTIF($A$2:A2122,A2122)&gt;1,"Duplicate",""))</f>
        <v/>
      </c>
      <c r="K2122" s="36" t="str">
        <f aca="false">IF(Raw_Export!$A2122="","",IF(J2122="Duplicate","Duplicate",IF(OR(C2122="UNMAPPED",D2122="UNMAPPED"),"Unmapped",IF(F2122=0,"Blank qty",IF(F2122&lt;0,"Return","OK")))))</f>
        <v>OK</v>
      </c>
      <c r="L2122" s="36" t="n">
        <f aca="false">IF(Raw_Export!$A2122="","",IF(OR(K2122="OK",K2122="Return"),1,0))</f>
        <v>1</v>
      </c>
      <c r="M2122" s="37" t="n">
        <f aca="false">IF(Raw_Export!$A2122="","",B2122-WEEKDAY(B2122,2)+1)</f>
        <v>46272</v>
      </c>
    </row>
    <row r="2123" customFormat="false" ht="15" hidden="false" customHeight="false" outlineLevel="0" collapsed="false">
      <c r="A2123" s="36" t="str">
        <f aca="false">IF(Raw_Export!$A2123="","",TRIM(Raw_Export!A2123))</f>
        <v>TXN-102080</v>
      </c>
      <c r="B2123" s="37" t="n">
        <f aca="false">IF(Raw_Export!$A2123="","",IF(ISNUMBER(Raw_Export!B2123),Raw_Export!B2123,IF(MID(TRIM(Raw_Export!B2123),5,1)="-",DATE(LEFT(TRIM(Raw_Export!B2123),4),MID(TRIM(Raw_Export!B2123),6,2),RIGHT(TRIM(Raw_Export!B2123),2)),DATE(RIGHT(TRIM(Raw_Export!B2123),4),MATCH(MID(TRIM(Raw_Export!B2123),4,3),{"Jan","Feb","Mar","Apr","May","Jun","Jul","Aug","Sep","Oct","Nov","Dec"},0),LEFT(TRIM(Raw_Export!B2123),2)))))</f>
        <v>46278</v>
      </c>
      <c r="C2123" s="36" t="str">
        <f aca="false">IF(Raw_Export!$A2123="","",IFERROR(VLOOKUP(LOWER(TRIM(Raw_Export!C2123)),Maps!$A$2:$B$20,2,FALSE()),"UNMAPPED"))</f>
        <v>Westlands</v>
      </c>
      <c r="D2123" s="36" t="str">
        <f aca="false">IF(Raw_Export!$A2123="","",IFERROR(VLOOKUP(LOWER(TRIM(Raw_Export!D2123)),Maps!$G$2:$I$80,2,FALSE()),"UNMAPPED"))</f>
        <v>Yoghurt 500ml</v>
      </c>
      <c r="E2123" s="36" t="str">
        <f aca="false">IF(Raw_Export!$A2123="","",IFERROR(VLOOKUP(LOWER(TRIM(Raw_Export!D2123)),Maps!$G$2:$I$80,3,FALSE()),"UNMAPPED"))</f>
        <v>Dairy &amp; Eggs</v>
      </c>
      <c r="F2123" s="36" t="n">
        <f aca="false">IF(Raw_Export!$A2123="","",IFERROR(VALUE(TRIM(Raw_Export!E2123)),0))</f>
        <v>2</v>
      </c>
      <c r="G2123" s="38" t="n">
        <f aca="false">IF(Raw_Export!$A2123="","",IFERROR(VALUE(SUBSTITUTE(SUBSTITUTE(UPPER(TRIM(Raw_Export!F2123)),"KES",""),",","")),0))</f>
        <v>120</v>
      </c>
      <c r="H2123" s="38" t="n">
        <f aca="false">IF(Raw_Export!$A2123="","",F2123*G2123)</f>
        <v>240</v>
      </c>
      <c r="I2123" s="36" t="str">
        <f aca="false">IF(Raw_Export!$A2123="","",IFERROR(VLOOKUP(LOWER(TRIM(Raw_Export!H2123)),Maps!$D$2:$E$12,2,FALSE()),"Other"))</f>
        <v>M-Pesa</v>
      </c>
      <c r="J2123" s="36" t="str">
        <f aca="false">IF(Raw_Export!$A2123="","",IF(COUNTIF($A$2:A2123,A2123)&gt;1,"Duplicate",""))</f>
        <v/>
      </c>
      <c r="K2123" s="36" t="str">
        <f aca="false">IF(Raw_Export!$A2123="","",IF(J2123="Duplicate","Duplicate",IF(OR(C2123="UNMAPPED",D2123="UNMAPPED"),"Unmapped",IF(F2123=0,"Blank qty",IF(F2123&lt;0,"Return","OK")))))</f>
        <v>OK</v>
      </c>
      <c r="L2123" s="36" t="n">
        <f aca="false">IF(Raw_Export!$A2123="","",IF(OR(K2123="OK",K2123="Return"),1,0))</f>
        <v>1</v>
      </c>
      <c r="M2123" s="37" t="n">
        <f aca="false">IF(Raw_Export!$A2123="","",B2123-WEEKDAY(B2123,2)+1)</f>
        <v>46272</v>
      </c>
    </row>
    <row r="2124" customFormat="false" ht="15" hidden="false" customHeight="false" outlineLevel="0" collapsed="false">
      <c r="A2124" s="36" t="str">
        <f aca="false">IF(Raw_Export!$A2124="","",TRIM(Raw_Export!A2124))</f>
        <v>TXN-102081</v>
      </c>
      <c r="B2124" s="37" t="n">
        <f aca="false">IF(Raw_Export!$A2124="","",IF(ISNUMBER(Raw_Export!B2124),Raw_Export!B2124,IF(MID(TRIM(Raw_Export!B2124),5,1)="-",DATE(LEFT(TRIM(Raw_Export!B2124),4),MID(TRIM(Raw_Export!B2124),6,2),RIGHT(TRIM(Raw_Export!B2124),2)),DATE(RIGHT(TRIM(Raw_Export!B2124),4),MATCH(MID(TRIM(Raw_Export!B2124),4,3),{"Jan","Feb","Mar","Apr","May","Jun","Jul","Aug","Sep","Oct","Nov","Dec"},0),LEFT(TRIM(Raw_Export!B2124),2)))))</f>
        <v>46278</v>
      </c>
      <c r="C2124" s="36" t="str">
        <f aca="false">IF(Raw_Export!$A2124="","",IFERROR(VLOOKUP(LOWER(TRIM(Raw_Export!C2124)),Maps!$A$2:$B$20,2,FALSE()),"UNMAPPED"))</f>
        <v>Westlands</v>
      </c>
      <c r="D2124" s="36" t="str">
        <f aca="false">IF(Raw_Export!$A2124="","",IFERROR(VLOOKUP(LOWER(TRIM(Raw_Export!D2124)),Maps!$G$2:$I$80,2,FALSE()),"UNMAPPED"))</f>
        <v>Soda 500ml</v>
      </c>
      <c r="E2124" s="36" t="str">
        <f aca="false">IF(Raw_Export!$A2124="","",IFERROR(VLOOKUP(LOWER(TRIM(Raw_Export!D2124)),Maps!$G$2:$I$80,3,FALSE()),"UNMAPPED"))</f>
        <v>Beverages</v>
      </c>
      <c r="F2124" s="36" t="n">
        <f aca="false">IF(Raw_Export!$A2124="","",IFERROR(VALUE(TRIM(Raw_Export!E2124)),0))</f>
        <v>2</v>
      </c>
      <c r="G2124" s="38" t="n">
        <f aca="false">IF(Raw_Export!$A2124="","",IFERROR(VALUE(SUBSTITUTE(SUBSTITUTE(UPPER(TRIM(Raw_Export!F2124)),"KES",""),",","")),0))</f>
        <v>60</v>
      </c>
      <c r="H2124" s="38" t="n">
        <f aca="false">IF(Raw_Export!$A2124="","",F2124*G2124)</f>
        <v>120</v>
      </c>
      <c r="I2124" s="36" t="str">
        <f aca="false">IF(Raw_Export!$A2124="","",IFERROR(VLOOKUP(LOWER(TRIM(Raw_Export!H2124)),Maps!$D$2:$E$12,2,FALSE()),"Other"))</f>
        <v>Card</v>
      </c>
      <c r="J2124" s="36" t="str">
        <f aca="false">IF(Raw_Export!$A2124="","",IF(COUNTIF($A$2:A2124,A2124)&gt;1,"Duplicate",""))</f>
        <v/>
      </c>
      <c r="K2124" s="36" t="str">
        <f aca="false">IF(Raw_Export!$A2124="","",IF(J2124="Duplicate","Duplicate",IF(OR(C2124="UNMAPPED",D2124="UNMAPPED"),"Unmapped",IF(F2124=0,"Blank qty",IF(F2124&lt;0,"Return","OK")))))</f>
        <v>OK</v>
      </c>
      <c r="L2124" s="36" t="n">
        <f aca="false">IF(Raw_Export!$A2124="","",IF(OR(K2124="OK",K2124="Return"),1,0))</f>
        <v>1</v>
      </c>
      <c r="M2124" s="37" t="n">
        <f aca="false">IF(Raw_Export!$A2124="","",B2124-WEEKDAY(B2124,2)+1)</f>
        <v>46272</v>
      </c>
    </row>
    <row r="2125" customFormat="false" ht="15" hidden="false" customHeight="false" outlineLevel="0" collapsed="false">
      <c r="A2125" s="36" t="str">
        <f aca="false">IF(Raw_Export!$A2125="","",TRIM(Raw_Export!A2125))</f>
        <v>TXN-102082</v>
      </c>
      <c r="B2125" s="37" t="n">
        <f aca="false">IF(Raw_Export!$A2125="","",IF(ISNUMBER(Raw_Export!B2125),Raw_Export!B2125,IF(MID(TRIM(Raw_Export!B2125),5,1)="-",DATE(LEFT(TRIM(Raw_Export!B2125),4),MID(TRIM(Raw_Export!B2125),6,2),RIGHT(TRIM(Raw_Export!B2125),2)),DATE(RIGHT(TRIM(Raw_Export!B2125),4),MATCH(MID(TRIM(Raw_Export!B2125),4,3),{"Jan","Feb","Mar","Apr","May","Jun","Jul","Aug","Sep","Oct","Nov","Dec"},0),LEFT(TRIM(Raw_Export!B2125),2)))))</f>
        <v>46278</v>
      </c>
      <c r="C2125" s="36" t="str">
        <f aca="false">IF(Raw_Export!$A2125="","",IFERROR(VLOOKUP(LOWER(TRIM(Raw_Export!C2125)),Maps!$A$2:$B$20,2,FALSE()),"UNMAPPED"))</f>
        <v>Westlands</v>
      </c>
      <c r="D2125" s="36" t="str">
        <f aca="false">IF(Raw_Export!$A2125="","",IFERROR(VLOOKUP(LOWER(TRIM(Raw_Export!D2125)),Maps!$G$2:$I$80,2,FALSE()),"UNMAPPED"))</f>
        <v>Cooking Oil 1L</v>
      </c>
      <c r="E2125" s="36" t="str">
        <f aca="false">IF(Raw_Export!$A2125="","",IFERROR(VLOOKUP(LOWER(TRIM(Raw_Export!D2125)),Maps!$G$2:$I$80,3,FALSE()),"UNMAPPED"))</f>
        <v>Staples</v>
      </c>
      <c r="F2125" s="36" t="n">
        <f aca="false">IF(Raw_Export!$A2125="","",IFERROR(VALUE(TRIM(Raw_Export!E2125)),0))</f>
        <v>1</v>
      </c>
      <c r="G2125" s="38" t="n">
        <f aca="false">IF(Raw_Export!$A2125="","",IFERROR(VALUE(SUBSTITUTE(SUBSTITUTE(UPPER(TRIM(Raw_Export!F2125)),"KES",""),",","")),0))</f>
        <v>330</v>
      </c>
      <c r="H2125" s="38" t="n">
        <f aca="false">IF(Raw_Export!$A2125="","",F2125*G2125)</f>
        <v>330</v>
      </c>
      <c r="I2125" s="36" t="str">
        <f aca="false">IF(Raw_Export!$A2125="","",IFERROR(VLOOKUP(LOWER(TRIM(Raw_Export!H2125)),Maps!$D$2:$E$12,2,FALSE()),"Other"))</f>
        <v>M-Pesa</v>
      </c>
      <c r="J2125" s="36" t="str">
        <f aca="false">IF(Raw_Export!$A2125="","",IF(COUNTIF($A$2:A2125,A2125)&gt;1,"Duplicate",""))</f>
        <v/>
      </c>
      <c r="K2125" s="36" t="str">
        <f aca="false">IF(Raw_Export!$A2125="","",IF(J2125="Duplicate","Duplicate",IF(OR(C2125="UNMAPPED",D2125="UNMAPPED"),"Unmapped",IF(F2125=0,"Blank qty",IF(F2125&lt;0,"Return","OK")))))</f>
        <v>OK</v>
      </c>
      <c r="L2125" s="36" t="n">
        <f aca="false">IF(Raw_Export!$A2125="","",IF(OR(K2125="OK",K2125="Return"),1,0))</f>
        <v>1</v>
      </c>
      <c r="M2125" s="37" t="n">
        <f aca="false">IF(Raw_Export!$A2125="","",B2125-WEEKDAY(B2125,2)+1)</f>
        <v>46272</v>
      </c>
    </row>
    <row r="2126" customFormat="false" ht="15" hidden="false" customHeight="false" outlineLevel="0" collapsed="false">
      <c r="A2126" s="36" t="str">
        <f aca="false">IF(Raw_Export!$A2126="","",TRIM(Raw_Export!A2126))</f>
        <v>TXN-102083</v>
      </c>
      <c r="B2126" s="37" t="n">
        <f aca="false">IF(Raw_Export!$A2126="","",IF(ISNUMBER(Raw_Export!B2126),Raw_Export!B2126,IF(MID(TRIM(Raw_Export!B2126),5,1)="-",DATE(LEFT(TRIM(Raw_Export!B2126),4),MID(TRIM(Raw_Export!B2126),6,2),RIGHT(TRIM(Raw_Export!B2126),2)),DATE(RIGHT(TRIM(Raw_Export!B2126),4),MATCH(MID(TRIM(Raw_Export!B2126),4,3),{"Jan","Feb","Mar","Apr","May","Jun","Jul","Aug","Sep","Oct","Nov","Dec"},0),LEFT(TRIM(Raw_Export!B2126),2)))))</f>
        <v>46278</v>
      </c>
      <c r="C2126" s="36" t="str">
        <f aca="false">IF(Raw_Export!$A2126="","",IFERROR(VLOOKUP(LOWER(TRIM(Raw_Export!C2126)),Maps!$A$2:$B$20,2,FALSE()),"UNMAPPED"))</f>
        <v>Westlands</v>
      </c>
      <c r="D2126" s="36" t="str">
        <f aca="false">IF(Raw_Export!$A2126="","",IFERROR(VLOOKUP(LOWER(TRIM(Raw_Export!D2126)),Maps!$G$2:$I$80,2,FALSE()),"UNMAPPED"))</f>
        <v>Salt 500g</v>
      </c>
      <c r="E2126" s="36" t="str">
        <f aca="false">IF(Raw_Export!$A2126="","",IFERROR(VLOOKUP(LOWER(TRIM(Raw_Export!D2126)),Maps!$G$2:$I$80,3,FALSE()),"UNMAPPED"))</f>
        <v>Staples</v>
      </c>
      <c r="F2126" s="36" t="n">
        <f aca="false">IF(Raw_Export!$A2126="","",IFERROR(VALUE(TRIM(Raw_Export!E2126)),0))</f>
        <v>1</v>
      </c>
      <c r="G2126" s="38" t="n">
        <f aca="false">IF(Raw_Export!$A2126="","",IFERROR(VALUE(SUBSTITUTE(SUBSTITUTE(UPPER(TRIM(Raw_Export!F2126)),"KES",""),",","")),0))</f>
        <v>40</v>
      </c>
      <c r="H2126" s="38" t="n">
        <f aca="false">IF(Raw_Export!$A2126="","",F2126*G2126)</f>
        <v>40</v>
      </c>
      <c r="I2126" s="36" t="str">
        <f aca="false">IF(Raw_Export!$A2126="","",IFERROR(VLOOKUP(LOWER(TRIM(Raw_Export!H2126)),Maps!$D$2:$E$12,2,FALSE()),"Other"))</f>
        <v>M-Pesa</v>
      </c>
      <c r="J2126" s="36" t="str">
        <f aca="false">IF(Raw_Export!$A2126="","",IF(COUNTIF($A$2:A2126,A2126)&gt;1,"Duplicate",""))</f>
        <v/>
      </c>
      <c r="K2126" s="36" t="str">
        <f aca="false">IF(Raw_Export!$A2126="","",IF(J2126="Duplicate","Duplicate",IF(OR(C2126="UNMAPPED",D2126="UNMAPPED"),"Unmapped",IF(F2126=0,"Blank qty",IF(F2126&lt;0,"Return","OK")))))</f>
        <v>OK</v>
      </c>
      <c r="L2126" s="36" t="n">
        <f aca="false">IF(Raw_Export!$A2126="","",IF(OR(K2126="OK",K2126="Return"),1,0))</f>
        <v>1</v>
      </c>
      <c r="M2126" s="37" t="n">
        <f aca="false">IF(Raw_Export!$A2126="","",B2126-WEEKDAY(B2126,2)+1)</f>
        <v>46272</v>
      </c>
    </row>
    <row r="2127" customFormat="false" ht="15" hidden="false" customHeight="false" outlineLevel="0" collapsed="false">
      <c r="A2127" s="36" t="str">
        <f aca="false">IF(Raw_Export!$A2127="","",TRIM(Raw_Export!A2127))</f>
        <v>TXN-102084</v>
      </c>
      <c r="B2127" s="37" t="n">
        <f aca="false">IF(Raw_Export!$A2127="","",IF(ISNUMBER(Raw_Export!B2127),Raw_Export!B2127,IF(MID(TRIM(Raw_Export!B2127),5,1)="-",DATE(LEFT(TRIM(Raw_Export!B2127),4),MID(TRIM(Raw_Export!B2127),6,2),RIGHT(TRIM(Raw_Export!B2127),2)),DATE(RIGHT(TRIM(Raw_Export!B2127),4),MATCH(MID(TRIM(Raw_Export!B2127),4,3),{"Jan","Feb","Mar","Apr","May","Jun","Jul","Aug","Sep","Oct","Nov","Dec"},0),LEFT(TRIM(Raw_Export!B2127),2)))))</f>
        <v>46278</v>
      </c>
      <c r="C2127" s="36" t="str">
        <f aca="false">IF(Raw_Export!$A2127="","",IFERROR(VLOOKUP(LOWER(TRIM(Raw_Export!C2127)),Maps!$A$2:$B$20,2,FALSE()),"UNMAPPED"))</f>
        <v>Westlands</v>
      </c>
      <c r="D2127" s="36" t="str">
        <f aca="false">IF(Raw_Export!$A2127="","",IFERROR(VLOOKUP(LOWER(TRIM(Raw_Export!D2127)),Maps!$G$2:$I$80,2,FALSE()),"UNMAPPED"))</f>
        <v>Chocolate Bar 90g</v>
      </c>
      <c r="E2127" s="36" t="str">
        <f aca="false">IF(Raw_Export!$A2127="","",IFERROR(VLOOKUP(LOWER(TRIM(Raw_Export!D2127)),Maps!$G$2:$I$80,3,FALSE()),"UNMAPPED"))</f>
        <v>Snacks</v>
      </c>
      <c r="F2127" s="36" t="n">
        <f aca="false">IF(Raw_Export!$A2127="","",IFERROR(VALUE(TRIM(Raw_Export!E2127)),0))</f>
        <v>-2</v>
      </c>
      <c r="G2127" s="38" t="n">
        <f aca="false">IF(Raw_Export!$A2127="","",IFERROR(VALUE(SUBSTITUTE(SUBSTITUTE(UPPER(TRIM(Raw_Export!F2127)),"KES",""),",","")),0))</f>
        <v>140</v>
      </c>
      <c r="H2127" s="38" t="n">
        <f aca="false">IF(Raw_Export!$A2127="","",F2127*G2127)</f>
        <v>-280</v>
      </c>
      <c r="I2127" s="36" t="str">
        <f aca="false">IF(Raw_Export!$A2127="","",IFERROR(VLOOKUP(LOWER(TRIM(Raw_Export!H2127)),Maps!$D$2:$E$12,2,FALSE()),"Other"))</f>
        <v>Card</v>
      </c>
      <c r="J2127" s="36" t="str">
        <f aca="false">IF(Raw_Export!$A2127="","",IF(COUNTIF($A$2:A2127,A2127)&gt;1,"Duplicate",""))</f>
        <v/>
      </c>
      <c r="K2127" s="36" t="str">
        <f aca="false">IF(Raw_Export!$A2127="","",IF(J2127="Duplicate","Duplicate",IF(OR(C2127="UNMAPPED",D2127="UNMAPPED"),"Unmapped",IF(F2127=0,"Blank qty",IF(F2127&lt;0,"Return","OK")))))</f>
        <v>Return</v>
      </c>
      <c r="L2127" s="36" t="n">
        <f aca="false">IF(Raw_Export!$A2127="","",IF(OR(K2127="OK",K2127="Return"),1,0))</f>
        <v>1</v>
      </c>
      <c r="M2127" s="37" t="n">
        <f aca="false">IF(Raw_Export!$A2127="","",B2127-WEEKDAY(B2127,2)+1)</f>
        <v>46272</v>
      </c>
    </row>
    <row r="2128" customFormat="false" ht="15" hidden="false" customHeight="false" outlineLevel="0" collapsed="false">
      <c r="A2128" s="36" t="str">
        <f aca="false">IF(Raw_Export!$A2128="","",TRIM(Raw_Export!A2128))</f>
        <v>TXN-102085</v>
      </c>
      <c r="B2128" s="37" t="n">
        <f aca="false">IF(Raw_Export!$A2128="","",IF(ISNUMBER(Raw_Export!B2128),Raw_Export!B2128,IF(MID(TRIM(Raw_Export!B2128),5,1)="-",DATE(LEFT(TRIM(Raw_Export!B2128),4),MID(TRIM(Raw_Export!B2128),6,2),RIGHT(TRIM(Raw_Export!B2128),2)),DATE(RIGHT(TRIM(Raw_Export!B2128),4),MATCH(MID(TRIM(Raw_Export!B2128),4,3),{"Jan","Feb","Mar","Apr","May","Jun","Jul","Aug","Sep","Oct","Nov","Dec"},0),LEFT(TRIM(Raw_Export!B2128),2)))))</f>
        <v>46278</v>
      </c>
      <c r="C2128" s="36" t="str">
        <f aca="false">IF(Raw_Export!$A2128="","",IFERROR(VLOOKUP(LOWER(TRIM(Raw_Export!C2128)),Maps!$A$2:$B$20,2,FALSE()),"UNMAPPED"))</f>
        <v>Mombasa</v>
      </c>
      <c r="D2128" s="36" t="str">
        <f aca="false">IF(Raw_Export!$A2128="","",IFERROR(VLOOKUP(LOWER(TRIM(Raw_Export!D2128)),Maps!$G$2:$I$80,2,FALSE()),"UNMAPPED"))</f>
        <v>Spaghetti 400g</v>
      </c>
      <c r="E2128" s="36" t="str">
        <f aca="false">IF(Raw_Export!$A2128="","",IFERROR(VLOOKUP(LOWER(TRIM(Raw_Export!D2128)),Maps!$G$2:$I$80,3,FALSE()),"UNMAPPED"))</f>
        <v>Staples</v>
      </c>
      <c r="F2128" s="36" t="n">
        <f aca="false">IF(Raw_Export!$A2128="","",IFERROR(VALUE(TRIM(Raw_Export!E2128)),0))</f>
        <v>1</v>
      </c>
      <c r="G2128" s="38" t="n">
        <f aca="false">IF(Raw_Export!$A2128="","",IFERROR(VALUE(SUBSTITUTE(SUBSTITUTE(UPPER(TRIM(Raw_Export!F2128)),"KES",""),",","")),0))</f>
        <v>110</v>
      </c>
      <c r="H2128" s="38" t="n">
        <f aca="false">IF(Raw_Export!$A2128="","",F2128*G2128)</f>
        <v>110</v>
      </c>
      <c r="I2128" s="36" t="str">
        <f aca="false">IF(Raw_Export!$A2128="","",IFERROR(VLOOKUP(LOWER(TRIM(Raw_Export!H2128)),Maps!$D$2:$E$12,2,FALSE()),"Other"))</f>
        <v>M-Pesa</v>
      </c>
      <c r="J2128" s="36" t="str">
        <f aca="false">IF(Raw_Export!$A2128="","",IF(COUNTIF($A$2:A2128,A2128)&gt;1,"Duplicate",""))</f>
        <v/>
      </c>
      <c r="K2128" s="36" t="str">
        <f aca="false">IF(Raw_Export!$A2128="","",IF(J2128="Duplicate","Duplicate",IF(OR(C2128="UNMAPPED",D2128="UNMAPPED"),"Unmapped",IF(F2128=0,"Blank qty",IF(F2128&lt;0,"Return","OK")))))</f>
        <v>OK</v>
      </c>
      <c r="L2128" s="36" t="n">
        <f aca="false">IF(Raw_Export!$A2128="","",IF(OR(K2128="OK",K2128="Return"),1,0))</f>
        <v>1</v>
      </c>
      <c r="M2128" s="37" t="n">
        <f aca="false">IF(Raw_Export!$A2128="","",B2128-WEEKDAY(B2128,2)+1)</f>
        <v>46272</v>
      </c>
    </row>
    <row r="2129" customFormat="false" ht="15" hidden="false" customHeight="false" outlineLevel="0" collapsed="false">
      <c r="A2129" s="36" t="str">
        <f aca="false">IF(Raw_Export!$A2129="","",TRIM(Raw_Export!A2129))</f>
        <v>TXN-102086</v>
      </c>
      <c r="B2129" s="37" t="n">
        <f aca="false">IF(Raw_Export!$A2129="","",IF(ISNUMBER(Raw_Export!B2129),Raw_Export!B2129,IF(MID(TRIM(Raw_Export!B2129),5,1)="-",DATE(LEFT(TRIM(Raw_Export!B2129),4),MID(TRIM(Raw_Export!B2129),6,2),RIGHT(TRIM(Raw_Export!B2129),2)),DATE(RIGHT(TRIM(Raw_Export!B2129),4),MATCH(MID(TRIM(Raw_Export!B2129),4,3),{"Jan","Feb","Mar","Apr","May","Jun","Jul","Aug","Sep","Oct","Nov","Dec"},0),LEFT(TRIM(Raw_Export!B2129),2)))))</f>
        <v>46278</v>
      </c>
      <c r="C2129" s="36" t="str">
        <f aca="false">IF(Raw_Export!$A2129="","",IFERROR(VLOOKUP(LOWER(TRIM(Raw_Export!C2129)),Maps!$A$2:$B$20,2,FALSE()),"UNMAPPED"))</f>
        <v>Mombasa</v>
      </c>
      <c r="D2129" s="36" t="str">
        <f aca="false">IF(Raw_Export!$A2129="","",IFERROR(VLOOKUP(LOWER(TRIM(Raw_Export!D2129)),Maps!$G$2:$I$80,2,FALSE()),"UNMAPPED"))</f>
        <v>Soda 500ml</v>
      </c>
      <c r="E2129" s="36" t="str">
        <f aca="false">IF(Raw_Export!$A2129="","",IFERROR(VLOOKUP(LOWER(TRIM(Raw_Export!D2129)),Maps!$G$2:$I$80,3,FALSE()),"UNMAPPED"))</f>
        <v>Beverages</v>
      </c>
      <c r="F2129" s="36" t="n">
        <f aca="false">IF(Raw_Export!$A2129="","",IFERROR(VALUE(TRIM(Raw_Export!E2129)),0))</f>
        <v>2</v>
      </c>
      <c r="G2129" s="38" t="n">
        <f aca="false">IF(Raw_Export!$A2129="","",IFERROR(VALUE(SUBSTITUTE(SUBSTITUTE(UPPER(TRIM(Raw_Export!F2129)),"KES",""),",","")),0))</f>
        <v>60</v>
      </c>
      <c r="H2129" s="38" t="n">
        <f aca="false">IF(Raw_Export!$A2129="","",F2129*G2129)</f>
        <v>120</v>
      </c>
      <c r="I2129" s="36" t="str">
        <f aca="false">IF(Raw_Export!$A2129="","",IFERROR(VLOOKUP(LOWER(TRIM(Raw_Export!H2129)),Maps!$D$2:$E$12,2,FALSE()),"Other"))</f>
        <v>Card</v>
      </c>
      <c r="J2129" s="36" t="str">
        <f aca="false">IF(Raw_Export!$A2129="","",IF(COUNTIF($A$2:A2129,A2129)&gt;1,"Duplicate",""))</f>
        <v/>
      </c>
      <c r="K2129" s="36" t="str">
        <f aca="false">IF(Raw_Export!$A2129="","",IF(J2129="Duplicate","Duplicate",IF(OR(C2129="UNMAPPED",D2129="UNMAPPED"),"Unmapped",IF(F2129=0,"Blank qty",IF(F2129&lt;0,"Return","OK")))))</f>
        <v>OK</v>
      </c>
      <c r="L2129" s="36" t="n">
        <f aca="false">IF(Raw_Export!$A2129="","",IF(OR(K2129="OK",K2129="Return"),1,0))</f>
        <v>1</v>
      </c>
      <c r="M2129" s="37" t="n">
        <f aca="false">IF(Raw_Export!$A2129="","",B2129-WEEKDAY(B2129,2)+1)</f>
        <v>46272</v>
      </c>
    </row>
    <row r="2130" customFormat="false" ht="15" hidden="false" customHeight="false" outlineLevel="0" collapsed="false">
      <c r="A2130" s="36" t="str">
        <f aca="false">IF(Raw_Export!$A2130="","",TRIM(Raw_Export!A2130))</f>
        <v>TXN-102087</v>
      </c>
      <c r="B2130" s="37" t="n">
        <f aca="false">IF(Raw_Export!$A2130="","",IF(ISNUMBER(Raw_Export!B2130),Raw_Export!B2130,IF(MID(TRIM(Raw_Export!B2130),5,1)="-",DATE(LEFT(TRIM(Raw_Export!B2130),4),MID(TRIM(Raw_Export!B2130),6,2),RIGHT(TRIM(Raw_Export!B2130),2)),DATE(RIGHT(TRIM(Raw_Export!B2130),4),MATCH(MID(TRIM(Raw_Export!B2130),4,3),{"Jan","Feb","Mar","Apr","May","Jun","Jul","Aug","Sep","Oct","Nov","Dec"},0),LEFT(TRIM(Raw_Export!B2130),2)))))</f>
        <v>46278</v>
      </c>
      <c r="C2130" s="36" t="str">
        <f aca="false">IF(Raw_Export!$A2130="","",IFERROR(VLOOKUP(LOWER(TRIM(Raw_Export!C2130)),Maps!$A$2:$B$20,2,FALSE()),"UNMAPPED"))</f>
        <v>Mombasa</v>
      </c>
      <c r="D2130" s="36" t="str">
        <f aca="false">IF(Raw_Export!$A2130="","",IFERROR(VLOOKUP(LOWER(TRIM(Raw_Export!D2130)),Maps!$G$2:$I$80,2,FALSE()),"UNMAPPED"))</f>
        <v>Cooking Oil 1L</v>
      </c>
      <c r="E2130" s="36" t="str">
        <f aca="false">IF(Raw_Export!$A2130="","",IFERROR(VLOOKUP(LOWER(TRIM(Raw_Export!D2130)),Maps!$G$2:$I$80,3,FALSE()),"UNMAPPED"))</f>
        <v>Staples</v>
      </c>
      <c r="F2130" s="36" t="n">
        <f aca="false">IF(Raw_Export!$A2130="","",IFERROR(VALUE(TRIM(Raw_Export!E2130)),0))</f>
        <v>6</v>
      </c>
      <c r="G2130" s="38" t="n">
        <f aca="false">IF(Raw_Export!$A2130="","",IFERROR(VALUE(SUBSTITUTE(SUBSTITUTE(UPPER(TRIM(Raw_Export!F2130)),"KES",""),",","")),0))</f>
        <v>330</v>
      </c>
      <c r="H2130" s="38" t="n">
        <f aca="false">IF(Raw_Export!$A2130="","",F2130*G2130)</f>
        <v>1980</v>
      </c>
      <c r="I2130" s="36" t="str">
        <f aca="false">IF(Raw_Export!$A2130="","",IFERROR(VLOOKUP(LOWER(TRIM(Raw_Export!H2130)),Maps!$D$2:$E$12,2,FALSE()),"Other"))</f>
        <v>M-Pesa</v>
      </c>
      <c r="J2130" s="36" t="str">
        <f aca="false">IF(Raw_Export!$A2130="","",IF(COUNTIF($A$2:A2130,A2130)&gt;1,"Duplicate",""))</f>
        <v/>
      </c>
      <c r="K2130" s="36" t="str">
        <f aca="false">IF(Raw_Export!$A2130="","",IF(J2130="Duplicate","Duplicate",IF(OR(C2130="UNMAPPED",D2130="UNMAPPED"),"Unmapped",IF(F2130=0,"Blank qty",IF(F2130&lt;0,"Return","OK")))))</f>
        <v>OK</v>
      </c>
      <c r="L2130" s="36" t="n">
        <f aca="false">IF(Raw_Export!$A2130="","",IF(OR(K2130="OK",K2130="Return"),1,0))</f>
        <v>1</v>
      </c>
      <c r="M2130" s="37" t="n">
        <f aca="false">IF(Raw_Export!$A2130="","",B2130-WEEKDAY(B2130,2)+1)</f>
        <v>46272</v>
      </c>
    </row>
    <row r="2131" customFormat="false" ht="15" hidden="false" customHeight="false" outlineLevel="0" collapsed="false">
      <c r="A2131" s="36" t="str">
        <f aca="false">IF(Raw_Export!$A2131="","",TRIM(Raw_Export!A2131))</f>
        <v>TXN-102088</v>
      </c>
      <c r="B2131" s="37" t="n">
        <f aca="false">IF(Raw_Export!$A2131="","",IF(ISNUMBER(Raw_Export!B2131),Raw_Export!B2131,IF(MID(TRIM(Raw_Export!B2131),5,1)="-",DATE(LEFT(TRIM(Raw_Export!B2131),4),MID(TRIM(Raw_Export!B2131),6,2),RIGHT(TRIM(Raw_Export!B2131),2)),DATE(RIGHT(TRIM(Raw_Export!B2131),4),MATCH(MID(TRIM(Raw_Export!B2131),4,3),{"Jan","Feb","Mar","Apr","May","Jun","Jul","Aug","Sep","Oct","Nov","Dec"},0),LEFT(TRIM(Raw_Export!B2131),2)))))</f>
        <v>46278</v>
      </c>
      <c r="C2131" s="36" t="str">
        <f aca="false">IF(Raw_Export!$A2131="","",IFERROR(VLOOKUP(LOWER(TRIM(Raw_Export!C2131)),Maps!$A$2:$B$20,2,FALSE()),"UNMAPPED"))</f>
        <v>Mombasa</v>
      </c>
      <c r="D2131" s="36" t="str">
        <f aca="false">IF(Raw_Export!$A2131="","",IFERROR(VLOOKUP(LOWER(TRIM(Raw_Export!D2131)),Maps!$G$2:$I$80,2,FALSE()),"UNMAPPED"))</f>
        <v>Cooking Oil 1L</v>
      </c>
      <c r="E2131" s="36" t="str">
        <f aca="false">IF(Raw_Export!$A2131="","",IFERROR(VLOOKUP(LOWER(TRIM(Raw_Export!D2131)),Maps!$G$2:$I$80,3,FALSE()),"UNMAPPED"))</f>
        <v>Staples</v>
      </c>
      <c r="F2131" s="36" t="n">
        <f aca="false">IF(Raw_Export!$A2131="","",IFERROR(VALUE(TRIM(Raw_Export!E2131)),0))</f>
        <v>1</v>
      </c>
      <c r="G2131" s="38" t="n">
        <f aca="false">IF(Raw_Export!$A2131="","",IFERROR(VALUE(SUBSTITUTE(SUBSTITUTE(UPPER(TRIM(Raw_Export!F2131)),"KES",""),",","")),0))</f>
        <v>330</v>
      </c>
      <c r="H2131" s="38" t="n">
        <f aca="false">IF(Raw_Export!$A2131="","",F2131*G2131)</f>
        <v>330</v>
      </c>
      <c r="I2131" s="36" t="str">
        <f aca="false">IF(Raw_Export!$A2131="","",IFERROR(VLOOKUP(LOWER(TRIM(Raw_Export!H2131)),Maps!$D$2:$E$12,2,FALSE()),"Other"))</f>
        <v>M-Pesa</v>
      </c>
      <c r="J2131" s="36" t="str">
        <f aca="false">IF(Raw_Export!$A2131="","",IF(COUNTIF($A$2:A2131,A2131)&gt;1,"Duplicate",""))</f>
        <v/>
      </c>
      <c r="K2131" s="36" t="str">
        <f aca="false">IF(Raw_Export!$A2131="","",IF(J2131="Duplicate","Duplicate",IF(OR(C2131="UNMAPPED",D2131="UNMAPPED"),"Unmapped",IF(F2131=0,"Blank qty",IF(F2131&lt;0,"Return","OK")))))</f>
        <v>OK</v>
      </c>
      <c r="L2131" s="36" t="n">
        <f aca="false">IF(Raw_Export!$A2131="","",IF(OR(K2131="OK",K2131="Return"),1,0))</f>
        <v>1</v>
      </c>
      <c r="M2131" s="37" t="n">
        <f aca="false">IF(Raw_Export!$A2131="","",B2131-WEEKDAY(B2131,2)+1)</f>
        <v>46272</v>
      </c>
    </row>
    <row r="2132" customFormat="false" ht="15" hidden="false" customHeight="false" outlineLevel="0" collapsed="false">
      <c r="A2132" s="36" t="str">
        <f aca="false">IF(Raw_Export!$A2132="","",TRIM(Raw_Export!A2132))</f>
        <v>TXN-102089</v>
      </c>
      <c r="B2132" s="37" t="n">
        <f aca="false">IF(Raw_Export!$A2132="","",IF(ISNUMBER(Raw_Export!B2132),Raw_Export!B2132,IF(MID(TRIM(Raw_Export!B2132),5,1)="-",DATE(LEFT(TRIM(Raw_Export!B2132),4),MID(TRIM(Raw_Export!B2132),6,2),RIGHT(TRIM(Raw_Export!B2132),2)),DATE(RIGHT(TRIM(Raw_Export!B2132),4),MATCH(MID(TRIM(Raw_Export!B2132),4,3),{"Jan","Feb","Mar","Apr","May","Jun","Jul","Aug","Sep","Oct","Nov","Dec"},0),LEFT(TRIM(Raw_Export!B2132),2)))))</f>
        <v>46278</v>
      </c>
      <c r="C2132" s="36" t="str">
        <f aca="false">IF(Raw_Export!$A2132="","",IFERROR(VLOOKUP(LOWER(TRIM(Raw_Export!C2132)),Maps!$A$2:$B$20,2,FALSE()),"UNMAPPED"))</f>
        <v>Mombasa</v>
      </c>
      <c r="D2132" s="36" t="str">
        <f aca="false">IF(Raw_Export!$A2132="","",IFERROR(VLOOKUP(LOWER(TRIM(Raw_Export!D2132)),Maps!$G$2:$I$80,2,FALSE()),"UNMAPPED"))</f>
        <v>Yoghurt 500ml</v>
      </c>
      <c r="E2132" s="36" t="str">
        <f aca="false">IF(Raw_Export!$A2132="","",IFERROR(VLOOKUP(LOWER(TRIM(Raw_Export!D2132)),Maps!$G$2:$I$80,3,FALSE()),"UNMAPPED"))</f>
        <v>Dairy &amp; Eggs</v>
      </c>
      <c r="F2132" s="36" t="n">
        <f aca="false">IF(Raw_Export!$A2132="","",IFERROR(VALUE(TRIM(Raw_Export!E2132)),0))</f>
        <v>1</v>
      </c>
      <c r="G2132" s="38" t="n">
        <f aca="false">IF(Raw_Export!$A2132="","",IFERROR(VALUE(SUBSTITUTE(SUBSTITUTE(UPPER(TRIM(Raw_Export!F2132)),"KES",""),",","")),0))</f>
        <v>120</v>
      </c>
      <c r="H2132" s="38" t="n">
        <f aca="false">IF(Raw_Export!$A2132="","",F2132*G2132)</f>
        <v>120</v>
      </c>
      <c r="I2132" s="36" t="str">
        <f aca="false">IF(Raw_Export!$A2132="","",IFERROR(VLOOKUP(LOWER(TRIM(Raw_Export!H2132)),Maps!$D$2:$E$12,2,FALSE()),"Other"))</f>
        <v>Card</v>
      </c>
      <c r="J2132" s="36" t="str">
        <f aca="false">IF(Raw_Export!$A2132="","",IF(COUNTIF($A$2:A2132,A2132)&gt;1,"Duplicate",""))</f>
        <v/>
      </c>
      <c r="K2132" s="36" t="str">
        <f aca="false">IF(Raw_Export!$A2132="","",IF(J2132="Duplicate","Duplicate",IF(OR(C2132="UNMAPPED",D2132="UNMAPPED"),"Unmapped",IF(F2132=0,"Blank qty",IF(F2132&lt;0,"Return","OK")))))</f>
        <v>OK</v>
      </c>
      <c r="L2132" s="36" t="n">
        <f aca="false">IF(Raw_Export!$A2132="","",IF(OR(K2132="OK",K2132="Return"),1,0))</f>
        <v>1</v>
      </c>
      <c r="M2132" s="37" t="n">
        <f aca="false">IF(Raw_Export!$A2132="","",B2132-WEEKDAY(B2132,2)+1)</f>
        <v>46272</v>
      </c>
    </row>
    <row r="2133" customFormat="false" ht="15" hidden="false" customHeight="false" outlineLevel="0" collapsed="false">
      <c r="A2133" s="36" t="str">
        <f aca="false">IF(Raw_Export!$A2133="","",TRIM(Raw_Export!A2133))</f>
        <v>TXN-102090</v>
      </c>
      <c r="B2133" s="37" t="n">
        <f aca="false">IF(Raw_Export!$A2133="","",IF(ISNUMBER(Raw_Export!B2133),Raw_Export!B2133,IF(MID(TRIM(Raw_Export!B2133),5,1)="-",DATE(LEFT(TRIM(Raw_Export!B2133),4),MID(TRIM(Raw_Export!B2133),6,2),RIGHT(TRIM(Raw_Export!B2133),2)),DATE(RIGHT(TRIM(Raw_Export!B2133),4),MATCH(MID(TRIM(Raw_Export!B2133),4,3),{"Jan","Feb","Mar","Apr","May","Jun","Jul","Aug","Sep","Oct","Nov","Dec"},0),LEFT(TRIM(Raw_Export!B2133),2)))))</f>
        <v>46278</v>
      </c>
      <c r="C2133" s="36" t="str">
        <f aca="false">IF(Raw_Export!$A2133="","",IFERROR(VLOOKUP(LOWER(TRIM(Raw_Export!C2133)),Maps!$A$2:$B$20,2,FALSE()),"UNMAPPED"))</f>
        <v>Mombasa</v>
      </c>
      <c r="D2133" s="36" t="str">
        <f aca="false">IF(Raw_Export!$A2133="","",IFERROR(VLOOKUP(LOWER(TRIM(Raw_Export!D2133)),Maps!$G$2:$I$80,2,FALSE()),"UNMAPPED"))</f>
        <v>Salt 500g</v>
      </c>
      <c r="E2133" s="36" t="str">
        <f aca="false">IF(Raw_Export!$A2133="","",IFERROR(VLOOKUP(LOWER(TRIM(Raw_Export!D2133)),Maps!$G$2:$I$80,3,FALSE()),"UNMAPPED"))</f>
        <v>Staples</v>
      </c>
      <c r="F2133" s="36" t="n">
        <f aca="false">IF(Raw_Export!$A2133="","",IFERROR(VALUE(TRIM(Raw_Export!E2133)),0))</f>
        <v>3</v>
      </c>
      <c r="G2133" s="38" t="n">
        <f aca="false">IF(Raw_Export!$A2133="","",IFERROR(VALUE(SUBSTITUTE(SUBSTITUTE(UPPER(TRIM(Raw_Export!F2133)),"KES",""),",","")),0))</f>
        <v>40</v>
      </c>
      <c r="H2133" s="38" t="n">
        <f aca="false">IF(Raw_Export!$A2133="","",F2133*G2133)</f>
        <v>120</v>
      </c>
      <c r="I2133" s="36" t="str">
        <f aca="false">IF(Raw_Export!$A2133="","",IFERROR(VLOOKUP(LOWER(TRIM(Raw_Export!H2133)),Maps!$D$2:$E$12,2,FALSE()),"Other"))</f>
        <v>M-Pesa</v>
      </c>
      <c r="J2133" s="36" t="str">
        <f aca="false">IF(Raw_Export!$A2133="","",IF(COUNTIF($A$2:A2133,A2133)&gt;1,"Duplicate",""))</f>
        <v/>
      </c>
      <c r="K2133" s="36" t="str">
        <f aca="false">IF(Raw_Export!$A2133="","",IF(J2133="Duplicate","Duplicate",IF(OR(C2133="UNMAPPED",D2133="UNMAPPED"),"Unmapped",IF(F2133=0,"Blank qty",IF(F2133&lt;0,"Return","OK")))))</f>
        <v>OK</v>
      </c>
      <c r="L2133" s="36" t="n">
        <f aca="false">IF(Raw_Export!$A2133="","",IF(OR(K2133="OK",K2133="Return"),1,0))</f>
        <v>1</v>
      </c>
      <c r="M2133" s="37" t="n">
        <f aca="false">IF(Raw_Export!$A2133="","",B2133-WEEKDAY(B2133,2)+1)</f>
        <v>46272</v>
      </c>
    </row>
    <row r="2134" customFormat="false" ht="15" hidden="false" customHeight="false" outlineLevel="0" collapsed="false">
      <c r="A2134" s="36" t="str">
        <f aca="false">IF(Raw_Export!$A2134="","",TRIM(Raw_Export!A2134))</f>
        <v>TXN-102091</v>
      </c>
      <c r="B2134" s="37" t="n">
        <f aca="false">IF(Raw_Export!$A2134="","",IF(ISNUMBER(Raw_Export!B2134),Raw_Export!B2134,IF(MID(TRIM(Raw_Export!B2134),5,1)="-",DATE(LEFT(TRIM(Raw_Export!B2134),4),MID(TRIM(Raw_Export!B2134),6,2),RIGHT(TRIM(Raw_Export!B2134),2)),DATE(RIGHT(TRIM(Raw_Export!B2134),4),MATCH(MID(TRIM(Raw_Export!B2134),4,3),{"Jan","Feb","Mar","Apr","May","Jun","Jul","Aug","Sep","Oct","Nov","Dec"},0),LEFT(TRIM(Raw_Export!B2134),2)))))</f>
        <v>46278</v>
      </c>
      <c r="C2134" s="36" t="str">
        <f aca="false">IF(Raw_Export!$A2134="","",IFERROR(VLOOKUP(LOWER(TRIM(Raw_Export!C2134)),Maps!$A$2:$B$20,2,FALSE()),"UNMAPPED"))</f>
        <v>Mombasa</v>
      </c>
      <c r="D2134" s="36" t="str">
        <f aca="false">IF(Raw_Export!$A2134="","",IFERROR(VLOOKUP(LOWER(TRIM(Raw_Export!D2134)),Maps!$G$2:$I$80,2,FALSE()),"UNMAPPED"))</f>
        <v>Bottled Water 1.5L</v>
      </c>
      <c r="E2134" s="36" t="str">
        <f aca="false">IF(Raw_Export!$A2134="","",IFERROR(VLOOKUP(LOWER(TRIM(Raw_Export!D2134)),Maps!$G$2:$I$80,3,FALSE()),"UNMAPPED"))</f>
        <v>Beverages</v>
      </c>
      <c r="F2134" s="36" t="n">
        <f aca="false">IF(Raw_Export!$A2134="","",IFERROR(VALUE(TRIM(Raw_Export!E2134)),0))</f>
        <v>2</v>
      </c>
      <c r="G2134" s="38" t="n">
        <f aca="false">IF(Raw_Export!$A2134="","",IFERROR(VALUE(SUBSTITUTE(SUBSTITUTE(UPPER(TRIM(Raw_Export!F2134)),"KES",""),",","")),0))</f>
        <v>90</v>
      </c>
      <c r="H2134" s="38" t="n">
        <f aca="false">IF(Raw_Export!$A2134="","",F2134*G2134)</f>
        <v>180</v>
      </c>
      <c r="I2134" s="36" t="str">
        <f aca="false">IF(Raw_Export!$A2134="","",IFERROR(VLOOKUP(LOWER(TRIM(Raw_Export!H2134)),Maps!$D$2:$E$12,2,FALSE()),"Other"))</f>
        <v>M-Pesa</v>
      </c>
      <c r="J2134" s="36" t="str">
        <f aca="false">IF(Raw_Export!$A2134="","",IF(COUNTIF($A$2:A2134,A2134)&gt;1,"Duplicate",""))</f>
        <v/>
      </c>
      <c r="K2134" s="36" t="str">
        <f aca="false">IF(Raw_Export!$A2134="","",IF(J2134="Duplicate","Duplicate",IF(OR(C2134="UNMAPPED",D2134="UNMAPPED"),"Unmapped",IF(F2134=0,"Blank qty",IF(F2134&lt;0,"Return","OK")))))</f>
        <v>OK</v>
      </c>
      <c r="L2134" s="36" t="n">
        <f aca="false">IF(Raw_Export!$A2134="","",IF(OR(K2134="OK",K2134="Return"),1,0))</f>
        <v>1</v>
      </c>
      <c r="M2134" s="37" t="n">
        <f aca="false">IF(Raw_Export!$A2134="","",B2134-WEEKDAY(B2134,2)+1)</f>
        <v>46272</v>
      </c>
    </row>
    <row r="2135" customFormat="false" ht="15" hidden="false" customHeight="false" outlineLevel="0" collapsed="false">
      <c r="A2135" s="36" t="str">
        <f aca="false">IF(Raw_Export!$A2135="","",TRIM(Raw_Export!A2135))</f>
        <v>TXN-102092</v>
      </c>
      <c r="B2135" s="37" t="n">
        <f aca="false">IF(Raw_Export!$A2135="","",IF(ISNUMBER(Raw_Export!B2135),Raw_Export!B2135,IF(MID(TRIM(Raw_Export!B2135),5,1)="-",DATE(LEFT(TRIM(Raw_Export!B2135),4),MID(TRIM(Raw_Export!B2135),6,2),RIGHT(TRIM(Raw_Export!B2135),2)),DATE(RIGHT(TRIM(Raw_Export!B2135),4),MATCH(MID(TRIM(Raw_Export!B2135),4,3),{"Jan","Feb","Mar","Apr","May","Jun","Jul","Aug","Sep","Oct","Nov","Dec"},0),LEFT(TRIM(Raw_Export!B2135),2)))))</f>
        <v>46278</v>
      </c>
      <c r="C2135" s="36" t="str">
        <f aca="false">IF(Raw_Export!$A2135="","",IFERROR(VLOOKUP(LOWER(TRIM(Raw_Export!C2135)),Maps!$A$2:$B$20,2,FALSE()),"UNMAPPED"))</f>
        <v>Mombasa</v>
      </c>
      <c r="D2135" s="36" t="str">
        <f aca="false">IF(Raw_Export!$A2135="","",IFERROR(VLOOKUP(LOWER(TRIM(Raw_Export!D2135)),Maps!$G$2:$I$80,2,FALSE()),"UNMAPPED"))</f>
        <v>Peanuts 250g</v>
      </c>
      <c r="E2135" s="36" t="str">
        <f aca="false">IF(Raw_Export!$A2135="","",IFERROR(VLOOKUP(LOWER(TRIM(Raw_Export!D2135)),Maps!$G$2:$I$80,3,FALSE()),"UNMAPPED"))</f>
        <v>Snacks</v>
      </c>
      <c r="F2135" s="36" t="n">
        <f aca="false">IF(Raw_Export!$A2135="","",IFERROR(VALUE(TRIM(Raw_Export!E2135)),0))</f>
        <v>1</v>
      </c>
      <c r="G2135" s="38" t="n">
        <f aca="false">IF(Raw_Export!$A2135="","",IFERROR(VALUE(SUBSTITUTE(SUBSTITUTE(UPPER(TRIM(Raw_Export!F2135)),"KES",""),",","")),0))</f>
        <v>130</v>
      </c>
      <c r="H2135" s="38" t="n">
        <f aca="false">IF(Raw_Export!$A2135="","",F2135*G2135)</f>
        <v>130</v>
      </c>
      <c r="I2135" s="36" t="str">
        <f aca="false">IF(Raw_Export!$A2135="","",IFERROR(VLOOKUP(LOWER(TRIM(Raw_Export!H2135)),Maps!$D$2:$E$12,2,FALSE()),"Other"))</f>
        <v>Card</v>
      </c>
      <c r="J2135" s="36" t="str">
        <f aca="false">IF(Raw_Export!$A2135="","",IF(COUNTIF($A$2:A2135,A2135)&gt;1,"Duplicate",""))</f>
        <v/>
      </c>
      <c r="K2135" s="36" t="str">
        <f aca="false">IF(Raw_Export!$A2135="","",IF(J2135="Duplicate","Duplicate",IF(OR(C2135="UNMAPPED",D2135="UNMAPPED"),"Unmapped",IF(F2135=0,"Blank qty",IF(F2135&lt;0,"Return","OK")))))</f>
        <v>OK</v>
      </c>
      <c r="L2135" s="36" t="n">
        <f aca="false">IF(Raw_Export!$A2135="","",IF(OR(K2135="OK",K2135="Return"),1,0))</f>
        <v>1</v>
      </c>
      <c r="M2135" s="37" t="n">
        <f aca="false">IF(Raw_Export!$A2135="","",B2135-WEEKDAY(B2135,2)+1)</f>
        <v>46272</v>
      </c>
    </row>
    <row r="2136" customFormat="false" ht="15" hidden="false" customHeight="false" outlineLevel="0" collapsed="false">
      <c r="A2136" s="36" t="str">
        <f aca="false">IF(Raw_Export!$A2136="","",TRIM(Raw_Export!A2136))</f>
        <v>TXN-102093</v>
      </c>
      <c r="B2136" s="37" t="n">
        <f aca="false">IF(Raw_Export!$A2136="","",IF(ISNUMBER(Raw_Export!B2136),Raw_Export!B2136,IF(MID(TRIM(Raw_Export!B2136),5,1)="-",DATE(LEFT(TRIM(Raw_Export!B2136),4),MID(TRIM(Raw_Export!B2136),6,2),RIGHT(TRIM(Raw_Export!B2136),2)),DATE(RIGHT(TRIM(Raw_Export!B2136),4),MATCH(MID(TRIM(Raw_Export!B2136),4,3),{"Jan","Feb","Mar","Apr","May","Jun","Jul","Aug","Sep","Oct","Nov","Dec"},0),LEFT(TRIM(Raw_Export!B2136),2)))))</f>
        <v>46278</v>
      </c>
      <c r="C2136" s="36" t="str">
        <f aca="false">IF(Raw_Export!$A2136="","",IFERROR(VLOOKUP(LOWER(TRIM(Raw_Export!C2136)),Maps!$A$2:$B$20,2,FALSE()),"UNMAPPED"))</f>
        <v>Mombasa</v>
      </c>
      <c r="D2136" s="36" t="str">
        <f aca="false">IF(Raw_Export!$A2136="","",IFERROR(VLOOKUP(LOWER(TRIM(Raw_Export!D2136)),Maps!$G$2:$I$80,2,FALSE()),"UNMAPPED"))</f>
        <v>Tea Leaves 250g</v>
      </c>
      <c r="E2136" s="36" t="str">
        <f aca="false">IF(Raw_Export!$A2136="","",IFERROR(VLOOKUP(LOWER(TRIM(Raw_Export!D2136)),Maps!$G$2:$I$80,3,FALSE()),"UNMAPPED"))</f>
        <v>Beverages</v>
      </c>
      <c r="F2136" s="36" t="n">
        <f aca="false">IF(Raw_Export!$A2136="","",IFERROR(VALUE(TRIM(Raw_Export!E2136)),0))</f>
        <v>1</v>
      </c>
      <c r="G2136" s="38" t="n">
        <f aca="false">IF(Raw_Export!$A2136="","",IFERROR(VALUE(SUBSTITUTE(SUBSTITUTE(UPPER(TRIM(Raw_Export!F2136)),"KES",""),",","")),0))</f>
        <v>150</v>
      </c>
      <c r="H2136" s="38" t="n">
        <f aca="false">IF(Raw_Export!$A2136="","",F2136*G2136)</f>
        <v>150</v>
      </c>
      <c r="I2136" s="36" t="str">
        <f aca="false">IF(Raw_Export!$A2136="","",IFERROR(VLOOKUP(LOWER(TRIM(Raw_Export!H2136)),Maps!$D$2:$E$12,2,FALSE()),"Other"))</f>
        <v>Cash</v>
      </c>
      <c r="J2136" s="36" t="str">
        <f aca="false">IF(Raw_Export!$A2136="","",IF(COUNTIF($A$2:A2136,A2136)&gt;1,"Duplicate",""))</f>
        <v>Duplicate</v>
      </c>
      <c r="K2136" s="36" t="str">
        <f aca="false">IF(Raw_Export!$A2136="","",IF(J2136="Duplicate","Duplicate",IF(OR(C2136="UNMAPPED",D2136="UNMAPPED"),"Unmapped",IF(F2136=0,"Blank qty",IF(F2136&lt;0,"Return","OK")))))</f>
        <v>Duplicate</v>
      </c>
      <c r="L2136" s="36" t="n">
        <f aca="false">IF(Raw_Export!$A2136="","",IF(OR(K2136="OK",K2136="Return"),1,0))</f>
        <v>0</v>
      </c>
      <c r="M2136" s="37" t="n">
        <f aca="false">IF(Raw_Export!$A2136="","",B2136-WEEKDAY(B2136,2)+1)</f>
        <v>46272</v>
      </c>
    </row>
    <row r="2137" customFormat="false" ht="15" hidden="false" customHeight="false" outlineLevel="0" collapsed="false">
      <c r="A2137" s="36" t="str">
        <f aca="false">IF(Raw_Export!$A2137="","",TRIM(Raw_Export!A2137))</f>
        <v>TXN-102094</v>
      </c>
      <c r="B2137" s="37" t="n">
        <f aca="false">IF(Raw_Export!$A2137="","",IF(ISNUMBER(Raw_Export!B2137),Raw_Export!B2137,IF(MID(TRIM(Raw_Export!B2137),5,1)="-",DATE(LEFT(TRIM(Raw_Export!B2137),4),MID(TRIM(Raw_Export!B2137),6,2),RIGHT(TRIM(Raw_Export!B2137),2)),DATE(RIGHT(TRIM(Raw_Export!B2137),4),MATCH(MID(TRIM(Raw_Export!B2137),4,3),{"Jan","Feb","Mar","Apr","May","Jun","Jul","Aug","Sep","Oct","Nov","Dec"},0),LEFT(TRIM(Raw_Export!B2137),2)))))</f>
        <v>46278</v>
      </c>
      <c r="C2137" s="36" t="str">
        <f aca="false">IF(Raw_Export!$A2137="","",IFERROR(VLOOKUP(LOWER(TRIM(Raw_Export!C2137)),Maps!$A$2:$B$20,2,FALSE()),"UNMAPPED"))</f>
        <v>Mombasa</v>
      </c>
      <c r="D2137" s="36" t="str">
        <f aca="false">IF(Raw_Export!$A2137="","",IFERROR(VLOOKUP(LOWER(TRIM(Raw_Export!D2137)),Maps!$G$2:$I$80,2,FALSE()),"UNMAPPED"))</f>
        <v>Peanuts 250g</v>
      </c>
      <c r="E2137" s="36" t="str">
        <f aca="false">IF(Raw_Export!$A2137="","",IFERROR(VLOOKUP(LOWER(TRIM(Raw_Export!D2137)),Maps!$G$2:$I$80,3,FALSE()),"UNMAPPED"))</f>
        <v>Snacks</v>
      </c>
      <c r="F2137" s="36" t="n">
        <f aca="false">IF(Raw_Export!$A2137="","",IFERROR(VALUE(TRIM(Raw_Export!E2137)),0))</f>
        <v>2</v>
      </c>
      <c r="G2137" s="38" t="n">
        <f aca="false">IF(Raw_Export!$A2137="","",IFERROR(VALUE(SUBSTITUTE(SUBSTITUTE(UPPER(TRIM(Raw_Export!F2137)),"KES",""),",","")),0))</f>
        <v>130</v>
      </c>
      <c r="H2137" s="38" t="n">
        <f aca="false">IF(Raw_Export!$A2137="","",F2137*G2137)</f>
        <v>260</v>
      </c>
      <c r="I2137" s="36" t="str">
        <f aca="false">IF(Raw_Export!$A2137="","",IFERROR(VLOOKUP(LOWER(TRIM(Raw_Export!H2137)),Maps!$D$2:$E$12,2,FALSE()),"Other"))</f>
        <v>M-Pesa</v>
      </c>
      <c r="J2137" s="36" t="str">
        <f aca="false">IF(Raw_Export!$A2137="","",IF(COUNTIF($A$2:A2137,A2137)&gt;1,"Duplicate",""))</f>
        <v/>
      </c>
      <c r="K2137" s="36" t="str">
        <f aca="false">IF(Raw_Export!$A2137="","",IF(J2137="Duplicate","Duplicate",IF(OR(C2137="UNMAPPED",D2137="UNMAPPED"),"Unmapped",IF(F2137=0,"Blank qty",IF(F2137&lt;0,"Return","OK")))))</f>
        <v>OK</v>
      </c>
      <c r="L2137" s="36" t="n">
        <f aca="false">IF(Raw_Export!$A2137="","",IF(OR(K2137="OK",K2137="Return"),1,0))</f>
        <v>1</v>
      </c>
      <c r="M2137" s="37" t="n">
        <f aca="false">IF(Raw_Export!$A2137="","",B2137-WEEKDAY(B2137,2)+1)</f>
        <v>46272</v>
      </c>
    </row>
    <row r="2138" customFormat="false" ht="15" hidden="false" customHeight="false" outlineLevel="0" collapsed="false">
      <c r="A2138" s="36" t="str">
        <f aca="false">IF(Raw_Export!$A2138="","",TRIM(Raw_Export!A2138))</f>
        <v>TXN-102095</v>
      </c>
      <c r="B2138" s="37" t="n">
        <f aca="false">IF(Raw_Export!$A2138="","",IF(ISNUMBER(Raw_Export!B2138),Raw_Export!B2138,IF(MID(TRIM(Raw_Export!B2138),5,1)="-",DATE(LEFT(TRIM(Raw_Export!B2138),4),MID(TRIM(Raw_Export!B2138),6,2),RIGHT(TRIM(Raw_Export!B2138),2)),DATE(RIGHT(TRIM(Raw_Export!B2138),4),MATCH(MID(TRIM(Raw_Export!B2138),4,3),{"Jan","Feb","Mar","Apr","May","Jun","Jul","Aug","Sep","Oct","Nov","Dec"},0),LEFT(TRIM(Raw_Export!B2138),2)))))</f>
        <v>46278</v>
      </c>
      <c r="C2138" s="36" t="str">
        <f aca="false">IF(Raw_Export!$A2138="","",IFERROR(VLOOKUP(LOWER(TRIM(Raw_Export!C2138)),Maps!$A$2:$B$20,2,FALSE()),"UNMAPPED"))</f>
        <v>Mombasa</v>
      </c>
      <c r="D2138" s="36" t="str">
        <f aca="false">IF(Raw_Export!$A2138="","",IFERROR(VLOOKUP(LOWER(TRIM(Raw_Export!D2138)),Maps!$G$2:$I$80,2,FALSE()),"UNMAPPED"))</f>
        <v>Cheddar 200g</v>
      </c>
      <c r="E2138" s="36" t="str">
        <f aca="false">IF(Raw_Export!$A2138="","",IFERROR(VLOOKUP(LOWER(TRIM(Raw_Export!D2138)),Maps!$G$2:$I$80,3,FALSE()),"UNMAPPED"))</f>
        <v>Dairy &amp; Eggs</v>
      </c>
      <c r="F2138" s="36" t="n">
        <f aca="false">IF(Raw_Export!$A2138="","",IFERROR(VALUE(TRIM(Raw_Export!E2138)),0))</f>
        <v>-6</v>
      </c>
      <c r="G2138" s="38" t="n">
        <f aca="false">IF(Raw_Export!$A2138="","",IFERROR(VALUE(SUBSTITUTE(SUBSTITUTE(UPPER(TRIM(Raw_Export!F2138)),"KES",""),",","")),0))</f>
        <v>380</v>
      </c>
      <c r="H2138" s="38" t="n">
        <f aca="false">IF(Raw_Export!$A2138="","",F2138*G2138)</f>
        <v>-2280</v>
      </c>
      <c r="I2138" s="36" t="str">
        <f aca="false">IF(Raw_Export!$A2138="","",IFERROR(VLOOKUP(LOWER(TRIM(Raw_Export!H2138)),Maps!$D$2:$E$12,2,FALSE()),"Other"))</f>
        <v>M-Pesa</v>
      </c>
      <c r="J2138" s="36" t="str">
        <f aca="false">IF(Raw_Export!$A2138="","",IF(COUNTIF($A$2:A2138,A2138)&gt;1,"Duplicate",""))</f>
        <v/>
      </c>
      <c r="K2138" s="36" t="str">
        <f aca="false">IF(Raw_Export!$A2138="","",IF(J2138="Duplicate","Duplicate",IF(OR(C2138="UNMAPPED",D2138="UNMAPPED"),"Unmapped",IF(F2138=0,"Blank qty",IF(F2138&lt;0,"Return","OK")))))</f>
        <v>Return</v>
      </c>
      <c r="L2138" s="36" t="n">
        <f aca="false">IF(Raw_Export!$A2138="","",IF(OR(K2138="OK",K2138="Return"),1,0))</f>
        <v>1</v>
      </c>
      <c r="M2138" s="37" t="n">
        <f aca="false">IF(Raw_Export!$A2138="","",B2138-WEEKDAY(B2138,2)+1)</f>
        <v>46272</v>
      </c>
    </row>
    <row r="2139" customFormat="false" ht="15" hidden="false" customHeight="false" outlineLevel="0" collapsed="false">
      <c r="A2139" s="36" t="str">
        <f aca="false">IF(Raw_Export!$A2139="","",TRIM(Raw_Export!A2139))</f>
        <v>TXN-102096</v>
      </c>
      <c r="B2139" s="37" t="n">
        <f aca="false">IF(Raw_Export!$A2139="","",IF(ISNUMBER(Raw_Export!B2139),Raw_Export!B2139,IF(MID(TRIM(Raw_Export!B2139),5,1)="-",DATE(LEFT(TRIM(Raw_Export!B2139),4),MID(TRIM(Raw_Export!B2139),6,2),RIGHT(TRIM(Raw_Export!B2139),2)),DATE(RIGHT(TRIM(Raw_Export!B2139),4),MATCH(MID(TRIM(Raw_Export!B2139),4,3),{"Jan","Feb","Mar","Apr","May","Jun","Jul","Aug","Sep","Oct","Nov","Dec"},0),LEFT(TRIM(Raw_Export!B2139),2)))))</f>
        <v>46278</v>
      </c>
      <c r="C2139" s="36" t="str">
        <f aca="false">IF(Raw_Export!$A2139="","",IFERROR(VLOOKUP(LOWER(TRIM(Raw_Export!C2139)),Maps!$A$2:$B$20,2,FALSE()),"UNMAPPED"))</f>
        <v>Mombasa</v>
      </c>
      <c r="D2139" s="36" t="str">
        <f aca="false">IF(Raw_Export!$A2139="","",IFERROR(VLOOKUP(LOWER(TRIM(Raw_Export!D2139)),Maps!$G$2:$I$80,2,FALSE()),"UNMAPPED"))</f>
        <v>Bottled Water 1.5L</v>
      </c>
      <c r="E2139" s="36" t="str">
        <f aca="false">IF(Raw_Export!$A2139="","",IFERROR(VLOOKUP(LOWER(TRIM(Raw_Export!D2139)),Maps!$G$2:$I$80,3,FALSE()),"UNMAPPED"))</f>
        <v>Beverages</v>
      </c>
      <c r="F2139" s="36" t="n">
        <f aca="false">IF(Raw_Export!$A2139="","",IFERROR(VALUE(TRIM(Raw_Export!E2139)),0))</f>
        <v>6</v>
      </c>
      <c r="G2139" s="38" t="n">
        <f aca="false">IF(Raw_Export!$A2139="","",IFERROR(VALUE(SUBSTITUTE(SUBSTITUTE(UPPER(TRIM(Raw_Export!F2139)),"KES",""),",","")),0))</f>
        <v>90</v>
      </c>
      <c r="H2139" s="38" t="n">
        <f aca="false">IF(Raw_Export!$A2139="","",F2139*G2139)</f>
        <v>540</v>
      </c>
      <c r="I2139" s="36" t="str">
        <f aca="false">IF(Raw_Export!$A2139="","",IFERROR(VLOOKUP(LOWER(TRIM(Raw_Export!H2139)),Maps!$D$2:$E$12,2,FALSE()),"Other"))</f>
        <v>Card</v>
      </c>
      <c r="J2139" s="36" t="str">
        <f aca="false">IF(Raw_Export!$A2139="","",IF(COUNTIF($A$2:A2139,A2139)&gt;1,"Duplicate",""))</f>
        <v/>
      </c>
      <c r="K2139" s="36" t="str">
        <f aca="false">IF(Raw_Export!$A2139="","",IF(J2139="Duplicate","Duplicate",IF(OR(C2139="UNMAPPED",D2139="UNMAPPED"),"Unmapped",IF(F2139=0,"Blank qty",IF(F2139&lt;0,"Return","OK")))))</f>
        <v>OK</v>
      </c>
      <c r="L2139" s="36" t="n">
        <f aca="false">IF(Raw_Export!$A2139="","",IF(OR(K2139="OK",K2139="Return"),1,0))</f>
        <v>1</v>
      </c>
      <c r="M2139" s="37" t="n">
        <f aca="false">IF(Raw_Export!$A2139="","",B2139-WEEKDAY(B2139,2)+1)</f>
        <v>46272</v>
      </c>
    </row>
    <row r="2140" customFormat="false" ht="15" hidden="false" customHeight="false" outlineLevel="0" collapsed="false">
      <c r="A2140" s="36" t="str">
        <f aca="false">IF(Raw_Export!$A2140="","",TRIM(Raw_Export!A2140))</f>
        <v>TXN-102097</v>
      </c>
      <c r="B2140" s="37" t="n">
        <f aca="false">IF(Raw_Export!$A2140="","",IF(ISNUMBER(Raw_Export!B2140),Raw_Export!B2140,IF(MID(TRIM(Raw_Export!B2140),5,1)="-",DATE(LEFT(TRIM(Raw_Export!B2140),4),MID(TRIM(Raw_Export!B2140),6,2),RIGHT(TRIM(Raw_Export!B2140),2)),DATE(RIGHT(TRIM(Raw_Export!B2140),4),MATCH(MID(TRIM(Raw_Export!B2140),4,3),{"Jan","Feb","Mar","Apr","May","Jun","Jul","Aug","Sep","Oct","Nov","Dec"},0),LEFT(TRIM(Raw_Export!B2140),2)))))</f>
        <v>46278</v>
      </c>
      <c r="C2140" s="36" t="str">
        <f aca="false">IF(Raw_Export!$A2140="","",IFERROR(VLOOKUP(LOWER(TRIM(Raw_Export!C2140)),Maps!$A$2:$B$20,2,FALSE()),"UNMAPPED"))</f>
        <v>Mombasa</v>
      </c>
      <c r="D2140" s="36" t="str">
        <f aca="false">IF(Raw_Export!$A2140="","",IFERROR(VLOOKUP(LOWER(TRIM(Raw_Export!D2140)),Maps!$G$2:$I$80,2,FALSE()),"UNMAPPED"))</f>
        <v>Soda 500ml</v>
      </c>
      <c r="E2140" s="36" t="str">
        <f aca="false">IF(Raw_Export!$A2140="","",IFERROR(VLOOKUP(LOWER(TRIM(Raw_Export!D2140)),Maps!$G$2:$I$80,3,FALSE()),"UNMAPPED"))</f>
        <v>Beverages</v>
      </c>
      <c r="F2140" s="36" t="n">
        <f aca="false">IF(Raw_Export!$A2140="","",IFERROR(VALUE(TRIM(Raw_Export!E2140)),0))</f>
        <v>2</v>
      </c>
      <c r="G2140" s="38" t="n">
        <f aca="false">IF(Raw_Export!$A2140="","",IFERROR(VALUE(SUBSTITUTE(SUBSTITUTE(UPPER(TRIM(Raw_Export!F2140)),"KES",""),",","")),0))</f>
        <v>60</v>
      </c>
      <c r="H2140" s="38" t="n">
        <f aca="false">IF(Raw_Export!$A2140="","",F2140*G2140)</f>
        <v>120</v>
      </c>
      <c r="I2140" s="36" t="str">
        <f aca="false">IF(Raw_Export!$A2140="","",IFERROR(VLOOKUP(LOWER(TRIM(Raw_Export!H2140)),Maps!$D$2:$E$12,2,FALSE()),"Other"))</f>
        <v>M-Pesa</v>
      </c>
      <c r="J2140" s="36" t="str">
        <f aca="false">IF(Raw_Export!$A2140="","",IF(COUNTIF($A$2:A2140,A2140)&gt;1,"Duplicate",""))</f>
        <v/>
      </c>
      <c r="K2140" s="36" t="str">
        <f aca="false">IF(Raw_Export!$A2140="","",IF(J2140="Duplicate","Duplicate",IF(OR(C2140="UNMAPPED",D2140="UNMAPPED"),"Unmapped",IF(F2140=0,"Blank qty",IF(F2140&lt;0,"Return","OK")))))</f>
        <v>OK</v>
      </c>
      <c r="L2140" s="36" t="n">
        <f aca="false">IF(Raw_Export!$A2140="","",IF(OR(K2140="OK",K2140="Return"),1,0))</f>
        <v>1</v>
      </c>
      <c r="M2140" s="37" t="n">
        <f aca="false">IF(Raw_Export!$A2140="","",B2140-WEEKDAY(B2140,2)+1)</f>
        <v>46272</v>
      </c>
    </row>
    <row r="2141" customFormat="false" ht="15" hidden="false" customHeight="false" outlineLevel="0" collapsed="false">
      <c r="A2141" s="36" t="str">
        <f aca="false">IF(Raw_Export!$A2141="","",TRIM(Raw_Export!A2141))</f>
        <v>TXN-102098</v>
      </c>
      <c r="B2141" s="37" t="n">
        <f aca="false">IF(Raw_Export!$A2141="","",IF(ISNUMBER(Raw_Export!B2141),Raw_Export!B2141,IF(MID(TRIM(Raw_Export!B2141),5,1)="-",DATE(LEFT(TRIM(Raw_Export!B2141),4),MID(TRIM(Raw_Export!B2141),6,2),RIGHT(TRIM(Raw_Export!B2141),2)),DATE(RIGHT(TRIM(Raw_Export!B2141),4),MATCH(MID(TRIM(Raw_Export!B2141),4,3),{"Jan","Feb","Mar","Apr","May","Jun","Jul","Aug","Sep","Oct","Nov","Dec"},0),LEFT(TRIM(Raw_Export!B2141),2)))))</f>
        <v>46278</v>
      </c>
      <c r="C2141" s="36" t="str">
        <f aca="false">IF(Raw_Export!$A2141="","",IFERROR(VLOOKUP(LOWER(TRIM(Raw_Export!C2141)),Maps!$A$2:$B$20,2,FALSE()),"UNMAPPED"))</f>
        <v>Mombasa</v>
      </c>
      <c r="D2141" s="36" t="str">
        <f aca="false">IF(Raw_Export!$A2141="","",IFERROR(VLOOKUP(LOWER(TRIM(Raw_Export!D2141)),Maps!$G$2:$I$80,2,FALSE()),"UNMAPPED"))</f>
        <v>Bread Loaf 400g</v>
      </c>
      <c r="E2141" s="36" t="str">
        <f aca="false">IF(Raw_Export!$A2141="","",IFERROR(VLOOKUP(LOWER(TRIM(Raw_Export!D2141)),Maps!$G$2:$I$80,3,FALSE()),"UNMAPPED"))</f>
        <v>Snacks</v>
      </c>
      <c r="F2141" s="36" t="n">
        <f aca="false">IF(Raw_Export!$A2141="","",IFERROR(VALUE(TRIM(Raw_Export!E2141)),0))</f>
        <v>2</v>
      </c>
      <c r="G2141" s="38" t="n">
        <f aca="false">IF(Raw_Export!$A2141="","",IFERROR(VALUE(SUBSTITUTE(SUBSTITUTE(UPPER(TRIM(Raw_Export!F2141)),"KES",""),",","")),0))</f>
        <v>65</v>
      </c>
      <c r="H2141" s="38" t="n">
        <f aca="false">IF(Raw_Export!$A2141="","",F2141*G2141)</f>
        <v>130</v>
      </c>
      <c r="I2141" s="36" t="str">
        <f aca="false">IF(Raw_Export!$A2141="","",IFERROR(VLOOKUP(LOWER(TRIM(Raw_Export!H2141)),Maps!$D$2:$E$12,2,FALSE()),"Other"))</f>
        <v>M-Pesa</v>
      </c>
      <c r="J2141" s="36" t="str">
        <f aca="false">IF(Raw_Export!$A2141="","",IF(COUNTIF($A$2:A2141,A2141)&gt;1,"Duplicate",""))</f>
        <v/>
      </c>
      <c r="K2141" s="36" t="str">
        <f aca="false">IF(Raw_Export!$A2141="","",IF(J2141="Duplicate","Duplicate",IF(OR(C2141="UNMAPPED",D2141="UNMAPPED"),"Unmapped",IF(F2141=0,"Blank qty",IF(F2141&lt;0,"Return","OK")))))</f>
        <v>OK</v>
      </c>
      <c r="L2141" s="36" t="n">
        <f aca="false">IF(Raw_Export!$A2141="","",IF(OR(K2141="OK",K2141="Return"),1,0))</f>
        <v>1</v>
      </c>
      <c r="M2141" s="37" t="n">
        <f aca="false">IF(Raw_Export!$A2141="","",B2141-WEEKDAY(B2141,2)+1)</f>
        <v>46272</v>
      </c>
    </row>
    <row r="2142" customFormat="false" ht="15" hidden="false" customHeight="false" outlineLevel="0" collapsed="false">
      <c r="A2142" s="36" t="str">
        <f aca="false">IF(Raw_Export!$A2142="","",TRIM(Raw_Export!A2142))</f>
        <v>TXN-102099</v>
      </c>
      <c r="B2142" s="37" t="n">
        <f aca="false">IF(Raw_Export!$A2142="","",IF(ISNUMBER(Raw_Export!B2142),Raw_Export!B2142,IF(MID(TRIM(Raw_Export!B2142),5,1)="-",DATE(LEFT(TRIM(Raw_Export!B2142),4),MID(TRIM(Raw_Export!B2142),6,2),RIGHT(TRIM(Raw_Export!B2142),2)),DATE(RIGHT(TRIM(Raw_Export!B2142),4),MATCH(MID(TRIM(Raw_Export!B2142),4,3),{"Jan","Feb","Mar","Apr","May","Jun","Jul","Aug","Sep","Oct","Nov","Dec"},0),LEFT(TRIM(Raw_Export!B2142),2)))))</f>
        <v>46278</v>
      </c>
      <c r="C2142" s="36" t="str">
        <f aca="false">IF(Raw_Export!$A2142="","",IFERROR(VLOOKUP(LOWER(TRIM(Raw_Export!C2142)),Maps!$A$2:$B$20,2,FALSE()),"UNMAPPED"))</f>
        <v>Mombasa</v>
      </c>
      <c r="D2142" s="36" t="str">
        <f aca="false">IF(Raw_Export!$A2142="","",IFERROR(VLOOKUP(LOWER(TRIM(Raw_Export!D2142)),Maps!$G$2:$I$80,2,FALSE()),"UNMAPPED"))</f>
        <v>Toilet Paper 10pk</v>
      </c>
      <c r="E2142" s="36" t="str">
        <f aca="false">IF(Raw_Export!$A2142="","",IFERROR(VLOOKUP(LOWER(TRIM(Raw_Export!D2142)),Maps!$G$2:$I$80,3,FALSE()),"UNMAPPED"))</f>
        <v>Household</v>
      </c>
      <c r="F2142" s="36" t="n">
        <f aca="false">IF(Raw_Export!$A2142="","",IFERROR(VALUE(TRIM(Raw_Export!E2142)),0))</f>
        <v>2</v>
      </c>
      <c r="G2142" s="38" t="n">
        <f aca="false">IF(Raw_Export!$A2142="","",IFERROR(VALUE(SUBSTITUTE(SUBSTITUTE(UPPER(TRIM(Raw_Export!F2142)),"KES",""),",","")),0))</f>
        <v>342</v>
      </c>
      <c r="H2142" s="38" t="n">
        <f aca="false">IF(Raw_Export!$A2142="","",F2142*G2142)</f>
        <v>684</v>
      </c>
      <c r="I2142" s="36" t="str">
        <f aca="false">IF(Raw_Export!$A2142="","",IFERROR(VLOOKUP(LOWER(TRIM(Raw_Export!H2142)),Maps!$D$2:$E$12,2,FALSE()),"Other"))</f>
        <v>M-Pesa</v>
      </c>
      <c r="J2142" s="36" t="str">
        <f aca="false">IF(Raw_Export!$A2142="","",IF(COUNTIF($A$2:A2142,A2142)&gt;1,"Duplicate",""))</f>
        <v/>
      </c>
      <c r="K2142" s="36" t="str">
        <f aca="false">IF(Raw_Export!$A2142="","",IF(J2142="Duplicate","Duplicate",IF(OR(C2142="UNMAPPED",D2142="UNMAPPED"),"Unmapped",IF(F2142=0,"Blank qty",IF(F2142&lt;0,"Return","OK")))))</f>
        <v>OK</v>
      </c>
      <c r="L2142" s="36" t="n">
        <f aca="false">IF(Raw_Export!$A2142="","",IF(OR(K2142="OK",K2142="Return"),1,0))</f>
        <v>1</v>
      </c>
      <c r="M2142" s="37" t="n">
        <f aca="false">IF(Raw_Export!$A2142="","",B2142-WEEKDAY(B2142,2)+1)</f>
        <v>46272</v>
      </c>
    </row>
    <row r="2143" customFormat="false" ht="15" hidden="false" customHeight="false" outlineLevel="0" collapsed="false">
      <c r="A2143" s="36" t="str">
        <f aca="false">IF(Raw_Export!$A2143="","",TRIM(Raw_Export!A2143))</f>
        <v>TXN-102100</v>
      </c>
      <c r="B2143" s="37" t="n">
        <f aca="false">IF(Raw_Export!$A2143="","",IF(ISNUMBER(Raw_Export!B2143),Raw_Export!B2143,IF(MID(TRIM(Raw_Export!B2143),5,1)="-",DATE(LEFT(TRIM(Raw_Export!B2143),4),MID(TRIM(Raw_Export!B2143),6,2),RIGHT(TRIM(Raw_Export!B2143),2)),DATE(RIGHT(TRIM(Raw_Export!B2143),4),MATCH(MID(TRIM(Raw_Export!B2143),4,3),{"Jan","Feb","Mar","Apr","May","Jun","Jul","Aug","Sep","Oct","Nov","Dec"},0),LEFT(TRIM(Raw_Export!B2143),2)))))</f>
        <v>46278</v>
      </c>
      <c r="C2143" s="36" t="str">
        <f aca="false">IF(Raw_Export!$A2143="","",IFERROR(VLOOKUP(LOWER(TRIM(Raw_Export!C2143)),Maps!$A$2:$B$20,2,FALSE()),"UNMAPPED"))</f>
        <v>Mombasa</v>
      </c>
      <c r="D2143" s="36" t="str">
        <f aca="false">IF(Raw_Export!$A2143="","",IFERROR(VLOOKUP(LOWER(TRIM(Raw_Export!D2143)),Maps!$G$2:$I$80,2,FALSE()),"UNMAPPED"))</f>
        <v>Toothpaste 100g</v>
      </c>
      <c r="E2143" s="36" t="str">
        <f aca="false">IF(Raw_Export!$A2143="","",IFERROR(VLOOKUP(LOWER(TRIM(Raw_Export!D2143)),Maps!$G$2:$I$80,3,FALSE()),"UNMAPPED"))</f>
        <v>Personal Care</v>
      </c>
      <c r="F2143" s="36" t="n">
        <f aca="false">IF(Raw_Export!$A2143="","",IFERROR(VALUE(TRIM(Raw_Export!E2143)),0))</f>
        <v>1</v>
      </c>
      <c r="G2143" s="38" t="n">
        <f aca="false">IF(Raw_Export!$A2143="","",IFERROR(VALUE(SUBSTITUTE(SUBSTITUTE(UPPER(TRIM(Raw_Export!F2143)),"KES",""),",","")),0))</f>
        <v>195</v>
      </c>
      <c r="H2143" s="38" t="n">
        <f aca="false">IF(Raw_Export!$A2143="","",F2143*G2143)</f>
        <v>195</v>
      </c>
      <c r="I2143" s="36" t="str">
        <f aca="false">IF(Raw_Export!$A2143="","",IFERROR(VLOOKUP(LOWER(TRIM(Raw_Export!H2143)),Maps!$D$2:$E$12,2,FALSE()),"Other"))</f>
        <v>M-Pesa</v>
      </c>
      <c r="J2143" s="36" t="str">
        <f aca="false">IF(Raw_Export!$A2143="","",IF(COUNTIF($A$2:A2143,A2143)&gt;1,"Duplicate",""))</f>
        <v/>
      </c>
      <c r="K2143" s="36" t="str">
        <f aca="false">IF(Raw_Export!$A2143="","",IF(J2143="Duplicate","Duplicate",IF(OR(C2143="UNMAPPED",D2143="UNMAPPED"),"Unmapped",IF(F2143=0,"Blank qty",IF(F2143&lt;0,"Return","OK")))))</f>
        <v>OK</v>
      </c>
      <c r="L2143" s="36" t="n">
        <f aca="false">IF(Raw_Export!$A2143="","",IF(OR(K2143="OK",K2143="Return"),1,0))</f>
        <v>1</v>
      </c>
      <c r="M2143" s="37" t="n">
        <f aca="false">IF(Raw_Export!$A2143="","",B2143-WEEKDAY(B2143,2)+1)</f>
        <v>46272</v>
      </c>
    </row>
    <row r="2144" customFormat="false" ht="15" hidden="false" customHeight="false" outlineLevel="0" collapsed="false">
      <c r="A2144" s="36" t="str">
        <f aca="false">IF(Raw_Export!$A2144="","",TRIM(Raw_Export!A2144))</f>
        <v>TXN-102101</v>
      </c>
      <c r="B2144" s="37" t="n">
        <f aca="false">IF(Raw_Export!$A2144="","",IF(ISNUMBER(Raw_Export!B2144),Raw_Export!B2144,IF(MID(TRIM(Raw_Export!B2144),5,1)="-",DATE(LEFT(TRIM(Raw_Export!B2144),4),MID(TRIM(Raw_Export!B2144),6,2),RIGHT(TRIM(Raw_Export!B2144),2)),DATE(RIGHT(TRIM(Raw_Export!B2144),4),MATCH(MID(TRIM(Raw_Export!B2144),4,3),{"Jan","Feb","Mar","Apr","May","Jun","Jul","Aug","Sep","Oct","Nov","Dec"},0),LEFT(TRIM(Raw_Export!B2144),2)))))</f>
        <v>46278</v>
      </c>
      <c r="C2144" s="36" t="str">
        <f aca="false">IF(Raw_Export!$A2144="","",IFERROR(VLOOKUP(LOWER(TRIM(Raw_Export!C2144)),Maps!$A$2:$B$20,2,FALSE()),"UNMAPPED"))</f>
        <v>Mombasa</v>
      </c>
      <c r="D2144" s="36" t="str">
        <f aca="false">IF(Raw_Export!$A2144="","",IFERROR(VLOOKUP(LOWER(TRIM(Raw_Export!D2144)),Maps!$G$2:$I$80,2,FALSE()),"UNMAPPED"))</f>
        <v>Cooking Oil 1L</v>
      </c>
      <c r="E2144" s="36" t="str">
        <f aca="false">IF(Raw_Export!$A2144="","",IFERROR(VLOOKUP(LOWER(TRIM(Raw_Export!D2144)),Maps!$G$2:$I$80,3,FALSE()),"UNMAPPED"))</f>
        <v>Staples</v>
      </c>
      <c r="F2144" s="36" t="n">
        <f aca="false">IF(Raw_Export!$A2144="","",IFERROR(VALUE(TRIM(Raw_Export!E2144)),0))</f>
        <v>2</v>
      </c>
      <c r="G2144" s="38" t="n">
        <f aca="false">IF(Raw_Export!$A2144="","",IFERROR(VALUE(SUBSTITUTE(SUBSTITUTE(UPPER(TRIM(Raw_Export!F2144)),"KES",""),",","")),0))</f>
        <v>330</v>
      </c>
      <c r="H2144" s="38" t="n">
        <f aca="false">IF(Raw_Export!$A2144="","",F2144*G2144)</f>
        <v>660</v>
      </c>
      <c r="I2144" s="36" t="str">
        <f aca="false">IF(Raw_Export!$A2144="","",IFERROR(VLOOKUP(LOWER(TRIM(Raw_Export!H2144)),Maps!$D$2:$E$12,2,FALSE()),"Other"))</f>
        <v>M-Pesa</v>
      </c>
      <c r="J2144" s="36" t="str">
        <f aca="false">IF(Raw_Export!$A2144="","",IF(COUNTIF($A$2:A2144,A2144)&gt;1,"Duplicate",""))</f>
        <v/>
      </c>
      <c r="K2144" s="36" t="str">
        <f aca="false">IF(Raw_Export!$A2144="","",IF(J2144="Duplicate","Duplicate",IF(OR(C2144="UNMAPPED",D2144="UNMAPPED"),"Unmapped",IF(F2144=0,"Blank qty",IF(F2144&lt;0,"Return","OK")))))</f>
        <v>OK</v>
      </c>
      <c r="L2144" s="36" t="n">
        <f aca="false">IF(Raw_Export!$A2144="","",IF(OR(K2144="OK",K2144="Return"),1,0))</f>
        <v>1</v>
      </c>
      <c r="M2144" s="37" t="n">
        <f aca="false">IF(Raw_Export!$A2144="","",B2144-WEEKDAY(B2144,2)+1)</f>
        <v>46272</v>
      </c>
    </row>
    <row r="2145" customFormat="false" ht="15" hidden="false" customHeight="false" outlineLevel="0" collapsed="false">
      <c r="A2145" s="36" t="str">
        <f aca="false">IF(Raw_Export!$A2145="","",TRIM(Raw_Export!A2145))</f>
        <v>TXN-102102</v>
      </c>
      <c r="B2145" s="37" t="n">
        <f aca="false">IF(Raw_Export!$A2145="","",IF(ISNUMBER(Raw_Export!B2145),Raw_Export!B2145,IF(MID(TRIM(Raw_Export!B2145),5,1)="-",DATE(LEFT(TRIM(Raw_Export!B2145),4),MID(TRIM(Raw_Export!B2145),6,2),RIGHT(TRIM(Raw_Export!B2145),2)),DATE(RIGHT(TRIM(Raw_Export!B2145),4),MATCH(MID(TRIM(Raw_Export!B2145),4,3),{"Jan","Feb","Mar","Apr","May","Jun","Jul","Aug","Sep","Oct","Nov","Dec"},0),LEFT(TRIM(Raw_Export!B2145),2)))))</f>
        <v>46278</v>
      </c>
      <c r="C2145" s="36" t="str">
        <f aca="false">IF(Raw_Export!$A2145="","",IFERROR(VLOOKUP(LOWER(TRIM(Raw_Export!C2145)),Maps!$A$2:$B$20,2,FALSE()),"UNMAPPED"))</f>
        <v>Mombasa</v>
      </c>
      <c r="D2145" s="36" t="str">
        <f aca="false">IF(Raw_Export!$A2145="","",IFERROR(VLOOKUP(LOWER(TRIM(Raw_Export!D2145)),Maps!$G$2:$I$80,2,FALSE()),"UNMAPPED"))</f>
        <v>Bleach 1L</v>
      </c>
      <c r="E2145" s="36" t="str">
        <f aca="false">IF(Raw_Export!$A2145="","",IFERROR(VLOOKUP(LOWER(TRIM(Raw_Export!D2145)),Maps!$G$2:$I$80,3,FALSE()),"UNMAPPED"))</f>
        <v>Household</v>
      </c>
      <c r="F2145" s="36" t="n">
        <f aca="false">IF(Raw_Export!$A2145="","",IFERROR(VALUE(TRIM(Raw_Export!E2145)),0))</f>
        <v>6</v>
      </c>
      <c r="G2145" s="38" t="n">
        <f aca="false">IF(Raw_Export!$A2145="","",IFERROR(VALUE(SUBSTITUTE(SUBSTITUTE(UPPER(TRIM(Raw_Export!F2145)),"KES",""),",","")),0))</f>
        <v>160</v>
      </c>
      <c r="H2145" s="38" t="n">
        <f aca="false">IF(Raw_Export!$A2145="","",F2145*G2145)</f>
        <v>960</v>
      </c>
      <c r="I2145" s="36" t="str">
        <f aca="false">IF(Raw_Export!$A2145="","",IFERROR(VLOOKUP(LOWER(TRIM(Raw_Export!H2145)),Maps!$D$2:$E$12,2,FALSE()),"Other"))</f>
        <v>M-Pesa</v>
      </c>
      <c r="J2145" s="36" t="str">
        <f aca="false">IF(Raw_Export!$A2145="","",IF(COUNTIF($A$2:A2145,A2145)&gt;1,"Duplicate",""))</f>
        <v/>
      </c>
      <c r="K2145" s="36" t="str">
        <f aca="false">IF(Raw_Export!$A2145="","",IF(J2145="Duplicate","Duplicate",IF(OR(C2145="UNMAPPED",D2145="UNMAPPED"),"Unmapped",IF(F2145=0,"Blank qty",IF(F2145&lt;0,"Return","OK")))))</f>
        <v>OK</v>
      </c>
      <c r="L2145" s="36" t="n">
        <f aca="false">IF(Raw_Export!$A2145="","",IF(OR(K2145="OK",K2145="Return"),1,0))</f>
        <v>1</v>
      </c>
      <c r="M2145" s="37" t="n">
        <f aca="false">IF(Raw_Export!$A2145="","",B2145-WEEKDAY(B2145,2)+1)</f>
        <v>46272</v>
      </c>
    </row>
    <row r="2146" customFormat="false" ht="15" hidden="false" customHeight="false" outlineLevel="0" collapsed="false">
      <c r="A2146" s="36" t="str">
        <f aca="false">IF(Raw_Export!$A2146="","",TRIM(Raw_Export!A2146))</f>
        <v>TXN-102103</v>
      </c>
      <c r="B2146" s="37" t="n">
        <f aca="false">IF(Raw_Export!$A2146="","",IF(ISNUMBER(Raw_Export!B2146),Raw_Export!B2146,IF(MID(TRIM(Raw_Export!B2146),5,1)="-",DATE(LEFT(TRIM(Raw_Export!B2146),4),MID(TRIM(Raw_Export!B2146),6,2),RIGHT(TRIM(Raw_Export!B2146),2)),DATE(RIGHT(TRIM(Raw_Export!B2146),4),MATCH(MID(TRIM(Raw_Export!B2146),4,3),{"Jan","Feb","Mar","Apr","May","Jun","Jul","Aug","Sep","Oct","Nov","Dec"},0),LEFT(TRIM(Raw_Export!B2146),2)))))</f>
        <v>46278</v>
      </c>
      <c r="C2146" s="36" t="str">
        <f aca="false">IF(Raw_Export!$A2146="","",IFERROR(VLOOKUP(LOWER(TRIM(Raw_Export!C2146)),Maps!$A$2:$B$20,2,FALSE()),"UNMAPPED"))</f>
        <v>Mombasa</v>
      </c>
      <c r="D2146" s="36" t="str">
        <f aca="false">IF(Raw_Export!$A2146="","",IFERROR(VLOOKUP(LOWER(TRIM(Raw_Export!D2146)),Maps!$G$2:$I$80,2,FALSE()),"UNMAPPED"))</f>
        <v>Peanuts 250g</v>
      </c>
      <c r="E2146" s="36" t="str">
        <f aca="false">IF(Raw_Export!$A2146="","",IFERROR(VLOOKUP(LOWER(TRIM(Raw_Export!D2146)),Maps!$G$2:$I$80,3,FALSE()),"UNMAPPED"))</f>
        <v>Snacks</v>
      </c>
      <c r="F2146" s="36" t="n">
        <f aca="false">IF(Raw_Export!$A2146="","",IFERROR(VALUE(TRIM(Raw_Export!E2146)),0))</f>
        <v>1</v>
      </c>
      <c r="G2146" s="38" t="n">
        <f aca="false">IF(Raw_Export!$A2146="","",IFERROR(VALUE(SUBSTITUTE(SUBSTITUTE(UPPER(TRIM(Raw_Export!F2146)),"KES",""),",","")),0))</f>
        <v>130</v>
      </c>
      <c r="H2146" s="38" t="n">
        <f aca="false">IF(Raw_Export!$A2146="","",F2146*G2146)</f>
        <v>130</v>
      </c>
      <c r="I2146" s="36" t="str">
        <f aca="false">IF(Raw_Export!$A2146="","",IFERROR(VLOOKUP(LOWER(TRIM(Raw_Export!H2146)),Maps!$D$2:$E$12,2,FALSE()),"Other"))</f>
        <v>Card</v>
      </c>
      <c r="J2146" s="36" t="str">
        <f aca="false">IF(Raw_Export!$A2146="","",IF(COUNTIF($A$2:A2146,A2146)&gt;1,"Duplicate",""))</f>
        <v/>
      </c>
      <c r="K2146" s="36" t="str">
        <f aca="false">IF(Raw_Export!$A2146="","",IF(J2146="Duplicate","Duplicate",IF(OR(C2146="UNMAPPED",D2146="UNMAPPED"),"Unmapped",IF(F2146=0,"Blank qty",IF(F2146&lt;0,"Return","OK")))))</f>
        <v>OK</v>
      </c>
      <c r="L2146" s="36" t="n">
        <f aca="false">IF(Raw_Export!$A2146="","",IF(OR(K2146="OK",K2146="Return"),1,0))</f>
        <v>1</v>
      </c>
      <c r="M2146" s="37" t="n">
        <f aca="false">IF(Raw_Export!$A2146="","",B2146-WEEKDAY(B2146,2)+1)</f>
        <v>46272</v>
      </c>
    </row>
    <row r="2147" customFormat="false" ht="15" hidden="false" customHeight="false" outlineLevel="0" collapsed="false">
      <c r="A2147" s="36" t="str">
        <f aca="false">IF(Raw_Export!$A2147="","",TRIM(Raw_Export!A2147))</f>
        <v>TXN-102104</v>
      </c>
      <c r="B2147" s="37" t="n">
        <f aca="false">IF(Raw_Export!$A2147="","",IF(ISNUMBER(Raw_Export!B2147),Raw_Export!B2147,IF(MID(TRIM(Raw_Export!B2147),5,1)="-",DATE(LEFT(TRIM(Raw_Export!B2147),4),MID(TRIM(Raw_Export!B2147),6,2),RIGHT(TRIM(Raw_Export!B2147),2)),DATE(RIGHT(TRIM(Raw_Export!B2147),4),MATCH(MID(TRIM(Raw_Export!B2147),4,3),{"Jan","Feb","Mar","Apr","May","Jun","Jul","Aug","Sep","Oct","Nov","Dec"},0),LEFT(TRIM(Raw_Export!B2147),2)))))</f>
        <v>46278</v>
      </c>
      <c r="C2147" s="36" t="str">
        <f aca="false">IF(Raw_Export!$A2147="","",IFERROR(VLOOKUP(LOWER(TRIM(Raw_Export!C2147)),Maps!$A$2:$B$20,2,FALSE()),"UNMAPPED"))</f>
        <v>Mombasa</v>
      </c>
      <c r="D2147" s="36" t="str">
        <f aca="false">IF(Raw_Export!$A2147="","",IFERROR(VLOOKUP(LOWER(TRIM(Raw_Export!D2147)),Maps!$G$2:$I$80,2,FALSE()),"UNMAPPED"))</f>
        <v>Cooking Oil 1L</v>
      </c>
      <c r="E2147" s="36" t="str">
        <f aca="false">IF(Raw_Export!$A2147="","",IFERROR(VLOOKUP(LOWER(TRIM(Raw_Export!D2147)),Maps!$G$2:$I$80,3,FALSE()),"UNMAPPED"))</f>
        <v>Staples</v>
      </c>
      <c r="F2147" s="36" t="n">
        <f aca="false">IF(Raw_Export!$A2147="","",IFERROR(VALUE(TRIM(Raw_Export!E2147)),0))</f>
        <v>2</v>
      </c>
      <c r="G2147" s="38" t="n">
        <f aca="false">IF(Raw_Export!$A2147="","",IFERROR(VALUE(SUBSTITUTE(SUBSTITUTE(UPPER(TRIM(Raw_Export!F2147)),"KES",""),",","")),0))</f>
        <v>330</v>
      </c>
      <c r="H2147" s="38" t="n">
        <f aca="false">IF(Raw_Export!$A2147="","",F2147*G2147)</f>
        <v>660</v>
      </c>
      <c r="I2147" s="36" t="str">
        <f aca="false">IF(Raw_Export!$A2147="","",IFERROR(VLOOKUP(LOWER(TRIM(Raw_Export!H2147)),Maps!$D$2:$E$12,2,FALSE()),"Other"))</f>
        <v>Card</v>
      </c>
      <c r="J2147" s="36" t="str">
        <f aca="false">IF(Raw_Export!$A2147="","",IF(COUNTIF($A$2:A2147,A2147)&gt;1,"Duplicate",""))</f>
        <v/>
      </c>
      <c r="K2147" s="36" t="str">
        <f aca="false">IF(Raw_Export!$A2147="","",IF(J2147="Duplicate","Duplicate",IF(OR(C2147="UNMAPPED",D2147="UNMAPPED"),"Unmapped",IF(F2147=0,"Blank qty",IF(F2147&lt;0,"Return","OK")))))</f>
        <v>OK</v>
      </c>
      <c r="L2147" s="36" t="n">
        <f aca="false">IF(Raw_Export!$A2147="","",IF(OR(K2147="OK",K2147="Return"),1,0))</f>
        <v>1</v>
      </c>
      <c r="M2147" s="37" t="n">
        <f aca="false">IF(Raw_Export!$A2147="","",B2147-WEEKDAY(B2147,2)+1)</f>
        <v>46272</v>
      </c>
    </row>
    <row r="2148" customFormat="false" ht="15" hidden="false" customHeight="false" outlineLevel="0" collapsed="false">
      <c r="A2148" s="36" t="str">
        <f aca="false">IF(Raw_Export!$A2148="","",TRIM(Raw_Export!A2148))</f>
        <v>TXN-102105</v>
      </c>
      <c r="B2148" s="37" t="n">
        <f aca="false">IF(Raw_Export!$A2148="","",IF(ISNUMBER(Raw_Export!B2148),Raw_Export!B2148,IF(MID(TRIM(Raw_Export!B2148),5,1)="-",DATE(LEFT(TRIM(Raw_Export!B2148),4),MID(TRIM(Raw_Export!B2148),6,2),RIGHT(TRIM(Raw_Export!B2148),2)),DATE(RIGHT(TRIM(Raw_Export!B2148),4),MATCH(MID(TRIM(Raw_Export!B2148),4,3),{"Jan","Feb","Mar","Apr","May","Jun","Jul","Aug","Sep","Oct","Nov","Dec"},0),LEFT(TRIM(Raw_Export!B2148),2)))))</f>
        <v>46278</v>
      </c>
      <c r="C2148" s="36" t="str">
        <f aca="false">IF(Raw_Export!$A2148="","",IFERROR(VLOOKUP(LOWER(TRIM(Raw_Export!C2148)),Maps!$A$2:$B$20,2,FALSE()),"UNMAPPED"))</f>
        <v>Mombasa</v>
      </c>
      <c r="D2148" s="36" t="str">
        <f aca="false">IF(Raw_Export!$A2148="","",IFERROR(VLOOKUP(LOWER(TRIM(Raw_Export!D2148)),Maps!$G$2:$I$80,2,FALSE()),"UNMAPPED"))</f>
        <v>Coffee 100g</v>
      </c>
      <c r="E2148" s="36" t="str">
        <f aca="false">IF(Raw_Export!$A2148="","",IFERROR(VLOOKUP(LOWER(TRIM(Raw_Export!D2148)),Maps!$G$2:$I$80,3,FALSE()),"UNMAPPED"))</f>
        <v>Beverages</v>
      </c>
      <c r="F2148" s="36" t="n">
        <f aca="false">IF(Raw_Export!$A2148="","",IFERROR(VALUE(TRIM(Raw_Export!E2148)),0))</f>
        <v>2</v>
      </c>
      <c r="G2148" s="38" t="n">
        <f aca="false">IF(Raw_Export!$A2148="","",IFERROR(VALUE(SUBSTITUTE(SUBSTITUTE(UPPER(TRIM(Raw_Export!F2148)),"KES",""),",","")),0))</f>
        <v>360</v>
      </c>
      <c r="H2148" s="38" t="n">
        <f aca="false">IF(Raw_Export!$A2148="","",F2148*G2148)</f>
        <v>720</v>
      </c>
      <c r="I2148" s="36" t="str">
        <f aca="false">IF(Raw_Export!$A2148="","",IFERROR(VLOOKUP(LOWER(TRIM(Raw_Export!H2148)),Maps!$D$2:$E$12,2,FALSE()),"Other"))</f>
        <v>Card</v>
      </c>
      <c r="J2148" s="36" t="str">
        <f aca="false">IF(Raw_Export!$A2148="","",IF(COUNTIF($A$2:A2148,A2148)&gt;1,"Duplicate",""))</f>
        <v/>
      </c>
      <c r="K2148" s="36" t="str">
        <f aca="false">IF(Raw_Export!$A2148="","",IF(J2148="Duplicate","Duplicate",IF(OR(C2148="UNMAPPED",D2148="UNMAPPED"),"Unmapped",IF(F2148=0,"Blank qty",IF(F2148&lt;0,"Return","OK")))))</f>
        <v>OK</v>
      </c>
      <c r="L2148" s="36" t="n">
        <f aca="false">IF(Raw_Export!$A2148="","",IF(OR(K2148="OK",K2148="Return"),1,0))</f>
        <v>1</v>
      </c>
      <c r="M2148" s="37" t="n">
        <f aca="false">IF(Raw_Export!$A2148="","",B2148-WEEKDAY(B2148,2)+1)</f>
        <v>46272</v>
      </c>
    </row>
    <row r="2149" customFormat="false" ht="15" hidden="false" customHeight="false" outlineLevel="0" collapsed="false">
      <c r="A2149" s="36" t="str">
        <f aca="false">IF(Raw_Export!$A2149="","",TRIM(Raw_Export!A2149))</f>
        <v>TXN-102106</v>
      </c>
      <c r="B2149" s="37" t="n">
        <f aca="false">IF(Raw_Export!$A2149="","",IF(ISNUMBER(Raw_Export!B2149),Raw_Export!B2149,IF(MID(TRIM(Raw_Export!B2149),5,1)="-",DATE(LEFT(TRIM(Raw_Export!B2149),4),MID(TRIM(Raw_Export!B2149),6,2),RIGHT(TRIM(Raw_Export!B2149),2)),DATE(RIGHT(TRIM(Raw_Export!B2149),4),MATCH(MID(TRIM(Raw_Export!B2149),4,3),{"Jan","Feb","Mar","Apr","May","Jun","Jul","Aug","Sep","Oct","Nov","Dec"},0),LEFT(TRIM(Raw_Export!B2149),2)))))</f>
        <v>46278</v>
      </c>
      <c r="C2149" s="36" t="str">
        <f aca="false">IF(Raw_Export!$A2149="","",IFERROR(VLOOKUP(LOWER(TRIM(Raw_Export!C2149)),Maps!$A$2:$B$20,2,FALSE()),"UNMAPPED"))</f>
        <v>Mombasa</v>
      </c>
      <c r="D2149" s="36" t="str">
        <f aca="false">IF(Raw_Export!$A2149="","",IFERROR(VLOOKUP(LOWER(TRIM(Raw_Export!D2149)),Maps!$G$2:$I$80,2,FALSE()),"UNMAPPED"))</f>
        <v>Cooking Oil 1L</v>
      </c>
      <c r="E2149" s="36" t="str">
        <f aca="false">IF(Raw_Export!$A2149="","",IFERROR(VLOOKUP(LOWER(TRIM(Raw_Export!D2149)),Maps!$G$2:$I$80,3,FALSE()),"UNMAPPED"))</f>
        <v>Staples</v>
      </c>
      <c r="F2149" s="36" t="n">
        <f aca="false">IF(Raw_Export!$A2149="","",IFERROR(VALUE(TRIM(Raw_Export!E2149)),0))</f>
        <v>1</v>
      </c>
      <c r="G2149" s="38" t="n">
        <f aca="false">IF(Raw_Export!$A2149="","",IFERROR(VALUE(SUBSTITUTE(SUBSTITUTE(UPPER(TRIM(Raw_Export!F2149)),"KES",""),",","")),0))</f>
        <v>330</v>
      </c>
      <c r="H2149" s="38" t="n">
        <f aca="false">IF(Raw_Export!$A2149="","",F2149*G2149)</f>
        <v>330</v>
      </c>
      <c r="I2149" s="36" t="str">
        <f aca="false">IF(Raw_Export!$A2149="","",IFERROR(VLOOKUP(LOWER(TRIM(Raw_Export!H2149)),Maps!$D$2:$E$12,2,FALSE()),"Other"))</f>
        <v>M-Pesa</v>
      </c>
      <c r="J2149" s="36" t="str">
        <f aca="false">IF(Raw_Export!$A2149="","",IF(COUNTIF($A$2:A2149,A2149)&gt;1,"Duplicate",""))</f>
        <v/>
      </c>
      <c r="K2149" s="36" t="str">
        <f aca="false">IF(Raw_Export!$A2149="","",IF(J2149="Duplicate","Duplicate",IF(OR(C2149="UNMAPPED",D2149="UNMAPPED"),"Unmapped",IF(F2149=0,"Blank qty",IF(F2149&lt;0,"Return","OK")))))</f>
        <v>OK</v>
      </c>
      <c r="L2149" s="36" t="n">
        <f aca="false">IF(Raw_Export!$A2149="","",IF(OR(K2149="OK",K2149="Return"),1,0))</f>
        <v>1</v>
      </c>
      <c r="M2149" s="37" t="n">
        <f aca="false">IF(Raw_Export!$A2149="","",B2149-WEEKDAY(B2149,2)+1)</f>
        <v>46272</v>
      </c>
    </row>
    <row r="2150" customFormat="false" ht="15" hidden="false" customHeight="false" outlineLevel="0" collapsed="false">
      <c r="A2150" s="36" t="str">
        <f aca="false">IF(Raw_Export!$A2150="","",TRIM(Raw_Export!A2150))</f>
        <v>TXN-102107</v>
      </c>
      <c r="B2150" s="37" t="n">
        <f aca="false">IF(Raw_Export!$A2150="","",IF(ISNUMBER(Raw_Export!B2150),Raw_Export!B2150,IF(MID(TRIM(Raw_Export!B2150),5,1)="-",DATE(LEFT(TRIM(Raw_Export!B2150),4),MID(TRIM(Raw_Export!B2150),6,2),RIGHT(TRIM(Raw_Export!B2150),2)),DATE(RIGHT(TRIM(Raw_Export!B2150),4),MATCH(MID(TRIM(Raw_Export!B2150),4,3),{"Jan","Feb","Mar","Apr","May","Jun","Jul","Aug","Sep","Oct","Nov","Dec"},0),LEFT(TRIM(Raw_Export!B2150),2)))))</f>
        <v>46278</v>
      </c>
      <c r="C2150" s="36" t="str">
        <f aca="false">IF(Raw_Export!$A2150="","",IFERROR(VLOOKUP(LOWER(TRIM(Raw_Export!C2150)),Maps!$A$2:$B$20,2,FALSE()),"UNMAPPED"))</f>
        <v>Mombasa</v>
      </c>
      <c r="D2150" s="36" t="str">
        <f aca="false">IF(Raw_Export!$A2150="","",IFERROR(VLOOKUP(LOWER(TRIM(Raw_Export!D2150)),Maps!$G$2:$I$80,2,FALSE()),"UNMAPPED"))</f>
        <v>Bath Soap 175g</v>
      </c>
      <c r="E2150" s="36" t="str">
        <f aca="false">IF(Raw_Export!$A2150="","",IFERROR(VLOOKUP(LOWER(TRIM(Raw_Export!D2150)),Maps!$G$2:$I$80,3,FALSE()),"UNMAPPED"))</f>
        <v>Personal Care</v>
      </c>
      <c r="F2150" s="36" t="n">
        <f aca="false">IF(Raw_Export!$A2150="","",IFERROR(VALUE(TRIM(Raw_Export!E2150)),0))</f>
        <v>1</v>
      </c>
      <c r="G2150" s="38" t="n">
        <f aca="false">IF(Raw_Export!$A2150="","",IFERROR(VALUE(SUBSTITUTE(SUBSTITUTE(UPPER(TRIM(Raw_Export!F2150)),"KES",""),",","")),0))</f>
        <v>85</v>
      </c>
      <c r="H2150" s="38" t="n">
        <f aca="false">IF(Raw_Export!$A2150="","",F2150*G2150)</f>
        <v>85</v>
      </c>
      <c r="I2150" s="36" t="str">
        <f aca="false">IF(Raw_Export!$A2150="","",IFERROR(VLOOKUP(LOWER(TRIM(Raw_Export!H2150)),Maps!$D$2:$E$12,2,FALSE()),"Other"))</f>
        <v>M-Pesa</v>
      </c>
      <c r="J2150" s="36" t="str">
        <f aca="false">IF(Raw_Export!$A2150="","",IF(COUNTIF($A$2:A2150,A2150)&gt;1,"Duplicate",""))</f>
        <v/>
      </c>
      <c r="K2150" s="36" t="str">
        <f aca="false">IF(Raw_Export!$A2150="","",IF(J2150="Duplicate","Duplicate",IF(OR(C2150="UNMAPPED",D2150="UNMAPPED"),"Unmapped",IF(F2150=0,"Blank qty",IF(F2150&lt;0,"Return","OK")))))</f>
        <v>OK</v>
      </c>
      <c r="L2150" s="36" t="n">
        <f aca="false">IF(Raw_Export!$A2150="","",IF(OR(K2150="OK",K2150="Return"),1,0))</f>
        <v>1</v>
      </c>
      <c r="M2150" s="37" t="n">
        <f aca="false">IF(Raw_Export!$A2150="","",B2150-WEEKDAY(B2150,2)+1)</f>
        <v>46272</v>
      </c>
    </row>
    <row r="2151" customFormat="false" ht="15" hidden="false" customHeight="false" outlineLevel="0" collapsed="false">
      <c r="A2151" s="36" t="str">
        <f aca="false">IF(Raw_Export!$A2151="","",TRIM(Raw_Export!A2151))</f>
        <v>TXN-102108</v>
      </c>
      <c r="B2151" s="37" t="n">
        <f aca="false">IF(Raw_Export!$A2151="","",IF(ISNUMBER(Raw_Export!B2151),Raw_Export!B2151,IF(MID(TRIM(Raw_Export!B2151),5,1)="-",DATE(LEFT(TRIM(Raw_Export!B2151),4),MID(TRIM(Raw_Export!B2151),6,2),RIGHT(TRIM(Raw_Export!B2151),2)),DATE(RIGHT(TRIM(Raw_Export!B2151),4),MATCH(MID(TRIM(Raw_Export!B2151),4,3),{"Jan","Feb","Mar","Apr","May","Jun","Jul","Aug","Sep","Oct","Nov","Dec"},0),LEFT(TRIM(Raw_Export!B2151),2)))))</f>
        <v>46278</v>
      </c>
      <c r="C2151" s="36" t="str">
        <f aca="false">IF(Raw_Export!$A2151="","",IFERROR(VLOOKUP(LOWER(TRIM(Raw_Export!C2151)),Maps!$A$2:$B$20,2,FALSE()),"UNMAPPED"))</f>
        <v>Mombasa</v>
      </c>
      <c r="D2151" s="36" t="str">
        <f aca="false">IF(Raw_Export!$A2151="","",IFERROR(VLOOKUP(LOWER(TRIM(Raw_Export!D2151)),Maps!$G$2:$I$80,2,FALSE()),"UNMAPPED"))</f>
        <v>Body Lotion 400ml</v>
      </c>
      <c r="E2151" s="36" t="str">
        <f aca="false">IF(Raw_Export!$A2151="","",IFERROR(VLOOKUP(LOWER(TRIM(Raw_Export!D2151)),Maps!$G$2:$I$80,3,FALSE()),"UNMAPPED"))</f>
        <v>Personal Care</v>
      </c>
      <c r="F2151" s="36" t="n">
        <f aca="false">IF(Raw_Export!$A2151="","",IFERROR(VALUE(TRIM(Raw_Export!E2151)),0))</f>
        <v>4</v>
      </c>
      <c r="G2151" s="38" t="n">
        <f aca="false">IF(Raw_Export!$A2151="","",IFERROR(VALUE(SUBSTITUTE(SUBSTITUTE(UPPER(TRIM(Raw_Export!F2151)),"KES",""),",","")),0))</f>
        <v>378</v>
      </c>
      <c r="H2151" s="38" t="n">
        <f aca="false">IF(Raw_Export!$A2151="","",F2151*G2151)</f>
        <v>1512</v>
      </c>
      <c r="I2151" s="36" t="str">
        <f aca="false">IF(Raw_Export!$A2151="","",IFERROR(VLOOKUP(LOWER(TRIM(Raw_Export!H2151)),Maps!$D$2:$E$12,2,FALSE()),"Other"))</f>
        <v>Cash</v>
      </c>
      <c r="J2151" s="36" t="str">
        <f aca="false">IF(Raw_Export!$A2151="","",IF(COUNTIF($A$2:A2151,A2151)&gt;1,"Duplicate",""))</f>
        <v/>
      </c>
      <c r="K2151" s="36" t="str">
        <f aca="false">IF(Raw_Export!$A2151="","",IF(J2151="Duplicate","Duplicate",IF(OR(C2151="UNMAPPED",D2151="UNMAPPED"),"Unmapped",IF(F2151=0,"Blank qty",IF(F2151&lt;0,"Return","OK")))))</f>
        <v>OK</v>
      </c>
      <c r="L2151" s="36" t="n">
        <f aca="false">IF(Raw_Export!$A2151="","",IF(OR(K2151="OK",K2151="Return"),1,0))</f>
        <v>1</v>
      </c>
      <c r="M2151" s="37" t="n">
        <f aca="false">IF(Raw_Export!$A2151="","",B2151-WEEKDAY(B2151,2)+1)</f>
        <v>46272</v>
      </c>
    </row>
    <row r="2152" customFormat="false" ht="15" hidden="false" customHeight="false" outlineLevel="0" collapsed="false">
      <c r="A2152" s="36" t="str">
        <f aca="false">IF(Raw_Export!$A2152="","",TRIM(Raw_Export!A2152))</f>
        <v>TXN-102109</v>
      </c>
      <c r="B2152" s="37" t="n">
        <f aca="false">IF(Raw_Export!$A2152="","",IF(ISNUMBER(Raw_Export!B2152),Raw_Export!B2152,IF(MID(TRIM(Raw_Export!B2152),5,1)="-",DATE(LEFT(TRIM(Raw_Export!B2152),4),MID(TRIM(Raw_Export!B2152),6,2),RIGHT(TRIM(Raw_Export!B2152),2)),DATE(RIGHT(TRIM(Raw_Export!B2152),4),MATCH(MID(TRIM(Raw_Export!B2152),4,3),{"Jan","Feb","Mar","Apr","May","Jun","Jul","Aug","Sep","Oct","Nov","Dec"},0),LEFT(TRIM(Raw_Export!B2152),2)))))</f>
        <v>46278</v>
      </c>
      <c r="C2152" s="36" t="str">
        <f aca="false">IF(Raw_Export!$A2152="","",IFERROR(VLOOKUP(LOWER(TRIM(Raw_Export!C2152)),Maps!$A$2:$B$20,2,FALSE()),"UNMAPPED"))</f>
        <v>Mombasa</v>
      </c>
      <c r="D2152" s="36" t="str">
        <f aca="false">IF(Raw_Export!$A2152="","",IFERROR(VLOOKUP(LOWER(TRIM(Raw_Export!D2152)),Maps!$G$2:$I$80,2,FALSE()),"UNMAPPED"))</f>
        <v>Eggs Tray 30</v>
      </c>
      <c r="E2152" s="36" t="str">
        <f aca="false">IF(Raw_Export!$A2152="","",IFERROR(VLOOKUP(LOWER(TRIM(Raw_Export!D2152)),Maps!$G$2:$I$80,3,FALSE()),"UNMAPPED"))</f>
        <v>Dairy &amp; Eggs</v>
      </c>
      <c r="F2152" s="36" t="n">
        <f aca="false">IF(Raw_Export!$A2152="","",IFERROR(VALUE(TRIM(Raw_Export!E2152)),0))</f>
        <v>4</v>
      </c>
      <c r="G2152" s="38" t="n">
        <f aca="false">IF(Raw_Export!$A2152="","",IFERROR(VALUE(SUBSTITUTE(SUBSTITUTE(UPPER(TRIM(Raw_Export!F2152)),"KES",""),",","")),0))</f>
        <v>450</v>
      </c>
      <c r="H2152" s="38" t="n">
        <f aca="false">IF(Raw_Export!$A2152="","",F2152*G2152)</f>
        <v>1800</v>
      </c>
      <c r="I2152" s="36" t="str">
        <f aca="false">IF(Raw_Export!$A2152="","",IFERROR(VLOOKUP(LOWER(TRIM(Raw_Export!H2152)),Maps!$D$2:$E$12,2,FALSE()),"Other"))</f>
        <v>Cash</v>
      </c>
      <c r="J2152" s="36" t="str">
        <f aca="false">IF(Raw_Export!$A2152="","",IF(COUNTIF($A$2:A2152,A2152)&gt;1,"Duplicate",""))</f>
        <v/>
      </c>
      <c r="K2152" s="36" t="str">
        <f aca="false">IF(Raw_Export!$A2152="","",IF(J2152="Duplicate","Duplicate",IF(OR(C2152="UNMAPPED",D2152="UNMAPPED"),"Unmapped",IF(F2152=0,"Blank qty",IF(F2152&lt;0,"Return","OK")))))</f>
        <v>OK</v>
      </c>
      <c r="L2152" s="36" t="n">
        <f aca="false">IF(Raw_Export!$A2152="","",IF(OR(K2152="OK",K2152="Return"),1,0))</f>
        <v>1</v>
      </c>
      <c r="M2152" s="37" t="n">
        <f aca="false">IF(Raw_Export!$A2152="","",B2152-WEEKDAY(B2152,2)+1)</f>
        <v>46272</v>
      </c>
    </row>
    <row r="2153" customFormat="false" ht="15" hidden="false" customHeight="false" outlineLevel="0" collapsed="false">
      <c r="A2153" s="36" t="str">
        <f aca="false">IF(Raw_Export!$A2153="","",TRIM(Raw_Export!A2153))</f>
        <v>TXN-102110</v>
      </c>
      <c r="B2153" s="37" t="n">
        <f aca="false">IF(Raw_Export!$A2153="","",IF(ISNUMBER(Raw_Export!B2153),Raw_Export!B2153,IF(MID(TRIM(Raw_Export!B2153),5,1)="-",DATE(LEFT(TRIM(Raw_Export!B2153),4),MID(TRIM(Raw_Export!B2153),6,2),RIGHT(TRIM(Raw_Export!B2153),2)),DATE(RIGHT(TRIM(Raw_Export!B2153),4),MATCH(MID(TRIM(Raw_Export!B2153),4,3),{"Jan","Feb","Mar","Apr","May","Jun","Jul","Aug","Sep","Oct","Nov","Dec"},0),LEFT(TRIM(Raw_Export!B2153),2)))))</f>
        <v>46278</v>
      </c>
      <c r="C2153" s="36" t="str">
        <f aca="false">IF(Raw_Export!$A2153="","",IFERROR(VLOOKUP(LOWER(TRIM(Raw_Export!C2153)),Maps!$A$2:$B$20,2,FALSE()),"UNMAPPED"))</f>
        <v>Mombasa</v>
      </c>
      <c r="D2153" s="36" t="str">
        <f aca="false">IF(Raw_Export!$A2153="","",IFERROR(VLOOKUP(LOWER(TRIM(Raw_Export!D2153)),Maps!$G$2:$I$80,2,FALSE()),"UNMAPPED"))</f>
        <v>Matches 10pk</v>
      </c>
      <c r="E2153" s="36" t="str">
        <f aca="false">IF(Raw_Export!$A2153="","",IFERROR(VLOOKUP(LOWER(TRIM(Raw_Export!D2153)),Maps!$G$2:$I$80,3,FALSE()),"UNMAPPED"))</f>
        <v>Household</v>
      </c>
      <c r="F2153" s="36" t="n">
        <f aca="false">IF(Raw_Export!$A2153="","",IFERROR(VALUE(TRIM(Raw_Export!E2153)),0))</f>
        <v>1</v>
      </c>
      <c r="G2153" s="38" t="n">
        <f aca="false">IF(Raw_Export!$A2153="","",IFERROR(VALUE(SUBSTITUTE(SUBSTITUTE(UPPER(TRIM(Raw_Export!F2153)),"KES",""),",","")),0))</f>
        <v>50</v>
      </c>
      <c r="H2153" s="38" t="n">
        <f aca="false">IF(Raw_Export!$A2153="","",F2153*G2153)</f>
        <v>50</v>
      </c>
      <c r="I2153" s="36" t="str">
        <f aca="false">IF(Raw_Export!$A2153="","",IFERROR(VLOOKUP(LOWER(TRIM(Raw_Export!H2153)),Maps!$D$2:$E$12,2,FALSE()),"Other"))</f>
        <v>M-Pesa</v>
      </c>
      <c r="J2153" s="36" t="str">
        <f aca="false">IF(Raw_Export!$A2153="","",IF(COUNTIF($A$2:A2153,A2153)&gt;1,"Duplicate",""))</f>
        <v/>
      </c>
      <c r="K2153" s="36" t="str">
        <f aca="false">IF(Raw_Export!$A2153="","",IF(J2153="Duplicate","Duplicate",IF(OR(C2153="UNMAPPED",D2153="UNMAPPED"),"Unmapped",IF(F2153=0,"Blank qty",IF(F2153&lt;0,"Return","OK")))))</f>
        <v>OK</v>
      </c>
      <c r="L2153" s="36" t="n">
        <f aca="false">IF(Raw_Export!$A2153="","",IF(OR(K2153="OK",K2153="Return"),1,0))</f>
        <v>1</v>
      </c>
      <c r="M2153" s="37" t="n">
        <f aca="false">IF(Raw_Export!$A2153="","",B2153-WEEKDAY(B2153,2)+1)</f>
        <v>46272</v>
      </c>
    </row>
    <row r="2154" customFormat="false" ht="15" hidden="false" customHeight="false" outlineLevel="0" collapsed="false">
      <c r="A2154" s="36" t="str">
        <f aca="false">IF(Raw_Export!$A2154="","",TRIM(Raw_Export!A2154))</f>
        <v>TXN-102111</v>
      </c>
      <c r="B2154" s="37" t="n">
        <f aca="false">IF(Raw_Export!$A2154="","",IF(ISNUMBER(Raw_Export!B2154),Raw_Export!B2154,IF(MID(TRIM(Raw_Export!B2154),5,1)="-",DATE(LEFT(TRIM(Raw_Export!B2154),4),MID(TRIM(Raw_Export!B2154),6,2),RIGHT(TRIM(Raw_Export!B2154),2)),DATE(RIGHT(TRIM(Raw_Export!B2154),4),MATCH(MID(TRIM(Raw_Export!B2154),4,3),{"Jan","Feb","Mar","Apr","May","Jun","Jul","Aug","Sep","Oct","Nov","Dec"},0),LEFT(TRIM(Raw_Export!B2154),2)))))</f>
        <v>46278</v>
      </c>
      <c r="C2154" s="36" t="str">
        <f aca="false">IF(Raw_Export!$A2154="","",IFERROR(VLOOKUP(LOWER(TRIM(Raw_Export!C2154)),Maps!$A$2:$B$20,2,FALSE()),"UNMAPPED"))</f>
        <v>Mombasa</v>
      </c>
      <c r="D2154" s="36" t="str">
        <f aca="false">IF(Raw_Export!$A2154="","",IFERROR(VLOOKUP(LOWER(TRIM(Raw_Export!D2154)),Maps!$G$2:$I$80,2,FALSE()),"UNMAPPED"))</f>
        <v>Fresh Milk 500ml</v>
      </c>
      <c r="E2154" s="36" t="str">
        <f aca="false">IF(Raw_Export!$A2154="","",IFERROR(VLOOKUP(LOWER(TRIM(Raw_Export!D2154)),Maps!$G$2:$I$80,3,FALSE()),"UNMAPPED"))</f>
        <v>Dairy &amp; Eggs</v>
      </c>
      <c r="F2154" s="36" t="n">
        <f aca="false">IF(Raw_Export!$A2154="","",IFERROR(VALUE(TRIM(Raw_Export!E2154)),0))</f>
        <v>1</v>
      </c>
      <c r="G2154" s="38" t="n">
        <f aca="false">IF(Raw_Export!$A2154="","",IFERROR(VALUE(SUBSTITUTE(SUBSTITUTE(UPPER(TRIM(Raw_Export!F2154)),"KES",""),",","")),0))</f>
        <v>65</v>
      </c>
      <c r="H2154" s="38" t="n">
        <f aca="false">IF(Raw_Export!$A2154="","",F2154*G2154)</f>
        <v>65</v>
      </c>
      <c r="I2154" s="36" t="str">
        <f aca="false">IF(Raw_Export!$A2154="","",IFERROR(VLOOKUP(LOWER(TRIM(Raw_Export!H2154)),Maps!$D$2:$E$12,2,FALSE()),"Other"))</f>
        <v>Cash</v>
      </c>
      <c r="J2154" s="36" t="str">
        <f aca="false">IF(Raw_Export!$A2154="","",IF(COUNTIF($A$2:A2154,A2154)&gt;1,"Duplicate",""))</f>
        <v/>
      </c>
      <c r="K2154" s="36" t="str">
        <f aca="false">IF(Raw_Export!$A2154="","",IF(J2154="Duplicate","Duplicate",IF(OR(C2154="UNMAPPED",D2154="UNMAPPED"),"Unmapped",IF(F2154=0,"Blank qty",IF(F2154&lt;0,"Return","OK")))))</f>
        <v>OK</v>
      </c>
      <c r="L2154" s="36" t="n">
        <f aca="false">IF(Raw_Export!$A2154="","",IF(OR(K2154="OK",K2154="Return"),1,0))</f>
        <v>1</v>
      </c>
      <c r="M2154" s="37" t="n">
        <f aca="false">IF(Raw_Export!$A2154="","",B2154-WEEKDAY(B2154,2)+1)</f>
        <v>46272</v>
      </c>
    </row>
    <row r="2155" customFormat="false" ht="15" hidden="false" customHeight="false" outlineLevel="0" collapsed="false">
      <c r="A2155" s="36" t="str">
        <f aca="false">IF(Raw_Export!$A2155="","",TRIM(Raw_Export!A2155))</f>
        <v>TXN-102112</v>
      </c>
      <c r="B2155" s="37" t="n">
        <f aca="false">IF(Raw_Export!$A2155="","",IF(ISNUMBER(Raw_Export!B2155),Raw_Export!B2155,IF(MID(TRIM(Raw_Export!B2155),5,1)="-",DATE(LEFT(TRIM(Raw_Export!B2155),4),MID(TRIM(Raw_Export!B2155),6,2),RIGHT(TRIM(Raw_Export!B2155),2)),DATE(RIGHT(TRIM(Raw_Export!B2155),4),MATCH(MID(TRIM(Raw_Export!B2155),4,3),{"Jan","Feb","Mar","Apr","May","Jun","Jul","Aug","Sep","Oct","Nov","Dec"},0),LEFT(TRIM(Raw_Export!B2155),2)))))</f>
        <v>46278</v>
      </c>
      <c r="C2155" s="36" t="str">
        <f aca="false">IF(Raw_Export!$A2155="","",IFERROR(VLOOKUP(LOWER(TRIM(Raw_Export!C2155)),Maps!$A$2:$B$20,2,FALSE()),"UNMAPPED"))</f>
        <v>Mombasa</v>
      </c>
      <c r="D2155" s="36" t="str">
        <f aca="false">IF(Raw_Export!$A2155="","",IFERROR(VLOOKUP(LOWER(TRIM(Raw_Export!D2155)),Maps!$G$2:$I$80,2,FALSE()),"UNMAPPED"))</f>
        <v>Matches 10pk</v>
      </c>
      <c r="E2155" s="36" t="str">
        <f aca="false">IF(Raw_Export!$A2155="","",IFERROR(VLOOKUP(LOWER(TRIM(Raw_Export!D2155)),Maps!$G$2:$I$80,3,FALSE()),"UNMAPPED"))</f>
        <v>Household</v>
      </c>
      <c r="F2155" s="36" t="n">
        <f aca="false">IF(Raw_Export!$A2155="","",IFERROR(VALUE(TRIM(Raw_Export!E2155)),0))</f>
        <v>3</v>
      </c>
      <c r="G2155" s="38" t="n">
        <f aca="false">IF(Raw_Export!$A2155="","",IFERROR(VALUE(SUBSTITUTE(SUBSTITUTE(UPPER(TRIM(Raw_Export!F2155)),"KES",""),",","")),0))</f>
        <v>50</v>
      </c>
      <c r="H2155" s="38" t="n">
        <f aca="false">IF(Raw_Export!$A2155="","",F2155*G2155)</f>
        <v>150</v>
      </c>
      <c r="I2155" s="36" t="str">
        <f aca="false">IF(Raw_Export!$A2155="","",IFERROR(VLOOKUP(LOWER(TRIM(Raw_Export!H2155)),Maps!$D$2:$E$12,2,FALSE()),"Other"))</f>
        <v>Card</v>
      </c>
      <c r="J2155" s="36" t="str">
        <f aca="false">IF(Raw_Export!$A2155="","",IF(COUNTIF($A$2:A2155,A2155)&gt;1,"Duplicate",""))</f>
        <v/>
      </c>
      <c r="K2155" s="36" t="str">
        <f aca="false">IF(Raw_Export!$A2155="","",IF(J2155="Duplicate","Duplicate",IF(OR(C2155="UNMAPPED",D2155="UNMAPPED"),"Unmapped",IF(F2155=0,"Blank qty",IF(F2155&lt;0,"Return","OK")))))</f>
        <v>OK</v>
      </c>
      <c r="L2155" s="36" t="n">
        <f aca="false">IF(Raw_Export!$A2155="","",IF(OR(K2155="OK",K2155="Return"),1,0))</f>
        <v>1</v>
      </c>
      <c r="M2155" s="37" t="n">
        <f aca="false">IF(Raw_Export!$A2155="","",B2155-WEEKDAY(B2155,2)+1)</f>
        <v>46272</v>
      </c>
    </row>
    <row r="2156" customFormat="false" ht="15" hidden="false" customHeight="false" outlineLevel="0" collapsed="false">
      <c r="A2156" s="36" t="str">
        <f aca="false">IF(Raw_Export!$A2156="","",TRIM(Raw_Export!A2156))</f>
        <v>TXN-102113</v>
      </c>
      <c r="B2156" s="37" t="n">
        <f aca="false">IF(Raw_Export!$A2156="","",IF(ISNUMBER(Raw_Export!B2156),Raw_Export!B2156,IF(MID(TRIM(Raw_Export!B2156),5,1)="-",DATE(LEFT(TRIM(Raw_Export!B2156),4),MID(TRIM(Raw_Export!B2156),6,2),RIGHT(TRIM(Raw_Export!B2156),2)),DATE(RIGHT(TRIM(Raw_Export!B2156),4),MATCH(MID(TRIM(Raw_Export!B2156),4,3),{"Jan","Feb","Mar","Apr","May","Jun","Jul","Aug","Sep","Oct","Nov","Dec"},0),LEFT(TRIM(Raw_Export!B2156),2)))))</f>
        <v>46278</v>
      </c>
      <c r="C2156" s="36" t="str">
        <f aca="false">IF(Raw_Export!$A2156="","",IFERROR(VLOOKUP(LOWER(TRIM(Raw_Export!C2156)),Maps!$A$2:$B$20,2,FALSE()),"UNMAPPED"))</f>
        <v>Mombasa</v>
      </c>
      <c r="D2156" s="36" t="str">
        <f aca="false">IF(Raw_Export!$A2156="","",IFERROR(VLOOKUP(LOWER(TRIM(Raw_Export!D2156)),Maps!$G$2:$I$80,2,FALSE()),"UNMAPPED"))</f>
        <v>Cooking Oil 1L</v>
      </c>
      <c r="E2156" s="36" t="str">
        <f aca="false">IF(Raw_Export!$A2156="","",IFERROR(VLOOKUP(LOWER(TRIM(Raw_Export!D2156)),Maps!$G$2:$I$80,3,FALSE()),"UNMAPPED"))</f>
        <v>Staples</v>
      </c>
      <c r="F2156" s="36" t="n">
        <f aca="false">IF(Raw_Export!$A2156="","",IFERROR(VALUE(TRIM(Raw_Export!E2156)),0))</f>
        <v>2</v>
      </c>
      <c r="G2156" s="38" t="n">
        <f aca="false">IF(Raw_Export!$A2156="","",IFERROR(VALUE(SUBSTITUTE(SUBSTITUTE(UPPER(TRIM(Raw_Export!F2156)),"KES",""),",","")),0))</f>
        <v>330</v>
      </c>
      <c r="H2156" s="38" t="n">
        <f aca="false">IF(Raw_Export!$A2156="","",F2156*G2156)</f>
        <v>660</v>
      </c>
      <c r="I2156" s="36" t="str">
        <f aca="false">IF(Raw_Export!$A2156="","",IFERROR(VLOOKUP(LOWER(TRIM(Raw_Export!H2156)),Maps!$D$2:$E$12,2,FALSE()),"Other"))</f>
        <v>Cash</v>
      </c>
      <c r="J2156" s="36" t="str">
        <f aca="false">IF(Raw_Export!$A2156="","",IF(COUNTIF($A$2:A2156,A2156)&gt;1,"Duplicate",""))</f>
        <v/>
      </c>
      <c r="K2156" s="36" t="str">
        <f aca="false">IF(Raw_Export!$A2156="","",IF(J2156="Duplicate","Duplicate",IF(OR(C2156="UNMAPPED",D2156="UNMAPPED"),"Unmapped",IF(F2156=0,"Blank qty",IF(F2156&lt;0,"Return","OK")))))</f>
        <v>OK</v>
      </c>
      <c r="L2156" s="36" t="n">
        <f aca="false">IF(Raw_Export!$A2156="","",IF(OR(K2156="OK",K2156="Return"),1,0))</f>
        <v>1</v>
      </c>
      <c r="M2156" s="37" t="n">
        <f aca="false">IF(Raw_Export!$A2156="","",B2156-WEEKDAY(B2156,2)+1)</f>
        <v>46272</v>
      </c>
    </row>
    <row r="2157" customFormat="false" ht="15" hidden="false" customHeight="false" outlineLevel="0" collapsed="false">
      <c r="A2157" s="36" t="str">
        <f aca="false">IF(Raw_Export!$A2157="","",TRIM(Raw_Export!A2157))</f>
        <v>TXN-102114</v>
      </c>
      <c r="B2157" s="37" t="n">
        <f aca="false">IF(Raw_Export!$A2157="","",IF(ISNUMBER(Raw_Export!B2157),Raw_Export!B2157,IF(MID(TRIM(Raw_Export!B2157),5,1)="-",DATE(LEFT(TRIM(Raw_Export!B2157),4),MID(TRIM(Raw_Export!B2157),6,2),RIGHT(TRIM(Raw_Export!B2157),2)),DATE(RIGHT(TRIM(Raw_Export!B2157),4),MATCH(MID(TRIM(Raw_Export!B2157),4,3),{"Jan","Feb","Mar","Apr","May","Jun","Jul","Aug","Sep","Oct","Nov","Dec"},0),LEFT(TRIM(Raw_Export!B2157),2)))))</f>
        <v>46278</v>
      </c>
      <c r="C2157" s="36" t="str">
        <f aca="false">IF(Raw_Export!$A2157="","",IFERROR(VLOOKUP(LOWER(TRIM(Raw_Export!C2157)),Maps!$A$2:$B$20,2,FALSE()),"UNMAPPED"))</f>
        <v>Mombasa</v>
      </c>
      <c r="D2157" s="36" t="str">
        <f aca="false">IF(Raw_Export!$A2157="","",IFERROR(VLOOKUP(LOWER(TRIM(Raw_Export!D2157)),Maps!$G$2:$I$80,2,FALSE()),"UNMAPPED"))</f>
        <v>Deodorant 150ml</v>
      </c>
      <c r="E2157" s="36" t="str">
        <f aca="false">IF(Raw_Export!$A2157="","",IFERROR(VLOOKUP(LOWER(TRIM(Raw_Export!D2157)),Maps!$G$2:$I$80,3,FALSE()),"UNMAPPED"))</f>
        <v>Personal Care</v>
      </c>
      <c r="F2157" s="36" t="n">
        <f aca="false">IF(Raw_Export!$A2157="","",IFERROR(VALUE(TRIM(Raw_Export!E2157)),0))</f>
        <v>2</v>
      </c>
      <c r="G2157" s="38" t="n">
        <f aca="false">IF(Raw_Export!$A2157="","",IFERROR(VALUE(SUBSTITUTE(SUBSTITUTE(UPPER(TRIM(Raw_Export!F2157)),"KES",""),",","")),0))</f>
        <v>350</v>
      </c>
      <c r="H2157" s="38" t="n">
        <f aca="false">IF(Raw_Export!$A2157="","",F2157*G2157)</f>
        <v>700</v>
      </c>
      <c r="I2157" s="36" t="str">
        <f aca="false">IF(Raw_Export!$A2157="","",IFERROR(VLOOKUP(LOWER(TRIM(Raw_Export!H2157)),Maps!$D$2:$E$12,2,FALSE()),"Other"))</f>
        <v>M-Pesa</v>
      </c>
      <c r="J2157" s="36" t="str">
        <f aca="false">IF(Raw_Export!$A2157="","",IF(COUNTIF($A$2:A2157,A2157)&gt;1,"Duplicate",""))</f>
        <v/>
      </c>
      <c r="K2157" s="36" t="str">
        <f aca="false">IF(Raw_Export!$A2157="","",IF(J2157="Duplicate","Duplicate",IF(OR(C2157="UNMAPPED",D2157="UNMAPPED"),"Unmapped",IF(F2157=0,"Blank qty",IF(F2157&lt;0,"Return","OK")))))</f>
        <v>OK</v>
      </c>
      <c r="L2157" s="36" t="n">
        <f aca="false">IF(Raw_Export!$A2157="","",IF(OR(K2157="OK",K2157="Return"),1,0))</f>
        <v>1</v>
      </c>
      <c r="M2157" s="37" t="n">
        <f aca="false">IF(Raw_Export!$A2157="","",B2157-WEEKDAY(B2157,2)+1)</f>
        <v>46272</v>
      </c>
    </row>
    <row r="2158" customFormat="false" ht="15" hidden="false" customHeight="false" outlineLevel="0" collapsed="false">
      <c r="A2158" s="36" t="str">
        <f aca="false">IF(Raw_Export!$A2158="","",TRIM(Raw_Export!A2158))</f>
        <v>TXN-102115</v>
      </c>
      <c r="B2158" s="37" t="n">
        <f aca="false">IF(Raw_Export!$A2158="","",IF(ISNUMBER(Raw_Export!B2158),Raw_Export!B2158,IF(MID(TRIM(Raw_Export!B2158),5,1)="-",DATE(LEFT(TRIM(Raw_Export!B2158),4),MID(TRIM(Raw_Export!B2158),6,2),RIGHT(TRIM(Raw_Export!B2158),2)),DATE(RIGHT(TRIM(Raw_Export!B2158),4),MATCH(MID(TRIM(Raw_Export!B2158),4,3),{"Jan","Feb","Mar","Apr","May","Jun","Jul","Aug","Sep","Oct","Nov","Dec"},0),LEFT(TRIM(Raw_Export!B2158),2)))))</f>
        <v>46278</v>
      </c>
      <c r="C2158" s="36" t="str">
        <f aca="false">IF(Raw_Export!$A2158="","",IFERROR(VLOOKUP(LOWER(TRIM(Raw_Export!C2158)),Maps!$A$2:$B$20,2,FALSE()),"UNMAPPED"))</f>
        <v>Mombasa</v>
      </c>
      <c r="D2158" s="36" t="str">
        <f aca="false">IF(Raw_Export!$A2158="","",IFERROR(VLOOKUP(LOWER(TRIM(Raw_Export!D2158)),Maps!$G$2:$I$80,2,FALSE()),"UNMAPPED"))</f>
        <v>Peanuts 250g</v>
      </c>
      <c r="E2158" s="36" t="str">
        <f aca="false">IF(Raw_Export!$A2158="","",IFERROR(VLOOKUP(LOWER(TRIM(Raw_Export!D2158)),Maps!$G$2:$I$80,3,FALSE()),"UNMAPPED"))</f>
        <v>Snacks</v>
      </c>
      <c r="F2158" s="36" t="n">
        <f aca="false">IF(Raw_Export!$A2158="","",IFERROR(VALUE(TRIM(Raw_Export!E2158)),0))</f>
        <v>4</v>
      </c>
      <c r="G2158" s="38" t="n">
        <f aca="false">IF(Raw_Export!$A2158="","",IFERROR(VALUE(SUBSTITUTE(SUBSTITUTE(UPPER(TRIM(Raw_Export!F2158)),"KES",""),",","")),0))</f>
        <v>117</v>
      </c>
      <c r="H2158" s="38" t="n">
        <f aca="false">IF(Raw_Export!$A2158="","",F2158*G2158)</f>
        <v>468</v>
      </c>
      <c r="I2158" s="36" t="str">
        <f aca="false">IF(Raw_Export!$A2158="","",IFERROR(VLOOKUP(LOWER(TRIM(Raw_Export!H2158)),Maps!$D$2:$E$12,2,FALSE()),"Other"))</f>
        <v>Cash</v>
      </c>
      <c r="J2158" s="36" t="str">
        <f aca="false">IF(Raw_Export!$A2158="","",IF(COUNTIF($A$2:A2158,A2158)&gt;1,"Duplicate",""))</f>
        <v/>
      </c>
      <c r="K2158" s="36" t="str">
        <f aca="false">IF(Raw_Export!$A2158="","",IF(J2158="Duplicate","Duplicate",IF(OR(C2158="UNMAPPED",D2158="UNMAPPED"),"Unmapped",IF(F2158=0,"Blank qty",IF(F2158&lt;0,"Return","OK")))))</f>
        <v>OK</v>
      </c>
      <c r="L2158" s="36" t="n">
        <f aca="false">IF(Raw_Export!$A2158="","",IF(OR(K2158="OK",K2158="Return"),1,0))</f>
        <v>1</v>
      </c>
      <c r="M2158" s="37" t="n">
        <f aca="false">IF(Raw_Export!$A2158="","",B2158-WEEKDAY(B2158,2)+1)</f>
        <v>46272</v>
      </c>
    </row>
    <row r="2159" customFormat="false" ht="15" hidden="false" customHeight="false" outlineLevel="0" collapsed="false">
      <c r="A2159" s="36" t="str">
        <f aca="false">IF(Raw_Export!$A2159="","",TRIM(Raw_Export!A2159))</f>
        <v>TXN-102116</v>
      </c>
      <c r="B2159" s="37" t="n">
        <f aca="false">IF(Raw_Export!$A2159="","",IF(ISNUMBER(Raw_Export!B2159),Raw_Export!B2159,IF(MID(TRIM(Raw_Export!B2159),5,1)="-",DATE(LEFT(TRIM(Raw_Export!B2159),4),MID(TRIM(Raw_Export!B2159),6,2),RIGHT(TRIM(Raw_Export!B2159),2)),DATE(RIGHT(TRIM(Raw_Export!B2159),4),MATCH(MID(TRIM(Raw_Export!B2159),4,3),{"Jan","Feb","Mar","Apr","May","Jun","Jul","Aug","Sep","Oct","Nov","Dec"},0),LEFT(TRIM(Raw_Export!B2159),2)))))</f>
        <v>46278</v>
      </c>
      <c r="C2159" s="36" t="str">
        <f aca="false">IF(Raw_Export!$A2159="","",IFERROR(VLOOKUP(LOWER(TRIM(Raw_Export!C2159)),Maps!$A$2:$B$20,2,FALSE()),"UNMAPPED"))</f>
        <v>Mombasa</v>
      </c>
      <c r="D2159" s="36" t="str">
        <f aca="false">IF(Raw_Export!$A2159="","",IFERROR(VLOOKUP(LOWER(TRIM(Raw_Export!D2159)),Maps!$G$2:$I$80,2,FALSE()),"UNMAPPED"))</f>
        <v>Salt 500g</v>
      </c>
      <c r="E2159" s="36" t="str">
        <f aca="false">IF(Raw_Export!$A2159="","",IFERROR(VLOOKUP(LOWER(TRIM(Raw_Export!D2159)),Maps!$G$2:$I$80,3,FALSE()),"UNMAPPED"))</f>
        <v>Staples</v>
      </c>
      <c r="F2159" s="36" t="n">
        <f aca="false">IF(Raw_Export!$A2159="","",IFERROR(VALUE(TRIM(Raw_Export!E2159)),0))</f>
        <v>2</v>
      </c>
      <c r="G2159" s="38" t="n">
        <f aca="false">IF(Raw_Export!$A2159="","",IFERROR(VALUE(SUBSTITUTE(SUBSTITUTE(UPPER(TRIM(Raw_Export!F2159)),"KES",""),",","")),0))</f>
        <v>40</v>
      </c>
      <c r="H2159" s="38" t="n">
        <f aca="false">IF(Raw_Export!$A2159="","",F2159*G2159)</f>
        <v>80</v>
      </c>
      <c r="I2159" s="36" t="str">
        <f aca="false">IF(Raw_Export!$A2159="","",IFERROR(VLOOKUP(LOWER(TRIM(Raw_Export!H2159)),Maps!$D$2:$E$12,2,FALSE()),"Other"))</f>
        <v>Card</v>
      </c>
      <c r="J2159" s="36" t="str">
        <f aca="false">IF(Raw_Export!$A2159="","",IF(COUNTIF($A$2:A2159,A2159)&gt;1,"Duplicate",""))</f>
        <v/>
      </c>
      <c r="K2159" s="36" t="str">
        <f aca="false">IF(Raw_Export!$A2159="","",IF(J2159="Duplicate","Duplicate",IF(OR(C2159="UNMAPPED",D2159="UNMAPPED"),"Unmapped",IF(F2159=0,"Blank qty",IF(F2159&lt;0,"Return","OK")))))</f>
        <v>OK</v>
      </c>
      <c r="L2159" s="36" t="n">
        <f aca="false">IF(Raw_Export!$A2159="","",IF(OR(K2159="OK",K2159="Return"),1,0))</f>
        <v>1</v>
      </c>
      <c r="M2159" s="37" t="n">
        <f aca="false">IF(Raw_Export!$A2159="","",B2159-WEEKDAY(B2159,2)+1)</f>
        <v>46272</v>
      </c>
    </row>
    <row r="2160" customFormat="false" ht="15" hidden="false" customHeight="false" outlineLevel="0" collapsed="false">
      <c r="A2160" s="36" t="str">
        <f aca="false">IF(Raw_Export!$A2160="","",TRIM(Raw_Export!A2160))</f>
        <v>TXN-102117</v>
      </c>
      <c r="B2160" s="37" t="n">
        <f aca="false">IF(Raw_Export!$A2160="","",IF(ISNUMBER(Raw_Export!B2160),Raw_Export!B2160,IF(MID(TRIM(Raw_Export!B2160),5,1)="-",DATE(LEFT(TRIM(Raw_Export!B2160),4),MID(TRIM(Raw_Export!B2160),6,2),RIGHT(TRIM(Raw_Export!B2160),2)),DATE(RIGHT(TRIM(Raw_Export!B2160),4),MATCH(MID(TRIM(Raw_Export!B2160),4,3),{"Jan","Feb","Mar","Apr","May","Jun","Jul","Aug","Sep","Oct","Nov","Dec"},0),LEFT(TRIM(Raw_Export!B2160),2)))))</f>
        <v>46278</v>
      </c>
      <c r="C2160" s="36" t="str">
        <f aca="false">IF(Raw_Export!$A2160="","",IFERROR(VLOOKUP(LOWER(TRIM(Raw_Export!C2160)),Maps!$A$2:$B$20,2,FALSE()),"UNMAPPED"))</f>
        <v>Mombasa</v>
      </c>
      <c r="D2160" s="36" t="str">
        <f aca="false">IF(Raw_Export!$A2160="","",IFERROR(VLOOKUP(LOWER(TRIM(Raw_Export!D2160)),Maps!$G$2:$I$80,2,FALSE()),"UNMAPPED"))</f>
        <v>Cooking Oil 1L</v>
      </c>
      <c r="E2160" s="36" t="str">
        <f aca="false">IF(Raw_Export!$A2160="","",IFERROR(VLOOKUP(LOWER(TRIM(Raw_Export!D2160)),Maps!$G$2:$I$80,3,FALSE()),"UNMAPPED"))</f>
        <v>Staples</v>
      </c>
      <c r="F2160" s="36" t="n">
        <f aca="false">IF(Raw_Export!$A2160="","",IFERROR(VALUE(TRIM(Raw_Export!E2160)),0))</f>
        <v>1</v>
      </c>
      <c r="G2160" s="38" t="n">
        <f aca="false">IF(Raw_Export!$A2160="","",IFERROR(VALUE(SUBSTITUTE(SUBSTITUTE(UPPER(TRIM(Raw_Export!F2160)),"KES",""),",","")),0))</f>
        <v>330</v>
      </c>
      <c r="H2160" s="38" t="n">
        <f aca="false">IF(Raw_Export!$A2160="","",F2160*G2160)</f>
        <v>330</v>
      </c>
      <c r="I2160" s="36" t="str">
        <f aca="false">IF(Raw_Export!$A2160="","",IFERROR(VLOOKUP(LOWER(TRIM(Raw_Export!H2160)),Maps!$D$2:$E$12,2,FALSE()),"Other"))</f>
        <v>Cash</v>
      </c>
      <c r="J2160" s="36" t="str">
        <f aca="false">IF(Raw_Export!$A2160="","",IF(COUNTIF($A$2:A2160,A2160)&gt;1,"Duplicate",""))</f>
        <v/>
      </c>
      <c r="K2160" s="36" t="str">
        <f aca="false">IF(Raw_Export!$A2160="","",IF(J2160="Duplicate","Duplicate",IF(OR(C2160="UNMAPPED",D2160="UNMAPPED"),"Unmapped",IF(F2160=0,"Blank qty",IF(F2160&lt;0,"Return","OK")))))</f>
        <v>OK</v>
      </c>
      <c r="L2160" s="36" t="n">
        <f aca="false">IF(Raw_Export!$A2160="","",IF(OR(K2160="OK",K2160="Return"),1,0))</f>
        <v>1</v>
      </c>
      <c r="M2160" s="37" t="n">
        <f aca="false">IF(Raw_Export!$A2160="","",B2160-WEEKDAY(B2160,2)+1)</f>
        <v>46272</v>
      </c>
    </row>
    <row r="2161" customFormat="false" ht="15" hidden="false" customHeight="false" outlineLevel="0" collapsed="false">
      <c r="A2161" s="36" t="str">
        <f aca="false">IF(Raw_Export!$A2161="","",TRIM(Raw_Export!A2161))</f>
        <v>TXN-102118</v>
      </c>
      <c r="B2161" s="37" t="n">
        <f aca="false">IF(Raw_Export!$A2161="","",IF(ISNUMBER(Raw_Export!B2161),Raw_Export!B2161,IF(MID(TRIM(Raw_Export!B2161),5,1)="-",DATE(LEFT(TRIM(Raw_Export!B2161),4),MID(TRIM(Raw_Export!B2161),6,2),RIGHT(TRIM(Raw_Export!B2161),2)),DATE(RIGHT(TRIM(Raw_Export!B2161),4),MATCH(MID(TRIM(Raw_Export!B2161),4,3),{"Jan","Feb","Mar","Apr","May","Jun","Jul","Aug","Sep","Oct","Nov","Dec"},0),LEFT(TRIM(Raw_Export!B2161),2)))))</f>
        <v>46278</v>
      </c>
      <c r="C2161" s="36" t="str">
        <f aca="false">IF(Raw_Export!$A2161="","",IFERROR(VLOOKUP(LOWER(TRIM(Raw_Export!C2161)),Maps!$A$2:$B$20,2,FALSE()),"UNMAPPED"))</f>
        <v>Mombasa</v>
      </c>
      <c r="D2161" s="36" t="str">
        <f aca="false">IF(Raw_Export!$A2161="","",IFERROR(VLOOKUP(LOWER(TRIM(Raw_Export!D2161)),Maps!$G$2:$I$80,2,FALSE()),"UNMAPPED"))</f>
        <v>Washing Powder 1kg</v>
      </c>
      <c r="E2161" s="36" t="str">
        <f aca="false">IF(Raw_Export!$A2161="","",IFERROR(VLOOKUP(LOWER(TRIM(Raw_Export!D2161)),Maps!$G$2:$I$80,3,FALSE()),"UNMAPPED"))</f>
        <v>Household</v>
      </c>
      <c r="F2161" s="36" t="n">
        <f aca="false">IF(Raw_Export!$A2161="","",IFERROR(VALUE(TRIM(Raw_Export!E2161)),0))</f>
        <v>1</v>
      </c>
      <c r="G2161" s="38" t="n">
        <f aca="false">IF(Raw_Export!$A2161="","",IFERROR(VALUE(SUBSTITUTE(SUBSTITUTE(UPPER(TRIM(Raw_Export!F2161)),"KES",""),",","")),0))</f>
        <v>280</v>
      </c>
      <c r="H2161" s="38" t="n">
        <f aca="false">IF(Raw_Export!$A2161="","",F2161*G2161)</f>
        <v>280</v>
      </c>
      <c r="I2161" s="36" t="str">
        <f aca="false">IF(Raw_Export!$A2161="","",IFERROR(VLOOKUP(LOWER(TRIM(Raw_Export!H2161)),Maps!$D$2:$E$12,2,FALSE()),"Other"))</f>
        <v>Cash</v>
      </c>
      <c r="J2161" s="36" t="str">
        <f aca="false">IF(Raw_Export!$A2161="","",IF(COUNTIF($A$2:A2161,A2161)&gt;1,"Duplicate",""))</f>
        <v/>
      </c>
      <c r="K2161" s="36" t="str">
        <f aca="false">IF(Raw_Export!$A2161="","",IF(J2161="Duplicate","Duplicate",IF(OR(C2161="UNMAPPED",D2161="UNMAPPED"),"Unmapped",IF(F2161=0,"Blank qty",IF(F2161&lt;0,"Return","OK")))))</f>
        <v>OK</v>
      </c>
      <c r="L2161" s="36" t="n">
        <f aca="false">IF(Raw_Export!$A2161="","",IF(OR(K2161="OK",K2161="Return"),1,0))</f>
        <v>1</v>
      </c>
      <c r="M2161" s="37" t="n">
        <f aca="false">IF(Raw_Export!$A2161="","",B2161-WEEKDAY(B2161,2)+1)</f>
        <v>46272</v>
      </c>
    </row>
    <row r="2162" customFormat="false" ht="15" hidden="false" customHeight="false" outlineLevel="0" collapsed="false">
      <c r="A2162" s="36" t="str">
        <f aca="false">IF(Raw_Export!$A2162="","",TRIM(Raw_Export!A2162))</f>
        <v>TXN-102119</v>
      </c>
      <c r="B2162" s="37" t="n">
        <f aca="false">IF(Raw_Export!$A2162="","",IF(ISNUMBER(Raw_Export!B2162),Raw_Export!B2162,IF(MID(TRIM(Raw_Export!B2162),5,1)="-",DATE(LEFT(TRIM(Raw_Export!B2162),4),MID(TRIM(Raw_Export!B2162),6,2),RIGHT(TRIM(Raw_Export!B2162),2)),DATE(RIGHT(TRIM(Raw_Export!B2162),4),MATCH(MID(TRIM(Raw_Export!B2162),4,3),{"Jan","Feb","Mar","Apr","May","Jun","Jul","Aug","Sep","Oct","Nov","Dec"},0),LEFT(TRIM(Raw_Export!B2162),2)))))</f>
        <v>46278</v>
      </c>
      <c r="C2162" s="36" t="str">
        <f aca="false">IF(Raw_Export!$A2162="","",IFERROR(VLOOKUP(LOWER(TRIM(Raw_Export!C2162)),Maps!$A$2:$B$20,2,FALSE()),"UNMAPPED"))</f>
        <v>Mombasa</v>
      </c>
      <c r="D2162" s="36" t="str">
        <f aca="false">IF(Raw_Export!$A2162="","",IFERROR(VLOOKUP(LOWER(TRIM(Raw_Export!D2162)),Maps!$G$2:$I$80,2,FALSE()),"UNMAPPED"))</f>
        <v>Yoghurt 500ml</v>
      </c>
      <c r="E2162" s="36" t="str">
        <f aca="false">IF(Raw_Export!$A2162="","",IFERROR(VLOOKUP(LOWER(TRIM(Raw_Export!D2162)),Maps!$G$2:$I$80,3,FALSE()),"UNMAPPED"))</f>
        <v>Dairy &amp; Eggs</v>
      </c>
      <c r="F2162" s="36" t="n">
        <f aca="false">IF(Raw_Export!$A2162="","",IFERROR(VALUE(TRIM(Raw_Export!E2162)),0))</f>
        <v>3</v>
      </c>
      <c r="G2162" s="38" t="n">
        <f aca="false">IF(Raw_Export!$A2162="","",IFERROR(VALUE(SUBSTITUTE(SUBSTITUTE(UPPER(TRIM(Raw_Export!F2162)),"KES",""),",","")),0))</f>
        <v>120</v>
      </c>
      <c r="H2162" s="38" t="n">
        <f aca="false">IF(Raw_Export!$A2162="","",F2162*G2162)</f>
        <v>360</v>
      </c>
      <c r="I2162" s="36" t="str">
        <f aca="false">IF(Raw_Export!$A2162="","",IFERROR(VLOOKUP(LOWER(TRIM(Raw_Export!H2162)),Maps!$D$2:$E$12,2,FALSE()),"Other"))</f>
        <v>Card</v>
      </c>
      <c r="J2162" s="36" t="str">
        <f aca="false">IF(Raw_Export!$A2162="","",IF(COUNTIF($A$2:A2162,A2162)&gt;1,"Duplicate",""))</f>
        <v/>
      </c>
      <c r="K2162" s="36" t="str">
        <f aca="false">IF(Raw_Export!$A2162="","",IF(J2162="Duplicate","Duplicate",IF(OR(C2162="UNMAPPED",D2162="UNMAPPED"),"Unmapped",IF(F2162=0,"Blank qty",IF(F2162&lt;0,"Return","OK")))))</f>
        <v>OK</v>
      </c>
      <c r="L2162" s="36" t="n">
        <f aca="false">IF(Raw_Export!$A2162="","",IF(OR(K2162="OK",K2162="Return"),1,0))</f>
        <v>1</v>
      </c>
      <c r="M2162" s="37" t="n">
        <f aca="false">IF(Raw_Export!$A2162="","",B2162-WEEKDAY(B2162,2)+1)</f>
        <v>46272</v>
      </c>
    </row>
    <row r="2163" customFormat="false" ht="15" hidden="false" customHeight="false" outlineLevel="0" collapsed="false">
      <c r="A2163" s="36" t="str">
        <f aca="false">IF(Raw_Export!$A2163="","",TRIM(Raw_Export!A2163))</f>
        <v>TXN-102120</v>
      </c>
      <c r="B2163" s="37" t="n">
        <f aca="false">IF(Raw_Export!$A2163="","",IF(ISNUMBER(Raw_Export!B2163),Raw_Export!B2163,IF(MID(TRIM(Raw_Export!B2163),5,1)="-",DATE(LEFT(TRIM(Raw_Export!B2163),4),MID(TRIM(Raw_Export!B2163),6,2),RIGHT(TRIM(Raw_Export!B2163),2)),DATE(RIGHT(TRIM(Raw_Export!B2163),4),MATCH(MID(TRIM(Raw_Export!B2163),4,3),{"Jan","Feb","Mar","Apr","May","Jun","Jul","Aug","Sep","Oct","Nov","Dec"},0),LEFT(TRIM(Raw_Export!B2163),2)))))</f>
        <v>46278</v>
      </c>
      <c r="C2163" s="36" t="str">
        <f aca="false">IF(Raw_Export!$A2163="","",IFERROR(VLOOKUP(LOWER(TRIM(Raw_Export!C2163)),Maps!$A$2:$B$20,2,FALSE()),"UNMAPPED"))</f>
        <v>Kisumu</v>
      </c>
      <c r="D2163" s="36" t="str">
        <f aca="false">IF(Raw_Export!$A2163="","",IFERROR(VLOOKUP(LOWER(TRIM(Raw_Export!D2163)),Maps!$G$2:$I$80,2,FALSE()),"UNMAPPED"))</f>
        <v>Bath Soap 175g</v>
      </c>
      <c r="E2163" s="36" t="str">
        <f aca="false">IF(Raw_Export!$A2163="","",IFERROR(VLOOKUP(LOWER(TRIM(Raw_Export!D2163)),Maps!$G$2:$I$80,3,FALSE()),"UNMAPPED"))</f>
        <v>Personal Care</v>
      </c>
      <c r="F2163" s="36" t="n">
        <f aca="false">IF(Raw_Export!$A2163="","",IFERROR(VALUE(TRIM(Raw_Export!E2163)),0))</f>
        <v>1</v>
      </c>
      <c r="G2163" s="38" t="n">
        <f aca="false">IF(Raw_Export!$A2163="","",IFERROR(VALUE(SUBSTITUTE(SUBSTITUTE(UPPER(TRIM(Raw_Export!F2163)),"KES",""),",","")),0))</f>
        <v>85</v>
      </c>
      <c r="H2163" s="38" t="n">
        <f aca="false">IF(Raw_Export!$A2163="","",F2163*G2163)</f>
        <v>85</v>
      </c>
      <c r="I2163" s="36" t="str">
        <f aca="false">IF(Raw_Export!$A2163="","",IFERROR(VLOOKUP(LOWER(TRIM(Raw_Export!H2163)),Maps!$D$2:$E$12,2,FALSE()),"Other"))</f>
        <v>Cash</v>
      </c>
      <c r="J2163" s="36" t="str">
        <f aca="false">IF(Raw_Export!$A2163="","",IF(COUNTIF($A$2:A2163,A2163)&gt;1,"Duplicate",""))</f>
        <v/>
      </c>
      <c r="K2163" s="36" t="str">
        <f aca="false">IF(Raw_Export!$A2163="","",IF(J2163="Duplicate","Duplicate",IF(OR(C2163="UNMAPPED",D2163="UNMAPPED"),"Unmapped",IF(F2163=0,"Blank qty",IF(F2163&lt;0,"Return","OK")))))</f>
        <v>OK</v>
      </c>
      <c r="L2163" s="36" t="n">
        <f aca="false">IF(Raw_Export!$A2163="","",IF(OR(K2163="OK",K2163="Return"),1,0))</f>
        <v>1</v>
      </c>
      <c r="M2163" s="37" t="n">
        <f aca="false">IF(Raw_Export!$A2163="","",B2163-WEEKDAY(B2163,2)+1)</f>
        <v>46272</v>
      </c>
    </row>
    <row r="2164" customFormat="false" ht="15" hidden="false" customHeight="false" outlineLevel="0" collapsed="false">
      <c r="A2164" s="36" t="str">
        <f aca="false">IF(Raw_Export!$A2164="","",TRIM(Raw_Export!A2164))</f>
        <v>TXN-102121</v>
      </c>
      <c r="B2164" s="37" t="n">
        <f aca="false">IF(Raw_Export!$A2164="","",IF(ISNUMBER(Raw_Export!B2164),Raw_Export!B2164,IF(MID(TRIM(Raw_Export!B2164),5,1)="-",DATE(LEFT(TRIM(Raw_Export!B2164),4),MID(TRIM(Raw_Export!B2164),6,2),RIGHT(TRIM(Raw_Export!B2164),2)),DATE(RIGHT(TRIM(Raw_Export!B2164),4),MATCH(MID(TRIM(Raw_Export!B2164),4,3),{"Jan","Feb","Mar","Apr","May","Jun","Jul","Aug","Sep","Oct","Nov","Dec"},0),LEFT(TRIM(Raw_Export!B2164),2)))))</f>
        <v>46278</v>
      </c>
      <c r="C2164" s="36" t="str">
        <f aca="false">IF(Raw_Export!$A2164="","",IFERROR(VLOOKUP(LOWER(TRIM(Raw_Export!C2164)),Maps!$A$2:$B$20,2,FALSE()),"UNMAPPED"))</f>
        <v>Kisumu</v>
      </c>
      <c r="D2164" s="36" t="str">
        <f aca="false">IF(Raw_Export!$A2164="","",IFERROR(VLOOKUP(LOWER(TRIM(Raw_Export!D2164)),Maps!$G$2:$I$80,2,FALSE()),"UNMAPPED"))</f>
        <v>Sugar 2kg</v>
      </c>
      <c r="E2164" s="36" t="str">
        <f aca="false">IF(Raw_Export!$A2164="","",IFERROR(VLOOKUP(LOWER(TRIM(Raw_Export!D2164)),Maps!$G$2:$I$80,3,FALSE()),"UNMAPPED"))</f>
        <v>Staples</v>
      </c>
      <c r="F2164" s="36" t="n">
        <f aca="false">IF(Raw_Export!$A2164="","",IFERROR(VALUE(TRIM(Raw_Export!E2164)),0))</f>
        <v>2</v>
      </c>
      <c r="G2164" s="38" t="n">
        <f aca="false">IF(Raw_Export!$A2164="","",IFERROR(VALUE(SUBSTITUTE(SUBSTITUTE(UPPER(TRIM(Raw_Export!F2164)),"KES",""),",","")),0))</f>
        <v>330</v>
      </c>
      <c r="H2164" s="38" t="n">
        <f aca="false">IF(Raw_Export!$A2164="","",F2164*G2164)</f>
        <v>660</v>
      </c>
      <c r="I2164" s="36" t="str">
        <f aca="false">IF(Raw_Export!$A2164="","",IFERROR(VLOOKUP(LOWER(TRIM(Raw_Export!H2164)),Maps!$D$2:$E$12,2,FALSE()),"Other"))</f>
        <v>Cash</v>
      </c>
      <c r="J2164" s="36" t="str">
        <f aca="false">IF(Raw_Export!$A2164="","",IF(COUNTIF($A$2:A2164,A2164)&gt;1,"Duplicate",""))</f>
        <v/>
      </c>
      <c r="K2164" s="36" t="str">
        <f aca="false">IF(Raw_Export!$A2164="","",IF(J2164="Duplicate","Duplicate",IF(OR(C2164="UNMAPPED",D2164="UNMAPPED"),"Unmapped",IF(F2164=0,"Blank qty",IF(F2164&lt;0,"Return","OK")))))</f>
        <v>OK</v>
      </c>
      <c r="L2164" s="36" t="n">
        <f aca="false">IF(Raw_Export!$A2164="","",IF(OR(K2164="OK",K2164="Return"),1,0))</f>
        <v>1</v>
      </c>
      <c r="M2164" s="37" t="n">
        <f aca="false">IF(Raw_Export!$A2164="","",B2164-WEEKDAY(B2164,2)+1)</f>
        <v>46272</v>
      </c>
    </row>
    <row r="2165" customFormat="false" ht="15" hidden="false" customHeight="false" outlineLevel="0" collapsed="false">
      <c r="A2165" s="36" t="str">
        <f aca="false">IF(Raw_Export!$A2165="","",TRIM(Raw_Export!A2165))</f>
        <v>TXN-102122</v>
      </c>
      <c r="B2165" s="37" t="n">
        <f aca="false">IF(Raw_Export!$A2165="","",IF(ISNUMBER(Raw_Export!B2165),Raw_Export!B2165,IF(MID(TRIM(Raw_Export!B2165),5,1)="-",DATE(LEFT(TRIM(Raw_Export!B2165),4),MID(TRIM(Raw_Export!B2165),6,2),RIGHT(TRIM(Raw_Export!B2165),2)),DATE(RIGHT(TRIM(Raw_Export!B2165),4),MATCH(MID(TRIM(Raw_Export!B2165),4,3),{"Jan","Feb","Mar","Apr","May","Jun","Jul","Aug","Sep","Oct","Nov","Dec"},0),LEFT(TRIM(Raw_Export!B2165),2)))))</f>
        <v>46278</v>
      </c>
      <c r="C2165" s="36" t="str">
        <f aca="false">IF(Raw_Export!$A2165="","",IFERROR(VLOOKUP(LOWER(TRIM(Raw_Export!C2165)),Maps!$A$2:$B$20,2,FALSE()),"UNMAPPED"))</f>
        <v>Kisumu</v>
      </c>
      <c r="D2165" s="36" t="str">
        <f aca="false">IF(Raw_Export!$A2165="","",IFERROR(VLOOKUP(LOWER(TRIM(Raw_Export!D2165)),Maps!$G$2:$I$80,2,FALSE()),"UNMAPPED"))</f>
        <v>Cheddar 200g</v>
      </c>
      <c r="E2165" s="36" t="str">
        <f aca="false">IF(Raw_Export!$A2165="","",IFERROR(VLOOKUP(LOWER(TRIM(Raw_Export!D2165)),Maps!$G$2:$I$80,3,FALSE()),"UNMAPPED"))</f>
        <v>Dairy &amp; Eggs</v>
      </c>
      <c r="F2165" s="36" t="n">
        <f aca="false">IF(Raw_Export!$A2165="","",IFERROR(VALUE(TRIM(Raw_Export!E2165)),0))</f>
        <v>1</v>
      </c>
      <c r="G2165" s="38" t="n">
        <f aca="false">IF(Raw_Export!$A2165="","",IFERROR(VALUE(SUBSTITUTE(SUBSTITUTE(UPPER(TRIM(Raw_Export!F2165)),"KES",""),",","")),0))</f>
        <v>380</v>
      </c>
      <c r="H2165" s="38" t="n">
        <f aca="false">IF(Raw_Export!$A2165="","",F2165*G2165)</f>
        <v>380</v>
      </c>
      <c r="I2165" s="36" t="str">
        <f aca="false">IF(Raw_Export!$A2165="","",IFERROR(VLOOKUP(LOWER(TRIM(Raw_Export!H2165)),Maps!$D$2:$E$12,2,FALSE()),"Other"))</f>
        <v>Cash</v>
      </c>
      <c r="J2165" s="36" t="str">
        <f aca="false">IF(Raw_Export!$A2165="","",IF(COUNTIF($A$2:A2165,A2165)&gt;1,"Duplicate",""))</f>
        <v>Duplicate</v>
      </c>
      <c r="K2165" s="36" t="str">
        <f aca="false">IF(Raw_Export!$A2165="","",IF(J2165="Duplicate","Duplicate",IF(OR(C2165="UNMAPPED",D2165="UNMAPPED"),"Unmapped",IF(F2165=0,"Blank qty",IF(F2165&lt;0,"Return","OK")))))</f>
        <v>Duplicate</v>
      </c>
      <c r="L2165" s="36" t="n">
        <f aca="false">IF(Raw_Export!$A2165="","",IF(OR(K2165="OK",K2165="Return"),1,0))</f>
        <v>0</v>
      </c>
      <c r="M2165" s="37" t="n">
        <f aca="false">IF(Raw_Export!$A2165="","",B2165-WEEKDAY(B2165,2)+1)</f>
        <v>46272</v>
      </c>
    </row>
    <row r="2166" customFormat="false" ht="15" hidden="false" customHeight="false" outlineLevel="0" collapsed="false">
      <c r="A2166" s="36" t="str">
        <f aca="false">IF(Raw_Export!$A2166="","",TRIM(Raw_Export!A2166))</f>
        <v>TXN-102123</v>
      </c>
      <c r="B2166" s="37" t="n">
        <f aca="false">IF(Raw_Export!$A2166="","",IF(ISNUMBER(Raw_Export!B2166),Raw_Export!B2166,IF(MID(TRIM(Raw_Export!B2166),5,1)="-",DATE(LEFT(TRIM(Raw_Export!B2166),4),MID(TRIM(Raw_Export!B2166),6,2),RIGHT(TRIM(Raw_Export!B2166),2)),DATE(RIGHT(TRIM(Raw_Export!B2166),4),MATCH(MID(TRIM(Raw_Export!B2166),4,3),{"Jan","Feb","Mar","Apr","May","Jun","Jul","Aug","Sep","Oct","Nov","Dec"},0),LEFT(TRIM(Raw_Export!B2166),2)))))</f>
        <v>46278</v>
      </c>
      <c r="C2166" s="36" t="str">
        <f aca="false">IF(Raw_Export!$A2166="","",IFERROR(VLOOKUP(LOWER(TRIM(Raw_Export!C2166)),Maps!$A$2:$B$20,2,FALSE()),"UNMAPPED"))</f>
        <v>Kisumu</v>
      </c>
      <c r="D2166" s="36" t="str">
        <f aca="false">IF(Raw_Export!$A2166="","",IFERROR(VLOOKUP(LOWER(TRIM(Raw_Export!D2166)),Maps!$G$2:$I$80,2,FALSE()),"UNMAPPED"))</f>
        <v>Bottled Water 1.5L</v>
      </c>
      <c r="E2166" s="36" t="str">
        <f aca="false">IF(Raw_Export!$A2166="","",IFERROR(VLOOKUP(LOWER(TRIM(Raw_Export!D2166)),Maps!$G$2:$I$80,3,FALSE()),"UNMAPPED"))</f>
        <v>Beverages</v>
      </c>
      <c r="F2166" s="36" t="n">
        <f aca="false">IF(Raw_Export!$A2166="","",IFERROR(VALUE(TRIM(Raw_Export!E2166)),0))</f>
        <v>1</v>
      </c>
      <c r="G2166" s="38" t="n">
        <f aca="false">IF(Raw_Export!$A2166="","",IFERROR(VALUE(SUBSTITUTE(SUBSTITUTE(UPPER(TRIM(Raw_Export!F2166)),"KES",""),",","")),0))</f>
        <v>90</v>
      </c>
      <c r="H2166" s="38" t="n">
        <f aca="false">IF(Raw_Export!$A2166="","",F2166*G2166)</f>
        <v>90</v>
      </c>
      <c r="I2166" s="36" t="str">
        <f aca="false">IF(Raw_Export!$A2166="","",IFERROR(VLOOKUP(LOWER(TRIM(Raw_Export!H2166)),Maps!$D$2:$E$12,2,FALSE()),"Other"))</f>
        <v>M-Pesa</v>
      </c>
      <c r="J2166" s="36" t="str">
        <f aca="false">IF(Raw_Export!$A2166="","",IF(COUNTIF($A$2:A2166,A2166)&gt;1,"Duplicate",""))</f>
        <v/>
      </c>
      <c r="K2166" s="36" t="str">
        <f aca="false">IF(Raw_Export!$A2166="","",IF(J2166="Duplicate","Duplicate",IF(OR(C2166="UNMAPPED",D2166="UNMAPPED"),"Unmapped",IF(F2166=0,"Blank qty",IF(F2166&lt;0,"Return","OK")))))</f>
        <v>OK</v>
      </c>
      <c r="L2166" s="36" t="n">
        <f aca="false">IF(Raw_Export!$A2166="","",IF(OR(K2166="OK",K2166="Return"),1,0))</f>
        <v>1</v>
      </c>
      <c r="M2166" s="37" t="n">
        <f aca="false">IF(Raw_Export!$A2166="","",B2166-WEEKDAY(B2166,2)+1)</f>
        <v>46272</v>
      </c>
    </row>
    <row r="2167" customFormat="false" ht="15" hidden="false" customHeight="false" outlineLevel="0" collapsed="false">
      <c r="A2167" s="36" t="str">
        <f aca="false">IF(Raw_Export!$A2167="","",TRIM(Raw_Export!A2167))</f>
        <v>TXN-102124</v>
      </c>
      <c r="B2167" s="37" t="n">
        <f aca="false">IF(Raw_Export!$A2167="","",IF(ISNUMBER(Raw_Export!B2167),Raw_Export!B2167,IF(MID(TRIM(Raw_Export!B2167),5,1)="-",DATE(LEFT(TRIM(Raw_Export!B2167),4),MID(TRIM(Raw_Export!B2167),6,2),RIGHT(TRIM(Raw_Export!B2167),2)),DATE(RIGHT(TRIM(Raw_Export!B2167),4),MATCH(MID(TRIM(Raw_Export!B2167),4,3),{"Jan","Feb","Mar","Apr","May","Jun","Jul","Aug","Sep","Oct","Nov","Dec"},0),LEFT(TRIM(Raw_Export!B2167),2)))))</f>
        <v>46278</v>
      </c>
      <c r="C2167" s="36" t="str">
        <f aca="false">IF(Raw_Export!$A2167="","",IFERROR(VLOOKUP(LOWER(TRIM(Raw_Export!C2167)),Maps!$A$2:$B$20,2,FALSE()),"UNMAPPED"))</f>
        <v>Kisumu</v>
      </c>
      <c r="D2167" s="36" t="str">
        <f aca="false">IF(Raw_Export!$A2167="","",IFERROR(VLOOKUP(LOWER(TRIM(Raw_Export!D2167)),Maps!$G$2:$I$80,2,FALSE()),"UNMAPPED"))</f>
        <v>Rice Pishori 2kg</v>
      </c>
      <c r="E2167" s="36" t="str">
        <f aca="false">IF(Raw_Export!$A2167="","",IFERROR(VLOOKUP(LOWER(TRIM(Raw_Export!D2167)),Maps!$G$2:$I$80,3,FALSE()),"UNMAPPED"))</f>
        <v>Staples</v>
      </c>
      <c r="F2167" s="36" t="n">
        <f aca="false">IF(Raw_Export!$A2167="","",IFERROR(VALUE(TRIM(Raw_Export!E2167)),0))</f>
        <v>1</v>
      </c>
      <c r="G2167" s="38" t="n">
        <f aca="false">IF(Raw_Export!$A2167="","",IFERROR(VALUE(SUBSTITUTE(SUBSTITUTE(UPPER(TRIM(Raw_Export!F2167)),"KES",""),",","")),0))</f>
        <v>378</v>
      </c>
      <c r="H2167" s="38" t="n">
        <f aca="false">IF(Raw_Export!$A2167="","",F2167*G2167)</f>
        <v>378</v>
      </c>
      <c r="I2167" s="36" t="str">
        <f aca="false">IF(Raw_Export!$A2167="","",IFERROR(VLOOKUP(LOWER(TRIM(Raw_Export!H2167)),Maps!$D$2:$E$12,2,FALSE()),"Other"))</f>
        <v>M-Pesa</v>
      </c>
      <c r="J2167" s="36" t="str">
        <f aca="false">IF(Raw_Export!$A2167="","",IF(COUNTIF($A$2:A2167,A2167)&gt;1,"Duplicate",""))</f>
        <v/>
      </c>
      <c r="K2167" s="36" t="str">
        <f aca="false">IF(Raw_Export!$A2167="","",IF(J2167="Duplicate","Duplicate",IF(OR(C2167="UNMAPPED",D2167="UNMAPPED"),"Unmapped",IF(F2167=0,"Blank qty",IF(F2167&lt;0,"Return","OK")))))</f>
        <v>OK</v>
      </c>
      <c r="L2167" s="36" t="n">
        <f aca="false">IF(Raw_Export!$A2167="","",IF(OR(K2167="OK",K2167="Return"),1,0))</f>
        <v>1</v>
      </c>
      <c r="M2167" s="37" t="n">
        <f aca="false">IF(Raw_Export!$A2167="","",B2167-WEEKDAY(B2167,2)+1)</f>
        <v>46272</v>
      </c>
    </row>
    <row r="2168" customFormat="false" ht="15" hidden="false" customHeight="false" outlineLevel="0" collapsed="false">
      <c r="A2168" s="36" t="str">
        <f aca="false">IF(Raw_Export!$A2168="","",TRIM(Raw_Export!A2168))</f>
        <v>TXN-102125</v>
      </c>
      <c r="B2168" s="37" t="n">
        <f aca="false">IF(Raw_Export!$A2168="","",IF(ISNUMBER(Raw_Export!B2168),Raw_Export!B2168,IF(MID(TRIM(Raw_Export!B2168),5,1)="-",DATE(LEFT(TRIM(Raw_Export!B2168),4),MID(TRIM(Raw_Export!B2168),6,2),RIGHT(TRIM(Raw_Export!B2168),2)),DATE(RIGHT(TRIM(Raw_Export!B2168),4),MATCH(MID(TRIM(Raw_Export!B2168),4,3),{"Jan","Feb","Mar","Apr","May","Jun","Jul","Aug","Sep","Oct","Nov","Dec"},0),LEFT(TRIM(Raw_Export!B2168),2)))))</f>
        <v>46278</v>
      </c>
      <c r="C2168" s="36" t="str">
        <f aca="false">IF(Raw_Export!$A2168="","",IFERROR(VLOOKUP(LOWER(TRIM(Raw_Export!C2168)),Maps!$A$2:$B$20,2,FALSE()),"UNMAPPED"))</f>
        <v>Kisumu</v>
      </c>
      <c r="D2168" s="36" t="str">
        <f aca="false">IF(Raw_Export!$A2168="","",IFERROR(VLOOKUP(LOWER(TRIM(Raw_Export!D2168)),Maps!$G$2:$I$80,2,FALSE()),"UNMAPPED"))</f>
        <v>Bath Soap 175g</v>
      </c>
      <c r="E2168" s="36" t="str">
        <f aca="false">IF(Raw_Export!$A2168="","",IFERROR(VLOOKUP(LOWER(TRIM(Raw_Export!D2168)),Maps!$G$2:$I$80,3,FALSE()),"UNMAPPED"))</f>
        <v>Personal Care</v>
      </c>
      <c r="F2168" s="36" t="n">
        <f aca="false">IF(Raw_Export!$A2168="","",IFERROR(VALUE(TRIM(Raw_Export!E2168)),0))</f>
        <v>2</v>
      </c>
      <c r="G2168" s="38" t="n">
        <f aca="false">IF(Raw_Export!$A2168="","",IFERROR(VALUE(SUBSTITUTE(SUBSTITUTE(UPPER(TRIM(Raw_Export!F2168)),"KES",""),",","")),0))</f>
        <v>85</v>
      </c>
      <c r="H2168" s="38" t="n">
        <f aca="false">IF(Raw_Export!$A2168="","",F2168*G2168)</f>
        <v>170</v>
      </c>
      <c r="I2168" s="36" t="str">
        <f aca="false">IF(Raw_Export!$A2168="","",IFERROR(VLOOKUP(LOWER(TRIM(Raw_Export!H2168)),Maps!$D$2:$E$12,2,FALSE()),"Other"))</f>
        <v>Cash</v>
      </c>
      <c r="J2168" s="36" t="str">
        <f aca="false">IF(Raw_Export!$A2168="","",IF(COUNTIF($A$2:A2168,A2168)&gt;1,"Duplicate",""))</f>
        <v/>
      </c>
      <c r="K2168" s="36" t="str">
        <f aca="false">IF(Raw_Export!$A2168="","",IF(J2168="Duplicate","Duplicate",IF(OR(C2168="UNMAPPED",D2168="UNMAPPED"),"Unmapped",IF(F2168=0,"Blank qty",IF(F2168&lt;0,"Return","OK")))))</f>
        <v>OK</v>
      </c>
      <c r="L2168" s="36" t="n">
        <f aca="false">IF(Raw_Export!$A2168="","",IF(OR(K2168="OK",K2168="Return"),1,0))</f>
        <v>1</v>
      </c>
      <c r="M2168" s="37" t="n">
        <f aca="false">IF(Raw_Export!$A2168="","",B2168-WEEKDAY(B2168,2)+1)</f>
        <v>46272</v>
      </c>
    </row>
    <row r="2169" customFormat="false" ht="15" hidden="false" customHeight="false" outlineLevel="0" collapsed="false">
      <c r="A2169" s="36" t="str">
        <f aca="false">IF(Raw_Export!$A2169="","",TRIM(Raw_Export!A2169))</f>
        <v>TXN-102126</v>
      </c>
      <c r="B2169" s="37" t="n">
        <f aca="false">IF(Raw_Export!$A2169="","",IF(ISNUMBER(Raw_Export!B2169),Raw_Export!B2169,IF(MID(TRIM(Raw_Export!B2169),5,1)="-",DATE(LEFT(TRIM(Raw_Export!B2169),4),MID(TRIM(Raw_Export!B2169),6,2),RIGHT(TRIM(Raw_Export!B2169),2)),DATE(RIGHT(TRIM(Raw_Export!B2169),4),MATCH(MID(TRIM(Raw_Export!B2169),4,3),{"Jan","Feb","Mar","Apr","May","Jun","Jul","Aug","Sep","Oct","Nov","Dec"},0),LEFT(TRIM(Raw_Export!B2169),2)))))</f>
        <v>46278</v>
      </c>
      <c r="C2169" s="36" t="str">
        <f aca="false">IF(Raw_Export!$A2169="","",IFERROR(VLOOKUP(LOWER(TRIM(Raw_Export!C2169)),Maps!$A$2:$B$20,2,FALSE()),"UNMAPPED"))</f>
        <v>Kisumu</v>
      </c>
      <c r="D2169" s="36" t="str">
        <f aca="false">IF(Raw_Export!$A2169="","",IFERROR(VLOOKUP(LOWER(TRIM(Raw_Export!D2169)),Maps!$G$2:$I$80,2,FALSE()),"UNMAPPED"))</f>
        <v>Matches 10pk</v>
      </c>
      <c r="E2169" s="36" t="str">
        <f aca="false">IF(Raw_Export!$A2169="","",IFERROR(VLOOKUP(LOWER(TRIM(Raw_Export!D2169)),Maps!$G$2:$I$80,3,FALSE()),"UNMAPPED"))</f>
        <v>Household</v>
      </c>
      <c r="F2169" s="36" t="n">
        <f aca="false">IF(Raw_Export!$A2169="","",IFERROR(VALUE(TRIM(Raw_Export!E2169)),0))</f>
        <v>2</v>
      </c>
      <c r="G2169" s="38" t="n">
        <f aca="false">IF(Raw_Export!$A2169="","",IFERROR(VALUE(SUBSTITUTE(SUBSTITUTE(UPPER(TRIM(Raw_Export!F2169)),"KES",""),",","")),0))</f>
        <v>50</v>
      </c>
      <c r="H2169" s="38" t="n">
        <f aca="false">IF(Raw_Export!$A2169="","",F2169*G2169)</f>
        <v>100</v>
      </c>
      <c r="I2169" s="36" t="str">
        <f aca="false">IF(Raw_Export!$A2169="","",IFERROR(VLOOKUP(LOWER(TRIM(Raw_Export!H2169)),Maps!$D$2:$E$12,2,FALSE()),"Other"))</f>
        <v>M-Pesa</v>
      </c>
      <c r="J2169" s="36" t="str">
        <f aca="false">IF(Raw_Export!$A2169="","",IF(COUNTIF($A$2:A2169,A2169)&gt;1,"Duplicate",""))</f>
        <v/>
      </c>
      <c r="K2169" s="36" t="str">
        <f aca="false">IF(Raw_Export!$A2169="","",IF(J2169="Duplicate","Duplicate",IF(OR(C2169="UNMAPPED",D2169="UNMAPPED"),"Unmapped",IF(F2169=0,"Blank qty",IF(F2169&lt;0,"Return","OK")))))</f>
        <v>OK</v>
      </c>
      <c r="L2169" s="36" t="n">
        <f aca="false">IF(Raw_Export!$A2169="","",IF(OR(K2169="OK",K2169="Return"),1,0))</f>
        <v>1</v>
      </c>
      <c r="M2169" s="37" t="n">
        <f aca="false">IF(Raw_Export!$A2169="","",B2169-WEEKDAY(B2169,2)+1)</f>
        <v>46272</v>
      </c>
    </row>
    <row r="2170" customFormat="false" ht="15" hidden="false" customHeight="false" outlineLevel="0" collapsed="false">
      <c r="A2170" s="36" t="str">
        <f aca="false">IF(Raw_Export!$A2170="","",TRIM(Raw_Export!A2170))</f>
        <v>TXN-102127</v>
      </c>
      <c r="B2170" s="37" t="n">
        <f aca="false">IF(Raw_Export!$A2170="","",IF(ISNUMBER(Raw_Export!B2170),Raw_Export!B2170,IF(MID(TRIM(Raw_Export!B2170),5,1)="-",DATE(LEFT(TRIM(Raw_Export!B2170),4),MID(TRIM(Raw_Export!B2170),6,2),RIGHT(TRIM(Raw_Export!B2170),2)),DATE(RIGHT(TRIM(Raw_Export!B2170),4),MATCH(MID(TRIM(Raw_Export!B2170),4,3),{"Jan","Feb","Mar","Apr","May","Jun","Jul","Aug","Sep","Oct","Nov","Dec"},0),LEFT(TRIM(Raw_Export!B2170),2)))))</f>
        <v>46278</v>
      </c>
      <c r="C2170" s="36" t="str">
        <f aca="false">IF(Raw_Export!$A2170="","",IFERROR(VLOOKUP(LOWER(TRIM(Raw_Export!C2170)),Maps!$A$2:$B$20,2,FALSE()),"UNMAPPED"))</f>
        <v>Kisumu</v>
      </c>
      <c r="D2170" s="36" t="str">
        <f aca="false">IF(Raw_Export!$A2170="","",IFERROR(VLOOKUP(LOWER(TRIM(Raw_Export!D2170)),Maps!$G$2:$I$80,2,FALSE()),"UNMAPPED"))</f>
        <v>Unga Pembe 2kg</v>
      </c>
      <c r="E2170" s="36" t="str">
        <f aca="false">IF(Raw_Export!$A2170="","",IFERROR(VLOOKUP(LOWER(TRIM(Raw_Export!D2170)),Maps!$G$2:$I$80,3,FALSE()),"UNMAPPED"))</f>
        <v>Staples</v>
      </c>
      <c r="F2170" s="36" t="n">
        <f aca="false">IF(Raw_Export!$A2170="","",IFERROR(VALUE(TRIM(Raw_Export!E2170)),0))</f>
        <v>6</v>
      </c>
      <c r="G2170" s="38" t="n">
        <f aca="false">IF(Raw_Export!$A2170="","",IFERROR(VALUE(SUBSTITUTE(SUBSTITUTE(UPPER(TRIM(Raw_Export!F2170)),"KES",""),",","")),0))</f>
        <v>190</v>
      </c>
      <c r="H2170" s="38" t="n">
        <f aca="false">IF(Raw_Export!$A2170="","",F2170*G2170)</f>
        <v>1140</v>
      </c>
      <c r="I2170" s="36" t="str">
        <f aca="false">IF(Raw_Export!$A2170="","",IFERROR(VLOOKUP(LOWER(TRIM(Raw_Export!H2170)),Maps!$D$2:$E$12,2,FALSE()),"Other"))</f>
        <v>Cash</v>
      </c>
      <c r="J2170" s="36" t="str">
        <f aca="false">IF(Raw_Export!$A2170="","",IF(COUNTIF($A$2:A2170,A2170)&gt;1,"Duplicate",""))</f>
        <v/>
      </c>
      <c r="K2170" s="36" t="str">
        <f aca="false">IF(Raw_Export!$A2170="","",IF(J2170="Duplicate","Duplicate",IF(OR(C2170="UNMAPPED",D2170="UNMAPPED"),"Unmapped",IF(F2170=0,"Blank qty",IF(F2170&lt;0,"Return","OK")))))</f>
        <v>OK</v>
      </c>
      <c r="L2170" s="36" t="n">
        <f aca="false">IF(Raw_Export!$A2170="","",IF(OR(K2170="OK",K2170="Return"),1,0))</f>
        <v>1</v>
      </c>
      <c r="M2170" s="37" t="n">
        <f aca="false">IF(Raw_Export!$A2170="","",B2170-WEEKDAY(B2170,2)+1)</f>
        <v>46272</v>
      </c>
    </row>
    <row r="2171" customFormat="false" ht="15" hidden="false" customHeight="false" outlineLevel="0" collapsed="false">
      <c r="A2171" s="36" t="str">
        <f aca="false">IF(Raw_Export!$A2171="","",TRIM(Raw_Export!A2171))</f>
        <v>TXN-102128</v>
      </c>
      <c r="B2171" s="37" t="n">
        <f aca="false">IF(Raw_Export!$A2171="","",IF(ISNUMBER(Raw_Export!B2171),Raw_Export!B2171,IF(MID(TRIM(Raw_Export!B2171),5,1)="-",DATE(LEFT(TRIM(Raw_Export!B2171),4),MID(TRIM(Raw_Export!B2171),6,2),RIGHT(TRIM(Raw_Export!B2171),2)),DATE(RIGHT(TRIM(Raw_Export!B2171),4),MATCH(MID(TRIM(Raw_Export!B2171),4,3),{"Jan","Feb","Mar","Apr","May","Jun","Jul","Aug","Sep","Oct","Nov","Dec"},0),LEFT(TRIM(Raw_Export!B2171),2)))))</f>
        <v>46278</v>
      </c>
      <c r="C2171" s="36" t="str">
        <f aca="false">IF(Raw_Export!$A2171="","",IFERROR(VLOOKUP(LOWER(TRIM(Raw_Export!C2171)),Maps!$A$2:$B$20,2,FALSE()),"UNMAPPED"))</f>
        <v>Kisumu</v>
      </c>
      <c r="D2171" s="36" t="str">
        <f aca="false">IF(Raw_Export!$A2171="","",IFERROR(VLOOKUP(LOWER(TRIM(Raw_Export!D2171)),Maps!$G$2:$I$80,2,FALSE()),"UNMAPPED"))</f>
        <v>Chocolate Bar 90g</v>
      </c>
      <c r="E2171" s="36" t="str">
        <f aca="false">IF(Raw_Export!$A2171="","",IFERROR(VLOOKUP(LOWER(TRIM(Raw_Export!D2171)),Maps!$G$2:$I$80,3,FALSE()),"UNMAPPED"))</f>
        <v>Snacks</v>
      </c>
      <c r="F2171" s="36" t="n">
        <f aca="false">IF(Raw_Export!$A2171="","",IFERROR(VALUE(TRIM(Raw_Export!E2171)),0))</f>
        <v>4</v>
      </c>
      <c r="G2171" s="38" t="n">
        <f aca="false">IF(Raw_Export!$A2171="","",IFERROR(VALUE(SUBSTITUTE(SUBSTITUTE(UPPER(TRIM(Raw_Export!F2171)),"KES",""),",","")),0))</f>
        <v>140</v>
      </c>
      <c r="H2171" s="38" t="n">
        <f aca="false">IF(Raw_Export!$A2171="","",F2171*G2171)</f>
        <v>560</v>
      </c>
      <c r="I2171" s="36" t="str">
        <f aca="false">IF(Raw_Export!$A2171="","",IFERROR(VLOOKUP(LOWER(TRIM(Raw_Export!H2171)),Maps!$D$2:$E$12,2,FALSE()),"Other"))</f>
        <v>M-Pesa</v>
      </c>
      <c r="J2171" s="36" t="str">
        <f aca="false">IF(Raw_Export!$A2171="","",IF(COUNTIF($A$2:A2171,A2171)&gt;1,"Duplicate",""))</f>
        <v/>
      </c>
      <c r="K2171" s="36" t="str">
        <f aca="false">IF(Raw_Export!$A2171="","",IF(J2171="Duplicate","Duplicate",IF(OR(C2171="UNMAPPED",D2171="UNMAPPED"),"Unmapped",IF(F2171=0,"Blank qty",IF(F2171&lt;0,"Return","OK")))))</f>
        <v>OK</v>
      </c>
      <c r="L2171" s="36" t="n">
        <f aca="false">IF(Raw_Export!$A2171="","",IF(OR(K2171="OK",K2171="Return"),1,0))</f>
        <v>1</v>
      </c>
      <c r="M2171" s="37" t="n">
        <f aca="false">IF(Raw_Export!$A2171="","",B2171-WEEKDAY(B2171,2)+1)</f>
        <v>46272</v>
      </c>
    </row>
    <row r="2172" customFormat="false" ht="15" hidden="false" customHeight="false" outlineLevel="0" collapsed="false">
      <c r="A2172" s="36" t="str">
        <f aca="false">IF(Raw_Export!$A2172="","",TRIM(Raw_Export!A2172))</f>
        <v>TXN-102129</v>
      </c>
      <c r="B2172" s="37" t="n">
        <f aca="false">IF(Raw_Export!$A2172="","",IF(ISNUMBER(Raw_Export!B2172),Raw_Export!B2172,IF(MID(TRIM(Raw_Export!B2172),5,1)="-",DATE(LEFT(TRIM(Raw_Export!B2172),4),MID(TRIM(Raw_Export!B2172),6,2),RIGHT(TRIM(Raw_Export!B2172),2)),DATE(RIGHT(TRIM(Raw_Export!B2172),4),MATCH(MID(TRIM(Raw_Export!B2172),4,3),{"Jan","Feb","Mar","Apr","May","Jun","Jul","Aug","Sep","Oct","Nov","Dec"},0),LEFT(TRIM(Raw_Export!B2172),2)))))</f>
        <v>46278</v>
      </c>
      <c r="C2172" s="36" t="str">
        <f aca="false">IF(Raw_Export!$A2172="","",IFERROR(VLOOKUP(LOWER(TRIM(Raw_Export!C2172)),Maps!$A$2:$B$20,2,FALSE()),"UNMAPPED"))</f>
        <v>Kisumu</v>
      </c>
      <c r="D2172" s="36" t="str">
        <f aca="false">IF(Raw_Export!$A2172="","",IFERROR(VLOOKUP(LOWER(TRIM(Raw_Export!D2172)),Maps!$G$2:$I$80,2,FALSE()),"UNMAPPED"))</f>
        <v>Fresh Milk 500ml</v>
      </c>
      <c r="E2172" s="36" t="str">
        <f aca="false">IF(Raw_Export!$A2172="","",IFERROR(VLOOKUP(LOWER(TRIM(Raw_Export!D2172)),Maps!$G$2:$I$80,3,FALSE()),"UNMAPPED"))</f>
        <v>Dairy &amp; Eggs</v>
      </c>
      <c r="F2172" s="36" t="n">
        <f aca="false">IF(Raw_Export!$A2172="","",IFERROR(VALUE(TRIM(Raw_Export!E2172)),0))</f>
        <v>6</v>
      </c>
      <c r="G2172" s="38" t="n">
        <f aca="false">IF(Raw_Export!$A2172="","",IFERROR(VALUE(SUBSTITUTE(SUBSTITUTE(UPPER(TRIM(Raw_Export!F2172)),"KES",""),",","")),0))</f>
        <v>65</v>
      </c>
      <c r="H2172" s="38" t="n">
        <f aca="false">IF(Raw_Export!$A2172="","",F2172*G2172)</f>
        <v>390</v>
      </c>
      <c r="I2172" s="36" t="str">
        <f aca="false">IF(Raw_Export!$A2172="","",IFERROR(VLOOKUP(LOWER(TRIM(Raw_Export!H2172)),Maps!$D$2:$E$12,2,FALSE()),"Other"))</f>
        <v>M-Pesa</v>
      </c>
      <c r="J2172" s="36" t="str">
        <f aca="false">IF(Raw_Export!$A2172="","",IF(COUNTIF($A$2:A2172,A2172)&gt;1,"Duplicate",""))</f>
        <v/>
      </c>
      <c r="K2172" s="36" t="str">
        <f aca="false">IF(Raw_Export!$A2172="","",IF(J2172="Duplicate","Duplicate",IF(OR(C2172="UNMAPPED",D2172="UNMAPPED"),"Unmapped",IF(F2172=0,"Blank qty",IF(F2172&lt;0,"Return","OK")))))</f>
        <v>OK</v>
      </c>
      <c r="L2172" s="36" t="n">
        <f aca="false">IF(Raw_Export!$A2172="","",IF(OR(K2172="OK",K2172="Return"),1,0))</f>
        <v>1</v>
      </c>
      <c r="M2172" s="37" t="n">
        <f aca="false">IF(Raw_Export!$A2172="","",B2172-WEEKDAY(B2172,2)+1)</f>
        <v>46272</v>
      </c>
    </row>
    <row r="2173" customFormat="false" ht="15" hidden="false" customHeight="false" outlineLevel="0" collapsed="false">
      <c r="A2173" s="36" t="str">
        <f aca="false">IF(Raw_Export!$A2173="","",TRIM(Raw_Export!A2173))</f>
        <v>TXN-102130</v>
      </c>
      <c r="B2173" s="37" t="n">
        <f aca="false">IF(Raw_Export!$A2173="","",IF(ISNUMBER(Raw_Export!B2173),Raw_Export!B2173,IF(MID(TRIM(Raw_Export!B2173),5,1)="-",DATE(LEFT(TRIM(Raw_Export!B2173),4),MID(TRIM(Raw_Export!B2173),6,2),RIGHT(TRIM(Raw_Export!B2173),2)),DATE(RIGHT(TRIM(Raw_Export!B2173),4),MATCH(MID(TRIM(Raw_Export!B2173),4,3),{"Jan","Feb","Mar","Apr","May","Jun","Jul","Aug","Sep","Oct","Nov","Dec"},0),LEFT(TRIM(Raw_Export!B2173),2)))))</f>
        <v>46278</v>
      </c>
      <c r="C2173" s="36" t="str">
        <f aca="false">IF(Raw_Export!$A2173="","",IFERROR(VLOOKUP(LOWER(TRIM(Raw_Export!C2173)),Maps!$A$2:$B$20,2,FALSE()),"UNMAPPED"))</f>
        <v>Kisumu</v>
      </c>
      <c r="D2173" s="36" t="str">
        <f aca="false">IF(Raw_Export!$A2173="","",IFERROR(VLOOKUP(LOWER(TRIM(Raw_Export!D2173)),Maps!$G$2:$I$80,2,FALSE()),"UNMAPPED"))</f>
        <v>Tea Leaves 250g</v>
      </c>
      <c r="E2173" s="36" t="str">
        <f aca="false">IF(Raw_Export!$A2173="","",IFERROR(VLOOKUP(LOWER(TRIM(Raw_Export!D2173)),Maps!$G$2:$I$80,3,FALSE()),"UNMAPPED"))</f>
        <v>Beverages</v>
      </c>
      <c r="F2173" s="36" t="n">
        <f aca="false">IF(Raw_Export!$A2173="","",IFERROR(VALUE(TRIM(Raw_Export!E2173)),0))</f>
        <v>2</v>
      </c>
      <c r="G2173" s="38" t="n">
        <f aca="false">IF(Raw_Export!$A2173="","",IFERROR(VALUE(SUBSTITUTE(SUBSTITUTE(UPPER(TRIM(Raw_Export!F2173)),"KES",""),",","")),0))</f>
        <v>150</v>
      </c>
      <c r="H2173" s="38" t="n">
        <f aca="false">IF(Raw_Export!$A2173="","",F2173*G2173)</f>
        <v>300</v>
      </c>
      <c r="I2173" s="36" t="str">
        <f aca="false">IF(Raw_Export!$A2173="","",IFERROR(VLOOKUP(LOWER(TRIM(Raw_Export!H2173)),Maps!$D$2:$E$12,2,FALSE()),"Other"))</f>
        <v>M-Pesa</v>
      </c>
      <c r="J2173" s="36" t="str">
        <f aca="false">IF(Raw_Export!$A2173="","",IF(COUNTIF($A$2:A2173,A2173)&gt;1,"Duplicate",""))</f>
        <v/>
      </c>
      <c r="K2173" s="36" t="str">
        <f aca="false">IF(Raw_Export!$A2173="","",IF(J2173="Duplicate","Duplicate",IF(OR(C2173="UNMAPPED",D2173="UNMAPPED"),"Unmapped",IF(F2173=0,"Blank qty",IF(F2173&lt;0,"Return","OK")))))</f>
        <v>OK</v>
      </c>
      <c r="L2173" s="36" t="n">
        <f aca="false">IF(Raw_Export!$A2173="","",IF(OR(K2173="OK",K2173="Return"),1,0))</f>
        <v>1</v>
      </c>
      <c r="M2173" s="37" t="n">
        <f aca="false">IF(Raw_Export!$A2173="","",B2173-WEEKDAY(B2173,2)+1)</f>
        <v>46272</v>
      </c>
    </row>
    <row r="2174" customFormat="false" ht="15" hidden="false" customHeight="false" outlineLevel="0" collapsed="false">
      <c r="A2174" s="36" t="str">
        <f aca="false">IF(Raw_Export!$A2174="","",TRIM(Raw_Export!A2174))</f>
        <v>TXN-102131</v>
      </c>
      <c r="B2174" s="37" t="n">
        <f aca="false">IF(Raw_Export!$A2174="","",IF(ISNUMBER(Raw_Export!B2174),Raw_Export!B2174,IF(MID(TRIM(Raw_Export!B2174),5,1)="-",DATE(LEFT(TRIM(Raw_Export!B2174),4),MID(TRIM(Raw_Export!B2174),6,2),RIGHT(TRIM(Raw_Export!B2174),2)),DATE(RIGHT(TRIM(Raw_Export!B2174),4),MATCH(MID(TRIM(Raw_Export!B2174),4,3),{"Jan","Feb","Mar","Apr","May","Jun","Jul","Aug","Sep","Oct","Nov","Dec"},0),LEFT(TRIM(Raw_Export!B2174),2)))))</f>
        <v>46278</v>
      </c>
      <c r="C2174" s="36" t="str">
        <f aca="false">IF(Raw_Export!$A2174="","",IFERROR(VLOOKUP(LOWER(TRIM(Raw_Export!C2174)),Maps!$A$2:$B$20,2,FALSE()),"UNMAPPED"))</f>
        <v>Kisumu</v>
      </c>
      <c r="D2174" s="36" t="str">
        <f aca="false">IF(Raw_Export!$A2174="","",IFERROR(VLOOKUP(LOWER(TRIM(Raw_Export!D2174)),Maps!$G$2:$I$80,2,FALSE()),"UNMAPPED"))</f>
        <v>Crisps 100g</v>
      </c>
      <c r="E2174" s="36" t="str">
        <f aca="false">IF(Raw_Export!$A2174="","",IFERROR(VLOOKUP(LOWER(TRIM(Raw_Export!D2174)),Maps!$G$2:$I$80,3,FALSE()),"UNMAPPED"))</f>
        <v>Snacks</v>
      </c>
      <c r="F2174" s="36" t="n">
        <f aca="false">IF(Raw_Export!$A2174="","",IFERROR(VALUE(TRIM(Raw_Export!E2174)),0))</f>
        <v>1</v>
      </c>
      <c r="G2174" s="38" t="n">
        <f aca="false">IF(Raw_Export!$A2174="","",IFERROR(VALUE(SUBSTITUTE(SUBSTITUTE(UPPER(TRIM(Raw_Export!F2174)),"KES",""),",","")),0))</f>
        <v>80</v>
      </c>
      <c r="H2174" s="38" t="n">
        <f aca="false">IF(Raw_Export!$A2174="","",F2174*G2174)</f>
        <v>80</v>
      </c>
      <c r="I2174" s="36" t="str">
        <f aca="false">IF(Raw_Export!$A2174="","",IFERROR(VLOOKUP(LOWER(TRIM(Raw_Export!H2174)),Maps!$D$2:$E$12,2,FALSE()),"Other"))</f>
        <v>Cash</v>
      </c>
      <c r="J2174" s="36" t="str">
        <f aca="false">IF(Raw_Export!$A2174="","",IF(COUNTIF($A$2:A2174,A2174)&gt;1,"Duplicate",""))</f>
        <v/>
      </c>
      <c r="K2174" s="36" t="str">
        <f aca="false">IF(Raw_Export!$A2174="","",IF(J2174="Duplicate","Duplicate",IF(OR(C2174="UNMAPPED",D2174="UNMAPPED"),"Unmapped",IF(F2174=0,"Blank qty",IF(F2174&lt;0,"Return","OK")))))</f>
        <v>OK</v>
      </c>
      <c r="L2174" s="36" t="n">
        <f aca="false">IF(Raw_Export!$A2174="","",IF(OR(K2174="OK",K2174="Return"),1,0))</f>
        <v>1</v>
      </c>
      <c r="M2174" s="37" t="n">
        <f aca="false">IF(Raw_Export!$A2174="","",B2174-WEEKDAY(B2174,2)+1)</f>
        <v>46272</v>
      </c>
    </row>
    <row r="2175" customFormat="false" ht="15" hidden="false" customHeight="false" outlineLevel="0" collapsed="false">
      <c r="A2175" s="36" t="str">
        <f aca="false">IF(Raw_Export!$A2175="","",TRIM(Raw_Export!A2175))</f>
        <v>TXN-102132</v>
      </c>
      <c r="B2175" s="37" t="n">
        <f aca="false">IF(Raw_Export!$A2175="","",IF(ISNUMBER(Raw_Export!B2175),Raw_Export!B2175,IF(MID(TRIM(Raw_Export!B2175),5,1)="-",DATE(LEFT(TRIM(Raw_Export!B2175),4),MID(TRIM(Raw_Export!B2175),6,2),RIGHT(TRIM(Raw_Export!B2175),2)),DATE(RIGHT(TRIM(Raw_Export!B2175),4),MATCH(MID(TRIM(Raw_Export!B2175),4,3),{"Jan","Feb","Mar","Apr","May","Jun","Jul","Aug","Sep","Oct","Nov","Dec"},0),LEFT(TRIM(Raw_Export!B2175),2)))))</f>
        <v>46278</v>
      </c>
      <c r="C2175" s="36" t="str">
        <f aca="false">IF(Raw_Export!$A2175="","",IFERROR(VLOOKUP(LOWER(TRIM(Raw_Export!C2175)),Maps!$A$2:$B$20,2,FALSE()),"UNMAPPED"))</f>
        <v>Kisumu</v>
      </c>
      <c r="D2175" s="36" t="str">
        <f aca="false">IF(Raw_Export!$A2175="","",IFERROR(VLOOKUP(LOWER(TRIM(Raw_Export!D2175)),Maps!$G$2:$I$80,2,FALSE()),"UNMAPPED"))</f>
        <v>Salt 500g</v>
      </c>
      <c r="E2175" s="36" t="str">
        <f aca="false">IF(Raw_Export!$A2175="","",IFERROR(VLOOKUP(LOWER(TRIM(Raw_Export!D2175)),Maps!$G$2:$I$80,3,FALSE()),"UNMAPPED"))</f>
        <v>Staples</v>
      </c>
      <c r="F2175" s="36" t="n">
        <f aca="false">IF(Raw_Export!$A2175="","",IFERROR(VALUE(TRIM(Raw_Export!E2175)),0))</f>
        <v>6</v>
      </c>
      <c r="G2175" s="38" t="n">
        <f aca="false">IF(Raw_Export!$A2175="","",IFERROR(VALUE(SUBSTITUTE(SUBSTITUTE(UPPER(TRIM(Raw_Export!F2175)),"KES",""),",","")),0))</f>
        <v>40</v>
      </c>
      <c r="H2175" s="38" t="n">
        <f aca="false">IF(Raw_Export!$A2175="","",F2175*G2175)</f>
        <v>240</v>
      </c>
      <c r="I2175" s="36" t="str">
        <f aca="false">IF(Raw_Export!$A2175="","",IFERROR(VLOOKUP(LOWER(TRIM(Raw_Export!H2175)),Maps!$D$2:$E$12,2,FALSE()),"Other"))</f>
        <v>M-Pesa</v>
      </c>
      <c r="J2175" s="36" t="str">
        <f aca="false">IF(Raw_Export!$A2175="","",IF(COUNTIF($A$2:A2175,A2175)&gt;1,"Duplicate",""))</f>
        <v>Duplicate</v>
      </c>
      <c r="K2175" s="36" t="str">
        <f aca="false">IF(Raw_Export!$A2175="","",IF(J2175="Duplicate","Duplicate",IF(OR(C2175="UNMAPPED",D2175="UNMAPPED"),"Unmapped",IF(F2175=0,"Blank qty",IF(F2175&lt;0,"Return","OK")))))</f>
        <v>Duplicate</v>
      </c>
      <c r="L2175" s="36" t="n">
        <f aca="false">IF(Raw_Export!$A2175="","",IF(OR(K2175="OK",K2175="Return"),1,0))</f>
        <v>0</v>
      </c>
      <c r="M2175" s="37" t="n">
        <f aca="false">IF(Raw_Export!$A2175="","",B2175-WEEKDAY(B2175,2)+1)</f>
        <v>46272</v>
      </c>
    </row>
    <row r="2176" customFormat="false" ht="15" hidden="false" customHeight="false" outlineLevel="0" collapsed="false">
      <c r="A2176" s="36" t="str">
        <f aca="false">IF(Raw_Export!$A2176="","",TRIM(Raw_Export!A2176))</f>
        <v>TXN-102133</v>
      </c>
      <c r="B2176" s="37" t="n">
        <f aca="false">IF(Raw_Export!$A2176="","",IF(ISNUMBER(Raw_Export!B2176),Raw_Export!B2176,IF(MID(TRIM(Raw_Export!B2176),5,1)="-",DATE(LEFT(TRIM(Raw_Export!B2176),4),MID(TRIM(Raw_Export!B2176),6,2),RIGHT(TRIM(Raw_Export!B2176),2)),DATE(RIGHT(TRIM(Raw_Export!B2176),4),MATCH(MID(TRIM(Raw_Export!B2176),4,3),{"Jan","Feb","Mar","Apr","May","Jun","Jul","Aug","Sep","Oct","Nov","Dec"},0),LEFT(TRIM(Raw_Export!B2176),2)))))</f>
        <v>46278</v>
      </c>
      <c r="C2176" s="36" t="str">
        <f aca="false">IF(Raw_Export!$A2176="","",IFERROR(VLOOKUP(LOWER(TRIM(Raw_Export!C2176)),Maps!$A$2:$B$20,2,FALSE()),"UNMAPPED"))</f>
        <v>Kisumu</v>
      </c>
      <c r="D2176" s="36" t="str">
        <f aca="false">IF(Raw_Export!$A2176="","",IFERROR(VLOOKUP(LOWER(TRIM(Raw_Export!D2176)),Maps!$G$2:$I$80,2,FALSE()),"UNMAPPED"))</f>
        <v>Spaghetti 400g</v>
      </c>
      <c r="E2176" s="36" t="str">
        <f aca="false">IF(Raw_Export!$A2176="","",IFERROR(VLOOKUP(LOWER(TRIM(Raw_Export!D2176)),Maps!$G$2:$I$80,3,FALSE()),"UNMAPPED"))</f>
        <v>Staples</v>
      </c>
      <c r="F2176" s="36" t="n">
        <f aca="false">IF(Raw_Export!$A2176="","",IFERROR(VALUE(TRIM(Raw_Export!E2176)),0))</f>
        <v>2</v>
      </c>
      <c r="G2176" s="38" t="n">
        <f aca="false">IF(Raw_Export!$A2176="","",IFERROR(VALUE(SUBSTITUTE(SUBSTITUTE(UPPER(TRIM(Raw_Export!F2176)),"KES",""),",","")),0))</f>
        <v>110</v>
      </c>
      <c r="H2176" s="38" t="n">
        <f aca="false">IF(Raw_Export!$A2176="","",F2176*G2176)</f>
        <v>220</v>
      </c>
      <c r="I2176" s="36" t="str">
        <f aca="false">IF(Raw_Export!$A2176="","",IFERROR(VLOOKUP(LOWER(TRIM(Raw_Export!H2176)),Maps!$D$2:$E$12,2,FALSE()),"Other"))</f>
        <v>M-Pesa</v>
      </c>
      <c r="J2176" s="36" t="str">
        <f aca="false">IF(Raw_Export!$A2176="","",IF(COUNTIF($A$2:A2176,A2176)&gt;1,"Duplicate",""))</f>
        <v/>
      </c>
      <c r="K2176" s="36" t="str">
        <f aca="false">IF(Raw_Export!$A2176="","",IF(J2176="Duplicate","Duplicate",IF(OR(C2176="UNMAPPED",D2176="UNMAPPED"),"Unmapped",IF(F2176=0,"Blank qty",IF(F2176&lt;0,"Return","OK")))))</f>
        <v>OK</v>
      </c>
      <c r="L2176" s="36" t="n">
        <f aca="false">IF(Raw_Export!$A2176="","",IF(OR(K2176="OK",K2176="Return"),1,0))</f>
        <v>1</v>
      </c>
      <c r="M2176" s="37" t="n">
        <f aca="false">IF(Raw_Export!$A2176="","",B2176-WEEKDAY(B2176,2)+1)</f>
        <v>46272</v>
      </c>
    </row>
    <row r="2177" customFormat="false" ht="15" hidden="false" customHeight="false" outlineLevel="0" collapsed="false">
      <c r="A2177" s="36" t="str">
        <f aca="false">IF(Raw_Export!$A2177="","",TRIM(Raw_Export!A2177))</f>
        <v>TXN-101673</v>
      </c>
      <c r="B2177" s="37" t="n">
        <f aca="false">IF(Raw_Export!$A2177="","",IF(ISNUMBER(Raw_Export!B2177),Raw_Export!B2177,IF(MID(TRIM(Raw_Export!B2177),5,1)="-",DATE(LEFT(TRIM(Raw_Export!B2177),4),MID(TRIM(Raw_Export!B2177),6,2),RIGHT(TRIM(Raw_Export!B2177),2)),DATE(RIGHT(TRIM(Raw_Export!B2177),4),MATCH(MID(TRIM(Raw_Export!B2177),4,3),{"Jan","Feb","Mar","Apr","May","Jun","Jul","Aug","Sep","Oct","Nov","Dec"},0),LEFT(TRIM(Raw_Export!B2177),2)))))</f>
        <v>46276</v>
      </c>
      <c r="C2177" s="36" t="str">
        <f aca="false">IF(Raw_Export!$A2177="","",IFERROR(VLOOKUP(LOWER(TRIM(Raw_Export!C2177)),Maps!$A$2:$B$20,2,FALSE()),"UNMAPPED"))</f>
        <v>Westlands</v>
      </c>
      <c r="D2177" s="36" t="str">
        <f aca="false">IF(Raw_Export!$A2177="","",IFERROR(VLOOKUP(LOWER(TRIM(Raw_Export!D2177)),Maps!$G$2:$I$80,2,FALSE()),"UNMAPPED"))</f>
        <v>Soda 500ml</v>
      </c>
      <c r="E2177" s="36" t="str">
        <f aca="false">IF(Raw_Export!$A2177="","",IFERROR(VLOOKUP(LOWER(TRIM(Raw_Export!D2177)),Maps!$G$2:$I$80,3,FALSE()),"UNMAPPED"))</f>
        <v>Beverages</v>
      </c>
      <c r="F2177" s="36" t="n">
        <f aca="false">IF(Raw_Export!$A2177="","",IFERROR(VALUE(TRIM(Raw_Export!E2177)),0))</f>
        <v>1</v>
      </c>
      <c r="G2177" s="38" t="n">
        <f aca="false">IF(Raw_Export!$A2177="","",IFERROR(VALUE(SUBSTITUTE(SUBSTITUTE(UPPER(TRIM(Raw_Export!F2177)),"KES",""),",","")),0))</f>
        <v>60</v>
      </c>
      <c r="H2177" s="38" t="n">
        <f aca="false">IF(Raw_Export!$A2177="","",F2177*G2177)</f>
        <v>60</v>
      </c>
      <c r="I2177" s="36" t="str">
        <f aca="false">IF(Raw_Export!$A2177="","",IFERROR(VLOOKUP(LOWER(TRIM(Raw_Export!H2177)),Maps!$D$2:$E$12,2,FALSE()),"Other"))</f>
        <v>M-Pesa</v>
      </c>
      <c r="J2177" s="36" t="str">
        <f aca="false">IF(Raw_Export!$A2177="","",IF(COUNTIF($A$2:A2177,A2177)&gt;1,"Duplicate",""))</f>
        <v>Duplicate</v>
      </c>
      <c r="K2177" s="36" t="str">
        <f aca="false">IF(Raw_Export!$A2177="","",IF(J2177="Duplicate","Duplicate",IF(OR(C2177="UNMAPPED",D2177="UNMAPPED"),"Unmapped",IF(F2177=0,"Blank qty",IF(F2177&lt;0,"Return","OK")))))</f>
        <v>Duplicate</v>
      </c>
      <c r="L2177" s="36" t="n">
        <f aca="false">IF(Raw_Export!$A2177="","",IF(OR(K2177="OK",K2177="Return"),1,0))</f>
        <v>0</v>
      </c>
      <c r="M2177" s="37" t="n">
        <f aca="false">IF(Raw_Export!$A2177="","",B2177-WEEKDAY(B2177,2)+1)</f>
        <v>46272</v>
      </c>
    </row>
    <row r="2178" customFormat="false" ht="15" hidden="false" customHeight="false" outlineLevel="0" collapsed="false">
      <c r="A2178" s="36" t="str">
        <f aca="false">IF(Raw_Export!$A2178="","",TRIM(Raw_Export!A2178))</f>
        <v>TXN-102134</v>
      </c>
      <c r="B2178" s="37" t="n">
        <f aca="false">IF(Raw_Export!$A2178="","",IF(ISNUMBER(Raw_Export!B2178),Raw_Export!B2178,IF(MID(TRIM(Raw_Export!B2178),5,1)="-",DATE(LEFT(TRIM(Raw_Export!B2178),4),MID(TRIM(Raw_Export!B2178),6,2),RIGHT(TRIM(Raw_Export!B2178),2)),DATE(RIGHT(TRIM(Raw_Export!B2178),4),MATCH(MID(TRIM(Raw_Export!B2178),4,3),{"Jan","Feb","Mar","Apr","May","Jun","Jul","Aug","Sep","Oct","Nov","Dec"},0),LEFT(TRIM(Raw_Export!B2178),2)))))</f>
        <v>46278</v>
      </c>
      <c r="C2178" s="36" t="str">
        <f aca="false">IF(Raw_Export!$A2178="","",IFERROR(VLOOKUP(LOWER(TRIM(Raw_Export!C2178)),Maps!$A$2:$B$20,2,FALSE()),"UNMAPPED"))</f>
        <v>Kisumu</v>
      </c>
      <c r="D2178" s="36" t="str">
        <f aca="false">IF(Raw_Export!$A2178="","",IFERROR(VLOOKUP(LOWER(TRIM(Raw_Export!D2178)),Maps!$G$2:$I$80,2,FALSE()),"UNMAPPED"))</f>
        <v>Peanuts 250g</v>
      </c>
      <c r="E2178" s="36" t="str">
        <f aca="false">IF(Raw_Export!$A2178="","",IFERROR(VLOOKUP(LOWER(TRIM(Raw_Export!D2178)),Maps!$G$2:$I$80,3,FALSE()),"UNMAPPED"))</f>
        <v>Snacks</v>
      </c>
      <c r="F2178" s="36" t="n">
        <f aca="false">IF(Raw_Export!$A2178="","",IFERROR(VALUE(TRIM(Raw_Export!E2178)),0))</f>
        <v>6</v>
      </c>
      <c r="G2178" s="38" t="n">
        <f aca="false">IF(Raw_Export!$A2178="","",IFERROR(VALUE(SUBSTITUTE(SUBSTITUTE(UPPER(TRIM(Raw_Export!F2178)),"KES",""),",","")),0))</f>
        <v>130</v>
      </c>
      <c r="H2178" s="38" t="n">
        <f aca="false">IF(Raw_Export!$A2178="","",F2178*G2178)</f>
        <v>780</v>
      </c>
      <c r="I2178" s="36" t="str">
        <f aca="false">IF(Raw_Export!$A2178="","",IFERROR(VLOOKUP(LOWER(TRIM(Raw_Export!H2178)),Maps!$D$2:$E$12,2,FALSE()),"Other"))</f>
        <v>M-Pesa</v>
      </c>
      <c r="J2178" s="36" t="str">
        <f aca="false">IF(Raw_Export!$A2178="","",IF(COUNTIF($A$2:A2178,A2178)&gt;1,"Duplicate",""))</f>
        <v/>
      </c>
      <c r="K2178" s="36" t="str">
        <f aca="false">IF(Raw_Export!$A2178="","",IF(J2178="Duplicate","Duplicate",IF(OR(C2178="UNMAPPED",D2178="UNMAPPED"),"Unmapped",IF(F2178=0,"Blank qty",IF(F2178&lt;0,"Return","OK")))))</f>
        <v>OK</v>
      </c>
      <c r="L2178" s="36" t="n">
        <f aca="false">IF(Raw_Export!$A2178="","",IF(OR(K2178="OK",K2178="Return"),1,0))</f>
        <v>1</v>
      </c>
      <c r="M2178" s="37" t="n">
        <f aca="false">IF(Raw_Export!$A2178="","",B2178-WEEKDAY(B2178,2)+1)</f>
        <v>46272</v>
      </c>
    </row>
    <row r="2179" customFormat="false" ht="15" hidden="false" customHeight="false" outlineLevel="0" collapsed="false">
      <c r="A2179" s="36" t="str">
        <f aca="false">IF(Raw_Export!$A2179="","",TRIM(Raw_Export!A2179))</f>
        <v>TXN-102135</v>
      </c>
      <c r="B2179" s="37" t="n">
        <f aca="false">IF(Raw_Export!$A2179="","",IF(ISNUMBER(Raw_Export!B2179),Raw_Export!B2179,IF(MID(TRIM(Raw_Export!B2179),5,1)="-",DATE(LEFT(TRIM(Raw_Export!B2179),4),MID(TRIM(Raw_Export!B2179),6,2),RIGHT(TRIM(Raw_Export!B2179),2)),DATE(RIGHT(TRIM(Raw_Export!B2179),4),MATCH(MID(TRIM(Raw_Export!B2179),4,3),{"Jan","Feb","Mar","Apr","May","Jun","Jul","Aug","Sep","Oct","Nov","Dec"},0),LEFT(TRIM(Raw_Export!B2179),2)))))</f>
        <v>46278</v>
      </c>
      <c r="C2179" s="36" t="str">
        <f aca="false">IF(Raw_Export!$A2179="","",IFERROR(VLOOKUP(LOWER(TRIM(Raw_Export!C2179)),Maps!$A$2:$B$20,2,FALSE()),"UNMAPPED"))</f>
        <v>Kisumu</v>
      </c>
      <c r="D2179" s="36" t="str">
        <f aca="false">IF(Raw_Export!$A2179="","",IFERROR(VLOOKUP(LOWER(TRIM(Raw_Export!D2179)),Maps!$G$2:$I$80,2,FALSE()),"UNMAPPED"))</f>
        <v>Bath Soap 175g</v>
      </c>
      <c r="E2179" s="36" t="str">
        <f aca="false">IF(Raw_Export!$A2179="","",IFERROR(VLOOKUP(LOWER(TRIM(Raw_Export!D2179)),Maps!$G$2:$I$80,3,FALSE()),"UNMAPPED"))</f>
        <v>Personal Care</v>
      </c>
      <c r="F2179" s="36" t="n">
        <f aca="false">IF(Raw_Export!$A2179="","",IFERROR(VALUE(TRIM(Raw_Export!E2179)),0))</f>
        <v>1</v>
      </c>
      <c r="G2179" s="38" t="n">
        <f aca="false">IF(Raw_Export!$A2179="","",IFERROR(VALUE(SUBSTITUTE(SUBSTITUTE(UPPER(TRIM(Raw_Export!F2179)),"KES",""),",","")),0))</f>
        <v>85</v>
      </c>
      <c r="H2179" s="38" t="n">
        <f aca="false">IF(Raw_Export!$A2179="","",F2179*G2179)</f>
        <v>85</v>
      </c>
      <c r="I2179" s="36" t="str">
        <f aca="false">IF(Raw_Export!$A2179="","",IFERROR(VLOOKUP(LOWER(TRIM(Raw_Export!H2179)),Maps!$D$2:$E$12,2,FALSE()),"Other"))</f>
        <v>Card</v>
      </c>
      <c r="J2179" s="36" t="str">
        <f aca="false">IF(Raw_Export!$A2179="","",IF(COUNTIF($A$2:A2179,A2179)&gt;1,"Duplicate",""))</f>
        <v/>
      </c>
      <c r="K2179" s="36" t="str">
        <f aca="false">IF(Raw_Export!$A2179="","",IF(J2179="Duplicate","Duplicate",IF(OR(C2179="UNMAPPED",D2179="UNMAPPED"),"Unmapped",IF(F2179=0,"Blank qty",IF(F2179&lt;0,"Return","OK")))))</f>
        <v>OK</v>
      </c>
      <c r="L2179" s="36" t="n">
        <f aca="false">IF(Raw_Export!$A2179="","",IF(OR(K2179="OK",K2179="Return"),1,0))</f>
        <v>1</v>
      </c>
      <c r="M2179" s="37" t="n">
        <f aca="false">IF(Raw_Export!$A2179="","",B2179-WEEKDAY(B2179,2)+1)</f>
        <v>46272</v>
      </c>
    </row>
    <row r="2180" customFormat="false" ht="15" hidden="false" customHeight="false" outlineLevel="0" collapsed="false">
      <c r="A2180" s="36" t="str">
        <f aca="false">IF(Raw_Export!$A2180="","",TRIM(Raw_Export!A2180))</f>
        <v>TXN-102136</v>
      </c>
      <c r="B2180" s="37" t="n">
        <f aca="false">IF(Raw_Export!$A2180="","",IF(ISNUMBER(Raw_Export!B2180),Raw_Export!B2180,IF(MID(TRIM(Raw_Export!B2180),5,1)="-",DATE(LEFT(TRIM(Raw_Export!B2180),4),MID(TRIM(Raw_Export!B2180),6,2),RIGHT(TRIM(Raw_Export!B2180),2)),DATE(RIGHT(TRIM(Raw_Export!B2180),4),MATCH(MID(TRIM(Raw_Export!B2180),4,3),{"Jan","Feb","Mar","Apr","May","Jun","Jul","Aug","Sep","Oct","Nov","Dec"},0),LEFT(TRIM(Raw_Export!B2180),2)))))</f>
        <v>46278</v>
      </c>
      <c r="C2180" s="36" t="str">
        <f aca="false">IF(Raw_Export!$A2180="","",IFERROR(VLOOKUP(LOWER(TRIM(Raw_Export!C2180)),Maps!$A$2:$B$20,2,FALSE()),"UNMAPPED"))</f>
        <v>Kisumu</v>
      </c>
      <c r="D2180" s="36" t="str">
        <f aca="false">IF(Raw_Export!$A2180="","",IFERROR(VLOOKUP(LOWER(TRIM(Raw_Export!D2180)),Maps!$G$2:$I$80,2,FALSE()),"UNMAPPED"))</f>
        <v>Salt 500g</v>
      </c>
      <c r="E2180" s="36" t="str">
        <f aca="false">IF(Raw_Export!$A2180="","",IFERROR(VLOOKUP(LOWER(TRIM(Raw_Export!D2180)),Maps!$G$2:$I$80,3,FALSE()),"UNMAPPED"))</f>
        <v>Staples</v>
      </c>
      <c r="F2180" s="36" t="n">
        <f aca="false">IF(Raw_Export!$A2180="","",IFERROR(VALUE(TRIM(Raw_Export!E2180)),0))</f>
        <v>3</v>
      </c>
      <c r="G2180" s="38" t="n">
        <f aca="false">IF(Raw_Export!$A2180="","",IFERROR(VALUE(SUBSTITUTE(SUBSTITUTE(UPPER(TRIM(Raw_Export!F2180)),"KES",""),",","")),0))</f>
        <v>40</v>
      </c>
      <c r="H2180" s="38" t="n">
        <f aca="false">IF(Raw_Export!$A2180="","",F2180*G2180)</f>
        <v>120</v>
      </c>
      <c r="I2180" s="36" t="str">
        <f aca="false">IF(Raw_Export!$A2180="","",IFERROR(VLOOKUP(LOWER(TRIM(Raw_Export!H2180)),Maps!$D$2:$E$12,2,FALSE()),"Other"))</f>
        <v>M-Pesa</v>
      </c>
      <c r="J2180" s="36" t="str">
        <f aca="false">IF(Raw_Export!$A2180="","",IF(COUNTIF($A$2:A2180,A2180)&gt;1,"Duplicate",""))</f>
        <v/>
      </c>
      <c r="K2180" s="36" t="str">
        <f aca="false">IF(Raw_Export!$A2180="","",IF(J2180="Duplicate","Duplicate",IF(OR(C2180="UNMAPPED",D2180="UNMAPPED"),"Unmapped",IF(F2180=0,"Blank qty",IF(F2180&lt;0,"Return","OK")))))</f>
        <v>OK</v>
      </c>
      <c r="L2180" s="36" t="n">
        <f aca="false">IF(Raw_Export!$A2180="","",IF(OR(K2180="OK",K2180="Return"),1,0))</f>
        <v>1</v>
      </c>
      <c r="M2180" s="37" t="n">
        <f aca="false">IF(Raw_Export!$A2180="","",B2180-WEEKDAY(B2180,2)+1)</f>
        <v>46272</v>
      </c>
    </row>
    <row r="2181" customFormat="false" ht="15" hidden="false" customHeight="false" outlineLevel="0" collapsed="false">
      <c r="A2181" s="36" t="str">
        <f aca="false">IF(Raw_Export!$A2181="","",TRIM(Raw_Export!A2181))</f>
        <v>TXN-102137</v>
      </c>
      <c r="B2181" s="37" t="n">
        <f aca="false">IF(Raw_Export!$A2181="","",IF(ISNUMBER(Raw_Export!B2181),Raw_Export!B2181,IF(MID(TRIM(Raw_Export!B2181),5,1)="-",DATE(LEFT(TRIM(Raw_Export!B2181),4),MID(TRIM(Raw_Export!B2181),6,2),RIGHT(TRIM(Raw_Export!B2181),2)),DATE(RIGHT(TRIM(Raw_Export!B2181),4),MATCH(MID(TRIM(Raw_Export!B2181),4,3),{"Jan","Feb","Mar","Apr","May","Jun","Jul","Aug","Sep","Oct","Nov","Dec"},0),LEFT(TRIM(Raw_Export!B2181),2)))))</f>
        <v>46278</v>
      </c>
      <c r="C2181" s="36" t="str">
        <f aca="false">IF(Raw_Export!$A2181="","",IFERROR(VLOOKUP(LOWER(TRIM(Raw_Export!C2181)),Maps!$A$2:$B$20,2,FALSE()),"UNMAPPED"))</f>
        <v>Kisumu</v>
      </c>
      <c r="D2181" s="36" t="str">
        <f aca="false">IF(Raw_Export!$A2181="","",IFERROR(VLOOKUP(LOWER(TRIM(Raw_Export!D2181)),Maps!$G$2:$I$80,2,FALSE()),"UNMAPPED"))</f>
        <v>Bath Soap 175g</v>
      </c>
      <c r="E2181" s="36" t="str">
        <f aca="false">IF(Raw_Export!$A2181="","",IFERROR(VLOOKUP(LOWER(TRIM(Raw_Export!D2181)),Maps!$G$2:$I$80,3,FALSE()),"UNMAPPED"))</f>
        <v>Personal Care</v>
      </c>
      <c r="F2181" s="36" t="n">
        <f aca="false">IF(Raw_Export!$A2181="","",IFERROR(VALUE(TRIM(Raw_Export!E2181)),0))</f>
        <v>4</v>
      </c>
      <c r="G2181" s="38" t="n">
        <f aca="false">IF(Raw_Export!$A2181="","",IFERROR(VALUE(SUBSTITUTE(SUBSTITUTE(UPPER(TRIM(Raw_Export!F2181)),"KES",""),",","")),0))</f>
        <v>76</v>
      </c>
      <c r="H2181" s="38" t="n">
        <f aca="false">IF(Raw_Export!$A2181="","",F2181*G2181)</f>
        <v>304</v>
      </c>
      <c r="I2181" s="36" t="str">
        <f aca="false">IF(Raw_Export!$A2181="","",IFERROR(VLOOKUP(LOWER(TRIM(Raw_Export!H2181)),Maps!$D$2:$E$12,2,FALSE()),"Other"))</f>
        <v>Card</v>
      </c>
      <c r="J2181" s="36" t="str">
        <f aca="false">IF(Raw_Export!$A2181="","",IF(COUNTIF($A$2:A2181,A2181)&gt;1,"Duplicate",""))</f>
        <v/>
      </c>
      <c r="K2181" s="36" t="str">
        <f aca="false">IF(Raw_Export!$A2181="","",IF(J2181="Duplicate","Duplicate",IF(OR(C2181="UNMAPPED",D2181="UNMAPPED"),"Unmapped",IF(F2181=0,"Blank qty",IF(F2181&lt;0,"Return","OK")))))</f>
        <v>OK</v>
      </c>
      <c r="L2181" s="36" t="n">
        <f aca="false">IF(Raw_Export!$A2181="","",IF(OR(K2181="OK",K2181="Return"),1,0))</f>
        <v>1</v>
      </c>
      <c r="M2181" s="37" t="n">
        <f aca="false">IF(Raw_Export!$A2181="","",B2181-WEEKDAY(B2181,2)+1)</f>
        <v>46272</v>
      </c>
    </row>
    <row r="2182" customFormat="false" ht="15" hidden="false" customHeight="false" outlineLevel="0" collapsed="false">
      <c r="A2182" s="36" t="str">
        <f aca="false">IF(Raw_Export!$A2182="","",TRIM(Raw_Export!A2182))</f>
        <v>TXN-102138</v>
      </c>
      <c r="B2182" s="37" t="n">
        <f aca="false">IF(Raw_Export!$A2182="","",IF(ISNUMBER(Raw_Export!B2182),Raw_Export!B2182,IF(MID(TRIM(Raw_Export!B2182),5,1)="-",DATE(LEFT(TRIM(Raw_Export!B2182),4),MID(TRIM(Raw_Export!B2182),6,2),RIGHT(TRIM(Raw_Export!B2182),2)),DATE(RIGHT(TRIM(Raw_Export!B2182),4),MATCH(MID(TRIM(Raw_Export!B2182),4,3),{"Jan","Feb","Mar","Apr","May","Jun","Jul","Aug","Sep","Oct","Nov","Dec"},0),LEFT(TRIM(Raw_Export!B2182),2)))))</f>
        <v>46278</v>
      </c>
      <c r="C2182" s="36" t="str">
        <f aca="false">IF(Raw_Export!$A2182="","",IFERROR(VLOOKUP(LOWER(TRIM(Raw_Export!C2182)),Maps!$A$2:$B$20,2,FALSE()),"UNMAPPED"))</f>
        <v>Kisumu</v>
      </c>
      <c r="D2182" s="36" t="str">
        <f aca="false">IF(Raw_Export!$A2182="","",IFERROR(VLOOKUP(LOWER(TRIM(Raw_Export!D2182)),Maps!$G$2:$I$80,2,FALSE()),"UNMAPPED"))</f>
        <v>Salt 500g</v>
      </c>
      <c r="E2182" s="36" t="str">
        <f aca="false">IF(Raw_Export!$A2182="","",IFERROR(VLOOKUP(LOWER(TRIM(Raw_Export!D2182)),Maps!$G$2:$I$80,3,FALSE()),"UNMAPPED"))</f>
        <v>Staples</v>
      </c>
      <c r="F2182" s="36" t="n">
        <f aca="false">IF(Raw_Export!$A2182="","",IFERROR(VALUE(TRIM(Raw_Export!E2182)),0))</f>
        <v>2</v>
      </c>
      <c r="G2182" s="38" t="n">
        <f aca="false">IF(Raw_Export!$A2182="","",IFERROR(VALUE(SUBSTITUTE(SUBSTITUTE(UPPER(TRIM(Raw_Export!F2182)),"KES",""),",","")),0))</f>
        <v>40</v>
      </c>
      <c r="H2182" s="38" t="n">
        <f aca="false">IF(Raw_Export!$A2182="","",F2182*G2182)</f>
        <v>80</v>
      </c>
      <c r="I2182" s="36" t="str">
        <f aca="false">IF(Raw_Export!$A2182="","",IFERROR(VLOOKUP(LOWER(TRIM(Raw_Export!H2182)),Maps!$D$2:$E$12,2,FALSE()),"Other"))</f>
        <v>M-Pesa</v>
      </c>
      <c r="J2182" s="36" t="str">
        <f aca="false">IF(Raw_Export!$A2182="","",IF(COUNTIF($A$2:A2182,A2182)&gt;1,"Duplicate",""))</f>
        <v/>
      </c>
      <c r="K2182" s="36" t="str">
        <f aca="false">IF(Raw_Export!$A2182="","",IF(J2182="Duplicate","Duplicate",IF(OR(C2182="UNMAPPED",D2182="UNMAPPED"),"Unmapped",IF(F2182=0,"Blank qty",IF(F2182&lt;0,"Return","OK")))))</f>
        <v>OK</v>
      </c>
      <c r="L2182" s="36" t="n">
        <f aca="false">IF(Raw_Export!$A2182="","",IF(OR(K2182="OK",K2182="Return"),1,0))</f>
        <v>1</v>
      </c>
      <c r="M2182" s="37" t="n">
        <f aca="false">IF(Raw_Export!$A2182="","",B2182-WEEKDAY(B2182,2)+1)</f>
        <v>46272</v>
      </c>
    </row>
    <row r="2183" customFormat="false" ht="15" hidden="false" customHeight="false" outlineLevel="0" collapsed="false">
      <c r="A2183" s="36" t="str">
        <f aca="false">IF(Raw_Export!$A2183="","",TRIM(Raw_Export!A2183))</f>
        <v>TXN-102139</v>
      </c>
      <c r="B2183" s="37" t="n">
        <f aca="false">IF(Raw_Export!$A2183="","",IF(ISNUMBER(Raw_Export!B2183),Raw_Export!B2183,IF(MID(TRIM(Raw_Export!B2183),5,1)="-",DATE(LEFT(TRIM(Raw_Export!B2183),4),MID(TRIM(Raw_Export!B2183),6,2),RIGHT(TRIM(Raw_Export!B2183),2)),DATE(RIGHT(TRIM(Raw_Export!B2183),4),MATCH(MID(TRIM(Raw_Export!B2183),4,3),{"Jan","Feb","Mar","Apr","May","Jun","Jul","Aug","Sep","Oct","Nov","Dec"},0),LEFT(TRIM(Raw_Export!B2183),2)))))</f>
        <v>46278</v>
      </c>
      <c r="C2183" s="36" t="str">
        <f aca="false">IF(Raw_Export!$A2183="","",IFERROR(VLOOKUP(LOWER(TRIM(Raw_Export!C2183)),Maps!$A$2:$B$20,2,FALSE()),"UNMAPPED"))</f>
        <v>Kisumu</v>
      </c>
      <c r="D2183" s="36" t="str">
        <f aca="false">IF(Raw_Export!$A2183="","",IFERROR(VLOOKUP(LOWER(TRIM(Raw_Export!D2183)),Maps!$G$2:$I$80,2,FALSE()),"UNMAPPED"))</f>
        <v>Bread Loaf 400g</v>
      </c>
      <c r="E2183" s="36" t="str">
        <f aca="false">IF(Raw_Export!$A2183="","",IFERROR(VLOOKUP(LOWER(TRIM(Raw_Export!D2183)),Maps!$G$2:$I$80,3,FALSE()),"UNMAPPED"))</f>
        <v>Snacks</v>
      </c>
      <c r="F2183" s="36" t="n">
        <f aca="false">IF(Raw_Export!$A2183="","",IFERROR(VALUE(TRIM(Raw_Export!E2183)),0))</f>
        <v>4</v>
      </c>
      <c r="G2183" s="38" t="n">
        <f aca="false">IF(Raw_Export!$A2183="","",IFERROR(VALUE(SUBSTITUTE(SUBSTITUTE(UPPER(TRIM(Raw_Export!F2183)),"KES",""),",","")),0))</f>
        <v>65</v>
      </c>
      <c r="H2183" s="38" t="n">
        <f aca="false">IF(Raw_Export!$A2183="","",F2183*G2183)</f>
        <v>260</v>
      </c>
      <c r="I2183" s="36" t="str">
        <f aca="false">IF(Raw_Export!$A2183="","",IFERROR(VLOOKUP(LOWER(TRIM(Raw_Export!H2183)),Maps!$D$2:$E$12,2,FALSE()),"Other"))</f>
        <v>M-Pesa</v>
      </c>
      <c r="J2183" s="36" t="str">
        <f aca="false">IF(Raw_Export!$A2183="","",IF(COUNTIF($A$2:A2183,A2183)&gt;1,"Duplicate",""))</f>
        <v/>
      </c>
      <c r="K2183" s="36" t="str">
        <f aca="false">IF(Raw_Export!$A2183="","",IF(J2183="Duplicate","Duplicate",IF(OR(C2183="UNMAPPED",D2183="UNMAPPED"),"Unmapped",IF(F2183=0,"Blank qty",IF(F2183&lt;0,"Return","OK")))))</f>
        <v>OK</v>
      </c>
      <c r="L2183" s="36" t="n">
        <f aca="false">IF(Raw_Export!$A2183="","",IF(OR(K2183="OK",K2183="Return"),1,0))</f>
        <v>1</v>
      </c>
      <c r="M2183" s="37" t="n">
        <f aca="false">IF(Raw_Export!$A2183="","",B2183-WEEKDAY(B2183,2)+1)</f>
        <v>46272</v>
      </c>
    </row>
    <row r="2184" customFormat="false" ht="15" hidden="false" customHeight="false" outlineLevel="0" collapsed="false">
      <c r="A2184" s="36" t="str">
        <f aca="false">IF(Raw_Export!$A2184="","",TRIM(Raw_Export!A2184))</f>
        <v>TXN-102140</v>
      </c>
      <c r="B2184" s="37" t="n">
        <f aca="false">IF(Raw_Export!$A2184="","",IF(ISNUMBER(Raw_Export!B2184),Raw_Export!B2184,IF(MID(TRIM(Raw_Export!B2184),5,1)="-",DATE(LEFT(TRIM(Raw_Export!B2184),4),MID(TRIM(Raw_Export!B2184),6,2),RIGHT(TRIM(Raw_Export!B2184),2)),DATE(RIGHT(TRIM(Raw_Export!B2184),4),MATCH(MID(TRIM(Raw_Export!B2184),4,3),{"Jan","Feb","Mar","Apr","May","Jun","Jul","Aug","Sep","Oct","Nov","Dec"},0),LEFT(TRIM(Raw_Export!B2184),2)))))</f>
        <v>46278</v>
      </c>
      <c r="C2184" s="36" t="str">
        <f aca="false">IF(Raw_Export!$A2184="","",IFERROR(VLOOKUP(LOWER(TRIM(Raw_Export!C2184)),Maps!$A$2:$B$20,2,FALSE()),"UNMAPPED"))</f>
        <v>Kisumu</v>
      </c>
      <c r="D2184" s="36" t="str">
        <f aca="false">IF(Raw_Export!$A2184="","",IFERROR(VLOOKUP(LOWER(TRIM(Raw_Export!D2184)),Maps!$G$2:$I$80,2,FALSE()),"UNMAPPED"))</f>
        <v>Fresh Milk 500ml</v>
      </c>
      <c r="E2184" s="36" t="str">
        <f aca="false">IF(Raw_Export!$A2184="","",IFERROR(VLOOKUP(LOWER(TRIM(Raw_Export!D2184)),Maps!$G$2:$I$80,3,FALSE()),"UNMAPPED"))</f>
        <v>Dairy &amp; Eggs</v>
      </c>
      <c r="F2184" s="36" t="n">
        <f aca="false">IF(Raw_Export!$A2184="","",IFERROR(VALUE(TRIM(Raw_Export!E2184)),0))</f>
        <v>1</v>
      </c>
      <c r="G2184" s="38" t="n">
        <f aca="false">IF(Raw_Export!$A2184="","",IFERROR(VALUE(SUBSTITUTE(SUBSTITUTE(UPPER(TRIM(Raw_Export!F2184)),"KES",""),",","")),0))</f>
        <v>65</v>
      </c>
      <c r="H2184" s="38" t="n">
        <f aca="false">IF(Raw_Export!$A2184="","",F2184*G2184)</f>
        <v>65</v>
      </c>
      <c r="I2184" s="36" t="str">
        <f aca="false">IF(Raw_Export!$A2184="","",IFERROR(VLOOKUP(LOWER(TRIM(Raw_Export!H2184)),Maps!$D$2:$E$12,2,FALSE()),"Other"))</f>
        <v>Card</v>
      </c>
      <c r="J2184" s="36" t="str">
        <f aca="false">IF(Raw_Export!$A2184="","",IF(COUNTIF($A$2:A2184,A2184)&gt;1,"Duplicate",""))</f>
        <v/>
      </c>
      <c r="K2184" s="36" t="str">
        <f aca="false">IF(Raw_Export!$A2184="","",IF(J2184="Duplicate","Duplicate",IF(OR(C2184="UNMAPPED",D2184="UNMAPPED"),"Unmapped",IF(F2184=0,"Blank qty",IF(F2184&lt;0,"Return","OK")))))</f>
        <v>OK</v>
      </c>
      <c r="L2184" s="36" t="n">
        <f aca="false">IF(Raw_Export!$A2184="","",IF(OR(K2184="OK",K2184="Return"),1,0))</f>
        <v>1</v>
      </c>
      <c r="M2184" s="37" t="n">
        <f aca="false">IF(Raw_Export!$A2184="","",B2184-WEEKDAY(B2184,2)+1)</f>
        <v>46272</v>
      </c>
    </row>
    <row r="2185" customFormat="false" ht="15" hidden="false" customHeight="false" outlineLevel="0" collapsed="false">
      <c r="A2185" s="36" t="str">
        <f aca="false">IF(Raw_Export!$A2185="","",TRIM(Raw_Export!A2185))</f>
        <v>TXN-102141</v>
      </c>
      <c r="B2185" s="37" t="n">
        <f aca="false">IF(Raw_Export!$A2185="","",IF(ISNUMBER(Raw_Export!B2185),Raw_Export!B2185,IF(MID(TRIM(Raw_Export!B2185),5,1)="-",DATE(LEFT(TRIM(Raw_Export!B2185),4),MID(TRIM(Raw_Export!B2185),6,2),RIGHT(TRIM(Raw_Export!B2185),2)),DATE(RIGHT(TRIM(Raw_Export!B2185),4),MATCH(MID(TRIM(Raw_Export!B2185),4,3),{"Jan","Feb","Mar","Apr","May","Jun","Jul","Aug","Sep","Oct","Nov","Dec"},0),LEFT(TRIM(Raw_Export!B2185),2)))))</f>
        <v>46278</v>
      </c>
      <c r="C2185" s="36" t="str">
        <f aca="false">IF(Raw_Export!$A2185="","",IFERROR(VLOOKUP(LOWER(TRIM(Raw_Export!C2185)),Maps!$A$2:$B$20,2,FALSE()),"UNMAPPED"))</f>
        <v>Kisumu</v>
      </c>
      <c r="D2185" s="36" t="str">
        <f aca="false">IF(Raw_Export!$A2185="","",IFERROR(VLOOKUP(LOWER(TRIM(Raw_Export!D2185)),Maps!$G$2:$I$80,2,FALSE()),"UNMAPPED"))</f>
        <v>Cooking Oil 1L</v>
      </c>
      <c r="E2185" s="36" t="str">
        <f aca="false">IF(Raw_Export!$A2185="","",IFERROR(VLOOKUP(LOWER(TRIM(Raw_Export!D2185)),Maps!$G$2:$I$80,3,FALSE()),"UNMAPPED"))</f>
        <v>Staples</v>
      </c>
      <c r="F2185" s="36" t="n">
        <f aca="false">IF(Raw_Export!$A2185="","",IFERROR(VALUE(TRIM(Raw_Export!E2185)),0))</f>
        <v>1</v>
      </c>
      <c r="G2185" s="38" t="n">
        <f aca="false">IF(Raw_Export!$A2185="","",IFERROR(VALUE(SUBSTITUTE(SUBSTITUTE(UPPER(TRIM(Raw_Export!F2185)),"KES",""),",","")),0))</f>
        <v>330</v>
      </c>
      <c r="H2185" s="38" t="n">
        <f aca="false">IF(Raw_Export!$A2185="","",F2185*G2185)</f>
        <v>330</v>
      </c>
      <c r="I2185" s="36" t="str">
        <f aca="false">IF(Raw_Export!$A2185="","",IFERROR(VLOOKUP(LOWER(TRIM(Raw_Export!H2185)),Maps!$D$2:$E$12,2,FALSE()),"Other"))</f>
        <v>Cash</v>
      </c>
      <c r="J2185" s="36" t="str">
        <f aca="false">IF(Raw_Export!$A2185="","",IF(COUNTIF($A$2:A2185,A2185)&gt;1,"Duplicate",""))</f>
        <v/>
      </c>
      <c r="K2185" s="36" t="str">
        <f aca="false">IF(Raw_Export!$A2185="","",IF(J2185="Duplicate","Duplicate",IF(OR(C2185="UNMAPPED",D2185="UNMAPPED"),"Unmapped",IF(F2185=0,"Blank qty",IF(F2185&lt;0,"Return","OK")))))</f>
        <v>OK</v>
      </c>
      <c r="L2185" s="36" t="n">
        <f aca="false">IF(Raw_Export!$A2185="","",IF(OR(K2185="OK",K2185="Return"),1,0))</f>
        <v>1</v>
      </c>
      <c r="M2185" s="37" t="n">
        <f aca="false">IF(Raw_Export!$A2185="","",B2185-WEEKDAY(B2185,2)+1)</f>
        <v>46272</v>
      </c>
    </row>
    <row r="2186" customFormat="false" ht="15" hidden="false" customHeight="false" outlineLevel="0" collapsed="false">
      <c r="A2186" s="36" t="str">
        <f aca="false">IF(Raw_Export!$A2186="","",TRIM(Raw_Export!A2186))</f>
        <v>TXN-102142</v>
      </c>
      <c r="B2186" s="37" t="n">
        <f aca="false">IF(Raw_Export!$A2186="","",IF(ISNUMBER(Raw_Export!B2186),Raw_Export!B2186,IF(MID(TRIM(Raw_Export!B2186),5,1)="-",DATE(LEFT(TRIM(Raw_Export!B2186),4),MID(TRIM(Raw_Export!B2186),6,2),RIGHT(TRIM(Raw_Export!B2186),2)),DATE(RIGHT(TRIM(Raw_Export!B2186),4),MATCH(MID(TRIM(Raw_Export!B2186),4,3),{"Jan","Feb","Mar","Apr","May","Jun","Jul","Aug","Sep","Oct","Nov","Dec"},0),LEFT(TRIM(Raw_Export!B2186),2)))))</f>
        <v>46278</v>
      </c>
      <c r="C2186" s="36" t="str">
        <f aca="false">IF(Raw_Export!$A2186="","",IFERROR(VLOOKUP(LOWER(TRIM(Raw_Export!C2186)),Maps!$A$2:$B$20,2,FALSE()),"UNMAPPED"))</f>
        <v>Kisumu</v>
      </c>
      <c r="D2186" s="36" t="str">
        <f aca="false">IF(Raw_Export!$A2186="","",IFERROR(VLOOKUP(LOWER(TRIM(Raw_Export!D2186)),Maps!$G$2:$I$80,2,FALSE()),"UNMAPPED"))</f>
        <v>Washing Powder 1kg</v>
      </c>
      <c r="E2186" s="36" t="str">
        <f aca="false">IF(Raw_Export!$A2186="","",IFERROR(VLOOKUP(LOWER(TRIM(Raw_Export!D2186)),Maps!$G$2:$I$80,3,FALSE()),"UNMAPPED"))</f>
        <v>Household</v>
      </c>
      <c r="F2186" s="36" t="n">
        <f aca="false">IF(Raw_Export!$A2186="","",IFERROR(VALUE(TRIM(Raw_Export!E2186)),0))</f>
        <v>2</v>
      </c>
      <c r="G2186" s="38" t="n">
        <f aca="false">IF(Raw_Export!$A2186="","",IFERROR(VALUE(SUBSTITUTE(SUBSTITUTE(UPPER(TRIM(Raw_Export!F2186)),"KES",""),",","")),0))</f>
        <v>280</v>
      </c>
      <c r="H2186" s="38" t="n">
        <f aca="false">IF(Raw_Export!$A2186="","",F2186*G2186)</f>
        <v>560</v>
      </c>
      <c r="I2186" s="36" t="str">
        <f aca="false">IF(Raw_Export!$A2186="","",IFERROR(VLOOKUP(LOWER(TRIM(Raw_Export!H2186)),Maps!$D$2:$E$12,2,FALSE()),"Other"))</f>
        <v>Card</v>
      </c>
      <c r="J2186" s="36" t="str">
        <f aca="false">IF(Raw_Export!$A2186="","",IF(COUNTIF($A$2:A2186,A2186)&gt;1,"Duplicate",""))</f>
        <v/>
      </c>
      <c r="K2186" s="36" t="str">
        <f aca="false">IF(Raw_Export!$A2186="","",IF(J2186="Duplicate","Duplicate",IF(OR(C2186="UNMAPPED",D2186="UNMAPPED"),"Unmapped",IF(F2186=0,"Blank qty",IF(F2186&lt;0,"Return","OK")))))</f>
        <v>OK</v>
      </c>
      <c r="L2186" s="36" t="n">
        <f aca="false">IF(Raw_Export!$A2186="","",IF(OR(K2186="OK",K2186="Return"),1,0))</f>
        <v>1</v>
      </c>
      <c r="M2186" s="37" t="n">
        <f aca="false">IF(Raw_Export!$A2186="","",B2186-WEEKDAY(B2186,2)+1)</f>
        <v>46272</v>
      </c>
    </row>
    <row r="2187" customFormat="false" ht="15" hidden="false" customHeight="false" outlineLevel="0" collapsed="false">
      <c r="A2187" s="36" t="str">
        <f aca="false">IF(Raw_Export!$A2187="","",TRIM(Raw_Export!A2187))</f>
        <v>TXN-102143</v>
      </c>
      <c r="B2187" s="37" t="n">
        <f aca="false">IF(Raw_Export!$A2187="","",IF(ISNUMBER(Raw_Export!B2187),Raw_Export!B2187,IF(MID(TRIM(Raw_Export!B2187),5,1)="-",DATE(LEFT(TRIM(Raw_Export!B2187),4),MID(TRIM(Raw_Export!B2187),6,2),RIGHT(TRIM(Raw_Export!B2187),2)),DATE(RIGHT(TRIM(Raw_Export!B2187),4),MATCH(MID(TRIM(Raw_Export!B2187),4,3),{"Jan","Feb","Mar","Apr","May","Jun","Jul","Aug","Sep","Oct","Nov","Dec"},0),LEFT(TRIM(Raw_Export!B2187),2)))))</f>
        <v>46278</v>
      </c>
      <c r="C2187" s="36" t="str">
        <f aca="false">IF(Raw_Export!$A2187="","",IFERROR(VLOOKUP(LOWER(TRIM(Raw_Export!C2187)),Maps!$A$2:$B$20,2,FALSE()),"UNMAPPED"))</f>
        <v>Kisumu</v>
      </c>
      <c r="D2187" s="36" t="str">
        <f aca="false">IF(Raw_Export!$A2187="","",IFERROR(VLOOKUP(LOWER(TRIM(Raw_Export!D2187)),Maps!$G$2:$I$80,2,FALSE()),"UNMAPPED"))</f>
        <v>Fresh Milk 500ml</v>
      </c>
      <c r="E2187" s="36" t="str">
        <f aca="false">IF(Raw_Export!$A2187="","",IFERROR(VLOOKUP(LOWER(TRIM(Raw_Export!D2187)),Maps!$G$2:$I$80,3,FALSE()),"UNMAPPED"))</f>
        <v>Dairy &amp; Eggs</v>
      </c>
      <c r="F2187" s="36" t="n">
        <f aca="false">IF(Raw_Export!$A2187="","",IFERROR(VALUE(TRIM(Raw_Export!E2187)),0))</f>
        <v>1</v>
      </c>
      <c r="G2187" s="38" t="n">
        <f aca="false">IF(Raw_Export!$A2187="","",IFERROR(VALUE(SUBSTITUTE(SUBSTITUTE(UPPER(TRIM(Raw_Export!F2187)),"KES",""),",","")),0))</f>
        <v>65</v>
      </c>
      <c r="H2187" s="38" t="n">
        <f aca="false">IF(Raw_Export!$A2187="","",F2187*G2187)</f>
        <v>65</v>
      </c>
      <c r="I2187" s="36" t="str">
        <f aca="false">IF(Raw_Export!$A2187="","",IFERROR(VLOOKUP(LOWER(TRIM(Raw_Export!H2187)),Maps!$D$2:$E$12,2,FALSE()),"Other"))</f>
        <v>M-Pesa</v>
      </c>
      <c r="J2187" s="36" t="str">
        <f aca="false">IF(Raw_Export!$A2187="","",IF(COUNTIF($A$2:A2187,A2187)&gt;1,"Duplicate",""))</f>
        <v/>
      </c>
      <c r="K2187" s="36" t="str">
        <f aca="false">IF(Raw_Export!$A2187="","",IF(J2187="Duplicate","Duplicate",IF(OR(C2187="UNMAPPED",D2187="UNMAPPED"),"Unmapped",IF(F2187=0,"Blank qty",IF(F2187&lt;0,"Return","OK")))))</f>
        <v>OK</v>
      </c>
      <c r="L2187" s="36" t="n">
        <f aca="false">IF(Raw_Export!$A2187="","",IF(OR(K2187="OK",K2187="Return"),1,0))</f>
        <v>1</v>
      </c>
      <c r="M2187" s="37" t="n">
        <f aca="false">IF(Raw_Export!$A2187="","",B2187-WEEKDAY(B2187,2)+1)</f>
        <v>46272</v>
      </c>
    </row>
    <row r="2188" customFormat="false" ht="15" hidden="false" customHeight="false" outlineLevel="0" collapsed="false">
      <c r="A2188" s="36" t="str">
        <f aca="false">IF(Raw_Export!$A2188="","",TRIM(Raw_Export!A2188))</f>
        <v>TXN-102144</v>
      </c>
      <c r="B2188" s="37" t="n">
        <f aca="false">IF(Raw_Export!$A2188="","",IF(ISNUMBER(Raw_Export!B2188),Raw_Export!B2188,IF(MID(TRIM(Raw_Export!B2188),5,1)="-",DATE(LEFT(TRIM(Raw_Export!B2188),4),MID(TRIM(Raw_Export!B2188),6,2),RIGHT(TRIM(Raw_Export!B2188),2)),DATE(RIGHT(TRIM(Raw_Export!B2188),4),MATCH(MID(TRIM(Raw_Export!B2188),4,3),{"Jan","Feb","Mar","Apr","May","Jun","Jul","Aug","Sep","Oct","Nov","Dec"},0),LEFT(TRIM(Raw_Export!B2188),2)))))</f>
        <v>46278</v>
      </c>
      <c r="C2188" s="36" t="str">
        <f aca="false">IF(Raw_Export!$A2188="","",IFERROR(VLOOKUP(LOWER(TRIM(Raw_Export!C2188)),Maps!$A$2:$B$20,2,FALSE()),"UNMAPPED"))</f>
        <v>Kisumu</v>
      </c>
      <c r="D2188" s="36" t="str">
        <f aca="false">IF(Raw_Export!$A2188="","",IFERROR(VLOOKUP(LOWER(TRIM(Raw_Export!D2188)),Maps!$G$2:$I$80,2,FALSE()),"UNMAPPED"))</f>
        <v>Tea Leaves 250g</v>
      </c>
      <c r="E2188" s="36" t="str">
        <f aca="false">IF(Raw_Export!$A2188="","",IFERROR(VLOOKUP(LOWER(TRIM(Raw_Export!D2188)),Maps!$G$2:$I$80,3,FALSE()),"UNMAPPED"))</f>
        <v>Beverages</v>
      </c>
      <c r="F2188" s="36" t="n">
        <f aca="false">IF(Raw_Export!$A2188="","",IFERROR(VALUE(TRIM(Raw_Export!E2188)),0))</f>
        <v>1</v>
      </c>
      <c r="G2188" s="38" t="n">
        <f aca="false">IF(Raw_Export!$A2188="","",IFERROR(VALUE(SUBSTITUTE(SUBSTITUTE(UPPER(TRIM(Raw_Export!F2188)),"KES",""),",","")),0))</f>
        <v>150</v>
      </c>
      <c r="H2188" s="38" t="n">
        <f aca="false">IF(Raw_Export!$A2188="","",F2188*G2188)</f>
        <v>150</v>
      </c>
      <c r="I2188" s="36" t="str">
        <f aca="false">IF(Raw_Export!$A2188="","",IFERROR(VLOOKUP(LOWER(TRIM(Raw_Export!H2188)),Maps!$D$2:$E$12,2,FALSE()),"Other"))</f>
        <v>Cash</v>
      </c>
      <c r="J2188" s="36" t="str">
        <f aca="false">IF(Raw_Export!$A2188="","",IF(COUNTIF($A$2:A2188,A2188)&gt;1,"Duplicate",""))</f>
        <v/>
      </c>
      <c r="K2188" s="36" t="str">
        <f aca="false">IF(Raw_Export!$A2188="","",IF(J2188="Duplicate","Duplicate",IF(OR(C2188="UNMAPPED",D2188="UNMAPPED"),"Unmapped",IF(F2188=0,"Blank qty",IF(F2188&lt;0,"Return","OK")))))</f>
        <v>OK</v>
      </c>
      <c r="L2188" s="36" t="n">
        <f aca="false">IF(Raw_Export!$A2188="","",IF(OR(K2188="OK",K2188="Return"),1,0))</f>
        <v>1</v>
      </c>
      <c r="M2188" s="37" t="n">
        <f aca="false">IF(Raw_Export!$A2188="","",B2188-WEEKDAY(B2188,2)+1)</f>
        <v>46272</v>
      </c>
    </row>
    <row r="2189" customFormat="false" ht="15" hidden="false" customHeight="false" outlineLevel="0" collapsed="false">
      <c r="A2189" s="36" t="str">
        <f aca="false">IF(Raw_Export!$A2189="","",TRIM(Raw_Export!A2189))</f>
        <v>TXN-102145</v>
      </c>
      <c r="B2189" s="37" t="n">
        <f aca="false">IF(Raw_Export!$A2189="","",IF(ISNUMBER(Raw_Export!B2189),Raw_Export!B2189,IF(MID(TRIM(Raw_Export!B2189),5,1)="-",DATE(LEFT(TRIM(Raw_Export!B2189),4),MID(TRIM(Raw_Export!B2189),6,2),RIGHT(TRIM(Raw_Export!B2189),2)),DATE(RIGHT(TRIM(Raw_Export!B2189),4),MATCH(MID(TRIM(Raw_Export!B2189),4,3),{"Jan","Feb","Mar","Apr","May","Jun","Jul","Aug","Sep","Oct","Nov","Dec"},0),LEFT(TRIM(Raw_Export!B2189),2)))))</f>
        <v>46278</v>
      </c>
      <c r="C2189" s="36" t="str">
        <f aca="false">IF(Raw_Export!$A2189="","",IFERROR(VLOOKUP(LOWER(TRIM(Raw_Export!C2189)),Maps!$A$2:$B$20,2,FALSE()),"UNMAPPED"))</f>
        <v>Kisumu</v>
      </c>
      <c r="D2189" s="36" t="str">
        <f aca="false">IF(Raw_Export!$A2189="","",IFERROR(VLOOKUP(LOWER(TRIM(Raw_Export!D2189)),Maps!$G$2:$I$80,2,FALSE()),"UNMAPPED"))</f>
        <v>Deodorant 150ml</v>
      </c>
      <c r="E2189" s="36" t="str">
        <f aca="false">IF(Raw_Export!$A2189="","",IFERROR(VLOOKUP(LOWER(TRIM(Raw_Export!D2189)),Maps!$G$2:$I$80,3,FALSE()),"UNMAPPED"))</f>
        <v>Personal Care</v>
      </c>
      <c r="F2189" s="36" t="n">
        <f aca="false">IF(Raw_Export!$A2189="","",IFERROR(VALUE(TRIM(Raw_Export!E2189)),0))</f>
        <v>2</v>
      </c>
      <c r="G2189" s="38" t="n">
        <f aca="false">IF(Raw_Export!$A2189="","",IFERROR(VALUE(SUBSTITUTE(SUBSTITUTE(UPPER(TRIM(Raw_Export!F2189)),"KES",""),",","")),0))</f>
        <v>315</v>
      </c>
      <c r="H2189" s="38" t="n">
        <f aca="false">IF(Raw_Export!$A2189="","",F2189*G2189)</f>
        <v>630</v>
      </c>
      <c r="I2189" s="36" t="str">
        <f aca="false">IF(Raw_Export!$A2189="","",IFERROR(VLOOKUP(LOWER(TRIM(Raw_Export!H2189)),Maps!$D$2:$E$12,2,FALSE()),"Other"))</f>
        <v>Cash</v>
      </c>
      <c r="J2189" s="36" t="str">
        <f aca="false">IF(Raw_Export!$A2189="","",IF(COUNTIF($A$2:A2189,A2189)&gt;1,"Duplicate",""))</f>
        <v/>
      </c>
      <c r="K2189" s="36" t="str">
        <f aca="false">IF(Raw_Export!$A2189="","",IF(J2189="Duplicate","Duplicate",IF(OR(C2189="UNMAPPED",D2189="UNMAPPED"),"Unmapped",IF(F2189=0,"Blank qty",IF(F2189&lt;0,"Return","OK")))))</f>
        <v>OK</v>
      </c>
      <c r="L2189" s="36" t="n">
        <f aca="false">IF(Raw_Export!$A2189="","",IF(OR(K2189="OK",K2189="Return"),1,0))</f>
        <v>1</v>
      </c>
      <c r="M2189" s="37" t="n">
        <f aca="false">IF(Raw_Export!$A2189="","",B2189-WEEKDAY(B2189,2)+1)</f>
        <v>46272</v>
      </c>
    </row>
    <row r="2190" customFormat="false" ht="15" hidden="false" customHeight="false" outlineLevel="0" collapsed="false">
      <c r="A2190" s="36" t="str">
        <f aca="false">IF(Raw_Export!$A2190="","",TRIM(Raw_Export!A2190))</f>
        <v>TXN-102146</v>
      </c>
      <c r="B2190" s="37" t="n">
        <f aca="false">IF(Raw_Export!$A2190="","",IF(ISNUMBER(Raw_Export!B2190),Raw_Export!B2190,IF(MID(TRIM(Raw_Export!B2190),5,1)="-",DATE(LEFT(TRIM(Raw_Export!B2190),4),MID(TRIM(Raw_Export!B2190),6,2),RIGHT(TRIM(Raw_Export!B2190),2)),DATE(RIGHT(TRIM(Raw_Export!B2190),4),MATCH(MID(TRIM(Raw_Export!B2190),4,3),{"Jan","Feb","Mar","Apr","May","Jun","Jul","Aug","Sep","Oct","Nov","Dec"},0),LEFT(TRIM(Raw_Export!B2190),2)))))</f>
        <v>46278</v>
      </c>
      <c r="C2190" s="36" t="str">
        <f aca="false">IF(Raw_Export!$A2190="","",IFERROR(VLOOKUP(LOWER(TRIM(Raw_Export!C2190)),Maps!$A$2:$B$20,2,FALSE()),"UNMAPPED"))</f>
        <v>Kisumu</v>
      </c>
      <c r="D2190" s="36" t="str">
        <f aca="false">IF(Raw_Export!$A2190="","",IFERROR(VLOOKUP(LOWER(TRIM(Raw_Export!D2190)),Maps!$G$2:$I$80,2,FALSE()),"UNMAPPED"))</f>
        <v>Tea Leaves 250g</v>
      </c>
      <c r="E2190" s="36" t="str">
        <f aca="false">IF(Raw_Export!$A2190="","",IFERROR(VLOOKUP(LOWER(TRIM(Raw_Export!D2190)),Maps!$G$2:$I$80,3,FALSE()),"UNMAPPED"))</f>
        <v>Beverages</v>
      </c>
      <c r="F2190" s="36" t="n">
        <f aca="false">IF(Raw_Export!$A2190="","",IFERROR(VALUE(TRIM(Raw_Export!E2190)),0))</f>
        <v>3</v>
      </c>
      <c r="G2190" s="38" t="n">
        <f aca="false">IF(Raw_Export!$A2190="","",IFERROR(VALUE(SUBSTITUTE(SUBSTITUTE(UPPER(TRIM(Raw_Export!F2190)),"KES",""),",","")),0))</f>
        <v>150</v>
      </c>
      <c r="H2190" s="38" t="n">
        <f aca="false">IF(Raw_Export!$A2190="","",F2190*G2190)</f>
        <v>450</v>
      </c>
      <c r="I2190" s="36" t="str">
        <f aca="false">IF(Raw_Export!$A2190="","",IFERROR(VLOOKUP(LOWER(TRIM(Raw_Export!H2190)),Maps!$D$2:$E$12,2,FALSE()),"Other"))</f>
        <v>Cash</v>
      </c>
      <c r="J2190" s="36" t="str">
        <f aca="false">IF(Raw_Export!$A2190="","",IF(COUNTIF($A$2:A2190,A2190)&gt;1,"Duplicate",""))</f>
        <v/>
      </c>
      <c r="K2190" s="36" t="str">
        <f aca="false">IF(Raw_Export!$A2190="","",IF(J2190="Duplicate","Duplicate",IF(OR(C2190="UNMAPPED",D2190="UNMAPPED"),"Unmapped",IF(F2190=0,"Blank qty",IF(F2190&lt;0,"Return","OK")))))</f>
        <v>OK</v>
      </c>
      <c r="L2190" s="36" t="n">
        <f aca="false">IF(Raw_Export!$A2190="","",IF(OR(K2190="OK",K2190="Return"),1,0))</f>
        <v>1</v>
      </c>
      <c r="M2190" s="37" t="n">
        <f aca="false">IF(Raw_Export!$A2190="","",B2190-WEEKDAY(B2190,2)+1)</f>
        <v>46272</v>
      </c>
    </row>
    <row r="2191" customFormat="false" ht="15" hidden="false" customHeight="false" outlineLevel="0" collapsed="false">
      <c r="A2191" s="36" t="str">
        <f aca="false">IF(Raw_Export!$A2191="","",TRIM(Raw_Export!A2191))</f>
        <v>TXN-102147</v>
      </c>
      <c r="B2191" s="37" t="n">
        <f aca="false">IF(Raw_Export!$A2191="","",IF(ISNUMBER(Raw_Export!B2191),Raw_Export!B2191,IF(MID(TRIM(Raw_Export!B2191),5,1)="-",DATE(LEFT(TRIM(Raw_Export!B2191),4),MID(TRIM(Raw_Export!B2191),6,2),RIGHT(TRIM(Raw_Export!B2191),2)),DATE(RIGHT(TRIM(Raw_Export!B2191),4),MATCH(MID(TRIM(Raw_Export!B2191),4,3),{"Jan","Feb","Mar","Apr","May","Jun","Jul","Aug","Sep","Oct","Nov","Dec"},0),LEFT(TRIM(Raw_Export!B2191),2)))))</f>
        <v>46278</v>
      </c>
      <c r="C2191" s="36" t="str">
        <f aca="false">IF(Raw_Export!$A2191="","",IFERROR(VLOOKUP(LOWER(TRIM(Raw_Export!C2191)),Maps!$A$2:$B$20,2,FALSE()),"UNMAPPED"))</f>
        <v>Kisumu</v>
      </c>
      <c r="D2191" s="36" t="str">
        <f aca="false">IF(Raw_Export!$A2191="","",IFERROR(VLOOKUP(LOWER(TRIM(Raw_Export!D2191)),Maps!$G$2:$I$80,2,FALSE()),"UNMAPPED"))</f>
        <v>Matches 10pk</v>
      </c>
      <c r="E2191" s="36" t="str">
        <f aca="false">IF(Raw_Export!$A2191="","",IFERROR(VLOOKUP(LOWER(TRIM(Raw_Export!D2191)),Maps!$G$2:$I$80,3,FALSE()),"UNMAPPED"))</f>
        <v>Household</v>
      </c>
      <c r="F2191" s="36" t="n">
        <f aca="false">IF(Raw_Export!$A2191="","",IFERROR(VALUE(TRIM(Raw_Export!E2191)),0))</f>
        <v>1</v>
      </c>
      <c r="G2191" s="38" t="n">
        <f aca="false">IF(Raw_Export!$A2191="","",IFERROR(VALUE(SUBSTITUTE(SUBSTITUTE(UPPER(TRIM(Raw_Export!F2191)),"KES",""),",","")),0))</f>
        <v>45</v>
      </c>
      <c r="H2191" s="38" t="n">
        <f aca="false">IF(Raw_Export!$A2191="","",F2191*G2191)</f>
        <v>45</v>
      </c>
      <c r="I2191" s="36" t="str">
        <f aca="false">IF(Raw_Export!$A2191="","",IFERROR(VLOOKUP(LOWER(TRIM(Raw_Export!H2191)),Maps!$D$2:$E$12,2,FALSE()),"Other"))</f>
        <v>Cash</v>
      </c>
      <c r="J2191" s="36" t="str">
        <f aca="false">IF(Raw_Export!$A2191="","",IF(COUNTIF($A$2:A2191,A2191)&gt;1,"Duplicate",""))</f>
        <v/>
      </c>
      <c r="K2191" s="36" t="str">
        <f aca="false">IF(Raw_Export!$A2191="","",IF(J2191="Duplicate","Duplicate",IF(OR(C2191="UNMAPPED",D2191="UNMAPPED"),"Unmapped",IF(F2191=0,"Blank qty",IF(F2191&lt;0,"Return","OK")))))</f>
        <v>OK</v>
      </c>
      <c r="L2191" s="36" t="n">
        <f aca="false">IF(Raw_Export!$A2191="","",IF(OR(K2191="OK",K2191="Return"),1,0))</f>
        <v>1</v>
      </c>
      <c r="M2191" s="37" t="n">
        <f aca="false">IF(Raw_Export!$A2191="","",B2191-WEEKDAY(B2191,2)+1)</f>
        <v>46272</v>
      </c>
    </row>
    <row r="2192" customFormat="false" ht="15" hidden="false" customHeight="false" outlineLevel="0" collapsed="false">
      <c r="A2192" s="36" t="str">
        <f aca="false">IF(Raw_Export!$A2192="","",TRIM(Raw_Export!A2192))</f>
        <v>TXN-102148</v>
      </c>
      <c r="B2192" s="37" t="n">
        <f aca="false">IF(Raw_Export!$A2192="","",IF(ISNUMBER(Raw_Export!B2192),Raw_Export!B2192,IF(MID(TRIM(Raw_Export!B2192),5,1)="-",DATE(LEFT(TRIM(Raw_Export!B2192),4),MID(TRIM(Raw_Export!B2192),6,2),RIGHT(TRIM(Raw_Export!B2192),2)),DATE(RIGHT(TRIM(Raw_Export!B2192),4),MATCH(MID(TRIM(Raw_Export!B2192),4,3),{"Jan","Feb","Mar","Apr","May","Jun","Jul","Aug","Sep","Oct","Nov","Dec"},0),LEFT(TRIM(Raw_Export!B2192),2)))))</f>
        <v>46278</v>
      </c>
      <c r="C2192" s="36" t="str">
        <f aca="false">IF(Raw_Export!$A2192="","",IFERROR(VLOOKUP(LOWER(TRIM(Raw_Export!C2192)),Maps!$A$2:$B$20,2,FALSE()),"UNMAPPED"))</f>
        <v>Kisumu</v>
      </c>
      <c r="D2192" s="36" t="str">
        <f aca="false">IF(Raw_Export!$A2192="","",IFERROR(VLOOKUP(LOWER(TRIM(Raw_Export!D2192)),Maps!$G$2:$I$80,2,FALSE()),"UNMAPPED"))</f>
        <v>Bread Loaf 400g</v>
      </c>
      <c r="E2192" s="36" t="str">
        <f aca="false">IF(Raw_Export!$A2192="","",IFERROR(VLOOKUP(LOWER(TRIM(Raw_Export!D2192)),Maps!$G$2:$I$80,3,FALSE()),"UNMAPPED"))</f>
        <v>Snacks</v>
      </c>
      <c r="F2192" s="36" t="n">
        <f aca="false">IF(Raw_Export!$A2192="","",IFERROR(VALUE(TRIM(Raw_Export!E2192)),0))</f>
        <v>1</v>
      </c>
      <c r="G2192" s="38" t="n">
        <f aca="false">IF(Raw_Export!$A2192="","",IFERROR(VALUE(SUBSTITUTE(SUBSTITUTE(UPPER(TRIM(Raw_Export!F2192)),"KES",""),",","")),0))</f>
        <v>65</v>
      </c>
      <c r="H2192" s="38" t="n">
        <f aca="false">IF(Raw_Export!$A2192="","",F2192*G2192)</f>
        <v>65</v>
      </c>
      <c r="I2192" s="36" t="str">
        <f aca="false">IF(Raw_Export!$A2192="","",IFERROR(VLOOKUP(LOWER(TRIM(Raw_Export!H2192)),Maps!$D$2:$E$12,2,FALSE()),"Other"))</f>
        <v>M-Pesa</v>
      </c>
      <c r="J2192" s="36" t="str">
        <f aca="false">IF(Raw_Export!$A2192="","",IF(COUNTIF($A$2:A2192,A2192)&gt;1,"Duplicate",""))</f>
        <v/>
      </c>
      <c r="K2192" s="36" t="str">
        <f aca="false">IF(Raw_Export!$A2192="","",IF(J2192="Duplicate","Duplicate",IF(OR(C2192="UNMAPPED",D2192="UNMAPPED"),"Unmapped",IF(F2192=0,"Blank qty",IF(F2192&lt;0,"Return","OK")))))</f>
        <v>OK</v>
      </c>
      <c r="L2192" s="36" t="n">
        <f aca="false">IF(Raw_Export!$A2192="","",IF(OR(K2192="OK",K2192="Return"),1,0))</f>
        <v>1</v>
      </c>
      <c r="M2192" s="37" t="n">
        <f aca="false">IF(Raw_Export!$A2192="","",B2192-WEEKDAY(B2192,2)+1)</f>
        <v>46272</v>
      </c>
    </row>
    <row r="2193" customFormat="false" ht="15" hidden="false" customHeight="false" outlineLevel="0" collapsed="false">
      <c r="A2193" s="36" t="str">
        <f aca="false">IF(Raw_Export!$A2193="","",TRIM(Raw_Export!A2193))</f>
        <v>TXN-102149</v>
      </c>
      <c r="B2193" s="37" t="n">
        <f aca="false">IF(Raw_Export!$A2193="","",IF(ISNUMBER(Raw_Export!B2193),Raw_Export!B2193,IF(MID(TRIM(Raw_Export!B2193),5,1)="-",DATE(LEFT(TRIM(Raw_Export!B2193),4),MID(TRIM(Raw_Export!B2193),6,2),RIGHT(TRIM(Raw_Export!B2193),2)),DATE(RIGHT(TRIM(Raw_Export!B2193),4),MATCH(MID(TRIM(Raw_Export!B2193),4,3),{"Jan","Feb","Mar","Apr","May","Jun","Jul","Aug","Sep","Oct","Nov","Dec"},0),LEFT(TRIM(Raw_Export!B2193),2)))))</f>
        <v>46278</v>
      </c>
      <c r="C2193" s="36" t="str">
        <f aca="false">IF(Raw_Export!$A2193="","",IFERROR(VLOOKUP(LOWER(TRIM(Raw_Export!C2193)),Maps!$A$2:$B$20,2,FALSE()),"UNMAPPED"))</f>
        <v>Nakuru</v>
      </c>
      <c r="D2193" s="36" t="str">
        <f aca="false">IF(Raw_Export!$A2193="","",IFERROR(VLOOKUP(LOWER(TRIM(Raw_Export!D2193)),Maps!$G$2:$I$80,2,FALSE()),"UNMAPPED"))</f>
        <v>Fresh Milk 500ml</v>
      </c>
      <c r="E2193" s="36" t="str">
        <f aca="false">IF(Raw_Export!$A2193="","",IFERROR(VLOOKUP(LOWER(TRIM(Raw_Export!D2193)),Maps!$G$2:$I$80,3,FALSE()),"UNMAPPED"))</f>
        <v>Dairy &amp; Eggs</v>
      </c>
      <c r="F2193" s="36" t="n">
        <f aca="false">IF(Raw_Export!$A2193="","",IFERROR(VALUE(TRIM(Raw_Export!E2193)),0))</f>
        <v>2</v>
      </c>
      <c r="G2193" s="38" t="n">
        <f aca="false">IF(Raw_Export!$A2193="","",IFERROR(VALUE(SUBSTITUTE(SUBSTITUTE(UPPER(TRIM(Raw_Export!F2193)),"KES",""),",","")),0))</f>
        <v>65</v>
      </c>
      <c r="H2193" s="38" t="n">
        <f aca="false">IF(Raw_Export!$A2193="","",F2193*G2193)</f>
        <v>130</v>
      </c>
      <c r="I2193" s="36" t="str">
        <f aca="false">IF(Raw_Export!$A2193="","",IFERROR(VLOOKUP(LOWER(TRIM(Raw_Export!H2193)),Maps!$D$2:$E$12,2,FALSE()),"Other"))</f>
        <v>M-Pesa</v>
      </c>
      <c r="J2193" s="36" t="str">
        <f aca="false">IF(Raw_Export!$A2193="","",IF(COUNTIF($A$2:A2193,A2193)&gt;1,"Duplicate",""))</f>
        <v/>
      </c>
      <c r="K2193" s="36" t="str">
        <f aca="false">IF(Raw_Export!$A2193="","",IF(J2193="Duplicate","Duplicate",IF(OR(C2193="UNMAPPED",D2193="UNMAPPED"),"Unmapped",IF(F2193=0,"Blank qty",IF(F2193&lt;0,"Return","OK")))))</f>
        <v>OK</v>
      </c>
      <c r="L2193" s="36" t="n">
        <f aca="false">IF(Raw_Export!$A2193="","",IF(OR(K2193="OK",K2193="Return"),1,0))</f>
        <v>1</v>
      </c>
      <c r="M2193" s="37" t="n">
        <f aca="false">IF(Raw_Export!$A2193="","",B2193-WEEKDAY(B2193,2)+1)</f>
        <v>46272</v>
      </c>
    </row>
    <row r="2194" customFormat="false" ht="15" hidden="false" customHeight="false" outlineLevel="0" collapsed="false">
      <c r="A2194" s="36" t="str">
        <f aca="false">IF(Raw_Export!$A2194="","",TRIM(Raw_Export!A2194))</f>
        <v>TXN-102150</v>
      </c>
      <c r="B2194" s="37" t="n">
        <f aca="false">IF(Raw_Export!$A2194="","",IF(ISNUMBER(Raw_Export!B2194),Raw_Export!B2194,IF(MID(TRIM(Raw_Export!B2194),5,1)="-",DATE(LEFT(TRIM(Raw_Export!B2194),4),MID(TRIM(Raw_Export!B2194),6,2),RIGHT(TRIM(Raw_Export!B2194),2)),DATE(RIGHT(TRIM(Raw_Export!B2194),4),MATCH(MID(TRIM(Raw_Export!B2194),4,3),{"Jan","Feb","Mar","Apr","May","Jun","Jul","Aug","Sep","Oct","Nov","Dec"},0),LEFT(TRIM(Raw_Export!B2194),2)))))</f>
        <v>46278</v>
      </c>
      <c r="C2194" s="36" t="str">
        <f aca="false">IF(Raw_Export!$A2194="","",IFERROR(VLOOKUP(LOWER(TRIM(Raw_Export!C2194)),Maps!$A$2:$B$20,2,FALSE()),"UNMAPPED"))</f>
        <v>Nakuru</v>
      </c>
      <c r="D2194" s="36" t="str">
        <f aca="false">IF(Raw_Export!$A2194="","",IFERROR(VLOOKUP(LOWER(TRIM(Raw_Export!D2194)),Maps!$G$2:$I$80,2,FALSE()),"UNMAPPED"))</f>
        <v>Salt 500g</v>
      </c>
      <c r="E2194" s="36" t="str">
        <f aca="false">IF(Raw_Export!$A2194="","",IFERROR(VLOOKUP(LOWER(TRIM(Raw_Export!D2194)),Maps!$G$2:$I$80,3,FALSE()),"UNMAPPED"))</f>
        <v>Staples</v>
      </c>
      <c r="F2194" s="36" t="n">
        <f aca="false">IF(Raw_Export!$A2194="","",IFERROR(VALUE(TRIM(Raw_Export!E2194)),0))</f>
        <v>6</v>
      </c>
      <c r="G2194" s="38" t="n">
        <f aca="false">IF(Raw_Export!$A2194="","",IFERROR(VALUE(SUBSTITUTE(SUBSTITUTE(UPPER(TRIM(Raw_Export!F2194)),"KES",""),",","")),0))</f>
        <v>40</v>
      </c>
      <c r="H2194" s="38" t="n">
        <f aca="false">IF(Raw_Export!$A2194="","",F2194*G2194)</f>
        <v>240</v>
      </c>
      <c r="I2194" s="36" t="str">
        <f aca="false">IF(Raw_Export!$A2194="","",IFERROR(VLOOKUP(LOWER(TRIM(Raw_Export!H2194)),Maps!$D$2:$E$12,2,FALSE()),"Other"))</f>
        <v>M-Pesa</v>
      </c>
      <c r="J2194" s="36" t="str">
        <f aca="false">IF(Raw_Export!$A2194="","",IF(COUNTIF($A$2:A2194,A2194)&gt;1,"Duplicate",""))</f>
        <v/>
      </c>
      <c r="K2194" s="36" t="str">
        <f aca="false">IF(Raw_Export!$A2194="","",IF(J2194="Duplicate","Duplicate",IF(OR(C2194="UNMAPPED",D2194="UNMAPPED"),"Unmapped",IF(F2194=0,"Blank qty",IF(F2194&lt;0,"Return","OK")))))</f>
        <v>OK</v>
      </c>
      <c r="L2194" s="36" t="n">
        <f aca="false">IF(Raw_Export!$A2194="","",IF(OR(K2194="OK",K2194="Return"),1,0))</f>
        <v>1</v>
      </c>
      <c r="M2194" s="37" t="n">
        <f aca="false">IF(Raw_Export!$A2194="","",B2194-WEEKDAY(B2194,2)+1)</f>
        <v>46272</v>
      </c>
    </row>
    <row r="2195" customFormat="false" ht="15" hidden="false" customHeight="false" outlineLevel="0" collapsed="false">
      <c r="A2195" s="36" t="str">
        <f aca="false">IF(Raw_Export!$A2195="","",TRIM(Raw_Export!A2195))</f>
        <v>TXN-102151</v>
      </c>
      <c r="B2195" s="37" t="n">
        <f aca="false">IF(Raw_Export!$A2195="","",IF(ISNUMBER(Raw_Export!B2195),Raw_Export!B2195,IF(MID(TRIM(Raw_Export!B2195),5,1)="-",DATE(LEFT(TRIM(Raw_Export!B2195),4),MID(TRIM(Raw_Export!B2195),6,2),RIGHT(TRIM(Raw_Export!B2195),2)),DATE(RIGHT(TRIM(Raw_Export!B2195),4),MATCH(MID(TRIM(Raw_Export!B2195),4,3),{"Jan","Feb","Mar","Apr","May","Jun","Jul","Aug","Sep","Oct","Nov","Dec"},0),LEFT(TRIM(Raw_Export!B2195),2)))))</f>
        <v>46278</v>
      </c>
      <c r="C2195" s="36" t="str">
        <f aca="false">IF(Raw_Export!$A2195="","",IFERROR(VLOOKUP(LOWER(TRIM(Raw_Export!C2195)),Maps!$A$2:$B$20,2,FALSE()),"UNMAPPED"))</f>
        <v>Nakuru</v>
      </c>
      <c r="D2195" s="36" t="str">
        <f aca="false">IF(Raw_Export!$A2195="","",IFERROR(VLOOKUP(LOWER(TRIM(Raw_Export!D2195)),Maps!$G$2:$I$80,2,FALSE()),"UNMAPPED"))</f>
        <v>Eggs Tray 30</v>
      </c>
      <c r="E2195" s="36" t="str">
        <f aca="false">IF(Raw_Export!$A2195="","",IFERROR(VLOOKUP(LOWER(TRIM(Raw_Export!D2195)),Maps!$G$2:$I$80,3,FALSE()),"UNMAPPED"))</f>
        <v>Dairy &amp; Eggs</v>
      </c>
      <c r="F2195" s="36" t="n">
        <f aca="false">IF(Raw_Export!$A2195="","",IFERROR(VALUE(TRIM(Raw_Export!E2195)),0))</f>
        <v>4</v>
      </c>
      <c r="G2195" s="38" t="n">
        <f aca="false">IF(Raw_Export!$A2195="","",IFERROR(VALUE(SUBSTITUTE(SUBSTITUTE(UPPER(TRIM(Raw_Export!F2195)),"KES",""),",","")),0))</f>
        <v>450</v>
      </c>
      <c r="H2195" s="38" t="n">
        <f aca="false">IF(Raw_Export!$A2195="","",F2195*G2195)</f>
        <v>1800</v>
      </c>
      <c r="I2195" s="36" t="str">
        <f aca="false">IF(Raw_Export!$A2195="","",IFERROR(VLOOKUP(LOWER(TRIM(Raw_Export!H2195)),Maps!$D$2:$E$12,2,FALSE()),"Other"))</f>
        <v>Cash</v>
      </c>
      <c r="J2195" s="36" t="str">
        <f aca="false">IF(Raw_Export!$A2195="","",IF(COUNTIF($A$2:A2195,A2195)&gt;1,"Duplicate",""))</f>
        <v/>
      </c>
      <c r="K2195" s="36" t="str">
        <f aca="false">IF(Raw_Export!$A2195="","",IF(J2195="Duplicate","Duplicate",IF(OR(C2195="UNMAPPED",D2195="UNMAPPED"),"Unmapped",IF(F2195=0,"Blank qty",IF(F2195&lt;0,"Return","OK")))))</f>
        <v>OK</v>
      </c>
      <c r="L2195" s="36" t="n">
        <f aca="false">IF(Raw_Export!$A2195="","",IF(OR(K2195="OK",K2195="Return"),1,0))</f>
        <v>1</v>
      </c>
      <c r="M2195" s="37" t="n">
        <f aca="false">IF(Raw_Export!$A2195="","",B2195-WEEKDAY(B2195,2)+1)</f>
        <v>46272</v>
      </c>
    </row>
    <row r="2196" customFormat="false" ht="15" hidden="false" customHeight="false" outlineLevel="0" collapsed="false">
      <c r="A2196" s="36" t="str">
        <f aca="false">IF(Raw_Export!$A2196="","",TRIM(Raw_Export!A2196))</f>
        <v>TXN-102152</v>
      </c>
      <c r="B2196" s="37" t="n">
        <f aca="false">IF(Raw_Export!$A2196="","",IF(ISNUMBER(Raw_Export!B2196),Raw_Export!B2196,IF(MID(TRIM(Raw_Export!B2196),5,1)="-",DATE(LEFT(TRIM(Raw_Export!B2196),4),MID(TRIM(Raw_Export!B2196),6,2),RIGHT(TRIM(Raw_Export!B2196),2)),DATE(RIGHT(TRIM(Raw_Export!B2196),4),MATCH(MID(TRIM(Raw_Export!B2196),4,3),{"Jan","Feb","Mar","Apr","May","Jun","Jul","Aug","Sep","Oct","Nov","Dec"},0),LEFT(TRIM(Raw_Export!B2196),2)))))</f>
        <v>46278</v>
      </c>
      <c r="C2196" s="36" t="str">
        <f aca="false">IF(Raw_Export!$A2196="","",IFERROR(VLOOKUP(LOWER(TRIM(Raw_Export!C2196)),Maps!$A$2:$B$20,2,FALSE()),"UNMAPPED"))</f>
        <v>Nakuru</v>
      </c>
      <c r="D2196" s="36" t="str">
        <f aca="false">IF(Raw_Export!$A2196="","",IFERROR(VLOOKUP(LOWER(TRIM(Raw_Export!D2196)),Maps!$G$2:$I$80,2,FALSE()),"UNMAPPED"))</f>
        <v>Unga Pembe 2kg</v>
      </c>
      <c r="E2196" s="36" t="str">
        <f aca="false">IF(Raw_Export!$A2196="","",IFERROR(VLOOKUP(LOWER(TRIM(Raw_Export!D2196)),Maps!$G$2:$I$80,3,FALSE()),"UNMAPPED"))</f>
        <v>Staples</v>
      </c>
      <c r="F2196" s="36" t="n">
        <f aca="false">IF(Raw_Export!$A2196="","",IFERROR(VALUE(TRIM(Raw_Export!E2196)),0))</f>
        <v>4</v>
      </c>
      <c r="G2196" s="38" t="n">
        <f aca="false">IF(Raw_Export!$A2196="","",IFERROR(VALUE(SUBSTITUTE(SUBSTITUTE(UPPER(TRIM(Raw_Export!F2196)),"KES",""),",","")),0))</f>
        <v>190</v>
      </c>
      <c r="H2196" s="38" t="n">
        <f aca="false">IF(Raw_Export!$A2196="","",F2196*G2196)</f>
        <v>760</v>
      </c>
      <c r="I2196" s="36" t="str">
        <f aca="false">IF(Raw_Export!$A2196="","",IFERROR(VLOOKUP(LOWER(TRIM(Raw_Export!H2196)),Maps!$D$2:$E$12,2,FALSE()),"Other"))</f>
        <v>M-Pesa</v>
      </c>
      <c r="J2196" s="36" t="str">
        <f aca="false">IF(Raw_Export!$A2196="","",IF(COUNTIF($A$2:A2196,A2196)&gt;1,"Duplicate",""))</f>
        <v/>
      </c>
      <c r="K2196" s="36" t="str">
        <f aca="false">IF(Raw_Export!$A2196="","",IF(J2196="Duplicate","Duplicate",IF(OR(C2196="UNMAPPED",D2196="UNMAPPED"),"Unmapped",IF(F2196=0,"Blank qty",IF(F2196&lt;0,"Return","OK")))))</f>
        <v>OK</v>
      </c>
      <c r="L2196" s="36" t="n">
        <f aca="false">IF(Raw_Export!$A2196="","",IF(OR(K2196="OK",K2196="Return"),1,0))</f>
        <v>1</v>
      </c>
      <c r="M2196" s="37" t="n">
        <f aca="false">IF(Raw_Export!$A2196="","",B2196-WEEKDAY(B2196,2)+1)</f>
        <v>46272</v>
      </c>
    </row>
    <row r="2197" customFormat="false" ht="15" hidden="false" customHeight="false" outlineLevel="0" collapsed="false">
      <c r="A2197" s="36" t="str">
        <f aca="false">IF(Raw_Export!$A2197="","",TRIM(Raw_Export!A2197))</f>
        <v>TXN-102153</v>
      </c>
      <c r="B2197" s="37" t="n">
        <f aca="false">IF(Raw_Export!$A2197="","",IF(ISNUMBER(Raw_Export!B2197),Raw_Export!B2197,IF(MID(TRIM(Raw_Export!B2197),5,1)="-",DATE(LEFT(TRIM(Raw_Export!B2197),4),MID(TRIM(Raw_Export!B2197),6,2),RIGHT(TRIM(Raw_Export!B2197),2)),DATE(RIGHT(TRIM(Raw_Export!B2197),4),MATCH(MID(TRIM(Raw_Export!B2197),4,3),{"Jan","Feb","Mar","Apr","May","Jun","Jul","Aug","Sep","Oct","Nov","Dec"},0),LEFT(TRIM(Raw_Export!B2197),2)))))</f>
        <v>46278</v>
      </c>
      <c r="C2197" s="36" t="str">
        <f aca="false">IF(Raw_Export!$A2197="","",IFERROR(VLOOKUP(LOWER(TRIM(Raw_Export!C2197)),Maps!$A$2:$B$20,2,FALSE()),"UNMAPPED"))</f>
        <v>Nakuru</v>
      </c>
      <c r="D2197" s="36" t="str">
        <f aca="false">IF(Raw_Export!$A2197="","",IFERROR(VLOOKUP(LOWER(TRIM(Raw_Export!D2197)),Maps!$G$2:$I$80,2,FALSE()),"UNMAPPED"))</f>
        <v>Matches 10pk</v>
      </c>
      <c r="E2197" s="36" t="str">
        <f aca="false">IF(Raw_Export!$A2197="","",IFERROR(VLOOKUP(LOWER(TRIM(Raw_Export!D2197)),Maps!$G$2:$I$80,3,FALSE()),"UNMAPPED"))</f>
        <v>Household</v>
      </c>
      <c r="F2197" s="36" t="n">
        <f aca="false">IF(Raw_Export!$A2197="","",IFERROR(VALUE(TRIM(Raw_Export!E2197)),0))</f>
        <v>4</v>
      </c>
      <c r="G2197" s="38" t="n">
        <f aca="false">IF(Raw_Export!$A2197="","",IFERROR(VALUE(SUBSTITUTE(SUBSTITUTE(UPPER(TRIM(Raw_Export!F2197)),"KES",""),",","")),0))</f>
        <v>50</v>
      </c>
      <c r="H2197" s="38" t="n">
        <f aca="false">IF(Raw_Export!$A2197="","",F2197*G2197)</f>
        <v>200</v>
      </c>
      <c r="I2197" s="36" t="str">
        <f aca="false">IF(Raw_Export!$A2197="","",IFERROR(VLOOKUP(LOWER(TRIM(Raw_Export!H2197)),Maps!$D$2:$E$12,2,FALSE()),"Other"))</f>
        <v>Cash</v>
      </c>
      <c r="J2197" s="36" t="str">
        <f aca="false">IF(Raw_Export!$A2197="","",IF(COUNTIF($A$2:A2197,A2197)&gt;1,"Duplicate",""))</f>
        <v/>
      </c>
      <c r="K2197" s="36" t="str">
        <f aca="false">IF(Raw_Export!$A2197="","",IF(J2197="Duplicate","Duplicate",IF(OR(C2197="UNMAPPED",D2197="UNMAPPED"),"Unmapped",IF(F2197=0,"Blank qty",IF(F2197&lt;0,"Return","OK")))))</f>
        <v>OK</v>
      </c>
      <c r="L2197" s="36" t="n">
        <f aca="false">IF(Raw_Export!$A2197="","",IF(OR(K2197="OK",K2197="Return"),1,0))</f>
        <v>1</v>
      </c>
      <c r="M2197" s="37" t="n">
        <f aca="false">IF(Raw_Export!$A2197="","",B2197-WEEKDAY(B2197,2)+1)</f>
        <v>46272</v>
      </c>
    </row>
    <row r="2198" customFormat="false" ht="15" hidden="false" customHeight="false" outlineLevel="0" collapsed="false">
      <c r="A2198" s="36" t="str">
        <f aca="false">IF(Raw_Export!$A2198="","",TRIM(Raw_Export!A2198))</f>
        <v>TXN-102154</v>
      </c>
      <c r="B2198" s="37" t="n">
        <f aca="false">IF(Raw_Export!$A2198="","",IF(ISNUMBER(Raw_Export!B2198),Raw_Export!B2198,IF(MID(TRIM(Raw_Export!B2198),5,1)="-",DATE(LEFT(TRIM(Raw_Export!B2198),4),MID(TRIM(Raw_Export!B2198),6,2),RIGHT(TRIM(Raw_Export!B2198),2)),DATE(RIGHT(TRIM(Raw_Export!B2198),4),MATCH(MID(TRIM(Raw_Export!B2198),4,3),{"Jan","Feb","Mar","Apr","May","Jun","Jul","Aug","Sep","Oct","Nov","Dec"},0),LEFT(TRIM(Raw_Export!B2198),2)))))</f>
        <v>46278</v>
      </c>
      <c r="C2198" s="36" t="str">
        <f aca="false">IF(Raw_Export!$A2198="","",IFERROR(VLOOKUP(LOWER(TRIM(Raw_Export!C2198)),Maps!$A$2:$B$20,2,FALSE()),"UNMAPPED"))</f>
        <v>Nakuru</v>
      </c>
      <c r="D2198" s="36" t="str">
        <f aca="false">IF(Raw_Export!$A2198="","",IFERROR(VLOOKUP(LOWER(TRIM(Raw_Export!D2198)),Maps!$G$2:$I$80,2,FALSE()),"UNMAPPED"))</f>
        <v>Bath Soap 175g</v>
      </c>
      <c r="E2198" s="36" t="str">
        <f aca="false">IF(Raw_Export!$A2198="","",IFERROR(VLOOKUP(LOWER(TRIM(Raw_Export!D2198)),Maps!$G$2:$I$80,3,FALSE()),"UNMAPPED"))</f>
        <v>Personal Care</v>
      </c>
      <c r="F2198" s="36" t="n">
        <f aca="false">IF(Raw_Export!$A2198="","",IFERROR(VALUE(TRIM(Raw_Export!E2198)),0))</f>
        <v>1</v>
      </c>
      <c r="G2198" s="38" t="n">
        <f aca="false">IF(Raw_Export!$A2198="","",IFERROR(VALUE(SUBSTITUTE(SUBSTITUTE(UPPER(TRIM(Raw_Export!F2198)),"KES",""),",","")),0))</f>
        <v>85</v>
      </c>
      <c r="H2198" s="38" t="n">
        <f aca="false">IF(Raw_Export!$A2198="","",F2198*G2198)</f>
        <v>85</v>
      </c>
      <c r="I2198" s="36" t="str">
        <f aca="false">IF(Raw_Export!$A2198="","",IFERROR(VLOOKUP(LOWER(TRIM(Raw_Export!H2198)),Maps!$D$2:$E$12,2,FALSE()),"Other"))</f>
        <v>Cash</v>
      </c>
      <c r="J2198" s="36" t="str">
        <f aca="false">IF(Raw_Export!$A2198="","",IF(COUNTIF($A$2:A2198,A2198)&gt;1,"Duplicate",""))</f>
        <v/>
      </c>
      <c r="K2198" s="36" t="str">
        <f aca="false">IF(Raw_Export!$A2198="","",IF(J2198="Duplicate","Duplicate",IF(OR(C2198="UNMAPPED",D2198="UNMAPPED"),"Unmapped",IF(F2198=0,"Blank qty",IF(F2198&lt;0,"Return","OK")))))</f>
        <v>OK</v>
      </c>
      <c r="L2198" s="36" t="n">
        <f aca="false">IF(Raw_Export!$A2198="","",IF(OR(K2198="OK",K2198="Return"),1,0))</f>
        <v>1</v>
      </c>
      <c r="M2198" s="37" t="n">
        <f aca="false">IF(Raw_Export!$A2198="","",B2198-WEEKDAY(B2198,2)+1)</f>
        <v>46272</v>
      </c>
    </row>
    <row r="2199" customFormat="false" ht="15" hidden="false" customHeight="false" outlineLevel="0" collapsed="false">
      <c r="A2199" s="36" t="str">
        <f aca="false">IF(Raw_Export!$A2199="","",TRIM(Raw_Export!A2199))</f>
        <v>TXN-102155</v>
      </c>
      <c r="B2199" s="37" t="n">
        <f aca="false">IF(Raw_Export!$A2199="","",IF(ISNUMBER(Raw_Export!B2199),Raw_Export!B2199,IF(MID(TRIM(Raw_Export!B2199),5,1)="-",DATE(LEFT(TRIM(Raw_Export!B2199),4),MID(TRIM(Raw_Export!B2199),6,2),RIGHT(TRIM(Raw_Export!B2199),2)),DATE(RIGHT(TRIM(Raw_Export!B2199),4),MATCH(MID(TRIM(Raw_Export!B2199),4,3),{"Jan","Feb","Mar","Apr","May","Jun","Jul","Aug","Sep","Oct","Nov","Dec"},0),LEFT(TRIM(Raw_Export!B2199),2)))))</f>
        <v>46278</v>
      </c>
      <c r="C2199" s="36" t="str">
        <f aca="false">IF(Raw_Export!$A2199="","",IFERROR(VLOOKUP(LOWER(TRIM(Raw_Export!C2199)),Maps!$A$2:$B$20,2,FALSE()),"UNMAPPED"))</f>
        <v>Nakuru</v>
      </c>
      <c r="D2199" s="36" t="str">
        <f aca="false">IF(Raw_Export!$A2199="","",IFERROR(VLOOKUP(LOWER(TRIM(Raw_Export!D2199)),Maps!$G$2:$I$80,2,FALSE()),"UNMAPPED"))</f>
        <v>Soda 500ml</v>
      </c>
      <c r="E2199" s="36" t="str">
        <f aca="false">IF(Raw_Export!$A2199="","",IFERROR(VLOOKUP(LOWER(TRIM(Raw_Export!D2199)),Maps!$G$2:$I$80,3,FALSE()),"UNMAPPED"))</f>
        <v>Beverages</v>
      </c>
      <c r="F2199" s="36" t="n">
        <f aca="false">IF(Raw_Export!$A2199="","",IFERROR(VALUE(TRIM(Raw_Export!E2199)),0))</f>
        <v>1</v>
      </c>
      <c r="G2199" s="38" t="n">
        <f aca="false">IF(Raw_Export!$A2199="","",IFERROR(VALUE(SUBSTITUTE(SUBSTITUTE(UPPER(TRIM(Raw_Export!F2199)),"KES",""),",","")),0))</f>
        <v>60</v>
      </c>
      <c r="H2199" s="38" t="n">
        <f aca="false">IF(Raw_Export!$A2199="","",F2199*G2199)</f>
        <v>60</v>
      </c>
      <c r="I2199" s="36" t="str">
        <f aca="false">IF(Raw_Export!$A2199="","",IFERROR(VLOOKUP(LOWER(TRIM(Raw_Export!H2199)),Maps!$D$2:$E$12,2,FALSE()),"Other"))</f>
        <v>M-Pesa</v>
      </c>
      <c r="J2199" s="36" t="str">
        <f aca="false">IF(Raw_Export!$A2199="","",IF(COUNTIF($A$2:A2199,A2199)&gt;1,"Duplicate",""))</f>
        <v/>
      </c>
      <c r="K2199" s="36" t="str">
        <f aca="false">IF(Raw_Export!$A2199="","",IF(J2199="Duplicate","Duplicate",IF(OR(C2199="UNMAPPED",D2199="UNMAPPED"),"Unmapped",IF(F2199=0,"Blank qty",IF(F2199&lt;0,"Return","OK")))))</f>
        <v>OK</v>
      </c>
      <c r="L2199" s="36" t="n">
        <f aca="false">IF(Raw_Export!$A2199="","",IF(OR(K2199="OK",K2199="Return"),1,0))</f>
        <v>1</v>
      </c>
      <c r="M2199" s="37" t="n">
        <f aca="false">IF(Raw_Export!$A2199="","",B2199-WEEKDAY(B2199,2)+1)</f>
        <v>46272</v>
      </c>
    </row>
    <row r="2200" customFormat="false" ht="15" hidden="false" customHeight="false" outlineLevel="0" collapsed="false">
      <c r="A2200" s="36" t="str">
        <f aca="false">IF(Raw_Export!$A2200="","",TRIM(Raw_Export!A2200))</f>
        <v>TXN-102156</v>
      </c>
      <c r="B2200" s="37" t="n">
        <f aca="false">IF(Raw_Export!$A2200="","",IF(ISNUMBER(Raw_Export!B2200),Raw_Export!B2200,IF(MID(TRIM(Raw_Export!B2200),5,1)="-",DATE(LEFT(TRIM(Raw_Export!B2200),4),MID(TRIM(Raw_Export!B2200),6,2),RIGHT(TRIM(Raw_Export!B2200),2)),DATE(RIGHT(TRIM(Raw_Export!B2200),4),MATCH(MID(TRIM(Raw_Export!B2200),4,3),{"Jan","Feb","Mar","Apr","May","Jun","Jul","Aug","Sep","Oct","Nov","Dec"},0),LEFT(TRIM(Raw_Export!B2200),2)))))</f>
        <v>46278</v>
      </c>
      <c r="C2200" s="36" t="str">
        <f aca="false">IF(Raw_Export!$A2200="","",IFERROR(VLOOKUP(LOWER(TRIM(Raw_Export!C2200)),Maps!$A$2:$B$20,2,FALSE()),"UNMAPPED"))</f>
        <v>Nakuru</v>
      </c>
      <c r="D2200" s="36" t="str">
        <f aca="false">IF(Raw_Export!$A2200="","",IFERROR(VLOOKUP(LOWER(TRIM(Raw_Export!D2200)),Maps!$G$2:$I$80,2,FALSE()),"UNMAPPED"))</f>
        <v>Tea Leaves 250g</v>
      </c>
      <c r="E2200" s="36" t="str">
        <f aca="false">IF(Raw_Export!$A2200="","",IFERROR(VLOOKUP(LOWER(TRIM(Raw_Export!D2200)),Maps!$G$2:$I$80,3,FALSE()),"UNMAPPED"))</f>
        <v>Beverages</v>
      </c>
      <c r="F2200" s="36" t="n">
        <f aca="false">IF(Raw_Export!$A2200="","",IFERROR(VALUE(TRIM(Raw_Export!E2200)),0))</f>
        <v>1</v>
      </c>
      <c r="G2200" s="38" t="n">
        <f aca="false">IF(Raw_Export!$A2200="","",IFERROR(VALUE(SUBSTITUTE(SUBSTITUTE(UPPER(TRIM(Raw_Export!F2200)),"KES",""),",","")),0))</f>
        <v>150</v>
      </c>
      <c r="H2200" s="38" t="n">
        <f aca="false">IF(Raw_Export!$A2200="","",F2200*G2200)</f>
        <v>150</v>
      </c>
      <c r="I2200" s="36" t="str">
        <f aca="false">IF(Raw_Export!$A2200="","",IFERROR(VLOOKUP(LOWER(TRIM(Raw_Export!H2200)),Maps!$D$2:$E$12,2,FALSE()),"Other"))</f>
        <v>Card</v>
      </c>
      <c r="J2200" s="36" t="str">
        <f aca="false">IF(Raw_Export!$A2200="","",IF(COUNTIF($A$2:A2200,A2200)&gt;1,"Duplicate",""))</f>
        <v/>
      </c>
      <c r="K2200" s="36" t="str">
        <f aca="false">IF(Raw_Export!$A2200="","",IF(J2200="Duplicate","Duplicate",IF(OR(C2200="UNMAPPED",D2200="UNMAPPED"),"Unmapped",IF(F2200=0,"Blank qty",IF(F2200&lt;0,"Return","OK")))))</f>
        <v>OK</v>
      </c>
      <c r="L2200" s="36" t="n">
        <f aca="false">IF(Raw_Export!$A2200="","",IF(OR(K2200="OK",K2200="Return"),1,0))</f>
        <v>1</v>
      </c>
      <c r="M2200" s="37" t="n">
        <f aca="false">IF(Raw_Export!$A2200="","",B2200-WEEKDAY(B2200,2)+1)</f>
        <v>46272</v>
      </c>
    </row>
    <row r="2201" customFormat="false" ht="15" hidden="false" customHeight="false" outlineLevel="0" collapsed="false">
      <c r="A2201" s="36" t="str">
        <f aca="false">IF(Raw_Export!$A2201="","",TRIM(Raw_Export!A2201))</f>
        <v>TXN-102157</v>
      </c>
      <c r="B2201" s="37" t="n">
        <f aca="false">IF(Raw_Export!$A2201="","",IF(ISNUMBER(Raw_Export!B2201),Raw_Export!B2201,IF(MID(TRIM(Raw_Export!B2201),5,1)="-",DATE(LEFT(TRIM(Raw_Export!B2201),4),MID(TRIM(Raw_Export!B2201),6,2),RIGHT(TRIM(Raw_Export!B2201),2)),DATE(RIGHT(TRIM(Raw_Export!B2201),4),MATCH(MID(TRIM(Raw_Export!B2201),4,3),{"Jan","Feb","Mar","Apr","May","Jun","Jul","Aug","Sep","Oct","Nov","Dec"},0),LEFT(TRIM(Raw_Export!B2201),2)))))</f>
        <v>46278</v>
      </c>
      <c r="C2201" s="36" t="str">
        <f aca="false">IF(Raw_Export!$A2201="","",IFERROR(VLOOKUP(LOWER(TRIM(Raw_Export!C2201)),Maps!$A$2:$B$20,2,FALSE()),"UNMAPPED"))</f>
        <v>Nakuru</v>
      </c>
      <c r="D2201" s="36" t="str">
        <f aca="false">IF(Raw_Export!$A2201="","",IFERROR(VLOOKUP(LOWER(TRIM(Raw_Export!D2201)),Maps!$G$2:$I$80,2,FALSE()),"UNMAPPED"))</f>
        <v>Cooking Oil 1L</v>
      </c>
      <c r="E2201" s="36" t="str">
        <f aca="false">IF(Raw_Export!$A2201="","",IFERROR(VLOOKUP(LOWER(TRIM(Raw_Export!D2201)),Maps!$G$2:$I$80,3,FALSE()),"UNMAPPED"))</f>
        <v>Staples</v>
      </c>
      <c r="F2201" s="36" t="n">
        <f aca="false">IF(Raw_Export!$A2201="","",IFERROR(VALUE(TRIM(Raw_Export!E2201)),0))</f>
        <v>1</v>
      </c>
      <c r="G2201" s="38" t="n">
        <f aca="false">IF(Raw_Export!$A2201="","",IFERROR(VALUE(SUBSTITUTE(SUBSTITUTE(UPPER(TRIM(Raw_Export!F2201)),"KES",""),",","")),0))</f>
        <v>330</v>
      </c>
      <c r="H2201" s="38" t="n">
        <f aca="false">IF(Raw_Export!$A2201="","",F2201*G2201)</f>
        <v>330</v>
      </c>
      <c r="I2201" s="36" t="str">
        <f aca="false">IF(Raw_Export!$A2201="","",IFERROR(VLOOKUP(LOWER(TRIM(Raw_Export!H2201)),Maps!$D$2:$E$12,2,FALSE()),"Other"))</f>
        <v>Cash</v>
      </c>
      <c r="J2201" s="36" t="str">
        <f aca="false">IF(Raw_Export!$A2201="","",IF(COUNTIF($A$2:A2201,A2201)&gt;1,"Duplicate",""))</f>
        <v/>
      </c>
      <c r="K2201" s="36" t="str">
        <f aca="false">IF(Raw_Export!$A2201="","",IF(J2201="Duplicate","Duplicate",IF(OR(C2201="UNMAPPED",D2201="UNMAPPED"),"Unmapped",IF(F2201=0,"Blank qty",IF(F2201&lt;0,"Return","OK")))))</f>
        <v>OK</v>
      </c>
      <c r="L2201" s="36" t="n">
        <f aca="false">IF(Raw_Export!$A2201="","",IF(OR(K2201="OK",K2201="Return"),1,0))</f>
        <v>1</v>
      </c>
      <c r="M2201" s="37" t="n">
        <f aca="false">IF(Raw_Export!$A2201="","",B2201-WEEKDAY(B2201,2)+1)</f>
        <v>46272</v>
      </c>
    </row>
    <row r="2202" customFormat="false" ht="15" hidden="false" customHeight="false" outlineLevel="0" collapsed="false">
      <c r="A2202" s="36" t="str">
        <f aca="false">IF(Raw_Export!$A2202="","",TRIM(Raw_Export!A2202))</f>
        <v>TXN-102158</v>
      </c>
      <c r="B2202" s="37" t="n">
        <f aca="false">IF(Raw_Export!$A2202="","",IF(ISNUMBER(Raw_Export!B2202),Raw_Export!B2202,IF(MID(TRIM(Raw_Export!B2202),5,1)="-",DATE(LEFT(TRIM(Raw_Export!B2202),4),MID(TRIM(Raw_Export!B2202),6,2),RIGHT(TRIM(Raw_Export!B2202),2)),DATE(RIGHT(TRIM(Raw_Export!B2202),4),MATCH(MID(TRIM(Raw_Export!B2202),4,3),{"Jan","Feb","Mar","Apr","May","Jun","Jul","Aug","Sep","Oct","Nov","Dec"},0),LEFT(TRIM(Raw_Export!B2202),2)))))</f>
        <v>46278</v>
      </c>
      <c r="C2202" s="36" t="str">
        <f aca="false">IF(Raw_Export!$A2202="","",IFERROR(VLOOKUP(LOWER(TRIM(Raw_Export!C2202)),Maps!$A$2:$B$20,2,FALSE()),"UNMAPPED"))</f>
        <v>Nakuru</v>
      </c>
      <c r="D2202" s="36" t="str">
        <f aca="false">IF(Raw_Export!$A2202="","",IFERROR(VLOOKUP(LOWER(TRIM(Raw_Export!D2202)),Maps!$G$2:$I$80,2,FALSE()),"UNMAPPED"))</f>
        <v>Chocolate Bar 90g</v>
      </c>
      <c r="E2202" s="36" t="str">
        <f aca="false">IF(Raw_Export!$A2202="","",IFERROR(VLOOKUP(LOWER(TRIM(Raw_Export!D2202)),Maps!$G$2:$I$80,3,FALSE()),"UNMAPPED"))</f>
        <v>Snacks</v>
      </c>
      <c r="F2202" s="36" t="n">
        <f aca="false">IF(Raw_Export!$A2202="","",IFERROR(VALUE(TRIM(Raw_Export!E2202)),0))</f>
        <v>1</v>
      </c>
      <c r="G2202" s="38" t="n">
        <f aca="false">IF(Raw_Export!$A2202="","",IFERROR(VALUE(SUBSTITUTE(SUBSTITUTE(UPPER(TRIM(Raw_Export!F2202)),"KES",""),",","")),0))</f>
        <v>140</v>
      </c>
      <c r="H2202" s="38" t="n">
        <f aca="false">IF(Raw_Export!$A2202="","",F2202*G2202)</f>
        <v>140</v>
      </c>
      <c r="I2202" s="36" t="str">
        <f aca="false">IF(Raw_Export!$A2202="","",IFERROR(VLOOKUP(LOWER(TRIM(Raw_Export!H2202)),Maps!$D$2:$E$12,2,FALSE()),"Other"))</f>
        <v>M-Pesa</v>
      </c>
      <c r="J2202" s="36" t="str">
        <f aca="false">IF(Raw_Export!$A2202="","",IF(COUNTIF($A$2:A2202,A2202)&gt;1,"Duplicate",""))</f>
        <v/>
      </c>
      <c r="K2202" s="36" t="str">
        <f aca="false">IF(Raw_Export!$A2202="","",IF(J2202="Duplicate","Duplicate",IF(OR(C2202="UNMAPPED",D2202="UNMAPPED"),"Unmapped",IF(F2202=0,"Blank qty",IF(F2202&lt;0,"Return","OK")))))</f>
        <v>OK</v>
      </c>
      <c r="L2202" s="36" t="n">
        <f aca="false">IF(Raw_Export!$A2202="","",IF(OR(K2202="OK",K2202="Return"),1,0))</f>
        <v>1</v>
      </c>
      <c r="M2202" s="37" t="n">
        <f aca="false">IF(Raw_Export!$A2202="","",B2202-WEEKDAY(B2202,2)+1)</f>
        <v>46272</v>
      </c>
    </row>
    <row r="2203" customFormat="false" ht="15" hidden="false" customHeight="false" outlineLevel="0" collapsed="false">
      <c r="A2203" s="36" t="str">
        <f aca="false">IF(Raw_Export!$A2203="","",TRIM(Raw_Export!A2203))</f>
        <v>TXN-102159</v>
      </c>
      <c r="B2203" s="37" t="n">
        <f aca="false">IF(Raw_Export!$A2203="","",IF(ISNUMBER(Raw_Export!B2203),Raw_Export!B2203,IF(MID(TRIM(Raw_Export!B2203),5,1)="-",DATE(LEFT(TRIM(Raw_Export!B2203),4),MID(TRIM(Raw_Export!B2203),6,2),RIGHT(TRIM(Raw_Export!B2203),2)),DATE(RIGHT(TRIM(Raw_Export!B2203),4),MATCH(MID(TRIM(Raw_Export!B2203),4,3),{"Jan","Feb","Mar","Apr","May","Jun","Jul","Aug","Sep","Oct","Nov","Dec"},0),LEFT(TRIM(Raw_Export!B2203),2)))))</f>
        <v>46278</v>
      </c>
      <c r="C2203" s="36" t="str">
        <f aca="false">IF(Raw_Export!$A2203="","",IFERROR(VLOOKUP(LOWER(TRIM(Raw_Export!C2203)),Maps!$A$2:$B$20,2,FALSE()),"UNMAPPED"))</f>
        <v>Nakuru</v>
      </c>
      <c r="D2203" s="36" t="str">
        <f aca="false">IF(Raw_Export!$A2203="","",IFERROR(VLOOKUP(LOWER(TRIM(Raw_Export!D2203)),Maps!$G$2:$I$80,2,FALSE()),"UNMAPPED"))</f>
        <v>Rice Pishori 2kg</v>
      </c>
      <c r="E2203" s="36" t="str">
        <f aca="false">IF(Raw_Export!$A2203="","",IFERROR(VLOOKUP(LOWER(TRIM(Raw_Export!D2203)),Maps!$G$2:$I$80,3,FALSE()),"UNMAPPED"))</f>
        <v>Staples</v>
      </c>
      <c r="F2203" s="36" t="n">
        <f aca="false">IF(Raw_Export!$A2203="","",IFERROR(VALUE(TRIM(Raw_Export!E2203)),0))</f>
        <v>1</v>
      </c>
      <c r="G2203" s="38" t="n">
        <f aca="false">IF(Raw_Export!$A2203="","",IFERROR(VALUE(SUBSTITUTE(SUBSTITUTE(UPPER(TRIM(Raw_Export!F2203)),"KES",""),",","")),0))</f>
        <v>378</v>
      </c>
      <c r="H2203" s="38" t="n">
        <f aca="false">IF(Raw_Export!$A2203="","",F2203*G2203)</f>
        <v>378</v>
      </c>
      <c r="I2203" s="36" t="str">
        <f aca="false">IF(Raw_Export!$A2203="","",IFERROR(VLOOKUP(LOWER(TRIM(Raw_Export!H2203)),Maps!$D$2:$E$12,2,FALSE()),"Other"))</f>
        <v>M-Pesa</v>
      </c>
      <c r="J2203" s="36" t="str">
        <f aca="false">IF(Raw_Export!$A2203="","",IF(COUNTIF($A$2:A2203,A2203)&gt;1,"Duplicate",""))</f>
        <v/>
      </c>
      <c r="K2203" s="36" t="str">
        <f aca="false">IF(Raw_Export!$A2203="","",IF(J2203="Duplicate","Duplicate",IF(OR(C2203="UNMAPPED",D2203="UNMAPPED"),"Unmapped",IF(F2203=0,"Blank qty",IF(F2203&lt;0,"Return","OK")))))</f>
        <v>OK</v>
      </c>
      <c r="L2203" s="36" t="n">
        <f aca="false">IF(Raw_Export!$A2203="","",IF(OR(K2203="OK",K2203="Return"),1,0))</f>
        <v>1</v>
      </c>
      <c r="M2203" s="37" t="n">
        <f aca="false">IF(Raw_Export!$A2203="","",B2203-WEEKDAY(B2203,2)+1)</f>
        <v>46272</v>
      </c>
    </row>
    <row r="2204" customFormat="false" ht="15" hidden="false" customHeight="false" outlineLevel="0" collapsed="false">
      <c r="A2204" s="36" t="str">
        <f aca="false">IF(Raw_Export!$A2204="","",TRIM(Raw_Export!A2204))</f>
        <v>TXN-102160</v>
      </c>
      <c r="B2204" s="37" t="n">
        <f aca="false">IF(Raw_Export!$A2204="","",IF(ISNUMBER(Raw_Export!B2204),Raw_Export!B2204,IF(MID(TRIM(Raw_Export!B2204),5,1)="-",DATE(LEFT(TRIM(Raw_Export!B2204),4),MID(TRIM(Raw_Export!B2204),6,2),RIGHT(TRIM(Raw_Export!B2204),2)),DATE(RIGHT(TRIM(Raw_Export!B2204),4),MATCH(MID(TRIM(Raw_Export!B2204),4,3),{"Jan","Feb","Mar","Apr","May","Jun","Jul","Aug","Sep","Oct","Nov","Dec"},0),LEFT(TRIM(Raw_Export!B2204),2)))))</f>
        <v>46278</v>
      </c>
      <c r="C2204" s="36" t="str">
        <f aca="false">IF(Raw_Export!$A2204="","",IFERROR(VLOOKUP(LOWER(TRIM(Raw_Export!C2204)),Maps!$A$2:$B$20,2,FALSE()),"UNMAPPED"))</f>
        <v>Nakuru</v>
      </c>
      <c r="D2204" s="36" t="str">
        <f aca="false">IF(Raw_Export!$A2204="","",IFERROR(VLOOKUP(LOWER(TRIM(Raw_Export!D2204)),Maps!$G$2:$I$80,2,FALSE()),"UNMAPPED"))</f>
        <v>Sanitary Pads 8pk</v>
      </c>
      <c r="E2204" s="36" t="str">
        <f aca="false">IF(Raw_Export!$A2204="","",IFERROR(VLOOKUP(LOWER(TRIM(Raw_Export!D2204)),Maps!$G$2:$I$80,3,FALSE()),"UNMAPPED"))</f>
        <v>Personal Care</v>
      </c>
      <c r="F2204" s="36" t="n">
        <f aca="false">IF(Raw_Export!$A2204="","",IFERROR(VALUE(TRIM(Raw_Export!E2204)),0))</f>
        <v>1</v>
      </c>
      <c r="G2204" s="38" t="n">
        <f aca="false">IF(Raw_Export!$A2204="","",IFERROR(VALUE(SUBSTITUTE(SUBSTITUTE(UPPER(TRIM(Raw_Export!F2204)),"KES",""),",","")),0))</f>
        <v>130</v>
      </c>
      <c r="H2204" s="38" t="n">
        <f aca="false">IF(Raw_Export!$A2204="","",F2204*G2204)</f>
        <v>130</v>
      </c>
      <c r="I2204" s="36" t="str">
        <f aca="false">IF(Raw_Export!$A2204="","",IFERROR(VLOOKUP(LOWER(TRIM(Raw_Export!H2204)),Maps!$D$2:$E$12,2,FALSE()),"Other"))</f>
        <v>Cash</v>
      </c>
      <c r="J2204" s="36" t="str">
        <f aca="false">IF(Raw_Export!$A2204="","",IF(COUNTIF($A$2:A2204,A2204)&gt;1,"Duplicate",""))</f>
        <v/>
      </c>
      <c r="K2204" s="36" t="str">
        <f aca="false">IF(Raw_Export!$A2204="","",IF(J2204="Duplicate","Duplicate",IF(OR(C2204="UNMAPPED",D2204="UNMAPPED"),"Unmapped",IF(F2204=0,"Blank qty",IF(F2204&lt;0,"Return","OK")))))</f>
        <v>OK</v>
      </c>
      <c r="L2204" s="36" t="n">
        <f aca="false">IF(Raw_Export!$A2204="","",IF(OR(K2204="OK",K2204="Return"),1,0))</f>
        <v>1</v>
      </c>
      <c r="M2204" s="37" t="n">
        <f aca="false">IF(Raw_Export!$A2204="","",B2204-WEEKDAY(B2204,2)+1)</f>
        <v>46272</v>
      </c>
    </row>
    <row r="2205" customFormat="false" ht="15" hidden="false" customHeight="false" outlineLevel="0" collapsed="false">
      <c r="A2205" s="36" t="str">
        <f aca="false">IF(Raw_Export!$A2205="","",TRIM(Raw_Export!A2205))</f>
        <v>TXN-102161</v>
      </c>
      <c r="B2205" s="37" t="n">
        <f aca="false">IF(Raw_Export!$A2205="","",IF(ISNUMBER(Raw_Export!B2205),Raw_Export!B2205,IF(MID(TRIM(Raw_Export!B2205),5,1)="-",DATE(LEFT(TRIM(Raw_Export!B2205),4),MID(TRIM(Raw_Export!B2205),6,2),RIGHT(TRIM(Raw_Export!B2205),2)),DATE(RIGHT(TRIM(Raw_Export!B2205),4),MATCH(MID(TRIM(Raw_Export!B2205),4,3),{"Jan","Feb","Mar","Apr","May","Jun","Jul","Aug","Sep","Oct","Nov","Dec"},0),LEFT(TRIM(Raw_Export!B2205),2)))))</f>
        <v>46278</v>
      </c>
      <c r="C2205" s="36" t="str">
        <f aca="false">IF(Raw_Export!$A2205="","",IFERROR(VLOOKUP(LOWER(TRIM(Raw_Export!C2205)),Maps!$A$2:$B$20,2,FALSE()),"UNMAPPED"))</f>
        <v>Nakuru</v>
      </c>
      <c r="D2205" s="36" t="str">
        <f aca="false">IF(Raw_Export!$A2205="","",IFERROR(VLOOKUP(LOWER(TRIM(Raw_Export!D2205)),Maps!$G$2:$I$80,2,FALSE()),"UNMAPPED"))</f>
        <v>Bottled Water 1.5L</v>
      </c>
      <c r="E2205" s="36" t="str">
        <f aca="false">IF(Raw_Export!$A2205="","",IFERROR(VLOOKUP(LOWER(TRIM(Raw_Export!D2205)),Maps!$G$2:$I$80,3,FALSE()),"UNMAPPED"))</f>
        <v>Beverages</v>
      </c>
      <c r="F2205" s="36" t="n">
        <f aca="false">IF(Raw_Export!$A2205="","",IFERROR(VALUE(TRIM(Raw_Export!E2205)),0))</f>
        <v>2</v>
      </c>
      <c r="G2205" s="38" t="n">
        <f aca="false">IF(Raw_Export!$A2205="","",IFERROR(VALUE(SUBSTITUTE(SUBSTITUTE(UPPER(TRIM(Raw_Export!F2205)),"KES",""),",","")),0))</f>
        <v>90</v>
      </c>
      <c r="H2205" s="38" t="n">
        <f aca="false">IF(Raw_Export!$A2205="","",F2205*G2205)</f>
        <v>180</v>
      </c>
      <c r="I2205" s="36" t="str">
        <f aca="false">IF(Raw_Export!$A2205="","",IFERROR(VLOOKUP(LOWER(TRIM(Raw_Export!H2205)),Maps!$D$2:$E$12,2,FALSE()),"Other"))</f>
        <v>Cash</v>
      </c>
      <c r="J2205" s="36" t="str">
        <f aca="false">IF(Raw_Export!$A2205="","",IF(COUNTIF($A$2:A2205,A2205)&gt;1,"Duplicate",""))</f>
        <v/>
      </c>
      <c r="K2205" s="36" t="str">
        <f aca="false">IF(Raw_Export!$A2205="","",IF(J2205="Duplicate","Duplicate",IF(OR(C2205="UNMAPPED",D2205="UNMAPPED"),"Unmapped",IF(F2205=0,"Blank qty",IF(F2205&lt;0,"Return","OK")))))</f>
        <v>OK</v>
      </c>
      <c r="L2205" s="36" t="n">
        <f aca="false">IF(Raw_Export!$A2205="","",IF(OR(K2205="OK",K2205="Return"),1,0))</f>
        <v>1</v>
      </c>
      <c r="M2205" s="37" t="n">
        <f aca="false">IF(Raw_Export!$A2205="","",B2205-WEEKDAY(B2205,2)+1)</f>
        <v>46272</v>
      </c>
    </row>
    <row r="2206" customFormat="false" ht="15" hidden="false" customHeight="false" outlineLevel="0" collapsed="false">
      <c r="A2206" s="36" t="str">
        <f aca="false">IF(Raw_Export!$A2206="","",TRIM(Raw_Export!A2206))</f>
        <v>TXN-102162</v>
      </c>
      <c r="B2206" s="37" t="n">
        <f aca="false">IF(Raw_Export!$A2206="","",IF(ISNUMBER(Raw_Export!B2206),Raw_Export!B2206,IF(MID(TRIM(Raw_Export!B2206),5,1)="-",DATE(LEFT(TRIM(Raw_Export!B2206),4),MID(TRIM(Raw_Export!B2206),6,2),RIGHT(TRIM(Raw_Export!B2206),2)),DATE(RIGHT(TRIM(Raw_Export!B2206),4),MATCH(MID(TRIM(Raw_Export!B2206),4,3),{"Jan","Feb","Mar","Apr","May","Jun","Jul","Aug","Sep","Oct","Nov","Dec"},0),LEFT(TRIM(Raw_Export!B2206),2)))))</f>
        <v>46278</v>
      </c>
      <c r="C2206" s="36" t="str">
        <f aca="false">IF(Raw_Export!$A2206="","",IFERROR(VLOOKUP(LOWER(TRIM(Raw_Export!C2206)),Maps!$A$2:$B$20,2,FALSE()),"UNMAPPED"))</f>
        <v>Nakuru</v>
      </c>
      <c r="D2206" s="36" t="str">
        <f aca="false">IF(Raw_Export!$A2206="","",IFERROR(VLOOKUP(LOWER(TRIM(Raw_Export!D2206)),Maps!$G$2:$I$80,2,FALSE()),"UNMAPPED"))</f>
        <v>Coffee 100g</v>
      </c>
      <c r="E2206" s="36" t="str">
        <f aca="false">IF(Raw_Export!$A2206="","",IFERROR(VLOOKUP(LOWER(TRIM(Raw_Export!D2206)),Maps!$G$2:$I$80,3,FALSE()),"UNMAPPED"))</f>
        <v>Beverages</v>
      </c>
      <c r="F2206" s="36" t="n">
        <f aca="false">IF(Raw_Export!$A2206="","",IFERROR(VALUE(TRIM(Raw_Export!E2206)),0))</f>
        <v>1</v>
      </c>
      <c r="G2206" s="38" t="n">
        <f aca="false">IF(Raw_Export!$A2206="","",IFERROR(VALUE(SUBSTITUTE(SUBSTITUTE(UPPER(TRIM(Raw_Export!F2206)),"KES",""),",","")),0))</f>
        <v>360</v>
      </c>
      <c r="H2206" s="38" t="n">
        <f aca="false">IF(Raw_Export!$A2206="","",F2206*G2206)</f>
        <v>360</v>
      </c>
      <c r="I2206" s="36" t="str">
        <f aca="false">IF(Raw_Export!$A2206="","",IFERROR(VLOOKUP(LOWER(TRIM(Raw_Export!H2206)),Maps!$D$2:$E$12,2,FALSE()),"Other"))</f>
        <v>M-Pesa</v>
      </c>
      <c r="J2206" s="36" t="str">
        <f aca="false">IF(Raw_Export!$A2206="","",IF(COUNTIF($A$2:A2206,A2206)&gt;1,"Duplicate",""))</f>
        <v/>
      </c>
      <c r="K2206" s="36" t="str">
        <f aca="false">IF(Raw_Export!$A2206="","",IF(J2206="Duplicate","Duplicate",IF(OR(C2206="UNMAPPED",D2206="UNMAPPED"),"Unmapped",IF(F2206=0,"Blank qty",IF(F2206&lt;0,"Return","OK")))))</f>
        <v>OK</v>
      </c>
      <c r="L2206" s="36" t="n">
        <f aca="false">IF(Raw_Export!$A2206="","",IF(OR(K2206="OK",K2206="Return"),1,0))</f>
        <v>1</v>
      </c>
      <c r="M2206" s="37" t="n">
        <f aca="false">IF(Raw_Export!$A2206="","",B2206-WEEKDAY(B2206,2)+1)</f>
        <v>46272</v>
      </c>
    </row>
    <row r="2207" customFormat="false" ht="15" hidden="false" customHeight="false" outlineLevel="0" collapsed="false">
      <c r="A2207" s="36" t="str">
        <f aca="false">IF(Raw_Export!$A2207="","",TRIM(Raw_Export!A2207))</f>
        <v>TXN-102163</v>
      </c>
      <c r="B2207" s="37" t="n">
        <f aca="false">IF(Raw_Export!$A2207="","",IF(ISNUMBER(Raw_Export!B2207),Raw_Export!B2207,IF(MID(TRIM(Raw_Export!B2207),5,1)="-",DATE(LEFT(TRIM(Raw_Export!B2207),4),MID(TRIM(Raw_Export!B2207),6,2),RIGHT(TRIM(Raw_Export!B2207),2)),DATE(RIGHT(TRIM(Raw_Export!B2207),4),MATCH(MID(TRIM(Raw_Export!B2207),4,3),{"Jan","Feb","Mar","Apr","May","Jun","Jul","Aug","Sep","Oct","Nov","Dec"},0),LEFT(TRIM(Raw_Export!B2207),2)))))</f>
        <v>46278</v>
      </c>
      <c r="C2207" s="36" t="str">
        <f aca="false">IF(Raw_Export!$A2207="","",IFERROR(VLOOKUP(LOWER(TRIM(Raw_Export!C2207)),Maps!$A$2:$B$20,2,FALSE()),"UNMAPPED"))</f>
        <v>Nakuru</v>
      </c>
      <c r="D2207" s="36" t="str">
        <f aca="false">IF(Raw_Export!$A2207="","",IFERROR(VLOOKUP(LOWER(TRIM(Raw_Export!D2207)),Maps!$G$2:$I$80,2,FALSE()),"UNMAPPED"))</f>
        <v>Bottled Water 1.5L</v>
      </c>
      <c r="E2207" s="36" t="str">
        <f aca="false">IF(Raw_Export!$A2207="","",IFERROR(VLOOKUP(LOWER(TRIM(Raw_Export!D2207)),Maps!$G$2:$I$80,3,FALSE()),"UNMAPPED"))</f>
        <v>Beverages</v>
      </c>
      <c r="F2207" s="36" t="n">
        <f aca="false">IF(Raw_Export!$A2207="","",IFERROR(VALUE(TRIM(Raw_Export!E2207)),0))</f>
        <v>6</v>
      </c>
      <c r="G2207" s="38" t="n">
        <f aca="false">IF(Raw_Export!$A2207="","",IFERROR(VALUE(SUBSTITUTE(SUBSTITUTE(UPPER(TRIM(Raw_Export!F2207)),"KES",""),",","")),0))</f>
        <v>90</v>
      </c>
      <c r="H2207" s="38" t="n">
        <f aca="false">IF(Raw_Export!$A2207="","",F2207*G2207)</f>
        <v>540</v>
      </c>
      <c r="I2207" s="36" t="str">
        <f aca="false">IF(Raw_Export!$A2207="","",IFERROR(VLOOKUP(LOWER(TRIM(Raw_Export!H2207)),Maps!$D$2:$E$12,2,FALSE()),"Other"))</f>
        <v>M-Pesa</v>
      </c>
      <c r="J2207" s="36" t="str">
        <f aca="false">IF(Raw_Export!$A2207="","",IF(COUNTIF($A$2:A2207,A2207)&gt;1,"Duplicate",""))</f>
        <v/>
      </c>
      <c r="K2207" s="36" t="str">
        <f aca="false">IF(Raw_Export!$A2207="","",IF(J2207="Duplicate","Duplicate",IF(OR(C2207="UNMAPPED",D2207="UNMAPPED"),"Unmapped",IF(F2207=0,"Blank qty",IF(F2207&lt;0,"Return","OK")))))</f>
        <v>OK</v>
      </c>
      <c r="L2207" s="36" t="n">
        <f aca="false">IF(Raw_Export!$A2207="","",IF(OR(K2207="OK",K2207="Return"),1,0))</f>
        <v>1</v>
      </c>
      <c r="M2207" s="37" t="n">
        <f aca="false">IF(Raw_Export!$A2207="","",B2207-WEEKDAY(B2207,2)+1)</f>
        <v>46272</v>
      </c>
    </row>
    <row r="2208" customFormat="false" ht="15" hidden="false" customHeight="false" outlineLevel="0" collapsed="false">
      <c r="A2208" s="36" t="str">
        <f aca="false">IF(Raw_Export!$A2208="","",TRIM(Raw_Export!A2208))</f>
        <v>TXN-102164</v>
      </c>
      <c r="B2208" s="37" t="n">
        <f aca="false">IF(Raw_Export!$A2208="","",IF(ISNUMBER(Raw_Export!B2208),Raw_Export!B2208,IF(MID(TRIM(Raw_Export!B2208),5,1)="-",DATE(LEFT(TRIM(Raw_Export!B2208),4),MID(TRIM(Raw_Export!B2208),6,2),RIGHT(TRIM(Raw_Export!B2208),2)),DATE(RIGHT(TRIM(Raw_Export!B2208),4),MATCH(MID(TRIM(Raw_Export!B2208),4,3),{"Jan","Feb","Mar","Apr","May","Jun","Jul","Aug","Sep","Oct","Nov","Dec"},0),LEFT(TRIM(Raw_Export!B2208),2)))))</f>
        <v>46278</v>
      </c>
      <c r="C2208" s="36" t="str">
        <f aca="false">IF(Raw_Export!$A2208="","",IFERROR(VLOOKUP(LOWER(TRIM(Raw_Export!C2208)),Maps!$A$2:$B$20,2,FALSE()),"UNMAPPED"))</f>
        <v>Nakuru</v>
      </c>
      <c r="D2208" s="36" t="str">
        <f aca="false">IF(Raw_Export!$A2208="","",IFERROR(VLOOKUP(LOWER(TRIM(Raw_Export!D2208)),Maps!$G$2:$I$80,2,FALSE()),"UNMAPPED"))</f>
        <v>Bread Loaf 400g</v>
      </c>
      <c r="E2208" s="36" t="str">
        <f aca="false">IF(Raw_Export!$A2208="","",IFERROR(VLOOKUP(LOWER(TRIM(Raw_Export!D2208)),Maps!$G$2:$I$80,3,FALSE()),"UNMAPPED"))</f>
        <v>Snacks</v>
      </c>
      <c r="F2208" s="36" t="n">
        <f aca="false">IF(Raw_Export!$A2208="","",IFERROR(VALUE(TRIM(Raw_Export!E2208)),0))</f>
        <v>4</v>
      </c>
      <c r="G2208" s="38" t="n">
        <f aca="false">IF(Raw_Export!$A2208="","",IFERROR(VALUE(SUBSTITUTE(SUBSTITUTE(UPPER(TRIM(Raw_Export!F2208)),"KES",""),",","")),0))</f>
        <v>65</v>
      </c>
      <c r="H2208" s="38" t="n">
        <f aca="false">IF(Raw_Export!$A2208="","",F2208*G2208)</f>
        <v>260</v>
      </c>
      <c r="I2208" s="36" t="str">
        <f aca="false">IF(Raw_Export!$A2208="","",IFERROR(VLOOKUP(LOWER(TRIM(Raw_Export!H2208)),Maps!$D$2:$E$12,2,FALSE()),"Other"))</f>
        <v>M-Pesa</v>
      </c>
      <c r="J2208" s="36" t="str">
        <f aca="false">IF(Raw_Export!$A2208="","",IF(COUNTIF($A$2:A2208,A2208)&gt;1,"Duplicate",""))</f>
        <v/>
      </c>
      <c r="K2208" s="36" t="str">
        <f aca="false">IF(Raw_Export!$A2208="","",IF(J2208="Duplicate","Duplicate",IF(OR(C2208="UNMAPPED",D2208="UNMAPPED"),"Unmapped",IF(F2208=0,"Blank qty",IF(F2208&lt;0,"Return","OK")))))</f>
        <v>OK</v>
      </c>
      <c r="L2208" s="36" t="n">
        <f aca="false">IF(Raw_Export!$A2208="","",IF(OR(K2208="OK",K2208="Return"),1,0))</f>
        <v>1</v>
      </c>
      <c r="M2208" s="37" t="n">
        <f aca="false">IF(Raw_Export!$A2208="","",B2208-WEEKDAY(B2208,2)+1)</f>
        <v>46272</v>
      </c>
    </row>
    <row r="2209" customFormat="false" ht="15" hidden="false" customHeight="false" outlineLevel="0" collapsed="false">
      <c r="A2209" s="36" t="str">
        <f aca="false">IF(Raw_Export!$A2209="","",TRIM(Raw_Export!A2209))</f>
        <v>TXN-102165</v>
      </c>
      <c r="B2209" s="37" t="n">
        <f aca="false">IF(Raw_Export!$A2209="","",IF(ISNUMBER(Raw_Export!B2209),Raw_Export!B2209,IF(MID(TRIM(Raw_Export!B2209),5,1)="-",DATE(LEFT(TRIM(Raw_Export!B2209),4),MID(TRIM(Raw_Export!B2209),6,2),RIGHT(TRIM(Raw_Export!B2209),2)),DATE(RIGHT(TRIM(Raw_Export!B2209),4),MATCH(MID(TRIM(Raw_Export!B2209),4,3),{"Jan","Feb","Mar","Apr","May","Jun","Jul","Aug","Sep","Oct","Nov","Dec"},0),LEFT(TRIM(Raw_Export!B2209),2)))))</f>
        <v>46278</v>
      </c>
      <c r="C2209" s="36" t="str">
        <f aca="false">IF(Raw_Export!$A2209="","",IFERROR(VLOOKUP(LOWER(TRIM(Raw_Export!C2209)),Maps!$A$2:$B$20,2,FALSE()),"UNMAPPED"))</f>
        <v>Nakuru</v>
      </c>
      <c r="D2209" s="36" t="str">
        <f aca="false">IF(Raw_Export!$A2209="","",IFERROR(VLOOKUP(LOWER(TRIM(Raw_Export!D2209)),Maps!$G$2:$I$80,2,FALSE()),"UNMAPPED"))</f>
        <v>Butter 250g</v>
      </c>
      <c r="E2209" s="36" t="str">
        <f aca="false">IF(Raw_Export!$A2209="","",IFERROR(VLOOKUP(LOWER(TRIM(Raw_Export!D2209)),Maps!$G$2:$I$80,3,FALSE()),"UNMAPPED"))</f>
        <v>Dairy &amp; Eggs</v>
      </c>
      <c r="F2209" s="36" t="n">
        <f aca="false">IF(Raw_Export!$A2209="","",IFERROR(VALUE(TRIM(Raw_Export!E2209)),0))</f>
        <v>1</v>
      </c>
      <c r="G2209" s="38" t="n">
        <f aca="false">IF(Raw_Export!$A2209="","",IFERROR(VALUE(SUBSTITUTE(SUBSTITUTE(UPPER(TRIM(Raw_Export!F2209)),"KES",""),",","")),0))</f>
        <v>310</v>
      </c>
      <c r="H2209" s="38" t="n">
        <f aca="false">IF(Raw_Export!$A2209="","",F2209*G2209)</f>
        <v>310</v>
      </c>
      <c r="I2209" s="36" t="str">
        <f aca="false">IF(Raw_Export!$A2209="","",IFERROR(VLOOKUP(LOWER(TRIM(Raw_Export!H2209)),Maps!$D$2:$E$12,2,FALSE()),"Other"))</f>
        <v>M-Pesa</v>
      </c>
      <c r="J2209" s="36" t="str">
        <f aca="false">IF(Raw_Export!$A2209="","",IF(COUNTIF($A$2:A2209,A2209)&gt;1,"Duplicate",""))</f>
        <v/>
      </c>
      <c r="K2209" s="36" t="str">
        <f aca="false">IF(Raw_Export!$A2209="","",IF(J2209="Duplicate","Duplicate",IF(OR(C2209="UNMAPPED",D2209="UNMAPPED"),"Unmapped",IF(F2209=0,"Blank qty",IF(F2209&lt;0,"Return","OK")))))</f>
        <v>OK</v>
      </c>
      <c r="L2209" s="36" t="n">
        <f aca="false">IF(Raw_Export!$A2209="","",IF(OR(K2209="OK",K2209="Return"),1,0))</f>
        <v>1</v>
      </c>
      <c r="M2209" s="37" t="n">
        <f aca="false">IF(Raw_Export!$A2209="","",B2209-WEEKDAY(B2209,2)+1)</f>
        <v>46272</v>
      </c>
    </row>
    <row r="2210" customFormat="false" ht="15" hidden="false" customHeight="false" outlineLevel="0" collapsed="false">
      <c r="A2210" s="36" t="str">
        <f aca="false">IF(Raw_Export!$A2210="","",TRIM(Raw_Export!A2210))</f>
        <v>TXN-102166</v>
      </c>
      <c r="B2210" s="37" t="n">
        <f aca="false">IF(Raw_Export!$A2210="","",IF(ISNUMBER(Raw_Export!B2210),Raw_Export!B2210,IF(MID(TRIM(Raw_Export!B2210),5,1)="-",DATE(LEFT(TRIM(Raw_Export!B2210),4),MID(TRIM(Raw_Export!B2210),6,2),RIGHT(TRIM(Raw_Export!B2210),2)),DATE(RIGHT(TRIM(Raw_Export!B2210),4),MATCH(MID(TRIM(Raw_Export!B2210),4,3),{"Jan","Feb","Mar","Apr","May","Jun","Jul","Aug","Sep","Oct","Nov","Dec"},0),LEFT(TRIM(Raw_Export!B2210),2)))))</f>
        <v>46278</v>
      </c>
      <c r="C2210" s="36" t="str">
        <f aca="false">IF(Raw_Export!$A2210="","",IFERROR(VLOOKUP(LOWER(TRIM(Raw_Export!C2210)),Maps!$A$2:$B$20,2,FALSE()),"UNMAPPED"))</f>
        <v>Nakuru</v>
      </c>
      <c r="D2210" s="36" t="str">
        <f aca="false">IF(Raw_Export!$A2210="","",IFERROR(VLOOKUP(LOWER(TRIM(Raw_Export!D2210)),Maps!$G$2:$I$80,2,FALSE()),"UNMAPPED"))</f>
        <v>Matches 10pk</v>
      </c>
      <c r="E2210" s="36" t="str">
        <f aca="false">IF(Raw_Export!$A2210="","",IFERROR(VLOOKUP(LOWER(TRIM(Raw_Export!D2210)),Maps!$G$2:$I$80,3,FALSE()),"UNMAPPED"))</f>
        <v>Household</v>
      </c>
      <c r="F2210" s="36" t="n">
        <f aca="false">IF(Raw_Export!$A2210="","",IFERROR(VALUE(TRIM(Raw_Export!E2210)),0))</f>
        <v>2</v>
      </c>
      <c r="G2210" s="38" t="n">
        <f aca="false">IF(Raw_Export!$A2210="","",IFERROR(VALUE(SUBSTITUTE(SUBSTITUTE(UPPER(TRIM(Raw_Export!F2210)),"KES",""),",","")),0))</f>
        <v>50</v>
      </c>
      <c r="H2210" s="38" t="n">
        <f aca="false">IF(Raw_Export!$A2210="","",F2210*G2210)</f>
        <v>100</v>
      </c>
      <c r="I2210" s="36" t="str">
        <f aca="false">IF(Raw_Export!$A2210="","",IFERROR(VLOOKUP(LOWER(TRIM(Raw_Export!H2210)),Maps!$D$2:$E$12,2,FALSE()),"Other"))</f>
        <v>Cash</v>
      </c>
      <c r="J2210" s="36" t="str">
        <f aca="false">IF(Raw_Export!$A2210="","",IF(COUNTIF($A$2:A2210,A2210)&gt;1,"Duplicate",""))</f>
        <v/>
      </c>
      <c r="K2210" s="36" t="str">
        <f aca="false">IF(Raw_Export!$A2210="","",IF(J2210="Duplicate","Duplicate",IF(OR(C2210="UNMAPPED",D2210="UNMAPPED"),"Unmapped",IF(F2210=0,"Blank qty",IF(F2210&lt;0,"Return","OK")))))</f>
        <v>OK</v>
      </c>
      <c r="L2210" s="36" t="n">
        <f aca="false">IF(Raw_Export!$A2210="","",IF(OR(K2210="OK",K2210="Return"),1,0))</f>
        <v>1</v>
      </c>
      <c r="M2210" s="37" t="n">
        <f aca="false">IF(Raw_Export!$A2210="","",B2210-WEEKDAY(B2210,2)+1)</f>
        <v>46272</v>
      </c>
    </row>
    <row r="2211" customFormat="false" ht="15" hidden="false" customHeight="false" outlineLevel="0" collapsed="false">
      <c r="A2211" s="36" t="str">
        <f aca="false">IF(Raw_Export!$A2211="","",TRIM(Raw_Export!A2211))</f>
        <v>TXN-102167</v>
      </c>
      <c r="B2211" s="37" t="n">
        <f aca="false">IF(Raw_Export!$A2211="","",IF(ISNUMBER(Raw_Export!B2211),Raw_Export!B2211,IF(MID(TRIM(Raw_Export!B2211),5,1)="-",DATE(LEFT(TRIM(Raw_Export!B2211),4),MID(TRIM(Raw_Export!B2211),6,2),RIGHT(TRIM(Raw_Export!B2211),2)),DATE(RIGHT(TRIM(Raw_Export!B2211),4),MATCH(MID(TRIM(Raw_Export!B2211),4,3),{"Jan","Feb","Mar","Apr","May","Jun","Jul","Aug","Sep","Oct","Nov","Dec"},0),LEFT(TRIM(Raw_Export!B2211),2)))))</f>
        <v>46278</v>
      </c>
      <c r="C2211" s="36" t="str">
        <f aca="false">IF(Raw_Export!$A2211="","",IFERROR(VLOOKUP(LOWER(TRIM(Raw_Export!C2211)),Maps!$A$2:$B$20,2,FALSE()),"UNMAPPED"))</f>
        <v>Nakuru</v>
      </c>
      <c r="D2211" s="36" t="str">
        <f aca="false">IF(Raw_Export!$A2211="","",IFERROR(VLOOKUP(LOWER(TRIM(Raw_Export!D2211)),Maps!$G$2:$I$80,2,FALSE()),"UNMAPPED"))</f>
        <v>Spaghetti 400g</v>
      </c>
      <c r="E2211" s="36" t="str">
        <f aca="false">IF(Raw_Export!$A2211="","",IFERROR(VLOOKUP(LOWER(TRIM(Raw_Export!D2211)),Maps!$G$2:$I$80,3,FALSE()),"UNMAPPED"))</f>
        <v>Staples</v>
      </c>
      <c r="F2211" s="36" t="n">
        <f aca="false">IF(Raw_Export!$A2211="","",IFERROR(VALUE(TRIM(Raw_Export!E2211)),0))</f>
        <v>1</v>
      </c>
      <c r="G2211" s="38" t="n">
        <f aca="false">IF(Raw_Export!$A2211="","",IFERROR(VALUE(SUBSTITUTE(SUBSTITUTE(UPPER(TRIM(Raw_Export!F2211)),"KES",""),",","")),0))</f>
        <v>110</v>
      </c>
      <c r="H2211" s="38" t="n">
        <f aca="false">IF(Raw_Export!$A2211="","",F2211*G2211)</f>
        <v>110</v>
      </c>
      <c r="I2211" s="36" t="str">
        <f aca="false">IF(Raw_Export!$A2211="","",IFERROR(VLOOKUP(LOWER(TRIM(Raw_Export!H2211)),Maps!$D$2:$E$12,2,FALSE()),"Other"))</f>
        <v>M-Pesa</v>
      </c>
      <c r="J2211" s="36" t="str">
        <f aca="false">IF(Raw_Export!$A2211="","",IF(COUNTIF($A$2:A2211,A2211)&gt;1,"Duplicate",""))</f>
        <v/>
      </c>
      <c r="K2211" s="36" t="str">
        <f aca="false">IF(Raw_Export!$A2211="","",IF(J2211="Duplicate","Duplicate",IF(OR(C2211="UNMAPPED",D2211="UNMAPPED"),"Unmapped",IF(F2211=0,"Blank qty",IF(F2211&lt;0,"Return","OK")))))</f>
        <v>OK</v>
      </c>
      <c r="L2211" s="36" t="n">
        <f aca="false">IF(Raw_Export!$A2211="","",IF(OR(K2211="OK",K2211="Return"),1,0))</f>
        <v>1</v>
      </c>
      <c r="M2211" s="37" t="n">
        <f aca="false">IF(Raw_Export!$A2211="","",B2211-WEEKDAY(B2211,2)+1)</f>
        <v>46272</v>
      </c>
    </row>
    <row r="2212" customFormat="false" ht="15" hidden="false" customHeight="false" outlineLevel="0" collapsed="false">
      <c r="A2212" s="36" t="str">
        <f aca="false">IF(Raw_Export!$A2212="","",TRIM(Raw_Export!A2212))</f>
        <v>TXN-102168</v>
      </c>
      <c r="B2212" s="37" t="n">
        <f aca="false">IF(Raw_Export!$A2212="","",IF(ISNUMBER(Raw_Export!B2212),Raw_Export!B2212,IF(MID(TRIM(Raw_Export!B2212),5,1)="-",DATE(LEFT(TRIM(Raw_Export!B2212),4),MID(TRIM(Raw_Export!B2212),6,2),RIGHT(TRIM(Raw_Export!B2212),2)),DATE(RIGHT(TRIM(Raw_Export!B2212),4),MATCH(MID(TRIM(Raw_Export!B2212),4,3),{"Jan","Feb","Mar","Apr","May","Jun","Jul","Aug","Sep","Oct","Nov","Dec"},0),LEFT(TRIM(Raw_Export!B2212),2)))))</f>
        <v>46278</v>
      </c>
      <c r="C2212" s="36" t="str">
        <f aca="false">IF(Raw_Export!$A2212="","",IFERROR(VLOOKUP(LOWER(TRIM(Raw_Export!C2212)),Maps!$A$2:$B$20,2,FALSE()),"UNMAPPED"))</f>
        <v>Nakuru</v>
      </c>
      <c r="D2212" s="36" t="str">
        <f aca="false">IF(Raw_Export!$A2212="","",IFERROR(VLOOKUP(LOWER(TRIM(Raw_Export!D2212)),Maps!$G$2:$I$80,2,FALSE()),"UNMAPPED"))</f>
        <v>Bottled Water 1.5L</v>
      </c>
      <c r="E2212" s="36" t="str">
        <f aca="false">IF(Raw_Export!$A2212="","",IFERROR(VLOOKUP(LOWER(TRIM(Raw_Export!D2212)),Maps!$G$2:$I$80,3,FALSE()),"UNMAPPED"))</f>
        <v>Beverages</v>
      </c>
      <c r="F2212" s="36" t="n">
        <f aca="false">IF(Raw_Export!$A2212="","",IFERROR(VALUE(TRIM(Raw_Export!E2212)),0))</f>
        <v>0</v>
      </c>
      <c r="G2212" s="38" t="n">
        <f aca="false">IF(Raw_Export!$A2212="","",IFERROR(VALUE(SUBSTITUTE(SUBSTITUTE(UPPER(TRIM(Raw_Export!F2212)),"KES",""),",","")),0))</f>
        <v>90</v>
      </c>
      <c r="H2212" s="38" t="n">
        <f aca="false">IF(Raw_Export!$A2212="","",F2212*G2212)</f>
        <v>0</v>
      </c>
      <c r="I2212" s="36" t="str">
        <f aca="false">IF(Raw_Export!$A2212="","",IFERROR(VLOOKUP(LOWER(TRIM(Raw_Export!H2212)),Maps!$D$2:$E$12,2,FALSE()),"Other"))</f>
        <v>Card</v>
      </c>
      <c r="J2212" s="36" t="str">
        <f aca="false">IF(Raw_Export!$A2212="","",IF(COUNTIF($A$2:A2212,A2212)&gt;1,"Duplicate",""))</f>
        <v/>
      </c>
      <c r="K2212" s="36" t="str">
        <f aca="false">IF(Raw_Export!$A2212="","",IF(J2212="Duplicate","Duplicate",IF(OR(C2212="UNMAPPED",D2212="UNMAPPED"),"Unmapped",IF(F2212=0,"Blank qty",IF(F2212&lt;0,"Return","OK")))))</f>
        <v>Blank qty</v>
      </c>
      <c r="L2212" s="36" t="n">
        <f aca="false">IF(Raw_Export!$A2212="","",IF(OR(K2212="OK",K2212="Return"),1,0))</f>
        <v>0</v>
      </c>
      <c r="M2212" s="37" t="n">
        <f aca="false">IF(Raw_Export!$A2212="","",B2212-WEEKDAY(B2212,2)+1)</f>
        <v>46272</v>
      </c>
    </row>
    <row r="2213" customFormat="false" ht="15" hidden="false" customHeight="false" outlineLevel="0" collapsed="false">
      <c r="A2213" s="36" t="str">
        <f aca="false">IF(Raw_Export!$A2213="","",TRIM(Raw_Export!A2213))</f>
        <v>TXN-102169</v>
      </c>
      <c r="B2213" s="37" t="n">
        <f aca="false">IF(Raw_Export!$A2213="","",IF(ISNUMBER(Raw_Export!B2213),Raw_Export!B2213,IF(MID(TRIM(Raw_Export!B2213),5,1)="-",DATE(LEFT(TRIM(Raw_Export!B2213),4),MID(TRIM(Raw_Export!B2213),6,2),RIGHT(TRIM(Raw_Export!B2213),2)),DATE(RIGHT(TRIM(Raw_Export!B2213),4),MATCH(MID(TRIM(Raw_Export!B2213),4,3),{"Jan","Feb","Mar","Apr","May","Jun","Jul","Aug","Sep","Oct","Nov","Dec"},0),LEFT(TRIM(Raw_Export!B2213),2)))))</f>
        <v>46278</v>
      </c>
      <c r="C2213" s="36" t="str">
        <f aca="false">IF(Raw_Export!$A2213="","",IFERROR(VLOOKUP(LOWER(TRIM(Raw_Export!C2213)),Maps!$A$2:$B$20,2,FALSE()),"UNMAPPED"))</f>
        <v>Nakuru</v>
      </c>
      <c r="D2213" s="36" t="str">
        <f aca="false">IF(Raw_Export!$A2213="","",IFERROR(VLOOKUP(LOWER(TRIM(Raw_Export!D2213)),Maps!$G$2:$I$80,2,FALSE()),"UNMAPPED"))</f>
        <v>Fresh Milk 500ml</v>
      </c>
      <c r="E2213" s="36" t="str">
        <f aca="false">IF(Raw_Export!$A2213="","",IFERROR(VLOOKUP(LOWER(TRIM(Raw_Export!D2213)),Maps!$G$2:$I$80,3,FALSE()),"UNMAPPED"))</f>
        <v>Dairy &amp; Eggs</v>
      </c>
      <c r="F2213" s="36" t="n">
        <f aca="false">IF(Raw_Export!$A2213="","",IFERROR(VALUE(TRIM(Raw_Export!E2213)),0))</f>
        <v>1</v>
      </c>
      <c r="G2213" s="38" t="n">
        <f aca="false">IF(Raw_Export!$A2213="","",IFERROR(VALUE(SUBSTITUTE(SUBSTITUTE(UPPER(TRIM(Raw_Export!F2213)),"KES",""),",","")),0))</f>
        <v>65</v>
      </c>
      <c r="H2213" s="38" t="n">
        <f aca="false">IF(Raw_Export!$A2213="","",F2213*G2213)</f>
        <v>65</v>
      </c>
      <c r="I2213" s="36" t="str">
        <f aca="false">IF(Raw_Export!$A2213="","",IFERROR(VLOOKUP(LOWER(TRIM(Raw_Export!H2213)),Maps!$D$2:$E$12,2,FALSE()),"Other"))</f>
        <v>Card</v>
      </c>
      <c r="J2213" s="36" t="str">
        <f aca="false">IF(Raw_Export!$A2213="","",IF(COUNTIF($A$2:A2213,A2213)&gt;1,"Duplicate",""))</f>
        <v/>
      </c>
      <c r="K2213" s="36" t="str">
        <f aca="false">IF(Raw_Export!$A2213="","",IF(J2213="Duplicate","Duplicate",IF(OR(C2213="UNMAPPED",D2213="UNMAPPED"),"Unmapped",IF(F2213=0,"Blank qty",IF(F2213&lt;0,"Return","OK")))))</f>
        <v>OK</v>
      </c>
      <c r="L2213" s="36" t="n">
        <f aca="false">IF(Raw_Export!$A2213="","",IF(OR(K2213="OK",K2213="Return"),1,0))</f>
        <v>1</v>
      </c>
      <c r="M2213" s="37" t="n">
        <f aca="false">IF(Raw_Export!$A2213="","",B2213-WEEKDAY(B2213,2)+1)</f>
        <v>46272</v>
      </c>
    </row>
    <row r="2214" customFormat="false" ht="15" hidden="false" customHeight="false" outlineLevel="0" collapsed="false">
      <c r="A2214" s="36" t="str">
        <f aca="false">IF(Raw_Export!$A2214="","",TRIM(Raw_Export!A2214))</f>
        <v>TXN-102170</v>
      </c>
      <c r="B2214" s="37" t="n">
        <f aca="false">IF(Raw_Export!$A2214="","",IF(ISNUMBER(Raw_Export!B2214),Raw_Export!B2214,IF(MID(TRIM(Raw_Export!B2214),5,1)="-",DATE(LEFT(TRIM(Raw_Export!B2214),4),MID(TRIM(Raw_Export!B2214),6,2),RIGHT(TRIM(Raw_Export!B2214),2)),DATE(RIGHT(TRIM(Raw_Export!B2214),4),MATCH(MID(TRIM(Raw_Export!B2214),4,3),{"Jan","Feb","Mar","Apr","May","Jun","Jul","Aug","Sep","Oct","Nov","Dec"},0),LEFT(TRIM(Raw_Export!B2214),2)))))</f>
        <v>46278</v>
      </c>
      <c r="C2214" s="36" t="str">
        <f aca="false">IF(Raw_Export!$A2214="","",IFERROR(VLOOKUP(LOWER(TRIM(Raw_Export!C2214)),Maps!$A$2:$B$20,2,FALSE()),"UNMAPPED"))</f>
        <v>Nakuru</v>
      </c>
      <c r="D2214" s="36" t="str">
        <f aca="false">IF(Raw_Export!$A2214="","",IFERROR(VLOOKUP(LOWER(TRIM(Raw_Export!D2214)),Maps!$G$2:$I$80,2,FALSE()),"UNMAPPED"))</f>
        <v>Matches 10pk</v>
      </c>
      <c r="E2214" s="36" t="str">
        <f aca="false">IF(Raw_Export!$A2214="","",IFERROR(VLOOKUP(LOWER(TRIM(Raw_Export!D2214)),Maps!$G$2:$I$80,3,FALSE()),"UNMAPPED"))</f>
        <v>Household</v>
      </c>
      <c r="F2214" s="36" t="n">
        <f aca="false">IF(Raw_Export!$A2214="","",IFERROR(VALUE(TRIM(Raw_Export!E2214)),0))</f>
        <v>4</v>
      </c>
      <c r="G2214" s="38" t="n">
        <f aca="false">IF(Raw_Export!$A2214="","",IFERROR(VALUE(SUBSTITUTE(SUBSTITUTE(UPPER(TRIM(Raw_Export!F2214)),"KES",""),",","")),0))</f>
        <v>45</v>
      </c>
      <c r="H2214" s="38" t="n">
        <f aca="false">IF(Raw_Export!$A2214="","",F2214*G2214)</f>
        <v>180</v>
      </c>
      <c r="I2214" s="36" t="str">
        <f aca="false">IF(Raw_Export!$A2214="","",IFERROR(VLOOKUP(LOWER(TRIM(Raw_Export!H2214)),Maps!$D$2:$E$12,2,FALSE()),"Other"))</f>
        <v>M-Pesa</v>
      </c>
      <c r="J2214" s="36" t="str">
        <f aca="false">IF(Raw_Export!$A2214="","",IF(COUNTIF($A$2:A2214,A2214)&gt;1,"Duplicate",""))</f>
        <v/>
      </c>
      <c r="K2214" s="36" t="str">
        <f aca="false">IF(Raw_Export!$A2214="","",IF(J2214="Duplicate","Duplicate",IF(OR(C2214="UNMAPPED",D2214="UNMAPPED"),"Unmapped",IF(F2214=0,"Blank qty",IF(F2214&lt;0,"Return","OK")))))</f>
        <v>OK</v>
      </c>
      <c r="L2214" s="36" t="n">
        <f aca="false">IF(Raw_Export!$A2214="","",IF(OR(K2214="OK",K2214="Return"),1,0))</f>
        <v>1</v>
      </c>
      <c r="M2214" s="37" t="n">
        <f aca="false">IF(Raw_Export!$A2214="","",B2214-WEEKDAY(B2214,2)+1)</f>
        <v>46272</v>
      </c>
    </row>
    <row r="2215" customFormat="false" ht="15" hidden="false" customHeight="false" outlineLevel="0" collapsed="false">
      <c r="A2215" s="36" t="str">
        <f aca="false">IF(Raw_Export!$A2215="","",TRIM(Raw_Export!A2215))</f>
        <v>TXN-102171</v>
      </c>
      <c r="B2215" s="37" t="n">
        <f aca="false">IF(Raw_Export!$A2215="","",IF(ISNUMBER(Raw_Export!B2215),Raw_Export!B2215,IF(MID(TRIM(Raw_Export!B2215),5,1)="-",DATE(LEFT(TRIM(Raw_Export!B2215),4),MID(TRIM(Raw_Export!B2215),6,2),RIGHT(TRIM(Raw_Export!B2215),2)),DATE(RIGHT(TRIM(Raw_Export!B2215),4),MATCH(MID(TRIM(Raw_Export!B2215),4,3),{"Jan","Feb","Mar","Apr","May","Jun","Jul","Aug","Sep","Oct","Nov","Dec"},0),LEFT(TRIM(Raw_Export!B2215),2)))))</f>
        <v>46278</v>
      </c>
      <c r="C2215" s="36" t="str">
        <f aca="false">IF(Raw_Export!$A2215="","",IFERROR(VLOOKUP(LOWER(TRIM(Raw_Export!C2215)),Maps!$A$2:$B$20,2,FALSE()),"UNMAPPED"))</f>
        <v>Nakuru</v>
      </c>
      <c r="D2215" s="36" t="str">
        <f aca="false">IF(Raw_Export!$A2215="","",IFERROR(VLOOKUP(LOWER(TRIM(Raw_Export!D2215)),Maps!$G$2:$I$80,2,FALSE()),"UNMAPPED"))</f>
        <v>UNMAPPED</v>
      </c>
      <c r="E2215" s="36" t="str">
        <f aca="false">IF(Raw_Export!$A2215="","",IFERROR(VLOOKUP(LOWER(TRIM(Raw_Export!D2215)),Maps!$G$2:$I$80,3,FALSE()),"UNMAPPED"))</f>
        <v>UNMAPPED</v>
      </c>
      <c r="F2215" s="36" t="n">
        <f aca="false">IF(Raw_Export!$A2215="","",IFERROR(VALUE(TRIM(Raw_Export!E2215)),0))</f>
        <v>3</v>
      </c>
      <c r="G2215" s="38" t="n">
        <f aca="false">IF(Raw_Export!$A2215="","",IFERROR(VALUE(SUBSTITUTE(SUBSTITUTE(UPPER(TRIM(Raw_Export!F2215)),"KES",""),",","")),0))</f>
        <v>360</v>
      </c>
      <c r="H2215" s="38" t="n">
        <f aca="false">IF(Raw_Export!$A2215="","",F2215*G2215)</f>
        <v>1080</v>
      </c>
      <c r="I2215" s="36" t="str">
        <f aca="false">IF(Raw_Export!$A2215="","",IFERROR(VLOOKUP(LOWER(TRIM(Raw_Export!H2215)),Maps!$D$2:$E$12,2,FALSE()),"Other"))</f>
        <v>Card</v>
      </c>
      <c r="J2215" s="36" t="str">
        <f aca="false">IF(Raw_Export!$A2215="","",IF(COUNTIF($A$2:A2215,A2215)&gt;1,"Duplicate",""))</f>
        <v/>
      </c>
      <c r="K2215" s="36" t="str">
        <f aca="false">IF(Raw_Export!$A2215="","",IF(J2215="Duplicate","Duplicate",IF(OR(C2215="UNMAPPED",D2215="UNMAPPED"),"Unmapped",IF(F2215=0,"Blank qty",IF(F2215&lt;0,"Return","OK")))))</f>
        <v>Unmapped</v>
      </c>
      <c r="L2215" s="36" t="n">
        <f aca="false">IF(Raw_Export!$A2215="","",IF(OR(K2215="OK",K2215="Return"),1,0))</f>
        <v>0</v>
      </c>
      <c r="M2215" s="37" t="n">
        <f aca="false">IF(Raw_Export!$A2215="","",B2215-WEEKDAY(B2215,2)+1)</f>
        <v>46272</v>
      </c>
    </row>
    <row r="2216" customFormat="false" ht="15" hidden="false" customHeight="false" outlineLevel="0" collapsed="false">
      <c r="A2216" s="36" t="str">
        <f aca="false">IF(Raw_Export!$A2216="","",TRIM(Raw_Export!A2216))</f>
        <v>TXN-102172</v>
      </c>
      <c r="B2216" s="37" t="n">
        <f aca="false">IF(Raw_Export!$A2216="","",IF(ISNUMBER(Raw_Export!B2216),Raw_Export!B2216,IF(MID(TRIM(Raw_Export!B2216),5,1)="-",DATE(LEFT(TRIM(Raw_Export!B2216),4),MID(TRIM(Raw_Export!B2216),6,2),RIGHT(TRIM(Raw_Export!B2216),2)),DATE(RIGHT(TRIM(Raw_Export!B2216),4),MATCH(MID(TRIM(Raw_Export!B2216),4,3),{"Jan","Feb","Mar","Apr","May","Jun","Jul","Aug","Sep","Oct","Nov","Dec"},0),LEFT(TRIM(Raw_Export!B2216),2)))))</f>
        <v>46278</v>
      </c>
      <c r="C2216" s="36" t="str">
        <f aca="false">IF(Raw_Export!$A2216="","",IFERROR(VLOOKUP(LOWER(TRIM(Raw_Export!C2216)),Maps!$A$2:$B$20,2,FALSE()),"UNMAPPED"))</f>
        <v>Nakuru</v>
      </c>
      <c r="D2216" s="36" t="str">
        <f aca="false">IF(Raw_Export!$A2216="","",IFERROR(VLOOKUP(LOWER(TRIM(Raw_Export!D2216)),Maps!$G$2:$I$80,2,FALSE()),"UNMAPPED"))</f>
        <v>Tea Leaves 250g</v>
      </c>
      <c r="E2216" s="36" t="str">
        <f aca="false">IF(Raw_Export!$A2216="","",IFERROR(VLOOKUP(LOWER(TRIM(Raw_Export!D2216)),Maps!$G$2:$I$80,3,FALSE()),"UNMAPPED"))</f>
        <v>Beverages</v>
      </c>
      <c r="F2216" s="36" t="n">
        <f aca="false">IF(Raw_Export!$A2216="","",IFERROR(VALUE(TRIM(Raw_Export!E2216)),0))</f>
        <v>1</v>
      </c>
      <c r="G2216" s="38" t="n">
        <f aca="false">IF(Raw_Export!$A2216="","",IFERROR(VALUE(SUBSTITUTE(SUBSTITUTE(UPPER(TRIM(Raw_Export!F2216)),"KES",""),",","")),0))</f>
        <v>135</v>
      </c>
      <c r="H2216" s="38" t="n">
        <f aca="false">IF(Raw_Export!$A2216="","",F2216*G2216)</f>
        <v>135</v>
      </c>
      <c r="I2216" s="36" t="str">
        <f aca="false">IF(Raw_Export!$A2216="","",IFERROR(VLOOKUP(LOWER(TRIM(Raw_Export!H2216)),Maps!$D$2:$E$12,2,FALSE()),"Other"))</f>
        <v>M-Pesa</v>
      </c>
      <c r="J2216" s="36" t="str">
        <f aca="false">IF(Raw_Export!$A2216="","",IF(COUNTIF($A$2:A2216,A2216)&gt;1,"Duplicate",""))</f>
        <v/>
      </c>
      <c r="K2216" s="36" t="str">
        <f aca="false">IF(Raw_Export!$A2216="","",IF(J2216="Duplicate","Duplicate",IF(OR(C2216="UNMAPPED",D2216="UNMAPPED"),"Unmapped",IF(F2216=0,"Blank qty",IF(F2216&lt;0,"Return","OK")))))</f>
        <v>OK</v>
      </c>
      <c r="L2216" s="36" t="n">
        <f aca="false">IF(Raw_Export!$A2216="","",IF(OR(K2216="OK",K2216="Return"),1,0))</f>
        <v>1</v>
      </c>
      <c r="M2216" s="37" t="n">
        <f aca="false">IF(Raw_Export!$A2216="","",B2216-WEEKDAY(B2216,2)+1)</f>
        <v>46272</v>
      </c>
    </row>
    <row r="2217" customFormat="false" ht="15" hidden="false" customHeight="false" outlineLevel="0" collapsed="false">
      <c r="A2217" s="36" t="str">
        <f aca="false">IF(Raw_Export!$A2217="","",TRIM(Raw_Export!A2217))</f>
        <v>TXN-102173</v>
      </c>
      <c r="B2217" s="37" t="n">
        <f aca="false">IF(Raw_Export!$A2217="","",IF(ISNUMBER(Raw_Export!B2217),Raw_Export!B2217,IF(MID(TRIM(Raw_Export!B2217),5,1)="-",DATE(LEFT(TRIM(Raw_Export!B2217),4),MID(TRIM(Raw_Export!B2217),6,2),RIGHT(TRIM(Raw_Export!B2217),2)),DATE(RIGHT(TRIM(Raw_Export!B2217),4),MATCH(MID(TRIM(Raw_Export!B2217),4,3),{"Jan","Feb","Mar","Apr","May","Jun","Jul","Aug","Sep","Oct","Nov","Dec"},0),LEFT(TRIM(Raw_Export!B2217),2)))))</f>
        <v>46278</v>
      </c>
      <c r="C2217" s="36" t="str">
        <f aca="false">IF(Raw_Export!$A2217="","",IFERROR(VLOOKUP(LOWER(TRIM(Raw_Export!C2217)),Maps!$A$2:$B$20,2,FALSE()),"UNMAPPED"))</f>
        <v>Nakuru</v>
      </c>
      <c r="D2217" s="36" t="str">
        <f aca="false">IF(Raw_Export!$A2217="","",IFERROR(VLOOKUP(LOWER(TRIM(Raw_Export!D2217)),Maps!$G$2:$I$80,2,FALSE()),"UNMAPPED"))</f>
        <v>Rice Pishori 2kg</v>
      </c>
      <c r="E2217" s="36" t="str">
        <f aca="false">IF(Raw_Export!$A2217="","",IFERROR(VLOOKUP(LOWER(TRIM(Raw_Export!D2217)),Maps!$G$2:$I$80,3,FALSE()),"UNMAPPED"))</f>
        <v>Staples</v>
      </c>
      <c r="F2217" s="36" t="n">
        <f aca="false">IF(Raw_Export!$A2217="","",IFERROR(VALUE(TRIM(Raw_Export!E2217)),0))</f>
        <v>-1</v>
      </c>
      <c r="G2217" s="38" t="n">
        <f aca="false">IF(Raw_Export!$A2217="","",IFERROR(VALUE(SUBSTITUTE(SUBSTITUTE(UPPER(TRIM(Raw_Export!F2217)),"KES",""),",","")),0))</f>
        <v>420</v>
      </c>
      <c r="H2217" s="38" t="n">
        <f aca="false">IF(Raw_Export!$A2217="","",F2217*G2217)</f>
        <v>-420</v>
      </c>
      <c r="I2217" s="36" t="str">
        <f aca="false">IF(Raw_Export!$A2217="","",IFERROR(VLOOKUP(LOWER(TRIM(Raw_Export!H2217)),Maps!$D$2:$E$12,2,FALSE()),"Other"))</f>
        <v>Card</v>
      </c>
      <c r="J2217" s="36" t="str">
        <f aca="false">IF(Raw_Export!$A2217="","",IF(COUNTIF($A$2:A2217,A2217)&gt;1,"Duplicate",""))</f>
        <v/>
      </c>
      <c r="K2217" s="36" t="str">
        <f aca="false">IF(Raw_Export!$A2217="","",IF(J2217="Duplicate","Duplicate",IF(OR(C2217="UNMAPPED",D2217="UNMAPPED"),"Unmapped",IF(F2217=0,"Blank qty",IF(F2217&lt;0,"Return","OK")))))</f>
        <v>Return</v>
      </c>
      <c r="L2217" s="36" t="n">
        <f aca="false">IF(Raw_Export!$A2217="","",IF(OR(K2217="OK",K2217="Return"),1,0))</f>
        <v>1</v>
      </c>
      <c r="M2217" s="37" t="n">
        <f aca="false">IF(Raw_Export!$A2217="","",B2217-WEEKDAY(B2217,2)+1)</f>
        <v>46272</v>
      </c>
    </row>
    <row r="2218" customFormat="false" ht="15" hidden="false" customHeight="false" outlineLevel="0" collapsed="false">
      <c r="A2218" s="36" t="str">
        <f aca="false">IF(Raw_Export!$A2218="","",TRIM(Raw_Export!A2218))</f>
        <v>TXN-102174</v>
      </c>
      <c r="B2218" s="37" t="n">
        <f aca="false">IF(Raw_Export!$A2218="","",IF(ISNUMBER(Raw_Export!B2218),Raw_Export!B2218,IF(MID(TRIM(Raw_Export!B2218),5,1)="-",DATE(LEFT(TRIM(Raw_Export!B2218),4),MID(TRIM(Raw_Export!B2218),6,2),RIGHT(TRIM(Raw_Export!B2218),2)),DATE(RIGHT(TRIM(Raw_Export!B2218),4),MATCH(MID(TRIM(Raw_Export!B2218),4,3),{"Jan","Feb","Mar","Apr","May","Jun","Jul","Aug","Sep","Oct","Nov","Dec"},0),LEFT(TRIM(Raw_Export!B2218),2)))))</f>
        <v>46278</v>
      </c>
      <c r="C2218" s="36" t="str">
        <f aca="false">IF(Raw_Export!$A2218="","",IFERROR(VLOOKUP(LOWER(TRIM(Raw_Export!C2218)),Maps!$A$2:$B$20,2,FALSE()),"UNMAPPED"))</f>
        <v>Nakuru</v>
      </c>
      <c r="D2218" s="36" t="str">
        <f aca="false">IF(Raw_Export!$A2218="","",IFERROR(VLOOKUP(LOWER(TRIM(Raw_Export!D2218)),Maps!$G$2:$I$80,2,FALSE()),"UNMAPPED"))</f>
        <v>Soda 500ml</v>
      </c>
      <c r="E2218" s="36" t="str">
        <f aca="false">IF(Raw_Export!$A2218="","",IFERROR(VLOOKUP(LOWER(TRIM(Raw_Export!D2218)),Maps!$G$2:$I$80,3,FALSE()),"UNMAPPED"))</f>
        <v>Beverages</v>
      </c>
      <c r="F2218" s="36" t="n">
        <f aca="false">IF(Raw_Export!$A2218="","",IFERROR(VALUE(TRIM(Raw_Export!E2218)),0))</f>
        <v>4</v>
      </c>
      <c r="G2218" s="38" t="n">
        <f aca="false">IF(Raw_Export!$A2218="","",IFERROR(VALUE(SUBSTITUTE(SUBSTITUTE(UPPER(TRIM(Raw_Export!F2218)),"KES",""),",","")),0))</f>
        <v>60</v>
      </c>
      <c r="H2218" s="38" t="n">
        <f aca="false">IF(Raw_Export!$A2218="","",F2218*G2218)</f>
        <v>240</v>
      </c>
      <c r="I2218" s="36" t="str">
        <f aca="false">IF(Raw_Export!$A2218="","",IFERROR(VLOOKUP(LOWER(TRIM(Raw_Export!H2218)),Maps!$D$2:$E$12,2,FALSE()),"Other"))</f>
        <v>M-Pesa</v>
      </c>
      <c r="J2218" s="36" t="str">
        <f aca="false">IF(Raw_Export!$A2218="","",IF(COUNTIF($A$2:A2218,A2218)&gt;1,"Duplicate",""))</f>
        <v/>
      </c>
      <c r="K2218" s="36" t="str">
        <f aca="false">IF(Raw_Export!$A2218="","",IF(J2218="Duplicate","Duplicate",IF(OR(C2218="UNMAPPED",D2218="UNMAPPED"),"Unmapped",IF(F2218=0,"Blank qty",IF(F2218&lt;0,"Return","OK")))))</f>
        <v>OK</v>
      </c>
      <c r="L2218" s="36" t="n">
        <f aca="false">IF(Raw_Export!$A2218="","",IF(OR(K2218="OK",K2218="Return"),1,0))</f>
        <v>1</v>
      </c>
      <c r="M2218" s="37" t="n">
        <f aca="false">IF(Raw_Export!$A2218="","",B2218-WEEKDAY(B2218,2)+1)</f>
        <v>46272</v>
      </c>
    </row>
    <row r="2219" customFormat="false" ht="15" hidden="false" customHeight="false" outlineLevel="0" collapsed="false">
      <c r="A2219" s="36" t="str">
        <f aca="false">IF(Raw_Export!$A2219="","",TRIM(Raw_Export!A2219))</f>
        <v>TXN-102175</v>
      </c>
      <c r="B2219" s="37" t="n">
        <f aca="false">IF(Raw_Export!$A2219="","",IF(ISNUMBER(Raw_Export!B2219),Raw_Export!B2219,IF(MID(TRIM(Raw_Export!B2219),5,1)="-",DATE(LEFT(TRIM(Raw_Export!B2219),4),MID(TRIM(Raw_Export!B2219),6,2),RIGHT(TRIM(Raw_Export!B2219),2)),DATE(RIGHT(TRIM(Raw_Export!B2219),4),MATCH(MID(TRIM(Raw_Export!B2219),4,3),{"Jan","Feb","Mar","Apr","May","Jun","Jul","Aug","Sep","Oct","Nov","Dec"},0),LEFT(TRIM(Raw_Export!B2219),2)))))</f>
        <v>46278</v>
      </c>
      <c r="C2219" s="36" t="str">
        <f aca="false">IF(Raw_Export!$A2219="","",IFERROR(VLOOKUP(LOWER(TRIM(Raw_Export!C2219)),Maps!$A$2:$B$20,2,FALSE()),"UNMAPPED"))</f>
        <v>Nakuru</v>
      </c>
      <c r="D2219" s="36" t="str">
        <f aca="false">IF(Raw_Export!$A2219="","",IFERROR(VLOOKUP(LOWER(TRIM(Raw_Export!D2219)),Maps!$G$2:$I$80,2,FALSE()),"UNMAPPED"))</f>
        <v>Bleach 1L</v>
      </c>
      <c r="E2219" s="36" t="str">
        <f aca="false">IF(Raw_Export!$A2219="","",IFERROR(VLOOKUP(LOWER(TRIM(Raw_Export!D2219)),Maps!$G$2:$I$80,3,FALSE()),"UNMAPPED"))</f>
        <v>Household</v>
      </c>
      <c r="F2219" s="36" t="n">
        <f aca="false">IF(Raw_Export!$A2219="","",IFERROR(VALUE(TRIM(Raw_Export!E2219)),0))</f>
        <v>3</v>
      </c>
      <c r="G2219" s="38" t="n">
        <f aca="false">IF(Raw_Export!$A2219="","",IFERROR(VALUE(SUBSTITUTE(SUBSTITUTE(UPPER(TRIM(Raw_Export!F2219)),"KES",""),",","")),0))</f>
        <v>160</v>
      </c>
      <c r="H2219" s="38" t="n">
        <f aca="false">IF(Raw_Export!$A2219="","",F2219*G2219)</f>
        <v>480</v>
      </c>
      <c r="I2219" s="36" t="str">
        <f aca="false">IF(Raw_Export!$A2219="","",IFERROR(VLOOKUP(LOWER(TRIM(Raw_Export!H2219)),Maps!$D$2:$E$12,2,FALSE()),"Other"))</f>
        <v>Cash</v>
      </c>
      <c r="J2219" s="36" t="str">
        <f aca="false">IF(Raw_Export!$A2219="","",IF(COUNTIF($A$2:A2219,A2219)&gt;1,"Duplicate",""))</f>
        <v/>
      </c>
      <c r="K2219" s="36" t="str">
        <f aca="false">IF(Raw_Export!$A2219="","",IF(J2219="Duplicate","Duplicate",IF(OR(C2219="UNMAPPED",D2219="UNMAPPED"),"Unmapped",IF(F2219=0,"Blank qty",IF(F2219&lt;0,"Return","OK")))))</f>
        <v>OK</v>
      </c>
      <c r="L2219" s="36" t="n">
        <f aca="false">IF(Raw_Export!$A2219="","",IF(OR(K2219="OK",K2219="Return"),1,0))</f>
        <v>1</v>
      </c>
      <c r="M2219" s="37" t="n">
        <f aca="false">IF(Raw_Export!$A2219="","",B2219-WEEKDAY(B2219,2)+1)</f>
        <v>46272</v>
      </c>
    </row>
    <row r="2220" customFormat="false" ht="15" hidden="false" customHeight="false" outlineLevel="0" collapsed="false">
      <c r="A2220" s="36" t="str">
        <f aca="false">IF(Raw_Export!$A2220="","",TRIM(Raw_Export!A2220))</f>
        <v>TXN-102176</v>
      </c>
      <c r="B2220" s="37" t="n">
        <f aca="false">IF(Raw_Export!$A2220="","",IF(ISNUMBER(Raw_Export!B2220),Raw_Export!B2220,IF(MID(TRIM(Raw_Export!B2220),5,1)="-",DATE(LEFT(TRIM(Raw_Export!B2220),4),MID(TRIM(Raw_Export!B2220),6,2),RIGHT(TRIM(Raw_Export!B2220),2)),DATE(RIGHT(TRIM(Raw_Export!B2220),4),MATCH(MID(TRIM(Raw_Export!B2220),4,3),{"Jan","Feb","Mar","Apr","May","Jun","Jul","Aug","Sep","Oct","Nov","Dec"},0),LEFT(TRIM(Raw_Export!B2220),2)))))</f>
        <v>46278</v>
      </c>
      <c r="C2220" s="36" t="str">
        <f aca="false">IF(Raw_Export!$A2220="","",IFERROR(VLOOKUP(LOWER(TRIM(Raw_Export!C2220)),Maps!$A$2:$B$20,2,FALSE()),"UNMAPPED"))</f>
        <v>Nakuru</v>
      </c>
      <c r="D2220" s="36" t="str">
        <f aca="false">IF(Raw_Export!$A2220="","",IFERROR(VLOOKUP(LOWER(TRIM(Raw_Export!D2220)),Maps!$G$2:$I$80,2,FALSE()),"UNMAPPED"))</f>
        <v>Salt 500g</v>
      </c>
      <c r="E2220" s="36" t="str">
        <f aca="false">IF(Raw_Export!$A2220="","",IFERROR(VLOOKUP(LOWER(TRIM(Raw_Export!D2220)),Maps!$G$2:$I$80,3,FALSE()),"UNMAPPED"))</f>
        <v>Staples</v>
      </c>
      <c r="F2220" s="36" t="n">
        <f aca="false">IF(Raw_Export!$A2220="","",IFERROR(VALUE(TRIM(Raw_Export!E2220)),0))</f>
        <v>1</v>
      </c>
      <c r="G2220" s="38" t="n">
        <f aca="false">IF(Raw_Export!$A2220="","",IFERROR(VALUE(SUBSTITUTE(SUBSTITUTE(UPPER(TRIM(Raw_Export!F2220)),"KES",""),",","")),0))</f>
        <v>40</v>
      </c>
      <c r="H2220" s="38" t="n">
        <f aca="false">IF(Raw_Export!$A2220="","",F2220*G2220)</f>
        <v>40</v>
      </c>
      <c r="I2220" s="36" t="str">
        <f aca="false">IF(Raw_Export!$A2220="","",IFERROR(VLOOKUP(LOWER(TRIM(Raw_Export!H2220)),Maps!$D$2:$E$12,2,FALSE()),"Other"))</f>
        <v>M-Pesa</v>
      </c>
      <c r="J2220" s="36" t="str">
        <f aca="false">IF(Raw_Export!$A2220="","",IF(COUNTIF($A$2:A2220,A2220)&gt;1,"Duplicate",""))</f>
        <v/>
      </c>
      <c r="K2220" s="36" t="str">
        <f aca="false">IF(Raw_Export!$A2220="","",IF(J2220="Duplicate","Duplicate",IF(OR(C2220="UNMAPPED",D2220="UNMAPPED"),"Unmapped",IF(F2220=0,"Blank qty",IF(F2220&lt;0,"Return","OK")))))</f>
        <v>OK</v>
      </c>
      <c r="L2220" s="36" t="n">
        <f aca="false">IF(Raw_Export!$A2220="","",IF(OR(K2220="OK",K2220="Return"),1,0))</f>
        <v>1</v>
      </c>
      <c r="M2220" s="37" t="n">
        <f aca="false">IF(Raw_Export!$A2220="","",B2220-WEEKDAY(B2220,2)+1)</f>
        <v>46272</v>
      </c>
    </row>
    <row r="2221" customFormat="false" ht="15" hidden="false" customHeight="false" outlineLevel="0" collapsed="false">
      <c r="A2221" s="36" t="str">
        <f aca="false">IF(Raw_Export!$A2221="","",TRIM(Raw_Export!A2221))</f>
        <v>TXN-102177</v>
      </c>
      <c r="B2221" s="37" t="n">
        <f aca="false">IF(Raw_Export!$A2221="","",IF(ISNUMBER(Raw_Export!B2221),Raw_Export!B2221,IF(MID(TRIM(Raw_Export!B2221),5,1)="-",DATE(LEFT(TRIM(Raw_Export!B2221),4),MID(TRIM(Raw_Export!B2221),6,2),RIGHT(TRIM(Raw_Export!B2221),2)),DATE(RIGHT(TRIM(Raw_Export!B2221),4),MATCH(MID(TRIM(Raw_Export!B2221),4,3),{"Jan","Feb","Mar","Apr","May","Jun","Jul","Aug","Sep","Oct","Nov","Dec"},0),LEFT(TRIM(Raw_Export!B2221),2)))))</f>
        <v>46278</v>
      </c>
      <c r="C2221" s="36" t="str">
        <f aca="false">IF(Raw_Export!$A2221="","",IFERROR(VLOOKUP(LOWER(TRIM(Raw_Export!C2221)),Maps!$A$2:$B$20,2,FALSE()),"UNMAPPED"))</f>
        <v>Nakuru</v>
      </c>
      <c r="D2221" s="36" t="str">
        <f aca="false">IF(Raw_Export!$A2221="","",IFERROR(VLOOKUP(LOWER(TRIM(Raw_Export!D2221)),Maps!$G$2:$I$80,2,FALSE()),"UNMAPPED"))</f>
        <v>Washing Powder 1kg</v>
      </c>
      <c r="E2221" s="36" t="str">
        <f aca="false">IF(Raw_Export!$A2221="","",IFERROR(VLOOKUP(LOWER(TRIM(Raw_Export!D2221)),Maps!$G$2:$I$80,3,FALSE()),"UNMAPPED"))</f>
        <v>Household</v>
      </c>
      <c r="F2221" s="36" t="n">
        <f aca="false">IF(Raw_Export!$A2221="","",IFERROR(VALUE(TRIM(Raw_Export!E2221)),0))</f>
        <v>6</v>
      </c>
      <c r="G2221" s="38" t="n">
        <f aca="false">IF(Raw_Export!$A2221="","",IFERROR(VALUE(SUBSTITUTE(SUBSTITUTE(UPPER(TRIM(Raw_Export!F2221)),"KES",""),",","")),0))</f>
        <v>280</v>
      </c>
      <c r="H2221" s="38" t="n">
        <f aca="false">IF(Raw_Export!$A2221="","",F2221*G2221)</f>
        <v>1680</v>
      </c>
      <c r="I2221" s="36" t="str">
        <f aca="false">IF(Raw_Export!$A2221="","",IFERROR(VLOOKUP(LOWER(TRIM(Raw_Export!H2221)),Maps!$D$2:$E$12,2,FALSE()),"Other"))</f>
        <v>M-Pesa</v>
      </c>
      <c r="J2221" s="36" t="str">
        <f aca="false">IF(Raw_Export!$A2221="","",IF(COUNTIF($A$2:A2221,A2221)&gt;1,"Duplicate",""))</f>
        <v/>
      </c>
      <c r="K2221" s="36" t="str">
        <f aca="false">IF(Raw_Export!$A2221="","",IF(J2221="Duplicate","Duplicate",IF(OR(C2221="UNMAPPED",D2221="UNMAPPED"),"Unmapped",IF(F2221=0,"Blank qty",IF(F2221&lt;0,"Return","OK")))))</f>
        <v>OK</v>
      </c>
      <c r="L2221" s="36" t="n">
        <f aca="false">IF(Raw_Export!$A2221="","",IF(OR(K2221="OK",K2221="Return"),1,0))</f>
        <v>1</v>
      </c>
      <c r="M2221" s="37" t="n">
        <f aca="false">IF(Raw_Export!$A2221="","",B2221-WEEKDAY(B2221,2)+1)</f>
        <v>46272</v>
      </c>
    </row>
    <row r="2222" customFormat="false" ht="15" hidden="false" customHeight="false" outlineLevel="0" collapsed="false">
      <c r="A2222" s="36" t="str">
        <f aca="false">IF(Raw_Export!$A2222="","",TRIM(Raw_Export!A2222))</f>
        <v>TXN-102178</v>
      </c>
      <c r="B2222" s="37" t="n">
        <f aca="false">IF(Raw_Export!$A2222="","",IF(ISNUMBER(Raw_Export!B2222),Raw_Export!B2222,IF(MID(TRIM(Raw_Export!B2222),5,1)="-",DATE(LEFT(TRIM(Raw_Export!B2222),4),MID(TRIM(Raw_Export!B2222),6,2),RIGHT(TRIM(Raw_Export!B2222),2)),DATE(RIGHT(TRIM(Raw_Export!B2222),4),MATCH(MID(TRIM(Raw_Export!B2222),4,3),{"Jan","Feb","Mar","Apr","May","Jun","Jul","Aug","Sep","Oct","Nov","Dec"},0),LEFT(TRIM(Raw_Export!B2222),2)))))</f>
        <v>46278</v>
      </c>
      <c r="C2222" s="36" t="str">
        <f aca="false">IF(Raw_Export!$A2222="","",IFERROR(VLOOKUP(LOWER(TRIM(Raw_Export!C2222)),Maps!$A$2:$B$20,2,FALSE()),"UNMAPPED"))</f>
        <v>Nakuru</v>
      </c>
      <c r="D2222" s="36" t="str">
        <f aca="false">IF(Raw_Export!$A2222="","",IFERROR(VLOOKUP(LOWER(TRIM(Raw_Export!D2222)),Maps!$G$2:$I$80,2,FALSE()),"UNMAPPED"))</f>
        <v>Unga Pembe 2kg</v>
      </c>
      <c r="E2222" s="36" t="str">
        <f aca="false">IF(Raw_Export!$A2222="","",IFERROR(VLOOKUP(LOWER(TRIM(Raw_Export!D2222)),Maps!$G$2:$I$80,3,FALSE()),"UNMAPPED"))</f>
        <v>Staples</v>
      </c>
      <c r="F2222" s="36" t="n">
        <f aca="false">IF(Raw_Export!$A2222="","",IFERROR(VALUE(TRIM(Raw_Export!E2222)),0))</f>
        <v>2</v>
      </c>
      <c r="G2222" s="38" t="n">
        <f aca="false">IF(Raw_Export!$A2222="","",IFERROR(VALUE(SUBSTITUTE(SUBSTITUTE(UPPER(TRIM(Raw_Export!F2222)),"KES",""),",","")),0))</f>
        <v>190</v>
      </c>
      <c r="H2222" s="38" t="n">
        <f aca="false">IF(Raw_Export!$A2222="","",F2222*G2222)</f>
        <v>380</v>
      </c>
      <c r="I2222" s="36" t="str">
        <f aca="false">IF(Raw_Export!$A2222="","",IFERROR(VLOOKUP(LOWER(TRIM(Raw_Export!H2222)),Maps!$D$2:$E$12,2,FALSE()),"Other"))</f>
        <v>M-Pesa</v>
      </c>
      <c r="J2222" s="36" t="str">
        <f aca="false">IF(Raw_Export!$A2222="","",IF(COUNTIF($A$2:A2222,A2222)&gt;1,"Duplicate",""))</f>
        <v/>
      </c>
      <c r="K2222" s="36" t="str">
        <f aca="false">IF(Raw_Export!$A2222="","",IF(J2222="Duplicate","Duplicate",IF(OR(C2222="UNMAPPED",D2222="UNMAPPED"),"Unmapped",IF(F2222=0,"Blank qty",IF(F2222&lt;0,"Return","OK")))))</f>
        <v>OK</v>
      </c>
      <c r="L2222" s="36" t="n">
        <f aca="false">IF(Raw_Export!$A2222="","",IF(OR(K2222="OK",K2222="Return"),1,0))</f>
        <v>1</v>
      </c>
      <c r="M2222" s="37" t="n">
        <f aca="false">IF(Raw_Export!$A2222="","",B2222-WEEKDAY(B2222,2)+1)</f>
        <v>46272</v>
      </c>
    </row>
    <row r="2223" customFormat="false" ht="15" hidden="false" customHeight="false" outlineLevel="0" collapsed="false">
      <c r="A2223" s="36" t="str">
        <f aca="false">IF(Raw_Export!$A2223="","",TRIM(Raw_Export!A2223))</f>
        <v/>
      </c>
      <c r="B2223" s="37" t="str">
        <f aca="false">IF(Raw_Export!$A2223="","",IF(ISNUMBER(Raw_Export!B2223),Raw_Export!B2223,IF(MID(TRIM(Raw_Export!B2223),5,1)="-",DATE(LEFT(TRIM(Raw_Export!B2223),4),MID(TRIM(Raw_Export!B2223),6,2),RIGHT(TRIM(Raw_Export!B2223),2)),DATE(RIGHT(TRIM(Raw_Export!B2223),4),MATCH(MID(TRIM(Raw_Export!B2223),4,3),{"Jan","Feb","Mar","Apr","May","Jun","Jul","Aug","Sep","Oct","Nov","Dec"},0),LEFT(TRIM(Raw_Export!B2223),2)))))</f>
        <v/>
      </c>
      <c r="C2223" s="36" t="str">
        <f aca="false">IF(Raw_Export!$A2223="","",IFERROR(VLOOKUP(LOWER(TRIM(Raw_Export!C2223)),Maps!$A$2:$B$20,2,FALSE()),"UNMAPPED"))</f>
        <v/>
      </c>
      <c r="D2223" s="36" t="str">
        <f aca="false">IF(Raw_Export!$A2223="","",IFERROR(VLOOKUP(LOWER(TRIM(Raw_Export!D2223)),Maps!$G$2:$I$80,2,FALSE()),"UNMAPPED"))</f>
        <v/>
      </c>
      <c r="E2223" s="36" t="str">
        <f aca="false">IF(Raw_Export!$A2223="","",IFERROR(VLOOKUP(LOWER(TRIM(Raw_Export!D2223)),Maps!$G$2:$I$80,3,FALSE()),"UNMAPPED"))</f>
        <v/>
      </c>
      <c r="F2223" s="36" t="str">
        <f aca="false">IF(Raw_Export!$A2223="","",IFERROR(VALUE(TRIM(Raw_Export!E2223)),0))</f>
        <v/>
      </c>
      <c r="G2223" s="38" t="str">
        <f aca="false">IF(Raw_Export!$A2223="","",IFERROR(VALUE(SUBSTITUTE(SUBSTITUTE(UPPER(TRIM(Raw_Export!F2223)),"KES",""),",","")),0))</f>
        <v/>
      </c>
      <c r="H2223" s="38" t="str">
        <f aca="false">IF(Raw_Export!$A2223="","",F2223*G2223)</f>
        <v/>
      </c>
      <c r="I2223" s="36" t="str">
        <f aca="false">IF(Raw_Export!$A2223="","",IFERROR(VLOOKUP(LOWER(TRIM(Raw_Export!H2223)),Maps!$D$2:$E$12,2,FALSE()),"Other"))</f>
        <v/>
      </c>
      <c r="J2223" s="36" t="str">
        <f aca="false">IF(Raw_Export!$A2223="","",IF(COUNTIF($A$2:A2223,A2223)&gt;1,"Duplicate",""))</f>
        <v/>
      </c>
      <c r="K2223" s="36" t="str">
        <f aca="false">IF(Raw_Export!$A2223="","",IF(J2223="Duplicate","Duplicate",IF(OR(C2223="UNMAPPED",D2223="UNMAPPED"),"Unmapped",IF(F2223=0,"Blank qty",IF(F2223&lt;0,"Return","OK")))))</f>
        <v/>
      </c>
      <c r="L2223" s="36" t="str">
        <f aca="false">IF(Raw_Export!$A2223="","",IF(OR(K2223="OK",K2223="Return"),1,0))</f>
        <v/>
      </c>
      <c r="M2223" s="37" t="str">
        <f aca="false">IF(Raw_Export!$A2223="","",B2223-WEEKDAY(B2223,2)+1)</f>
        <v/>
      </c>
    </row>
    <row r="2224" customFormat="false" ht="15" hidden="false" customHeight="false" outlineLevel="0" collapsed="false">
      <c r="A2224" s="36" t="str">
        <f aca="false">IF(Raw_Export!$A2224="","",TRIM(Raw_Export!A2224))</f>
        <v/>
      </c>
      <c r="B2224" s="37" t="str">
        <f aca="false">IF(Raw_Export!$A2224="","",IF(ISNUMBER(Raw_Export!B2224),Raw_Export!B2224,IF(MID(TRIM(Raw_Export!B2224),5,1)="-",DATE(LEFT(TRIM(Raw_Export!B2224),4),MID(TRIM(Raw_Export!B2224),6,2),RIGHT(TRIM(Raw_Export!B2224),2)),DATE(RIGHT(TRIM(Raw_Export!B2224),4),MATCH(MID(TRIM(Raw_Export!B2224),4,3),{"Jan","Feb","Mar","Apr","May","Jun","Jul","Aug","Sep","Oct","Nov","Dec"},0),LEFT(TRIM(Raw_Export!B2224),2)))))</f>
        <v/>
      </c>
      <c r="C2224" s="36" t="str">
        <f aca="false">IF(Raw_Export!$A2224="","",IFERROR(VLOOKUP(LOWER(TRIM(Raw_Export!C2224)),Maps!$A$2:$B$20,2,FALSE()),"UNMAPPED"))</f>
        <v/>
      </c>
      <c r="D2224" s="36" t="str">
        <f aca="false">IF(Raw_Export!$A2224="","",IFERROR(VLOOKUP(LOWER(TRIM(Raw_Export!D2224)),Maps!$G$2:$I$80,2,FALSE()),"UNMAPPED"))</f>
        <v/>
      </c>
      <c r="E2224" s="36" t="str">
        <f aca="false">IF(Raw_Export!$A2224="","",IFERROR(VLOOKUP(LOWER(TRIM(Raw_Export!D2224)),Maps!$G$2:$I$80,3,FALSE()),"UNMAPPED"))</f>
        <v/>
      </c>
      <c r="F2224" s="36" t="str">
        <f aca="false">IF(Raw_Export!$A2224="","",IFERROR(VALUE(TRIM(Raw_Export!E2224)),0))</f>
        <v/>
      </c>
      <c r="G2224" s="38" t="str">
        <f aca="false">IF(Raw_Export!$A2224="","",IFERROR(VALUE(SUBSTITUTE(SUBSTITUTE(UPPER(TRIM(Raw_Export!F2224)),"KES",""),",","")),0))</f>
        <v/>
      </c>
      <c r="H2224" s="38" t="str">
        <f aca="false">IF(Raw_Export!$A2224="","",F2224*G2224)</f>
        <v/>
      </c>
      <c r="I2224" s="36" t="str">
        <f aca="false">IF(Raw_Export!$A2224="","",IFERROR(VLOOKUP(LOWER(TRIM(Raw_Export!H2224)),Maps!$D$2:$E$12,2,FALSE()),"Other"))</f>
        <v/>
      </c>
      <c r="J2224" s="36" t="str">
        <f aca="false">IF(Raw_Export!$A2224="","",IF(COUNTIF($A$2:A2224,A2224)&gt;1,"Duplicate",""))</f>
        <v/>
      </c>
      <c r="K2224" s="36" t="str">
        <f aca="false">IF(Raw_Export!$A2224="","",IF(J2224="Duplicate","Duplicate",IF(OR(C2224="UNMAPPED",D2224="UNMAPPED"),"Unmapped",IF(F2224=0,"Blank qty",IF(F2224&lt;0,"Return","OK")))))</f>
        <v/>
      </c>
      <c r="L2224" s="36" t="str">
        <f aca="false">IF(Raw_Export!$A2224="","",IF(OR(K2224="OK",K2224="Return"),1,0))</f>
        <v/>
      </c>
      <c r="M2224" s="37" t="str">
        <f aca="false">IF(Raw_Export!$A2224="","",B2224-WEEKDAY(B2224,2)+1)</f>
        <v/>
      </c>
    </row>
    <row r="2225" customFormat="false" ht="15" hidden="false" customHeight="false" outlineLevel="0" collapsed="false">
      <c r="A2225" s="36" t="str">
        <f aca="false">IF(Raw_Export!$A2225="","",TRIM(Raw_Export!A2225))</f>
        <v/>
      </c>
      <c r="B2225" s="37" t="str">
        <f aca="false">IF(Raw_Export!$A2225="","",IF(ISNUMBER(Raw_Export!B2225),Raw_Export!B2225,IF(MID(TRIM(Raw_Export!B2225),5,1)="-",DATE(LEFT(TRIM(Raw_Export!B2225),4),MID(TRIM(Raw_Export!B2225),6,2),RIGHT(TRIM(Raw_Export!B2225),2)),DATE(RIGHT(TRIM(Raw_Export!B2225),4),MATCH(MID(TRIM(Raw_Export!B2225),4,3),{"Jan","Feb","Mar","Apr","May","Jun","Jul","Aug","Sep","Oct","Nov","Dec"},0),LEFT(TRIM(Raw_Export!B2225),2)))))</f>
        <v/>
      </c>
      <c r="C2225" s="36" t="str">
        <f aca="false">IF(Raw_Export!$A2225="","",IFERROR(VLOOKUP(LOWER(TRIM(Raw_Export!C2225)),Maps!$A$2:$B$20,2,FALSE()),"UNMAPPED"))</f>
        <v/>
      </c>
      <c r="D2225" s="36" t="str">
        <f aca="false">IF(Raw_Export!$A2225="","",IFERROR(VLOOKUP(LOWER(TRIM(Raw_Export!D2225)),Maps!$G$2:$I$80,2,FALSE()),"UNMAPPED"))</f>
        <v/>
      </c>
      <c r="E2225" s="36" t="str">
        <f aca="false">IF(Raw_Export!$A2225="","",IFERROR(VLOOKUP(LOWER(TRIM(Raw_Export!D2225)),Maps!$G$2:$I$80,3,FALSE()),"UNMAPPED"))</f>
        <v/>
      </c>
      <c r="F2225" s="36" t="str">
        <f aca="false">IF(Raw_Export!$A2225="","",IFERROR(VALUE(TRIM(Raw_Export!E2225)),0))</f>
        <v/>
      </c>
      <c r="G2225" s="38" t="str">
        <f aca="false">IF(Raw_Export!$A2225="","",IFERROR(VALUE(SUBSTITUTE(SUBSTITUTE(UPPER(TRIM(Raw_Export!F2225)),"KES",""),",","")),0))</f>
        <v/>
      </c>
      <c r="H2225" s="38" t="str">
        <f aca="false">IF(Raw_Export!$A2225="","",F2225*G2225)</f>
        <v/>
      </c>
      <c r="I2225" s="36" t="str">
        <f aca="false">IF(Raw_Export!$A2225="","",IFERROR(VLOOKUP(LOWER(TRIM(Raw_Export!H2225)),Maps!$D$2:$E$12,2,FALSE()),"Other"))</f>
        <v/>
      </c>
      <c r="J2225" s="36" t="str">
        <f aca="false">IF(Raw_Export!$A2225="","",IF(COUNTIF($A$2:A2225,A2225)&gt;1,"Duplicate",""))</f>
        <v/>
      </c>
      <c r="K2225" s="36" t="str">
        <f aca="false">IF(Raw_Export!$A2225="","",IF(J2225="Duplicate","Duplicate",IF(OR(C2225="UNMAPPED",D2225="UNMAPPED"),"Unmapped",IF(F2225=0,"Blank qty",IF(F2225&lt;0,"Return","OK")))))</f>
        <v/>
      </c>
      <c r="L2225" s="36" t="str">
        <f aca="false">IF(Raw_Export!$A2225="","",IF(OR(K2225="OK",K2225="Return"),1,0))</f>
        <v/>
      </c>
      <c r="M2225" s="37" t="str">
        <f aca="false">IF(Raw_Export!$A2225="","",B2225-WEEKDAY(B2225,2)+1)</f>
        <v/>
      </c>
    </row>
    <row r="2226" customFormat="false" ht="15" hidden="false" customHeight="false" outlineLevel="0" collapsed="false">
      <c r="A2226" s="36" t="str">
        <f aca="false">IF(Raw_Export!$A2226="","",TRIM(Raw_Export!A2226))</f>
        <v/>
      </c>
      <c r="B2226" s="37" t="str">
        <f aca="false">IF(Raw_Export!$A2226="","",IF(ISNUMBER(Raw_Export!B2226),Raw_Export!B2226,IF(MID(TRIM(Raw_Export!B2226),5,1)="-",DATE(LEFT(TRIM(Raw_Export!B2226),4),MID(TRIM(Raw_Export!B2226),6,2),RIGHT(TRIM(Raw_Export!B2226),2)),DATE(RIGHT(TRIM(Raw_Export!B2226),4),MATCH(MID(TRIM(Raw_Export!B2226),4,3),{"Jan","Feb","Mar","Apr","May","Jun","Jul","Aug","Sep","Oct","Nov","Dec"},0),LEFT(TRIM(Raw_Export!B2226),2)))))</f>
        <v/>
      </c>
      <c r="C2226" s="36" t="str">
        <f aca="false">IF(Raw_Export!$A2226="","",IFERROR(VLOOKUP(LOWER(TRIM(Raw_Export!C2226)),Maps!$A$2:$B$20,2,FALSE()),"UNMAPPED"))</f>
        <v/>
      </c>
      <c r="D2226" s="36" t="str">
        <f aca="false">IF(Raw_Export!$A2226="","",IFERROR(VLOOKUP(LOWER(TRIM(Raw_Export!D2226)),Maps!$G$2:$I$80,2,FALSE()),"UNMAPPED"))</f>
        <v/>
      </c>
      <c r="E2226" s="36" t="str">
        <f aca="false">IF(Raw_Export!$A2226="","",IFERROR(VLOOKUP(LOWER(TRIM(Raw_Export!D2226)),Maps!$G$2:$I$80,3,FALSE()),"UNMAPPED"))</f>
        <v/>
      </c>
      <c r="F2226" s="36" t="str">
        <f aca="false">IF(Raw_Export!$A2226="","",IFERROR(VALUE(TRIM(Raw_Export!E2226)),0))</f>
        <v/>
      </c>
      <c r="G2226" s="38" t="str">
        <f aca="false">IF(Raw_Export!$A2226="","",IFERROR(VALUE(SUBSTITUTE(SUBSTITUTE(UPPER(TRIM(Raw_Export!F2226)),"KES",""),",","")),0))</f>
        <v/>
      </c>
      <c r="H2226" s="38" t="str">
        <f aca="false">IF(Raw_Export!$A2226="","",F2226*G2226)</f>
        <v/>
      </c>
      <c r="I2226" s="36" t="str">
        <f aca="false">IF(Raw_Export!$A2226="","",IFERROR(VLOOKUP(LOWER(TRIM(Raw_Export!H2226)),Maps!$D$2:$E$12,2,FALSE()),"Other"))</f>
        <v/>
      </c>
      <c r="J2226" s="36" t="str">
        <f aca="false">IF(Raw_Export!$A2226="","",IF(COUNTIF($A$2:A2226,A2226)&gt;1,"Duplicate",""))</f>
        <v/>
      </c>
      <c r="K2226" s="36" t="str">
        <f aca="false">IF(Raw_Export!$A2226="","",IF(J2226="Duplicate","Duplicate",IF(OR(C2226="UNMAPPED",D2226="UNMAPPED"),"Unmapped",IF(F2226=0,"Blank qty",IF(F2226&lt;0,"Return","OK")))))</f>
        <v/>
      </c>
      <c r="L2226" s="36" t="str">
        <f aca="false">IF(Raw_Export!$A2226="","",IF(OR(K2226="OK",K2226="Return"),1,0))</f>
        <v/>
      </c>
      <c r="M2226" s="37" t="str">
        <f aca="false">IF(Raw_Export!$A2226="","",B2226-WEEKDAY(B2226,2)+1)</f>
        <v/>
      </c>
    </row>
    <row r="2227" customFormat="false" ht="15" hidden="false" customHeight="false" outlineLevel="0" collapsed="false">
      <c r="A2227" s="36" t="str">
        <f aca="false">IF(Raw_Export!$A2227="","",TRIM(Raw_Export!A2227))</f>
        <v/>
      </c>
      <c r="B2227" s="37" t="str">
        <f aca="false">IF(Raw_Export!$A2227="","",IF(ISNUMBER(Raw_Export!B2227),Raw_Export!B2227,IF(MID(TRIM(Raw_Export!B2227),5,1)="-",DATE(LEFT(TRIM(Raw_Export!B2227),4),MID(TRIM(Raw_Export!B2227),6,2),RIGHT(TRIM(Raw_Export!B2227),2)),DATE(RIGHT(TRIM(Raw_Export!B2227),4),MATCH(MID(TRIM(Raw_Export!B2227),4,3),{"Jan","Feb","Mar","Apr","May","Jun","Jul","Aug","Sep","Oct","Nov","Dec"},0),LEFT(TRIM(Raw_Export!B2227),2)))))</f>
        <v/>
      </c>
      <c r="C2227" s="36" t="str">
        <f aca="false">IF(Raw_Export!$A2227="","",IFERROR(VLOOKUP(LOWER(TRIM(Raw_Export!C2227)),Maps!$A$2:$B$20,2,FALSE()),"UNMAPPED"))</f>
        <v/>
      </c>
      <c r="D2227" s="36" t="str">
        <f aca="false">IF(Raw_Export!$A2227="","",IFERROR(VLOOKUP(LOWER(TRIM(Raw_Export!D2227)),Maps!$G$2:$I$80,2,FALSE()),"UNMAPPED"))</f>
        <v/>
      </c>
      <c r="E2227" s="36" t="str">
        <f aca="false">IF(Raw_Export!$A2227="","",IFERROR(VLOOKUP(LOWER(TRIM(Raw_Export!D2227)),Maps!$G$2:$I$80,3,FALSE()),"UNMAPPED"))</f>
        <v/>
      </c>
      <c r="F2227" s="36" t="str">
        <f aca="false">IF(Raw_Export!$A2227="","",IFERROR(VALUE(TRIM(Raw_Export!E2227)),0))</f>
        <v/>
      </c>
      <c r="G2227" s="38" t="str">
        <f aca="false">IF(Raw_Export!$A2227="","",IFERROR(VALUE(SUBSTITUTE(SUBSTITUTE(UPPER(TRIM(Raw_Export!F2227)),"KES",""),",","")),0))</f>
        <v/>
      </c>
      <c r="H2227" s="38" t="str">
        <f aca="false">IF(Raw_Export!$A2227="","",F2227*G2227)</f>
        <v/>
      </c>
      <c r="I2227" s="36" t="str">
        <f aca="false">IF(Raw_Export!$A2227="","",IFERROR(VLOOKUP(LOWER(TRIM(Raw_Export!H2227)),Maps!$D$2:$E$12,2,FALSE()),"Other"))</f>
        <v/>
      </c>
      <c r="J2227" s="36" t="str">
        <f aca="false">IF(Raw_Export!$A2227="","",IF(COUNTIF($A$2:A2227,A2227)&gt;1,"Duplicate",""))</f>
        <v/>
      </c>
      <c r="K2227" s="36" t="str">
        <f aca="false">IF(Raw_Export!$A2227="","",IF(J2227="Duplicate","Duplicate",IF(OR(C2227="UNMAPPED",D2227="UNMAPPED"),"Unmapped",IF(F2227=0,"Blank qty",IF(F2227&lt;0,"Return","OK")))))</f>
        <v/>
      </c>
      <c r="L2227" s="36" t="str">
        <f aca="false">IF(Raw_Export!$A2227="","",IF(OR(K2227="OK",K2227="Return"),1,0))</f>
        <v/>
      </c>
      <c r="M2227" s="37" t="str">
        <f aca="false">IF(Raw_Export!$A2227="","",B2227-WEEKDAY(B2227,2)+1)</f>
        <v/>
      </c>
    </row>
    <row r="2228" customFormat="false" ht="15" hidden="false" customHeight="false" outlineLevel="0" collapsed="false">
      <c r="A2228" s="36" t="str">
        <f aca="false">IF(Raw_Export!$A2228="","",TRIM(Raw_Export!A2228))</f>
        <v/>
      </c>
      <c r="B2228" s="37" t="str">
        <f aca="false">IF(Raw_Export!$A2228="","",IF(ISNUMBER(Raw_Export!B2228),Raw_Export!B2228,IF(MID(TRIM(Raw_Export!B2228),5,1)="-",DATE(LEFT(TRIM(Raw_Export!B2228),4),MID(TRIM(Raw_Export!B2228),6,2),RIGHT(TRIM(Raw_Export!B2228),2)),DATE(RIGHT(TRIM(Raw_Export!B2228),4),MATCH(MID(TRIM(Raw_Export!B2228),4,3),{"Jan","Feb","Mar","Apr","May","Jun","Jul","Aug","Sep","Oct","Nov","Dec"},0),LEFT(TRIM(Raw_Export!B2228),2)))))</f>
        <v/>
      </c>
      <c r="C2228" s="36" t="str">
        <f aca="false">IF(Raw_Export!$A2228="","",IFERROR(VLOOKUP(LOWER(TRIM(Raw_Export!C2228)),Maps!$A$2:$B$20,2,FALSE()),"UNMAPPED"))</f>
        <v/>
      </c>
      <c r="D2228" s="36" t="str">
        <f aca="false">IF(Raw_Export!$A2228="","",IFERROR(VLOOKUP(LOWER(TRIM(Raw_Export!D2228)),Maps!$G$2:$I$80,2,FALSE()),"UNMAPPED"))</f>
        <v/>
      </c>
      <c r="E2228" s="36" t="str">
        <f aca="false">IF(Raw_Export!$A2228="","",IFERROR(VLOOKUP(LOWER(TRIM(Raw_Export!D2228)),Maps!$G$2:$I$80,3,FALSE()),"UNMAPPED"))</f>
        <v/>
      </c>
      <c r="F2228" s="36" t="str">
        <f aca="false">IF(Raw_Export!$A2228="","",IFERROR(VALUE(TRIM(Raw_Export!E2228)),0))</f>
        <v/>
      </c>
      <c r="G2228" s="38" t="str">
        <f aca="false">IF(Raw_Export!$A2228="","",IFERROR(VALUE(SUBSTITUTE(SUBSTITUTE(UPPER(TRIM(Raw_Export!F2228)),"KES",""),",","")),0))</f>
        <v/>
      </c>
      <c r="H2228" s="38" t="str">
        <f aca="false">IF(Raw_Export!$A2228="","",F2228*G2228)</f>
        <v/>
      </c>
      <c r="I2228" s="36" t="str">
        <f aca="false">IF(Raw_Export!$A2228="","",IFERROR(VLOOKUP(LOWER(TRIM(Raw_Export!H2228)),Maps!$D$2:$E$12,2,FALSE()),"Other"))</f>
        <v/>
      </c>
      <c r="J2228" s="36" t="str">
        <f aca="false">IF(Raw_Export!$A2228="","",IF(COUNTIF($A$2:A2228,A2228)&gt;1,"Duplicate",""))</f>
        <v/>
      </c>
      <c r="K2228" s="36" t="str">
        <f aca="false">IF(Raw_Export!$A2228="","",IF(J2228="Duplicate","Duplicate",IF(OR(C2228="UNMAPPED",D2228="UNMAPPED"),"Unmapped",IF(F2228=0,"Blank qty",IF(F2228&lt;0,"Return","OK")))))</f>
        <v/>
      </c>
      <c r="L2228" s="36" t="str">
        <f aca="false">IF(Raw_Export!$A2228="","",IF(OR(K2228="OK",K2228="Return"),1,0))</f>
        <v/>
      </c>
      <c r="M2228" s="37" t="str">
        <f aca="false">IF(Raw_Export!$A2228="","",B2228-WEEKDAY(B2228,2)+1)</f>
        <v/>
      </c>
    </row>
    <row r="2229" customFormat="false" ht="15" hidden="false" customHeight="false" outlineLevel="0" collapsed="false">
      <c r="A2229" s="36" t="str">
        <f aca="false">IF(Raw_Export!$A2229="","",TRIM(Raw_Export!A2229))</f>
        <v/>
      </c>
      <c r="B2229" s="37" t="str">
        <f aca="false">IF(Raw_Export!$A2229="","",IF(ISNUMBER(Raw_Export!B2229),Raw_Export!B2229,IF(MID(TRIM(Raw_Export!B2229),5,1)="-",DATE(LEFT(TRIM(Raw_Export!B2229),4),MID(TRIM(Raw_Export!B2229),6,2),RIGHT(TRIM(Raw_Export!B2229),2)),DATE(RIGHT(TRIM(Raw_Export!B2229),4),MATCH(MID(TRIM(Raw_Export!B2229),4,3),{"Jan","Feb","Mar","Apr","May","Jun","Jul","Aug","Sep","Oct","Nov","Dec"},0),LEFT(TRIM(Raw_Export!B2229),2)))))</f>
        <v/>
      </c>
      <c r="C2229" s="36" t="str">
        <f aca="false">IF(Raw_Export!$A2229="","",IFERROR(VLOOKUP(LOWER(TRIM(Raw_Export!C2229)),Maps!$A$2:$B$20,2,FALSE()),"UNMAPPED"))</f>
        <v/>
      </c>
      <c r="D2229" s="36" t="str">
        <f aca="false">IF(Raw_Export!$A2229="","",IFERROR(VLOOKUP(LOWER(TRIM(Raw_Export!D2229)),Maps!$G$2:$I$80,2,FALSE()),"UNMAPPED"))</f>
        <v/>
      </c>
      <c r="E2229" s="36" t="str">
        <f aca="false">IF(Raw_Export!$A2229="","",IFERROR(VLOOKUP(LOWER(TRIM(Raw_Export!D2229)),Maps!$G$2:$I$80,3,FALSE()),"UNMAPPED"))</f>
        <v/>
      </c>
      <c r="F2229" s="36" t="str">
        <f aca="false">IF(Raw_Export!$A2229="","",IFERROR(VALUE(TRIM(Raw_Export!E2229)),0))</f>
        <v/>
      </c>
      <c r="G2229" s="38" t="str">
        <f aca="false">IF(Raw_Export!$A2229="","",IFERROR(VALUE(SUBSTITUTE(SUBSTITUTE(UPPER(TRIM(Raw_Export!F2229)),"KES",""),",","")),0))</f>
        <v/>
      </c>
      <c r="H2229" s="38" t="str">
        <f aca="false">IF(Raw_Export!$A2229="","",F2229*G2229)</f>
        <v/>
      </c>
      <c r="I2229" s="36" t="str">
        <f aca="false">IF(Raw_Export!$A2229="","",IFERROR(VLOOKUP(LOWER(TRIM(Raw_Export!H2229)),Maps!$D$2:$E$12,2,FALSE()),"Other"))</f>
        <v/>
      </c>
      <c r="J2229" s="36" t="str">
        <f aca="false">IF(Raw_Export!$A2229="","",IF(COUNTIF($A$2:A2229,A2229)&gt;1,"Duplicate",""))</f>
        <v/>
      </c>
      <c r="K2229" s="36" t="str">
        <f aca="false">IF(Raw_Export!$A2229="","",IF(J2229="Duplicate","Duplicate",IF(OR(C2229="UNMAPPED",D2229="UNMAPPED"),"Unmapped",IF(F2229=0,"Blank qty",IF(F2229&lt;0,"Return","OK")))))</f>
        <v/>
      </c>
      <c r="L2229" s="36" t="str">
        <f aca="false">IF(Raw_Export!$A2229="","",IF(OR(K2229="OK",K2229="Return"),1,0))</f>
        <v/>
      </c>
      <c r="M2229" s="37" t="str">
        <f aca="false">IF(Raw_Export!$A2229="","",B2229-WEEKDAY(B2229,2)+1)</f>
        <v/>
      </c>
    </row>
    <row r="2230" customFormat="false" ht="15" hidden="false" customHeight="false" outlineLevel="0" collapsed="false">
      <c r="A2230" s="36" t="str">
        <f aca="false">IF(Raw_Export!$A2230="","",TRIM(Raw_Export!A2230))</f>
        <v/>
      </c>
      <c r="B2230" s="37" t="str">
        <f aca="false">IF(Raw_Export!$A2230="","",IF(ISNUMBER(Raw_Export!B2230),Raw_Export!B2230,IF(MID(TRIM(Raw_Export!B2230),5,1)="-",DATE(LEFT(TRIM(Raw_Export!B2230),4),MID(TRIM(Raw_Export!B2230),6,2),RIGHT(TRIM(Raw_Export!B2230),2)),DATE(RIGHT(TRIM(Raw_Export!B2230),4),MATCH(MID(TRIM(Raw_Export!B2230),4,3),{"Jan","Feb","Mar","Apr","May","Jun","Jul","Aug","Sep","Oct","Nov","Dec"},0),LEFT(TRIM(Raw_Export!B2230),2)))))</f>
        <v/>
      </c>
      <c r="C2230" s="36" t="str">
        <f aca="false">IF(Raw_Export!$A2230="","",IFERROR(VLOOKUP(LOWER(TRIM(Raw_Export!C2230)),Maps!$A$2:$B$20,2,FALSE()),"UNMAPPED"))</f>
        <v/>
      </c>
      <c r="D2230" s="36" t="str">
        <f aca="false">IF(Raw_Export!$A2230="","",IFERROR(VLOOKUP(LOWER(TRIM(Raw_Export!D2230)),Maps!$G$2:$I$80,2,FALSE()),"UNMAPPED"))</f>
        <v/>
      </c>
      <c r="E2230" s="36" t="str">
        <f aca="false">IF(Raw_Export!$A2230="","",IFERROR(VLOOKUP(LOWER(TRIM(Raw_Export!D2230)),Maps!$G$2:$I$80,3,FALSE()),"UNMAPPED"))</f>
        <v/>
      </c>
      <c r="F2230" s="36" t="str">
        <f aca="false">IF(Raw_Export!$A2230="","",IFERROR(VALUE(TRIM(Raw_Export!E2230)),0))</f>
        <v/>
      </c>
      <c r="G2230" s="38" t="str">
        <f aca="false">IF(Raw_Export!$A2230="","",IFERROR(VALUE(SUBSTITUTE(SUBSTITUTE(UPPER(TRIM(Raw_Export!F2230)),"KES",""),",","")),0))</f>
        <v/>
      </c>
      <c r="H2230" s="38" t="str">
        <f aca="false">IF(Raw_Export!$A2230="","",F2230*G2230)</f>
        <v/>
      </c>
      <c r="I2230" s="36" t="str">
        <f aca="false">IF(Raw_Export!$A2230="","",IFERROR(VLOOKUP(LOWER(TRIM(Raw_Export!H2230)),Maps!$D$2:$E$12,2,FALSE()),"Other"))</f>
        <v/>
      </c>
      <c r="J2230" s="36" t="str">
        <f aca="false">IF(Raw_Export!$A2230="","",IF(COUNTIF($A$2:A2230,A2230)&gt;1,"Duplicate",""))</f>
        <v/>
      </c>
      <c r="K2230" s="36" t="str">
        <f aca="false">IF(Raw_Export!$A2230="","",IF(J2230="Duplicate","Duplicate",IF(OR(C2230="UNMAPPED",D2230="UNMAPPED"),"Unmapped",IF(F2230=0,"Blank qty",IF(F2230&lt;0,"Return","OK")))))</f>
        <v/>
      </c>
      <c r="L2230" s="36" t="str">
        <f aca="false">IF(Raw_Export!$A2230="","",IF(OR(K2230="OK",K2230="Return"),1,0))</f>
        <v/>
      </c>
      <c r="M2230" s="37" t="str">
        <f aca="false">IF(Raw_Export!$A2230="","",B2230-WEEKDAY(B2230,2)+1)</f>
        <v/>
      </c>
    </row>
    <row r="2231" customFormat="false" ht="15" hidden="false" customHeight="false" outlineLevel="0" collapsed="false">
      <c r="A2231" s="36" t="str">
        <f aca="false">IF(Raw_Export!$A2231="","",TRIM(Raw_Export!A2231))</f>
        <v/>
      </c>
      <c r="B2231" s="37" t="str">
        <f aca="false">IF(Raw_Export!$A2231="","",IF(ISNUMBER(Raw_Export!B2231),Raw_Export!B2231,IF(MID(TRIM(Raw_Export!B2231),5,1)="-",DATE(LEFT(TRIM(Raw_Export!B2231),4),MID(TRIM(Raw_Export!B2231),6,2),RIGHT(TRIM(Raw_Export!B2231),2)),DATE(RIGHT(TRIM(Raw_Export!B2231),4),MATCH(MID(TRIM(Raw_Export!B2231),4,3),{"Jan","Feb","Mar","Apr","May","Jun","Jul","Aug","Sep","Oct","Nov","Dec"},0),LEFT(TRIM(Raw_Export!B2231),2)))))</f>
        <v/>
      </c>
      <c r="C2231" s="36" t="str">
        <f aca="false">IF(Raw_Export!$A2231="","",IFERROR(VLOOKUP(LOWER(TRIM(Raw_Export!C2231)),Maps!$A$2:$B$20,2,FALSE()),"UNMAPPED"))</f>
        <v/>
      </c>
      <c r="D2231" s="36" t="str">
        <f aca="false">IF(Raw_Export!$A2231="","",IFERROR(VLOOKUP(LOWER(TRIM(Raw_Export!D2231)),Maps!$G$2:$I$80,2,FALSE()),"UNMAPPED"))</f>
        <v/>
      </c>
      <c r="E2231" s="36" t="str">
        <f aca="false">IF(Raw_Export!$A2231="","",IFERROR(VLOOKUP(LOWER(TRIM(Raw_Export!D2231)),Maps!$G$2:$I$80,3,FALSE()),"UNMAPPED"))</f>
        <v/>
      </c>
      <c r="F2231" s="36" t="str">
        <f aca="false">IF(Raw_Export!$A2231="","",IFERROR(VALUE(TRIM(Raw_Export!E2231)),0))</f>
        <v/>
      </c>
      <c r="G2231" s="38" t="str">
        <f aca="false">IF(Raw_Export!$A2231="","",IFERROR(VALUE(SUBSTITUTE(SUBSTITUTE(UPPER(TRIM(Raw_Export!F2231)),"KES",""),",","")),0))</f>
        <v/>
      </c>
      <c r="H2231" s="38" t="str">
        <f aca="false">IF(Raw_Export!$A2231="","",F2231*G2231)</f>
        <v/>
      </c>
      <c r="I2231" s="36" t="str">
        <f aca="false">IF(Raw_Export!$A2231="","",IFERROR(VLOOKUP(LOWER(TRIM(Raw_Export!H2231)),Maps!$D$2:$E$12,2,FALSE()),"Other"))</f>
        <v/>
      </c>
      <c r="J2231" s="36" t="str">
        <f aca="false">IF(Raw_Export!$A2231="","",IF(COUNTIF($A$2:A2231,A2231)&gt;1,"Duplicate",""))</f>
        <v/>
      </c>
      <c r="K2231" s="36" t="str">
        <f aca="false">IF(Raw_Export!$A2231="","",IF(J2231="Duplicate","Duplicate",IF(OR(C2231="UNMAPPED",D2231="UNMAPPED"),"Unmapped",IF(F2231=0,"Blank qty",IF(F2231&lt;0,"Return","OK")))))</f>
        <v/>
      </c>
      <c r="L2231" s="36" t="str">
        <f aca="false">IF(Raw_Export!$A2231="","",IF(OR(K2231="OK",K2231="Return"),1,0))</f>
        <v/>
      </c>
      <c r="M2231" s="37" t="str">
        <f aca="false">IF(Raw_Export!$A2231="","",B2231-WEEKDAY(B2231,2)+1)</f>
        <v/>
      </c>
    </row>
    <row r="2232" customFormat="false" ht="15" hidden="false" customHeight="false" outlineLevel="0" collapsed="false">
      <c r="A2232" s="36" t="str">
        <f aca="false">IF(Raw_Export!$A2232="","",TRIM(Raw_Export!A2232))</f>
        <v/>
      </c>
      <c r="B2232" s="37" t="str">
        <f aca="false">IF(Raw_Export!$A2232="","",IF(ISNUMBER(Raw_Export!B2232),Raw_Export!B2232,IF(MID(TRIM(Raw_Export!B2232),5,1)="-",DATE(LEFT(TRIM(Raw_Export!B2232),4),MID(TRIM(Raw_Export!B2232),6,2),RIGHT(TRIM(Raw_Export!B2232),2)),DATE(RIGHT(TRIM(Raw_Export!B2232),4),MATCH(MID(TRIM(Raw_Export!B2232),4,3),{"Jan","Feb","Mar","Apr","May","Jun","Jul","Aug","Sep","Oct","Nov","Dec"},0),LEFT(TRIM(Raw_Export!B2232),2)))))</f>
        <v/>
      </c>
      <c r="C2232" s="36" t="str">
        <f aca="false">IF(Raw_Export!$A2232="","",IFERROR(VLOOKUP(LOWER(TRIM(Raw_Export!C2232)),Maps!$A$2:$B$20,2,FALSE()),"UNMAPPED"))</f>
        <v/>
      </c>
      <c r="D2232" s="36" t="str">
        <f aca="false">IF(Raw_Export!$A2232="","",IFERROR(VLOOKUP(LOWER(TRIM(Raw_Export!D2232)),Maps!$G$2:$I$80,2,FALSE()),"UNMAPPED"))</f>
        <v/>
      </c>
      <c r="E2232" s="36" t="str">
        <f aca="false">IF(Raw_Export!$A2232="","",IFERROR(VLOOKUP(LOWER(TRIM(Raw_Export!D2232)),Maps!$G$2:$I$80,3,FALSE()),"UNMAPPED"))</f>
        <v/>
      </c>
      <c r="F2232" s="36" t="str">
        <f aca="false">IF(Raw_Export!$A2232="","",IFERROR(VALUE(TRIM(Raw_Export!E2232)),0))</f>
        <v/>
      </c>
      <c r="G2232" s="38" t="str">
        <f aca="false">IF(Raw_Export!$A2232="","",IFERROR(VALUE(SUBSTITUTE(SUBSTITUTE(UPPER(TRIM(Raw_Export!F2232)),"KES",""),",","")),0))</f>
        <v/>
      </c>
      <c r="H2232" s="38" t="str">
        <f aca="false">IF(Raw_Export!$A2232="","",F2232*G2232)</f>
        <v/>
      </c>
      <c r="I2232" s="36" t="str">
        <f aca="false">IF(Raw_Export!$A2232="","",IFERROR(VLOOKUP(LOWER(TRIM(Raw_Export!H2232)),Maps!$D$2:$E$12,2,FALSE()),"Other"))</f>
        <v/>
      </c>
      <c r="J2232" s="36" t="str">
        <f aca="false">IF(Raw_Export!$A2232="","",IF(COUNTIF($A$2:A2232,A2232)&gt;1,"Duplicate",""))</f>
        <v/>
      </c>
      <c r="K2232" s="36" t="str">
        <f aca="false">IF(Raw_Export!$A2232="","",IF(J2232="Duplicate","Duplicate",IF(OR(C2232="UNMAPPED",D2232="UNMAPPED"),"Unmapped",IF(F2232=0,"Blank qty",IF(F2232&lt;0,"Return","OK")))))</f>
        <v/>
      </c>
      <c r="L2232" s="36" t="str">
        <f aca="false">IF(Raw_Export!$A2232="","",IF(OR(K2232="OK",K2232="Return"),1,0))</f>
        <v/>
      </c>
      <c r="M2232" s="37" t="str">
        <f aca="false">IF(Raw_Export!$A2232="","",B2232-WEEKDAY(B2232,2)+1)</f>
        <v/>
      </c>
    </row>
    <row r="2233" customFormat="false" ht="15" hidden="false" customHeight="false" outlineLevel="0" collapsed="false">
      <c r="A2233" s="36" t="str">
        <f aca="false">IF(Raw_Export!$A2233="","",TRIM(Raw_Export!A2233))</f>
        <v/>
      </c>
      <c r="B2233" s="37" t="str">
        <f aca="false">IF(Raw_Export!$A2233="","",IF(ISNUMBER(Raw_Export!B2233),Raw_Export!B2233,IF(MID(TRIM(Raw_Export!B2233),5,1)="-",DATE(LEFT(TRIM(Raw_Export!B2233),4),MID(TRIM(Raw_Export!B2233),6,2),RIGHT(TRIM(Raw_Export!B2233),2)),DATE(RIGHT(TRIM(Raw_Export!B2233),4),MATCH(MID(TRIM(Raw_Export!B2233),4,3),{"Jan","Feb","Mar","Apr","May","Jun","Jul","Aug","Sep","Oct","Nov","Dec"},0),LEFT(TRIM(Raw_Export!B2233),2)))))</f>
        <v/>
      </c>
      <c r="C2233" s="36" t="str">
        <f aca="false">IF(Raw_Export!$A2233="","",IFERROR(VLOOKUP(LOWER(TRIM(Raw_Export!C2233)),Maps!$A$2:$B$20,2,FALSE()),"UNMAPPED"))</f>
        <v/>
      </c>
      <c r="D2233" s="36" t="str">
        <f aca="false">IF(Raw_Export!$A2233="","",IFERROR(VLOOKUP(LOWER(TRIM(Raw_Export!D2233)),Maps!$G$2:$I$80,2,FALSE()),"UNMAPPED"))</f>
        <v/>
      </c>
      <c r="E2233" s="36" t="str">
        <f aca="false">IF(Raw_Export!$A2233="","",IFERROR(VLOOKUP(LOWER(TRIM(Raw_Export!D2233)),Maps!$G$2:$I$80,3,FALSE()),"UNMAPPED"))</f>
        <v/>
      </c>
      <c r="F2233" s="36" t="str">
        <f aca="false">IF(Raw_Export!$A2233="","",IFERROR(VALUE(TRIM(Raw_Export!E2233)),0))</f>
        <v/>
      </c>
      <c r="G2233" s="38" t="str">
        <f aca="false">IF(Raw_Export!$A2233="","",IFERROR(VALUE(SUBSTITUTE(SUBSTITUTE(UPPER(TRIM(Raw_Export!F2233)),"KES",""),",","")),0))</f>
        <v/>
      </c>
      <c r="H2233" s="38" t="str">
        <f aca="false">IF(Raw_Export!$A2233="","",F2233*G2233)</f>
        <v/>
      </c>
      <c r="I2233" s="36" t="str">
        <f aca="false">IF(Raw_Export!$A2233="","",IFERROR(VLOOKUP(LOWER(TRIM(Raw_Export!H2233)),Maps!$D$2:$E$12,2,FALSE()),"Other"))</f>
        <v/>
      </c>
      <c r="J2233" s="36" t="str">
        <f aca="false">IF(Raw_Export!$A2233="","",IF(COUNTIF($A$2:A2233,A2233)&gt;1,"Duplicate",""))</f>
        <v/>
      </c>
      <c r="K2233" s="36" t="str">
        <f aca="false">IF(Raw_Export!$A2233="","",IF(J2233="Duplicate","Duplicate",IF(OR(C2233="UNMAPPED",D2233="UNMAPPED"),"Unmapped",IF(F2233=0,"Blank qty",IF(F2233&lt;0,"Return","OK")))))</f>
        <v/>
      </c>
      <c r="L2233" s="36" t="str">
        <f aca="false">IF(Raw_Export!$A2233="","",IF(OR(K2233="OK",K2233="Return"),1,0))</f>
        <v/>
      </c>
      <c r="M2233" s="37" t="str">
        <f aca="false">IF(Raw_Export!$A2233="","",B2233-WEEKDAY(B2233,2)+1)</f>
        <v/>
      </c>
    </row>
    <row r="2234" customFormat="false" ht="15" hidden="false" customHeight="false" outlineLevel="0" collapsed="false">
      <c r="A2234" s="36" t="str">
        <f aca="false">IF(Raw_Export!$A2234="","",TRIM(Raw_Export!A2234))</f>
        <v/>
      </c>
      <c r="B2234" s="37" t="str">
        <f aca="false">IF(Raw_Export!$A2234="","",IF(ISNUMBER(Raw_Export!B2234),Raw_Export!B2234,IF(MID(TRIM(Raw_Export!B2234),5,1)="-",DATE(LEFT(TRIM(Raw_Export!B2234),4),MID(TRIM(Raw_Export!B2234),6,2),RIGHT(TRIM(Raw_Export!B2234),2)),DATE(RIGHT(TRIM(Raw_Export!B2234),4),MATCH(MID(TRIM(Raw_Export!B2234),4,3),{"Jan","Feb","Mar","Apr","May","Jun","Jul","Aug","Sep","Oct","Nov","Dec"},0),LEFT(TRIM(Raw_Export!B2234),2)))))</f>
        <v/>
      </c>
      <c r="C2234" s="36" t="str">
        <f aca="false">IF(Raw_Export!$A2234="","",IFERROR(VLOOKUP(LOWER(TRIM(Raw_Export!C2234)),Maps!$A$2:$B$20,2,FALSE()),"UNMAPPED"))</f>
        <v/>
      </c>
      <c r="D2234" s="36" t="str">
        <f aca="false">IF(Raw_Export!$A2234="","",IFERROR(VLOOKUP(LOWER(TRIM(Raw_Export!D2234)),Maps!$G$2:$I$80,2,FALSE()),"UNMAPPED"))</f>
        <v/>
      </c>
      <c r="E2234" s="36" t="str">
        <f aca="false">IF(Raw_Export!$A2234="","",IFERROR(VLOOKUP(LOWER(TRIM(Raw_Export!D2234)),Maps!$G$2:$I$80,3,FALSE()),"UNMAPPED"))</f>
        <v/>
      </c>
      <c r="F2234" s="36" t="str">
        <f aca="false">IF(Raw_Export!$A2234="","",IFERROR(VALUE(TRIM(Raw_Export!E2234)),0))</f>
        <v/>
      </c>
      <c r="G2234" s="38" t="str">
        <f aca="false">IF(Raw_Export!$A2234="","",IFERROR(VALUE(SUBSTITUTE(SUBSTITUTE(UPPER(TRIM(Raw_Export!F2234)),"KES",""),",","")),0))</f>
        <v/>
      </c>
      <c r="H2234" s="38" t="str">
        <f aca="false">IF(Raw_Export!$A2234="","",F2234*G2234)</f>
        <v/>
      </c>
      <c r="I2234" s="36" t="str">
        <f aca="false">IF(Raw_Export!$A2234="","",IFERROR(VLOOKUP(LOWER(TRIM(Raw_Export!H2234)),Maps!$D$2:$E$12,2,FALSE()),"Other"))</f>
        <v/>
      </c>
      <c r="J2234" s="36" t="str">
        <f aca="false">IF(Raw_Export!$A2234="","",IF(COUNTIF($A$2:A2234,A2234)&gt;1,"Duplicate",""))</f>
        <v/>
      </c>
      <c r="K2234" s="36" t="str">
        <f aca="false">IF(Raw_Export!$A2234="","",IF(J2234="Duplicate","Duplicate",IF(OR(C2234="UNMAPPED",D2234="UNMAPPED"),"Unmapped",IF(F2234=0,"Blank qty",IF(F2234&lt;0,"Return","OK")))))</f>
        <v/>
      </c>
      <c r="L2234" s="36" t="str">
        <f aca="false">IF(Raw_Export!$A2234="","",IF(OR(K2234="OK",K2234="Return"),1,0))</f>
        <v/>
      </c>
      <c r="M2234" s="37" t="str">
        <f aca="false">IF(Raw_Export!$A2234="","",B2234-WEEKDAY(B2234,2)+1)</f>
        <v/>
      </c>
    </row>
    <row r="2235" customFormat="false" ht="15" hidden="false" customHeight="false" outlineLevel="0" collapsed="false">
      <c r="A2235" s="36" t="str">
        <f aca="false">IF(Raw_Export!$A2235="","",TRIM(Raw_Export!A2235))</f>
        <v/>
      </c>
      <c r="B2235" s="37" t="str">
        <f aca="false">IF(Raw_Export!$A2235="","",IF(ISNUMBER(Raw_Export!B2235),Raw_Export!B2235,IF(MID(TRIM(Raw_Export!B2235),5,1)="-",DATE(LEFT(TRIM(Raw_Export!B2235),4),MID(TRIM(Raw_Export!B2235),6,2),RIGHT(TRIM(Raw_Export!B2235),2)),DATE(RIGHT(TRIM(Raw_Export!B2235),4),MATCH(MID(TRIM(Raw_Export!B2235),4,3),{"Jan","Feb","Mar","Apr","May","Jun","Jul","Aug","Sep","Oct","Nov","Dec"},0),LEFT(TRIM(Raw_Export!B2235),2)))))</f>
        <v/>
      </c>
      <c r="C2235" s="36" t="str">
        <f aca="false">IF(Raw_Export!$A2235="","",IFERROR(VLOOKUP(LOWER(TRIM(Raw_Export!C2235)),Maps!$A$2:$B$20,2,FALSE()),"UNMAPPED"))</f>
        <v/>
      </c>
      <c r="D2235" s="36" t="str">
        <f aca="false">IF(Raw_Export!$A2235="","",IFERROR(VLOOKUP(LOWER(TRIM(Raw_Export!D2235)),Maps!$G$2:$I$80,2,FALSE()),"UNMAPPED"))</f>
        <v/>
      </c>
      <c r="E2235" s="36" t="str">
        <f aca="false">IF(Raw_Export!$A2235="","",IFERROR(VLOOKUP(LOWER(TRIM(Raw_Export!D2235)),Maps!$G$2:$I$80,3,FALSE()),"UNMAPPED"))</f>
        <v/>
      </c>
      <c r="F2235" s="36" t="str">
        <f aca="false">IF(Raw_Export!$A2235="","",IFERROR(VALUE(TRIM(Raw_Export!E2235)),0))</f>
        <v/>
      </c>
      <c r="G2235" s="38" t="str">
        <f aca="false">IF(Raw_Export!$A2235="","",IFERROR(VALUE(SUBSTITUTE(SUBSTITUTE(UPPER(TRIM(Raw_Export!F2235)),"KES",""),",","")),0))</f>
        <v/>
      </c>
      <c r="H2235" s="38" t="str">
        <f aca="false">IF(Raw_Export!$A2235="","",F2235*G2235)</f>
        <v/>
      </c>
      <c r="I2235" s="36" t="str">
        <f aca="false">IF(Raw_Export!$A2235="","",IFERROR(VLOOKUP(LOWER(TRIM(Raw_Export!H2235)),Maps!$D$2:$E$12,2,FALSE()),"Other"))</f>
        <v/>
      </c>
      <c r="J2235" s="36" t="str">
        <f aca="false">IF(Raw_Export!$A2235="","",IF(COUNTIF($A$2:A2235,A2235)&gt;1,"Duplicate",""))</f>
        <v/>
      </c>
      <c r="K2235" s="36" t="str">
        <f aca="false">IF(Raw_Export!$A2235="","",IF(J2235="Duplicate","Duplicate",IF(OR(C2235="UNMAPPED",D2235="UNMAPPED"),"Unmapped",IF(F2235=0,"Blank qty",IF(F2235&lt;0,"Return","OK")))))</f>
        <v/>
      </c>
      <c r="L2235" s="36" t="str">
        <f aca="false">IF(Raw_Export!$A2235="","",IF(OR(K2235="OK",K2235="Return"),1,0))</f>
        <v/>
      </c>
      <c r="M2235" s="37" t="str">
        <f aca="false">IF(Raw_Export!$A2235="","",B2235-WEEKDAY(B2235,2)+1)</f>
        <v/>
      </c>
    </row>
    <row r="2236" customFormat="false" ht="15" hidden="false" customHeight="false" outlineLevel="0" collapsed="false">
      <c r="A2236" s="36" t="str">
        <f aca="false">IF(Raw_Export!$A2236="","",TRIM(Raw_Export!A2236))</f>
        <v/>
      </c>
      <c r="B2236" s="37" t="str">
        <f aca="false">IF(Raw_Export!$A2236="","",IF(ISNUMBER(Raw_Export!B2236),Raw_Export!B2236,IF(MID(TRIM(Raw_Export!B2236),5,1)="-",DATE(LEFT(TRIM(Raw_Export!B2236),4),MID(TRIM(Raw_Export!B2236),6,2),RIGHT(TRIM(Raw_Export!B2236),2)),DATE(RIGHT(TRIM(Raw_Export!B2236),4),MATCH(MID(TRIM(Raw_Export!B2236),4,3),{"Jan","Feb","Mar","Apr","May","Jun","Jul","Aug","Sep","Oct","Nov","Dec"},0),LEFT(TRIM(Raw_Export!B2236),2)))))</f>
        <v/>
      </c>
      <c r="C2236" s="36" t="str">
        <f aca="false">IF(Raw_Export!$A2236="","",IFERROR(VLOOKUP(LOWER(TRIM(Raw_Export!C2236)),Maps!$A$2:$B$20,2,FALSE()),"UNMAPPED"))</f>
        <v/>
      </c>
      <c r="D2236" s="36" t="str">
        <f aca="false">IF(Raw_Export!$A2236="","",IFERROR(VLOOKUP(LOWER(TRIM(Raw_Export!D2236)),Maps!$G$2:$I$80,2,FALSE()),"UNMAPPED"))</f>
        <v/>
      </c>
      <c r="E2236" s="36" t="str">
        <f aca="false">IF(Raw_Export!$A2236="","",IFERROR(VLOOKUP(LOWER(TRIM(Raw_Export!D2236)),Maps!$G$2:$I$80,3,FALSE()),"UNMAPPED"))</f>
        <v/>
      </c>
      <c r="F2236" s="36" t="str">
        <f aca="false">IF(Raw_Export!$A2236="","",IFERROR(VALUE(TRIM(Raw_Export!E2236)),0))</f>
        <v/>
      </c>
      <c r="G2236" s="38" t="str">
        <f aca="false">IF(Raw_Export!$A2236="","",IFERROR(VALUE(SUBSTITUTE(SUBSTITUTE(UPPER(TRIM(Raw_Export!F2236)),"KES",""),",","")),0))</f>
        <v/>
      </c>
      <c r="H2236" s="38" t="str">
        <f aca="false">IF(Raw_Export!$A2236="","",F2236*G2236)</f>
        <v/>
      </c>
      <c r="I2236" s="36" t="str">
        <f aca="false">IF(Raw_Export!$A2236="","",IFERROR(VLOOKUP(LOWER(TRIM(Raw_Export!H2236)),Maps!$D$2:$E$12,2,FALSE()),"Other"))</f>
        <v/>
      </c>
      <c r="J2236" s="36" t="str">
        <f aca="false">IF(Raw_Export!$A2236="","",IF(COUNTIF($A$2:A2236,A2236)&gt;1,"Duplicate",""))</f>
        <v/>
      </c>
      <c r="K2236" s="36" t="str">
        <f aca="false">IF(Raw_Export!$A2236="","",IF(J2236="Duplicate","Duplicate",IF(OR(C2236="UNMAPPED",D2236="UNMAPPED"),"Unmapped",IF(F2236=0,"Blank qty",IF(F2236&lt;0,"Return","OK")))))</f>
        <v/>
      </c>
      <c r="L2236" s="36" t="str">
        <f aca="false">IF(Raw_Export!$A2236="","",IF(OR(K2236="OK",K2236="Return"),1,0))</f>
        <v/>
      </c>
      <c r="M2236" s="37" t="str">
        <f aca="false">IF(Raw_Export!$A2236="","",B2236-WEEKDAY(B2236,2)+1)</f>
        <v/>
      </c>
    </row>
    <row r="2237" customFormat="false" ht="15" hidden="false" customHeight="false" outlineLevel="0" collapsed="false">
      <c r="A2237" s="36" t="str">
        <f aca="false">IF(Raw_Export!$A2237="","",TRIM(Raw_Export!A2237))</f>
        <v/>
      </c>
      <c r="B2237" s="37" t="str">
        <f aca="false">IF(Raw_Export!$A2237="","",IF(ISNUMBER(Raw_Export!B2237),Raw_Export!B2237,IF(MID(TRIM(Raw_Export!B2237),5,1)="-",DATE(LEFT(TRIM(Raw_Export!B2237),4),MID(TRIM(Raw_Export!B2237),6,2),RIGHT(TRIM(Raw_Export!B2237),2)),DATE(RIGHT(TRIM(Raw_Export!B2237),4),MATCH(MID(TRIM(Raw_Export!B2237),4,3),{"Jan","Feb","Mar","Apr","May","Jun","Jul","Aug","Sep","Oct","Nov","Dec"},0),LEFT(TRIM(Raw_Export!B2237),2)))))</f>
        <v/>
      </c>
      <c r="C2237" s="36" t="str">
        <f aca="false">IF(Raw_Export!$A2237="","",IFERROR(VLOOKUP(LOWER(TRIM(Raw_Export!C2237)),Maps!$A$2:$B$20,2,FALSE()),"UNMAPPED"))</f>
        <v/>
      </c>
      <c r="D2237" s="36" t="str">
        <f aca="false">IF(Raw_Export!$A2237="","",IFERROR(VLOOKUP(LOWER(TRIM(Raw_Export!D2237)),Maps!$G$2:$I$80,2,FALSE()),"UNMAPPED"))</f>
        <v/>
      </c>
      <c r="E2237" s="36" t="str">
        <f aca="false">IF(Raw_Export!$A2237="","",IFERROR(VLOOKUP(LOWER(TRIM(Raw_Export!D2237)),Maps!$G$2:$I$80,3,FALSE()),"UNMAPPED"))</f>
        <v/>
      </c>
      <c r="F2237" s="36" t="str">
        <f aca="false">IF(Raw_Export!$A2237="","",IFERROR(VALUE(TRIM(Raw_Export!E2237)),0))</f>
        <v/>
      </c>
      <c r="G2237" s="38" t="str">
        <f aca="false">IF(Raw_Export!$A2237="","",IFERROR(VALUE(SUBSTITUTE(SUBSTITUTE(UPPER(TRIM(Raw_Export!F2237)),"KES",""),",","")),0))</f>
        <v/>
      </c>
      <c r="H2237" s="38" t="str">
        <f aca="false">IF(Raw_Export!$A2237="","",F2237*G2237)</f>
        <v/>
      </c>
      <c r="I2237" s="36" t="str">
        <f aca="false">IF(Raw_Export!$A2237="","",IFERROR(VLOOKUP(LOWER(TRIM(Raw_Export!H2237)),Maps!$D$2:$E$12,2,FALSE()),"Other"))</f>
        <v/>
      </c>
      <c r="J2237" s="36" t="str">
        <f aca="false">IF(Raw_Export!$A2237="","",IF(COUNTIF($A$2:A2237,A2237)&gt;1,"Duplicate",""))</f>
        <v/>
      </c>
      <c r="K2237" s="36" t="str">
        <f aca="false">IF(Raw_Export!$A2237="","",IF(J2237="Duplicate","Duplicate",IF(OR(C2237="UNMAPPED",D2237="UNMAPPED"),"Unmapped",IF(F2237=0,"Blank qty",IF(F2237&lt;0,"Return","OK")))))</f>
        <v/>
      </c>
      <c r="L2237" s="36" t="str">
        <f aca="false">IF(Raw_Export!$A2237="","",IF(OR(K2237="OK",K2237="Return"),1,0))</f>
        <v/>
      </c>
      <c r="M2237" s="37" t="str">
        <f aca="false">IF(Raw_Export!$A2237="","",B2237-WEEKDAY(B2237,2)+1)</f>
        <v/>
      </c>
    </row>
    <row r="2238" customFormat="false" ht="15" hidden="false" customHeight="false" outlineLevel="0" collapsed="false">
      <c r="A2238" s="36" t="str">
        <f aca="false">IF(Raw_Export!$A2238="","",TRIM(Raw_Export!A2238))</f>
        <v/>
      </c>
      <c r="B2238" s="37" t="str">
        <f aca="false">IF(Raw_Export!$A2238="","",IF(ISNUMBER(Raw_Export!B2238),Raw_Export!B2238,IF(MID(TRIM(Raw_Export!B2238),5,1)="-",DATE(LEFT(TRIM(Raw_Export!B2238),4),MID(TRIM(Raw_Export!B2238),6,2),RIGHT(TRIM(Raw_Export!B2238),2)),DATE(RIGHT(TRIM(Raw_Export!B2238),4),MATCH(MID(TRIM(Raw_Export!B2238),4,3),{"Jan","Feb","Mar","Apr","May","Jun","Jul","Aug","Sep","Oct","Nov","Dec"},0),LEFT(TRIM(Raw_Export!B2238),2)))))</f>
        <v/>
      </c>
      <c r="C2238" s="36" t="str">
        <f aca="false">IF(Raw_Export!$A2238="","",IFERROR(VLOOKUP(LOWER(TRIM(Raw_Export!C2238)),Maps!$A$2:$B$20,2,FALSE()),"UNMAPPED"))</f>
        <v/>
      </c>
      <c r="D2238" s="36" t="str">
        <f aca="false">IF(Raw_Export!$A2238="","",IFERROR(VLOOKUP(LOWER(TRIM(Raw_Export!D2238)),Maps!$G$2:$I$80,2,FALSE()),"UNMAPPED"))</f>
        <v/>
      </c>
      <c r="E2238" s="36" t="str">
        <f aca="false">IF(Raw_Export!$A2238="","",IFERROR(VLOOKUP(LOWER(TRIM(Raw_Export!D2238)),Maps!$G$2:$I$80,3,FALSE()),"UNMAPPED"))</f>
        <v/>
      </c>
      <c r="F2238" s="36" t="str">
        <f aca="false">IF(Raw_Export!$A2238="","",IFERROR(VALUE(TRIM(Raw_Export!E2238)),0))</f>
        <v/>
      </c>
      <c r="G2238" s="38" t="str">
        <f aca="false">IF(Raw_Export!$A2238="","",IFERROR(VALUE(SUBSTITUTE(SUBSTITUTE(UPPER(TRIM(Raw_Export!F2238)),"KES",""),",","")),0))</f>
        <v/>
      </c>
      <c r="H2238" s="38" t="str">
        <f aca="false">IF(Raw_Export!$A2238="","",F2238*G2238)</f>
        <v/>
      </c>
      <c r="I2238" s="36" t="str">
        <f aca="false">IF(Raw_Export!$A2238="","",IFERROR(VLOOKUP(LOWER(TRIM(Raw_Export!H2238)),Maps!$D$2:$E$12,2,FALSE()),"Other"))</f>
        <v/>
      </c>
      <c r="J2238" s="36" t="str">
        <f aca="false">IF(Raw_Export!$A2238="","",IF(COUNTIF($A$2:A2238,A2238)&gt;1,"Duplicate",""))</f>
        <v/>
      </c>
      <c r="K2238" s="36" t="str">
        <f aca="false">IF(Raw_Export!$A2238="","",IF(J2238="Duplicate","Duplicate",IF(OR(C2238="UNMAPPED",D2238="UNMAPPED"),"Unmapped",IF(F2238=0,"Blank qty",IF(F2238&lt;0,"Return","OK")))))</f>
        <v/>
      </c>
      <c r="L2238" s="36" t="str">
        <f aca="false">IF(Raw_Export!$A2238="","",IF(OR(K2238="OK",K2238="Return"),1,0))</f>
        <v/>
      </c>
      <c r="M2238" s="37" t="str">
        <f aca="false">IF(Raw_Export!$A2238="","",B2238-WEEKDAY(B2238,2)+1)</f>
        <v/>
      </c>
    </row>
    <row r="2239" customFormat="false" ht="15" hidden="false" customHeight="false" outlineLevel="0" collapsed="false">
      <c r="A2239" s="36" t="str">
        <f aca="false">IF(Raw_Export!$A2239="","",TRIM(Raw_Export!A2239))</f>
        <v/>
      </c>
      <c r="B2239" s="37" t="str">
        <f aca="false">IF(Raw_Export!$A2239="","",IF(ISNUMBER(Raw_Export!B2239),Raw_Export!B2239,IF(MID(TRIM(Raw_Export!B2239),5,1)="-",DATE(LEFT(TRIM(Raw_Export!B2239),4),MID(TRIM(Raw_Export!B2239),6,2),RIGHT(TRIM(Raw_Export!B2239),2)),DATE(RIGHT(TRIM(Raw_Export!B2239),4),MATCH(MID(TRIM(Raw_Export!B2239),4,3),{"Jan","Feb","Mar","Apr","May","Jun","Jul","Aug","Sep","Oct","Nov","Dec"},0),LEFT(TRIM(Raw_Export!B2239),2)))))</f>
        <v/>
      </c>
      <c r="C2239" s="36" t="str">
        <f aca="false">IF(Raw_Export!$A2239="","",IFERROR(VLOOKUP(LOWER(TRIM(Raw_Export!C2239)),Maps!$A$2:$B$20,2,FALSE()),"UNMAPPED"))</f>
        <v/>
      </c>
      <c r="D2239" s="36" t="str">
        <f aca="false">IF(Raw_Export!$A2239="","",IFERROR(VLOOKUP(LOWER(TRIM(Raw_Export!D2239)),Maps!$G$2:$I$80,2,FALSE()),"UNMAPPED"))</f>
        <v/>
      </c>
      <c r="E2239" s="36" t="str">
        <f aca="false">IF(Raw_Export!$A2239="","",IFERROR(VLOOKUP(LOWER(TRIM(Raw_Export!D2239)),Maps!$G$2:$I$80,3,FALSE()),"UNMAPPED"))</f>
        <v/>
      </c>
      <c r="F2239" s="36" t="str">
        <f aca="false">IF(Raw_Export!$A2239="","",IFERROR(VALUE(TRIM(Raw_Export!E2239)),0))</f>
        <v/>
      </c>
      <c r="G2239" s="38" t="str">
        <f aca="false">IF(Raw_Export!$A2239="","",IFERROR(VALUE(SUBSTITUTE(SUBSTITUTE(UPPER(TRIM(Raw_Export!F2239)),"KES",""),",","")),0))</f>
        <v/>
      </c>
      <c r="H2239" s="38" t="str">
        <f aca="false">IF(Raw_Export!$A2239="","",F2239*G2239)</f>
        <v/>
      </c>
      <c r="I2239" s="36" t="str">
        <f aca="false">IF(Raw_Export!$A2239="","",IFERROR(VLOOKUP(LOWER(TRIM(Raw_Export!H2239)),Maps!$D$2:$E$12,2,FALSE()),"Other"))</f>
        <v/>
      </c>
      <c r="J2239" s="36" t="str">
        <f aca="false">IF(Raw_Export!$A2239="","",IF(COUNTIF($A$2:A2239,A2239)&gt;1,"Duplicate",""))</f>
        <v/>
      </c>
      <c r="K2239" s="36" t="str">
        <f aca="false">IF(Raw_Export!$A2239="","",IF(J2239="Duplicate","Duplicate",IF(OR(C2239="UNMAPPED",D2239="UNMAPPED"),"Unmapped",IF(F2239=0,"Blank qty",IF(F2239&lt;0,"Return","OK")))))</f>
        <v/>
      </c>
      <c r="L2239" s="36" t="str">
        <f aca="false">IF(Raw_Export!$A2239="","",IF(OR(K2239="OK",K2239="Return"),1,0))</f>
        <v/>
      </c>
      <c r="M2239" s="37" t="str">
        <f aca="false">IF(Raw_Export!$A2239="","",B2239-WEEKDAY(B2239,2)+1)</f>
        <v/>
      </c>
    </row>
    <row r="2240" customFormat="false" ht="15" hidden="false" customHeight="false" outlineLevel="0" collapsed="false">
      <c r="A2240" s="36" t="str">
        <f aca="false">IF(Raw_Export!$A2240="","",TRIM(Raw_Export!A2240))</f>
        <v/>
      </c>
      <c r="B2240" s="37" t="str">
        <f aca="false">IF(Raw_Export!$A2240="","",IF(ISNUMBER(Raw_Export!B2240),Raw_Export!B2240,IF(MID(TRIM(Raw_Export!B2240),5,1)="-",DATE(LEFT(TRIM(Raw_Export!B2240),4),MID(TRIM(Raw_Export!B2240),6,2),RIGHT(TRIM(Raw_Export!B2240),2)),DATE(RIGHT(TRIM(Raw_Export!B2240),4),MATCH(MID(TRIM(Raw_Export!B2240),4,3),{"Jan","Feb","Mar","Apr","May","Jun","Jul","Aug","Sep","Oct","Nov","Dec"},0),LEFT(TRIM(Raw_Export!B2240),2)))))</f>
        <v/>
      </c>
      <c r="C2240" s="36" t="str">
        <f aca="false">IF(Raw_Export!$A2240="","",IFERROR(VLOOKUP(LOWER(TRIM(Raw_Export!C2240)),Maps!$A$2:$B$20,2,FALSE()),"UNMAPPED"))</f>
        <v/>
      </c>
      <c r="D2240" s="36" t="str">
        <f aca="false">IF(Raw_Export!$A2240="","",IFERROR(VLOOKUP(LOWER(TRIM(Raw_Export!D2240)),Maps!$G$2:$I$80,2,FALSE()),"UNMAPPED"))</f>
        <v/>
      </c>
      <c r="E2240" s="36" t="str">
        <f aca="false">IF(Raw_Export!$A2240="","",IFERROR(VLOOKUP(LOWER(TRIM(Raw_Export!D2240)),Maps!$G$2:$I$80,3,FALSE()),"UNMAPPED"))</f>
        <v/>
      </c>
      <c r="F2240" s="36" t="str">
        <f aca="false">IF(Raw_Export!$A2240="","",IFERROR(VALUE(TRIM(Raw_Export!E2240)),0))</f>
        <v/>
      </c>
      <c r="G2240" s="38" t="str">
        <f aca="false">IF(Raw_Export!$A2240="","",IFERROR(VALUE(SUBSTITUTE(SUBSTITUTE(UPPER(TRIM(Raw_Export!F2240)),"KES",""),",","")),0))</f>
        <v/>
      </c>
      <c r="H2240" s="38" t="str">
        <f aca="false">IF(Raw_Export!$A2240="","",F2240*G2240)</f>
        <v/>
      </c>
      <c r="I2240" s="36" t="str">
        <f aca="false">IF(Raw_Export!$A2240="","",IFERROR(VLOOKUP(LOWER(TRIM(Raw_Export!H2240)),Maps!$D$2:$E$12,2,FALSE()),"Other"))</f>
        <v/>
      </c>
      <c r="J2240" s="36" t="str">
        <f aca="false">IF(Raw_Export!$A2240="","",IF(COUNTIF($A$2:A2240,A2240)&gt;1,"Duplicate",""))</f>
        <v/>
      </c>
      <c r="K2240" s="36" t="str">
        <f aca="false">IF(Raw_Export!$A2240="","",IF(J2240="Duplicate","Duplicate",IF(OR(C2240="UNMAPPED",D2240="UNMAPPED"),"Unmapped",IF(F2240=0,"Blank qty",IF(F2240&lt;0,"Return","OK")))))</f>
        <v/>
      </c>
      <c r="L2240" s="36" t="str">
        <f aca="false">IF(Raw_Export!$A2240="","",IF(OR(K2240="OK",K2240="Return"),1,0))</f>
        <v/>
      </c>
      <c r="M2240" s="37" t="str">
        <f aca="false">IF(Raw_Export!$A2240="","",B2240-WEEKDAY(B2240,2)+1)</f>
        <v/>
      </c>
    </row>
    <row r="2241" customFormat="false" ht="15" hidden="false" customHeight="false" outlineLevel="0" collapsed="false">
      <c r="A2241" s="36" t="str">
        <f aca="false">IF(Raw_Export!$A2241="","",TRIM(Raw_Export!A2241))</f>
        <v/>
      </c>
      <c r="B2241" s="37" t="str">
        <f aca="false">IF(Raw_Export!$A2241="","",IF(ISNUMBER(Raw_Export!B2241),Raw_Export!B2241,IF(MID(TRIM(Raw_Export!B2241),5,1)="-",DATE(LEFT(TRIM(Raw_Export!B2241),4),MID(TRIM(Raw_Export!B2241),6,2),RIGHT(TRIM(Raw_Export!B2241),2)),DATE(RIGHT(TRIM(Raw_Export!B2241),4),MATCH(MID(TRIM(Raw_Export!B2241),4,3),{"Jan","Feb","Mar","Apr","May","Jun","Jul","Aug","Sep","Oct","Nov","Dec"},0),LEFT(TRIM(Raw_Export!B2241),2)))))</f>
        <v/>
      </c>
      <c r="C2241" s="36" t="str">
        <f aca="false">IF(Raw_Export!$A2241="","",IFERROR(VLOOKUP(LOWER(TRIM(Raw_Export!C2241)),Maps!$A$2:$B$20,2,FALSE()),"UNMAPPED"))</f>
        <v/>
      </c>
      <c r="D2241" s="36" t="str">
        <f aca="false">IF(Raw_Export!$A2241="","",IFERROR(VLOOKUP(LOWER(TRIM(Raw_Export!D2241)),Maps!$G$2:$I$80,2,FALSE()),"UNMAPPED"))</f>
        <v/>
      </c>
      <c r="E2241" s="36" t="str">
        <f aca="false">IF(Raw_Export!$A2241="","",IFERROR(VLOOKUP(LOWER(TRIM(Raw_Export!D2241)),Maps!$G$2:$I$80,3,FALSE()),"UNMAPPED"))</f>
        <v/>
      </c>
      <c r="F2241" s="36" t="str">
        <f aca="false">IF(Raw_Export!$A2241="","",IFERROR(VALUE(TRIM(Raw_Export!E2241)),0))</f>
        <v/>
      </c>
      <c r="G2241" s="38" t="str">
        <f aca="false">IF(Raw_Export!$A2241="","",IFERROR(VALUE(SUBSTITUTE(SUBSTITUTE(UPPER(TRIM(Raw_Export!F2241)),"KES",""),",","")),0))</f>
        <v/>
      </c>
      <c r="H2241" s="38" t="str">
        <f aca="false">IF(Raw_Export!$A2241="","",F2241*G2241)</f>
        <v/>
      </c>
      <c r="I2241" s="36" t="str">
        <f aca="false">IF(Raw_Export!$A2241="","",IFERROR(VLOOKUP(LOWER(TRIM(Raw_Export!H2241)),Maps!$D$2:$E$12,2,FALSE()),"Other"))</f>
        <v/>
      </c>
      <c r="J2241" s="36" t="str">
        <f aca="false">IF(Raw_Export!$A2241="","",IF(COUNTIF($A$2:A2241,A2241)&gt;1,"Duplicate",""))</f>
        <v/>
      </c>
      <c r="K2241" s="36" t="str">
        <f aca="false">IF(Raw_Export!$A2241="","",IF(J2241="Duplicate","Duplicate",IF(OR(C2241="UNMAPPED",D2241="UNMAPPED"),"Unmapped",IF(F2241=0,"Blank qty",IF(F2241&lt;0,"Return","OK")))))</f>
        <v/>
      </c>
      <c r="L2241" s="36" t="str">
        <f aca="false">IF(Raw_Export!$A2241="","",IF(OR(K2241="OK",K2241="Return"),1,0))</f>
        <v/>
      </c>
      <c r="M2241" s="37" t="str">
        <f aca="false">IF(Raw_Export!$A2241="","",B2241-WEEKDAY(B2241,2)+1)</f>
        <v/>
      </c>
    </row>
    <row r="2242" customFormat="false" ht="15" hidden="false" customHeight="false" outlineLevel="0" collapsed="false">
      <c r="A2242" s="36" t="str">
        <f aca="false">IF(Raw_Export!$A2242="","",TRIM(Raw_Export!A2242))</f>
        <v/>
      </c>
      <c r="B2242" s="37" t="str">
        <f aca="false">IF(Raw_Export!$A2242="","",IF(ISNUMBER(Raw_Export!B2242),Raw_Export!B2242,IF(MID(TRIM(Raw_Export!B2242),5,1)="-",DATE(LEFT(TRIM(Raw_Export!B2242),4),MID(TRIM(Raw_Export!B2242),6,2),RIGHT(TRIM(Raw_Export!B2242),2)),DATE(RIGHT(TRIM(Raw_Export!B2242),4),MATCH(MID(TRIM(Raw_Export!B2242),4,3),{"Jan","Feb","Mar","Apr","May","Jun","Jul","Aug","Sep","Oct","Nov","Dec"},0),LEFT(TRIM(Raw_Export!B2242),2)))))</f>
        <v/>
      </c>
      <c r="C2242" s="36" t="str">
        <f aca="false">IF(Raw_Export!$A2242="","",IFERROR(VLOOKUP(LOWER(TRIM(Raw_Export!C2242)),Maps!$A$2:$B$20,2,FALSE()),"UNMAPPED"))</f>
        <v/>
      </c>
      <c r="D2242" s="36" t="str">
        <f aca="false">IF(Raw_Export!$A2242="","",IFERROR(VLOOKUP(LOWER(TRIM(Raw_Export!D2242)),Maps!$G$2:$I$80,2,FALSE()),"UNMAPPED"))</f>
        <v/>
      </c>
      <c r="E2242" s="36" t="str">
        <f aca="false">IF(Raw_Export!$A2242="","",IFERROR(VLOOKUP(LOWER(TRIM(Raw_Export!D2242)),Maps!$G$2:$I$80,3,FALSE()),"UNMAPPED"))</f>
        <v/>
      </c>
      <c r="F2242" s="36" t="str">
        <f aca="false">IF(Raw_Export!$A2242="","",IFERROR(VALUE(TRIM(Raw_Export!E2242)),0))</f>
        <v/>
      </c>
      <c r="G2242" s="38" t="str">
        <f aca="false">IF(Raw_Export!$A2242="","",IFERROR(VALUE(SUBSTITUTE(SUBSTITUTE(UPPER(TRIM(Raw_Export!F2242)),"KES",""),",","")),0))</f>
        <v/>
      </c>
      <c r="H2242" s="38" t="str">
        <f aca="false">IF(Raw_Export!$A2242="","",F2242*G2242)</f>
        <v/>
      </c>
      <c r="I2242" s="36" t="str">
        <f aca="false">IF(Raw_Export!$A2242="","",IFERROR(VLOOKUP(LOWER(TRIM(Raw_Export!H2242)),Maps!$D$2:$E$12,2,FALSE()),"Other"))</f>
        <v/>
      </c>
      <c r="J2242" s="36" t="str">
        <f aca="false">IF(Raw_Export!$A2242="","",IF(COUNTIF($A$2:A2242,A2242)&gt;1,"Duplicate",""))</f>
        <v/>
      </c>
      <c r="K2242" s="36" t="str">
        <f aca="false">IF(Raw_Export!$A2242="","",IF(J2242="Duplicate","Duplicate",IF(OR(C2242="UNMAPPED",D2242="UNMAPPED"),"Unmapped",IF(F2242=0,"Blank qty",IF(F2242&lt;0,"Return","OK")))))</f>
        <v/>
      </c>
      <c r="L2242" s="36" t="str">
        <f aca="false">IF(Raw_Export!$A2242="","",IF(OR(K2242="OK",K2242="Return"),1,0))</f>
        <v/>
      </c>
      <c r="M2242" s="37" t="str">
        <f aca="false">IF(Raw_Export!$A2242="","",B2242-WEEKDAY(B2242,2)+1)</f>
        <v/>
      </c>
    </row>
    <row r="2243" customFormat="false" ht="15" hidden="false" customHeight="false" outlineLevel="0" collapsed="false">
      <c r="A2243" s="36" t="str">
        <f aca="false">IF(Raw_Export!$A2243="","",TRIM(Raw_Export!A2243))</f>
        <v/>
      </c>
      <c r="B2243" s="37" t="str">
        <f aca="false">IF(Raw_Export!$A2243="","",IF(ISNUMBER(Raw_Export!B2243),Raw_Export!B2243,IF(MID(TRIM(Raw_Export!B2243),5,1)="-",DATE(LEFT(TRIM(Raw_Export!B2243),4),MID(TRIM(Raw_Export!B2243),6,2),RIGHT(TRIM(Raw_Export!B2243),2)),DATE(RIGHT(TRIM(Raw_Export!B2243),4),MATCH(MID(TRIM(Raw_Export!B2243),4,3),{"Jan","Feb","Mar","Apr","May","Jun","Jul","Aug","Sep","Oct","Nov","Dec"},0),LEFT(TRIM(Raw_Export!B2243),2)))))</f>
        <v/>
      </c>
      <c r="C2243" s="36" t="str">
        <f aca="false">IF(Raw_Export!$A2243="","",IFERROR(VLOOKUP(LOWER(TRIM(Raw_Export!C2243)),Maps!$A$2:$B$20,2,FALSE()),"UNMAPPED"))</f>
        <v/>
      </c>
      <c r="D2243" s="36" t="str">
        <f aca="false">IF(Raw_Export!$A2243="","",IFERROR(VLOOKUP(LOWER(TRIM(Raw_Export!D2243)),Maps!$G$2:$I$80,2,FALSE()),"UNMAPPED"))</f>
        <v/>
      </c>
      <c r="E2243" s="36" t="str">
        <f aca="false">IF(Raw_Export!$A2243="","",IFERROR(VLOOKUP(LOWER(TRIM(Raw_Export!D2243)),Maps!$G$2:$I$80,3,FALSE()),"UNMAPPED"))</f>
        <v/>
      </c>
      <c r="F2243" s="36" t="str">
        <f aca="false">IF(Raw_Export!$A2243="","",IFERROR(VALUE(TRIM(Raw_Export!E2243)),0))</f>
        <v/>
      </c>
      <c r="G2243" s="38" t="str">
        <f aca="false">IF(Raw_Export!$A2243="","",IFERROR(VALUE(SUBSTITUTE(SUBSTITUTE(UPPER(TRIM(Raw_Export!F2243)),"KES",""),",","")),0))</f>
        <v/>
      </c>
      <c r="H2243" s="38" t="str">
        <f aca="false">IF(Raw_Export!$A2243="","",F2243*G2243)</f>
        <v/>
      </c>
      <c r="I2243" s="36" t="str">
        <f aca="false">IF(Raw_Export!$A2243="","",IFERROR(VLOOKUP(LOWER(TRIM(Raw_Export!H2243)),Maps!$D$2:$E$12,2,FALSE()),"Other"))</f>
        <v/>
      </c>
      <c r="J2243" s="36" t="str">
        <f aca="false">IF(Raw_Export!$A2243="","",IF(COUNTIF($A$2:A2243,A2243)&gt;1,"Duplicate",""))</f>
        <v/>
      </c>
      <c r="K2243" s="36" t="str">
        <f aca="false">IF(Raw_Export!$A2243="","",IF(J2243="Duplicate","Duplicate",IF(OR(C2243="UNMAPPED",D2243="UNMAPPED"),"Unmapped",IF(F2243=0,"Blank qty",IF(F2243&lt;0,"Return","OK")))))</f>
        <v/>
      </c>
      <c r="L2243" s="36" t="str">
        <f aca="false">IF(Raw_Export!$A2243="","",IF(OR(K2243="OK",K2243="Return"),1,0))</f>
        <v/>
      </c>
      <c r="M2243" s="37" t="str">
        <f aca="false">IF(Raw_Export!$A2243="","",B2243-WEEKDAY(B2243,2)+1)</f>
        <v/>
      </c>
    </row>
    <row r="2244" customFormat="false" ht="15" hidden="false" customHeight="false" outlineLevel="0" collapsed="false">
      <c r="A2244" s="36" t="str">
        <f aca="false">IF(Raw_Export!$A2244="","",TRIM(Raw_Export!A2244))</f>
        <v/>
      </c>
      <c r="B2244" s="37" t="str">
        <f aca="false">IF(Raw_Export!$A2244="","",IF(ISNUMBER(Raw_Export!B2244),Raw_Export!B2244,IF(MID(TRIM(Raw_Export!B2244),5,1)="-",DATE(LEFT(TRIM(Raw_Export!B2244),4),MID(TRIM(Raw_Export!B2244),6,2),RIGHT(TRIM(Raw_Export!B2244),2)),DATE(RIGHT(TRIM(Raw_Export!B2244),4),MATCH(MID(TRIM(Raw_Export!B2244),4,3),{"Jan","Feb","Mar","Apr","May","Jun","Jul","Aug","Sep","Oct","Nov","Dec"},0),LEFT(TRIM(Raw_Export!B2244),2)))))</f>
        <v/>
      </c>
      <c r="C2244" s="36" t="str">
        <f aca="false">IF(Raw_Export!$A2244="","",IFERROR(VLOOKUP(LOWER(TRIM(Raw_Export!C2244)),Maps!$A$2:$B$20,2,FALSE()),"UNMAPPED"))</f>
        <v/>
      </c>
      <c r="D2244" s="36" t="str">
        <f aca="false">IF(Raw_Export!$A2244="","",IFERROR(VLOOKUP(LOWER(TRIM(Raw_Export!D2244)),Maps!$G$2:$I$80,2,FALSE()),"UNMAPPED"))</f>
        <v/>
      </c>
      <c r="E2244" s="36" t="str">
        <f aca="false">IF(Raw_Export!$A2244="","",IFERROR(VLOOKUP(LOWER(TRIM(Raw_Export!D2244)),Maps!$G$2:$I$80,3,FALSE()),"UNMAPPED"))</f>
        <v/>
      </c>
      <c r="F2244" s="36" t="str">
        <f aca="false">IF(Raw_Export!$A2244="","",IFERROR(VALUE(TRIM(Raw_Export!E2244)),0))</f>
        <v/>
      </c>
      <c r="G2244" s="38" t="str">
        <f aca="false">IF(Raw_Export!$A2244="","",IFERROR(VALUE(SUBSTITUTE(SUBSTITUTE(UPPER(TRIM(Raw_Export!F2244)),"KES",""),",","")),0))</f>
        <v/>
      </c>
      <c r="H2244" s="38" t="str">
        <f aca="false">IF(Raw_Export!$A2244="","",F2244*G2244)</f>
        <v/>
      </c>
      <c r="I2244" s="36" t="str">
        <f aca="false">IF(Raw_Export!$A2244="","",IFERROR(VLOOKUP(LOWER(TRIM(Raw_Export!H2244)),Maps!$D$2:$E$12,2,FALSE()),"Other"))</f>
        <v/>
      </c>
      <c r="J2244" s="36" t="str">
        <f aca="false">IF(Raw_Export!$A2244="","",IF(COUNTIF($A$2:A2244,A2244)&gt;1,"Duplicate",""))</f>
        <v/>
      </c>
      <c r="K2244" s="36" t="str">
        <f aca="false">IF(Raw_Export!$A2244="","",IF(J2244="Duplicate","Duplicate",IF(OR(C2244="UNMAPPED",D2244="UNMAPPED"),"Unmapped",IF(F2244=0,"Blank qty",IF(F2244&lt;0,"Return","OK")))))</f>
        <v/>
      </c>
      <c r="L2244" s="36" t="str">
        <f aca="false">IF(Raw_Export!$A2244="","",IF(OR(K2244="OK",K2244="Return"),1,0))</f>
        <v/>
      </c>
      <c r="M2244" s="37" t="str">
        <f aca="false">IF(Raw_Export!$A2244="","",B2244-WEEKDAY(B2244,2)+1)</f>
        <v/>
      </c>
    </row>
    <row r="2245" customFormat="false" ht="15" hidden="false" customHeight="false" outlineLevel="0" collapsed="false">
      <c r="A2245" s="36" t="str">
        <f aca="false">IF(Raw_Export!$A2245="","",TRIM(Raw_Export!A2245))</f>
        <v/>
      </c>
      <c r="B2245" s="37" t="str">
        <f aca="false">IF(Raw_Export!$A2245="","",IF(ISNUMBER(Raw_Export!B2245),Raw_Export!B2245,IF(MID(TRIM(Raw_Export!B2245),5,1)="-",DATE(LEFT(TRIM(Raw_Export!B2245),4),MID(TRIM(Raw_Export!B2245),6,2),RIGHT(TRIM(Raw_Export!B2245),2)),DATE(RIGHT(TRIM(Raw_Export!B2245),4),MATCH(MID(TRIM(Raw_Export!B2245),4,3),{"Jan","Feb","Mar","Apr","May","Jun","Jul","Aug","Sep","Oct","Nov","Dec"},0),LEFT(TRIM(Raw_Export!B2245),2)))))</f>
        <v/>
      </c>
      <c r="C2245" s="36" t="str">
        <f aca="false">IF(Raw_Export!$A2245="","",IFERROR(VLOOKUP(LOWER(TRIM(Raw_Export!C2245)),Maps!$A$2:$B$20,2,FALSE()),"UNMAPPED"))</f>
        <v/>
      </c>
      <c r="D2245" s="36" t="str">
        <f aca="false">IF(Raw_Export!$A2245="","",IFERROR(VLOOKUP(LOWER(TRIM(Raw_Export!D2245)),Maps!$G$2:$I$80,2,FALSE()),"UNMAPPED"))</f>
        <v/>
      </c>
      <c r="E2245" s="36" t="str">
        <f aca="false">IF(Raw_Export!$A2245="","",IFERROR(VLOOKUP(LOWER(TRIM(Raw_Export!D2245)),Maps!$G$2:$I$80,3,FALSE()),"UNMAPPED"))</f>
        <v/>
      </c>
      <c r="F2245" s="36" t="str">
        <f aca="false">IF(Raw_Export!$A2245="","",IFERROR(VALUE(TRIM(Raw_Export!E2245)),0))</f>
        <v/>
      </c>
      <c r="G2245" s="38" t="str">
        <f aca="false">IF(Raw_Export!$A2245="","",IFERROR(VALUE(SUBSTITUTE(SUBSTITUTE(UPPER(TRIM(Raw_Export!F2245)),"KES",""),",","")),0))</f>
        <v/>
      </c>
      <c r="H2245" s="38" t="str">
        <f aca="false">IF(Raw_Export!$A2245="","",F2245*G2245)</f>
        <v/>
      </c>
      <c r="I2245" s="36" t="str">
        <f aca="false">IF(Raw_Export!$A2245="","",IFERROR(VLOOKUP(LOWER(TRIM(Raw_Export!H2245)),Maps!$D$2:$E$12,2,FALSE()),"Other"))</f>
        <v/>
      </c>
      <c r="J2245" s="36" t="str">
        <f aca="false">IF(Raw_Export!$A2245="","",IF(COUNTIF($A$2:A2245,A2245)&gt;1,"Duplicate",""))</f>
        <v/>
      </c>
      <c r="K2245" s="36" t="str">
        <f aca="false">IF(Raw_Export!$A2245="","",IF(J2245="Duplicate","Duplicate",IF(OR(C2245="UNMAPPED",D2245="UNMAPPED"),"Unmapped",IF(F2245=0,"Blank qty",IF(F2245&lt;0,"Return","OK")))))</f>
        <v/>
      </c>
      <c r="L2245" s="36" t="str">
        <f aca="false">IF(Raw_Export!$A2245="","",IF(OR(K2245="OK",K2245="Return"),1,0))</f>
        <v/>
      </c>
      <c r="M2245" s="37" t="str">
        <f aca="false">IF(Raw_Export!$A2245="","",B2245-WEEKDAY(B2245,2)+1)</f>
        <v/>
      </c>
    </row>
    <row r="2246" customFormat="false" ht="15" hidden="false" customHeight="false" outlineLevel="0" collapsed="false">
      <c r="A2246" s="36" t="str">
        <f aca="false">IF(Raw_Export!$A2246="","",TRIM(Raw_Export!A2246))</f>
        <v/>
      </c>
      <c r="B2246" s="37" t="str">
        <f aca="false">IF(Raw_Export!$A2246="","",IF(ISNUMBER(Raw_Export!B2246),Raw_Export!B2246,IF(MID(TRIM(Raw_Export!B2246),5,1)="-",DATE(LEFT(TRIM(Raw_Export!B2246),4),MID(TRIM(Raw_Export!B2246),6,2),RIGHT(TRIM(Raw_Export!B2246),2)),DATE(RIGHT(TRIM(Raw_Export!B2246),4),MATCH(MID(TRIM(Raw_Export!B2246),4,3),{"Jan","Feb","Mar","Apr","May","Jun","Jul","Aug","Sep","Oct","Nov","Dec"},0),LEFT(TRIM(Raw_Export!B2246),2)))))</f>
        <v/>
      </c>
      <c r="C2246" s="36" t="str">
        <f aca="false">IF(Raw_Export!$A2246="","",IFERROR(VLOOKUP(LOWER(TRIM(Raw_Export!C2246)),Maps!$A$2:$B$20,2,FALSE()),"UNMAPPED"))</f>
        <v/>
      </c>
      <c r="D2246" s="36" t="str">
        <f aca="false">IF(Raw_Export!$A2246="","",IFERROR(VLOOKUP(LOWER(TRIM(Raw_Export!D2246)),Maps!$G$2:$I$80,2,FALSE()),"UNMAPPED"))</f>
        <v/>
      </c>
      <c r="E2246" s="36" t="str">
        <f aca="false">IF(Raw_Export!$A2246="","",IFERROR(VLOOKUP(LOWER(TRIM(Raw_Export!D2246)),Maps!$G$2:$I$80,3,FALSE()),"UNMAPPED"))</f>
        <v/>
      </c>
      <c r="F2246" s="36" t="str">
        <f aca="false">IF(Raw_Export!$A2246="","",IFERROR(VALUE(TRIM(Raw_Export!E2246)),0))</f>
        <v/>
      </c>
      <c r="G2246" s="38" t="str">
        <f aca="false">IF(Raw_Export!$A2246="","",IFERROR(VALUE(SUBSTITUTE(SUBSTITUTE(UPPER(TRIM(Raw_Export!F2246)),"KES",""),",","")),0))</f>
        <v/>
      </c>
      <c r="H2246" s="38" t="str">
        <f aca="false">IF(Raw_Export!$A2246="","",F2246*G2246)</f>
        <v/>
      </c>
      <c r="I2246" s="36" t="str">
        <f aca="false">IF(Raw_Export!$A2246="","",IFERROR(VLOOKUP(LOWER(TRIM(Raw_Export!H2246)),Maps!$D$2:$E$12,2,FALSE()),"Other"))</f>
        <v/>
      </c>
      <c r="J2246" s="36" t="str">
        <f aca="false">IF(Raw_Export!$A2246="","",IF(COUNTIF($A$2:A2246,A2246)&gt;1,"Duplicate",""))</f>
        <v/>
      </c>
      <c r="K2246" s="36" t="str">
        <f aca="false">IF(Raw_Export!$A2246="","",IF(J2246="Duplicate","Duplicate",IF(OR(C2246="UNMAPPED",D2246="UNMAPPED"),"Unmapped",IF(F2246=0,"Blank qty",IF(F2246&lt;0,"Return","OK")))))</f>
        <v/>
      </c>
      <c r="L2246" s="36" t="str">
        <f aca="false">IF(Raw_Export!$A2246="","",IF(OR(K2246="OK",K2246="Return"),1,0))</f>
        <v/>
      </c>
      <c r="M2246" s="37" t="str">
        <f aca="false">IF(Raw_Export!$A2246="","",B2246-WEEKDAY(B2246,2)+1)</f>
        <v/>
      </c>
    </row>
    <row r="2247" customFormat="false" ht="15" hidden="false" customHeight="false" outlineLevel="0" collapsed="false">
      <c r="A2247" s="36" t="str">
        <f aca="false">IF(Raw_Export!$A2247="","",TRIM(Raw_Export!A2247))</f>
        <v/>
      </c>
      <c r="B2247" s="37" t="str">
        <f aca="false">IF(Raw_Export!$A2247="","",IF(ISNUMBER(Raw_Export!B2247),Raw_Export!B2247,IF(MID(TRIM(Raw_Export!B2247),5,1)="-",DATE(LEFT(TRIM(Raw_Export!B2247),4),MID(TRIM(Raw_Export!B2247),6,2),RIGHT(TRIM(Raw_Export!B2247),2)),DATE(RIGHT(TRIM(Raw_Export!B2247),4),MATCH(MID(TRIM(Raw_Export!B2247),4,3),{"Jan","Feb","Mar","Apr","May","Jun","Jul","Aug","Sep","Oct","Nov","Dec"},0),LEFT(TRIM(Raw_Export!B2247),2)))))</f>
        <v/>
      </c>
      <c r="C2247" s="36" t="str">
        <f aca="false">IF(Raw_Export!$A2247="","",IFERROR(VLOOKUP(LOWER(TRIM(Raw_Export!C2247)),Maps!$A$2:$B$20,2,FALSE()),"UNMAPPED"))</f>
        <v/>
      </c>
      <c r="D2247" s="36" t="str">
        <f aca="false">IF(Raw_Export!$A2247="","",IFERROR(VLOOKUP(LOWER(TRIM(Raw_Export!D2247)),Maps!$G$2:$I$80,2,FALSE()),"UNMAPPED"))</f>
        <v/>
      </c>
      <c r="E2247" s="36" t="str">
        <f aca="false">IF(Raw_Export!$A2247="","",IFERROR(VLOOKUP(LOWER(TRIM(Raw_Export!D2247)),Maps!$G$2:$I$80,3,FALSE()),"UNMAPPED"))</f>
        <v/>
      </c>
      <c r="F2247" s="36" t="str">
        <f aca="false">IF(Raw_Export!$A2247="","",IFERROR(VALUE(TRIM(Raw_Export!E2247)),0))</f>
        <v/>
      </c>
      <c r="G2247" s="38" t="str">
        <f aca="false">IF(Raw_Export!$A2247="","",IFERROR(VALUE(SUBSTITUTE(SUBSTITUTE(UPPER(TRIM(Raw_Export!F2247)),"KES",""),",","")),0))</f>
        <v/>
      </c>
      <c r="H2247" s="38" t="str">
        <f aca="false">IF(Raw_Export!$A2247="","",F2247*G2247)</f>
        <v/>
      </c>
      <c r="I2247" s="36" t="str">
        <f aca="false">IF(Raw_Export!$A2247="","",IFERROR(VLOOKUP(LOWER(TRIM(Raw_Export!H2247)),Maps!$D$2:$E$12,2,FALSE()),"Other"))</f>
        <v/>
      </c>
      <c r="J2247" s="36" t="str">
        <f aca="false">IF(Raw_Export!$A2247="","",IF(COUNTIF($A$2:A2247,A2247)&gt;1,"Duplicate",""))</f>
        <v/>
      </c>
      <c r="K2247" s="36" t="str">
        <f aca="false">IF(Raw_Export!$A2247="","",IF(J2247="Duplicate","Duplicate",IF(OR(C2247="UNMAPPED",D2247="UNMAPPED"),"Unmapped",IF(F2247=0,"Blank qty",IF(F2247&lt;0,"Return","OK")))))</f>
        <v/>
      </c>
      <c r="L2247" s="36" t="str">
        <f aca="false">IF(Raw_Export!$A2247="","",IF(OR(K2247="OK",K2247="Return"),1,0))</f>
        <v/>
      </c>
      <c r="M2247" s="37" t="str">
        <f aca="false">IF(Raw_Export!$A2247="","",B2247-WEEKDAY(B2247,2)+1)</f>
        <v/>
      </c>
    </row>
    <row r="2248" customFormat="false" ht="15" hidden="false" customHeight="false" outlineLevel="0" collapsed="false">
      <c r="A2248" s="36" t="str">
        <f aca="false">IF(Raw_Export!$A2248="","",TRIM(Raw_Export!A2248))</f>
        <v/>
      </c>
      <c r="B2248" s="37" t="str">
        <f aca="false">IF(Raw_Export!$A2248="","",IF(ISNUMBER(Raw_Export!B2248),Raw_Export!B2248,IF(MID(TRIM(Raw_Export!B2248),5,1)="-",DATE(LEFT(TRIM(Raw_Export!B2248),4),MID(TRIM(Raw_Export!B2248),6,2),RIGHT(TRIM(Raw_Export!B2248),2)),DATE(RIGHT(TRIM(Raw_Export!B2248),4),MATCH(MID(TRIM(Raw_Export!B2248),4,3),{"Jan","Feb","Mar","Apr","May","Jun","Jul","Aug","Sep","Oct","Nov","Dec"},0),LEFT(TRIM(Raw_Export!B2248),2)))))</f>
        <v/>
      </c>
      <c r="C2248" s="36" t="str">
        <f aca="false">IF(Raw_Export!$A2248="","",IFERROR(VLOOKUP(LOWER(TRIM(Raw_Export!C2248)),Maps!$A$2:$B$20,2,FALSE()),"UNMAPPED"))</f>
        <v/>
      </c>
      <c r="D2248" s="36" t="str">
        <f aca="false">IF(Raw_Export!$A2248="","",IFERROR(VLOOKUP(LOWER(TRIM(Raw_Export!D2248)),Maps!$G$2:$I$80,2,FALSE()),"UNMAPPED"))</f>
        <v/>
      </c>
      <c r="E2248" s="36" t="str">
        <f aca="false">IF(Raw_Export!$A2248="","",IFERROR(VLOOKUP(LOWER(TRIM(Raw_Export!D2248)),Maps!$G$2:$I$80,3,FALSE()),"UNMAPPED"))</f>
        <v/>
      </c>
      <c r="F2248" s="36" t="str">
        <f aca="false">IF(Raw_Export!$A2248="","",IFERROR(VALUE(TRIM(Raw_Export!E2248)),0))</f>
        <v/>
      </c>
      <c r="G2248" s="38" t="str">
        <f aca="false">IF(Raw_Export!$A2248="","",IFERROR(VALUE(SUBSTITUTE(SUBSTITUTE(UPPER(TRIM(Raw_Export!F2248)),"KES",""),",","")),0))</f>
        <v/>
      </c>
      <c r="H2248" s="38" t="str">
        <f aca="false">IF(Raw_Export!$A2248="","",F2248*G2248)</f>
        <v/>
      </c>
      <c r="I2248" s="36" t="str">
        <f aca="false">IF(Raw_Export!$A2248="","",IFERROR(VLOOKUP(LOWER(TRIM(Raw_Export!H2248)),Maps!$D$2:$E$12,2,FALSE()),"Other"))</f>
        <v/>
      </c>
      <c r="J2248" s="36" t="str">
        <f aca="false">IF(Raw_Export!$A2248="","",IF(COUNTIF($A$2:A2248,A2248)&gt;1,"Duplicate",""))</f>
        <v/>
      </c>
      <c r="K2248" s="36" t="str">
        <f aca="false">IF(Raw_Export!$A2248="","",IF(J2248="Duplicate","Duplicate",IF(OR(C2248="UNMAPPED",D2248="UNMAPPED"),"Unmapped",IF(F2248=0,"Blank qty",IF(F2248&lt;0,"Return","OK")))))</f>
        <v/>
      </c>
      <c r="L2248" s="36" t="str">
        <f aca="false">IF(Raw_Export!$A2248="","",IF(OR(K2248="OK",K2248="Return"),1,0))</f>
        <v/>
      </c>
      <c r="M2248" s="37" t="str">
        <f aca="false">IF(Raw_Export!$A2248="","",B2248-WEEKDAY(B2248,2)+1)</f>
        <v/>
      </c>
    </row>
    <row r="2249" customFormat="false" ht="15" hidden="false" customHeight="false" outlineLevel="0" collapsed="false">
      <c r="A2249" s="36" t="str">
        <f aca="false">IF(Raw_Export!$A2249="","",TRIM(Raw_Export!A2249))</f>
        <v/>
      </c>
      <c r="B2249" s="37" t="str">
        <f aca="false">IF(Raw_Export!$A2249="","",IF(ISNUMBER(Raw_Export!B2249),Raw_Export!B2249,IF(MID(TRIM(Raw_Export!B2249),5,1)="-",DATE(LEFT(TRIM(Raw_Export!B2249),4),MID(TRIM(Raw_Export!B2249),6,2),RIGHT(TRIM(Raw_Export!B2249),2)),DATE(RIGHT(TRIM(Raw_Export!B2249),4),MATCH(MID(TRIM(Raw_Export!B2249),4,3),{"Jan","Feb","Mar","Apr","May","Jun","Jul","Aug","Sep","Oct","Nov","Dec"},0),LEFT(TRIM(Raw_Export!B2249),2)))))</f>
        <v/>
      </c>
      <c r="C2249" s="36" t="str">
        <f aca="false">IF(Raw_Export!$A2249="","",IFERROR(VLOOKUP(LOWER(TRIM(Raw_Export!C2249)),Maps!$A$2:$B$20,2,FALSE()),"UNMAPPED"))</f>
        <v/>
      </c>
      <c r="D2249" s="36" t="str">
        <f aca="false">IF(Raw_Export!$A2249="","",IFERROR(VLOOKUP(LOWER(TRIM(Raw_Export!D2249)),Maps!$G$2:$I$80,2,FALSE()),"UNMAPPED"))</f>
        <v/>
      </c>
      <c r="E2249" s="36" t="str">
        <f aca="false">IF(Raw_Export!$A2249="","",IFERROR(VLOOKUP(LOWER(TRIM(Raw_Export!D2249)),Maps!$G$2:$I$80,3,FALSE()),"UNMAPPED"))</f>
        <v/>
      </c>
      <c r="F2249" s="36" t="str">
        <f aca="false">IF(Raw_Export!$A2249="","",IFERROR(VALUE(TRIM(Raw_Export!E2249)),0))</f>
        <v/>
      </c>
      <c r="G2249" s="38" t="str">
        <f aca="false">IF(Raw_Export!$A2249="","",IFERROR(VALUE(SUBSTITUTE(SUBSTITUTE(UPPER(TRIM(Raw_Export!F2249)),"KES",""),",","")),0))</f>
        <v/>
      </c>
      <c r="H2249" s="38" t="str">
        <f aca="false">IF(Raw_Export!$A2249="","",F2249*G2249)</f>
        <v/>
      </c>
      <c r="I2249" s="36" t="str">
        <f aca="false">IF(Raw_Export!$A2249="","",IFERROR(VLOOKUP(LOWER(TRIM(Raw_Export!H2249)),Maps!$D$2:$E$12,2,FALSE()),"Other"))</f>
        <v/>
      </c>
      <c r="J2249" s="36" t="str">
        <f aca="false">IF(Raw_Export!$A2249="","",IF(COUNTIF($A$2:A2249,A2249)&gt;1,"Duplicate",""))</f>
        <v/>
      </c>
      <c r="K2249" s="36" t="str">
        <f aca="false">IF(Raw_Export!$A2249="","",IF(J2249="Duplicate","Duplicate",IF(OR(C2249="UNMAPPED",D2249="UNMAPPED"),"Unmapped",IF(F2249=0,"Blank qty",IF(F2249&lt;0,"Return","OK")))))</f>
        <v/>
      </c>
      <c r="L2249" s="36" t="str">
        <f aca="false">IF(Raw_Export!$A2249="","",IF(OR(K2249="OK",K2249="Return"),1,0))</f>
        <v/>
      </c>
      <c r="M2249" s="37" t="str">
        <f aca="false">IF(Raw_Export!$A2249="","",B2249-WEEKDAY(B2249,2)+1)</f>
        <v/>
      </c>
    </row>
    <row r="2250" customFormat="false" ht="15" hidden="false" customHeight="false" outlineLevel="0" collapsed="false">
      <c r="A2250" s="36" t="str">
        <f aca="false">IF(Raw_Export!$A2250="","",TRIM(Raw_Export!A2250))</f>
        <v/>
      </c>
      <c r="B2250" s="37" t="str">
        <f aca="false">IF(Raw_Export!$A2250="","",IF(ISNUMBER(Raw_Export!B2250),Raw_Export!B2250,IF(MID(TRIM(Raw_Export!B2250),5,1)="-",DATE(LEFT(TRIM(Raw_Export!B2250),4),MID(TRIM(Raw_Export!B2250),6,2),RIGHT(TRIM(Raw_Export!B2250),2)),DATE(RIGHT(TRIM(Raw_Export!B2250),4),MATCH(MID(TRIM(Raw_Export!B2250),4,3),{"Jan","Feb","Mar","Apr","May","Jun","Jul","Aug","Sep","Oct","Nov","Dec"},0),LEFT(TRIM(Raw_Export!B2250),2)))))</f>
        <v/>
      </c>
      <c r="C2250" s="36" t="str">
        <f aca="false">IF(Raw_Export!$A2250="","",IFERROR(VLOOKUP(LOWER(TRIM(Raw_Export!C2250)),Maps!$A$2:$B$20,2,FALSE()),"UNMAPPED"))</f>
        <v/>
      </c>
      <c r="D2250" s="36" t="str">
        <f aca="false">IF(Raw_Export!$A2250="","",IFERROR(VLOOKUP(LOWER(TRIM(Raw_Export!D2250)),Maps!$G$2:$I$80,2,FALSE()),"UNMAPPED"))</f>
        <v/>
      </c>
      <c r="E2250" s="36" t="str">
        <f aca="false">IF(Raw_Export!$A2250="","",IFERROR(VLOOKUP(LOWER(TRIM(Raw_Export!D2250)),Maps!$G$2:$I$80,3,FALSE()),"UNMAPPED"))</f>
        <v/>
      </c>
      <c r="F2250" s="36" t="str">
        <f aca="false">IF(Raw_Export!$A2250="","",IFERROR(VALUE(TRIM(Raw_Export!E2250)),0))</f>
        <v/>
      </c>
      <c r="G2250" s="38" t="str">
        <f aca="false">IF(Raw_Export!$A2250="","",IFERROR(VALUE(SUBSTITUTE(SUBSTITUTE(UPPER(TRIM(Raw_Export!F2250)),"KES",""),",","")),0))</f>
        <v/>
      </c>
      <c r="H2250" s="38" t="str">
        <f aca="false">IF(Raw_Export!$A2250="","",F2250*G2250)</f>
        <v/>
      </c>
      <c r="I2250" s="36" t="str">
        <f aca="false">IF(Raw_Export!$A2250="","",IFERROR(VLOOKUP(LOWER(TRIM(Raw_Export!H2250)),Maps!$D$2:$E$12,2,FALSE()),"Other"))</f>
        <v/>
      </c>
      <c r="J2250" s="36" t="str">
        <f aca="false">IF(Raw_Export!$A2250="","",IF(COUNTIF($A$2:A2250,A2250)&gt;1,"Duplicate",""))</f>
        <v/>
      </c>
      <c r="K2250" s="36" t="str">
        <f aca="false">IF(Raw_Export!$A2250="","",IF(J2250="Duplicate","Duplicate",IF(OR(C2250="UNMAPPED",D2250="UNMAPPED"),"Unmapped",IF(F2250=0,"Blank qty",IF(F2250&lt;0,"Return","OK")))))</f>
        <v/>
      </c>
      <c r="L2250" s="36" t="str">
        <f aca="false">IF(Raw_Export!$A2250="","",IF(OR(K2250="OK",K2250="Return"),1,0))</f>
        <v/>
      </c>
      <c r="M2250" s="37" t="str">
        <f aca="false">IF(Raw_Export!$A2250="","",B2250-WEEKDAY(B2250,2)+1)</f>
        <v/>
      </c>
    </row>
    <row r="2251" customFormat="false" ht="15" hidden="false" customHeight="false" outlineLevel="0" collapsed="false">
      <c r="A2251" s="36" t="str">
        <f aca="false">IF(Raw_Export!$A2251="","",TRIM(Raw_Export!A2251))</f>
        <v/>
      </c>
      <c r="B2251" s="37" t="str">
        <f aca="false">IF(Raw_Export!$A2251="","",IF(ISNUMBER(Raw_Export!B2251),Raw_Export!B2251,IF(MID(TRIM(Raw_Export!B2251),5,1)="-",DATE(LEFT(TRIM(Raw_Export!B2251),4),MID(TRIM(Raw_Export!B2251),6,2),RIGHT(TRIM(Raw_Export!B2251),2)),DATE(RIGHT(TRIM(Raw_Export!B2251),4),MATCH(MID(TRIM(Raw_Export!B2251),4,3),{"Jan","Feb","Mar","Apr","May","Jun","Jul","Aug","Sep","Oct","Nov","Dec"},0),LEFT(TRIM(Raw_Export!B2251),2)))))</f>
        <v/>
      </c>
      <c r="C2251" s="36" t="str">
        <f aca="false">IF(Raw_Export!$A2251="","",IFERROR(VLOOKUP(LOWER(TRIM(Raw_Export!C2251)),Maps!$A$2:$B$20,2,FALSE()),"UNMAPPED"))</f>
        <v/>
      </c>
      <c r="D2251" s="36" t="str">
        <f aca="false">IF(Raw_Export!$A2251="","",IFERROR(VLOOKUP(LOWER(TRIM(Raw_Export!D2251)),Maps!$G$2:$I$80,2,FALSE()),"UNMAPPED"))</f>
        <v/>
      </c>
      <c r="E2251" s="36" t="str">
        <f aca="false">IF(Raw_Export!$A2251="","",IFERROR(VLOOKUP(LOWER(TRIM(Raw_Export!D2251)),Maps!$G$2:$I$80,3,FALSE()),"UNMAPPED"))</f>
        <v/>
      </c>
      <c r="F2251" s="36" t="str">
        <f aca="false">IF(Raw_Export!$A2251="","",IFERROR(VALUE(TRIM(Raw_Export!E2251)),0))</f>
        <v/>
      </c>
      <c r="G2251" s="38" t="str">
        <f aca="false">IF(Raw_Export!$A2251="","",IFERROR(VALUE(SUBSTITUTE(SUBSTITUTE(UPPER(TRIM(Raw_Export!F2251)),"KES",""),",","")),0))</f>
        <v/>
      </c>
      <c r="H2251" s="38" t="str">
        <f aca="false">IF(Raw_Export!$A2251="","",F2251*G2251)</f>
        <v/>
      </c>
      <c r="I2251" s="36" t="str">
        <f aca="false">IF(Raw_Export!$A2251="","",IFERROR(VLOOKUP(LOWER(TRIM(Raw_Export!H2251)),Maps!$D$2:$E$12,2,FALSE()),"Other"))</f>
        <v/>
      </c>
      <c r="J2251" s="36" t="str">
        <f aca="false">IF(Raw_Export!$A2251="","",IF(COUNTIF($A$2:A2251,A2251)&gt;1,"Duplicate",""))</f>
        <v/>
      </c>
      <c r="K2251" s="36" t="str">
        <f aca="false">IF(Raw_Export!$A2251="","",IF(J2251="Duplicate","Duplicate",IF(OR(C2251="UNMAPPED",D2251="UNMAPPED"),"Unmapped",IF(F2251=0,"Blank qty",IF(F2251&lt;0,"Return","OK")))))</f>
        <v/>
      </c>
      <c r="L2251" s="36" t="str">
        <f aca="false">IF(Raw_Export!$A2251="","",IF(OR(K2251="OK",K2251="Return"),1,0))</f>
        <v/>
      </c>
      <c r="M2251" s="37" t="str">
        <f aca="false">IF(Raw_Export!$A2251="","",B2251-WEEKDAY(B2251,2)+1)</f>
        <v/>
      </c>
    </row>
    <row r="2252" customFormat="false" ht="15" hidden="false" customHeight="false" outlineLevel="0" collapsed="false">
      <c r="A2252" s="36" t="str">
        <f aca="false">IF(Raw_Export!$A2252="","",TRIM(Raw_Export!A2252))</f>
        <v/>
      </c>
      <c r="B2252" s="37" t="str">
        <f aca="false">IF(Raw_Export!$A2252="","",IF(ISNUMBER(Raw_Export!B2252),Raw_Export!B2252,IF(MID(TRIM(Raw_Export!B2252),5,1)="-",DATE(LEFT(TRIM(Raw_Export!B2252),4),MID(TRIM(Raw_Export!B2252),6,2),RIGHT(TRIM(Raw_Export!B2252),2)),DATE(RIGHT(TRIM(Raw_Export!B2252),4),MATCH(MID(TRIM(Raw_Export!B2252),4,3),{"Jan","Feb","Mar","Apr","May","Jun","Jul","Aug","Sep","Oct","Nov","Dec"},0),LEFT(TRIM(Raw_Export!B2252),2)))))</f>
        <v/>
      </c>
      <c r="C2252" s="36" t="str">
        <f aca="false">IF(Raw_Export!$A2252="","",IFERROR(VLOOKUP(LOWER(TRIM(Raw_Export!C2252)),Maps!$A$2:$B$20,2,FALSE()),"UNMAPPED"))</f>
        <v/>
      </c>
      <c r="D2252" s="36" t="str">
        <f aca="false">IF(Raw_Export!$A2252="","",IFERROR(VLOOKUP(LOWER(TRIM(Raw_Export!D2252)),Maps!$G$2:$I$80,2,FALSE()),"UNMAPPED"))</f>
        <v/>
      </c>
      <c r="E2252" s="36" t="str">
        <f aca="false">IF(Raw_Export!$A2252="","",IFERROR(VLOOKUP(LOWER(TRIM(Raw_Export!D2252)),Maps!$G$2:$I$80,3,FALSE()),"UNMAPPED"))</f>
        <v/>
      </c>
      <c r="F2252" s="36" t="str">
        <f aca="false">IF(Raw_Export!$A2252="","",IFERROR(VALUE(TRIM(Raw_Export!E2252)),0))</f>
        <v/>
      </c>
      <c r="G2252" s="38" t="str">
        <f aca="false">IF(Raw_Export!$A2252="","",IFERROR(VALUE(SUBSTITUTE(SUBSTITUTE(UPPER(TRIM(Raw_Export!F2252)),"KES",""),",","")),0))</f>
        <v/>
      </c>
      <c r="H2252" s="38" t="str">
        <f aca="false">IF(Raw_Export!$A2252="","",F2252*G2252)</f>
        <v/>
      </c>
      <c r="I2252" s="36" t="str">
        <f aca="false">IF(Raw_Export!$A2252="","",IFERROR(VLOOKUP(LOWER(TRIM(Raw_Export!H2252)),Maps!$D$2:$E$12,2,FALSE()),"Other"))</f>
        <v/>
      </c>
      <c r="J2252" s="36" t="str">
        <f aca="false">IF(Raw_Export!$A2252="","",IF(COUNTIF($A$2:A2252,A2252)&gt;1,"Duplicate",""))</f>
        <v/>
      </c>
      <c r="K2252" s="36" t="str">
        <f aca="false">IF(Raw_Export!$A2252="","",IF(J2252="Duplicate","Duplicate",IF(OR(C2252="UNMAPPED",D2252="UNMAPPED"),"Unmapped",IF(F2252=0,"Blank qty",IF(F2252&lt;0,"Return","OK")))))</f>
        <v/>
      </c>
      <c r="L2252" s="36" t="str">
        <f aca="false">IF(Raw_Export!$A2252="","",IF(OR(K2252="OK",K2252="Return"),1,0))</f>
        <v/>
      </c>
      <c r="M2252" s="37" t="str">
        <f aca="false">IF(Raw_Export!$A2252="","",B2252-WEEKDAY(B2252,2)+1)</f>
        <v/>
      </c>
    </row>
    <row r="2253" customFormat="false" ht="15" hidden="false" customHeight="false" outlineLevel="0" collapsed="false">
      <c r="A2253" s="36" t="str">
        <f aca="false">IF(Raw_Export!$A2253="","",TRIM(Raw_Export!A2253))</f>
        <v/>
      </c>
      <c r="B2253" s="37" t="str">
        <f aca="false">IF(Raw_Export!$A2253="","",IF(ISNUMBER(Raw_Export!B2253),Raw_Export!B2253,IF(MID(TRIM(Raw_Export!B2253),5,1)="-",DATE(LEFT(TRIM(Raw_Export!B2253),4),MID(TRIM(Raw_Export!B2253),6,2),RIGHT(TRIM(Raw_Export!B2253),2)),DATE(RIGHT(TRIM(Raw_Export!B2253),4),MATCH(MID(TRIM(Raw_Export!B2253),4,3),{"Jan","Feb","Mar","Apr","May","Jun","Jul","Aug","Sep","Oct","Nov","Dec"},0),LEFT(TRIM(Raw_Export!B2253),2)))))</f>
        <v/>
      </c>
      <c r="C2253" s="36" t="str">
        <f aca="false">IF(Raw_Export!$A2253="","",IFERROR(VLOOKUP(LOWER(TRIM(Raw_Export!C2253)),Maps!$A$2:$B$20,2,FALSE()),"UNMAPPED"))</f>
        <v/>
      </c>
      <c r="D2253" s="36" t="str">
        <f aca="false">IF(Raw_Export!$A2253="","",IFERROR(VLOOKUP(LOWER(TRIM(Raw_Export!D2253)),Maps!$G$2:$I$80,2,FALSE()),"UNMAPPED"))</f>
        <v/>
      </c>
      <c r="E2253" s="36" t="str">
        <f aca="false">IF(Raw_Export!$A2253="","",IFERROR(VLOOKUP(LOWER(TRIM(Raw_Export!D2253)),Maps!$G$2:$I$80,3,FALSE()),"UNMAPPED"))</f>
        <v/>
      </c>
      <c r="F2253" s="36" t="str">
        <f aca="false">IF(Raw_Export!$A2253="","",IFERROR(VALUE(TRIM(Raw_Export!E2253)),0))</f>
        <v/>
      </c>
      <c r="G2253" s="38" t="str">
        <f aca="false">IF(Raw_Export!$A2253="","",IFERROR(VALUE(SUBSTITUTE(SUBSTITUTE(UPPER(TRIM(Raw_Export!F2253)),"KES",""),",","")),0))</f>
        <v/>
      </c>
      <c r="H2253" s="38" t="str">
        <f aca="false">IF(Raw_Export!$A2253="","",F2253*G2253)</f>
        <v/>
      </c>
      <c r="I2253" s="36" t="str">
        <f aca="false">IF(Raw_Export!$A2253="","",IFERROR(VLOOKUP(LOWER(TRIM(Raw_Export!H2253)),Maps!$D$2:$E$12,2,FALSE()),"Other"))</f>
        <v/>
      </c>
      <c r="J2253" s="36" t="str">
        <f aca="false">IF(Raw_Export!$A2253="","",IF(COUNTIF($A$2:A2253,A2253)&gt;1,"Duplicate",""))</f>
        <v/>
      </c>
      <c r="K2253" s="36" t="str">
        <f aca="false">IF(Raw_Export!$A2253="","",IF(J2253="Duplicate","Duplicate",IF(OR(C2253="UNMAPPED",D2253="UNMAPPED"),"Unmapped",IF(F2253=0,"Blank qty",IF(F2253&lt;0,"Return","OK")))))</f>
        <v/>
      </c>
      <c r="L2253" s="36" t="str">
        <f aca="false">IF(Raw_Export!$A2253="","",IF(OR(K2253="OK",K2253="Return"),1,0))</f>
        <v/>
      </c>
      <c r="M2253" s="37" t="str">
        <f aca="false">IF(Raw_Export!$A2253="","",B2253-WEEKDAY(B2253,2)+1)</f>
        <v/>
      </c>
    </row>
    <row r="2254" customFormat="false" ht="15" hidden="false" customHeight="false" outlineLevel="0" collapsed="false">
      <c r="A2254" s="36" t="str">
        <f aca="false">IF(Raw_Export!$A2254="","",TRIM(Raw_Export!A2254))</f>
        <v/>
      </c>
      <c r="B2254" s="37" t="str">
        <f aca="false">IF(Raw_Export!$A2254="","",IF(ISNUMBER(Raw_Export!B2254),Raw_Export!B2254,IF(MID(TRIM(Raw_Export!B2254),5,1)="-",DATE(LEFT(TRIM(Raw_Export!B2254),4),MID(TRIM(Raw_Export!B2254),6,2),RIGHT(TRIM(Raw_Export!B2254),2)),DATE(RIGHT(TRIM(Raw_Export!B2254),4),MATCH(MID(TRIM(Raw_Export!B2254),4,3),{"Jan","Feb","Mar","Apr","May","Jun","Jul","Aug","Sep","Oct","Nov","Dec"},0),LEFT(TRIM(Raw_Export!B2254),2)))))</f>
        <v/>
      </c>
      <c r="C2254" s="36" t="str">
        <f aca="false">IF(Raw_Export!$A2254="","",IFERROR(VLOOKUP(LOWER(TRIM(Raw_Export!C2254)),Maps!$A$2:$B$20,2,FALSE()),"UNMAPPED"))</f>
        <v/>
      </c>
      <c r="D2254" s="36" t="str">
        <f aca="false">IF(Raw_Export!$A2254="","",IFERROR(VLOOKUP(LOWER(TRIM(Raw_Export!D2254)),Maps!$G$2:$I$80,2,FALSE()),"UNMAPPED"))</f>
        <v/>
      </c>
      <c r="E2254" s="36" t="str">
        <f aca="false">IF(Raw_Export!$A2254="","",IFERROR(VLOOKUP(LOWER(TRIM(Raw_Export!D2254)),Maps!$G$2:$I$80,3,FALSE()),"UNMAPPED"))</f>
        <v/>
      </c>
      <c r="F2254" s="36" t="str">
        <f aca="false">IF(Raw_Export!$A2254="","",IFERROR(VALUE(TRIM(Raw_Export!E2254)),0))</f>
        <v/>
      </c>
      <c r="G2254" s="38" t="str">
        <f aca="false">IF(Raw_Export!$A2254="","",IFERROR(VALUE(SUBSTITUTE(SUBSTITUTE(UPPER(TRIM(Raw_Export!F2254)),"KES",""),",","")),0))</f>
        <v/>
      </c>
      <c r="H2254" s="38" t="str">
        <f aca="false">IF(Raw_Export!$A2254="","",F2254*G2254)</f>
        <v/>
      </c>
      <c r="I2254" s="36" t="str">
        <f aca="false">IF(Raw_Export!$A2254="","",IFERROR(VLOOKUP(LOWER(TRIM(Raw_Export!H2254)),Maps!$D$2:$E$12,2,FALSE()),"Other"))</f>
        <v/>
      </c>
      <c r="J2254" s="36" t="str">
        <f aca="false">IF(Raw_Export!$A2254="","",IF(COUNTIF($A$2:A2254,A2254)&gt;1,"Duplicate",""))</f>
        <v/>
      </c>
      <c r="K2254" s="36" t="str">
        <f aca="false">IF(Raw_Export!$A2254="","",IF(J2254="Duplicate","Duplicate",IF(OR(C2254="UNMAPPED",D2254="UNMAPPED"),"Unmapped",IF(F2254=0,"Blank qty",IF(F2254&lt;0,"Return","OK")))))</f>
        <v/>
      </c>
      <c r="L2254" s="36" t="str">
        <f aca="false">IF(Raw_Export!$A2254="","",IF(OR(K2254="OK",K2254="Return"),1,0))</f>
        <v/>
      </c>
      <c r="M2254" s="37" t="str">
        <f aca="false">IF(Raw_Export!$A2254="","",B2254-WEEKDAY(B2254,2)+1)</f>
        <v/>
      </c>
    </row>
    <row r="2255" customFormat="false" ht="15" hidden="false" customHeight="false" outlineLevel="0" collapsed="false">
      <c r="A2255" s="36" t="str">
        <f aca="false">IF(Raw_Export!$A2255="","",TRIM(Raw_Export!A2255))</f>
        <v/>
      </c>
      <c r="B2255" s="37" t="str">
        <f aca="false">IF(Raw_Export!$A2255="","",IF(ISNUMBER(Raw_Export!B2255),Raw_Export!B2255,IF(MID(TRIM(Raw_Export!B2255),5,1)="-",DATE(LEFT(TRIM(Raw_Export!B2255),4),MID(TRIM(Raw_Export!B2255),6,2),RIGHT(TRIM(Raw_Export!B2255),2)),DATE(RIGHT(TRIM(Raw_Export!B2255),4),MATCH(MID(TRIM(Raw_Export!B2255),4,3),{"Jan","Feb","Mar","Apr","May","Jun","Jul","Aug","Sep","Oct","Nov","Dec"},0),LEFT(TRIM(Raw_Export!B2255),2)))))</f>
        <v/>
      </c>
      <c r="C2255" s="36" t="str">
        <f aca="false">IF(Raw_Export!$A2255="","",IFERROR(VLOOKUP(LOWER(TRIM(Raw_Export!C2255)),Maps!$A$2:$B$20,2,FALSE()),"UNMAPPED"))</f>
        <v/>
      </c>
      <c r="D2255" s="36" t="str">
        <f aca="false">IF(Raw_Export!$A2255="","",IFERROR(VLOOKUP(LOWER(TRIM(Raw_Export!D2255)),Maps!$G$2:$I$80,2,FALSE()),"UNMAPPED"))</f>
        <v/>
      </c>
      <c r="E2255" s="36" t="str">
        <f aca="false">IF(Raw_Export!$A2255="","",IFERROR(VLOOKUP(LOWER(TRIM(Raw_Export!D2255)),Maps!$G$2:$I$80,3,FALSE()),"UNMAPPED"))</f>
        <v/>
      </c>
      <c r="F2255" s="36" t="str">
        <f aca="false">IF(Raw_Export!$A2255="","",IFERROR(VALUE(TRIM(Raw_Export!E2255)),0))</f>
        <v/>
      </c>
      <c r="G2255" s="38" t="str">
        <f aca="false">IF(Raw_Export!$A2255="","",IFERROR(VALUE(SUBSTITUTE(SUBSTITUTE(UPPER(TRIM(Raw_Export!F2255)),"KES",""),",","")),0))</f>
        <v/>
      </c>
      <c r="H2255" s="38" t="str">
        <f aca="false">IF(Raw_Export!$A2255="","",F2255*G2255)</f>
        <v/>
      </c>
      <c r="I2255" s="36" t="str">
        <f aca="false">IF(Raw_Export!$A2255="","",IFERROR(VLOOKUP(LOWER(TRIM(Raw_Export!H2255)),Maps!$D$2:$E$12,2,FALSE()),"Other"))</f>
        <v/>
      </c>
      <c r="J2255" s="36" t="str">
        <f aca="false">IF(Raw_Export!$A2255="","",IF(COUNTIF($A$2:A2255,A2255)&gt;1,"Duplicate",""))</f>
        <v/>
      </c>
      <c r="K2255" s="36" t="str">
        <f aca="false">IF(Raw_Export!$A2255="","",IF(J2255="Duplicate","Duplicate",IF(OR(C2255="UNMAPPED",D2255="UNMAPPED"),"Unmapped",IF(F2255=0,"Blank qty",IF(F2255&lt;0,"Return","OK")))))</f>
        <v/>
      </c>
      <c r="L2255" s="36" t="str">
        <f aca="false">IF(Raw_Export!$A2255="","",IF(OR(K2255="OK",K2255="Return"),1,0))</f>
        <v/>
      </c>
      <c r="M2255" s="37" t="str">
        <f aca="false">IF(Raw_Export!$A2255="","",B2255-WEEKDAY(B2255,2)+1)</f>
        <v/>
      </c>
    </row>
    <row r="2256" customFormat="false" ht="15" hidden="false" customHeight="false" outlineLevel="0" collapsed="false">
      <c r="A2256" s="36" t="str">
        <f aca="false">IF(Raw_Export!$A2256="","",TRIM(Raw_Export!A2256))</f>
        <v/>
      </c>
      <c r="B2256" s="37" t="str">
        <f aca="false">IF(Raw_Export!$A2256="","",IF(ISNUMBER(Raw_Export!B2256),Raw_Export!B2256,IF(MID(TRIM(Raw_Export!B2256),5,1)="-",DATE(LEFT(TRIM(Raw_Export!B2256),4),MID(TRIM(Raw_Export!B2256),6,2),RIGHT(TRIM(Raw_Export!B2256),2)),DATE(RIGHT(TRIM(Raw_Export!B2256),4),MATCH(MID(TRIM(Raw_Export!B2256),4,3),{"Jan","Feb","Mar","Apr","May","Jun","Jul","Aug","Sep","Oct","Nov","Dec"},0),LEFT(TRIM(Raw_Export!B2256),2)))))</f>
        <v/>
      </c>
      <c r="C2256" s="36" t="str">
        <f aca="false">IF(Raw_Export!$A2256="","",IFERROR(VLOOKUP(LOWER(TRIM(Raw_Export!C2256)),Maps!$A$2:$B$20,2,FALSE()),"UNMAPPED"))</f>
        <v/>
      </c>
      <c r="D2256" s="36" t="str">
        <f aca="false">IF(Raw_Export!$A2256="","",IFERROR(VLOOKUP(LOWER(TRIM(Raw_Export!D2256)),Maps!$G$2:$I$80,2,FALSE()),"UNMAPPED"))</f>
        <v/>
      </c>
      <c r="E2256" s="36" t="str">
        <f aca="false">IF(Raw_Export!$A2256="","",IFERROR(VLOOKUP(LOWER(TRIM(Raw_Export!D2256)),Maps!$G$2:$I$80,3,FALSE()),"UNMAPPED"))</f>
        <v/>
      </c>
      <c r="F2256" s="36" t="str">
        <f aca="false">IF(Raw_Export!$A2256="","",IFERROR(VALUE(TRIM(Raw_Export!E2256)),0))</f>
        <v/>
      </c>
      <c r="G2256" s="38" t="str">
        <f aca="false">IF(Raw_Export!$A2256="","",IFERROR(VALUE(SUBSTITUTE(SUBSTITUTE(UPPER(TRIM(Raw_Export!F2256)),"KES",""),",","")),0))</f>
        <v/>
      </c>
      <c r="H2256" s="38" t="str">
        <f aca="false">IF(Raw_Export!$A2256="","",F2256*G2256)</f>
        <v/>
      </c>
      <c r="I2256" s="36" t="str">
        <f aca="false">IF(Raw_Export!$A2256="","",IFERROR(VLOOKUP(LOWER(TRIM(Raw_Export!H2256)),Maps!$D$2:$E$12,2,FALSE()),"Other"))</f>
        <v/>
      </c>
      <c r="J2256" s="36" t="str">
        <f aca="false">IF(Raw_Export!$A2256="","",IF(COUNTIF($A$2:A2256,A2256)&gt;1,"Duplicate",""))</f>
        <v/>
      </c>
      <c r="K2256" s="36" t="str">
        <f aca="false">IF(Raw_Export!$A2256="","",IF(J2256="Duplicate","Duplicate",IF(OR(C2256="UNMAPPED",D2256="UNMAPPED"),"Unmapped",IF(F2256=0,"Blank qty",IF(F2256&lt;0,"Return","OK")))))</f>
        <v/>
      </c>
      <c r="L2256" s="36" t="str">
        <f aca="false">IF(Raw_Export!$A2256="","",IF(OR(K2256="OK",K2256="Return"),1,0))</f>
        <v/>
      </c>
      <c r="M2256" s="37" t="str">
        <f aca="false">IF(Raw_Export!$A2256="","",B2256-WEEKDAY(B2256,2)+1)</f>
        <v/>
      </c>
    </row>
    <row r="2257" customFormat="false" ht="15" hidden="false" customHeight="false" outlineLevel="0" collapsed="false">
      <c r="A2257" s="36" t="str">
        <f aca="false">IF(Raw_Export!$A2257="","",TRIM(Raw_Export!A2257))</f>
        <v/>
      </c>
      <c r="B2257" s="37" t="str">
        <f aca="false">IF(Raw_Export!$A2257="","",IF(ISNUMBER(Raw_Export!B2257),Raw_Export!B2257,IF(MID(TRIM(Raw_Export!B2257),5,1)="-",DATE(LEFT(TRIM(Raw_Export!B2257),4),MID(TRIM(Raw_Export!B2257),6,2),RIGHT(TRIM(Raw_Export!B2257),2)),DATE(RIGHT(TRIM(Raw_Export!B2257),4),MATCH(MID(TRIM(Raw_Export!B2257),4,3),{"Jan","Feb","Mar","Apr","May","Jun","Jul","Aug","Sep","Oct","Nov","Dec"},0),LEFT(TRIM(Raw_Export!B2257),2)))))</f>
        <v/>
      </c>
      <c r="C2257" s="36" t="str">
        <f aca="false">IF(Raw_Export!$A2257="","",IFERROR(VLOOKUP(LOWER(TRIM(Raw_Export!C2257)),Maps!$A$2:$B$20,2,FALSE()),"UNMAPPED"))</f>
        <v/>
      </c>
      <c r="D2257" s="36" t="str">
        <f aca="false">IF(Raw_Export!$A2257="","",IFERROR(VLOOKUP(LOWER(TRIM(Raw_Export!D2257)),Maps!$G$2:$I$80,2,FALSE()),"UNMAPPED"))</f>
        <v/>
      </c>
      <c r="E2257" s="36" t="str">
        <f aca="false">IF(Raw_Export!$A2257="","",IFERROR(VLOOKUP(LOWER(TRIM(Raw_Export!D2257)),Maps!$G$2:$I$80,3,FALSE()),"UNMAPPED"))</f>
        <v/>
      </c>
      <c r="F2257" s="36" t="str">
        <f aca="false">IF(Raw_Export!$A2257="","",IFERROR(VALUE(TRIM(Raw_Export!E2257)),0))</f>
        <v/>
      </c>
      <c r="G2257" s="38" t="str">
        <f aca="false">IF(Raw_Export!$A2257="","",IFERROR(VALUE(SUBSTITUTE(SUBSTITUTE(UPPER(TRIM(Raw_Export!F2257)),"KES",""),",","")),0))</f>
        <v/>
      </c>
      <c r="H2257" s="38" t="str">
        <f aca="false">IF(Raw_Export!$A2257="","",F2257*G2257)</f>
        <v/>
      </c>
      <c r="I2257" s="36" t="str">
        <f aca="false">IF(Raw_Export!$A2257="","",IFERROR(VLOOKUP(LOWER(TRIM(Raw_Export!H2257)),Maps!$D$2:$E$12,2,FALSE()),"Other"))</f>
        <v/>
      </c>
      <c r="J2257" s="36" t="str">
        <f aca="false">IF(Raw_Export!$A2257="","",IF(COUNTIF($A$2:A2257,A2257)&gt;1,"Duplicate",""))</f>
        <v/>
      </c>
      <c r="K2257" s="36" t="str">
        <f aca="false">IF(Raw_Export!$A2257="","",IF(J2257="Duplicate","Duplicate",IF(OR(C2257="UNMAPPED",D2257="UNMAPPED"),"Unmapped",IF(F2257=0,"Blank qty",IF(F2257&lt;0,"Return","OK")))))</f>
        <v/>
      </c>
      <c r="L2257" s="36" t="str">
        <f aca="false">IF(Raw_Export!$A2257="","",IF(OR(K2257="OK",K2257="Return"),1,0))</f>
        <v/>
      </c>
      <c r="M2257" s="37" t="str">
        <f aca="false">IF(Raw_Export!$A2257="","",B2257-WEEKDAY(B2257,2)+1)</f>
        <v/>
      </c>
    </row>
    <row r="2258" customFormat="false" ht="15" hidden="false" customHeight="false" outlineLevel="0" collapsed="false">
      <c r="A2258" s="36" t="str">
        <f aca="false">IF(Raw_Export!$A2258="","",TRIM(Raw_Export!A2258))</f>
        <v/>
      </c>
      <c r="B2258" s="37" t="str">
        <f aca="false">IF(Raw_Export!$A2258="","",IF(ISNUMBER(Raw_Export!B2258),Raw_Export!B2258,IF(MID(TRIM(Raw_Export!B2258),5,1)="-",DATE(LEFT(TRIM(Raw_Export!B2258),4),MID(TRIM(Raw_Export!B2258),6,2),RIGHT(TRIM(Raw_Export!B2258),2)),DATE(RIGHT(TRIM(Raw_Export!B2258),4),MATCH(MID(TRIM(Raw_Export!B2258),4,3),{"Jan","Feb","Mar","Apr","May","Jun","Jul","Aug","Sep","Oct","Nov","Dec"},0),LEFT(TRIM(Raw_Export!B2258),2)))))</f>
        <v/>
      </c>
      <c r="C2258" s="36" t="str">
        <f aca="false">IF(Raw_Export!$A2258="","",IFERROR(VLOOKUP(LOWER(TRIM(Raw_Export!C2258)),Maps!$A$2:$B$20,2,FALSE()),"UNMAPPED"))</f>
        <v/>
      </c>
      <c r="D2258" s="36" t="str">
        <f aca="false">IF(Raw_Export!$A2258="","",IFERROR(VLOOKUP(LOWER(TRIM(Raw_Export!D2258)),Maps!$G$2:$I$80,2,FALSE()),"UNMAPPED"))</f>
        <v/>
      </c>
      <c r="E2258" s="36" t="str">
        <f aca="false">IF(Raw_Export!$A2258="","",IFERROR(VLOOKUP(LOWER(TRIM(Raw_Export!D2258)),Maps!$G$2:$I$80,3,FALSE()),"UNMAPPED"))</f>
        <v/>
      </c>
      <c r="F2258" s="36" t="str">
        <f aca="false">IF(Raw_Export!$A2258="","",IFERROR(VALUE(TRIM(Raw_Export!E2258)),0))</f>
        <v/>
      </c>
      <c r="G2258" s="38" t="str">
        <f aca="false">IF(Raw_Export!$A2258="","",IFERROR(VALUE(SUBSTITUTE(SUBSTITUTE(UPPER(TRIM(Raw_Export!F2258)),"KES",""),",","")),0))</f>
        <v/>
      </c>
      <c r="H2258" s="38" t="str">
        <f aca="false">IF(Raw_Export!$A2258="","",F2258*G2258)</f>
        <v/>
      </c>
      <c r="I2258" s="36" t="str">
        <f aca="false">IF(Raw_Export!$A2258="","",IFERROR(VLOOKUP(LOWER(TRIM(Raw_Export!H2258)),Maps!$D$2:$E$12,2,FALSE()),"Other"))</f>
        <v/>
      </c>
      <c r="J2258" s="36" t="str">
        <f aca="false">IF(Raw_Export!$A2258="","",IF(COUNTIF($A$2:A2258,A2258)&gt;1,"Duplicate",""))</f>
        <v/>
      </c>
      <c r="K2258" s="36" t="str">
        <f aca="false">IF(Raw_Export!$A2258="","",IF(J2258="Duplicate","Duplicate",IF(OR(C2258="UNMAPPED",D2258="UNMAPPED"),"Unmapped",IF(F2258=0,"Blank qty",IF(F2258&lt;0,"Return","OK")))))</f>
        <v/>
      </c>
      <c r="L2258" s="36" t="str">
        <f aca="false">IF(Raw_Export!$A2258="","",IF(OR(K2258="OK",K2258="Return"),1,0))</f>
        <v/>
      </c>
      <c r="M2258" s="37" t="str">
        <f aca="false">IF(Raw_Export!$A2258="","",B2258-WEEKDAY(B2258,2)+1)</f>
        <v/>
      </c>
    </row>
    <row r="2259" customFormat="false" ht="15" hidden="false" customHeight="false" outlineLevel="0" collapsed="false">
      <c r="A2259" s="36" t="str">
        <f aca="false">IF(Raw_Export!$A2259="","",TRIM(Raw_Export!A2259))</f>
        <v/>
      </c>
      <c r="B2259" s="37" t="str">
        <f aca="false">IF(Raw_Export!$A2259="","",IF(ISNUMBER(Raw_Export!B2259),Raw_Export!B2259,IF(MID(TRIM(Raw_Export!B2259),5,1)="-",DATE(LEFT(TRIM(Raw_Export!B2259),4),MID(TRIM(Raw_Export!B2259),6,2),RIGHT(TRIM(Raw_Export!B2259),2)),DATE(RIGHT(TRIM(Raw_Export!B2259),4),MATCH(MID(TRIM(Raw_Export!B2259),4,3),{"Jan","Feb","Mar","Apr","May","Jun","Jul","Aug","Sep","Oct","Nov","Dec"},0),LEFT(TRIM(Raw_Export!B2259),2)))))</f>
        <v/>
      </c>
      <c r="C2259" s="36" t="str">
        <f aca="false">IF(Raw_Export!$A2259="","",IFERROR(VLOOKUP(LOWER(TRIM(Raw_Export!C2259)),Maps!$A$2:$B$20,2,FALSE()),"UNMAPPED"))</f>
        <v/>
      </c>
      <c r="D2259" s="36" t="str">
        <f aca="false">IF(Raw_Export!$A2259="","",IFERROR(VLOOKUP(LOWER(TRIM(Raw_Export!D2259)),Maps!$G$2:$I$80,2,FALSE()),"UNMAPPED"))</f>
        <v/>
      </c>
      <c r="E2259" s="36" t="str">
        <f aca="false">IF(Raw_Export!$A2259="","",IFERROR(VLOOKUP(LOWER(TRIM(Raw_Export!D2259)),Maps!$G$2:$I$80,3,FALSE()),"UNMAPPED"))</f>
        <v/>
      </c>
      <c r="F2259" s="36" t="str">
        <f aca="false">IF(Raw_Export!$A2259="","",IFERROR(VALUE(TRIM(Raw_Export!E2259)),0))</f>
        <v/>
      </c>
      <c r="G2259" s="38" t="str">
        <f aca="false">IF(Raw_Export!$A2259="","",IFERROR(VALUE(SUBSTITUTE(SUBSTITUTE(UPPER(TRIM(Raw_Export!F2259)),"KES",""),",","")),0))</f>
        <v/>
      </c>
      <c r="H2259" s="38" t="str">
        <f aca="false">IF(Raw_Export!$A2259="","",F2259*G2259)</f>
        <v/>
      </c>
      <c r="I2259" s="36" t="str">
        <f aca="false">IF(Raw_Export!$A2259="","",IFERROR(VLOOKUP(LOWER(TRIM(Raw_Export!H2259)),Maps!$D$2:$E$12,2,FALSE()),"Other"))</f>
        <v/>
      </c>
      <c r="J2259" s="36" t="str">
        <f aca="false">IF(Raw_Export!$A2259="","",IF(COUNTIF($A$2:A2259,A2259)&gt;1,"Duplicate",""))</f>
        <v/>
      </c>
      <c r="K2259" s="36" t="str">
        <f aca="false">IF(Raw_Export!$A2259="","",IF(J2259="Duplicate","Duplicate",IF(OR(C2259="UNMAPPED",D2259="UNMAPPED"),"Unmapped",IF(F2259=0,"Blank qty",IF(F2259&lt;0,"Return","OK")))))</f>
        <v/>
      </c>
      <c r="L2259" s="36" t="str">
        <f aca="false">IF(Raw_Export!$A2259="","",IF(OR(K2259="OK",K2259="Return"),1,0))</f>
        <v/>
      </c>
      <c r="M2259" s="37" t="str">
        <f aca="false">IF(Raw_Export!$A2259="","",B2259-WEEKDAY(B2259,2)+1)</f>
        <v/>
      </c>
    </row>
    <row r="2260" customFormat="false" ht="15" hidden="false" customHeight="false" outlineLevel="0" collapsed="false">
      <c r="A2260" s="36" t="str">
        <f aca="false">IF(Raw_Export!$A2260="","",TRIM(Raw_Export!A2260))</f>
        <v/>
      </c>
      <c r="B2260" s="37" t="str">
        <f aca="false">IF(Raw_Export!$A2260="","",IF(ISNUMBER(Raw_Export!B2260),Raw_Export!B2260,IF(MID(TRIM(Raw_Export!B2260),5,1)="-",DATE(LEFT(TRIM(Raw_Export!B2260),4),MID(TRIM(Raw_Export!B2260),6,2),RIGHT(TRIM(Raw_Export!B2260),2)),DATE(RIGHT(TRIM(Raw_Export!B2260),4),MATCH(MID(TRIM(Raw_Export!B2260),4,3),{"Jan","Feb","Mar","Apr","May","Jun","Jul","Aug","Sep","Oct","Nov","Dec"},0),LEFT(TRIM(Raw_Export!B2260),2)))))</f>
        <v/>
      </c>
      <c r="C2260" s="36" t="str">
        <f aca="false">IF(Raw_Export!$A2260="","",IFERROR(VLOOKUP(LOWER(TRIM(Raw_Export!C2260)),Maps!$A$2:$B$20,2,FALSE()),"UNMAPPED"))</f>
        <v/>
      </c>
      <c r="D2260" s="36" t="str">
        <f aca="false">IF(Raw_Export!$A2260="","",IFERROR(VLOOKUP(LOWER(TRIM(Raw_Export!D2260)),Maps!$G$2:$I$80,2,FALSE()),"UNMAPPED"))</f>
        <v/>
      </c>
      <c r="E2260" s="36" t="str">
        <f aca="false">IF(Raw_Export!$A2260="","",IFERROR(VLOOKUP(LOWER(TRIM(Raw_Export!D2260)),Maps!$G$2:$I$80,3,FALSE()),"UNMAPPED"))</f>
        <v/>
      </c>
      <c r="F2260" s="36" t="str">
        <f aca="false">IF(Raw_Export!$A2260="","",IFERROR(VALUE(TRIM(Raw_Export!E2260)),0))</f>
        <v/>
      </c>
      <c r="G2260" s="38" t="str">
        <f aca="false">IF(Raw_Export!$A2260="","",IFERROR(VALUE(SUBSTITUTE(SUBSTITUTE(UPPER(TRIM(Raw_Export!F2260)),"KES",""),",","")),0))</f>
        <v/>
      </c>
      <c r="H2260" s="38" t="str">
        <f aca="false">IF(Raw_Export!$A2260="","",F2260*G2260)</f>
        <v/>
      </c>
      <c r="I2260" s="36" t="str">
        <f aca="false">IF(Raw_Export!$A2260="","",IFERROR(VLOOKUP(LOWER(TRIM(Raw_Export!H2260)),Maps!$D$2:$E$12,2,FALSE()),"Other"))</f>
        <v/>
      </c>
      <c r="J2260" s="36" t="str">
        <f aca="false">IF(Raw_Export!$A2260="","",IF(COUNTIF($A$2:A2260,A2260)&gt;1,"Duplicate",""))</f>
        <v/>
      </c>
      <c r="K2260" s="36" t="str">
        <f aca="false">IF(Raw_Export!$A2260="","",IF(J2260="Duplicate","Duplicate",IF(OR(C2260="UNMAPPED",D2260="UNMAPPED"),"Unmapped",IF(F2260=0,"Blank qty",IF(F2260&lt;0,"Return","OK")))))</f>
        <v/>
      </c>
      <c r="L2260" s="36" t="str">
        <f aca="false">IF(Raw_Export!$A2260="","",IF(OR(K2260="OK",K2260="Return"),1,0))</f>
        <v/>
      </c>
      <c r="M2260" s="37" t="str">
        <f aca="false">IF(Raw_Export!$A2260="","",B2260-WEEKDAY(B2260,2)+1)</f>
        <v/>
      </c>
    </row>
    <row r="2261" customFormat="false" ht="15" hidden="false" customHeight="false" outlineLevel="0" collapsed="false">
      <c r="A2261" s="36" t="str">
        <f aca="false">IF(Raw_Export!$A2261="","",TRIM(Raw_Export!A2261))</f>
        <v/>
      </c>
      <c r="B2261" s="37" t="str">
        <f aca="false">IF(Raw_Export!$A2261="","",IF(ISNUMBER(Raw_Export!B2261),Raw_Export!B2261,IF(MID(TRIM(Raw_Export!B2261),5,1)="-",DATE(LEFT(TRIM(Raw_Export!B2261),4),MID(TRIM(Raw_Export!B2261),6,2),RIGHT(TRIM(Raw_Export!B2261),2)),DATE(RIGHT(TRIM(Raw_Export!B2261),4),MATCH(MID(TRIM(Raw_Export!B2261),4,3),{"Jan","Feb","Mar","Apr","May","Jun","Jul","Aug","Sep","Oct","Nov","Dec"},0),LEFT(TRIM(Raw_Export!B2261),2)))))</f>
        <v/>
      </c>
      <c r="C2261" s="36" t="str">
        <f aca="false">IF(Raw_Export!$A2261="","",IFERROR(VLOOKUP(LOWER(TRIM(Raw_Export!C2261)),Maps!$A$2:$B$20,2,FALSE()),"UNMAPPED"))</f>
        <v/>
      </c>
      <c r="D2261" s="36" t="str">
        <f aca="false">IF(Raw_Export!$A2261="","",IFERROR(VLOOKUP(LOWER(TRIM(Raw_Export!D2261)),Maps!$G$2:$I$80,2,FALSE()),"UNMAPPED"))</f>
        <v/>
      </c>
      <c r="E2261" s="36" t="str">
        <f aca="false">IF(Raw_Export!$A2261="","",IFERROR(VLOOKUP(LOWER(TRIM(Raw_Export!D2261)),Maps!$G$2:$I$80,3,FALSE()),"UNMAPPED"))</f>
        <v/>
      </c>
      <c r="F2261" s="36" t="str">
        <f aca="false">IF(Raw_Export!$A2261="","",IFERROR(VALUE(TRIM(Raw_Export!E2261)),0))</f>
        <v/>
      </c>
      <c r="G2261" s="38" t="str">
        <f aca="false">IF(Raw_Export!$A2261="","",IFERROR(VALUE(SUBSTITUTE(SUBSTITUTE(UPPER(TRIM(Raw_Export!F2261)),"KES",""),",","")),0))</f>
        <v/>
      </c>
      <c r="H2261" s="38" t="str">
        <f aca="false">IF(Raw_Export!$A2261="","",F2261*G2261)</f>
        <v/>
      </c>
      <c r="I2261" s="36" t="str">
        <f aca="false">IF(Raw_Export!$A2261="","",IFERROR(VLOOKUP(LOWER(TRIM(Raw_Export!H2261)),Maps!$D$2:$E$12,2,FALSE()),"Other"))</f>
        <v/>
      </c>
      <c r="J2261" s="36" t="str">
        <f aca="false">IF(Raw_Export!$A2261="","",IF(COUNTIF($A$2:A2261,A2261)&gt;1,"Duplicate",""))</f>
        <v/>
      </c>
      <c r="K2261" s="36" t="str">
        <f aca="false">IF(Raw_Export!$A2261="","",IF(J2261="Duplicate","Duplicate",IF(OR(C2261="UNMAPPED",D2261="UNMAPPED"),"Unmapped",IF(F2261=0,"Blank qty",IF(F2261&lt;0,"Return","OK")))))</f>
        <v/>
      </c>
      <c r="L2261" s="36" t="str">
        <f aca="false">IF(Raw_Export!$A2261="","",IF(OR(K2261="OK",K2261="Return"),1,0))</f>
        <v/>
      </c>
      <c r="M2261" s="37" t="str">
        <f aca="false">IF(Raw_Export!$A2261="","",B2261-WEEKDAY(B2261,2)+1)</f>
        <v/>
      </c>
    </row>
    <row r="2262" customFormat="false" ht="15" hidden="false" customHeight="false" outlineLevel="0" collapsed="false">
      <c r="A2262" s="36" t="str">
        <f aca="false">IF(Raw_Export!$A2262="","",TRIM(Raw_Export!A2262))</f>
        <v/>
      </c>
      <c r="B2262" s="37" t="str">
        <f aca="false">IF(Raw_Export!$A2262="","",IF(ISNUMBER(Raw_Export!B2262),Raw_Export!B2262,IF(MID(TRIM(Raw_Export!B2262),5,1)="-",DATE(LEFT(TRIM(Raw_Export!B2262),4),MID(TRIM(Raw_Export!B2262),6,2),RIGHT(TRIM(Raw_Export!B2262),2)),DATE(RIGHT(TRIM(Raw_Export!B2262),4),MATCH(MID(TRIM(Raw_Export!B2262),4,3),{"Jan","Feb","Mar","Apr","May","Jun","Jul","Aug","Sep","Oct","Nov","Dec"},0),LEFT(TRIM(Raw_Export!B2262),2)))))</f>
        <v/>
      </c>
      <c r="C2262" s="36" t="str">
        <f aca="false">IF(Raw_Export!$A2262="","",IFERROR(VLOOKUP(LOWER(TRIM(Raw_Export!C2262)),Maps!$A$2:$B$20,2,FALSE()),"UNMAPPED"))</f>
        <v/>
      </c>
      <c r="D2262" s="36" t="str">
        <f aca="false">IF(Raw_Export!$A2262="","",IFERROR(VLOOKUP(LOWER(TRIM(Raw_Export!D2262)),Maps!$G$2:$I$80,2,FALSE()),"UNMAPPED"))</f>
        <v/>
      </c>
      <c r="E2262" s="36" t="str">
        <f aca="false">IF(Raw_Export!$A2262="","",IFERROR(VLOOKUP(LOWER(TRIM(Raw_Export!D2262)),Maps!$G$2:$I$80,3,FALSE()),"UNMAPPED"))</f>
        <v/>
      </c>
      <c r="F2262" s="36" t="str">
        <f aca="false">IF(Raw_Export!$A2262="","",IFERROR(VALUE(TRIM(Raw_Export!E2262)),0))</f>
        <v/>
      </c>
      <c r="G2262" s="38" t="str">
        <f aca="false">IF(Raw_Export!$A2262="","",IFERROR(VALUE(SUBSTITUTE(SUBSTITUTE(UPPER(TRIM(Raw_Export!F2262)),"KES",""),",","")),0))</f>
        <v/>
      </c>
      <c r="H2262" s="38" t="str">
        <f aca="false">IF(Raw_Export!$A2262="","",F2262*G2262)</f>
        <v/>
      </c>
      <c r="I2262" s="36" t="str">
        <f aca="false">IF(Raw_Export!$A2262="","",IFERROR(VLOOKUP(LOWER(TRIM(Raw_Export!H2262)),Maps!$D$2:$E$12,2,FALSE()),"Other"))</f>
        <v/>
      </c>
      <c r="J2262" s="36" t="str">
        <f aca="false">IF(Raw_Export!$A2262="","",IF(COUNTIF($A$2:A2262,A2262)&gt;1,"Duplicate",""))</f>
        <v/>
      </c>
      <c r="K2262" s="36" t="str">
        <f aca="false">IF(Raw_Export!$A2262="","",IF(J2262="Duplicate","Duplicate",IF(OR(C2262="UNMAPPED",D2262="UNMAPPED"),"Unmapped",IF(F2262=0,"Blank qty",IF(F2262&lt;0,"Return","OK")))))</f>
        <v/>
      </c>
      <c r="L2262" s="36" t="str">
        <f aca="false">IF(Raw_Export!$A2262="","",IF(OR(K2262="OK",K2262="Return"),1,0))</f>
        <v/>
      </c>
      <c r="M2262" s="37" t="str">
        <f aca="false">IF(Raw_Export!$A2262="","",B2262-WEEKDAY(B2262,2)+1)</f>
        <v/>
      </c>
    </row>
    <row r="2263" customFormat="false" ht="15" hidden="false" customHeight="false" outlineLevel="0" collapsed="false">
      <c r="A2263" s="36" t="str">
        <f aca="false">IF(Raw_Export!$A2263="","",TRIM(Raw_Export!A2263))</f>
        <v/>
      </c>
      <c r="B2263" s="37" t="str">
        <f aca="false">IF(Raw_Export!$A2263="","",IF(ISNUMBER(Raw_Export!B2263),Raw_Export!B2263,IF(MID(TRIM(Raw_Export!B2263),5,1)="-",DATE(LEFT(TRIM(Raw_Export!B2263),4),MID(TRIM(Raw_Export!B2263),6,2),RIGHT(TRIM(Raw_Export!B2263),2)),DATE(RIGHT(TRIM(Raw_Export!B2263),4),MATCH(MID(TRIM(Raw_Export!B2263),4,3),{"Jan","Feb","Mar","Apr","May","Jun","Jul","Aug","Sep","Oct","Nov","Dec"},0),LEFT(TRIM(Raw_Export!B2263),2)))))</f>
        <v/>
      </c>
      <c r="C2263" s="36" t="str">
        <f aca="false">IF(Raw_Export!$A2263="","",IFERROR(VLOOKUP(LOWER(TRIM(Raw_Export!C2263)),Maps!$A$2:$B$20,2,FALSE()),"UNMAPPED"))</f>
        <v/>
      </c>
      <c r="D2263" s="36" t="str">
        <f aca="false">IF(Raw_Export!$A2263="","",IFERROR(VLOOKUP(LOWER(TRIM(Raw_Export!D2263)),Maps!$G$2:$I$80,2,FALSE()),"UNMAPPED"))</f>
        <v/>
      </c>
      <c r="E2263" s="36" t="str">
        <f aca="false">IF(Raw_Export!$A2263="","",IFERROR(VLOOKUP(LOWER(TRIM(Raw_Export!D2263)),Maps!$G$2:$I$80,3,FALSE()),"UNMAPPED"))</f>
        <v/>
      </c>
      <c r="F2263" s="36" t="str">
        <f aca="false">IF(Raw_Export!$A2263="","",IFERROR(VALUE(TRIM(Raw_Export!E2263)),0))</f>
        <v/>
      </c>
      <c r="G2263" s="38" t="str">
        <f aca="false">IF(Raw_Export!$A2263="","",IFERROR(VALUE(SUBSTITUTE(SUBSTITUTE(UPPER(TRIM(Raw_Export!F2263)),"KES",""),",","")),0))</f>
        <v/>
      </c>
      <c r="H2263" s="38" t="str">
        <f aca="false">IF(Raw_Export!$A2263="","",F2263*G2263)</f>
        <v/>
      </c>
      <c r="I2263" s="36" t="str">
        <f aca="false">IF(Raw_Export!$A2263="","",IFERROR(VLOOKUP(LOWER(TRIM(Raw_Export!H2263)),Maps!$D$2:$E$12,2,FALSE()),"Other"))</f>
        <v/>
      </c>
      <c r="J2263" s="36" t="str">
        <f aca="false">IF(Raw_Export!$A2263="","",IF(COUNTIF($A$2:A2263,A2263)&gt;1,"Duplicate",""))</f>
        <v/>
      </c>
      <c r="K2263" s="36" t="str">
        <f aca="false">IF(Raw_Export!$A2263="","",IF(J2263="Duplicate","Duplicate",IF(OR(C2263="UNMAPPED",D2263="UNMAPPED"),"Unmapped",IF(F2263=0,"Blank qty",IF(F2263&lt;0,"Return","OK")))))</f>
        <v/>
      </c>
      <c r="L2263" s="36" t="str">
        <f aca="false">IF(Raw_Export!$A2263="","",IF(OR(K2263="OK",K2263="Return"),1,0))</f>
        <v/>
      </c>
      <c r="M2263" s="37" t="str">
        <f aca="false">IF(Raw_Export!$A2263="","",B2263-WEEKDAY(B2263,2)+1)</f>
        <v/>
      </c>
    </row>
    <row r="2264" customFormat="false" ht="15" hidden="false" customHeight="false" outlineLevel="0" collapsed="false">
      <c r="A2264" s="36" t="str">
        <f aca="false">IF(Raw_Export!$A2264="","",TRIM(Raw_Export!A2264))</f>
        <v/>
      </c>
      <c r="B2264" s="37" t="str">
        <f aca="false">IF(Raw_Export!$A2264="","",IF(ISNUMBER(Raw_Export!B2264),Raw_Export!B2264,IF(MID(TRIM(Raw_Export!B2264),5,1)="-",DATE(LEFT(TRIM(Raw_Export!B2264),4),MID(TRIM(Raw_Export!B2264),6,2),RIGHT(TRIM(Raw_Export!B2264),2)),DATE(RIGHT(TRIM(Raw_Export!B2264),4),MATCH(MID(TRIM(Raw_Export!B2264),4,3),{"Jan","Feb","Mar","Apr","May","Jun","Jul","Aug","Sep","Oct","Nov","Dec"},0),LEFT(TRIM(Raw_Export!B2264),2)))))</f>
        <v/>
      </c>
      <c r="C2264" s="36" t="str">
        <f aca="false">IF(Raw_Export!$A2264="","",IFERROR(VLOOKUP(LOWER(TRIM(Raw_Export!C2264)),Maps!$A$2:$B$20,2,FALSE()),"UNMAPPED"))</f>
        <v/>
      </c>
      <c r="D2264" s="36" t="str">
        <f aca="false">IF(Raw_Export!$A2264="","",IFERROR(VLOOKUP(LOWER(TRIM(Raw_Export!D2264)),Maps!$G$2:$I$80,2,FALSE()),"UNMAPPED"))</f>
        <v/>
      </c>
      <c r="E2264" s="36" t="str">
        <f aca="false">IF(Raw_Export!$A2264="","",IFERROR(VLOOKUP(LOWER(TRIM(Raw_Export!D2264)),Maps!$G$2:$I$80,3,FALSE()),"UNMAPPED"))</f>
        <v/>
      </c>
      <c r="F2264" s="36" t="str">
        <f aca="false">IF(Raw_Export!$A2264="","",IFERROR(VALUE(TRIM(Raw_Export!E2264)),0))</f>
        <v/>
      </c>
      <c r="G2264" s="38" t="str">
        <f aca="false">IF(Raw_Export!$A2264="","",IFERROR(VALUE(SUBSTITUTE(SUBSTITUTE(UPPER(TRIM(Raw_Export!F2264)),"KES",""),",","")),0))</f>
        <v/>
      </c>
      <c r="H2264" s="38" t="str">
        <f aca="false">IF(Raw_Export!$A2264="","",F2264*G2264)</f>
        <v/>
      </c>
      <c r="I2264" s="36" t="str">
        <f aca="false">IF(Raw_Export!$A2264="","",IFERROR(VLOOKUP(LOWER(TRIM(Raw_Export!H2264)),Maps!$D$2:$E$12,2,FALSE()),"Other"))</f>
        <v/>
      </c>
      <c r="J2264" s="36" t="str">
        <f aca="false">IF(Raw_Export!$A2264="","",IF(COUNTIF($A$2:A2264,A2264)&gt;1,"Duplicate",""))</f>
        <v/>
      </c>
      <c r="K2264" s="36" t="str">
        <f aca="false">IF(Raw_Export!$A2264="","",IF(J2264="Duplicate","Duplicate",IF(OR(C2264="UNMAPPED",D2264="UNMAPPED"),"Unmapped",IF(F2264=0,"Blank qty",IF(F2264&lt;0,"Return","OK")))))</f>
        <v/>
      </c>
      <c r="L2264" s="36" t="str">
        <f aca="false">IF(Raw_Export!$A2264="","",IF(OR(K2264="OK",K2264="Return"),1,0))</f>
        <v/>
      </c>
      <c r="M2264" s="37" t="str">
        <f aca="false">IF(Raw_Export!$A2264="","",B2264-WEEKDAY(B2264,2)+1)</f>
        <v/>
      </c>
    </row>
    <row r="2265" customFormat="false" ht="15" hidden="false" customHeight="false" outlineLevel="0" collapsed="false">
      <c r="A2265" s="36" t="str">
        <f aca="false">IF(Raw_Export!$A2265="","",TRIM(Raw_Export!A2265))</f>
        <v/>
      </c>
      <c r="B2265" s="37" t="str">
        <f aca="false">IF(Raw_Export!$A2265="","",IF(ISNUMBER(Raw_Export!B2265),Raw_Export!B2265,IF(MID(TRIM(Raw_Export!B2265),5,1)="-",DATE(LEFT(TRIM(Raw_Export!B2265),4),MID(TRIM(Raw_Export!B2265),6,2),RIGHT(TRIM(Raw_Export!B2265),2)),DATE(RIGHT(TRIM(Raw_Export!B2265),4),MATCH(MID(TRIM(Raw_Export!B2265),4,3),{"Jan","Feb","Mar","Apr","May","Jun","Jul","Aug","Sep","Oct","Nov","Dec"},0),LEFT(TRIM(Raw_Export!B2265),2)))))</f>
        <v/>
      </c>
      <c r="C2265" s="36" t="str">
        <f aca="false">IF(Raw_Export!$A2265="","",IFERROR(VLOOKUP(LOWER(TRIM(Raw_Export!C2265)),Maps!$A$2:$B$20,2,FALSE()),"UNMAPPED"))</f>
        <v/>
      </c>
      <c r="D2265" s="36" t="str">
        <f aca="false">IF(Raw_Export!$A2265="","",IFERROR(VLOOKUP(LOWER(TRIM(Raw_Export!D2265)),Maps!$G$2:$I$80,2,FALSE()),"UNMAPPED"))</f>
        <v/>
      </c>
      <c r="E2265" s="36" t="str">
        <f aca="false">IF(Raw_Export!$A2265="","",IFERROR(VLOOKUP(LOWER(TRIM(Raw_Export!D2265)),Maps!$G$2:$I$80,3,FALSE()),"UNMAPPED"))</f>
        <v/>
      </c>
      <c r="F2265" s="36" t="str">
        <f aca="false">IF(Raw_Export!$A2265="","",IFERROR(VALUE(TRIM(Raw_Export!E2265)),0))</f>
        <v/>
      </c>
      <c r="G2265" s="38" t="str">
        <f aca="false">IF(Raw_Export!$A2265="","",IFERROR(VALUE(SUBSTITUTE(SUBSTITUTE(UPPER(TRIM(Raw_Export!F2265)),"KES",""),",","")),0))</f>
        <v/>
      </c>
      <c r="H2265" s="38" t="str">
        <f aca="false">IF(Raw_Export!$A2265="","",F2265*G2265)</f>
        <v/>
      </c>
      <c r="I2265" s="36" t="str">
        <f aca="false">IF(Raw_Export!$A2265="","",IFERROR(VLOOKUP(LOWER(TRIM(Raw_Export!H2265)),Maps!$D$2:$E$12,2,FALSE()),"Other"))</f>
        <v/>
      </c>
      <c r="J2265" s="36" t="str">
        <f aca="false">IF(Raw_Export!$A2265="","",IF(COUNTIF($A$2:A2265,A2265)&gt;1,"Duplicate",""))</f>
        <v/>
      </c>
      <c r="K2265" s="36" t="str">
        <f aca="false">IF(Raw_Export!$A2265="","",IF(J2265="Duplicate","Duplicate",IF(OR(C2265="UNMAPPED",D2265="UNMAPPED"),"Unmapped",IF(F2265=0,"Blank qty",IF(F2265&lt;0,"Return","OK")))))</f>
        <v/>
      </c>
      <c r="L2265" s="36" t="str">
        <f aca="false">IF(Raw_Export!$A2265="","",IF(OR(K2265="OK",K2265="Return"),1,0))</f>
        <v/>
      </c>
      <c r="M2265" s="37" t="str">
        <f aca="false">IF(Raw_Export!$A2265="","",B2265-WEEKDAY(B2265,2)+1)</f>
        <v/>
      </c>
    </row>
    <row r="2266" customFormat="false" ht="15" hidden="false" customHeight="false" outlineLevel="0" collapsed="false">
      <c r="A2266" s="36" t="str">
        <f aca="false">IF(Raw_Export!$A2266="","",TRIM(Raw_Export!A2266))</f>
        <v/>
      </c>
      <c r="B2266" s="37" t="str">
        <f aca="false">IF(Raw_Export!$A2266="","",IF(ISNUMBER(Raw_Export!B2266),Raw_Export!B2266,IF(MID(TRIM(Raw_Export!B2266),5,1)="-",DATE(LEFT(TRIM(Raw_Export!B2266),4),MID(TRIM(Raw_Export!B2266),6,2),RIGHT(TRIM(Raw_Export!B2266),2)),DATE(RIGHT(TRIM(Raw_Export!B2266),4),MATCH(MID(TRIM(Raw_Export!B2266),4,3),{"Jan","Feb","Mar","Apr","May","Jun","Jul","Aug","Sep","Oct","Nov","Dec"},0),LEFT(TRIM(Raw_Export!B2266),2)))))</f>
        <v/>
      </c>
      <c r="C2266" s="36" t="str">
        <f aca="false">IF(Raw_Export!$A2266="","",IFERROR(VLOOKUP(LOWER(TRIM(Raw_Export!C2266)),Maps!$A$2:$B$20,2,FALSE()),"UNMAPPED"))</f>
        <v/>
      </c>
      <c r="D2266" s="36" t="str">
        <f aca="false">IF(Raw_Export!$A2266="","",IFERROR(VLOOKUP(LOWER(TRIM(Raw_Export!D2266)),Maps!$G$2:$I$80,2,FALSE()),"UNMAPPED"))</f>
        <v/>
      </c>
      <c r="E2266" s="36" t="str">
        <f aca="false">IF(Raw_Export!$A2266="","",IFERROR(VLOOKUP(LOWER(TRIM(Raw_Export!D2266)),Maps!$G$2:$I$80,3,FALSE()),"UNMAPPED"))</f>
        <v/>
      </c>
      <c r="F2266" s="36" t="str">
        <f aca="false">IF(Raw_Export!$A2266="","",IFERROR(VALUE(TRIM(Raw_Export!E2266)),0))</f>
        <v/>
      </c>
      <c r="G2266" s="38" t="str">
        <f aca="false">IF(Raw_Export!$A2266="","",IFERROR(VALUE(SUBSTITUTE(SUBSTITUTE(UPPER(TRIM(Raw_Export!F2266)),"KES",""),",","")),0))</f>
        <v/>
      </c>
      <c r="H2266" s="38" t="str">
        <f aca="false">IF(Raw_Export!$A2266="","",F2266*G2266)</f>
        <v/>
      </c>
      <c r="I2266" s="36" t="str">
        <f aca="false">IF(Raw_Export!$A2266="","",IFERROR(VLOOKUP(LOWER(TRIM(Raw_Export!H2266)),Maps!$D$2:$E$12,2,FALSE()),"Other"))</f>
        <v/>
      </c>
      <c r="J2266" s="36" t="str">
        <f aca="false">IF(Raw_Export!$A2266="","",IF(COUNTIF($A$2:A2266,A2266)&gt;1,"Duplicate",""))</f>
        <v/>
      </c>
      <c r="K2266" s="36" t="str">
        <f aca="false">IF(Raw_Export!$A2266="","",IF(J2266="Duplicate","Duplicate",IF(OR(C2266="UNMAPPED",D2266="UNMAPPED"),"Unmapped",IF(F2266=0,"Blank qty",IF(F2266&lt;0,"Return","OK")))))</f>
        <v/>
      </c>
      <c r="L2266" s="36" t="str">
        <f aca="false">IF(Raw_Export!$A2266="","",IF(OR(K2266="OK",K2266="Return"),1,0))</f>
        <v/>
      </c>
      <c r="M2266" s="37" t="str">
        <f aca="false">IF(Raw_Export!$A2266="","",B2266-WEEKDAY(B2266,2)+1)</f>
        <v/>
      </c>
    </row>
    <row r="2267" customFormat="false" ht="15" hidden="false" customHeight="false" outlineLevel="0" collapsed="false">
      <c r="A2267" s="36" t="str">
        <f aca="false">IF(Raw_Export!$A2267="","",TRIM(Raw_Export!A2267))</f>
        <v/>
      </c>
      <c r="B2267" s="37" t="str">
        <f aca="false">IF(Raw_Export!$A2267="","",IF(ISNUMBER(Raw_Export!B2267),Raw_Export!B2267,IF(MID(TRIM(Raw_Export!B2267),5,1)="-",DATE(LEFT(TRIM(Raw_Export!B2267),4),MID(TRIM(Raw_Export!B2267),6,2),RIGHT(TRIM(Raw_Export!B2267),2)),DATE(RIGHT(TRIM(Raw_Export!B2267),4),MATCH(MID(TRIM(Raw_Export!B2267),4,3),{"Jan","Feb","Mar","Apr","May","Jun","Jul","Aug","Sep","Oct","Nov","Dec"},0),LEFT(TRIM(Raw_Export!B2267),2)))))</f>
        <v/>
      </c>
      <c r="C2267" s="36" t="str">
        <f aca="false">IF(Raw_Export!$A2267="","",IFERROR(VLOOKUP(LOWER(TRIM(Raw_Export!C2267)),Maps!$A$2:$B$20,2,FALSE()),"UNMAPPED"))</f>
        <v/>
      </c>
      <c r="D2267" s="36" t="str">
        <f aca="false">IF(Raw_Export!$A2267="","",IFERROR(VLOOKUP(LOWER(TRIM(Raw_Export!D2267)),Maps!$G$2:$I$80,2,FALSE()),"UNMAPPED"))</f>
        <v/>
      </c>
      <c r="E2267" s="36" t="str">
        <f aca="false">IF(Raw_Export!$A2267="","",IFERROR(VLOOKUP(LOWER(TRIM(Raw_Export!D2267)),Maps!$G$2:$I$80,3,FALSE()),"UNMAPPED"))</f>
        <v/>
      </c>
      <c r="F2267" s="36" t="str">
        <f aca="false">IF(Raw_Export!$A2267="","",IFERROR(VALUE(TRIM(Raw_Export!E2267)),0))</f>
        <v/>
      </c>
      <c r="G2267" s="38" t="str">
        <f aca="false">IF(Raw_Export!$A2267="","",IFERROR(VALUE(SUBSTITUTE(SUBSTITUTE(UPPER(TRIM(Raw_Export!F2267)),"KES",""),",","")),0))</f>
        <v/>
      </c>
      <c r="H2267" s="38" t="str">
        <f aca="false">IF(Raw_Export!$A2267="","",F2267*G2267)</f>
        <v/>
      </c>
      <c r="I2267" s="36" t="str">
        <f aca="false">IF(Raw_Export!$A2267="","",IFERROR(VLOOKUP(LOWER(TRIM(Raw_Export!H2267)),Maps!$D$2:$E$12,2,FALSE()),"Other"))</f>
        <v/>
      </c>
      <c r="J2267" s="36" t="str">
        <f aca="false">IF(Raw_Export!$A2267="","",IF(COUNTIF($A$2:A2267,A2267)&gt;1,"Duplicate",""))</f>
        <v/>
      </c>
      <c r="K2267" s="36" t="str">
        <f aca="false">IF(Raw_Export!$A2267="","",IF(J2267="Duplicate","Duplicate",IF(OR(C2267="UNMAPPED",D2267="UNMAPPED"),"Unmapped",IF(F2267=0,"Blank qty",IF(F2267&lt;0,"Return","OK")))))</f>
        <v/>
      </c>
      <c r="L2267" s="36" t="str">
        <f aca="false">IF(Raw_Export!$A2267="","",IF(OR(K2267="OK",K2267="Return"),1,0))</f>
        <v/>
      </c>
      <c r="M2267" s="37" t="str">
        <f aca="false">IF(Raw_Export!$A2267="","",B2267-WEEKDAY(B2267,2)+1)</f>
        <v/>
      </c>
    </row>
    <row r="2268" customFormat="false" ht="15" hidden="false" customHeight="false" outlineLevel="0" collapsed="false">
      <c r="A2268" s="36" t="str">
        <f aca="false">IF(Raw_Export!$A2268="","",TRIM(Raw_Export!A2268))</f>
        <v/>
      </c>
      <c r="B2268" s="37" t="str">
        <f aca="false">IF(Raw_Export!$A2268="","",IF(ISNUMBER(Raw_Export!B2268),Raw_Export!B2268,IF(MID(TRIM(Raw_Export!B2268),5,1)="-",DATE(LEFT(TRIM(Raw_Export!B2268),4),MID(TRIM(Raw_Export!B2268),6,2),RIGHT(TRIM(Raw_Export!B2268),2)),DATE(RIGHT(TRIM(Raw_Export!B2268),4),MATCH(MID(TRIM(Raw_Export!B2268),4,3),{"Jan","Feb","Mar","Apr","May","Jun","Jul","Aug","Sep","Oct","Nov","Dec"},0),LEFT(TRIM(Raw_Export!B2268),2)))))</f>
        <v/>
      </c>
      <c r="C2268" s="36" t="str">
        <f aca="false">IF(Raw_Export!$A2268="","",IFERROR(VLOOKUP(LOWER(TRIM(Raw_Export!C2268)),Maps!$A$2:$B$20,2,FALSE()),"UNMAPPED"))</f>
        <v/>
      </c>
      <c r="D2268" s="36" t="str">
        <f aca="false">IF(Raw_Export!$A2268="","",IFERROR(VLOOKUP(LOWER(TRIM(Raw_Export!D2268)),Maps!$G$2:$I$80,2,FALSE()),"UNMAPPED"))</f>
        <v/>
      </c>
      <c r="E2268" s="36" t="str">
        <f aca="false">IF(Raw_Export!$A2268="","",IFERROR(VLOOKUP(LOWER(TRIM(Raw_Export!D2268)),Maps!$G$2:$I$80,3,FALSE()),"UNMAPPED"))</f>
        <v/>
      </c>
      <c r="F2268" s="36" t="str">
        <f aca="false">IF(Raw_Export!$A2268="","",IFERROR(VALUE(TRIM(Raw_Export!E2268)),0))</f>
        <v/>
      </c>
      <c r="G2268" s="38" t="str">
        <f aca="false">IF(Raw_Export!$A2268="","",IFERROR(VALUE(SUBSTITUTE(SUBSTITUTE(UPPER(TRIM(Raw_Export!F2268)),"KES",""),",","")),0))</f>
        <v/>
      </c>
      <c r="H2268" s="38" t="str">
        <f aca="false">IF(Raw_Export!$A2268="","",F2268*G2268)</f>
        <v/>
      </c>
      <c r="I2268" s="36" t="str">
        <f aca="false">IF(Raw_Export!$A2268="","",IFERROR(VLOOKUP(LOWER(TRIM(Raw_Export!H2268)),Maps!$D$2:$E$12,2,FALSE()),"Other"))</f>
        <v/>
      </c>
      <c r="J2268" s="36" t="str">
        <f aca="false">IF(Raw_Export!$A2268="","",IF(COUNTIF($A$2:A2268,A2268)&gt;1,"Duplicate",""))</f>
        <v/>
      </c>
      <c r="K2268" s="36" t="str">
        <f aca="false">IF(Raw_Export!$A2268="","",IF(J2268="Duplicate","Duplicate",IF(OR(C2268="UNMAPPED",D2268="UNMAPPED"),"Unmapped",IF(F2268=0,"Blank qty",IF(F2268&lt;0,"Return","OK")))))</f>
        <v/>
      </c>
      <c r="L2268" s="36" t="str">
        <f aca="false">IF(Raw_Export!$A2268="","",IF(OR(K2268="OK",K2268="Return"),1,0))</f>
        <v/>
      </c>
      <c r="M2268" s="37" t="str">
        <f aca="false">IF(Raw_Export!$A2268="","",B2268-WEEKDAY(B2268,2)+1)</f>
        <v/>
      </c>
    </row>
    <row r="2269" customFormat="false" ht="15" hidden="false" customHeight="false" outlineLevel="0" collapsed="false">
      <c r="A2269" s="36" t="str">
        <f aca="false">IF(Raw_Export!$A2269="","",TRIM(Raw_Export!A2269))</f>
        <v/>
      </c>
      <c r="B2269" s="37" t="str">
        <f aca="false">IF(Raw_Export!$A2269="","",IF(ISNUMBER(Raw_Export!B2269),Raw_Export!B2269,IF(MID(TRIM(Raw_Export!B2269),5,1)="-",DATE(LEFT(TRIM(Raw_Export!B2269),4),MID(TRIM(Raw_Export!B2269),6,2),RIGHT(TRIM(Raw_Export!B2269),2)),DATE(RIGHT(TRIM(Raw_Export!B2269),4),MATCH(MID(TRIM(Raw_Export!B2269),4,3),{"Jan","Feb","Mar","Apr","May","Jun","Jul","Aug","Sep","Oct","Nov","Dec"},0),LEFT(TRIM(Raw_Export!B2269),2)))))</f>
        <v/>
      </c>
      <c r="C2269" s="36" t="str">
        <f aca="false">IF(Raw_Export!$A2269="","",IFERROR(VLOOKUP(LOWER(TRIM(Raw_Export!C2269)),Maps!$A$2:$B$20,2,FALSE()),"UNMAPPED"))</f>
        <v/>
      </c>
      <c r="D2269" s="36" t="str">
        <f aca="false">IF(Raw_Export!$A2269="","",IFERROR(VLOOKUP(LOWER(TRIM(Raw_Export!D2269)),Maps!$G$2:$I$80,2,FALSE()),"UNMAPPED"))</f>
        <v/>
      </c>
      <c r="E2269" s="36" t="str">
        <f aca="false">IF(Raw_Export!$A2269="","",IFERROR(VLOOKUP(LOWER(TRIM(Raw_Export!D2269)),Maps!$G$2:$I$80,3,FALSE()),"UNMAPPED"))</f>
        <v/>
      </c>
      <c r="F2269" s="36" t="str">
        <f aca="false">IF(Raw_Export!$A2269="","",IFERROR(VALUE(TRIM(Raw_Export!E2269)),0))</f>
        <v/>
      </c>
      <c r="G2269" s="38" t="str">
        <f aca="false">IF(Raw_Export!$A2269="","",IFERROR(VALUE(SUBSTITUTE(SUBSTITUTE(UPPER(TRIM(Raw_Export!F2269)),"KES",""),",","")),0))</f>
        <v/>
      </c>
      <c r="H2269" s="38" t="str">
        <f aca="false">IF(Raw_Export!$A2269="","",F2269*G2269)</f>
        <v/>
      </c>
      <c r="I2269" s="36" t="str">
        <f aca="false">IF(Raw_Export!$A2269="","",IFERROR(VLOOKUP(LOWER(TRIM(Raw_Export!H2269)),Maps!$D$2:$E$12,2,FALSE()),"Other"))</f>
        <v/>
      </c>
      <c r="J2269" s="36" t="str">
        <f aca="false">IF(Raw_Export!$A2269="","",IF(COUNTIF($A$2:A2269,A2269)&gt;1,"Duplicate",""))</f>
        <v/>
      </c>
      <c r="K2269" s="36" t="str">
        <f aca="false">IF(Raw_Export!$A2269="","",IF(J2269="Duplicate","Duplicate",IF(OR(C2269="UNMAPPED",D2269="UNMAPPED"),"Unmapped",IF(F2269=0,"Blank qty",IF(F2269&lt;0,"Return","OK")))))</f>
        <v/>
      </c>
      <c r="L2269" s="36" t="str">
        <f aca="false">IF(Raw_Export!$A2269="","",IF(OR(K2269="OK",K2269="Return"),1,0))</f>
        <v/>
      </c>
      <c r="M2269" s="37" t="str">
        <f aca="false">IF(Raw_Export!$A2269="","",B2269-WEEKDAY(B2269,2)+1)</f>
        <v/>
      </c>
    </row>
    <row r="2270" customFormat="false" ht="15" hidden="false" customHeight="false" outlineLevel="0" collapsed="false">
      <c r="A2270" s="36" t="str">
        <f aca="false">IF(Raw_Export!$A2270="","",TRIM(Raw_Export!A2270))</f>
        <v/>
      </c>
      <c r="B2270" s="37" t="str">
        <f aca="false">IF(Raw_Export!$A2270="","",IF(ISNUMBER(Raw_Export!B2270),Raw_Export!B2270,IF(MID(TRIM(Raw_Export!B2270),5,1)="-",DATE(LEFT(TRIM(Raw_Export!B2270),4),MID(TRIM(Raw_Export!B2270),6,2),RIGHT(TRIM(Raw_Export!B2270),2)),DATE(RIGHT(TRIM(Raw_Export!B2270),4),MATCH(MID(TRIM(Raw_Export!B2270),4,3),{"Jan","Feb","Mar","Apr","May","Jun","Jul","Aug","Sep","Oct","Nov","Dec"},0),LEFT(TRIM(Raw_Export!B2270),2)))))</f>
        <v/>
      </c>
      <c r="C2270" s="36" t="str">
        <f aca="false">IF(Raw_Export!$A2270="","",IFERROR(VLOOKUP(LOWER(TRIM(Raw_Export!C2270)),Maps!$A$2:$B$20,2,FALSE()),"UNMAPPED"))</f>
        <v/>
      </c>
      <c r="D2270" s="36" t="str">
        <f aca="false">IF(Raw_Export!$A2270="","",IFERROR(VLOOKUP(LOWER(TRIM(Raw_Export!D2270)),Maps!$G$2:$I$80,2,FALSE()),"UNMAPPED"))</f>
        <v/>
      </c>
      <c r="E2270" s="36" t="str">
        <f aca="false">IF(Raw_Export!$A2270="","",IFERROR(VLOOKUP(LOWER(TRIM(Raw_Export!D2270)),Maps!$G$2:$I$80,3,FALSE()),"UNMAPPED"))</f>
        <v/>
      </c>
      <c r="F2270" s="36" t="str">
        <f aca="false">IF(Raw_Export!$A2270="","",IFERROR(VALUE(TRIM(Raw_Export!E2270)),0))</f>
        <v/>
      </c>
      <c r="G2270" s="38" t="str">
        <f aca="false">IF(Raw_Export!$A2270="","",IFERROR(VALUE(SUBSTITUTE(SUBSTITUTE(UPPER(TRIM(Raw_Export!F2270)),"KES",""),",","")),0))</f>
        <v/>
      </c>
      <c r="H2270" s="38" t="str">
        <f aca="false">IF(Raw_Export!$A2270="","",F2270*G2270)</f>
        <v/>
      </c>
      <c r="I2270" s="36" t="str">
        <f aca="false">IF(Raw_Export!$A2270="","",IFERROR(VLOOKUP(LOWER(TRIM(Raw_Export!H2270)),Maps!$D$2:$E$12,2,FALSE()),"Other"))</f>
        <v/>
      </c>
      <c r="J2270" s="36" t="str">
        <f aca="false">IF(Raw_Export!$A2270="","",IF(COUNTIF($A$2:A2270,A2270)&gt;1,"Duplicate",""))</f>
        <v/>
      </c>
      <c r="K2270" s="36" t="str">
        <f aca="false">IF(Raw_Export!$A2270="","",IF(J2270="Duplicate","Duplicate",IF(OR(C2270="UNMAPPED",D2270="UNMAPPED"),"Unmapped",IF(F2270=0,"Blank qty",IF(F2270&lt;0,"Return","OK")))))</f>
        <v/>
      </c>
      <c r="L2270" s="36" t="str">
        <f aca="false">IF(Raw_Export!$A2270="","",IF(OR(K2270="OK",K2270="Return"),1,0))</f>
        <v/>
      </c>
      <c r="M2270" s="37" t="str">
        <f aca="false">IF(Raw_Export!$A2270="","",B2270-WEEKDAY(B2270,2)+1)</f>
        <v/>
      </c>
    </row>
    <row r="2271" customFormat="false" ht="15" hidden="false" customHeight="false" outlineLevel="0" collapsed="false">
      <c r="A2271" s="36" t="str">
        <f aca="false">IF(Raw_Export!$A2271="","",TRIM(Raw_Export!A2271))</f>
        <v/>
      </c>
      <c r="B2271" s="37" t="str">
        <f aca="false">IF(Raw_Export!$A2271="","",IF(ISNUMBER(Raw_Export!B2271),Raw_Export!B2271,IF(MID(TRIM(Raw_Export!B2271),5,1)="-",DATE(LEFT(TRIM(Raw_Export!B2271),4),MID(TRIM(Raw_Export!B2271),6,2),RIGHT(TRIM(Raw_Export!B2271),2)),DATE(RIGHT(TRIM(Raw_Export!B2271),4),MATCH(MID(TRIM(Raw_Export!B2271),4,3),{"Jan","Feb","Mar","Apr","May","Jun","Jul","Aug","Sep","Oct","Nov","Dec"},0),LEFT(TRIM(Raw_Export!B2271),2)))))</f>
        <v/>
      </c>
      <c r="C2271" s="36" t="str">
        <f aca="false">IF(Raw_Export!$A2271="","",IFERROR(VLOOKUP(LOWER(TRIM(Raw_Export!C2271)),Maps!$A$2:$B$20,2,FALSE()),"UNMAPPED"))</f>
        <v/>
      </c>
      <c r="D2271" s="36" t="str">
        <f aca="false">IF(Raw_Export!$A2271="","",IFERROR(VLOOKUP(LOWER(TRIM(Raw_Export!D2271)),Maps!$G$2:$I$80,2,FALSE()),"UNMAPPED"))</f>
        <v/>
      </c>
      <c r="E2271" s="36" t="str">
        <f aca="false">IF(Raw_Export!$A2271="","",IFERROR(VLOOKUP(LOWER(TRIM(Raw_Export!D2271)),Maps!$G$2:$I$80,3,FALSE()),"UNMAPPED"))</f>
        <v/>
      </c>
      <c r="F2271" s="36" t="str">
        <f aca="false">IF(Raw_Export!$A2271="","",IFERROR(VALUE(TRIM(Raw_Export!E2271)),0))</f>
        <v/>
      </c>
      <c r="G2271" s="38" t="str">
        <f aca="false">IF(Raw_Export!$A2271="","",IFERROR(VALUE(SUBSTITUTE(SUBSTITUTE(UPPER(TRIM(Raw_Export!F2271)),"KES",""),",","")),0))</f>
        <v/>
      </c>
      <c r="H2271" s="38" t="str">
        <f aca="false">IF(Raw_Export!$A2271="","",F2271*G2271)</f>
        <v/>
      </c>
      <c r="I2271" s="36" t="str">
        <f aca="false">IF(Raw_Export!$A2271="","",IFERROR(VLOOKUP(LOWER(TRIM(Raw_Export!H2271)),Maps!$D$2:$E$12,2,FALSE()),"Other"))</f>
        <v/>
      </c>
      <c r="J2271" s="36" t="str">
        <f aca="false">IF(Raw_Export!$A2271="","",IF(COUNTIF($A$2:A2271,A2271)&gt;1,"Duplicate",""))</f>
        <v/>
      </c>
      <c r="K2271" s="36" t="str">
        <f aca="false">IF(Raw_Export!$A2271="","",IF(J2271="Duplicate","Duplicate",IF(OR(C2271="UNMAPPED",D2271="UNMAPPED"),"Unmapped",IF(F2271=0,"Blank qty",IF(F2271&lt;0,"Return","OK")))))</f>
        <v/>
      </c>
      <c r="L2271" s="36" t="str">
        <f aca="false">IF(Raw_Export!$A2271="","",IF(OR(K2271="OK",K2271="Return"),1,0))</f>
        <v/>
      </c>
      <c r="M2271" s="37" t="str">
        <f aca="false">IF(Raw_Export!$A2271="","",B2271-WEEKDAY(B2271,2)+1)</f>
        <v/>
      </c>
    </row>
    <row r="2272" customFormat="false" ht="15" hidden="false" customHeight="false" outlineLevel="0" collapsed="false">
      <c r="A2272" s="36" t="str">
        <f aca="false">IF(Raw_Export!$A2272="","",TRIM(Raw_Export!A2272))</f>
        <v/>
      </c>
      <c r="B2272" s="37" t="str">
        <f aca="false">IF(Raw_Export!$A2272="","",IF(ISNUMBER(Raw_Export!B2272),Raw_Export!B2272,IF(MID(TRIM(Raw_Export!B2272),5,1)="-",DATE(LEFT(TRIM(Raw_Export!B2272),4),MID(TRIM(Raw_Export!B2272),6,2),RIGHT(TRIM(Raw_Export!B2272),2)),DATE(RIGHT(TRIM(Raw_Export!B2272),4),MATCH(MID(TRIM(Raw_Export!B2272),4,3),{"Jan","Feb","Mar","Apr","May","Jun","Jul","Aug","Sep","Oct","Nov","Dec"},0),LEFT(TRIM(Raw_Export!B2272),2)))))</f>
        <v/>
      </c>
      <c r="C2272" s="36" t="str">
        <f aca="false">IF(Raw_Export!$A2272="","",IFERROR(VLOOKUP(LOWER(TRIM(Raw_Export!C2272)),Maps!$A$2:$B$20,2,FALSE()),"UNMAPPED"))</f>
        <v/>
      </c>
      <c r="D2272" s="36" t="str">
        <f aca="false">IF(Raw_Export!$A2272="","",IFERROR(VLOOKUP(LOWER(TRIM(Raw_Export!D2272)),Maps!$G$2:$I$80,2,FALSE()),"UNMAPPED"))</f>
        <v/>
      </c>
      <c r="E2272" s="36" t="str">
        <f aca="false">IF(Raw_Export!$A2272="","",IFERROR(VLOOKUP(LOWER(TRIM(Raw_Export!D2272)),Maps!$G$2:$I$80,3,FALSE()),"UNMAPPED"))</f>
        <v/>
      </c>
      <c r="F2272" s="36" t="str">
        <f aca="false">IF(Raw_Export!$A2272="","",IFERROR(VALUE(TRIM(Raw_Export!E2272)),0))</f>
        <v/>
      </c>
      <c r="G2272" s="38" t="str">
        <f aca="false">IF(Raw_Export!$A2272="","",IFERROR(VALUE(SUBSTITUTE(SUBSTITUTE(UPPER(TRIM(Raw_Export!F2272)),"KES",""),",","")),0))</f>
        <v/>
      </c>
      <c r="H2272" s="38" t="str">
        <f aca="false">IF(Raw_Export!$A2272="","",F2272*G2272)</f>
        <v/>
      </c>
      <c r="I2272" s="36" t="str">
        <f aca="false">IF(Raw_Export!$A2272="","",IFERROR(VLOOKUP(LOWER(TRIM(Raw_Export!H2272)),Maps!$D$2:$E$12,2,FALSE()),"Other"))</f>
        <v/>
      </c>
      <c r="J2272" s="36" t="str">
        <f aca="false">IF(Raw_Export!$A2272="","",IF(COUNTIF($A$2:A2272,A2272)&gt;1,"Duplicate",""))</f>
        <v/>
      </c>
      <c r="K2272" s="36" t="str">
        <f aca="false">IF(Raw_Export!$A2272="","",IF(J2272="Duplicate","Duplicate",IF(OR(C2272="UNMAPPED",D2272="UNMAPPED"),"Unmapped",IF(F2272=0,"Blank qty",IF(F2272&lt;0,"Return","OK")))))</f>
        <v/>
      </c>
      <c r="L2272" s="36" t="str">
        <f aca="false">IF(Raw_Export!$A2272="","",IF(OR(K2272="OK",K2272="Return"),1,0))</f>
        <v/>
      </c>
      <c r="M2272" s="37" t="str">
        <f aca="false">IF(Raw_Export!$A2272="","",B2272-WEEKDAY(B2272,2)+1)</f>
        <v/>
      </c>
    </row>
    <row r="2273" customFormat="false" ht="15" hidden="false" customHeight="false" outlineLevel="0" collapsed="false">
      <c r="A2273" s="36" t="str">
        <f aca="false">IF(Raw_Export!$A2273="","",TRIM(Raw_Export!A2273))</f>
        <v/>
      </c>
      <c r="B2273" s="37" t="str">
        <f aca="false">IF(Raw_Export!$A2273="","",IF(ISNUMBER(Raw_Export!B2273),Raw_Export!B2273,IF(MID(TRIM(Raw_Export!B2273),5,1)="-",DATE(LEFT(TRIM(Raw_Export!B2273),4),MID(TRIM(Raw_Export!B2273),6,2),RIGHT(TRIM(Raw_Export!B2273),2)),DATE(RIGHT(TRIM(Raw_Export!B2273),4),MATCH(MID(TRIM(Raw_Export!B2273),4,3),{"Jan","Feb","Mar","Apr","May","Jun","Jul","Aug","Sep","Oct","Nov","Dec"},0),LEFT(TRIM(Raw_Export!B2273),2)))))</f>
        <v/>
      </c>
      <c r="C2273" s="36" t="str">
        <f aca="false">IF(Raw_Export!$A2273="","",IFERROR(VLOOKUP(LOWER(TRIM(Raw_Export!C2273)),Maps!$A$2:$B$20,2,FALSE()),"UNMAPPED"))</f>
        <v/>
      </c>
      <c r="D2273" s="36" t="str">
        <f aca="false">IF(Raw_Export!$A2273="","",IFERROR(VLOOKUP(LOWER(TRIM(Raw_Export!D2273)),Maps!$G$2:$I$80,2,FALSE()),"UNMAPPED"))</f>
        <v/>
      </c>
      <c r="E2273" s="36" t="str">
        <f aca="false">IF(Raw_Export!$A2273="","",IFERROR(VLOOKUP(LOWER(TRIM(Raw_Export!D2273)),Maps!$G$2:$I$80,3,FALSE()),"UNMAPPED"))</f>
        <v/>
      </c>
      <c r="F2273" s="36" t="str">
        <f aca="false">IF(Raw_Export!$A2273="","",IFERROR(VALUE(TRIM(Raw_Export!E2273)),0))</f>
        <v/>
      </c>
      <c r="G2273" s="38" t="str">
        <f aca="false">IF(Raw_Export!$A2273="","",IFERROR(VALUE(SUBSTITUTE(SUBSTITUTE(UPPER(TRIM(Raw_Export!F2273)),"KES",""),",","")),0))</f>
        <v/>
      </c>
      <c r="H2273" s="38" t="str">
        <f aca="false">IF(Raw_Export!$A2273="","",F2273*G2273)</f>
        <v/>
      </c>
      <c r="I2273" s="36" t="str">
        <f aca="false">IF(Raw_Export!$A2273="","",IFERROR(VLOOKUP(LOWER(TRIM(Raw_Export!H2273)),Maps!$D$2:$E$12,2,FALSE()),"Other"))</f>
        <v/>
      </c>
      <c r="J2273" s="36" t="str">
        <f aca="false">IF(Raw_Export!$A2273="","",IF(COUNTIF($A$2:A2273,A2273)&gt;1,"Duplicate",""))</f>
        <v/>
      </c>
      <c r="K2273" s="36" t="str">
        <f aca="false">IF(Raw_Export!$A2273="","",IF(J2273="Duplicate","Duplicate",IF(OR(C2273="UNMAPPED",D2273="UNMAPPED"),"Unmapped",IF(F2273=0,"Blank qty",IF(F2273&lt;0,"Return","OK")))))</f>
        <v/>
      </c>
      <c r="L2273" s="36" t="str">
        <f aca="false">IF(Raw_Export!$A2273="","",IF(OR(K2273="OK",K2273="Return"),1,0))</f>
        <v/>
      </c>
      <c r="M2273" s="37" t="str">
        <f aca="false">IF(Raw_Export!$A2273="","",B2273-WEEKDAY(B2273,2)+1)</f>
        <v/>
      </c>
    </row>
    <row r="2274" customFormat="false" ht="15" hidden="false" customHeight="false" outlineLevel="0" collapsed="false">
      <c r="A2274" s="36" t="str">
        <f aca="false">IF(Raw_Export!$A2274="","",TRIM(Raw_Export!A2274))</f>
        <v/>
      </c>
      <c r="B2274" s="37" t="str">
        <f aca="false">IF(Raw_Export!$A2274="","",IF(ISNUMBER(Raw_Export!B2274),Raw_Export!B2274,IF(MID(TRIM(Raw_Export!B2274),5,1)="-",DATE(LEFT(TRIM(Raw_Export!B2274),4),MID(TRIM(Raw_Export!B2274),6,2),RIGHT(TRIM(Raw_Export!B2274),2)),DATE(RIGHT(TRIM(Raw_Export!B2274),4),MATCH(MID(TRIM(Raw_Export!B2274),4,3),{"Jan","Feb","Mar","Apr","May","Jun","Jul","Aug","Sep","Oct","Nov","Dec"},0),LEFT(TRIM(Raw_Export!B2274),2)))))</f>
        <v/>
      </c>
      <c r="C2274" s="36" t="str">
        <f aca="false">IF(Raw_Export!$A2274="","",IFERROR(VLOOKUP(LOWER(TRIM(Raw_Export!C2274)),Maps!$A$2:$B$20,2,FALSE()),"UNMAPPED"))</f>
        <v/>
      </c>
      <c r="D2274" s="36" t="str">
        <f aca="false">IF(Raw_Export!$A2274="","",IFERROR(VLOOKUP(LOWER(TRIM(Raw_Export!D2274)),Maps!$G$2:$I$80,2,FALSE()),"UNMAPPED"))</f>
        <v/>
      </c>
      <c r="E2274" s="36" t="str">
        <f aca="false">IF(Raw_Export!$A2274="","",IFERROR(VLOOKUP(LOWER(TRIM(Raw_Export!D2274)),Maps!$G$2:$I$80,3,FALSE()),"UNMAPPED"))</f>
        <v/>
      </c>
      <c r="F2274" s="36" t="str">
        <f aca="false">IF(Raw_Export!$A2274="","",IFERROR(VALUE(TRIM(Raw_Export!E2274)),0))</f>
        <v/>
      </c>
      <c r="G2274" s="38" t="str">
        <f aca="false">IF(Raw_Export!$A2274="","",IFERROR(VALUE(SUBSTITUTE(SUBSTITUTE(UPPER(TRIM(Raw_Export!F2274)),"KES",""),",","")),0))</f>
        <v/>
      </c>
      <c r="H2274" s="38" t="str">
        <f aca="false">IF(Raw_Export!$A2274="","",F2274*G2274)</f>
        <v/>
      </c>
      <c r="I2274" s="36" t="str">
        <f aca="false">IF(Raw_Export!$A2274="","",IFERROR(VLOOKUP(LOWER(TRIM(Raw_Export!H2274)),Maps!$D$2:$E$12,2,FALSE()),"Other"))</f>
        <v/>
      </c>
      <c r="J2274" s="36" t="str">
        <f aca="false">IF(Raw_Export!$A2274="","",IF(COUNTIF($A$2:A2274,A2274)&gt;1,"Duplicate",""))</f>
        <v/>
      </c>
      <c r="K2274" s="36" t="str">
        <f aca="false">IF(Raw_Export!$A2274="","",IF(J2274="Duplicate","Duplicate",IF(OR(C2274="UNMAPPED",D2274="UNMAPPED"),"Unmapped",IF(F2274=0,"Blank qty",IF(F2274&lt;0,"Return","OK")))))</f>
        <v/>
      </c>
      <c r="L2274" s="36" t="str">
        <f aca="false">IF(Raw_Export!$A2274="","",IF(OR(K2274="OK",K2274="Return"),1,0))</f>
        <v/>
      </c>
      <c r="M2274" s="37" t="str">
        <f aca="false">IF(Raw_Export!$A2274="","",B2274-WEEKDAY(B2274,2)+1)</f>
        <v/>
      </c>
    </row>
    <row r="2275" customFormat="false" ht="15" hidden="false" customHeight="false" outlineLevel="0" collapsed="false">
      <c r="A2275" s="36" t="str">
        <f aca="false">IF(Raw_Export!$A2275="","",TRIM(Raw_Export!A2275))</f>
        <v/>
      </c>
      <c r="B2275" s="37" t="str">
        <f aca="false">IF(Raw_Export!$A2275="","",IF(ISNUMBER(Raw_Export!B2275),Raw_Export!B2275,IF(MID(TRIM(Raw_Export!B2275),5,1)="-",DATE(LEFT(TRIM(Raw_Export!B2275),4),MID(TRIM(Raw_Export!B2275),6,2),RIGHT(TRIM(Raw_Export!B2275),2)),DATE(RIGHT(TRIM(Raw_Export!B2275),4),MATCH(MID(TRIM(Raw_Export!B2275),4,3),{"Jan","Feb","Mar","Apr","May","Jun","Jul","Aug","Sep","Oct","Nov","Dec"},0),LEFT(TRIM(Raw_Export!B2275),2)))))</f>
        <v/>
      </c>
      <c r="C2275" s="36" t="str">
        <f aca="false">IF(Raw_Export!$A2275="","",IFERROR(VLOOKUP(LOWER(TRIM(Raw_Export!C2275)),Maps!$A$2:$B$20,2,FALSE()),"UNMAPPED"))</f>
        <v/>
      </c>
      <c r="D2275" s="36" t="str">
        <f aca="false">IF(Raw_Export!$A2275="","",IFERROR(VLOOKUP(LOWER(TRIM(Raw_Export!D2275)),Maps!$G$2:$I$80,2,FALSE()),"UNMAPPED"))</f>
        <v/>
      </c>
      <c r="E2275" s="36" t="str">
        <f aca="false">IF(Raw_Export!$A2275="","",IFERROR(VLOOKUP(LOWER(TRIM(Raw_Export!D2275)),Maps!$G$2:$I$80,3,FALSE()),"UNMAPPED"))</f>
        <v/>
      </c>
      <c r="F2275" s="36" t="str">
        <f aca="false">IF(Raw_Export!$A2275="","",IFERROR(VALUE(TRIM(Raw_Export!E2275)),0))</f>
        <v/>
      </c>
      <c r="G2275" s="38" t="str">
        <f aca="false">IF(Raw_Export!$A2275="","",IFERROR(VALUE(SUBSTITUTE(SUBSTITUTE(UPPER(TRIM(Raw_Export!F2275)),"KES",""),",","")),0))</f>
        <v/>
      </c>
      <c r="H2275" s="38" t="str">
        <f aca="false">IF(Raw_Export!$A2275="","",F2275*G2275)</f>
        <v/>
      </c>
      <c r="I2275" s="36" t="str">
        <f aca="false">IF(Raw_Export!$A2275="","",IFERROR(VLOOKUP(LOWER(TRIM(Raw_Export!H2275)),Maps!$D$2:$E$12,2,FALSE()),"Other"))</f>
        <v/>
      </c>
      <c r="J2275" s="36" t="str">
        <f aca="false">IF(Raw_Export!$A2275="","",IF(COUNTIF($A$2:A2275,A2275)&gt;1,"Duplicate",""))</f>
        <v/>
      </c>
      <c r="K2275" s="36" t="str">
        <f aca="false">IF(Raw_Export!$A2275="","",IF(J2275="Duplicate","Duplicate",IF(OR(C2275="UNMAPPED",D2275="UNMAPPED"),"Unmapped",IF(F2275=0,"Blank qty",IF(F2275&lt;0,"Return","OK")))))</f>
        <v/>
      </c>
      <c r="L2275" s="36" t="str">
        <f aca="false">IF(Raw_Export!$A2275="","",IF(OR(K2275="OK",K2275="Return"),1,0))</f>
        <v/>
      </c>
      <c r="M2275" s="37" t="str">
        <f aca="false">IF(Raw_Export!$A2275="","",B2275-WEEKDAY(B2275,2)+1)</f>
        <v/>
      </c>
    </row>
    <row r="2276" customFormat="false" ht="15" hidden="false" customHeight="false" outlineLevel="0" collapsed="false">
      <c r="A2276" s="36" t="str">
        <f aca="false">IF(Raw_Export!$A2276="","",TRIM(Raw_Export!A2276))</f>
        <v/>
      </c>
      <c r="B2276" s="37" t="str">
        <f aca="false">IF(Raw_Export!$A2276="","",IF(ISNUMBER(Raw_Export!B2276),Raw_Export!B2276,IF(MID(TRIM(Raw_Export!B2276),5,1)="-",DATE(LEFT(TRIM(Raw_Export!B2276),4),MID(TRIM(Raw_Export!B2276),6,2),RIGHT(TRIM(Raw_Export!B2276),2)),DATE(RIGHT(TRIM(Raw_Export!B2276),4),MATCH(MID(TRIM(Raw_Export!B2276),4,3),{"Jan","Feb","Mar","Apr","May","Jun","Jul","Aug","Sep","Oct","Nov","Dec"},0),LEFT(TRIM(Raw_Export!B2276),2)))))</f>
        <v/>
      </c>
      <c r="C2276" s="36" t="str">
        <f aca="false">IF(Raw_Export!$A2276="","",IFERROR(VLOOKUP(LOWER(TRIM(Raw_Export!C2276)),Maps!$A$2:$B$20,2,FALSE()),"UNMAPPED"))</f>
        <v/>
      </c>
      <c r="D2276" s="36" t="str">
        <f aca="false">IF(Raw_Export!$A2276="","",IFERROR(VLOOKUP(LOWER(TRIM(Raw_Export!D2276)),Maps!$G$2:$I$80,2,FALSE()),"UNMAPPED"))</f>
        <v/>
      </c>
      <c r="E2276" s="36" t="str">
        <f aca="false">IF(Raw_Export!$A2276="","",IFERROR(VLOOKUP(LOWER(TRIM(Raw_Export!D2276)),Maps!$G$2:$I$80,3,FALSE()),"UNMAPPED"))</f>
        <v/>
      </c>
      <c r="F2276" s="36" t="str">
        <f aca="false">IF(Raw_Export!$A2276="","",IFERROR(VALUE(TRIM(Raw_Export!E2276)),0))</f>
        <v/>
      </c>
      <c r="G2276" s="38" t="str">
        <f aca="false">IF(Raw_Export!$A2276="","",IFERROR(VALUE(SUBSTITUTE(SUBSTITUTE(UPPER(TRIM(Raw_Export!F2276)),"KES",""),",","")),0))</f>
        <v/>
      </c>
      <c r="H2276" s="38" t="str">
        <f aca="false">IF(Raw_Export!$A2276="","",F2276*G2276)</f>
        <v/>
      </c>
      <c r="I2276" s="36" t="str">
        <f aca="false">IF(Raw_Export!$A2276="","",IFERROR(VLOOKUP(LOWER(TRIM(Raw_Export!H2276)),Maps!$D$2:$E$12,2,FALSE()),"Other"))</f>
        <v/>
      </c>
      <c r="J2276" s="36" t="str">
        <f aca="false">IF(Raw_Export!$A2276="","",IF(COUNTIF($A$2:A2276,A2276)&gt;1,"Duplicate",""))</f>
        <v/>
      </c>
      <c r="K2276" s="36" t="str">
        <f aca="false">IF(Raw_Export!$A2276="","",IF(J2276="Duplicate","Duplicate",IF(OR(C2276="UNMAPPED",D2276="UNMAPPED"),"Unmapped",IF(F2276=0,"Blank qty",IF(F2276&lt;0,"Return","OK")))))</f>
        <v/>
      </c>
      <c r="L2276" s="36" t="str">
        <f aca="false">IF(Raw_Export!$A2276="","",IF(OR(K2276="OK",K2276="Return"),1,0))</f>
        <v/>
      </c>
      <c r="M2276" s="37" t="str">
        <f aca="false">IF(Raw_Export!$A2276="","",B2276-WEEKDAY(B2276,2)+1)</f>
        <v/>
      </c>
    </row>
    <row r="2277" customFormat="false" ht="15" hidden="false" customHeight="false" outlineLevel="0" collapsed="false">
      <c r="A2277" s="36" t="str">
        <f aca="false">IF(Raw_Export!$A2277="","",TRIM(Raw_Export!A2277))</f>
        <v/>
      </c>
      <c r="B2277" s="37" t="str">
        <f aca="false">IF(Raw_Export!$A2277="","",IF(ISNUMBER(Raw_Export!B2277),Raw_Export!B2277,IF(MID(TRIM(Raw_Export!B2277),5,1)="-",DATE(LEFT(TRIM(Raw_Export!B2277),4),MID(TRIM(Raw_Export!B2277),6,2),RIGHT(TRIM(Raw_Export!B2277),2)),DATE(RIGHT(TRIM(Raw_Export!B2277),4),MATCH(MID(TRIM(Raw_Export!B2277),4,3),{"Jan","Feb","Mar","Apr","May","Jun","Jul","Aug","Sep","Oct","Nov","Dec"},0),LEFT(TRIM(Raw_Export!B2277),2)))))</f>
        <v/>
      </c>
      <c r="C2277" s="36" t="str">
        <f aca="false">IF(Raw_Export!$A2277="","",IFERROR(VLOOKUP(LOWER(TRIM(Raw_Export!C2277)),Maps!$A$2:$B$20,2,FALSE()),"UNMAPPED"))</f>
        <v/>
      </c>
      <c r="D2277" s="36" t="str">
        <f aca="false">IF(Raw_Export!$A2277="","",IFERROR(VLOOKUP(LOWER(TRIM(Raw_Export!D2277)),Maps!$G$2:$I$80,2,FALSE()),"UNMAPPED"))</f>
        <v/>
      </c>
      <c r="E2277" s="36" t="str">
        <f aca="false">IF(Raw_Export!$A2277="","",IFERROR(VLOOKUP(LOWER(TRIM(Raw_Export!D2277)),Maps!$G$2:$I$80,3,FALSE()),"UNMAPPED"))</f>
        <v/>
      </c>
      <c r="F2277" s="36" t="str">
        <f aca="false">IF(Raw_Export!$A2277="","",IFERROR(VALUE(TRIM(Raw_Export!E2277)),0))</f>
        <v/>
      </c>
      <c r="G2277" s="38" t="str">
        <f aca="false">IF(Raw_Export!$A2277="","",IFERROR(VALUE(SUBSTITUTE(SUBSTITUTE(UPPER(TRIM(Raw_Export!F2277)),"KES",""),",","")),0))</f>
        <v/>
      </c>
      <c r="H2277" s="38" t="str">
        <f aca="false">IF(Raw_Export!$A2277="","",F2277*G2277)</f>
        <v/>
      </c>
      <c r="I2277" s="36" t="str">
        <f aca="false">IF(Raw_Export!$A2277="","",IFERROR(VLOOKUP(LOWER(TRIM(Raw_Export!H2277)),Maps!$D$2:$E$12,2,FALSE()),"Other"))</f>
        <v/>
      </c>
      <c r="J2277" s="36" t="str">
        <f aca="false">IF(Raw_Export!$A2277="","",IF(COUNTIF($A$2:A2277,A2277)&gt;1,"Duplicate",""))</f>
        <v/>
      </c>
      <c r="K2277" s="36" t="str">
        <f aca="false">IF(Raw_Export!$A2277="","",IF(J2277="Duplicate","Duplicate",IF(OR(C2277="UNMAPPED",D2277="UNMAPPED"),"Unmapped",IF(F2277=0,"Blank qty",IF(F2277&lt;0,"Return","OK")))))</f>
        <v/>
      </c>
      <c r="L2277" s="36" t="str">
        <f aca="false">IF(Raw_Export!$A2277="","",IF(OR(K2277="OK",K2277="Return"),1,0))</f>
        <v/>
      </c>
      <c r="M2277" s="37" t="str">
        <f aca="false">IF(Raw_Export!$A2277="","",B2277-WEEKDAY(B2277,2)+1)</f>
        <v/>
      </c>
    </row>
    <row r="2278" customFormat="false" ht="15" hidden="false" customHeight="false" outlineLevel="0" collapsed="false">
      <c r="A2278" s="36" t="str">
        <f aca="false">IF(Raw_Export!$A2278="","",TRIM(Raw_Export!A2278))</f>
        <v/>
      </c>
      <c r="B2278" s="37" t="str">
        <f aca="false">IF(Raw_Export!$A2278="","",IF(ISNUMBER(Raw_Export!B2278),Raw_Export!B2278,IF(MID(TRIM(Raw_Export!B2278),5,1)="-",DATE(LEFT(TRIM(Raw_Export!B2278),4),MID(TRIM(Raw_Export!B2278),6,2),RIGHT(TRIM(Raw_Export!B2278),2)),DATE(RIGHT(TRIM(Raw_Export!B2278),4),MATCH(MID(TRIM(Raw_Export!B2278),4,3),{"Jan","Feb","Mar","Apr","May","Jun","Jul","Aug","Sep","Oct","Nov","Dec"},0),LEFT(TRIM(Raw_Export!B2278),2)))))</f>
        <v/>
      </c>
      <c r="C2278" s="36" t="str">
        <f aca="false">IF(Raw_Export!$A2278="","",IFERROR(VLOOKUP(LOWER(TRIM(Raw_Export!C2278)),Maps!$A$2:$B$20,2,FALSE()),"UNMAPPED"))</f>
        <v/>
      </c>
      <c r="D2278" s="36" t="str">
        <f aca="false">IF(Raw_Export!$A2278="","",IFERROR(VLOOKUP(LOWER(TRIM(Raw_Export!D2278)),Maps!$G$2:$I$80,2,FALSE()),"UNMAPPED"))</f>
        <v/>
      </c>
      <c r="E2278" s="36" t="str">
        <f aca="false">IF(Raw_Export!$A2278="","",IFERROR(VLOOKUP(LOWER(TRIM(Raw_Export!D2278)),Maps!$G$2:$I$80,3,FALSE()),"UNMAPPED"))</f>
        <v/>
      </c>
      <c r="F2278" s="36" t="str">
        <f aca="false">IF(Raw_Export!$A2278="","",IFERROR(VALUE(TRIM(Raw_Export!E2278)),0))</f>
        <v/>
      </c>
      <c r="G2278" s="38" t="str">
        <f aca="false">IF(Raw_Export!$A2278="","",IFERROR(VALUE(SUBSTITUTE(SUBSTITUTE(UPPER(TRIM(Raw_Export!F2278)),"KES",""),",","")),0))</f>
        <v/>
      </c>
      <c r="H2278" s="38" t="str">
        <f aca="false">IF(Raw_Export!$A2278="","",F2278*G2278)</f>
        <v/>
      </c>
      <c r="I2278" s="36" t="str">
        <f aca="false">IF(Raw_Export!$A2278="","",IFERROR(VLOOKUP(LOWER(TRIM(Raw_Export!H2278)),Maps!$D$2:$E$12,2,FALSE()),"Other"))</f>
        <v/>
      </c>
      <c r="J2278" s="36" t="str">
        <f aca="false">IF(Raw_Export!$A2278="","",IF(COUNTIF($A$2:A2278,A2278)&gt;1,"Duplicate",""))</f>
        <v/>
      </c>
      <c r="K2278" s="36" t="str">
        <f aca="false">IF(Raw_Export!$A2278="","",IF(J2278="Duplicate","Duplicate",IF(OR(C2278="UNMAPPED",D2278="UNMAPPED"),"Unmapped",IF(F2278=0,"Blank qty",IF(F2278&lt;0,"Return","OK")))))</f>
        <v/>
      </c>
      <c r="L2278" s="36" t="str">
        <f aca="false">IF(Raw_Export!$A2278="","",IF(OR(K2278="OK",K2278="Return"),1,0))</f>
        <v/>
      </c>
      <c r="M2278" s="37" t="str">
        <f aca="false">IF(Raw_Export!$A2278="","",B2278-WEEKDAY(B2278,2)+1)</f>
        <v/>
      </c>
    </row>
    <row r="2279" customFormat="false" ht="15" hidden="false" customHeight="false" outlineLevel="0" collapsed="false">
      <c r="A2279" s="36" t="str">
        <f aca="false">IF(Raw_Export!$A2279="","",TRIM(Raw_Export!A2279))</f>
        <v/>
      </c>
      <c r="B2279" s="37" t="str">
        <f aca="false">IF(Raw_Export!$A2279="","",IF(ISNUMBER(Raw_Export!B2279),Raw_Export!B2279,IF(MID(TRIM(Raw_Export!B2279),5,1)="-",DATE(LEFT(TRIM(Raw_Export!B2279),4),MID(TRIM(Raw_Export!B2279),6,2),RIGHT(TRIM(Raw_Export!B2279),2)),DATE(RIGHT(TRIM(Raw_Export!B2279),4),MATCH(MID(TRIM(Raw_Export!B2279),4,3),{"Jan","Feb","Mar","Apr","May","Jun","Jul","Aug","Sep","Oct","Nov","Dec"},0),LEFT(TRIM(Raw_Export!B2279),2)))))</f>
        <v/>
      </c>
      <c r="C2279" s="36" t="str">
        <f aca="false">IF(Raw_Export!$A2279="","",IFERROR(VLOOKUP(LOWER(TRIM(Raw_Export!C2279)),Maps!$A$2:$B$20,2,FALSE()),"UNMAPPED"))</f>
        <v/>
      </c>
      <c r="D2279" s="36" t="str">
        <f aca="false">IF(Raw_Export!$A2279="","",IFERROR(VLOOKUP(LOWER(TRIM(Raw_Export!D2279)),Maps!$G$2:$I$80,2,FALSE()),"UNMAPPED"))</f>
        <v/>
      </c>
      <c r="E2279" s="36" t="str">
        <f aca="false">IF(Raw_Export!$A2279="","",IFERROR(VLOOKUP(LOWER(TRIM(Raw_Export!D2279)),Maps!$G$2:$I$80,3,FALSE()),"UNMAPPED"))</f>
        <v/>
      </c>
      <c r="F2279" s="36" t="str">
        <f aca="false">IF(Raw_Export!$A2279="","",IFERROR(VALUE(TRIM(Raw_Export!E2279)),0))</f>
        <v/>
      </c>
      <c r="G2279" s="38" t="str">
        <f aca="false">IF(Raw_Export!$A2279="","",IFERROR(VALUE(SUBSTITUTE(SUBSTITUTE(UPPER(TRIM(Raw_Export!F2279)),"KES",""),",","")),0))</f>
        <v/>
      </c>
      <c r="H2279" s="38" t="str">
        <f aca="false">IF(Raw_Export!$A2279="","",F2279*G2279)</f>
        <v/>
      </c>
      <c r="I2279" s="36" t="str">
        <f aca="false">IF(Raw_Export!$A2279="","",IFERROR(VLOOKUP(LOWER(TRIM(Raw_Export!H2279)),Maps!$D$2:$E$12,2,FALSE()),"Other"))</f>
        <v/>
      </c>
      <c r="J2279" s="36" t="str">
        <f aca="false">IF(Raw_Export!$A2279="","",IF(COUNTIF($A$2:A2279,A2279)&gt;1,"Duplicate",""))</f>
        <v/>
      </c>
      <c r="K2279" s="36" t="str">
        <f aca="false">IF(Raw_Export!$A2279="","",IF(J2279="Duplicate","Duplicate",IF(OR(C2279="UNMAPPED",D2279="UNMAPPED"),"Unmapped",IF(F2279=0,"Blank qty",IF(F2279&lt;0,"Return","OK")))))</f>
        <v/>
      </c>
      <c r="L2279" s="36" t="str">
        <f aca="false">IF(Raw_Export!$A2279="","",IF(OR(K2279="OK",K2279="Return"),1,0))</f>
        <v/>
      </c>
      <c r="M2279" s="37" t="str">
        <f aca="false">IF(Raw_Export!$A2279="","",B2279-WEEKDAY(B2279,2)+1)</f>
        <v/>
      </c>
    </row>
    <row r="2280" customFormat="false" ht="15" hidden="false" customHeight="false" outlineLevel="0" collapsed="false">
      <c r="A2280" s="36" t="str">
        <f aca="false">IF(Raw_Export!$A2280="","",TRIM(Raw_Export!A2280))</f>
        <v/>
      </c>
      <c r="B2280" s="37" t="str">
        <f aca="false">IF(Raw_Export!$A2280="","",IF(ISNUMBER(Raw_Export!B2280),Raw_Export!B2280,IF(MID(TRIM(Raw_Export!B2280),5,1)="-",DATE(LEFT(TRIM(Raw_Export!B2280),4),MID(TRIM(Raw_Export!B2280),6,2),RIGHT(TRIM(Raw_Export!B2280),2)),DATE(RIGHT(TRIM(Raw_Export!B2280),4),MATCH(MID(TRIM(Raw_Export!B2280),4,3),{"Jan","Feb","Mar","Apr","May","Jun","Jul","Aug","Sep","Oct","Nov","Dec"},0),LEFT(TRIM(Raw_Export!B2280),2)))))</f>
        <v/>
      </c>
      <c r="C2280" s="36" t="str">
        <f aca="false">IF(Raw_Export!$A2280="","",IFERROR(VLOOKUP(LOWER(TRIM(Raw_Export!C2280)),Maps!$A$2:$B$20,2,FALSE()),"UNMAPPED"))</f>
        <v/>
      </c>
      <c r="D2280" s="36" t="str">
        <f aca="false">IF(Raw_Export!$A2280="","",IFERROR(VLOOKUP(LOWER(TRIM(Raw_Export!D2280)),Maps!$G$2:$I$80,2,FALSE()),"UNMAPPED"))</f>
        <v/>
      </c>
      <c r="E2280" s="36" t="str">
        <f aca="false">IF(Raw_Export!$A2280="","",IFERROR(VLOOKUP(LOWER(TRIM(Raw_Export!D2280)),Maps!$G$2:$I$80,3,FALSE()),"UNMAPPED"))</f>
        <v/>
      </c>
      <c r="F2280" s="36" t="str">
        <f aca="false">IF(Raw_Export!$A2280="","",IFERROR(VALUE(TRIM(Raw_Export!E2280)),0))</f>
        <v/>
      </c>
      <c r="G2280" s="38" t="str">
        <f aca="false">IF(Raw_Export!$A2280="","",IFERROR(VALUE(SUBSTITUTE(SUBSTITUTE(UPPER(TRIM(Raw_Export!F2280)),"KES",""),",","")),0))</f>
        <v/>
      </c>
      <c r="H2280" s="38" t="str">
        <f aca="false">IF(Raw_Export!$A2280="","",F2280*G2280)</f>
        <v/>
      </c>
      <c r="I2280" s="36" t="str">
        <f aca="false">IF(Raw_Export!$A2280="","",IFERROR(VLOOKUP(LOWER(TRIM(Raw_Export!H2280)),Maps!$D$2:$E$12,2,FALSE()),"Other"))</f>
        <v/>
      </c>
      <c r="J2280" s="36" t="str">
        <f aca="false">IF(Raw_Export!$A2280="","",IF(COUNTIF($A$2:A2280,A2280)&gt;1,"Duplicate",""))</f>
        <v/>
      </c>
      <c r="K2280" s="36" t="str">
        <f aca="false">IF(Raw_Export!$A2280="","",IF(J2280="Duplicate","Duplicate",IF(OR(C2280="UNMAPPED",D2280="UNMAPPED"),"Unmapped",IF(F2280=0,"Blank qty",IF(F2280&lt;0,"Return","OK")))))</f>
        <v/>
      </c>
      <c r="L2280" s="36" t="str">
        <f aca="false">IF(Raw_Export!$A2280="","",IF(OR(K2280="OK",K2280="Return"),1,0))</f>
        <v/>
      </c>
      <c r="M2280" s="37" t="str">
        <f aca="false">IF(Raw_Export!$A2280="","",B2280-WEEKDAY(B2280,2)+1)</f>
        <v/>
      </c>
    </row>
    <row r="2281" customFormat="false" ht="15" hidden="false" customHeight="false" outlineLevel="0" collapsed="false">
      <c r="A2281" s="36" t="str">
        <f aca="false">IF(Raw_Export!$A2281="","",TRIM(Raw_Export!A2281))</f>
        <v/>
      </c>
      <c r="B2281" s="37" t="str">
        <f aca="false">IF(Raw_Export!$A2281="","",IF(ISNUMBER(Raw_Export!B2281),Raw_Export!B2281,IF(MID(TRIM(Raw_Export!B2281),5,1)="-",DATE(LEFT(TRIM(Raw_Export!B2281),4),MID(TRIM(Raw_Export!B2281),6,2),RIGHT(TRIM(Raw_Export!B2281),2)),DATE(RIGHT(TRIM(Raw_Export!B2281),4),MATCH(MID(TRIM(Raw_Export!B2281),4,3),{"Jan","Feb","Mar","Apr","May","Jun","Jul","Aug","Sep","Oct","Nov","Dec"},0),LEFT(TRIM(Raw_Export!B2281),2)))))</f>
        <v/>
      </c>
      <c r="C2281" s="36" t="str">
        <f aca="false">IF(Raw_Export!$A2281="","",IFERROR(VLOOKUP(LOWER(TRIM(Raw_Export!C2281)),Maps!$A$2:$B$20,2,FALSE()),"UNMAPPED"))</f>
        <v/>
      </c>
      <c r="D2281" s="36" t="str">
        <f aca="false">IF(Raw_Export!$A2281="","",IFERROR(VLOOKUP(LOWER(TRIM(Raw_Export!D2281)),Maps!$G$2:$I$80,2,FALSE()),"UNMAPPED"))</f>
        <v/>
      </c>
      <c r="E2281" s="36" t="str">
        <f aca="false">IF(Raw_Export!$A2281="","",IFERROR(VLOOKUP(LOWER(TRIM(Raw_Export!D2281)),Maps!$G$2:$I$80,3,FALSE()),"UNMAPPED"))</f>
        <v/>
      </c>
      <c r="F2281" s="36" t="str">
        <f aca="false">IF(Raw_Export!$A2281="","",IFERROR(VALUE(TRIM(Raw_Export!E2281)),0))</f>
        <v/>
      </c>
      <c r="G2281" s="38" t="str">
        <f aca="false">IF(Raw_Export!$A2281="","",IFERROR(VALUE(SUBSTITUTE(SUBSTITUTE(UPPER(TRIM(Raw_Export!F2281)),"KES",""),",","")),0))</f>
        <v/>
      </c>
      <c r="H2281" s="38" t="str">
        <f aca="false">IF(Raw_Export!$A2281="","",F2281*G2281)</f>
        <v/>
      </c>
      <c r="I2281" s="36" t="str">
        <f aca="false">IF(Raw_Export!$A2281="","",IFERROR(VLOOKUP(LOWER(TRIM(Raw_Export!H2281)),Maps!$D$2:$E$12,2,FALSE()),"Other"))</f>
        <v/>
      </c>
      <c r="J2281" s="36" t="str">
        <f aca="false">IF(Raw_Export!$A2281="","",IF(COUNTIF($A$2:A2281,A2281)&gt;1,"Duplicate",""))</f>
        <v/>
      </c>
      <c r="K2281" s="36" t="str">
        <f aca="false">IF(Raw_Export!$A2281="","",IF(J2281="Duplicate","Duplicate",IF(OR(C2281="UNMAPPED",D2281="UNMAPPED"),"Unmapped",IF(F2281=0,"Blank qty",IF(F2281&lt;0,"Return","OK")))))</f>
        <v/>
      </c>
      <c r="L2281" s="36" t="str">
        <f aca="false">IF(Raw_Export!$A2281="","",IF(OR(K2281="OK",K2281="Return"),1,0))</f>
        <v/>
      </c>
      <c r="M2281" s="37" t="str">
        <f aca="false">IF(Raw_Export!$A2281="","",B2281-WEEKDAY(B2281,2)+1)</f>
        <v/>
      </c>
    </row>
    <row r="2282" customFormat="false" ht="15" hidden="false" customHeight="false" outlineLevel="0" collapsed="false">
      <c r="A2282" s="36" t="str">
        <f aca="false">IF(Raw_Export!$A2282="","",TRIM(Raw_Export!A2282))</f>
        <v/>
      </c>
      <c r="B2282" s="37" t="str">
        <f aca="false">IF(Raw_Export!$A2282="","",IF(ISNUMBER(Raw_Export!B2282),Raw_Export!B2282,IF(MID(TRIM(Raw_Export!B2282),5,1)="-",DATE(LEFT(TRIM(Raw_Export!B2282),4),MID(TRIM(Raw_Export!B2282),6,2),RIGHT(TRIM(Raw_Export!B2282),2)),DATE(RIGHT(TRIM(Raw_Export!B2282),4),MATCH(MID(TRIM(Raw_Export!B2282),4,3),{"Jan","Feb","Mar","Apr","May","Jun","Jul","Aug","Sep","Oct","Nov","Dec"},0),LEFT(TRIM(Raw_Export!B2282),2)))))</f>
        <v/>
      </c>
      <c r="C2282" s="36" t="str">
        <f aca="false">IF(Raw_Export!$A2282="","",IFERROR(VLOOKUP(LOWER(TRIM(Raw_Export!C2282)),Maps!$A$2:$B$20,2,FALSE()),"UNMAPPED"))</f>
        <v/>
      </c>
      <c r="D2282" s="36" t="str">
        <f aca="false">IF(Raw_Export!$A2282="","",IFERROR(VLOOKUP(LOWER(TRIM(Raw_Export!D2282)),Maps!$G$2:$I$80,2,FALSE()),"UNMAPPED"))</f>
        <v/>
      </c>
      <c r="E2282" s="36" t="str">
        <f aca="false">IF(Raw_Export!$A2282="","",IFERROR(VLOOKUP(LOWER(TRIM(Raw_Export!D2282)),Maps!$G$2:$I$80,3,FALSE()),"UNMAPPED"))</f>
        <v/>
      </c>
      <c r="F2282" s="36" t="str">
        <f aca="false">IF(Raw_Export!$A2282="","",IFERROR(VALUE(TRIM(Raw_Export!E2282)),0))</f>
        <v/>
      </c>
      <c r="G2282" s="38" t="str">
        <f aca="false">IF(Raw_Export!$A2282="","",IFERROR(VALUE(SUBSTITUTE(SUBSTITUTE(UPPER(TRIM(Raw_Export!F2282)),"KES",""),",","")),0))</f>
        <v/>
      </c>
      <c r="H2282" s="38" t="str">
        <f aca="false">IF(Raw_Export!$A2282="","",F2282*G2282)</f>
        <v/>
      </c>
      <c r="I2282" s="36" t="str">
        <f aca="false">IF(Raw_Export!$A2282="","",IFERROR(VLOOKUP(LOWER(TRIM(Raw_Export!H2282)),Maps!$D$2:$E$12,2,FALSE()),"Other"))</f>
        <v/>
      </c>
      <c r="J2282" s="36" t="str">
        <f aca="false">IF(Raw_Export!$A2282="","",IF(COUNTIF($A$2:A2282,A2282)&gt;1,"Duplicate",""))</f>
        <v/>
      </c>
      <c r="K2282" s="36" t="str">
        <f aca="false">IF(Raw_Export!$A2282="","",IF(J2282="Duplicate","Duplicate",IF(OR(C2282="UNMAPPED",D2282="UNMAPPED"),"Unmapped",IF(F2282=0,"Blank qty",IF(F2282&lt;0,"Return","OK")))))</f>
        <v/>
      </c>
      <c r="L2282" s="36" t="str">
        <f aca="false">IF(Raw_Export!$A2282="","",IF(OR(K2282="OK",K2282="Return"),1,0))</f>
        <v/>
      </c>
      <c r="M2282" s="37" t="str">
        <f aca="false">IF(Raw_Export!$A2282="","",B2282-WEEKDAY(B2282,2)+1)</f>
        <v/>
      </c>
    </row>
    <row r="2283" customFormat="false" ht="15" hidden="false" customHeight="false" outlineLevel="0" collapsed="false">
      <c r="A2283" s="36" t="str">
        <f aca="false">IF(Raw_Export!$A2283="","",TRIM(Raw_Export!A2283))</f>
        <v/>
      </c>
      <c r="B2283" s="37" t="str">
        <f aca="false">IF(Raw_Export!$A2283="","",IF(ISNUMBER(Raw_Export!B2283),Raw_Export!B2283,IF(MID(TRIM(Raw_Export!B2283),5,1)="-",DATE(LEFT(TRIM(Raw_Export!B2283),4),MID(TRIM(Raw_Export!B2283),6,2),RIGHT(TRIM(Raw_Export!B2283),2)),DATE(RIGHT(TRIM(Raw_Export!B2283),4),MATCH(MID(TRIM(Raw_Export!B2283),4,3),{"Jan","Feb","Mar","Apr","May","Jun","Jul","Aug","Sep","Oct","Nov","Dec"},0),LEFT(TRIM(Raw_Export!B2283),2)))))</f>
        <v/>
      </c>
      <c r="C2283" s="36" t="str">
        <f aca="false">IF(Raw_Export!$A2283="","",IFERROR(VLOOKUP(LOWER(TRIM(Raw_Export!C2283)),Maps!$A$2:$B$20,2,FALSE()),"UNMAPPED"))</f>
        <v/>
      </c>
      <c r="D2283" s="36" t="str">
        <f aca="false">IF(Raw_Export!$A2283="","",IFERROR(VLOOKUP(LOWER(TRIM(Raw_Export!D2283)),Maps!$G$2:$I$80,2,FALSE()),"UNMAPPED"))</f>
        <v/>
      </c>
      <c r="E2283" s="36" t="str">
        <f aca="false">IF(Raw_Export!$A2283="","",IFERROR(VLOOKUP(LOWER(TRIM(Raw_Export!D2283)),Maps!$G$2:$I$80,3,FALSE()),"UNMAPPED"))</f>
        <v/>
      </c>
      <c r="F2283" s="36" t="str">
        <f aca="false">IF(Raw_Export!$A2283="","",IFERROR(VALUE(TRIM(Raw_Export!E2283)),0))</f>
        <v/>
      </c>
      <c r="G2283" s="38" t="str">
        <f aca="false">IF(Raw_Export!$A2283="","",IFERROR(VALUE(SUBSTITUTE(SUBSTITUTE(UPPER(TRIM(Raw_Export!F2283)),"KES",""),",","")),0))</f>
        <v/>
      </c>
      <c r="H2283" s="38" t="str">
        <f aca="false">IF(Raw_Export!$A2283="","",F2283*G2283)</f>
        <v/>
      </c>
      <c r="I2283" s="36" t="str">
        <f aca="false">IF(Raw_Export!$A2283="","",IFERROR(VLOOKUP(LOWER(TRIM(Raw_Export!H2283)),Maps!$D$2:$E$12,2,FALSE()),"Other"))</f>
        <v/>
      </c>
      <c r="J2283" s="36" t="str">
        <f aca="false">IF(Raw_Export!$A2283="","",IF(COUNTIF($A$2:A2283,A2283)&gt;1,"Duplicate",""))</f>
        <v/>
      </c>
      <c r="K2283" s="36" t="str">
        <f aca="false">IF(Raw_Export!$A2283="","",IF(J2283="Duplicate","Duplicate",IF(OR(C2283="UNMAPPED",D2283="UNMAPPED"),"Unmapped",IF(F2283=0,"Blank qty",IF(F2283&lt;0,"Return","OK")))))</f>
        <v/>
      </c>
      <c r="L2283" s="36" t="str">
        <f aca="false">IF(Raw_Export!$A2283="","",IF(OR(K2283="OK",K2283="Return"),1,0))</f>
        <v/>
      </c>
      <c r="M2283" s="37" t="str">
        <f aca="false">IF(Raw_Export!$A2283="","",B2283-WEEKDAY(B2283,2)+1)</f>
        <v/>
      </c>
    </row>
    <row r="2284" customFormat="false" ht="15" hidden="false" customHeight="false" outlineLevel="0" collapsed="false">
      <c r="A2284" s="36" t="str">
        <f aca="false">IF(Raw_Export!$A2284="","",TRIM(Raw_Export!A2284))</f>
        <v/>
      </c>
      <c r="B2284" s="37" t="str">
        <f aca="false">IF(Raw_Export!$A2284="","",IF(ISNUMBER(Raw_Export!B2284),Raw_Export!B2284,IF(MID(TRIM(Raw_Export!B2284),5,1)="-",DATE(LEFT(TRIM(Raw_Export!B2284),4),MID(TRIM(Raw_Export!B2284),6,2),RIGHT(TRIM(Raw_Export!B2284),2)),DATE(RIGHT(TRIM(Raw_Export!B2284),4),MATCH(MID(TRIM(Raw_Export!B2284),4,3),{"Jan","Feb","Mar","Apr","May","Jun","Jul","Aug","Sep","Oct","Nov","Dec"},0),LEFT(TRIM(Raw_Export!B2284),2)))))</f>
        <v/>
      </c>
      <c r="C2284" s="36" t="str">
        <f aca="false">IF(Raw_Export!$A2284="","",IFERROR(VLOOKUP(LOWER(TRIM(Raw_Export!C2284)),Maps!$A$2:$B$20,2,FALSE()),"UNMAPPED"))</f>
        <v/>
      </c>
      <c r="D2284" s="36" t="str">
        <f aca="false">IF(Raw_Export!$A2284="","",IFERROR(VLOOKUP(LOWER(TRIM(Raw_Export!D2284)),Maps!$G$2:$I$80,2,FALSE()),"UNMAPPED"))</f>
        <v/>
      </c>
      <c r="E2284" s="36" t="str">
        <f aca="false">IF(Raw_Export!$A2284="","",IFERROR(VLOOKUP(LOWER(TRIM(Raw_Export!D2284)),Maps!$G$2:$I$80,3,FALSE()),"UNMAPPED"))</f>
        <v/>
      </c>
      <c r="F2284" s="36" t="str">
        <f aca="false">IF(Raw_Export!$A2284="","",IFERROR(VALUE(TRIM(Raw_Export!E2284)),0))</f>
        <v/>
      </c>
      <c r="G2284" s="38" t="str">
        <f aca="false">IF(Raw_Export!$A2284="","",IFERROR(VALUE(SUBSTITUTE(SUBSTITUTE(UPPER(TRIM(Raw_Export!F2284)),"KES",""),",","")),0))</f>
        <v/>
      </c>
      <c r="H2284" s="38" t="str">
        <f aca="false">IF(Raw_Export!$A2284="","",F2284*G2284)</f>
        <v/>
      </c>
      <c r="I2284" s="36" t="str">
        <f aca="false">IF(Raw_Export!$A2284="","",IFERROR(VLOOKUP(LOWER(TRIM(Raw_Export!H2284)),Maps!$D$2:$E$12,2,FALSE()),"Other"))</f>
        <v/>
      </c>
      <c r="J2284" s="36" t="str">
        <f aca="false">IF(Raw_Export!$A2284="","",IF(COUNTIF($A$2:A2284,A2284)&gt;1,"Duplicate",""))</f>
        <v/>
      </c>
      <c r="K2284" s="36" t="str">
        <f aca="false">IF(Raw_Export!$A2284="","",IF(J2284="Duplicate","Duplicate",IF(OR(C2284="UNMAPPED",D2284="UNMAPPED"),"Unmapped",IF(F2284=0,"Blank qty",IF(F2284&lt;0,"Return","OK")))))</f>
        <v/>
      </c>
      <c r="L2284" s="36" t="str">
        <f aca="false">IF(Raw_Export!$A2284="","",IF(OR(K2284="OK",K2284="Return"),1,0))</f>
        <v/>
      </c>
      <c r="M2284" s="37" t="str">
        <f aca="false">IF(Raw_Export!$A2284="","",B2284-WEEKDAY(B2284,2)+1)</f>
        <v/>
      </c>
    </row>
    <row r="2285" customFormat="false" ht="15" hidden="false" customHeight="false" outlineLevel="0" collapsed="false">
      <c r="A2285" s="36" t="str">
        <f aca="false">IF(Raw_Export!$A2285="","",TRIM(Raw_Export!A2285))</f>
        <v/>
      </c>
      <c r="B2285" s="37" t="str">
        <f aca="false">IF(Raw_Export!$A2285="","",IF(ISNUMBER(Raw_Export!B2285),Raw_Export!B2285,IF(MID(TRIM(Raw_Export!B2285),5,1)="-",DATE(LEFT(TRIM(Raw_Export!B2285),4),MID(TRIM(Raw_Export!B2285),6,2),RIGHT(TRIM(Raw_Export!B2285),2)),DATE(RIGHT(TRIM(Raw_Export!B2285),4),MATCH(MID(TRIM(Raw_Export!B2285),4,3),{"Jan","Feb","Mar","Apr","May","Jun","Jul","Aug","Sep","Oct","Nov","Dec"},0),LEFT(TRIM(Raw_Export!B2285),2)))))</f>
        <v/>
      </c>
      <c r="C2285" s="36" t="str">
        <f aca="false">IF(Raw_Export!$A2285="","",IFERROR(VLOOKUP(LOWER(TRIM(Raw_Export!C2285)),Maps!$A$2:$B$20,2,FALSE()),"UNMAPPED"))</f>
        <v/>
      </c>
      <c r="D2285" s="36" t="str">
        <f aca="false">IF(Raw_Export!$A2285="","",IFERROR(VLOOKUP(LOWER(TRIM(Raw_Export!D2285)),Maps!$G$2:$I$80,2,FALSE()),"UNMAPPED"))</f>
        <v/>
      </c>
      <c r="E2285" s="36" t="str">
        <f aca="false">IF(Raw_Export!$A2285="","",IFERROR(VLOOKUP(LOWER(TRIM(Raw_Export!D2285)),Maps!$G$2:$I$80,3,FALSE()),"UNMAPPED"))</f>
        <v/>
      </c>
      <c r="F2285" s="36" t="str">
        <f aca="false">IF(Raw_Export!$A2285="","",IFERROR(VALUE(TRIM(Raw_Export!E2285)),0))</f>
        <v/>
      </c>
      <c r="G2285" s="38" t="str">
        <f aca="false">IF(Raw_Export!$A2285="","",IFERROR(VALUE(SUBSTITUTE(SUBSTITUTE(UPPER(TRIM(Raw_Export!F2285)),"KES",""),",","")),0))</f>
        <v/>
      </c>
      <c r="H2285" s="38" t="str">
        <f aca="false">IF(Raw_Export!$A2285="","",F2285*G2285)</f>
        <v/>
      </c>
      <c r="I2285" s="36" t="str">
        <f aca="false">IF(Raw_Export!$A2285="","",IFERROR(VLOOKUP(LOWER(TRIM(Raw_Export!H2285)),Maps!$D$2:$E$12,2,FALSE()),"Other"))</f>
        <v/>
      </c>
      <c r="J2285" s="36" t="str">
        <f aca="false">IF(Raw_Export!$A2285="","",IF(COUNTIF($A$2:A2285,A2285)&gt;1,"Duplicate",""))</f>
        <v/>
      </c>
      <c r="K2285" s="36" t="str">
        <f aca="false">IF(Raw_Export!$A2285="","",IF(J2285="Duplicate","Duplicate",IF(OR(C2285="UNMAPPED",D2285="UNMAPPED"),"Unmapped",IF(F2285=0,"Blank qty",IF(F2285&lt;0,"Return","OK")))))</f>
        <v/>
      </c>
      <c r="L2285" s="36" t="str">
        <f aca="false">IF(Raw_Export!$A2285="","",IF(OR(K2285="OK",K2285="Return"),1,0))</f>
        <v/>
      </c>
      <c r="M2285" s="37" t="str">
        <f aca="false">IF(Raw_Export!$A2285="","",B2285-WEEKDAY(B2285,2)+1)</f>
        <v/>
      </c>
    </row>
    <row r="2286" customFormat="false" ht="15" hidden="false" customHeight="false" outlineLevel="0" collapsed="false">
      <c r="A2286" s="36" t="str">
        <f aca="false">IF(Raw_Export!$A2286="","",TRIM(Raw_Export!A2286))</f>
        <v/>
      </c>
      <c r="B2286" s="37" t="str">
        <f aca="false">IF(Raw_Export!$A2286="","",IF(ISNUMBER(Raw_Export!B2286),Raw_Export!B2286,IF(MID(TRIM(Raw_Export!B2286),5,1)="-",DATE(LEFT(TRIM(Raw_Export!B2286),4),MID(TRIM(Raw_Export!B2286),6,2),RIGHT(TRIM(Raw_Export!B2286),2)),DATE(RIGHT(TRIM(Raw_Export!B2286),4),MATCH(MID(TRIM(Raw_Export!B2286),4,3),{"Jan","Feb","Mar","Apr","May","Jun","Jul","Aug","Sep","Oct","Nov","Dec"},0),LEFT(TRIM(Raw_Export!B2286),2)))))</f>
        <v/>
      </c>
      <c r="C2286" s="36" t="str">
        <f aca="false">IF(Raw_Export!$A2286="","",IFERROR(VLOOKUP(LOWER(TRIM(Raw_Export!C2286)),Maps!$A$2:$B$20,2,FALSE()),"UNMAPPED"))</f>
        <v/>
      </c>
      <c r="D2286" s="36" t="str">
        <f aca="false">IF(Raw_Export!$A2286="","",IFERROR(VLOOKUP(LOWER(TRIM(Raw_Export!D2286)),Maps!$G$2:$I$80,2,FALSE()),"UNMAPPED"))</f>
        <v/>
      </c>
      <c r="E2286" s="36" t="str">
        <f aca="false">IF(Raw_Export!$A2286="","",IFERROR(VLOOKUP(LOWER(TRIM(Raw_Export!D2286)),Maps!$G$2:$I$80,3,FALSE()),"UNMAPPED"))</f>
        <v/>
      </c>
      <c r="F2286" s="36" t="str">
        <f aca="false">IF(Raw_Export!$A2286="","",IFERROR(VALUE(TRIM(Raw_Export!E2286)),0))</f>
        <v/>
      </c>
      <c r="G2286" s="38" t="str">
        <f aca="false">IF(Raw_Export!$A2286="","",IFERROR(VALUE(SUBSTITUTE(SUBSTITUTE(UPPER(TRIM(Raw_Export!F2286)),"KES",""),",","")),0))</f>
        <v/>
      </c>
      <c r="H2286" s="38" t="str">
        <f aca="false">IF(Raw_Export!$A2286="","",F2286*G2286)</f>
        <v/>
      </c>
      <c r="I2286" s="36" t="str">
        <f aca="false">IF(Raw_Export!$A2286="","",IFERROR(VLOOKUP(LOWER(TRIM(Raw_Export!H2286)),Maps!$D$2:$E$12,2,FALSE()),"Other"))</f>
        <v/>
      </c>
      <c r="J2286" s="36" t="str">
        <f aca="false">IF(Raw_Export!$A2286="","",IF(COUNTIF($A$2:A2286,A2286)&gt;1,"Duplicate",""))</f>
        <v/>
      </c>
      <c r="K2286" s="36" t="str">
        <f aca="false">IF(Raw_Export!$A2286="","",IF(J2286="Duplicate","Duplicate",IF(OR(C2286="UNMAPPED",D2286="UNMAPPED"),"Unmapped",IF(F2286=0,"Blank qty",IF(F2286&lt;0,"Return","OK")))))</f>
        <v/>
      </c>
      <c r="L2286" s="36" t="str">
        <f aca="false">IF(Raw_Export!$A2286="","",IF(OR(K2286="OK",K2286="Return"),1,0))</f>
        <v/>
      </c>
      <c r="M2286" s="37" t="str">
        <f aca="false">IF(Raw_Export!$A2286="","",B2286-WEEKDAY(B2286,2)+1)</f>
        <v/>
      </c>
    </row>
    <row r="2287" customFormat="false" ht="15" hidden="false" customHeight="false" outlineLevel="0" collapsed="false">
      <c r="A2287" s="36" t="str">
        <f aca="false">IF(Raw_Export!$A2287="","",TRIM(Raw_Export!A2287))</f>
        <v/>
      </c>
      <c r="B2287" s="37" t="str">
        <f aca="false">IF(Raw_Export!$A2287="","",IF(ISNUMBER(Raw_Export!B2287),Raw_Export!B2287,IF(MID(TRIM(Raw_Export!B2287),5,1)="-",DATE(LEFT(TRIM(Raw_Export!B2287),4),MID(TRIM(Raw_Export!B2287),6,2),RIGHT(TRIM(Raw_Export!B2287),2)),DATE(RIGHT(TRIM(Raw_Export!B2287),4),MATCH(MID(TRIM(Raw_Export!B2287),4,3),{"Jan","Feb","Mar","Apr","May","Jun","Jul","Aug","Sep","Oct","Nov","Dec"},0),LEFT(TRIM(Raw_Export!B2287),2)))))</f>
        <v/>
      </c>
      <c r="C2287" s="36" t="str">
        <f aca="false">IF(Raw_Export!$A2287="","",IFERROR(VLOOKUP(LOWER(TRIM(Raw_Export!C2287)),Maps!$A$2:$B$20,2,FALSE()),"UNMAPPED"))</f>
        <v/>
      </c>
      <c r="D2287" s="36" t="str">
        <f aca="false">IF(Raw_Export!$A2287="","",IFERROR(VLOOKUP(LOWER(TRIM(Raw_Export!D2287)),Maps!$G$2:$I$80,2,FALSE()),"UNMAPPED"))</f>
        <v/>
      </c>
      <c r="E2287" s="36" t="str">
        <f aca="false">IF(Raw_Export!$A2287="","",IFERROR(VLOOKUP(LOWER(TRIM(Raw_Export!D2287)),Maps!$G$2:$I$80,3,FALSE()),"UNMAPPED"))</f>
        <v/>
      </c>
      <c r="F2287" s="36" t="str">
        <f aca="false">IF(Raw_Export!$A2287="","",IFERROR(VALUE(TRIM(Raw_Export!E2287)),0))</f>
        <v/>
      </c>
      <c r="G2287" s="38" t="str">
        <f aca="false">IF(Raw_Export!$A2287="","",IFERROR(VALUE(SUBSTITUTE(SUBSTITUTE(UPPER(TRIM(Raw_Export!F2287)),"KES",""),",","")),0))</f>
        <v/>
      </c>
      <c r="H2287" s="38" t="str">
        <f aca="false">IF(Raw_Export!$A2287="","",F2287*G2287)</f>
        <v/>
      </c>
      <c r="I2287" s="36" t="str">
        <f aca="false">IF(Raw_Export!$A2287="","",IFERROR(VLOOKUP(LOWER(TRIM(Raw_Export!H2287)),Maps!$D$2:$E$12,2,FALSE()),"Other"))</f>
        <v/>
      </c>
      <c r="J2287" s="36" t="str">
        <f aca="false">IF(Raw_Export!$A2287="","",IF(COUNTIF($A$2:A2287,A2287)&gt;1,"Duplicate",""))</f>
        <v/>
      </c>
      <c r="K2287" s="36" t="str">
        <f aca="false">IF(Raw_Export!$A2287="","",IF(J2287="Duplicate","Duplicate",IF(OR(C2287="UNMAPPED",D2287="UNMAPPED"),"Unmapped",IF(F2287=0,"Blank qty",IF(F2287&lt;0,"Return","OK")))))</f>
        <v/>
      </c>
      <c r="L2287" s="36" t="str">
        <f aca="false">IF(Raw_Export!$A2287="","",IF(OR(K2287="OK",K2287="Return"),1,0))</f>
        <v/>
      </c>
      <c r="M2287" s="37" t="str">
        <f aca="false">IF(Raw_Export!$A2287="","",B2287-WEEKDAY(B2287,2)+1)</f>
        <v/>
      </c>
    </row>
    <row r="2288" customFormat="false" ht="15" hidden="false" customHeight="false" outlineLevel="0" collapsed="false">
      <c r="A2288" s="36" t="str">
        <f aca="false">IF(Raw_Export!$A2288="","",TRIM(Raw_Export!A2288))</f>
        <v/>
      </c>
      <c r="B2288" s="37" t="str">
        <f aca="false">IF(Raw_Export!$A2288="","",IF(ISNUMBER(Raw_Export!B2288),Raw_Export!B2288,IF(MID(TRIM(Raw_Export!B2288),5,1)="-",DATE(LEFT(TRIM(Raw_Export!B2288),4),MID(TRIM(Raw_Export!B2288),6,2),RIGHT(TRIM(Raw_Export!B2288),2)),DATE(RIGHT(TRIM(Raw_Export!B2288),4),MATCH(MID(TRIM(Raw_Export!B2288),4,3),{"Jan","Feb","Mar","Apr","May","Jun","Jul","Aug","Sep","Oct","Nov","Dec"},0),LEFT(TRIM(Raw_Export!B2288),2)))))</f>
        <v/>
      </c>
      <c r="C2288" s="36" t="str">
        <f aca="false">IF(Raw_Export!$A2288="","",IFERROR(VLOOKUP(LOWER(TRIM(Raw_Export!C2288)),Maps!$A$2:$B$20,2,FALSE()),"UNMAPPED"))</f>
        <v/>
      </c>
      <c r="D2288" s="36" t="str">
        <f aca="false">IF(Raw_Export!$A2288="","",IFERROR(VLOOKUP(LOWER(TRIM(Raw_Export!D2288)),Maps!$G$2:$I$80,2,FALSE()),"UNMAPPED"))</f>
        <v/>
      </c>
      <c r="E2288" s="36" t="str">
        <f aca="false">IF(Raw_Export!$A2288="","",IFERROR(VLOOKUP(LOWER(TRIM(Raw_Export!D2288)),Maps!$G$2:$I$80,3,FALSE()),"UNMAPPED"))</f>
        <v/>
      </c>
      <c r="F2288" s="36" t="str">
        <f aca="false">IF(Raw_Export!$A2288="","",IFERROR(VALUE(TRIM(Raw_Export!E2288)),0))</f>
        <v/>
      </c>
      <c r="G2288" s="38" t="str">
        <f aca="false">IF(Raw_Export!$A2288="","",IFERROR(VALUE(SUBSTITUTE(SUBSTITUTE(UPPER(TRIM(Raw_Export!F2288)),"KES",""),",","")),0))</f>
        <v/>
      </c>
      <c r="H2288" s="38" t="str">
        <f aca="false">IF(Raw_Export!$A2288="","",F2288*G2288)</f>
        <v/>
      </c>
      <c r="I2288" s="36" t="str">
        <f aca="false">IF(Raw_Export!$A2288="","",IFERROR(VLOOKUP(LOWER(TRIM(Raw_Export!H2288)),Maps!$D$2:$E$12,2,FALSE()),"Other"))</f>
        <v/>
      </c>
      <c r="J2288" s="36" t="str">
        <f aca="false">IF(Raw_Export!$A2288="","",IF(COUNTIF($A$2:A2288,A2288)&gt;1,"Duplicate",""))</f>
        <v/>
      </c>
      <c r="K2288" s="36" t="str">
        <f aca="false">IF(Raw_Export!$A2288="","",IF(J2288="Duplicate","Duplicate",IF(OR(C2288="UNMAPPED",D2288="UNMAPPED"),"Unmapped",IF(F2288=0,"Blank qty",IF(F2288&lt;0,"Return","OK")))))</f>
        <v/>
      </c>
      <c r="L2288" s="36" t="str">
        <f aca="false">IF(Raw_Export!$A2288="","",IF(OR(K2288="OK",K2288="Return"),1,0))</f>
        <v/>
      </c>
      <c r="M2288" s="37" t="str">
        <f aca="false">IF(Raw_Export!$A2288="","",B2288-WEEKDAY(B2288,2)+1)</f>
        <v/>
      </c>
    </row>
    <row r="2289" customFormat="false" ht="15" hidden="false" customHeight="false" outlineLevel="0" collapsed="false">
      <c r="A2289" s="36" t="str">
        <f aca="false">IF(Raw_Export!$A2289="","",TRIM(Raw_Export!A2289))</f>
        <v/>
      </c>
      <c r="B2289" s="37" t="str">
        <f aca="false">IF(Raw_Export!$A2289="","",IF(ISNUMBER(Raw_Export!B2289),Raw_Export!B2289,IF(MID(TRIM(Raw_Export!B2289),5,1)="-",DATE(LEFT(TRIM(Raw_Export!B2289),4),MID(TRIM(Raw_Export!B2289),6,2),RIGHT(TRIM(Raw_Export!B2289),2)),DATE(RIGHT(TRIM(Raw_Export!B2289),4),MATCH(MID(TRIM(Raw_Export!B2289),4,3),{"Jan","Feb","Mar","Apr","May","Jun","Jul","Aug","Sep","Oct","Nov","Dec"},0),LEFT(TRIM(Raw_Export!B2289),2)))))</f>
        <v/>
      </c>
      <c r="C2289" s="36" t="str">
        <f aca="false">IF(Raw_Export!$A2289="","",IFERROR(VLOOKUP(LOWER(TRIM(Raw_Export!C2289)),Maps!$A$2:$B$20,2,FALSE()),"UNMAPPED"))</f>
        <v/>
      </c>
      <c r="D2289" s="36" t="str">
        <f aca="false">IF(Raw_Export!$A2289="","",IFERROR(VLOOKUP(LOWER(TRIM(Raw_Export!D2289)),Maps!$G$2:$I$80,2,FALSE()),"UNMAPPED"))</f>
        <v/>
      </c>
      <c r="E2289" s="36" t="str">
        <f aca="false">IF(Raw_Export!$A2289="","",IFERROR(VLOOKUP(LOWER(TRIM(Raw_Export!D2289)),Maps!$G$2:$I$80,3,FALSE()),"UNMAPPED"))</f>
        <v/>
      </c>
      <c r="F2289" s="36" t="str">
        <f aca="false">IF(Raw_Export!$A2289="","",IFERROR(VALUE(TRIM(Raw_Export!E2289)),0))</f>
        <v/>
      </c>
      <c r="G2289" s="38" t="str">
        <f aca="false">IF(Raw_Export!$A2289="","",IFERROR(VALUE(SUBSTITUTE(SUBSTITUTE(UPPER(TRIM(Raw_Export!F2289)),"KES",""),",","")),0))</f>
        <v/>
      </c>
      <c r="H2289" s="38" t="str">
        <f aca="false">IF(Raw_Export!$A2289="","",F2289*G2289)</f>
        <v/>
      </c>
      <c r="I2289" s="36" t="str">
        <f aca="false">IF(Raw_Export!$A2289="","",IFERROR(VLOOKUP(LOWER(TRIM(Raw_Export!H2289)),Maps!$D$2:$E$12,2,FALSE()),"Other"))</f>
        <v/>
      </c>
      <c r="J2289" s="36" t="str">
        <f aca="false">IF(Raw_Export!$A2289="","",IF(COUNTIF($A$2:A2289,A2289)&gt;1,"Duplicate",""))</f>
        <v/>
      </c>
      <c r="K2289" s="36" t="str">
        <f aca="false">IF(Raw_Export!$A2289="","",IF(J2289="Duplicate","Duplicate",IF(OR(C2289="UNMAPPED",D2289="UNMAPPED"),"Unmapped",IF(F2289=0,"Blank qty",IF(F2289&lt;0,"Return","OK")))))</f>
        <v/>
      </c>
      <c r="L2289" s="36" t="str">
        <f aca="false">IF(Raw_Export!$A2289="","",IF(OR(K2289="OK",K2289="Return"),1,0))</f>
        <v/>
      </c>
      <c r="M2289" s="37" t="str">
        <f aca="false">IF(Raw_Export!$A2289="","",B2289-WEEKDAY(B2289,2)+1)</f>
        <v/>
      </c>
    </row>
    <row r="2290" customFormat="false" ht="15" hidden="false" customHeight="false" outlineLevel="0" collapsed="false">
      <c r="A2290" s="36" t="str">
        <f aca="false">IF(Raw_Export!$A2290="","",TRIM(Raw_Export!A2290))</f>
        <v/>
      </c>
      <c r="B2290" s="37" t="str">
        <f aca="false">IF(Raw_Export!$A2290="","",IF(ISNUMBER(Raw_Export!B2290),Raw_Export!B2290,IF(MID(TRIM(Raw_Export!B2290),5,1)="-",DATE(LEFT(TRIM(Raw_Export!B2290),4),MID(TRIM(Raw_Export!B2290),6,2),RIGHT(TRIM(Raw_Export!B2290),2)),DATE(RIGHT(TRIM(Raw_Export!B2290),4),MATCH(MID(TRIM(Raw_Export!B2290),4,3),{"Jan","Feb","Mar","Apr","May","Jun","Jul","Aug","Sep","Oct","Nov","Dec"},0),LEFT(TRIM(Raw_Export!B2290),2)))))</f>
        <v/>
      </c>
      <c r="C2290" s="36" t="str">
        <f aca="false">IF(Raw_Export!$A2290="","",IFERROR(VLOOKUP(LOWER(TRIM(Raw_Export!C2290)),Maps!$A$2:$B$20,2,FALSE()),"UNMAPPED"))</f>
        <v/>
      </c>
      <c r="D2290" s="36" t="str">
        <f aca="false">IF(Raw_Export!$A2290="","",IFERROR(VLOOKUP(LOWER(TRIM(Raw_Export!D2290)),Maps!$G$2:$I$80,2,FALSE()),"UNMAPPED"))</f>
        <v/>
      </c>
      <c r="E2290" s="36" t="str">
        <f aca="false">IF(Raw_Export!$A2290="","",IFERROR(VLOOKUP(LOWER(TRIM(Raw_Export!D2290)),Maps!$G$2:$I$80,3,FALSE()),"UNMAPPED"))</f>
        <v/>
      </c>
      <c r="F2290" s="36" t="str">
        <f aca="false">IF(Raw_Export!$A2290="","",IFERROR(VALUE(TRIM(Raw_Export!E2290)),0))</f>
        <v/>
      </c>
      <c r="G2290" s="38" t="str">
        <f aca="false">IF(Raw_Export!$A2290="","",IFERROR(VALUE(SUBSTITUTE(SUBSTITUTE(UPPER(TRIM(Raw_Export!F2290)),"KES",""),",","")),0))</f>
        <v/>
      </c>
      <c r="H2290" s="38" t="str">
        <f aca="false">IF(Raw_Export!$A2290="","",F2290*G2290)</f>
        <v/>
      </c>
      <c r="I2290" s="36" t="str">
        <f aca="false">IF(Raw_Export!$A2290="","",IFERROR(VLOOKUP(LOWER(TRIM(Raw_Export!H2290)),Maps!$D$2:$E$12,2,FALSE()),"Other"))</f>
        <v/>
      </c>
      <c r="J2290" s="36" t="str">
        <f aca="false">IF(Raw_Export!$A2290="","",IF(COUNTIF($A$2:A2290,A2290)&gt;1,"Duplicate",""))</f>
        <v/>
      </c>
      <c r="K2290" s="36" t="str">
        <f aca="false">IF(Raw_Export!$A2290="","",IF(J2290="Duplicate","Duplicate",IF(OR(C2290="UNMAPPED",D2290="UNMAPPED"),"Unmapped",IF(F2290=0,"Blank qty",IF(F2290&lt;0,"Return","OK")))))</f>
        <v/>
      </c>
      <c r="L2290" s="36" t="str">
        <f aca="false">IF(Raw_Export!$A2290="","",IF(OR(K2290="OK",K2290="Return"),1,0))</f>
        <v/>
      </c>
      <c r="M2290" s="37" t="str">
        <f aca="false">IF(Raw_Export!$A2290="","",B2290-WEEKDAY(B2290,2)+1)</f>
        <v/>
      </c>
    </row>
    <row r="2291" customFormat="false" ht="15" hidden="false" customHeight="false" outlineLevel="0" collapsed="false">
      <c r="A2291" s="36" t="str">
        <f aca="false">IF(Raw_Export!$A2291="","",TRIM(Raw_Export!A2291))</f>
        <v/>
      </c>
      <c r="B2291" s="37" t="str">
        <f aca="false">IF(Raw_Export!$A2291="","",IF(ISNUMBER(Raw_Export!B2291),Raw_Export!B2291,IF(MID(TRIM(Raw_Export!B2291),5,1)="-",DATE(LEFT(TRIM(Raw_Export!B2291),4),MID(TRIM(Raw_Export!B2291),6,2),RIGHT(TRIM(Raw_Export!B2291),2)),DATE(RIGHT(TRIM(Raw_Export!B2291),4),MATCH(MID(TRIM(Raw_Export!B2291),4,3),{"Jan","Feb","Mar","Apr","May","Jun","Jul","Aug","Sep","Oct","Nov","Dec"},0),LEFT(TRIM(Raw_Export!B2291),2)))))</f>
        <v/>
      </c>
      <c r="C2291" s="36" t="str">
        <f aca="false">IF(Raw_Export!$A2291="","",IFERROR(VLOOKUP(LOWER(TRIM(Raw_Export!C2291)),Maps!$A$2:$B$20,2,FALSE()),"UNMAPPED"))</f>
        <v/>
      </c>
      <c r="D2291" s="36" t="str">
        <f aca="false">IF(Raw_Export!$A2291="","",IFERROR(VLOOKUP(LOWER(TRIM(Raw_Export!D2291)),Maps!$G$2:$I$80,2,FALSE()),"UNMAPPED"))</f>
        <v/>
      </c>
      <c r="E2291" s="36" t="str">
        <f aca="false">IF(Raw_Export!$A2291="","",IFERROR(VLOOKUP(LOWER(TRIM(Raw_Export!D2291)),Maps!$G$2:$I$80,3,FALSE()),"UNMAPPED"))</f>
        <v/>
      </c>
      <c r="F2291" s="36" t="str">
        <f aca="false">IF(Raw_Export!$A2291="","",IFERROR(VALUE(TRIM(Raw_Export!E2291)),0))</f>
        <v/>
      </c>
      <c r="G2291" s="38" t="str">
        <f aca="false">IF(Raw_Export!$A2291="","",IFERROR(VALUE(SUBSTITUTE(SUBSTITUTE(UPPER(TRIM(Raw_Export!F2291)),"KES",""),",","")),0))</f>
        <v/>
      </c>
      <c r="H2291" s="38" t="str">
        <f aca="false">IF(Raw_Export!$A2291="","",F2291*G2291)</f>
        <v/>
      </c>
      <c r="I2291" s="36" t="str">
        <f aca="false">IF(Raw_Export!$A2291="","",IFERROR(VLOOKUP(LOWER(TRIM(Raw_Export!H2291)),Maps!$D$2:$E$12,2,FALSE()),"Other"))</f>
        <v/>
      </c>
      <c r="J2291" s="36" t="str">
        <f aca="false">IF(Raw_Export!$A2291="","",IF(COUNTIF($A$2:A2291,A2291)&gt;1,"Duplicate",""))</f>
        <v/>
      </c>
      <c r="K2291" s="36" t="str">
        <f aca="false">IF(Raw_Export!$A2291="","",IF(J2291="Duplicate","Duplicate",IF(OR(C2291="UNMAPPED",D2291="UNMAPPED"),"Unmapped",IF(F2291=0,"Blank qty",IF(F2291&lt;0,"Return","OK")))))</f>
        <v/>
      </c>
      <c r="L2291" s="36" t="str">
        <f aca="false">IF(Raw_Export!$A2291="","",IF(OR(K2291="OK",K2291="Return"),1,0))</f>
        <v/>
      </c>
      <c r="M2291" s="37" t="str">
        <f aca="false">IF(Raw_Export!$A2291="","",B2291-WEEKDAY(B2291,2)+1)</f>
        <v/>
      </c>
    </row>
    <row r="2292" customFormat="false" ht="15" hidden="false" customHeight="false" outlineLevel="0" collapsed="false">
      <c r="A2292" s="36" t="str">
        <f aca="false">IF(Raw_Export!$A2292="","",TRIM(Raw_Export!A2292))</f>
        <v/>
      </c>
      <c r="B2292" s="37" t="str">
        <f aca="false">IF(Raw_Export!$A2292="","",IF(ISNUMBER(Raw_Export!B2292),Raw_Export!B2292,IF(MID(TRIM(Raw_Export!B2292),5,1)="-",DATE(LEFT(TRIM(Raw_Export!B2292),4),MID(TRIM(Raw_Export!B2292),6,2),RIGHT(TRIM(Raw_Export!B2292),2)),DATE(RIGHT(TRIM(Raw_Export!B2292),4),MATCH(MID(TRIM(Raw_Export!B2292),4,3),{"Jan","Feb","Mar","Apr","May","Jun","Jul","Aug","Sep","Oct","Nov","Dec"},0),LEFT(TRIM(Raw_Export!B2292),2)))))</f>
        <v/>
      </c>
      <c r="C2292" s="36" t="str">
        <f aca="false">IF(Raw_Export!$A2292="","",IFERROR(VLOOKUP(LOWER(TRIM(Raw_Export!C2292)),Maps!$A$2:$B$20,2,FALSE()),"UNMAPPED"))</f>
        <v/>
      </c>
      <c r="D2292" s="36" t="str">
        <f aca="false">IF(Raw_Export!$A2292="","",IFERROR(VLOOKUP(LOWER(TRIM(Raw_Export!D2292)),Maps!$G$2:$I$80,2,FALSE()),"UNMAPPED"))</f>
        <v/>
      </c>
      <c r="E2292" s="36" t="str">
        <f aca="false">IF(Raw_Export!$A2292="","",IFERROR(VLOOKUP(LOWER(TRIM(Raw_Export!D2292)),Maps!$G$2:$I$80,3,FALSE()),"UNMAPPED"))</f>
        <v/>
      </c>
      <c r="F2292" s="36" t="str">
        <f aca="false">IF(Raw_Export!$A2292="","",IFERROR(VALUE(TRIM(Raw_Export!E2292)),0))</f>
        <v/>
      </c>
      <c r="G2292" s="38" t="str">
        <f aca="false">IF(Raw_Export!$A2292="","",IFERROR(VALUE(SUBSTITUTE(SUBSTITUTE(UPPER(TRIM(Raw_Export!F2292)),"KES",""),",","")),0))</f>
        <v/>
      </c>
      <c r="H2292" s="38" t="str">
        <f aca="false">IF(Raw_Export!$A2292="","",F2292*G2292)</f>
        <v/>
      </c>
      <c r="I2292" s="36" t="str">
        <f aca="false">IF(Raw_Export!$A2292="","",IFERROR(VLOOKUP(LOWER(TRIM(Raw_Export!H2292)),Maps!$D$2:$E$12,2,FALSE()),"Other"))</f>
        <v/>
      </c>
      <c r="J2292" s="36" t="str">
        <f aca="false">IF(Raw_Export!$A2292="","",IF(COUNTIF($A$2:A2292,A2292)&gt;1,"Duplicate",""))</f>
        <v/>
      </c>
      <c r="K2292" s="36" t="str">
        <f aca="false">IF(Raw_Export!$A2292="","",IF(J2292="Duplicate","Duplicate",IF(OR(C2292="UNMAPPED",D2292="UNMAPPED"),"Unmapped",IF(F2292=0,"Blank qty",IF(F2292&lt;0,"Return","OK")))))</f>
        <v/>
      </c>
      <c r="L2292" s="36" t="str">
        <f aca="false">IF(Raw_Export!$A2292="","",IF(OR(K2292="OK",K2292="Return"),1,0))</f>
        <v/>
      </c>
      <c r="M2292" s="37" t="str">
        <f aca="false">IF(Raw_Export!$A2292="","",B2292-WEEKDAY(B2292,2)+1)</f>
        <v/>
      </c>
    </row>
    <row r="2293" customFormat="false" ht="15" hidden="false" customHeight="false" outlineLevel="0" collapsed="false">
      <c r="A2293" s="36" t="str">
        <f aca="false">IF(Raw_Export!$A2293="","",TRIM(Raw_Export!A2293))</f>
        <v/>
      </c>
      <c r="B2293" s="37" t="str">
        <f aca="false">IF(Raw_Export!$A2293="","",IF(ISNUMBER(Raw_Export!B2293),Raw_Export!B2293,IF(MID(TRIM(Raw_Export!B2293),5,1)="-",DATE(LEFT(TRIM(Raw_Export!B2293),4),MID(TRIM(Raw_Export!B2293),6,2),RIGHT(TRIM(Raw_Export!B2293),2)),DATE(RIGHT(TRIM(Raw_Export!B2293),4),MATCH(MID(TRIM(Raw_Export!B2293),4,3),{"Jan","Feb","Mar","Apr","May","Jun","Jul","Aug","Sep","Oct","Nov","Dec"},0),LEFT(TRIM(Raw_Export!B2293),2)))))</f>
        <v/>
      </c>
      <c r="C2293" s="36" t="str">
        <f aca="false">IF(Raw_Export!$A2293="","",IFERROR(VLOOKUP(LOWER(TRIM(Raw_Export!C2293)),Maps!$A$2:$B$20,2,FALSE()),"UNMAPPED"))</f>
        <v/>
      </c>
      <c r="D2293" s="36" t="str">
        <f aca="false">IF(Raw_Export!$A2293="","",IFERROR(VLOOKUP(LOWER(TRIM(Raw_Export!D2293)),Maps!$G$2:$I$80,2,FALSE()),"UNMAPPED"))</f>
        <v/>
      </c>
      <c r="E2293" s="36" t="str">
        <f aca="false">IF(Raw_Export!$A2293="","",IFERROR(VLOOKUP(LOWER(TRIM(Raw_Export!D2293)),Maps!$G$2:$I$80,3,FALSE()),"UNMAPPED"))</f>
        <v/>
      </c>
      <c r="F2293" s="36" t="str">
        <f aca="false">IF(Raw_Export!$A2293="","",IFERROR(VALUE(TRIM(Raw_Export!E2293)),0))</f>
        <v/>
      </c>
      <c r="G2293" s="38" t="str">
        <f aca="false">IF(Raw_Export!$A2293="","",IFERROR(VALUE(SUBSTITUTE(SUBSTITUTE(UPPER(TRIM(Raw_Export!F2293)),"KES",""),",","")),0))</f>
        <v/>
      </c>
      <c r="H2293" s="38" t="str">
        <f aca="false">IF(Raw_Export!$A2293="","",F2293*G2293)</f>
        <v/>
      </c>
      <c r="I2293" s="36" t="str">
        <f aca="false">IF(Raw_Export!$A2293="","",IFERROR(VLOOKUP(LOWER(TRIM(Raw_Export!H2293)),Maps!$D$2:$E$12,2,FALSE()),"Other"))</f>
        <v/>
      </c>
      <c r="J2293" s="36" t="str">
        <f aca="false">IF(Raw_Export!$A2293="","",IF(COUNTIF($A$2:A2293,A2293)&gt;1,"Duplicate",""))</f>
        <v/>
      </c>
      <c r="K2293" s="36" t="str">
        <f aca="false">IF(Raw_Export!$A2293="","",IF(J2293="Duplicate","Duplicate",IF(OR(C2293="UNMAPPED",D2293="UNMAPPED"),"Unmapped",IF(F2293=0,"Blank qty",IF(F2293&lt;0,"Return","OK")))))</f>
        <v/>
      </c>
      <c r="L2293" s="36" t="str">
        <f aca="false">IF(Raw_Export!$A2293="","",IF(OR(K2293="OK",K2293="Return"),1,0))</f>
        <v/>
      </c>
      <c r="M2293" s="37" t="str">
        <f aca="false">IF(Raw_Export!$A2293="","",B2293-WEEKDAY(B2293,2)+1)</f>
        <v/>
      </c>
    </row>
    <row r="2294" customFormat="false" ht="15" hidden="false" customHeight="false" outlineLevel="0" collapsed="false">
      <c r="A2294" s="36" t="str">
        <f aca="false">IF(Raw_Export!$A2294="","",TRIM(Raw_Export!A2294))</f>
        <v/>
      </c>
      <c r="B2294" s="37" t="str">
        <f aca="false">IF(Raw_Export!$A2294="","",IF(ISNUMBER(Raw_Export!B2294),Raw_Export!B2294,IF(MID(TRIM(Raw_Export!B2294),5,1)="-",DATE(LEFT(TRIM(Raw_Export!B2294),4),MID(TRIM(Raw_Export!B2294),6,2),RIGHT(TRIM(Raw_Export!B2294),2)),DATE(RIGHT(TRIM(Raw_Export!B2294),4),MATCH(MID(TRIM(Raw_Export!B2294),4,3),{"Jan","Feb","Mar","Apr","May","Jun","Jul","Aug","Sep","Oct","Nov","Dec"},0),LEFT(TRIM(Raw_Export!B2294),2)))))</f>
        <v/>
      </c>
      <c r="C2294" s="36" t="str">
        <f aca="false">IF(Raw_Export!$A2294="","",IFERROR(VLOOKUP(LOWER(TRIM(Raw_Export!C2294)),Maps!$A$2:$B$20,2,FALSE()),"UNMAPPED"))</f>
        <v/>
      </c>
      <c r="D2294" s="36" t="str">
        <f aca="false">IF(Raw_Export!$A2294="","",IFERROR(VLOOKUP(LOWER(TRIM(Raw_Export!D2294)),Maps!$G$2:$I$80,2,FALSE()),"UNMAPPED"))</f>
        <v/>
      </c>
      <c r="E2294" s="36" t="str">
        <f aca="false">IF(Raw_Export!$A2294="","",IFERROR(VLOOKUP(LOWER(TRIM(Raw_Export!D2294)),Maps!$G$2:$I$80,3,FALSE()),"UNMAPPED"))</f>
        <v/>
      </c>
      <c r="F2294" s="36" t="str">
        <f aca="false">IF(Raw_Export!$A2294="","",IFERROR(VALUE(TRIM(Raw_Export!E2294)),0))</f>
        <v/>
      </c>
      <c r="G2294" s="38" t="str">
        <f aca="false">IF(Raw_Export!$A2294="","",IFERROR(VALUE(SUBSTITUTE(SUBSTITUTE(UPPER(TRIM(Raw_Export!F2294)),"KES",""),",","")),0))</f>
        <v/>
      </c>
      <c r="H2294" s="38" t="str">
        <f aca="false">IF(Raw_Export!$A2294="","",F2294*G2294)</f>
        <v/>
      </c>
      <c r="I2294" s="36" t="str">
        <f aca="false">IF(Raw_Export!$A2294="","",IFERROR(VLOOKUP(LOWER(TRIM(Raw_Export!H2294)),Maps!$D$2:$E$12,2,FALSE()),"Other"))</f>
        <v/>
      </c>
      <c r="J2294" s="36" t="str">
        <f aca="false">IF(Raw_Export!$A2294="","",IF(COUNTIF($A$2:A2294,A2294)&gt;1,"Duplicate",""))</f>
        <v/>
      </c>
      <c r="K2294" s="36" t="str">
        <f aca="false">IF(Raw_Export!$A2294="","",IF(J2294="Duplicate","Duplicate",IF(OR(C2294="UNMAPPED",D2294="UNMAPPED"),"Unmapped",IF(F2294=0,"Blank qty",IF(F2294&lt;0,"Return","OK")))))</f>
        <v/>
      </c>
      <c r="L2294" s="36" t="str">
        <f aca="false">IF(Raw_Export!$A2294="","",IF(OR(K2294="OK",K2294="Return"),1,0))</f>
        <v/>
      </c>
      <c r="M2294" s="37" t="str">
        <f aca="false">IF(Raw_Export!$A2294="","",B2294-WEEKDAY(B2294,2)+1)</f>
        <v/>
      </c>
    </row>
    <row r="2295" customFormat="false" ht="15" hidden="false" customHeight="false" outlineLevel="0" collapsed="false">
      <c r="A2295" s="36" t="str">
        <f aca="false">IF(Raw_Export!$A2295="","",TRIM(Raw_Export!A2295))</f>
        <v/>
      </c>
      <c r="B2295" s="37" t="str">
        <f aca="false">IF(Raw_Export!$A2295="","",IF(ISNUMBER(Raw_Export!B2295),Raw_Export!B2295,IF(MID(TRIM(Raw_Export!B2295),5,1)="-",DATE(LEFT(TRIM(Raw_Export!B2295),4),MID(TRIM(Raw_Export!B2295),6,2),RIGHT(TRIM(Raw_Export!B2295),2)),DATE(RIGHT(TRIM(Raw_Export!B2295),4),MATCH(MID(TRIM(Raw_Export!B2295),4,3),{"Jan","Feb","Mar","Apr","May","Jun","Jul","Aug","Sep","Oct","Nov","Dec"},0),LEFT(TRIM(Raw_Export!B2295),2)))))</f>
        <v/>
      </c>
      <c r="C2295" s="36" t="str">
        <f aca="false">IF(Raw_Export!$A2295="","",IFERROR(VLOOKUP(LOWER(TRIM(Raw_Export!C2295)),Maps!$A$2:$B$20,2,FALSE()),"UNMAPPED"))</f>
        <v/>
      </c>
      <c r="D2295" s="36" t="str">
        <f aca="false">IF(Raw_Export!$A2295="","",IFERROR(VLOOKUP(LOWER(TRIM(Raw_Export!D2295)),Maps!$G$2:$I$80,2,FALSE()),"UNMAPPED"))</f>
        <v/>
      </c>
      <c r="E2295" s="36" t="str">
        <f aca="false">IF(Raw_Export!$A2295="","",IFERROR(VLOOKUP(LOWER(TRIM(Raw_Export!D2295)),Maps!$G$2:$I$80,3,FALSE()),"UNMAPPED"))</f>
        <v/>
      </c>
      <c r="F2295" s="36" t="str">
        <f aca="false">IF(Raw_Export!$A2295="","",IFERROR(VALUE(TRIM(Raw_Export!E2295)),0))</f>
        <v/>
      </c>
      <c r="G2295" s="38" t="str">
        <f aca="false">IF(Raw_Export!$A2295="","",IFERROR(VALUE(SUBSTITUTE(SUBSTITUTE(UPPER(TRIM(Raw_Export!F2295)),"KES",""),",","")),0))</f>
        <v/>
      </c>
      <c r="H2295" s="38" t="str">
        <f aca="false">IF(Raw_Export!$A2295="","",F2295*G2295)</f>
        <v/>
      </c>
      <c r="I2295" s="36" t="str">
        <f aca="false">IF(Raw_Export!$A2295="","",IFERROR(VLOOKUP(LOWER(TRIM(Raw_Export!H2295)),Maps!$D$2:$E$12,2,FALSE()),"Other"))</f>
        <v/>
      </c>
      <c r="J2295" s="36" t="str">
        <f aca="false">IF(Raw_Export!$A2295="","",IF(COUNTIF($A$2:A2295,A2295)&gt;1,"Duplicate",""))</f>
        <v/>
      </c>
      <c r="K2295" s="36" t="str">
        <f aca="false">IF(Raw_Export!$A2295="","",IF(J2295="Duplicate","Duplicate",IF(OR(C2295="UNMAPPED",D2295="UNMAPPED"),"Unmapped",IF(F2295=0,"Blank qty",IF(F2295&lt;0,"Return","OK")))))</f>
        <v/>
      </c>
      <c r="L2295" s="36" t="str">
        <f aca="false">IF(Raw_Export!$A2295="","",IF(OR(K2295="OK",K2295="Return"),1,0))</f>
        <v/>
      </c>
      <c r="M2295" s="37" t="str">
        <f aca="false">IF(Raw_Export!$A2295="","",B2295-WEEKDAY(B2295,2)+1)</f>
        <v/>
      </c>
    </row>
    <row r="2296" customFormat="false" ht="15" hidden="false" customHeight="false" outlineLevel="0" collapsed="false">
      <c r="A2296" s="36" t="str">
        <f aca="false">IF(Raw_Export!$A2296="","",TRIM(Raw_Export!A2296))</f>
        <v/>
      </c>
      <c r="B2296" s="37" t="str">
        <f aca="false">IF(Raw_Export!$A2296="","",IF(ISNUMBER(Raw_Export!B2296),Raw_Export!B2296,IF(MID(TRIM(Raw_Export!B2296),5,1)="-",DATE(LEFT(TRIM(Raw_Export!B2296),4),MID(TRIM(Raw_Export!B2296),6,2),RIGHT(TRIM(Raw_Export!B2296),2)),DATE(RIGHT(TRIM(Raw_Export!B2296),4),MATCH(MID(TRIM(Raw_Export!B2296),4,3),{"Jan","Feb","Mar","Apr","May","Jun","Jul","Aug","Sep","Oct","Nov","Dec"},0),LEFT(TRIM(Raw_Export!B2296),2)))))</f>
        <v/>
      </c>
      <c r="C2296" s="36" t="str">
        <f aca="false">IF(Raw_Export!$A2296="","",IFERROR(VLOOKUP(LOWER(TRIM(Raw_Export!C2296)),Maps!$A$2:$B$20,2,FALSE()),"UNMAPPED"))</f>
        <v/>
      </c>
      <c r="D2296" s="36" t="str">
        <f aca="false">IF(Raw_Export!$A2296="","",IFERROR(VLOOKUP(LOWER(TRIM(Raw_Export!D2296)),Maps!$G$2:$I$80,2,FALSE()),"UNMAPPED"))</f>
        <v/>
      </c>
      <c r="E2296" s="36" t="str">
        <f aca="false">IF(Raw_Export!$A2296="","",IFERROR(VLOOKUP(LOWER(TRIM(Raw_Export!D2296)),Maps!$G$2:$I$80,3,FALSE()),"UNMAPPED"))</f>
        <v/>
      </c>
      <c r="F2296" s="36" t="str">
        <f aca="false">IF(Raw_Export!$A2296="","",IFERROR(VALUE(TRIM(Raw_Export!E2296)),0))</f>
        <v/>
      </c>
      <c r="G2296" s="38" t="str">
        <f aca="false">IF(Raw_Export!$A2296="","",IFERROR(VALUE(SUBSTITUTE(SUBSTITUTE(UPPER(TRIM(Raw_Export!F2296)),"KES",""),",","")),0))</f>
        <v/>
      </c>
      <c r="H2296" s="38" t="str">
        <f aca="false">IF(Raw_Export!$A2296="","",F2296*G2296)</f>
        <v/>
      </c>
      <c r="I2296" s="36" t="str">
        <f aca="false">IF(Raw_Export!$A2296="","",IFERROR(VLOOKUP(LOWER(TRIM(Raw_Export!H2296)),Maps!$D$2:$E$12,2,FALSE()),"Other"))</f>
        <v/>
      </c>
      <c r="J2296" s="36" t="str">
        <f aca="false">IF(Raw_Export!$A2296="","",IF(COUNTIF($A$2:A2296,A2296)&gt;1,"Duplicate",""))</f>
        <v/>
      </c>
      <c r="K2296" s="36" t="str">
        <f aca="false">IF(Raw_Export!$A2296="","",IF(J2296="Duplicate","Duplicate",IF(OR(C2296="UNMAPPED",D2296="UNMAPPED"),"Unmapped",IF(F2296=0,"Blank qty",IF(F2296&lt;0,"Return","OK")))))</f>
        <v/>
      </c>
      <c r="L2296" s="36" t="str">
        <f aca="false">IF(Raw_Export!$A2296="","",IF(OR(K2296="OK",K2296="Return"),1,0))</f>
        <v/>
      </c>
      <c r="M2296" s="37" t="str">
        <f aca="false">IF(Raw_Export!$A2296="","",B2296-WEEKDAY(B2296,2)+1)</f>
        <v/>
      </c>
    </row>
    <row r="2297" customFormat="false" ht="15" hidden="false" customHeight="false" outlineLevel="0" collapsed="false">
      <c r="A2297" s="36" t="str">
        <f aca="false">IF(Raw_Export!$A2297="","",TRIM(Raw_Export!A2297))</f>
        <v/>
      </c>
      <c r="B2297" s="37" t="str">
        <f aca="false">IF(Raw_Export!$A2297="","",IF(ISNUMBER(Raw_Export!B2297),Raw_Export!B2297,IF(MID(TRIM(Raw_Export!B2297),5,1)="-",DATE(LEFT(TRIM(Raw_Export!B2297),4),MID(TRIM(Raw_Export!B2297),6,2),RIGHT(TRIM(Raw_Export!B2297),2)),DATE(RIGHT(TRIM(Raw_Export!B2297),4),MATCH(MID(TRIM(Raw_Export!B2297),4,3),{"Jan","Feb","Mar","Apr","May","Jun","Jul","Aug","Sep","Oct","Nov","Dec"},0),LEFT(TRIM(Raw_Export!B2297),2)))))</f>
        <v/>
      </c>
      <c r="C2297" s="36" t="str">
        <f aca="false">IF(Raw_Export!$A2297="","",IFERROR(VLOOKUP(LOWER(TRIM(Raw_Export!C2297)),Maps!$A$2:$B$20,2,FALSE()),"UNMAPPED"))</f>
        <v/>
      </c>
      <c r="D2297" s="36" t="str">
        <f aca="false">IF(Raw_Export!$A2297="","",IFERROR(VLOOKUP(LOWER(TRIM(Raw_Export!D2297)),Maps!$G$2:$I$80,2,FALSE()),"UNMAPPED"))</f>
        <v/>
      </c>
      <c r="E2297" s="36" t="str">
        <f aca="false">IF(Raw_Export!$A2297="","",IFERROR(VLOOKUP(LOWER(TRIM(Raw_Export!D2297)),Maps!$G$2:$I$80,3,FALSE()),"UNMAPPED"))</f>
        <v/>
      </c>
      <c r="F2297" s="36" t="str">
        <f aca="false">IF(Raw_Export!$A2297="","",IFERROR(VALUE(TRIM(Raw_Export!E2297)),0))</f>
        <v/>
      </c>
      <c r="G2297" s="38" t="str">
        <f aca="false">IF(Raw_Export!$A2297="","",IFERROR(VALUE(SUBSTITUTE(SUBSTITUTE(UPPER(TRIM(Raw_Export!F2297)),"KES",""),",","")),0))</f>
        <v/>
      </c>
      <c r="H2297" s="38" t="str">
        <f aca="false">IF(Raw_Export!$A2297="","",F2297*G2297)</f>
        <v/>
      </c>
      <c r="I2297" s="36" t="str">
        <f aca="false">IF(Raw_Export!$A2297="","",IFERROR(VLOOKUP(LOWER(TRIM(Raw_Export!H2297)),Maps!$D$2:$E$12,2,FALSE()),"Other"))</f>
        <v/>
      </c>
      <c r="J2297" s="36" t="str">
        <f aca="false">IF(Raw_Export!$A2297="","",IF(COUNTIF($A$2:A2297,A2297)&gt;1,"Duplicate",""))</f>
        <v/>
      </c>
      <c r="K2297" s="36" t="str">
        <f aca="false">IF(Raw_Export!$A2297="","",IF(J2297="Duplicate","Duplicate",IF(OR(C2297="UNMAPPED",D2297="UNMAPPED"),"Unmapped",IF(F2297=0,"Blank qty",IF(F2297&lt;0,"Return","OK")))))</f>
        <v/>
      </c>
      <c r="L2297" s="36" t="str">
        <f aca="false">IF(Raw_Export!$A2297="","",IF(OR(K2297="OK",K2297="Return"),1,0))</f>
        <v/>
      </c>
      <c r="M2297" s="37" t="str">
        <f aca="false">IF(Raw_Export!$A2297="","",B2297-WEEKDAY(B2297,2)+1)</f>
        <v/>
      </c>
    </row>
    <row r="2298" customFormat="false" ht="15" hidden="false" customHeight="false" outlineLevel="0" collapsed="false">
      <c r="A2298" s="36" t="str">
        <f aca="false">IF(Raw_Export!$A2298="","",TRIM(Raw_Export!A2298))</f>
        <v/>
      </c>
      <c r="B2298" s="37" t="str">
        <f aca="false">IF(Raw_Export!$A2298="","",IF(ISNUMBER(Raw_Export!B2298),Raw_Export!B2298,IF(MID(TRIM(Raw_Export!B2298),5,1)="-",DATE(LEFT(TRIM(Raw_Export!B2298),4),MID(TRIM(Raw_Export!B2298),6,2),RIGHT(TRIM(Raw_Export!B2298),2)),DATE(RIGHT(TRIM(Raw_Export!B2298),4),MATCH(MID(TRIM(Raw_Export!B2298),4,3),{"Jan","Feb","Mar","Apr","May","Jun","Jul","Aug","Sep","Oct","Nov","Dec"},0),LEFT(TRIM(Raw_Export!B2298),2)))))</f>
        <v/>
      </c>
      <c r="C2298" s="36" t="str">
        <f aca="false">IF(Raw_Export!$A2298="","",IFERROR(VLOOKUP(LOWER(TRIM(Raw_Export!C2298)),Maps!$A$2:$B$20,2,FALSE()),"UNMAPPED"))</f>
        <v/>
      </c>
      <c r="D2298" s="36" t="str">
        <f aca="false">IF(Raw_Export!$A2298="","",IFERROR(VLOOKUP(LOWER(TRIM(Raw_Export!D2298)),Maps!$G$2:$I$80,2,FALSE()),"UNMAPPED"))</f>
        <v/>
      </c>
      <c r="E2298" s="36" t="str">
        <f aca="false">IF(Raw_Export!$A2298="","",IFERROR(VLOOKUP(LOWER(TRIM(Raw_Export!D2298)),Maps!$G$2:$I$80,3,FALSE()),"UNMAPPED"))</f>
        <v/>
      </c>
      <c r="F2298" s="36" t="str">
        <f aca="false">IF(Raw_Export!$A2298="","",IFERROR(VALUE(TRIM(Raw_Export!E2298)),0))</f>
        <v/>
      </c>
      <c r="G2298" s="38" t="str">
        <f aca="false">IF(Raw_Export!$A2298="","",IFERROR(VALUE(SUBSTITUTE(SUBSTITUTE(UPPER(TRIM(Raw_Export!F2298)),"KES",""),",","")),0))</f>
        <v/>
      </c>
      <c r="H2298" s="38" t="str">
        <f aca="false">IF(Raw_Export!$A2298="","",F2298*G2298)</f>
        <v/>
      </c>
      <c r="I2298" s="36" t="str">
        <f aca="false">IF(Raw_Export!$A2298="","",IFERROR(VLOOKUP(LOWER(TRIM(Raw_Export!H2298)),Maps!$D$2:$E$12,2,FALSE()),"Other"))</f>
        <v/>
      </c>
      <c r="J2298" s="36" t="str">
        <f aca="false">IF(Raw_Export!$A2298="","",IF(COUNTIF($A$2:A2298,A2298)&gt;1,"Duplicate",""))</f>
        <v/>
      </c>
      <c r="K2298" s="36" t="str">
        <f aca="false">IF(Raw_Export!$A2298="","",IF(J2298="Duplicate","Duplicate",IF(OR(C2298="UNMAPPED",D2298="UNMAPPED"),"Unmapped",IF(F2298=0,"Blank qty",IF(F2298&lt;0,"Return","OK")))))</f>
        <v/>
      </c>
      <c r="L2298" s="36" t="str">
        <f aca="false">IF(Raw_Export!$A2298="","",IF(OR(K2298="OK",K2298="Return"),1,0))</f>
        <v/>
      </c>
      <c r="M2298" s="37" t="str">
        <f aca="false">IF(Raw_Export!$A2298="","",B2298-WEEKDAY(B2298,2)+1)</f>
        <v/>
      </c>
    </row>
    <row r="2299" customFormat="false" ht="15" hidden="false" customHeight="false" outlineLevel="0" collapsed="false">
      <c r="A2299" s="36" t="str">
        <f aca="false">IF(Raw_Export!$A2299="","",TRIM(Raw_Export!A2299))</f>
        <v/>
      </c>
      <c r="B2299" s="37" t="str">
        <f aca="false">IF(Raw_Export!$A2299="","",IF(ISNUMBER(Raw_Export!B2299),Raw_Export!B2299,IF(MID(TRIM(Raw_Export!B2299),5,1)="-",DATE(LEFT(TRIM(Raw_Export!B2299),4),MID(TRIM(Raw_Export!B2299),6,2),RIGHT(TRIM(Raw_Export!B2299),2)),DATE(RIGHT(TRIM(Raw_Export!B2299),4),MATCH(MID(TRIM(Raw_Export!B2299),4,3),{"Jan","Feb","Mar","Apr","May","Jun","Jul","Aug","Sep","Oct","Nov","Dec"},0),LEFT(TRIM(Raw_Export!B2299),2)))))</f>
        <v/>
      </c>
      <c r="C2299" s="36" t="str">
        <f aca="false">IF(Raw_Export!$A2299="","",IFERROR(VLOOKUP(LOWER(TRIM(Raw_Export!C2299)),Maps!$A$2:$B$20,2,FALSE()),"UNMAPPED"))</f>
        <v/>
      </c>
      <c r="D2299" s="36" t="str">
        <f aca="false">IF(Raw_Export!$A2299="","",IFERROR(VLOOKUP(LOWER(TRIM(Raw_Export!D2299)),Maps!$G$2:$I$80,2,FALSE()),"UNMAPPED"))</f>
        <v/>
      </c>
      <c r="E2299" s="36" t="str">
        <f aca="false">IF(Raw_Export!$A2299="","",IFERROR(VLOOKUP(LOWER(TRIM(Raw_Export!D2299)),Maps!$G$2:$I$80,3,FALSE()),"UNMAPPED"))</f>
        <v/>
      </c>
      <c r="F2299" s="36" t="str">
        <f aca="false">IF(Raw_Export!$A2299="","",IFERROR(VALUE(TRIM(Raw_Export!E2299)),0))</f>
        <v/>
      </c>
      <c r="G2299" s="38" t="str">
        <f aca="false">IF(Raw_Export!$A2299="","",IFERROR(VALUE(SUBSTITUTE(SUBSTITUTE(UPPER(TRIM(Raw_Export!F2299)),"KES",""),",","")),0))</f>
        <v/>
      </c>
      <c r="H2299" s="38" t="str">
        <f aca="false">IF(Raw_Export!$A2299="","",F2299*G2299)</f>
        <v/>
      </c>
      <c r="I2299" s="36" t="str">
        <f aca="false">IF(Raw_Export!$A2299="","",IFERROR(VLOOKUP(LOWER(TRIM(Raw_Export!H2299)),Maps!$D$2:$E$12,2,FALSE()),"Other"))</f>
        <v/>
      </c>
      <c r="J2299" s="36" t="str">
        <f aca="false">IF(Raw_Export!$A2299="","",IF(COUNTIF($A$2:A2299,A2299)&gt;1,"Duplicate",""))</f>
        <v/>
      </c>
      <c r="K2299" s="36" t="str">
        <f aca="false">IF(Raw_Export!$A2299="","",IF(J2299="Duplicate","Duplicate",IF(OR(C2299="UNMAPPED",D2299="UNMAPPED"),"Unmapped",IF(F2299=0,"Blank qty",IF(F2299&lt;0,"Return","OK")))))</f>
        <v/>
      </c>
      <c r="L2299" s="36" t="str">
        <f aca="false">IF(Raw_Export!$A2299="","",IF(OR(K2299="OK",K2299="Return"),1,0))</f>
        <v/>
      </c>
      <c r="M2299" s="37" t="str">
        <f aca="false">IF(Raw_Export!$A2299="","",B2299-WEEKDAY(B2299,2)+1)</f>
        <v/>
      </c>
    </row>
    <row r="2300" customFormat="false" ht="15" hidden="false" customHeight="false" outlineLevel="0" collapsed="false">
      <c r="A2300" s="36" t="str">
        <f aca="false">IF(Raw_Export!$A2300="","",TRIM(Raw_Export!A2300))</f>
        <v/>
      </c>
      <c r="B2300" s="37" t="str">
        <f aca="false">IF(Raw_Export!$A2300="","",IF(ISNUMBER(Raw_Export!B2300),Raw_Export!B2300,IF(MID(TRIM(Raw_Export!B2300),5,1)="-",DATE(LEFT(TRIM(Raw_Export!B2300),4),MID(TRIM(Raw_Export!B2300),6,2),RIGHT(TRIM(Raw_Export!B2300),2)),DATE(RIGHT(TRIM(Raw_Export!B2300),4),MATCH(MID(TRIM(Raw_Export!B2300),4,3),{"Jan","Feb","Mar","Apr","May","Jun","Jul","Aug","Sep","Oct","Nov","Dec"},0),LEFT(TRIM(Raw_Export!B2300),2)))))</f>
        <v/>
      </c>
      <c r="C2300" s="36" t="str">
        <f aca="false">IF(Raw_Export!$A2300="","",IFERROR(VLOOKUP(LOWER(TRIM(Raw_Export!C2300)),Maps!$A$2:$B$20,2,FALSE()),"UNMAPPED"))</f>
        <v/>
      </c>
      <c r="D2300" s="36" t="str">
        <f aca="false">IF(Raw_Export!$A2300="","",IFERROR(VLOOKUP(LOWER(TRIM(Raw_Export!D2300)),Maps!$G$2:$I$80,2,FALSE()),"UNMAPPED"))</f>
        <v/>
      </c>
      <c r="E2300" s="36" t="str">
        <f aca="false">IF(Raw_Export!$A2300="","",IFERROR(VLOOKUP(LOWER(TRIM(Raw_Export!D2300)),Maps!$G$2:$I$80,3,FALSE()),"UNMAPPED"))</f>
        <v/>
      </c>
      <c r="F2300" s="36" t="str">
        <f aca="false">IF(Raw_Export!$A2300="","",IFERROR(VALUE(TRIM(Raw_Export!E2300)),0))</f>
        <v/>
      </c>
      <c r="G2300" s="38" t="str">
        <f aca="false">IF(Raw_Export!$A2300="","",IFERROR(VALUE(SUBSTITUTE(SUBSTITUTE(UPPER(TRIM(Raw_Export!F2300)),"KES",""),",","")),0))</f>
        <v/>
      </c>
      <c r="H2300" s="38" t="str">
        <f aca="false">IF(Raw_Export!$A2300="","",F2300*G2300)</f>
        <v/>
      </c>
      <c r="I2300" s="36" t="str">
        <f aca="false">IF(Raw_Export!$A2300="","",IFERROR(VLOOKUP(LOWER(TRIM(Raw_Export!H2300)),Maps!$D$2:$E$12,2,FALSE()),"Other"))</f>
        <v/>
      </c>
      <c r="J2300" s="36" t="str">
        <f aca="false">IF(Raw_Export!$A2300="","",IF(COUNTIF($A$2:A2300,A2300)&gt;1,"Duplicate",""))</f>
        <v/>
      </c>
      <c r="K2300" s="36" t="str">
        <f aca="false">IF(Raw_Export!$A2300="","",IF(J2300="Duplicate","Duplicate",IF(OR(C2300="UNMAPPED",D2300="UNMAPPED"),"Unmapped",IF(F2300=0,"Blank qty",IF(F2300&lt;0,"Return","OK")))))</f>
        <v/>
      </c>
      <c r="L2300" s="36" t="str">
        <f aca="false">IF(Raw_Export!$A2300="","",IF(OR(K2300="OK",K2300="Return"),1,0))</f>
        <v/>
      </c>
      <c r="M2300" s="37" t="str">
        <f aca="false">IF(Raw_Export!$A2300="","",B2300-WEEKDAY(B2300,2)+1)</f>
        <v/>
      </c>
    </row>
    <row r="2301" customFormat="false" ht="15" hidden="false" customHeight="false" outlineLevel="0" collapsed="false">
      <c r="A2301" s="36" t="str">
        <f aca="false">IF(Raw_Export!$A2301="","",TRIM(Raw_Export!A2301))</f>
        <v/>
      </c>
      <c r="B2301" s="37" t="str">
        <f aca="false">IF(Raw_Export!$A2301="","",IF(ISNUMBER(Raw_Export!B2301),Raw_Export!B2301,IF(MID(TRIM(Raw_Export!B2301),5,1)="-",DATE(LEFT(TRIM(Raw_Export!B2301),4),MID(TRIM(Raw_Export!B2301),6,2),RIGHT(TRIM(Raw_Export!B2301),2)),DATE(RIGHT(TRIM(Raw_Export!B2301),4),MATCH(MID(TRIM(Raw_Export!B2301),4,3),{"Jan","Feb","Mar","Apr","May","Jun","Jul","Aug","Sep","Oct","Nov","Dec"},0),LEFT(TRIM(Raw_Export!B2301),2)))))</f>
        <v/>
      </c>
      <c r="C2301" s="36" t="str">
        <f aca="false">IF(Raw_Export!$A2301="","",IFERROR(VLOOKUP(LOWER(TRIM(Raw_Export!C2301)),Maps!$A$2:$B$20,2,FALSE()),"UNMAPPED"))</f>
        <v/>
      </c>
      <c r="D2301" s="36" t="str">
        <f aca="false">IF(Raw_Export!$A2301="","",IFERROR(VLOOKUP(LOWER(TRIM(Raw_Export!D2301)),Maps!$G$2:$I$80,2,FALSE()),"UNMAPPED"))</f>
        <v/>
      </c>
      <c r="E2301" s="36" t="str">
        <f aca="false">IF(Raw_Export!$A2301="","",IFERROR(VLOOKUP(LOWER(TRIM(Raw_Export!D2301)),Maps!$G$2:$I$80,3,FALSE()),"UNMAPPED"))</f>
        <v/>
      </c>
      <c r="F2301" s="36" t="str">
        <f aca="false">IF(Raw_Export!$A2301="","",IFERROR(VALUE(TRIM(Raw_Export!E2301)),0))</f>
        <v/>
      </c>
      <c r="G2301" s="38" t="str">
        <f aca="false">IF(Raw_Export!$A2301="","",IFERROR(VALUE(SUBSTITUTE(SUBSTITUTE(UPPER(TRIM(Raw_Export!F2301)),"KES",""),",","")),0))</f>
        <v/>
      </c>
      <c r="H2301" s="38" t="str">
        <f aca="false">IF(Raw_Export!$A2301="","",F2301*G2301)</f>
        <v/>
      </c>
      <c r="I2301" s="36" t="str">
        <f aca="false">IF(Raw_Export!$A2301="","",IFERROR(VLOOKUP(LOWER(TRIM(Raw_Export!H2301)),Maps!$D$2:$E$12,2,FALSE()),"Other"))</f>
        <v/>
      </c>
      <c r="J2301" s="36" t="str">
        <f aca="false">IF(Raw_Export!$A2301="","",IF(COUNTIF($A$2:A2301,A2301)&gt;1,"Duplicate",""))</f>
        <v/>
      </c>
      <c r="K2301" s="36" t="str">
        <f aca="false">IF(Raw_Export!$A2301="","",IF(J2301="Duplicate","Duplicate",IF(OR(C2301="UNMAPPED",D2301="UNMAPPED"),"Unmapped",IF(F2301=0,"Blank qty",IF(F2301&lt;0,"Return","OK")))))</f>
        <v/>
      </c>
      <c r="L2301" s="36" t="str">
        <f aca="false">IF(Raw_Export!$A2301="","",IF(OR(K2301="OK",K2301="Return"),1,0))</f>
        <v/>
      </c>
      <c r="M2301" s="37" t="str">
        <f aca="false">IF(Raw_Export!$A2301="","",B2301-WEEKDAY(B2301,2)+1)</f>
        <v/>
      </c>
    </row>
    <row r="2302" customFormat="false" ht="15" hidden="false" customHeight="false" outlineLevel="0" collapsed="false">
      <c r="A2302" s="36" t="str">
        <f aca="false">IF(Raw_Export!$A2302="","",TRIM(Raw_Export!A2302))</f>
        <v/>
      </c>
      <c r="B2302" s="37" t="str">
        <f aca="false">IF(Raw_Export!$A2302="","",IF(ISNUMBER(Raw_Export!B2302),Raw_Export!B2302,IF(MID(TRIM(Raw_Export!B2302),5,1)="-",DATE(LEFT(TRIM(Raw_Export!B2302),4),MID(TRIM(Raw_Export!B2302),6,2),RIGHT(TRIM(Raw_Export!B2302),2)),DATE(RIGHT(TRIM(Raw_Export!B2302),4),MATCH(MID(TRIM(Raw_Export!B2302),4,3),{"Jan","Feb","Mar","Apr","May","Jun","Jul","Aug","Sep","Oct","Nov","Dec"},0),LEFT(TRIM(Raw_Export!B2302),2)))))</f>
        <v/>
      </c>
      <c r="C2302" s="36" t="str">
        <f aca="false">IF(Raw_Export!$A2302="","",IFERROR(VLOOKUP(LOWER(TRIM(Raw_Export!C2302)),Maps!$A$2:$B$20,2,FALSE()),"UNMAPPED"))</f>
        <v/>
      </c>
      <c r="D2302" s="36" t="str">
        <f aca="false">IF(Raw_Export!$A2302="","",IFERROR(VLOOKUP(LOWER(TRIM(Raw_Export!D2302)),Maps!$G$2:$I$80,2,FALSE()),"UNMAPPED"))</f>
        <v/>
      </c>
      <c r="E2302" s="36" t="str">
        <f aca="false">IF(Raw_Export!$A2302="","",IFERROR(VLOOKUP(LOWER(TRIM(Raw_Export!D2302)),Maps!$G$2:$I$80,3,FALSE()),"UNMAPPED"))</f>
        <v/>
      </c>
      <c r="F2302" s="36" t="str">
        <f aca="false">IF(Raw_Export!$A2302="","",IFERROR(VALUE(TRIM(Raw_Export!E2302)),0))</f>
        <v/>
      </c>
      <c r="G2302" s="38" t="str">
        <f aca="false">IF(Raw_Export!$A2302="","",IFERROR(VALUE(SUBSTITUTE(SUBSTITUTE(UPPER(TRIM(Raw_Export!F2302)),"KES",""),",","")),0))</f>
        <v/>
      </c>
      <c r="H2302" s="38" t="str">
        <f aca="false">IF(Raw_Export!$A2302="","",F2302*G2302)</f>
        <v/>
      </c>
      <c r="I2302" s="36" t="str">
        <f aca="false">IF(Raw_Export!$A2302="","",IFERROR(VLOOKUP(LOWER(TRIM(Raw_Export!H2302)),Maps!$D$2:$E$12,2,FALSE()),"Other"))</f>
        <v/>
      </c>
      <c r="J2302" s="36" t="str">
        <f aca="false">IF(Raw_Export!$A2302="","",IF(COUNTIF($A$2:A2302,A2302)&gt;1,"Duplicate",""))</f>
        <v/>
      </c>
      <c r="K2302" s="36" t="str">
        <f aca="false">IF(Raw_Export!$A2302="","",IF(J2302="Duplicate","Duplicate",IF(OR(C2302="UNMAPPED",D2302="UNMAPPED"),"Unmapped",IF(F2302=0,"Blank qty",IF(F2302&lt;0,"Return","OK")))))</f>
        <v/>
      </c>
      <c r="L2302" s="36" t="str">
        <f aca="false">IF(Raw_Export!$A2302="","",IF(OR(K2302="OK",K2302="Return"),1,0))</f>
        <v/>
      </c>
      <c r="M2302" s="37" t="str">
        <f aca="false">IF(Raw_Export!$A2302="","",B2302-WEEKDAY(B2302,2)+1)</f>
        <v/>
      </c>
    </row>
    <row r="2303" customFormat="false" ht="15" hidden="false" customHeight="false" outlineLevel="0" collapsed="false">
      <c r="A2303" s="36" t="str">
        <f aca="false">IF(Raw_Export!$A2303="","",TRIM(Raw_Export!A2303))</f>
        <v/>
      </c>
      <c r="B2303" s="37" t="str">
        <f aca="false">IF(Raw_Export!$A2303="","",IF(ISNUMBER(Raw_Export!B2303),Raw_Export!B2303,IF(MID(TRIM(Raw_Export!B2303),5,1)="-",DATE(LEFT(TRIM(Raw_Export!B2303),4),MID(TRIM(Raw_Export!B2303),6,2),RIGHT(TRIM(Raw_Export!B2303),2)),DATE(RIGHT(TRIM(Raw_Export!B2303),4),MATCH(MID(TRIM(Raw_Export!B2303),4,3),{"Jan","Feb","Mar","Apr","May","Jun","Jul","Aug","Sep","Oct","Nov","Dec"},0),LEFT(TRIM(Raw_Export!B2303),2)))))</f>
        <v/>
      </c>
      <c r="C2303" s="36" t="str">
        <f aca="false">IF(Raw_Export!$A2303="","",IFERROR(VLOOKUP(LOWER(TRIM(Raw_Export!C2303)),Maps!$A$2:$B$20,2,FALSE()),"UNMAPPED"))</f>
        <v/>
      </c>
      <c r="D2303" s="36" t="str">
        <f aca="false">IF(Raw_Export!$A2303="","",IFERROR(VLOOKUP(LOWER(TRIM(Raw_Export!D2303)),Maps!$G$2:$I$80,2,FALSE()),"UNMAPPED"))</f>
        <v/>
      </c>
      <c r="E2303" s="36" t="str">
        <f aca="false">IF(Raw_Export!$A2303="","",IFERROR(VLOOKUP(LOWER(TRIM(Raw_Export!D2303)),Maps!$G$2:$I$80,3,FALSE()),"UNMAPPED"))</f>
        <v/>
      </c>
      <c r="F2303" s="36" t="str">
        <f aca="false">IF(Raw_Export!$A2303="","",IFERROR(VALUE(TRIM(Raw_Export!E2303)),0))</f>
        <v/>
      </c>
      <c r="G2303" s="38" t="str">
        <f aca="false">IF(Raw_Export!$A2303="","",IFERROR(VALUE(SUBSTITUTE(SUBSTITUTE(UPPER(TRIM(Raw_Export!F2303)),"KES",""),",","")),0))</f>
        <v/>
      </c>
      <c r="H2303" s="38" t="str">
        <f aca="false">IF(Raw_Export!$A2303="","",F2303*G2303)</f>
        <v/>
      </c>
      <c r="I2303" s="36" t="str">
        <f aca="false">IF(Raw_Export!$A2303="","",IFERROR(VLOOKUP(LOWER(TRIM(Raw_Export!H2303)),Maps!$D$2:$E$12,2,FALSE()),"Other"))</f>
        <v/>
      </c>
      <c r="J2303" s="36" t="str">
        <f aca="false">IF(Raw_Export!$A2303="","",IF(COUNTIF($A$2:A2303,A2303)&gt;1,"Duplicate",""))</f>
        <v/>
      </c>
      <c r="K2303" s="36" t="str">
        <f aca="false">IF(Raw_Export!$A2303="","",IF(J2303="Duplicate","Duplicate",IF(OR(C2303="UNMAPPED",D2303="UNMAPPED"),"Unmapped",IF(F2303=0,"Blank qty",IF(F2303&lt;0,"Return","OK")))))</f>
        <v/>
      </c>
      <c r="L2303" s="36" t="str">
        <f aca="false">IF(Raw_Export!$A2303="","",IF(OR(K2303="OK",K2303="Return"),1,0))</f>
        <v/>
      </c>
      <c r="M2303" s="37" t="str">
        <f aca="false">IF(Raw_Export!$A2303="","",B2303-WEEKDAY(B2303,2)+1)</f>
        <v/>
      </c>
    </row>
    <row r="2304" customFormat="false" ht="15" hidden="false" customHeight="false" outlineLevel="0" collapsed="false">
      <c r="A2304" s="36" t="str">
        <f aca="false">IF(Raw_Export!$A2304="","",TRIM(Raw_Export!A2304))</f>
        <v/>
      </c>
      <c r="B2304" s="37" t="str">
        <f aca="false">IF(Raw_Export!$A2304="","",IF(ISNUMBER(Raw_Export!B2304),Raw_Export!B2304,IF(MID(TRIM(Raw_Export!B2304),5,1)="-",DATE(LEFT(TRIM(Raw_Export!B2304),4),MID(TRIM(Raw_Export!B2304),6,2),RIGHT(TRIM(Raw_Export!B2304),2)),DATE(RIGHT(TRIM(Raw_Export!B2304),4),MATCH(MID(TRIM(Raw_Export!B2304),4,3),{"Jan","Feb","Mar","Apr","May","Jun","Jul","Aug","Sep","Oct","Nov","Dec"},0),LEFT(TRIM(Raw_Export!B2304),2)))))</f>
        <v/>
      </c>
      <c r="C2304" s="36" t="str">
        <f aca="false">IF(Raw_Export!$A2304="","",IFERROR(VLOOKUP(LOWER(TRIM(Raw_Export!C2304)),Maps!$A$2:$B$20,2,FALSE()),"UNMAPPED"))</f>
        <v/>
      </c>
      <c r="D2304" s="36" t="str">
        <f aca="false">IF(Raw_Export!$A2304="","",IFERROR(VLOOKUP(LOWER(TRIM(Raw_Export!D2304)),Maps!$G$2:$I$80,2,FALSE()),"UNMAPPED"))</f>
        <v/>
      </c>
      <c r="E2304" s="36" t="str">
        <f aca="false">IF(Raw_Export!$A2304="","",IFERROR(VLOOKUP(LOWER(TRIM(Raw_Export!D2304)),Maps!$G$2:$I$80,3,FALSE()),"UNMAPPED"))</f>
        <v/>
      </c>
      <c r="F2304" s="36" t="str">
        <f aca="false">IF(Raw_Export!$A2304="","",IFERROR(VALUE(TRIM(Raw_Export!E2304)),0))</f>
        <v/>
      </c>
      <c r="G2304" s="38" t="str">
        <f aca="false">IF(Raw_Export!$A2304="","",IFERROR(VALUE(SUBSTITUTE(SUBSTITUTE(UPPER(TRIM(Raw_Export!F2304)),"KES",""),",","")),0))</f>
        <v/>
      </c>
      <c r="H2304" s="38" t="str">
        <f aca="false">IF(Raw_Export!$A2304="","",F2304*G2304)</f>
        <v/>
      </c>
      <c r="I2304" s="36" t="str">
        <f aca="false">IF(Raw_Export!$A2304="","",IFERROR(VLOOKUP(LOWER(TRIM(Raw_Export!H2304)),Maps!$D$2:$E$12,2,FALSE()),"Other"))</f>
        <v/>
      </c>
      <c r="J2304" s="36" t="str">
        <f aca="false">IF(Raw_Export!$A2304="","",IF(COUNTIF($A$2:A2304,A2304)&gt;1,"Duplicate",""))</f>
        <v/>
      </c>
      <c r="K2304" s="36" t="str">
        <f aca="false">IF(Raw_Export!$A2304="","",IF(J2304="Duplicate","Duplicate",IF(OR(C2304="UNMAPPED",D2304="UNMAPPED"),"Unmapped",IF(F2304=0,"Blank qty",IF(F2304&lt;0,"Return","OK")))))</f>
        <v/>
      </c>
      <c r="L2304" s="36" t="str">
        <f aca="false">IF(Raw_Export!$A2304="","",IF(OR(K2304="OK",K2304="Return"),1,0))</f>
        <v/>
      </c>
      <c r="M2304" s="37" t="str">
        <f aca="false">IF(Raw_Export!$A2304="","",B2304-WEEKDAY(B2304,2)+1)</f>
        <v/>
      </c>
    </row>
    <row r="2305" customFormat="false" ht="15" hidden="false" customHeight="false" outlineLevel="0" collapsed="false">
      <c r="A2305" s="36" t="str">
        <f aca="false">IF(Raw_Export!$A2305="","",TRIM(Raw_Export!A2305))</f>
        <v/>
      </c>
      <c r="B2305" s="37" t="str">
        <f aca="false">IF(Raw_Export!$A2305="","",IF(ISNUMBER(Raw_Export!B2305),Raw_Export!B2305,IF(MID(TRIM(Raw_Export!B2305),5,1)="-",DATE(LEFT(TRIM(Raw_Export!B2305),4),MID(TRIM(Raw_Export!B2305),6,2),RIGHT(TRIM(Raw_Export!B2305),2)),DATE(RIGHT(TRIM(Raw_Export!B2305),4),MATCH(MID(TRIM(Raw_Export!B2305),4,3),{"Jan","Feb","Mar","Apr","May","Jun","Jul","Aug","Sep","Oct","Nov","Dec"},0),LEFT(TRIM(Raw_Export!B2305),2)))))</f>
        <v/>
      </c>
      <c r="C2305" s="36" t="str">
        <f aca="false">IF(Raw_Export!$A2305="","",IFERROR(VLOOKUP(LOWER(TRIM(Raw_Export!C2305)),Maps!$A$2:$B$20,2,FALSE()),"UNMAPPED"))</f>
        <v/>
      </c>
      <c r="D2305" s="36" t="str">
        <f aca="false">IF(Raw_Export!$A2305="","",IFERROR(VLOOKUP(LOWER(TRIM(Raw_Export!D2305)),Maps!$G$2:$I$80,2,FALSE()),"UNMAPPED"))</f>
        <v/>
      </c>
      <c r="E2305" s="36" t="str">
        <f aca="false">IF(Raw_Export!$A2305="","",IFERROR(VLOOKUP(LOWER(TRIM(Raw_Export!D2305)),Maps!$G$2:$I$80,3,FALSE()),"UNMAPPED"))</f>
        <v/>
      </c>
      <c r="F2305" s="36" t="str">
        <f aca="false">IF(Raw_Export!$A2305="","",IFERROR(VALUE(TRIM(Raw_Export!E2305)),0))</f>
        <v/>
      </c>
      <c r="G2305" s="38" t="str">
        <f aca="false">IF(Raw_Export!$A2305="","",IFERROR(VALUE(SUBSTITUTE(SUBSTITUTE(UPPER(TRIM(Raw_Export!F2305)),"KES",""),",","")),0))</f>
        <v/>
      </c>
      <c r="H2305" s="38" t="str">
        <f aca="false">IF(Raw_Export!$A2305="","",F2305*G2305)</f>
        <v/>
      </c>
      <c r="I2305" s="36" t="str">
        <f aca="false">IF(Raw_Export!$A2305="","",IFERROR(VLOOKUP(LOWER(TRIM(Raw_Export!H2305)),Maps!$D$2:$E$12,2,FALSE()),"Other"))</f>
        <v/>
      </c>
      <c r="J2305" s="36" t="str">
        <f aca="false">IF(Raw_Export!$A2305="","",IF(COUNTIF($A$2:A2305,A2305)&gt;1,"Duplicate",""))</f>
        <v/>
      </c>
      <c r="K2305" s="36" t="str">
        <f aca="false">IF(Raw_Export!$A2305="","",IF(J2305="Duplicate","Duplicate",IF(OR(C2305="UNMAPPED",D2305="UNMAPPED"),"Unmapped",IF(F2305=0,"Blank qty",IF(F2305&lt;0,"Return","OK")))))</f>
        <v/>
      </c>
      <c r="L2305" s="36" t="str">
        <f aca="false">IF(Raw_Export!$A2305="","",IF(OR(K2305="OK",K2305="Return"),1,0))</f>
        <v/>
      </c>
      <c r="M2305" s="37" t="str">
        <f aca="false">IF(Raw_Export!$A2305="","",B2305-WEEKDAY(B2305,2)+1)</f>
        <v/>
      </c>
    </row>
    <row r="2306" customFormat="false" ht="15" hidden="false" customHeight="false" outlineLevel="0" collapsed="false">
      <c r="A2306" s="36" t="str">
        <f aca="false">IF(Raw_Export!$A2306="","",TRIM(Raw_Export!A2306))</f>
        <v/>
      </c>
      <c r="B2306" s="37" t="str">
        <f aca="false">IF(Raw_Export!$A2306="","",IF(ISNUMBER(Raw_Export!B2306),Raw_Export!B2306,IF(MID(TRIM(Raw_Export!B2306),5,1)="-",DATE(LEFT(TRIM(Raw_Export!B2306),4),MID(TRIM(Raw_Export!B2306),6,2),RIGHT(TRIM(Raw_Export!B2306),2)),DATE(RIGHT(TRIM(Raw_Export!B2306),4),MATCH(MID(TRIM(Raw_Export!B2306),4,3),{"Jan","Feb","Mar","Apr","May","Jun","Jul","Aug","Sep","Oct","Nov","Dec"},0),LEFT(TRIM(Raw_Export!B2306),2)))))</f>
        <v/>
      </c>
      <c r="C2306" s="36" t="str">
        <f aca="false">IF(Raw_Export!$A2306="","",IFERROR(VLOOKUP(LOWER(TRIM(Raw_Export!C2306)),Maps!$A$2:$B$20,2,FALSE()),"UNMAPPED"))</f>
        <v/>
      </c>
      <c r="D2306" s="36" t="str">
        <f aca="false">IF(Raw_Export!$A2306="","",IFERROR(VLOOKUP(LOWER(TRIM(Raw_Export!D2306)),Maps!$G$2:$I$80,2,FALSE()),"UNMAPPED"))</f>
        <v/>
      </c>
      <c r="E2306" s="36" t="str">
        <f aca="false">IF(Raw_Export!$A2306="","",IFERROR(VLOOKUP(LOWER(TRIM(Raw_Export!D2306)),Maps!$G$2:$I$80,3,FALSE()),"UNMAPPED"))</f>
        <v/>
      </c>
      <c r="F2306" s="36" t="str">
        <f aca="false">IF(Raw_Export!$A2306="","",IFERROR(VALUE(TRIM(Raw_Export!E2306)),0))</f>
        <v/>
      </c>
      <c r="G2306" s="38" t="str">
        <f aca="false">IF(Raw_Export!$A2306="","",IFERROR(VALUE(SUBSTITUTE(SUBSTITUTE(UPPER(TRIM(Raw_Export!F2306)),"KES",""),",","")),0))</f>
        <v/>
      </c>
      <c r="H2306" s="38" t="str">
        <f aca="false">IF(Raw_Export!$A2306="","",F2306*G2306)</f>
        <v/>
      </c>
      <c r="I2306" s="36" t="str">
        <f aca="false">IF(Raw_Export!$A2306="","",IFERROR(VLOOKUP(LOWER(TRIM(Raw_Export!H2306)),Maps!$D$2:$E$12,2,FALSE()),"Other"))</f>
        <v/>
      </c>
      <c r="J2306" s="36" t="str">
        <f aca="false">IF(Raw_Export!$A2306="","",IF(COUNTIF($A$2:A2306,A2306)&gt;1,"Duplicate",""))</f>
        <v/>
      </c>
      <c r="K2306" s="36" t="str">
        <f aca="false">IF(Raw_Export!$A2306="","",IF(J2306="Duplicate","Duplicate",IF(OR(C2306="UNMAPPED",D2306="UNMAPPED"),"Unmapped",IF(F2306=0,"Blank qty",IF(F2306&lt;0,"Return","OK")))))</f>
        <v/>
      </c>
      <c r="L2306" s="36" t="str">
        <f aca="false">IF(Raw_Export!$A2306="","",IF(OR(K2306="OK",K2306="Return"),1,0))</f>
        <v/>
      </c>
      <c r="M2306" s="37" t="str">
        <f aca="false">IF(Raw_Export!$A2306="","",B2306-WEEKDAY(B2306,2)+1)</f>
        <v/>
      </c>
    </row>
    <row r="2307" customFormat="false" ht="15" hidden="false" customHeight="false" outlineLevel="0" collapsed="false">
      <c r="A2307" s="36" t="str">
        <f aca="false">IF(Raw_Export!$A2307="","",TRIM(Raw_Export!A2307))</f>
        <v/>
      </c>
      <c r="B2307" s="37" t="str">
        <f aca="false">IF(Raw_Export!$A2307="","",IF(ISNUMBER(Raw_Export!B2307),Raw_Export!B2307,IF(MID(TRIM(Raw_Export!B2307),5,1)="-",DATE(LEFT(TRIM(Raw_Export!B2307),4),MID(TRIM(Raw_Export!B2307),6,2),RIGHT(TRIM(Raw_Export!B2307),2)),DATE(RIGHT(TRIM(Raw_Export!B2307),4),MATCH(MID(TRIM(Raw_Export!B2307),4,3),{"Jan","Feb","Mar","Apr","May","Jun","Jul","Aug","Sep","Oct","Nov","Dec"},0),LEFT(TRIM(Raw_Export!B2307),2)))))</f>
        <v/>
      </c>
      <c r="C2307" s="36" t="str">
        <f aca="false">IF(Raw_Export!$A2307="","",IFERROR(VLOOKUP(LOWER(TRIM(Raw_Export!C2307)),Maps!$A$2:$B$20,2,FALSE()),"UNMAPPED"))</f>
        <v/>
      </c>
      <c r="D2307" s="36" t="str">
        <f aca="false">IF(Raw_Export!$A2307="","",IFERROR(VLOOKUP(LOWER(TRIM(Raw_Export!D2307)),Maps!$G$2:$I$80,2,FALSE()),"UNMAPPED"))</f>
        <v/>
      </c>
      <c r="E2307" s="36" t="str">
        <f aca="false">IF(Raw_Export!$A2307="","",IFERROR(VLOOKUP(LOWER(TRIM(Raw_Export!D2307)),Maps!$G$2:$I$80,3,FALSE()),"UNMAPPED"))</f>
        <v/>
      </c>
      <c r="F2307" s="36" t="str">
        <f aca="false">IF(Raw_Export!$A2307="","",IFERROR(VALUE(TRIM(Raw_Export!E2307)),0))</f>
        <v/>
      </c>
      <c r="G2307" s="38" t="str">
        <f aca="false">IF(Raw_Export!$A2307="","",IFERROR(VALUE(SUBSTITUTE(SUBSTITUTE(UPPER(TRIM(Raw_Export!F2307)),"KES",""),",","")),0))</f>
        <v/>
      </c>
      <c r="H2307" s="38" t="str">
        <f aca="false">IF(Raw_Export!$A2307="","",F2307*G2307)</f>
        <v/>
      </c>
      <c r="I2307" s="36" t="str">
        <f aca="false">IF(Raw_Export!$A2307="","",IFERROR(VLOOKUP(LOWER(TRIM(Raw_Export!H2307)),Maps!$D$2:$E$12,2,FALSE()),"Other"))</f>
        <v/>
      </c>
      <c r="J2307" s="36" t="str">
        <f aca="false">IF(Raw_Export!$A2307="","",IF(COUNTIF($A$2:A2307,A2307)&gt;1,"Duplicate",""))</f>
        <v/>
      </c>
      <c r="K2307" s="36" t="str">
        <f aca="false">IF(Raw_Export!$A2307="","",IF(J2307="Duplicate","Duplicate",IF(OR(C2307="UNMAPPED",D2307="UNMAPPED"),"Unmapped",IF(F2307=0,"Blank qty",IF(F2307&lt;0,"Return","OK")))))</f>
        <v/>
      </c>
      <c r="L2307" s="36" t="str">
        <f aca="false">IF(Raw_Export!$A2307="","",IF(OR(K2307="OK",K2307="Return"),1,0))</f>
        <v/>
      </c>
      <c r="M2307" s="37" t="str">
        <f aca="false">IF(Raw_Export!$A2307="","",B2307-WEEKDAY(B2307,2)+1)</f>
        <v/>
      </c>
    </row>
    <row r="2308" customFormat="false" ht="15" hidden="false" customHeight="false" outlineLevel="0" collapsed="false">
      <c r="A2308" s="36" t="str">
        <f aca="false">IF(Raw_Export!$A2308="","",TRIM(Raw_Export!A2308))</f>
        <v/>
      </c>
      <c r="B2308" s="37" t="str">
        <f aca="false">IF(Raw_Export!$A2308="","",IF(ISNUMBER(Raw_Export!B2308),Raw_Export!B2308,IF(MID(TRIM(Raw_Export!B2308),5,1)="-",DATE(LEFT(TRIM(Raw_Export!B2308),4),MID(TRIM(Raw_Export!B2308),6,2),RIGHT(TRIM(Raw_Export!B2308),2)),DATE(RIGHT(TRIM(Raw_Export!B2308),4),MATCH(MID(TRIM(Raw_Export!B2308),4,3),{"Jan","Feb","Mar","Apr","May","Jun","Jul","Aug","Sep","Oct","Nov","Dec"},0),LEFT(TRIM(Raw_Export!B2308),2)))))</f>
        <v/>
      </c>
      <c r="C2308" s="36" t="str">
        <f aca="false">IF(Raw_Export!$A2308="","",IFERROR(VLOOKUP(LOWER(TRIM(Raw_Export!C2308)),Maps!$A$2:$B$20,2,FALSE()),"UNMAPPED"))</f>
        <v/>
      </c>
      <c r="D2308" s="36" t="str">
        <f aca="false">IF(Raw_Export!$A2308="","",IFERROR(VLOOKUP(LOWER(TRIM(Raw_Export!D2308)),Maps!$G$2:$I$80,2,FALSE()),"UNMAPPED"))</f>
        <v/>
      </c>
      <c r="E2308" s="36" t="str">
        <f aca="false">IF(Raw_Export!$A2308="","",IFERROR(VLOOKUP(LOWER(TRIM(Raw_Export!D2308)),Maps!$G$2:$I$80,3,FALSE()),"UNMAPPED"))</f>
        <v/>
      </c>
      <c r="F2308" s="36" t="str">
        <f aca="false">IF(Raw_Export!$A2308="","",IFERROR(VALUE(TRIM(Raw_Export!E2308)),0))</f>
        <v/>
      </c>
      <c r="G2308" s="38" t="str">
        <f aca="false">IF(Raw_Export!$A2308="","",IFERROR(VALUE(SUBSTITUTE(SUBSTITUTE(UPPER(TRIM(Raw_Export!F2308)),"KES",""),",","")),0))</f>
        <v/>
      </c>
      <c r="H2308" s="38" t="str">
        <f aca="false">IF(Raw_Export!$A2308="","",F2308*G2308)</f>
        <v/>
      </c>
      <c r="I2308" s="36" t="str">
        <f aca="false">IF(Raw_Export!$A2308="","",IFERROR(VLOOKUP(LOWER(TRIM(Raw_Export!H2308)),Maps!$D$2:$E$12,2,FALSE()),"Other"))</f>
        <v/>
      </c>
      <c r="J2308" s="36" t="str">
        <f aca="false">IF(Raw_Export!$A2308="","",IF(COUNTIF($A$2:A2308,A2308)&gt;1,"Duplicate",""))</f>
        <v/>
      </c>
      <c r="K2308" s="36" t="str">
        <f aca="false">IF(Raw_Export!$A2308="","",IF(J2308="Duplicate","Duplicate",IF(OR(C2308="UNMAPPED",D2308="UNMAPPED"),"Unmapped",IF(F2308=0,"Blank qty",IF(F2308&lt;0,"Return","OK")))))</f>
        <v/>
      </c>
      <c r="L2308" s="36" t="str">
        <f aca="false">IF(Raw_Export!$A2308="","",IF(OR(K2308="OK",K2308="Return"),1,0))</f>
        <v/>
      </c>
      <c r="M2308" s="37" t="str">
        <f aca="false">IF(Raw_Export!$A2308="","",B2308-WEEKDAY(B2308,2)+1)</f>
        <v/>
      </c>
    </row>
    <row r="2309" customFormat="false" ht="15" hidden="false" customHeight="false" outlineLevel="0" collapsed="false">
      <c r="A2309" s="36" t="str">
        <f aca="false">IF(Raw_Export!$A2309="","",TRIM(Raw_Export!A2309))</f>
        <v/>
      </c>
      <c r="B2309" s="37" t="str">
        <f aca="false">IF(Raw_Export!$A2309="","",IF(ISNUMBER(Raw_Export!B2309),Raw_Export!B2309,IF(MID(TRIM(Raw_Export!B2309),5,1)="-",DATE(LEFT(TRIM(Raw_Export!B2309),4),MID(TRIM(Raw_Export!B2309),6,2),RIGHT(TRIM(Raw_Export!B2309),2)),DATE(RIGHT(TRIM(Raw_Export!B2309),4),MATCH(MID(TRIM(Raw_Export!B2309),4,3),{"Jan","Feb","Mar","Apr","May","Jun","Jul","Aug","Sep","Oct","Nov","Dec"},0),LEFT(TRIM(Raw_Export!B2309),2)))))</f>
        <v/>
      </c>
      <c r="C2309" s="36" t="str">
        <f aca="false">IF(Raw_Export!$A2309="","",IFERROR(VLOOKUP(LOWER(TRIM(Raw_Export!C2309)),Maps!$A$2:$B$20,2,FALSE()),"UNMAPPED"))</f>
        <v/>
      </c>
      <c r="D2309" s="36" t="str">
        <f aca="false">IF(Raw_Export!$A2309="","",IFERROR(VLOOKUP(LOWER(TRIM(Raw_Export!D2309)),Maps!$G$2:$I$80,2,FALSE()),"UNMAPPED"))</f>
        <v/>
      </c>
      <c r="E2309" s="36" t="str">
        <f aca="false">IF(Raw_Export!$A2309="","",IFERROR(VLOOKUP(LOWER(TRIM(Raw_Export!D2309)),Maps!$G$2:$I$80,3,FALSE()),"UNMAPPED"))</f>
        <v/>
      </c>
      <c r="F2309" s="36" t="str">
        <f aca="false">IF(Raw_Export!$A2309="","",IFERROR(VALUE(TRIM(Raw_Export!E2309)),0))</f>
        <v/>
      </c>
      <c r="G2309" s="38" t="str">
        <f aca="false">IF(Raw_Export!$A2309="","",IFERROR(VALUE(SUBSTITUTE(SUBSTITUTE(UPPER(TRIM(Raw_Export!F2309)),"KES",""),",","")),0))</f>
        <v/>
      </c>
      <c r="H2309" s="38" t="str">
        <f aca="false">IF(Raw_Export!$A2309="","",F2309*G2309)</f>
        <v/>
      </c>
      <c r="I2309" s="36" t="str">
        <f aca="false">IF(Raw_Export!$A2309="","",IFERROR(VLOOKUP(LOWER(TRIM(Raw_Export!H2309)),Maps!$D$2:$E$12,2,FALSE()),"Other"))</f>
        <v/>
      </c>
      <c r="J2309" s="36" t="str">
        <f aca="false">IF(Raw_Export!$A2309="","",IF(COUNTIF($A$2:A2309,A2309)&gt;1,"Duplicate",""))</f>
        <v/>
      </c>
      <c r="K2309" s="36" t="str">
        <f aca="false">IF(Raw_Export!$A2309="","",IF(J2309="Duplicate","Duplicate",IF(OR(C2309="UNMAPPED",D2309="UNMAPPED"),"Unmapped",IF(F2309=0,"Blank qty",IF(F2309&lt;0,"Return","OK")))))</f>
        <v/>
      </c>
      <c r="L2309" s="36" t="str">
        <f aca="false">IF(Raw_Export!$A2309="","",IF(OR(K2309="OK",K2309="Return"),1,0))</f>
        <v/>
      </c>
      <c r="M2309" s="37" t="str">
        <f aca="false">IF(Raw_Export!$A2309="","",B2309-WEEKDAY(B2309,2)+1)</f>
        <v/>
      </c>
    </row>
    <row r="2310" customFormat="false" ht="15" hidden="false" customHeight="false" outlineLevel="0" collapsed="false">
      <c r="A2310" s="36" t="str">
        <f aca="false">IF(Raw_Export!$A2310="","",TRIM(Raw_Export!A2310))</f>
        <v/>
      </c>
      <c r="B2310" s="37" t="str">
        <f aca="false">IF(Raw_Export!$A2310="","",IF(ISNUMBER(Raw_Export!B2310),Raw_Export!B2310,IF(MID(TRIM(Raw_Export!B2310),5,1)="-",DATE(LEFT(TRIM(Raw_Export!B2310),4),MID(TRIM(Raw_Export!B2310),6,2),RIGHT(TRIM(Raw_Export!B2310),2)),DATE(RIGHT(TRIM(Raw_Export!B2310),4),MATCH(MID(TRIM(Raw_Export!B2310),4,3),{"Jan","Feb","Mar","Apr","May","Jun","Jul","Aug","Sep","Oct","Nov","Dec"},0),LEFT(TRIM(Raw_Export!B2310),2)))))</f>
        <v/>
      </c>
      <c r="C2310" s="36" t="str">
        <f aca="false">IF(Raw_Export!$A2310="","",IFERROR(VLOOKUP(LOWER(TRIM(Raw_Export!C2310)),Maps!$A$2:$B$20,2,FALSE()),"UNMAPPED"))</f>
        <v/>
      </c>
      <c r="D2310" s="36" t="str">
        <f aca="false">IF(Raw_Export!$A2310="","",IFERROR(VLOOKUP(LOWER(TRIM(Raw_Export!D2310)),Maps!$G$2:$I$80,2,FALSE()),"UNMAPPED"))</f>
        <v/>
      </c>
      <c r="E2310" s="36" t="str">
        <f aca="false">IF(Raw_Export!$A2310="","",IFERROR(VLOOKUP(LOWER(TRIM(Raw_Export!D2310)),Maps!$G$2:$I$80,3,FALSE()),"UNMAPPED"))</f>
        <v/>
      </c>
      <c r="F2310" s="36" t="str">
        <f aca="false">IF(Raw_Export!$A2310="","",IFERROR(VALUE(TRIM(Raw_Export!E2310)),0))</f>
        <v/>
      </c>
      <c r="G2310" s="38" t="str">
        <f aca="false">IF(Raw_Export!$A2310="","",IFERROR(VALUE(SUBSTITUTE(SUBSTITUTE(UPPER(TRIM(Raw_Export!F2310)),"KES",""),",","")),0))</f>
        <v/>
      </c>
      <c r="H2310" s="38" t="str">
        <f aca="false">IF(Raw_Export!$A2310="","",F2310*G2310)</f>
        <v/>
      </c>
      <c r="I2310" s="36" t="str">
        <f aca="false">IF(Raw_Export!$A2310="","",IFERROR(VLOOKUP(LOWER(TRIM(Raw_Export!H2310)),Maps!$D$2:$E$12,2,FALSE()),"Other"))</f>
        <v/>
      </c>
      <c r="J2310" s="36" t="str">
        <f aca="false">IF(Raw_Export!$A2310="","",IF(COUNTIF($A$2:A2310,A2310)&gt;1,"Duplicate",""))</f>
        <v/>
      </c>
      <c r="K2310" s="36" t="str">
        <f aca="false">IF(Raw_Export!$A2310="","",IF(J2310="Duplicate","Duplicate",IF(OR(C2310="UNMAPPED",D2310="UNMAPPED"),"Unmapped",IF(F2310=0,"Blank qty",IF(F2310&lt;0,"Return","OK")))))</f>
        <v/>
      </c>
      <c r="L2310" s="36" t="str">
        <f aca="false">IF(Raw_Export!$A2310="","",IF(OR(K2310="OK",K2310="Return"),1,0))</f>
        <v/>
      </c>
      <c r="M2310" s="37" t="str">
        <f aca="false">IF(Raw_Export!$A2310="","",B2310-WEEKDAY(B2310,2)+1)</f>
        <v/>
      </c>
    </row>
    <row r="2311" customFormat="false" ht="15" hidden="false" customHeight="false" outlineLevel="0" collapsed="false">
      <c r="A2311" s="36" t="str">
        <f aca="false">IF(Raw_Export!$A2311="","",TRIM(Raw_Export!A2311))</f>
        <v/>
      </c>
      <c r="B2311" s="37" t="str">
        <f aca="false">IF(Raw_Export!$A2311="","",IF(ISNUMBER(Raw_Export!B2311),Raw_Export!B2311,IF(MID(TRIM(Raw_Export!B2311),5,1)="-",DATE(LEFT(TRIM(Raw_Export!B2311),4),MID(TRIM(Raw_Export!B2311),6,2),RIGHT(TRIM(Raw_Export!B2311),2)),DATE(RIGHT(TRIM(Raw_Export!B2311),4),MATCH(MID(TRIM(Raw_Export!B2311),4,3),{"Jan","Feb","Mar","Apr","May","Jun","Jul","Aug","Sep","Oct","Nov","Dec"},0),LEFT(TRIM(Raw_Export!B2311),2)))))</f>
        <v/>
      </c>
      <c r="C2311" s="36" t="str">
        <f aca="false">IF(Raw_Export!$A2311="","",IFERROR(VLOOKUP(LOWER(TRIM(Raw_Export!C2311)),Maps!$A$2:$B$20,2,FALSE()),"UNMAPPED"))</f>
        <v/>
      </c>
      <c r="D2311" s="36" t="str">
        <f aca="false">IF(Raw_Export!$A2311="","",IFERROR(VLOOKUP(LOWER(TRIM(Raw_Export!D2311)),Maps!$G$2:$I$80,2,FALSE()),"UNMAPPED"))</f>
        <v/>
      </c>
      <c r="E2311" s="36" t="str">
        <f aca="false">IF(Raw_Export!$A2311="","",IFERROR(VLOOKUP(LOWER(TRIM(Raw_Export!D2311)),Maps!$G$2:$I$80,3,FALSE()),"UNMAPPED"))</f>
        <v/>
      </c>
      <c r="F2311" s="36" t="str">
        <f aca="false">IF(Raw_Export!$A2311="","",IFERROR(VALUE(TRIM(Raw_Export!E2311)),0))</f>
        <v/>
      </c>
      <c r="G2311" s="38" t="str">
        <f aca="false">IF(Raw_Export!$A2311="","",IFERROR(VALUE(SUBSTITUTE(SUBSTITUTE(UPPER(TRIM(Raw_Export!F2311)),"KES",""),",","")),0))</f>
        <v/>
      </c>
      <c r="H2311" s="38" t="str">
        <f aca="false">IF(Raw_Export!$A2311="","",F2311*G2311)</f>
        <v/>
      </c>
      <c r="I2311" s="36" t="str">
        <f aca="false">IF(Raw_Export!$A2311="","",IFERROR(VLOOKUP(LOWER(TRIM(Raw_Export!H2311)),Maps!$D$2:$E$12,2,FALSE()),"Other"))</f>
        <v/>
      </c>
      <c r="J2311" s="36" t="str">
        <f aca="false">IF(Raw_Export!$A2311="","",IF(COUNTIF($A$2:A2311,A2311)&gt;1,"Duplicate",""))</f>
        <v/>
      </c>
      <c r="K2311" s="36" t="str">
        <f aca="false">IF(Raw_Export!$A2311="","",IF(J2311="Duplicate","Duplicate",IF(OR(C2311="UNMAPPED",D2311="UNMAPPED"),"Unmapped",IF(F2311=0,"Blank qty",IF(F2311&lt;0,"Return","OK")))))</f>
        <v/>
      </c>
      <c r="L2311" s="36" t="str">
        <f aca="false">IF(Raw_Export!$A2311="","",IF(OR(K2311="OK",K2311="Return"),1,0))</f>
        <v/>
      </c>
      <c r="M2311" s="37" t="str">
        <f aca="false">IF(Raw_Export!$A2311="","",B2311-WEEKDAY(B2311,2)+1)</f>
        <v/>
      </c>
    </row>
    <row r="2312" customFormat="false" ht="15" hidden="false" customHeight="false" outlineLevel="0" collapsed="false">
      <c r="A2312" s="36" t="str">
        <f aca="false">IF(Raw_Export!$A2312="","",TRIM(Raw_Export!A2312))</f>
        <v/>
      </c>
      <c r="B2312" s="37" t="str">
        <f aca="false">IF(Raw_Export!$A2312="","",IF(ISNUMBER(Raw_Export!B2312),Raw_Export!B2312,IF(MID(TRIM(Raw_Export!B2312),5,1)="-",DATE(LEFT(TRIM(Raw_Export!B2312),4),MID(TRIM(Raw_Export!B2312),6,2),RIGHT(TRIM(Raw_Export!B2312),2)),DATE(RIGHT(TRIM(Raw_Export!B2312),4),MATCH(MID(TRIM(Raw_Export!B2312),4,3),{"Jan","Feb","Mar","Apr","May","Jun","Jul","Aug","Sep","Oct","Nov","Dec"},0),LEFT(TRIM(Raw_Export!B2312),2)))))</f>
        <v/>
      </c>
      <c r="C2312" s="36" t="str">
        <f aca="false">IF(Raw_Export!$A2312="","",IFERROR(VLOOKUP(LOWER(TRIM(Raw_Export!C2312)),Maps!$A$2:$B$20,2,FALSE()),"UNMAPPED"))</f>
        <v/>
      </c>
      <c r="D2312" s="36" t="str">
        <f aca="false">IF(Raw_Export!$A2312="","",IFERROR(VLOOKUP(LOWER(TRIM(Raw_Export!D2312)),Maps!$G$2:$I$80,2,FALSE()),"UNMAPPED"))</f>
        <v/>
      </c>
      <c r="E2312" s="36" t="str">
        <f aca="false">IF(Raw_Export!$A2312="","",IFERROR(VLOOKUP(LOWER(TRIM(Raw_Export!D2312)),Maps!$G$2:$I$80,3,FALSE()),"UNMAPPED"))</f>
        <v/>
      </c>
      <c r="F2312" s="36" t="str">
        <f aca="false">IF(Raw_Export!$A2312="","",IFERROR(VALUE(TRIM(Raw_Export!E2312)),0))</f>
        <v/>
      </c>
      <c r="G2312" s="38" t="str">
        <f aca="false">IF(Raw_Export!$A2312="","",IFERROR(VALUE(SUBSTITUTE(SUBSTITUTE(UPPER(TRIM(Raw_Export!F2312)),"KES",""),",","")),0))</f>
        <v/>
      </c>
      <c r="H2312" s="38" t="str">
        <f aca="false">IF(Raw_Export!$A2312="","",F2312*G2312)</f>
        <v/>
      </c>
      <c r="I2312" s="36" t="str">
        <f aca="false">IF(Raw_Export!$A2312="","",IFERROR(VLOOKUP(LOWER(TRIM(Raw_Export!H2312)),Maps!$D$2:$E$12,2,FALSE()),"Other"))</f>
        <v/>
      </c>
      <c r="J2312" s="36" t="str">
        <f aca="false">IF(Raw_Export!$A2312="","",IF(COUNTIF($A$2:A2312,A2312)&gt;1,"Duplicate",""))</f>
        <v/>
      </c>
      <c r="K2312" s="36" t="str">
        <f aca="false">IF(Raw_Export!$A2312="","",IF(J2312="Duplicate","Duplicate",IF(OR(C2312="UNMAPPED",D2312="UNMAPPED"),"Unmapped",IF(F2312=0,"Blank qty",IF(F2312&lt;0,"Return","OK")))))</f>
        <v/>
      </c>
      <c r="L2312" s="36" t="str">
        <f aca="false">IF(Raw_Export!$A2312="","",IF(OR(K2312="OK",K2312="Return"),1,0))</f>
        <v/>
      </c>
      <c r="M2312" s="37" t="str">
        <f aca="false">IF(Raw_Export!$A2312="","",B2312-WEEKDAY(B2312,2)+1)</f>
        <v/>
      </c>
    </row>
    <row r="2313" customFormat="false" ht="15" hidden="false" customHeight="false" outlineLevel="0" collapsed="false">
      <c r="A2313" s="36" t="str">
        <f aca="false">IF(Raw_Export!$A2313="","",TRIM(Raw_Export!A2313))</f>
        <v/>
      </c>
      <c r="B2313" s="37" t="str">
        <f aca="false">IF(Raw_Export!$A2313="","",IF(ISNUMBER(Raw_Export!B2313),Raw_Export!B2313,IF(MID(TRIM(Raw_Export!B2313),5,1)="-",DATE(LEFT(TRIM(Raw_Export!B2313),4),MID(TRIM(Raw_Export!B2313),6,2),RIGHT(TRIM(Raw_Export!B2313),2)),DATE(RIGHT(TRIM(Raw_Export!B2313),4),MATCH(MID(TRIM(Raw_Export!B2313),4,3),{"Jan","Feb","Mar","Apr","May","Jun","Jul","Aug","Sep","Oct","Nov","Dec"},0),LEFT(TRIM(Raw_Export!B2313),2)))))</f>
        <v/>
      </c>
      <c r="C2313" s="36" t="str">
        <f aca="false">IF(Raw_Export!$A2313="","",IFERROR(VLOOKUP(LOWER(TRIM(Raw_Export!C2313)),Maps!$A$2:$B$20,2,FALSE()),"UNMAPPED"))</f>
        <v/>
      </c>
      <c r="D2313" s="36" t="str">
        <f aca="false">IF(Raw_Export!$A2313="","",IFERROR(VLOOKUP(LOWER(TRIM(Raw_Export!D2313)),Maps!$G$2:$I$80,2,FALSE()),"UNMAPPED"))</f>
        <v/>
      </c>
      <c r="E2313" s="36" t="str">
        <f aca="false">IF(Raw_Export!$A2313="","",IFERROR(VLOOKUP(LOWER(TRIM(Raw_Export!D2313)),Maps!$G$2:$I$80,3,FALSE()),"UNMAPPED"))</f>
        <v/>
      </c>
      <c r="F2313" s="36" t="str">
        <f aca="false">IF(Raw_Export!$A2313="","",IFERROR(VALUE(TRIM(Raw_Export!E2313)),0))</f>
        <v/>
      </c>
      <c r="G2313" s="38" t="str">
        <f aca="false">IF(Raw_Export!$A2313="","",IFERROR(VALUE(SUBSTITUTE(SUBSTITUTE(UPPER(TRIM(Raw_Export!F2313)),"KES",""),",","")),0))</f>
        <v/>
      </c>
      <c r="H2313" s="38" t="str">
        <f aca="false">IF(Raw_Export!$A2313="","",F2313*G2313)</f>
        <v/>
      </c>
      <c r="I2313" s="36" t="str">
        <f aca="false">IF(Raw_Export!$A2313="","",IFERROR(VLOOKUP(LOWER(TRIM(Raw_Export!H2313)),Maps!$D$2:$E$12,2,FALSE()),"Other"))</f>
        <v/>
      </c>
      <c r="J2313" s="36" t="str">
        <f aca="false">IF(Raw_Export!$A2313="","",IF(COUNTIF($A$2:A2313,A2313)&gt;1,"Duplicate",""))</f>
        <v/>
      </c>
      <c r="K2313" s="36" t="str">
        <f aca="false">IF(Raw_Export!$A2313="","",IF(J2313="Duplicate","Duplicate",IF(OR(C2313="UNMAPPED",D2313="UNMAPPED"),"Unmapped",IF(F2313=0,"Blank qty",IF(F2313&lt;0,"Return","OK")))))</f>
        <v/>
      </c>
      <c r="L2313" s="36" t="str">
        <f aca="false">IF(Raw_Export!$A2313="","",IF(OR(K2313="OK",K2313="Return"),1,0))</f>
        <v/>
      </c>
      <c r="M2313" s="37" t="str">
        <f aca="false">IF(Raw_Export!$A2313="","",B2313-WEEKDAY(B2313,2)+1)</f>
        <v/>
      </c>
    </row>
    <row r="2314" customFormat="false" ht="15" hidden="false" customHeight="false" outlineLevel="0" collapsed="false">
      <c r="A2314" s="36" t="str">
        <f aca="false">IF(Raw_Export!$A2314="","",TRIM(Raw_Export!A2314))</f>
        <v/>
      </c>
      <c r="B2314" s="37" t="str">
        <f aca="false">IF(Raw_Export!$A2314="","",IF(ISNUMBER(Raw_Export!B2314),Raw_Export!B2314,IF(MID(TRIM(Raw_Export!B2314),5,1)="-",DATE(LEFT(TRIM(Raw_Export!B2314),4),MID(TRIM(Raw_Export!B2314),6,2),RIGHT(TRIM(Raw_Export!B2314),2)),DATE(RIGHT(TRIM(Raw_Export!B2314),4),MATCH(MID(TRIM(Raw_Export!B2314),4,3),{"Jan","Feb","Mar","Apr","May","Jun","Jul","Aug","Sep","Oct","Nov","Dec"},0),LEFT(TRIM(Raw_Export!B2314),2)))))</f>
        <v/>
      </c>
      <c r="C2314" s="36" t="str">
        <f aca="false">IF(Raw_Export!$A2314="","",IFERROR(VLOOKUP(LOWER(TRIM(Raw_Export!C2314)),Maps!$A$2:$B$20,2,FALSE()),"UNMAPPED"))</f>
        <v/>
      </c>
      <c r="D2314" s="36" t="str">
        <f aca="false">IF(Raw_Export!$A2314="","",IFERROR(VLOOKUP(LOWER(TRIM(Raw_Export!D2314)),Maps!$G$2:$I$80,2,FALSE()),"UNMAPPED"))</f>
        <v/>
      </c>
      <c r="E2314" s="36" t="str">
        <f aca="false">IF(Raw_Export!$A2314="","",IFERROR(VLOOKUP(LOWER(TRIM(Raw_Export!D2314)),Maps!$G$2:$I$80,3,FALSE()),"UNMAPPED"))</f>
        <v/>
      </c>
      <c r="F2314" s="36" t="str">
        <f aca="false">IF(Raw_Export!$A2314="","",IFERROR(VALUE(TRIM(Raw_Export!E2314)),0))</f>
        <v/>
      </c>
      <c r="G2314" s="38" t="str">
        <f aca="false">IF(Raw_Export!$A2314="","",IFERROR(VALUE(SUBSTITUTE(SUBSTITUTE(UPPER(TRIM(Raw_Export!F2314)),"KES",""),",","")),0))</f>
        <v/>
      </c>
      <c r="H2314" s="38" t="str">
        <f aca="false">IF(Raw_Export!$A2314="","",F2314*G2314)</f>
        <v/>
      </c>
      <c r="I2314" s="36" t="str">
        <f aca="false">IF(Raw_Export!$A2314="","",IFERROR(VLOOKUP(LOWER(TRIM(Raw_Export!H2314)),Maps!$D$2:$E$12,2,FALSE()),"Other"))</f>
        <v/>
      </c>
      <c r="J2314" s="36" t="str">
        <f aca="false">IF(Raw_Export!$A2314="","",IF(COUNTIF($A$2:A2314,A2314)&gt;1,"Duplicate",""))</f>
        <v/>
      </c>
      <c r="K2314" s="36" t="str">
        <f aca="false">IF(Raw_Export!$A2314="","",IF(J2314="Duplicate","Duplicate",IF(OR(C2314="UNMAPPED",D2314="UNMAPPED"),"Unmapped",IF(F2314=0,"Blank qty",IF(F2314&lt;0,"Return","OK")))))</f>
        <v/>
      </c>
      <c r="L2314" s="36" t="str">
        <f aca="false">IF(Raw_Export!$A2314="","",IF(OR(K2314="OK",K2314="Return"),1,0))</f>
        <v/>
      </c>
      <c r="M2314" s="37" t="str">
        <f aca="false">IF(Raw_Export!$A2314="","",B2314-WEEKDAY(B2314,2)+1)</f>
        <v/>
      </c>
    </row>
    <row r="2315" customFormat="false" ht="15" hidden="false" customHeight="false" outlineLevel="0" collapsed="false">
      <c r="A2315" s="36" t="str">
        <f aca="false">IF(Raw_Export!$A2315="","",TRIM(Raw_Export!A2315))</f>
        <v/>
      </c>
      <c r="B2315" s="37" t="str">
        <f aca="false">IF(Raw_Export!$A2315="","",IF(ISNUMBER(Raw_Export!B2315),Raw_Export!B2315,IF(MID(TRIM(Raw_Export!B2315),5,1)="-",DATE(LEFT(TRIM(Raw_Export!B2315),4),MID(TRIM(Raw_Export!B2315),6,2),RIGHT(TRIM(Raw_Export!B2315),2)),DATE(RIGHT(TRIM(Raw_Export!B2315),4),MATCH(MID(TRIM(Raw_Export!B2315),4,3),{"Jan","Feb","Mar","Apr","May","Jun","Jul","Aug","Sep","Oct","Nov","Dec"},0),LEFT(TRIM(Raw_Export!B2315),2)))))</f>
        <v/>
      </c>
      <c r="C2315" s="36" t="str">
        <f aca="false">IF(Raw_Export!$A2315="","",IFERROR(VLOOKUP(LOWER(TRIM(Raw_Export!C2315)),Maps!$A$2:$B$20,2,FALSE()),"UNMAPPED"))</f>
        <v/>
      </c>
      <c r="D2315" s="36" t="str">
        <f aca="false">IF(Raw_Export!$A2315="","",IFERROR(VLOOKUP(LOWER(TRIM(Raw_Export!D2315)),Maps!$G$2:$I$80,2,FALSE()),"UNMAPPED"))</f>
        <v/>
      </c>
      <c r="E2315" s="36" t="str">
        <f aca="false">IF(Raw_Export!$A2315="","",IFERROR(VLOOKUP(LOWER(TRIM(Raw_Export!D2315)),Maps!$G$2:$I$80,3,FALSE()),"UNMAPPED"))</f>
        <v/>
      </c>
      <c r="F2315" s="36" t="str">
        <f aca="false">IF(Raw_Export!$A2315="","",IFERROR(VALUE(TRIM(Raw_Export!E2315)),0))</f>
        <v/>
      </c>
      <c r="G2315" s="38" t="str">
        <f aca="false">IF(Raw_Export!$A2315="","",IFERROR(VALUE(SUBSTITUTE(SUBSTITUTE(UPPER(TRIM(Raw_Export!F2315)),"KES",""),",","")),0))</f>
        <v/>
      </c>
      <c r="H2315" s="38" t="str">
        <f aca="false">IF(Raw_Export!$A2315="","",F2315*G2315)</f>
        <v/>
      </c>
      <c r="I2315" s="36" t="str">
        <f aca="false">IF(Raw_Export!$A2315="","",IFERROR(VLOOKUP(LOWER(TRIM(Raw_Export!H2315)),Maps!$D$2:$E$12,2,FALSE()),"Other"))</f>
        <v/>
      </c>
      <c r="J2315" s="36" t="str">
        <f aca="false">IF(Raw_Export!$A2315="","",IF(COUNTIF($A$2:A2315,A2315)&gt;1,"Duplicate",""))</f>
        <v/>
      </c>
      <c r="K2315" s="36" t="str">
        <f aca="false">IF(Raw_Export!$A2315="","",IF(J2315="Duplicate","Duplicate",IF(OR(C2315="UNMAPPED",D2315="UNMAPPED"),"Unmapped",IF(F2315=0,"Blank qty",IF(F2315&lt;0,"Return","OK")))))</f>
        <v/>
      </c>
      <c r="L2315" s="36" t="str">
        <f aca="false">IF(Raw_Export!$A2315="","",IF(OR(K2315="OK",K2315="Return"),1,0))</f>
        <v/>
      </c>
      <c r="M2315" s="37" t="str">
        <f aca="false">IF(Raw_Export!$A2315="","",B2315-WEEKDAY(B2315,2)+1)</f>
        <v/>
      </c>
    </row>
    <row r="2316" customFormat="false" ht="15" hidden="false" customHeight="false" outlineLevel="0" collapsed="false">
      <c r="A2316" s="36" t="str">
        <f aca="false">IF(Raw_Export!$A2316="","",TRIM(Raw_Export!A2316))</f>
        <v/>
      </c>
      <c r="B2316" s="37" t="str">
        <f aca="false">IF(Raw_Export!$A2316="","",IF(ISNUMBER(Raw_Export!B2316),Raw_Export!B2316,IF(MID(TRIM(Raw_Export!B2316),5,1)="-",DATE(LEFT(TRIM(Raw_Export!B2316),4),MID(TRIM(Raw_Export!B2316),6,2),RIGHT(TRIM(Raw_Export!B2316),2)),DATE(RIGHT(TRIM(Raw_Export!B2316),4),MATCH(MID(TRIM(Raw_Export!B2316),4,3),{"Jan","Feb","Mar","Apr","May","Jun","Jul","Aug","Sep","Oct","Nov","Dec"},0),LEFT(TRIM(Raw_Export!B2316),2)))))</f>
        <v/>
      </c>
      <c r="C2316" s="36" t="str">
        <f aca="false">IF(Raw_Export!$A2316="","",IFERROR(VLOOKUP(LOWER(TRIM(Raw_Export!C2316)),Maps!$A$2:$B$20,2,FALSE()),"UNMAPPED"))</f>
        <v/>
      </c>
      <c r="D2316" s="36" t="str">
        <f aca="false">IF(Raw_Export!$A2316="","",IFERROR(VLOOKUP(LOWER(TRIM(Raw_Export!D2316)),Maps!$G$2:$I$80,2,FALSE()),"UNMAPPED"))</f>
        <v/>
      </c>
      <c r="E2316" s="36" t="str">
        <f aca="false">IF(Raw_Export!$A2316="","",IFERROR(VLOOKUP(LOWER(TRIM(Raw_Export!D2316)),Maps!$G$2:$I$80,3,FALSE()),"UNMAPPED"))</f>
        <v/>
      </c>
      <c r="F2316" s="36" t="str">
        <f aca="false">IF(Raw_Export!$A2316="","",IFERROR(VALUE(TRIM(Raw_Export!E2316)),0))</f>
        <v/>
      </c>
      <c r="G2316" s="38" t="str">
        <f aca="false">IF(Raw_Export!$A2316="","",IFERROR(VALUE(SUBSTITUTE(SUBSTITUTE(UPPER(TRIM(Raw_Export!F2316)),"KES",""),",","")),0))</f>
        <v/>
      </c>
      <c r="H2316" s="38" t="str">
        <f aca="false">IF(Raw_Export!$A2316="","",F2316*G2316)</f>
        <v/>
      </c>
      <c r="I2316" s="36" t="str">
        <f aca="false">IF(Raw_Export!$A2316="","",IFERROR(VLOOKUP(LOWER(TRIM(Raw_Export!H2316)),Maps!$D$2:$E$12,2,FALSE()),"Other"))</f>
        <v/>
      </c>
      <c r="J2316" s="36" t="str">
        <f aca="false">IF(Raw_Export!$A2316="","",IF(COUNTIF($A$2:A2316,A2316)&gt;1,"Duplicate",""))</f>
        <v/>
      </c>
      <c r="K2316" s="36" t="str">
        <f aca="false">IF(Raw_Export!$A2316="","",IF(J2316="Duplicate","Duplicate",IF(OR(C2316="UNMAPPED",D2316="UNMAPPED"),"Unmapped",IF(F2316=0,"Blank qty",IF(F2316&lt;0,"Return","OK")))))</f>
        <v/>
      </c>
      <c r="L2316" s="36" t="str">
        <f aca="false">IF(Raw_Export!$A2316="","",IF(OR(K2316="OK",K2316="Return"),1,0))</f>
        <v/>
      </c>
      <c r="M2316" s="37" t="str">
        <f aca="false">IF(Raw_Export!$A2316="","",B2316-WEEKDAY(B2316,2)+1)</f>
        <v/>
      </c>
    </row>
    <row r="2317" customFormat="false" ht="15" hidden="false" customHeight="false" outlineLevel="0" collapsed="false">
      <c r="A2317" s="36" t="str">
        <f aca="false">IF(Raw_Export!$A2317="","",TRIM(Raw_Export!A2317))</f>
        <v/>
      </c>
      <c r="B2317" s="37" t="str">
        <f aca="false">IF(Raw_Export!$A2317="","",IF(ISNUMBER(Raw_Export!B2317),Raw_Export!B2317,IF(MID(TRIM(Raw_Export!B2317),5,1)="-",DATE(LEFT(TRIM(Raw_Export!B2317),4),MID(TRIM(Raw_Export!B2317),6,2),RIGHT(TRIM(Raw_Export!B2317),2)),DATE(RIGHT(TRIM(Raw_Export!B2317),4),MATCH(MID(TRIM(Raw_Export!B2317),4,3),{"Jan","Feb","Mar","Apr","May","Jun","Jul","Aug","Sep","Oct","Nov","Dec"},0),LEFT(TRIM(Raw_Export!B2317),2)))))</f>
        <v/>
      </c>
      <c r="C2317" s="36" t="str">
        <f aca="false">IF(Raw_Export!$A2317="","",IFERROR(VLOOKUP(LOWER(TRIM(Raw_Export!C2317)),Maps!$A$2:$B$20,2,FALSE()),"UNMAPPED"))</f>
        <v/>
      </c>
      <c r="D2317" s="36" t="str">
        <f aca="false">IF(Raw_Export!$A2317="","",IFERROR(VLOOKUP(LOWER(TRIM(Raw_Export!D2317)),Maps!$G$2:$I$80,2,FALSE()),"UNMAPPED"))</f>
        <v/>
      </c>
      <c r="E2317" s="36" t="str">
        <f aca="false">IF(Raw_Export!$A2317="","",IFERROR(VLOOKUP(LOWER(TRIM(Raw_Export!D2317)),Maps!$G$2:$I$80,3,FALSE()),"UNMAPPED"))</f>
        <v/>
      </c>
      <c r="F2317" s="36" t="str">
        <f aca="false">IF(Raw_Export!$A2317="","",IFERROR(VALUE(TRIM(Raw_Export!E2317)),0))</f>
        <v/>
      </c>
      <c r="G2317" s="38" t="str">
        <f aca="false">IF(Raw_Export!$A2317="","",IFERROR(VALUE(SUBSTITUTE(SUBSTITUTE(UPPER(TRIM(Raw_Export!F2317)),"KES",""),",","")),0))</f>
        <v/>
      </c>
      <c r="H2317" s="38" t="str">
        <f aca="false">IF(Raw_Export!$A2317="","",F2317*G2317)</f>
        <v/>
      </c>
      <c r="I2317" s="36" t="str">
        <f aca="false">IF(Raw_Export!$A2317="","",IFERROR(VLOOKUP(LOWER(TRIM(Raw_Export!H2317)),Maps!$D$2:$E$12,2,FALSE()),"Other"))</f>
        <v/>
      </c>
      <c r="J2317" s="36" t="str">
        <f aca="false">IF(Raw_Export!$A2317="","",IF(COUNTIF($A$2:A2317,A2317)&gt;1,"Duplicate",""))</f>
        <v/>
      </c>
      <c r="K2317" s="36" t="str">
        <f aca="false">IF(Raw_Export!$A2317="","",IF(J2317="Duplicate","Duplicate",IF(OR(C2317="UNMAPPED",D2317="UNMAPPED"),"Unmapped",IF(F2317=0,"Blank qty",IF(F2317&lt;0,"Return","OK")))))</f>
        <v/>
      </c>
      <c r="L2317" s="36" t="str">
        <f aca="false">IF(Raw_Export!$A2317="","",IF(OR(K2317="OK",K2317="Return"),1,0))</f>
        <v/>
      </c>
      <c r="M2317" s="37" t="str">
        <f aca="false">IF(Raw_Export!$A2317="","",B2317-WEEKDAY(B2317,2)+1)</f>
        <v/>
      </c>
    </row>
    <row r="2318" customFormat="false" ht="15" hidden="false" customHeight="false" outlineLevel="0" collapsed="false">
      <c r="A2318" s="36" t="str">
        <f aca="false">IF(Raw_Export!$A2318="","",TRIM(Raw_Export!A2318))</f>
        <v/>
      </c>
      <c r="B2318" s="37" t="str">
        <f aca="false">IF(Raw_Export!$A2318="","",IF(ISNUMBER(Raw_Export!B2318),Raw_Export!B2318,IF(MID(TRIM(Raw_Export!B2318),5,1)="-",DATE(LEFT(TRIM(Raw_Export!B2318),4),MID(TRIM(Raw_Export!B2318),6,2),RIGHT(TRIM(Raw_Export!B2318),2)),DATE(RIGHT(TRIM(Raw_Export!B2318),4),MATCH(MID(TRIM(Raw_Export!B2318),4,3),{"Jan","Feb","Mar","Apr","May","Jun","Jul","Aug","Sep","Oct","Nov","Dec"},0),LEFT(TRIM(Raw_Export!B2318),2)))))</f>
        <v/>
      </c>
      <c r="C2318" s="36" t="str">
        <f aca="false">IF(Raw_Export!$A2318="","",IFERROR(VLOOKUP(LOWER(TRIM(Raw_Export!C2318)),Maps!$A$2:$B$20,2,FALSE()),"UNMAPPED"))</f>
        <v/>
      </c>
      <c r="D2318" s="36" t="str">
        <f aca="false">IF(Raw_Export!$A2318="","",IFERROR(VLOOKUP(LOWER(TRIM(Raw_Export!D2318)),Maps!$G$2:$I$80,2,FALSE()),"UNMAPPED"))</f>
        <v/>
      </c>
      <c r="E2318" s="36" t="str">
        <f aca="false">IF(Raw_Export!$A2318="","",IFERROR(VLOOKUP(LOWER(TRIM(Raw_Export!D2318)),Maps!$G$2:$I$80,3,FALSE()),"UNMAPPED"))</f>
        <v/>
      </c>
      <c r="F2318" s="36" t="str">
        <f aca="false">IF(Raw_Export!$A2318="","",IFERROR(VALUE(TRIM(Raw_Export!E2318)),0))</f>
        <v/>
      </c>
      <c r="G2318" s="38" t="str">
        <f aca="false">IF(Raw_Export!$A2318="","",IFERROR(VALUE(SUBSTITUTE(SUBSTITUTE(UPPER(TRIM(Raw_Export!F2318)),"KES",""),",","")),0))</f>
        <v/>
      </c>
      <c r="H2318" s="38" t="str">
        <f aca="false">IF(Raw_Export!$A2318="","",F2318*G2318)</f>
        <v/>
      </c>
      <c r="I2318" s="36" t="str">
        <f aca="false">IF(Raw_Export!$A2318="","",IFERROR(VLOOKUP(LOWER(TRIM(Raw_Export!H2318)),Maps!$D$2:$E$12,2,FALSE()),"Other"))</f>
        <v/>
      </c>
      <c r="J2318" s="36" t="str">
        <f aca="false">IF(Raw_Export!$A2318="","",IF(COUNTIF($A$2:A2318,A2318)&gt;1,"Duplicate",""))</f>
        <v/>
      </c>
      <c r="K2318" s="36" t="str">
        <f aca="false">IF(Raw_Export!$A2318="","",IF(J2318="Duplicate","Duplicate",IF(OR(C2318="UNMAPPED",D2318="UNMAPPED"),"Unmapped",IF(F2318=0,"Blank qty",IF(F2318&lt;0,"Return","OK")))))</f>
        <v/>
      </c>
      <c r="L2318" s="36" t="str">
        <f aca="false">IF(Raw_Export!$A2318="","",IF(OR(K2318="OK",K2318="Return"),1,0))</f>
        <v/>
      </c>
      <c r="M2318" s="37" t="str">
        <f aca="false">IF(Raw_Export!$A2318="","",B2318-WEEKDAY(B2318,2)+1)</f>
        <v/>
      </c>
    </row>
    <row r="2319" customFormat="false" ht="15" hidden="false" customHeight="false" outlineLevel="0" collapsed="false">
      <c r="A2319" s="36" t="str">
        <f aca="false">IF(Raw_Export!$A2319="","",TRIM(Raw_Export!A2319))</f>
        <v/>
      </c>
      <c r="B2319" s="37" t="str">
        <f aca="false">IF(Raw_Export!$A2319="","",IF(ISNUMBER(Raw_Export!B2319),Raw_Export!B2319,IF(MID(TRIM(Raw_Export!B2319),5,1)="-",DATE(LEFT(TRIM(Raw_Export!B2319),4),MID(TRIM(Raw_Export!B2319),6,2),RIGHT(TRIM(Raw_Export!B2319),2)),DATE(RIGHT(TRIM(Raw_Export!B2319),4),MATCH(MID(TRIM(Raw_Export!B2319),4,3),{"Jan","Feb","Mar","Apr","May","Jun","Jul","Aug","Sep","Oct","Nov","Dec"},0),LEFT(TRIM(Raw_Export!B2319),2)))))</f>
        <v/>
      </c>
      <c r="C2319" s="36" t="str">
        <f aca="false">IF(Raw_Export!$A2319="","",IFERROR(VLOOKUP(LOWER(TRIM(Raw_Export!C2319)),Maps!$A$2:$B$20,2,FALSE()),"UNMAPPED"))</f>
        <v/>
      </c>
      <c r="D2319" s="36" t="str">
        <f aca="false">IF(Raw_Export!$A2319="","",IFERROR(VLOOKUP(LOWER(TRIM(Raw_Export!D2319)),Maps!$G$2:$I$80,2,FALSE()),"UNMAPPED"))</f>
        <v/>
      </c>
      <c r="E2319" s="36" t="str">
        <f aca="false">IF(Raw_Export!$A2319="","",IFERROR(VLOOKUP(LOWER(TRIM(Raw_Export!D2319)),Maps!$G$2:$I$80,3,FALSE()),"UNMAPPED"))</f>
        <v/>
      </c>
      <c r="F2319" s="36" t="str">
        <f aca="false">IF(Raw_Export!$A2319="","",IFERROR(VALUE(TRIM(Raw_Export!E2319)),0))</f>
        <v/>
      </c>
      <c r="G2319" s="38" t="str">
        <f aca="false">IF(Raw_Export!$A2319="","",IFERROR(VALUE(SUBSTITUTE(SUBSTITUTE(UPPER(TRIM(Raw_Export!F2319)),"KES",""),",","")),0))</f>
        <v/>
      </c>
      <c r="H2319" s="38" t="str">
        <f aca="false">IF(Raw_Export!$A2319="","",F2319*G2319)</f>
        <v/>
      </c>
      <c r="I2319" s="36" t="str">
        <f aca="false">IF(Raw_Export!$A2319="","",IFERROR(VLOOKUP(LOWER(TRIM(Raw_Export!H2319)),Maps!$D$2:$E$12,2,FALSE()),"Other"))</f>
        <v/>
      </c>
      <c r="J2319" s="36" t="str">
        <f aca="false">IF(Raw_Export!$A2319="","",IF(COUNTIF($A$2:A2319,A2319)&gt;1,"Duplicate",""))</f>
        <v/>
      </c>
      <c r="K2319" s="36" t="str">
        <f aca="false">IF(Raw_Export!$A2319="","",IF(J2319="Duplicate","Duplicate",IF(OR(C2319="UNMAPPED",D2319="UNMAPPED"),"Unmapped",IF(F2319=0,"Blank qty",IF(F2319&lt;0,"Return","OK")))))</f>
        <v/>
      </c>
      <c r="L2319" s="36" t="str">
        <f aca="false">IF(Raw_Export!$A2319="","",IF(OR(K2319="OK",K2319="Return"),1,0))</f>
        <v/>
      </c>
      <c r="M2319" s="37" t="str">
        <f aca="false">IF(Raw_Export!$A2319="","",B2319-WEEKDAY(B2319,2)+1)</f>
        <v/>
      </c>
    </row>
    <row r="2320" customFormat="false" ht="15" hidden="false" customHeight="false" outlineLevel="0" collapsed="false">
      <c r="A2320" s="36" t="str">
        <f aca="false">IF(Raw_Export!$A2320="","",TRIM(Raw_Export!A2320))</f>
        <v/>
      </c>
      <c r="B2320" s="37" t="str">
        <f aca="false">IF(Raw_Export!$A2320="","",IF(ISNUMBER(Raw_Export!B2320),Raw_Export!B2320,IF(MID(TRIM(Raw_Export!B2320),5,1)="-",DATE(LEFT(TRIM(Raw_Export!B2320),4),MID(TRIM(Raw_Export!B2320),6,2),RIGHT(TRIM(Raw_Export!B2320),2)),DATE(RIGHT(TRIM(Raw_Export!B2320),4),MATCH(MID(TRIM(Raw_Export!B2320),4,3),{"Jan","Feb","Mar","Apr","May","Jun","Jul","Aug","Sep","Oct","Nov","Dec"},0),LEFT(TRIM(Raw_Export!B2320),2)))))</f>
        <v/>
      </c>
      <c r="C2320" s="36" t="str">
        <f aca="false">IF(Raw_Export!$A2320="","",IFERROR(VLOOKUP(LOWER(TRIM(Raw_Export!C2320)),Maps!$A$2:$B$20,2,FALSE()),"UNMAPPED"))</f>
        <v/>
      </c>
      <c r="D2320" s="36" t="str">
        <f aca="false">IF(Raw_Export!$A2320="","",IFERROR(VLOOKUP(LOWER(TRIM(Raw_Export!D2320)),Maps!$G$2:$I$80,2,FALSE()),"UNMAPPED"))</f>
        <v/>
      </c>
      <c r="E2320" s="36" t="str">
        <f aca="false">IF(Raw_Export!$A2320="","",IFERROR(VLOOKUP(LOWER(TRIM(Raw_Export!D2320)),Maps!$G$2:$I$80,3,FALSE()),"UNMAPPED"))</f>
        <v/>
      </c>
      <c r="F2320" s="36" t="str">
        <f aca="false">IF(Raw_Export!$A2320="","",IFERROR(VALUE(TRIM(Raw_Export!E2320)),0))</f>
        <v/>
      </c>
      <c r="G2320" s="38" t="str">
        <f aca="false">IF(Raw_Export!$A2320="","",IFERROR(VALUE(SUBSTITUTE(SUBSTITUTE(UPPER(TRIM(Raw_Export!F2320)),"KES",""),",","")),0))</f>
        <v/>
      </c>
      <c r="H2320" s="38" t="str">
        <f aca="false">IF(Raw_Export!$A2320="","",F2320*G2320)</f>
        <v/>
      </c>
      <c r="I2320" s="36" t="str">
        <f aca="false">IF(Raw_Export!$A2320="","",IFERROR(VLOOKUP(LOWER(TRIM(Raw_Export!H2320)),Maps!$D$2:$E$12,2,FALSE()),"Other"))</f>
        <v/>
      </c>
      <c r="J2320" s="36" t="str">
        <f aca="false">IF(Raw_Export!$A2320="","",IF(COUNTIF($A$2:A2320,A2320)&gt;1,"Duplicate",""))</f>
        <v/>
      </c>
      <c r="K2320" s="36" t="str">
        <f aca="false">IF(Raw_Export!$A2320="","",IF(J2320="Duplicate","Duplicate",IF(OR(C2320="UNMAPPED",D2320="UNMAPPED"),"Unmapped",IF(F2320=0,"Blank qty",IF(F2320&lt;0,"Return","OK")))))</f>
        <v/>
      </c>
      <c r="L2320" s="36" t="str">
        <f aca="false">IF(Raw_Export!$A2320="","",IF(OR(K2320="OK",K2320="Return"),1,0))</f>
        <v/>
      </c>
      <c r="M2320" s="37" t="str">
        <f aca="false">IF(Raw_Export!$A2320="","",B2320-WEEKDAY(B2320,2)+1)</f>
        <v/>
      </c>
    </row>
    <row r="2321" customFormat="false" ht="15" hidden="false" customHeight="false" outlineLevel="0" collapsed="false">
      <c r="A2321" s="36" t="str">
        <f aca="false">IF(Raw_Export!$A2321="","",TRIM(Raw_Export!A2321))</f>
        <v/>
      </c>
      <c r="B2321" s="37" t="str">
        <f aca="false">IF(Raw_Export!$A2321="","",IF(ISNUMBER(Raw_Export!B2321),Raw_Export!B2321,IF(MID(TRIM(Raw_Export!B2321),5,1)="-",DATE(LEFT(TRIM(Raw_Export!B2321),4),MID(TRIM(Raw_Export!B2321),6,2),RIGHT(TRIM(Raw_Export!B2321),2)),DATE(RIGHT(TRIM(Raw_Export!B2321),4),MATCH(MID(TRIM(Raw_Export!B2321),4,3),{"Jan","Feb","Mar","Apr","May","Jun","Jul","Aug","Sep","Oct","Nov","Dec"},0),LEFT(TRIM(Raw_Export!B2321),2)))))</f>
        <v/>
      </c>
      <c r="C2321" s="36" t="str">
        <f aca="false">IF(Raw_Export!$A2321="","",IFERROR(VLOOKUP(LOWER(TRIM(Raw_Export!C2321)),Maps!$A$2:$B$20,2,FALSE()),"UNMAPPED"))</f>
        <v/>
      </c>
      <c r="D2321" s="36" t="str">
        <f aca="false">IF(Raw_Export!$A2321="","",IFERROR(VLOOKUP(LOWER(TRIM(Raw_Export!D2321)),Maps!$G$2:$I$80,2,FALSE()),"UNMAPPED"))</f>
        <v/>
      </c>
      <c r="E2321" s="36" t="str">
        <f aca="false">IF(Raw_Export!$A2321="","",IFERROR(VLOOKUP(LOWER(TRIM(Raw_Export!D2321)),Maps!$G$2:$I$80,3,FALSE()),"UNMAPPED"))</f>
        <v/>
      </c>
      <c r="F2321" s="36" t="str">
        <f aca="false">IF(Raw_Export!$A2321="","",IFERROR(VALUE(TRIM(Raw_Export!E2321)),0))</f>
        <v/>
      </c>
      <c r="G2321" s="38" t="str">
        <f aca="false">IF(Raw_Export!$A2321="","",IFERROR(VALUE(SUBSTITUTE(SUBSTITUTE(UPPER(TRIM(Raw_Export!F2321)),"KES",""),",","")),0))</f>
        <v/>
      </c>
      <c r="H2321" s="38" t="str">
        <f aca="false">IF(Raw_Export!$A2321="","",F2321*G2321)</f>
        <v/>
      </c>
      <c r="I2321" s="36" t="str">
        <f aca="false">IF(Raw_Export!$A2321="","",IFERROR(VLOOKUP(LOWER(TRIM(Raw_Export!H2321)),Maps!$D$2:$E$12,2,FALSE()),"Other"))</f>
        <v/>
      </c>
      <c r="J2321" s="36" t="str">
        <f aca="false">IF(Raw_Export!$A2321="","",IF(COUNTIF($A$2:A2321,A2321)&gt;1,"Duplicate",""))</f>
        <v/>
      </c>
      <c r="K2321" s="36" t="str">
        <f aca="false">IF(Raw_Export!$A2321="","",IF(J2321="Duplicate","Duplicate",IF(OR(C2321="UNMAPPED",D2321="UNMAPPED"),"Unmapped",IF(F2321=0,"Blank qty",IF(F2321&lt;0,"Return","OK")))))</f>
        <v/>
      </c>
      <c r="L2321" s="36" t="str">
        <f aca="false">IF(Raw_Export!$A2321="","",IF(OR(K2321="OK",K2321="Return"),1,0))</f>
        <v/>
      </c>
      <c r="M2321" s="37" t="str">
        <f aca="false">IF(Raw_Export!$A2321="","",B2321-WEEKDAY(B2321,2)+1)</f>
        <v/>
      </c>
    </row>
    <row r="2322" customFormat="false" ht="15" hidden="false" customHeight="false" outlineLevel="0" collapsed="false">
      <c r="A2322" s="36" t="str">
        <f aca="false">IF(Raw_Export!$A2322="","",TRIM(Raw_Export!A2322))</f>
        <v/>
      </c>
      <c r="B2322" s="37" t="str">
        <f aca="false">IF(Raw_Export!$A2322="","",IF(ISNUMBER(Raw_Export!B2322),Raw_Export!B2322,IF(MID(TRIM(Raw_Export!B2322),5,1)="-",DATE(LEFT(TRIM(Raw_Export!B2322),4),MID(TRIM(Raw_Export!B2322),6,2),RIGHT(TRIM(Raw_Export!B2322),2)),DATE(RIGHT(TRIM(Raw_Export!B2322),4),MATCH(MID(TRIM(Raw_Export!B2322),4,3),{"Jan","Feb","Mar","Apr","May","Jun","Jul","Aug","Sep","Oct","Nov","Dec"},0),LEFT(TRIM(Raw_Export!B2322),2)))))</f>
        <v/>
      </c>
      <c r="C2322" s="36" t="str">
        <f aca="false">IF(Raw_Export!$A2322="","",IFERROR(VLOOKUP(LOWER(TRIM(Raw_Export!C2322)),Maps!$A$2:$B$20,2,FALSE()),"UNMAPPED"))</f>
        <v/>
      </c>
      <c r="D2322" s="36" t="str">
        <f aca="false">IF(Raw_Export!$A2322="","",IFERROR(VLOOKUP(LOWER(TRIM(Raw_Export!D2322)),Maps!$G$2:$I$80,2,FALSE()),"UNMAPPED"))</f>
        <v/>
      </c>
      <c r="E2322" s="36" t="str">
        <f aca="false">IF(Raw_Export!$A2322="","",IFERROR(VLOOKUP(LOWER(TRIM(Raw_Export!D2322)),Maps!$G$2:$I$80,3,FALSE()),"UNMAPPED"))</f>
        <v/>
      </c>
      <c r="F2322" s="36" t="str">
        <f aca="false">IF(Raw_Export!$A2322="","",IFERROR(VALUE(TRIM(Raw_Export!E2322)),0))</f>
        <v/>
      </c>
      <c r="G2322" s="38" t="str">
        <f aca="false">IF(Raw_Export!$A2322="","",IFERROR(VALUE(SUBSTITUTE(SUBSTITUTE(UPPER(TRIM(Raw_Export!F2322)),"KES",""),",","")),0))</f>
        <v/>
      </c>
      <c r="H2322" s="38" t="str">
        <f aca="false">IF(Raw_Export!$A2322="","",F2322*G2322)</f>
        <v/>
      </c>
      <c r="I2322" s="36" t="str">
        <f aca="false">IF(Raw_Export!$A2322="","",IFERROR(VLOOKUP(LOWER(TRIM(Raw_Export!H2322)),Maps!$D$2:$E$12,2,FALSE()),"Other"))</f>
        <v/>
      </c>
      <c r="J2322" s="36" t="str">
        <f aca="false">IF(Raw_Export!$A2322="","",IF(COUNTIF($A$2:A2322,A2322)&gt;1,"Duplicate",""))</f>
        <v/>
      </c>
      <c r="K2322" s="36" t="str">
        <f aca="false">IF(Raw_Export!$A2322="","",IF(J2322="Duplicate","Duplicate",IF(OR(C2322="UNMAPPED",D2322="UNMAPPED"),"Unmapped",IF(F2322=0,"Blank qty",IF(F2322&lt;0,"Return","OK")))))</f>
        <v/>
      </c>
      <c r="L2322" s="36" t="str">
        <f aca="false">IF(Raw_Export!$A2322="","",IF(OR(K2322="OK",K2322="Return"),1,0))</f>
        <v/>
      </c>
      <c r="M2322" s="37" t="str">
        <f aca="false">IF(Raw_Export!$A2322="","",B2322-WEEKDAY(B2322,2)+1)</f>
        <v/>
      </c>
    </row>
    <row r="2323" customFormat="false" ht="15" hidden="false" customHeight="false" outlineLevel="0" collapsed="false">
      <c r="A2323" s="36" t="str">
        <f aca="false">IF(Raw_Export!$A2323="","",TRIM(Raw_Export!A2323))</f>
        <v/>
      </c>
      <c r="B2323" s="37" t="str">
        <f aca="false">IF(Raw_Export!$A2323="","",IF(ISNUMBER(Raw_Export!B2323),Raw_Export!B2323,IF(MID(TRIM(Raw_Export!B2323),5,1)="-",DATE(LEFT(TRIM(Raw_Export!B2323),4),MID(TRIM(Raw_Export!B2323),6,2),RIGHT(TRIM(Raw_Export!B2323),2)),DATE(RIGHT(TRIM(Raw_Export!B2323),4),MATCH(MID(TRIM(Raw_Export!B2323),4,3),{"Jan","Feb","Mar","Apr","May","Jun","Jul","Aug","Sep","Oct","Nov","Dec"},0),LEFT(TRIM(Raw_Export!B2323),2)))))</f>
        <v/>
      </c>
      <c r="C2323" s="36" t="str">
        <f aca="false">IF(Raw_Export!$A2323="","",IFERROR(VLOOKUP(LOWER(TRIM(Raw_Export!C2323)),Maps!$A$2:$B$20,2,FALSE()),"UNMAPPED"))</f>
        <v/>
      </c>
      <c r="D2323" s="36" t="str">
        <f aca="false">IF(Raw_Export!$A2323="","",IFERROR(VLOOKUP(LOWER(TRIM(Raw_Export!D2323)),Maps!$G$2:$I$80,2,FALSE()),"UNMAPPED"))</f>
        <v/>
      </c>
      <c r="E2323" s="36" t="str">
        <f aca="false">IF(Raw_Export!$A2323="","",IFERROR(VLOOKUP(LOWER(TRIM(Raw_Export!D2323)),Maps!$G$2:$I$80,3,FALSE()),"UNMAPPED"))</f>
        <v/>
      </c>
      <c r="F2323" s="36" t="str">
        <f aca="false">IF(Raw_Export!$A2323="","",IFERROR(VALUE(TRIM(Raw_Export!E2323)),0))</f>
        <v/>
      </c>
      <c r="G2323" s="38" t="str">
        <f aca="false">IF(Raw_Export!$A2323="","",IFERROR(VALUE(SUBSTITUTE(SUBSTITUTE(UPPER(TRIM(Raw_Export!F2323)),"KES",""),",","")),0))</f>
        <v/>
      </c>
      <c r="H2323" s="38" t="str">
        <f aca="false">IF(Raw_Export!$A2323="","",F2323*G2323)</f>
        <v/>
      </c>
      <c r="I2323" s="36" t="str">
        <f aca="false">IF(Raw_Export!$A2323="","",IFERROR(VLOOKUP(LOWER(TRIM(Raw_Export!H2323)),Maps!$D$2:$E$12,2,FALSE()),"Other"))</f>
        <v/>
      </c>
      <c r="J2323" s="36" t="str">
        <f aca="false">IF(Raw_Export!$A2323="","",IF(COUNTIF($A$2:A2323,A2323)&gt;1,"Duplicate",""))</f>
        <v/>
      </c>
      <c r="K2323" s="36" t="str">
        <f aca="false">IF(Raw_Export!$A2323="","",IF(J2323="Duplicate","Duplicate",IF(OR(C2323="UNMAPPED",D2323="UNMAPPED"),"Unmapped",IF(F2323=0,"Blank qty",IF(F2323&lt;0,"Return","OK")))))</f>
        <v/>
      </c>
      <c r="L2323" s="36" t="str">
        <f aca="false">IF(Raw_Export!$A2323="","",IF(OR(K2323="OK",K2323="Return"),1,0))</f>
        <v/>
      </c>
      <c r="M2323" s="37" t="str">
        <f aca="false">IF(Raw_Export!$A2323="","",B2323-WEEKDAY(B2323,2)+1)</f>
        <v/>
      </c>
    </row>
    <row r="2324" customFormat="false" ht="15" hidden="false" customHeight="false" outlineLevel="0" collapsed="false">
      <c r="A2324" s="36" t="str">
        <f aca="false">IF(Raw_Export!$A2324="","",TRIM(Raw_Export!A2324))</f>
        <v/>
      </c>
      <c r="B2324" s="37" t="str">
        <f aca="false">IF(Raw_Export!$A2324="","",IF(ISNUMBER(Raw_Export!B2324),Raw_Export!B2324,IF(MID(TRIM(Raw_Export!B2324),5,1)="-",DATE(LEFT(TRIM(Raw_Export!B2324),4),MID(TRIM(Raw_Export!B2324),6,2),RIGHT(TRIM(Raw_Export!B2324),2)),DATE(RIGHT(TRIM(Raw_Export!B2324),4),MATCH(MID(TRIM(Raw_Export!B2324),4,3),{"Jan","Feb","Mar","Apr","May","Jun","Jul","Aug","Sep","Oct","Nov","Dec"},0),LEFT(TRIM(Raw_Export!B2324),2)))))</f>
        <v/>
      </c>
      <c r="C2324" s="36" t="str">
        <f aca="false">IF(Raw_Export!$A2324="","",IFERROR(VLOOKUP(LOWER(TRIM(Raw_Export!C2324)),Maps!$A$2:$B$20,2,FALSE()),"UNMAPPED"))</f>
        <v/>
      </c>
      <c r="D2324" s="36" t="str">
        <f aca="false">IF(Raw_Export!$A2324="","",IFERROR(VLOOKUP(LOWER(TRIM(Raw_Export!D2324)),Maps!$G$2:$I$80,2,FALSE()),"UNMAPPED"))</f>
        <v/>
      </c>
      <c r="E2324" s="36" t="str">
        <f aca="false">IF(Raw_Export!$A2324="","",IFERROR(VLOOKUP(LOWER(TRIM(Raw_Export!D2324)),Maps!$G$2:$I$80,3,FALSE()),"UNMAPPED"))</f>
        <v/>
      </c>
      <c r="F2324" s="36" t="str">
        <f aca="false">IF(Raw_Export!$A2324="","",IFERROR(VALUE(TRIM(Raw_Export!E2324)),0))</f>
        <v/>
      </c>
      <c r="G2324" s="38" t="str">
        <f aca="false">IF(Raw_Export!$A2324="","",IFERROR(VALUE(SUBSTITUTE(SUBSTITUTE(UPPER(TRIM(Raw_Export!F2324)),"KES",""),",","")),0))</f>
        <v/>
      </c>
      <c r="H2324" s="38" t="str">
        <f aca="false">IF(Raw_Export!$A2324="","",F2324*G2324)</f>
        <v/>
      </c>
      <c r="I2324" s="36" t="str">
        <f aca="false">IF(Raw_Export!$A2324="","",IFERROR(VLOOKUP(LOWER(TRIM(Raw_Export!H2324)),Maps!$D$2:$E$12,2,FALSE()),"Other"))</f>
        <v/>
      </c>
      <c r="J2324" s="36" t="str">
        <f aca="false">IF(Raw_Export!$A2324="","",IF(COUNTIF($A$2:A2324,A2324)&gt;1,"Duplicate",""))</f>
        <v/>
      </c>
      <c r="K2324" s="36" t="str">
        <f aca="false">IF(Raw_Export!$A2324="","",IF(J2324="Duplicate","Duplicate",IF(OR(C2324="UNMAPPED",D2324="UNMAPPED"),"Unmapped",IF(F2324=0,"Blank qty",IF(F2324&lt;0,"Return","OK")))))</f>
        <v/>
      </c>
      <c r="L2324" s="36" t="str">
        <f aca="false">IF(Raw_Export!$A2324="","",IF(OR(K2324="OK",K2324="Return"),1,0))</f>
        <v/>
      </c>
      <c r="M2324" s="37" t="str">
        <f aca="false">IF(Raw_Export!$A2324="","",B2324-WEEKDAY(B2324,2)+1)</f>
        <v/>
      </c>
    </row>
    <row r="2325" customFormat="false" ht="15" hidden="false" customHeight="false" outlineLevel="0" collapsed="false">
      <c r="A2325" s="36" t="str">
        <f aca="false">IF(Raw_Export!$A2325="","",TRIM(Raw_Export!A2325))</f>
        <v/>
      </c>
      <c r="B2325" s="37" t="str">
        <f aca="false">IF(Raw_Export!$A2325="","",IF(ISNUMBER(Raw_Export!B2325),Raw_Export!B2325,IF(MID(TRIM(Raw_Export!B2325),5,1)="-",DATE(LEFT(TRIM(Raw_Export!B2325),4),MID(TRIM(Raw_Export!B2325),6,2),RIGHT(TRIM(Raw_Export!B2325),2)),DATE(RIGHT(TRIM(Raw_Export!B2325),4),MATCH(MID(TRIM(Raw_Export!B2325),4,3),{"Jan","Feb","Mar","Apr","May","Jun","Jul","Aug","Sep","Oct","Nov","Dec"},0),LEFT(TRIM(Raw_Export!B2325),2)))))</f>
        <v/>
      </c>
      <c r="C2325" s="36" t="str">
        <f aca="false">IF(Raw_Export!$A2325="","",IFERROR(VLOOKUP(LOWER(TRIM(Raw_Export!C2325)),Maps!$A$2:$B$20,2,FALSE()),"UNMAPPED"))</f>
        <v/>
      </c>
      <c r="D2325" s="36" t="str">
        <f aca="false">IF(Raw_Export!$A2325="","",IFERROR(VLOOKUP(LOWER(TRIM(Raw_Export!D2325)),Maps!$G$2:$I$80,2,FALSE()),"UNMAPPED"))</f>
        <v/>
      </c>
      <c r="E2325" s="36" t="str">
        <f aca="false">IF(Raw_Export!$A2325="","",IFERROR(VLOOKUP(LOWER(TRIM(Raw_Export!D2325)),Maps!$G$2:$I$80,3,FALSE()),"UNMAPPED"))</f>
        <v/>
      </c>
      <c r="F2325" s="36" t="str">
        <f aca="false">IF(Raw_Export!$A2325="","",IFERROR(VALUE(TRIM(Raw_Export!E2325)),0))</f>
        <v/>
      </c>
      <c r="G2325" s="38" t="str">
        <f aca="false">IF(Raw_Export!$A2325="","",IFERROR(VALUE(SUBSTITUTE(SUBSTITUTE(UPPER(TRIM(Raw_Export!F2325)),"KES",""),",","")),0))</f>
        <v/>
      </c>
      <c r="H2325" s="38" t="str">
        <f aca="false">IF(Raw_Export!$A2325="","",F2325*G2325)</f>
        <v/>
      </c>
      <c r="I2325" s="36" t="str">
        <f aca="false">IF(Raw_Export!$A2325="","",IFERROR(VLOOKUP(LOWER(TRIM(Raw_Export!H2325)),Maps!$D$2:$E$12,2,FALSE()),"Other"))</f>
        <v/>
      </c>
      <c r="J2325" s="36" t="str">
        <f aca="false">IF(Raw_Export!$A2325="","",IF(COUNTIF($A$2:A2325,A2325)&gt;1,"Duplicate",""))</f>
        <v/>
      </c>
      <c r="K2325" s="36" t="str">
        <f aca="false">IF(Raw_Export!$A2325="","",IF(J2325="Duplicate","Duplicate",IF(OR(C2325="UNMAPPED",D2325="UNMAPPED"),"Unmapped",IF(F2325=0,"Blank qty",IF(F2325&lt;0,"Return","OK")))))</f>
        <v/>
      </c>
      <c r="L2325" s="36" t="str">
        <f aca="false">IF(Raw_Export!$A2325="","",IF(OR(K2325="OK",K2325="Return"),1,0))</f>
        <v/>
      </c>
      <c r="M2325" s="37" t="str">
        <f aca="false">IF(Raw_Export!$A2325="","",B2325-WEEKDAY(B2325,2)+1)</f>
        <v/>
      </c>
    </row>
    <row r="2326" customFormat="false" ht="15" hidden="false" customHeight="false" outlineLevel="0" collapsed="false">
      <c r="A2326" s="36" t="str">
        <f aca="false">IF(Raw_Export!$A2326="","",TRIM(Raw_Export!A2326))</f>
        <v/>
      </c>
      <c r="B2326" s="37" t="str">
        <f aca="false">IF(Raw_Export!$A2326="","",IF(ISNUMBER(Raw_Export!B2326),Raw_Export!B2326,IF(MID(TRIM(Raw_Export!B2326),5,1)="-",DATE(LEFT(TRIM(Raw_Export!B2326),4),MID(TRIM(Raw_Export!B2326),6,2),RIGHT(TRIM(Raw_Export!B2326),2)),DATE(RIGHT(TRIM(Raw_Export!B2326),4),MATCH(MID(TRIM(Raw_Export!B2326),4,3),{"Jan","Feb","Mar","Apr","May","Jun","Jul","Aug","Sep","Oct","Nov","Dec"},0),LEFT(TRIM(Raw_Export!B2326),2)))))</f>
        <v/>
      </c>
      <c r="C2326" s="36" t="str">
        <f aca="false">IF(Raw_Export!$A2326="","",IFERROR(VLOOKUP(LOWER(TRIM(Raw_Export!C2326)),Maps!$A$2:$B$20,2,FALSE()),"UNMAPPED"))</f>
        <v/>
      </c>
      <c r="D2326" s="36" t="str">
        <f aca="false">IF(Raw_Export!$A2326="","",IFERROR(VLOOKUP(LOWER(TRIM(Raw_Export!D2326)),Maps!$G$2:$I$80,2,FALSE()),"UNMAPPED"))</f>
        <v/>
      </c>
      <c r="E2326" s="36" t="str">
        <f aca="false">IF(Raw_Export!$A2326="","",IFERROR(VLOOKUP(LOWER(TRIM(Raw_Export!D2326)),Maps!$G$2:$I$80,3,FALSE()),"UNMAPPED"))</f>
        <v/>
      </c>
      <c r="F2326" s="36" t="str">
        <f aca="false">IF(Raw_Export!$A2326="","",IFERROR(VALUE(TRIM(Raw_Export!E2326)),0))</f>
        <v/>
      </c>
      <c r="G2326" s="38" t="str">
        <f aca="false">IF(Raw_Export!$A2326="","",IFERROR(VALUE(SUBSTITUTE(SUBSTITUTE(UPPER(TRIM(Raw_Export!F2326)),"KES",""),",","")),0))</f>
        <v/>
      </c>
      <c r="H2326" s="38" t="str">
        <f aca="false">IF(Raw_Export!$A2326="","",F2326*G2326)</f>
        <v/>
      </c>
      <c r="I2326" s="36" t="str">
        <f aca="false">IF(Raw_Export!$A2326="","",IFERROR(VLOOKUP(LOWER(TRIM(Raw_Export!H2326)),Maps!$D$2:$E$12,2,FALSE()),"Other"))</f>
        <v/>
      </c>
      <c r="J2326" s="36" t="str">
        <f aca="false">IF(Raw_Export!$A2326="","",IF(COUNTIF($A$2:A2326,A2326)&gt;1,"Duplicate",""))</f>
        <v/>
      </c>
      <c r="K2326" s="36" t="str">
        <f aca="false">IF(Raw_Export!$A2326="","",IF(J2326="Duplicate","Duplicate",IF(OR(C2326="UNMAPPED",D2326="UNMAPPED"),"Unmapped",IF(F2326=0,"Blank qty",IF(F2326&lt;0,"Return","OK")))))</f>
        <v/>
      </c>
      <c r="L2326" s="36" t="str">
        <f aca="false">IF(Raw_Export!$A2326="","",IF(OR(K2326="OK",K2326="Return"),1,0))</f>
        <v/>
      </c>
      <c r="M2326" s="37" t="str">
        <f aca="false">IF(Raw_Export!$A2326="","",B2326-WEEKDAY(B2326,2)+1)</f>
        <v/>
      </c>
    </row>
    <row r="2327" customFormat="false" ht="15" hidden="false" customHeight="false" outlineLevel="0" collapsed="false">
      <c r="A2327" s="36" t="str">
        <f aca="false">IF(Raw_Export!$A2327="","",TRIM(Raw_Export!A2327))</f>
        <v/>
      </c>
      <c r="B2327" s="37" t="str">
        <f aca="false">IF(Raw_Export!$A2327="","",IF(ISNUMBER(Raw_Export!B2327),Raw_Export!B2327,IF(MID(TRIM(Raw_Export!B2327),5,1)="-",DATE(LEFT(TRIM(Raw_Export!B2327),4),MID(TRIM(Raw_Export!B2327),6,2),RIGHT(TRIM(Raw_Export!B2327),2)),DATE(RIGHT(TRIM(Raw_Export!B2327),4),MATCH(MID(TRIM(Raw_Export!B2327),4,3),{"Jan","Feb","Mar","Apr","May","Jun","Jul","Aug","Sep","Oct","Nov","Dec"},0),LEFT(TRIM(Raw_Export!B2327),2)))))</f>
        <v/>
      </c>
      <c r="C2327" s="36" t="str">
        <f aca="false">IF(Raw_Export!$A2327="","",IFERROR(VLOOKUP(LOWER(TRIM(Raw_Export!C2327)),Maps!$A$2:$B$20,2,FALSE()),"UNMAPPED"))</f>
        <v/>
      </c>
      <c r="D2327" s="36" t="str">
        <f aca="false">IF(Raw_Export!$A2327="","",IFERROR(VLOOKUP(LOWER(TRIM(Raw_Export!D2327)),Maps!$G$2:$I$80,2,FALSE()),"UNMAPPED"))</f>
        <v/>
      </c>
      <c r="E2327" s="36" t="str">
        <f aca="false">IF(Raw_Export!$A2327="","",IFERROR(VLOOKUP(LOWER(TRIM(Raw_Export!D2327)),Maps!$G$2:$I$80,3,FALSE()),"UNMAPPED"))</f>
        <v/>
      </c>
      <c r="F2327" s="36" t="str">
        <f aca="false">IF(Raw_Export!$A2327="","",IFERROR(VALUE(TRIM(Raw_Export!E2327)),0))</f>
        <v/>
      </c>
      <c r="G2327" s="38" t="str">
        <f aca="false">IF(Raw_Export!$A2327="","",IFERROR(VALUE(SUBSTITUTE(SUBSTITUTE(UPPER(TRIM(Raw_Export!F2327)),"KES",""),",","")),0))</f>
        <v/>
      </c>
      <c r="H2327" s="38" t="str">
        <f aca="false">IF(Raw_Export!$A2327="","",F2327*G2327)</f>
        <v/>
      </c>
      <c r="I2327" s="36" t="str">
        <f aca="false">IF(Raw_Export!$A2327="","",IFERROR(VLOOKUP(LOWER(TRIM(Raw_Export!H2327)),Maps!$D$2:$E$12,2,FALSE()),"Other"))</f>
        <v/>
      </c>
      <c r="J2327" s="36" t="str">
        <f aca="false">IF(Raw_Export!$A2327="","",IF(COUNTIF($A$2:A2327,A2327)&gt;1,"Duplicate",""))</f>
        <v/>
      </c>
      <c r="K2327" s="36" t="str">
        <f aca="false">IF(Raw_Export!$A2327="","",IF(J2327="Duplicate","Duplicate",IF(OR(C2327="UNMAPPED",D2327="UNMAPPED"),"Unmapped",IF(F2327=0,"Blank qty",IF(F2327&lt;0,"Return","OK")))))</f>
        <v/>
      </c>
      <c r="L2327" s="36" t="str">
        <f aca="false">IF(Raw_Export!$A2327="","",IF(OR(K2327="OK",K2327="Return"),1,0))</f>
        <v/>
      </c>
      <c r="M2327" s="37" t="str">
        <f aca="false">IF(Raw_Export!$A2327="","",B2327-WEEKDAY(B2327,2)+1)</f>
        <v/>
      </c>
    </row>
    <row r="2328" customFormat="false" ht="15" hidden="false" customHeight="false" outlineLevel="0" collapsed="false">
      <c r="A2328" s="36" t="str">
        <f aca="false">IF(Raw_Export!$A2328="","",TRIM(Raw_Export!A2328))</f>
        <v/>
      </c>
      <c r="B2328" s="37" t="str">
        <f aca="false">IF(Raw_Export!$A2328="","",IF(ISNUMBER(Raw_Export!B2328),Raw_Export!B2328,IF(MID(TRIM(Raw_Export!B2328),5,1)="-",DATE(LEFT(TRIM(Raw_Export!B2328),4),MID(TRIM(Raw_Export!B2328),6,2),RIGHT(TRIM(Raw_Export!B2328),2)),DATE(RIGHT(TRIM(Raw_Export!B2328),4),MATCH(MID(TRIM(Raw_Export!B2328),4,3),{"Jan","Feb","Mar","Apr","May","Jun","Jul","Aug","Sep","Oct","Nov","Dec"},0),LEFT(TRIM(Raw_Export!B2328),2)))))</f>
        <v/>
      </c>
      <c r="C2328" s="36" t="str">
        <f aca="false">IF(Raw_Export!$A2328="","",IFERROR(VLOOKUP(LOWER(TRIM(Raw_Export!C2328)),Maps!$A$2:$B$20,2,FALSE()),"UNMAPPED"))</f>
        <v/>
      </c>
      <c r="D2328" s="36" t="str">
        <f aca="false">IF(Raw_Export!$A2328="","",IFERROR(VLOOKUP(LOWER(TRIM(Raw_Export!D2328)),Maps!$G$2:$I$80,2,FALSE()),"UNMAPPED"))</f>
        <v/>
      </c>
      <c r="E2328" s="36" t="str">
        <f aca="false">IF(Raw_Export!$A2328="","",IFERROR(VLOOKUP(LOWER(TRIM(Raw_Export!D2328)),Maps!$G$2:$I$80,3,FALSE()),"UNMAPPED"))</f>
        <v/>
      </c>
      <c r="F2328" s="36" t="str">
        <f aca="false">IF(Raw_Export!$A2328="","",IFERROR(VALUE(TRIM(Raw_Export!E2328)),0))</f>
        <v/>
      </c>
      <c r="G2328" s="38" t="str">
        <f aca="false">IF(Raw_Export!$A2328="","",IFERROR(VALUE(SUBSTITUTE(SUBSTITUTE(UPPER(TRIM(Raw_Export!F2328)),"KES",""),",","")),0))</f>
        <v/>
      </c>
      <c r="H2328" s="38" t="str">
        <f aca="false">IF(Raw_Export!$A2328="","",F2328*G2328)</f>
        <v/>
      </c>
      <c r="I2328" s="36" t="str">
        <f aca="false">IF(Raw_Export!$A2328="","",IFERROR(VLOOKUP(LOWER(TRIM(Raw_Export!H2328)),Maps!$D$2:$E$12,2,FALSE()),"Other"))</f>
        <v/>
      </c>
      <c r="J2328" s="36" t="str">
        <f aca="false">IF(Raw_Export!$A2328="","",IF(COUNTIF($A$2:A2328,A2328)&gt;1,"Duplicate",""))</f>
        <v/>
      </c>
      <c r="K2328" s="36" t="str">
        <f aca="false">IF(Raw_Export!$A2328="","",IF(J2328="Duplicate","Duplicate",IF(OR(C2328="UNMAPPED",D2328="UNMAPPED"),"Unmapped",IF(F2328=0,"Blank qty",IF(F2328&lt;0,"Return","OK")))))</f>
        <v/>
      </c>
      <c r="L2328" s="36" t="str">
        <f aca="false">IF(Raw_Export!$A2328="","",IF(OR(K2328="OK",K2328="Return"),1,0))</f>
        <v/>
      </c>
      <c r="M2328" s="37" t="str">
        <f aca="false">IF(Raw_Export!$A2328="","",B2328-WEEKDAY(B2328,2)+1)</f>
        <v/>
      </c>
    </row>
    <row r="2329" customFormat="false" ht="15" hidden="false" customHeight="false" outlineLevel="0" collapsed="false">
      <c r="A2329" s="36" t="str">
        <f aca="false">IF(Raw_Export!$A2329="","",TRIM(Raw_Export!A2329))</f>
        <v/>
      </c>
      <c r="B2329" s="37" t="str">
        <f aca="false">IF(Raw_Export!$A2329="","",IF(ISNUMBER(Raw_Export!B2329),Raw_Export!B2329,IF(MID(TRIM(Raw_Export!B2329),5,1)="-",DATE(LEFT(TRIM(Raw_Export!B2329),4),MID(TRIM(Raw_Export!B2329),6,2),RIGHT(TRIM(Raw_Export!B2329),2)),DATE(RIGHT(TRIM(Raw_Export!B2329),4),MATCH(MID(TRIM(Raw_Export!B2329),4,3),{"Jan","Feb","Mar","Apr","May","Jun","Jul","Aug","Sep","Oct","Nov","Dec"},0),LEFT(TRIM(Raw_Export!B2329),2)))))</f>
        <v/>
      </c>
      <c r="C2329" s="36" t="str">
        <f aca="false">IF(Raw_Export!$A2329="","",IFERROR(VLOOKUP(LOWER(TRIM(Raw_Export!C2329)),Maps!$A$2:$B$20,2,FALSE()),"UNMAPPED"))</f>
        <v/>
      </c>
      <c r="D2329" s="36" t="str">
        <f aca="false">IF(Raw_Export!$A2329="","",IFERROR(VLOOKUP(LOWER(TRIM(Raw_Export!D2329)),Maps!$G$2:$I$80,2,FALSE()),"UNMAPPED"))</f>
        <v/>
      </c>
      <c r="E2329" s="36" t="str">
        <f aca="false">IF(Raw_Export!$A2329="","",IFERROR(VLOOKUP(LOWER(TRIM(Raw_Export!D2329)),Maps!$G$2:$I$80,3,FALSE()),"UNMAPPED"))</f>
        <v/>
      </c>
      <c r="F2329" s="36" t="str">
        <f aca="false">IF(Raw_Export!$A2329="","",IFERROR(VALUE(TRIM(Raw_Export!E2329)),0))</f>
        <v/>
      </c>
      <c r="G2329" s="38" t="str">
        <f aca="false">IF(Raw_Export!$A2329="","",IFERROR(VALUE(SUBSTITUTE(SUBSTITUTE(UPPER(TRIM(Raw_Export!F2329)),"KES",""),",","")),0))</f>
        <v/>
      </c>
      <c r="H2329" s="38" t="str">
        <f aca="false">IF(Raw_Export!$A2329="","",F2329*G2329)</f>
        <v/>
      </c>
      <c r="I2329" s="36" t="str">
        <f aca="false">IF(Raw_Export!$A2329="","",IFERROR(VLOOKUP(LOWER(TRIM(Raw_Export!H2329)),Maps!$D$2:$E$12,2,FALSE()),"Other"))</f>
        <v/>
      </c>
      <c r="J2329" s="36" t="str">
        <f aca="false">IF(Raw_Export!$A2329="","",IF(COUNTIF($A$2:A2329,A2329)&gt;1,"Duplicate",""))</f>
        <v/>
      </c>
      <c r="K2329" s="36" t="str">
        <f aca="false">IF(Raw_Export!$A2329="","",IF(J2329="Duplicate","Duplicate",IF(OR(C2329="UNMAPPED",D2329="UNMAPPED"),"Unmapped",IF(F2329=0,"Blank qty",IF(F2329&lt;0,"Return","OK")))))</f>
        <v/>
      </c>
      <c r="L2329" s="36" t="str">
        <f aca="false">IF(Raw_Export!$A2329="","",IF(OR(K2329="OK",K2329="Return"),1,0))</f>
        <v/>
      </c>
      <c r="M2329" s="37" t="str">
        <f aca="false">IF(Raw_Export!$A2329="","",B2329-WEEKDAY(B2329,2)+1)</f>
        <v/>
      </c>
    </row>
    <row r="2330" customFormat="false" ht="15" hidden="false" customHeight="false" outlineLevel="0" collapsed="false">
      <c r="A2330" s="36" t="str">
        <f aca="false">IF(Raw_Export!$A2330="","",TRIM(Raw_Export!A2330))</f>
        <v/>
      </c>
      <c r="B2330" s="37" t="str">
        <f aca="false">IF(Raw_Export!$A2330="","",IF(ISNUMBER(Raw_Export!B2330),Raw_Export!B2330,IF(MID(TRIM(Raw_Export!B2330),5,1)="-",DATE(LEFT(TRIM(Raw_Export!B2330),4),MID(TRIM(Raw_Export!B2330),6,2),RIGHT(TRIM(Raw_Export!B2330),2)),DATE(RIGHT(TRIM(Raw_Export!B2330),4),MATCH(MID(TRIM(Raw_Export!B2330),4,3),{"Jan","Feb","Mar","Apr","May","Jun","Jul","Aug","Sep","Oct","Nov","Dec"},0),LEFT(TRIM(Raw_Export!B2330),2)))))</f>
        <v/>
      </c>
      <c r="C2330" s="36" t="str">
        <f aca="false">IF(Raw_Export!$A2330="","",IFERROR(VLOOKUP(LOWER(TRIM(Raw_Export!C2330)),Maps!$A$2:$B$20,2,FALSE()),"UNMAPPED"))</f>
        <v/>
      </c>
      <c r="D2330" s="36" t="str">
        <f aca="false">IF(Raw_Export!$A2330="","",IFERROR(VLOOKUP(LOWER(TRIM(Raw_Export!D2330)),Maps!$G$2:$I$80,2,FALSE()),"UNMAPPED"))</f>
        <v/>
      </c>
      <c r="E2330" s="36" t="str">
        <f aca="false">IF(Raw_Export!$A2330="","",IFERROR(VLOOKUP(LOWER(TRIM(Raw_Export!D2330)),Maps!$G$2:$I$80,3,FALSE()),"UNMAPPED"))</f>
        <v/>
      </c>
      <c r="F2330" s="36" t="str">
        <f aca="false">IF(Raw_Export!$A2330="","",IFERROR(VALUE(TRIM(Raw_Export!E2330)),0))</f>
        <v/>
      </c>
      <c r="G2330" s="38" t="str">
        <f aca="false">IF(Raw_Export!$A2330="","",IFERROR(VALUE(SUBSTITUTE(SUBSTITUTE(UPPER(TRIM(Raw_Export!F2330)),"KES",""),",","")),0))</f>
        <v/>
      </c>
      <c r="H2330" s="38" t="str">
        <f aca="false">IF(Raw_Export!$A2330="","",F2330*G2330)</f>
        <v/>
      </c>
      <c r="I2330" s="36" t="str">
        <f aca="false">IF(Raw_Export!$A2330="","",IFERROR(VLOOKUP(LOWER(TRIM(Raw_Export!H2330)),Maps!$D$2:$E$12,2,FALSE()),"Other"))</f>
        <v/>
      </c>
      <c r="J2330" s="36" t="str">
        <f aca="false">IF(Raw_Export!$A2330="","",IF(COUNTIF($A$2:A2330,A2330)&gt;1,"Duplicate",""))</f>
        <v/>
      </c>
      <c r="K2330" s="36" t="str">
        <f aca="false">IF(Raw_Export!$A2330="","",IF(J2330="Duplicate","Duplicate",IF(OR(C2330="UNMAPPED",D2330="UNMAPPED"),"Unmapped",IF(F2330=0,"Blank qty",IF(F2330&lt;0,"Return","OK")))))</f>
        <v/>
      </c>
      <c r="L2330" s="36" t="str">
        <f aca="false">IF(Raw_Export!$A2330="","",IF(OR(K2330="OK",K2330="Return"),1,0))</f>
        <v/>
      </c>
      <c r="M2330" s="37" t="str">
        <f aca="false">IF(Raw_Export!$A2330="","",B2330-WEEKDAY(B2330,2)+1)</f>
        <v/>
      </c>
    </row>
    <row r="2331" customFormat="false" ht="15" hidden="false" customHeight="false" outlineLevel="0" collapsed="false">
      <c r="A2331" s="36" t="str">
        <f aca="false">IF(Raw_Export!$A2331="","",TRIM(Raw_Export!A2331))</f>
        <v/>
      </c>
      <c r="B2331" s="37" t="str">
        <f aca="false">IF(Raw_Export!$A2331="","",IF(ISNUMBER(Raw_Export!B2331),Raw_Export!B2331,IF(MID(TRIM(Raw_Export!B2331),5,1)="-",DATE(LEFT(TRIM(Raw_Export!B2331),4),MID(TRIM(Raw_Export!B2331),6,2),RIGHT(TRIM(Raw_Export!B2331),2)),DATE(RIGHT(TRIM(Raw_Export!B2331),4),MATCH(MID(TRIM(Raw_Export!B2331),4,3),{"Jan","Feb","Mar","Apr","May","Jun","Jul","Aug","Sep","Oct","Nov","Dec"},0),LEFT(TRIM(Raw_Export!B2331),2)))))</f>
        <v/>
      </c>
      <c r="C2331" s="36" t="str">
        <f aca="false">IF(Raw_Export!$A2331="","",IFERROR(VLOOKUP(LOWER(TRIM(Raw_Export!C2331)),Maps!$A$2:$B$20,2,FALSE()),"UNMAPPED"))</f>
        <v/>
      </c>
      <c r="D2331" s="36" t="str">
        <f aca="false">IF(Raw_Export!$A2331="","",IFERROR(VLOOKUP(LOWER(TRIM(Raw_Export!D2331)),Maps!$G$2:$I$80,2,FALSE()),"UNMAPPED"))</f>
        <v/>
      </c>
      <c r="E2331" s="36" t="str">
        <f aca="false">IF(Raw_Export!$A2331="","",IFERROR(VLOOKUP(LOWER(TRIM(Raw_Export!D2331)),Maps!$G$2:$I$80,3,FALSE()),"UNMAPPED"))</f>
        <v/>
      </c>
      <c r="F2331" s="36" t="str">
        <f aca="false">IF(Raw_Export!$A2331="","",IFERROR(VALUE(TRIM(Raw_Export!E2331)),0))</f>
        <v/>
      </c>
      <c r="G2331" s="38" t="str">
        <f aca="false">IF(Raw_Export!$A2331="","",IFERROR(VALUE(SUBSTITUTE(SUBSTITUTE(UPPER(TRIM(Raw_Export!F2331)),"KES",""),",","")),0))</f>
        <v/>
      </c>
      <c r="H2331" s="38" t="str">
        <f aca="false">IF(Raw_Export!$A2331="","",F2331*G2331)</f>
        <v/>
      </c>
      <c r="I2331" s="36" t="str">
        <f aca="false">IF(Raw_Export!$A2331="","",IFERROR(VLOOKUP(LOWER(TRIM(Raw_Export!H2331)),Maps!$D$2:$E$12,2,FALSE()),"Other"))</f>
        <v/>
      </c>
      <c r="J2331" s="36" t="str">
        <f aca="false">IF(Raw_Export!$A2331="","",IF(COUNTIF($A$2:A2331,A2331)&gt;1,"Duplicate",""))</f>
        <v/>
      </c>
      <c r="K2331" s="36" t="str">
        <f aca="false">IF(Raw_Export!$A2331="","",IF(J2331="Duplicate","Duplicate",IF(OR(C2331="UNMAPPED",D2331="UNMAPPED"),"Unmapped",IF(F2331=0,"Blank qty",IF(F2331&lt;0,"Return","OK")))))</f>
        <v/>
      </c>
      <c r="L2331" s="36" t="str">
        <f aca="false">IF(Raw_Export!$A2331="","",IF(OR(K2331="OK",K2331="Return"),1,0))</f>
        <v/>
      </c>
      <c r="M2331" s="37" t="str">
        <f aca="false">IF(Raw_Export!$A2331="","",B2331-WEEKDAY(B2331,2)+1)</f>
        <v/>
      </c>
    </row>
    <row r="2332" customFormat="false" ht="15" hidden="false" customHeight="false" outlineLevel="0" collapsed="false">
      <c r="A2332" s="36" t="str">
        <f aca="false">IF(Raw_Export!$A2332="","",TRIM(Raw_Export!A2332))</f>
        <v/>
      </c>
      <c r="B2332" s="37" t="str">
        <f aca="false">IF(Raw_Export!$A2332="","",IF(ISNUMBER(Raw_Export!B2332),Raw_Export!B2332,IF(MID(TRIM(Raw_Export!B2332),5,1)="-",DATE(LEFT(TRIM(Raw_Export!B2332),4),MID(TRIM(Raw_Export!B2332),6,2),RIGHT(TRIM(Raw_Export!B2332),2)),DATE(RIGHT(TRIM(Raw_Export!B2332),4),MATCH(MID(TRIM(Raw_Export!B2332),4,3),{"Jan","Feb","Mar","Apr","May","Jun","Jul","Aug","Sep","Oct","Nov","Dec"},0),LEFT(TRIM(Raw_Export!B2332),2)))))</f>
        <v/>
      </c>
      <c r="C2332" s="36" t="str">
        <f aca="false">IF(Raw_Export!$A2332="","",IFERROR(VLOOKUP(LOWER(TRIM(Raw_Export!C2332)),Maps!$A$2:$B$20,2,FALSE()),"UNMAPPED"))</f>
        <v/>
      </c>
      <c r="D2332" s="36" t="str">
        <f aca="false">IF(Raw_Export!$A2332="","",IFERROR(VLOOKUP(LOWER(TRIM(Raw_Export!D2332)),Maps!$G$2:$I$80,2,FALSE()),"UNMAPPED"))</f>
        <v/>
      </c>
      <c r="E2332" s="36" t="str">
        <f aca="false">IF(Raw_Export!$A2332="","",IFERROR(VLOOKUP(LOWER(TRIM(Raw_Export!D2332)),Maps!$G$2:$I$80,3,FALSE()),"UNMAPPED"))</f>
        <v/>
      </c>
      <c r="F2332" s="36" t="str">
        <f aca="false">IF(Raw_Export!$A2332="","",IFERROR(VALUE(TRIM(Raw_Export!E2332)),0))</f>
        <v/>
      </c>
      <c r="G2332" s="38" t="str">
        <f aca="false">IF(Raw_Export!$A2332="","",IFERROR(VALUE(SUBSTITUTE(SUBSTITUTE(UPPER(TRIM(Raw_Export!F2332)),"KES",""),",","")),0))</f>
        <v/>
      </c>
      <c r="H2332" s="38" t="str">
        <f aca="false">IF(Raw_Export!$A2332="","",F2332*G2332)</f>
        <v/>
      </c>
      <c r="I2332" s="36" t="str">
        <f aca="false">IF(Raw_Export!$A2332="","",IFERROR(VLOOKUP(LOWER(TRIM(Raw_Export!H2332)),Maps!$D$2:$E$12,2,FALSE()),"Other"))</f>
        <v/>
      </c>
      <c r="J2332" s="36" t="str">
        <f aca="false">IF(Raw_Export!$A2332="","",IF(COUNTIF($A$2:A2332,A2332)&gt;1,"Duplicate",""))</f>
        <v/>
      </c>
      <c r="K2332" s="36" t="str">
        <f aca="false">IF(Raw_Export!$A2332="","",IF(J2332="Duplicate","Duplicate",IF(OR(C2332="UNMAPPED",D2332="UNMAPPED"),"Unmapped",IF(F2332=0,"Blank qty",IF(F2332&lt;0,"Return","OK")))))</f>
        <v/>
      </c>
      <c r="L2332" s="36" t="str">
        <f aca="false">IF(Raw_Export!$A2332="","",IF(OR(K2332="OK",K2332="Return"),1,0))</f>
        <v/>
      </c>
      <c r="M2332" s="37" t="str">
        <f aca="false">IF(Raw_Export!$A2332="","",B2332-WEEKDAY(B2332,2)+1)</f>
        <v/>
      </c>
    </row>
    <row r="2333" customFormat="false" ht="15" hidden="false" customHeight="false" outlineLevel="0" collapsed="false">
      <c r="A2333" s="36" t="str">
        <f aca="false">IF(Raw_Export!$A2333="","",TRIM(Raw_Export!A2333))</f>
        <v/>
      </c>
      <c r="B2333" s="37" t="str">
        <f aca="false">IF(Raw_Export!$A2333="","",IF(ISNUMBER(Raw_Export!B2333),Raw_Export!B2333,IF(MID(TRIM(Raw_Export!B2333),5,1)="-",DATE(LEFT(TRIM(Raw_Export!B2333),4),MID(TRIM(Raw_Export!B2333),6,2),RIGHT(TRIM(Raw_Export!B2333),2)),DATE(RIGHT(TRIM(Raw_Export!B2333),4),MATCH(MID(TRIM(Raw_Export!B2333),4,3),{"Jan","Feb","Mar","Apr","May","Jun","Jul","Aug","Sep","Oct","Nov","Dec"},0),LEFT(TRIM(Raw_Export!B2333),2)))))</f>
        <v/>
      </c>
      <c r="C2333" s="36" t="str">
        <f aca="false">IF(Raw_Export!$A2333="","",IFERROR(VLOOKUP(LOWER(TRIM(Raw_Export!C2333)),Maps!$A$2:$B$20,2,FALSE()),"UNMAPPED"))</f>
        <v/>
      </c>
      <c r="D2333" s="36" t="str">
        <f aca="false">IF(Raw_Export!$A2333="","",IFERROR(VLOOKUP(LOWER(TRIM(Raw_Export!D2333)),Maps!$G$2:$I$80,2,FALSE()),"UNMAPPED"))</f>
        <v/>
      </c>
      <c r="E2333" s="36" t="str">
        <f aca="false">IF(Raw_Export!$A2333="","",IFERROR(VLOOKUP(LOWER(TRIM(Raw_Export!D2333)),Maps!$G$2:$I$80,3,FALSE()),"UNMAPPED"))</f>
        <v/>
      </c>
      <c r="F2333" s="36" t="str">
        <f aca="false">IF(Raw_Export!$A2333="","",IFERROR(VALUE(TRIM(Raw_Export!E2333)),0))</f>
        <v/>
      </c>
      <c r="G2333" s="38" t="str">
        <f aca="false">IF(Raw_Export!$A2333="","",IFERROR(VALUE(SUBSTITUTE(SUBSTITUTE(UPPER(TRIM(Raw_Export!F2333)),"KES",""),",","")),0))</f>
        <v/>
      </c>
      <c r="H2333" s="38" t="str">
        <f aca="false">IF(Raw_Export!$A2333="","",F2333*G2333)</f>
        <v/>
      </c>
      <c r="I2333" s="36" t="str">
        <f aca="false">IF(Raw_Export!$A2333="","",IFERROR(VLOOKUP(LOWER(TRIM(Raw_Export!H2333)),Maps!$D$2:$E$12,2,FALSE()),"Other"))</f>
        <v/>
      </c>
      <c r="J2333" s="36" t="str">
        <f aca="false">IF(Raw_Export!$A2333="","",IF(COUNTIF($A$2:A2333,A2333)&gt;1,"Duplicate",""))</f>
        <v/>
      </c>
      <c r="K2333" s="36" t="str">
        <f aca="false">IF(Raw_Export!$A2333="","",IF(J2333="Duplicate","Duplicate",IF(OR(C2333="UNMAPPED",D2333="UNMAPPED"),"Unmapped",IF(F2333=0,"Blank qty",IF(F2333&lt;0,"Return","OK")))))</f>
        <v/>
      </c>
      <c r="L2333" s="36" t="str">
        <f aca="false">IF(Raw_Export!$A2333="","",IF(OR(K2333="OK",K2333="Return"),1,0))</f>
        <v/>
      </c>
      <c r="M2333" s="37" t="str">
        <f aca="false">IF(Raw_Export!$A2333="","",B2333-WEEKDAY(B2333,2)+1)</f>
        <v/>
      </c>
    </row>
    <row r="2334" customFormat="false" ht="15" hidden="false" customHeight="false" outlineLevel="0" collapsed="false">
      <c r="A2334" s="36" t="str">
        <f aca="false">IF(Raw_Export!$A2334="","",TRIM(Raw_Export!A2334))</f>
        <v/>
      </c>
      <c r="B2334" s="37" t="str">
        <f aca="false">IF(Raw_Export!$A2334="","",IF(ISNUMBER(Raw_Export!B2334),Raw_Export!B2334,IF(MID(TRIM(Raw_Export!B2334),5,1)="-",DATE(LEFT(TRIM(Raw_Export!B2334),4),MID(TRIM(Raw_Export!B2334),6,2),RIGHT(TRIM(Raw_Export!B2334),2)),DATE(RIGHT(TRIM(Raw_Export!B2334),4),MATCH(MID(TRIM(Raw_Export!B2334),4,3),{"Jan","Feb","Mar","Apr","May","Jun","Jul","Aug","Sep","Oct","Nov","Dec"},0),LEFT(TRIM(Raw_Export!B2334),2)))))</f>
        <v/>
      </c>
      <c r="C2334" s="36" t="str">
        <f aca="false">IF(Raw_Export!$A2334="","",IFERROR(VLOOKUP(LOWER(TRIM(Raw_Export!C2334)),Maps!$A$2:$B$20,2,FALSE()),"UNMAPPED"))</f>
        <v/>
      </c>
      <c r="D2334" s="36" t="str">
        <f aca="false">IF(Raw_Export!$A2334="","",IFERROR(VLOOKUP(LOWER(TRIM(Raw_Export!D2334)),Maps!$G$2:$I$80,2,FALSE()),"UNMAPPED"))</f>
        <v/>
      </c>
      <c r="E2334" s="36" t="str">
        <f aca="false">IF(Raw_Export!$A2334="","",IFERROR(VLOOKUP(LOWER(TRIM(Raw_Export!D2334)),Maps!$G$2:$I$80,3,FALSE()),"UNMAPPED"))</f>
        <v/>
      </c>
      <c r="F2334" s="36" t="str">
        <f aca="false">IF(Raw_Export!$A2334="","",IFERROR(VALUE(TRIM(Raw_Export!E2334)),0))</f>
        <v/>
      </c>
      <c r="G2334" s="38" t="str">
        <f aca="false">IF(Raw_Export!$A2334="","",IFERROR(VALUE(SUBSTITUTE(SUBSTITUTE(UPPER(TRIM(Raw_Export!F2334)),"KES",""),",","")),0))</f>
        <v/>
      </c>
      <c r="H2334" s="38" t="str">
        <f aca="false">IF(Raw_Export!$A2334="","",F2334*G2334)</f>
        <v/>
      </c>
      <c r="I2334" s="36" t="str">
        <f aca="false">IF(Raw_Export!$A2334="","",IFERROR(VLOOKUP(LOWER(TRIM(Raw_Export!H2334)),Maps!$D$2:$E$12,2,FALSE()),"Other"))</f>
        <v/>
      </c>
      <c r="J2334" s="36" t="str">
        <f aca="false">IF(Raw_Export!$A2334="","",IF(COUNTIF($A$2:A2334,A2334)&gt;1,"Duplicate",""))</f>
        <v/>
      </c>
      <c r="K2334" s="36" t="str">
        <f aca="false">IF(Raw_Export!$A2334="","",IF(J2334="Duplicate","Duplicate",IF(OR(C2334="UNMAPPED",D2334="UNMAPPED"),"Unmapped",IF(F2334=0,"Blank qty",IF(F2334&lt;0,"Return","OK")))))</f>
        <v/>
      </c>
      <c r="L2334" s="36" t="str">
        <f aca="false">IF(Raw_Export!$A2334="","",IF(OR(K2334="OK",K2334="Return"),1,0))</f>
        <v/>
      </c>
      <c r="M2334" s="37" t="str">
        <f aca="false">IF(Raw_Export!$A2334="","",B2334-WEEKDAY(B2334,2)+1)</f>
        <v/>
      </c>
    </row>
    <row r="2335" customFormat="false" ht="15" hidden="false" customHeight="false" outlineLevel="0" collapsed="false">
      <c r="A2335" s="36" t="str">
        <f aca="false">IF(Raw_Export!$A2335="","",TRIM(Raw_Export!A2335))</f>
        <v/>
      </c>
      <c r="B2335" s="37" t="str">
        <f aca="false">IF(Raw_Export!$A2335="","",IF(ISNUMBER(Raw_Export!B2335),Raw_Export!B2335,IF(MID(TRIM(Raw_Export!B2335),5,1)="-",DATE(LEFT(TRIM(Raw_Export!B2335),4),MID(TRIM(Raw_Export!B2335),6,2),RIGHT(TRIM(Raw_Export!B2335),2)),DATE(RIGHT(TRIM(Raw_Export!B2335),4),MATCH(MID(TRIM(Raw_Export!B2335),4,3),{"Jan","Feb","Mar","Apr","May","Jun","Jul","Aug","Sep","Oct","Nov","Dec"},0),LEFT(TRIM(Raw_Export!B2335),2)))))</f>
        <v/>
      </c>
      <c r="C2335" s="36" t="str">
        <f aca="false">IF(Raw_Export!$A2335="","",IFERROR(VLOOKUP(LOWER(TRIM(Raw_Export!C2335)),Maps!$A$2:$B$20,2,FALSE()),"UNMAPPED"))</f>
        <v/>
      </c>
      <c r="D2335" s="36" t="str">
        <f aca="false">IF(Raw_Export!$A2335="","",IFERROR(VLOOKUP(LOWER(TRIM(Raw_Export!D2335)),Maps!$G$2:$I$80,2,FALSE()),"UNMAPPED"))</f>
        <v/>
      </c>
      <c r="E2335" s="36" t="str">
        <f aca="false">IF(Raw_Export!$A2335="","",IFERROR(VLOOKUP(LOWER(TRIM(Raw_Export!D2335)),Maps!$G$2:$I$80,3,FALSE()),"UNMAPPED"))</f>
        <v/>
      </c>
      <c r="F2335" s="36" t="str">
        <f aca="false">IF(Raw_Export!$A2335="","",IFERROR(VALUE(TRIM(Raw_Export!E2335)),0))</f>
        <v/>
      </c>
      <c r="G2335" s="38" t="str">
        <f aca="false">IF(Raw_Export!$A2335="","",IFERROR(VALUE(SUBSTITUTE(SUBSTITUTE(UPPER(TRIM(Raw_Export!F2335)),"KES",""),",","")),0))</f>
        <v/>
      </c>
      <c r="H2335" s="38" t="str">
        <f aca="false">IF(Raw_Export!$A2335="","",F2335*G2335)</f>
        <v/>
      </c>
      <c r="I2335" s="36" t="str">
        <f aca="false">IF(Raw_Export!$A2335="","",IFERROR(VLOOKUP(LOWER(TRIM(Raw_Export!H2335)),Maps!$D$2:$E$12,2,FALSE()),"Other"))</f>
        <v/>
      </c>
      <c r="J2335" s="36" t="str">
        <f aca="false">IF(Raw_Export!$A2335="","",IF(COUNTIF($A$2:A2335,A2335)&gt;1,"Duplicate",""))</f>
        <v/>
      </c>
      <c r="K2335" s="36" t="str">
        <f aca="false">IF(Raw_Export!$A2335="","",IF(J2335="Duplicate","Duplicate",IF(OR(C2335="UNMAPPED",D2335="UNMAPPED"),"Unmapped",IF(F2335=0,"Blank qty",IF(F2335&lt;0,"Return","OK")))))</f>
        <v/>
      </c>
      <c r="L2335" s="36" t="str">
        <f aca="false">IF(Raw_Export!$A2335="","",IF(OR(K2335="OK",K2335="Return"),1,0))</f>
        <v/>
      </c>
      <c r="M2335" s="37" t="str">
        <f aca="false">IF(Raw_Export!$A2335="","",B2335-WEEKDAY(B2335,2)+1)</f>
        <v/>
      </c>
    </row>
    <row r="2336" customFormat="false" ht="15" hidden="false" customHeight="false" outlineLevel="0" collapsed="false">
      <c r="A2336" s="36" t="str">
        <f aca="false">IF(Raw_Export!$A2336="","",TRIM(Raw_Export!A2336))</f>
        <v/>
      </c>
      <c r="B2336" s="37" t="str">
        <f aca="false">IF(Raw_Export!$A2336="","",IF(ISNUMBER(Raw_Export!B2336),Raw_Export!B2336,IF(MID(TRIM(Raw_Export!B2336),5,1)="-",DATE(LEFT(TRIM(Raw_Export!B2336),4),MID(TRIM(Raw_Export!B2336),6,2),RIGHT(TRIM(Raw_Export!B2336),2)),DATE(RIGHT(TRIM(Raw_Export!B2336),4),MATCH(MID(TRIM(Raw_Export!B2336),4,3),{"Jan","Feb","Mar","Apr","May","Jun","Jul","Aug","Sep","Oct","Nov","Dec"},0),LEFT(TRIM(Raw_Export!B2336),2)))))</f>
        <v/>
      </c>
      <c r="C2336" s="36" t="str">
        <f aca="false">IF(Raw_Export!$A2336="","",IFERROR(VLOOKUP(LOWER(TRIM(Raw_Export!C2336)),Maps!$A$2:$B$20,2,FALSE()),"UNMAPPED"))</f>
        <v/>
      </c>
      <c r="D2336" s="36" t="str">
        <f aca="false">IF(Raw_Export!$A2336="","",IFERROR(VLOOKUP(LOWER(TRIM(Raw_Export!D2336)),Maps!$G$2:$I$80,2,FALSE()),"UNMAPPED"))</f>
        <v/>
      </c>
      <c r="E2336" s="36" t="str">
        <f aca="false">IF(Raw_Export!$A2336="","",IFERROR(VLOOKUP(LOWER(TRIM(Raw_Export!D2336)),Maps!$G$2:$I$80,3,FALSE()),"UNMAPPED"))</f>
        <v/>
      </c>
      <c r="F2336" s="36" t="str">
        <f aca="false">IF(Raw_Export!$A2336="","",IFERROR(VALUE(TRIM(Raw_Export!E2336)),0))</f>
        <v/>
      </c>
      <c r="G2336" s="38" t="str">
        <f aca="false">IF(Raw_Export!$A2336="","",IFERROR(VALUE(SUBSTITUTE(SUBSTITUTE(UPPER(TRIM(Raw_Export!F2336)),"KES",""),",","")),0))</f>
        <v/>
      </c>
      <c r="H2336" s="38" t="str">
        <f aca="false">IF(Raw_Export!$A2336="","",F2336*G2336)</f>
        <v/>
      </c>
      <c r="I2336" s="36" t="str">
        <f aca="false">IF(Raw_Export!$A2336="","",IFERROR(VLOOKUP(LOWER(TRIM(Raw_Export!H2336)),Maps!$D$2:$E$12,2,FALSE()),"Other"))</f>
        <v/>
      </c>
      <c r="J2336" s="36" t="str">
        <f aca="false">IF(Raw_Export!$A2336="","",IF(COUNTIF($A$2:A2336,A2336)&gt;1,"Duplicate",""))</f>
        <v/>
      </c>
      <c r="K2336" s="36" t="str">
        <f aca="false">IF(Raw_Export!$A2336="","",IF(J2336="Duplicate","Duplicate",IF(OR(C2336="UNMAPPED",D2336="UNMAPPED"),"Unmapped",IF(F2336=0,"Blank qty",IF(F2336&lt;0,"Return","OK")))))</f>
        <v/>
      </c>
      <c r="L2336" s="36" t="str">
        <f aca="false">IF(Raw_Export!$A2336="","",IF(OR(K2336="OK",K2336="Return"),1,0))</f>
        <v/>
      </c>
      <c r="M2336" s="37" t="str">
        <f aca="false">IF(Raw_Export!$A2336="","",B2336-WEEKDAY(B2336,2)+1)</f>
        <v/>
      </c>
    </row>
    <row r="2337" customFormat="false" ht="15" hidden="false" customHeight="false" outlineLevel="0" collapsed="false">
      <c r="A2337" s="36" t="str">
        <f aca="false">IF(Raw_Export!$A2337="","",TRIM(Raw_Export!A2337))</f>
        <v/>
      </c>
      <c r="B2337" s="37" t="str">
        <f aca="false">IF(Raw_Export!$A2337="","",IF(ISNUMBER(Raw_Export!B2337),Raw_Export!B2337,IF(MID(TRIM(Raw_Export!B2337),5,1)="-",DATE(LEFT(TRIM(Raw_Export!B2337),4),MID(TRIM(Raw_Export!B2337),6,2),RIGHT(TRIM(Raw_Export!B2337),2)),DATE(RIGHT(TRIM(Raw_Export!B2337),4),MATCH(MID(TRIM(Raw_Export!B2337),4,3),{"Jan","Feb","Mar","Apr","May","Jun","Jul","Aug","Sep","Oct","Nov","Dec"},0),LEFT(TRIM(Raw_Export!B2337),2)))))</f>
        <v/>
      </c>
      <c r="C2337" s="36" t="str">
        <f aca="false">IF(Raw_Export!$A2337="","",IFERROR(VLOOKUP(LOWER(TRIM(Raw_Export!C2337)),Maps!$A$2:$B$20,2,FALSE()),"UNMAPPED"))</f>
        <v/>
      </c>
      <c r="D2337" s="36" t="str">
        <f aca="false">IF(Raw_Export!$A2337="","",IFERROR(VLOOKUP(LOWER(TRIM(Raw_Export!D2337)),Maps!$G$2:$I$80,2,FALSE()),"UNMAPPED"))</f>
        <v/>
      </c>
      <c r="E2337" s="36" t="str">
        <f aca="false">IF(Raw_Export!$A2337="","",IFERROR(VLOOKUP(LOWER(TRIM(Raw_Export!D2337)),Maps!$G$2:$I$80,3,FALSE()),"UNMAPPED"))</f>
        <v/>
      </c>
      <c r="F2337" s="36" t="str">
        <f aca="false">IF(Raw_Export!$A2337="","",IFERROR(VALUE(TRIM(Raw_Export!E2337)),0))</f>
        <v/>
      </c>
      <c r="G2337" s="38" t="str">
        <f aca="false">IF(Raw_Export!$A2337="","",IFERROR(VALUE(SUBSTITUTE(SUBSTITUTE(UPPER(TRIM(Raw_Export!F2337)),"KES",""),",","")),0))</f>
        <v/>
      </c>
      <c r="H2337" s="38" t="str">
        <f aca="false">IF(Raw_Export!$A2337="","",F2337*G2337)</f>
        <v/>
      </c>
      <c r="I2337" s="36" t="str">
        <f aca="false">IF(Raw_Export!$A2337="","",IFERROR(VLOOKUP(LOWER(TRIM(Raw_Export!H2337)),Maps!$D$2:$E$12,2,FALSE()),"Other"))</f>
        <v/>
      </c>
      <c r="J2337" s="36" t="str">
        <f aca="false">IF(Raw_Export!$A2337="","",IF(COUNTIF($A$2:A2337,A2337)&gt;1,"Duplicate",""))</f>
        <v/>
      </c>
      <c r="K2337" s="36" t="str">
        <f aca="false">IF(Raw_Export!$A2337="","",IF(J2337="Duplicate","Duplicate",IF(OR(C2337="UNMAPPED",D2337="UNMAPPED"),"Unmapped",IF(F2337=0,"Blank qty",IF(F2337&lt;0,"Return","OK")))))</f>
        <v/>
      </c>
      <c r="L2337" s="36" t="str">
        <f aca="false">IF(Raw_Export!$A2337="","",IF(OR(K2337="OK",K2337="Return"),1,0))</f>
        <v/>
      </c>
      <c r="M2337" s="37" t="str">
        <f aca="false">IF(Raw_Export!$A2337="","",B2337-WEEKDAY(B2337,2)+1)</f>
        <v/>
      </c>
    </row>
    <row r="2338" customFormat="false" ht="15" hidden="false" customHeight="false" outlineLevel="0" collapsed="false">
      <c r="A2338" s="36" t="str">
        <f aca="false">IF(Raw_Export!$A2338="","",TRIM(Raw_Export!A2338))</f>
        <v/>
      </c>
      <c r="B2338" s="37" t="str">
        <f aca="false">IF(Raw_Export!$A2338="","",IF(ISNUMBER(Raw_Export!B2338),Raw_Export!B2338,IF(MID(TRIM(Raw_Export!B2338),5,1)="-",DATE(LEFT(TRIM(Raw_Export!B2338),4),MID(TRIM(Raw_Export!B2338),6,2),RIGHT(TRIM(Raw_Export!B2338),2)),DATE(RIGHT(TRIM(Raw_Export!B2338),4),MATCH(MID(TRIM(Raw_Export!B2338),4,3),{"Jan","Feb","Mar","Apr","May","Jun","Jul","Aug","Sep","Oct","Nov","Dec"},0),LEFT(TRIM(Raw_Export!B2338),2)))))</f>
        <v/>
      </c>
      <c r="C2338" s="36" t="str">
        <f aca="false">IF(Raw_Export!$A2338="","",IFERROR(VLOOKUP(LOWER(TRIM(Raw_Export!C2338)),Maps!$A$2:$B$20,2,FALSE()),"UNMAPPED"))</f>
        <v/>
      </c>
      <c r="D2338" s="36" t="str">
        <f aca="false">IF(Raw_Export!$A2338="","",IFERROR(VLOOKUP(LOWER(TRIM(Raw_Export!D2338)),Maps!$G$2:$I$80,2,FALSE()),"UNMAPPED"))</f>
        <v/>
      </c>
      <c r="E2338" s="36" t="str">
        <f aca="false">IF(Raw_Export!$A2338="","",IFERROR(VLOOKUP(LOWER(TRIM(Raw_Export!D2338)),Maps!$G$2:$I$80,3,FALSE()),"UNMAPPED"))</f>
        <v/>
      </c>
      <c r="F2338" s="36" t="str">
        <f aca="false">IF(Raw_Export!$A2338="","",IFERROR(VALUE(TRIM(Raw_Export!E2338)),0))</f>
        <v/>
      </c>
      <c r="G2338" s="38" t="str">
        <f aca="false">IF(Raw_Export!$A2338="","",IFERROR(VALUE(SUBSTITUTE(SUBSTITUTE(UPPER(TRIM(Raw_Export!F2338)),"KES",""),",","")),0))</f>
        <v/>
      </c>
      <c r="H2338" s="38" t="str">
        <f aca="false">IF(Raw_Export!$A2338="","",F2338*G2338)</f>
        <v/>
      </c>
      <c r="I2338" s="36" t="str">
        <f aca="false">IF(Raw_Export!$A2338="","",IFERROR(VLOOKUP(LOWER(TRIM(Raw_Export!H2338)),Maps!$D$2:$E$12,2,FALSE()),"Other"))</f>
        <v/>
      </c>
      <c r="J2338" s="36" t="str">
        <f aca="false">IF(Raw_Export!$A2338="","",IF(COUNTIF($A$2:A2338,A2338)&gt;1,"Duplicate",""))</f>
        <v/>
      </c>
      <c r="K2338" s="36" t="str">
        <f aca="false">IF(Raw_Export!$A2338="","",IF(J2338="Duplicate","Duplicate",IF(OR(C2338="UNMAPPED",D2338="UNMAPPED"),"Unmapped",IF(F2338=0,"Blank qty",IF(F2338&lt;0,"Return","OK")))))</f>
        <v/>
      </c>
      <c r="L2338" s="36" t="str">
        <f aca="false">IF(Raw_Export!$A2338="","",IF(OR(K2338="OK",K2338="Return"),1,0))</f>
        <v/>
      </c>
      <c r="M2338" s="37" t="str">
        <f aca="false">IF(Raw_Export!$A2338="","",B2338-WEEKDAY(B2338,2)+1)</f>
        <v/>
      </c>
    </row>
    <row r="2339" customFormat="false" ht="15" hidden="false" customHeight="false" outlineLevel="0" collapsed="false">
      <c r="A2339" s="36" t="str">
        <f aca="false">IF(Raw_Export!$A2339="","",TRIM(Raw_Export!A2339))</f>
        <v/>
      </c>
      <c r="B2339" s="37" t="str">
        <f aca="false">IF(Raw_Export!$A2339="","",IF(ISNUMBER(Raw_Export!B2339),Raw_Export!B2339,IF(MID(TRIM(Raw_Export!B2339),5,1)="-",DATE(LEFT(TRIM(Raw_Export!B2339),4),MID(TRIM(Raw_Export!B2339),6,2),RIGHT(TRIM(Raw_Export!B2339),2)),DATE(RIGHT(TRIM(Raw_Export!B2339),4),MATCH(MID(TRIM(Raw_Export!B2339),4,3),{"Jan","Feb","Mar","Apr","May","Jun","Jul","Aug","Sep","Oct","Nov","Dec"},0),LEFT(TRIM(Raw_Export!B2339),2)))))</f>
        <v/>
      </c>
      <c r="C2339" s="36" t="str">
        <f aca="false">IF(Raw_Export!$A2339="","",IFERROR(VLOOKUP(LOWER(TRIM(Raw_Export!C2339)),Maps!$A$2:$B$20,2,FALSE()),"UNMAPPED"))</f>
        <v/>
      </c>
      <c r="D2339" s="36" t="str">
        <f aca="false">IF(Raw_Export!$A2339="","",IFERROR(VLOOKUP(LOWER(TRIM(Raw_Export!D2339)),Maps!$G$2:$I$80,2,FALSE()),"UNMAPPED"))</f>
        <v/>
      </c>
      <c r="E2339" s="36" t="str">
        <f aca="false">IF(Raw_Export!$A2339="","",IFERROR(VLOOKUP(LOWER(TRIM(Raw_Export!D2339)),Maps!$G$2:$I$80,3,FALSE()),"UNMAPPED"))</f>
        <v/>
      </c>
      <c r="F2339" s="36" t="str">
        <f aca="false">IF(Raw_Export!$A2339="","",IFERROR(VALUE(TRIM(Raw_Export!E2339)),0))</f>
        <v/>
      </c>
      <c r="G2339" s="38" t="str">
        <f aca="false">IF(Raw_Export!$A2339="","",IFERROR(VALUE(SUBSTITUTE(SUBSTITUTE(UPPER(TRIM(Raw_Export!F2339)),"KES",""),",","")),0))</f>
        <v/>
      </c>
      <c r="H2339" s="38" t="str">
        <f aca="false">IF(Raw_Export!$A2339="","",F2339*G2339)</f>
        <v/>
      </c>
      <c r="I2339" s="36" t="str">
        <f aca="false">IF(Raw_Export!$A2339="","",IFERROR(VLOOKUP(LOWER(TRIM(Raw_Export!H2339)),Maps!$D$2:$E$12,2,FALSE()),"Other"))</f>
        <v/>
      </c>
      <c r="J2339" s="36" t="str">
        <f aca="false">IF(Raw_Export!$A2339="","",IF(COUNTIF($A$2:A2339,A2339)&gt;1,"Duplicate",""))</f>
        <v/>
      </c>
      <c r="K2339" s="36" t="str">
        <f aca="false">IF(Raw_Export!$A2339="","",IF(J2339="Duplicate","Duplicate",IF(OR(C2339="UNMAPPED",D2339="UNMAPPED"),"Unmapped",IF(F2339=0,"Blank qty",IF(F2339&lt;0,"Return","OK")))))</f>
        <v/>
      </c>
      <c r="L2339" s="36" t="str">
        <f aca="false">IF(Raw_Export!$A2339="","",IF(OR(K2339="OK",K2339="Return"),1,0))</f>
        <v/>
      </c>
      <c r="M2339" s="37" t="str">
        <f aca="false">IF(Raw_Export!$A2339="","",B2339-WEEKDAY(B2339,2)+1)</f>
        <v/>
      </c>
    </row>
    <row r="2340" customFormat="false" ht="15" hidden="false" customHeight="false" outlineLevel="0" collapsed="false">
      <c r="A2340" s="36" t="str">
        <f aca="false">IF(Raw_Export!$A2340="","",TRIM(Raw_Export!A2340))</f>
        <v/>
      </c>
      <c r="B2340" s="37" t="str">
        <f aca="false">IF(Raw_Export!$A2340="","",IF(ISNUMBER(Raw_Export!B2340),Raw_Export!B2340,IF(MID(TRIM(Raw_Export!B2340),5,1)="-",DATE(LEFT(TRIM(Raw_Export!B2340),4),MID(TRIM(Raw_Export!B2340),6,2),RIGHT(TRIM(Raw_Export!B2340),2)),DATE(RIGHT(TRIM(Raw_Export!B2340),4),MATCH(MID(TRIM(Raw_Export!B2340),4,3),{"Jan","Feb","Mar","Apr","May","Jun","Jul","Aug","Sep","Oct","Nov","Dec"},0),LEFT(TRIM(Raw_Export!B2340),2)))))</f>
        <v/>
      </c>
      <c r="C2340" s="36" t="str">
        <f aca="false">IF(Raw_Export!$A2340="","",IFERROR(VLOOKUP(LOWER(TRIM(Raw_Export!C2340)),Maps!$A$2:$B$20,2,FALSE()),"UNMAPPED"))</f>
        <v/>
      </c>
      <c r="D2340" s="36" t="str">
        <f aca="false">IF(Raw_Export!$A2340="","",IFERROR(VLOOKUP(LOWER(TRIM(Raw_Export!D2340)),Maps!$G$2:$I$80,2,FALSE()),"UNMAPPED"))</f>
        <v/>
      </c>
      <c r="E2340" s="36" t="str">
        <f aca="false">IF(Raw_Export!$A2340="","",IFERROR(VLOOKUP(LOWER(TRIM(Raw_Export!D2340)),Maps!$G$2:$I$80,3,FALSE()),"UNMAPPED"))</f>
        <v/>
      </c>
      <c r="F2340" s="36" t="str">
        <f aca="false">IF(Raw_Export!$A2340="","",IFERROR(VALUE(TRIM(Raw_Export!E2340)),0))</f>
        <v/>
      </c>
      <c r="G2340" s="38" t="str">
        <f aca="false">IF(Raw_Export!$A2340="","",IFERROR(VALUE(SUBSTITUTE(SUBSTITUTE(UPPER(TRIM(Raw_Export!F2340)),"KES",""),",","")),0))</f>
        <v/>
      </c>
      <c r="H2340" s="38" t="str">
        <f aca="false">IF(Raw_Export!$A2340="","",F2340*G2340)</f>
        <v/>
      </c>
      <c r="I2340" s="36" t="str">
        <f aca="false">IF(Raw_Export!$A2340="","",IFERROR(VLOOKUP(LOWER(TRIM(Raw_Export!H2340)),Maps!$D$2:$E$12,2,FALSE()),"Other"))</f>
        <v/>
      </c>
      <c r="J2340" s="36" t="str">
        <f aca="false">IF(Raw_Export!$A2340="","",IF(COUNTIF($A$2:A2340,A2340)&gt;1,"Duplicate",""))</f>
        <v/>
      </c>
      <c r="K2340" s="36" t="str">
        <f aca="false">IF(Raw_Export!$A2340="","",IF(J2340="Duplicate","Duplicate",IF(OR(C2340="UNMAPPED",D2340="UNMAPPED"),"Unmapped",IF(F2340=0,"Blank qty",IF(F2340&lt;0,"Return","OK")))))</f>
        <v/>
      </c>
      <c r="L2340" s="36" t="str">
        <f aca="false">IF(Raw_Export!$A2340="","",IF(OR(K2340="OK",K2340="Return"),1,0))</f>
        <v/>
      </c>
      <c r="M2340" s="37" t="str">
        <f aca="false">IF(Raw_Export!$A2340="","",B2340-WEEKDAY(B2340,2)+1)</f>
        <v/>
      </c>
    </row>
    <row r="2341" customFormat="false" ht="15" hidden="false" customHeight="false" outlineLevel="0" collapsed="false">
      <c r="A2341" s="36" t="str">
        <f aca="false">IF(Raw_Export!$A2341="","",TRIM(Raw_Export!A2341))</f>
        <v/>
      </c>
      <c r="B2341" s="37" t="str">
        <f aca="false">IF(Raw_Export!$A2341="","",IF(ISNUMBER(Raw_Export!B2341),Raw_Export!B2341,IF(MID(TRIM(Raw_Export!B2341),5,1)="-",DATE(LEFT(TRIM(Raw_Export!B2341),4),MID(TRIM(Raw_Export!B2341),6,2),RIGHT(TRIM(Raw_Export!B2341),2)),DATE(RIGHT(TRIM(Raw_Export!B2341),4),MATCH(MID(TRIM(Raw_Export!B2341),4,3),{"Jan","Feb","Mar","Apr","May","Jun","Jul","Aug","Sep","Oct","Nov","Dec"},0),LEFT(TRIM(Raw_Export!B2341),2)))))</f>
        <v/>
      </c>
      <c r="C2341" s="36" t="str">
        <f aca="false">IF(Raw_Export!$A2341="","",IFERROR(VLOOKUP(LOWER(TRIM(Raw_Export!C2341)),Maps!$A$2:$B$20,2,FALSE()),"UNMAPPED"))</f>
        <v/>
      </c>
      <c r="D2341" s="36" t="str">
        <f aca="false">IF(Raw_Export!$A2341="","",IFERROR(VLOOKUP(LOWER(TRIM(Raw_Export!D2341)),Maps!$G$2:$I$80,2,FALSE()),"UNMAPPED"))</f>
        <v/>
      </c>
      <c r="E2341" s="36" t="str">
        <f aca="false">IF(Raw_Export!$A2341="","",IFERROR(VLOOKUP(LOWER(TRIM(Raw_Export!D2341)),Maps!$G$2:$I$80,3,FALSE()),"UNMAPPED"))</f>
        <v/>
      </c>
      <c r="F2341" s="36" t="str">
        <f aca="false">IF(Raw_Export!$A2341="","",IFERROR(VALUE(TRIM(Raw_Export!E2341)),0))</f>
        <v/>
      </c>
      <c r="G2341" s="38" t="str">
        <f aca="false">IF(Raw_Export!$A2341="","",IFERROR(VALUE(SUBSTITUTE(SUBSTITUTE(UPPER(TRIM(Raw_Export!F2341)),"KES",""),",","")),0))</f>
        <v/>
      </c>
      <c r="H2341" s="38" t="str">
        <f aca="false">IF(Raw_Export!$A2341="","",F2341*G2341)</f>
        <v/>
      </c>
      <c r="I2341" s="36" t="str">
        <f aca="false">IF(Raw_Export!$A2341="","",IFERROR(VLOOKUP(LOWER(TRIM(Raw_Export!H2341)),Maps!$D$2:$E$12,2,FALSE()),"Other"))</f>
        <v/>
      </c>
      <c r="J2341" s="36" t="str">
        <f aca="false">IF(Raw_Export!$A2341="","",IF(COUNTIF($A$2:A2341,A2341)&gt;1,"Duplicate",""))</f>
        <v/>
      </c>
      <c r="K2341" s="36" t="str">
        <f aca="false">IF(Raw_Export!$A2341="","",IF(J2341="Duplicate","Duplicate",IF(OR(C2341="UNMAPPED",D2341="UNMAPPED"),"Unmapped",IF(F2341=0,"Blank qty",IF(F2341&lt;0,"Return","OK")))))</f>
        <v/>
      </c>
      <c r="L2341" s="36" t="str">
        <f aca="false">IF(Raw_Export!$A2341="","",IF(OR(K2341="OK",K2341="Return"),1,0))</f>
        <v/>
      </c>
      <c r="M2341" s="37" t="str">
        <f aca="false">IF(Raw_Export!$A2341="","",B2341-WEEKDAY(B2341,2)+1)</f>
        <v/>
      </c>
    </row>
    <row r="2342" customFormat="false" ht="15" hidden="false" customHeight="false" outlineLevel="0" collapsed="false">
      <c r="A2342" s="36" t="str">
        <f aca="false">IF(Raw_Export!$A2342="","",TRIM(Raw_Export!A2342))</f>
        <v/>
      </c>
      <c r="B2342" s="37" t="str">
        <f aca="false">IF(Raw_Export!$A2342="","",IF(ISNUMBER(Raw_Export!B2342),Raw_Export!B2342,IF(MID(TRIM(Raw_Export!B2342),5,1)="-",DATE(LEFT(TRIM(Raw_Export!B2342),4),MID(TRIM(Raw_Export!B2342),6,2),RIGHT(TRIM(Raw_Export!B2342),2)),DATE(RIGHT(TRIM(Raw_Export!B2342),4),MATCH(MID(TRIM(Raw_Export!B2342),4,3),{"Jan","Feb","Mar","Apr","May","Jun","Jul","Aug","Sep","Oct","Nov","Dec"},0),LEFT(TRIM(Raw_Export!B2342),2)))))</f>
        <v/>
      </c>
      <c r="C2342" s="36" t="str">
        <f aca="false">IF(Raw_Export!$A2342="","",IFERROR(VLOOKUP(LOWER(TRIM(Raw_Export!C2342)),Maps!$A$2:$B$20,2,FALSE()),"UNMAPPED"))</f>
        <v/>
      </c>
      <c r="D2342" s="36" t="str">
        <f aca="false">IF(Raw_Export!$A2342="","",IFERROR(VLOOKUP(LOWER(TRIM(Raw_Export!D2342)),Maps!$G$2:$I$80,2,FALSE()),"UNMAPPED"))</f>
        <v/>
      </c>
      <c r="E2342" s="36" t="str">
        <f aca="false">IF(Raw_Export!$A2342="","",IFERROR(VLOOKUP(LOWER(TRIM(Raw_Export!D2342)),Maps!$G$2:$I$80,3,FALSE()),"UNMAPPED"))</f>
        <v/>
      </c>
      <c r="F2342" s="36" t="str">
        <f aca="false">IF(Raw_Export!$A2342="","",IFERROR(VALUE(TRIM(Raw_Export!E2342)),0))</f>
        <v/>
      </c>
      <c r="G2342" s="38" t="str">
        <f aca="false">IF(Raw_Export!$A2342="","",IFERROR(VALUE(SUBSTITUTE(SUBSTITUTE(UPPER(TRIM(Raw_Export!F2342)),"KES",""),",","")),0))</f>
        <v/>
      </c>
      <c r="H2342" s="38" t="str">
        <f aca="false">IF(Raw_Export!$A2342="","",F2342*G2342)</f>
        <v/>
      </c>
      <c r="I2342" s="36" t="str">
        <f aca="false">IF(Raw_Export!$A2342="","",IFERROR(VLOOKUP(LOWER(TRIM(Raw_Export!H2342)),Maps!$D$2:$E$12,2,FALSE()),"Other"))</f>
        <v/>
      </c>
      <c r="J2342" s="36" t="str">
        <f aca="false">IF(Raw_Export!$A2342="","",IF(COUNTIF($A$2:A2342,A2342)&gt;1,"Duplicate",""))</f>
        <v/>
      </c>
      <c r="K2342" s="36" t="str">
        <f aca="false">IF(Raw_Export!$A2342="","",IF(J2342="Duplicate","Duplicate",IF(OR(C2342="UNMAPPED",D2342="UNMAPPED"),"Unmapped",IF(F2342=0,"Blank qty",IF(F2342&lt;0,"Return","OK")))))</f>
        <v/>
      </c>
      <c r="L2342" s="36" t="str">
        <f aca="false">IF(Raw_Export!$A2342="","",IF(OR(K2342="OK",K2342="Return"),1,0))</f>
        <v/>
      </c>
      <c r="M2342" s="37" t="str">
        <f aca="false">IF(Raw_Export!$A2342="","",B2342-WEEKDAY(B2342,2)+1)</f>
        <v/>
      </c>
    </row>
    <row r="2343" customFormat="false" ht="15" hidden="false" customHeight="false" outlineLevel="0" collapsed="false">
      <c r="A2343" s="36" t="str">
        <f aca="false">IF(Raw_Export!$A2343="","",TRIM(Raw_Export!A2343))</f>
        <v/>
      </c>
      <c r="B2343" s="37" t="str">
        <f aca="false">IF(Raw_Export!$A2343="","",IF(ISNUMBER(Raw_Export!B2343),Raw_Export!B2343,IF(MID(TRIM(Raw_Export!B2343),5,1)="-",DATE(LEFT(TRIM(Raw_Export!B2343),4),MID(TRIM(Raw_Export!B2343),6,2),RIGHT(TRIM(Raw_Export!B2343),2)),DATE(RIGHT(TRIM(Raw_Export!B2343),4),MATCH(MID(TRIM(Raw_Export!B2343),4,3),{"Jan","Feb","Mar","Apr","May","Jun","Jul","Aug","Sep","Oct","Nov","Dec"},0),LEFT(TRIM(Raw_Export!B2343),2)))))</f>
        <v/>
      </c>
      <c r="C2343" s="36" t="str">
        <f aca="false">IF(Raw_Export!$A2343="","",IFERROR(VLOOKUP(LOWER(TRIM(Raw_Export!C2343)),Maps!$A$2:$B$20,2,FALSE()),"UNMAPPED"))</f>
        <v/>
      </c>
      <c r="D2343" s="36" t="str">
        <f aca="false">IF(Raw_Export!$A2343="","",IFERROR(VLOOKUP(LOWER(TRIM(Raw_Export!D2343)),Maps!$G$2:$I$80,2,FALSE()),"UNMAPPED"))</f>
        <v/>
      </c>
      <c r="E2343" s="36" t="str">
        <f aca="false">IF(Raw_Export!$A2343="","",IFERROR(VLOOKUP(LOWER(TRIM(Raw_Export!D2343)),Maps!$G$2:$I$80,3,FALSE()),"UNMAPPED"))</f>
        <v/>
      </c>
      <c r="F2343" s="36" t="str">
        <f aca="false">IF(Raw_Export!$A2343="","",IFERROR(VALUE(TRIM(Raw_Export!E2343)),0))</f>
        <v/>
      </c>
      <c r="G2343" s="38" t="str">
        <f aca="false">IF(Raw_Export!$A2343="","",IFERROR(VALUE(SUBSTITUTE(SUBSTITUTE(UPPER(TRIM(Raw_Export!F2343)),"KES",""),",","")),0))</f>
        <v/>
      </c>
      <c r="H2343" s="38" t="str">
        <f aca="false">IF(Raw_Export!$A2343="","",F2343*G2343)</f>
        <v/>
      </c>
      <c r="I2343" s="36" t="str">
        <f aca="false">IF(Raw_Export!$A2343="","",IFERROR(VLOOKUP(LOWER(TRIM(Raw_Export!H2343)),Maps!$D$2:$E$12,2,FALSE()),"Other"))</f>
        <v/>
      </c>
      <c r="J2343" s="36" t="str">
        <f aca="false">IF(Raw_Export!$A2343="","",IF(COUNTIF($A$2:A2343,A2343)&gt;1,"Duplicate",""))</f>
        <v/>
      </c>
      <c r="K2343" s="36" t="str">
        <f aca="false">IF(Raw_Export!$A2343="","",IF(J2343="Duplicate","Duplicate",IF(OR(C2343="UNMAPPED",D2343="UNMAPPED"),"Unmapped",IF(F2343=0,"Blank qty",IF(F2343&lt;0,"Return","OK")))))</f>
        <v/>
      </c>
      <c r="L2343" s="36" t="str">
        <f aca="false">IF(Raw_Export!$A2343="","",IF(OR(K2343="OK",K2343="Return"),1,0))</f>
        <v/>
      </c>
      <c r="M2343" s="37" t="str">
        <f aca="false">IF(Raw_Export!$A2343="","",B2343-WEEKDAY(B2343,2)+1)</f>
        <v/>
      </c>
    </row>
    <row r="2344" customFormat="false" ht="15" hidden="false" customHeight="false" outlineLevel="0" collapsed="false">
      <c r="A2344" s="36" t="str">
        <f aca="false">IF(Raw_Export!$A2344="","",TRIM(Raw_Export!A2344))</f>
        <v/>
      </c>
      <c r="B2344" s="37" t="str">
        <f aca="false">IF(Raw_Export!$A2344="","",IF(ISNUMBER(Raw_Export!B2344),Raw_Export!B2344,IF(MID(TRIM(Raw_Export!B2344),5,1)="-",DATE(LEFT(TRIM(Raw_Export!B2344),4),MID(TRIM(Raw_Export!B2344),6,2),RIGHT(TRIM(Raw_Export!B2344),2)),DATE(RIGHT(TRIM(Raw_Export!B2344),4),MATCH(MID(TRIM(Raw_Export!B2344),4,3),{"Jan","Feb","Mar","Apr","May","Jun","Jul","Aug","Sep","Oct","Nov","Dec"},0),LEFT(TRIM(Raw_Export!B2344),2)))))</f>
        <v/>
      </c>
      <c r="C2344" s="36" t="str">
        <f aca="false">IF(Raw_Export!$A2344="","",IFERROR(VLOOKUP(LOWER(TRIM(Raw_Export!C2344)),Maps!$A$2:$B$20,2,FALSE()),"UNMAPPED"))</f>
        <v/>
      </c>
      <c r="D2344" s="36" t="str">
        <f aca="false">IF(Raw_Export!$A2344="","",IFERROR(VLOOKUP(LOWER(TRIM(Raw_Export!D2344)),Maps!$G$2:$I$80,2,FALSE()),"UNMAPPED"))</f>
        <v/>
      </c>
      <c r="E2344" s="36" t="str">
        <f aca="false">IF(Raw_Export!$A2344="","",IFERROR(VLOOKUP(LOWER(TRIM(Raw_Export!D2344)),Maps!$G$2:$I$80,3,FALSE()),"UNMAPPED"))</f>
        <v/>
      </c>
      <c r="F2344" s="36" t="str">
        <f aca="false">IF(Raw_Export!$A2344="","",IFERROR(VALUE(TRIM(Raw_Export!E2344)),0))</f>
        <v/>
      </c>
      <c r="G2344" s="38" t="str">
        <f aca="false">IF(Raw_Export!$A2344="","",IFERROR(VALUE(SUBSTITUTE(SUBSTITUTE(UPPER(TRIM(Raw_Export!F2344)),"KES",""),",","")),0))</f>
        <v/>
      </c>
      <c r="H2344" s="38" t="str">
        <f aca="false">IF(Raw_Export!$A2344="","",F2344*G2344)</f>
        <v/>
      </c>
      <c r="I2344" s="36" t="str">
        <f aca="false">IF(Raw_Export!$A2344="","",IFERROR(VLOOKUP(LOWER(TRIM(Raw_Export!H2344)),Maps!$D$2:$E$12,2,FALSE()),"Other"))</f>
        <v/>
      </c>
      <c r="J2344" s="36" t="str">
        <f aca="false">IF(Raw_Export!$A2344="","",IF(COUNTIF($A$2:A2344,A2344)&gt;1,"Duplicate",""))</f>
        <v/>
      </c>
      <c r="K2344" s="36" t="str">
        <f aca="false">IF(Raw_Export!$A2344="","",IF(J2344="Duplicate","Duplicate",IF(OR(C2344="UNMAPPED",D2344="UNMAPPED"),"Unmapped",IF(F2344=0,"Blank qty",IF(F2344&lt;0,"Return","OK")))))</f>
        <v/>
      </c>
      <c r="L2344" s="36" t="str">
        <f aca="false">IF(Raw_Export!$A2344="","",IF(OR(K2344="OK",K2344="Return"),1,0))</f>
        <v/>
      </c>
      <c r="M2344" s="37" t="str">
        <f aca="false">IF(Raw_Export!$A2344="","",B2344-WEEKDAY(B2344,2)+1)</f>
        <v/>
      </c>
    </row>
    <row r="2345" customFormat="false" ht="15" hidden="false" customHeight="false" outlineLevel="0" collapsed="false">
      <c r="A2345" s="36" t="str">
        <f aca="false">IF(Raw_Export!$A2345="","",TRIM(Raw_Export!A2345))</f>
        <v/>
      </c>
      <c r="B2345" s="37" t="str">
        <f aca="false">IF(Raw_Export!$A2345="","",IF(ISNUMBER(Raw_Export!B2345),Raw_Export!B2345,IF(MID(TRIM(Raw_Export!B2345),5,1)="-",DATE(LEFT(TRIM(Raw_Export!B2345),4),MID(TRIM(Raw_Export!B2345),6,2),RIGHT(TRIM(Raw_Export!B2345),2)),DATE(RIGHT(TRIM(Raw_Export!B2345),4),MATCH(MID(TRIM(Raw_Export!B2345),4,3),{"Jan","Feb","Mar","Apr","May","Jun","Jul","Aug","Sep","Oct","Nov","Dec"},0),LEFT(TRIM(Raw_Export!B2345),2)))))</f>
        <v/>
      </c>
      <c r="C2345" s="36" t="str">
        <f aca="false">IF(Raw_Export!$A2345="","",IFERROR(VLOOKUP(LOWER(TRIM(Raw_Export!C2345)),Maps!$A$2:$B$20,2,FALSE()),"UNMAPPED"))</f>
        <v/>
      </c>
      <c r="D2345" s="36" t="str">
        <f aca="false">IF(Raw_Export!$A2345="","",IFERROR(VLOOKUP(LOWER(TRIM(Raw_Export!D2345)),Maps!$G$2:$I$80,2,FALSE()),"UNMAPPED"))</f>
        <v/>
      </c>
      <c r="E2345" s="36" t="str">
        <f aca="false">IF(Raw_Export!$A2345="","",IFERROR(VLOOKUP(LOWER(TRIM(Raw_Export!D2345)),Maps!$G$2:$I$80,3,FALSE()),"UNMAPPED"))</f>
        <v/>
      </c>
      <c r="F2345" s="36" t="str">
        <f aca="false">IF(Raw_Export!$A2345="","",IFERROR(VALUE(TRIM(Raw_Export!E2345)),0))</f>
        <v/>
      </c>
      <c r="G2345" s="38" t="str">
        <f aca="false">IF(Raw_Export!$A2345="","",IFERROR(VALUE(SUBSTITUTE(SUBSTITUTE(UPPER(TRIM(Raw_Export!F2345)),"KES",""),",","")),0))</f>
        <v/>
      </c>
      <c r="H2345" s="38" t="str">
        <f aca="false">IF(Raw_Export!$A2345="","",F2345*G2345)</f>
        <v/>
      </c>
      <c r="I2345" s="36" t="str">
        <f aca="false">IF(Raw_Export!$A2345="","",IFERROR(VLOOKUP(LOWER(TRIM(Raw_Export!H2345)),Maps!$D$2:$E$12,2,FALSE()),"Other"))</f>
        <v/>
      </c>
      <c r="J2345" s="36" t="str">
        <f aca="false">IF(Raw_Export!$A2345="","",IF(COUNTIF($A$2:A2345,A2345)&gt;1,"Duplicate",""))</f>
        <v/>
      </c>
      <c r="K2345" s="36" t="str">
        <f aca="false">IF(Raw_Export!$A2345="","",IF(J2345="Duplicate","Duplicate",IF(OR(C2345="UNMAPPED",D2345="UNMAPPED"),"Unmapped",IF(F2345=0,"Blank qty",IF(F2345&lt;0,"Return","OK")))))</f>
        <v/>
      </c>
      <c r="L2345" s="36" t="str">
        <f aca="false">IF(Raw_Export!$A2345="","",IF(OR(K2345="OK",K2345="Return"),1,0))</f>
        <v/>
      </c>
      <c r="M2345" s="37" t="str">
        <f aca="false">IF(Raw_Export!$A2345="","",B2345-WEEKDAY(B2345,2)+1)</f>
        <v/>
      </c>
    </row>
    <row r="2346" customFormat="false" ht="15" hidden="false" customHeight="false" outlineLevel="0" collapsed="false">
      <c r="A2346" s="36" t="str">
        <f aca="false">IF(Raw_Export!$A2346="","",TRIM(Raw_Export!A2346))</f>
        <v/>
      </c>
      <c r="B2346" s="37" t="str">
        <f aca="false">IF(Raw_Export!$A2346="","",IF(ISNUMBER(Raw_Export!B2346),Raw_Export!B2346,IF(MID(TRIM(Raw_Export!B2346),5,1)="-",DATE(LEFT(TRIM(Raw_Export!B2346),4),MID(TRIM(Raw_Export!B2346),6,2),RIGHT(TRIM(Raw_Export!B2346),2)),DATE(RIGHT(TRIM(Raw_Export!B2346),4),MATCH(MID(TRIM(Raw_Export!B2346),4,3),{"Jan","Feb","Mar","Apr","May","Jun","Jul","Aug","Sep","Oct","Nov","Dec"},0),LEFT(TRIM(Raw_Export!B2346),2)))))</f>
        <v/>
      </c>
      <c r="C2346" s="36" t="str">
        <f aca="false">IF(Raw_Export!$A2346="","",IFERROR(VLOOKUP(LOWER(TRIM(Raw_Export!C2346)),Maps!$A$2:$B$20,2,FALSE()),"UNMAPPED"))</f>
        <v/>
      </c>
      <c r="D2346" s="36" t="str">
        <f aca="false">IF(Raw_Export!$A2346="","",IFERROR(VLOOKUP(LOWER(TRIM(Raw_Export!D2346)),Maps!$G$2:$I$80,2,FALSE()),"UNMAPPED"))</f>
        <v/>
      </c>
      <c r="E2346" s="36" t="str">
        <f aca="false">IF(Raw_Export!$A2346="","",IFERROR(VLOOKUP(LOWER(TRIM(Raw_Export!D2346)),Maps!$G$2:$I$80,3,FALSE()),"UNMAPPED"))</f>
        <v/>
      </c>
      <c r="F2346" s="36" t="str">
        <f aca="false">IF(Raw_Export!$A2346="","",IFERROR(VALUE(TRIM(Raw_Export!E2346)),0))</f>
        <v/>
      </c>
      <c r="G2346" s="38" t="str">
        <f aca="false">IF(Raw_Export!$A2346="","",IFERROR(VALUE(SUBSTITUTE(SUBSTITUTE(UPPER(TRIM(Raw_Export!F2346)),"KES",""),",","")),0))</f>
        <v/>
      </c>
      <c r="H2346" s="38" t="str">
        <f aca="false">IF(Raw_Export!$A2346="","",F2346*G2346)</f>
        <v/>
      </c>
      <c r="I2346" s="36" t="str">
        <f aca="false">IF(Raw_Export!$A2346="","",IFERROR(VLOOKUP(LOWER(TRIM(Raw_Export!H2346)),Maps!$D$2:$E$12,2,FALSE()),"Other"))</f>
        <v/>
      </c>
      <c r="J2346" s="36" t="str">
        <f aca="false">IF(Raw_Export!$A2346="","",IF(COUNTIF($A$2:A2346,A2346)&gt;1,"Duplicate",""))</f>
        <v/>
      </c>
      <c r="K2346" s="36" t="str">
        <f aca="false">IF(Raw_Export!$A2346="","",IF(J2346="Duplicate","Duplicate",IF(OR(C2346="UNMAPPED",D2346="UNMAPPED"),"Unmapped",IF(F2346=0,"Blank qty",IF(F2346&lt;0,"Return","OK")))))</f>
        <v/>
      </c>
      <c r="L2346" s="36" t="str">
        <f aca="false">IF(Raw_Export!$A2346="","",IF(OR(K2346="OK",K2346="Return"),1,0))</f>
        <v/>
      </c>
      <c r="M2346" s="37" t="str">
        <f aca="false">IF(Raw_Export!$A2346="","",B2346-WEEKDAY(B2346,2)+1)</f>
        <v/>
      </c>
    </row>
    <row r="2347" customFormat="false" ht="15" hidden="false" customHeight="false" outlineLevel="0" collapsed="false">
      <c r="A2347" s="36" t="str">
        <f aca="false">IF(Raw_Export!$A2347="","",TRIM(Raw_Export!A2347))</f>
        <v/>
      </c>
      <c r="B2347" s="37" t="str">
        <f aca="false">IF(Raw_Export!$A2347="","",IF(ISNUMBER(Raw_Export!B2347),Raw_Export!B2347,IF(MID(TRIM(Raw_Export!B2347),5,1)="-",DATE(LEFT(TRIM(Raw_Export!B2347),4),MID(TRIM(Raw_Export!B2347),6,2),RIGHT(TRIM(Raw_Export!B2347),2)),DATE(RIGHT(TRIM(Raw_Export!B2347),4),MATCH(MID(TRIM(Raw_Export!B2347),4,3),{"Jan","Feb","Mar","Apr","May","Jun","Jul","Aug","Sep","Oct","Nov","Dec"},0),LEFT(TRIM(Raw_Export!B2347),2)))))</f>
        <v/>
      </c>
      <c r="C2347" s="36" t="str">
        <f aca="false">IF(Raw_Export!$A2347="","",IFERROR(VLOOKUP(LOWER(TRIM(Raw_Export!C2347)),Maps!$A$2:$B$20,2,FALSE()),"UNMAPPED"))</f>
        <v/>
      </c>
      <c r="D2347" s="36" t="str">
        <f aca="false">IF(Raw_Export!$A2347="","",IFERROR(VLOOKUP(LOWER(TRIM(Raw_Export!D2347)),Maps!$G$2:$I$80,2,FALSE()),"UNMAPPED"))</f>
        <v/>
      </c>
      <c r="E2347" s="36" t="str">
        <f aca="false">IF(Raw_Export!$A2347="","",IFERROR(VLOOKUP(LOWER(TRIM(Raw_Export!D2347)),Maps!$G$2:$I$80,3,FALSE()),"UNMAPPED"))</f>
        <v/>
      </c>
      <c r="F2347" s="36" t="str">
        <f aca="false">IF(Raw_Export!$A2347="","",IFERROR(VALUE(TRIM(Raw_Export!E2347)),0))</f>
        <v/>
      </c>
      <c r="G2347" s="38" t="str">
        <f aca="false">IF(Raw_Export!$A2347="","",IFERROR(VALUE(SUBSTITUTE(SUBSTITUTE(UPPER(TRIM(Raw_Export!F2347)),"KES",""),",","")),0))</f>
        <v/>
      </c>
      <c r="H2347" s="38" t="str">
        <f aca="false">IF(Raw_Export!$A2347="","",F2347*G2347)</f>
        <v/>
      </c>
      <c r="I2347" s="36" t="str">
        <f aca="false">IF(Raw_Export!$A2347="","",IFERROR(VLOOKUP(LOWER(TRIM(Raw_Export!H2347)),Maps!$D$2:$E$12,2,FALSE()),"Other"))</f>
        <v/>
      </c>
      <c r="J2347" s="36" t="str">
        <f aca="false">IF(Raw_Export!$A2347="","",IF(COUNTIF($A$2:A2347,A2347)&gt;1,"Duplicate",""))</f>
        <v/>
      </c>
      <c r="K2347" s="36" t="str">
        <f aca="false">IF(Raw_Export!$A2347="","",IF(J2347="Duplicate","Duplicate",IF(OR(C2347="UNMAPPED",D2347="UNMAPPED"),"Unmapped",IF(F2347=0,"Blank qty",IF(F2347&lt;0,"Return","OK")))))</f>
        <v/>
      </c>
      <c r="L2347" s="36" t="str">
        <f aca="false">IF(Raw_Export!$A2347="","",IF(OR(K2347="OK",K2347="Return"),1,0))</f>
        <v/>
      </c>
      <c r="M2347" s="37" t="str">
        <f aca="false">IF(Raw_Export!$A2347="","",B2347-WEEKDAY(B2347,2)+1)</f>
        <v/>
      </c>
    </row>
    <row r="2348" customFormat="false" ht="15" hidden="false" customHeight="false" outlineLevel="0" collapsed="false">
      <c r="A2348" s="36" t="str">
        <f aca="false">IF(Raw_Export!$A2348="","",TRIM(Raw_Export!A2348))</f>
        <v/>
      </c>
      <c r="B2348" s="37" t="str">
        <f aca="false">IF(Raw_Export!$A2348="","",IF(ISNUMBER(Raw_Export!B2348),Raw_Export!B2348,IF(MID(TRIM(Raw_Export!B2348),5,1)="-",DATE(LEFT(TRIM(Raw_Export!B2348),4),MID(TRIM(Raw_Export!B2348),6,2),RIGHT(TRIM(Raw_Export!B2348),2)),DATE(RIGHT(TRIM(Raw_Export!B2348),4),MATCH(MID(TRIM(Raw_Export!B2348),4,3),{"Jan","Feb","Mar","Apr","May","Jun","Jul","Aug","Sep","Oct","Nov","Dec"},0),LEFT(TRIM(Raw_Export!B2348),2)))))</f>
        <v/>
      </c>
      <c r="C2348" s="36" t="str">
        <f aca="false">IF(Raw_Export!$A2348="","",IFERROR(VLOOKUP(LOWER(TRIM(Raw_Export!C2348)),Maps!$A$2:$B$20,2,FALSE()),"UNMAPPED"))</f>
        <v/>
      </c>
      <c r="D2348" s="36" t="str">
        <f aca="false">IF(Raw_Export!$A2348="","",IFERROR(VLOOKUP(LOWER(TRIM(Raw_Export!D2348)),Maps!$G$2:$I$80,2,FALSE()),"UNMAPPED"))</f>
        <v/>
      </c>
      <c r="E2348" s="36" t="str">
        <f aca="false">IF(Raw_Export!$A2348="","",IFERROR(VLOOKUP(LOWER(TRIM(Raw_Export!D2348)),Maps!$G$2:$I$80,3,FALSE()),"UNMAPPED"))</f>
        <v/>
      </c>
      <c r="F2348" s="36" t="str">
        <f aca="false">IF(Raw_Export!$A2348="","",IFERROR(VALUE(TRIM(Raw_Export!E2348)),0))</f>
        <v/>
      </c>
      <c r="G2348" s="38" t="str">
        <f aca="false">IF(Raw_Export!$A2348="","",IFERROR(VALUE(SUBSTITUTE(SUBSTITUTE(UPPER(TRIM(Raw_Export!F2348)),"KES",""),",","")),0))</f>
        <v/>
      </c>
      <c r="H2348" s="38" t="str">
        <f aca="false">IF(Raw_Export!$A2348="","",F2348*G2348)</f>
        <v/>
      </c>
      <c r="I2348" s="36" t="str">
        <f aca="false">IF(Raw_Export!$A2348="","",IFERROR(VLOOKUP(LOWER(TRIM(Raw_Export!H2348)),Maps!$D$2:$E$12,2,FALSE()),"Other"))</f>
        <v/>
      </c>
      <c r="J2348" s="36" t="str">
        <f aca="false">IF(Raw_Export!$A2348="","",IF(COUNTIF($A$2:A2348,A2348)&gt;1,"Duplicate",""))</f>
        <v/>
      </c>
      <c r="K2348" s="36" t="str">
        <f aca="false">IF(Raw_Export!$A2348="","",IF(J2348="Duplicate","Duplicate",IF(OR(C2348="UNMAPPED",D2348="UNMAPPED"),"Unmapped",IF(F2348=0,"Blank qty",IF(F2348&lt;0,"Return","OK")))))</f>
        <v/>
      </c>
      <c r="L2348" s="36" t="str">
        <f aca="false">IF(Raw_Export!$A2348="","",IF(OR(K2348="OK",K2348="Return"),1,0))</f>
        <v/>
      </c>
      <c r="M2348" s="37" t="str">
        <f aca="false">IF(Raw_Export!$A2348="","",B2348-WEEKDAY(B2348,2)+1)</f>
        <v/>
      </c>
    </row>
    <row r="2349" customFormat="false" ht="15" hidden="false" customHeight="false" outlineLevel="0" collapsed="false">
      <c r="A2349" s="36" t="str">
        <f aca="false">IF(Raw_Export!$A2349="","",TRIM(Raw_Export!A2349))</f>
        <v/>
      </c>
      <c r="B2349" s="37" t="str">
        <f aca="false">IF(Raw_Export!$A2349="","",IF(ISNUMBER(Raw_Export!B2349),Raw_Export!B2349,IF(MID(TRIM(Raw_Export!B2349),5,1)="-",DATE(LEFT(TRIM(Raw_Export!B2349),4),MID(TRIM(Raw_Export!B2349),6,2),RIGHT(TRIM(Raw_Export!B2349),2)),DATE(RIGHT(TRIM(Raw_Export!B2349),4),MATCH(MID(TRIM(Raw_Export!B2349),4,3),{"Jan","Feb","Mar","Apr","May","Jun","Jul","Aug","Sep","Oct","Nov","Dec"},0),LEFT(TRIM(Raw_Export!B2349),2)))))</f>
        <v/>
      </c>
      <c r="C2349" s="36" t="str">
        <f aca="false">IF(Raw_Export!$A2349="","",IFERROR(VLOOKUP(LOWER(TRIM(Raw_Export!C2349)),Maps!$A$2:$B$20,2,FALSE()),"UNMAPPED"))</f>
        <v/>
      </c>
      <c r="D2349" s="36" t="str">
        <f aca="false">IF(Raw_Export!$A2349="","",IFERROR(VLOOKUP(LOWER(TRIM(Raw_Export!D2349)),Maps!$G$2:$I$80,2,FALSE()),"UNMAPPED"))</f>
        <v/>
      </c>
      <c r="E2349" s="36" t="str">
        <f aca="false">IF(Raw_Export!$A2349="","",IFERROR(VLOOKUP(LOWER(TRIM(Raw_Export!D2349)),Maps!$G$2:$I$80,3,FALSE()),"UNMAPPED"))</f>
        <v/>
      </c>
      <c r="F2349" s="36" t="str">
        <f aca="false">IF(Raw_Export!$A2349="","",IFERROR(VALUE(TRIM(Raw_Export!E2349)),0))</f>
        <v/>
      </c>
      <c r="G2349" s="38" t="str">
        <f aca="false">IF(Raw_Export!$A2349="","",IFERROR(VALUE(SUBSTITUTE(SUBSTITUTE(UPPER(TRIM(Raw_Export!F2349)),"KES",""),",","")),0))</f>
        <v/>
      </c>
      <c r="H2349" s="38" t="str">
        <f aca="false">IF(Raw_Export!$A2349="","",F2349*G2349)</f>
        <v/>
      </c>
      <c r="I2349" s="36" t="str">
        <f aca="false">IF(Raw_Export!$A2349="","",IFERROR(VLOOKUP(LOWER(TRIM(Raw_Export!H2349)),Maps!$D$2:$E$12,2,FALSE()),"Other"))</f>
        <v/>
      </c>
      <c r="J2349" s="36" t="str">
        <f aca="false">IF(Raw_Export!$A2349="","",IF(COUNTIF($A$2:A2349,A2349)&gt;1,"Duplicate",""))</f>
        <v/>
      </c>
      <c r="K2349" s="36" t="str">
        <f aca="false">IF(Raw_Export!$A2349="","",IF(J2349="Duplicate","Duplicate",IF(OR(C2349="UNMAPPED",D2349="UNMAPPED"),"Unmapped",IF(F2349=0,"Blank qty",IF(F2349&lt;0,"Return","OK")))))</f>
        <v/>
      </c>
      <c r="L2349" s="36" t="str">
        <f aca="false">IF(Raw_Export!$A2349="","",IF(OR(K2349="OK",K2349="Return"),1,0))</f>
        <v/>
      </c>
      <c r="M2349" s="37" t="str">
        <f aca="false">IF(Raw_Export!$A2349="","",B2349-WEEKDAY(B2349,2)+1)</f>
        <v/>
      </c>
    </row>
    <row r="2350" customFormat="false" ht="15" hidden="false" customHeight="false" outlineLevel="0" collapsed="false">
      <c r="A2350" s="36" t="str">
        <f aca="false">IF(Raw_Export!$A2350="","",TRIM(Raw_Export!A2350))</f>
        <v/>
      </c>
      <c r="B2350" s="37" t="str">
        <f aca="false">IF(Raw_Export!$A2350="","",IF(ISNUMBER(Raw_Export!B2350),Raw_Export!B2350,IF(MID(TRIM(Raw_Export!B2350),5,1)="-",DATE(LEFT(TRIM(Raw_Export!B2350),4),MID(TRIM(Raw_Export!B2350),6,2),RIGHT(TRIM(Raw_Export!B2350),2)),DATE(RIGHT(TRIM(Raw_Export!B2350),4),MATCH(MID(TRIM(Raw_Export!B2350),4,3),{"Jan","Feb","Mar","Apr","May","Jun","Jul","Aug","Sep","Oct","Nov","Dec"},0),LEFT(TRIM(Raw_Export!B2350),2)))))</f>
        <v/>
      </c>
      <c r="C2350" s="36" t="str">
        <f aca="false">IF(Raw_Export!$A2350="","",IFERROR(VLOOKUP(LOWER(TRIM(Raw_Export!C2350)),Maps!$A$2:$B$20,2,FALSE()),"UNMAPPED"))</f>
        <v/>
      </c>
      <c r="D2350" s="36" t="str">
        <f aca="false">IF(Raw_Export!$A2350="","",IFERROR(VLOOKUP(LOWER(TRIM(Raw_Export!D2350)),Maps!$G$2:$I$80,2,FALSE()),"UNMAPPED"))</f>
        <v/>
      </c>
      <c r="E2350" s="36" t="str">
        <f aca="false">IF(Raw_Export!$A2350="","",IFERROR(VLOOKUP(LOWER(TRIM(Raw_Export!D2350)),Maps!$G$2:$I$80,3,FALSE()),"UNMAPPED"))</f>
        <v/>
      </c>
      <c r="F2350" s="36" t="str">
        <f aca="false">IF(Raw_Export!$A2350="","",IFERROR(VALUE(TRIM(Raw_Export!E2350)),0))</f>
        <v/>
      </c>
      <c r="G2350" s="38" t="str">
        <f aca="false">IF(Raw_Export!$A2350="","",IFERROR(VALUE(SUBSTITUTE(SUBSTITUTE(UPPER(TRIM(Raw_Export!F2350)),"KES",""),",","")),0))</f>
        <v/>
      </c>
      <c r="H2350" s="38" t="str">
        <f aca="false">IF(Raw_Export!$A2350="","",F2350*G2350)</f>
        <v/>
      </c>
      <c r="I2350" s="36" t="str">
        <f aca="false">IF(Raw_Export!$A2350="","",IFERROR(VLOOKUP(LOWER(TRIM(Raw_Export!H2350)),Maps!$D$2:$E$12,2,FALSE()),"Other"))</f>
        <v/>
      </c>
      <c r="J2350" s="36" t="str">
        <f aca="false">IF(Raw_Export!$A2350="","",IF(COUNTIF($A$2:A2350,A2350)&gt;1,"Duplicate",""))</f>
        <v/>
      </c>
      <c r="K2350" s="36" t="str">
        <f aca="false">IF(Raw_Export!$A2350="","",IF(J2350="Duplicate","Duplicate",IF(OR(C2350="UNMAPPED",D2350="UNMAPPED"),"Unmapped",IF(F2350=0,"Blank qty",IF(F2350&lt;0,"Return","OK")))))</f>
        <v/>
      </c>
      <c r="L2350" s="36" t="str">
        <f aca="false">IF(Raw_Export!$A2350="","",IF(OR(K2350="OK",K2350="Return"),1,0))</f>
        <v/>
      </c>
      <c r="M2350" s="37" t="str">
        <f aca="false">IF(Raw_Export!$A2350="","",B2350-WEEKDAY(B2350,2)+1)</f>
        <v/>
      </c>
    </row>
    <row r="2351" customFormat="false" ht="15" hidden="false" customHeight="false" outlineLevel="0" collapsed="false">
      <c r="A2351" s="36" t="str">
        <f aca="false">IF(Raw_Export!$A2351="","",TRIM(Raw_Export!A2351))</f>
        <v/>
      </c>
      <c r="B2351" s="37" t="str">
        <f aca="false">IF(Raw_Export!$A2351="","",IF(ISNUMBER(Raw_Export!B2351),Raw_Export!B2351,IF(MID(TRIM(Raw_Export!B2351),5,1)="-",DATE(LEFT(TRIM(Raw_Export!B2351),4),MID(TRIM(Raw_Export!B2351),6,2),RIGHT(TRIM(Raw_Export!B2351),2)),DATE(RIGHT(TRIM(Raw_Export!B2351),4),MATCH(MID(TRIM(Raw_Export!B2351),4,3),{"Jan","Feb","Mar","Apr","May","Jun","Jul","Aug","Sep","Oct","Nov","Dec"},0),LEFT(TRIM(Raw_Export!B2351),2)))))</f>
        <v/>
      </c>
      <c r="C2351" s="36" t="str">
        <f aca="false">IF(Raw_Export!$A2351="","",IFERROR(VLOOKUP(LOWER(TRIM(Raw_Export!C2351)),Maps!$A$2:$B$20,2,FALSE()),"UNMAPPED"))</f>
        <v/>
      </c>
      <c r="D2351" s="36" t="str">
        <f aca="false">IF(Raw_Export!$A2351="","",IFERROR(VLOOKUP(LOWER(TRIM(Raw_Export!D2351)),Maps!$G$2:$I$80,2,FALSE()),"UNMAPPED"))</f>
        <v/>
      </c>
      <c r="E2351" s="36" t="str">
        <f aca="false">IF(Raw_Export!$A2351="","",IFERROR(VLOOKUP(LOWER(TRIM(Raw_Export!D2351)),Maps!$G$2:$I$80,3,FALSE()),"UNMAPPED"))</f>
        <v/>
      </c>
      <c r="F2351" s="36" t="str">
        <f aca="false">IF(Raw_Export!$A2351="","",IFERROR(VALUE(TRIM(Raw_Export!E2351)),0))</f>
        <v/>
      </c>
      <c r="G2351" s="38" t="str">
        <f aca="false">IF(Raw_Export!$A2351="","",IFERROR(VALUE(SUBSTITUTE(SUBSTITUTE(UPPER(TRIM(Raw_Export!F2351)),"KES",""),",","")),0))</f>
        <v/>
      </c>
      <c r="H2351" s="38" t="str">
        <f aca="false">IF(Raw_Export!$A2351="","",F2351*G2351)</f>
        <v/>
      </c>
      <c r="I2351" s="36" t="str">
        <f aca="false">IF(Raw_Export!$A2351="","",IFERROR(VLOOKUP(LOWER(TRIM(Raw_Export!H2351)),Maps!$D$2:$E$12,2,FALSE()),"Other"))</f>
        <v/>
      </c>
      <c r="J2351" s="36" t="str">
        <f aca="false">IF(Raw_Export!$A2351="","",IF(COUNTIF($A$2:A2351,A2351)&gt;1,"Duplicate",""))</f>
        <v/>
      </c>
      <c r="K2351" s="36" t="str">
        <f aca="false">IF(Raw_Export!$A2351="","",IF(J2351="Duplicate","Duplicate",IF(OR(C2351="UNMAPPED",D2351="UNMAPPED"),"Unmapped",IF(F2351=0,"Blank qty",IF(F2351&lt;0,"Return","OK")))))</f>
        <v/>
      </c>
      <c r="L2351" s="36" t="str">
        <f aca="false">IF(Raw_Export!$A2351="","",IF(OR(K2351="OK",K2351="Return"),1,0))</f>
        <v/>
      </c>
      <c r="M2351" s="37" t="str">
        <f aca="false">IF(Raw_Export!$A2351="","",B2351-WEEKDAY(B2351,2)+1)</f>
        <v/>
      </c>
    </row>
    <row r="2352" customFormat="false" ht="15" hidden="false" customHeight="false" outlineLevel="0" collapsed="false">
      <c r="A2352" s="36" t="str">
        <f aca="false">IF(Raw_Export!$A2352="","",TRIM(Raw_Export!A2352))</f>
        <v/>
      </c>
      <c r="B2352" s="37" t="str">
        <f aca="false">IF(Raw_Export!$A2352="","",IF(ISNUMBER(Raw_Export!B2352),Raw_Export!B2352,IF(MID(TRIM(Raw_Export!B2352),5,1)="-",DATE(LEFT(TRIM(Raw_Export!B2352),4),MID(TRIM(Raw_Export!B2352),6,2),RIGHT(TRIM(Raw_Export!B2352),2)),DATE(RIGHT(TRIM(Raw_Export!B2352),4),MATCH(MID(TRIM(Raw_Export!B2352),4,3),{"Jan","Feb","Mar","Apr","May","Jun","Jul","Aug","Sep","Oct","Nov","Dec"},0),LEFT(TRIM(Raw_Export!B2352),2)))))</f>
        <v/>
      </c>
      <c r="C2352" s="36" t="str">
        <f aca="false">IF(Raw_Export!$A2352="","",IFERROR(VLOOKUP(LOWER(TRIM(Raw_Export!C2352)),Maps!$A$2:$B$20,2,FALSE()),"UNMAPPED"))</f>
        <v/>
      </c>
      <c r="D2352" s="36" t="str">
        <f aca="false">IF(Raw_Export!$A2352="","",IFERROR(VLOOKUP(LOWER(TRIM(Raw_Export!D2352)),Maps!$G$2:$I$80,2,FALSE()),"UNMAPPED"))</f>
        <v/>
      </c>
      <c r="E2352" s="36" t="str">
        <f aca="false">IF(Raw_Export!$A2352="","",IFERROR(VLOOKUP(LOWER(TRIM(Raw_Export!D2352)),Maps!$G$2:$I$80,3,FALSE()),"UNMAPPED"))</f>
        <v/>
      </c>
      <c r="F2352" s="36" t="str">
        <f aca="false">IF(Raw_Export!$A2352="","",IFERROR(VALUE(TRIM(Raw_Export!E2352)),0))</f>
        <v/>
      </c>
      <c r="G2352" s="38" t="str">
        <f aca="false">IF(Raw_Export!$A2352="","",IFERROR(VALUE(SUBSTITUTE(SUBSTITUTE(UPPER(TRIM(Raw_Export!F2352)),"KES",""),",","")),0))</f>
        <v/>
      </c>
      <c r="H2352" s="38" t="str">
        <f aca="false">IF(Raw_Export!$A2352="","",F2352*G2352)</f>
        <v/>
      </c>
      <c r="I2352" s="36" t="str">
        <f aca="false">IF(Raw_Export!$A2352="","",IFERROR(VLOOKUP(LOWER(TRIM(Raw_Export!H2352)),Maps!$D$2:$E$12,2,FALSE()),"Other"))</f>
        <v/>
      </c>
      <c r="J2352" s="36" t="str">
        <f aca="false">IF(Raw_Export!$A2352="","",IF(COUNTIF($A$2:A2352,A2352)&gt;1,"Duplicate",""))</f>
        <v/>
      </c>
      <c r="K2352" s="36" t="str">
        <f aca="false">IF(Raw_Export!$A2352="","",IF(J2352="Duplicate","Duplicate",IF(OR(C2352="UNMAPPED",D2352="UNMAPPED"),"Unmapped",IF(F2352=0,"Blank qty",IF(F2352&lt;0,"Return","OK")))))</f>
        <v/>
      </c>
      <c r="L2352" s="36" t="str">
        <f aca="false">IF(Raw_Export!$A2352="","",IF(OR(K2352="OK",K2352="Return"),1,0))</f>
        <v/>
      </c>
      <c r="M2352" s="37" t="str">
        <f aca="false">IF(Raw_Export!$A2352="","",B2352-WEEKDAY(B2352,2)+1)</f>
        <v/>
      </c>
    </row>
    <row r="2353" customFormat="false" ht="15" hidden="false" customHeight="false" outlineLevel="0" collapsed="false">
      <c r="A2353" s="36" t="str">
        <f aca="false">IF(Raw_Export!$A2353="","",TRIM(Raw_Export!A2353))</f>
        <v/>
      </c>
      <c r="B2353" s="37" t="str">
        <f aca="false">IF(Raw_Export!$A2353="","",IF(ISNUMBER(Raw_Export!B2353),Raw_Export!B2353,IF(MID(TRIM(Raw_Export!B2353),5,1)="-",DATE(LEFT(TRIM(Raw_Export!B2353),4),MID(TRIM(Raw_Export!B2353),6,2),RIGHT(TRIM(Raw_Export!B2353),2)),DATE(RIGHT(TRIM(Raw_Export!B2353),4),MATCH(MID(TRIM(Raw_Export!B2353),4,3),{"Jan","Feb","Mar","Apr","May","Jun","Jul","Aug","Sep","Oct","Nov","Dec"},0),LEFT(TRIM(Raw_Export!B2353),2)))))</f>
        <v/>
      </c>
      <c r="C2353" s="36" t="str">
        <f aca="false">IF(Raw_Export!$A2353="","",IFERROR(VLOOKUP(LOWER(TRIM(Raw_Export!C2353)),Maps!$A$2:$B$20,2,FALSE()),"UNMAPPED"))</f>
        <v/>
      </c>
      <c r="D2353" s="36" t="str">
        <f aca="false">IF(Raw_Export!$A2353="","",IFERROR(VLOOKUP(LOWER(TRIM(Raw_Export!D2353)),Maps!$G$2:$I$80,2,FALSE()),"UNMAPPED"))</f>
        <v/>
      </c>
      <c r="E2353" s="36" t="str">
        <f aca="false">IF(Raw_Export!$A2353="","",IFERROR(VLOOKUP(LOWER(TRIM(Raw_Export!D2353)),Maps!$G$2:$I$80,3,FALSE()),"UNMAPPED"))</f>
        <v/>
      </c>
      <c r="F2353" s="36" t="str">
        <f aca="false">IF(Raw_Export!$A2353="","",IFERROR(VALUE(TRIM(Raw_Export!E2353)),0))</f>
        <v/>
      </c>
      <c r="G2353" s="38" t="str">
        <f aca="false">IF(Raw_Export!$A2353="","",IFERROR(VALUE(SUBSTITUTE(SUBSTITUTE(UPPER(TRIM(Raw_Export!F2353)),"KES",""),",","")),0))</f>
        <v/>
      </c>
      <c r="H2353" s="38" t="str">
        <f aca="false">IF(Raw_Export!$A2353="","",F2353*G2353)</f>
        <v/>
      </c>
      <c r="I2353" s="36" t="str">
        <f aca="false">IF(Raw_Export!$A2353="","",IFERROR(VLOOKUP(LOWER(TRIM(Raw_Export!H2353)),Maps!$D$2:$E$12,2,FALSE()),"Other"))</f>
        <v/>
      </c>
      <c r="J2353" s="36" t="str">
        <f aca="false">IF(Raw_Export!$A2353="","",IF(COUNTIF($A$2:A2353,A2353)&gt;1,"Duplicate",""))</f>
        <v/>
      </c>
      <c r="K2353" s="36" t="str">
        <f aca="false">IF(Raw_Export!$A2353="","",IF(J2353="Duplicate","Duplicate",IF(OR(C2353="UNMAPPED",D2353="UNMAPPED"),"Unmapped",IF(F2353=0,"Blank qty",IF(F2353&lt;0,"Return","OK")))))</f>
        <v/>
      </c>
      <c r="L2353" s="36" t="str">
        <f aca="false">IF(Raw_Export!$A2353="","",IF(OR(K2353="OK",K2353="Return"),1,0))</f>
        <v/>
      </c>
      <c r="M2353" s="37" t="str">
        <f aca="false">IF(Raw_Export!$A2353="","",B2353-WEEKDAY(B2353,2)+1)</f>
        <v/>
      </c>
    </row>
    <row r="2354" customFormat="false" ht="15" hidden="false" customHeight="false" outlineLevel="0" collapsed="false">
      <c r="A2354" s="36" t="str">
        <f aca="false">IF(Raw_Export!$A2354="","",TRIM(Raw_Export!A2354))</f>
        <v/>
      </c>
      <c r="B2354" s="37" t="str">
        <f aca="false">IF(Raw_Export!$A2354="","",IF(ISNUMBER(Raw_Export!B2354),Raw_Export!B2354,IF(MID(TRIM(Raw_Export!B2354),5,1)="-",DATE(LEFT(TRIM(Raw_Export!B2354),4),MID(TRIM(Raw_Export!B2354),6,2),RIGHT(TRIM(Raw_Export!B2354),2)),DATE(RIGHT(TRIM(Raw_Export!B2354),4),MATCH(MID(TRIM(Raw_Export!B2354),4,3),{"Jan","Feb","Mar","Apr","May","Jun","Jul","Aug","Sep","Oct","Nov","Dec"},0),LEFT(TRIM(Raw_Export!B2354),2)))))</f>
        <v/>
      </c>
      <c r="C2354" s="36" t="str">
        <f aca="false">IF(Raw_Export!$A2354="","",IFERROR(VLOOKUP(LOWER(TRIM(Raw_Export!C2354)),Maps!$A$2:$B$20,2,FALSE()),"UNMAPPED"))</f>
        <v/>
      </c>
      <c r="D2354" s="36" t="str">
        <f aca="false">IF(Raw_Export!$A2354="","",IFERROR(VLOOKUP(LOWER(TRIM(Raw_Export!D2354)),Maps!$G$2:$I$80,2,FALSE()),"UNMAPPED"))</f>
        <v/>
      </c>
      <c r="E2354" s="36" t="str">
        <f aca="false">IF(Raw_Export!$A2354="","",IFERROR(VLOOKUP(LOWER(TRIM(Raw_Export!D2354)),Maps!$G$2:$I$80,3,FALSE()),"UNMAPPED"))</f>
        <v/>
      </c>
      <c r="F2354" s="36" t="str">
        <f aca="false">IF(Raw_Export!$A2354="","",IFERROR(VALUE(TRIM(Raw_Export!E2354)),0))</f>
        <v/>
      </c>
      <c r="G2354" s="38" t="str">
        <f aca="false">IF(Raw_Export!$A2354="","",IFERROR(VALUE(SUBSTITUTE(SUBSTITUTE(UPPER(TRIM(Raw_Export!F2354)),"KES",""),",","")),0))</f>
        <v/>
      </c>
      <c r="H2354" s="38" t="str">
        <f aca="false">IF(Raw_Export!$A2354="","",F2354*G2354)</f>
        <v/>
      </c>
      <c r="I2354" s="36" t="str">
        <f aca="false">IF(Raw_Export!$A2354="","",IFERROR(VLOOKUP(LOWER(TRIM(Raw_Export!H2354)),Maps!$D$2:$E$12,2,FALSE()),"Other"))</f>
        <v/>
      </c>
      <c r="J2354" s="36" t="str">
        <f aca="false">IF(Raw_Export!$A2354="","",IF(COUNTIF($A$2:A2354,A2354)&gt;1,"Duplicate",""))</f>
        <v/>
      </c>
      <c r="K2354" s="36" t="str">
        <f aca="false">IF(Raw_Export!$A2354="","",IF(J2354="Duplicate","Duplicate",IF(OR(C2354="UNMAPPED",D2354="UNMAPPED"),"Unmapped",IF(F2354=0,"Blank qty",IF(F2354&lt;0,"Return","OK")))))</f>
        <v/>
      </c>
      <c r="L2354" s="36" t="str">
        <f aca="false">IF(Raw_Export!$A2354="","",IF(OR(K2354="OK",K2354="Return"),1,0))</f>
        <v/>
      </c>
      <c r="M2354" s="37" t="str">
        <f aca="false">IF(Raw_Export!$A2354="","",B2354-WEEKDAY(B2354,2)+1)</f>
        <v/>
      </c>
    </row>
    <row r="2355" customFormat="false" ht="15" hidden="false" customHeight="false" outlineLevel="0" collapsed="false">
      <c r="A2355" s="36" t="str">
        <f aca="false">IF(Raw_Export!$A2355="","",TRIM(Raw_Export!A2355))</f>
        <v/>
      </c>
      <c r="B2355" s="37" t="str">
        <f aca="false">IF(Raw_Export!$A2355="","",IF(ISNUMBER(Raw_Export!B2355),Raw_Export!B2355,IF(MID(TRIM(Raw_Export!B2355),5,1)="-",DATE(LEFT(TRIM(Raw_Export!B2355),4),MID(TRIM(Raw_Export!B2355),6,2),RIGHT(TRIM(Raw_Export!B2355),2)),DATE(RIGHT(TRIM(Raw_Export!B2355),4),MATCH(MID(TRIM(Raw_Export!B2355),4,3),{"Jan","Feb","Mar","Apr","May","Jun","Jul","Aug","Sep","Oct","Nov","Dec"},0),LEFT(TRIM(Raw_Export!B2355),2)))))</f>
        <v/>
      </c>
      <c r="C2355" s="36" t="str">
        <f aca="false">IF(Raw_Export!$A2355="","",IFERROR(VLOOKUP(LOWER(TRIM(Raw_Export!C2355)),Maps!$A$2:$B$20,2,FALSE()),"UNMAPPED"))</f>
        <v/>
      </c>
      <c r="D2355" s="36" t="str">
        <f aca="false">IF(Raw_Export!$A2355="","",IFERROR(VLOOKUP(LOWER(TRIM(Raw_Export!D2355)),Maps!$G$2:$I$80,2,FALSE()),"UNMAPPED"))</f>
        <v/>
      </c>
      <c r="E2355" s="36" t="str">
        <f aca="false">IF(Raw_Export!$A2355="","",IFERROR(VLOOKUP(LOWER(TRIM(Raw_Export!D2355)),Maps!$G$2:$I$80,3,FALSE()),"UNMAPPED"))</f>
        <v/>
      </c>
      <c r="F2355" s="36" t="str">
        <f aca="false">IF(Raw_Export!$A2355="","",IFERROR(VALUE(TRIM(Raw_Export!E2355)),0))</f>
        <v/>
      </c>
      <c r="G2355" s="38" t="str">
        <f aca="false">IF(Raw_Export!$A2355="","",IFERROR(VALUE(SUBSTITUTE(SUBSTITUTE(UPPER(TRIM(Raw_Export!F2355)),"KES",""),",","")),0))</f>
        <v/>
      </c>
      <c r="H2355" s="38" t="str">
        <f aca="false">IF(Raw_Export!$A2355="","",F2355*G2355)</f>
        <v/>
      </c>
      <c r="I2355" s="36" t="str">
        <f aca="false">IF(Raw_Export!$A2355="","",IFERROR(VLOOKUP(LOWER(TRIM(Raw_Export!H2355)),Maps!$D$2:$E$12,2,FALSE()),"Other"))</f>
        <v/>
      </c>
      <c r="J2355" s="36" t="str">
        <f aca="false">IF(Raw_Export!$A2355="","",IF(COUNTIF($A$2:A2355,A2355)&gt;1,"Duplicate",""))</f>
        <v/>
      </c>
      <c r="K2355" s="36" t="str">
        <f aca="false">IF(Raw_Export!$A2355="","",IF(J2355="Duplicate","Duplicate",IF(OR(C2355="UNMAPPED",D2355="UNMAPPED"),"Unmapped",IF(F2355=0,"Blank qty",IF(F2355&lt;0,"Return","OK")))))</f>
        <v/>
      </c>
      <c r="L2355" s="36" t="str">
        <f aca="false">IF(Raw_Export!$A2355="","",IF(OR(K2355="OK",K2355="Return"),1,0))</f>
        <v/>
      </c>
      <c r="M2355" s="37" t="str">
        <f aca="false">IF(Raw_Export!$A2355="","",B2355-WEEKDAY(B2355,2)+1)</f>
        <v/>
      </c>
    </row>
    <row r="2356" customFormat="false" ht="15" hidden="false" customHeight="false" outlineLevel="0" collapsed="false">
      <c r="A2356" s="36" t="str">
        <f aca="false">IF(Raw_Export!$A2356="","",TRIM(Raw_Export!A2356))</f>
        <v/>
      </c>
      <c r="B2356" s="37" t="str">
        <f aca="false">IF(Raw_Export!$A2356="","",IF(ISNUMBER(Raw_Export!B2356),Raw_Export!B2356,IF(MID(TRIM(Raw_Export!B2356),5,1)="-",DATE(LEFT(TRIM(Raw_Export!B2356),4),MID(TRIM(Raw_Export!B2356),6,2),RIGHT(TRIM(Raw_Export!B2356),2)),DATE(RIGHT(TRIM(Raw_Export!B2356),4),MATCH(MID(TRIM(Raw_Export!B2356),4,3),{"Jan","Feb","Mar","Apr","May","Jun","Jul","Aug","Sep","Oct","Nov","Dec"},0),LEFT(TRIM(Raw_Export!B2356),2)))))</f>
        <v/>
      </c>
      <c r="C2356" s="36" t="str">
        <f aca="false">IF(Raw_Export!$A2356="","",IFERROR(VLOOKUP(LOWER(TRIM(Raw_Export!C2356)),Maps!$A$2:$B$20,2,FALSE()),"UNMAPPED"))</f>
        <v/>
      </c>
      <c r="D2356" s="36" t="str">
        <f aca="false">IF(Raw_Export!$A2356="","",IFERROR(VLOOKUP(LOWER(TRIM(Raw_Export!D2356)),Maps!$G$2:$I$80,2,FALSE()),"UNMAPPED"))</f>
        <v/>
      </c>
      <c r="E2356" s="36" t="str">
        <f aca="false">IF(Raw_Export!$A2356="","",IFERROR(VLOOKUP(LOWER(TRIM(Raw_Export!D2356)),Maps!$G$2:$I$80,3,FALSE()),"UNMAPPED"))</f>
        <v/>
      </c>
      <c r="F2356" s="36" t="str">
        <f aca="false">IF(Raw_Export!$A2356="","",IFERROR(VALUE(TRIM(Raw_Export!E2356)),0))</f>
        <v/>
      </c>
      <c r="G2356" s="38" t="str">
        <f aca="false">IF(Raw_Export!$A2356="","",IFERROR(VALUE(SUBSTITUTE(SUBSTITUTE(UPPER(TRIM(Raw_Export!F2356)),"KES",""),",","")),0))</f>
        <v/>
      </c>
      <c r="H2356" s="38" t="str">
        <f aca="false">IF(Raw_Export!$A2356="","",F2356*G2356)</f>
        <v/>
      </c>
      <c r="I2356" s="36" t="str">
        <f aca="false">IF(Raw_Export!$A2356="","",IFERROR(VLOOKUP(LOWER(TRIM(Raw_Export!H2356)),Maps!$D$2:$E$12,2,FALSE()),"Other"))</f>
        <v/>
      </c>
      <c r="J2356" s="36" t="str">
        <f aca="false">IF(Raw_Export!$A2356="","",IF(COUNTIF($A$2:A2356,A2356)&gt;1,"Duplicate",""))</f>
        <v/>
      </c>
      <c r="K2356" s="36" t="str">
        <f aca="false">IF(Raw_Export!$A2356="","",IF(J2356="Duplicate","Duplicate",IF(OR(C2356="UNMAPPED",D2356="UNMAPPED"),"Unmapped",IF(F2356=0,"Blank qty",IF(F2356&lt;0,"Return","OK")))))</f>
        <v/>
      </c>
      <c r="L2356" s="36" t="str">
        <f aca="false">IF(Raw_Export!$A2356="","",IF(OR(K2356="OK",K2356="Return"),1,0))</f>
        <v/>
      </c>
      <c r="M2356" s="37" t="str">
        <f aca="false">IF(Raw_Export!$A2356="","",B2356-WEEKDAY(B2356,2)+1)</f>
        <v/>
      </c>
    </row>
    <row r="2357" customFormat="false" ht="15" hidden="false" customHeight="false" outlineLevel="0" collapsed="false">
      <c r="A2357" s="36" t="str">
        <f aca="false">IF(Raw_Export!$A2357="","",TRIM(Raw_Export!A2357))</f>
        <v/>
      </c>
      <c r="B2357" s="37" t="str">
        <f aca="false">IF(Raw_Export!$A2357="","",IF(ISNUMBER(Raw_Export!B2357),Raw_Export!B2357,IF(MID(TRIM(Raw_Export!B2357),5,1)="-",DATE(LEFT(TRIM(Raw_Export!B2357),4),MID(TRIM(Raw_Export!B2357),6,2),RIGHT(TRIM(Raw_Export!B2357),2)),DATE(RIGHT(TRIM(Raw_Export!B2357),4),MATCH(MID(TRIM(Raw_Export!B2357),4,3),{"Jan","Feb","Mar","Apr","May","Jun","Jul","Aug","Sep","Oct","Nov","Dec"},0),LEFT(TRIM(Raw_Export!B2357),2)))))</f>
        <v/>
      </c>
      <c r="C2357" s="36" t="str">
        <f aca="false">IF(Raw_Export!$A2357="","",IFERROR(VLOOKUP(LOWER(TRIM(Raw_Export!C2357)),Maps!$A$2:$B$20,2,FALSE()),"UNMAPPED"))</f>
        <v/>
      </c>
      <c r="D2357" s="36" t="str">
        <f aca="false">IF(Raw_Export!$A2357="","",IFERROR(VLOOKUP(LOWER(TRIM(Raw_Export!D2357)),Maps!$G$2:$I$80,2,FALSE()),"UNMAPPED"))</f>
        <v/>
      </c>
      <c r="E2357" s="36" t="str">
        <f aca="false">IF(Raw_Export!$A2357="","",IFERROR(VLOOKUP(LOWER(TRIM(Raw_Export!D2357)),Maps!$G$2:$I$80,3,FALSE()),"UNMAPPED"))</f>
        <v/>
      </c>
      <c r="F2357" s="36" t="str">
        <f aca="false">IF(Raw_Export!$A2357="","",IFERROR(VALUE(TRIM(Raw_Export!E2357)),0))</f>
        <v/>
      </c>
      <c r="G2357" s="38" t="str">
        <f aca="false">IF(Raw_Export!$A2357="","",IFERROR(VALUE(SUBSTITUTE(SUBSTITUTE(UPPER(TRIM(Raw_Export!F2357)),"KES",""),",","")),0))</f>
        <v/>
      </c>
      <c r="H2357" s="38" t="str">
        <f aca="false">IF(Raw_Export!$A2357="","",F2357*G2357)</f>
        <v/>
      </c>
      <c r="I2357" s="36" t="str">
        <f aca="false">IF(Raw_Export!$A2357="","",IFERROR(VLOOKUP(LOWER(TRIM(Raw_Export!H2357)),Maps!$D$2:$E$12,2,FALSE()),"Other"))</f>
        <v/>
      </c>
      <c r="J2357" s="36" t="str">
        <f aca="false">IF(Raw_Export!$A2357="","",IF(COUNTIF($A$2:A2357,A2357)&gt;1,"Duplicate",""))</f>
        <v/>
      </c>
      <c r="K2357" s="36" t="str">
        <f aca="false">IF(Raw_Export!$A2357="","",IF(J2357="Duplicate","Duplicate",IF(OR(C2357="UNMAPPED",D2357="UNMAPPED"),"Unmapped",IF(F2357=0,"Blank qty",IF(F2357&lt;0,"Return","OK")))))</f>
        <v/>
      </c>
      <c r="L2357" s="36" t="str">
        <f aca="false">IF(Raw_Export!$A2357="","",IF(OR(K2357="OK",K2357="Return"),1,0))</f>
        <v/>
      </c>
      <c r="M2357" s="37" t="str">
        <f aca="false">IF(Raw_Export!$A2357="","",B2357-WEEKDAY(B2357,2)+1)</f>
        <v/>
      </c>
    </row>
    <row r="2358" customFormat="false" ht="15" hidden="false" customHeight="false" outlineLevel="0" collapsed="false">
      <c r="A2358" s="36" t="str">
        <f aca="false">IF(Raw_Export!$A2358="","",TRIM(Raw_Export!A2358))</f>
        <v/>
      </c>
      <c r="B2358" s="37" t="str">
        <f aca="false">IF(Raw_Export!$A2358="","",IF(ISNUMBER(Raw_Export!B2358),Raw_Export!B2358,IF(MID(TRIM(Raw_Export!B2358),5,1)="-",DATE(LEFT(TRIM(Raw_Export!B2358),4),MID(TRIM(Raw_Export!B2358),6,2),RIGHT(TRIM(Raw_Export!B2358),2)),DATE(RIGHT(TRIM(Raw_Export!B2358),4),MATCH(MID(TRIM(Raw_Export!B2358),4,3),{"Jan","Feb","Mar","Apr","May","Jun","Jul","Aug","Sep","Oct","Nov","Dec"},0),LEFT(TRIM(Raw_Export!B2358),2)))))</f>
        <v/>
      </c>
      <c r="C2358" s="36" t="str">
        <f aca="false">IF(Raw_Export!$A2358="","",IFERROR(VLOOKUP(LOWER(TRIM(Raw_Export!C2358)),Maps!$A$2:$B$20,2,FALSE()),"UNMAPPED"))</f>
        <v/>
      </c>
      <c r="D2358" s="36" t="str">
        <f aca="false">IF(Raw_Export!$A2358="","",IFERROR(VLOOKUP(LOWER(TRIM(Raw_Export!D2358)),Maps!$G$2:$I$80,2,FALSE()),"UNMAPPED"))</f>
        <v/>
      </c>
      <c r="E2358" s="36" t="str">
        <f aca="false">IF(Raw_Export!$A2358="","",IFERROR(VLOOKUP(LOWER(TRIM(Raw_Export!D2358)),Maps!$G$2:$I$80,3,FALSE()),"UNMAPPED"))</f>
        <v/>
      </c>
      <c r="F2358" s="36" t="str">
        <f aca="false">IF(Raw_Export!$A2358="","",IFERROR(VALUE(TRIM(Raw_Export!E2358)),0))</f>
        <v/>
      </c>
      <c r="G2358" s="38" t="str">
        <f aca="false">IF(Raw_Export!$A2358="","",IFERROR(VALUE(SUBSTITUTE(SUBSTITUTE(UPPER(TRIM(Raw_Export!F2358)),"KES",""),",","")),0))</f>
        <v/>
      </c>
      <c r="H2358" s="38" t="str">
        <f aca="false">IF(Raw_Export!$A2358="","",F2358*G2358)</f>
        <v/>
      </c>
      <c r="I2358" s="36" t="str">
        <f aca="false">IF(Raw_Export!$A2358="","",IFERROR(VLOOKUP(LOWER(TRIM(Raw_Export!H2358)),Maps!$D$2:$E$12,2,FALSE()),"Other"))</f>
        <v/>
      </c>
      <c r="J2358" s="36" t="str">
        <f aca="false">IF(Raw_Export!$A2358="","",IF(COUNTIF($A$2:A2358,A2358)&gt;1,"Duplicate",""))</f>
        <v/>
      </c>
      <c r="K2358" s="36" t="str">
        <f aca="false">IF(Raw_Export!$A2358="","",IF(J2358="Duplicate","Duplicate",IF(OR(C2358="UNMAPPED",D2358="UNMAPPED"),"Unmapped",IF(F2358=0,"Blank qty",IF(F2358&lt;0,"Return","OK")))))</f>
        <v/>
      </c>
      <c r="L2358" s="36" t="str">
        <f aca="false">IF(Raw_Export!$A2358="","",IF(OR(K2358="OK",K2358="Return"),1,0))</f>
        <v/>
      </c>
      <c r="M2358" s="37" t="str">
        <f aca="false">IF(Raw_Export!$A2358="","",B2358-WEEKDAY(B2358,2)+1)</f>
        <v/>
      </c>
    </row>
    <row r="2359" customFormat="false" ht="15" hidden="false" customHeight="false" outlineLevel="0" collapsed="false">
      <c r="A2359" s="36" t="str">
        <f aca="false">IF(Raw_Export!$A2359="","",TRIM(Raw_Export!A2359))</f>
        <v/>
      </c>
      <c r="B2359" s="37" t="str">
        <f aca="false">IF(Raw_Export!$A2359="","",IF(ISNUMBER(Raw_Export!B2359),Raw_Export!B2359,IF(MID(TRIM(Raw_Export!B2359),5,1)="-",DATE(LEFT(TRIM(Raw_Export!B2359),4),MID(TRIM(Raw_Export!B2359),6,2),RIGHT(TRIM(Raw_Export!B2359),2)),DATE(RIGHT(TRIM(Raw_Export!B2359),4),MATCH(MID(TRIM(Raw_Export!B2359),4,3),{"Jan","Feb","Mar","Apr","May","Jun","Jul","Aug","Sep","Oct","Nov","Dec"},0),LEFT(TRIM(Raw_Export!B2359),2)))))</f>
        <v/>
      </c>
      <c r="C2359" s="36" t="str">
        <f aca="false">IF(Raw_Export!$A2359="","",IFERROR(VLOOKUP(LOWER(TRIM(Raw_Export!C2359)),Maps!$A$2:$B$20,2,FALSE()),"UNMAPPED"))</f>
        <v/>
      </c>
      <c r="D2359" s="36" t="str">
        <f aca="false">IF(Raw_Export!$A2359="","",IFERROR(VLOOKUP(LOWER(TRIM(Raw_Export!D2359)),Maps!$G$2:$I$80,2,FALSE()),"UNMAPPED"))</f>
        <v/>
      </c>
      <c r="E2359" s="36" t="str">
        <f aca="false">IF(Raw_Export!$A2359="","",IFERROR(VLOOKUP(LOWER(TRIM(Raw_Export!D2359)),Maps!$G$2:$I$80,3,FALSE()),"UNMAPPED"))</f>
        <v/>
      </c>
      <c r="F2359" s="36" t="str">
        <f aca="false">IF(Raw_Export!$A2359="","",IFERROR(VALUE(TRIM(Raw_Export!E2359)),0))</f>
        <v/>
      </c>
      <c r="G2359" s="38" t="str">
        <f aca="false">IF(Raw_Export!$A2359="","",IFERROR(VALUE(SUBSTITUTE(SUBSTITUTE(UPPER(TRIM(Raw_Export!F2359)),"KES",""),",","")),0))</f>
        <v/>
      </c>
      <c r="H2359" s="38" t="str">
        <f aca="false">IF(Raw_Export!$A2359="","",F2359*G2359)</f>
        <v/>
      </c>
      <c r="I2359" s="36" t="str">
        <f aca="false">IF(Raw_Export!$A2359="","",IFERROR(VLOOKUP(LOWER(TRIM(Raw_Export!H2359)),Maps!$D$2:$E$12,2,FALSE()),"Other"))</f>
        <v/>
      </c>
      <c r="J2359" s="36" t="str">
        <f aca="false">IF(Raw_Export!$A2359="","",IF(COUNTIF($A$2:A2359,A2359)&gt;1,"Duplicate",""))</f>
        <v/>
      </c>
      <c r="K2359" s="36" t="str">
        <f aca="false">IF(Raw_Export!$A2359="","",IF(J2359="Duplicate","Duplicate",IF(OR(C2359="UNMAPPED",D2359="UNMAPPED"),"Unmapped",IF(F2359=0,"Blank qty",IF(F2359&lt;0,"Return","OK")))))</f>
        <v/>
      </c>
      <c r="L2359" s="36" t="str">
        <f aca="false">IF(Raw_Export!$A2359="","",IF(OR(K2359="OK",K2359="Return"),1,0))</f>
        <v/>
      </c>
      <c r="M2359" s="37" t="str">
        <f aca="false">IF(Raw_Export!$A2359="","",B2359-WEEKDAY(B2359,2)+1)</f>
        <v/>
      </c>
    </row>
    <row r="2360" customFormat="false" ht="15" hidden="false" customHeight="false" outlineLevel="0" collapsed="false">
      <c r="A2360" s="36" t="str">
        <f aca="false">IF(Raw_Export!$A2360="","",TRIM(Raw_Export!A2360))</f>
        <v/>
      </c>
      <c r="B2360" s="37" t="str">
        <f aca="false">IF(Raw_Export!$A2360="","",IF(ISNUMBER(Raw_Export!B2360),Raw_Export!B2360,IF(MID(TRIM(Raw_Export!B2360),5,1)="-",DATE(LEFT(TRIM(Raw_Export!B2360),4),MID(TRIM(Raw_Export!B2360),6,2),RIGHT(TRIM(Raw_Export!B2360),2)),DATE(RIGHT(TRIM(Raw_Export!B2360),4),MATCH(MID(TRIM(Raw_Export!B2360),4,3),{"Jan","Feb","Mar","Apr","May","Jun","Jul","Aug","Sep","Oct","Nov","Dec"},0),LEFT(TRIM(Raw_Export!B2360),2)))))</f>
        <v/>
      </c>
      <c r="C2360" s="36" t="str">
        <f aca="false">IF(Raw_Export!$A2360="","",IFERROR(VLOOKUP(LOWER(TRIM(Raw_Export!C2360)),Maps!$A$2:$B$20,2,FALSE()),"UNMAPPED"))</f>
        <v/>
      </c>
      <c r="D2360" s="36" t="str">
        <f aca="false">IF(Raw_Export!$A2360="","",IFERROR(VLOOKUP(LOWER(TRIM(Raw_Export!D2360)),Maps!$G$2:$I$80,2,FALSE()),"UNMAPPED"))</f>
        <v/>
      </c>
      <c r="E2360" s="36" t="str">
        <f aca="false">IF(Raw_Export!$A2360="","",IFERROR(VLOOKUP(LOWER(TRIM(Raw_Export!D2360)),Maps!$G$2:$I$80,3,FALSE()),"UNMAPPED"))</f>
        <v/>
      </c>
      <c r="F2360" s="36" t="str">
        <f aca="false">IF(Raw_Export!$A2360="","",IFERROR(VALUE(TRIM(Raw_Export!E2360)),0))</f>
        <v/>
      </c>
      <c r="G2360" s="38" t="str">
        <f aca="false">IF(Raw_Export!$A2360="","",IFERROR(VALUE(SUBSTITUTE(SUBSTITUTE(UPPER(TRIM(Raw_Export!F2360)),"KES",""),",","")),0))</f>
        <v/>
      </c>
      <c r="H2360" s="38" t="str">
        <f aca="false">IF(Raw_Export!$A2360="","",F2360*G2360)</f>
        <v/>
      </c>
      <c r="I2360" s="36" t="str">
        <f aca="false">IF(Raw_Export!$A2360="","",IFERROR(VLOOKUP(LOWER(TRIM(Raw_Export!H2360)),Maps!$D$2:$E$12,2,FALSE()),"Other"))</f>
        <v/>
      </c>
      <c r="J2360" s="36" t="str">
        <f aca="false">IF(Raw_Export!$A2360="","",IF(COUNTIF($A$2:A2360,A2360)&gt;1,"Duplicate",""))</f>
        <v/>
      </c>
      <c r="K2360" s="36" t="str">
        <f aca="false">IF(Raw_Export!$A2360="","",IF(J2360="Duplicate","Duplicate",IF(OR(C2360="UNMAPPED",D2360="UNMAPPED"),"Unmapped",IF(F2360=0,"Blank qty",IF(F2360&lt;0,"Return","OK")))))</f>
        <v/>
      </c>
      <c r="L2360" s="36" t="str">
        <f aca="false">IF(Raw_Export!$A2360="","",IF(OR(K2360="OK",K2360="Return"),1,0))</f>
        <v/>
      </c>
      <c r="M2360" s="37" t="str">
        <f aca="false">IF(Raw_Export!$A2360="","",B2360-WEEKDAY(B2360,2)+1)</f>
        <v/>
      </c>
    </row>
    <row r="2361" customFormat="false" ht="15" hidden="false" customHeight="false" outlineLevel="0" collapsed="false">
      <c r="A2361" s="36" t="str">
        <f aca="false">IF(Raw_Export!$A2361="","",TRIM(Raw_Export!A2361))</f>
        <v/>
      </c>
      <c r="B2361" s="37" t="str">
        <f aca="false">IF(Raw_Export!$A2361="","",IF(ISNUMBER(Raw_Export!B2361),Raw_Export!B2361,IF(MID(TRIM(Raw_Export!B2361),5,1)="-",DATE(LEFT(TRIM(Raw_Export!B2361),4),MID(TRIM(Raw_Export!B2361),6,2),RIGHT(TRIM(Raw_Export!B2361),2)),DATE(RIGHT(TRIM(Raw_Export!B2361),4),MATCH(MID(TRIM(Raw_Export!B2361),4,3),{"Jan","Feb","Mar","Apr","May","Jun","Jul","Aug","Sep","Oct","Nov","Dec"},0),LEFT(TRIM(Raw_Export!B2361),2)))))</f>
        <v/>
      </c>
      <c r="C2361" s="36" t="str">
        <f aca="false">IF(Raw_Export!$A2361="","",IFERROR(VLOOKUP(LOWER(TRIM(Raw_Export!C2361)),Maps!$A$2:$B$20,2,FALSE()),"UNMAPPED"))</f>
        <v/>
      </c>
      <c r="D2361" s="36" t="str">
        <f aca="false">IF(Raw_Export!$A2361="","",IFERROR(VLOOKUP(LOWER(TRIM(Raw_Export!D2361)),Maps!$G$2:$I$80,2,FALSE()),"UNMAPPED"))</f>
        <v/>
      </c>
      <c r="E2361" s="36" t="str">
        <f aca="false">IF(Raw_Export!$A2361="","",IFERROR(VLOOKUP(LOWER(TRIM(Raw_Export!D2361)),Maps!$G$2:$I$80,3,FALSE()),"UNMAPPED"))</f>
        <v/>
      </c>
      <c r="F2361" s="36" t="str">
        <f aca="false">IF(Raw_Export!$A2361="","",IFERROR(VALUE(TRIM(Raw_Export!E2361)),0))</f>
        <v/>
      </c>
      <c r="G2361" s="38" t="str">
        <f aca="false">IF(Raw_Export!$A2361="","",IFERROR(VALUE(SUBSTITUTE(SUBSTITUTE(UPPER(TRIM(Raw_Export!F2361)),"KES",""),",","")),0))</f>
        <v/>
      </c>
      <c r="H2361" s="38" t="str">
        <f aca="false">IF(Raw_Export!$A2361="","",F2361*G2361)</f>
        <v/>
      </c>
      <c r="I2361" s="36" t="str">
        <f aca="false">IF(Raw_Export!$A2361="","",IFERROR(VLOOKUP(LOWER(TRIM(Raw_Export!H2361)),Maps!$D$2:$E$12,2,FALSE()),"Other"))</f>
        <v/>
      </c>
      <c r="J2361" s="36" t="str">
        <f aca="false">IF(Raw_Export!$A2361="","",IF(COUNTIF($A$2:A2361,A2361)&gt;1,"Duplicate",""))</f>
        <v/>
      </c>
      <c r="K2361" s="36" t="str">
        <f aca="false">IF(Raw_Export!$A2361="","",IF(J2361="Duplicate","Duplicate",IF(OR(C2361="UNMAPPED",D2361="UNMAPPED"),"Unmapped",IF(F2361=0,"Blank qty",IF(F2361&lt;0,"Return","OK")))))</f>
        <v/>
      </c>
      <c r="L2361" s="36" t="str">
        <f aca="false">IF(Raw_Export!$A2361="","",IF(OR(K2361="OK",K2361="Return"),1,0))</f>
        <v/>
      </c>
      <c r="M2361" s="37" t="str">
        <f aca="false">IF(Raw_Export!$A2361="","",B2361-WEEKDAY(B2361,2)+1)</f>
        <v/>
      </c>
    </row>
    <row r="2362" customFormat="false" ht="15" hidden="false" customHeight="false" outlineLevel="0" collapsed="false">
      <c r="A2362" s="36" t="str">
        <f aca="false">IF(Raw_Export!$A2362="","",TRIM(Raw_Export!A2362))</f>
        <v/>
      </c>
      <c r="B2362" s="37" t="str">
        <f aca="false">IF(Raw_Export!$A2362="","",IF(ISNUMBER(Raw_Export!B2362),Raw_Export!B2362,IF(MID(TRIM(Raw_Export!B2362),5,1)="-",DATE(LEFT(TRIM(Raw_Export!B2362),4),MID(TRIM(Raw_Export!B2362),6,2),RIGHT(TRIM(Raw_Export!B2362),2)),DATE(RIGHT(TRIM(Raw_Export!B2362),4),MATCH(MID(TRIM(Raw_Export!B2362),4,3),{"Jan","Feb","Mar","Apr","May","Jun","Jul","Aug","Sep","Oct","Nov","Dec"},0),LEFT(TRIM(Raw_Export!B2362),2)))))</f>
        <v/>
      </c>
      <c r="C2362" s="36" t="str">
        <f aca="false">IF(Raw_Export!$A2362="","",IFERROR(VLOOKUP(LOWER(TRIM(Raw_Export!C2362)),Maps!$A$2:$B$20,2,FALSE()),"UNMAPPED"))</f>
        <v/>
      </c>
      <c r="D2362" s="36" t="str">
        <f aca="false">IF(Raw_Export!$A2362="","",IFERROR(VLOOKUP(LOWER(TRIM(Raw_Export!D2362)),Maps!$G$2:$I$80,2,FALSE()),"UNMAPPED"))</f>
        <v/>
      </c>
      <c r="E2362" s="36" t="str">
        <f aca="false">IF(Raw_Export!$A2362="","",IFERROR(VLOOKUP(LOWER(TRIM(Raw_Export!D2362)),Maps!$G$2:$I$80,3,FALSE()),"UNMAPPED"))</f>
        <v/>
      </c>
      <c r="F2362" s="36" t="str">
        <f aca="false">IF(Raw_Export!$A2362="","",IFERROR(VALUE(TRIM(Raw_Export!E2362)),0))</f>
        <v/>
      </c>
      <c r="G2362" s="38" t="str">
        <f aca="false">IF(Raw_Export!$A2362="","",IFERROR(VALUE(SUBSTITUTE(SUBSTITUTE(UPPER(TRIM(Raw_Export!F2362)),"KES",""),",","")),0))</f>
        <v/>
      </c>
      <c r="H2362" s="38" t="str">
        <f aca="false">IF(Raw_Export!$A2362="","",F2362*G2362)</f>
        <v/>
      </c>
      <c r="I2362" s="36" t="str">
        <f aca="false">IF(Raw_Export!$A2362="","",IFERROR(VLOOKUP(LOWER(TRIM(Raw_Export!H2362)),Maps!$D$2:$E$12,2,FALSE()),"Other"))</f>
        <v/>
      </c>
      <c r="J2362" s="36" t="str">
        <f aca="false">IF(Raw_Export!$A2362="","",IF(COUNTIF($A$2:A2362,A2362)&gt;1,"Duplicate",""))</f>
        <v/>
      </c>
      <c r="K2362" s="36" t="str">
        <f aca="false">IF(Raw_Export!$A2362="","",IF(J2362="Duplicate","Duplicate",IF(OR(C2362="UNMAPPED",D2362="UNMAPPED"),"Unmapped",IF(F2362=0,"Blank qty",IF(F2362&lt;0,"Return","OK")))))</f>
        <v/>
      </c>
      <c r="L2362" s="36" t="str">
        <f aca="false">IF(Raw_Export!$A2362="","",IF(OR(K2362="OK",K2362="Return"),1,0))</f>
        <v/>
      </c>
      <c r="M2362" s="37" t="str">
        <f aca="false">IF(Raw_Export!$A2362="","",B2362-WEEKDAY(B2362,2)+1)</f>
        <v/>
      </c>
    </row>
    <row r="2363" customFormat="false" ht="15" hidden="false" customHeight="false" outlineLevel="0" collapsed="false">
      <c r="A2363" s="36" t="str">
        <f aca="false">IF(Raw_Export!$A2363="","",TRIM(Raw_Export!A2363))</f>
        <v/>
      </c>
      <c r="B2363" s="37" t="str">
        <f aca="false">IF(Raw_Export!$A2363="","",IF(ISNUMBER(Raw_Export!B2363),Raw_Export!B2363,IF(MID(TRIM(Raw_Export!B2363),5,1)="-",DATE(LEFT(TRIM(Raw_Export!B2363),4),MID(TRIM(Raw_Export!B2363),6,2),RIGHT(TRIM(Raw_Export!B2363),2)),DATE(RIGHT(TRIM(Raw_Export!B2363),4),MATCH(MID(TRIM(Raw_Export!B2363),4,3),{"Jan","Feb","Mar","Apr","May","Jun","Jul","Aug","Sep","Oct","Nov","Dec"},0),LEFT(TRIM(Raw_Export!B2363),2)))))</f>
        <v/>
      </c>
      <c r="C2363" s="36" t="str">
        <f aca="false">IF(Raw_Export!$A2363="","",IFERROR(VLOOKUP(LOWER(TRIM(Raw_Export!C2363)),Maps!$A$2:$B$20,2,FALSE()),"UNMAPPED"))</f>
        <v/>
      </c>
      <c r="D2363" s="36" t="str">
        <f aca="false">IF(Raw_Export!$A2363="","",IFERROR(VLOOKUP(LOWER(TRIM(Raw_Export!D2363)),Maps!$G$2:$I$80,2,FALSE()),"UNMAPPED"))</f>
        <v/>
      </c>
      <c r="E2363" s="36" t="str">
        <f aca="false">IF(Raw_Export!$A2363="","",IFERROR(VLOOKUP(LOWER(TRIM(Raw_Export!D2363)),Maps!$G$2:$I$80,3,FALSE()),"UNMAPPED"))</f>
        <v/>
      </c>
      <c r="F2363" s="36" t="str">
        <f aca="false">IF(Raw_Export!$A2363="","",IFERROR(VALUE(TRIM(Raw_Export!E2363)),0))</f>
        <v/>
      </c>
      <c r="G2363" s="38" t="str">
        <f aca="false">IF(Raw_Export!$A2363="","",IFERROR(VALUE(SUBSTITUTE(SUBSTITUTE(UPPER(TRIM(Raw_Export!F2363)),"KES",""),",","")),0))</f>
        <v/>
      </c>
      <c r="H2363" s="38" t="str">
        <f aca="false">IF(Raw_Export!$A2363="","",F2363*G2363)</f>
        <v/>
      </c>
      <c r="I2363" s="36" t="str">
        <f aca="false">IF(Raw_Export!$A2363="","",IFERROR(VLOOKUP(LOWER(TRIM(Raw_Export!H2363)),Maps!$D$2:$E$12,2,FALSE()),"Other"))</f>
        <v/>
      </c>
      <c r="J2363" s="36" t="str">
        <f aca="false">IF(Raw_Export!$A2363="","",IF(COUNTIF($A$2:A2363,A2363)&gt;1,"Duplicate",""))</f>
        <v/>
      </c>
      <c r="K2363" s="36" t="str">
        <f aca="false">IF(Raw_Export!$A2363="","",IF(J2363="Duplicate","Duplicate",IF(OR(C2363="UNMAPPED",D2363="UNMAPPED"),"Unmapped",IF(F2363=0,"Blank qty",IF(F2363&lt;0,"Return","OK")))))</f>
        <v/>
      </c>
      <c r="L2363" s="36" t="str">
        <f aca="false">IF(Raw_Export!$A2363="","",IF(OR(K2363="OK",K2363="Return"),1,0))</f>
        <v/>
      </c>
      <c r="M2363" s="37" t="str">
        <f aca="false">IF(Raw_Export!$A2363="","",B2363-WEEKDAY(B2363,2)+1)</f>
        <v/>
      </c>
    </row>
    <row r="2364" customFormat="false" ht="15" hidden="false" customHeight="false" outlineLevel="0" collapsed="false">
      <c r="A2364" s="36" t="str">
        <f aca="false">IF(Raw_Export!$A2364="","",TRIM(Raw_Export!A2364))</f>
        <v/>
      </c>
      <c r="B2364" s="37" t="str">
        <f aca="false">IF(Raw_Export!$A2364="","",IF(ISNUMBER(Raw_Export!B2364),Raw_Export!B2364,IF(MID(TRIM(Raw_Export!B2364),5,1)="-",DATE(LEFT(TRIM(Raw_Export!B2364),4),MID(TRIM(Raw_Export!B2364),6,2),RIGHT(TRIM(Raw_Export!B2364),2)),DATE(RIGHT(TRIM(Raw_Export!B2364),4),MATCH(MID(TRIM(Raw_Export!B2364),4,3),{"Jan","Feb","Mar","Apr","May","Jun","Jul","Aug","Sep","Oct","Nov","Dec"},0),LEFT(TRIM(Raw_Export!B2364),2)))))</f>
        <v/>
      </c>
      <c r="C2364" s="36" t="str">
        <f aca="false">IF(Raw_Export!$A2364="","",IFERROR(VLOOKUP(LOWER(TRIM(Raw_Export!C2364)),Maps!$A$2:$B$20,2,FALSE()),"UNMAPPED"))</f>
        <v/>
      </c>
      <c r="D2364" s="36" t="str">
        <f aca="false">IF(Raw_Export!$A2364="","",IFERROR(VLOOKUP(LOWER(TRIM(Raw_Export!D2364)),Maps!$G$2:$I$80,2,FALSE()),"UNMAPPED"))</f>
        <v/>
      </c>
      <c r="E2364" s="36" t="str">
        <f aca="false">IF(Raw_Export!$A2364="","",IFERROR(VLOOKUP(LOWER(TRIM(Raw_Export!D2364)),Maps!$G$2:$I$80,3,FALSE()),"UNMAPPED"))</f>
        <v/>
      </c>
      <c r="F2364" s="36" t="str">
        <f aca="false">IF(Raw_Export!$A2364="","",IFERROR(VALUE(TRIM(Raw_Export!E2364)),0))</f>
        <v/>
      </c>
      <c r="G2364" s="38" t="str">
        <f aca="false">IF(Raw_Export!$A2364="","",IFERROR(VALUE(SUBSTITUTE(SUBSTITUTE(UPPER(TRIM(Raw_Export!F2364)),"KES",""),",","")),0))</f>
        <v/>
      </c>
      <c r="H2364" s="38" t="str">
        <f aca="false">IF(Raw_Export!$A2364="","",F2364*G2364)</f>
        <v/>
      </c>
      <c r="I2364" s="36" t="str">
        <f aca="false">IF(Raw_Export!$A2364="","",IFERROR(VLOOKUP(LOWER(TRIM(Raw_Export!H2364)),Maps!$D$2:$E$12,2,FALSE()),"Other"))</f>
        <v/>
      </c>
      <c r="J2364" s="36" t="str">
        <f aca="false">IF(Raw_Export!$A2364="","",IF(COUNTIF($A$2:A2364,A2364)&gt;1,"Duplicate",""))</f>
        <v/>
      </c>
      <c r="K2364" s="36" t="str">
        <f aca="false">IF(Raw_Export!$A2364="","",IF(J2364="Duplicate","Duplicate",IF(OR(C2364="UNMAPPED",D2364="UNMAPPED"),"Unmapped",IF(F2364=0,"Blank qty",IF(F2364&lt;0,"Return","OK")))))</f>
        <v/>
      </c>
      <c r="L2364" s="36" t="str">
        <f aca="false">IF(Raw_Export!$A2364="","",IF(OR(K2364="OK",K2364="Return"),1,0))</f>
        <v/>
      </c>
      <c r="M2364" s="37" t="str">
        <f aca="false">IF(Raw_Export!$A2364="","",B2364-WEEKDAY(B2364,2)+1)</f>
        <v/>
      </c>
    </row>
    <row r="2365" customFormat="false" ht="15" hidden="false" customHeight="false" outlineLevel="0" collapsed="false">
      <c r="A2365" s="36" t="str">
        <f aca="false">IF(Raw_Export!$A2365="","",TRIM(Raw_Export!A2365))</f>
        <v/>
      </c>
      <c r="B2365" s="37" t="str">
        <f aca="false">IF(Raw_Export!$A2365="","",IF(ISNUMBER(Raw_Export!B2365),Raw_Export!B2365,IF(MID(TRIM(Raw_Export!B2365),5,1)="-",DATE(LEFT(TRIM(Raw_Export!B2365),4),MID(TRIM(Raw_Export!B2365),6,2),RIGHT(TRIM(Raw_Export!B2365),2)),DATE(RIGHT(TRIM(Raw_Export!B2365),4),MATCH(MID(TRIM(Raw_Export!B2365),4,3),{"Jan","Feb","Mar","Apr","May","Jun","Jul","Aug","Sep","Oct","Nov","Dec"},0),LEFT(TRIM(Raw_Export!B2365),2)))))</f>
        <v/>
      </c>
      <c r="C2365" s="36" t="str">
        <f aca="false">IF(Raw_Export!$A2365="","",IFERROR(VLOOKUP(LOWER(TRIM(Raw_Export!C2365)),Maps!$A$2:$B$20,2,FALSE()),"UNMAPPED"))</f>
        <v/>
      </c>
      <c r="D2365" s="36" t="str">
        <f aca="false">IF(Raw_Export!$A2365="","",IFERROR(VLOOKUP(LOWER(TRIM(Raw_Export!D2365)),Maps!$G$2:$I$80,2,FALSE()),"UNMAPPED"))</f>
        <v/>
      </c>
      <c r="E2365" s="36" t="str">
        <f aca="false">IF(Raw_Export!$A2365="","",IFERROR(VLOOKUP(LOWER(TRIM(Raw_Export!D2365)),Maps!$G$2:$I$80,3,FALSE()),"UNMAPPED"))</f>
        <v/>
      </c>
      <c r="F2365" s="36" t="str">
        <f aca="false">IF(Raw_Export!$A2365="","",IFERROR(VALUE(TRIM(Raw_Export!E2365)),0))</f>
        <v/>
      </c>
      <c r="G2365" s="38" t="str">
        <f aca="false">IF(Raw_Export!$A2365="","",IFERROR(VALUE(SUBSTITUTE(SUBSTITUTE(UPPER(TRIM(Raw_Export!F2365)),"KES",""),",","")),0))</f>
        <v/>
      </c>
      <c r="H2365" s="38" t="str">
        <f aca="false">IF(Raw_Export!$A2365="","",F2365*G2365)</f>
        <v/>
      </c>
      <c r="I2365" s="36" t="str">
        <f aca="false">IF(Raw_Export!$A2365="","",IFERROR(VLOOKUP(LOWER(TRIM(Raw_Export!H2365)),Maps!$D$2:$E$12,2,FALSE()),"Other"))</f>
        <v/>
      </c>
      <c r="J2365" s="36" t="str">
        <f aca="false">IF(Raw_Export!$A2365="","",IF(COUNTIF($A$2:A2365,A2365)&gt;1,"Duplicate",""))</f>
        <v/>
      </c>
      <c r="K2365" s="36" t="str">
        <f aca="false">IF(Raw_Export!$A2365="","",IF(J2365="Duplicate","Duplicate",IF(OR(C2365="UNMAPPED",D2365="UNMAPPED"),"Unmapped",IF(F2365=0,"Blank qty",IF(F2365&lt;0,"Return","OK")))))</f>
        <v/>
      </c>
      <c r="L2365" s="36" t="str">
        <f aca="false">IF(Raw_Export!$A2365="","",IF(OR(K2365="OK",K2365="Return"),1,0))</f>
        <v/>
      </c>
      <c r="M2365" s="37" t="str">
        <f aca="false">IF(Raw_Export!$A2365="","",B2365-WEEKDAY(B2365,2)+1)</f>
        <v/>
      </c>
    </row>
    <row r="2366" customFormat="false" ht="15" hidden="false" customHeight="false" outlineLevel="0" collapsed="false">
      <c r="A2366" s="36" t="str">
        <f aca="false">IF(Raw_Export!$A2366="","",TRIM(Raw_Export!A2366))</f>
        <v/>
      </c>
      <c r="B2366" s="37" t="str">
        <f aca="false">IF(Raw_Export!$A2366="","",IF(ISNUMBER(Raw_Export!B2366),Raw_Export!B2366,IF(MID(TRIM(Raw_Export!B2366),5,1)="-",DATE(LEFT(TRIM(Raw_Export!B2366),4),MID(TRIM(Raw_Export!B2366),6,2),RIGHT(TRIM(Raw_Export!B2366),2)),DATE(RIGHT(TRIM(Raw_Export!B2366),4),MATCH(MID(TRIM(Raw_Export!B2366),4,3),{"Jan","Feb","Mar","Apr","May","Jun","Jul","Aug","Sep","Oct","Nov","Dec"},0),LEFT(TRIM(Raw_Export!B2366),2)))))</f>
        <v/>
      </c>
      <c r="C2366" s="36" t="str">
        <f aca="false">IF(Raw_Export!$A2366="","",IFERROR(VLOOKUP(LOWER(TRIM(Raw_Export!C2366)),Maps!$A$2:$B$20,2,FALSE()),"UNMAPPED"))</f>
        <v/>
      </c>
      <c r="D2366" s="36" t="str">
        <f aca="false">IF(Raw_Export!$A2366="","",IFERROR(VLOOKUP(LOWER(TRIM(Raw_Export!D2366)),Maps!$G$2:$I$80,2,FALSE()),"UNMAPPED"))</f>
        <v/>
      </c>
      <c r="E2366" s="36" t="str">
        <f aca="false">IF(Raw_Export!$A2366="","",IFERROR(VLOOKUP(LOWER(TRIM(Raw_Export!D2366)),Maps!$G$2:$I$80,3,FALSE()),"UNMAPPED"))</f>
        <v/>
      </c>
      <c r="F2366" s="36" t="str">
        <f aca="false">IF(Raw_Export!$A2366="","",IFERROR(VALUE(TRIM(Raw_Export!E2366)),0))</f>
        <v/>
      </c>
      <c r="G2366" s="38" t="str">
        <f aca="false">IF(Raw_Export!$A2366="","",IFERROR(VALUE(SUBSTITUTE(SUBSTITUTE(UPPER(TRIM(Raw_Export!F2366)),"KES",""),",","")),0))</f>
        <v/>
      </c>
      <c r="H2366" s="38" t="str">
        <f aca="false">IF(Raw_Export!$A2366="","",F2366*G2366)</f>
        <v/>
      </c>
      <c r="I2366" s="36" t="str">
        <f aca="false">IF(Raw_Export!$A2366="","",IFERROR(VLOOKUP(LOWER(TRIM(Raw_Export!H2366)),Maps!$D$2:$E$12,2,FALSE()),"Other"))</f>
        <v/>
      </c>
      <c r="J2366" s="36" t="str">
        <f aca="false">IF(Raw_Export!$A2366="","",IF(COUNTIF($A$2:A2366,A2366)&gt;1,"Duplicate",""))</f>
        <v/>
      </c>
      <c r="K2366" s="36" t="str">
        <f aca="false">IF(Raw_Export!$A2366="","",IF(J2366="Duplicate","Duplicate",IF(OR(C2366="UNMAPPED",D2366="UNMAPPED"),"Unmapped",IF(F2366=0,"Blank qty",IF(F2366&lt;0,"Return","OK")))))</f>
        <v/>
      </c>
      <c r="L2366" s="36" t="str">
        <f aca="false">IF(Raw_Export!$A2366="","",IF(OR(K2366="OK",K2366="Return"),1,0))</f>
        <v/>
      </c>
      <c r="M2366" s="37" t="str">
        <f aca="false">IF(Raw_Export!$A2366="","",B2366-WEEKDAY(B2366,2)+1)</f>
        <v/>
      </c>
    </row>
    <row r="2367" customFormat="false" ht="15" hidden="false" customHeight="false" outlineLevel="0" collapsed="false">
      <c r="A2367" s="36" t="str">
        <f aca="false">IF(Raw_Export!$A2367="","",TRIM(Raw_Export!A2367))</f>
        <v/>
      </c>
      <c r="B2367" s="37" t="str">
        <f aca="false">IF(Raw_Export!$A2367="","",IF(ISNUMBER(Raw_Export!B2367),Raw_Export!B2367,IF(MID(TRIM(Raw_Export!B2367),5,1)="-",DATE(LEFT(TRIM(Raw_Export!B2367),4),MID(TRIM(Raw_Export!B2367),6,2),RIGHT(TRIM(Raw_Export!B2367),2)),DATE(RIGHT(TRIM(Raw_Export!B2367),4),MATCH(MID(TRIM(Raw_Export!B2367),4,3),{"Jan","Feb","Mar","Apr","May","Jun","Jul","Aug","Sep","Oct","Nov","Dec"},0),LEFT(TRIM(Raw_Export!B2367),2)))))</f>
        <v/>
      </c>
      <c r="C2367" s="36" t="str">
        <f aca="false">IF(Raw_Export!$A2367="","",IFERROR(VLOOKUP(LOWER(TRIM(Raw_Export!C2367)),Maps!$A$2:$B$20,2,FALSE()),"UNMAPPED"))</f>
        <v/>
      </c>
      <c r="D2367" s="36" t="str">
        <f aca="false">IF(Raw_Export!$A2367="","",IFERROR(VLOOKUP(LOWER(TRIM(Raw_Export!D2367)),Maps!$G$2:$I$80,2,FALSE()),"UNMAPPED"))</f>
        <v/>
      </c>
      <c r="E2367" s="36" t="str">
        <f aca="false">IF(Raw_Export!$A2367="","",IFERROR(VLOOKUP(LOWER(TRIM(Raw_Export!D2367)),Maps!$G$2:$I$80,3,FALSE()),"UNMAPPED"))</f>
        <v/>
      </c>
      <c r="F2367" s="36" t="str">
        <f aca="false">IF(Raw_Export!$A2367="","",IFERROR(VALUE(TRIM(Raw_Export!E2367)),0))</f>
        <v/>
      </c>
      <c r="G2367" s="38" t="str">
        <f aca="false">IF(Raw_Export!$A2367="","",IFERROR(VALUE(SUBSTITUTE(SUBSTITUTE(UPPER(TRIM(Raw_Export!F2367)),"KES",""),",","")),0))</f>
        <v/>
      </c>
      <c r="H2367" s="38" t="str">
        <f aca="false">IF(Raw_Export!$A2367="","",F2367*G2367)</f>
        <v/>
      </c>
      <c r="I2367" s="36" t="str">
        <f aca="false">IF(Raw_Export!$A2367="","",IFERROR(VLOOKUP(LOWER(TRIM(Raw_Export!H2367)),Maps!$D$2:$E$12,2,FALSE()),"Other"))</f>
        <v/>
      </c>
      <c r="J2367" s="36" t="str">
        <f aca="false">IF(Raw_Export!$A2367="","",IF(COUNTIF($A$2:A2367,A2367)&gt;1,"Duplicate",""))</f>
        <v/>
      </c>
      <c r="K2367" s="36" t="str">
        <f aca="false">IF(Raw_Export!$A2367="","",IF(J2367="Duplicate","Duplicate",IF(OR(C2367="UNMAPPED",D2367="UNMAPPED"),"Unmapped",IF(F2367=0,"Blank qty",IF(F2367&lt;0,"Return","OK")))))</f>
        <v/>
      </c>
      <c r="L2367" s="36" t="str">
        <f aca="false">IF(Raw_Export!$A2367="","",IF(OR(K2367="OK",K2367="Return"),1,0))</f>
        <v/>
      </c>
      <c r="M2367" s="37" t="str">
        <f aca="false">IF(Raw_Export!$A2367="","",B2367-WEEKDAY(B2367,2)+1)</f>
        <v/>
      </c>
    </row>
    <row r="2368" customFormat="false" ht="15" hidden="false" customHeight="false" outlineLevel="0" collapsed="false">
      <c r="A2368" s="36" t="str">
        <f aca="false">IF(Raw_Export!$A2368="","",TRIM(Raw_Export!A2368))</f>
        <v/>
      </c>
      <c r="B2368" s="37" t="str">
        <f aca="false">IF(Raw_Export!$A2368="","",IF(ISNUMBER(Raw_Export!B2368),Raw_Export!B2368,IF(MID(TRIM(Raw_Export!B2368),5,1)="-",DATE(LEFT(TRIM(Raw_Export!B2368),4),MID(TRIM(Raw_Export!B2368),6,2),RIGHT(TRIM(Raw_Export!B2368),2)),DATE(RIGHT(TRIM(Raw_Export!B2368),4),MATCH(MID(TRIM(Raw_Export!B2368),4,3),{"Jan","Feb","Mar","Apr","May","Jun","Jul","Aug","Sep","Oct","Nov","Dec"},0),LEFT(TRIM(Raw_Export!B2368),2)))))</f>
        <v/>
      </c>
      <c r="C2368" s="36" t="str">
        <f aca="false">IF(Raw_Export!$A2368="","",IFERROR(VLOOKUP(LOWER(TRIM(Raw_Export!C2368)),Maps!$A$2:$B$20,2,FALSE()),"UNMAPPED"))</f>
        <v/>
      </c>
      <c r="D2368" s="36" t="str">
        <f aca="false">IF(Raw_Export!$A2368="","",IFERROR(VLOOKUP(LOWER(TRIM(Raw_Export!D2368)),Maps!$G$2:$I$80,2,FALSE()),"UNMAPPED"))</f>
        <v/>
      </c>
      <c r="E2368" s="36" t="str">
        <f aca="false">IF(Raw_Export!$A2368="","",IFERROR(VLOOKUP(LOWER(TRIM(Raw_Export!D2368)),Maps!$G$2:$I$80,3,FALSE()),"UNMAPPED"))</f>
        <v/>
      </c>
      <c r="F2368" s="36" t="str">
        <f aca="false">IF(Raw_Export!$A2368="","",IFERROR(VALUE(TRIM(Raw_Export!E2368)),0))</f>
        <v/>
      </c>
      <c r="G2368" s="38" t="str">
        <f aca="false">IF(Raw_Export!$A2368="","",IFERROR(VALUE(SUBSTITUTE(SUBSTITUTE(UPPER(TRIM(Raw_Export!F2368)),"KES",""),",","")),0))</f>
        <v/>
      </c>
      <c r="H2368" s="38" t="str">
        <f aca="false">IF(Raw_Export!$A2368="","",F2368*G2368)</f>
        <v/>
      </c>
      <c r="I2368" s="36" t="str">
        <f aca="false">IF(Raw_Export!$A2368="","",IFERROR(VLOOKUP(LOWER(TRIM(Raw_Export!H2368)),Maps!$D$2:$E$12,2,FALSE()),"Other"))</f>
        <v/>
      </c>
      <c r="J2368" s="36" t="str">
        <f aca="false">IF(Raw_Export!$A2368="","",IF(COUNTIF($A$2:A2368,A2368)&gt;1,"Duplicate",""))</f>
        <v/>
      </c>
      <c r="K2368" s="36" t="str">
        <f aca="false">IF(Raw_Export!$A2368="","",IF(J2368="Duplicate","Duplicate",IF(OR(C2368="UNMAPPED",D2368="UNMAPPED"),"Unmapped",IF(F2368=0,"Blank qty",IF(F2368&lt;0,"Return","OK")))))</f>
        <v/>
      </c>
      <c r="L2368" s="36" t="str">
        <f aca="false">IF(Raw_Export!$A2368="","",IF(OR(K2368="OK",K2368="Return"),1,0))</f>
        <v/>
      </c>
      <c r="M2368" s="37" t="str">
        <f aca="false">IF(Raw_Export!$A2368="","",B2368-WEEKDAY(B2368,2)+1)</f>
        <v/>
      </c>
    </row>
    <row r="2369" customFormat="false" ht="15" hidden="false" customHeight="false" outlineLevel="0" collapsed="false">
      <c r="A2369" s="36" t="str">
        <f aca="false">IF(Raw_Export!$A2369="","",TRIM(Raw_Export!A2369))</f>
        <v/>
      </c>
      <c r="B2369" s="37" t="str">
        <f aca="false">IF(Raw_Export!$A2369="","",IF(ISNUMBER(Raw_Export!B2369),Raw_Export!B2369,IF(MID(TRIM(Raw_Export!B2369),5,1)="-",DATE(LEFT(TRIM(Raw_Export!B2369),4),MID(TRIM(Raw_Export!B2369),6,2),RIGHT(TRIM(Raw_Export!B2369),2)),DATE(RIGHT(TRIM(Raw_Export!B2369),4),MATCH(MID(TRIM(Raw_Export!B2369),4,3),{"Jan","Feb","Mar","Apr","May","Jun","Jul","Aug","Sep","Oct","Nov","Dec"},0),LEFT(TRIM(Raw_Export!B2369),2)))))</f>
        <v/>
      </c>
      <c r="C2369" s="36" t="str">
        <f aca="false">IF(Raw_Export!$A2369="","",IFERROR(VLOOKUP(LOWER(TRIM(Raw_Export!C2369)),Maps!$A$2:$B$20,2,FALSE()),"UNMAPPED"))</f>
        <v/>
      </c>
      <c r="D2369" s="36" t="str">
        <f aca="false">IF(Raw_Export!$A2369="","",IFERROR(VLOOKUP(LOWER(TRIM(Raw_Export!D2369)),Maps!$G$2:$I$80,2,FALSE()),"UNMAPPED"))</f>
        <v/>
      </c>
      <c r="E2369" s="36" t="str">
        <f aca="false">IF(Raw_Export!$A2369="","",IFERROR(VLOOKUP(LOWER(TRIM(Raw_Export!D2369)),Maps!$G$2:$I$80,3,FALSE()),"UNMAPPED"))</f>
        <v/>
      </c>
      <c r="F2369" s="36" t="str">
        <f aca="false">IF(Raw_Export!$A2369="","",IFERROR(VALUE(TRIM(Raw_Export!E2369)),0))</f>
        <v/>
      </c>
      <c r="G2369" s="38" t="str">
        <f aca="false">IF(Raw_Export!$A2369="","",IFERROR(VALUE(SUBSTITUTE(SUBSTITUTE(UPPER(TRIM(Raw_Export!F2369)),"KES",""),",","")),0))</f>
        <v/>
      </c>
      <c r="H2369" s="38" t="str">
        <f aca="false">IF(Raw_Export!$A2369="","",F2369*G2369)</f>
        <v/>
      </c>
      <c r="I2369" s="36" t="str">
        <f aca="false">IF(Raw_Export!$A2369="","",IFERROR(VLOOKUP(LOWER(TRIM(Raw_Export!H2369)),Maps!$D$2:$E$12,2,FALSE()),"Other"))</f>
        <v/>
      </c>
      <c r="J2369" s="36" t="str">
        <f aca="false">IF(Raw_Export!$A2369="","",IF(COUNTIF($A$2:A2369,A2369)&gt;1,"Duplicate",""))</f>
        <v/>
      </c>
      <c r="K2369" s="36" t="str">
        <f aca="false">IF(Raw_Export!$A2369="","",IF(J2369="Duplicate","Duplicate",IF(OR(C2369="UNMAPPED",D2369="UNMAPPED"),"Unmapped",IF(F2369=0,"Blank qty",IF(F2369&lt;0,"Return","OK")))))</f>
        <v/>
      </c>
      <c r="L2369" s="36" t="str">
        <f aca="false">IF(Raw_Export!$A2369="","",IF(OR(K2369="OK",K2369="Return"),1,0))</f>
        <v/>
      </c>
      <c r="M2369" s="37" t="str">
        <f aca="false">IF(Raw_Export!$A2369="","",B2369-WEEKDAY(B2369,2)+1)</f>
        <v/>
      </c>
    </row>
    <row r="2370" customFormat="false" ht="15" hidden="false" customHeight="false" outlineLevel="0" collapsed="false">
      <c r="A2370" s="36" t="str">
        <f aca="false">IF(Raw_Export!$A2370="","",TRIM(Raw_Export!A2370))</f>
        <v/>
      </c>
      <c r="B2370" s="37" t="str">
        <f aca="false">IF(Raw_Export!$A2370="","",IF(ISNUMBER(Raw_Export!B2370),Raw_Export!B2370,IF(MID(TRIM(Raw_Export!B2370),5,1)="-",DATE(LEFT(TRIM(Raw_Export!B2370),4),MID(TRIM(Raw_Export!B2370),6,2),RIGHT(TRIM(Raw_Export!B2370),2)),DATE(RIGHT(TRIM(Raw_Export!B2370),4),MATCH(MID(TRIM(Raw_Export!B2370),4,3),{"Jan","Feb","Mar","Apr","May","Jun","Jul","Aug","Sep","Oct","Nov","Dec"},0),LEFT(TRIM(Raw_Export!B2370),2)))))</f>
        <v/>
      </c>
      <c r="C2370" s="36" t="str">
        <f aca="false">IF(Raw_Export!$A2370="","",IFERROR(VLOOKUP(LOWER(TRIM(Raw_Export!C2370)),Maps!$A$2:$B$20,2,FALSE()),"UNMAPPED"))</f>
        <v/>
      </c>
      <c r="D2370" s="36" t="str">
        <f aca="false">IF(Raw_Export!$A2370="","",IFERROR(VLOOKUP(LOWER(TRIM(Raw_Export!D2370)),Maps!$G$2:$I$80,2,FALSE()),"UNMAPPED"))</f>
        <v/>
      </c>
      <c r="E2370" s="36" t="str">
        <f aca="false">IF(Raw_Export!$A2370="","",IFERROR(VLOOKUP(LOWER(TRIM(Raw_Export!D2370)),Maps!$G$2:$I$80,3,FALSE()),"UNMAPPED"))</f>
        <v/>
      </c>
      <c r="F2370" s="36" t="str">
        <f aca="false">IF(Raw_Export!$A2370="","",IFERROR(VALUE(TRIM(Raw_Export!E2370)),0))</f>
        <v/>
      </c>
      <c r="G2370" s="38" t="str">
        <f aca="false">IF(Raw_Export!$A2370="","",IFERROR(VALUE(SUBSTITUTE(SUBSTITUTE(UPPER(TRIM(Raw_Export!F2370)),"KES",""),",","")),0))</f>
        <v/>
      </c>
      <c r="H2370" s="38" t="str">
        <f aca="false">IF(Raw_Export!$A2370="","",F2370*G2370)</f>
        <v/>
      </c>
      <c r="I2370" s="36" t="str">
        <f aca="false">IF(Raw_Export!$A2370="","",IFERROR(VLOOKUP(LOWER(TRIM(Raw_Export!H2370)),Maps!$D$2:$E$12,2,FALSE()),"Other"))</f>
        <v/>
      </c>
      <c r="J2370" s="36" t="str">
        <f aca="false">IF(Raw_Export!$A2370="","",IF(COUNTIF($A$2:A2370,A2370)&gt;1,"Duplicate",""))</f>
        <v/>
      </c>
      <c r="K2370" s="36" t="str">
        <f aca="false">IF(Raw_Export!$A2370="","",IF(J2370="Duplicate","Duplicate",IF(OR(C2370="UNMAPPED",D2370="UNMAPPED"),"Unmapped",IF(F2370=0,"Blank qty",IF(F2370&lt;0,"Return","OK")))))</f>
        <v/>
      </c>
      <c r="L2370" s="36" t="str">
        <f aca="false">IF(Raw_Export!$A2370="","",IF(OR(K2370="OK",K2370="Return"),1,0))</f>
        <v/>
      </c>
      <c r="M2370" s="37" t="str">
        <f aca="false">IF(Raw_Export!$A2370="","",B2370-WEEKDAY(B2370,2)+1)</f>
        <v/>
      </c>
    </row>
    <row r="2371" customFormat="false" ht="15" hidden="false" customHeight="false" outlineLevel="0" collapsed="false">
      <c r="A2371" s="36" t="str">
        <f aca="false">IF(Raw_Export!$A2371="","",TRIM(Raw_Export!A2371))</f>
        <v/>
      </c>
      <c r="B2371" s="37" t="str">
        <f aca="false">IF(Raw_Export!$A2371="","",IF(ISNUMBER(Raw_Export!B2371),Raw_Export!B2371,IF(MID(TRIM(Raw_Export!B2371),5,1)="-",DATE(LEFT(TRIM(Raw_Export!B2371),4),MID(TRIM(Raw_Export!B2371),6,2),RIGHT(TRIM(Raw_Export!B2371),2)),DATE(RIGHT(TRIM(Raw_Export!B2371),4),MATCH(MID(TRIM(Raw_Export!B2371),4,3),{"Jan","Feb","Mar","Apr","May","Jun","Jul","Aug","Sep","Oct","Nov","Dec"},0),LEFT(TRIM(Raw_Export!B2371),2)))))</f>
        <v/>
      </c>
      <c r="C2371" s="36" t="str">
        <f aca="false">IF(Raw_Export!$A2371="","",IFERROR(VLOOKUP(LOWER(TRIM(Raw_Export!C2371)),Maps!$A$2:$B$20,2,FALSE()),"UNMAPPED"))</f>
        <v/>
      </c>
      <c r="D2371" s="36" t="str">
        <f aca="false">IF(Raw_Export!$A2371="","",IFERROR(VLOOKUP(LOWER(TRIM(Raw_Export!D2371)),Maps!$G$2:$I$80,2,FALSE()),"UNMAPPED"))</f>
        <v/>
      </c>
      <c r="E2371" s="36" t="str">
        <f aca="false">IF(Raw_Export!$A2371="","",IFERROR(VLOOKUP(LOWER(TRIM(Raw_Export!D2371)),Maps!$G$2:$I$80,3,FALSE()),"UNMAPPED"))</f>
        <v/>
      </c>
      <c r="F2371" s="36" t="str">
        <f aca="false">IF(Raw_Export!$A2371="","",IFERROR(VALUE(TRIM(Raw_Export!E2371)),0))</f>
        <v/>
      </c>
      <c r="G2371" s="38" t="str">
        <f aca="false">IF(Raw_Export!$A2371="","",IFERROR(VALUE(SUBSTITUTE(SUBSTITUTE(UPPER(TRIM(Raw_Export!F2371)),"KES",""),",","")),0))</f>
        <v/>
      </c>
      <c r="H2371" s="38" t="str">
        <f aca="false">IF(Raw_Export!$A2371="","",F2371*G2371)</f>
        <v/>
      </c>
      <c r="I2371" s="36" t="str">
        <f aca="false">IF(Raw_Export!$A2371="","",IFERROR(VLOOKUP(LOWER(TRIM(Raw_Export!H2371)),Maps!$D$2:$E$12,2,FALSE()),"Other"))</f>
        <v/>
      </c>
      <c r="J2371" s="36" t="str">
        <f aca="false">IF(Raw_Export!$A2371="","",IF(COUNTIF($A$2:A2371,A2371)&gt;1,"Duplicate",""))</f>
        <v/>
      </c>
      <c r="K2371" s="36" t="str">
        <f aca="false">IF(Raw_Export!$A2371="","",IF(J2371="Duplicate","Duplicate",IF(OR(C2371="UNMAPPED",D2371="UNMAPPED"),"Unmapped",IF(F2371=0,"Blank qty",IF(F2371&lt;0,"Return","OK")))))</f>
        <v/>
      </c>
      <c r="L2371" s="36" t="str">
        <f aca="false">IF(Raw_Export!$A2371="","",IF(OR(K2371="OK",K2371="Return"),1,0))</f>
        <v/>
      </c>
      <c r="M2371" s="37" t="str">
        <f aca="false">IF(Raw_Export!$A2371="","",B2371-WEEKDAY(B2371,2)+1)</f>
        <v/>
      </c>
    </row>
    <row r="2372" customFormat="false" ht="15" hidden="false" customHeight="false" outlineLevel="0" collapsed="false">
      <c r="A2372" s="36" t="str">
        <f aca="false">IF(Raw_Export!$A2372="","",TRIM(Raw_Export!A2372))</f>
        <v/>
      </c>
      <c r="B2372" s="37" t="str">
        <f aca="false">IF(Raw_Export!$A2372="","",IF(ISNUMBER(Raw_Export!B2372),Raw_Export!B2372,IF(MID(TRIM(Raw_Export!B2372),5,1)="-",DATE(LEFT(TRIM(Raw_Export!B2372),4),MID(TRIM(Raw_Export!B2372),6,2),RIGHT(TRIM(Raw_Export!B2372),2)),DATE(RIGHT(TRIM(Raw_Export!B2372),4),MATCH(MID(TRIM(Raw_Export!B2372),4,3),{"Jan","Feb","Mar","Apr","May","Jun","Jul","Aug","Sep","Oct","Nov","Dec"},0),LEFT(TRIM(Raw_Export!B2372),2)))))</f>
        <v/>
      </c>
      <c r="C2372" s="36" t="str">
        <f aca="false">IF(Raw_Export!$A2372="","",IFERROR(VLOOKUP(LOWER(TRIM(Raw_Export!C2372)),Maps!$A$2:$B$20,2,FALSE()),"UNMAPPED"))</f>
        <v/>
      </c>
      <c r="D2372" s="36" t="str">
        <f aca="false">IF(Raw_Export!$A2372="","",IFERROR(VLOOKUP(LOWER(TRIM(Raw_Export!D2372)),Maps!$G$2:$I$80,2,FALSE()),"UNMAPPED"))</f>
        <v/>
      </c>
      <c r="E2372" s="36" t="str">
        <f aca="false">IF(Raw_Export!$A2372="","",IFERROR(VLOOKUP(LOWER(TRIM(Raw_Export!D2372)),Maps!$G$2:$I$80,3,FALSE()),"UNMAPPED"))</f>
        <v/>
      </c>
      <c r="F2372" s="36" t="str">
        <f aca="false">IF(Raw_Export!$A2372="","",IFERROR(VALUE(TRIM(Raw_Export!E2372)),0))</f>
        <v/>
      </c>
      <c r="G2372" s="38" t="str">
        <f aca="false">IF(Raw_Export!$A2372="","",IFERROR(VALUE(SUBSTITUTE(SUBSTITUTE(UPPER(TRIM(Raw_Export!F2372)),"KES",""),",","")),0))</f>
        <v/>
      </c>
      <c r="H2372" s="38" t="str">
        <f aca="false">IF(Raw_Export!$A2372="","",F2372*G2372)</f>
        <v/>
      </c>
      <c r="I2372" s="36" t="str">
        <f aca="false">IF(Raw_Export!$A2372="","",IFERROR(VLOOKUP(LOWER(TRIM(Raw_Export!H2372)),Maps!$D$2:$E$12,2,FALSE()),"Other"))</f>
        <v/>
      </c>
      <c r="J2372" s="36" t="str">
        <f aca="false">IF(Raw_Export!$A2372="","",IF(COUNTIF($A$2:A2372,A2372)&gt;1,"Duplicate",""))</f>
        <v/>
      </c>
      <c r="K2372" s="36" t="str">
        <f aca="false">IF(Raw_Export!$A2372="","",IF(J2372="Duplicate","Duplicate",IF(OR(C2372="UNMAPPED",D2372="UNMAPPED"),"Unmapped",IF(F2372=0,"Blank qty",IF(F2372&lt;0,"Return","OK")))))</f>
        <v/>
      </c>
      <c r="L2372" s="36" t="str">
        <f aca="false">IF(Raw_Export!$A2372="","",IF(OR(K2372="OK",K2372="Return"),1,0))</f>
        <v/>
      </c>
      <c r="M2372" s="37" t="str">
        <f aca="false">IF(Raw_Export!$A2372="","",B2372-WEEKDAY(B2372,2)+1)</f>
        <v/>
      </c>
    </row>
    <row r="2373" customFormat="false" ht="15" hidden="false" customHeight="false" outlineLevel="0" collapsed="false">
      <c r="A2373" s="36" t="str">
        <f aca="false">IF(Raw_Export!$A2373="","",TRIM(Raw_Export!A2373))</f>
        <v/>
      </c>
      <c r="B2373" s="37" t="str">
        <f aca="false">IF(Raw_Export!$A2373="","",IF(ISNUMBER(Raw_Export!B2373),Raw_Export!B2373,IF(MID(TRIM(Raw_Export!B2373),5,1)="-",DATE(LEFT(TRIM(Raw_Export!B2373),4),MID(TRIM(Raw_Export!B2373),6,2),RIGHT(TRIM(Raw_Export!B2373),2)),DATE(RIGHT(TRIM(Raw_Export!B2373),4),MATCH(MID(TRIM(Raw_Export!B2373),4,3),{"Jan","Feb","Mar","Apr","May","Jun","Jul","Aug","Sep","Oct","Nov","Dec"},0),LEFT(TRIM(Raw_Export!B2373),2)))))</f>
        <v/>
      </c>
      <c r="C2373" s="36" t="str">
        <f aca="false">IF(Raw_Export!$A2373="","",IFERROR(VLOOKUP(LOWER(TRIM(Raw_Export!C2373)),Maps!$A$2:$B$20,2,FALSE()),"UNMAPPED"))</f>
        <v/>
      </c>
      <c r="D2373" s="36" t="str">
        <f aca="false">IF(Raw_Export!$A2373="","",IFERROR(VLOOKUP(LOWER(TRIM(Raw_Export!D2373)),Maps!$G$2:$I$80,2,FALSE()),"UNMAPPED"))</f>
        <v/>
      </c>
      <c r="E2373" s="36" t="str">
        <f aca="false">IF(Raw_Export!$A2373="","",IFERROR(VLOOKUP(LOWER(TRIM(Raw_Export!D2373)),Maps!$G$2:$I$80,3,FALSE()),"UNMAPPED"))</f>
        <v/>
      </c>
      <c r="F2373" s="36" t="str">
        <f aca="false">IF(Raw_Export!$A2373="","",IFERROR(VALUE(TRIM(Raw_Export!E2373)),0))</f>
        <v/>
      </c>
      <c r="G2373" s="38" t="str">
        <f aca="false">IF(Raw_Export!$A2373="","",IFERROR(VALUE(SUBSTITUTE(SUBSTITUTE(UPPER(TRIM(Raw_Export!F2373)),"KES",""),",","")),0))</f>
        <v/>
      </c>
      <c r="H2373" s="38" t="str">
        <f aca="false">IF(Raw_Export!$A2373="","",F2373*G2373)</f>
        <v/>
      </c>
      <c r="I2373" s="36" t="str">
        <f aca="false">IF(Raw_Export!$A2373="","",IFERROR(VLOOKUP(LOWER(TRIM(Raw_Export!H2373)),Maps!$D$2:$E$12,2,FALSE()),"Other"))</f>
        <v/>
      </c>
      <c r="J2373" s="36" t="str">
        <f aca="false">IF(Raw_Export!$A2373="","",IF(COUNTIF($A$2:A2373,A2373)&gt;1,"Duplicate",""))</f>
        <v/>
      </c>
      <c r="K2373" s="36" t="str">
        <f aca="false">IF(Raw_Export!$A2373="","",IF(J2373="Duplicate","Duplicate",IF(OR(C2373="UNMAPPED",D2373="UNMAPPED"),"Unmapped",IF(F2373=0,"Blank qty",IF(F2373&lt;0,"Return","OK")))))</f>
        <v/>
      </c>
      <c r="L2373" s="36" t="str">
        <f aca="false">IF(Raw_Export!$A2373="","",IF(OR(K2373="OK",K2373="Return"),1,0))</f>
        <v/>
      </c>
      <c r="M2373" s="37" t="str">
        <f aca="false">IF(Raw_Export!$A2373="","",B2373-WEEKDAY(B2373,2)+1)</f>
        <v/>
      </c>
    </row>
    <row r="2374" customFormat="false" ht="15" hidden="false" customHeight="false" outlineLevel="0" collapsed="false">
      <c r="A2374" s="36" t="str">
        <f aca="false">IF(Raw_Export!$A2374="","",TRIM(Raw_Export!A2374))</f>
        <v/>
      </c>
      <c r="B2374" s="37" t="str">
        <f aca="false">IF(Raw_Export!$A2374="","",IF(ISNUMBER(Raw_Export!B2374),Raw_Export!B2374,IF(MID(TRIM(Raw_Export!B2374),5,1)="-",DATE(LEFT(TRIM(Raw_Export!B2374),4),MID(TRIM(Raw_Export!B2374),6,2),RIGHT(TRIM(Raw_Export!B2374),2)),DATE(RIGHT(TRIM(Raw_Export!B2374),4),MATCH(MID(TRIM(Raw_Export!B2374),4,3),{"Jan","Feb","Mar","Apr","May","Jun","Jul","Aug","Sep","Oct","Nov","Dec"},0),LEFT(TRIM(Raw_Export!B2374),2)))))</f>
        <v/>
      </c>
      <c r="C2374" s="36" t="str">
        <f aca="false">IF(Raw_Export!$A2374="","",IFERROR(VLOOKUP(LOWER(TRIM(Raw_Export!C2374)),Maps!$A$2:$B$20,2,FALSE()),"UNMAPPED"))</f>
        <v/>
      </c>
      <c r="D2374" s="36" t="str">
        <f aca="false">IF(Raw_Export!$A2374="","",IFERROR(VLOOKUP(LOWER(TRIM(Raw_Export!D2374)),Maps!$G$2:$I$80,2,FALSE()),"UNMAPPED"))</f>
        <v/>
      </c>
      <c r="E2374" s="36" t="str">
        <f aca="false">IF(Raw_Export!$A2374="","",IFERROR(VLOOKUP(LOWER(TRIM(Raw_Export!D2374)),Maps!$G$2:$I$80,3,FALSE()),"UNMAPPED"))</f>
        <v/>
      </c>
      <c r="F2374" s="36" t="str">
        <f aca="false">IF(Raw_Export!$A2374="","",IFERROR(VALUE(TRIM(Raw_Export!E2374)),0))</f>
        <v/>
      </c>
      <c r="G2374" s="38" t="str">
        <f aca="false">IF(Raw_Export!$A2374="","",IFERROR(VALUE(SUBSTITUTE(SUBSTITUTE(UPPER(TRIM(Raw_Export!F2374)),"KES",""),",","")),0))</f>
        <v/>
      </c>
      <c r="H2374" s="38" t="str">
        <f aca="false">IF(Raw_Export!$A2374="","",F2374*G2374)</f>
        <v/>
      </c>
      <c r="I2374" s="36" t="str">
        <f aca="false">IF(Raw_Export!$A2374="","",IFERROR(VLOOKUP(LOWER(TRIM(Raw_Export!H2374)),Maps!$D$2:$E$12,2,FALSE()),"Other"))</f>
        <v/>
      </c>
      <c r="J2374" s="36" t="str">
        <f aca="false">IF(Raw_Export!$A2374="","",IF(COUNTIF($A$2:A2374,A2374)&gt;1,"Duplicate",""))</f>
        <v/>
      </c>
      <c r="K2374" s="36" t="str">
        <f aca="false">IF(Raw_Export!$A2374="","",IF(J2374="Duplicate","Duplicate",IF(OR(C2374="UNMAPPED",D2374="UNMAPPED"),"Unmapped",IF(F2374=0,"Blank qty",IF(F2374&lt;0,"Return","OK")))))</f>
        <v/>
      </c>
      <c r="L2374" s="36" t="str">
        <f aca="false">IF(Raw_Export!$A2374="","",IF(OR(K2374="OK",K2374="Return"),1,0))</f>
        <v/>
      </c>
      <c r="M2374" s="37" t="str">
        <f aca="false">IF(Raw_Export!$A2374="","",B2374-WEEKDAY(B2374,2)+1)</f>
        <v/>
      </c>
    </row>
    <row r="2375" customFormat="false" ht="15" hidden="false" customHeight="false" outlineLevel="0" collapsed="false">
      <c r="A2375" s="36" t="str">
        <f aca="false">IF(Raw_Export!$A2375="","",TRIM(Raw_Export!A2375))</f>
        <v/>
      </c>
      <c r="B2375" s="37" t="str">
        <f aca="false">IF(Raw_Export!$A2375="","",IF(ISNUMBER(Raw_Export!B2375),Raw_Export!B2375,IF(MID(TRIM(Raw_Export!B2375),5,1)="-",DATE(LEFT(TRIM(Raw_Export!B2375),4),MID(TRIM(Raw_Export!B2375),6,2),RIGHT(TRIM(Raw_Export!B2375),2)),DATE(RIGHT(TRIM(Raw_Export!B2375),4),MATCH(MID(TRIM(Raw_Export!B2375),4,3),{"Jan","Feb","Mar","Apr","May","Jun","Jul","Aug","Sep","Oct","Nov","Dec"},0),LEFT(TRIM(Raw_Export!B2375),2)))))</f>
        <v/>
      </c>
      <c r="C2375" s="36" t="str">
        <f aca="false">IF(Raw_Export!$A2375="","",IFERROR(VLOOKUP(LOWER(TRIM(Raw_Export!C2375)),Maps!$A$2:$B$20,2,FALSE()),"UNMAPPED"))</f>
        <v/>
      </c>
      <c r="D2375" s="36" t="str">
        <f aca="false">IF(Raw_Export!$A2375="","",IFERROR(VLOOKUP(LOWER(TRIM(Raw_Export!D2375)),Maps!$G$2:$I$80,2,FALSE()),"UNMAPPED"))</f>
        <v/>
      </c>
      <c r="E2375" s="36" t="str">
        <f aca="false">IF(Raw_Export!$A2375="","",IFERROR(VLOOKUP(LOWER(TRIM(Raw_Export!D2375)),Maps!$G$2:$I$80,3,FALSE()),"UNMAPPED"))</f>
        <v/>
      </c>
      <c r="F2375" s="36" t="str">
        <f aca="false">IF(Raw_Export!$A2375="","",IFERROR(VALUE(TRIM(Raw_Export!E2375)),0))</f>
        <v/>
      </c>
      <c r="G2375" s="38" t="str">
        <f aca="false">IF(Raw_Export!$A2375="","",IFERROR(VALUE(SUBSTITUTE(SUBSTITUTE(UPPER(TRIM(Raw_Export!F2375)),"KES",""),",","")),0))</f>
        <v/>
      </c>
      <c r="H2375" s="38" t="str">
        <f aca="false">IF(Raw_Export!$A2375="","",F2375*G2375)</f>
        <v/>
      </c>
      <c r="I2375" s="36" t="str">
        <f aca="false">IF(Raw_Export!$A2375="","",IFERROR(VLOOKUP(LOWER(TRIM(Raw_Export!H2375)),Maps!$D$2:$E$12,2,FALSE()),"Other"))</f>
        <v/>
      </c>
      <c r="J2375" s="36" t="str">
        <f aca="false">IF(Raw_Export!$A2375="","",IF(COUNTIF($A$2:A2375,A2375)&gt;1,"Duplicate",""))</f>
        <v/>
      </c>
      <c r="K2375" s="36" t="str">
        <f aca="false">IF(Raw_Export!$A2375="","",IF(J2375="Duplicate","Duplicate",IF(OR(C2375="UNMAPPED",D2375="UNMAPPED"),"Unmapped",IF(F2375=0,"Blank qty",IF(F2375&lt;0,"Return","OK")))))</f>
        <v/>
      </c>
      <c r="L2375" s="36" t="str">
        <f aca="false">IF(Raw_Export!$A2375="","",IF(OR(K2375="OK",K2375="Return"),1,0))</f>
        <v/>
      </c>
      <c r="M2375" s="37" t="str">
        <f aca="false">IF(Raw_Export!$A2375="","",B2375-WEEKDAY(B2375,2)+1)</f>
        <v/>
      </c>
    </row>
    <row r="2376" customFormat="false" ht="15" hidden="false" customHeight="false" outlineLevel="0" collapsed="false">
      <c r="A2376" s="36" t="str">
        <f aca="false">IF(Raw_Export!$A2376="","",TRIM(Raw_Export!A2376))</f>
        <v/>
      </c>
      <c r="B2376" s="37" t="str">
        <f aca="false">IF(Raw_Export!$A2376="","",IF(ISNUMBER(Raw_Export!B2376),Raw_Export!B2376,IF(MID(TRIM(Raw_Export!B2376),5,1)="-",DATE(LEFT(TRIM(Raw_Export!B2376),4),MID(TRIM(Raw_Export!B2376),6,2),RIGHT(TRIM(Raw_Export!B2376),2)),DATE(RIGHT(TRIM(Raw_Export!B2376),4),MATCH(MID(TRIM(Raw_Export!B2376),4,3),{"Jan","Feb","Mar","Apr","May","Jun","Jul","Aug","Sep","Oct","Nov","Dec"},0),LEFT(TRIM(Raw_Export!B2376),2)))))</f>
        <v/>
      </c>
      <c r="C2376" s="36" t="str">
        <f aca="false">IF(Raw_Export!$A2376="","",IFERROR(VLOOKUP(LOWER(TRIM(Raw_Export!C2376)),Maps!$A$2:$B$20,2,FALSE()),"UNMAPPED"))</f>
        <v/>
      </c>
      <c r="D2376" s="36" t="str">
        <f aca="false">IF(Raw_Export!$A2376="","",IFERROR(VLOOKUP(LOWER(TRIM(Raw_Export!D2376)),Maps!$G$2:$I$80,2,FALSE()),"UNMAPPED"))</f>
        <v/>
      </c>
      <c r="E2376" s="36" t="str">
        <f aca="false">IF(Raw_Export!$A2376="","",IFERROR(VLOOKUP(LOWER(TRIM(Raw_Export!D2376)),Maps!$G$2:$I$80,3,FALSE()),"UNMAPPED"))</f>
        <v/>
      </c>
      <c r="F2376" s="36" t="str">
        <f aca="false">IF(Raw_Export!$A2376="","",IFERROR(VALUE(TRIM(Raw_Export!E2376)),0))</f>
        <v/>
      </c>
      <c r="G2376" s="38" t="str">
        <f aca="false">IF(Raw_Export!$A2376="","",IFERROR(VALUE(SUBSTITUTE(SUBSTITUTE(UPPER(TRIM(Raw_Export!F2376)),"KES",""),",","")),0))</f>
        <v/>
      </c>
      <c r="H2376" s="38" t="str">
        <f aca="false">IF(Raw_Export!$A2376="","",F2376*G2376)</f>
        <v/>
      </c>
      <c r="I2376" s="36" t="str">
        <f aca="false">IF(Raw_Export!$A2376="","",IFERROR(VLOOKUP(LOWER(TRIM(Raw_Export!H2376)),Maps!$D$2:$E$12,2,FALSE()),"Other"))</f>
        <v/>
      </c>
      <c r="J2376" s="36" t="str">
        <f aca="false">IF(Raw_Export!$A2376="","",IF(COUNTIF($A$2:A2376,A2376)&gt;1,"Duplicate",""))</f>
        <v/>
      </c>
      <c r="K2376" s="36" t="str">
        <f aca="false">IF(Raw_Export!$A2376="","",IF(J2376="Duplicate","Duplicate",IF(OR(C2376="UNMAPPED",D2376="UNMAPPED"),"Unmapped",IF(F2376=0,"Blank qty",IF(F2376&lt;0,"Return","OK")))))</f>
        <v/>
      </c>
      <c r="L2376" s="36" t="str">
        <f aca="false">IF(Raw_Export!$A2376="","",IF(OR(K2376="OK",K2376="Return"),1,0))</f>
        <v/>
      </c>
      <c r="M2376" s="37" t="str">
        <f aca="false">IF(Raw_Export!$A2376="","",B2376-WEEKDAY(B2376,2)+1)</f>
        <v/>
      </c>
    </row>
    <row r="2377" customFormat="false" ht="15" hidden="false" customHeight="false" outlineLevel="0" collapsed="false">
      <c r="A2377" s="36" t="str">
        <f aca="false">IF(Raw_Export!$A2377="","",TRIM(Raw_Export!A2377))</f>
        <v/>
      </c>
      <c r="B2377" s="37" t="str">
        <f aca="false">IF(Raw_Export!$A2377="","",IF(ISNUMBER(Raw_Export!B2377),Raw_Export!B2377,IF(MID(TRIM(Raw_Export!B2377),5,1)="-",DATE(LEFT(TRIM(Raw_Export!B2377),4),MID(TRIM(Raw_Export!B2377),6,2),RIGHT(TRIM(Raw_Export!B2377),2)),DATE(RIGHT(TRIM(Raw_Export!B2377),4),MATCH(MID(TRIM(Raw_Export!B2377),4,3),{"Jan","Feb","Mar","Apr","May","Jun","Jul","Aug","Sep","Oct","Nov","Dec"},0),LEFT(TRIM(Raw_Export!B2377),2)))))</f>
        <v/>
      </c>
      <c r="C2377" s="36" t="str">
        <f aca="false">IF(Raw_Export!$A2377="","",IFERROR(VLOOKUP(LOWER(TRIM(Raw_Export!C2377)),Maps!$A$2:$B$20,2,FALSE()),"UNMAPPED"))</f>
        <v/>
      </c>
      <c r="D2377" s="36" t="str">
        <f aca="false">IF(Raw_Export!$A2377="","",IFERROR(VLOOKUP(LOWER(TRIM(Raw_Export!D2377)),Maps!$G$2:$I$80,2,FALSE()),"UNMAPPED"))</f>
        <v/>
      </c>
      <c r="E2377" s="36" t="str">
        <f aca="false">IF(Raw_Export!$A2377="","",IFERROR(VLOOKUP(LOWER(TRIM(Raw_Export!D2377)),Maps!$G$2:$I$80,3,FALSE()),"UNMAPPED"))</f>
        <v/>
      </c>
      <c r="F2377" s="36" t="str">
        <f aca="false">IF(Raw_Export!$A2377="","",IFERROR(VALUE(TRIM(Raw_Export!E2377)),0))</f>
        <v/>
      </c>
      <c r="G2377" s="38" t="str">
        <f aca="false">IF(Raw_Export!$A2377="","",IFERROR(VALUE(SUBSTITUTE(SUBSTITUTE(UPPER(TRIM(Raw_Export!F2377)),"KES",""),",","")),0))</f>
        <v/>
      </c>
      <c r="H2377" s="38" t="str">
        <f aca="false">IF(Raw_Export!$A2377="","",F2377*G2377)</f>
        <v/>
      </c>
      <c r="I2377" s="36" t="str">
        <f aca="false">IF(Raw_Export!$A2377="","",IFERROR(VLOOKUP(LOWER(TRIM(Raw_Export!H2377)),Maps!$D$2:$E$12,2,FALSE()),"Other"))</f>
        <v/>
      </c>
      <c r="J2377" s="36" t="str">
        <f aca="false">IF(Raw_Export!$A2377="","",IF(COUNTIF($A$2:A2377,A2377)&gt;1,"Duplicate",""))</f>
        <v/>
      </c>
      <c r="K2377" s="36" t="str">
        <f aca="false">IF(Raw_Export!$A2377="","",IF(J2377="Duplicate","Duplicate",IF(OR(C2377="UNMAPPED",D2377="UNMAPPED"),"Unmapped",IF(F2377=0,"Blank qty",IF(F2377&lt;0,"Return","OK")))))</f>
        <v/>
      </c>
      <c r="L2377" s="36" t="str">
        <f aca="false">IF(Raw_Export!$A2377="","",IF(OR(K2377="OK",K2377="Return"),1,0))</f>
        <v/>
      </c>
      <c r="M2377" s="37" t="str">
        <f aca="false">IF(Raw_Export!$A2377="","",B2377-WEEKDAY(B2377,2)+1)</f>
        <v/>
      </c>
    </row>
    <row r="2378" customFormat="false" ht="15" hidden="false" customHeight="false" outlineLevel="0" collapsed="false">
      <c r="A2378" s="36" t="str">
        <f aca="false">IF(Raw_Export!$A2378="","",TRIM(Raw_Export!A2378))</f>
        <v/>
      </c>
      <c r="B2378" s="37" t="str">
        <f aca="false">IF(Raw_Export!$A2378="","",IF(ISNUMBER(Raw_Export!B2378),Raw_Export!B2378,IF(MID(TRIM(Raw_Export!B2378),5,1)="-",DATE(LEFT(TRIM(Raw_Export!B2378),4),MID(TRIM(Raw_Export!B2378),6,2),RIGHT(TRIM(Raw_Export!B2378),2)),DATE(RIGHT(TRIM(Raw_Export!B2378),4),MATCH(MID(TRIM(Raw_Export!B2378),4,3),{"Jan","Feb","Mar","Apr","May","Jun","Jul","Aug","Sep","Oct","Nov","Dec"},0),LEFT(TRIM(Raw_Export!B2378),2)))))</f>
        <v/>
      </c>
      <c r="C2378" s="36" t="str">
        <f aca="false">IF(Raw_Export!$A2378="","",IFERROR(VLOOKUP(LOWER(TRIM(Raw_Export!C2378)),Maps!$A$2:$B$20,2,FALSE()),"UNMAPPED"))</f>
        <v/>
      </c>
      <c r="D2378" s="36" t="str">
        <f aca="false">IF(Raw_Export!$A2378="","",IFERROR(VLOOKUP(LOWER(TRIM(Raw_Export!D2378)),Maps!$G$2:$I$80,2,FALSE()),"UNMAPPED"))</f>
        <v/>
      </c>
      <c r="E2378" s="36" t="str">
        <f aca="false">IF(Raw_Export!$A2378="","",IFERROR(VLOOKUP(LOWER(TRIM(Raw_Export!D2378)),Maps!$G$2:$I$80,3,FALSE()),"UNMAPPED"))</f>
        <v/>
      </c>
      <c r="F2378" s="36" t="str">
        <f aca="false">IF(Raw_Export!$A2378="","",IFERROR(VALUE(TRIM(Raw_Export!E2378)),0))</f>
        <v/>
      </c>
      <c r="G2378" s="38" t="str">
        <f aca="false">IF(Raw_Export!$A2378="","",IFERROR(VALUE(SUBSTITUTE(SUBSTITUTE(UPPER(TRIM(Raw_Export!F2378)),"KES",""),",","")),0))</f>
        <v/>
      </c>
      <c r="H2378" s="38" t="str">
        <f aca="false">IF(Raw_Export!$A2378="","",F2378*G2378)</f>
        <v/>
      </c>
      <c r="I2378" s="36" t="str">
        <f aca="false">IF(Raw_Export!$A2378="","",IFERROR(VLOOKUP(LOWER(TRIM(Raw_Export!H2378)),Maps!$D$2:$E$12,2,FALSE()),"Other"))</f>
        <v/>
      </c>
      <c r="J2378" s="36" t="str">
        <f aca="false">IF(Raw_Export!$A2378="","",IF(COUNTIF($A$2:A2378,A2378)&gt;1,"Duplicate",""))</f>
        <v/>
      </c>
      <c r="K2378" s="36" t="str">
        <f aca="false">IF(Raw_Export!$A2378="","",IF(J2378="Duplicate","Duplicate",IF(OR(C2378="UNMAPPED",D2378="UNMAPPED"),"Unmapped",IF(F2378=0,"Blank qty",IF(F2378&lt;0,"Return","OK")))))</f>
        <v/>
      </c>
      <c r="L2378" s="36" t="str">
        <f aca="false">IF(Raw_Export!$A2378="","",IF(OR(K2378="OK",K2378="Return"),1,0))</f>
        <v/>
      </c>
      <c r="M2378" s="37" t="str">
        <f aca="false">IF(Raw_Export!$A2378="","",B2378-WEEKDAY(B2378,2)+1)</f>
        <v/>
      </c>
    </row>
    <row r="2379" customFormat="false" ht="15" hidden="false" customHeight="false" outlineLevel="0" collapsed="false">
      <c r="A2379" s="36" t="str">
        <f aca="false">IF(Raw_Export!$A2379="","",TRIM(Raw_Export!A2379))</f>
        <v/>
      </c>
      <c r="B2379" s="37" t="str">
        <f aca="false">IF(Raw_Export!$A2379="","",IF(ISNUMBER(Raw_Export!B2379),Raw_Export!B2379,IF(MID(TRIM(Raw_Export!B2379),5,1)="-",DATE(LEFT(TRIM(Raw_Export!B2379),4),MID(TRIM(Raw_Export!B2379),6,2),RIGHT(TRIM(Raw_Export!B2379),2)),DATE(RIGHT(TRIM(Raw_Export!B2379),4),MATCH(MID(TRIM(Raw_Export!B2379),4,3),{"Jan","Feb","Mar","Apr","May","Jun","Jul","Aug","Sep","Oct","Nov","Dec"},0),LEFT(TRIM(Raw_Export!B2379),2)))))</f>
        <v/>
      </c>
      <c r="C2379" s="36" t="str">
        <f aca="false">IF(Raw_Export!$A2379="","",IFERROR(VLOOKUP(LOWER(TRIM(Raw_Export!C2379)),Maps!$A$2:$B$20,2,FALSE()),"UNMAPPED"))</f>
        <v/>
      </c>
      <c r="D2379" s="36" t="str">
        <f aca="false">IF(Raw_Export!$A2379="","",IFERROR(VLOOKUP(LOWER(TRIM(Raw_Export!D2379)),Maps!$G$2:$I$80,2,FALSE()),"UNMAPPED"))</f>
        <v/>
      </c>
      <c r="E2379" s="36" t="str">
        <f aca="false">IF(Raw_Export!$A2379="","",IFERROR(VLOOKUP(LOWER(TRIM(Raw_Export!D2379)),Maps!$G$2:$I$80,3,FALSE()),"UNMAPPED"))</f>
        <v/>
      </c>
      <c r="F2379" s="36" t="str">
        <f aca="false">IF(Raw_Export!$A2379="","",IFERROR(VALUE(TRIM(Raw_Export!E2379)),0))</f>
        <v/>
      </c>
      <c r="G2379" s="38" t="str">
        <f aca="false">IF(Raw_Export!$A2379="","",IFERROR(VALUE(SUBSTITUTE(SUBSTITUTE(UPPER(TRIM(Raw_Export!F2379)),"KES",""),",","")),0))</f>
        <v/>
      </c>
      <c r="H2379" s="38" t="str">
        <f aca="false">IF(Raw_Export!$A2379="","",F2379*G2379)</f>
        <v/>
      </c>
      <c r="I2379" s="36" t="str">
        <f aca="false">IF(Raw_Export!$A2379="","",IFERROR(VLOOKUP(LOWER(TRIM(Raw_Export!H2379)),Maps!$D$2:$E$12,2,FALSE()),"Other"))</f>
        <v/>
      </c>
      <c r="J2379" s="36" t="str">
        <f aca="false">IF(Raw_Export!$A2379="","",IF(COUNTIF($A$2:A2379,A2379)&gt;1,"Duplicate",""))</f>
        <v/>
      </c>
      <c r="K2379" s="36" t="str">
        <f aca="false">IF(Raw_Export!$A2379="","",IF(J2379="Duplicate","Duplicate",IF(OR(C2379="UNMAPPED",D2379="UNMAPPED"),"Unmapped",IF(F2379=0,"Blank qty",IF(F2379&lt;0,"Return","OK")))))</f>
        <v/>
      </c>
      <c r="L2379" s="36" t="str">
        <f aca="false">IF(Raw_Export!$A2379="","",IF(OR(K2379="OK",K2379="Return"),1,0))</f>
        <v/>
      </c>
      <c r="M2379" s="37" t="str">
        <f aca="false">IF(Raw_Export!$A2379="","",B2379-WEEKDAY(B2379,2)+1)</f>
        <v/>
      </c>
    </row>
    <row r="2380" customFormat="false" ht="15" hidden="false" customHeight="false" outlineLevel="0" collapsed="false">
      <c r="A2380" s="36" t="str">
        <f aca="false">IF(Raw_Export!$A2380="","",TRIM(Raw_Export!A2380))</f>
        <v/>
      </c>
      <c r="B2380" s="37" t="str">
        <f aca="false">IF(Raw_Export!$A2380="","",IF(ISNUMBER(Raw_Export!B2380),Raw_Export!B2380,IF(MID(TRIM(Raw_Export!B2380),5,1)="-",DATE(LEFT(TRIM(Raw_Export!B2380),4),MID(TRIM(Raw_Export!B2380),6,2),RIGHT(TRIM(Raw_Export!B2380),2)),DATE(RIGHT(TRIM(Raw_Export!B2380),4),MATCH(MID(TRIM(Raw_Export!B2380),4,3),{"Jan","Feb","Mar","Apr","May","Jun","Jul","Aug","Sep","Oct","Nov","Dec"},0),LEFT(TRIM(Raw_Export!B2380),2)))))</f>
        <v/>
      </c>
      <c r="C2380" s="36" t="str">
        <f aca="false">IF(Raw_Export!$A2380="","",IFERROR(VLOOKUP(LOWER(TRIM(Raw_Export!C2380)),Maps!$A$2:$B$20,2,FALSE()),"UNMAPPED"))</f>
        <v/>
      </c>
      <c r="D2380" s="36" t="str">
        <f aca="false">IF(Raw_Export!$A2380="","",IFERROR(VLOOKUP(LOWER(TRIM(Raw_Export!D2380)),Maps!$G$2:$I$80,2,FALSE()),"UNMAPPED"))</f>
        <v/>
      </c>
      <c r="E2380" s="36" t="str">
        <f aca="false">IF(Raw_Export!$A2380="","",IFERROR(VLOOKUP(LOWER(TRIM(Raw_Export!D2380)),Maps!$G$2:$I$80,3,FALSE()),"UNMAPPED"))</f>
        <v/>
      </c>
      <c r="F2380" s="36" t="str">
        <f aca="false">IF(Raw_Export!$A2380="","",IFERROR(VALUE(TRIM(Raw_Export!E2380)),0))</f>
        <v/>
      </c>
      <c r="G2380" s="38" t="str">
        <f aca="false">IF(Raw_Export!$A2380="","",IFERROR(VALUE(SUBSTITUTE(SUBSTITUTE(UPPER(TRIM(Raw_Export!F2380)),"KES",""),",","")),0))</f>
        <v/>
      </c>
      <c r="H2380" s="38" t="str">
        <f aca="false">IF(Raw_Export!$A2380="","",F2380*G2380)</f>
        <v/>
      </c>
      <c r="I2380" s="36" t="str">
        <f aca="false">IF(Raw_Export!$A2380="","",IFERROR(VLOOKUP(LOWER(TRIM(Raw_Export!H2380)),Maps!$D$2:$E$12,2,FALSE()),"Other"))</f>
        <v/>
      </c>
      <c r="J2380" s="36" t="str">
        <f aca="false">IF(Raw_Export!$A2380="","",IF(COUNTIF($A$2:A2380,A2380)&gt;1,"Duplicate",""))</f>
        <v/>
      </c>
      <c r="K2380" s="36" t="str">
        <f aca="false">IF(Raw_Export!$A2380="","",IF(J2380="Duplicate","Duplicate",IF(OR(C2380="UNMAPPED",D2380="UNMAPPED"),"Unmapped",IF(F2380=0,"Blank qty",IF(F2380&lt;0,"Return","OK")))))</f>
        <v/>
      </c>
      <c r="L2380" s="36" t="str">
        <f aca="false">IF(Raw_Export!$A2380="","",IF(OR(K2380="OK",K2380="Return"),1,0))</f>
        <v/>
      </c>
      <c r="M2380" s="37" t="str">
        <f aca="false">IF(Raw_Export!$A2380="","",B2380-WEEKDAY(B2380,2)+1)</f>
        <v/>
      </c>
    </row>
    <row r="2381" customFormat="false" ht="15" hidden="false" customHeight="false" outlineLevel="0" collapsed="false">
      <c r="A2381" s="36" t="str">
        <f aca="false">IF(Raw_Export!$A2381="","",TRIM(Raw_Export!A2381))</f>
        <v/>
      </c>
      <c r="B2381" s="37" t="str">
        <f aca="false">IF(Raw_Export!$A2381="","",IF(ISNUMBER(Raw_Export!B2381),Raw_Export!B2381,IF(MID(TRIM(Raw_Export!B2381),5,1)="-",DATE(LEFT(TRIM(Raw_Export!B2381),4),MID(TRIM(Raw_Export!B2381),6,2),RIGHT(TRIM(Raw_Export!B2381),2)),DATE(RIGHT(TRIM(Raw_Export!B2381),4),MATCH(MID(TRIM(Raw_Export!B2381),4,3),{"Jan","Feb","Mar","Apr","May","Jun","Jul","Aug","Sep","Oct","Nov","Dec"},0),LEFT(TRIM(Raw_Export!B2381),2)))))</f>
        <v/>
      </c>
      <c r="C2381" s="36" t="str">
        <f aca="false">IF(Raw_Export!$A2381="","",IFERROR(VLOOKUP(LOWER(TRIM(Raw_Export!C2381)),Maps!$A$2:$B$20,2,FALSE()),"UNMAPPED"))</f>
        <v/>
      </c>
      <c r="D2381" s="36" t="str">
        <f aca="false">IF(Raw_Export!$A2381="","",IFERROR(VLOOKUP(LOWER(TRIM(Raw_Export!D2381)),Maps!$G$2:$I$80,2,FALSE()),"UNMAPPED"))</f>
        <v/>
      </c>
      <c r="E2381" s="36" t="str">
        <f aca="false">IF(Raw_Export!$A2381="","",IFERROR(VLOOKUP(LOWER(TRIM(Raw_Export!D2381)),Maps!$G$2:$I$80,3,FALSE()),"UNMAPPED"))</f>
        <v/>
      </c>
      <c r="F2381" s="36" t="str">
        <f aca="false">IF(Raw_Export!$A2381="","",IFERROR(VALUE(TRIM(Raw_Export!E2381)),0))</f>
        <v/>
      </c>
      <c r="G2381" s="38" t="str">
        <f aca="false">IF(Raw_Export!$A2381="","",IFERROR(VALUE(SUBSTITUTE(SUBSTITUTE(UPPER(TRIM(Raw_Export!F2381)),"KES",""),",","")),0))</f>
        <v/>
      </c>
      <c r="H2381" s="38" t="str">
        <f aca="false">IF(Raw_Export!$A2381="","",F2381*G2381)</f>
        <v/>
      </c>
      <c r="I2381" s="36" t="str">
        <f aca="false">IF(Raw_Export!$A2381="","",IFERROR(VLOOKUP(LOWER(TRIM(Raw_Export!H2381)),Maps!$D$2:$E$12,2,FALSE()),"Other"))</f>
        <v/>
      </c>
      <c r="J2381" s="36" t="str">
        <f aca="false">IF(Raw_Export!$A2381="","",IF(COUNTIF($A$2:A2381,A2381)&gt;1,"Duplicate",""))</f>
        <v/>
      </c>
      <c r="K2381" s="36" t="str">
        <f aca="false">IF(Raw_Export!$A2381="","",IF(J2381="Duplicate","Duplicate",IF(OR(C2381="UNMAPPED",D2381="UNMAPPED"),"Unmapped",IF(F2381=0,"Blank qty",IF(F2381&lt;0,"Return","OK")))))</f>
        <v/>
      </c>
      <c r="L2381" s="36" t="str">
        <f aca="false">IF(Raw_Export!$A2381="","",IF(OR(K2381="OK",K2381="Return"),1,0))</f>
        <v/>
      </c>
      <c r="M2381" s="37" t="str">
        <f aca="false">IF(Raw_Export!$A2381="","",B2381-WEEKDAY(B2381,2)+1)</f>
        <v/>
      </c>
    </row>
    <row r="2382" customFormat="false" ht="15" hidden="false" customHeight="false" outlineLevel="0" collapsed="false">
      <c r="A2382" s="36" t="str">
        <f aca="false">IF(Raw_Export!$A2382="","",TRIM(Raw_Export!A2382))</f>
        <v/>
      </c>
      <c r="B2382" s="37" t="str">
        <f aca="false">IF(Raw_Export!$A2382="","",IF(ISNUMBER(Raw_Export!B2382),Raw_Export!B2382,IF(MID(TRIM(Raw_Export!B2382),5,1)="-",DATE(LEFT(TRIM(Raw_Export!B2382),4),MID(TRIM(Raw_Export!B2382),6,2),RIGHT(TRIM(Raw_Export!B2382),2)),DATE(RIGHT(TRIM(Raw_Export!B2382),4),MATCH(MID(TRIM(Raw_Export!B2382),4,3),{"Jan","Feb","Mar","Apr","May","Jun","Jul","Aug","Sep","Oct","Nov","Dec"},0),LEFT(TRIM(Raw_Export!B2382),2)))))</f>
        <v/>
      </c>
      <c r="C2382" s="36" t="str">
        <f aca="false">IF(Raw_Export!$A2382="","",IFERROR(VLOOKUP(LOWER(TRIM(Raw_Export!C2382)),Maps!$A$2:$B$20,2,FALSE()),"UNMAPPED"))</f>
        <v/>
      </c>
      <c r="D2382" s="36" t="str">
        <f aca="false">IF(Raw_Export!$A2382="","",IFERROR(VLOOKUP(LOWER(TRIM(Raw_Export!D2382)),Maps!$G$2:$I$80,2,FALSE()),"UNMAPPED"))</f>
        <v/>
      </c>
      <c r="E2382" s="36" t="str">
        <f aca="false">IF(Raw_Export!$A2382="","",IFERROR(VLOOKUP(LOWER(TRIM(Raw_Export!D2382)),Maps!$G$2:$I$80,3,FALSE()),"UNMAPPED"))</f>
        <v/>
      </c>
      <c r="F2382" s="36" t="str">
        <f aca="false">IF(Raw_Export!$A2382="","",IFERROR(VALUE(TRIM(Raw_Export!E2382)),0))</f>
        <v/>
      </c>
      <c r="G2382" s="38" t="str">
        <f aca="false">IF(Raw_Export!$A2382="","",IFERROR(VALUE(SUBSTITUTE(SUBSTITUTE(UPPER(TRIM(Raw_Export!F2382)),"KES",""),",","")),0))</f>
        <v/>
      </c>
      <c r="H2382" s="38" t="str">
        <f aca="false">IF(Raw_Export!$A2382="","",F2382*G2382)</f>
        <v/>
      </c>
      <c r="I2382" s="36" t="str">
        <f aca="false">IF(Raw_Export!$A2382="","",IFERROR(VLOOKUP(LOWER(TRIM(Raw_Export!H2382)),Maps!$D$2:$E$12,2,FALSE()),"Other"))</f>
        <v/>
      </c>
      <c r="J2382" s="36" t="str">
        <f aca="false">IF(Raw_Export!$A2382="","",IF(COUNTIF($A$2:A2382,A2382)&gt;1,"Duplicate",""))</f>
        <v/>
      </c>
      <c r="K2382" s="36" t="str">
        <f aca="false">IF(Raw_Export!$A2382="","",IF(J2382="Duplicate","Duplicate",IF(OR(C2382="UNMAPPED",D2382="UNMAPPED"),"Unmapped",IF(F2382=0,"Blank qty",IF(F2382&lt;0,"Return","OK")))))</f>
        <v/>
      </c>
      <c r="L2382" s="36" t="str">
        <f aca="false">IF(Raw_Export!$A2382="","",IF(OR(K2382="OK",K2382="Return"),1,0))</f>
        <v/>
      </c>
      <c r="M2382" s="37" t="str">
        <f aca="false">IF(Raw_Export!$A2382="","",B2382-WEEKDAY(B2382,2)+1)</f>
        <v/>
      </c>
    </row>
    <row r="2383" customFormat="false" ht="15" hidden="false" customHeight="false" outlineLevel="0" collapsed="false">
      <c r="A2383" s="36" t="str">
        <f aca="false">IF(Raw_Export!$A2383="","",TRIM(Raw_Export!A2383))</f>
        <v/>
      </c>
      <c r="B2383" s="37" t="str">
        <f aca="false">IF(Raw_Export!$A2383="","",IF(ISNUMBER(Raw_Export!B2383),Raw_Export!B2383,IF(MID(TRIM(Raw_Export!B2383),5,1)="-",DATE(LEFT(TRIM(Raw_Export!B2383),4),MID(TRIM(Raw_Export!B2383),6,2),RIGHT(TRIM(Raw_Export!B2383),2)),DATE(RIGHT(TRIM(Raw_Export!B2383),4),MATCH(MID(TRIM(Raw_Export!B2383),4,3),{"Jan","Feb","Mar","Apr","May","Jun","Jul","Aug","Sep","Oct","Nov","Dec"},0),LEFT(TRIM(Raw_Export!B2383),2)))))</f>
        <v/>
      </c>
      <c r="C2383" s="36" t="str">
        <f aca="false">IF(Raw_Export!$A2383="","",IFERROR(VLOOKUP(LOWER(TRIM(Raw_Export!C2383)),Maps!$A$2:$B$20,2,FALSE()),"UNMAPPED"))</f>
        <v/>
      </c>
      <c r="D2383" s="36" t="str">
        <f aca="false">IF(Raw_Export!$A2383="","",IFERROR(VLOOKUP(LOWER(TRIM(Raw_Export!D2383)),Maps!$G$2:$I$80,2,FALSE()),"UNMAPPED"))</f>
        <v/>
      </c>
      <c r="E2383" s="36" t="str">
        <f aca="false">IF(Raw_Export!$A2383="","",IFERROR(VLOOKUP(LOWER(TRIM(Raw_Export!D2383)),Maps!$G$2:$I$80,3,FALSE()),"UNMAPPED"))</f>
        <v/>
      </c>
      <c r="F2383" s="36" t="str">
        <f aca="false">IF(Raw_Export!$A2383="","",IFERROR(VALUE(TRIM(Raw_Export!E2383)),0))</f>
        <v/>
      </c>
      <c r="G2383" s="38" t="str">
        <f aca="false">IF(Raw_Export!$A2383="","",IFERROR(VALUE(SUBSTITUTE(SUBSTITUTE(UPPER(TRIM(Raw_Export!F2383)),"KES",""),",","")),0))</f>
        <v/>
      </c>
      <c r="H2383" s="38" t="str">
        <f aca="false">IF(Raw_Export!$A2383="","",F2383*G2383)</f>
        <v/>
      </c>
      <c r="I2383" s="36" t="str">
        <f aca="false">IF(Raw_Export!$A2383="","",IFERROR(VLOOKUP(LOWER(TRIM(Raw_Export!H2383)),Maps!$D$2:$E$12,2,FALSE()),"Other"))</f>
        <v/>
      </c>
      <c r="J2383" s="36" t="str">
        <f aca="false">IF(Raw_Export!$A2383="","",IF(COUNTIF($A$2:A2383,A2383)&gt;1,"Duplicate",""))</f>
        <v/>
      </c>
      <c r="K2383" s="36" t="str">
        <f aca="false">IF(Raw_Export!$A2383="","",IF(J2383="Duplicate","Duplicate",IF(OR(C2383="UNMAPPED",D2383="UNMAPPED"),"Unmapped",IF(F2383=0,"Blank qty",IF(F2383&lt;0,"Return","OK")))))</f>
        <v/>
      </c>
      <c r="L2383" s="36" t="str">
        <f aca="false">IF(Raw_Export!$A2383="","",IF(OR(K2383="OK",K2383="Return"),1,0))</f>
        <v/>
      </c>
      <c r="M2383" s="37" t="str">
        <f aca="false">IF(Raw_Export!$A2383="","",B2383-WEEKDAY(B2383,2)+1)</f>
        <v/>
      </c>
    </row>
    <row r="2384" customFormat="false" ht="15" hidden="false" customHeight="false" outlineLevel="0" collapsed="false">
      <c r="A2384" s="36" t="str">
        <f aca="false">IF(Raw_Export!$A2384="","",TRIM(Raw_Export!A2384))</f>
        <v/>
      </c>
      <c r="B2384" s="37" t="str">
        <f aca="false">IF(Raw_Export!$A2384="","",IF(ISNUMBER(Raw_Export!B2384),Raw_Export!B2384,IF(MID(TRIM(Raw_Export!B2384),5,1)="-",DATE(LEFT(TRIM(Raw_Export!B2384),4),MID(TRIM(Raw_Export!B2384),6,2),RIGHT(TRIM(Raw_Export!B2384),2)),DATE(RIGHT(TRIM(Raw_Export!B2384),4),MATCH(MID(TRIM(Raw_Export!B2384),4,3),{"Jan","Feb","Mar","Apr","May","Jun","Jul","Aug","Sep","Oct","Nov","Dec"},0),LEFT(TRIM(Raw_Export!B2384),2)))))</f>
        <v/>
      </c>
      <c r="C2384" s="36" t="str">
        <f aca="false">IF(Raw_Export!$A2384="","",IFERROR(VLOOKUP(LOWER(TRIM(Raw_Export!C2384)),Maps!$A$2:$B$20,2,FALSE()),"UNMAPPED"))</f>
        <v/>
      </c>
      <c r="D2384" s="36" t="str">
        <f aca="false">IF(Raw_Export!$A2384="","",IFERROR(VLOOKUP(LOWER(TRIM(Raw_Export!D2384)),Maps!$G$2:$I$80,2,FALSE()),"UNMAPPED"))</f>
        <v/>
      </c>
      <c r="E2384" s="36" t="str">
        <f aca="false">IF(Raw_Export!$A2384="","",IFERROR(VLOOKUP(LOWER(TRIM(Raw_Export!D2384)),Maps!$G$2:$I$80,3,FALSE()),"UNMAPPED"))</f>
        <v/>
      </c>
      <c r="F2384" s="36" t="str">
        <f aca="false">IF(Raw_Export!$A2384="","",IFERROR(VALUE(TRIM(Raw_Export!E2384)),0))</f>
        <v/>
      </c>
      <c r="G2384" s="38" t="str">
        <f aca="false">IF(Raw_Export!$A2384="","",IFERROR(VALUE(SUBSTITUTE(SUBSTITUTE(UPPER(TRIM(Raw_Export!F2384)),"KES",""),",","")),0))</f>
        <v/>
      </c>
      <c r="H2384" s="38" t="str">
        <f aca="false">IF(Raw_Export!$A2384="","",F2384*G2384)</f>
        <v/>
      </c>
      <c r="I2384" s="36" t="str">
        <f aca="false">IF(Raw_Export!$A2384="","",IFERROR(VLOOKUP(LOWER(TRIM(Raw_Export!H2384)),Maps!$D$2:$E$12,2,FALSE()),"Other"))</f>
        <v/>
      </c>
      <c r="J2384" s="36" t="str">
        <f aca="false">IF(Raw_Export!$A2384="","",IF(COUNTIF($A$2:A2384,A2384)&gt;1,"Duplicate",""))</f>
        <v/>
      </c>
      <c r="K2384" s="36" t="str">
        <f aca="false">IF(Raw_Export!$A2384="","",IF(J2384="Duplicate","Duplicate",IF(OR(C2384="UNMAPPED",D2384="UNMAPPED"),"Unmapped",IF(F2384=0,"Blank qty",IF(F2384&lt;0,"Return","OK")))))</f>
        <v/>
      </c>
      <c r="L2384" s="36" t="str">
        <f aca="false">IF(Raw_Export!$A2384="","",IF(OR(K2384="OK",K2384="Return"),1,0))</f>
        <v/>
      </c>
      <c r="M2384" s="37" t="str">
        <f aca="false">IF(Raw_Export!$A2384="","",B2384-WEEKDAY(B2384,2)+1)</f>
        <v/>
      </c>
    </row>
    <row r="2385" customFormat="false" ht="15" hidden="false" customHeight="false" outlineLevel="0" collapsed="false">
      <c r="A2385" s="36" t="str">
        <f aca="false">IF(Raw_Export!$A2385="","",TRIM(Raw_Export!A2385))</f>
        <v/>
      </c>
      <c r="B2385" s="37" t="str">
        <f aca="false">IF(Raw_Export!$A2385="","",IF(ISNUMBER(Raw_Export!B2385),Raw_Export!B2385,IF(MID(TRIM(Raw_Export!B2385),5,1)="-",DATE(LEFT(TRIM(Raw_Export!B2385),4),MID(TRIM(Raw_Export!B2385),6,2),RIGHT(TRIM(Raw_Export!B2385),2)),DATE(RIGHT(TRIM(Raw_Export!B2385),4),MATCH(MID(TRIM(Raw_Export!B2385),4,3),{"Jan","Feb","Mar","Apr","May","Jun","Jul","Aug","Sep","Oct","Nov","Dec"},0),LEFT(TRIM(Raw_Export!B2385),2)))))</f>
        <v/>
      </c>
      <c r="C2385" s="36" t="str">
        <f aca="false">IF(Raw_Export!$A2385="","",IFERROR(VLOOKUP(LOWER(TRIM(Raw_Export!C2385)),Maps!$A$2:$B$20,2,FALSE()),"UNMAPPED"))</f>
        <v/>
      </c>
      <c r="D2385" s="36" t="str">
        <f aca="false">IF(Raw_Export!$A2385="","",IFERROR(VLOOKUP(LOWER(TRIM(Raw_Export!D2385)),Maps!$G$2:$I$80,2,FALSE()),"UNMAPPED"))</f>
        <v/>
      </c>
      <c r="E2385" s="36" t="str">
        <f aca="false">IF(Raw_Export!$A2385="","",IFERROR(VLOOKUP(LOWER(TRIM(Raw_Export!D2385)),Maps!$G$2:$I$80,3,FALSE()),"UNMAPPED"))</f>
        <v/>
      </c>
      <c r="F2385" s="36" t="str">
        <f aca="false">IF(Raw_Export!$A2385="","",IFERROR(VALUE(TRIM(Raw_Export!E2385)),0))</f>
        <v/>
      </c>
      <c r="G2385" s="38" t="str">
        <f aca="false">IF(Raw_Export!$A2385="","",IFERROR(VALUE(SUBSTITUTE(SUBSTITUTE(UPPER(TRIM(Raw_Export!F2385)),"KES",""),",","")),0))</f>
        <v/>
      </c>
      <c r="H2385" s="38" t="str">
        <f aca="false">IF(Raw_Export!$A2385="","",F2385*G2385)</f>
        <v/>
      </c>
      <c r="I2385" s="36" t="str">
        <f aca="false">IF(Raw_Export!$A2385="","",IFERROR(VLOOKUP(LOWER(TRIM(Raw_Export!H2385)),Maps!$D$2:$E$12,2,FALSE()),"Other"))</f>
        <v/>
      </c>
      <c r="J2385" s="36" t="str">
        <f aca="false">IF(Raw_Export!$A2385="","",IF(COUNTIF($A$2:A2385,A2385)&gt;1,"Duplicate",""))</f>
        <v/>
      </c>
      <c r="K2385" s="36" t="str">
        <f aca="false">IF(Raw_Export!$A2385="","",IF(J2385="Duplicate","Duplicate",IF(OR(C2385="UNMAPPED",D2385="UNMAPPED"),"Unmapped",IF(F2385=0,"Blank qty",IF(F2385&lt;0,"Return","OK")))))</f>
        <v/>
      </c>
      <c r="L2385" s="36" t="str">
        <f aca="false">IF(Raw_Export!$A2385="","",IF(OR(K2385="OK",K2385="Return"),1,0))</f>
        <v/>
      </c>
      <c r="M2385" s="37" t="str">
        <f aca="false">IF(Raw_Export!$A2385="","",B2385-WEEKDAY(B2385,2)+1)</f>
        <v/>
      </c>
    </row>
    <row r="2386" customFormat="false" ht="15" hidden="false" customHeight="false" outlineLevel="0" collapsed="false">
      <c r="A2386" s="36" t="str">
        <f aca="false">IF(Raw_Export!$A2386="","",TRIM(Raw_Export!A2386))</f>
        <v/>
      </c>
      <c r="B2386" s="37" t="str">
        <f aca="false">IF(Raw_Export!$A2386="","",IF(ISNUMBER(Raw_Export!B2386),Raw_Export!B2386,IF(MID(TRIM(Raw_Export!B2386),5,1)="-",DATE(LEFT(TRIM(Raw_Export!B2386),4),MID(TRIM(Raw_Export!B2386),6,2),RIGHT(TRIM(Raw_Export!B2386),2)),DATE(RIGHT(TRIM(Raw_Export!B2386),4),MATCH(MID(TRIM(Raw_Export!B2386),4,3),{"Jan","Feb","Mar","Apr","May","Jun","Jul","Aug","Sep","Oct","Nov","Dec"},0),LEFT(TRIM(Raw_Export!B2386),2)))))</f>
        <v/>
      </c>
      <c r="C2386" s="36" t="str">
        <f aca="false">IF(Raw_Export!$A2386="","",IFERROR(VLOOKUP(LOWER(TRIM(Raw_Export!C2386)),Maps!$A$2:$B$20,2,FALSE()),"UNMAPPED"))</f>
        <v/>
      </c>
      <c r="D2386" s="36" t="str">
        <f aca="false">IF(Raw_Export!$A2386="","",IFERROR(VLOOKUP(LOWER(TRIM(Raw_Export!D2386)),Maps!$G$2:$I$80,2,FALSE()),"UNMAPPED"))</f>
        <v/>
      </c>
      <c r="E2386" s="36" t="str">
        <f aca="false">IF(Raw_Export!$A2386="","",IFERROR(VLOOKUP(LOWER(TRIM(Raw_Export!D2386)),Maps!$G$2:$I$80,3,FALSE()),"UNMAPPED"))</f>
        <v/>
      </c>
      <c r="F2386" s="36" t="str">
        <f aca="false">IF(Raw_Export!$A2386="","",IFERROR(VALUE(TRIM(Raw_Export!E2386)),0))</f>
        <v/>
      </c>
      <c r="G2386" s="38" t="str">
        <f aca="false">IF(Raw_Export!$A2386="","",IFERROR(VALUE(SUBSTITUTE(SUBSTITUTE(UPPER(TRIM(Raw_Export!F2386)),"KES",""),",","")),0))</f>
        <v/>
      </c>
      <c r="H2386" s="38" t="str">
        <f aca="false">IF(Raw_Export!$A2386="","",F2386*G2386)</f>
        <v/>
      </c>
      <c r="I2386" s="36" t="str">
        <f aca="false">IF(Raw_Export!$A2386="","",IFERROR(VLOOKUP(LOWER(TRIM(Raw_Export!H2386)),Maps!$D$2:$E$12,2,FALSE()),"Other"))</f>
        <v/>
      </c>
      <c r="J2386" s="36" t="str">
        <f aca="false">IF(Raw_Export!$A2386="","",IF(COUNTIF($A$2:A2386,A2386)&gt;1,"Duplicate",""))</f>
        <v/>
      </c>
      <c r="K2386" s="36" t="str">
        <f aca="false">IF(Raw_Export!$A2386="","",IF(J2386="Duplicate","Duplicate",IF(OR(C2386="UNMAPPED",D2386="UNMAPPED"),"Unmapped",IF(F2386=0,"Blank qty",IF(F2386&lt;0,"Return","OK")))))</f>
        <v/>
      </c>
      <c r="L2386" s="36" t="str">
        <f aca="false">IF(Raw_Export!$A2386="","",IF(OR(K2386="OK",K2386="Return"),1,0))</f>
        <v/>
      </c>
      <c r="M2386" s="37" t="str">
        <f aca="false">IF(Raw_Export!$A2386="","",B2386-WEEKDAY(B2386,2)+1)</f>
        <v/>
      </c>
    </row>
    <row r="2387" customFormat="false" ht="15" hidden="false" customHeight="false" outlineLevel="0" collapsed="false">
      <c r="A2387" s="36" t="str">
        <f aca="false">IF(Raw_Export!$A2387="","",TRIM(Raw_Export!A2387))</f>
        <v/>
      </c>
      <c r="B2387" s="37" t="str">
        <f aca="false">IF(Raw_Export!$A2387="","",IF(ISNUMBER(Raw_Export!B2387),Raw_Export!B2387,IF(MID(TRIM(Raw_Export!B2387),5,1)="-",DATE(LEFT(TRIM(Raw_Export!B2387),4),MID(TRIM(Raw_Export!B2387),6,2),RIGHT(TRIM(Raw_Export!B2387),2)),DATE(RIGHT(TRIM(Raw_Export!B2387),4),MATCH(MID(TRIM(Raw_Export!B2387),4,3),{"Jan","Feb","Mar","Apr","May","Jun","Jul","Aug","Sep","Oct","Nov","Dec"},0),LEFT(TRIM(Raw_Export!B2387),2)))))</f>
        <v/>
      </c>
      <c r="C2387" s="36" t="str">
        <f aca="false">IF(Raw_Export!$A2387="","",IFERROR(VLOOKUP(LOWER(TRIM(Raw_Export!C2387)),Maps!$A$2:$B$20,2,FALSE()),"UNMAPPED"))</f>
        <v/>
      </c>
      <c r="D2387" s="36" t="str">
        <f aca="false">IF(Raw_Export!$A2387="","",IFERROR(VLOOKUP(LOWER(TRIM(Raw_Export!D2387)),Maps!$G$2:$I$80,2,FALSE()),"UNMAPPED"))</f>
        <v/>
      </c>
      <c r="E2387" s="36" t="str">
        <f aca="false">IF(Raw_Export!$A2387="","",IFERROR(VLOOKUP(LOWER(TRIM(Raw_Export!D2387)),Maps!$G$2:$I$80,3,FALSE()),"UNMAPPED"))</f>
        <v/>
      </c>
      <c r="F2387" s="36" t="str">
        <f aca="false">IF(Raw_Export!$A2387="","",IFERROR(VALUE(TRIM(Raw_Export!E2387)),0))</f>
        <v/>
      </c>
      <c r="G2387" s="38" t="str">
        <f aca="false">IF(Raw_Export!$A2387="","",IFERROR(VALUE(SUBSTITUTE(SUBSTITUTE(UPPER(TRIM(Raw_Export!F2387)),"KES",""),",","")),0))</f>
        <v/>
      </c>
      <c r="H2387" s="38" t="str">
        <f aca="false">IF(Raw_Export!$A2387="","",F2387*G2387)</f>
        <v/>
      </c>
      <c r="I2387" s="36" t="str">
        <f aca="false">IF(Raw_Export!$A2387="","",IFERROR(VLOOKUP(LOWER(TRIM(Raw_Export!H2387)),Maps!$D$2:$E$12,2,FALSE()),"Other"))</f>
        <v/>
      </c>
      <c r="J2387" s="36" t="str">
        <f aca="false">IF(Raw_Export!$A2387="","",IF(COUNTIF($A$2:A2387,A2387)&gt;1,"Duplicate",""))</f>
        <v/>
      </c>
      <c r="K2387" s="36" t="str">
        <f aca="false">IF(Raw_Export!$A2387="","",IF(J2387="Duplicate","Duplicate",IF(OR(C2387="UNMAPPED",D2387="UNMAPPED"),"Unmapped",IF(F2387=0,"Blank qty",IF(F2387&lt;0,"Return","OK")))))</f>
        <v/>
      </c>
      <c r="L2387" s="36" t="str">
        <f aca="false">IF(Raw_Export!$A2387="","",IF(OR(K2387="OK",K2387="Return"),1,0))</f>
        <v/>
      </c>
      <c r="M2387" s="37" t="str">
        <f aca="false">IF(Raw_Export!$A2387="","",B2387-WEEKDAY(B2387,2)+1)</f>
        <v/>
      </c>
    </row>
    <row r="2388" customFormat="false" ht="15" hidden="false" customHeight="false" outlineLevel="0" collapsed="false">
      <c r="A2388" s="36" t="str">
        <f aca="false">IF(Raw_Export!$A2388="","",TRIM(Raw_Export!A2388))</f>
        <v/>
      </c>
      <c r="B2388" s="37" t="str">
        <f aca="false">IF(Raw_Export!$A2388="","",IF(ISNUMBER(Raw_Export!B2388),Raw_Export!B2388,IF(MID(TRIM(Raw_Export!B2388),5,1)="-",DATE(LEFT(TRIM(Raw_Export!B2388),4),MID(TRIM(Raw_Export!B2388),6,2),RIGHT(TRIM(Raw_Export!B2388),2)),DATE(RIGHT(TRIM(Raw_Export!B2388),4),MATCH(MID(TRIM(Raw_Export!B2388),4,3),{"Jan","Feb","Mar","Apr","May","Jun","Jul","Aug","Sep","Oct","Nov","Dec"},0),LEFT(TRIM(Raw_Export!B2388),2)))))</f>
        <v/>
      </c>
      <c r="C2388" s="36" t="str">
        <f aca="false">IF(Raw_Export!$A2388="","",IFERROR(VLOOKUP(LOWER(TRIM(Raw_Export!C2388)),Maps!$A$2:$B$20,2,FALSE()),"UNMAPPED"))</f>
        <v/>
      </c>
      <c r="D2388" s="36" t="str">
        <f aca="false">IF(Raw_Export!$A2388="","",IFERROR(VLOOKUP(LOWER(TRIM(Raw_Export!D2388)),Maps!$G$2:$I$80,2,FALSE()),"UNMAPPED"))</f>
        <v/>
      </c>
      <c r="E2388" s="36" t="str">
        <f aca="false">IF(Raw_Export!$A2388="","",IFERROR(VLOOKUP(LOWER(TRIM(Raw_Export!D2388)),Maps!$G$2:$I$80,3,FALSE()),"UNMAPPED"))</f>
        <v/>
      </c>
      <c r="F2388" s="36" t="str">
        <f aca="false">IF(Raw_Export!$A2388="","",IFERROR(VALUE(TRIM(Raw_Export!E2388)),0))</f>
        <v/>
      </c>
      <c r="G2388" s="38" t="str">
        <f aca="false">IF(Raw_Export!$A2388="","",IFERROR(VALUE(SUBSTITUTE(SUBSTITUTE(UPPER(TRIM(Raw_Export!F2388)),"KES",""),",","")),0))</f>
        <v/>
      </c>
      <c r="H2388" s="38" t="str">
        <f aca="false">IF(Raw_Export!$A2388="","",F2388*G2388)</f>
        <v/>
      </c>
      <c r="I2388" s="36" t="str">
        <f aca="false">IF(Raw_Export!$A2388="","",IFERROR(VLOOKUP(LOWER(TRIM(Raw_Export!H2388)),Maps!$D$2:$E$12,2,FALSE()),"Other"))</f>
        <v/>
      </c>
      <c r="J2388" s="36" t="str">
        <f aca="false">IF(Raw_Export!$A2388="","",IF(COUNTIF($A$2:A2388,A2388)&gt;1,"Duplicate",""))</f>
        <v/>
      </c>
      <c r="K2388" s="36" t="str">
        <f aca="false">IF(Raw_Export!$A2388="","",IF(J2388="Duplicate","Duplicate",IF(OR(C2388="UNMAPPED",D2388="UNMAPPED"),"Unmapped",IF(F2388=0,"Blank qty",IF(F2388&lt;0,"Return","OK")))))</f>
        <v/>
      </c>
      <c r="L2388" s="36" t="str">
        <f aca="false">IF(Raw_Export!$A2388="","",IF(OR(K2388="OK",K2388="Return"),1,0))</f>
        <v/>
      </c>
      <c r="M2388" s="37" t="str">
        <f aca="false">IF(Raw_Export!$A2388="","",B2388-WEEKDAY(B2388,2)+1)</f>
        <v/>
      </c>
    </row>
    <row r="2389" customFormat="false" ht="15" hidden="false" customHeight="false" outlineLevel="0" collapsed="false">
      <c r="A2389" s="36" t="str">
        <f aca="false">IF(Raw_Export!$A2389="","",TRIM(Raw_Export!A2389))</f>
        <v/>
      </c>
      <c r="B2389" s="37" t="str">
        <f aca="false">IF(Raw_Export!$A2389="","",IF(ISNUMBER(Raw_Export!B2389),Raw_Export!B2389,IF(MID(TRIM(Raw_Export!B2389),5,1)="-",DATE(LEFT(TRIM(Raw_Export!B2389),4),MID(TRIM(Raw_Export!B2389),6,2),RIGHT(TRIM(Raw_Export!B2389),2)),DATE(RIGHT(TRIM(Raw_Export!B2389),4),MATCH(MID(TRIM(Raw_Export!B2389),4,3),{"Jan","Feb","Mar","Apr","May","Jun","Jul","Aug","Sep","Oct","Nov","Dec"},0),LEFT(TRIM(Raw_Export!B2389),2)))))</f>
        <v/>
      </c>
      <c r="C2389" s="36" t="str">
        <f aca="false">IF(Raw_Export!$A2389="","",IFERROR(VLOOKUP(LOWER(TRIM(Raw_Export!C2389)),Maps!$A$2:$B$20,2,FALSE()),"UNMAPPED"))</f>
        <v/>
      </c>
      <c r="D2389" s="36" t="str">
        <f aca="false">IF(Raw_Export!$A2389="","",IFERROR(VLOOKUP(LOWER(TRIM(Raw_Export!D2389)),Maps!$G$2:$I$80,2,FALSE()),"UNMAPPED"))</f>
        <v/>
      </c>
      <c r="E2389" s="36" t="str">
        <f aca="false">IF(Raw_Export!$A2389="","",IFERROR(VLOOKUP(LOWER(TRIM(Raw_Export!D2389)),Maps!$G$2:$I$80,3,FALSE()),"UNMAPPED"))</f>
        <v/>
      </c>
      <c r="F2389" s="36" t="str">
        <f aca="false">IF(Raw_Export!$A2389="","",IFERROR(VALUE(TRIM(Raw_Export!E2389)),0))</f>
        <v/>
      </c>
      <c r="G2389" s="38" t="str">
        <f aca="false">IF(Raw_Export!$A2389="","",IFERROR(VALUE(SUBSTITUTE(SUBSTITUTE(UPPER(TRIM(Raw_Export!F2389)),"KES",""),",","")),0))</f>
        <v/>
      </c>
      <c r="H2389" s="38" t="str">
        <f aca="false">IF(Raw_Export!$A2389="","",F2389*G2389)</f>
        <v/>
      </c>
      <c r="I2389" s="36" t="str">
        <f aca="false">IF(Raw_Export!$A2389="","",IFERROR(VLOOKUP(LOWER(TRIM(Raw_Export!H2389)),Maps!$D$2:$E$12,2,FALSE()),"Other"))</f>
        <v/>
      </c>
      <c r="J2389" s="36" t="str">
        <f aca="false">IF(Raw_Export!$A2389="","",IF(COUNTIF($A$2:A2389,A2389)&gt;1,"Duplicate",""))</f>
        <v/>
      </c>
      <c r="K2389" s="36" t="str">
        <f aca="false">IF(Raw_Export!$A2389="","",IF(J2389="Duplicate","Duplicate",IF(OR(C2389="UNMAPPED",D2389="UNMAPPED"),"Unmapped",IF(F2389=0,"Blank qty",IF(F2389&lt;0,"Return","OK")))))</f>
        <v/>
      </c>
      <c r="L2389" s="36" t="str">
        <f aca="false">IF(Raw_Export!$A2389="","",IF(OR(K2389="OK",K2389="Return"),1,0))</f>
        <v/>
      </c>
      <c r="M2389" s="37" t="str">
        <f aca="false">IF(Raw_Export!$A2389="","",B2389-WEEKDAY(B2389,2)+1)</f>
        <v/>
      </c>
    </row>
    <row r="2390" customFormat="false" ht="15" hidden="false" customHeight="false" outlineLevel="0" collapsed="false">
      <c r="A2390" s="36" t="str">
        <f aca="false">IF(Raw_Export!$A2390="","",TRIM(Raw_Export!A2390))</f>
        <v/>
      </c>
      <c r="B2390" s="37" t="str">
        <f aca="false">IF(Raw_Export!$A2390="","",IF(ISNUMBER(Raw_Export!B2390),Raw_Export!B2390,IF(MID(TRIM(Raw_Export!B2390),5,1)="-",DATE(LEFT(TRIM(Raw_Export!B2390),4),MID(TRIM(Raw_Export!B2390),6,2),RIGHT(TRIM(Raw_Export!B2390),2)),DATE(RIGHT(TRIM(Raw_Export!B2390),4),MATCH(MID(TRIM(Raw_Export!B2390),4,3),{"Jan","Feb","Mar","Apr","May","Jun","Jul","Aug","Sep","Oct","Nov","Dec"},0),LEFT(TRIM(Raw_Export!B2390),2)))))</f>
        <v/>
      </c>
      <c r="C2390" s="36" t="str">
        <f aca="false">IF(Raw_Export!$A2390="","",IFERROR(VLOOKUP(LOWER(TRIM(Raw_Export!C2390)),Maps!$A$2:$B$20,2,FALSE()),"UNMAPPED"))</f>
        <v/>
      </c>
      <c r="D2390" s="36" t="str">
        <f aca="false">IF(Raw_Export!$A2390="","",IFERROR(VLOOKUP(LOWER(TRIM(Raw_Export!D2390)),Maps!$G$2:$I$80,2,FALSE()),"UNMAPPED"))</f>
        <v/>
      </c>
      <c r="E2390" s="36" t="str">
        <f aca="false">IF(Raw_Export!$A2390="","",IFERROR(VLOOKUP(LOWER(TRIM(Raw_Export!D2390)),Maps!$G$2:$I$80,3,FALSE()),"UNMAPPED"))</f>
        <v/>
      </c>
      <c r="F2390" s="36" t="str">
        <f aca="false">IF(Raw_Export!$A2390="","",IFERROR(VALUE(TRIM(Raw_Export!E2390)),0))</f>
        <v/>
      </c>
      <c r="G2390" s="38" t="str">
        <f aca="false">IF(Raw_Export!$A2390="","",IFERROR(VALUE(SUBSTITUTE(SUBSTITUTE(UPPER(TRIM(Raw_Export!F2390)),"KES",""),",","")),0))</f>
        <v/>
      </c>
      <c r="H2390" s="38" t="str">
        <f aca="false">IF(Raw_Export!$A2390="","",F2390*G2390)</f>
        <v/>
      </c>
      <c r="I2390" s="36" t="str">
        <f aca="false">IF(Raw_Export!$A2390="","",IFERROR(VLOOKUP(LOWER(TRIM(Raw_Export!H2390)),Maps!$D$2:$E$12,2,FALSE()),"Other"))</f>
        <v/>
      </c>
      <c r="J2390" s="36" t="str">
        <f aca="false">IF(Raw_Export!$A2390="","",IF(COUNTIF($A$2:A2390,A2390)&gt;1,"Duplicate",""))</f>
        <v/>
      </c>
      <c r="K2390" s="36" t="str">
        <f aca="false">IF(Raw_Export!$A2390="","",IF(J2390="Duplicate","Duplicate",IF(OR(C2390="UNMAPPED",D2390="UNMAPPED"),"Unmapped",IF(F2390=0,"Blank qty",IF(F2390&lt;0,"Return","OK")))))</f>
        <v/>
      </c>
      <c r="L2390" s="36" t="str">
        <f aca="false">IF(Raw_Export!$A2390="","",IF(OR(K2390="OK",K2390="Return"),1,0))</f>
        <v/>
      </c>
      <c r="M2390" s="37" t="str">
        <f aca="false">IF(Raw_Export!$A2390="","",B2390-WEEKDAY(B2390,2)+1)</f>
        <v/>
      </c>
    </row>
    <row r="2391" customFormat="false" ht="15" hidden="false" customHeight="false" outlineLevel="0" collapsed="false">
      <c r="A2391" s="36" t="str">
        <f aca="false">IF(Raw_Export!$A2391="","",TRIM(Raw_Export!A2391))</f>
        <v/>
      </c>
      <c r="B2391" s="37" t="str">
        <f aca="false">IF(Raw_Export!$A2391="","",IF(ISNUMBER(Raw_Export!B2391),Raw_Export!B2391,IF(MID(TRIM(Raw_Export!B2391),5,1)="-",DATE(LEFT(TRIM(Raw_Export!B2391),4),MID(TRIM(Raw_Export!B2391),6,2),RIGHT(TRIM(Raw_Export!B2391),2)),DATE(RIGHT(TRIM(Raw_Export!B2391),4),MATCH(MID(TRIM(Raw_Export!B2391),4,3),{"Jan","Feb","Mar","Apr","May","Jun","Jul","Aug","Sep","Oct","Nov","Dec"},0),LEFT(TRIM(Raw_Export!B2391),2)))))</f>
        <v/>
      </c>
      <c r="C2391" s="36" t="str">
        <f aca="false">IF(Raw_Export!$A2391="","",IFERROR(VLOOKUP(LOWER(TRIM(Raw_Export!C2391)),Maps!$A$2:$B$20,2,FALSE()),"UNMAPPED"))</f>
        <v/>
      </c>
      <c r="D2391" s="36" t="str">
        <f aca="false">IF(Raw_Export!$A2391="","",IFERROR(VLOOKUP(LOWER(TRIM(Raw_Export!D2391)),Maps!$G$2:$I$80,2,FALSE()),"UNMAPPED"))</f>
        <v/>
      </c>
      <c r="E2391" s="36" t="str">
        <f aca="false">IF(Raw_Export!$A2391="","",IFERROR(VLOOKUP(LOWER(TRIM(Raw_Export!D2391)),Maps!$G$2:$I$80,3,FALSE()),"UNMAPPED"))</f>
        <v/>
      </c>
      <c r="F2391" s="36" t="str">
        <f aca="false">IF(Raw_Export!$A2391="","",IFERROR(VALUE(TRIM(Raw_Export!E2391)),0))</f>
        <v/>
      </c>
      <c r="G2391" s="38" t="str">
        <f aca="false">IF(Raw_Export!$A2391="","",IFERROR(VALUE(SUBSTITUTE(SUBSTITUTE(UPPER(TRIM(Raw_Export!F2391)),"KES",""),",","")),0))</f>
        <v/>
      </c>
      <c r="H2391" s="38" t="str">
        <f aca="false">IF(Raw_Export!$A2391="","",F2391*G2391)</f>
        <v/>
      </c>
      <c r="I2391" s="36" t="str">
        <f aca="false">IF(Raw_Export!$A2391="","",IFERROR(VLOOKUP(LOWER(TRIM(Raw_Export!H2391)),Maps!$D$2:$E$12,2,FALSE()),"Other"))</f>
        <v/>
      </c>
      <c r="J2391" s="36" t="str">
        <f aca="false">IF(Raw_Export!$A2391="","",IF(COUNTIF($A$2:A2391,A2391)&gt;1,"Duplicate",""))</f>
        <v/>
      </c>
      <c r="K2391" s="36" t="str">
        <f aca="false">IF(Raw_Export!$A2391="","",IF(J2391="Duplicate","Duplicate",IF(OR(C2391="UNMAPPED",D2391="UNMAPPED"),"Unmapped",IF(F2391=0,"Blank qty",IF(F2391&lt;0,"Return","OK")))))</f>
        <v/>
      </c>
      <c r="L2391" s="36" t="str">
        <f aca="false">IF(Raw_Export!$A2391="","",IF(OR(K2391="OK",K2391="Return"),1,0))</f>
        <v/>
      </c>
      <c r="M2391" s="37" t="str">
        <f aca="false">IF(Raw_Export!$A2391="","",B2391-WEEKDAY(B2391,2)+1)</f>
        <v/>
      </c>
    </row>
    <row r="2392" customFormat="false" ht="15" hidden="false" customHeight="false" outlineLevel="0" collapsed="false">
      <c r="A2392" s="36" t="str">
        <f aca="false">IF(Raw_Export!$A2392="","",TRIM(Raw_Export!A2392))</f>
        <v/>
      </c>
      <c r="B2392" s="37" t="str">
        <f aca="false">IF(Raw_Export!$A2392="","",IF(ISNUMBER(Raw_Export!B2392),Raw_Export!B2392,IF(MID(TRIM(Raw_Export!B2392),5,1)="-",DATE(LEFT(TRIM(Raw_Export!B2392),4),MID(TRIM(Raw_Export!B2392),6,2),RIGHT(TRIM(Raw_Export!B2392),2)),DATE(RIGHT(TRIM(Raw_Export!B2392),4),MATCH(MID(TRIM(Raw_Export!B2392),4,3),{"Jan","Feb","Mar","Apr","May","Jun","Jul","Aug","Sep","Oct","Nov","Dec"},0),LEFT(TRIM(Raw_Export!B2392),2)))))</f>
        <v/>
      </c>
      <c r="C2392" s="36" t="str">
        <f aca="false">IF(Raw_Export!$A2392="","",IFERROR(VLOOKUP(LOWER(TRIM(Raw_Export!C2392)),Maps!$A$2:$B$20,2,FALSE()),"UNMAPPED"))</f>
        <v/>
      </c>
      <c r="D2392" s="36" t="str">
        <f aca="false">IF(Raw_Export!$A2392="","",IFERROR(VLOOKUP(LOWER(TRIM(Raw_Export!D2392)),Maps!$G$2:$I$80,2,FALSE()),"UNMAPPED"))</f>
        <v/>
      </c>
      <c r="E2392" s="36" t="str">
        <f aca="false">IF(Raw_Export!$A2392="","",IFERROR(VLOOKUP(LOWER(TRIM(Raw_Export!D2392)),Maps!$G$2:$I$80,3,FALSE()),"UNMAPPED"))</f>
        <v/>
      </c>
      <c r="F2392" s="36" t="str">
        <f aca="false">IF(Raw_Export!$A2392="","",IFERROR(VALUE(TRIM(Raw_Export!E2392)),0))</f>
        <v/>
      </c>
      <c r="G2392" s="38" t="str">
        <f aca="false">IF(Raw_Export!$A2392="","",IFERROR(VALUE(SUBSTITUTE(SUBSTITUTE(UPPER(TRIM(Raw_Export!F2392)),"KES",""),",","")),0))</f>
        <v/>
      </c>
      <c r="H2392" s="38" t="str">
        <f aca="false">IF(Raw_Export!$A2392="","",F2392*G2392)</f>
        <v/>
      </c>
      <c r="I2392" s="36" t="str">
        <f aca="false">IF(Raw_Export!$A2392="","",IFERROR(VLOOKUP(LOWER(TRIM(Raw_Export!H2392)),Maps!$D$2:$E$12,2,FALSE()),"Other"))</f>
        <v/>
      </c>
      <c r="J2392" s="36" t="str">
        <f aca="false">IF(Raw_Export!$A2392="","",IF(COUNTIF($A$2:A2392,A2392)&gt;1,"Duplicate",""))</f>
        <v/>
      </c>
      <c r="K2392" s="36" t="str">
        <f aca="false">IF(Raw_Export!$A2392="","",IF(J2392="Duplicate","Duplicate",IF(OR(C2392="UNMAPPED",D2392="UNMAPPED"),"Unmapped",IF(F2392=0,"Blank qty",IF(F2392&lt;0,"Return","OK")))))</f>
        <v/>
      </c>
      <c r="L2392" s="36" t="str">
        <f aca="false">IF(Raw_Export!$A2392="","",IF(OR(K2392="OK",K2392="Return"),1,0))</f>
        <v/>
      </c>
      <c r="M2392" s="37" t="str">
        <f aca="false">IF(Raw_Export!$A2392="","",B2392-WEEKDAY(B2392,2)+1)</f>
        <v/>
      </c>
    </row>
    <row r="2393" customFormat="false" ht="15" hidden="false" customHeight="false" outlineLevel="0" collapsed="false">
      <c r="A2393" s="36" t="str">
        <f aca="false">IF(Raw_Export!$A2393="","",TRIM(Raw_Export!A2393))</f>
        <v/>
      </c>
      <c r="B2393" s="37" t="str">
        <f aca="false">IF(Raw_Export!$A2393="","",IF(ISNUMBER(Raw_Export!B2393),Raw_Export!B2393,IF(MID(TRIM(Raw_Export!B2393),5,1)="-",DATE(LEFT(TRIM(Raw_Export!B2393),4),MID(TRIM(Raw_Export!B2393),6,2),RIGHT(TRIM(Raw_Export!B2393),2)),DATE(RIGHT(TRIM(Raw_Export!B2393),4),MATCH(MID(TRIM(Raw_Export!B2393),4,3),{"Jan","Feb","Mar","Apr","May","Jun","Jul","Aug","Sep","Oct","Nov","Dec"},0),LEFT(TRIM(Raw_Export!B2393),2)))))</f>
        <v/>
      </c>
      <c r="C2393" s="36" t="str">
        <f aca="false">IF(Raw_Export!$A2393="","",IFERROR(VLOOKUP(LOWER(TRIM(Raw_Export!C2393)),Maps!$A$2:$B$20,2,FALSE()),"UNMAPPED"))</f>
        <v/>
      </c>
      <c r="D2393" s="36" t="str">
        <f aca="false">IF(Raw_Export!$A2393="","",IFERROR(VLOOKUP(LOWER(TRIM(Raw_Export!D2393)),Maps!$G$2:$I$80,2,FALSE()),"UNMAPPED"))</f>
        <v/>
      </c>
      <c r="E2393" s="36" t="str">
        <f aca="false">IF(Raw_Export!$A2393="","",IFERROR(VLOOKUP(LOWER(TRIM(Raw_Export!D2393)),Maps!$G$2:$I$80,3,FALSE()),"UNMAPPED"))</f>
        <v/>
      </c>
      <c r="F2393" s="36" t="str">
        <f aca="false">IF(Raw_Export!$A2393="","",IFERROR(VALUE(TRIM(Raw_Export!E2393)),0))</f>
        <v/>
      </c>
      <c r="G2393" s="38" t="str">
        <f aca="false">IF(Raw_Export!$A2393="","",IFERROR(VALUE(SUBSTITUTE(SUBSTITUTE(UPPER(TRIM(Raw_Export!F2393)),"KES",""),",","")),0))</f>
        <v/>
      </c>
      <c r="H2393" s="38" t="str">
        <f aca="false">IF(Raw_Export!$A2393="","",F2393*G2393)</f>
        <v/>
      </c>
      <c r="I2393" s="36" t="str">
        <f aca="false">IF(Raw_Export!$A2393="","",IFERROR(VLOOKUP(LOWER(TRIM(Raw_Export!H2393)),Maps!$D$2:$E$12,2,FALSE()),"Other"))</f>
        <v/>
      </c>
      <c r="J2393" s="36" t="str">
        <f aca="false">IF(Raw_Export!$A2393="","",IF(COUNTIF($A$2:A2393,A2393)&gt;1,"Duplicate",""))</f>
        <v/>
      </c>
      <c r="K2393" s="36" t="str">
        <f aca="false">IF(Raw_Export!$A2393="","",IF(J2393="Duplicate","Duplicate",IF(OR(C2393="UNMAPPED",D2393="UNMAPPED"),"Unmapped",IF(F2393=0,"Blank qty",IF(F2393&lt;0,"Return","OK")))))</f>
        <v/>
      </c>
      <c r="L2393" s="36" t="str">
        <f aca="false">IF(Raw_Export!$A2393="","",IF(OR(K2393="OK",K2393="Return"),1,0))</f>
        <v/>
      </c>
      <c r="M2393" s="37" t="str">
        <f aca="false">IF(Raw_Export!$A2393="","",B2393-WEEKDAY(B2393,2)+1)</f>
        <v/>
      </c>
    </row>
    <row r="2394" customFormat="false" ht="15" hidden="false" customHeight="false" outlineLevel="0" collapsed="false">
      <c r="A2394" s="36" t="str">
        <f aca="false">IF(Raw_Export!$A2394="","",TRIM(Raw_Export!A2394))</f>
        <v/>
      </c>
      <c r="B2394" s="37" t="str">
        <f aca="false">IF(Raw_Export!$A2394="","",IF(ISNUMBER(Raw_Export!B2394),Raw_Export!B2394,IF(MID(TRIM(Raw_Export!B2394),5,1)="-",DATE(LEFT(TRIM(Raw_Export!B2394),4),MID(TRIM(Raw_Export!B2394),6,2),RIGHT(TRIM(Raw_Export!B2394),2)),DATE(RIGHT(TRIM(Raw_Export!B2394),4),MATCH(MID(TRIM(Raw_Export!B2394),4,3),{"Jan","Feb","Mar","Apr","May","Jun","Jul","Aug","Sep","Oct","Nov","Dec"},0),LEFT(TRIM(Raw_Export!B2394),2)))))</f>
        <v/>
      </c>
      <c r="C2394" s="36" t="str">
        <f aca="false">IF(Raw_Export!$A2394="","",IFERROR(VLOOKUP(LOWER(TRIM(Raw_Export!C2394)),Maps!$A$2:$B$20,2,FALSE()),"UNMAPPED"))</f>
        <v/>
      </c>
      <c r="D2394" s="36" t="str">
        <f aca="false">IF(Raw_Export!$A2394="","",IFERROR(VLOOKUP(LOWER(TRIM(Raw_Export!D2394)),Maps!$G$2:$I$80,2,FALSE()),"UNMAPPED"))</f>
        <v/>
      </c>
      <c r="E2394" s="36" t="str">
        <f aca="false">IF(Raw_Export!$A2394="","",IFERROR(VLOOKUP(LOWER(TRIM(Raw_Export!D2394)),Maps!$G$2:$I$80,3,FALSE()),"UNMAPPED"))</f>
        <v/>
      </c>
      <c r="F2394" s="36" t="str">
        <f aca="false">IF(Raw_Export!$A2394="","",IFERROR(VALUE(TRIM(Raw_Export!E2394)),0))</f>
        <v/>
      </c>
      <c r="G2394" s="38" t="str">
        <f aca="false">IF(Raw_Export!$A2394="","",IFERROR(VALUE(SUBSTITUTE(SUBSTITUTE(UPPER(TRIM(Raw_Export!F2394)),"KES",""),",","")),0))</f>
        <v/>
      </c>
      <c r="H2394" s="38" t="str">
        <f aca="false">IF(Raw_Export!$A2394="","",F2394*G2394)</f>
        <v/>
      </c>
      <c r="I2394" s="36" t="str">
        <f aca="false">IF(Raw_Export!$A2394="","",IFERROR(VLOOKUP(LOWER(TRIM(Raw_Export!H2394)),Maps!$D$2:$E$12,2,FALSE()),"Other"))</f>
        <v/>
      </c>
      <c r="J2394" s="36" t="str">
        <f aca="false">IF(Raw_Export!$A2394="","",IF(COUNTIF($A$2:A2394,A2394)&gt;1,"Duplicate",""))</f>
        <v/>
      </c>
      <c r="K2394" s="36" t="str">
        <f aca="false">IF(Raw_Export!$A2394="","",IF(J2394="Duplicate","Duplicate",IF(OR(C2394="UNMAPPED",D2394="UNMAPPED"),"Unmapped",IF(F2394=0,"Blank qty",IF(F2394&lt;0,"Return","OK")))))</f>
        <v/>
      </c>
      <c r="L2394" s="36" t="str">
        <f aca="false">IF(Raw_Export!$A2394="","",IF(OR(K2394="OK",K2394="Return"),1,0))</f>
        <v/>
      </c>
      <c r="M2394" s="37" t="str">
        <f aca="false">IF(Raw_Export!$A2394="","",B2394-WEEKDAY(B2394,2)+1)</f>
        <v/>
      </c>
    </row>
    <row r="2395" customFormat="false" ht="15" hidden="false" customHeight="false" outlineLevel="0" collapsed="false">
      <c r="A2395" s="36" t="str">
        <f aca="false">IF(Raw_Export!$A2395="","",TRIM(Raw_Export!A2395))</f>
        <v/>
      </c>
      <c r="B2395" s="37" t="str">
        <f aca="false">IF(Raw_Export!$A2395="","",IF(ISNUMBER(Raw_Export!B2395),Raw_Export!B2395,IF(MID(TRIM(Raw_Export!B2395),5,1)="-",DATE(LEFT(TRIM(Raw_Export!B2395),4),MID(TRIM(Raw_Export!B2395),6,2),RIGHT(TRIM(Raw_Export!B2395),2)),DATE(RIGHT(TRIM(Raw_Export!B2395),4),MATCH(MID(TRIM(Raw_Export!B2395),4,3),{"Jan","Feb","Mar","Apr","May","Jun","Jul","Aug","Sep","Oct","Nov","Dec"},0),LEFT(TRIM(Raw_Export!B2395),2)))))</f>
        <v/>
      </c>
      <c r="C2395" s="36" t="str">
        <f aca="false">IF(Raw_Export!$A2395="","",IFERROR(VLOOKUP(LOWER(TRIM(Raw_Export!C2395)),Maps!$A$2:$B$20,2,FALSE()),"UNMAPPED"))</f>
        <v/>
      </c>
      <c r="D2395" s="36" t="str">
        <f aca="false">IF(Raw_Export!$A2395="","",IFERROR(VLOOKUP(LOWER(TRIM(Raw_Export!D2395)),Maps!$G$2:$I$80,2,FALSE()),"UNMAPPED"))</f>
        <v/>
      </c>
      <c r="E2395" s="36" t="str">
        <f aca="false">IF(Raw_Export!$A2395="","",IFERROR(VLOOKUP(LOWER(TRIM(Raw_Export!D2395)),Maps!$G$2:$I$80,3,FALSE()),"UNMAPPED"))</f>
        <v/>
      </c>
      <c r="F2395" s="36" t="str">
        <f aca="false">IF(Raw_Export!$A2395="","",IFERROR(VALUE(TRIM(Raw_Export!E2395)),0))</f>
        <v/>
      </c>
      <c r="G2395" s="38" t="str">
        <f aca="false">IF(Raw_Export!$A2395="","",IFERROR(VALUE(SUBSTITUTE(SUBSTITUTE(UPPER(TRIM(Raw_Export!F2395)),"KES",""),",","")),0))</f>
        <v/>
      </c>
      <c r="H2395" s="38" t="str">
        <f aca="false">IF(Raw_Export!$A2395="","",F2395*G2395)</f>
        <v/>
      </c>
      <c r="I2395" s="36" t="str">
        <f aca="false">IF(Raw_Export!$A2395="","",IFERROR(VLOOKUP(LOWER(TRIM(Raw_Export!H2395)),Maps!$D$2:$E$12,2,FALSE()),"Other"))</f>
        <v/>
      </c>
      <c r="J2395" s="36" t="str">
        <f aca="false">IF(Raw_Export!$A2395="","",IF(COUNTIF($A$2:A2395,A2395)&gt;1,"Duplicate",""))</f>
        <v/>
      </c>
      <c r="K2395" s="36" t="str">
        <f aca="false">IF(Raw_Export!$A2395="","",IF(J2395="Duplicate","Duplicate",IF(OR(C2395="UNMAPPED",D2395="UNMAPPED"),"Unmapped",IF(F2395=0,"Blank qty",IF(F2395&lt;0,"Return","OK")))))</f>
        <v/>
      </c>
      <c r="L2395" s="36" t="str">
        <f aca="false">IF(Raw_Export!$A2395="","",IF(OR(K2395="OK",K2395="Return"),1,0))</f>
        <v/>
      </c>
      <c r="M2395" s="37" t="str">
        <f aca="false">IF(Raw_Export!$A2395="","",B2395-WEEKDAY(B2395,2)+1)</f>
        <v/>
      </c>
    </row>
    <row r="2396" customFormat="false" ht="15" hidden="false" customHeight="false" outlineLevel="0" collapsed="false">
      <c r="A2396" s="36" t="str">
        <f aca="false">IF(Raw_Export!$A2396="","",TRIM(Raw_Export!A2396))</f>
        <v/>
      </c>
      <c r="B2396" s="37" t="str">
        <f aca="false">IF(Raw_Export!$A2396="","",IF(ISNUMBER(Raw_Export!B2396),Raw_Export!B2396,IF(MID(TRIM(Raw_Export!B2396),5,1)="-",DATE(LEFT(TRIM(Raw_Export!B2396),4),MID(TRIM(Raw_Export!B2396),6,2),RIGHT(TRIM(Raw_Export!B2396),2)),DATE(RIGHT(TRIM(Raw_Export!B2396),4),MATCH(MID(TRIM(Raw_Export!B2396),4,3),{"Jan","Feb","Mar","Apr","May","Jun","Jul","Aug","Sep","Oct","Nov","Dec"},0),LEFT(TRIM(Raw_Export!B2396),2)))))</f>
        <v/>
      </c>
      <c r="C2396" s="36" t="str">
        <f aca="false">IF(Raw_Export!$A2396="","",IFERROR(VLOOKUP(LOWER(TRIM(Raw_Export!C2396)),Maps!$A$2:$B$20,2,FALSE()),"UNMAPPED"))</f>
        <v/>
      </c>
      <c r="D2396" s="36" t="str">
        <f aca="false">IF(Raw_Export!$A2396="","",IFERROR(VLOOKUP(LOWER(TRIM(Raw_Export!D2396)),Maps!$G$2:$I$80,2,FALSE()),"UNMAPPED"))</f>
        <v/>
      </c>
      <c r="E2396" s="36" t="str">
        <f aca="false">IF(Raw_Export!$A2396="","",IFERROR(VLOOKUP(LOWER(TRIM(Raw_Export!D2396)),Maps!$G$2:$I$80,3,FALSE()),"UNMAPPED"))</f>
        <v/>
      </c>
      <c r="F2396" s="36" t="str">
        <f aca="false">IF(Raw_Export!$A2396="","",IFERROR(VALUE(TRIM(Raw_Export!E2396)),0))</f>
        <v/>
      </c>
      <c r="G2396" s="38" t="str">
        <f aca="false">IF(Raw_Export!$A2396="","",IFERROR(VALUE(SUBSTITUTE(SUBSTITUTE(UPPER(TRIM(Raw_Export!F2396)),"KES",""),",","")),0))</f>
        <v/>
      </c>
      <c r="H2396" s="38" t="str">
        <f aca="false">IF(Raw_Export!$A2396="","",F2396*G2396)</f>
        <v/>
      </c>
      <c r="I2396" s="36" t="str">
        <f aca="false">IF(Raw_Export!$A2396="","",IFERROR(VLOOKUP(LOWER(TRIM(Raw_Export!H2396)),Maps!$D$2:$E$12,2,FALSE()),"Other"))</f>
        <v/>
      </c>
      <c r="J2396" s="36" t="str">
        <f aca="false">IF(Raw_Export!$A2396="","",IF(COUNTIF($A$2:A2396,A2396)&gt;1,"Duplicate",""))</f>
        <v/>
      </c>
      <c r="K2396" s="36" t="str">
        <f aca="false">IF(Raw_Export!$A2396="","",IF(J2396="Duplicate","Duplicate",IF(OR(C2396="UNMAPPED",D2396="UNMAPPED"),"Unmapped",IF(F2396=0,"Blank qty",IF(F2396&lt;0,"Return","OK")))))</f>
        <v/>
      </c>
      <c r="L2396" s="36" t="str">
        <f aca="false">IF(Raw_Export!$A2396="","",IF(OR(K2396="OK",K2396="Return"),1,0))</f>
        <v/>
      </c>
      <c r="M2396" s="37" t="str">
        <f aca="false">IF(Raw_Export!$A2396="","",B2396-WEEKDAY(B2396,2)+1)</f>
        <v/>
      </c>
    </row>
    <row r="2397" customFormat="false" ht="15" hidden="false" customHeight="false" outlineLevel="0" collapsed="false">
      <c r="A2397" s="36" t="str">
        <f aca="false">IF(Raw_Export!$A2397="","",TRIM(Raw_Export!A2397))</f>
        <v/>
      </c>
      <c r="B2397" s="37" t="str">
        <f aca="false">IF(Raw_Export!$A2397="","",IF(ISNUMBER(Raw_Export!B2397),Raw_Export!B2397,IF(MID(TRIM(Raw_Export!B2397),5,1)="-",DATE(LEFT(TRIM(Raw_Export!B2397),4),MID(TRIM(Raw_Export!B2397),6,2),RIGHT(TRIM(Raw_Export!B2397),2)),DATE(RIGHT(TRIM(Raw_Export!B2397),4),MATCH(MID(TRIM(Raw_Export!B2397),4,3),{"Jan","Feb","Mar","Apr","May","Jun","Jul","Aug","Sep","Oct","Nov","Dec"},0),LEFT(TRIM(Raw_Export!B2397),2)))))</f>
        <v/>
      </c>
      <c r="C2397" s="36" t="str">
        <f aca="false">IF(Raw_Export!$A2397="","",IFERROR(VLOOKUP(LOWER(TRIM(Raw_Export!C2397)),Maps!$A$2:$B$20,2,FALSE()),"UNMAPPED"))</f>
        <v/>
      </c>
      <c r="D2397" s="36" t="str">
        <f aca="false">IF(Raw_Export!$A2397="","",IFERROR(VLOOKUP(LOWER(TRIM(Raw_Export!D2397)),Maps!$G$2:$I$80,2,FALSE()),"UNMAPPED"))</f>
        <v/>
      </c>
      <c r="E2397" s="36" t="str">
        <f aca="false">IF(Raw_Export!$A2397="","",IFERROR(VLOOKUP(LOWER(TRIM(Raw_Export!D2397)),Maps!$G$2:$I$80,3,FALSE()),"UNMAPPED"))</f>
        <v/>
      </c>
      <c r="F2397" s="36" t="str">
        <f aca="false">IF(Raw_Export!$A2397="","",IFERROR(VALUE(TRIM(Raw_Export!E2397)),0))</f>
        <v/>
      </c>
      <c r="G2397" s="38" t="str">
        <f aca="false">IF(Raw_Export!$A2397="","",IFERROR(VALUE(SUBSTITUTE(SUBSTITUTE(UPPER(TRIM(Raw_Export!F2397)),"KES",""),",","")),0))</f>
        <v/>
      </c>
      <c r="H2397" s="38" t="str">
        <f aca="false">IF(Raw_Export!$A2397="","",F2397*G2397)</f>
        <v/>
      </c>
      <c r="I2397" s="36" t="str">
        <f aca="false">IF(Raw_Export!$A2397="","",IFERROR(VLOOKUP(LOWER(TRIM(Raw_Export!H2397)),Maps!$D$2:$E$12,2,FALSE()),"Other"))</f>
        <v/>
      </c>
      <c r="J2397" s="36" t="str">
        <f aca="false">IF(Raw_Export!$A2397="","",IF(COUNTIF($A$2:A2397,A2397)&gt;1,"Duplicate",""))</f>
        <v/>
      </c>
      <c r="K2397" s="36" t="str">
        <f aca="false">IF(Raw_Export!$A2397="","",IF(J2397="Duplicate","Duplicate",IF(OR(C2397="UNMAPPED",D2397="UNMAPPED"),"Unmapped",IF(F2397=0,"Blank qty",IF(F2397&lt;0,"Return","OK")))))</f>
        <v/>
      </c>
      <c r="L2397" s="36" t="str">
        <f aca="false">IF(Raw_Export!$A2397="","",IF(OR(K2397="OK",K2397="Return"),1,0))</f>
        <v/>
      </c>
      <c r="M2397" s="37" t="str">
        <f aca="false">IF(Raw_Export!$A2397="","",B2397-WEEKDAY(B2397,2)+1)</f>
        <v/>
      </c>
    </row>
    <row r="2398" customFormat="false" ht="15" hidden="false" customHeight="false" outlineLevel="0" collapsed="false">
      <c r="A2398" s="36" t="str">
        <f aca="false">IF(Raw_Export!$A2398="","",TRIM(Raw_Export!A2398))</f>
        <v/>
      </c>
      <c r="B2398" s="37" t="str">
        <f aca="false">IF(Raw_Export!$A2398="","",IF(ISNUMBER(Raw_Export!B2398),Raw_Export!B2398,IF(MID(TRIM(Raw_Export!B2398),5,1)="-",DATE(LEFT(TRIM(Raw_Export!B2398),4),MID(TRIM(Raw_Export!B2398),6,2),RIGHT(TRIM(Raw_Export!B2398),2)),DATE(RIGHT(TRIM(Raw_Export!B2398),4),MATCH(MID(TRIM(Raw_Export!B2398),4,3),{"Jan","Feb","Mar","Apr","May","Jun","Jul","Aug","Sep","Oct","Nov","Dec"},0),LEFT(TRIM(Raw_Export!B2398),2)))))</f>
        <v/>
      </c>
      <c r="C2398" s="36" t="str">
        <f aca="false">IF(Raw_Export!$A2398="","",IFERROR(VLOOKUP(LOWER(TRIM(Raw_Export!C2398)),Maps!$A$2:$B$20,2,FALSE()),"UNMAPPED"))</f>
        <v/>
      </c>
      <c r="D2398" s="36" t="str">
        <f aca="false">IF(Raw_Export!$A2398="","",IFERROR(VLOOKUP(LOWER(TRIM(Raw_Export!D2398)),Maps!$G$2:$I$80,2,FALSE()),"UNMAPPED"))</f>
        <v/>
      </c>
      <c r="E2398" s="36" t="str">
        <f aca="false">IF(Raw_Export!$A2398="","",IFERROR(VLOOKUP(LOWER(TRIM(Raw_Export!D2398)),Maps!$G$2:$I$80,3,FALSE()),"UNMAPPED"))</f>
        <v/>
      </c>
      <c r="F2398" s="36" t="str">
        <f aca="false">IF(Raw_Export!$A2398="","",IFERROR(VALUE(TRIM(Raw_Export!E2398)),0))</f>
        <v/>
      </c>
      <c r="G2398" s="38" t="str">
        <f aca="false">IF(Raw_Export!$A2398="","",IFERROR(VALUE(SUBSTITUTE(SUBSTITUTE(UPPER(TRIM(Raw_Export!F2398)),"KES",""),",","")),0))</f>
        <v/>
      </c>
      <c r="H2398" s="38" t="str">
        <f aca="false">IF(Raw_Export!$A2398="","",F2398*G2398)</f>
        <v/>
      </c>
      <c r="I2398" s="36" t="str">
        <f aca="false">IF(Raw_Export!$A2398="","",IFERROR(VLOOKUP(LOWER(TRIM(Raw_Export!H2398)),Maps!$D$2:$E$12,2,FALSE()),"Other"))</f>
        <v/>
      </c>
      <c r="J2398" s="36" t="str">
        <f aca="false">IF(Raw_Export!$A2398="","",IF(COUNTIF($A$2:A2398,A2398)&gt;1,"Duplicate",""))</f>
        <v/>
      </c>
      <c r="K2398" s="36" t="str">
        <f aca="false">IF(Raw_Export!$A2398="","",IF(J2398="Duplicate","Duplicate",IF(OR(C2398="UNMAPPED",D2398="UNMAPPED"),"Unmapped",IF(F2398=0,"Blank qty",IF(F2398&lt;0,"Return","OK")))))</f>
        <v/>
      </c>
      <c r="L2398" s="36" t="str">
        <f aca="false">IF(Raw_Export!$A2398="","",IF(OR(K2398="OK",K2398="Return"),1,0))</f>
        <v/>
      </c>
      <c r="M2398" s="37" t="str">
        <f aca="false">IF(Raw_Export!$A2398="","",B2398-WEEKDAY(B2398,2)+1)</f>
        <v/>
      </c>
    </row>
    <row r="2399" customFormat="false" ht="15" hidden="false" customHeight="false" outlineLevel="0" collapsed="false">
      <c r="A2399" s="36" t="str">
        <f aca="false">IF(Raw_Export!$A2399="","",TRIM(Raw_Export!A2399))</f>
        <v/>
      </c>
      <c r="B2399" s="37" t="str">
        <f aca="false">IF(Raw_Export!$A2399="","",IF(ISNUMBER(Raw_Export!B2399),Raw_Export!B2399,IF(MID(TRIM(Raw_Export!B2399),5,1)="-",DATE(LEFT(TRIM(Raw_Export!B2399),4),MID(TRIM(Raw_Export!B2399),6,2),RIGHT(TRIM(Raw_Export!B2399),2)),DATE(RIGHT(TRIM(Raw_Export!B2399),4),MATCH(MID(TRIM(Raw_Export!B2399),4,3),{"Jan","Feb","Mar","Apr","May","Jun","Jul","Aug","Sep","Oct","Nov","Dec"},0),LEFT(TRIM(Raw_Export!B2399),2)))))</f>
        <v/>
      </c>
      <c r="C2399" s="36" t="str">
        <f aca="false">IF(Raw_Export!$A2399="","",IFERROR(VLOOKUP(LOWER(TRIM(Raw_Export!C2399)),Maps!$A$2:$B$20,2,FALSE()),"UNMAPPED"))</f>
        <v/>
      </c>
      <c r="D2399" s="36" t="str">
        <f aca="false">IF(Raw_Export!$A2399="","",IFERROR(VLOOKUP(LOWER(TRIM(Raw_Export!D2399)),Maps!$G$2:$I$80,2,FALSE()),"UNMAPPED"))</f>
        <v/>
      </c>
      <c r="E2399" s="36" t="str">
        <f aca="false">IF(Raw_Export!$A2399="","",IFERROR(VLOOKUP(LOWER(TRIM(Raw_Export!D2399)),Maps!$G$2:$I$80,3,FALSE()),"UNMAPPED"))</f>
        <v/>
      </c>
      <c r="F2399" s="36" t="str">
        <f aca="false">IF(Raw_Export!$A2399="","",IFERROR(VALUE(TRIM(Raw_Export!E2399)),0))</f>
        <v/>
      </c>
      <c r="G2399" s="38" t="str">
        <f aca="false">IF(Raw_Export!$A2399="","",IFERROR(VALUE(SUBSTITUTE(SUBSTITUTE(UPPER(TRIM(Raw_Export!F2399)),"KES",""),",","")),0))</f>
        <v/>
      </c>
      <c r="H2399" s="38" t="str">
        <f aca="false">IF(Raw_Export!$A2399="","",F2399*G2399)</f>
        <v/>
      </c>
      <c r="I2399" s="36" t="str">
        <f aca="false">IF(Raw_Export!$A2399="","",IFERROR(VLOOKUP(LOWER(TRIM(Raw_Export!H2399)),Maps!$D$2:$E$12,2,FALSE()),"Other"))</f>
        <v/>
      </c>
      <c r="J2399" s="36" t="str">
        <f aca="false">IF(Raw_Export!$A2399="","",IF(COUNTIF($A$2:A2399,A2399)&gt;1,"Duplicate",""))</f>
        <v/>
      </c>
      <c r="K2399" s="36" t="str">
        <f aca="false">IF(Raw_Export!$A2399="","",IF(J2399="Duplicate","Duplicate",IF(OR(C2399="UNMAPPED",D2399="UNMAPPED"),"Unmapped",IF(F2399=0,"Blank qty",IF(F2399&lt;0,"Return","OK")))))</f>
        <v/>
      </c>
      <c r="L2399" s="36" t="str">
        <f aca="false">IF(Raw_Export!$A2399="","",IF(OR(K2399="OK",K2399="Return"),1,0))</f>
        <v/>
      </c>
      <c r="M2399" s="37" t="str">
        <f aca="false">IF(Raw_Export!$A2399="","",B2399-WEEKDAY(B2399,2)+1)</f>
        <v/>
      </c>
    </row>
    <row r="2400" customFormat="false" ht="15" hidden="false" customHeight="false" outlineLevel="0" collapsed="false">
      <c r="A2400" s="36" t="str">
        <f aca="false">IF(Raw_Export!$A2400="","",TRIM(Raw_Export!A2400))</f>
        <v/>
      </c>
      <c r="B2400" s="37" t="str">
        <f aca="false">IF(Raw_Export!$A2400="","",IF(ISNUMBER(Raw_Export!B2400),Raw_Export!B2400,IF(MID(TRIM(Raw_Export!B2400),5,1)="-",DATE(LEFT(TRIM(Raw_Export!B2400),4),MID(TRIM(Raw_Export!B2400),6,2),RIGHT(TRIM(Raw_Export!B2400),2)),DATE(RIGHT(TRIM(Raw_Export!B2400),4),MATCH(MID(TRIM(Raw_Export!B2400),4,3),{"Jan","Feb","Mar","Apr","May","Jun","Jul","Aug","Sep","Oct","Nov","Dec"},0),LEFT(TRIM(Raw_Export!B2400),2)))))</f>
        <v/>
      </c>
      <c r="C2400" s="36" t="str">
        <f aca="false">IF(Raw_Export!$A2400="","",IFERROR(VLOOKUP(LOWER(TRIM(Raw_Export!C2400)),Maps!$A$2:$B$20,2,FALSE()),"UNMAPPED"))</f>
        <v/>
      </c>
      <c r="D2400" s="36" t="str">
        <f aca="false">IF(Raw_Export!$A2400="","",IFERROR(VLOOKUP(LOWER(TRIM(Raw_Export!D2400)),Maps!$G$2:$I$80,2,FALSE()),"UNMAPPED"))</f>
        <v/>
      </c>
      <c r="E2400" s="36" t="str">
        <f aca="false">IF(Raw_Export!$A2400="","",IFERROR(VLOOKUP(LOWER(TRIM(Raw_Export!D2400)),Maps!$G$2:$I$80,3,FALSE()),"UNMAPPED"))</f>
        <v/>
      </c>
      <c r="F2400" s="36" t="str">
        <f aca="false">IF(Raw_Export!$A2400="","",IFERROR(VALUE(TRIM(Raw_Export!E2400)),0))</f>
        <v/>
      </c>
      <c r="G2400" s="38" t="str">
        <f aca="false">IF(Raw_Export!$A2400="","",IFERROR(VALUE(SUBSTITUTE(SUBSTITUTE(UPPER(TRIM(Raw_Export!F2400)),"KES",""),",","")),0))</f>
        <v/>
      </c>
      <c r="H2400" s="38" t="str">
        <f aca="false">IF(Raw_Export!$A2400="","",F2400*G2400)</f>
        <v/>
      </c>
      <c r="I2400" s="36" t="str">
        <f aca="false">IF(Raw_Export!$A2400="","",IFERROR(VLOOKUP(LOWER(TRIM(Raw_Export!H2400)),Maps!$D$2:$E$12,2,FALSE()),"Other"))</f>
        <v/>
      </c>
      <c r="J2400" s="36" t="str">
        <f aca="false">IF(Raw_Export!$A2400="","",IF(COUNTIF($A$2:A2400,A2400)&gt;1,"Duplicate",""))</f>
        <v/>
      </c>
      <c r="K2400" s="36" t="str">
        <f aca="false">IF(Raw_Export!$A2400="","",IF(J2400="Duplicate","Duplicate",IF(OR(C2400="UNMAPPED",D2400="UNMAPPED"),"Unmapped",IF(F2400=0,"Blank qty",IF(F2400&lt;0,"Return","OK")))))</f>
        <v/>
      </c>
      <c r="L2400" s="36" t="str">
        <f aca="false">IF(Raw_Export!$A2400="","",IF(OR(K2400="OK",K2400="Return"),1,0))</f>
        <v/>
      </c>
      <c r="M2400" s="37" t="str">
        <f aca="false">IF(Raw_Export!$A2400="","",B2400-WEEKDAY(B2400,2)+1)</f>
        <v/>
      </c>
    </row>
    <row r="2401" customFormat="false" ht="15" hidden="false" customHeight="false" outlineLevel="0" collapsed="false">
      <c r="A2401" s="36" t="str">
        <f aca="false">IF(Raw_Export!$A2401="","",TRIM(Raw_Export!A2401))</f>
        <v/>
      </c>
      <c r="B2401" s="37" t="str">
        <f aca="false">IF(Raw_Export!$A2401="","",IF(ISNUMBER(Raw_Export!B2401),Raw_Export!B2401,IF(MID(TRIM(Raw_Export!B2401),5,1)="-",DATE(LEFT(TRIM(Raw_Export!B2401),4),MID(TRIM(Raw_Export!B2401),6,2),RIGHT(TRIM(Raw_Export!B2401),2)),DATE(RIGHT(TRIM(Raw_Export!B2401),4),MATCH(MID(TRIM(Raw_Export!B2401),4,3),{"Jan","Feb","Mar","Apr","May","Jun","Jul","Aug","Sep","Oct","Nov","Dec"},0),LEFT(TRIM(Raw_Export!B2401),2)))))</f>
        <v/>
      </c>
      <c r="C2401" s="36" t="str">
        <f aca="false">IF(Raw_Export!$A2401="","",IFERROR(VLOOKUP(LOWER(TRIM(Raw_Export!C2401)),Maps!$A$2:$B$20,2,FALSE()),"UNMAPPED"))</f>
        <v/>
      </c>
      <c r="D2401" s="36" t="str">
        <f aca="false">IF(Raw_Export!$A2401="","",IFERROR(VLOOKUP(LOWER(TRIM(Raw_Export!D2401)),Maps!$G$2:$I$80,2,FALSE()),"UNMAPPED"))</f>
        <v/>
      </c>
      <c r="E2401" s="36" t="str">
        <f aca="false">IF(Raw_Export!$A2401="","",IFERROR(VLOOKUP(LOWER(TRIM(Raw_Export!D2401)),Maps!$G$2:$I$80,3,FALSE()),"UNMAPPED"))</f>
        <v/>
      </c>
      <c r="F2401" s="36" t="str">
        <f aca="false">IF(Raw_Export!$A2401="","",IFERROR(VALUE(TRIM(Raw_Export!E2401)),0))</f>
        <v/>
      </c>
      <c r="G2401" s="38" t="str">
        <f aca="false">IF(Raw_Export!$A2401="","",IFERROR(VALUE(SUBSTITUTE(SUBSTITUTE(UPPER(TRIM(Raw_Export!F2401)),"KES",""),",","")),0))</f>
        <v/>
      </c>
      <c r="H2401" s="38" t="str">
        <f aca="false">IF(Raw_Export!$A2401="","",F2401*G2401)</f>
        <v/>
      </c>
      <c r="I2401" s="36" t="str">
        <f aca="false">IF(Raw_Export!$A2401="","",IFERROR(VLOOKUP(LOWER(TRIM(Raw_Export!H2401)),Maps!$D$2:$E$12,2,FALSE()),"Other"))</f>
        <v/>
      </c>
      <c r="J2401" s="36" t="str">
        <f aca="false">IF(Raw_Export!$A2401="","",IF(COUNTIF($A$2:A2401,A2401)&gt;1,"Duplicate",""))</f>
        <v/>
      </c>
      <c r="K2401" s="36" t="str">
        <f aca="false">IF(Raw_Export!$A2401="","",IF(J2401="Duplicate","Duplicate",IF(OR(C2401="UNMAPPED",D2401="UNMAPPED"),"Unmapped",IF(F2401=0,"Blank qty",IF(F2401&lt;0,"Return","OK")))))</f>
        <v/>
      </c>
      <c r="L2401" s="36" t="str">
        <f aca="false">IF(Raw_Export!$A2401="","",IF(OR(K2401="OK",K2401="Return"),1,0))</f>
        <v/>
      </c>
      <c r="M2401" s="37" t="str">
        <f aca="false">IF(Raw_Export!$A2401="","",B2401-WEEKDAY(B2401,2)+1)</f>
        <v/>
      </c>
    </row>
    <row r="2402" customFormat="false" ht="15" hidden="false" customHeight="false" outlineLevel="0" collapsed="false">
      <c r="A2402" s="36" t="str">
        <f aca="false">IF(Raw_Export!$A2402="","",TRIM(Raw_Export!A2402))</f>
        <v/>
      </c>
      <c r="B2402" s="37" t="str">
        <f aca="false">IF(Raw_Export!$A2402="","",IF(ISNUMBER(Raw_Export!B2402),Raw_Export!B2402,IF(MID(TRIM(Raw_Export!B2402),5,1)="-",DATE(LEFT(TRIM(Raw_Export!B2402),4),MID(TRIM(Raw_Export!B2402),6,2),RIGHT(TRIM(Raw_Export!B2402),2)),DATE(RIGHT(TRIM(Raw_Export!B2402),4),MATCH(MID(TRIM(Raw_Export!B2402),4,3),{"Jan","Feb","Mar","Apr","May","Jun","Jul","Aug","Sep","Oct","Nov","Dec"},0),LEFT(TRIM(Raw_Export!B2402),2)))))</f>
        <v/>
      </c>
      <c r="C2402" s="36" t="str">
        <f aca="false">IF(Raw_Export!$A2402="","",IFERROR(VLOOKUP(LOWER(TRIM(Raw_Export!C2402)),Maps!$A$2:$B$20,2,FALSE()),"UNMAPPED"))</f>
        <v/>
      </c>
      <c r="D2402" s="36" t="str">
        <f aca="false">IF(Raw_Export!$A2402="","",IFERROR(VLOOKUP(LOWER(TRIM(Raw_Export!D2402)),Maps!$G$2:$I$80,2,FALSE()),"UNMAPPED"))</f>
        <v/>
      </c>
      <c r="E2402" s="36" t="str">
        <f aca="false">IF(Raw_Export!$A2402="","",IFERROR(VLOOKUP(LOWER(TRIM(Raw_Export!D2402)),Maps!$G$2:$I$80,3,FALSE()),"UNMAPPED"))</f>
        <v/>
      </c>
      <c r="F2402" s="36" t="str">
        <f aca="false">IF(Raw_Export!$A2402="","",IFERROR(VALUE(TRIM(Raw_Export!E2402)),0))</f>
        <v/>
      </c>
      <c r="G2402" s="38" t="str">
        <f aca="false">IF(Raw_Export!$A2402="","",IFERROR(VALUE(SUBSTITUTE(SUBSTITUTE(UPPER(TRIM(Raw_Export!F2402)),"KES",""),",","")),0))</f>
        <v/>
      </c>
      <c r="H2402" s="38" t="str">
        <f aca="false">IF(Raw_Export!$A2402="","",F2402*G2402)</f>
        <v/>
      </c>
      <c r="I2402" s="36" t="str">
        <f aca="false">IF(Raw_Export!$A2402="","",IFERROR(VLOOKUP(LOWER(TRIM(Raw_Export!H2402)),Maps!$D$2:$E$12,2,FALSE()),"Other"))</f>
        <v/>
      </c>
      <c r="J2402" s="36" t="str">
        <f aca="false">IF(Raw_Export!$A2402="","",IF(COUNTIF($A$2:A2402,A2402)&gt;1,"Duplicate",""))</f>
        <v/>
      </c>
      <c r="K2402" s="36" t="str">
        <f aca="false">IF(Raw_Export!$A2402="","",IF(J2402="Duplicate","Duplicate",IF(OR(C2402="UNMAPPED",D2402="UNMAPPED"),"Unmapped",IF(F2402=0,"Blank qty",IF(F2402&lt;0,"Return","OK")))))</f>
        <v/>
      </c>
      <c r="L2402" s="36" t="str">
        <f aca="false">IF(Raw_Export!$A2402="","",IF(OR(K2402="OK",K2402="Return"),1,0))</f>
        <v/>
      </c>
      <c r="M2402" s="37" t="str">
        <f aca="false">IF(Raw_Export!$A2402="","",B2402-WEEKDAY(B2402,2)+1)</f>
        <v/>
      </c>
    </row>
    <row r="2403" customFormat="false" ht="15" hidden="false" customHeight="false" outlineLevel="0" collapsed="false">
      <c r="A2403" s="36" t="str">
        <f aca="false">IF(Raw_Export!$A2403="","",TRIM(Raw_Export!A2403))</f>
        <v/>
      </c>
      <c r="B2403" s="37" t="str">
        <f aca="false">IF(Raw_Export!$A2403="","",IF(ISNUMBER(Raw_Export!B2403),Raw_Export!B2403,IF(MID(TRIM(Raw_Export!B2403),5,1)="-",DATE(LEFT(TRIM(Raw_Export!B2403),4),MID(TRIM(Raw_Export!B2403),6,2),RIGHT(TRIM(Raw_Export!B2403),2)),DATE(RIGHT(TRIM(Raw_Export!B2403),4),MATCH(MID(TRIM(Raw_Export!B2403),4,3),{"Jan","Feb","Mar","Apr","May","Jun","Jul","Aug","Sep","Oct","Nov","Dec"},0),LEFT(TRIM(Raw_Export!B2403),2)))))</f>
        <v/>
      </c>
      <c r="C2403" s="36" t="str">
        <f aca="false">IF(Raw_Export!$A2403="","",IFERROR(VLOOKUP(LOWER(TRIM(Raw_Export!C2403)),Maps!$A$2:$B$20,2,FALSE()),"UNMAPPED"))</f>
        <v/>
      </c>
      <c r="D2403" s="36" t="str">
        <f aca="false">IF(Raw_Export!$A2403="","",IFERROR(VLOOKUP(LOWER(TRIM(Raw_Export!D2403)),Maps!$G$2:$I$80,2,FALSE()),"UNMAPPED"))</f>
        <v/>
      </c>
      <c r="E2403" s="36" t="str">
        <f aca="false">IF(Raw_Export!$A2403="","",IFERROR(VLOOKUP(LOWER(TRIM(Raw_Export!D2403)),Maps!$G$2:$I$80,3,FALSE()),"UNMAPPED"))</f>
        <v/>
      </c>
      <c r="F2403" s="36" t="str">
        <f aca="false">IF(Raw_Export!$A2403="","",IFERROR(VALUE(TRIM(Raw_Export!E2403)),0))</f>
        <v/>
      </c>
      <c r="G2403" s="38" t="str">
        <f aca="false">IF(Raw_Export!$A2403="","",IFERROR(VALUE(SUBSTITUTE(SUBSTITUTE(UPPER(TRIM(Raw_Export!F2403)),"KES",""),",","")),0))</f>
        <v/>
      </c>
      <c r="H2403" s="38" t="str">
        <f aca="false">IF(Raw_Export!$A2403="","",F2403*G2403)</f>
        <v/>
      </c>
      <c r="I2403" s="36" t="str">
        <f aca="false">IF(Raw_Export!$A2403="","",IFERROR(VLOOKUP(LOWER(TRIM(Raw_Export!H2403)),Maps!$D$2:$E$12,2,FALSE()),"Other"))</f>
        <v/>
      </c>
      <c r="J2403" s="36" t="str">
        <f aca="false">IF(Raw_Export!$A2403="","",IF(COUNTIF($A$2:A2403,A2403)&gt;1,"Duplicate",""))</f>
        <v/>
      </c>
      <c r="K2403" s="36" t="str">
        <f aca="false">IF(Raw_Export!$A2403="","",IF(J2403="Duplicate","Duplicate",IF(OR(C2403="UNMAPPED",D2403="UNMAPPED"),"Unmapped",IF(F2403=0,"Blank qty",IF(F2403&lt;0,"Return","OK")))))</f>
        <v/>
      </c>
      <c r="L2403" s="36" t="str">
        <f aca="false">IF(Raw_Export!$A2403="","",IF(OR(K2403="OK",K2403="Return"),1,0))</f>
        <v/>
      </c>
      <c r="M2403" s="37" t="str">
        <f aca="false">IF(Raw_Export!$A2403="","",B2403-WEEKDAY(B2403,2)+1)</f>
        <v/>
      </c>
    </row>
    <row r="2404" customFormat="false" ht="15" hidden="false" customHeight="false" outlineLevel="0" collapsed="false">
      <c r="A2404" s="36" t="str">
        <f aca="false">IF(Raw_Export!$A2404="","",TRIM(Raw_Export!A2404))</f>
        <v/>
      </c>
      <c r="B2404" s="37" t="str">
        <f aca="false">IF(Raw_Export!$A2404="","",IF(ISNUMBER(Raw_Export!B2404),Raw_Export!B2404,IF(MID(TRIM(Raw_Export!B2404),5,1)="-",DATE(LEFT(TRIM(Raw_Export!B2404),4),MID(TRIM(Raw_Export!B2404),6,2),RIGHT(TRIM(Raw_Export!B2404),2)),DATE(RIGHT(TRIM(Raw_Export!B2404),4),MATCH(MID(TRIM(Raw_Export!B2404),4,3),{"Jan","Feb","Mar","Apr","May","Jun","Jul","Aug","Sep","Oct","Nov","Dec"},0),LEFT(TRIM(Raw_Export!B2404),2)))))</f>
        <v/>
      </c>
      <c r="C2404" s="36" t="str">
        <f aca="false">IF(Raw_Export!$A2404="","",IFERROR(VLOOKUP(LOWER(TRIM(Raw_Export!C2404)),Maps!$A$2:$B$20,2,FALSE()),"UNMAPPED"))</f>
        <v/>
      </c>
      <c r="D2404" s="36" t="str">
        <f aca="false">IF(Raw_Export!$A2404="","",IFERROR(VLOOKUP(LOWER(TRIM(Raw_Export!D2404)),Maps!$G$2:$I$80,2,FALSE()),"UNMAPPED"))</f>
        <v/>
      </c>
      <c r="E2404" s="36" t="str">
        <f aca="false">IF(Raw_Export!$A2404="","",IFERROR(VLOOKUP(LOWER(TRIM(Raw_Export!D2404)),Maps!$G$2:$I$80,3,FALSE()),"UNMAPPED"))</f>
        <v/>
      </c>
      <c r="F2404" s="36" t="str">
        <f aca="false">IF(Raw_Export!$A2404="","",IFERROR(VALUE(TRIM(Raw_Export!E2404)),0))</f>
        <v/>
      </c>
      <c r="G2404" s="38" t="str">
        <f aca="false">IF(Raw_Export!$A2404="","",IFERROR(VALUE(SUBSTITUTE(SUBSTITUTE(UPPER(TRIM(Raw_Export!F2404)),"KES",""),",","")),0))</f>
        <v/>
      </c>
      <c r="H2404" s="38" t="str">
        <f aca="false">IF(Raw_Export!$A2404="","",F2404*G2404)</f>
        <v/>
      </c>
      <c r="I2404" s="36" t="str">
        <f aca="false">IF(Raw_Export!$A2404="","",IFERROR(VLOOKUP(LOWER(TRIM(Raw_Export!H2404)),Maps!$D$2:$E$12,2,FALSE()),"Other"))</f>
        <v/>
      </c>
      <c r="J2404" s="36" t="str">
        <f aca="false">IF(Raw_Export!$A2404="","",IF(COUNTIF($A$2:A2404,A2404)&gt;1,"Duplicate",""))</f>
        <v/>
      </c>
      <c r="K2404" s="36" t="str">
        <f aca="false">IF(Raw_Export!$A2404="","",IF(J2404="Duplicate","Duplicate",IF(OR(C2404="UNMAPPED",D2404="UNMAPPED"),"Unmapped",IF(F2404=0,"Blank qty",IF(F2404&lt;0,"Return","OK")))))</f>
        <v/>
      </c>
      <c r="L2404" s="36" t="str">
        <f aca="false">IF(Raw_Export!$A2404="","",IF(OR(K2404="OK",K2404="Return"),1,0))</f>
        <v/>
      </c>
      <c r="M2404" s="37" t="str">
        <f aca="false">IF(Raw_Export!$A2404="","",B2404-WEEKDAY(B2404,2)+1)</f>
        <v/>
      </c>
    </row>
    <row r="2405" customFormat="false" ht="15" hidden="false" customHeight="false" outlineLevel="0" collapsed="false">
      <c r="A2405" s="36" t="str">
        <f aca="false">IF(Raw_Export!$A2405="","",TRIM(Raw_Export!A2405))</f>
        <v/>
      </c>
      <c r="B2405" s="37" t="str">
        <f aca="false">IF(Raw_Export!$A2405="","",IF(ISNUMBER(Raw_Export!B2405),Raw_Export!B2405,IF(MID(TRIM(Raw_Export!B2405),5,1)="-",DATE(LEFT(TRIM(Raw_Export!B2405),4),MID(TRIM(Raw_Export!B2405),6,2),RIGHT(TRIM(Raw_Export!B2405),2)),DATE(RIGHT(TRIM(Raw_Export!B2405),4),MATCH(MID(TRIM(Raw_Export!B2405),4,3),{"Jan","Feb","Mar","Apr","May","Jun","Jul","Aug","Sep","Oct","Nov","Dec"},0),LEFT(TRIM(Raw_Export!B2405),2)))))</f>
        <v/>
      </c>
      <c r="C2405" s="36" t="str">
        <f aca="false">IF(Raw_Export!$A2405="","",IFERROR(VLOOKUP(LOWER(TRIM(Raw_Export!C2405)),Maps!$A$2:$B$20,2,FALSE()),"UNMAPPED"))</f>
        <v/>
      </c>
      <c r="D2405" s="36" t="str">
        <f aca="false">IF(Raw_Export!$A2405="","",IFERROR(VLOOKUP(LOWER(TRIM(Raw_Export!D2405)),Maps!$G$2:$I$80,2,FALSE()),"UNMAPPED"))</f>
        <v/>
      </c>
      <c r="E2405" s="36" t="str">
        <f aca="false">IF(Raw_Export!$A2405="","",IFERROR(VLOOKUP(LOWER(TRIM(Raw_Export!D2405)),Maps!$G$2:$I$80,3,FALSE()),"UNMAPPED"))</f>
        <v/>
      </c>
      <c r="F2405" s="36" t="str">
        <f aca="false">IF(Raw_Export!$A2405="","",IFERROR(VALUE(TRIM(Raw_Export!E2405)),0))</f>
        <v/>
      </c>
      <c r="G2405" s="38" t="str">
        <f aca="false">IF(Raw_Export!$A2405="","",IFERROR(VALUE(SUBSTITUTE(SUBSTITUTE(UPPER(TRIM(Raw_Export!F2405)),"KES",""),",","")),0))</f>
        <v/>
      </c>
      <c r="H2405" s="38" t="str">
        <f aca="false">IF(Raw_Export!$A2405="","",F2405*G2405)</f>
        <v/>
      </c>
      <c r="I2405" s="36" t="str">
        <f aca="false">IF(Raw_Export!$A2405="","",IFERROR(VLOOKUP(LOWER(TRIM(Raw_Export!H2405)),Maps!$D$2:$E$12,2,FALSE()),"Other"))</f>
        <v/>
      </c>
      <c r="J2405" s="36" t="str">
        <f aca="false">IF(Raw_Export!$A2405="","",IF(COUNTIF($A$2:A2405,A2405)&gt;1,"Duplicate",""))</f>
        <v/>
      </c>
      <c r="K2405" s="36" t="str">
        <f aca="false">IF(Raw_Export!$A2405="","",IF(J2405="Duplicate","Duplicate",IF(OR(C2405="UNMAPPED",D2405="UNMAPPED"),"Unmapped",IF(F2405=0,"Blank qty",IF(F2405&lt;0,"Return","OK")))))</f>
        <v/>
      </c>
      <c r="L2405" s="36" t="str">
        <f aca="false">IF(Raw_Export!$A2405="","",IF(OR(K2405="OK",K2405="Return"),1,0))</f>
        <v/>
      </c>
      <c r="M2405" s="37" t="str">
        <f aca="false">IF(Raw_Export!$A2405="","",B2405-WEEKDAY(B2405,2)+1)</f>
        <v/>
      </c>
    </row>
    <row r="2406" customFormat="false" ht="15" hidden="false" customHeight="false" outlineLevel="0" collapsed="false">
      <c r="A2406" s="36" t="str">
        <f aca="false">IF(Raw_Export!$A2406="","",TRIM(Raw_Export!A2406))</f>
        <v/>
      </c>
      <c r="B2406" s="37" t="str">
        <f aca="false">IF(Raw_Export!$A2406="","",IF(ISNUMBER(Raw_Export!B2406),Raw_Export!B2406,IF(MID(TRIM(Raw_Export!B2406),5,1)="-",DATE(LEFT(TRIM(Raw_Export!B2406),4),MID(TRIM(Raw_Export!B2406),6,2),RIGHT(TRIM(Raw_Export!B2406),2)),DATE(RIGHT(TRIM(Raw_Export!B2406),4),MATCH(MID(TRIM(Raw_Export!B2406),4,3),{"Jan","Feb","Mar","Apr","May","Jun","Jul","Aug","Sep","Oct","Nov","Dec"},0),LEFT(TRIM(Raw_Export!B2406),2)))))</f>
        <v/>
      </c>
      <c r="C2406" s="36" t="str">
        <f aca="false">IF(Raw_Export!$A2406="","",IFERROR(VLOOKUP(LOWER(TRIM(Raw_Export!C2406)),Maps!$A$2:$B$20,2,FALSE()),"UNMAPPED"))</f>
        <v/>
      </c>
      <c r="D2406" s="36" t="str">
        <f aca="false">IF(Raw_Export!$A2406="","",IFERROR(VLOOKUP(LOWER(TRIM(Raw_Export!D2406)),Maps!$G$2:$I$80,2,FALSE()),"UNMAPPED"))</f>
        <v/>
      </c>
      <c r="E2406" s="36" t="str">
        <f aca="false">IF(Raw_Export!$A2406="","",IFERROR(VLOOKUP(LOWER(TRIM(Raw_Export!D2406)),Maps!$G$2:$I$80,3,FALSE()),"UNMAPPED"))</f>
        <v/>
      </c>
      <c r="F2406" s="36" t="str">
        <f aca="false">IF(Raw_Export!$A2406="","",IFERROR(VALUE(TRIM(Raw_Export!E2406)),0))</f>
        <v/>
      </c>
      <c r="G2406" s="38" t="str">
        <f aca="false">IF(Raw_Export!$A2406="","",IFERROR(VALUE(SUBSTITUTE(SUBSTITUTE(UPPER(TRIM(Raw_Export!F2406)),"KES",""),",","")),0))</f>
        <v/>
      </c>
      <c r="H2406" s="38" t="str">
        <f aca="false">IF(Raw_Export!$A2406="","",F2406*G2406)</f>
        <v/>
      </c>
      <c r="I2406" s="36" t="str">
        <f aca="false">IF(Raw_Export!$A2406="","",IFERROR(VLOOKUP(LOWER(TRIM(Raw_Export!H2406)),Maps!$D$2:$E$12,2,FALSE()),"Other"))</f>
        <v/>
      </c>
      <c r="J2406" s="36" t="str">
        <f aca="false">IF(Raw_Export!$A2406="","",IF(COUNTIF($A$2:A2406,A2406)&gt;1,"Duplicate",""))</f>
        <v/>
      </c>
      <c r="K2406" s="36" t="str">
        <f aca="false">IF(Raw_Export!$A2406="","",IF(J2406="Duplicate","Duplicate",IF(OR(C2406="UNMAPPED",D2406="UNMAPPED"),"Unmapped",IF(F2406=0,"Blank qty",IF(F2406&lt;0,"Return","OK")))))</f>
        <v/>
      </c>
      <c r="L2406" s="36" t="str">
        <f aca="false">IF(Raw_Export!$A2406="","",IF(OR(K2406="OK",K2406="Return"),1,0))</f>
        <v/>
      </c>
      <c r="M2406" s="37" t="str">
        <f aca="false">IF(Raw_Export!$A2406="","",B2406-WEEKDAY(B2406,2)+1)</f>
        <v/>
      </c>
    </row>
    <row r="2407" customFormat="false" ht="15" hidden="false" customHeight="false" outlineLevel="0" collapsed="false">
      <c r="A2407" s="36" t="str">
        <f aca="false">IF(Raw_Export!$A2407="","",TRIM(Raw_Export!A2407))</f>
        <v/>
      </c>
      <c r="B2407" s="37" t="str">
        <f aca="false">IF(Raw_Export!$A2407="","",IF(ISNUMBER(Raw_Export!B2407),Raw_Export!B2407,IF(MID(TRIM(Raw_Export!B2407),5,1)="-",DATE(LEFT(TRIM(Raw_Export!B2407),4),MID(TRIM(Raw_Export!B2407),6,2),RIGHT(TRIM(Raw_Export!B2407),2)),DATE(RIGHT(TRIM(Raw_Export!B2407),4),MATCH(MID(TRIM(Raw_Export!B2407),4,3),{"Jan","Feb","Mar","Apr","May","Jun","Jul","Aug","Sep","Oct","Nov","Dec"},0),LEFT(TRIM(Raw_Export!B2407),2)))))</f>
        <v/>
      </c>
      <c r="C2407" s="36" t="str">
        <f aca="false">IF(Raw_Export!$A2407="","",IFERROR(VLOOKUP(LOWER(TRIM(Raw_Export!C2407)),Maps!$A$2:$B$20,2,FALSE()),"UNMAPPED"))</f>
        <v/>
      </c>
      <c r="D2407" s="36" t="str">
        <f aca="false">IF(Raw_Export!$A2407="","",IFERROR(VLOOKUP(LOWER(TRIM(Raw_Export!D2407)),Maps!$G$2:$I$80,2,FALSE()),"UNMAPPED"))</f>
        <v/>
      </c>
      <c r="E2407" s="36" t="str">
        <f aca="false">IF(Raw_Export!$A2407="","",IFERROR(VLOOKUP(LOWER(TRIM(Raw_Export!D2407)),Maps!$G$2:$I$80,3,FALSE()),"UNMAPPED"))</f>
        <v/>
      </c>
      <c r="F2407" s="36" t="str">
        <f aca="false">IF(Raw_Export!$A2407="","",IFERROR(VALUE(TRIM(Raw_Export!E2407)),0))</f>
        <v/>
      </c>
      <c r="G2407" s="38" t="str">
        <f aca="false">IF(Raw_Export!$A2407="","",IFERROR(VALUE(SUBSTITUTE(SUBSTITUTE(UPPER(TRIM(Raw_Export!F2407)),"KES",""),",","")),0))</f>
        <v/>
      </c>
      <c r="H2407" s="38" t="str">
        <f aca="false">IF(Raw_Export!$A2407="","",F2407*G2407)</f>
        <v/>
      </c>
      <c r="I2407" s="36" t="str">
        <f aca="false">IF(Raw_Export!$A2407="","",IFERROR(VLOOKUP(LOWER(TRIM(Raw_Export!H2407)),Maps!$D$2:$E$12,2,FALSE()),"Other"))</f>
        <v/>
      </c>
      <c r="J2407" s="36" t="str">
        <f aca="false">IF(Raw_Export!$A2407="","",IF(COUNTIF($A$2:A2407,A2407)&gt;1,"Duplicate",""))</f>
        <v/>
      </c>
      <c r="K2407" s="36" t="str">
        <f aca="false">IF(Raw_Export!$A2407="","",IF(J2407="Duplicate","Duplicate",IF(OR(C2407="UNMAPPED",D2407="UNMAPPED"),"Unmapped",IF(F2407=0,"Blank qty",IF(F2407&lt;0,"Return","OK")))))</f>
        <v/>
      </c>
      <c r="L2407" s="36" t="str">
        <f aca="false">IF(Raw_Export!$A2407="","",IF(OR(K2407="OK",K2407="Return"),1,0))</f>
        <v/>
      </c>
      <c r="M2407" s="37" t="str">
        <f aca="false">IF(Raw_Export!$A2407="","",B2407-WEEKDAY(B2407,2)+1)</f>
        <v/>
      </c>
    </row>
    <row r="2408" customFormat="false" ht="15" hidden="false" customHeight="false" outlineLevel="0" collapsed="false">
      <c r="A2408" s="36" t="str">
        <f aca="false">IF(Raw_Export!$A2408="","",TRIM(Raw_Export!A2408))</f>
        <v/>
      </c>
      <c r="B2408" s="37" t="str">
        <f aca="false">IF(Raw_Export!$A2408="","",IF(ISNUMBER(Raw_Export!B2408),Raw_Export!B2408,IF(MID(TRIM(Raw_Export!B2408),5,1)="-",DATE(LEFT(TRIM(Raw_Export!B2408),4),MID(TRIM(Raw_Export!B2408),6,2),RIGHT(TRIM(Raw_Export!B2408),2)),DATE(RIGHT(TRIM(Raw_Export!B2408),4),MATCH(MID(TRIM(Raw_Export!B2408),4,3),{"Jan","Feb","Mar","Apr","May","Jun","Jul","Aug","Sep","Oct","Nov","Dec"},0),LEFT(TRIM(Raw_Export!B2408),2)))))</f>
        <v/>
      </c>
      <c r="C2408" s="36" t="str">
        <f aca="false">IF(Raw_Export!$A2408="","",IFERROR(VLOOKUP(LOWER(TRIM(Raw_Export!C2408)),Maps!$A$2:$B$20,2,FALSE()),"UNMAPPED"))</f>
        <v/>
      </c>
      <c r="D2408" s="36" t="str">
        <f aca="false">IF(Raw_Export!$A2408="","",IFERROR(VLOOKUP(LOWER(TRIM(Raw_Export!D2408)),Maps!$G$2:$I$80,2,FALSE()),"UNMAPPED"))</f>
        <v/>
      </c>
      <c r="E2408" s="36" t="str">
        <f aca="false">IF(Raw_Export!$A2408="","",IFERROR(VLOOKUP(LOWER(TRIM(Raw_Export!D2408)),Maps!$G$2:$I$80,3,FALSE()),"UNMAPPED"))</f>
        <v/>
      </c>
      <c r="F2408" s="36" t="str">
        <f aca="false">IF(Raw_Export!$A2408="","",IFERROR(VALUE(TRIM(Raw_Export!E2408)),0))</f>
        <v/>
      </c>
      <c r="G2408" s="38" t="str">
        <f aca="false">IF(Raw_Export!$A2408="","",IFERROR(VALUE(SUBSTITUTE(SUBSTITUTE(UPPER(TRIM(Raw_Export!F2408)),"KES",""),",","")),0))</f>
        <v/>
      </c>
      <c r="H2408" s="38" t="str">
        <f aca="false">IF(Raw_Export!$A2408="","",F2408*G2408)</f>
        <v/>
      </c>
      <c r="I2408" s="36" t="str">
        <f aca="false">IF(Raw_Export!$A2408="","",IFERROR(VLOOKUP(LOWER(TRIM(Raw_Export!H2408)),Maps!$D$2:$E$12,2,FALSE()),"Other"))</f>
        <v/>
      </c>
      <c r="J2408" s="36" t="str">
        <f aca="false">IF(Raw_Export!$A2408="","",IF(COUNTIF($A$2:A2408,A2408)&gt;1,"Duplicate",""))</f>
        <v/>
      </c>
      <c r="K2408" s="36" t="str">
        <f aca="false">IF(Raw_Export!$A2408="","",IF(J2408="Duplicate","Duplicate",IF(OR(C2408="UNMAPPED",D2408="UNMAPPED"),"Unmapped",IF(F2408=0,"Blank qty",IF(F2408&lt;0,"Return","OK")))))</f>
        <v/>
      </c>
      <c r="L2408" s="36" t="str">
        <f aca="false">IF(Raw_Export!$A2408="","",IF(OR(K2408="OK",K2408="Return"),1,0))</f>
        <v/>
      </c>
      <c r="M2408" s="37" t="str">
        <f aca="false">IF(Raw_Export!$A2408="","",B2408-WEEKDAY(B2408,2)+1)</f>
        <v/>
      </c>
    </row>
    <row r="2409" customFormat="false" ht="15" hidden="false" customHeight="false" outlineLevel="0" collapsed="false">
      <c r="A2409" s="36" t="str">
        <f aca="false">IF(Raw_Export!$A2409="","",TRIM(Raw_Export!A2409))</f>
        <v/>
      </c>
      <c r="B2409" s="37" t="str">
        <f aca="false">IF(Raw_Export!$A2409="","",IF(ISNUMBER(Raw_Export!B2409),Raw_Export!B2409,IF(MID(TRIM(Raw_Export!B2409),5,1)="-",DATE(LEFT(TRIM(Raw_Export!B2409),4),MID(TRIM(Raw_Export!B2409),6,2),RIGHT(TRIM(Raw_Export!B2409),2)),DATE(RIGHT(TRIM(Raw_Export!B2409),4),MATCH(MID(TRIM(Raw_Export!B2409),4,3),{"Jan","Feb","Mar","Apr","May","Jun","Jul","Aug","Sep","Oct","Nov","Dec"},0),LEFT(TRIM(Raw_Export!B2409),2)))))</f>
        <v/>
      </c>
      <c r="C2409" s="36" t="str">
        <f aca="false">IF(Raw_Export!$A2409="","",IFERROR(VLOOKUP(LOWER(TRIM(Raw_Export!C2409)),Maps!$A$2:$B$20,2,FALSE()),"UNMAPPED"))</f>
        <v/>
      </c>
      <c r="D2409" s="36" t="str">
        <f aca="false">IF(Raw_Export!$A2409="","",IFERROR(VLOOKUP(LOWER(TRIM(Raw_Export!D2409)),Maps!$G$2:$I$80,2,FALSE()),"UNMAPPED"))</f>
        <v/>
      </c>
      <c r="E2409" s="36" t="str">
        <f aca="false">IF(Raw_Export!$A2409="","",IFERROR(VLOOKUP(LOWER(TRIM(Raw_Export!D2409)),Maps!$G$2:$I$80,3,FALSE()),"UNMAPPED"))</f>
        <v/>
      </c>
      <c r="F2409" s="36" t="str">
        <f aca="false">IF(Raw_Export!$A2409="","",IFERROR(VALUE(TRIM(Raw_Export!E2409)),0))</f>
        <v/>
      </c>
      <c r="G2409" s="38" t="str">
        <f aca="false">IF(Raw_Export!$A2409="","",IFERROR(VALUE(SUBSTITUTE(SUBSTITUTE(UPPER(TRIM(Raw_Export!F2409)),"KES",""),",","")),0))</f>
        <v/>
      </c>
      <c r="H2409" s="38" t="str">
        <f aca="false">IF(Raw_Export!$A2409="","",F2409*G2409)</f>
        <v/>
      </c>
      <c r="I2409" s="36" t="str">
        <f aca="false">IF(Raw_Export!$A2409="","",IFERROR(VLOOKUP(LOWER(TRIM(Raw_Export!H2409)),Maps!$D$2:$E$12,2,FALSE()),"Other"))</f>
        <v/>
      </c>
      <c r="J2409" s="36" t="str">
        <f aca="false">IF(Raw_Export!$A2409="","",IF(COUNTIF($A$2:A2409,A2409)&gt;1,"Duplicate",""))</f>
        <v/>
      </c>
      <c r="K2409" s="36" t="str">
        <f aca="false">IF(Raw_Export!$A2409="","",IF(J2409="Duplicate","Duplicate",IF(OR(C2409="UNMAPPED",D2409="UNMAPPED"),"Unmapped",IF(F2409=0,"Blank qty",IF(F2409&lt;0,"Return","OK")))))</f>
        <v/>
      </c>
      <c r="L2409" s="36" t="str">
        <f aca="false">IF(Raw_Export!$A2409="","",IF(OR(K2409="OK",K2409="Return"),1,0))</f>
        <v/>
      </c>
      <c r="M2409" s="37" t="str">
        <f aca="false">IF(Raw_Export!$A2409="","",B2409-WEEKDAY(B2409,2)+1)</f>
        <v/>
      </c>
    </row>
    <row r="2410" customFormat="false" ht="15" hidden="false" customHeight="false" outlineLevel="0" collapsed="false">
      <c r="A2410" s="36" t="str">
        <f aca="false">IF(Raw_Export!$A2410="","",TRIM(Raw_Export!A2410))</f>
        <v/>
      </c>
      <c r="B2410" s="37" t="str">
        <f aca="false">IF(Raw_Export!$A2410="","",IF(ISNUMBER(Raw_Export!B2410),Raw_Export!B2410,IF(MID(TRIM(Raw_Export!B2410),5,1)="-",DATE(LEFT(TRIM(Raw_Export!B2410),4),MID(TRIM(Raw_Export!B2410),6,2),RIGHT(TRIM(Raw_Export!B2410),2)),DATE(RIGHT(TRIM(Raw_Export!B2410),4),MATCH(MID(TRIM(Raw_Export!B2410),4,3),{"Jan","Feb","Mar","Apr","May","Jun","Jul","Aug","Sep","Oct","Nov","Dec"},0),LEFT(TRIM(Raw_Export!B2410),2)))))</f>
        <v/>
      </c>
      <c r="C2410" s="36" t="str">
        <f aca="false">IF(Raw_Export!$A2410="","",IFERROR(VLOOKUP(LOWER(TRIM(Raw_Export!C2410)),Maps!$A$2:$B$20,2,FALSE()),"UNMAPPED"))</f>
        <v/>
      </c>
      <c r="D2410" s="36" t="str">
        <f aca="false">IF(Raw_Export!$A2410="","",IFERROR(VLOOKUP(LOWER(TRIM(Raw_Export!D2410)),Maps!$G$2:$I$80,2,FALSE()),"UNMAPPED"))</f>
        <v/>
      </c>
      <c r="E2410" s="36" t="str">
        <f aca="false">IF(Raw_Export!$A2410="","",IFERROR(VLOOKUP(LOWER(TRIM(Raw_Export!D2410)),Maps!$G$2:$I$80,3,FALSE()),"UNMAPPED"))</f>
        <v/>
      </c>
      <c r="F2410" s="36" t="str">
        <f aca="false">IF(Raw_Export!$A2410="","",IFERROR(VALUE(TRIM(Raw_Export!E2410)),0))</f>
        <v/>
      </c>
      <c r="G2410" s="38" t="str">
        <f aca="false">IF(Raw_Export!$A2410="","",IFERROR(VALUE(SUBSTITUTE(SUBSTITUTE(UPPER(TRIM(Raw_Export!F2410)),"KES",""),",","")),0))</f>
        <v/>
      </c>
      <c r="H2410" s="38" t="str">
        <f aca="false">IF(Raw_Export!$A2410="","",F2410*G2410)</f>
        <v/>
      </c>
      <c r="I2410" s="36" t="str">
        <f aca="false">IF(Raw_Export!$A2410="","",IFERROR(VLOOKUP(LOWER(TRIM(Raw_Export!H2410)),Maps!$D$2:$E$12,2,FALSE()),"Other"))</f>
        <v/>
      </c>
      <c r="J2410" s="36" t="str">
        <f aca="false">IF(Raw_Export!$A2410="","",IF(COUNTIF($A$2:A2410,A2410)&gt;1,"Duplicate",""))</f>
        <v/>
      </c>
      <c r="K2410" s="36" t="str">
        <f aca="false">IF(Raw_Export!$A2410="","",IF(J2410="Duplicate","Duplicate",IF(OR(C2410="UNMAPPED",D2410="UNMAPPED"),"Unmapped",IF(F2410=0,"Blank qty",IF(F2410&lt;0,"Return","OK")))))</f>
        <v/>
      </c>
      <c r="L2410" s="36" t="str">
        <f aca="false">IF(Raw_Export!$A2410="","",IF(OR(K2410="OK",K2410="Return"),1,0))</f>
        <v/>
      </c>
      <c r="M2410" s="37" t="str">
        <f aca="false">IF(Raw_Export!$A2410="","",B2410-WEEKDAY(B2410,2)+1)</f>
        <v/>
      </c>
    </row>
    <row r="2411" customFormat="false" ht="15" hidden="false" customHeight="false" outlineLevel="0" collapsed="false">
      <c r="A2411" s="36" t="str">
        <f aca="false">IF(Raw_Export!$A2411="","",TRIM(Raw_Export!A2411))</f>
        <v/>
      </c>
      <c r="B2411" s="37" t="str">
        <f aca="false">IF(Raw_Export!$A2411="","",IF(ISNUMBER(Raw_Export!B2411),Raw_Export!B2411,IF(MID(TRIM(Raw_Export!B2411),5,1)="-",DATE(LEFT(TRIM(Raw_Export!B2411),4),MID(TRIM(Raw_Export!B2411),6,2),RIGHT(TRIM(Raw_Export!B2411),2)),DATE(RIGHT(TRIM(Raw_Export!B2411),4),MATCH(MID(TRIM(Raw_Export!B2411),4,3),{"Jan","Feb","Mar","Apr","May","Jun","Jul","Aug","Sep","Oct","Nov","Dec"},0),LEFT(TRIM(Raw_Export!B2411),2)))))</f>
        <v/>
      </c>
      <c r="C2411" s="36" t="str">
        <f aca="false">IF(Raw_Export!$A2411="","",IFERROR(VLOOKUP(LOWER(TRIM(Raw_Export!C2411)),Maps!$A$2:$B$20,2,FALSE()),"UNMAPPED"))</f>
        <v/>
      </c>
      <c r="D2411" s="36" t="str">
        <f aca="false">IF(Raw_Export!$A2411="","",IFERROR(VLOOKUP(LOWER(TRIM(Raw_Export!D2411)),Maps!$G$2:$I$80,2,FALSE()),"UNMAPPED"))</f>
        <v/>
      </c>
      <c r="E2411" s="36" t="str">
        <f aca="false">IF(Raw_Export!$A2411="","",IFERROR(VLOOKUP(LOWER(TRIM(Raw_Export!D2411)),Maps!$G$2:$I$80,3,FALSE()),"UNMAPPED"))</f>
        <v/>
      </c>
      <c r="F2411" s="36" t="str">
        <f aca="false">IF(Raw_Export!$A2411="","",IFERROR(VALUE(TRIM(Raw_Export!E2411)),0))</f>
        <v/>
      </c>
      <c r="G2411" s="38" t="str">
        <f aca="false">IF(Raw_Export!$A2411="","",IFERROR(VALUE(SUBSTITUTE(SUBSTITUTE(UPPER(TRIM(Raw_Export!F2411)),"KES",""),",","")),0))</f>
        <v/>
      </c>
      <c r="H2411" s="38" t="str">
        <f aca="false">IF(Raw_Export!$A2411="","",F2411*G2411)</f>
        <v/>
      </c>
      <c r="I2411" s="36" t="str">
        <f aca="false">IF(Raw_Export!$A2411="","",IFERROR(VLOOKUP(LOWER(TRIM(Raw_Export!H2411)),Maps!$D$2:$E$12,2,FALSE()),"Other"))</f>
        <v/>
      </c>
      <c r="J2411" s="36" t="str">
        <f aca="false">IF(Raw_Export!$A2411="","",IF(COUNTIF($A$2:A2411,A2411)&gt;1,"Duplicate",""))</f>
        <v/>
      </c>
      <c r="K2411" s="36" t="str">
        <f aca="false">IF(Raw_Export!$A2411="","",IF(J2411="Duplicate","Duplicate",IF(OR(C2411="UNMAPPED",D2411="UNMAPPED"),"Unmapped",IF(F2411=0,"Blank qty",IF(F2411&lt;0,"Return","OK")))))</f>
        <v/>
      </c>
      <c r="L2411" s="36" t="str">
        <f aca="false">IF(Raw_Export!$A2411="","",IF(OR(K2411="OK",K2411="Return"),1,0))</f>
        <v/>
      </c>
      <c r="M2411" s="37" t="str">
        <f aca="false">IF(Raw_Export!$A2411="","",B2411-WEEKDAY(B2411,2)+1)</f>
        <v/>
      </c>
    </row>
    <row r="2412" customFormat="false" ht="15" hidden="false" customHeight="false" outlineLevel="0" collapsed="false">
      <c r="A2412" s="36" t="str">
        <f aca="false">IF(Raw_Export!$A2412="","",TRIM(Raw_Export!A2412))</f>
        <v/>
      </c>
      <c r="B2412" s="37" t="str">
        <f aca="false">IF(Raw_Export!$A2412="","",IF(ISNUMBER(Raw_Export!B2412),Raw_Export!B2412,IF(MID(TRIM(Raw_Export!B2412),5,1)="-",DATE(LEFT(TRIM(Raw_Export!B2412),4),MID(TRIM(Raw_Export!B2412),6,2),RIGHT(TRIM(Raw_Export!B2412),2)),DATE(RIGHT(TRIM(Raw_Export!B2412),4),MATCH(MID(TRIM(Raw_Export!B2412),4,3),{"Jan","Feb","Mar","Apr","May","Jun","Jul","Aug","Sep","Oct","Nov","Dec"},0),LEFT(TRIM(Raw_Export!B2412),2)))))</f>
        <v/>
      </c>
      <c r="C2412" s="36" t="str">
        <f aca="false">IF(Raw_Export!$A2412="","",IFERROR(VLOOKUP(LOWER(TRIM(Raw_Export!C2412)),Maps!$A$2:$B$20,2,FALSE()),"UNMAPPED"))</f>
        <v/>
      </c>
      <c r="D2412" s="36" t="str">
        <f aca="false">IF(Raw_Export!$A2412="","",IFERROR(VLOOKUP(LOWER(TRIM(Raw_Export!D2412)),Maps!$G$2:$I$80,2,FALSE()),"UNMAPPED"))</f>
        <v/>
      </c>
      <c r="E2412" s="36" t="str">
        <f aca="false">IF(Raw_Export!$A2412="","",IFERROR(VLOOKUP(LOWER(TRIM(Raw_Export!D2412)),Maps!$G$2:$I$80,3,FALSE()),"UNMAPPED"))</f>
        <v/>
      </c>
      <c r="F2412" s="36" t="str">
        <f aca="false">IF(Raw_Export!$A2412="","",IFERROR(VALUE(TRIM(Raw_Export!E2412)),0))</f>
        <v/>
      </c>
      <c r="G2412" s="38" t="str">
        <f aca="false">IF(Raw_Export!$A2412="","",IFERROR(VALUE(SUBSTITUTE(SUBSTITUTE(UPPER(TRIM(Raw_Export!F2412)),"KES",""),",","")),0))</f>
        <v/>
      </c>
      <c r="H2412" s="38" t="str">
        <f aca="false">IF(Raw_Export!$A2412="","",F2412*G2412)</f>
        <v/>
      </c>
      <c r="I2412" s="36" t="str">
        <f aca="false">IF(Raw_Export!$A2412="","",IFERROR(VLOOKUP(LOWER(TRIM(Raw_Export!H2412)),Maps!$D$2:$E$12,2,FALSE()),"Other"))</f>
        <v/>
      </c>
      <c r="J2412" s="36" t="str">
        <f aca="false">IF(Raw_Export!$A2412="","",IF(COUNTIF($A$2:A2412,A2412)&gt;1,"Duplicate",""))</f>
        <v/>
      </c>
      <c r="K2412" s="36" t="str">
        <f aca="false">IF(Raw_Export!$A2412="","",IF(J2412="Duplicate","Duplicate",IF(OR(C2412="UNMAPPED",D2412="UNMAPPED"),"Unmapped",IF(F2412=0,"Blank qty",IF(F2412&lt;0,"Return","OK")))))</f>
        <v/>
      </c>
      <c r="L2412" s="36" t="str">
        <f aca="false">IF(Raw_Export!$A2412="","",IF(OR(K2412="OK",K2412="Return"),1,0))</f>
        <v/>
      </c>
      <c r="M2412" s="37" t="str">
        <f aca="false">IF(Raw_Export!$A2412="","",B2412-WEEKDAY(B2412,2)+1)</f>
        <v/>
      </c>
    </row>
    <row r="2413" customFormat="false" ht="15" hidden="false" customHeight="false" outlineLevel="0" collapsed="false">
      <c r="A2413" s="36" t="str">
        <f aca="false">IF(Raw_Export!$A2413="","",TRIM(Raw_Export!A2413))</f>
        <v/>
      </c>
      <c r="B2413" s="37" t="str">
        <f aca="false">IF(Raw_Export!$A2413="","",IF(ISNUMBER(Raw_Export!B2413),Raw_Export!B2413,IF(MID(TRIM(Raw_Export!B2413),5,1)="-",DATE(LEFT(TRIM(Raw_Export!B2413),4),MID(TRIM(Raw_Export!B2413),6,2),RIGHT(TRIM(Raw_Export!B2413),2)),DATE(RIGHT(TRIM(Raw_Export!B2413),4),MATCH(MID(TRIM(Raw_Export!B2413),4,3),{"Jan","Feb","Mar","Apr","May","Jun","Jul","Aug","Sep","Oct","Nov","Dec"},0),LEFT(TRIM(Raw_Export!B2413),2)))))</f>
        <v/>
      </c>
      <c r="C2413" s="36" t="str">
        <f aca="false">IF(Raw_Export!$A2413="","",IFERROR(VLOOKUP(LOWER(TRIM(Raw_Export!C2413)),Maps!$A$2:$B$20,2,FALSE()),"UNMAPPED"))</f>
        <v/>
      </c>
      <c r="D2413" s="36" t="str">
        <f aca="false">IF(Raw_Export!$A2413="","",IFERROR(VLOOKUP(LOWER(TRIM(Raw_Export!D2413)),Maps!$G$2:$I$80,2,FALSE()),"UNMAPPED"))</f>
        <v/>
      </c>
      <c r="E2413" s="36" t="str">
        <f aca="false">IF(Raw_Export!$A2413="","",IFERROR(VLOOKUP(LOWER(TRIM(Raw_Export!D2413)),Maps!$G$2:$I$80,3,FALSE()),"UNMAPPED"))</f>
        <v/>
      </c>
      <c r="F2413" s="36" t="str">
        <f aca="false">IF(Raw_Export!$A2413="","",IFERROR(VALUE(TRIM(Raw_Export!E2413)),0))</f>
        <v/>
      </c>
      <c r="G2413" s="38" t="str">
        <f aca="false">IF(Raw_Export!$A2413="","",IFERROR(VALUE(SUBSTITUTE(SUBSTITUTE(UPPER(TRIM(Raw_Export!F2413)),"KES",""),",","")),0))</f>
        <v/>
      </c>
      <c r="H2413" s="38" t="str">
        <f aca="false">IF(Raw_Export!$A2413="","",F2413*G2413)</f>
        <v/>
      </c>
      <c r="I2413" s="36" t="str">
        <f aca="false">IF(Raw_Export!$A2413="","",IFERROR(VLOOKUP(LOWER(TRIM(Raw_Export!H2413)),Maps!$D$2:$E$12,2,FALSE()),"Other"))</f>
        <v/>
      </c>
      <c r="J2413" s="36" t="str">
        <f aca="false">IF(Raw_Export!$A2413="","",IF(COUNTIF($A$2:A2413,A2413)&gt;1,"Duplicate",""))</f>
        <v/>
      </c>
      <c r="K2413" s="36" t="str">
        <f aca="false">IF(Raw_Export!$A2413="","",IF(J2413="Duplicate","Duplicate",IF(OR(C2413="UNMAPPED",D2413="UNMAPPED"),"Unmapped",IF(F2413=0,"Blank qty",IF(F2413&lt;0,"Return","OK")))))</f>
        <v/>
      </c>
      <c r="L2413" s="36" t="str">
        <f aca="false">IF(Raw_Export!$A2413="","",IF(OR(K2413="OK",K2413="Return"),1,0))</f>
        <v/>
      </c>
      <c r="M2413" s="37" t="str">
        <f aca="false">IF(Raw_Export!$A2413="","",B2413-WEEKDAY(B2413,2)+1)</f>
        <v/>
      </c>
    </row>
    <row r="2414" customFormat="false" ht="15" hidden="false" customHeight="false" outlineLevel="0" collapsed="false">
      <c r="A2414" s="36" t="str">
        <f aca="false">IF(Raw_Export!$A2414="","",TRIM(Raw_Export!A2414))</f>
        <v/>
      </c>
      <c r="B2414" s="37" t="str">
        <f aca="false">IF(Raw_Export!$A2414="","",IF(ISNUMBER(Raw_Export!B2414),Raw_Export!B2414,IF(MID(TRIM(Raw_Export!B2414),5,1)="-",DATE(LEFT(TRIM(Raw_Export!B2414),4),MID(TRIM(Raw_Export!B2414),6,2),RIGHT(TRIM(Raw_Export!B2414),2)),DATE(RIGHT(TRIM(Raw_Export!B2414),4),MATCH(MID(TRIM(Raw_Export!B2414),4,3),{"Jan","Feb","Mar","Apr","May","Jun","Jul","Aug","Sep","Oct","Nov","Dec"},0),LEFT(TRIM(Raw_Export!B2414),2)))))</f>
        <v/>
      </c>
      <c r="C2414" s="36" t="str">
        <f aca="false">IF(Raw_Export!$A2414="","",IFERROR(VLOOKUP(LOWER(TRIM(Raw_Export!C2414)),Maps!$A$2:$B$20,2,FALSE()),"UNMAPPED"))</f>
        <v/>
      </c>
      <c r="D2414" s="36" t="str">
        <f aca="false">IF(Raw_Export!$A2414="","",IFERROR(VLOOKUP(LOWER(TRIM(Raw_Export!D2414)),Maps!$G$2:$I$80,2,FALSE()),"UNMAPPED"))</f>
        <v/>
      </c>
      <c r="E2414" s="36" t="str">
        <f aca="false">IF(Raw_Export!$A2414="","",IFERROR(VLOOKUP(LOWER(TRIM(Raw_Export!D2414)),Maps!$G$2:$I$80,3,FALSE()),"UNMAPPED"))</f>
        <v/>
      </c>
      <c r="F2414" s="36" t="str">
        <f aca="false">IF(Raw_Export!$A2414="","",IFERROR(VALUE(TRIM(Raw_Export!E2414)),0))</f>
        <v/>
      </c>
      <c r="G2414" s="38" t="str">
        <f aca="false">IF(Raw_Export!$A2414="","",IFERROR(VALUE(SUBSTITUTE(SUBSTITUTE(UPPER(TRIM(Raw_Export!F2414)),"KES",""),",","")),0))</f>
        <v/>
      </c>
      <c r="H2414" s="38" t="str">
        <f aca="false">IF(Raw_Export!$A2414="","",F2414*G2414)</f>
        <v/>
      </c>
      <c r="I2414" s="36" t="str">
        <f aca="false">IF(Raw_Export!$A2414="","",IFERROR(VLOOKUP(LOWER(TRIM(Raw_Export!H2414)),Maps!$D$2:$E$12,2,FALSE()),"Other"))</f>
        <v/>
      </c>
      <c r="J2414" s="36" t="str">
        <f aca="false">IF(Raw_Export!$A2414="","",IF(COUNTIF($A$2:A2414,A2414)&gt;1,"Duplicate",""))</f>
        <v/>
      </c>
      <c r="K2414" s="36" t="str">
        <f aca="false">IF(Raw_Export!$A2414="","",IF(J2414="Duplicate","Duplicate",IF(OR(C2414="UNMAPPED",D2414="UNMAPPED"),"Unmapped",IF(F2414=0,"Blank qty",IF(F2414&lt;0,"Return","OK")))))</f>
        <v/>
      </c>
      <c r="L2414" s="36" t="str">
        <f aca="false">IF(Raw_Export!$A2414="","",IF(OR(K2414="OK",K2414="Return"),1,0))</f>
        <v/>
      </c>
      <c r="M2414" s="37" t="str">
        <f aca="false">IF(Raw_Export!$A2414="","",B2414-WEEKDAY(B2414,2)+1)</f>
        <v/>
      </c>
    </row>
    <row r="2415" customFormat="false" ht="15" hidden="false" customHeight="false" outlineLevel="0" collapsed="false">
      <c r="A2415" s="36" t="str">
        <f aca="false">IF(Raw_Export!$A2415="","",TRIM(Raw_Export!A2415))</f>
        <v/>
      </c>
      <c r="B2415" s="37" t="str">
        <f aca="false">IF(Raw_Export!$A2415="","",IF(ISNUMBER(Raw_Export!B2415),Raw_Export!B2415,IF(MID(TRIM(Raw_Export!B2415),5,1)="-",DATE(LEFT(TRIM(Raw_Export!B2415),4),MID(TRIM(Raw_Export!B2415),6,2),RIGHT(TRIM(Raw_Export!B2415),2)),DATE(RIGHT(TRIM(Raw_Export!B2415),4),MATCH(MID(TRIM(Raw_Export!B2415),4,3),{"Jan","Feb","Mar","Apr","May","Jun","Jul","Aug","Sep","Oct","Nov","Dec"},0),LEFT(TRIM(Raw_Export!B2415),2)))))</f>
        <v/>
      </c>
      <c r="C2415" s="36" t="str">
        <f aca="false">IF(Raw_Export!$A2415="","",IFERROR(VLOOKUP(LOWER(TRIM(Raw_Export!C2415)),Maps!$A$2:$B$20,2,FALSE()),"UNMAPPED"))</f>
        <v/>
      </c>
      <c r="D2415" s="36" t="str">
        <f aca="false">IF(Raw_Export!$A2415="","",IFERROR(VLOOKUP(LOWER(TRIM(Raw_Export!D2415)),Maps!$G$2:$I$80,2,FALSE()),"UNMAPPED"))</f>
        <v/>
      </c>
      <c r="E2415" s="36" t="str">
        <f aca="false">IF(Raw_Export!$A2415="","",IFERROR(VLOOKUP(LOWER(TRIM(Raw_Export!D2415)),Maps!$G$2:$I$80,3,FALSE()),"UNMAPPED"))</f>
        <v/>
      </c>
      <c r="F2415" s="36" t="str">
        <f aca="false">IF(Raw_Export!$A2415="","",IFERROR(VALUE(TRIM(Raw_Export!E2415)),0))</f>
        <v/>
      </c>
      <c r="G2415" s="38" t="str">
        <f aca="false">IF(Raw_Export!$A2415="","",IFERROR(VALUE(SUBSTITUTE(SUBSTITUTE(UPPER(TRIM(Raw_Export!F2415)),"KES",""),",","")),0))</f>
        <v/>
      </c>
      <c r="H2415" s="38" t="str">
        <f aca="false">IF(Raw_Export!$A2415="","",F2415*G2415)</f>
        <v/>
      </c>
      <c r="I2415" s="36" t="str">
        <f aca="false">IF(Raw_Export!$A2415="","",IFERROR(VLOOKUP(LOWER(TRIM(Raw_Export!H2415)),Maps!$D$2:$E$12,2,FALSE()),"Other"))</f>
        <v/>
      </c>
      <c r="J2415" s="36" t="str">
        <f aca="false">IF(Raw_Export!$A2415="","",IF(COUNTIF($A$2:A2415,A2415)&gt;1,"Duplicate",""))</f>
        <v/>
      </c>
      <c r="K2415" s="36" t="str">
        <f aca="false">IF(Raw_Export!$A2415="","",IF(J2415="Duplicate","Duplicate",IF(OR(C2415="UNMAPPED",D2415="UNMAPPED"),"Unmapped",IF(F2415=0,"Blank qty",IF(F2415&lt;0,"Return","OK")))))</f>
        <v/>
      </c>
      <c r="L2415" s="36" t="str">
        <f aca="false">IF(Raw_Export!$A2415="","",IF(OR(K2415="OK",K2415="Return"),1,0))</f>
        <v/>
      </c>
      <c r="M2415" s="37" t="str">
        <f aca="false">IF(Raw_Export!$A2415="","",B2415-WEEKDAY(B2415,2)+1)</f>
        <v/>
      </c>
    </row>
    <row r="2416" customFormat="false" ht="15" hidden="false" customHeight="false" outlineLevel="0" collapsed="false">
      <c r="A2416" s="36" t="str">
        <f aca="false">IF(Raw_Export!$A2416="","",TRIM(Raw_Export!A2416))</f>
        <v/>
      </c>
      <c r="B2416" s="37" t="str">
        <f aca="false">IF(Raw_Export!$A2416="","",IF(ISNUMBER(Raw_Export!B2416),Raw_Export!B2416,IF(MID(TRIM(Raw_Export!B2416),5,1)="-",DATE(LEFT(TRIM(Raw_Export!B2416),4),MID(TRIM(Raw_Export!B2416),6,2),RIGHT(TRIM(Raw_Export!B2416),2)),DATE(RIGHT(TRIM(Raw_Export!B2416),4),MATCH(MID(TRIM(Raw_Export!B2416),4,3),{"Jan","Feb","Mar","Apr","May","Jun","Jul","Aug","Sep","Oct","Nov","Dec"},0),LEFT(TRIM(Raw_Export!B2416),2)))))</f>
        <v/>
      </c>
      <c r="C2416" s="36" t="str">
        <f aca="false">IF(Raw_Export!$A2416="","",IFERROR(VLOOKUP(LOWER(TRIM(Raw_Export!C2416)),Maps!$A$2:$B$20,2,FALSE()),"UNMAPPED"))</f>
        <v/>
      </c>
      <c r="D2416" s="36" t="str">
        <f aca="false">IF(Raw_Export!$A2416="","",IFERROR(VLOOKUP(LOWER(TRIM(Raw_Export!D2416)),Maps!$G$2:$I$80,2,FALSE()),"UNMAPPED"))</f>
        <v/>
      </c>
      <c r="E2416" s="36" t="str">
        <f aca="false">IF(Raw_Export!$A2416="","",IFERROR(VLOOKUP(LOWER(TRIM(Raw_Export!D2416)),Maps!$G$2:$I$80,3,FALSE()),"UNMAPPED"))</f>
        <v/>
      </c>
      <c r="F2416" s="36" t="str">
        <f aca="false">IF(Raw_Export!$A2416="","",IFERROR(VALUE(TRIM(Raw_Export!E2416)),0))</f>
        <v/>
      </c>
      <c r="G2416" s="38" t="str">
        <f aca="false">IF(Raw_Export!$A2416="","",IFERROR(VALUE(SUBSTITUTE(SUBSTITUTE(UPPER(TRIM(Raw_Export!F2416)),"KES",""),",","")),0))</f>
        <v/>
      </c>
      <c r="H2416" s="38" t="str">
        <f aca="false">IF(Raw_Export!$A2416="","",F2416*G2416)</f>
        <v/>
      </c>
      <c r="I2416" s="36" t="str">
        <f aca="false">IF(Raw_Export!$A2416="","",IFERROR(VLOOKUP(LOWER(TRIM(Raw_Export!H2416)),Maps!$D$2:$E$12,2,FALSE()),"Other"))</f>
        <v/>
      </c>
      <c r="J2416" s="36" t="str">
        <f aca="false">IF(Raw_Export!$A2416="","",IF(COUNTIF($A$2:A2416,A2416)&gt;1,"Duplicate",""))</f>
        <v/>
      </c>
      <c r="K2416" s="36" t="str">
        <f aca="false">IF(Raw_Export!$A2416="","",IF(J2416="Duplicate","Duplicate",IF(OR(C2416="UNMAPPED",D2416="UNMAPPED"),"Unmapped",IF(F2416=0,"Blank qty",IF(F2416&lt;0,"Return","OK")))))</f>
        <v/>
      </c>
      <c r="L2416" s="36" t="str">
        <f aca="false">IF(Raw_Export!$A2416="","",IF(OR(K2416="OK",K2416="Return"),1,0))</f>
        <v/>
      </c>
      <c r="M2416" s="37" t="str">
        <f aca="false">IF(Raw_Export!$A2416="","",B2416-WEEKDAY(B2416,2)+1)</f>
        <v/>
      </c>
    </row>
    <row r="2417" customFormat="false" ht="15" hidden="false" customHeight="false" outlineLevel="0" collapsed="false">
      <c r="A2417" s="36" t="str">
        <f aca="false">IF(Raw_Export!$A2417="","",TRIM(Raw_Export!A2417))</f>
        <v/>
      </c>
      <c r="B2417" s="37" t="str">
        <f aca="false">IF(Raw_Export!$A2417="","",IF(ISNUMBER(Raw_Export!B2417),Raw_Export!B2417,IF(MID(TRIM(Raw_Export!B2417),5,1)="-",DATE(LEFT(TRIM(Raw_Export!B2417),4),MID(TRIM(Raw_Export!B2417),6,2),RIGHT(TRIM(Raw_Export!B2417),2)),DATE(RIGHT(TRIM(Raw_Export!B2417),4),MATCH(MID(TRIM(Raw_Export!B2417),4,3),{"Jan","Feb","Mar","Apr","May","Jun","Jul","Aug","Sep","Oct","Nov","Dec"},0),LEFT(TRIM(Raw_Export!B2417),2)))))</f>
        <v/>
      </c>
      <c r="C2417" s="36" t="str">
        <f aca="false">IF(Raw_Export!$A2417="","",IFERROR(VLOOKUP(LOWER(TRIM(Raw_Export!C2417)),Maps!$A$2:$B$20,2,FALSE()),"UNMAPPED"))</f>
        <v/>
      </c>
      <c r="D2417" s="36" t="str">
        <f aca="false">IF(Raw_Export!$A2417="","",IFERROR(VLOOKUP(LOWER(TRIM(Raw_Export!D2417)),Maps!$G$2:$I$80,2,FALSE()),"UNMAPPED"))</f>
        <v/>
      </c>
      <c r="E2417" s="36" t="str">
        <f aca="false">IF(Raw_Export!$A2417="","",IFERROR(VLOOKUP(LOWER(TRIM(Raw_Export!D2417)),Maps!$G$2:$I$80,3,FALSE()),"UNMAPPED"))</f>
        <v/>
      </c>
      <c r="F2417" s="36" t="str">
        <f aca="false">IF(Raw_Export!$A2417="","",IFERROR(VALUE(TRIM(Raw_Export!E2417)),0))</f>
        <v/>
      </c>
      <c r="G2417" s="38" t="str">
        <f aca="false">IF(Raw_Export!$A2417="","",IFERROR(VALUE(SUBSTITUTE(SUBSTITUTE(UPPER(TRIM(Raw_Export!F2417)),"KES",""),",","")),0))</f>
        <v/>
      </c>
      <c r="H2417" s="38" t="str">
        <f aca="false">IF(Raw_Export!$A2417="","",F2417*G2417)</f>
        <v/>
      </c>
      <c r="I2417" s="36" t="str">
        <f aca="false">IF(Raw_Export!$A2417="","",IFERROR(VLOOKUP(LOWER(TRIM(Raw_Export!H2417)),Maps!$D$2:$E$12,2,FALSE()),"Other"))</f>
        <v/>
      </c>
      <c r="J2417" s="36" t="str">
        <f aca="false">IF(Raw_Export!$A2417="","",IF(COUNTIF($A$2:A2417,A2417)&gt;1,"Duplicate",""))</f>
        <v/>
      </c>
      <c r="K2417" s="36" t="str">
        <f aca="false">IF(Raw_Export!$A2417="","",IF(J2417="Duplicate","Duplicate",IF(OR(C2417="UNMAPPED",D2417="UNMAPPED"),"Unmapped",IF(F2417=0,"Blank qty",IF(F2417&lt;0,"Return","OK")))))</f>
        <v/>
      </c>
      <c r="L2417" s="36" t="str">
        <f aca="false">IF(Raw_Export!$A2417="","",IF(OR(K2417="OK",K2417="Return"),1,0))</f>
        <v/>
      </c>
      <c r="M2417" s="37" t="str">
        <f aca="false">IF(Raw_Export!$A2417="","",B2417-WEEKDAY(B2417,2)+1)</f>
        <v/>
      </c>
    </row>
    <row r="2418" customFormat="false" ht="15" hidden="false" customHeight="false" outlineLevel="0" collapsed="false">
      <c r="A2418" s="36" t="str">
        <f aca="false">IF(Raw_Export!$A2418="","",TRIM(Raw_Export!A2418))</f>
        <v/>
      </c>
      <c r="B2418" s="37" t="str">
        <f aca="false">IF(Raw_Export!$A2418="","",IF(ISNUMBER(Raw_Export!B2418),Raw_Export!B2418,IF(MID(TRIM(Raw_Export!B2418),5,1)="-",DATE(LEFT(TRIM(Raw_Export!B2418),4),MID(TRIM(Raw_Export!B2418),6,2),RIGHT(TRIM(Raw_Export!B2418),2)),DATE(RIGHT(TRIM(Raw_Export!B2418),4),MATCH(MID(TRIM(Raw_Export!B2418),4,3),{"Jan","Feb","Mar","Apr","May","Jun","Jul","Aug","Sep","Oct","Nov","Dec"},0),LEFT(TRIM(Raw_Export!B2418),2)))))</f>
        <v/>
      </c>
      <c r="C2418" s="36" t="str">
        <f aca="false">IF(Raw_Export!$A2418="","",IFERROR(VLOOKUP(LOWER(TRIM(Raw_Export!C2418)),Maps!$A$2:$B$20,2,FALSE()),"UNMAPPED"))</f>
        <v/>
      </c>
      <c r="D2418" s="36" t="str">
        <f aca="false">IF(Raw_Export!$A2418="","",IFERROR(VLOOKUP(LOWER(TRIM(Raw_Export!D2418)),Maps!$G$2:$I$80,2,FALSE()),"UNMAPPED"))</f>
        <v/>
      </c>
      <c r="E2418" s="36" t="str">
        <f aca="false">IF(Raw_Export!$A2418="","",IFERROR(VLOOKUP(LOWER(TRIM(Raw_Export!D2418)),Maps!$G$2:$I$80,3,FALSE()),"UNMAPPED"))</f>
        <v/>
      </c>
      <c r="F2418" s="36" t="str">
        <f aca="false">IF(Raw_Export!$A2418="","",IFERROR(VALUE(TRIM(Raw_Export!E2418)),0))</f>
        <v/>
      </c>
      <c r="G2418" s="38" t="str">
        <f aca="false">IF(Raw_Export!$A2418="","",IFERROR(VALUE(SUBSTITUTE(SUBSTITUTE(UPPER(TRIM(Raw_Export!F2418)),"KES",""),",","")),0))</f>
        <v/>
      </c>
      <c r="H2418" s="38" t="str">
        <f aca="false">IF(Raw_Export!$A2418="","",F2418*G2418)</f>
        <v/>
      </c>
      <c r="I2418" s="36" t="str">
        <f aca="false">IF(Raw_Export!$A2418="","",IFERROR(VLOOKUP(LOWER(TRIM(Raw_Export!H2418)),Maps!$D$2:$E$12,2,FALSE()),"Other"))</f>
        <v/>
      </c>
      <c r="J2418" s="36" t="str">
        <f aca="false">IF(Raw_Export!$A2418="","",IF(COUNTIF($A$2:A2418,A2418)&gt;1,"Duplicate",""))</f>
        <v/>
      </c>
      <c r="K2418" s="36" t="str">
        <f aca="false">IF(Raw_Export!$A2418="","",IF(J2418="Duplicate","Duplicate",IF(OR(C2418="UNMAPPED",D2418="UNMAPPED"),"Unmapped",IF(F2418=0,"Blank qty",IF(F2418&lt;0,"Return","OK")))))</f>
        <v/>
      </c>
      <c r="L2418" s="36" t="str">
        <f aca="false">IF(Raw_Export!$A2418="","",IF(OR(K2418="OK",K2418="Return"),1,0))</f>
        <v/>
      </c>
      <c r="M2418" s="37" t="str">
        <f aca="false">IF(Raw_Export!$A2418="","",B2418-WEEKDAY(B2418,2)+1)</f>
        <v/>
      </c>
    </row>
    <row r="2419" customFormat="false" ht="15" hidden="false" customHeight="false" outlineLevel="0" collapsed="false">
      <c r="A2419" s="36" t="str">
        <f aca="false">IF(Raw_Export!$A2419="","",TRIM(Raw_Export!A2419))</f>
        <v/>
      </c>
      <c r="B2419" s="37" t="str">
        <f aca="false">IF(Raw_Export!$A2419="","",IF(ISNUMBER(Raw_Export!B2419),Raw_Export!B2419,IF(MID(TRIM(Raw_Export!B2419),5,1)="-",DATE(LEFT(TRIM(Raw_Export!B2419),4),MID(TRIM(Raw_Export!B2419),6,2),RIGHT(TRIM(Raw_Export!B2419),2)),DATE(RIGHT(TRIM(Raw_Export!B2419),4),MATCH(MID(TRIM(Raw_Export!B2419),4,3),{"Jan","Feb","Mar","Apr","May","Jun","Jul","Aug","Sep","Oct","Nov","Dec"},0),LEFT(TRIM(Raw_Export!B2419),2)))))</f>
        <v/>
      </c>
      <c r="C2419" s="36" t="str">
        <f aca="false">IF(Raw_Export!$A2419="","",IFERROR(VLOOKUP(LOWER(TRIM(Raw_Export!C2419)),Maps!$A$2:$B$20,2,FALSE()),"UNMAPPED"))</f>
        <v/>
      </c>
      <c r="D2419" s="36" t="str">
        <f aca="false">IF(Raw_Export!$A2419="","",IFERROR(VLOOKUP(LOWER(TRIM(Raw_Export!D2419)),Maps!$G$2:$I$80,2,FALSE()),"UNMAPPED"))</f>
        <v/>
      </c>
      <c r="E2419" s="36" t="str">
        <f aca="false">IF(Raw_Export!$A2419="","",IFERROR(VLOOKUP(LOWER(TRIM(Raw_Export!D2419)),Maps!$G$2:$I$80,3,FALSE()),"UNMAPPED"))</f>
        <v/>
      </c>
      <c r="F2419" s="36" t="str">
        <f aca="false">IF(Raw_Export!$A2419="","",IFERROR(VALUE(TRIM(Raw_Export!E2419)),0))</f>
        <v/>
      </c>
      <c r="G2419" s="38" t="str">
        <f aca="false">IF(Raw_Export!$A2419="","",IFERROR(VALUE(SUBSTITUTE(SUBSTITUTE(UPPER(TRIM(Raw_Export!F2419)),"KES",""),",","")),0))</f>
        <v/>
      </c>
      <c r="H2419" s="38" t="str">
        <f aca="false">IF(Raw_Export!$A2419="","",F2419*G2419)</f>
        <v/>
      </c>
      <c r="I2419" s="36" t="str">
        <f aca="false">IF(Raw_Export!$A2419="","",IFERROR(VLOOKUP(LOWER(TRIM(Raw_Export!H2419)),Maps!$D$2:$E$12,2,FALSE()),"Other"))</f>
        <v/>
      </c>
      <c r="J2419" s="36" t="str">
        <f aca="false">IF(Raw_Export!$A2419="","",IF(COUNTIF($A$2:A2419,A2419)&gt;1,"Duplicate",""))</f>
        <v/>
      </c>
      <c r="K2419" s="36" t="str">
        <f aca="false">IF(Raw_Export!$A2419="","",IF(J2419="Duplicate","Duplicate",IF(OR(C2419="UNMAPPED",D2419="UNMAPPED"),"Unmapped",IF(F2419=0,"Blank qty",IF(F2419&lt;0,"Return","OK")))))</f>
        <v/>
      </c>
      <c r="L2419" s="36" t="str">
        <f aca="false">IF(Raw_Export!$A2419="","",IF(OR(K2419="OK",K2419="Return"),1,0))</f>
        <v/>
      </c>
      <c r="M2419" s="37" t="str">
        <f aca="false">IF(Raw_Export!$A2419="","",B2419-WEEKDAY(B2419,2)+1)</f>
        <v/>
      </c>
    </row>
    <row r="2420" customFormat="false" ht="15" hidden="false" customHeight="false" outlineLevel="0" collapsed="false">
      <c r="A2420" s="36" t="str">
        <f aca="false">IF(Raw_Export!$A2420="","",TRIM(Raw_Export!A2420))</f>
        <v/>
      </c>
      <c r="B2420" s="37" t="str">
        <f aca="false">IF(Raw_Export!$A2420="","",IF(ISNUMBER(Raw_Export!B2420),Raw_Export!B2420,IF(MID(TRIM(Raw_Export!B2420),5,1)="-",DATE(LEFT(TRIM(Raw_Export!B2420),4),MID(TRIM(Raw_Export!B2420),6,2),RIGHT(TRIM(Raw_Export!B2420),2)),DATE(RIGHT(TRIM(Raw_Export!B2420),4),MATCH(MID(TRIM(Raw_Export!B2420),4,3),{"Jan","Feb","Mar","Apr","May","Jun","Jul","Aug","Sep","Oct","Nov","Dec"},0),LEFT(TRIM(Raw_Export!B2420),2)))))</f>
        <v/>
      </c>
      <c r="C2420" s="36" t="str">
        <f aca="false">IF(Raw_Export!$A2420="","",IFERROR(VLOOKUP(LOWER(TRIM(Raw_Export!C2420)),Maps!$A$2:$B$20,2,FALSE()),"UNMAPPED"))</f>
        <v/>
      </c>
      <c r="D2420" s="36" t="str">
        <f aca="false">IF(Raw_Export!$A2420="","",IFERROR(VLOOKUP(LOWER(TRIM(Raw_Export!D2420)),Maps!$G$2:$I$80,2,FALSE()),"UNMAPPED"))</f>
        <v/>
      </c>
      <c r="E2420" s="36" t="str">
        <f aca="false">IF(Raw_Export!$A2420="","",IFERROR(VLOOKUP(LOWER(TRIM(Raw_Export!D2420)),Maps!$G$2:$I$80,3,FALSE()),"UNMAPPED"))</f>
        <v/>
      </c>
      <c r="F2420" s="36" t="str">
        <f aca="false">IF(Raw_Export!$A2420="","",IFERROR(VALUE(TRIM(Raw_Export!E2420)),0))</f>
        <v/>
      </c>
      <c r="G2420" s="38" t="str">
        <f aca="false">IF(Raw_Export!$A2420="","",IFERROR(VALUE(SUBSTITUTE(SUBSTITUTE(UPPER(TRIM(Raw_Export!F2420)),"KES",""),",","")),0))</f>
        <v/>
      </c>
      <c r="H2420" s="38" t="str">
        <f aca="false">IF(Raw_Export!$A2420="","",F2420*G2420)</f>
        <v/>
      </c>
      <c r="I2420" s="36" t="str">
        <f aca="false">IF(Raw_Export!$A2420="","",IFERROR(VLOOKUP(LOWER(TRIM(Raw_Export!H2420)),Maps!$D$2:$E$12,2,FALSE()),"Other"))</f>
        <v/>
      </c>
      <c r="J2420" s="36" t="str">
        <f aca="false">IF(Raw_Export!$A2420="","",IF(COUNTIF($A$2:A2420,A2420)&gt;1,"Duplicate",""))</f>
        <v/>
      </c>
      <c r="K2420" s="36" t="str">
        <f aca="false">IF(Raw_Export!$A2420="","",IF(J2420="Duplicate","Duplicate",IF(OR(C2420="UNMAPPED",D2420="UNMAPPED"),"Unmapped",IF(F2420=0,"Blank qty",IF(F2420&lt;0,"Return","OK")))))</f>
        <v/>
      </c>
      <c r="L2420" s="36" t="str">
        <f aca="false">IF(Raw_Export!$A2420="","",IF(OR(K2420="OK",K2420="Return"),1,0))</f>
        <v/>
      </c>
      <c r="M2420" s="37" t="str">
        <f aca="false">IF(Raw_Export!$A2420="","",B2420-WEEKDAY(B2420,2)+1)</f>
        <v/>
      </c>
    </row>
    <row r="2421" customFormat="false" ht="15" hidden="false" customHeight="false" outlineLevel="0" collapsed="false">
      <c r="A2421" s="36" t="str">
        <f aca="false">IF(Raw_Export!$A2421="","",TRIM(Raw_Export!A2421))</f>
        <v/>
      </c>
      <c r="B2421" s="37" t="str">
        <f aca="false">IF(Raw_Export!$A2421="","",IF(ISNUMBER(Raw_Export!B2421),Raw_Export!B2421,IF(MID(TRIM(Raw_Export!B2421),5,1)="-",DATE(LEFT(TRIM(Raw_Export!B2421),4),MID(TRIM(Raw_Export!B2421),6,2),RIGHT(TRIM(Raw_Export!B2421),2)),DATE(RIGHT(TRIM(Raw_Export!B2421),4),MATCH(MID(TRIM(Raw_Export!B2421),4,3),{"Jan","Feb","Mar","Apr","May","Jun","Jul","Aug","Sep","Oct","Nov","Dec"},0),LEFT(TRIM(Raw_Export!B2421),2)))))</f>
        <v/>
      </c>
      <c r="C2421" s="36" t="str">
        <f aca="false">IF(Raw_Export!$A2421="","",IFERROR(VLOOKUP(LOWER(TRIM(Raw_Export!C2421)),Maps!$A$2:$B$20,2,FALSE()),"UNMAPPED"))</f>
        <v/>
      </c>
      <c r="D2421" s="36" t="str">
        <f aca="false">IF(Raw_Export!$A2421="","",IFERROR(VLOOKUP(LOWER(TRIM(Raw_Export!D2421)),Maps!$G$2:$I$80,2,FALSE()),"UNMAPPED"))</f>
        <v/>
      </c>
      <c r="E2421" s="36" t="str">
        <f aca="false">IF(Raw_Export!$A2421="","",IFERROR(VLOOKUP(LOWER(TRIM(Raw_Export!D2421)),Maps!$G$2:$I$80,3,FALSE()),"UNMAPPED"))</f>
        <v/>
      </c>
      <c r="F2421" s="36" t="str">
        <f aca="false">IF(Raw_Export!$A2421="","",IFERROR(VALUE(TRIM(Raw_Export!E2421)),0))</f>
        <v/>
      </c>
      <c r="G2421" s="38" t="str">
        <f aca="false">IF(Raw_Export!$A2421="","",IFERROR(VALUE(SUBSTITUTE(SUBSTITUTE(UPPER(TRIM(Raw_Export!F2421)),"KES",""),",","")),0))</f>
        <v/>
      </c>
      <c r="H2421" s="38" t="str">
        <f aca="false">IF(Raw_Export!$A2421="","",F2421*G2421)</f>
        <v/>
      </c>
      <c r="I2421" s="36" t="str">
        <f aca="false">IF(Raw_Export!$A2421="","",IFERROR(VLOOKUP(LOWER(TRIM(Raw_Export!H2421)),Maps!$D$2:$E$12,2,FALSE()),"Other"))</f>
        <v/>
      </c>
      <c r="J2421" s="36" t="str">
        <f aca="false">IF(Raw_Export!$A2421="","",IF(COUNTIF($A$2:A2421,A2421)&gt;1,"Duplicate",""))</f>
        <v/>
      </c>
      <c r="K2421" s="36" t="str">
        <f aca="false">IF(Raw_Export!$A2421="","",IF(J2421="Duplicate","Duplicate",IF(OR(C2421="UNMAPPED",D2421="UNMAPPED"),"Unmapped",IF(F2421=0,"Blank qty",IF(F2421&lt;0,"Return","OK")))))</f>
        <v/>
      </c>
      <c r="L2421" s="36" t="str">
        <f aca="false">IF(Raw_Export!$A2421="","",IF(OR(K2421="OK",K2421="Return"),1,0))</f>
        <v/>
      </c>
      <c r="M2421" s="37" t="str">
        <f aca="false">IF(Raw_Export!$A2421="","",B2421-WEEKDAY(B2421,2)+1)</f>
        <v/>
      </c>
    </row>
    <row r="2422" customFormat="false" ht="15" hidden="false" customHeight="false" outlineLevel="0" collapsed="false">
      <c r="A2422" s="36" t="str">
        <f aca="false">IF(Raw_Export!$A2422="","",TRIM(Raw_Export!A2422))</f>
        <v/>
      </c>
      <c r="B2422" s="37" t="str">
        <f aca="false">IF(Raw_Export!$A2422="","",IF(ISNUMBER(Raw_Export!B2422),Raw_Export!B2422,IF(MID(TRIM(Raw_Export!B2422),5,1)="-",DATE(LEFT(TRIM(Raw_Export!B2422),4),MID(TRIM(Raw_Export!B2422),6,2),RIGHT(TRIM(Raw_Export!B2422),2)),DATE(RIGHT(TRIM(Raw_Export!B2422),4),MATCH(MID(TRIM(Raw_Export!B2422),4,3),{"Jan","Feb","Mar","Apr","May","Jun","Jul","Aug","Sep","Oct","Nov","Dec"},0),LEFT(TRIM(Raw_Export!B2422),2)))))</f>
        <v/>
      </c>
      <c r="C2422" s="36" t="str">
        <f aca="false">IF(Raw_Export!$A2422="","",IFERROR(VLOOKUP(LOWER(TRIM(Raw_Export!C2422)),Maps!$A$2:$B$20,2,FALSE()),"UNMAPPED"))</f>
        <v/>
      </c>
      <c r="D2422" s="36" t="str">
        <f aca="false">IF(Raw_Export!$A2422="","",IFERROR(VLOOKUP(LOWER(TRIM(Raw_Export!D2422)),Maps!$G$2:$I$80,2,FALSE()),"UNMAPPED"))</f>
        <v/>
      </c>
      <c r="E2422" s="36" t="str">
        <f aca="false">IF(Raw_Export!$A2422="","",IFERROR(VLOOKUP(LOWER(TRIM(Raw_Export!D2422)),Maps!$G$2:$I$80,3,FALSE()),"UNMAPPED"))</f>
        <v/>
      </c>
      <c r="F2422" s="36" t="str">
        <f aca="false">IF(Raw_Export!$A2422="","",IFERROR(VALUE(TRIM(Raw_Export!E2422)),0))</f>
        <v/>
      </c>
      <c r="G2422" s="38" t="str">
        <f aca="false">IF(Raw_Export!$A2422="","",IFERROR(VALUE(SUBSTITUTE(SUBSTITUTE(UPPER(TRIM(Raw_Export!F2422)),"KES",""),",","")),0))</f>
        <v/>
      </c>
      <c r="H2422" s="38" t="str">
        <f aca="false">IF(Raw_Export!$A2422="","",F2422*G2422)</f>
        <v/>
      </c>
      <c r="I2422" s="36" t="str">
        <f aca="false">IF(Raw_Export!$A2422="","",IFERROR(VLOOKUP(LOWER(TRIM(Raw_Export!H2422)),Maps!$D$2:$E$12,2,FALSE()),"Other"))</f>
        <v/>
      </c>
      <c r="J2422" s="36" t="str">
        <f aca="false">IF(Raw_Export!$A2422="","",IF(COUNTIF($A$2:A2422,A2422)&gt;1,"Duplicate",""))</f>
        <v/>
      </c>
      <c r="K2422" s="36" t="str">
        <f aca="false">IF(Raw_Export!$A2422="","",IF(J2422="Duplicate","Duplicate",IF(OR(C2422="UNMAPPED",D2422="UNMAPPED"),"Unmapped",IF(F2422=0,"Blank qty",IF(F2422&lt;0,"Return","OK")))))</f>
        <v/>
      </c>
      <c r="L2422" s="36" t="str">
        <f aca="false">IF(Raw_Export!$A2422="","",IF(OR(K2422="OK",K2422="Return"),1,0))</f>
        <v/>
      </c>
      <c r="M2422" s="37" t="str">
        <f aca="false">IF(Raw_Export!$A2422="","",B2422-WEEKDAY(B2422,2)+1)</f>
        <v/>
      </c>
    </row>
    <row r="2423" customFormat="false" ht="15" hidden="false" customHeight="false" outlineLevel="0" collapsed="false">
      <c r="A2423" s="36" t="str">
        <f aca="false">IF(Raw_Export!$A2423="","",TRIM(Raw_Export!A2423))</f>
        <v/>
      </c>
      <c r="B2423" s="37" t="str">
        <f aca="false">IF(Raw_Export!$A2423="","",IF(ISNUMBER(Raw_Export!B2423),Raw_Export!B2423,IF(MID(TRIM(Raw_Export!B2423),5,1)="-",DATE(LEFT(TRIM(Raw_Export!B2423),4),MID(TRIM(Raw_Export!B2423),6,2),RIGHT(TRIM(Raw_Export!B2423),2)),DATE(RIGHT(TRIM(Raw_Export!B2423),4),MATCH(MID(TRIM(Raw_Export!B2423),4,3),{"Jan","Feb","Mar","Apr","May","Jun","Jul","Aug","Sep","Oct","Nov","Dec"},0),LEFT(TRIM(Raw_Export!B2423),2)))))</f>
        <v/>
      </c>
      <c r="C2423" s="36" t="str">
        <f aca="false">IF(Raw_Export!$A2423="","",IFERROR(VLOOKUP(LOWER(TRIM(Raw_Export!C2423)),Maps!$A$2:$B$20,2,FALSE()),"UNMAPPED"))</f>
        <v/>
      </c>
      <c r="D2423" s="36" t="str">
        <f aca="false">IF(Raw_Export!$A2423="","",IFERROR(VLOOKUP(LOWER(TRIM(Raw_Export!D2423)),Maps!$G$2:$I$80,2,FALSE()),"UNMAPPED"))</f>
        <v/>
      </c>
      <c r="E2423" s="36" t="str">
        <f aca="false">IF(Raw_Export!$A2423="","",IFERROR(VLOOKUP(LOWER(TRIM(Raw_Export!D2423)),Maps!$G$2:$I$80,3,FALSE()),"UNMAPPED"))</f>
        <v/>
      </c>
      <c r="F2423" s="36" t="str">
        <f aca="false">IF(Raw_Export!$A2423="","",IFERROR(VALUE(TRIM(Raw_Export!E2423)),0))</f>
        <v/>
      </c>
      <c r="G2423" s="38" t="str">
        <f aca="false">IF(Raw_Export!$A2423="","",IFERROR(VALUE(SUBSTITUTE(SUBSTITUTE(UPPER(TRIM(Raw_Export!F2423)),"KES",""),",","")),0))</f>
        <v/>
      </c>
      <c r="H2423" s="38" t="str">
        <f aca="false">IF(Raw_Export!$A2423="","",F2423*G2423)</f>
        <v/>
      </c>
      <c r="I2423" s="36" t="str">
        <f aca="false">IF(Raw_Export!$A2423="","",IFERROR(VLOOKUP(LOWER(TRIM(Raw_Export!H2423)),Maps!$D$2:$E$12,2,FALSE()),"Other"))</f>
        <v/>
      </c>
      <c r="J2423" s="36" t="str">
        <f aca="false">IF(Raw_Export!$A2423="","",IF(COUNTIF($A$2:A2423,A2423)&gt;1,"Duplicate",""))</f>
        <v/>
      </c>
      <c r="K2423" s="36" t="str">
        <f aca="false">IF(Raw_Export!$A2423="","",IF(J2423="Duplicate","Duplicate",IF(OR(C2423="UNMAPPED",D2423="UNMAPPED"),"Unmapped",IF(F2423=0,"Blank qty",IF(F2423&lt;0,"Return","OK")))))</f>
        <v/>
      </c>
      <c r="L2423" s="36" t="str">
        <f aca="false">IF(Raw_Export!$A2423="","",IF(OR(K2423="OK",K2423="Return"),1,0))</f>
        <v/>
      </c>
      <c r="M2423" s="37" t="str">
        <f aca="false">IF(Raw_Export!$A2423="","",B2423-WEEKDAY(B2423,2)+1)</f>
        <v/>
      </c>
    </row>
    <row r="2424" customFormat="false" ht="15" hidden="false" customHeight="false" outlineLevel="0" collapsed="false">
      <c r="A2424" s="36" t="str">
        <f aca="false">IF(Raw_Export!$A2424="","",TRIM(Raw_Export!A2424))</f>
        <v/>
      </c>
      <c r="B2424" s="37" t="str">
        <f aca="false">IF(Raw_Export!$A2424="","",IF(ISNUMBER(Raw_Export!B2424),Raw_Export!B2424,IF(MID(TRIM(Raw_Export!B2424),5,1)="-",DATE(LEFT(TRIM(Raw_Export!B2424),4),MID(TRIM(Raw_Export!B2424),6,2),RIGHT(TRIM(Raw_Export!B2424),2)),DATE(RIGHT(TRIM(Raw_Export!B2424),4),MATCH(MID(TRIM(Raw_Export!B2424),4,3),{"Jan","Feb","Mar","Apr","May","Jun","Jul","Aug","Sep","Oct","Nov","Dec"},0),LEFT(TRIM(Raw_Export!B2424),2)))))</f>
        <v/>
      </c>
      <c r="C2424" s="36" t="str">
        <f aca="false">IF(Raw_Export!$A2424="","",IFERROR(VLOOKUP(LOWER(TRIM(Raw_Export!C2424)),Maps!$A$2:$B$20,2,FALSE()),"UNMAPPED"))</f>
        <v/>
      </c>
      <c r="D2424" s="36" t="str">
        <f aca="false">IF(Raw_Export!$A2424="","",IFERROR(VLOOKUP(LOWER(TRIM(Raw_Export!D2424)),Maps!$G$2:$I$80,2,FALSE()),"UNMAPPED"))</f>
        <v/>
      </c>
      <c r="E2424" s="36" t="str">
        <f aca="false">IF(Raw_Export!$A2424="","",IFERROR(VLOOKUP(LOWER(TRIM(Raw_Export!D2424)),Maps!$G$2:$I$80,3,FALSE()),"UNMAPPED"))</f>
        <v/>
      </c>
      <c r="F2424" s="36" t="str">
        <f aca="false">IF(Raw_Export!$A2424="","",IFERROR(VALUE(TRIM(Raw_Export!E2424)),0))</f>
        <v/>
      </c>
      <c r="G2424" s="38" t="str">
        <f aca="false">IF(Raw_Export!$A2424="","",IFERROR(VALUE(SUBSTITUTE(SUBSTITUTE(UPPER(TRIM(Raw_Export!F2424)),"KES",""),",","")),0))</f>
        <v/>
      </c>
      <c r="H2424" s="38" t="str">
        <f aca="false">IF(Raw_Export!$A2424="","",F2424*G2424)</f>
        <v/>
      </c>
      <c r="I2424" s="36" t="str">
        <f aca="false">IF(Raw_Export!$A2424="","",IFERROR(VLOOKUP(LOWER(TRIM(Raw_Export!H2424)),Maps!$D$2:$E$12,2,FALSE()),"Other"))</f>
        <v/>
      </c>
      <c r="J2424" s="36" t="str">
        <f aca="false">IF(Raw_Export!$A2424="","",IF(COUNTIF($A$2:A2424,A2424)&gt;1,"Duplicate",""))</f>
        <v/>
      </c>
      <c r="K2424" s="36" t="str">
        <f aca="false">IF(Raw_Export!$A2424="","",IF(J2424="Duplicate","Duplicate",IF(OR(C2424="UNMAPPED",D2424="UNMAPPED"),"Unmapped",IF(F2424=0,"Blank qty",IF(F2424&lt;0,"Return","OK")))))</f>
        <v/>
      </c>
      <c r="L2424" s="36" t="str">
        <f aca="false">IF(Raw_Export!$A2424="","",IF(OR(K2424="OK",K2424="Return"),1,0))</f>
        <v/>
      </c>
      <c r="M2424" s="37" t="str">
        <f aca="false">IF(Raw_Export!$A2424="","",B2424-WEEKDAY(B2424,2)+1)</f>
        <v/>
      </c>
    </row>
    <row r="2425" customFormat="false" ht="15" hidden="false" customHeight="false" outlineLevel="0" collapsed="false">
      <c r="A2425" s="36" t="str">
        <f aca="false">IF(Raw_Export!$A2425="","",TRIM(Raw_Export!A2425))</f>
        <v/>
      </c>
      <c r="B2425" s="37" t="str">
        <f aca="false">IF(Raw_Export!$A2425="","",IF(ISNUMBER(Raw_Export!B2425),Raw_Export!B2425,IF(MID(TRIM(Raw_Export!B2425),5,1)="-",DATE(LEFT(TRIM(Raw_Export!B2425),4),MID(TRIM(Raw_Export!B2425),6,2),RIGHT(TRIM(Raw_Export!B2425),2)),DATE(RIGHT(TRIM(Raw_Export!B2425),4),MATCH(MID(TRIM(Raw_Export!B2425),4,3),{"Jan","Feb","Mar","Apr","May","Jun","Jul","Aug","Sep","Oct","Nov","Dec"},0),LEFT(TRIM(Raw_Export!B2425),2)))))</f>
        <v/>
      </c>
      <c r="C2425" s="36" t="str">
        <f aca="false">IF(Raw_Export!$A2425="","",IFERROR(VLOOKUP(LOWER(TRIM(Raw_Export!C2425)),Maps!$A$2:$B$20,2,FALSE()),"UNMAPPED"))</f>
        <v/>
      </c>
      <c r="D2425" s="36" t="str">
        <f aca="false">IF(Raw_Export!$A2425="","",IFERROR(VLOOKUP(LOWER(TRIM(Raw_Export!D2425)),Maps!$G$2:$I$80,2,FALSE()),"UNMAPPED"))</f>
        <v/>
      </c>
      <c r="E2425" s="36" t="str">
        <f aca="false">IF(Raw_Export!$A2425="","",IFERROR(VLOOKUP(LOWER(TRIM(Raw_Export!D2425)),Maps!$G$2:$I$80,3,FALSE()),"UNMAPPED"))</f>
        <v/>
      </c>
      <c r="F2425" s="36" t="str">
        <f aca="false">IF(Raw_Export!$A2425="","",IFERROR(VALUE(TRIM(Raw_Export!E2425)),0))</f>
        <v/>
      </c>
      <c r="G2425" s="38" t="str">
        <f aca="false">IF(Raw_Export!$A2425="","",IFERROR(VALUE(SUBSTITUTE(SUBSTITUTE(UPPER(TRIM(Raw_Export!F2425)),"KES",""),",","")),0))</f>
        <v/>
      </c>
      <c r="H2425" s="38" t="str">
        <f aca="false">IF(Raw_Export!$A2425="","",F2425*G2425)</f>
        <v/>
      </c>
      <c r="I2425" s="36" t="str">
        <f aca="false">IF(Raw_Export!$A2425="","",IFERROR(VLOOKUP(LOWER(TRIM(Raw_Export!H2425)),Maps!$D$2:$E$12,2,FALSE()),"Other"))</f>
        <v/>
      </c>
      <c r="J2425" s="36" t="str">
        <f aca="false">IF(Raw_Export!$A2425="","",IF(COUNTIF($A$2:A2425,A2425)&gt;1,"Duplicate",""))</f>
        <v/>
      </c>
      <c r="K2425" s="36" t="str">
        <f aca="false">IF(Raw_Export!$A2425="","",IF(J2425="Duplicate","Duplicate",IF(OR(C2425="UNMAPPED",D2425="UNMAPPED"),"Unmapped",IF(F2425=0,"Blank qty",IF(F2425&lt;0,"Return","OK")))))</f>
        <v/>
      </c>
      <c r="L2425" s="36" t="str">
        <f aca="false">IF(Raw_Export!$A2425="","",IF(OR(K2425="OK",K2425="Return"),1,0))</f>
        <v/>
      </c>
      <c r="M2425" s="37" t="str">
        <f aca="false">IF(Raw_Export!$A2425="","",B2425-WEEKDAY(B2425,2)+1)</f>
        <v/>
      </c>
    </row>
    <row r="2426" customFormat="false" ht="15" hidden="false" customHeight="false" outlineLevel="0" collapsed="false">
      <c r="A2426" s="36" t="str">
        <f aca="false">IF(Raw_Export!$A2426="","",TRIM(Raw_Export!A2426))</f>
        <v/>
      </c>
      <c r="B2426" s="37" t="str">
        <f aca="false">IF(Raw_Export!$A2426="","",IF(ISNUMBER(Raw_Export!B2426),Raw_Export!B2426,IF(MID(TRIM(Raw_Export!B2426),5,1)="-",DATE(LEFT(TRIM(Raw_Export!B2426),4),MID(TRIM(Raw_Export!B2426),6,2),RIGHT(TRIM(Raw_Export!B2426),2)),DATE(RIGHT(TRIM(Raw_Export!B2426),4),MATCH(MID(TRIM(Raw_Export!B2426),4,3),{"Jan","Feb","Mar","Apr","May","Jun","Jul","Aug","Sep","Oct","Nov","Dec"},0),LEFT(TRIM(Raw_Export!B2426),2)))))</f>
        <v/>
      </c>
      <c r="C2426" s="36" t="str">
        <f aca="false">IF(Raw_Export!$A2426="","",IFERROR(VLOOKUP(LOWER(TRIM(Raw_Export!C2426)),Maps!$A$2:$B$20,2,FALSE()),"UNMAPPED"))</f>
        <v/>
      </c>
      <c r="D2426" s="36" t="str">
        <f aca="false">IF(Raw_Export!$A2426="","",IFERROR(VLOOKUP(LOWER(TRIM(Raw_Export!D2426)),Maps!$G$2:$I$80,2,FALSE()),"UNMAPPED"))</f>
        <v/>
      </c>
      <c r="E2426" s="36" t="str">
        <f aca="false">IF(Raw_Export!$A2426="","",IFERROR(VLOOKUP(LOWER(TRIM(Raw_Export!D2426)),Maps!$G$2:$I$80,3,FALSE()),"UNMAPPED"))</f>
        <v/>
      </c>
      <c r="F2426" s="36" t="str">
        <f aca="false">IF(Raw_Export!$A2426="","",IFERROR(VALUE(TRIM(Raw_Export!E2426)),0))</f>
        <v/>
      </c>
      <c r="G2426" s="38" t="str">
        <f aca="false">IF(Raw_Export!$A2426="","",IFERROR(VALUE(SUBSTITUTE(SUBSTITUTE(UPPER(TRIM(Raw_Export!F2426)),"KES",""),",","")),0))</f>
        <v/>
      </c>
      <c r="H2426" s="38" t="str">
        <f aca="false">IF(Raw_Export!$A2426="","",F2426*G2426)</f>
        <v/>
      </c>
      <c r="I2426" s="36" t="str">
        <f aca="false">IF(Raw_Export!$A2426="","",IFERROR(VLOOKUP(LOWER(TRIM(Raw_Export!H2426)),Maps!$D$2:$E$12,2,FALSE()),"Other"))</f>
        <v/>
      </c>
      <c r="J2426" s="36" t="str">
        <f aca="false">IF(Raw_Export!$A2426="","",IF(COUNTIF($A$2:A2426,A2426)&gt;1,"Duplicate",""))</f>
        <v/>
      </c>
      <c r="K2426" s="36" t="str">
        <f aca="false">IF(Raw_Export!$A2426="","",IF(J2426="Duplicate","Duplicate",IF(OR(C2426="UNMAPPED",D2426="UNMAPPED"),"Unmapped",IF(F2426=0,"Blank qty",IF(F2426&lt;0,"Return","OK")))))</f>
        <v/>
      </c>
      <c r="L2426" s="36" t="str">
        <f aca="false">IF(Raw_Export!$A2426="","",IF(OR(K2426="OK",K2426="Return"),1,0))</f>
        <v/>
      </c>
      <c r="M2426" s="37" t="str">
        <f aca="false">IF(Raw_Export!$A2426="","",B2426-WEEKDAY(B2426,2)+1)</f>
        <v/>
      </c>
    </row>
    <row r="2427" customFormat="false" ht="15" hidden="false" customHeight="false" outlineLevel="0" collapsed="false">
      <c r="A2427" s="36" t="str">
        <f aca="false">IF(Raw_Export!$A2427="","",TRIM(Raw_Export!A2427))</f>
        <v/>
      </c>
      <c r="B2427" s="37" t="str">
        <f aca="false">IF(Raw_Export!$A2427="","",IF(ISNUMBER(Raw_Export!B2427),Raw_Export!B2427,IF(MID(TRIM(Raw_Export!B2427),5,1)="-",DATE(LEFT(TRIM(Raw_Export!B2427),4),MID(TRIM(Raw_Export!B2427),6,2),RIGHT(TRIM(Raw_Export!B2427),2)),DATE(RIGHT(TRIM(Raw_Export!B2427),4),MATCH(MID(TRIM(Raw_Export!B2427),4,3),{"Jan","Feb","Mar","Apr","May","Jun","Jul","Aug","Sep","Oct","Nov","Dec"},0),LEFT(TRIM(Raw_Export!B2427),2)))))</f>
        <v/>
      </c>
      <c r="C2427" s="36" t="str">
        <f aca="false">IF(Raw_Export!$A2427="","",IFERROR(VLOOKUP(LOWER(TRIM(Raw_Export!C2427)),Maps!$A$2:$B$20,2,FALSE()),"UNMAPPED"))</f>
        <v/>
      </c>
      <c r="D2427" s="36" t="str">
        <f aca="false">IF(Raw_Export!$A2427="","",IFERROR(VLOOKUP(LOWER(TRIM(Raw_Export!D2427)),Maps!$G$2:$I$80,2,FALSE()),"UNMAPPED"))</f>
        <v/>
      </c>
      <c r="E2427" s="36" t="str">
        <f aca="false">IF(Raw_Export!$A2427="","",IFERROR(VLOOKUP(LOWER(TRIM(Raw_Export!D2427)),Maps!$G$2:$I$80,3,FALSE()),"UNMAPPED"))</f>
        <v/>
      </c>
      <c r="F2427" s="36" t="str">
        <f aca="false">IF(Raw_Export!$A2427="","",IFERROR(VALUE(TRIM(Raw_Export!E2427)),0))</f>
        <v/>
      </c>
      <c r="G2427" s="38" t="str">
        <f aca="false">IF(Raw_Export!$A2427="","",IFERROR(VALUE(SUBSTITUTE(SUBSTITUTE(UPPER(TRIM(Raw_Export!F2427)),"KES",""),",","")),0))</f>
        <v/>
      </c>
      <c r="H2427" s="38" t="str">
        <f aca="false">IF(Raw_Export!$A2427="","",F2427*G2427)</f>
        <v/>
      </c>
      <c r="I2427" s="36" t="str">
        <f aca="false">IF(Raw_Export!$A2427="","",IFERROR(VLOOKUP(LOWER(TRIM(Raw_Export!H2427)),Maps!$D$2:$E$12,2,FALSE()),"Other"))</f>
        <v/>
      </c>
      <c r="J2427" s="36" t="str">
        <f aca="false">IF(Raw_Export!$A2427="","",IF(COUNTIF($A$2:A2427,A2427)&gt;1,"Duplicate",""))</f>
        <v/>
      </c>
      <c r="K2427" s="36" t="str">
        <f aca="false">IF(Raw_Export!$A2427="","",IF(J2427="Duplicate","Duplicate",IF(OR(C2427="UNMAPPED",D2427="UNMAPPED"),"Unmapped",IF(F2427=0,"Blank qty",IF(F2427&lt;0,"Return","OK")))))</f>
        <v/>
      </c>
      <c r="L2427" s="36" t="str">
        <f aca="false">IF(Raw_Export!$A2427="","",IF(OR(K2427="OK",K2427="Return"),1,0))</f>
        <v/>
      </c>
      <c r="M2427" s="37" t="str">
        <f aca="false">IF(Raw_Export!$A2427="","",B2427-WEEKDAY(B2427,2)+1)</f>
        <v/>
      </c>
    </row>
    <row r="2428" customFormat="false" ht="15" hidden="false" customHeight="false" outlineLevel="0" collapsed="false">
      <c r="A2428" s="36" t="str">
        <f aca="false">IF(Raw_Export!$A2428="","",TRIM(Raw_Export!A2428))</f>
        <v/>
      </c>
      <c r="B2428" s="37" t="str">
        <f aca="false">IF(Raw_Export!$A2428="","",IF(ISNUMBER(Raw_Export!B2428),Raw_Export!B2428,IF(MID(TRIM(Raw_Export!B2428),5,1)="-",DATE(LEFT(TRIM(Raw_Export!B2428),4),MID(TRIM(Raw_Export!B2428),6,2),RIGHT(TRIM(Raw_Export!B2428),2)),DATE(RIGHT(TRIM(Raw_Export!B2428),4),MATCH(MID(TRIM(Raw_Export!B2428),4,3),{"Jan","Feb","Mar","Apr","May","Jun","Jul","Aug","Sep","Oct","Nov","Dec"},0),LEFT(TRIM(Raw_Export!B2428),2)))))</f>
        <v/>
      </c>
      <c r="C2428" s="36" t="str">
        <f aca="false">IF(Raw_Export!$A2428="","",IFERROR(VLOOKUP(LOWER(TRIM(Raw_Export!C2428)),Maps!$A$2:$B$20,2,FALSE()),"UNMAPPED"))</f>
        <v/>
      </c>
      <c r="D2428" s="36" t="str">
        <f aca="false">IF(Raw_Export!$A2428="","",IFERROR(VLOOKUP(LOWER(TRIM(Raw_Export!D2428)),Maps!$G$2:$I$80,2,FALSE()),"UNMAPPED"))</f>
        <v/>
      </c>
      <c r="E2428" s="36" t="str">
        <f aca="false">IF(Raw_Export!$A2428="","",IFERROR(VLOOKUP(LOWER(TRIM(Raw_Export!D2428)),Maps!$G$2:$I$80,3,FALSE()),"UNMAPPED"))</f>
        <v/>
      </c>
      <c r="F2428" s="36" t="str">
        <f aca="false">IF(Raw_Export!$A2428="","",IFERROR(VALUE(TRIM(Raw_Export!E2428)),0))</f>
        <v/>
      </c>
      <c r="G2428" s="38" t="str">
        <f aca="false">IF(Raw_Export!$A2428="","",IFERROR(VALUE(SUBSTITUTE(SUBSTITUTE(UPPER(TRIM(Raw_Export!F2428)),"KES",""),",","")),0))</f>
        <v/>
      </c>
      <c r="H2428" s="38" t="str">
        <f aca="false">IF(Raw_Export!$A2428="","",F2428*G2428)</f>
        <v/>
      </c>
      <c r="I2428" s="36" t="str">
        <f aca="false">IF(Raw_Export!$A2428="","",IFERROR(VLOOKUP(LOWER(TRIM(Raw_Export!H2428)),Maps!$D$2:$E$12,2,FALSE()),"Other"))</f>
        <v/>
      </c>
      <c r="J2428" s="36" t="str">
        <f aca="false">IF(Raw_Export!$A2428="","",IF(COUNTIF($A$2:A2428,A2428)&gt;1,"Duplicate",""))</f>
        <v/>
      </c>
      <c r="K2428" s="36" t="str">
        <f aca="false">IF(Raw_Export!$A2428="","",IF(J2428="Duplicate","Duplicate",IF(OR(C2428="UNMAPPED",D2428="UNMAPPED"),"Unmapped",IF(F2428=0,"Blank qty",IF(F2428&lt;0,"Return","OK")))))</f>
        <v/>
      </c>
      <c r="L2428" s="36" t="str">
        <f aca="false">IF(Raw_Export!$A2428="","",IF(OR(K2428="OK",K2428="Return"),1,0))</f>
        <v/>
      </c>
      <c r="M2428" s="37" t="str">
        <f aca="false">IF(Raw_Export!$A2428="","",B2428-WEEKDAY(B2428,2)+1)</f>
        <v/>
      </c>
    </row>
    <row r="2429" customFormat="false" ht="15" hidden="false" customHeight="false" outlineLevel="0" collapsed="false">
      <c r="A2429" s="36" t="str">
        <f aca="false">IF(Raw_Export!$A2429="","",TRIM(Raw_Export!A2429))</f>
        <v/>
      </c>
      <c r="B2429" s="37" t="str">
        <f aca="false">IF(Raw_Export!$A2429="","",IF(ISNUMBER(Raw_Export!B2429),Raw_Export!B2429,IF(MID(TRIM(Raw_Export!B2429),5,1)="-",DATE(LEFT(TRIM(Raw_Export!B2429),4),MID(TRIM(Raw_Export!B2429),6,2),RIGHT(TRIM(Raw_Export!B2429),2)),DATE(RIGHT(TRIM(Raw_Export!B2429),4),MATCH(MID(TRIM(Raw_Export!B2429),4,3),{"Jan","Feb","Mar","Apr","May","Jun","Jul","Aug","Sep","Oct","Nov","Dec"},0),LEFT(TRIM(Raw_Export!B2429),2)))))</f>
        <v/>
      </c>
      <c r="C2429" s="36" t="str">
        <f aca="false">IF(Raw_Export!$A2429="","",IFERROR(VLOOKUP(LOWER(TRIM(Raw_Export!C2429)),Maps!$A$2:$B$20,2,FALSE()),"UNMAPPED"))</f>
        <v/>
      </c>
      <c r="D2429" s="36" t="str">
        <f aca="false">IF(Raw_Export!$A2429="","",IFERROR(VLOOKUP(LOWER(TRIM(Raw_Export!D2429)),Maps!$G$2:$I$80,2,FALSE()),"UNMAPPED"))</f>
        <v/>
      </c>
      <c r="E2429" s="36" t="str">
        <f aca="false">IF(Raw_Export!$A2429="","",IFERROR(VLOOKUP(LOWER(TRIM(Raw_Export!D2429)),Maps!$G$2:$I$80,3,FALSE()),"UNMAPPED"))</f>
        <v/>
      </c>
      <c r="F2429" s="36" t="str">
        <f aca="false">IF(Raw_Export!$A2429="","",IFERROR(VALUE(TRIM(Raw_Export!E2429)),0))</f>
        <v/>
      </c>
      <c r="G2429" s="38" t="str">
        <f aca="false">IF(Raw_Export!$A2429="","",IFERROR(VALUE(SUBSTITUTE(SUBSTITUTE(UPPER(TRIM(Raw_Export!F2429)),"KES",""),",","")),0))</f>
        <v/>
      </c>
      <c r="H2429" s="38" t="str">
        <f aca="false">IF(Raw_Export!$A2429="","",F2429*G2429)</f>
        <v/>
      </c>
      <c r="I2429" s="36" t="str">
        <f aca="false">IF(Raw_Export!$A2429="","",IFERROR(VLOOKUP(LOWER(TRIM(Raw_Export!H2429)),Maps!$D$2:$E$12,2,FALSE()),"Other"))</f>
        <v/>
      </c>
      <c r="J2429" s="36" t="str">
        <f aca="false">IF(Raw_Export!$A2429="","",IF(COUNTIF($A$2:A2429,A2429)&gt;1,"Duplicate",""))</f>
        <v/>
      </c>
      <c r="K2429" s="36" t="str">
        <f aca="false">IF(Raw_Export!$A2429="","",IF(J2429="Duplicate","Duplicate",IF(OR(C2429="UNMAPPED",D2429="UNMAPPED"),"Unmapped",IF(F2429=0,"Blank qty",IF(F2429&lt;0,"Return","OK")))))</f>
        <v/>
      </c>
      <c r="L2429" s="36" t="str">
        <f aca="false">IF(Raw_Export!$A2429="","",IF(OR(K2429="OK",K2429="Return"),1,0))</f>
        <v/>
      </c>
      <c r="M2429" s="37" t="str">
        <f aca="false">IF(Raw_Export!$A2429="","",B2429-WEEKDAY(B2429,2)+1)</f>
        <v/>
      </c>
    </row>
    <row r="2430" customFormat="false" ht="15" hidden="false" customHeight="false" outlineLevel="0" collapsed="false">
      <c r="A2430" s="36" t="str">
        <f aca="false">IF(Raw_Export!$A2430="","",TRIM(Raw_Export!A2430))</f>
        <v/>
      </c>
      <c r="B2430" s="37" t="str">
        <f aca="false">IF(Raw_Export!$A2430="","",IF(ISNUMBER(Raw_Export!B2430),Raw_Export!B2430,IF(MID(TRIM(Raw_Export!B2430),5,1)="-",DATE(LEFT(TRIM(Raw_Export!B2430),4),MID(TRIM(Raw_Export!B2430),6,2),RIGHT(TRIM(Raw_Export!B2430),2)),DATE(RIGHT(TRIM(Raw_Export!B2430),4),MATCH(MID(TRIM(Raw_Export!B2430),4,3),{"Jan","Feb","Mar","Apr","May","Jun","Jul","Aug","Sep","Oct","Nov","Dec"},0),LEFT(TRIM(Raw_Export!B2430),2)))))</f>
        <v/>
      </c>
      <c r="C2430" s="36" t="str">
        <f aca="false">IF(Raw_Export!$A2430="","",IFERROR(VLOOKUP(LOWER(TRIM(Raw_Export!C2430)),Maps!$A$2:$B$20,2,FALSE()),"UNMAPPED"))</f>
        <v/>
      </c>
      <c r="D2430" s="36" t="str">
        <f aca="false">IF(Raw_Export!$A2430="","",IFERROR(VLOOKUP(LOWER(TRIM(Raw_Export!D2430)),Maps!$G$2:$I$80,2,FALSE()),"UNMAPPED"))</f>
        <v/>
      </c>
      <c r="E2430" s="36" t="str">
        <f aca="false">IF(Raw_Export!$A2430="","",IFERROR(VLOOKUP(LOWER(TRIM(Raw_Export!D2430)),Maps!$G$2:$I$80,3,FALSE()),"UNMAPPED"))</f>
        <v/>
      </c>
      <c r="F2430" s="36" t="str">
        <f aca="false">IF(Raw_Export!$A2430="","",IFERROR(VALUE(TRIM(Raw_Export!E2430)),0))</f>
        <v/>
      </c>
      <c r="G2430" s="38" t="str">
        <f aca="false">IF(Raw_Export!$A2430="","",IFERROR(VALUE(SUBSTITUTE(SUBSTITUTE(UPPER(TRIM(Raw_Export!F2430)),"KES",""),",","")),0))</f>
        <v/>
      </c>
      <c r="H2430" s="38" t="str">
        <f aca="false">IF(Raw_Export!$A2430="","",F2430*G2430)</f>
        <v/>
      </c>
      <c r="I2430" s="36" t="str">
        <f aca="false">IF(Raw_Export!$A2430="","",IFERROR(VLOOKUP(LOWER(TRIM(Raw_Export!H2430)),Maps!$D$2:$E$12,2,FALSE()),"Other"))</f>
        <v/>
      </c>
      <c r="J2430" s="36" t="str">
        <f aca="false">IF(Raw_Export!$A2430="","",IF(COUNTIF($A$2:A2430,A2430)&gt;1,"Duplicate",""))</f>
        <v/>
      </c>
      <c r="K2430" s="36" t="str">
        <f aca="false">IF(Raw_Export!$A2430="","",IF(J2430="Duplicate","Duplicate",IF(OR(C2430="UNMAPPED",D2430="UNMAPPED"),"Unmapped",IF(F2430=0,"Blank qty",IF(F2430&lt;0,"Return","OK")))))</f>
        <v/>
      </c>
      <c r="L2430" s="36" t="str">
        <f aca="false">IF(Raw_Export!$A2430="","",IF(OR(K2430="OK",K2430="Return"),1,0))</f>
        <v/>
      </c>
      <c r="M2430" s="37" t="str">
        <f aca="false">IF(Raw_Export!$A2430="","",B2430-WEEKDAY(B2430,2)+1)</f>
        <v/>
      </c>
    </row>
    <row r="2431" customFormat="false" ht="15" hidden="false" customHeight="false" outlineLevel="0" collapsed="false">
      <c r="A2431" s="36" t="str">
        <f aca="false">IF(Raw_Export!$A2431="","",TRIM(Raw_Export!A2431))</f>
        <v/>
      </c>
      <c r="B2431" s="37" t="str">
        <f aca="false">IF(Raw_Export!$A2431="","",IF(ISNUMBER(Raw_Export!B2431),Raw_Export!B2431,IF(MID(TRIM(Raw_Export!B2431),5,1)="-",DATE(LEFT(TRIM(Raw_Export!B2431),4),MID(TRIM(Raw_Export!B2431),6,2),RIGHT(TRIM(Raw_Export!B2431),2)),DATE(RIGHT(TRIM(Raw_Export!B2431),4),MATCH(MID(TRIM(Raw_Export!B2431),4,3),{"Jan","Feb","Mar","Apr","May","Jun","Jul","Aug","Sep","Oct","Nov","Dec"},0),LEFT(TRIM(Raw_Export!B2431),2)))))</f>
        <v/>
      </c>
      <c r="C2431" s="36" t="str">
        <f aca="false">IF(Raw_Export!$A2431="","",IFERROR(VLOOKUP(LOWER(TRIM(Raw_Export!C2431)),Maps!$A$2:$B$20,2,FALSE()),"UNMAPPED"))</f>
        <v/>
      </c>
      <c r="D2431" s="36" t="str">
        <f aca="false">IF(Raw_Export!$A2431="","",IFERROR(VLOOKUP(LOWER(TRIM(Raw_Export!D2431)),Maps!$G$2:$I$80,2,FALSE()),"UNMAPPED"))</f>
        <v/>
      </c>
      <c r="E2431" s="36" t="str">
        <f aca="false">IF(Raw_Export!$A2431="","",IFERROR(VLOOKUP(LOWER(TRIM(Raw_Export!D2431)),Maps!$G$2:$I$80,3,FALSE()),"UNMAPPED"))</f>
        <v/>
      </c>
      <c r="F2431" s="36" t="str">
        <f aca="false">IF(Raw_Export!$A2431="","",IFERROR(VALUE(TRIM(Raw_Export!E2431)),0))</f>
        <v/>
      </c>
      <c r="G2431" s="38" t="str">
        <f aca="false">IF(Raw_Export!$A2431="","",IFERROR(VALUE(SUBSTITUTE(SUBSTITUTE(UPPER(TRIM(Raw_Export!F2431)),"KES",""),",","")),0))</f>
        <v/>
      </c>
      <c r="H2431" s="38" t="str">
        <f aca="false">IF(Raw_Export!$A2431="","",F2431*G2431)</f>
        <v/>
      </c>
      <c r="I2431" s="36" t="str">
        <f aca="false">IF(Raw_Export!$A2431="","",IFERROR(VLOOKUP(LOWER(TRIM(Raw_Export!H2431)),Maps!$D$2:$E$12,2,FALSE()),"Other"))</f>
        <v/>
      </c>
      <c r="J2431" s="36" t="str">
        <f aca="false">IF(Raw_Export!$A2431="","",IF(COUNTIF($A$2:A2431,A2431)&gt;1,"Duplicate",""))</f>
        <v/>
      </c>
      <c r="K2431" s="36" t="str">
        <f aca="false">IF(Raw_Export!$A2431="","",IF(J2431="Duplicate","Duplicate",IF(OR(C2431="UNMAPPED",D2431="UNMAPPED"),"Unmapped",IF(F2431=0,"Blank qty",IF(F2431&lt;0,"Return","OK")))))</f>
        <v/>
      </c>
      <c r="L2431" s="36" t="str">
        <f aca="false">IF(Raw_Export!$A2431="","",IF(OR(K2431="OK",K2431="Return"),1,0))</f>
        <v/>
      </c>
      <c r="M2431" s="37" t="str">
        <f aca="false">IF(Raw_Export!$A2431="","",B2431-WEEKDAY(B2431,2)+1)</f>
        <v/>
      </c>
    </row>
    <row r="2432" customFormat="false" ht="15" hidden="false" customHeight="false" outlineLevel="0" collapsed="false">
      <c r="A2432" s="36" t="str">
        <f aca="false">IF(Raw_Export!$A2432="","",TRIM(Raw_Export!A2432))</f>
        <v/>
      </c>
      <c r="B2432" s="37" t="str">
        <f aca="false">IF(Raw_Export!$A2432="","",IF(ISNUMBER(Raw_Export!B2432),Raw_Export!B2432,IF(MID(TRIM(Raw_Export!B2432),5,1)="-",DATE(LEFT(TRIM(Raw_Export!B2432),4),MID(TRIM(Raw_Export!B2432),6,2),RIGHT(TRIM(Raw_Export!B2432),2)),DATE(RIGHT(TRIM(Raw_Export!B2432),4),MATCH(MID(TRIM(Raw_Export!B2432),4,3),{"Jan","Feb","Mar","Apr","May","Jun","Jul","Aug","Sep","Oct","Nov","Dec"},0),LEFT(TRIM(Raw_Export!B2432),2)))))</f>
        <v/>
      </c>
      <c r="C2432" s="36" t="str">
        <f aca="false">IF(Raw_Export!$A2432="","",IFERROR(VLOOKUP(LOWER(TRIM(Raw_Export!C2432)),Maps!$A$2:$B$20,2,FALSE()),"UNMAPPED"))</f>
        <v/>
      </c>
      <c r="D2432" s="36" t="str">
        <f aca="false">IF(Raw_Export!$A2432="","",IFERROR(VLOOKUP(LOWER(TRIM(Raw_Export!D2432)),Maps!$G$2:$I$80,2,FALSE()),"UNMAPPED"))</f>
        <v/>
      </c>
      <c r="E2432" s="36" t="str">
        <f aca="false">IF(Raw_Export!$A2432="","",IFERROR(VLOOKUP(LOWER(TRIM(Raw_Export!D2432)),Maps!$G$2:$I$80,3,FALSE()),"UNMAPPED"))</f>
        <v/>
      </c>
      <c r="F2432" s="36" t="str">
        <f aca="false">IF(Raw_Export!$A2432="","",IFERROR(VALUE(TRIM(Raw_Export!E2432)),0))</f>
        <v/>
      </c>
      <c r="G2432" s="38" t="str">
        <f aca="false">IF(Raw_Export!$A2432="","",IFERROR(VALUE(SUBSTITUTE(SUBSTITUTE(UPPER(TRIM(Raw_Export!F2432)),"KES",""),",","")),0))</f>
        <v/>
      </c>
      <c r="H2432" s="38" t="str">
        <f aca="false">IF(Raw_Export!$A2432="","",F2432*G2432)</f>
        <v/>
      </c>
      <c r="I2432" s="36" t="str">
        <f aca="false">IF(Raw_Export!$A2432="","",IFERROR(VLOOKUP(LOWER(TRIM(Raw_Export!H2432)),Maps!$D$2:$E$12,2,FALSE()),"Other"))</f>
        <v/>
      </c>
      <c r="J2432" s="36" t="str">
        <f aca="false">IF(Raw_Export!$A2432="","",IF(COUNTIF($A$2:A2432,A2432)&gt;1,"Duplicate",""))</f>
        <v/>
      </c>
      <c r="K2432" s="36" t="str">
        <f aca="false">IF(Raw_Export!$A2432="","",IF(J2432="Duplicate","Duplicate",IF(OR(C2432="UNMAPPED",D2432="UNMAPPED"),"Unmapped",IF(F2432=0,"Blank qty",IF(F2432&lt;0,"Return","OK")))))</f>
        <v/>
      </c>
      <c r="L2432" s="36" t="str">
        <f aca="false">IF(Raw_Export!$A2432="","",IF(OR(K2432="OK",K2432="Return"),1,0))</f>
        <v/>
      </c>
      <c r="M2432" s="37" t="str">
        <f aca="false">IF(Raw_Export!$A2432="","",B2432-WEEKDAY(B2432,2)+1)</f>
        <v/>
      </c>
    </row>
    <row r="2433" customFormat="false" ht="15" hidden="false" customHeight="false" outlineLevel="0" collapsed="false">
      <c r="A2433" s="36" t="str">
        <f aca="false">IF(Raw_Export!$A2433="","",TRIM(Raw_Export!A2433))</f>
        <v/>
      </c>
      <c r="B2433" s="37" t="str">
        <f aca="false">IF(Raw_Export!$A2433="","",IF(ISNUMBER(Raw_Export!B2433),Raw_Export!B2433,IF(MID(TRIM(Raw_Export!B2433),5,1)="-",DATE(LEFT(TRIM(Raw_Export!B2433),4),MID(TRIM(Raw_Export!B2433),6,2),RIGHT(TRIM(Raw_Export!B2433),2)),DATE(RIGHT(TRIM(Raw_Export!B2433),4),MATCH(MID(TRIM(Raw_Export!B2433),4,3),{"Jan","Feb","Mar","Apr","May","Jun","Jul","Aug","Sep","Oct","Nov","Dec"},0),LEFT(TRIM(Raw_Export!B2433),2)))))</f>
        <v/>
      </c>
      <c r="C2433" s="36" t="str">
        <f aca="false">IF(Raw_Export!$A2433="","",IFERROR(VLOOKUP(LOWER(TRIM(Raw_Export!C2433)),Maps!$A$2:$B$20,2,FALSE()),"UNMAPPED"))</f>
        <v/>
      </c>
      <c r="D2433" s="36" t="str">
        <f aca="false">IF(Raw_Export!$A2433="","",IFERROR(VLOOKUP(LOWER(TRIM(Raw_Export!D2433)),Maps!$G$2:$I$80,2,FALSE()),"UNMAPPED"))</f>
        <v/>
      </c>
      <c r="E2433" s="36" t="str">
        <f aca="false">IF(Raw_Export!$A2433="","",IFERROR(VLOOKUP(LOWER(TRIM(Raw_Export!D2433)),Maps!$G$2:$I$80,3,FALSE()),"UNMAPPED"))</f>
        <v/>
      </c>
      <c r="F2433" s="36" t="str">
        <f aca="false">IF(Raw_Export!$A2433="","",IFERROR(VALUE(TRIM(Raw_Export!E2433)),0))</f>
        <v/>
      </c>
      <c r="G2433" s="38" t="str">
        <f aca="false">IF(Raw_Export!$A2433="","",IFERROR(VALUE(SUBSTITUTE(SUBSTITUTE(UPPER(TRIM(Raw_Export!F2433)),"KES",""),",","")),0))</f>
        <v/>
      </c>
      <c r="H2433" s="38" t="str">
        <f aca="false">IF(Raw_Export!$A2433="","",F2433*G2433)</f>
        <v/>
      </c>
      <c r="I2433" s="36" t="str">
        <f aca="false">IF(Raw_Export!$A2433="","",IFERROR(VLOOKUP(LOWER(TRIM(Raw_Export!H2433)),Maps!$D$2:$E$12,2,FALSE()),"Other"))</f>
        <v/>
      </c>
      <c r="J2433" s="36" t="str">
        <f aca="false">IF(Raw_Export!$A2433="","",IF(COUNTIF($A$2:A2433,A2433)&gt;1,"Duplicate",""))</f>
        <v/>
      </c>
      <c r="K2433" s="36" t="str">
        <f aca="false">IF(Raw_Export!$A2433="","",IF(J2433="Duplicate","Duplicate",IF(OR(C2433="UNMAPPED",D2433="UNMAPPED"),"Unmapped",IF(F2433=0,"Blank qty",IF(F2433&lt;0,"Return","OK")))))</f>
        <v/>
      </c>
      <c r="L2433" s="36" t="str">
        <f aca="false">IF(Raw_Export!$A2433="","",IF(OR(K2433="OK",K2433="Return"),1,0))</f>
        <v/>
      </c>
      <c r="M2433" s="37" t="str">
        <f aca="false">IF(Raw_Export!$A2433="","",B2433-WEEKDAY(B2433,2)+1)</f>
        <v/>
      </c>
    </row>
    <row r="2434" customFormat="false" ht="15" hidden="false" customHeight="false" outlineLevel="0" collapsed="false">
      <c r="A2434" s="36" t="str">
        <f aca="false">IF(Raw_Export!$A2434="","",TRIM(Raw_Export!A2434))</f>
        <v/>
      </c>
      <c r="B2434" s="37" t="str">
        <f aca="false">IF(Raw_Export!$A2434="","",IF(ISNUMBER(Raw_Export!B2434),Raw_Export!B2434,IF(MID(TRIM(Raw_Export!B2434),5,1)="-",DATE(LEFT(TRIM(Raw_Export!B2434),4),MID(TRIM(Raw_Export!B2434),6,2),RIGHT(TRIM(Raw_Export!B2434),2)),DATE(RIGHT(TRIM(Raw_Export!B2434),4),MATCH(MID(TRIM(Raw_Export!B2434),4,3),{"Jan","Feb","Mar","Apr","May","Jun","Jul","Aug","Sep","Oct","Nov","Dec"},0),LEFT(TRIM(Raw_Export!B2434),2)))))</f>
        <v/>
      </c>
      <c r="C2434" s="36" t="str">
        <f aca="false">IF(Raw_Export!$A2434="","",IFERROR(VLOOKUP(LOWER(TRIM(Raw_Export!C2434)),Maps!$A$2:$B$20,2,FALSE()),"UNMAPPED"))</f>
        <v/>
      </c>
      <c r="D2434" s="36" t="str">
        <f aca="false">IF(Raw_Export!$A2434="","",IFERROR(VLOOKUP(LOWER(TRIM(Raw_Export!D2434)),Maps!$G$2:$I$80,2,FALSE()),"UNMAPPED"))</f>
        <v/>
      </c>
      <c r="E2434" s="36" t="str">
        <f aca="false">IF(Raw_Export!$A2434="","",IFERROR(VLOOKUP(LOWER(TRIM(Raw_Export!D2434)),Maps!$G$2:$I$80,3,FALSE()),"UNMAPPED"))</f>
        <v/>
      </c>
      <c r="F2434" s="36" t="str">
        <f aca="false">IF(Raw_Export!$A2434="","",IFERROR(VALUE(TRIM(Raw_Export!E2434)),0))</f>
        <v/>
      </c>
      <c r="G2434" s="38" t="str">
        <f aca="false">IF(Raw_Export!$A2434="","",IFERROR(VALUE(SUBSTITUTE(SUBSTITUTE(UPPER(TRIM(Raw_Export!F2434)),"KES",""),",","")),0))</f>
        <v/>
      </c>
      <c r="H2434" s="38" t="str">
        <f aca="false">IF(Raw_Export!$A2434="","",F2434*G2434)</f>
        <v/>
      </c>
      <c r="I2434" s="36" t="str">
        <f aca="false">IF(Raw_Export!$A2434="","",IFERROR(VLOOKUP(LOWER(TRIM(Raw_Export!H2434)),Maps!$D$2:$E$12,2,FALSE()),"Other"))</f>
        <v/>
      </c>
      <c r="J2434" s="36" t="str">
        <f aca="false">IF(Raw_Export!$A2434="","",IF(COUNTIF($A$2:A2434,A2434)&gt;1,"Duplicate",""))</f>
        <v/>
      </c>
      <c r="K2434" s="36" t="str">
        <f aca="false">IF(Raw_Export!$A2434="","",IF(J2434="Duplicate","Duplicate",IF(OR(C2434="UNMAPPED",D2434="UNMAPPED"),"Unmapped",IF(F2434=0,"Blank qty",IF(F2434&lt;0,"Return","OK")))))</f>
        <v/>
      </c>
      <c r="L2434" s="36" t="str">
        <f aca="false">IF(Raw_Export!$A2434="","",IF(OR(K2434="OK",K2434="Return"),1,0))</f>
        <v/>
      </c>
      <c r="M2434" s="37" t="str">
        <f aca="false">IF(Raw_Export!$A2434="","",B2434-WEEKDAY(B2434,2)+1)</f>
        <v/>
      </c>
    </row>
    <row r="2435" customFormat="false" ht="15" hidden="false" customHeight="false" outlineLevel="0" collapsed="false">
      <c r="A2435" s="36" t="str">
        <f aca="false">IF(Raw_Export!$A2435="","",TRIM(Raw_Export!A2435))</f>
        <v/>
      </c>
      <c r="B2435" s="37" t="str">
        <f aca="false">IF(Raw_Export!$A2435="","",IF(ISNUMBER(Raw_Export!B2435),Raw_Export!B2435,IF(MID(TRIM(Raw_Export!B2435),5,1)="-",DATE(LEFT(TRIM(Raw_Export!B2435),4),MID(TRIM(Raw_Export!B2435),6,2),RIGHT(TRIM(Raw_Export!B2435),2)),DATE(RIGHT(TRIM(Raw_Export!B2435),4),MATCH(MID(TRIM(Raw_Export!B2435),4,3),{"Jan","Feb","Mar","Apr","May","Jun","Jul","Aug","Sep","Oct","Nov","Dec"},0),LEFT(TRIM(Raw_Export!B2435),2)))))</f>
        <v/>
      </c>
      <c r="C2435" s="36" t="str">
        <f aca="false">IF(Raw_Export!$A2435="","",IFERROR(VLOOKUP(LOWER(TRIM(Raw_Export!C2435)),Maps!$A$2:$B$20,2,FALSE()),"UNMAPPED"))</f>
        <v/>
      </c>
      <c r="D2435" s="36" t="str">
        <f aca="false">IF(Raw_Export!$A2435="","",IFERROR(VLOOKUP(LOWER(TRIM(Raw_Export!D2435)),Maps!$G$2:$I$80,2,FALSE()),"UNMAPPED"))</f>
        <v/>
      </c>
      <c r="E2435" s="36" t="str">
        <f aca="false">IF(Raw_Export!$A2435="","",IFERROR(VLOOKUP(LOWER(TRIM(Raw_Export!D2435)),Maps!$G$2:$I$80,3,FALSE()),"UNMAPPED"))</f>
        <v/>
      </c>
      <c r="F2435" s="36" t="str">
        <f aca="false">IF(Raw_Export!$A2435="","",IFERROR(VALUE(TRIM(Raw_Export!E2435)),0))</f>
        <v/>
      </c>
      <c r="G2435" s="38" t="str">
        <f aca="false">IF(Raw_Export!$A2435="","",IFERROR(VALUE(SUBSTITUTE(SUBSTITUTE(UPPER(TRIM(Raw_Export!F2435)),"KES",""),",","")),0))</f>
        <v/>
      </c>
      <c r="H2435" s="38" t="str">
        <f aca="false">IF(Raw_Export!$A2435="","",F2435*G2435)</f>
        <v/>
      </c>
      <c r="I2435" s="36" t="str">
        <f aca="false">IF(Raw_Export!$A2435="","",IFERROR(VLOOKUP(LOWER(TRIM(Raw_Export!H2435)),Maps!$D$2:$E$12,2,FALSE()),"Other"))</f>
        <v/>
      </c>
      <c r="J2435" s="36" t="str">
        <f aca="false">IF(Raw_Export!$A2435="","",IF(COUNTIF($A$2:A2435,A2435)&gt;1,"Duplicate",""))</f>
        <v/>
      </c>
      <c r="K2435" s="36" t="str">
        <f aca="false">IF(Raw_Export!$A2435="","",IF(J2435="Duplicate","Duplicate",IF(OR(C2435="UNMAPPED",D2435="UNMAPPED"),"Unmapped",IF(F2435=0,"Blank qty",IF(F2435&lt;0,"Return","OK")))))</f>
        <v/>
      </c>
      <c r="L2435" s="36" t="str">
        <f aca="false">IF(Raw_Export!$A2435="","",IF(OR(K2435="OK",K2435="Return"),1,0))</f>
        <v/>
      </c>
      <c r="M2435" s="37" t="str">
        <f aca="false">IF(Raw_Export!$A2435="","",B2435-WEEKDAY(B2435,2)+1)</f>
        <v/>
      </c>
    </row>
    <row r="2436" customFormat="false" ht="15" hidden="false" customHeight="false" outlineLevel="0" collapsed="false">
      <c r="A2436" s="36" t="str">
        <f aca="false">IF(Raw_Export!$A2436="","",TRIM(Raw_Export!A2436))</f>
        <v/>
      </c>
      <c r="B2436" s="37" t="str">
        <f aca="false">IF(Raw_Export!$A2436="","",IF(ISNUMBER(Raw_Export!B2436),Raw_Export!B2436,IF(MID(TRIM(Raw_Export!B2436),5,1)="-",DATE(LEFT(TRIM(Raw_Export!B2436),4),MID(TRIM(Raw_Export!B2436),6,2),RIGHT(TRIM(Raw_Export!B2436),2)),DATE(RIGHT(TRIM(Raw_Export!B2436),4),MATCH(MID(TRIM(Raw_Export!B2436),4,3),{"Jan","Feb","Mar","Apr","May","Jun","Jul","Aug","Sep","Oct","Nov","Dec"},0),LEFT(TRIM(Raw_Export!B2436),2)))))</f>
        <v/>
      </c>
      <c r="C2436" s="36" t="str">
        <f aca="false">IF(Raw_Export!$A2436="","",IFERROR(VLOOKUP(LOWER(TRIM(Raw_Export!C2436)),Maps!$A$2:$B$20,2,FALSE()),"UNMAPPED"))</f>
        <v/>
      </c>
      <c r="D2436" s="36" t="str">
        <f aca="false">IF(Raw_Export!$A2436="","",IFERROR(VLOOKUP(LOWER(TRIM(Raw_Export!D2436)),Maps!$G$2:$I$80,2,FALSE()),"UNMAPPED"))</f>
        <v/>
      </c>
      <c r="E2436" s="36" t="str">
        <f aca="false">IF(Raw_Export!$A2436="","",IFERROR(VLOOKUP(LOWER(TRIM(Raw_Export!D2436)),Maps!$G$2:$I$80,3,FALSE()),"UNMAPPED"))</f>
        <v/>
      </c>
      <c r="F2436" s="36" t="str">
        <f aca="false">IF(Raw_Export!$A2436="","",IFERROR(VALUE(TRIM(Raw_Export!E2436)),0))</f>
        <v/>
      </c>
      <c r="G2436" s="38" t="str">
        <f aca="false">IF(Raw_Export!$A2436="","",IFERROR(VALUE(SUBSTITUTE(SUBSTITUTE(UPPER(TRIM(Raw_Export!F2436)),"KES",""),",","")),0))</f>
        <v/>
      </c>
      <c r="H2436" s="38" t="str">
        <f aca="false">IF(Raw_Export!$A2436="","",F2436*G2436)</f>
        <v/>
      </c>
      <c r="I2436" s="36" t="str">
        <f aca="false">IF(Raw_Export!$A2436="","",IFERROR(VLOOKUP(LOWER(TRIM(Raw_Export!H2436)),Maps!$D$2:$E$12,2,FALSE()),"Other"))</f>
        <v/>
      </c>
      <c r="J2436" s="36" t="str">
        <f aca="false">IF(Raw_Export!$A2436="","",IF(COUNTIF($A$2:A2436,A2436)&gt;1,"Duplicate",""))</f>
        <v/>
      </c>
      <c r="K2436" s="36" t="str">
        <f aca="false">IF(Raw_Export!$A2436="","",IF(J2436="Duplicate","Duplicate",IF(OR(C2436="UNMAPPED",D2436="UNMAPPED"),"Unmapped",IF(F2436=0,"Blank qty",IF(F2436&lt;0,"Return","OK")))))</f>
        <v/>
      </c>
      <c r="L2436" s="36" t="str">
        <f aca="false">IF(Raw_Export!$A2436="","",IF(OR(K2436="OK",K2436="Return"),1,0))</f>
        <v/>
      </c>
      <c r="M2436" s="37" t="str">
        <f aca="false">IF(Raw_Export!$A2436="","",B2436-WEEKDAY(B2436,2)+1)</f>
        <v/>
      </c>
    </row>
    <row r="2437" customFormat="false" ht="15" hidden="false" customHeight="false" outlineLevel="0" collapsed="false">
      <c r="A2437" s="36" t="str">
        <f aca="false">IF(Raw_Export!$A2437="","",TRIM(Raw_Export!A2437))</f>
        <v/>
      </c>
      <c r="B2437" s="37" t="str">
        <f aca="false">IF(Raw_Export!$A2437="","",IF(ISNUMBER(Raw_Export!B2437),Raw_Export!B2437,IF(MID(TRIM(Raw_Export!B2437),5,1)="-",DATE(LEFT(TRIM(Raw_Export!B2437),4),MID(TRIM(Raw_Export!B2437),6,2),RIGHT(TRIM(Raw_Export!B2437),2)),DATE(RIGHT(TRIM(Raw_Export!B2437),4),MATCH(MID(TRIM(Raw_Export!B2437),4,3),{"Jan","Feb","Mar","Apr","May","Jun","Jul","Aug","Sep","Oct","Nov","Dec"},0),LEFT(TRIM(Raw_Export!B2437),2)))))</f>
        <v/>
      </c>
      <c r="C2437" s="36" t="str">
        <f aca="false">IF(Raw_Export!$A2437="","",IFERROR(VLOOKUP(LOWER(TRIM(Raw_Export!C2437)),Maps!$A$2:$B$20,2,FALSE()),"UNMAPPED"))</f>
        <v/>
      </c>
      <c r="D2437" s="36" t="str">
        <f aca="false">IF(Raw_Export!$A2437="","",IFERROR(VLOOKUP(LOWER(TRIM(Raw_Export!D2437)),Maps!$G$2:$I$80,2,FALSE()),"UNMAPPED"))</f>
        <v/>
      </c>
      <c r="E2437" s="36" t="str">
        <f aca="false">IF(Raw_Export!$A2437="","",IFERROR(VLOOKUP(LOWER(TRIM(Raw_Export!D2437)),Maps!$G$2:$I$80,3,FALSE()),"UNMAPPED"))</f>
        <v/>
      </c>
      <c r="F2437" s="36" t="str">
        <f aca="false">IF(Raw_Export!$A2437="","",IFERROR(VALUE(TRIM(Raw_Export!E2437)),0))</f>
        <v/>
      </c>
      <c r="G2437" s="38" t="str">
        <f aca="false">IF(Raw_Export!$A2437="","",IFERROR(VALUE(SUBSTITUTE(SUBSTITUTE(UPPER(TRIM(Raw_Export!F2437)),"KES",""),",","")),0))</f>
        <v/>
      </c>
      <c r="H2437" s="38" t="str">
        <f aca="false">IF(Raw_Export!$A2437="","",F2437*G2437)</f>
        <v/>
      </c>
      <c r="I2437" s="36" t="str">
        <f aca="false">IF(Raw_Export!$A2437="","",IFERROR(VLOOKUP(LOWER(TRIM(Raw_Export!H2437)),Maps!$D$2:$E$12,2,FALSE()),"Other"))</f>
        <v/>
      </c>
      <c r="J2437" s="36" t="str">
        <f aca="false">IF(Raw_Export!$A2437="","",IF(COUNTIF($A$2:A2437,A2437)&gt;1,"Duplicate",""))</f>
        <v/>
      </c>
      <c r="K2437" s="36" t="str">
        <f aca="false">IF(Raw_Export!$A2437="","",IF(J2437="Duplicate","Duplicate",IF(OR(C2437="UNMAPPED",D2437="UNMAPPED"),"Unmapped",IF(F2437=0,"Blank qty",IF(F2437&lt;0,"Return","OK")))))</f>
        <v/>
      </c>
      <c r="L2437" s="36" t="str">
        <f aca="false">IF(Raw_Export!$A2437="","",IF(OR(K2437="OK",K2437="Return"),1,0))</f>
        <v/>
      </c>
      <c r="M2437" s="37" t="str">
        <f aca="false">IF(Raw_Export!$A2437="","",B2437-WEEKDAY(B2437,2)+1)</f>
        <v/>
      </c>
    </row>
    <row r="2438" customFormat="false" ht="15" hidden="false" customHeight="false" outlineLevel="0" collapsed="false">
      <c r="A2438" s="36" t="str">
        <f aca="false">IF(Raw_Export!$A2438="","",TRIM(Raw_Export!A2438))</f>
        <v/>
      </c>
      <c r="B2438" s="37" t="str">
        <f aca="false">IF(Raw_Export!$A2438="","",IF(ISNUMBER(Raw_Export!B2438),Raw_Export!B2438,IF(MID(TRIM(Raw_Export!B2438),5,1)="-",DATE(LEFT(TRIM(Raw_Export!B2438),4),MID(TRIM(Raw_Export!B2438),6,2),RIGHT(TRIM(Raw_Export!B2438),2)),DATE(RIGHT(TRIM(Raw_Export!B2438),4),MATCH(MID(TRIM(Raw_Export!B2438),4,3),{"Jan","Feb","Mar","Apr","May","Jun","Jul","Aug","Sep","Oct","Nov","Dec"},0),LEFT(TRIM(Raw_Export!B2438),2)))))</f>
        <v/>
      </c>
      <c r="C2438" s="36" t="str">
        <f aca="false">IF(Raw_Export!$A2438="","",IFERROR(VLOOKUP(LOWER(TRIM(Raw_Export!C2438)),Maps!$A$2:$B$20,2,FALSE()),"UNMAPPED"))</f>
        <v/>
      </c>
      <c r="D2438" s="36" t="str">
        <f aca="false">IF(Raw_Export!$A2438="","",IFERROR(VLOOKUP(LOWER(TRIM(Raw_Export!D2438)),Maps!$G$2:$I$80,2,FALSE()),"UNMAPPED"))</f>
        <v/>
      </c>
      <c r="E2438" s="36" t="str">
        <f aca="false">IF(Raw_Export!$A2438="","",IFERROR(VLOOKUP(LOWER(TRIM(Raw_Export!D2438)),Maps!$G$2:$I$80,3,FALSE()),"UNMAPPED"))</f>
        <v/>
      </c>
      <c r="F2438" s="36" t="str">
        <f aca="false">IF(Raw_Export!$A2438="","",IFERROR(VALUE(TRIM(Raw_Export!E2438)),0))</f>
        <v/>
      </c>
      <c r="G2438" s="38" t="str">
        <f aca="false">IF(Raw_Export!$A2438="","",IFERROR(VALUE(SUBSTITUTE(SUBSTITUTE(UPPER(TRIM(Raw_Export!F2438)),"KES",""),",","")),0))</f>
        <v/>
      </c>
      <c r="H2438" s="38" t="str">
        <f aca="false">IF(Raw_Export!$A2438="","",F2438*G2438)</f>
        <v/>
      </c>
      <c r="I2438" s="36" t="str">
        <f aca="false">IF(Raw_Export!$A2438="","",IFERROR(VLOOKUP(LOWER(TRIM(Raw_Export!H2438)),Maps!$D$2:$E$12,2,FALSE()),"Other"))</f>
        <v/>
      </c>
      <c r="J2438" s="36" t="str">
        <f aca="false">IF(Raw_Export!$A2438="","",IF(COUNTIF($A$2:A2438,A2438)&gt;1,"Duplicate",""))</f>
        <v/>
      </c>
      <c r="K2438" s="36" t="str">
        <f aca="false">IF(Raw_Export!$A2438="","",IF(J2438="Duplicate","Duplicate",IF(OR(C2438="UNMAPPED",D2438="UNMAPPED"),"Unmapped",IF(F2438=0,"Blank qty",IF(F2438&lt;0,"Return","OK")))))</f>
        <v/>
      </c>
      <c r="L2438" s="36" t="str">
        <f aca="false">IF(Raw_Export!$A2438="","",IF(OR(K2438="OK",K2438="Return"),1,0))</f>
        <v/>
      </c>
      <c r="M2438" s="37" t="str">
        <f aca="false">IF(Raw_Export!$A2438="","",B2438-WEEKDAY(B2438,2)+1)</f>
        <v/>
      </c>
    </row>
    <row r="2439" customFormat="false" ht="15" hidden="false" customHeight="false" outlineLevel="0" collapsed="false">
      <c r="A2439" s="36" t="str">
        <f aca="false">IF(Raw_Export!$A2439="","",TRIM(Raw_Export!A2439))</f>
        <v/>
      </c>
      <c r="B2439" s="37" t="str">
        <f aca="false">IF(Raw_Export!$A2439="","",IF(ISNUMBER(Raw_Export!B2439),Raw_Export!B2439,IF(MID(TRIM(Raw_Export!B2439),5,1)="-",DATE(LEFT(TRIM(Raw_Export!B2439),4),MID(TRIM(Raw_Export!B2439),6,2),RIGHT(TRIM(Raw_Export!B2439),2)),DATE(RIGHT(TRIM(Raw_Export!B2439),4),MATCH(MID(TRIM(Raw_Export!B2439),4,3),{"Jan","Feb","Mar","Apr","May","Jun","Jul","Aug","Sep","Oct","Nov","Dec"},0),LEFT(TRIM(Raw_Export!B2439),2)))))</f>
        <v/>
      </c>
      <c r="C2439" s="36" t="str">
        <f aca="false">IF(Raw_Export!$A2439="","",IFERROR(VLOOKUP(LOWER(TRIM(Raw_Export!C2439)),Maps!$A$2:$B$20,2,FALSE()),"UNMAPPED"))</f>
        <v/>
      </c>
      <c r="D2439" s="36" t="str">
        <f aca="false">IF(Raw_Export!$A2439="","",IFERROR(VLOOKUP(LOWER(TRIM(Raw_Export!D2439)),Maps!$G$2:$I$80,2,FALSE()),"UNMAPPED"))</f>
        <v/>
      </c>
      <c r="E2439" s="36" t="str">
        <f aca="false">IF(Raw_Export!$A2439="","",IFERROR(VLOOKUP(LOWER(TRIM(Raw_Export!D2439)),Maps!$G$2:$I$80,3,FALSE()),"UNMAPPED"))</f>
        <v/>
      </c>
      <c r="F2439" s="36" t="str">
        <f aca="false">IF(Raw_Export!$A2439="","",IFERROR(VALUE(TRIM(Raw_Export!E2439)),0))</f>
        <v/>
      </c>
      <c r="G2439" s="38" t="str">
        <f aca="false">IF(Raw_Export!$A2439="","",IFERROR(VALUE(SUBSTITUTE(SUBSTITUTE(UPPER(TRIM(Raw_Export!F2439)),"KES",""),",","")),0))</f>
        <v/>
      </c>
      <c r="H2439" s="38" t="str">
        <f aca="false">IF(Raw_Export!$A2439="","",F2439*G2439)</f>
        <v/>
      </c>
      <c r="I2439" s="36" t="str">
        <f aca="false">IF(Raw_Export!$A2439="","",IFERROR(VLOOKUP(LOWER(TRIM(Raw_Export!H2439)),Maps!$D$2:$E$12,2,FALSE()),"Other"))</f>
        <v/>
      </c>
      <c r="J2439" s="36" t="str">
        <f aca="false">IF(Raw_Export!$A2439="","",IF(COUNTIF($A$2:A2439,A2439)&gt;1,"Duplicate",""))</f>
        <v/>
      </c>
      <c r="K2439" s="36" t="str">
        <f aca="false">IF(Raw_Export!$A2439="","",IF(J2439="Duplicate","Duplicate",IF(OR(C2439="UNMAPPED",D2439="UNMAPPED"),"Unmapped",IF(F2439=0,"Blank qty",IF(F2439&lt;0,"Return","OK")))))</f>
        <v/>
      </c>
      <c r="L2439" s="36" t="str">
        <f aca="false">IF(Raw_Export!$A2439="","",IF(OR(K2439="OK",K2439="Return"),1,0))</f>
        <v/>
      </c>
      <c r="M2439" s="37" t="str">
        <f aca="false">IF(Raw_Export!$A2439="","",B2439-WEEKDAY(B2439,2)+1)</f>
        <v/>
      </c>
    </row>
    <row r="2440" customFormat="false" ht="15" hidden="false" customHeight="false" outlineLevel="0" collapsed="false">
      <c r="A2440" s="36" t="str">
        <f aca="false">IF(Raw_Export!$A2440="","",TRIM(Raw_Export!A2440))</f>
        <v/>
      </c>
      <c r="B2440" s="37" t="str">
        <f aca="false">IF(Raw_Export!$A2440="","",IF(ISNUMBER(Raw_Export!B2440),Raw_Export!B2440,IF(MID(TRIM(Raw_Export!B2440),5,1)="-",DATE(LEFT(TRIM(Raw_Export!B2440),4),MID(TRIM(Raw_Export!B2440),6,2),RIGHT(TRIM(Raw_Export!B2440),2)),DATE(RIGHT(TRIM(Raw_Export!B2440),4),MATCH(MID(TRIM(Raw_Export!B2440),4,3),{"Jan","Feb","Mar","Apr","May","Jun","Jul","Aug","Sep","Oct","Nov","Dec"},0),LEFT(TRIM(Raw_Export!B2440),2)))))</f>
        <v/>
      </c>
      <c r="C2440" s="36" t="str">
        <f aca="false">IF(Raw_Export!$A2440="","",IFERROR(VLOOKUP(LOWER(TRIM(Raw_Export!C2440)),Maps!$A$2:$B$20,2,FALSE()),"UNMAPPED"))</f>
        <v/>
      </c>
      <c r="D2440" s="36" t="str">
        <f aca="false">IF(Raw_Export!$A2440="","",IFERROR(VLOOKUP(LOWER(TRIM(Raw_Export!D2440)),Maps!$G$2:$I$80,2,FALSE()),"UNMAPPED"))</f>
        <v/>
      </c>
      <c r="E2440" s="36" t="str">
        <f aca="false">IF(Raw_Export!$A2440="","",IFERROR(VLOOKUP(LOWER(TRIM(Raw_Export!D2440)),Maps!$G$2:$I$80,3,FALSE()),"UNMAPPED"))</f>
        <v/>
      </c>
      <c r="F2440" s="36" t="str">
        <f aca="false">IF(Raw_Export!$A2440="","",IFERROR(VALUE(TRIM(Raw_Export!E2440)),0))</f>
        <v/>
      </c>
      <c r="G2440" s="38" t="str">
        <f aca="false">IF(Raw_Export!$A2440="","",IFERROR(VALUE(SUBSTITUTE(SUBSTITUTE(UPPER(TRIM(Raw_Export!F2440)),"KES",""),",","")),0))</f>
        <v/>
      </c>
      <c r="H2440" s="38" t="str">
        <f aca="false">IF(Raw_Export!$A2440="","",F2440*G2440)</f>
        <v/>
      </c>
      <c r="I2440" s="36" t="str">
        <f aca="false">IF(Raw_Export!$A2440="","",IFERROR(VLOOKUP(LOWER(TRIM(Raw_Export!H2440)),Maps!$D$2:$E$12,2,FALSE()),"Other"))</f>
        <v/>
      </c>
      <c r="J2440" s="36" t="str">
        <f aca="false">IF(Raw_Export!$A2440="","",IF(COUNTIF($A$2:A2440,A2440)&gt;1,"Duplicate",""))</f>
        <v/>
      </c>
      <c r="K2440" s="36" t="str">
        <f aca="false">IF(Raw_Export!$A2440="","",IF(J2440="Duplicate","Duplicate",IF(OR(C2440="UNMAPPED",D2440="UNMAPPED"),"Unmapped",IF(F2440=0,"Blank qty",IF(F2440&lt;0,"Return","OK")))))</f>
        <v/>
      </c>
      <c r="L2440" s="36" t="str">
        <f aca="false">IF(Raw_Export!$A2440="","",IF(OR(K2440="OK",K2440="Return"),1,0))</f>
        <v/>
      </c>
      <c r="M2440" s="37" t="str">
        <f aca="false">IF(Raw_Export!$A2440="","",B2440-WEEKDAY(B2440,2)+1)</f>
        <v/>
      </c>
    </row>
    <row r="2441" customFormat="false" ht="15" hidden="false" customHeight="false" outlineLevel="0" collapsed="false">
      <c r="A2441" s="36" t="str">
        <f aca="false">IF(Raw_Export!$A2441="","",TRIM(Raw_Export!A2441))</f>
        <v/>
      </c>
      <c r="B2441" s="37" t="str">
        <f aca="false">IF(Raw_Export!$A2441="","",IF(ISNUMBER(Raw_Export!B2441),Raw_Export!B2441,IF(MID(TRIM(Raw_Export!B2441),5,1)="-",DATE(LEFT(TRIM(Raw_Export!B2441),4),MID(TRIM(Raw_Export!B2441),6,2),RIGHT(TRIM(Raw_Export!B2441),2)),DATE(RIGHT(TRIM(Raw_Export!B2441),4),MATCH(MID(TRIM(Raw_Export!B2441),4,3),{"Jan","Feb","Mar","Apr","May","Jun","Jul","Aug","Sep","Oct","Nov","Dec"},0),LEFT(TRIM(Raw_Export!B2441),2)))))</f>
        <v/>
      </c>
      <c r="C2441" s="36" t="str">
        <f aca="false">IF(Raw_Export!$A2441="","",IFERROR(VLOOKUP(LOWER(TRIM(Raw_Export!C2441)),Maps!$A$2:$B$20,2,FALSE()),"UNMAPPED"))</f>
        <v/>
      </c>
      <c r="D2441" s="36" t="str">
        <f aca="false">IF(Raw_Export!$A2441="","",IFERROR(VLOOKUP(LOWER(TRIM(Raw_Export!D2441)),Maps!$G$2:$I$80,2,FALSE()),"UNMAPPED"))</f>
        <v/>
      </c>
      <c r="E2441" s="36" t="str">
        <f aca="false">IF(Raw_Export!$A2441="","",IFERROR(VLOOKUP(LOWER(TRIM(Raw_Export!D2441)),Maps!$G$2:$I$80,3,FALSE()),"UNMAPPED"))</f>
        <v/>
      </c>
      <c r="F2441" s="36" t="str">
        <f aca="false">IF(Raw_Export!$A2441="","",IFERROR(VALUE(TRIM(Raw_Export!E2441)),0))</f>
        <v/>
      </c>
      <c r="G2441" s="38" t="str">
        <f aca="false">IF(Raw_Export!$A2441="","",IFERROR(VALUE(SUBSTITUTE(SUBSTITUTE(UPPER(TRIM(Raw_Export!F2441)),"KES",""),",","")),0))</f>
        <v/>
      </c>
      <c r="H2441" s="38" t="str">
        <f aca="false">IF(Raw_Export!$A2441="","",F2441*G2441)</f>
        <v/>
      </c>
      <c r="I2441" s="36" t="str">
        <f aca="false">IF(Raw_Export!$A2441="","",IFERROR(VLOOKUP(LOWER(TRIM(Raw_Export!H2441)),Maps!$D$2:$E$12,2,FALSE()),"Other"))</f>
        <v/>
      </c>
      <c r="J2441" s="36" t="str">
        <f aca="false">IF(Raw_Export!$A2441="","",IF(COUNTIF($A$2:A2441,A2441)&gt;1,"Duplicate",""))</f>
        <v/>
      </c>
      <c r="K2441" s="36" t="str">
        <f aca="false">IF(Raw_Export!$A2441="","",IF(J2441="Duplicate","Duplicate",IF(OR(C2441="UNMAPPED",D2441="UNMAPPED"),"Unmapped",IF(F2441=0,"Blank qty",IF(F2441&lt;0,"Return","OK")))))</f>
        <v/>
      </c>
      <c r="L2441" s="36" t="str">
        <f aca="false">IF(Raw_Export!$A2441="","",IF(OR(K2441="OK",K2441="Return"),1,0))</f>
        <v/>
      </c>
      <c r="M2441" s="37" t="str">
        <f aca="false">IF(Raw_Export!$A2441="","",B2441-WEEKDAY(B2441,2)+1)</f>
        <v/>
      </c>
    </row>
    <row r="2442" customFormat="false" ht="15" hidden="false" customHeight="false" outlineLevel="0" collapsed="false">
      <c r="A2442" s="36" t="str">
        <f aca="false">IF(Raw_Export!$A2442="","",TRIM(Raw_Export!A2442))</f>
        <v/>
      </c>
      <c r="B2442" s="37" t="str">
        <f aca="false">IF(Raw_Export!$A2442="","",IF(ISNUMBER(Raw_Export!B2442),Raw_Export!B2442,IF(MID(TRIM(Raw_Export!B2442),5,1)="-",DATE(LEFT(TRIM(Raw_Export!B2442),4),MID(TRIM(Raw_Export!B2442),6,2),RIGHT(TRIM(Raw_Export!B2442),2)),DATE(RIGHT(TRIM(Raw_Export!B2442),4),MATCH(MID(TRIM(Raw_Export!B2442),4,3),{"Jan","Feb","Mar","Apr","May","Jun","Jul","Aug","Sep","Oct","Nov","Dec"},0),LEFT(TRIM(Raw_Export!B2442),2)))))</f>
        <v/>
      </c>
      <c r="C2442" s="36" t="str">
        <f aca="false">IF(Raw_Export!$A2442="","",IFERROR(VLOOKUP(LOWER(TRIM(Raw_Export!C2442)),Maps!$A$2:$B$20,2,FALSE()),"UNMAPPED"))</f>
        <v/>
      </c>
      <c r="D2442" s="36" t="str">
        <f aca="false">IF(Raw_Export!$A2442="","",IFERROR(VLOOKUP(LOWER(TRIM(Raw_Export!D2442)),Maps!$G$2:$I$80,2,FALSE()),"UNMAPPED"))</f>
        <v/>
      </c>
      <c r="E2442" s="36" t="str">
        <f aca="false">IF(Raw_Export!$A2442="","",IFERROR(VLOOKUP(LOWER(TRIM(Raw_Export!D2442)),Maps!$G$2:$I$80,3,FALSE()),"UNMAPPED"))</f>
        <v/>
      </c>
      <c r="F2442" s="36" t="str">
        <f aca="false">IF(Raw_Export!$A2442="","",IFERROR(VALUE(TRIM(Raw_Export!E2442)),0))</f>
        <v/>
      </c>
      <c r="G2442" s="38" t="str">
        <f aca="false">IF(Raw_Export!$A2442="","",IFERROR(VALUE(SUBSTITUTE(SUBSTITUTE(UPPER(TRIM(Raw_Export!F2442)),"KES",""),",","")),0))</f>
        <v/>
      </c>
      <c r="H2442" s="38" t="str">
        <f aca="false">IF(Raw_Export!$A2442="","",F2442*G2442)</f>
        <v/>
      </c>
      <c r="I2442" s="36" t="str">
        <f aca="false">IF(Raw_Export!$A2442="","",IFERROR(VLOOKUP(LOWER(TRIM(Raw_Export!H2442)),Maps!$D$2:$E$12,2,FALSE()),"Other"))</f>
        <v/>
      </c>
      <c r="J2442" s="36" t="str">
        <f aca="false">IF(Raw_Export!$A2442="","",IF(COUNTIF($A$2:A2442,A2442)&gt;1,"Duplicate",""))</f>
        <v/>
      </c>
      <c r="K2442" s="36" t="str">
        <f aca="false">IF(Raw_Export!$A2442="","",IF(J2442="Duplicate","Duplicate",IF(OR(C2442="UNMAPPED",D2442="UNMAPPED"),"Unmapped",IF(F2442=0,"Blank qty",IF(F2442&lt;0,"Return","OK")))))</f>
        <v/>
      </c>
      <c r="L2442" s="36" t="str">
        <f aca="false">IF(Raw_Export!$A2442="","",IF(OR(K2442="OK",K2442="Return"),1,0))</f>
        <v/>
      </c>
      <c r="M2442" s="37" t="str">
        <f aca="false">IF(Raw_Export!$A2442="","",B2442-WEEKDAY(B2442,2)+1)</f>
        <v/>
      </c>
    </row>
    <row r="2443" customFormat="false" ht="15" hidden="false" customHeight="false" outlineLevel="0" collapsed="false">
      <c r="A2443" s="36" t="str">
        <f aca="false">IF(Raw_Export!$A2443="","",TRIM(Raw_Export!A2443))</f>
        <v/>
      </c>
      <c r="B2443" s="37" t="str">
        <f aca="false">IF(Raw_Export!$A2443="","",IF(ISNUMBER(Raw_Export!B2443),Raw_Export!B2443,IF(MID(TRIM(Raw_Export!B2443),5,1)="-",DATE(LEFT(TRIM(Raw_Export!B2443),4),MID(TRIM(Raw_Export!B2443),6,2),RIGHT(TRIM(Raw_Export!B2443),2)),DATE(RIGHT(TRIM(Raw_Export!B2443),4),MATCH(MID(TRIM(Raw_Export!B2443),4,3),{"Jan","Feb","Mar","Apr","May","Jun","Jul","Aug","Sep","Oct","Nov","Dec"},0),LEFT(TRIM(Raw_Export!B2443),2)))))</f>
        <v/>
      </c>
      <c r="C2443" s="36" t="str">
        <f aca="false">IF(Raw_Export!$A2443="","",IFERROR(VLOOKUP(LOWER(TRIM(Raw_Export!C2443)),Maps!$A$2:$B$20,2,FALSE()),"UNMAPPED"))</f>
        <v/>
      </c>
      <c r="D2443" s="36" t="str">
        <f aca="false">IF(Raw_Export!$A2443="","",IFERROR(VLOOKUP(LOWER(TRIM(Raw_Export!D2443)),Maps!$G$2:$I$80,2,FALSE()),"UNMAPPED"))</f>
        <v/>
      </c>
      <c r="E2443" s="36" t="str">
        <f aca="false">IF(Raw_Export!$A2443="","",IFERROR(VLOOKUP(LOWER(TRIM(Raw_Export!D2443)),Maps!$G$2:$I$80,3,FALSE()),"UNMAPPED"))</f>
        <v/>
      </c>
      <c r="F2443" s="36" t="str">
        <f aca="false">IF(Raw_Export!$A2443="","",IFERROR(VALUE(TRIM(Raw_Export!E2443)),0))</f>
        <v/>
      </c>
      <c r="G2443" s="38" t="str">
        <f aca="false">IF(Raw_Export!$A2443="","",IFERROR(VALUE(SUBSTITUTE(SUBSTITUTE(UPPER(TRIM(Raw_Export!F2443)),"KES",""),",","")),0))</f>
        <v/>
      </c>
      <c r="H2443" s="38" t="str">
        <f aca="false">IF(Raw_Export!$A2443="","",F2443*G2443)</f>
        <v/>
      </c>
      <c r="I2443" s="36" t="str">
        <f aca="false">IF(Raw_Export!$A2443="","",IFERROR(VLOOKUP(LOWER(TRIM(Raw_Export!H2443)),Maps!$D$2:$E$12,2,FALSE()),"Other"))</f>
        <v/>
      </c>
      <c r="J2443" s="36" t="str">
        <f aca="false">IF(Raw_Export!$A2443="","",IF(COUNTIF($A$2:A2443,A2443)&gt;1,"Duplicate",""))</f>
        <v/>
      </c>
      <c r="K2443" s="36" t="str">
        <f aca="false">IF(Raw_Export!$A2443="","",IF(J2443="Duplicate","Duplicate",IF(OR(C2443="UNMAPPED",D2443="UNMAPPED"),"Unmapped",IF(F2443=0,"Blank qty",IF(F2443&lt;0,"Return","OK")))))</f>
        <v/>
      </c>
      <c r="L2443" s="36" t="str">
        <f aca="false">IF(Raw_Export!$A2443="","",IF(OR(K2443="OK",K2443="Return"),1,0))</f>
        <v/>
      </c>
      <c r="M2443" s="37" t="str">
        <f aca="false">IF(Raw_Export!$A2443="","",B2443-WEEKDAY(B2443,2)+1)</f>
        <v/>
      </c>
    </row>
    <row r="2444" customFormat="false" ht="15" hidden="false" customHeight="false" outlineLevel="0" collapsed="false">
      <c r="A2444" s="36" t="str">
        <f aca="false">IF(Raw_Export!$A2444="","",TRIM(Raw_Export!A2444))</f>
        <v/>
      </c>
      <c r="B2444" s="37" t="str">
        <f aca="false">IF(Raw_Export!$A2444="","",IF(ISNUMBER(Raw_Export!B2444),Raw_Export!B2444,IF(MID(TRIM(Raw_Export!B2444),5,1)="-",DATE(LEFT(TRIM(Raw_Export!B2444),4),MID(TRIM(Raw_Export!B2444),6,2),RIGHT(TRIM(Raw_Export!B2444),2)),DATE(RIGHT(TRIM(Raw_Export!B2444),4),MATCH(MID(TRIM(Raw_Export!B2444),4,3),{"Jan","Feb","Mar","Apr","May","Jun","Jul","Aug","Sep","Oct","Nov","Dec"},0),LEFT(TRIM(Raw_Export!B2444),2)))))</f>
        <v/>
      </c>
      <c r="C2444" s="36" t="str">
        <f aca="false">IF(Raw_Export!$A2444="","",IFERROR(VLOOKUP(LOWER(TRIM(Raw_Export!C2444)),Maps!$A$2:$B$20,2,FALSE()),"UNMAPPED"))</f>
        <v/>
      </c>
      <c r="D2444" s="36" t="str">
        <f aca="false">IF(Raw_Export!$A2444="","",IFERROR(VLOOKUP(LOWER(TRIM(Raw_Export!D2444)),Maps!$G$2:$I$80,2,FALSE()),"UNMAPPED"))</f>
        <v/>
      </c>
      <c r="E2444" s="36" t="str">
        <f aca="false">IF(Raw_Export!$A2444="","",IFERROR(VLOOKUP(LOWER(TRIM(Raw_Export!D2444)),Maps!$G$2:$I$80,3,FALSE()),"UNMAPPED"))</f>
        <v/>
      </c>
      <c r="F2444" s="36" t="str">
        <f aca="false">IF(Raw_Export!$A2444="","",IFERROR(VALUE(TRIM(Raw_Export!E2444)),0))</f>
        <v/>
      </c>
      <c r="G2444" s="38" t="str">
        <f aca="false">IF(Raw_Export!$A2444="","",IFERROR(VALUE(SUBSTITUTE(SUBSTITUTE(UPPER(TRIM(Raw_Export!F2444)),"KES",""),",","")),0))</f>
        <v/>
      </c>
      <c r="H2444" s="38" t="str">
        <f aca="false">IF(Raw_Export!$A2444="","",F2444*G2444)</f>
        <v/>
      </c>
      <c r="I2444" s="36" t="str">
        <f aca="false">IF(Raw_Export!$A2444="","",IFERROR(VLOOKUP(LOWER(TRIM(Raw_Export!H2444)),Maps!$D$2:$E$12,2,FALSE()),"Other"))</f>
        <v/>
      </c>
      <c r="J2444" s="36" t="str">
        <f aca="false">IF(Raw_Export!$A2444="","",IF(COUNTIF($A$2:A2444,A2444)&gt;1,"Duplicate",""))</f>
        <v/>
      </c>
      <c r="K2444" s="36" t="str">
        <f aca="false">IF(Raw_Export!$A2444="","",IF(J2444="Duplicate","Duplicate",IF(OR(C2444="UNMAPPED",D2444="UNMAPPED"),"Unmapped",IF(F2444=0,"Blank qty",IF(F2444&lt;0,"Return","OK")))))</f>
        <v/>
      </c>
      <c r="L2444" s="36" t="str">
        <f aca="false">IF(Raw_Export!$A2444="","",IF(OR(K2444="OK",K2444="Return"),1,0))</f>
        <v/>
      </c>
      <c r="M2444" s="37" t="str">
        <f aca="false">IF(Raw_Export!$A2444="","",B2444-WEEKDAY(B2444,2)+1)</f>
        <v/>
      </c>
    </row>
    <row r="2445" customFormat="false" ht="15" hidden="false" customHeight="false" outlineLevel="0" collapsed="false">
      <c r="A2445" s="36" t="str">
        <f aca="false">IF(Raw_Export!$A2445="","",TRIM(Raw_Export!A2445))</f>
        <v/>
      </c>
      <c r="B2445" s="37" t="str">
        <f aca="false">IF(Raw_Export!$A2445="","",IF(ISNUMBER(Raw_Export!B2445),Raw_Export!B2445,IF(MID(TRIM(Raw_Export!B2445),5,1)="-",DATE(LEFT(TRIM(Raw_Export!B2445),4),MID(TRIM(Raw_Export!B2445),6,2),RIGHT(TRIM(Raw_Export!B2445),2)),DATE(RIGHT(TRIM(Raw_Export!B2445),4),MATCH(MID(TRIM(Raw_Export!B2445),4,3),{"Jan","Feb","Mar","Apr","May","Jun","Jul","Aug","Sep","Oct","Nov","Dec"},0),LEFT(TRIM(Raw_Export!B2445),2)))))</f>
        <v/>
      </c>
      <c r="C2445" s="36" t="str">
        <f aca="false">IF(Raw_Export!$A2445="","",IFERROR(VLOOKUP(LOWER(TRIM(Raw_Export!C2445)),Maps!$A$2:$B$20,2,FALSE()),"UNMAPPED"))</f>
        <v/>
      </c>
      <c r="D2445" s="36" t="str">
        <f aca="false">IF(Raw_Export!$A2445="","",IFERROR(VLOOKUP(LOWER(TRIM(Raw_Export!D2445)),Maps!$G$2:$I$80,2,FALSE()),"UNMAPPED"))</f>
        <v/>
      </c>
      <c r="E2445" s="36" t="str">
        <f aca="false">IF(Raw_Export!$A2445="","",IFERROR(VLOOKUP(LOWER(TRIM(Raw_Export!D2445)),Maps!$G$2:$I$80,3,FALSE()),"UNMAPPED"))</f>
        <v/>
      </c>
      <c r="F2445" s="36" t="str">
        <f aca="false">IF(Raw_Export!$A2445="","",IFERROR(VALUE(TRIM(Raw_Export!E2445)),0))</f>
        <v/>
      </c>
      <c r="G2445" s="38" t="str">
        <f aca="false">IF(Raw_Export!$A2445="","",IFERROR(VALUE(SUBSTITUTE(SUBSTITUTE(UPPER(TRIM(Raw_Export!F2445)),"KES",""),",","")),0))</f>
        <v/>
      </c>
      <c r="H2445" s="38" t="str">
        <f aca="false">IF(Raw_Export!$A2445="","",F2445*G2445)</f>
        <v/>
      </c>
      <c r="I2445" s="36" t="str">
        <f aca="false">IF(Raw_Export!$A2445="","",IFERROR(VLOOKUP(LOWER(TRIM(Raw_Export!H2445)),Maps!$D$2:$E$12,2,FALSE()),"Other"))</f>
        <v/>
      </c>
      <c r="J2445" s="36" t="str">
        <f aca="false">IF(Raw_Export!$A2445="","",IF(COUNTIF($A$2:A2445,A2445)&gt;1,"Duplicate",""))</f>
        <v/>
      </c>
      <c r="K2445" s="36" t="str">
        <f aca="false">IF(Raw_Export!$A2445="","",IF(J2445="Duplicate","Duplicate",IF(OR(C2445="UNMAPPED",D2445="UNMAPPED"),"Unmapped",IF(F2445=0,"Blank qty",IF(F2445&lt;0,"Return","OK")))))</f>
        <v/>
      </c>
      <c r="L2445" s="36" t="str">
        <f aca="false">IF(Raw_Export!$A2445="","",IF(OR(K2445="OK",K2445="Return"),1,0))</f>
        <v/>
      </c>
      <c r="M2445" s="37" t="str">
        <f aca="false">IF(Raw_Export!$A2445="","",B2445-WEEKDAY(B2445,2)+1)</f>
        <v/>
      </c>
    </row>
    <row r="2446" customFormat="false" ht="15" hidden="false" customHeight="false" outlineLevel="0" collapsed="false">
      <c r="A2446" s="36" t="str">
        <f aca="false">IF(Raw_Export!$A2446="","",TRIM(Raw_Export!A2446))</f>
        <v/>
      </c>
      <c r="B2446" s="37" t="str">
        <f aca="false">IF(Raw_Export!$A2446="","",IF(ISNUMBER(Raw_Export!B2446),Raw_Export!B2446,IF(MID(TRIM(Raw_Export!B2446),5,1)="-",DATE(LEFT(TRIM(Raw_Export!B2446),4),MID(TRIM(Raw_Export!B2446),6,2),RIGHT(TRIM(Raw_Export!B2446),2)),DATE(RIGHT(TRIM(Raw_Export!B2446),4),MATCH(MID(TRIM(Raw_Export!B2446),4,3),{"Jan","Feb","Mar","Apr","May","Jun","Jul","Aug","Sep","Oct","Nov","Dec"},0),LEFT(TRIM(Raw_Export!B2446),2)))))</f>
        <v/>
      </c>
      <c r="C2446" s="36" t="str">
        <f aca="false">IF(Raw_Export!$A2446="","",IFERROR(VLOOKUP(LOWER(TRIM(Raw_Export!C2446)),Maps!$A$2:$B$20,2,FALSE()),"UNMAPPED"))</f>
        <v/>
      </c>
      <c r="D2446" s="36" t="str">
        <f aca="false">IF(Raw_Export!$A2446="","",IFERROR(VLOOKUP(LOWER(TRIM(Raw_Export!D2446)),Maps!$G$2:$I$80,2,FALSE()),"UNMAPPED"))</f>
        <v/>
      </c>
      <c r="E2446" s="36" t="str">
        <f aca="false">IF(Raw_Export!$A2446="","",IFERROR(VLOOKUP(LOWER(TRIM(Raw_Export!D2446)),Maps!$G$2:$I$80,3,FALSE()),"UNMAPPED"))</f>
        <v/>
      </c>
      <c r="F2446" s="36" t="str">
        <f aca="false">IF(Raw_Export!$A2446="","",IFERROR(VALUE(TRIM(Raw_Export!E2446)),0))</f>
        <v/>
      </c>
      <c r="G2446" s="38" t="str">
        <f aca="false">IF(Raw_Export!$A2446="","",IFERROR(VALUE(SUBSTITUTE(SUBSTITUTE(UPPER(TRIM(Raw_Export!F2446)),"KES",""),",","")),0))</f>
        <v/>
      </c>
      <c r="H2446" s="38" t="str">
        <f aca="false">IF(Raw_Export!$A2446="","",F2446*G2446)</f>
        <v/>
      </c>
      <c r="I2446" s="36" t="str">
        <f aca="false">IF(Raw_Export!$A2446="","",IFERROR(VLOOKUP(LOWER(TRIM(Raw_Export!H2446)),Maps!$D$2:$E$12,2,FALSE()),"Other"))</f>
        <v/>
      </c>
      <c r="J2446" s="36" t="str">
        <f aca="false">IF(Raw_Export!$A2446="","",IF(COUNTIF($A$2:A2446,A2446)&gt;1,"Duplicate",""))</f>
        <v/>
      </c>
      <c r="K2446" s="36" t="str">
        <f aca="false">IF(Raw_Export!$A2446="","",IF(J2446="Duplicate","Duplicate",IF(OR(C2446="UNMAPPED",D2446="UNMAPPED"),"Unmapped",IF(F2446=0,"Blank qty",IF(F2446&lt;0,"Return","OK")))))</f>
        <v/>
      </c>
      <c r="L2446" s="36" t="str">
        <f aca="false">IF(Raw_Export!$A2446="","",IF(OR(K2446="OK",K2446="Return"),1,0))</f>
        <v/>
      </c>
      <c r="M2446" s="37" t="str">
        <f aca="false">IF(Raw_Export!$A2446="","",B2446-WEEKDAY(B2446,2)+1)</f>
        <v/>
      </c>
    </row>
    <row r="2447" customFormat="false" ht="15" hidden="false" customHeight="false" outlineLevel="0" collapsed="false">
      <c r="A2447" s="36" t="str">
        <f aca="false">IF(Raw_Export!$A2447="","",TRIM(Raw_Export!A2447))</f>
        <v/>
      </c>
      <c r="B2447" s="37" t="str">
        <f aca="false">IF(Raw_Export!$A2447="","",IF(ISNUMBER(Raw_Export!B2447),Raw_Export!B2447,IF(MID(TRIM(Raw_Export!B2447),5,1)="-",DATE(LEFT(TRIM(Raw_Export!B2447),4),MID(TRIM(Raw_Export!B2447),6,2),RIGHT(TRIM(Raw_Export!B2447),2)),DATE(RIGHT(TRIM(Raw_Export!B2447),4),MATCH(MID(TRIM(Raw_Export!B2447),4,3),{"Jan","Feb","Mar","Apr","May","Jun","Jul","Aug","Sep","Oct","Nov","Dec"},0),LEFT(TRIM(Raw_Export!B2447),2)))))</f>
        <v/>
      </c>
      <c r="C2447" s="36" t="str">
        <f aca="false">IF(Raw_Export!$A2447="","",IFERROR(VLOOKUP(LOWER(TRIM(Raw_Export!C2447)),Maps!$A$2:$B$20,2,FALSE()),"UNMAPPED"))</f>
        <v/>
      </c>
      <c r="D2447" s="36" t="str">
        <f aca="false">IF(Raw_Export!$A2447="","",IFERROR(VLOOKUP(LOWER(TRIM(Raw_Export!D2447)),Maps!$G$2:$I$80,2,FALSE()),"UNMAPPED"))</f>
        <v/>
      </c>
      <c r="E2447" s="36" t="str">
        <f aca="false">IF(Raw_Export!$A2447="","",IFERROR(VLOOKUP(LOWER(TRIM(Raw_Export!D2447)),Maps!$G$2:$I$80,3,FALSE()),"UNMAPPED"))</f>
        <v/>
      </c>
      <c r="F2447" s="36" t="str">
        <f aca="false">IF(Raw_Export!$A2447="","",IFERROR(VALUE(TRIM(Raw_Export!E2447)),0))</f>
        <v/>
      </c>
      <c r="G2447" s="38" t="str">
        <f aca="false">IF(Raw_Export!$A2447="","",IFERROR(VALUE(SUBSTITUTE(SUBSTITUTE(UPPER(TRIM(Raw_Export!F2447)),"KES",""),",","")),0))</f>
        <v/>
      </c>
      <c r="H2447" s="38" t="str">
        <f aca="false">IF(Raw_Export!$A2447="","",F2447*G2447)</f>
        <v/>
      </c>
      <c r="I2447" s="36" t="str">
        <f aca="false">IF(Raw_Export!$A2447="","",IFERROR(VLOOKUP(LOWER(TRIM(Raw_Export!H2447)),Maps!$D$2:$E$12,2,FALSE()),"Other"))</f>
        <v/>
      </c>
      <c r="J2447" s="36" t="str">
        <f aca="false">IF(Raw_Export!$A2447="","",IF(COUNTIF($A$2:A2447,A2447)&gt;1,"Duplicate",""))</f>
        <v/>
      </c>
      <c r="K2447" s="36" t="str">
        <f aca="false">IF(Raw_Export!$A2447="","",IF(J2447="Duplicate","Duplicate",IF(OR(C2447="UNMAPPED",D2447="UNMAPPED"),"Unmapped",IF(F2447=0,"Blank qty",IF(F2447&lt;0,"Return","OK")))))</f>
        <v/>
      </c>
      <c r="L2447" s="36" t="str">
        <f aca="false">IF(Raw_Export!$A2447="","",IF(OR(K2447="OK",K2447="Return"),1,0))</f>
        <v/>
      </c>
      <c r="M2447" s="37" t="str">
        <f aca="false">IF(Raw_Export!$A2447="","",B2447-WEEKDAY(B2447,2)+1)</f>
        <v/>
      </c>
    </row>
    <row r="2448" customFormat="false" ht="15" hidden="false" customHeight="false" outlineLevel="0" collapsed="false">
      <c r="A2448" s="36" t="str">
        <f aca="false">IF(Raw_Export!$A2448="","",TRIM(Raw_Export!A2448))</f>
        <v/>
      </c>
      <c r="B2448" s="37" t="str">
        <f aca="false">IF(Raw_Export!$A2448="","",IF(ISNUMBER(Raw_Export!B2448),Raw_Export!B2448,IF(MID(TRIM(Raw_Export!B2448),5,1)="-",DATE(LEFT(TRIM(Raw_Export!B2448),4),MID(TRIM(Raw_Export!B2448),6,2),RIGHT(TRIM(Raw_Export!B2448),2)),DATE(RIGHT(TRIM(Raw_Export!B2448),4),MATCH(MID(TRIM(Raw_Export!B2448),4,3),{"Jan","Feb","Mar","Apr","May","Jun","Jul","Aug","Sep","Oct","Nov","Dec"},0),LEFT(TRIM(Raw_Export!B2448),2)))))</f>
        <v/>
      </c>
      <c r="C2448" s="36" t="str">
        <f aca="false">IF(Raw_Export!$A2448="","",IFERROR(VLOOKUP(LOWER(TRIM(Raw_Export!C2448)),Maps!$A$2:$B$20,2,FALSE()),"UNMAPPED"))</f>
        <v/>
      </c>
      <c r="D2448" s="36" t="str">
        <f aca="false">IF(Raw_Export!$A2448="","",IFERROR(VLOOKUP(LOWER(TRIM(Raw_Export!D2448)),Maps!$G$2:$I$80,2,FALSE()),"UNMAPPED"))</f>
        <v/>
      </c>
      <c r="E2448" s="36" t="str">
        <f aca="false">IF(Raw_Export!$A2448="","",IFERROR(VLOOKUP(LOWER(TRIM(Raw_Export!D2448)),Maps!$G$2:$I$80,3,FALSE()),"UNMAPPED"))</f>
        <v/>
      </c>
      <c r="F2448" s="36" t="str">
        <f aca="false">IF(Raw_Export!$A2448="","",IFERROR(VALUE(TRIM(Raw_Export!E2448)),0))</f>
        <v/>
      </c>
      <c r="G2448" s="38" t="str">
        <f aca="false">IF(Raw_Export!$A2448="","",IFERROR(VALUE(SUBSTITUTE(SUBSTITUTE(UPPER(TRIM(Raw_Export!F2448)),"KES",""),",","")),0))</f>
        <v/>
      </c>
      <c r="H2448" s="38" t="str">
        <f aca="false">IF(Raw_Export!$A2448="","",F2448*G2448)</f>
        <v/>
      </c>
      <c r="I2448" s="36" t="str">
        <f aca="false">IF(Raw_Export!$A2448="","",IFERROR(VLOOKUP(LOWER(TRIM(Raw_Export!H2448)),Maps!$D$2:$E$12,2,FALSE()),"Other"))</f>
        <v/>
      </c>
      <c r="J2448" s="36" t="str">
        <f aca="false">IF(Raw_Export!$A2448="","",IF(COUNTIF($A$2:A2448,A2448)&gt;1,"Duplicate",""))</f>
        <v/>
      </c>
      <c r="K2448" s="36" t="str">
        <f aca="false">IF(Raw_Export!$A2448="","",IF(J2448="Duplicate","Duplicate",IF(OR(C2448="UNMAPPED",D2448="UNMAPPED"),"Unmapped",IF(F2448=0,"Blank qty",IF(F2448&lt;0,"Return","OK")))))</f>
        <v/>
      </c>
      <c r="L2448" s="36" t="str">
        <f aca="false">IF(Raw_Export!$A2448="","",IF(OR(K2448="OK",K2448="Return"),1,0))</f>
        <v/>
      </c>
      <c r="M2448" s="37" t="str">
        <f aca="false">IF(Raw_Export!$A2448="","",B2448-WEEKDAY(B2448,2)+1)</f>
        <v/>
      </c>
    </row>
    <row r="2449" customFormat="false" ht="15" hidden="false" customHeight="false" outlineLevel="0" collapsed="false">
      <c r="A2449" s="36" t="str">
        <f aca="false">IF(Raw_Export!$A2449="","",TRIM(Raw_Export!A2449))</f>
        <v/>
      </c>
      <c r="B2449" s="37" t="str">
        <f aca="false">IF(Raw_Export!$A2449="","",IF(ISNUMBER(Raw_Export!B2449),Raw_Export!B2449,IF(MID(TRIM(Raw_Export!B2449),5,1)="-",DATE(LEFT(TRIM(Raw_Export!B2449),4),MID(TRIM(Raw_Export!B2449),6,2),RIGHT(TRIM(Raw_Export!B2449),2)),DATE(RIGHT(TRIM(Raw_Export!B2449),4),MATCH(MID(TRIM(Raw_Export!B2449),4,3),{"Jan","Feb","Mar","Apr","May","Jun","Jul","Aug","Sep","Oct","Nov","Dec"},0),LEFT(TRIM(Raw_Export!B2449),2)))))</f>
        <v/>
      </c>
      <c r="C2449" s="36" t="str">
        <f aca="false">IF(Raw_Export!$A2449="","",IFERROR(VLOOKUP(LOWER(TRIM(Raw_Export!C2449)),Maps!$A$2:$B$20,2,FALSE()),"UNMAPPED"))</f>
        <v/>
      </c>
      <c r="D2449" s="36" t="str">
        <f aca="false">IF(Raw_Export!$A2449="","",IFERROR(VLOOKUP(LOWER(TRIM(Raw_Export!D2449)),Maps!$G$2:$I$80,2,FALSE()),"UNMAPPED"))</f>
        <v/>
      </c>
      <c r="E2449" s="36" t="str">
        <f aca="false">IF(Raw_Export!$A2449="","",IFERROR(VLOOKUP(LOWER(TRIM(Raw_Export!D2449)),Maps!$G$2:$I$80,3,FALSE()),"UNMAPPED"))</f>
        <v/>
      </c>
      <c r="F2449" s="36" t="str">
        <f aca="false">IF(Raw_Export!$A2449="","",IFERROR(VALUE(TRIM(Raw_Export!E2449)),0))</f>
        <v/>
      </c>
      <c r="G2449" s="38" t="str">
        <f aca="false">IF(Raw_Export!$A2449="","",IFERROR(VALUE(SUBSTITUTE(SUBSTITUTE(UPPER(TRIM(Raw_Export!F2449)),"KES",""),",","")),0))</f>
        <v/>
      </c>
      <c r="H2449" s="38" t="str">
        <f aca="false">IF(Raw_Export!$A2449="","",F2449*G2449)</f>
        <v/>
      </c>
      <c r="I2449" s="36" t="str">
        <f aca="false">IF(Raw_Export!$A2449="","",IFERROR(VLOOKUP(LOWER(TRIM(Raw_Export!H2449)),Maps!$D$2:$E$12,2,FALSE()),"Other"))</f>
        <v/>
      </c>
      <c r="J2449" s="36" t="str">
        <f aca="false">IF(Raw_Export!$A2449="","",IF(COUNTIF($A$2:A2449,A2449)&gt;1,"Duplicate",""))</f>
        <v/>
      </c>
      <c r="K2449" s="36" t="str">
        <f aca="false">IF(Raw_Export!$A2449="","",IF(J2449="Duplicate","Duplicate",IF(OR(C2449="UNMAPPED",D2449="UNMAPPED"),"Unmapped",IF(F2449=0,"Blank qty",IF(F2449&lt;0,"Return","OK")))))</f>
        <v/>
      </c>
      <c r="L2449" s="36" t="str">
        <f aca="false">IF(Raw_Export!$A2449="","",IF(OR(K2449="OK",K2449="Return"),1,0))</f>
        <v/>
      </c>
      <c r="M2449" s="37" t="str">
        <f aca="false">IF(Raw_Export!$A2449="","",B2449-WEEKDAY(B2449,2)+1)</f>
        <v/>
      </c>
    </row>
    <row r="2450" customFormat="false" ht="15" hidden="false" customHeight="false" outlineLevel="0" collapsed="false">
      <c r="A2450" s="36" t="str">
        <f aca="false">IF(Raw_Export!$A2450="","",TRIM(Raw_Export!A2450))</f>
        <v/>
      </c>
      <c r="B2450" s="37" t="str">
        <f aca="false">IF(Raw_Export!$A2450="","",IF(ISNUMBER(Raw_Export!B2450),Raw_Export!B2450,IF(MID(TRIM(Raw_Export!B2450),5,1)="-",DATE(LEFT(TRIM(Raw_Export!B2450),4),MID(TRIM(Raw_Export!B2450),6,2),RIGHT(TRIM(Raw_Export!B2450),2)),DATE(RIGHT(TRIM(Raw_Export!B2450),4),MATCH(MID(TRIM(Raw_Export!B2450),4,3),{"Jan","Feb","Mar","Apr","May","Jun","Jul","Aug","Sep","Oct","Nov","Dec"},0),LEFT(TRIM(Raw_Export!B2450),2)))))</f>
        <v/>
      </c>
      <c r="C2450" s="36" t="str">
        <f aca="false">IF(Raw_Export!$A2450="","",IFERROR(VLOOKUP(LOWER(TRIM(Raw_Export!C2450)),Maps!$A$2:$B$20,2,FALSE()),"UNMAPPED"))</f>
        <v/>
      </c>
      <c r="D2450" s="36" t="str">
        <f aca="false">IF(Raw_Export!$A2450="","",IFERROR(VLOOKUP(LOWER(TRIM(Raw_Export!D2450)),Maps!$G$2:$I$80,2,FALSE()),"UNMAPPED"))</f>
        <v/>
      </c>
      <c r="E2450" s="36" t="str">
        <f aca="false">IF(Raw_Export!$A2450="","",IFERROR(VLOOKUP(LOWER(TRIM(Raw_Export!D2450)),Maps!$G$2:$I$80,3,FALSE()),"UNMAPPED"))</f>
        <v/>
      </c>
      <c r="F2450" s="36" t="str">
        <f aca="false">IF(Raw_Export!$A2450="","",IFERROR(VALUE(TRIM(Raw_Export!E2450)),0))</f>
        <v/>
      </c>
      <c r="G2450" s="38" t="str">
        <f aca="false">IF(Raw_Export!$A2450="","",IFERROR(VALUE(SUBSTITUTE(SUBSTITUTE(UPPER(TRIM(Raw_Export!F2450)),"KES",""),",","")),0))</f>
        <v/>
      </c>
      <c r="H2450" s="38" t="str">
        <f aca="false">IF(Raw_Export!$A2450="","",F2450*G2450)</f>
        <v/>
      </c>
      <c r="I2450" s="36" t="str">
        <f aca="false">IF(Raw_Export!$A2450="","",IFERROR(VLOOKUP(LOWER(TRIM(Raw_Export!H2450)),Maps!$D$2:$E$12,2,FALSE()),"Other"))</f>
        <v/>
      </c>
      <c r="J2450" s="36" t="str">
        <f aca="false">IF(Raw_Export!$A2450="","",IF(COUNTIF($A$2:A2450,A2450)&gt;1,"Duplicate",""))</f>
        <v/>
      </c>
      <c r="K2450" s="36" t="str">
        <f aca="false">IF(Raw_Export!$A2450="","",IF(J2450="Duplicate","Duplicate",IF(OR(C2450="UNMAPPED",D2450="UNMAPPED"),"Unmapped",IF(F2450=0,"Blank qty",IF(F2450&lt;0,"Return","OK")))))</f>
        <v/>
      </c>
      <c r="L2450" s="36" t="str">
        <f aca="false">IF(Raw_Export!$A2450="","",IF(OR(K2450="OK",K2450="Return"),1,0))</f>
        <v/>
      </c>
      <c r="M2450" s="37" t="str">
        <f aca="false">IF(Raw_Export!$A2450="","",B2450-WEEKDAY(B2450,2)+1)</f>
        <v/>
      </c>
    </row>
    <row r="2451" customFormat="false" ht="15" hidden="false" customHeight="false" outlineLevel="0" collapsed="false">
      <c r="A2451" s="36" t="str">
        <f aca="false">IF(Raw_Export!$A2451="","",TRIM(Raw_Export!A2451))</f>
        <v/>
      </c>
      <c r="B2451" s="37" t="str">
        <f aca="false">IF(Raw_Export!$A2451="","",IF(ISNUMBER(Raw_Export!B2451),Raw_Export!B2451,IF(MID(TRIM(Raw_Export!B2451),5,1)="-",DATE(LEFT(TRIM(Raw_Export!B2451),4),MID(TRIM(Raw_Export!B2451),6,2),RIGHT(TRIM(Raw_Export!B2451),2)),DATE(RIGHT(TRIM(Raw_Export!B2451),4),MATCH(MID(TRIM(Raw_Export!B2451),4,3),{"Jan","Feb","Mar","Apr","May","Jun","Jul","Aug","Sep","Oct","Nov","Dec"},0),LEFT(TRIM(Raw_Export!B2451),2)))))</f>
        <v/>
      </c>
      <c r="C2451" s="36" t="str">
        <f aca="false">IF(Raw_Export!$A2451="","",IFERROR(VLOOKUP(LOWER(TRIM(Raw_Export!C2451)),Maps!$A$2:$B$20,2,FALSE()),"UNMAPPED"))</f>
        <v/>
      </c>
      <c r="D2451" s="36" t="str">
        <f aca="false">IF(Raw_Export!$A2451="","",IFERROR(VLOOKUP(LOWER(TRIM(Raw_Export!D2451)),Maps!$G$2:$I$80,2,FALSE()),"UNMAPPED"))</f>
        <v/>
      </c>
      <c r="E2451" s="36" t="str">
        <f aca="false">IF(Raw_Export!$A2451="","",IFERROR(VLOOKUP(LOWER(TRIM(Raw_Export!D2451)),Maps!$G$2:$I$80,3,FALSE()),"UNMAPPED"))</f>
        <v/>
      </c>
      <c r="F2451" s="36" t="str">
        <f aca="false">IF(Raw_Export!$A2451="","",IFERROR(VALUE(TRIM(Raw_Export!E2451)),0))</f>
        <v/>
      </c>
      <c r="G2451" s="38" t="str">
        <f aca="false">IF(Raw_Export!$A2451="","",IFERROR(VALUE(SUBSTITUTE(SUBSTITUTE(UPPER(TRIM(Raw_Export!F2451)),"KES",""),",","")),0))</f>
        <v/>
      </c>
      <c r="H2451" s="38" t="str">
        <f aca="false">IF(Raw_Export!$A2451="","",F2451*G2451)</f>
        <v/>
      </c>
      <c r="I2451" s="36" t="str">
        <f aca="false">IF(Raw_Export!$A2451="","",IFERROR(VLOOKUP(LOWER(TRIM(Raw_Export!H2451)),Maps!$D$2:$E$12,2,FALSE()),"Other"))</f>
        <v/>
      </c>
      <c r="J2451" s="36" t="str">
        <f aca="false">IF(Raw_Export!$A2451="","",IF(COUNTIF($A$2:A2451,A2451)&gt;1,"Duplicate",""))</f>
        <v/>
      </c>
      <c r="K2451" s="36" t="str">
        <f aca="false">IF(Raw_Export!$A2451="","",IF(J2451="Duplicate","Duplicate",IF(OR(C2451="UNMAPPED",D2451="UNMAPPED"),"Unmapped",IF(F2451=0,"Blank qty",IF(F2451&lt;0,"Return","OK")))))</f>
        <v/>
      </c>
      <c r="L2451" s="36" t="str">
        <f aca="false">IF(Raw_Export!$A2451="","",IF(OR(K2451="OK",K2451="Return"),1,0))</f>
        <v/>
      </c>
      <c r="M2451" s="37" t="str">
        <f aca="false">IF(Raw_Export!$A2451="","",B2451-WEEKDAY(B2451,2)+1)</f>
        <v/>
      </c>
    </row>
    <row r="2452" customFormat="false" ht="15" hidden="false" customHeight="false" outlineLevel="0" collapsed="false">
      <c r="A2452" s="36" t="str">
        <f aca="false">IF(Raw_Export!$A2452="","",TRIM(Raw_Export!A2452))</f>
        <v/>
      </c>
      <c r="B2452" s="37" t="str">
        <f aca="false">IF(Raw_Export!$A2452="","",IF(ISNUMBER(Raw_Export!B2452),Raw_Export!B2452,IF(MID(TRIM(Raw_Export!B2452),5,1)="-",DATE(LEFT(TRIM(Raw_Export!B2452),4),MID(TRIM(Raw_Export!B2452),6,2),RIGHT(TRIM(Raw_Export!B2452),2)),DATE(RIGHT(TRIM(Raw_Export!B2452),4),MATCH(MID(TRIM(Raw_Export!B2452),4,3),{"Jan","Feb","Mar","Apr","May","Jun","Jul","Aug","Sep","Oct","Nov","Dec"},0),LEFT(TRIM(Raw_Export!B2452),2)))))</f>
        <v/>
      </c>
      <c r="C2452" s="36" t="str">
        <f aca="false">IF(Raw_Export!$A2452="","",IFERROR(VLOOKUP(LOWER(TRIM(Raw_Export!C2452)),Maps!$A$2:$B$20,2,FALSE()),"UNMAPPED"))</f>
        <v/>
      </c>
      <c r="D2452" s="36" t="str">
        <f aca="false">IF(Raw_Export!$A2452="","",IFERROR(VLOOKUP(LOWER(TRIM(Raw_Export!D2452)),Maps!$G$2:$I$80,2,FALSE()),"UNMAPPED"))</f>
        <v/>
      </c>
      <c r="E2452" s="36" t="str">
        <f aca="false">IF(Raw_Export!$A2452="","",IFERROR(VLOOKUP(LOWER(TRIM(Raw_Export!D2452)),Maps!$G$2:$I$80,3,FALSE()),"UNMAPPED"))</f>
        <v/>
      </c>
      <c r="F2452" s="36" t="str">
        <f aca="false">IF(Raw_Export!$A2452="","",IFERROR(VALUE(TRIM(Raw_Export!E2452)),0))</f>
        <v/>
      </c>
      <c r="G2452" s="38" t="str">
        <f aca="false">IF(Raw_Export!$A2452="","",IFERROR(VALUE(SUBSTITUTE(SUBSTITUTE(UPPER(TRIM(Raw_Export!F2452)),"KES",""),",","")),0))</f>
        <v/>
      </c>
      <c r="H2452" s="38" t="str">
        <f aca="false">IF(Raw_Export!$A2452="","",F2452*G2452)</f>
        <v/>
      </c>
      <c r="I2452" s="36" t="str">
        <f aca="false">IF(Raw_Export!$A2452="","",IFERROR(VLOOKUP(LOWER(TRIM(Raw_Export!H2452)),Maps!$D$2:$E$12,2,FALSE()),"Other"))</f>
        <v/>
      </c>
      <c r="J2452" s="36" t="str">
        <f aca="false">IF(Raw_Export!$A2452="","",IF(COUNTIF($A$2:A2452,A2452)&gt;1,"Duplicate",""))</f>
        <v/>
      </c>
      <c r="K2452" s="36" t="str">
        <f aca="false">IF(Raw_Export!$A2452="","",IF(J2452="Duplicate","Duplicate",IF(OR(C2452="UNMAPPED",D2452="UNMAPPED"),"Unmapped",IF(F2452=0,"Blank qty",IF(F2452&lt;0,"Return","OK")))))</f>
        <v/>
      </c>
      <c r="L2452" s="36" t="str">
        <f aca="false">IF(Raw_Export!$A2452="","",IF(OR(K2452="OK",K2452="Return"),1,0))</f>
        <v/>
      </c>
      <c r="M2452" s="37" t="str">
        <f aca="false">IF(Raw_Export!$A2452="","",B2452-WEEKDAY(B2452,2)+1)</f>
        <v/>
      </c>
    </row>
    <row r="2453" customFormat="false" ht="15" hidden="false" customHeight="false" outlineLevel="0" collapsed="false">
      <c r="A2453" s="36" t="str">
        <f aca="false">IF(Raw_Export!$A2453="","",TRIM(Raw_Export!A2453))</f>
        <v/>
      </c>
      <c r="B2453" s="37" t="str">
        <f aca="false">IF(Raw_Export!$A2453="","",IF(ISNUMBER(Raw_Export!B2453),Raw_Export!B2453,IF(MID(TRIM(Raw_Export!B2453),5,1)="-",DATE(LEFT(TRIM(Raw_Export!B2453),4),MID(TRIM(Raw_Export!B2453),6,2),RIGHT(TRIM(Raw_Export!B2453),2)),DATE(RIGHT(TRIM(Raw_Export!B2453),4),MATCH(MID(TRIM(Raw_Export!B2453),4,3),{"Jan","Feb","Mar","Apr","May","Jun","Jul","Aug","Sep","Oct","Nov","Dec"},0),LEFT(TRIM(Raw_Export!B2453),2)))))</f>
        <v/>
      </c>
      <c r="C2453" s="36" t="str">
        <f aca="false">IF(Raw_Export!$A2453="","",IFERROR(VLOOKUP(LOWER(TRIM(Raw_Export!C2453)),Maps!$A$2:$B$20,2,FALSE()),"UNMAPPED"))</f>
        <v/>
      </c>
      <c r="D2453" s="36" t="str">
        <f aca="false">IF(Raw_Export!$A2453="","",IFERROR(VLOOKUP(LOWER(TRIM(Raw_Export!D2453)),Maps!$G$2:$I$80,2,FALSE()),"UNMAPPED"))</f>
        <v/>
      </c>
      <c r="E2453" s="36" t="str">
        <f aca="false">IF(Raw_Export!$A2453="","",IFERROR(VLOOKUP(LOWER(TRIM(Raw_Export!D2453)),Maps!$G$2:$I$80,3,FALSE()),"UNMAPPED"))</f>
        <v/>
      </c>
      <c r="F2453" s="36" t="str">
        <f aca="false">IF(Raw_Export!$A2453="","",IFERROR(VALUE(TRIM(Raw_Export!E2453)),0))</f>
        <v/>
      </c>
      <c r="G2453" s="38" t="str">
        <f aca="false">IF(Raw_Export!$A2453="","",IFERROR(VALUE(SUBSTITUTE(SUBSTITUTE(UPPER(TRIM(Raw_Export!F2453)),"KES",""),",","")),0))</f>
        <v/>
      </c>
      <c r="H2453" s="38" t="str">
        <f aca="false">IF(Raw_Export!$A2453="","",F2453*G2453)</f>
        <v/>
      </c>
      <c r="I2453" s="36" t="str">
        <f aca="false">IF(Raw_Export!$A2453="","",IFERROR(VLOOKUP(LOWER(TRIM(Raw_Export!H2453)),Maps!$D$2:$E$12,2,FALSE()),"Other"))</f>
        <v/>
      </c>
      <c r="J2453" s="36" t="str">
        <f aca="false">IF(Raw_Export!$A2453="","",IF(COUNTIF($A$2:A2453,A2453)&gt;1,"Duplicate",""))</f>
        <v/>
      </c>
      <c r="K2453" s="36" t="str">
        <f aca="false">IF(Raw_Export!$A2453="","",IF(J2453="Duplicate","Duplicate",IF(OR(C2453="UNMAPPED",D2453="UNMAPPED"),"Unmapped",IF(F2453=0,"Blank qty",IF(F2453&lt;0,"Return","OK")))))</f>
        <v/>
      </c>
      <c r="L2453" s="36" t="str">
        <f aca="false">IF(Raw_Export!$A2453="","",IF(OR(K2453="OK",K2453="Return"),1,0))</f>
        <v/>
      </c>
      <c r="M2453" s="37" t="str">
        <f aca="false">IF(Raw_Export!$A2453="","",B2453-WEEKDAY(B2453,2)+1)</f>
        <v/>
      </c>
    </row>
    <row r="2454" customFormat="false" ht="15" hidden="false" customHeight="false" outlineLevel="0" collapsed="false">
      <c r="A2454" s="36" t="str">
        <f aca="false">IF(Raw_Export!$A2454="","",TRIM(Raw_Export!A2454))</f>
        <v/>
      </c>
      <c r="B2454" s="37" t="str">
        <f aca="false">IF(Raw_Export!$A2454="","",IF(ISNUMBER(Raw_Export!B2454),Raw_Export!B2454,IF(MID(TRIM(Raw_Export!B2454),5,1)="-",DATE(LEFT(TRIM(Raw_Export!B2454),4),MID(TRIM(Raw_Export!B2454),6,2),RIGHT(TRIM(Raw_Export!B2454),2)),DATE(RIGHT(TRIM(Raw_Export!B2454),4),MATCH(MID(TRIM(Raw_Export!B2454),4,3),{"Jan","Feb","Mar","Apr","May","Jun","Jul","Aug","Sep","Oct","Nov","Dec"},0),LEFT(TRIM(Raw_Export!B2454),2)))))</f>
        <v/>
      </c>
      <c r="C2454" s="36" t="str">
        <f aca="false">IF(Raw_Export!$A2454="","",IFERROR(VLOOKUP(LOWER(TRIM(Raw_Export!C2454)),Maps!$A$2:$B$20,2,FALSE()),"UNMAPPED"))</f>
        <v/>
      </c>
      <c r="D2454" s="36" t="str">
        <f aca="false">IF(Raw_Export!$A2454="","",IFERROR(VLOOKUP(LOWER(TRIM(Raw_Export!D2454)),Maps!$G$2:$I$80,2,FALSE()),"UNMAPPED"))</f>
        <v/>
      </c>
      <c r="E2454" s="36" t="str">
        <f aca="false">IF(Raw_Export!$A2454="","",IFERROR(VLOOKUP(LOWER(TRIM(Raw_Export!D2454)),Maps!$G$2:$I$80,3,FALSE()),"UNMAPPED"))</f>
        <v/>
      </c>
      <c r="F2454" s="36" t="str">
        <f aca="false">IF(Raw_Export!$A2454="","",IFERROR(VALUE(TRIM(Raw_Export!E2454)),0))</f>
        <v/>
      </c>
      <c r="G2454" s="38" t="str">
        <f aca="false">IF(Raw_Export!$A2454="","",IFERROR(VALUE(SUBSTITUTE(SUBSTITUTE(UPPER(TRIM(Raw_Export!F2454)),"KES",""),",","")),0))</f>
        <v/>
      </c>
      <c r="H2454" s="38" t="str">
        <f aca="false">IF(Raw_Export!$A2454="","",F2454*G2454)</f>
        <v/>
      </c>
      <c r="I2454" s="36" t="str">
        <f aca="false">IF(Raw_Export!$A2454="","",IFERROR(VLOOKUP(LOWER(TRIM(Raw_Export!H2454)),Maps!$D$2:$E$12,2,FALSE()),"Other"))</f>
        <v/>
      </c>
      <c r="J2454" s="36" t="str">
        <f aca="false">IF(Raw_Export!$A2454="","",IF(COUNTIF($A$2:A2454,A2454)&gt;1,"Duplicate",""))</f>
        <v/>
      </c>
      <c r="K2454" s="36" t="str">
        <f aca="false">IF(Raw_Export!$A2454="","",IF(J2454="Duplicate","Duplicate",IF(OR(C2454="UNMAPPED",D2454="UNMAPPED"),"Unmapped",IF(F2454=0,"Blank qty",IF(F2454&lt;0,"Return","OK")))))</f>
        <v/>
      </c>
      <c r="L2454" s="36" t="str">
        <f aca="false">IF(Raw_Export!$A2454="","",IF(OR(K2454="OK",K2454="Return"),1,0))</f>
        <v/>
      </c>
      <c r="M2454" s="37" t="str">
        <f aca="false">IF(Raw_Export!$A2454="","",B2454-WEEKDAY(B2454,2)+1)</f>
        <v/>
      </c>
    </row>
    <row r="2455" customFormat="false" ht="15" hidden="false" customHeight="false" outlineLevel="0" collapsed="false">
      <c r="A2455" s="36" t="str">
        <f aca="false">IF(Raw_Export!$A2455="","",TRIM(Raw_Export!A2455))</f>
        <v/>
      </c>
      <c r="B2455" s="37" t="str">
        <f aca="false">IF(Raw_Export!$A2455="","",IF(ISNUMBER(Raw_Export!B2455),Raw_Export!B2455,IF(MID(TRIM(Raw_Export!B2455),5,1)="-",DATE(LEFT(TRIM(Raw_Export!B2455),4),MID(TRIM(Raw_Export!B2455),6,2),RIGHT(TRIM(Raw_Export!B2455),2)),DATE(RIGHT(TRIM(Raw_Export!B2455),4),MATCH(MID(TRIM(Raw_Export!B2455),4,3),{"Jan","Feb","Mar","Apr","May","Jun","Jul","Aug","Sep","Oct","Nov","Dec"},0),LEFT(TRIM(Raw_Export!B2455),2)))))</f>
        <v/>
      </c>
      <c r="C2455" s="36" t="str">
        <f aca="false">IF(Raw_Export!$A2455="","",IFERROR(VLOOKUP(LOWER(TRIM(Raw_Export!C2455)),Maps!$A$2:$B$20,2,FALSE()),"UNMAPPED"))</f>
        <v/>
      </c>
      <c r="D2455" s="36" t="str">
        <f aca="false">IF(Raw_Export!$A2455="","",IFERROR(VLOOKUP(LOWER(TRIM(Raw_Export!D2455)),Maps!$G$2:$I$80,2,FALSE()),"UNMAPPED"))</f>
        <v/>
      </c>
      <c r="E2455" s="36" t="str">
        <f aca="false">IF(Raw_Export!$A2455="","",IFERROR(VLOOKUP(LOWER(TRIM(Raw_Export!D2455)),Maps!$G$2:$I$80,3,FALSE()),"UNMAPPED"))</f>
        <v/>
      </c>
      <c r="F2455" s="36" t="str">
        <f aca="false">IF(Raw_Export!$A2455="","",IFERROR(VALUE(TRIM(Raw_Export!E2455)),0))</f>
        <v/>
      </c>
      <c r="G2455" s="38" t="str">
        <f aca="false">IF(Raw_Export!$A2455="","",IFERROR(VALUE(SUBSTITUTE(SUBSTITUTE(UPPER(TRIM(Raw_Export!F2455)),"KES",""),",","")),0))</f>
        <v/>
      </c>
      <c r="H2455" s="38" t="str">
        <f aca="false">IF(Raw_Export!$A2455="","",F2455*G2455)</f>
        <v/>
      </c>
      <c r="I2455" s="36" t="str">
        <f aca="false">IF(Raw_Export!$A2455="","",IFERROR(VLOOKUP(LOWER(TRIM(Raw_Export!H2455)),Maps!$D$2:$E$12,2,FALSE()),"Other"))</f>
        <v/>
      </c>
      <c r="J2455" s="36" t="str">
        <f aca="false">IF(Raw_Export!$A2455="","",IF(COUNTIF($A$2:A2455,A2455)&gt;1,"Duplicate",""))</f>
        <v/>
      </c>
      <c r="K2455" s="36" t="str">
        <f aca="false">IF(Raw_Export!$A2455="","",IF(J2455="Duplicate","Duplicate",IF(OR(C2455="UNMAPPED",D2455="UNMAPPED"),"Unmapped",IF(F2455=0,"Blank qty",IF(F2455&lt;0,"Return","OK")))))</f>
        <v/>
      </c>
      <c r="L2455" s="36" t="str">
        <f aca="false">IF(Raw_Export!$A2455="","",IF(OR(K2455="OK",K2455="Return"),1,0))</f>
        <v/>
      </c>
      <c r="M2455" s="37" t="str">
        <f aca="false">IF(Raw_Export!$A2455="","",B2455-WEEKDAY(B2455,2)+1)</f>
        <v/>
      </c>
    </row>
    <row r="2456" customFormat="false" ht="15" hidden="false" customHeight="false" outlineLevel="0" collapsed="false">
      <c r="A2456" s="36" t="str">
        <f aca="false">IF(Raw_Export!$A2456="","",TRIM(Raw_Export!A2456))</f>
        <v/>
      </c>
      <c r="B2456" s="37" t="str">
        <f aca="false">IF(Raw_Export!$A2456="","",IF(ISNUMBER(Raw_Export!B2456),Raw_Export!B2456,IF(MID(TRIM(Raw_Export!B2456),5,1)="-",DATE(LEFT(TRIM(Raw_Export!B2456),4),MID(TRIM(Raw_Export!B2456),6,2),RIGHT(TRIM(Raw_Export!B2456),2)),DATE(RIGHT(TRIM(Raw_Export!B2456),4),MATCH(MID(TRIM(Raw_Export!B2456),4,3),{"Jan","Feb","Mar","Apr","May","Jun","Jul","Aug","Sep","Oct","Nov","Dec"},0),LEFT(TRIM(Raw_Export!B2456),2)))))</f>
        <v/>
      </c>
      <c r="C2456" s="36" t="str">
        <f aca="false">IF(Raw_Export!$A2456="","",IFERROR(VLOOKUP(LOWER(TRIM(Raw_Export!C2456)),Maps!$A$2:$B$20,2,FALSE()),"UNMAPPED"))</f>
        <v/>
      </c>
      <c r="D2456" s="36" t="str">
        <f aca="false">IF(Raw_Export!$A2456="","",IFERROR(VLOOKUP(LOWER(TRIM(Raw_Export!D2456)),Maps!$G$2:$I$80,2,FALSE()),"UNMAPPED"))</f>
        <v/>
      </c>
      <c r="E2456" s="36" t="str">
        <f aca="false">IF(Raw_Export!$A2456="","",IFERROR(VLOOKUP(LOWER(TRIM(Raw_Export!D2456)),Maps!$G$2:$I$80,3,FALSE()),"UNMAPPED"))</f>
        <v/>
      </c>
      <c r="F2456" s="36" t="str">
        <f aca="false">IF(Raw_Export!$A2456="","",IFERROR(VALUE(TRIM(Raw_Export!E2456)),0))</f>
        <v/>
      </c>
      <c r="G2456" s="38" t="str">
        <f aca="false">IF(Raw_Export!$A2456="","",IFERROR(VALUE(SUBSTITUTE(SUBSTITUTE(UPPER(TRIM(Raw_Export!F2456)),"KES",""),",","")),0))</f>
        <v/>
      </c>
      <c r="H2456" s="38" t="str">
        <f aca="false">IF(Raw_Export!$A2456="","",F2456*G2456)</f>
        <v/>
      </c>
      <c r="I2456" s="36" t="str">
        <f aca="false">IF(Raw_Export!$A2456="","",IFERROR(VLOOKUP(LOWER(TRIM(Raw_Export!H2456)),Maps!$D$2:$E$12,2,FALSE()),"Other"))</f>
        <v/>
      </c>
      <c r="J2456" s="36" t="str">
        <f aca="false">IF(Raw_Export!$A2456="","",IF(COUNTIF($A$2:A2456,A2456)&gt;1,"Duplicate",""))</f>
        <v/>
      </c>
      <c r="K2456" s="36" t="str">
        <f aca="false">IF(Raw_Export!$A2456="","",IF(J2456="Duplicate","Duplicate",IF(OR(C2456="UNMAPPED",D2456="UNMAPPED"),"Unmapped",IF(F2456=0,"Blank qty",IF(F2456&lt;0,"Return","OK")))))</f>
        <v/>
      </c>
      <c r="L2456" s="36" t="str">
        <f aca="false">IF(Raw_Export!$A2456="","",IF(OR(K2456="OK",K2456="Return"),1,0))</f>
        <v/>
      </c>
      <c r="M2456" s="37" t="str">
        <f aca="false">IF(Raw_Export!$A2456="","",B2456-WEEKDAY(B2456,2)+1)</f>
        <v/>
      </c>
    </row>
    <row r="2457" customFormat="false" ht="15" hidden="false" customHeight="false" outlineLevel="0" collapsed="false">
      <c r="A2457" s="36" t="str">
        <f aca="false">IF(Raw_Export!$A2457="","",TRIM(Raw_Export!A2457))</f>
        <v/>
      </c>
      <c r="B2457" s="37" t="str">
        <f aca="false">IF(Raw_Export!$A2457="","",IF(ISNUMBER(Raw_Export!B2457),Raw_Export!B2457,IF(MID(TRIM(Raw_Export!B2457),5,1)="-",DATE(LEFT(TRIM(Raw_Export!B2457),4),MID(TRIM(Raw_Export!B2457),6,2),RIGHT(TRIM(Raw_Export!B2457),2)),DATE(RIGHT(TRIM(Raw_Export!B2457),4),MATCH(MID(TRIM(Raw_Export!B2457),4,3),{"Jan","Feb","Mar","Apr","May","Jun","Jul","Aug","Sep","Oct","Nov","Dec"},0),LEFT(TRIM(Raw_Export!B2457),2)))))</f>
        <v/>
      </c>
      <c r="C2457" s="36" t="str">
        <f aca="false">IF(Raw_Export!$A2457="","",IFERROR(VLOOKUP(LOWER(TRIM(Raw_Export!C2457)),Maps!$A$2:$B$20,2,FALSE()),"UNMAPPED"))</f>
        <v/>
      </c>
      <c r="D2457" s="36" t="str">
        <f aca="false">IF(Raw_Export!$A2457="","",IFERROR(VLOOKUP(LOWER(TRIM(Raw_Export!D2457)),Maps!$G$2:$I$80,2,FALSE()),"UNMAPPED"))</f>
        <v/>
      </c>
      <c r="E2457" s="36" t="str">
        <f aca="false">IF(Raw_Export!$A2457="","",IFERROR(VLOOKUP(LOWER(TRIM(Raw_Export!D2457)),Maps!$G$2:$I$80,3,FALSE()),"UNMAPPED"))</f>
        <v/>
      </c>
      <c r="F2457" s="36" t="str">
        <f aca="false">IF(Raw_Export!$A2457="","",IFERROR(VALUE(TRIM(Raw_Export!E2457)),0))</f>
        <v/>
      </c>
      <c r="G2457" s="38" t="str">
        <f aca="false">IF(Raw_Export!$A2457="","",IFERROR(VALUE(SUBSTITUTE(SUBSTITUTE(UPPER(TRIM(Raw_Export!F2457)),"KES",""),",","")),0))</f>
        <v/>
      </c>
      <c r="H2457" s="38" t="str">
        <f aca="false">IF(Raw_Export!$A2457="","",F2457*G2457)</f>
        <v/>
      </c>
      <c r="I2457" s="36" t="str">
        <f aca="false">IF(Raw_Export!$A2457="","",IFERROR(VLOOKUP(LOWER(TRIM(Raw_Export!H2457)),Maps!$D$2:$E$12,2,FALSE()),"Other"))</f>
        <v/>
      </c>
      <c r="J2457" s="36" t="str">
        <f aca="false">IF(Raw_Export!$A2457="","",IF(COUNTIF($A$2:A2457,A2457)&gt;1,"Duplicate",""))</f>
        <v/>
      </c>
      <c r="K2457" s="36" t="str">
        <f aca="false">IF(Raw_Export!$A2457="","",IF(J2457="Duplicate","Duplicate",IF(OR(C2457="UNMAPPED",D2457="UNMAPPED"),"Unmapped",IF(F2457=0,"Blank qty",IF(F2457&lt;0,"Return","OK")))))</f>
        <v/>
      </c>
      <c r="L2457" s="36" t="str">
        <f aca="false">IF(Raw_Export!$A2457="","",IF(OR(K2457="OK",K2457="Return"),1,0))</f>
        <v/>
      </c>
      <c r="M2457" s="37" t="str">
        <f aca="false">IF(Raw_Export!$A2457="","",B2457-WEEKDAY(B2457,2)+1)</f>
        <v/>
      </c>
    </row>
    <row r="2458" customFormat="false" ht="15" hidden="false" customHeight="false" outlineLevel="0" collapsed="false">
      <c r="A2458" s="36" t="str">
        <f aca="false">IF(Raw_Export!$A2458="","",TRIM(Raw_Export!A2458))</f>
        <v/>
      </c>
      <c r="B2458" s="37" t="str">
        <f aca="false">IF(Raw_Export!$A2458="","",IF(ISNUMBER(Raw_Export!B2458),Raw_Export!B2458,IF(MID(TRIM(Raw_Export!B2458),5,1)="-",DATE(LEFT(TRIM(Raw_Export!B2458),4),MID(TRIM(Raw_Export!B2458),6,2),RIGHT(TRIM(Raw_Export!B2458),2)),DATE(RIGHT(TRIM(Raw_Export!B2458),4),MATCH(MID(TRIM(Raw_Export!B2458),4,3),{"Jan","Feb","Mar","Apr","May","Jun","Jul","Aug","Sep","Oct","Nov","Dec"},0),LEFT(TRIM(Raw_Export!B2458),2)))))</f>
        <v/>
      </c>
      <c r="C2458" s="36" t="str">
        <f aca="false">IF(Raw_Export!$A2458="","",IFERROR(VLOOKUP(LOWER(TRIM(Raw_Export!C2458)),Maps!$A$2:$B$20,2,FALSE()),"UNMAPPED"))</f>
        <v/>
      </c>
      <c r="D2458" s="36" t="str">
        <f aca="false">IF(Raw_Export!$A2458="","",IFERROR(VLOOKUP(LOWER(TRIM(Raw_Export!D2458)),Maps!$G$2:$I$80,2,FALSE()),"UNMAPPED"))</f>
        <v/>
      </c>
      <c r="E2458" s="36" t="str">
        <f aca="false">IF(Raw_Export!$A2458="","",IFERROR(VLOOKUP(LOWER(TRIM(Raw_Export!D2458)),Maps!$G$2:$I$80,3,FALSE()),"UNMAPPED"))</f>
        <v/>
      </c>
      <c r="F2458" s="36" t="str">
        <f aca="false">IF(Raw_Export!$A2458="","",IFERROR(VALUE(TRIM(Raw_Export!E2458)),0))</f>
        <v/>
      </c>
      <c r="G2458" s="38" t="str">
        <f aca="false">IF(Raw_Export!$A2458="","",IFERROR(VALUE(SUBSTITUTE(SUBSTITUTE(UPPER(TRIM(Raw_Export!F2458)),"KES",""),",","")),0))</f>
        <v/>
      </c>
      <c r="H2458" s="38" t="str">
        <f aca="false">IF(Raw_Export!$A2458="","",F2458*G2458)</f>
        <v/>
      </c>
      <c r="I2458" s="36" t="str">
        <f aca="false">IF(Raw_Export!$A2458="","",IFERROR(VLOOKUP(LOWER(TRIM(Raw_Export!H2458)),Maps!$D$2:$E$12,2,FALSE()),"Other"))</f>
        <v/>
      </c>
      <c r="J2458" s="36" t="str">
        <f aca="false">IF(Raw_Export!$A2458="","",IF(COUNTIF($A$2:A2458,A2458)&gt;1,"Duplicate",""))</f>
        <v/>
      </c>
      <c r="K2458" s="36" t="str">
        <f aca="false">IF(Raw_Export!$A2458="","",IF(J2458="Duplicate","Duplicate",IF(OR(C2458="UNMAPPED",D2458="UNMAPPED"),"Unmapped",IF(F2458=0,"Blank qty",IF(F2458&lt;0,"Return","OK")))))</f>
        <v/>
      </c>
      <c r="L2458" s="36" t="str">
        <f aca="false">IF(Raw_Export!$A2458="","",IF(OR(K2458="OK",K2458="Return"),1,0))</f>
        <v/>
      </c>
      <c r="M2458" s="37" t="str">
        <f aca="false">IF(Raw_Export!$A2458="","",B2458-WEEKDAY(B2458,2)+1)</f>
        <v/>
      </c>
    </row>
    <row r="2459" customFormat="false" ht="15" hidden="false" customHeight="false" outlineLevel="0" collapsed="false">
      <c r="A2459" s="36" t="str">
        <f aca="false">IF(Raw_Export!$A2459="","",TRIM(Raw_Export!A2459))</f>
        <v/>
      </c>
      <c r="B2459" s="37" t="str">
        <f aca="false">IF(Raw_Export!$A2459="","",IF(ISNUMBER(Raw_Export!B2459),Raw_Export!B2459,IF(MID(TRIM(Raw_Export!B2459),5,1)="-",DATE(LEFT(TRIM(Raw_Export!B2459),4),MID(TRIM(Raw_Export!B2459),6,2),RIGHT(TRIM(Raw_Export!B2459),2)),DATE(RIGHT(TRIM(Raw_Export!B2459),4),MATCH(MID(TRIM(Raw_Export!B2459),4,3),{"Jan","Feb","Mar","Apr","May","Jun","Jul","Aug","Sep","Oct","Nov","Dec"},0),LEFT(TRIM(Raw_Export!B2459),2)))))</f>
        <v/>
      </c>
      <c r="C2459" s="36" t="str">
        <f aca="false">IF(Raw_Export!$A2459="","",IFERROR(VLOOKUP(LOWER(TRIM(Raw_Export!C2459)),Maps!$A$2:$B$20,2,FALSE()),"UNMAPPED"))</f>
        <v/>
      </c>
      <c r="D2459" s="36" t="str">
        <f aca="false">IF(Raw_Export!$A2459="","",IFERROR(VLOOKUP(LOWER(TRIM(Raw_Export!D2459)),Maps!$G$2:$I$80,2,FALSE()),"UNMAPPED"))</f>
        <v/>
      </c>
      <c r="E2459" s="36" t="str">
        <f aca="false">IF(Raw_Export!$A2459="","",IFERROR(VLOOKUP(LOWER(TRIM(Raw_Export!D2459)),Maps!$G$2:$I$80,3,FALSE()),"UNMAPPED"))</f>
        <v/>
      </c>
      <c r="F2459" s="36" t="str">
        <f aca="false">IF(Raw_Export!$A2459="","",IFERROR(VALUE(TRIM(Raw_Export!E2459)),0))</f>
        <v/>
      </c>
      <c r="G2459" s="38" t="str">
        <f aca="false">IF(Raw_Export!$A2459="","",IFERROR(VALUE(SUBSTITUTE(SUBSTITUTE(UPPER(TRIM(Raw_Export!F2459)),"KES",""),",","")),0))</f>
        <v/>
      </c>
      <c r="H2459" s="38" t="str">
        <f aca="false">IF(Raw_Export!$A2459="","",F2459*G2459)</f>
        <v/>
      </c>
      <c r="I2459" s="36" t="str">
        <f aca="false">IF(Raw_Export!$A2459="","",IFERROR(VLOOKUP(LOWER(TRIM(Raw_Export!H2459)),Maps!$D$2:$E$12,2,FALSE()),"Other"))</f>
        <v/>
      </c>
      <c r="J2459" s="36" t="str">
        <f aca="false">IF(Raw_Export!$A2459="","",IF(COUNTIF($A$2:A2459,A2459)&gt;1,"Duplicate",""))</f>
        <v/>
      </c>
      <c r="K2459" s="36" t="str">
        <f aca="false">IF(Raw_Export!$A2459="","",IF(J2459="Duplicate","Duplicate",IF(OR(C2459="UNMAPPED",D2459="UNMAPPED"),"Unmapped",IF(F2459=0,"Blank qty",IF(F2459&lt;0,"Return","OK")))))</f>
        <v/>
      </c>
      <c r="L2459" s="36" t="str">
        <f aca="false">IF(Raw_Export!$A2459="","",IF(OR(K2459="OK",K2459="Return"),1,0))</f>
        <v/>
      </c>
      <c r="M2459" s="37" t="str">
        <f aca="false">IF(Raw_Export!$A2459="","",B2459-WEEKDAY(B2459,2)+1)</f>
        <v/>
      </c>
    </row>
    <row r="2460" customFormat="false" ht="15" hidden="false" customHeight="false" outlineLevel="0" collapsed="false">
      <c r="A2460" s="36" t="str">
        <f aca="false">IF(Raw_Export!$A2460="","",TRIM(Raw_Export!A2460))</f>
        <v/>
      </c>
      <c r="B2460" s="37" t="str">
        <f aca="false">IF(Raw_Export!$A2460="","",IF(ISNUMBER(Raw_Export!B2460),Raw_Export!B2460,IF(MID(TRIM(Raw_Export!B2460),5,1)="-",DATE(LEFT(TRIM(Raw_Export!B2460),4),MID(TRIM(Raw_Export!B2460),6,2),RIGHT(TRIM(Raw_Export!B2460),2)),DATE(RIGHT(TRIM(Raw_Export!B2460),4),MATCH(MID(TRIM(Raw_Export!B2460),4,3),{"Jan","Feb","Mar","Apr","May","Jun","Jul","Aug","Sep","Oct","Nov","Dec"},0),LEFT(TRIM(Raw_Export!B2460),2)))))</f>
        <v/>
      </c>
      <c r="C2460" s="36" t="str">
        <f aca="false">IF(Raw_Export!$A2460="","",IFERROR(VLOOKUP(LOWER(TRIM(Raw_Export!C2460)),Maps!$A$2:$B$20,2,FALSE()),"UNMAPPED"))</f>
        <v/>
      </c>
      <c r="D2460" s="36" t="str">
        <f aca="false">IF(Raw_Export!$A2460="","",IFERROR(VLOOKUP(LOWER(TRIM(Raw_Export!D2460)),Maps!$G$2:$I$80,2,FALSE()),"UNMAPPED"))</f>
        <v/>
      </c>
      <c r="E2460" s="36" t="str">
        <f aca="false">IF(Raw_Export!$A2460="","",IFERROR(VLOOKUP(LOWER(TRIM(Raw_Export!D2460)),Maps!$G$2:$I$80,3,FALSE()),"UNMAPPED"))</f>
        <v/>
      </c>
      <c r="F2460" s="36" t="str">
        <f aca="false">IF(Raw_Export!$A2460="","",IFERROR(VALUE(TRIM(Raw_Export!E2460)),0))</f>
        <v/>
      </c>
      <c r="G2460" s="38" t="str">
        <f aca="false">IF(Raw_Export!$A2460="","",IFERROR(VALUE(SUBSTITUTE(SUBSTITUTE(UPPER(TRIM(Raw_Export!F2460)),"KES",""),",","")),0))</f>
        <v/>
      </c>
      <c r="H2460" s="38" t="str">
        <f aca="false">IF(Raw_Export!$A2460="","",F2460*G2460)</f>
        <v/>
      </c>
      <c r="I2460" s="36" t="str">
        <f aca="false">IF(Raw_Export!$A2460="","",IFERROR(VLOOKUP(LOWER(TRIM(Raw_Export!H2460)),Maps!$D$2:$E$12,2,FALSE()),"Other"))</f>
        <v/>
      </c>
      <c r="J2460" s="36" t="str">
        <f aca="false">IF(Raw_Export!$A2460="","",IF(COUNTIF($A$2:A2460,A2460)&gt;1,"Duplicate",""))</f>
        <v/>
      </c>
      <c r="K2460" s="36" t="str">
        <f aca="false">IF(Raw_Export!$A2460="","",IF(J2460="Duplicate","Duplicate",IF(OR(C2460="UNMAPPED",D2460="UNMAPPED"),"Unmapped",IF(F2460=0,"Blank qty",IF(F2460&lt;0,"Return","OK")))))</f>
        <v/>
      </c>
      <c r="L2460" s="36" t="str">
        <f aca="false">IF(Raw_Export!$A2460="","",IF(OR(K2460="OK",K2460="Return"),1,0))</f>
        <v/>
      </c>
      <c r="M2460" s="37" t="str">
        <f aca="false">IF(Raw_Export!$A2460="","",B2460-WEEKDAY(B2460,2)+1)</f>
        <v/>
      </c>
    </row>
    <row r="2461" customFormat="false" ht="15" hidden="false" customHeight="false" outlineLevel="0" collapsed="false">
      <c r="A2461" s="36" t="str">
        <f aca="false">IF(Raw_Export!$A2461="","",TRIM(Raw_Export!A2461))</f>
        <v/>
      </c>
      <c r="B2461" s="37" t="str">
        <f aca="false">IF(Raw_Export!$A2461="","",IF(ISNUMBER(Raw_Export!B2461),Raw_Export!B2461,IF(MID(TRIM(Raw_Export!B2461),5,1)="-",DATE(LEFT(TRIM(Raw_Export!B2461),4),MID(TRIM(Raw_Export!B2461),6,2),RIGHT(TRIM(Raw_Export!B2461),2)),DATE(RIGHT(TRIM(Raw_Export!B2461),4),MATCH(MID(TRIM(Raw_Export!B2461),4,3),{"Jan","Feb","Mar","Apr","May","Jun","Jul","Aug","Sep","Oct","Nov","Dec"},0),LEFT(TRIM(Raw_Export!B2461),2)))))</f>
        <v/>
      </c>
      <c r="C2461" s="36" t="str">
        <f aca="false">IF(Raw_Export!$A2461="","",IFERROR(VLOOKUP(LOWER(TRIM(Raw_Export!C2461)),Maps!$A$2:$B$20,2,FALSE()),"UNMAPPED"))</f>
        <v/>
      </c>
      <c r="D2461" s="36" t="str">
        <f aca="false">IF(Raw_Export!$A2461="","",IFERROR(VLOOKUP(LOWER(TRIM(Raw_Export!D2461)),Maps!$G$2:$I$80,2,FALSE()),"UNMAPPED"))</f>
        <v/>
      </c>
      <c r="E2461" s="36" t="str">
        <f aca="false">IF(Raw_Export!$A2461="","",IFERROR(VLOOKUP(LOWER(TRIM(Raw_Export!D2461)),Maps!$G$2:$I$80,3,FALSE()),"UNMAPPED"))</f>
        <v/>
      </c>
      <c r="F2461" s="36" t="str">
        <f aca="false">IF(Raw_Export!$A2461="","",IFERROR(VALUE(TRIM(Raw_Export!E2461)),0))</f>
        <v/>
      </c>
      <c r="G2461" s="38" t="str">
        <f aca="false">IF(Raw_Export!$A2461="","",IFERROR(VALUE(SUBSTITUTE(SUBSTITUTE(UPPER(TRIM(Raw_Export!F2461)),"KES",""),",","")),0))</f>
        <v/>
      </c>
      <c r="H2461" s="38" t="str">
        <f aca="false">IF(Raw_Export!$A2461="","",F2461*G2461)</f>
        <v/>
      </c>
      <c r="I2461" s="36" t="str">
        <f aca="false">IF(Raw_Export!$A2461="","",IFERROR(VLOOKUP(LOWER(TRIM(Raw_Export!H2461)),Maps!$D$2:$E$12,2,FALSE()),"Other"))</f>
        <v/>
      </c>
      <c r="J2461" s="36" t="str">
        <f aca="false">IF(Raw_Export!$A2461="","",IF(COUNTIF($A$2:A2461,A2461)&gt;1,"Duplicate",""))</f>
        <v/>
      </c>
      <c r="K2461" s="36" t="str">
        <f aca="false">IF(Raw_Export!$A2461="","",IF(J2461="Duplicate","Duplicate",IF(OR(C2461="UNMAPPED",D2461="UNMAPPED"),"Unmapped",IF(F2461=0,"Blank qty",IF(F2461&lt;0,"Return","OK")))))</f>
        <v/>
      </c>
      <c r="L2461" s="36" t="str">
        <f aca="false">IF(Raw_Export!$A2461="","",IF(OR(K2461="OK",K2461="Return"),1,0))</f>
        <v/>
      </c>
      <c r="M2461" s="37" t="str">
        <f aca="false">IF(Raw_Export!$A2461="","",B2461-WEEKDAY(B2461,2)+1)</f>
        <v/>
      </c>
    </row>
    <row r="2462" customFormat="false" ht="15" hidden="false" customHeight="false" outlineLevel="0" collapsed="false">
      <c r="A2462" s="36" t="str">
        <f aca="false">IF(Raw_Export!$A2462="","",TRIM(Raw_Export!A2462))</f>
        <v/>
      </c>
      <c r="B2462" s="37" t="str">
        <f aca="false">IF(Raw_Export!$A2462="","",IF(ISNUMBER(Raw_Export!B2462),Raw_Export!B2462,IF(MID(TRIM(Raw_Export!B2462),5,1)="-",DATE(LEFT(TRIM(Raw_Export!B2462),4),MID(TRIM(Raw_Export!B2462),6,2),RIGHT(TRIM(Raw_Export!B2462),2)),DATE(RIGHT(TRIM(Raw_Export!B2462),4),MATCH(MID(TRIM(Raw_Export!B2462),4,3),{"Jan","Feb","Mar","Apr","May","Jun","Jul","Aug","Sep","Oct","Nov","Dec"},0),LEFT(TRIM(Raw_Export!B2462),2)))))</f>
        <v/>
      </c>
      <c r="C2462" s="36" t="str">
        <f aca="false">IF(Raw_Export!$A2462="","",IFERROR(VLOOKUP(LOWER(TRIM(Raw_Export!C2462)),Maps!$A$2:$B$20,2,FALSE()),"UNMAPPED"))</f>
        <v/>
      </c>
      <c r="D2462" s="36" t="str">
        <f aca="false">IF(Raw_Export!$A2462="","",IFERROR(VLOOKUP(LOWER(TRIM(Raw_Export!D2462)),Maps!$G$2:$I$80,2,FALSE()),"UNMAPPED"))</f>
        <v/>
      </c>
      <c r="E2462" s="36" t="str">
        <f aca="false">IF(Raw_Export!$A2462="","",IFERROR(VLOOKUP(LOWER(TRIM(Raw_Export!D2462)),Maps!$G$2:$I$80,3,FALSE()),"UNMAPPED"))</f>
        <v/>
      </c>
      <c r="F2462" s="36" t="str">
        <f aca="false">IF(Raw_Export!$A2462="","",IFERROR(VALUE(TRIM(Raw_Export!E2462)),0))</f>
        <v/>
      </c>
      <c r="G2462" s="38" t="str">
        <f aca="false">IF(Raw_Export!$A2462="","",IFERROR(VALUE(SUBSTITUTE(SUBSTITUTE(UPPER(TRIM(Raw_Export!F2462)),"KES",""),",","")),0))</f>
        <v/>
      </c>
      <c r="H2462" s="38" t="str">
        <f aca="false">IF(Raw_Export!$A2462="","",F2462*G2462)</f>
        <v/>
      </c>
      <c r="I2462" s="36" t="str">
        <f aca="false">IF(Raw_Export!$A2462="","",IFERROR(VLOOKUP(LOWER(TRIM(Raw_Export!H2462)),Maps!$D$2:$E$12,2,FALSE()),"Other"))</f>
        <v/>
      </c>
      <c r="J2462" s="36" t="str">
        <f aca="false">IF(Raw_Export!$A2462="","",IF(COUNTIF($A$2:A2462,A2462)&gt;1,"Duplicate",""))</f>
        <v/>
      </c>
      <c r="K2462" s="36" t="str">
        <f aca="false">IF(Raw_Export!$A2462="","",IF(J2462="Duplicate","Duplicate",IF(OR(C2462="UNMAPPED",D2462="UNMAPPED"),"Unmapped",IF(F2462=0,"Blank qty",IF(F2462&lt;0,"Return","OK")))))</f>
        <v/>
      </c>
      <c r="L2462" s="36" t="str">
        <f aca="false">IF(Raw_Export!$A2462="","",IF(OR(K2462="OK",K2462="Return"),1,0))</f>
        <v/>
      </c>
      <c r="M2462" s="37" t="str">
        <f aca="false">IF(Raw_Export!$A2462="","",B2462-WEEKDAY(B2462,2)+1)</f>
        <v/>
      </c>
    </row>
    <row r="2463" customFormat="false" ht="15" hidden="false" customHeight="false" outlineLevel="0" collapsed="false">
      <c r="A2463" s="36" t="str">
        <f aca="false">IF(Raw_Export!$A2463="","",TRIM(Raw_Export!A2463))</f>
        <v/>
      </c>
      <c r="B2463" s="37" t="str">
        <f aca="false">IF(Raw_Export!$A2463="","",IF(ISNUMBER(Raw_Export!B2463),Raw_Export!B2463,IF(MID(TRIM(Raw_Export!B2463),5,1)="-",DATE(LEFT(TRIM(Raw_Export!B2463),4),MID(TRIM(Raw_Export!B2463),6,2),RIGHT(TRIM(Raw_Export!B2463),2)),DATE(RIGHT(TRIM(Raw_Export!B2463),4),MATCH(MID(TRIM(Raw_Export!B2463),4,3),{"Jan","Feb","Mar","Apr","May","Jun","Jul","Aug","Sep","Oct","Nov","Dec"},0),LEFT(TRIM(Raw_Export!B2463),2)))))</f>
        <v/>
      </c>
      <c r="C2463" s="36" t="str">
        <f aca="false">IF(Raw_Export!$A2463="","",IFERROR(VLOOKUP(LOWER(TRIM(Raw_Export!C2463)),Maps!$A$2:$B$20,2,FALSE()),"UNMAPPED"))</f>
        <v/>
      </c>
      <c r="D2463" s="36" t="str">
        <f aca="false">IF(Raw_Export!$A2463="","",IFERROR(VLOOKUP(LOWER(TRIM(Raw_Export!D2463)),Maps!$G$2:$I$80,2,FALSE()),"UNMAPPED"))</f>
        <v/>
      </c>
      <c r="E2463" s="36" t="str">
        <f aca="false">IF(Raw_Export!$A2463="","",IFERROR(VLOOKUP(LOWER(TRIM(Raw_Export!D2463)),Maps!$G$2:$I$80,3,FALSE()),"UNMAPPED"))</f>
        <v/>
      </c>
      <c r="F2463" s="36" t="str">
        <f aca="false">IF(Raw_Export!$A2463="","",IFERROR(VALUE(TRIM(Raw_Export!E2463)),0))</f>
        <v/>
      </c>
      <c r="G2463" s="38" t="str">
        <f aca="false">IF(Raw_Export!$A2463="","",IFERROR(VALUE(SUBSTITUTE(SUBSTITUTE(UPPER(TRIM(Raw_Export!F2463)),"KES",""),",","")),0))</f>
        <v/>
      </c>
      <c r="H2463" s="38" t="str">
        <f aca="false">IF(Raw_Export!$A2463="","",F2463*G2463)</f>
        <v/>
      </c>
      <c r="I2463" s="36" t="str">
        <f aca="false">IF(Raw_Export!$A2463="","",IFERROR(VLOOKUP(LOWER(TRIM(Raw_Export!H2463)),Maps!$D$2:$E$12,2,FALSE()),"Other"))</f>
        <v/>
      </c>
      <c r="J2463" s="36" t="str">
        <f aca="false">IF(Raw_Export!$A2463="","",IF(COUNTIF($A$2:A2463,A2463)&gt;1,"Duplicate",""))</f>
        <v/>
      </c>
      <c r="K2463" s="36" t="str">
        <f aca="false">IF(Raw_Export!$A2463="","",IF(J2463="Duplicate","Duplicate",IF(OR(C2463="UNMAPPED",D2463="UNMAPPED"),"Unmapped",IF(F2463=0,"Blank qty",IF(F2463&lt;0,"Return","OK")))))</f>
        <v/>
      </c>
      <c r="L2463" s="36" t="str">
        <f aca="false">IF(Raw_Export!$A2463="","",IF(OR(K2463="OK",K2463="Return"),1,0))</f>
        <v/>
      </c>
      <c r="M2463" s="37" t="str">
        <f aca="false">IF(Raw_Export!$A2463="","",B2463-WEEKDAY(B2463,2)+1)</f>
        <v/>
      </c>
    </row>
    <row r="2464" customFormat="false" ht="15" hidden="false" customHeight="false" outlineLevel="0" collapsed="false">
      <c r="A2464" s="36" t="str">
        <f aca="false">IF(Raw_Export!$A2464="","",TRIM(Raw_Export!A2464))</f>
        <v/>
      </c>
      <c r="B2464" s="37" t="str">
        <f aca="false">IF(Raw_Export!$A2464="","",IF(ISNUMBER(Raw_Export!B2464),Raw_Export!B2464,IF(MID(TRIM(Raw_Export!B2464),5,1)="-",DATE(LEFT(TRIM(Raw_Export!B2464),4),MID(TRIM(Raw_Export!B2464),6,2),RIGHT(TRIM(Raw_Export!B2464),2)),DATE(RIGHT(TRIM(Raw_Export!B2464),4),MATCH(MID(TRIM(Raw_Export!B2464),4,3),{"Jan","Feb","Mar","Apr","May","Jun","Jul","Aug","Sep","Oct","Nov","Dec"},0),LEFT(TRIM(Raw_Export!B2464),2)))))</f>
        <v/>
      </c>
      <c r="C2464" s="36" t="str">
        <f aca="false">IF(Raw_Export!$A2464="","",IFERROR(VLOOKUP(LOWER(TRIM(Raw_Export!C2464)),Maps!$A$2:$B$20,2,FALSE()),"UNMAPPED"))</f>
        <v/>
      </c>
      <c r="D2464" s="36" t="str">
        <f aca="false">IF(Raw_Export!$A2464="","",IFERROR(VLOOKUP(LOWER(TRIM(Raw_Export!D2464)),Maps!$G$2:$I$80,2,FALSE()),"UNMAPPED"))</f>
        <v/>
      </c>
      <c r="E2464" s="36" t="str">
        <f aca="false">IF(Raw_Export!$A2464="","",IFERROR(VLOOKUP(LOWER(TRIM(Raw_Export!D2464)),Maps!$G$2:$I$80,3,FALSE()),"UNMAPPED"))</f>
        <v/>
      </c>
      <c r="F2464" s="36" t="str">
        <f aca="false">IF(Raw_Export!$A2464="","",IFERROR(VALUE(TRIM(Raw_Export!E2464)),0))</f>
        <v/>
      </c>
      <c r="G2464" s="38" t="str">
        <f aca="false">IF(Raw_Export!$A2464="","",IFERROR(VALUE(SUBSTITUTE(SUBSTITUTE(UPPER(TRIM(Raw_Export!F2464)),"KES",""),",","")),0))</f>
        <v/>
      </c>
      <c r="H2464" s="38" t="str">
        <f aca="false">IF(Raw_Export!$A2464="","",F2464*G2464)</f>
        <v/>
      </c>
      <c r="I2464" s="36" t="str">
        <f aca="false">IF(Raw_Export!$A2464="","",IFERROR(VLOOKUP(LOWER(TRIM(Raw_Export!H2464)),Maps!$D$2:$E$12,2,FALSE()),"Other"))</f>
        <v/>
      </c>
      <c r="J2464" s="36" t="str">
        <f aca="false">IF(Raw_Export!$A2464="","",IF(COUNTIF($A$2:A2464,A2464)&gt;1,"Duplicate",""))</f>
        <v/>
      </c>
      <c r="K2464" s="36" t="str">
        <f aca="false">IF(Raw_Export!$A2464="","",IF(J2464="Duplicate","Duplicate",IF(OR(C2464="UNMAPPED",D2464="UNMAPPED"),"Unmapped",IF(F2464=0,"Blank qty",IF(F2464&lt;0,"Return","OK")))))</f>
        <v/>
      </c>
      <c r="L2464" s="36" t="str">
        <f aca="false">IF(Raw_Export!$A2464="","",IF(OR(K2464="OK",K2464="Return"),1,0))</f>
        <v/>
      </c>
      <c r="M2464" s="37" t="str">
        <f aca="false">IF(Raw_Export!$A2464="","",B2464-WEEKDAY(B2464,2)+1)</f>
        <v/>
      </c>
    </row>
    <row r="2465" customFormat="false" ht="15" hidden="false" customHeight="false" outlineLevel="0" collapsed="false">
      <c r="A2465" s="36" t="str">
        <f aca="false">IF(Raw_Export!$A2465="","",TRIM(Raw_Export!A2465))</f>
        <v/>
      </c>
      <c r="B2465" s="37" t="str">
        <f aca="false">IF(Raw_Export!$A2465="","",IF(ISNUMBER(Raw_Export!B2465),Raw_Export!B2465,IF(MID(TRIM(Raw_Export!B2465),5,1)="-",DATE(LEFT(TRIM(Raw_Export!B2465),4),MID(TRIM(Raw_Export!B2465),6,2),RIGHT(TRIM(Raw_Export!B2465),2)),DATE(RIGHT(TRIM(Raw_Export!B2465),4),MATCH(MID(TRIM(Raw_Export!B2465),4,3),{"Jan","Feb","Mar","Apr","May","Jun","Jul","Aug","Sep","Oct","Nov","Dec"},0),LEFT(TRIM(Raw_Export!B2465),2)))))</f>
        <v/>
      </c>
      <c r="C2465" s="36" t="str">
        <f aca="false">IF(Raw_Export!$A2465="","",IFERROR(VLOOKUP(LOWER(TRIM(Raw_Export!C2465)),Maps!$A$2:$B$20,2,FALSE()),"UNMAPPED"))</f>
        <v/>
      </c>
      <c r="D2465" s="36" t="str">
        <f aca="false">IF(Raw_Export!$A2465="","",IFERROR(VLOOKUP(LOWER(TRIM(Raw_Export!D2465)),Maps!$G$2:$I$80,2,FALSE()),"UNMAPPED"))</f>
        <v/>
      </c>
      <c r="E2465" s="36" t="str">
        <f aca="false">IF(Raw_Export!$A2465="","",IFERROR(VLOOKUP(LOWER(TRIM(Raw_Export!D2465)),Maps!$G$2:$I$80,3,FALSE()),"UNMAPPED"))</f>
        <v/>
      </c>
      <c r="F2465" s="36" t="str">
        <f aca="false">IF(Raw_Export!$A2465="","",IFERROR(VALUE(TRIM(Raw_Export!E2465)),0))</f>
        <v/>
      </c>
      <c r="G2465" s="38" t="str">
        <f aca="false">IF(Raw_Export!$A2465="","",IFERROR(VALUE(SUBSTITUTE(SUBSTITUTE(UPPER(TRIM(Raw_Export!F2465)),"KES",""),",","")),0))</f>
        <v/>
      </c>
      <c r="H2465" s="38" t="str">
        <f aca="false">IF(Raw_Export!$A2465="","",F2465*G2465)</f>
        <v/>
      </c>
      <c r="I2465" s="36" t="str">
        <f aca="false">IF(Raw_Export!$A2465="","",IFERROR(VLOOKUP(LOWER(TRIM(Raw_Export!H2465)),Maps!$D$2:$E$12,2,FALSE()),"Other"))</f>
        <v/>
      </c>
      <c r="J2465" s="36" t="str">
        <f aca="false">IF(Raw_Export!$A2465="","",IF(COUNTIF($A$2:A2465,A2465)&gt;1,"Duplicate",""))</f>
        <v/>
      </c>
      <c r="K2465" s="36" t="str">
        <f aca="false">IF(Raw_Export!$A2465="","",IF(J2465="Duplicate","Duplicate",IF(OR(C2465="UNMAPPED",D2465="UNMAPPED"),"Unmapped",IF(F2465=0,"Blank qty",IF(F2465&lt;0,"Return","OK")))))</f>
        <v/>
      </c>
      <c r="L2465" s="36" t="str">
        <f aca="false">IF(Raw_Export!$A2465="","",IF(OR(K2465="OK",K2465="Return"),1,0))</f>
        <v/>
      </c>
      <c r="M2465" s="37" t="str">
        <f aca="false">IF(Raw_Export!$A2465="","",B2465-WEEKDAY(B2465,2)+1)</f>
        <v/>
      </c>
    </row>
    <row r="2466" customFormat="false" ht="15" hidden="false" customHeight="false" outlineLevel="0" collapsed="false">
      <c r="A2466" s="36" t="str">
        <f aca="false">IF(Raw_Export!$A2466="","",TRIM(Raw_Export!A2466))</f>
        <v/>
      </c>
      <c r="B2466" s="37" t="str">
        <f aca="false">IF(Raw_Export!$A2466="","",IF(ISNUMBER(Raw_Export!B2466),Raw_Export!B2466,IF(MID(TRIM(Raw_Export!B2466),5,1)="-",DATE(LEFT(TRIM(Raw_Export!B2466),4),MID(TRIM(Raw_Export!B2466),6,2),RIGHT(TRIM(Raw_Export!B2466),2)),DATE(RIGHT(TRIM(Raw_Export!B2466),4),MATCH(MID(TRIM(Raw_Export!B2466),4,3),{"Jan","Feb","Mar","Apr","May","Jun","Jul","Aug","Sep","Oct","Nov","Dec"},0),LEFT(TRIM(Raw_Export!B2466),2)))))</f>
        <v/>
      </c>
      <c r="C2466" s="36" t="str">
        <f aca="false">IF(Raw_Export!$A2466="","",IFERROR(VLOOKUP(LOWER(TRIM(Raw_Export!C2466)),Maps!$A$2:$B$20,2,FALSE()),"UNMAPPED"))</f>
        <v/>
      </c>
      <c r="D2466" s="36" t="str">
        <f aca="false">IF(Raw_Export!$A2466="","",IFERROR(VLOOKUP(LOWER(TRIM(Raw_Export!D2466)),Maps!$G$2:$I$80,2,FALSE()),"UNMAPPED"))</f>
        <v/>
      </c>
      <c r="E2466" s="36" t="str">
        <f aca="false">IF(Raw_Export!$A2466="","",IFERROR(VLOOKUP(LOWER(TRIM(Raw_Export!D2466)),Maps!$G$2:$I$80,3,FALSE()),"UNMAPPED"))</f>
        <v/>
      </c>
      <c r="F2466" s="36" t="str">
        <f aca="false">IF(Raw_Export!$A2466="","",IFERROR(VALUE(TRIM(Raw_Export!E2466)),0))</f>
        <v/>
      </c>
      <c r="G2466" s="38" t="str">
        <f aca="false">IF(Raw_Export!$A2466="","",IFERROR(VALUE(SUBSTITUTE(SUBSTITUTE(UPPER(TRIM(Raw_Export!F2466)),"KES",""),",","")),0))</f>
        <v/>
      </c>
      <c r="H2466" s="38" t="str">
        <f aca="false">IF(Raw_Export!$A2466="","",F2466*G2466)</f>
        <v/>
      </c>
      <c r="I2466" s="36" t="str">
        <f aca="false">IF(Raw_Export!$A2466="","",IFERROR(VLOOKUP(LOWER(TRIM(Raw_Export!H2466)),Maps!$D$2:$E$12,2,FALSE()),"Other"))</f>
        <v/>
      </c>
      <c r="J2466" s="36" t="str">
        <f aca="false">IF(Raw_Export!$A2466="","",IF(COUNTIF($A$2:A2466,A2466)&gt;1,"Duplicate",""))</f>
        <v/>
      </c>
      <c r="K2466" s="36" t="str">
        <f aca="false">IF(Raw_Export!$A2466="","",IF(J2466="Duplicate","Duplicate",IF(OR(C2466="UNMAPPED",D2466="UNMAPPED"),"Unmapped",IF(F2466=0,"Blank qty",IF(F2466&lt;0,"Return","OK")))))</f>
        <v/>
      </c>
      <c r="L2466" s="36" t="str">
        <f aca="false">IF(Raw_Export!$A2466="","",IF(OR(K2466="OK",K2466="Return"),1,0))</f>
        <v/>
      </c>
      <c r="M2466" s="37" t="str">
        <f aca="false">IF(Raw_Export!$A2466="","",B2466-WEEKDAY(B2466,2)+1)</f>
        <v/>
      </c>
    </row>
    <row r="2467" customFormat="false" ht="15" hidden="false" customHeight="false" outlineLevel="0" collapsed="false">
      <c r="A2467" s="36" t="str">
        <f aca="false">IF(Raw_Export!$A2467="","",TRIM(Raw_Export!A2467))</f>
        <v/>
      </c>
      <c r="B2467" s="37" t="str">
        <f aca="false">IF(Raw_Export!$A2467="","",IF(ISNUMBER(Raw_Export!B2467),Raw_Export!B2467,IF(MID(TRIM(Raw_Export!B2467),5,1)="-",DATE(LEFT(TRIM(Raw_Export!B2467),4),MID(TRIM(Raw_Export!B2467),6,2),RIGHT(TRIM(Raw_Export!B2467),2)),DATE(RIGHT(TRIM(Raw_Export!B2467),4),MATCH(MID(TRIM(Raw_Export!B2467),4,3),{"Jan","Feb","Mar","Apr","May","Jun","Jul","Aug","Sep","Oct","Nov","Dec"},0),LEFT(TRIM(Raw_Export!B2467),2)))))</f>
        <v/>
      </c>
      <c r="C2467" s="36" t="str">
        <f aca="false">IF(Raw_Export!$A2467="","",IFERROR(VLOOKUP(LOWER(TRIM(Raw_Export!C2467)),Maps!$A$2:$B$20,2,FALSE()),"UNMAPPED"))</f>
        <v/>
      </c>
      <c r="D2467" s="36" t="str">
        <f aca="false">IF(Raw_Export!$A2467="","",IFERROR(VLOOKUP(LOWER(TRIM(Raw_Export!D2467)),Maps!$G$2:$I$80,2,FALSE()),"UNMAPPED"))</f>
        <v/>
      </c>
      <c r="E2467" s="36" t="str">
        <f aca="false">IF(Raw_Export!$A2467="","",IFERROR(VLOOKUP(LOWER(TRIM(Raw_Export!D2467)),Maps!$G$2:$I$80,3,FALSE()),"UNMAPPED"))</f>
        <v/>
      </c>
      <c r="F2467" s="36" t="str">
        <f aca="false">IF(Raw_Export!$A2467="","",IFERROR(VALUE(TRIM(Raw_Export!E2467)),0))</f>
        <v/>
      </c>
      <c r="G2467" s="38" t="str">
        <f aca="false">IF(Raw_Export!$A2467="","",IFERROR(VALUE(SUBSTITUTE(SUBSTITUTE(UPPER(TRIM(Raw_Export!F2467)),"KES",""),",","")),0))</f>
        <v/>
      </c>
      <c r="H2467" s="38" t="str">
        <f aca="false">IF(Raw_Export!$A2467="","",F2467*G2467)</f>
        <v/>
      </c>
      <c r="I2467" s="36" t="str">
        <f aca="false">IF(Raw_Export!$A2467="","",IFERROR(VLOOKUP(LOWER(TRIM(Raw_Export!H2467)),Maps!$D$2:$E$12,2,FALSE()),"Other"))</f>
        <v/>
      </c>
      <c r="J2467" s="36" t="str">
        <f aca="false">IF(Raw_Export!$A2467="","",IF(COUNTIF($A$2:A2467,A2467)&gt;1,"Duplicate",""))</f>
        <v/>
      </c>
      <c r="K2467" s="36" t="str">
        <f aca="false">IF(Raw_Export!$A2467="","",IF(J2467="Duplicate","Duplicate",IF(OR(C2467="UNMAPPED",D2467="UNMAPPED"),"Unmapped",IF(F2467=0,"Blank qty",IF(F2467&lt;0,"Return","OK")))))</f>
        <v/>
      </c>
      <c r="L2467" s="36" t="str">
        <f aca="false">IF(Raw_Export!$A2467="","",IF(OR(K2467="OK",K2467="Return"),1,0))</f>
        <v/>
      </c>
      <c r="M2467" s="37" t="str">
        <f aca="false">IF(Raw_Export!$A2467="","",B2467-WEEKDAY(B2467,2)+1)</f>
        <v/>
      </c>
    </row>
    <row r="2468" customFormat="false" ht="15" hidden="false" customHeight="false" outlineLevel="0" collapsed="false">
      <c r="A2468" s="36" t="str">
        <f aca="false">IF(Raw_Export!$A2468="","",TRIM(Raw_Export!A2468))</f>
        <v/>
      </c>
      <c r="B2468" s="37" t="str">
        <f aca="false">IF(Raw_Export!$A2468="","",IF(ISNUMBER(Raw_Export!B2468),Raw_Export!B2468,IF(MID(TRIM(Raw_Export!B2468),5,1)="-",DATE(LEFT(TRIM(Raw_Export!B2468),4),MID(TRIM(Raw_Export!B2468),6,2),RIGHT(TRIM(Raw_Export!B2468),2)),DATE(RIGHT(TRIM(Raw_Export!B2468),4),MATCH(MID(TRIM(Raw_Export!B2468),4,3),{"Jan","Feb","Mar","Apr","May","Jun","Jul","Aug","Sep","Oct","Nov","Dec"},0),LEFT(TRIM(Raw_Export!B2468),2)))))</f>
        <v/>
      </c>
      <c r="C2468" s="36" t="str">
        <f aca="false">IF(Raw_Export!$A2468="","",IFERROR(VLOOKUP(LOWER(TRIM(Raw_Export!C2468)),Maps!$A$2:$B$20,2,FALSE()),"UNMAPPED"))</f>
        <v/>
      </c>
      <c r="D2468" s="36" t="str">
        <f aca="false">IF(Raw_Export!$A2468="","",IFERROR(VLOOKUP(LOWER(TRIM(Raw_Export!D2468)),Maps!$G$2:$I$80,2,FALSE()),"UNMAPPED"))</f>
        <v/>
      </c>
      <c r="E2468" s="36" t="str">
        <f aca="false">IF(Raw_Export!$A2468="","",IFERROR(VLOOKUP(LOWER(TRIM(Raw_Export!D2468)),Maps!$G$2:$I$80,3,FALSE()),"UNMAPPED"))</f>
        <v/>
      </c>
      <c r="F2468" s="36" t="str">
        <f aca="false">IF(Raw_Export!$A2468="","",IFERROR(VALUE(TRIM(Raw_Export!E2468)),0))</f>
        <v/>
      </c>
      <c r="G2468" s="38" t="str">
        <f aca="false">IF(Raw_Export!$A2468="","",IFERROR(VALUE(SUBSTITUTE(SUBSTITUTE(UPPER(TRIM(Raw_Export!F2468)),"KES",""),",","")),0))</f>
        <v/>
      </c>
      <c r="H2468" s="38" t="str">
        <f aca="false">IF(Raw_Export!$A2468="","",F2468*G2468)</f>
        <v/>
      </c>
      <c r="I2468" s="36" t="str">
        <f aca="false">IF(Raw_Export!$A2468="","",IFERROR(VLOOKUP(LOWER(TRIM(Raw_Export!H2468)),Maps!$D$2:$E$12,2,FALSE()),"Other"))</f>
        <v/>
      </c>
      <c r="J2468" s="36" t="str">
        <f aca="false">IF(Raw_Export!$A2468="","",IF(COUNTIF($A$2:A2468,A2468)&gt;1,"Duplicate",""))</f>
        <v/>
      </c>
      <c r="K2468" s="36" t="str">
        <f aca="false">IF(Raw_Export!$A2468="","",IF(J2468="Duplicate","Duplicate",IF(OR(C2468="UNMAPPED",D2468="UNMAPPED"),"Unmapped",IF(F2468=0,"Blank qty",IF(F2468&lt;0,"Return","OK")))))</f>
        <v/>
      </c>
      <c r="L2468" s="36" t="str">
        <f aca="false">IF(Raw_Export!$A2468="","",IF(OR(K2468="OK",K2468="Return"),1,0))</f>
        <v/>
      </c>
      <c r="M2468" s="37" t="str">
        <f aca="false">IF(Raw_Export!$A2468="","",B2468-WEEKDAY(B2468,2)+1)</f>
        <v/>
      </c>
    </row>
    <row r="2469" customFormat="false" ht="15" hidden="false" customHeight="false" outlineLevel="0" collapsed="false">
      <c r="A2469" s="36" t="str">
        <f aca="false">IF(Raw_Export!$A2469="","",TRIM(Raw_Export!A2469))</f>
        <v/>
      </c>
      <c r="B2469" s="37" t="str">
        <f aca="false">IF(Raw_Export!$A2469="","",IF(ISNUMBER(Raw_Export!B2469),Raw_Export!B2469,IF(MID(TRIM(Raw_Export!B2469),5,1)="-",DATE(LEFT(TRIM(Raw_Export!B2469),4),MID(TRIM(Raw_Export!B2469),6,2),RIGHT(TRIM(Raw_Export!B2469),2)),DATE(RIGHT(TRIM(Raw_Export!B2469),4),MATCH(MID(TRIM(Raw_Export!B2469),4,3),{"Jan","Feb","Mar","Apr","May","Jun","Jul","Aug","Sep","Oct","Nov","Dec"},0),LEFT(TRIM(Raw_Export!B2469),2)))))</f>
        <v/>
      </c>
      <c r="C2469" s="36" t="str">
        <f aca="false">IF(Raw_Export!$A2469="","",IFERROR(VLOOKUP(LOWER(TRIM(Raw_Export!C2469)),Maps!$A$2:$B$20,2,FALSE()),"UNMAPPED"))</f>
        <v/>
      </c>
      <c r="D2469" s="36" t="str">
        <f aca="false">IF(Raw_Export!$A2469="","",IFERROR(VLOOKUP(LOWER(TRIM(Raw_Export!D2469)),Maps!$G$2:$I$80,2,FALSE()),"UNMAPPED"))</f>
        <v/>
      </c>
      <c r="E2469" s="36" t="str">
        <f aca="false">IF(Raw_Export!$A2469="","",IFERROR(VLOOKUP(LOWER(TRIM(Raw_Export!D2469)),Maps!$G$2:$I$80,3,FALSE()),"UNMAPPED"))</f>
        <v/>
      </c>
      <c r="F2469" s="36" t="str">
        <f aca="false">IF(Raw_Export!$A2469="","",IFERROR(VALUE(TRIM(Raw_Export!E2469)),0))</f>
        <v/>
      </c>
      <c r="G2469" s="38" t="str">
        <f aca="false">IF(Raw_Export!$A2469="","",IFERROR(VALUE(SUBSTITUTE(SUBSTITUTE(UPPER(TRIM(Raw_Export!F2469)),"KES",""),",","")),0))</f>
        <v/>
      </c>
      <c r="H2469" s="38" t="str">
        <f aca="false">IF(Raw_Export!$A2469="","",F2469*G2469)</f>
        <v/>
      </c>
      <c r="I2469" s="36" t="str">
        <f aca="false">IF(Raw_Export!$A2469="","",IFERROR(VLOOKUP(LOWER(TRIM(Raw_Export!H2469)),Maps!$D$2:$E$12,2,FALSE()),"Other"))</f>
        <v/>
      </c>
      <c r="J2469" s="36" t="str">
        <f aca="false">IF(Raw_Export!$A2469="","",IF(COUNTIF($A$2:A2469,A2469)&gt;1,"Duplicate",""))</f>
        <v/>
      </c>
      <c r="K2469" s="36" t="str">
        <f aca="false">IF(Raw_Export!$A2469="","",IF(J2469="Duplicate","Duplicate",IF(OR(C2469="UNMAPPED",D2469="UNMAPPED"),"Unmapped",IF(F2469=0,"Blank qty",IF(F2469&lt;0,"Return","OK")))))</f>
        <v/>
      </c>
      <c r="L2469" s="36" t="str">
        <f aca="false">IF(Raw_Export!$A2469="","",IF(OR(K2469="OK",K2469="Return"),1,0))</f>
        <v/>
      </c>
      <c r="M2469" s="37" t="str">
        <f aca="false">IF(Raw_Export!$A2469="","",B2469-WEEKDAY(B2469,2)+1)</f>
        <v/>
      </c>
    </row>
    <row r="2470" customFormat="false" ht="15" hidden="false" customHeight="false" outlineLevel="0" collapsed="false">
      <c r="A2470" s="36" t="str">
        <f aca="false">IF(Raw_Export!$A2470="","",TRIM(Raw_Export!A2470))</f>
        <v/>
      </c>
      <c r="B2470" s="37" t="str">
        <f aca="false">IF(Raw_Export!$A2470="","",IF(ISNUMBER(Raw_Export!B2470),Raw_Export!B2470,IF(MID(TRIM(Raw_Export!B2470),5,1)="-",DATE(LEFT(TRIM(Raw_Export!B2470),4),MID(TRIM(Raw_Export!B2470),6,2),RIGHT(TRIM(Raw_Export!B2470),2)),DATE(RIGHT(TRIM(Raw_Export!B2470),4),MATCH(MID(TRIM(Raw_Export!B2470),4,3),{"Jan","Feb","Mar","Apr","May","Jun","Jul","Aug","Sep","Oct","Nov","Dec"},0),LEFT(TRIM(Raw_Export!B2470),2)))))</f>
        <v/>
      </c>
      <c r="C2470" s="36" t="str">
        <f aca="false">IF(Raw_Export!$A2470="","",IFERROR(VLOOKUP(LOWER(TRIM(Raw_Export!C2470)),Maps!$A$2:$B$20,2,FALSE()),"UNMAPPED"))</f>
        <v/>
      </c>
      <c r="D2470" s="36" t="str">
        <f aca="false">IF(Raw_Export!$A2470="","",IFERROR(VLOOKUP(LOWER(TRIM(Raw_Export!D2470)),Maps!$G$2:$I$80,2,FALSE()),"UNMAPPED"))</f>
        <v/>
      </c>
      <c r="E2470" s="36" t="str">
        <f aca="false">IF(Raw_Export!$A2470="","",IFERROR(VLOOKUP(LOWER(TRIM(Raw_Export!D2470)),Maps!$G$2:$I$80,3,FALSE()),"UNMAPPED"))</f>
        <v/>
      </c>
      <c r="F2470" s="36" t="str">
        <f aca="false">IF(Raw_Export!$A2470="","",IFERROR(VALUE(TRIM(Raw_Export!E2470)),0))</f>
        <v/>
      </c>
      <c r="G2470" s="38" t="str">
        <f aca="false">IF(Raw_Export!$A2470="","",IFERROR(VALUE(SUBSTITUTE(SUBSTITUTE(UPPER(TRIM(Raw_Export!F2470)),"KES",""),",","")),0))</f>
        <v/>
      </c>
      <c r="H2470" s="38" t="str">
        <f aca="false">IF(Raw_Export!$A2470="","",F2470*G2470)</f>
        <v/>
      </c>
      <c r="I2470" s="36" t="str">
        <f aca="false">IF(Raw_Export!$A2470="","",IFERROR(VLOOKUP(LOWER(TRIM(Raw_Export!H2470)),Maps!$D$2:$E$12,2,FALSE()),"Other"))</f>
        <v/>
      </c>
      <c r="J2470" s="36" t="str">
        <f aca="false">IF(Raw_Export!$A2470="","",IF(COUNTIF($A$2:A2470,A2470)&gt;1,"Duplicate",""))</f>
        <v/>
      </c>
      <c r="K2470" s="36" t="str">
        <f aca="false">IF(Raw_Export!$A2470="","",IF(J2470="Duplicate","Duplicate",IF(OR(C2470="UNMAPPED",D2470="UNMAPPED"),"Unmapped",IF(F2470=0,"Blank qty",IF(F2470&lt;0,"Return","OK")))))</f>
        <v/>
      </c>
      <c r="L2470" s="36" t="str">
        <f aca="false">IF(Raw_Export!$A2470="","",IF(OR(K2470="OK",K2470="Return"),1,0))</f>
        <v/>
      </c>
      <c r="M2470" s="37" t="str">
        <f aca="false">IF(Raw_Export!$A2470="","",B2470-WEEKDAY(B2470,2)+1)</f>
        <v/>
      </c>
    </row>
    <row r="2471" customFormat="false" ht="15" hidden="false" customHeight="false" outlineLevel="0" collapsed="false">
      <c r="A2471" s="36" t="str">
        <f aca="false">IF(Raw_Export!$A2471="","",TRIM(Raw_Export!A2471))</f>
        <v/>
      </c>
      <c r="B2471" s="37" t="str">
        <f aca="false">IF(Raw_Export!$A2471="","",IF(ISNUMBER(Raw_Export!B2471),Raw_Export!B2471,IF(MID(TRIM(Raw_Export!B2471),5,1)="-",DATE(LEFT(TRIM(Raw_Export!B2471),4),MID(TRIM(Raw_Export!B2471),6,2),RIGHT(TRIM(Raw_Export!B2471),2)),DATE(RIGHT(TRIM(Raw_Export!B2471),4),MATCH(MID(TRIM(Raw_Export!B2471),4,3),{"Jan","Feb","Mar","Apr","May","Jun","Jul","Aug","Sep","Oct","Nov","Dec"},0),LEFT(TRIM(Raw_Export!B2471),2)))))</f>
        <v/>
      </c>
      <c r="C2471" s="36" t="str">
        <f aca="false">IF(Raw_Export!$A2471="","",IFERROR(VLOOKUP(LOWER(TRIM(Raw_Export!C2471)),Maps!$A$2:$B$20,2,FALSE()),"UNMAPPED"))</f>
        <v/>
      </c>
      <c r="D2471" s="36" t="str">
        <f aca="false">IF(Raw_Export!$A2471="","",IFERROR(VLOOKUP(LOWER(TRIM(Raw_Export!D2471)),Maps!$G$2:$I$80,2,FALSE()),"UNMAPPED"))</f>
        <v/>
      </c>
      <c r="E2471" s="36" t="str">
        <f aca="false">IF(Raw_Export!$A2471="","",IFERROR(VLOOKUP(LOWER(TRIM(Raw_Export!D2471)),Maps!$G$2:$I$80,3,FALSE()),"UNMAPPED"))</f>
        <v/>
      </c>
      <c r="F2471" s="36" t="str">
        <f aca="false">IF(Raw_Export!$A2471="","",IFERROR(VALUE(TRIM(Raw_Export!E2471)),0))</f>
        <v/>
      </c>
      <c r="G2471" s="38" t="str">
        <f aca="false">IF(Raw_Export!$A2471="","",IFERROR(VALUE(SUBSTITUTE(SUBSTITUTE(UPPER(TRIM(Raw_Export!F2471)),"KES",""),",","")),0))</f>
        <v/>
      </c>
      <c r="H2471" s="38" t="str">
        <f aca="false">IF(Raw_Export!$A2471="","",F2471*G2471)</f>
        <v/>
      </c>
      <c r="I2471" s="36" t="str">
        <f aca="false">IF(Raw_Export!$A2471="","",IFERROR(VLOOKUP(LOWER(TRIM(Raw_Export!H2471)),Maps!$D$2:$E$12,2,FALSE()),"Other"))</f>
        <v/>
      </c>
      <c r="J2471" s="36" t="str">
        <f aca="false">IF(Raw_Export!$A2471="","",IF(COUNTIF($A$2:A2471,A2471)&gt;1,"Duplicate",""))</f>
        <v/>
      </c>
      <c r="K2471" s="36" t="str">
        <f aca="false">IF(Raw_Export!$A2471="","",IF(J2471="Duplicate","Duplicate",IF(OR(C2471="UNMAPPED",D2471="UNMAPPED"),"Unmapped",IF(F2471=0,"Blank qty",IF(F2471&lt;0,"Return","OK")))))</f>
        <v/>
      </c>
      <c r="L2471" s="36" t="str">
        <f aca="false">IF(Raw_Export!$A2471="","",IF(OR(K2471="OK",K2471="Return"),1,0))</f>
        <v/>
      </c>
      <c r="M2471" s="37" t="str">
        <f aca="false">IF(Raw_Export!$A2471="","",B2471-WEEKDAY(B2471,2)+1)</f>
        <v/>
      </c>
    </row>
    <row r="2472" customFormat="false" ht="15" hidden="false" customHeight="false" outlineLevel="0" collapsed="false">
      <c r="A2472" s="36" t="str">
        <f aca="false">IF(Raw_Export!$A2472="","",TRIM(Raw_Export!A2472))</f>
        <v/>
      </c>
      <c r="B2472" s="37" t="str">
        <f aca="false">IF(Raw_Export!$A2472="","",IF(ISNUMBER(Raw_Export!B2472),Raw_Export!B2472,IF(MID(TRIM(Raw_Export!B2472),5,1)="-",DATE(LEFT(TRIM(Raw_Export!B2472),4),MID(TRIM(Raw_Export!B2472),6,2),RIGHT(TRIM(Raw_Export!B2472),2)),DATE(RIGHT(TRIM(Raw_Export!B2472),4),MATCH(MID(TRIM(Raw_Export!B2472),4,3),{"Jan","Feb","Mar","Apr","May","Jun","Jul","Aug","Sep","Oct","Nov","Dec"},0),LEFT(TRIM(Raw_Export!B2472),2)))))</f>
        <v/>
      </c>
      <c r="C2472" s="36" t="str">
        <f aca="false">IF(Raw_Export!$A2472="","",IFERROR(VLOOKUP(LOWER(TRIM(Raw_Export!C2472)),Maps!$A$2:$B$20,2,FALSE()),"UNMAPPED"))</f>
        <v/>
      </c>
      <c r="D2472" s="36" t="str">
        <f aca="false">IF(Raw_Export!$A2472="","",IFERROR(VLOOKUP(LOWER(TRIM(Raw_Export!D2472)),Maps!$G$2:$I$80,2,FALSE()),"UNMAPPED"))</f>
        <v/>
      </c>
      <c r="E2472" s="36" t="str">
        <f aca="false">IF(Raw_Export!$A2472="","",IFERROR(VLOOKUP(LOWER(TRIM(Raw_Export!D2472)),Maps!$G$2:$I$80,3,FALSE()),"UNMAPPED"))</f>
        <v/>
      </c>
      <c r="F2472" s="36" t="str">
        <f aca="false">IF(Raw_Export!$A2472="","",IFERROR(VALUE(TRIM(Raw_Export!E2472)),0))</f>
        <v/>
      </c>
      <c r="G2472" s="38" t="str">
        <f aca="false">IF(Raw_Export!$A2472="","",IFERROR(VALUE(SUBSTITUTE(SUBSTITUTE(UPPER(TRIM(Raw_Export!F2472)),"KES",""),",","")),0))</f>
        <v/>
      </c>
      <c r="H2472" s="38" t="str">
        <f aca="false">IF(Raw_Export!$A2472="","",F2472*G2472)</f>
        <v/>
      </c>
      <c r="I2472" s="36" t="str">
        <f aca="false">IF(Raw_Export!$A2472="","",IFERROR(VLOOKUP(LOWER(TRIM(Raw_Export!H2472)),Maps!$D$2:$E$12,2,FALSE()),"Other"))</f>
        <v/>
      </c>
      <c r="J2472" s="36" t="str">
        <f aca="false">IF(Raw_Export!$A2472="","",IF(COUNTIF($A$2:A2472,A2472)&gt;1,"Duplicate",""))</f>
        <v/>
      </c>
      <c r="K2472" s="36" t="str">
        <f aca="false">IF(Raw_Export!$A2472="","",IF(J2472="Duplicate","Duplicate",IF(OR(C2472="UNMAPPED",D2472="UNMAPPED"),"Unmapped",IF(F2472=0,"Blank qty",IF(F2472&lt;0,"Return","OK")))))</f>
        <v/>
      </c>
      <c r="L2472" s="36" t="str">
        <f aca="false">IF(Raw_Export!$A2472="","",IF(OR(K2472="OK",K2472="Return"),1,0))</f>
        <v/>
      </c>
      <c r="M2472" s="37" t="str">
        <f aca="false">IF(Raw_Export!$A2472="","",B2472-WEEKDAY(B2472,2)+1)</f>
        <v/>
      </c>
    </row>
    <row r="2473" customFormat="false" ht="15" hidden="false" customHeight="false" outlineLevel="0" collapsed="false">
      <c r="A2473" s="36" t="str">
        <f aca="false">IF(Raw_Export!$A2473="","",TRIM(Raw_Export!A2473))</f>
        <v/>
      </c>
      <c r="B2473" s="37" t="str">
        <f aca="false">IF(Raw_Export!$A2473="","",IF(ISNUMBER(Raw_Export!B2473),Raw_Export!B2473,IF(MID(TRIM(Raw_Export!B2473),5,1)="-",DATE(LEFT(TRIM(Raw_Export!B2473),4),MID(TRIM(Raw_Export!B2473),6,2),RIGHT(TRIM(Raw_Export!B2473),2)),DATE(RIGHT(TRIM(Raw_Export!B2473),4),MATCH(MID(TRIM(Raw_Export!B2473),4,3),{"Jan","Feb","Mar","Apr","May","Jun","Jul","Aug","Sep","Oct","Nov","Dec"},0),LEFT(TRIM(Raw_Export!B2473),2)))))</f>
        <v/>
      </c>
      <c r="C2473" s="36" t="str">
        <f aca="false">IF(Raw_Export!$A2473="","",IFERROR(VLOOKUP(LOWER(TRIM(Raw_Export!C2473)),Maps!$A$2:$B$20,2,FALSE()),"UNMAPPED"))</f>
        <v/>
      </c>
      <c r="D2473" s="36" t="str">
        <f aca="false">IF(Raw_Export!$A2473="","",IFERROR(VLOOKUP(LOWER(TRIM(Raw_Export!D2473)),Maps!$G$2:$I$80,2,FALSE()),"UNMAPPED"))</f>
        <v/>
      </c>
      <c r="E2473" s="36" t="str">
        <f aca="false">IF(Raw_Export!$A2473="","",IFERROR(VLOOKUP(LOWER(TRIM(Raw_Export!D2473)),Maps!$G$2:$I$80,3,FALSE()),"UNMAPPED"))</f>
        <v/>
      </c>
      <c r="F2473" s="36" t="str">
        <f aca="false">IF(Raw_Export!$A2473="","",IFERROR(VALUE(TRIM(Raw_Export!E2473)),0))</f>
        <v/>
      </c>
      <c r="G2473" s="38" t="str">
        <f aca="false">IF(Raw_Export!$A2473="","",IFERROR(VALUE(SUBSTITUTE(SUBSTITUTE(UPPER(TRIM(Raw_Export!F2473)),"KES",""),",","")),0))</f>
        <v/>
      </c>
      <c r="H2473" s="38" t="str">
        <f aca="false">IF(Raw_Export!$A2473="","",F2473*G2473)</f>
        <v/>
      </c>
      <c r="I2473" s="36" t="str">
        <f aca="false">IF(Raw_Export!$A2473="","",IFERROR(VLOOKUP(LOWER(TRIM(Raw_Export!H2473)),Maps!$D$2:$E$12,2,FALSE()),"Other"))</f>
        <v/>
      </c>
      <c r="J2473" s="36" t="str">
        <f aca="false">IF(Raw_Export!$A2473="","",IF(COUNTIF($A$2:A2473,A2473)&gt;1,"Duplicate",""))</f>
        <v/>
      </c>
      <c r="K2473" s="36" t="str">
        <f aca="false">IF(Raw_Export!$A2473="","",IF(J2473="Duplicate","Duplicate",IF(OR(C2473="UNMAPPED",D2473="UNMAPPED"),"Unmapped",IF(F2473=0,"Blank qty",IF(F2473&lt;0,"Return","OK")))))</f>
        <v/>
      </c>
      <c r="L2473" s="36" t="str">
        <f aca="false">IF(Raw_Export!$A2473="","",IF(OR(K2473="OK",K2473="Return"),1,0))</f>
        <v/>
      </c>
      <c r="M2473" s="37" t="str">
        <f aca="false">IF(Raw_Export!$A2473="","",B2473-WEEKDAY(B2473,2)+1)</f>
        <v/>
      </c>
    </row>
    <row r="2474" customFormat="false" ht="15" hidden="false" customHeight="false" outlineLevel="0" collapsed="false">
      <c r="A2474" s="36" t="str">
        <f aca="false">IF(Raw_Export!$A2474="","",TRIM(Raw_Export!A2474))</f>
        <v/>
      </c>
      <c r="B2474" s="37" t="str">
        <f aca="false">IF(Raw_Export!$A2474="","",IF(ISNUMBER(Raw_Export!B2474),Raw_Export!B2474,IF(MID(TRIM(Raw_Export!B2474),5,1)="-",DATE(LEFT(TRIM(Raw_Export!B2474),4),MID(TRIM(Raw_Export!B2474),6,2),RIGHT(TRIM(Raw_Export!B2474),2)),DATE(RIGHT(TRIM(Raw_Export!B2474),4),MATCH(MID(TRIM(Raw_Export!B2474),4,3),{"Jan","Feb","Mar","Apr","May","Jun","Jul","Aug","Sep","Oct","Nov","Dec"},0),LEFT(TRIM(Raw_Export!B2474),2)))))</f>
        <v/>
      </c>
      <c r="C2474" s="36" t="str">
        <f aca="false">IF(Raw_Export!$A2474="","",IFERROR(VLOOKUP(LOWER(TRIM(Raw_Export!C2474)),Maps!$A$2:$B$20,2,FALSE()),"UNMAPPED"))</f>
        <v/>
      </c>
      <c r="D2474" s="36" t="str">
        <f aca="false">IF(Raw_Export!$A2474="","",IFERROR(VLOOKUP(LOWER(TRIM(Raw_Export!D2474)),Maps!$G$2:$I$80,2,FALSE()),"UNMAPPED"))</f>
        <v/>
      </c>
      <c r="E2474" s="36" t="str">
        <f aca="false">IF(Raw_Export!$A2474="","",IFERROR(VLOOKUP(LOWER(TRIM(Raw_Export!D2474)),Maps!$G$2:$I$80,3,FALSE()),"UNMAPPED"))</f>
        <v/>
      </c>
      <c r="F2474" s="36" t="str">
        <f aca="false">IF(Raw_Export!$A2474="","",IFERROR(VALUE(TRIM(Raw_Export!E2474)),0))</f>
        <v/>
      </c>
      <c r="G2474" s="38" t="str">
        <f aca="false">IF(Raw_Export!$A2474="","",IFERROR(VALUE(SUBSTITUTE(SUBSTITUTE(UPPER(TRIM(Raw_Export!F2474)),"KES",""),",","")),0))</f>
        <v/>
      </c>
      <c r="H2474" s="38" t="str">
        <f aca="false">IF(Raw_Export!$A2474="","",F2474*G2474)</f>
        <v/>
      </c>
      <c r="I2474" s="36" t="str">
        <f aca="false">IF(Raw_Export!$A2474="","",IFERROR(VLOOKUP(LOWER(TRIM(Raw_Export!H2474)),Maps!$D$2:$E$12,2,FALSE()),"Other"))</f>
        <v/>
      </c>
      <c r="J2474" s="36" t="str">
        <f aca="false">IF(Raw_Export!$A2474="","",IF(COUNTIF($A$2:A2474,A2474)&gt;1,"Duplicate",""))</f>
        <v/>
      </c>
      <c r="K2474" s="36" t="str">
        <f aca="false">IF(Raw_Export!$A2474="","",IF(J2474="Duplicate","Duplicate",IF(OR(C2474="UNMAPPED",D2474="UNMAPPED"),"Unmapped",IF(F2474=0,"Blank qty",IF(F2474&lt;0,"Return","OK")))))</f>
        <v/>
      </c>
      <c r="L2474" s="36" t="str">
        <f aca="false">IF(Raw_Export!$A2474="","",IF(OR(K2474="OK",K2474="Return"),1,0))</f>
        <v/>
      </c>
      <c r="M2474" s="37" t="str">
        <f aca="false">IF(Raw_Export!$A2474="","",B2474-WEEKDAY(B2474,2)+1)</f>
        <v/>
      </c>
    </row>
    <row r="2475" customFormat="false" ht="15" hidden="false" customHeight="false" outlineLevel="0" collapsed="false">
      <c r="A2475" s="36" t="str">
        <f aca="false">IF(Raw_Export!$A2475="","",TRIM(Raw_Export!A2475))</f>
        <v/>
      </c>
      <c r="B2475" s="37" t="str">
        <f aca="false">IF(Raw_Export!$A2475="","",IF(ISNUMBER(Raw_Export!B2475),Raw_Export!B2475,IF(MID(TRIM(Raw_Export!B2475),5,1)="-",DATE(LEFT(TRIM(Raw_Export!B2475),4),MID(TRIM(Raw_Export!B2475),6,2),RIGHT(TRIM(Raw_Export!B2475),2)),DATE(RIGHT(TRIM(Raw_Export!B2475),4),MATCH(MID(TRIM(Raw_Export!B2475),4,3),{"Jan","Feb","Mar","Apr","May","Jun","Jul","Aug","Sep","Oct","Nov","Dec"},0),LEFT(TRIM(Raw_Export!B2475),2)))))</f>
        <v/>
      </c>
      <c r="C2475" s="36" t="str">
        <f aca="false">IF(Raw_Export!$A2475="","",IFERROR(VLOOKUP(LOWER(TRIM(Raw_Export!C2475)),Maps!$A$2:$B$20,2,FALSE()),"UNMAPPED"))</f>
        <v/>
      </c>
      <c r="D2475" s="36" t="str">
        <f aca="false">IF(Raw_Export!$A2475="","",IFERROR(VLOOKUP(LOWER(TRIM(Raw_Export!D2475)),Maps!$G$2:$I$80,2,FALSE()),"UNMAPPED"))</f>
        <v/>
      </c>
      <c r="E2475" s="36" t="str">
        <f aca="false">IF(Raw_Export!$A2475="","",IFERROR(VLOOKUP(LOWER(TRIM(Raw_Export!D2475)),Maps!$G$2:$I$80,3,FALSE()),"UNMAPPED"))</f>
        <v/>
      </c>
      <c r="F2475" s="36" t="str">
        <f aca="false">IF(Raw_Export!$A2475="","",IFERROR(VALUE(TRIM(Raw_Export!E2475)),0))</f>
        <v/>
      </c>
      <c r="G2475" s="38" t="str">
        <f aca="false">IF(Raw_Export!$A2475="","",IFERROR(VALUE(SUBSTITUTE(SUBSTITUTE(UPPER(TRIM(Raw_Export!F2475)),"KES",""),",","")),0))</f>
        <v/>
      </c>
      <c r="H2475" s="38" t="str">
        <f aca="false">IF(Raw_Export!$A2475="","",F2475*G2475)</f>
        <v/>
      </c>
      <c r="I2475" s="36" t="str">
        <f aca="false">IF(Raw_Export!$A2475="","",IFERROR(VLOOKUP(LOWER(TRIM(Raw_Export!H2475)),Maps!$D$2:$E$12,2,FALSE()),"Other"))</f>
        <v/>
      </c>
      <c r="J2475" s="36" t="str">
        <f aca="false">IF(Raw_Export!$A2475="","",IF(COUNTIF($A$2:A2475,A2475)&gt;1,"Duplicate",""))</f>
        <v/>
      </c>
      <c r="K2475" s="36" t="str">
        <f aca="false">IF(Raw_Export!$A2475="","",IF(J2475="Duplicate","Duplicate",IF(OR(C2475="UNMAPPED",D2475="UNMAPPED"),"Unmapped",IF(F2475=0,"Blank qty",IF(F2475&lt;0,"Return","OK")))))</f>
        <v/>
      </c>
      <c r="L2475" s="36" t="str">
        <f aca="false">IF(Raw_Export!$A2475="","",IF(OR(K2475="OK",K2475="Return"),1,0))</f>
        <v/>
      </c>
      <c r="M2475" s="37" t="str">
        <f aca="false">IF(Raw_Export!$A2475="","",B2475-WEEKDAY(B2475,2)+1)</f>
        <v/>
      </c>
    </row>
    <row r="2476" customFormat="false" ht="15" hidden="false" customHeight="false" outlineLevel="0" collapsed="false">
      <c r="A2476" s="36" t="str">
        <f aca="false">IF(Raw_Export!$A2476="","",TRIM(Raw_Export!A2476))</f>
        <v/>
      </c>
      <c r="B2476" s="37" t="str">
        <f aca="false">IF(Raw_Export!$A2476="","",IF(ISNUMBER(Raw_Export!B2476),Raw_Export!B2476,IF(MID(TRIM(Raw_Export!B2476),5,1)="-",DATE(LEFT(TRIM(Raw_Export!B2476),4),MID(TRIM(Raw_Export!B2476),6,2),RIGHT(TRIM(Raw_Export!B2476),2)),DATE(RIGHT(TRIM(Raw_Export!B2476),4),MATCH(MID(TRIM(Raw_Export!B2476),4,3),{"Jan","Feb","Mar","Apr","May","Jun","Jul","Aug","Sep","Oct","Nov","Dec"},0),LEFT(TRIM(Raw_Export!B2476),2)))))</f>
        <v/>
      </c>
      <c r="C2476" s="36" t="str">
        <f aca="false">IF(Raw_Export!$A2476="","",IFERROR(VLOOKUP(LOWER(TRIM(Raw_Export!C2476)),Maps!$A$2:$B$20,2,FALSE()),"UNMAPPED"))</f>
        <v/>
      </c>
      <c r="D2476" s="36" t="str">
        <f aca="false">IF(Raw_Export!$A2476="","",IFERROR(VLOOKUP(LOWER(TRIM(Raw_Export!D2476)),Maps!$G$2:$I$80,2,FALSE()),"UNMAPPED"))</f>
        <v/>
      </c>
      <c r="E2476" s="36" t="str">
        <f aca="false">IF(Raw_Export!$A2476="","",IFERROR(VLOOKUP(LOWER(TRIM(Raw_Export!D2476)),Maps!$G$2:$I$80,3,FALSE()),"UNMAPPED"))</f>
        <v/>
      </c>
      <c r="F2476" s="36" t="str">
        <f aca="false">IF(Raw_Export!$A2476="","",IFERROR(VALUE(TRIM(Raw_Export!E2476)),0))</f>
        <v/>
      </c>
      <c r="G2476" s="38" t="str">
        <f aca="false">IF(Raw_Export!$A2476="","",IFERROR(VALUE(SUBSTITUTE(SUBSTITUTE(UPPER(TRIM(Raw_Export!F2476)),"KES",""),",","")),0))</f>
        <v/>
      </c>
      <c r="H2476" s="38" t="str">
        <f aca="false">IF(Raw_Export!$A2476="","",F2476*G2476)</f>
        <v/>
      </c>
      <c r="I2476" s="36" t="str">
        <f aca="false">IF(Raw_Export!$A2476="","",IFERROR(VLOOKUP(LOWER(TRIM(Raw_Export!H2476)),Maps!$D$2:$E$12,2,FALSE()),"Other"))</f>
        <v/>
      </c>
      <c r="J2476" s="36" t="str">
        <f aca="false">IF(Raw_Export!$A2476="","",IF(COUNTIF($A$2:A2476,A2476)&gt;1,"Duplicate",""))</f>
        <v/>
      </c>
      <c r="K2476" s="36" t="str">
        <f aca="false">IF(Raw_Export!$A2476="","",IF(J2476="Duplicate","Duplicate",IF(OR(C2476="UNMAPPED",D2476="UNMAPPED"),"Unmapped",IF(F2476=0,"Blank qty",IF(F2476&lt;0,"Return","OK")))))</f>
        <v/>
      </c>
      <c r="L2476" s="36" t="str">
        <f aca="false">IF(Raw_Export!$A2476="","",IF(OR(K2476="OK",K2476="Return"),1,0))</f>
        <v/>
      </c>
      <c r="M2476" s="37" t="str">
        <f aca="false">IF(Raw_Export!$A2476="","",B2476-WEEKDAY(B2476,2)+1)</f>
        <v/>
      </c>
    </row>
    <row r="2477" customFormat="false" ht="15" hidden="false" customHeight="false" outlineLevel="0" collapsed="false">
      <c r="A2477" s="36" t="str">
        <f aca="false">IF(Raw_Export!$A2477="","",TRIM(Raw_Export!A2477))</f>
        <v/>
      </c>
      <c r="B2477" s="37" t="str">
        <f aca="false">IF(Raw_Export!$A2477="","",IF(ISNUMBER(Raw_Export!B2477),Raw_Export!B2477,IF(MID(TRIM(Raw_Export!B2477),5,1)="-",DATE(LEFT(TRIM(Raw_Export!B2477),4),MID(TRIM(Raw_Export!B2477),6,2),RIGHT(TRIM(Raw_Export!B2477),2)),DATE(RIGHT(TRIM(Raw_Export!B2477),4),MATCH(MID(TRIM(Raw_Export!B2477),4,3),{"Jan","Feb","Mar","Apr","May","Jun","Jul","Aug","Sep","Oct","Nov","Dec"},0),LEFT(TRIM(Raw_Export!B2477),2)))))</f>
        <v/>
      </c>
      <c r="C2477" s="36" t="str">
        <f aca="false">IF(Raw_Export!$A2477="","",IFERROR(VLOOKUP(LOWER(TRIM(Raw_Export!C2477)),Maps!$A$2:$B$20,2,FALSE()),"UNMAPPED"))</f>
        <v/>
      </c>
      <c r="D2477" s="36" t="str">
        <f aca="false">IF(Raw_Export!$A2477="","",IFERROR(VLOOKUP(LOWER(TRIM(Raw_Export!D2477)),Maps!$G$2:$I$80,2,FALSE()),"UNMAPPED"))</f>
        <v/>
      </c>
      <c r="E2477" s="36" t="str">
        <f aca="false">IF(Raw_Export!$A2477="","",IFERROR(VLOOKUP(LOWER(TRIM(Raw_Export!D2477)),Maps!$G$2:$I$80,3,FALSE()),"UNMAPPED"))</f>
        <v/>
      </c>
      <c r="F2477" s="36" t="str">
        <f aca="false">IF(Raw_Export!$A2477="","",IFERROR(VALUE(TRIM(Raw_Export!E2477)),0))</f>
        <v/>
      </c>
      <c r="G2477" s="38" t="str">
        <f aca="false">IF(Raw_Export!$A2477="","",IFERROR(VALUE(SUBSTITUTE(SUBSTITUTE(UPPER(TRIM(Raw_Export!F2477)),"KES",""),",","")),0))</f>
        <v/>
      </c>
      <c r="H2477" s="38" t="str">
        <f aca="false">IF(Raw_Export!$A2477="","",F2477*G2477)</f>
        <v/>
      </c>
      <c r="I2477" s="36" t="str">
        <f aca="false">IF(Raw_Export!$A2477="","",IFERROR(VLOOKUP(LOWER(TRIM(Raw_Export!H2477)),Maps!$D$2:$E$12,2,FALSE()),"Other"))</f>
        <v/>
      </c>
      <c r="J2477" s="36" t="str">
        <f aca="false">IF(Raw_Export!$A2477="","",IF(COUNTIF($A$2:A2477,A2477)&gt;1,"Duplicate",""))</f>
        <v/>
      </c>
      <c r="K2477" s="36" t="str">
        <f aca="false">IF(Raw_Export!$A2477="","",IF(J2477="Duplicate","Duplicate",IF(OR(C2477="UNMAPPED",D2477="UNMAPPED"),"Unmapped",IF(F2477=0,"Blank qty",IF(F2477&lt;0,"Return","OK")))))</f>
        <v/>
      </c>
      <c r="L2477" s="36" t="str">
        <f aca="false">IF(Raw_Export!$A2477="","",IF(OR(K2477="OK",K2477="Return"),1,0))</f>
        <v/>
      </c>
      <c r="M2477" s="37" t="str">
        <f aca="false">IF(Raw_Export!$A2477="","",B2477-WEEKDAY(B2477,2)+1)</f>
        <v/>
      </c>
    </row>
    <row r="2478" customFormat="false" ht="15" hidden="false" customHeight="false" outlineLevel="0" collapsed="false">
      <c r="A2478" s="36" t="str">
        <f aca="false">IF(Raw_Export!$A2478="","",TRIM(Raw_Export!A2478))</f>
        <v/>
      </c>
      <c r="B2478" s="37" t="str">
        <f aca="false">IF(Raw_Export!$A2478="","",IF(ISNUMBER(Raw_Export!B2478),Raw_Export!B2478,IF(MID(TRIM(Raw_Export!B2478),5,1)="-",DATE(LEFT(TRIM(Raw_Export!B2478),4),MID(TRIM(Raw_Export!B2478),6,2),RIGHT(TRIM(Raw_Export!B2478),2)),DATE(RIGHT(TRIM(Raw_Export!B2478),4),MATCH(MID(TRIM(Raw_Export!B2478),4,3),{"Jan","Feb","Mar","Apr","May","Jun","Jul","Aug","Sep","Oct","Nov","Dec"},0),LEFT(TRIM(Raw_Export!B2478),2)))))</f>
        <v/>
      </c>
      <c r="C2478" s="36" t="str">
        <f aca="false">IF(Raw_Export!$A2478="","",IFERROR(VLOOKUP(LOWER(TRIM(Raw_Export!C2478)),Maps!$A$2:$B$20,2,FALSE()),"UNMAPPED"))</f>
        <v/>
      </c>
      <c r="D2478" s="36" t="str">
        <f aca="false">IF(Raw_Export!$A2478="","",IFERROR(VLOOKUP(LOWER(TRIM(Raw_Export!D2478)),Maps!$G$2:$I$80,2,FALSE()),"UNMAPPED"))</f>
        <v/>
      </c>
      <c r="E2478" s="36" t="str">
        <f aca="false">IF(Raw_Export!$A2478="","",IFERROR(VLOOKUP(LOWER(TRIM(Raw_Export!D2478)),Maps!$G$2:$I$80,3,FALSE()),"UNMAPPED"))</f>
        <v/>
      </c>
      <c r="F2478" s="36" t="str">
        <f aca="false">IF(Raw_Export!$A2478="","",IFERROR(VALUE(TRIM(Raw_Export!E2478)),0))</f>
        <v/>
      </c>
      <c r="G2478" s="38" t="str">
        <f aca="false">IF(Raw_Export!$A2478="","",IFERROR(VALUE(SUBSTITUTE(SUBSTITUTE(UPPER(TRIM(Raw_Export!F2478)),"KES",""),",","")),0))</f>
        <v/>
      </c>
      <c r="H2478" s="38" t="str">
        <f aca="false">IF(Raw_Export!$A2478="","",F2478*G2478)</f>
        <v/>
      </c>
      <c r="I2478" s="36" t="str">
        <f aca="false">IF(Raw_Export!$A2478="","",IFERROR(VLOOKUP(LOWER(TRIM(Raw_Export!H2478)),Maps!$D$2:$E$12,2,FALSE()),"Other"))</f>
        <v/>
      </c>
      <c r="J2478" s="36" t="str">
        <f aca="false">IF(Raw_Export!$A2478="","",IF(COUNTIF($A$2:A2478,A2478)&gt;1,"Duplicate",""))</f>
        <v/>
      </c>
      <c r="K2478" s="36" t="str">
        <f aca="false">IF(Raw_Export!$A2478="","",IF(J2478="Duplicate","Duplicate",IF(OR(C2478="UNMAPPED",D2478="UNMAPPED"),"Unmapped",IF(F2478=0,"Blank qty",IF(F2478&lt;0,"Return","OK")))))</f>
        <v/>
      </c>
      <c r="L2478" s="36" t="str">
        <f aca="false">IF(Raw_Export!$A2478="","",IF(OR(K2478="OK",K2478="Return"),1,0))</f>
        <v/>
      </c>
      <c r="M2478" s="37" t="str">
        <f aca="false">IF(Raw_Export!$A2478="","",B2478-WEEKDAY(B2478,2)+1)</f>
        <v/>
      </c>
    </row>
    <row r="2479" customFormat="false" ht="15" hidden="false" customHeight="false" outlineLevel="0" collapsed="false">
      <c r="A2479" s="36" t="str">
        <f aca="false">IF(Raw_Export!$A2479="","",TRIM(Raw_Export!A2479))</f>
        <v/>
      </c>
      <c r="B2479" s="37" t="str">
        <f aca="false">IF(Raw_Export!$A2479="","",IF(ISNUMBER(Raw_Export!B2479),Raw_Export!B2479,IF(MID(TRIM(Raw_Export!B2479),5,1)="-",DATE(LEFT(TRIM(Raw_Export!B2479),4),MID(TRIM(Raw_Export!B2479),6,2),RIGHT(TRIM(Raw_Export!B2479),2)),DATE(RIGHT(TRIM(Raw_Export!B2479),4),MATCH(MID(TRIM(Raw_Export!B2479),4,3),{"Jan","Feb","Mar","Apr","May","Jun","Jul","Aug","Sep","Oct","Nov","Dec"},0),LEFT(TRIM(Raw_Export!B2479),2)))))</f>
        <v/>
      </c>
      <c r="C2479" s="36" t="str">
        <f aca="false">IF(Raw_Export!$A2479="","",IFERROR(VLOOKUP(LOWER(TRIM(Raw_Export!C2479)),Maps!$A$2:$B$20,2,FALSE()),"UNMAPPED"))</f>
        <v/>
      </c>
      <c r="D2479" s="36" t="str">
        <f aca="false">IF(Raw_Export!$A2479="","",IFERROR(VLOOKUP(LOWER(TRIM(Raw_Export!D2479)),Maps!$G$2:$I$80,2,FALSE()),"UNMAPPED"))</f>
        <v/>
      </c>
      <c r="E2479" s="36" t="str">
        <f aca="false">IF(Raw_Export!$A2479="","",IFERROR(VLOOKUP(LOWER(TRIM(Raw_Export!D2479)),Maps!$G$2:$I$80,3,FALSE()),"UNMAPPED"))</f>
        <v/>
      </c>
      <c r="F2479" s="36" t="str">
        <f aca="false">IF(Raw_Export!$A2479="","",IFERROR(VALUE(TRIM(Raw_Export!E2479)),0))</f>
        <v/>
      </c>
      <c r="G2479" s="38" t="str">
        <f aca="false">IF(Raw_Export!$A2479="","",IFERROR(VALUE(SUBSTITUTE(SUBSTITUTE(UPPER(TRIM(Raw_Export!F2479)),"KES",""),",","")),0))</f>
        <v/>
      </c>
      <c r="H2479" s="38" t="str">
        <f aca="false">IF(Raw_Export!$A2479="","",F2479*G2479)</f>
        <v/>
      </c>
      <c r="I2479" s="36" t="str">
        <f aca="false">IF(Raw_Export!$A2479="","",IFERROR(VLOOKUP(LOWER(TRIM(Raw_Export!H2479)),Maps!$D$2:$E$12,2,FALSE()),"Other"))</f>
        <v/>
      </c>
      <c r="J2479" s="36" t="str">
        <f aca="false">IF(Raw_Export!$A2479="","",IF(COUNTIF($A$2:A2479,A2479)&gt;1,"Duplicate",""))</f>
        <v/>
      </c>
      <c r="K2479" s="36" t="str">
        <f aca="false">IF(Raw_Export!$A2479="","",IF(J2479="Duplicate","Duplicate",IF(OR(C2479="UNMAPPED",D2479="UNMAPPED"),"Unmapped",IF(F2479=0,"Blank qty",IF(F2479&lt;0,"Return","OK")))))</f>
        <v/>
      </c>
      <c r="L2479" s="36" t="str">
        <f aca="false">IF(Raw_Export!$A2479="","",IF(OR(K2479="OK",K2479="Return"),1,0))</f>
        <v/>
      </c>
      <c r="M2479" s="37" t="str">
        <f aca="false">IF(Raw_Export!$A2479="","",B2479-WEEKDAY(B2479,2)+1)</f>
        <v/>
      </c>
    </row>
    <row r="2480" customFormat="false" ht="15" hidden="false" customHeight="false" outlineLevel="0" collapsed="false">
      <c r="A2480" s="36" t="str">
        <f aca="false">IF(Raw_Export!$A2480="","",TRIM(Raw_Export!A2480))</f>
        <v/>
      </c>
      <c r="B2480" s="37" t="str">
        <f aca="false">IF(Raw_Export!$A2480="","",IF(ISNUMBER(Raw_Export!B2480),Raw_Export!B2480,IF(MID(TRIM(Raw_Export!B2480),5,1)="-",DATE(LEFT(TRIM(Raw_Export!B2480),4),MID(TRIM(Raw_Export!B2480),6,2),RIGHT(TRIM(Raw_Export!B2480),2)),DATE(RIGHT(TRIM(Raw_Export!B2480),4),MATCH(MID(TRIM(Raw_Export!B2480),4,3),{"Jan","Feb","Mar","Apr","May","Jun","Jul","Aug","Sep","Oct","Nov","Dec"},0),LEFT(TRIM(Raw_Export!B2480),2)))))</f>
        <v/>
      </c>
      <c r="C2480" s="36" t="str">
        <f aca="false">IF(Raw_Export!$A2480="","",IFERROR(VLOOKUP(LOWER(TRIM(Raw_Export!C2480)),Maps!$A$2:$B$20,2,FALSE()),"UNMAPPED"))</f>
        <v/>
      </c>
      <c r="D2480" s="36" t="str">
        <f aca="false">IF(Raw_Export!$A2480="","",IFERROR(VLOOKUP(LOWER(TRIM(Raw_Export!D2480)),Maps!$G$2:$I$80,2,FALSE()),"UNMAPPED"))</f>
        <v/>
      </c>
      <c r="E2480" s="36" t="str">
        <f aca="false">IF(Raw_Export!$A2480="","",IFERROR(VLOOKUP(LOWER(TRIM(Raw_Export!D2480)),Maps!$G$2:$I$80,3,FALSE()),"UNMAPPED"))</f>
        <v/>
      </c>
      <c r="F2480" s="36" t="str">
        <f aca="false">IF(Raw_Export!$A2480="","",IFERROR(VALUE(TRIM(Raw_Export!E2480)),0))</f>
        <v/>
      </c>
      <c r="G2480" s="38" t="str">
        <f aca="false">IF(Raw_Export!$A2480="","",IFERROR(VALUE(SUBSTITUTE(SUBSTITUTE(UPPER(TRIM(Raw_Export!F2480)),"KES",""),",","")),0))</f>
        <v/>
      </c>
      <c r="H2480" s="38" t="str">
        <f aca="false">IF(Raw_Export!$A2480="","",F2480*G2480)</f>
        <v/>
      </c>
      <c r="I2480" s="36" t="str">
        <f aca="false">IF(Raw_Export!$A2480="","",IFERROR(VLOOKUP(LOWER(TRIM(Raw_Export!H2480)),Maps!$D$2:$E$12,2,FALSE()),"Other"))</f>
        <v/>
      </c>
      <c r="J2480" s="36" t="str">
        <f aca="false">IF(Raw_Export!$A2480="","",IF(COUNTIF($A$2:A2480,A2480)&gt;1,"Duplicate",""))</f>
        <v/>
      </c>
      <c r="K2480" s="36" t="str">
        <f aca="false">IF(Raw_Export!$A2480="","",IF(J2480="Duplicate","Duplicate",IF(OR(C2480="UNMAPPED",D2480="UNMAPPED"),"Unmapped",IF(F2480=0,"Blank qty",IF(F2480&lt;0,"Return","OK")))))</f>
        <v/>
      </c>
      <c r="L2480" s="36" t="str">
        <f aca="false">IF(Raw_Export!$A2480="","",IF(OR(K2480="OK",K2480="Return"),1,0))</f>
        <v/>
      </c>
      <c r="M2480" s="37" t="str">
        <f aca="false">IF(Raw_Export!$A2480="","",B2480-WEEKDAY(B2480,2)+1)</f>
        <v/>
      </c>
    </row>
    <row r="2481" customFormat="false" ht="15" hidden="false" customHeight="false" outlineLevel="0" collapsed="false">
      <c r="A2481" s="36" t="str">
        <f aca="false">IF(Raw_Export!$A2481="","",TRIM(Raw_Export!A2481))</f>
        <v/>
      </c>
      <c r="B2481" s="37" t="str">
        <f aca="false">IF(Raw_Export!$A2481="","",IF(ISNUMBER(Raw_Export!B2481),Raw_Export!B2481,IF(MID(TRIM(Raw_Export!B2481),5,1)="-",DATE(LEFT(TRIM(Raw_Export!B2481),4),MID(TRIM(Raw_Export!B2481),6,2),RIGHT(TRIM(Raw_Export!B2481),2)),DATE(RIGHT(TRIM(Raw_Export!B2481),4),MATCH(MID(TRIM(Raw_Export!B2481),4,3),{"Jan","Feb","Mar","Apr","May","Jun","Jul","Aug","Sep","Oct","Nov","Dec"},0),LEFT(TRIM(Raw_Export!B2481),2)))))</f>
        <v/>
      </c>
      <c r="C2481" s="36" t="str">
        <f aca="false">IF(Raw_Export!$A2481="","",IFERROR(VLOOKUP(LOWER(TRIM(Raw_Export!C2481)),Maps!$A$2:$B$20,2,FALSE()),"UNMAPPED"))</f>
        <v/>
      </c>
      <c r="D2481" s="36" t="str">
        <f aca="false">IF(Raw_Export!$A2481="","",IFERROR(VLOOKUP(LOWER(TRIM(Raw_Export!D2481)),Maps!$G$2:$I$80,2,FALSE()),"UNMAPPED"))</f>
        <v/>
      </c>
      <c r="E2481" s="36" t="str">
        <f aca="false">IF(Raw_Export!$A2481="","",IFERROR(VLOOKUP(LOWER(TRIM(Raw_Export!D2481)),Maps!$G$2:$I$80,3,FALSE()),"UNMAPPED"))</f>
        <v/>
      </c>
      <c r="F2481" s="36" t="str">
        <f aca="false">IF(Raw_Export!$A2481="","",IFERROR(VALUE(TRIM(Raw_Export!E2481)),0))</f>
        <v/>
      </c>
      <c r="G2481" s="38" t="str">
        <f aca="false">IF(Raw_Export!$A2481="","",IFERROR(VALUE(SUBSTITUTE(SUBSTITUTE(UPPER(TRIM(Raw_Export!F2481)),"KES",""),",","")),0))</f>
        <v/>
      </c>
      <c r="H2481" s="38" t="str">
        <f aca="false">IF(Raw_Export!$A2481="","",F2481*G2481)</f>
        <v/>
      </c>
      <c r="I2481" s="36" t="str">
        <f aca="false">IF(Raw_Export!$A2481="","",IFERROR(VLOOKUP(LOWER(TRIM(Raw_Export!H2481)),Maps!$D$2:$E$12,2,FALSE()),"Other"))</f>
        <v/>
      </c>
      <c r="J2481" s="36" t="str">
        <f aca="false">IF(Raw_Export!$A2481="","",IF(COUNTIF($A$2:A2481,A2481)&gt;1,"Duplicate",""))</f>
        <v/>
      </c>
      <c r="K2481" s="36" t="str">
        <f aca="false">IF(Raw_Export!$A2481="","",IF(J2481="Duplicate","Duplicate",IF(OR(C2481="UNMAPPED",D2481="UNMAPPED"),"Unmapped",IF(F2481=0,"Blank qty",IF(F2481&lt;0,"Return","OK")))))</f>
        <v/>
      </c>
      <c r="L2481" s="36" t="str">
        <f aca="false">IF(Raw_Export!$A2481="","",IF(OR(K2481="OK",K2481="Return"),1,0))</f>
        <v/>
      </c>
      <c r="M2481" s="37" t="str">
        <f aca="false">IF(Raw_Export!$A2481="","",B2481-WEEKDAY(B2481,2)+1)</f>
        <v/>
      </c>
    </row>
    <row r="2482" customFormat="false" ht="15" hidden="false" customHeight="false" outlineLevel="0" collapsed="false">
      <c r="A2482" s="36" t="str">
        <f aca="false">IF(Raw_Export!$A2482="","",TRIM(Raw_Export!A2482))</f>
        <v/>
      </c>
      <c r="B2482" s="37" t="str">
        <f aca="false">IF(Raw_Export!$A2482="","",IF(ISNUMBER(Raw_Export!B2482),Raw_Export!B2482,IF(MID(TRIM(Raw_Export!B2482),5,1)="-",DATE(LEFT(TRIM(Raw_Export!B2482),4),MID(TRIM(Raw_Export!B2482),6,2),RIGHT(TRIM(Raw_Export!B2482),2)),DATE(RIGHT(TRIM(Raw_Export!B2482),4),MATCH(MID(TRIM(Raw_Export!B2482),4,3),{"Jan","Feb","Mar","Apr","May","Jun","Jul","Aug","Sep","Oct","Nov","Dec"},0),LEFT(TRIM(Raw_Export!B2482),2)))))</f>
        <v/>
      </c>
      <c r="C2482" s="36" t="str">
        <f aca="false">IF(Raw_Export!$A2482="","",IFERROR(VLOOKUP(LOWER(TRIM(Raw_Export!C2482)),Maps!$A$2:$B$20,2,FALSE()),"UNMAPPED"))</f>
        <v/>
      </c>
      <c r="D2482" s="36" t="str">
        <f aca="false">IF(Raw_Export!$A2482="","",IFERROR(VLOOKUP(LOWER(TRIM(Raw_Export!D2482)),Maps!$G$2:$I$80,2,FALSE()),"UNMAPPED"))</f>
        <v/>
      </c>
      <c r="E2482" s="36" t="str">
        <f aca="false">IF(Raw_Export!$A2482="","",IFERROR(VLOOKUP(LOWER(TRIM(Raw_Export!D2482)),Maps!$G$2:$I$80,3,FALSE()),"UNMAPPED"))</f>
        <v/>
      </c>
      <c r="F2482" s="36" t="str">
        <f aca="false">IF(Raw_Export!$A2482="","",IFERROR(VALUE(TRIM(Raw_Export!E2482)),0))</f>
        <v/>
      </c>
      <c r="G2482" s="38" t="str">
        <f aca="false">IF(Raw_Export!$A2482="","",IFERROR(VALUE(SUBSTITUTE(SUBSTITUTE(UPPER(TRIM(Raw_Export!F2482)),"KES",""),",","")),0))</f>
        <v/>
      </c>
      <c r="H2482" s="38" t="str">
        <f aca="false">IF(Raw_Export!$A2482="","",F2482*G2482)</f>
        <v/>
      </c>
      <c r="I2482" s="36" t="str">
        <f aca="false">IF(Raw_Export!$A2482="","",IFERROR(VLOOKUP(LOWER(TRIM(Raw_Export!H2482)),Maps!$D$2:$E$12,2,FALSE()),"Other"))</f>
        <v/>
      </c>
      <c r="J2482" s="36" t="str">
        <f aca="false">IF(Raw_Export!$A2482="","",IF(COUNTIF($A$2:A2482,A2482)&gt;1,"Duplicate",""))</f>
        <v/>
      </c>
      <c r="K2482" s="36" t="str">
        <f aca="false">IF(Raw_Export!$A2482="","",IF(J2482="Duplicate","Duplicate",IF(OR(C2482="UNMAPPED",D2482="UNMAPPED"),"Unmapped",IF(F2482=0,"Blank qty",IF(F2482&lt;0,"Return","OK")))))</f>
        <v/>
      </c>
      <c r="L2482" s="36" t="str">
        <f aca="false">IF(Raw_Export!$A2482="","",IF(OR(K2482="OK",K2482="Return"),1,0))</f>
        <v/>
      </c>
      <c r="M2482" s="37" t="str">
        <f aca="false">IF(Raw_Export!$A2482="","",B2482-WEEKDAY(B2482,2)+1)</f>
        <v/>
      </c>
    </row>
    <row r="2483" customFormat="false" ht="15" hidden="false" customHeight="false" outlineLevel="0" collapsed="false">
      <c r="A2483" s="36" t="str">
        <f aca="false">IF(Raw_Export!$A2483="","",TRIM(Raw_Export!A2483))</f>
        <v/>
      </c>
      <c r="B2483" s="37" t="str">
        <f aca="false">IF(Raw_Export!$A2483="","",IF(ISNUMBER(Raw_Export!B2483),Raw_Export!B2483,IF(MID(TRIM(Raw_Export!B2483),5,1)="-",DATE(LEFT(TRIM(Raw_Export!B2483),4),MID(TRIM(Raw_Export!B2483),6,2),RIGHT(TRIM(Raw_Export!B2483),2)),DATE(RIGHT(TRIM(Raw_Export!B2483),4),MATCH(MID(TRIM(Raw_Export!B2483),4,3),{"Jan","Feb","Mar","Apr","May","Jun","Jul","Aug","Sep","Oct","Nov","Dec"},0),LEFT(TRIM(Raw_Export!B2483),2)))))</f>
        <v/>
      </c>
      <c r="C2483" s="36" t="str">
        <f aca="false">IF(Raw_Export!$A2483="","",IFERROR(VLOOKUP(LOWER(TRIM(Raw_Export!C2483)),Maps!$A$2:$B$20,2,FALSE()),"UNMAPPED"))</f>
        <v/>
      </c>
      <c r="D2483" s="36" t="str">
        <f aca="false">IF(Raw_Export!$A2483="","",IFERROR(VLOOKUP(LOWER(TRIM(Raw_Export!D2483)),Maps!$G$2:$I$80,2,FALSE()),"UNMAPPED"))</f>
        <v/>
      </c>
      <c r="E2483" s="36" t="str">
        <f aca="false">IF(Raw_Export!$A2483="","",IFERROR(VLOOKUP(LOWER(TRIM(Raw_Export!D2483)),Maps!$G$2:$I$80,3,FALSE()),"UNMAPPED"))</f>
        <v/>
      </c>
      <c r="F2483" s="36" t="str">
        <f aca="false">IF(Raw_Export!$A2483="","",IFERROR(VALUE(TRIM(Raw_Export!E2483)),0))</f>
        <v/>
      </c>
      <c r="G2483" s="38" t="str">
        <f aca="false">IF(Raw_Export!$A2483="","",IFERROR(VALUE(SUBSTITUTE(SUBSTITUTE(UPPER(TRIM(Raw_Export!F2483)),"KES",""),",","")),0))</f>
        <v/>
      </c>
      <c r="H2483" s="38" t="str">
        <f aca="false">IF(Raw_Export!$A2483="","",F2483*G2483)</f>
        <v/>
      </c>
      <c r="I2483" s="36" t="str">
        <f aca="false">IF(Raw_Export!$A2483="","",IFERROR(VLOOKUP(LOWER(TRIM(Raw_Export!H2483)),Maps!$D$2:$E$12,2,FALSE()),"Other"))</f>
        <v/>
      </c>
      <c r="J2483" s="36" t="str">
        <f aca="false">IF(Raw_Export!$A2483="","",IF(COUNTIF($A$2:A2483,A2483)&gt;1,"Duplicate",""))</f>
        <v/>
      </c>
      <c r="K2483" s="36" t="str">
        <f aca="false">IF(Raw_Export!$A2483="","",IF(J2483="Duplicate","Duplicate",IF(OR(C2483="UNMAPPED",D2483="UNMAPPED"),"Unmapped",IF(F2483=0,"Blank qty",IF(F2483&lt;0,"Return","OK")))))</f>
        <v/>
      </c>
      <c r="L2483" s="36" t="str">
        <f aca="false">IF(Raw_Export!$A2483="","",IF(OR(K2483="OK",K2483="Return"),1,0))</f>
        <v/>
      </c>
      <c r="M2483" s="37" t="str">
        <f aca="false">IF(Raw_Export!$A2483="","",B2483-WEEKDAY(B2483,2)+1)</f>
        <v/>
      </c>
    </row>
    <row r="2484" customFormat="false" ht="15" hidden="false" customHeight="false" outlineLevel="0" collapsed="false">
      <c r="A2484" s="36" t="str">
        <f aca="false">IF(Raw_Export!$A2484="","",TRIM(Raw_Export!A2484))</f>
        <v/>
      </c>
      <c r="B2484" s="37" t="str">
        <f aca="false">IF(Raw_Export!$A2484="","",IF(ISNUMBER(Raw_Export!B2484),Raw_Export!B2484,IF(MID(TRIM(Raw_Export!B2484),5,1)="-",DATE(LEFT(TRIM(Raw_Export!B2484),4),MID(TRIM(Raw_Export!B2484),6,2),RIGHT(TRIM(Raw_Export!B2484),2)),DATE(RIGHT(TRIM(Raw_Export!B2484),4),MATCH(MID(TRIM(Raw_Export!B2484),4,3),{"Jan","Feb","Mar","Apr","May","Jun","Jul","Aug","Sep","Oct","Nov","Dec"},0),LEFT(TRIM(Raw_Export!B2484),2)))))</f>
        <v/>
      </c>
      <c r="C2484" s="36" t="str">
        <f aca="false">IF(Raw_Export!$A2484="","",IFERROR(VLOOKUP(LOWER(TRIM(Raw_Export!C2484)),Maps!$A$2:$B$20,2,FALSE()),"UNMAPPED"))</f>
        <v/>
      </c>
      <c r="D2484" s="36" t="str">
        <f aca="false">IF(Raw_Export!$A2484="","",IFERROR(VLOOKUP(LOWER(TRIM(Raw_Export!D2484)),Maps!$G$2:$I$80,2,FALSE()),"UNMAPPED"))</f>
        <v/>
      </c>
      <c r="E2484" s="36" t="str">
        <f aca="false">IF(Raw_Export!$A2484="","",IFERROR(VLOOKUP(LOWER(TRIM(Raw_Export!D2484)),Maps!$G$2:$I$80,3,FALSE()),"UNMAPPED"))</f>
        <v/>
      </c>
      <c r="F2484" s="36" t="str">
        <f aca="false">IF(Raw_Export!$A2484="","",IFERROR(VALUE(TRIM(Raw_Export!E2484)),0))</f>
        <v/>
      </c>
      <c r="G2484" s="38" t="str">
        <f aca="false">IF(Raw_Export!$A2484="","",IFERROR(VALUE(SUBSTITUTE(SUBSTITUTE(UPPER(TRIM(Raw_Export!F2484)),"KES",""),",","")),0))</f>
        <v/>
      </c>
      <c r="H2484" s="38" t="str">
        <f aca="false">IF(Raw_Export!$A2484="","",F2484*G2484)</f>
        <v/>
      </c>
      <c r="I2484" s="36" t="str">
        <f aca="false">IF(Raw_Export!$A2484="","",IFERROR(VLOOKUP(LOWER(TRIM(Raw_Export!H2484)),Maps!$D$2:$E$12,2,FALSE()),"Other"))</f>
        <v/>
      </c>
      <c r="J2484" s="36" t="str">
        <f aca="false">IF(Raw_Export!$A2484="","",IF(COUNTIF($A$2:A2484,A2484)&gt;1,"Duplicate",""))</f>
        <v/>
      </c>
      <c r="K2484" s="36" t="str">
        <f aca="false">IF(Raw_Export!$A2484="","",IF(J2484="Duplicate","Duplicate",IF(OR(C2484="UNMAPPED",D2484="UNMAPPED"),"Unmapped",IF(F2484=0,"Blank qty",IF(F2484&lt;0,"Return","OK")))))</f>
        <v/>
      </c>
      <c r="L2484" s="36" t="str">
        <f aca="false">IF(Raw_Export!$A2484="","",IF(OR(K2484="OK",K2484="Return"),1,0))</f>
        <v/>
      </c>
      <c r="M2484" s="37" t="str">
        <f aca="false">IF(Raw_Export!$A2484="","",B2484-WEEKDAY(B2484,2)+1)</f>
        <v/>
      </c>
    </row>
    <row r="2485" customFormat="false" ht="15" hidden="false" customHeight="false" outlineLevel="0" collapsed="false">
      <c r="A2485" s="36" t="str">
        <f aca="false">IF(Raw_Export!$A2485="","",TRIM(Raw_Export!A2485))</f>
        <v/>
      </c>
      <c r="B2485" s="37" t="str">
        <f aca="false">IF(Raw_Export!$A2485="","",IF(ISNUMBER(Raw_Export!B2485),Raw_Export!B2485,IF(MID(TRIM(Raw_Export!B2485),5,1)="-",DATE(LEFT(TRIM(Raw_Export!B2485),4),MID(TRIM(Raw_Export!B2485),6,2),RIGHT(TRIM(Raw_Export!B2485),2)),DATE(RIGHT(TRIM(Raw_Export!B2485),4),MATCH(MID(TRIM(Raw_Export!B2485),4,3),{"Jan","Feb","Mar","Apr","May","Jun","Jul","Aug","Sep","Oct","Nov","Dec"},0),LEFT(TRIM(Raw_Export!B2485),2)))))</f>
        <v/>
      </c>
      <c r="C2485" s="36" t="str">
        <f aca="false">IF(Raw_Export!$A2485="","",IFERROR(VLOOKUP(LOWER(TRIM(Raw_Export!C2485)),Maps!$A$2:$B$20,2,FALSE()),"UNMAPPED"))</f>
        <v/>
      </c>
      <c r="D2485" s="36" t="str">
        <f aca="false">IF(Raw_Export!$A2485="","",IFERROR(VLOOKUP(LOWER(TRIM(Raw_Export!D2485)),Maps!$G$2:$I$80,2,FALSE()),"UNMAPPED"))</f>
        <v/>
      </c>
      <c r="E2485" s="36" t="str">
        <f aca="false">IF(Raw_Export!$A2485="","",IFERROR(VLOOKUP(LOWER(TRIM(Raw_Export!D2485)),Maps!$G$2:$I$80,3,FALSE()),"UNMAPPED"))</f>
        <v/>
      </c>
      <c r="F2485" s="36" t="str">
        <f aca="false">IF(Raw_Export!$A2485="","",IFERROR(VALUE(TRIM(Raw_Export!E2485)),0))</f>
        <v/>
      </c>
      <c r="G2485" s="38" t="str">
        <f aca="false">IF(Raw_Export!$A2485="","",IFERROR(VALUE(SUBSTITUTE(SUBSTITUTE(UPPER(TRIM(Raw_Export!F2485)),"KES",""),",","")),0))</f>
        <v/>
      </c>
      <c r="H2485" s="38" t="str">
        <f aca="false">IF(Raw_Export!$A2485="","",F2485*G2485)</f>
        <v/>
      </c>
      <c r="I2485" s="36" t="str">
        <f aca="false">IF(Raw_Export!$A2485="","",IFERROR(VLOOKUP(LOWER(TRIM(Raw_Export!H2485)),Maps!$D$2:$E$12,2,FALSE()),"Other"))</f>
        <v/>
      </c>
      <c r="J2485" s="36" t="str">
        <f aca="false">IF(Raw_Export!$A2485="","",IF(COUNTIF($A$2:A2485,A2485)&gt;1,"Duplicate",""))</f>
        <v/>
      </c>
      <c r="K2485" s="36" t="str">
        <f aca="false">IF(Raw_Export!$A2485="","",IF(J2485="Duplicate","Duplicate",IF(OR(C2485="UNMAPPED",D2485="UNMAPPED"),"Unmapped",IF(F2485=0,"Blank qty",IF(F2485&lt;0,"Return","OK")))))</f>
        <v/>
      </c>
      <c r="L2485" s="36" t="str">
        <f aca="false">IF(Raw_Export!$A2485="","",IF(OR(K2485="OK",K2485="Return"),1,0))</f>
        <v/>
      </c>
      <c r="M2485" s="37" t="str">
        <f aca="false">IF(Raw_Export!$A2485="","",B2485-WEEKDAY(B2485,2)+1)</f>
        <v/>
      </c>
    </row>
    <row r="2486" customFormat="false" ht="15" hidden="false" customHeight="false" outlineLevel="0" collapsed="false">
      <c r="A2486" s="36" t="str">
        <f aca="false">IF(Raw_Export!$A2486="","",TRIM(Raw_Export!A2486))</f>
        <v/>
      </c>
      <c r="B2486" s="37" t="str">
        <f aca="false">IF(Raw_Export!$A2486="","",IF(ISNUMBER(Raw_Export!B2486),Raw_Export!B2486,IF(MID(TRIM(Raw_Export!B2486),5,1)="-",DATE(LEFT(TRIM(Raw_Export!B2486),4),MID(TRIM(Raw_Export!B2486),6,2),RIGHT(TRIM(Raw_Export!B2486),2)),DATE(RIGHT(TRIM(Raw_Export!B2486),4),MATCH(MID(TRIM(Raw_Export!B2486),4,3),{"Jan","Feb","Mar","Apr","May","Jun","Jul","Aug","Sep","Oct","Nov","Dec"},0),LEFT(TRIM(Raw_Export!B2486),2)))))</f>
        <v/>
      </c>
      <c r="C2486" s="36" t="str">
        <f aca="false">IF(Raw_Export!$A2486="","",IFERROR(VLOOKUP(LOWER(TRIM(Raw_Export!C2486)),Maps!$A$2:$B$20,2,FALSE()),"UNMAPPED"))</f>
        <v/>
      </c>
      <c r="D2486" s="36" t="str">
        <f aca="false">IF(Raw_Export!$A2486="","",IFERROR(VLOOKUP(LOWER(TRIM(Raw_Export!D2486)),Maps!$G$2:$I$80,2,FALSE()),"UNMAPPED"))</f>
        <v/>
      </c>
      <c r="E2486" s="36" t="str">
        <f aca="false">IF(Raw_Export!$A2486="","",IFERROR(VLOOKUP(LOWER(TRIM(Raw_Export!D2486)),Maps!$G$2:$I$80,3,FALSE()),"UNMAPPED"))</f>
        <v/>
      </c>
      <c r="F2486" s="36" t="str">
        <f aca="false">IF(Raw_Export!$A2486="","",IFERROR(VALUE(TRIM(Raw_Export!E2486)),0))</f>
        <v/>
      </c>
      <c r="G2486" s="38" t="str">
        <f aca="false">IF(Raw_Export!$A2486="","",IFERROR(VALUE(SUBSTITUTE(SUBSTITUTE(UPPER(TRIM(Raw_Export!F2486)),"KES",""),",","")),0))</f>
        <v/>
      </c>
      <c r="H2486" s="38" t="str">
        <f aca="false">IF(Raw_Export!$A2486="","",F2486*G2486)</f>
        <v/>
      </c>
      <c r="I2486" s="36" t="str">
        <f aca="false">IF(Raw_Export!$A2486="","",IFERROR(VLOOKUP(LOWER(TRIM(Raw_Export!H2486)),Maps!$D$2:$E$12,2,FALSE()),"Other"))</f>
        <v/>
      </c>
      <c r="J2486" s="36" t="str">
        <f aca="false">IF(Raw_Export!$A2486="","",IF(COUNTIF($A$2:A2486,A2486)&gt;1,"Duplicate",""))</f>
        <v/>
      </c>
      <c r="K2486" s="36" t="str">
        <f aca="false">IF(Raw_Export!$A2486="","",IF(J2486="Duplicate","Duplicate",IF(OR(C2486="UNMAPPED",D2486="UNMAPPED"),"Unmapped",IF(F2486=0,"Blank qty",IF(F2486&lt;0,"Return","OK")))))</f>
        <v/>
      </c>
      <c r="L2486" s="36" t="str">
        <f aca="false">IF(Raw_Export!$A2486="","",IF(OR(K2486="OK",K2486="Return"),1,0))</f>
        <v/>
      </c>
      <c r="M2486" s="37" t="str">
        <f aca="false">IF(Raw_Export!$A2486="","",B2486-WEEKDAY(B2486,2)+1)</f>
        <v/>
      </c>
    </row>
    <row r="2487" customFormat="false" ht="15" hidden="false" customHeight="false" outlineLevel="0" collapsed="false">
      <c r="A2487" s="36" t="str">
        <f aca="false">IF(Raw_Export!$A2487="","",TRIM(Raw_Export!A2487))</f>
        <v/>
      </c>
      <c r="B2487" s="37" t="str">
        <f aca="false">IF(Raw_Export!$A2487="","",IF(ISNUMBER(Raw_Export!B2487),Raw_Export!B2487,IF(MID(TRIM(Raw_Export!B2487),5,1)="-",DATE(LEFT(TRIM(Raw_Export!B2487),4),MID(TRIM(Raw_Export!B2487),6,2),RIGHT(TRIM(Raw_Export!B2487),2)),DATE(RIGHT(TRIM(Raw_Export!B2487),4),MATCH(MID(TRIM(Raw_Export!B2487),4,3),{"Jan","Feb","Mar","Apr","May","Jun","Jul","Aug","Sep","Oct","Nov","Dec"},0),LEFT(TRIM(Raw_Export!B2487),2)))))</f>
        <v/>
      </c>
      <c r="C2487" s="36" t="str">
        <f aca="false">IF(Raw_Export!$A2487="","",IFERROR(VLOOKUP(LOWER(TRIM(Raw_Export!C2487)),Maps!$A$2:$B$20,2,FALSE()),"UNMAPPED"))</f>
        <v/>
      </c>
      <c r="D2487" s="36" t="str">
        <f aca="false">IF(Raw_Export!$A2487="","",IFERROR(VLOOKUP(LOWER(TRIM(Raw_Export!D2487)),Maps!$G$2:$I$80,2,FALSE()),"UNMAPPED"))</f>
        <v/>
      </c>
      <c r="E2487" s="36" t="str">
        <f aca="false">IF(Raw_Export!$A2487="","",IFERROR(VLOOKUP(LOWER(TRIM(Raw_Export!D2487)),Maps!$G$2:$I$80,3,FALSE()),"UNMAPPED"))</f>
        <v/>
      </c>
      <c r="F2487" s="36" t="str">
        <f aca="false">IF(Raw_Export!$A2487="","",IFERROR(VALUE(TRIM(Raw_Export!E2487)),0))</f>
        <v/>
      </c>
      <c r="G2487" s="38" t="str">
        <f aca="false">IF(Raw_Export!$A2487="","",IFERROR(VALUE(SUBSTITUTE(SUBSTITUTE(UPPER(TRIM(Raw_Export!F2487)),"KES",""),",","")),0))</f>
        <v/>
      </c>
      <c r="H2487" s="38" t="str">
        <f aca="false">IF(Raw_Export!$A2487="","",F2487*G2487)</f>
        <v/>
      </c>
      <c r="I2487" s="36" t="str">
        <f aca="false">IF(Raw_Export!$A2487="","",IFERROR(VLOOKUP(LOWER(TRIM(Raw_Export!H2487)),Maps!$D$2:$E$12,2,FALSE()),"Other"))</f>
        <v/>
      </c>
      <c r="J2487" s="36" t="str">
        <f aca="false">IF(Raw_Export!$A2487="","",IF(COUNTIF($A$2:A2487,A2487)&gt;1,"Duplicate",""))</f>
        <v/>
      </c>
      <c r="K2487" s="36" t="str">
        <f aca="false">IF(Raw_Export!$A2487="","",IF(J2487="Duplicate","Duplicate",IF(OR(C2487="UNMAPPED",D2487="UNMAPPED"),"Unmapped",IF(F2487=0,"Blank qty",IF(F2487&lt;0,"Return","OK")))))</f>
        <v/>
      </c>
      <c r="L2487" s="36" t="str">
        <f aca="false">IF(Raw_Export!$A2487="","",IF(OR(K2487="OK",K2487="Return"),1,0))</f>
        <v/>
      </c>
      <c r="M2487" s="37" t="str">
        <f aca="false">IF(Raw_Export!$A2487="","",B2487-WEEKDAY(B2487,2)+1)</f>
        <v/>
      </c>
    </row>
    <row r="2488" customFormat="false" ht="15" hidden="false" customHeight="false" outlineLevel="0" collapsed="false">
      <c r="A2488" s="36" t="str">
        <f aca="false">IF(Raw_Export!$A2488="","",TRIM(Raw_Export!A2488))</f>
        <v/>
      </c>
      <c r="B2488" s="37" t="str">
        <f aca="false">IF(Raw_Export!$A2488="","",IF(ISNUMBER(Raw_Export!B2488),Raw_Export!B2488,IF(MID(TRIM(Raw_Export!B2488),5,1)="-",DATE(LEFT(TRIM(Raw_Export!B2488),4),MID(TRIM(Raw_Export!B2488),6,2),RIGHT(TRIM(Raw_Export!B2488),2)),DATE(RIGHT(TRIM(Raw_Export!B2488),4),MATCH(MID(TRIM(Raw_Export!B2488),4,3),{"Jan","Feb","Mar","Apr","May","Jun","Jul","Aug","Sep","Oct","Nov","Dec"},0),LEFT(TRIM(Raw_Export!B2488),2)))))</f>
        <v/>
      </c>
      <c r="C2488" s="36" t="str">
        <f aca="false">IF(Raw_Export!$A2488="","",IFERROR(VLOOKUP(LOWER(TRIM(Raw_Export!C2488)),Maps!$A$2:$B$20,2,FALSE()),"UNMAPPED"))</f>
        <v/>
      </c>
      <c r="D2488" s="36" t="str">
        <f aca="false">IF(Raw_Export!$A2488="","",IFERROR(VLOOKUP(LOWER(TRIM(Raw_Export!D2488)),Maps!$G$2:$I$80,2,FALSE()),"UNMAPPED"))</f>
        <v/>
      </c>
      <c r="E2488" s="36" t="str">
        <f aca="false">IF(Raw_Export!$A2488="","",IFERROR(VLOOKUP(LOWER(TRIM(Raw_Export!D2488)),Maps!$G$2:$I$80,3,FALSE()),"UNMAPPED"))</f>
        <v/>
      </c>
      <c r="F2488" s="36" t="str">
        <f aca="false">IF(Raw_Export!$A2488="","",IFERROR(VALUE(TRIM(Raw_Export!E2488)),0))</f>
        <v/>
      </c>
      <c r="G2488" s="38" t="str">
        <f aca="false">IF(Raw_Export!$A2488="","",IFERROR(VALUE(SUBSTITUTE(SUBSTITUTE(UPPER(TRIM(Raw_Export!F2488)),"KES",""),",","")),0))</f>
        <v/>
      </c>
      <c r="H2488" s="38" t="str">
        <f aca="false">IF(Raw_Export!$A2488="","",F2488*G2488)</f>
        <v/>
      </c>
      <c r="I2488" s="36" t="str">
        <f aca="false">IF(Raw_Export!$A2488="","",IFERROR(VLOOKUP(LOWER(TRIM(Raw_Export!H2488)),Maps!$D$2:$E$12,2,FALSE()),"Other"))</f>
        <v/>
      </c>
      <c r="J2488" s="36" t="str">
        <f aca="false">IF(Raw_Export!$A2488="","",IF(COUNTIF($A$2:A2488,A2488)&gt;1,"Duplicate",""))</f>
        <v/>
      </c>
      <c r="K2488" s="36" t="str">
        <f aca="false">IF(Raw_Export!$A2488="","",IF(J2488="Duplicate","Duplicate",IF(OR(C2488="UNMAPPED",D2488="UNMAPPED"),"Unmapped",IF(F2488=0,"Blank qty",IF(F2488&lt;0,"Return","OK")))))</f>
        <v/>
      </c>
      <c r="L2488" s="36" t="str">
        <f aca="false">IF(Raw_Export!$A2488="","",IF(OR(K2488="OK",K2488="Return"),1,0))</f>
        <v/>
      </c>
      <c r="M2488" s="37" t="str">
        <f aca="false">IF(Raw_Export!$A2488="","",B2488-WEEKDAY(B2488,2)+1)</f>
        <v/>
      </c>
    </row>
    <row r="2489" customFormat="false" ht="15" hidden="false" customHeight="false" outlineLevel="0" collapsed="false">
      <c r="A2489" s="36" t="str">
        <f aca="false">IF(Raw_Export!$A2489="","",TRIM(Raw_Export!A2489))</f>
        <v/>
      </c>
      <c r="B2489" s="37" t="str">
        <f aca="false">IF(Raw_Export!$A2489="","",IF(ISNUMBER(Raw_Export!B2489),Raw_Export!B2489,IF(MID(TRIM(Raw_Export!B2489),5,1)="-",DATE(LEFT(TRIM(Raw_Export!B2489),4),MID(TRIM(Raw_Export!B2489),6,2),RIGHT(TRIM(Raw_Export!B2489),2)),DATE(RIGHT(TRIM(Raw_Export!B2489),4),MATCH(MID(TRIM(Raw_Export!B2489),4,3),{"Jan","Feb","Mar","Apr","May","Jun","Jul","Aug","Sep","Oct","Nov","Dec"},0),LEFT(TRIM(Raw_Export!B2489),2)))))</f>
        <v/>
      </c>
      <c r="C2489" s="36" t="str">
        <f aca="false">IF(Raw_Export!$A2489="","",IFERROR(VLOOKUP(LOWER(TRIM(Raw_Export!C2489)),Maps!$A$2:$B$20,2,FALSE()),"UNMAPPED"))</f>
        <v/>
      </c>
      <c r="D2489" s="36" t="str">
        <f aca="false">IF(Raw_Export!$A2489="","",IFERROR(VLOOKUP(LOWER(TRIM(Raw_Export!D2489)),Maps!$G$2:$I$80,2,FALSE()),"UNMAPPED"))</f>
        <v/>
      </c>
      <c r="E2489" s="36" t="str">
        <f aca="false">IF(Raw_Export!$A2489="","",IFERROR(VLOOKUP(LOWER(TRIM(Raw_Export!D2489)),Maps!$G$2:$I$80,3,FALSE()),"UNMAPPED"))</f>
        <v/>
      </c>
      <c r="F2489" s="36" t="str">
        <f aca="false">IF(Raw_Export!$A2489="","",IFERROR(VALUE(TRIM(Raw_Export!E2489)),0))</f>
        <v/>
      </c>
      <c r="G2489" s="38" t="str">
        <f aca="false">IF(Raw_Export!$A2489="","",IFERROR(VALUE(SUBSTITUTE(SUBSTITUTE(UPPER(TRIM(Raw_Export!F2489)),"KES",""),",","")),0))</f>
        <v/>
      </c>
      <c r="H2489" s="38" t="str">
        <f aca="false">IF(Raw_Export!$A2489="","",F2489*G2489)</f>
        <v/>
      </c>
      <c r="I2489" s="36" t="str">
        <f aca="false">IF(Raw_Export!$A2489="","",IFERROR(VLOOKUP(LOWER(TRIM(Raw_Export!H2489)),Maps!$D$2:$E$12,2,FALSE()),"Other"))</f>
        <v/>
      </c>
      <c r="J2489" s="36" t="str">
        <f aca="false">IF(Raw_Export!$A2489="","",IF(COUNTIF($A$2:A2489,A2489)&gt;1,"Duplicate",""))</f>
        <v/>
      </c>
      <c r="K2489" s="36" t="str">
        <f aca="false">IF(Raw_Export!$A2489="","",IF(J2489="Duplicate","Duplicate",IF(OR(C2489="UNMAPPED",D2489="UNMAPPED"),"Unmapped",IF(F2489=0,"Blank qty",IF(F2489&lt;0,"Return","OK")))))</f>
        <v/>
      </c>
      <c r="L2489" s="36" t="str">
        <f aca="false">IF(Raw_Export!$A2489="","",IF(OR(K2489="OK",K2489="Return"),1,0))</f>
        <v/>
      </c>
      <c r="M2489" s="37" t="str">
        <f aca="false">IF(Raw_Export!$A2489="","",B2489-WEEKDAY(B2489,2)+1)</f>
        <v/>
      </c>
    </row>
    <row r="2490" customFormat="false" ht="15" hidden="false" customHeight="false" outlineLevel="0" collapsed="false">
      <c r="A2490" s="36" t="str">
        <f aca="false">IF(Raw_Export!$A2490="","",TRIM(Raw_Export!A2490))</f>
        <v/>
      </c>
      <c r="B2490" s="37" t="str">
        <f aca="false">IF(Raw_Export!$A2490="","",IF(ISNUMBER(Raw_Export!B2490),Raw_Export!B2490,IF(MID(TRIM(Raw_Export!B2490),5,1)="-",DATE(LEFT(TRIM(Raw_Export!B2490),4),MID(TRIM(Raw_Export!B2490),6,2),RIGHT(TRIM(Raw_Export!B2490),2)),DATE(RIGHT(TRIM(Raw_Export!B2490),4),MATCH(MID(TRIM(Raw_Export!B2490),4,3),{"Jan","Feb","Mar","Apr","May","Jun","Jul","Aug","Sep","Oct","Nov","Dec"},0),LEFT(TRIM(Raw_Export!B2490),2)))))</f>
        <v/>
      </c>
      <c r="C2490" s="36" t="str">
        <f aca="false">IF(Raw_Export!$A2490="","",IFERROR(VLOOKUP(LOWER(TRIM(Raw_Export!C2490)),Maps!$A$2:$B$20,2,FALSE()),"UNMAPPED"))</f>
        <v/>
      </c>
      <c r="D2490" s="36" t="str">
        <f aca="false">IF(Raw_Export!$A2490="","",IFERROR(VLOOKUP(LOWER(TRIM(Raw_Export!D2490)),Maps!$G$2:$I$80,2,FALSE()),"UNMAPPED"))</f>
        <v/>
      </c>
      <c r="E2490" s="36" t="str">
        <f aca="false">IF(Raw_Export!$A2490="","",IFERROR(VLOOKUP(LOWER(TRIM(Raw_Export!D2490)),Maps!$G$2:$I$80,3,FALSE()),"UNMAPPED"))</f>
        <v/>
      </c>
      <c r="F2490" s="36" t="str">
        <f aca="false">IF(Raw_Export!$A2490="","",IFERROR(VALUE(TRIM(Raw_Export!E2490)),0))</f>
        <v/>
      </c>
      <c r="G2490" s="38" t="str">
        <f aca="false">IF(Raw_Export!$A2490="","",IFERROR(VALUE(SUBSTITUTE(SUBSTITUTE(UPPER(TRIM(Raw_Export!F2490)),"KES",""),",","")),0))</f>
        <v/>
      </c>
      <c r="H2490" s="38" t="str">
        <f aca="false">IF(Raw_Export!$A2490="","",F2490*G2490)</f>
        <v/>
      </c>
      <c r="I2490" s="36" t="str">
        <f aca="false">IF(Raw_Export!$A2490="","",IFERROR(VLOOKUP(LOWER(TRIM(Raw_Export!H2490)),Maps!$D$2:$E$12,2,FALSE()),"Other"))</f>
        <v/>
      </c>
      <c r="J2490" s="36" t="str">
        <f aca="false">IF(Raw_Export!$A2490="","",IF(COUNTIF($A$2:A2490,A2490)&gt;1,"Duplicate",""))</f>
        <v/>
      </c>
      <c r="K2490" s="36" t="str">
        <f aca="false">IF(Raw_Export!$A2490="","",IF(J2490="Duplicate","Duplicate",IF(OR(C2490="UNMAPPED",D2490="UNMAPPED"),"Unmapped",IF(F2490=0,"Blank qty",IF(F2490&lt;0,"Return","OK")))))</f>
        <v/>
      </c>
      <c r="L2490" s="36" t="str">
        <f aca="false">IF(Raw_Export!$A2490="","",IF(OR(K2490="OK",K2490="Return"),1,0))</f>
        <v/>
      </c>
      <c r="M2490" s="37" t="str">
        <f aca="false">IF(Raw_Export!$A2490="","",B2490-WEEKDAY(B2490,2)+1)</f>
        <v/>
      </c>
    </row>
    <row r="2491" customFormat="false" ht="15" hidden="false" customHeight="false" outlineLevel="0" collapsed="false">
      <c r="A2491" s="36" t="str">
        <f aca="false">IF(Raw_Export!$A2491="","",TRIM(Raw_Export!A2491))</f>
        <v/>
      </c>
      <c r="B2491" s="37" t="str">
        <f aca="false">IF(Raw_Export!$A2491="","",IF(ISNUMBER(Raw_Export!B2491),Raw_Export!B2491,IF(MID(TRIM(Raw_Export!B2491),5,1)="-",DATE(LEFT(TRIM(Raw_Export!B2491),4),MID(TRIM(Raw_Export!B2491),6,2),RIGHT(TRIM(Raw_Export!B2491),2)),DATE(RIGHT(TRIM(Raw_Export!B2491),4),MATCH(MID(TRIM(Raw_Export!B2491),4,3),{"Jan","Feb","Mar","Apr","May","Jun","Jul","Aug","Sep","Oct","Nov","Dec"},0),LEFT(TRIM(Raw_Export!B2491),2)))))</f>
        <v/>
      </c>
      <c r="C2491" s="36" t="str">
        <f aca="false">IF(Raw_Export!$A2491="","",IFERROR(VLOOKUP(LOWER(TRIM(Raw_Export!C2491)),Maps!$A$2:$B$20,2,FALSE()),"UNMAPPED"))</f>
        <v/>
      </c>
      <c r="D2491" s="36" t="str">
        <f aca="false">IF(Raw_Export!$A2491="","",IFERROR(VLOOKUP(LOWER(TRIM(Raw_Export!D2491)),Maps!$G$2:$I$80,2,FALSE()),"UNMAPPED"))</f>
        <v/>
      </c>
      <c r="E2491" s="36" t="str">
        <f aca="false">IF(Raw_Export!$A2491="","",IFERROR(VLOOKUP(LOWER(TRIM(Raw_Export!D2491)),Maps!$G$2:$I$80,3,FALSE()),"UNMAPPED"))</f>
        <v/>
      </c>
      <c r="F2491" s="36" t="str">
        <f aca="false">IF(Raw_Export!$A2491="","",IFERROR(VALUE(TRIM(Raw_Export!E2491)),0))</f>
        <v/>
      </c>
      <c r="G2491" s="38" t="str">
        <f aca="false">IF(Raw_Export!$A2491="","",IFERROR(VALUE(SUBSTITUTE(SUBSTITUTE(UPPER(TRIM(Raw_Export!F2491)),"KES",""),",","")),0))</f>
        <v/>
      </c>
      <c r="H2491" s="38" t="str">
        <f aca="false">IF(Raw_Export!$A2491="","",F2491*G2491)</f>
        <v/>
      </c>
      <c r="I2491" s="36" t="str">
        <f aca="false">IF(Raw_Export!$A2491="","",IFERROR(VLOOKUP(LOWER(TRIM(Raw_Export!H2491)),Maps!$D$2:$E$12,2,FALSE()),"Other"))</f>
        <v/>
      </c>
      <c r="J2491" s="36" t="str">
        <f aca="false">IF(Raw_Export!$A2491="","",IF(COUNTIF($A$2:A2491,A2491)&gt;1,"Duplicate",""))</f>
        <v/>
      </c>
      <c r="K2491" s="36" t="str">
        <f aca="false">IF(Raw_Export!$A2491="","",IF(J2491="Duplicate","Duplicate",IF(OR(C2491="UNMAPPED",D2491="UNMAPPED"),"Unmapped",IF(F2491=0,"Blank qty",IF(F2491&lt;0,"Return","OK")))))</f>
        <v/>
      </c>
      <c r="L2491" s="36" t="str">
        <f aca="false">IF(Raw_Export!$A2491="","",IF(OR(K2491="OK",K2491="Return"),1,0))</f>
        <v/>
      </c>
      <c r="M2491" s="37" t="str">
        <f aca="false">IF(Raw_Export!$A2491="","",B2491-WEEKDAY(B2491,2)+1)</f>
        <v/>
      </c>
    </row>
    <row r="2492" customFormat="false" ht="15" hidden="false" customHeight="false" outlineLevel="0" collapsed="false">
      <c r="A2492" s="36" t="str">
        <f aca="false">IF(Raw_Export!$A2492="","",TRIM(Raw_Export!A2492))</f>
        <v/>
      </c>
      <c r="B2492" s="37" t="str">
        <f aca="false">IF(Raw_Export!$A2492="","",IF(ISNUMBER(Raw_Export!B2492),Raw_Export!B2492,IF(MID(TRIM(Raw_Export!B2492),5,1)="-",DATE(LEFT(TRIM(Raw_Export!B2492),4),MID(TRIM(Raw_Export!B2492),6,2),RIGHT(TRIM(Raw_Export!B2492),2)),DATE(RIGHT(TRIM(Raw_Export!B2492),4),MATCH(MID(TRIM(Raw_Export!B2492),4,3),{"Jan","Feb","Mar","Apr","May","Jun","Jul","Aug","Sep","Oct","Nov","Dec"},0),LEFT(TRIM(Raw_Export!B2492),2)))))</f>
        <v/>
      </c>
      <c r="C2492" s="36" t="str">
        <f aca="false">IF(Raw_Export!$A2492="","",IFERROR(VLOOKUP(LOWER(TRIM(Raw_Export!C2492)),Maps!$A$2:$B$20,2,FALSE()),"UNMAPPED"))</f>
        <v/>
      </c>
      <c r="D2492" s="36" t="str">
        <f aca="false">IF(Raw_Export!$A2492="","",IFERROR(VLOOKUP(LOWER(TRIM(Raw_Export!D2492)),Maps!$G$2:$I$80,2,FALSE()),"UNMAPPED"))</f>
        <v/>
      </c>
      <c r="E2492" s="36" t="str">
        <f aca="false">IF(Raw_Export!$A2492="","",IFERROR(VLOOKUP(LOWER(TRIM(Raw_Export!D2492)),Maps!$G$2:$I$80,3,FALSE()),"UNMAPPED"))</f>
        <v/>
      </c>
      <c r="F2492" s="36" t="str">
        <f aca="false">IF(Raw_Export!$A2492="","",IFERROR(VALUE(TRIM(Raw_Export!E2492)),0))</f>
        <v/>
      </c>
      <c r="G2492" s="38" t="str">
        <f aca="false">IF(Raw_Export!$A2492="","",IFERROR(VALUE(SUBSTITUTE(SUBSTITUTE(UPPER(TRIM(Raw_Export!F2492)),"KES",""),",","")),0))</f>
        <v/>
      </c>
      <c r="H2492" s="38" t="str">
        <f aca="false">IF(Raw_Export!$A2492="","",F2492*G2492)</f>
        <v/>
      </c>
      <c r="I2492" s="36" t="str">
        <f aca="false">IF(Raw_Export!$A2492="","",IFERROR(VLOOKUP(LOWER(TRIM(Raw_Export!H2492)),Maps!$D$2:$E$12,2,FALSE()),"Other"))</f>
        <v/>
      </c>
      <c r="J2492" s="36" t="str">
        <f aca="false">IF(Raw_Export!$A2492="","",IF(COUNTIF($A$2:A2492,A2492)&gt;1,"Duplicate",""))</f>
        <v/>
      </c>
      <c r="K2492" s="36" t="str">
        <f aca="false">IF(Raw_Export!$A2492="","",IF(J2492="Duplicate","Duplicate",IF(OR(C2492="UNMAPPED",D2492="UNMAPPED"),"Unmapped",IF(F2492=0,"Blank qty",IF(F2492&lt;0,"Return","OK")))))</f>
        <v/>
      </c>
      <c r="L2492" s="36" t="str">
        <f aca="false">IF(Raw_Export!$A2492="","",IF(OR(K2492="OK",K2492="Return"),1,0))</f>
        <v/>
      </c>
      <c r="M2492" s="37" t="str">
        <f aca="false">IF(Raw_Export!$A2492="","",B2492-WEEKDAY(B2492,2)+1)</f>
        <v/>
      </c>
    </row>
    <row r="2493" customFormat="false" ht="15" hidden="false" customHeight="false" outlineLevel="0" collapsed="false">
      <c r="A2493" s="36" t="str">
        <f aca="false">IF(Raw_Export!$A2493="","",TRIM(Raw_Export!A2493))</f>
        <v/>
      </c>
      <c r="B2493" s="37" t="str">
        <f aca="false">IF(Raw_Export!$A2493="","",IF(ISNUMBER(Raw_Export!B2493),Raw_Export!B2493,IF(MID(TRIM(Raw_Export!B2493),5,1)="-",DATE(LEFT(TRIM(Raw_Export!B2493),4),MID(TRIM(Raw_Export!B2493),6,2),RIGHT(TRIM(Raw_Export!B2493),2)),DATE(RIGHT(TRIM(Raw_Export!B2493),4),MATCH(MID(TRIM(Raw_Export!B2493),4,3),{"Jan","Feb","Mar","Apr","May","Jun","Jul","Aug","Sep","Oct","Nov","Dec"},0),LEFT(TRIM(Raw_Export!B2493),2)))))</f>
        <v/>
      </c>
      <c r="C2493" s="36" t="str">
        <f aca="false">IF(Raw_Export!$A2493="","",IFERROR(VLOOKUP(LOWER(TRIM(Raw_Export!C2493)),Maps!$A$2:$B$20,2,FALSE()),"UNMAPPED"))</f>
        <v/>
      </c>
      <c r="D2493" s="36" t="str">
        <f aca="false">IF(Raw_Export!$A2493="","",IFERROR(VLOOKUP(LOWER(TRIM(Raw_Export!D2493)),Maps!$G$2:$I$80,2,FALSE()),"UNMAPPED"))</f>
        <v/>
      </c>
      <c r="E2493" s="36" t="str">
        <f aca="false">IF(Raw_Export!$A2493="","",IFERROR(VLOOKUP(LOWER(TRIM(Raw_Export!D2493)),Maps!$G$2:$I$80,3,FALSE()),"UNMAPPED"))</f>
        <v/>
      </c>
      <c r="F2493" s="36" t="str">
        <f aca="false">IF(Raw_Export!$A2493="","",IFERROR(VALUE(TRIM(Raw_Export!E2493)),0))</f>
        <v/>
      </c>
      <c r="G2493" s="38" t="str">
        <f aca="false">IF(Raw_Export!$A2493="","",IFERROR(VALUE(SUBSTITUTE(SUBSTITUTE(UPPER(TRIM(Raw_Export!F2493)),"KES",""),",","")),0))</f>
        <v/>
      </c>
      <c r="H2493" s="38" t="str">
        <f aca="false">IF(Raw_Export!$A2493="","",F2493*G2493)</f>
        <v/>
      </c>
      <c r="I2493" s="36" t="str">
        <f aca="false">IF(Raw_Export!$A2493="","",IFERROR(VLOOKUP(LOWER(TRIM(Raw_Export!H2493)),Maps!$D$2:$E$12,2,FALSE()),"Other"))</f>
        <v/>
      </c>
      <c r="J2493" s="36" t="str">
        <f aca="false">IF(Raw_Export!$A2493="","",IF(COUNTIF($A$2:A2493,A2493)&gt;1,"Duplicate",""))</f>
        <v/>
      </c>
      <c r="K2493" s="36" t="str">
        <f aca="false">IF(Raw_Export!$A2493="","",IF(J2493="Duplicate","Duplicate",IF(OR(C2493="UNMAPPED",D2493="UNMAPPED"),"Unmapped",IF(F2493=0,"Blank qty",IF(F2493&lt;0,"Return","OK")))))</f>
        <v/>
      </c>
      <c r="L2493" s="36" t="str">
        <f aca="false">IF(Raw_Export!$A2493="","",IF(OR(K2493="OK",K2493="Return"),1,0))</f>
        <v/>
      </c>
      <c r="M2493" s="37" t="str">
        <f aca="false">IF(Raw_Export!$A2493="","",B2493-WEEKDAY(B2493,2)+1)</f>
        <v/>
      </c>
    </row>
    <row r="2494" customFormat="false" ht="15" hidden="false" customHeight="false" outlineLevel="0" collapsed="false">
      <c r="A2494" s="36" t="str">
        <f aca="false">IF(Raw_Export!$A2494="","",TRIM(Raw_Export!A2494))</f>
        <v/>
      </c>
      <c r="B2494" s="37" t="str">
        <f aca="false">IF(Raw_Export!$A2494="","",IF(ISNUMBER(Raw_Export!B2494),Raw_Export!B2494,IF(MID(TRIM(Raw_Export!B2494),5,1)="-",DATE(LEFT(TRIM(Raw_Export!B2494),4),MID(TRIM(Raw_Export!B2494),6,2),RIGHT(TRIM(Raw_Export!B2494),2)),DATE(RIGHT(TRIM(Raw_Export!B2494),4),MATCH(MID(TRIM(Raw_Export!B2494),4,3),{"Jan","Feb","Mar","Apr","May","Jun","Jul","Aug","Sep","Oct","Nov","Dec"},0),LEFT(TRIM(Raw_Export!B2494),2)))))</f>
        <v/>
      </c>
      <c r="C2494" s="36" t="str">
        <f aca="false">IF(Raw_Export!$A2494="","",IFERROR(VLOOKUP(LOWER(TRIM(Raw_Export!C2494)),Maps!$A$2:$B$20,2,FALSE()),"UNMAPPED"))</f>
        <v/>
      </c>
      <c r="D2494" s="36" t="str">
        <f aca="false">IF(Raw_Export!$A2494="","",IFERROR(VLOOKUP(LOWER(TRIM(Raw_Export!D2494)),Maps!$G$2:$I$80,2,FALSE()),"UNMAPPED"))</f>
        <v/>
      </c>
      <c r="E2494" s="36" t="str">
        <f aca="false">IF(Raw_Export!$A2494="","",IFERROR(VLOOKUP(LOWER(TRIM(Raw_Export!D2494)),Maps!$G$2:$I$80,3,FALSE()),"UNMAPPED"))</f>
        <v/>
      </c>
      <c r="F2494" s="36" t="str">
        <f aca="false">IF(Raw_Export!$A2494="","",IFERROR(VALUE(TRIM(Raw_Export!E2494)),0))</f>
        <v/>
      </c>
      <c r="G2494" s="38" t="str">
        <f aca="false">IF(Raw_Export!$A2494="","",IFERROR(VALUE(SUBSTITUTE(SUBSTITUTE(UPPER(TRIM(Raw_Export!F2494)),"KES",""),",","")),0))</f>
        <v/>
      </c>
      <c r="H2494" s="38" t="str">
        <f aca="false">IF(Raw_Export!$A2494="","",F2494*G2494)</f>
        <v/>
      </c>
      <c r="I2494" s="36" t="str">
        <f aca="false">IF(Raw_Export!$A2494="","",IFERROR(VLOOKUP(LOWER(TRIM(Raw_Export!H2494)),Maps!$D$2:$E$12,2,FALSE()),"Other"))</f>
        <v/>
      </c>
      <c r="J2494" s="36" t="str">
        <f aca="false">IF(Raw_Export!$A2494="","",IF(COUNTIF($A$2:A2494,A2494)&gt;1,"Duplicate",""))</f>
        <v/>
      </c>
      <c r="K2494" s="36" t="str">
        <f aca="false">IF(Raw_Export!$A2494="","",IF(J2494="Duplicate","Duplicate",IF(OR(C2494="UNMAPPED",D2494="UNMAPPED"),"Unmapped",IF(F2494=0,"Blank qty",IF(F2494&lt;0,"Return","OK")))))</f>
        <v/>
      </c>
      <c r="L2494" s="36" t="str">
        <f aca="false">IF(Raw_Export!$A2494="","",IF(OR(K2494="OK",K2494="Return"),1,0))</f>
        <v/>
      </c>
      <c r="M2494" s="37" t="str">
        <f aca="false">IF(Raw_Export!$A2494="","",B2494-WEEKDAY(B2494,2)+1)</f>
        <v/>
      </c>
    </row>
    <row r="2495" customFormat="false" ht="15" hidden="false" customHeight="false" outlineLevel="0" collapsed="false">
      <c r="A2495" s="36" t="str">
        <f aca="false">IF(Raw_Export!$A2495="","",TRIM(Raw_Export!A2495))</f>
        <v/>
      </c>
      <c r="B2495" s="37" t="str">
        <f aca="false">IF(Raw_Export!$A2495="","",IF(ISNUMBER(Raw_Export!B2495),Raw_Export!B2495,IF(MID(TRIM(Raw_Export!B2495),5,1)="-",DATE(LEFT(TRIM(Raw_Export!B2495),4),MID(TRIM(Raw_Export!B2495),6,2),RIGHT(TRIM(Raw_Export!B2495),2)),DATE(RIGHT(TRIM(Raw_Export!B2495),4),MATCH(MID(TRIM(Raw_Export!B2495),4,3),{"Jan","Feb","Mar","Apr","May","Jun","Jul","Aug","Sep","Oct","Nov","Dec"},0),LEFT(TRIM(Raw_Export!B2495),2)))))</f>
        <v/>
      </c>
      <c r="C2495" s="36" t="str">
        <f aca="false">IF(Raw_Export!$A2495="","",IFERROR(VLOOKUP(LOWER(TRIM(Raw_Export!C2495)),Maps!$A$2:$B$20,2,FALSE()),"UNMAPPED"))</f>
        <v/>
      </c>
      <c r="D2495" s="36" t="str">
        <f aca="false">IF(Raw_Export!$A2495="","",IFERROR(VLOOKUP(LOWER(TRIM(Raw_Export!D2495)),Maps!$G$2:$I$80,2,FALSE()),"UNMAPPED"))</f>
        <v/>
      </c>
      <c r="E2495" s="36" t="str">
        <f aca="false">IF(Raw_Export!$A2495="","",IFERROR(VLOOKUP(LOWER(TRIM(Raw_Export!D2495)),Maps!$G$2:$I$80,3,FALSE()),"UNMAPPED"))</f>
        <v/>
      </c>
      <c r="F2495" s="36" t="str">
        <f aca="false">IF(Raw_Export!$A2495="","",IFERROR(VALUE(TRIM(Raw_Export!E2495)),0))</f>
        <v/>
      </c>
      <c r="G2495" s="38" t="str">
        <f aca="false">IF(Raw_Export!$A2495="","",IFERROR(VALUE(SUBSTITUTE(SUBSTITUTE(UPPER(TRIM(Raw_Export!F2495)),"KES",""),",","")),0))</f>
        <v/>
      </c>
      <c r="H2495" s="38" t="str">
        <f aca="false">IF(Raw_Export!$A2495="","",F2495*G2495)</f>
        <v/>
      </c>
      <c r="I2495" s="36" t="str">
        <f aca="false">IF(Raw_Export!$A2495="","",IFERROR(VLOOKUP(LOWER(TRIM(Raw_Export!H2495)),Maps!$D$2:$E$12,2,FALSE()),"Other"))</f>
        <v/>
      </c>
      <c r="J2495" s="36" t="str">
        <f aca="false">IF(Raw_Export!$A2495="","",IF(COUNTIF($A$2:A2495,A2495)&gt;1,"Duplicate",""))</f>
        <v/>
      </c>
      <c r="K2495" s="36" t="str">
        <f aca="false">IF(Raw_Export!$A2495="","",IF(J2495="Duplicate","Duplicate",IF(OR(C2495="UNMAPPED",D2495="UNMAPPED"),"Unmapped",IF(F2495=0,"Blank qty",IF(F2495&lt;0,"Return","OK")))))</f>
        <v/>
      </c>
      <c r="L2495" s="36" t="str">
        <f aca="false">IF(Raw_Export!$A2495="","",IF(OR(K2495="OK",K2495="Return"),1,0))</f>
        <v/>
      </c>
      <c r="M2495" s="37" t="str">
        <f aca="false">IF(Raw_Export!$A2495="","",B2495-WEEKDAY(B2495,2)+1)</f>
        <v/>
      </c>
    </row>
    <row r="2496" customFormat="false" ht="15" hidden="false" customHeight="false" outlineLevel="0" collapsed="false">
      <c r="A2496" s="36" t="str">
        <f aca="false">IF(Raw_Export!$A2496="","",TRIM(Raw_Export!A2496))</f>
        <v/>
      </c>
      <c r="B2496" s="37" t="str">
        <f aca="false">IF(Raw_Export!$A2496="","",IF(ISNUMBER(Raw_Export!B2496),Raw_Export!B2496,IF(MID(TRIM(Raw_Export!B2496),5,1)="-",DATE(LEFT(TRIM(Raw_Export!B2496),4),MID(TRIM(Raw_Export!B2496),6,2),RIGHT(TRIM(Raw_Export!B2496),2)),DATE(RIGHT(TRIM(Raw_Export!B2496),4),MATCH(MID(TRIM(Raw_Export!B2496),4,3),{"Jan","Feb","Mar","Apr","May","Jun","Jul","Aug","Sep","Oct","Nov","Dec"},0),LEFT(TRIM(Raw_Export!B2496),2)))))</f>
        <v/>
      </c>
      <c r="C2496" s="36" t="str">
        <f aca="false">IF(Raw_Export!$A2496="","",IFERROR(VLOOKUP(LOWER(TRIM(Raw_Export!C2496)),Maps!$A$2:$B$20,2,FALSE()),"UNMAPPED"))</f>
        <v/>
      </c>
      <c r="D2496" s="36" t="str">
        <f aca="false">IF(Raw_Export!$A2496="","",IFERROR(VLOOKUP(LOWER(TRIM(Raw_Export!D2496)),Maps!$G$2:$I$80,2,FALSE()),"UNMAPPED"))</f>
        <v/>
      </c>
      <c r="E2496" s="36" t="str">
        <f aca="false">IF(Raw_Export!$A2496="","",IFERROR(VLOOKUP(LOWER(TRIM(Raw_Export!D2496)),Maps!$G$2:$I$80,3,FALSE()),"UNMAPPED"))</f>
        <v/>
      </c>
      <c r="F2496" s="36" t="str">
        <f aca="false">IF(Raw_Export!$A2496="","",IFERROR(VALUE(TRIM(Raw_Export!E2496)),0))</f>
        <v/>
      </c>
      <c r="G2496" s="38" t="str">
        <f aca="false">IF(Raw_Export!$A2496="","",IFERROR(VALUE(SUBSTITUTE(SUBSTITUTE(UPPER(TRIM(Raw_Export!F2496)),"KES",""),",","")),0))</f>
        <v/>
      </c>
      <c r="H2496" s="38" t="str">
        <f aca="false">IF(Raw_Export!$A2496="","",F2496*G2496)</f>
        <v/>
      </c>
      <c r="I2496" s="36" t="str">
        <f aca="false">IF(Raw_Export!$A2496="","",IFERROR(VLOOKUP(LOWER(TRIM(Raw_Export!H2496)),Maps!$D$2:$E$12,2,FALSE()),"Other"))</f>
        <v/>
      </c>
      <c r="J2496" s="36" t="str">
        <f aca="false">IF(Raw_Export!$A2496="","",IF(COUNTIF($A$2:A2496,A2496)&gt;1,"Duplicate",""))</f>
        <v/>
      </c>
      <c r="K2496" s="36" t="str">
        <f aca="false">IF(Raw_Export!$A2496="","",IF(J2496="Duplicate","Duplicate",IF(OR(C2496="UNMAPPED",D2496="UNMAPPED"),"Unmapped",IF(F2496=0,"Blank qty",IF(F2496&lt;0,"Return","OK")))))</f>
        <v/>
      </c>
      <c r="L2496" s="36" t="str">
        <f aca="false">IF(Raw_Export!$A2496="","",IF(OR(K2496="OK",K2496="Return"),1,0))</f>
        <v/>
      </c>
      <c r="M2496" s="37" t="str">
        <f aca="false">IF(Raw_Export!$A2496="","",B2496-WEEKDAY(B2496,2)+1)</f>
        <v/>
      </c>
    </row>
    <row r="2497" customFormat="false" ht="15" hidden="false" customHeight="false" outlineLevel="0" collapsed="false">
      <c r="A2497" s="36" t="str">
        <f aca="false">IF(Raw_Export!$A2497="","",TRIM(Raw_Export!A2497))</f>
        <v/>
      </c>
      <c r="B2497" s="37" t="str">
        <f aca="false">IF(Raw_Export!$A2497="","",IF(ISNUMBER(Raw_Export!B2497),Raw_Export!B2497,IF(MID(TRIM(Raw_Export!B2497),5,1)="-",DATE(LEFT(TRIM(Raw_Export!B2497),4),MID(TRIM(Raw_Export!B2497),6,2),RIGHT(TRIM(Raw_Export!B2497),2)),DATE(RIGHT(TRIM(Raw_Export!B2497),4),MATCH(MID(TRIM(Raw_Export!B2497),4,3),{"Jan","Feb","Mar","Apr","May","Jun","Jul","Aug","Sep","Oct","Nov","Dec"},0),LEFT(TRIM(Raw_Export!B2497),2)))))</f>
        <v/>
      </c>
      <c r="C2497" s="36" t="str">
        <f aca="false">IF(Raw_Export!$A2497="","",IFERROR(VLOOKUP(LOWER(TRIM(Raw_Export!C2497)),Maps!$A$2:$B$20,2,FALSE()),"UNMAPPED"))</f>
        <v/>
      </c>
      <c r="D2497" s="36" t="str">
        <f aca="false">IF(Raw_Export!$A2497="","",IFERROR(VLOOKUP(LOWER(TRIM(Raw_Export!D2497)),Maps!$G$2:$I$80,2,FALSE()),"UNMAPPED"))</f>
        <v/>
      </c>
      <c r="E2497" s="36" t="str">
        <f aca="false">IF(Raw_Export!$A2497="","",IFERROR(VLOOKUP(LOWER(TRIM(Raw_Export!D2497)),Maps!$G$2:$I$80,3,FALSE()),"UNMAPPED"))</f>
        <v/>
      </c>
      <c r="F2497" s="36" t="str">
        <f aca="false">IF(Raw_Export!$A2497="","",IFERROR(VALUE(TRIM(Raw_Export!E2497)),0))</f>
        <v/>
      </c>
      <c r="G2497" s="38" t="str">
        <f aca="false">IF(Raw_Export!$A2497="","",IFERROR(VALUE(SUBSTITUTE(SUBSTITUTE(UPPER(TRIM(Raw_Export!F2497)),"KES",""),",","")),0))</f>
        <v/>
      </c>
      <c r="H2497" s="38" t="str">
        <f aca="false">IF(Raw_Export!$A2497="","",F2497*G2497)</f>
        <v/>
      </c>
      <c r="I2497" s="36" t="str">
        <f aca="false">IF(Raw_Export!$A2497="","",IFERROR(VLOOKUP(LOWER(TRIM(Raw_Export!H2497)),Maps!$D$2:$E$12,2,FALSE()),"Other"))</f>
        <v/>
      </c>
      <c r="J2497" s="36" t="str">
        <f aca="false">IF(Raw_Export!$A2497="","",IF(COUNTIF($A$2:A2497,A2497)&gt;1,"Duplicate",""))</f>
        <v/>
      </c>
      <c r="K2497" s="36" t="str">
        <f aca="false">IF(Raw_Export!$A2497="","",IF(J2497="Duplicate","Duplicate",IF(OR(C2497="UNMAPPED",D2497="UNMAPPED"),"Unmapped",IF(F2497=0,"Blank qty",IF(F2497&lt;0,"Return","OK")))))</f>
        <v/>
      </c>
      <c r="L2497" s="36" t="str">
        <f aca="false">IF(Raw_Export!$A2497="","",IF(OR(K2497="OK",K2497="Return"),1,0))</f>
        <v/>
      </c>
      <c r="M2497" s="37" t="str">
        <f aca="false">IF(Raw_Export!$A2497="","",B2497-WEEKDAY(B2497,2)+1)</f>
        <v/>
      </c>
    </row>
    <row r="2498" customFormat="false" ht="15" hidden="false" customHeight="false" outlineLevel="0" collapsed="false">
      <c r="A2498" s="36" t="str">
        <f aca="false">IF(Raw_Export!$A2498="","",TRIM(Raw_Export!A2498))</f>
        <v/>
      </c>
      <c r="B2498" s="37" t="str">
        <f aca="false">IF(Raw_Export!$A2498="","",IF(ISNUMBER(Raw_Export!B2498),Raw_Export!B2498,IF(MID(TRIM(Raw_Export!B2498),5,1)="-",DATE(LEFT(TRIM(Raw_Export!B2498),4),MID(TRIM(Raw_Export!B2498),6,2),RIGHT(TRIM(Raw_Export!B2498),2)),DATE(RIGHT(TRIM(Raw_Export!B2498),4),MATCH(MID(TRIM(Raw_Export!B2498),4,3),{"Jan","Feb","Mar","Apr","May","Jun","Jul","Aug","Sep","Oct","Nov","Dec"},0),LEFT(TRIM(Raw_Export!B2498),2)))))</f>
        <v/>
      </c>
      <c r="C2498" s="36" t="str">
        <f aca="false">IF(Raw_Export!$A2498="","",IFERROR(VLOOKUP(LOWER(TRIM(Raw_Export!C2498)),Maps!$A$2:$B$20,2,FALSE()),"UNMAPPED"))</f>
        <v/>
      </c>
      <c r="D2498" s="36" t="str">
        <f aca="false">IF(Raw_Export!$A2498="","",IFERROR(VLOOKUP(LOWER(TRIM(Raw_Export!D2498)),Maps!$G$2:$I$80,2,FALSE()),"UNMAPPED"))</f>
        <v/>
      </c>
      <c r="E2498" s="36" t="str">
        <f aca="false">IF(Raw_Export!$A2498="","",IFERROR(VLOOKUP(LOWER(TRIM(Raw_Export!D2498)),Maps!$G$2:$I$80,3,FALSE()),"UNMAPPED"))</f>
        <v/>
      </c>
      <c r="F2498" s="36" t="str">
        <f aca="false">IF(Raw_Export!$A2498="","",IFERROR(VALUE(TRIM(Raw_Export!E2498)),0))</f>
        <v/>
      </c>
      <c r="G2498" s="38" t="str">
        <f aca="false">IF(Raw_Export!$A2498="","",IFERROR(VALUE(SUBSTITUTE(SUBSTITUTE(UPPER(TRIM(Raw_Export!F2498)),"KES",""),",","")),0))</f>
        <v/>
      </c>
      <c r="H2498" s="38" t="str">
        <f aca="false">IF(Raw_Export!$A2498="","",F2498*G2498)</f>
        <v/>
      </c>
      <c r="I2498" s="36" t="str">
        <f aca="false">IF(Raw_Export!$A2498="","",IFERROR(VLOOKUP(LOWER(TRIM(Raw_Export!H2498)),Maps!$D$2:$E$12,2,FALSE()),"Other"))</f>
        <v/>
      </c>
      <c r="J2498" s="36" t="str">
        <f aca="false">IF(Raw_Export!$A2498="","",IF(COUNTIF($A$2:A2498,A2498)&gt;1,"Duplicate",""))</f>
        <v/>
      </c>
      <c r="K2498" s="36" t="str">
        <f aca="false">IF(Raw_Export!$A2498="","",IF(J2498="Duplicate","Duplicate",IF(OR(C2498="UNMAPPED",D2498="UNMAPPED"),"Unmapped",IF(F2498=0,"Blank qty",IF(F2498&lt;0,"Return","OK")))))</f>
        <v/>
      </c>
      <c r="L2498" s="36" t="str">
        <f aca="false">IF(Raw_Export!$A2498="","",IF(OR(K2498="OK",K2498="Return"),1,0))</f>
        <v/>
      </c>
      <c r="M2498" s="37" t="str">
        <f aca="false">IF(Raw_Export!$A2498="","",B2498-WEEKDAY(B2498,2)+1)</f>
        <v/>
      </c>
    </row>
    <row r="2499" customFormat="false" ht="15" hidden="false" customHeight="false" outlineLevel="0" collapsed="false">
      <c r="A2499" s="36" t="str">
        <f aca="false">IF(Raw_Export!$A2499="","",TRIM(Raw_Export!A2499))</f>
        <v/>
      </c>
      <c r="B2499" s="37" t="str">
        <f aca="false">IF(Raw_Export!$A2499="","",IF(ISNUMBER(Raw_Export!B2499),Raw_Export!B2499,IF(MID(TRIM(Raw_Export!B2499),5,1)="-",DATE(LEFT(TRIM(Raw_Export!B2499),4),MID(TRIM(Raw_Export!B2499),6,2),RIGHT(TRIM(Raw_Export!B2499),2)),DATE(RIGHT(TRIM(Raw_Export!B2499),4),MATCH(MID(TRIM(Raw_Export!B2499),4,3),{"Jan","Feb","Mar","Apr","May","Jun","Jul","Aug","Sep","Oct","Nov","Dec"},0),LEFT(TRIM(Raw_Export!B2499),2)))))</f>
        <v/>
      </c>
      <c r="C2499" s="36" t="str">
        <f aca="false">IF(Raw_Export!$A2499="","",IFERROR(VLOOKUP(LOWER(TRIM(Raw_Export!C2499)),Maps!$A$2:$B$20,2,FALSE()),"UNMAPPED"))</f>
        <v/>
      </c>
      <c r="D2499" s="36" t="str">
        <f aca="false">IF(Raw_Export!$A2499="","",IFERROR(VLOOKUP(LOWER(TRIM(Raw_Export!D2499)),Maps!$G$2:$I$80,2,FALSE()),"UNMAPPED"))</f>
        <v/>
      </c>
      <c r="E2499" s="36" t="str">
        <f aca="false">IF(Raw_Export!$A2499="","",IFERROR(VLOOKUP(LOWER(TRIM(Raw_Export!D2499)),Maps!$G$2:$I$80,3,FALSE()),"UNMAPPED"))</f>
        <v/>
      </c>
      <c r="F2499" s="36" t="str">
        <f aca="false">IF(Raw_Export!$A2499="","",IFERROR(VALUE(TRIM(Raw_Export!E2499)),0))</f>
        <v/>
      </c>
      <c r="G2499" s="38" t="str">
        <f aca="false">IF(Raw_Export!$A2499="","",IFERROR(VALUE(SUBSTITUTE(SUBSTITUTE(UPPER(TRIM(Raw_Export!F2499)),"KES",""),",","")),0))</f>
        <v/>
      </c>
      <c r="H2499" s="38" t="str">
        <f aca="false">IF(Raw_Export!$A2499="","",F2499*G2499)</f>
        <v/>
      </c>
      <c r="I2499" s="36" t="str">
        <f aca="false">IF(Raw_Export!$A2499="","",IFERROR(VLOOKUP(LOWER(TRIM(Raw_Export!H2499)),Maps!$D$2:$E$12,2,FALSE()),"Other"))</f>
        <v/>
      </c>
      <c r="J2499" s="36" t="str">
        <f aca="false">IF(Raw_Export!$A2499="","",IF(COUNTIF($A$2:A2499,A2499)&gt;1,"Duplicate",""))</f>
        <v/>
      </c>
      <c r="K2499" s="36" t="str">
        <f aca="false">IF(Raw_Export!$A2499="","",IF(J2499="Duplicate","Duplicate",IF(OR(C2499="UNMAPPED",D2499="UNMAPPED"),"Unmapped",IF(F2499=0,"Blank qty",IF(F2499&lt;0,"Return","OK")))))</f>
        <v/>
      </c>
      <c r="L2499" s="36" t="str">
        <f aca="false">IF(Raw_Export!$A2499="","",IF(OR(K2499="OK",K2499="Return"),1,0))</f>
        <v/>
      </c>
      <c r="M2499" s="37" t="str">
        <f aca="false">IF(Raw_Export!$A2499="","",B2499-WEEKDAY(B2499,2)+1)</f>
        <v/>
      </c>
    </row>
    <row r="2500" customFormat="false" ht="15" hidden="false" customHeight="false" outlineLevel="0" collapsed="false">
      <c r="A2500" s="36" t="str">
        <f aca="false">IF(Raw_Export!$A2500="","",TRIM(Raw_Export!A2500))</f>
        <v/>
      </c>
      <c r="B2500" s="37" t="str">
        <f aca="false">IF(Raw_Export!$A2500="","",IF(ISNUMBER(Raw_Export!B2500),Raw_Export!B2500,IF(MID(TRIM(Raw_Export!B2500),5,1)="-",DATE(LEFT(TRIM(Raw_Export!B2500),4),MID(TRIM(Raw_Export!B2500),6,2),RIGHT(TRIM(Raw_Export!B2500),2)),DATE(RIGHT(TRIM(Raw_Export!B2500),4),MATCH(MID(TRIM(Raw_Export!B2500),4,3),{"Jan","Feb","Mar","Apr","May","Jun","Jul","Aug","Sep","Oct","Nov","Dec"},0),LEFT(TRIM(Raw_Export!B2500),2)))))</f>
        <v/>
      </c>
      <c r="C2500" s="36" t="str">
        <f aca="false">IF(Raw_Export!$A2500="","",IFERROR(VLOOKUP(LOWER(TRIM(Raw_Export!C2500)),Maps!$A$2:$B$20,2,FALSE()),"UNMAPPED"))</f>
        <v/>
      </c>
      <c r="D2500" s="36" t="str">
        <f aca="false">IF(Raw_Export!$A2500="","",IFERROR(VLOOKUP(LOWER(TRIM(Raw_Export!D2500)),Maps!$G$2:$I$80,2,FALSE()),"UNMAPPED"))</f>
        <v/>
      </c>
      <c r="E2500" s="36" t="str">
        <f aca="false">IF(Raw_Export!$A2500="","",IFERROR(VLOOKUP(LOWER(TRIM(Raw_Export!D2500)),Maps!$G$2:$I$80,3,FALSE()),"UNMAPPED"))</f>
        <v/>
      </c>
      <c r="F2500" s="36" t="str">
        <f aca="false">IF(Raw_Export!$A2500="","",IFERROR(VALUE(TRIM(Raw_Export!E2500)),0))</f>
        <v/>
      </c>
      <c r="G2500" s="38" t="str">
        <f aca="false">IF(Raw_Export!$A2500="","",IFERROR(VALUE(SUBSTITUTE(SUBSTITUTE(UPPER(TRIM(Raw_Export!F2500)),"KES",""),",","")),0))</f>
        <v/>
      </c>
      <c r="H2500" s="38" t="str">
        <f aca="false">IF(Raw_Export!$A2500="","",F2500*G2500)</f>
        <v/>
      </c>
      <c r="I2500" s="36" t="str">
        <f aca="false">IF(Raw_Export!$A2500="","",IFERROR(VLOOKUP(LOWER(TRIM(Raw_Export!H2500)),Maps!$D$2:$E$12,2,FALSE()),"Other"))</f>
        <v/>
      </c>
      <c r="J2500" s="36" t="str">
        <f aca="false">IF(Raw_Export!$A2500="","",IF(COUNTIF($A$2:A2500,A2500)&gt;1,"Duplicate",""))</f>
        <v/>
      </c>
      <c r="K2500" s="36" t="str">
        <f aca="false">IF(Raw_Export!$A2500="","",IF(J2500="Duplicate","Duplicate",IF(OR(C2500="UNMAPPED",D2500="UNMAPPED"),"Unmapped",IF(F2500=0,"Blank qty",IF(F2500&lt;0,"Return","OK")))))</f>
        <v/>
      </c>
      <c r="L2500" s="36" t="str">
        <f aca="false">IF(Raw_Export!$A2500="","",IF(OR(K2500="OK",K2500="Return"),1,0))</f>
        <v/>
      </c>
      <c r="M2500" s="37" t="str">
        <f aca="false">IF(Raw_Export!$A2500="","",B2500-WEEKDAY(B2500,2)+1)</f>
        <v/>
      </c>
    </row>
    <row r="2501" customFormat="false" ht="15" hidden="false" customHeight="false" outlineLevel="0" collapsed="false">
      <c r="A2501" s="36" t="str">
        <f aca="false">IF(Raw_Export!$A2501="","",TRIM(Raw_Export!A2501))</f>
        <v/>
      </c>
      <c r="B2501" s="37" t="str">
        <f aca="false">IF(Raw_Export!$A2501="","",IF(ISNUMBER(Raw_Export!B2501),Raw_Export!B2501,IF(MID(TRIM(Raw_Export!B2501),5,1)="-",DATE(LEFT(TRIM(Raw_Export!B2501),4),MID(TRIM(Raw_Export!B2501),6,2),RIGHT(TRIM(Raw_Export!B2501),2)),DATE(RIGHT(TRIM(Raw_Export!B2501),4),MATCH(MID(TRIM(Raw_Export!B2501),4,3),{"Jan","Feb","Mar","Apr","May","Jun","Jul","Aug","Sep","Oct","Nov","Dec"},0),LEFT(TRIM(Raw_Export!B2501),2)))))</f>
        <v/>
      </c>
      <c r="C2501" s="36" t="str">
        <f aca="false">IF(Raw_Export!$A2501="","",IFERROR(VLOOKUP(LOWER(TRIM(Raw_Export!C2501)),Maps!$A$2:$B$20,2,FALSE()),"UNMAPPED"))</f>
        <v/>
      </c>
      <c r="D2501" s="36" t="str">
        <f aca="false">IF(Raw_Export!$A2501="","",IFERROR(VLOOKUP(LOWER(TRIM(Raw_Export!D2501)),Maps!$G$2:$I$80,2,FALSE()),"UNMAPPED"))</f>
        <v/>
      </c>
      <c r="E2501" s="36" t="str">
        <f aca="false">IF(Raw_Export!$A2501="","",IFERROR(VLOOKUP(LOWER(TRIM(Raw_Export!D2501)),Maps!$G$2:$I$80,3,FALSE()),"UNMAPPED"))</f>
        <v/>
      </c>
      <c r="F2501" s="36" t="str">
        <f aca="false">IF(Raw_Export!$A2501="","",IFERROR(VALUE(TRIM(Raw_Export!E2501)),0))</f>
        <v/>
      </c>
      <c r="G2501" s="38" t="str">
        <f aca="false">IF(Raw_Export!$A2501="","",IFERROR(VALUE(SUBSTITUTE(SUBSTITUTE(UPPER(TRIM(Raw_Export!F2501)),"KES",""),",","")),0))</f>
        <v/>
      </c>
      <c r="H2501" s="38" t="str">
        <f aca="false">IF(Raw_Export!$A2501="","",F2501*G2501)</f>
        <v/>
      </c>
      <c r="I2501" s="36" t="str">
        <f aca="false">IF(Raw_Export!$A2501="","",IFERROR(VLOOKUP(LOWER(TRIM(Raw_Export!H2501)),Maps!$D$2:$E$12,2,FALSE()),"Other"))</f>
        <v/>
      </c>
      <c r="J2501" s="36" t="str">
        <f aca="false">IF(Raw_Export!$A2501="","",IF(COUNTIF($A$2:A2501,A2501)&gt;1,"Duplicate",""))</f>
        <v/>
      </c>
      <c r="K2501" s="36" t="str">
        <f aca="false">IF(Raw_Export!$A2501="","",IF(J2501="Duplicate","Duplicate",IF(OR(C2501="UNMAPPED",D2501="UNMAPPED"),"Unmapped",IF(F2501=0,"Blank qty",IF(F2501&lt;0,"Return","OK")))))</f>
        <v/>
      </c>
      <c r="L2501" s="36" t="str">
        <f aca="false">IF(Raw_Export!$A2501="","",IF(OR(K2501="OK",K2501="Return"),1,0))</f>
        <v/>
      </c>
      <c r="M2501" s="37" t="str">
        <f aca="false">IF(Raw_Export!$A2501="","",B2501-WEEKDAY(B2501,2)+1)</f>
        <v/>
      </c>
    </row>
    <row r="2502" customFormat="false" ht="15" hidden="false" customHeight="false" outlineLevel="0" collapsed="false">
      <c r="A2502" s="36" t="str">
        <f aca="false">IF(Raw_Export!$A2502="","",TRIM(Raw_Export!A2502))</f>
        <v/>
      </c>
      <c r="B2502" s="37" t="str">
        <f aca="false">IF(Raw_Export!$A2502="","",IF(ISNUMBER(Raw_Export!B2502),Raw_Export!B2502,IF(MID(TRIM(Raw_Export!B2502),5,1)="-",DATE(LEFT(TRIM(Raw_Export!B2502),4),MID(TRIM(Raw_Export!B2502),6,2),RIGHT(TRIM(Raw_Export!B2502),2)),DATE(RIGHT(TRIM(Raw_Export!B2502),4),MATCH(MID(TRIM(Raw_Export!B2502),4,3),{"Jan","Feb","Mar","Apr","May","Jun","Jul","Aug","Sep","Oct","Nov","Dec"},0),LEFT(TRIM(Raw_Export!B2502),2)))))</f>
        <v/>
      </c>
      <c r="C2502" s="36" t="str">
        <f aca="false">IF(Raw_Export!$A2502="","",IFERROR(VLOOKUP(LOWER(TRIM(Raw_Export!C2502)),Maps!$A$2:$B$20,2,FALSE()),"UNMAPPED"))</f>
        <v/>
      </c>
      <c r="D2502" s="36" t="str">
        <f aca="false">IF(Raw_Export!$A2502="","",IFERROR(VLOOKUP(LOWER(TRIM(Raw_Export!D2502)),Maps!$G$2:$I$80,2,FALSE()),"UNMAPPED"))</f>
        <v/>
      </c>
      <c r="E2502" s="36" t="str">
        <f aca="false">IF(Raw_Export!$A2502="","",IFERROR(VLOOKUP(LOWER(TRIM(Raw_Export!D2502)),Maps!$G$2:$I$80,3,FALSE()),"UNMAPPED"))</f>
        <v/>
      </c>
      <c r="F2502" s="36" t="str">
        <f aca="false">IF(Raw_Export!$A2502="","",IFERROR(VALUE(TRIM(Raw_Export!E2502)),0))</f>
        <v/>
      </c>
      <c r="G2502" s="38" t="str">
        <f aca="false">IF(Raw_Export!$A2502="","",IFERROR(VALUE(SUBSTITUTE(SUBSTITUTE(UPPER(TRIM(Raw_Export!F2502)),"KES",""),",","")),0))</f>
        <v/>
      </c>
      <c r="H2502" s="38" t="str">
        <f aca="false">IF(Raw_Export!$A2502="","",F2502*G2502)</f>
        <v/>
      </c>
      <c r="I2502" s="36" t="str">
        <f aca="false">IF(Raw_Export!$A2502="","",IFERROR(VLOOKUP(LOWER(TRIM(Raw_Export!H2502)),Maps!$D$2:$E$12,2,FALSE()),"Other"))</f>
        <v/>
      </c>
      <c r="J2502" s="36" t="str">
        <f aca="false">IF(Raw_Export!$A2502="","",IF(COUNTIF($A$2:A2502,A2502)&gt;1,"Duplicate",""))</f>
        <v/>
      </c>
      <c r="K2502" s="36" t="str">
        <f aca="false">IF(Raw_Export!$A2502="","",IF(J2502="Duplicate","Duplicate",IF(OR(C2502="UNMAPPED",D2502="UNMAPPED"),"Unmapped",IF(F2502=0,"Blank qty",IF(F2502&lt;0,"Return","OK")))))</f>
        <v/>
      </c>
      <c r="L2502" s="36" t="str">
        <f aca="false">IF(Raw_Export!$A2502="","",IF(OR(K2502="OK",K2502="Return"),1,0))</f>
        <v/>
      </c>
      <c r="M2502" s="37" t="str">
        <f aca="false">IF(Raw_Export!$A2502="","",B2502-WEEKDAY(B2502,2)+1)</f>
        <v/>
      </c>
    </row>
    <row r="2503" customFormat="false" ht="15" hidden="false" customHeight="false" outlineLevel="0" collapsed="false">
      <c r="A2503" s="36" t="str">
        <f aca="false">IF(Raw_Export!$A2503="","",TRIM(Raw_Export!A2503))</f>
        <v/>
      </c>
      <c r="B2503" s="37" t="str">
        <f aca="false">IF(Raw_Export!$A2503="","",IF(ISNUMBER(Raw_Export!B2503),Raw_Export!B2503,IF(MID(TRIM(Raw_Export!B2503),5,1)="-",DATE(LEFT(TRIM(Raw_Export!B2503),4),MID(TRIM(Raw_Export!B2503),6,2),RIGHT(TRIM(Raw_Export!B2503),2)),DATE(RIGHT(TRIM(Raw_Export!B2503),4),MATCH(MID(TRIM(Raw_Export!B2503),4,3),{"Jan","Feb","Mar","Apr","May","Jun","Jul","Aug","Sep","Oct","Nov","Dec"},0),LEFT(TRIM(Raw_Export!B2503),2)))))</f>
        <v/>
      </c>
      <c r="C2503" s="36" t="str">
        <f aca="false">IF(Raw_Export!$A2503="","",IFERROR(VLOOKUP(LOWER(TRIM(Raw_Export!C2503)),Maps!$A$2:$B$20,2,FALSE()),"UNMAPPED"))</f>
        <v/>
      </c>
      <c r="D2503" s="36" t="str">
        <f aca="false">IF(Raw_Export!$A2503="","",IFERROR(VLOOKUP(LOWER(TRIM(Raw_Export!D2503)),Maps!$G$2:$I$80,2,FALSE()),"UNMAPPED"))</f>
        <v/>
      </c>
      <c r="E2503" s="36" t="str">
        <f aca="false">IF(Raw_Export!$A2503="","",IFERROR(VLOOKUP(LOWER(TRIM(Raw_Export!D2503)),Maps!$G$2:$I$80,3,FALSE()),"UNMAPPED"))</f>
        <v/>
      </c>
      <c r="F2503" s="36" t="str">
        <f aca="false">IF(Raw_Export!$A2503="","",IFERROR(VALUE(TRIM(Raw_Export!E2503)),0))</f>
        <v/>
      </c>
      <c r="G2503" s="38" t="str">
        <f aca="false">IF(Raw_Export!$A2503="","",IFERROR(VALUE(SUBSTITUTE(SUBSTITUTE(UPPER(TRIM(Raw_Export!F2503)),"KES",""),",","")),0))</f>
        <v/>
      </c>
      <c r="H2503" s="38" t="str">
        <f aca="false">IF(Raw_Export!$A2503="","",F2503*G2503)</f>
        <v/>
      </c>
      <c r="I2503" s="36" t="str">
        <f aca="false">IF(Raw_Export!$A2503="","",IFERROR(VLOOKUP(LOWER(TRIM(Raw_Export!H2503)),Maps!$D$2:$E$12,2,FALSE()),"Other"))</f>
        <v/>
      </c>
      <c r="J2503" s="36" t="str">
        <f aca="false">IF(Raw_Export!$A2503="","",IF(COUNTIF($A$2:A2503,A2503)&gt;1,"Duplicate",""))</f>
        <v/>
      </c>
      <c r="K2503" s="36" t="str">
        <f aca="false">IF(Raw_Export!$A2503="","",IF(J2503="Duplicate","Duplicate",IF(OR(C2503="UNMAPPED",D2503="UNMAPPED"),"Unmapped",IF(F2503=0,"Blank qty",IF(F2503&lt;0,"Return","OK")))))</f>
        <v/>
      </c>
      <c r="L2503" s="36" t="str">
        <f aca="false">IF(Raw_Export!$A2503="","",IF(OR(K2503="OK",K2503="Return"),1,0))</f>
        <v/>
      </c>
      <c r="M2503" s="37" t="str">
        <f aca="false">IF(Raw_Export!$A2503="","",B2503-WEEKDAY(B2503,2)+1)</f>
        <v/>
      </c>
    </row>
    <row r="2504" customFormat="false" ht="15" hidden="false" customHeight="false" outlineLevel="0" collapsed="false">
      <c r="A2504" s="36" t="str">
        <f aca="false">IF(Raw_Export!$A2504="","",TRIM(Raw_Export!A2504))</f>
        <v/>
      </c>
      <c r="B2504" s="37" t="str">
        <f aca="false">IF(Raw_Export!$A2504="","",IF(ISNUMBER(Raw_Export!B2504),Raw_Export!B2504,IF(MID(TRIM(Raw_Export!B2504),5,1)="-",DATE(LEFT(TRIM(Raw_Export!B2504),4),MID(TRIM(Raw_Export!B2504),6,2),RIGHT(TRIM(Raw_Export!B2504),2)),DATE(RIGHT(TRIM(Raw_Export!B2504),4),MATCH(MID(TRIM(Raw_Export!B2504),4,3),{"Jan","Feb","Mar","Apr","May","Jun","Jul","Aug","Sep","Oct","Nov","Dec"},0),LEFT(TRIM(Raw_Export!B2504),2)))))</f>
        <v/>
      </c>
      <c r="C2504" s="36" t="str">
        <f aca="false">IF(Raw_Export!$A2504="","",IFERROR(VLOOKUP(LOWER(TRIM(Raw_Export!C2504)),Maps!$A$2:$B$20,2,FALSE()),"UNMAPPED"))</f>
        <v/>
      </c>
      <c r="D2504" s="36" t="str">
        <f aca="false">IF(Raw_Export!$A2504="","",IFERROR(VLOOKUP(LOWER(TRIM(Raw_Export!D2504)),Maps!$G$2:$I$80,2,FALSE()),"UNMAPPED"))</f>
        <v/>
      </c>
      <c r="E2504" s="36" t="str">
        <f aca="false">IF(Raw_Export!$A2504="","",IFERROR(VLOOKUP(LOWER(TRIM(Raw_Export!D2504)),Maps!$G$2:$I$80,3,FALSE()),"UNMAPPED"))</f>
        <v/>
      </c>
      <c r="F2504" s="36" t="str">
        <f aca="false">IF(Raw_Export!$A2504="","",IFERROR(VALUE(TRIM(Raw_Export!E2504)),0))</f>
        <v/>
      </c>
      <c r="G2504" s="38" t="str">
        <f aca="false">IF(Raw_Export!$A2504="","",IFERROR(VALUE(SUBSTITUTE(SUBSTITUTE(UPPER(TRIM(Raw_Export!F2504)),"KES",""),",","")),0))</f>
        <v/>
      </c>
      <c r="H2504" s="38" t="str">
        <f aca="false">IF(Raw_Export!$A2504="","",F2504*G2504)</f>
        <v/>
      </c>
      <c r="I2504" s="36" t="str">
        <f aca="false">IF(Raw_Export!$A2504="","",IFERROR(VLOOKUP(LOWER(TRIM(Raw_Export!H2504)),Maps!$D$2:$E$12,2,FALSE()),"Other"))</f>
        <v/>
      </c>
      <c r="J2504" s="36" t="str">
        <f aca="false">IF(Raw_Export!$A2504="","",IF(COUNTIF($A$2:A2504,A2504)&gt;1,"Duplicate",""))</f>
        <v/>
      </c>
      <c r="K2504" s="36" t="str">
        <f aca="false">IF(Raw_Export!$A2504="","",IF(J2504="Duplicate","Duplicate",IF(OR(C2504="UNMAPPED",D2504="UNMAPPED"),"Unmapped",IF(F2504=0,"Blank qty",IF(F2504&lt;0,"Return","OK")))))</f>
        <v/>
      </c>
      <c r="L2504" s="36" t="str">
        <f aca="false">IF(Raw_Export!$A2504="","",IF(OR(K2504="OK",K2504="Return"),1,0))</f>
        <v/>
      </c>
      <c r="M2504" s="37" t="str">
        <f aca="false">IF(Raw_Export!$A2504="","",B2504-WEEKDAY(B2504,2)+1)</f>
        <v/>
      </c>
    </row>
    <row r="2505" customFormat="false" ht="15" hidden="false" customHeight="false" outlineLevel="0" collapsed="false">
      <c r="A2505" s="36" t="str">
        <f aca="false">IF(Raw_Export!$A2505="","",TRIM(Raw_Export!A2505))</f>
        <v/>
      </c>
      <c r="B2505" s="37" t="str">
        <f aca="false">IF(Raw_Export!$A2505="","",IF(ISNUMBER(Raw_Export!B2505),Raw_Export!B2505,IF(MID(TRIM(Raw_Export!B2505),5,1)="-",DATE(LEFT(TRIM(Raw_Export!B2505),4),MID(TRIM(Raw_Export!B2505),6,2),RIGHT(TRIM(Raw_Export!B2505),2)),DATE(RIGHT(TRIM(Raw_Export!B2505),4),MATCH(MID(TRIM(Raw_Export!B2505),4,3),{"Jan","Feb","Mar","Apr","May","Jun","Jul","Aug","Sep","Oct","Nov","Dec"},0),LEFT(TRIM(Raw_Export!B2505),2)))))</f>
        <v/>
      </c>
      <c r="C2505" s="36" t="str">
        <f aca="false">IF(Raw_Export!$A2505="","",IFERROR(VLOOKUP(LOWER(TRIM(Raw_Export!C2505)),Maps!$A$2:$B$20,2,FALSE()),"UNMAPPED"))</f>
        <v/>
      </c>
      <c r="D2505" s="36" t="str">
        <f aca="false">IF(Raw_Export!$A2505="","",IFERROR(VLOOKUP(LOWER(TRIM(Raw_Export!D2505)),Maps!$G$2:$I$80,2,FALSE()),"UNMAPPED"))</f>
        <v/>
      </c>
      <c r="E2505" s="36" t="str">
        <f aca="false">IF(Raw_Export!$A2505="","",IFERROR(VLOOKUP(LOWER(TRIM(Raw_Export!D2505)),Maps!$G$2:$I$80,3,FALSE()),"UNMAPPED"))</f>
        <v/>
      </c>
      <c r="F2505" s="36" t="str">
        <f aca="false">IF(Raw_Export!$A2505="","",IFERROR(VALUE(TRIM(Raw_Export!E2505)),0))</f>
        <v/>
      </c>
      <c r="G2505" s="38" t="str">
        <f aca="false">IF(Raw_Export!$A2505="","",IFERROR(VALUE(SUBSTITUTE(SUBSTITUTE(UPPER(TRIM(Raw_Export!F2505)),"KES",""),",","")),0))</f>
        <v/>
      </c>
      <c r="H2505" s="38" t="str">
        <f aca="false">IF(Raw_Export!$A2505="","",F2505*G2505)</f>
        <v/>
      </c>
      <c r="I2505" s="36" t="str">
        <f aca="false">IF(Raw_Export!$A2505="","",IFERROR(VLOOKUP(LOWER(TRIM(Raw_Export!H2505)),Maps!$D$2:$E$12,2,FALSE()),"Other"))</f>
        <v/>
      </c>
      <c r="J2505" s="36" t="str">
        <f aca="false">IF(Raw_Export!$A2505="","",IF(COUNTIF($A$2:A2505,A2505)&gt;1,"Duplicate",""))</f>
        <v/>
      </c>
      <c r="K2505" s="36" t="str">
        <f aca="false">IF(Raw_Export!$A2505="","",IF(J2505="Duplicate","Duplicate",IF(OR(C2505="UNMAPPED",D2505="UNMAPPED"),"Unmapped",IF(F2505=0,"Blank qty",IF(F2505&lt;0,"Return","OK")))))</f>
        <v/>
      </c>
      <c r="L2505" s="36" t="str">
        <f aca="false">IF(Raw_Export!$A2505="","",IF(OR(K2505="OK",K2505="Return"),1,0))</f>
        <v/>
      </c>
      <c r="M2505" s="37" t="str">
        <f aca="false">IF(Raw_Export!$A2505="","",B2505-WEEKDAY(B2505,2)+1)</f>
        <v/>
      </c>
    </row>
    <row r="2506" customFormat="false" ht="15" hidden="false" customHeight="false" outlineLevel="0" collapsed="false">
      <c r="A2506" s="36" t="str">
        <f aca="false">IF(Raw_Export!$A2506="","",TRIM(Raw_Export!A2506))</f>
        <v/>
      </c>
      <c r="B2506" s="37" t="str">
        <f aca="false">IF(Raw_Export!$A2506="","",IF(ISNUMBER(Raw_Export!B2506),Raw_Export!B2506,IF(MID(TRIM(Raw_Export!B2506),5,1)="-",DATE(LEFT(TRIM(Raw_Export!B2506),4),MID(TRIM(Raw_Export!B2506),6,2),RIGHT(TRIM(Raw_Export!B2506),2)),DATE(RIGHT(TRIM(Raw_Export!B2506),4),MATCH(MID(TRIM(Raw_Export!B2506),4,3),{"Jan","Feb","Mar","Apr","May","Jun","Jul","Aug","Sep","Oct","Nov","Dec"},0),LEFT(TRIM(Raw_Export!B2506),2)))))</f>
        <v/>
      </c>
      <c r="C2506" s="36" t="str">
        <f aca="false">IF(Raw_Export!$A2506="","",IFERROR(VLOOKUP(LOWER(TRIM(Raw_Export!C2506)),Maps!$A$2:$B$20,2,FALSE()),"UNMAPPED"))</f>
        <v/>
      </c>
      <c r="D2506" s="36" t="str">
        <f aca="false">IF(Raw_Export!$A2506="","",IFERROR(VLOOKUP(LOWER(TRIM(Raw_Export!D2506)),Maps!$G$2:$I$80,2,FALSE()),"UNMAPPED"))</f>
        <v/>
      </c>
      <c r="E2506" s="36" t="str">
        <f aca="false">IF(Raw_Export!$A2506="","",IFERROR(VLOOKUP(LOWER(TRIM(Raw_Export!D2506)),Maps!$G$2:$I$80,3,FALSE()),"UNMAPPED"))</f>
        <v/>
      </c>
      <c r="F2506" s="36" t="str">
        <f aca="false">IF(Raw_Export!$A2506="","",IFERROR(VALUE(TRIM(Raw_Export!E2506)),0))</f>
        <v/>
      </c>
      <c r="G2506" s="38" t="str">
        <f aca="false">IF(Raw_Export!$A2506="","",IFERROR(VALUE(SUBSTITUTE(SUBSTITUTE(UPPER(TRIM(Raw_Export!F2506)),"KES",""),",","")),0))</f>
        <v/>
      </c>
      <c r="H2506" s="38" t="str">
        <f aca="false">IF(Raw_Export!$A2506="","",F2506*G2506)</f>
        <v/>
      </c>
      <c r="I2506" s="36" t="str">
        <f aca="false">IF(Raw_Export!$A2506="","",IFERROR(VLOOKUP(LOWER(TRIM(Raw_Export!H2506)),Maps!$D$2:$E$12,2,FALSE()),"Other"))</f>
        <v/>
      </c>
      <c r="J2506" s="36" t="str">
        <f aca="false">IF(Raw_Export!$A2506="","",IF(COUNTIF($A$2:A2506,A2506)&gt;1,"Duplicate",""))</f>
        <v/>
      </c>
      <c r="K2506" s="36" t="str">
        <f aca="false">IF(Raw_Export!$A2506="","",IF(J2506="Duplicate","Duplicate",IF(OR(C2506="UNMAPPED",D2506="UNMAPPED"),"Unmapped",IF(F2506=0,"Blank qty",IF(F2506&lt;0,"Return","OK")))))</f>
        <v/>
      </c>
      <c r="L2506" s="36" t="str">
        <f aca="false">IF(Raw_Export!$A2506="","",IF(OR(K2506="OK",K2506="Return"),1,0))</f>
        <v/>
      </c>
      <c r="M2506" s="37" t="str">
        <f aca="false">IF(Raw_Export!$A2506="","",B2506-WEEKDAY(B2506,2)+1)</f>
        <v/>
      </c>
    </row>
    <row r="2507" customFormat="false" ht="15" hidden="false" customHeight="false" outlineLevel="0" collapsed="false">
      <c r="A2507" s="36" t="str">
        <f aca="false">IF(Raw_Export!$A2507="","",TRIM(Raw_Export!A2507))</f>
        <v/>
      </c>
      <c r="B2507" s="37" t="str">
        <f aca="false">IF(Raw_Export!$A2507="","",IF(ISNUMBER(Raw_Export!B2507),Raw_Export!B2507,IF(MID(TRIM(Raw_Export!B2507),5,1)="-",DATE(LEFT(TRIM(Raw_Export!B2507),4),MID(TRIM(Raw_Export!B2507),6,2),RIGHT(TRIM(Raw_Export!B2507),2)),DATE(RIGHT(TRIM(Raw_Export!B2507),4),MATCH(MID(TRIM(Raw_Export!B2507),4,3),{"Jan","Feb","Mar","Apr","May","Jun","Jul","Aug","Sep","Oct","Nov","Dec"},0),LEFT(TRIM(Raw_Export!B2507),2)))))</f>
        <v/>
      </c>
      <c r="C2507" s="36" t="str">
        <f aca="false">IF(Raw_Export!$A2507="","",IFERROR(VLOOKUP(LOWER(TRIM(Raw_Export!C2507)),Maps!$A$2:$B$20,2,FALSE()),"UNMAPPED"))</f>
        <v/>
      </c>
      <c r="D2507" s="36" t="str">
        <f aca="false">IF(Raw_Export!$A2507="","",IFERROR(VLOOKUP(LOWER(TRIM(Raw_Export!D2507)),Maps!$G$2:$I$80,2,FALSE()),"UNMAPPED"))</f>
        <v/>
      </c>
      <c r="E2507" s="36" t="str">
        <f aca="false">IF(Raw_Export!$A2507="","",IFERROR(VLOOKUP(LOWER(TRIM(Raw_Export!D2507)),Maps!$G$2:$I$80,3,FALSE()),"UNMAPPED"))</f>
        <v/>
      </c>
      <c r="F2507" s="36" t="str">
        <f aca="false">IF(Raw_Export!$A2507="","",IFERROR(VALUE(TRIM(Raw_Export!E2507)),0))</f>
        <v/>
      </c>
      <c r="G2507" s="38" t="str">
        <f aca="false">IF(Raw_Export!$A2507="","",IFERROR(VALUE(SUBSTITUTE(SUBSTITUTE(UPPER(TRIM(Raw_Export!F2507)),"KES",""),",","")),0))</f>
        <v/>
      </c>
      <c r="H2507" s="38" t="str">
        <f aca="false">IF(Raw_Export!$A2507="","",F2507*G2507)</f>
        <v/>
      </c>
      <c r="I2507" s="36" t="str">
        <f aca="false">IF(Raw_Export!$A2507="","",IFERROR(VLOOKUP(LOWER(TRIM(Raw_Export!H2507)),Maps!$D$2:$E$12,2,FALSE()),"Other"))</f>
        <v/>
      </c>
      <c r="J2507" s="36" t="str">
        <f aca="false">IF(Raw_Export!$A2507="","",IF(COUNTIF($A$2:A2507,A2507)&gt;1,"Duplicate",""))</f>
        <v/>
      </c>
      <c r="K2507" s="36" t="str">
        <f aca="false">IF(Raw_Export!$A2507="","",IF(J2507="Duplicate","Duplicate",IF(OR(C2507="UNMAPPED",D2507="UNMAPPED"),"Unmapped",IF(F2507=0,"Blank qty",IF(F2507&lt;0,"Return","OK")))))</f>
        <v/>
      </c>
      <c r="L2507" s="36" t="str">
        <f aca="false">IF(Raw_Export!$A2507="","",IF(OR(K2507="OK",K2507="Return"),1,0))</f>
        <v/>
      </c>
      <c r="M2507" s="37" t="str">
        <f aca="false">IF(Raw_Export!$A2507="","",B2507-WEEKDAY(B2507,2)+1)</f>
        <v/>
      </c>
    </row>
    <row r="2508" customFormat="false" ht="15" hidden="false" customHeight="false" outlineLevel="0" collapsed="false">
      <c r="A2508" s="36" t="str">
        <f aca="false">IF(Raw_Export!$A2508="","",TRIM(Raw_Export!A2508))</f>
        <v/>
      </c>
      <c r="B2508" s="37" t="str">
        <f aca="false">IF(Raw_Export!$A2508="","",IF(ISNUMBER(Raw_Export!B2508),Raw_Export!B2508,IF(MID(TRIM(Raw_Export!B2508),5,1)="-",DATE(LEFT(TRIM(Raw_Export!B2508),4),MID(TRIM(Raw_Export!B2508),6,2),RIGHT(TRIM(Raw_Export!B2508),2)),DATE(RIGHT(TRIM(Raw_Export!B2508),4),MATCH(MID(TRIM(Raw_Export!B2508),4,3),{"Jan","Feb","Mar","Apr","May","Jun","Jul","Aug","Sep","Oct","Nov","Dec"},0),LEFT(TRIM(Raw_Export!B2508),2)))))</f>
        <v/>
      </c>
      <c r="C2508" s="36" t="str">
        <f aca="false">IF(Raw_Export!$A2508="","",IFERROR(VLOOKUP(LOWER(TRIM(Raw_Export!C2508)),Maps!$A$2:$B$20,2,FALSE()),"UNMAPPED"))</f>
        <v/>
      </c>
      <c r="D2508" s="36" t="str">
        <f aca="false">IF(Raw_Export!$A2508="","",IFERROR(VLOOKUP(LOWER(TRIM(Raw_Export!D2508)),Maps!$G$2:$I$80,2,FALSE()),"UNMAPPED"))</f>
        <v/>
      </c>
      <c r="E2508" s="36" t="str">
        <f aca="false">IF(Raw_Export!$A2508="","",IFERROR(VLOOKUP(LOWER(TRIM(Raw_Export!D2508)),Maps!$G$2:$I$80,3,FALSE()),"UNMAPPED"))</f>
        <v/>
      </c>
      <c r="F2508" s="36" t="str">
        <f aca="false">IF(Raw_Export!$A2508="","",IFERROR(VALUE(TRIM(Raw_Export!E2508)),0))</f>
        <v/>
      </c>
      <c r="G2508" s="38" t="str">
        <f aca="false">IF(Raw_Export!$A2508="","",IFERROR(VALUE(SUBSTITUTE(SUBSTITUTE(UPPER(TRIM(Raw_Export!F2508)),"KES",""),",","")),0))</f>
        <v/>
      </c>
      <c r="H2508" s="38" t="str">
        <f aca="false">IF(Raw_Export!$A2508="","",F2508*G2508)</f>
        <v/>
      </c>
      <c r="I2508" s="36" t="str">
        <f aca="false">IF(Raw_Export!$A2508="","",IFERROR(VLOOKUP(LOWER(TRIM(Raw_Export!H2508)),Maps!$D$2:$E$12,2,FALSE()),"Other"))</f>
        <v/>
      </c>
      <c r="J2508" s="36" t="str">
        <f aca="false">IF(Raw_Export!$A2508="","",IF(COUNTIF($A$2:A2508,A2508)&gt;1,"Duplicate",""))</f>
        <v/>
      </c>
      <c r="K2508" s="36" t="str">
        <f aca="false">IF(Raw_Export!$A2508="","",IF(J2508="Duplicate","Duplicate",IF(OR(C2508="UNMAPPED",D2508="UNMAPPED"),"Unmapped",IF(F2508=0,"Blank qty",IF(F2508&lt;0,"Return","OK")))))</f>
        <v/>
      </c>
      <c r="L2508" s="36" t="str">
        <f aca="false">IF(Raw_Export!$A2508="","",IF(OR(K2508="OK",K2508="Return"),1,0))</f>
        <v/>
      </c>
      <c r="M2508" s="37" t="str">
        <f aca="false">IF(Raw_Export!$A2508="","",B2508-WEEKDAY(B2508,2)+1)</f>
        <v/>
      </c>
    </row>
    <row r="2509" customFormat="false" ht="15" hidden="false" customHeight="false" outlineLevel="0" collapsed="false">
      <c r="A2509" s="36" t="str">
        <f aca="false">IF(Raw_Export!$A2509="","",TRIM(Raw_Export!A2509))</f>
        <v/>
      </c>
      <c r="B2509" s="37" t="str">
        <f aca="false">IF(Raw_Export!$A2509="","",IF(ISNUMBER(Raw_Export!B2509),Raw_Export!B2509,IF(MID(TRIM(Raw_Export!B2509),5,1)="-",DATE(LEFT(TRIM(Raw_Export!B2509),4),MID(TRIM(Raw_Export!B2509),6,2),RIGHT(TRIM(Raw_Export!B2509),2)),DATE(RIGHT(TRIM(Raw_Export!B2509),4),MATCH(MID(TRIM(Raw_Export!B2509),4,3),{"Jan","Feb","Mar","Apr","May","Jun","Jul","Aug","Sep","Oct","Nov","Dec"},0),LEFT(TRIM(Raw_Export!B2509),2)))))</f>
        <v/>
      </c>
      <c r="C2509" s="36" t="str">
        <f aca="false">IF(Raw_Export!$A2509="","",IFERROR(VLOOKUP(LOWER(TRIM(Raw_Export!C2509)),Maps!$A$2:$B$20,2,FALSE()),"UNMAPPED"))</f>
        <v/>
      </c>
      <c r="D2509" s="36" t="str">
        <f aca="false">IF(Raw_Export!$A2509="","",IFERROR(VLOOKUP(LOWER(TRIM(Raw_Export!D2509)),Maps!$G$2:$I$80,2,FALSE()),"UNMAPPED"))</f>
        <v/>
      </c>
      <c r="E2509" s="36" t="str">
        <f aca="false">IF(Raw_Export!$A2509="","",IFERROR(VLOOKUP(LOWER(TRIM(Raw_Export!D2509)),Maps!$G$2:$I$80,3,FALSE()),"UNMAPPED"))</f>
        <v/>
      </c>
      <c r="F2509" s="36" t="str">
        <f aca="false">IF(Raw_Export!$A2509="","",IFERROR(VALUE(TRIM(Raw_Export!E2509)),0))</f>
        <v/>
      </c>
      <c r="G2509" s="38" t="str">
        <f aca="false">IF(Raw_Export!$A2509="","",IFERROR(VALUE(SUBSTITUTE(SUBSTITUTE(UPPER(TRIM(Raw_Export!F2509)),"KES",""),",","")),0))</f>
        <v/>
      </c>
      <c r="H2509" s="38" t="str">
        <f aca="false">IF(Raw_Export!$A2509="","",F2509*G2509)</f>
        <v/>
      </c>
      <c r="I2509" s="36" t="str">
        <f aca="false">IF(Raw_Export!$A2509="","",IFERROR(VLOOKUP(LOWER(TRIM(Raw_Export!H2509)),Maps!$D$2:$E$12,2,FALSE()),"Other"))</f>
        <v/>
      </c>
      <c r="J2509" s="36" t="str">
        <f aca="false">IF(Raw_Export!$A2509="","",IF(COUNTIF($A$2:A2509,A2509)&gt;1,"Duplicate",""))</f>
        <v/>
      </c>
      <c r="K2509" s="36" t="str">
        <f aca="false">IF(Raw_Export!$A2509="","",IF(J2509="Duplicate","Duplicate",IF(OR(C2509="UNMAPPED",D2509="UNMAPPED"),"Unmapped",IF(F2509=0,"Blank qty",IF(F2509&lt;0,"Return","OK")))))</f>
        <v/>
      </c>
      <c r="L2509" s="36" t="str">
        <f aca="false">IF(Raw_Export!$A2509="","",IF(OR(K2509="OK",K2509="Return"),1,0))</f>
        <v/>
      </c>
      <c r="M2509" s="37" t="str">
        <f aca="false">IF(Raw_Export!$A2509="","",B2509-WEEKDAY(B2509,2)+1)</f>
        <v/>
      </c>
    </row>
    <row r="2510" customFormat="false" ht="15" hidden="false" customHeight="false" outlineLevel="0" collapsed="false">
      <c r="A2510" s="36" t="str">
        <f aca="false">IF(Raw_Export!$A2510="","",TRIM(Raw_Export!A2510))</f>
        <v/>
      </c>
      <c r="B2510" s="37" t="str">
        <f aca="false">IF(Raw_Export!$A2510="","",IF(ISNUMBER(Raw_Export!B2510),Raw_Export!B2510,IF(MID(TRIM(Raw_Export!B2510),5,1)="-",DATE(LEFT(TRIM(Raw_Export!B2510),4),MID(TRIM(Raw_Export!B2510),6,2),RIGHT(TRIM(Raw_Export!B2510),2)),DATE(RIGHT(TRIM(Raw_Export!B2510),4),MATCH(MID(TRIM(Raw_Export!B2510),4,3),{"Jan","Feb","Mar","Apr","May","Jun","Jul","Aug","Sep","Oct","Nov","Dec"},0),LEFT(TRIM(Raw_Export!B2510),2)))))</f>
        <v/>
      </c>
      <c r="C2510" s="36" t="str">
        <f aca="false">IF(Raw_Export!$A2510="","",IFERROR(VLOOKUP(LOWER(TRIM(Raw_Export!C2510)),Maps!$A$2:$B$20,2,FALSE()),"UNMAPPED"))</f>
        <v/>
      </c>
      <c r="D2510" s="36" t="str">
        <f aca="false">IF(Raw_Export!$A2510="","",IFERROR(VLOOKUP(LOWER(TRIM(Raw_Export!D2510)),Maps!$G$2:$I$80,2,FALSE()),"UNMAPPED"))</f>
        <v/>
      </c>
      <c r="E2510" s="36" t="str">
        <f aca="false">IF(Raw_Export!$A2510="","",IFERROR(VLOOKUP(LOWER(TRIM(Raw_Export!D2510)),Maps!$G$2:$I$80,3,FALSE()),"UNMAPPED"))</f>
        <v/>
      </c>
      <c r="F2510" s="36" t="str">
        <f aca="false">IF(Raw_Export!$A2510="","",IFERROR(VALUE(TRIM(Raw_Export!E2510)),0))</f>
        <v/>
      </c>
      <c r="G2510" s="38" t="str">
        <f aca="false">IF(Raw_Export!$A2510="","",IFERROR(VALUE(SUBSTITUTE(SUBSTITUTE(UPPER(TRIM(Raw_Export!F2510)),"KES",""),",","")),0))</f>
        <v/>
      </c>
      <c r="H2510" s="38" t="str">
        <f aca="false">IF(Raw_Export!$A2510="","",F2510*G2510)</f>
        <v/>
      </c>
      <c r="I2510" s="36" t="str">
        <f aca="false">IF(Raw_Export!$A2510="","",IFERROR(VLOOKUP(LOWER(TRIM(Raw_Export!H2510)),Maps!$D$2:$E$12,2,FALSE()),"Other"))</f>
        <v/>
      </c>
      <c r="J2510" s="36" t="str">
        <f aca="false">IF(Raw_Export!$A2510="","",IF(COUNTIF($A$2:A2510,A2510)&gt;1,"Duplicate",""))</f>
        <v/>
      </c>
      <c r="K2510" s="36" t="str">
        <f aca="false">IF(Raw_Export!$A2510="","",IF(J2510="Duplicate","Duplicate",IF(OR(C2510="UNMAPPED",D2510="UNMAPPED"),"Unmapped",IF(F2510=0,"Blank qty",IF(F2510&lt;0,"Return","OK")))))</f>
        <v/>
      </c>
      <c r="L2510" s="36" t="str">
        <f aca="false">IF(Raw_Export!$A2510="","",IF(OR(K2510="OK",K2510="Return"),1,0))</f>
        <v/>
      </c>
      <c r="M2510" s="37" t="str">
        <f aca="false">IF(Raw_Export!$A2510="","",B2510-WEEKDAY(B2510,2)+1)</f>
        <v/>
      </c>
    </row>
    <row r="2511" customFormat="false" ht="15" hidden="false" customHeight="false" outlineLevel="0" collapsed="false">
      <c r="A2511" s="36" t="str">
        <f aca="false">IF(Raw_Export!$A2511="","",TRIM(Raw_Export!A2511))</f>
        <v/>
      </c>
      <c r="B2511" s="37" t="str">
        <f aca="false">IF(Raw_Export!$A2511="","",IF(ISNUMBER(Raw_Export!B2511),Raw_Export!B2511,IF(MID(TRIM(Raw_Export!B2511),5,1)="-",DATE(LEFT(TRIM(Raw_Export!B2511),4),MID(TRIM(Raw_Export!B2511),6,2),RIGHT(TRIM(Raw_Export!B2511),2)),DATE(RIGHT(TRIM(Raw_Export!B2511),4),MATCH(MID(TRIM(Raw_Export!B2511),4,3),{"Jan","Feb","Mar","Apr","May","Jun","Jul","Aug","Sep","Oct","Nov","Dec"},0),LEFT(TRIM(Raw_Export!B2511),2)))))</f>
        <v/>
      </c>
      <c r="C2511" s="36" t="str">
        <f aca="false">IF(Raw_Export!$A2511="","",IFERROR(VLOOKUP(LOWER(TRIM(Raw_Export!C2511)),Maps!$A$2:$B$20,2,FALSE()),"UNMAPPED"))</f>
        <v/>
      </c>
      <c r="D2511" s="36" t="str">
        <f aca="false">IF(Raw_Export!$A2511="","",IFERROR(VLOOKUP(LOWER(TRIM(Raw_Export!D2511)),Maps!$G$2:$I$80,2,FALSE()),"UNMAPPED"))</f>
        <v/>
      </c>
      <c r="E2511" s="36" t="str">
        <f aca="false">IF(Raw_Export!$A2511="","",IFERROR(VLOOKUP(LOWER(TRIM(Raw_Export!D2511)),Maps!$G$2:$I$80,3,FALSE()),"UNMAPPED"))</f>
        <v/>
      </c>
      <c r="F2511" s="36" t="str">
        <f aca="false">IF(Raw_Export!$A2511="","",IFERROR(VALUE(TRIM(Raw_Export!E2511)),0))</f>
        <v/>
      </c>
      <c r="G2511" s="38" t="str">
        <f aca="false">IF(Raw_Export!$A2511="","",IFERROR(VALUE(SUBSTITUTE(SUBSTITUTE(UPPER(TRIM(Raw_Export!F2511)),"KES",""),",","")),0))</f>
        <v/>
      </c>
      <c r="H2511" s="38" t="str">
        <f aca="false">IF(Raw_Export!$A2511="","",F2511*G2511)</f>
        <v/>
      </c>
      <c r="I2511" s="36" t="str">
        <f aca="false">IF(Raw_Export!$A2511="","",IFERROR(VLOOKUP(LOWER(TRIM(Raw_Export!H2511)),Maps!$D$2:$E$12,2,FALSE()),"Other"))</f>
        <v/>
      </c>
      <c r="J2511" s="36" t="str">
        <f aca="false">IF(Raw_Export!$A2511="","",IF(COUNTIF($A$2:A2511,A2511)&gt;1,"Duplicate",""))</f>
        <v/>
      </c>
      <c r="K2511" s="36" t="str">
        <f aca="false">IF(Raw_Export!$A2511="","",IF(J2511="Duplicate","Duplicate",IF(OR(C2511="UNMAPPED",D2511="UNMAPPED"),"Unmapped",IF(F2511=0,"Blank qty",IF(F2511&lt;0,"Return","OK")))))</f>
        <v/>
      </c>
      <c r="L2511" s="36" t="str">
        <f aca="false">IF(Raw_Export!$A2511="","",IF(OR(K2511="OK",K2511="Return"),1,0))</f>
        <v/>
      </c>
      <c r="M2511" s="37" t="str">
        <f aca="false">IF(Raw_Export!$A2511="","",B2511-WEEKDAY(B2511,2)+1)</f>
        <v/>
      </c>
    </row>
    <row r="2512" customFormat="false" ht="15" hidden="false" customHeight="false" outlineLevel="0" collapsed="false">
      <c r="A2512" s="36" t="str">
        <f aca="false">IF(Raw_Export!$A2512="","",TRIM(Raw_Export!A2512))</f>
        <v/>
      </c>
      <c r="B2512" s="37" t="str">
        <f aca="false">IF(Raw_Export!$A2512="","",IF(ISNUMBER(Raw_Export!B2512),Raw_Export!B2512,IF(MID(TRIM(Raw_Export!B2512),5,1)="-",DATE(LEFT(TRIM(Raw_Export!B2512),4),MID(TRIM(Raw_Export!B2512),6,2),RIGHT(TRIM(Raw_Export!B2512),2)),DATE(RIGHT(TRIM(Raw_Export!B2512),4),MATCH(MID(TRIM(Raw_Export!B2512),4,3),{"Jan","Feb","Mar","Apr","May","Jun","Jul","Aug","Sep","Oct","Nov","Dec"},0),LEFT(TRIM(Raw_Export!B2512),2)))))</f>
        <v/>
      </c>
      <c r="C2512" s="36" t="str">
        <f aca="false">IF(Raw_Export!$A2512="","",IFERROR(VLOOKUP(LOWER(TRIM(Raw_Export!C2512)),Maps!$A$2:$B$20,2,FALSE()),"UNMAPPED"))</f>
        <v/>
      </c>
      <c r="D2512" s="36" t="str">
        <f aca="false">IF(Raw_Export!$A2512="","",IFERROR(VLOOKUP(LOWER(TRIM(Raw_Export!D2512)),Maps!$G$2:$I$80,2,FALSE()),"UNMAPPED"))</f>
        <v/>
      </c>
      <c r="E2512" s="36" t="str">
        <f aca="false">IF(Raw_Export!$A2512="","",IFERROR(VLOOKUP(LOWER(TRIM(Raw_Export!D2512)),Maps!$G$2:$I$80,3,FALSE()),"UNMAPPED"))</f>
        <v/>
      </c>
      <c r="F2512" s="36" t="str">
        <f aca="false">IF(Raw_Export!$A2512="","",IFERROR(VALUE(TRIM(Raw_Export!E2512)),0))</f>
        <v/>
      </c>
      <c r="G2512" s="38" t="str">
        <f aca="false">IF(Raw_Export!$A2512="","",IFERROR(VALUE(SUBSTITUTE(SUBSTITUTE(UPPER(TRIM(Raw_Export!F2512)),"KES",""),",","")),0))</f>
        <v/>
      </c>
      <c r="H2512" s="38" t="str">
        <f aca="false">IF(Raw_Export!$A2512="","",F2512*G2512)</f>
        <v/>
      </c>
      <c r="I2512" s="36" t="str">
        <f aca="false">IF(Raw_Export!$A2512="","",IFERROR(VLOOKUP(LOWER(TRIM(Raw_Export!H2512)),Maps!$D$2:$E$12,2,FALSE()),"Other"))</f>
        <v/>
      </c>
      <c r="J2512" s="36" t="str">
        <f aca="false">IF(Raw_Export!$A2512="","",IF(COUNTIF($A$2:A2512,A2512)&gt;1,"Duplicate",""))</f>
        <v/>
      </c>
      <c r="K2512" s="36" t="str">
        <f aca="false">IF(Raw_Export!$A2512="","",IF(J2512="Duplicate","Duplicate",IF(OR(C2512="UNMAPPED",D2512="UNMAPPED"),"Unmapped",IF(F2512=0,"Blank qty",IF(F2512&lt;0,"Return","OK")))))</f>
        <v/>
      </c>
      <c r="L2512" s="36" t="str">
        <f aca="false">IF(Raw_Export!$A2512="","",IF(OR(K2512="OK",K2512="Return"),1,0))</f>
        <v/>
      </c>
      <c r="M2512" s="37" t="str">
        <f aca="false">IF(Raw_Export!$A2512="","",B2512-WEEKDAY(B2512,2)+1)</f>
        <v/>
      </c>
    </row>
    <row r="2513" customFormat="false" ht="15" hidden="false" customHeight="false" outlineLevel="0" collapsed="false">
      <c r="A2513" s="36" t="str">
        <f aca="false">IF(Raw_Export!$A2513="","",TRIM(Raw_Export!A2513))</f>
        <v/>
      </c>
      <c r="B2513" s="37" t="str">
        <f aca="false">IF(Raw_Export!$A2513="","",IF(ISNUMBER(Raw_Export!B2513),Raw_Export!B2513,IF(MID(TRIM(Raw_Export!B2513),5,1)="-",DATE(LEFT(TRIM(Raw_Export!B2513),4),MID(TRIM(Raw_Export!B2513),6,2),RIGHT(TRIM(Raw_Export!B2513),2)),DATE(RIGHT(TRIM(Raw_Export!B2513),4),MATCH(MID(TRIM(Raw_Export!B2513),4,3),{"Jan","Feb","Mar","Apr","May","Jun","Jul","Aug","Sep","Oct","Nov","Dec"},0),LEFT(TRIM(Raw_Export!B2513),2)))))</f>
        <v/>
      </c>
      <c r="C2513" s="36" t="str">
        <f aca="false">IF(Raw_Export!$A2513="","",IFERROR(VLOOKUP(LOWER(TRIM(Raw_Export!C2513)),Maps!$A$2:$B$20,2,FALSE()),"UNMAPPED"))</f>
        <v/>
      </c>
      <c r="D2513" s="36" t="str">
        <f aca="false">IF(Raw_Export!$A2513="","",IFERROR(VLOOKUP(LOWER(TRIM(Raw_Export!D2513)),Maps!$G$2:$I$80,2,FALSE()),"UNMAPPED"))</f>
        <v/>
      </c>
      <c r="E2513" s="36" t="str">
        <f aca="false">IF(Raw_Export!$A2513="","",IFERROR(VLOOKUP(LOWER(TRIM(Raw_Export!D2513)),Maps!$G$2:$I$80,3,FALSE()),"UNMAPPED"))</f>
        <v/>
      </c>
      <c r="F2513" s="36" t="str">
        <f aca="false">IF(Raw_Export!$A2513="","",IFERROR(VALUE(TRIM(Raw_Export!E2513)),0))</f>
        <v/>
      </c>
      <c r="G2513" s="38" t="str">
        <f aca="false">IF(Raw_Export!$A2513="","",IFERROR(VALUE(SUBSTITUTE(SUBSTITUTE(UPPER(TRIM(Raw_Export!F2513)),"KES",""),",","")),0))</f>
        <v/>
      </c>
      <c r="H2513" s="38" t="str">
        <f aca="false">IF(Raw_Export!$A2513="","",F2513*G2513)</f>
        <v/>
      </c>
      <c r="I2513" s="36" t="str">
        <f aca="false">IF(Raw_Export!$A2513="","",IFERROR(VLOOKUP(LOWER(TRIM(Raw_Export!H2513)),Maps!$D$2:$E$12,2,FALSE()),"Other"))</f>
        <v/>
      </c>
      <c r="J2513" s="36" t="str">
        <f aca="false">IF(Raw_Export!$A2513="","",IF(COUNTIF($A$2:A2513,A2513)&gt;1,"Duplicate",""))</f>
        <v/>
      </c>
      <c r="K2513" s="36" t="str">
        <f aca="false">IF(Raw_Export!$A2513="","",IF(J2513="Duplicate","Duplicate",IF(OR(C2513="UNMAPPED",D2513="UNMAPPED"),"Unmapped",IF(F2513=0,"Blank qty",IF(F2513&lt;0,"Return","OK")))))</f>
        <v/>
      </c>
      <c r="L2513" s="36" t="str">
        <f aca="false">IF(Raw_Export!$A2513="","",IF(OR(K2513="OK",K2513="Return"),1,0))</f>
        <v/>
      </c>
      <c r="M2513" s="37" t="str">
        <f aca="false">IF(Raw_Export!$A2513="","",B2513-WEEKDAY(B2513,2)+1)</f>
        <v/>
      </c>
    </row>
    <row r="2514" customFormat="false" ht="15" hidden="false" customHeight="false" outlineLevel="0" collapsed="false">
      <c r="A2514" s="36" t="str">
        <f aca="false">IF(Raw_Export!$A2514="","",TRIM(Raw_Export!A2514))</f>
        <v/>
      </c>
      <c r="B2514" s="37" t="str">
        <f aca="false">IF(Raw_Export!$A2514="","",IF(ISNUMBER(Raw_Export!B2514),Raw_Export!B2514,IF(MID(TRIM(Raw_Export!B2514),5,1)="-",DATE(LEFT(TRIM(Raw_Export!B2514),4),MID(TRIM(Raw_Export!B2514),6,2),RIGHT(TRIM(Raw_Export!B2514),2)),DATE(RIGHT(TRIM(Raw_Export!B2514),4),MATCH(MID(TRIM(Raw_Export!B2514),4,3),{"Jan","Feb","Mar","Apr","May","Jun","Jul","Aug","Sep","Oct","Nov","Dec"},0),LEFT(TRIM(Raw_Export!B2514),2)))))</f>
        <v/>
      </c>
      <c r="C2514" s="36" t="str">
        <f aca="false">IF(Raw_Export!$A2514="","",IFERROR(VLOOKUP(LOWER(TRIM(Raw_Export!C2514)),Maps!$A$2:$B$20,2,FALSE()),"UNMAPPED"))</f>
        <v/>
      </c>
      <c r="D2514" s="36" t="str">
        <f aca="false">IF(Raw_Export!$A2514="","",IFERROR(VLOOKUP(LOWER(TRIM(Raw_Export!D2514)),Maps!$G$2:$I$80,2,FALSE()),"UNMAPPED"))</f>
        <v/>
      </c>
      <c r="E2514" s="36" t="str">
        <f aca="false">IF(Raw_Export!$A2514="","",IFERROR(VLOOKUP(LOWER(TRIM(Raw_Export!D2514)),Maps!$G$2:$I$80,3,FALSE()),"UNMAPPED"))</f>
        <v/>
      </c>
      <c r="F2514" s="36" t="str">
        <f aca="false">IF(Raw_Export!$A2514="","",IFERROR(VALUE(TRIM(Raw_Export!E2514)),0))</f>
        <v/>
      </c>
      <c r="G2514" s="38" t="str">
        <f aca="false">IF(Raw_Export!$A2514="","",IFERROR(VALUE(SUBSTITUTE(SUBSTITUTE(UPPER(TRIM(Raw_Export!F2514)),"KES",""),",","")),0))</f>
        <v/>
      </c>
      <c r="H2514" s="38" t="str">
        <f aca="false">IF(Raw_Export!$A2514="","",F2514*G2514)</f>
        <v/>
      </c>
      <c r="I2514" s="36" t="str">
        <f aca="false">IF(Raw_Export!$A2514="","",IFERROR(VLOOKUP(LOWER(TRIM(Raw_Export!H2514)),Maps!$D$2:$E$12,2,FALSE()),"Other"))</f>
        <v/>
      </c>
      <c r="J2514" s="36" t="str">
        <f aca="false">IF(Raw_Export!$A2514="","",IF(COUNTIF($A$2:A2514,A2514)&gt;1,"Duplicate",""))</f>
        <v/>
      </c>
      <c r="K2514" s="36" t="str">
        <f aca="false">IF(Raw_Export!$A2514="","",IF(J2514="Duplicate","Duplicate",IF(OR(C2514="UNMAPPED",D2514="UNMAPPED"),"Unmapped",IF(F2514=0,"Blank qty",IF(F2514&lt;0,"Return","OK")))))</f>
        <v/>
      </c>
      <c r="L2514" s="36" t="str">
        <f aca="false">IF(Raw_Export!$A2514="","",IF(OR(K2514="OK",K2514="Return"),1,0))</f>
        <v/>
      </c>
      <c r="M2514" s="37" t="str">
        <f aca="false">IF(Raw_Export!$A2514="","",B2514-WEEKDAY(B2514,2)+1)</f>
        <v/>
      </c>
    </row>
    <row r="2515" customFormat="false" ht="15" hidden="false" customHeight="false" outlineLevel="0" collapsed="false">
      <c r="A2515" s="36" t="str">
        <f aca="false">IF(Raw_Export!$A2515="","",TRIM(Raw_Export!A2515))</f>
        <v/>
      </c>
      <c r="B2515" s="37" t="str">
        <f aca="false">IF(Raw_Export!$A2515="","",IF(ISNUMBER(Raw_Export!B2515),Raw_Export!B2515,IF(MID(TRIM(Raw_Export!B2515),5,1)="-",DATE(LEFT(TRIM(Raw_Export!B2515),4),MID(TRIM(Raw_Export!B2515),6,2),RIGHT(TRIM(Raw_Export!B2515),2)),DATE(RIGHT(TRIM(Raw_Export!B2515),4),MATCH(MID(TRIM(Raw_Export!B2515),4,3),{"Jan","Feb","Mar","Apr","May","Jun","Jul","Aug","Sep","Oct","Nov","Dec"},0),LEFT(TRIM(Raw_Export!B2515),2)))))</f>
        <v/>
      </c>
      <c r="C2515" s="36" t="str">
        <f aca="false">IF(Raw_Export!$A2515="","",IFERROR(VLOOKUP(LOWER(TRIM(Raw_Export!C2515)),Maps!$A$2:$B$20,2,FALSE()),"UNMAPPED"))</f>
        <v/>
      </c>
      <c r="D2515" s="36" t="str">
        <f aca="false">IF(Raw_Export!$A2515="","",IFERROR(VLOOKUP(LOWER(TRIM(Raw_Export!D2515)),Maps!$G$2:$I$80,2,FALSE()),"UNMAPPED"))</f>
        <v/>
      </c>
      <c r="E2515" s="36" t="str">
        <f aca="false">IF(Raw_Export!$A2515="","",IFERROR(VLOOKUP(LOWER(TRIM(Raw_Export!D2515)),Maps!$G$2:$I$80,3,FALSE()),"UNMAPPED"))</f>
        <v/>
      </c>
      <c r="F2515" s="36" t="str">
        <f aca="false">IF(Raw_Export!$A2515="","",IFERROR(VALUE(TRIM(Raw_Export!E2515)),0))</f>
        <v/>
      </c>
      <c r="G2515" s="38" t="str">
        <f aca="false">IF(Raw_Export!$A2515="","",IFERROR(VALUE(SUBSTITUTE(SUBSTITUTE(UPPER(TRIM(Raw_Export!F2515)),"KES",""),",","")),0))</f>
        <v/>
      </c>
      <c r="H2515" s="38" t="str">
        <f aca="false">IF(Raw_Export!$A2515="","",F2515*G2515)</f>
        <v/>
      </c>
      <c r="I2515" s="36" t="str">
        <f aca="false">IF(Raw_Export!$A2515="","",IFERROR(VLOOKUP(LOWER(TRIM(Raw_Export!H2515)),Maps!$D$2:$E$12,2,FALSE()),"Other"))</f>
        <v/>
      </c>
      <c r="J2515" s="36" t="str">
        <f aca="false">IF(Raw_Export!$A2515="","",IF(COUNTIF($A$2:A2515,A2515)&gt;1,"Duplicate",""))</f>
        <v/>
      </c>
      <c r="K2515" s="36" t="str">
        <f aca="false">IF(Raw_Export!$A2515="","",IF(J2515="Duplicate","Duplicate",IF(OR(C2515="UNMAPPED",D2515="UNMAPPED"),"Unmapped",IF(F2515=0,"Blank qty",IF(F2515&lt;0,"Return","OK")))))</f>
        <v/>
      </c>
      <c r="L2515" s="36" t="str">
        <f aca="false">IF(Raw_Export!$A2515="","",IF(OR(K2515="OK",K2515="Return"),1,0))</f>
        <v/>
      </c>
      <c r="M2515" s="37" t="str">
        <f aca="false">IF(Raw_Export!$A2515="","",B2515-WEEKDAY(B2515,2)+1)</f>
        <v/>
      </c>
    </row>
    <row r="2516" customFormat="false" ht="15" hidden="false" customHeight="false" outlineLevel="0" collapsed="false">
      <c r="A2516" s="36" t="str">
        <f aca="false">IF(Raw_Export!$A2516="","",TRIM(Raw_Export!A2516))</f>
        <v/>
      </c>
      <c r="B2516" s="37" t="str">
        <f aca="false">IF(Raw_Export!$A2516="","",IF(ISNUMBER(Raw_Export!B2516),Raw_Export!B2516,IF(MID(TRIM(Raw_Export!B2516),5,1)="-",DATE(LEFT(TRIM(Raw_Export!B2516),4),MID(TRIM(Raw_Export!B2516),6,2),RIGHT(TRIM(Raw_Export!B2516),2)),DATE(RIGHT(TRIM(Raw_Export!B2516),4),MATCH(MID(TRIM(Raw_Export!B2516),4,3),{"Jan","Feb","Mar","Apr","May","Jun","Jul","Aug","Sep","Oct","Nov","Dec"},0),LEFT(TRIM(Raw_Export!B2516),2)))))</f>
        <v/>
      </c>
      <c r="C2516" s="36" t="str">
        <f aca="false">IF(Raw_Export!$A2516="","",IFERROR(VLOOKUP(LOWER(TRIM(Raw_Export!C2516)),Maps!$A$2:$B$20,2,FALSE()),"UNMAPPED"))</f>
        <v/>
      </c>
      <c r="D2516" s="36" t="str">
        <f aca="false">IF(Raw_Export!$A2516="","",IFERROR(VLOOKUP(LOWER(TRIM(Raw_Export!D2516)),Maps!$G$2:$I$80,2,FALSE()),"UNMAPPED"))</f>
        <v/>
      </c>
      <c r="E2516" s="36" t="str">
        <f aca="false">IF(Raw_Export!$A2516="","",IFERROR(VLOOKUP(LOWER(TRIM(Raw_Export!D2516)),Maps!$G$2:$I$80,3,FALSE()),"UNMAPPED"))</f>
        <v/>
      </c>
      <c r="F2516" s="36" t="str">
        <f aca="false">IF(Raw_Export!$A2516="","",IFERROR(VALUE(TRIM(Raw_Export!E2516)),0))</f>
        <v/>
      </c>
      <c r="G2516" s="38" t="str">
        <f aca="false">IF(Raw_Export!$A2516="","",IFERROR(VALUE(SUBSTITUTE(SUBSTITUTE(UPPER(TRIM(Raw_Export!F2516)),"KES",""),",","")),0))</f>
        <v/>
      </c>
      <c r="H2516" s="38" t="str">
        <f aca="false">IF(Raw_Export!$A2516="","",F2516*G2516)</f>
        <v/>
      </c>
      <c r="I2516" s="36" t="str">
        <f aca="false">IF(Raw_Export!$A2516="","",IFERROR(VLOOKUP(LOWER(TRIM(Raw_Export!H2516)),Maps!$D$2:$E$12,2,FALSE()),"Other"))</f>
        <v/>
      </c>
      <c r="J2516" s="36" t="str">
        <f aca="false">IF(Raw_Export!$A2516="","",IF(COUNTIF($A$2:A2516,A2516)&gt;1,"Duplicate",""))</f>
        <v/>
      </c>
      <c r="K2516" s="36" t="str">
        <f aca="false">IF(Raw_Export!$A2516="","",IF(J2516="Duplicate","Duplicate",IF(OR(C2516="UNMAPPED",D2516="UNMAPPED"),"Unmapped",IF(F2516=0,"Blank qty",IF(F2516&lt;0,"Return","OK")))))</f>
        <v/>
      </c>
      <c r="L2516" s="36" t="str">
        <f aca="false">IF(Raw_Export!$A2516="","",IF(OR(K2516="OK",K2516="Return"),1,0))</f>
        <v/>
      </c>
      <c r="M2516" s="37" t="str">
        <f aca="false">IF(Raw_Export!$A2516="","",B2516-WEEKDAY(B2516,2)+1)</f>
        <v/>
      </c>
    </row>
    <row r="2517" customFormat="false" ht="15" hidden="false" customHeight="false" outlineLevel="0" collapsed="false">
      <c r="A2517" s="36" t="str">
        <f aca="false">IF(Raw_Export!$A2517="","",TRIM(Raw_Export!A2517))</f>
        <v/>
      </c>
      <c r="B2517" s="37" t="str">
        <f aca="false">IF(Raw_Export!$A2517="","",IF(ISNUMBER(Raw_Export!B2517),Raw_Export!B2517,IF(MID(TRIM(Raw_Export!B2517),5,1)="-",DATE(LEFT(TRIM(Raw_Export!B2517),4),MID(TRIM(Raw_Export!B2517),6,2),RIGHT(TRIM(Raw_Export!B2517),2)),DATE(RIGHT(TRIM(Raw_Export!B2517),4),MATCH(MID(TRIM(Raw_Export!B2517),4,3),{"Jan","Feb","Mar","Apr","May","Jun","Jul","Aug","Sep","Oct","Nov","Dec"},0),LEFT(TRIM(Raw_Export!B2517),2)))))</f>
        <v/>
      </c>
      <c r="C2517" s="36" t="str">
        <f aca="false">IF(Raw_Export!$A2517="","",IFERROR(VLOOKUP(LOWER(TRIM(Raw_Export!C2517)),Maps!$A$2:$B$20,2,FALSE()),"UNMAPPED"))</f>
        <v/>
      </c>
      <c r="D2517" s="36" t="str">
        <f aca="false">IF(Raw_Export!$A2517="","",IFERROR(VLOOKUP(LOWER(TRIM(Raw_Export!D2517)),Maps!$G$2:$I$80,2,FALSE()),"UNMAPPED"))</f>
        <v/>
      </c>
      <c r="E2517" s="36" t="str">
        <f aca="false">IF(Raw_Export!$A2517="","",IFERROR(VLOOKUP(LOWER(TRIM(Raw_Export!D2517)),Maps!$G$2:$I$80,3,FALSE()),"UNMAPPED"))</f>
        <v/>
      </c>
      <c r="F2517" s="36" t="str">
        <f aca="false">IF(Raw_Export!$A2517="","",IFERROR(VALUE(TRIM(Raw_Export!E2517)),0))</f>
        <v/>
      </c>
      <c r="G2517" s="38" t="str">
        <f aca="false">IF(Raw_Export!$A2517="","",IFERROR(VALUE(SUBSTITUTE(SUBSTITUTE(UPPER(TRIM(Raw_Export!F2517)),"KES",""),",","")),0))</f>
        <v/>
      </c>
      <c r="H2517" s="38" t="str">
        <f aca="false">IF(Raw_Export!$A2517="","",F2517*G2517)</f>
        <v/>
      </c>
      <c r="I2517" s="36" t="str">
        <f aca="false">IF(Raw_Export!$A2517="","",IFERROR(VLOOKUP(LOWER(TRIM(Raw_Export!H2517)),Maps!$D$2:$E$12,2,FALSE()),"Other"))</f>
        <v/>
      </c>
      <c r="J2517" s="36" t="str">
        <f aca="false">IF(Raw_Export!$A2517="","",IF(COUNTIF($A$2:A2517,A2517)&gt;1,"Duplicate",""))</f>
        <v/>
      </c>
      <c r="K2517" s="36" t="str">
        <f aca="false">IF(Raw_Export!$A2517="","",IF(J2517="Duplicate","Duplicate",IF(OR(C2517="UNMAPPED",D2517="UNMAPPED"),"Unmapped",IF(F2517=0,"Blank qty",IF(F2517&lt;0,"Return","OK")))))</f>
        <v/>
      </c>
      <c r="L2517" s="36" t="str">
        <f aca="false">IF(Raw_Export!$A2517="","",IF(OR(K2517="OK",K2517="Return"),1,0))</f>
        <v/>
      </c>
      <c r="M2517" s="37" t="str">
        <f aca="false">IF(Raw_Export!$A2517="","",B2517-WEEKDAY(B2517,2)+1)</f>
        <v/>
      </c>
    </row>
    <row r="2518" customFormat="false" ht="15" hidden="false" customHeight="false" outlineLevel="0" collapsed="false">
      <c r="A2518" s="36" t="str">
        <f aca="false">IF(Raw_Export!$A2518="","",TRIM(Raw_Export!A2518))</f>
        <v/>
      </c>
      <c r="B2518" s="37" t="str">
        <f aca="false">IF(Raw_Export!$A2518="","",IF(ISNUMBER(Raw_Export!B2518),Raw_Export!B2518,IF(MID(TRIM(Raw_Export!B2518),5,1)="-",DATE(LEFT(TRIM(Raw_Export!B2518),4),MID(TRIM(Raw_Export!B2518),6,2),RIGHT(TRIM(Raw_Export!B2518),2)),DATE(RIGHT(TRIM(Raw_Export!B2518),4),MATCH(MID(TRIM(Raw_Export!B2518),4,3),{"Jan","Feb","Mar","Apr","May","Jun","Jul","Aug","Sep","Oct","Nov","Dec"},0),LEFT(TRIM(Raw_Export!B2518),2)))))</f>
        <v/>
      </c>
      <c r="C2518" s="36" t="str">
        <f aca="false">IF(Raw_Export!$A2518="","",IFERROR(VLOOKUP(LOWER(TRIM(Raw_Export!C2518)),Maps!$A$2:$B$20,2,FALSE()),"UNMAPPED"))</f>
        <v/>
      </c>
      <c r="D2518" s="36" t="str">
        <f aca="false">IF(Raw_Export!$A2518="","",IFERROR(VLOOKUP(LOWER(TRIM(Raw_Export!D2518)),Maps!$G$2:$I$80,2,FALSE()),"UNMAPPED"))</f>
        <v/>
      </c>
      <c r="E2518" s="36" t="str">
        <f aca="false">IF(Raw_Export!$A2518="","",IFERROR(VLOOKUP(LOWER(TRIM(Raw_Export!D2518)),Maps!$G$2:$I$80,3,FALSE()),"UNMAPPED"))</f>
        <v/>
      </c>
      <c r="F2518" s="36" t="str">
        <f aca="false">IF(Raw_Export!$A2518="","",IFERROR(VALUE(TRIM(Raw_Export!E2518)),0))</f>
        <v/>
      </c>
      <c r="G2518" s="38" t="str">
        <f aca="false">IF(Raw_Export!$A2518="","",IFERROR(VALUE(SUBSTITUTE(SUBSTITUTE(UPPER(TRIM(Raw_Export!F2518)),"KES",""),",","")),0))</f>
        <v/>
      </c>
      <c r="H2518" s="38" t="str">
        <f aca="false">IF(Raw_Export!$A2518="","",F2518*G2518)</f>
        <v/>
      </c>
      <c r="I2518" s="36" t="str">
        <f aca="false">IF(Raw_Export!$A2518="","",IFERROR(VLOOKUP(LOWER(TRIM(Raw_Export!H2518)),Maps!$D$2:$E$12,2,FALSE()),"Other"))</f>
        <v/>
      </c>
      <c r="J2518" s="36" t="str">
        <f aca="false">IF(Raw_Export!$A2518="","",IF(COUNTIF($A$2:A2518,A2518)&gt;1,"Duplicate",""))</f>
        <v/>
      </c>
      <c r="K2518" s="36" t="str">
        <f aca="false">IF(Raw_Export!$A2518="","",IF(J2518="Duplicate","Duplicate",IF(OR(C2518="UNMAPPED",D2518="UNMAPPED"),"Unmapped",IF(F2518=0,"Blank qty",IF(F2518&lt;0,"Return","OK")))))</f>
        <v/>
      </c>
      <c r="L2518" s="36" t="str">
        <f aca="false">IF(Raw_Export!$A2518="","",IF(OR(K2518="OK",K2518="Return"),1,0))</f>
        <v/>
      </c>
      <c r="M2518" s="37" t="str">
        <f aca="false">IF(Raw_Export!$A2518="","",B2518-WEEKDAY(B2518,2)+1)</f>
        <v/>
      </c>
    </row>
    <row r="2519" customFormat="false" ht="15" hidden="false" customHeight="false" outlineLevel="0" collapsed="false">
      <c r="A2519" s="36" t="str">
        <f aca="false">IF(Raw_Export!$A2519="","",TRIM(Raw_Export!A2519))</f>
        <v/>
      </c>
      <c r="B2519" s="37" t="str">
        <f aca="false">IF(Raw_Export!$A2519="","",IF(ISNUMBER(Raw_Export!B2519),Raw_Export!B2519,IF(MID(TRIM(Raw_Export!B2519),5,1)="-",DATE(LEFT(TRIM(Raw_Export!B2519),4),MID(TRIM(Raw_Export!B2519),6,2),RIGHT(TRIM(Raw_Export!B2519),2)),DATE(RIGHT(TRIM(Raw_Export!B2519),4),MATCH(MID(TRIM(Raw_Export!B2519),4,3),{"Jan","Feb","Mar","Apr","May","Jun","Jul","Aug","Sep","Oct","Nov","Dec"},0),LEFT(TRIM(Raw_Export!B2519),2)))))</f>
        <v/>
      </c>
      <c r="C2519" s="36" t="str">
        <f aca="false">IF(Raw_Export!$A2519="","",IFERROR(VLOOKUP(LOWER(TRIM(Raw_Export!C2519)),Maps!$A$2:$B$20,2,FALSE()),"UNMAPPED"))</f>
        <v/>
      </c>
      <c r="D2519" s="36" t="str">
        <f aca="false">IF(Raw_Export!$A2519="","",IFERROR(VLOOKUP(LOWER(TRIM(Raw_Export!D2519)),Maps!$G$2:$I$80,2,FALSE()),"UNMAPPED"))</f>
        <v/>
      </c>
      <c r="E2519" s="36" t="str">
        <f aca="false">IF(Raw_Export!$A2519="","",IFERROR(VLOOKUP(LOWER(TRIM(Raw_Export!D2519)),Maps!$G$2:$I$80,3,FALSE()),"UNMAPPED"))</f>
        <v/>
      </c>
      <c r="F2519" s="36" t="str">
        <f aca="false">IF(Raw_Export!$A2519="","",IFERROR(VALUE(TRIM(Raw_Export!E2519)),0))</f>
        <v/>
      </c>
      <c r="G2519" s="38" t="str">
        <f aca="false">IF(Raw_Export!$A2519="","",IFERROR(VALUE(SUBSTITUTE(SUBSTITUTE(UPPER(TRIM(Raw_Export!F2519)),"KES",""),",","")),0))</f>
        <v/>
      </c>
      <c r="H2519" s="38" t="str">
        <f aca="false">IF(Raw_Export!$A2519="","",F2519*G2519)</f>
        <v/>
      </c>
      <c r="I2519" s="36" t="str">
        <f aca="false">IF(Raw_Export!$A2519="","",IFERROR(VLOOKUP(LOWER(TRIM(Raw_Export!H2519)),Maps!$D$2:$E$12,2,FALSE()),"Other"))</f>
        <v/>
      </c>
      <c r="J2519" s="36" t="str">
        <f aca="false">IF(Raw_Export!$A2519="","",IF(COUNTIF($A$2:A2519,A2519)&gt;1,"Duplicate",""))</f>
        <v/>
      </c>
      <c r="K2519" s="36" t="str">
        <f aca="false">IF(Raw_Export!$A2519="","",IF(J2519="Duplicate","Duplicate",IF(OR(C2519="UNMAPPED",D2519="UNMAPPED"),"Unmapped",IF(F2519=0,"Blank qty",IF(F2519&lt;0,"Return","OK")))))</f>
        <v/>
      </c>
      <c r="L2519" s="36" t="str">
        <f aca="false">IF(Raw_Export!$A2519="","",IF(OR(K2519="OK",K2519="Return"),1,0))</f>
        <v/>
      </c>
      <c r="M2519" s="37" t="str">
        <f aca="false">IF(Raw_Export!$A2519="","",B2519-WEEKDAY(B2519,2)+1)</f>
        <v/>
      </c>
    </row>
    <row r="2520" customFormat="false" ht="15" hidden="false" customHeight="false" outlineLevel="0" collapsed="false">
      <c r="A2520" s="36" t="str">
        <f aca="false">IF(Raw_Export!$A2520="","",TRIM(Raw_Export!A2520))</f>
        <v/>
      </c>
      <c r="B2520" s="37" t="str">
        <f aca="false">IF(Raw_Export!$A2520="","",IF(ISNUMBER(Raw_Export!B2520),Raw_Export!B2520,IF(MID(TRIM(Raw_Export!B2520),5,1)="-",DATE(LEFT(TRIM(Raw_Export!B2520),4),MID(TRIM(Raw_Export!B2520),6,2),RIGHT(TRIM(Raw_Export!B2520),2)),DATE(RIGHT(TRIM(Raw_Export!B2520),4),MATCH(MID(TRIM(Raw_Export!B2520),4,3),{"Jan","Feb","Mar","Apr","May","Jun","Jul","Aug","Sep","Oct","Nov","Dec"},0),LEFT(TRIM(Raw_Export!B2520),2)))))</f>
        <v/>
      </c>
      <c r="C2520" s="36" t="str">
        <f aca="false">IF(Raw_Export!$A2520="","",IFERROR(VLOOKUP(LOWER(TRIM(Raw_Export!C2520)),Maps!$A$2:$B$20,2,FALSE()),"UNMAPPED"))</f>
        <v/>
      </c>
      <c r="D2520" s="36" t="str">
        <f aca="false">IF(Raw_Export!$A2520="","",IFERROR(VLOOKUP(LOWER(TRIM(Raw_Export!D2520)),Maps!$G$2:$I$80,2,FALSE()),"UNMAPPED"))</f>
        <v/>
      </c>
      <c r="E2520" s="36" t="str">
        <f aca="false">IF(Raw_Export!$A2520="","",IFERROR(VLOOKUP(LOWER(TRIM(Raw_Export!D2520)),Maps!$G$2:$I$80,3,FALSE()),"UNMAPPED"))</f>
        <v/>
      </c>
      <c r="F2520" s="36" t="str">
        <f aca="false">IF(Raw_Export!$A2520="","",IFERROR(VALUE(TRIM(Raw_Export!E2520)),0))</f>
        <v/>
      </c>
      <c r="G2520" s="38" t="str">
        <f aca="false">IF(Raw_Export!$A2520="","",IFERROR(VALUE(SUBSTITUTE(SUBSTITUTE(UPPER(TRIM(Raw_Export!F2520)),"KES",""),",","")),0))</f>
        <v/>
      </c>
      <c r="H2520" s="38" t="str">
        <f aca="false">IF(Raw_Export!$A2520="","",F2520*G2520)</f>
        <v/>
      </c>
      <c r="I2520" s="36" t="str">
        <f aca="false">IF(Raw_Export!$A2520="","",IFERROR(VLOOKUP(LOWER(TRIM(Raw_Export!H2520)),Maps!$D$2:$E$12,2,FALSE()),"Other"))</f>
        <v/>
      </c>
      <c r="J2520" s="36" t="str">
        <f aca="false">IF(Raw_Export!$A2520="","",IF(COUNTIF($A$2:A2520,A2520)&gt;1,"Duplicate",""))</f>
        <v/>
      </c>
      <c r="K2520" s="36" t="str">
        <f aca="false">IF(Raw_Export!$A2520="","",IF(J2520="Duplicate","Duplicate",IF(OR(C2520="UNMAPPED",D2520="UNMAPPED"),"Unmapped",IF(F2520=0,"Blank qty",IF(F2520&lt;0,"Return","OK")))))</f>
        <v/>
      </c>
      <c r="L2520" s="36" t="str">
        <f aca="false">IF(Raw_Export!$A2520="","",IF(OR(K2520="OK",K2520="Return"),1,0))</f>
        <v/>
      </c>
      <c r="M2520" s="37" t="str">
        <f aca="false">IF(Raw_Export!$A2520="","",B2520-WEEKDAY(B2520,2)+1)</f>
        <v/>
      </c>
    </row>
    <row r="2521" customFormat="false" ht="15" hidden="false" customHeight="false" outlineLevel="0" collapsed="false">
      <c r="A2521" s="36" t="str">
        <f aca="false">IF(Raw_Export!$A2521="","",TRIM(Raw_Export!A2521))</f>
        <v/>
      </c>
      <c r="B2521" s="37" t="str">
        <f aca="false">IF(Raw_Export!$A2521="","",IF(ISNUMBER(Raw_Export!B2521),Raw_Export!B2521,IF(MID(TRIM(Raw_Export!B2521),5,1)="-",DATE(LEFT(TRIM(Raw_Export!B2521),4),MID(TRIM(Raw_Export!B2521),6,2),RIGHT(TRIM(Raw_Export!B2521),2)),DATE(RIGHT(TRIM(Raw_Export!B2521),4),MATCH(MID(TRIM(Raw_Export!B2521),4,3),{"Jan","Feb","Mar","Apr","May","Jun","Jul","Aug","Sep","Oct","Nov","Dec"},0),LEFT(TRIM(Raw_Export!B2521),2)))))</f>
        <v/>
      </c>
      <c r="C2521" s="36" t="str">
        <f aca="false">IF(Raw_Export!$A2521="","",IFERROR(VLOOKUP(LOWER(TRIM(Raw_Export!C2521)),Maps!$A$2:$B$20,2,FALSE()),"UNMAPPED"))</f>
        <v/>
      </c>
      <c r="D2521" s="36" t="str">
        <f aca="false">IF(Raw_Export!$A2521="","",IFERROR(VLOOKUP(LOWER(TRIM(Raw_Export!D2521)),Maps!$G$2:$I$80,2,FALSE()),"UNMAPPED"))</f>
        <v/>
      </c>
      <c r="E2521" s="36" t="str">
        <f aca="false">IF(Raw_Export!$A2521="","",IFERROR(VLOOKUP(LOWER(TRIM(Raw_Export!D2521)),Maps!$G$2:$I$80,3,FALSE()),"UNMAPPED"))</f>
        <v/>
      </c>
      <c r="F2521" s="36" t="str">
        <f aca="false">IF(Raw_Export!$A2521="","",IFERROR(VALUE(TRIM(Raw_Export!E2521)),0))</f>
        <v/>
      </c>
      <c r="G2521" s="38" t="str">
        <f aca="false">IF(Raw_Export!$A2521="","",IFERROR(VALUE(SUBSTITUTE(SUBSTITUTE(UPPER(TRIM(Raw_Export!F2521)),"KES",""),",","")),0))</f>
        <v/>
      </c>
      <c r="H2521" s="38" t="str">
        <f aca="false">IF(Raw_Export!$A2521="","",F2521*G2521)</f>
        <v/>
      </c>
      <c r="I2521" s="36" t="str">
        <f aca="false">IF(Raw_Export!$A2521="","",IFERROR(VLOOKUP(LOWER(TRIM(Raw_Export!H2521)),Maps!$D$2:$E$12,2,FALSE()),"Other"))</f>
        <v/>
      </c>
      <c r="J2521" s="36" t="str">
        <f aca="false">IF(Raw_Export!$A2521="","",IF(COUNTIF($A$2:A2521,A2521)&gt;1,"Duplicate",""))</f>
        <v/>
      </c>
      <c r="K2521" s="36" t="str">
        <f aca="false">IF(Raw_Export!$A2521="","",IF(J2521="Duplicate","Duplicate",IF(OR(C2521="UNMAPPED",D2521="UNMAPPED"),"Unmapped",IF(F2521=0,"Blank qty",IF(F2521&lt;0,"Return","OK")))))</f>
        <v/>
      </c>
      <c r="L2521" s="36" t="str">
        <f aca="false">IF(Raw_Export!$A2521="","",IF(OR(K2521="OK",K2521="Return"),1,0))</f>
        <v/>
      </c>
      <c r="M2521" s="37" t="str">
        <f aca="false">IF(Raw_Export!$A2521="","",B2521-WEEKDAY(B2521,2)+1)</f>
        <v/>
      </c>
    </row>
    <row r="2522" customFormat="false" ht="15" hidden="false" customHeight="false" outlineLevel="0" collapsed="false">
      <c r="A2522" s="36" t="str">
        <f aca="false">IF(Raw_Export!$A2522="","",TRIM(Raw_Export!A2522))</f>
        <v/>
      </c>
      <c r="B2522" s="37" t="str">
        <f aca="false">IF(Raw_Export!$A2522="","",IF(ISNUMBER(Raw_Export!B2522),Raw_Export!B2522,IF(MID(TRIM(Raw_Export!B2522),5,1)="-",DATE(LEFT(TRIM(Raw_Export!B2522),4),MID(TRIM(Raw_Export!B2522),6,2),RIGHT(TRIM(Raw_Export!B2522),2)),DATE(RIGHT(TRIM(Raw_Export!B2522),4),MATCH(MID(TRIM(Raw_Export!B2522),4,3),{"Jan","Feb","Mar","Apr","May","Jun","Jul","Aug","Sep","Oct","Nov","Dec"},0),LEFT(TRIM(Raw_Export!B2522),2)))))</f>
        <v/>
      </c>
      <c r="C2522" s="36" t="str">
        <f aca="false">IF(Raw_Export!$A2522="","",IFERROR(VLOOKUP(LOWER(TRIM(Raw_Export!C2522)),Maps!$A$2:$B$20,2,FALSE()),"UNMAPPED"))</f>
        <v/>
      </c>
      <c r="D2522" s="36" t="str">
        <f aca="false">IF(Raw_Export!$A2522="","",IFERROR(VLOOKUP(LOWER(TRIM(Raw_Export!D2522)),Maps!$G$2:$I$80,2,FALSE()),"UNMAPPED"))</f>
        <v/>
      </c>
      <c r="E2522" s="36" t="str">
        <f aca="false">IF(Raw_Export!$A2522="","",IFERROR(VLOOKUP(LOWER(TRIM(Raw_Export!D2522)),Maps!$G$2:$I$80,3,FALSE()),"UNMAPPED"))</f>
        <v/>
      </c>
      <c r="F2522" s="36" t="str">
        <f aca="false">IF(Raw_Export!$A2522="","",IFERROR(VALUE(TRIM(Raw_Export!E2522)),0))</f>
        <v/>
      </c>
      <c r="G2522" s="38" t="str">
        <f aca="false">IF(Raw_Export!$A2522="","",IFERROR(VALUE(SUBSTITUTE(SUBSTITUTE(UPPER(TRIM(Raw_Export!F2522)),"KES",""),",","")),0))</f>
        <v/>
      </c>
      <c r="H2522" s="38" t="str">
        <f aca="false">IF(Raw_Export!$A2522="","",F2522*G2522)</f>
        <v/>
      </c>
      <c r="I2522" s="36" t="str">
        <f aca="false">IF(Raw_Export!$A2522="","",IFERROR(VLOOKUP(LOWER(TRIM(Raw_Export!H2522)),Maps!$D$2:$E$12,2,FALSE()),"Other"))</f>
        <v/>
      </c>
      <c r="J2522" s="36" t="str">
        <f aca="false">IF(Raw_Export!$A2522="","",IF(COUNTIF($A$2:A2522,A2522)&gt;1,"Duplicate",""))</f>
        <v/>
      </c>
      <c r="K2522" s="36" t="str">
        <f aca="false">IF(Raw_Export!$A2522="","",IF(J2522="Duplicate","Duplicate",IF(OR(C2522="UNMAPPED",D2522="UNMAPPED"),"Unmapped",IF(F2522=0,"Blank qty",IF(F2522&lt;0,"Return","OK")))))</f>
        <v/>
      </c>
      <c r="L2522" s="36" t="str">
        <f aca="false">IF(Raw_Export!$A2522="","",IF(OR(K2522="OK",K2522="Return"),1,0))</f>
        <v/>
      </c>
      <c r="M2522" s="37" t="str">
        <f aca="false">IF(Raw_Export!$A2522="","",B2522-WEEKDAY(B2522,2)+1)</f>
        <v/>
      </c>
    </row>
    <row r="2523" customFormat="false" ht="15" hidden="false" customHeight="false" outlineLevel="0" collapsed="false">
      <c r="A2523" s="36" t="str">
        <f aca="false">IF(Raw_Export!$A2523="","",TRIM(Raw_Export!A2523))</f>
        <v/>
      </c>
      <c r="B2523" s="37" t="str">
        <f aca="false">IF(Raw_Export!$A2523="","",IF(ISNUMBER(Raw_Export!B2523),Raw_Export!B2523,IF(MID(TRIM(Raw_Export!B2523),5,1)="-",DATE(LEFT(TRIM(Raw_Export!B2523),4),MID(TRIM(Raw_Export!B2523),6,2),RIGHT(TRIM(Raw_Export!B2523),2)),DATE(RIGHT(TRIM(Raw_Export!B2523),4),MATCH(MID(TRIM(Raw_Export!B2523),4,3),{"Jan","Feb","Mar","Apr","May","Jun","Jul","Aug","Sep","Oct","Nov","Dec"},0),LEFT(TRIM(Raw_Export!B2523),2)))))</f>
        <v/>
      </c>
      <c r="C2523" s="36" t="str">
        <f aca="false">IF(Raw_Export!$A2523="","",IFERROR(VLOOKUP(LOWER(TRIM(Raw_Export!C2523)),Maps!$A$2:$B$20,2,FALSE()),"UNMAPPED"))</f>
        <v/>
      </c>
      <c r="D2523" s="36" t="str">
        <f aca="false">IF(Raw_Export!$A2523="","",IFERROR(VLOOKUP(LOWER(TRIM(Raw_Export!D2523)),Maps!$G$2:$I$80,2,FALSE()),"UNMAPPED"))</f>
        <v/>
      </c>
      <c r="E2523" s="36" t="str">
        <f aca="false">IF(Raw_Export!$A2523="","",IFERROR(VLOOKUP(LOWER(TRIM(Raw_Export!D2523)),Maps!$G$2:$I$80,3,FALSE()),"UNMAPPED"))</f>
        <v/>
      </c>
      <c r="F2523" s="36" t="str">
        <f aca="false">IF(Raw_Export!$A2523="","",IFERROR(VALUE(TRIM(Raw_Export!E2523)),0))</f>
        <v/>
      </c>
      <c r="G2523" s="38" t="str">
        <f aca="false">IF(Raw_Export!$A2523="","",IFERROR(VALUE(SUBSTITUTE(SUBSTITUTE(UPPER(TRIM(Raw_Export!F2523)),"KES",""),",","")),0))</f>
        <v/>
      </c>
      <c r="H2523" s="38" t="str">
        <f aca="false">IF(Raw_Export!$A2523="","",F2523*G2523)</f>
        <v/>
      </c>
      <c r="I2523" s="36" t="str">
        <f aca="false">IF(Raw_Export!$A2523="","",IFERROR(VLOOKUP(LOWER(TRIM(Raw_Export!H2523)),Maps!$D$2:$E$12,2,FALSE()),"Other"))</f>
        <v/>
      </c>
      <c r="J2523" s="36" t="str">
        <f aca="false">IF(Raw_Export!$A2523="","",IF(COUNTIF($A$2:A2523,A2523)&gt;1,"Duplicate",""))</f>
        <v/>
      </c>
      <c r="K2523" s="36" t="str">
        <f aca="false">IF(Raw_Export!$A2523="","",IF(J2523="Duplicate","Duplicate",IF(OR(C2523="UNMAPPED",D2523="UNMAPPED"),"Unmapped",IF(F2523=0,"Blank qty",IF(F2523&lt;0,"Return","OK")))))</f>
        <v/>
      </c>
      <c r="L2523" s="36" t="str">
        <f aca="false">IF(Raw_Export!$A2523="","",IF(OR(K2523="OK",K2523="Return"),1,0))</f>
        <v/>
      </c>
      <c r="M2523" s="37" t="str">
        <f aca="false">IF(Raw_Export!$A2523="","",B2523-WEEKDAY(B2523,2)+1)</f>
        <v/>
      </c>
    </row>
    <row r="2524" customFormat="false" ht="15" hidden="false" customHeight="false" outlineLevel="0" collapsed="false">
      <c r="A2524" s="36" t="str">
        <f aca="false">IF(Raw_Export!$A2524="","",TRIM(Raw_Export!A2524))</f>
        <v/>
      </c>
      <c r="B2524" s="37" t="str">
        <f aca="false">IF(Raw_Export!$A2524="","",IF(ISNUMBER(Raw_Export!B2524),Raw_Export!B2524,IF(MID(TRIM(Raw_Export!B2524),5,1)="-",DATE(LEFT(TRIM(Raw_Export!B2524),4),MID(TRIM(Raw_Export!B2524),6,2),RIGHT(TRIM(Raw_Export!B2524),2)),DATE(RIGHT(TRIM(Raw_Export!B2524),4),MATCH(MID(TRIM(Raw_Export!B2524),4,3),{"Jan","Feb","Mar","Apr","May","Jun","Jul","Aug","Sep","Oct","Nov","Dec"},0),LEFT(TRIM(Raw_Export!B2524),2)))))</f>
        <v/>
      </c>
      <c r="C2524" s="36" t="str">
        <f aca="false">IF(Raw_Export!$A2524="","",IFERROR(VLOOKUP(LOWER(TRIM(Raw_Export!C2524)),Maps!$A$2:$B$20,2,FALSE()),"UNMAPPED"))</f>
        <v/>
      </c>
      <c r="D2524" s="36" t="str">
        <f aca="false">IF(Raw_Export!$A2524="","",IFERROR(VLOOKUP(LOWER(TRIM(Raw_Export!D2524)),Maps!$G$2:$I$80,2,FALSE()),"UNMAPPED"))</f>
        <v/>
      </c>
      <c r="E2524" s="36" t="str">
        <f aca="false">IF(Raw_Export!$A2524="","",IFERROR(VLOOKUP(LOWER(TRIM(Raw_Export!D2524)),Maps!$G$2:$I$80,3,FALSE()),"UNMAPPED"))</f>
        <v/>
      </c>
      <c r="F2524" s="36" t="str">
        <f aca="false">IF(Raw_Export!$A2524="","",IFERROR(VALUE(TRIM(Raw_Export!E2524)),0))</f>
        <v/>
      </c>
      <c r="G2524" s="38" t="str">
        <f aca="false">IF(Raw_Export!$A2524="","",IFERROR(VALUE(SUBSTITUTE(SUBSTITUTE(UPPER(TRIM(Raw_Export!F2524)),"KES",""),",","")),0))</f>
        <v/>
      </c>
      <c r="H2524" s="38" t="str">
        <f aca="false">IF(Raw_Export!$A2524="","",F2524*G2524)</f>
        <v/>
      </c>
      <c r="I2524" s="36" t="str">
        <f aca="false">IF(Raw_Export!$A2524="","",IFERROR(VLOOKUP(LOWER(TRIM(Raw_Export!H2524)),Maps!$D$2:$E$12,2,FALSE()),"Other"))</f>
        <v/>
      </c>
      <c r="J2524" s="36" t="str">
        <f aca="false">IF(Raw_Export!$A2524="","",IF(COUNTIF($A$2:A2524,A2524)&gt;1,"Duplicate",""))</f>
        <v/>
      </c>
      <c r="K2524" s="36" t="str">
        <f aca="false">IF(Raw_Export!$A2524="","",IF(J2524="Duplicate","Duplicate",IF(OR(C2524="UNMAPPED",D2524="UNMAPPED"),"Unmapped",IF(F2524=0,"Blank qty",IF(F2524&lt;0,"Return","OK")))))</f>
        <v/>
      </c>
      <c r="L2524" s="36" t="str">
        <f aca="false">IF(Raw_Export!$A2524="","",IF(OR(K2524="OK",K2524="Return"),1,0))</f>
        <v/>
      </c>
      <c r="M2524" s="37" t="str">
        <f aca="false">IF(Raw_Export!$A2524="","",B2524-WEEKDAY(B2524,2)+1)</f>
        <v/>
      </c>
    </row>
    <row r="2525" customFormat="false" ht="15" hidden="false" customHeight="false" outlineLevel="0" collapsed="false">
      <c r="A2525" s="36" t="str">
        <f aca="false">IF(Raw_Export!$A2525="","",TRIM(Raw_Export!A2525))</f>
        <v/>
      </c>
      <c r="B2525" s="37" t="str">
        <f aca="false">IF(Raw_Export!$A2525="","",IF(ISNUMBER(Raw_Export!B2525),Raw_Export!B2525,IF(MID(TRIM(Raw_Export!B2525),5,1)="-",DATE(LEFT(TRIM(Raw_Export!B2525),4),MID(TRIM(Raw_Export!B2525),6,2),RIGHT(TRIM(Raw_Export!B2525),2)),DATE(RIGHT(TRIM(Raw_Export!B2525),4),MATCH(MID(TRIM(Raw_Export!B2525),4,3),{"Jan","Feb","Mar","Apr","May","Jun","Jul","Aug","Sep","Oct","Nov","Dec"},0),LEFT(TRIM(Raw_Export!B2525),2)))))</f>
        <v/>
      </c>
      <c r="C2525" s="36" t="str">
        <f aca="false">IF(Raw_Export!$A2525="","",IFERROR(VLOOKUP(LOWER(TRIM(Raw_Export!C2525)),Maps!$A$2:$B$20,2,FALSE()),"UNMAPPED"))</f>
        <v/>
      </c>
      <c r="D2525" s="36" t="str">
        <f aca="false">IF(Raw_Export!$A2525="","",IFERROR(VLOOKUP(LOWER(TRIM(Raw_Export!D2525)),Maps!$G$2:$I$80,2,FALSE()),"UNMAPPED"))</f>
        <v/>
      </c>
      <c r="E2525" s="36" t="str">
        <f aca="false">IF(Raw_Export!$A2525="","",IFERROR(VLOOKUP(LOWER(TRIM(Raw_Export!D2525)),Maps!$G$2:$I$80,3,FALSE()),"UNMAPPED"))</f>
        <v/>
      </c>
      <c r="F2525" s="36" t="str">
        <f aca="false">IF(Raw_Export!$A2525="","",IFERROR(VALUE(TRIM(Raw_Export!E2525)),0))</f>
        <v/>
      </c>
      <c r="G2525" s="38" t="str">
        <f aca="false">IF(Raw_Export!$A2525="","",IFERROR(VALUE(SUBSTITUTE(SUBSTITUTE(UPPER(TRIM(Raw_Export!F2525)),"KES",""),",","")),0))</f>
        <v/>
      </c>
      <c r="H2525" s="38" t="str">
        <f aca="false">IF(Raw_Export!$A2525="","",F2525*G2525)</f>
        <v/>
      </c>
      <c r="I2525" s="36" t="str">
        <f aca="false">IF(Raw_Export!$A2525="","",IFERROR(VLOOKUP(LOWER(TRIM(Raw_Export!H2525)),Maps!$D$2:$E$12,2,FALSE()),"Other"))</f>
        <v/>
      </c>
      <c r="J2525" s="36" t="str">
        <f aca="false">IF(Raw_Export!$A2525="","",IF(COUNTIF($A$2:A2525,A2525)&gt;1,"Duplicate",""))</f>
        <v/>
      </c>
      <c r="K2525" s="36" t="str">
        <f aca="false">IF(Raw_Export!$A2525="","",IF(J2525="Duplicate","Duplicate",IF(OR(C2525="UNMAPPED",D2525="UNMAPPED"),"Unmapped",IF(F2525=0,"Blank qty",IF(F2525&lt;0,"Return","OK")))))</f>
        <v/>
      </c>
      <c r="L2525" s="36" t="str">
        <f aca="false">IF(Raw_Export!$A2525="","",IF(OR(K2525="OK",K2525="Return"),1,0))</f>
        <v/>
      </c>
      <c r="M2525" s="37" t="str">
        <f aca="false">IF(Raw_Export!$A2525="","",B2525-WEEKDAY(B2525,2)+1)</f>
        <v/>
      </c>
    </row>
    <row r="2526" customFormat="false" ht="15" hidden="false" customHeight="false" outlineLevel="0" collapsed="false">
      <c r="A2526" s="36" t="str">
        <f aca="false">IF(Raw_Export!$A2526="","",TRIM(Raw_Export!A2526))</f>
        <v/>
      </c>
      <c r="B2526" s="37" t="str">
        <f aca="false">IF(Raw_Export!$A2526="","",IF(ISNUMBER(Raw_Export!B2526),Raw_Export!B2526,IF(MID(TRIM(Raw_Export!B2526),5,1)="-",DATE(LEFT(TRIM(Raw_Export!B2526),4),MID(TRIM(Raw_Export!B2526),6,2),RIGHT(TRIM(Raw_Export!B2526),2)),DATE(RIGHT(TRIM(Raw_Export!B2526),4),MATCH(MID(TRIM(Raw_Export!B2526),4,3),{"Jan","Feb","Mar","Apr","May","Jun","Jul","Aug","Sep","Oct","Nov","Dec"},0),LEFT(TRIM(Raw_Export!B2526),2)))))</f>
        <v/>
      </c>
      <c r="C2526" s="36" t="str">
        <f aca="false">IF(Raw_Export!$A2526="","",IFERROR(VLOOKUP(LOWER(TRIM(Raw_Export!C2526)),Maps!$A$2:$B$20,2,FALSE()),"UNMAPPED"))</f>
        <v/>
      </c>
      <c r="D2526" s="36" t="str">
        <f aca="false">IF(Raw_Export!$A2526="","",IFERROR(VLOOKUP(LOWER(TRIM(Raw_Export!D2526)),Maps!$G$2:$I$80,2,FALSE()),"UNMAPPED"))</f>
        <v/>
      </c>
      <c r="E2526" s="36" t="str">
        <f aca="false">IF(Raw_Export!$A2526="","",IFERROR(VLOOKUP(LOWER(TRIM(Raw_Export!D2526)),Maps!$G$2:$I$80,3,FALSE()),"UNMAPPED"))</f>
        <v/>
      </c>
      <c r="F2526" s="36" t="str">
        <f aca="false">IF(Raw_Export!$A2526="","",IFERROR(VALUE(TRIM(Raw_Export!E2526)),0))</f>
        <v/>
      </c>
      <c r="G2526" s="38" t="str">
        <f aca="false">IF(Raw_Export!$A2526="","",IFERROR(VALUE(SUBSTITUTE(SUBSTITUTE(UPPER(TRIM(Raw_Export!F2526)),"KES",""),",","")),0))</f>
        <v/>
      </c>
      <c r="H2526" s="38" t="str">
        <f aca="false">IF(Raw_Export!$A2526="","",F2526*G2526)</f>
        <v/>
      </c>
      <c r="I2526" s="36" t="str">
        <f aca="false">IF(Raw_Export!$A2526="","",IFERROR(VLOOKUP(LOWER(TRIM(Raw_Export!H2526)),Maps!$D$2:$E$12,2,FALSE()),"Other"))</f>
        <v/>
      </c>
      <c r="J2526" s="36" t="str">
        <f aca="false">IF(Raw_Export!$A2526="","",IF(COUNTIF($A$2:A2526,A2526)&gt;1,"Duplicate",""))</f>
        <v/>
      </c>
      <c r="K2526" s="36" t="str">
        <f aca="false">IF(Raw_Export!$A2526="","",IF(J2526="Duplicate","Duplicate",IF(OR(C2526="UNMAPPED",D2526="UNMAPPED"),"Unmapped",IF(F2526=0,"Blank qty",IF(F2526&lt;0,"Return","OK")))))</f>
        <v/>
      </c>
      <c r="L2526" s="36" t="str">
        <f aca="false">IF(Raw_Export!$A2526="","",IF(OR(K2526="OK",K2526="Return"),1,0))</f>
        <v/>
      </c>
      <c r="M2526" s="37" t="str">
        <f aca="false">IF(Raw_Export!$A2526="","",B2526-WEEKDAY(B2526,2)+1)</f>
        <v/>
      </c>
    </row>
    <row r="2527" customFormat="false" ht="15" hidden="false" customHeight="false" outlineLevel="0" collapsed="false">
      <c r="A2527" s="36" t="str">
        <f aca="false">IF(Raw_Export!$A2527="","",TRIM(Raw_Export!A2527))</f>
        <v/>
      </c>
      <c r="B2527" s="37" t="str">
        <f aca="false">IF(Raw_Export!$A2527="","",IF(ISNUMBER(Raw_Export!B2527),Raw_Export!B2527,IF(MID(TRIM(Raw_Export!B2527),5,1)="-",DATE(LEFT(TRIM(Raw_Export!B2527),4),MID(TRIM(Raw_Export!B2527),6,2),RIGHT(TRIM(Raw_Export!B2527),2)),DATE(RIGHT(TRIM(Raw_Export!B2527),4),MATCH(MID(TRIM(Raw_Export!B2527),4,3),{"Jan","Feb","Mar","Apr","May","Jun","Jul","Aug","Sep","Oct","Nov","Dec"},0),LEFT(TRIM(Raw_Export!B2527),2)))))</f>
        <v/>
      </c>
      <c r="C2527" s="36" t="str">
        <f aca="false">IF(Raw_Export!$A2527="","",IFERROR(VLOOKUP(LOWER(TRIM(Raw_Export!C2527)),Maps!$A$2:$B$20,2,FALSE()),"UNMAPPED"))</f>
        <v/>
      </c>
      <c r="D2527" s="36" t="str">
        <f aca="false">IF(Raw_Export!$A2527="","",IFERROR(VLOOKUP(LOWER(TRIM(Raw_Export!D2527)),Maps!$G$2:$I$80,2,FALSE()),"UNMAPPED"))</f>
        <v/>
      </c>
      <c r="E2527" s="36" t="str">
        <f aca="false">IF(Raw_Export!$A2527="","",IFERROR(VLOOKUP(LOWER(TRIM(Raw_Export!D2527)),Maps!$G$2:$I$80,3,FALSE()),"UNMAPPED"))</f>
        <v/>
      </c>
      <c r="F2527" s="36" t="str">
        <f aca="false">IF(Raw_Export!$A2527="","",IFERROR(VALUE(TRIM(Raw_Export!E2527)),0))</f>
        <v/>
      </c>
      <c r="G2527" s="38" t="str">
        <f aca="false">IF(Raw_Export!$A2527="","",IFERROR(VALUE(SUBSTITUTE(SUBSTITUTE(UPPER(TRIM(Raw_Export!F2527)),"KES",""),",","")),0))</f>
        <v/>
      </c>
      <c r="H2527" s="38" t="str">
        <f aca="false">IF(Raw_Export!$A2527="","",F2527*G2527)</f>
        <v/>
      </c>
      <c r="I2527" s="36" t="str">
        <f aca="false">IF(Raw_Export!$A2527="","",IFERROR(VLOOKUP(LOWER(TRIM(Raw_Export!H2527)),Maps!$D$2:$E$12,2,FALSE()),"Other"))</f>
        <v/>
      </c>
      <c r="J2527" s="36" t="str">
        <f aca="false">IF(Raw_Export!$A2527="","",IF(COUNTIF($A$2:A2527,A2527)&gt;1,"Duplicate",""))</f>
        <v/>
      </c>
      <c r="K2527" s="36" t="str">
        <f aca="false">IF(Raw_Export!$A2527="","",IF(J2527="Duplicate","Duplicate",IF(OR(C2527="UNMAPPED",D2527="UNMAPPED"),"Unmapped",IF(F2527=0,"Blank qty",IF(F2527&lt;0,"Return","OK")))))</f>
        <v/>
      </c>
      <c r="L2527" s="36" t="str">
        <f aca="false">IF(Raw_Export!$A2527="","",IF(OR(K2527="OK",K2527="Return"),1,0))</f>
        <v/>
      </c>
      <c r="M2527" s="37" t="str">
        <f aca="false">IF(Raw_Export!$A2527="","",B2527-WEEKDAY(B2527,2)+1)</f>
        <v/>
      </c>
    </row>
    <row r="2528" customFormat="false" ht="15" hidden="false" customHeight="false" outlineLevel="0" collapsed="false">
      <c r="A2528" s="36" t="str">
        <f aca="false">IF(Raw_Export!$A2528="","",TRIM(Raw_Export!A2528))</f>
        <v/>
      </c>
      <c r="B2528" s="37" t="str">
        <f aca="false">IF(Raw_Export!$A2528="","",IF(ISNUMBER(Raw_Export!B2528),Raw_Export!B2528,IF(MID(TRIM(Raw_Export!B2528),5,1)="-",DATE(LEFT(TRIM(Raw_Export!B2528),4),MID(TRIM(Raw_Export!B2528),6,2),RIGHT(TRIM(Raw_Export!B2528),2)),DATE(RIGHT(TRIM(Raw_Export!B2528),4),MATCH(MID(TRIM(Raw_Export!B2528),4,3),{"Jan","Feb","Mar","Apr","May","Jun","Jul","Aug","Sep","Oct","Nov","Dec"},0),LEFT(TRIM(Raw_Export!B2528),2)))))</f>
        <v/>
      </c>
      <c r="C2528" s="36" t="str">
        <f aca="false">IF(Raw_Export!$A2528="","",IFERROR(VLOOKUP(LOWER(TRIM(Raw_Export!C2528)),Maps!$A$2:$B$20,2,FALSE()),"UNMAPPED"))</f>
        <v/>
      </c>
      <c r="D2528" s="36" t="str">
        <f aca="false">IF(Raw_Export!$A2528="","",IFERROR(VLOOKUP(LOWER(TRIM(Raw_Export!D2528)),Maps!$G$2:$I$80,2,FALSE()),"UNMAPPED"))</f>
        <v/>
      </c>
      <c r="E2528" s="36" t="str">
        <f aca="false">IF(Raw_Export!$A2528="","",IFERROR(VLOOKUP(LOWER(TRIM(Raw_Export!D2528)),Maps!$G$2:$I$80,3,FALSE()),"UNMAPPED"))</f>
        <v/>
      </c>
      <c r="F2528" s="36" t="str">
        <f aca="false">IF(Raw_Export!$A2528="","",IFERROR(VALUE(TRIM(Raw_Export!E2528)),0))</f>
        <v/>
      </c>
      <c r="G2528" s="38" t="str">
        <f aca="false">IF(Raw_Export!$A2528="","",IFERROR(VALUE(SUBSTITUTE(SUBSTITUTE(UPPER(TRIM(Raw_Export!F2528)),"KES",""),",","")),0))</f>
        <v/>
      </c>
      <c r="H2528" s="38" t="str">
        <f aca="false">IF(Raw_Export!$A2528="","",F2528*G2528)</f>
        <v/>
      </c>
      <c r="I2528" s="36" t="str">
        <f aca="false">IF(Raw_Export!$A2528="","",IFERROR(VLOOKUP(LOWER(TRIM(Raw_Export!H2528)),Maps!$D$2:$E$12,2,FALSE()),"Other"))</f>
        <v/>
      </c>
      <c r="J2528" s="36" t="str">
        <f aca="false">IF(Raw_Export!$A2528="","",IF(COUNTIF($A$2:A2528,A2528)&gt;1,"Duplicate",""))</f>
        <v/>
      </c>
      <c r="K2528" s="36" t="str">
        <f aca="false">IF(Raw_Export!$A2528="","",IF(J2528="Duplicate","Duplicate",IF(OR(C2528="UNMAPPED",D2528="UNMAPPED"),"Unmapped",IF(F2528=0,"Blank qty",IF(F2528&lt;0,"Return","OK")))))</f>
        <v/>
      </c>
      <c r="L2528" s="36" t="str">
        <f aca="false">IF(Raw_Export!$A2528="","",IF(OR(K2528="OK",K2528="Return"),1,0))</f>
        <v/>
      </c>
      <c r="M2528" s="37" t="str">
        <f aca="false">IF(Raw_Export!$A2528="","",B2528-WEEKDAY(B2528,2)+1)</f>
        <v/>
      </c>
    </row>
    <row r="2529" customFormat="false" ht="15" hidden="false" customHeight="false" outlineLevel="0" collapsed="false">
      <c r="A2529" s="36" t="str">
        <f aca="false">IF(Raw_Export!$A2529="","",TRIM(Raw_Export!A2529))</f>
        <v/>
      </c>
      <c r="B2529" s="37" t="str">
        <f aca="false">IF(Raw_Export!$A2529="","",IF(ISNUMBER(Raw_Export!B2529),Raw_Export!B2529,IF(MID(TRIM(Raw_Export!B2529),5,1)="-",DATE(LEFT(TRIM(Raw_Export!B2529),4),MID(TRIM(Raw_Export!B2529),6,2),RIGHT(TRIM(Raw_Export!B2529),2)),DATE(RIGHT(TRIM(Raw_Export!B2529),4),MATCH(MID(TRIM(Raw_Export!B2529),4,3),{"Jan","Feb","Mar","Apr","May","Jun","Jul","Aug","Sep","Oct","Nov","Dec"},0),LEFT(TRIM(Raw_Export!B2529),2)))))</f>
        <v/>
      </c>
      <c r="C2529" s="36" t="str">
        <f aca="false">IF(Raw_Export!$A2529="","",IFERROR(VLOOKUP(LOWER(TRIM(Raw_Export!C2529)),Maps!$A$2:$B$20,2,FALSE()),"UNMAPPED"))</f>
        <v/>
      </c>
      <c r="D2529" s="36" t="str">
        <f aca="false">IF(Raw_Export!$A2529="","",IFERROR(VLOOKUP(LOWER(TRIM(Raw_Export!D2529)),Maps!$G$2:$I$80,2,FALSE()),"UNMAPPED"))</f>
        <v/>
      </c>
      <c r="E2529" s="36" t="str">
        <f aca="false">IF(Raw_Export!$A2529="","",IFERROR(VLOOKUP(LOWER(TRIM(Raw_Export!D2529)),Maps!$G$2:$I$80,3,FALSE()),"UNMAPPED"))</f>
        <v/>
      </c>
      <c r="F2529" s="36" t="str">
        <f aca="false">IF(Raw_Export!$A2529="","",IFERROR(VALUE(TRIM(Raw_Export!E2529)),0))</f>
        <v/>
      </c>
      <c r="G2529" s="38" t="str">
        <f aca="false">IF(Raw_Export!$A2529="","",IFERROR(VALUE(SUBSTITUTE(SUBSTITUTE(UPPER(TRIM(Raw_Export!F2529)),"KES",""),",","")),0))</f>
        <v/>
      </c>
      <c r="H2529" s="38" t="str">
        <f aca="false">IF(Raw_Export!$A2529="","",F2529*G2529)</f>
        <v/>
      </c>
      <c r="I2529" s="36" t="str">
        <f aca="false">IF(Raw_Export!$A2529="","",IFERROR(VLOOKUP(LOWER(TRIM(Raw_Export!H2529)),Maps!$D$2:$E$12,2,FALSE()),"Other"))</f>
        <v/>
      </c>
      <c r="J2529" s="36" t="str">
        <f aca="false">IF(Raw_Export!$A2529="","",IF(COUNTIF($A$2:A2529,A2529)&gt;1,"Duplicate",""))</f>
        <v/>
      </c>
      <c r="K2529" s="36" t="str">
        <f aca="false">IF(Raw_Export!$A2529="","",IF(J2529="Duplicate","Duplicate",IF(OR(C2529="UNMAPPED",D2529="UNMAPPED"),"Unmapped",IF(F2529=0,"Blank qty",IF(F2529&lt;0,"Return","OK")))))</f>
        <v/>
      </c>
      <c r="L2529" s="36" t="str">
        <f aca="false">IF(Raw_Export!$A2529="","",IF(OR(K2529="OK",K2529="Return"),1,0))</f>
        <v/>
      </c>
      <c r="M2529" s="37" t="str">
        <f aca="false">IF(Raw_Export!$A2529="","",B2529-WEEKDAY(B2529,2)+1)</f>
        <v/>
      </c>
    </row>
    <row r="2530" customFormat="false" ht="15" hidden="false" customHeight="false" outlineLevel="0" collapsed="false">
      <c r="A2530" s="36" t="str">
        <f aca="false">IF(Raw_Export!$A2530="","",TRIM(Raw_Export!A2530))</f>
        <v/>
      </c>
      <c r="B2530" s="37" t="str">
        <f aca="false">IF(Raw_Export!$A2530="","",IF(ISNUMBER(Raw_Export!B2530),Raw_Export!B2530,IF(MID(TRIM(Raw_Export!B2530),5,1)="-",DATE(LEFT(TRIM(Raw_Export!B2530),4),MID(TRIM(Raw_Export!B2530),6,2),RIGHT(TRIM(Raw_Export!B2530),2)),DATE(RIGHT(TRIM(Raw_Export!B2530),4),MATCH(MID(TRIM(Raw_Export!B2530),4,3),{"Jan","Feb","Mar","Apr","May","Jun","Jul","Aug","Sep","Oct","Nov","Dec"},0),LEFT(TRIM(Raw_Export!B2530),2)))))</f>
        <v/>
      </c>
      <c r="C2530" s="36" t="str">
        <f aca="false">IF(Raw_Export!$A2530="","",IFERROR(VLOOKUP(LOWER(TRIM(Raw_Export!C2530)),Maps!$A$2:$B$20,2,FALSE()),"UNMAPPED"))</f>
        <v/>
      </c>
      <c r="D2530" s="36" t="str">
        <f aca="false">IF(Raw_Export!$A2530="","",IFERROR(VLOOKUP(LOWER(TRIM(Raw_Export!D2530)),Maps!$G$2:$I$80,2,FALSE()),"UNMAPPED"))</f>
        <v/>
      </c>
      <c r="E2530" s="36" t="str">
        <f aca="false">IF(Raw_Export!$A2530="","",IFERROR(VLOOKUP(LOWER(TRIM(Raw_Export!D2530)),Maps!$G$2:$I$80,3,FALSE()),"UNMAPPED"))</f>
        <v/>
      </c>
      <c r="F2530" s="36" t="str">
        <f aca="false">IF(Raw_Export!$A2530="","",IFERROR(VALUE(TRIM(Raw_Export!E2530)),0))</f>
        <v/>
      </c>
      <c r="G2530" s="38" t="str">
        <f aca="false">IF(Raw_Export!$A2530="","",IFERROR(VALUE(SUBSTITUTE(SUBSTITUTE(UPPER(TRIM(Raw_Export!F2530)),"KES",""),",","")),0))</f>
        <v/>
      </c>
      <c r="H2530" s="38" t="str">
        <f aca="false">IF(Raw_Export!$A2530="","",F2530*G2530)</f>
        <v/>
      </c>
      <c r="I2530" s="36" t="str">
        <f aca="false">IF(Raw_Export!$A2530="","",IFERROR(VLOOKUP(LOWER(TRIM(Raw_Export!H2530)),Maps!$D$2:$E$12,2,FALSE()),"Other"))</f>
        <v/>
      </c>
      <c r="J2530" s="36" t="str">
        <f aca="false">IF(Raw_Export!$A2530="","",IF(COUNTIF($A$2:A2530,A2530)&gt;1,"Duplicate",""))</f>
        <v/>
      </c>
      <c r="K2530" s="36" t="str">
        <f aca="false">IF(Raw_Export!$A2530="","",IF(J2530="Duplicate","Duplicate",IF(OR(C2530="UNMAPPED",D2530="UNMAPPED"),"Unmapped",IF(F2530=0,"Blank qty",IF(F2530&lt;0,"Return","OK")))))</f>
        <v/>
      </c>
      <c r="L2530" s="36" t="str">
        <f aca="false">IF(Raw_Export!$A2530="","",IF(OR(K2530="OK",K2530="Return"),1,0))</f>
        <v/>
      </c>
      <c r="M2530" s="37" t="str">
        <f aca="false">IF(Raw_Export!$A2530="","",B2530-WEEKDAY(B2530,2)+1)</f>
        <v/>
      </c>
    </row>
    <row r="2531" customFormat="false" ht="15" hidden="false" customHeight="false" outlineLevel="0" collapsed="false">
      <c r="A2531" s="36" t="str">
        <f aca="false">IF(Raw_Export!$A2531="","",TRIM(Raw_Export!A2531))</f>
        <v/>
      </c>
      <c r="B2531" s="37" t="str">
        <f aca="false">IF(Raw_Export!$A2531="","",IF(ISNUMBER(Raw_Export!B2531),Raw_Export!B2531,IF(MID(TRIM(Raw_Export!B2531),5,1)="-",DATE(LEFT(TRIM(Raw_Export!B2531),4),MID(TRIM(Raw_Export!B2531),6,2),RIGHT(TRIM(Raw_Export!B2531),2)),DATE(RIGHT(TRIM(Raw_Export!B2531),4),MATCH(MID(TRIM(Raw_Export!B2531),4,3),{"Jan","Feb","Mar","Apr","May","Jun","Jul","Aug","Sep","Oct","Nov","Dec"},0),LEFT(TRIM(Raw_Export!B2531),2)))))</f>
        <v/>
      </c>
      <c r="C2531" s="36" t="str">
        <f aca="false">IF(Raw_Export!$A2531="","",IFERROR(VLOOKUP(LOWER(TRIM(Raw_Export!C2531)),Maps!$A$2:$B$20,2,FALSE()),"UNMAPPED"))</f>
        <v/>
      </c>
      <c r="D2531" s="36" t="str">
        <f aca="false">IF(Raw_Export!$A2531="","",IFERROR(VLOOKUP(LOWER(TRIM(Raw_Export!D2531)),Maps!$G$2:$I$80,2,FALSE()),"UNMAPPED"))</f>
        <v/>
      </c>
      <c r="E2531" s="36" t="str">
        <f aca="false">IF(Raw_Export!$A2531="","",IFERROR(VLOOKUP(LOWER(TRIM(Raw_Export!D2531)),Maps!$G$2:$I$80,3,FALSE()),"UNMAPPED"))</f>
        <v/>
      </c>
      <c r="F2531" s="36" t="str">
        <f aca="false">IF(Raw_Export!$A2531="","",IFERROR(VALUE(TRIM(Raw_Export!E2531)),0))</f>
        <v/>
      </c>
      <c r="G2531" s="38" t="str">
        <f aca="false">IF(Raw_Export!$A2531="","",IFERROR(VALUE(SUBSTITUTE(SUBSTITUTE(UPPER(TRIM(Raw_Export!F2531)),"KES",""),",","")),0))</f>
        <v/>
      </c>
      <c r="H2531" s="38" t="str">
        <f aca="false">IF(Raw_Export!$A2531="","",F2531*G2531)</f>
        <v/>
      </c>
      <c r="I2531" s="36" t="str">
        <f aca="false">IF(Raw_Export!$A2531="","",IFERROR(VLOOKUP(LOWER(TRIM(Raw_Export!H2531)),Maps!$D$2:$E$12,2,FALSE()),"Other"))</f>
        <v/>
      </c>
      <c r="J2531" s="36" t="str">
        <f aca="false">IF(Raw_Export!$A2531="","",IF(COUNTIF($A$2:A2531,A2531)&gt;1,"Duplicate",""))</f>
        <v/>
      </c>
      <c r="K2531" s="36" t="str">
        <f aca="false">IF(Raw_Export!$A2531="","",IF(J2531="Duplicate","Duplicate",IF(OR(C2531="UNMAPPED",D2531="UNMAPPED"),"Unmapped",IF(F2531=0,"Blank qty",IF(F2531&lt;0,"Return","OK")))))</f>
        <v/>
      </c>
      <c r="L2531" s="36" t="str">
        <f aca="false">IF(Raw_Export!$A2531="","",IF(OR(K2531="OK",K2531="Return"),1,0))</f>
        <v/>
      </c>
      <c r="M2531" s="37" t="str">
        <f aca="false">IF(Raw_Export!$A2531="","",B2531-WEEKDAY(B2531,2)+1)</f>
        <v/>
      </c>
    </row>
    <row r="2532" customFormat="false" ht="15" hidden="false" customHeight="false" outlineLevel="0" collapsed="false">
      <c r="A2532" s="36" t="str">
        <f aca="false">IF(Raw_Export!$A2532="","",TRIM(Raw_Export!A2532))</f>
        <v/>
      </c>
      <c r="B2532" s="37" t="str">
        <f aca="false">IF(Raw_Export!$A2532="","",IF(ISNUMBER(Raw_Export!B2532),Raw_Export!B2532,IF(MID(TRIM(Raw_Export!B2532),5,1)="-",DATE(LEFT(TRIM(Raw_Export!B2532),4),MID(TRIM(Raw_Export!B2532),6,2),RIGHT(TRIM(Raw_Export!B2532),2)),DATE(RIGHT(TRIM(Raw_Export!B2532),4),MATCH(MID(TRIM(Raw_Export!B2532),4,3),{"Jan","Feb","Mar","Apr","May","Jun","Jul","Aug","Sep","Oct","Nov","Dec"},0),LEFT(TRIM(Raw_Export!B2532),2)))))</f>
        <v/>
      </c>
      <c r="C2532" s="36" t="str">
        <f aca="false">IF(Raw_Export!$A2532="","",IFERROR(VLOOKUP(LOWER(TRIM(Raw_Export!C2532)),Maps!$A$2:$B$20,2,FALSE()),"UNMAPPED"))</f>
        <v/>
      </c>
      <c r="D2532" s="36" t="str">
        <f aca="false">IF(Raw_Export!$A2532="","",IFERROR(VLOOKUP(LOWER(TRIM(Raw_Export!D2532)),Maps!$G$2:$I$80,2,FALSE()),"UNMAPPED"))</f>
        <v/>
      </c>
      <c r="E2532" s="36" t="str">
        <f aca="false">IF(Raw_Export!$A2532="","",IFERROR(VLOOKUP(LOWER(TRIM(Raw_Export!D2532)),Maps!$G$2:$I$80,3,FALSE()),"UNMAPPED"))</f>
        <v/>
      </c>
      <c r="F2532" s="36" t="str">
        <f aca="false">IF(Raw_Export!$A2532="","",IFERROR(VALUE(TRIM(Raw_Export!E2532)),0))</f>
        <v/>
      </c>
      <c r="G2532" s="38" t="str">
        <f aca="false">IF(Raw_Export!$A2532="","",IFERROR(VALUE(SUBSTITUTE(SUBSTITUTE(UPPER(TRIM(Raw_Export!F2532)),"KES",""),",","")),0))</f>
        <v/>
      </c>
      <c r="H2532" s="38" t="str">
        <f aca="false">IF(Raw_Export!$A2532="","",F2532*G2532)</f>
        <v/>
      </c>
      <c r="I2532" s="36" t="str">
        <f aca="false">IF(Raw_Export!$A2532="","",IFERROR(VLOOKUP(LOWER(TRIM(Raw_Export!H2532)),Maps!$D$2:$E$12,2,FALSE()),"Other"))</f>
        <v/>
      </c>
      <c r="J2532" s="36" t="str">
        <f aca="false">IF(Raw_Export!$A2532="","",IF(COUNTIF($A$2:A2532,A2532)&gt;1,"Duplicate",""))</f>
        <v/>
      </c>
      <c r="K2532" s="36" t="str">
        <f aca="false">IF(Raw_Export!$A2532="","",IF(J2532="Duplicate","Duplicate",IF(OR(C2532="UNMAPPED",D2532="UNMAPPED"),"Unmapped",IF(F2532=0,"Blank qty",IF(F2532&lt;0,"Return","OK")))))</f>
        <v/>
      </c>
      <c r="L2532" s="36" t="str">
        <f aca="false">IF(Raw_Export!$A2532="","",IF(OR(K2532="OK",K2532="Return"),1,0))</f>
        <v/>
      </c>
      <c r="M2532" s="37" t="str">
        <f aca="false">IF(Raw_Export!$A2532="","",B2532-WEEKDAY(B2532,2)+1)</f>
        <v/>
      </c>
    </row>
    <row r="2533" customFormat="false" ht="15" hidden="false" customHeight="false" outlineLevel="0" collapsed="false">
      <c r="A2533" s="36" t="str">
        <f aca="false">IF(Raw_Export!$A2533="","",TRIM(Raw_Export!A2533))</f>
        <v/>
      </c>
      <c r="B2533" s="37" t="str">
        <f aca="false">IF(Raw_Export!$A2533="","",IF(ISNUMBER(Raw_Export!B2533),Raw_Export!B2533,IF(MID(TRIM(Raw_Export!B2533),5,1)="-",DATE(LEFT(TRIM(Raw_Export!B2533),4),MID(TRIM(Raw_Export!B2533),6,2),RIGHT(TRIM(Raw_Export!B2533),2)),DATE(RIGHT(TRIM(Raw_Export!B2533),4),MATCH(MID(TRIM(Raw_Export!B2533),4,3),{"Jan","Feb","Mar","Apr","May","Jun","Jul","Aug","Sep","Oct","Nov","Dec"},0),LEFT(TRIM(Raw_Export!B2533),2)))))</f>
        <v/>
      </c>
      <c r="C2533" s="36" t="str">
        <f aca="false">IF(Raw_Export!$A2533="","",IFERROR(VLOOKUP(LOWER(TRIM(Raw_Export!C2533)),Maps!$A$2:$B$20,2,FALSE()),"UNMAPPED"))</f>
        <v/>
      </c>
      <c r="D2533" s="36" t="str">
        <f aca="false">IF(Raw_Export!$A2533="","",IFERROR(VLOOKUP(LOWER(TRIM(Raw_Export!D2533)),Maps!$G$2:$I$80,2,FALSE()),"UNMAPPED"))</f>
        <v/>
      </c>
      <c r="E2533" s="36" t="str">
        <f aca="false">IF(Raw_Export!$A2533="","",IFERROR(VLOOKUP(LOWER(TRIM(Raw_Export!D2533)),Maps!$G$2:$I$80,3,FALSE()),"UNMAPPED"))</f>
        <v/>
      </c>
      <c r="F2533" s="36" t="str">
        <f aca="false">IF(Raw_Export!$A2533="","",IFERROR(VALUE(TRIM(Raw_Export!E2533)),0))</f>
        <v/>
      </c>
      <c r="G2533" s="38" t="str">
        <f aca="false">IF(Raw_Export!$A2533="","",IFERROR(VALUE(SUBSTITUTE(SUBSTITUTE(UPPER(TRIM(Raw_Export!F2533)),"KES",""),",","")),0))</f>
        <v/>
      </c>
      <c r="H2533" s="38" t="str">
        <f aca="false">IF(Raw_Export!$A2533="","",F2533*G2533)</f>
        <v/>
      </c>
      <c r="I2533" s="36" t="str">
        <f aca="false">IF(Raw_Export!$A2533="","",IFERROR(VLOOKUP(LOWER(TRIM(Raw_Export!H2533)),Maps!$D$2:$E$12,2,FALSE()),"Other"))</f>
        <v/>
      </c>
      <c r="J2533" s="36" t="str">
        <f aca="false">IF(Raw_Export!$A2533="","",IF(COUNTIF($A$2:A2533,A2533)&gt;1,"Duplicate",""))</f>
        <v/>
      </c>
      <c r="K2533" s="36" t="str">
        <f aca="false">IF(Raw_Export!$A2533="","",IF(J2533="Duplicate","Duplicate",IF(OR(C2533="UNMAPPED",D2533="UNMAPPED"),"Unmapped",IF(F2533=0,"Blank qty",IF(F2533&lt;0,"Return","OK")))))</f>
        <v/>
      </c>
      <c r="L2533" s="36" t="str">
        <f aca="false">IF(Raw_Export!$A2533="","",IF(OR(K2533="OK",K2533="Return"),1,0))</f>
        <v/>
      </c>
      <c r="M2533" s="37" t="str">
        <f aca="false">IF(Raw_Export!$A2533="","",B2533-WEEKDAY(B2533,2)+1)</f>
        <v/>
      </c>
    </row>
    <row r="2534" customFormat="false" ht="15" hidden="false" customHeight="false" outlineLevel="0" collapsed="false">
      <c r="A2534" s="36" t="str">
        <f aca="false">IF(Raw_Export!$A2534="","",TRIM(Raw_Export!A2534))</f>
        <v/>
      </c>
      <c r="B2534" s="37" t="str">
        <f aca="false">IF(Raw_Export!$A2534="","",IF(ISNUMBER(Raw_Export!B2534),Raw_Export!B2534,IF(MID(TRIM(Raw_Export!B2534),5,1)="-",DATE(LEFT(TRIM(Raw_Export!B2534),4),MID(TRIM(Raw_Export!B2534),6,2),RIGHT(TRIM(Raw_Export!B2534),2)),DATE(RIGHT(TRIM(Raw_Export!B2534),4),MATCH(MID(TRIM(Raw_Export!B2534),4,3),{"Jan","Feb","Mar","Apr","May","Jun","Jul","Aug","Sep","Oct","Nov","Dec"},0),LEFT(TRIM(Raw_Export!B2534),2)))))</f>
        <v/>
      </c>
      <c r="C2534" s="36" t="str">
        <f aca="false">IF(Raw_Export!$A2534="","",IFERROR(VLOOKUP(LOWER(TRIM(Raw_Export!C2534)),Maps!$A$2:$B$20,2,FALSE()),"UNMAPPED"))</f>
        <v/>
      </c>
      <c r="D2534" s="36" t="str">
        <f aca="false">IF(Raw_Export!$A2534="","",IFERROR(VLOOKUP(LOWER(TRIM(Raw_Export!D2534)),Maps!$G$2:$I$80,2,FALSE()),"UNMAPPED"))</f>
        <v/>
      </c>
      <c r="E2534" s="36" t="str">
        <f aca="false">IF(Raw_Export!$A2534="","",IFERROR(VLOOKUP(LOWER(TRIM(Raw_Export!D2534)),Maps!$G$2:$I$80,3,FALSE()),"UNMAPPED"))</f>
        <v/>
      </c>
      <c r="F2534" s="36" t="str">
        <f aca="false">IF(Raw_Export!$A2534="","",IFERROR(VALUE(TRIM(Raw_Export!E2534)),0))</f>
        <v/>
      </c>
      <c r="G2534" s="38" t="str">
        <f aca="false">IF(Raw_Export!$A2534="","",IFERROR(VALUE(SUBSTITUTE(SUBSTITUTE(UPPER(TRIM(Raw_Export!F2534)),"KES",""),",","")),0))</f>
        <v/>
      </c>
      <c r="H2534" s="38" t="str">
        <f aca="false">IF(Raw_Export!$A2534="","",F2534*G2534)</f>
        <v/>
      </c>
      <c r="I2534" s="36" t="str">
        <f aca="false">IF(Raw_Export!$A2534="","",IFERROR(VLOOKUP(LOWER(TRIM(Raw_Export!H2534)),Maps!$D$2:$E$12,2,FALSE()),"Other"))</f>
        <v/>
      </c>
      <c r="J2534" s="36" t="str">
        <f aca="false">IF(Raw_Export!$A2534="","",IF(COUNTIF($A$2:A2534,A2534)&gt;1,"Duplicate",""))</f>
        <v/>
      </c>
      <c r="K2534" s="36" t="str">
        <f aca="false">IF(Raw_Export!$A2534="","",IF(J2534="Duplicate","Duplicate",IF(OR(C2534="UNMAPPED",D2534="UNMAPPED"),"Unmapped",IF(F2534=0,"Blank qty",IF(F2534&lt;0,"Return","OK")))))</f>
        <v/>
      </c>
      <c r="L2534" s="36" t="str">
        <f aca="false">IF(Raw_Export!$A2534="","",IF(OR(K2534="OK",K2534="Return"),1,0))</f>
        <v/>
      </c>
      <c r="M2534" s="37" t="str">
        <f aca="false">IF(Raw_Export!$A2534="","",B2534-WEEKDAY(B2534,2)+1)</f>
        <v/>
      </c>
    </row>
    <row r="2535" customFormat="false" ht="15" hidden="false" customHeight="false" outlineLevel="0" collapsed="false">
      <c r="A2535" s="36" t="str">
        <f aca="false">IF(Raw_Export!$A2535="","",TRIM(Raw_Export!A2535))</f>
        <v/>
      </c>
      <c r="B2535" s="37" t="str">
        <f aca="false">IF(Raw_Export!$A2535="","",IF(ISNUMBER(Raw_Export!B2535),Raw_Export!B2535,IF(MID(TRIM(Raw_Export!B2535),5,1)="-",DATE(LEFT(TRIM(Raw_Export!B2535),4),MID(TRIM(Raw_Export!B2535),6,2),RIGHT(TRIM(Raw_Export!B2535),2)),DATE(RIGHT(TRIM(Raw_Export!B2535),4),MATCH(MID(TRIM(Raw_Export!B2535),4,3),{"Jan","Feb","Mar","Apr","May","Jun","Jul","Aug","Sep","Oct","Nov","Dec"},0),LEFT(TRIM(Raw_Export!B2535),2)))))</f>
        <v/>
      </c>
      <c r="C2535" s="36" t="str">
        <f aca="false">IF(Raw_Export!$A2535="","",IFERROR(VLOOKUP(LOWER(TRIM(Raw_Export!C2535)),Maps!$A$2:$B$20,2,FALSE()),"UNMAPPED"))</f>
        <v/>
      </c>
      <c r="D2535" s="36" t="str">
        <f aca="false">IF(Raw_Export!$A2535="","",IFERROR(VLOOKUP(LOWER(TRIM(Raw_Export!D2535)),Maps!$G$2:$I$80,2,FALSE()),"UNMAPPED"))</f>
        <v/>
      </c>
      <c r="E2535" s="36" t="str">
        <f aca="false">IF(Raw_Export!$A2535="","",IFERROR(VLOOKUP(LOWER(TRIM(Raw_Export!D2535)),Maps!$G$2:$I$80,3,FALSE()),"UNMAPPED"))</f>
        <v/>
      </c>
      <c r="F2535" s="36" t="str">
        <f aca="false">IF(Raw_Export!$A2535="","",IFERROR(VALUE(TRIM(Raw_Export!E2535)),0))</f>
        <v/>
      </c>
      <c r="G2535" s="38" t="str">
        <f aca="false">IF(Raw_Export!$A2535="","",IFERROR(VALUE(SUBSTITUTE(SUBSTITUTE(UPPER(TRIM(Raw_Export!F2535)),"KES",""),",","")),0))</f>
        <v/>
      </c>
      <c r="H2535" s="38" t="str">
        <f aca="false">IF(Raw_Export!$A2535="","",F2535*G2535)</f>
        <v/>
      </c>
      <c r="I2535" s="36" t="str">
        <f aca="false">IF(Raw_Export!$A2535="","",IFERROR(VLOOKUP(LOWER(TRIM(Raw_Export!H2535)),Maps!$D$2:$E$12,2,FALSE()),"Other"))</f>
        <v/>
      </c>
      <c r="J2535" s="36" t="str">
        <f aca="false">IF(Raw_Export!$A2535="","",IF(COUNTIF($A$2:A2535,A2535)&gt;1,"Duplicate",""))</f>
        <v/>
      </c>
      <c r="K2535" s="36" t="str">
        <f aca="false">IF(Raw_Export!$A2535="","",IF(J2535="Duplicate","Duplicate",IF(OR(C2535="UNMAPPED",D2535="UNMAPPED"),"Unmapped",IF(F2535=0,"Blank qty",IF(F2535&lt;0,"Return","OK")))))</f>
        <v/>
      </c>
      <c r="L2535" s="36" t="str">
        <f aca="false">IF(Raw_Export!$A2535="","",IF(OR(K2535="OK",K2535="Return"),1,0))</f>
        <v/>
      </c>
      <c r="M2535" s="37" t="str">
        <f aca="false">IF(Raw_Export!$A2535="","",B2535-WEEKDAY(B2535,2)+1)</f>
        <v/>
      </c>
    </row>
    <row r="2536" customFormat="false" ht="15" hidden="false" customHeight="false" outlineLevel="0" collapsed="false">
      <c r="A2536" s="36" t="str">
        <f aca="false">IF(Raw_Export!$A2536="","",TRIM(Raw_Export!A2536))</f>
        <v/>
      </c>
      <c r="B2536" s="37" t="str">
        <f aca="false">IF(Raw_Export!$A2536="","",IF(ISNUMBER(Raw_Export!B2536),Raw_Export!B2536,IF(MID(TRIM(Raw_Export!B2536),5,1)="-",DATE(LEFT(TRIM(Raw_Export!B2536),4),MID(TRIM(Raw_Export!B2536),6,2),RIGHT(TRIM(Raw_Export!B2536),2)),DATE(RIGHT(TRIM(Raw_Export!B2536),4),MATCH(MID(TRIM(Raw_Export!B2536),4,3),{"Jan","Feb","Mar","Apr","May","Jun","Jul","Aug","Sep","Oct","Nov","Dec"},0),LEFT(TRIM(Raw_Export!B2536),2)))))</f>
        <v/>
      </c>
      <c r="C2536" s="36" t="str">
        <f aca="false">IF(Raw_Export!$A2536="","",IFERROR(VLOOKUP(LOWER(TRIM(Raw_Export!C2536)),Maps!$A$2:$B$20,2,FALSE()),"UNMAPPED"))</f>
        <v/>
      </c>
      <c r="D2536" s="36" t="str">
        <f aca="false">IF(Raw_Export!$A2536="","",IFERROR(VLOOKUP(LOWER(TRIM(Raw_Export!D2536)),Maps!$G$2:$I$80,2,FALSE()),"UNMAPPED"))</f>
        <v/>
      </c>
      <c r="E2536" s="36" t="str">
        <f aca="false">IF(Raw_Export!$A2536="","",IFERROR(VLOOKUP(LOWER(TRIM(Raw_Export!D2536)),Maps!$G$2:$I$80,3,FALSE()),"UNMAPPED"))</f>
        <v/>
      </c>
      <c r="F2536" s="36" t="str">
        <f aca="false">IF(Raw_Export!$A2536="","",IFERROR(VALUE(TRIM(Raw_Export!E2536)),0))</f>
        <v/>
      </c>
      <c r="G2536" s="38" t="str">
        <f aca="false">IF(Raw_Export!$A2536="","",IFERROR(VALUE(SUBSTITUTE(SUBSTITUTE(UPPER(TRIM(Raw_Export!F2536)),"KES",""),",","")),0))</f>
        <v/>
      </c>
      <c r="H2536" s="38" t="str">
        <f aca="false">IF(Raw_Export!$A2536="","",F2536*G2536)</f>
        <v/>
      </c>
      <c r="I2536" s="36" t="str">
        <f aca="false">IF(Raw_Export!$A2536="","",IFERROR(VLOOKUP(LOWER(TRIM(Raw_Export!H2536)),Maps!$D$2:$E$12,2,FALSE()),"Other"))</f>
        <v/>
      </c>
      <c r="J2536" s="36" t="str">
        <f aca="false">IF(Raw_Export!$A2536="","",IF(COUNTIF($A$2:A2536,A2536)&gt;1,"Duplicate",""))</f>
        <v/>
      </c>
      <c r="K2536" s="36" t="str">
        <f aca="false">IF(Raw_Export!$A2536="","",IF(J2536="Duplicate","Duplicate",IF(OR(C2536="UNMAPPED",D2536="UNMAPPED"),"Unmapped",IF(F2536=0,"Blank qty",IF(F2536&lt;0,"Return","OK")))))</f>
        <v/>
      </c>
      <c r="L2536" s="36" t="str">
        <f aca="false">IF(Raw_Export!$A2536="","",IF(OR(K2536="OK",K2536="Return"),1,0))</f>
        <v/>
      </c>
      <c r="M2536" s="37" t="str">
        <f aca="false">IF(Raw_Export!$A2536="","",B2536-WEEKDAY(B2536,2)+1)</f>
        <v/>
      </c>
    </row>
    <row r="2537" customFormat="false" ht="15" hidden="false" customHeight="false" outlineLevel="0" collapsed="false">
      <c r="A2537" s="36" t="str">
        <f aca="false">IF(Raw_Export!$A2537="","",TRIM(Raw_Export!A2537))</f>
        <v/>
      </c>
      <c r="B2537" s="37" t="str">
        <f aca="false">IF(Raw_Export!$A2537="","",IF(ISNUMBER(Raw_Export!B2537),Raw_Export!B2537,IF(MID(TRIM(Raw_Export!B2537),5,1)="-",DATE(LEFT(TRIM(Raw_Export!B2537),4),MID(TRIM(Raw_Export!B2537),6,2),RIGHT(TRIM(Raw_Export!B2537),2)),DATE(RIGHT(TRIM(Raw_Export!B2537),4),MATCH(MID(TRIM(Raw_Export!B2537),4,3),{"Jan","Feb","Mar","Apr","May","Jun","Jul","Aug","Sep","Oct","Nov","Dec"},0),LEFT(TRIM(Raw_Export!B2537),2)))))</f>
        <v/>
      </c>
      <c r="C2537" s="36" t="str">
        <f aca="false">IF(Raw_Export!$A2537="","",IFERROR(VLOOKUP(LOWER(TRIM(Raw_Export!C2537)),Maps!$A$2:$B$20,2,FALSE()),"UNMAPPED"))</f>
        <v/>
      </c>
      <c r="D2537" s="36" t="str">
        <f aca="false">IF(Raw_Export!$A2537="","",IFERROR(VLOOKUP(LOWER(TRIM(Raw_Export!D2537)),Maps!$G$2:$I$80,2,FALSE()),"UNMAPPED"))</f>
        <v/>
      </c>
      <c r="E2537" s="36" t="str">
        <f aca="false">IF(Raw_Export!$A2537="","",IFERROR(VLOOKUP(LOWER(TRIM(Raw_Export!D2537)),Maps!$G$2:$I$80,3,FALSE()),"UNMAPPED"))</f>
        <v/>
      </c>
      <c r="F2537" s="36" t="str">
        <f aca="false">IF(Raw_Export!$A2537="","",IFERROR(VALUE(TRIM(Raw_Export!E2537)),0))</f>
        <v/>
      </c>
      <c r="G2537" s="38" t="str">
        <f aca="false">IF(Raw_Export!$A2537="","",IFERROR(VALUE(SUBSTITUTE(SUBSTITUTE(UPPER(TRIM(Raw_Export!F2537)),"KES",""),",","")),0))</f>
        <v/>
      </c>
      <c r="H2537" s="38" t="str">
        <f aca="false">IF(Raw_Export!$A2537="","",F2537*G2537)</f>
        <v/>
      </c>
      <c r="I2537" s="36" t="str">
        <f aca="false">IF(Raw_Export!$A2537="","",IFERROR(VLOOKUP(LOWER(TRIM(Raw_Export!H2537)),Maps!$D$2:$E$12,2,FALSE()),"Other"))</f>
        <v/>
      </c>
      <c r="J2537" s="36" t="str">
        <f aca="false">IF(Raw_Export!$A2537="","",IF(COUNTIF($A$2:A2537,A2537)&gt;1,"Duplicate",""))</f>
        <v/>
      </c>
      <c r="K2537" s="36" t="str">
        <f aca="false">IF(Raw_Export!$A2537="","",IF(J2537="Duplicate","Duplicate",IF(OR(C2537="UNMAPPED",D2537="UNMAPPED"),"Unmapped",IF(F2537=0,"Blank qty",IF(F2537&lt;0,"Return","OK")))))</f>
        <v/>
      </c>
      <c r="L2537" s="36" t="str">
        <f aca="false">IF(Raw_Export!$A2537="","",IF(OR(K2537="OK",K2537="Return"),1,0))</f>
        <v/>
      </c>
      <c r="M2537" s="37" t="str">
        <f aca="false">IF(Raw_Export!$A2537="","",B2537-WEEKDAY(B2537,2)+1)</f>
        <v/>
      </c>
    </row>
    <row r="2538" customFormat="false" ht="15" hidden="false" customHeight="false" outlineLevel="0" collapsed="false">
      <c r="A2538" s="36" t="str">
        <f aca="false">IF(Raw_Export!$A2538="","",TRIM(Raw_Export!A2538))</f>
        <v/>
      </c>
      <c r="B2538" s="37" t="str">
        <f aca="false">IF(Raw_Export!$A2538="","",IF(ISNUMBER(Raw_Export!B2538),Raw_Export!B2538,IF(MID(TRIM(Raw_Export!B2538),5,1)="-",DATE(LEFT(TRIM(Raw_Export!B2538),4),MID(TRIM(Raw_Export!B2538),6,2),RIGHT(TRIM(Raw_Export!B2538),2)),DATE(RIGHT(TRIM(Raw_Export!B2538),4),MATCH(MID(TRIM(Raw_Export!B2538),4,3),{"Jan","Feb","Mar","Apr","May","Jun","Jul","Aug","Sep","Oct","Nov","Dec"},0),LEFT(TRIM(Raw_Export!B2538),2)))))</f>
        <v/>
      </c>
      <c r="C2538" s="36" t="str">
        <f aca="false">IF(Raw_Export!$A2538="","",IFERROR(VLOOKUP(LOWER(TRIM(Raw_Export!C2538)),Maps!$A$2:$B$20,2,FALSE()),"UNMAPPED"))</f>
        <v/>
      </c>
      <c r="D2538" s="36" t="str">
        <f aca="false">IF(Raw_Export!$A2538="","",IFERROR(VLOOKUP(LOWER(TRIM(Raw_Export!D2538)),Maps!$G$2:$I$80,2,FALSE()),"UNMAPPED"))</f>
        <v/>
      </c>
      <c r="E2538" s="36" t="str">
        <f aca="false">IF(Raw_Export!$A2538="","",IFERROR(VLOOKUP(LOWER(TRIM(Raw_Export!D2538)),Maps!$G$2:$I$80,3,FALSE()),"UNMAPPED"))</f>
        <v/>
      </c>
      <c r="F2538" s="36" t="str">
        <f aca="false">IF(Raw_Export!$A2538="","",IFERROR(VALUE(TRIM(Raw_Export!E2538)),0))</f>
        <v/>
      </c>
      <c r="G2538" s="38" t="str">
        <f aca="false">IF(Raw_Export!$A2538="","",IFERROR(VALUE(SUBSTITUTE(SUBSTITUTE(UPPER(TRIM(Raw_Export!F2538)),"KES",""),",","")),0))</f>
        <v/>
      </c>
      <c r="H2538" s="38" t="str">
        <f aca="false">IF(Raw_Export!$A2538="","",F2538*G2538)</f>
        <v/>
      </c>
      <c r="I2538" s="36" t="str">
        <f aca="false">IF(Raw_Export!$A2538="","",IFERROR(VLOOKUP(LOWER(TRIM(Raw_Export!H2538)),Maps!$D$2:$E$12,2,FALSE()),"Other"))</f>
        <v/>
      </c>
      <c r="J2538" s="36" t="str">
        <f aca="false">IF(Raw_Export!$A2538="","",IF(COUNTIF($A$2:A2538,A2538)&gt;1,"Duplicate",""))</f>
        <v/>
      </c>
      <c r="K2538" s="36" t="str">
        <f aca="false">IF(Raw_Export!$A2538="","",IF(J2538="Duplicate","Duplicate",IF(OR(C2538="UNMAPPED",D2538="UNMAPPED"),"Unmapped",IF(F2538=0,"Blank qty",IF(F2538&lt;0,"Return","OK")))))</f>
        <v/>
      </c>
      <c r="L2538" s="36" t="str">
        <f aca="false">IF(Raw_Export!$A2538="","",IF(OR(K2538="OK",K2538="Return"),1,0))</f>
        <v/>
      </c>
      <c r="M2538" s="37" t="str">
        <f aca="false">IF(Raw_Export!$A2538="","",B2538-WEEKDAY(B2538,2)+1)</f>
        <v/>
      </c>
    </row>
    <row r="2539" customFormat="false" ht="15" hidden="false" customHeight="false" outlineLevel="0" collapsed="false">
      <c r="A2539" s="36" t="str">
        <f aca="false">IF(Raw_Export!$A2539="","",TRIM(Raw_Export!A2539))</f>
        <v/>
      </c>
      <c r="B2539" s="37" t="str">
        <f aca="false">IF(Raw_Export!$A2539="","",IF(ISNUMBER(Raw_Export!B2539),Raw_Export!B2539,IF(MID(TRIM(Raw_Export!B2539),5,1)="-",DATE(LEFT(TRIM(Raw_Export!B2539),4),MID(TRIM(Raw_Export!B2539),6,2),RIGHT(TRIM(Raw_Export!B2539),2)),DATE(RIGHT(TRIM(Raw_Export!B2539),4),MATCH(MID(TRIM(Raw_Export!B2539),4,3),{"Jan","Feb","Mar","Apr","May","Jun","Jul","Aug","Sep","Oct","Nov","Dec"},0),LEFT(TRIM(Raw_Export!B2539),2)))))</f>
        <v/>
      </c>
      <c r="C2539" s="36" t="str">
        <f aca="false">IF(Raw_Export!$A2539="","",IFERROR(VLOOKUP(LOWER(TRIM(Raw_Export!C2539)),Maps!$A$2:$B$20,2,FALSE()),"UNMAPPED"))</f>
        <v/>
      </c>
      <c r="D2539" s="36" t="str">
        <f aca="false">IF(Raw_Export!$A2539="","",IFERROR(VLOOKUP(LOWER(TRIM(Raw_Export!D2539)),Maps!$G$2:$I$80,2,FALSE()),"UNMAPPED"))</f>
        <v/>
      </c>
      <c r="E2539" s="36" t="str">
        <f aca="false">IF(Raw_Export!$A2539="","",IFERROR(VLOOKUP(LOWER(TRIM(Raw_Export!D2539)),Maps!$G$2:$I$80,3,FALSE()),"UNMAPPED"))</f>
        <v/>
      </c>
      <c r="F2539" s="36" t="str">
        <f aca="false">IF(Raw_Export!$A2539="","",IFERROR(VALUE(TRIM(Raw_Export!E2539)),0))</f>
        <v/>
      </c>
      <c r="G2539" s="38" t="str">
        <f aca="false">IF(Raw_Export!$A2539="","",IFERROR(VALUE(SUBSTITUTE(SUBSTITUTE(UPPER(TRIM(Raw_Export!F2539)),"KES",""),",","")),0))</f>
        <v/>
      </c>
      <c r="H2539" s="38" t="str">
        <f aca="false">IF(Raw_Export!$A2539="","",F2539*G2539)</f>
        <v/>
      </c>
      <c r="I2539" s="36" t="str">
        <f aca="false">IF(Raw_Export!$A2539="","",IFERROR(VLOOKUP(LOWER(TRIM(Raw_Export!H2539)),Maps!$D$2:$E$12,2,FALSE()),"Other"))</f>
        <v/>
      </c>
      <c r="J2539" s="36" t="str">
        <f aca="false">IF(Raw_Export!$A2539="","",IF(COUNTIF($A$2:A2539,A2539)&gt;1,"Duplicate",""))</f>
        <v/>
      </c>
      <c r="K2539" s="36" t="str">
        <f aca="false">IF(Raw_Export!$A2539="","",IF(J2539="Duplicate","Duplicate",IF(OR(C2539="UNMAPPED",D2539="UNMAPPED"),"Unmapped",IF(F2539=0,"Blank qty",IF(F2539&lt;0,"Return","OK")))))</f>
        <v/>
      </c>
      <c r="L2539" s="36" t="str">
        <f aca="false">IF(Raw_Export!$A2539="","",IF(OR(K2539="OK",K2539="Return"),1,0))</f>
        <v/>
      </c>
      <c r="M2539" s="37" t="str">
        <f aca="false">IF(Raw_Export!$A2539="","",B2539-WEEKDAY(B2539,2)+1)</f>
        <v/>
      </c>
    </row>
    <row r="2540" customFormat="false" ht="15" hidden="false" customHeight="false" outlineLevel="0" collapsed="false">
      <c r="A2540" s="36" t="str">
        <f aca="false">IF(Raw_Export!$A2540="","",TRIM(Raw_Export!A2540))</f>
        <v/>
      </c>
      <c r="B2540" s="37" t="str">
        <f aca="false">IF(Raw_Export!$A2540="","",IF(ISNUMBER(Raw_Export!B2540),Raw_Export!B2540,IF(MID(TRIM(Raw_Export!B2540),5,1)="-",DATE(LEFT(TRIM(Raw_Export!B2540),4),MID(TRIM(Raw_Export!B2540),6,2),RIGHT(TRIM(Raw_Export!B2540),2)),DATE(RIGHT(TRIM(Raw_Export!B2540),4),MATCH(MID(TRIM(Raw_Export!B2540),4,3),{"Jan","Feb","Mar","Apr","May","Jun","Jul","Aug","Sep","Oct","Nov","Dec"},0),LEFT(TRIM(Raw_Export!B2540),2)))))</f>
        <v/>
      </c>
      <c r="C2540" s="36" t="str">
        <f aca="false">IF(Raw_Export!$A2540="","",IFERROR(VLOOKUP(LOWER(TRIM(Raw_Export!C2540)),Maps!$A$2:$B$20,2,FALSE()),"UNMAPPED"))</f>
        <v/>
      </c>
      <c r="D2540" s="36" t="str">
        <f aca="false">IF(Raw_Export!$A2540="","",IFERROR(VLOOKUP(LOWER(TRIM(Raw_Export!D2540)),Maps!$G$2:$I$80,2,FALSE()),"UNMAPPED"))</f>
        <v/>
      </c>
      <c r="E2540" s="36" t="str">
        <f aca="false">IF(Raw_Export!$A2540="","",IFERROR(VLOOKUP(LOWER(TRIM(Raw_Export!D2540)),Maps!$G$2:$I$80,3,FALSE()),"UNMAPPED"))</f>
        <v/>
      </c>
      <c r="F2540" s="36" t="str">
        <f aca="false">IF(Raw_Export!$A2540="","",IFERROR(VALUE(TRIM(Raw_Export!E2540)),0))</f>
        <v/>
      </c>
      <c r="G2540" s="38" t="str">
        <f aca="false">IF(Raw_Export!$A2540="","",IFERROR(VALUE(SUBSTITUTE(SUBSTITUTE(UPPER(TRIM(Raw_Export!F2540)),"KES",""),",","")),0))</f>
        <v/>
      </c>
      <c r="H2540" s="38" t="str">
        <f aca="false">IF(Raw_Export!$A2540="","",F2540*G2540)</f>
        <v/>
      </c>
      <c r="I2540" s="36" t="str">
        <f aca="false">IF(Raw_Export!$A2540="","",IFERROR(VLOOKUP(LOWER(TRIM(Raw_Export!H2540)),Maps!$D$2:$E$12,2,FALSE()),"Other"))</f>
        <v/>
      </c>
      <c r="J2540" s="36" t="str">
        <f aca="false">IF(Raw_Export!$A2540="","",IF(COUNTIF($A$2:A2540,A2540)&gt;1,"Duplicate",""))</f>
        <v/>
      </c>
      <c r="K2540" s="36" t="str">
        <f aca="false">IF(Raw_Export!$A2540="","",IF(J2540="Duplicate","Duplicate",IF(OR(C2540="UNMAPPED",D2540="UNMAPPED"),"Unmapped",IF(F2540=0,"Blank qty",IF(F2540&lt;0,"Return","OK")))))</f>
        <v/>
      </c>
      <c r="L2540" s="36" t="str">
        <f aca="false">IF(Raw_Export!$A2540="","",IF(OR(K2540="OK",K2540="Return"),1,0))</f>
        <v/>
      </c>
      <c r="M2540" s="37" t="str">
        <f aca="false">IF(Raw_Export!$A2540="","",B2540-WEEKDAY(B2540,2)+1)</f>
        <v/>
      </c>
    </row>
    <row r="2541" customFormat="false" ht="15" hidden="false" customHeight="false" outlineLevel="0" collapsed="false">
      <c r="A2541" s="36" t="str">
        <f aca="false">IF(Raw_Export!$A2541="","",TRIM(Raw_Export!A2541))</f>
        <v/>
      </c>
      <c r="B2541" s="37" t="str">
        <f aca="false">IF(Raw_Export!$A2541="","",IF(ISNUMBER(Raw_Export!B2541),Raw_Export!B2541,IF(MID(TRIM(Raw_Export!B2541),5,1)="-",DATE(LEFT(TRIM(Raw_Export!B2541),4),MID(TRIM(Raw_Export!B2541),6,2),RIGHT(TRIM(Raw_Export!B2541),2)),DATE(RIGHT(TRIM(Raw_Export!B2541),4),MATCH(MID(TRIM(Raw_Export!B2541),4,3),{"Jan","Feb","Mar","Apr","May","Jun","Jul","Aug","Sep","Oct","Nov","Dec"},0),LEFT(TRIM(Raw_Export!B2541),2)))))</f>
        <v/>
      </c>
      <c r="C2541" s="36" t="str">
        <f aca="false">IF(Raw_Export!$A2541="","",IFERROR(VLOOKUP(LOWER(TRIM(Raw_Export!C2541)),Maps!$A$2:$B$20,2,FALSE()),"UNMAPPED"))</f>
        <v/>
      </c>
      <c r="D2541" s="36" t="str">
        <f aca="false">IF(Raw_Export!$A2541="","",IFERROR(VLOOKUP(LOWER(TRIM(Raw_Export!D2541)),Maps!$G$2:$I$80,2,FALSE()),"UNMAPPED"))</f>
        <v/>
      </c>
      <c r="E2541" s="36" t="str">
        <f aca="false">IF(Raw_Export!$A2541="","",IFERROR(VLOOKUP(LOWER(TRIM(Raw_Export!D2541)),Maps!$G$2:$I$80,3,FALSE()),"UNMAPPED"))</f>
        <v/>
      </c>
      <c r="F2541" s="36" t="str">
        <f aca="false">IF(Raw_Export!$A2541="","",IFERROR(VALUE(TRIM(Raw_Export!E2541)),0))</f>
        <v/>
      </c>
      <c r="G2541" s="38" t="str">
        <f aca="false">IF(Raw_Export!$A2541="","",IFERROR(VALUE(SUBSTITUTE(SUBSTITUTE(UPPER(TRIM(Raw_Export!F2541)),"KES",""),",","")),0))</f>
        <v/>
      </c>
      <c r="H2541" s="38" t="str">
        <f aca="false">IF(Raw_Export!$A2541="","",F2541*G2541)</f>
        <v/>
      </c>
      <c r="I2541" s="36" t="str">
        <f aca="false">IF(Raw_Export!$A2541="","",IFERROR(VLOOKUP(LOWER(TRIM(Raw_Export!H2541)),Maps!$D$2:$E$12,2,FALSE()),"Other"))</f>
        <v/>
      </c>
      <c r="J2541" s="36" t="str">
        <f aca="false">IF(Raw_Export!$A2541="","",IF(COUNTIF($A$2:A2541,A2541)&gt;1,"Duplicate",""))</f>
        <v/>
      </c>
      <c r="K2541" s="36" t="str">
        <f aca="false">IF(Raw_Export!$A2541="","",IF(J2541="Duplicate","Duplicate",IF(OR(C2541="UNMAPPED",D2541="UNMAPPED"),"Unmapped",IF(F2541=0,"Blank qty",IF(F2541&lt;0,"Return","OK")))))</f>
        <v/>
      </c>
      <c r="L2541" s="36" t="str">
        <f aca="false">IF(Raw_Export!$A2541="","",IF(OR(K2541="OK",K2541="Return"),1,0))</f>
        <v/>
      </c>
      <c r="M2541" s="37" t="str">
        <f aca="false">IF(Raw_Export!$A2541="","",B2541-WEEKDAY(B2541,2)+1)</f>
        <v/>
      </c>
    </row>
    <row r="2542" customFormat="false" ht="15" hidden="false" customHeight="false" outlineLevel="0" collapsed="false">
      <c r="A2542" s="36" t="str">
        <f aca="false">IF(Raw_Export!$A2542="","",TRIM(Raw_Export!A2542))</f>
        <v/>
      </c>
      <c r="B2542" s="37" t="str">
        <f aca="false">IF(Raw_Export!$A2542="","",IF(ISNUMBER(Raw_Export!B2542),Raw_Export!B2542,IF(MID(TRIM(Raw_Export!B2542),5,1)="-",DATE(LEFT(TRIM(Raw_Export!B2542),4),MID(TRIM(Raw_Export!B2542),6,2),RIGHT(TRIM(Raw_Export!B2542),2)),DATE(RIGHT(TRIM(Raw_Export!B2542),4),MATCH(MID(TRIM(Raw_Export!B2542),4,3),{"Jan","Feb","Mar","Apr","May","Jun","Jul","Aug","Sep","Oct","Nov","Dec"},0),LEFT(TRIM(Raw_Export!B2542),2)))))</f>
        <v/>
      </c>
      <c r="C2542" s="36" t="str">
        <f aca="false">IF(Raw_Export!$A2542="","",IFERROR(VLOOKUP(LOWER(TRIM(Raw_Export!C2542)),Maps!$A$2:$B$20,2,FALSE()),"UNMAPPED"))</f>
        <v/>
      </c>
      <c r="D2542" s="36" t="str">
        <f aca="false">IF(Raw_Export!$A2542="","",IFERROR(VLOOKUP(LOWER(TRIM(Raw_Export!D2542)),Maps!$G$2:$I$80,2,FALSE()),"UNMAPPED"))</f>
        <v/>
      </c>
      <c r="E2542" s="36" t="str">
        <f aca="false">IF(Raw_Export!$A2542="","",IFERROR(VLOOKUP(LOWER(TRIM(Raw_Export!D2542)),Maps!$G$2:$I$80,3,FALSE()),"UNMAPPED"))</f>
        <v/>
      </c>
      <c r="F2542" s="36" t="str">
        <f aca="false">IF(Raw_Export!$A2542="","",IFERROR(VALUE(TRIM(Raw_Export!E2542)),0))</f>
        <v/>
      </c>
      <c r="G2542" s="38" t="str">
        <f aca="false">IF(Raw_Export!$A2542="","",IFERROR(VALUE(SUBSTITUTE(SUBSTITUTE(UPPER(TRIM(Raw_Export!F2542)),"KES",""),",","")),0))</f>
        <v/>
      </c>
      <c r="H2542" s="38" t="str">
        <f aca="false">IF(Raw_Export!$A2542="","",F2542*G2542)</f>
        <v/>
      </c>
      <c r="I2542" s="36" t="str">
        <f aca="false">IF(Raw_Export!$A2542="","",IFERROR(VLOOKUP(LOWER(TRIM(Raw_Export!H2542)),Maps!$D$2:$E$12,2,FALSE()),"Other"))</f>
        <v/>
      </c>
      <c r="J2542" s="36" t="str">
        <f aca="false">IF(Raw_Export!$A2542="","",IF(COUNTIF($A$2:A2542,A2542)&gt;1,"Duplicate",""))</f>
        <v/>
      </c>
      <c r="K2542" s="36" t="str">
        <f aca="false">IF(Raw_Export!$A2542="","",IF(J2542="Duplicate","Duplicate",IF(OR(C2542="UNMAPPED",D2542="UNMAPPED"),"Unmapped",IF(F2542=0,"Blank qty",IF(F2542&lt;0,"Return","OK")))))</f>
        <v/>
      </c>
      <c r="L2542" s="36" t="str">
        <f aca="false">IF(Raw_Export!$A2542="","",IF(OR(K2542="OK",K2542="Return"),1,0))</f>
        <v/>
      </c>
      <c r="M2542" s="37" t="str">
        <f aca="false">IF(Raw_Export!$A2542="","",B2542-WEEKDAY(B2542,2)+1)</f>
        <v/>
      </c>
    </row>
    <row r="2543" customFormat="false" ht="15" hidden="false" customHeight="false" outlineLevel="0" collapsed="false">
      <c r="A2543" s="36" t="str">
        <f aca="false">IF(Raw_Export!$A2543="","",TRIM(Raw_Export!A2543))</f>
        <v/>
      </c>
      <c r="B2543" s="37" t="str">
        <f aca="false">IF(Raw_Export!$A2543="","",IF(ISNUMBER(Raw_Export!B2543),Raw_Export!B2543,IF(MID(TRIM(Raw_Export!B2543),5,1)="-",DATE(LEFT(TRIM(Raw_Export!B2543),4),MID(TRIM(Raw_Export!B2543),6,2),RIGHT(TRIM(Raw_Export!B2543),2)),DATE(RIGHT(TRIM(Raw_Export!B2543),4),MATCH(MID(TRIM(Raw_Export!B2543),4,3),{"Jan","Feb","Mar","Apr","May","Jun","Jul","Aug","Sep","Oct","Nov","Dec"},0),LEFT(TRIM(Raw_Export!B2543),2)))))</f>
        <v/>
      </c>
      <c r="C2543" s="36" t="str">
        <f aca="false">IF(Raw_Export!$A2543="","",IFERROR(VLOOKUP(LOWER(TRIM(Raw_Export!C2543)),Maps!$A$2:$B$20,2,FALSE()),"UNMAPPED"))</f>
        <v/>
      </c>
      <c r="D2543" s="36" t="str">
        <f aca="false">IF(Raw_Export!$A2543="","",IFERROR(VLOOKUP(LOWER(TRIM(Raw_Export!D2543)),Maps!$G$2:$I$80,2,FALSE()),"UNMAPPED"))</f>
        <v/>
      </c>
      <c r="E2543" s="36" t="str">
        <f aca="false">IF(Raw_Export!$A2543="","",IFERROR(VLOOKUP(LOWER(TRIM(Raw_Export!D2543)),Maps!$G$2:$I$80,3,FALSE()),"UNMAPPED"))</f>
        <v/>
      </c>
      <c r="F2543" s="36" t="str">
        <f aca="false">IF(Raw_Export!$A2543="","",IFERROR(VALUE(TRIM(Raw_Export!E2543)),0))</f>
        <v/>
      </c>
      <c r="G2543" s="38" t="str">
        <f aca="false">IF(Raw_Export!$A2543="","",IFERROR(VALUE(SUBSTITUTE(SUBSTITUTE(UPPER(TRIM(Raw_Export!F2543)),"KES",""),",","")),0))</f>
        <v/>
      </c>
      <c r="H2543" s="38" t="str">
        <f aca="false">IF(Raw_Export!$A2543="","",F2543*G2543)</f>
        <v/>
      </c>
      <c r="I2543" s="36" t="str">
        <f aca="false">IF(Raw_Export!$A2543="","",IFERROR(VLOOKUP(LOWER(TRIM(Raw_Export!H2543)),Maps!$D$2:$E$12,2,FALSE()),"Other"))</f>
        <v/>
      </c>
      <c r="J2543" s="36" t="str">
        <f aca="false">IF(Raw_Export!$A2543="","",IF(COUNTIF($A$2:A2543,A2543)&gt;1,"Duplicate",""))</f>
        <v/>
      </c>
      <c r="K2543" s="36" t="str">
        <f aca="false">IF(Raw_Export!$A2543="","",IF(J2543="Duplicate","Duplicate",IF(OR(C2543="UNMAPPED",D2543="UNMAPPED"),"Unmapped",IF(F2543=0,"Blank qty",IF(F2543&lt;0,"Return","OK")))))</f>
        <v/>
      </c>
      <c r="L2543" s="36" t="str">
        <f aca="false">IF(Raw_Export!$A2543="","",IF(OR(K2543="OK",K2543="Return"),1,0))</f>
        <v/>
      </c>
      <c r="M2543" s="37" t="str">
        <f aca="false">IF(Raw_Export!$A2543="","",B2543-WEEKDAY(B2543,2)+1)</f>
        <v/>
      </c>
    </row>
    <row r="2544" customFormat="false" ht="15" hidden="false" customHeight="false" outlineLevel="0" collapsed="false">
      <c r="A2544" s="36" t="str">
        <f aca="false">IF(Raw_Export!$A2544="","",TRIM(Raw_Export!A2544))</f>
        <v/>
      </c>
      <c r="B2544" s="37" t="str">
        <f aca="false">IF(Raw_Export!$A2544="","",IF(ISNUMBER(Raw_Export!B2544),Raw_Export!B2544,IF(MID(TRIM(Raw_Export!B2544),5,1)="-",DATE(LEFT(TRIM(Raw_Export!B2544),4),MID(TRIM(Raw_Export!B2544),6,2),RIGHT(TRIM(Raw_Export!B2544),2)),DATE(RIGHT(TRIM(Raw_Export!B2544),4),MATCH(MID(TRIM(Raw_Export!B2544),4,3),{"Jan","Feb","Mar","Apr","May","Jun","Jul","Aug","Sep","Oct","Nov","Dec"},0),LEFT(TRIM(Raw_Export!B2544),2)))))</f>
        <v/>
      </c>
      <c r="C2544" s="36" t="str">
        <f aca="false">IF(Raw_Export!$A2544="","",IFERROR(VLOOKUP(LOWER(TRIM(Raw_Export!C2544)),Maps!$A$2:$B$20,2,FALSE()),"UNMAPPED"))</f>
        <v/>
      </c>
      <c r="D2544" s="36" t="str">
        <f aca="false">IF(Raw_Export!$A2544="","",IFERROR(VLOOKUP(LOWER(TRIM(Raw_Export!D2544)),Maps!$G$2:$I$80,2,FALSE()),"UNMAPPED"))</f>
        <v/>
      </c>
      <c r="E2544" s="36" t="str">
        <f aca="false">IF(Raw_Export!$A2544="","",IFERROR(VLOOKUP(LOWER(TRIM(Raw_Export!D2544)),Maps!$G$2:$I$80,3,FALSE()),"UNMAPPED"))</f>
        <v/>
      </c>
      <c r="F2544" s="36" t="str">
        <f aca="false">IF(Raw_Export!$A2544="","",IFERROR(VALUE(TRIM(Raw_Export!E2544)),0))</f>
        <v/>
      </c>
      <c r="G2544" s="38" t="str">
        <f aca="false">IF(Raw_Export!$A2544="","",IFERROR(VALUE(SUBSTITUTE(SUBSTITUTE(UPPER(TRIM(Raw_Export!F2544)),"KES",""),",","")),0))</f>
        <v/>
      </c>
      <c r="H2544" s="38" t="str">
        <f aca="false">IF(Raw_Export!$A2544="","",F2544*G2544)</f>
        <v/>
      </c>
      <c r="I2544" s="36" t="str">
        <f aca="false">IF(Raw_Export!$A2544="","",IFERROR(VLOOKUP(LOWER(TRIM(Raw_Export!H2544)),Maps!$D$2:$E$12,2,FALSE()),"Other"))</f>
        <v/>
      </c>
      <c r="J2544" s="36" t="str">
        <f aca="false">IF(Raw_Export!$A2544="","",IF(COUNTIF($A$2:A2544,A2544)&gt;1,"Duplicate",""))</f>
        <v/>
      </c>
      <c r="K2544" s="36" t="str">
        <f aca="false">IF(Raw_Export!$A2544="","",IF(J2544="Duplicate","Duplicate",IF(OR(C2544="UNMAPPED",D2544="UNMAPPED"),"Unmapped",IF(F2544=0,"Blank qty",IF(F2544&lt;0,"Return","OK")))))</f>
        <v/>
      </c>
      <c r="L2544" s="36" t="str">
        <f aca="false">IF(Raw_Export!$A2544="","",IF(OR(K2544="OK",K2544="Return"),1,0))</f>
        <v/>
      </c>
      <c r="M2544" s="37" t="str">
        <f aca="false">IF(Raw_Export!$A2544="","",B2544-WEEKDAY(B2544,2)+1)</f>
        <v/>
      </c>
    </row>
    <row r="2545" customFormat="false" ht="15" hidden="false" customHeight="false" outlineLevel="0" collapsed="false">
      <c r="A2545" s="36" t="str">
        <f aca="false">IF(Raw_Export!$A2545="","",TRIM(Raw_Export!A2545))</f>
        <v/>
      </c>
      <c r="B2545" s="37" t="str">
        <f aca="false">IF(Raw_Export!$A2545="","",IF(ISNUMBER(Raw_Export!B2545),Raw_Export!B2545,IF(MID(TRIM(Raw_Export!B2545),5,1)="-",DATE(LEFT(TRIM(Raw_Export!B2545),4),MID(TRIM(Raw_Export!B2545),6,2),RIGHT(TRIM(Raw_Export!B2545),2)),DATE(RIGHT(TRIM(Raw_Export!B2545),4),MATCH(MID(TRIM(Raw_Export!B2545),4,3),{"Jan","Feb","Mar","Apr","May","Jun","Jul","Aug","Sep","Oct","Nov","Dec"},0),LEFT(TRIM(Raw_Export!B2545),2)))))</f>
        <v/>
      </c>
      <c r="C2545" s="36" t="str">
        <f aca="false">IF(Raw_Export!$A2545="","",IFERROR(VLOOKUP(LOWER(TRIM(Raw_Export!C2545)),Maps!$A$2:$B$20,2,FALSE()),"UNMAPPED"))</f>
        <v/>
      </c>
      <c r="D2545" s="36" t="str">
        <f aca="false">IF(Raw_Export!$A2545="","",IFERROR(VLOOKUP(LOWER(TRIM(Raw_Export!D2545)),Maps!$G$2:$I$80,2,FALSE()),"UNMAPPED"))</f>
        <v/>
      </c>
      <c r="E2545" s="36" t="str">
        <f aca="false">IF(Raw_Export!$A2545="","",IFERROR(VLOOKUP(LOWER(TRIM(Raw_Export!D2545)),Maps!$G$2:$I$80,3,FALSE()),"UNMAPPED"))</f>
        <v/>
      </c>
      <c r="F2545" s="36" t="str">
        <f aca="false">IF(Raw_Export!$A2545="","",IFERROR(VALUE(TRIM(Raw_Export!E2545)),0))</f>
        <v/>
      </c>
      <c r="G2545" s="38" t="str">
        <f aca="false">IF(Raw_Export!$A2545="","",IFERROR(VALUE(SUBSTITUTE(SUBSTITUTE(UPPER(TRIM(Raw_Export!F2545)),"KES",""),",","")),0))</f>
        <v/>
      </c>
      <c r="H2545" s="38" t="str">
        <f aca="false">IF(Raw_Export!$A2545="","",F2545*G2545)</f>
        <v/>
      </c>
      <c r="I2545" s="36" t="str">
        <f aca="false">IF(Raw_Export!$A2545="","",IFERROR(VLOOKUP(LOWER(TRIM(Raw_Export!H2545)),Maps!$D$2:$E$12,2,FALSE()),"Other"))</f>
        <v/>
      </c>
      <c r="J2545" s="36" t="str">
        <f aca="false">IF(Raw_Export!$A2545="","",IF(COUNTIF($A$2:A2545,A2545)&gt;1,"Duplicate",""))</f>
        <v/>
      </c>
      <c r="K2545" s="36" t="str">
        <f aca="false">IF(Raw_Export!$A2545="","",IF(J2545="Duplicate","Duplicate",IF(OR(C2545="UNMAPPED",D2545="UNMAPPED"),"Unmapped",IF(F2545=0,"Blank qty",IF(F2545&lt;0,"Return","OK")))))</f>
        <v/>
      </c>
      <c r="L2545" s="36" t="str">
        <f aca="false">IF(Raw_Export!$A2545="","",IF(OR(K2545="OK",K2545="Return"),1,0))</f>
        <v/>
      </c>
      <c r="M2545" s="37" t="str">
        <f aca="false">IF(Raw_Export!$A2545="","",B2545-WEEKDAY(B2545,2)+1)</f>
        <v/>
      </c>
    </row>
    <row r="2546" customFormat="false" ht="15" hidden="false" customHeight="false" outlineLevel="0" collapsed="false">
      <c r="A2546" s="36" t="str">
        <f aca="false">IF(Raw_Export!$A2546="","",TRIM(Raw_Export!A2546))</f>
        <v/>
      </c>
      <c r="B2546" s="37" t="str">
        <f aca="false">IF(Raw_Export!$A2546="","",IF(ISNUMBER(Raw_Export!B2546),Raw_Export!B2546,IF(MID(TRIM(Raw_Export!B2546),5,1)="-",DATE(LEFT(TRIM(Raw_Export!B2546),4),MID(TRIM(Raw_Export!B2546),6,2),RIGHT(TRIM(Raw_Export!B2546),2)),DATE(RIGHT(TRIM(Raw_Export!B2546),4),MATCH(MID(TRIM(Raw_Export!B2546),4,3),{"Jan","Feb","Mar","Apr","May","Jun","Jul","Aug","Sep","Oct","Nov","Dec"},0),LEFT(TRIM(Raw_Export!B2546),2)))))</f>
        <v/>
      </c>
      <c r="C2546" s="36" t="str">
        <f aca="false">IF(Raw_Export!$A2546="","",IFERROR(VLOOKUP(LOWER(TRIM(Raw_Export!C2546)),Maps!$A$2:$B$20,2,FALSE()),"UNMAPPED"))</f>
        <v/>
      </c>
      <c r="D2546" s="36" t="str">
        <f aca="false">IF(Raw_Export!$A2546="","",IFERROR(VLOOKUP(LOWER(TRIM(Raw_Export!D2546)),Maps!$G$2:$I$80,2,FALSE()),"UNMAPPED"))</f>
        <v/>
      </c>
      <c r="E2546" s="36" t="str">
        <f aca="false">IF(Raw_Export!$A2546="","",IFERROR(VLOOKUP(LOWER(TRIM(Raw_Export!D2546)),Maps!$G$2:$I$80,3,FALSE()),"UNMAPPED"))</f>
        <v/>
      </c>
      <c r="F2546" s="36" t="str">
        <f aca="false">IF(Raw_Export!$A2546="","",IFERROR(VALUE(TRIM(Raw_Export!E2546)),0))</f>
        <v/>
      </c>
      <c r="G2546" s="38" t="str">
        <f aca="false">IF(Raw_Export!$A2546="","",IFERROR(VALUE(SUBSTITUTE(SUBSTITUTE(UPPER(TRIM(Raw_Export!F2546)),"KES",""),",","")),0))</f>
        <v/>
      </c>
      <c r="H2546" s="38" t="str">
        <f aca="false">IF(Raw_Export!$A2546="","",F2546*G2546)</f>
        <v/>
      </c>
      <c r="I2546" s="36" t="str">
        <f aca="false">IF(Raw_Export!$A2546="","",IFERROR(VLOOKUP(LOWER(TRIM(Raw_Export!H2546)),Maps!$D$2:$E$12,2,FALSE()),"Other"))</f>
        <v/>
      </c>
      <c r="J2546" s="36" t="str">
        <f aca="false">IF(Raw_Export!$A2546="","",IF(COUNTIF($A$2:A2546,A2546)&gt;1,"Duplicate",""))</f>
        <v/>
      </c>
      <c r="K2546" s="36" t="str">
        <f aca="false">IF(Raw_Export!$A2546="","",IF(J2546="Duplicate","Duplicate",IF(OR(C2546="UNMAPPED",D2546="UNMAPPED"),"Unmapped",IF(F2546=0,"Blank qty",IF(F2546&lt;0,"Return","OK")))))</f>
        <v/>
      </c>
      <c r="L2546" s="36" t="str">
        <f aca="false">IF(Raw_Export!$A2546="","",IF(OR(K2546="OK",K2546="Return"),1,0))</f>
        <v/>
      </c>
      <c r="M2546" s="37" t="str">
        <f aca="false">IF(Raw_Export!$A2546="","",B2546-WEEKDAY(B2546,2)+1)</f>
        <v/>
      </c>
    </row>
    <row r="2547" customFormat="false" ht="15" hidden="false" customHeight="false" outlineLevel="0" collapsed="false">
      <c r="A2547" s="36" t="str">
        <f aca="false">IF(Raw_Export!$A2547="","",TRIM(Raw_Export!A2547))</f>
        <v/>
      </c>
      <c r="B2547" s="37" t="str">
        <f aca="false">IF(Raw_Export!$A2547="","",IF(ISNUMBER(Raw_Export!B2547),Raw_Export!B2547,IF(MID(TRIM(Raw_Export!B2547),5,1)="-",DATE(LEFT(TRIM(Raw_Export!B2547),4),MID(TRIM(Raw_Export!B2547),6,2),RIGHT(TRIM(Raw_Export!B2547),2)),DATE(RIGHT(TRIM(Raw_Export!B2547),4),MATCH(MID(TRIM(Raw_Export!B2547),4,3),{"Jan","Feb","Mar","Apr","May","Jun","Jul","Aug","Sep","Oct","Nov","Dec"},0),LEFT(TRIM(Raw_Export!B2547),2)))))</f>
        <v/>
      </c>
      <c r="C2547" s="36" t="str">
        <f aca="false">IF(Raw_Export!$A2547="","",IFERROR(VLOOKUP(LOWER(TRIM(Raw_Export!C2547)),Maps!$A$2:$B$20,2,FALSE()),"UNMAPPED"))</f>
        <v/>
      </c>
      <c r="D2547" s="36" t="str">
        <f aca="false">IF(Raw_Export!$A2547="","",IFERROR(VLOOKUP(LOWER(TRIM(Raw_Export!D2547)),Maps!$G$2:$I$80,2,FALSE()),"UNMAPPED"))</f>
        <v/>
      </c>
      <c r="E2547" s="36" t="str">
        <f aca="false">IF(Raw_Export!$A2547="","",IFERROR(VLOOKUP(LOWER(TRIM(Raw_Export!D2547)),Maps!$G$2:$I$80,3,FALSE()),"UNMAPPED"))</f>
        <v/>
      </c>
      <c r="F2547" s="36" t="str">
        <f aca="false">IF(Raw_Export!$A2547="","",IFERROR(VALUE(TRIM(Raw_Export!E2547)),0))</f>
        <v/>
      </c>
      <c r="G2547" s="38" t="str">
        <f aca="false">IF(Raw_Export!$A2547="","",IFERROR(VALUE(SUBSTITUTE(SUBSTITUTE(UPPER(TRIM(Raw_Export!F2547)),"KES",""),",","")),0))</f>
        <v/>
      </c>
      <c r="H2547" s="38" t="str">
        <f aca="false">IF(Raw_Export!$A2547="","",F2547*G2547)</f>
        <v/>
      </c>
      <c r="I2547" s="36" t="str">
        <f aca="false">IF(Raw_Export!$A2547="","",IFERROR(VLOOKUP(LOWER(TRIM(Raw_Export!H2547)),Maps!$D$2:$E$12,2,FALSE()),"Other"))</f>
        <v/>
      </c>
      <c r="J2547" s="36" t="str">
        <f aca="false">IF(Raw_Export!$A2547="","",IF(COUNTIF($A$2:A2547,A2547)&gt;1,"Duplicate",""))</f>
        <v/>
      </c>
      <c r="K2547" s="36" t="str">
        <f aca="false">IF(Raw_Export!$A2547="","",IF(J2547="Duplicate","Duplicate",IF(OR(C2547="UNMAPPED",D2547="UNMAPPED"),"Unmapped",IF(F2547=0,"Blank qty",IF(F2547&lt;0,"Return","OK")))))</f>
        <v/>
      </c>
      <c r="L2547" s="36" t="str">
        <f aca="false">IF(Raw_Export!$A2547="","",IF(OR(K2547="OK",K2547="Return"),1,0))</f>
        <v/>
      </c>
      <c r="M2547" s="37" t="str">
        <f aca="false">IF(Raw_Export!$A2547="","",B2547-WEEKDAY(B2547,2)+1)</f>
        <v/>
      </c>
    </row>
    <row r="2548" customFormat="false" ht="15" hidden="false" customHeight="false" outlineLevel="0" collapsed="false">
      <c r="A2548" s="36" t="str">
        <f aca="false">IF(Raw_Export!$A2548="","",TRIM(Raw_Export!A2548))</f>
        <v/>
      </c>
      <c r="B2548" s="37" t="str">
        <f aca="false">IF(Raw_Export!$A2548="","",IF(ISNUMBER(Raw_Export!B2548),Raw_Export!B2548,IF(MID(TRIM(Raw_Export!B2548),5,1)="-",DATE(LEFT(TRIM(Raw_Export!B2548),4),MID(TRIM(Raw_Export!B2548),6,2),RIGHT(TRIM(Raw_Export!B2548),2)),DATE(RIGHT(TRIM(Raw_Export!B2548),4),MATCH(MID(TRIM(Raw_Export!B2548),4,3),{"Jan","Feb","Mar","Apr","May","Jun","Jul","Aug","Sep","Oct","Nov","Dec"},0),LEFT(TRIM(Raw_Export!B2548),2)))))</f>
        <v/>
      </c>
      <c r="C2548" s="36" t="str">
        <f aca="false">IF(Raw_Export!$A2548="","",IFERROR(VLOOKUP(LOWER(TRIM(Raw_Export!C2548)),Maps!$A$2:$B$20,2,FALSE()),"UNMAPPED"))</f>
        <v/>
      </c>
      <c r="D2548" s="36" t="str">
        <f aca="false">IF(Raw_Export!$A2548="","",IFERROR(VLOOKUP(LOWER(TRIM(Raw_Export!D2548)),Maps!$G$2:$I$80,2,FALSE()),"UNMAPPED"))</f>
        <v/>
      </c>
      <c r="E2548" s="36" t="str">
        <f aca="false">IF(Raw_Export!$A2548="","",IFERROR(VLOOKUP(LOWER(TRIM(Raw_Export!D2548)),Maps!$G$2:$I$80,3,FALSE()),"UNMAPPED"))</f>
        <v/>
      </c>
      <c r="F2548" s="36" t="str">
        <f aca="false">IF(Raw_Export!$A2548="","",IFERROR(VALUE(TRIM(Raw_Export!E2548)),0))</f>
        <v/>
      </c>
      <c r="G2548" s="38" t="str">
        <f aca="false">IF(Raw_Export!$A2548="","",IFERROR(VALUE(SUBSTITUTE(SUBSTITUTE(UPPER(TRIM(Raw_Export!F2548)),"KES",""),",","")),0))</f>
        <v/>
      </c>
      <c r="H2548" s="38" t="str">
        <f aca="false">IF(Raw_Export!$A2548="","",F2548*G2548)</f>
        <v/>
      </c>
      <c r="I2548" s="36" t="str">
        <f aca="false">IF(Raw_Export!$A2548="","",IFERROR(VLOOKUP(LOWER(TRIM(Raw_Export!H2548)),Maps!$D$2:$E$12,2,FALSE()),"Other"))</f>
        <v/>
      </c>
      <c r="J2548" s="36" t="str">
        <f aca="false">IF(Raw_Export!$A2548="","",IF(COUNTIF($A$2:A2548,A2548)&gt;1,"Duplicate",""))</f>
        <v/>
      </c>
      <c r="K2548" s="36" t="str">
        <f aca="false">IF(Raw_Export!$A2548="","",IF(J2548="Duplicate","Duplicate",IF(OR(C2548="UNMAPPED",D2548="UNMAPPED"),"Unmapped",IF(F2548=0,"Blank qty",IF(F2548&lt;0,"Return","OK")))))</f>
        <v/>
      </c>
      <c r="L2548" s="36" t="str">
        <f aca="false">IF(Raw_Export!$A2548="","",IF(OR(K2548="OK",K2548="Return"),1,0))</f>
        <v/>
      </c>
      <c r="M2548" s="37" t="str">
        <f aca="false">IF(Raw_Export!$A2548="","",B2548-WEEKDAY(B2548,2)+1)</f>
        <v/>
      </c>
    </row>
    <row r="2549" customFormat="false" ht="15" hidden="false" customHeight="false" outlineLevel="0" collapsed="false">
      <c r="A2549" s="36" t="str">
        <f aca="false">IF(Raw_Export!$A2549="","",TRIM(Raw_Export!A2549))</f>
        <v/>
      </c>
      <c r="B2549" s="37" t="str">
        <f aca="false">IF(Raw_Export!$A2549="","",IF(ISNUMBER(Raw_Export!B2549),Raw_Export!B2549,IF(MID(TRIM(Raw_Export!B2549),5,1)="-",DATE(LEFT(TRIM(Raw_Export!B2549),4),MID(TRIM(Raw_Export!B2549),6,2),RIGHT(TRIM(Raw_Export!B2549),2)),DATE(RIGHT(TRIM(Raw_Export!B2549),4),MATCH(MID(TRIM(Raw_Export!B2549),4,3),{"Jan","Feb","Mar","Apr","May","Jun","Jul","Aug","Sep","Oct","Nov","Dec"},0),LEFT(TRIM(Raw_Export!B2549),2)))))</f>
        <v/>
      </c>
      <c r="C2549" s="36" t="str">
        <f aca="false">IF(Raw_Export!$A2549="","",IFERROR(VLOOKUP(LOWER(TRIM(Raw_Export!C2549)),Maps!$A$2:$B$20,2,FALSE()),"UNMAPPED"))</f>
        <v/>
      </c>
      <c r="D2549" s="36" t="str">
        <f aca="false">IF(Raw_Export!$A2549="","",IFERROR(VLOOKUP(LOWER(TRIM(Raw_Export!D2549)),Maps!$G$2:$I$80,2,FALSE()),"UNMAPPED"))</f>
        <v/>
      </c>
      <c r="E2549" s="36" t="str">
        <f aca="false">IF(Raw_Export!$A2549="","",IFERROR(VLOOKUP(LOWER(TRIM(Raw_Export!D2549)),Maps!$G$2:$I$80,3,FALSE()),"UNMAPPED"))</f>
        <v/>
      </c>
      <c r="F2549" s="36" t="str">
        <f aca="false">IF(Raw_Export!$A2549="","",IFERROR(VALUE(TRIM(Raw_Export!E2549)),0))</f>
        <v/>
      </c>
      <c r="G2549" s="38" t="str">
        <f aca="false">IF(Raw_Export!$A2549="","",IFERROR(VALUE(SUBSTITUTE(SUBSTITUTE(UPPER(TRIM(Raw_Export!F2549)),"KES",""),",","")),0))</f>
        <v/>
      </c>
      <c r="H2549" s="38" t="str">
        <f aca="false">IF(Raw_Export!$A2549="","",F2549*G2549)</f>
        <v/>
      </c>
      <c r="I2549" s="36" t="str">
        <f aca="false">IF(Raw_Export!$A2549="","",IFERROR(VLOOKUP(LOWER(TRIM(Raw_Export!H2549)),Maps!$D$2:$E$12,2,FALSE()),"Other"))</f>
        <v/>
      </c>
      <c r="J2549" s="36" t="str">
        <f aca="false">IF(Raw_Export!$A2549="","",IF(COUNTIF($A$2:A2549,A2549)&gt;1,"Duplicate",""))</f>
        <v/>
      </c>
      <c r="K2549" s="36" t="str">
        <f aca="false">IF(Raw_Export!$A2549="","",IF(J2549="Duplicate","Duplicate",IF(OR(C2549="UNMAPPED",D2549="UNMAPPED"),"Unmapped",IF(F2549=0,"Blank qty",IF(F2549&lt;0,"Return","OK")))))</f>
        <v/>
      </c>
      <c r="L2549" s="36" t="str">
        <f aca="false">IF(Raw_Export!$A2549="","",IF(OR(K2549="OK",K2549="Return"),1,0))</f>
        <v/>
      </c>
      <c r="M2549" s="37" t="str">
        <f aca="false">IF(Raw_Export!$A2549="","",B2549-WEEKDAY(B2549,2)+1)</f>
        <v/>
      </c>
    </row>
    <row r="2550" customFormat="false" ht="15" hidden="false" customHeight="false" outlineLevel="0" collapsed="false">
      <c r="A2550" s="36" t="str">
        <f aca="false">IF(Raw_Export!$A2550="","",TRIM(Raw_Export!A2550))</f>
        <v/>
      </c>
      <c r="B2550" s="37" t="str">
        <f aca="false">IF(Raw_Export!$A2550="","",IF(ISNUMBER(Raw_Export!B2550),Raw_Export!B2550,IF(MID(TRIM(Raw_Export!B2550),5,1)="-",DATE(LEFT(TRIM(Raw_Export!B2550),4),MID(TRIM(Raw_Export!B2550),6,2),RIGHT(TRIM(Raw_Export!B2550),2)),DATE(RIGHT(TRIM(Raw_Export!B2550),4),MATCH(MID(TRIM(Raw_Export!B2550),4,3),{"Jan","Feb","Mar","Apr","May","Jun","Jul","Aug","Sep","Oct","Nov","Dec"},0),LEFT(TRIM(Raw_Export!B2550),2)))))</f>
        <v/>
      </c>
      <c r="C2550" s="36" t="str">
        <f aca="false">IF(Raw_Export!$A2550="","",IFERROR(VLOOKUP(LOWER(TRIM(Raw_Export!C2550)),Maps!$A$2:$B$20,2,FALSE()),"UNMAPPED"))</f>
        <v/>
      </c>
      <c r="D2550" s="36" t="str">
        <f aca="false">IF(Raw_Export!$A2550="","",IFERROR(VLOOKUP(LOWER(TRIM(Raw_Export!D2550)),Maps!$G$2:$I$80,2,FALSE()),"UNMAPPED"))</f>
        <v/>
      </c>
      <c r="E2550" s="36" t="str">
        <f aca="false">IF(Raw_Export!$A2550="","",IFERROR(VLOOKUP(LOWER(TRIM(Raw_Export!D2550)),Maps!$G$2:$I$80,3,FALSE()),"UNMAPPED"))</f>
        <v/>
      </c>
      <c r="F2550" s="36" t="str">
        <f aca="false">IF(Raw_Export!$A2550="","",IFERROR(VALUE(TRIM(Raw_Export!E2550)),0))</f>
        <v/>
      </c>
      <c r="G2550" s="38" t="str">
        <f aca="false">IF(Raw_Export!$A2550="","",IFERROR(VALUE(SUBSTITUTE(SUBSTITUTE(UPPER(TRIM(Raw_Export!F2550)),"KES",""),",","")),0))</f>
        <v/>
      </c>
      <c r="H2550" s="38" t="str">
        <f aca="false">IF(Raw_Export!$A2550="","",F2550*G2550)</f>
        <v/>
      </c>
      <c r="I2550" s="36" t="str">
        <f aca="false">IF(Raw_Export!$A2550="","",IFERROR(VLOOKUP(LOWER(TRIM(Raw_Export!H2550)),Maps!$D$2:$E$12,2,FALSE()),"Other"))</f>
        <v/>
      </c>
      <c r="J2550" s="36" t="str">
        <f aca="false">IF(Raw_Export!$A2550="","",IF(COUNTIF($A$2:A2550,A2550)&gt;1,"Duplicate",""))</f>
        <v/>
      </c>
      <c r="K2550" s="36" t="str">
        <f aca="false">IF(Raw_Export!$A2550="","",IF(J2550="Duplicate","Duplicate",IF(OR(C2550="UNMAPPED",D2550="UNMAPPED"),"Unmapped",IF(F2550=0,"Blank qty",IF(F2550&lt;0,"Return","OK")))))</f>
        <v/>
      </c>
      <c r="L2550" s="36" t="str">
        <f aca="false">IF(Raw_Export!$A2550="","",IF(OR(K2550="OK",K2550="Return"),1,0))</f>
        <v/>
      </c>
      <c r="M2550" s="37" t="str">
        <f aca="false">IF(Raw_Export!$A2550="","",B2550-WEEKDAY(B2550,2)+1)</f>
        <v/>
      </c>
    </row>
    <row r="2551" customFormat="false" ht="15" hidden="false" customHeight="false" outlineLevel="0" collapsed="false">
      <c r="A2551" s="36" t="str">
        <f aca="false">IF(Raw_Export!$A2551="","",TRIM(Raw_Export!A2551))</f>
        <v/>
      </c>
      <c r="B2551" s="37" t="str">
        <f aca="false">IF(Raw_Export!$A2551="","",IF(ISNUMBER(Raw_Export!B2551),Raw_Export!B2551,IF(MID(TRIM(Raw_Export!B2551),5,1)="-",DATE(LEFT(TRIM(Raw_Export!B2551),4),MID(TRIM(Raw_Export!B2551),6,2),RIGHT(TRIM(Raw_Export!B2551),2)),DATE(RIGHT(TRIM(Raw_Export!B2551),4),MATCH(MID(TRIM(Raw_Export!B2551),4,3),{"Jan","Feb","Mar","Apr","May","Jun","Jul","Aug","Sep","Oct","Nov","Dec"},0),LEFT(TRIM(Raw_Export!B2551),2)))))</f>
        <v/>
      </c>
      <c r="C2551" s="36" t="str">
        <f aca="false">IF(Raw_Export!$A2551="","",IFERROR(VLOOKUP(LOWER(TRIM(Raw_Export!C2551)),Maps!$A$2:$B$20,2,FALSE()),"UNMAPPED"))</f>
        <v/>
      </c>
      <c r="D2551" s="36" t="str">
        <f aca="false">IF(Raw_Export!$A2551="","",IFERROR(VLOOKUP(LOWER(TRIM(Raw_Export!D2551)),Maps!$G$2:$I$80,2,FALSE()),"UNMAPPED"))</f>
        <v/>
      </c>
      <c r="E2551" s="36" t="str">
        <f aca="false">IF(Raw_Export!$A2551="","",IFERROR(VLOOKUP(LOWER(TRIM(Raw_Export!D2551)),Maps!$G$2:$I$80,3,FALSE()),"UNMAPPED"))</f>
        <v/>
      </c>
      <c r="F2551" s="36" t="str">
        <f aca="false">IF(Raw_Export!$A2551="","",IFERROR(VALUE(TRIM(Raw_Export!E2551)),0))</f>
        <v/>
      </c>
      <c r="G2551" s="38" t="str">
        <f aca="false">IF(Raw_Export!$A2551="","",IFERROR(VALUE(SUBSTITUTE(SUBSTITUTE(UPPER(TRIM(Raw_Export!F2551)),"KES",""),",","")),0))</f>
        <v/>
      </c>
      <c r="H2551" s="38" t="str">
        <f aca="false">IF(Raw_Export!$A2551="","",F2551*G2551)</f>
        <v/>
      </c>
      <c r="I2551" s="36" t="str">
        <f aca="false">IF(Raw_Export!$A2551="","",IFERROR(VLOOKUP(LOWER(TRIM(Raw_Export!H2551)),Maps!$D$2:$E$12,2,FALSE()),"Other"))</f>
        <v/>
      </c>
      <c r="J2551" s="36" t="str">
        <f aca="false">IF(Raw_Export!$A2551="","",IF(COUNTIF($A$2:A2551,A2551)&gt;1,"Duplicate",""))</f>
        <v/>
      </c>
      <c r="K2551" s="36" t="str">
        <f aca="false">IF(Raw_Export!$A2551="","",IF(J2551="Duplicate","Duplicate",IF(OR(C2551="UNMAPPED",D2551="UNMAPPED"),"Unmapped",IF(F2551=0,"Blank qty",IF(F2551&lt;0,"Return","OK")))))</f>
        <v/>
      </c>
      <c r="L2551" s="36" t="str">
        <f aca="false">IF(Raw_Export!$A2551="","",IF(OR(K2551="OK",K2551="Return"),1,0))</f>
        <v/>
      </c>
      <c r="M2551" s="37" t="str">
        <f aca="false">IF(Raw_Export!$A2551="","",B2551-WEEKDAY(B2551,2)+1)</f>
        <v/>
      </c>
    </row>
    <row r="2552" customFormat="false" ht="15" hidden="false" customHeight="false" outlineLevel="0" collapsed="false">
      <c r="A2552" s="36" t="str">
        <f aca="false">IF(Raw_Export!$A2552="","",TRIM(Raw_Export!A2552))</f>
        <v/>
      </c>
      <c r="B2552" s="37" t="str">
        <f aca="false">IF(Raw_Export!$A2552="","",IF(ISNUMBER(Raw_Export!B2552),Raw_Export!B2552,IF(MID(TRIM(Raw_Export!B2552),5,1)="-",DATE(LEFT(TRIM(Raw_Export!B2552),4),MID(TRIM(Raw_Export!B2552),6,2),RIGHT(TRIM(Raw_Export!B2552),2)),DATE(RIGHT(TRIM(Raw_Export!B2552),4),MATCH(MID(TRIM(Raw_Export!B2552),4,3),{"Jan","Feb","Mar","Apr","May","Jun","Jul","Aug","Sep","Oct","Nov","Dec"},0),LEFT(TRIM(Raw_Export!B2552),2)))))</f>
        <v/>
      </c>
      <c r="C2552" s="36" t="str">
        <f aca="false">IF(Raw_Export!$A2552="","",IFERROR(VLOOKUP(LOWER(TRIM(Raw_Export!C2552)),Maps!$A$2:$B$20,2,FALSE()),"UNMAPPED"))</f>
        <v/>
      </c>
      <c r="D2552" s="36" t="str">
        <f aca="false">IF(Raw_Export!$A2552="","",IFERROR(VLOOKUP(LOWER(TRIM(Raw_Export!D2552)),Maps!$G$2:$I$80,2,FALSE()),"UNMAPPED"))</f>
        <v/>
      </c>
      <c r="E2552" s="36" t="str">
        <f aca="false">IF(Raw_Export!$A2552="","",IFERROR(VLOOKUP(LOWER(TRIM(Raw_Export!D2552)),Maps!$G$2:$I$80,3,FALSE()),"UNMAPPED"))</f>
        <v/>
      </c>
      <c r="F2552" s="36" t="str">
        <f aca="false">IF(Raw_Export!$A2552="","",IFERROR(VALUE(TRIM(Raw_Export!E2552)),0))</f>
        <v/>
      </c>
      <c r="G2552" s="38" t="str">
        <f aca="false">IF(Raw_Export!$A2552="","",IFERROR(VALUE(SUBSTITUTE(SUBSTITUTE(UPPER(TRIM(Raw_Export!F2552)),"KES",""),",","")),0))</f>
        <v/>
      </c>
      <c r="H2552" s="38" t="str">
        <f aca="false">IF(Raw_Export!$A2552="","",F2552*G2552)</f>
        <v/>
      </c>
      <c r="I2552" s="36" t="str">
        <f aca="false">IF(Raw_Export!$A2552="","",IFERROR(VLOOKUP(LOWER(TRIM(Raw_Export!H2552)),Maps!$D$2:$E$12,2,FALSE()),"Other"))</f>
        <v/>
      </c>
      <c r="J2552" s="36" t="str">
        <f aca="false">IF(Raw_Export!$A2552="","",IF(COUNTIF($A$2:A2552,A2552)&gt;1,"Duplicate",""))</f>
        <v/>
      </c>
      <c r="K2552" s="36" t="str">
        <f aca="false">IF(Raw_Export!$A2552="","",IF(J2552="Duplicate","Duplicate",IF(OR(C2552="UNMAPPED",D2552="UNMAPPED"),"Unmapped",IF(F2552=0,"Blank qty",IF(F2552&lt;0,"Return","OK")))))</f>
        <v/>
      </c>
      <c r="L2552" s="36" t="str">
        <f aca="false">IF(Raw_Export!$A2552="","",IF(OR(K2552="OK",K2552="Return"),1,0))</f>
        <v/>
      </c>
      <c r="M2552" s="37" t="str">
        <f aca="false">IF(Raw_Export!$A2552="","",B2552-WEEKDAY(B2552,2)+1)</f>
        <v/>
      </c>
    </row>
    <row r="2553" customFormat="false" ht="15" hidden="false" customHeight="false" outlineLevel="0" collapsed="false">
      <c r="A2553" s="36" t="str">
        <f aca="false">IF(Raw_Export!$A2553="","",TRIM(Raw_Export!A2553))</f>
        <v/>
      </c>
      <c r="B2553" s="37" t="str">
        <f aca="false">IF(Raw_Export!$A2553="","",IF(ISNUMBER(Raw_Export!B2553),Raw_Export!B2553,IF(MID(TRIM(Raw_Export!B2553),5,1)="-",DATE(LEFT(TRIM(Raw_Export!B2553),4),MID(TRIM(Raw_Export!B2553),6,2),RIGHT(TRIM(Raw_Export!B2553),2)),DATE(RIGHT(TRIM(Raw_Export!B2553),4),MATCH(MID(TRIM(Raw_Export!B2553),4,3),{"Jan","Feb","Mar","Apr","May","Jun","Jul","Aug","Sep","Oct","Nov","Dec"},0),LEFT(TRIM(Raw_Export!B2553),2)))))</f>
        <v/>
      </c>
      <c r="C2553" s="36" t="str">
        <f aca="false">IF(Raw_Export!$A2553="","",IFERROR(VLOOKUP(LOWER(TRIM(Raw_Export!C2553)),Maps!$A$2:$B$20,2,FALSE()),"UNMAPPED"))</f>
        <v/>
      </c>
      <c r="D2553" s="36" t="str">
        <f aca="false">IF(Raw_Export!$A2553="","",IFERROR(VLOOKUP(LOWER(TRIM(Raw_Export!D2553)),Maps!$G$2:$I$80,2,FALSE()),"UNMAPPED"))</f>
        <v/>
      </c>
      <c r="E2553" s="36" t="str">
        <f aca="false">IF(Raw_Export!$A2553="","",IFERROR(VLOOKUP(LOWER(TRIM(Raw_Export!D2553)),Maps!$G$2:$I$80,3,FALSE()),"UNMAPPED"))</f>
        <v/>
      </c>
      <c r="F2553" s="36" t="str">
        <f aca="false">IF(Raw_Export!$A2553="","",IFERROR(VALUE(TRIM(Raw_Export!E2553)),0))</f>
        <v/>
      </c>
      <c r="G2553" s="38" t="str">
        <f aca="false">IF(Raw_Export!$A2553="","",IFERROR(VALUE(SUBSTITUTE(SUBSTITUTE(UPPER(TRIM(Raw_Export!F2553)),"KES",""),",","")),0))</f>
        <v/>
      </c>
      <c r="H2553" s="38" t="str">
        <f aca="false">IF(Raw_Export!$A2553="","",F2553*G2553)</f>
        <v/>
      </c>
      <c r="I2553" s="36" t="str">
        <f aca="false">IF(Raw_Export!$A2553="","",IFERROR(VLOOKUP(LOWER(TRIM(Raw_Export!H2553)),Maps!$D$2:$E$12,2,FALSE()),"Other"))</f>
        <v/>
      </c>
      <c r="J2553" s="36" t="str">
        <f aca="false">IF(Raw_Export!$A2553="","",IF(COUNTIF($A$2:A2553,A2553)&gt;1,"Duplicate",""))</f>
        <v/>
      </c>
      <c r="K2553" s="36" t="str">
        <f aca="false">IF(Raw_Export!$A2553="","",IF(J2553="Duplicate","Duplicate",IF(OR(C2553="UNMAPPED",D2553="UNMAPPED"),"Unmapped",IF(F2553=0,"Blank qty",IF(F2553&lt;0,"Return","OK")))))</f>
        <v/>
      </c>
      <c r="L2553" s="36" t="str">
        <f aca="false">IF(Raw_Export!$A2553="","",IF(OR(K2553="OK",K2553="Return"),1,0))</f>
        <v/>
      </c>
      <c r="M2553" s="37" t="str">
        <f aca="false">IF(Raw_Export!$A2553="","",B2553-WEEKDAY(B2553,2)+1)</f>
        <v/>
      </c>
    </row>
    <row r="2554" customFormat="false" ht="15" hidden="false" customHeight="false" outlineLevel="0" collapsed="false">
      <c r="A2554" s="36" t="str">
        <f aca="false">IF(Raw_Export!$A2554="","",TRIM(Raw_Export!A2554))</f>
        <v/>
      </c>
      <c r="B2554" s="37" t="str">
        <f aca="false">IF(Raw_Export!$A2554="","",IF(ISNUMBER(Raw_Export!B2554),Raw_Export!B2554,IF(MID(TRIM(Raw_Export!B2554),5,1)="-",DATE(LEFT(TRIM(Raw_Export!B2554),4),MID(TRIM(Raw_Export!B2554),6,2),RIGHT(TRIM(Raw_Export!B2554),2)),DATE(RIGHT(TRIM(Raw_Export!B2554),4),MATCH(MID(TRIM(Raw_Export!B2554),4,3),{"Jan","Feb","Mar","Apr","May","Jun","Jul","Aug","Sep","Oct","Nov","Dec"},0),LEFT(TRIM(Raw_Export!B2554),2)))))</f>
        <v/>
      </c>
      <c r="C2554" s="36" t="str">
        <f aca="false">IF(Raw_Export!$A2554="","",IFERROR(VLOOKUP(LOWER(TRIM(Raw_Export!C2554)),Maps!$A$2:$B$20,2,FALSE()),"UNMAPPED"))</f>
        <v/>
      </c>
      <c r="D2554" s="36" t="str">
        <f aca="false">IF(Raw_Export!$A2554="","",IFERROR(VLOOKUP(LOWER(TRIM(Raw_Export!D2554)),Maps!$G$2:$I$80,2,FALSE()),"UNMAPPED"))</f>
        <v/>
      </c>
      <c r="E2554" s="36" t="str">
        <f aca="false">IF(Raw_Export!$A2554="","",IFERROR(VLOOKUP(LOWER(TRIM(Raw_Export!D2554)),Maps!$G$2:$I$80,3,FALSE()),"UNMAPPED"))</f>
        <v/>
      </c>
      <c r="F2554" s="36" t="str">
        <f aca="false">IF(Raw_Export!$A2554="","",IFERROR(VALUE(TRIM(Raw_Export!E2554)),0))</f>
        <v/>
      </c>
      <c r="G2554" s="38" t="str">
        <f aca="false">IF(Raw_Export!$A2554="","",IFERROR(VALUE(SUBSTITUTE(SUBSTITUTE(UPPER(TRIM(Raw_Export!F2554)),"KES",""),",","")),0))</f>
        <v/>
      </c>
      <c r="H2554" s="38" t="str">
        <f aca="false">IF(Raw_Export!$A2554="","",F2554*G2554)</f>
        <v/>
      </c>
      <c r="I2554" s="36" t="str">
        <f aca="false">IF(Raw_Export!$A2554="","",IFERROR(VLOOKUP(LOWER(TRIM(Raw_Export!H2554)),Maps!$D$2:$E$12,2,FALSE()),"Other"))</f>
        <v/>
      </c>
      <c r="J2554" s="36" t="str">
        <f aca="false">IF(Raw_Export!$A2554="","",IF(COUNTIF($A$2:A2554,A2554)&gt;1,"Duplicate",""))</f>
        <v/>
      </c>
      <c r="K2554" s="36" t="str">
        <f aca="false">IF(Raw_Export!$A2554="","",IF(J2554="Duplicate","Duplicate",IF(OR(C2554="UNMAPPED",D2554="UNMAPPED"),"Unmapped",IF(F2554=0,"Blank qty",IF(F2554&lt;0,"Return","OK")))))</f>
        <v/>
      </c>
      <c r="L2554" s="36" t="str">
        <f aca="false">IF(Raw_Export!$A2554="","",IF(OR(K2554="OK",K2554="Return"),1,0))</f>
        <v/>
      </c>
      <c r="M2554" s="37" t="str">
        <f aca="false">IF(Raw_Export!$A2554="","",B2554-WEEKDAY(B2554,2)+1)</f>
        <v/>
      </c>
    </row>
    <row r="2555" customFormat="false" ht="15" hidden="false" customHeight="false" outlineLevel="0" collapsed="false">
      <c r="A2555" s="36" t="str">
        <f aca="false">IF(Raw_Export!$A2555="","",TRIM(Raw_Export!A2555))</f>
        <v/>
      </c>
      <c r="B2555" s="37" t="str">
        <f aca="false">IF(Raw_Export!$A2555="","",IF(ISNUMBER(Raw_Export!B2555),Raw_Export!B2555,IF(MID(TRIM(Raw_Export!B2555),5,1)="-",DATE(LEFT(TRIM(Raw_Export!B2555),4),MID(TRIM(Raw_Export!B2555),6,2),RIGHT(TRIM(Raw_Export!B2555),2)),DATE(RIGHT(TRIM(Raw_Export!B2555),4),MATCH(MID(TRIM(Raw_Export!B2555),4,3),{"Jan","Feb","Mar","Apr","May","Jun","Jul","Aug","Sep","Oct","Nov","Dec"},0),LEFT(TRIM(Raw_Export!B2555),2)))))</f>
        <v/>
      </c>
      <c r="C2555" s="36" t="str">
        <f aca="false">IF(Raw_Export!$A2555="","",IFERROR(VLOOKUP(LOWER(TRIM(Raw_Export!C2555)),Maps!$A$2:$B$20,2,FALSE()),"UNMAPPED"))</f>
        <v/>
      </c>
      <c r="D2555" s="36" t="str">
        <f aca="false">IF(Raw_Export!$A2555="","",IFERROR(VLOOKUP(LOWER(TRIM(Raw_Export!D2555)),Maps!$G$2:$I$80,2,FALSE()),"UNMAPPED"))</f>
        <v/>
      </c>
      <c r="E2555" s="36" t="str">
        <f aca="false">IF(Raw_Export!$A2555="","",IFERROR(VLOOKUP(LOWER(TRIM(Raw_Export!D2555)),Maps!$G$2:$I$80,3,FALSE()),"UNMAPPED"))</f>
        <v/>
      </c>
      <c r="F2555" s="36" t="str">
        <f aca="false">IF(Raw_Export!$A2555="","",IFERROR(VALUE(TRIM(Raw_Export!E2555)),0))</f>
        <v/>
      </c>
      <c r="G2555" s="38" t="str">
        <f aca="false">IF(Raw_Export!$A2555="","",IFERROR(VALUE(SUBSTITUTE(SUBSTITUTE(UPPER(TRIM(Raw_Export!F2555)),"KES",""),",","")),0))</f>
        <v/>
      </c>
      <c r="H2555" s="38" t="str">
        <f aca="false">IF(Raw_Export!$A2555="","",F2555*G2555)</f>
        <v/>
      </c>
      <c r="I2555" s="36" t="str">
        <f aca="false">IF(Raw_Export!$A2555="","",IFERROR(VLOOKUP(LOWER(TRIM(Raw_Export!H2555)),Maps!$D$2:$E$12,2,FALSE()),"Other"))</f>
        <v/>
      </c>
      <c r="J2555" s="36" t="str">
        <f aca="false">IF(Raw_Export!$A2555="","",IF(COUNTIF($A$2:A2555,A2555)&gt;1,"Duplicate",""))</f>
        <v/>
      </c>
      <c r="K2555" s="36" t="str">
        <f aca="false">IF(Raw_Export!$A2555="","",IF(J2555="Duplicate","Duplicate",IF(OR(C2555="UNMAPPED",D2555="UNMAPPED"),"Unmapped",IF(F2555=0,"Blank qty",IF(F2555&lt;0,"Return","OK")))))</f>
        <v/>
      </c>
      <c r="L2555" s="36" t="str">
        <f aca="false">IF(Raw_Export!$A2555="","",IF(OR(K2555="OK",K2555="Return"),1,0))</f>
        <v/>
      </c>
      <c r="M2555" s="37" t="str">
        <f aca="false">IF(Raw_Export!$A2555="","",B2555-WEEKDAY(B2555,2)+1)</f>
        <v/>
      </c>
    </row>
    <row r="2556" customFormat="false" ht="15" hidden="false" customHeight="false" outlineLevel="0" collapsed="false">
      <c r="A2556" s="36" t="str">
        <f aca="false">IF(Raw_Export!$A2556="","",TRIM(Raw_Export!A2556))</f>
        <v/>
      </c>
      <c r="B2556" s="37" t="str">
        <f aca="false">IF(Raw_Export!$A2556="","",IF(ISNUMBER(Raw_Export!B2556),Raw_Export!B2556,IF(MID(TRIM(Raw_Export!B2556),5,1)="-",DATE(LEFT(TRIM(Raw_Export!B2556),4),MID(TRIM(Raw_Export!B2556),6,2),RIGHT(TRIM(Raw_Export!B2556),2)),DATE(RIGHT(TRIM(Raw_Export!B2556),4),MATCH(MID(TRIM(Raw_Export!B2556),4,3),{"Jan","Feb","Mar","Apr","May","Jun","Jul","Aug","Sep","Oct","Nov","Dec"},0),LEFT(TRIM(Raw_Export!B2556),2)))))</f>
        <v/>
      </c>
      <c r="C2556" s="36" t="str">
        <f aca="false">IF(Raw_Export!$A2556="","",IFERROR(VLOOKUP(LOWER(TRIM(Raw_Export!C2556)),Maps!$A$2:$B$20,2,FALSE()),"UNMAPPED"))</f>
        <v/>
      </c>
      <c r="D2556" s="36" t="str">
        <f aca="false">IF(Raw_Export!$A2556="","",IFERROR(VLOOKUP(LOWER(TRIM(Raw_Export!D2556)),Maps!$G$2:$I$80,2,FALSE()),"UNMAPPED"))</f>
        <v/>
      </c>
      <c r="E2556" s="36" t="str">
        <f aca="false">IF(Raw_Export!$A2556="","",IFERROR(VLOOKUP(LOWER(TRIM(Raw_Export!D2556)),Maps!$G$2:$I$80,3,FALSE()),"UNMAPPED"))</f>
        <v/>
      </c>
      <c r="F2556" s="36" t="str">
        <f aca="false">IF(Raw_Export!$A2556="","",IFERROR(VALUE(TRIM(Raw_Export!E2556)),0))</f>
        <v/>
      </c>
      <c r="G2556" s="38" t="str">
        <f aca="false">IF(Raw_Export!$A2556="","",IFERROR(VALUE(SUBSTITUTE(SUBSTITUTE(UPPER(TRIM(Raw_Export!F2556)),"KES",""),",","")),0))</f>
        <v/>
      </c>
      <c r="H2556" s="38" t="str">
        <f aca="false">IF(Raw_Export!$A2556="","",F2556*G2556)</f>
        <v/>
      </c>
      <c r="I2556" s="36" t="str">
        <f aca="false">IF(Raw_Export!$A2556="","",IFERROR(VLOOKUP(LOWER(TRIM(Raw_Export!H2556)),Maps!$D$2:$E$12,2,FALSE()),"Other"))</f>
        <v/>
      </c>
      <c r="J2556" s="36" t="str">
        <f aca="false">IF(Raw_Export!$A2556="","",IF(COUNTIF($A$2:A2556,A2556)&gt;1,"Duplicate",""))</f>
        <v/>
      </c>
      <c r="K2556" s="36" t="str">
        <f aca="false">IF(Raw_Export!$A2556="","",IF(J2556="Duplicate","Duplicate",IF(OR(C2556="UNMAPPED",D2556="UNMAPPED"),"Unmapped",IF(F2556=0,"Blank qty",IF(F2556&lt;0,"Return","OK")))))</f>
        <v/>
      </c>
      <c r="L2556" s="36" t="str">
        <f aca="false">IF(Raw_Export!$A2556="","",IF(OR(K2556="OK",K2556="Return"),1,0))</f>
        <v/>
      </c>
      <c r="M2556" s="37" t="str">
        <f aca="false">IF(Raw_Export!$A2556="","",B2556-WEEKDAY(B2556,2)+1)</f>
        <v/>
      </c>
    </row>
    <row r="2557" customFormat="false" ht="15" hidden="false" customHeight="false" outlineLevel="0" collapsed="false">
      <c r="A2557" s="36" t="str">
        <f aca="false">IF(Raw_Export!$A2557="","",TRIM(Raw_Export!A2557))</f>
        <v/>
      </c>
      <c r="B2557" s="37" t="str">
        <f aca="false">IF(Raw_Export!$A2557="","",IF(ISNUMBER(Raw_Export!B2557),Raw_Export!B2557,IF(MID(TRIM(Raw_Export!B2557),5,1)="-",DATE(LEFT(TRIM(Raw_Export!B2557),4),MID(TRIM(Raw_Export!B2557),6,2),RIGHT(TRIM(Raw_Export!B2557),2)),DATE(RIGHT(TRIM(Raw_Export!B2557),4),MATCH(MID(TRIM(Raw_Export!B2557),4,3),{"Jan","Feb","Mar","Apr","May","Jun","Jul","Aug","Sep","Oct","Nov","Dec"},0),LEFT(TRIM(Raw_Export!B2557),2)))))</f>
        <v/>
      </c>
      <c r="C2557" s="36" t="str">
        <f aca="false">IF(Raw_Export!$A2557="","",IFERROR(VLOOKUP(LOWER(TRIM(Raw_Export!C2557)),Maps!$A$2:$B$20,2,FALSE()),"UNMAPPED"))</f>
        <v/>
      </c>
      <c r="D2557" s="36" t="str">
        <f aca="false">IF(Raw_Export!$A2557="","",IFERROR(VLOOKUP(LOWER(TRIM(Raw_Export!D2557)),Maps!$G$2:$I$80,2,FALSE()),"UNMAPPED"))</f>
        <v/>
      </c>
      <c r="E2557" s="36" t="str">
        <f aca="false">IF(Raw_Export!$A2557="","",IFERROR(VLOOKUP(LOWER(TRIM(Raw_Export!D2557)),Maps!$G$2:$I$80,3,FALSE()),"UNMAPPED"))</f>
        <v/>
      </c>
      <c r="F2557" s="36" t="str">
        <f aca="false">IF(Raw_Export!$A2557="","",IFERROR(VALUE(TRIM(Raw_Export!E2557)),0))</f>
        <v/>
      </c>
      <c r="G2557" s="38" t="str">
        <f aca="false">IF(Raw_Export!$A2557="","",IFERROR(VALUE(SUBSTITUTE(SUBSTITUTE(UPPER(TRIM(Raw_Export!F2557)),"KES",""),",","")),0))</f>
        <v/>
      </c>
      <c r="H2557" s="38" t="str">
        <f aca="false">IF(Raw_Export!$A2557="","",F2557*G2557)</f>
        <v/>
      </c>
      <c r="I2557" s="36" t="str">
        <f aca="false">IF(Raw_Export!$A2557="","",IFERROR(VLOOKUP(LOWER(TRIM(Raw_Export!H2557)),Maps!$D$2:$E$12,2,FALSE()),"Other"))</f>
        <v/>
      </c>
      <c r="J2557" s="36" t="str">
        <f aca="false">IF(Raw_Export!$A2557="","",IF(COUNTIF($A$2:A2557,A2557)&gt;1,"Duplicate",""))</f>
        <v/>
      </c>
      <c r="K2557" s="36" t="str">
        <f aca="false">IF(Raw_Export!$A2557="","",IF(J2557="Duplicate","Duplicate",IF(OR(C2557="UNMAPPED",D2557="UNMAPPED"),"Unmapped",IF(F2557=0,"Blank qty",IF(F2557&lt;0,"Return","OK")))))</f>
        <v/>
      </c>
      <c r="L2557" s="36" t="str">
        <f aca="false">IF(Raw_Export!$A2557="","",IF(OR(K2557="OK",K2557="Return"),1,0))</f>
        <v/>
      </c>
      <c r="M2557" s="37" t="str">
        <f aca="false">IF(Raw_Export!$A2557="","",B2557-WEEKDAY(B2557,2)+1)</f>
        <v/>
      </c>
    </row>
    <row r="2558" customFormat="false" ht="15" hidden="false" customHeight="false" outlineLevel="0" collapsed="false">
      <c r="A2558" s="36" t="str">
        <f aca="false">IF(Raw_Export!$A2558="","",TRIM(Raw_Export!A2558))</f>
        <v/>
      </c>
      <c r="B2558" s="37" t="str">
        <f aca="false">IF(Raw_Export!$A2558="","",IF(ISNUMBER(Raw_Export!B2558),Raw_Export!B2558,IF(MID(TRIM(Raw_Export!B2558),5,1)="-",DATE(LEFT(TRIM(Raw_Export!B2558),4),MID(TRIM(Raw_Export!B2558),6,2),RIGHT(TRIM(Raw_Export!B2558),2)),DATE(RIGHT(TRIM(Raw_Export!B2558),4),MATCH(MID(TRIM(Raw_Export!B2558),4,3),{"Jan","Feb","Mar","Apr","May","Jun","Jul","Aug","Sep","Oct","Nov","Dec"},0),LEFT(TRIM(Raw_Export!B2558),2)))))</f>
        <v/>
      </c>
      <c r="C2558" s="36" t="str">
        <f aca="false">IF(Raw_Export!$A2558="","",IFERROR(VLOOKUP(LOWER(TRIM(Raw_Export!C2558)),Maps!$A$2:$B$20,2,FALSE()),"UNMAPPED"))</f>
        <v/>
      </c>
      <c r="D2558" s="36" t="str">
        <f aca="false">IF(Raw_Export!$A2558="","",IFERROR(VLOOKUP(LOWER(TRIM(Raw_Export!D2558)),Maps!$G$2:$I$80,2,FALSE()),"UNMAPPED"))</f>
        <v/>
      </c>
      <c r="E2558" s="36" t="str">
        <f aca="false">IF(Raw_Export!$A2558="","",IFERROR(VLOOKUP(LOWER(TRIM(Raw_Export!D2558)),Maps!$G$2:$I$80,3,FALSE()),"UNMAPPED"))</f>
        <v/>
      </c>
      <c r="F2558" s="36" t="str">
        <f aca="false">IF(Raw_Export!$A2558="","",IFERROR(VALUE(TRIM(Raw_Export!E2558)),0))</f>
        <v/>
      </c>
      <c r="G2558" s="38" t="str">
        <f aca="false">IF(Raw_Export!$A2558="","",IFERROR(VALUE(SUBSTITUTE(SUBSTITUTE(UPPER(TRIM(Raw_Export!F2558)),"KES",""),",","")),0))</f>
        <v/>
      </c>
      <c r="H2558" s="38" t="str">
        <f aca="false">IF(Raw_Export!$A2558="","",F2558*G2558)</f>
        <v/>
      </c>
      <c r="I2558" s="36" t="str">
        <f aca="false">IF(Raw_Export!$A2558="","",IFERROR(VLOOKUP(LOWER(TRIM(Raw_Export!H2558)),Maps!$D$2:$E$12,2,FALSE()),"Other"))</f>
        <v/>
      </c>
      <c r="J2558" s="36" t="str">
        <f aca="false">IF(Raw_Export!$A2558="","",IF(COUNTIF($A$2:A2558,A2558)&gt;1,"Duplicate",""))</f>
        <v/>
      </c>
      <c r="K2558" s="36" t="str">
        <f aca="false">IF(Raw_Export!$A2558="","",IF(J2558="Duplicate","Duplicate",IF(OR(C2558="UNMAPPED",D2558="UNMAPPED"),"Unmapped",IF(F2558=0,"Blank qty",IF(F2558&lt;0,"Return","OK")))))</f>
        <v/>
      </c>
      <c r="L2558" s="36" t="str">
        <f aca="false">IF(Raw_Export!$A2558="","",IF(OR(K2558="OK",K2558="Return"),1,0))</f>
        <v/>
      </c>
      <c r="M2558" s="37" t="str">
        <f aca="false">IF(Raw_Export!$A2558="","",B2558-WEEKDAY(B2558,2)+1)</f>
        <v/>
      </c>
    </row>
    <row r="2559" customFormat="false" ht="15" hidden="false" customHeight="false" outlineLevel="0" collapsed="false">
      <c r="A2559" s="36" t="str">
        <f aca="false">IF(Raw_Export!$A2559="","",TRIM(Raw_Export!A2559))</f>
        <v/>
      </c>
      <c r="B2559" s="37" t="str">
        <f aca="false">IF(Raw_Export!$A2559="","",IF(ISNUMBER(Raw_Export!B2559),Raw_Export!B2559,IF(MID(TRIM(Raw_Export!B2559),5,1)="-",DATE(LEFT(TRIM(Raw_Export!B2559),4),MID(TRIM(Raw_Export!B2559),6,2),RIGHT(TRIM(Raw_Export!B2559),2)),DATE(RIGHT(TRIM(Raw_Export!B2559),4),MATCH(MID(TRIM(Raw_Export!B2559),4,3),{"Jan","Feb","Mar","Apr","May","Jun","Jul","Aug","Sep","Oct","Nov","Dec"},0),LEFT(TRIM(Raw_Export!B2559),2)))))</f>
        <v/>
      </c>
      <c r="C2559" s="36" t="str">
        <f aca="false">IF(Raw_Export!$A2559="","",IFERROR(VLOOKUP(LOWER(TRIM(Raw_Export!C2559)),Maps!$A$2:$B$20,2,FALSE()),"UNMAPPED"))</f>
        <v/>
      </c>
      <c r="D2559" s="36" t="str">
        <f aca="false">IF(Raw_Export!$A2559="","",IFERROR(VLOOKUP(LOWER(TRIM(Raw_Export!D2559)),Maps!$G$2:$I$80,2,FALSE()),"UNMAPPED"))</f>
        <v/>
      </c>
      <c r="E2559" s="36" t="str">
        <f aca="false">IF(Raw_Export!$A2559="","",IFERROR(VLOOKUP(LOWER(TRIM(Raw_Export!D2559)),Maps!$G$2:$I$80,3,FALSE()),"UNMAPPED"))</f>
        <v/>
      </c>
      <c r="F2559" s="36" t="str">
        <f aca="false">IF(Raw_Export!$A2559="","",IFERROR(VALUE(TRIM(Raw_Export!E2559)),0))</f>
        <v/>
      </c>
      <c r="G2559" s="38" t="str">
        <f aca="false">IF(Raw_Export!$A2559="","",IFERROR(VALUE(SUBSTITUTE(SUBSTITUTE(UPPER(TRIM(Raw_Export!F2559)),"KES",""),",","")),0))</f>
        <v/>
      </c>
      <c r="H2559" s="38" t="str">
        <f aca="false">IF(Raw_Export!$A2559="","",F2559*G2559)</f>
        <v/>
      </c>
      <c r="I2559" s="36" t="str">
        <f aca="false">IF(Raw_Export!$A2559="","",IFERROR(VLOOKUP(LOWER(TRIM(Raw_Export!H2559)),Maps!$D$2:$E$12,2,FALSE()),"Other"))</f>
        <v/>
      </c>
      <c r="J2559" s="36" t="str">
        <f aca="false">IF(Raw_Export!$A2559="","",IF(COUNTIF($A$2:A2559,A2559)&gt;1,"Duplicate",""))</f>
        <v/>
      </c>
      <c r="K2559" s="36" t="str">
        <f aca="false">IF(Raw_Export!$A2559="","",IF(J2559="Duplicate","Duplicate",IF(OR(C2559="UNMAPPED",D2559="UNMAPPED"),"Unmapped",IF(F2559=0,"Blank qty",IF(F2559&lt;0,"Return","OK")))))</f>
        <v/>
      </c>
      <c r="L2559" s="36" t="str">
        <f aca="false">IF(Raw_Export!$A2559="","",IF(OR(K2559="OK",K2559="Return"),1,0))</f>
        <v/>
      </c>
      <c r="M2559" s="37" t="str">
        <f aca="false">IF(Raw_Export!$A2559="","",B2559-WEEKDAY(B2559,2)+1)</f>
        <v/>
      </c>
    </row>
    <row r="2560" customFormat="false" ht="15" hidden="false" customHeight="false" outlineLevel="0" collapsed="false">
      <c r="A2560" s="36" t="str">
        <f aca="false">IF(Raw_Export!$A2560="","",TRIM(Raw_Export!A2560))</f>
        <v/>
      </c>
      <c r="B2560" s="37" t="str">
        <f aca="false">IF(Raw_Export!$A2560="","",IF(ISNUMBER(Raw_Export!B2560),Raw_Export!B2560,IF(MID(TRIM(Raw_Export!B2560),5,1)="-",DATE(LEFT(TRIM(Raw_Export!B2560),4),MID(TRIM(Raw_Export!B2560),6,2),RIGHT(TRIM(Raw_Export!B2560),2)),DATE(RIGHT(TRIM(Raw_Export!B2560),4),MATCH(MID(TRIM(Raw_Export!B2560),4,3),{"Jan","Feb","Mar","Apr","May","Jun","Jul","Aug","Sep","Oct","Nov","Dec"},0),LEFT(TRIM(Raw_Export!B2560),2)))))</f>
        <v/>
      </c>
      <c r="C2560" s="36" t="str">
        <f aca="false">IF(Raw_Export!$A2560="","",IFERROR(VLOOKUP(LOWER(TRIM(Raw_Export!C2560)),Maps!$A$2:$B$20,2,FALSE()),"UNMAPPED"))</f>
        <v/>
      </c>
      <c r="D2560" s="36" t="str">
        <f aca="false">IF(Raw_Export!$A2560="","",IFERROR(VLOOKUP(LOWER(TRIM(Raw_Export!D2560)),Maps!$G$2:$I$80,2,FALSE()),"UNMAPPED"))</f>
        <v/>
      </c>
      <c r="E2560" s="36" t="str">
        <f aca="false">IF(Raw_Export!$A2560="","",IFERROR(VLOOKUP(LOWER(TRIM(Raw_Export!D2560)),Maps!$G$2:$I$80,3,FALSE()),"UNMAPPED"))</f>
        <v/>
      </c>
      <c r="F2560" s="36" t="str">
        <f aca="false">IF(Raw_Export!$A2560="","",IFERROR(VALUE(TRIM(Raw_Export!E2560)),0))</f>
        <v/>
      </c>
      <c r="G2560" s="38" t="str">
        <f aca="false">IF(Raw_Export!$A2560="","",IFERROR(VALUE(SUBSTITUTE(SUBSTITUTE(UPPER(TRIM(Raw_Export!F2560)),"KES",""),",","")),0))</f>
        <v/>
      </c>
      <c r="H2560" s="38" t="str">
        <f aca="false">IF(Raw_Export!$A2560="","",F2560*G2560)</f>
        <v/>
      </c>
      <c r="I2560" s="36" t="str">
        <f aca="false">IF(Raw_Export!$A2560="","",IFERROR(VLOOKUP(LOWER(TRIM(Raw_Export!H2560)),Maps!$D$2:$E$12,2,FALSE()),"Other"))</f>
        <v/>
      </c>
      <c r="J2560" s="36" t="str">
        <f aca="false">IF(Raw_Export!$A2560="","",IF(COUNTIF($A$2:A2560,A2560)&gt;1,"Duplicate",""))</f>
        <v/>
      </c>
      <c r="K2560" s="36" t="str">
        <f aca="false">IF(Raw_Export!$A2560="","",IF(J2560="Duplicate","Duplicate",IF(OR(C2560="UNMAPPED",D2560="UNMAPPED"),"Unmapped",IF(F2560=0,"Blank qty",IF(F2560&lt;0,"Return","OK")))))</f>
        <v/>
      </c>
      <c r="L2560" s="36" t="str">
        <f aca="false">IF(Raw_Export!$A2560="","",IF(OR(K2560="OK",K2560="Return"),1,0))</f>
        <v/>
      </c>
      <c r="M2560" s="37" t="str">
        <f aca="false">IF(Raw_Export!$A2560="","",B2560-WEEKDAY(B2560,2)+1)</f>
        <v/>
      </c>
    </row>
    <row r="2561" customFormat="false" ht="15" hidden="false" customHeight="false" outlineLevel="0" collapsed="false">
      <c r="A2561" s="36" t="str">
        <f aca="false">IF(Raw_Export!$A2561="","",TRIM(Raw_Export!A2561))</f>
        <v/>
      </c>
      <c r="B2561" s="37" t="str">
        <f aca="false">IF(Raw_Export!$A2561="","",IF(ISNUMBER(Raw_Export!B2561),Raw_Export!B2561,IF(MID(TRIM(Raw_Export!B2561),5,1)="-",DATE(LEFT(TRIM(Raw_Export!B2561),4),MID(TRIM(Raw_Export!B2561),6,2),RIGHT(TRIM(Raw_Export!B2561),2)),DATE(RIGHT(TRIM(Raw_Export!B2561),4),MATCH(MID(TRIM(Raw_Export!B2561),4,3),{"Jan","Feb","Mar","Apr","May","Jun","Jul","Aug","Sep","Oct","Nov","Dec"},0),LEFT(TRIM(Raw_Export!B2561),2)))))</f>
        <v/>
      </c>
      <c r="C2561" s="36" t="str">
        <f aca="false">IF(Raw_Export!$A2561="","",IFERROR(VLOOKUP(LOWER(TRIM(Raw_Export!C2561)),Maps!$A$2:$B$20,2,FALSE()),"UNMAPPED"))</f>
        <v/>
      </c>
      <c r="D2561" s="36" t="str">
        <f aca="false">IF(Raw_Export!$A2561="","",IFERROR(VLOOKUP(LOWER(TRIM(Raw_Export!D2561)),Maps!$G$2:$I$80,2,FALSE()),"UNMAPPED"))</f>
        <v/>
      </c>
      <c r="E2561" s="36" t="str">
        <f aca="false">IF(Raw_Export!$A2561="","",IFERROR(VLOOKUP(LOWER(TRIM(Raw_Export!D2561)),Maps!$G$2:$I$80,3,FALSE()),"UNMAPPED"))</f>
        <v/>
      </c>
      <c r="F2561" s="36" t="str">
        <f aca="false">IF(Raw_Export!$A2561="","",IFERROR(VALUE(TRIM(Raw_Export!E2561)),0))</f>
        <v/>
      </c>
      <c r="G2561" s="38" t="str">
        <f aca="false">IF(Raw_Export!$A2561="","",IFERROR(VALUE(SUBSTITUTE(SUBSTITUTE(UPPER(TRIM(Raw_Export!F2561)),"KES",""),",","")),0))</f>
        <v/>
      </c>
      <c r="H2561" s="38" t="str">
        <f aca="false">IF(Raw_Export!$A2561="","",F2561*G2561)</f>
        <v/>
      </c>
      <c r="I2561" s="36" t="str">
        <f aca="false">IF(Raw_Export!$A2561="","",IFERROR(VLOOKUP(LOWER(TRIM(Raw_Export!H2561)),Maps!$D$2:$E$12,2,FALSE()),"Other"))</f>
        <v/>
      </c>
      <c r="J2561" s="36" t="str">
        <f aca="false">IF(Raw_Export!$A2561="","",IF(COUNTIF($A$2:A2561,A2561)&gt;1,"Duplicate",""))</f>
        <v/>
      </c>
      <c r="K2561" s="36" t="str">
        <f aca="false">IF(Raw_Export!$A2561="","",IF(J2561="Duplicate","Duplicate",IF(OR(C2561="UNMAPPED",D2561="UNMAPPED"),"Unmapped",IF(F2561=0,"Blank qty",IF(F2561&lt;0,"Return","OK")))))</f>
        <v/>
      </c>
      <c r="L2561" s="36" t="str">
        <f aca="false">IF(Raw_Export!$A2561="","",IF(OR(K2561="OK",K2561="Return"),1,0))</f>
        <v/>
      </c>
      <c r="M2561" s="37" t="str">
        <f aca="false">IF(Raw_Export!$A2561="","",B2561-WEEKDAY(B2561,2)+1)</f>
        <v/>
      </c>
    </row>
    <row r="2562" customFormat="false" ht="15" hidden="false" customHeight="false" outlineLevel="0" collapsed="false">
      <c r="A2562" s="36" t="str">
        <f aca="false">IF(Raw_Export!$A2562="","",TRIM(Raw_Export!A2562))</f>
        <v/>
      </c>
      <c r="B2562" s="37" t="str">
        <f aca="false">IF(Raw_Export!$A2562="","",IF(ISNUMBER(Raw_Export!B2562),Raw_Export!B2562,IF(MID(TRIM(Raw_Export!B2562),5,1)="-",DATE(LEFT(TRIM(Raw_Export!B2562),4),MID(TRIM(Raw_Export!B2562),6,2),RIGHT(TRIM(Raw_Export!B2562),2)),DATE(RIGHT(TRIM(Raw_Export!B2562),4),MATCH(MID(TRIM(Raw_Export!B2562),4,3),{"Jan","Feb","Mar","Apr","May","Jun","Jul","Aug","Sep","Oct","Nov","Dec"},0),LEFT(TRIM(Raw_Export!B2562),2)))))</f>
        <v/>
      </c>
      <c r="C2562" s="36" t="str">
        <f aca="false">IF(Raw_Export!$A2562="","",IFERROR(VLOOKUP(LOWER(TRIM(Raw_Export!C2562)),Maps!$A$2:$B$20,2,FALSE()),"UNMAPPED"))</f>
        <v/>
      </c>
      <c r="D2562" s="36" t="str">
        <f aca="false">IF(Raw_Export!$A2562="","",IFERROR(VLOOKUP(LOWER(TRIM(Raw_Export!D2562)),Maps!$G$2:$I$80,2,FALSE()),"UNMAPPED"))</f>
        <v/>
      </c>
      <c r="E2562" s="36" t="str">
        <f aca="false">IF(Raw_Export!$A2562="","",IFERROR(VLOOKUP(LOWER(TRIM(Raw_Export!D2562)),Maps!$G$2:$I$80,3,FALSE()),"UNMAPPED"))</f>
        <v/>
      </c>
      <c r="F2562" s="36" t="str">
        <f aca="false">IF(Raw_Export!$A2562="","",IFERROR(VALUE(TRIM(Raw_Export!E2562)),0))</f>
        <v/>
      </c>
      <c r="G2562" s="38" t="str">
        <f aca="false">IF(Raw_Export!$A2562="","",IFERROR(VALUE(SUBSTITUTE(SUBSTITUTE(UPPER(TRIM(Raw_Export!F2562)),"KES",""),",","")),0))</f>
        <v/>
      </c>
      <c r="H2562" s="38" t="str">
        <f aca="false">IF(Raw_Export!$A2562="","",F2562*G2562)</f>
        <v/>
      </c>
      <c r="I2562" s="36" t="str">
        <f aca="false">IF(Raw_Export!$A2562="","",IFERROR(VLOOKUP(LOWER(TRIM(Raw_Export!H2562)),Maps!$D$2:$E$12,2,FALSE()),"Other"))</f>
        <v/>
      </c>
      <c r="J2562" s="36" t="str">
        <f aca="false">IF(Raw_Export!$A2562="","",IF(COUNTIF($A$2:A2562,A2562)&gt;1,"Duplicate",""))</f>
        <v/>
      </c>
      <c r="K2562" s="36" t="str">
        <f aca="false">IF(Raw_Export!$A2562="","",IF(J2562="Duplicate","Duplicate",IF(OR(C2562="UNMAPPED",D2562="UNMAPPED"),"Unmapped",IF(F2562=0,"Blank qty",IF(F2562&lt;0,"Return","OK")))))</f>
        <v/>
      </c>
      <c r="L2562" s="36" t="str">
        <f aca="false">IF(Raw_Export!$A2562="","",IF(OR(K2562="OK",K2562="Return"),1,0))</f>
        <v/>
      </c>
      <c r="M2562" s="37" t="str">
        <f aca="false">IF(Raw_Export!$A2562="","",B2562-WEEKDAY(B2562,2)+1)</f>
        <v/>
      </c>
    </row>
    <row r="2563" customFormat="false" ht="15" hidden="false" customHeight="false" outlineLevel="0" collapsed="false">
      <c r="A2563" s="36" t="str">
        <f aca="false">IF(Raw_Export!$A2563="","",TRIM(Raw_Export!A2563))</f>
        <v/>
      </c>
      <c r="B2563" s="37" t="str">
        <f aca="false">IF(Raw_Export!$A2563="","",IF(ISNUMBER(Raw_Export!B2563),Raw_Export!B2563,IF(MID(TRIM(Raw_Export!B2563),5,1)="-",DATE(LEFT(TRIM(Raw_Export!B2563),4),MID(TRIM(Raw_Export!B2563),6,2),RIGHT(TRIM(Raw_Export!B2563),2)),DATE(RIGHT(TRIM(Raw_Export!B2563),4),MATCH(MID(TRIM(Raw_Export!B2563),4,3),{"Jan","Feb","Mar","Apr","May","Jun","Jul","Aug","Sep","Oct","Nov","Dec"},0),LEFT(TRIM(Raw_Export!B2563),2)))))</f>
        <v/>
      </c>
      <c r="C2563" s="36" t="str">
        <f aca="false">IF(Raw_Export!$A2563="","",IFERROR(VLOOKUP(LOWER(TRIM(Raw_Export!C2563)),Maps!$A$2:$B$20,2,FALSE()),"UNMAPPED"))</f>
        <v/>
      </c>
      <c r="D2563" s="36" t="str">
        <f aca="false">IF(Raw_Export!$A2563="","",IFERROR(VLOOKUP(LOWER(TRIM(Raw_Export!D2563)),Maps!$G$2:$I$80,2,FALSE()),"UNMAPPED"))</f>
        <v/>
      </c>
      <c r="E2563" s="36" t="str">
        <f aca="false">IF(Raw_Export!$A2563="","",IFERROR(VLOOKUP(LOWER(TRIM(Raw_Export!D2563)),Maps!$G$2:$I$80,3,FALSE()),"UNMAPPED"))</f>
        <v/>
      </c>
      <c r="F2563" s="36" t="str">
        <f aca="false">IF(Raw_Export!$A2563="","",IFERROR(VALUE(TRIM(Raw_Export!E2563)),0))</f>
        <v/>
      </c>
      <c r="G2563" s="38" t="str">
        <f aca="false">IF(Raw_Export!$A2563="","",IFERROR(VALUE(SUBSTITUTE(SUBSTITUTE(UPPER(TRIM(Raw_Export!F2563)),"KES",""),",","")),0))</f>
        <v/>
      </c>
      <c r="H2563" s="38" t="str">
        <f aca="false">IF(Raw_Export!$A2563="","",F2563*G2563)</f>
        <v/>
      </c>
      <c r="I2563" s="36" t="str">
        <f aca="false">IF(Raw_Export!$A2563="","",IFERROR(VLOOKUP(LOWER(TRIM(Raw_Export!H2563)),Maps!$D$2:$E$12,2,FALSE()),"Other"))</f>
        <v/>
      </c>
      <c r="J2563" s="36" t="str">
        <f aca="false">IF(Raw_Export!$A2563="","",IF(COUNTIF($A$2:A2563,A2563)&gt;1,"Duplicate",""))</f>
        <v/>
      </c>
      <c r="K2563" s="36" t="str">
        <f aca="false">IF(Raw_Export!$A2563="","",IF(J2563="Duplicate","Duplicate",IF(OR(C2563="UNMAPPED",D2563="UNMAPPED"),"Unmapped",IF(F2563=0,"Blank qty",IF(F2563&lt;0,"Return","OK")))))</f>
        <v/>
      </c>
      <c r="L2563" s="36" t="str">
        <f aca="false">IF(Raw_Export!$A2563="","",IF(OR(K2563="OK",K2563="Return"),1,0))</f>
        <v/>
      </c>
      <c r="M2563" s="37" t="str">
        <f aca="false">IF(Raw_Export!$A2563="","",B2563-WEEKDAY(B2563,2)+1)</f>
        <v/>
      </c>
    </row>
    <row r="2564" customFormat="false" ht="15" hidden="false" customHeight="false" outlineLevel="0" collapsed="false">
      <c r="A2564" s="36" t="str">
        <f aca="false">IF(Raw_Export!$A2564="","",TRIM(Raw_Export!A2564))</f>
        <v/>
      </c>
      <c r="B2564" s="37" t="str">
        <f aca="false">IF(Raw_Export!$A2564="","",IF(ISNUMBER(Raw_Export!B2564),Raw_Export!B2564,IF(MID(TRIM(Raw_Export!B2564),5,1)="-",DATE(LEFT(TRIM(Raw_Export!B2564),4),MID(TRIM(Raw_Export!B2564),6,2),RIGHT(TRIM(Raw_Export!B2564),2)),DATE(RIGHT(TRIM(Raw_Export!B2564),4),MATCH(MID(TRIM(Raw_Export!B2564),4,3),{"Jan","Feb","Mar","Apr","May","Jun","Jul","Aug","Sep","Oct","Nov","Dec"},0),LEFT(TRIM(Raw_Export!B2564),2)))))</f>
        <v/>
      </c>
      <c r="C2564" s="36" t="str">
        <f aca="false">IF(Raw_Export!$A2564="","",IFERROR(VLOOKUP(LOWER(TRIM(Raw_Export!C2564)),Maps!$A$2:$B$20,2,FALSE()),"UNMAPPED"))</f>
        <v/>
      </c>
      <c r="D2564" s="36" t="str">
        <f aca="false">IF(Raw_Export!$A2564="","",IFERROR(VLOOKUP(LOWER(TRIM(Raw_Export!D2564)),Maps!$G$2:$I$80,2,FALSE()),"UNMAPPED"))</f>
        <v/>
      </c>
      <c r="E2564" s="36" t="str">
        <f aca="false">IF(Raw_Export!$A2564="","",IFERROR(VLOOKUP(LOWER(TRIM(Raw_Export!D2564)),Maps!$G$2:$I$80,3,FALSE()),"UNMAPPED"))</f>
        <v/>
      </c>
      <c r="F2564" s="36" t="str">
        <f aca="false">IF(Raw_Export!$A2564="","",IFERROR(VALUE(TRIM(Raw_Export!E2564)),0))</f>
        <v/>
      </c>
      <c r="G2564" s="38" t="str">
        <f aca="false">IF(Raw_Export!$A2564="","",IFERROR(VALUE(SUBSTITUTE(SUBSTITUTE(UPPER(TRIM(Raw_Export!F2564)),"KES",""),",","")),0))</f>
        <v/>
      </c>
      <c r="H2564" s="38" t="str">
        <f aca="false">IF(Raw_Export!$A2564="","",F2564*G2564)</f>
        <v/>
      </c>
      <c r="I2564" s="36" t="str">
        <f aca="false">IF(Raw_Export!$A2564="","",IFERROR(VLOOKUP(LOWER(TRIM(Raw_Export!H2564)),Maps!$D$2:$E$12,2,FALSE()),"Other"))</f>
        <v/>
      </c>
      <c r="J2564" s="36" t="str">
        <f aca="false">IF(Raw_Export!$A2564="","",IF(COUNTIF($A$2:A2564,A2564)&gt;1,"Duplicate",""))</f>
        <v/>
      </c>
      <c r="K2564" s="36" t="str">
        <f aca="false">IF(Raw_Export!$A2564="","",IF(J2564="Duplicate","Duplicate",IF(OR(C2564="UNMAPPED",D2564="UNMAPPED"),"Unmapped",IF(F2564=0,"Blank qty",IF(F2564&lt;0,"Return","OK")))))</f>
        <v/>
      </c>
      <c r="L2564" s="36" t="str">
        <f aca="false">IF(Raw_Export!$A2564="","",IF(OR(K2564="OK",K2564="Return"),1,0))</f>
        <v/>
      </c>
      <c r="M2564" s="37" t="str">
        <f aca="false">IF(Raw_Export!$A2564="","",B2564-WEEKDAY(B2564,2)+1)</f>
        <v/>
      </c>
    </row>
    <row r="2565" customFormat="false" ht="15" hidden="false" customHeight="false" outlineLevel="0" collapsed="false">
      <c r="A2565" s="36" t="str">
        <f aca="false">IF(Raw_Export!$A2565="","",TRIM(Raw_Export!A2565))</f>
        <v/>
      </c>
      <c r="B2565" s="37" t="str">
        <f aca="false">IF(Raw_Export!$A2565="","",IF(ISNUMBER(Raw_Export!B2565),Raw_Export!B2565,IF(MID(TRIM(Raw_Export!B2565),5,1)="-",DATE(LEFT(TRIM(Raw_Export!B2565),4),MID(TRIM(Raw_Export!B2565),6,2),RIGHT(TRIM(Raw_Export!B2565),2)),DATE(RIGHT(TRIM(Raw_Export!B2565),4),MATCH(MID(TRIM(Raw_Export!B2565),4,3),{"Jan","Feb","Mar","Apr","May","Jun","Jul","Aug","Sep","Oct","Nov","Dec"},0),LEFT(TRIM(Raw_Export!B2565),2)))))</f>
        <v/>
      </c>
      <c r="C2565" s="36" t="str">
        <f aca="false">IF(Raw_Export!$A2565="","",IFERROR(VLOOKUP(LOWER(TRIM(Raw_Export!C2565)),Maps!$A$2:$B$20,2,FALSE()),"UNMAPPED"))</f>
        <v/>
      </c>
      <c r="D2565" s="36" t="str">
        <f aca="false">IF(Raw_Export!$A2565="","",IFERROR(VLOOKUP(LOWER(TRIM(Raw_Export!D2565)),Maps!$G$2:$I$80,2,FALSE()),"UNMAPPED"))</f>
        <v/>
      </c>
      <c r="E2565" s="36" t="str">
        <f aca="false">IF(Raw_Export!$A2565="","",IFERROR(VLOOKUP(LOWER(TRIM(Raw_Export!D2565)),Maps!$G$2:$I$80,3,FALSE()),"UNMAPPED"))</f>
        <v/>
      </c>
      <c r="F2565" s="36" t="str">
        <f aca="false">IF(Raw_Export!$A2565="","",IFERROR(VALUE(TRIM(Raw_Export!E2565)),0))</f>
        <v/>
      </c>
      <c r="G2565" s="38" t="str">
        <f aca="false">IF(Raw_Export!$A2565="","",IFERROR(VALUE(SUBSTITUTE(SUBSTITUTE(UPPER(TRIM(Raw_Export!F2565)),"KES",""),",","")),0))</f>
        <v/>
      </c>
      <c r="H2565" s="38" t="str">
        <f aca="false">IF(Raw_Export!$A2565="","",F2565*G2565)</f>
        <v/>
      </c>
      <c r="I2565" s="36" t="str">
        <f aca="false">IF(Raw_Export!$A2565="","",IFERROR(VLOOKUP(LOWER(TRIM(Raw_Export!H2565)),Maps!$D$2:$E$12,2,FALSE()),"Other"))</f>
        <v/>
      </c>
      <c r="J2565" s="36" t="str">
        <f aca="false">IF(Raw_Export!$A2565="","",IF(COUNTIF($A$2:A2565,A2565)&gt;1,"Duplicate",""))</f>
        <v/>
      </c>
      <c r="K2565" s="36" t="str">
        <f aca="false">IF(Raw_Export!$A2565="","",IF(J2565="Duplicate","Duplicate",IF(OR(C2565="UNMAPPED",D2565="UNMAPPED"),"Unmapped",IF(F2565=0,"Blank qty",IF(F2565&lt;0,"Return","OK")))))</f>
        <v/>
      </c>
      <c r="L2565" s="36" t="str">
        <f aca="false">IF(Raw_Export!$A2565="","",IF(OR(K2565="OK",K2565="Return"),1,0))</f>
        <v/>
      </c>
      <c r="M2565" s="37" t="str">
        <f aca="false">IF(Raw_Export!$A2565="","",B2565-WEEKDAY(B2565,2)+1)</f>
        <v/>
      </c>
    </row>
    <row r="2566" customFormat="false" ht="15" hidden="false" customHeight="false" outlineLevel="0" collapsed="false">
      <c r="A2566" s="36" t="str">
        <f aca="false">IF(Raw_Export!$A2566="","",TRIM(Raw_Export!A2566))</f>
        <v/>
      </c>
      <c r="B2566" s="37" t="str">
        <f aca="false">IF(Raw_Export!$A2566="","",IF(ISNUMBER(Raw_Export!B2566),Raw_Export!B2566,IF(MID(TRIM(Raw_Export!B2566),5,1)="-",DATE(LEFT(TRIM(Raw_Export!B2566),4),MID(TRIM(Raw_Export!B2566),6,2),RIGHT(TRIM(Raw_Export!B2566),2)),DATE(RIGHT(TRIM(Raw_Export!B2566),4),MATCH(MID(TRIM(Raw_Export!B2566),4,3),{"Jan","Feb","Mar","Apr","May","Jun","Jul","Aug","Sep","Oct","Nov","Dec"},0),LEFT(TRIM(Raw_Export!B2566),2)))))</f>
        <v/>
      </c>
      <c r="C2566" s="36" t="str">
        <f aca="false">IF(Raw_Export!$A2566="","",IFERROR(VLOOKUP(LOWER(TRIM(Raw_Export!C2566)),Maps!$A$2:$B$20,2,FALSE()),"UNMAPPED"))</f>
        <v/>
      </c>
      <c r="D2566" s="36" t="str">
        <f aca="false">IF(Raw_Export!$A2566="","",IFERROR(VLOOKUP(LOWER(TRIM(Raw_Export!D2566)),Maps!$G$2:$I$80,2,FALSE()),"UNMAPPED"))</f>
        <v/>
      </c>
      <c r="E2566" s="36" t="str">
        <f aca="false">IF(Raw_Export!$A2566="","",IFERROR(VLOOKUP(LOWER(TRIM(Raw_Export!D2566)),Maps!$G$2:$I$80,3,FALSE()),"UNMAPPED"))</f>
        <v/>
      </c>
      <c r="F2566" s="36" t="str">
        <f aca="false">IF(Raw_Export!$A2566="","",IFERROR(VALUE(TRIM(Raw_Export!E2566)),0))</f>
        <v/>
      </c>
      <c r="G2566" s="38" t="str">
        <f aca="false">IF(Raw_Export!$A2566="","",IFERROR(VALUE(SUBSTITUTE(SUBSTITUTE(UPPER(TRIM(Raw_Export!F2566)),"KES",""),",","")),0))</f>
        <v/>
      </c>
      <c r="H2566" s="38" t="str">
        <f aca="false">IF(Raw_Export!$A2566="","",F2566*G2566)</f>
        <v/>
      </c>
      <c r="I2566" s="36" t="str">
        <f aca="false">IF(Raw_Export!$A2566="","",IFERROR(VLOOKUP(LOWER(TRIM(Raw_Export!H2566)),Maps!$D$2:$E$12,2,FALSE()),"Other"))</f>
        <v/>
      </c>
      <c r="J2566" s="36" t="str">
        <f aca="false">IF(Raw_Export!$A2566="","",IF(COUNTIF($A$2:A2566,A2566)&gt;1,"Duplicate",""))</f>
        <v/>
      </c>
      <c r="K2566" s="36" t="str">
        <f aca="false">IF(Raw_Export!$A2566="","",IF(J2566="Duplicate","Duplicate",IF(OR(C2566="UNMAPPED",D2566="UNMAPPED"),"Unmapped",IF(F2566=0,"Blank qty",IF(F2566&lt;0,"Return","OK")))))</f>
        <v/>
      </c>
      <c r="L2566" s="36" t="str">
        <f aca="false">IF(Raw_Export!$A2566="","",IF(OR(K2566="OK",K2566="Return"),1,0))</f>
        <v/>
      </c>
      <c r="M2566" s="37" t="str">
        <f aca="false">IF(Raw_Export!$A2566="","",B2566-WEEKDAY(B2566,2)+1)</f>
        <v/>
      </c>
    </row>
    <row r="2567" customFormat="false" ht="15" hidden="false" customHeight="false" outlineLevel="0" collapsed="false">
      <c r="A2567" s="36" t="str">
        <f aca="false">IF(Raw_Export!$A2567="","",TRIM(Raw_Export!A2567))</f>
        <v/>
      </c>
      <c r="B2567" s="37" t="str">
        <f aca="false">IF(Raw_Export!$A2567="","",IF(ISNUMBER(Raw_Export!B2567),Raw_Export!B2567,IF(MID(TRIM(Raw_Export!B2567),5,1)="-",DATE(LEFT(TRIM(Raw_Export!B2567),4),MID(TRIM(Raw_Export!B2567),6,2),RIGHT(TRIM(Raw_Export!B2567),2)),DATE(RIGHT(TRIM(Raw_Export!B2567),4),MATCH(MID(TRIM(Raw_Export!B2567),4,3),{"Jan","Feb","Mar","Apr","May","Jun","Jul","Aug","Sep","Oct","Nov","Dec"},0),LEFT(TRIM(Raw_Export!B2567),2)))))</f>
        <v/>
      </c>
      <c r="C2567" s="36" t="str">
        <f aca="false">IF(Raw_Export!$A2567="","",IFERROR(VLOOKUP(LOWER(TRIM(Raw_Export!C2567)),Maps!$A$2:$B$20,2,FALSE()),"UNMAPPED"))</f>
        <v/>
      </c>
      <c r="D2567" s="36" t="str">
        <f aca="false">IF(Raw_Export!$A2567="","",IFERROR(VLOOKUP(LOWER(TRIM(Raw_Export!D2567)),Maps!$G$2:$I$80,2,FALSE()),"UNMAPPED"))</f>
        <v/>
      </c>
      <c r="E2567" s="36" t="str">
        <f aca="false">IF(Raw_Export!$A2567="","",IFERROR(VLOOKUP(LOWER(TRIM(Raw_Export!D2567)),Maps!$G$2:$I$80,3,FALSE()),"UNMAPPED"))</f>
        <v/>
      </c>
      <c r="F2567" s="36" t="str">
        <f aca="false">IF(Raw_Export!$A2567="","",IFERROR(VALUE(TRIM(Raw_Export!E2567)),0))</f>
        <v/>
      </c>
      <c r="G2567" s="38" t="str">
        <f aca="false">IF(Raw_Export!$A2567="","",IFERROR(VALUE(SUBSTITUTE(SUBSTITUTE(UPPER(TRIM(Raw_Export!F2567)),"KES",""),",","")),0))</f>
        <v/>
      </c>
      <c r="H2567" s="38" t="str">
        <f aca="false">IF(Raw_Export!$A2567="","",F2567*G2567)</f>
        <v/>
      </c>
      <c r="I2567" s="36" t="str">
        <f aca="false">IF(Raw_Export!$A2567="","",IFERROR(VLOOKUP(LOWER(TRIM(Raw_Export!H2567)),Maps!$D$2:$E$12,2,FALSE()),"Other"))</f>
        <v/>
      </c>
      <c r="J2567" s="36" t="str">
        <f aca="false">IF(Raw_Export!$A2567="","",IF(COUNTIF($A$2:A2567,A2567)&gt;1,"Duplicate",""))</f>
        <v/>
      </c>
      <c r="K2567" s="36" t="str">
        <f aca="false">IF(Raw_Export!$A2567="","",IF(J2567="Duplicate","Duplicate",IF(OR(C2567="UNMAPPED",D2567="UNMAPPED"),"Unmapped",IF(F2567=0,"Blank qty",IF(F2567&lt;0,"Return","OK")))))</f>
        <v/>
      </c>
      <c r="L2567" s="36" t="str">
        <f aca="false">IF(Raw_Export!$A2567="","",IF(OR(K2567="OK",K2567="Return"),1,0))</f>
        <v/>
      </c>
      <c r="M2567" s="37" t="str">
        <f aca="false">IF(Raw_Export!$A2567="","",B2567-WEEKDAY(B2567,2)+1)</f>
        <v/>
      </c>
    </row>
    <row r="2568" customFormat="false" ht="15" hidden="false" customHeight="false" outlineLevel="0" collapsed="false">
      <c r="A2568" s="36" t="str">
        <f aca="false">IF(Raw_Export!$A2568="","",TRIM(Raw_Export!A2568))</f>
        <v/>
      </c>
      <c r="B2568" s="37" t="str">
        <f aca="false">IF(Raw_Export!$A2568="","",IF(ISNUMBER(Raw_Export!B2568),Raw_Export!B2568,IF(MID(TRIM(Raw_Export!B2568),5,1)="-",DATE(LEFT(TRIM(Raw_Export!B2568),4),MID(TRIM(Raw_Export!B2568),6,2),RIGHT(TRIM(Raw_Export!B2568),2)),DATE(RIGHT(TRIM(Raw_Export!B2568),4),MATCH(MID(TRIM(Raw_Export!B2568),4,3),{"Jan","Feb","Mar","Apr","May","Jun","Jul","Aug","Sep","Oct","Nov","Dec"},0),LEFT(TRIM(Raw_Export!B2568),2)))))</f>
        <v/>
      </c>
      <c r="C2568" s="36" t="str">
        <f aca="false">IF(Raw_Export!$A2568="","",IFERROR(VLOOKUP(LOWER(TRIM(Raw_Export!C2568)),Maps!$A$2:$B$20,2,FALSE()),"UNMAPPED"))</f>
        <v/>
      </c>
      <c r="D2568" s="36" t="str">
        <f aca="false">IF(Raw_Export!$A2568="","",IFERROR(VLOOKUP(LOWER(TRIM(Raw_Export!D2568)),Maps!$G$2:$I$80,2,FALSE()),"UNMAPPED"))</f>
        <v/>
      </c>
      <c r="E2568" s="36" t="str">
        <f aca="false">IF(Raw_Export!$A2568="","",IFERROR(VLOOKUP(LOWER(TRIM(Raw_Export!D2568)),Maps!$G$2:$I$80,3,FALSE()),"UNMAPPED"))</f>
        <v/>
      </c>
      <c r="F2568" s="36" t="str">
        <f aca="false">IF(Raw_Export!$A2568="","",IFERROR(VALUE(TRIM(Raw_Export!E2568)),0))</f>
        <v/>
      </c>
      <c r="G2568" s="38" t="str">
        <f aca="false">IF(Raw_Export!$A2568="","",IFERROR(VALUE(SUBSTITUTE(SUBSTITUTE(UPPER(TRIM(Raw_Export!F2568)),"KES",""),",","")),0))</f>
        <v/>
      </c>
      <c r="H2568" s="38" t="str">
        <f aca="false">IF(Raw_Export!$A2568="","",F2568*G2568)</f>
        <v/>
      </c>
      <c r="I2568" s="36" t="str">
        <f aca="false">IF(Raw_Export!$A2568="","",IFERROR(VLOOKUP(LOWER(TRIM(Raw_Export!H2568)),Maps!$D$2:$E$12,2,FALSE()),"Other"))</f>
        <v/>
      </c>
      <c r="J2568" s="36" t="str">
        <f aca="false">IF(Raw_Export!$A2568="","",IF(COUNTIF($A$2:A2568,A2568)&gt;1,"Duplicate",""))</f>
        <v/>
      </c>
      <c r="K2568" s="36" t="str">
        <f aca="false">IF(Raw_Export!$A2568="","",IF(J2568="Duplicate","Duplicate",IF(OR(C2568="UNMAPPED",D2568="UNMAPPED"),"Unmapped",IF(F2568=0,"Blank qty",IF(F2568&lt;0,"Return","OK")))))</f>
        <v/>
      </c>
      <c r="L2568" s="36" t="str">
        <f aca="false">IF(Raw_Export!$A2568="","",IF(OR(K2568="OK",K2568="Return"),1,0))</f>
        <v/>
      </c>
      <c r="M2568" s="37" t="str">
        <f aca="false">IF(Raw_Export!$A2568="","",B2568-WEEKDAY(B2568,2)+1)</f>
        <v/>
      </c>
    </row>
    <row r="2569" customFormat="false" ht="15" hidden="false" customHeight="false" outlineLevel="0" collapsed="false">
      <c r="A2569" s="36" t="str">
        <f aca="false">IF(Raw_Export!$A2569="","",TRIM(Raw_Export!A2569))</f>
        <v/>
      </c>
      <c r="B2569" s="37" t="str">
        <f aca="false">IF(Raw_Export!$A2569="","",IF(ISNUMBER(Raw_Export!B2569),Raw_Export!B2569,IF(MID(TRIM(Raw_Export!B2569),5,1)="-",DATE(LEFT(TRIM(Raw_Export!B2569),4),MID(TRIM(Raw_Export!B2569),6,2),RIGHT(TRIM(Raw_Export!B2569),2)),DATE(RIGHT(TRIM(Raw_Export!B2569),4),MATCH(MID(TRIM(Raw_Export!B2569),4,3),{"Jan","Feb","Mar","Apr","May","Jun","Jul","Aug","Sep","Oct","Nov","Dec"},0),LEFT(TRIM(Raw_Export!B2569),2)))))</f>
        <v/>
      </c>
      <c r="C2569" s="36" t="str">
        <f aca="false">IF(Raw_Export!$A2569="","",IFERROR(VLOOKUP(LOWER(TRIM(Raw_Export!C2569)),Maps!$A$2:$B$20,2,FALSE()),"UNMAPPED"))</f>
        <v/>
      </c>
      <c r="D2569" s="36" t="str">
        <f aca="false">IF(Raw_Export!$A2569="","",IFERROR(VLOOKUP(LOWER(TRIM(Raw_Export!D2569)),Maps!$G$2:$I$80,2,FALSE()),"UNMAPPED"))</f>
        <v/>
      </c>
      <c r="E2569" s="36" t="str">
        <f aca="false">IF(Raw_Export!$A2569="","",IFERROR(VLOOKUP(LOWER(TRIM(Raw_Export!D2569)),Maps!$G$2:$I$80,3,FALSE()),"UNMAPPED"))</f>
        <v/>
      </c>
      <c r="F2569" s="36" t="str">
        <f aca="false">IF(Raw_Export!$A2569="","",IFERROR(VALUE(TRIM(Raw_Export!E2569)),0))</f>
        <v/>
      </c>
      <c r="G2569" s="38" t="str">
        <f aca="false">IF(Raw_Export!$A2569="","",IFERROR(VALUE(SUBSTITUTE(SUBSTITUTE(UPPER(TRIM(Raw_Export!F2569)),"KES",""),",","")),0))</f>
        <v/>
      </c>
      <c r="H2569" s="38" t="str">
        <f aca="false">IF(Raw_Export!$A2569="","",F2569*G2569)</f>
        <v/>
      </c>
      <c r="I2569" s="36" t="str">
        <f aca="false">IF(Raw_Export!$A2569="","",IFERROR(VLOOKUP(LOWER(TRIM(Raw_Export!H2569)),Maps!$D$2:$E$12,2,FALSE()),"Other"))</f>
        <v/>
      </c>
      <c r="J2569" s="36" t="str">
        <f aca="false">IF(Raw_Export!$A2569="","",IF(COUNTIF($A$2:A2569,A2569)&gt;1,"Duplicate",""))</f>
        <v/>
      </c>
      <c r="K2569" s="36" t="str">
        <f aca="false">IF(Raw_Export!$A2569="","",IF(J2569="Duplicate","Duplicate",IF(OR(C2569="UNMAPPED",D2569="UNMAPPED"),"Unmapped",IF(F2569=0,"Blank qty",IF(F2569&lt;0,"Return","OK")))))</f>
        <v/>
      </c>
      <c r="L2569" s="36" t="str">
        <f aca="false">IF(Raw_Export!$A2569="","",IF(OR(K2569="OK",K2569="Return"),1,0))</f>
        <v/>
      </c>
      <c r="M2569" s="37" t="str">
        <f aca="false">IF(Raw_Export!$A2569="","",B2569-WEEKDAY(B2569,2)+1)</f>
        <v/>
      </c>
    </row>
    <row r="2570" customFormat="false" ht="15" hidden="false" customHeight="false" outlineLevel="0" collapsed="false">
      <c r="A2570" s="36" t="str">
        <f aca="false">IF(Raw_Export!$A2570="","",TRIM(Raw_Export!A2570))</f>
        <v/>
      </c>
      <c r="B2570" s="37" t="str">
        <f aca="false">IF(Raw_Export!$A2570="","",IF(ISNUMBER(Raw_Export!B2570),Raw_Export!B2570,IF(MID(TRIM(Raw_Export!B2570),5,1)="-",DATE(LEFT(TRIM(Raw_Export!B2570),4),MID(TRIM(Raw_Export!B2570),6,2),RIGHT(TRIM(Raw_Export!B2570),2)),DATE(RIGHT(TRIM(Raw_Export!B2570),4),MATCH(MID(TRIM(Raw_Export!B2570),4,3),{"Jan","Feb","Mar","Apr","May","Jun","Jul","Aug","Sep","Oct","Nov","Dec"},0),LEFT(TRIM(Raw_Export!B2570),2)))))</f>
        <v/>
      </c>
      <c r="C2570" s="36" t="str">
        <f aca="false">IF(Raw_Export!$A2570="","",IFERROR(VLOOKUP(LOWER(TRIM(Raw_Export!C2570)),Maps!$A$2:$B$20,2,FALSE()),"UNMAPPED"))</f>
        <v/>
      </c>
      <c r="D2570" s="36" t="str">
        <f aca="false">IF(Raw_Export!$A2570="","",IFERROR(VLOOKUP(LOWER(TRIM(Raw_Export!D2570)),Maps!$G$2:$I$80,2,FALSE()),"UNMAPPED"))</f>
        <v/>
      </c>
      <c r="E2570" s="36" t="str">
        <f aca="false">IF(Raw_Export!$A2570="","",IFERROR(VLOOKUP(LOWER(TRIM(Raw_Export!D2570)),Maps!$G$2:$I$80,3,FALSE()),"UNMAPPED"))</f>
        <v/>
      </c>
      <c r="F2570" s="36" t="str">
        <f aca="false">IF(Raw_Export!$A2570="","",IFERROR(VALUE(TRIM(Raw_Export!E2570)),0))</f>
        <v/>
      </c>
      <c r="G2570" s="38" t="str">
        <f aca="false">IF(Raw_Export!$A2570="","",IFERROR(VALUE(SUBSTITUTE(SUBSTITUTE(UPPER(TRIM(Raw_Export!F2570)),"KES",""),",","")),0))</f>
        <v/>
      </c>
      <c r="H2570" s="38" t="str">
        <f aca="false">IF(Raw_Export!$A2570="","",F2570*G2570)</f>
        <v/>
      </c>
      <c r="I2570" s="36" t="str">
        <f aca="false">IF(Raw_Export!$A2570="","",IFERROR(VLOOKUP(LOWER(TRIM(Raw_Export!H2570)),Maps!$D$2:$E$12,2,FALSE()),"Other"))</f>
        <v/>
      </c>
      <c r="J2570" s="36" t="str">
        <f aca="false">IF(Raw_Export!$A2570="","",IF(COUNTIF($A$2:A2570,A2570)&gt;1,"Duplicate",""))</f>
        <v/>
      </c>
      <c r="K2570" s="36" t="str">
        <f aca="false">IF(Raw_Export!$A2570="","",IF(J2570="Duplicate","Duplicate",IF(OR(C2570="UNMAPPED",D2570="UNMAPPED"),"Unmapped",IF(F2570=0,"Blank qty",IF(F2570&lt;0,"Return","OK")))))</f>
        <v/>
      </c>
      <c r="L2570" s="36" t="str">
        <f aca="false">IF(Raw_Export!$A2570="","",IF(OR(K2570="OK",K2570="Return"),1,0))</f>
        <v/>
      </c>
      <c r="M2570" s="37" t="str">
        <f aca="false">IF(Raw_Export!$A2570="","",B2570-WEEKDAY(B2570,2)+1)</f>
        <v/>
      </c>
    </row>
    <row r="2571" customFormat="false" ht="15" hidden="false" customHeight="false" outlineLevel="0" collapsed="false">
      <c r="A2571" s="36" t="str">
        <f aca="false">IF(Raw_Export!$A2571="","",TRIM(Raw_Export!A2571))</f>
        <v/>
      </c>
      <c r="B2571" s="37" t="str">
        <f aca="false">IF(Raw_Export!$A2571="","",IF(ISNUMBER(Raw_Export!B2571),Raw_Export!B2571,IF(MID(TRIM(Raw_Export!B2571),5,1)="-",DATE(LEFT(TRIM(Raw_Export!B2571),4),MID(TRIM(Raw_Export!B2571),6,2),RIGHT(TRIM(Raw_Export!B2571),2)),DATE(RIGHT(TRIM(Raw_Export!B2571),4),MATCH(MID(TRIM(Raw_Export!B2571),4,3),{"Jan","Feb","Mar","Apr","May","Jun","Jul","Aug","Sep","Oct","Nov","Dec"},0),LEFT(TRIM(Raw_Export!B2571),2)))))</f>
        <v/>
      </c>
      <c r="C2571" s="36" t="str">
        <f aca="false">IF(Raw_Export!$A2571="","",IFERROR(VLOOKUP(LOWER(TRIM(Raw_Export!C2571)),Maps!$A$2:$B$20,2,FALSE()),"UNMAPPED"))</f>
        <v/>
      </c>
      <c r="D2571" s="36" t="str">
        <f aca="false">IF(Raw_Export!$A2571="","",IFERROR(VLOOKUP(LOWER(TRIM(Raw_Export!D2571)),Maps!$G$2:$I$80,2,FALSE()),"UNMAPPED"))</f>
        <v/>
      </c>
      <c r="E2571" s="36" t="str">
        <f aca="false">IF(Raw_Export!$A2571="","",IFERROR(VLOOKUP(LOWER(TRIM(Raw_Export!D2571)),Maps!$G$2:$I$80,3,FALSE()),"UNMAPPED"))</f>
        <v/>
      </c>
      <c r="F2571" s="36" t="str">
        <f aca="false">IF(Raw_Export!$A2571="","",IFERROR(VALUE(TRIM(Raw_Export!E2571)),0))</f>
        <v/>
      </c>
      <c r="G2571" s="38" t="str">
        <f aca="false">IF(Raw_Export!$A2571="","",IFERROR(VALUE(SUBSTITUTE(SUBSTITUTE(UPPER(TRIM(Raw_Export!F2571)),"KES",""),",","")),0))</f>
        <v/>
      </c>
      <c r="H2571" s="38" t="str">
        <f aca="false">IF(Raw_Export!$A2571="","",F2571*G2571)</f>
        <v/>
      </c>
      <c r="I2571" s="36" t="str">
        <f aca="false">IF(Raw_Export!$A2571="","",IFERROR(VLOOKUP(LOWER(TRIM(Raw_Export!H2571)),Maps!$D$2:$E$12,2,FALSE()),"Other"))</f>
        <v/>
      </c>
      <c r="J2571" s="36" t="str">
        <f aca="false">IF(Raw_Export!$A2571="","",IF(COUNTIF($A$2:A2571,A2571)&gt;1,"Duplicate",""))</f>
        <v/>
      </c>
      <c r="K2571" s="36" t="str">
        <f aca="false">IF(Raw_Export!$A2571="","",IF(J2571="Duplicate","Duplicate",IF(OR(C2571="UNMAPPED",D2571="UNMAPPED"),"Unmapped",IF(F2571=0,"Blank qty",IF(F2571&lt;0,"Return","OK")))))</f>
        <v/>
      </c>
      <c r="L2571" s="36" t="str">
        <f aca="false">IF(Raw_Export!$A2571="","",IF(OR(K2571="OK",K2571="Return"),1,0))</f>
        <v/>
      </c>
      <c r="M2571" s="37" t="str">
        <f aca="false">IF(Raw_Export!$A2571="","",B2571-WEEKDAY(B2571,2)+1)</f>
        <v/>
      </c>
    </row>
    <row r="2572" customFormat="false" ht="15" hidden="false" customHeight="false" outlineLevel="0" collapsed="false">
      <c r="A2572" s="36" t="str">
        <f aca="false">IF(Raw_Export!$A2572="","",TRIM(Raw_Export!A2572))</f>
        <v/>
      </c>
      <c r="B2572" s="37" t="str">
        <f aca="false">IF(Raw_Export!$A2572="","",IF(ISNUMBER(Raw_Export!B2572),Raw_Export!B2572,IF(MID(TRIM(Raw_Export!B2572),5,1)="-",DATE(LEFT(TRIM(Raw_Export!B2572),4),MID(TRIM(Raw_Export!B2572),6,2),RIGHT(TRIM(Raw_Export!B2572),2)),DATE(RIGHT(TRIM(Raw_Export!B2572),4),MATCH(MID(TRIM(Raw_Export!B2572),4,3),{"Jan","Feb","Mar","Apr","May","Jun","Jul","Aug","Sep","Oct","Nov","Dec"},0),LEFT(TRIM(Raw_Export!B2572),2)))))</f>
        <v/>
      </c>
      <c r="C2572" s="36" t="str">
        <f aca="false">IF(Raw_Export!$A2572="","",IFERROR(VLOOKUP(LOWER(TRIM(Raw_Export!C2572)),Maps!$A$2:$B$20,2,FALSE()),"UNMAPPED"))</f>
        <v/>
      </c>
      <c r="D2572" s="36" t="str">
        <f aca="false">IF(Raw_Export!$A2572="","",IFERROR(VLOOKUP(LOWER(TRIM(Raw_Export!D2572)),Maps!$G$2:$I$80,2,FALSE()),"UNMAPPED"))</f>
        <v/>
      </c>
      <c r="E2572" s="36" t="str">
        <f aca="false">IF(Raw_Export!$A2572="","",IFERROR(VLOOKUP(LOWER(TRIM(Raw_Export!D2572)),Maps!$G$2:$I$80,3,FALSE()),"UNMAPPED"))</f>
        <v/>
      </c>
      <c r="F2572" s="36" t="str">
        <f aca="false">IF(Raw_Export!$A2572="","",IFERROR(VALUE(TRIM(Raw_Export!E2572)),0))</f>
        <v/>
      </c>
      <c r="G2572" s="38" t="str">
        <f aca="false">IF(Raw_Export!$A2572="","",IFERROR(VALUE(SUBSTITUTE(SUBSTITUTE(UPPER(TRIM(Raw_Export!F2572)),"KES",""),",","")),0))</f>
        <v/>
      </c>
      <c r="H2572" s="38" t="str">
        <f aca="false">IF(Raw_Export!$A2572="","",F2572*G2572)</f>
        <v/>
      </c>
      <c r="I2572" s="36" t="str">
        <f aca="false">IF(Raw_Export!$A2572="","",IFERROR(VLOOKUP(LOWER(TRIM(Raw_Export!H2572)),Maps!$D$2:$E$12,2,FALSE()),"Other"))</f>
        <v/>
      </c>
      <c r="J2572" s="36" t="str">
        <f aca="false">IF(Raw_Export!$A2572="","",IF(COUNTIF($A$2:A2572,A2572)&gt;1,"Duplicate",""))</f>
        <v/>
      </c>
      <c r="K2572" s="36" t="str">
        <f aca="false">IF(Raw_Export!$A2572="","",IF(J2572="Duplicate","Duplicate",IF(OR(C2572="UNMAPPED",D2572="UNMAPPED"),"Unmapped",IF(F2572=0,"Blank qty",IF(F2572&lt;0,"Return","OK")))))</f>
        <v/>
      </c>
      <c r="L2572" s="36" t="str">
        <f aca="false">IF(Raw_Export!$A2572="","",IF(OR(K2572="OK",K2572="Return"),1,0))</f>
        <v/>
      </c>
      <c r="M2572" s="37" t="str">
        <f aca="false">IF(Raw_Export!$A2572="","",B2572-WEEKDAY(B2572,2)+1)</f>
        <v/>
      </c>
    </row>
    <row r="2573" customFormat="false" ht="15" hidden="false" customHeight="false" outlineLevel="0" collapsed="false">
      <c r="A2573" s="36" t="str">
        <f aca="false">IF(Raw_Export!$A2573="","",TRIM(Raw_Export!A2573))</f>
        <v/>
      </c>
      <c r="B2573" s="37" t="str">
        <f aca="false">IF(Raw_Export!$A2573="","",IF(ISNUMBER(Raw_Export!B2573),Raw_Export!B2573,IF(MID(TRIM(Raw_Export!B2573),5,1)="-",DATE(LEFT(TRIM(Raw_Export!B2573),4),MID(TRIM(Raw_Export!B2573),6,2),RIGHT(TRIM(Raw_Export!B2573),2)),DATE(RIGHT(TRIM(Raw_Export!B2573),4),MATCH(MID(TRIM(Raw_Export!B2573),4,3),{"Jan","Feb","Mar","Apr","May","Jun","Jul","Aug","Sep","Oct","Nov","Dec"},0),LEFT(TRIM(Raw_Export!B2573),2)))))</f>
        <v/>
      </c>
      <c r="C2573" s="36" t="str">
        <f aca="false">IF(Raw_Export!$A2573="","",IFERROR(VLOOKUP(LOWER(TRIM(Raw_Export!C2573)),Maps!$A$2:$B$20,2,FALSE()),"UNMAPPED"))</f>
        <v/>
      </c>
      <c r="D2573" s="36" t="str">
        <f aca="false">IF(Raw_Export!$A2573="","",IFERROR(VLOOKUP(LOWER(TRIM(Raw_Export!D2573)),Maps!$G$2:$I$80,2,FALSE()),"UNMAPPED"))</f>
        <v/>
      </c>
      <c r="E2573" s="36" t="str">
        <f aca="false">IF(Raw_Export!$A2573="","",IFERROR(VLOOKUP(LOWER(TRIM(Raw_Export!D2573)),Maps!$G$2:$I$80,3,FALSE()),"UNMAPPED"))</f>
        <v/>
      </c>
      <c r="F2573" s="36" t="str">
        <f aca="false">IF(Raw_Export!$A2573="","",IFERROR(VALUE(TRIM(Raw_Export!E2573)),0))</f>
        <v/>
      </c>
      <c r="G2573" s="38" t="str">
        <f aca="false">IF(Raw_Export!$A2573="","",IFERROR(VALUE(SUBSTITUTE(SUBSTITUTE(UPPER(TRIM(Raw_Export!F2573)),"KES",""),",","")),0))</f>
        <v/>
      </c>
      <c r="H2573" s="38" t="str">
        <f aca="false">IF(Raw_Export!$A2573="","",F2573*G2573)</f>
        <v/>
      </c>
      <c r="I2573" s="36" t="str">
        <f aca="false">IF(Raw_Export!$A2573="","",IFERROR(VLOOKUP(LOWER(TRIM(Raw_Export!H2573)),Maps!$D$2:$E$12,2,FALSE()),"Other"))</f>
        <v/>
      </c>
      <c r="J2573" s="36" t="str">
        <f aca="false">IF(Raw_Export!$A2573="","",IF(COUNTIF($A$2:A2573,A2573)&gt;1,"Duplicate",""))</f>
        <v/>
      </c>
      <c r="K2573" s="36" t="str">
        <f aca="false">IF(Raw_Export!$A2573="","",IF(J2573="Duplicate","Duplicate",IF(OR(C2573="UNMAPPED",D2573="UNMAPPED"),"Unmapped",IF(F2573=0,"Blank qty",IF(F2573&lt;0,"Return","OK")))))</f>
        <v/>
      </c>
      <c r="L2573" s="36" t="str">
        <f aca="false">IF(Raw_Export!$A2573="","",IF(OR(K2573="OK",K2573="Return"),1,0))</f>
        <v/>
      </c>
      <c r="M2573" s="37" t="str">
        <f aca="false">IF(Raw_Export!$A2573="","",B2573-WEEKDAY(B2573,2)+1)</f>
        <v/>
      </c>
    </row>
    <row r="2574" customFormat="false" ht="15" hidden="false" customHeight="false" outlineLevel="0" collapsed="false">
      <c r="A2574" s="36" t="str">
        <f aca="false">IF(Raw_Export!$A2574="","",TRIM(Raw_Export!A2574))</f>
        <v/>
      </c>
      <c r="B2574" s="37" t="str">
        <f aca="false">IF(Raw_Export!$A2574="","",IF(ISNUMBER(Raw_Export!B2574),Raw_Export!B2574,IF(MID(TRIM(Raw_Export!B2574),5,1)="-",DATE(LEFT(TRIM(Raw_Export!B2574),4),MID(TRIM(Raw_Export!B2574),6,2),RIGHT(TRIM(Raw_Export!B2574),2)),DATE(RIGHT(TRIM(Raw_Export!B2574),4),MATCH(MID(TRIM(Raw_Export!B2574),4,3),{"Jan","Feb","Mar","Apr","May","Jun","Jul","Aug","Sep","Oct","Nov","Dec"},0),LEFT(TRIM(Raw_Export!B2574),2)))))</f>
        <v/>
      </c>
      <c r="C2574" s="36" t="str">
        <f aca="false">IF(Raw_Export!$A2574="","",IFERROR(VLOOKUP(LOWER(TRIM(Raw_Export!C2574)),Maps!$A$2:$B$20,2,FALSE()),"UNMAPPED"))</f>
        <v/>
      </c>
      <c r="D2574" s="36" t="str">
        <f aca="false">IF(Raw_Export!$A2574="","",IFERROR(VLOOKUP(LOWER(TRIM(Raw_Export!D2574)),Maps!$G$2:$I$80,2,FALSE()),"UNMAPPED"))</f>
        <v/>
      </c>
      <c r="E2574" s="36" t="str">
        <f aca="false">IF(Raw_Export!$A2574="","",IFERROR(VLOOKUP(LOWER(TRIM(Raw_Export!D2574)),Maps!$G$2:$I$80,3,FALSE()),"UNMAPPED"))</f>
        <v/>
      </c>
      <c r="F2574" s="36" t="str">
        <f aca="false">IF(Raw_Export!$A2574="","",IFERROR(VALUE(TRIM(Raw_Export!E2574)),0))</f>
        <v/>
      </c>
      <c r="G2574" s="38" t="str">
        <f aca="false">IF(Raw_Export!$A2574="","",IFERROR(VALUE(SUBSTITUTE(SUBSTITUTE(UPPER(TRIM(Raw_Export!F2574)),"KES",""),",","")),0))</f>
        <v/>
      </c>
      <c r="H2574" s="38" t="str">
        <f aca="false">IF(Raw_Export!$A2574="","",F2574*G2574)</f>
        <v/>
      </c>
      <c r="I2574" s="36" t="str">
        <f aca="false">IF(Raw_Export!$A2574="","",IFERROR(VLOOKUP(LOWER(TRIM(Raw_Export!H2574)),Maps!$D$2:$E$12,2,FALSE()),"Other"))</f>
        <v/>
      </c>
      <c r="J2574" s="36" t="str">
        <f aca="false">IF(Raw_Export!$A2574="","",IF(COUNTIF($A$2:A2574,A2574)&gt;1,"Duplicate",""))</f>
        <v/>
      </c>
      <c r="K2574" s="36" t="str">
        <f aca="false">IF(Raw_Export!$A2574="","",IF(J2574="Duplicate","Duplicate",IF(OR(C2574="UNMAPPED",D2574="UNMAPPED"),"Unmapped",IF(F2574=0,"Blank qty",IF(F2574&lt;0,"Return","OK")))))</f>
        <v/>
      </c>
      <c r="L2574" s="36" t="str">
        <f aca="false">IF(Raw_Export!$A2574="","",IF(OR(K2574="OK",K2574="Return"),1,0))</f>
        <v/>
      </c>
      <c r="M2574" s="37" t="str">
        <f aca="false">IF(Raw_Export!$A2574="","",B2574-WEEKDAY(B2574,2)+1)</f>
        <v/>
      </c>
    </row>
    <row r="2575" customFormat="false" ht="15" hidden="false" customHeight="false" outlineLevel="0" collapsed="false">
      <c r="A2575" s="36" t="str">
        <f aca="false">IF(Raw_Export!$A2575="","",TRIM(Raw_Export!A2575))</f>
        <v/>
      </c>
      <c r="B2575" s="37" t="str">
        <f aca="false">IF(Raw_Export!$A2575="","",IF(ISNUMBER(Raw_Export!B2575),Raw_Export!B2575,IF(MID(TRIM(Raw_Export!B2575),5,1)="-",DATE(LEFT(TRIM(Raw_Export!B2575),4),MID(TRIM(Raw_Export!B2575),6,2),RIGHT(TRIM(Raw_Export!B2575),2)),DATE(RIGHT(TRIM(Raw_Export!B2575),4),MATCH(MID(TRIM(Raw_Export!B2575),4,3),{"Jan","Feb","Mar","Apr","May","Jun","Jul","Aug","Sep","Oct","Nov","Dec"},0),LEFT(TRIM(Raw_Export!B2575),2)))))</f>
        <v/>
      </c>
      <c r="C2575" s="36" t="str">
        <f aca="false">IF(Raw_Export!$A2575="","",IFERROR(VLOOKUP(LOWER(TRIM(Raw_Export!C2575)),Maps!$A$2:$B$20,2,FALSE()),"UNMAPPED"))</f>
        <v/>
      </c>
      <c r="D2575" s="36" t="str">
        <f aca="false">IF(Raw_Export!$A2575="","",IFERROR(VLOOKUP(LOWER(TRIM(Raw_Export!D2575)),Maps!$G$2:$I$80,2,FALSE()),"UNMAPPED"))</f>
        <v/>
      </c>
      <c r="E2575" s="36" t="str">
        <f aca="false">IF(Raw_Export!$A2575="","",IFERROR(VLOOKUP(LOWER(TRIM(Raw_Export!D2575)),Maps!$G$2:$I$80,3,FALSE()),"UNMAPPED"))</f>
        <v/>
      </c>
      <c r="F2575" s="36" t="str">
        <f aca="false">IF(Raw_Export!$A2575="","",IFERROR(VALUE(TRIM(Raw_Export!E2575)),0))</f>
        <v/>
      </c>
      <c r="G2575" s="38" t="str">
        <f aca="false">IF(Raw_Export!$A2575="","",IFERROR(VALUE(SUBSTITUTE(SUBSTITUTE(UPPER(TRIM(Raw_Export!F2575)),"KES",""),",","")),0))</f>
        <v/>
      </c>
      <c r="H2575" s="38" t="str">
        <f aca="false">IF(Raw_Export!$A2575="","",F2575*G2575)</f>
        <v/>
      </c>
      <c r="I2575" s="36" t="str">
        <f aca="false">IF(Raw_Export!$A2575="","",IFERROR(VLOOKUP(LOWER(TRIM(Raw_Export!H2575)),Maps!$D$2:$E$12,2,FALSE()),"Other"))</f>
        <v/>
      </c>
      <c r="J2575" s="36" t="str">
        <f aca="false">IF(Raw_Export!$A2575="","",IF(COUNTIF($A$2:A2575,A2575)&gt;1,"Duplicate",""))</f>
        <v/>
      </c>
      <c r="K2575" s="36" t="str">
        <f aca="false">IF(Raw_Export!$A2575="","",IF(J2575="Duplicate","Duplicate",IF(OR(C2575="UNMAPPED",D2575="UNMAPPED"),"Unmapped",IF(F2575=0,"Blank qty",IF(F2575&lt;0,"Return","OK")))))</f>
        <v/>
      </c>
      <c r="L2575" s="36" t="str">
        <f aca="false">IF(Raw_Export!$A2575="","",IF(OR(K2575="OK",K2575="Return"),1,0))</f>
        <v/>
      </c>
      <c r="M2575" s="37" t="str">
        <f aca="false">IF(Raw_Export!$A2575="","",B2575-WEEKDAY(B2575,2)+1)</f>
        <v/>
      </c>
    </row>
    <row r="2576" customFormat="false" ht="15" hidden="false" customHeight="false" outlineLevel="0" collapsed="false">
      <c r="A2576" s="36" t="str">
        <f aca="false">IF(Raw_Export!$A2576="","",TRIM(Raw_Export!A2576))</f>
        <v/>
      </c>
      <c r="B2576" s="37" t="str">
        <f aca="false">IF(Raw_Export!$A2576="","",IF(ISNUMBER(Raw_Export!B2576),Raw_Export!B2576,IF(MID(TRIM(Raw_Export!B2576),5,1)="-",DATE(LEFT(TRIM(Raw_Export!B2576),4),MID(TRIM(Raw_Export!B2576),6,2),RIGHT(TRIM(Raw_Export!B2576),2)),DATE(RIGHT(TRIM(Raw_Export!B2576),4),MATCH(MID(TRIM(Raw_Export!B2576),4,3),{"Jan","Feb","Mar","Apr","May","Jun","Jul","Aug","Sep","Oct","Nov","Dec"},0),LEFT(TRIM(Raw_Export!B2576),2)))))</f>
        <v/>
      </c>
      <c r="C2576" s="36" t="str">
        <f aca="false">IF(Raw_Export!$A2576="","",IFERROR(VLOOKUP(LOWER(TRIM(Raw_Export!C2576)),Maps!$A$2:$B$20,2,FALSE()),"UNMAPPED"))</f>
        <v/>
      </c>
      <c r="D2576" s="36" t="str">
        <f aca="false">IF(Raw_Export!$A2576="","",IFERROR(VLOOKUP(LOWER(TRIM(Raw_Export!D2576)),Maps!$G$2:$I$80,2,FALSE()),"UNMAPPED"))</f>
        <v/>
      </c>
      <c r="E2576" s="36" t="str">
        <f aca="false">IF(Raw_Export!$A2576="","",IFERROR(VLOOKUP(LOWER(TRIM(Raw_Export!D2576)),Maps!$G$2:$I$80,3,FALSE()),"UNMAPPED"))</f>
        <v/>
      </c>
      <c r="F2576" s="36" t="str">
        <f aca="false">IF(Raw_Export!$A2576="","",IFERROR(VALUE(TRIM(Raw_Export!E2576)),0))</f>
        <v/>
      </c>
      <c r="G2576" s="38" t="str">
        <f aca="false">IF(Raw_Export!$A2576="","",IFERROR(VALUE(SUBSTITUTE(SUBSTITUTE(UPPER(TRIM(Raw_Export!F2576)),"KES",""),",","")),0))</f>
        <v/>
      </c>
      <c r="H2576" s="38" t="str">
        <f aca="false">IF(Raw_Export!$A2576="","",F2576*G2576)</f>
        <v/>
      </c>
      <c r="I2576" s="36" t="str">
        <f aca="false">IF(Raw_Export!$A2576="","",IFERROR(VLOOKUP(LOWER(TRIM(Raw_Export!H2576)),Maps!$D$2:$E$12,2,FALSE()),"Other"))</f>
        <v/>
      </c>
      <c r="J2576" s="36" t="str">
        <f aca="false">IF(Raw_Export!$A2576="","",IF(COUNTIF($A$2:A2576,A2576)&gt;1,"Duplicate",""))</f>
        <v/>
      </c>
      <c r="K2576" s="36" t="str">
        <f aca="false">IF(Raw_Export!$A2576="","",IF(J2576="Duplicate","Duplicate",IF(OR(C2576="UNMAPPED",D2576="UNMAPPED"),"Unmapped",IF(F2576=0,"Blank qty",IF(F2576&lt;0,"Return","OK")))))</f>
        <v/>
      </c>
      <c r="L2576" s="36" t="str">
        <f aca="false">IF(Raw_Export!$A2576="","",IF(OR(K2576="OK",K2576="Return"),1,0))</f>
        <v/>
      </c>
      <c r="M2576" s="37" t="str">
        <f aca="false">IF(Raw_Export!$A2576="","",B2576-WEEKDAY(B2576,2)+1)</f>
        <v/>
      </c>
    </row>
    <row r="2577" customFormat="false" ht="15" hidden="false" customHeight="false" outlineLevel="0" collapsed="false">
      <c r="A2577" s="36" t="str">
        <f aca="false">IF(Raw_Export!$A2577="","",TRIM(Raw_Export!A2577))</f>
        <v/>
      </c>
      <c r="B2577" s="37" t="str">
        <f aca="false">IF(Raw_Export!$A2577="","",IF(ISNUMBER(Raw_Export!B2577),Raw_Export!B2577,IF(MID(TRIM(Raw_Export!B2577),5,1)="-",DATE(LEFT(TRIM(Raw_Export!B2577),4),MID(TRIM(Raw_Export!B2577),6,2),RIGHT(TRIM(Raw_Export!B2577),2)),DATE(RIGHT(TRIM(Raw_Export!B2577),4),MATCH(MID(TRIM(Raw_Export!B2577),4,3),{"Jan","Feb","Mar","Apr","May","Jun","Jul","Aug","Sep","Oct","Nov","Dec"},0),LEFT(TRIM(Raw_Export!B2577),2)))))</f>
        <v/>
      </c>
      <c r="C2577" s="36" t="str">
        <f aca="false">IF(Raw_Export!$A2577="","",IFERROR(VLOOKUP(LOWER(TRIM(Raw_Export!C2577)),Maps!$A$2:$B$20,2,FALSE()),"UNMAPPED"))</f>
        <v/>
      </c>
      <c r="D2577" s="36" t="str">
        <f aca="false">IF(Raw_Export!$A2577="","",IFERROR(VLOOKUP(LOWER(TRIM(Raw_Export!D2577)),Maps!$G$2:$I$80,2,FALSE()),"UNMAPPED"))</f>
        <v/>
      </c>
      <c r="E2577" s="36" t="str">
        <f aca="false">IF(Raw_Export!$A2577="","",IFERROR(VLOOKUP(LOWER(TRIM(Raw_Export!D2577)),Maps!$G$2:$I$80,3,FALSE()),"UNMAPPED"))</f>
        <v/>
      </c>
      <c r="F2577" s="36" t="str">
        <f aca="false">IF(Raw_Export!$A2577="","",IFERROR(VALUE(TRIM(Raw_Export!E2577)),0))</f>
        <v/>
      </c>
      <c r="G2577" s="38" t="str">
        <f aca="false">IF(Raw_Export!$A2577="","",IFERROR(VALUE(SUBSTITUTE(SUBSTITUTE(UPPER(TRIM(Raw_Export!F2577)),"KES",""),",","")),0))</f>
        <v/>
      </c>
      <c r="H2577" s="38" t="str">
        <f aca="false">IF(Raw_Export!$A2577="","",F2577*G2577)</f>
        <v/>
      </c>
      <c r="I2577" s="36" t="str">
        <f aca="false">IF(Raw_Export!$A2577="","",IFERROR(VLOOKUP(LOWER(TRIM(Raw_Export!H2577)),Maps!$D$2:$E$12,2,FALSE()),"Other"))</f>
        <v/>
      </c>
      <c r="J2577" s="36" t="str">
        <f aca="false">IF(Raw_Export!$A2577="","",IF(COUNTIF($A$2:A2577,A2577)&gt;1,"Duplicate",""))</f>
        <v/>
      </c>
      <c r="K2577" s="36" t="str">
        <f aca="false">IF(Raw_Export!$A2577="","",IF(J2577="Duplicate","Duplicate",IF(OR(C2577="UNMAPPED",D2577="UNMAPPED"),"Unmapped",IF(F2577=0,"Blank qty",IF(F2577&lt;0,"Return","OK")))))</f>
        <v/>
      </c>
      <c r="L2577" s="36" t="str">
        <f aca="false">IF(Raw_Export!$A2577="","",IF(OR(K2577="OK",K2577="Return"),1,0))</f>
        <v/>
      </c>
      <c r="M2577" s="37" t="str">
        <f aca="false">IF(Raw_Export!$A2577="","",B2577-WEEKDAY(B2577,2)+1)</f>
        <v/>
      </c>
    </row>
    <row r="2578" customFormat="false" ht="15" hidden="false" customHeight="false" outlineLevel="0" collapsed="false">
      <c r="A2578" s="36" t="str">
        <f aca="false">IF(Raw_Export!$A2578="","",TRIM(Raw_Export!A2578))</f>
        <v/>
      </c>
      <c r="B2578" s="37" t="str">
        <f aca="false">IF(Raw_Export!$A2578="","",IF(ISNUMBER(Raw_Export!B2578),Raw_Export!B2578,IF(MID(TRIM(Raw_Export!B2578),5,1)="-",DATE(LEFT(TRIM(Raw_Export!B2578),4),MID(TRIM(Raw_Export!B2578),6,2),RIGHT(TRIM(Raw_Export!B2578),2)),DATE(RIGHT(TRIM(Raw_Export!B2578),4),MATCH(MID(TRIM(Raw_Export!B2578),4,3),{"Jan","Feb","Mar","Apr","May","Jun","Jul","Aug","Sep","Oct","Nov","Dec"},0),LEFT(TRIM(Raw_Export!B2578),2)))))</f>
        <v/>
      </c>
      <c r="C2578" s="36" t="str">
        <f aca="false">IF(Raw_Export!$A2578="","",IFERROR(VLOOKUP(LOWER(TRIM(Raw_Export!C2578)),Maps!$A$2:$B$20,2,FALSE()),"UNMAPPED"))</f>
        <v/>
      </c>
      <c r="D2578" s="36" t="str">
        <f aca="false">IF(Raw_Export!$A2578="","",IFERROR(VLOOKUP(LOWER(TRIM(Raw_Export!D2578)),Maps!$G$2:$I$80,2,FALSE()),"UNMAPPED"))</f>
        <v/>
      </c>
      <c r="E2578" s="36" t="str">
        <f aca="false">IF(Raw_Export!$A2578="","",IFERROR(VLOOKUP(LOWER(TRIM(Raw_Export!D2578)),Maps!$G$2:$I$80,3,FALSE()),"UNMAPPED"))</f>
        <v/>
      </c>
      <c r="F2578" s="36" t="str">
        <f aca="false">IF(Raw_Export!$A2578="","",IFERROR(VALUE(TRIM(Raw_Export!E2578)),0))</f>
        <v/>
      </c>
      <c r="G2578" s="38" t="str">
        <f aca="false">IF(Raw_Export!$A2578="","",IFERROR(VALUE(SUBSTITUTE(SUBSTITUTE(UPPER(TRIM(Raw_Export!F2578)),"KES",""),",","")),0))</f>
        <v/>
      </c>
      <c r="H2578" s="38" t="str">
        <f aca="false">IF(Raw_Export!$A2578="","",F2578*G2578)</f>
        <v/>
      </c>
      <c r="I2578" s="36" t="str">
        <f aca="false">IF(Raw_Export!$A2578="","",IFERROR(VLOOKUP(LOWER(TRIM(Raw_Export!H2578)),Maps!$D$2:$E$12,2,FALSE()),"Other"))</f>
        <v/>
      </c>
      <c r="J2578" s="36" t="str">
        <f aca="false">IF(Raw_Export!$A2578="","",IF(COUNTIF($A$2:A2578,A2578)&gt;1,"Duplicate",""))</f>
        <v/>
      </c>
      <c r="K2578" s="36" t="str">
        <f aca="false">IF(Raw_Export!$A2578="","",IF(J2578="Duplicate","Duplicate",IF(OR(C2578="UNMAPPED",D2578="UNMAPPED"),"Unmapped",IF(F2578=0,"Blank qty",IF(F2578&lt;0,"Return","OK")))))</f>
        <v/>
      </c>
      <c r="L2578" s="36" t="str">
        <f aca="false">IF(Raw_Export!$A2578="","",IF(OR(K2578="OK",K2578="Return"),1,0))</f>
        <v/>
      </c>
      <c r="M2578" s="37" t="str">
        <f aca="false">IF(Raw_Export!$A2578="","",B2578-WEEKDAY(B2578,2)+1)</f>
        <v/>
      </c>
    </row>
    <row r="2579" customFormat="false" ht="15" hidden="false" customHeight="false" outlineLevel="0" collapsed="false">
      <c r="A2579" s="36" t="str">
        <f aca="false">IF(Raw_Export!$A2579="","",TRIM(Raw_Export!A2579))</f>
        <v/>
      </c>
      <c r="B2579" s="37" t="str">
        <f aca="false">IF(Raw_Export!$A2579="","",IF(ISNUMBER(Raw_Export!B2579),Raw_Export!B2579,IF(MID(TRIM(Raw_Export!B2579),5,1)="-",DATE(LEFT(TRIM(Raw_Export!B2579),4),MID(TRIM(Raw_Export!B2579),6,2),RIGHT(TRIM(Raw_Export!B2579),2)),DATE(RIGHT(TRIM(Raw_Export!B2579),4),MATCH(MID(TRIM(Raw_Export!B2579),4,3),{"Jan","Feb","Mar","Apr","May","Jun","Jul","Aug","Sep","Oct","Nov","Dec"},0),LEFT(TRIM(Raw_Export!B2579),2)))))</f>
        <v/>
      </c>
      <c r="C2579" s="36" t="str">
        <f aca="false">IF(Raw_Export!$A2579="","",IFERROR(VLOOKUP(LOWER(TRIM(Raw_Export!C2579)),Maps!$A$2:$B$20,2,FALSE()),"UNMAPPED"))</f>
        <v/>
      </c>
      <c r="D2579" s="36" t="str">
        <f aca="false">IF(Raw_Export!$A2579="","",IFERROR(VLOOKUP(LOWER(TRIM(Raw_Export!D2579)),Maps!$G$2:$I$80,2,FALSE()),"UNMAPPED"))</f>
        <v/>
      </c>
      <c r="E2579" s="36" t="str">
        <f aca="false">IF(Raw_Export!$A2579="","",IFERROR(VLOOKUP(LOWER(TRIM(Raw_Export!D2579)),Maps!$G$2:$I$80,3,FALSE()),"UNMAPPED"))</f>
        <v/>
      </c>
      <c r="F2579" s="36" t="str">
        <f aca="false">IF(Raw_Export!$A2579="","",IFERROR(VALUE(TRIM(Raw_Export!E2579)),0))</f>
        <v/>
      </c>
      <c r="G2579" s="38" t="str">
        <f aca="false">IF(Raw_Export!$A2579="","",IFERROR(VALUE(SUBSTITUTE(SUBSTITUTE(UPPER(TRIM(Raw_Export!F2579)),"KES",""),",","")),0))</f>
        <v/>
      </c>
      <c r="H2579" s="38" t="str">
        <f aca="false">IF(Raw_Export!$A2579="","",F2579*G2579)</f>
        <v/>
      </c>
      <c r="I2579" s="36" t="str">
        <f aca="false">IF(Raw_Export!$A2579="","",IFERROR(VLOOKUP(LOWER(TRIM(Raw_Export!H2579)),Maps!$D$2:$E$12,2,FALSE()),"Other"))</f>
        <v/>
      </c>
      <c r="J2579" s="36" t="str">
        <f aca="false">IF(Raw_Export!$A2579="","",IF(COUNTIF($A$2:A2579,A2579)&gt;1,"Duplicate",""))</f>
        <v/>
      </c>
      <c r="K2579" s="36" t="str">
        <f aca="false">IF(Raw_Export!$A2579="","",IF(J2579="Duplicate","Duplicate",IF(OR(C2579="UNMAPPED",D2579="UNMAPPED"),"Unmapped",IF(F2579=0,"Blank qty",IF(F2579&lt;0,"Return","OK")))))</f>
        <v/>
      </c>
      <c r="L2579" s="36" t="str">
        <f aca="false">IF(Raw_Export!$A2579="","",IF(OR(K2579="OK",K2579="Return"),1,0))</f>
        <v/>
      </c>
      <c r="M2579" s="37" t="str">
        <f aca="false">IF(Raw_Export!$A2579="","",B2579-WEEKDAY(B2579,2)+1)</f>
        <v/>
      </c>
    </row>
    <row r="2580" customFormat="false" ht="15" hidden="false" customHeight="false" outlineLevel="0" collapsed="false">
      <c r="A2580" s="36" t="str">
        <f aca="false">IF(Raw_Export!$A2580="","",TRIM(Raw_Export!A2580))</f>
        <v/>
      </c>
      <c r="B2580" s="37" t="str">
        <f aca="false">IF(Raw_Export!$A2580="","",IF(ISNUMBER(Raw_Export!B2580),Raw_Export!B2580,IF(MID(TRIM(Raw_Export!B2580),5,1)="-",DATE(LEFT(TRIM(Raw_Export!B2580),4),MID(TRIM(Raw_Export!B2580),6,2),RIGHT(TRIM(Raw_Export!B2580),2)),DATE(RIGHT(TRIM(Raw_Export!B2580),4),MATCH(MID(TRIM(Raw_Export!B2580),4,3),{"Jan","Feb","Mar","Apr","May","Jun","Jul","Aug","Sep","Oct","Nov","Dec"},0),LEFT(TRIM(Raw_Export!B2580),2)))))</f>
        <v/>
      </c>
      <c r="C2580" s="36" t="str">
        <f aca="false">IF(Raw_Export!$A2580="","",IFERROR(VLOOKUP(LOWER(TRIM(Raw_Export!C2580)),Maps!$A$2:$B$20,2,FALSE()),"UNMAPPED"))</f>
        <v/>
      </c>
      <c r="D2580" s="36" t="str">
        <f aca="false">IF(Raw_Export!$A2580="","",IFERROR(VLOOKUP(LOWER(TRIM(Raw_Export!D2580)),Maps!$G$2:$I$80,2,FALSE()),"UNMAPPED"))</f>
        <v/>
      </c>
      <c r="E2580" s="36" t="str">
        <f aca="false">IF(Raw_Export!$A2580="","",IFERROR(VLOOKUP(LOWER(TRIM(Raw_Export!D2580)),Maps!$G$2:$I$80,3,FALSE()),"UNMAPPED"))</f>
        <v/>
      </c>
      <c r="F2580" s="36" t="str">
        <f aca="false">IF(Raw_Export!$A2580="","",IFERROR(VALUE(TRIM(Raw_Export!E2580)),0))</f>
        <v/>
      </c>
      <c r="G2580" s="38" t="str">
        <f aca="false">IF(Raw_Export!$A2580="","",IFERROR(VALUE(SUBSTITUTE(SUBSTITUTE(UPPER(TRIM(Raw_Export!F2580)),"KES",""),",","")),0))</f>
        <v/>
      </c>
      <c r="H2580" s="38" t="str">
        <f aca="false">IF(Raw_Export!$A2580="","",F2580*G2580)</f>
        <v/>
      </c>
      <c r="I2580" s="36" t="str">
        <f aca="false">IF(Raw_Export!$A2580="","",IFERROR(VLOOKUP(LOWER(TRIM(Raw_Export!H2580)),Maps!$D$2:$E$12,2,FALSE()),"Other"))</f>
        <v/>
      </c>
      <c r="J2580" s="36" t="str">
        <f aca="false">IF(Raw_Export!$A2580="","",IF(COUNTIF($A$2:A2580,A2580)&gt;1,"Duplicate",""))</f>
        <v/>
      </c>
      <c r="K2580" s="36" t="str">
        <f aca="false">IF(Raw_Export!$A2580="","",IF(J2580="Duplicate","Duplicate",IF(OR(C2580="UNMAPPED",D2580="UNMAPPED"),"Unmapped",IF(F2580=0,"Blank qty",IF(F2580&lt;0,"Return","OK")))))</f>
        <v/>
      </c>
      <c r="L2580" s="36" t="str">
        <f aca="false">IF(Raw_Export!$A2580="","",IF(OR(K2580="OK",K2580="Return"),1,0))</f>
        <v/>
      </c>
      <c r="M2580" s="37" t="str">
        <f aca="false">IF(Raw_Export!$A2580="","",B2580-WEEKDAY(B2580,2)+1)</f>
        <v/>
      </c>
    </row>
    <row r="2581" customFormat="false" ht="15" hidden="false" customHeight="false" outlineLevel="0" collapsed="false">
      <c r="A2581" s="36" t="str">
        <f aca="false">IF(Raw_Export!$A2581="","",TRIM(Raw_Export!A2581))</f>
        <v/>
      </c>
      <c r="B2581" s="37" t="str">
        <f aca="false">IF(Raw_Export!$A2581="","",IF(ISNUMBER(Raw_Export!B2581),Raw_Export!B2581,IF(MID(TRIM(Raw_Export!B2581),5,1)="-",DATE(LEFT(TRIM(Raw_Export!B2581),4),MID(TRIM(Raw_Export!B2581),6,2),RIGHT(TRIM(Raw_Export!B2581),2)),DATE(RIGHT(TRIM(Raw_Export!B2581),4),MATCH(MID(TRIM(Raw_Export!B2581),4,3),{"Jan","Feb","Mar","Apr","May","Jun","Jul","Aug","Sep","Oct","Nov","Dec"},0),LEFT(TRIM(Raw_Export!B2581),2)))))</f>
        <v/>
      </c>
      <c r="C2581" s="36" t="str">
        <f aca="false">IF(Raw_Export!$A2581="","",IFERROR(VLOOKUP(LOWER(TRIM(Raw_Export!C2581)),Maps!$A$2:$B$20,2,FALSE()),"UNMAPPED"))</f>
        <v/>
      </c>
      <c r="D2581" s="36" t="str">
        <f aca="false">IF(Raw_Export!$A2581="","",IFERROR(VLOOKUP(LOWER(TRIM(Raw_Export!D2581)),Maps!$G$2:$I$80,2,FALSE()),"UNMAPPED"))</f>
        <v/>
      </c>
      <c r="E2581" s="36" t="str">
        <f aca="false">IF(Raw_Export!$A2581="","",IFERROR(VLOOKUP(LOWER(TRIM(Raw_Export!D2581)),Maps!$G$2:$I$80,3,FALSE()),"UNMAPPED"))</f>
        <v/>
      </c>
      <c r="F2581" s="36" t="str">
        <f aca="false">IF(Raw_Export!$A2581="","",IFERROR(VALUE(TRIM(Raw_Export!E2581)),0))</f>
        <v/>
      </c>
      <c r="G2581" s="38" t="str">
        <f aca="false">IF(Raw_Export!$A2581="","",IFERROR(VALUE(SUBSTITUTE(SUBSTITUTE(UPPER(TRIM(Raw_Export!F2581)),"KES",""),",","")),0))</f>
        <v/>
      </c>
      <c r="H2581" s="38" t="str">
        <f aca="false">IF(Raw_Export!$A2581="","",F2581*G2581)</f>
        <v/>
      </c>
      <c r="I2581" s="36" t="str">
        <f aca="false">IF(Raw_Export!$A2581="","",IFERROR(VLOOKUP(LOWER(TRIM(Raw_Export!H2581)),Maps!$D$2:$E$12,2,FALSE()),"Other"))</f>
        <v/>
      </c>
      <c r="J2581" s="36" t="str">
        <f aca="false">IF(Raw_Export!$A2581="","",IF(COUNTIF($A$2:A2581,A2581)&gt;1,"Duplicate",""))</f>
        <v/>
      </c>
      <c r="K2581" s="36" t="str">
        <f aca="false">IF(Raw_Export!$A2581="","",IF(J2581="Duplicate","Duplicate",IF(OR(C2581="UNMAPPED",D2581="UNMAPPED"),"Unmapped",IF(F2581=0,"Blank qty",IF(F2581&lt;0,"Return","OK")))))</f>
        <v/>
      </c>
      <c r="L2581" s="36" t="str">
        <f aca="false">IF(Raw_Export!$A2581="","",IF(OR(K2581="OK",K2581="Return"),1,0))</f>
        <v/>
      </c>
      <c r="M2581" s="37" t="str">
        <f aca="false">IF(Raw_Export!$A2581="","",B2581-WEEKDAY(B2581,2)+1)</f>
        <v/>
      </c>
    </row>
    <row r="2582" customFormat="false" ht="15" hidden="false" customHeight="false" outlineLevel="0" collapsed="false">
      <c r="A2582" s="36" t="str">
        <f aca="false">IF(Raw_Export!$A2582="","",TRIM(Raw_Export!A2582))</f>
        <v/>
      </c>
      <c r="B2582" s="37" t="str">
        <f aca="false">IF(Raw_Export!$A2582="","",IF(ISNUMBER(Raw_Export!B2582),Raw_Export!B2582,IF(MID(TRIM(Raw_Export!B2582),5,1)="-",DATE(LEFT(TRIM(Raw_Export!B2582),4),MID(TRIM(Raw_Export!B2582),6,2),RIGHT(TRIM(Raw_Export!B2582),2)),DATE(RIGHT(TRIM(Raw_Export!B2582),4),MATCH(MID(TRIM(Raw_Export!B2582),4,3),{"Jan","Feb","Mar","Apr","May","Jun","Jul","Aug","Sep","Oct","Nov","Dec"},0),LEFT(TRIM(Raw_Export!B2582),2)))))</f>
        <v/>
      </c>
      <c r="C2582" s="36" t="str">
        <f aca="false">IF(Raw_Export!$A2582="","",IFERROR(VLOOKUP(LOWER(TRIM(Raw_Export!C2582)),Maps!$A$2:$B$20,2,FALSE()),"UNMAPPED"))</f>
        <v/>
      </c>
      <c r="D2582" s="36" t="str">
        <f aca="false">IF(Raw_Export!$A2582="","",IFERROR(VLOOKUP(LOWER(TRIM(Raw_Export!D2582)),Maps!$G$2:$I$80,2,FALSE()),"UNMAPPED"))</f>
        <v/>
      </c>
      <c r="E2582" s="36" t="str">
        <f aca="false">IF(Raw_Export!$A2582="","",IFERROR(VLOOKUP(LOWER(TRIM(Raw_Export!D2582)),Maps!$G$2:$I$80,3,FALSE()),"UNMAPPED"))</f>
        <v/>
      </c>
      <c r="F2582" s="36" t="str">
        <f aca="false">IF(Raw_Export!$A2582="","",IFERROR(VALUE(TRIM(Raw_Export!E2582)),0))</f>
        <v/>
      </c>
      <c r="G2582" s="38" t="str">
        <f aca="false">IF(Raw_Export!$A2582="","",IFERROR(VALUE(SUBSTITUTE(SUBSTITUTE(UPPER(TRIM(Raw_Export!F2582)),"KES",""),",","")),0))</f>
        <v/>
      </c>
      <c r="H2582" s="38" t="str">
        <f aca="false">IF(Raw_Export!$A2582="","",F2582*G2582)</f>
        <v/>
      </c>
      <c r="I2582" s="36" t="str">
        <f aca="false">IF(Raw_Export!$A2582="","",IFERROR(VLOOKUP(LOWER(TRIM(Raw_Export!H2582)),Maps!$D$2:$E$12,2,FALSE()),"Other"))</f>
        <v/>
      </c>
      <c r="J2582" s="36" t="str">
        <f aca="false">IF(Raw_Export!$A2582="","",IF(COUNTIF($A$2:A2582,A2582)&gt;1,"Duplicate",""))</f>
        <v/>
      </c>
      <c r="K2582" s="36" t="str">
        <f aca="false">IF(Raw_Export!$A2582="","",IF(J2582="Duplicate","Duplicate",IF(OR(C2582="UNMAPPED",D2582="UNMAPPED"),"Unmapped",IF(F2582=0,"Blank qty",IF(F2582&lt;0,"Return","OK")))))</f>
        <v/>
      </c>
      <c r="L2582" s="36" t="str">
        <f aca="false">IF(Raw_Export!$A2582="","",IF(OR(K2582="OK",K2582="Return"),1,0))</f>
        <v/>
      </c>
      <c r="M2582" s="37" t="str">
        <f aca="false">IF(Raw_Export!$A2582="","",B2582-WEEKDAY(B2582,2)+1)</f>
        <v/>
      </c>
    </row>
    <row r="2583" customFormat="false" ht="15" hidden="false" customHeight="false" outlineLevel="0" collapsed="false">
      <c r="A2583" s="36" t="str">
        <f aca="false">IF(Raw_Export!$A2583="","",TRIM(Raw_Export!A2583))</f>
        <v/>
      </c>
      <c r="B2583" s="37" t="str">
        <f aca="false">IF(Raw_Export!$A2583="","",IF(ISNUMBER(Raw_Export!B2583),Raw_Export!B2583,IF(MID(TRIM(Raw_Export!B2583),5,1)="-",DATE(LEFT(TRIM(Raw_Export!B2583),4),MID(TRIM(Raw_Export!B2583),6,2),RIGHT(TRIM(Raw_Export!B2583),2)),DATE(RIGHT(TRIM(Raw_Export!B2583),4),MATCH(MID(TRIM(Raw_Export!B2583),4,3),{"Jan","Feb","Mar","Apr","May","Jun","Jul","Aug","Sep","Oct","Nov","Dec"},0),LEFT(TRIM(Raw_Export!B2583),2)))))</f>
        <v/>
      </c>
      <c r="C2583" s="36" t="str">
        <f aca="false">IF(Raw_Export!$A2583="","",IFERROR(VLOOKUP(LOWER(TRIM(Raw_Export!C2583)),Maps!$A$2:$B$20,2,FALSE()),"UNMAPPED"))</f>
        <v/>
      </c>
      <c r="D2583" s="36" t="str">
        <f aca="false">IF(Raw_Export!$A2583="","",IFERROR(VLOOKUP(LOWER(TRIM(Raw_Export!D2583)),Maps!$G$2:$I$80,2,FALSE()),"UNMAPPED"))</f>
        <v/>
      </c>
      <c r="E2583" s="36" t="str">
        <f aca="false">IF(Raw_Export!$A2583="","",IFERROR(VLOOKUP(LOWER(TRIM(Raw_Export!D2583)),Maps!$G$2:$I$80,3,FALSE()),"UNMAPPED"))</f>
        <v/>
      </c>
      <c r="F2583" s="36" t="str">
        <f aca="false">IF(Raw_Export!$A2583="","",IFERROR(VALUE(TRIM(Raw_Export!E2583)),0))</f>
        <v/>
      </c>
      <c r="G2583" s="38" t="str">
        <f aca="false">IF(Raw_Export!$A2583="","",IFERROR(VALUE(SUBSTITUTE(SUBSTITUTE(UPPER(TRIM(Raw_Export!F2583)),"KES",""),",","")),0))</f>
        <v/>
      </c>
      <c r="H2583" s="38" t="str">
        <f aca="false">IF(Raw_Export!$A2583="","",F2583*G2583)</f>
        <v/>
      </c>
      <c r="I2583" s="36" t="str">
        <f aca="false">IF(Raw_Export!$A2583="","",IFERROR(VLOOKUP(LOWER(TRIM(Raw_Export!H2583)),Maps!$D$2:$E$12,2,FALSE()),"Other"))</f>
        <v/>
      </c>
      <c r="J2583" s="36" t="str">
        <f aca="false">IF(Raw_Export!$A2583="","",IF(COUNTIF($A$2:A2583,A2583)&gt;1,"Duplicate",""))</f>
        <v/>
      </c>
      <c r="K2583" s="36" t="str">
        <f aca="false">IF(Raw_Export!$A2583="","",IF(J2583="Duplicate","Duplicate",IF(OR(C2583="UNMAPPED",D2583="UNMAPPED"),"Unmapped",IF(F2583=0,"Blank qty",IF(F2583&lt;0,"Return","OK")))))</f>
        <v/>
      </c>
      <c r="L2583" s="36" t="str">
        <f aca="false">IF(Raw_Export!$A2583="","",IF(OR(K2583="OK",K2583="Return"),1,0))</f>
        <v/>
      </c>
      <c r="M2583" s="37" t="str">
        <f aca="false">IF(Raw_Export!$A2583="","",B2583-WEEKDAY(B2583,2)+1)</f>
        <v/>
      </c>
    </row>
    <row r="2584" customFormat="false" ht="15" hidden="false" customHeight="false" outlineLevel="0" collapsed="false">
      <c r="A2584" s="36" t="str">
        <f aca="false">IF(Raw_Export!$A2584="","",TRIM(Raw_Export!A2584))</f>
        <v/>
      </c>
      <c r="B2584" s="37" t="str">
        <f aca="false">IF(Raw_Export!$A2584="","",IF(ISNUMBER(Raw_Export!B2584),Raw_Export!B2584,IF(MID(TRIM(Raw_Export!B2584),5,1)="-",DATE(LEFT(TRIM(Raw_Export!B2584),4),MID(TRIM(Raw_Export!B2584),6,2),RIGHT(TRIM(Raw_Export!B2584),2)),DATE(RIGHT(TRIM(Raw_Export!B2584),4),MATCH(MID(TRIM(Raw_Export!B2584),4,3),{"Jan","Feb","Mar","Apr","May","Jun","Jul","Aug","Sep","Oct","Nov","Dec"},0),LEFT(TRIM(Raw_Export!B2584),2)))))</f>
        <v/>
      </c>
      <c r="C2584" s="36" t="str">
        <f aca="false">IF(Raw_Export!$A2584="","",IFERROR(VLOOKUP(LOWER(TRIM(Raw_Export!C2584)),Maps!$A$2:$B$20,2,FALSE()),"UNMAPPED"))</f>
        <v/>
      </c>
      <c r="D2584" s="36" t="str">
        <f aca="false">IF(Raw_Export!$A2584="","",IFERROR(VLOOKUP(LOWER(TRIM(Raw_Export!D2584)),Maps!$G$2:$I$80,2,FALSE()),"UNMAPPED"))</f>
        <v/>
      </c>
      <c r="E2584" s="36" t="str">
        <f aca="false">IF(Raw_Export!$A2584="","",IFERROR(VLOOKUP(LOWER(TRIM(Raw_Export!D2584)),Maps!$G$2:$I$80,3,FALSE()),"UNMAPPED"))</f>
        <v/>
      </c>
      <c r="F2584" s="36" t="str">
        <f aca="false">IF(Raw_Export!$A2584="","",IFERROR(VALUE(TRIM(Raw_Export!E2584)),0))</f>
        <v/>
      </c>
      <c r="G2584" s="38" t="str">
        <f aca="false">IF(Raw_Export!$A2584="","",IFERROR(VALUE(SUBSTITUTE(SUBSTITUTE(UPPER(TRIM(Raw_Export!F2584)),"KES",""),",","")),0))</f>
        <v/>
      </c>
      <c r="H2584" s="38" t="str">
        <f aca="false">IF(Raw_Export!$A2584="","",F2584*G2584)</f>
        <v/>
      </c>
      <c r="I2584" s="36" t="str">
        <f aca="false">IF(Raw_Export!$A2584="","",IFERROR(VLOOKUP(LOWER(TRIM(Raw_Export!H2584)),Maps!$D$2:$E$12,2,FALSE()),"Other"))</f>
        <v/>
      </c>
      <c r="J2584" s="36" t="str">
        <f aca="false">IF(Raw_Export!$A2584="","",IF(COUNTIF($A$2:A2584,A2584)&gt;1,"Duplicate",""))</f>
        <v/>
      </c>
      <c r="K2584" s="36" t="str">
        <f aca="false">IF(Raw_Export!$A2584="","",IF(J2584="Duplicate","Duplicate",IF(OR(C2584="UNMAPPED",D2584="UNMAPPED"),"Unmapped",IF(F2584=0,"Blank qty",IF(F2584&lt;0,"Return","OK")))))</f>
        <v/>
      </c>
      <c r="L2584" s="36" t="str">
        <f aca="false">IF(Raw_Export!$A2584="","",IF(OR(K2584="OK",K2584="Return"),1,0))</f>
        <v/>
      </c>
      <c r="M2584" s="37" t="str">
        <f aca="false">IF(Raw_Export!$A2584="","",B2584-WEEKDAY(B2584,2)+1)</f>
        <v/>
      </c>
    </row>
    <row r="2585" customFormat="false" ht="15" hidden="false" customHeight="false" outlineLevel="0" collapsed="false">
      <c r="A2585" s="36" t="str">
        <f aca="false">IF(Raw_Export!$A2585="","",TRIM(Raw_Export!A2585))</f>
        <v/>
      </c>
      <c r="B2585" s="37" t="str">
        <f aca="false">IF(Raw_Export!$A2585="","",IF(ISNUMBER(Raw_Export!B2585),Raw_Export!B2585,IF(MID(TRIM(Raw_Export!B2585),5,1)="-",DATE(LEFT(TRIM(Raw_Export!B2585),4),MID(TRIM(Raw_Export!B2585),6,2),RIGHT(TRIM(Raw_Export!B2585),2)),DATE(RIGHT(TRIM(Raw_Export!B2585),4),MATCH(MID(TRIM(Raw_Export!B2585),4,3),{"Jan","Feb","Mar","Apr","May","Jun","Jul","Aug","Sep","Oct","Nov","Dec"},0),LEFT(TRIM(Raw_Export!B2585),2)))))</f>
        <v/>
      </c>
      <c r="C2585" s="36" t="str">
        <f aca="false">IF(Raw_Export!$A2585="","",IFERROR(VLOOKUP(LOWER(TRIM(Raw_Export!C2585)),Maps!$A$2:$B$20,2,FALSE()),"UNMAPPED"))</f>
        <v/>
      </c>
      <c r="D2585" s="36" t="str">
        <f aca="false">IF(Raw_Export!$A2585="","",IFERROR(VLOOKUP(LOWER(TRIM(Raw_Export!D2585)),Maps!$G$2:$I$80,2,FALSE()),"UNMAPPED"))</f>
        <v/>
      </c>
      <c r="E2585" s="36" t="str">
        <f aca="false">IF(Raw_Export!$A2585="","",IFERROR(VLOOKUP(LOWER(TRIM(Raw_Export!D2585)),Maps!$G$2:$I$80,3,FALSE()),"UNMAPPED"))</f>
        <v/>
      </c>
      <c r="F2585" s="36" t="str">
        <f aca="false">IF(Raw_Export!$A2585="","",IFERROR(VALUE(TRIM(Raw_Export!E2585)),0))</f>
        <v/>
      </c>
      <c r="G2585" s="38" t="str">
        <f aca="false">IF(Raw_Export!$A2585="","",IFERROR(VALUE(SUBSTITUTE(SUBSTITUTE(UPPER(TRIM(Raw_Export!F2585)),"KES",""),",","")),0))</f>
        <v/>
      </c>
      <c r="H2585" s="38" t="str">
        <f aca="false">IF(Raw_Export!$A2585="","",F2585*G2585)</f>
        <v/>
      </c>
      <c r="I2585" s="36" t="str">
        <f aca="false">IF(Raw_Export!$A2585="","",IFERROR(VLOOKUP(LOWER(TRIM(Raw_Export!H2585)),Maps!$D$2:$E$12,2,FALSE()),"Other"))</f>
        <v/>
      </c>
      <c r="J2585" s="36" t="str">
        <f aca="false">IF(Raw_Export!$A2585="","",IF(COUNTIF($A$2:A2585,A2585)&gt;1,"Duplicate",""))</f>
        <v/>
      </c>
      <c r="K2585" s="36" t="str">
        <f aca="false">IF(Raw_Export!$A2585="","",IF(J2585="Duplicate","Duplicate",IF(OR(C2585="UNMAPPED",D2585="UNMAPPED"),"Unmapped",IF(F2585=0,"Blank qty",IF(F2585&lt;0,"Return","OK")))))</f>
        <v/>
      </c>
      <c r="L2585" s="36" t="str">
        <f aca="false">IF(Raw_Export!$A2585="","",IF(OR(K2585="OK",K2585="Return"),1,0))</f>
        <v/>
      </c>
      <c r="M2585" s="37" t="str">
        <f aca="false">IF(Raw_Export!$A2585="","",B2585-WEEKDAY(B2585,2)+1)</f>
        <v/>
      </c>
    </row>
    <row r="2586" customFormat="false" ht="15" hidden="false" customHeight="false" outlineLevel="0" collapsed="false">
      <c r="A2586" s="36" t="str">
        <f aca="false">IF(Raw_Export!$A2586="","",TRIM(Raw_Export!A2586))</f>
        <v/>
      </c>
      <c r="B2586" s="37" t="str">
        <f aca="false">IF(Raw_Export!$A2586="","",IF(ISNUMBER(Raw_Export!B2586),Raw_Export!B2586,IF(MID(TRIM(Raw_Export!B2586),5,1)="-",DATE(LEFT(TRIM(Raw_Export!B2586),4),MID(TRIM(Raw_Export!B2586),6,2),RIGHT(TRIM(Raw_Export!B2586),2)),DATE(RIGHT(TRIM(Raw_Export!B2586),4),MATCH(MID(TRIM(Raw_Export!B2586),4,3),{"Jan","Feb","Mar","Apr","May","Jun","Jul","Aug","Sep","Oct","Nov","Dec"},0),LEFT(TRIM(Raw_Export!B2586),2)))))</f>
        <v/>
      </c>
      <c r="C2586" s="36" t="str">
        <f aca="false">IF(Raw_Export!$A2586="","",IFERROR(VLOOKUP(LOWER(TRIM(Raw_Export!C2586)),Maps!$A$2:$B$20,2,FALSE()),"UNMAPPED"))</f>
        <v/>
      </c>
      <c r="D2586" s="36" t="str">
        <f aca="false">IF(Raw_Export!$A2586="","",IFERROR(VLOOKUP(LOWER(TRIM(Raw_Export!D2586)),Maps!$G$2:$I$80,2,FALSE()),"UNMAPPED"))</f>
        <v/>
      </c>
      <c r="E2586" s="36" t="str">
        <f aca="false">IF(Raw_Export!$A2586="","",IFERROR(VLOOKUP(LOWER(TRIM(Raw_Export!D2586)),Maps!$G$2:$I$80,3,FALSE()),"UNMAPPED"))</f>
        <v/>
      </c>
      <c r="F2586" s="36" t="str">
        <f aca="false">IF(Raw_Export!$A2586="","",IFERROR(VALUE(TRIM(Raw_Export!E2586)),0))</f>
        <v/>
      </c>
      <c r="G2586" s="38" t="str">
        <f aca="false">IF(Raw_Export!$A2586="","",IFERROR(VALUE(SUBSTITUTE(SUBSTITUTE(UPPER(TRIM(Raw_Export!F2586)),"KES",""),",","")),0))</f>
        <v/>
      </c>
      <c r="H2586" s="38" t="str">
        <f aca="false">IF(Raw_Export!$A2586="","",F2586*G2586)</f>
        <v/>
      </c>
      <c r="I2586" s="36" t="str">
        <f aca="false">IF(Raw_Export!$A2586="","",IFERROR(VLOOKUP(LOWER(TRIM(Raw_Export!H2586)),Maps!$D$2:$E$12,2,FALSE()),"Other"))</f>
        <v/>
      </c>
      <c r="J2586" s="36" t="str">
        <f aca="false">IF(Raw_Export!$A2586="","",IF(COUNTIF($A$2:A2586,A2586)&gt;1,"Duplicate",""))</f>
        <v/>
      </c>
      <c r="K2586" s="36" t="str">
        <f aca="false">IF(Raw_Export!$A2586="","",IF(J2586="Duplicate","Duplicate",IF(OR(C2586="UNMAPPED",D2586="UNMAPPED"),"Unmapped",IF(F2586=0,"Blank qty",IF(F2586&lt;0,"Return","OK")))))</f>
        <v/>
      </c>
      <c r="L2586" s="36" t="str">
        <f aca="false">IF(Raw_Export!$A2586="","",IF(OR(K2586="OK",K2586="Return"),1,0))</f>
        <v/>
      </c>
      <c r="M2586" s="37" t="str">
        <f aca="false">IF(Raw_Export!$A2586="","",B2586-WEEKDAY(B2586,2)+1)</f>
        <v/>
      </c>
    </row>
    <row r="2587" customFormat="false" ht="15" hidden="false" customHeight="false" outlineLevel="0" collapsed="false">
      <c r="A2587" s="36" t="str">
        <f aca="false">IF(Raw_Export!$A2587="","",TRIM(Raw_Export!A2587))</f>
        <v/>
      </c>
      <c r="B2587" s="37" t="str">
        <f aca="false">IF(Raw_Export!$A2587="","",IF(ISNUMBER(Raw_Export!B2587),Raw_Export!B2587,IF(MID(TRIM(Raw_Export!B2587),5,1)="-",DATE(LEFT(TRIM(Raw_Export!B2587),4),MID(TRIM(Raw_Export!B2587),6,2),RIGHT(TRIM(Raw_Export!B2587),2)),DATE(RIGHT(TRIM(Raw_Export!B2587),4),MATCH(MID(TRIM(Raw_Export!B2587),4,3),{"Jan","Feb","Mar","Apr","May","Jun","Jul","Aug","Sep","Oct","Nov","Dec"},0),LEFT(TRIM(Raw_Export!B2587),2)))))</f>
        <v/>
      </c>
      <c r="C2587" s="36" t="str">
        <f aca="false">IF(Raw_Export!$A2587="","",IFERROR(VLOOKUP(LOWER(TRIM(Raw_Export!C2587)),Maps!$A$2:$B$20,2,FALSE()),"UNMAPPED"))</f>
        <v/>
      </c>
      <c r="D2587" s="36" t="str">
        <f aca="false">IF(Raw_Export!$A2587="","",IFERROR(VLOOKUP(LOWER(TRIM(Raw_Export!D2587)),Maps!$G$2:$I$80,2,FALSE()),"UNMAPPED"))</f>
        <v/>
      </c>
      <c r="E2587" s="36" t="str">
        <f aca="false">IF(Raw_Export!$A2587="","",IFERROR(VLOOKUP(LOWER(TRIM(Raw_Export!D2587)),Maps!$G$2:$I$80,3,FALSE()),"UNMAPPED"))</f>
        <v/>
      </c>
      <c r="F2587" s="36" t="str">
        <f aca="false">IF(Raw_Export!$A2587="","",IFERROR(VALUE(TRIM(Raw_Export!E2587)),0))</f>
        <v/>
      </c>
      <c r="G2587" s="38" t="str">
        <f aca="false">IF(Raw_Export!$A2587="","",IFERROR(VALUE(SUBSTITUTE(SUBSTITUTE(UPPER(TRIM(Raw_Export!F2587)),"KES",""),",","")),0))</f>
        <v/>
      </c>
      <c r="H2587" s="38" t="str">
        <f aca="false">IF(Raw_Export!$A2587="","",F2587*G2587)</f>
        <v/>
      </c>
      <c r="I2587" s="36" t="str">
        <f aca="false">IF(Raw_Export!$A2587="","",IFERROR(VLOOKUP(LOWER(TRIM(Raw_Export!H2587)),Maps!$D$2:$E$12,2,FALSE()),"Other"))</f>
        <v/>
      </c>
      <c r="J2587" s="36" t="str">
        <f aca="false">IF(Raw_Export!$A2587="","",IF(COUNTIF($A$2:A2587,A2587)&gt;1,"Duplicate",""))</f>
        <v/>
      </c>
      <c r="K2587" s="36" t="str">
        <f aca="false">IF(Raw_Export!$A2587="","",IF(J2587="Duplicate","Duplicate",IF(OR(C2587="UNMAPPED",D2587="UNMAPPED"),"Unmapped",IF(F2587=0,"Blank qty",IF(F2587&lt;0,"Return","OK")))))</f>
        <v/>
      </c>
      <c r="L2587" s="36" t="str">
        <f aca="false">IF(Raw_Export!$A2587="","",IF(OR(K2587="OK",K2587="Return"),1,0))</f>
        <v/>
      </c>
      <c r="M2587" s="37" t="str">
        <f aca="false">IF(Raw_Export!$A2587="","",B2587-WEEKDAY(B2587,2)+1)</f>
        <v/>
      </c>
    </row>
    <row r="2588" customFormat="false" ht="15" hidden="false" customHeight="false" outlineLevel="0" collapsed="false">
      <c r="A2588" s="36" t="str">
        <f aca="false">IF(Raw_Export!$A2588="","",TRIM(Raw_Export!A2588))</f>
        <v/>
      </c>
      <c r="B2588" s="37" t="str">
        <f aca="false">IF(Raw_Export!$A2588="","",IF(ISNUMBER(Raw_Export!B2588),Raw_Export!B2588,IF(MID(TRIM(Raw_Export!B2588),5,1)="-",DATE(LEFT(TRIM(Raw_Export!B2588),4),MID(TRIM(Raw_Export!B2588),6,2),RIGHT(TRIM(Raw_Export!B2588),2)),DATE(RIGHT(TRIM(Raw_Export!B2588),4),MATCH(MID(TRIM(Raw_Export!B2588),4,3),{"Jan","Feb","Mar","Apr","May","Jun","Jul","Aug","Sep","Oct","Nov","Dec"},0),LEFT(TRIM(Raw_Export!B2588),2)))))</f>
        <v/>
      </c>
      <c r="C2588" s="36" t="str">
        <f aca="false">IF(Raw_Export!$A2588="","",IFERROR(VLOOKUP(LOWER(TRIM(Raw_Export!C2588)),Maps!$A$2:$B$20,2,FALSE()),"UNMAPPED"))</f>
        <v/>
      </c>
      <c r="D2588" s="36" t="str">
        <f aca="false">IF(Raw_Export!$A2588="","",IFERROR(VLOOKUP(LOWER(TRIM(Raw_Export!D2588)),Maps!$G$2:$I$80,2,FALSE()),"UNMAPPED"))</f>
        <v/>
      </c>
      <c r="E2588" s="36" t="str">
        <f aca="false">IF(Raw_Export!$A2588="","",IFERROR(VLOOKUP(LOWER(TRIM(Raw_Export!D2588)),Maps!$G$2:$I$80,3,FALSE()),"UNMAPPED"))</f>
        <v/>
      </c>
      <c r="F2588" s="36" t="str">
        <f aca="false">IF(Raw_Export!$A2588="","",IFERROR(VALUE(TRIM(Raw_Export!E2588)),0))</f>
        <v/>
      </c>
      <c r="G2588" s="38" t="str">
        <f aca="false">IF(Raw_Export!$A2588="","",IFERROR(VALUE(SUBSTITUTE(SUBSTITUTE(UPPER(TRIM(Raw_Export!F2588)),"KES",""),",","")),0))</f>
        <v/>
      </c>
      <c r="H2588" s="38" t="str">
        <f aca="false">IF(Raw_Export!$A2588="","",F2588*G2588)</f>
        <v/>
      </c>
      <c r="I2588" s="36" t="str">
        <f aca="false">IF(Raw_Export!$A2588="","",IFERROR(VLOOKUP(LOWER(TRIM(Raw_Export!H2588)),Maps!$D$2:$E$12,2,FALSE()),"Other"))</f>
        <v/>
      </c>
      <c r="J2588" s="36" t="str">
        <f aca="false">IF(Raw_Export!$A2588="","",IF(COUNTIF($A$2:A2588,A2588)&gt;1,"Duplicate",""))</f>
        <v/>
      </c>
      <c r="K2588" s="36" t="str">
        <f aca="false">IF(Raw_Export!$A2588="","",IF(J2588="Duplicate","Duplicate",IF(OR(C2588="UNMAPPED",D2588="UNMAPPED"),"Unmapped",IF(F2588=0,"Blank qty",IF(F2588&lt;0,"Return","OK")))))</f>
        <v/>
      </c>
      <c r="L2588" s="36" t="str">
        <f aca="false">IF(Raw_Export!$A2588="","",IF(OR(K2588="OK",K2588="Return"),1,0))</f>
        <v/>
      </c>
      <c r="M2588" s="37" t="str">
        <f aca="false">IF(Raw_Export!$A2588="","",B2588-WEEKDAY(B2588,2)+1)</f>
        <v/>
      </c>
    </row>
    <row r="2589" customFormat="false" ht="15" hidden="false" customHeight="false" outlineLevel="0" collapsed="false">
      <c r="A2589" s="36" t="str">
        <f aca="false">IF(Raw_Export!$A2589="","",TRIM(Raw_Export!A2589))</f>
        <v/>
      </c>
      <c r="B2589" s="37" t="str">
        <f aca="false">IF(Raw_Export!$A2589="","",IF(ISNUMBER(Raw_Export!B2589),Raw_Export!B2589,IF(MID(TRIM(Raw_Export!B2589),5,1)="-",DATE(LEFT(TRIM(Raw_Export!B2589),4),MID(TRIM(Raw_Export!B2589),6,2),RIGHT(TRIM(Raw_Export!B2589),2)),DATE(RIGHT(TRIM(Raw_Export!B2589),4),MATCH(MID(TRIM(Raw_Export!B2589),4,3),{"Jan","Feb","Mar","Apr","May","Jun","Jul","Aug","Sep","Oct","Nov","Dec"},0),LEFT(TRIM(Raw_Export!B2589),2)))))</f>
        <v/>
      </c>
      <c r="C2589" s="36" t="str">
        <f aca="false">IF(Raw_Export!$A2589="","",IFERROR(VLOOKUP(LOWER(TRIM(Raw_Export!C2589)),Maps!$A$2:$B$20,2,FALSE()),"UNMAPPED"))</f>
        <v/>
      </c>
      <c r="D2589" s="36" t="str">
        <f aca="false">IF(Raw_Export!$A2589="","",IFERROR(VLOOKUP(LOWER(TRIM(Raw_Export!D2589)),Maps!$G$2:$I$80,2,FALSE()),"UNMAPPED"))</f>
        <v/>
      </c>
      <c r="E2589" s="36" t="str">
        <f aca="false">IF(Raw_Export!$A2589="","",IFERROR(VLOOKUP(LOWER(TRIM(Raw_Export!D2589)),Maps!$G$2:$I$80,3,FALSE()),"UNMAPPED"))</f>
        <v/>
      </c>
      <c r="F2589" s="36" t="str">
        <f aca="false">IF(Raw_Export!$A2589="","",IFERROR(VALUE(TRIM(Raw_Export!E2589)),0))</f>
        <v/>
      </c>
      <c r="G2589" s="38" t="str">
        <f aca="false">IF(Raw_Export!$A2589="","",IFERROR(VALUE(SUBSTITUTE(SUBSTITUTE(UPPER(TRIM(Raw_Export!F2589)),"KES",""),",","")),0))</f>
        <v/>
      </c>
      <c r="H2589" s="38" t="str">
        <f aca="false">IF(Raw_Export!$A2589="","",F2589*G2589)</f>
        <v/>
      </c>
      <c r="I2589" s="36" t="str">
        <f aca="false">IF(Raw_Export!$A2589="","",IFERROR(VLOOKUP(LOWER(TRIM(Raw_Export!H2589)),Maps!$D$2:$E$12,2,FALSE()),"Other"))</f>
        <v/>
      </c>
      <c r="J2589" s="36" t="str">
        <f aca="false">IF(Raw_Export!$A2589="","",IF(COUNTIF($A$2:A2589,A2589)&gt;1,"Duplicate",""))</f>
        <v/>
      </c>
      <c r="K2589" s="36" t="str">
        <f aca="false">IF(Raw_Export!$A2589="","",IF(J2589="Duplicate","Duplicate",IF(OR(C2589="UNMAPPED",D2589="UNMAPPED"),"Unmapped",IF(F2589=0,"Blank qty",IF(F2589&lt;0,"Return","OK")))))</f>
        <v/>
      </c>
      <c r="L2589" s="36" t="str">
        <f aca="false">IF(Raw_Export!$A2589="","",IF(OR(K2589="OK",K2589="Return"),1,0))</f>
        <v/>
      </c>
      <c r="M2589" s="37" t="str">
        <f aca="false">IF(Raw_Export!$A2589="","",B2589-WEEKDAY(B2589,2)+1)</f>
        <v/>
      </c>
    </row>
    <row r="2590" customFormat="false" ht="15" hidden="false" customHeight="false" outlineLevel="0" collapsed="false">
      <c r="A2590" s="36" t="str">
        <f aca="false">IF(Raw_Export!$A2590="","",TRIM(Raw_Export!A2590))</f>
        <v/>
      </c>
      <c r="B2590" s="37" t="str">
        <f aca="false">IF(Raw_Export!$A2590="","",IF(ISNUMBER(Raw_Export!B2590),Raw_Export!B2590,IF(MID(TRIM(Raw_Export!B2590),5,1)="-",DATE(LEFT(TRIM(Raw_Export!B2590),4),MID(TRIM(Raw_Export!B2590),6,2),RIGHT(TRIM(Raw_Export!B2590),2)),DATE(RIGHT(TRIM(Raw_Export!B2590),4),MATCH(MID(TRIM(Raw_Export!B2590),4,3),{"Jan","Feb","Mar","Apr","May","Jun","Jul","Aug","Sep","Oct","Nov","Dec"},0),LEFT(TRIM(Raw_Export!B2590),2)))))</f>
        <v/>
      </c>
      <c r="C2590" s="36" t="str">
        <f aca="false">IF(Raw_Export!$A2590="","",IFERROR(VLOOKUP(LOWER(TRIM(Raw_Export!C2590)),Maps!$A$2:$B$20,2,FALSE()),"UNMAPPED"))</f>
        <v/>
      </c>
      <c r="D2590" s="36" t="str">
        <f aca="false">IF(Raw_Export!$A2590="","",IFERROR(VLOOKUP(LOWER(TRIM(Raw_Export!D2590)),Maps!$G$2:$I$80,2,FALSE()),"UNMAPPED"))</f>
        <v/>
      </c>
      <c r="E2590" s="36" t="str">
        <f aca="false">IF(Raw_Export!$A2590="","",IFERROR(VLOOKUP(LOWER(TRIM(Raw_Export!D2590)),Maps!$G$2:$I$80,3,FALSE()),"UNMAPPED"))</f>
        <v/>
      </c>
      <c r="F2590" s="36" t="str">
        <f aca="false">IF(Raw_Export!$A2590="","",IFERROR(VALUE(TRIM(Raw_Export!E2590)),0))</f>
        <v/>
      </c>
      <c r="G2590" s="38" t="str">
        <f aca="false">IF(Raw_Export!$A2590="","",IFERROR(VALUE(SUBSTITUTE(SUBSTITUTE(UPPER(TRIM(Raw_Export!F2590)),"KES",""),",","")),0))</f>
        <v/>
      </c>
      <c r="H2590" s="38" t="str">
        <f aca="false">IF(Raw_Export!$A2590="","",F2590*G2590)</f>
        <v/>
      </c>
      <c r="I2590" s="36" t="str">
        <f aca="false">IF(Raw_Export!$A2590="","",IFERROR(VLOOKUP(LOWER(TRIM(Raw_Export!H2590)),Maps!$D$2:$E$12,2,FALSE()),"Other"))</f>
        <v/>
      </c>
      <c r="J2590" s="36" t="str">
        <f aca="false">IF(Raw_Export!$A2590="","",IF(COUNTIF($A$2:A2590,A2590)&gt;1,"Duplicate",""))</f>
        <v/>
      </c>
      <c r="K2590" s="36" t="str">
        <f aca="false">IF(Raw_Export!$A2590="","",IF(J2590="Duplicate","Duplicate",IF(OR(C2590="UNMAPPED",D2590="UNMAPPED"),"Unmapped",IF(F2590=0,"Blank qty",IF(F2590&lt;0,"Return","OK")))))</f>
        <v/>
      </c>
      <c r="L2590" s="36" t="str">
        <f aca="false">IF(Raw_Export!$A2590="","",IF(OR(K2590="OK",K2590="Return"),1,0))</f>
        <v/>
      </c>
      <c r="M2590" s="37" t="str">
        <f aca="false">IF(Raw_Export!$A2590="","",B2590-WEEKDAY(B2590,2)+1)</f>
        <v/>
      </c>
    </row>
    <row r="2591" customFormat="false" ht="15" hidden="false" customHeight="false" outlineLevel="0" collapsed="false">
      <c r="A2591" s="36" t="str">
        <f aca="false">IF(Raw_Export!$A2591="","",TRIM(Raw_Export!A2591))</f>
        <v/>
      </c>
      <c r="B2591" s="37" t="str">
        <f aca="false">IF(Raw_Export!$A2591="","",IF(ISNUMBER(Raw_Export!B2591),Raw_Export!B2591,IF(MID(TRIM(Raw_Export!B2591),5,1)="-",DATE(LEFT(TRIM(Raw_Export!B2591),4),MID(TRIM(Raw_Export!B2591),6,2),RIGHT(TRIM(Raw_Export!B2591),2)),DATE(RIGHT(TRIM(Raw_Export!B2591),4),MATCH(MID(TRIM(Raw_Export!B2591),4,3),{"Jan","Feb","Mar","Apr","May","Jun","Jul","Aug","Sep","Oct","Nov","Dec"},0),LEFT(TRIM(Raw_Export!B2591),2)))))</f>
        <v/>
      </c>
      <c r="C2591" s="36" t="str">
        <f aca="false">IF(Raw_Export!$A2591="","",IFERROR(VLOOKUP(LOWER(TRIM(Raw_Export!C2591)),Maps!$A$2:$B$20,2,FALSE()),"UNMAPPED"))</f>
        <v/>
      </c>
      <c r="D2591" s="36" t="str">
        <f aca="false">IF(Raw_Export!$A2591="","",IFERROR(VLOOKUP(LOWER(TRIM(Raw_Export!D2591)),Maps!$G$2:$I$80,2,FALSE()),"UNMAPPED"))</f>
        <v/>
      </c>
      <c r="E2591" s="36" t="str">
        <f aca="false">IF(Raw_Export!$A2591="","",IFERROR(VLOOKUP(LOWER(TRIM(Raw_Export!D2591)),Maps!$G$2:$I$80,3,FALSE()),"UNMAPPED"))</f>
        <v/>
      </c>
      <c r="F2591" s="36" t="str">
        <f aca="false">IF(Raw_Export!$A2591="","",IFERROR(VALUE(TRIM(Raw_Export!E2591)),0))</f>
        <v/>
      </c>
      <c r="G2591" s="38" t="str">
        <f aca="false">IF(Raw_Export!$A2591="","",IFERROR(VALUE(SUBSTITUTE(SUBSTITUTE(UPPER(TRIM(Raw_Export!F2591)),"KES",""),",","")),0))</f>
        <v/>
      </c>
      <c r="H2591" s="38" t="str">
        <f aca="false">IF(Raw_Export!$A2591="","",F2591*G2591)</f>
        <v/>
      </c>
      <c r="I2591" s="36" t="str">
        <f aca="false">IF(Raw_Export!$A2591="","",IFERROR(VLOOKUP(LOWER(TRIM(Raw_Export!H2591)),Maps!$D$2:$E$12,2,FALSE()),"Other"))</f>
        <v/>
      </c>
      <c r="J2591" s="36" t="str">
        <f aca="false">IF(Raw_Export!$A2591="","",IF(COUNTIF($A$2:A2591,A2591)&gt;1,"Duplicate",""))</f>
        <v/>
      </c>
      <c r="K2591" s="36" t="str">
        <f aca="false">IF(Raw_Export!$A2591="","",IF(J2591="Duplicate","Duplicate",IF(OR(C2591="UNMAPPED",D2591="UNMAPPED"),"Unmapped",IF(F2591=0,"Blank qty",IF(F2591&lt;0,"Return","OK")))))</f>
        <v/>
      </c>
      <c r="L2591" s="36" t="str">
        <f aca="false">IF(Raw_Export!$A2591="","",IF(OR(K2591="OK",K2591="Return"),1,0))</f>
        <v/>
      </c>
      <c r="M2591" s="37" t="str">
        <f aca="false">IF(Raw_Export!$A2591="","",B2591-WEEKDAY(B2591,2)+1)</f>
        <v/>
      </c>
    </row>
    <row r="2592" customFormat="false" ht="15" hidden="false" customHeight="false" outlineLevel="0" collapsed="false">
      <c r="A2592" s="36" t="str">
        <f aca="false">IF(Raw_Export!$A2592="","",TRIM(Raw_Export!A2592))</f>
        <v/>
      </c>
      <c r="B2592" s="37" t="str">
        <f aca="false">IF(Raw_Export!$A2592="","",IF(ISNUMBER(Raw_Export!B2592),Raw_Export!B2592,IF(MID(TRIM(Raw_Export!B2592),5,1)="-",DATE(LEFT(TRIM(Raw_Export!B2592),4),MID(TRIM(Raw_Export!B2592),6,2),RIGHT(TRIM(Raw_Export!B2592),2)),DATE(RIGHT(TRIM(Raw_Export!B2592),4),MATCH(MID(TRIM(Raw_Export!B2592),4,3),{"Jan","Feb","Mar","Apr","May","Jun","Jul","Aug","Sep","Oct","Nov","Dec"},0),LEFT(TRIM(Raw_Export!B2592),2)))))</f>
        <v/>
      </c>
      <c r="C2592" s="36" t="str">
        <f aca="false">IF(Raw_Export!$A2592="","",IFERROR(VLOOKUP(LOWER(TRIM(Raw_Export!C2592)),Maps!$A$2:$B$20,2,FALSE()),"UNMAPPED"))</f>
        <v/>
      </c>
      <c r="D2592" s="36" t="str">
        <f aca="false">IF(Raw_Export!$A2592="","",IFERROR(VLOOKUP(LOWER(TRIM(Raw_Export!D2592)),Maps!$G$2:$I$80,2,FALSE()),"UNMAPPED"))</f>
        <v/>
      </c>
      <c r="E2592" s="36" t="str">
        <f aca="false">IF(Raw_Export!$A2592="","",IFERROR(VLOOKUP(LOWER(TRIM(Raw_Export!D2592)),Maps!$G$2:$I$80,3,FALSE()),"UNMAPPED"))</f>
        <v/>
      </c>
      <c r="F2592" s="36" t="str">
        <f aca="false">IF(Raw_Export!$A2592="","",IFERROR(VALUE(TRIM(Raw_Export!E2592)),0))</f>
        <v/>
      </c>
      <c r="G2592" s="38" t="str">
        <f aca="false">IF(Raw_Export!$A2592="","",IFERROR(VALUE(SUBSTITUTE(SUBSTITUTE(UPPER(TRIM(Raw_Export!F2592)),"KES",""),",","")),0))</f>
        <v/>
      </c>
      <c r="H2592" s="38" t="str">
        <f aca="false">IF(Raw_Export!$A2592="","",F2592*G2592)</f>
        <v/>
      </c>
      <c r="I2592" s="36" t="str">
        <f aca="false">IF(Raw_Export!$A2592="","",IFERROR(VLOOKUP(LOWER(TRIM(Raw_Export!H2592)),Maps!$D$2:$E$12,2,FALSE()),"Other"))</f>
        <v/>
      </c>
      <c r="J2592" s="36" t="str">
        <f aca="false">IF(Raw_Export!$A2592="","",IF(COUNTIF($A$2:A2592,A2592)&gt;1,"Duplicate",""))</f>
        <v/>
      </c>
      <c r="K2592" s="36" t="str">
        <f aca="false">IF(Raw_Export!$A2592="","",IF(J2592="Duplicate","Duplicate",IF(OR(C2592="UNMAPPED",D2592="UNMAPPED"),"Unmapped",IF(F2592=0,"Blank qty",IF(F2592&lt;0,"Return","OK")))))</f>
        <v/>
      </c>
      <c r="L2592" s="36" t="str">
        <f aca="false">IF(Raw_Export!$A2592="","",IF(OR(K2592="OK",K2592="Return"),1,0))</f>
        <v/>
      </c>
      <c r="M2592" s="37" t="str">
        <f aca="false">IF(Raw_Export!$A2592="","",B2592-WEEKDAY(B2592,2)+1)</f>
        <v/>
      </c>
    </row>
    <row r="2593" customFormat="false" ht="15" hidden="false" customHeight="false" outlineLevel="0" collapsed="false">
      <c r="A2593" s="36" t="str">
        <f aca="false">IF(Raw_Export!$A2593="","",TRIM(Raw_Export!A2593))</f>
        <v/>
      </c>
      <c r="B2593" s="37" t="str">
        <f aca="false">IF(Raw_Export!$A2593="","",IF(ISNUMBER(Raw_Export!B2593),Raw_Export!B2593,IF(MID(TRIM(Raw_Export!B2593),5,1)="-",DATE(LEFT(TRIM(Raw_Export!B2593),4),MID(TRIM(Raw_Export!B2593),6,2),RIGHT(TRIM(Raw_Export!B2593),2)),DATE(RIGHT(TRIM(Raw_Export!B2593),4),MATCH(MID(TRIM(Raw_Export!B2593),4,3),{"Jan","Feb","Mar","Apr","May","Jun","Jul","Aug","Sep","Oct","Nov","Dec"},0),LEFT(TRIM(Raw_Export!B2593),2)))))</f>
        <v/>
      </c>
      <c r="C2593" s="36" t="str">
        <f aca="false">IF(Raw_Export!$A2593="","",IFERROR(VLOOKUP(LOWER(TRIM(Raw_Export!C2593)),Maps!$A$2:$B$20,2,FALSE()),"UNMAPPED"))</f>
        <v/>
      </c>
      <c r="D2593" s="36" t="str">
        <f aca="false">IF(Raw_Export!$A2593="","",IFERROR(VLOOKUP(LOWER(TRIM(Raw_Export!D2593)),Maps!$G$2:$I$80,2,FALSE()),"UNMAPPED"))</f>
        <v/>
      </c>
      <c r="E2593" s="36" t="str">
        <f aca="false">IF(Raw_Export!$A2593="","",IFERROR(VLOOKUP(LOWER(TRIM(Raw_Export!D2593)),Maps!$G$2:$I$80,3,FALSE()),"UNMAPPED"))</f>
        <v/>
      </c>
      <c r="F2593" s="36" t="str">
        <f aca="false">IF(Raw_Export!$A2593="","",IFERROR(VALUE(TRIM(Raw_Export!E2593)),0))</f>
        <v/>
      </c>
      <c r="G2593" s="38" t="str">
        <f aca="false">IF(Raw_Export!$A2593="","",IFERROR(VALUE(SUBSTITUTE(SUBSTITUTE(UPPER(TRIM(Raw_Export!F2593)),"KES",""),",","")),0))</f>
        <v/>
      </c>
      <c r="H2593" s="38" t="str">
        <f aca="false">IF(Raw_Export!$A2593="","",F2593*G2593)</f>
        <v/>
      </c>
      <c r="I2593" s="36" t="str">
        <f aca="false">IF(Raw_Export!$A2593="","",IFERROR(VLOOKUP(LOWER(TRIM(Raw_Export!H2593)),Maps!$D$2:$E$12,2,FALSE()),"Other"))</f>
        <v/>
      </c>
      <c r="J2593" s="36" t="str">
        <f aca="false">IF(Raw_Export!$A2593="","",IF(COUNTIF($A$2:A2593,A2593)&gt;1,"Duplicate",""))</f>
        <v/>
      </c>
      <c r="K2593" s="36" t="str">
        <f aca="false">IF(Raw_Export!$A2593="","",IF(J2593="Duplicate","Duplicate",IF(OR(C2593="UNMAPPED",D2593="UNMAPPED"),"Unmapped",IF(F2593=0,"Blank qty",IF(F2593&lt;0,"Return","OK")))))</f>
        <v/>
      </c>
      <c r="L2593" s="36" t="str">
        <f aca="false">IF(Raw_Export!$A2593="","",IF(OR(K2593="OK",K2593="Return"),1,0))</f>
        <v/>
      </c>
      <c r="M2593" s="37" t="str">
        <f aca="false">IF(Raw_Export!$A2593="","",B2593-WEEKDAY(B2593,2)+1)</f>
        <v/>
      </c>
    </row>
    <row r="2594" customFormat="false" ht="15" hidden="false" customHeight="false" outlineLevel="0" collapsed="false">
      <c r="A2594" s="36" t="str">
        <f aca="false">IF(Raw_Export!$A2594="","",TRIM(Raw_Export!A2594))</f>
        <v/>
      </c>
      <c r="B2594" s="37" t="str">
        <f aca="false">IF(Raw_Export!$A2594="","",IF(ISNUMBER(Raw_Export!B2594),Raw_Export!B2594,IF(MID(TRIM(Raw_Export!B2594),5,1)="-",DATE(LEFT(TRIM(Raw_Export!B2594),4),MID(TRIM(Raw_Export!B2594),6,2),RIGHT(TRIM(Raw_Export!B2594),2)),DATE(RIGHT(TRIM(Raw_Export!B2594),4),MATCH(MID(TRIM(Raw_Export!B2594),4,3),{"Jan","Feb","Mar","Apr","May","Jun","Jul","Aug","Sep","Oct","Nov","Dec"},0),LEFT(TRIM(Raw_Export!B2594),2)))))</f>
        <v/>
      </c>
      <c r="C2594" s="36" t="str">
        <f aca="false">IF(Raw_Export!$A2594="","",IFERROR(VLOOKUP(LOWER(TRIM(Raw_Export!C2594)),Maps!$A$2:$B$20,2,FALSE()),"UNMAPPED"))</f>
        <v/>
      </c>
      <c r="D2594" s="36" t="str">
        <f aca="false">IF(Raw_Export!$A2594="","",IFERROR(VLOOKUP(LOWER(TRIM(Raw_Export!D2594)),Maps!$G$2:$I$80,2,FALSE()),"UNMAPPED"))</f>
        <v/>
      </c>
      <c r="E2594" s="36" t="str">
        <f aca="false">IF(Raw_Export!$A2594="","",IFERROR(VLOOKUP(LOWER(TRIM(Raw_Export!D2594)),Maps!$G$2:$I$80,3,FALSE()),"UNMAPPED"))</f>
        <v/>
      </c>
      <c r="F2594" s="36" t="str">
        <f aca="false">IF(Raw_Export!$A2594="","",IFERROR(VALUE(TRIM(Raw_Export!E2594)),0))</f>
        <v/>
      </c>
      <c r="G2594" s="38" t="str">
        <f aca="false">IF(Raw_Export!$A2594="","",IFERROR(VALUE(SUBSTITUTE(SUBSTITUTE(UPPER(TRIM(Raw_Export!F2594)),"KES",""),",","")),0))</f>
        <v/>
      </c>
      <c r="H2594" s="38" t="str">
        <f aca="false">IF(Raw_Export!$A2594="","",F2594*G2594)</f>
        <v/>
      </c>
      <c r="I2594" s="36" t="str">
        <f aca="false">IF(Raw_Export!$A2594="","",IFERROR(VLOOKUP(LOWER(TRIM(Raw_Export!H2594)),Maps!$D$2:$E$12,2,FALSE()),"Other"))</f>
        <v/>
      </c>
      <c r="J2594" s="36" t="str">
        <f aca="false">IF(Raw_Export!$A2594="","",IF(COUNTIF($A$2:A2594,A2594)&gt;1,"Duplicate",""))</f>
        <v/>
      </c>
      <c r="K2594" s="36" t="str">
        <f aca="false">IF(Raw_Export!$A2594="","",IF(J2594="Duplicate","Duplicate",IF(OR(C2594="UNMAPPED",D2594="UNMAPPED"),"Unmapped",IF(F2594=0,"Blank qty",IF(F2594&lt;0,"Return","OK")))))</f>
        <v/>
      </c>
      <c r="L2594" s="36" t="str">
        <f aca="false">IF(Raw_Export!$A2594="","",IF(OR(K2594="OK",K2594="Return"),1,0))</f>
        <v/>
      </c>
      <c r="M2594" s="37" t="str">
        <f aca="false">IF(Raw_Export!$A2594="","",B2594-WEEKDAY(B2594,2)+1)</f>
        <v/>
      </c>
    </row>
    <row r="2595" customFormat="false" ht="15" hidden="false" customHeight="false" outlineLevel="0" collapsed="false">
      <c r="A2595" s="36" t="str">
        <f aca="false">IF(Raw_Export!$A2595="","",TRIM(Raw_Export!A2595))</f>
        <v/>
      </c>
      <c r="B2595" s="37" t="str">
        <f aca="false">IF(Raw_Export!$A2595="","",IF(ISNUMBER(Raw_Export!B2595),Raw_Export!B2595,IF(MID(TRIM(Raw_Export!B2595),5,1)="-",DATE(LEFT(TRIM(Raw_Export!B2595),4),MID(TRIM(Raw_Export!B2595),6,2),RIGHT(TRIM(Raw_Export!B2595),2)),DATE(RIGHT(TRIM(Raw_Export!B2595),4),MATCH(MID(TRIM(Raw_Export!B2595),4,3),{"Jan","Feb","Mar","Apr","May","Jun","Jul","Aug","Sep","Oct","Nov","Dec"},0),LEFT(TRIM(Raw_Export!B2595),2)))))</f>
        <v/>
      </c>
      <c r="C2595" s="36" t="str">
        <f aca="false">IF(Raw_Export!$A2595="","",IFERROR(VLOOKUP(LOWER(TRIM(Raw_Export!C2595)),Maps!$A$2:$B$20,2,FALSE()),"UNMAPPED"))</f>
        <v/>
      </c>
      <c r="D2595" s="36" t="str">
        <f aca="false">IF(Raw_Export!$A2595="","",IFERROR(VLOOKUP(LOWER(TRIM(Raw_Export!D2595)),Maps!$G$2:$I$80,2,FALSE()),"UNMAPPED"))</f>
        <v/>
      </c>
      <c r="E2595" s="36" t="str">
        <f aca="false">IF(Raw_Export!$A2595="","",IFERROR(VLOOKUP(LOWER(TRIM(Raw_Export!D2595)),Maps!$G$2:$I$80,3,FALSE()),"UNMAPPED"))</f>
        <v/>
      </c>
      <c r="F2595" s="36" t="str">
        <f aca="false">IF(Raw_Export!$A2595="","",IFERROR(VALUE(TRIM(Raw_Export!E2595)),0))</f>
        <v/>
      </c>
      <c r="G2595" s="38" t="str">
        <f aca="false">IF(Raw_Export!$A2595="","",IFERROR(VALUE(SUBSTITUTE(SUBSTITUTE(UPPER(TRIM(Raw_Export!F2595)),"KES",""),",","")),0))</f>
        <v/>
      </c>
      <c r="H2595" s="38" t="str">
        <f aca="false">IF(Raw_Export!$A2595="","",F2595*G2595)</f>
        <v/>
      </c>
      <c r="I2595" s="36" t="str">
        <f aca="false">IF(Raw_Export!$A2595="","",IFERROR(VLOOKUP(LOWER(TRIM(Raw_Export!H2595)),Maps!$D$2:$E$12,2,FALSE()),"Other"))</f>
        <v/>
      </c>
      <c r="J2595" s="36" t="str">
        <f aca="false">IF(Raw_Export!$A2595="","",IF(COUNTIF($A$2:A2595,A2595)&gt;1,"Duplicate",""))</f>
        <v/>
      </c>
      <c r="K2595" s="36" t="str">
        <f aca="false">IF(Raw_Export!$A2595="","",IF(J2595="Duplicate","Duplicate",IF(OR(C2595="UNMAPPED",D2595="UNMAPPED"),"Unmapped",IF(F2595=0,"Blank qty",IF(F2595&lt;0,"Return","OK")))))</f>
        <v/>
      </c>
      <c r="L2595" s="36" t="str">
        <f aca="false">IF(Raw_Export!$A2595="","",IF(OR(K2595="OK",K2595="Return"),1,0))</f>
        <v/>
      </c>
      <c r="M2595" s="37" t="str">
        <f aca="false">IF(Raw_Export!$A2595="","",B2595-WEEKDAY(B2595,2)+1)</f>
        <v/>
      </c>
    </row>
    <row r="2596" customFormat="false" ht="15" hidden="false" customHeight="false" outlineLevel="0" collapsed="false">
      <c r="A2596" s="36" t="str">
        <f aca="false">IF(Raw_Export!$A2596="","",TRIM(Raw_Export!A2596))</f>
        <v/>
      </c>
      <c r="B2596" s="37" t="str">
        <f aca="false">IF(Raw_Export!$A2596="","",IF(ISNUMBER(Raw_Export!B2596),Raw_Export!B2596,IF(MID(TRIM(Raw_Export!B2596),5,1)="-",DATE(LEFT(TRIM(Raw_Export!B2596),4),MID(TRIM(Raw_Export!B2596),6,2),RIGHT(TRIM(Raw_Export!B2596),2)),DATE(RIGHT(TRIM(Raw_Export!B2596),4),MATCH(MID(TRIM(Raw_Export!B2596),4,3),{"Jan","Feb","Mar","Apr","May","Jun","Jul","Aug","Sep","Oct","Nov","Dec"},0),LEFT(TRIM(Raw_Export!B2596),2)))))</f>
        <v/>
      </c>
      <c r="C2596" s="36" t="str">
        <f aca="false">IF(Raw_Export!$A2596="","",IFERROR(VLOOKUP(LOWER(TRIM(Raw_Export!C2596)),Maps!$A$2:$B$20,2,FALSE()),"UNMAPPED"))</f>
        <v/>
      </c>
      <c r="D2596" s="36" t="str">
        <f aca="false">IF(Raw_Export!$A2596="","",IFERROR(VLOOKUP(LOWER(TRIM(Raw_Export!D2596)),Maps!$G$2:$I$80,2,FALSE()),"UNMAPPED"))</f>
        <v/>
      </c>
      <c r="E2596" s="36" t="str">
        <f aca="false">IF(Raw_Export!$A2596="","",IFERROR(VLOOKUP(LOWER(TRIM(Raw_Export!D2596)),Maps!$G$2:$I$80,3,FALSE()),"UNMAPPED"))</f>
        <v/>
      </c>
      <c r="F2596" s="36" t="str">
        <f aca="false">IF(Raw_Export!$A2596="","",IFERROR(VALUE(TRIM(Raw_Export!E2596)),0))</f>
        <v/>
      </c>
      <c r="G2596" s="38" t="str">
        <f aca="false">IF(Raw_Export!$A2596="","",IFERROR(VALUE(SUBSTITUTE(SUBSTITUTE(UPPER(TRIM(Raw_Export!F2596)),"KES",""),",","")),0))</f>
        <v/>
      </c>
      <c r="H2596" s="38" t="str">
        <f aca="false">IF(Raw_Export!$A2596="","",F2596*G2596)</f>
        <v/>
      </c>
      <c r="I2596" s="36" t="str">
        <f aca="false">IF(Raw_Export!$A2596="","",IFERROR(VLOOKUP(LOWER(TRIM(Raw_Export!H2596)),Maps!$D$2:$E$12,2,FALSE()),"Other"))</f>
        <v/>
      </c>
      <c r="J2596" s="36" t="str">
        <f aca="false">IF(Raw_Export!$A2596="","",IF(COUNTIF($A$2:A2596,A2596)&gt;1,"Duplicate",""))</f>
        <v/>
      </c>
      <c r="K2596" s="36" t="str">
        <f aca="false">IF(Raw_Export!$A2596="","",IF(J2596="Duplicate","Duplicate",IF(OR(C2596="UNMAPPED",D2596="UNMAPPED"),"Unmapped",IF(F2596=0,"Blank qty",IF(F2596&lt;0,"Return","OK")))))</f>
        <v/>
      </c>
      <c r="L2596" s="36" t="str">
        <f aca="false">IF(Raw_Export!$A2596="","",IF(OR(K2596="OK",K2596="Return"),1,0))</f>
        <v/>
      </c>
      <c r="M2596" s="37" t="str">
        <f aca="false">IF(Raw_Export!$A2596="","",B2596-WEEKDAY(B2596,2)+1)</f>
        <v/>
      </c>
    </row>
    <row r="2597" customFormat="false" ht="15" hidden="false" customHeight="false" outlineLevel="0" collapsed="false">
      <c r="A2597" s="36" t="str">
        <f aca="false">IF(Raw_Export!$A2597="","",TRIM(Raw_Export!A2597))</f>
        <v/>
      </c>
      <c r="B2597" s="37" t="str">
        <f aca="false">IF(Raw_Export!$A2597="","",IF(ISNUMBER(Raw_Export!B2597),Raw_Export!B2597,IF(MID(TRIM(Raw_Export!B2597),5,1)="-",DATE(LEFT(TRIM(Raw_Export!B2597),4),MID(TRIM(Raw_Export!B2597),6,2),RIGHT(TRIM(Raw_Export!B2597),2)),DATE(RIGHT(TRIM(Raw_Export!B2597),4),MATCH(MID(TRIM(Raw_Export!B2597),4,3),{"Jan","Feb","Mar","Apr","May","Jun","Jul","Aug","Sep","Oct","Nov","Dec"},0),LEFT(TRIM(Raw_Export!B2597),2)))))</f>
        <v/>
      </c>
      <c r="C2597" s="36" t="str">
        <f aca="false">IF(Raw_Export!$A2597="","",IFERROR(VLOOKUP(LOWER(TRIM(Raw_Export!C2597)),Maps!$A$2:$B$20,2,FALSE()),"UNMAPPED"))</f>
        <v/>
      </c>
      <c r="D2597" s="36" t="str">
        <f aca="false">IF(Raw_Export!$A2597="","",IFERROR(VLOOKUP(LOWER(TRIM(Raw_Export!D2597)),Maps!$G$2:$I$80,2,FALSE()),"UNMAPPED"))</f>
        <v/>
      </c>
      <c r="E2597" s="36" t="str">
        <f aca="false">IF(Raw_Export!$A2597="","",IFERROR(VLOOKUP(LOWER(TRIM(Raw_Export!D2597)),Maps!$G$2:$I$80,3,FALSE()),"UNMAPPED"))</f>
        <v/>
      </c>
      <c r="F2597" s="36" t="str">
        <f aca="false">IF(Raw_Export!$A2597="","",IFERROR(VALUE(TRIM(Raw_Export!E2597)),0))</f>
        <v/>
      </c>
      <c r="G2597" s="38" t="str">
        <f aca="false">IF(Raw_Export!$A2597="","",IFERROR(VALUE(SUBSTITUTE(SUBSTITUTE(UPPER(TRIM(Raw_Export!F2597)),"KES",""),",","")),0))</f>
        <v/>
      </c>
      <c r="H2597" s="38" t="str">
        <f aca="false">IF(Raw_Export!$A2597="","",F2597*G2597)</f>
        <v/>
      </c>
      <c r="I2597" s="36" t="str">
        <f aca="false">IF(Raw_Export!$A2597="","",IFERROR(VLOOKUP(LOWER(TRIM(Raw_Export!H2597)),Maps!$D$2:$E$12,2,FALSE()),"Other"))</f>
        <v/>
      </c>
      <c r="J2597" s="36" t="str">
        <f aca="false">IF(Raw_Export!$A2597="","",IF(COUNTIF($A$2:A2597,A2597)&gt;1,"Duplicate",""))</f>
        <v/>
      </c>
      <c r="K2597" s="36" t="str">
        <f aca="false">IF(Raw_Export!$A2597="","",IF(J2597="Duplicate","Duplicate",IF(OR(C2597="UNMAPPED",D2597="UNMAPPED"),"Unmapped",IF(F2597=0,"Blank qty",IF(F2597&lt;0,"Return","OK")))))</f>
        <v/>
      </c>
      <c r="L2597" s="36" t="str">
        <f aca="false">IF(Raw_Export!$A2597="","",IF(OR(K2597="OK",K2597="Return"),1,0))</f>
        <v/>
      </c>
      <c r="M2597" s="37" t="str">
        <f aca="false">IF(Raw_Export!$A2597="","",B2597-WEEKDAY(B2597,2)+1)</f>
        <v/>
      </c>
    </row>
    <row r="2598" customFormat="false" ht="15" hidden="false" customHeight="false" outlineLevel="0" collapsed="false">
      <c r="A2598" s="36" t="str">
        <f aca="false">IF(Raw_Export!$A2598="","",TRIM(Raw_Export!A2598))</f>
        <v/>
      </c>
      <c r="B2598" s="37" t="str">
        <f aca="false">IF(Raw_Export!$A2598="","",IF(ISNUMBER(Raw_Export!B2598),Raw_Export!B2598,IF(MID(TRIM(Raw_Export!B2598),5,1)="-",DATE(LEFT(TRIM(Raw_Export!B2598),4),MID(TRIM(Raw_Export!B2598),6,2),RIGHT(TRIM(Raw_Export!B2598),2)),DATE(RIGHT(TRIM(Raw_Export!B2598),4),MATCH(MID(TRIM(Raw_Export!B2598),4,3),{"Jan","Feb","Mar","Apr","May","Jun","Jul","Aug","Sep","Oct","Nov","Dec"},0),LEFT(TRIM(Raw_Export!B2598),2)))))</f>
        <v/>
      </c>
      <c r="C2598" s="36" t="str">
        <f aca="false">IF(Raw_Export!$A2598="","",IFERROR(VLOOKUP(LOWER(TRIM(Raw_Export!C2598)),Maps!$A$2:$B$20,2,FALSE()),"UNMAPPED"))</f>
        <v/>
      </c>
      <c r="D2598" s="36" t="str">
        <f aca="false">IF(Raw_Export!$A2598="","",IFERROR(VLOOKUP(LOWER(TRIM(Raw_Export!D2598)),Maps!$G$2:$I$80,2,FALSE()),"UNMAPPED"))</f>
        <v/>
      </c>
      <c r="E2598" s="36" t="str">
        <f aca="false">IF(Raw_Export!$A2598="","",IFERROR(VLOOKUP(LOWER(TRIM(Raw_Export!D2598)),Maps!$G$2:$I$80,3,FALSE()),"UNMAPPED"))</f>
        <v/>
      </c>
      <c r="F2598" s="36" t="str">
        <f aca="false">IF(Raw_Export!$A2598="","",IFERROR(VALUE(TRIM(Raw_Export!E2598)),0))</f>
        <v/>
      </c>
      <c r="G2598" s="38" t="str">
        <f aca="false">IF(Raw_Export!$A2598="","",IFERROR(VALUE(SUBSTITUTE(SUBSTITUTE(UPPER(TRIM(Raw_Export!F2598)),"KES",""),",","")),0))</f>
        <v/>
      </c>
      <c r="H2598" s="38" t="str">
        <f aca="false">IF(Raw_Export!$A2598="","",F2598*G2598)</f>
        <v/>
      </c>
      <c r="I2598" s="36" t="str">
        <f aca="false">IF(Raw_Export!$A2598="","",IFERROR(VLOOKUP(LOWER(TRIM(Raw_Export!H2598)),Maps!$D$2:$E$12,2,FALSE()),"Other"))</f>
        <v/>
      </c>
      <c r="J2598" s="36" t="str">
        <f aca="false">IF(Raw_Export!$A2598="","",IF(COUNTIF($A$2:A2598,A2598)&gt;1,"Duplicate",""))</f>
        <v/>
      </c>
      <c r="K2598" s="36" t="str">
        <f aca="false">IF(Raw_Export!$A2598="","",IF(J2598="Duplicate","Duplicate",IF(OR(C2598="UNMAPPED",D2598="UNMAPPED"),"Unmapped",IF(F2598=0,"Blank qty",IF(F2598&lt;0,"Return","OK")))))</f>
        <v/>
      </c>
      <c r="L2598" s="36" t="str">
        <f aca="false">IF(Raw_Export!$A2598="","",IF(OR(K2598="OK",K2598="Return"),1,0))</f>
        <v/>
      </c>
      <c r="M2598" s="37" t="str">
        <f aca="false">IF(Raw_Export!$A2598="","",B2598-WEEKDAY(B2598,2)+1)</f>
        <v/>
      </c>
    </row>
    <row r="2599" customFormat="false" ht="15" hidden="false" customHeight="false" outlineLevel="0" collapsed="false">
      <c r="A2599" s="36" t="str">
        <f aca="false">IF(Raw_Export!$A2599="","",TRIM(Raw_Export!A2599))</f>
        <v/>
      </c>
      <c r="B2599" s="37" t="str">
        <f aca="false">IF(Raw_Export!$A2599="","",IF(ISNUMBER(Raw_Export!B2599),Raw_Export!B2599,IF(MID(TRIM(Raw_Export!B2599),5,1)="-",DATE(LEFT(TRIM(Raw_Export!B2599),4),MID(TRIM(Raw_Export!B2599),6,2),RIGHT(TRIM(Raw_Export!B2599),2)),DATE(RIGHT(TRIM(Raw_Export!B2599),4),MATCH(MID(TRIM(Raw_Export!B2599),4,3),{"Jan","Feb","Mar","Apr","May","Jun","Jul","Aug","Sep","Oct","Nov","Dec"},0),LEFT(TRIM(Raw_Export!B2599),2)))))</f>
        <v/>
      </c>
      <c r="C2599" s="36" t="str">
        <f aca="false">IF(Raw_Export!$A2599="","",IFERROR(VLOOKUP(LOWER(TRIM(Raw_Export!C2599)),Maps!$A$2:$B$20,2,FALSE()),"UNMAPPED"))</f>
        <v/>
      </c>
      <c r="D2599" s="36" t="str">
        <f aca="false">IF(Raw_Export!$A2599="","",IFERROR(VLOOKUP(LOWER(TRIM(Raw_Export!D2599)),Maps!$G$2:$I$80,2,FALSE()),"UNMAPPED"))</f>
        <v/>
      </c>
      <c r="E2599" s="36" t="str">
        <f aca="false">IF(Raw_Export!$A2599="","",IFERROR(VLOOKUP(LOWER(TRIM(Raw_Export!D2599)),Maps!$G$2:$I$80,3,FALSE()),"UNMAPPED"))</f>
        <v/>
      </c>
      <c r="F2599" s="36" t="str">
        <f aca="false">IF(Raw_Export!$A2599="","",IFERROR(VALUE(TRIM(Raw_Export!E2599)),0))</f>
        <v/>
      </c>
      <c r="G2599" s="38" t="str">
        <f aca="false">IF(Raw_Export!$A2599="","",IFERROR(VALUE(SUBSTITUTE(SUBSTITUTE(UPPER(TRIM(Raw_Export!F2599)),"KES",""),",","")),0))</f>
        <v/>
      </c>
      <c r="H2599" s="38" t="str">
        <f aca="false">IF(Raw_Export!$A2599="","",F2599*G2599)</f>
        <v/>
      </c>
      <c r="I2599" s="36" t="str">
        <f aca="false">IF(Raw_Export!$A2599="","",IFERROR(VLOOKUP(LOWER(TRIM(Raw_Export!H2599)),Maps!$D$2:$E$12,2,FALSE()),"Other"))</f>
        <v/>
      </c>
      <c r="J2599" s="36" t="str">
        <f aca="false">IF(Raw_Export!$A2599="","",IF(COUNTIF($A$2:A2599,A2599)&gt;1,"Duplicate",""))</f>
        <v/>
      </c>
      <c r="K2599" s="36" t="str">
        <f aca="false">IF(Raw_Export!$A2599="","",IF(J2599="Duplicate","Duplicate",IF(OR(C2599="UNMAPPED",D2599="UNMAPPED"),"Unmapped",IF(F2599=0,"Blank qty",IF(F2599&lt;0,"Return","OK")))))</f>
        <v/>
      </c>
      <c r="L2599" s="36" t="str">
        <f aca="false">IF(Raw_Export!$A2599="","",IF(OR(K2599="OK",K2599="Return"),1,0))</f>
        <v/>
      </c>
      <c r="M2599" s="37" t="str">
        <f aca="false">IF(Raw_Export!$A2599="","",B2599-WEEKDAY(B2599,2)+1)</f>
        <v/>
      </c>
    </row>
    <row r="2600" customFormat="false" ht="15" hidden="false" customHeight="false" outlineLevel="0" collapsed="false">
      <c r="A2600" s="36" t="str">
        <f aca="false">IF(Raw_Export!$A2600="","",TRIM(Raw_Export!A2600))</f>
        <v/>
      </c>
      <c r="B2600" s="37" t="str">
        <f aca="false">IF(Raw_Export!$A2600="","",IF(ISNUMBER(Raw_Export!B2600),Raw_Export!B2600,IF(MID(TRIM(Raw_Export!B2600),5,1)="-",DATE(LEFT(TRIM(Raw_Export!B2600),4),MID(TRIM(Raw_Export!B2600),6,2),RIGHT(TRIM(Raw_Export!B2600),2)),DATE(RIGHT(TRIM(Raw_Export!B2600),4),MATCH(MID(TRIM(Raw_Export!B2600),4,3),{"Jan","Feb","Mar","Apr","May","Jun","Jul","Aug","Sep","Oct","Nov","Dec"},0),LEFT(TRIM(Raw_Export!B2600),2)))))</f>
        <v/>
      </c>
      <c r="C2600" s="36" t="str">
        <f aca="false">IF(Raw_Export!$A2600="","",IFERROR(VLOOKUP(LOWER(TRIM(Raw_Export!C2600)),Maps!$A$2:$B$20,2,FALSE()),"UNMAPPED"))</f>
        <v/>
      </c>
      <c r="D2600" s="36" t="str">
        <f aca="false">IF(Raw_Export!$A2600="","",IFERROR(VLOOKUP(LOWER(TRIM(Raw_Export!D2600)),Maps!$G$2:$I$80,2,FALSE()),"UNMAPPED"))</f>
        <v/>
      </c>
      <c r="E2600" s="36" t="str">
        <f aca="false">IF(Raw_Export!$A2600="","",IFERROR(VLOOKUP(LOWER(TRIM(Raw_Export!D2600)),Maps!$G$2:$I$80,3,FALSE()),"UNMAPPED"))</f>
        <v/>
      </c>
      <c r="F2600" s="36" t="str">
        <f aca="false">IF(Raw_Export!$A2600="","",IFERROR(VALUE(TRIM(Raw_Export!E2600)),0))</f>
        <v/>
      </c>
      <c r="G2600" s="38" t="str">
        <f aca="false">IF(Raw_Export!$A2600="","",IFERROR(VALUE(SUBSTITUTE(SUBSTITUTE(UPPER(TRIM(Raw_Export!F2600)),"KES",""),",","")),0))</f>
        <v/>
      </c>
      <c r="H2600" s="38" t="str">
        <f aca="false">IF(Raw_Export!$A2600="","",F2600*G2600)</f>
        <v/>
      </c>
      <c r="I2600" s="36" t="str">
        <f aca="false">IF(Raw_Export!$A2600="","",IFERROR(VLOOKUP(LOWER(TRIM(Raw_Export!H2600)),Maps!$D$2:$E$12,2,FALSE()),"Other"))</f>
        <v/>
      </c>
      <c r="J2600" s="36" t="str">
        <f aca="false">IF(Raw_Export!$A2600="","",IF(COUNTIF($A$2:A2600,A2600)&gt;1,"Duplicate",""))</f>
        <v/>
      </c>
      <c r="K2600" s="36" t="str">
        <f aca="false">IF(Raw_Export!$A2600="","",IF(J2600="Duplicate","Duplicate",IF(OR(C2600="UNMAPPED",D2600="UNMAPPED"),"Unmapped",IF(F2600=0,"Blank qty",IF(F2600&lt;0,"Return","OK")))))</f>
        <v/>
      </c>
      <c r="L2600" s="36" t="str">
        <f aca="false">IF(Raw_Export!$A2600="","",IF(OR(K2600="OK",K2600="Return"),1,0))</f>
        <v/>
      </c>
      <c r="M2600" s="37" t="str">
        <f aca="false">IF(Raw_Export!$A2600="","",B2600-WEEKDAY(B2600,2)+1)</f>
        <v/>
      </c>
    </row>
    <row r="2601" customFormat="false" ht="15" hidden="false" customHeight="false" outlineLevel="0" collapsed="false">
      <c r="A2601" s="36" t="str">
        <f aca="false">IF(Raw_Export!$A2601="","",TRIM(Raw_Export!A2601))</f>
        <v/>
      </c>
      <c r="B2601" s="37" t="str">
        <f aca="false">IF(Raw_Export!$A2601="","",IF(ISNUMBER(Raw_Export!B2601),Raw_Export!B2601,IF(MID(TRIM(Raw_Export!B2601),5,1)="-",DATE(LEFT(TRIM(Raw_Export!B2601),4),MID(TRIM(Raw_Export!B2601),6,2),RIGHT(TRIM(Raw_Export!B2601),2)),DATE(RIGHT(TRIM(Raw_Export!B2601),4),MATCH(MID(TRIM(Raw_Export!B2601),4,3),{"Jan","Feb","Mar","Apr","May","Jun","Jul","Aug","Sep","Oct","Nov","Dec"},0),LEFT(TRIM(Raw_Export!B2601),2)))))</f>
        <v/>
      </c>
      <c r="C2601" s="36" t="str">
        <f aca="false">IF(Raw_Export!$A2601="","",IFERROR(VLOOKUP(LOWER(TRIM(Raw_Export!C2601)),Maps!$A$2:$B$20,2,FALSE()),"UNMAPPED"))</f>
        <v/>
      </c>
      <c r="D2601" s="36" t="str">
        <f aca="false">IF(Raw_Export!$A2601="","",IFERROR(VLOOKUP(LOWER(TRIM(Raw_Export!D2601)),Maps!$G$2:$I$80,2,FALSE()),"UNMAPPED"))</f>
        <v/>
      </c>
      <c r="E2601" s="36" t="str">
        <f aca="false">IF(Raw_Export!$A2601="","",IFERROR(VLOOKUP(LOWER(TRIM(Raw_Export!D2601)),Maps!$G$2:$I$80,3,FALSE()),"UNMAPPED"))</f>
        <v/>
      </c>
      <c r="F2601" s="36" t="str">
        <f aca="false">IF(Raw_Export!$A2601="","",IFERROR(VALUE(TRIM(Raw_Export!E2601)),0))</f>
        <v/>
      </c>
      <c r="G2601" s="38" t="str">
        <f aca="false">IF(Raw_Export!$A2601="","",IFERROR(VALUE(SUBSTITUTE(SUBSTITUTE(UPPER(TRIM(Raw_Export!F2601)),"KES",""),",","")),0))</f>
        <v/>
      </c>
      <c r="H2601" s="38" t="str">
        <f aca="false">IF(Raw_Export!$A2601="","",F2601*G2601)</f>
        <v/>
      </c>
      <c r="I2601" s="36" t="str">
        <f aca="false">IF(Raw_Export!$A2601="","",IFERROR(VLOOKUP(LOWER(TRIM(Raw_Export!H2601)),Maps!$D$2:$E$12,2,FALSE()),"Other"))</f>
        <v/>
      </c>
      <c r="J2601" s="36" t="str">
        <f aca="false">IF(Raw_Export!$A2601="","",IF(COUNTIF($A$2:A2601,A2601)&gt;1,"Duplicate",""))</f>
        <v/>
      </c>
      <c r="K2601" s="36" t="str">
        <f aca="false">IF(Raw_Export!$A2601="","",IF(J2601="Duplicate","Duplicate",IF(OR(C2601="UNMAPPED",D2601="UNMAPPED"),"Unmapped",IF(F2601=0,"Blank qty",IF(F2601&lt;0,"Return","OK")))))</f>
        <v/>
      </c>
      <c r="L2601" s="36" t="str">
        <f aca="false">IF(Raw_Export!$A2601="","",IF(OR(K2601="OK",K2601="Return"),1,0))</f>
        <v/>
      </c>
      <c r="M2601" s="37" t="str">
        <f aca="false">IF(Raw_Export!$A2601="","",B2601-WEEKDAY(B2601,2)+1)</f>
        <v/>
      </c>
    </row>
    <row r="2602" customFormat="false" ht="15" hidden="false" customHeight="false" outlineLevel="0" collapsed="false">
      <c r="A2602" s="36" t="str">
        <f aca="false">IF(Raw_Export!$A2602="","",TRIM(Raw_Export!A2602))</f>
        <v/>
      </c>
      <c r="B2602" s="37" t="str">
        <f aca="false">IF(Raw_Export!$A2602="","",IF(ISNUMBER(Raw_Export!B2602),Raw_Export!B2602,IF(MID(TRIM(Raw_Export!B2602),5,1)="-",DATE(LEFT(TRIM(Raw_Export!B2602),4),MID(TRIM(Raw_Export!B2602),6,2),RIGHT(TRIM(Raw_Export!B2602),2)),DATE(RIGHT(TRIM(Raw_Export!B2602),4),MATCH(MID(TRIM(Raw_Export!B2602),4,3),{"Jan","Feb","Mar","Apr","May","Jun","Jul","Aug","Sep","Oct","Nov","Dec"},0),LEFT(TRIM(Raw_Export!B2602),2)))))</f>
        <v/>
      </c>
      <c r="C2602" s="36" t="str">
        <f aca="false">IF(Raw_Export!$A2602="","",IFERROR(VLOOKUP(LOWER(TRIM(Raw_Export!C2602)),Maps!$A$2:$B$20,2,FALSE()),"UNMAPPED"))</f>
        <v/>
      </c>
      <c r="D2602" s="36" t="str">
        <f aca="false">IF(Raw_Export!$A2602="","",IFERROR(VLOOKUP(LOWER(TRIM(Raw_Export!D2602)),Maps!$G$2:$I$80,2,FALSE()),"UNMAPPED"))</f>
        <v/>
      </c>
      <c r="E2602" s="36" t="str">
        <f aca="false">IF(Raw_Export!$A2602="","",IFERROR(VLOOKUP(LOWER(TRIM(Raw_Export!D2602)),Maps!$G$2:$I$80,3,FALSE()),"UNMAPPED"))</f>
        <v/>
      </c>
      <c r="F2602" s="36" t="str">
        <f aca="false">IF(Raw_Export!$A2602="","",IFERROR(VALUE(TRIM(Raw_Export!E2602)),0))</f>
        <v/>
      </c>
      <c r="G2602" s="38" t="str">
        <f aca="false">IF(Raw_Export!$A2602="","",IFERROR(VALUE(SUBSTITUTE(SUBSTITUTE(UPPER(TRIM(Raw_Export!F2602)),"KES",""),",","")),0))</f>
        <v/>
      </c>
      <c r="H2602" s="38" t="str">
        <f aca="false">IF(Raw_Export!$A2602="","",F2602*G2602)</f>
        <v/>
      </c>
      <c r="I2602" s="36" t="str">
        <f aca="false">IF(Raw_Export!$A2602="","",IFERROR(VLOOKUP(LOWER(TRIM(Raw_Export!H2602)),Maps!$D$2:$E$12,2,FALSE()),"Other"))</f>
        <v/>
      </c>
      <c r="J2602" s="36" t="str">
        <f aca="false">IF(Raw_Export!$A2602="","",IF(COUNTIF($A$2:A2602,A2602)&gt;1,"Duplicate",""))</f>
        <v/>
      </c>
      <c r="K2602" s="36" t="str">
        <f aca="false">IF(Raw_Export!$A2602="","",IF(J2602="Duplicate","Duplicate",IF(OR(C2602="UNMAPPED",D2602="UNMAPPED"),"Unmapped",IF(F2602=0,"Blank qty",IF(F2602&lt;0,"Return","OK")))))</f>
        <v/>
      </c>
      <c r="L2602" s="36" t="str">
        <f aca="false">IF(Raw_Export!$A2602="","",IF(OR(K2602="OK",K2602="Return"),1,0))</f>
        <v/>
      </c>
      <c r="M2602" s="37" t="str">
        <f aca="false">IF(Raw_Export!$A2602="","",B2602-WEEKDAY(B2602,2)+1)</f>
        <v/>
      </c>
    </row>
    <row r="2603" customFormat="false" ht="15" hidden="false" customHeight="false" outlineLevel="0" collapsed="false">
      <c r="A2603" s="36" t="str">
        <f aca="false">IF(Raw_Export!$A2603="","",TRIM(Raw_Export!A2603))</f>
        <v/>
      </c>
      <c r="B2603" s="37" t="str">
        <f aca="false">IF(Raw_Export!$A2603="","",IF(ISNUMBER(Raw_Export!B2603),Raw_Export!B2603,IF(MID(TRIM(Raw_Export!B2603),5,1)="-",DATE(LEFT(TRIM(Raw_Export!B2603),4),MID(TRIM(Raw_Export!B2603),6,2),RIGHT(TRIM(Raw_Export!B2603),2)),DATE(RIGHT(TRIM(Raw_Export!B2603),4),MATCH(MID(TRIM(Raw_Export!B2603),4,3),{"Jan","Feb","Mar","Apr","May","Jun","Jul","Aug","Sep","Oct","Nov","Dec"},0),LEFT(TRIM(Raw_Export!B2603),2)))))</f>
        <v/>
      </c>
      <c r="C2603" s="36" t="str">
        <f aca="false">IF(Raw_Export!$A2603="","",IFERROR(VLOOKUP(LOWER(TRIM(Raw_Export!C2603)),Maps!$A$2:$B$20,2,FALSE()),"UNMAPPED"))</f>
        <v/>
      </c>
      <c r="D2603" s="36" t="str">
        <f aca="false">IF(Raw_Export!$A2603="","",IFERROR(VLOOKUP(LOWER(TRIM(Raw_Export!D2603)),Maps!$G$2:$I$80,2,FALSE()),"UNMAPPED"))</f>
        <v/>
      </c>
      <c r="E2603" s="36" t="str">
        <f aca="false">IF(Raw_Export!$A2603="","",IFERROR(VLOOKUP(LOWER(TRIM(Raw_Export!D2603)),Maps!$G$2:$I$80,3,FALSE()),"UNMAPPED"))</f>
        <v/>
      </c>
      <c r="F2603" s="36" t="str">
        <f aca="false">IF(Raw_Export!$A2603="","",IFERROR(VALUE(TRIM(Raw_Export!E2603)),0))</f>
        <v/>
      </c>
      <c r="G2603" s="38" t="str">
        <f aca="false">IF(Raw_Export!$A2603="","",IFERROR(VALUE(SUBSTITUTE(SUBSTITUTE(UPPER(TRIM(Raw_Export!F2603)),"KES",""),",","")),0))</f>
        <v/>
      </c>
      <c r="H2603" s="38" t="str">
        <f aca="false">IF(Raw_Export!$A2603="","",F2603*G2603)</f>
        <v/>
      </c>
      <c r="I2603" s="36" t="str">
        <f aca="false">IF(Raw_Export!$A2603="","",IFERROR(VLOOKUP(LOWER(TRIM(Raw_Export!H2603)),Maps!$D$2:$E$12,2,FALSE()),"Other"))</f>
        <v/>
      </c>
      <c r="J2603" s="36" t="str">
        <f aca="false">IF(Raw_Export!$A2603="","",IF(COUNTIF($A$2:A2603,A2603)&gt;1,"Duplicate",""))</f>
        <v/>
      </c>
      <c r="K2603" s="36" t="str">
        <f aca="false">IF(Raw_Export!$A2603="","",IF(J2603="Duplicate","Duplicate",IF(OR(C2603="UNMAPPED",D2603="UNMAPPED"),"Unmapped",IF(F2603=0,"Blank qty",IF(F2603&lt;0,"Return","OK")))))</f>
        <v/>
      </c>
      <c r="L2603" s="36" t="str">
        <f aca="false">IF(Raw_Export!$A2603="","",IF(OR(K2603="OK",K2603="Return"),1,0))</f>
        <v/>
      </c>
      <c r="M2603" s="37" t="str">
        <f aca="false">IF(Raw_Export!$A2603="","",B2603-WEEKDAY(B2603,2)+1)</f>
        <v/>
      </c>
    </row>
    <row r="2604" customFormat="false" ht="15" hidden="false" customHeight="false" outlineLevel="0" collapsed="false">
      <c r="A2604" s="36" t="str">
        <f aca="false">IF(Raw_Export!$A2604="","",TRIM(Raw_Export!A2604))</f>
        <v/>
      </c>
      <c r="B2604" s="37" t="str">
        <f aca="false">IF(Raw_Export!$A2604="","",IF(ISNUMBER(Raw_Export!B2604),Raw_Export!B2604,IF(MID(TRIM(Raw_Export!B2604),5,1)="-",DATE(LEFT(TRIM(Raw_Export!B2604),4),MID(TRIM(Raw_Export!B2604),6,2),RIGHT(TRIM(Raw_Export!B2604),2)),DATE(RIGHT(TRIM(Raw_Export!B2604),4),MATCH(MID(TRIM(Raw_Export!B2604),4,3),{"Jan","Feb","Mar","Apr","May","Jun","Jul","Aug","Sep","Oct","Nov","Dec"},0),LEFT(TRIM(Raw_Export!B2604),2)))))</f>
        <v/>
      </c>
      <c r="C2604" s="36" t="str">
        <f aca="false">IF(Raw_Export!$A2604="","",IFERROR(VLOOKUP(LOWER(TRIM(Raw_Export!C2604)),Maps!$A$2:$B$20,2,FALSE()),"UNMAPPED"))</f>
        <v/>
      </c>
      <c r="D2604" s="36" t="str">
        <f aca="false">IF(Raw_Export!$A2604="","",IFERROR(VLOOKUP(LOWER(TRIM(Raw_Export!D2604)),Maps!$G$2:$I$80,2,FALSE()),"UNMAPPED"))</f>
        <v/>
      </c>
      <c r="E2604" s="36" t="str">
        <f aca="false">IF(Raw_Export!$A2604="","",IFERROR(VLOOKUP(LOWER(TRIM(Raw_Export!D2604)),Maps!$G$2:$I$80,3,FALSE()),"UNMAPPED"))</f>
        <v/>
      </c>
      <c r="F2604" s="36" t="str">
        <f aca="false">IF(Raw_Export!$A2604="","",IFERROR(VALUE(TRIM(Raw_Export!E2604)),0))</f>
        <v/>
      </c>
      <c r="G2604" s="38" t="str">
        <f aca="false">IF(Raw_Export!$A2604="","",IFERROR(VALUE(SUBSTITUTE(SUBSTITUTE(UPPER(TRIM(Raw_Export!F2604)),"KES",""),",","")),0))</f>
        <v/>
      </c>
      <c r="H2604" s="38" t="str">
        <f aca="false">IF(Raw_Export!$A2604="","",F2604*G2604)</f>
        <v/>
      </c>
      <c r="I2604" s="36" t="str">
        <f aca="false">IF(Raw_Export!$A2604="","",IFERROR(VLOOKUP(LOWER(TRIM(Raw_Export!H2604)),Maps!$D$2:$E$12,2,FALSE()),"Other"))</f>
        <v/>
      </c>
      <c r="J2604" s="36" t="str">
        <f aca="false">IF(Raw_Export!$A2604="","",IF(COUNTIF($A$2:A2604,A2604)&gt;1,"Duplicate",""))</f>
        <v/>
      </c>
      <c r="K2604" s="36" t="str">
        <f aca="false">IF(Raw_Export!$A2604="","",IF(J2604="Duplicate","Duplicate",IF(OR(C2604="UNMAPPED",D2604="UNMAPPED"),"Unmapped",IF(F2604=0,"Blank qty",IF(F2604&lt;0,"Return","OK")))))</f>
        <v/>
      </c>
      <c r="L2604" s="36" t="str">
        <f aca="false">IF(Raw_Export!$A2604="","",IF(OR(K2604="OK",K2604="Return"),1,0))</f>
        <v/>
      </c>
      <c r="M2604" s="37" t="str">
        <f aca="false">IF(Raw_Export!$A2604="","",B2604-WEEKDAY(B2604,2)+1)</f>
        <v/>
      </c>
    </row>
    <row r="2605" customFormat="false" ht="15" hidden="false" customHeight="false" outlineLevel="0" collapsed="false">
      <c r="A2605" s="36" t="str">
        <f aca="false">IF(Raw_Export!$A2605="","",TRIM(Raw_Export!A2605))</f>
        <v/>
      </c>
      <c r="B2605" s="37" t="str">
        <f aca="false">IF(Raw_Export!$A2605="","",IF(ISNUMBER(Raw_Export!B2605),Raw_Export!B2605,IF(MID(TRIM(Raw_Export!B2605),5,1)="-",DATE(LEFT(TRIM(Raw_Export!B2605),4),MID(TRIM(Raw_Export!B2605),6,2),RIGHT(TRIM(Raw_Export!B2605),2)),DATE(RIGHT(TRIM(Raw_Export!B2605),4),MATCH(MID(TRIM(Raw_Export!B2605),4,3),{"Jan","Feb","Mar","Apr","May","Jun","Jul","Aug","Sep","Oct","Nov","Dec"},0),LEFT(TRIM(Raw_Export!B2605),2)))))</f>
        <v/>
      </c>
      <c r="C2605" s="36" t="str">
        <f aca="false">IF(Raw_Export!$A2605="","",IFERROR(VLOOKUP(LOWER(TRIM(Raw_Export!C2605)),Maps!$A$2:$B$20,2,FALSE()),"UNMAPPED"))</f>
        <v/>
      </c>
      <c r="D2605" s="36" t="str">
        <f aca="false">IF(Raw_Export!$A2605="","",IFERROR(VLOOKUP(LOWER(TRIM(Raw_Export!D2605)),Maps!$G$2:$I$80,2,FALSE()),"UNMAPPED"))</f>
        <v/>
      </c>
      <c r="E2605" s="36" t="str">
        <f aca="false">IF(Raw_Export!$A2605="","",IFERROR(VLOOKUP(LOWER(TRIM(Raw_Export!D2605)),Maps!$G$2:$I$80,3,FALSE()),"UNMAPPED"))</f>
        <v/>
      </c>
      <c r="F2605" s="36" t="str">
        <f aca="false">IF(Raw_Export!$A2605="","",IFERROR(VALUE(TRIM(Raw_Export!E2605)),0))</f>
        <v/>
      </c>
      <c r="G2605" s="38" t="str">
        <f aca="false">IF(Raw_Export!$A2605="","",IFERROR(VALUE(SUBSTITUTE(SUBSTITUTE(UPPER(TRIM(Raw_Export!F2605)),"KES",""),",","")),0))</f>
        <v/>
      </c>
      <c r="H2605" s="38" t="str">
        <f aca="false">IF(Raw_Export!$A2605="","",F2605*G2605)</f>
        <v/>
      </c>
      <c r="I2605" s="36" t="str">
        <f aca="false">IF(Raw_Export!$A2605="","",IFERROR(VLOOKUP(LOWER(TRIM(Raw_Export!H2605)),Maps!$D$2:$E$12,2,FALSE()),"Other"))</f>
        <v/>
      </c>
      <c r="J2605" s="36" t="str">
        <f aca="false">IF(Raw_Export!$A2605="","",IF(COUNTIF($A$2:A2605,A2605)&gt;1,"Duplicate",""))</f>
        <v/>
      </c>
      <c r="K2605" s="36" t="str">
        <f aca="false">IF(Raw_Export!$A2605="","",IF(J2605="Duplicate","Duplicate",IF(OR(C2605="UNMAPPED",D2605="UNMAPPED"),"Unmapped",IF(F2605=0,"Blank qty",IF(F2605&lt;0,"Return","OK")))))</f>
        <v/>
      </c>
      <c r="L2605" s="36" t="str">
        <f aca="false">IF(Raw_Export!$A2605="","",IF(OR(K2605="OK",K2605="Return"),1,0))</f>
        <v/>
      </c>
      <c r="M2605" s="37" t="str">
        <f aca="false">IF(Raw_Export!$A2605="","",B2605-WEEKDAY(B2605,2)+1)</f>
        <v/>
      </c>
    </row>
    <row r="2606" customFormat="false" ht="15" hidden="false" customHeight="false" outlineLevel="0" collapsed="false">
      <c r="A2606" s="36" t="str">
        <f aca="false">IF(Raw_Export!$A2606="","",TRIM(Raw_Export!A2606))</f>
        <v/>
      </c>
      <c r="B2606" s="37" t="str">
        <f aca="false">IF(Raw_Export!$A2606="","",IF(ISNUMBER(Raw_Export!B2606),Raw_Export!B2606,IF(MID(TRIM(Raw_Export!B2606),5,1)="-",DATE(LEFT(TRIM(Raw_Export!B2606),4),MID(TRIM(Raw_Export!B2606),6,2),RIGHT(TRIM(Raw_Export!B2606),2)),DATE(RIGHT(TRIM(Raw_Export!B2606),4),MATCH(MID(TRIM(Raw_Export!B2606),4,3),{"Jan","Feb","Mar","Apr","May","Jun","Jul","Aug","Sep","Oct","Nov","Dec"},0),LEFT(TRIM(Raw_Export!B2606),2)))))</f>
        <v/>
      </c>
      <c r="C2606" s="36" t="str">
        <f aca="false">IF(Raw_Export!$A2606="","",IFERROR(VLOOKUP(LOWER(TRIM(Raw_Export!C2606)),Maps!$A$2:$B$20,2,FALSE()),"UNMAPPED"))</f>
        <v/>
      </c>
      <c r="D2606" s="36" t="str">
        <f aca="false">IF(Raw_Export!$A2606="","",IFERROR(VLOOKUP(LOWER(TRIM(Raw_Export!D2606)),Maps!$G$2:$I$80,2,FALSE()),"UNMAPPED"))</f>
        <v/>
      </c>
      <c r="E2606" s="36" t="str">
        <f aca="false">IF(Raw_Export!$A2606="","",IFERROR(VLOOKUP(LOWER(TRIM(Raw_Export!D2606)),Maps!$G$2:$I$80,3,FALSE()),"UNMAPPED"))</f>
        <v/>
      </c>
      <c r="F2606" s="36" t="str">
        <f aca="false">IF(Raw_Export!$A2606="","",IFERROR(VALUE(TRIM(Raw_Export!E2606)),0))</f>
        <v/>
      </c>
      <c r="G2606" s="38" t="str">
        <f aca="false">IF(Raw_Export!$A2606="","",IFERROR(VALUE(SUBSTITUTE(SUBSTITUTE(UPPER(TRIM(Raw_Export!F2606)),"KES",""),",","")),0))</f>
        <v/>
      </c>
      <c r="H2606" s="38" t="str">
        <f aca="false">IF(Raw_Export!$A2606="","",F2606*G2606)</f>
        <v/>
      </c>
      <c r="I2606" s="36" t="str">
        <f aca="false">IF(Raw_Export!$A2606="","",IFERROR(VLOOKUP(LOWER(TRIM(Raw_Export!H2606)),Maps!$D$2:$E$12,2,FALSE()),"Other"))</f>
        <v/>
      </c>
      <c r="J2606" s="36" t="str">
        <f aca="false">IF(Raw_Export!$A2606="","",IF(COUNTIF($A$2:A2606,A2606)&gt;1,"Duplicate",""))</f>
        <v/>
      </c>
      <c r="K2606" s="36" t="str">
        <f aca="false">IF(Raw_Export!$A2606="","",IF(J2606="Duplicate","Duplicate",IF(OR(C2606="UNMAPPED",D2606="UNMAPPED"),"Unmapped",IF(F2606=0,"Blank qty",IF(F2606&lt;0,"Return","OK")))))</f>
        <v/>
      </c>
      <c r="L2606" s="36" t="str">
        <f aca="false">IF(Raw_Export!$A2606="","",IF(OR(K2606="OK",K2606="Return"),1,0))</f>
        <v/>
      </c>
      <c r="M2606" s="37" t="str">
        <f aca="false">IF(Raw_Export!$A2606="","",B2606-WEEKDAY(B2606,2)+1)</f>
        <v/>
      </c>
    </row>
    <row r="2607" customFormat="false" ht="15" hidden="false" customHeight="false" outlineLevel="0" collapsed="false">
      <c r="A2607" s="36" t="str">
        <f aca="false">IF(Raw_Export!$A2607="","",TRIM(Raw_Export!A2607))</f>
        <v/>
      </c>
      <c r="B2607" s="37" t="str">
        <f aca="false">IF(Raw_Export!$A2607="","",IF(ISNUMBER(Raw_Export!B2607),Raw_Export!B2607,IF(MID(TRIM(Raw_Export!B2607),5,1)="-",DATE(LEFT(TRIM(Raw_Export!B2607),4),MID(TRIM(Raw_Export!B2607),6,2),RIGHT(TRIM(Raw_Export!B2607),2)),DATE(RIGHT(TRIM(Raw_Export!B2607),4),MATCH(MID(TRIM(Raw_Export!B2607),4,3),{"Jan","Feb","Mar","Apr","May","Jun","Jul","Aug","Sep","Oct","Nov","Dec"},0),LEFT(TRIM(Raw_Export!B2607),2)))))</f>
        <v/>
      </c>
      <c r="C2607" s="36" t="str">
        <f aca="false">IF(Raw_Export!$A2607="","",IFERROR(VLOOKUP(LOWER(TRIM(Raw_Export!C2607)),Maps!$A$2:$B$20,2,FALSE()),"UNMAPPED"))</f>
        <v/>
      </c>
      <c r="D2607" s="36" t="str">
        <f aca="false">IF(Raw_Export!$A2607="","",IFERROR(VLOOKUP(LOWER(TRIM(Raw_Export!D2607)),Maps!$G$2:$I$80,2,FALSE()),"UNMAPPED"))</f>
        <v/>
      </c>
      <c r="E2607" s="36" t="str">
        <f aca="false">IF(Raw_Export!$A2607="","",IFERROR(VLOOKUP(LOWER(TRIM(Raw_Export!D2607)),Maps!$G$2:$I$80,3,FALSE()),"UNMAPPED"))</f>
        <v/>
      </c>
      <c r="F2607" s="36" t="str">
        <f aca="false">IF(Raw_Export!$A2607="","",IFERROR(VALUE(TRIM(Raw_Export!E2607)),0))</f>
        <v/>
      </c>
      <c r="G2607" s="38" t="str">
        <f aca="false">IF(Raw_Export!$A2607="","",IFERROR(VALUE(SUBSTITUTE(SUBSTITUTE(UPPER(TRIM(Raw_Export!F2607)),"KES",""),",","")),0))</f>
        <v/>
      </c>
      <c r="H2607" s="38" t="str">
        <f aca="false">IF(Raw_Export!$A2607="","",F2607*G2607)</f>
        <v/>
      </c>
      <c r="I2607" s="36" t="str">
        <f aca="false">IF(Raw_Export!$A2607="","",IFERROR(VLOOKUP(LOWER(TRIM(Raw_Export!H2607)),Maps!$D$2:$E$12,2,FALSE()),"Other"))</f>
        <v/>
      </c>
      <c r="J2607" s="36" t="str">
        <f aca="false">IF(Raw_Export!$A2607="","",IF(COUNTIF($A$2:A2607,A2607)&gt;1,"Duplicate",""))</f>
        <v/>
      </c>
      <c r="K2607" s="36" t="str">
        <f aca="false">IF(Raw_Export!$A2607="","",IF(J2607="Duplicate","Duplicate",IF(OR(C2607="UNMAPPED",D2607="UNMAPPED"),"Unmapped",IF(F2607=0,"Blank qty",IF(F2607&lt;0,"Return","OK")))))</f>
        <v/>
      </c>
      <c r="L2607" s="36" t="str">
        <f aca="false">IF(Raw_Export!$A2607="","",IF(OR(K2607="OK",K2607="Return"),1,0))</f>
        <v/>
      </c>
      <c r="M2607" s="37" t="str">
        <f aca="false">IF(Raw_Export!$A2607="","",B2607-WEEKDAY(B2607,2)+1)</f>
        <v/>
      </c>
    </row>
    <row r="2608" customFormat="false" ht="15" hidden="false" customHeight="false" outlineLevel="0" collapsed="false">
      <c r="A2608" s="36" t="str">
        <f aca="false">IF(Raw_Export!$A2608="","",TRIM(Raw_Export!A2608))</f>
        <v/>
      </c>
      <c r="B2608" s="37" t="str">
        <f aca="false">IF(Raw_Export!$A2608="","",IF(ISNUMBER(Raw_Export!B2608),Raw_Export!B2608,IF(MID(TRIM(Raw_Export!B2608),5,1)="-",DATE(LEFT(TRIM(Raw_Export!B2608),4),MID(TRIM(Raw_Export!B2608),6,2),RIGHT(TRIM(Raw_Export!B2608),2)),DATE(RIGHT(TRIM(Raw_Export!B2608),4),MATCH(MID(TRIM(Raw_Export!B2608),4,3),{"Jan","Feb","Mar","Apr","May","Jun","Jul","Aug","Sep","Oct","Nov","Dec"},0),LEFT(TRIM(Raw_Export!B2608),2)))))</f>
        <v/>
      </c>
      <c r="C2608" s="36" t="str">
        <f aca="false">IF(Raw_Export!$A2608="","",IFERROR(VLOOKUP(LOWER(TRIM(Raw_Export!C2608)),Maps!$A$2:$B$20,2,FALSE()),"UNMAPPED"))</f>
        <v/>
      </c>
      <c r="D2608" s="36" t="str">
        <f aca="false">IF(Raw_Export!$A2608="","",IFERROR(VLOOKUP(LOWER(TRIM(Raw_Export!D2608)),Maps!$G$2:$I$80,2,FALSE()),"UNMAPPED"))</f>
        <v/>
      </c>
      <c r="E2608" s="36" t="str">
        <f aca="false">IF(Raw_Export!$A2608="","",IFERROR(VLOOKUP(LOWER(TRIM(Raw_Export!D2608)),Maps!$G$2:$I$80,3,FALSE()),"UNMAPPED"))</f>
        <v/>
      </c>
      <c r="F2608" s="36" t="str">
        <f aca="false">IF(Raw_Export!$A2608="","",IFERROR(VALUE(TRIM(Raw_Export!E2608)),0))</f>
        <v/>
      </c>
      <c r="G2608" s="38" t="str">
        <f aca="false">IF(Raw_Export!$A2608="","",IFERROR(VALUE(SUBSTITUTE(SUBSTITUTE(UPPER(TRIM(Raw_Export!F2608)),"KES",""),",","")),0))</f>
        <v/>
      </c>
      <c r="H2608" s="38" t="str">
        <f aca="false">IF(Raw_Export!$A2608="","",F2608*G2608)</f>
        <v/>
      </c>
      <c r="I2608" s="36" t="str">
        <f aca="false">IF(Raw_Export!$A2608="","",IFERROR(VLOOKUP(LOWER(TRIM(Raw_Export!H2608)),Maps!$D$2:$E$12,2,FALSE()),"Other"))</f>
        <v/>
      </c>
      <c r="J2608" s="36" t="str">
        <f aca="false">IF(Raw_Export!$A2608="","",IF(COUNTIF($A$2:A2608,A2608)&gt;1,"Duplicate",""))</f>
        <v/>
      </c>
      <c r="K2608" s="36" t="str">
        <f aca="false">IF(Raw_Export!$A2608="","",IF(J2608="Duplicate","Duplicate",IF(OR(C2608="UNMAPPED",D2608="UNMAPPED"),"Unmapped",IF(F2608=0,"Blank qty",IF(F2608&lt;0,"Return","OK")))))</f>
        <v/>
      </c>
      <c r="L2608" s="36" t="str">
        <f aca="false">IF(Raw_Export!$A2608="","",IF(OR(K2608="OK",K2608="Return"),1,0))</f>
        <v/>
      </c>
      <c r="M2608" s="37" t="str">
        <f aca="false">IF(Raw_Export!$A2608="","",B2608-WEEKDAY(B2608,2)+1)</f>
        <v/>
      </c>
    </row>
    <row r="2609" customFormat="false" ht="15" hidden="false" customHeight="false" outlineLevel="0" collapsed="false">
      <c r="A2609" s="36" t="str">
        <f aca="false">IF(Raw_Export!$A2609="","",TRIM(Raw_Export!A2609))</f>
        <v/>
      </c>
      <c r="B2609" s="37" t="str">
        <f aca="false">IF(Raw_Export!$A2609="","",IF(ISNUMBER(Raw_Export!B2609),Raw_Export!B2609,IF(MID(TRIM(Raw_Export!B2609),5,1)="-",DATE(LEFT(TRIM(Raw_Export!B2609),4),MID(TRIM(Raw_Export!B2609),6,2),RIGHT(TRIM(Raw_Export!B2609),2)),DATE(RIGHT(TRIM(Raw_Export!B2609),4),MATCH(MID(TRIM(Raw_Export!B2609),4,3),{"Jan","Feb","Mar","Apr","May","Jun","Jul","Aug","Sep","Oct","Nov","Dec"},0),LEFT(TRIM(Raw_Export!B2609),2)))))</f>
        <v/>
      </c>
      <c r="C2609" s="36" t="str">
        <f aca="false">IF(Raw_Export!$A2609="","",IFERROR(VLOOKUP(LOWER(TRIM(Raw_Export!C2609)),Maps!$A$2:$B$20,2,FALSE()),"UNMAPPED"))</f>
        <v/>
      </c>
      <c r="D2609" s="36" t="str">
        <f aca="false">IF(Raw_Export!$A2609="","",IFERROR(VLOOKUP(LOWER(TRIM(Raw_Export!D2609)),Maps!$G$2:$I$80,2,FALSE()),"UNMAPPED"))</f>
        <v/>
      </c>
      <c r="E2609" s="36" t="str">
        <f aca="false">IF(Raw_Export!$A2609="","",IFERROR(VLOOKUP(LOWER(TRIM(Raw_Export!D2609)),Maps!$G$2:$I$80,3,FALSE()),"UNMAPPED"))</f>
        <v/>
      </c>
      <c r="F2609" s="36" t="str">
        <f aca="false">IF(Raw_Export!$A2609="","",IFERROR(VALUE(TRIM(Raw_Export!E2609)),0))</f>
        <v/>
      </c>
      <c r="G2609" s="38" t="str">
        <f aca="false">IF(Raw_Export!$A2609="","",IFERROR(VALUE(SUBSTITUTE(SUBSTITUTE(UPPER(TRIM(Raw_Export!F2609)),"KES",""),",","")),0))</f>
        <v/>
      </c>
      <c r="H2609" s="38" t="str">
        <f aca="false">IF(Raw_Export!$A2609="","",F2609*G2609)</f>
        <v/>
      </c>
      <c r="I2609" s="36" t="str">
        <f aca="false">IF(Raw_Export!$A2609="","",IFERROR(VLOOKUP(LOWER(TRIM(Raw_Export!H2609)),Maps!$D$2:$E$12,2,FALSE()),"Other"))</f>
        <v/>
      </c>
      <c r="J2609" s="36" t="str">
        <f aca="false">IF(Raw_Export!$A2609="","",IF(COUNTIF($A$2:A2609,A2609)&gt;1,"Duplicate",""))</f>
        <v/>
      </c>
      <c r="K2609" s="36" t="str">
        <f aca="false">IF(Raw_Export!$A2609="","",IF(J2609="Duplicate","Duplicate",IF(OR(C2609="UNMAPPED",D2609="UNMAPPED"),"Unmapped",IF(F2609=0,"Blank qty",IF(F2609&lt;0,"Return","OK")))))</f>
        <v/>
      </c>
      <c r="L2609" s="36" t="str">
        <f aca="false">IF(Raw_Export!$A2609="","",IF(OR(K2609="OK",K2609="Return"),1,0))</f>
        <v/>
      </c>
      <c r="M2609" s="37" t="str">
        <f aca="false">IF(Raw_Export!$A2609="","",B2609-WEEKDAY(B2609,2)+1)</f>
        <v/>
      </c>
    </row>
    <row r="2610" customFormat="false" ht="15" hidden="false" customHeight="false" outlineLevel="0" collapsed="false">
      <c r="A2610" s="36" t="str">
        <f aca="false">IF(Raw_Export!$A2610="","",TRIM(Raw_Export!A2610))</f>
        <v/>
      </c>
      <c r="B2610" s="37" t="str">
        <f aca="false">IF(Raw_Export!$A2610="","",IF(ISNUMBER(Raw_Export!B2610),Raw_Export!B2610,IF(MID(TRIM(Raw_Export!B2610),5,1)="-",DATE(LEFT(TRIM(Raw_Export!B2610),4),MID(TRIM(Raw_Export!B2610),6,2),RIGHT(TRIM(Raw_Export!B2610),2)),DATE(RIGHT(TRIM(Raw_Export!B2610),4),MATCH(MID(TRIM(Raw_Export!B2610),4,3),{"Jan","Feb","Mar","Apr","May","Jun","Jul","Aug","Sep","Oct","Nov","Dec"},0),LEFT(TRIM(Raw_Export!B2610),2)))))</f>
        <v/>
      </c>
      <c r="C2610" s="36" t="str">
        <f aca="false">IF(Raw_Export!$A2610="","",IFERROR(VLOOKUP(LOWER(TRIM(Raw_Export!C2610)),Maps!$A$2:$B$20,2,FALSE()),"UNMAPPED"))</f>
        <v/>
      </c>
      <c r="D2610" s="36" t="str">
        <f aca="false">IF(Raw_Export!$A2610="","",IFERROR(VLOOKUP(LOWER(TRIM(Raw_Export!D2610)),Maps!$G$2:$I$80,2,FALSE()),"UNMAPPED"))</f>
        <v/>
      </c>
      <c r="E2610" s="36" t="str">
        <f aca="false">IF(Raw_Export!$A2610="","",IFERROR(VLOOKUP(LOWER(TRIM(Raw_Export!D2610)),Maps!$G$2:$I$80,3,FALSE()),"UNMAPPED"))</f>
        <v/>
      </c>
      <c r="F2610" s="36" t="str">
        <f aca="false">IF(Raw_Export!$A2610="","",IFERROR(VALUE(TRIM(Raw_Export!E2610)),0))</f>
        <v/>
      </c>
      <c r="G2610" s="38" t="str">
        <f aca="false">IF(Raw_Export!$A2610="","",IFERROR(VALUE(SUBSTITUTE(SUBSTITUTE(UPPER(TRIM(Raw_Export!F2610)),"KES",""),",","")),0))</f>
        <v/>
      </c>
      <c r="H2610" s="38" t="str">
        <f aca="false">IF(Raw_Export!$A2610="","",F2610*G2610)</f>
        <v/>
      </c>
      <c r="I2610" s="36" t="str">
        <f aca="false">IF(Raw_Export!$A2610="","",IFERROR(VLOOKUP(LOWER(TRIM(Raw_Export!H2610)),Maps!$D$2:$E$12,2,FALSE()),"Other"))</f>
        <v/>
      </c>
      <c r="J2610" s="36" t="str">
        <f aca="false">IF(Raw_Export!$A2610="","",IF(COUNTIF($A$2:A2610,A2610)&gt;1,"Duplicate",""))</f>
        <v/>
      </c>
      <c r="K2610" s="36" t="str">
        <f aca="false">IF(Raw_Export!$A2610="","",IF(J2610="Duplicate","Duplicate",IF(OR(C2610="UNMAPPED",D2610="UNMAPPED"),"Unmapped",IF(F2610=0,"Blank qty",IF(F2610&lt;0,"Return","OK")))))</f>
        <v/>
      </c>
      <c r="L2610" s="36" t="str">
        <f aca="false">IF(Raw_Export!$A2610="","",IF(OR(K2610="OK",K2610="Return"),1,0))</f>
        <v/>
      </c>
      <c r="M2610" s="37" t="str">
        <f aca="false">IF(Raw_Export!$A2610="","",B2610-WEEKDAY(B2610,2)+1)</f>
        <v/>
      </c>
    </row>
    <row r="2611" customFormat="false" ht="15" hidden="false" customHeight="false" outlineLevel="0" collapsed="false">
      <c r="A2611" s="36" t="str">
        <f aca="false">IF(Raw_Export!$A2611="","",TRIM(Raw_Export!A2611))</f>
        <v/>
      </c>
      <c r="B2611" s="37" t="str">
        <f aca="false">IF(Raw_Export!$A2611="","",IF(ISNUMBER(Raw_Export!B2611),Raw_Export!B2611,IF(MID(TRIM(Raw_Export!B2611),5,1)="-",DATE(LEFT(TRIM(Raw_Export!B2611),4),MID(TRIM(Raw_Export!B2611),6,2),RIGHT(TRIM(Raw_Export!B2611),2)),DATE(RIGHT(TRIM(Raw_Export!B2611),4),MATCH(MID(TRIM(Raw_Export!B2611),4,3),{"Jan","Feb","Mar","Apr","May","Jun","Jul","Aug","Sep","Oct","Nov","Dec"},0),LEFT(TRIM(Raw_Export!B2611),2)))))</f>
        <v/>
      </c>
      <c r="C2611" s="36" t="str">
        <f aca="false">IF(Raw_Export!$A2611="","",IFERROR(VLOOKUP(LOWER(TRIM(Raw_Export!C2611)),Maps!$A$2:$B$20,2,FALSE()),"UNMAPPED"))</f>
        <v/>
      </c>
      <c r="D2611" s="36" t="str">
        <f aca="false">IF(Raw_Export!$A2611="","",IFERROR(VLOOKUP(LOWER(TRIM(Raw_Export!D2611)),Maps!$G$2:$I$80,2,FALSE()),"UNMAPPED"))</f>
        <v/>
      </c>
      <c r="E2611" s="36" t="str">
        <f aca="false">IF(Raw_Export!$A2611="","",IFERROR(VLOOKUP(LOWER(TRIM(Raw_Export!D2611)),Maps!$G$2:$I$80,3,FALSE()),"UNMAPPED"))</f>
        <v/>
      </c>
      <c r="F2611" s="36" t="str">
        <f aca="false">IF(Raw_Export!$A2611="","",IFERROR(VALUE(TRIM(Raw_Export!E2611)),0))</f>
        <v/>
      </c>
      <c r="G2611" s="38" t="str">
        <f aca="false">IF(Raw_Export!$A2611="","",IFERROR(VALUE(SUBSTITUTE(SUBSTITUTE(UPPER(TRIM(Raw_Export!F2611)),"KES",""),",","")),0))</f>
        <v/>
      </c>
      <c r="H2611" s="38" t="str">
        <f aca="false">IF(Raw_Export!$A2611="","",F2611*G2611)</f>
        <v/>
      </c>
      <c r="I2611" s="36" t="str">
        <f aca="false">IF(Raw_Export!$A2611="","",IFERROR(VLOOKUP(LOWER(TRIM(Raw_Export!H2611)),Maps!$D$2:$E$12,2,FALSE()),"Other"))</f>
        <v/>
      </c>
      <c r="J2611" s="36" t="str">
        <f aca="false">IF(Raw_Export!$A2611="","",IF(COUNTIF($A$2:A2611,A2611)&gt;1,"Duplicate",""))</f>
        <v/>
      </c>
      <c r="K2611" s="36" t="str">
        <f aca="false">IF(Raw_Export!$A2611="","",IF(J2611="Duplicate","Duplicate",IF(OR(C2611="UNMAPPED",D2611="UNMAPPED"),"Unmapped",IF(F2611=0,"Blank qty",IF(F2611&lt;0,"Return","OK")))))</f>
        <v/>
      </c>
      <c r="L2611" s="36" t="str">
        <f aca="false">IF(Raw_Export!$A2611="","",IF(OR(K2611="OK",K2611="Return"),1,0))</f>
        <v/>
      </c>
      <c r="M2611" s="37" t="str">
        <f aca="false">IF(Raw_Export!$A2611="","",B2611-WEEKDAY(B2611,2)+1)</f>
        <v/>
      </c>
    </row>
    <row r="2612" customFormat="false" ht="15" hidden="false" customHeight="false" outlineLevel="0" collapsed="false">
      <c r="A2612" s="36" t="str">
        <f aca="false">IF(Raw_Export!$A2612="","",TRIM(Raw_Export!A2612))</f>
        <v/>
      </c>
      <c r="B2612" s="37" t="str">
        <f aca="false">IF(Raw_Export!$A2612="","",IF(ISNUMBER(Raw_Export!B2612),Raw_Export!B2612,IF(MID(TRIM(Raw_Export!B2612),5,1)="-",DATE(LEFT(TRIM(Raw_Export!B2612),4),MID(TRIM(Raw_Export!B2612),6,2),RIGHT(TRIM(Raw_Export!B2612),2)),DATE(RIGHT(TRIM(Raw_Export!B2612),4),MATCH(MID(TRIM(Raw_Export!B2612),4,3),{"Jan","Feb","Mar","Apr","May","Jun","Jul","Aug","Sep","Oct","Nov","Dec"},0),LEFT(TRIM(Raw_Export!B2612),2)))))</f>
        <v/>
      </c>
      <c r="C2612" s="36" t="str">
        <f aca="false">IF(Raw_Export!$A2612="","",IFERROR(VLOOKUP(LOWER(TRIM(Raw_Export!C2612)),Maps!$A$2:$B$20,2,FALSE()),"UNMAPPED"))</f>
        <v/>
      </c>
      <c r="D2612" s="36" t="str">
        <f aca="false">IF(Raw_Export!$A2612="","",IFERROR(VLOOKUP(LOWER(TRIM(Raw_Export!D2612)),Maps!$G$2:$I$80,2,FALSE()),"UNMAPPED"))</f>
        <v/>
      </c>
      <c r="E2612" s="36" t="str">
        <f aca="false">IF(Raw_Export!$A2612="","",IFERROR(VLOOKUP(LOWER(TRIM(Raw_Export!D2612)),Maps!$G$2:$I$80,3,FALSE()),"UNMAPPED"))</f>
        <v/>
      </c>
      <c r="F2612" s="36" t="str">
        <f aca="false">IF(Raw_Export!$A2612="","",IFERROR(VALUE(TRIM(Raw_Export!E2612)),0))</f>
        <v/>
      </c>
      <c r="G2612" s="38" t="str">
        <f aca="false">IF(Raw_Export!$A2612="","",IFERROR(VALUE(SUBSTITUTE(SUBSTITUTE(UPPER(TRIM(Raw_Export!F2612)),"KES",""),",","")),0))</f>
        <v/>
      </c>
      <c r="H2612" s="38" t="str">
        <f aca="false">IF(Raw_Export!$A2612="","",F2612*G2612)</f>
        <v/>
      </c>
      <c r="I2612" s="36" t="str">
        <f aca="false">IF(Raw_Export!$A2612="","",IFERROR(VLOOKUP(LOWER(TRIM(Raw_Export!H2612)),Maps!$D$2:$E$12,2,FALSE()),"Other"))</f>
        <v/>
      </c>
      <c r="J2612" s="36" t="str">
        <f aca="false">IF(Raw_Export!$A2612="","",IF(COUNTIF($A$2:A2612,A2612)&gt;1,"Duplicate",""))</f>
        <v/>
      </c>
      <c r="K2612" s="36" t="str">
        <f aca="false">IF(Raw_Export!$A2612="","",IF(J2612="Duplicate","Duplicate",IF(OR(C2612="UNMAPPED",D2612="UNMAPPED"),"Unmapped",IF(F2612=0,"Blank qty",IF(F2612&lt;0,"Return","OK")))))</f>
        <v/>
      </c>
      <c r="L2612" s="36" t="str">
        <f aca="false">IF(Raw_Export!$A2612="","",IF(OR(K2612="OK",K2612="Return"),1,0))</f>
        <v/>
      </c>
      <c r="M2612" s="37" t="str">
        <f aca="false">IF(Raw_Export!$A2612="","",B2612-WEEKDAY(B2612,2)+1)</f>
        <v/>
      </c>
    </row>
    <row r="2613" customFormat="false" ht="15" hidden="false" customHeight="false" outlineLevel="0" collapsed="false">
      <c r="A2613" s="36" t="str">
        <f aca="false">IF(Raw_Export!$A2613="","",TRIM(Raw_Export!A2613))</f>
        <v/>
      </c>
      <c r="B2613" s="37" t="str">
        <f aca="false">IF(Raw_Export!$A2613="","",IF(ISNUMBER(Raw_Export!B2613),Raw_Export!B2613,IF(MID(TRIM(Raw_Export!B2613),5,1)="-",DATE(LEFT(TRIM(Raw_Export!B2613),4),MID(TRIM(Raw_Export!B2613),6,2),RIGHT(TRIM(Raw_Export!B2613),2)),DATE(RIGHT(TRIM(Raw_Export!B2613),4),MATCH(MID(TRIM(Raw_Export!B2613),4,3),{"Jan","Feb","Mar","Apr","May","Jun","Jul","Aug","Sep","Oct","Nov","Dec"},0),LEFT(TRIM(Raw_Export!B2613),2)))))</f>
        <v/>
      </c>
      <c r="C2613" s="36" t="str">
        <f aca="false">IF(Raw_Export!$A2613="","",IFERROR(VLOOKUP(LOWER(TRIM(Raw_Export!C2613)),Maps!$A$2:$B$20,2,FALSE()),"UNMAPPED"))</f>
        <v/>
      </c>
      <c r="D2613" s="36" t="str">
        <f aca="false">IF(Raw_Export!$A2613="","",IFERROR(VLOOKUP(LOWER(TRIM(Raw_Export!D2613)),Maps!$G$2:$I$80,2,FALSE()),"UNMAPPED"))</f>
        <v/>
      </c>
      <c r="E2613" s="36" t="str">
        <f aca="false">IF(Raw_Export!$A2613="","",IFERROR(VLOOKUP(LOWER(TRIM(Raw_Export!D2613)),Maps!$G$2:$I$80,3,FALSE()),"UNMAPPED"))</f>
        <v/>
      </c>
      <c r="F2613" s="36" t="str">
        <f aca="false">IF(Raw_Export!$A2613="","",IFERROR(VALUE(TRIM(Raw_Export!E2613)),0))</f>
        <v/>
      </c>
      <c r="G2613" s="38" t="str">
        <f aca="false">IF(Raw_Export!$A2613="","",IFERROR(VALUE(SUBSTITUTE(SUBSTITUTE(UPPER(TRIM(Raw_Export!F2613)),"KES",""),",","")),0))</f>
        <v/>
      </c>
      <c r="H2613" s="38" t="str">
        <f aca="false">IF(Raw_Export!$A2613="","",F2613*G2613)</f>
        <v/>
      </c>
      <c r="I2613" s="36" t="str">
        <f aca="false">IF(Raw_Export!$A2613="","",IFERROR(VLOOKUP(LOWER(TRIM(Raw_Export!H2613)),Maps!$D$2:$E$12,2,FALSE()),"Other"))</f>
        <v/>
      </c>
      <c r="J2613" s="36" t="str">
        <f aca="false">IF(Raw_Export!$A2613="","",IF(COUNTIF($A$2:A2613,A2613)&gt;1,"Duplicate",""))</f>
        <v/>
      </c>
      <c r="K2613" s="36" t="str">
        <f aca="false">IF(Raw_Export!$A2613="","",IF(J2613="Duplicate","Duplicate",IF(OR(C2613="UNMAPPED",D2613="UNMAPPED"),"Unmapped",IF(F2613=0,"Blank qty",IF(F2613&lt;0,"Return","OK")))))</f>
        <v/>
      </c>
      <c r="L2613" s="36" t="str">
        <f aca="false">IF(Raw_Export!$A2613="","",IF(OR(K2613="OK",K2613="Return"),1,0))</f>
        <v/>
      </c>
      <c r="M2613" s="37" t="str">
        <f aca="false">IF(Raw_Export!$A2613="","",B2613-WEEKDAY(B2613,2)+1)</f>
        <v/>
      </c>
    </row>
    <row r="2614" customFormat="false" ht="15" hidden="false" customHeight="false" outlineLevel="0" collapsed="false">
      <c r="A2614" s="36" t="str">
        <f aca="false">IF(Raw_Export!$A2614="","",TRIM(Raw_Export!A2614))</f>
        <v/>
      </c>
      <c r="B2614" s="37" t="str">
        <f aca="false">IF(Raw_Export!$A2614="","",IF(ISNUMBER(Raw_Export!B2614),Raw_Export!B2614,IF(MID(TRIM(Raw_Export!B2614),5,1)="-",DATE(LEFT(TRIM(Raw_Export!B2614),4),MID(TRIM(Raw_Export!B2614),6,2),RIGHT(TRIM(Raw_Export!B2614),2)),DATE(RIGHT(TRIM(Raw_Export!B2614),4),MATCH(MID(TRIM(Raw_Export!B2614),4,3),{"Jan","Feb","Mar","Apr","May","Jun","Jul","Aug","Sep","Oct","Nov","Dec"},0),LEFT(TRIM(Raw_Export!B2614),2)))))</f>
        <v/>
      </c>
      <c r="C2614" s="36" t="str">
        <f aca="false">IF(Raw_Export!$A2614="","",IFERROR(VLOOKUP(LOWER(TRIM(Raw_Export!C2614)),Maps!$A$2:$B$20,2,FALSE()),"UNMAPPED"))</f>
        <v/>
      </c>
      <c r="D2614" s="36" t="str">
        <f aca="false">IF(Raw_Export!$A2614="","",IFERROR(VLOOKUP(LOWER(TRIM(Raw_Export!D2614)),Maps!$G$2:$I$80,2,FALSE()),"UNMAPPED"))</f>
        <v/>
      </c>
      <c r="E2614" s="36" t="str">
        <f aca="false">IF(Raw_Export!$A2614="","",IFERROR(VLOOKUP(LOWER(TRIM(Raw_Export!D2614)),Maps!$G$2:$I$80,3,FALSE()),"UNMAPPED"))</f>
        <v/>
      </c>
      <c r="F2614" s="36" t="str">
        <f aca="false">IF(Raw_Export!$A2614="","",IFERROR(VALUE(TRIM(Raw_Export!E2614)),0))</f>
        <v/>
      </c>
      <c r="G2614" s="38" t="str">
        <f aca="false">IF(Raw_Export!$A2614="","",IFERROR(VALUE(SUBSTITUTE(SUBSTITUTE(UPPER(TRIM(Raw_Export!F2614)),"KES",""),",","")),0))</f>
        <v/>
      </c>
      <c r="H2614" s="38" t="str">
        <f aca="false">IF(Raw_Export!$A2614="","",F2614*G2614)</f>
        <v/>
      </c>
      <c r="I2614" s="36" t="str">
        <f aca="false">IF(Raw_Export!$A2614="","",IFERROR(VLOOKUP(LOWER(TRIM(Raw_Export!H2614)),Maps!$D$2:$E$12,2,FALSE()),"Other"))</f>
        <v/>
      </c>
      <c r="J2614" s="36" t="str">
        <f aca="false">IF(Raw_Export!$A2614="","",IF(COUNTIF($A$2:A2614,A2614)&gt;1,"Duplicate",""))</f>
        <v/>
      </c>
      <c r="K2614" s="36" t="str">
        <f aca="false">IF(Raw_Export!$A2614="","",IF(J2614="Duplicate","Duplicate",IF(OR(C2614="UNMAPPED",D2614="UNMAPPED"),"Unmapped",IF(F2614=0,"Blank qty",IF(F2614&lt;0,"Return","OK")))))</f>
        <v/>
      </c>
      <c r="L2614" s="36" t="str">
        <f aca="false">IF(Raw_Export!$A2614="","",IF(OR(K2614="OK",K2614="Return"),1,0))</f>
        <v/>
      </c>
      <c r="M2614" s="37" t="str">
        <f aca="false">IF(Raw_Export!$A2614="","",B2614-WEEKDAY(B2614,2)+1)</f>
        <v/>
      </c>
    </row>
    <row r="2615" customFormat="false" ht="15" hidden="false" customHeight="false" outlineLevel="0" collapsed="false">
      <c r="A2615" s="36" t="str">
        <f aca="false">IF(Raw_Export!$A2615="","",TRIM(Raw_Export!A2615))</f>
        <v/>
      </c>
      <c r="B2615" s="37" t="str">
        <f aca="false">IF(Raw_Export!$A2615="","",IF(ISNUMBER(Raw_Export!B2615),Raw_Export!B2615,IF(MID(TRIM(Raw_Export!B2615),5,1)="-",DATE(LEFT(TRIM(Raw_Export!B2615),4),MID(TRIM(Raw_Export!B2615),6,2),RIGHT(TRIM(Raw_Export!B2615),2)),DATE(RIGHT(TRIM(Raw_Export!B2615),4),MATCH(MID(TRIM(Raw_Export!B2615),4,3),{"Jan","Feb","Mar","Apr","May","Jun","Jul","Aug","Sep","Oct","Nov","Dec"},0),LEFT(TRIM(Raw_Export!B2615),2)))))</f>
        <v/>
      </c>
      <c r="C2615" s="36" t="str">
        <f aca="false">IF(Raw_Export!$A2615="","",IFERROR(VLOOKUP(LOWER(TRIM(Raw_Export!C2615)),Maps!$A$2:$B$20,2,FALSE()),"UNMAPPED"))</f>
        <v/>
      </c>
      <c r="D2615" s="36" t="str">
        <f aca="false">IF(Raw_Export!$A2615="","",IFERROR(VLOOKUP(LOWER(TRIM(Raw_Export!D2615)),Maps!$G$2:$I$80,2,FALSE()),"UNMAPPED"))</f>
        <v/>
      </c>
      <c r="E2615" s="36" t="str">
        <f aca="false">IF(Raw_Export!$A2615="","",IFERROR(VLOOKUP(LOWER(TRIM(Raw_Export!D2615)),Maps!$G$2:$I$80,3,FALSE()),"UNMAPPED"))</f>
        <v/>
      </c>
      <c r="F2615" s="36" t="str">
        <f aca="false">IF(Raw_Export!$A2615="","",IFERROR(VALUE(TRIM(Raw_Export!E2615)),0))</f>
        <v/>
      </c>
      <c r="G2615" s="38" t="str">
        <f aca="false">IF(Raw_Export!$A2615="","",IFERROR(VALUE(SUBSTITUTE(SUBSTITUTE(UPPER(TRIM(Raw_Export!F2615)),"KES",""),",","")),0))</f>
        <v/>
      </c>
      <c r="H2615" s="38" t="str">
        <f aca="false">IF(Raw_Export!$A2615="","",F2615*G2615)</f>
        <v/>
      </c>
      <c r="I2615" s="36" t="str">
        <f aca="false">IF(Raw_Export!$A2615="","",IFERROR(VLOOKUP(LOWER(TRIM(Raw_Export!H2615)),Maps!$D$2:$E$12,2,FALSE()),"Other"))</f>
        <v/>
      </c>
      <c r="J2615" s="36" t="str">
        <f aca="false">IF(Raw_Export!$A2615="","",IF(COUNTIF($A$2:A2615,A2615)&gt;1,"Duplicate",""))</f>
        <v/>
      </c>
      <c r="K2615" s="36" t="str">
        <f aca="false">IF(Raw_Export!$A2615="","",IF(J2615="Duplicate","Duplicate",IF(OR(C2615="UNMAPPED",D2615="UNMAPPED"),"Unmapped",IF(F2615=0,"Blank qty",IF(F2615&lt;0,"Return","OK")))))</f>
        <v/>
      </c>
      <c r="L2615" s="36" t="str">
        <f aca="false">IF(Raw_Export!$A2615="","",IF(OR(K2615="OK",K2615="Return"),1,0))</f>
        <v/>
      </c>
      <c r="M2615" s="37" t="str">
        <f aca="false">IF(Raw_Export!$A2615="","",B2615-WEEKDAY(B2615,2)+1)</f>
        <v/>
      </c>
    </row>
    <row r="2616" customFormat="false" ht="15" hidden="false" customHeight="false" outlineLevel="0" collapsed="false">
      <c r="A2616" s="36" t="str">
        <f aca="false">IF(Raw_Export!$A2616="","",TRIM(Raw_Export!A2616))</f>
        <v/>
      </c>
      <c r="B2616" s="37" t="str">
        <f aca="false">IF(Raw_Export!$A2616="","",IF(ISNUMBER(Raw_Export!B2616),Raw_Export!B2616,IF(MID(TRIM(Raw_Export!B2616),5,1)="-",DATE(LEFT(TRIM(Raw_Export!B2616),4),MID(TRIM(Raw_Export!B2616),6,2),RIGHT(TRIM(Raw_Export!B2616),2)),DATE(RIGHT(TRIM(Raw_Export!B2616),4),MATCH(MID(TRIM(Raw_Export!B2616),4,3),{"Jan","Feb","Mar","Apr","May","Jun","Jul","Aug","Sep","Oct","Nov","Dec"},0),LEFT(TRIM(Raw_Export!B2616),2)))))</f>
        <v/>
      </c>
      <c r="C2616" s="36" t="str">
        <f aca="false">IF(Raw_Export!$A2616="","",IFERROR(VLOOKUP(LOWER(TRIM(Raw_Export!C2616)),Maps!$A$2:$B$20,2,FALSE()),"UNMAPPED"))</f>
        <v/>
      </c>
      <c r="D2616" s="36" t="str">
        <f aca="false">IF(Raw_Export!$A2616="","",IFERROR(VLOOKUP(LOWER(TRIM(Raw_Export!D2616)),Maps!$G$2:$I$80,2,FALSE()),"UNMAPPED"))</f>
        <v/>
      </c>
      <c r="E2616" s="36" t="str">
        <f aca="false">IF(Raw_Export!$A2616="","",IFERROR(VLOOKUP(LOWER(TRIM(Raw_Export!D2616)),Maps!$G$2:$I$80,3,FALSE()),"UNMAPPED"))</f>
        <v/>
      </c>
      <c r="F2616" s="36" t="str">
        <f aca="false">IF(Raw_Export!$A2616="","",IFERROR(VALUE(TRIM(Raw_Export!E2616)),0))</f>
        <v/>
      </c>
      <c r="G2616" s="38" t="str">
        <f aca="false">IF(Raw_Export!$A2616="","",IFERROR(VALUE(SUBSTITUTE(SUBSTITUTE(UPPER(TRIM(Raw_Export!F2616)),"KES",""),",","")),0))</f>
        <v/>
      </c>
      <c r="H2616" s="38" t="str">
        <f aca="false">IF(Raw_Export!$A2616="","",F2616*G2616)</f>
        <v/>
      </c>
      <c r="I2616" s="36" t="str">
        <f aca="false">IF(Raw_Export!$A2616="","",IFERROR(VLOOKUP(LOWER(TRIM(Raw_Export!H2616)),Maps!$D$2:$E$12,2,FALSE()),"Other"))</f>
        <v/>
      </c>
      <c r="J2616" s="36" t="str">
        <f aca="false">IF(Raw_Export!$A2616="","",IF(COUNTIF($A$2:A2616,A2616)&gt;1,"Duplicate",""))</f>
        <v/>
      </c>
      <c r="K2616" s="36" t="str">
        <f aca="false">IF(Raw_Export!$A2616="","",IF(J2616="Duplicate","Duplicate",IF(OR(C2616="UNMAPPED",D2616="UNMAPPED"),"Unmapped",IF(F2616=0,"Blank qty",IF(F2616&lt;0,"Return","OK")))))</f>
        <v/>
      </c>
      <c r="L2616" s="36" t="str">
        <f aca="false">IF(Raw_Export!$A2616="","",IF(OR(K2616="OK",K2616="Return"),1,0))</f>
        <v/>
      </c>
      <c r="M2616" s="37" t="str">
        <f aca="false">IF(Raw_Export!$A2616="","",B2616-WEEKDAY(B2616,2)+1)</f>
        <v/>
      </c>
    </row>
    <row r="2617" customFormat="false" ht="15" hidden="false" customHeight="false" outlineLevel="0" collapsed="false">
      <c r="A2617" s="36" t="str">
        <f aca="false">IF(Raw_Export!$A2617="","",TRIM(Raw_Export!A2617))</f>
        <v/>
      </c>
      <c r="B2617" s="37" t="str">
        <f aca="false">IF(Raw_Export!$A2617="","",IF(ISNUMBER(Raw_Export!B2617),Raw_Export!B2617,IF(MID(TRIM(Raw_Export!B2617),5,1)="-",DATE(LEFT(TRIM(Raw_Export!B2617),4),MID(TRIM(Raw_Export!B2617),6,2),RIGHT(TRIM(Raw_Export!B2617),2)),DATE(RIGHT(TRIM(Raw_Export!B2617),4),MATCH(MID(TRIM(Raw_Export!B2617),4,3),{"Jan","Feb","Mar","Apr","May","Jun","Jul","Aug","Sep","Oct","Nov","Dec"},0),LEFT(TRIM(Raw_Export!B2617),2)))))</f>
        <v/>
      </c>
      <c r="C2617" s="36" t="str">
        <f aca="false">IF(Raw_Export!$A2617="","",IFERROR(VLOOKUP(LOWER(TRIM(Raw_Export!C2617)),Maps!$A$2:$B$20,2,FALSE()),"UNMAPPED"))</f>
        <v/>
      </c>
      <c r="D2617" s="36" t="str">
        <f aca="false">IF(Raw_Export!$A2617="","",IFERROR(VLOOKUP(LOWER(TRIM(Raw_Export!D2617)),Maps!$G$2:$I$80,2,FALSE()),"UNMAPPED"))</f>
        <v/>
      </c>
      <c r="E2617" s="36" t="str">
        <f aca="false">IF(Raw_Export!$A2617="","",IFERROR(VLOOKUP(LOWER(TRIM(Raw_Export!D2617)),Maps!$G$2:$I$80,3,FALSE()),"UNMAPPED"))</f>
        <v/>
      </c>
      <c r="F2617" s="36" t="str">
        <f aca="false">IF(Raw_Export!$A2617="","",IFERROR(VALUE(TRIM(Raw_Export!E2617)),0))</f>
        <v/>
      </c>
      <c r="G2617" s="38" t="str">
        <f aca="false">IF(Raw_Export!$A2617="","",IFERROR(VALUE(SUBSTITUTE(SUBSTITUTE(UPPER(TRIM(Raw_Export!F2617)),"KES",""),",","")),0))</f>
        <v/>
      </c>
      <c r="H2617" s="38" t="str">
        <f aca="false">IF(Raw_Export!$A2617="","",F2617*G2617)</f>
        <v/>
      </c>
      <c r="I2617" s="36" t="str">
        <f aca="false">IF(Raw_Export!$A2617="","",IFERROR(VLOOKUP(LOWER(TRIM(Raw_Export!H2617)),Maps!$D$2:$E$12,2,FALSE()),"Other"))</f>
        <v/>
      </c>
      <c r="J2617" s="36" t="str">
        <f aca="false">IF(Raw_Export!$A2617="","",IF(COUNTIF($A$2:A2617,A2617)&gt;1,"Duplicate",""))</f>
        <v/>
      </c>
      <c r="K2617" s="36" t="str">
        <f aca="false">IF(Raw_Export!$A2617="","",IF(J2617="Duplicate","Duplicate",IF(OR(C2617="UNMAPPED",D2617="UNMAPPED"),"Unmapped",IF(F2617=0,"Blank qty",IF(F2617&lt;0,"Return","OK")))))</f>
        <v/>
      </c>
      <c r="L2617" s="36" t="str">
        <f aca="false">IF(Raw_Export!$A2617="","",IF(OR(K2617="OK",K2617="Return"),1,0))</f>
        <v/>
      </c>
      <c r="M2617" s="37" t="str">
        <f aca="false">IF(Raw_Export!$A2617="","",B2617-WEEKDAY(B2617,2)+1)</f>
        <v/>
      </c>
    </row>
    <row r="2618" customFormat="false" ht="15" hidden="false" customHeight="false" outlineLevel="0" collapsed="false">
      <c r="A2618" s="36" t="str">
        <f aca="false">IF(Raw_Export!$A2618="","",TRIM(Raw_Export!A2618))</f>
        <v/>
      </c>
      <c r="B2618" s="37" t="str">
        <f aca="false">IF(Raw_Export!$A2618="","",IF(ISNUMBER(Raw_Export!B2618),Raw_Export!B2618,IF(MID(TRIM(Raw_Export!B2618),5,1)="-",DATE(LEFT(TRIM(Raw_Export!B2618),4),MID(TRIM(Raw_Export!B2618),6,2),RIGHT(TRIM(Raw_Export!B2618),2)),DATE(RIGHT(TRIM(Raw_Export!B2618),4),MATCH(MID(TRIM(Raw_Export!B2618),4,3),{"Jan","Feb","Mar","Apr","May","Jun","Jul","Aug","Sep","Oct","Nov","Dec"},0),LEFT(TRIM(Raw_Export!B2618),2)))))</f>
        <v/>
      </c>
      <c r="C2618" s="36" t="str">
        <f aca="false">IF(Raw_Export!$A2618="","",IFERROR(VLOOKUP(LOWER(TRIM(Raw_Export!C2618)),Maps!$A$2:$B$20,2,FALSE()),"UNMAPPED"))</f>
        <v/>
      </c>
      <c r="D2618" s="36" t="str">
        <f aca="false">IF(Raw_Export!$A2618="","",IFERROR(VLOOKUP(LOWER(TRIM(Raw_Export!D2618)),Maps!$G$2:$I$80,2,FALSE()),"UNMAPPED"))</f>
        <v/>
      </c>
      <c r="E2618" s="36" t="str">
        <f aca="false">IF(Raw_Export!$A2618="","",IFERROR(VLOOKUP(LOWER(TRIM(Raw_Export!D2618)),Maps!$G$2:$I$80,3,FALSE()),"UNMAPPED"))</f>
        <v/>
      </c>
      <c r="F2618" s="36" t="str">
        <f aca="false">IF(Raw_Export!$A2618="","",IFERROR(VALUE(TRIM(Raw_Export!E2618)),0))</f>
        <v/>
      </c>
      <c r="G2618" s="38" t="str">
        <f aca="false">IF(Raw_Export!$A2618="","",IFERROR(VALUE(SUBSTITUTE(SUBSTITUTE(UPPER(TRIM(Raw_Export!F2618)),"KES",""),",","")),0))</f>
        <v/>
      </c>
      <c r="H2618" s="38" t="str">
        <f aca="false">IF(Raw_Export!$A2618="","",F2618*G2618)</f>
        <v/>
      </c>
      <c r="I2618" s="36" t="str">
        <f aca="false">IF(Raw_Export!$A2618="","",IFERROR(VLOOKUP(LOWER(TRIM(Raw_Export!H2618)),Maps!$D$2:$E$12,2,FALSE()),"Other"))</f>
        <v/>
      </c>
      <c r="J2618" s="36" t="str">
        <f aca="false">IF(Raw_Export!$A2618="","",IF(COUNTIF($A$2:A2618,A2618)&gt;1,"Duplicate",""))</f>
        <v/>
      </c>
      <c r="K2618" s="36" t="str">
        <f aca="false">IF(Raw_Export!$A2618="","",IF(J2618="Duplicate","Duplicate",IF(OR(C2618="UNMAPPED",D2618="UNMAPPED"),"Unmapped",IF(F2618=0,"Blank qty",IF(F2618&lt;0,"Return","OK")))))</f>
        <v/>
      </c>
      <c r="L2618" s="36" t="str">
        <f aca="false">IF(Raw_Export!$A2618="","",IF(OR(K2618="OK",K2618="Return"),1,0))</f>
        <v/>
      </c>
      <c r="M2618" s="37" t="str">
        <f aca="false">IF(Raw_Export!$A2618="","",B2618-WEEKDAY(B2618,2)+1)</f>
        <v/>
      </c>
    </row>
    <row r="2619" customFormat="false" ht="15" hidden="false" customHeight="false" outlineLevel="0" collapsed="false">
      <c r="A2619" s="36" t="str">
        <f aca="false">IF(Raw_Export!$A2619="","",TRIM(Raw_Export!A2619))</f>
        <v/>
      </c>
      <c r="B2619" s="37" t="str">
        <f aca="false">IF(Raw_Export!$A2619="","",IF(ISNUMBER(Raw_Export!B2619),Raw_Export!B2619,IF(MID(TRIM(Raw_Export!B2619),5,1)="-",DATE(LEFT(TRIM(Raw_Export!B2619),4),MID(TRIM(Raw_Export!B2619),6,2),RIGHT(TRIM(Raw_Export!B2619),2)),DATE(RIGHT(TRIM(Raw_Export!B2619),4),MATCH(MID(TRIM(Raw_Export!B2619),4,3),{"Jan","Feb","Mar","Apr","May","Jun","Jul","Aug","Sep","Oct","Nov","Dec"},0),LEFT(TRIM(Raw_Export!B2619),2)))))</f>
        <v/>
      </c>
      <c r="C2619" s="36" t="str">
        <f aca="false">IF(Raw_Export!$A2619="","",IFERROR(VLOOKUP(LOWER(TRIM(Raw_Export!C2619)),Maps!$A$2:$B$20,2,FALSE()),"UNMAPPED"))</f>
        <v/>
      </c>
      <c r="D2619" s="36" t="str">
        <f aca="false">IF(Raw_Export!$A2619="","",IFERROR(VLOOKUP(LOWER(TRIM(Raw_Export!D2619)),Maps!$G$2:$I$80,2,FALSE()),"UNMAPPED"))</f>
        <v/>
      </c>
      <c r="E2619" s="36" t="str">
        <f aca="false">IF(Raw_Export!$A2619="","",IFERROR(VLOOKUP(LOWER(TRIM(Raw_Export!D2619)),Maps!$G$2:$I$80,3,FALSE()),"UNMAPPED"))</f>
        <v/>
      </c>
      <c r="F2619" s="36" t="str">
        <f aca="false">IF(Raw_Export!$A2619="","",IFERROR(VALUE(TRIM(Raw_Export!E2619)),0))</f>
        <v/>
      </c>
      <c r="G2619" s="38" t="str">
        <f aca="false">IF(Raw_Export!$A2619="","",IFERROR(VALUE(SUBSTITUTE(SUBSTITUTE(UPPER(TRIM(Raw_Export!F2619)),"KES",""),",","")),0))</f>
        <v/>
      </c>
      <c r="H2619" s="38" t="str">
        <f aca="false">IF(Raw_Export!$A2619="","",F2619*G2619)</f>
        <v/>
      </c>
      <c r="I2619" s="36" t="str">
        <f aca="false">IF(Raw_Export!$A2619="","",IFERROR(VLOOKUP(LOWER(TRIM(Raw_Export!H2619)),Maps!$D$2:$E$12,2,FALSE()),"Other"))</f>
        <v/>
      </c>
      <c r="J2619" s="36" t="str">
        <f aca="false">IF(Raw_Export!$A2619="","",IF(COUNTIF($A$2:A2619,A2619)&gt;1,"Duplicate",""))</f>
        <v/>
      </c>
      <c r="K2619" s="36" t="str">
        <f aca="false">IF(Raw_Export!$A2619="","",IF(J2619="Duplicate","Duplicate",IF(OR(C2619="UNMAPPED",D2619="UNMAPPED"),"Unmapped",IF(F2619=0,"Blank qty",IF(F2619&lt;0,"Return","OK")))))</f>
        <v/>
      </c>
      <c r="L2619" s="36" t="str">
        <f aca="false">IF(Raw_Export!$A2619="","",IF(OR(K2619="OK",K2619="Return"),1,0))</f>
        <v/>
      </c>
      <c r="M2619" s="37" t="str">
        <f aca="false">IF(Raw_Export!$A2619="","",B2619-WEEKDAY(B2619,2)+1)</f>
        <v/>
      </c>
    </row>
    <row r="2620" customFormat="false" ht="15" hidden="false" customHeight="false" outlineLevel="0" collapsed="false">
      <c r="A2620" s="36" t="str">
        <f aca="false">IF(Raw_Export!$A2620="","",TRIM(Raw_Export!A2620))</f>
        <v/>
      </c>
      <c r="B2620" s="37" t="str">
        <f aca="false">IF(Raw_Export!$A2620="","",IF(ISNUMBER(Raw_Export!B2620),Raw_Export!B2620,IF(MID(TRIM(Raw_Export!B2620),5,1)="-",DATE(LEFT(TRIM(Raw_Export!B2620),4),MID(TRIM(Raw_Export!B2620),6,2),RIGHT(TRIM(Raw_Export!B2620),2)),DATE(RIGHT(TRIM(Raw_Export!B2620),4),MATCH(MID(TRIM(Raw_Export!B2620),4,3),{"Jan","Feb","Mar","Apr","May","Jun","Jul","Aug","Sep","Oct","Nov","Dec"},0),LEFT(TRIM(Raw_Export!B2620),2)))))</f>
        <v/>
      </c>
      <c r="C2620" s="36" t="str">
        <f aca="false">IF(Raw_Export!$A2620="","",IFERROR(VLOOKUP(LOWER(TRIM(Raw_Export!C2620)),Maps!$A$2:$B$20,2,FALSE()),"UNMAPPED"))</f>
        <v/>
      </c>
      <c r="D2620" s="36" t="str">
        <f aca="false">IF(Raw_Export!$A2620="","",IFERROR(VLOOKUP(LOWER(TRIM(Raw_Export!D2620)),Maps!$G$2:$I$80,2,FALSE()),"UNMAPPED"))</f>
        <v/>
      </c>
      <c r="E2620" s="36" t="str">
        <f aca="false">IF(Raw_Export!$A2620="","",IFERROR(VLOOKUP(LOWER(TRIM(Raw_Export!D2620)),Maps!$G$2:$I$80,3,FALSE()),"UNMAPPED"))</f>
        <v/>
      </c>
      <c r="F2620" s="36" t="str">
        <f aca="false">IF(Raw_Export!$A2620="","",IFERROR(VALUE(TRIM(Raw_Export!E2620)),0))</f>
        <v/>
      </c>
      <c r="G2620" s="38" t="str">
        <f aca="false">IF(Raw_Export!$A2620="","",IFERROR(VALUE(SUBSTITUTE(SUBSTITUTE(UPPER(TRIM(Raw_Export!F2620)),"KES",""),",","")),0))</f>
        <v/>
      </c>
      <c r="H2620" s="38" t="str">
        <f aca="false">IF(Raw_Export!$A2620="","",F2620*G2620)</f>
        <v/>
      </c>
      <c r="I2620" s="36" t="str">
        <f aca="false">IF(Raw_Export!$A2620="","",IFERROR(VLOOKUP(LOWER(TRIM(Raw_Export!H2620)),Maps!$D$2:$E$12,2,FALSE()),"Other"))</f>
        <v/>
      </c>
      <c r="J2620" s="36" t="str">
        <f aca="false">IF(Raw_Export!$A2620="","",IF(COUNTIF($A$2:A2620,A2620)&gt;1,"Duplicate",""))</f>
        <v/>
      </c>
      <c r="K2620" s="36" t="str">
        <f aca="false">IF(Raw_Export!$A2620="","",IF(J2620="Duplicate","Duplicate",IF(OR(C2620="UNMAPPED",D2620="UNMAPPED"),"Unmapped",IF(F2620=0,"Blank qty",IF(F2620&lt;0,"Return","OK")))))</f>
        <v/>
      </c>
      <c r="L2620" s="36" t="str">
        <f aca="false">IF(Raw_Export!$A2620="","",IF(OR(K2620="OK",K2620="Return"),1,0))</f>
        <v/>
      </c>
      <c r="M2620" s="37" t="str">
        <f aca="false">IF(Raw_Export!$A2620="","",B2620-WEEKDAY(B2620,2)+1)</f>
        <v/>
      </c>
    </row>
    <row r="2621" customFormat="false" ht="15" hidden="false" customHeight="false" outlineLevel="0" collapsed="false">
      <c r="A2621" s="36" t="str">
        <f aca="false">IF(Raw_Export!$A2621="","",TRIM(Raw_Export!A2621))</f>
        <v/>
      </c>
      <c r="B2621" s="37" t="str">
        <f aca="false">IF(Raw_Export!$A2621="","",IF(ISNUMBER(Raw_Export!B2621),Raw_Export!B2621,IF(MID(TRIM(Raw_Export!B2621),5,1)="-",DATE(LEFT(TRIM(Raw_Export!B2621),4),MID(TRIM(Raw_Export!B2621),6,2),RIGHT(TRIM(Raw_Export!B2621),2)),DATE(RIGHT(TRIM(Raw_Export!B2621),4),MATCH(MID(TRIM(Raw_Export!B2621),4,3),{"Jan","Feb","Mar","Apr","May","Jun","Jul","Aug","Sep","Oct","Nov","Dec"},0),LEFT(TRIM(Raw_Export!B2621),2)))))</f>
        <v/>
      </c>
      <c r="C2621" s="36" t="str">
        <f aca="false">IF(Raw_Export!$A2621="","",IFERROR(VLOOKUP(LOWER(TRIM(Raw_Export!C2621)),Maps!$A$2:$B$20,2,FALSE()),"UNMAPPED"))</f>
        <v/>
      </c>
      <c r="D2621" s="36" t="str">
        <f aca="false">IF(Raw_Export!$A2621="","",IFERROR(VLOOKUP(LOWER(TRIM(Raw_Export!D2621)),Maps!$G$2:$I$80,2,FALSE()),"UNMAPPED"))</f>
        <v/>
      </c>
      <c r="E2621" s="36" t="str">
        <f aca="false">IF(Raw_Export!$A2621="","",IFERROR(VLOOKUP(LOWER(TRIM(Raw_Export!D2621)),Maps!$G$2:$I$80,3,FALSE()),"UNMAPPED"))</f>
        <v/>
      </c>
      <c r="F2621" s="36" t="str">
        <f aca="false">IF(Raw_Export!$A2621="","",IFERROR(VALUE(TRIM(Raw_Export!E2621)),0))</f>
        <v/>
      </c>
      <c r="G2621" s="38" t="str">
        <f aca="false">IF(Raw_Export!$A2621="","",IFERROR(VALUE(SUBSTITUTE(SUBSTITUTE(UPPER(TRIM(Raw_Export!F2621)),"KES",""),",","")),0))</f>
        <v/>
      </c>
      <c r="H2621" s="38" t="str">
        <f aca="false">IF(Raw_Export!$A2621="","",F2621*G2621)</f>
        <v/>
      </c>
      <c r="I2621" s="36" t="str">
        <f aca="false">IF(Raw_Export!$A2621="","",IFERROR(VLOOKUP(LOWER(TRIM(Raw_Export!H2621)),Maps!$D$2:$E$12,2,FALSE()),"Other"))</f>
        <v/>
      </c>
      <c r="J2621" s="36" t="str">
        <f aca="false">IF(Raw_Export!$A2621="","",IF(COUNTIF($A$2:A2621,A2621)&gt;1,"Duplicate",""))</f>
        <v/>
      </c>
      <c r="K2621" s="36" t="str">
        <f aca="false">IF(Raw_Export!$A2621="","",IF(J2621="Duplicate","Duplicate",IF(OR(C2621="UNMAPPED",D2621="UNMAPPED"),"Unmapped",IF(F2621=0,"Blank qty",IF(F2621&lt;0,"Return","OK")))))</f>
        <v/>
      </c>
      <c r="L2621" s="36" t="str">
        <f aca="false">IF(Raw_Export!$A2621="","",IF(OR(K2621="OK",K2621="Return"),1,0))</f>
        <v/>
      </c>
      <c r="M2621" s="37" t="str">
        <f aca="false">IF(Raw_Export!$A2621="","",B2621-WEEKDAY(B2621,2)+1)</f>
        <v/>
      </c>
    </row>
    <row r="2622" customFormat="false" ht="15" hidden="false" customHeight="false" outlineLevel="0" collapsed="false">
      <c r="A2622" s="36" t="str">
        <f aca="false">IF(Raw_Export!$A2622="","",TRIM(Raw_Export!A2622))</f>
        <v/>
      </c>
      <c r="B2622" s="37" t="str">
        <f aca="false">IF(Raw_Export!$A2622="","",IF(ISNUMBER(Raw_Export!B2622),Raw_Export!B2622,IF(MID(TRIM(Raw_Export!B2622),5,1)="-",DATE(LEFT(TRIM(Raw_Export!B2622),4),MID(TRIM(Raw_Export!B2622),6,2),RIGHT(TRIM(Raw_Export!B2622),2)),DATE(RIGHT(TRIM(Raw_Export!B2622),4),MATCH(MID(TRIM(Raw_Export!B2622),4,3),{"Jan","Feb","Mar","Apr","May","Jun","Jul","Aug","Sep","Oct","Nov","Dec"},0),LEFT(TRIM(Raw_Export!B2622),2)))))</f>
        <v/>
      </c>
      <c r="C2622" s="36" t="str">
        <f aca="false">IF(Raw_Export!$A2622="","",IFERROR(VLOOKUP(LOWER(TRIM(Raw_Export!C2622)),Maps!$A$2:$B$20,2,FALSE()),"UNMAPPED"))</f>
        <v/>
      </c>
      <c r="D2622" s="36" t="str">
        <f aca="false">IF(Raw_Export!$A2622="","",IFERROR(VLOOKUP(LOWER(TRIM(Raw_Export!D2622)),Maps!$G$2:$I$80,2,FALSE()),"UNMAPPED"))</f>
        <v/>
      </c>
      <c r="E2622" s="36" t="str">
        <f aca="false">IF(Raw_Export!$A2622="","",IFERROR(VLOOKUP(LOWER(TRIM(Raw_Export!D2622)),Maps!$G$2:$I$80,3,FALSE()),"UNMAPPED"))</f>
        <v/>
      </c>
      <c r="F2622" s="36" t="str">
        <f aca="false">IF(Raw_Export!$A2622="","",IFERROR(VALUE(TRIM(Raw_Export!E2622)),0))</f>
        <v/>
      </c>
      <c r="G2622" s="38" t="str">
        <f aca="false">IF(Raw_Export!$A2622="","",IFERROR(VALUE(SUBSTITUTE(SUBSTITUTE(UPPER(TRIM(Raw_Export!F2622)),"KES",""),",","")),0))</f>
        <v/>
      </c>
      <c r="H2622" s="38" t="str">
        <f aca="false">IF(Raw_Export!$A2622="","",F2622*G2622)</f>
        <v/>
      </c>
      <c r="I2622" s="36" t="str">
        <f aca="false">IF(Raw_Export!$A2622="","",IFERROR(VLOOKUP(LOWER(TRIM(Raw_Export!H2622)),Maps!$D$2:$E$12,2,FALSE()),"Other"))</f>
        <v/>
      </c>
      <c r="J2622" s="36" t="str">
        <f aca="false">IF(Raw_Export!$A2622="","",IF(COUNTIF($A$2:A2622,A2622)&gt;1,"Duplicate",""))</f>
        <v/>
      </c>
      <c r="K2622" s="36" t="str">
        <f aca="false">IF(Raw_Export!$A2622="","",IF(J2622="Duplicate","Duplicate",IF(OR(C2622="UNMAPPED",D2622="UNMAPPED"),"Unmapped",IF(F2622=0,"Blank qty",IF(F2622&lt;0,"Return","OK")))))</f>
        <v/>
      </c>
      <c r="L2622" s="36" t="str">
        <f aca="false">IF(Raw_Export!$A2622="","",IF(OR(K2622="OK",K2622="Return"),1,0))</f>
        <v/>
      </c>
      <c r="M2622" s="37" t="str">
        <f aca="false">IF(Raw_Export!$A2622="","",B2622-WEEKDAY(B2622,2)+1)</f>
        <v/>
      </c>
    </row>
    <row r="2623" customFormat="false" ht="15" hidden="false" customHeight="false" outlineLevel="0" collapsed="false">
      <c r="A2623" s="36" t="str">
        <f aca="false">IF(Raw_Export!$A2623="","",TRIM(Raw_Export!A2623))</f>
        <v/>
      </c>
      <c r="B2623" s="37" t="str">
        <f aca="false">IF(Raw_Export!$A2623="","",IF(ISNUMBER(Raw_Export!B2623),Raw_Export!B2623,IF(MID(TRIM(Raw_Export!B2623),5,1)="-",DATE(LEFT(TRIM(Raw_Export!B2623),4),MID(TRIM(Raw_Export!B2623),6,2),RIGHT(TRIM(Raw_Export!B2623),2)),DATE(RIGHT(TRIM(Raw_Export!B2623),4),MATCH(MID(TRIM(Raw_Export!B2623),4,3),{"Jan","Feb","Mar","Apr","May","Jun","Jul","Aug","Sep","Oct","Nov","Dec"},0),LEFT(TRIM(Raw_Export!B2623),2)))))</f>
        <v/>
      </c>
      <c r="C2623" s="36" t="str">
        <f aca="false">IF(Raw_Export!$A2623="","",IFERROR(VLOOKUP(LOWER(TRIM(Raw_Export!C2623)),Maps!$A$2:$B$20,2,FALSE()),"UNMAPPED"))</f>
        <v/>
      </c>
      <c r="D2623" s="36" t="str">
        <f aca="false">IF(Raw_Export!$A2623="","",IFERROR(VLOOKUP(LOWER(TRIM(Raw_Export!D2623)),Maps!$G$2:$I$80,2,FALSE()),"UNMAPPED"))</f>
        <v/>
      </c>
      <c r="E2623" s="36" t="str">
        <f aca="false">IF(Raw_Export!$A2623="","",IFERROR(VLOOKUP(LOWER(TRIM(Raw_Export!D2623)),Maps!$G$2:$I$80,3,FALSE()),"UNMAPPED"))</f>
        <v/>
      </c>
      <c r="F2623" s="36" t="str">
        <f aca="false">IF(Raw_Export!$A2623="","",IFERROR(VALUE(TRIM(Raw_Export!E2623)),0))</f>
        <v/>
      </c>
      <c r="G2623" s="38" t="str">
        <f aca="false">IF(Raw_Export!$A2623="","",IFERROR(VALUE(SUBSTITUTE(SUBSTITUTE(UPPER(TRIM(Raw_Export!F2623)),"KES",""),",","")),0))</f>
        <v/>
      </c>
      <c r="H2623" s="38" t="str">
        <f aca="false">IF(Raw_Export!$A2623="","",F2623*G2623)</f>
        <v/>
      </c>
      <c r="I2623" s="36" t="str">
        <f aca="false">IF(Raw_Export!$A2623="","",IFERROR(VLOOKUP(LOWER(TRIM(Raw_Export!H2623)),Maps!$D$2:$E$12,2,FALSE()),"Other"))</f>
        <v/>
      </c>
      <c r="J2623" s="36" t="str">
        <f aca="false">IF(Raw_Export!$A2623="","",IF(COUNTIF($A$2:A2623,A2623)&gt;1,"Duplicate",""))</f>
        <v/>
      </c>
      <c r="K2623" s="36" t="str">
        <f aca="false">IF(Raw_Export!$A2623="","",IF(J2623="Duplicate","Duplicate",IF(OR(C2623="UNMAPPED",D2623="UNMAPPED"),"Unmapped",IF(F2623=0,"Blank qty",IF(F2623&lt;0,"Return","OK")))))</f>
        <v/>
      </c>
      <c r="L2623" s="36" t="str">
        <f aca="false">IF(Raw_Export!$A2623="","",IF(OR(K2623="OK",K2623="Return"),1,0))</f>
        <v/>
      </c>
      <c r="M2623" s="37" t="str">
        <f aca="false">IF(Raw_Export!$A2623="","",B2623-WEEKDAY(B2623,2)+1)</f>
        <v/>
      </c>
    </row>
    <row r="2624" customFormat="false" ht="15" hidden="false" customHeight="false" outlineLevel="0" collapsed="false">
      <c r="A2624" s="36" t="str">
        <f aca="false">IF(Raw_Export!$A2624="","",TRIM(Raw_Export!A2624))</f>
        <v/>
      </c>
      <c r="B2624" s="37" t="str">
        <f aca="false">IF(Raw_Export!$A2624="","",IF(ISNUMBER(Raw_Export!B2624),Raw_Export!B2624,IF(MID(TRIM(Raw_Export!B2624),5,1)="-",DATE(LEFT(TRIM(Raw_Export!B2624),4),MID(TRIM(Raw_Export!B2624),6,2),RIGHT(TRIM(Raw_Export!B2624),2)),DATE(RIGHT(TRIM(Raw_Export!B2624),4),MATCH(MID(TRIM(Raw_Export!B2624),4,3),{"Jan","Feb","Mar","Apr","May","Jun","Jul","Aug","Sep","Oct","Nov","Dec"},0),LEFT(TRIM(Raw_Export!B2624),2)))))</f>
        <v/>
      </c>
      <c r="C2624" s="36" t="str">
        <f aca="false">IF(Raw_Export!$A2624="","",IFERROR(VLOOKUP(LOWER(TRIM(Raw_Export!C2624)),Maps!$A$2:$B$20,2,FALSE()),"UNMAPPED"))</f>
        <v/>
      </c>
      <c r="D2624" s="36" t="str">
        <f aca="false">IF(Raw_Export!$A2624="","",IFERROR(VLOOKUP(LOWER(TRIM(Raw_Export!D2624)),Maps!$G$2:$I$80,2,FALSE()),"UNMAPPED"))</f>
        <v/>
      </c>
      <c r="E2624" s="36" t="str">
        <f aca="false">IF(Raw_Export!$A2624="","",IFERROR(VLOOKUP(LOWER(TRIM(Raw_Export!D2624)),Maps!$G$2:$I$80,3,FALSE()),"UNMAPPED"))</f>
        <v/>
      </c>
      <c r="F2624" s="36" t="str">
        <f aca="false">IF(Raw_Export!$A2624="","",IFERROR(VALUE(TRIM(Raw_Export!E2624)),0))</f>
        <v/>
      </c>
      <c r="G2624" s="38" t="str">
        <f aca="false">IF(Raw_Export!$A2624="","",IFERROR(VALUE(SUBSTITUTE(SUBSTITUTE(UPPER(TRIM(Raw_Export!F2624)),"KES",""),",","")),0))</f>
        <v/>
      </c>
      <c r="H2624" s="38" t="str">
        <f aca="false">IF(Raw_Export!$A2624="","",F2624*G2624)</f>
        <v/>
      </c>
      <c r="I2624" s="36" t="str">
        <f aca="false">IF(Raw_Export!$A2624="","",IFERROR(VLOOKUP(LOWER(TRIM(Raw_Export!H2624)),Maps!$D$2:$E$12,2,FALSE()),"Other"))</f>
        <v/>
      </c>
      <c r="J2624" s="36" t="str">
        <f aca="false">IF(Raw_Export!$A2624="","",IF(COUNTIF($A$2:A2624,A2624)&gt;1,"Duplicate",""))</f>
        <v/>
      </c>
      <c r="K2624" s="36" t="str">
        <f aca="false">IF(Raw_Export!$A2624="","",IF(J2624="Duplicate","Duplicate",IF(OR(C2624="UNMAPPED",D2624="UNMAPPED"),"Unmapped",IF(F2624=0,"Blank qty",IF(F2624&lt;0,"Return","OK")))))</f>
        <v/>
      </c>
      <c r="L2624" s="36" t="str">
        <f aca="false">IF(Raw_Export!$A2624="","",IF(OR(K2624="OK",K2624="Return"),1,0))</f>
        <v/>
      </c>
      <c r="M2624" s="37" t="str">
        <f aca="false">IF(Raw_Export!$A2624="","",B2624-WEEKDAY(B2624,2)+1)</f>
        <v/>
      </c>
    </row>
    <row r="2625" customFormat="false" ht="15" hidden="false" customHeight="false" outlineLevel="0" collapsed="false">
      <c r="A2625" s="36" t="str">
        <f aca="false">IF(Raw_Export!$A2625="","",TRIM(Raw_Export!A2625))</f>
        <v/>
      </c>
      <c r="B2625" s="37" t="str">
        <f aca="false">IF(Raw_Export!$A2625="","",IF(ISNUMBER(Raw_Export!B2625),Raw_Export!B2625,IF(MID(TRIM(Raw_Export!B2625),5,1)="-",DATE(LEFT(TRIM(Raw_Export!B2625),4),MID(TRIM(Raw_Export!B2625),6,2),RIGHT(TRIM(Raw_Export!B2625),2)),DATE(RIGHT(TRIM(Raw_Export!B2625),4),MATCH(MID(TRIM(Raw_Export!B2625),4,3),{"Jan","Feb","Mar","Apr","May","Jun","Jul","Aug","Sep","Oct","Nov","Dec"},0),LEFT(TRIM(Raw_Export!B2625),2)))))</f>
        <v/>
      </c>
      <c r="C2625" s="36" t="str">
        <f aca="false">IF(Raw_Export!$A2625="","",IFERROR(VLOOKUP(LOWER(TRIM(Raw_Export!C2625)),Maps!$A$2:$B$20,2,FALSE()),"UNMAPPED"))</f>
        <v/>
      </c>
      <c r="D2625" s="36" t="str">
        <f aca="false">IF(Raw_Export!$A2625="","",IFERROR(VLOOKUP(LOWER(TRIM(Raw_Export!D2625)),Maps!$G$2:$I$80,2,FALSE()),"UNMAPPED"))</f>
        <v/>
      </c>
      <c r="E2625" s="36" t="str">
        <f aca="false">IF(Raw_Export!$A2625="","",IFERROR(VLOOKUP(LOWER(TRIM(Raw_Export!D2625)),Maps!$G$2:$I$80,3,FALSE()),"UNMAPPED"))</f>
        <v/>
      </c>
      <c r="F2625" s="36" t="str">
        <f aca="false">IF(Raw_Export!$A2625="","",IFERROR(VALUE(TRIM(Raw_Export!E2625)),0))</f>
        <v/>
      </c>
      <c r="G2625" s="38" t="str">
        <f aca="false">IF(Raw_Export!$A2625="","",IFERROR(VALUE(SUBSTITUTE(SUBSTITUTE(UPPER(TRIM(Raw_Export!F2625)),"KES",""),",","")),0))</f>
        <v/>
      </c>
      <c r="H2625" s="38" t="str">
        <f aca="false">IF(Raw_Export!$A2625="","",F2625*G2625)</f>
        <v/>
      </c>
      <c r="I2625" s="36" t="str">
        <f aca="false">IF(Raw_Export!$A2625="","",IFERROR(VLOOKUP(LOWER(TRIM(Raw_Export!H2625)),Maps!$D$2:$E$12,2,FALSE()),"Other"))</f>
        <v/>
      </c>
      <c r="J2625" s="36" t="str">
        <f aca="false">IF(Raw_Export!$A2625="","",IF(COUNTIF($A$2:A2625,A2625)&gt;1,"Duplicate",""))</f>
        <v/>
      </c>
      <c r="K2625" s="36" t="str">
        <f aca="false">IF(Raw_Export!$A2625="","",IF(J2625="Duplicate","Duplicate",IF(OR(C2625="UNMAPPED",D2625="UNMAPPED"),"Unmapped",IF(F2625=0,"Blank qty",IF(F2625&lt;0,"Return","OK")))))</f>
        <v/>
      </c>
      <c r="L2625" s="36" t="str">
        <f aca="false">IF(Raw_Export!$A2625="","",IF(OR(K2625="OK",K2625="Return"),1,0))</f>
        <v/>
      </c>
      <c r="M2625" s="37" t="str">
        <f aca="false">IF(Raw_Export!$A2625="","",B2625-WEEKDAY(B2625,2)+1)</f>
        <v/>
      </c>
    </row>
    <row r="2626" customFormat="false" ht="15" hidden="false" customHeight="false" outlineLevel="0" collapsed="false">
      <c r="A2626" s="36" t="str">
        <f aca="false">IF(Raw_Export!$A2626="","",TRIM(Raw_Export!A2626))</f>
        <v/>
      </c>
      <c r="B2626" s="37" t="str">
        <f aca="false">IF(Raw_Export!$A2626="","",IF(ISNUMBER(Raw_Export!B2626),Raw_Export!B2626,IF(MID(TRIM(Raw_Export!B2626),5,1)="-",DATE(LEFT(TRIM(Raw_Export!B2626),4),MID(TRIM(Raw_Export!B2626),6,2),RIGHT(TRIM(Raw_Export!B2626),2)),DATE(RIGHT(TRIM(Raw_Export!B2626),4),MATCH(MID(TRIM(Raw_Export!B2626),4,3),{"Jan","Feb","Mar","Apr","May","Jun","Jul","Aug","Sep","Oct","Nov","Dec"},0),LEFT(TRIM(Raw_Export!B2626),2)))))</f>
        <v/>
      </c>
      <c r="C2626" s="36" t="str">
        <f aca="false">IF(Raw_Export!$A2626="","",IFERROR(VLOOKUP(LOWER(TRIM(Raw_Export!C2626)),Maps!$A$2:$B$20,2,FALSE()),"UNMAPPED"))</f>
        <v/>
      </c>
      <c r="D2626" s="36" t="str">
        <f aca="false">IF(Raw_Export!$A2626="","",IFERROR(VLOOKUP(LOWER(TRIM(Raw_Export!D2626)),Maps!$G$2:$I$80,2,FALSE()),"UNMAPPED"))</f>
        <v/>
      </c>
      <c r="E2626" s="36" t="str">
        <f aca="false">IF(Raw_Export!$A2626="","",IFERROR(VLOOKUP(LOWER(TRIM(Raw_Export!D2626)),Maps!$G$2:$I$80,3,FALSE()),"UNMAPPED"))</f>
        <v/>
      </c>
      <c r="F2626" s="36" t="str">
        <f aca="false">IF(Raw_Export!$A2626="","",IFERROR(VALUE(TRIM(Raw_Export!E2626)),0))</f>
        <v/>
      </c>
      <c r="G2626" s="38" t="str">
        <f aca="false">IF(Raw_Export!$A2626="","",IFERROR(VALUE(SUBSTITUTE(SUBSTITUTE(UPPER(TRIM(Raw_Export!F2626)),"KES",""),",","")),0))</f>
        <v/>
      </c>
      <c r="H2626" s="38" t="str">
        <f aca="false">IF(Raw_Export!$A2626="","",F2626*G2626)</f>
        <v/>
      </c>
      <c r="I2626" s="36" t="str">
        <f aca="false">IF(Raw_Export!$A2626="","",IFERROR(VLOOKUP(LOWER(TRIM(Raw_Export!H2626)),Maps!$D$2:$E$12,2,FALSE()),"Other"))</f>
        <v/>
      </c>
      <c r="J2626" s="36" t="str">
        <f aca="false">IF(Raw_Export!$A2626="","",IF(COUNTIF($A$2:A2626,A2626)&gt;1,"Duplicate",""))</f>
        <v/>
      </c>
      <c r="K2626" s="36" t="str">
        <f aca="false">IF(Raw_Export!$A2626="","",IF(J2626="Duplicate","Duplicate",IF(OR(C2626="UNMAPPED",D2626="UNMAPPED"),"Unmapped",IF(F2626=0,"Blank qty",IF(F2626&lt;0,"Return","OK")))))</f>
        <v/>
      </c>
      <c r="L2626" s="36" t="str">
        <f aca="false">IF(Raw_Export!$A2626="","",IF(OR(K2626="OK",K2626="Return"),1,0))</f>
        <v/>
      </c>
      <c r="M2626" s="37" t="str">
        <f aca="false">IF(Raw_Export!$A2626="","",B2626-WEEKDAY(B2626,2)+1)</f>
        <v/>
      </c>
    </row>
    <row r="2627" customFormat="false" ht="15" hidden="false" customHeight="false" outlineLevel="0" collapsed="false">
      <c r="A2627" s="36" t="str">
        <f aca="false">IF(Raw_Export!$A2627="","",TRIM(Raw_Export!A2627))</f>
        <v/>
      </c>
      <c r="B2627" s="37" t="str">
        <f aca="false">IF(Raw_Export!$A2627="","",IF(ISNUMBER(Raw_Export!B2627),Raw_Export!B2627,IF(MID(TRIM(Raw_Export!B2627),5,1)="-",DATE(LEFT(TRIM(Raw_Export!B2627),4),MID(TRIM(Raw_Export!B2627),6,2),RIGHT(TRIM(Raw_Export!B2627),2)),DATE(RIGHT(TRIM(Raw_Export!B2627),4),MATCH(MID(TRIM(Raw_Export!B2627),4,3),{"Jan","Feb","Mar","Apr","May","Jun","Jul","Aug","Sep","Oct","Nov","Dec"},0),LEFT(TRIM(Raw_Export!B2627),2)))))</f>
        <v/>
      </c>
      <c r="C2627" s="36" t="str">
        <f aca="false">IF(Raw_Export!$A2627="","",IFERROR(VLOOKUP(LOWER(TRIM(Raw_Export!C2627)),Maps!$A$2:$B$20,2,FALSE()),"UNMAPPED"))</f>
        <v/>
      </c>
      <c r="D2627" s="36" t="str">
        <f aca="false">IF(Raw_Export!$A2627="","",IFERROR(VLOOKUP(LOWER(TRIM(Raw_Export!D2627)),Maps!$G$2:$I$80,2,FALSE()),"UNMAPPED"))</f>
        <v/>
      </c>
      <c r="E2627" s="36" t="str">
        <f aca="false">IF(Raw_Export!$A2627="","",IFERROR(VLOOKUP(LOWER(TRIM(Raw_Export!D2627)),Maps!$G$2:$I$80,3,FALSE()),"UNMAPPED"))</f>
        <v/>
      </c>
      <c r="F2627" s="36" t="str">
        <f aca="false">IF(Raw_Export!$A2627="","",IFERROR(VALUE(TRIM(Raw_Export!E2627)),0))</f>
        <v/>
      </c>
      <c r="G2627" s="38" t="str">
        <f aca="false">IF(Raw_Export!$A2627="","",IFERROR(VALUE(SUBSTITUTE(SUBSTITUTE(UPPER(TRIM(Raw_Export!F2627)),"KES",""),",","")),0))</f>
        <v/>
      </c>
      <c r="H2627" s="38" t="str">
        <f aca="false">IF(Raw_Export!$A2627="","",F2627*G2627)</f>
        <v/>
      </c>
      <c r="I2627" s="36" t="str">
        <f aca="false">IF(Raw_Export!$A2627="","",IFERROR(VLOOKUP(LOWER(TRIM(Raw_Export!H2627)),Maps!$D$2:$E$12,2,FALSE()),"Other"))</f>
        <v/>
      </c>
      <c r="J2627" s="36" t="str">
        <f aca="false">IF(Raw_Export!$A2627="","",IF(COUNTIF($A$2:A2627,A2627)&gt;1,"Duplicate",""))</f>
        <v/>
      </c>
      <c r="K2627" s="36" t="str">
        <f aca="false">IF(Raw_Export!$A2627="","",IF(J2627="Duplicate","Duplicate",IF(OR(C2627="UNMAPPED",D2627="UNMAPPED"),"Unmapped",IF(F2627=0,"Blank qty",IF(F2627&lt;0,"Return","OK")))))</f>
        <v/>
      </c>
      <c r="L2627" s="36" t="str">
        <f aca="false">IF(Raw_Export!$A2627="","",IF(OR(K2627="OK",K2627="Return"),1,0))</f>
        <v/>
      </c>
      <c r="M2627" s="37" t="str">
        <f aca="false">IF(Raw_Export!$A2627="","",B2627-WEEKDAY(B2627,2)+1)</f>
        <v/>
      </c>
    </row>
    <row r="2628" customFormat="false" ht="15" hidden="false" customHeight="false" outlineLevel="0" collapsed="false">
      <c r="A2628" s="36" t="str">
        <f aca="false">IF(Raw_Export!$A2628="","",TRIM(Raw_Export!A2628))</f>
        <v/>
      </c>
      <c r="B2628" s="37" t="str">
        <f aca="false">IF(Raw_Export!$A2628="","",IF(ISNUMBER(Raw_Export!B2628),Raw_Export!B2628,IF(MID(TRIM(Raw_Export!B2628),5,1)="-",DATE(LEFT(TRIM(Raw_Export!B2628),4),MID(TRIM(Raw_Export!B2628),6,2),RIGHT(TRIM(Raw_Export!B2628),2)),DATE(RIGHT(TRIM(Raw_Export!B2628),4),MATCH(MID(TRIM(Raw_Export!B2628),4,3),{"Jan","Feb","Mar","Apr","May","Jun","Jul","Aug","Sep","Oct","Nov","Dec"},0),LEFT(TRIM(Raw_Export!B2628),2)))))</f>
        <v/>
      </c>
      <c r="C2628" s="36" t="str">
        <f aca="false">IF(Raw_Export!$A2628="","",IFERROR(VLOOKUP(LOWER(TRIM(Raw_Export!C2628)),Maps!$A$2:$B$20,2,FALSE()),"UNMAPPED"))</f>
        <v/>
      </c>
      <c r="D2628" s="36" t="str">
        <f aca="false">IF(Raw_Export!$A2628="","",IFERROR(VLOOKUP(LOWER(TRIM(Raw_Export!D2628)),Maps!$G$2:$I$80,2,FALSE()),"UNMAPPED"))</f>
        <v/>
      </c>
      <c r="E2628" s="36" t="str">
        <f aca="false">IF(Raw_Export!$A2628="","",IFERROR(VLOOKUP(LOWER(TRIM(Raw_Export!D2628)),Maps!$G$2:$I$80,3,FALSE()),"UNMAPPED"))</f>
        <v/>
      </c>
      <c r="F2628" s="36" t="str">
        <f aca="false">IF(Raw_Export!$A2628="","",IFERROR(VALUE(TRIM(Raw_Export!E2628)),0))</f>
        <v/>
      </c>
      <c r="G2628" s="38" t="str">
        <f aca="false">IF(Raw_Export!$A2628="","",IFERROR(VALUE(SUBSTITUTE(SUBSTITUTE(UPPER(TRIM(Raw_Export!F2628)),"KES",""),",","")),0))</f>
        <v/>
      </c>
      <c r="H2628" s="38" t="str">
        <f aca="false">IF(Raw_Export!$A2628="","",F2628*G2628)</f>
        <v/>
      </c>
      <c r="I2628" s="36" t="str">
        <f aca="false">IF(Raw_Export!$A2628="","",IFERROR(VLOOKUP(LOWER(TRIM(Raw_Export!H2628)),Maps!$D$2:$E$12,2,FALSE()),"Other"))</f>
        <v/>
      </c>
      <c r="J2628" s="36" t="str">
        <f aca="false">IF(Raw_Export!$A2628="","",IF(COUNTIF($A$2:A2628,A2628)&gt;1,"Duplicate",""))</f>
        <v/>
      </c>
      <c r="K2628" s="36" t="str">
        <f aca="false">IF(Raw_Export!$A2628="","",IF(J2628="Duplicate","Duplicate",IF(OR(C2628="UNMAPPED",D2628="UNMAPPED"),"Unmapped",IF(F2628=0,"Blank qty",IF(F2628&lt;0,"Return","OK")))))</f>
        <v/>
      </c>
      <c r="L2628" s="36" t="str">
        <f aca="false">IF(Raw_Export!$A2628="","",IF(OR(K2628="OK",K2628="Return"),1,0))</f>
        <v/>
      </c>
      <c r="M2628" s="37" t="str">
        <f aca="false">IF(Raw_Export!$A2628="","",B2628-WEEKDAY(B2628,2)+1)</f>
        <v/>
      </c>
    </row>
    <row r="2629" customFormat="false" ht="15" hidden="false" customHeight="false" outlineLevel="0" collapsed="false">
      <c r="A2629" s="36" t="str">
        <f aca="false">IF(Raw_Export!$A2629="","",TRIM(Raw_Export!A2629))</f>
        <v/>
      </c>
      <c r="B2629" s="37" t="str">
        <f aca="false">IF(Raw_Export!$A2629="","",IF(ISNUMBER(Raw_Export!B2629),Raw_Export!B2629,IF(MID(TRIM(Raw_Export!B2629),5,1)="-",DATE(LEFT(TRIM(Raw_Export!B2629),4),MID(TRIM(Raw_Export!B2629),6,2),RIGHT(TRIM(Raw_Export!B2629),2)),DATE(RIGHT(TRIM(Raw_Export!B2629),4),MATCH(MID(TRIM(Raw_Export!B2629),4,3),{"Jan","Feb","Mar","Apr","May","Jun","Jul","Aug","Sep","Oct","Nov","Dec"},0),LEFT(TRIM(Raw_Export!B2629),2)))))</f>
        <v/>
      </c>
      <c r="C2629" s="36" t="str">
        <f aca="false">IF(Raw_Export!$A2629="","",IFERROR(VLOOKUP(LOWER(TRIM(Raw_Export!C2629)),Maps!$A$2:$B$20,2,FALSE()),"UNMAPPED"))</f>
        <v/>
      </c>
      <c r="D2629" s="36" t="str">
        <f aca="false">IF(Raw_Export!$A2629="","",IFERROR(VLOOKUP(LOWER(TRIM(Raw_Export!D2629)),Maps!$G$2:$I$80,2,FALSE()),"UNMAPPED"))</f>
        <v/>
      </c>
      <c r="E2629" s="36" t="str">
        <f aca="false">IF(Raw_Export!$A2629="","",IFERROR(VLOOKUP(LOWER(TRIM(Raw_Export!D2629)),Maps!$G$2:$I$80,3,FALSE()),"UNMAPPED"))</f>
        <v/>
      </c>
      <c r="F2629" s="36" t="str">
        <f aca="false">IF(Raw_Export!$A2629="","",IFERROR(VALUE(TRIM(Raw_Export!E2629)),0))</f>
        <v/>
      </c>
      <c r="G2629" s="38" t="str">
        <f aca="false">IF(Raw_Export!$A2629="","",IFERROR(VALUE(SUBSTITUTE(SUBSTITUTE(UPPER(TRIM(Raw_Export!F2629)),"KES",""),",","")),0))</f>
        <v/>
      </c>
      <c r="H2629" s="38" t="str">
        <f aca="false">IF(Raw_Export!$A2629="","",F2629*G2629)</f>
        <v/>
      </c>
      <c r="I2629" s="36" t="str">
        <f aca="false">IF(Raw_Export!$A2629="","",IFERROR(VLOOKUP(LOWER(TRIM(Raw_Export!H2629)),Maps!$D$2:$E$12,2,FALSE()),"Other"))</f>
        <v/>
      </c>
      <c r="J2629" s="36" t="str">
        <f aca="false">IF(Raw_Export!$A2629="","",IF(COUNTIF($A$2:A2629,A2629)&gt;1,"Duplicate",""))</f>
        <v/>
      </c>
      <c r="K2629" s="36" t="str">
        <f aca="false">IF(Raw_Export!$A2629="","",IF(J2629="Duplicate","Duplicate",IF(OR(C2629="UNMAPPED",D2629="UNMAPPED"),"Unmapped",IF(F2629=0,"Blank qty",IF(F2629&lt;0,"Return","OK")))))</f>
        <v/>
      </c>
      <c r="L2629" s="36" t="str">
        <f aca="false">IF(Raw_Export!$A2629="","",IF(OR(K2629="OK",K2629="Return"),1,0))</f>
        <v/>
      </c>
      <c r="M2629" s="37" t="str">
        <f aca="false">IF(Raw_Export!$A2629="","",B2629-WEEKDAY(B2629,2)+1)</f>
        <v/>
      </c>
    </row>
    <row r="2630" customFormat="false" ht="15" hidden="false" customHeight="false" outlineLevel="0" collapsed="false">
      <c r="A2630" s="36" t="str">
        <f aca="false">IF(Raw_Export!$A2630="","",TRIM(Raw_Export!A2630))</f>
        <v/>
      </c>
      <c r="B2630" s="37" t="str">
        <f aca="false">IF(Raw_Export!$A2630="","",IF(ISNUMBER(Raw_Export!B2630),Raw_Export!B2630,IF(MID(TRIM(Raw_Export!B2630),5,1)="-",DATE(LEFT(TRIM(Raw_Export!B2630),4),MID(TRIM(Raw_Export!B2630),6,2),RIGHT(TRIM(Raw_Export!B2630),2)),DATE(RIGHT(TRIM(Raw_Export!B2630),4),MATCH(MID(TRIM(Raw_Export!B2630),4,3),{"Jan","Feb","Mar","Apr","May","Jun","Jul","Aug","Sep","Oct","Nov","Dec"},0),LEFT(TRIM(Raw_Export!B2630),2)))))</f>
        <v/>
      </c>
      <c r="C2630" s="36" t="str">
        <f aca="false">IF(Raw_Export!$A2630="","",IFERROR(VLOOKUP(LOWER(TRIM(Raw_Export!C2630)),Maps!$A$2:$B$20,2,FALSE()),"UNMAPPED"))</f>
        <v/>
      </c>
      <c r="D2630" s="36" t="str">
        <f aca="false">IF(Raw_Export!$A2630="","",IFERROR(VLOOKUP(LOWER(TRIM(Raw_Export!D2630)),Maps!$G$2:$I$80,2,FALSE()),"UNMAPPED"))</f>
        <v/>
      </c>
      <c r="E2630" s="36" t="str">
        <f aca="false">IF(Raw_Export!$A2630="","",IFERROR(VLOOKUP(LOWER(TRIM(Raw_Export!D2630)),Maps!$G$2:$I$80,3,FALSE()),"UNMAPPED"))</f>
        <v/>
      </c>
      <c r="F2630" s="36" t="str">
        <f aca="false">IF(Raw_Export!$A2630="","",IFERROR(VALUE(TRIM(Raw_Export!E2630)),0))</f>
        <v/>
      </c>
      <c r="G2630" s="38" t="str">
        <f aca="false">IF(Raw_Export!$A2630="","",IFERROR(VALUE(SUBSTITUTE(SUBSTITUTE(UPPER(TRIM(Raw_Export!F2630)),"KES",""),",","")),0))</f>
        <v/>
      </c>
      <c r="H2630" s="38" t="str">
        <f aca="false">IF(Raw_Export!$A2630="","",F2630*G2630)</f>
        <v/>
      </c>
      <c r="I2630" s="36" t="str">
        <f aca="false">IF(Raw_Export!$A2630="","",IFERROR(VLOOKUP(LOWER(TRIM(Raw_Export!H2630)),Maps!$D$2:$E$12,2,FALSE()),"Other"))</f>
        <v/>
      </c>
      <c r="J2630" s="36" t="str">
        <f aca="false">IF(Raw_Export!$A2630="","",IF(COUNTIF($A$2:A2630,A2630)&gt;1,"Duplicate",""))</f>
        <v/>
      </c>
      <c r="K2630" s="36" t="str">
        <f aca="false">IF(Raw_Export!$A2630="","",IF(J2630="Duplicate","Duplicate",IF(OR(C2630="UNMAPPED",D2630="UNMAPPED"),"Unmapped",IF(F2630=0,"Blank qty",IF(F2630&lt;0,"Return","OK")))))</f>
        <v/>
      </c>
      <c r="L2630" s="36" t="str">
        <f aca="false">IF(Raw_Export!$A2630="","",IF(OR(K2630="OK",K2630="Return"),1,0))</f>
        <v/>
      </c>
      <c r="M2630" s="37" t="str">
        <f aca="false">IF(Raw_Export!$A2630="","",B2630-WEEKDAY(B2630,2)+1)</f>
        <v/>
      </c>
    </row>
    <row r="2631" customFormat="false" ht="15" hidden="false" customHeight="false" outlineLevel="0" collapsed="false">
      <c r="A2631" s="36" t="str">
        <f aca="false">IF(Raw_Export!$A2631="","",TRIM(Raw_Export!A2631))</f>
        <v/>
      </c>
      <c r="B2631" s="37" t="str">
        <f aca="false">IF(Raw_Export!$A2631="","",IF(ISNUMBER(Raw_Export!B2631),Raw_Export!B2631,IF(MID(TRIM(Raw_Export!B2631),5,1)="-",DATE(LEFT(TRIM(Raw_Export!B2631),4),MID(TRIM(Raw_Export!B2631),6,2),RIGHT(TRIM(Raw_Export!B2631),2)),DATE(RIGHT(TRIM(Raw_Export!B2631),4),MATCH(MID(TRIM(Raw_Export!B2631),4,3),{"Jan","Feb","Mar","Apr","May","Jun","Jul","Aug","Sep","Oct","Nov","Dec"},0),LEFT(TRIM(Raw_Export!B2631),2)))))</f>
        <v/>
      </c>
      <c r="C2631" s="36" t="str">
        <f aca="false">IF(Raw_Export!$A2631="","",IFERROR(VLOOKUP(LOWER(TRIM(Raw_Export!C2631)),Maps!$A$2:$B$20,2,FALSE()),"UNMAPPED"))</f>
        <v/>
      </c>
      <c r="D2631" s="36" t="str">
        <f aca="false">IF(Raw_Export!$A2631="","",IFERROR(VLOOKUP(LOWER(TRIM(Raw_Export!D2631)),Maps!$G$2:$I$80,2,FALSE()),"UNMAPPED"))</f>
        <v/>
      </c>
      <c r="E2631" s="36" t="str">
        <f aca="false">IF(Raw_Export!$A2631="","",IFERROR(VLOOKUP(LOWER(TRIM(Raw_Export!D2631)),Maps!$G$2:$I$80,3,FALSE()),"UNMAPPED"))</f>
        <v/>
      </c>
      <c r="F2631" s="36" t="str">
        <f aca="false">IF(Raw_Export!$A2631="","",IFERROR(VALUE(TRIM(Raw_Export!E2631)),0))</f>
        <v/>
      </c>
      <c r="G2631" s="38" t="str">
        <f aca="false">IF(Raw_Export!$A2631="","",IFERROR(VALUE(SUBSTITUTE(SUBSTITUTE(UPPER(TRIM(Raw_Export!F2631)),"KES",""),",","")),0))</f>
        <v/>
      </c>
      <c r="H2631" s="38" t="str">
        <f aca="false">IF(Raw_Export!$A2631="","",F2631*G2631)</f>
        <v/>
      </c>
      <c r="I2631" s="36" t="str">
        <f aca="false">IF(Raw_Export!$A2631="","",IFERROR(VLOOKUP(LOWER(TRIM(Raw_Export!H2631)),Maps!$D$2:$E$12,2,FALSE()),"Other"))</f>
        <v/>
      </c>
      <c r="J2631" s="36" t="str">
        <f aca="false">IF(Raw_Export!$A2631="","",IF(COUNTIF($A$2:A2631,A2631)&gt;1,"Duplicate",""))</f>
        <v/>
      </c>
      <c r="K2631" s="36" t="str">
        <f aca="false">IF(Raw_Export!$A2631="","",IF(J2631="Duplicate","Duplicate",IF(OR(C2631="UNMAPPED",D2631="UNMAPPED"),"Unmapped",IF(F2631=0,"Blank qty",IF(F2631&lt;0,"Return","OK")))))</f>
        <v/>
      </c>
      <c r="L2631" s="36" t="str">
        <f aca="false">IF(Raw_Export!$A2631="","",IF(OR(K2631="OK",K2631="Return"),1,0))</f>
        <v/>
      </c>
      <c r="M2631" s="37" t="str">
        <f aca="false">IF(Raw_Export!$A2631="","",B2631-WEEKDAY(B2631,2)+1)</f>
        <v/>
      </c>
    </row>
    <row r="2632" customFormat="false" ht="15" hidden="false" customHeight="false" outlineLevel="0" collapsed="false">
      <c r="A2632" s="36" t="str">
        <f aca="false">IF(Raw_Export!$A2632="","",TRIM(Raw_Export!A2632))</f>
        <v/>
      </c>
      <c r="B2632" s="37" t="str">
        <f aca="false">IF(Raw_Export!$A2632="","",IF(ISNUMBER(Raw_Export!B2632),Raw_Export!B2632,IF(MID(TRIM(Raw_Export!B2632),5,1)="-",DATE(LEFT(TRIM(Raw_Export!B2632),4),MID(TRIM(Raw_Export!B2632),6,2),RIGHT(TRIM(Raw_Export!B2632),2)),DATE(RIGHT(TRIM(Raw_Export!B2632),4),MATCH(MID(TRIM(Raw_Export!B2632),4,3),{"Jan","Feb","Mar","Apr","May","Jun","Jul","Aug","Sep","Oct","Nov","Dec"},0),LEFT(TRIM(Raw_Export!B2632),2)))))</f>
        <v/>
      </c>
      <c r="C2632" s="36" t="str">
        <f aca="false">IF(Raw_Export!$A2632="","",IFERROR(VLOOKUP(LOWER(TRIM(Raw_Export!C2632)),Maps!$A$2:$B$20,2,FALSE()),"UNMAPPED"))</f>
        <v/>
      </c>
      <c r="D2632" s="36" t="str">
        <f aca="false">IF(Raw_Export!$A2632="","",IFERROR(VLOOKUP(LOWER(TRIM(Raw_Export!D2632)),Maps!$G$2:$I$80,2,FALSE()),"UNMAPPED"))</f>
        <v/>
      </c>
      <c r="E2632" s="36" t="str">
        <f aca="false">IF(Raw_Export!$A2632="","",IFERROR(VLOOKUP(LOWER(TRIM(Raw_Export!D2632)),Maps!$G$2:$I$80,3,FALSE()),"UNMAPPED"))</f>
        <v/>
      </c>
      <c r="F2632" s="36" t="str">
        <f aca="false">IF(Raw_Export!$A2632="","",IFERROR(VALUE(TRIM(Raw_Export!E2632)),0))</f>
        <v/>
      </c>
      <c r="G2632" s="38" t="str">
        <f aca="false">IF(Raw_Export!$A2632="","",IFERROR(VALUE(SUBSTITUTE(SUBSTITUTE(UPPER(TRIM(Raw_Export!F2632)),"KES",""),",","")),0))</f>
        <v/>
      </c>
      <c r="H2632" s="38" t="str">
        <f aca="false">IF(Raw_Export!$A2632="","",F2632*G2632)</f>
        <v/>
      </c>
      <c r="I2632" s="36" t="str">
        <f aca="false">IF(Raw_Export!$A2632="","",IFERROR(VLOOKUP(LOWER(TRIM(Raw_Export!H2632)),Maps!$D$2:$E$12,2,FALSE()),"Other"))</f>
        <v/>
      </c>
      <c r="J2632" s="36" t="str">
        <f aca="false">IF(Raw_Export!$A2632="","",IF(COUNTIF($A$2:A2632,A2632)&gt;1,"Duplicate",""))</f>
        <v/>
      </c>
      <c r="K2632" s="36" t="str">
        <f aca="false">IF(Raw_Export!$A2632="","",IF(J2632="Duplicate","Duplicate",IF(OR(C2632="UNMAPPED",D2632="UNMAPPED"),"Unmapped",IF(F2632=0,"Blank qty",IF(F2632&lt;0,"Return","OK")))))</f>
        <v/>
      </c>
      <c r="L2632" s="36" t="str">
        <f aca="false">IF(Raw_Export!$A2632="","",IF(OR(K2632="OK",K2632="Return"),1,0))</f>
        <v/>
      </c>
      <c r="M2632" s="37" t="str">
        <f aca="false">IF(Raw_Export!$A2632="","",B2632-WEEKDAY(B2632,2)+1)</f>
        <v/>
      </c>
    </row>
    <row r="2633" customFormat="false" ht="15" hidden="false" customHeight="false" outlineLevel="0" collapsed="false">
      <c r="A2633" s="36" t="str">
        <f aca="false">IF(Raw_Export!$A2633="","",TRIM(Raw_Export!A2633))</f>
        <v/>
      </c>
      <c r="B2633" s="37" t="str">
        <f aca="false">IF(Raw_Export!$A2633="","",IF(ISNUMBER(Raw_Export!B2633),Raw_Export!B2633,IF(MID(TRIM(Raw_Export!B2633),5,1)="-",DATE(LEFT(TRIM(Raw_Export!B2633),4),MID(TRIM(Raw_Export!B2633),6,2),RIGHT(TRIM(Raw_Export!B2633),2)),DATE(RIGHT(TRIM(Raw_Export!B2633),4),MATCH(MID(TRIM(Raw_Export!B2633),4,3),{"Jan","Feb","Mar","Apr","May","Jun","Jul","Aug","Sep","Oct","Nov","Dec"},0),LEFT(TRIM(Raw_Export!B2633),2)))))</f>
        <v/>
      </c>
      <c r="C2633" s="36" t="str">
        <f aca="false">IF(Raw_Export!$A2633="","",IFERROR(VLOOKUP(LOWER(TRIM(Raw_Export!C2633)),Maps!$A$2:$B$20,2,FALSE()),"UNMAPPED"))</f>
        <v/>
      </c>
      <c r="D2633" s="36" t="str">
        <f aca="false">IF(Raw_Export!$A2633="","",IFERROR(VLOOKUP(LOWER(TRIM(Raw_Export!D2633)),Maps!$G$2:$I$80,2,FALSE()),"UNMAPPED"))</f>
        <v/>
      </c>
      <c r="E2633" s="36" t="str">
        <f aca="false">IF(Raw_Export!$A2633="","",IFERROR(VLOOKUP(LOWER(TRIM(Raw_Export!D2633)),Maps!$G$2:$I$80,3,FALSE()),"UNMAPPED"))</f>
        <v/>
      </c>
      <c r="F2633" s="36" t="str">
        <f aca="false">IF(Raw_Export!$A2633="","",IFERROR(VALUE(TRIM(Raw_Export!E2633)),0))</f>
        <v/>
      </c>
      <c r="G2633" s="38" t="str">
        <f aca="false">IF(Raw_Export!$A2633="","",IFERROR(VALUE(SUBSTITUTE(SUBSTITUTE(UPPER(TRIM(Raw_Export!F2633)),"KES",""),",","")),0))</f>
        <v/>
      </c>
      <c r="H2633" s="38" t="str">
        <f aca="false">IF(Raw_Export!$A2633="","",F2633*G2633)</f>
        <v/>
      </c>
      <c r="I2633" s="36" t="str">
        <f aca="false">IF(Raw_Export!$A2633="","",IFERROR(VLOOKUP(LOWER(TRIM(Raw_Export!H2633)),Maps!$D$2:$E$12,2,FALSE()),"Other"))</f>
        <v/>
      </c>
      <c r="J2633" s="36" t="str">
        <f aca="false">IF(Raw_Export!$A2633="","",IF(COUNTIF($A$2:A2633,A2633)&gt;1,"Duplicate",""))</f>
        <v/>
      </c>
      <c r="K2633" s="36" t="str">
        <f aca="false">IF(Raw_Export!$A2633="","",IF(J2633="Duplicate","Duplicate",IF(OR(C2633="UNMAPPED",D2633="UNMAPPED"),"Unmapped",IF(F2633=0,"Blank qty",IF(F2633&lt;0,"Return","OK")))))</f>
        <v/>
      </c>
      <c r="L2633" s="36" t="str">
        <f aca="false">IF(Raw_Export!$A2633="","",IF(OR(K2633="OK",K2633="Return"),1,0))</f>
        <v/>
      </c>
      <c r="M2633" s="37" t="str">
        <f aca="false">IF(Raw_Export!$A2633="","",B2633-WEEKDAY(B2633,2)+1)</f>
        <v/>
      </c>
    </row>
    <row r="2634" customFormat="false" ht="15" hidden="false" customHeight="false" outlineLevel="0" collapsed="false">
      <c r="A2634" s="36" t="str">
        <f aca="false">IF(Raw_Export!$A2634="","",TRIM(Raw_Export!A2634))</f>
        <v/>
      </c>
      <c r="B2634" s="37" t="str">
        <f aca="false">IF(Raw_Export!$A2634="","",IF(ISNUMBER(Raw_Export!B2634),Raw_Export!B2634,IF(MID(TRIM(Raw_Export!B2634),5,1)="-",DATE(LEFT(TRIM(Raw_Export!B2634),4),MID(TRIM(Raw_Export!B2634),6,2),RIGHT(TRIM(Raw_Export!B2634),2)),DATE(RIGHT(TRIM(Raw_Export!B2634),4),MATCH(MID(TRIM(Raw_Export!B2634),4,3),{"Jan","Feb","Mar","Apr","May","Jun","Jul","Aug","Sep","Oct","Nov","Dec"},0),LEFT(TRIM(Raw_Export!B2634),2)))))</f>
        <v/>
      </c>
      <c r="C2634" s="36" t="str">
        <f aca="false">IF(Raw_Export!$A2634="","",IFERROR(VLOOKUP(LOWER(TRIM(Raw_Export!C2634)),Maps!$A$2:$B$20,2,FALSE()),"UNMAPPED"))</f>
        <v/>
      </c>
      <c r="D2634" s="36" t="str">
        <f aca="false">IF(Raw_Export!$A2634="","",IFERROR(VLOOKUP(LOWER(TRIM(Raw_Export!D2634)),Maps!$G$2:$I$80,2,FALSE()),"UNMAPPED"))</f>
        <v/>
      </c>
      <c r="E2634" s="36" t="str">
        <f aca="false">IF(Raw_Export!$A2634="","",IFERROR(VLOOKUP(LOWER(TRIM(Raw_Export!D2634)),Maps!$G$2:$I$80,3,FALSE()),"UNMAPPED"))</f>
        <v/>
      </c>
      <c r="F2634" s="36" t="str">
        <f aca="false">IF(Raw_Export!$A2634="","",IFERROR(VALUE(TRIM(Raw_Export!E2634)),0))</f>
        <v/>
      </c>
      <c r="G2634" s="38" t="str">
        <f aca="false">IF(Raw_Export!$A2634="","",IFERROR(VALUE(SUBSTITUTE(SUBSTITUTE(UPPER(TRIM(Raw_Export!F2634)),"KES",""),",","")),0))</f>
        <v/>
      </c>
      <c r="H2634" s="38" t="str">
        <f aca="false">IF(Raw_Export!$A2634="","",F2634*G2634)</f>
        <v/>
      </c>
      <c r="I2634" s="36" t="str">
        <f aca="false">IF(Raw_Export!$A2634="","",IFERROR(VLOOKUP(LOWER(TRIM(Raw_Export!H2634)),Maps!$D$2:$E$12,2,FALSE()),"Other"))</f>
        <v/>
      </c>
      <c r="J2634" s="36" t="str">
        <f aca="false">IF(Raw_Export!$A2634="","",IF(COUNTIF($A$2:A2634,A2634)&gt;1,"Duplicate",""))</f>
        <v/>
      </c>
      <c r="K2634" s="36" t="str">
        <f aca="false">IF(Raw_Export!$A2634="","",IF(J2634="Duplicate","Duplicate",IF(OR(C2634="UNMAPPED",D2634="UNMAPPED"),"Unmapped",IF(F2634=0,"Blank qty",IF(F2634&lt;0,"Return","OK")))))</f>
        <v/>
      </c>
      <c r="L2634" s="36" t="str">
        <f aca="false">IF(Raw_Export!$A2634="","",IF(OR(K2634="OK",K2634="Return"),1,0))</f>
        <v/>
      </c>
      <c r="M2634" s="37" t="str">
        <f aca="false">IF(Raw_Export!$A2634="","",B2634-WEEKDAY(B2634,2)+1)</f>
        <v/>
      </c>
    </row>
    <row r="2635" customFormat="false" ht="15" hidden="false" customHeight="false" outlineLevel="0" collapsed="false">
      <c r="A2635" s="36" t="str">
        <f aca="false">IF(Raw_Export!$A2635="","",TRIM(Raw_Export!A2635))</f>
        <v/>
      </c>
      <c r="B2635" s="37" t="str">
        <f aca="false">IF(Raw_Export!$A2635="","",IF(ISNUMBER(Raw_Export!B2635),Raw_Export!B2635,IF(MID(TRIM(Raw_Export!B2635),5,1)="-",DATE(LEFT(TRIM(Raw_Export!B2635),4),MID(TRIM(Raw_Export!B2635),6,2),RIGHT(TRIM(Raw_Export!B2635),2)),DATE(RIGHT(TRIM(Raw_Export!B2635),4),MATCH(MID(TRIM(Raw_Export!B2635),4,3),{"Jan","Feb","Mar","Apr","May","Jun","Jul","Aug","Sep","Oct","Nov","Dec"},0),LEFT(TRIM(Raw_Export!B2635),2)))))</f>
        <v/>
      </c>
      <c r="C2635" s="36" t="str">
        <f aca="false">IF(Raw_Export!$A2635="","",IFERROR(VLOOKUP(LOWER(TRIM(Raw_Export!C2635)),Maps!$A$2:$B$20,2,FALSE()),"UNMAPPED"))</f>
        <v/>
      </c>
      <c r="D2635" s="36" t="str">
        <f aca="false">IF(Raw_Export!$A2635="","",IFERROR(VLOOKUP(LOWER(TRIM(Raw_Export!D2635)),Maps!$G$2:$I$80,2,FALSE()),"UNMAPPED"))</f>
        <v/>
      </c>
      <c r="E2635" s="36" t="str">
        <f aca="false">IF(Raw_Export!$A2635="","",IFERROR(VLOOKUP(LOWER(TRIM(Raw_Export!D2635)),Maps!$G$2:$I$80,3,FALSE()),"UNMAPPED"))</f>
        <v/>
      </c>
      <c r="F2635" s="36" t="str">
        <f aca="false">IF(Raw_Export!$A2635="","",IFERROR(VALUE(TRIM(Raw_Export!E2635)),0))</f>
        <v/>
      </c>
      <c r="G2635" s="38" t="str">
        <f aca="false">IF(Raw_Export!$A2635="","",IFERROR(VALUE(SUBSTITUTE(SUBSTITUTE(UPPER(TRIM(Raw_Export!F2635)),"KES",""),",","")),0))</f>
        <v/>
      </c>
      <c r="H2635" s="38" t="str">
        <f aca="false">IF(Raw_Export!$A2635="","",F2635*G2635)</f>
        <v/>
      </c>
      <c r="I2635" s="36" t="str">
        <f aca="false">IF(Raw_Export!$A2635="","",IFERROR(VLOOKUP(LOWER(TRIM(Raw_Export!H2635)),Maps!$D$2:$E$12,2,FALSE()),"Other"))</f>
        <v/>
      </c>
      <c r="J2635" s="36" t="str">
        <f aca="false">IF(Raw_Export!$A2635="","",IF(COUNTIF($A$2:A2635,A2635)&gt;1,"Duplicate",""))</f>
        <v/>
      </c>
      <c r="K2635" s="36" t="str">
        <f aca="false">IF(Raw_Export!$A2635="","",IF(J2635="Duplicate","Duplicate",IF(OR(C2635="UNMAPPED",D2635="UNMAPPED"),"Unmapped",IF(F2635=0,"Blank qty",IF(F2635&lt;0,"Return","OK")))))</f>
        <v/>
      </c>
      <c r="L2635" s="36" t="str">
        <f aca="false">IF(Raw_Export!$A2635="","",IF(OR(K2635="OK",K2635="Return"),1,0))</f>
        <v/>
      </c>
      <c r="M2635" s="37" t="str">
        <f aca="false">IF(Raw_Export!$A2635="","",B2635-WEEKDAY(B2635,2)+1)</f>
        <v/>
      </c>
    </row>
    <row r="2636" customFormat="false" ht="15" hidden="false" customHeight="false" outlineLevel="0" collapsed="false">
      <c r="A2636" s="36" t="str">
        <f aca="false">IF(Raw_Export!$A2636="","",TRIM(Raw_Export!A2636))</f>
        <v/>
      </c>
      <c r="B2636" s="37" t="str">
        <f aca="false">IF(Raw_Export!$A2636="","",IF(ISNUMBER(Raw_Export!B2636),Raw_Export!B2636,IF(MID(TRIM(Raw_Export!B2636),5,1)="-",DATE(LEFT(TRIM(Raw_Export!B2636),4),MID(TRIM(Raw_Export!B2636),6,2),RIGHT(TRIM(Raw_Export!B2636),2)),DATE(RIGHT(TRIM(Raw_Export!B2636),4),MATCH(MID(TRIM(Raw_Export!B2636),4,3),{"Jan","Feb","Mar","Apr","May","Jun","Jul","Aug","Sep","Oct","Nov","Dec"},0),LEFT(TRIM(Raw_Export!B2636),2)))))</f>
        <v/>
      </c>
      <c r="C2636" s="36" t="str">
        <f aca="false">IF(Raw_Export!$A2636="","",IFERROR(VLOOKUP(LOWER(TRIM(Raw_Export!C2636)),Maps!$A$2:$B$20,2,FALSE()),"UNMAPPED"))</f>
        <v/>
      </c>
      <c r="D2636" s="36" t="str">
        <f aca="false">IF(Raw_Export!$A2636="","",IFERROR(VLOOKUP(LOWER(TRIM(Raw_Export!D2636)),Maps!$G$2:$I$80,2,FALSE()),"UNMAPPED"))</f>
        <v/>
      </c>
      <c r="E2636" s="36" t="str">
        <f aca="false">IF(Raw_Export!$A2636="","",IFERROR(VLOOKUP(LOWER(TRIM(Raw_Export!D2636)),Maps!$G$2:$I$80,3,FALSE()),"UNMAPPED"))</f>
        <v/>
      </c>
      <c r="F2636" s="36" t="str">
        <f aca="false">IF(Raw_Export!$A2636="","",IFERROR(VALUE(TRIM(Raw_Export!E2636)),0))</f>
        <v/>
      </c>
      <c r="G2636" s="38" t="str">
        <f aca="false">IF(Raw_Export!$A2636="","",IFERROR(VALUE(SUBSTITUTE(SUBSTITUTE(UPPER(TRIM(Raw_Export!F2636)),"KES",""),",","")),0))</f>
        <v/>
      </c>
      <c r="H2636" s="38" t="str">
        <f aca="false">IF(Raw_Export!$A2636="","",F2636*G2636)</f>
        <v/>
      </c>
      <c r="I2636" s="36" t="str">
        <f aca="false">IF(Raw_Export!$A2636="","",IFERROR(VLOOKUP(LOWER(TRIM(Raw_Export!H2636)),Maps!$D$2:$E$12,2,FALSE()),"Other"))</f>
        <v/>
      </c>
      <c r="J2636" s="36" t="str">
        <f aca="false">IF(Raw_Export!$A2636="","",IF(COUNTIF($A$2:A2636,A2636)&gt;1,"Duplicate",""))</f>
        <v/>
      </c>
      <c r="K2636" s="36" t="str">
        <f aca="false">IF(Raw_Export!$A2636="","",IF(J2636="Duplicate","Duplicate",IF(OR(C2636="UNMAPPED",D2636="UNMAPPED"),"Unmapped",IF(F2636=0,"Blank qty",IF(F2636&lt;0,"Return","OK")))))</f>
        <v/>
      </c>
      <c r="L2636" s="36" t="str">
        <f aca="false">IF(Raw_Export!$A2636="","",IF(OR(K2636="OK",K2636="Return"),1,0))</f>
        <v/>
      </c>
      <c r="M2636" s="37" t="str">
        <f aca="false">IF(Raw_Export!$A2636="","",B2636-WEEKDAY(B2636,2)+1)</f>
        <v/>
      </c>
    </row>
    <row r="2637" customFormat="false" ht="15" hidden="false" customHeight="false" outlineLevel="0" collapsed="false">
      <c r="A2637" s="36" t="str">
        <f aca="false">IF(Raw_Export!$A2637="","",TRIM(Raw_Export!A2637))</f>
        <v/>
      </c>
      <c r="B2637" s="37" t="str">
        <f aca="false">IF(Raw_Export!$A2637="","",IF(ISNUMBER(Raw_Export!B2637),Raw_Export!B2637,IF(MID(TRIM(Raw_Export!B2637),5,1)="-",DATE(LEFT(TRIM(Raw_Export!B2637),4),MID(TRIM(Raw_Export!B2637),6,2),RIGHT(TRIM(Raw_Export!B2637),2)),DATE(RIGHT(TRIM(Raw_Export!B2637),4),MATCH(MID(TRIM(Raw_Export!B2637),4,3),{"Jan","Feb","Mar","Apr","May","Jun","Jul","Aug","Sep","Oct","Nov","Dec"},0),LEFT(TRIM(Raw_Export!B2637),2)))))</f>
        <v/>
      </c>
      <c r="C2637" s="36" t="str">
        <f aca="false">IF(Raw_Export!$A2637="","",IFERROR(VLOOKUP(LOWER(TRIM(Raw_Export!C2637)),Maps!$A$2:$B$20,2,FALSE()),"UNMAPPED"))</f>
        <v/>
      </c>
      <c r="D2637" s="36" t="str">
        <f aca="false">IF(Raw_Export!$A2637="","",IFERROR(VLOOKUP(LOWER(TRIM(Raw_Export!D2637)),Maps!$G$2:$I$80,2,FALSE()),"UNMAPPED"))</f>
        <v/>
      </c>
      <c r="E2637" s="36" t="str">
        <f aca="false">IF(Raw_Export!$A2637="","",IFERROR(VLOOKUP(LOWER(TRIM(Raw_Export!D2637)),Maps!$G$2:$I$80,3,FALSE()),"UNMAPPED"))</f>
        <v/>
      </c>
      <c r="F2637" s="36" t="str">
        <f aca="false">IF(Raw_Export!$A2637="","",IFERROR(VALUE(TRIM(Raw_Export!E2637)),0))</f>
        <v/>
      </c>
      <c r="G2637" s="38" t="str">
        <f aca="false">IF(Raw_Export!$A2637="","",IFERROR(VALUE(SUBSTITUTE(SUBSTITUTE(UPPER(TRIM(Raw_Export!F2637)),"KES",""),",","")),0))</f>
        <v/>
      </c>
      <c r="H2637" s="38" t="str">
        <f aca="false">IF(Raw_Export!$A2637="","",F2637*G2637)</f>
        <v/>
      </c>
      <c r="I2637" s="36" t="str">
        <f aca="false">IF(Raw_Export!$A2637="","",IFERROR(VLOOKUP(LOWER(TRIM(Raw_Export!H2637)),Maps!$D$2:$E$12,2,FALSE()),"Other"))</f>
        <v/>
      </c>
      <c r="J2637" s="36" t="str">
        <f aca="false">IF(Raw_Export!$A2637="","",IF(COUNTIF($A$2:A2637,A2637)&gt;1,"Duplicate",""))</f>
        <v/>
      </c>
      <c r="K2637" s="36" t="str">
        <f aca="false">IF(Raw_Export!$A2637="","",IF(J2637="Duplicate","Duplicate",IF(OR(C2637="UNMAPPED",D2637="UNMAPPED"),"Unmapped",IF(F2637=0,"Blank qty",IF(F2637&lt;0,"Return","OK")))))</f>
        <v/>
      </c>
      <c r="L2637" s="36" t="str">
        <f aca="false">IF(Raw_Export!$A2637="","",IF(OR(K2637="OK",K2637="Return"),1,0))</f>
        <v/>
      </c>
      <c r="M2637" s="37" t="str">
        <f aca="false">IF(Raw_Export!$A2637="","",B2637-WEEKDAY(B2637,2)+1)</f>
        <v/>
      </c>
    </row>
    <row r="2638" customFormat="false" ht="15" hidden="false" customHeight="false" outlineLevel="0" collapsed="false">
      <c r="A2638" s="36" t="str">
        <f aca="false">IF(Raw_Export!$A2638="","",TRIM(Raw_Export!A2638))</f>
        <v/>
      </c>
      <c r="B2638" s="37" t="str">
        <f aca="false">IF(Raw_Export!$A2638="","",IF(ISNUMBER(Raw_Export!B2638),Raw_Export!B2638,IF(MID(TRIM(Raw_Export!B2638),5,1)="-",DATE(LEFT(TRIM(Raw_Export!B2638),4),MID(TRIM(Raw_Export!B2638),6,2),RIGHT(TRIM(Raw_Export!B2638),2)),DATE(RIGHT(TRIM(Raw_Export!B2638),4),MATCH(MID(TRIM(Raw_Export!B2638),4,3),{"Jan","Feb","Mar","Apr","May","Jun","Jul","Aug","Sep","Oct","Nov","Dec"},0),LEFT(TRIM(Raw_Export!B2638),2)))))</f>
        <v/>
      </c>
      <c r="C2638" s="36" t="str">
        <f aca="false">IF(Raw_Export!$A2638="","",IFERROR(VLOOKUP(LOWER(TRIM(Raw_Export!C2638)),Maps!$A$2:$B$20,2,FALSE()),"UNMAPPED"))</f>
        <v/>
      </c>
      <c r="D2638" s="36" t="str">
        <f aca="false">IF(Raw_Export!$A2638="","",IFERROR(VLOOKUP(LOWER(TRIM(Raw_Export!D2638)),Maps!$G$2:$I$80,2,FALSE()),"UNMAPPED"))</f>
        <v/>
      </c>
      <c r="E2638" s="36" t="str">
        <f aca="false">IF(Raw_Export!$A2638="","",IFERROR(VLOOKUP(LOWER(TRIM(Raw_Export!D2638)),Maps!$G$2:$I$80,3,FALSE()),"UNMAPPED"))</f>
        <v/>
      </c>
      <c r="F2638" s="36" t="str">
        <f aca="false">IF(Raw_Export!$A2638="","",IFERROR(VALUE(TRIM(Raw_Export!E2638)),0))</f>
        <v/>
      </c>
      <c r="G2638" s="38" t="str">
        <f aca="false">IF(Raw_Export!$A2638="","",IFERROR(VALUE(SUBSTITUTE(SUBSTITUTE(UPPER(TRIM(Raw_Export!F2638)),"KES",""),",","")),0))</f>
        <v/>
      </c>
      <c r="H2638" s="38" t="str">
        <f aca="false">IF(Raw_Export!$A2638="","",F2638*G2638)</f>
        <v/>
      </c>
      <c r="I2638" s="36" t="str">
        <f aca="false">IF(Raw_Export!$A2638="","",IFERROR(VLOOKUP(LOWER(TRIM(Raw_Export!H2638)),Maps!$D$2:$E$12,2,FALSE()),"Other"))</f>
        <v/>
      </c>
      <c r="J2638" s="36" t="str">
        <f aca="false">IF(Raw_Export!$A2638="","",IF(COUNTIF($A$2:A2638,A2638)&gt;1,"Duplicate",""))</f>
        <v/>
      </c>
      <c r="K2638" s="36" t="str">
        <f aca="false">IF(Raw_Export!$A2638="","",IF(J2638="Duplicate","Duplicate",IF(OR(C2638="UNMAPPED",D2638="UNMAPPED"),"Unmapped",IF(F2638=0,"Blank qty",IF(F2638&lt;0,"Return","OK")))))</f>
        <v/>
      </c>
      <c r="L2638" s="36" t="str">
        <f aca="false">IF(Raw_Export!$A2638="","",IF(OR(K2638="OK",K2638="Return"),1,0))</f>
        <v/>
      </c>
      <c r="M2638" s="37" t="str">
        <f aca="false">IF(Raw_Export!$A2638="","",B2638-WEEKDAY(B2638,2)+1)</f>
        <v/>
      </c>
    </row>
    <row r="2639" customFormat="false" ht="15" hidden="false" customHeight="false" outlineLevel="0" collapsed="false">
      <c r="A2639" s="36" t="str">
        <f aca="false">IF(Raw_Export!$A2639="","",TRIM(Raw_Export!A2639))</f>
        <v/>
      </c>
      <c r="B2639" s="37" t="str">
        <f aca="false">IF(Raw_Export!$A2639="","",IF(ISNUMBER(Raw_Export!B2639),Raw_Export!B2639,IF(MID(TRIM(Raw_Export!B2639),5,1)="-",DATE(LEFT(TRIM(Raw_Export!B2639),4),MID(TRIM(Raw_Export!B2639),6,2),RIGHT(TRIM(Raw_Export!B2639),2)),DATE(RIGHT(TRIM(Raw_Export!B2639),4),MATCH(MID(TRIM(Raw_Export!B2639),4,3),{"Jan","Feb","Mar","Apr","May","Jun","Jul","Aug","Sep","Oct","Nov","Dec"},0),LEFT(TRIM(Raw_Export!B2639),2)))))</f>
        <v/>
      </c>
      <c r="C2639" s="36" t="str">
        <f aca="false">IF(Raw_Export!$A2639="","",IFERROR(VLOOKUP(LOWER(TRIM(Raw_Export!C2639)),Maps!$A$2:$B$20,2,FALSE()),"UNMAPPED"))</f>
        <v/>
      </c>
      <c r="D2639" s="36" t="str">
        <f aca="false">IF(Raw_Export!$A2639="","",IFERROR(VLOOKUP(LOWER(TRIM(Raw_Export!D2639)),Maps!$G$2:$I$80,2,FALSE()),"UNMAPPED"))</f>
        <v/>
      </c>
      <c r="E2639" s="36" t="str">
        <f aca="false">IF(Raw_Export!$A2639="","",IFERROR(VLOOKUP(LOWER(TRIM(Raw_Export!D2639)),Maps!$G$2:$I$80,3,FALSE()),"UNMAPPED"))</f>
        <v/>
      </c>
      <c r="F2639" s="36" t="str">
        <f aca="false">IF(Raw_Export!$A2639="","",IFERROR(VALUE(TRIM(Raw_Export!E2639)),0))</f>
        <v/>
      </c>
      <c r="G2639" s="38" t="str">
        <f aca="false">IF(Raw_Export!$A2639="","",IFERROR(VALUE(SUBSTITUTE(SUBSTITUTE(UPPER(TRIM(Raw_Export!F2639)),"KES",""),",","")),0))</f>
        <v/>
      </c>
      <c r="H2639" s="38" t="str">
        <f aca="false">IF(Raw_Export!$A2639="","",F2639*G2639)</f>
        <v/>
      </c>
      <c r="I2639" s="36" t="str">
        <f aca="false">IF(Raw_Export!$A2639="","",IFERROR(VLOOKUP(LOWER(TRIM(Raw_Export!H2639)),Maps!$D$2:$E$12,2,FALSE()),"Other"))</f>
        <v/>
      </c>
      <c r="J2639" s="36" t="str">
        <f aca="false">IF(Raw_Export!$A2639="","",IF(COUNTIF($A$2:A2639,A2639)&gt;1,"Duplicate",""))</f>
        <v/>
      </c>
      <c r="K2639" s="36" t="str">
        <f aca="false">IF(Raw_Export!$A2639="","",IF(J2639="Duplicate","Duplicate",IF(OR(C2639="UNMAPPED",D2639="UNMAPPED"),"Unmapped",IF(F2639=0,"Blank qty",IF(F2639&lt;0,"Return","OK")))))</f>
        <v/>
      </c>
      <c r="L2639" s="36" t="str">
        <f aca="false">IF(Raw_Export!$A2639="","",IF(OR(K2639="OK",K2639="Return"),1,0))</f>
        <v/>
      </c>
      <c r="M2639" s="37" t="str">
        <f aca="false">IF(Raw_Export!$A2639="","",B2639-WEEKDAY(B2639,2)+1)</f>
        <v/>
      </c>
    </row>
    <row r="2640" customFormat="false" ht="15" hidden="false" customHeight="false" outlineLevel="0" collapsed="false">
      <c r="A2640" s="36" t="str">
        <f aca="false">IF(Raw_Export!$A2640="","",TRIM(Raw_Export!A2640))</f>
        <v/>
      </c>
      <c r="B2640" s="37" t="str">
        <f aca="false">IF(Raw_Export!$A2640="","",IF(ISNUMBER(Raw_Export!B2640),Raw_Export!B2640,IF(MID(TRIM(Raw_Export!B2640),5,1)="-",DATE(LEFT(TRIM(Raw_Export!B2640),4),MID(TRIM(Raw_Export!B2640),6,2),RIGHT(TRIM(Raw_Export!B2640),2)),DATE(RIGHT(TRIM(Raw_Export!B2640),4),MATCH(MID(TRIM(Raw_Export!B2640),4,3),{"Jan","Feb","Mar","Apr","May","Jun","Jul","Aug","Sep","Oct","Nov","Dec"},0),LEFT(TRIM(Raw_Export!B2640),2)))))</f>
        <v/>
      </c>
      <c r="C2640" s="36" t="str">
        <f aca="false">IF(Raw_Export!$A2640="","",IFERROR(VLOOKUP(LOWER(TRIM(Raw_Export!C2640)),Maps!$A$2:$B$20,2,FALSE()),"UNMAPPED"))</f>
        <v/>
      </c>
      <c r="D2640" s="36" t="str">
        <f aca="false">IF(Raw_Export!$A2640="","",IFERROR(VLOOKUP(LOWER(TRIM(Raw_Export!D2640)),Maps!$G$2:$I$80,2,FALSE()),"UNMAPPED"))</f>
        <v/>
      </c>
      <c r="E2640" s="36" t="str">
        <f aca="false">IF(Raw_Export!$A2640="","",IFERROR(VLOOKUP(LOWER(TRIM(Raw_Export!D2640)),Maps!$G$2:$I$80,3,FALSE()),"UNMAPPED"))</f>
        <v/>
      </c>
      <c r="F2640" s="36" t="str">
        <f aca="false">IF(Raw_Export!$A2640="","",IFERROR(VALUE(TRIM(Raw_Export!E2640)),0))</f>
        <v/>
      </c>
      <c r="G2640" s="38" t="str">
        <f aca="false">IF(Raw_Export!$A2640="","",IFERROR(VALUE(SUBSTITUTE(SUBSTITUTE(UPPER(TRIM(Raw_Export!F2640)),"KES",""),",","")),0))</f>
        <v/>
      </c>
      <c r="H2640" s="38" t="str">
        <f aca="false">IF(Raw_Export!$A2640="","",F2640*G2640)</f>
        <v/>
      </c>
      <c r="I2640" s="36" t="str">
        <f aca="false">IF(Raw_Export!$A2640="","",IFERROR(VLOOKUP(LOWER(TRIM(Raw_Export!H2640)),Maps!$D$2:$E$12,2,FALSE()),"Other"))</f>
        <v/>
      </c>
      <c r="J2640" s="36" t="str">
        <f aca="false">IF(Raw_Export!$A2640="","",IF(COUNTIF($A$2:A2640,A2640)&gt;1,"Duplicate",""))</f>
        <v/>
      </c>
      <c r="K2640" s="36" t="str">
        <f aca="false">IF(Raw_Export!$A2640="","",IF(J2640="Duplicate","Duplicate",IF(OR(C2640="UNMAPPED",D2640="UNMAPPED"),"Unmapped",IF(F2640=0,"Blank qty",IF(F2640&lt;0,"Return","OK")))))</f>
        <v/>
      </c>
      <c r="L2640" s="36" t="str">
        <f aca="false">IF(Raw_Export!$A2640="","",IF(OR(K2640="OK",K2640="Return"),1,0))</f>
        <v/>
      </c>
      <c r="M2640" s="37" t="str">
        <f aca="false">IF(Raw_Export!$A2640="","",B2640-WEEKDAY(B2640,2)+1)</f>
        <v/>
      </c>
    </row>
    <row r="2641" customFormat="false" ht="15" hidden="false" customHeight="false" outlineLevel="0" collapsed="false">
      <c r="A2641" s="36" t="str">
        <f aca="false">IF(Raw_Export!$A2641="","",TRIM(Raw_Export!A2641))</f>
        <v/>
      </c>
      <c r="B2641" s="37" t="str">
        <f aca="false">IF(Raw_Export!$A2641="","",IF(ISNUMBER(Raw_Export!B2641),Raw_Export!B2641,IF(MID(TRIM(Raw_Export!B2641),5,1)="-",DATE(LEFT(TRIM(Raw_Export!B2641),4),MID(TRIM(Raw_Export!B2641),6,2),RIGHT(TRIM(Raw_Export!B2641),2)),DATE(RIGHT(TRIM(Raw_Export!B2641),4),MATCH(MID(TRIM(Raw_Export!B2641),4,3),{"Jan","Feb","Mar","Apr","May","Jun","Jul","Aug","Sep","Oct","Nov","Dec"},0),LEFT(TRIM(Raw_Export!B2641),2)))))</f>
        <v/>
      </c>
      <c r="C2641" s="36" t="str">
        <f aca="false">IF(Raw_Export!$A2641="","",IFERROR(VLOOKUP(LOWER(TRIM(Raw_Export!C2641)),Maps!$A$2:$B$20,2,FALSE()),"UNMAPPED"))</f>
        <v/>
      </c>
      <c r="D2641" s="36" t="str">
        <f aca="false">IF(Raw_Export!$A2641="","",IFERROR(VLOOKUP(LOWER(TRIM(Raw_Export!D2641)),Maps!$G$2:$I$80,2,FALSE()),"UNMAPPED"))</f>
        <v/>
      </c>
      <c r="E2641" s="36" t="str">
        <f aca="false">IF(Raw_Export!$A2641="","",IFERROR(VLOOKUP(LOWER(TRIM(Raw_Export!D2641)),Maps!$G$2:$I$80,3,FALSE()),"UNMAPPED"))</f>
        <v/>
      </c>
      <c r="F2641" s="36" t="str">
        <f aca="false">IF(Raw_Export!$A2641="","",IFERROR(VALUE(TRIM(Raw_Export!E2641)),0))</f>
        <v/>
      </c>
      <c r="G2641" s="38" t="str">
        <f aca="false">IF(Raw_Export!$A2641="","",IFERROR(VALUE(SUBSTITUTE(SUBSTITUTE(UPPER(TRIM(Raw_Export!F2641)),"KES",""),",","")),0))</f>
        <v/>
      </c>
      <c r="H2641" s="38" t="str">
        <f aca="false">IF(Raw_Export!$A2641="","",F2641*G2641)</f>
        <v/>
      </c>
      <c r="I2641" s="36" t="str">
        <f aca="false">IF(Raw_Export!$A2641="","",IFERROR(VLOOKUP(LOWER(TRIM(Raw_Export!H2641)),Maps!$D$2:$E$12,2,FALSE()),"Other"))</f>
        <v/>
      </c>
      <c r="J2641" s="36" t="str">
        <f aca="false">IF(Raw_Export!$A2641="","",IF(COUNTIF($A$2:A2641,A2641)&gt;1,"Duplicate",""))</f>
        <v/>
      </c>
      <c r="K2641" s="36" t="str">
        <f aca="false">IF(Raw_Export!$A2641="","",IF(J2641="Duplicate","Duplicate",IF(OR(C2641="UNMAPPED",D2641="UNMAPPED"),"Unmapped",IF(F2641=0,"Blank qty",IF(F2641&lt;0,"Return","OK")))))</f>
        <v/>
      </c>
      <c r="L2641" s="36" t="str">
        <f aca="false">IF(Raw_Export!$A2641="","",IF(OR(K2641="OK",K2641="Return"),1,0))</f>
        <v/>
      </c>
      <c r="M2641" s="37" t="str">
        <f aca="false">IF(Raw_Export!$A2641="","",B2641-WEEKDAY(B2641,2)+1)</f>
        <v/>
      </c>
    </row>
    <row r="2642" customFormat="false" ht="15" hidden="false" customHeight="false" outlineLevel="0" collapsed="false">
      <c r="A2642" s="36" t="str">
        <f aca="false">IF(Raw_Export!$A2642="","",TRIM(Raw_Export!A2642))</f>
        <v/>
      </c>
      <c r="B2642" s="37" t="str">
        <f aca="false">IF(Raw_Export!$A2642="","",IF(ISNUMBER(Raw_Export!B2642),Raw_Export!B2642,IF(MID(TRIM(Raw_Export!B2642),5,1)="-",DATE(LEFT(TRIM(Raw_Export!B2642),4),MID(TRIM(Raw_Export!B2642),6,2),RIGHT(TRIM(Raw_Export!B2642),2)),DATE(RIGHT(TRIM(Raw_Export!B2642),4),MATCH(MID(TRIM(Raw_Export!B2642),4,3),{"Jan","Feb","Mar","Apr","May","Jun","Jul","Aug","Sep","Oct","Nov","Dec"},0),LEFT(TRIM(Raw_Export!B2642),2)))))</f>
        <v/>
      </c>
      <c r="C2642" s="36" t="str">
        <f aca="false">IF(Raw_Export!$A2642="","",IFERROR(VLOOKUP(LOWER(TRIM(Raw_Export!C2642)),Maps!$A$2:$B$20,2,FALSE()),"UNMAPPED"))</f>
        <v/>
      </c>
      <c r="D2642" s="36" t="str">
        <f aca="false">IF(Raw_Export!$A2642="","",IFERROR(VLOOKUP(LOWER(TRIM(Raw_Export!D2642)),Maps!$G$2:$I$80,2,FALSE()),"UNMAPPED"))</f>
        <v/>
      </c>
      <c r="E2642" s="36" t="str">
        <f aca="false">IF(Raw_Export!$A2642="","",IFERROR(VLOOKUP(LOWER(TRIM(Raw_Export!D2642)),Maps!$G$2:$I$80,3,FALSE()),"UNMAPPED"))</f>
        <v/>
      </c>
      <c r="F2642" s="36" t="str">
        <f aca="false">IF(Raw_Export!$A2642="","",IFERROR(VALUE(TRIM(Raw_Export!E2642)),0))</f>
        <v/>
      </c>
      <c r="G2642" s="38" t="str">
        <f aca="false">IF(Raw_Export!$A2642="","",IFERROR(VALUE(SUBSTITUTE(SUBSTITUTE(UPPER(TRIM(Raw_Export!F2642)),"KES",""),",","")),0))</f>
        <v/>
      </c>
      <c r="H2642" s="38" t="str">
        <f aca="false">IF(Raw_Export!$A2642="","",F2642*G2642)</f>
        <v/>
      </c>
      <c r="I2642" s="36" t="str">
        <f aca="false">IF(Raw_Export!$A2642="","",IFERROR(VLOOKUP(LOWER(TRIM(Raw_Export!H2642)),Maps!$D$2:$E$12,2,FALSE()),"Other"))</f>
        <v/>
      </c>
      <c r="J2642" s="36" t="str">
        <f aca="false">IF(Raw_Export!$A2642="","",IF(COUNTIF($A$2:A2642,A2642)&gt;1,"Duplicate",""))</f>
        <v/>
      </c>
      <c r="K2642" s="36" t="str">
        <f aca="false">IF(Raw_Export!$A2642="","",IF(J2642="Duplicate","Duplicate",IF(OR(C2642="UNMAPPED",D2642="UNMAPPED"),"Unmapped",IF(F2642=0,"Blank qty",IF(F2642&lt;0,"Return","OK")))))</f>
        <v/>
      </c>
      <c r="L2642" s="36" t="str">
        <f aca="false">IF(Raw_Export!$A2642="","",IF(OR(K2642="OK",K2642="Return"),1,0))</f>
        <v/>
      </c>
      <c r="M2642" s="37" t="str">
        <f aca="false">IF(Raw_Export!$A2642="","",B2642-WEEKDAY(B2642,2)+1)</f>
        <v/>
      </c>
    </row>
    <row r="2643" customFormat="false" ht="15" hidden="false" customHeight="false" outlineLevel="0" collapsed="false">
      <c r="A2643" s="36" t="str">
        <f aca="false">IF(Raw_Export!$A2643="","",TRIM(Raw_Export!A2643))</f>
        <v/>
      </c>
      <c r="B2643" s="37" t="str">
        <f aca="false">IF(Raw_Export!$A2643="","",IF(ISNUMBER(Raw_Export!B2643),Raw_Export!B2643,IF(MID(TRIM(Raw_Export!B2643),5,1)="-",DATE(LEFT(TRIM(Raw_Export!B2643),4),MID(TRIM(Raw_Export!B2643),6,2),RIGHT(TRIM(Raw_Export!B2643),2)),DATE(RIGHT(TRIM(Raw_Export!B2643),4),MATCH(MID(TRIM(Raw_Export!B2643),4,3),{"Jan","Feb","Mar","Apr","May","Jun","Jul","Aug","Sep","Oct","Nov","Dec"},0),LEFT(TRIM(Raw_Export!B2643),2)))))</f>
        <v/>
      </c>
      <c r="C2643" s="36" t="str">
        <f aca="false">IF(Raw_Export!$A2643="","",IFERROR(VLOOKUP(LOWER(TRIM(Raw_Export!C2643)),Maps!$A$2:$B$20,2,FALSE()),"UNMAPPED"))</f>
        <v/>
      </c>
      <c r="D2643" s="36" t="str">
        <f aca="false">IF(Raw_Export!$A2643="","",IFERROR(VLOOKUP(LOWER(TRIM(Raw_Export!D2643)),Maps!$G$2:$I$80,2,FALSE()),"UNMAPPED"))</f>
        <v/>
      </c>
      <c r="E2643" s="36" t="str">
        <f aca="false">IF(Raw_Export!$A2643="","",IFERROR(VLOOKUP(LOWER(TRIM(Raw_Export!D2643)),Maps!$G$2:$I$80,3,FALSE()),"UNMAPPED"))</f>
        <v/>
      </c>
      <c r="F2643" s="36" t="str">
        <f aca="false">IF(Raw_Export!$A2643="","",IFERROR(VALUE(TRIM(Raw_Export!E2643)),0))</f>
        <v/>
      </c>
      <c r="G2643" s="38" t="str">
        <f aca="false">IF(Raw_Export!$A2643="","",IFERROR(VALUE(SUBSTITUTE(SUBSTITUTE(UPPER(TRIM(Raw_Export!F2643)),"KES",""),",","")),0))</f>
        <v/>
      </c>
      <c r="H2643" s="38" t="str">
        <f aca="false">IF(Raw_Export!$A2643="","",F2643*G2643)</f>
        <v/>
      </c>
      <c r="I2643" s="36" t="str">
        <f aca="false">IF(Raw_Export!$A2643="","",IFERROR(VLOOKUP(LOWER(TRIM(Raw_Export!H2643)),Maps!$D$2:$E$12,2,FALSE()),"Other"))</f>
        <v/>
      </c>
      <c r="J2643" s="36" t="str">
        <f aca="false">IF(Raw_Export!$A2643="","",IF(COUNTIF($A$2:A2643,A2643)&gt;1,"Duplicate",""))</f>
        <v/>
      </c>
      <c r="K2643" s="36" t="str">
        <f aca="false">IF(Raw_Export!$A2643="","",IF(J2643="Duplicate","Duplicate",IF(OR(C2643="UNMAPPED",D2643="UNMAPPED"),"Unmapped",IF(F2643=0,"Blank qty",IF(F2643&lt;0,"Return","OK")))))</f>
        <v/>
      </c>
      <c r="L2643" s="36" t="str">
        <f aca="false">IF(Raw_Export!$A2643="","",IF(OR(K2643="OK",K2643="Return"),1,0))</f>
        <v/>
      </c>
      <c r="M2643" s="37" t="str">
        <f aca="false">IF(Raw_Export!$A2643="","",B2643-WEEKDAY(B2643,2)+1)</f>
        <v/>
      </c>
    </row>
    <row r="2644" customFormat="false" ht="15" hidden="false" customHeight="false" outlineLevel="0" collapsed="false">
      <c r="A2644" s="36" t="str">
        <f aca="false">IF(Raw_Export!$A2644="","",TRIM(Raw_Export!A2644))</f>
        <v/>
      </c>
      <c r="B2644" s="37" t="str">
        <f aca="false">IF(Raw_Export!$A2644="","",IF(ISNUMBER(Raw_Export!B2644),Raw_Export!B2644,IF(MID(TRIM(Raw_Export!B2644),5,1)="-",DATE(LEFT(TRIM(Raw_Export!B2644),4),MID(TRIM(Raw_Export!B2644),6,2),RIGHT(TRIM(Raw_Export!B2644),2)),DATE(RIGHT(TRIM(Raw_Export!B2644),4),MATCH(MID(TRIM(Raw_Export!B2644),4,3),{"Jan","Feb","Mar","Apr","May","Jun","Jul","Aug","Sep","Oct","Nov","Dec"},0),LEFT(TRIM(Raw_Export!B2644),2)))))</f>
        <v/>
      </c>
      <c r="C2644" s="36" t="str">
        <f aca="false">IF(Raw_Export!$A2644="","",IFERROR(VLOOKUP(LOWER(TRIM(Raw_Export!C2644)),Maps!$A$2:$B$20,2,FALSE()),"UNMAPPED"))</f>
        <v/>
      </c>
      <c r="D2644" s="36" t="str">
        <f aca="false">IF(Raw_Export!$A2644="","",IFERROR(VLOOKUP(LOWER(TRIM(Raw_Export!D2644)),Maps!$G$2:$I$80,2,FALSE()),"UNMAPPED"))</f>
        <v/>
      </c>
      <c r="E2644" s="36" t="str">
        <f aca="false">IF(Raw_Export!$A2644="","",IFERROR(VLOOKUP(LOWER(TRIM(Raw_Export!D2644)),Maps!$G$2:$I$80,3,FALSE()),"UNMAPPED"))</f>
        <v/>
      </c>
      <c r="F2644" s="36" t="str">
        <f aca="false">IF(Raw_Export!$A2644="","",IFERROR(VALUE(TRIM(Raw_Export!E2644)),0))</f>
        <v/>
      </c>
      <c r="G2644" s="38" t="str">
        <f aca="false">IF(Raw_Export!$A2644="","",IFERROR(VALUE(SUBSTITUTE(SUBSTITUTE(UPPER(TRIM(Raw_Export!F2644)),"KES",""),",","")),0))</f>
        <v/>
      </c>
      <c r="H2644" s="38" t="str">
        <f aca="false">IF(Raw_Export!$A2644="","",F2644*G2644)</f>
        <v/>
      </c>
      <c r="I2644" s="36" t="str">
        <f aca="false">IF(Raw_Export!$A2644="","",IFERROR(VLOOKUP(LOWER(TRIM(Raw_Export!H2644)),Maps!$D$2:$E$12,2,FALSE()),"Other"))</f>
        <v/>
      </c>
      <c r="J2644" s="36" t="str">
        <f aca="false">IF(Raw_Export!$A2644="","",IF(COUNTIF($A$2:A2644,A2644)&gt;1,"Duplicate",""))</f>
        <v/>
      </c>
      <c r="K2644" s="36" t="str">
        <f aca="false">IF(Raw_Export!$A2644="","",IF(J2644="Duplicate","Duplicate",IF(OR(C2644="UNMAPPED",D2644="UNMAPPED"),"Unmapped",IF(F2644=0,"Blank qty",IF(F2644&lt;0,"Return","OK")))))</f>
        <v/>
      </c>
      <c r="L2644" s="36" t="str">
        <f aca="false">IF(Raw_Export!$A2644="","",IF(OR(K2644="OK",K2644="Return"),1,0))</f>
        <v/>
      </c>
      <c r="M2644" s="37" t="str">
        <f aca="false">IF(Raw_Export!$A2644="","",B2644-WEEKDAY(B2644,2)+1)</f>
        <v/>
      </c>
    </row>
    <row r="2645" customFormat="false" ht="15" hidden="false" customHeight="false" outlineLevel="0" collapsed="false">
      <c r="A2645" s="36" t="str">
        <f aca="false">IF(Raw_Export!$A2645="","",TRIM(Raw_Export!A2645))</f>
        <v/>
      </c>
      <c r="B2645" s="37" t="str">
        <f aca="false">IF(Raw_Export!$A2645="","",IF(ISNUMBER(Raw_Export!B2645),Raw_Export!B2645,IF(MID(TRIM(Raw_Export!B2645),5,1)="-",DATE(LEFT(TRIM(Raw_Export!B2645),4),MID(TRIM(Raw_Export!B2645),6,2),RIGHT(TRIM(Raw_Export!B2645),2)),DATE(RIGHT(TRIM(Raw_Export!B2645),4),MATCH(MID(TRIM(Raw_Export!B2645),4,3),{"Jan","Feb","Mar","Apr","May","Jun","Jul","Aug","Sep","Oct","Nov","Dec"},0),LEFT(TRIM(Raw_Export!B2645),2)))))</f>
        <v/>
      </c>
      <c r="C2645" s="36" t="str">
        <f aca="false">IF(Raw_Export!$A2645="","",IFERROR(VLOOKUP(LOWER(TRIM(Raw_Export!C2645)),Maps!$A$2:$B$20,2,FALSE()),"UNMAPPED"))</f>
        <v/>
      </c>
      <c r="D2645" s="36" t="str">
        <f aca="false">IF(Raw_Export!$A2645="","",IFERROR(VLOOKUP(LOWER(TRIM(Raw_Export!D2645)),Maps!$G$2:$I$80,2,FALSE()),"UNMAPPED"))</f>
        <v/>
      </c>
      <c r="E2645" s="36" t="str">
        <f aca="false">IF(Raw_Export!$A2645="","",IFERROR(VLOOKUP(LOWER(TRIM(Raw_Export!D2645)),Maps!$G$2:$I$80,3,FALSE()),"UNMAPPED"))</f>
        <v/>
      </c>
      <c r="F2645" s="36" t="str">
        <f aca="false">IF(Raw_Export!$A2645="","",IFERROR(VALUE(TRIM(Raw_Export!E2645)),0))</f>
        <v/>
      </c>
      <c r="G2645" s="38" t="str">
        <f aca="false">IF(Raw_Export!$A2645="","",IFERROR(VALUE(SUBSTITUTE(SUBSTITUTE(UPPER(TRIM(Raw_Export!F2645)),"KES",""),",","")),0))</f>
        <v/>
      </c>
      <c r="H2645" s="38" t="str">
        <f aca="false">IF(Raw_Export!$A2645="","",F2645*G2645)</f>
        <v/>
      </c>
      <c r="I2645" s="36" t="str">
        <f aca="false">IF(Raw_Export!$A2645="","",IFERROR(VLOOKUP(LOWER(TRIM(Raw_Export!H2645)),Maps!$D$2:$E$12,2,FALSE()),"Other"))</f>
        <v/>
      </c>
      <c r="J2645" s="36" t="str">
        <f aca="false">IF(Raw_Export!$A2645="","",IF(COUNTIF($A$2:A2645,A2645)&gt;1,"Duplicate",""))</f>
        <v/>
      </c>
      <c r="K2645" s="36" t="str">
        <f aca="false">IF(Raw_Export!$A2645="","",IF(J2645="Duplicate","Duplicate",IF(OR(C2645="UNMAPPED",D2645="UNMAPPED"),"Unmapped",IF(F2645=0,"Blank qty",IF(F2645&lt;0,"Return","OK")))))</f>
        <v/>
      </c>
      <c r="L2645" s="36" t="str">
        <f aca="false">IF(Raw_Export!$A2645="","",IF(OR(K2645="OK",K2645="Return"),1,0))</f>
        <v/>
      </c>
      <c r="M2645" s="37" t="str">
        <f aca="false">IF(Raw_Export!$A2645="","",B2645-WEEKDAY(B2645,2)+1)</f>
        <v/>
      </c>
    </row>
    <row r="2646" customFormat="false" ht="15" hidden="false" customHeight="false" outlineLevel="0" collapsed="false">
      <c r="A2646" s="36" t="str">
        <f aca="false">IF(Raw_Export!$A2646="","",TRIM(Raw_Export!A2646))</f>
        <v/>
      </c>
      <c r="B2646" s="37" t="str">
        <f aca="false">IF(Raw_Export!$A2646="","",IF(ISNUMBER(Raw_Export!B2646),Raw_Export!B2646,IF(MID(TRIM(Raw_Export!B2646),5,1)="-",DATE(LEFT(TRIM(Raw_Export!B2646),4),MID(TRIM(Raw_Export!B2646),6,2),RIGHT(TRIM(Raw_Export!B2646),2)),DATE(RIGHT(TRIM(Raw_Export!B2646),4),MATCH(MID(TRIM(Raw_Export!B2646),4,3),{"Jan","Feb","Mar","Apr","May","Jun","Jul","Aug","Sep","Oct","Nov","Dec"},0),LEFT(TRIM(Raw_Export!B2646),2)))))</f>
        <v/>
      </c>
      <c r="C2646" s="36" t="str">
        <f aca="false">IF(Raw_Export!$A2646="","",IFERROR(VLOOKUP(LOWER(TRIM(Raw_Export!C2646)),Maps!$A$2:$B$20,2,FALSE()),"UNMAPPED"))</f>
        <v/>
      </c>
      <c r="D2646" s="36" t="str">
        <f aca="false">IF(Raw_Export!$A2646="","",IFERROR(VLOOKUP(LOWER(TRIM(Raw_Export!D2646)),Maps!$G$2:$I$80,2,FALSE()),"UNMAPPED"))</f>
        <v/>
      </c>
      <c r="E2646" s="36" t="str">
        <f aca="false">IF(Raw_Export!$A2646="","",IFERROR(VLOOKUP(LOWER(TRIM(Raw_Export!D2646)),Maps!$G$2:$I$80,3,FALSE()),"UNMAPPED"))</f>
        <v/>
      </c>
      <c r="F2646" s="36" t="str">
        <f aca="false">IF(Raw_Export!$A2646="","",IFERROR(VALUE(TRIM(Raw_Export!E2646)),0))</f>
        <v/>
      </c>
      <c r="G2646" s="38" t="str">
        <f aca="false">IF(Raw_Export!$A2646="","",IFERROR(VALUE(SUBSTITUTE(SUBSTITUTE(UPPER(TRIM(Raw_Export!F2646)),"KES",""),",","")),0))</f>
        <v/>
      </c>
      <c r="H2646" s="38" t="str">
        <f aca="false">IF(Raw_Export!$A2646="","",F2646*G2646)</f>
        <v/>
      </c>
      <c r="I2646" s="36" t="str">
        <f aca="false">IF(Raw_Export!$A2646="","",IFERROR(VLOOKUP(LOWER(TRIM(Raw_Export!H2646)),Maps!$D$2:$E$12,2,FALSE()),"Other"))</f>
        <v/>
      </c>
      <c r="J2646" s="36" t="str">
        <f aca="false">IF(Raw_Export!$A2646="","",IF(COUNTIF($A$2:A2646,A2646)&gt;1,"Duplicate",""))</f>
        <v/>
      </c>
      <c r="K2646" s="36" t="str">
        <f aca="false">IF(Raw_Export!$A2646="","",IF(J2646="Duplicate","Duplicate",IF(OR(C2646="UNMAPPED",D2646="UNMAPPED"),"Unmapped",IF(F2646=0,"Blank qty",IF(F2646&lt;0,"Return","OK")))))</f>
        <v/>
      </c>
      <c r="L2646" s="36" t="str">
        <f aca="false">IF(Raw_Export!$A2646="","",IF(OR(K2646="OK",K2646="Return"),1,0))</f>
        <v/>
      </c>
      <c r="M2646" s="37" t="str">
        <f aca="false">IF(Raw_Export!$A2646="","",B2646-WEEKDAY(B2646,2)+1)</f>
        <v/>
      </c>
    </row>
    <row r="2647" customFormat="false" ht="15" hidden="false" customHeight="false" outlineLevel="0" collapsed="false">
      <c r="A2647" s="36" t="str">
        <f aca="false">IF(Raw_Export!$A2647="","",TRIM(Raw_Export!A2647))</f>
        <v/>
      </c>
      <c r="B2647" s="37" t="str">
        <f aca="false">IF(Raw_Export!$A2647="","",IF(ISNUMBER(Raw_Export!B2647),Raw_Export!B2647,IF(MID(TRIM(Raw_Export!B2647),5,1)="-",DATE(LEFT(TRIM(Raw_Export!B2647),4),MID(TRIM(Raw_Export!B2647),6,2),RIGHT(TRIM(Raw_Export!B2647),2)),DATE(RIGHT(TRIM(Raw_Export!B2647),4),MATCH(MID(TRIM(Raw_Export!B2647),4,3),{"Jan","Feb","Mar","Apr","May","Jun","Jul","Aug","Sep","Oct","Nov","Dec"},0),LEFT(TRIM(Raw_Export!B2647),2)))))</f>
        <v/>
      </c>
      <c r="C2647" s="36" t="str">
        <f aca="false">IF(Raw_Export!$A2647="","",IFERROR(VLOOKUP(LOWER(TRIM(Raw_Export!C2647)),Maps!$A$2:$B$20,2,FALSE()),"UNMAPPED"))</f>
        <v/>
      </c>
      <c r="D2647" s="36" t="str">
        <f aca="false">IF(Raw_Export!$A2647="","",IFERROR(VLOOKUP(LOWER(TRIM(Raw_Export!D2647)),Maps!$G$2:$I$80,2,FALSE()),"UNMAPPED"))</f>
        <v/>
      </c>
      <c r="E2647" s="36" t="str">
        <f aca="false">IF(Raw_Export!$A2647="","",IFERROR(VLOOKUP(LOWER(TRIM(Raw_Export!D2647)),Maps!$G$2:$I$80,3,FALSE()),"UNMAPPED"))</f>
        <v/>
      </c>
      <c r="F2647" s="36" t="str">
        <f aca="false">IF(Raw_Export!$A2647="","",IFERROR(VALUE(TRIM(Raw_Export!E2647)),0))</f>
        <v/>
      </c>
      <c r="G2647" s="38" t="str">
        <f aca="false">IF(Raw_Export!$A2647="","",IFERROR(VALUE(SUBSTITUTE(SUBSTITUTE(UPPER(TRIM(Raw_Export!F2647)),"KES",""),",","")),0))</f>
        <v/>
      </c>
      <c r="H2647" s="38" t="str">
        <f aca="false">IF(Raw_Export!$A2647="","",F2647*G2647)</f>
        <v/>
      </c>
      <c r="I2647" s="36" t="str">
        <f aca="false">IF(Raw_Export!$A2647="","",IFERROR(VLOOKUP(LOWER(TRIM(Raw_Export!H2647)),Maps!$D$2:$E$12,2,FALSE()),"Other"))</f>
        <v/>
      </c>
      <c r="J2647" s="36" t="str">
        <f aca="false">IF(Raw_Export!$A2647="","",IF(COUNTIF($A$2:A2647,A2647)&gt;1,"Duplicate",""))</f>
        <v/>
      </c>
      <c r="K2647" s="36" t="str">
        <f aca="false">IF(Raw_Export!$A2647="","",IF(J2647="Duplicate","Duplicate",IF(OR(C2647="UNMAPPED",D2647="UNMAPPED"),"Unmapped",IF(F2647=0,"Blank qty",IF(F2647&lt;0,"Return","OK")))))</f>
        <v/>
      </c>
      <c r="L2647" s="36" t="str">
        <f aca="false">IF(Raw_Export!$A2647="","",IF(OR(K2647="OK",K2647="Return"),1,0))</f>
        <v/>
      </c>
      <c r="M2647" s="37" t="str">
        <f aca="false">IF(Raw_Export!$A2647="","",B2647-WEEKDAY(B2647,2)+1)</f>
        <v/>
      </c>
    </row>
    <row r="2648" customFormat="false" ht="15" hidden="false" customHeight="false" outlineLevel="0" collapsed="false">
      <c r="A2648" s="36" t="str">
        <f aca="false">IF(Raw_Export!$A2648="","",TRIM(Raw_Export!A2648))</f>
        <v/>
      </c>
      <c r="B2648" s="37" t="str">
        <f aca="false">IF(Raw_Export!$A2648="","",IF(ISNUMBER(Raw_Export!B2648),Raw_Export!B2648,IF(MID(TRIM(Raw_Export!B2648),5,1)="-",DATE(LEFT(TRIM(Raw_Export!B2648),4),MID(TRIM(Raw_Export!B2648),6,2),RIGHT(TRIM(Raw_Export!B2648),2)),DATE(RIGHT(TRIM(Raw_Export!B2648),4),MATCH(MID(TRIM(Raw_Export!B2648),4,3),{"Jan","Feb","Mar","Apr","May","Jun","Jul","Aug","Sep","Oct","Nov","Dec"},0),LEFT(TRIM(Raw_Export!B2648),2)))))</f>
        <v/>
      </c>
      <c r="C2648" s="36" t="str">
        <f aca="false">IF(Raw_Export!$A2648="","",IFERROR(VLOOKUP(LOWER(TRIM(Raw_Export!C2648)),Maps!$A$2:$B$20,2,FALSE()),"UNMAPPED"))</f>
        <v/>
      </c>
      <c r="D2648" s="36" t="str">
        <f aca="false">IF(Raw_Export!$A2648="","",IFERROR(VLOOKUP(LOWER(TRIM(Raw_Export!D2648)),Maps!$G$2:$I$80,2,FALSE()),"UNMAPPED"))</f>
        <v/>
      </c>
      <c r="E2648" s="36" t="str">
        <f aca="false">IF(Raw_Export!$A2648="","",IFERROR(VLOOKUP(LOWER(TRIM(Raw_Export!D2648)),Maps!$G$2:$I$80,3,FALSE()),"UNMAPPED"))</f>
        <v/>
      </c>
      <c r="F2648" s="36" t="str">
        <f aca="false">IF(Raw_Export!$A2648="","",IFERROR(VALUE(TRIM(Raw_Export!E2648)),0))</f>
        <v/>
      </c>
      <c r="G2648" s="38" t="str">
        <f aca="false">IF(Raw_Export!$A2648="","",IFERROR(VALUE(SUBSTITUTE(SUBSTITUTE(UPPER(TRIM(Raw_Export!F2648)),"KES",""),",","")),0))</f>
        <v/>
      </c>
      <c r="H2648" s="38" t="str">
        <f aca="false">IF(Raw_Export!$A2648="","",F2648*G2648)</f>
        <v/>
      </c>
      <c r="I2648" s="36" t="str">
        <f aca="false">IF(Raw_Export!$A2648="","",IFERROR(VLOOKUP(LOWER(TRIM(Raw_Export!H2648)),Maps!$D$2:$E$12,2,FALSE()),"Other"))</f>
        <v/>
      </c>
      <c r="J2648" s="36" t="str">
        <f aca="false">IF(Raw_Export!$A2648="","",IF(COUNTIF($A$2:A2648,A2648)&gt;1,"Duplicate",""))</f>
        <v/>
      </c>
      <c r="K2648" s="36" t="str">
        <f aca="false">IF(Raw_Export!$A2648="","",IF(J2648="Duplicate","Duplicate",IF(OR(C2648="UNMAPPED",D2648="UNMAPPED"),"Unmapped",IF(F2648=0,"Blank qty",IF(F2648&lt;0,"Return","OK")))))</f>
        <v/>
      </c>
      <c r="L2648" s="36" t="str">
        <f aca="false">IF(Raw_Export!$A2648="","",IF(OR(K2648="OK",K2648="Return"),1,0))</f>
        <v/>
      </c>
      <c r="M2648" s="37" t="str">
        <f aca="false">IF(Raw_Export!$A2648="","",B2648-WEEKDAY(B2648,2)+1)</f>
        <v/>
      </c>
    </row>
    <row r="2649" customFormat="false" ht="15" hidden="false" customHeight="false" outlineLevel="0" collapsed="false">
      <c r="A2649" s="36" t="str">
        <f aca="false">IF(Raw_Export!$A2649="","",TRIM(Raw_Export!A2649))</f>
        <v/>
      </c>
      <c r="B2649" s="37" t="str">
        <f aca="false">IF(Raw_Export!$A2649="","",IF(ISNUMBER(Raw_Export!B2649),Raw_Export!B2649,IF(MID(TRIM(Raw_Export!B2649),5,1)="-",DATE(LEFT(TRIM(Raw_Export!B2649),4),MID(TRIM(Raw_Export!B2649),6,2),RIGHT(TRIM(Raw_Export!B2649),2)),DATE(RIGHT(TRIM(Raw_Export!B2649),4),MATCH(MID(TRIM(Raw_Export!B2649),4,3),{"Jan","Feb","Mar","Apr","May","Jun","Jul","Aug","Sep","Oct","Nov","Dec"},0),LEFT(TRIM(Raw_Export!B2649),2)))))</f>
        <v/>
      </c>
      <c r="C2649" s="36" t="str">
        <f aca="false">IF(Raw_Export!$A2649="","",IFERROR(VLOOKUP(LOWER(TRIM(Raw_Export!C2649)),Maps!$A$2:$B$20,2,FALSE()),"UNMAPPED"))</f>
        <v/>
      </c>
      <c r="D2649" s="36" t="str">
        <f aca="false">IF(Raw_Export!$A2649="","",IFERROR(VLOOKUP(LOWER(TRIM(Raw_Export!D2649)),Maps!$G$2:$I$80,2,FALSE()),"UNMAPPED"))</f>
        <v/>
      </c>
      <c r="E2649" s="36" t="str">
        <f aca="false">IF(Raw_Export!$A2649="","",IFERROR(VLOOKUP(LOWER(TRIM(Raw_Export!D2649)),Maps!$G$2:$I$80,3,FALSE()),"UNMAPPED"))</f>
        <v/>
      </c>
      <c r="F2649" s="36" t="str">
        <f aca="false">IF(Raw_Export!$A2649="","",IFERROR(VALUE(TRIM(Raw_Export!E2649)),0))</f>
        <v/>
      </c>
      <c r="G2649" s="38" t="str">
        <f aca="false">IF(Raw_Export!$A2649="","",IFERROR(VALUE(SUBSTITUTE(SUBSTITUTE(UPPER(TRIM(Raw_Export!F2649)),"KES",""),",","")),0))</f>
        <v/>
      </c>
      <c r="H2649" s="38" t="str">
        <f aca="false">IF(Raw_Export!$A2649="","",F2649*G2649)</f>
        <v/>
      </c>
      <c r="I2649" s="36" t="str">
        <f aca="false">IF(Raw_Export!$A2649="","",IFERROR(VLOOKUP(LOWER(TRIM(Raw_Export!H2649)),Maps!$D$2:$E$12,2,FALSE()),"Other"))</f>
        <v/>
      </c>
      <c r="J2649" s="36" t="str">
        <f aca="false">IF(Raw_Export!$A2649="","",IF(COUNTIF($A$2:A2649,A2649)&gt;1,"Duplicate",""))</f>
        <v/>
      </c>
      <c r="K2649" s="36" t="str">
        <f aca="false">IF(Raw_Export!$A2649="","",IF(J2649="Duplicate","Duplicate",IF(OR(C2649="UNMAPPED",D2649="UNMAPPED"),"Unmapped",IF(F2649=0,"Blank qty",IF(F2649&lt;0,"Return","OK")))))</f>
        <v/>
      </c>
      <c r="L2649" s="36" t="str">
        <f aca="false">IF(Raw_Export!$A2649="","",IF(OR(K2649="OK",K2649="Return"),1,0))</f>
        <v/>
      </c>
      <c r="M2649" s="37" t="str">
        <f aca="false">IF(Raw_Export!$A2649="","",B2649-WEEKDAY(B2649,2)+1)</f>
        <v/>
      </c>
    </row>
    <row r="2650" customFormat="false" ht="15" hidden="false" customHeight="false" outlineLevel="0" collapsed="false">
      <c r="A2650" s="36" t="str">
        <f aca="false">IF(Raw_Export!$A2650="","",TRIM(Raw_Export!A2650))</f>
        <v/>
      </c>
      <c r="B2650" s="37" t="str">
        <f aca="false">IF(Raw_Export!$A2650="","",IF(ISNUMBER(Raw_Export!B2650),Raw_Export!B2650,IF(MID(TRIM(Raw_Export!B2650),5,1)="-",DATE(LEFT(TRIM(Raw_Export!B2650),4),MID(TRIM(Raw_Export!B2650),6,2),RIGHT(TRIM(Raw_Export!B2650),2)),DATE(RIGHT(TRIM(Raw_Export!B2650),4),MATCH(MID(TRIM(Raw_Export!B2650),4,3),{"Jan","Feb","Mar","Apr","May","Jun","Jul","Aug","Sep","Oct","Nov","Dec"},0),LEFT(TRIM(Raw_Export!B2650),2)))))</f>
        <v/>
      </c>
      <c r="C2650" s="36" t="str">
        <f aca="false">IF(Raw_Export!$A2650="","",IFERROR(VLOOKUP(LOWER(TRIM(Raw_Export!C2650)),Maps!$A$2:$B$20,2,FALSE()),"UNMAPPED"))</f>
        <v/>
      </c>
      <c r="D2650" s="36" t="str">
        <f aca="false">IF(Raw_Export!$A2650="","",IFERROR(VLOOKUP(LOWER(TRIM(Raw_Export!D2650)),Maps!$G$2:$I$80,2,FALSE()),"UNMAPPED"))</f>
        <v/>
      </c>
      <c r="E2650" s="36" t="str">
        <f aca="false">IF(Raw_Export!$A2650="","",IFERROR(VLOOKUP(LOWER(TRIM(Raw_Export!D2650)),Maps!$G$2:$I$80,3,FALSE()),"UNMAPPED"))</f>
        <v/>
      </c>
      <c r="F2650" s="36" t="str">
        <f aca="false">IF(Raw_Export!$A2650="","",IFERROR(VALUE(TRIM(Raw_Export!E2650)),0))</f>
        <v/>
      </c>
      <c r="G2650" s="38" t="str">
        <f aca="false">IF(Raw_Export!$A2650="","",IFERROR(VALUE(SUBSTITUTE(SUBSTITUTE(UPPER(TRIM(Raw_Export!F2650)),"KES",""),",","")),0))</f>
        <v/>
      </c>
      <c r="H2650" s="38" t="str">
        <f aca="false">IF(Raw_Export!$A2650="","",F2650*G2650)</f>
        <v/>
      </c>
      <c r="I2650" s="36" t="str">
        <f aca="false">IF(Raw_Export!$A2650="","",IFERROR(VLOOKUP(LOWER(TRIM(Raw_Export!H2650)),Maps!$D$2:$E$12,2,FALSE()),"Other"))</f>
        <v/>
      </c>
      <c r="J2650" s="36" t="str">
        <f aca="false">IF(Raw_Export!$A2650="","",IF(COUNTIF($A$2:A2650,A2650)&gt;1,"Duplicate",""))</f>
        <v/>
      </c>
      <c r="K2650" s="36" t="str">
        <f aca="false">IF(Raw_Export!$A2650="","",IF(J2650="Duplicate","Duplicate",IF(OR(C2650="UNMAPPED",D2650="UNMAPPED"),"Unmapped",IF(F2650=0,"Blank qty",IF(F2650&lt;0,"Return","OK")))))</f>
        <v/>
      </c>
      <c r="L2650" s="36" t="str">
        <f aca="false">IF(Raw_Export!$A2650="","",IF(OR(K2650="OK",K2650="Return"),1,0))</f>
        <v/>
      </c>
      <c r="M2650" s="37" t="str">
        <f aca="false">IF(Raw_Export!$A2650="","",B2650-WEEKDAY(B2650,2)+1)</f>
        <v/>
      </c>
    </row>
    <row r="2651" customFormat="false" ht="15" hidden="false" customHeight="false" outlineLevel="0" collapsed="false">
      <c r="A2651" s="36" t="str">
        <f aca="false">IF(Raw_Export!$A2651="","",TRIM(Raw_Export!A2651))</f>
        <v/>
      </c>
      <c r="B2651" s="37" t="str">
        <f aca="false">IF(Raw_Export!$A2651="","",IF(ISNUMBER(Raw_Export!B2651),Raw_Export!B2651,IF(MID(TRIM(Raw_Export!B2651),5,1)="-",DATE(LEFT(TRIM(Raw_Export!B2651),4),MID(TRIM(Raw_Export!B2651),6,2),RIGHT(TRIM(Raw_Export!B2651),2)),DATE(RIGHT(TRIM(Raw_Export!B2651),4),MATCH(MID(TRIM(Raw_Export!B2651),4,3),{"Jan","Feb","Mar","Apr","May","Jun","Jul","Aug","Sep","Oct","Nov","Dec"},0),LEFT(TRIM(Raw_Export!B2651),2)))))</f>
        <v/>
      </c>
      <c r="C2651" s="36" t="str">
        <f aca="false">IF(Raw_Export!$A2651="","",IFERROR(VLOOKUP(LOWER(TRIM(Raw_Export!C2651)),Maps!$A$2:$B$20,2,FALSE()),"UNMAPPED"))</f>
        <v/>
      </c>
      <c r="D2651" s="36" t="str">
        <f aca="false">IF(Raw_Export!$A2651="","",IFERROR(VLOOKUP(LOWER(TRIM(Raw_Export!D2651)),Maps!$G$2:$I$80,2,FALSE()),"UNMAPPED"))</f>
        <v/>
      </c>
      <c r="E2651" s="36" t="str">
        <f aca="false">IF(Raw_Export!$A2651="","",IFERROR(VLOOKUP(LOWER(TRIM(Raw_Export!D2651)),Maps!$G$2:$I$80,3,FALSE()),"UNMAPPED"))</f>
        <v/>
      </c>
      <c r="F2651" s="36" t="str">
        <f aca="false">IF(Raw_Export!$A2651="","",IFERROR(VALUE(TRIM(Raw_Export!E2651)),0))</f>
        <v/>
      </c>
      <c r="G2651" s="38" t="str">
        <f aca="false">IF(Raw_Export!$A2651="","",IFERROR(VALUE(SUBSTITUTE(SUBSTITUTE(UPPER(TRIM(Raw_Export!F2651)),"KES",""),",","")),0))</f>
        <v/>
      </c>
      <c r="H2651" s="38" t="str">
        <f aca="false">IF(Raw_Export!$A2651="","",F2651*G2651)</f>
        <v/>
      </c>
      <c r="I2651" s="36" t="str">
        <f aca="false">IF(Raw_Export!$A2651="","",IFERROR(VLOOKUP(LOWER(TRIM(Raw_Export!H2651)),Maps!$D$2:$E$12,2,FALSE()),"Other"))</f>
        <v/>
      </c>
      <c r="J2651" s="36" t="str">
        <f aca="false">IF(Raw_Export!$A2651="","",IF(COUNTIF($A$2:A2651,A2651)&gt;1,"Duplicate",""))</f>
        <v/>
      </c>
      <c r="K2651" s="36" t="str">
        <f aca="false">IF(Raw_Export!$A2651="","",IF(J2651="Duplicate","Duplicate",IF(OR(C2651="UNMAPPED",D2651="UNMAPPED"),"Unmapped",IF(F2651=0,"Blank qty",IF(F2651&lt;0,"Return","OK")))))</f>
        <v/>
      </c>
      <c r="L2651" s="36" t="str">
        <f aca="false">IF(Raw_Export!$A2651="","",IF(OR(K2651="OK",K2651="Return"),1,0))</f>
        <v/>
      </c>
      <c r="M2651" s="37" t="str">
        <f aca="false">IF(Raw_Export!$A2651="","",B2651-WEEKDAY(B2651,2)+1)</f>
        <v/>
      </c>
    </row>
    <row r="2652" customFormat="false" ht="15" hidden="false" customHeight="false" outlineLevel="0" collapsed="false">
      <c r="A2652" s="36" t="str">
        <f aca="false">IF(Raw_Export!$A2652="","",TRIM(Raw_Export!A2652))</f>
        <v/>
      </c>
      <c r="B2652" s="37" t="str">
        <f aca="false">IF(Raw_Export!$A2652="","",IF(ISNUMBER(Raw_Export!B2652),Raw_Export!B2652,IF(MID(TRIM(Raw_Export!B2652),5,1)="-",DATE(LEFT(TRIM(Raw_Export!B2652),4),MID(TRIM(Raw_Export!B2652),6,2),RIGHT(TRIM(Raw_Export!B2652),2)),DATE(RIGHT(TRIM(Raw_Export!B2652),4),MATCH(MID(TRIM(Raw_Export!B2652),4,3),{"Jan","Feb","Mar","Apr","May","Jun","Jul","Aug","Sep","Oct","Nov","Dec"},0),LEFT(TRIM(Raw_Export!B2652),2)))))</f>
        <v/>
      </c>
      <c r="C2652" s="36" t="str">
        <f aca="false">IF(Raw_Export!$A2652="","",IFERROR(VLOOKUP(LOWER(TRIM(Raw_Export!C2652)),Maps!$A$2:$B$20,2,FALSE()),"UNMAPPED"))</f>
        <v/>
      </c>
      <c r="D2652" s="36" t="str">
        <f aca="false">IF(Raw_Export!$A2652="","",IFERROR(VLOOKUP(LOWER(TRIM(Raw_Export!D2652)),Maps!$G$2:$I$80,2,FALSE()),"UNMAPPED"))</f>
        <v/>
      </c>
      <c r="E2652" s="36" t="str">
        <f aca="false">IF(Raw_Export!$A2652="","",IFERROR(VLOOKUP(LOWER(TRIM(Raw_Export!D2652)),Maps!$G$2:$I$80,3,FALSE()),"UNMAPPED"))</f>
        <v/>
      </c>
      <c r="F2652" s="36" t="str">
        <f aca="false">IF(Raw_Export!$A2652="","",IFERROR(VALUE(TRIM(Raw_Export!E2652)),0))</f>
        <v/>
      </c>
      <c r="G2652" s="38" t="str">
        <f aca="false">IF(Raw_Export!$A2652="","",IFERROR(VALUE(SUBSTITUTE(SUBSTITUTE(UPPER(TRIM(Raw_Export!F2652)),"KES",""),",","")),0))</f>
        <v/>
      </c>
      <c r="H2652" s="38" t="str">
        <f aca="false">IF(Raw_Export!$A2652="","",F2652*G2652)</f>
        <v/>
      </c>
      <c r="I2652" s="36" t="str">
        <f aca="false">IF(Raw_Export!$A2652="","",IFERROR(VLOOKUP(LOWER(TRIM(Raw_Export!H2652)),Maps!$D$2:$E$12,2,FALSE()),"Other"))</f>
        <v/>
      </c>
      <c r="J2652" s="36" t="str">
        <f aca="false">IF(Raw_Export!$A2652="","",IF(COUNTIF($A$2:A2652,A2652)&gt;1,"Duplicate",""))</f>
        <v/>
      </c>
      <c r="K2652" s="36" t="str">
        <f aca="false">IF(Raw_Export!$A2652="","",IF(J2652="Duplicate","Duplicate",IF(OR(C2652="UNMAPPED",D2652="UNMAPPED"),"Unmapped",IF(F2652=0,"Blank qty",IF(F2652&lt;0,"Return","OK")))))</f>
        <v/>
      </c>
      <c r="L2652" s="36" t="str">
        <f aca="false">IF(Raw_Export!$A2652="","",IF(OR(K2652="OK",K2652="Return"),1,0))</f>
        <v/>
      </c>
      <c r="M2652" s="37" t="str">
        <f aca="false">IF(Raw_Export!$A2652="","",B2652-WEEKDAY(B2652,2)+1)</f>
        <v/>
      </c>
    </row>
    <row r="2653" customFormat="false" ht="15" hidden="false" customHeight="false" outlineLevel="0" collapsed="false">
      <c r="A2653" s="36" t="str">
        <f aca="false">IF(Raw_Export!$A2653="","",TRIM(Raw_Export!A2653))</f>
        <v/>
      </c>
      <c r="B2653" s="37" t="str">
        <f aca="false">IF(Raw_Export!$A2653="","",IF(ISNUMBER(Raw_Export!B2653),Raw_Export!B2653,IF(MID(TRIM(Raw_Export!B2653),5,1)="-",DATE(LEFT(TRIM(Raw_Export!B2653),4),MID(TRIM(Raw_Export!B2653),6,2),RIGHT(TRIM(Raw_Export!B2653),2)),DATE(RIGHT(TRIM(Raw_Export!B2653),4),MATCH(MID(TRIM(Raw_Export!B2653),4,3),{"Jan","Feb","Mar","Apr","May","Jun","Jul","Aug","Sep","Oct","Nov","Dec"},0),LEFT(TRIM(Raw_Export!B2653),2)))))</f>
        <v/>
      </c>
      <c r="C2653" s="36" t="str">
        <f aca="false">IF(Raw_Export!$A2653="","",IFERROR(VLOOKUP(LOWER(TRIM(Raw_Export!C2653)),Maps!$A$2:$B$20,2,FALSE()),"UNMAPPED"))</f>
        <v/>
      </c>
      <c r="D2653" s="36" t="str">
        <f aca="false">IF(Raw_Export!$A2653="","",IFERROR(VLOOKUP(LOWER(TRIM(Raw_Export!D2653)),Maps!$G$2:$I$80,2,FALSE()),"UNMAPPED"))</f>
        <v/>
      </c>
      <c r="E2653" s="36" t="str">
        <f aca="false">IF(Raw_Export!$A2653="","",IFERROR(VLOOKUP(LOWER(TRIM(Raw_Export!D2653)),Maps!$G$2:$I$80,3,FALSE()),"UNMAPPED"))</f>
        <v/>
      </c>
      <c r="F2653" s="36" t="str">
        <f aca="false">IF(Raw_Export!$A2653="","",IFERROR(VALUE(TRIM(Raw_Export!E2653)),0))</f>
        <v/>
      </c>
      <c r="G2653" s="38" t="str">
        <f aca="false">IF(Raw_Export!$A2653="","",IFERROR(VALUE(SUBSTITUTE(SUBSTITUTE(UPPER(TRIM(Raw_Export!F2653)),"KES",""),",","")),0))</f>
        <v/>
      </c>
      <c r="H2653" s="38" t="str">
        <f aca="false">IF(Raw_Export!$A2653="","",F2653*G2653)</f>
        <v/>
      </c>
      <c r="I2653" s="36" t="str">
        <f aca="false">IF(Raw_Export!$A2653="","",IFERROR(VLOOKUP(LOWER(TRIM(Raw_Export!H2653)),Maps!$D$2:$E$12,2,FALSE()),"Other"))</f>
        <v/>
      </c>
      <c r="J2653" s="36" t="str">
        <f aca="false">IF(Raw_Export!$A2653="","",IF(COUNTIF($A$2:A2653,A2653)&gt;1,"Duplicate",""))</f>
        <v/>
      </c>
      <c r="K2653" s="36" t="str">
        <f aca="false">IF(Raw_Export!$A2653="","",IF(J2653="Duplicate","Duplicate",IF(OR(C2653="UNMAPPED",D2653="UNMAPPED"),"Unmapped",IF(F2653=0,"Blank qty",IF(F2653&lt;0,"Return","OK")))))</f>
        <v/>
      </c>
      <c r="L2653" s="36" t="str">
        <f aca="false">IF(Raw_Export!$A2653="","",IF(OR(K2653="OK",K2653="Return"),1,0))</f>
        <v/>
      </c>
      <c r="M2653" s="37" t="str">
        <f aca="false">IF(Raw_Export!$A2653="","",B2653-WEEKDAY(B2653,2)+1)</f>
        <v/>
      </c>
    </row>
    <row r="2654" customFormat="false" ht="15" hidden="false" customHeight="false" outlineLevel="0" collapsed="false">
      <c r="A2654" s="36" t="str">
        <f aca="false">IF(Raw_Export!$A2654="","",TRIM(Raw_Export!A2654))</f>
        <v/>
      </c>
      <c r="B2654" s="37" t="str">
        <f aca="false">IF(Raw_Export!$A2654="","",IF(ISNUMBER(Raw_Export!B2654),Raw_Export!B2654,IF(MID(TRIM(Raw_Export!B2654),5,1)="-",DATE(LEFT(TRIM(Raw_Export!B2654),4),MID(TRIM(Raw_Export!B2654),6,2),RIGHT(TRIM(Raw_Export!B2654),2)),DATE(RIGHT(TRIM(Raw_Export!B2654),4),MATCH(MID(TRIM(Raw_Export!B2654),4,3),{"Jan","Feb","Mar","Apr","May","Jun","Jul","Aug","Sep","Oct","Nov","Dec"},0),LEFT(TRIM(Raw_Export!B2654),2)))))</f>
        <v/>
      </c>
      <c r="C2654" s="36" t="str">
        <f aca="false">IF(Raw_Export!$A2654="","",IFERROR(VLOOKUP(LOWER(TRIM(Raw_Export!C2654)),Maps!$A$2:$B$20,2,FALSE()),"UNMAPPED"))</f>
        <v/>
      </c>
      <c r="D2654" s="36" t="str">
        <f aca="false">IF(Raw_Export!$A2654="","",IFERROR(VLOOKUP(LOWER(TRIM(Raw_Export!D2654)),Maps!$G$2:$I$80,2,FALSE()),"UNMAPPED"))</f>
        <v/>
      </c>
      <c r="E2654" s="36" t="str">
        <f aca="false">IF(Raw_Export!$A2654="","",IFERROR(VLOOKUP(LOWER(TRIM(Raw_Export!D2654)),Maps!$G$2:$I$80,3,FALSE()),"UNMAPPED"))</f>
        <v/>
      </c>
      <c r="F2654" s="36" t="str">
        <f aca="false">IF(Raw_Export!$A2654="","",IFERROR(VALUE(TRIM(Raw_Export!E2654)),0))</f>
        <v/>
      </c>
      <c r="G2654" s="38" t="str">
        <f aca="false">IF(Raw_Export!$A2654="","",IFERROR(VALUE(SUBSTITUTE(SUBSTITUTE(UPPER(TRIM(Raw_Export!F2654)),"KES",""),",","")),0))</f>
        <v/>
      </c>
      <c r="H2654" s="38" t="str">
        <f aca="false">IF(Raw_Export!$A2654="","",F2654*G2654)</f>
        <v/>
      </c>
      <c r="I2654" s="36" t="str">
        <f aca="false">IF(Raw_Export!$A2654="","",IFERROR(VLOOKUP(LOWER(TRIM(Raw_Export!H2654)),Maps!$D$2:$E$12,2,FALSE()),"Other"))</f>
        <v/>
      </c>
      <c r="J2654" s="36" t="str">
        <f aca="false">IF(Raw_Export!$A2654="","",IF(COUNTIF($A$2:A2654,A2654)&gt;1,"Duplicate",""))</f>
        <v/>
      </c>
      <c r="K2654" s="36" t="str">
        <f aca="false">IF(Raw_Export!$A2654="","",IF(J2654="Duplicate","Duplicate",IF(OR(C2654="UNMAPPED",D2654="UNMAPPED"),"Unmapped",IF(F2654=0,"Blank qty",IF(F2654&lt;0,"Return","OK")))))</f>
        <v/>
      </c>
      <c r="L2654" s="36" t="str">
        <f aca="false">IF(Raw_Export!$A2654="","",IF(OR(K2654="OK",K2654="Return"),1,0))</f>
        <v/>
      </c>
      <c r="M2654" s="37" t="str">
        <f aca="false">IF(Raw_Export!$A2654="","",B2654-WEEKDAY(B2654,2)+1)</f>
        <v/>
      </c>
    </row>
    <row r="2655" customFormat="false" ht="15" hidden="false" customHeight="false" outlineLevel="0" collapsed="false">
      <c r="A2655" s="36" t="str">
        <f aca="false">IF(Raw_Export!$A2655="","",TRIM(Raw_Export!A2655))</f>
        <v/>
      </c>
      <c r="B2655" s="37" t="str">
        <f aca="false">IF(Raw_Export!$A2655="","",IF(ISNUMBER(Raw_Export!B2655),Raw_Export!B2655,IF(MID(TRIM(Raw_Export!B2655),5,1)="-",DATE(LEFT(TRIM(Raw_Export!B2655),4),MID(TRIM(Raw_Export!B2655),6,2),RIGHT(TRIM(Raw_Export!B2655),2)),DATE(RIGHT(TRIM(Raw_Export!B2655),4),MATCH(MID(TRIM(Raw_Export!B2655),4,3),{"Jan","Feb","Mar","Apr","May","Jun","Jul","Aug","Sep","Oct","Nov","Dec"},0),LEFT(TRIM(Raw_Export!B2655),2)))))</f>
        <v/>
      </c>
      <c r="C2655" s="36" t="str">
        <f aca="false">IF(Raw_Export!$A2655="","",IFERROR(VLOOKUP(LOWER(TRIM(Raw_Export!C2655)),Maps!$A$2:$B$20,2,FALSE()),"UNMAPPED"))</f>
        <v/>
      </c>
      <c r="D2655" s="36" t="str">
        <f aca="false">IF(Raw_Export!$A2655="","",IFERROR(VLOOKUP(LOWER(TRIM(Raw_Export!D2655)),Maps!$G$2:$I$80,2,FALSE()),"UNMAPPED"))</f>
        <v/>
      </c>
      <c r="E2655" s="36" t="str">
        <f aca="false">IF(Raw_Export!$A2655="","",IFERROR(VLOOKUP(LOWER(TRIM(Raw_Export!D2655)),Maps!$G$2:$I$80,3,FALSE()),"UNMAPPED"))</f>
        <v/>
      </c>
      <c r="F2655" s="36" t="str">
        <f aca="false">IF(Raw_Export!$A2655="","",IFERROR(VALUE(TRIM(Raw_Export!E2655)),0))</f>
        <v/>
      </c>
      <c r="G2655" s="38" t="str">
        <f aca="false">IF(Raw_Export!$A2655="","",IFERROR(VALUE(SUBSTITUTE(SUBSTITUTE(UPPER(TRIM(Raw_Export!F2655)),"KES",""),",","")),0))</f>
        <v/>
      </c>
      <c r="H2655" s="38" t="str">
        <f aca="false">IF(Raw_Export!$A2655="","",F2655*G2655)</f>
        <v/>
      </c>
      <c r="I2655" s="36" t="str">
        <f aca="false">IF(Raw_Export!$A2655="","",IFERROR(VLOOKUP(LOWER(TRIM(Raw_Export!H2655)),Maps!$D$2:$E$12,2,FALSE()),"Other"))</f>
        <v/>
      </c>
      <c r="J2655" s="36" t="str">
        <f aca="false">IF(Raw_Export!$A2655="","",IF(COUNTIF($A$2:A2655,A2655)&gt;1,"Duplicate",""))</f>
        <v/>
      </c>
      <c r="K2655" s="36" t="str">
        <f aca="false">IF(Raw_Export!$A2655="","",IF(J2655="Duplicate","Duplicate",IF(OR(C2655="UNMAPPED",D2655="UNMAPPED"),"Unmapped",IF(F2655=0,"Blank qty",IF(F2655&lt;0,"Return","OK")))))</f>
        <v/>
      </c>
      <c r="L2655" s="36" t="str">
        <f aca="false">IF(Raw_Export!$A2655="","",IF(OR(K2655="OK",K2655="Return"),1,0))</f>
        <v/>
      </c>
      <c r="M2655" s="37" t="str">
        <f aca="false">IF(Raw_Export!$A2655="","",B2655-WEEKDAY(B2655,2)+1)</f>
        <v/>
      </c>
    </row>
    <row r="2656" customFormat="false" ht="15" hidden="false" customHeight="false" outlineLevel="0" collapsed="false">
      <c r="A2656" s="36" t="str">
        <f aca="false">IF(Raw_Export!$A2656="","",TRIM(Raw_Export!A2656))</f>
        <v/>
      </c>
      <c r="B2656" s="37" t="str">
        <f aca="false">IF(Raw_Export!$A2656="","",IF(ISNUMBER(Raw_Export!B2656),Raw_Export!B2656,IF(MID(TRIM(Raw_Export!B2656),5,1)="-",DATE(LEFT(TRIM(Raw_Export!B2656),4),MID(TRIM(Raw_Export!B2656),6,2),RIGHT(TRIM(Raw_Export!B2656),2)),DATE(RIGHT(TRIM(Raw_Export!B2656),4),MATCH(MID(TRIM(Raw_Export!B2656),4,3),{"Jan","Feb","Mar","Apr","May","Jun","Jul","Aug","Sep","Oct","Nov","Dec"},0),LEFT(TRIM(Raw_Export!B2656),2)))))</f>
        <v/>
      </c>
      <c r="C2656" s="36" t="str">
        <f aca="false">IF(Raw_Export!$A2656="","",IFERROR(VLOOKUP(LOWER(TRIM(Raw_Export!C2656)),Maps!$A$2:$B$20,2,FALSE()),"UNMAPPED"))</f>
        <v/>
      </c>
      <c r="D2656" s="36" t="str">
        <f aca="false">IF(Raw_Export!$A2656="","",IFERROR(VLOOKUP(LOWER(TRIM(Raw_Export!D2656)),Maps!$G$2:$I$80,2,FALSE()),"UNMAPPED"))</f>
        <v/>
      </c>
      <c r="E2656" s="36" t="str">
        <f aca="false">IF(Raw_Export!$A2656="","",IFERROR(VLOOKUP(LOWER(TRIM(Raw_Export!D2656)),Maps!$G$2:$I$80,3,FALSE()),"UNMAPPED"))</f>
        <v/>
      </c>
      <c r="F2656" s="36" t="str">
        <f aca="false">IF(Raw_Export!$A2656="","",IFERROR(VALUE(TRIM(Raw_Export!E2656)),0))</f>
        <v/>
      </c>
      <c r="G2656" s="38" t="str">
        <f aca="false">IF(Raw_Export!$A2656="","",IFERROR(VALUE(SUBSTITUTE(SUBSTITUTE(UPPER(TRIM(Raw_Export!F2656)),"KES",""),",","")),0))</f>
        <v/>
      </c>
      <c r="H2656" s="38" t="str">
        <f aca="false">IF(Raw_Export!$A2656="","",F2656*G2656)</f>
        <v/>
      </c>
      <c r="I2656" s="36" t="str">
        <f aca="false">IF(Raw_Export!$A2656="","",IFERROR(VLOOKUP(LOWER(TRIM(Raw_Export!H2656)),Maps!$D$2:$E$12,2,FALSE()),"Other"))</f>
        <v/>
      </c>
      <c r="J2656" s="36" t="str">
        <f aca="false">IF(Raw_Export!$A2656="","",IF(COUNTIF($A$2:A2656,A2656)&gt;1,"Duplicate",""))</f>
        <v/>
      </c>
      <c r="K2656" s="36" t="str">
        <f aca="false">IF(Raw_Export!$A2656="","",IF(J2656="Duplicate","Duplicate",IF(OR(C2656="UNMAPPED",D2656="UNMAPPED"),"Unmapped",IF(F2656=0,"Blank qty",IF(F2656&lt;0,"Return","OK")))))</f>
        <v/>
      </c>
      <c r="L2656" s="36" t="str">
        <f aca="false">IF(Raw_Export!$A2656="","",IF(OR(K2656="OK",K2656="Return"),1,0))</f>
        <v/>
      </c>
      <c r="M2656" s="37" t="str">
        <f aca="false">IF(Raw_Export!$A2656="","",B2656-WEEKDAY(B2656,2)+1)</f>
        <v/>
      </c>
    </row>
    <row r="2657" customFormat="false" ht="15" hidden="false" customHeight="false" outlineLevel="0" collapsed="false">
      <c r="A2657" s="36" t="str">
        <f aca="false">IF(Raw_Export!$A2657="","",TRIM(Raw_Export!A2657))</f>
        <v/>
      </c>
      <c r="B2657" s="37" t="str">
        <f aca="false">IF(Raw_Export!$A2657="","",IF(ISNUMBER(Raw_Export!B2657),Raw_Export!B2657,IF(MID(TRIM(Raw_Export!B2657),5,1)="-",DATE(LEFT(TRIM(Raw_Export!B2657),4),MID(TRIM(Raw_Export!B2657),6,2),RIGHT(TRIM(Raw_Export!B2657),2)),DATE(RIGHT(TRIM(Raw_Export!B2657),4),MATCH(MID(TRIM(Raw_Export!B2657),4,3),{"Jan","Feb","Mar","Apr","May","Jun","Jul","Aug","Sep","Oct","Nov","Dec"},0),LEFT(TRIM(Raw_Export!B2657),2)))))</f>
        <v/>
      </c>
      <c r="C2657" s="36" t="str">
        <f aca="false">IF(Raw_Export!$A2657="","",IFERROR(VLOOKUP(LOWER(TRIM(Raw_Export!C2657)),Maps!$A$2:$B$20,2,FALSE()),"UNMAPPED"))</f>
        <v/>
      </c>
      <c r="D2657" s="36" t="str">
        <f aca="false">IF(Raw_Export!$A2657="","",IFERROR(VLOOKUP(LOWER(TRIM(Raw_Export!D2657)),Maps!$G$2:$I$80,2,FALSE()),"UNMAPPED"))</f>
        <v/>
      </c>
      <c r="E2657" s="36" t="str">
        <f aca="false">IF(Raw_Export!$A2657="","",IFERROR(VLOOKUP(LOWER(TRIM(Raw_Export!D2657)),Maps!$G$2:$I$80,3,FALSE()),"UNMAPPED"))</f>
        <v/>
      </c>
      <c r="F2657" s="36" t="str">
        <f aca="false">IF(Raw_Export!$A2657="","",IFERROR(VALUE(TRIM(Raw_Export!E2657)),0))</f>
        <v/>
      </c>
      <c r="G2657" s="38" t="str">
        <f aca="false">IF(Raw_Export!$A2657="","",IFERROR(VALUE(SUBSTITUTE(SUBSTITUTE(UPPER(TRIM(Raw_Export!F2657)),"KES",""),",","")),0))</f>
        <v/>
      </c>
      <c r="H2657" s="38" t="str">
        <f aca="false">IF(Raw_Export!$A2657="","",F2657*G2657)</f>
        <v/>
      </c>
      <c r="I2657" s="36" t="str">
        <f aca="false">IF(Raw_Export!$A2657="","",IFERROR(VLOOKUP(LOWER(TRIM(Raw_Export!H2657)),Maps!$D$2:$E$12,2,FALSE()),"Other"))</f>
        <v/>
      </c>
      <c r="J2657" s="36" t="str">
        <f aca="false">IF(Raw_Export!$A2657="","",IF(COUNTIF($A$2:A2657,A2657)&gt;1,"Duplicate",""))</f>
        <v/>
      </c>
      <c r="K2657" s="36" t="str">
        <f aca="false">IF(Raw_Export!$A2657="","",IF(J2657="Duplicate","Duplicate",IF(OR(C2657="UNMAPPED",D2657="UNMAPPED"),"Unmapped",IF(F2657=0,"Blank qty",IF(F2657&lt;0,"Return","OK")))))</f>
        <v/>
      </c>
      <c r="L2657" s="36" t="str">
        <f aca="false">IF(Raw_Export!$A2657="","",IF(OR(K2657="OK",K2657="Return"),1,0))</f>
        <v/>
      </c>
      <c r="M2657" s="37" t="str">
        <f aca="false">IF(Raw_Export!$A2657="","",B2657-WEEKDAY(B2657,2)+1)</f>
        <v/>
      </c>
    </row>
    <row r="2658" customFormat="false" ht="15" hidden="false" customHeight="false" outlineLevel="0" collapsed="false">
      <c r="A2658" s="36" t="str">
        <f aca="false">IF(Raw_Export!$A2658="","",TRIM(Raw_Export!A2658))</f>
        <v/>
      </c>
      <c r="B2658" s="37" t="str">
        <f aca="false">IF(Raw_Export!$A2658="","",IF(ISNUMBER(Raw_Export!B2658),Raw_Export!B2658,IF(MID(TRIM(Raw_Export!B2658),5,1)="-",DATE(LEFT(TRIM(Raw_Export!B2658),4),MID(TRIM(Raw_Export!B2658),6,2),RIGHT(TRIM(Raw_Export!B2658),2)),DATE(RIGHT(TRIM(Raw_Export!B2658),4),MATCH(MID(TRIM(Raw_Export!B2658),4,3),{"Jan","Feb","Mar","Apr","May","Jun","Jul","Aug","Sep","Oct","Nov","Dec"},0),LEFT(TRIM(Raw_Export!B2658),2)))))</f>
        <v/>
      </c>
      <c r="C2658" s="36" t="str">
        <f aca="false">IF(Raw_Export!$A2658="","",IFERROR(VLOOKUP(LOWER(TRIM(Raw_Export!C2658)),Maps!$A$2:$B$20,2,FALSE()),"UNMAPPED"))</f>
        <v/>
      </c>
      <c r="D2658" s="36" t="str">
        <f aca="false">IF(Raw_Export!$A2658="","",IFERROR(VLOOKUP(LOWER(TRIM(Raw_Export!D2658)),Maps!$G$2:$I$80,2,FALSE()),"UNMAPPED"))</f>
        <v/>
      </c>
      <c r="E2658" s="36" t="str">
        <f aca="false">IF(Raw_Export!$A2658="","",IFERROR(VLOOKUP(LOWER(TRIM(Raw_Export!D2658)),Maps!$G$2:$I$80,3,FALSE()),"UNMAPPED"))</f>
        <v/>
      </c>
      <c r="F2658" s="36" t="str">
        <f aca="false">IF(Raw_Export!$A2658="","",IFERROR(VALUE(TRIM(Raw_Export!E2658)),0))</f>
        <v/>
      </c>
      <c r="G2658" s="38" t="str">
        <f aca="false">IF(Raw_Export!$A2658="","",IFERROR(VALUE(SUBSTITUTE(SUBSTITUTE(UPPER(TRIM(Raw_Export!F2658)),"KES",""),",","")),0))</f>
        <v/>
      </c>
      <c r="H2658" s="38" t="str">
        <f aca="false">IF(Raw_Export!$A2658="","",F2658*G2658)</f>
        <v/>
      </c>
      <c r="I2658" s="36" t="str">
        <f aca="false">IF(Raw_Export!$A2658="","",IFERROR(VLOOKUP(LOWER(TRIM(Raw_Export!H2658)),Maps!$D$2:$E$12,2,FALSE()),"Other"))</f>
        <v/>
      </c>
      <c r="J2658" s="36" t="str">
        <f aca="false">IF(Raw_Export!$A2658="","",IF(COUNTIF($A$2:A2658,A2658)&gt;1,"Duplicate",""))</f>
        <v/>
      </c>
      <c r="K2658" s="36" t="str">
        <f aca="false">IF(Raw_Export!$A2658="","",IF(J2658="Duplicate","Duplicate",IF(OR(C2658="UNMAPPED",D2658="UNMAPPED"),"Unmapped",IF(F2658=0,"Blank qty",IF(F2658&lt;0,"Return","OK")))))</f>
        <v/>
      </c>
      <c r="L2658" s="36" t="str">
        <f aca="false">IF(Raw_Export!$A2658="","",IF(OR(K2658="OK",K2658="Return"),1,0))</f>
        <v/>
      </c>
      <c r="M2658" s="37" t="str">
        <f aca="false">IF(Raw_Export!$A2658="","",B2658-WEEKDAY(B2658,2)+1)</f>
        <v/>
      </c>
    </row>
    <row r="2659" customFormat="false" ht="15" hidden="false" customHeight="false" outlineLevel="0" collapsed="false">
      <c r="A2659" s="36" t="str">
        <f aca="false">IF(Raw_Export!$A2659="","",TRIM(Raw_Export!A2659))</f>
        <v/>
      </c>
      <c r="B2659" s="37" t="str">
        <f aca="false">IF(Raw_Export!$A2659="","",IF(ISNUMBER(Raw_Export!B2659),Raw_Export!B2659,IF(MID(TRIM(Raw_Export!B2659),5,1)="-",DATE(LEFT(TRIM(Raw_Export!B2659),4),MID(TRIM(Raw_Export!B2659),6,2),RIGHT(TRIM(Raw_Export!B2659),2)),DATE(RIGHT(TRIM(Raw_Export!B2659),4),MATCH(MID(TRIM(Raw_Export!B2659),4,3),{"Jan","Feb","Mar","Apr","May","Jun","Jul","Aug","Sep","Oct","Nov","Dec"},0),LEFT(TRIM(Raw_Export!B2659),2)))))</f>
        <v/>
      </c>
      <c r="C2659" s="36" t="str">
        <f aca="false">IF(Raw_Export!$A2659="","",IFERROR(VLOOKUP(LOWER(TRIM(Raw_Export!C2659)),Maps!$A$2:$B$20,2,FALSE()),"UNMAPPED"))</f>
        <v/>
      </c>
      <c r="D2659" s="36" t="str">
        <f aca="false">IF(Raw_Export!$A2659="","",IFERROR(VLOOKUP(LOWER(TRIM(Raw_Export!D2659)),Maps!$G$2:$I$80,2,FALSE()),"UNMAPPED"))</f>
        <v/>
      </c>
      <c r="E2659" s="36" t="str">
        <f aca="false">IF(Raw_Export!$A2659="","",IFERROR(VLOOKUP(LOWER(TRIM(Raw_Export!D2659)),Maps!$G$2:$I$80,3,FALSE()),"UNMAPPED"))</f>
        <v/>
      </c>
      <c r="F2659" s="36" t="str">
        <f aca="false">IF(Raw_Export!$A2659="","",IFERROR(VALUE(TRIM(Raw_Export!E2659)),0))</f>
        <v/>
      </c>
      <c r="G2659" s="38" t="str">
        <f aca="false">IF(Raw_Export!$A2659="","",IFERROR(VALUE(SUBSTITUTE(SUBSTITUTE(UPPER(TRIM(Raw_Export!F2659)),"KES",""),",","")),0))</f>
        <v/>
      </c>
      <c r="H2659" s="38" t="str">
        <f aca="false">IF(Raw_Export!$A2659="","",F2659*G2659)</f>
        <v/>
      </c>
      <c r="I2659" s="36" t="str">
        <f aca="false">IF(Raw_Export!$A2659="","",IFERROR(VLOOKUP(LOWER(TRIM(Raw_Export!H2659)),Maps!$D$2:$E$12,2,FALSE()),"Other"))</f>
        <v/>
      </c>
      <c r="J2659" s="36" t="str">
        <f aca="false">IF(Raw_Export!$A2659="","",IF(COUNTIF($A$2:A2659,A2659)&gt;1,"Duplicate",""))</f>
        <v/>
      </c>
      <c r="K2659" s="36" t="str">
        <f aca="false">IF(Raw_Export!$A2659="","",IF(J2659="Duplicate","Duplicate",IF(OR(C2659="UNMAPPED",D2659="UNMAPPED"),"Unmapped",IF(F2659=0,"Blank qty",IF(F2659&lt;0,"Return","OK")))))</f>
        <v/>
      </c>
      <c r="L2659" s="36" t="str">
        <f aca="false">IF(Raw_Export!$A2659="","",IF(OR(K2659="OK",K2659="Return"),1,0))</f>
        <v/>
      </c>
      <c r="M2659" s="37" t="str">
        <f aca="false">IF(Raw_Export!$A2659="","",B2659-WEEKDAY(B2659,2)+1)</f>
        <v/>
      </c>
    </row>
    <row r="2660" customFormat="false" ht="15" hidden="false" customHeight="false" outlineLevel="0" collapsed="false">
      <c r="A2660" s="36" t="str">
        <f aca="false">IF(Raw_Export!$A2660="","",TRIM(Raw_Export!A2660))</f>
        <v/>
      </c>
      <c r="B2660" s="37" t="str">
        <f aca="false">IF(Raw_Export!$A2660="","",IF(ISNUMBER(Raw_Export!B2660),Raw_Export!B2660,IF(MID(TRIM(Raw_Export!B2660),5,1)="-",DATE(LEFT(TRIM(Raw_Export!B2660),4),MID(TRIM(Raw_Export!B2660),6,2),RIGHT(TRIM(Raw_Export!B2660),2)),DATE(RIGHT(TRIM(Raw_Export!B2660),4),MATCH(MID(TRIM(Raw_Export!B2660),4,3),{"Jan","Feb","Mar","Apr","May","Jun","Jul","Aug","Sep","Oct","Nov","Dec"},0),LEFT(TRIM(Raw_Export!B2660),2)))))</f>
        <v/>
      </c>
      <c r="C2660" s="36" t="str">
        <f aca="false">IF(Raw_Export!$A2660="","",IFERROR(VLOOKUP(LOWER(TRIM(Raw_Export!C2660)),Maps!$A$2:$B$20,2,FALSE()),"UNMAPPED"))</f>
        <v/>
      </c>
      <c r="D2660" s="36" t="str">
        <f aca="false">IF(Raw_Export!$A2660="","",IFERROR(VLOOKUP(LOWER(TRIM(Raw_Export!D2660)),Maps!$G$2:$I$80,2,FALSE()),"UNMAPPED"))</f>
        <v/>
      </c>
      <c r="E2660" s="36" t="str">
        <f aca="false">IF(Raw_Export!$A2660="","",IFERROR(VLOOKUP(LOWER(TRIM(Raw_Export!D2660)),Maps!$G$2:$I$80,3,FALSE()),"UNMAPPED"))</f>
        <v/>
      </c>
      <c r="F2660" s="36" t="str">
        <f aca="false">IF(Raw_Export!$A2660="","",IFERROR(VALUE(TRIM(Raw_Export!E2660)),0))</f>
        <v/>
      </c>
      <c r="G2660" s="38" t="str">
        <f aca="false">IF(Raw_Export!$A2660="","",IFERROR(VALUE(SUBSTITUTE(SUBSTITUTE(UPPER(TRIM(Raw_Export!F2660)),"KES",""),",","")),0))</f>
        <v/>
      </c>
      <c r="H2660" s="38" t="str">
        <f aca="false">IF(Raw_Export!$A2660="","",F2660*G2660)</f>
        <v/>
      </c>
      <c r="I2660" s="36" t="str">
        <f aca="false">IF(Raw_Export!$A2660="","",IFERROR(VLOOKUP(LOWER(TRIM(Raw_Export!H2660)),Maps!$D$2:$E$12,2,FALSE()),"Other"))</f>
        <v/>
      </c>
      <c r="J2660" s="36" t="str">
        <f aca="false">IF(Raw_Export!$A2660="","",IF(COUNTIF($A$2:A2660,A2660)&gt;1,"Duplicate",""))</f>
        <v/>
      </c>
      <c r="K2660" s="36" t="str">
        <f aca="false">IF(Raw_Export!$A2660="","",IF(J2660="Duplicate","Duplicate",IF(OR(C2660="UNMAPPED",D2660="UNMAPPED"),"Unmapped",IF(F2660=0,"Blank qty",IF(F2660&lt;0,"Return","OK")))))</f>
        <v/>
      </c>
      <c r="L2660" s="36" t="str">
        <f aca="false">IF(Raw_Export!$A2660="","",IF(OR(K2660="OK",K2660="Return"),1,0))</f>
        <v/>
      </c>
      <c r="M2660" s="37" t="str">
        <f aca="false">IF(Raw_Export!$A2660="","",B2660-WEEKDAY(B2660,2)+1)</f>
        <v/>
      </c>
    </row>
    <row r="2661" customFormat="false" ht="15" hidden="false" customHeight="false" outlineLevel="0" collapsed="false">
      <c r="A2661" s="36" t="str">
        <f aca="false">IF(Raw_Export!$A2661="","",TRIM(Raw_Export!A2661))</f>
        <v/>
      </c>
      <c r="B2661" s="37" t="str">
        <f aca="false">IF(Raw_Export!$A2661="","",IF(ISNUMBER(Raw_Export!B2661),Raw_Export!B2661,IF(MID(TRIM(Raw_Export!B2661),5,1)="-",DATE(LEFT(TRIM(Raw_Export!B2661),4),MID(TRIM(Raw_Export!B2661),6,2),RIGHT(TRIM(Raw_Export!B2661),2)),DATE(RIGHT(TRIM(Raw_Export!B2661),4),MATCH(MID(TRIM(Raw_Export!B2661),4,3),{"Jan","Feb","Mar","Apr","May","Jun","Jul","Aug","Sep","Oct","Nov","Dec"},0),LEFT(TRIM(Raw_Export!B2661),2)))))</f>
        <v/>
      </c>
      <c r="C2661" s="36" t="str">
        <f aca="false">IF(Raw_Export!$A2661="","",IFERROR(VLOOKUP(LOWER(TRIM(Raw_Export!C2661)),Maps!$A$2:$B$20,2,FALSE()),"UNMAPPED"))</f>
        <v/>
      </c>
      <c r="D2661" s="36" t="str">
        <f aca="false">IF(Raw_Export!$A2661="","",IFERROR(VLOOKUP(LOWER(TRIM(Raw_Export!D2661)),Maps!$G$2:$I$80,2,FALSE()),"UNMAPPED"))</f>
        <v/>
      </c>
      <c r="E2661" s="36" t="str">
        <f aca="false">IF(Raw_Export!$A2661="","",IFERROR(VLOOKUP(LOWER(TRIM(Raw_Export!D2661)),Maps!$G$2:$I$80,3,FALSE()),"UNMAPPED"))</f>
        <v/>
      </c>
      <c r="F2661" s="36" t="str">
        <f aca="false">IF(Raw_Export!$A2661="","",IFERROR(VALUE(TRIM(Raw_Export!E2661)),0))</f>
        <v/>
      </c>
      <c r="G2661" s="38" t="str">
        <f aca="false">IF(Raw_Export!$A2661="","",IFERROR(VALUE(SUBSTITUTE(SUBSTITUTE(UPPER(TRIM(Raw_Export!F2661)),"KES",""),",","")),0))</f>
        <v/>
      </c>
      <c r="H2661" s="38" t="str">
        <f aca="false">IF(Raw_Export!$A2661="","",F2661*G2661)</f>
        <v/>
      </c>
      <c r="I2661" s="36" t="str">
        <f aca="false">IF(Raw_Export!$A2661="","",IFERROR(VLOOKUP(LOWER(TRIM(Raw_Export!H2661)),Maps!$D$2:$E$12,2,FALSE()),"Other"))</f>
        <v/>
      </c>
      <c r="J2661" s="36" t="str">
        <f aca="false">IF(Raw_Export!$A2661="","",IF(COUNTIF($A$2:A2661,A2661)&gt;1,"Duplicate",""))</f>
        <v/>
      </c>
      <c r="K2661" s="36" t="str">
        <f aca="false">IF(Raw_Export!$A2661="","",IF(J2661="Duplicate","Duplicate",IF(OR(C2661="UNMAPPED",D2661="UNMAPPED"),"Unmapped",IF(F2661=0,"Blank qty",IF(F2661&lt;0,"Return","OK")))))</f>
        <v/>
      </c>
      <c r="L2661" s="36" t="str">
        <f aca="false">IF(Raw_Export!$A2661="","",IF(OR(K2661="OK",K2661="Return"),1,0))</f>
        <v/>
      </c>
      <c r="M2661" s="37" t="str">
        <f aca="false">IF(Raw_Export!$A2661="","",B2661-WEEKDAY(B2661,2)+1)</f>
        <v/>
      </c>
    </row>
    <row r="2662" customFormat="false" ht="15" hidden="false" customHeight="false" outlineLevel="0" collapsed="false">
      <c r="A2662" s="36" t="str">
        <f aca="false">IF(Raw_Export!$A2662="","",TRIM(Raw_Export!A2662))</f>
        <v/>
      </c>
      <c r="B2662" s="37" t="str">
        <f aca="false">IF(Raw_Export!$A2662="","",IF(ISNUMBER(Raw_Export!B2662),Raw_Export!B2662,IF(MID(TRIM(Raw_Export!B2662),5,1)="-",DATE(LEFT(TRIM(Raw_Export!B2662),4),MID(TRIM(Raw_Export!B2662),6,2),RIGHT(TRIM(Raw_Export!B2662),2)),DATE(RIGHT(TRIM(Raw_Export!B2662),4),MATCH(MID(TRIM(Raw_Export!B2662),4,3),{"Jan","Feb","Mar","Apr","May","Jun","Jul","Aug","Sep","Oct","Nov","Dec"},0),LEFT(TRIM(Raw_Export!B2662),2)))))</f>
        <v/>
      </c>
      <c r="C2662" s="36" t="str">
        <f aca="false">IF(Raw_Export!$A2662="","",IFERROR(VLOOKUP(LOWER(TRIM(Raw_Export!C2662)),Maps!$A$2:$B$20,2,FALSE()),"UNMAPPED"))</f>
        <v/>
      </c>
      <c r="D2662" s="36" t="str">
        <f aca="false">IF(Raw_Export!$A2662="","",IFERROR(VLOOKUP(LOWER(TRIM(Raw_Export!D2662)),Maps!$G$2:$I$80,2,FALSE()),"UNMAPPED"))</f>
        <v/>
      </c>
      <c r="E2662" s="36" t="str">
        <f aca="false">IF(Raw_Export!$A2662="","",IFERROR(VLOOKUP(LOWER(TRIM(Raw_Export!D2662)),Maps!$G$2:$I$80,3,FALSE()),"UNMAPPED"))</f>
        <v/>
      </c>
      <c r="F2662" s="36" t="str">
        <f aca="false">IF(Raw_Export!$A2662="","",IFERROR(VALUE(TRIM(Raw_Export!E2662)),0))</f>
        <v/>
      </c>
      <c r="G2662" s="38" t="str">
        <f aca="false">IF(Raw_Export!$A2662="","",IFERROR(VALUE(SUBSTITUTE(SUBSTITUTE(UPPER(TRIM(Raw_Export!F2662)),"KES",""),",","")),0))</f>
        <v/>
      </c>
      <c r="H2662" s="38" t="str">
        <f aca="false">IF(Raw_Export!$A2662="","",F2662*G2662)</f>
        <v/>
      </c>
      <c r="I2662" s="36" t="str">
        <f aca="false">IF(Raw_Export!$A2662="","",IFERROR(VLOOKUP(LOWER(TRIM(Raw_Export!H2662)),Maps!$D$2:$E$12,2,FALSE()),"Other"))</f>
        <v/>
      </c>
      <c r="J2662" s="36" t="str">
        <f aca="false">IF(Raw_Export!$A2662="","",IF(COUNTIF($A$2:A2662,A2662)&gt;1,"Duplicate",""))</f>
        <v/>
      </c>
      <c r="K2662" s="36" t="str">
        <f aca="false">IF(Raw_Export!$A2662="","",IF(J2662="Duplicate","Duplicate",IF(OR(C2662="UNMAPPED",D2662="UNMAPPED"),"Unmapped",IF(F2662=0,"Blank qty",IF(F2662&lt;0,"Return","OK")))))</f>
        <v/>
      </c>
      <c r="L2662" s="36" t="str">
        <f aca="false">IF(Raw_Export!$A2662="","",IF(OR(K2662="OK",K2662="Return"),1,0))</f>
        <v/>
      </c>
      <c r="M2662" s="37" t="str">
        <f aca="false">IF(Raw_Export!$A2662="","",B2662-WEEKDAY(B2662,2)+1)</f>
        <v/>
      </c>
    </row>
    <row r="2663" customFormat="false" ht="15" hidden="false" customHeight="false" outlineLevel="0" collapsed="false">
      <c r="A2663" s="36" t="str">
        <f aca="false">IF(Raw_Export!$A2663="","",TRIM(Raw_Export!A2663))</f>
        <v/>
      </c>
      <c r="B2663" s="37" t="str">
        <f aca="false">IF(Raw_Export!$A2663="","",IF(ISNUMBER(Raw_Export!B2663),Raw_Export!B2663,IF(MID(TRIM(Raw_Export!B2663),5,1)="-",DATE(LEFT(TRIM(Raw_Export!B2663),4),MID(TRIM(Raw_Export!B2663),6,2),RIGHT(TRIM(Raw_Export!B2663),2)),DATE(RIGHT(TRIM(Raw_Export!B2663),4),MATCH(MID(TRIM(Raw_Export!B2663),4,3),{"Jan","Feb","Mar","Apr","May","Jun","Jul","Aug","Sep","Oct","Nov","Dec"},0),LEFT(TRIM(Raw_Export!B2663),2)))))</f>
        <v/>
      </c>
      <c r="C2663" s="36" t="str">
        <f aca="false">IF(Raw_Export!$A2663="","",IFERROR(VLOOKUP(LOWER(TRIM(Raw_Export!C2663)),Maps!$A$2:$B$20,2,FALSE()),"UNMAPPED"))</f>
        <v/>
      </c>
      <c r="D2663" s="36" t="str">
        <f aca="false">IF(Raw_Export!$A2663="","",IFERROR(VLOOKUP(LOWER(TRIM(Raw_Export!D2663)),Maps!$G$2:$I$80,2,FALSE()),"UNMAPPED"))</f>
        <v/>
      </c>
      <c r="E2663" s="36" t="str">
        <f aca="false">IF(Raw_Export!$A2663="","",IFERROR(VLOOKUP(LOWER(TRIM(Raw_Export!D2663)),Maps!$G$2:$I$80,3,FALSE()),"UNMAPPED"))</f>
        <v/>
      </c>
      <c r="F2663" s="36" t="str">
        <f aca="false">IF(Raw_Export!$A2663="","",IFERROR(VALUE(TRIM(Raw_Export!E2663)),0))</f>
        <v/>
      </c>
      <c r="G2663" s="38" t="str">
        <f aca="false">IF(Raw_Export!$A2663="","",IFERROR(VALUE(SUBSTITUTE(SUBSTITUTE(UPPER(TRIM(Raw_Export!F2663)),"KES",""),",","")),0))</f>
        <v/>
      </c>
      <c r="H2663" s="38" t="str">
        <f aca="false">IF(Raw_Export!$A2663="","",F2663*G2663)</f>
        <v/>
      </c>
      <c r="I2663" s="36" t="str">
        <f aca="false">IF(Raw_Export!$A2663="","",IFERROR(VLOOKUP(LOWER(TRIM(Raw_Export!H2663)),Maps!$D$2:$E$12,2,FALSE()),"Other"))</f>
        <v/>
      </c>
      <c r="J2663" s="36" t="str">
        <f aca="false">IF(Raw_Export!$A2663="","",IF(COUNTIF($A$2:A2663,A2663)&gt;1,"Duplicate",""))</f>
        <v/>
      </c>
      <c r="K2663" s="36" t="str">
        <f aca="false">IF(Raw_Export!$A2663="","",IF(J2663="Duplicate","Duplicate",IF(OR(C2663="UNMAPPED",D2663="UNMAPPED"),"Unmapped",IF(F2663=0,"Blank qty",IF(F2663&lt;0,"Return","OK")))))</f>
        <v/>
      </c>
      <c r="L2663" s="36" t="str">
        <f aca="false">IF(Raw_Export!$A2663="","",IF(OR(K2663="OK",K2663="Return"),1,0))</f>
        <v/>
      </c>
      <c r="M2663" s="37" t="str">
        <f aca="false">IF(Raw_Export!$A2663="","",B2663-WEEKDAY(B2663,2)+1)</f>
        <v/>
      </c>
    </row>
    <row r="2664" customFormat="false" ht="15" hidden="false" customHeight="false" outlineLevel="0" collapsed="false">
      <c r="A2664" s="36" t="str">
        <f aca="false">IF(Raw_Export!$A2664="","",TRIM(Raw_Export!A2664))</f>
        <v/>
      </c>
      <c r="B2664" s="37" t="str">
        <f aca="false">IF(Raw_Export!$A2664="","",IF(ISNUMBER(Raw_Export!B2664),Raw_Export!B2664,IF(MID(TRIM(Raw_Export!B2664),5,1)="-",DATE(LEFT(TRIM(Raw_Export!B2664),4),MID(TRIM(Raw_Export!B2664),6,2),RIGHT(TRIM(Raw_Export!B2664),2)),DATE(RIGHT(TRIM(Raw_Export!B2664),4),MATCH(MID(TRIM(Raw_Export!B2664),4,3),{"Jan","Feb","Mar","Apr","May","Jun","Jul","Aug","Sep","Oct","Nov","Dec"},0),LEFT(TRIM(Raw_Export!B2664),2)))))</f>
        <v/>
      </c>
      <c r="C2664" s="36" t="str">
        <f aca="false">IF(Raw_Export!$A2664="","",IFERROR(VLOOKUP(LOWER(TRIM(Raw_Export!C2664)),Maps!$A$2:$B$20,2,FALSE()),"UNMAPPED"))</f>
        <v/>
      </c>
      <c r="D2664" s="36" t="str">
        <f aca="false">IF(Raw_Export!$A2664="","",IFERROR(VLOOKUP(LOWER(TRIM(Raw_Export!D2664)),Maps!$G$2:$I$80,2,FALSE()),"UNMAPPED"))</f>
        <v/>
      </c>
      <c r="E2664" s="36" t="str">
        <f aca="false">IF(Raw_Export!$A2664="","",IFERROR(VLOOKUP(LOWER(TRIM(Raw_Export!D2664)),Maps!$G$2:$I$80,3,FALSE()),"UNMAPPED"))</f>
        <v/>
      </c>
      <c r="F2664" s="36" t="str">
        <f aca="false">IF(Raw_Export!$A2664="","",IFERROR(VALUE(TRIM(Raw_Export!E2664)),0))</f>
        <v/>
      </c>
      <c r="G2664" s="38" t="str">
        <f aca="false">IF(Raw_Export!$A2664="","",IFERROR(VALUE(SUBSTITUTE(SUBSTITUTE(UPPER(TRIM(Raw_Export!F2664)),"KES",""),",","")),0))</f>
        <v/>
      </c>
      <c r="H2664" s="38" t="str">
        <f aca="false">IF(Raw_Export!$A2664="","",F2664*G2664)</f>
        <v/>
      </c>
      <c r="I2664" s="36" t="str">
        <f aca="false">IF(Raw_Export!$A2664="","",IFERROR(VLOOKUP(LOWER(TRIM(Raw_Export!H2664)),Maps!$D$2:$E$12,2,FALSE()),"Other"))</f>
        <v/>
      </c>
      <c r="J2664" s="36" t="str">
        <f aca="false">IF(Raw_Export!$A2664="","",IF(COUNTIF($A$2:A2664,A2664)&gt;1,"Duplicate",""))</f>
        <v/>
      </c>
      <c r="K2664" s="36" t="str">
        <f aca="false">IF(Raw_Export!$A2664="","",IF(J2664="Duplicate","Duplicate",IF(OR(C2664="UNMAPPED",D2664="UNMAPPED"),"Unmapped",IF(F2664=0,"Blank qty",IF(F2664&lt;0,"Return","OK")))))</f>
        <v/>
      </c>
      <c r="L2664" s="36" t="str">
        <f aca="false">IF(Raw_Export!$A2664="","",IF(OR(K2664="OK",K2664="Return"),1,0))</f>
        <v/>
      </c>
      <c r="M2664" s="37" t="str">
        <f aca="false">IF(Raw_Export!$A2664="","",B2664-WEEKDAY(B2664,2)+1)</f>
        <v/>
      </c>
    </row>
    <row r="2665" customFormat="false" ht="15" hidden="false" customHeight="false" outlineLevel="0" collapsed="false">
      <c r="A2665" s="36" t="str">
        <f aca="false">IF(Raw_Export!$A2665="","",TRIM(Raw_Export!A2665))</f>
        <v/>
      </c>
      <c r="B2665" s="37" t="str">
        <f aca="false">IF(Raw_Export!$A2665="","",IF(ISNUMBER(Raw_Export!B2665),Raw_Export!B2665,IF(MID(TRIM(Raw_Export!B2665),5,1)="-",DATE(LEFT(TRIM(Raw_Export!B2665),4),MID(TRIM(Raw_Export!B2665),6,2),RIGHT(TRIM(Raw_Export!B2665),2)),DATE(RIGHT(TRIM(Raw_Export!B2665),4),MATCH(MID(TRIM(Raw_Export!B2665),4,3),{"Jan","Feb","Mar","Apr","May","Jun","Jul","Aug","Sep","Oct","Nov","Dec"},0),LEFT(TRIM(Raw_Export!B2665),2)))))</f>
        <v/>
      </c>
      <c r="C2665" s="36" t="str">
        <f aca="false">IF(Raw_Export!$A2665="","",IFERROR(VLOOKUP(LOWER(TRIM(Raw_Export!C2665)),Maps!$A$2:$B$20,2,FALSE()),"UNMAPPED"))</f>
        <v/>
      </c>
      <c r="D2665" s="36" t="str">
        <f aca="false">IF(Raw_Export!$A2665="","",IFERROR(VLOOKUP(LOWER(TRIM(Raw_Export!D2665)),Maps!$G$2:$I$80,2,FALSE()),"UNMAPPED"))</f>
        <v/>
      </c>
      <c r="E2665" s="36" t="str">
        <f aca="false">IF(Raw_Export!$A2665="","",IFERROR(VLOOKUP(LOWER(TRIM(Raw_Export!D2665)),Maps!$G$2:$I$80,3,FALSE()),"UNMAPPED"))</f>
        <v/>
      </c>
      <c r="F2665" s="36" t="str">
        <f aca="false">IF(Raw_Export!$A2665="","",IFERROR(VALUE(TRIM(Raw_Export!E2665)),0))</f>
        <v/>
      </c>
      <c r="G2665" s="38" t="str">
        <f aca="false">IF(Raw_Export!$A2665="","",IFERROR(VALUE(SUBSTITUTE(SUBSTITUTE(UPPER(TRIM(Raw_Export!F2665)),"KES",""),",","")),0))</f>
        <v/>
      </c>
      <c r="H2665" s="38" t="str">
        <f aca="false">IF(Raw_Export!$A2665="","",F2665*G2665)</f>
        <v/>
      </c>
      <c r="I2665" s="36" t="str">
        <f aca="false">IF(Raw_Export!$A2665="","",IFERROR(VLOOKUP(LOWER(TRIM(Raw_Export!H2665)),Maps!$D$2:$E$12,2,FALSE()),"Other"))</f>
        <v/>
      </c>
      <c r="J2665" s="36" t="str">
        <f aca="false">IF(Raw_Export!$A2665="","",IF(COUNTIF($A$2:A2665,A2665)&gt;1,"Duplicate",""))</f>
        <v/>
      </c>
      <c r="K2665" s="36" t="str">
        <f aca="false">IF(Raw_Export!$A2665="","",IF(J2665="Duplicate","Duplicate",IF(OR(C2665="UNMAPPED",D2665="UNMAPPED"),"Unmapped",IF(F2665=0,"Blank qty",IF(F2665&lt;0,"Return","OK")))))</f>
        <v/>
      </c>
      <c r="L2665" s="36" t="str">
        <f aca="false">IF(Raw_Export!$A2665="","",IF(OR(K2665="OK",K2665="Return"),1,0))</f>
        <v/>
      </c>
      <c r="M2665" s="37" t="str">
        <f aca="false">IF(Raw_Export!$A2665="","",B2665-WEEKDAY(B2665,2)+1)</f>
        <v/>
      </c>
    </row>
    <row r="2666" customFormat="false" ht="15" hidden="false" customHeight="false" outlineLevel="0" collapsed="false">
      <c r="A2666" s="36" t="str">
        <f aca="false">IF(Raw_Export!$A2666="","",TRIM(Raw_Export!A2666))</f>
        <v/>
      </c>
      <c r="B2666" s="37" t="str">
        <f aca="false">IF(Raw_Export!$A2666="","",IF(ISNUMBER(Raw_Export!B2666),Raw_Export!B2666,IF(MID(TRIM(Raw_Export!B2666),5,1)="-",DATE(LEFT(TRIM(Raw_Export!B2666),4),MID(TRIM(Raw_Export!B2666),6,2),RIGHT(TRIM(Raw_Export!B2666),2)),DATE(RIGHT(TRIM(Raw_Export!B2666),4),MATCH(MID(TRIM(Raw_Export!B2666),4,3),{"Jan","Feb","Mar","Apr","May","Jun","Jul","Aug","Sep","Oct","Nov","Dec"},0),LEFT(TRIM(Raw_Export!B2666),2)))))</f>
        <v/>
      </c>
      <c r="C2666" s="36" t="str">
        <f aca="false">IF(Raw_Export!$A2666="","",IFERROR(VLOOKUP(LOWER(TRIM(Raw_Export!C2666)),Maps!$A$2:$B$20,2,FALSE()),"UNMAPPED"))</f>
        <v/>
      </c>
      <c r="D2666" s="36" t="str">
        <f aca="false">IF(Raw_Export!$A2666="","",IFERROR(VLOOKUP(LOWER(TRIM(Raw_Export!D2666)),Maps!$G$2:$I$80,2,FALSE()),"UNMAPPED"))</f>
        <v/>
      </c>
      <c r="E2666" s="36" t="str">
        <f aca="false">IF(Raw_Export!$A2666="","",IFERROR(VLOOKUP(LOWER(TRIM(Raw_Export!D2666)),Maps!$G$2:$I$80,3,FALSE()),"UNMAPPED"))</f>
        <v/>
      </c>
      <c r="F2666" s="36" t="str">
        <f aca="false">IF(Raw_Export!$A2666="","",IFERROR(VALUE(TRIM(Raw_Export!E2666)),0))</f>
        <v/>
      </c>
      <c r="G2666" s="38" t="str">
        <f aca="false">IF(Raw_Export!$A2666="","",IFERROR(VALUE(SUBSTITUTE(SUBSTITUTE(UPPER(TRIM(Raw_Export!F2666)),"KES",""),",","")),0))</f>
        <v/>
      </c>
      <c r="H2666" s="38" t="str">
        <f aca="false">IF(Raw_Export!$A2666="","",F2666*G2666)</f>
        <v/>
      </c>
      <c r="I2666" s="36" t="str">
        <f aca="false">IF(Raw_Export!$A2666="","",IFERROR(VLOOKUP(LOWER(TRIM(Raw_Export!H2666)),Maps!$D$2:$E$12,2,FALSE()),"Other"))</f>
        <v/>
      </c>
      <c r="J2666" s="36" t="str">
        <f aca="false">IF(Raw_Export!$A2666="","",IF(COUNTIF($A$2:A2666,A2666)&gt;1,"Duplicate",""))</f>
        <v/>
      </c>
      <c r="K2666" s="36" t="str">
        <f aca="false">IF(Raw_Export!$A2666="","",IF(J2666="Duplicate","Duplicate",IF(OR(C2666="UNMAPPED",D2666="UNMAPPED"),"Unmapped",IF(F2666=0,"Blank qty",IF(F2666&lt;0,"Return","OK")))))</f>
        <v/>
      </c>
      <c r="L2666" s="36" t="str">
        <f aca="false">IF(Raw_Export!$A2666="","",IF(OR(K2666="OK",K2666="Return"),1,0))</f>
        <v/>
      </c>
      <c r="M2666" s="37" t="str">
        <f aca="false">IF(Raw_Export!$A2666="","",B2666-WEEKDAY(B2666,2)+1)</f>
        <v/>
      </c>
    </row>
    <row r="2667" customFormat="false" ht="15" hidden="false" customHeight="false" outlineLevel="0" collapsed="false">
      <c r="A2667" s="36" t="str">
        <f aca="false">IF(Raw_Export!$A2667="","",TRIM(Raw_Export!A2667))</f>
        <v/>
      </c>
      <c r="B2667" s="37" t="str">
        <f aca="false">IF(Raw_Export!$A2667="","",IF(ISNUMBER(Raw_Export!B2667),Raw_Export!B2667,IF(MID(TRIM(Raw_Export!B2667),5,1)="-",DATE(LEFT(TRIM(Raw_Export!B2667),4),MID(TRIM(Raw_Export!B2667),6,2),RIGHT(TRIM(Raw_Export!B2667),2)),DATE(RIGHT(TRIM(Raw_Export!B2667),4),MATCH(MID(TRIM(Raw_Export!B2667),4,3),{"Jan","Feb","Mar","Apr","May","Jun","Jul","Aug","Sep","Oct","Nov","Dec"},0),LEFT(TRIM(Raw_Export!B2667),2)))))</f>
        <v/>
      </c>
      <c r="C2667" s="36" t="str">
        <f aca="false">IF(Raw_Export!$A2667="","",IFERROR(VLOOKUP(LOWER(TRIM(Raw_Export!C2667)),Maps!$A$2:$B$20,2,FALSE()),"UNMAPPED"))</f>
        <v/>
      </c>
      <c r="D2667" s="36" t="str">
        <f aca="false">IF(Raw_Export!$A2667="","",IFERROR(VLOOKUP(LOWER(TRIM(Raw_Export!D2667)),Maps!$G$2:$I$80,2,FALSE()),"UNMAPPED"))</f>
        <v/>
      </c>
      <c r="E2667" s="36" t="str">
        <f aca="false">IF(Raw_Export!$A2667="","",IFERROR(VLOOKUP(LOWER(TRIM(Raw_Export!D2667)),Maps!$G$2:$I$80,3,FALSE()),"UNMAPPED"))</f>
        <v/>
      </c>
      <c r="F2667" s="36" t="str">
        <f aca="false">IF(Raw_Export!$A2667="","",IFERROR(VALUE(TRIM(Raw_Export!E2667)),0))</f>
        <v/>
      </c>
      <c r="G2667" s="38" t="str">
        <f aca="false">IF(Raw_Export!$A2667="","",IFERROR(VALUE(SUBSTITUTE(SUBSTITUTE(UPPER(TRIM(Raw_Export!F2667)),"KES",""),",","")),0))</f>
        <v/>
      </c>
      <c r="H2667" s="38" t="str">
        <f aca="false">IF(Raw_Export!$A2667="","",F2667*G2667)</f>
        <v/>
      </c>
      <c r="I2667" s="36" t="str">
        <f aca="false">IF(Raw_Export!$A2667="","",IFERROR(VLOOKUP(LOWER(TRIM(Raw_Export!H2667)),Maps!$D$2:$E$12,2,FALSE()),"Other"))</f>
        <v/>
      </c>
      <c r="J2667" s="36" t="str">
        <f aca="false">IF(Raw_Export!$A2667="","",IF(COUNTIF($A$2:A2667,A2667)&gt;1,"Duplicate",""))</f>
        <v/>
      </c>
      <c r="K2667" s="36" t="str">
        <f aca="false">IF(Raw_Export!$A2667="","",IF(J2667="Duplicate","Duplicate",IF(OR(C2667="UNMAPPED",D2667="UNMAPPED"),"Unmapped",IF(F2667=0,"Blank qty",IF(F2667&lt;0,"Return","OK")))))</f>
        <v/>
      </c>
      <c r="L2667" s="36" t="str">
        <f aca="false">IF(Raw_Export!$A2667="","",IF(OR(K2667="OK",K2667="Return"),1,0))</f>
        <v/>
      </c>
      <c r="M2667" s="37" t="str">
        <f aca="false">IF(Raw_Export!$A2667="","",B2667-WEEKDAY(B2667,2)+1)</f>
        <v/>
      </c>
    </row>
    <row r="2668" customFormat="false" ht="15" hidden="false" customHeight="false" outlineLevel="0" collapsed="false">
      <c r="A2668" s="36" t="str">
        <f aca="false">IF(Raw_Export!$A2668="","",TRIM(Raw_Export!A2668))</f>
        <v/>
      </c>
      <c r="B2668" s="37" t="str">
        <f aca="false">IF(Raw_Export!$A2668="","",IF(ISNUMBER(Raw_Export!B2668),Raw_Export!B2668,IF(MID(TRIM(Raw_Export!B2668),5,1)="-",DATE(LEFT(TRIM(Raw_Export!B2668),4),MID(TRIM(Raw_Export!B2668),6,2),RIGHT(TRIM(Raw_Export!B2668),2)),DATE(RIGHT(TRIM(Raw_Export!B2668),4),MATCH(MID(TRIM(Raw_Export!B2668),4,3),{"Jan","Feb","Mar","Apr","May","Jun","Jul","Aug","Sep","Oct","Nov","Dec"},0),LEFT(TRIM(Raw_Export!B2668),2)))))</f>
        <v/>
      </c>
      <c r="C2668" s="36" t="str">
        <f aca="false">IF(Raw_Export!$A2668="","",IFERROR(VLOOKUP(LOWER(TRIM(Raw_Export!C2668)),Maps!$A$2:$B$20,2,FALSE()),"UNMAPPED"))</f>
        <v/>
      </c>
      <c r="D2668" s="36" t="str">
        <f aca="false">IF(Raw_Export!$A2668="","",IFERROR(VLOOKUP(LOWER(TRIM(Raw_Export!D2668)),Maps!$G$2:$I$80,2,FALSE()),"UNMAPPED"))</f>
        <v/>
      </c>
      <c r="E2668" s="36" t="str">
        <f aca="false">IF(Raw_Export!$A2668="","",IFERROR(VLOOKUP(LOWER(TRIM(Raw_Export!D2668)),Maps!$G$2:$I$80,3,FALSE()),"UNMAPPED"))</f>
        <v/>
      </c>
      <c r="F2668" s="36" t="str">
        <f aca="false">IF(Raw_Export!$A2668="","",IFERROR(VALUE(TRIM(Raw_Export!E2668)),0))</f>
        <v/>
      </c>
      <c r="G2668" s="38" t="str">
        <f aca="false">IF(Raw_Export!$A2668="","",IFERROR(VALUE(SUBSTITUTE(SUBSTITUTE(UPPER(TRIM(Raw_Export!F2668)),"KES",""),",","")),0))</f>
        <v/>
      </c>
      <c r="H2668" s="38" t="str">
        <f aca="false">IF(Raw_Export!$A2668="","",F2668*G2668)</f>
        <v/>
      </c>
      <c r="I2668" s="36" t="str">
        <f aca="false">IF(Raw_Export!$A2668="","",IFERROR(VLOOKUP(LOWER(TRIM(Raw_Export!H2668)),Maps!$D$2:$E$12,2,FALSE()),"Other"))</f>
        <v/>
      </c>
      <c r="J2668" s="36" t="str">
        <f aca="false">IF(Raw_Export!$A2668="","",IF(COUNTIF($A$2:A2668,A2668)&gt;1,"Duplicate",""))</f>
        <v/>
      </c>
      <c r="K2668" s="36" t="str">
        <f aca="false">IF(Raw_Export!$A2668="","",IF(J2668="Duplicate","Duplicate",IF(OR(C2668="UNMAPPED",D2668="UNMAPPED"),"Unmapped",IF(F2668=0,"Blank qty",IF(F2668&lt;0,"Return","OK")))))</f>
        <v/>
      </c>
      <c r="L2668" s="36" t="str">
        <f aca="false">IF(Raw_Export!$A2668="","",IF(OR(K2668="OK",K2668="Return"),1,0))</f>
        <v/>
      </c>
      <c r="M2668" s="37" t="str">
        <f aca="false">IF(Raw_Export!$A2668="","",B2668-WEEKDAY(B2668,2)+1)</f>
        <v/>
      </c>
    </row>
    <row r="2669" customFormat="false" ht="15" hidden="false" customHeight="false" outlineLevel="0" collapsed="false">
      <c r="A2669" s="36" t="str">
        <f aca="false">IF(Raw_Export!$A2669="","",TRIM(Raw_Export!A2669))</f>
        <v/>
      </c>
      <c r="B2669" s="37" t="str">
        <f aca="false">IF(Raw_Export!$A2669="","",IF(ISNUMBER(Raw_Export!B2669),Raw_Export!B2669,IF(MID(TRIM(Raw_Export!B2669),5,1)="-",DATE(LEFT(TRIM(Raw_Export!B2669),4),MID(TRIM(Raw_Export!B2669),6,2),RIGHT(TRIM(Raw_Export!B2669),2)),DATE(RIGHT(TRIM(Raw_Export!B2669),4),MATCH(MID(TRIM(Raw_Export!B2669),4,3),{"Jan","Feb","Mar","Apr","May","Jun","Jul","Aug","Sep","Oct","Nov","Dec"},0),LEFT(TRIM(Raw_Export!B2669),2)))))</f>
        <v/>
      </c>
      <c r="C2669" s="36" t="str">
        <f aca="false">IF(Raw_Export!$A2669="","",IFERROR(VLOOKUP(LOWER(TRIM(Raw_Export!C2669)),Maps!$A$2:$B$20,2,FALSE()),"UNMAPPED"))</f>
        <v/>
      </c>
      <c r="D2669" s="36" t="str">
        <f aca="false">IF(Raw_Export!$A2669="","",IFERROR(VLOOKUP(LOWER(TRIM(Raw_Export!D2669)),Maps!$G$2:$I$80,2,FALSE()),"UNMAPPED"))</f>
        <v/>
      </c>
      <c r="E2669" s="36" t="str">
        <f aca="false">IF(Raw_Export!$A2669="","",IFERROR(VLOOKUP(LOWER(TRIM(Raw_Export!D2669)),Maps!$G$2:$I$80,3,FALSE()),"UNMAPPED"))</f>
        <v/>
      </c>
      <c r="F2669" s="36" t="str">
        <f aca="false">IF(Raw_Export!$A2669="","",IFERROR(VALUE(TRIM(Raw_Export!E2669)),0))</f>
        <v/>
      </c>
      <c r="G2669" s="38" t="str">
        <f aca="false">IF(Raw_Export!$A2669="","",IFERROR(VALUE(SUBSTITUTE(SUBSTITUTE(UPPER(TRIM(Raw_Export!F2669)),"KES",""),",","")),0))</f>
        <v/>
      </c>
      <c r="H2669" s="38" t="str">
        <f aca="false">IF(Raw_Export!$A2669="","",F2669*G2669)</f>
        <v/>
      </c>
      <c r="I2669" s="36" t="str">
        <f aca="false">IF(Raw_Export!$A2669="","",IFERROR(VLOOKUP(LOWER(TRIM(Raw_Export!H2669)),Maps!$D$2:$E$12,2,FALSE()),"Other"))</f>
        <v/>
      </c>
      <c r="J2669" s="36" t="str">
        <f aca="false">IF(Raw_Export!$A2669="","",IF(COUNTIF($A$2:A2669,A2669)&gt;1,"Duplicate",""))</f>
        <v/>
      </c>
      <c r="K2669" s="36" t="str">
        <f aca="false">IF(Raw_Export!$A2669="","",IF(J2669="Duplicate","Duplicate",IF(OR(C2669="UNMAPPED",D2669="UNMAPPED"),"Unmapped",IF(F2669=0,"Blank qty",IF(F2669&lt;0,"Return","OK")))))</f>
        <v/>
      </c>
      <c r="L2669" s="36" t="str">
        <f aca="false">IF(Raw_Export!$A2669="","",IF(OR(K2669="OK",K2669="Return"),1,0))</f>
        <v/>
      </c>
      <c r="M2669" s="37" t="str">
        <f aca="false">IF(Raw_Export!$A2669="","",B2669-WEEKDAY(B2669,2)+1)</f>
        <v/>
      </c>
    </row>
    <row r="2670" customFormat="false" ht="15" hidden="false" customHeight="false" outlineLevel="0" collapsed="false">
      <c r="A2670" s="36" t="str">
        <f aca="false">IF(Raw_Export!$A2670="","",TRIM(Raw_Export!A2670))</f>
        <v/>
      </c>
      <c r="B2670" s="37" t="str">
        <f aca="false">IF(Raw_Export!$A2670="","",IF(ISNUMBER(Raw_Export!B2670),Raw_Export!B2670,IF(MID(TRIM(Raw_Export!B2670),5,1)="-",DATE(LEFT(TRIM(Raw_Export!B2670),4),MID(TRIM(Raw_Export!B2670),6,2),RIGHT(TRIM(Raw_Export!B2670),2)),DATE(RIGHT(TRIM(Raw_Export!B2670),4),MATCH(MID(TRIM(Raw_Export!B2670),4,3),{"Jan","Feb","Mar","Apr","May","Jun","Jul","Aug","Sep","Oct","Nov","Dec"},0),LEFT(TRIM(Raw_Export!B2670),2)))))</f>
        <v/>
      </c>
      <c r="C2670" s="36" t="str">
        <f aca="false">IF(Raw_Export!$A2670="","",IFERROR(VLOOKUP(LOWER(TRIM(Raw_Export!C2670)),Maps!$A$2:$B$20,2,FALSE()),"UNMAPPED"))</f>
        <v/>
      </c>
      <c r="D2670" s="36" t="str">
        <f aca="false">IF(Raw_Export!$A2670="","",IFERROR(VLOOKUP(LOWER(TRIM(Raw_Export!D2670)),Maps!$G$2:$I$80,2,FALSE()),"UNMAPPED"))</f>
        <v/>
      </c>
      <c r="E2670" s="36" t="str">
        <f aca="false">IF(Raw_Export!$A2670="","",IFERROR(VLOOKUP(LOWER(TRIM(Raw_Export!D2670)),Maps!$G$2:$I$80,3,FALSE()),"UNMAPPED"))</f>
        <v/>
      </c>
      <c r="F2670" s="36" t="str">
        <f aca="false">IF(Raw_Export!$A2670="","",IFERROR(VALUE(TRIM(Raw_Export!E2670)),0))</f>
        <v/>
      </c>
      <c r="G2670" s="38" t="str">
        <f aca="false">IF(Raw_Export!$A2670="","",IFERROR(VALUE(SUBSTITUTE(SUBSTITUTE(UPPER(TRIM(Raw_Export!F2670)),"KES",""),",","")),0))</f>
        <v/>
      </c>
      <c r="H2670" s="38" t="str">
        <f aca="false">IF(Raw_Export!$A2670="","",F2670*G2670)</f>
        <v/>
      </c>
      <c r="I2670" s="36" t="str">
        <f aca="false">IF(Raw_Export!$A2670="","",IFERROR(VLOOKUP(LOWER(TRIM(Raw_Export!H2670)),Maps!$D$2:$E$12,2,FALSE()),"Other"))</f>
        <v/>
      </c>
      <c r="J2670" s="36" t="str">
        <f aca="false">IF(Raw_Export!$A2670="","",IF(COUNTIF($A$2:A2670,A2670)&gt;1,"Duplicate",""))</f>
        <v/>
      </c>
      <c r="K2670" s="36" t="str">
        <f aca="false">IF(Raw_Export!$A2670="","",IF(J2670="Duplicate","Duplicate",IF(OR(C2670="UNMAPPED",D2670="UNMAPPED"),"Unmapped",IF(F2670=0,"Blank qty",IF(F2670&lt;0,"Return","OK")))))</f>
        <v/>
      </c>
      <c r="L2670" s="36" t="str">
        <f aca="false">IF(Raw_Export!$A2670="","",IF(OR(K2670="OK",K2670="Return"),1,0))</f>
        <v/>
      </c>
      <c r="M2670" s="37" t="str">
        <f aca="false">IF(Raw_Export!$A2670="","",B2670-WEEKDAY(B2670,2)+1)</f>
        <v/>
      </c>
    </row>
    <row r="2671" customFormat="false" ht="15" hidden="false" customHeight="false" outlineLevel="0" collapsed="false">
      <c r="A2671" s="36" t="str">
        <f aca="false">IF(Raw_Export!$A2671="","",TRIM(Raw_Export!A2671))</f>
        <v/>
      </c>
      <c r="B2671" s="37" t="str">
        <f aca="false">IF(Raw_Export!$A2671="","",IF(ISNUMBER(Raw_Export!B2671),Raw_Export!B2671,IF(MID(TRIM(Raw_Export!B2671),5,1)="-",DATE(LEFT(TRIM(Raw_Export!B2671),4),MID(TRIM(Raw_Export!B2671),6,2),RIGHT(TRIM(Raw_Export!B2671),2)),DATE(RIGHT(TRIM(Raw_Export!B2671),4),MATCH(MID(TRIM(Raw_Export!B2671),4,3),{"Jan","Feb","Mar","Apr","May","Jun","Jul","Aug","Sep","Oct","Nov","Dec"},0),LEFT(TRIM(Raw_Export!B2671),2)))))</f>
        <v/>
      </c>
      <c r="C2671" s="36" t="str">
        <f aca="false">IF(Raw_Export!$A2671="","",IFERROR(VLOOKUP(LOWER(TRIM(Raw_Export!C2671)),Maps!$A$2:$B$20,2,FALSE()),"UNMAPPED"))</f>
        <v/>
      </c>
      <c r="D2671" s="36" t="str">
        <f aca="false">IF(Raw_Export!$A2671="","",IFERROR(VLOOKUP(LOWER(TRIM(Raw_Export!D2671)),Maps!$G$2:$I$80,2,FALSE()),"UNMAPPED"))</f>
        <v/>
      </c>
      <c r="E2671" s="36" t="str">
        <f aca="false">IF(Raw_Export!$A2671="","",IFERROR(VLOOKUP(LOWER(TRIM(Raw_Export!D2671)),Maps!$G$2:$I$80,3,FALSE()),"UNMAPPED"))</f>
        <v/>
      </c>
      <c r="F2671" s="36" t="str">
        <f aca="false">IF(Raw_Export!$A2671="","",IFERROR(VALUE(TRIM(Raw_Export!E2671)),0))</f>
        <v/>
      </c>
      <c r="G2671" s="38" t="str">
        <f aca="false">IF(Raw_Export!$A2671="","",IFERROR(VALUE(SUBSTITUTE(SUBSTITUTE(UPPER(TRIM(Raw_Export!F2671)),"KES",""),",","")),0))</f>
        <v/>
      </c>
      <c r="H2671" s="38" t="str">
        <f aca="false">IF(Raw_Export!$A2671="","",F2671*G2671)</f>
        <v/>
      </c>
      <c r="I2671" s="36" t="str">
        <f aca="false">IF(Raw_Export!$A2671="","",IFERROR(VLOOKUP(LOWER(TRIM(Raw_Export!H2671)),Maps!$D$2:$E$12,2,FALSE()),"Other"))</f>
        <v/>
      </c>
      <c r="J2671" s="36" t="str">
        <f aca="false">IF(Raw_Export!$A2671="","",IF(COUNTIF($A$2:A2671,A2671)&gt;1,"Duplicate",""))</f>
        <v/>
      </c>
      <c r="K2671" s="36" t="str">
        <f aca="false">IF(Raw_Export!$A2671="","",IF(J2671="Duplicate","Duplicate",IF(OR(C2671="UNMAPPED",D2671="UNMAPPED"),"Unmapped",IF(F2671=0,"Blank qty",IF(F2671&lt;0,"Return","OK")))))</f>
        <v/>
      </c>
      <c r="L2671" s="36" t="str">
        <f aca="false">IF(Raw_Export!$A2671="","",IF(OR(K2671="OK",K2671="Return"),1,0))</f>
        <v/>
      </c>
      <c r="M2671" s="37" t="str">
        <f aca="false">IF(Raw_Export!$A2671="","",B2671-WEEKDAY(B2671,2)+1)</f>
        <v/>
      </c>
    </row>
    <row r="2672" customFormat="false" ht="15" hidden="false" customHeight="false" outlineLevel="0" collapsed="false">
      <c r="A2672" s="36" t="str">
        <f aca="false">IF(Raw_Export!$A2672="","",TRIM(Raw_Export!A2672))</f>
        <v/>
      </c>
      <c r="B2672" s="37" t="str">
        <f aca="false">IF(Raw_Export!$A2672="","",IF(ISNUMBER(Raw_Export!B2672),Raw_Export!B2672,IF(MID(TRIM(Raw_Export!B2672),5,1)="-",DATE(LEFT(TRIM(Raw_Export!B2672),4),MID(TRIM(Raw_Export!B2672),6,2),RIGHT(TRIM(Raw_Export!B2672),2)),DATE(RIGHT(TRIM(Raw_Export!B2672),4),MATCH(MID(TRIM(Raw_Export!B2672),4,3),{"Jan","Feb","Mar","Apr","May","Jun","Jul","Aug","Sep","Oct","Nov","Dec"},0),LEFT(TRIM(Raw_Export!B2672),2)))))</f>
        <v/>
      </c>
      <c r="C2672" s="36" t="str">
        <f aca="false">IF(Raw_Export!$A2672="","",IFERROR(VLOOKUP(LOWER(TRIM(Raw_Export!C2672)),Maps!$A$2:$B$20,2,FALSE()),"UNMAPPED"))</f>
        <v/>
      </c>
      <c r="D2672" s="36" t="str">
        <f aca="false">IF(Raw_Export!$A2672="","",IFERROR(VLOOKUP(LOWER(TRIM(Raw_Export!D2672)),Maps!$G$2:$I$80,2,FALSE()),"UNMAPPED"))</f>
        <v/>
      </c>
      <c r="E2672" s="36" t="str">
        <f aca="false">IF(Raw_Export!$A2672="","",IFERROR(VLOOKUP(LOWER(TRIM(Raw_Export!D2672)),Maps!$G$2:$I$80,3,FALSE()),"UNMAPPED"))</f>
        <v/>
      </c>
      <c r="F2672" s="36" t="str">
        <f aca="false">IF(Raw_Export!$A2672="","",IFERROR(VALUE(TRIM(Raw_Export!E2672)),0))</f>
        <v/>
      </c>
      <c r="G2672" s="38" t="str">
        <f aca="false">IF(Raw_Export!$A2672="","",IFERROR(VALUE(SUBSTITUTE(SUBSTITUTE(UPPER(TRIM(Raw_Export!F2672)),"KES",""),",","")),0))</f>
        <v/>
      </c>
      <c r="H2672" s="38" t="str">
        <f aca="false">IF(Raw_Export!$A2672="","",F2672*G2672)</f>
        <v/>
      </c>
      <c r="I2672" s="36" t="str">
        <f aca="false">IF(Raw_Export!$A2672="","",IFERROR(VLOOKUP(LOWER(TRIM(Raw_Export!H2672)),Maps!$D$2:$E$12,2,FALSE()),"Other"))</f>
        <v/>
      </c>
      <c r="J2672" s="36" t="str">
        <f aca="false">IF(Raw_Export!$A2672="","",IF(COUNTIF($A$2:A2672,A2672)&gt;1,"Duplicate",""))</f>
        <v/>
      </c>
      <c r="K2672" s="36" t="str">
        <f aca="false">IF(Raw_Export!$A2672="","",IF(J2672="Duplicate","Duplicate",IF(OR(C2672="UNMAPPED",D2672="UNMAPPED"),"Unmapped",IF(F2672=0,"Blank qty",IF(F2672&lt;0,"Return","OK")))))</f>
        <v/>
      </c>
      <c r="L2672" s="36" t="str">
        <f aca="false">IF(Raw_Export!$A2672="","",IF(OR(K2672="OK",K2672="Return"),1,0))</f>
        <v/>
      </c>
      <c r="M2672" s="37" t="str">
        <f aca="false">IF(Raw_Export!$A2672="","",B2672-WEEKDAY(B2672,2)+1)</f>
        <v/>
      </c>
    </row>
    <row r="2673" customFormat="false" ht="15" hidden="false" customHeight="false" outlineLevel="0" collapsed="false">
      <c r="A2673" s="36" t="str">
        <f aca="false">IF(Raw_Export!$A2673="","",TRIM(Raw_Export!A2673))</f>
        <v/>
      </c>
      <c r="B2673" s="37" t="str">
        <f aca="false">IF(Raw_Export!$A2673="","",IF(ISNUMBER(Raw_Export!B2673),Raw_Export!B2673,IF(MID(TRIM(Raw_Export!B2673),5,1)="-",DATE(LEFT(TRIM(Raw_Export!B2673),4),MID(TRIM(Raw_Export!B2673),6,2),RIGHT(TRIM(Raw_Export!B2673),2)),DATE(RIGHT(TRIM(Raw_Export!B2673),4),MATCH(MID(TRIM(Raw_Export!B2673),4,3),{"Jan","Feb","Mar","Apr","May","Jun","Jul","Aug","Sep","Oct","Nov","Dec"},0),LEFT(TRIM(Raw_Export!B2673),2)))))</f>
        <v/>
      </c>
      <c r="C2673" s="36" t="str">
        <f aca="false">IF(Raw_Export!$A2673="","",IFERROR(VLOOKUP(LOWER(TRIM(Raw_Export!C2673)),Maps!$A$2:$B$20,2,FALSE()),"UNMAPPED"))</f>
        <v/>
      </c>
      <c r="D2673" s="36" t="str">
        <f aca="false">IF(Raw_Export!$A2673="","",IFERROR(VLOOKUP(LOWER(TRIM(Raw_Export!D2673)),Maps!$G$2:$I$80,2,FALSE()),"UNMAPPED"))</f>
        <v/>
      </c>
      <c r="E2673" s="36" t="str">
        <f aca="false">IF(Raw_Export!$A2673="","",IFERROR(VLOOKUP(LOWER(TRIM(Raw_Export!D2673)),Maps!$G$2:$I$80,3,FALSE()),"UNMAPPED"))</f>
        <v/>
      </c>
      <c r="F2673" s="36" t="str">
        <f aca="false">IF(Raw_Export!$A2673="","",IFERROR(VALUE(TRIM(Raw_Export!E2673)),0))</f>
        <v/>
      </c>
      <c r="G2673" s="38" t="str">
        <f aca="false">IF(Raw_Export!$A2673="","",IFERROR(VALUE(SUBSTITUTE(SUBSTITUTE(UPPER(TRIM(Raw_Export!F2673)),"KES",""),",","")),0))</f>
        <v/>
      </c>
      <c r="H2673" s="38" t="str">
        <f aca="false">IF(Raw_Export!$A2673="","",F2673*G2673)</f>
        <v/>
      </c>
      <c r="I2673" s="36" t="str">
        <f aca="false">IF(Raw_Export!$A2673="","",IFERROR(VLOOKUP(LOWER(TRIM(Raw_Export!H2673)),Maps!$D$2:$E$12,2,FALSE()),"Other"))</f>
        <v/>
      </c>
      <c r="J2673" s="36" t="str">
        <f aca="false">IF(Raw_Export!$A2673="","",IF(COUNTIF($A$2:A2673,A2673)&gt;1,"Duplicate",""))</f>
        <v/>
      </c>
      <c r="K2673" s="36" t="str">
        <f aca="false">IF(Raw_Export!$A2673="","",IF(J2673="Duplicate","Duplicate",IF(OR(C2673="UNMAPPED",D2673="UNMAPPED"),"Unmapped",IF(F2673=0,"Blank qty",IF(F2673&lt;0,"Return","OK")))))</f>
        <v/>
      </c>
      <c r="L2673" s="36" t="str">
        <f aca="false">IF(Raw_Export!$A2673="","",IF(OR(K2673="OK",K2673="Return"),1,0))</f>
        <v/>
      </c>
      <c r="M2673" s="37" t="str">
        <f aca="false">IF(Raw_Export!$A2673="","",B2673-WEEKDAY(B2673,2)+1)</f>
        <v/>
      </c>
    </row>
    <row r="2674" customFormat="false" ht="15" hidden="false" customHeight="false" outlineLevel="0" collapsed="false">
      <c r="A2674" s="36" t="str">
        <f aca="false">IF(Raw_Export!$A2674="","",TRIM(Raw_Export!A2674))</f>
        <v/>
      </c>
      <c r="B2674" s="37" t="str">
        <f aca="false">IF(Raw_Export!$A2674="","",IF(ISNUMBER(Raw_Export!B2674),Raw_Export!B2674,IF(MID(TRIM(Raw_Export!B2674),5,1)="-",DATE(LEFT(TRIM(Raw_Export!B2674),4),MID(TRIM(Raw_Export!B2674),6,2),RIGHT(TRIM(Raw_Export!B2674),2)),DATE(RIGHT(TRIM(Raw_Export!B2674),4),MATCH(MID(TRIM(Raw_Export!B2674),4,3),{"Jan","Feb","Mar","Apr","May","Jun","Jul","Aug","Sep","Oct","Nov","Dec"},0),LEFT(TRIM(Raw_Export!B2674),2)))))</f>
        <v/>
      </c>
      <c r="C2674" s="36" t="str">
        <f aca="false">IF(Raw_Export!$A2674="","",IFERROR(VLOOKUP(LOWER(TRIM(Raw_Export!C2674)),Maps!$A$2:$B$20,2,FALSE()),"UNMAPPED"))</f>
        <v/>
      </c>
      <c r="D2674" s="36" t="str">
        <f aca="false">IF(Raw_Export!$A2674="","",IFERROR(VLOOKUP(LOWER(TRIM(Raw_Export!D2674)),Maps!$G$2:$I$80,2,FALSE()),"UNMAPPED"))</f>
        <v/>
      </c>
      <c r="E2674" s="36" t="str">
        <f aca="false">IF(Raw_Export!$A2674="","",IFERROR(VLOOKUP(LOWER(TRIM(Raw_Export!D2674)),Maps!$G$2:$I$80,3,FALSE()),"UNMAPPED"))</f>
        <v/>
      </c>
      <c r="F2674" s="36" t="str">
        <f aca="false">IF(Raw_Export!$A2674="","",IFERROR(VALUE(TRIM(Raw_Export!E2674)),0))</f>
        <v/>
      </c>
      <c r="G2674" s="38" t="str">
        <f aca="false">IF(Raw_Export!$A2674="","",IFERROR(VALUE(SUBSTITUTE(SUBSTITUTE(UPPER(TRIM(Raw_Export!F2674)),"KES",""),",","")),0))</f>
        <v/>
      </c>
      <c r="H2674" s="38" t="str">
        <f aca="false">IF(Raw_Export!$A2674="","",F2674*G2674)</f>
        <v/>
      </c>
      <c r="I2674" s="36" t="str">
        <f aca="false">IF(Raw_Export!$A2674="","",IFERROR(VLOOKUP(LOWER(TRIM(Raw_Export!H2674)),Maps!$D$2:$E$12,2,FALSE()),"Other"))</f>
        <v/>
      </c>
      <c r="J2674" s="36" t="str">
        <f aca="false">IF(Raw_Export!$A2674="","",IF(COUNTIF($A$2:A2674,A2674)&gt;1,"Duplicate",""))</f>
        <v/>
      </c>
      <c r="K2674" s="36" t="str">
        <f aca="false">IF(Raw_Export!$A2674="","",IF(J2674="Duplicate","Duplicate",IF(OR(C2674="UNMAPPED",D2674="UNMAPPED"),"Unmapped",IF(F2674=0,"Blank qty",IF(F2674&lt;0,"Return","OK")))))</f>
        <v/>
      </c>
      <c r="L2674" s="36" t="str">
        <f aca="false">IF(Raw_Export!$A2674="","",IF(OR(K2674="OK",K2674="Return"),1,0))</f>
        <v/>
      </c>
      <c r="M2674" s="37" t="str">
        <f aca="false">IF(Raw_Export!$A2674="","",B2674-WEEKDAY(B2674,2)+1)</f>
        <v/>
      </c>
    </row>
    <row r="2675" customFormat="false" ht="15" hidden="false" customHeight="false" outlineLevel="0" collapsed="false">
      <c r="A2675" s="36" t="str">
        <f aca="false">IF(Raw_Export!$A2675="","",TRIM(Raw_Export!A2675))</f>
        <v/>
      </c>
      <c r="B2675" s="37" t="str">
        <f aca="false">IF(Raw_Export!$A2675="","",IF(ISNUMBER(Raw_Export!B2675),Raw_Export!B2675,IF(MID(TRIM(Raw_Export!B2675),5,1)="-",DATE(LEFT(TRIM(Raw_Export!B2675),4),MID(TRIM(Raw_Export!B2675),6,2),RIGHT(TRIM(Raw_Export!B2675),2)),DATE(RIGHT(TRIM(Raw_Export!B2675),4),MATCH(MID(TRIM(Raw_Export!B2675),4,3),{"Jan","Feb","Mar","Apr","May","Jun","Jul","Aug","Sep","Oct","Nov","Dec"},0),LEFT(TRIM(Raw_Export!B2675),2)))))</f>
        <v/>
      </c>
      <c r="C2675" s="36" t="str">
        <f aca="false">IF(Raw_Export!$A2675="","",IFERROR(VLOOKUP(LOWER(TRIM(Raw_Export!C2675)),Maps!$A$2:$B$20,2,FALSE()),"UNMAPPED"))</f>
        <v/>
      </c>
      <c r="D2675" s="36" t="str">
        <f aca="false">IF(Raw_Export!$A2675="","",IFERROR(VLOOKUP(LOWER(TRIM(Raw_Export!D2675)),Maps!$G$2:$I$80,2,FALSE()),"UNMAPPED"))</f>
        <v/>
      </c>
      <c r="E2675" s="36" t="str">
        <f aca="false">IF(Raw_Export!$A2675="","",IFERROR(VLOOKUP(LOWER(TRIM(Raw_Export!D2675)),Maps!$G$2:$I$80,3,FALSE()),"UNMAPPED"))</f>
        <v/>
      </c>
      <c r="F2675" s="36" t="str">
        <f aca="false">IF(Raw_Export!$A2675="","",IFERROR(VALUE(TRIM(Raw_Export!E2675)),0))</f>
        <v/>
      </c>
      <c r="G2675" s="38" t="str">
        <f aca="false">IF(Raw_Export!$A2675="","",IFERROR(VALUE(SUBSTITUTE(SUBSTITUTE(UPPER(TRIM(Raw_Export!F2675)),"KES",""),",","")),0))</f>
        <v/>
      </c>
      <c r="H2675" s="38" t="str">
        <f aca="false">IF(Raw_Export!$A2675="","",F2675*G2675)</f>
        <v/>
      </c>
      <c r="I2675" s="36" t="str">
        <f aca="false">IF(Raw_Export!$A2675="","",IFERROR(VLOOKUP(LOWER(TRIM(Raw_Export!H2675)),Maps!$D$2:$E$12,2,FALSE()),"Other"))</f>
        <v/>
      </c>
      <c r="J2675" s="36" t="str">
        <f aca="false">IF(Raw_Export!$A2675="","",IF(COUNTIF($A$2:A2675,A2675)&gt;1,"Duplicate",""))</f>
        <v/>
      </c>
      <c r="K2675" s="36" t="str">
        <f aca="false">IF(Raw_Export!$A2675="","",IF(J2675="Duplicate","Duplicate",IF(OR(C2675="UNMAPPED",D2675="UNMAPPED"),"Unmapped",IF(F2675=0,"Blank qty",IF(F2675&lt;0,"Return","OK")))))</f>
        <v/>
      </c>
      <c r="L2675" s="36" t="str">
        <f aca="false">IF(Raw_Export!$A2675="","",IF(OR(K2675="OK",K2675="Return"),1,0))</f>
        <v/>
      </c>
      <c r="M2675" s="37" t="str">
        <f aca="false">IF(Raw_Export!$A2675="","",B2675-WEEKDAY(B2675,2)+1)</f>
        <v/>
      </c>
    </row>
    <row r="2676" customFormat="false" ht="15" hidden="false" customHeight="false" outlineLevel="0" collapsed="false">
      <c r="A2676" s="36" t="str">
        <f aca="false">IF(Raw_Export!$A2676="","",TRIM(Raw_Export!A2676))</f>
        <v/>
      </c>
      <c r="B2676" s="37" t="str">
        <f aca="false">IF(Raw_Export!$A2676="","",IF(ISNUMBER(Raw_Export!B2676),Raw_Export!B2676,IF(MID(TRIM(Raw_Export!B2676),5,1)="-",DATE(LEFT(TRIM(Raw_Export!B2676),4),MID(TRIM(Raw_Export!B2676),6,2),RIGHT(TRIM(Raw_Export!B2676),2)),DATE(RIGHT(TRIM(Raw_Export!B2676),4),MATCH(MID(TRIM(Raw_Export!B2676),4,3),{"Jan","Feb","Mar","Apr","May","Jun","Jul","Aug","Sep","Oct","Nov","Dec"},0),LEFT(TRIM(Raw_Export!B2676),2)))))</f>
        <v/>
      </c>
      <c r="C2676" s="36" t="str">
        <f aca="false">IF(Raw_Export!$A2676="","",IFERROR(VLOOKUP(LOWER(TRIM(Raw_Export!C2676)),Maps!$A$2:$B$20,2,FALSE()),"UNMAPPED"))</f>
        <v/>
      </c>
      <c r="D2676" s="36" t="str">
        <f aca="false">IF(Raw_Export!$A2676="","",IFERROR(VLOOKUP(LOWER(TRIM(Raw_Export!D2676)),Maps!$G$2:$I$80,2,FALSE()),"UNMAPPED"))</f>
        <v/>
      </c>
      <c r="E2676" s="36" t="str">
        <f aca="false">IF(Raw_Export!$A2676="","",IFERROR(VLOOKUP(LOWER(TRIM(Raw_Export!D2676)),Maps!$G$2:$I$80,3,FALSE()),"UNMAPPED"))</f>
        <v/>
      </c>
      <c r="F2676" s="36" t="str">
        <f aca="false">IF(Raw_Export!$A2676="","",IFERROR(VALUE(TRIM(Raw_Export!E2676)),0))</f>
        <v/>
      </c>
      <c r="G2676" s="38" t="str">
        <f aca="false">IF(Raw_Export!$A2676="","",IFERROR(VALUE(SUBSTITUTE(SUBSTITUTE(UPPER(TRIM(Raw_Export!F2676)),"KES",""),",","")),0))</f>
        <v/>
      </c>
      <c r="H2676" s="38" t="str">
        <f aca="false">IF(Raw_Export!$A2676="","",F2676*G2676)</f>
        <v/>
      </c>
      <c r="I2676" s="36" t="str">
        <f aca="false">IF(Raw_Export!$A2676="","",IFERROR(VLOOKUP(LOWER(TRIM(Raw_Export!H2676)),Maps!$D$2:$E$12,2,FALSE()),"Other"))</f>
        <v/>
      </c>
      <c r="J2676" s="36" t="str">
        <f aca="false">IF(Raw_Export!$A2676="","",IF(COUNTIF($A$2:A2676,A2676)&gt;1,"Duplicate",""))</f>
        <v/>
      </c>
      <c r="K2676" s="36" t="str">
        <f aca="false">IF(Raw_Export!$A2676="","",IF(J2676="Duplicate","Duplicate",IF(OR(C2676="UNMAPPED",D2676="UNMAPPED"),"Unmapped",IF(F2676=0,"Blank qty",IF(F2676&lt;0,"Return","OK")))))</f>
        <v/>
      </c>
      <c r="L2676" s="36" t="str">
        <f aca="false">IF(Raw_Export!$A2676="","",IF(OR(K2676="OK",K2676="Return"),1,0))</f>
        <v/>
      </c>
      <c r="M2676" s="37" t="str">
        <f aca="false">IF(Raw_Export!$A2676="","",B2676-WEEKDAY(B2676,2)+1)</f>
        <v/>
      </c>
    </row>
    <row r="2677" customFormat="false" ht="15" hidden="false" customHeight="false" outlineLevel="0" collapsed="false">
      <c r="A2677" s="36" t="str">
        <f aca="false">IF(Raw_Export!$A2677="","",TRIM(Raw_Export!A2677))</f>
        <v/>
      </c>
      <c r="B2677" s="37" t="str">
        <f aca="false">IF(Raw_Export!$A2677="","",IF(ISNUMBER(Raw_Export!B2677),Raw_Export!B2677,IF(MID(TRIM(Raw_Export!B2677),5,1)="-",DATE(LEFT(TRIM(Raw_Export!B2677),4),MID(TRIM(Raw_Export!B2677),6,2),RIGHT(TRIM(Raw_Export!B2677),2)),DATE(RIGHT(TRIM(Raw_Export!B2677),4),MATCH(MID(TRIM(Raw_Export!B2677),4,3),{"Jan","Feb","Mar","Apr","May","Jun","Jul","Aug","Sep","Oct","Nov","Dec"},0),LEFT(TRIM(Raw_Export!B2677),2)))))</f>
        <v/>
      </c>
      <c r="C2677" s="36" t="str">
        <f aca="false">IF(Raw_Export!$A2677="","",IFERROR(VLOOKUP(LOWER(TRIM(Raw_Export!C2677)),Maps!$A$2:$B$20,2,FALSE()),"UNMAPPED"))</f>
        <v/>
      </c>
      <c r="D2677" s="36" t="str">
        <f aca="false">IF(Raw_Export!$A2677="","",IFERROR(VLOOKUP(LOWER(TRIM(Raw_Export!D2677)),Maps!$G$2:$I$80,2,FALSE()),"UNMAPPED"))</f>
        <v/>
      </c>
      <c r="E2677" s="36" t="str">
        <f aca="false">IF(Raw_Export!$A2677="","",IFERROR(VLOOKUP(LOWER(TRIM(Raw_Export!D2677)),Maps!$G$2:$I$80,3,FALSE()),"UNMAPPED"))</f>
        <v/>
      </c>
      <c r="F2677" s="36" t="str">
        <f aca="false">IF(Raw_Export!$A2677="","",IFERROR(VALUE(TRIM(Raw_Export!E2677)),0))</f>
        <v/>
      </c>
      <c r="G2677" s="38" t="str">
        <f aca="false">IF(Raw_Export!$A2677="","",IFERROR(VALUE(SUBSTITUTE(SUBSTITUTE(UPPER(TRIM(Raw_Export!F2677)),"KES",""),",","")),0))</f>
        <v/>
      </c>
      <c r="H2677" s="38" t="str">
        <f aca="false">IF(Raw_Export!$A2677="","",F2677*G2677)</f>
        <v/>
      </c>
      <c r="I2677" s="36" t="str">
        <f aca="false">IF(Raw_Export!$A2677="","",IFERROR(VLOOKUP(LOWER(TRIM(Raw_Export!H2677)),Maps!$D$2:$E$12,2,FALSE()),"Other"))</f>
        <v/>
      </c>
      <c r="J2677" s="36" t="str">
        <f aca="false">IF(Raw_Export!$A2677="","",IF(COUNTIF($A$2:A2677,A2677)&gt;1,"Duplicate",""))</f>
        <v/>
      </c>
      <c r="K2677" s="36" t="str">
        <f aca="false">IF(Raw_Export!$A2677="","",IF(J2677="Duplicate","Duplicate",IF(OR(C2677="UNMAPPED",D2677="UNMAPPED"),"Unmapped",IF(F2677=0,"Blank qty",IF(F2677&lt;0,"Return","OK")))))</f>
        <v/>
      </c>
      <c r="L2677" s="36" t="str">
        <f aca="false">IF(Raw_Export!$A2677="","",IF(OR(K2677="OK",K2677="Return"),1,0))</f>
        <v/>
      </c>
      <c r="M2677" s="37" t="str">
        <f aca="false">IF(Raw_Export!$A2677="","",B2677-WEEKDAY(B2677,2)+1)</f>
        <v/>
      </c>
    </row>
    <row r="2678" customFormat="false" ht="15" hidden="false" customHeight="false" outlineLevel="0" collapsed="false">
      <c r="A2678" s="36" t="str">
        <f aca="false">IF(Raw_Export!$A2678="","",TRIM(Raw_Export!A2678))</f>
        <v/>
      </c>
      <c r="B2678" s="37" t="str">
        <f aca="false">IF(Raw_Export!$A2678="","",IF(ISNUMBER(Raw_Export!B2678),Raw_Export!B2678,IF(MID(TRIM(Raw_Export!B2678),5,1)="-",DATE(LEFT(TRIM(Raw_Export!B2678),4),MID(TRIM(Raw_Export!B2678),6,2),RIGHT(TRIM(Raw_Export!B2678),2)),DATE(RIGHT(TRIM(Raw_Export!B2678),4),MATCH(MID(TRIM(Raw_Export!B2678),4,3),{"Jan","Feb","Mar","Apr","May","Jun","Jul","Aug","Sep","Oct","Nov","Dec"},0),LEFT(TRIM(Raw_Export!B2678),2)))))</f>
        <v/>
      </c>
      <c r="C2678" s="36" t="str">
        <f aca="false">IF(Raw_Export!$A2678="","",IFERROR(VLOOKUP(LOWER(TRIM(Raw_Export!C2678)),Maps!$A$2:$B$20,2,FALSE()),"UNMAPPED"))</f>
        <v/>
      </c>
      <c r="D2678" s="36" t="str">
        <f aca="false">IF(Raw_Export!$A2678="","",IFERROR(VLOOKUP(LOWER(TRIM(Raw_Export!D2678)),Maps!$G$2:$I$80,2,FALSE()),"UNMAPPED"))</f>
        <v/>
      </c>
      <c r="E2678" s="36" t="str">
        <f aca="false">IF(Raw_Export!$A2678="","",IFERROR(VLOOKUP(LOWER(TRIM(Raw_Export!D2678)),Maps!$G$2:$I$80,3,FALSE()),"UNMAPPED"))</f>
        <v/>
      </c>
      <c r="F2678" s="36" t="str">
        <f aca="false">IF(Raw_Export!$A2678="","",IFERROR(VALUE(TRIM(Raw_Export!E2678)),0))</f>
        <v/>
      </c>
      <c r="G2678" s="38" t="str">
        <f aca="false">IF(Raw_Export!$A2678="","",IFERROR(VALUE(SUBSTITUTE(SUBSTITUTE(UPPER(TRIM(Raw_Export!F2678)),"KES",""),",","")),0))</f>
        <v/>
      </c>
      <c r="H2678" s="38" t="str">
        <f aca="false">IF(Raw_Export!$A2678="","",F2678*G2678)</f>
        <v/>
      </c>
      <c r="I2678" s="36" t="str">
        <f aca="false">IF(Raw_Export!$A2678="","",IFERROR(VLOOKUP(LOWER(TRIM(Raw_Export!H2678)),Maps!$D$2:$E$12,2,FALSE()),"Other"))</f>
        <v/>
      </c>
      <c r="J2678" s="36" t="str">
        <f aca="false">IF(Raw_Export!$A2678="","",IF(COUNTIF($A$2:A2678,A2678)&gt;1,"Duplicate",""))</f>
        <v/>
      </c>
      <c r="K2678" s="36" t="str">
        <f aca="false">IF(Raw_Export!$A2678="","",IF(J2678="Duplicate","Duplicate",IF(OR(C2678="UNMAPPED",D2678="UNMAPPED"),"Unmapped",IF(F2678=0,"Blank qty",IF(F2678&lt;0,"Return","OK")))))</f>
        <v/>
      </c>
      <c r="L2678" s="36" t="str">
        <f aca="false">IF(Raw_Export!$A2678="","",IF(OR(K2678="OK",K2678="Return"),1,0))</f>
        <v/>
      </c>
      <c r="M2678" s="37" t="str">
        <f aca="false">IF(Raw_Export!$A2678="","",B2678-WEEKDAY(B2678,2)+1)</f>
        <v/>
      </c>
    </row>
    <row r="2679" customFormat="false" ht="15" hidden="false" customHeight="false" outlineLevel="0" collapsed="false">
      <c r="A2679" s="36" t="str">
        <f aca="false">IF(Raw_Export!$A2679="","",TRIM(Raw_Export!A2679))</f>
        <v/>
      </c>
      <c r="B2679" s="37" t="str">
        <f aca="false">IF(Raw_Export!$A2679="","",IF(ISNUMBER(Raw_Export!B2679),Raw_Export!B2679,IF(MID(TRIM(Raw_Export!B2679),5,1)="-",DATE(LEFT(TRIM(Raw_Export!B2679),4),MID(TRIM(Raw_Export!B2679),6,2),RIGHT(TRIM(Raw_Export!B2679),2)),DATE(RIGHT(TRIM(Raw_Export!B2679),4),MATCH(MID(TRIM(Raw_Export!B2679),4,3),{"Jan","Feb","Mar","Apr","May","Jun","Jul","Aug","Sep","Oct","Nov","Dec"},0),LEFT(TRIM(Raw_Export!B2679),2)))))</f>
        <v/>
      </c>
      <c r="C2679" s="36" t="str">
        <f aca="false">IF(Raw_Export!$A2679="","",IFERROR(VLOOKUP(LOWER(TRIM(Raw_Export!C2679)),Maps!$A$2:$B$20,2,FALSE()),"UNMAPPED"))</f>
        <v/>
      </c>
      <c r="D2679" s="36" t="str">
        <f aca="false">IF(Raw_Export!$A2679="","",IFERROR(VLOOKUP(LOWER(TRIM(Raw_Export!D2679)),Maps!$G$2:$I$80,2,FALSE()),"UNMAPPED"))</f>
        <v/>
      </c>
      <c r="E2679" s="36" t="str">
        <f aca="false">IF(Raw_Export!$A2679="","",IFERROR(VLOOKUP(LOWER(TRIM(Raw_Export!D2679)),Maps!$G$2:$I$80,3,FALSE()),"UNMAPPED"))</f>
        <v/>
      </c>
      <c r="F2679" s="36" t="str">
        <f aca="false">IF(Raw_Export!$A2679="","",IFERROR(VALUE(TRIM(Raw_Export!E2679)),0))</f>
        <v/>
      </c>
      <c r="G2679" s="38" t="str">
        <f aca="false">IF(Raw_Export!$A2679="","",IFERROR(VALUE(SUBSTITUTE(SUBSTITUTE(UPPER(TRIM(Raw_Export!F2679)),"KES",""),",","")),0))</f>
        <v/>
      </c>
      <c r="H2679" s="38" t="str">
        <f aca="false">IF(Raw_Export!$A2679="","",F2679*G2679)</f>
        <v/>
      </c>
      <c r="I2679" s="36" t="str">
        <f aca="false">IF(Raw_Export!$A2679="","",IFERROR(VLOOKUP(LOWER(TRIM(Raw_Export!H2679)),Maps!$D$2:$E$12,2,FALSE()),"Other"))</f>
        <v/>
      </c>
      <c r="J2679" s="36" t="str">
        <f aca="false">IF(Raw_Export!$A2679="","",IF(COUNTIF($A$2:A2679,A2679)&gt;1,"Duplicate",""))</f>
        <v/>
      </c>
      <c r="K2679" s="36" t="str">
        <f aca="false">IF(Raw_Export!$A2679="","",IF(J2679="Duplicate","Duplicate",IF(OR(C2679="UNMAPPED",D2679="UNMAPPED"),"Unmapped",IF(F2679=0,"Blank qty",IF(F2679&lt;0,"Return","OK")))))</f>
        <v/>
      </c>
      <c r="L2679" s="36" t="str">
        <f aca="false">IF(Raw_Export!$A2679="","",IF(OR(K2679="OK",K2679="Return"),1,0))</f>
        <v/>
      </c>
      <c r="M2679" s="37" t="str">
        <f aca="false">IF(Raw_Export!$A2679="","",B2679-WEEKDAY(B2679,2)+1)</f>
        <v/>
      </c>
    </row>
    <row r="2680" customFormat="false" ht="15" hidden="false" customHeight="false" outlineLevel="0" collapsed="false">
      <c r="A2680" s="36" t="str">
        <f aca="false">IF(Raw_Export!$A2680="","",TRIM(Raw_Export!A2680))</f>
        <v/>
      </c>
      <c r="B2680" s="37" t="str">
        <f aca="false">IF(Raw_Export!$A2680="","",IF(ISNUMBER(Raw_Export!B2680),Raw_Export!B2680,IF(MID(TRIM(Raw_Export!B2680),5,1)="-",DATE(LEFT(TRIM(Raw_Export!B2680),4),MID(TRIM(Raw_Export!B2680),6,2),RIGHT(TRIM(Raw_Export!B2680),2)),DATE(RIGHT(TRIM(Raw_Export!B2680),4),MATCH(MID(TRIM(Raw_Export!B2680),4,3),{"Jan","Feb","Mar","Apr","May","Jun","Jul","Aug","Sep","Oct","Nov","Dec"},0),LEFT(TRIM(Raw_Export!B2680),2)))))</f>
        <v/>
      </c>
      <c r="C2680" s="36" t="str">
        <f aca="false">IF(Raw_Export!$A2680="","",IFERROR(VLOOKUP(LOWER(TRIM(Raw_Export!C2680)),Maps!$A$2:$B$20,2,FALSE()),"UNMAPPED"))</f>
        <v/>
      </c>
      <c r="D2680" s="36" t="str">
        <f aca="false">IF(Raw_Export!$A2680="","",IFERROR(VLOOKUP(LOWER(TRIM(Raw_Export!D2680)),Maps!$G$2:$I$80,2,FALSE()),"UNMAPPED"))</f>
        <v/>
      </c>
      <c r="E2680" s="36" t="str">
        <f aca="false">IF(Raw_Export!$A2680="","",IFERROR(VLOOKUP(LOWER(TRIM(Raw_Export!D2680)),Maps!$G$2:$I$80,3,FALSE()),"UNMAPPED"))</f>
        <v/>
      </c>
      <c r="F2680" s="36" t="str">
        <f aca="false">IF(Raw_Export!$A2680="","",IFERROR(VALUE(TRIM(Raw_Export!E2680)),0))</f>
        <v/>
      </c>
      <c r="G2680" s="38" t="str">
        <f aca="false">IF(Raw_Export!$A2680="","",IFERROR(VALUE(SUBSTITUTE(SUBSTITUTE(UPPER(TRIM(Raw_Export!F2680)),"KES",""),",","")),0))</f>
        <v/>
      </c>
      <c r="H2680" s="38" t="str">
        <f aca="false">IF(Raw_Export!$A2680="","",F2680*G2680)</f>
        <v/>
      </c>
      <c r="I2680" s="36" t="str">
        <f aca="false">IF(Raw_Export!$A2680="","",IFERROR(VLOOKUP(LOWER(TRIM(Raw_Export!H2680)),Maps!$D$2:$E$12,2,FALSE()),"Other"))</f>
        <v/>
      </c>
      <c r="J2680" s="36" t="str">
        <f aca="false">IF(Raw_Export!$A2680="","",IF(COUNTIF($A$2:A2680,A2680)&gt;1,"Duplicate",""))</f>
        <v/>
      </c>
      <c r="K2680" s="36" t="str">
        <f aca="false">IF(Raw_Export!$A2680="","",IF(J2680="Duplicate","Duplicate",IF(OR(C2680="UNMAPPED",D2680="UNMAPPED"),"Unmapped",IF(F2680=0,"Blank qty",IF(F2680&lt;0,"Return","OK")))))</f>
        <v/>
      </c>
      <c r="L2680" s="36" t="str">
        <f aca="false">IF(Raw_Export!$A2680="","",IF(OR(K2680="OK",K2680="Return"),1,0))</f>
        <v/>
      </c>
      <c r="M2680" s="37" t="str">
        <f aca="false">IF(Raw_Export!$A2680="","",B2680-WEEKDAY(B2680,2)+1)</f>
        <v/>
      </c>
    </row>
    <row r="2681" customFormat="false" ht="15" hidden="false" customHeight="false" outlineLevel="0" collapsed="false">
      <c r="A2681" s="36" t="str">
        <f aca="false">IF(Raw_Export!$A2681="","",TRIM(Raw_Export!A2681))</f>
        <v/>
      </c>
      <c r="B2681" s="37" t="str">
        <f aca="false">IF(Raw_Export!$A2681="","",IF(ISNUMBER(Raw_Export!B2681),Raw_Export!B2681,IF(MID(TRIM(Raw_Export!B2681),5,1)="-",DATE(LEFT(TRIM(Raw_Export!B2681),4),MID(TRIM(Raw_Export!B2681),6,2),RIGHT(TRIM(Raw_Export!B2681),2)),DATE(RIGHT(TRIM(Raw_Export!B2681),4),MATCH(MID(TRIM(Raw_Export!B2681),4,3),{"Jan","Feb","Mar","Apr","May","Jun","Jul","Aug","Sep","Oct","Nov","Dec"},0),LEFT(TRIM(Raw_Export!B2681),2)))))</f>
        <v/>
      </c>
      <c r="C2681" s="36" t="str">
        <f aca="false">IF(Raw_Export!$A2681="","",IFERROR(VLOOKUP(LOWER(TRIM(Raw_Export!C2681)),Maps!$A$2:$B$20,2,FALSE()),"UNMAPPED"))</f>
        <v/>
      </c>
      <c r="D2681" s="36" t="str">
        <f aca="false">IF(Raw_Export!$A2681="","",IFERROR(VLOOKUP(LOWER(TRIM(Raw_Export!D2681)),Maps!$G$2:$I$80,2,FALSE()),"UNMAPPED"))</f>
        <v/>
      </c>
      <c r="E2681" s="36" t="str">
        <f aca="false">IF(Raw_Export!$A2681="","",IFERROR(VLOOKUP(LOWER(TRIM(Raw_Export!D2681)),Maps!$G$2:$I$80,3,FALSE()),"UNMAPPED"))</f>
        <v/>
      </c>
      <c r="F2681" s="36" t="str">
        <f aca="false">IF(Raw_Export!$A2681="","",IFERROR(VALUE(TRIM(Raw_Export!E2681)),0))</f>
        <v/>
      </c>
      <c r="G2681" s="38" t="str">
        <f aca="false">IF(Raw_Export!$A2681="","",IFERROR(VALUE(SUBSTITUTE(SUBSTITUTE(UPPER(TRIM(Raw_Export!F2681)),"KES",""),",","")),0))</f>
        <v/>
      </c>
      <c r="H2681" s="38" t="str">
        <f aca="false">IF(Raw_Export!$A2681="","",F2681*G2681)</f>
        <v/>
      </c>
      <c r="I2681" s="36" t="str">
        <f aca="false">IF(Raw_Export!$A2681="","",IFERROR(VLOOKUP(LOWER(TRIM(Raw_Export!H2681)),Maps!$D$2:$E$12,2,FALSE()),"Other"))</f>
        <v/>
      </c>
      <c r="J2681" s="36" t="str">
        <f aca="false">IF(Raw_Export!$A2681="","",IF(COUNTIF($A$2:A2681,A2681)&gt;1,"Duplicate",""))</f>
        <v/>
      </c>
      <c r="K2681" s="36" t="str">
        <f aca="false">IF(Raw_Export!$A2681="","",IF(J2681="Duplicate","Duplicate",IF(OR(C2681="UNMAPPED",D2681="UNMAPPED"),"Unmapped",IF(F2681=0,"Blank qty",IF(F2681&lt;0,"Return","OK")))))</f>
        <v/>
      </c>
      <c r="L2681" s="36" t="str">
        <f aca="false">IF(Raw_Export!$A2681="","",IF(OR(K2681="OK",K2681="Return"),1,0))</f>
        <v/>
      </c>
      <c r="M2681" s="37" t="str">
        <f aca="false">IF(Raw_Export!$A2681="","",B2681-WEEKDAY(B2681,2)+1)</f>
        <v/>
      </c>
    </row>
    <row r="2682" customFormat="false" ht="15" hidden="false" customHeight="false" outlineLevel="0" collapsed="false">
      <c r="A2682" s="36" t="str">
        <f aca="false">IF(Raw_Export!$A2682="","",TRIM(Raw_Export!A2682))</f>
        <v/>
      </c>
      <c r="B2682" s="37" t="str">
        <f aca="false">IF(Raw_Export!$A2682="","",IF(ISNUMBER(Raw_Export!B2682),Raw_Export!B2682,IF(MID(TRIM(Raw_Export!B2682),5,1)="-",DATE(LEFT(TRIM(Raw_Export!B2682),4),MID(TRIM(Raw_Export!B2682),6,2),RIGHT(TRIM(Raw_Export!B2682),2)),DATE(RIGHT(TRIM(Raw_Export!B2682),4),MATCH(MID(TRIM(Raw_Export!B2682),4,3),{"Jan","Feb","Mar","Apr","May","Jun","Jul","Aug","Sep","Oct","Nov","Dec"},0),LEFT(TRIM(Raw_Export!B2682),2)))))</f>
        <v/>
      </c>
      <c r="C2682" s="36" t="str">
        <f aca="false">IF(Raw_Export!$A2682="","",IFERROR(VLOOKUP(LOWER(TRIM(Raw_Export!C2682)),Maps!$A$2:$B$20,2,FALSE()),"UNMAPPED"))</f>
        <v/>
      </c>
      <c r="D2682" s="36" t="str">
        <f aca="false">IF(Raw_Export!$A2682="","",IFERROR(VLOOKUP(LOWER(TRIM(Raw_Export!D2682)),Maps!$G$2:$I$80,2,FALSE()),"UNMAPPED"))</f>
        <v/>
      </c>
      <c r="E2682" s="36" t="str">
        <f aca="false">IF(Raw_Export!$A2682="","",IFERROR(VLOOKUP(LOWER(TRIM(Raw_Export!D2682)),Maps!$G$2:$I$80,3,FALSE()),"UNMAPPED"))</f>
        <v/>
      </c>
      <c r="F2682" s="36" t="str">
        <f aca="false">IF(Raw_Export!$A2682="","",IFERROR(VALUE(TRIM(Raw_Export!E2682)),0))</f>
        <v/>
      </c>
      <c r="G2682" s="38" t="str">
        <f aca="false">IF(Raw_Export!$A2682="","",IFERROR(VALUE(SUBSTITUTE(SUBSTITUTE(UPPER(TRIM(Raw_Export!F2682)),"KES",""),",","")),0))</f>
        <v/>
      </c>
      <c r="H2682" s="38" t="str">
        <f aca="false">IF(Raw_Export!$A2682="","",F2682*G2682)</f>
        <v/>
      </c>
      <c r="I2682" s="36" t="str">
        <f aca="false">IF(Raw_Export!$A2682="","",IFERROR(VLOOKUP(LOWER(TRIM(Raw_Export!H2682)),Maps!$D$2:$E$12,2,FALSE()),"Other"))</f>
        <v/>
      </c>
      <c r="J2682" s="36" t="str">
        <f aca="false">IF(Raw_Export!$A2682="","",IF(COUNTIF($A$2:A2682,A2682)&gt;1,"Duplicate",""))</f>
        <v/>
      </c>
      <c r="K2682" s="36" t="str">
        <f aca="false">IF(Raw_Export!$A2682="","",IF(J2682="Duplicate","Duplicate",IF(OR(C2682="UNMAPPED",D2682="UNMAPPED"),"Unmapped",IF(F2682=0,"Blank qty",IF(F2682&lt;0,"Return","OK")))))</f>
        <v/>
      </c>
      <c r="L2682" s="36" t="str">
        <f aca="false">IF(Raw_Export!$A2682="","",IF(OR(K2682="OK",K2682="Return"),1,0))</f>
        <v/>
      </c>
      <c r="M2682" s="37" t="str">
        <f aca="false">IF(Raw_Export!$A2682="","",B2682-WEEKDAY(B2682,2)+1)</f>
        <v/>
      </c>
    </row>
    <row r="2683" customFormat="false" ht="15" hidden="false" customHeight="false" outlineLevel="0" collapsed="false">
      <c r="A2683" s="36" t="str">
        <f aca="false">IF(Raw_Export!$A2683="","",TRIM(Raw_Export!A2683))</f>
        <v/>
      </c>
      <c r="B2683" s="37" t="str">
        <f aca="false">IF(Raw_Export!$A2683="","",IF(ISNUMBER(Raw_Export!B2683),Raw_Export!B2683,IF(MID(TRIM(Raw_Export!B2683),5,1)="-",DATE(LEFT(TRIM(Raw_Export!B2683),4),MID(TRIM(Raw_Export!B2683),6,2),RIGHT(TRIM(Raw_Export!B2683),2)),DATE(RIGHT(TRIM(Raw_Export!B2683),4),MATCH(MID(TRIM(Raw_Export!B2683),4,3),{"Jan","Feb","Mar","Apr","May","Jun","Jul","Aug","Sep","Oct","Nov","Dec"},0),LEFT(TRIM(Raw_Export!B2683),2)))))</f>
        <v/>
      </c>
      <c r="C2683" s="36" t="str">
        <f aca="false">IF(Raw_Export!$A2683="","",IFERROR(VLOOKUP(LOWER(TRIM(Raw_Export!C2683)),Maps!$A$2:$B$20,2,FALSE()),"UNMAPPED"))</f>
        <v/>
      </c>
      <c r="D2683" s="36" t="str">
        <f aca="false">IF(Raw_Export!$A2683="","",IFERROR(VLOOKUP(LOWER(TRIM(Raw_Export!D2683)),Maps!$G$2:$I$80,2,FALSE()),"UNMAPPED"))</f>
        <v/>
      </c>
      <c r="E2683" s="36" t="str">
        <f aca="false">IF(Raw_Export!$A2683="","",IFERROR(VLOOKUP(LOWER(TRIM(Raw_Export!D2683)),Maps!$G$2:$I$80,3,FALSE()),"UNMAPPED"))</f>
        <v/>
      </c>
      <c r="F2683" s="36" t="str">
        <f aca="false">IF(Raw_Export!$A2683="","",IFERROR(VALUE(TRIM(Raw_Export!E2683)),0))</f>
        <v/>
      </c>
      <c r="G2683" s="38" t="str">
        <f aca="false">IF(Raw_Export!$A2683="","",IFERROR(VALUE(SUBSTITUTE(SUBSTITUTE(UPPER(TRIM(Raw_Export!F2683)),"KES",""),",","")),0))</f>
        <v/>
      </c>
      <c r="H2683" s="38" t="str">
        <f aca="false">IF(Raw_Export!$A2683="","",F2683*G2683)</f>
        <v/>
      </c>
      <c r="I2683" s="36" t="str">
        <f aca="false">IF(Raw_Export!$A2683="","",IFERROR(VLOOKUP(LOWER(TRIM(Raw_Export!H2683)),Maps!$D$2:$E$12,2,FALSE()),"Other"))</f>
        <v/>
      </c>
      <c r="J2683" s="36" t="str">
        <f aca="false">IF(Raw_Export!$A2683="","",IF(COUNTIF($A$2:A2683,A2683)&gt;1,"Duplicate",""))</f>
        <v/>
      </c>
      <c r="K2683" s="36" t="str">
        <f aca="false">IF(Raw_Export!$A2683="","",IF(J2683="Duplicate","Duplicate",IF(OR(C2683="UNMAPPED",D2683="UNMAPPED"),"Unmapped",IF(F2683=0,"Blank qty",IF(F2683&lt;0,"Return","OK")))))</f>
        <v/>
      </c>
      <c r="L2683" s="36" t="str">
        <f aca="false">IF(Raw_Export!$A2683="","",IF(OR(K2683="OK",K2683="Return"),1,0))</f>
        <v/>
      </c>
      <c r="M2683" s="37" t="str">
        <f aca="false">IF(Raw_Export!$A2683="","",B2683-WEEKDAY(B2683,2)+1)</f>
        <v/>
      </c>
    </row>
    <row r="2684" customFormat="false" ht="15" hidden="false" customHeight="false" outlineLevel="0" collapsed="false">
      <c r="A2684" s="36" t="str">
        <f aca="false">IF(Raw_Export!$A2684="","",TRIM(Raw_Export!A2684))</f>
        <v/>
      </c>
      <c r="B2684" s="37" t="str">
        <f aca="false">IF(Raw_Export!$A2684="","",IF(ISNUMBER(Raw_Export!B2684),Raw_Export!B2684,IF(MID(TRIM(Raw_Export!B2684),5,1)="-",DATE(LEFT(TRIM(Raw_Export!B2684),4),MID(TRIM(Raw_Export!B2684),6,2),RIGHT(TRIM(Raw_Export!B2684),2)),DATE(RIGHT(TRIM(Raw_Export!B2684),4),MATCH(MID(TRIM(Raw_Export!B2684),4,3),{"Jan","Feb","Mar","Apr","May","Jun","Jul","Aug","Sep","Oct","Nov","Dec"},0),LEFT(TRIM(Raw_Export!B2684),2)))))</f>
        <v/>
      </c>
      <c r="C2684" s="36" t="str">
        <f aca="false">IF(Raw_Export!$A2684="","",IFERROR(VLOOKUP(LOWER(TRIM(Raw_Export!C2684)),Maps!$A$2:$B$20,2,FALSE()),"UNMAPPED"))</f>
        <v/>
      </c>
      <c r="D2684" s="36" t="str">
        <f aca="false">IF(Raw_Export!$A2684="","",IFERROR(VLOOKUP(LOWER(TRIM(Raw_Export!D2684)),Maps!$G$2:$I$80,2,FALSE()),"UNMAPPED"))</f>
        <v/>
      </c>
      <c r="E2684" s="36" t="str">
        <f aca="false">IF(Raw_Export!$A2684="","",IFERROR(VLOOKUP(LOWER(TRIM(Raw_Export!D2684)),Maps!$G$2:$I$80,3,FALSE()),"UNMAPPED"))</f>
        <v/>
      </c>
      <c r="F2684" s="36" t="str">
        <f aca="false">IF(Raw_Export!$A2684="","",IFERROR(VALUE(TRIM(Raw_Export!E2684)),0))</f>
        <v/>
      </c>
      <c r="G2684" s="38" t="str">
        <f aca="false">IF(Raw_Export!$A2684="","",IFERROR(VALUE(SUBSTITUTE(SUBSTITUTE(UPPER(TRIM(Raw_Export!F2684)),"KES",""),",","")),0))</f>
        <v/>
      </c>
      <c r="H2684" s="38" t="str">
        <f aca="false">IF(Raw_Export!$A2684="","",F2684*G2684)</f>
        <v/>
      </c>
      <c r="I2684" s="36" t="str">
        <f aca="false">IF(Raw_Export!$A2684="","",IFERROR(VLOOKUP(LOWER(TRIM(Raw_Export!H2684)),Maps!$D$2:$E$12,2,FALSE()),"Other"))</f>
        <v/>
      </c>
      <c r="J2684" s="36" t="str">
        <f aca="false">IF(Raw_Export!$A2684="","",IF(COUNTIF($A$2:A2684,A2684)&gt;1,"Duplicate",""))</f>
        <v/>
      </c>
      <c r="K2684" s="36" t="str">
        <f aca="false">IF(Raw_Export!$A2684="","",IF(J2684="Duplicate","Duplicate",IF(OR(C2684="UNMAPPED",D2684="UNMAPPED"),"Unmapped",IF(F2684=0,"Blank qty",IF(F2684&lt;0,"Return","OK")))))</f>
        <v/>
      </c>
      <c r="L2684" s="36" t="str">
        <f aca="false">IF(Raw_Export!$A2684="","",IF(OR(K2684="OK",K2684="Return"),1,0))</f>
        <v/>
      </c>
      <c r="M2684" s="37" t="str">
        <f aca="false">IF(Raw_Export!$A2684="","",B2684-WEEKDAY(B2684,2)+1)</f>
        <v/>
      </c>
    </row>
    <row r="2685" customFormat="false" ht="15" hidden="false" customHeight="false" outlineLevel="0" collapsed="false">
      <c r="A2685" s="36" t="str">
        <f aca="false">IF(Raw_Export!$A2685="","",TRIM(Raw_Export!A2685))</f>
        <v/>
      </c>
      <c r="B2685" s="37" t="str">
        <f aca="false">IF(Raw_Export!$A2685="","",IF(ISNUMBER(Raw_Export!B2685),Raw_Export!B2685,IF(MID(TRIM(Raw_Export!B2685),5,1)="-",DATE(LEFT(TRIM(Raw_Export!B2685),4),MID(TRIM(Raw_Export!B2685),6,2),RIGHT(TRIM(Raw_Export!B2685),2)),DATE(RIGHT(TRIM(Raw_Export!B2685),4),MATCH(MID(TRIM(Raw_Export!B2685),4,3),{"Jan","Feb","Mar","Apr","May","Jun","Jul","Aug","Sep","Oct","Nov","Dec"},0),LEFT(TRIM(Raw_Export!B2685),2)))))</f>
        <v/>
      </c>
      <c r="C2685" s="36" t="str">
        <f aca="false">IF(Raw_Export!$A2685="","",IFERROR(VLOOKUP(LOWER(TRIM(Raw_Export!C2685)),Maps!$A$2:$B$20,2,FALSE()),"UNMAPPED"))</f>
        <v/>
      </c>
      <c r="D2685" s="36" t="str">
        <f aca="false">IF(Raw_Export!$A2685="","",IFERROR(VLOOKUP(LOWER(TRIM(Raw_Export!D2685)),Maps!$G$2:$I$80,2,FALSE()),"UNMAPPED"))</f>
        <v/>
      </c>
      <c r="E2685" s="36" t="str">
        <f aca="false">IF(Raw_Export!$A2685="","",IFERROR(VLOOKUP(LOWER(TRIM(Raw_Export!D2685)),Maps!$G$2:$I$80,3,FALSE()),"UNMAPPED"))</f>
        <v/>
      </c>
      <c r="F2685" s="36" t="str">
        <f aca="false">IF(Raw_Export!$A2685="","",IFERROR(VALUE(TRIM(Raw_Export!E2685)),0))</f>
        <v/>
      </c>
      <c r="G2685" s="38" t="str">
        <f aca="false">IF(Raw_Export!$A2685="","",IFERROR(VALUE(SUBSTITUTE(SUBSTITUTE(UPPER(TRIM(Raw_Export!F2685)),"KES",""),",","")),0))</f>
        <v/>
      </c>
      <c r="H2685" s="38" t="str">
        <f aca="false">IF(Raw_Export!$A2685="","",F2685*G2685)</f>
        <v/>
      </c>
      <c r="I2685" s="36" t="str">
        <f aca="false">IF(Raw_Export!$A2685="","",IFERROR(VLOOKUP(LOWER(TRIM(Raw_Export!H2685)),Maps!$D$2:$E$12,2,FALSE()),"Other"))</f>
        <v/>
      </c>
      <c r="J2685" s="36" t="str">
        <f aca="false">IF(Raw_Export!$A2685="","",IF(COUNTIF($A$2:A2685,A2685)&gt;1,"Duplicate",""))</f>
        <v/>
      </c>
      <c r="K2685" s="36" t="str">
        <f aca="false">IF(Raw_Export!$A2685="","",IF(J2685="Duplicate","Duplicate",IF(OR(C2685="UNMAPPED",D2685="UNMAPPED"),"Unmapped",IF(F2685=0,"Blank qty",IF(F2685&lt;0,"Return","OK")))))</f>
        <v/>
      </c>
      <c r="L2685" s="36" t="str">
        <f aca="false">IF(Raw_Export!$A2685="","",IF(OR(K2685="OK",K2685="Return"),1,0))</f>
        <v/>
      </c>
      <c r="M2685" s="37" t="str">
        <f aca="false">IF(Raw_Export!$A2685="","",B2685-WEEKDAY(B2685,2)+1)</f>
        <v/>
      </c>
    </row>
    <row r="2686" customFormat="false" ht="15" hidden="false" customHeight="false" outlineLevel="0" collapsed="false">
      <c r="A2686" s="36" t="str">
        <f aca="false">IF(Raw_Export!$A2686="","",TRIM(Raw_Export!A2686))</f>
        <v/>
      </c>
      <c r="B2686" s="37" t="str">
        <f aca="false">IF(Raw_Export!$A2686="","",IF(ISNUMBER(Raw_Export!B2686),Raw_Export!B2686,IF(MID(TRIM(Raw_Export!B2686),5,1)="-",DATE(LEFT(TRIM(Raw_Export!B2686),4),MID(TRIM(Raw_Export!B2686),6,2),RIGHT(TRIM(Raw_Export!B2686),2)),DATE(RIGHT(TRIM(Raw_Export!B2686),4),MATCH(MID(TRIM(Raw_Export!B2686),4,3),{"Jan","Feb","Mar","Apr","May","Jun","Jul","Aug","Sep","Oct","Nov","Dec"},0),LEFT(TRIM(Raw_Export!B2686),2)))))</f>
        <v/>
      </c>
      <c r="C2686" s="36" t="str">
        <f aca="false">IF(Raw_Export!$A2686="","",IFERROR(VLOOKUP(LOWER(TRIM(Raw_Export!C2686)),Maps!$A$2:$B$20,2,FALSE()),"UNMAPPED"))</f>
        <v/>
      </c>
      <c r="D2686" s="36" t="str">
        <f aca="false">IF(Raw_Export!$A2686="","",IFERROR(VLOOKUP(LOWER(TRIM(Raw_Export!D2686)),Maps!$G$2:$I$80,2,FALSE()),"UNMAPPED"))</f>
        <v/>
      </c>
      <c r="E2686" s="36" t="str">
        <f aca="false">IF(Raw_Export!$A2686="","",IFERROR(VLOOKUP(LOWER(TRIM(Raw_Export!D2686)),Maps!$G$2:$I$80,3,FALSE()),"UNMAPPED"))</f>
        <v/>
      </c>
      <c r="F2686" s="36" t="str">
        <f aca="false">IF(Raw_Export!$A2686="","",IFERROR(VALUE(TRIM(Raw_Export!E2686)),0))</f>
        <v/>
      </c>
      <c r="G2686" s="38" t="str">
        <f aca="false">IF(Raw_Export!$A2686="","",IFERROR(VALUE(SUBSTITUTE(SUBSTITUTE(UPPER(TRIM(Raw_Export!F2686)),"KES",""),",","")),0))</f>
        <v/>
      </c>
      <c r="H2686" s="38" t="str">
        <f aca="false">IF(Raw_Export!$A2686="","",F2686*G2686)</f>
        <v/>
      </c>
      <c r="I2686" s="36" t="str">
        <f aca="false">IF(Raw_Export!$A2686="","",IFERROR(VLOOKUP(LOWER(TRIM(Raw_Export!H2686)),Maps!$D$2:$E$12,2,FALSE()),"Other"))</f>
        <v/>
      </c>
      <c r="J2686" s="36" t="str">
        <f aca="false">IF(Raw_Export!$A2686="","",IF(COUNTIF($A$2:A2686,A2686)&gt;1,"Duplicate",""))</f>
        <v/>
      </c>
      <c r="K2686" s="36" t="str">
        <f aca="false">IF(Raw_Export!$A2686="","",IF(J2686="Duplicate","Duplicate",IF(OR(C2686="UNMAPPED",D2686="UNMAPPED"),"Unmapped",IF(F2686=0,"Blank qty",IF(F2686&lt;0,"Return","OK")))))</f>
        <v/>
      </c>
      <c r="L2686" s="36" t="str">
        <f aca="false">IF(Raw_Export!$A2686="","",IF(OR(K2686="OK",K2686="Return"),1,0))</f>
        <v/>
      </c>
      <c r="M2686" s="37" t="str">
        <f aca="false">IF(Raw_Export!$A2686="","",B2686-WEEKDAY(B2686,2)+1)</f>
        <v/>
      </c>
    </row>
    <row r="2687" customFormat="false" ht="15" hidden="false" customHeight="false" outlineLevel="0" collapsed="false">
      <c r="A2687" s="36" t="str">
        <f aca="false">IF(Raw_Export!$A2687="","",TRIM(Raw_Export!A2687))</f>
        <v/>
      </c>
      <c r="B2687" s="37" t="str">
        <f aca="false">IF(Raw_Export!$A2687="","",IF(ISNUMBER(Raw_Export!B2687),Raw_Export!B2687,IF(MID(TRIM(Raw_Export!B2687),5,1)="-",DATE(LEFT(TRIM(Raw_Export!B2687),4),MID(TRIM(Raw_Export!B2687),6,2),RIGHT(TRIM(Raw_Export!B2687),2)),DATE(RIGHT(TRIM(Raw_Export!B2687),4),MATCH(MID(TRIM(Raw_Export!B2687),4,3),{"Jan","Feb","Mar","Apr","May","Jun","Jul","Aug","Sep","Oct","Nov","Dec"},0),LEFT(TRIM(Raw_Export!B2687),2)))))</f>
        <v/>
      </c>
      <c r="C2687" s="36" t="str">
        <f aca="false">IF(Raw_Export!$A2687="","",IFERROR(VLOOKUP(LOWER(TRIM(Raw_Export!C2687)),Maps!$A$2:$B$20,2,FALSE()),"UNMAPPED"))</f>
        <v/>
      </c>
      <c r="D2687" s="36" t="str">
        <f aca="false">IF(Raw_Export!$A2687="","",IFERROR(VLOOKUP(LOWER(TRIM(Raw_Export!D2687)),Maps!$G$2:$I$80,2,FALSE()),"UNMAPPED"))</f>
        <v/>
      </c>
      <c r="E2687" s="36" t="str">
        <f aca="false">IF(Raw_Export!$A2687="","",IFERROR(VLOOKUP(LOWER(TRIM(Raw_Export!D2687)),Maps!$G$2:$I$80,3,FALSE()),"UNMAPPED"))</f>
        <v/>
      </c>
      <c r="F2687" s="36" t="str">
        <f aca="false">IF(Raw_Export!$A2687="","",IFERROR(VALUE(TRIM(Raw_Export!E2687)),0))</f>
        <v/>
      </c>
      <c r="G2687" s="38" t="str">
        <f aca="false">IF(Raw_Export!$A2687="","",IFERROR(VALUE(SUBSTITUTE(SUBSTITUTE(UPPER(TRIM(Raw_Export!F2687)),"KES",""),",","")),0))</f>
        <v/>
      </c>
      <c r="H2687" s="38" t="str">
        <f aca="false">IF(Raw_Export!$A2687="","",F2687*G2687)</f>
        <v/>
      </c>
      <c r="I2687" s="36" t="str">
        <f aca="false">IF(Raw_Export!$A2687="","",IFERROR(VLOOKUP(LOWER(TRIM(Raw_Export!H2687)),Maps!$D$2:$E$12,2,FALSE()),"Other"))</f>
        <v/>
      </c>
      <c r="J2687" s="36" t="str">
        <f aca="false">IF(Raw_Export!$A2687="","",IF(COUNTIF($A$2:A2687,A2687)&gt;1,"Duplicate",""))</f>
        <v/>
      </c>
      <c r="K2687" s="36" t="str">
        <f aca="false">IF(Raw_Export!$A2687="","",IF(J2687="Duplicate","Duplicate",IF(OR(C2687="UNMAPPED",D2687="UNMAPPED"),"Unmapped",IF(F2687=0,"Blank qty",IF(F2687&lt;0,"Return","OK")))))</f>
        <v/>
      </c>
      <c r="L2687" s="36" t="str">
        <f aca="false">IF(Raw_Export!$A2687="","",IF(OR(K2687="OK",K2687="Return"),1,0))</f>
        <v/>
      </c>
      <c r="M2687" s="37" t="str">
        <f aca="false">IF(Raw_Export!$A2687="","",B2687-WEEKDAY(B2687,2)+1)</f>
        <v/>
      </c>
    </row>
    <row r="2688" customFormat="false" ht="15" hidden="false" customHeight="false" outlineLevel="0" collapsed="false">
      <c r="A2688" s="36" t="str">
        <f aca="false">IF(Raw_Export!$A2688="","",TRIM(Raw_Export!A2688))</f>
        <v/>
      </c>
      <c r="B2688" s="37" t="str">
        <f aca="false">IF(Raw_Export!$A2688="","",IF(ISNUMBER(Raw_Export!B2688),Raw_Export!B2688,IF(MID(TRIM(Raw_Export!B2688),5,1)="-",DATE(LEFT(TRIM(Raw_Export!B2688),4),MID(TRIM(Raw_Export!B2688),6,2),RIGHT(TRIM(Raw_Export!B2688),2)),DATE(RIGHT(TRIM(Raw_Export!B2688),4),MATCH(MID(TRIM(Raw_Export!B2688),4,3),{"Jan","Feb","Mar","Apr","May","Jun","Jul","Aug","Sep","Oct","Nov","Dec"},0),LEFT(TRIM(Raw_Export!B2688),2)))))</f>
        <v/>
      </c>
      <c r="C2688" s="36" t="str">
        <f aca="false">IF(Raw_Export!$A2688="","",IFERROR(VLOOKUP(LOWER(TRIM(Raw_Export!C2688)),Maps!$A$2:$B$20,2,FALSE()),"UNMAPPED"))</f>
        <v/>
      </c>
      <c r="D2688" s="36" t="str">
        <f aca="false">IF(Raw_Export!$A2688="","",IFERROR(VLOOKUP(LOWER(TRIM(Raw_Export!D2688)),Maps!$G$2:$I$80,2,FALSE()),"UNMAPPED"))</f>
        <v/>
      </c>
      <c r="E2688" s="36" t="str">
        <f aca="false">IF(Raw_Export!$A2688="","",IFERROR(VLOOKUP(LOWER(TRIM(Raw_Export!D2688)),Maps!$G$2:$I$80,3,FALSE()),"UNMAPPED"))</f>
        <v/>
      </c>
      <c r="F2688" s="36" t="str">
        <f aca="false">IF(Raw_Export!$A2688="","",IFERROR(VALUE(TRIM(Raw_Export!E2688)),0))</f>
        <v/>
      </c>
      <c r="G2688" s="38" t="str">
        <f aca="false">IF(Raw_Export!$A2688="","",IFERROR(VALUE(SUBSTITUTE(SUBSTITUTE(UPPER(TRIM(Raw_Export!F2688)),"KES",""),",","")),0))</f>
        <v/>
      </c>
      <c r="H2688" s="38" t="str">
        <f aca="false">IF(Raw_Export!$A2688="","",F2688*G2688)</f>
        <v/>
      </c>
      <c r="I2688" s="36" t="str">
        <f aca="false">IF(Raw_Export!$A2688="","",IFERROR(VLOOKUP(LOWER(TRIM(Raw_Export!H2688)),Maps!$D$2:$E$12,2,FALSE()),"Other"))</f>
        <v/>
      </c>
      <c r="J2688" s="36" t="str">
        <f aca="false">IF(Raw_Export!$A2688="","",IF(COUNTIF($A$2:A2688,A2688)&gt;1,"Duplicate",""))</f>
        <v/>
      </c>
      <c r="K2688" s="36" t="str">
        <f aca="false">IF(Raw_Export!$A2688="","",IF(J2688="Duplicate","Duplicate",IF(OR(C2688="UNMAPPED",D2688="UNMAPPED"),"Unmapped",IF(F2688=0,"Blank qty",IF(F2688&lt;0,"Return","OK")))))</f>
        <v/>
      </c>
      <c r="L2688" s="36" t="str">
        <f aca="false">IF(Raw_Export!$A2688="","",IF(OR(K2688="OK",K2688="Return"),1,0))</f>
        <v/>
      </c>
      <c r="M2688" s="37" t="str">
        <f aca="false">IF(Raw_Export!$A2688="","",B2688-WEEKDAY(B2688,2)+1)</f>
        <v/>
      </c>
    </row>
    <row r="2689" customFormat="false" ht="15" hidden="false" customHeight="false" outlineLevel="0" collapsed="false">
      <c r="A2689" s="36" t="str">
        <f aca="false">IF(Raw_Export!$A2689="","",TRIM(Raw_Export!A2689))</f>
        <v/>
      </c>
      <c r="B2689" s="37" t="str">
        <f aca="false">IF(Raw_Export!$A2689="","",IF(ISNUMBER(Raw_Export!B2689),Raw_Export!B2689,IF(MID(TRIM(Raw_Export!B2689),5,1)="-",DATE(LEFT(TRIM(Raw_Export!B2689),4),MID(TRIM(Raw_Export!B2689),6,2),RIGHT(TRIM(Raw_Export!B2689),2)),DATE(RIGHT(TRIM(Raw_Export!B2689),4),MATCH(MID(TRIM(Raw_Export!B2689),4,3),{"Jan","Feb","Mar","Apr","May","Jun","Jul","Aug","Sep","Oct","Nov","Dec"},0),LEFT(TRIM(Raw_Export!B2689),2)))))</f>
        <v/>
      </c>
      <c r="C2689" s="36" t="str">
        <f aca="false">IF(Raw_Export!$A2689="","",IFERROR(VLOOKUP(LOWER(TRIM(Raw_Export!C2689)),Maps!$A$2:$B$20,2,FALSE()),"UNMAPPED"))</f>
        <v/>
      </c>
      <c r="D2689" s="36" t="str">
        <f aca="false">IF(Raw_Export!$A2689="","",IFERROR(VLOOKUP(LOWER(TRIM(Raw_Export!D2689)),Maps!$G$2:$I$80,2,FALSE()),"UNMAPPED"))</f>
        <v/>
      </c>
      <c r="E2689" s="36" t="str">
        <f aca="false">IF(Raw_Export!$A2689="","",IFERROR(VLOOKUP(LOWER(TRIM(Raw_Export!D2689)),Maps!$G$2:$I$80,3,FALSE()),"UNMAPPED"))</f>
        <v/>
      </c>
      <c r="F2689" s="36" t="str">
        <f aca="false">IF(Raw_Export!$A2689="","",IFERROR(VALUE(TRIM(Raw_Export!E2689)),0))</f>
        <v/>
      </c>
      <c r="G2689" s="38" t="str">
        <f aca="false">IF(Raw_Export!$A2689="","",IFERROR(VALUE(SUBSTITUTE(SUBSTITUTE(UPPER(TRIM(Raw_Export!F2689)),"KES",""),",","")),0))</f>
        <v/>
      </c>
      <c r="H2689" s="38" t="str">
        <f aca="false">IF(Raw_Export!$A2689="","",F2689*G2689)</f>
        <v/>
      </c>
      <c r="I2689" s="36" t="str">
        <f aca="false">IF(Raw_Export!$A2689="","",IFERROR(VLOOKUP(LOWER(TRIM(Raw_Export!H2689)),Maps!$D$2:$E$12,2,FALSE()),"Other"))</f>
        <v/>
      </c>
      <c r="J2689" s="36" t="str">
        <f aca="false">IF(Raw_Export!$A2689="","",IF(COUNTIF($A$2:A2689,A2689)&gt;1,"Duplicate",""))</f>
        <v/>
      </c>
      <c r="K2689" s="36" t="str">
        <f aca="false">IF(Raw_Export!$A2689="","",IF(J2689="Duplicate","Duplicate",IF(OR(C2689="UNMAPPED",D2689="UNMAPPED"),"Unmapped",IF(F2689=0,"Blank qty",IF(F2689&lt;0,"Return","OK")))))</f>
        <v/>
      </c>
      <c r="L2689" s="36" t="str">
        <f aca="false">IF(Raw_Export!$A2689="","",IF(OR(K2689="OK",K2689="Return"),1,0))</f>
        <v/>
      </c>
      <c r="M2689" s="37" t="str">
        <f aca="false">IF(Raw_Export!$A2689="","",B2689-WEEKDAY(B2689,2)+1)</f>
        <v/>
      </c>
    </row>
    <row r="2690" customFormat="false" ht="15" hidden="false" customHeight="false" outlineLevel="0" collapsed="false">
      <c r="A2690" s="36" t="str">
        <f aca="false">IF(Raw_Export!$A2690="","",TRIM(Raw_Export!A2690))</f>
        <v/>
      </c>
      <c r="B2690" s="37" t="str">
        <f aca="false">IF(Raw_Export!$A2690="","",IF(ISNUMBER(Raw_Export!B2690),Raw_Export!B2690,IF(MID(TRIM(Raw_Export!B2690),5,1)="-",DATE(LEFT(TRIM(Raw_Export!B2690),4),MID(TRIM(Raw_Export!B2690),6,2),RIGHT(TRIM(Raw_Export!B2690),2)),DATE(RIGHT(TRIM(Raw_Export!B2690),4),MATCH(MID(TRIM(Raw_Export!B2690),4,3),{"Jan","Feb","Mar","Apr","May","Jun","Jul","Aug","Sep","Oct","Nov","Dec"},0),LEFT(TRIM(Raw_Export!B2690),2)))))</f>
        <v/>
      </c>
      <c r="C2690" s="36" t="str">
        <f aca="false">IF(Raw_Export!$A2690="","",IFERROR(VLOOKUP(LOWER(TRIM(Raw_Export!C2690)),Maps!$A$2:$B$20,2,FALSE()),"UNMAPPED"))</f>
        <v/>
      </c>
      <c r="D2690" s="36" t="str">
        <f aca="false">IF(Raw_Export!$A2690="","",IFERROR(VLOOKUP(LOWER(TRIM(Raw_Export!D2690)),Maps!$G$2:$I$80,2,FALSE()),"UNMAPPED"))</f>
        <v/>
      </c>
      <c r="E2690" s="36" t="str">
        <f aca="false">IF(Raw_Export!$A2690="","",IFERROR(VLOOKUP(LOWER(TRIM(Raw_Export!D2690)),Maps!$G$2:$I$80,3,FALSE()),"UNMAPPED"))</f>
        <v/>
      </c>
      <c r="F2690" s="36" t="str">
        <f aca="false">IF(Raw_Export!$A2690="","",IFERROR(VALUE(TRIM(Raw_Export!E2690)),0))</f>
        <v/>
      </c>
      <c r="G2690" s="38" t="str">
        <f aca="false">IF(Raw_Export!$A2690="","",IFERROR(VALUE(SUBSTITUTE(SUBSTITUTE(UPPER(TRIM(Raw_Export!F2690)),"KES",""),",","")),0))</f>
        <v/>
      </c>
      <c r="H2690" s="38" t="str">
        <f aca="false">IF(Raw_Export!$A2690="","",F2690*G2690)</f>
        <v/>
      </c>
      <c r="I2690" s="36" t="str">
        <f aca="false">IF(Raw_Export!$A2690="","",IFERROR(VLOOKUP(LOWER(TRIM(Raw_Export!H2690)),Maps!$D$2:$E$12,2,FALSE()),"Other"))</f>
        <v/>
      </c>
      <c r="J2690" s="36" t="str">
        <f aca="false">IF(Raw_Export!$A2690="","",IF(COUNTIF($A$2:A2690,A2690)&gt;1,"Duplicate",""))</f>
        <v/>
      </c>
      <c r="K2690" s="36" t="str">
        <f aca="false">IF(Raw_Export!$A2690="","",IF(J2690="Duplicate","Duplicate",IF(OR(C2690="UNMAPPED",D2690="UNMAPPED"),"Unmapped",IF(F2690=0,"Blank qty",IF(F2690&lt;0,"Return","OK")))))</f>
        <v/>
      </c>
      <c r="L2690" s="36" t="str">
        <f aca="false">IF(Raw_Export!$A2690="","",IF(OR(K2690="OK",K2690="Return"),1,0))</f>
        <v/>
      </c>
      <c r="M2690" s="37" t="str">
        <f aca="false">IF(Raw_Export!$A2690="","",B2690-WEEKDAY(B2690,2)+1)</f>
        <v/>
      </c>
    </row>
    <row r="2691" customFormat="false" ht="15" hidden="false" customHeight="false" outlineLevel="0" collapsed="false">
      <c r="A2691" s="36" t="str">
        <f aca="false">IF(Raw_Export!$A2691="","",TRIM(Raw_Export!A2691))</f>
        <v/>
      </c>
      <c r="B2691" s="37" t="str">
        <f aca="false">IF(Raw_Export!$A2691="","",IF(ISNUMBER(Raw_Export!B2691),Raw_Export!B2691,IF(MID(TRIM(Raw_Export!B2691),5,1)="-",DATE(LEFT(TRIM(Raw_Export!B2691),4),MID(TRIM(Raw_Export!B2691),6,2),RIGHT(TRIM(Raw_Export!B2691),2)),DATE(RIGHT(TRIM(Raw_Export!B2691),4),MATCH(MID(TRIM(Raw_Export!B2691),4,3),{"Jan","Feb","Mar","Apr","May","Jun","Jul","Aug","Sep","Oct","Nov","Dec"},0),LEFT(TRIM(Raw_Export!B2691),2)))))</f>
        <v/>
      </c>
      <c r="C2691" s="36" t="str">
        <f aca="false">IF(Raw_Export!$A2691="","",IFERROR(VLOOKUP(LOWER(TRIM(Raw_Export!C2691)),Maps!$A$2:$B$20,2,FALSE()),"UNMAPPED"))</f>
        <v/>
      </c>
      <c r="D2691" s="36" t="str">
        <f aca="false">IF(Raw_Export!$A2691="","",IFERROR(VLOOKUP(LOWER(TRIM(Raw_Export!D2691)),Maps!$G$2:$I$80,2,FALSE()),"UNMAPPED"))</f>
        <v/>
      </c>
      <c r="E2691" s="36" t="str">
        <f aca="false">IF(Raw_Export!$A2691="","",IFERROR(VLOOKUP(LOWER(TRIM(Raw_Export!D2691)),Maps!$G$2:$I$80,3,FALSE()),"UNMAPPED"))</f>
        <v/>
      </c>
      <c r="F2691" s="36" t="str">
        <f aca="false">IF(Raw_Export!$A2691="","",IFERROR(VALUE(TRIM(Raw_Export!E2691)),0))</f>
        <v/>
      </c>
      <c r="G2691" s="38" t="str">
        <f aca="false">IF(Raw_Export!$A2691="","",IFERROR(VALUE(SUBSTITUTE(SUBSTITUTE(UPPER(TRIM(Raw_Export!F2691)),"KES",""),",","")),0))</f>
        <v/>
      </c>
      <c r="H2691" s="38" t="str">
        <f aca="false">IF(Raw_Export!$A2691="","",F2691*G2691)</f>
        <v/>
      </c>
      <c r="I2691" s="36" t="str">
        <f aca="false">IF(Raw_Export!$A2691="","",IFERROR(VLOOKUP(LOWER(TRIM(Raw_Export!H2691)),Maps!$D$2:$E$12,2,FALSE()),"Other"))</f>
        <v/>
      </c>
      <c r="J2691" s="36" t="str">
        <f aca="false">IF(Raw_Export!$A2691="","",IF(COUNTIF($A$2:A2691,A2691)&gt;1,"Duplicate",""))</f>
        <v/>
      </c>
      <c r="K2691" s="36" t="str">
        <f aca="false">IF(Raw_Export!$A2691="","",IF(J2691="Duplicate","Duplicate",IF(OR(C2691="UNMAPPED",D2691="UNMAPPED"),"Unmapped",IF(F2691=0,"Blank qty",IF(F2691&lt;0,"Return","OK")))))</f>
        <v/>
      </c>
      <c r="L2691" s="36" t="str">
        <f aca="false">IF(Raw_Export!$A2691="","",IF(OR(K2691="OK",K2691="Return"),1,0))</f>
        <v/>
      </c>
      <c r="M2691" s="37" t="str">
        <f aca="false">IF(Raw_Export!$A2691="","",B2691-WEEKDAY(B2691,2)+1)</f>
        <v/>
      </c>
    </row>
    <row r="2692" customFormat="false" ht="15" hidden="false" customHeight="false" outlineLevel="0" collapsed="false">
      <c r="A2692" s="36" t="str">
        <f aca="false">IF(Raw_Export!$A2692="","",TRIM(Raw_Export!A2692))</f>
        <v/>
      </c>
      <c r="B2692" s="37" t="str">
        <f aca="false">IF(Raw_Export!$A2692="","",IF(ISNUMBER(Raw_Export!B2692),Raw_Export!B2692,IF(MID(TRIM(Raw_Export!B2692),5,1)="-",DATE(LEFT(TRIM(Raw_Export!B2692),4),MID(TRIM(Raw_Export!B2692),6,2),RIGHT(TRIM(Raw_Export!B2692),2)),DATE(RIGHT(TRIM(Raw_Export!B2692),4),MATCH(MID(TRIM(Raw_Export!B2692),4,3),{"Jan","Feb","Mar","Apr","May","Jun","Jul","Aug","Sep","Oct","Nov","Dec"},0),LEFT(TRIM(Raw_Export!B2692),2)))))</f>
        <v/>
      </c>
      <c r="C2692" s="36" t="str">
        <f aca="false">IF(Raw_Export!$A2692="","",IFERROR(VLOOKUP(LOWER(TRIM(Raw_Export!C2692)),Maps!$A$2:$B$20,2,FALSE()),"UNMAPPED"))</f>
        <v/>
      </c>
      <c r="D2692" s="36" t="str">
        <f aca="false">IF(Raw_Export!$A2692="","",IFERROR(VLOOKUP(LOWER(TRIM(Raw_Export!D2692)),Maps!$G$2:$I$80,2,FALSE()),"UNMAPPED"))</f>
        <v/>
      </c>
      <c r="E2692" s="36" t="str">
        <f aca="false">IF(Raw_Export!$A2692="","",IFERROR(VLOOKUP(LOWER(TRIM(Raw_Export!D2692)),Maps!$G$2:$I$80,3,FALSE()),"UNMAPPED"))</f>
        <v/>
      </c>
      <c r="F2692" s="36" t="str">
        <f aca="false">IF(Raw_Export!$A2692="","",IFERROR(VALUE(TRIM(Raw_Export!E2692)),0))</f>
        <v/>
      </c>
      <c r="G2692" s="38" t="str">
        <f aca="false">IF(Raw_Export!$A2692="","",IFERROR(VALUE(SUBSTITUTE(SUBSTITUTE(UPPER(TRIM(Raw_Export!F2692)),"KES",""),",","")),0))</f>
        <v/>
      </c>
      <c r="H2692" s="38" t="str">
        <f aca="false">IF(Raw_Export!$A2692="","",F2692*G2692)</f>
        <v/>
      </c>
      <c r="I2692" s="36" t="str">
        <f aca="false">IF(Raw_Export!$A2692="","",IFERROR(VLOOKUP(LOWER(TRIM(Raw_Export!H2692)),Maps!$D$2:$E$12,2,FALSE()),"Other"))</f>
        <v/>
      </c>
      <c r="J2692" s="36" t="str">
        <f aca="false">IF(Raw_Export!$A2692="","",IF(COUNTIF($A$2:A2692,A2692)&gt;1,"Duplicate",""))</f>
        <v/>
      </c>
      <c r="K2692" s="36" t="str">
        <f aca="false">IF(Raw_Export!$A2692="","",IF(J2692="Duplicate","Duplicate",IF(OR(C2692="UNMAPPED",D2692="UNMAPPED"),"Unmapped",IF(F2692=0,"Blank qty",IF(F2692&lt;0,"Return","OK")))))</f>
        <v/>
      </c>
      <c r="L2692" s="36" t="str">
        <f aca="false">IF(Raw_Export!$A2692="","",IF(OR(K2692="OK",K2692="Return"),1,0))</f>
        <v/>
      </c>
      <c r="M2692" s="37" t="str">
        <f aca="false">IF(Raw_Export!$A2692="","",B2692-WEEKDAY(B2692,2)+1)</f>
        <v/>
      </c>
    </row>
    <row r="2693" customFormat="false" ht="15" hidden="false" customHeight="false" outlineLevel="0" collapsed="false">
      <c r="A2693" s="36" t="str">
        <f aca="false">IF(Raw_Export!$A2693="","",TRIM(Raw_Export!A2693))</f>
        <v/>
      </c>
      <c r="B2693" s="37" t="str">
        <f aca="false">IF(Raw_Export!$A2693="","",IF(ISNUMBER(Raw_Export!B2693),Raw_Export!B2693,IF(MID(TRIM(Raw_Export!B2693),5,1)="-",DATE(LEFT(TRIM(Raw_Export!B2693),4),MID(TRIM(Raw_Export!B2693),6,2),RIGHT(TRIM(Raw_Export!B2693),2)),DATE(RIGHT(TRIM(Raw_Export!B2693),4),MATCH(MID(TRIM(Raw_Export!B2693),4,3),{"Jan","Feb","Mar","Apr","May","Jun","Jul","Aug","Sep","Oct","Nov","Dec"},0),LEFT(TRIM(Raw_Export!B2693),2)))))</f>
        <v/>
      </c>
      <c r="C2693" s="36" t="str">
        <f aca="false">IF(Raw_Export!$A2693="","",IFERROR(VLOOKUP(LOWER(TRIM(Raw_Export!C2693)),Maps!$A$2:$B$20,2,FALSE()),"UNMAPPED"))</f>
        <v/>
      </c>
      <c r="D2693" s="36" t="str">
        <f aca="false">IF(Raw_Export!$A2693="","",IFERROR(VLOOKUP(LOWER(TRIM(Raw_Export!D2693)),Maps!$G$2:$I$80,2,FALSE()),"UNMAPPED"))</f>
        <v/>
      </c>
      <c r="E2693" s="36" t="str">
        <f aca="false">IF(Raw_Export!$A2693="","",IFERROR(VLOOKUP(LOWER(TRIM(Raw_Export!D2693)),Maps!$G$2:$I$80,3,FALSE()),"UNMAPPED"))</f>
        <v/>
      </c>
      <c r="F2693" s="36" t="str">
        <f aca="false">IF(Raw_Export!$A2693="","",IFERROR(VALUE(TRIM(Raw_Export!E2693)),0))</f>
        <v/>
      </c>
      <c r="G2693" s="38" t="str">
        <f aca="false">IF(Raw_Export!$A2693="","",IFERROR(VALUE(SUBSTITUTE(SUBSTITUTE(UPPER(TRIM(Raw_Export!F2693)),"KES",""),",","")),0))</f>
        <v/>
      </c>
      <c r="H2693" s="38" t="str">
        <f aca="false">IF(Raw_Export!$A2693="","",F2693*G2693)</f>
        <v/>
      </c>
      <c r="I2693" s="36" t="str">
        <f aca="false">IF(Raw_Export!$A2693="","",IFERROR(VLOOKUP(LOWER(TRIM(Raw_Export!H2693)),Maps!$D$2:$E$12,2,FALSE()),"Other"))</f>
        <v/>
      </c>
      <c r="J2693" s="36" t="str">
        <f aca="false">IF(Raw_Export!$A2693="","",IF(COUNTIF($A$2:A2693,A2693)&gt;1,"Duplicate",""))</f>
        <v/>
      </c>
      <c r="K2693" s="36" t="str">
        <f aca="false">IF(Raw_Export!$A2693="","",IF(J2693="Duplicate","Duplicate",IF(OR(C2693="UNMAPPED",D2693="UNMAPPED"),"Unmapped",IF(F2693=0,"Blank qty",IF(F2693&lt;0,"Return","OK")))))</f>
        <v/>
      </c>
      <c r="L2693" s="36" t="str">
        <f aca="false">IF(Raw_Export!$A2693="","",IF(OR(K2693="OK",K2693="Return"),1,0))</f>
        <v/>
      </c>
      <c r="M2693" s="37" t="str">
        <f aca="false">IF(Raw_Export!$A2693="","",B2693-WEEKDAY(B2693,2)+1)</f>
        <v/>
      </c>
    </row>
    <row r="2694" customFormat="false" ht="15" hidden="false" customHeight="false" outlineLevel="0" collapsed="false">
      <c r="A2694" s="36" t="str">
        <f aca="false">IF(Raw_Export!$A2694="","",TRIM(Raw_Export!A2694))</f>
        <v/>
      </c>
      <c r="B2694" s="37" t="str">
        <f aca="false">IF(Raw_Export!$A2694="","",IF(ISNUMBER(Raw_Export!B2694),Raw_Export!B2694,IF(MID(TRIM(Raw_Export!B2694),5,1)="-",DATE(LEFT(TRIM(Raw_Export!B2694),4),MID(TRIM(Raw_Export!B2694),6,2),RIGHT(TRIM(Raw_Export!B2694),2)),DATE(RIGHT(TRIM(Raw_Export!B2694),4),MATCH(MID(TRIM(Raw_Export!B2694),4,3),{"Jan","Feb","Mar","Apr","May","Jun","Jul","Aug","Sep","Oct","Nov","Dec"},0),LEFT(TRIM(Raw_Export!B2694),2)))))</f>
        <v/>
      </c>
      <c r="C2694" s="36" t="str">
        <f aca="false">IF(Raw_Export!$A2694="","",IFERROR(VLOOKUP(LOWER(TRIM(Raw_Export!C2694)),Maps!$A$2:$B$20,2,FALSE()),"UNMAPPED"))</f>
        <v/>
      </c>
      <c r="D2694" s="36" t="str">
        <f aca="false">IF(Raw_Export!$A2694="","",IFERROR(VLOOKUP(LOWER(TRIM(Raw_Export!D2694)),Maps!$G$2:$I$80,2,FALSE()),"UNMAPPED"))</f>
        <v/>
      </c>
      <c r="E2694" s="36" t="str">
        <f aca="false">IF(Raw_Export!$A2694="","",IFERROR(VLOOKUP(LOWER(TRIM(Raw_Export!D2694)),Maps!$G$2:$I$80,3,FALSE()),"UNMAPPED"))</f>
        <v/>
      </c>
      <c r="F2694" s="36" t="str">
        <f aca="false">IF(Raw_Export!$A2694="","",IFERROR(VALUE(TRIM(Raw_Export!E2694)),0))</f>
        <v/>
      </c>
      <c r="G2694" s="38" t="str">
        <f aca="false">IF(Raw_Export!$A2694="","",IFERROR(VALUE(SUBSTITUTE(SUBSTITUTE(UPPER(TRIM(Raw_Export!F2694)),"KES",""),",","")),0))</f>
        <v/>
      </c>
      <c r="H2694" s="38" t="str">
        <f aca="false">IF(Raw_Export!$A2694="","",F2694*G2694)</f>
        <v/>
      </c>
      <c r="I2694" s="36" t="str">
        <f aca="false">IF(Raw_Export!$A2694="","",IFERROR(VLOOKUP(LOWER(TRIM(Raw_Export!H2694)),Maps!$D$2:$E$12,2,FALSE()),"Other"))</f>
        <v/>
      </c>
      <c r="J2694" s="36" t="str">
        <f aca="false">IF(Raw_Export!$A2694="","",IF(COUNTIF($A$2:A2694,A2694)&gt;1,"Duplicate",""))</f>
        <v/>
      </c>
      <c r="K2694" s="36" t="str">
        <f aca="false">IF(Raw_Export!$A2694="","",IF(J2694="Duplicate","Duplicate",IF(OR(C2694="UNMAPPED",D2694="UNMAPPED"),"Unmapped",IF(F2694=0,"Blank qty",IF(F2694&lt;0,"Return","OK")))))</f>
        <v/>
      </c>
      <c r="L2694" s="36" t="str">
        <f aca="false">IF(Raw_Export!$A2694="","",IF(OR(K2694="OK",K2694="Return"),1,0))</f>
        <v/>
      </c>
      <c r="M2694" s="37" t="str">
        <f aca="false">IF(Raw_Export!$A2694="","",B2694-WEEKDAY(B2694,2)+1)</f>
        <v/>
      </c>
    </row>
    <row r="2695" customFormat="false" ht="15" hidden="false" customHeight="false" outlineLevel="0" collapsed="false">
      <c r="A2695" s="36" t="str">
        <f aca="false">IF(Raw_Export!$A2695="","",TRIM(Raw_Export!A2695))</f>
        <v/>
      </c>
      <c r="B2695" s="37" t="str">
        <f aca="false">IF(Raw_Export!$A2695="","",IF(ISNUMBER(Raw_Export!B2695),Raw_Export!B2695,IF(MID(TRIM(Raw_Export!B2695),5,1)="-",DATE(LEFT(TRIM(Raw_Export!B2695),4),MID(TRIM(Raw_Export!B2695),6,2),RIGHT(TRIM(Raw_Export!B2695),2)),DATE(RIGHT(TRIM(Raw_Export!B2695),4),MATCH(MID(TRIM(Raw_Export!B2695),4,3),{"Jan","Feb","Mar","Apr","May","Jun","Jul","Aug","Sep","Oct","Nov","Dec"},0),LEFT(TRIM(Raw_Export!B2695),2)))))</f>
        <v/>
      </c>
      <c r="C2695" s="36" t="str">
        <f aca="false">IF(Raw_Export!$A2695="","",IFERROR(VLOOKUP(LOWER(TRIM(Raw_Export!C2695)),Maps!$A$2:$B$20,2,FALSE()),"UNMAPPED"))</f>
        <v/>
      </c>
      <c r="D2695" s="36" t="str">
        <f aca="false">IF(Raw_Export!$A2695="","",IFERROR(VLOOKUP(LOWER(TRIM(Raw_Export!D2695)),Maps!$G$2:$I$80,2,FALSE()),"UNMAPPED"))</f>
        <v/>
      </c>
      <c r="E2695" s="36" t="str">
        <f aca="false">IF(Raw_Export!$A2695="","",IFERROR(VLOOKUP(LOWER(TRIM(Raw_Export!D2695)),Maps!$G$2:$I$80,3,FALSE()),"UNMAPPED"))</f>
        <v/>
      </c>
      <c r="F2695" s="36" t="str">
        <f aca="false">IF(Raw_Export!$A2695="","",IFERROR(VALUE(TRIM(Raw_Export!E2695)),0))</f>
        <v/>
      </c>
      <c r="G2695" s="38" t="str">
        <f aca="false">IF(Raw_Export!$A2695="","",IFERROR(VALUE(SUBSTITUTE(SUBSTITUTE(UPPER(TRIM(Raw_Export!F2695)),"KES",""),",","")),0))</f>
        <v/>
      </c>
      <c r="H2695" s="38" t="str">
        <f aca="false">IF(Raw_Export!$A2695="","",F2695*G2695)</f>
        <v/>
      </c>
      <c r="I2695" s="36" t="str">
        <f aca="false">IF(Raw_Export!$A2695="","",IFERROR(VLOOKUP(LOWER(TRIM(Raw_Export!H2695)),Maps!$D$2:$E$12,2,FALSE()),"Other"))</f>
        <v/>
      </c>
      <c r="J2695" s="36" t="str">
        <f aca="false">IF(Raw_Export!$A2695="","",IF(COUNTIF($A$2:A2695,A2695)&gt;1,"Duplicate",""))</f>
        <v/>
      </c>
      <c r="K2695" s="36" t="str">
        <f aca="false">IF(Raw_Export!$A2695="","",IF(J2695="Duplicate","Duplicate",IF(OR(C2695="UNMAPPED",D2695="UNMAPPED"),"Unmapped",IF(F2695=0,"Blank qty",IF(F2695&lt;0,"Return","OK")))))</f>
        <v/>
      </c>
      <c r="L2695" s="36" t="str">
        <f aca="false">IF(Raw_Export!$A2695="","",IF(OR(K2695="OK",K2695="Return"),1,0))</f>
        <v/>
      </c>
      <c r="M2695" s="37" t="str">
        <f aca="false">IF(Raw_Export!$A2695="","",B2695-WEEKDAY(B2695,2)+1)</f>
        <v/>
      </c>
    </row>
    <row r="2696" customFormat="false" ht="15" hidden="false" customHeight="false" outlineLevel="0" collapsed="false">
      <c r="A2696" s="36" t="str">
        <f aca="false">IF(Raw_Export!$A2696="","",TRIM(Raw_Export!A2696))</f>
        <v/>
      </c>
      <c r="B2696" s="37" t="str">
        <f aca="false">IF(Raw_Export!$A2696="","",IF(ISNUMBER(Raw_Export!B2696),Raw_Export!B2696,IF(MID(TRIM(Raw_Export!B2696),5,1)="-",DATE(LEFT(TRIM(Raw_Export!B2696),4),MID(TRIM(Raw_Export!B2696),6,2),RIGHT(TRIM(Raw_Export!B2696),2)),DATE(RIGHT(TRIM(Raw_Export!B2696),4),MATCH(MID(TRIM(Raw_Export!B2696),4,3),{"Jan","Feb","Mar","Apr","May","Jun","Jul","Aug","Sep","Oct","Nov","Dec"},0),LEFT(TRIM(Raw_Export!B2696),2)))))</f>
        <v/>
      </c>
      <c r="C2696" s="36" t="str">
        <f aca="false">IF(Raw_Export!$A2696="","",IFERROR(VLOOKUP(LOWER(TRIM(Raw_Export!C2696)),Maps!$A$2:$B$20,2,FALSE()),"UNMAPPED"))</f>
        <v/>
      </c>
      <c r="D2696" s="36" t="str">
        <f aca="false">IF(Raw_Export!$A2696="","",IFERROR(VLOOKUP(LOWER(TRIM(Raw_Export!D2696)),Maps!$G$2:$I$80,2,FALSE()),"UNMAPPED"))</f>
        <v/>
      </c>
      <c r="E2696" s="36" t="str">
        <f aca="false">IF(Raw_Export!$A2696="","",IFERROR(VLOOKUP(LOWER(TRIM(Raw_Export!D2696)),Maps!$G$2:$I$80,3,FALSE()),"UNMAPPED"))</f>
        <v/>
      </c>
      <c r="F2696" s="36" t="str">
        <f aca="false">IF(Raw_Export!$A2696="","",IFERROR(VALUE(TRIM(Raw_Export!E2696)),0))</f>
        <v/>
      </c>
      <c r="G2696" s="38" t="str">
        <f aca="false">IF(Raw_Export!$A2696="","",IFERROR(VALUE(SUBSTITUTE(SUBSTITUTE(UPPER(TRIM(Raw_Export!F2696)),"KES",""),",","")),0))</f>
        <v/>
      </c>
      <c r="H2696" s="38" t="str">
        <f aca="false">IF(Raw_Export!$A2696="","",F2696*G2696)</f>
        <v/>
      </c>
      <c r="I2696" s="36" t="str">
        <f aca="false">IF(Raw_Export!$A2696="","",IFERROR(VLOOKUP(LOWER(TRIM(Raw_Export!H2696)),Maps!$D$2:$E$12,2,FALSE()),"Other"))</f>
        <v/>
      </c>
      <c r="J2696" s="36" t="str">
        <f aca="false">IF(Raw_Export!$A2696="","",IF(COUNTIF($A$2:A2696,A2696)&gt;1,"Duplicate",""))</f>
        <v/>
      </c>
      <c r="K2696" s="36" t="str">
        <f aca="false">IF(Raw_Export!$A2696="","",IF(J2696="Duplicate","Duplicate",IF(OR(C2696="UNMAPPED",D2696="UNMAPPED"),"Unmapped",IF(F2696=0,"Blank qty",IF(F2696&lt;0,"Return","OK")))))</f>
        <v/>
      </c>
      <c r="L2696" s="36" t="str">
        <f aca="false">IF(Raw_Export!$A2696="","",IF(OR(K2696="OK",K2696="Return"),1,0))</f>
        <v/>
      </c>
      <c r="M2696" s="37" t="str">
        <f aca="false">IF(Raw_Export!$A2696="","",B2696-WEEKDAY(B2696,2)+1)</f>
        <v/>
      </c>
    </row>
    <row r="2697" customFormat="false" ht="15" hidden="false" customHeight="false" outlineLevel="0" collapsed="false">
      <c r="A2697" s="36" t="str">
        <f aca="false">IF(Raw_Export!$A2697="","",TRIM(Raw_Export!A2697))</f>
        <v/>
      </c>
      <c r="B2697" s="37" t="str">
        <f aca="false">IF(Raw_Export!$A2697="","",IF(ISNUMBER(Raw_Export!B2697),Raw_Export!B2697,IF(MID(TRIM(Raw_Export!B2697),5,1)="-",DATE(LEFT(TRIM(Raw_Export!B2697),4),MID(TRIM(Raw_Export!B2697),6,2),RIGHT(TRIM(Raw_Export!B2697),2)),DATE(RIGHT(TRIM(Raw_Export!B2697),4),MATCH(MID(TRIM(Raw_Export!B2697),4,3),{"Jan","Feb","Mar","Apr","May","Jun","Jul","Aug","Sep","Oct","Nov","Dec"},0),LEFT(TRIM(Raw_Export!B2697),2)))))</f>
        <v/>
      </c>
      <c r="C2697" s="36" t="str">
        <f aca="false">IF(Raw_Export!$A2697="","",IFERROR(VLOOKUP(LOWER(TRIM(Raw_Export!C2697)),Maps!$A$2:$B$20,2,FALSE()),"UNMAPPED"))</f>
        <v/>
      </c>
      <c r="D2697" s="36" t="str">
        <f aca="false">IF(Raw_Export!$A2697="","",IFERROR(VLOOKUP(LOWER(TRIM(Raw_Export!D2697)),Maps!$G$2:$I$80,2,FALSE()),"UNMAPPED"))</f>
        <v/>
      </c>
      <c r="E2697" s="36" t="str">
        <f aca="false">IF(Raw_Export!$A2697="","",IFERROR(VLOOKUP(LOWER(TRIM(Raw_Export!D2697)),Maps!$G$2:$I$80,3,FALSE()),"UNMAPPED"))</f>
        <v/>
      </c>
      <c r="F2697" s="36" t="str">
        <f aca="false">IF(Raw_Export!$A2697="","",IFERROR(VALUE(TRIM(Raw_Export!E2697)),0))</f>
        <v/>
      </c>
      <c r="G2697" s="38" t="str">
        <f aca="false">IF(Raw_Export!$A2697="","",IFERROR(VALUE(SUBSTITUTE(SUBSTITUTE(UPPER(TRIM(Raw_Export!F2697)),"KES",""),",","")),0))</f>
        <v/>
      </c>
      <c r="H2697" s="38" t="str">
        <f aca="false">IF(Raw_Export!$A2697="","",F2697*G2697)</f>
        <v/>
      </c>
      <c r="I2697" s="36" t="str">
        <f aca="false">IF(Raw_Export!$A2697="","",IFERROR(VLOOKUP(LOWER(TRIM(Raw_Export!H2697)),Maps!$D$2:$E$12,2,FALSE()),"Other"))</f>
        <v/>
      </c>
      <c r="J2697" s="36" t="str">
        <f aca="false">IF(Raw_Export!$A2697="","",IF(COUNTIF($A$2:A2697,A2697)&gt;1,"Duplicate",""))</f>
        <v/>
      </c>
      <c r="K2697" s="36" t="str">
        <f aca="false">IF(Raw_Export!$A2697="","",IF(J2697="Duplicate","Duplicate",IF(OR(C2697="UNMAPPED",D2697="UNMAPPED"),"Unmapped",IF(F2697=0,"Blank qty",IF(F2697&lt;0,"Return","OK")))))</f>
        <v/>
      </c>
      <c r="L2697" s="36" t="str">
        <f aca="false">IF(Raw_Export!$A2697="","",IF(OR(K2697="OK",K2697="Return"),1,0))</f>
        <v/>
      </c>
      <c r="M2697" s="37" t="str">
        <f aca="false">IF(Raw_Export!$A2697="","",B2697-WEEKDAY(B2697,2)+1)</f>
        <v/>
      </c>
    </row>
    <row r="2698" customFormat="false" ht="15" hidden="false" customHeight="false" outlineLevel="0" collapsed="false">
      <c r="A2698" s="36" t="str">
        <f aca="false">IF(Raw_Export!$A2698="","",TRIM(Raw_Export!A2698))</f>
        <v/>
      </c>
      <c r="B2698" s="37" t="str">
        <f aca="false">IF(Raw_Export!$A2698="","",IF(ISNUMBER(Raw_Export!B2698),Raw_Export!B2698,IF(MID(TRIM(Raw_Export!B2698),5,1)="-",DATE(LEFT(TRIM(Raw_Export!B2698),4),MID(TRIM(Raw_Export!B2698),6,2),RIGHT(TRIM(Raw_Export!B2698),2)),DATE(RIGHT(TRIM(Raw_Export!B2698),4),MATCH(MID(TRIM(Raw_Export!B2698),4,3),{"Jan","Feb","Mar","Apr","May","Jun","Jul","Aug","Sep","Oct","Nov","Dec"},0),LEFT(TRIM(Raw_Export!B2698),2)))))</f>
        <v/>
      </c>
      <c r="C2698" s="36" t="str">
        <f aca="false">IF(Raw_Export!$A2698="","",IFERROR(VLOOKUP(LOWER(TRIM(Raw_Export!C2698)),Maps!$A$2:$B$20,2,FALSE()),"UNMAPPED"))</f>
        <v/>
      </c>
      <c r="D2698" s="36" t="str">
        <f aca="false">IF(Raw_Export!$A2698="","",IFERROR(VLOOKUP(LOWER(TRIM(Raw_Export!D2698)),Maps!$G$2:$I$80,2,FALSE()),"UNMAPPED"))</f>
        <v/>
      </c>
      <c r="E2698" s="36" t="str">
        <f aca="false">IF(Raw_Export!$A2698="","",IFERROR(VLOOKUP(LOWER(TRIM(Raw_Export!D2698)),Maps!$G$2:$I$80,3,FALSE()),"UNMAPPED"))</f>
        <v/>
      </c>
      <c r="F2698" s="36" t="str">
        <f aca="false">IF(Raw_Export!$A2698="","",IFERROR(VALUE(TRIM(Raw_Export!E2698)),0))</f>
        <v/>
      </c>
      <c r="G2698" s="38" t="str">
        <f aca="false">IF(Raw_Export!$A2698="","",IFERROR(VALUE(SUBSTITUTE(SUBSTITUTE(UPPER(TRIM(Raw_Export!F2698)),"KES",""),",","")),0))</f>
        <v/>
      </c>
      <c r="H2698" s="38" t="str">
        <f aca="false">IF(Raw_Export!$A2698="","",F2698*G2698)</f>
        <v/>
      </c>
      <c r="I2698" s="36" t="str">
        <f aca="false">IF(Raw_Export!$A2698="","",IFERROR(VLOOKUP(LOWER(TRIM(Raw_Export!H2698)),Maps!$D$2:$E$12,2,FALSE()),"Other"))</f>
        <v/>
      </c>
      <c r="J2698" s="36" t="str">
        <f aca="false">IF(Raw_Export!$A2698="","",IF(COUNTIF($A$2:A2698,A2698)&gt;1,"Duplicate",""))</f>
        <v/>
      </c>
      <c r="K2698" s="36" t="str">
        <f aca="false">IF(Raw_Export!$A2698="","",IF(J2698="Duplicate","Duplicate",IF(OR(C2698="UNMAPPED",D2698="UNMAPPED"),"Unmapped",IF(F2698=0,"Blank qty",IF(F2698&lt;0,"Return","OK")))))</f>
        <v/>
      </c>
      <c r="L2698" s="36" t="str">
        <f aca="false">IF(Raw_Export!$A2698="","",IF(OR(K2698="OK",K2698="Return"),1,0))</f>
        <v/>
      </c>
      <c r="M2698" s="37" t="str">
        <f aca="false">IF(Raw_Export!$A2698="","",B2698-WEEKDAY(B2698,2)+1)</f>
        <v/>
      </c>
    </row>
    <row r="2699" customFormat="false" ht="15" hidden="false" customHeight="false" outlineLevel="0" collapsed="false">
      <c r="A2699" s="36" t="str">
        <f aca="false">IF(Raw_Export!$A2699="","",TRIM(Raw_Export!A2699))</f>
        <v/>
      </c>
      <c r="B2699" s="37" t="str">
        <f aca="false">IF(Raw_Export!$A2699="","",IF(ISNUMBER(Raw_Export!B2699),Raw_Export!B2699,IF(MID(TRIM(Raw_Export!B2699),5,1)="-",DATE(LEFT(TRIM(Raw_Export!B2699),4),MID(TRIM(Raw_Export!B2699),6,2),RIGHT(TRIM(Raw_Export!B2699),2)),DATE(RIGHT(TRIM(Raw_Export!B2699),4),MATCH(MID(TRIM(Raw_Export!B2699),4,3),{"Jan","Feb","Mar","Apr","May","Jun","Jul","Aug","Sep","Oct","Nov","Dec"},0),LEFT(TRIM(Raw_Export!B2699),2)))))</f>
        <v/>
      </c>
      <c r="C2699" s="36" t="str">
        <f aca="false">IF(Raw_Export!$A2699="","",IFERROR(VLOOKUP(LOWER(TRIM(Raw_Export!C2699)),Maps!$A$2:$B$20,2,FALSE()),"UNMAPPED"))</f>
        <v/>
      </c>
      <c r="D2699" s="36" t="str">
        <f aca="false">IF(Raw_Export!$A2699="","",IFERROR(VLOOKUP(LOWER(TRIM(Raw_Export!D2699)),Maps!$G$2:$I$80,2,FALSE()),"UNMAPPED"))</f>
        <v/>
      </c>
      <c r="E2699" s="36" t="str">
        <f aca="false">IF(Raw_Export!$A2699="","",IFERROR(VLOOKUP(LOWER(TRIM(Raw_Export!D2699)),Maps!$G$2:$I$80,3,FALSE()),"UNMAPPED"))</f>
        <v/>
      </c>
      <c r="F2699" s="36" t="str">
        <f aca="false">IF(Raw_Export!$A2699="","",IFERROR(VALUE(TRIM(Raw_Export!E2699)),0))</f>
        <v/>
      </c>
      <c r="G2699" s="38" t="str">
        <f aca="false">IF(Raw_Export!$A2699="","",IFERROR(VALUE(SUBSTITUTE(SUBSTITUTE(UPPER(TRIM(Raw_Export!F2699)),"KES",""),",","")),0))</f>
        <v/>
      </c>
      <c r="H2699" s="38" t="str">
        <f aca="false">IF(Raw_Export!$A2699="","",F2699*G2699)</f>
        <v/>
      </c>
      <c r="I2699" s="36" t="str">
        <f aca="false">IF(Raw_Export!$A2699="","",IFERROR(VLOOKUP(LOWER(TRIM(Raw_Export!H2699)),Maps!$D$2:$E$12,2,FALSE()),"Other"))</f>
        <v/>
      </c>
      <c r="J2699" s="36" t="str">
        <f aca="false">IF(Raw_Export!$A2699="","",IF(COUNTIF($A$2:A2699,A2699)&gt;1,"Duplicate",""))</f>
        <v/>
      </c>
      <c r="K2699" s="36" t="str">
        <f aca="false">IF(Raw_Export!$A2699="","",IF(J2699="Duplicate","Duplicate",IF(OR(C2699="UNMAPPED",D2699="UNMAPPED"),"Unmapped",IF(F2699=0,"Blank qty",IF(F2699&lt;0,"Return","OK")))))</f>
        <v/>
      </c>
      <c r="L2699" s="36" t="str">
        <f aca="false">IF(Raw_Export!$A2699="","",IF(OR(K2699="OK",K2699="Return"),1,0))</f>
        <v/>
      </c>
      <c r="M2699" s="37" t="str">
        <f aca="false">IF(Raw_Export!$A2699="","",B2699-WEEKDAY(B2699,2)+1)</f>
        <v/>
      </c>
    </row>
    <row r="2700" customFormat="false" ht="15" hidden="false" customHeight="false" outlineLevel="0" collapsed="false">
      <c r="A2700" s="36" t="str">
        <f aca="false">IF(Raw_Export!$A2700="","",TRIM(Raw_Export!A2700))</f>
        <v/>
      </c>
      <c r="B2700" s="37" t="str">
        <f aca="false">IF(Raw_Export!$A2700="","",IF(ISNUMBER(Raw_Export!B2700),Raw_Export!B2700,IF(MID(TRIM(Raw_Export!B2700),5,1)="-",DATE(LEFT(TRIM(Raw_Export!B2700),4),MID(TRIM(Raw_Export!B2700),6,2),RIGHT(TRIM(Raw_Export!B2700),2)),DATE(RIGHT(TRIM(Raw_Export!B2700),4),MATCH(MID(TRIM(Raw_Export!B2700),4,3),{"Jan","Feb","Mar","Apr","May","Jun","Jul","Aug","Sep","Oct","Nov","Dec"},0),LEFT(TRIM(Raw_Export!B2700),2)))))</f>
        <v/>
      </c>
      <c r="C2700" s="36" t="str">
        <f aca="false">IF(Raw_Export!$A2700="","",IFERROR(VLOOKUP(LOWER(TRIM(Raw_Export!C2700)),Maps!$A$2:$B$20,2,FALSE()),"UNMAPPED"))</f>
        <v/>
      </c>
      <c r="D2700" s="36" t="str">
        <f aca="false">IF(Raw_Export!$A2700="","",IFERROR(VLOOKUP(LOWER(TRIM(Raw_Export!D2700)),Maps!$G$2:$I$80,2,FALSE()),"UNMAPPED"))</f>
        <v/>
      </c>
      <c r="E2700" s="36" t="str">
        <f aca="false">IF(Raw_Export!$A2700="","",IFERROR(VLOOKUP(LOWER(TRIM(Raw_Export!D2700)),Maps!$G$2:$I$80,3,FALSE()),"UNMAPPED"))</f>
        <v/>
      </c>
      <c r="F2700" s="36" t="str">
        <f aca="false">IF(Raw_Export!$A2700="","",IFERROR(VALUE(TRIM(Raw_Export!E2700)),0))</f>
        <v/>
      </c>
      <c r="G2700" s="38" t="str">
        <f aca="false">IF(Raw_Export!$A2700="","",IFERROR(VALUE(SUBSTITUTE(SUBSTITUTE(UPPER(TRIM(Raw_Export!F2700)),"KES",""),",","")),0))</f>
        <v/>
      </c>
      <c r="H2700" s="38" t="str">
        <f aca="false">IF(Raw_Export!$A2700="","",F2700*G2700)</f>
        <v/>
      </c>
      <c r="I2700" s="36" t="str">
        <f aca="false">IF(Raw_Export!$A2700="","",IFERROR(VLOOKUP(LOWER(TRIM(Raw_Export!H2700)),Maps!$D$2:$E$12,2,FALSE()),"Other"))</f>
        <v/>
      </c>
      <c r="J2700" s="36" t="str">
        <f aca="false">IF(Raw_Export!$A2700="","",IF(COUNTIF($A$2:A2700,A2700)&gt;1,"Duplicate",""))</f>
        <v/>
      </c>
      <c r="K2700" s="36" t="str">
        <f aca="false">IF(Raw_Export!$A2700="","",IF(J2700="Duplicate","Duplicate",IF(OR(C2700="UNMAPPED",D2700="UNMAPPED"),"Unmapped",IF(F2700=0,"Blank qty",IF(F2700&lt;0,"Return","OK")))))</f>
        <v/>
      </c>
      <c r="L2700" s="36" t="str">
        <f aca="false">IF(Raw_Export!$A2700="","",IF(OR(K2700="OK",K2700="Return"),1,0))</f>
        <v/>
      </c>
      <c r="M2700" s="37" t="str">
        <f aca="false">IF(Raw_Export!$A2700="","",B2700-WEEKDAY(B2700,2)+1)</f>
        <v/>
      </c>
    </row>
    <row r="2701" customFormat="false" ht="15" hidden="false" customHeight="false" outlineLevel="0" collapsed="false">
      <c r="A2701" s="36" t="str">
        <f aca="false">IF(Raw_Export!$A2701="","",TRIM(Raw_Export!A2701))</f>
        <v/>
      </c>
      <c r="B2701" s="37" t="str">
        <f aca="false">IF(Raw_Export!$A2701="","",IF(ISNUMBER(Raw_Export!B2701),Raw_Export!B2701,IF(MID(TRIM(Raw_Export!B2701),5,1)="-",DATE(LEFT(TRIM(Raw_Export!B2701),4),MID(TRIM(Raw_Export!B2701),6,2),RIGHT(TRIM(Raw_Export!B2701),2)),DATE(RIGHT(TRIM(Raw_Export!B2701),4),MATCH(MID(TRIM(Raw_Export!B2701),4,3),{"Jan","Feb","Mar","Apr","May","Jun","Jul","Aug","Sep","Oct","Nov","Dec"},0),LEFT(TRIM(Raw_Export!B2701),2)))))</f>
        <v/>
      </c>
      <c r="C2701" s="36" t="str">
        <f aca="false">IF(Raw_Export!$A2701="","",IFERROR(VLOOKUP(LOWER(TRIM(Raw_Export!C2701)),Maps!$A$2:$B$20,2,FALSE()),"UNMAPPED"))</f>
        <v/>
      </c>
      <c r="D2701" s="36" t="str">
        <f aca="false">IF(Raw_Export!$A2701="","",IFERROR(VLOOKUP(LOWER(TRIM(Raw_Export!D2701)),Maps!$G$2:$I$80,2,FALSE()),"UNMAPPED"))</f>
        <v/>
      </c>
      <c r="E2701" s="36" t="str">
        <f aca="false">IF(Raw_Export!$A2701="","",IFERROR(VLOOKUP(LOWER(TRIM(Raw_Export!D2701)),Maps!$G$2:$I$80,3,FALSE()),"UNMAPPED"))</f>
        <v/>
      </c>
      <c r="F2701" s="36" t="str">
        <f aca="false">IF(Raw_Export!$A2701="","",IFERROR(VALUE(TRIM(Raw_Export!E2701)),0))</f>
        <v/>
      </c>
      <c r="G2701" s="38" t="str">
        <f aca="false">IF(Raw_Export!$A2701="","",IFERROR(VALUE(SUBSTITUTE(SUBSTITUTE(UPPER(TRIM(Raw_Export!F2701)),"KES",""),",","")),0))</f>
        <v/>
      </c>
      <c r="H2701" s="38" t="str">
        <f aca="false">IF(Raw_Export!$A2701="","",F2701*G2701)</f>
        <v/>
      </c>
      <c r="I2701" s="36" t="str">
        <f aca="false">IF(Raw_Export!$A2701="","",IFERROR(VLOOKUP(LOWER(TRIM(Raw_Export!H2701)),Maps!$D$2:$E$12,2,FALSE()),"Other"))</f>
        <v/>
      </c>
      <c r="J2701" s="36" t="str">
        <f aca="false">IF(Raw_Export!$A2701="","",IF(COUNTIF($A$2:A2701,A2701)&gt;1,"Duplicate",""))</f>
        <v/>
      </c>
      <c r="K2701" s="36" t="str">
        <f aca="false">IF(Raw_Export!$A2701="","",IF(J2701="Duplicate","Duplicate",IF(OR(C2701="UNMAPPED",D2701="UNMAPPED"),"Unmapped",IF(F2701=0,"Blank qty",IF(F2701&lt;0,"Return","OK")))))</f>
        <v/>
      </c>
      <c r="L2701" s="36" t="str">
        <f aca="false">IF(Raw_Export!$A2701="","",IF(OR(K2701="OK",K2701="Return"),1,0))</f>
        <v/>
      </c>
      <c r="M2701" s="37" t="str">
        <f aca="false">IF(Raw_Export!$A2701="","",B2701-WEEKDAY(B2701,2)+1)</f>
        <v/>
      </c>
    </row>
    <row r="2702" customFormat="false" ht="15" hidden="false" customHeight="false" outlineLevel="0" collapsed="false">
      <c r="A2702" s="36" t="str">
        <f aca="false">IF(Raw_Export!$A2702="","",TRIM(Raw_Export!A2702))</f>
        <v/>
      </c>
      <c r="B2702" s="37" t="str">
        <f aca="false">IF(Raw_Export!$A2702="","",IF(ISNUMBER(Raw_Export!B2702),Raw_Export!B2702,IF(MID(TRIM(Raw_Export!B2702),5,1)="-",DATE(LEFT(TRIM(Raw_Export!B2702),4),MID(TRIM(Raw_Export!B2702),6,2),RIGHT(TRIM(Raw_Export!B2702),2)),DATE(RIGHT(TRIM(Raw_Export!B2702),4),MATCH(MID(TRIM(Raw_Export!B2702),4,3),{"Jan","Feb","Mar","Apr","May","Jun","Jul","Aug","Sep","Oct","Nov","Dec"},0),LEFT(TRIM(Raw_Export!B2702),2)))))</f>
        <v/>
      </c>
      <c r="C2702" s="36" t="str">
        <f aca="false">IF(Raw_Export!$A2702="","",IFERROR(VLOOKUP(LOWER(TRIM(Raw_Export!C2702)),Maps!$A$2:$B$20,2,FALSE()),"UNMAPPED"))</f>
        <v/>
      </c>
      <c r="D2702" s="36" t="str">
        <f aca="false">IF(Raw_Export!$A2702="","",IFERROR(VLOOKUP(LOWER(TRIM(Raw_Export!D2702)),Maps!$G$2:$I$80,2,FALSE()),"UNMAPPED"))</f>
        <v/>
      </c>
      <c r="E2702" s="36" t="str">
        <f aca="false">IF(Raw_Export!$A2702="","",IFERROR(VLOOKUP(LOWER(TRIM(Raw_Export!D2702)),Maps!$G$2:$I$80,3,FALSE()),"UNMAPPED"))</f>
        <v/>
      </c>
      <c r="F2702" s="36" t="str">
        <f aca="false">IF(Raw_Export!$A2702="","",IFERROR(VALUE(TRIM(Raw_Export!E2702)),0))</f>
        <v/>
      </c>
      <c r="G2702" s="38" t="str">
        <f aca="false">IF(Raw_Export!$A2702="","",IFERROR(VALUE(SUBSTITUTE(SUBSTITUTE(UPPER(TRIM(Raw_Export!F2702)),"KES",""),",","")),0))</f>
        <v/>
      </c>
      <c r="H2702" s="38" t="str">
        <f aca="false">IF(Raw_Export!$A2702="","",F2702*G2702)</f>
        <v/>
      </c>
      <c r="I2702" s="36" t="str">
        <f aca="false">IF(Raw_Export!$A2702="","",IFERROR(VLOOKUP(LOWER(TRIM(Raw_Export!H2702)),Maps!$D$2:$E$12,2,FALSE()),"Other"))</f>
        <v/>
      </c>
      <c r="J2702" s="36" t="str">
        <f aca="false">IF(Raw_Export!$A2702="","",IF(COUNTIF($A$2:A2702,A2702)&gt;1,"Duplicate",""))</f>
        <v/>
      </c>
      <c r="K2702" s="36" t="str">
        <f aca="false">IF(Raw_Export!$A2702="","",IF(J2702="Duplicate","Duplicate",IF(OR(C2702="UNMAPPED",D2702="UNMAPPED"),"Unmapped",IF(F2702=0,"Blank qty",IF(F2702&lt;0,"Return","OK")))))</f>
        <v/>
      </c>
      <c r="L2702" s="36" t="str">
        <f aca="false">IF(Raw_Export!$A2702="","",IF(OR(K2702="OK",K2702="Return"),1,0))</f>
        <v/>
      </c>
      <c r="M2702" s="37" t="str">
        <f aca="false">IF(Raw_Export!$A2702="","",B2702-WEEKDAY(B2702,2)+1)</f>
        <v/>
      </c>
    </row>
    <row r="2703" customFormat="false" ht="15" hidden="false" customHeight="false" outlineLevel="0" collapsed="false">
      <c r="A2703" s="36" t="str">
        <f aca="false">IF(Raw_Export!$A2703="","",TRIM(Raw_Export!A2703))</f>
        <v/>
      </c>
      <c r="B2703" s="37" t="str">
        <f aca="false">IF(Raw_Export!$A2703="","",IF(ISNUMBER(Raw_Export!B2703),Raw_Export!B2703,IF(MID(TRIM(Raw_Export!B2703),5,1)="-",DATE(LEFT(TRIM(Raw_Export!B2703),4),MID(TRIM(Raw_Export!B2703),6,2),RIGHT(TRIM(Raw_Export!B2703),2)),DATE(RIGHT(TRIM(Raw_Export!B2703),4),MATCH(MID(TRIM(Raw_Export!B2703),4,3),{"Jan","Feb","Mar","Apr","May","Jun","Jul","Aug","Sep","Oct","Nov","Dec"},0),LEFT(TRIM(Raw_Export!B2703),2)))))</f>
        <v/>
      </c>
      <c r="C2703" s="36" t="str">
        <f aca="false">IF(Raw_Export!$A2703="","",IFERROR(VLOOKUP(LOWER(TRIM(Raw_Export!C2703)),Maps!$A$2:$B$20,2,FALSE()),"UNMAPPED"))</f>
        <v/>
      </c>
      <c r="D2703" s="36" t="str">
        <f aca="false">IF(Raw_Export!$A2703="","",IFERROR(VLOOKUP(LOWER(TRIM(Raw_Export!D2703)),Maps!$G$2:$I$80,2,FALSE()),"UNMAPPED"))</f>
        <v/>
      </c>
      <c r="E2703" s="36" t="str">
        <f aca="false">IF(Raw_Export!$A2703="","",IFERROR(VLOOKUP(LOWER(TRIM(Raw_Export!D2703)),Maps!$G$2:$I$80,3,FALSE()),"UNMAPPED"))</f>
        <v/>
      </c>
      <c r="F2703" s="36" t="str">
        <f aca="false">IF(Raw_Export!$A2703="","",IFERROR(VALUE(TRIM(Raw_Export!E2703)),0))</f>
        <v/>
      </c>
      <c r="G2703" s="38" t="str">
        <f aca="false">IF(Raw_Export!$A2703="","",IFERROR(VALUE(SUBSTITUTE(SUBSTITUTE(UPPER(TRIM(Raw_Export!F2703)),"KES",""),",","")),0))</f>
        <v/>
      </c>
      <c r="H2703" s="38" t="str">
        <f aca="false">IF(Raw_Export!$A2703="","",F2703*G2703)</f>
        <v/>
      </c>
      <c r="I2703" s="36" t="str">
        <f aca="false">IF(Raw_Export!$A2703="","",IFERROR(VLOOKUP(LOWER(TRIM(Raw_Export!H2703)),Maps!$D$2:$E$12,2,FALSE()),"Other"))</f>
        <v/>
      </c>
      <c r="J2703" s="36" t="str">
        <f aca="false">IF(Raw_Export!$A2703="","",IF(COUNTIF($A$2:A2703,A2703)&gt;1,"Duplicate",""))</f>
        <v/>
      </c>
      <c r="K2703" s="36" t="str">
        <f aca="false">IF(Raw_Export!$A2703="","",IF(J2703="Duplicate","Duplicate",IF(OR(C2703="UNMAPPED",D2703="UNMAPPED"),"Unmapped",IF(F2703=0,"Blank qty",IF(F2703&lt;0,"Return","OK")))))</f>
        <v/>
      </c>
      <c r="L2703" s="36" t="str">
        <f aca="false">IF(Raw_Export!$A2703="","",IF(OR(K2703="OK",K2703="Return"),1,0))</f>
        <v/>
      </c>
      <c r="M2703" s="37" t="str">
        <f aca="false">IF(Raw_Export!$A2703="","",B2703-WEEKDAY(B2703,2)+1)</f>
        <v/>
      </c>
    </row>
    <row r="2704" customFormat="false" ht="15" hidden="false" customHeight="false" outlineLevel="0" collapsed="false">
      <c r="A2704" s="36" t="str">
        <f aca="false">IF(Raw_Export!$A2704="","",TRIM(Raw_Export!A2704))</f>
        <v/>
      </c>
      <c r="B2704" s="37" t="str">
        <f aca="false">IF(Raw_Export!$A2704="","",IF(ISNUMBER(Raw_Export!B2704),Raw_Export!B2704,IF(MID(TRIM(Raw_Export!B2704),5,1)="-",DATE(LEFT(TRIM(Raw_Export!B2704),4),MID(TRIM(Raw_Export!B2704),6,2),RIGHT(TRIM(Raw_Export!B2704),2)),DATE(RIGHT(TRIM(Raw_Export!B2704),4),MATCH(MID(TRIM(Raw_Export!B2704),4,3),{"Jan","Feb","Mar","Apr","May","Jun","Jul","Aug","Sep","Oct","Nov","Dec"},0),LEFT(TRIM(Raw_Export!B2704),2)))))</f>
        <v/>
      </c>
      <c r="C2704" s="36" t="str">
        <f aca="false">IF(Raw_Export!$A2704="","",IFERROR(VLOOKUP(LOWER(TRIM(Raw_Export!C2704)),Maps!$A$2:$B$20,2,FALSE()),"UNMAPPED"))</f>
        <v/>
      </c>
      <c r="D2704" s="36" t="str">
        <f aca="false">IF(Raw_Export!$A2704="","",IFERROR(VLOOKUP(LOWER(TRIM(Raw_Export!D2704)),Maps!$G$2:$I$80,2,FALSE()),"UNMAPPED"))</f>
        <v/>
      </c>
      <c r="E2704" s="36" t="str">
        <f aca="false">IF(Raw_Export!$A2704="","",IFERROR(VLOOKUP(LOWER(TRIM(Raw_Export!D2704)),Maps!$G$2:$I$80,3,FALSE()),"UNMAPPED"))</f>
        <v/>
      </c>
      <c r="F2704" s="36" t="str">
        <f aca="false">IF(Raw_Export!$A2704="","",IFERROR(VALUE(TRIM(Raw_Export!E2704)),0))</f>
        <v/>
      </c>
      <c r="G2704" s="38" t="str">
        <f aca="false">IF(Raw_Export!$A2704="","",IFERROR(VALUE(SUBSTITUTE(SUBSTITUTE(UPPER(TRIM(Raw_Export!F2704)),"KES",""),",","")),0))</f>
        <v/>
      </c>
      <c r="H2704" s="38" t="str">
        <f aca="false">IF(Raw_Export!$A2704="","",F2704*G2704)</f>
        <v/>
      </c>
      <c r="I2704" s="36" t="str">
        <f aca="false">IF(Raw_Export!$A2704="","",IFERROR(VLOOKUP(LOWER(TRIM(Raw_Export!H2704)),Maps!$D$2:$E$12,2,FALSE()),"Other"))</f>
        <v/>
      </c>
      <c r="J2704" s="36" t="str">
        <f aca="false">IF(Raw_Export!$A2704="","",IF(COUNTIF($A$2:A2704,A2704)&gt;1,"Duplicate",""))</f>
        <v/>
      </c>
      <c r="K2704" s="36" t="str">
        <f aca="false">IF(Raw_Export!$A2704="","",IF(J2704="Duplicate","Duplicate",IF(OR(C2704="UNMAPPED",D2704="UNMAPPED"),"Unmapped",IF(F2704=0,"Blank qty",IF(F2704&lt;0,"Return","OK")))))</f>
        <v/>
      </c>
      <c r="L2704" s="36" t="str">
        <f aca="false">IF(Raw_Export!$A2704="","",IF(OR(K2704="OK",K2704="Return"),1,0))</f>
        <v/>
      </c>
      <c r="M2704" s="37" t="str">
        <f aca="false">IF(Raw_Export!$A2704="","",B2704-WEEKDAY(B2704,2)+1)</f>
        <v/>
      </c>
    </row>
    <row r="2705" customFormat="false" ht="15" hidden="false" customHeight="false" outlineLevel="0" collapsed="false">
      <c r="A2705" s="36" t="str">
        <f aca="false">IF(Raw_Export!$A2705="","",TRIM(Raw_Export!A2705))</f>
        <v/>
      </c>
      <c r="B2705" s="37" t="str">
        <f aca="false">IF(Raw_Export!$A2705="","",IF(ISNUMBER(Raw_Export!B2705),Raw_Export!B2705,IF(MID(TRIM(Raw_Export!B2705),5,1)="-",DATE(LEFT(TRIM(Raw_Export!B2705),4),MID(TRIM(Raw_Export!B2705),6,2),RIGHT(TRIM(Raw_Export!B2705),2)),DATE(RIGHT(TRIM(Raw_Export!B2705),4),MATCH(MID(TRIM(Raw_Export!B2705),4,3),{"Jan","Feb","Mar","Apr","May","Jun","Jul","Aug","Sep","Oct","Nov","Dec"},0),LEFT(TRIM(Raw_Export!B2705),2)))))</f>
        <v/>
      </c>
      <c r="C2705" s="36" t="str">
        <f aca="false">IF(Raw_Export!$A2705="","",IFERROR(VLOOKUP(LOWER(TRIM(Raw_Export!C2705)),Maps!$A$2:$B$20,2,FALSE()),"UNMAPPED"))</f>
        <v/>
      </c>
      <c r="D2705" s="36" t="str">
        <f aca="false">IF(Raw_Export!$A2705="","",IFERROR(VLOOKUP(LOWER(TRIM(Raw_Export!D2705)),Maps!$G$2:$I$80,2,FALSE()),"UNMAPPED"))</f>
        <v/>
      </c>
      <c r="E2705" s="36" t="str">
        <f aca="false">IF(Raw_Export!$A2705="","",IFERROR(VLOOKUP(LOWER(TRIM(Raw_Export!D2705)),Maps!$G$2:$I$80,3,FALSE()),"UNMAPPED"))</f>
        <v/>
      </c>
      <c r="F2705" s="36" t="str">
        <f aca="false">IF(Raw_Export!$A2705="","",IFERROR(VALUE(TRIM(Raw_Export!E2705)),0))</f>
        <v/>
      </c>
      <c r="G2705" s="38" t="str">
        <f aca="false">IF(Raw_Export!$A2705="","",IFERROR(VALUE(SUBSTITUTE(SUBSTITUTE(UPPER(TRIM(Raw_Export!F2705)),"KES",""),",","")),0))</f>
        <v/>
      </c>
      <c r="H2705" s="38" t="str">
        <f aca="false">IF(Raw_Export!$A2705="","",F2705*G2705)</f>
        <v/>
      </c>
      <c r="I2705" s="36" t="str">
        <f aca="false">IF(Raw_Export!$A2705="","",IFERROR(VLOOKUP(LOWER(TRIM(Raw_Export!H2705)),Maps!$D$2:$E$12,2,FALSE()),"Other"))</f>
        <v/>
      </c>
      <c r="J2705" s="36" t="str">
        <f aca="false">IF(Raw_Export!$A2705="","",IF(COUNTIF($A$2:A2705,A2705)&gt;1,"Duplicate",""))</f>
        <v/>
      </c>
      <c r="K2705" s="36" t="str">
        <f aca="false">IF(Raw_Export!$A2705="","",IF(J2705="Duplicate","Duplicate",IF(OR(C2705="UNMAPPED",D2705="UNMAPPED"),"Unmapped",IF(F2705=0,"Blank qty",IF(F2705&lt;0,"Return","OK")))))</f>
        <v/>
      </c>
      <c r="L2705" s="36" t="str">
        <f aca="false">IF(Raw_Export!$A2705="","",IF(OR(K2705="OK",K2705="Return"),1,0))</f>
        <v/>
      </c>
      <c r="M2705" s="37" t="str">
        <f aca="false">IF(Raw_Export!$A2705="","",B2705-WEEKDAY(B2705,2)+1)</f>
        <v/>
      </c>
    </row>
    <row r="2706" customFormat="false" ht="15" hidden="false" customHeight="false" outlineLevel="0" collapsed="false">
      <c r="A2706" s="36" t="str">
        <f aca="false">IF(Raw_Export!$A2706="","",TRIM(Raw_Export!A2706))</f>
        <v/>
      </c>
      <c r="B2706" s="37" t="str">
        <f aca="false">IF(Raw_Export!$A2706="","",IF(ISNUMBER(Raw_Export!B2706),Raw_Export!B2706,IF(MID(TRIM(Raw_Export!B2706),5,1)="-",DATE(LEFT(TRIM(Raw_Export!B2706),4),MID(TRIM(Raw_Export!B2706),6,2),RIGHT(TRIM(Raw_Export!B2706),2)),DATE(RIGHT(TRIM(Raw_Export!B2706),4),MATCH(MID(TRIM(Raw_Export!B2706),4,3),{"Jan","Feb","Mar","Apr","May","Jun","Jul","Aug","Sep","Oct","Nov","Dec"},0),LEFT(TRIM(Raw_Export!B2706),2)))))</f>
        <v/>
      </c>
      <c r="C2706" s="36" t="str">
        <f aca="false">IF(Raw_Export!$A2706="","",IFERROR(VLOOKUP(LOWER(TRIM(Raw_Export!C2706)),Maps!$A$2:$B$20,2,FALSE()),"UNMAPPED"))</f>
        <v/>
      </c>
      <c r="D2706" s="36" t="str">
        <f aca="false">IF(Raw_Export!$A2706="","",IFERROR(VLOOKUP(LOWER(TRIM(Raw_Export!D2706)),Maps!$G$2:$I$80,2,FALSE()),"UNMAPPED"))</f>
        <v/>
      </c>
      <c r="E2706" s="36" t="str">
        <f aca="false">IF(Raw_Export!$A2706="","",IFERROR(VLOOKUP(LOWER(TRIM(Raw_Export!D2706)),Maps!$G$2:$I$80,3,FALSE()),"UNMAPPED"))</f>
        <v/>
      </c>
      <c r="F2706" s="36" t="str">
        <f aca="false">IF(Raw_Export!$A2706="","",IFERROR(VALUE(TRIM(Raw_Export!E2706)),0))</f>
        <v/>
      </c>
      <c r="G2706" s="38" t="str">
        <f aca="false">IF(Raw_Export!$A2706="","",IFERROR(VALUE(SUBSTITUTE(SUBSTITUTE(UPPER(TRIM(Raw_Export!F2706)),"KES",""),",","")),0))</f>
        <v/>
      </c>
      <c r="H2706" s="38" t="str">
        <f aca="false">IF(Raw_Export!$A2706="","",F2706*G2706)</f>
        <v/>
      </c>
      <c r="I2706" s="36" t="str">
        <f aca="false">IF(Raw_Export!$A2706="","",IFERROR(VLOOKUP(LOWER(TRIM(Raw_Export!H2706)),Maps!$D$2:$E$12,2,FALSE()),"Other"))</f>
        <v/>
      </c>
      <c r="J2706" s="36" t="str">
        <f aca="false">IF(Raw_Export!$A2706="","",IF(COUNTIF($A$2:A2706,A2706)&gt;1,"Duplicate",""))</f>
        <v/>
      </c>
      <c r="K2706" s="36" t="str">
        <f aca="false">IF(Raw_Export!$A2706="","",IF(J2706="Duplicate","Duplicate",IF(OR(C2706="UNMAPPED",D2706="UNMAPPED"),"Unmapped",IF(F2706=0,"Blank qty",IF(F2706&lt;0,"Return","OK")))))</f>
        <v/>
      </c>
      <c r="L2706" s="36" t="str">
        <f aca="false">IF(Raw_Export!$A2706="","",IF(OR(K2706="OK",K2706="Return"),1,0))</f>
        <v/>
      </c>
      <c r="M2706" s="37" t="str">
        <f aca="false">IF(Raw_Export!$A2706="","",B2706-WEEKDAY(B2706,2)+1)</f>
        <v/>
      </c>
    </row>
    <row r="2707" customFormat="false" ht="15" hidden="false" customHeight="false" outlineLevel="0" collapsed="false">
      <c r="A2707" s="36" t="str">
        <f aca="false">IF(Raw_Export!$A2707="","",TRIM(Raw_Export!A2707))</f>
        <v/>
      </c>
      <c r="B2707" s="37" t="str">
        <f aca="false">IF(Raw_Export!$A2707="","",IF(ISNUMBER(Raw_Export!B2707),Raw_Export!B2707,IF(MID(TRIM(Raw_Export!B2707),5,1)="-",DATE(LEFT(TRIM(Raw_Export!B2707),4),MID(TRIM(Raw_Export!B2707),6,2),RIGHT(TRIM(Raw_Export!B2707),2)),DATE(RIGHT(TRIM(Raw_Export!B2707),4),MATCH(MID(TRIM(Raw_Export!B2707),4,3),{"Jan","Feb","Mar","Apr","May","Jun","Jul","Aug","Sep","Oct","Nov","Dec"},0),LEFT(TRIM(Raw_Export!B2707),2)))))</f>
        <v/>
      </c>
      <c r="C2707" s="36" t="str">
        <f aca="false">IF(Raw_Export!$A2707="","",IFERROR(VLOOKUP(LOWER(TRIM(Raw_Export!C2707)),Maps!$A$2:$B$20,2,FALSE()),"UNMAPPED"))</f>
        <v/>
      </c>
      <c r="D2707" s="36" t="str">
        <f aca="false">IF(Raw_Export!$A2707="","",IFERROR(VLOOKUP(LOWER(TRIM(Raw_Export!D2707)),Maps!$G$2:$I$80,2,FALSE()),"UNMAPPED"))</f>
        <v/>
      </c>
      <c r="E2707" s="36" t="str">
        <f aca="false">IF(Raw_Export!$A2707="","",IFERROR(VLOOKUP(LOWER(TRIM(Raw_Export!D2707)),Maps!$G$2:$I$80,3,FALSE()),"UNMAPPED"))</f>
        <v/>
      </c>
      <c r="F2707" s="36" t="str">
        <f aca="false">IF(Raw_Export!$A2707="","",IFERROR(VALUE(TRIM(Raw_Export!E2707)),0))</f>
        <v/>
      </c>
      <c r="G2707" s="38" t="str">
        <f aca="false">IF(Raw_Export!$A2707="","",IFERROR(VALUE(SUBSTITUTE(SUBSTITUTE(UPPER(TRIM(Raw_Export!F2707)),"KES",""),",","")),0))</f>
        <v/>
      </c>
      <c r="H2707" s="38" t="str">
        <f aca="false">IF(Raw_Export!$A2707="","",F2707*G2707)</f>
        <v/>
      </c>
      <c r="I2707" s="36" t="str">
        <f aca="false">IF(Raw_Export!$A2707="","",IFERROR(VLOOKUP(LOWER(TRIM(Raw_Export!H2707)),Maps!$D$2:$E$12,2,FALSE()),"Other"))</f>
        <v/>
      </c>
      <c r="J2707" s="36" t="str">
        <f aca="false">IF(Raw_Export!$A2707="","",IF(COUNTIF($A$2:A2707,A2707)&gt;1,"Duplicate",""))</f>
        <v/>
      </c>
      <c r="K2707" s="36" t="str">
        <f aca="false">IF(Raw_Export!$A2707="","",IF(J2707="Duplicate","Duplicate",IF(OR(C2707="UNMAPPED",D2707="UNMAPPED"),"Unmapped",IF(F2707=0,"Blank qty",IF(F2707&lt;0,"Return","OK")))))</f>
        <v/>
      </c>
      <c r="L2707" s="36" t="str">
        <f aca="false">IF(Raw_Export!$A2707="","",IF(OR(K2707="OK",K2707="Return"),1,0))</f>
        <v/>
      </c>
      <c r="M2707" s="37" t="str">
        <f aca="false">IF(Raw_Export!$A2707="","",B2707-WEEKDAY(B2707,2)+1)</f>
        <v/>
      </c>
    </row>
    <row r="2708" customFormat="false" ht="15" hidden="false" customHeight="false" outlineLevel="0" collapsed="false">
      <c r="A2708" s="36" t="str">
        <f aca="false">IF(Raw_Export!$A2708="","",TRIM(Raw_Export!A2708))</f>
        <v/>
      </c>
      <c r="B2708" s="37" t="str">
        <f aca="false">IF(Raw_Export!$A2708="","",IF(ISNUMBER(Raw_Export!B2708),Raw_Export!B2708,IF(MID(TRIM(Raw_Export!B2708),5,1)="-",DATE(LEFT(TRIM(Raw_Export!B2708),4),MID(TRIM(Raw_Export!B2708),6,2),RIGHT(TRIM(Raw_Export!B2708),2)),DATE(RIGHT(TRIM(Raw_Export!B2708),4),MATCH(MID(TRIM(Raw_Export!B2708),4,3),{"Jan","Feb","Mar","Apr","May","Jun","Jul","Aug","Sep","Oct","Nov","Dec"},0),LEFT(TRIM(Raw_Export!B2708),2)))))</f>
        <v/>
      </c>
      <c r="C2708" s="36" t="str">
        <f aca="false">IF(Raw_Export!$A2708="","",IFERROR(VLOOKUP(LOWER(TRIM(Raw_Export!C2708)),Maps!$A$2:$B$20,2,FALSE()),"UNMAPPED"))</f>
        <v/>
      </c>
      <c r="D2708" s="36" t="str">
        <f aca="false">IF(Raw_Export!$A2708="","",IFERROR(VLOOKUP(LOWER(TRIM(Raw_Export!D2708)),Maps!$G$2:$I$80,2,FALSE()),"UNMAPPED"))</f>
        <v/>
      </c>
      <c r="E2708" s="36" t="str">
        <f aca="false">IF(Raw_Export!$A2708="","",IFERROR(VLOOKUP(LOWER(TRIM(Raw_Export!D2708)),Maps!$G$2:$I$80,3,FALSE()),"UNMAPPED"))</f>
        <v/>
      </c>
      <c r="F2708" s="36" t="str">
        <f aca="false">IF(Raw_Export!$A2708="","",IFERROR(VALUE(TRIM(Raw_Export!E2708)),0))</f>
        <v/>
      </c>
      <c r="G2708" s="38" t="str">
        <f aca="false">IF(Raw_Export!$A2708="","",IFERROR(VALUE(SUBSTITUTE(SUBSTITUTE(UPPER(TRIM(Raw_Export!F2708)),"KES",""),",","")),0))</f>
        <v/>
      </c>
      <c r="H2708" s="38" t="str">
        <f aca="false">IF(Raw_Export!$A2708="","",F2708*G2708)</f>
        <v/>
      </c>
      <c r="I2708" s="36" t="str">
        <f aca="false">IF(Raw_Export!$A2708="","",IFERROR(VLOOKUP(LOWER(TRIM(Raw_Export!H2708)),Maps!$D$2:$E$12,2,FALSE()),"Other"))</f>
        <v/>
      </c>
      <c r="J2708" s="36" t="str">
        <f aca="false">IF(Raw_Export!$A2708="","",IF(COUNTIF($A$2:A2708,A2708)&gt;1,"Duplicate",""))</f>
        <v/>
      </c>
      <c r="K2708" s="36" t="str">
        <f aca="false">IF(Raw_Export!$A2708="","",IF(J2708="Duplicate","Duplicate",IF(OR(C2708="UNMAPPED",D2708="UNMAPPED"),"Unmapped",IF(F2708=0,"Blank qty",IF(F2708&lt;0,"Return","OK")))))</f>
        <v/>
      </c>
      <c r="L2708" s="36" t="str">
        <f aca="false">IF(Raw_Export!$A2708="","",IF(OR(K2708="OK",K2708="Return"),1,0))</f>
        <v/>
      </c>
      <c r="M2708" s="37" t="str">
        <f aca="false">IF(Raw_Export!$A2708="","",B2708-WEEKDAY(B2708,2)+1)</f>
        <v/>
      </c>
    </row>
    <row r="2709" customFormat="false" ht="15" hidden="false" customHeight="false" outlineLevel="0" collapsed="false">
      <c r="A2709" s="36" t="str">
        <f aca="false">IF(Raw_Export!$A2709="","",TRIM(Raw_Export!A2709))</f>
        <v/>
      </c>
      <c r="B2709" s="37" t="str">
        <f aca="false">IF(Raw_Export!$A2709="","",IF(ISNUMBER(Raw_Export!B2709),Raw_Export!B2709,IF(MID(TRIM(Raw_Export!B2709),5,1)="-",DATE(LEFT(TRIM(Raw_Export!B2709),4),MID(TRIM(Raw_Export!B2709),6,2),RIGHT(TRIM(Raw_Export!B2709),2)),DATE(RIGHT(TRIM(Raw_Export!B2709),4),MATCH(MID(TRIM(Raw_Export!B2709),4,3),{"Jan","Feb","Mar","Apr","May","Jun","Jul","Aug","Sep","Oct","Nov","Dec"},0),LEFT(TRIM(Raw_Export!B2709),2)))))</f>
        <v/>
      </c>
      <c r="C2709" s="36" t="str">
        <f aca="false">IF(Raw_Export!$A2709="","",IFERROR(VLOOKUP(LOWER(TRIM(Raw_Export!C2709)),Maps!$A$2:$B$20,2,FALSE()),"UNMAPPED"))</f>
        <v/>
      </c>
      <c r="D2709" s="36" t="str">
        <f aca="false">IF(Raw_Export!$A2709="","",IFERROR(VLOOKUP(LOWER(TRIM(Raw_Export!D2709)),Maps!$G$2:$I$80,2,FALSE()),"UNMAPPED"))</f>
        <v/>
      </c>
      <c r="E2709" s="36" t="str">
        <f aca="false">IF(Raw_Export!$A2709="","",IFERROR(VLOOKUP(LOWER(TRIM(Raw_Export!D2709)),Maps!$G$2:$I$80,3,FALSE()),"UNMAPPED"))</f>
        <v/>
      </c>
      <c r="F2709" s="36" t="str">
        <f aca="false">IF(Raw_Export!$A2709="","",IFERROR(VALUE(TRIM(Raw_Export!E2709)),0))</f>
        <v/>
      </c>
      <c r="G2709" s="38" t="str">
        <f aca="false">IF(Raw_Export!$A2709="","",IFERROR(VALUE(SUBSTITUTE(SUBSTITUTE(UPPER(TRIM(Raw_Export!F2709)),"KES",""),",","")),0))</f>
        <v/>
      </c>
      <c r="H2709" s="38" t="str">
        <f aca="false">IF(Raw_Export!$A2709="","",F2709*G2709)</f>
        <v/>
      </c>
      <c r="I2709" s="36" t="str">
        <f aca="false">IF(Raw_Export!$A2709="","",IFERROR(VLOOKUP(LOWER(TRIM(Raw_Export!H2709)),Maps!$D$2:$E$12,2,FALSE()),"Other"))</f>
        <v/>
      </c>
      <c r="J2709" s="36" t="str">
        <f aca="false">IF(Raw_Export!$A2709="","",IF(COUNTIF($A$2:A2709,A2709)&gt;1,"Duplicate",""))</f>
        <v/>
      </c>
      <c r="K2709" s="36" t="str">
        <f aca="false">IF(Raw_Export!$A2709="","",IF(J2709="Duplicate","Duplicate",IF(OR(C2709="UNMAPPED",D2709="UNMAPPED"),"Unmapped",IF(F2709=0,"Blank qty",IF(F2709&lt;0,"Return","OK")))))</f>
        <v/>
      </c>
      <c r="L2709" s="36" t="str">
        <f aca="false">IF(Raw_Export!$A2709="","",IF(OR(K2709="OK",K2709="Return"),1,0))</f>
        <v/>
      </c>
      <c r="M2709" s="37" t="str">
        <f aca="false">IF(Raw_Export!$A2709="","",B2709-WEEKDAY(B2709,2)+1)</f>
        <v/>
      </c>
    </row>
    <row r="2710" customFormat="false" ht="15" hidden="false" customHeight="false" outlineLevel="0" collapsed="false">
      <c r="A2710" s="36" t="str">
        <f aca="false">IF(Raw_Export!$A2710="","",TRIM(Raw_Export!A2710))</f>
        <v/>
      </c>
      <c r="B2710" s="37" t="str">
        <f aca="false">IF(Raw_Export!$A2710="","",IF(ISNUMBER(Raw_Export!B2710),Raw_Export!B2710,IF(MID(TRIM(Raw_Export!B2710),5,1)="-",DATE(LEFT(TRIM(Raw_Export!B2710),4),MID(TRIM(Raw_Export!B2710),6,2),RIGHT(TRIM(Raw_Export!B2710),2)),DATE(RIGHT(TRIM(Raw_Export!B2710),4),MATCH(MID(TRIM(Raw_Export!B2710),4,3),{"Jan","Feb","Mar","Apr","May","Jun","Jul","Aug","Sep","Oct","Nov","Dec"},0),LEFT(TRIM(Raw_Export!B2710),2)))))</f>
        <v/>
      </c>
      <c r="C2710" s="36" t="str">
        <f aca="false">IF(Raw_Export!$A2710="","",IFERROR(VLOOKUP(LOWER(TRIM(Raw_Export!C2710)),Maps!$A$2:$B$20,2,FALSE()),"UNMAPPED"))</f>
        <v/>
      </c>
      <c r="D2710" s="36" t="str">
        <f aca="false">IF(Raw_Export!$A2710="","",IFERROR(VLOOKUP(LOWER(TRIM(Raw_Export!D2710)),Maps!$G$2:$I$80,2,FALSE()),"UNMAPPED"))</f>
        <v/>
      </c>
      <c r="E2710" s="36" t="str">
        <f aca="false">IF(Raw_Export!$A2710="","",IFERROR(VLOOKUP(LOWER(TRIM(Raw_Export!D2710)),Maps!$G$2:$I$80,3,FALSE()),"UNMAPPED"))</f>
        <v/>
      </c>
      <c r="F2710" s="36" t="str">
        <f aca="false">IF(Raw_Export!$A2710="","",IFERROR(VALUE(TRIM(Raw_Export!E2710)),0))</f>
        <v/>
      </c>
      <c r="G2710" s="38" t="str">
        <f aca="false">IF(Raw_Export!$A2710="","",IFERROR(VALUE(SUBSTITUTE(SUBSTITUTE(UPPER(TRIM(Raw_Export!F2710)),"KES",""),",","")),0))</f>
        <v/>
      </c>
      <c r="H2710" s="38" t="str">
        <f aca="false">IF(Raw_Export!$A2710="","",F2710*G2710)</f>
        <v/>
      </c>
      <c r="I2710" s="36" t="str">
        <f aca="false">IF(Raw_Export!$A2710="","",IFERROR(VLOOKUP(LOWER(TRIM(Raw_Export!H2710)),Maps!$D$2:$E$12,2,FALSE()),"Other"))</f>
        <v/>
      </c>
      <c r="J2710" s="36" t="str">
        <f aca="false">IF(Raw_Export!$A2710="","",IF(COUNTIF($A$2:A2710,A2710)&gt;1,"Duplicate",""))</f>
        <v/>
      </c>
      <c r="K2710" s="36" t="str">
        <f aca="false">IF(Raw_Export!$A2710="","",IF(J2710="Duplicate","Duplicate",IF(OR(C2710="UNMAPPED",D2710="UNMAPPED"),"Unmapped",IF(F2710=0,"Blank qty",IF(F2710&lt;0,"Return","OK")))))</f>
        <v/>
      </c>
      <c r="L2710" s="36" t="str">
        <f aca="false">IF(Raw_Export!$A2710="","",IF(OR(K2710="OK",K2710="Return"),1,0))</f>
        <v/>
      </c>
      <c r="M2710" s="37" t="str">
        <f aca="false">IF(Raw_Export!$A2710="","",B2710-WEEKDAY(B2710,2)+1)</f>
        <v/>
      </c>
    </row>
    <row r="2711" customFormat="false" ht="15" hidden="false" customHeight="false" outlineLevel="0" collapsed="false">
      <c r="A2711" s="36" t="str">
        <f aca="false">IF(Raw_Export!$A2711="","",TRIM(Raw_Export!A2711))</f>
        <v/>
      </c>
      <c r="B2711" s="37" t="str">
        <f aca="false">IF(Raw_Export!$A2711="","",IF(ISNUMBER(Raw_Export!B2711),Raw_Export!B2711,IF(MID(TRIM(Raw_Export!B2711),5,1)="-",DATE(LEFT(TRIM(Raw_Export!B2711),4),MID(TRIM(Raw_Export!B2711),6,2),RIGHT(TRIM(Raw_Export!B2711),2)),DATE(RIGHT(TRIM(Raw_Export!B2711),4),MATCH(MID(TRIM(Raw_Export!B2711),4,3),{"Jan","Feb","Mar","Apr","May","Jun","Jul","Aug","Sep","Oct","Nov","Dec"},0),LEFT(TRIM(Raw_Export!B2711),2)))))</f>
        <v/>
      </c>
      <c r="C2711" s="36" t="str">
        <f aca="false">IF(Raw_Export!$A2711="","",IFERROR(VLOOKUP(LOWER(TRIM(Raw_Export!C2711)),Maps!$A$2:$B$20,2,FALSE()),"UNMAPPED"))</f>
        <v/>
      </c>
      <c r="D2711" s="36" t="str">
        <f aca="false">IF(Raw_Export!$A2711="","",IFERROR(VLOOKUP(LOWER(TRIM(Raw_Export!D2711)),Maps!$G$2:$I$80,2,FALSE()),"UNMAPPED"))</f>
        <v/>
      </c>
      <c r="E2711" s="36" t="str">
        <f aca="false">IF(Raw_Export!$A2711="","",IFERROR(VLOOKUP(LOWER(TRIM(Raw_Export!D2711)),Maps!$G$2:$I$80,3,FALSE()),"UNMAPPED"))</f>
        <v/>
      </c>
      <c r="F2711" s="36" t="str">
        <f aca="false">IF(Raw_Export!$A2711="","",IFERROR(VALUE(TRIM(Raw_Export!E2711)),0))</f>
        <v/>
      </c>
      <c r="G2711" s="38" t="str">
        <f aca="false">IF(Raw_Export!$A2711="","",IFERROR(VALUE(SUBSTITUTE(SUBSTITUTE(UPPER(TRIM(Raw_Export!F2711)),"KES",""),",","")),0))</f>
        <v/>
      </c>
      <c r="H2711" s="38" t="str">
        <f aca="false">IF(Raw_Export!$A2711="","",F2711*G2711)</f>
        <v/>
      </c>
      <c r="I2711" s="36" t="str">
        <f aca="false">IF(Raw_Export!$A2711="","",IFERROR(VLOOKUP(LOWER(TRIM(Raw_Export!H2711)),Maps!$D$2:$E$12,2,FALSE()),"Other"))</f>
        <v/>
      </c>
      <c r="J2711" s="36" t="str">
        <f aca="false">IF(Raw_Export!$A2711="","",IF(COUNTIF($A$2:A2711,A2711)&gt;1,"Duplicate",""))</f>
        <v/>
      </c>
      <c r="K2711" s="36" t="str">
        <f aca="false">IF(Raw_Export!$A2711="","",IF(J2711="Duplicate","Duplicate",IF(OR(C2711="UNMAPPED",D2711="UNMAPPED"),"Unmapped",IF(F2711=0,"Blank qty",IF(F2711&lt;0,"Return","OK")))))</f>
        <v/>
      </c>
      <c r="L2711" s="36" t="str">
        <f aca="false">IF(Raw_Export!$A2711="","",IF(OR(K2711="OK",K2711="Return"),1,0))</f>
        <v/>
      </c>
      <c r="M2711" s="37" t="str">
        <f aca="false">IF(Raw_Export!$A2711="","",B2711-WEEKDAY(B2711,2)+1)</f>
        <v/>
      </c>
    </row>
    <row r="2712" customFormat="false" ht="15" hidden="false" customHeight="false" outlineLevel="0" collapsed="false">
      <c r="A2712" s="36" t="str">
        <f aca="false">IF(Raw_Export!$A2712="","",TRIM(Raw_Export!A2712))</f>
        <v/>
      </c>
      <c r="B2712" s="37" t="str">
        <f aca="false">IF(Raw_Export!$A2712="","",IF(ISNUMBER(Raw_Export!B2712),Raw_Export!B2712,IF(MID(TRIM(Raw_Export!B2712),5,1)="-",DATE(LEFT(TRIM(Raw_Export!B2712),4),MID(TRIM(Raw_Export!B2712),6,2),RIGHT(TRIM(Raw_Export!B2712),2)),DATE(RIGHT(TRIM(Raw_Export!B2712),4),MATCH(MID(TRIM(Raw_Export!B2712),4,3),{"Jan","Feb","Mar","Apr","May","Jun","Jul","Aug","Sep","Oct","Nov","Dec"},0),LEFT(TRIM(Raw_Export!B2712),2)))))</f>
        <v/>
      </c>
      <c r="C2712" s="36" t="str">
        <f aca="false">IF(Raw_Export!$A2712="","",IFERROR(VLOOKUP(LOWER(TRIM(Raw_Export!C2712)),Maps!$A$2:$B$20,2,FALSE()),"UNMAPPED"))</f>
        <v/>
      </c>
      <c r="D2712" s="36" t="str">
        <f aca="false">IF(Raw_Export!$A2712="","",IFERROR(VLOOKUP(LOWER(TRIM(Raw_Export!D2712)),Maps!$G$2:$I$80,2,FALSE()),"UNMAPPED"))</f>
        <v/>
      </c>
      <c r="E2712" s="36" t="str">
        <f aca="false">IF(Raw_Export!$A2712="","",IFERROR(VLOOKUP(LOWER(TRIM(Raw_Export!D2712)),Maps!$G$2:$I$80,3,FALSE()),"UNMAPPED"))</f>
        <v/>
      </c>
      <c r="F2712" s="36" t="str">
        <f aca="false">IF(Raw_Export!$A2712="","",IFERROR(VALUE(TRIM(Raw_Export!E2712)),0))</f>
        <v/>
      </c>
      <c r="G2712" s="38" t="str">
        <f aca="false">IF(Raw_Export!$A2712="","",IFERROR(VALUE(SUBSTITUTE(SUBSTITUTE(UPPER(TRIM(Raw_Export!F2712)),"KES",""),",","")),0))</f>
        <v/>
      </c>
      <c r="H2712" s="38" t="str">
        <f aca="false">IF(Raw_Export!$A2712="","",F2712*G2712)</f>
        <v/>
      </c>
      <c r="I2712" s="36" t="str">
        <f aca="false">IF(Raw_Export!$A2712="","",IFERROR(VLOOKUP(LOWER(TRIM(Raw_Export!H2712)),Maps!$D$2:$E$12,2,FALSE()),"Other"))</f>
        <v/>
      </c>
      <c r="J2712" s="36" t="str">
        <f aca="false">IF(Raw_Export!$A2712="","",IF(COUNTIF($A$2:A2712,A2712)&gt;1,"Duplicate",""))</f>
        <v/>
      </c>
      <c r="K2712" s="36" t="str">
        <f aca="false">IF(Raw_Export!$A2712="","",IF(J2712="Duplicate","Duplicate",IF(OR(C2712="UNMAPPED",D2712="UNMAPPED"),"Unmapped",IF(F2712=0,"Blank qty",IF(F2712&lt;0,"Return","OK")))))</f>
        <v/>
      </c>
      <c r="L2712" s="36" t="str">
        <f aca="false">IF(Raw_Export!$A2712="","",IF(OR(K2712="OK",K2712="Return"),1,0))</f>
        <v/>
      </c>
      <c r="M2712" s="37" t="str">
        <f aca="false">IF(Raw_Export!$A2712="","",B2712-WEEKDAY(B2712,2)+1)</f>
        <v/>
      </c>
    </row>
    <row r="2713" customFormat="false" ht="15" hidden="false" customHeight="false" outlineLevel="0" collapsed="false">
      <c r="A2713" s="36" t="str">
        <f aca="false">IF(Raw_Export!$A2713="","",TRIM(Raw_Export!A2713))</f>
        <v/>
      </c>
      <c r="B2713" s="37" t="str">
        <f aca="false">IF(Raw_Export!$A2713="","",IF(ISNUMBER(Raw_Export!B2713),Raw_Export!B2713,IF(MID(TRIM(Raw_Export!B2713),5,1)="-",DATE(LEFT(TRIM(Raw_Export!B2713),4),MID(TRIM(Raw_Export!B2713),6,2),RIGHT(TRIM(Raw_Export!B2713),2)),DATE(RIGHT(TRIM(Raw_Export!B2713),4),MATCH(MID(TRIM(Raw_Export!B2713),4,3),{"Jan","Feb","Mar","Apr","May","Jun","Jul","Aug","Sep","Oct","Nov","Dec"},0),LEFT(TRIM(Raw_Export!B2713),2)))))</f>
        <v/>
      </c>
      <c r="C2713" s="36" t="str">
        <f aca="false">IF(Raw_Export!$A2713="","",IFERROR(VLOOKUP(LOWER(TRIM(Raw_Export!C2713)),Maps!$A$2:$B$20,2,FALSE()),"UNMAPPED"))</f>
        <v/>
      </c>
      <c r="D2713" s="36" t="str">
        <f aca="false">IF(Raw_Export!$A2713="","",IFERROR(VLOOKUP(LOWER(TRIM(Raw_Export!D2713)),Maps!$G$2:$I$80,2,FALSE()),"UNMAPPED"))</f>
        <v/>
      </c>
      <c r="E2713" s="36" t="str">
        <f aca="false">IF(Raw_Export!$A2713="","",IFERROR(VLOOKUP(LOWER(TRIM(Raw_Export!D2713)),Maps!$G$2:$I$80,3,FALSE()),"UNMAPPED"))</f>
        <v/>
      </c>
      <c r="F2713" s="36" t="str">
        <f aca="false">IF(Raw_Export!$A2713="","",IFERROR(VALUE(TRIM(Raw_Export!E2713)),0))</f>
        <v/>
      </c>
      <c r="G2713" s="38" t="str">
        <f aca="false">IF(Raw_Export!$A2713="","",IFERROR(VALUE(SUBSTITUTE(SUBSTITUTE(UPPER(TRIM(Raw_Export!F2713)),"KES",""),",","")),0))</f>
        <v/>
      </c>
      <c r="H2713" s="38" t="str">
        <f aca="false">IF(Raw_Export!$A2713="","",F2713*G2713)</f>
        <v/>
      </c>
      <c r="I2713" s="36" t="str">
        <f aca="false">IF(Raw_Export!$A2713="","",IFERROR(VLOOKUP(LOWER(TRIM(Raw_Export!H2713)),Maps!$D$2:$E$12,2,FALSE()),"Other"))</f>
        <v/>
      </c>
      <c r="J2713" s="36" t="str">
        <f aca="false">IF(Raw_Export!$A2713="","",IF(COUNTIF($A$2:A2713,A2713)&gt;1,"Duplicate",""))</f>
        <v/>
      </c>
      <c r="K2713" s="36" t="str">
        <f aca="false">IF(Raw_Export!$A2713="","",IF(J2713="Duplicate","Duplicate",IF(OR(C2713="UNMAPPED",D2713="UNMAPPED"),"Unmapped",IF(F2713=0,"Blank qty",IF(F2713&lt;0,"Return","OK")))))</f>
        <v/>
      </c>
      <c r="L2713" s="36" t="str">
        <f aca="false">IF(Raw_Export!$A2713="","",IF(OR(K2713="OK",K2713="Return"),1,0))</f>
        <v/>
      </c>
      <c r="M2713" s="37" t="str">
        <f aca="false">IF(Raw_Export!$A2713="","",B2713-WEEKDAY(B2713,2)+1)</f>
        <v/>
      </c>
    </row>
    <row r="2714" customFormat="false" ht="15" hidden="false" customHeight="false" outlineLevel="0" collapsed="false">
      <c r="A2714" s="36" t="str">
        <f aca="false">IF(Raw_Export!$A2714="","",TRIM(Raw_Export!A2714))</f>
        <v/>
      </c>
      <c r="B2714" s="37" t="str">
        <f aca="false">IF(Raw_Export!$A2714="","",IF(ISNUMBER(Raw_Export!B2714),Raw_Export!B2714,IF(MID(TRIM(Raw_Export!B2714),5,1)="-",DATE(LEFT(TRIM(Raw_Export!B2714),4),MID(TRIM(Raw_Export!B2714),6,2),RIGHT(TRIM(Raw_Export!B2714),2)),DATE(RIGHT(TRIM(Raw_Export!B2714),4),MATCH(MID(TRIM(Raw_Export!B2714),4,3),{"Jan","Feb","Mar","Apr","May","Jun","Jul","Aug","Sep","Oct","Nov","Dec"},0),LEFT(TRIM(Raw_Export!B2714),2)))))</f>
        <v/>
      </c>
      <c r="C2714" s="36" t="str">
        <f aca="false">IF(Raw_Export!$A2714="","",IFERROR(VLOOKUP(LOWER(TRIM(Raw_Export!C2714)),Maps!$A$2:$B$20,2,FALSE()),"UNMAPPED"))</f>
        <v/>
      </c>
      <c r="D2714" s="36" t="str">
        <f aca="false">IF(Raw_Export!$A2714="","",IFERROR(VLOOKUP(LOWER(TRIM(Raw_Export!D2714)),Maps!$G$2:$I$80,2,FALSE()),"UNMAPPED"))</f>
        <v/>
      </c>
      <c r="E2714" s="36" t="str">
        <f aca="false">IF(Raw_Export!$A2714="","",IFERROR(VLOOKUP(LOWER(TRIM(Raw_Export!D2714)),Maps!$G$2:$I$80,3,FALSE()),"UNMAPPED"))</f>
        <v/>
      </c>
      <c r="F2714" s="36" t="str">
        <f aca="false">IF(Raw_Export!$A2714="","",IFERROR(VALUE(TRIM(Raw_Export!E2714)),0))</f>
        <v/>
      </c>
      <c r="G2714" s="38" t="str">
        <f aca="false">IF(Raw_Export!$A2714="","",IFERROR(VALUE(SUBSTITUTE(SUBSTITUTE(UPPER(TRIM(Raw_Export!F2714)),"KES",""),",","")),0))</f>
        <v/>
      </c>
      <c r="H2714" s="38" t="str">
        <f aca="false">IF(Raw_Export!$A2714="","",F2714*G2714)</f>
        <v/>
      </c>
      <c r="I2714" s="36" t="str">
        <f aca="false">IF(Raw_Export!$A2714="","",IFERROR(VLOOKUP(LOWER(TRIM(Raw_Export!H2714)),Maps!$D$2:$E$12,2,FALSE()),"Other"))</f>
        <v/>
      </c>
      <c r="J2714" s="36" t="str">
        <f aca="false">IF(Raw_Export!$A2714="","",IF(COUNTIF($A$2:A2714,A2714)&gt;1,"Duplicate",""))</f>
        <v/>
      </c>
      <c r="K2714" s="36" t="str">
        <f aca="false">IF(Raw_Export!$A2714="","",IF(J2714="Duplicate","Duplicate",IF(OR(C2714="UNMAPPED",D2714="UNMAPPED"),"Unmapped",IF(F2714=0,"Blank qty",IF(F2714&lt;0,"Return","OK")))))</f>
        <v/>
      </c>
      <c r="L2714" s="36" t="str">
        <f aca="false">IF(Raw_Export!$A2714="","",IF(OR(K2714="OK",K2714="Return"),1,0))</f>
        <v/>
      </c>
      <c r="M2714" s="37" t="str">
        <f aca="false">IF(Raw_Export!$A2714="","",B2714-WEEKDAY(B2714,2)+1)</f>
        <v/>
      </c>
    </row>
    <row r="2715" customFormat="false" ht="15" hidden="false" customHeight="false" outlineLevel="0" collapsed="false">
      <c r="A2715" s="36" t="str">
        <f aca="false">IF(Raw_Export!$A2715="","",TRIM(Raw_Export!A2715))</f>
        <v/>
      </c>
      <c r="B2715" s="37" t="str">
        <f aca="false">IF(Raw_Export!$A2715="","",IF(ISNUMBER(Raw_Export!B2715),Raw_Export!B2715,IF(MID(TRIM(Raw_Export!B2715),5,1)="-",DATE(LEFT(TRIM(Raw_Export!B2715),4),MID(TRIM(Raw_Export!B2715),6,2),RIGHT(TRIM(Raw_Export!B2715),2)),DATE(RIGHT(TRIM(Raw_Export!B2715),4),MATCH(MID(TRIM(Raw_Export!B2715),4,3),{"Jan","Feb","Mar","Apr","May","Jun","Jul","Aug","Sep","Oct","Nov","Dec"},0),LEFT(TRIM(Raw_Export!B2715),2)))))</f>
        <v/>
      </c>
      <c r="C2715" s="36" t="str">
        <f aca="false">IF(Raw_Export!$A2715="","",IFERROR(VLOOKUP(LOWER(TRIM(Raw_Export!C2715)),Maps!$A$2:$B$20,2,FALSE()),"UNMAPPED"))</f>
        <v/>
      </c>
      <c r="D2715" s="36" t="str">
        <f aca="false">IF(Raw_Export!$A2715="","",IFERROR(VLOOKUP(LOWER(TRIM(Raw_Export!D2715)),Maps!$G$2:$I$80,2,FALSE()),"UNMAPPED"))</f>
        <v/>
      </c>
      <c r="E2715" s="36" t="str">
        <f aca="false">IF(Raw_Export!$A2715="","",IFERROR(VLOOKUP(LOWER(TRIM(Raw_Export!D2715)),Maps!$G$2:$I$80,3,FALSE()),"UNMAPPED"))</f>
        <v/>
      </c>
      <c r="F2715" s="36" t="str">
        <f aca="false">IF(Raw_Export!$A2715="","",IFERROR(VALUE(TRIM(Raw_Export!E2715)),0))</f>
        <v/>
      </c>
      <c r="G2715" s="38" t="str">
        <f aca="false">IF(Raw_Export!$A2715="","",IFERROR(VALUE(SUBSTITUTE(SUBSTITUTE(UPPER(TRIM(Raw_Export!F2715)),"KES",""),",","")),0))</f>
        <v/>
      </c>
      <c r="H2715" s="38" t="str">
        <f aca="false">IF(Raw_Export!$A2715="","",F2715*G2715)</f>
        <v/>
      </c>
      <c r="I2715" s="36" t="str">
        <f aca="false">IF(Raw_Export!$A2715="","",IFERROR(VLOOKUP(LOWER(TRIM(Raw_Export!H2715)),Maps!$D$2:$E$12,2,FALSE()),"Other"))</f>
        <v/>
      </c>
      <c r="J2715" s="36" t="str">
        <f aca="false">IF(Raw_Export!$A2715="","",IF(COUNTIF($A$2:A2715,A2715)&gt;1,"Duplicate",""))</f>
        <v/>
      </c>
      <c r="K2715" s="36" t="str">
        <f aca="false">IF(Raw_Export!$A2715="","",IF(J2715="Duplicate","Duplicate",IF(OR(C2715="UNMAPPED",D2715="UNMAPPED"),"Unmapped",IF(F2715=0,"Blank qty",IF(F2715&lt;0,"Return","OK")))))</f>
        <v/>
      </c>
      <c r="L2715" s="36" t="str">
        <f aca="false">IF(Raw_Export!$A2715="","",IF(OR(K2715="OK",K2715="Return"),1,0))</f>
        <v/>
      </c>
      <c r="M2715" s="37" t="str">
        <f aca="false">IF(Raw_Export!$A2715="","",B2715-WEEKDAY(B2715,2)+1)</f>
        <v/>
      </c>
    </row>
    <row r="2716" customFormat="false" ht="15" hidden="false" customHeight="false" outlineLevel="0" collapsed="false">
      <c r="A2716" s="36" t="str">
        <f aca="false">IF(Raw_Export!$A2716="","",TRIM(Raw_Export!A2716))</f>
        <v/>
      </c>
      <c r="B2716" s="37" t="str">
        <f aca="false">IF(Raw_Export!$A2716="","",IF(ISNUMBER(Raw_Export!B2716),Raw_Export!B2716,IF(MID(TRIM(Raw_Export!B2716),5,1)="-",DATE(LEFT(TRIM(Raw_Export!B2716),4),MID(TRIM(Raw_Export!B2716),6,2),RIGHT(TRIM(Raw_Export!B2716),2)),DATE(RIGHT(TRIM(Raw_Export!B2716),4),MATCH(MID(TRIM(Raw_Export!B2716),4,3),{"Jan","Feb","Mar","Apr","May","Jun","Jul","Aug","Sep","Oct","Nov","Dec"},0),LEFT(TRIM(Raw_Export!B2716),2)))))</f>
        <v/>
      </c>
      <c r="C2716" s="36" t="str">
        <f aca="false">IF(Raw_Export!$A2716="","",IFERROR(VLOOKUP(LOWER(TRIM(Raw_Export!C2716)),Maps!$A$2:$B$20,2,FALSE()),"UNMAPPED"))</f>
        <v/>
      </c>
      <c r="D2716" s="36" t="str">
        <f aca="false">IF(Raw_Export!$A2716="","",IFERROR(VLOOKUP(LOWER(TRIM(Raw_Export!D2716)),Maps!$G$2:$I$80,2,FALSE()),"UNMAPPED"))</f>
        <v/>
      </c>
      <c r="E2716" s="36" t="str">
        <f aca="false">IF(Raw_Export!$A2716="","",IFERROR(VLOOKUP(LOWER(TRIM(Raw_Export!D2716)),Maps!$G$2:$I$80,3,FALSE()),"UNMAPPED"))</f>
        <v/>
      </c>
      <c r="F2716" s="36" t="str">
        <f aca="false">IF(Raw_Export!$A2716="","",IFERROR(VALUE(TRIM(Raw_Export!E2716)),0))</f>
        <v/>
      </c>
      <c r="G2716" s="38" t="str">
        <f aca="false">IF(Raw_Export!$A2716="","",IFERROR(VALUE(SUBSTITUTE(SUBSTITUTE(UPPER(TRIM(Raw_Export!F2716)),"KES",""),",","")),0))</f>
        <v/>
      </c>
      <c r="H2716" s="38" t="str">
        <f aca="false">IF(Raw_Export!$A2716="","",F2716*G2716)</f>
        <v/>
      </c>
      <c r="I2716" s="36" t="str">
        <f aca="false">IF(Raw_Export!$A2716="","",IFERROR(VLOOKUP(LOWER(TRIM(Raw_Export!H2716)),Maps!$D$2:$E$12,2,FALSE()),"Other"))</f>
        <v/>
      </c>
      <c r="J2716" s="36" t="str">
        <f aca="false">IF(Raw_Export!$A2716="","",IF(COUNTIF($A$2:A2716,A2716)&gt;1,"Duplicate",""))</f>
        <v/>
      </c>
      <c r="K2716" s="36" t="str">
        <f aca="false">IF(Raw_Export!$A2716="","",IF(J2716="Duplicate","Duplicate",IF(OR(C2716="UNMAPPED",D2716="UNMAPPED"),"Unmapped",IF(F2716=0,"Blank qty",IF(F2716&lt;0,"Return","OK")))))</f>
        <v/>
      </c>
      <c r="L2716" s="36" t="str">
        <f aca="false">IF(Raw_Export!$A2716="","",IF(OR(K2716="OK",K2716="Return"),1,0))</f>
        <v/>
      </c>
      <c r="M2716" s="37" t="str">
        <f aca="false">IF(Raw_Export!$A2716="","",B2716-WEEKDAY(B2716,2)+1)</f>
        <v/>
      </c>
    </row>
    <row r="2717" customFormat="false" ht="15" hidden="false" customHeight="false" outlineLevel="0" collapsed="false">
      <c r="A2717" s="36" t="str">
        <f aca="false">IF(Raw_Export!$A2717="","",TRIM(Raw_Export!A2717))</f>
        <v/>
      </c>
      <c r="B2717" s="37" t="str">
        <f aca="false">IF(Raw_Export!$A2717="","",IF(ISNUMBER(Raw_Export!B2717),Raw_Export!B2717,IF(MID(TRIM(Raw_Export!B2717),5,1)="-",DATE(LEFT(TRIM(Raw_Export!B2717),4),MID(TRIM(Raw_Export!B2717),6,2),RIGHT(TRIM(Raw_Export!B2717),2)),DATE(RIGHT(TRIM(Raw_Export!B2717),4),MATCH(MID(TRIM(Raw_Export!B2717),4,3),{"Jan","Feb","Mar","Apr","May","Jun","Jul","Aug","Sep","Oct","Nov","Dec"},0),LEFT(TRIM(Raw_Export!B2717),2)))))</f>
        <v/>
      </c>
      <c r="C2717" s="36" t="str">
        <f aca="false">IF(Raw_Export!$A2717="","",IFERROR(VLOOKUP(LOWER(TRIM(Raw_Export!C2717)),Maps!$A$2:$B$20,2,FALSE()),"UNMAPPED"))</f>
        <v/>
      </c>
      <c r="D2717" s="36" t="str">
        <f aca="false">IF(Raw_Export!$A2717="","",IFERROR(VLOOKUP(LOWER(TRIM(Raw_Export!D2717)),Maps!$G$2:$I$80,2,FALSE()),"UNMAPPED"))</f>
        <v/>
      </c>
      <c r="E2717" s="36" t="str">
        <f aca="false">IF(Raw_Export!$A2717="","",IFERROR(VLOOKUP(LOWER(TRIM(Raw_Export!D2717)),Maps!$G$2:$I$80,3,FALSE()),"UNMAPPED"))</f>
        <v/>
      </c>
      <c r="F2717" s="36" t="str">
        <f aca="false">IF(Raw_Export!$A2717="","",IFERROR(VALUE(TRIM(Raw_Export!E2717)),0))</f>
        <v/>
      </c>
      <c r="G2717" s="38" t="str">
        <f aca="false">IF(Raw_Export!$A2717="","",IFERROR(VALUE(SUBSTITUTE(SUBSTITUTE(UPPER(TRIM(Raw_Export!F2717)),"KES",""),",","")),0))</f>
        <v/>
      </c>
      <c r="H2717" s="38" t="str">
        <f aca="false">IF(Raw_Export!$A2717="","",F2717*G2717)</f>
        <v/>
      </c>
      <c r="I2717" s="36" t="str">
        <f aca="false">IF(Raw_Export!$A2717="","",IFERROR(VLOOKUP(LOWER(TRIM(Raw_Export!H2717)),Maps!$D$2:$E$12,2,FALSE()),"Other"))</f>
        <v/>
      </c>
      <c r="J2717" s="36" t="str">
        <f aca="false">IF(Raw_Export!$A2717="","",IF(COUNTIF($A$2:A2717,A2717)&gt;1,"Duplicate",""))</f>
        <v/>
      </c>
      <c r="K2717" s="36" t="str">
        <f aca="false">IF(Raw_Export!$A2717="","",IF(J2717="Duplicate","Duplicate",IF(OR(C2717="UNMAPPED",D2717="UNMAPPED"),"Unmapped",IF(F2717=0,"Blank qty",IF(F2717&lt;0,"Return","OK")))))</f>
        <v/>
      </c>
      <c r="L2717" s="36" t="str">
        <f aca="false">IF(Raw_Export!$A2717="","",IF(OR(K2717="OK",K2717="Return"),1,0))</f>
        <v/>
      </c>
      <c r="M2717" s="37" t="str">
        <f aca="false">IF(Raw_Export!$A2717="","",B2717-WEEKDAY(B2717,2)+1)</f>
        <v/>
      </c>
    </row>
    <row r="2718" customFormat="false" ht="15" hidden="false" customHeight="false" outlineLevel="0" collapsed="false">
      <c r="A2718" s="36" t="str">
        <f aca="false">IF(Raw_Export!$A2718="","",TRIM(Raw_Export!A2718))</f>
        <v/>
      </c>
      <c r="B2718" s="37" t="str">
        <f aca="false">IF(Raw_Export!$A2718="","",IF(ISNUMBER(Raw_Export!B2718),Raw_Export!B2718,IF(MID(TRIM(Raw_Export!B2718),5,1)="-",DATE(LEFT(TRIM(Raw_Export!B2718),4),MID(TRIM(Raw_Export!B2718),6,2),RIGHT(TRIM(Raw_Export!B2718),2)),DATE(RIGHT(TRIM(Raw_Export!B2718),4),MATCH(MID(TRIM(Raw_Export!B2718),4,3),{"Jan","Feb","Mar","Apr","May","Jun","Jul","Aug","Sep","Oct","Nov","Dec"},0),LEFT(TRIM(Raw_Export!B2718),2)))))</f>
        <v/>
      </c>
      <c r="C2718" s="36" t="str">
        <f aca="false">IF(Raw_Export!$A2718="","",IFERROR(VLOOKUP(LOWER(TRIM(Raw_Export!C2718)),Maps!$A$2:$B$20,2,FALSE()),"UNMAPPED"))</f>
        <v/>
      </c>
      <c r="D2718" s="36" t="str">
        <f aca="false">IF(Raw_Export!$A2718="","",IFERROR(VLOOKUP(LOWER(TRIM(Raw_Export!D2718)),Maps!$G$2:$I$80,2,FALSE()),"UNMAPPED"))</f>
        <v/>
      </c>
      <c r="E2718" s="36" t="str">
        <f aca="false">IF(Raw_Export!$A2718="","",IFERROR(VLOOKUP(LOWER(TRIM(Raw_Export!D2718)),Maps!$G$2:$I$80,3,FALSE()),"UNMAPPED"))</f>
        <v/>
      </c>
      <c r="F2718" s="36" t="str">
        <f aca="false">IF(Raw_Export!$A2718="","",IFERROR(VALUE(TRIM(Raw_Export!E2718)),0))</f>
        <v/>
      </c>
      <c r="G2718" s="38" t="str">
        <f aca="false">IF(Raw_Export!$A2718="","",IFERROR(VALUE(SUBSTITUTE(SUBSTITUTE(UPPER(TRIM(Raw_Export!F2718)),"KES",""),",","")),0))</f>
        <v/>
      </c>
      <c r="H2718" s="38" t="str">
        <f aca="false">IF(Raw_Export!$A2718="","",F2718*G2718)</f>
        <v/>
      </c>
      <c r="I2718" s="36" t="str">
        <f aca="false">IF(Raw_Export!$A2718="","",IFERROR(VLOOKUP(LOWER(TRIM(Raw_Export!H2718)),Maps!$D$2:$E$12,2,FALSE()),"Other"))</f>
        <v/>
      </c>
      <c r="J2718" s="36" t="str">
        <f aca="false">IF(Raw_Export!$A2718="","",IF(COUNTIF($A$2:A2718,A2718)&gt;1,"Duplicate",""))</f>
        <v/>
      </c>
      <c r="K2718" s="36" t="str">
        <f aca="false">IF(Raw_Export!$A2718="","",IF(J2718="Duplicate","Duplicate",IF(OR(C2718="UNMAPPED",D2718="UNMAPPED"),"Unmapped",IF(F2718=0,"Blank qty",IF(F2718&lt;0,"Return","OK")))))</f>
        <v/>
      </c>
      <c r="L2718" s="36" t="str">
        <f aca="false">IF(Raw_Export!$A2718="","",IF(OR(K2718="OK",K2718="Return"),1,0))</f>
        <v/>
      </c>
      <c r="M2718" s="37" t="str">
        <f aca="false">IF(Raw_Export!$A2718="","",B2718-WEEKDAY(B2718,2)+1)</f>
        <v/>
      </c>
    </row>
    <row r="2719" customFormat="false" ht="15" hidden="false" customHeight="false" outlineLevel="0" collapsed="false">
      <c r="A2719" s="36" t="str">
        <f aca="false">IF(Raw_Export!$A2719="","",TRIM(Raw_Export!A2719))</f>
        <v/>
      </c>
      <c r="B2719" s="37" t="str">
        <f aca="false">IF(Raw_Export!$A2719="","",IF(ISNUMBER(Raw_Export!B2719),Raw_Export!B2719,IF(MID(TRIM(Raw_Export!B2719),5,1)="-",DATE(LEFT(TRIM(Raw_Export!B2719),4),MID(TRIM(Raw_Export!B2719),6,2),RIGHT(TRIM(Raw_Export!B2719),2)),DATE(RIGHT(TRIM(Raw_Export!B2719),4),MATCH(MID(TRIM(Raw_Export!B2719),4,3),{"Jan","Feb","Mar","Apr","May","Jun","Jul","Aug","Sep","Oct","Nov","Dec"},0),LEFT(TRIM(Raw_Export!B2719),2)))))</f>
        <v/>
      </c>
      <c r="C2719" s="36" t="str">
        <f aca="false">IF(Raw_Export!$A2719="","",IFERROR(VLOOKUP(LOWER(TRIM(Raw_Export!C2719)),Maps!$A$2:$B$20,2,FALSE()),"UNMAPPED"))</f>
        <v/>
      </c>
      <c r="D2719" s="36" t="str">
        <f aca="false">IF(Raw_Export!$A2719="","",IFERROR(VLOOKUP(LOWER(TRIM(Raw_Export!D2719)),Maps!$G$2:$I$80,2,FALSE()),"UNMAPPED"))</f>
        <v/>
      </c>
      <c r="E2719" s="36" t="str">
        <f aca="false">IF(Raw_Export!$A2719="","",IFERROR(VLOOKUP(LOWER(TRIM(Raw_Export!D2719)),Maps!$G$2:$I$80,3,FALSE()),"UNMAPPED"))</f>
        <v/>
      </c>
      <c r="F2719" s="36" t="str">
        <f aca="false">IF(Raw_Export!$A2719="","",IFERROR(VALUE(TRIM(Raw_Export!E2719)),0))</f>
        <v/>
      </c>
      <c r="G2719" s="38" t="str">
        <f aca="false">IF(Raw_Export!$A2719="","",IFERROR(VALUE(SUBSTITUTE(SUBSTITUTE(UPPER(TRIM(Raw_Export!F2719)),"KES",""),",","")),0))</f>
        <v/>
      </c>
      <c r="H2719" s="38" t="str">
        <f aca="false">IF(Raw_Export!$A2719="","",F2719*G2719)</f>
        <v/>
      </c>
      <c r="I2719" s="36" t="str">
        <f aca="false">IF(Raw_Export!$A2719="","",IFERROR(VLOOKUP(LOWER(TRIM(Raw_Export!H2719)),Maps!$D$2:$E$12,2,FALSE()),"Other"))</f>
        <v/>
      </c>
      <c r="J2719" s="36" t="str">
        <f aca="false">IF(Raw_Export!$A2719="","",IF(COUNTIF($A$2:A2719,A2719)&gt;1,"Duplicate",""))</f>
        <v/>
      </c>
      <c r="K2719" s="36" t="str">
        <f aca="false">IF(Raw_Export!$A2719="","",IF(J2719="Duplicate","Duplicate",IF(OR(C2719="UNMAPPED",D2719="UNMAPPED"),"Unmapped",IF(F2719=0,"Blank qty",IF(F2719&lt;0,"Return","OK")))))</f>
        <v/>
      </c>
      <c r="L2719" s="36" t="str">
        <f aca="false">IF(Raw_Export!$A2719="","",IF(OR(K2719="OK",K2719="Return"),1,0))</f>
        <v/>
      </c>
      <c r="M2719" s="37" t="str">
        <f aca="false">IF(Raw_Export!$A2719="","",B2719-WEEKDAY(B2719,2)+1)</f>
        <v/>
      </c>
    </row>
    <row r="2720" customFormat="false" ht="15" hidden="false" customHeight="false" outlineLevel="0" collapsed="false">
      <c r="A2720" s="36" t="str">
        <f aca="false">IF(Raw_Export!$A2720="","",TRIM(Raw_Export!A2720))</f>
        <v/>
      </c>
      <c r="B2720" s="37" t="str">
        <f aca="false">IF(Raw_Export!$A2720="","",IF(ISNUMBER(Raw_Export!B2720),Raw_Export!B2720,IF(MID(TRIM(Raw_Export!B2720),5,1)="-",DATE(LEFT(TRIM(Raw_Export!B2720),4),MID(TRIM(Raw_Export!B2720),6,2),RIGHT(TRIM(Raw_Export!B2720),2)),DATE(RIGHT(TRIM(Raw_Export!B2720),4),MATCH(MID(TRIM(Raw_Export!B2720),4,3),{"Jan","Feb","Mar","Apr","May","Jun","Jul","Aug","Sep","Oct","Nov","Dec"},0),LEFT(TRIM(Raw_Export!B2720),2)))))</f>
        <v/>
      </c>
      <c r="C2720" s="36" t="str">
        <f aca="false">IF(Raw_Export!$A2720="","",IFERROR(VLOOKUP(LOWER(TRIM(Raw_Export!C2720)),Maps!$A$2:$B$20,2,FALSE()),"UNMAPPED"))</f>
        <v/>
      </c>
      <c r="D2720" s="36" t="str">
        <f aca="false">IF(Raw_Export!$A2720="","",IFERROR(VLOOKUP(LOWER(TRIM(Raw_Export!D2720)),Maps!$G$2:$I$80,2,FALSE()),"UNMAPPED"))</f>
        <v/>
      </c>
      <c r="E2720" s="36" t="str">
        <f aca="false">IF(Raw_Export!$A2720="","",IFERROR(VLOOKUP(LOWER(TRIM(Raw_Export!D2720)),Maps!$G$2:$I$80,3,FALSE()),"UNMAPPED"))</f>
        <v/>
      </c>
      <c r="F2720" s="36" t="str">
        <f aca="false">IF(Raw_Export!$A2720="","",IFERROR(VALUE(TRIM(Raw_Export!E2720)),0))</f>
        <v/>
      </c>
      <c r="G2720" s="38" t="str">
        <f aca="false">IF(Raw_Export!$A2720="","",IFERROR(VALUE(SUBSTITUTE(SUBSTITUTE(UPPER(TRIM(Raw_Export!F2720)),"KES",""),",","")),0))</f>
        <v/>
      </c>
      <c r="H2720" s="38" t="str">
        <f aca="false">IF(Raw_Export!$A2720="","",F2720*G2720)</f>
        <v/>
      </c>
      <c r="I2720" s="36" t="str">
        <f aca="false">IF(Raw_Export!$A2720="","",IFERROR(VLOOKUP(LOWER(TRIM(Raw_Export!H2720)),Maps!$D$2:$E$12,2,FALSE()),"Other"))</f>
        <v/>
      </c>
      <c r="J2720" s="36" t="str">
        <f aca="false">IF(Raw_Export!$A2720="","",IF(COUNTIF($A$2:A2720,A2720)&gt;1,"Duplicate",""))</f>
        <v/>
      </c>
      <c r="K2720" s="36" t="str">
        <f aca="false">IF(Raw_Export!$A2720="","",IF(J2720="Duplicate","Duplicate",IF(OR(C2720="UNMAPPED",D2720="UNMAPPED"),"Unmapped",IF(F2720=0,"Blank qty",IF(F2720&lt;0,"Return","OK")))))</f>
        <v/>
      </c>
      <c r="L2720" s="36" t="str">
        <f aca="false">IF(Raw_Export!$A2720="","",IF(OR(K2720="OK",K2720="Return"),1,0))</f>
        <v/>
      </c>
      <c r="M2720" s="37" t="str">
        <f aca="false">IF(Raw_Export!$A2720="","",B2720-WEEKDAY(B2720,2)+1)</f>
        <v/>
      </c>
    </row>
    <row r="2721" customFormat="false" ht="15" hidden="false" customHeight="false" outlineLevel="0" collapsed="false">
      <c r="A2721" s="36" t="str">
        <f aca="false">IF(Raw_Export!$A2721="","",TRIM(Raw_Export!A2721))</f>
        <v/>
      </c>
      <c r="B2721" s="37" t="str">
        <f aca="false">IF(Raw_Export!$A2721="","",IF(ISNUMBER(Raw_Export!B2721),Raw_Export!B2721,IF(MID(TRIM(Raw_Export!B2721),5,1)="-",DATE(LEFT(TRIM(Raw_Export!B2721),4),MID(TRIM(Raw_Export!B2721),6,2),RIGHT(TRIM(Raw_Export!B2721),2)),DATE(RIGHT(TRIM(Raw_Export!B2721),4),MATCH(MID(TRIM(Raw_Export!B2721),4,3),{"Jan","Feb","Mar","Apr","May","Jun","Jul","Aug","Sep","Oct","Nov","Dec"},0),LEFT(TRIM(Raw_Export!B2721),2)))))</f>
        <v/>
      </c>
      <c r="C2721" s="36" t="str">
        <f aca="false">IF(Raw_Export!$A2721="","",IFERROR(VLOOKUP(LOWER(TRIM(Raw_Export!C2721)),Maps!$A$2:$B$20,2,FALSE()),"UNMAPPED"))</f>
        <v/>
      </c>
      <c r="D2721" s="36" t="str">
        <f aca="false">IF(Raw_Export!$A2721="","",IFERROR(VLOOKUP(LOWER(TRIM(Raw_Export!D2721)),Maps!$G$2:$I$80,2,FALSE()),"UNMAPPED"))</f>
        <v/>
      </c>
      <c r="E2721" s="36" t="str">
        <f aca="false">IF(Raw_Export!$A2721="","",IFERROR(VLOOKUP(LOWER(TRIM(Raw_Export!D2721)),Maps!$G$2:$I$80,3,FALSE()),"UNMAPPED"))</f>
        <v/>
      </c>
      <c r="F2721" s="36" t="str">
        <f aca="false">IF(Raw_Export!$A2721="","",IFERROR(VALUE(TRIM(Raw_Export!E2721)),0))</f>
        <v/>
      </c>
      <c r="G2721" s="38" t="str">
        <f aca="false">IF(Raw_Export!$A2721="","",IFERROR(VALUE(SUBSTITUTE(SUBSTITUTE(UPPER(TRIM(Raw_Export!F2721)),"KES",""),",","")),0))</f>
        <v/>
      </c>
      <c r="H2721" s="38" t="str">
        <f aca="false">IF(Raw_Export!$A2721="","",F2721*G2721)</f>
        <v/>
      </c>
      <c r="I2721" s="36" t="str">
        <f aca="false">IF(Raw_Export!$A2721="","",IFERROR(VLOOKUP(LOWER(TRIM(Raw_Export!H2721)),Maps!$D$2:$E$12,2,FALSE()),"Other"))</f>
        <v/>
      </c>
      <c r="J2721" s="36" t="str">
        <f aca="false">IF(Raw_Export!$A2721="","",IF(COUNTIF($A$2:A2721,A2721)&gt;1,"Duplicate",""))</f>
        <v/>
      </c>
      <c r="K2721" s="36" t="str">
        <f aca="false">IF(Raw_Export!$A2721="","",IF(J2721="Duplicate","Duplicate",IF(OR(C2721="UNMAPPED",D2721="UNMAPPED"),"Unmapped",IF(F2721=0,"Blank qty",IF(F2721&lt;0,"Return","OK")))))</f>
        <v/>
      </c>
      <c r="L2721" s="36" t="str">
        <f aca="false">IF(Raw_Export!$A2721="","",IF(OR(K2721="OK",K2721="Return"),1,0))</f>
        <v/>
      </c>
      <c r="M2721" s="37" t="str">
        <f aca="false">IF(Raw_Export!$A2721="","",B2721-WEEKDAY(B2721,2)+1)</f>
        <v/>
      </c>
    </row>
    <row r="2722" customFormat="false" ht="15" hidden="false" customHeight="false" outlineLevel="0" collapsed="false">
      <c r="A2722" s="36" t="str">
        <f aca="false">IF(Raw_Export!$A2722="","",TRIM(Raw_Export!A2722))</f>
        <v/>
      </c>
      <c r="B2722" s="37" t="str">
        <f aca="false">IF(Raw_Export!$A2722="","",IF(ISNUMBER(Raw_Export!B2722),Raw_Export!B2722,IF(MID(TRIM(Raw_Export!B2722),5,1)="-",DATE(LEFT(TRIM(Raw_Export!B2722),4),MID(TRIM(Raw_Export!B2722),6,2),RIGHT(TRIM(Raw_Export!B2722),2)),DATE(RIGHT(TRIM(Raw_Export!B2722),4),MATCH(MID(TRIM(Raw_Export!B2722),4,3),{"Jan","Feb","Mar","Apr","May","Jun","Jul","Aug","Sep","Oct","Nov","Dec"},0),LEFT(TRIM(Raw_Export!B2722),2)))))</f>
        <v/>
      </c>
      <c r="C2722" s="36" t="str">
        <f aca="false">IF(Raw_Export!$A2722="","",IFERROR(VLOOKUP(LOWER(TRIM(Raw_Export!C2722)),Maps!$A$2:$B$20,2,FALSE()),"UNMAPPED"))</f>
        <v/>
      </c>
      <c r="D2722" s="36" t="str">
        <f aca="false">IF(Raw_Export!$A2722="","",IFERROR(VLOOKUP(LOWER(TRIM(Raw_Export!D2722)),Maps!$G$2:$I$80,2,FALSE()),"UNMAPPED"))</f>
        <v/>
      </c>
      <c r="E2722" s="36" t="str">
        <f aca="false">IF(Raw_Export!$A2722="","",IFERROR(VLOOKUP(LOWER(TRIM(Raw_Export!D2722)),Maps!$G$2:$I$80,3,FALSE()),"UNMAPPED"))</f>
        <v/>
      </c>
      <c r="F2722" s="36" t="str">
        <f aca="false">IF(Raw_Export!$A2722="","",IFERROR(VALUE(TRIM(Raw_Export!E2722)),0))</f>
        <v/>
      </c>
      <c r="G2722" s="38" t="str">
        <f aca="false">IF(Raw_Export!$A2722="","",IFERROR(VALUE(SUBSTITUTE(SUBSTITUTE(UPPER(TRIM(Raw_Export!F2722)),"KES",""),",","")),0))</f>
        <v/>
      </c>
      <c r="H2722" s="38" t="str">
        <f aca="false">IF(Raw_Export!$A2722="","",F2722*G2722)</f>
        <v/>
      </c>
      <c r="I2722" s="36" t="str">
        <f aca="false">IF(Raw_Export!$A2722="","",IFERROR(VLOOKUP(LOWER(TRIM(Raw_Export!H2722)),Maps!$D$2:$E$12,2,FALSE()),"Other"))</f>
        <v/>
      </c>
      <c r="J2722" s="36" t="str">
        <f aca="false">IF(Raw_Export!$A2722="","",IF(COUNTIF($A$2:A2722,A2722)&gt;1,"Duplicate",""))</f>
        <v/>
      </c>
      <c r="K2722" s="36" t="str">
        <f aca="false">IF(Raw_Export!$A2722="","",IF(J2722="Duplicate","Duplicate",IF(OR(C2722="UNMAPPED",D2722="UNMAPPED"),"Unmapped",IF(F2722=0,"Blank qty",IF(F2722&lt;0,"Return","OK")))))</f>
        <v/>
      </c>
      <c r="L2722" s="36" t="str">
        <f aca="false">IF(Raw_Export!$A2722="","",IF(OR(K2722="OK",K2722="Return"),1,0))</f>
        <v/>
      </c>
      <c r="M2722" s="37" t="str">
        <f aca="false">IF(Raw_Export!$A2722="","",B2722-WEEKDAY(B2722,2)+1)</f>
        <v/>
      </c>
    </row>
    <row r="2723" customFormat="false" ht="15" hidden="false" customHeight="false" outlineLevel="0" collapsed="false">
      <c r="A2723" s="36" t="str">
        <f aca="false">IF(Raw_Export!$A2723="","",TRIM(Raw_Export!A2723))</f>
        <v/>
      </c>
      <c r="B2723" s="37" t="str">
        <f aca="false">IF(Raw_Export!$A2723="","",IF(ISNUMBER(Raw_Export!B2723),Raw_Export!B2723,IF(MID(TRIM(Raw_Export!B2723),5,1)="-",DATE(LEFT(TRIM(Raw_Export!B2723),4),MID(TRIM(Raw_Export!B2723),6,2),RIGHT(TRIM(Raw_Export!B2723),2)),DATE(RIGHT(TRIM(Raw_Export!B2723),4),MATCH(MID(TRIM(Raw_Export!B2723),4,3),{"Jan","Feb","Mar","Apr","May","Jun","Jul","Aug","Sep","Oct","Nov","Dec"},0),LEFT(TRIM(Raw_Export!B2723),2)))))</f>
        <v/>
      </c>
      <c r="C2723" s="36" t="str">
        <f aca="false">IF(Raw_Export!$A2723="","",IFERROR(VLOOKUP(LOWER(TRIM(Raw_Export!C2723)),Maps!$A$2:$B$20,2,FALSE()),"UNMAPPED"))</f>
        <v/>
      </c>
      <c r="D2723" s="36" t="str">
        <f aca="false">IF(Raw_Export!$A2723="","",IFERROR(VLOOKUP(LOWER(TRIM(Raw_Export!D2723)),Maps!$G$2:$I$80,2,FALSE()),"UNMAPPED"))</f>
        <v/>
      </c>
      <c r="E2723" s="36" t="str">
        <f aca="false">IF(Raw_Export!$A2723="","",IFERROR(VLOOKUP(LOWER(TRIM(Raw_Export!D2723)),Maps!$G$2:$I$80,3,FALSE()),"UNMAPPED"))</f>
        <v/>
      </c>
      <c r="F2723" s="36" t="str">
        <f aca="false">IF(Raw_Export!$A2723="","",IFERROR(VALUE(TRIM(Raw_Export!E2723)),0))</f>
        <v/>
      </c>
      <c r="G2723" s="38" t="str">
        <f aca="false">IF(Raw_Export!$A2723="","",IFERROR(VALUE(SUBSTITUTE(SUBSTITUTE(UPPER(TRIM(Raw_Export!F2723)),"KES",""),",","")),0))</f>
        <v/>
      </c>
      <c r="H2723" s="38" t="str">
        <f aca="false">IF(Raw_Export!$A2723="","",F2723*G2723)</f>
        <v/>
      </c>
      <c r="I2723" s="36" t="str">
        <f aca="false">IF(Raw_Export!$A2723="","",IFERROR(VLOOKUP(LOWER(TRIM(Raw_Export!H2723)),Maps!$D$2:$E$12,2,FALSE()),"Other"))</f>
        <v/>
      </c>
      <c r="J2723" s="36" t="str">
        <f aca="false">IF(Raw_Export!$A2723="","",IF(COUNTIF($A$2:A2723,A2723)&gt;1,"Duplicate",""))</f>
        <v/>
      </c>
      <c r="K2723" s="36" t="str">
        <f aca="false">IF(Raw_Export!$A2723="","",IF(J2723="Duplicate","Duplicate",IF(OR(C2723="UNMAPPED",D2723="UNMAPPED"),"Unmapped",IF(F2723=0,"Blank qty",IF(F2723&lt;0,"Return","OK")))))</f>
        <v/>
      </c>
      <c r="L2723" s="36" t="str">
        <f aca="false">IF(Raw_Export!$A2723="","",IF(OR(K2723="OK",K2723="Return"),1,0))</f>
        <v/>
      </c>
      <c r="M2723" s="37" t="str">
        <f aca="false">IF(Raw_Export!$A2723="","",B2723-WEEKDAY(B2723,2)+1)</f>
        <v/>
      </c>
    </row>
    <row r="2724" customFormat="false" ht="15" hidden="false" customHeight="false" outlineLevel="0" collapsed="false">
      <c r="A2724" s="36" t="str">
        <f aca="false">IF(Raw_Export!$A2724="","",TRIM(Raw_Export!A2724))</f>
        <v/>
      </c>
      <c r="B2724" s="37" t="str">
        <f aca="false">IF(Raw_Export!$A2724="","",IF(ISNUMBER(Raw_Export!B2724),Raw_Export!B2724,IF(MID(TRIM(Raw_Export!B2724),5,1)="-",DATE(LEFT(TRIM(Raw_Export!B2724),4),MID(TRIM(Raw_Export!B2724),6,2),RIGHT(TRIM(Raw_Export!B2724),2)),DATE(RIGHT(TRIM(Raw_Export!B2724),4),MATCH(MID(TRIM(Raw_Export!B2724),4,3),{"Jan","Feb","Mar","Apr","May","Jun","Jul","Aug","Sep","Oct","Nov","Dec"},0),LEFT(TRIM(Raw_Export!B2724),2)))))</f>
        <v/>
      </c>
      <c r="C2724" s="36" t="str">
        <f aca="false">IF(Raw_Export!$A2724="","",IFERROR(VLOOKUP(LOWER(TRIM(Raw_Export!C2724)),Maps!$A$2:$B$20,2,FALSE()),"UNMAPPED"))</f>
        <v/>
      </c>
      <c r="D2724" s="36" t="str">
        <f aca="false">IF(Raw_Export!$A2724="","",IFERROR(VLOOKUP(LOWER(TRIM(Raw_Export!D2724)),Maps!$G$2:$I$80,2,FALSE()),"UNMAPPED"))</f>
        <v/>
      </c>
      <c r="E2724" s="36" t="str">
        <f aca="false">IF(Raw_Export!$A2724="","",IFERROR(VLOOKUP(LOWER(TRIM(Raw_Export!D2724)),Maps!$G$2:$I$80,3,FALSE()),"UNMAPPED"))</f>
        <v/>
      </c>
      <c r="F2724" s="36" t="str">
        <f aca="false">IF(Raw_Export!$A2724="","",IFERROR(VALUE(TRIM(Raw_Export!E2724)),0))</f>
        <v/>
      </c>
      <c r="G2724" s="38" t="str">
        <f aca="false">IF(Raw_Export!$A2724="","",IFERROR(VALUE(SUBSTITUTE(SUBSTITUTE(UPPER(TRIM(Raw_Export!F2724)),"KES",""),",","")),0))</f>
        <v/>
      </c>
      <c r="H2724" s="38" t="str">
        <f aca="false">IF(Raw_Export!$A2724="","",F2724*G2724)</f>
        <v/>
      </c>
      <c r="I2724" s="36" t="str">
        <f aca="false">IF(Raw_Export!$A2724="","",IFERROR(VLOOKUP(LOWER(TRIM(Raw_Export!H2724)),Maps!$D$2:$E$12,2,FALSE()),"Other"))</f>
        <v/>
      </c>
      <c r="J2724" s="36" t="str">
        <f aca="false">IF(Raw_Export!$A2724="","",IF(COUNTIF($A$2:A2724,A2724)&gt;1,"Duplicate",""))</f>
        <v/>
      </c>
      <c r="K2724" s="36" t="str">
        <f aca="false">IF(Raw_Export!$A2724="","",IF(J2724="Duplicate","Duplicate",IF(OR(C2724="UNMAPPED",D2724="UNMAPPED"),"Unmapped",IF(F2724=0,"Blank qty",IF(F2724&lt;0,"Return","OK")))))</f>
        <v/>
      </c>
      <c r="L2724" s="36" t="str">
        <f aca="false">IF(Raw_Export!$A2724="","",IF(OR(K2724="OK",K2724="Return"),1,0))</f>
        <v/>
      </c>
      <c r="M2724" s="37" t="str">
        <f aca="false">IF(Raw_Export!$A2724="","",B2724-WEEKDAY(B2724,2)+1)</f>
        <v/>
      </c>
    </row>
    <row r="2725" customFormat="false" ht="15" hidden="false" customHeight="false" outlineLevel="0" collapsed="false">
      <c r="A2725" s="36" t="str">
        <f aca="false">IF(Raw_Export!$A2725="","",TRIM(Raw_Export!A2725))</f>
        <v/>
      </c>
      <c r="B2725" s="37" t="str">
        <f aca="false">IF(Raw_Export!$A2725="","",IF(ISNUMBER(Raw_Export!B2725),Raw_Export!B2725,IF(MID(TRIM(Raw_Export!B2725),5,1)="-",DATE(LEFT(TRIM(Raw_Export!B2725),4),MID(TRIM(Raw_Export!B2725),6,2),RIGHT(TRIM(Raw_Export!B2725),2)),DATE(RIGHT(TRIM(Raw_Export!B2725),4),MATCH(MID(TRIM(Raw_Export!B2725),4,3),{"Jan","Feb","Mar","Apr","May","Jun","Jul","Aug","Sep","Oct","Nov","Dec"},0),LEFT(TRIM(Raw_Export!B2725),2)))))</f>
        <v/>
      </c>
      <c r="C2725" s="36" t="str">
        <f aca="false">IF(Raw_Export!$A2725="","",IFERROR(VLOOKUP(LOWER(TRIM(Raw_Export!C2725)),Maps!$A$2:$B$20,2,FALSE()),"UNMAPPED"))</f>
        <v/>
      </c>
      <c r="D2725" s="36" t="str">
        <f aca="false">IF(Raw_Export!$A2725="","",IFERROR(VLOOKUP(LOWER(TRIM(Raw_Export!D2725)),Maps!$G$2:$I$80,2,FALSE()),"UNMAPPED"))</f>
        <v/>
      </c>
      <c r="E2725" s="36" t="str">
        <f aca="false">IF(Raw_Export!$A2725="","",IFERROR(VLOOKUP(LOWER(TRIM(Raw_Export!D2725)),Maps!$G$2:$I$80,3,FALSE()),"UNMAPPED"))</f>
        <v/>
      </c>
      <c r="F2725" s="36" t="str">
        <f aca="false">IF(Raw_Export!$A2725="","",IFERROR(VALUE(TRIM(Raw_Export!E2725)),0))</f>
        <v/>
      </c>
      <c r="G2725" s="38" t="str">
        <f aca="false">IF(Raw_Export!$A2725="","",IFERROR(VALUE(SUBSTITUTE(SUBSTITUTE(UPPER(TRIM(Raw_Export!F2725)),"KES",""),",","")),0))</f>
        <v/>
      </c>
      <c r="H2725" s="38" t="str">
        <f aca="false">IF(Raw_Export!$A2725="","",F2725*G2725)</f>
        <v/>
      </c>
      <c r="I2725" s="36" t="str">
        <f aca="false">IF(Raw_Export!$A2725="","",IFERROR(VLOOKUP(LOWER(TRIM(Raw_Export!H2725)),Maps!$D$2:$E$12,2,FALSE()),"Other"))</f>
        <v/>
      </c>
      <c r="J2725" s="36" t="str">
        <f aca="false">IF(Raw_Export!$A2725="","",IF(COUNTIF($A$2:A2725,A2725)&gt;1,"Duplicate",""))</f>
        <v/>
      </c>
      <c r="K2725" s="36" t="str">
        <f aca="false">IF(Raw_Export!$A2725="","",IF(J2725="Duplicate","Duplicate",IF(OR(C2725="UNMAPPED",D2725="UNMAPPED"),"Unmapped",IF(F2725=0,"Blank qty",IF(F2725&lt;0,"Return","OK")))))</f>
        <v/>
      </c>
      <c r="L2725" s="36" t="str">
        <f aca="false">IF(Raw_Export!$A2725="","",IF(OR(K2725="OK",K2725="Return"),1,0))</f>
        <v/>
      </c>
      <c r="M2725" s="37" t="str">
        <f aca="false">IF(Raw_Export!$A2725="","",B2725-WEEKDAY(B2725,2)+1)</f>
        <v/>
      </c>
    </row>
    <row r="2726" customFormat="false" ht="15" hidden="false" customHeight="false" outlineLevel="0" collapsed="false">
      <c r="A2726" s="36" t="str">
        <f aca="false">IF(Raw_Export!$A2726="","",TRIM(Raw_Export!A2726))</f>
        <v/>
      </c>
      <c r="B2726" s="37" t="str">
        <f aca="false">IF(Raw_Export!$A2726="","",IF(ISNUMBER(Raw_Export!B2726),Raw_Export!B2726,IF(MID(TRIM(Raw_Export!B2726),5,1)="-",DATE(LEFT(TRIM(Raw_Export!B2726),4),MID(TRIM(Raw_Export!B2726),6,2),RIGHT(TRIM(Raw_Export!B2726),2)),DATE(RIGHT(TRIM(Raw_Export!B2726),4),MATCH(MID(TRIM(Raw_Export!B2726),4,3),{"Jan","Feb","Mar","Apr","May","Jun","Jul","Aug","Sep","Oct","Nov","Dec"},0),LEFT(TRIM(Raw_Export!B2726),2)))))</f>
        <v/>
      </c>
      <c r="C2726" s="36" t="str">
        <f aca="false">IF(Raw_Export!$A2726="","",IFERROR(VLOOKUP(LOWER(TRIM(Raw_Export!C2726)),Maps!$A$2:$B$20,2,FALSE()),"UNMAPPED"))</f>
        <v/>
      </c>
      <c r="D2726" s="36" t="str">
        <f aca="false">IF(Raw_Export!$A2726="","",IFERROR(VLOOKUP(LOWER(TRIM(Raw_Export!D2726)),Maps!$G$2:$I$80,2,FALSE()),"UNMAPPED"))</f>
        <v/>
      </c>
      <c r="E2726" s="36" t="str">
        <f aca="false">IF(Raw_Export!$A2726="","",IFERROR(VLOOKUP(LOWER(TRIM(Raw_Export!D2726)),Maps!$G$2:$I$80,3,FALSE()),"UNMAPPED"))</f>
        <v/>
      </c>
      <c r="F2726" s="36" t="str">
        <f aca="false">IF(Raw_Export!$A2726="","",IFERROR(VALUE(TRIM(Raw_Export!E2726)),0))</f>
        <v/>
      </c>
      <c r="G2726" s="38" t="str">
        <f aca="false">IF(Raw_Export!$A2726="","",IFERROR(VALUE(SUBSTITUTE(SUBSTITUTE(UPPER(TRIM(Raw_Export!F2726)),"KES",""),",","")),0))</f>
        <v/>
      </c>
      <c r="H2726" s="38" t="str">
        <f aca="false">IF(Raw_Export!$A2726="","",F2726*G2726)</f>
        <v/>
      </c>
      <c r="I2726" s="36" t="str">
        <f aca="false">IF(Raw_Export!$A2726="","",IFERROR(VLOOKUP(LOWER(TRIM(Raw_Export!H2726)),Maps!$D$2:$E$12,2,FALSE()),"Other"))</f>
        <v/>
      </c>
      <c r="J2726" s="36" t="str">
        <f aca="false">IF(Raw_Export!$A2726="","",IF(COUNTIF($A$2:A2726,A2726)&gt;1,"Duplicate",""))</f>
        <v/>
      </c>
      <c r="K2726" s="36" t="str">
        <f aca="false">IF(Raw_Export!$A2726="","",IF(J2726="Duplicate","Duplicate",IF(OR(C2726="UNMAPPED",D2726="UNMAPPED"),"Unmapped",IF(F2726=0,"Blank qty",IF(F2726&lt;0,"Return","OK")))))</f>
        <v/>
      </c>
      <c r="L2726" s="36" t="str">
        <f aca="false">IF(Raw_Export!$A2726="","",IF(OR(K2726="OK",K2726="Return"),1,0))</f>
        <v/>
      </c>
      <c r="M2726" s="37" t="str">
        <f aca="false">IF(Raw_Export!$A2726="","",B2726-WEEKDAY(B2726,2)+1)</f>
        <v/>
      </c>
    </row>
    <row r="2727" customFormat="false" ht="15" hidden="false" customHeight="false" outlineLevel="0" collapsed="false">
      <c r="A2727" s="36" t="str">
        <f aca="false">IF(Raw_Export!$A2727="","",TRIM(Raw_Export!A2727))</f>
        <v/>
      </c>
      <c r="B2727" s="37" t="str">
        <f aca="false">IF(Raw_Export!$A2727="","",IF(ISNUMBER(Raw_Export!B2727),Raw_Export!B2727,IF(MID(TRIM(Raw_Export!B2727),5,1)="-",DATE(LEFT(TRIM(Raw_Export!B2727),4),MID(TRIM(Raw_Export!B2727),6,2),RIGHT(TRIM(Raw_Export!B2727),2)),DATE(RIGHT(TRIM(Raw_Export!B2727),4),MATCH(MID(TRIM(Raw_Export!B2727),4,3),{"Jan","Feb","Mar","Apr","May","Jun","Jul","Aug","Sep","Oct","Nov","Dec"},0),LEFT(TRIM(Raw_Export!B2727),2)))))</f>
        <v/>
      </c>
      <c r="C2727" s="36" t="str">
        <f aca="false">IF(Raw_Export!$A2727="","",IFERROR(VLOOKUP(LOWER(TRIM(Raw_Export!C2727)),Maps!$A$2:$B$20,2,FALSE()),"UNMAPPED"))</f>
        <v/>
      </c>
      <c r="D2727" s="36" t="str">
        <f aca="false">IF(Raw_Export!$A2727="","",IFERROR(VLOOKUP(LOWER(TRIM(Raw_Export!D2727)),Maps!$G$2:$I$80,2,FALSE()),"UNMAPPED"))</f>
        <v/>
      </c>
      <c r="E2727" s="36" t="str">
        <f aca="false">IF(Raw_Export!$A2727="","",IFERROR(VLOOKUP(LOWER(TRIM(Raw_Export!D2727)),Maps!$G$2:$I$80,3,FALSE()),"UNMAPPED"))</f>
        <v/>
      </c>
      <c r="F2727" s="36" t="str">
        <f aca="false">IF(Raw_Export!$A2727="","",IFERROR(VALUE(TRIM(Raw_Export!E2727)),0))</f>
        <v/>
      </c>
      <c r="G2727" s="38" t="str">
        <f aca="false">IF(Raw_Export!$A2727="","",IFERROR(VALUE(SUBSTITUTE(SUBSTITUTE(UPPER(TRIM(Raw_Export!F2727)),"KES",""),",","")),0))</f>
        <v/>
      </c>
      <c r="H2727" s="38" t="str">
        <f aca="false">IF(Raw_Export!$A2727="","",F2727*G2727)</f>
        <v/>
      </c>
      <c r="I2727" s="36" t="str">
        <f aca="false">IF(Raw_Export!$A2727="","",IFERROR(VLOOKUP(LOWER(TRIM(Raw_Export!H2727)),Maps!$D$2:$E$12,2,FALSE()),"Other"))</f>
        <v/>
      </c>
      <c r="J2727" s="36" t="str">
        <f aca="false">IF(Raw_Export!$A2727="","",IF(COUNTIF($A$2:A2727,A2727)&gt;1,"Duplicate",""))</f>
        <v/>
      </c>
      <c r="K2727" s="36" t="str">
        <f aca="false">IF(Raw_Export!$A2727="","",IF(J2727="Duplicate","Duplicate",IF(OR(C2727="UNMAPPED",D2727="UNMAPPED"),"Unmapped",IF(F2727=0,"Blank qty",IF(F2727&lt;0,"Return","OK")))))</f>
        <v/>
      </c>
      <c r="L2727" s="36" t="str">
        <f aca="false">IF(Raw_Export!$A2727="","",IF(OR(K2727="OK",K2727="Return"),1,0))</f>
        <v/>
      </c>
      <c r="M2727" s="37" t="str">
        <f aca="false">IF(Raw_Export!$A2727="","",B2727-WEEKDAY(B2727,2)+1)</f>
        <v/>
      </c>
    </row>
    <row r="2728" customFormat="false" ht="15" hidden="false" customHeight="false" outlineLevel="0" collapsed="false">
      <c r="A2728" s="36" t="str">
        <f aca="false">IF(Raw_Export!$A2728="","",TRIM(Raw_Export!A2728))</f>
        <v/>
      </c>
      <c r="B2728" s="37" t="str">
        <f aca="false">IF(Raw_Export!$A2728="","",IF(ISNUMBER(Raw_Export!B2728),Raw_Export!B2728,IF(MID(TRIM(Raw_Export!B2728),5,1)="-",DATE(LEFT(TRIM(Raw_Export!B2728),4),MID(TRIM(Raw_Export!B2728),6,2),RIGHT(TRIM(Raw_Export!B2728),2)),DATE(RIGHT(TRIM(Raw_Export!B2728),4),MATCH(MID(TRIM(Raw_Export!B2728),4,3),{"Jan","Feb","Mar","Apr","May","Jun","Jul","Aug","Sep","Oct","Nov","Dec"},0),LEFT(TRIM(Raw_Export!B2728),2)))))</f>
        <v/>
      </c>
      <c r="C2728" s="36" t="str">
        <f aca="false">IF(Raw_Export!$A2728="","",IFERROR(VLOOKUP(LOWER(TRIM(Raw_Export!C2728)),Maps!$A$2:$B$20,2,FALSE()),"UNMAPPED"))</f>
        <v/>
      </c>
      <c r="D2728" s="36" t="str">
        <f aca="false">IF(Raw_Export!$A2728="","",IFERROR(VLOOKUP(LOWER(TRIM(Raw_Export!D2728)),Maps!$G$2:$I$80,2,FALSE()),"UNMAPPED"))</f>
        <v/>
      </c>
      <c r="E2728" s="36" t="str">
        <f aca="false">IF(Raw_Export!$A2728="","",IFERROR(VLOOKUP(LOWER(TRIM(Raw_Export!D2728)),Maps!$G$2:$I$80,3,FALSE()),"UNMAPPED"))</f>
        <v/>
      </c>
      <c r="F2728" s="36" t="str">
        <f aca="false">IF(Raw_Export!$A2728="","",IFERROR(VALUE(TRIM(Raw_Export!E2728)),0))</f>
        <v/>
      </c>
      <c r="G2728" s="38" t="str">
        <f aca="false">IF(Raw_Export!$A2728="","",IFERROR(VALUE(SUBSTITUTE(SUBSTITUTE(UPPER(TRIM(Raw_Export!F2728)),"KES",""),",","")),0))</f>
        <v/>
      </c>
      <c r="H2728" s="38" t="str">
        <f aca="false">IF(Raw_Export!$A2728="","",F2728*G2728)</f>
        <v/>
      </c>
      <c r="I2728" s="36" t="str">
        <f aca="false">IF(Raw_Export!$A2728="","",IFERROR(VLOOKUP(LOWER(TRIM(Raw_Export!H2728)),Maps!$D$2:$E$12,2,FALSE()),"Other"))</f>
        <v/>
      </c>
      <c r="J2728" s="36" t="str">
        <f aca="false">IF(Raw_Export!$A2728="","",IF(COUNTIF($A$2:A2728,A2728)&gt;1,"Duplicate",""))</f>
        <v/>
      </c>
      <c r="K2728" s="36" t="str">
        <f aca="false">IF(Raw_Export!$A2728="","",IF(J2728="Duplicate","Duplicate",IF(OR(C2728="UNMAPPED",D2728="UNMAPPED"),"Unmapped",IF(F2728=0,"Blank qty",IF(F2728&lt;0,"Return","OK")))))</f>
        <v/>
      </c>
      <c r="L2728" s="36" t="str">
        <f aca="false">IF(Raw_Export!$A2728="","",IF(OR(K2728="OK",K2728="Return"),1,0))</f>
        <v/>
      </c>
      <c r="M2728" s="37" t="str">
        <f aca="false">IF(Raw_Export!$A2728="","",B2728-WEEKDAY(B2728,2)+1)</f>
        <v/>
      </c>
    </row>
    <row r="2729" customFormat="false" ht="15" hidden="false" customHeight="false" outlineLevel="0" collapsed="false">
      <c r="A2729" s="36" t="str">
        <f aca="false">IF(Raw_Export!$A2729="","",TRIM(Raw_Export!A2729))</f>
        <v/>
      </c>
      <c r="B2729" s="37" t="str">
        <f aca="false">IF(Raw_Export!$A2729="","",IF(ISNUMBER(Raw_Export!B2729),Raw_Export!B2729,IF(MID(TRIM(Raw_Export!B2729),5,1)="-",DATE(LEFT(TRIM(Raw_Export!B2729),4),MID(TRIM(Raw_Export!B2729),6,2),RIGHT(TRIM(Raw_Export!B2729),2)),DATE(RIGHT(TRIM(Raw_Export!B2729),4),MATCH(MID(TRIM(Raw_Export!B2729),4,3),{"Jan","Feb","Mar","Apr","May","Jun","Jul","Aug","Sep","Oct","Nov","Dec"},0),LEFT(TRIM(Raw_Export!B2729),2)))))</f>
        <v/>
      </c>
      <c r="C2729" s="36" t="str">
        <f aca="false">IF(Raw_Export!$A2729="","",IFERROR(VLOOKUP(LOWER(TRIM(Raw_Export!C2729)),Maps!$A$2:$B$20,2,FALSE()),"UNMAPPED"))</f>
        <v/>
      </c>
      <c r="D2729" s="36" t="str">
        <f aca="false">IF(Raw_Export!$A2729="","",IFERROR(VLOOKUP(LOWER(TRIM(Raw_Export!D2729)),Maps!$G$2:$I$80,2,FALSE()),"UNMAPPED"))</f>
        <v/>
      </c>
      <c r="E2729" s="36" t="str">
        <f aca="false">IF(Raw_Export!$A2729="","",IFERROR(VLOOKUP(LOWER(TRIM(Raw_Export!D2729)),Maps!$G$2:$I$80,3,FALSE()),"UNMAPPED"))</f>
        <v/>
      </c>
      <c r="F2729" s="36" t="str">
        <f aca="false">IF(Raw_Export!$A2729="","",IFERROR(VALUE(TRIM(Raw_Export!E2729)),0))</f>
        <v/>
      </c>
      <c r="G2729" s="38" t="str">
        <f aca="false">IF(Raw_Export!$A2729="","",IFERROR(VALUE(SUBSTITUTE(SUBSTITUTE(UPPER(TRIM(Raw_Export!F2729)),"KES",""),",","")),0))</f>
        <v/>
      </c>
      <c r="H2729" s="38" t="str">
        <f aca="false">IF(Raw_Export!$A2729="","",F2729*G2729)</f>
        <v/>
      </c>
      <c r="I2729" s="36" t="str">
        <f aca="false">IF(Raw_Export!$A2729="","",IFERROR(VLOOKUP(LOWER(TRIM(Raw_Export!H2729)),Maps!$D$2:$E$12,2,FALSE()),"Other"))</f>
        <v/>
      </c>
      <c r="J2729" s="36" t="str">
        <f aca="false">IF(Raw_Export!$A2729="","",IF(COUNTIF($A$2:A2729,A2729)&gt;1,"Duplicate",""))</f>
        <v/>
      </c>
      <c r="K2729" s="36" t="str">
        <f aca="false">IF(Raw_Export!$A2729="","",IF(J2729="Duplicate","Duplicate",IF(OR(C2729="UNMAPPED",D2729="UNMAPPED"),"Unmapped",IF(F2729=0,"Blank qty",IF(F2729&lt;0,"Return","OK")))))</f>
        <v/>
      </c>
      <c r="L2729" s="36" t="str">
        <f aca="false">IF(Raw_Export!$A2729="","",IF(OR(K2729="OK",K2729="Return"),1,0))</f>
        <v/>
      </c>
      <c r="M2729" s="37" t="str">
        <f aca="false">IF(Raw_Export!$A2729="","",B2729-WEEKDAY(B2729,2)+1)</f>
        <v/>
      </c>
    </row>
    <row r="2730" customFormat="false" ht="15" hidden="false" customHeight="false" outlineLevel="0" collapsed="false">
      <c r="A2730" s="36" t="str">
        <f aca="false">IF(Raw_Export!$A2730="","",TRIM(Raw_Export!A2730))</f>
        <v/>
      </c>
      <c r="B2730" s="37" t="str">
        <f aca="false">IF(Raw_Export!$A2730="","",IF(ISNUMBER(Raw_Export!B2730),Raw_Export!B2730,IF(MID(TRIM(Raw_Export!B2730),5,1)="-",DATE(LEFT(TRIM(Raw_Export!B2730),4),MID(TRIM(Raw_Export!B2730),6,2),RIGHT(TRIM(Raw_Export!B2730),2)),DATE(RIGHT(TRIM(Raw_Export!B2730),4),MATCH(MID(TRIM(Raw_Export!B2730),4,3),{"Jan","Feb","Mar","Apr","May","Jun","Jul","Aug","Sep","Oct","Nov","Dec"},0),LEFT(TRIM(Raw_Export!B2730),2)))))</f>
        <v/>
      </c>
      <c r="C2730" s="36" t="str">
        <f aca="false">IF(Raw_Export!$A2730="","",IFERROR(VLOOKUP(LOWER(TRIM(Raw_Export!C2730)),Maps!$A$2:$B$20,2,FALSE()),"UNMAPPED"))</f>
        <v/>
      </c>
      <c r="D2730" s="36" t="str">
        <f aca="false">IF(Raw_Export!$A2730="","",IFERROR(VLOOKUP(LOWER(TRIM(Raw_Export!D2730)),Maps!$G$2:$I$80,2,FALSE()),"UNMAPPED"))</f>
        <v/>
      </c>
      <c r="E2730" s="36" t="str">
        <f aca="false">IF(Raw_Export!$A2730="","",IFERROR(VLOOKUP(LOWER(TRIM(Raw_Export!D2730)),Maps!$G$2:$I$80,3,FALSE()),"UNMAPPED"))</f>
        <v/>
      </c>
      <c r="F2730" s="36" t="str">
        <f aca="false">IF(Raw_Export!$A2730="","",IFERROR(VALUE(TRIM(Raw_Export!E2730)),0))</f>
        <v/>
      </c>
      <c r="G2730" s="38" t="str">
        <f aca="false">IF(Raw_Export!$A2730="","",IFERROR(VALUE(SUBSTITUTE(SUBSTITUTE(UPPER(TRIM(Raw_Export!F2730)),"KES",""),",","")),0))</f>
        <v/>
      </c>
      <c r="H2730" s="38" t="str">
        <f aca="false">IF(Raw_Export!$A2730="","",F2730*G2730)</f>
        <v/>
      </c>
      <c r="I2730" s="36" t="str">
        <f aca="false">IF(Raw_Export!$A2730="","",IFERROR(VLOOKUP(LOWER(TRIM(Raw_Export!H2730)),Maps!$D$2:$E$12,2,FALSE()),"Other"))</f>
        <v/>
      </c>
      <c r="J2730" s="36" t="str">
        <f aca="false">IF(Raw_Export!$A2730="","",IF(COUNTIF($A$2:A2730,A2730)&gt;1,"Duplicate",""))</f>
        <v/>
      </c>
      <c r="K2730" s="36" t="str">
        <f aca="false">IF(Raw_Export!$A2730="","",IF(J2730="Duplicate","Duplicate",IF(OR(C2730="UNMAPPED",D2730="UNMAPPED"),"Unmapped",IF(F2730=0,"Blank qty",IF(F2730&lt;0,"Return","OK")))))</f>
        <v/>
      </c>
      <c r="L2730" s="36" t="str">
        <f aca="false">IF(Raw_Export!$A2730="","",IF(OR(K2730="OK",K2730="Return"),1,0))</f>
        <v/>
      </c>
      <c r="M2730" s="37" t="str">
        <f aca="false">IF(Raw_Export!$A2730="","",B2730-WEEKDAY(B2730,2)+1)</f>
        <v/>
      </c>
    </row>
    <row r="2731" customFormat="false" ht="15" hidden="false" customHeight="false" outlineLevel="0" collapsed="false">
      <c r="A2731" s="36" t="str">
        <f aca="false">IF(Raw_Export!$A2731="","",TRIM(Raw_Export!A2731))</f>
        <v/>
      </c>
      <c r="B2731" s="37" t="str">
        <f aca="false">IF(Raw_Export!$A2731="","",IF(ISNUMBER(Raw_Export!B2731),Raw_Export!B2731,IF(MID(TRIM(Raw_Export!B2731),5,1)="-",DATE(LEFT(TRIM(Raw_Export!B2731),4),MID(TRIM(Raw_Export!B2731),6,2),RIGHT(TRIM(Raw_Export!B2731),2)),DATE(RIGHT(TRIM(Raw_Export!B2731),4),MATCH(MID(TRIM(Raw_Export!B2731),4,3),{"Jan","Feb","Mar","Apr","May","Jun","Jul","Aug","Sep","Oct","Nov","Dec"},0),LEFT(TRIM(Raw_Export!B2731),2)))))</f>
        <v/>
      </c>
      <c r="C2731" s="36" t="str">
        <f aca="false">IF(Raw_Export!$A2731="","",IFERROR(VLOOKUP(LOWER(TRIM(Raw_Export!C2731)),Maps!$A$2:$B$20,2,FALSE()),"UNMAPPED"))</f>
        <v/>
      </c>
      <c r="D2731" s="36" t="str">
        <f aca="false">IF(Raw_Export!$A2731="","",IFERROR(VLOOKUP(LOWER(TRIM(Raw_Export!D2731)),Maps!$G$2:$I$80,2,FALSE()),"UNMAPPED"))</f>
        <v/>
      </c>
      <c r="E2731" s="36" t="str">
        <f aca="false">IF(Raw_Export!$A2731="","",IFERROR(VLOOKUP(LOWER(TRIM(Raw_Export!D2731)),Maps!$G$2:$I$80,3,FALSE()),"UNMAPPED"))</f>
        <v/>
      </c>
      <c r="F2731" s="36" t="str">
        <f aca="false">IF(Raw_Export!$A2731="","",IFERROR(VALUE(TRIM(Raw_Export!E2731)),0))</f>
        <v/>
      </c>
      <c r="G2731" s="38" t="str">
        <f aca="false">IF(Raw_Export!$A2731="","",IFERROR(VALUE(SUBSTITUTE(SUBSTITUTE(UPPER(TRIM(Raw_Export!F2731)),"KES",""),",","")),0))</f>
        <v/>
      </c>
      <c r="H2731" s="38" t="str">
        <f aca="false">IF(Raw_Export!$A2731="","",F2731*G2731)</f>
        <v/>
      </c>
      <c r="I2731" s="36" t="str">
        <f aca="false">IF(Raw_Export!$A2731="","",IFERROR(VLOOKUP(LOWER(TRIM(Raw_Export!H2731)),Maps!$D$2:$E$12,2,FALSE()),"Other"))</f>
        <v/>
      </c>
      <c r="J2731" s="36" t="str">
        <f aca="false">IF(Raw_Export!$A2731="","",IF(COUNTIF($A$2:A2731,A2731)&gt;1,"Duplicate",""))</f>
        <v/>
      </c>
      <c r="K2731" s="36" t="str">
        <f aca="false">IF(Raw_Export!$A2731="","",IF(J2731="Duplicate","Duplicate",IF(OR(C2731="UNMAPPED",D2731="UNMAPPED"),"Unmapped",IF(F2731=0,"Blank qty",IF(F2731&lt;0,"Return","OK")))))</f>
        <v/>
      </c>
      <c r="L2731" s="36" t="str">
        <f aca="false">IF(Raw_Export!$A2731="","",IF(OR(K2731="OK",K2731="Return"),1,0))</f>
        <v/>
      </c>
      <c r="M2731" s="37" t="str">
        <f aca="false">IF(Raw_Export!$A2731="","",B2731-WEEKDAY(B2731,2)+1)</f>
        <v/>
      </c>
    </row>
    <row r="2732" customFormat="false" ht="15" hidden="false" customHeight="false" outlineLevel="0" collapsed="false">
      <c r="A2732" s="36" t="str">
        <f aca="false">IF(Raw_Export!$A2732="","",TRIM(Raw_Export!A2732))</f>
        <v/>
      </c>
      <c r="B2732" s="37" t="str">
        <f aca="false">IF(Raw_Export!$A2732="","",IF(ISNUMBER(Raw_Export!B2732),Raw_Export!B2732,IF(MID(TRIM(Raw_Export!B2732),5,1)="-",DATE(LEFT(TRIM(Raw_Export!B2732),4),MID(TRIM(Raw_Export!B2732),6,2),RIGHT(TRIM(Raw_Export!B2732),2)),DATE(RIGHT(TRIM(Raw_Export!B2732),4),MATCH(MID(TRIM(Raw_Export!B2732),4,3),{"Jan","Feb","Mar","Apr","May","Jun","Jul","Aug","Sep","Oct","Nov","Dec"},0),LEFT(TRIM(Raw_Export!B2732),2)))))</f>
        <v/>
      </c>
      <c r="C2732" s="36" t="str">
        <f aca="false">IF(Raw_Export!$A2732="","",IFERROR(VLOOKUP(LOWER(TRIM(Raw_Export!C2732)),Maps!$A$2:$B$20,2,FALSE()),"UNMAPPED"))</f>
        <v/>
      </c>
      <c r="D2732" s="36" t="str">
        <f aca="false">IF(Raw_Export!$A2732="","",IFERROR(VLOOKUP(LOWER(TRIM(Raw_Export!D2732)),Maps!$G$2:$I$80,2,FALSE()),"UNMAPPED"))</f>
        <v/>
      </c>
      <c r="E2732" s="36" t="str">
        <f aca="false">IF(Raw_Export!$A2732="","",IFERROR(VLOOKUP(LOWER(TRIM(Raw_Export!D2732)),Maps!$G$2:$I$80,3,FALSE()),"UNMAPPED"))</f>
        <v/>
      </c>
      <c r="F2732" s="36" t="str">
        <f aca="false">IF(Raw_Export!$A2732="","",IFERROR(VALUE(TRIM(Raw_Export!E2732)),0))</f>
        <v/>
      </c>
      <c r="G2732" s="38" t="str">
        <f aca="false">IF(Raw_Export!$A2732="","",IFERROR(VALUE(SUBSTITUTE(SUBSTITUTE(UPPER(TRIM(Raw_Export!F2732)),"KES",""),",","")),0))</f>
        <v/>
      </c>
      <c r="H2732" s="38" t="str">
        <f aca="false">IF(Raw_Export!$A2732="","",F2732*G2732)</f>
        <v/>
      </c>
      <c r="I2732" s="36" t="str">
        <f aca="false">IF(Raw_Export!$A2732="","",IFERROR(VLOOKUP(LOWER(TRIM(Raw_Export!H2732)),Maps!$D$2:$E$12,2,FALSE()),"Other"))</f>
        <v/>
      </c>
      <c r="J2732" s="36" t="str">
        <f aca="false">IF(Raw_Export!$A2732="","",IF(COUNTIF($A$2:A2732,A2732)&gt;1,"Duplicate",""))</f>
        <v/>
      </c>
      <c r="K2732" s="36" t="str">
        <f aca="false">IF(Raw_Export!$A2732="","",IF(J2732="Duplicate","Duplicate",IF(OR(C2732="UNMAPPED",D2732="UNMAPPED"),"Unmapped",IF(F2732=0,"Blank qty",IF(F2732&lt;0,"Return","OK")))))</f>
        <v/>
      </c>
      <c r="L2732" s="36" t="str">
        <f aca="false">IF(Raw_Export!$A2732="","",IF(OR(K2732="OK",K2732="Return"),1,0))</f>
        <v/>
      </c>
      <c r="M2732" s="37" t="str">
        <f aca="false">IF(Raw_Export!$A2732="","",B2732-WEEKDAY(B2732,2)+1)</f>
        <v/>
      </c>
    </row>
    <row r="2733" customFormat="false" ht="15" hidden="false" customHeight="false" outlineLevel="0" collapsed="false">
      <c r="A2733" s="36" t="str">
        <f aca="false">IF(Raw_Export!$A2733="","",TRIM(Raw_Export!A2733))</f>
        <v/>
      </c>
      <c r="B2733" s="37" t="str">
        <f aca="false">IF(Raw_Export!$A2733="","",IF(ISNUMBER(Raw_Export!B2733),Raw_Export!B2733,IF(MID(TRIM(Raw_Export!B2733),5,1)="-",DATE(LEFT(TRIM(Raw_Export!B2733),4),MID(TRIM(Raw_Export!B2733),6,2),RIGHT(TRIM(Raw_Export!B2733),2)),DATE(RIGHT(TRIM(Raw_Export!B2733),4),MATCH(MID(TRIM(Raw_Export!B2733),4,3),{"Jan","Feb","Mar","Apr","May","Jun","Jul","Aug","Sep","Oct","Nov","Dec"},0),LEFT(TRIM(Raw_Export!B2733),2)))))</f>
        <v/>
      </c>
      <c r="C2733" s="36" t="str">
        <f aca="false">IF(Raw_Export!$A2733="","",IFERROR(VLOOKUP(LOWER(TRIM(Raw_Export!C2733)),Maps!$A$2:$B$20,2,FALSE()),"UNMAPPED"))</f>
        <v/>
      </c>
      <c r="D2733" s="36" t="str">
        <f aca="false">IF(Raw_Export!$A2733="","",IFERROR(VLOOKUP(LOWER(TRIM(Raw_Export!D2733)),Maps!$G$2:$I$80,2,FALSE()),"UNMAPPED"))</f>
        <v/>
      </c>
      <c r="E2733" s="36" t="str">
        <f aca="false">IF(Raw_Export!$A2733="","",IFERROR(VLOOKUP(LOWER(TRIM(Raw_Export!D2733)),Maps!$G$2:$I$80,3,FALSE()),"UNMAPPED"))</f>
        <v/>
      </c>
      <c r="F2733" s="36" t="str">
        <f aca="false">IF(Raw_Export!$A2733="","",IFERROR(VALUE(TRIM(Raw_Export!E2733)),0))</f>
        <v/>
      </c>
      <c r="G2733" s="38" t="str">
        <f aca="false">IF(Raw_Export!$A2733="","",IFERROR(VALUE(SUBSTITUTE(SUBSTITUTE(UPPER(TRIM(Raw_Export!F2733)),"KES",""),",","")),0))</f>
        <v/>
      </c>
      <c r="H2733" s="38" t="str">
        <f aca="false">IF(Raw_Export!$A2733="","",F2733*G2733)</f>
        <v/>
      </c>
      <c r="I2733" s="36" t="str">
        <f aca="false">IF(Raw_Export!$A2733="","",IFERROR(VLOOKUP(LOWER(TRIM(Raw_Export!H2733)),Maps!$D$2:$E$12,2,FALSE()),"Other"))</f>
        <v/>
      </c>
      <c r="J2733" s="36" t="str">
        <f aca="false">IF(Raw_Export!$A2733="","",IF(COUNTIF($A$2:A2733,A2733)&gt;1,"Duplicate",""))</f>
        <v/>
      </c>
      <c r="K2733" s="36" t="str">
        <f aca="false">IF(Raw_Export!$A2733="","",IF(J2733="Duplicate","Duplicate",IF(OR(C2733="UNMAPPED",D2733="UNMAPPED"),"Unmapped",IF(F2733=0,"Blank qty",IF(F2733&lt;0,"Return","OK")))))</f>
        <v/>
      </c>
      <c r="L2733" s="36" t="str">
        <f aca="false">IF(Raw_Export!$A2733="","",IF(OR(K2733="OK",K2733="Return"),1,0))</f>
        <v/>
      </c>
      <c r="M2733" s="37" t="str">
        <f aca="false">IF(Raw_Export!$A2733="","",B2733-WEEKDAY(B2733,2)+1)</f>
        <v/>
      </c>
    </row>
    <row r="2734" customFormat="false" ht="15" hidden="false" customHeight="false" outlineLevel="0" collapsed="false">
      <c r="A2734" s="36" t="str">
        <f aca="false">IF(Raw_Export!$A2734="","",TRIM(Raw_Export!A2734))</f>
        <v/>
      </c>
      <c r="B2734" s="37" t="str">
        <f aca="false">IF(Raw_Export!$A2734="","",IF(ISNUMBER(Raw_Export!B2734),Raw_Export!B2734,IF(MID(TRIM(Raw_Export!B2734),5,1)="-",DATE(LEFT(TRIM(Raw_Export!B2734),4),MID(TRIM(Raw_Export!B2734),6,2),RIGHT(TRIM(Raw_Export!B2734),2)),DATE(RIGHT(TRIM(Raw_Export!B2734),4),MATCH(MID(TRIM(Raw_Export!B2734),4,3),{"Jan","Feb","Mar","Apr","May","Jun","Jul","Aug","Sep","Oct","Nov","Dec"},0),LEFT(TRIM(Raw_Export!B2734),2)))))</f>
        <v/>
      </c>
      <c r="C2734" s="36" t="str">
        <f aca="false">IF(Raw_Export!$A2734="","",IFERROR(VLOOKUP(LOWER(TRIM(Raw_Export!C2734)),Maps!$A$2:$B$20,2,FALSE()),"UNMAPPED"))</f>
        <v/>
      </c>
      <c r="D2734" s="36" t="str">
        <f aca="false">IF(Raw_Export!$A2734="","",IFERROR(VLOOKUP(LOWER(TRIM(Raw_Export!D2734)),Maps!$G$2:$I$80,2,FALSE()),"UNMAPPED"))</f>
        <v/>
      </c>
      <c r="E2734" s="36" t="str">
        <f aca="false">IF(Raw_Export!$A2734="","",IFERROR(VLOOKUP(LOWER(TRIM(Raw_Export!D2734)),Maps!$G$2:$I$80,3,FALSE()),"UNMAPPED"))</f>
        <v/>
      </c>
      <c r="F2734" s="36" t="str">
        <f aca="false">IF(Raw_Export!$A2734="","",IFERROR(VALUE(TRIM(Raw_Export!E2734)),0))</f>
        <v/>
      </c>
      <c r="G2734" s="38" t="str">
        <f aca="false">IF(Raw_Export!$A2734="","",IFERROR(VALUE(SUBSTITUTE(SUBSTITUTE(UPPER(TRIM(Raw_Export!F2734)),"KES",""),",","")),0))</f>
        <v/>
      </c>
      <c r="H2734" s="38" t="str">
        <f aca="false">IF(Raw_Export!$A2734="","",F2734*G2734)</f>
        <v/>
      </c>
      <c r="I2734" s="36" t="str">
        <f aca="false">IF(Raw_Export!$A2734="","",IFERROR(VLOOKUP(LOWER(TRIM(Raw_Export!H2734)),Maps!$D$2:$E$12,2,FALSE()),"Other"))</f>
        <v/>
      </c>
      <c r="J2734" s="36" t="str">
        <f aca="false">IF(Raw_Export!$A2734="","",IF(COUNTIF($A$2:A2734,A2734)&gt;1,"Duplicate",""))</f>
        <v/>
      </c>
      <c r="K2734" s="36" t="str">
        <f aca="false">IF(Raw_Export!$A2734="","",IF(J2734="Duplicate","Duplicate",IF(OR(C2734="UNMAPPED",D2734="UNMAPPED"),"Unmapped",IF(F2734=0,"Blank qty",IF(F2734&lt;0,"Return","OK")))))</f>
        <v/>
      </c>
      <c r="L2734" s="36" t="str">
        <f aca="false">IF(Raw_Export!$A2734="","",IF(OR(K2734="OK",K2734="Return"),1,0))</f>
        <v/>
      </c>
      <c r="M2734" s="37" t="str">
        <f aca="false">IF(Raw_Export!$A2734="","",B2734-WEEKDAY(B2734,2)+1)</f>
        <v/>
      </c>
    </row>
    <row r="2735" customFormat="false" ht="15" hidden="false" customHeight="false" outlineLevel="0" collapsed="false">
      <c r="A2735" s="36" t="str">
        <f aca="false">IF(Raw_Export!$A2735="","",TRIM(Raw_Export!A2735))</f>
        <v/>
      </c>
      <c r="B2735" s="37" t="str">
        <f aca="false">IF(Raw_Export!$A2735="","",IF(ISNUMBER(Raw_Export!B2735),Raw_Export!B2735,IF(MID(TRIM(Raw_Export!B2735),5,1)="-",DATE(LEFT(TRIM(Raw_Export!B2735),4),MID(TRIM(Raw_Export!B2735),6,2),RIGHT(TRIM(Raw_Export!B2735),2)),DATE(RIGHT(TRIM(Raw_Export!B2735),4),MATCH(MID(TRIM(Raw_Export!B2735),4,3),{"Jan","Feb","Mar","Apr","May","Jun","Jul","Aug","Sep","Oct","Nov","Dec"},0),LEFT(TRIM(Raw_Export!B2735),2)))))</f>
        <v/>
      </c>
      <c r="C2735" s="36" t="str">
        <f aca="false">IF(Raw_Export!$A2735="","",IFERROR(VLOOKUP(LOWER(TRIM(Raw_Export!C2735)),Maps!$A$2:$B$20,2,FALSE()),"UNMAPPED"))</f>
        <v/>
      </c>
      <c r="D2735" s="36" t="str">
        <f aca="false">IF(Raw_Export!$A2735="","",IFERROR(VLOOKUP(LOWER(TRIM(Raw_Export!D2735)),Maps!$G$2:$I$80,2,FALSE()),"UNMAPPED"))</f>
        <v/>
      </c>
      <c r="E2735" s="36" t="str">
        <f aca="false">IF(Raw_Export!$A2735="","",IFERROR(VLOOKUP(LOWER(TRIM(Raw_Export!D2735)),Maps!$G$2:$I$80,3,FALSE()),"UNMAPPED"))</f>
        <v/>
      </c>
      <c r="F2735" s="36" t="str">
        <f aca="false">IF(Raw_Export!$A2735="","",IFERROR(VALUE(TRIM(Raw_Export!E2735)),0))</f>
        <v/>
      </c>
      <c r="G2735" s="38" t="str">
        <f aca="false">IF(Raw_Export!$A2735="","",IFERROR(VALUE(SUBSTITUTE(SUBSTITUTE(UPPER(TRIM(Raw_Export!F2735)),"KES",""),",","")),0))</f>
        <v/>
      </c>
      <c r="H2735" s="38" t="str">
        <f aca="false">IF(Raw_Export!$A2735="","",F2735*G2735)</f>
        <v/>
      </c>
      <c r="I2735" s="36" t="str">
        <f aca="false">IF(Raw_Export!$A2735="","",IFERROR(VLOOKUP(LOWER(TRIM(Raw_Export!H2735)),Maps!$D$2:$E$12,2,FALSE()),"Other"))</f>
        <v/>
      </c>
      <c r="J2735" s="36" t="str">
        <f aca="false">IF(Raw_Export!$A2735="","",IF(COUNTIF($A$2:A2735,A2735)&gt;1,"Duplicate",""))</f>
        <v/>
      </c>
      <c r="K2735" s="36" t="str">
        <f aca="false">IF(Raw_Export!$A2735="","",IF(J2735="Duplicate","Duplicate",IF(OR(C2735="UNMAPPED",D2735="UNMAPPED"),"Unmapped",IF(F2735=0,"Blank qty",IF(F2735&lt;0,"Return","OK")))))</f>
        <v/>
      </c>
      <c r="L2735" s="36" t="str">
        <f aca="false">IF(Raw_Export!$A2735="","",IF(OR(K2735="OK",K2735="Return"),1,0))</f>
        <v/>
      </c>
      <c r="M2735" s="37" t="str">
        <f aca="false">IF(Raw_Export!$A2735="","",B2735-WEEKDAY(B2735,2)+1)</f>
        <v/>
      </c>
    </row>
    <row r="2736" customFormat="false" ht="15" hidden="false" customHeight="false" outlineLevel="0" collapsed="false">
      <c r="A2736" s="36" t="str">
        <f aca="false">IF(Raw_Export!$A2736="","",TRIM(Raw_Export!A2736))</f>
        <v/>
      </c>
      <c r="B2736" s="37" t="str">
        <f aca="false">IF(Raw_Export!$A2736="","",IF(ISNUMBER(Raw_Export!B2736),Raw_Export!B2736,IF(MID(TRIM(Raw_Export!B2736),5,1)="-",DATE(LEFT(TRIM(Raw_Export!B2736),4),MID(TRIM(Raw_Export!B2736),6,2),RIGHT(TRIM(Raw_Export!B2736),2)),DATE(RIGHT(TRIM(Raw_Export!B2736),4),MATCH(MID(TRIM(Raw_Export!B2736),4,3),{"Jan","Feb","Mar","Apr","May","Jun","Jul","Aug","Sep","Oct","Nov","Dec"},0),LEFT(TRIM(Raw_Export!B2736),2)))))</f>
        <v/>
      </c>
      <c r="C2736" s="36" t="str">
        <f aca="false">IF(Raw_Export!$A2736="","",IFERROR(VLOOKUP(LOWER(TRIM(Raw_Export!C2736)),Maps!$A$2:$B$20,2,FALSE()),"UNMAPPED"))</f>
        <v/>
      </c>
      <c r="D2736" s="36" t="str">
        <f aca="false">IF(Raw_Export!$A2736="","",IFERROR(VLOOKUP(LOWER(TRIM(Raw_Export!D2736)),Maps!$G$2:$I$80,2,FALSE()),"UNMAPPED"))</f>
        <v/>
      </c>
      <c r="E2736" s="36" t="str">
        <f aca="false">IF(Raw_Export!$A2736="","",IFERROR(VLOOKUP(LOWER(TRIM(Raw_Export!D2736)),Maps!$G$2:$I$80,3,FALSE()),"UNMAPPED"))</f>
        <v/>
      </c>
      <c r="F2736" s="36" t="str">
        <f aca="false">IF(Raw_Export!$A2736="","",IFERROR(VALUE(TRIM(Raw_Export!E2736)),0))</f>
        <v/>
      </c>
      <c r="G2736" s="38" t="str">
        <f aca="false">IF(Raw_Export!$A2736="","",IFERROR(VALUE(SUBSTITUTE(SUBSTITUTE(UPPER(TRIM(Raw_Export!F2736)),"KES",""),",","")),0))</f>
        <v/>
      </c>
      <c r="H2736" s="38" t="str">
        <f aca="false">IF(Raw_Export!$A2736="","",F2736*G2736)</f>
        <v/>
      </c>
      <c r="I2736" s="36" t="str">
        <f aca="false">IF(Raw_Export!$A2736="","",IFERROR(VLOOKUP(LOWER(TRIM(Raw_Export!H2736)),Maps!$D$2:$E$12,2,FALSE()),"Other"))</f>
        <v/>
      </c>
      <c r="J2736" s="36" t="str">
        <f aca="false">IF(Raw_Export!$A2736="","",IF(COUNTIF($A$2:A2736,A2736)&gt;1,"Duplicate",""))</f>
        <v/>
      </c>
      <c r="K2736" s="36" t="str">
        <f aca="false">IF(Raw_Export!$A2736="","",IF(J2736="Duplicate","Duplicate",IF(OR(C2736="UNMAPPED",D2736="UNMAPPED"),"Unmapped",IF(F2736=0,"Blank qty",IF(F2736&lt;0,"Return","OK")))))</f>
        <v/>
      </c>
      <c r="L2736" s="36" t="str">
        <f aca="false">IF(Raw_Export!$A2736="","",IF(OR(K2736="OK",K2736="Return"),1,0))</f>
        <v/>
      </c>
      <c r="M2736" s="37" t="str">
        <f aca="false">IF(Raw_Export!$A2736="","",B2736-WEEKDAY(B2736,2)+1)</f>
        <v/>
      </c>
    </row>
    <row r="2737" customFormat="false" ht="15" hidden="false" customHeight="false" outlineLevel="0" collapsed="false">
      <c r="A2737" s="36" t="str">
        <f aca="false">IF(Raw_Export!$A2737="","",TRIM(Raw_Export!A2737))</f>
        <v/>
      </c>
      <c r="B2737" s="37" t="str">
        <f aca="false">IF(Raw_Export!$A2737="","",IF(ISNUMBER(Raw_Export!B2737),Raw_Export!B2737,IF(MID(TRIM(Raw_Export!B2737),5,1)="-",DATE(LEFT(TRIM(Raw_Export!B2737),4),MID(TRIM(Raw_Export!B2737),6,2),RIGHT(TRIM(Raw_Export!B2737),2)),DATE(RIGHT(TRIM(Raw_Export!B2737),4),MATCH(MID(TRIM(Raw_Export!B2737),4,3),{"Jan","Feb","Mar","Apr","May","Jun","Jul","Aug","Sep","Oct","Nov","Dec"},0),LEFT(TRIM(Raw_Export!B2737),2)))))</f>
        <v/>
      </c>
      <c r="C2737" s="36" t="str">
        <f aca="false">IF(Raw_Export!$A2737="","",IFERROR(VLOOKUP(LOWER(TRIM(Raw_Export!C2737)),Maps!$A$2:$B$20,2,FALSE()),"UNMAPPED"))</f>
        <v/>
      </c>
      <c r="D2737" s="36" t="str">
        <f aca="false">IF(Raw_Export!$A2737="","",IFERROR(VLOOKUP(LOWER(TRIM(Raw_Export!D2737)),Maps!$G$2:$I$80,2,FALSE()),"UNMAPPED"))</f>
        <v/>
      </c>
      <c r="E2737" s="36" t="str">
        <f aca="false">IF(Raw_Export!$A2737="","",IFERROR(VLOOKUP(LOWER(TRIM(Raw_Export!D2737)),Maps!$G$2:$I$80,3,FALSE()),"UNMAPPED"))</f>
        <v/>
      </c>
      <c r="F2737" s="36" t="str">
        <f aca="false">IF(Raw_Export!$A2737="","",IFERROR(VALUE(TRIM(Raw_Export!E2737)),0))</f>
        <v/>
      </c>
      <c r="G2737" s="38" t="str">
        <f aca="false">IF(Raw_Export!$A2737="","",IFERROR(VALUE(SUBSTITUTE(SUBSTITUTE(UPPER(TRIM(Raw_Export!F2737)),"KES",""),",","")),0))</f>
        <v/>
      </c>
      <c r="H2737" s="38" t="str">
        <f aca="false">IF(Raw_Export!$A2737="","",F2737*G2737)</f>
        <v/>
      </c>
      <c r="I2737" s="36" t="str">
        <f aca="false">IF(Raw_Export!$A2737="","",IFERROR(VLOOKUP(LOWER(TRIM(Raw_Export!H2737)),Maps!$D$2:$E$12,2,FALSE()),"Other"))</f>
        <v/>
      </c>
      <c r="J2737" s="36" t="str">
        <f aca="false">IF(Raw_Export!$A2737="","",IF(COUNTIF($A$2:A2737,A2737)&gt;1,"Duplicate",""))</f>
        <v/>
      </c>
      <c r="K2737" s="36" t="str">
        <f aca="false">IF(Raw_Export!$A2737="","",IF(J2737="Duplicate","Duplicate",IF(OR(C2737="UNMAPPED",D2737="UNMAPPED"),"Unmapped",IF(F2737=0,"Blank qty",IF(F2737&lt;0,"Return","OK")))))</f>
        <v/>
      </c>
      <c r="L2737" s="36" t="str">
        <f aca="false">IF(Raw_Export!$A2737="","",IF(OR(K2737="OK",K2737="Return"),1,0))</f>
        <v/>
      </c>
      <c r="M2737" s="37" t="str">
        <f aca="false">IF(Raw_Export!$A2737="","",B2737-WEEKDAY(B2737,2)+1)</f>
        <v/>
      </c>
    </row>
    <row r="2738" customFormat="false" ht="15" hidden="false" customHeight="false" outlineLevel="0" collapsed="false">
      <c r="A2738" s="36" t="str">
        <f aca="false">IF(Raw_Export!$A2738="","",TRIM(Raw_Export!A2738))</f>
        <v/>
      </c>
      <c r="B2738" s="37" t="str">
        <f aca="false">IF(Raw_Export!$A2738="","",IF(ISNUMBER(Raw_Export!B2738),Raw_Export!B2738,IF(MID(TRIM(Raw_Export!B2738),5,1)="-",DATE(LEFT(TRIM(Raw_Export!B2738),4),MID(TRIM(Raw_Export!B2738),6,2),RIGHT(TRIM(Raw_Export!B2738),2)),DATE(RIGHT(TRIM(Raw_Export!B2738),4),MATCH(MID(TRIM(Raw_Export!B2738),4,3),{"Jan","Feb","Mar","Apr","May","Jun","Jul","Aug","Sep","Oct","Nov","Dec"},0),LEFT(TRIM(Raw_Export!B2738),2)))))</f>
        <v/>
      </c>
      <c r="C2738" s="36" t="str">
        <f aca="false">IF(Raw_Export!$A2738="","",IFERROR(VLOOKUP(LOWER(TRIM(Raw_Export!C2738)),Maps!$A$2:$B$20,2,FALSE()),"UNMAPPED"))</f>
        <v/>
      </c>
      <c r="D2738" s="36" t="str">
        <f aca="false">IF(Raw_Export!$A2738="","",IFERROR(VLOOKUP(LOWER(TRIM(Raw_Export!D2738)),Maps!$G$2:$I$80,2,FALSE()),"UNMAPPED"))</f>
        <v/>
      </c>
      <c r="E2738" s="36" t="str">
        <f aca="false">IF(Raw_Export!$A2738="","",IFERROR(VLOOKUP(LOWER(TRIM(Raw_Export!D2738)),Maps!$G$2:$I$80,3,FALSE()),"UNMAPPED"))</f>
        <v/>
      </c>
      <c r="F2738" s="36" t="str">
        <f aca="false">IF(Raw_Export!$A2738="","",IFERROR(VALUE(TRIM(Raw_Export!E2738)),0))</f>
        <v/>
      </c>
      <c r="G2738" s="38" t="str">
        <f aca="false">IF(Raw_Export!$A2738="","",IFERROR(VALUE(SUBSTITUTE(SUBSTITUTE(UPPER(TRIM(Raw_Export!F2738)),"KES",""),",","")),0))</f>
        <v/>
      </c>
      <c r="H2738" s="38" t="str">
        <f aca="false">IF(Raw_Export!$A2738="","",F2738*G2738)</f>
        <v/>
      </c>
      <c r="I2738" s="36" t="str">
        <f aca="false">IF(Raw_Export!$A2738="","",IFERROR(VLOOKUP(LOWER(TRIM(Raw_Export!H2738)),Maps!$D$2:$E$12,2,FALSE()),"Other"))</f>
        <v/>
      </c>
      <c r="J2738" s="36" t="str">
        <f aca="false">IF(Raw_Export!$A2738="","",IF(COUNTIF($A$2:A2738,A2738)&gt;1,"Duplicate",""))</f>
        <v/>
      </c>
      <c r="K2738" s="36" t="str">
        <f aca="false">IF(Raw_Export!$A2738="","",IF(J2738="Duplicate","Duplicate",IF(OR(C2738="UNMAPPED",D2738="UNMAPPED"),"Unmapped",IF(F2738=0,"Blank qty",IF(F2738&lt;0,"Return","OK")))))</f>
        <v/>
      </c>
      <c r="L2738" s="36" t="str">
        <f aca="false">IF(Raw_Export!$A2738="","",IF(OR(K2738="OK",K2738="Return"),1,0))</f>
        <v/>
      </c>
      <c r="M2738" s="37" t="str">
        <f aca="false">IF(Raw_Export!$A2738="","",B2738-WEEKDAY(B2738,2)+1)</f>
        <v/>
      </c>
    </row>
    <row r="2739" customFormat="false" ht="15" hidden="false" customHeight="false" outlineLevel="0" collapsed="false">
      <c r="A2739" s="36" t="str">
        <f aca="false">IF(Raw_Export!$A2739="","",TRIM(Raw_Export!A2739))</f>
        <v/>
      </c>
      <c r="B2739" s="37" t="str">
        <f aca="false">IF(Raw_Export!$A2739="","",IF(ISNUMBER(Raw_Export!B2739),Raw_Export!B2739,IF(MID(TRIM(Raw_Export!B2739),5,1)="-",DATE(LEFT(TRIM(Raw_Export!B2739),4),MID(TRIM(Raw_Export!B2739),6,2),RIGHT(TRIM(Raw_Export!B2739),2)),DATE(RIGHT(TRIM(Raw_Export!B2739),4),MATCH(MID(TRIM(Raw_Export!B2739),4,3),{"Jan","Feb","Mar","Apr","May","Jun","Jul","Aug","Sep","Oct","Nov","Dec"},0),LEFT(TRIM(Raw_Export!B2739),2)))))</f>
        <v/>
      </c>
      <c r="C2739" s="36" t="str">
        <f aca="false">IF(Raw_Export!$A2739="","",IFERROR(VLOOKUP(LOWER(TRIM(Raw_Export!C2739)),Maps!$A$2:$B$20,2,FALSE()),"UNMAPPED"))</f>
        <v/>
      </c>
      <c r="D2739" s="36" t="str">
        <f aca="false">IF(Raw_Export!$A2739="","",IFERROR(VLOOKUP(LOWER(TRIM(Raw_Export!D2739)),Maps!$G$2:$I$80,2,FALSE()),"UNMAPPED"))</f>
        <v/>
      </c>
      <c r="E2739" s="36" t="str">
        <f aca="false">IF(Raw_Export!$A2739="","",IFERROR(VLOOKUP(LOWER(TRIM(Raw_Export!D2739)),Maps!$G$2:$I$80,3,FALSE()),"UNMAPPED"))</f>
        <v/>
      </c>
      <c r="F2739" s="36" t="str">
        <f aca="false">IF(Raw_Export!$A2739="","",IFERROR(VALUE(TRIM(Raw_Export!E2739)),0))</f>
        <v/>
      </c>
      <c r="G2739" s="38" t="str">
        <f aca="false">IF(Raw_Export!$A2739="","",IFERROR(VALUE(SUBSTITUTE(SUBSTITUTE(UPPER(TRIM(Raw_Export!F2739)),"KES",""),",","")),0))</f>
        <v/>
      </c>
      <c r="H2739" s="38" t="str">
        <f aca="false">IF(Raw_Export!$A2739="","",F2739*G2739)</f>
        <v/>
      </c>
      <c r="I2739" s="36" t="str">
        <f aca="false">IF(Raw_Export!$A2739="","",IFERROR(VLOOKUP(LOWER(TRIM(Raw_Export!H2739)),Maps!$D$2:$E$12,2,FALSE()),"Other"))</f>
        <v/>
      </c>
      <c r="J2739" s="36" t="str">
        <f aca="false">IF(Raw_Export!$A2739="","",IF(COUNTIF($A$2:A2739,A2739)&gt;1,"Duplicate",""))</f>
        <v/>
      </c>
      <c r="K2739" s="36" t="str">
        <f aca="false">IF(Raw_Export!$A2739="","",IF(J2739="Duplicate","Duplicate",IF(OR(C2739="UNMAPPED",D2739="UNMAPPED"),"Unmapped",IF(F2739=0,"Blank qty",IF(F2739&lt;0,"Return","OK")))))</f>
        <v/>
      </c>
      <c r="L2739" s="36" t="str">
        <f aca="false">IF(Raw_Export!$A2739="","",IF(OR(K2739="OK",K2739="Return"),1,0))</f>
        <v/>
      </c>
      <c r="M2739" s="37" t="str">
        <f aca="false">IF(Raw_Export!$A2739="","",B2739-WEEKDAY(B2739,2)+1)</f>
        <v/>
      </c>
    </row>
    <row r="2740" customFormat="false" ht="15" hidden="false" customHeight="false" outlineLevel="0" collapsed="false">
      <c r="A2740" s="36" t="str">
        <f aca="false">IF(Raw_Export!$A2740="","",TRIM(Raw_Export!A2740))</f>
        <v/>
      </c>
      <c r="B2740" s="37" t="str">
        <f aca="false">IF(Raw_Export!$A2740="","",IF(ISNUMBER(Raw_Export!B2740),Raw_Export!B2740,IF(MID(TRIM(Raw_Export!B2740),5,1)="-",DATE(LEFT(TRIM(Raw_Export!B2740),4),MID(TRIM(Raw_Export!B2740),6,2),RIGHT(TRIM(Raw_Export!B2740),2)),DATE(RIGHT(TRIM(Raw_Export!B2740),4),MATCH(MID(TRIM(Raw_Export!B2740),4,3),{"Jan","Feb","Mar","Apr","May","Jun","Jul","Aug","Sep","Oct","Nov","Dec"},0),LEFT(TRIM(Raw_Export!B2740),2)))))</f>
        <v/>
      </c>
      <c r="C2740" s="36" t="str">
        <f aca="false">IF(Raw_Export!$A2740="","",IFERROR(VLOOKUP(LOWER(TRIM(Raw_Export!C2740)),Maps!$A$2:$B$20,2,FALSE()),"UNMAPPED"))</f>
        <v/>
      </c>
      <c r="D2740" s="36" t="str">
        <f aca="false">IF(Raw_Export!$A2740="","",IFERROR(VLOOKUP(LOWER(TRIM(Raw_Export!D2740)),Maps!$G$2:$I$80,2,FALSE()),"UNMAPPED"))</f>
        <v/>
      </c>
      <c r="E2740" s="36" t="str">
        <f aca="false">IF(Raw_Export!$A2740="","",IFERROR(VLOOKUP(LOWER(TRIM(Raw_Export!D2740)),Maps!$G$2:$I$80,3,FALSE()),"UNMAPPED"))</f>
        <v/>
      </c>
      <c r="F2740" s="36" t="str">
        <f aca="false">IF(Raw_Export!$A2740="","",IFERROR(VALUE(TRIM(Raw_Export!E2740)),0))</f>
        <v/>
      </c>
      <c r="G2740" s="38" t="str">
        <f aca="false">IF(Raw_Export!$A2740="","",IFERROR(VALUE(SUBSTITUTE(SUBSTITUTE(UPPER(TRIM(Raw_Export!F2740)),"KES",""),",","")),0))</f>
        <v/>
      </c>
      <c r="H2740" s="38" t="str">
        <f aca="false">IF(Raw_Export!$A2740="","",F2740*G2740)</f>
        <v/>
      </c>
      <c r="I2740" s="36" t="str">
        <f aca="false">IF(Raw_Export!$A2740="","",IFERROR(VLOOKUP(LOWER(TRIM(Raw_Export!H2740)),Maps!$D$2:$E$12,2,FALSE()),"Other"))</f>
        <v/>
      </c>
      <c r="J2740" s="36" t="str">
        <f aca="false">IF(Raw_Export!$A2740="","",IF(COUNTIF($A$2:A2740,A2740)&gt;1,"Duplicate",""))</f>
        <v/>
      </c>
      <c r="K2740" s="36" t="str">
        <f aca="false">IF(Raw_Export!$A2740="","",IF(J2740="Duplicate","Duplicate",IF(OR(C2740="UNMAPPED",D2740="UNMAPPED"),"Unmapped",IF(F2740=0,"Blank qty",IF(F2740&lt;0,"Return","OK")))))</f>
        <v/>
      </c>
      <c r="L2740" s="36" t="str">
        <f aca="false">IF(Raw_Export!$A2740="","",IF(OR(K2740="OK",K2740="Return"),1,0))</f>
        <v/>
      </c>
      <c r="M2740" s="37" t="str">
        <f aca="false">IF(Raw_Export!$A2740="","",B2740-WEEKDAY(B2740,2)+1)</f>
        <v/>
      </c>
    </row>
    <row r="2741" customFormat="false" ht="15" hidden="false" customHeight="false" outlineLevel="0" collapsed="false">
      <c r="A2741" s="36" t="str">
        <f aca="false">IF(Raw_Export!$A2741="","",TRIM(Raw_Export!A2741))</f>
        <v/>
      </c>
      <c r="B2741" s="37" t="str">
        <f aca="false">IF(Raw_Export!$A2741="","",IF(ISNUMBER(Raw_Export!B2741),Raw_Export!B2741,IF(MID(TRIM(Raw_Export!B2741),5,1)="-",DATE(LEFT(TRIM(Raw_Export!B2741),4),MID(TRIM(Raw_Export!B2741),6,2),RIGHT(TRIM(Raw_Export!B2741),2)),DATE(RIGHT(TRIM(Raw_Export!B2741),4),MATCH(MID(TRIM(Raw_Export!B2741),4,3),{"Jan","Feb","Mar","Apr","May","Jun","Jul","Aug","Sep","Oct","Nov","Dec"},0),LEFT(TRIM(Raw_Export!B2741),2)))))</f>
        <v/>
      </c>
      <c r="C2741" s="36" t="str">
        <f aca="false">IF(Raw_Export!$A2741="","",IFERROR(VLOOKUP(LOWER(TRIM(Raw_Export!C2741)),Maps!$A$2:$B$20,2,FALSE()),"UNMAPPED"))</f>
        <v/>
      </c>
      <c r="D2741" s="36" t="str">
        <f aca="false">IF(Raw_Export!$A2741="","",IFERROR(VLOOKUP(LOWER(TRIM(Raw_Export!D2741)),Maps!$G$2:$I$80,2,FALSE()),"UNMAPPED"))</f>
        <v/>
      </c>
      <c r="E2741" s="36" t="str">
        <f aca="false">IF(Raw_Export!$A2741="","",IFERROR(VLOOKUP(LOWER(TRIM(Raw_Export!D2741)),Maps!$G$2:$I$80,3,FALSE()),"UNMAPPED"))</f>
        <v/>
      </c>
      <c r="F2741" s="36" t="str">
        <f aca="false">IF(Raw_Export!$A2741="","",IFERROR(VALUE(TRIM(Raw_Export!E2741)),0))</f>
        <v/>
      </c>
      <c r="G2741" s="38" t="str">
        <f aca="false">IF(Raw_Export!$A2741="","",IFERROR(VALUE(SUBSTITUTE(SUBSTITUTE(UPPER(TRIM(Raw_Export!F2741)),"KES",""),",","")),0))</f>
        <v/>
      </c>
      <c r="H2741" s="38" t="str">
        <f aca="false">IF(Raw_Export!$A2741="","",F2741*G2741)</f>
        <v/>
      </c>
      <c r="I2741" s="36" t="str">
        <f aca="false">IF(Raw_Export!$A2741="","",IFERROR(VLOOKUP(LOWER(TRIM(Raw_Export!H2741)),Maps!$D$2:$E$12,2,FALSE()),"Other"))</f>
        <v/>
      </c>
      <c r="J2741" s="36" t="str">
        <f aca="false">IF(Raw_Export!$A2741="","",IF(COUNTIF($A$2:A2741,A2741)&gt;1,"Duplicate",""))</f>
        <v/>
      </c>
      <c r="K2741" s="36" t="str">
        <f aca="false">IF(Raw_Export!$A2741="","",IF(J2741="Duplicate","Duplicate",IF(OR(C2741="UNMAPPED",D2741="UNMAPPED"),"Unmapped",IF(F2741=0,"Blank qty",IF(F2741&lt;0,"Return","OK")))))</f>
        <v/>
      </c>
      <c r="L2741" s="36" t="str">
        <f aca="false">IF(Raw_Export!$A2741="","",IF(OR(K2741="OK",K2741="Return"),1,0))</f>
        <v/>
      </c>
      <c r="M2741" s="37" t="str">
        <f aca="false">IF(Raw_Export!$A2741="","",B2741-WEEKDAY(B2741,2)+1)</f>
        <v/>
      </c>
    </row>
    <row r="2742" customFormat="false" ht="15" hidden="false" customHeight="false" outlineLevel="0" collapsed="false">
      <c r="A2742" s="36" t="str">
        <f aca="false">IF(Raw_Export!$A2742="","",TRIM(Raw_Export!A2742))</f>
        <v/>
      </c>
      <c r="B2742" s="37" t="str">
        <f aca="false">IF(Raw_Export!$A2742="","",IF(ISNUMBER(Raw_Export!B2742),Raw_Export!B2742,IF(MID(TRIM(Raw_Export!B2742),5,1)="-",DATE(LEFT(TRIM(Raw_Export!B2742),4),MID(TRIM(Raw_Export!B2742),6,2),RIGHT(TRIM(Raw_Export!B2742),2)),DATE(RIGHT(TRIM(Raw_Export!B2742),4),MATCH(MID(TRIM(Raw_Export!B2742),4,3),{"Jan","Feb","Mar","Apr","May","Jun","Jul","Aug","Sep","Oct","Nov","Dec"},0),LEFT(TRIM(Raw_Export!B2742),2)))))</f>
        <v/>
      </c>
      <c r="C2742" s="36" t="str">
        <f aca="false">IF(Raw_Export!$A2742="","",IFERROR(VLOOKUP(LOWER(TRIM(Raw_Export!C2742)),Maps!$A$2:$B$20,2,FALSE()),"UNMAPPED"))</f>
        <v/>
      </c>
      <c r="D2742" s="36" t="str">
        <f aca="false">IF(Raw_Export!$A2742="","",IFERROR(VLOOKUP(LOWER(TRIM(Raw_Export!D2742)),Maps!$G$2:$I$80,2,FALSE()),"UNMAPPED"))</f>
        <v/>
      </c>
      <c r="E2742" s="36" t="str">
        <f aca="false">IF(Raw_Export!$A2742="","",IFERROR(VLOOKUP(LOWER(TRIM(Raw_Export!D2742)),Maps!$G$2:$I$80,3,FALSE()),"UNMAPPED"))</f>
        <v/>
      </c>
      <c r="F2742" s="36" t="str">
        <f aca="false">IF(Raw_Export!$A2742="","",IFERROR(VALUE(TRIM(Raw_Export!E2742)),0))</f>
        <v/>
      </c>
      <c r="G2742" s="38" t="str">
        <f aca="false">IF(Raw_Export!$A2742="","",IFERROR(VALUE(SUBSTITUTE(SUBSTITUTE(UPPER(TRIM(Raw_Export!F2742)),"KES",""),",","")),0))</f>
        <v/>
      </c>
      <c r="H2742" s="38" t="str">
        <f aca="false">IF(Raw_Export!$A2742="","",F2742*G2742)</f>
        <v/>
      </c>
      <c r="I2742" s="36" t="str">
        <f aca="false">IF(Raw_Export!$A2742="","",IFERROR(VLOOKUP(LOWER(TRIM(Raw_Export!H2742)),Maps!$D$2:$E$12,2,FALSE()),"Other"))</f>
        <v/>
      </c>
      <c r="J2742" s="36" t="str">
        <f aca="false">IF(Raw_Export!$A2742="","",IF(COUNTIF($A$2:A2742,A2742)&gt;1,"Duplicate",""))</f>
        <v/>
      </c>
      <c r="K2742" s="36" t="str">
        <f aca="false">IF(Raw_Export!$A2742="","",IF(J2742="Duplicate","Duplicate",IF(OR(C2742="UNMAPPED",D2742="UNMAPPED"),"Unmapped",IF(F2742=0,"Blank qty",IF(F2742&lt;0,"Return","OK")))))</f>
        <v/>
      </c>
      <c r="L2742" s="36" t="str">
        <f aca="false">IF(Raw_Export!$A2742="","",IF(OR(K2742="OK",K2742="Return"),1,0))</f>
        <v/>
      </c>
      <c r="M2742" s="37" t="str">
        <f aca="false">IF(Raw_Export!$A2742="","",B2742-WEEKDAY(B2742,2)+1)</f>
        <v/>
      </c>
    </row>
    <row r="2743" customFormat="false" ht="15" hidden="false" customHeight="false" outlineLevel="0" collapsed="false">
      <c r="A2743" s="36" t="str">
        <f aca="false">IF(Raw_Export!$A2743="","",TRIM(Raw_Export!A2743))</f>
        <v/>
      </c>
      <c r="B2743" s="37" t="str">
        <f aca="false">IF(Raw_Export!$A2743="","",IF(ISNUMBER(Raw_Export!B2743),Raw_Export!B2743,IF(MID(TRIM(Raw_Export!B2743),5,1)="-",DATE(LEFT(TRIM(Raw_Export!B2743),4),MID(TRIM(Raw_Export!B2743),6,2),RIGHT(TRIM(Raw_Export!B2743),2)),DATE(RIGHT(TRIM(Raw_Export!B2743),4),MATCH(MID(TRIM(Raw_Export!B2743),4,3),{"Jan","Feb","Mar","Apr","May","Jun","Jul","Aug","Sep","Oct","Nov","Dec"},0),LEFT(TRIM(Raw_Export!B2743),2)))))</f>
        <v/>
      </c>
      <c r="C2743" s="36" t="str">
        <f aca="false">IF(Raw_Export!$A2743="","",IFERROR(VLOOKUP(LOWER(TRIM(Raw_Export!C2743)),Maps!$A$2:$B$20,2,FALSE()),"UNMAPPED"))</f>
        <v/>
      </c>
      <c r="D2743" s="36" t="str">
        <f aca="false">IF(Raw_Export!$A2743="","",IFERROR(VLOOKUP(LOWER(TRIM(Raw_Export!D2743)),Maps!$G$2:$I$80,2,FALSE()),"UNMAPPED"))</f>
        <v/>
      </c>
      <c r="E2743" s="36" t="str">
        <f aca="false">IF(Raw_Export!$A2743="","",IFERROR(VLOOKUP(LOWER(TRIM(Raw_Export!D2743)),Maps!$G$2:$I$80,3,FALSE()),"UNMAPPED"))</f>
        <v/>
      </c>
      <c r="F2743" s="36" t="str">
        <f aca="false">IF(Raw_Export!$A2743="","",IFERROR(VALUE(TRIM(Raw_Export!E2743)),0))</f>
        <v/>
      </c>
      <c r="G2743" s="38" t="str">
        <f aca="false">IF(Raw_Export!$A2743="","",IFERROR(VALUE(SUBSTITUTE(SUBSTITUTE(UPPER(TRIM(Raw_Export!F2743)),"KES",""),",","")),0))</f>
        <v/>
      </c>
      <c r="H2743" s="38" t="str">
        <f aca="false">IF(Raw_Export!$A2743="","",F2743*G2743)</f>
        <v/>
      </c>
      <c r="I2743" s="36" t="str">
        <f aca="false">IF(Raw_Export!$A2743="","",IFERROR(VLOOKUP(LOWER(TRIM(Raw_Export!H2743)),Maps!$D$2:$E$12,2,FALSE()),"Other"))</f>
        <v/>
      </c>
      <c r="J2743" s="36" t="str">
        <f aca="false">IF(Raw_Export!$A2743="","",IF(COUNTIF($A$2:A2743,A2743)&gt;1,"Duplicate",""))</f>
        <v/>
      </c>
      <c r="K2743" s="36" t="str">
        <f aca="false">IF(Raw_Export!$A2743="","",IF(J2743="Duplicate","Duplicate",IF(OR(C2743="UNMAPPED",D2743="UNMAPPED"),"Unmapped",IF(F2743=0,"Blank qty",IF(F2743&lt;0,"Return","OK")))))</f>
        <v/>
      </c>
      <c r="L2743" s="36" t="str">
        <f aca="false">IF(Raw_Export!$A2743="","",IF(OR(K2743="OK",K2743="Return"),1,0))</f>
        <v/>
      </c>
      <c r="M2743" s="37" t="str">
        <f aca="false">IF(Raw_Export!$A2743="","",B2743-WEEKDAY(B2743,2)+1)</f>
        <v/>
      </c>
    </row>
    <row r="2744" customFormat="false" ht="15" hidden="false" customHeight="false" outlineLevel="0" collapsed="false">
      <c r="A2744" s="36" t="str">
        <f aca="false">IF(Raw_Export!$A2744="","",TRIM(Raw_Export!A2744))</f>
        <v/>
      </c>
      <c r="B2744" s="37" t="str">
        <f aca="false">IF(Raw_Export!$A2744="","",IF(ISNUMBER(Raw_Export!B2744),Raw_Export!B2744,IF(MID(TRIM(Raw_Export!B2744),5,1)="-",DATE(LEFT(TRIM(Raw_Export!B2744),4),MID(TRIM(Raw_Export!B2744),6,2),RIGHT(TRIM(Raw_Export!B2744),2)),DATE(RIGHT(TRIM(Raw_Export!B2744),4),MATCH(MID(TRIM(Raw_Export!B2744),4,3),{"Jan","Feb","Mar","Apr","May","Jun","Jul","Aug","Sep","Oct","Nov","Dec"},0),LEFT(TRIM(Raw_Export!B2744),2)))))</f>
        <v/>
      </c>
      <c r="C2744" s="36" t="str">
        <f aca="false">IF(Raw_Export!$A2744="","",IFERROR(VLOOKUP(LOWER(TRIM(Raw_Export!C2744)),Maps!$A$2:$B$20,2,FALSE()),"UNMAPPED"))</f>
        <v/>
      </c>
      <c r="D2744" s="36" t="str">
        <f aca="false">IF(Raw_Export!$A2744="","",IFERROR(VLOOKUP(LOWER(TRIM(Raw_Export!D2744)),Maps!$G$2:$I$80,2,FALSE()),"UNMAPPED"))</f>
        <v/>
      </c>
      <c r="E2744" s="36" t="str">
        <f aca="false">IF(Raw_Export!$A2744="","",IFERROR(VLOOKUP(LOWER(TRIM(Raw_Export!D2744)),Maps!$G$2:$I$80,3,FALSE()),"UNMAPPED"))</f>
        <v/>
      </c>
      <c r="F2744" s="36" t="str">
        <f aca="false">IF(Raw_Export!$A2744="","",IFERROR(VALUE(TRIM(Raw_Export!E2744)),0))</f>
        <v/>
      </c>
      <c r="G2744" s="38" t="str">
        <f aca="false">IF(Raw_Export!$A2744="","",IFERROR(VALUE(SUBSTITUTE(SUBSTITUTE(UPPER(TRIM(Raw_Export!F2744)),"KES",""),",","")),0))</f>
        <v/>
      </c>
      <c r="H2744" s="38" t="str">
        <f aca="false">IF(Raw_Export!$A2744="","",F2744*G2744)</f>
        <v/>
      </c>
      <c r="I2744" s="36" t="str">
        <f aca="false">IF(Raw_Export!$A2744="","",IFERROR(VLOOKUP(LOWER(TRIM(Raw_Export!H2744)),Maps!$D$2:$E$12,2,FALSE()),"Other"))</f>
        <v/>
      </c>
      <c r="J2744" s="36" t="str">
        <f aca="false">IF(Raw_Export!$A2744="","",IF(COUNTIF($A$2:A2744,A2744)&gt;1,"Duplicate",""))</f>
        <v/>
      </c>
      <c r="K2744" s="36" t="str">
        <f aca="false">IF(Raw_Export!$A2744="","",IF(J2744="Duplicate","Duplicate",IF(OR(C2744="UNMAPPED",D2744="UNMAPPED"),"Unmapped",IF(F2744=0,"Blank qty",IF(F2744&lt;0,"Return","OK")))))</f>
        <v/>
      </c>
      <c r="L2744" s="36" t="str">
        <f aca="false">IF(Raw_Export!$A2744="","",IF(OR(K2744="OK",K2744="Return"),1,0))</f>
        <v/>
      </c>
      <c r="M2744" s="37" t="str">
        <f aca="false">IF(Raw_Export!$A2744="","",B2744-WEEKDAY(B2744,2)+1)</f>
        <v/>
      </c>
    </row>
    <row r="2745" customFormat="false" ht="15" hidden="false" customHeight="false" outlineLevel="0" collapsed="false">
      <c r="A2745" s="36" t="str">
        <f aca="false">IF(Raw_Export!$A2745="","",TRIM(Raw_Export!A2745))</f>
        <v/>
      </c>
      <c r="B2745" s="37" t="str">
        <f aca="false">IF(Raw_Export!$A2745="","",IF(ISNUMBER(Raw_Export!B2745),Raw_Export!B2745,IF(MID(TRIM(Raw_Export!B2745),5,1)="-",DATE(LEFT(TRIM(Raw_Export!B2745),4),MID(TRIM(Raw_Export!B2745),6,2),RIGHT(TRIM(Raw_Export!B2745),2)),DATE(RIGHT(TRIM(Raw_Export!B2745),4),MATCH(MID(TRIM(Raw_Export!B2745),4,3),{"Jan","Feb","Mar","Apr","May","Jun","Jul","Aug","Sep","Oct","Nov","Dec"},0),LEFT(TRIM(Raw_Export!B2745),2)))))</f>
        <v/>
      </c>
      <c r="C2745" s="36" t="str">
        <f aca="false">IF(Raw_Export!$A2745="","",IFERROR(VLOOKUP(LOWER(TRIM(Raw_Export!C2745)),Maps!$A$2:$B$20,2,FALSE()),"UNMAPPED"))</f>
        <v/>
      </c>
      <c r="D2745" s="36" t="str">
        <f aca="false">IF(Raw_Export!$A2745="","",IFERROR(VLOOKUP(LOWER(TRIM(Raw_Export!D2745)),Maps!$G$2:$I$80,2,FALSE()),"UNMAPPED"))</f>
        <v/>
      </c>
      <c r="E2745" s="36" t="str">
        <f aca="false">IF(Raw_Export!$A2745="","",IFERROR(VLOOKUP(LOWER(TRIM(Raw_Export!D2745)),Maps!$G$2:$I$80,3,FALSE()),"UNMAPPED"))</f>
        <v/>
      </c>
      <c r="F2745" s="36" t="str">
        <f aca="false">IF(Raw_Export!$A2745="","",IFERROR(VALUE(TRIM(Raw_Export!E2745)),0))</f>
        <v/>
      </c>
      <c r="G2745" s="38" t="str">
        <f aca="false">IF(Raw_Export!$A2745="","",IFERROR(VALUE(SUBSTITUTE(SUBSTITUTE(UPPER(TRIM(Raw_Export!F2745)),"KES",""),",","")),0))</f>
        <v/>
      </c>
      <c r="H2745" s="38" t="str">
        <f aca="false">IF(Raw_Export!$A2745="","",F2745*G2745)</f>
        <v/>
      </c>
      <c r="I2745" s="36" t="str">
        <f aca="false">IF(Raw_Export!$A2745="","",IFERROR(VLOOKUP(LOWER(TRIM(Raw_Export!H2745)),Maps!$D$2:$E$12,2,FALSE()),"Other"))</f>
        <v/>
      </c>
      <c r="J2745" s="36" t="str">
        <f aca="false">IF(Raw_Export!$A2745="","",IF(COUNTIF($A$2:A2745,A2745)&gt;1,"Duplicate",""))</f>
        <v/>
      </c>
      <c r="K2745" s="36" t="str">
        <f aca="false">IF(Raw_Export!$A2745="","",IF(J2745="Duplicate","Duplicate",IF(OR(C2745="UNMAPPED",D2745="UNMAPPED"),"Unmapped",IF(F2745=0,"Blank qty",IF(F2745&lt;0,"Return","OK")))))</f>
        <v/>
      </c>
      <c r="L2745" s="36" t="str">
        <f aca="false">IF(Raw_Export!$A2745="","",IF(OR(K2745="OK",K2745="Return"),1,0))</f>
        <v/>
      </c>
      <c r="M2745" s="37" t="str">
        <f aca="false">IF(Raw_Export!$A2745="","",B2745-WEEKDAY(B2745,2)+1)</f>
        <v/>
      </c>
    </row>
    <row r="2746" customFormat="false" ht="15" hidden="false" customHeight="false" outlineLevel="0" collapsed="false">
      <c r="A2746" s="36" t="str">
        <f aca="false">IF(Raw_Export!$A2746="","",TRIM(Raw_Export!A2746))</f>
        <v/>
      </c>
      <c r="B2746" s="37" t="str">
        <f aca="false">IF(Raw_Export!$A2746="","",IF(ISNUMBER(Raw_Export!B2746),Raw_Export!B2746,IF(MID(TRIM(Raw_Export!B2746),5,1)="-",DATE(LEFT(TRIM(Raw_Export!B2746),4),MID(TRIM(Raw_Export!B2746),6,2),RIGHT(TRIM(Raw_Export!B2746),2)),DATE(RIGHT(TRIM(Raw_Export!B2746),4),MATCH(MID(TRIM(Raw_Export!B2746),4,3),{"Jan","Feb","Mar","Apr","May","Jun","Jul","Aug","Sep","Oct","Nov","Dec"},0),LEFT(TRIM(Raw_Export!B2746),2)))))</f>
        <v/>
      </c>
      <c r="C2746" s="36" t="str">
        <f aca="false">IF(Raw_Export!$A2746="","",IFERROR(VLOOKUP(LOWER(TRIM(Raw_Export!C2746)),Maps!$A$2:$B$20,2,FALSE()),"UNMAPPED"))</f>
        <v/>
      </c>
      <c r="D2746" s="36" t="str">
        <f aca="false">IF(Raw_Export!$A2746="","",IFERROR(VLOOKUP(LOWER(TRIM(Raw_Export!D2746)),Maps!$G$2:$I$80,2,FALSE()),"UNMAPPED"))</f>
        <v/>
      </c>
      <c r="E2746" s="36" t="str">
        <f aca="false">IF(Raw_Export!$A2746="","",IFERROR(VLOOKUP(LOWER(TRIM(Raw_Export!D2746)),Maps!$G$2:$I$80,3,FALSE()),"UNMAPPED"))</f>
        <v/>
      </c>
      <c r="F2746" s="36" t="str">
        <f aca="false">IF(Raw_Export!$A2746="","",IFERROR(VALUE(TRIM(Raw_Export!E2746)),0))</f>
        <v/>
      </c>
      <c r="G2746" s="38" t="str">
        <f aca="false">IF(Raw_Export!$A2746="","",IFERROR(VALUE(SUBSTITUTE(SUBSTITUTE(UPPER(TRIM(Raw_Export!F2746)),"KES",""),",","")),0))</f>
        <v/>
      </c>
      <c r="H2746" s="38" t="str">
        <f aca="false">IF(Raw_Export!$A2746="","",F2746*G2746)</f>
        <v/>
      </c>
      <c r="I2746" s="36" t="str">
        <f aca="false">IF(Raw_Export!$A2746="","",IFERROR(VLOOKUP(LOWER(TRIM(Raw_Export!H2746)),Maps!$D$2:$E$12,2,FALSE()),"Other"))</f>
        <v/>
      </c>
      <c r="J2746" s="36" t="str">
        <f aca="false">IF(Raw_Export!$A2746="","",IF(COUNTIF($A$2:A2746,A2746)&gt;1,"Duplicate",""))</f>
        <v/>
      </c>
      <c r="K2746" s="36" t="str">
        <f aca="false">IF(Raw_Export!$A2746="","",IF(J2746="Duplicate","Duplicate",IF(OR(C2746="UNMAPPED",D2746="UNMAPPED"),"Unmapped",IF(F2746=0,"Blank qty",IF(F2746&lt;0,"Return","OK")))))</f>
        <v/>
      </c>
      <c r="L2746" s="36" t="str">
        <f aca="false">IF(Raw_Export!$A2746="","",IF(OR(K2746="OK",K2746="Return"),1,0))</f>
        <v/>
      </c>
      <c r="M2746" s="37" t="str">
        <f aca="false">IF(Raw_Export!$A2746="","",B2746-WEEKDAY(B2746,2)+1)</f>
        <v/>
      </c>
    </row>
    <row r="2747" customFormat="false" ht="15" hidden="false" customHeight="false" outlineLevel="0" collapsed="false">
      <c r="A2747" s="36" t="str">
        <f aca="false">IF(Raw_Export!$A2747="","",TRIM(Raw_Export!A2747))</f>
        <v/>
      </c>
      <c r="B2747" s="37" t="str">
        <f aca="false">IF(Raw_Export!$A2747="","",IF(ISNUMBER(Raw_Export!B2747),Raw_Export!B2747,IF(MID(TRIM(Raw_Export!B2747),5,1)="-",DATE(LEFT(TRIM(Raw_Export!B2747),4),MID(TRIM(Raw_Export!B2747),6,2),RIGHT(TRIM(Raw_Export!B2747),2)),DATE(RIGHT(TRIM(Raw_Export!B2747),4),MATCH(MID(TRIM(Raw_Export!B2747),4,3),{"Jan","Feb","Mar","Apr","May","Jun","Jul","Aug","Sep","Oct","Nov","Dec"},0),LEFT(TRIM(Raw_Export!B2747),2)))))</f>
        <v/>
      </c>
      <c r="C2747" s="36" t="str">
        <f aca="false">IF(Raw_Export!$A2747="","",IFERROR(VLOOKUP(LOWER(TRIM(Raw_Export!C2747)),Maps!$A$2:$B$20,2,FALSE()),"UNMAPPED"))</f>
        <v/>
      </c>
      <c r="D2747" s="36" t="str">
        <f aca="false">IF(Raw_Export!$A2747="","",IFERROR(VLOOKUP(LOWER(TRIM(Raw_Export!D2747)),Maps!$G$2:$I$80,2,FALSE()),"UNMAPPED"))</f>
        <v/>
      </c>
      <c r="E2747" s="36" t="str">
        <f aca="false">IF(Raw_Export!$A2747="","",IFERROR(VLOOKUP(LOWER(TRIM(Raw_Export!D2747)),Maps!$G$2:$I$80,3,FALSE()),"UNMAPPED"))</f>
        <v/>
      </c>
      <c r="F2747" s="36" t="str">
        <f aca="false">IF(Raw_Export!$A2747="","",IFERROR(VALUE(TRIM(Raw_Export!E2747)),0))</f>
        <v/>
      </c>
      <c r="G2747" s="38" t="str">
        <f aca="false">IF(Raw_Export!$A2747="","",IFERROR(VALUE(SUBSTITUTE(SUBSTITUTE(UPPER(TRIM(Raw_Export!F2747)),"KES",""),",","")),0))</f>
        <v/>
      </c>
      <c r="H2747" s="38" t="str">
        <f aca="false">IF(Raw_Export!$A2747="","",F2747*G2747)</f>
        <v/>
      </c>
      <c r="I2747" s="36" t="str">
        <f aca="false">IF(Raw_Export!$A2747="","",IFERROR(VLOOKUP(LOWER(TRIM(Raw_Export!H2747)),Maps!$D$2:$E$12,2,FALSE()),"Other"))</f>
        <v/>
      </c>
      <c r="J2747" s="36" t="str">
        <f aca="false">IF(Raw_Export!$A2747="","",IF(COUNTIF($A$2:A2747,A2747)&gt;1,"Duplicate",""))</f>
        <v/>
      </c>
      <c r="K2747" s="36" t="str">
        <f aca="false">IF(Raw_Export!$A2747="","",IF(J2747="Duplicate","Duplicate",IF(OR(C2747="UNMAPPED",D2747="UNMAPPED"),"Unmapped",IF(F2747=0,"Blank qty",IF(F2747&lt;0,"Return","OK")))))</f>
        <v/>
      </c>
      <c r="L2747" s="36" t="str">
        <f aca="false">IF(Raw_Export!$A2747="","",IF(OR(K2747="OK",K2747="Return"),1,0))</f>
        <v/>
      </c>
      <c r="M2747" s="37" t="str">
        <f aca="false">IF(Raw_Export!$A2747="","",B2747-WEEKDAY(B2747,2)+1)</f>
        <v/>
      </c>
    </row>
    <row r="2748" customFormat="false" ht="15" hidden="false" customHeight="false" outlineLevel="0" collapsed="false">
      <c r="A2748" s="36" t="str">
        <f aca="false">IF(Raw_Export!$A2748="","",TRIM(Raw_Export!A2748))</f>
        <v/>
      </c>
      <c r="B2748" s="37" t="str">
        <f aca="false">IF(Raw_Export!$A2748="","",IF(ISNUMBER(Raw_Export!B2748),Raw_Export!B2748,IF(MID(TRIM(Raw_Export!B2748),5,1)="-",DATE(LEFT(TRIM(Raw_Export!B2748),4),MID(TRIM(Raw_Export!B2748),6,2),RIGHT(TRIM(Raw_Export!B2748),2)),DATE(RIGHT(TRIM(Raw_Export!B2748),4),MATCH(MID(TRIM(Raw_Export!B2748),4,3),{"Jan","Feb","Mar","Apr","May","Jun","Jul","Aug","Sep","Oct","Nov","Dec"},0),LEFT(TRIM(Raw_Export!B2748),2)))))</f>
        <v/>
      </c>
      <c r="C2748" s="36" t="str">
        <f aca="false">IF(Raw_Export!$A2748="","",IFERROR(VLOOKUP(LOWER(TRIM(Raw_Export!C2748)),Maps!$A$2:$B$20,2,FALSE()),"UNMAPPED"))</f>
        <v/>
      </c>
      <c r="D2748" s="36" t="str">
        <f aca="false">IF(Raw_Export!$A2748="","",IFERROR(VLOOKUP(LOWER(TRIM(Raw_Export!D2748)),Maps!$G$2:$I$80,2,FALSE()),"UNMAPPED"))</f>
        <v/>
      </c>
      <c r="E2748" s="36" t="str">
        <f aca="false">IF(Raw_Export!$A2748="","",IFERROR(VLOOKUP(LOWER(TRIM(Raw_Export!D2748)),Maps!$G$2:$I$80,3,FALSE()),"UNMAPPED"))</f>
        <v/>
      </c>
      <c r="F2748" s="36" t="str">
        <f aca="false">IF(Raw_Export!$A2748="","",IFERROR(VALUE(TRIM(Raw_Export!E2748)),0))</f>
        <v/>
      </c>
      <c r="G2748" s="38" t="str">
        <f aca="false">IF(Raw_Export!$A2748="","",IFERROR(VALUE(SUBSTITUTE(SUBSTITUTE(UPPER(TRIM(Raw_Export!F2748)),"KES",""),",","")),0))</f>
        <v/>
      </c>
      <c r="H2748" s="38" t="str">
        <f aca="false">IF(Raw_Export!$A2748="","",F2748*G2748)</f>
        <v/>
      </c>
      <c r="I2748" s="36" t="str">
        <f aca="false">IF(Raw_Export!$A2748="","",IFERROR(VLOOKUP(LOWER(TRIM(Raw_Export!H2748)),Maps!$D$2:$E$12,2,FALSE()),"Other"))</f>
        <v/>
      </c>
      <c r="J2748" s="36" t="str">
        <f aca="false">IF(Raw_Export!$A2748="","",IF(COUNTIF($A$2:A2748,A2748)&gt;1,"Duplicate",""))</f>
        <v/>
      </c>
      <c r="K2748" s="36" t="str">
        <f aca="false">IF(Raw_Export!$A2748="","",IF(J2748="Duplicate","Duplicate",IF(OR(C2748="UNMAPPED",D2748="UNMAPPED"),"Unmapped",IF(F2748=0,"Blank qty",IF(F2748&lt;0,"Return","OK")))))</f>
        <v/>
      </c>
      <c r="L2748" s="36" t="str">
        <f aca="false">IF(Raw_Export!$A2748="","",IF(OR(K2748="OK",K2748="Return"),1,0))</f>
        <v/>
      </c>
      <c r="M2748" s="37" t="str">
        <f aca="false">IF(Raw_Export!$A2748="","",B2748-WEEKDAY(B2748,2)+1)</f>
        <v/>
      </c>
    </row>
    <row r="2749" customFormat="false" ht="15" hidden="false" customHeight="false" outlineLevel="0" collapsed="false">
      <c r="A2749" s="36" t="str">
        <f aca="false">IF(Raw_Export!$A2749="","",TRIM(Raw_Export!A2749))</f>
        <v/>
      </c>
      <c r="B2749" s="37" t="str">
        <f aca="false">IF(Raw_Export!$A2749="","",IF(ISNUMBER(Raw_Export!B2749),Raw_Export!B2749,IF(MID(TRIM(Raw_Export!B2749),5,1)="-",DATE(LEFT(TRIM(Raw_Export!B2749),4),MID(TRIM(Raw_Export!B2749),6,2),RIGHT(TRIM(Raw_Export!B2749),2)),DATE(RIGHT(TRIM(Raw_Export!B2749),4),MATCH(MID(TRIM(Raw_Export!B2749),4,3),{"Jan","Feb","Mar","Apr","May","Jun","Jul","Aug","Sep","Oct","Nov","Dec"},0),LEFT(TRIM(Raw_Export!B2749),2)))))</f>
        <v/>
      </c>
      <c r="C2749" s="36" t="str">
        <f aca="false">IF(Raw_Export!$A2749="","",IFERROR(VLOOKUP(LOWER(TRIM(Raw_Export!C2749)),Maps!$A$2:$B$20,2,FALSE()),"UNMAPPED"))</f>
        <v/>
      </c>
      <c r="D2749" s="36" t="str">
        <f aca="false">IF(Raw_Export!$A2749="","",IFERROR(VLOOKUP(LOWER(TRIM(Raw_Export!D2749)),Maps!$G$2:$I$80,2,FALSE()),"UNMAPPED"))</f>
        <v/>
      </c>
      <c r="E2749" s="36" t="str">
        <f aca="false">IF(Raw_Export!$A2749="","",IFERROR(VLOOKUP(LOWER(TRIM(Raw_Export!D2749)),Maps!$G$2:$I$80,3,FALSE()),"UNMAPPED"))</f>
        <v/>
      </c>
      <c r="F2749" s="36" t="str">
        <f aca="false">IF(Raw_Export!$A2749="","",IFERROR(VALUE(TRIM(Raw_Export!E2749)),0))</f>
        <v/>
      </c>
      <c r="G2749" s="38" t="str">
        <f aca="false">IF(Raw_Export!$A2749="","",IFERROR(VALUE(SUBSTITUTE(SUBSTITUTE(UPPER(TRIM(Raw_Export!F2749)),"KES",""),",","")),0))</f>
        <v/>
      </c>
      <c r="H2749" s="38" t="str">
        <f aca="false">IF(Raw_Export!$A2749="","",F2749*G2749)</f>
        <v/>
      </c>
      <c r="I2749" s="36" t="str">
        <f aca="false">IF(Raw_Export!$A2749="","",IFERROR(VLOOKUP(LOWER(TRIM(Raw_Export!H2749)),Maps!$D$2:$E$12,2,FALSE()),"Other"))</f>
        <v/>
      </c>
      <c r="J2749" s="36" t="str">
        <f aca="false">IF(Raw_Export!$A2749="","",IF(COUNTIF($A$2:A2749,A2749)&gt;1,"Duplicate",""))</f>
        <v/>
      </c>
      <c r="K2749" s="36" t="str">
        <f aca="false">IF(Raw_Export!$A2749="","",IF(J2749="Duplicate","Duplicate",IF(OR(C2749="UNMAPPED",D2749="UNMAPPED"),"Unmapped",IF(F2749=0,"Blank qty",IF(F2749&lt;0,"Return","OK")))))</f>
        <v/>
      </c>
      <c r="L2749" s="36" t="str">
        <f aca="false">IF(Raw_Export!$A2749="","",IF(OR(K2749="OK",K2749="Return"),1,0))</f>
        <v/>
      </c>
      <c r="M2749" s="37" t="str">
        <f aca="false">IF(Raw_Export!$A2749="","",B2749-WEEKDAY(B2749,2)+1)</f>
        <v/>
      </c>
    </row>
    <row r="2750" customFormat="false" ht="15" hidden="false" customHeight="false" outlineLevel="0" collapsed="false">
      <c r="A2750" s="36" t="str">
        <f aca="false">IF(Raw_Export!$A2750="","",TRIM(Raw_Export!A2750))</f>
        <v/>
      </c>
      <c r="B2750" s="37" t="str">
        <f aca="false">IF(Raw_Export!$A2750="","",IF(ISNUMBER(Raw_Export!B2750),Raw_Export!B2750,IF(MID(TRIM(Raw_Export!B2750),5,1)="-",DATE(LEFT(TRIM(Raw_Export!B2750),4),MID(TRIM(Raw_Export!B2750),6,2),RIGHT(TRIM(Raw_Export!B2750),2)),DATE(RIGHT(TRIM(Raw_Export!B2750),4),MATCH(MID(TRIM(Raw_Export!B2750),4,3),{"Jan","Feb","Mar","Apr","May","Jun","Jul","Aug","Sep","Oct","Nov","Dec"},0),LEFT(TRIM(Raw_Export!B2750),2)))))</f>
        <v/>
      </c>
      <c r="C2750" s="36" t="str">
        <f aca="false">IF(Raw_Export!$A2750="","",IFERROR(VLOOKUP(LOWER(TRIM(Raw_Export!C2750)),Maps!$A$2:$B$20,2,FALSE()),"UNMAPPED"))</f>
        <v/>
      </c>
      <c r="D2750" s="36" t="str">
        <f aca="false">IF(Raw_Export!$A2750="","",IFERROR(VLOOKUP(LOWER(TRIM(Raw_Export!D2750)),Maps!$G$2:$I$80,2,FALSE()),"UNMAPPED"))</f>
        <v/>
      </c>
      <c r="E2750" s="36" t="str">
        <f aca="false">IF(Raw_Export!$A2750="","",IFERROR(VLOOKUP(LOWER(TRIM(Raw_Export!D2750)),Maps!$G$2:$I$80,3,FALSE()),"UNMAPPED"))</f>
        <v/>
      </c>
      <c r="F2750" s="36" t="str">
        <f aca="false">IF(Raw_Export!$A2750="","",IFERROR(VALUE(TRIM(Raw_Export!E2750)),0))</f>
        <v/>
      </c>
      <c r="G2750" s="38" t="str">
        <f aca="false">IF(Raw_Export!$A2750="","",IFERROR(VALUE(SUBSTITUTE(SUBSTITUTE(UPPER(TRIM(Raw_Export!F2750)),"KES",""),",","")),0))</f>
        <v/>
      </c>
      <c r="H2750" s="38" t="str">
        <f aca="false">IF(Raw_Export!$A2750="","",F2750*G2750)</f>
        <v/>
      </c>
      <c r="I2750" s="36" t="str">
        <f aca="false">IF(Raw_Export!$A2750="","",IFERROR(VLOOKUP(LOWER(TRIM(Raw_Export!H2750)),Maps!$D$2:$E$12,2,FALSE()),"Other"))</f>
        <v/>
      </c>
      <c r="J2750" s="36" t="str">
        <f aca="false">IF(Raw_Export!$A2750="","",IF(COUNTIF($A$2:A2750,A2750)&gt;1,"Duplicate",""))</f>
        <v/>
      </c>
      <c r="K2750" s="36" t="str">
        <f aca="false">IF(Raw_Export!$A2750="","",IF(J2750="Duplicate","Duplicate",IF(OR(C2750="UNMAPPED",D2750="UNMAPPED"),"Unmapped",IF(F2750=0,"Blank qty",IF(F2750&lt;0,"Return","OK")))))</f>
        <v/>
      </c>
      <c r="L2750" s="36" t="str">
        <f aca="false">IF(Raw_Export!$A2750="","",IF(OR(K2750="OK",K2750="Return"),1,0))</f>
        <v/>
      </c>
      <c r="M2750" s="37" t="str">
        <f aca="false">IF(Raw_Export!$A2750="","",B2750-WEEKDAY(B2750,2)+1)</f>
        <v/>
      </c>
    </row>
    <row r="2751" customFormat="false" ht="15" hidden="false" customHeight="false" outlineLevel="0" collapsed="false">
      <c r="A2751" s="36" t="str">
        <f aca="false">IF(Raw_Export!$A2751="","",TRIM(Raw_Export!A2751))</f>
        <v/>
      </c>
      <c r="B2751" s="37" t="str">
        <f aca="false">IF(Raw_Export!$A2751="","",IF(ISNUMBER(Raw_Export!B2751),Raw_Export!B2751,IF(MID(TRIM(Raw_Export!B2751),5,1)="-",DATE(LEFT(TRIM(Raw_Export!B2751),4),MID(TRIM(Raw_Export!B2751),6,2),RIGHT(TRIM(Raw_Export!B2751),2)),DATE(RIGHT(TRIM(Raw_Export!B2751),4),MATCH(MID(TRIM(Raw_Export!B2751),4,3),{"Jan","Feb","Mar","Apr","May","Jun","Jul","Aug","Sep","Oct","Nov","Dec"},0),LEFT(TRIM(Raw_Export!B2751),2)))))</f>
        <v/>
      </c>
      <c r="C2751" s="36" t="str">
        <f aca="false">IF(Raw_Export!$A2751="","",IFERROR(VLOOKUP(LOWER(TRIM(Raw_Export!C2751)),Maps!$A$2:$B$20,2,FALSE()),"UNMAPPED"))</f>
        <v/>
      </c>
      <c r="D2751" s="36" t="str">
        <f aca="false">IF(Raw_Export!$A2751="","",IFERROR(VLOOKUP(LOWER(TRIM(Raw_Export!D2751)),Maps!$G$2:$I$80,2,FALSE()),"UNMAPPED"))</f>
        <v/>
      </c>
      <c r="E2751" s="36" t="str">
        <f aca="false">IF(Raw_Export!$A2751="","",IFERROR(VLOOKUP(LOWER(TRIM(Raw_Export!D2751)),Maps!$G$2:$I$80,3,FALSE()),"UNMAPPED"))</f>
        <v/>
      </c>
      <c r="F2751" s="36" t="str">
        <f aca="false">IF(Raw_Export!$A2751="","",IFERROR(VALUE(TRIM(Raw_Export!E2751)),0))</f>
        <v/>
      </c>
      <c r="G2751" s="38" t="str">
        <f aca="false">IF(Raw_Export!$A2751="","",IFERROR(VALUE(SUBSTITUTE(SUBSTITUTE(UPPER(TRIM(Raw_Export!F2751)),"KES",""),",","")),0))</f>
        <v/>
      </c>
      <c r="H2751" s="38" t="str">
        <f aca="false">IF(Raw_Export!$A2751="","",F2751*G2751)</f>
        <v/>
      </c>
      <c r="I2751" s="36" t="str">
        <f aca="false">IF(Raw_Export!$A2751="","",IFERROR(VLOOKUP(LOWER(TRIM(Raw_Export!H2751)),Maps!$D$2:$E$12,2,FALSE()),"Other"))</f>
        <v/>
      </c>
      <c r="J2751" s="36" t="str">
        <f aca="false">IF(Raw_Export!$A2751="","",IF(COUNTIF($A$2:A2751,A2751)&gt;1,"Duplicate",""))</f>
        <v/>
      </c>
      <c r="K2751" s="36" t="str">
        <f aca="false">IF(Raw_Export!$A2751="","",IF(J2751="Duplicate","Duplicate",IF(OR(C2751="UNMAPPED",D2751="UNMAPPED"),"Unmapped",IF(F2751=0,"Blank qty",IF(F2751&lt;0,"Return","OK")))))</f>
        <v/>
      </c>
      <c r="L2751" s="36" t="str">
        <f aca="false">IF(Raw_Export!$A2751="","",IF(OR(K2751="OK",K2751="Return"),1,0))</f>
        <v/>
      </c>
      <c r="M2751" s="37" t="str">
        <f aca="false">IF(Raw_Export!$A2751="","",B2751-WEEKDAY(B2751,2)+1)</f>
        <v/>
      </c>
    </row>
    <row r="2752" customFormat="false" ht="15" hidden="false" customHeight="false" outlineLevel="0" collapsed="false">
      <c r="A2752" s="36" t="str">
        <f aca="false">IF(Raw_Export!$A2752="","",TRIM(Raw_Export!A2752))</f>
        <v/>
      </c>
      <c r="B2752" s="37" t="str">
        <f aca="false">IF(Raw_Export!$A2752="","",IF(ISNUMBER(Raw_Export!B2752),Raw_Export!B2752,IF(MID(TRIM(Raw_Export!B2752),5,1)="-",DATE(LEFT(TRIM(Raw_Export!B2752),4),MID(TRIM(Raw_Export!B2752),6,2),RIGHT(TRIM(Raw_Export!B2752),2)),DATE(RIGHT(TRIM(Raw_Export!B2752),4),MATCH(MID(TRIM(Raw_Export!B2752),4,3),{"Jan","Feb","Mar","Apr","May","Jun","Jul","Aug","Sep","Oct","Nov","Dec"},0),LEFT(TRIM(Raw_Export!B2752),2)))))</f>
        <v/>
      </c>
      <c r="C2752" s="36" t="str">
        <f aca="false">IF(Raw_Export!$A2752="","",IFERROR(VLOOKUP(LOWER(TRIM(Raw_Export!C2752)),Maps!$A$2:$B$20,2,FALSE()),"UNMAPPED"))</f>
        <v/>
      </c>
      <c r="D2752" s="36" t="str">
        <f aca="false">IF(Raw_Export!$A2752="","",IFERROR(VLOOKUP(LOWER(TRIM(Raw_Export!D2752)),Maps!$G$2:$I$80,2,FALSE()),"UNMAPPED"))</f>
        <v/>
      </c>
      <c r="E2752" s="36" t="str">
        <f aca="false">IF(Raw_Export!$A2752="","",IFERROR(VLOOKUP(LOWER(TRIM(Raw_Export!D2752)),Maps!$G$2:$I$80,3,FALSE()),"UNMAPPED"))</f>
        <v/>
      </c>
      <c r="F2752" s="36" t="str">
        <f aca="false">IF(Raw_Export!$A2752="","",IFERROR(VALUE(TRIM(Raw_Export!E2752)),0))</f>
        <v/>
      </c>
      <c r="G2752" s="38" t="str">
        <f aca="false">IF(Raw_Export!$A2752="","",IFERROR(VALUE(SUBSTITUTE(SUBSTITUTE(UPPER(TRIM(Raw_Export!F2752)),"KES",""),",","")),0))</f>
        <v/>
      </c>
      <c r="H2752" s="38" t="str">
        <f aca="false">IF(Raw_Export!$A2752="","",F2752*G2752)</f>
        <v/>
      </c>
      <c r="I2752" s="36" t="str">
        <f aca="false">IF(Raw_Export!$A2752="","",IFERROR(VLOOKUP(LOWER(TRIM(Raw_Export!H2752)),Maps!$D$2:$E$12,2,FALSE()),"Other"))</f>
        <v/>
      </c>
      <c r="J2752" s="36" t="str">
        <f aca="false">IF(Raw_Export!$A2752="","",IF(COUNTIF($A$2:A2752,A2752)&gt;1,"Duplicate",""))</f>
        <v/>
      </c>
      <c r="K2752" s="36" t="str">
        <f aca="false">IF(Raw_Export!$A2752="","",IF(J2752="Duplicate","Duplicate",IF(OR(C2752="UNMAPPED",D2752="UNMAPPED"),"Unmapped",IF(F2752=0,"Blank qty",IF(F2752&lt;0,"Return","OK")))))</f>
        <v/>
      </c>
      <c r="L2752" s="36" t="str">
        <f aca="false">IF(Raw_Export!$A2752="","",IF(OR(K2752="OK",K2752="Return"),1,0))</f>
        <v/>
      </c>
      <c r="M2752" s="37" t="str">
        <f aca="false">IF(Raw_Export!$A2752="","",B2752-WEEKDAY(B2752,2)+1)</f>
        <v/>
      </c>
    </row>
    <row r="2753" customFormat="false" ht="15" hidden="false" customHeight="false" outlineLevel="0" collapsed="false">
      <c r="A2753" s="36" t="str">
        <f aca="false">IF(Raw_Export!$A2753="","",TRIM(Raw_Export!A2753))</f>
        <v/>
      </c>
      <c r="B2753" s="37" t="str">
        <f aca="false">IF(Raw_Export!$A2753="","",IF(ISNUMBER(Raw_Export!B2753),Raw_Export!B2753,IF(MID(TRIM(Raw_Export!B2753),5,1)="-",DATE(LEFT(TRIM(Raw_Export!B2753),4),MID(TRIM(Raw_Export!B2753),6,2),RIGHT(TRIM(Raw_Export!B2753),2)),DATE(RIGHT(TRIM(Raw_Export!B2753),4),MATCH(MID(TRIM(Raw_Export!B2753),4,3),{"Jan","Feb","Mar","Apr","May","Jun","Jul","Aug","Sep","Oct","Nov","Dec"},0),LEFT(TRIM(Raw_Export!B2753),2)))))</f>
        <v/>
      </c>
      <c r="C2753" s="36" t="str">
        <f aca="false">IF(Raw_Export!$A2753="","",IFERROR(VLOOKUP(LOWER(TRIM(Raw_Export!C2753)),Maps!$A$2:$B$20,2,FALSE()),"UNMAPPED"))</f>
        <v/>
      </c>
      <c r="D2753" s="36" t="str">
        <f aca="false">IF(Raw_Export!$A2753="","",IFERROR(VLOOKUP(LOWER(TRIM(Raw_Export!D2753)),Maps!$G$2:$I$80,2,FALSE()),"UNMAPPED"))</f>
        <v/>
      </c>
      <c r="E2753" s="36" t="str">
        <f aca="false">IF(Raw_Export!$A2753="","",IFERROR(VLOOKUP(LOWER(TRIM(Raw_Export!D2753)),Maps!$G$2:$I$80,3,FALSE()),"UNMAPPED"))</f>
        <v/>
      </c>
      <c r="F2753" s="36" t="str">
        <f aca="false">IF(Raw_Export!$A2753="","",IFERROR(VALUE(TRIM(Raw_Export!E2753)),0))</f>
        <v/>
      </c>
      <c r="G2753" s="38" t="str">
        <f aca="false">IF(Raw_Export!$A2753="","",IFERROR(VALUE(SUBSTITUTE(SUBSTITUTE(UPPER(TRIM(Raw_Export!F2753)),"KES",""),",","")),0))</f>
        <v/>
      </c>
      <c r="H2753" s="38" t="str">
        <f aca="false">IF(Raw_Export!$A2753="","",F2753*G2753)</f>
        <v/>
      </c>
      <c r="I2753" s="36" t="str">
        <f aca="false">IF(Raw_Export!$A2753="","",IFERROR(VLOOKUP(LOWER(TRIM(Raw_Export!H2753)),Maps!$D$2:$E$12,2,FALSE()),"Other"))</f>
        <v/>
      </c>
      <c r="J2753" s="36" t="str">
        <f aca="false">IF(Raw_Export!$A2753="","",IF(COUNTIF($A$2:A2753,A2753)&gt;1,"Duplicate",""))</f>
        <v/>
      </c>
      <c r="K2753" s="36" t="str">
        <f aca="false">IF(Raw_Export!$A2753="","",IF(J2753="Duplicate","Duplicate",IF(OR(C2753="UNMAPPED",D2753="UNMAPPED"),"Unmapped",IF(F2753=0,"Blank qty",IF(F2753&lt;0,"Return","OK")))))</f>
        <v/>
      </c>
      <c r="L2753" s="36" t="str">
        <f aca="false">IF(Raw_Export!$A2753="","",IF(OR(K2753="OK",K2753="Return"),1,0))</f>
        <v/>
      </c>
      <c r="M2753" s="37" t="str">
        <f aca="false">IF(Raw_Export!$A2753="","",B2753-WEEKDAY(B2753,2)+1)</f>
        <v/>
      </c>
    </row>
    <row r="2754" customFormat="false" ht="15" hidden="false" customHeight="false" outlineLevel="0" collapsed="false">
      <c r="A2754" s="36" t="str">
        <f aca="false">IF(Raw_Export!$A2754="","",TRIM(Raw_Export!A2754))</f>
        <v/>
      </c>
      <c r="B2754" s="37" t="str">
        <f aca="false">IF(Raw_Export!$A2754="","",IF(ISNUMBER(Raw_Export!B2754),Raw_Export!B2754,IF(MID(TRIM(Raw_Export!B2754),5,1)="-",DATE(LEFT(TRIM(Raw_Export!B2754),4),MID(TRIM(Raw_Export!B2754),6,2),RIGHT(TRIM(Raw_Export!B2754),2)),DATE(RIGHT(TRIM(Raw_Export!B2754),4),MATCH(MID(TRIM(Raw_Export!B2754),4,3),{"Jan","Feb","Mar","Apr","May","Jun","Jul","Aug","Sep","Oct","Nov","Dec"},0),LEFT(TRIM(Raw_Export!B2754),2)))))</f>
        <v/>
      </c>
      <c r="C2754" s="36" t="str">
        <f aca="false">IF(Raw_Export!$A2754="","",IFERROR(VLOOKUP(LOWER(TRIM(Raw_Export!C2754)),Maps!$A$2:$B$20,2,FALSE()),"UNMAPPED"))</f>
        <v/>
      </c>
      <c r="D2754" s="36" t="str">
        <f aca="false">IF(Raw_Export!$A2754="","",IFERROR(VLOOKUP(LOWER(TRIM(Raw_Export!D2754)),Maps!$G$2:$I$80,2,FALSE()),"UNMAPPED"))</f>
        <v/>
      </c>
      <c r="E2754" s="36" t="str">
        <f aca="false">IF(Raw_Export!$A2754="","",IFERROR(VLOOKUP(LOWER(TRIM(Raw_Export!D2754)),Maps!$G$2:$I$80,3,FALSE()),"UNMAPPED"))</f>
        <v/>
      </c>
      <c r="F2754" s="36" t="str">
        <f aca="false">IF(Raw_Export!$A2754="","",IFERROR(VALUE(TRIM(Raw_Export!E2754)),0))</f>
        <v/>
      </c>
      <c r="G2754" s="38" t="str">
        <f aca="false">IF(Raw_Export!$A2754="","",IFERROR(VALUE(SUBSTITUTE(SUBSTITUTE(UPPER(TRIM(Raw_Export!F2754)),"KES",""),",","")),0))</f>
        <v/>
      </c>
      <c r="H2754" s="38" t="str">
        <f aca="false">IF(Raw_Export!$A2754="","",F2754*G2754)</f>
        <v/>
      </c>
      <c r="I2754" s="36" t="str">
        <f aca="false">IF(Raw_Export!$A2754="","",IFERROR(VLOOKUP(LOWER(TRIM(Raw_Export!H2754)),Maps!$D$2:$E$12,2,FALSE()),"Other"))</f>
        <v/>
      </c>
      <c r="J2754" s="36" t="str">
        <f aca="false">IF(Raw_Export!$A2754="","",IF(COUNTIF($A$2:A2754,A2754)&gt;1,"Duplicate",""))</f>
        <v/>
      </c>
      <c r="K2754" s="36" t="str">
        <f aca="false">IF(Raw_Export!$A2754="","",IF(J2754="Duplicate","Duplicate",IF(OR(C2754="UNMAPPED",D2754="UNMAPPED"),"Unmapped",IF(F2754=0,"Blank qty",IF(F2754&lt;0,"Return","OK")))))</f>
        <v/>
      </c>
      <c r="L2754" s="36" t="str">
        <f aca="false">IF(Raw_Export!$A2754="","",IF(OR(K2754="OK",K2754="Return"),1,0))</f>
        <v/>
      </c>
      <c r="M2754" s="37" t="str">
        <f aca="false">IF(Raw_Export!$A2754="","",B2754-WEEKDAY(B2754,2)+1)</f>
        <v/>
      </c>
    </row>
    <row r="2755" customFormat="false" ht="15" hidden="false" customHeight="false" outlineLevel="0" collapsed="false">
      <c r="A2755" s="36" t="str">
        <f aca="false">IF(Raw_Export!$A2755="","",TRIM(Raw_Export!A2755))</f>
        <v/>
      </c>
      <c r="B2755" s="37" t="str">
        <f aca="false">IF(Raw_Export!$A2755="","",IF(ISNUMBER(Raw_Export!B2755),Raw_Export!B2755,IF(MID(TRIM(Raw_Export!B2755),5,1)="-",DATE(LEFT(TRIM(Raw_Export!B2755),4),MID(TRIM(Raw_Export!B2755),6,2),RIGHT(TRIM(Raw_Export!B2755),2)),DATE(RIGHT(TRIM(Raw_Export!B2755),4),MATCH(MID(TRIM(Raw_Export!B2755),4,3),{"Jan","Feb","Mar","Apr","May","Jun","Jul","Aug","Sep","Oct","Nov","Dec"},0),LEFT(TRIM(Raw_Export!B2755),2)))))</f>
        <v/>
      </c>
      <c r="C2755" s="36" t="str">
        <f aca="false">IF(Raw_Export!$A2755="","",IFERROR(VLOOKUP(LOWER(TRIM(Raw_Export!C2755)),Maps!$A$2:$B$20,2,FALSE()),"UNMAPPED"))</f>
        <v/>
      </c>
      <c r="D2755" s="36" t="str">
        <f aca="false">IF(Raw_Export!$A2755="","",IFERROR(VLOOKUP(LOWER(TRIM(Raw_Export!D2755)),Maps!$G$2:$I$80,2,FALSE()),"UNMAPPED"))</f>
        <v/>
      </c>
      <c r="E2755" s="36" t="str">
        <f aca="false">IF(Raw_Export!$A2755="","",IFERROR(VLOOKUP(LOWER(TRIM(Raw_Export!D2755)),Maps!$G$2:$I$80,3,FALSE()),"UNMAPPED"))</f>
        <v/>
      </c>
      <c r="F2755" s="36" t="str">
        <f aca="false">IF(Raw_Export!$A2755="","",IFERROR(VALUE(TRIM(Raw_Export!E2755)),0))</f>
        <v/>
      </c>
      <c r="G2755" s="38" t="str">
        <f aca="false">IF(Raw_Export!$A2755="","",IFERROR(VALUE(SUBSTITUTE(SUBSTITUTE(UPPER(TRIM(Raw_Export!F2755)),"KES",""),",","")),0))</f>
        <v/>
      </c>
      <c r="H2755" s="38" t="str">
        <f aca="false">IF(Raw_Export!$A2755="","",F2755*G2755)</f>
        <v/>
      </c>
      <c r="I2755" s="36" t="str">
        <f aca="false">IF(Raw_Export!$A2755="","",IFERROR(VLOOKUP(LOWER(TRIM(Raw_Export!H2755)),Maps!$D$2:$E$12,2,FALSE()),"Other"))</f>
        <v/>
      </c>
      <c r="J2755" s="36" t="str">
        <f aca="false">IF(Raw_Export!$A2755="","",IF(COUNTIF($A$2:A2755,A2755)&gt;1,"Duplicate",""))</f>
        <v/>
      </c>
      <c r="K2755" s="36" t="str">
        <f aca="false">IF(Raw_Export!$A2755="","",IF(J2755="Duplicate","Duplicate",IF(OR(C2755="UNMAPPED",D2755="UNMAPPED"),"Unmapped",IF(F2755=0,"Blank qty",IF(F2755&lt;0,"Return","OK")))))</f>
        <v/>
      </c>
      <c r="L2755" s="36" t="str">
        <f aca="false">IF(Raw_Export!$A2755="","",IF(OR(K2755="OK",K2755="Return"),1,0))</f>
        <v/>
      </c>
      <c r="M2755" s="37" t="str">
        <f aca="false">IF(Raw_Export!$A2755="","",B2755-WEEKDAY(B2755,2)+1)</f>
        <v/>
      </c>
    </row>
    <row r="2756" customFormat="false" ht="15" hidden="false" customHeight="false" outlineLevel="0" collapsed="false">
      <c r="A2756" s="36" t="str">
        <f aca="false">IF(Raw_Export!$A2756="","",TRIM(Raw_Export!A2756))</f>
        <v/>
      </c>
      <c r="B2756" s="37" t="str">
        <f aca="false">IF(Raw_Export!$A2756="","",IF(ISNUMBER(Raw_Export!B2756),Raw_Export!B2756,IF(MID(TRIM(Raw_Export!B2756),5,1)="-",DATE(LEFT(TRIM(Raw_Export!B2756),4),MID(TRIM(Raw_Export!B2756),6,2),RIGHT(TRIM(Raw_Export!B2756),2)),DATE(RIGHT(TRIM(Raw_Export!B2756),4),MATCH(MID(TRIM(Raw_Export!B2756),4,3),{"Jan","Feb","Mar","Apr","May","Jun","Jul","Aug","Sep","Oct","Nov","Dec"},0),LEFT(TRIM(Raw_Export!B2756),2)))))</f>
        <v/>
      </c>
      <c r="C2756" s="36" t="str">
        <f aca="false">IF(Raw_Export!$A2756="","",IFERROR(VLOOKUP(LOWER(TRIM(Raw_Export!C2756)),Maps!$A$2:$B$20,2,FALSE()),"UNMAPPED"))</f>
        <v/>
      </c>
      <c r="D2756" s="36" t="str">
        <f aca="false">IF(Raw_Export!$A2756="","",IFERROR(VLOOKUP(LOWER(TRIM(Raw_Export!D2756)),Maps!$G$2:$I$80,2,FALSE()),"UNMAPPED"))</f>
        <v/>
      </c>
      <c r="E2756" s="36" t="str">
        <f aca="false">IF(Raw_Export!$A2756="","",IFERROR(VLOOKUP(LOWER(TRIM(Raw_Export!D2756)),Maps!$G$2:$I$80,3,FALSE()),"UNMAPPED"))</f>
        <v/>
      </c>
      <c r="F2756" s="36" t="str">
        <f aca="false">IF(Raw_Export!$A2756="","",IFERROR(VALUE(TRIM(Raw_Export!E2756)),0))</f>
        <v/>
      </c>
      <c r="G2756" s="38" t="str">
        <f aca="false">IF(Raw_Export!$A2756="","",IFERROR(VALUE(SUBSTITUTE(SUBSTITUTE(UPPER(TRIM(Raw_Export!F2756)),"KES",""),",","")),0))</f>
        <v/>
      </c>
      <c r="H2756" s="38" t="str">
        <f aca="false">IF(Raw_Export!$A2756="","",F2756*G2756)</f>
        <v/>
      </c>
      <c r="I2756" s="36" t="str">
        <f aca="false">IF(Raw_Export!$A2756="","",IFERROR(VLOOKUP(LOWER(TRIM(Raw_Export!H2756)),Maps!$D$2:$E$12,2,FALSE()),"Other"))</f>
        <v/>
      </c>
      <c r="J2756" s="36" t="str">
        <f aca="false">IF(Raw_Export!$A2756="","",IF(COUNTIF($A$2:A2756,A2756)&gt;1,"Duplicate",""))</f>
        <v/>
      </c>
      <c r="K2756" s="36" t="str">
        <f aca="false">IF(Raw_Export!$A2756="","",IF(J2756="Duplicate","Duplicate",IF(OR(C2756="UNMAPPED",D2756="UNMAPPED"),"Unmapped",IF(F2756=0,"Blank qty",IF(F2756&lt;0,"Return","OK")))))</f>
        <v/>
      </c>
      <c r="L2756" s="36" t="str">
        <f aca="false">IF(Raw_Export!$A2756="","",IF(OR(K2756="OK",K2756="Return"),1,0))</f>
        <v/>
      </c>
      <c r="M2756" s="37" t="str">
        <f aca="false">IF(Raw_Export!$A2756="","",B2756-WEEKDAY(B2756,2)+1)</f>
        <v/>
      </c>
    </row>
    <row r="2757" customFormat="false" ht="15" hidden="false" customHeight="false" outlineLevel="0" collapsed="false">
      <c r="A2757" s="36" t="str">
        <f aca="false">IF(Raw_Export!$A2757="","",TRIM(Raw_Export!A2757))</f>
        <v/>
      </c>
      <c r="B2757" s="37" t="str">
        <f aca="false">IF(Raw_Export!$A2757="","",IF(ISNUMBER(Raw_Export!B2757),Raw_Export!B2757,IF(MID(TRIM(Raw_Export!B2757),5,1)="-",DATE(LEFT(TRIM(Raw_Export!B2757),4),MID(TRIM(Raw_Export!B2757),6,2),RIGHT(TRIM(Raw_Export!B2757),2)),DATE(RIGHT(TRIM(Raw_Export!B2757),4),MATCH(MID(TRIM(Raw_Export!B2757),4,3),{"Jan","Feb","Mar","Apr","May","Jun","Jul","Aug","Sep","Oct","Nov","Dec"},0),LEFT(TRIM(Raw_Export!B2757),2)))))</f>
        <v/>
      </c>
      <c r="C2757" s="36" t="str">
        <f aca="false">IF(Raw_Export!$A2757="","",IFERROR(VLOOKUP(LOWER(TRIM(Raw_Export!C2757)),Maps!$A$2:$B$20,2,FALSE()),"UNMAPPED"))</f>
        <v/>
      </c>
      <c r="D2757" s="36" t="str">
        <f aca="false">IF(Raw_Export!$A2757="","",IFERROR(VLOOKUP(LOWER(TRIM(Raw_Export!D2757)),Maps!$G$2:$I$80,2,FALSE()),"UNMAPPED"))</f>
        <v/>
      </c>
      <c r="E2757" s="36" t="str">
        <f aca="false">IF(Raw_Export!$A2757="","",IFERROR(VLOOKUP(LOWER(TRIM(Raw_Export!D2757)),Maps!$G$2:$I$80,3,FALSE()),"UNMAPPED"))</f>
        <v/>
      </c>
      <c r="F2757" s="36" t="str">
        <f aca="false">IF(Raw_Export!$A2757="","",IFERROR(VALUE(TRIM(Raw_Export!E2757)),0))</f>
        <v/>
      </c>
      <c r="G2757" s="38" t="str">
        <f aca="false">IF(Raw_Export!$A2757="","",IFERROR(VALUE(SUBSTITUTE(SUBSTITUTE(UPPER(TRIM(Raw_Export!F2757)),"KES",""),",","")),0))</f>
        <v/>
      </c>
      <c r="H2757" s="38" t="str">
        <f aca="false">IF(Raw_Export!$A2757="","",F2757*G2757)</f>
        <v/>
      </c>
      <c r="I2757" s="36" t="str">
        <f aca="false">IF(Raw_Export!$A2757="","",IFERROR(VLOOKUP(LOWER(TRIM(Raw_Export!H2757)),Maps!$D$2:$E$12,2,FALSE()),"Other"))</f>
        <v/>
      </c>
      <c r="J2757" s="36" t="str">
        <f aca="false">IF(Raw_Export!$A2757="","",IF(COUNTIF($A$2:A2757,A2757)&gt;1,"Duplicate",""))</f>
        <v/>
      </c>
      <c r="K2757" s="36" t="str">
        <f aca="false">IF(Raw_Export!$A2757="","",IF(J2757="Duplicate","Duplicate",IF(OR(C2757="UNMAPPED",D2757="UNMAPPED"),"Unmapped",IF(F2757=0,"Blank qty",IF(F2757&lt;0,"Return","OK")))))</f>
        <v/>
      </c>
      <c r="L2757" s="36" t="str">
        <f aca="false">IF(Raw_Export!$A2757="","",IF(OR(K2757="OK",K2757="Return"),1,0))</f>
        <v/>
      </c>
      <c r="M2757" s="37" t="str">
        <f aca="false">IF(Raw_Export!$A2757="","",B2757-WEEKDAY(B2757,2)+1)</f>
        <v/>
      </c>
    </row>
    <row r="2758" customFormat="false" ht="15" hidden="false" customHeight="false" outlineLevel="0" collapsed="false">
      <c r="A2758" s="36" t="str">
        <f aca="false">IF(Raw_Export!$A2758="","",TRIM(Raw_Export!A2758))</f>
        <v/>
      </c>
      <c r="B2758" s="37" t="str">
        <f aca="false">IF(Raw_Export!$A2758="","",IF(ISNUMBER(Raw_Export!B2758),Raw_Export!B2758,IF(MID(TRIM(Raw_Export!B2758),5,1)="-",DATE(LEFT(TRIM(Raw_Export!B2758),4),MID(TRIM(Raw_Export!B2758),6,2),RIGHT(TRIM(Raw_Export!B2758),2)),DATE(RIGHT(TRIM(Raw_Export!B2758),4),MATCH(MID(TRIM(Raw_Export!B2758),4,3),{"Jan","Feb","Mar","Apr","May","Jun","Jul","Aug","Sep","Oct","Nov","Dec"},0),LEFT(TRIM(Raw_Export!B2758),2)))))</f>
        <v/>
      </c>
      <c r="C2758" s="36" t="str">
        <f aca="false">IF(Raw_Export!$A2758="","",IFERROR(VLOOKUP(LOWER(TRIM(Raw_Export!C2758)),Maps!$A$2:$B$20,2,FALSE()),"UNMAPPED"))</f>
        <v/>
      </c>
      <c r="D2758" s="36" t="str">
        <f aca="false">IF(Raw_Export!$A2758="","",IFERROR(VLOOKUP(LOWER(TRIM(Raw_Export!D2758)),Maps!$G$2:$I$80,2,FALSE()),"UNMAPPED"))</f>
        <v/>
      </c>
      <c r="E2758" s="36" t="str">
        <f aca="false">IF(Raw_Export!$A2758="","",IFERROR(VLOOKUP(LOWER(TRIM(Raw_Export!D2758)),Maps!$G$2:$I$80,3,FALSE()),"UNMAPPED"))</f>
        <v/>
      </c>
      <c r="F2758" s="36" t="str">
        <f aca="false">IF(Raw_Export!$A2758="","",IFERROR(VALUE(TRIM(Raw_Export!E2758)),0))</f>
        <v/>
      </c>
      <c r="G2758" s="38" t="str">
        <f aca="false">IF(Raw_Export!$A2758="","",IFERROR(VALUE(SUBSTITUTE(SUBSTITUTE(UPPER(TRIM(Raw_Export!F2758)),"KES",""),",","")),0))</f>
        <v/>
      </c>
      <c r="H2758" s="38" t="str">
        <f aca="false">IF(Raw_Export!$A2758="","",F2758*G2758)</f>
        <v/>
      </c>
      <c r="I2758" s="36" t="str">
        <f aca="false">IF(Raw_Export!$A2758="","",IFERROR(VLOOKUP(LOWER(TRIM(Raw_Export!H2758)),Maps!$D$2:$E$12,2,FALSE()),"Other"))</f>
        <v/>
      </c>
      <c r="J2758" s="36" t="str">
        <f aca="false">IF(Raw_Export!$A2758="","",IF(COUNTIF($A$2:A2758,A2758)&gt;1,"Duplicate",""))</f>
        <v/>
      </c>
      <c r="K2758" s="36" t="str">
        <f aca="false">IF(Raw_Export!$A2758="","",IF(J2758="Duplicate","Duplicate",IF(OR(C2758="UNMAPPED",D2758="UNMAPPED"),"Unmapped",IF(F2758=0,"Blank qty",IF(F2758&lt;0,"Return","OK")))))</f>
        <v/>
      </c>
      <c r="L2758" s="36" t="str">
        <f aca="false">IF(Raw_Export!$A2758="","",IF(OR(K2758="OK",K2758="Return"),1,0))</f>
        <v/>
      </c>
      <c r="M2758" s="37" t="str">
        <f aca="false">IF(Raw_Export!$A2758="","",B2758-WEEKDAY(B2758,2)+1)</f>
        <v/>
      </c>
    </row>
    <row r="2759" customFormat="false" ht="15" hidden="false" customHeight="false" outlineLevel="0" collapsed="false">
      <c r="A2759" s="36" t="str">
        <f aca="false">IF(Raw_Export!$A2759="","",TRIM(Raw_Export!A2759))</f>
        <v/>
      </c>
      <c r="B2759" s="37" t="str">
        <f aca="false">IF(Raw_Export!$A2759="","",IF(ISNUMBER(Raw_Export!B2759),Raw_Export!B2759,IF(MID(TRIM(Raw_Export!B2759),5,1)="-",DATE(LEFT(TRIM(Raw_Export!B2759),4),MID(TRIM(Raw_Export!B2759),6,2),RIGHT(TRIM(Raw_Export!B2759),2)),DATE(RIGHT(TRIM(Raw_Export!B2759),4),MATCH(MID(TRIM(Raw_Export!B2759),4,3),{"Jan","Feb","Mar","Apr","May","Jun","Jul","Aug","Sep","Oct","Nov","Dec"},0),LEFT(TRIM(Raw_Export!B2759),2)))))</f>
        <v/>
      </c>
      <c r="C2759" s="36" t="str">
        <f aca="false">IF(Raw_Export!$A2759="","",IFERROR(VLOOKUP(LOWER(TRIM(Raw_Export!C2759)),Maps!$A$2:$B$20,2,FALSE()),"UNMAPPED"))</f>
        <v/>
      </c>
      <c r="D2759" s="36" t="str">
        <f aca="false">IF(Raw_Export!$A2759="","",IFERROR(VLOOKUP(LOWER(TRIM(Raw_Export!D2759)),Maps!$G$2:$I$80,2,FALSE()),"UNMAPPED"))</f>
        <v/>
      </c>
      <c r="E2759" s="36" t="str">
        <f aca="false">IF(Raw_Export!$A2759="","",IFERROR(VLOOKUP(LOWER(TRIM(Raw_Export!D2759)),Maps!$G$2:$I$80,3,FALSE()),"UNMAPPED"))</f>
        <v/>
      </c>
      <c r="F2759" s="36" t="str">
        <f aca="false">IF(Raw_Export!$A2759="","",IFERROR(VALUE(TRIM(Raw_Export!E2759)),0))</f>
        <v/>
      </c>
      <c r="G2759" s="38" t="str">
        <f aca="false">IF(Raw_Export!$A2759="","",IFERROR(VALUE(SUBSTITUTE(SUBSTITUTE(UPPER(TRIM(Raw_Export!F2759)),"KES",""),",","")),0))</f>
        <v/>
      </c>
      <c r="H2759" s="38" t="str">
        <f aca="false">IF(Raw_Export!$A2759="","",F2759*G2759)</f>
        <v/>
      </c>
      <c r="I2759" s="36" t="str">
        <f aca="false">IF(Raw_Export!$A2759="","",IFERROR(VLOOKUP(LOWER(TRIM(Raw_Export!H2759)),Maps!$D$2:$E$12,2,FALSE()),"Other"))</f>
        <v/>
      </c>
      <c r="J2759" s="36" t="str">
        <f aca="false">IF(Raw_Export!$A2759="","",IF(COUNTIF($A$2:A2759,A2759)&gt;1,"Duplicate",""))</f>
        <v/>
      </c>
      <c r="K2759" s="36" t="str">
        <f aca="false">IF(Raw_Export!$A2759="","",IF(J2759="Duplicate","Duplicate",IF(OR(C2759="UNMAPPED",D2759="UNMAPPED"),"Unmapped",IF(F2759=0,"Blank qty",IF(F2759&lt;0,"Return","OK")))))</f>
        <v/>
      </c>
      <c r="L2759" s="36" t="str">
        <f aca="false">IF(Raw_Export!$A2759="","",IF(OR(K2759="OK",K2759="Return"),1,0))</f>
        <v/>
      </c>
      <c r="M2759" s="37" t="str">
        <f aca="false">IF(Raw_Export!$A2759="","",B2759-WEEKDAY(B2759,2)+1)</f>
        <v/>
      </c>
    </row>
    <row r="2760" customFormat="false" ht="15" hidden="false" customHeight="false" outlineLevel="0" collapsed="false">
      <c r="A2760" s="36" t="str">
        <f aca="false">IF(Raw_Export!$A2760="","",TRIM(Raw_Export!A2760))</f>
        <v/>
      </c>
      <c r="B2760" s="37" t="str">
        <f aca="false">IF(Raw_Export!$A2760="","",IF(ISNUMBER(Raw_Export!B2760),Raw_Export!B2760,IF(MID(TRIM(Raw_Export!B2760),5,1)="-",DATE(LEFT(TRIM(Raw_Export!B2760),4),MID(TRIM(Raw_Export!B2760),6,2),RIGHT(TRIM(Raw_Export!B2760),2)),DATE(RIGHT(TRIM(Raw_Export!B2760),4),MATCH(MID(TRIM(Raw_Export!B2760),4,3),{"Jan","Feb","Mar","Apr","May","Jun","Jul","Aug","Sep","Oct","Nov","Dec"},0),LEFT(TRIM(Raw_Export!B2760),2)))))</f>
        <v/>
      </c>
      <c r="C2760" s="36" t="str">
        <f aca="false">IF(Raw_Export!$A2760="","",IFERROR(VLOOKUP(LOWER(TRIM(Raw_Export!C2760)),Maps!$A$2:$B$20,2,FALSE()),"UNMAPPED"))</f>
        <v/>
      </c>
      <c r="D2760" s="36" t="str">
        <f aca="false">IF(Raw_Export!$A2760="","",IFERROR(VLOOKUP(LOWER(TRIM(Raw_Export!D2760)),Maps!$G$2:$I$80,2,FALSE()),"UNMAPPED"))</f>
        <v/>
      </c>
      <c r="E2760" s="36" t="str">
        <f aca="false">IF(Raw_Export!$A2760="","",IFERROR(VLOOKUP(LOWER(TRIM(Raw_Export!D2760)),Maps!$G$2:$I$80,3,FALSE()),"UNMAPPED"))</f>
        <v/>
      </c>
      <c r="F2760" s="36" t="str">
        <f aca="false">IF(Raw_Export!$A2760="","",IFERROR(VALUE(TRIM(Raw_Export!E2760)),0))</f>
        <v/>
      </c>
      <c r="G2760" s="38" t="str">
        <f aca="false">IF(Raw_Export!$A2760="","",IFERROR(VALUE(SUBSTITUTE(SUBSTITUTE(UPPER(TRIM(Raw_Export!F2760)),"KES",""),",","")),0))</f>
        <v/>
      </c>
      <c r="H2760" s="38" t="str">
        <f aca="false">IF(Raw_Export!$A2760="","",F2760*G2760)</f>
        <v/>
      </c>
      <c r="I2760" s="36" t="str">
        <f aca="false">IF(Raw_Export!$A2760="","",IFERROR(VLOOKUP(LOWER(TRIM(Raw_Export!H2760)),Maps!$D$2:$E$12,2,FALSE()),"Other"))</f>
        <v/>
      </c>
      <c r="J2760" s="36" t="str">
        <f aca="false">IF(Raw_Export!$A2760="","",IF(COUNTIF($A$2:A2760,A2760)&gt;1,"Duplicate",""))</f>
        <v/>
      </c>
      <c r="K2760" s="36" t="str">
        <f aca="false">IF(Raw_Export!$A2760="","",IF(J2760="Duplicate","Duplicate",IF(OR(C2760="UNMAPPED",D2760="UNMAPPED"),"Unmapped",IF(F2760=0,"Blank qty",IF(F2760&lt;0,"Return","OK")))))</f>
        <v/>
      </c>
      <c r="L2760" s="36" t="str">
        <f aca="false">IF(Raw_Export!$A2760="","",IF(OR(K2760="OK",K2760="Return"),1,0))</f>
        <v/>
      </c>
      <c r="M2760" s="37" t="str">
        <f aca="false">IF(Raw_Export!$A2760="","",B2760-WEEKDAY(B2760,2)+1)</f>
        <v/>
      </c>
    </row>
    <row r="2761" customFormat="false" ht="15" hidden="false" customHeight="false" outlineLevel="0" collapsed="false">
      <c r="A2761" s="36" t="str">
        <f aca="false">IF(Raw_Export!$A2761="","",TRIM(Raw_Export!A2761))</f>
        <v/>
      </c>
      <c r="B2761" s="37" t="str">
        <f aca="false">IF(Raw_Export!$A2761="","",IF(ISNUMBER(Raw_Export!B2761),Raw_Export!B2761,IF(MID(TRIM(Raw_Export!B2761),5,1)="-",DATE(LEFT(TRIM(Raw_Export!B2761),4),MID(TRIM(Raw_Export!B2761),6,2),RIGHT(TRIM(Raw_Export!B2761),2)),DATE(RIGHT(TRIM(Raw_Export!B2761),4),MATCH(MID(TRIM(Raw_Export!B2761),4,3),{"Jan","Feb","Mar","Apr","May","Jun","Jul","Aug","Sep","Oct","Nov","Dec"},0),LEFT(TRIM(Raw_Export!B2761),2)))))</f>
        <v/>
      </c>
      <c r="C2761" s="36" t="str">
        <f aca="false">IF(Raw_Export!$A2761="","",IFERROR(VLOOKUP(LOWER(TRIM(Raw_Export!C2761)),Maps!$A$2:$B$20,2,FALSE()),"UNMAPPED"))</f>
        <v/>
      </c>
      <c r="D2761" s="36" t="str">
        <f aca="false">IF(Raw_Export!$A2761="","",IFERROR(VLOOKUP(LOWER(TRIM(Raw_Export!D2761)),Maps!$G$2:$I$80,2,FALSE()),"UNMAPPED"))</f>
        <v/>
      </c>
      <c r="E2761" s="36" t="str">
        <f aca="false">IF(Raw_Export!$A2761="","",IFERROR(VLOOKUP(LOWER(TRIM(Raw_Export!D2761)),Maps!$G$2:$I$80,3,FALSE()),"UNMAPPED"))</f>
        <v/>
      </c>
      <c r="F2761" s="36" t="str">
        <f aca="false">IF(Raw_Export!$A2761="","",IFERROR(VALUE(TRIM(Raw_Export!E2761)),0))</f>
        <v/>
      </c>
      <c r="G2761" s="38" t="str">
        <f aca="false">IF(Raw_Export!$A2761="","",IFERROR(VALUE(SUBSTITUTE(SUBSTITUTE(UPPER(TRIM(Raw_Export!F2761)),"KES",""),",","")),0))</f>
        <v/>
      </c>
      <c r="H2761" s="38" t="str">
        <f aca="false">IF(Raw_Export!$A2761="","",F2761*G2761)</f>
        <v/>
      </c>
      <c r="I2761" s="36" t="str">
        <f aca="false">IF(Raw_Export!$A2761="","",IFERROR(VLOOKUP(LOWER(TRIM(Raw_Export!H2761)),Maps!$D$2:$E$12,2,FALSE()),"Other"))</f>
        <v/>
      </c>
      <c r="J2761" s="36" t="str">
        <f aca="false">IF(Raw_Export!$A2761="","",IF(COUNTIF($A$2:A2761,A2761)&gt;1,"Duplicate",""))</f>
        <v/>
      </c>
      <c r="K2761" s="36" t="str">
        <f aca="false">IF(Raw_Export!$A2761="","",IF(J2761="Duplicate","Duplicate",IF(OR(C2761="UNMAPPED",D2761="UNMAPPED"),"Unmapped",IF(F2761=0,"Blank qty",IF(F2761&lt;0,"Return","OK")))))</f>
        <v/>
      </c>
      <c r="L2761" s="36" t="str">
        <f aca="false">IF(Raw_Export!$A2761="","",IF(OR(K2761="OK",K2761="Return"),1,0))</f>
        <v/>
      </c>
      <c r="M2761" s="37" t="str">
        <f aca="false">IF(Raw_Export!$A2761="","",B2761-WEEKDAY(B2761,2)+1)</f>
        <v/>
      </c>
    </row>
    <row r="2762" customFormat="false" ht="15" hidden="false" customHeight="false" outlineLevel="0" collapsed="false">
      <c r="A2762" s="36" t="str">
        <f aca="false">IF(Raw_Export!$A2762="","",TRIM(Raw_Export!A2762))</f>
        <v/>
      </c>
      <c r="B2762" s="37" t="str">
        <f aca="false">IF(Raw_Export!$A2762="","",IF(ISNUMBER(Raw_Export!B2762),Raw_Export!B2762,IF(MID(TRIM(Raw_Export!B2762),5,1)="-",DATE(LEFT(TRIM(Raw_Export!B2762),4),MID(TRIM(Raw_Export!B2762),6,2),RIGHT(TRIM(Raw_Export!B2762),2)),DATE(RIGHT(TRIM(Raw_Export!B2762),4),MATCH(MID(TRIM(Raw_Export!B2762),4,3),{"Jan","Feb","Mar","Apr","May","Jun","Jul","Aug","Sep","Oct","Nov","Dec"},0),LEFT(TRIM(Raw_Export!B2762),2)))))</f>
        <v/>
      </c>
      <c r="C2762" s="36" t="str">
        <f aca="false">IF(Raw_Export!$A2762="","",IFERROR(VLOOKUP(LOWER(TRIM(Raw_Export!C2762)),Maps!$A$2:$B$20,2,FALSE()),"UNMAPPED"))</f>
        <v/>
      </c>
      <c r="D2762" s="36" t="str">
        <f aca="false">IF(Raw_Export!$A2762="","",IFERROR(VLOOKUP(LOWER(TRIM(Raw_Export!D2762)),Maps!$G$2:$I$80,2,FALSE()),"UNMAPPED"))</f>
        <v/>
      </c>
      <c r="E2762" s="36" t="str">
        <f aca="false">IF(Raw_Export!$A2762="","",IFERROR(VLOOKUP(LOWER(TRIM(Raw_Export!D2762)),Maps!$G$2:$I$80,3,FALSE()),"UNMAPPED"))</f>
        <v/>
      </c>
      <c r="F2762" s="36" t="str">
        <f aca="false">IF(Raw_Export!$A2762="","",IFERROR(VALUE(TRIM(Raw_Export!E2762)),0))</f>
        <v/>
      </c>
      <c r="G2762" s="38" t="str">
        <f aca="false">IF(Raw_Export!$A2762="","",IFERROR(VALUE(SUBSTITUTE(SUBSTITUTE(UPPER(TRIM(Raw_Export!F2762)),"KES",""),",","")),0))</f>
        <v/>
      </c>
      <c r="H2762" s="38" t="str">
        <f aca="false">IF(Raw_Export!$A2762="","",F2762*G2762)</f>
        <v/>
      </c>
      <c r="I2762" s="36" t="str">
        <f aca="false">IF(Raw_Export!$A2762="","",IFERROR(VLOOKUP(LOWER(TRIM(Raw_Export!H2762)),Maps!$D$2:$E$12,2,FALSE()),"Other"))</f>
        <v/>
      </c>
      <c r="J2762" s="36" t="str">
        <f aca="false">IF(Raw_Export!$A2762="","",IF(COUNTIF($A$2:A2762,A2762)&gt;1,"Duplicate",""))</f>
        <v/>
      </c>
      <c r="K2762" s="36" t="str">
        <f aca="false">IF(Raw_Export!$A2762="","",IF(J2762="Duplicate","Duplicate",IF(OR(C2762="UNMAPPED",D2762="UNMAPPED"),"Unmapped",IF(F2762=0,"Blank qty",IF(F2762&lt;0,"Return","OK")))))</f>
        <v/>
      </c>
      <c r="L2762" s="36" t="str">
        <f aca="false">IF(Raw_Export!$A2762="","",IF(OR(K2762="OK",K2762="Return"),1,0))</f>
        <v/>
      </c>
      <c r="M2762" s="37" t="str">
        <f aca="false">IF(Raw_Export!$A2762="","",B2762-WEEKDAY(B2762,2)+1)</f>
        <v/>
      </c>
    </row>
    <row r="2763" customFormat="false" ht="15" hidden="false" customHeight="false" outlineLevel="0" collapsed="false">
      <c r="A2763" s="36" t="str">
        <f aca="false">IF(Raw_Export!$A2763="","",TRIM(Raw_Export!A2763))</f>
        <v/>
      </c>
      <c r="B2763" s="37" t="str">
        <f aca="false">IF(Raw_Export!$A2763="","",IF(ISNUMBER(Raw_Export!B2763),Raw_Export!B2763,IF(MID(TRIM(Raw_Export!B2763),5,1)="-",DATE(LEFT(TRIM(Raw_Export!B2763),4),MID(TRIM(Raw_Export!B2763),6,2),RIGHT(TRIM(Raw_Export!B2763),2)),DATE(RIGHT(TRIM(Raw_Export!B2763),4),MATCH(MID(TRIM(Raw_Export!B2763),4,3),{"Jan","Feb","Mar","Apr","May","Jun","Jul","Aug","Sep","Oct","Nov","Dec"},0),LEFT(TRIM(Raw_Export!B2763),2)))))</f>
        <v/>
      </c>
      <c r="C2763" s="36" t="str">
        <f aca="false">IF(Raw_Export!$A2763="","",IFERROR(VLOOKUP(LOWER(TRIM(Raw_Export!C2763)),Maps!$A$2:$B$20,2,FALSE()),"UNMAPPED"))</f>
        <v/>
      </c>
      <c r="D2763" s="36" t="str">
        <f aca="false">IF(Raw_Export!$A2763="","",IFERROR(VLOOKUP(LOWER(TRIM(Raw_Export!D2763)),Maps!$G$2:$I$80,2,FALSE()),"UNMAPPED"))</f>
        <v/>
      </c>
      <c r="E2763" s="36" t="str">
        <f aca="false">IF(Raw_Export!$A2763="","",IFERROR(VLOOKUP(LOWER(TRIM(Raw_Export!D2763)),Maps!$G$2:$I$80,3,FALSE()),"UNMAPPED"))</f>
        <v/>
      </c>
      <c r="F2763" s="36" t="str">
        <f aca="false">IF(Raw_Export!$A2763="","",IFERROR(VALUE(TRIM(Raw_Export!E2763)),0))</f>
        <v/>
      </c>
      <c r="G2763" s="38" t="str">
        <f aca="false">IF(Raw_Export!$A2763="","",IFERROR(VALUE(SUBSTITUTE(SUBSTITUTE(UPPER(TRIM(Raw_Export!F2763)),"KES",""),",","")),0))</f>
        <v/>
      </c>
      <c r="H2763" s="38" t="str">
        <f aca="false">IF(Raw_Export!$A2763="","",F2763*G2763)</f>
        <v/>
      </c>
      <c r="I2763" s="36" t="str">
        <f aca="false">IF(Raw_Export!$A2763="","",IFERROR(VLOOKUP(LOWER(TRIM(Raw_Export!H2763)),Maps!$D$2:$E$12,2,FALSE()),"Other"))</f>
        <v/>
      </c>
      <c r="J2763" s="36" t="str">
        <f aca="false">IF(Raw_Export!$A2763="","",IF(COUNTIF($A$2:A2763,A2763)&gt;1,"Duplicate",""))</f>
        <v/>
      </c>
      <c r="K2763" s="36" t="str">
        <f aca="false">IF(Raw_Export!$A2763="","",IF(J2763="Duplicate","Duplicate",IF(OR(C2763="UNMAPPED",D2763="UNMAPPED"),"Unmapped",IF(F2763=0,"Blank qty",IF(F2763&lt;0,"Return","OK")))))</f>
        <v/>
      </c>
      <c r="L2763" s="36" t="str">
        <f aca="false">IF(Raw_Export!$A2763="","",IF(OR(K2763="OK",K2763="Return"),1,0))</f>
        <v/>
      </c>
      <c r="M2763" s="37" t="str">
        <f aca="false">IF(Raw_Export!$A2763="","",B2763-WEEKDAY(B2763,2)+1)</f>
        <v/>
      </c>
    </row>
    <row r="2764" customFormat="false" ht="15" hidden="false" customHeight="false" outlineLevel="0" collapsed="false">
      <c r="A2764" s="36" t="str">
        <f aca="false">IF(Raw_Export!$A2764="","",TRIM(Raw_Export!A2764))</f>
        <v/>
      </c>
      <c r="B2764" s="37" t="str">
        <f aca="false">IF(Raw_Export!$A2764="","",IF(ISNUMBER(Raw_Export!B2764),Raw_Export!B2764,IF(MID(TRIM(Raw_Export!B2764),5,1)="-",DATE(LEFT(TRIM(Raw_Export!B2764),4),MID(TRIM(Raw_Export!B2764),6,2),RIGHT(TRIM(Raw_Export!B2764),2)),DATE(RIGHT(TRIM(Raw_Export!B2764),4),MATCH(MID(TRIM(Raw_Export!B2764),4,3),{"Jan","Feb","Mar","Apr","May","Jun","Jul","Aug","Sep","Oct","Nov","Dec"},0),LEFT(TRIM(Raw_Export!B2764),2)))))</f>
        <v/>
      </c>
      <c r="C2764" s="36" t="str">
        <f aca="false">IF(Raw_Export!$A2764="","",IFERROR(VLOOKUP(LOWER(TRIM(Raw_Export!C2764)),Maps!$A$2:$B$20,2,FALSE()),"UNMAPPED"))</f>
        <v/>
      </c>
      <c r="D2764" s="36" t="str">
        <f aca="false">IF(Raw_Export!$A2764="","",IFERROR(VLOOKUP(LOWER(TRIM(Raw_Export!D2764)),Maps!$G$2:$I$80,2,FALSE()),"UNMAPPED"))</f>
        <v/>
      </c>
      <c r="E2764" s="36" t="str">
        <f aca="false">IF(Raw_Export!$A2764="","",IFERROR(VLOOKUP(LOWER(TRIM(Raw_Export!D2764)),Maps!$G$2:$I$80,3,FALSE()),"UNMAPPED"))</f>
        <v/>
      </c>
      <c r="F2764" s="36" t="str">
        <f aca="false">IF(Raw_Export!$A2764="","",IFERROR(VALUE(TRIM(Raw_Export!E2764)),0))</f>
        <v/>
      </c>
      <c r="G2764" s="38" t="str">
        <f aca="false">IF(Raw_Export!$A2764="","",IFERROR(VALUE(SUBSTITUTE(SUBSTITUTE(UPPER(TRIM(Raw_Export!F2764)),"KES",""),",","")),0))</f>
        <v/>
      </c>
      <c r="H2764" s="38" t="str">
        <f aca="false">IF(Raw_Export!$A2764="","",F2764*G2764)</f>
        <v/>
      </c>
      <c r="I2764" s="36" t="str">
        <f aca="false">IF(Raw_Export!$A2764="","",IFERROR(VLOOKUP(LOWER(TRIM(Raw_Export!H2764)),Maps!$D$2:$E$12,2,FALSE()),"Other"))</f>
        <v/>
      </c>
      <c r="J2764" s="36" t="str">
        <f aca="false">IF(Raw_Export!$A2764="","",IF(COUNTIF($A$2:A2764,A2764)&gt;1,"Duplicate",""))</f>
        <v/>
      </c>
      <c r="K2764" s="36" t="str">
        <f aca="false">IF(Raw_Export!$A2764="","",IF(J2764="Duplicate","Duplicate",IF(OR(C2764="UNMAPPED",D2764="UNMAPPED"),"Unmapped",IF(F2764=0,"Blank qty",IF(F2764&lt;0,"Return","OK")))))</f>
        <v/>
      </c>
      <c r="L2764" s="36" t="str">
        <f aca="false">IF(Raw_Export!$A2764="","",IF(OR(K2764="OK",K2764="Return"),1,0))</f>
        <v/>
      </c>
      <c r="M2764" s="37" t="str">
        <f aca="false">IF(Raw_Export!$A2764="","",B2764-WEEKDAY(B2764,2)+1)</f>
        <v/>
      </c>
    </row>
    <row r="2765" customFormat="false" ht="15" hidden="false" customHeight="false" outlineLevel="0" collapsed="false">
      <c r="A2765" s="36" t="str">
        <f aca="false">IF(Raw_Export!$A2765="","",TRIM(Raw_Export!A2765))</f>
        <v/>
      </c>
      <c r="B2765" s="37" t="str">
        <f aca="false">IF(Raw_Export!$A2765="","",IF(ISNUMBER(Raw_Export!B2765),Raw_Export!B2765,IF(MID(TRIM(Raw_Export!B2765),5,1)="-",DATE(LEFT(TRIM(Raw_Export!B2765),4),MID(TRIM(Raw_Export!B2765),6,2),RIGHT(TRIM(Raw_Export!B2765),2)),DATE(RIGHT(TRIM(Raw_Export!B2765),4),MATCH(MID(TRIM(Raw_Export!B2765),4,3),{"Jan","Feb","Mar","Apr","May","Jun","Jul","Aug","Sep","Oct","Nov","Dec"},0),LEFT(TRIM(Raw_Export!B2765),2)))))</f>
        <v/>
      </c>
      <c r="C2765" s="36" t="str">
        <f aca="false">IF(Raw_Export!$A2765="","",IFERROR(VLOOKUP(LOWER(TRIM(Raw_Export!C2765)),Maps!$A$2:$B$20,2,FALSE()),"UNMAPPED"))</f>
        <v/>
      </c>
      <c r="D2765" s="36" t="str">
        <f aca="false">IF(Raw_Export!$A2765="","",IFERROR(VLOOKUP(LOWER(TRIM(Raw_Export!D2765)),Maps!$G$2:$I$80,2,FALSE()),"UNMAPPED"))</f>
        <v/>
      </c>
      <c r="E2765" s="36" t="str">
        <f aca="false">IF(Raw_Export!$A2765="","",IFERROR(VLOOKUP(LOWER(TRIM(Raw_Export!D2765)),Maps!$G$2:$I$80,3,FALSE()),"UNMAPPED"))</f>
        <v/>
      </c>
      <c r="F2765" s="36" t="str">
        <f aca="false">IF(Raw_Export!$A2765="","",IFERROR(VALUE(TRIM(Raw_Export!E2765)),0))</f>
        <v/>
      </c>
      <c r="G2765" s="38" t="str">
        <f aca="false">IF(Raw_Export!$A2765="","",IFERROR(VALUE(SUBSTITUTE(SUBSTITUTE(UPPER(TRIM(Raw_Export!F2765)),"KES",""),",","")),0))</f>
        <v/>
      </c>
      <c r="H2765" s="38" t="str">
        <f aca="false">IF(Raw_Export!$A2765="","",F2765*G2765)</f>
        <v/>
      </c>
      <c r="I2765" s="36" t="str">
        <f aca="false">IF(Raw_Export!$A2765="","",IFERROR(VLOOKUP(LOWER(TRIM(Raw_Export!H2765)),Maps!$D$2:$E$12,2,FALSE()),"Other"))</f>
        <v/>
      </c>
      <c r="J2765" s="36" t="str">
        <f aca="false">IF(Raw_Export!$A2765="","",IF(COUNTIF($A$2:A2765,A2765)&gt;1,"Duplicate",""))</f>
        <v/>
      </c>
      <c r="K2765" s="36" t="str">
        <f aca="false">IF(Raw_Export!$A2765="","",IF(J2765="Duplicate","Duplicate",IF(OR(C2765="UNMAPPED",D2765="UNMAPPED"),"Unmapped",IF(F2765=0,"Blank qty",IF(F2765&lt;0,"Return","OK")))))</f>
        <v/>
      </c>
      <c r="L2765" s="36" t="str">
        <f aca="false">IF(Raw_Export!$A2765="","",IF(OR(K2765="OK",K2765="Return"),1,0))</f>
        <v/>
      </c>
      <c r="M2765" s="37" t="str">
        <f aca="false">IF(Raw_Export!$A2765="","",B2765-WEEKDAY(B2765,2)+1)</f>
        <v/>
      </c>
    </row>
    <row r="2766" customFormat="false" ht="15" hidden="false" customHeight="false" outlineLevel="0" collapsed="false">
      <c r="A2766" s="36" t="str">
        <f aca="false">IF(Raw_Export!$A2766="","",TRIM(Raw_Export!A2766))</f>
        <v/>
      </c>
      <c r="B2766" s="37" t="str">
        <f aca="false">IF(Raw_Export!$A2766="","",IF(ISNUMBER(Raw_Export!B2766),Raw_Export!B2766,IF(MID(TRIM(Raw_Export!B2766),5,1)="-",DATE(LEFT(TRIM(Raw_Export!B2766),4),MID(TRIM(Raw_Export!B2766),6,2),RIGHT(TRIM(Raw_Export!B2766),2)),DATE(RIGHT(TRIM(Raw_Export!B2766),4),MATCH(MID(TRIM(Raw_Export!B2766),4,3),{"Jan","Feb","Mar","Apr","May","Jun","Jul","Aug","Sep","Oct","Nov","Dec"},0),LEFT(TRIM(Raw_Export!B2766),2)))))</f>
        <v/>
      </c>
      <c r="C2766" s="36" t="str">
        <f aca="false">IF(Raw_Export!$A2766="","",IFERROR(VLOOKUP(LOWER(TRIM(Raw_Export!C2766)),Maps!$A$2:$B$20,2,FALSE()),"UNMAPPED"))</f>
        <v/>
      </c>
      <c r="D2766" s="36" t="str">
        <f aca="false">IF(Raw_Export!$A2766="","",IFERROR(VLOOKUP(LOWER(TRIM(Raw_Export!D2766)),Maps!$G$2:$I$80,2,FALSE()),"UNMAPPED"))</f>
        <v/>
      </c>
      <c r="E2766" s="36" t="str">
        <f aca="false">IF(Raw_Export!$A2766="","",IFERROR(VLOOKUP(LOWER(TRIM(Raw_Export!D2766)),Maps!$G$2:$I$80,3,FALSE()),"UNMAPPED"))</f>
        <v/>
      </c>
      <c r="F2766" s="36" t="str">
        <f aca="false">IF(Raw_Export!$A2766="","",IFERROR(VALUE(TRIM(Raw_Export!E2766)),0))</f>
        <v/>
      </c>
      <c r="G2766" s="38" t="str">
        <f aca="false">IF(Raw_Export!$A2766="","",IFERROR(VALUE(SUBSTITUTE(SUBSTITUTE(UPPER(TRIM(Raw_Export!F2766)),"KES",""),",","")),0))</f>
        <v/>
      </c>
      <c r="H2766" s="38" t="str">
        <f aca="false">IF(Raw_Export!$A2766="","",F2766*G2766)</f>
        <v/>
      </c>
      <c r="I2766" s="36" t="str">
        <f aca="false">IF(Raw_Export!$A2766="","",IFERROR(VLOOKUP(LOWER(TRIM(Raw_Export!H2766)),Maps!$D$2:$E$12,2,FALSE()),"Other"))</f>
        <v/>
      </c>
      <c r="J2766" s="36" t="str">
        <f aca="false">IF(Raw_Export!$A2766="","",IF(COUNTIF($A$2:A2766,A2766)&gt;1,"Duplicate",""))</f>
        <v/>
      </c>
      <c r="K2766" s="36" t="str">
        <f aca="false">IF(Raw_Export!$A2766="","",IF(J2766="Duplicate","Duplicate",IF(OR(C2766="UNMAPPED",D2766="UNMAPPED"),"Unmapped",IF(F2766=0,"Blank qty",IF(F2766&lt;0,"Return","OK")))))</f>
        <v/>
      </c>
      <c r="L2766" s="36" t="str">
        <f aca="false">IF(Raw_Export!$A2766="","",IF(OR(K2766="OK",K2766="Return"),1,0))</f>
        <v/>
      </c>
      <c r="M2766" s="37" t="str">
        <f aca="false">IF(Raw_Export!$A2766="","",B2766-WEEKDAY(B2766,2)+1)</f>
        <v/>
      </c>
    </row>
    <row r="2767" customFormat="false" ht="15" hidden="false" customHeight="false" outlineLevel="0" collapsed="false">
      <c r="A2767" s="36" t="str">
        <f aca="false">IF(Raw_Export!$A2767="","",TRIM(Raw_Export!A2767))</f>
        <v/>
      </c>
      <c r="B2767" s="37" t="str">
        <f aca="false">IF(Raw_Export!$A2767="","",IF(ISNUMBER(Raw_Export!B2767),Raw_Export!B2767,IF(MID(TRIM(Raw_Export!B2767),5,1)="-",DATE(LEFT(TRIM(Raw_Export!B2767),4),MID(TRIM(Raw_Export!B2767),6,2),RIGHT(TRIM(Raw_Export!B2767),2)),DATE(RIGHT(TRIM(Raw_Export!B2767),4),MATCH(MID(TRIM(Raw_Export!B2767),4,3),{"Jan","Feb","Mar","Apr","May","Jun","Jul","Aug","Sep","Oct","Nov","Dec"},0),LEFT(TRIM(Raw_Export!B2767),2)))))</f>
        <v/>
      </c>
      <c r="C2767" s="36" t="str">
        <f aca="false">IF(Raw_Export!$A2767="","",IFERROR(VLOOKUP(LOWER(TRIM(Raw_Export!C2767)),Maps!$A$2:$B$20,2,FALSE()),"UNMAPPED"))</f>
        <v/>
      </c>
      <c r="D2767" s="36" t="str">
        <f aca="false">IF(Raw_Export!$A2767="","",IFERROR(VLOOKUP(LOWER(TRIM(Raw_Export!D2767)),Maps!$G$2:$I$80,2,FALSE()),"UNMAPPED"))</f>
        <v/>
      </c>
      <c r="E2767" s="36" t="str">
        <f aca="false">IF(Raw_Export!$A2767="","",IFERROR(VLOOKUP(LOWER(TRIM(Raw_Export!D2767)),Maps!$G$2:$I$80,3,FALSE()),"UNMAPPED"))</f>
        <v/>
      </c>
      <c r="F2767" s="36" t="str">
        <f aca="false">IF(Raw_Export!$A2767="","",IFERROR(VALUE(TRIM(Raw_Export!E2767)),0))</f>
        <v/>
      </c>
      <c r="G2767" s="38" t="str">
        <f aca="false">IF(Raw_Export!$A2767="","",IFERROR(VALUE(SUBSTITUTE(SUBSTITUTE(UPPER(TRIM(Raw_Export!F2767)),"KES",""),",","")),0))</f>
        <v/>
      </c>
      <c r="H2767" s="38" t="str">
        <f aca="false">IF(Raw_Export!$A2767="","",F2767*G2767)</f>
        <v/>
      </c>
      <c r="I2767" s="36" t="str">
        <f aca="false">IF(Raw_Export!$A2767="","",IFERROR(VLOOKUP(LOWER(TRIM(Raw_Export!H2767)),Maps!$D$2:$E$12,2,FALSE()),"Other"))</f>
        <v/>
      </c>
      <c r="J2767" s="36" t="str">
        <f aca="false">IF(Raw_Export!$A2767="","",IF(COUNTIF($A$2:A2767,A2767)&gt;1,"Duplicate",""))</f>
        <v/>
      </c>
      <c r="K2767" s="36" t="str">
        <f aca="false">IF(Raw_Export!$A2767="","",IF(J2767="Duplicate","Duplicate",IF(OR(C2767="UNMAPPED",D2767="UNMAPPED"),"Unmapped",IF(F2767=0,"Blank qty",IF(F2767&lt;0,"Return","OK")))))</f>
        <v/>
      </c>
      <c r="L2767" s="36" t="str">
        <f aca="false">IF(Raw_Export!$A2767="","",IF(OR(K2767="OK",K2767="Return"),1,0))</f>
        <v/>
      </c>
      <c r="M2767" s="37" t="str">
        <f aca="false">IF(Raw_Export!$A2767="","",B2767-WEEKDAY(B2767,2)+1)</f>
        <v/>
      </c>
    </row>
    <row r="2768" customFormat="false" ht="15" hidden="false" customHeight="false" outlineLevel="0" collapsed="false">
      <c r="A2768" s="36" t="str">
        <f aca="false">IF(Raw_Export!$A2768="","",TRIM(Raw_Export!A2768))</f>
        <v/>
      </c>
      <c r="B2768" s="37" t="str">
        <f aca="false">IF(Raw_Export!$A2768="","",IF(ISNUMBER(Raw_Export!B2768),Raw_Export!B2768,IF(MID(TRIM(Raw_Export!B2768),5,1)="-",DATE(LEFT(TRIM(Raw_Export!B2768),4),MID(TRIM(Raw_Export!B2768),6,2),RIGHT(TRIM(Raw_Export!B2768),2)),DATE(RIGHT(TRIM(Raw_Export!B2768),4),MATCH(MID(TRIM(Raw_Export!B2768),4,3),{"Jan","Feb","Mar","Apr","May","Jun","Jul","Aug","Sep","Oct","Nov","Dec"},0),LEFT(TRIM(Raw_Export!B2768),2)))))</f>
        <v/>
      </c>
      <c r="C2768" s="36" t="str">
        <f aca="false">IF(Raw_Export!$A2768="","",IFERROR(VLOOKUP(LOWER(TRIM(Raw_Export!C2768)),Maps!$A$2:$B$20,2,FALSE()),"UNMAPPED"))</f>
        <v/>
      </c>
      <c r="D2768" s="36" t="str">
        <f aca="false">IF(Raw_Export!$A2768="","",IFERROR(VLOOKUP(LOWER(TRIM(Raw_Export!D2768)),Maps!$G$2:$I$80,2,FALSE()),"UNMAPPED"))</f>
        <v/>
      </c>
      <c r="E2768" s="36" t="str">
        <f aca="false">IF(Raw_Export!$A2768="","",IFERROR(VLOOKUP(LOWER(TRIM(Raw_Export!D2768)),Maps!$G$2:$I$80,3,FALSE()),"UNMAPPED"))</f>
        <v/>
      </c>
      <c r="F2768" s="36" t="str">
        <f aca="false">IF(Raw_Export!$A2768="","",IFERROR(VALUE(TRIM(Raw_Export!E2768)),0))</f>
        <v/>
      </c>
      <c r="G2768" s="38" t="str">
        <f aca="false">IF(Raw_Export!$A2768="","",IFERROR(VALUE(SUBSTITUTE(SUBSTITUTE(UPPER(TRIM(Raw_Export!F2768)),"KES",""),",","")),0))</f>
        <v/>
      </c>
      <c r="H2768" s="38" t="str">
        <f aca="false">IF(Raw_Export!$A2768="","",F2768*G2768)</f>
        <v/>
      </c>
      <c r="I2768" s="36" t="str">
        <f aca="false">IF(Raw_Export!$A2768="","",IFERROR(VLOOKUP(LOWER(TRIM(Raw_Export!H2768)),Maps!$D$2:$E$12,2,FALSE()),"Other"))</f>
        <v/>
      </c>
      <c r="J2768" s="36" t="str">
        <f aca="false">IF(Raw_Export!$A2768="","",IF(COUNTIF($A$2:A2768,A2768)&gt;1,"Duplicate",""))</f>
        <v/>
      </c>
      <c r="K2768" s="36" t="str">
        <f aca="false">IF(Raw_Export!$A2768="","",IF(J2768="Duplicate","Duplicate",IF(OR(C2768="UNMAPPED",D2768="UNMAPPED"),"Unmapped",IF(F2768=0,"Blank qty",IF(F2768&lt;0,"Return","OK")))))</f>
        <v/>
      </c>
      <c r="L2768" s="36" t="str">
        <f aca="false">IF(Raw_Export!$A2768="","",IF(OR(K2768="OK",K2768="Return"),1,0))</f>
        <v/>
      </c>
      <c r="M2768" s="37" t="str">
        <f aca="false">IF(Raw_Export!$A2768="","",B2768-WEEKDAY(B2768,2)+1)</f>
        <v/>
      </c>
    </row>
    <row r="2769" customFormat="false" ht="15" hidden="false" customHeight="false" outlineLevel="0" collapsed="false">
      <c r="A2769" s="36" t="str">
        <f aca="false">IF(Raw_Export!$A2769="","",TRIM(Raw_Export!A2769))</f>
        <v/>
      </c>
      <c r="B2769" s="37" t="str">
        <f aca="false">IF(Raw_Export!$A2769="","",IF(ISNUMBER(Raw_Export!B2769),Raw_Export!B2769,IF(MID(TRIM(Raw_Export!B2769),5,1)="-",DATE(LEFT(TRIM(Raw_Export!B2769),4),MID(TRIM(Raw_Export!B2769),6,2),RIGHT(TRIM(Raw_Export!B2769),2)),DATE(RIGHT(TRIM(Raw_Export!B2769),4),MATCH(MID(TRIM(Raw_Export!B2769),4,3),{"Jan","Feb","Mar","Apr","May","Jun","Jul","Aug","Sep","Oct","Nov","Dec"},0),LEFT(TRIM(Raw_Export!B2769),2)))))</f>
        <v/>
      </c>
      <c r="C2769" s="36" t="str">
        <f aca="false">IF(Raw_Export!$A2769="","",IFERROR(VLOOKUP(LOWER(TRIM(Raw_Export!C2769)),Maps!$A$2:$B$20,2,FALSE()),"UNMAPPED"))</f>
        <v/>
      </c>
      <c r="D2769" s="36" t="str">
        <f aca="false">IF(Raw_Export!$A2769="","",IFERROR(VLOOKUP(LOWER(TRIM(Raw_Export!D2769)),Maps!$G$2:$I$80,2,FALSE()),"UNMAPPED"))</f>
        <v/>
      </c>
      <c r="E2769" s="36" t="str">
        <f aca="false">IF(Raw_Export!$A2769="","",IFERROR(VLOOKUP(LOWER(TRIM(Raw_Export!D2769)),Maps!$G$2:$I$80,3,FALSE()),"UNMAPPED"))</f>
        <v/>
      </c>
      <c r="F2769" s="36" t="str">
        <f aca="false">IF(Raw_Export!$A2769="","",IFERROR(VALUE(TRIM(Raw_Export!E2769)),0))</f>
        <v/>
      </c>
      <c r="G2769" s="38" t="str">
        <f aca="false">IF(Raw_Export!$A2769="","",IFERROR(VALUE(SUBSTITUTE(SUBSTITUTE(UPPER(TRIM(Raw_Export!F2769)),"KES",""),",","")),0))</f>
        <v/>
      </c>
      <c r="H2769" s="38" t="str">
        <f aca="false">IF(Raw_Export!$A2769="","",F2769*G2769)</f>
        <v/>
      </c>
      <c r="I2769" s="36" t="str">
        <f aca="false">IF(Raw_Export!$A2769="","",IFERROR(VLOOKUP(LOWER(TRIM(Raw_Export!H2769)),Maps!$D$2:$E$12,2,FALSE()),"Other"))</f>
        <v/>
      </c>
      <c r="J2769" s="36" t="str">
        <f aca="false">IF(Raw_Export!$A2769="","",IF(COUNTIF($A$2:A2769,A2769)&gt;1,"Duplicate",""))</f>
        <v/>
      </c>
      <c r="K2769" s="36" t="str">
        <f aca="false">IF(Raw_Export!$A2769="","",IF(J2769="Duplicate","Duplicate",IF(OR(C2769="UNMAPPED",D2769="UNMAPPED"),"Unmapped",IF(F2769=0,"Blank qty",IF(F2769&lt;0,"Return","OK")))))</f>
        <v/>
      </c>
      <c r="L2769" s="36" t="str">
        <f aca="false">IF(Raw_Export!$A2769="","",IF(OR(K2769="OK",K2769="Return"),1,0))</f>
        <v/>
      </c>
      <c r="M2769" s="37" t="str">
        <f aca="false">IF(Raw_Export!$A2769="","",B2769-WEEKDAY(B2769,2)+1)</f>
        <v/>
      </c>
    </row>
    <row r="2770" customFormat="false" ht="15" hidden="false" customHeight="false" outlineLevel="0" collapsed="false">
      <c r="A2770" s="36" t="str">
        <f aca="false">IF(Raw_Export!$A2770="","",TRIM(Raw_Export!A2770))</f>
        <v/>
      </c>
      <c r="B2770" s="37" t="str">
        <f aca="false">IF(Raw_Export!$A2770="","",IF(ISNUMBER(Raw_Export!B2770),Raw_Export!B2770,IF(MID(TRIM(Raw_Export!B2770),5,1)="-",DATE(LEFT(TRIM(Raw_Export!B2770),4),MID(TRIM(Raw_Export!B2770),6,2),RIGHT(TRIM(Raw_Export!B2770),2)),DATE(RIGHT(TRIM(Raw_Export!B2770),4),MATCH(MID(TRIM(Raw_Export!B2770),4,3),{"Jan","Feb","Mar","Apr","May","Jun","Jul","Aug","Sep","Oct","Nov","Dec"},0),LEFT(TRIM(Raw_Export!B2770),2)))))</f>
        <v/>
      </c>
      <c r="C2770" s="36" t="str">
        <f aca="false">IF(Raw_Export!$A2770="","",IFERROR(VLOOKUP(LOWER(TRIM(Raw_Export!C2770)),Maps!$A$2:$B$20,2,FALSE()),"UNMAPPED"))</f>
        <v/>
      </c>
      <c r="D2770" s="36" t="str">
        <f aca="false">IF(Raw_Export!$A2770="","",IFERROR(VLOOKUP(LOWER(TRIM(Raw_Export!D2770)),Maps!$G$2:$I$80,2,FALSE()),"UNMAPPED"))</f>
        <v/>
      </c>
      <c r="E2770" s="36" t="str">
        <f aca="false">IF(Raw_Export!$A2770="","",IFERROR(VLOOKUP(LOWER(TRIM(Raw_Export!D2770)),Maps!$G$2:$I$80,3,FALSE()),"UNMAPPED"))</f>
        <v/>
      </c>
      <c r="F2770" s="36" t="str">
        <f aca="false">IF(Raw_Export!$A2770="","",IFERROR(VALUE(TRIM(Raw_Export!E2770)),0))</f>
        <v/>
      </c>
      <c r="G2770" s="38" t="str">
        <f aca="false">IF(Raw_Export!$A2770="","",IFERROR(VALUE(SUBSTITUTE(SUBSTITUTE(UPPER(TRIM(Raw_Export!F2770)),"KES",""),",","")),0))</f>
        <v/>
      </c>
      <c r="H2770" s="38" t="str">
        <f aca="false">IF(Raw_Export!$A2770="","",F2770*G2770)</f>
        <v/>
      </c>
      <c r="I2770" s="36" t="str">
        <f aca="false">IF(Raw_Export!$A2770="","",IFERROR(VLOOKUP(LOWER(TRIM(Raw_Export!H2770)),Maps!$D$2:$E$12,2,FALSE()),"Other"))</f>
        <v/>
      </c>
      <c r="J2770" s="36" t="str">
        <f aca="false">IF(Raw_Export!$A2770="","",IF(COUNTIF($A$2:A2770,A2770)&gt;1,"Duplicate",""))</f>
        <v/>
      </c>
      <c r="K2770" s="36" t="str">
        <f aca="false">IF(Raw_Export!$A2770="","",IF(J2770="Duplicate","Duplicate",IF(OR(C2770="UNMAPPED",D2770="UNMAPPED"),"Unmapped",IF(F2770=0,"Blank qty",IF(F2770&lt;0,"Return","OK")))))</f>
        <v/>
      </c>
      <c r="L2770" s="36" t="str">
        <f aca="false">IF(Raw_Export!$A2770="","",IF(OR(K2770="OK",K2770="Return"),1,0))</f>
        <v/>
      </c>
      <c r="M2770" s="37" t="str">
        <f aca="false">IF(Raw_Export!$A2770="","",B2770-WEEKDAY(B2770,2)+1)</f>
        <v/>
      </c>
    </row>
    <row r="2771" customFormat="false" ht="15" hidden="false" customHeight="false" outlineLevel="0" collapsed="false">
      <c r="A2771" s="36" t="str">
        <f aca="false">IF(Raw_Export!$A2771="","",TRIM(Raw_Export!A2771))</f>
        <v/>
      </c>
      <c r="B2771" s="37" t="str">
        <f aca="false">IF(Raw_Export!$A2771="","",IF(ISNUMBER(Raw_Export!B2771),Raw_Export!B2771,IF(MID(TRIM(Raw_Export!B2771),5,1)="-",DATE(LEFT(TRIM(Raw_Export!B2771),4),MID(TRIM(Raw_Export!B2771),6,2),RIGHT(TRIM(Raw_Export!B2771),2)),DATE(RIGHT(TRIM(Raw_Export!B2771),4),MATCH(MID(TRIM(Raw_Export!B2771),4,3),{"Jan","Feb","Mar","Apr","May","Jun","Jul","Aug","Sep","Oct","Nov","Dec"},0),LEFT(TRIM(Raw_Export!B2771),2)))))</f>
        <v/>
      </c>
      <c r="C2771" s="36" t="str">
        <f aca="false">IF(Raw_Export!$A2771="","",IFERROR(VLOOKUP(LOWER(TRIM(Raw_Export!C2771)),Maps!$A$2:$B$20,2,FALSE()),"UNMAPPED"))</f>
        <v/>
      </c>
      <c r="D2771" s="36" t="str">
        <f aca="false">IF(Raw_Export!$A2771="","",IFERROR(VLOOKUP(LOWER(TRIM(Raw_Export!D2771)),Maps!$G$2:$I$80,2,FALSE()),"UNMAPPED"))</f>
        <v/>
      </c>
      <c r="E2771" s="36" t="str">
        <f aca="false">IF(Raw_Export!$A2771="","",IFERROR(VLOOKUP(LOWER(TRIM(Raw_Export!D2771)),Maps!$G$2:$I$80,3,FALSE()),"UNMAPPED"))</f>
        <v/>
      </c>
      <c r="F2771" s="36" t="str">
        <f aca="false">IF(Raw_Export!$A2771="","",IFERROR(VALUE(TRIM(Raw_Export!E2771)),0))</f>
        <v/>
      </c>
      <c r="G2771" s="38" t="str">
        <f aca="false">IF(Raw_Export!$A2771="","",IFERROR(VALUE(SUBSTITUTE(SUBSTITUTE(UPPER(TRIM(Raw_Export!F2771)),"KES",""),",","")),0))</f>
        <v/>
      </c>
      <c r="H2771" s="38" t="str">
        <f aca="false">IF(Raw_Export!$A2771="","",F2771*G2771)</f>
        <v/>
      </c>
      <c r="I2771" s="36" t="str">
        <f aca="false">IF(Raw_Export!$A2771="","",IFERROR(VLOOKUP(LOWER(TRIM(Raw_Export!H2771)),Maps!$D$2:$E$12,2,FALSE()),"Other"))</f>
        <v/>
      </c>
      <c r="J2771" s="36" t="str">
        <f aca="false">IF(Raw_Export!$A2771="","",IF(COUNTIF($A$2:A2771,A2771)&gt;1,"Duplicate",""))</f>
        <v/>
      </c>
      <c r="K2771" s="36" t="str">
        <f aca="false">IF(Raw_Export!$A2771="","",IF(J2771="Duplicate","Duplicate",IF(OR(C2771="UNMAPPED",D2771="UNMAPPED"),"Unmapped",IF(F2771=0,"Blank qty",IF(F2771&lt;0,"Return","OK")))))</f>
        <v/>
      </c>
      <c r="L2771" s="36" t="str">
        <f aca="false">IF(Raw_Export!$A2771="","",IF(OR(K2771="OK",K2771="Return"),1,0))</f>
        <v/>
      </c>
      <c r="M2771" s="37" t="str">
        <f aca="false">IF(Raw_Export!$A2771="","",B2771-WEEKDAY(B2771,2)+1)</f>
        <v/>
      </c>
    </row>
    <row r="2772" customFormat="false" ht="15" hidden="false" customHeight="false" outlineLevel="0" collapsed="false">
      <c r="A2772" s="36" t="str">
        <f aca="false">IF(Raw_Export!$A2772="","",TRIM(Raw_Export!A2772))</f>
        <v/>
      </c>
      <c r="B2772" s="37" t="str">
        <f aca="false">IF(Raw_Export!$A2772="","",IF(ISNUMBER(Raw_Export!B2772),Raw_Export!B2772,IF(MID(TRIM(Raw_Export!B2772),5,1)="-",DATE(LEFT(TRIM(Raw_Export!B2772),4),MID(TRIM(Raw_Export!B2772),6,2),RIGHT(TRIM(Raw_Export!B2772),2)),DATE(RIGHT(TRIM(Raw_Export!B2772),4),MATCH(MID(TRIM(Raw_Export!B2772),4,3),{"Jan","Feb","Mar","Apr","May","Jun","Jul","Aug","Sep","Oct","Nov","Dec"},0),LEFT(TRIM(Raw_Export!B2772),2)))))</f>
        <v/>
      </c>
      <c r="C2772" s="36" t="str">
        <f aca="false">IF(Raw_Export!$A2772="","",IFERROR(VLOOKUP(LOWER(TRIM(Raw_Export!C2772)),Maps!$A$2:$B$20,2,FALSE()),"UNMAPPED"))</f>
        <v/>
      </c>
      <c r="D2772" s="36" t="str">
        <f aca="false">IF(Raw_Export!$A2772="","",IFERROR(VLOOKUP(LOWER(TRIM(Raw_Export!D2772)),Maps!$G$2:$I$80,2,FALSE()),"UNMAPPED"))</f>
        <v/>
      </c>
      <c r="E2772" s="36" t="str">
        <f aca="false">IF(Raw_Export!$A2772="","",IFERROR(VLOOKUP(LOWER(TRIM(Raw_Export!D2772)),Maps!$G$2:$I$80,3,FALSE()),"UNMAPPED"))</f>
        <v/>
      </c>
      <c r="F2772" s="36" t="str">
        <f aca="false">IF(Raw_Export!$A2772="","",IFERROR(VALUE(TRIM(Raw_Export!E2772)),0))</f>
        <v/>
      </c>
      <c r="G2772" s="38" t="str">
        <f aca="false">IF(Raw_Export!$A2772="","",IFERROR(VALUE(SUBSTITUTE(SUBSTITUTE(UPPER(TRIM(Raw_Export!F2772)),"KES",""),",","")),0))</f>
        <v/>
      </c>
      <c r="H2772" s="38" t="str">
        <f aca="false">IF(Raw_Export!$A2772="","",F2772*G2772)</f>
        <v/>
      </c>
      <c r="I2772" s="36" t="str">
        <f aca="false">IF(Raw_Export!$A2772="","",IFERROR(VLOOKUP(LOWER(TRIM(Raw_Export!H2772)),Maps!$D$2:$E$12,2,FALSE()),"Other"))</f>
        <v/>
      </c>
      <c r="J2772" s="36" t="str">
        <f aca="false">IF(Raw_Export!$A2772="","",IF(COUNTIF($A$2:A2772,A2772)&gt;1,"Duplicate",""))</f>
        <v/>
      </c>
      <c r="K2772" s="36" t="str">
        <f aca="false">IF(Raw_Export!$A2772="","",IF(J2772="Duplicate","Duplicate",IF(OR(C2772="UNMAPPED",D2772="UNMAPPED"),"Unmapped",IF(F2772=0,"Blank qty",IF(F2772&lt;0,"Return","OK")))))</f>
        <v/>
      </c>
      <c r="L2772" s="36" t="str">
        <f aca="false">IF(Raw_Export!$A2772="","",IF(OR(K2772="OK",K2772="Return"),1,0))</f>
        <v/>
      </c>
      <c r="M2772" s="37" t="str">
        <f aca="false">IF(Raw_Export!$A2772="","",B2772-WEEKDAY(B2772,2)+1)</f>
        <v/>
      </c>
    </row>
    <row r="2773" customFormat="false" ht="15" hidden="false" customHeight="false" outlineLevel="0" collapsed="false">
      <c r="A2773" s="36" t="str">
        <f aca="false">IF(Raw_Export!$A2773="","",TRIM(Raw_Export!A2773))</f>
        <v/>
      </c>
      <c r="B2773" s="37" t="str">
        <f aca="false">IF(Raw_Export!$A2773="","",IF(ISNUMBER(Raw_Export!B2773),Raw_Export!B2773,IF(MID(TRIM(Raw_Export!B2773),5,1)="-",DATE(LEFT(TRIM(Raw_Export!B2773),4),MID(TRIM(Raw_Export!B2773),6,2),RIGHT(TRIM(Raw_Export!B2773),2)),DATE(RIGHT(TRIM(Raw_Export!B2773),4),MATCH(MID(TRIM(Raw_Export!B2773),4,3),{"Jan","Feb","Mar","Apr","May","Jun","Jul","Aug","Sep","Oct","Nov","Dec"},0),LEFT(TRIM(Raw_Export!B2773),2)))))</f>
        <v/>
      </c>
      <c r="C2773" s="36" t="str">
        <f aca="false">IF(Raw_Export!$A2773="","",IFERROR(VLOOKUP(LOWER(TRIM(Raw_Export!C2773)),Maps!$A$2:$B$20,2,FALSE()),"UNMAPPED"))</f>
        <v/>
      </c>
      <c r="D2773" s="36" t="str">
        <f aca="false">IF(Raw_Export!$A2773="","",IFERROR(VLOOKUP(LOWER(TRIM(Raw_Export!D2773)),Maps!$G$2:$I$80,2,FALSE()),"UNMAPPED"))</f>
        <v/>
      </c>
      <c r="E2773" s="36" t="str">
        <f aca="false">IF(Raw_Export!$A2773="","",IFERROR(VLOOKUP(LOWER(TRIM(Raw_Export!D2773)),Maps!$G$2:$I$80,3,FALSE()),"UNMAPPED"))</f>
        <v/>
      </c>
      <c r="F2773" s="36" t="str">
        <f aca="false">IF(Raw_Export!$A2773="","",IFERROR(VALUE(TRIM(Raw_Export!E2773)),0))</f>
        <v/>
      </c>
      <c r="G2773" s="38" t="str">
        <f aca="false">IF(Raw_Export!$A2773="","",IFERROR(VALUE(SUBSTITUTE(SUBSTITUTE(UPPER(TRIM(Raw_Export!F2773)),"KES",""),",","")),0))</f>
        <v/>
      </c>
      <c r="H2773" s="38" t="str">
        <f aca="false">IF(Raw_Export!$A2773="","",F2773*G2773)</f>
        <v/>
      </c>
      <c r="I2773" s="36" t="str">
        <f aca="false">IF(Raw_Export!$A2773="","",IFERROR(VLOOKUP(LOWER(TRIM(Raw_Export!H2773)),Maps!$D$2:$E$12,2,FALSE()),"Other"))</f>
        <v/>
      </c>
      <c r="J2773" s="36" t="str">
        <f aca="false">IF(Raw_Export!$A2773="","",IF(COUNTIF($A$2:A2773,A2773)&gt;1,"Duplicate",""))</f>
        <v/>
      </c>
      <c r="K2773" s="36" t="str">
        <f aca="false">IF(Raw_Export!$A2773="","",IF(J2773="Duplicate","Duplicate",IF(OR(C2773="UNMAPPED",D2773="UNMAPPED"),"Unmapped",IF(F2773=0,"Blank qty",IF(F2773&lt;0,"Return","OK")))))</f>
        <v/>
      </c>
      <c r="L2773" s="36" t="str">
        <f aca="false">IF(Raw_Export!$A2773="","",IF(OR(K2773="OK",K2773="Return"),1,0))</f>
        <v/>
      </c>
      <c r="M2773" s="37" t="str">
        <f aca="false">IF(Raw_Export!$A2773="","",B2773-WEEKDAY(B2773,2)+1)</f>
        <v/>
      </c>
    </row>
    <row r="2774" customFormat="false" ht="15" hidden="false" customHeight="false" outlineLevel="0" collapsed="false">
      <c r="A2774" s="36" t="str">
        <f aca="false">IF(Raw_Export!$A2774="","",TRIM(Raw_Export!A2774))</f>
        <v/>
      </c>
      <c r="B2774" s="37" t="str">
        <f aca="false">IF(Raw_Export!$A2774="","",IF(ISNUMBER(Raw_Export!B2774),Raw_Export!B2774,IF(MID(TRIM(Raw_Export!B2774),5,1)="-",DATE(LEFT(TRIM(Raw_Export!B2774),4),MID(TRIM(Raw_Export!B2774),6,2),RIGHT(TRIM(Raw_Export!B2774),2)),DATE(RIGHT(TRIM(Raw_Export!B2774),4),MATCH(MID(TRIM(Raw_Export!B2774),4,3),{"Jan","Feb","Mar","Apr","May","Jun","Jul","Aug","Sep","Oct","Nov","Dec"},0),LEFT(TRIM(Raw_Export!B2774),2)))))</f>
        <v/>
      </c>
      <c r="C2774" s="36" t="str">
        <f aca="false">IF(Raw_Export!$A2774="","",IFERROR(VLOOKUP(LOWER(TRIM(Raw_Export!C2774)),Maps!$A$2:$B$20,2,FALSE()),"UNMAPPED"))</f>
        <v/>
      </c>
      <c r="D2774" s="36" t="str">
        <f aca="false">IF(Raw_Export!$A2774="","",IFERROR(VLOOKUP(LOWER(TRIM(Raw_Export!D2774)),Maps!$G$2:$I$80,2,FALSE()),"UNMAPPED"))</f>
        <v/>
      </c>
      <c r="E2774" s="36" t="str">
        <f aca="false">IF(Raw_Export!$A2774="","",IFERROR(VLOOKUP(LOWER(TRIM(Raw_Export!D2774)),Maps!$G$2:$I$80,3,FALSE()),"UNMAPPED"))</f>
        <v/>
      </c>
      <c r="F2774" s="36" t="str">
        <f aca="false">IF(Raw_Export!$A2774="","",IFERROR(VALUE(TRIM(Raw_Export!E2774)),0))</f>
        <v/>
      </c>
      <c r="G2774" s="38" t="str">
        <f aca="false">IF(Raw_Export!$A2774="","",IFERROR(VALUE(SUBSTITUTE(SUBSTITUTE(UPPER(TRIM(Raw_Export!F2774)),"KES",""),",","")),0))</f>
        <v/>
      </c>
      <c r="H2774" s="38" t="str">
        <f aca="false">IF(Raw_Export!$A2774="","",F2774*G2774)</f>
        <v/>
      </c>
      <c r="I2774" s="36" t="str">
        <f aca="false">IF(Raw_Export!$A2774="","",IFERROR(VLOOKUP(LOWER(TRIM(Raw_Export!H2774)),Maps!$D$2:$E$12,2,FALSE()),"Other"))</f>
        <v/>
      </c>
      <c r="J2774" s="36" t="str">
        <f aca="false">IF(Raw_Export!$A2774="","",IF(COUNTIF($A$2:A2774,A2774)&gt;1,"Duplicate",""))</f>
        <v/>
      </c>
      <c r="K2774" s="36" t="str">
        <f aca="false">IF(Raw_Export!$A2774="","",IF(J2774="Duplicate","Duplicate",IF(OR(C2774="UNMAPPED",D2774="UNMAPPED"),"Unmapped",IF(F2774=0,"Blank qty",IF(F2774&lt;0,"Return","OK")))))</f>
        <v/>
      </c>
      <c r="L2774" s="36" t="str">
        <f aca="false">IF(Raw_Export!$A2774="","",IF(OR(K2774="OK",K2774="Return"),1,0))</f>
        <v/>
      </c>
      <c r="M2774" s="37" t="str">
        <f aca="false">IF(Raw_Export!$A2774="","",B2774-WEEKDAY(B2774,2)+1)</f>
        <v/>
      </c>
    </row>
    <row r="2775" customFormat="false" ht="15" hidden="false" customHeight="false" outlineLevel="0" collapsed="false">
      <c r="A2775" s="36" t="str">
        <f aca="false">IF(Raw_Export!$A2775="","",TRIM(Raw_Export!A2775))</f>
        <v/>
      </c>
      <c r="B2775" s="37" t="str">
        <f aca="false">IF(Raw_Export!$A2775="","",IF(ISNUMBER(Raw_Export!B2775),Raw_Export!B2775,IF(MID(TRIM(Raw_Export!B2775),5,1)="-",DATE(LEFT(TRIM(Raw_Export!B2775),4),MID(TRIM(Raw_Export!B2775),6,2),RIGHT(TRIM(Raw_Export!B2775),2)),DATE(RIGHT(TRIM(Raw_Export!B2775),4),MATCH(MID(TRIM(Raw_Export!B2775),4,3),{"Jan","Feb","Mar","Apr","May","Jun","Jul","Aug","Sep","Oct","Nov","Dec"},0),LEFT(TRIM(Raw_Export!B2775),2)))))</f>
        <v/>
      </c>
      <c r="C2775" s="36" t="str">
        <f aca="false">IF(Raw_Export!$A2775="","",IFERROR(VLOOKUP(LOWER(TRIM(Raw_Export!C2775)),Maps!$A$2:$B$20,2,FALSE()),"UNMAPPED"))</f>
        <v/>
      </c>
      <c r="D2775" s="36" t="str">
        <f aca="false">IF(Raw_Export!$A2775="","",IFERROR(VLOOKUP(LOWER(TRIM(Raw_Export!D2775)),Maps!$G$2:$I$80,2,FALSE()),"UNMAPPED"))</f>
        <v/>
      </c>
      <c r="E2775" s="36" t="str">
        <f aca="false">IF(Raw_Export!$A2775="","",IFERROR(VLOOKUP(LOWER(TRIM(Raw_Export!D2775)),Maps!$G$2:$I$80,3,FALSE()),"UNMAPPED"))</f>
        <v/>
      </c>
      <c r="F2775" s="36" t="str">
        <f aca="false">IF(Raw_Export!$A2775="","",IFERROR(VALUE(TRIM(Raw_Export!E2775)),0))</f>
        <v/>
      </c>
      <c r="G2775" s="38" t="str">
        <f aca="false">IF(Raw_Export!$A2775="","",IFERROR(VALUE(SUBSTITUTE(SUBSTITUTE(UPPER(TRIM(Raw_Export!F2775)),"KES",""),",","")),0))</f>
        <v/>
      </c>
      <c r="H2775" s="38" t="str">
        <f aca="false">IF(Raw_Export!$A2775="","",F2775*G2775)</f>
        <v/>
      </c>
      <c r="I2775" s="36" t="str">
        <f aca="false">IF(Raw_Export!$A2775="","",IFERROR(VLOOKUP(LOWER(TRIM(Raw_Export!H2775)),Maps!$D$2:$E$12,2,FALSE()),"Other"))</f>
        <v/>
      </c>
      <c r="J2775" s="36" t="str">
        <f aca="false">IF(Raw_Export!$A2775="","",IF(COUNTIF($A$2:A2775,A2775)&gt;1,"Duplicate",""))</f>
        <v/>
      </c>
      <c r="K2775" s="36" t="str">
        <f aca="false">IF(Raw_Export!$A2775="","",IF(J2775="Duplicate","Duplicate",IF(OR(C2775="UNMAPPED",D2775="UNMAPPED"),"Unmapped",IF(F2775=0,"Blank qty",IF(F2775&lt;0,"Return","OK")))))</f>
        <v/>
      </c>
      <c r="L2775" s="36" t="str">
        <f aca="false">IF(Raw_Export!$A2775="","",IF(OR(K2775="OK",K2775="Return"),1,0))</f>
        <v/>
      </c>
      <c r="M2775" s="37" t="str">
        <f aca="false">IF(Raw_Export!$A2775="","",B2775-WEEKDAY(B2775,2)+1)</f>
        <v/>
      </c>
    </row>
    <row r="2776" customFormat="false" ht="15" hidden="false" customHeight="false" outlineLevel="0" collapsed="false">
      <c r="A2776" s="36" t="str">
        <f aca="false">IF(Raw_Export!$A2776="","",TRIM(Raw_Export!A2776))</f>
        <v/>
      </c>
      <c r="B2776" s="37" t="str">
        <f aca="false">IF(Raw_Export!$A2776="","",IF(ISNUMBER(Raw_Export!B2776),Raw_Export!B2776,IF(MID(TRIM(Raw_Export!B2776),5,1)="-",DATE(LEFT(TRIM(Raw_Export!B2776),4),MID(TRIM(Raw_Export!B2776),6,2),RIGHT(TRIM(Raw_Export!B2776),2)),DATE(RIGHT(TRIM(Raw_Export!B2776),4),MATCH(MID(TRIM(Raw_Export!B2776),4,3),{"Jan","Feb","Mar","Apr","May","Jun","Jul","Aug","Sep","Oct","Nov","Dec"},0),LEFT(TRIM(Raw_Export!B2776),2)))))</f>
        <v/>
      </c>
      <c r="C2776" s="36" t="str">
        <f aca="false">IF(Raw_Export!$A2776="","",IFERROR(VLOOKUP(LOWER(TRIM(Raw_Export!C2776)),Maps!$A$2:$B$20,2,FALSE()),"UNMAPPED"))</f>
        <v/>
      </c>
      <c r="D2776" s="36" t="str">
        <f aca="false">IF(Raw_Export!$A2776="","",IFERROR(VLOOKUP(LOWER(TRIM(Raw_Export!D2776)),Maps!$G$2:$I$80,2,FALSE()),"UNMAPPED"))</f>
        <v/>
      </c>
      <c r="E2776" s="36" t="str">
        <f aca="false">IF(Raw_Export!$A2776="","",IFERROR(VLOOKUP(LOWER(TRIM(Raw_Export!D2776)),Maps!$G$2:$I$80,3,FALSE()),"UNMAPPED"))</f>
        <v/>
      </c>
      <c r="F2776" s="36" t="str">
        <f aca="false">IF(Raw_Export!$A2776="","",IFERROR(VALUE(TRIM(Raw_Export!E2776)),0))</f>
        <v/>
      </c>
      <c r="G2776" s="38" t="str">
        <f aca="false">IF(Raw_Export!$A2776="","",IFERROR(VALUE(SUBSTITUTE(SUBSTITUTE(UPPER(TRIM(Raw_Export!F2776)),"KES",""),",","")),0))</f>
        <v/>
      </c>
      <c r="H2776" s="38" t="str">
        <f aca="false">IF(Raw_Export!$A2776="","",F2776*G2776)</f>
        <v/>
      </c>
      <c r="I2776" s="36" t="str">
        <f aca="false">IF(Raw_Export!$A2776="","",IFERROR(VLOOKUP(LOWER(TRIM(Raw_Export!H2776)),Maps!$D$2:$E$12,2,FALSE()),"Other"))</f>
        <v/>
      </c>
      <c r="J2776" s="36" t="str">
        <f aca="false">IF(Raw_Export!$A2776="","",IF(COUNTIF($A$2:A2776,A2776)&gt;1,"Duplicate",""))</f>
        <v/>
      </c>
      <c r="K2776" s="36" t="str">
        <f aca="false">IF(Raw_Export!$A2776="","",IF(J2776="Duplicate","Duplicate",IF(OR(C2776="UNMAPPED",D2776="UNMAPPED"),"Unmapped",IF(F2776=0,"Blank qty",IF(F2776&lt;0,"Return","OK")))))</f>
        <v/>
      </c>
      <c r="L2776" s="36" t="str">
        <f aca="false">IF(Raw_Export!$A2776="","",IF(OR(K2776="OK",K2776="Return"),1,0))</f>
        <v/>
      </c>
      <c r="M2776" s="37" t="str">
        <f aca="false">IF(Raw_Export!$A2776="","",B2776-WEEKDAY(B2776,2)+1)</f>
        <v/>
      </c>
    </row>
    <row r="2777" customFormat="false" ht="15" hidden="false" customHeight="false" outlineLevel="0" collapsed="false">
      <c r="A2777" s="36" t="str">
        <f aca="false">IF(Raw_Export!$A2777="","",TRIM(Raw_Export!A2777))</f>
        <v/>
      </c>
      <c r="B2777" s="37" t="str">
        <f aca="false">IF(Raw_Export!$A2777="","",IF(ISNUMBER(Raw_Export!B2777),Raw_Export!B2777,IF(MID(TRIM(Raw_Export!B2777),5,1)="-",DATE(LEFT(TRIM(Raw_Export!B2777),4),MID(TRIM(Raw_Export!B2777),6,2),RIGHT(TRIM(Raw_Export!B2777),2)),DATE(RIGHT(TRIM(Raw_Export!B2777),4),MATCH(MID(TRIM(Raw_Export!B2777),4,3),{"Jan","Feb","Mar","Apr","May","Jun","Jul","Aug","Sep","Oct","Nov","Dec"},0),LEFT(TRIM(Raw_Export!B2777),2)))))</f>
        <v/>
      </c>
      <c r="C2777" s="36" t="str">
        <f aca="false">IF(Raw_Export!$A2777="","",IFERROR(VLOOKUP(LOWER(TRIM(Raw_Export!C2777)),Maps!$A$2:$B$20,2,FALSE()),"UNMAPPED"))</f>
        <v/>
      </c>
      <c r="D2777" s="36" t="str">
        <f aca="false">IF(Raw_Export!$A2777="","",IFERROR(VLOOKUP(LOWER(TRIM(Raw_Export!D2777)),Maps!$G$2:$I$80,2,FALSE()),"UNMAPPED"))</f>
        <v/>
      </c>
      <c r="E2777" s="36" t="str">
        <f aca="false">IF(Raw_Export!$A2777="","",IFERROR(VLOOKUP(LOWER(TRIM(Raw_Export!D2777)),Maps!$G$2:$I$80,3,FALSE()),"UNMAPPED"))</f>
        <v/>
      </c>
      <c r="F2777" s="36" t="str">
        <f aca="false">IF(Raw_Export!$A2777="","",IFERROR(VALUE(TRIM(Raw_Export!E2777)),0))</f>
        <v/>
      </c>
      <c r="G2777" s="38" t="str">
        <f aca="false">IF(Raw_Export!$A2777="","",IFERROR(VALUE(SUBSTITUTE(SUBSTITUTE(UPPER(TRIM(Raw_Export!F2777)),"KES",""),",","")),0))</f>
        <v/>
      </c>
      <c r="H2777" s="38" t="str">
        <f aca="false">IF(Raw_Export!$A2777="","",F2777*G2777)</f>
        <v/>
      </c>
      <c r="I2777" s="36" t="str">
        <f aca="false">IF(Raw_Export!$A2777="","",IFERROR(VLOOKUP(LOWER(TRIM(Raw_Export!H2777)),Maps!$D$2:$E$12,2,FALSE()),"Other"))</f>
        <v/>
      </c>
      <c r="J2777" s="36" t="str">
        <f aca="false">IF(Raw_Export!$A2777="","",IF(COUNTIF($A$2:A2777,A2777)&gt;1,"Duplicate",""))</f>
        <v/>
      </c>
      <c r="K2777" s="36" t="str">
        <f aca="false">IF(Raw_Export!$A2777="","",IF(J2777="Duplicate","Duplicate",IF(OR(C2777="UNMAPPED",D2777="UNMAPPED"),"Unmapped",IF(F2777=0,"Blank qty",IF(F2777&lt;0,"Return","OK")))))</f>
        <v/>
      </c>
      <c r="L2777" s="36" t="str">
        <f aca="false">IF(Raw_Export!$A2777="","",IF(OR(K2777="OK",K2777="Return"),1,0))</f>
        <v/>
      </c>
      <c r="M2777" s="37" t="str">
        <f aca="false">IF(Raw_Export!$A2777="","",B2777-WEEKDAY(B2777,2)+1)</f>
        <v/>
      </c>
    </row>
    <row r="2778" customFormat="false" ht="15" hidden="false" customHeight="false" outlineLevel="0" collapsed="false">
      <c r="A2778" s="36" t="str">
        <f aca="false">IF(Raw_Export!$A2778="","",TRIM(Raw_Export!A2778))</f>
        <v/>
      </c>
      <c r="B2778" s="37" t="str">
        <f aca="false">IF(Raw_Export!$A2778="","",IF(ISNUMBER(Raw_Export!B2778),Raw_Export!B2778,IF(MID(TRIM(Raw_Export!B2778),5,1)="-",DATE(LEFT(TRIM(Raw_Export!B2778),4),MID(TRIM(Raw_Export!B2778),6,2),RIGHT(TRIM(Raw_Export!B2778),2)),DATE(RIGHT(TRIM(Raw_Export!B2778),4),MATCH(MID(TRIM(Raw_Export!B2778),4,3),{"Jan","Feb","Mar","Apr","May","Jun","Jul","Aug","Sep","Oct","Nov","Dec"},0),LEFT(TRIM(Raw_Export!B2778),2)))))</f>
        <v/>
      </c>
      <c r="C2778" s="36" t="str">
        <f aca="false">IF(Raw_Export!$A2778="","",IFERROR(VLOOKUP(LOWER(TRIM(Raw_Export!C2778)),Maps!$A$2:$B$20,2,FALSE()),"UNMAPPED"))</f>
        <v/>
      </c>
      <c r="D2778" s="36" t="str">
        <f aca="false">IF(Raw_Export!$A2778="","",IFERROR(VLOOKUP(LOWER(TRIM(Raw_Export!D2778)),Maps!$G$2:$I$80,2,FALSE()),"UNMAPPED"))</f>
        <v/>
      </c>
      <c r="E2778" s="36" t="str">
        <f aca="false">IF(Raw_Export!$A2778="","",IFERROR(VLOOKUP(LOWER(TRIM(Raw_Export!D2778)),Maps!$G$2:$I$80,3,FALSE()),"UNMAPPED"))</f>
        <v/>
      </c>
      <c r="F2778" s="36" t="str">
        <f aca="false">IF(Raw_Export!$A2778="","",IFERROR(VALUE(TRIM(Raw_Export!E2778)),0))</f>
        <v/>
      </c>
      <c r="G2778" s="38" t="str">
        <f aca="false">IF(Raw_Export!$A2778="","",IFERROR(VALUE(SUBSTITUTE(SUBSTITUTE(UPPER(TRIM(Raw_Export!F2778)),"KES",""),",","")),0))</f>
        <v/>
      </c>
      <c r="H2778" s="38" t="str">
        <f aca="false">IF(Raw_Export!$A2778="","",F2778*G2778)</f>
        <v/>
      </c>
      <c r="I2778" s="36" t="str">
        <f aca="false">IF(Raw_Export!$A2778="","",IFERROR(VLOOKUP(LOWER(TRIM(Raw_Export!H2778)),Maps!$D$2:$E$12,2,FALSE()),"Other"))</f>
        <v/>
      </c>
      <c r="J2778" s="36" t="str">
        <f aca="false">IF(Raw_Export!$A2778="","",IF(COUNTIF($A$2:A2778,A2778)&gt;1,"Duplicate",""))</f>
        <v/>
      </c>
      <c r="K2778" s="36" t="str">
        <f aca="false">IF(Raw_Export!$A2778="","",IF(J2778="Duplicate","Duplicate",IF(OR(C2778="UNMAPPED",D2778="UNMAPPED"),"Unmapped",IF(F2778=0,"Blank qty",IF(F2778&lt;0,"Return","OK")))))</f>
        <v/>
      </c>
      <c r="L2778" s="36" t="str">
        <f aca="false">IF(Raw_Export!$A2778="","",IF(OR(K2778="OK",K2778="Return"),1,0))</f>
        <v/>
      </c>
      <c r="M2778" s="37" t="str">
        <f aca="false">IF(Raw_Export!$A2778="","",B2778-WEEKDAY(B2778,2)+1)</f>
        <v/>
      </c>
    </row>
    <row r="2779" customFormat="false" ht="15" hidden="false" customHeight="false" outlineLevel="0" collapsed="false">
      <c r="A2779" s="36" t="str">
        <f aca="false">IF(Raw_Export!$A2779="","",TRIM(Raw_Export!A2779))</f>
        <v/>
      </c>
      <c r="B2779" s="37" t="str">
        <f aca="false">IF(Raw_Export!$A2779="","",IF(ISNUMBER(Raw_Export!B2779),Raw_Export!B2779,IF(MID(TRIM(Raw_Export!B2779),5,1)="-",DATE(LEFT(TRIM(Raw_Export!B2779),4),MID(TRIM(Raw_Export!B2779),6,2),RIGHT(TRIM(Raw_Export!B2779),2)),DATE(RIGHT(TRIM(Raw_Export!B2779),4),MATCH(MID(TRIM(Raw_Export!B2779),4,3),{"Jan","Feb","Mar","Apr","May","Jun","Jul","Aug","Sep","Oct","Nov","Dec"},0),LEFT(TRIM(Raw_Export!B2779),2)))))</f>
        <v/>
      </c>
      <c r="C2779" s="36" t="str">
        <f aca="false">IF(Raw_Export!$A2779="","",IFERROR(VLOOKUP(LOWER(TRIM(Raw_Export!C2779)),Maps!$A$2:$B$20,2,FALSE()),"UNMAPPED"))</f>
        <v/>
      </c>
      <c r="D2779" s="36" t="str">
        <f aca="false">IF(Raw_Export!$A2779="","",IFERROR(VLOOKUP(LOWER(TRIM(Raw_Export!D2779)),Maps!$G$2:$I$80,2,FALSE()),"UNMAPPED"))</f>
        <v/>
      </c>
      <c r="E2779" s="36" t="str">
        <f aca="false">IF(Raw_Export!$A2779="","",IFERROR(VLOOKUP(LOWER(TRIM(Raw_Export!D2779)),Maps!$G$2:$I$80,3,FALSE()),"UNMAPPED"))</f>
        <v/>
      </c>
      <c r="F2779" s="36" t="str">
        <f aca="false">IF(Raw_Export!$A2779="","",IFERROR(VALUE(TRIM(Raw_Export!E2779)),0))</f>
        <v/>
      </c>
      <c r="G2779" s="38" t="str">
        <f aca="false">IF(Raw_Export!$A2779="","",IFERROR(VALUE(SUBSTITUTE(SUBSTITUTE(UPPER(TRIM(Raw_Export!F2779)),"KES",""),",","")),0))</f>
        <v/>
      </c>
      <c r="H2779" s="38" t="str">
        <f aca="false">IF(Raw_Export!$A2779="","",F2779*G2779)</f>
        <v/>
      </c>
      <c r="I2779" s="36" t="str">
        <f aca="false">IF(Raw_Export!$A2779="","",IFERROR(VLOOKUP(LOWER(TRIM(Raw_Export!H2779)),Maps!$D$2:$E$12,2,FALSE()),"Other"))</f>
        <v/>
      </c>
      <c r="J2779" s="36" t="str">
        <f aca="false">IF(Raw_Export!$A2779="","",IF(COUNTIF($A$2:A2779,A2779)&gt;1,"Duplicate",""))</f>
        <v/>
      </c>
      <c r="K2779" s="36" t="str">
        <f aca="false">IF(Raw_Export!$A2779="","",IF(J2779="Duplicate","Duplicate",IF(OR(C2779="UNMAPPED",D2779="UNMAPPED"),"Unmapped",IF(F2779=0,"Blank qty",IF(F2779&lt;0,"Return","OK")))))</f>
        <v/>
      </c>
      <c r="L2779" s="36" t="str">
        <f aca="false">IF(Raw_Export!$A2779="","",IF(OR(K2779="OK",K2779="Return"),1,0))</f>
        <v/>
      </c>
      <c r="M2779" s="37" t="str">
        <f aca="false">IF(Raw_Export!$A2779="","",B2779-WEEKDAY(B2779,2)+1)</f>
        <v/>
      </c>
    </row>
    <row r="2780" customFormat="false" ht="15" hidden="false" customHeight="false" outlineLevel="0" collapsed="false">
      <c r="A2780" s="36" t="str">
        <f aca="false">IF(Raw_Export!$A2780="","",TRIM(Raw_Export!A2780))</f>
        <v/>
      </c>
      <c r="B2780" s="37" t="str">
        <f aca="false">IF(Raw_Export!$A2780="","",IF(ISNUMBER(Raw_Export!B2780),Raw_Export!B2780,IF(MID(TRIM(Raw_Export!B2780),5,1)="-",DATE(LEFT(TRIM(Raw_Export!B2780),4),MID(TRIM(Raw_Export!B2780),6,2),RIGHT(TRIM(Raw_Export!B2780),2)),DATE(RIGHT(TRIM(Raw_Export!B2780),4),MATCH(MID(TRIM(Raw_Export!B2780),4,3),{"Jan","Feb","Mar","Apr","May","Jun","Jul","Aug","Sep","Oct","Nov","Dec"},0),LEFT(TRIM(Raw_Export!B2780),2)))))</f>
        <v/>
      </c>
      <c r="C2780" s="36" t="str">
        <f aca="false">IF(Raw_Export!$A2780="","",IFERROR(VLOOKUP(LOWER(TRIM(Raw_Export!C2780)),Maps!$A$2:$B$20,2,FALSE()),"UNMAPPED"))</f>
        <v/>
      </c>
      <c r="D2780" s="36" t="str">
        <f aca="false">IF(Raw_Export!$A2780="","",IFERROR(VLOOKUP(LOWER(TRIM(Raw_Export!D2780)),Maps!$G$2:$I$80,2,FALSE()),"UNMAPPED"))</f>
        <v/>
      </c>
      <c r="E2780" s="36" t="str">
        <f aca="false">IF(Raw_Export!$A2780="","",IFERROR(VLOOKUP(LOWER(TRIM(Raw_Export!D2780)),Maps!$G$2:$I$80,3,FALSE()),"UNMAPPED"))</f>
        <v/>
      </c>
      <c r="F2780" s="36" t="str">
        <f aca="false">IF(Raw_Export!$A2780="","",IFERROR(VALUE(TRIM(Raw_Export!E2780)),0))</f>
        <v/>
      </c>
      <c r="G2780" s="38" t="str">
        <f aca="false">IF(Raw_Export!$A2780="","",IFERROR(VALUE(SUBSTITUTE(SUBSTITUTE(UPPER(TRIM(Raw_Export!F2780)),"KES",""),",","")),0))</f>
        <v/>
      </c>
      <c r="H2780" s="38" t="str">
        <f aca="false">IF(Raw_Export!$A2780="","",F2780*G2780)</f>
        <v/>
      </c>
      <c r="I2780" s="36" t="str">
        <f aca="false">IF(Raw_Export!$A2780="","",IFERROR(VLOOKUP(LOWER(TRIM(Raw_Export!H2780)),Maps!$D$2:$E$12,2,FALSE()),"Other"))</f>
        <v/>
      </c>
      <c r="J2780" s="36" t="str">
        <f aca="false">IF(Raw_Export!$A2780="","",IF(COUNTIF($A$2:A2780,A2780)&gt;1,"Duplicate",""))</f>
        <v/>
      </c>
      <c r="K2780" s="36" t="str">
        <f aca="false">IF(Raw_Export!$A2780="","",IF(J2780="Duplicate","Duplicate",IF(OR(C2780="UNMAPPED",D2780="UNMAPPED"),"Unmapped",IF(F2780=0,"Blank qty",IF(F2780&lt;0,"Return","OK")))))</f>
        <v/>
      </c>
      <c r="L2780" s="36" t="str">
        <f aca="false">IF(Raw_Export!$A2780="","",IF(OR(K2780="OK",K2780="Return"),1,0))</f>
        <v/>
      </c>
      <c r="M2780" s="37" t="str">
        <f aca="false">IF(Raw_Export!$A2780="","",B2780-WEEKDAY(B2780,2)+1)</f>
        <v/>
      </c>
    </row>
    <row r="2781" customFormat="false" ht="15" hidden="false" customHeight="false" outlineLevel="0" collapsed="false">
      <c r="A2781" s="36" t="str">
        <f aca="false">IF(Raw_Export!$A2781="","",TRIM(Raw_Export!A2781))</f>
        <v/>
      </c>
      <c r="B2781" s="37" t="str">
        <f aca="false">IF(Raw_Export!$A2781="","",IF(ISNUMBER(Raw_Export!B2781),Raw_Export!B2781,IF(MID(TRIM(Raw_Export!B2781),5,1)="-",DATE(LEFT(TRIM(Raw_Export!B2781),4),MID(TRIM(Raw_Export!B2781),6,2),RIGHT(TRIM(Raw_Export!B2781),2)),DATE(RIGHT(TRIM(Raw_Export!B2781),4),MATCH(MID(TRIM(Raw_Export!B2781),4,3),{"Jan","Feb","Mar","Apr","May","Jun","Jul","Aug","Sep","Oct","Nov","Dec"},0),LEFT(TRIM(Raw_Export!B2781),2)))))</f>
        <v/>
      </c>
      <c r="C2781" s="36" t="str">
        <f aca="false">IF(Raw_Export!$A2781="","",IFERROR(VLOOKUP(LOWER(TRIM(Raw_Export!C2781)),Maps!$A$2:$B$20,2,FALSE()),"UNMAPPED"))</f>
        <v/>
      </c>
      <c r="D2781" s="36" t="str">
        <f aca="false">IF(Raw_Export!$A2781="","",IFERROR(VLOOKUP(LOWER(TRIM(Raw_Export!D2781)),Maps!$G$2:$I$80,2,FALSE()),"UNMAPPED"))</f>
        <v/>
      </c>
      <c r="E2781" s="36" t="str">
        <f aca="false">IF(Raw_Export!$A2781="","",IFERROR(VLOOKUP(LOWER(TRIM(Raw_Export!D2781)),Maps!$G$2:$I$80,3,FALSE()),"UNMAPPED"))</f>
        <v/>
      </c>
      <c r="F2781" s="36" t="str">
        <f aca="false">IF(Raw_Export!$A2781="","",IFERROR(VALUE(TRIM(Raw_Export!E2781)),0))</f>
        <v/>
      </c>
      <c r="G2781" s="38" t="str">
        <f aca="false">IF(Raw_Export!$A2781="","",IFERROR(VALUE(SUBSTITUTE(SUBSTITUTE(UPPER(TRIM(Raw_Export!F2781)),"KES",""),",","")),0))</f>
        <v/>
      </c>
      <c r="H2781" s="38" t="str">
        <f aca="false">IF(Raw_Export!$A2781="","",F2781*G2781)</f>
        <v/>
      </c>
      <c r="I2781" s="36" t="str">
        <f aca="false">IF(Raw_Export!$A2781="","",IFERROR(VLOOKUP(LOWER(TRIM(Raw_Export!H2781)),Maps!$D$2:$E$12,2,FALSE()),"Other"))</f>
        <v/>
      </c>
      <c r="J2781" s="36" t="str">
        <f aca="false">IF(Raw_Export!$A2781="","",IF(COUNTIF($A$2:A2781,A2781)&gt;1,"Duplicate",""))</f>
        <v/>
      </c>
      <c r="K2781" s="36" t="str">
        <f aca="false">IF(Raw_Export!$A2781="","",IF(J2781="Duplicate","Duplicate",IF(OR(C2781="UNMAPPED",D2781="UNMAPPED"),"Unmapped",IF(F2781=0,"Blank qty",IF(F2781&lt;0,"Return","OK")))))</f>
        <v/>
      </c>
      <c r="L2781" s="36" t="str">
        <f aca="false">IF(Raw_Export!$A2781="","",IF(OR(K2781="OK",K2781="Return"),1,0))</f>
        <v/>
      </c>
      <c r="M2781" s="37" t="str">
        <f aca="false">IF(Raw_Export!$A2781="","",B2781-WEEKDAY(B2781,2)+1)</f>
        <v/>
      </c>
    </row>
    <row r="2782" customFormat="false" ht="15" hidden="false" customHeight="false" outlineLevel="0" collapsed="false">
      <c r="A2782" s="36" t="str">
        <f aca="false">IF(Raw_Export!$A2782="","",TRIM(Raw_Export!A2782))</f>
        <v/>
      </c>
      <c r="B2782" s="37" t="str">
        <f aca="false">IF(Raw_Export!$A2782="","",IF(ISNUMBER(Raw_Export!B2782),Raw_Export!B2782,IF(MID(TRIM(Raw_Export!B2782),5,1)="-",DATE(LEFT(TRIM(Raw_Export!B2782),4),MID(TRIM(Raw_Export!B2782),6,2),RIGHT(TRIM(Raw_Export!B2782),2)),DATE(RIGHT(TRIM(Raw_Export!B2782),4),MATCH(MID(TRIM(Raw_Export!B2782),4,3),{"Jan","Feb","Mar","Apr","May","Jun","Jul","Aug","Sep","Oct","Nov","Dec"},0),LEFT(TRIM(Raw_Export!B2782),2)))))</f>
        <v/>
      </c>
      <c r="C2782" s="36" t="str">
        <f aca="false">IF(Raw_Export!$A2782="","",IFERROR(VLOOKUP(LOWER(TRIM(Raw_Export!C2782)),Maps!$A$2:$B$20,2,FALSE()),"UNMAPPED"))</f>
        <v/>
      </c>
      <c r="D2782" s="36" t="str">
        <f aca="false">IF(Raw_Export!$A2782="","",IFERROR(VLOOKUP(LOWER(TRIM(Raw_Export!D2782)),Maps!$G$2:$I$80,2,FALSE()),"UNMAPPED"))</f>
        <v/>
      </c>
      <c r="E2782" s="36" t="str">
        <f aca="false">IF(Raw_Export!$A2782="","",IFERROR(VLOOKUP(LOWER(TRIM(Raw_Export!D2782)),Maps!$G$2:$I$80,3,FALSE()),"UNMAPPED"))</f>
        <v/>
      </c>
      <c r="F2782" s="36" t="str">
        <f aca="false">IF(Raw_Export!$A2782="","",IFERROR(VALUE(TRIM(Raw_Export!E2782)),0))</f>
        <v/>
      </c>
      <c r="G2782" s="38" t="str">
        <f aca="false">IF(Raw_Export!$A2782="","",IFERROR(VALUE(SUBSTITUTE(SUBSTITUTE(UPPER(TRIM(Raw_Export!F2782)),"KES",""),",","")),0))</f>
        <v/>
      </c>
      <c r="H2782" s="38" t="str">
        <f aca="false">IF(Raw_Export!$A2782="","",F2782*G2782)</f>
        <v/>
      </c>
      <c r="I2782" s="36" t="str">
        <f aca="false">IF(Raw_Export!$A2782="","",IFERROR(VLOOKUP(LOWER(TRIM(Raw_Export!H2782)),Maps!$D$2:$E$12,2,FALSE()),"Other"))</f>
        <v/>
      </c>
      <c r="J2782" s="36" t="str">
        <f aca="false">IF(Raw_Export!$A2782="","",IF(COUNTIF($A$2:A2782,A2782)&gt;1,"Duplicate",""))</f>
        <v/>
      </c>
      <c r="K2782" s="36" t="str">
        <f aca="false">IF(Raw_Export!$A2782="","",IF(J2782="Duplicate","Duplicate",IF(OR(C2782="UNMAPPED",D2782="UNMAPPED"),"Unmapped",IF(F2782=0,"Blank qty",IF(F2782&lt;0,"Return","OK")))))</f>
        <v/>
      </c>
      <c r="L2782" s="36" t="str">
        <f aca="false">IF(Raw_Export!$A2782="","",IF(OR(K2782="OK",K2782="Return"),1,0))</f>
        <v/>
      </c>
      <c r="M2782" s="37" t="str">
        <f aca="false">IF(Raw_Export!$A2782="","",B2782-WEEKDAY(B2782,2)+1)</f>
        <v/>
      </c>
    </row>
    <row r="2783" customFormat="false" ht="15" hidden="false" customHeight="false" outlineLevel="0" collapsed="false">
      <c r="A2783" s="36" t="str">
        <f aca="false">IF(Raw_Export!$A2783="","",TRIM(Raw_Export!A2783))</f>
        <v/>
      </c>
      <c r="B2783" s="37" t="str">
        <f aca="false">IF(Raw_Export!$A2783="","",IF(ISNUMBER(Raw_Export!B2783),Raw_Export!B2783,IF(MID(TRIM(Raw_Export!B2783),5,1)="-",DATE(LEFT(TRIM(Raw_Export!B2783),4),MID(TRIM(Raw_Export!B2783),6,2),RIGHT(TRIM(Raw_Export!B2783),2)),DATE(RIGHT(TRIM(Raw_Export!B2783),4),MATCH(MID(TRIM(Raw_Export!B2783),4,3),{"Jan","Feb","Mar","Apr","May","Jun","Jul","Aug","Sep","Oct","Nov","Dec"},0),LEFT(TRIM(Raw_Export!B2783),2)))))</f>
        <v/>
      </c>
      <c r="C2783" s="36" t="str">
        <f aca="false">IF(Raw_Export!$A2783="","",IFERROR(VLOOKUP(LOWER(TRIM(Raw_Export!C2783)),Maps!$A$2:$B$20,2,FALSE()),"UNMAPPED"))</f>
        <v/>
      </c>
      <c r="D2783" s="36" t="str">
        <f aca="false">IF(Raw_Export!$A2783="","",IFERROR(VLOOKUP(LOWER(TRIM(Raw_Export!D2783)),Maps!$G$2:$I$80,2,FALSE()),"UNMAPPED"))</f>
        <v/>
      </c>
      <c r="E2783" s="36" t="str">
        <f aca="false">IF(Raw_Export!$A2783="","",IFERROR(VLOOKUP(LOWER(TRIM(Raw_Export!D2783)),Maps!$G$2:$I$80,3,FALSE()),"UNMAPPED"))</f>
        <v/>
      </c>
      <c r="F2783" s="36" t="str">
        <f aca="false">IF(Raw_Export!$A2783="","",IFERROR(VALUE(TRIM(Raw_Export!E2783)),0))</f>
        <v/>
      </c>
      <c r="G2783" s="38" t="str">
        <f aca="false">IF(Raw_Export!$A2783="","",IFERROR(VALUE(SUBSTITUTE(SUBSTITUTE(UPPER(TRIM(Raw_Export!F2783)),"KES",""),",","")),0))</f>
        <v/>
      </c>
      <c r="H2783" s="38" t="str">
        <f aca="false">IF(Raw_Export!$A2783="","",F2783*G2783)</f>
        <v/>
      </c>
      <c r="I2783" s="36" t="str">
        <f aca="false">IF(Raw_Export!$A2783="","",IFERROR(VLOOKUP(LOWER(TRIM(Raw_Export!H2783)),Maps!$D$2:$E$12,2,FALSE()),"Other"))</f>
        <v/>
      </c>
      <c r="J2783" s="36" t="str">
        <f aca="false">IF(Raw_Export!$A2783="","",IF(COUNTIF($A$2:A2783,A2783)&gt;1,"Duplicate",""))</f>
        <v/>
      </c>
      <c r="K2783" s="36" t="str">
        <f aca="false">IF(Raw_Export!$A2783="","",IF(J2783="Duplicate","Duplicate",IF(OR(C2783="UNMAPPED",D2783="UNMAPPED"),"Unmapped",IF(F2783=0,"Blank qty",IF(F2783&lt;0,"Return","OK")))))</f>
        <v/>
      </c>
      <c r="L2783" s="36" t="str">
        <f aca="false">IF(Raw_Export!$A2783="","",IF(OR(K2783="OK",K2783="Return"),1,0))</f>
        <v/>
      </c>
      <c r="M2783" s="37" t="str">
        <f aca="false">IF(Raw_Export!$A2783="","",B2783-WEEKDAY(B2783,2)+1)</f>
        <v/>
      </c>
    </row>
    <row r="2784" customFormat="false" ht="15" hidden="false" customHeight="false" outlineLevel="0" collapsed="false">
      <c r="A2784" s="36" t="str">
        <f aca="false">IF(Raw_Export!$A2784="","",TRIM(Raw_Export!A2784))</f>
        <v/>
      </c>
      <c r="B2784" s="37" t="str">
        <f aca="false">IF(Raw_Export!$A2784="","",IF(ISNUMBER(Raw_Export!B2784),Raw_Export!B2784,IF(MID(TRIM(Raw_Export!B2784),5,1)="-",DATE(LEFT(TRIM(Raw_Export!B2784),4),MID(TRIM(Raw_Export!B2784),6,2),RIGHT(TRIM(Raw_Export!B2784),2)),DATE(RIGHT(TRIM(Raw_Export!B2784),4),MATCH(MID(TRIM(Raw_Export!B2784),4,3),{"Jan","Feb","Mar","Apr","May","Jun","Jul","Aug","Sep","Oct","Nov","Dec"},0),LEFT(TRIM(Raw_Export!B2784),2)))))</f>
        <v/>
      </c>
      <c r="C2784" s="36" t="str">
        <f aca="false">IF(Raw_Export!$A2784="","",IFERROR(VLOOKUP(LOWER(TRIM(Raw_Export!C2784)),Maps!$A$2:$B$20,2,FALSE()),"UNMAPPED"))</f>
        <v/>
      </c>
      <c r="D2784" s="36" t="str">
        <f aca="false">IF(Raw_Export!$A2784="","",IFERROR(VLOOKUP(LOWER(TRIM(Raw_Export!D2784)),Maps!$G$2:$I$80,2,FALSE()),"UNMAPPED"))</f>
        <v/>
      </c>
      <c r="E2784" s="36" t="str">
        <f aca="false">IF(Raw_Export!$A2784="","",IFERROR(VLOOKUP(LOWER(TRIM(Raw_Export!D2784)),Maps!$G$2:$I$80,3,FALSE()),"UNMAPPED"))</f>
        <v/>
      </c>
      <c r="F2784" s="36" t="str">
        <f aca="false">IF(Raw_Export!$A2784="","",IFERROR(VALUE(TRIM(Raw_Export!E2784)),0))</f>
        <v/>
      </c>
      <c r="G2784" s="38" t="str">
        <f aca="false">IF(Raw_Export!$A2784="","",IFERROR(VALUE(SUBSTITUTE(SUBSTITUTE(UPPER(TRIM(Raw_Export!F2784)),"KES",""),",","")),0))</f>
        <v/>
      </c>
      <c r="H2784" s="38" t="str">
        <f aca="false">IF(Raw_Export!$A2784="","",F2784*G2784)</f>
        <v/>
      </c>
      <c r="I2784" s="36" t="str">
        <f aca="false">IF(Raw_Export!$A2784="","",IFERROR(VLOOKUP(LOWER(TRIM(Raw_Export!H2784)),Maps!$D$2:$E$12,2,FALSE()),"Other"))</f>
        <v/>
      </c>
      <c r="J2784" s="36" t="str">
        <f aca="false">IF(Raw_Export!$A2784="","",IF(COUNTIF($A$2:A2784,A2784)&gt;1,"Duplicate",""))</f>
        <v/>
      </c>
      <c r="K2784" s="36" t="str">
        <f aca="false">IF(Raw_Export!$A2784="","",IF(J2784="Duplicate","Duplicate",IF(OR(C2784="UNMAPPED",D2784="UNMAPPED"),"Unmapped",IF(F2784=0,"Blank qty",IF(F2784&lt;0,"Return","OK")))))</f>
        <v/>
      </c>
      <c r="L2784" s="36" t="str">
        <f aca="false">IF(Raw_Export!$A2784="","",IF(OR(K2784="OK",K2784="Return"),1,0))</f>
        <v/>
      </c>
      <c r="M2784" s="37" t="str">
        <f aca="false">IF(Raw_Export!$A2784="","",B2784-WEEKDAY(B2784,2)+1)</f>
        <v/>
      </c>
    </row>
    <row r="2785" customFormat="false" ht="15" hidden="false" customHeight="false" outlineLevel="0" collapsed="false">
      <c r="A2785" s="36" t="str">
        <f aca="false">IF(Raw_Export!$A2785="","",TRIM(Raw_Export!A2785))</f>
        <v/>
      </c>
      <c r="B2785" s="37" t="str">
        <f aca="false">IF(Raw_Export!$A2785="","",IF(ISNUMBER(Raw_Export!B2785),Raw_Export!B2785,IF(MID(TRIM(Raw_Export!B2785),5,1)="-",DATE(LEFT(TRIM(Raw_Export!B2785),4),MID(TRIM(Raw_Export!B2785),6,2),RIGHT(TRIM(Raw_Export!B2785),2)),DATE(RIGHT(TRIM(Raw_Export!B2785),4),MATCH(MID(TRIM(Raw_Export!B2785),4,3),{"Jan","Feb","Mar","Apr","May","Jun","Jul","Aug","Sep","Oct","Nov","Dec"},0),LEFT(TRIM(Raw_Export!B2785),2)))))</f>
        <v/>
      </c>
      <c r="C2785" s="36" t="str">
        <f aca="false">IF(Raw_Export!$A2785="","",IFERROR(VLOOKUP(LOWER(TRIM(Raw_Export!C2785)),Maps!$A$2:$B$20,2,FALSE()),"UNMAPPED"))</f>
        <v/>
      </c>
      <c r="D2785" s="36" t="str">
        <f aca="false">IF(Raw_Export!$A2785="","",IFERROR(VLOOKUP(LOWER(TRIM(Raw_Export!D2785)),Maps!$G$2:$I$80,2,FALSE()),"UNMAPPED"))</f>
        <v/>
      </c>
      <c r="E2785" s="36" t="str">
        <f aca="false">IF(Raw_Export!$A2785="","",IFERROR(VLOOKUP(LOWER(TRIM(Raw_Export!D2785)),Maps!$G$2:$I$80,3,FALSE()),"UNMAPPED"))</f>
        <v/>
      </c>
      <c r="F2785" s="36" t="str">
        <f aca="false">IF(Raw_Export!$A2785="","",IFERROR(VALUE(TRIM(Raw_Export!E2785)),0))</f>
        <v/>
      </c>
      <c r="G2785" s="38" t="str">
        <f aca="false">IF(Raw_Export!$A2785="","",IFERROR(VALUE(SUBSTITUTE(SUBSTITUTE(UPPER(TRIM(Raw_Export!F2785)),"KES",""),",","")),0))</f>
        <v/>
      </c>
      <c r="H2785" s="38" t="str">
        <f aca="false">IF(Raw_Export!$A2785="","",F2785*G2785)</f>
        <v/>
      </c>
      <c r="I2785" s="36" t="str">
        <f aca="false">IF(Raw_Export!$A2785="","",IFERROR(VLOOKUP(LOWER(TRIM(Raw_Export!H2785)),Maps!$D$2:$E$12,2,FALSE()),"Other"))</f>
        <v/>
      </c>
      <c r="J2785" s="36" t="str">
        <f aca="false">IF(Raw_Export!$A2785="","",IF(COUNTIF($A$2:A2785,A2785)&gt;1,"Duplicate",""))</f>
        <v/>
      </c>
      <c r="K2785" s="36" t="str">
        <f aca="false">IF(Raw_Export!$A2785="","",IF(J2785="Duplicate","Duplicate",IF(OR(C2785="UNMAPPED",D2785="UNMAPPED"),"Unmapped",IF(F2785=0,"Blank qty",IF(F2785&lt;0,"Return","OK")))))</f>
        <v/>
      </c>
      <c r="L2785" s="36" t="str">
        <f aca="false">IF(Raw_Export!$A2785="","",IF(OR(K2785="OK",K2785="Return"),1,0))</f>
        <v/>
      </c>
      <c r="M2785" s="37" t="str">
        <f aca="false">IF(Raw_Export!$A2785="","",B2785-WEEKDAY(B2785,2)+1)</f>
        <v/>
      </c>
    </row>
    <row r="2786" customFormat="false" ht="15" hidden="false" customHeight="false" outlineLevel="0" collapsed="false">
      <c r="A2786" s="36" t="str">
        <f aca="false">IF(Raw_Export!$A2786="","",TRIM(Raw_Export!A2786))</f>
        <v/>
      </c>
      <c r="B2786" s="37" t="str">
        <f aca="false">IF(Raw_Export!$A2786="","",IF(ISNUMBER(Raw_Export!B2786),Raw_Export!B2786,IF(MID(TRIM(Raw_Export!B2786),5,1)="-",DATE(LEFT(TRIM(Raw_Export!B2786),4),MID(TRIM(Raw_Export!B2786),6,2),RIGHT(TRIM(Raw_Export!B2786),2)),DATE(RIGHT(TRIM(Raw_Export!B2786),4),MATCH(MID(TRIM(Raw_Export!B2786),4,3),{"Jan","Feb","Mar","Apr","May","Jun","Jul","Aug","Sep","Oct","Nov","Dec"},0),LEFT(TRIM(Raw_Export!B2786),2)))))</f>
        <v/>
      </c>
      <c r="C2786" s="36" t="str">
        <f aca="false">IF(Raw_Export!$A2786="","",IFERROR(VLOOKUP(LOWER(TRIM(Raw_Export!C2786)),Maps!$A$2:$B$20,2,FALSE()),"UNMAPPED"))</f>
        <v/>
      </c>
      <c r="D2786" s="36" t="str">
        <f aca="false">IF(Raw_Export!$A2786="","",IFERROR(VLOOKUP(LOWER(TRIM(Raw_Export!D2786)),Maps!$G$2:$I$80,2,FALSE()),"UNMAPPED"))</f>
        <v/>
      </c>
      <c r="E2786" s="36" t="str">
        <f aca="false">IF(Raw_Export!$A2786="","",IFERROR(VLOOKUP(LOWER(TRIM(Raw_Export!D2786)),Maps!$G$2:$I$80,3,FALSE()),"UNMAPPED"))</f>
        <v/>
      </c>
      <c r="F2786" s="36" t="str">
        <f aca="false">IF(Raw_Export!$A2786="","",IFERROR(VALUE(TRIM(Raw_Export!E2786)),0))</f>
        <v/>
      </c>
      <c r="G2786" s="38" t="str">
        <f aca="false">IF(Raw_Export!$A2786="","",IFERROR(VALUE(SUBSTITUTE(SUBSTITUTE(UPPER(TRIM(Raw_Export!F2786)),"KES",""),",","")),0))</f>
        <v/>
      </c>
      <c r="H2786" s="38" t="str">
        <f aca="false">IF(Raw_Export!$A2786="","",F2786*G2786)</f>
        <v/>
      </c>
      <c r="I2786" s="36" t="str">
        <f aca="false">IF(Raw_Export!$A2786="","",IFERROR(VLOOKUP(LOWER(TRIM(Raw_Export!H2786)),Maps!$D$2:$E$12,2,FALSE()),"Other"))</f>
        <v/>
      </c>
      <c r="J2786" s="36" t="str">
        <f aca="false">IF(Raw_Export!$A2786="","",IF(COUNTIF($A$2:A2786,A2786)&gt;1,"Duplicate",""))</f>
        <v/>
      </c>
      <c r="K2786" s="36" t="str">
        <f aca="false">IF(Raw_Export!$A2786="","",IF(J2786="Duplicate","Duplicate",IF(OR(C2786="UNMAPPED",D2786="UNMAPPED"),"Unmapped",IF(F2786=0,"Blank qty",IF(F2786&lt;0,"Return","OK")))))</f>
        <v/>
      </c>
      <c r="L2786" s="36" t="str">
        <f aca="false">IF(Raw_Export!$A2786="","",IF(OR(K2786="OK",K2786="Return"),1,0))</f>
        <v/>
      </c>
      <c r="M2786" s="37" t="str">
        <f aca="false">IF(Raw_Export!$A2786="","",B2786-WEEKDAY(B2786,2)+1)</f>
        <v/>
      </c>
    </row>
    <row r="2787" customFormat="false" ht="15" hidden="false" customHeight="false" outlineLevel="0" collapsed="false">
      <c r="A2787" s="36" t="str">
        <f aca="false">IF(Raw_Export!$A2787="","",TRIM(Raw_Export!A2787))</f>
        <v/>
      </c>
      <c r="B2787" s="37" t="str">
        <f aca="false">IF(Raw_Export!$A2787="","",IF(ISNUMBER(Raw_Export!B2787),Raw_Export!B2787,IF(MID(TRIM(Raw_Export!B2787),5,1)="-",DATE(LEFT(TRIM(Raw_Export!B2787),4),MID(TRIM(Raw_Export!B2787),6,2),RIGHT(TRIM(Raw_Export!B2787),2)),DATE(RIGHT(TRIM(Raw_Export!B2787),4),MATCH(MID(TRIM(Raw_Export!B2787),4,3),{"Jan","Feb","Mar","Apr","May","Jun","Jul","Aug","Sep","Oct","Nov","Dec"},0),LEFT(TRIM(Raw_Export!B2787),2)))))</f>
        <v/>
      </c>
      <c r="C2787" s="36" t="str">
        <f aca="false">IF(Raw_Export!$A2787="","",IFERROR(VLOOKUP(LOWER(TRIM(Raw_Export!C2787)),Maps!$A$2:$B$20,2,FALSE()),"UNMAPPED"))</f>
        <v/>
      </c>
      <c r="D2787" s="36" t="str">
        <f aca="false">IF(Raw_Export!$A2787="","",IFERROR(VLOOKUP(LOWER(TRIM(Raw_Export!D2787)),Maps!$G$2:$I$80,2,FALSE()),"UNMAPPED"))</f>
        <v/>
      </c>
      <c r="E2787" s="36" t="str">
        <f aca="false">IF(Raw_Export!$A2787="","",IFERROR(VLOOKUP(LOWER(TRIM(Raw_Export!D2787)),Maps!$G$2:$I$80,3,FALSE()),"UNMAPPED"))</f>
        <v/>
      </c>
      <c r="F2787" s="36" t="str">
        <f aca="false">IF(Raw_Export!$A2787="","",IFERROR(VALUE(TRIM(Raw_Export!E2787)),0))</f>
        <v/>
      </c>
      <c r="G2787" s="38" t="str">
        <f aca="false">IF(Raw_Export!$A2787="","",IFERROR(VALUE(SUBSTITUTE(SUBSTITUTE(UPPER(TRIM(Raw_Export!F2787)),"KES",""),",","")),0))</f>
        <v/>
      </c>
      <c r="H2787" s="38" t="str">
        <f aca="false">IF(Raw_Export!$A2787="","",F2787*G2787)</f>
        <v/>
      </c>
      <c r="I2787" s="36" t="str">
        <f aca="false">IF(Raw_Export!$A2787="","",IFERROR(VLOOKUP(LOWER(TRIM(Raw_Export!H2787)),Maps!$D$2:$E$12,2,FALSE()),"Other"))</f>
        <v/>
      </c>
      <c r="J2787" s="36" t="str">
        <f aca="false">IF(Raw_Export!$A2787="","",IF(COUNTIF($A$2:A2787,A2787)&gt;1,"Duplicate",""))</f>
        <v/>
      </c>
      <c r="K2787" s="36" t="str">
        <f aca="false">IF(Raw_Export!$A2787="","",IF(J2787="Duplicate","Duplicate",IF(OR(C2787="UNMAPPED",D2787="UNMAPPED"),"Unmapped",IF(F2787=0,"Blank qty",IF(F2787&lt;0,"Return","OK")))))</f>
        <v/>
      </c>
      <c r="L2787" s="36" t="str">
        <f aca="false">IF(Raw_Export!$A2787="","",IF(OR(K2787="OK",K2787="Return"),1,0))</f>
        <v/>
      </c>
      <c r="M2787" s="37" t="str">
        <f aca="false">IF(Raw_Export!$A2787="","",B2787-WEEKDAY(B2787,2)+1)</f>
        <v/>
      </c>
    </row>
    <row r="2788" customFormat="false" ht="15" hidden="false" customHeight="false" outlineLevel="0" collapsed="false">
      <c r="A2788" s="36" t="str">
        <f aca="false">IF(Raw_Export!$A2788="","",TRIM(Raw_Export!A2788))</f>
        <v/>
      </c>
      <c r="B2788" s="37" t="str">
        <f aca="false">IF(Raw_Export!$A2788="","",IF(ISNUMBER(Raw_Export!B2788),Raw_Export!B2788,IF(MID(TRIM(Raw_Export!B2788),5,1)="-",DATE(LEFT(TRIM(Raw_Export!B2788),4),MID(TRIM(Raw_Export!B2788),6,2),RIGHT(TRIM(Raw_Export!B2788),2)),DATE(RIGHT(TRIM(Raw_Export!B2788),4),MATCH(MID(TRIM(Raw_Export!B2788),4,3),{"Jan","Feb","Mar","Apr","May","Jun","Jul","Aug","Sep","Oct","Nov","Dec"},0),LEFT(TRIM(Raw_Export!B2788),2)))))</f>
        <v/>
      </c>
      <c r="C2788" s="36" t="str">
        <f aca="false">IF(Raw_Export!$A2788="","",IFERROR(VLOOKUP(LOWER(TRIM(Raw_Export!C2788)),Maps!$A$2:$B$20,2,FALSE()),"UNMAPPED"))</f>
        <v/>
      </c>
      <c r="D2788" s="36" t="str">
        <f aca="false">IF(Raw_Export!$A2788="","",IFERROR(VLOOKUP(LOWER(TRIM(Raw_Export!D2788)),Maps!$G$2:$I$80,2,FALSE()),"UNMAPPED"))</f>
        <v/>
      </c>
      <c r="E2788" s="36" t="str">
        <f aca="false">IF(Raw_Export!$A2788="","",IFERROR(VLOOKUP(LOWER(TRIM(Raw_Export!D2788)),Maps!$G$2:$I$80,3,FALSE()),"UNMAPPED"))</f>
        <v/>
      </c>
      <c r="F2788" s="36" t="str">
        <f aca="false">IF(Raw_Export!$A2788="","",IFERROR(VALUE(TRIM(Raw_Export!E2788)),0))</f>
        <v/>
      </c>
      <c r="G2788" s="38" t="str">
        <f aca="false">IF(Raw_Export!$A2788="","",IFERROR(VALUE(SUBSTITUTE(SUBSTITUTE(UPPER(TRIM(Raw_Export!F2788)),"KES",""),",","")),0))</f>
        <v/>
      </c>
      <c r="H2788" s="38" t="str">
        <f aca="false">IF(Raw_Export!$A2788="","",F2788*G2788)</f>
        <v/>
      </c>
      <c r="I2788" s="36" t="str">
        <f aca="false">IF(Raw_Export!$A2788="","",IFERROR(VLOOKUP(LOWER(TRIM(Raw_Export!H2788)),Maps!$D$2:$E$12,2,FALSE()),"Other"))</f>
        <v/>
      </c>
      <c r="J2788" s="36" t="str">
        <f aca="false">IF(Raw_Export!$A2788="","",IF(COUNTIF($A$2:A2788,A2788)&gt;1,"Duplicate",""))</f>
        <v/>
      </c>
      <c r="K2788" s="36" t="str">
        <f aca="false">IF(Raw_Export!$A2788="","",IF(J2788="Duplicate","Duplicate",IF(OR(C2788="UNMAPPED",D2788="UNMAPPED"),"Unmapped",IF(F2788=0,"Blank qty",IF(F2788&lt;0,"Return","OK")))))</f>
        <v/>
      </c>
      <c r="L2788" s="36" t="str">
        <f aca="false">IF(Raw_Export!$A2788="","",IF(OR(K2788="OK",K2788="Return"),1,0))</f>
        <v/>
      </c>
      <c r="M2788" s="37" t="str">
        <f aca="false">IF(Raw_Export!$A2788="","",B2788-WEEKDAY(B2788,2)+1)</f>
        <v/>
      </c>
    </row>
    <row r="2789" customFormat="false" ht="15" hidden="false" customHeight="false" outlineLevel="0" collapsed="false">
      <c r="A2789" s="36" t="str">
        <f aca="false">IF(Raw_Export!$A2789="","",TRIM(Raw_Export!A2789))</f>
        <v/>
      </c>
      <c r="B2789" s="37" t="str">
        <f aca="false">IF(Raw_Export!$A2789="","",IF(ISNUMBER(Raw_Export!B2789),Raw_Export!B2789,IF(MID(TRIM(Raw_Export!B2789),5,1)="-",DATE(LEFT(TRIM(Raw_Export!B2789),4),MID(TRIM(Raw_Export!B2789),6,2),RIGHT(TRIM(Raw_Export!B2789),2)),DATE(RIGHT(TRIM(Raw_Export!B2789),4),MATCH(MID(TRIM(Raw_Export!B2789),4,3),{"Jan","Feb","Mar","Apr","May","Jun","Jul","Aug","Sep","Oct","Nov","Dec"},0),LEFT(TRIM(Raw_Export!B2789),2)))))</f>
        <v/>
      </c>
      <c r="C2789" s="36" t="str">
        <f aca="false">IF(Raw_Export!$A2789="","",IFERROR(VLOOKUP(LOWER(TRIM(Raw_Export!C2789)),Maps!$A$2:$B$20,2,FALSE()),"UNMAPPED"))</f>
        <v/>
      </c>
      <c r="D2789" s="36" t="str">
        <f aca="false">IF(Raw_Export!$A2789="","",IFERROR(VLOOKUP(LOWER(TRIM(Raw_Export!D2789)),Maps!$G$2:$I$80,2,FALSE()),"UNMAPPED"))</f>
        <v/>
      </c>
      <c r="E2789" s="36" t="str">
        <f aca="false">IF(Raw_Export!$A2789="","",IFERROR(VLOOKUP(LOWER(TRIM(Raw_Export!D2789)),Maps!$G$2:$I$80,3,FALSE()),"UNMAPPED"))</f>
        <v/>
      </c>
      <c r="F2789" s="36" t="str">
        <f aca="false">IF(Raw_Export!$A2789="","",IFERROR(VALUE(TRIM(Raw_Export!E2789)),0))</f>
        <v/>
      </c>
      <c r="G2789" s="38" t="str">
        <f aca="false">IF(Raw_Export!$A2789="","",IFERROR(VALUE(SUBSTITUTE(SUBSTITUTE(UPPER(TRIM(Raw_Export!F2789)),"KES",""),",","")),0))</f>
        <v/>
      </c>
      <c r="H2789" s="38" t="str">
        <f aca="false">IF(Raw_Export!$A2789="","",F2789*G2789)</f>
        <v/>
      </c>
      <c r="I2789" s="36" t="str">
        <f aca="false">IF(Raw_Export!$A2789="","",IFERROR(VLOOKUP(LOWER(TRIM(Raw_Export!H2789)),Maps!$D$2:$E$12,2,FALSE()),"Other"))</f>
        <v/>
      </c>
      <c r="J2789" s="36" t="str">
        <f aca="false">IF(Raw_Export!$A2789="","",IF(COUNTIF($A$2:A2789,A2789)&gt;1,"Duplicate",""))</f>
        <v/>
      </c>
      <c r="K2789" s="36" t="str">
        <f aca="false">IF(Raw_Export!$A2789="","",IF(J2789="Duplicate","Duplicate",IF(OR(C2789="UNMAPPED",D2789="UNMAPPED"),"Unmapped",IF(F2789=0,"Blank qty",IF(F2789&lt;0,"Return","OK")))))</f>
        <v/>
      </c>
      <c r="L2789" s="36" t="str">
        <f aca="false">IF(Raw_Export!$A2789="","",IF(OR(K2789="OK",K2789="Return"),1,0))</f>
        <v/>
      </c>
      <c r="M2789" s="37" t="str">
        <f aca="false">IF(Raw_Export!$A2789="","",B2789-WEEKDAY(B2789,2)+1)</f>
        <v/>
      </c>
    </row>
    <row r="2790" customFormat="false" ht="15" hidden="false" customHeight="false" outlineLevel="0" collapsed="false">
      <c r="A2790" s="36" t="str">
        <f aca="false">IF(Raw_Export!$A2790="","",TRIM(Raw_Export!A2790))</f>
        <v/>
      </c>
      <c r="B2790" s="37" t="str">
        <f aca="false">IF(Raw_Export!$A2790="","",IF(ISNUMBER(Raw_Export!B2790),Raw_Export!B2790,IF(MID(TRIM(Raw_Export!B2790),5,1)="-",DATE(LEFT(TRIM(Raw_Export!B2790),4),MID(TRIM(Raw_Export!B2790),6,2),RIGHT(TRIM(Raw_Export!B2790),2)),DATE(RIGHT(TRIM(Raw_Export!B2790),4),MATCH(MID(TRIM(Raw_Export!B2790),4,3),{"Jan","Feb","Mar","Apr","May","Jun","Jul","Aug","Sep","Oct","Nov","Dec"},0),LEFT(TRIM(Raw_Export!B2790),2)))))</f>
        <v/>
      </c>
      <c r="C2790" s="36" t="str">
        <f aca="false">IF(Raw_Export!$A2790="","",IFERROR(VLOOKUP(LOWER(TRIM(Raw_Export!C2790)),Maps!$A$2:$B$20,2,FALSE()),"UNMAPPED"))</f>
        <v/>
      </c>
      <c r="D2790" s="36" t="str">
        <f aca="false">IF(Raw_Export!$A2790="","",IFERROR(VLOOKUP(LOWER(TRIM(Raw_Export!D2790)),Maps!$G$2:$I$80,2,FALSE()),"UNMAPPED"))</f>
        <v/>
      </c>
      <c r="E2790" s="36" t="str">
        <f aca="false">IF(Raw_Export!$A2790="","",IFERROR(VLOOKUP(LOWER(TRIM(Raw_Export!D2790)),Maps!$G$2:$I$80,3,FALSE()),"UNMAPPED"))</f>
        <v/>
      </c>
      <c r="F2790" s="36" t="str">
        <f aca="false">IF(Raw_Export!$A2790="","",IFERROR(VALUE(TRIM(Raw_Export!E2790)),0))</f>
        <v/>
      </c>
      <c r="G2790" s="38" t="str">
        <f aca="false">IF(Raw_Export!$A2790="","",IFERROR(VALUE(SUBSTITUTE(SUBSTITUTE(UPPER(TRIM(Raw_Export!F2790)),"KES",""),",","")),0))</f>
        <v/>
      </c>
      <c r="H2790" s="38" t="str">
        <f aca="false">IF(Raw_Export!$A2790="","",F2790*G2790)</f>
        <v/>
      </c>
      <c r="I2790" s="36" t="str">
        <f aca="false">IF(Raw_Export!$A2790="","",IFERROR(VLOOKUP(LOWER(TRIM(Raw_Export!H2790)),Maps!$D$2:$E$12,2,FALSE()),"Other"))</f>
        <v/>
      </c>
      <c r="J2790" s="36" t="str">
        <f aca="false">IF(Raw_Export!$A2790="","",IF(COUNTIF($A$2:A2790,A2790)&gt;1,"Duplicate",""))</f>
        <v/>
      </c>
      <c r="K2790" s="36" t="str">
        <f aca="false">IF(Raw_Export!$A2790="","",IF(J2790="Duplicate","Duplicate",IF(OR(C2790="UNMAPPED",D2790="UNMAPPED"),"Unmapped",IF(F2790=0,"Blank qty",IF(F2790&lt;0,"Return","OK")))))</f>
        <v/>
      </c>
      <c r="L2790" s="36" t="str">
        <f aca="false">IF(Raw_Export!$A2790="","",IF(OR(K2790="OK",K2790="Return"),1,0))</f>
        <v/>
      </c>
      <c r="M2790" s="37" t="str">
        <f aca="false">IF(Raw_Export!$A2790="","",B2790-WEEKDAY(B2790,2)+1)</f>
        <v/>
      </c>
    </row>
    <row r="2791" customFormat="false" ht="15" hidden="false" customHeight="false" outlineLevel="0" collapsed="false">
      <c r="A2791" s="36" t="str">
        <f aca="false">IF(Raw_Export!$A2791="","",TRIM(Raw_Export!A2791))</f>
        <v/>
      </c>
      <c r="B2791" s="37" t="str">
        <f aca="false">IF(Raw_Export!$A2791="","",IF(ISNUMBER(Raw_Export!B2791),Raw_Export!B2791,IF(MID(TRIM(Raw_Export!B2791),5,1)="-",DATE(LEFT(TRIM(Raw_Export!B2791),4),MID(TRIM(Raw_Export!B2791),6,2),RIGHT(TRIM(Raw_Export!B2791),2)),DATE(RIGHT(TRIM(Raw_Export!B2791),4),MATCH(MID(TRIM(Raw_Export!B2791),4,3),{"Jan","Feb","Mar","Apr","May","Jun","Jul","Aug","Sep","Oct","Nov","Dec"},0),LEFT(TRIM(Raw_Export!B2791),2)))))</f>
        <v/>
      </c>
      <c r="C2791" s="36" t="str">
        <f aca="false">IF(Raw_Export!$A2791="","",IFERROR(VLOOKUP(LOWER(TRIM(Raw_Export!C2791)),Maps!$A$2:$B$20,2,FALSE()),"UNMAPPED"))</f>
        <v/>
      </c>
      <c r="D2791" s="36" t="str">
        <f aca="false">IF(Raw_Export!$A2791="","",IFERROR(VLOOKUP(LOWER(TRIM(Raw_Export!D2791)),Maps!$G$2:$I$80,2,FALSE()),"UNMAPPED"))</f>
        <v/>
      </c>
      <c r="E2791" s="36" t="str">
        <f aca="false">IF(Raw_Export!$A2791="","",IFERROR(VLOOKUP(LOWER(TRIM(Raw_Export!D2791)),Maps!$G$2:$I$80,3,FALSE()),"UNMAPPED"))</f>
        <v/>
      </c>
      <c r="F2791" s="36" t="str">
        <f aca="false">IF(Raw_Export!$A2791="","",IFERROR(VALUE(TRIM(Raw_Export!E2791)),0))</f>
        <v/>
      </c>
      <c r="G2791" s="38" t="str">
        <f aca="false">IF(Raw_Export!$A2791="","",IFERROR(VALUE(SUBSTITUTE(SUBSTITUTE(UPPER(TRIM(Raw_Export!F2791)),"KES",""),",","")),0))</f>
        <v/>
      </c>
      <c r="H2791" s="38" t="str">
        <f aca="false">IF(Raw_Export!$A2791="","",F2791*G2791)</f>
        <v/>
      </c>
      <c r="I2791" s="36" t="str">
        <f aca="false">IF(Raw_Export!$A2791="","",IFERROR(VLOOKUP(LOWER(TRIM(Raw_Export!H2791)),Maps!$D$2:$E$12,2,FALSE()),"Other"))</f>
        <v/>
      </c>
      <c r="J2791" s="36" t="str">
        <f aca="false">IF(Raw_Export!$A2791="","",IF(COUNTIF($A$2:A2791,A2791)&gt;1,"Duplicate",""))</f>
        <v/>
      </c>
      <c r="K2791" s="36" t="str">
        <f aca="false">IF(Raw_Export!$A2791="","",IF(J2791="Duplicate","Duplicate",IF(OR(C2791="UNMAPPED",D2791="UNMAPPED"),"Unmapped",IF(F2791=0,"Blank qty",IF(F2791&lt;0,"Return","OK")))))</f>
        <v/>
      </c>
      <c r="L2791" s="36" t="str">
        <f aca="false">IF(Raw_Export!$A2791="","",IF(OR(K2791="OK",K2791="Return"),1,0))</f>
        <v/>
      </c>
      <c r="M2791" s="37" t="str">
        <f aca="false">IF(Raw_Export!$A2791="","",B2791-WEEKDAY(B2791,2)+1)</f>
        <v/>
      </c>
    </row>
    <row r="2792" customFormat="false" ht="15" hidden="false" customHeight="false" outlineLevel="0" collapsed="false">
      <c r="A2792" s="36" t="str">
        <f aca="false">IF(Raw_Export!$A2792="","",TRIM(Raw_Export!A2792))</f>
        <v/>
      </c>
      <c r="B2792" s="37" t="str">
        <f aca="false">IF(Raw_Export!$A2792="","",IF(ISNUMBER(Raw_Export!B2792),Raw_Export!B2792,IF(MID(TRIM(Raw_Export!B2792),5,1)="-",DATE(LEFT(TRIM(Raw_Export!B2792),4),MID(TRIM(Raw_Export!B2792),6,2),RIGHT(TRIM(Raw_Export!B2792),2)),DATE(RIGHT(TRIM(Raw_Export!B2792),4),MATCH(MID(TRIM(Raw_Export!B2792),4,3),{"Jan","Feb","Mar","Apr","May","Jun","Jul","Aug","Sep","Oct","Nov","Dec"},0),LEFT(TRIM(Raw_Export!B2792),2)))))</f>
        <v/>
      </c>
      <c r="C2792" s="36" t="str">
        <f aca="false">IF(Raw_Export!$A2792="","",IFERROR(VLOOKUP(LOWER(TRIM(Raw_Export!C2792)),Maps!$A$2:$B$20,2,FALSE()),"UNMAPPED"))</f>
        <v/>
      </c>
      <c r="D2792" s="36" t="str">
        <f aca="false">IF(Raw_Export!$A2792="","",IFERROR(VLOOKUP(LOWER(TRIM(Raw_Export!D2792)),Maps!$G$2:$I$80,2,FALSE()),"UNMAPPED"))</f>
        <v/>
      </c>
      <c r="E2792" s="36" t="str">
        <f aca="false">IF(Raw_Export!$A2792="","",IFERROR(VLOOKUP(LOWER(TRIM(Raw_Export!D2792)),Maps!$G$2:$I$80,3,FALSE()),"UNMAPPED"))</f>
        <v/>
      </c>
      <c r="F2792" s="36" t="str">
        <f aca="false">IF(Raw_Export!$A2792="","",IFERROR(VALUE(TRIM(Raw_Export!E2792)),0))</f>
        <v/>
      </c>
      <c r="G2792" s="38" t="str">
        <f aca="false">IF(Raw_Export!$A2792="","",IFERROR(VALUE(SUBSTITUTE(SUBSTITUTE(UPPER(TRIM(Raw_Export!F2792)),"KES",""),",","")),0))</f>
        <v/>
      </c>
      <c r="H2792" s="38" t="str">
        <f aca="false">IF(Raw_Export!$A2792="","",F2792*G2792)</f>
        <v/>
      </c>
      <c r="I2792" s="36" t="str">
        <f aca="false">IF(Raw_Export!$A2792="","",IFERROR(VLOOKUP(LOWER(TRIM(Raw_Export!H2792)),Maps!$D$2:$E$12,2,FALSE()),"Other"))</f>
        <v/>
      </c>
      <c r="J2792" s="36" t="str">
        <f aca="false">IF(Raw_Export!$A2792="","",IF(COUNTIF($A$2:A2792,A2792)&gt;1,"Duplicate",""))</f>
        <v/>
      </c>
      <c r="K2792" s="36" t="str">
        <f aca="false">IF(Raw_Export!$A2792="","",IF(J2792="Duplicate","Duplicate",IF(OR(C2792="UNMAPPED",D2792="UNMAPPED"),"Unmapped",IF(F2792=0,"Blank qty",IF(F2792&lt;0,"Return","OK")))))</f>
        <v/>
      </c>
      <c r="L2792" s="36" t="str">
        <f aca="false">IF(Raw_Export!$A2792="","",IF(OR(K2792="OK",K2792="Return"),1,0))</f>
        <v/>
      </c>
      <c r="M2792" s="37" t="str">
        <f aca="false">IF(Raw_Export!$A2792="","",B2792-WEEKDAY(B2792,2)+1)</f>
        <v/>
      </c>
    </row>
    <row r="2793" customFormat="false" ht="15" hidden="false" customHeight="false" outlineLevel="0" collapsed="false">
      <c r="A2793" s="36" t="str">
        <f aca="false">IF(Raw_Export!$A2793="","",TRIM(Raw_Export!A2793))</f>
        <v/>
      </c>
      <c r="B2793" s="37" t="str">
        <f aca="false">IF(Raw_Export!$A2793="","",IF(ISNUMBER(Raw_Export!B2793),Raw_Export!B2793,IF(MID(TRIM(Raw_Export!B2793),5,1)="-",DATE(LEFT(TRIM(Raw_Export!B2793),4),MID(TRIM(Raw_Export!B2793),6,2),RIGHT(TRIM(Raw_Export!B2793),2)),DATE(RIGHT(TRIM(Raw_Export!B2793),4),MATCH(MID(TRIM(Raw_Export!B2793),4,3),{"Jan","Feb","Mar","Apr","May","Jun","Jul","Aug","Sep","Oct","Nov","Dec"},0),LEFT(TRIM(Raw_Export!B2793),2)))))</f>
        <v/>
      </c>
      <c r="C2793" s="36" t="str">
        <f aca="false">IF(Raw_Export!$A2793="","",IFERROR(VLOOKUP(LOWER(TRIM(Raw_Export!C2793)),Maps!$A$2:$B$20,2,FALSE()),"UNMAPPED"))</f>
        <v/>
      </c>
      <c r="D2793" s="36" t="str">
        <f aca="false">IF(Raw_Export!$A2793="","",IFERROR(VLOOKUP(LOWER(TRIM(Raw_Export!D2793)),Maps!$G$2:$I$80,2,FALSE()),"UNMAPPED"))</f>
        <v/>
      </c>
      <c r="E2793" s="36" t="str">
        <f aca="false">IF(Raw_Export!$A2793="","",IFERROR(VLOOKUP(LOWER(TRIM(Raw_Export!D2793)),Maps!$G$2:$I$80,3,FALSE()),"UNMAPPED"))</f>
        <v/>
      </c>
      <c r="F2793" s="36" t="str">
        <f aca="false">IF(Raw_Export!$A2793="","",IFERROR(VALUE(TRIM(Raw_Export!E2793)),0))</f>
        <v/>
      </c>
      <c r="G2793" s="38" t="str">
        <f aca="false">IF(Raw_Export!$A2793="","",IFERROR(VALUE(SUBSTITUTE(SUBSTITUTE(UPPER(TRIM(Raw_Export!F2793)),"KES",""),",","")),0))</f>
        <v/>
      </c>
      <c r="H2793" s="38" t="str">
        <f aca="false">IF(Raw_Export!$A2793="","",F2793*G2793)</f>
        <v/>
      </c>
      <c r="I2793" s="36" t="str">
        <f aca="false">IF(Raw_Export!$A2793="","",IFERROR(VLOOKUP(LOWER(TRIM(Raw_Export!H2793)),Maps!$D$2:$E$12,2,FALSE()),"Other"))</f>
        <v/>
      </c>
      <c r="J2793" s="36" t="str">
        <f aca="false">IF(Raw_Export!$A2793="","",IF(COUNTIF($A$2:A2793,A2793)&gt;1,"Duplicate",""))</f>
        <v/>
      </c>
      <c r="K2793" s="36" t="str">
        <f aca="false">IF(Raw_Export!$A2793="","",IF(J2793="Duplicate","Duplicate",IF(OR(C2793="UNMAPPED",D2793="UNMAPPED"),"Unmapped",IF(F2793=0,"Blank qty",IF(F2793&lt;0,"Return","OK")))))</f>
        <v/>
      </c>
      <c r="L2793" s="36" t="str">
        <f aca="false">IF(Raw_Export!$A2793="","",IF(OR(K2793="OK",K2793="Return"),1,0))</f>
        <v/>
      </c>
      <c r="M2793" s="37" t="str">
        <f aca="false">IF(Raw_Export!$A2793="","",B2793-WEEKDAY(B2793,2)+1)</f>
        <v/>
      </c>
    </row>
    <row r="2794" customFormat="false" ht="15" hidden="false" customHeight="false" outlineLevel="0" collapsed="false">
      <c r="A2794" s="36" t="str">
        <f aca="false">IF(Raw_Export!$A2794="","",TRIM(Raw_Export!A2794))</f>
        <v/>
      </c>
      <c r="B2794" s="37" t="str">
        <f aca="false">IF(Raw_Export!$A2794="","",IF(ISNUMBER(Raw_Export!B2794),Raw_Export!B2794,IF(MID(TRIM(Raw_Export!B2794),5,1)="-",DATE(LEFT(TRIM(Raw_Export!B2794),4),MID(TRIM(Raw_Export!B2794),6,2),RIGHT(TRIM(Raw_Export!B2794),2)),DATE(RIGHT(TRIM(Raw_Export!B2794),4),MATCH(MID(TRIM(Raw_Export!B2794),4,3),{"Jan","Feb","Mar","Apr","May","Jun","Jul","Aug","Sep","Oct","Nov","Dec"},0),LEFT(TRIM(Raw_Export!B2794),2)))))</f>
        <v/>
      </c>
      <c r="C2794" s="36" t="str">
        <f aca="false">IF(Raw_Export!$A2794="","",IFERROR(VLOOKUP(LOWER(TRIM(Raw_Export!C2794)),Maps!$A$2:$B$20,2,FALSE()),"UNMAPPED"))</f>
        <v/>
      </c>
      <c r="D2794" s="36" t="str">
        <f aca="false">IF(Raw_Export!$A2794="","",IFERROR(VLOOKUP(LOWER(TRIM(Raw_Export!D2794)),Maps!$G$2:$I$80,2,FALSE()),"UNMAPPED"))</f>
        <v/>
      </c>
      <c r="E2794" s="36" t="str">
        <f aca="false">IF(Raw_Export!$A2794="","",IFERROR(VLOOKUP(LOWER(TRIM(Raw_Export!D2794)),Maps!$G$2:$I$80,3,FALSE()),"UNMAPPED"))</f>
        <v/>
      </c>
      <c r="F2794" s="36" t="str">
        <f aca="false">IF(Raw_Export!$A2794="","",IFERROR(VALUE(TRIM(Raw_Export!E2794)),0))</f>
        <v/>
      </c>
      <c r="G2794" s="38" t="str">
        <f aca="false">IF(Raw_Export!$A2794="","",IFERROR(VALUE(SUBSTITUTE(SUBSTITUTE(UPPER(TRIM(Raw_Export!F2794)),"KES",""),",","")),0))</f>
        <v/>
      </c>
      <c r="H2794" s="38" t="str">
        <f aca="false">IF(Raw_Export!$A2794="","",F2794*G2794)</f>
        <v/>
      </c>
      <c r="I2794" s="36" t="str">
        <f aca="false">IF(Raw_Export!$A2794="","",IFERROR(VLOOKUP(LOWER(TRIM(Raw_Export!H2794)),Maps!$D$2:$E$12,2,FALSE()),"Other"))</f>
        <v/>
      </c>
      <c r="J2794" s="36" t="str">
        <f aca="false">IF(Raw_Export!$A2794="","",IF(COUNTIF($A$2:A2794,A2794)&gt;1,"Duplicate",""))</f>
        <v/>
      </c>
      <c r="K2794" s="36" t="str">
        <f aca="false">IF(Raw_Export!$A2794="","",IF(J2794="Duplicate","Duplicate",IF(OR(C2794="UNMAPPED",D2794="UNMAPPED"),"Unmapped",IF(F2794=0,"Blank qty",IF(F2794&lt;0,"Return","OK")))))</f>
        <v/>
      </c>
      <c r="L2794" s="36" t="str">
        <f aca="false">IF(Raw_Export!$A2794="","",IF(OR(K2794="OK",K2794="Return"),1,0))</f>
        <v/>
      </c>
      <c r="M2794" s="37" t="str">
        <f aca="false">IF(Raw_Export!$A2794="","",B2794-WEEKDAY(B2794,2)+1)</f>
        <v/>
      </c>
    </row>
    <row r="2795" customFormat="false" ht="15" hidden="false" customHeight="false" outlineLevel="0" collapsed="false">
      <c r="A2795" s="36" t="str">
        <f aca="false">IF(Raw_Export!$A2795="","",TRIM(Raw_Export!A2795))</f>
        <v/>
      </c>
      <c r="B2795" s="37" t="str">
        <f aca="false">IF(Raw_Export!$A2795="","",IF(ISNUMBER(Raw_Export!B2795),Raw_Export!B2795,IF(MID(TRIM(Raw_Export!B2795),5,1)="-",DATE(LEFT(TRIM(Raw_Export!B2795),4),MID(TRIM(Raw_Export!B2795),6,2),RIGHT(TRIM(Raw_Export!B2795),2)),DATE(RIGHT(TRIM(Raw_Export!B2795),4),MATCH(MID(TRIM(Raw_Export!B2795),4,3),{"Jan","Feb","Mar","Apr","May","Jun","Jul","Aug","Sep","Oct","Nov","Dec"},0),LEFT(TRIM(Raw_Export!B2795),2)))))</f>
        <v/>
      </c>
      <c r="C2795" s="36" t="str">
        <f aca="false">IF(Raw_Export!$A2795="","",IFERROR(VLOOKUP(LOWER(TRIM(Raw_Export!C2795)),Maps!$A$2:$B$20,2,FALSE()),"UNMAPPED"))</f>
        <v/>
      </c>
      <c r="D2795" s="36" t="str">
        <f aca="false">IF(Raw_Export!$A2795="","",IFERROR(VLOOKUP(LOWER(TRIM(Raw_Export!D2795)),Maps!$G$2:$I$80,2,FALSE()),"UNMAPPED"))</f>
        <v/>
      </c>
      <c r="E2795" s="36" t="str">
        <f aca="false">IF(Raw_Export!$A2795="","",IFERROR(VLOOKUP(LOWER(TRIM(Raw_Export!D2795)),Maps!$G$2:$I$80,3,FALSE()),"UNMAPPED"))</f>
        <v/>
      </c>
      <c r="F2795" s="36" t="str">
        <f aca="false">IF(Raw_Export!$A2795="","",IFERROR(VALUE(TRIM(Raw_Export!E2795)),0))</f>
        <v/>
      </c>
      <c r="G2795" s="38" t="str">
        <f aca="false">IF(Raw_Export!$A2795="","",IFERROR(VALUE(SUBSTITUTE(SUBSTITUTE(UPPER(TRIM(Raw_Export!F2795)),"KES",""),",","")),0))</f>
        <v/>
      </c>
      <c r="H2795" s="38" t="str">
        <f aca="false">IF(Raw_Export!$A2795="","",F2795*G2795)</f>
        <v/>
      </c>
      <c r="I2795" s="36" t="str">
        <f aca="false">IF(Raw_Export!$A2795="","",IFERROR(VLOOKUP(LOWER(TRIM(Raw_Export!H2795)),Maps!$D$2:$E$12,2,FALSE()),"Other"))</f>
        <v/>
      </c>
      <c r="J2795" s="36" t="str">
        <f aca="false">IF(Raw_Export!$A2795="","",IF(COUNTIF($A$2:A2795,A2795)&gt;1,"Duplicate",""))</f>
        <v/>
      </c>
      <c r="K2795" s="36" t="str">
        <f aca="false">IF(Raw_Export!$A2795="","",IF(J2795="Duplicate","Duplicate",IF(OR(C2795="UNMAPPED",D2795="UNMAPPED"),"Unmapped",IF(F2795=0,"Blank qty",IF(F2795&lt;0,"Return","OK")))))</f>
        <v/>
      </c>
      <c r="L2795" s="36" t="str">
        <f aca="false">IF(Raw_Export!$A2795="","",IF(OR(K2795="OK",K2795="Return"),1,0))</f>
        <v/>
      </c>
      <c r="M2795" s="37" t="str">
        <f aca="false">IF(Raw_Export!$A2795="","",B2795-WEEKDAY(B2795,2)+1)</f>
        <v/>
      </c>
    </row>
    <row r="2796" customFormat="false" ht="15" hidden="false" customHeight="false" outlineLevel="0" collapsed="false">
      <c r="A2796" s="36" t="str">
        <f aca="false">IF(Raw_Export!$A2796="","",TRIM(Raw_Export!A2796))</f>
        <v/>
      </c>
      <c r="B2796" s="37" t="str">
        <f aca="false">IF(Raw_Export!$A2796="","",IF(ISNUMBER(Raw_Export!B2796),Raw_Export!B2796,IF(MID(TRIM(Raw_Export!B2796),5,1)="-",DATE(LEFT(TRIM(Raw_Export!B2796),4),MID(TRIM(Raw_Export!B2796),6,2),RIGHT(TRIM(Raw_Export!B2796),2)),DATE(RIGHT(TRIM(Raw_Export!B2796),4),MATCH(MID(TRIM(Raw_Export!B2796),4,3),{"Jan","Feb","Mar","Apr","May","Jun","Jul","Aug","Sep","Oct","Nov","Dec"},0),LEFT(TRIM(Raw_Export!B2796),2)))))</f>
        <v/>
      </c>
      <c r="C2796" s="36" t="str">
        <f aca="false">IF(Raw_Export!$A2796="","",IFERROR(VLOOKUP(LOWER(TRIM(Raw_Export!C2796)),Maps!$A$2:$B$20,2,FALSE()),"UNMAPPED"))</f>
        <v/>
      </c>
      <c r="D2796" s="36" t="str">
        <f aca="false">IF(Raw_Export!$A2796="","",IFERROR(VLOOKUP(LOWER(TRIM(Raw_Export!D2796)),Maps!$G$2:$I$80,2,FALSE()),"UNMAPPED"))</f>
        <v/>
      </c>
      <c r="E2796" s="36" t="str">
        <f aca="false">IF(Raw_Export!$A2796="","",IFERROR(VLOOKUP(LOWER(TRIM(Raw_Export!D2796)),Maps!$G$2:$I$80,3,FALSE()),"UNMAPPED"))</f>
        <v/>
      </c>
      <c r="F2796" s="36" t="str">
        <f aca="false">IF(Raw_Export!$A2796="","",IFERROR(VALUE(TRIM(Raw_Export!E2796)),0))</f>
        <v/>
      </c>
      <c r="G2796" s="38" t="str">
        <f aca="false">IF(Raw_Export!$A2796="","",IFERROR(VALUE(SUBSTITUTE(SUBSTITUTE(UPPER(TRIM(Raw_Export!F2796)),"KES",""),",","")),0))</f>
        <v/>
      </c>
      <c r="H2796" s="38" t="str">
        <f aca="false">IF(Raw_Export!$A2796="","",F2796*G2796)</f>
        <v/>
      </c>
      <c r="I2796" s="36" t="str">
        <f aca="false">IF(Raw_Export!$A2796="","",IFERROR(VLOOKUP(LOWER(TRIM(Raw_Export!H2796)),Maps!$D$2:$E$12,2,FALSE()),"Other"))</f>
        <v/>
      </c>
      <c r="J2796" s="36" t="str">
        <f aca="false">IF(Raw_Export!$A2796="","",IF(COUNTIF($A$2:A2796,A2796)&gt;1,"Duplicate",""))</f>
        <v/>
      </c>
      <c r="K2796" s="36" t="str">
        <f aca="false">IF(Raw_Export!$A2796="","",IF(J2796="Duplicate","Duplicate",IF(OR(C2796="UNMAPPED",D2796="UNMAPPED"),"Unmapped",IF(F2796=0,"Blank qty",IF(F2796&lt;0,"Return","OK")))))</f>
        <v/>
      </c>
      <c r="L2796" s="36" t="str">
        <f aca="false">IF(Raw_Export!$A2796="","",IF(OR(K2796="OK",K2796="Return"),1,0))</f>
        <v/>
      </c>
      <c r="M2796" s="37" t="str">
        <f aca="false">IF(Raw_Export!$A2796="","",B2796-WEEKDAY(B2796,2)+1)</f>
        <v/>
      </c>
    </row>
    <row r="2797" customFormat="false" ht="15" hidden="false" customHeight="false" outlineLevel="0" collapsed="false">
      <c r="A2797" s="36" t="str">
        <f aca="false">IF(Raw_Export!$A2797="","",TRIM(Raw_Export!A2797))</f>
        <v/>
      </c>
      <c r="B2797" s="37" t="str">
        <f aca="false">IF(Raw_Export!$A2797="","",IF(ISNUMBER(Raw_Export!B2797),Raw_Export!B2797,IF(MID(TRIM(Raw_Export!B2797),5,1)="-",DATE(LEFT(TRIM(Raw_Export!B2797),4),MID(TRIM(Raw_Export!B2797),6,2),RIGHT(TRIM(Raw_Export!B2797),2)),DATE(RIGHT(TRIM(Raw_Export!B2797),4),MATCH(MID(TRIM(Raw_Export!B2797),4,3),{"Jan","Feb","Mar","Apr","May","Jun","Jul","Aug","Sep","Oct","Nov","Dec"},0),LEFT(TRIM(Raw_Export!B2797),2)))))</f>
        <v/>
      </c>
      <c r="C2797" s="36" t="str">
        <f aca="false">IF(Raw_Export!$A2797="","",IFERROR(VLOOKUP(LOWER(TRIM(Raw_Export!C2797)),Maps!$A$2:$B$20,2,FALSE()),"UNMAPPED"))</f>
        <v/>
      </c>
      <c r="D2797" s="36" t="str">
        <f aca="false">IF(Raw_Export!$A2797="","",IFERROR(VLOOKUP(LOWER(TRIM(Raw_Export!D2797)),Maps!$G$2:$I$80,2,FALSE()),"UNMAPPED"))</f>
        <v/>
      </c>
      <c r="E2797" s="36" t="str">
        <f aca="false">IF(Raw_Export!$A2797="","",IFERROR(VLOOKUP(LOWER(TRIM(Raw_Export!D2797)),Maps!$G$2:$I$80,3,FALSE()),"UNMAPPED"))</f>
        <v/>
      </c>
      <c r="F2797" s="36" t="str">
        <f aca="false">IF(Raw_Export!$A2797="","",IFERROR(VALUE(TRIM(Raw_Export!E2797)),0))</f>
        <v/>
      </c>
      <c r="G2797" s="38" t="str">
        <f aca="false">IF(Raw_Export!$A2797="","",IFERROR(VALUE(SUBSTITUTE(SUBSTITUTE(UPPER(TRIM(Raw_Export!F2797)),"KES",""),",","")),0))</f>
        <v/>
      </c>
      <c r="H2797" s="38" t="str">
        <f aca="false">IF(Raw_Export!$A2797="","",F2797*G2797)</f>
        <v/>
      </c>
      <c r="I2797" s="36" t="str">
        <f aca="false">IF(Raw_Export!$A2797="","",IFERROR(VLOOKUP(LOWER(TRIM(Raw_Export!H2797)),Maps!$D$2:$E$12,2,FALSE()),"Other"))</f>
        <v/>
      </c>
      <c r="J2797" s="36" t="str">
        <f aca="false">IF(Raw_Export!$A2797="","",IF(COUNTIF($A$2:A2797,A2797)&gt;1,"Duplicate",""))</f>
        <v/>
      </c>
      <c r="K2797" s="36" t="str">
        <f aca="false">IF(Raw_Export!$A2797="","",IF(J2797="Duplicate","Duplicate",IF(OR(C2797="UNMAPPED",D2797="UNMAPPED"),"Unmapped",IF(F2797=0,"Blank qty",IF(F2797&lt;0,"Return","OK")))))</f>
        <v/>
      </c>
      <c r="L2797" s="36" t="str">
        <f aca="false">IF(Raw_Export!$A2797="","",IF(OR(K2797="OK",K2797="Return"),1,0))</f>
        <v/>
      </c>
      <c r="M2797" s="37" t="str">
        <f aca="false">IF(Raw_Export!$A2797="","",B2797-WEEKDAY(B2797,2)+1)</f>
        <v/>
      </c>
    </row>
    <row r="2798" customFormat="false" ht="15" hidden="false" customHeight="false" outlineLevel="0" collapsed="false">
      <c r="A2798" s="36" t="str">
        <f aca="false">IF(Raw_Export!$A2798="","",TRIM(Raw_Export!A2798))</f>
        <v/>
      </c>
      <c r="B2798" s="37" t="str">
        <f aca="false">IF(Raw_Export!$A2798="","",IF(ISNUMBER(Raw_Export!B2798),Raw_Export!B2798,IF(MID(TRIM(Raw_Export!B2798),5,1)="-",DATE(LEFT(TRIM(Raw_Export!B2798),4),MID(TRIM(Raw_Export!B2798),6,2),RIGHT(TRIM(Raw_Export!B2798),2)),DATE(RIGHT(TRIM(Raw_Export!B2798),4),MATCH(MID(TRIM(Raw_Export!B2798),4,3),{"Jan","Feb","Mar","Apr","May","Jun","Jul","Aug","Sep","Oct","Nov","Dec"},0),LEFT(TRIM(Raw_Export!B2798),2)))))</f>
        <v/>
      </c>
      <c r="C2798" s="36" t="str">
        <f aca="false">IF(Raw_Export!$A2798="","",IFERROR(VLOOKUP(LOWER(TRIM(Raw_Export!C2798)),Maps!$A$2:$B$20,2,FALSE()),"UNMAPPED"))</f>
        <v/>
      </c>
      <c r="D2798" s="36" t="str">
        <f aca="false">IF(Raw_Export!$A2798="","",IFERROR(VLOOKUP(LOWER(TRIM(Raw_Export!D2798)),Maps!$G$2:$I$80,2,FALSE()),"UNMAPPED"))</f>
        <v/>
      </c>
      <c r="E2798" s="36" t="str">
        <f aca="false">IF(Raw_Export!$A2798="","",IFERROR(VLOOKUP(LOWER(TRIM(Raw_Export!D2798)),Maps!$G$2:$I$80,3,FALSE()),"UNMAPPED"))</f>
        <v/>
      </c>
      <c r="F2798" s="36" t="str">
        <f aca="false">IF(Raw_Export!$A2798="","",IFERROR(VALUE(TRIM(Raw_Export!E2798)),0))</f>
        <v/>
      </c>
      <c r="G2798" s="38" t="str">
        <f aca="false">IF(Raw_Export!$A2798="","",IFERROR(VALUE(SUBSTITUTE(SUBSTITUTE(UPPER(TRIM(Raw_Export!F2798)),"KES",""),",","")),0))</f>
        <v/>
      </c>
      <c r="H2798" s="38" t="str">
        <f aca="false">IF(Raw_Export!$A2798="","",F2798*G2798)</f>
        <v/>
      </c>
      <c r="I2798" s="36" t="str">
        <f aca="false">IF(Raw_Export!$A2798="","",IFERROR(VLOOKUP(LOWER(TRIM(Raw_Export!H2798)),Maps!$D$2:$E$12,2,FALSE()),"Other"))</f>
        <v/>
      </c>
      <c r="J2798" s="36" t="str">
        <f aca="false">IF(Raw_Export!$A2798="","",IF(COUNTIF($A$2:A2798,A2798)&gt;1,"Duplicate",""))</f>
        <v/>
      </c>
      <c r="K2798" s="36" t="str">
        <f aca="false">IF(Raw_Export!$A2798="","",IF(J2798="Duplicate","Duplicate",IF(OR(C2798="UNMAPPED",D2798="UNMAPPED"),"Unmapped",IF(F2798=0,"Blank qty",IF(F2798&lt;0,"Return","OK")))))</f>
        <v/>
      </c>
      <c r="L2798" s="36" t="str">
        <f aca="false">IF(Raw_Export!$A2798="","",IF(OR(K2798="OK",K2798="Return"),1,0))</f>
        <v/>
      </c>
      <c r="M2798" s="37" t="str">
        <f aca="false">IF(Raw_Export!$A2798="","",B2798-WEEKDAY(B2798,2)+1)</f>
        <v/>
      </c>
    </row>
    <row r="2799" customFormat="false" ht="15" hidden="false" customHeight="false" outlineLevel="0" collapsed="false">
      <c r="A2799" s="36" t="str">
        <f aca="false">IF(Raw_Export!$A2799="","",TRIM(Raw_Export!A2799))</f>
        <v/>
      </c>
      <c r="B2799" s="37" t="str">
        <f aca="false">IF(Raw_Export!$A2799="","",IF(ISNUMBER(Raw_Export!B2799),Raw_Export!B2799,IF(MID(TRIM(Raw_Export!B2799),5,1)="-",DATE(LEFT(TRIM(Raw_Export!B2799),4),MID(TRIM(Raw_Export!B2799),6,2),RIGHT(TRIM(Raw_Export!B2799),2)),DATE(RIGHT(TRIM(Raw_Export!B2799),4),MATCH(MID(TRIM(Raw_Export!B2799),4,3),{"Jan","Feb","Mar","Apr","May","Jun","Jul","Aug","Sep","Oct","Nov","Dec"},0),LEFT(TRIM(Raw_Export!B2799),2)))))</f>
        <v/>
      </c>
      <c r="C2799" s="36" t="str">
        <f aca="false">IF(Raw_Export!$A2799="","",IFERROR(VLOOKUP(LOWER(TRIM(Raw_Export!C2799)),Maps!$A$2:$B$20,2,FALSE()),"UNMAPPED"))</f>
        <v/>
      </c>
      <c r="D2799" s="36" t="str">
        <f aca="false">IF(Raw_Export!$A2799="","",IFERROR(VLOOKUP(LOWER(TRIM(Raw_Export!D2799)),Maps!$G$2:$I$80,2,FALSE()),"UNMAPPED"))</f>
        <v/>
      </c>
      <c r="E2799" s="36" t="str">
        <f aca="false">IF(Raw_Export!$A2799="","",IFERROR(VLOOKUP(LOWER(TRIM(Raw_Export!D2799)),Maps!$G$2:$I$80,3,FALSE()),"UNMAPPED"))</f>
        <v/>
      </c>
      <c r="F2799" s="36" t="str">
        <f aca="false">IF(Raw_Export!$A2799="","",IFERROR(VALUE(TRIM(Raw_Export!E2799)),0))</f>
        <v/>
      </c>
      <c r="G2799" s="38" t="str">
        <f aca="false">IF(Raw_Export!$A2799="","",IFERROR(VALUE(SUBSTITUTE(SUBSTITUTE(UPPER(TRIM(Raw_Export!F2799)),"KES",""),",","")),0))</f>
        <v/>
      </c>
      <c r="H2799" s="38" t="str">
        <f aca="false">IF(Raw_Export!$A2799="","",F2799*G2799)</f>
        <v/>
      </c>
      <c r="I2799" s="36" t="str">
        <f aca="false">IF(Raw_Export!$A2799="","",IFERROR(VLOOKUP(LOWER(TRIM(Raw_Export!H2799)),Maps!$D$2:$E$12,2,FALSE()),"Other"))</f>
        <v/>
      </c>
      <c r="J2799" s="36" t="str">
        <f aca="false">IF(Raw_Export!$A2799="","",IF(COUNTIF($A$2:A2799,A2799)&gt;1,"Duplicate",""))</f>
        <v/>
      </c>
      <c r="K2799" s="36" t="str">
        <f aca="false">IF(Raw_Export!$A2799="","",IF(J2799="Duplicate","Duplicate",IF(OR(C2799="UNMAPPED",D2799="UNMAPPED"),"Unmapped",IF(F2799=0,"Blank qty",IF(F2799&lt;0,"Return","OK")))))</f>
        <v/>
      </c>
      <c r="L2799" s="36" t="str">
        <f aca="false">IF(Raw_Export!$A2799="","",IF(OR(K2799="OK",K2799="Return"),1,0))</f>
        <v/>
      </c>
      <c r="M2799" s="37" t="str">
        <f aca="false">IF(Raw_Export!$A2799="","",B2799-WEEKDAY(B2799,2)+1)</f>
        <v/>
      </c>
    </row>
    <row r="2800" customFormat="false" ht="15" hidden="false" customHeight="false" outlineLevel="0" collapsed="false">
      <c r="A2800" s="36" t="str">
        <f aca="false">IF(Raw_Export!$A2800="","",TRIM(Raw_Export!A2800))</f>
        <v/>
      </c>
      <c r="B2800" s="37" t="str">
        <f aca="false">IF(Raw_Export!$A2800="","",IF(ISNUMBER(Raw_Export!B2800),Raw_Export!B2800,IF(MID(TRIM(Raw_Export!B2800),5,1)="-",DATE(LEFT(TRIM(Raw_Export!B2800),4),MID(TRIM(Raw_Export!B2800),6,2),RIGHT(TRIM(Raw_Export!B2800),2)),DATE(RIGHT(TRIM(Raw_Export!B2800),4),MATCH(MID(TRIM(Raw_Export!B2800),4,3),{"Jan","Feb","Mar","Apr","May","Jun","Jul","Aug","Sep","Oct","Nov","Dec"},0),LEFT(TRIM(Raw_Export!B2800),2)))))</f>
        <v/>
      </c>
      <c r="C2800" s="36" t="str">
        <f aca="false">IF(Raw_Export!$A2800="","",IFERROR(VLOOKUP(LOWER(TRIM(Raw_Export!C2800)),Maps!$A$2:$B$20,2,FALSE()),"UNMAPPED"))</f>
        <v/>
      </c>
      <c r="D2800" s="36" t="str">
        <f aca="false">IF(Raw_Export!$A2800="","",IFERROR(VLOOKUP(LOWER(TRIM(Raw_Export!D2800)),Maps!$G$2:$I$80,2,FALSE()),"UNMAPPED"))</f>
        <v/>
      </c>
      <c r="E2800" s="36" t="str">
        <f aca="false">IF(Raw_Export!$A2800="","",IFERROR(VLOOKUP(LOWER(TRIM(Raw_Export!D2800)),Maps!$G$2:$I$80,3,FALSE()),"UNMAPPED"))</f>
        <v/>
      </c>
      <c r="F2800" s="36" t="str">
        <f aca="false">IF(Raw_Export!$A2800="","",IFERROR(VALUE(TRIM(Raw_Export!E2800)),0))</f>
        <v/>
      </c>
      <c r="G2800" s="38" t="str">
        <f aca="false">IF(Raw_Export!$A2800="","",IFERROR(VALUE(SUBSTITUTE(SUBSTITUTE(UPPER(TRIM(Raw_Export!F2800)),"KES",""),",","")),0))</f>
        <v/>
      </c>
      <c r="H2800" s="38" t="str">
        <f aca="false">IF(Raw_Export!$A2800="","",F2800*G2800)</f>
        <v/>
      </c>
      <c r="I2800" s="36" t="str">
        <f aca="false">IF(Raw_Export!$A2800="","",IFERROR(VLOOKUP(LOWER(TRIM(Raw_Export!H2800)),Maps!$D$2:$E$12,2,FALSE()),"Other"))</f>
        <v/>
      </c>
      <c r="J2800" s="36" t="str">
        <f aca="false">IF(Raw_Export!$A2800="","",IF(COUNTIF($A$2:A2800,A2800)&gt;1,"Duplicate",""))</f>
        <v/>
      </c>
      <c r="K2800" s="36" t="str">
        <f aca="false">IF(Raw_Export!$A2800="","",IF(J2800="Duplicate","Duplicate",IF(OR(C2800="UNMAPPED",D2800="UNMAPPED"),"Unmapped",IF(F2800=0,"Blank qty",IF(F2800&lt;0,"Return","OK")))))</f>
        <v/>
      </c>
      <c r="L2800" s="36" t="str">
        <f aca="false">IF(Raw_Export!$A2800="","",IF(OR(K2800="OK",K2800="Return"),1,0))</f>
        <v/>
      </c>
      <c r="M2800" s="37" t="str">
        <f aca="false">IF(Raw_Export!$A2800="","",B2800-WEEKDAY(B2800,2)+1)</f>
        <v/>
      </c>
    </row>
    <row r="2801" customFormat="false" ht="15" hidden="false" customHeight="false" outlineLevel="0" collapsed="false">
      <c r="A2801" s="36" t="str">
        <f aca="false">IF(Raw_Export!$A2801="","",TRIM(Raw_Export!A2801))</f>
        <v/>
      </c>
      <c r="B2801" s="37" t="str">
        <f aca="false">IF(Raw_Export!$A2801="","",IF(ISNUMBER(Raw_Export!B2801),Raw_Export!B2801,IF(MID(TRIM(Raw_Export!B2801),5,1)="-",DATE(LEFT(TRIM(Raw_Export!B2801),4),MID(TRIM(Raw_Export!B2801),6,2),RIGHT(TRIM(Raw_Export!B2801),2)),DATE(RIGHT(TRIM(Raw_Export!B2801),4),MATCH(MID(TRIM(Raw_Export!B2801),4,3),{"Jan","Feb","Mar","Apr","May","Jun","Jul","Aug","Sep","Oct","Nov","Dec"},0),LEFT(TRIM(Raw_Export!B2801),2)))))</f>
        <v/>
      </c>
      <c r="C2801" s="36" t="str">
        <f aca="false">IF(Raw_Export!$A2801="","",IFERROR(VLOOKUP(LOWER(TRIM(Raw_Export!C2801)),Maps!$A$2:$B$20,2,FALSE()),"UNMAPPED"))</f>
        <v/>
      </c>
      <c r="D2801" s="36" t="str">
        <f aca="false">IF(Raw_Export!$A2801="","",IFERROR(VLOOKUP(LOWER(TRIM(Raw_Export!D2801)),Maps!$G$2:$I$80,2,FALSE()),"UNMAPPED"))</f>
        <v/>
      </c>
      <c r="E2801" s="36" t="str">
        <f aca="false">IF(Raw_Export!$A2801="","",IFERROR(VLOOKUP(LOWER(TRIM(Raw_Export!D2801)),Maps!$G$2:$I$80,3,FALSE()),"UNMAPPED"))</f>
        <v/>
      </c>
      <c r="F2801" s="36" t="str">
        <f aca="false">IF(Raw_Export!$A2801="","",IFERROR(VALUE(TRIM(Raw_Export!E2801)),0))</f>
        <v/>
      </c>
      <c r="G2801" s="38" t="str">
        <f aca="false">IF(Raw_Export!$A2801="","",IFERROR(VALUE(SUBSTITUTE(SUBSTITUTE(UPPER(TRIM(Raw_Export!F2801)),"KES",""),",","")),0))</f>
        <v/>
      </c>
      <c r="H2801" s="38" t="str">
        <f aca="false">IF(Raw_Export!$A2801="","",F2801*G2801)</f>
        <v/>
      </c>
      <c r="I2801" s="36" t="str">
        <f aca="false">IF(Raw_Export!$A2801="","",IFERROR(VLOOKUP(LOWER(TRIM(Raw_Export!H2801)),Maps!$D$2:$E$12,2,FALSE()),"Other"))</f>
        <v/>
      </c>
      <c r="J2801" s="36" t="str">
        <f aca="false">IF(Raw_Export!$A2801="","",IF(COUNTIF($A$2:A2801,A2801)&gt;1,"Duplicate",""))</f>
        <v/>
      </c>
      <c r="K2801" s="36" t="str">
        <f aca="false">IF(Raw_Export!$A2801="","",IF(J2801="Duplicate","Duplicate",IF(OR(C2801="UNMAPPED",D2801="UNMAPPED"),"Unmapped",IF(F2801=0,"Blank qty",IF(F2801&lt;0,"Return","OK")))))</f>
        <v/>
      </c>
      <c r="L2801" s="36" t="str">
        <f aca="false">IF(Raw_Export!$A2801="","",IF(OR(K2801="OK",K2801="Return"),1,0))</f>
        <v/>
      </c>
      <c r="M2801" s="37" t="str">
        <f aca="false">IF(Raw_Export!$A2801="","",B2801-WEEKDAY(B2801,2)+1)</f>
        <v/>
      </c>
    </row>
    <row r="2802" customFormat="false" ht="15" hidden="false" customHeight="false" outlineLevel="0" collapsed="false">
      <c r="A2802" s="36" t="str">
        <f aca="false">IF(Raw_Export!$A2802="","",TRIM(Raw_Export!A2802))</f>
        <v/>
      </c>
      <c r="B2802" s="37" t="str">
        <f aca="false">IF(Raw_Export!$A2802="","",IF(ISNUMBER(Raw_Export!B2802),Raw_Export!B2802,IF(MID(TRIM(Raw_Export!B2802),5,1)="-",DATE(LEFT(TRIM(Raw_Export!B2802),4),MID(TRIM(Raw_Export!B2802),6,2),RIGHT(TRIM(Raw_Export!B2802),2)),DATE(RIGHT(TRIM(Raw_Export!B2802),4),MATCH(MID(TRIM(Raw_Export!B2802),4,3),{"Jan","Feb","Mar","Apr","May","Jun","Jul","Aug","Sep","Oct","Nov","Dec"},0),LEFT(TRIM(Raw_Export!B2802),2)))))</f>
        <v/>
      </c>
      <c r="C2802" s="36" t="str">
        <f aca="false">IF(Raw_Export!$A2802="","",IFERROR(VLOOKUP(LOWER(TRIM(Raw_Export!C2802)),Maps!$A$2:$B$20,2,FALSE()),"UNMAPPED"))</f>
        <v/>
      </c>
      <c r="D2802" s="36" t="str">
        <f aca="false">IF(Raw_Export!$A2802="","",IFERROR(VLOOKUP(LOWER(TRIM(Raw_Export!D2802)),Maps!$G$2:$I$80,2,FALSE()),"UNMAPPED"))</f>
        <v/>
      </c>
      <c r="E2802" s="36" t="str">
        <f aca="false">IF(Raw_Export!$A2802="","",IFERROR(VLOOKUP(LOWER(TRIM(Raw_Export!D2802)),Maps!$G$2:$I$80,3,FALSE()),"UNMAPPED"))</f>
        <v/>
      </c>
      <c r="F2802" s="36" t="str">
        <f aca="false">IF(Raw_Export!$A2802="","",IFERROR(VALUE(TRIM(Raw_Export!E2802)),0))</f>
        <v/>
      </c>
      <c r="G2802" s="38" t="str">
        <f aca="false">IF(Raw_Export!$A2802="","",IFERROR(VALUE(SUBSTITUTE(SUBSTITUTE(UPPER(TRIM(Raw_Export!F2802)),"KES",""),",","")),0))</f>
        <v/>
      </c>
      <c r="H2802" s="38" t="str">
        <f aca="false">IF(Raw_Export!$A2802="","",F2802*G2802)</f>
        <v/>
      </c>
      <c r="I2802" s="36" t="str">
        <f aca="false">IF(Raw_Export!$A2802="","",IFERROR(VLOOKUP(LOWER(TRIM(Raw_Export!H2802)),Maps!$D$2:$E$12,2,FALSE()),"Other"))</f>
        <v/>
      </c>
      <c r="J2802" s="36" t="str">
        <f aca="false">IF(Raw_Export!$A2802="","",IF(COUNTIF($A$2:A2802,A2802)&gt;1,"Duplicate",""))</f>
        <v/>
      </c>
      <c r="K2802" s="36" t="str">
        <f aca="false">IF(Raw_Export!$A2802="","",IF(J2802="Duplicate","Duplicate",IF(OR(C2802="UNMAPPED",D2802="UNMAPPED"),"Unmapped",IF(F2802=0,"Blank qty",IF(F2802&lt;0,"Return","OK")))))</f>
        <v/>
      </c>
      <c r="L2802" s="36" t="str">
        <f aca="false">IF(Raw_Export!$A2802="","",IF(OR(K2802="OK",K2802="Return"),1,0))</f>
        <v/>
      </c>
      <c r="M2802" s="37" t="str">
        <f aca="false">IF(Raw_Export!$A2802="","",B2802-WEEKDAY(B2802,2)+1)</f>
        <v/>
      </c>
    </row>
    <row r="2803" customFormat="false" ht="15" hidden="false" customHeight="false" outlineLevel="0" collapsed="false">
      <c r="A2803" s="36" t="str">
        <f aca="false">IF(Raw_Export!$A2803="","",TRIM(Raw_Export!A2803))</f>
        <v/>
      </c>
      <c r="B2803" s="37" t="str">
        <f aca="false">IF(Raw_Export!$A2803="","",IF(ISNUMBER(Raw_Export!B2803),Raw_Export!B2803,IF(MID(TRIM(Raw_Export!B2803),5,1)="-",DATE(LEFT(TRIM(Raw_Export!B2803),4),MID(TRIM(Raw_Export!B2803),6,2),RIGHT(TRIM(Raw_Export!B2803),2)),DATE(RIGHT(TRIM(Raw_Export!B2803),4),MATCH(MID(TRIM(Raw_Export!B2803),4,3),{"Jan","Feb","Mar","Apr","May","Jun","Jul","Aug","Sep","Oct","Nov","Dec"},0),LEFT(TRIM(Raw_Export!B2803),2)))))</f>
        <v/>
      </c>
      <c r="C2803" s="36" t="str">
        <f aca="false">IF(Raw_Export!$A2803="","",IFERROR(VLOOKUP(LOWER(TRIM(Raw_Export!C2803)),Maps!$A$2:$B$20,2,FALSE()),"UNMAPPED"))</f>
        <v/>
      </c>
      <c r="D2803" s="36" t="str">
        <f aca="false">IF(Raw_Export!$A2803="","",IFERROR(VLOOKUP(LOWER(TRIM(Raw_Export!D2803)),Maps!$G$2:$I$80,2,FALSE()),"UNMAPPED"))</f>
        <v/>
      </c>
      <c r="E2803" s="36" t="str">
        <f aca="false">IF(Raw_Export!$A2803="","",IFERROR(VLOOKUP(LOWER(TRIM(Raw_Export!D2803)),Maps!$G$2:$I$80,3,FALSE()),"UNMAPPED"))</f>
        <v/>
      </c>
      <c r="F2803" s="36" t="str">
        <f aca="false">IF(Raw_Export!$A2803="","",IFERROR(VALUE(TRIM(Raw_Export!E2803)),0))</f>
        <v/>
      </c>
      <c r="G2803" s="38" t="str">
        <f aca="false">IF(Raw_Export!$A2803="","",IFERROR(VALUE(SUBSTITUTE(SUBSTITUTE(UPPER(TRIM(Raw_Export!F2803)),"KES",""),",","")),0))</f>
        <v/>
      </c>
      <c r="H2803" s="38" t="str">
        <f aca="false">IF(Raw_Export!$A2803="","",F2803*G2803)</f>
        <v/>
      </c>
      <c r="I2803" s="36" t="str">
        <f aca="false">IF(Raw_Export!$A2803="","",IFERROR(VLOOKUP(LOWER(TRIM(Raw_Export!H2803)),Maps!$D$2:$E$12,2,FALSE()),"Other"))</f>
        <v/>
      </c>
      <c r="J2803" s="36" t="str">
        <f aca="false">IF(Raw_Export!$A2803="","",IF(COUNTIF($A$2:A2803,A2803)&gt;1,"Duplicate",""))</f>
        <v/>
      </c>
      <c r="K2803" s="36" t="str">
        <f aca="false">IF(Raw_Export!$A2803="","",IF(J2803="Duplicate","Duplicate",IF(OR(C2803="UNMAPPED",D2803="UNMAPPED"),"Unmapped",IF(F2803=0,"Blank qty",IF(F2803&lt;0,"Return","OK")))))</f>
        <v/>
      </c>
      <c r="L2803" s="36" t="str">
        <f aca="false">IF(Raw_Export!$A2803="","",IF(OR(K2803="OK",K2803="Return"),1,0))</f>
        <v/>
      </c>
      <c r="M2803" s="37" t="str">
        <f aca="false">IF(Raw_Export!$A2803="","",B2803-WEEKDAY(B2803,2)+1)</f>
        <v/>
      </c>
    </row>
    <row r="2804" customFormat="false" ht="15" hidden="false" customHeight="false" outlineLevel="0" collapsed="false">
      <c r="A2804" s="36" t="str">
        <f aca="false">IF(Raw_Export!$A2804="","",TRIM(Raw_Export!A2804))</f>
        <v/>
      </c>
      <c r="B2804" s="37" t="str">
        <f aca="false">IF(Raw_Export!$A2804="","",IF(ISNUMBER(Raw_Export!B2804),Raw_Export!B2804,IF(MID(TRIM(Raw_Export!B2804),5,1)="-",DATE(LEFT(TRIM(Raw_Export!B2804),4),MID(TRIM(Raw_Export!B2804),6,2),RIGHT(TRIM(Raw_Export!B2804),2)),DATE(RIGHT(TRIM(Raw_Export!B2804),4),MATCH(MID(TRIM(Raw_Export!B2804),4,3),{"Jan","Feb","Mar","Apr","May","Jun","Jul","Aug","Sep","Oct","Nov","Dec"},0),LEFT(TRIM(Raw_Export!B2804),2)))))</f>
        <v/>
      </c>
      <c r="C2804" s="36" t="str">
        <f aca="false">IF(Raw_Export!$A2804="","",IFERROR(VLOOKUP(LOWER(TRIM(Raw_Export!C2804)),Maps!$A$2:$B$20,2,FALSE()),"UNMAPPED"))</f>
        <v/>
      </c>
      <c r="D2804" s="36" t="str">
        <f aca="false">IF(Raw_Export!$A2804="","",IFERROR(VLOOKUP(LOWER(TRIM(Raw_Export!D2804)),Maps!$G$2:$I$80,2,FALSE()),"UNMAPPED"))</f>
        <v/>
      </c>
      <c r="E2804" s="36" t="str">
        <f aca="false">IF(Raw_Export!$A2804="","",IFERROR(VLOOKUP(LOWER(TRIM(Raw_Export!D2804)),Maps!$G$2:$I$80,3,FALSE()),"UNMAPPED"))</f>
        <v/>
      </c>
      <c r="F2804" s="36" t="str">
        <f aca="false">IF(Raw_Export!$A2804="","",IFERROR(VALUE(TRIM(Raw_Export!E2804)),0))</f>
        <v/>
      </c>
      <c r="G2804" s="38" t="str">
        <f aca="false">IF(Raw_Export!$A2804="","",IFERROR(VALUE(SUBSTITUTE(SUBSTITUTE(UPPER(TRIM(Raw_Export!F2804)),"KES",""),",","")),0))</f>
        <v/>
      </c>
      <c r="H2804" s="38" t="str">
        <f aca="false">IF(Raw_Export!$A2804="","",F2804*G2804)</f>
        <v/>
      </c>
      <c r="I2804" s="36" t="str">
        <f aca="false">IF(Raw_Export!$A2804="","",IFERROR(VLOOKUP(LOWER(TRIM(Raw_Export!H2804)),Maps!$D$2:$E$12,2,FALSE()),"Other"))</f>
        <v/>
      </c>
      <c r="J2804" s="36" t="str">
        <f aca="false">IF(Raw_Export!$A2804="","",IF(COUNTIF($A$2:A2804,A2804)&gt;1,"Duplicate",""))</f>
        <v/>
      </c>
      <c r="K2804" s="36" t="str">
        <f aca="false">IF(Raw_Export!$A2804="","",IF(J2804="Duplicate","Duplicate",IF(OR(C2804="UNMAPPED",D2804="UNMAPPED"),"Unmapped",IF(F2804=0,"Blank qty",IF(F2804&lt;0,"Return","OK")))))</f>
        <v/>
      </c>
      <c r="L2804" s="36" t="str">
        <f aca="false">IF(Raw_Export!$A2804="","",IF(OR(K2804="OK",K2804="Return"),1,0))</f>
        <v/>
      </c>
      <c r="M2804" s="37" t="str">
        <f aca="false">IF(Raw_Export!$A2804="","",B2804-WEEKDAY(B2804,2)+1)</f>
        <v/>
      </c>
    </row>
    <row r="2805" customFormat="false" ht="15" hidden="false" customHeight="false" outlineLevel="0" collapsed="false">
      <c r="A2805" s="36" t="str">
        <f aca="false">IF(Raw_Export!$A2805="","",TRIM(Raw_Export!A2805))</f>
        <v/>
      </c>
      <c r="B2805" s="37" t="str">
        <f aca="false">IF(Raw_Export!$A2805="","",IF(ISNUMBER(Raw_Export!B2805),Raw_Export!B2805,IF(MID(TRIM(Raw_Export!B2805),5,1)="-",DATE(LEFT(TRIM(Raw_Export!B2805),4),MID(TRIM(Raw_Export!B2805),6,2),RIGHT(TRIM(Raw_Export!B2805),2)),DATE(RIGHT(TRIM(Raw_Export!B2805),4),MATCH(MID(TRIM(Raw_Export!B2805),4,3),{"Jan","Feb","Mar","Apr","May","Jun","Jul","Aug","Sep","Oct","Nov","Dec"},0),LEFT(TRIM(Raw_Export!B2805),2)))))</f>
        <v/>
      </c>
      <c r="C2805" s="36" t="str">
        <f aca="false">IF(Raw_Export!$A2805="","",IFERROR(VLOOKUP(LOWER(TRIM(Raw_Export!C2805)),Maps!$A$2:$B$20,2,FALSE()),"UNMAPPED"))</f>
        <v/>
      </c>
      <c r="D2805" s="36" t="str">
        <f aca="false">IF(Raw_Export!$A2805="","",IFERROR(VLOOKUP(LOWER(TRIM(Raw_Export!D2805)),Maps!$G$2:$I$80,2,FALSE()),"UNMAPPED"))</f>
        <v/>
      </c>
      <c r="E2805" s="36" t="str">
        <f aca="false">IF(Raw_Export!$A2805="","",IFERROR(VLOOKUP(LOWER(TRIM(Raw_Export!D2805)),Maps!$G$2:$I$80,3,FALSE()),"UNMAPPED"))</f>
        <v/>
      </c>
      <c r="F2805" s="36" t="str">
        <f aca="false">IF(Raw_Export!$A2805="","",IFERROR(VALUE(TRIM(Raw_Export!E2805)),0))</f>
        <v/>
      </c>
      <c r="G2805" s="38" t="str">
        <f aca="false">IF(Raw_Export!$A2805="","",IFERROR(VALUE(SUBSTITUTE(SUBSTITUTE(UPPER(TRIM(Raw_Export!F2805)),"KES",""),",","")),0))</f>
        <v/>
      </c>
      <c r="H2805" s="38" t="str">
        <f aca="false">IF(Raw_Export!$A2805="","",F2805*G2805)</f>
        <v/>
      </c>
      <c r="I2805" s="36" t="str">
        <f aca="false">IF(Raw_Export!$A2805="","",IFERROR(VLOOKUP(LOWER(TRIM(Raw_Export!H2805)),Maps!$D$2:$E$12,2,FALSE()),"Other"))</f>
        <v/>
      </c>
      <c r="J2805" s="36" t="str">
        <f aca="false">IF(Raw_Export!$A2805="","",IF(COUNTIF($A$2:A2805,A2805)&gt;1,"Duplicate",""))</f>
        <v/>
      </c>
      <c r="K2805" s="36" t="str">
        <f aca="false">IF(Raw_Export!$A2805="","",IF(J2805="Duplicate","Duplicate",IF(OR(C2805="UNMAPPED",D2805="UNMAPPED"),"Unmapped",IF(F2805=0,"Blank qty",IF(F2805&lt;0,"Return","OK")))))</f>
        <v/>
      </c>
      <c r="L2805" s="36" t="str">
        <f aca="false">IF(Raw_Export!$A2805="","",IF(OR(K2805="OK",K2805="Return"),1,0))</f>
        <v/>
      </c>
      <c r="M2805" s="37" t="str">
        <f aca="false">IF(Raw_Export!$A2805="","",B2805-WEEKDAY(B2805,2)+1)</f>
        <v/>
      </c>
    </row>
    <row r="2806" customFormat="false" ht="15" hidden="false" customHeight="false" outlineLevel="0" collapsed="false">
      <c r="A2806" s="36" t="str">
        <f aca="false">IF(Raw_Export!$A2806="","",TRIM(Raw_Export!A2806))</f>
        <v/>
      </c>
      <c r="B2806" s="37" t="str">
        <f aca="false">IF(Raw_Export!$A2806="","",IF(ISNUMBER(Raw_Export!B2806),Raw_Export!B2806,IF(MID(TRIM(Raw_Export!B2806),5,1)="-",DATE(LEFT(TRIM(Raw_Export!B2806),4),MID(TRIM(Raw_Export!B2806),6,2),RIGHT(TRIM(Raw_Export!B2806),2)),DATE(RIGHT(TRIM(Raw_Export!B2806),4),MATCH(MID(TRIM(Raw_Export!B2806),4,3),{"Jan","Feb","Mar","Apr","May","Jun","Jul","Aug","Sep","Oct","Nov","Dec"},0),LEFT(TRIM(Raw_Export!B2806),2)))))</f>
        <v/>
      </c>
      <c r="C2806" s="36" t="str">
        <f aca="false">IF(Raw_Export!$A2806="","",IFERROR(VLOOKUP(LOWER(TRIM(Raw_Export!C2806)),Maps!$A$2:$B$20,2,FALSE()),"UNMAPPED"))</f>
        <v/>
      </c>
      <c r="D2806" s="36" t="str">
        <f aca="false">IF(Raw_Export!$A2806="","",IFERROR(VLOOKUP(LOWER(TRIM(Raw_Export!D2806)),Maps!$G$2:$I$80,2,FALSE()),"UNMAPPED"))</f>
        <v/>
      </c>
      <c r="E2806" s="36" t="str">
        <f aca="false">IF(Raw_Export!$A2806="","",IFERROR(VLOOKUP(LOWER(TRIM(Raw_Export!D2806)),Maps!$G$2:$I$80,3,FALSE()),"UNMAPPED"))</f>
        <v/>
      </c>
      <c r="F2806" s="36" t="str">
        <f aca="false">IF(Raw_Export!$A2806="","",IFERROR(VALUE(TRIM(Raw_Export!E2806)),0))</f>
        <v/>
      </c>
      <c r="G2806" s="38" t="str">
        <f aca="false">IF(Raw_Export!$A2806="","",IFERROR(VALUE(SUBSTITUTE(SUBSTITUTE(UPPER(TRIM(Raw_Export!F2806)),"KES",""),",","")),0))</f>
        <v/>
      </c>
      <c r="H2806" s="38" t="str">
        <f aca="false">IF(Raw_Export!$A2806="","",F2806*G2806)</f>
        <v/>
      </c>
      <c r="I2806" s="36" t="str">
        <f aca="false">IF(Raw_Export!$A2806="","",IFERROR(VLOOKUP(LOWER(TRIM(Raw_Export!H2806)),Maps!$D$2:$E$12,2,FALSE()),"Other"))</f>
        <v/>
      </c>
      <c r="J2806" s="36" t="str">
        <f aca="false">IF(Raw_Export!$A2806="","",IF(COUNTIF($A$2:A2806,A2806)&gt;1,"Duplicate",""))</f>
        <v/>
      </c>
      <c r="K2806" s="36" t="str">
        <f aca="false">IF(Raw_Export!$A2806="","",IF(J2806="Duplicate","Duplicate",IF(OR(C2806="UNMAPPED",D2806="UNMAPPED"),"Unmapped",IF(F2806=0,"Blank qty",IF(F2806&lt;0,"Return","OK")))))</f>
        <v/>
      </c>
      <c r="L2806" s="36" t="str">
        <f aca="false">IF(Raw_Export!$A2806="","",IF(OR(K2806="OK",K2806="Return"),1,0))</f>
        <v/>
      </c>
      <c r="M2806" s="37" t="str">
        <f aca="false">IF(Raw_Export!$A2806="","",B2806-WEEKDAY(B2806,2)+1)</f>
        <v/>
      </c>
    </row>
    <row r="2807" customFormat="false" ht="15" hidden="false" customHeight="false" outlineLevel="0" collapsed="false">
      <c r="A2807" s="36" t="str">
        <f aca="false">IF(Raw_Export!$A2807="","",TRIM(Raw_Export!A2807))</f>
        <v/>
      </c>
      <c r="B2807" s="37" t="str">
        <f aca="false">IF(Raw_Export!$A2807="","",IF(ISNUMBER(Raw_Export!B2807),Raw_Export!B2807,IF(MID(TRIM(Raw_Export!B2807),5,1)="-",DATE(LEFT(TRIM(Raw_Export!B2807),4),MID(TRIM(Raw_Export!B2807),6,2),RIGHT(TRIM(Raw_Export!B2807),2)),DATE(RIGHT(TRIM(Raw_Export!B2807),4),MATCH(MID(TRIM(Raw_Export!B2807),4,3),{"Jan","Feb","Mar","Apr","May","Jun","Jul","Aug","Sep","Oct","Nov","Dec"},0),LEFT(TRIM(Raw_Export!B2807),2)))))</f>
        <v/>
      </c>
      <c r="C2807" s="36" t="str">
        <f aca="false">IF(Raw_Export!$A2807="","",IFERROR(VLOOKUP(LOWER(TRIM(Raw_Export!C2807)),Maps!$A$2:$B$20,2,FALSE()),"UNMAPPED"))</f>
        <v/>
      </c>
      <c r="D2807" s="36" t="str">
        <f aca="false">IF(Raw_Export!$A2807="","",IFERROR(VLOOKUP(LOWER(TRIM(Raw_Export!D2807)),Maps!$G$2:$I$80,2,FALSE()),"UNMAPPED"))</f>
        <v/>
      </c>
      <c r="E2807" s="36" t="str">
        <f aca="false">IF(Raw_Export!$A2807="","",IFERROR(VLOOKUP(LOWER(TRIM(Raw_Export!D2807)),Maps!$G$2:$I$80,3,FALSE()),"UNMAPPED"))</f>
        <v/>
      </c>
      <c r="F2807" s="36" t="str">
        <f aca="false">IF(Raw_Export!$A2807="","",IFERROR(VALUE(TRIM(Raw_Export!E2807)),0))</f>
        <v/>
      </c>
      <c r="G2807" s="38" t="str">
        <f aca="false">IF(Raw_Export!$A2807="","",IFERROR(VALUE(SUBSTITUTE(SUBSTITUTE(UPPER(TRIM(Raw_Export!F2807)),"KES",""),",","")),0))</f>
        <v/>
      </c>
      <c r="H2807" s="38" t="str">
        <f aca="false">IF(Raw_Export!$A2807="","",F2807*G2807)</f>
        <v/>
      </c>
      <c r="I2807" s="36" t="str">
        <f aca="false">IF(Raw_Export!$A2807="","",IFERROR(VLOOKUP(LOWER(TRIM(Raw_Export!H2807)),Maps!$D$2:$E$12,2,FALSE()),"Other"))</f>
        <v/>
      </c>
      <c r="J2807" s="36" t="str">
        <f aca="false">IF(Raw_Export!$A2807="","",IF(COUNTIF($A$2:A2807,A2807)&gt;1,"Duplicate",""))</f>
        <v/>
      </c>
      <c r="K2807" s="36" t="str">
        <f aca="false">IF(Raw_Export!$A2807="","",IF(J2807="Duplicate","Duplicate",IF(OR(C2807="UNMAPPED",D2807="UNMAPPED"),"Unmapped",IF(F2807=0,"Blank qty",IF(F2807&lt;0,"Return","OK")))))</f>
        <v/>
      </c>
      <c r="L2807" s="36" t="str">
        <f aca="false">IF(Raw_Export!$A2807="","",IF(OR(K2807="OK",K2807="Return"),1,0))</f>
        <v/>
      </c>
      <c r="M2807" s="37" t="str">
        <f aca="false">IF(Raw_Export!$A2807="","",B2807-WEEKDAY(B2807,2)+1)</f>
        <v/>
      </c>
    </row>
    <row r="2808" customFormat="false" ht="15" hidden="false" customHeight="false" outlineLevel="0" collapsed="false">
      <c r="A2808" s="36" t="str">
        <f aca="false">IF(Raw_Export!$A2808="","",TRIM(Raw_Export!A2808))</f>
        <v/>
      </c>
      <c r="B2808" s="37" t="str">
        <f aca="false">IF(Raw_Export!$A2808="","",IF(ISNUMBER(Raw_Export!B2808),Raw_Export!B2808,IF(MID(TRIM(Raw_Export!B2808),5,1)="-",DATE(LEFT(TRIM(Raw_Export!B2808),4),MID(TRIM(Raw_Export!B2808),6,2),RIGHT(TRIM(Raw_Export!B2808),2)),DATE(RIGHT(TRIM(Raw_Export!B2808),4),MATCH(MID(TRIM(Raw_Export!B2808),4,3),{"Jan","Feb","Mar","Apr","May","Jun","Jul","Aug","Sep","Oct","Nov","Dec"},0),LEFT(TRIM(Raw_Export!B2808),2)))))</f>
        <v/>
      </c>
      <c r="C2808" s="36" t="str">
        <f aca="false">IF(Raw_Export!$A2808="","",IFERROR(VLOOKUP(LOWER(TRIM(Raw_Export!C2808)),Maps!$A$2:$B$20,2,FALSE()),"UNMAPPED"))</f>
        <v/>
      </c>
      <c r="D2808" s="36" t="str">
        <f aca="false">IF(Raw_Export!$A2808="","",IFERROR(VLOOKUP(LOWER(TRIM(Raw_Export!D2808)),Maps!$G$2:$I$80,2,FALSE()),"UNMAPPED"))</f>
        <v/>
      </c>
      <c r="E2808" s="36" t="str">
        <f aca="false">IF(Raw_Export!$A2808="","",IFERROR(VLOOKUP(LOWER(TRIM(Raw_Export!D2808)),Maps!$G$2:$I$80,3,FALSE()),"UNMAPPED"))</f>
        <v/>
      </c>
      <c r="F2808" s="36" t="str">
        <f aca="false">IF(Raw_Export!$A2808="","",IFERROR(VALUE(TRIM(Raw_Export!E2808)),0))</f>
        <v/>
      </c>
      <c r="G2808" s="38" t="str">
        <f aca="false">IF(Raw_Export!$A2808="","",IFERROR(VALUE(SUBSTITUTE(SUBSTITUTE(UPPER(TRIM(Raw_Export!F2808)),"KES",""),",","")),0))</f>
        <v/>
      </c>
      <c r="H2808" s="38" t="str">
        <f aca="false">IF(Raw_Export!$A2808="","",F2808*G2808)</f>
        <v/>
      </c>
      <c r="I2808" s="36" t="str">
        <f aca="false">IF(Raw_Export!$A2808="","",IFERROR(VLOOKUP(LOWER(TRIM(Raw_Export!H2808)),Maps!$D$2:$E$12,2,FALSE()),"Other"))</f>
        <v/>
      </c>
      <c r="J2808" s="36" t="str">
        <f aca="false">IF(Raw_Export!$A2808="","",IF(COUNTIF($A$2:A2808,A2808)&gt;1,"Duplicate",""))</f>
        <v/>
      </c>
      <c r="K2808" s="36" t="str">
        <f aca="false">IF(Raw_Export!$A2808="","",IF(J2808="Duplicate","Duplicate",IF(OR(C2808="UNMAPPED",D2808="UNMAPPED"),"Unmapped",IF(F2808=0,"Blank qty",IF(F2808&lt;0,"Return","OK")))))</f>
        <v/>
      </c>
      <c r="L2808" s="36" t="str">
        <f aca="false">IF(Raw_Export!$A2808="","",IF(OR(K2808="OK",K2808="Return"),1,0))</f>
        <v/>
      </c>
      <c r="M2808" s="37" t="str">
        <f aca="false">IF(Raw_Export!$A2808="","",B2808-WEEKDAY(B2808,2)+1)</f>
        <v/>
      </c>
    </row>
    <row r="2809" customFormat="false" ht="15" hidden="false" customHeight="false" outlineLevel="0" collapsed="false">
      <c r="A2809" s="36" t="str">
        <f aca="false">IF(Raw_Export!$A2809="","",TRIM(Raw_Export!A2809))</f>
        <v/>
      </c>
      <c r="B2809" s="37" t="str">
        <f aca="false">IF(Raw_Export!$A2809="","",IF(ISNUMBER(Raw_Export!B2809),Raw_Export!B2809,IF(MID(TRIM(Raw_Export!B2809),5,1)="-",DATE(LEFT(TRIM(Raw_Export!B2809),4),MID(TRIM(Raw_Export!B2809),6,2),RIGHT(TRIM(Raw_Export!B2809),2)),DATE(RIGHT(TRIM(Raw_Export!B2809),4),MATCH(MID(TRIM(Raw_Export!B2809),4,3),{"Jan","Feb","Mar","Apr","May","Jun","Jul","Aug","Sep","Oct","Nov","Dec"},0),LEFT(TRIM(Raw_Export!B2809),2)))))</f>
        <v/>
      </c>
      <c r="C2809" s="36" t="str">
        <f aca="false">IF(Raw_Export!$A2809="","",IFERROR(VLOOKUP(LOWER(TRIM(Raw_Export!C2809)),Maps!$A$2:$B$20,2,FALSE()),"UNMAPPED"))</f>
        <v/>
      </c>
      <c r="D2809" s="36" t="str">
        <f aca="false">IF(Raw_Export!$A2809="","",IFERROR(VLOOKUP(LOWER(TRIM(Raw_Export!D2809)),Maps!$G$2:$I$80,2,FALSE()),"UNMAPPED"))</f>
        <v/>
      </c>
      <c r="E2809" s="36" t="str">
        <f aca="false">IF(Raw_Export!$A2809="","",IFERROR(VLOOKUP(LOWER(TRIM(Raw_Export!D2809)),Maps!$G$2:$I$80,3,FALSE()),"UNMAPPED"))</f>
        <v/>
      </c>
      <c r="F2809" s="36" t="str">
        <f aca="false">IF(Raw_Export!$A2809="","",IFERROR(VALUE(TRIM(Raw_Export!E2809)),0))</f>
        <v/>
      </c>
      <c r="G2809" s="38" t="str">
        <f aca="false">IF(Raw_Export!$A2809="","",IFERROR(VALUE(SUBSTITUTE(SUBSTITUTE(UPPER(TRIM(Raw_Export!F2809)),"KES",""),",","")),0))</f>
        <v/>
      </c>
      <c r="H2809" s="38" t="str">
        <f aca="false">IF(Raw_Export!$A2809="","",F2809*G2809)</f>
        <v/>
      </c>
      <c r="I2809" s="36" t="str">
        <f aca="false">IF(Raw_Export!$A2809="","",IFERROR(VLOOKUP(LOWER(TRIM(Raw_Export!H2809)),Maps!$D$2:$E$12,2,FALSE()),"Other"))</f>
        <v/>
      </c>
      <c r="J2809" s="36" t="str">
        <f aca="false">IF(Raw_Export!$A2809="","",IF(COUNTIF($A$2:A2809,A2809)&gt;1,"Duplicate",""))</f>
        <v/>
      </c>
      <c r="K2809" s="36" t="str">
        <f aca="false">IF(Raw_Export!$A2809="","",IF(J2809="Duplicate","Duplicate",IF(OR(C2809="UNMAPPED",D2809="UNMAPPED"),"Unmapped",IF(F2809=0,"Blank qty",IF(F2809&lt;0,"Return","OK")))))</f>
        <v/>
      </c>
      <c r="L2809" s="36" t="str">
        <f aca="false">IF(Raw_Export!$A2809="","",IF(OR(K2809="OK",K2809="Return"),1,0))</f>
        <v/>
      </c>
      <c r="M2809" s="37" t="str">
        <f aca="false">IF(Raw_Export!$A2809="","",B2809-WEEKDAY(B2809,2)+1)</f>
        <v/>
      </c>
    </row>
    <row r="2810" customFormat="false" ht="15" hidden="false" customHeight="false" outlineLevel="0" collapsed="false">
      <c r="A2810" s="36" t="str">
        <f aca="false">IF(Raw_Export!$A2810="","",TRIM(Raw_Export!A2810))</f>
        <v/>
      </c>
      <c r="B2810" s="37" t="str">
        <f aca="false">IF(Raw_Export!$A2810="","",IF(ISNUMBER(Raw_Export!B2810),Raw_Export!B2810,IF(MID(TRIM(Raw_Export!B2810),5,1)="-",DATE(LEFT(TRIM(Raw_Export!B2810),4),MID(TRIM(Raw_Export!B2810),6,2),RIGHT(TRIM(Raw_Export!B2810),2)),DATE(RIGHT(TRIM(Raw_Export!B2810),4),MATCH(MID(TRIM(Raw_Export!B2810),4,3),{"Jan","Feb","Mar","Apr","May","Jun","Jul","Aug","Sep","Oct","Nov","Dec"},0),LEFT(TRIM(Raw_Export!B2810),2)))))</f>
        <v/>
      </c>
      <c r="C2810" s="36" t="str">
        <f aca="false">IF(Raw_Export!$A2810="","",IFERROR(VLOOKUP(LOWER(TRIM(Raw_Export!C2810)),Maps!$A$2:$B$20,2,FALSE()),"UNMAPPED"))</f>
        <v/>
      </c>
      <c r="D2810" s="36" t="str">
        <f aca="false">IF(Raw_Export!$A2810="","",IFERROR(VLOOKUP(LOWER(TRIM(Raw_Export!D2810)),Maps!$G$2:$I$80,2,FALSE()),"UNMAPPED"))</f>
        <v/>
      </c>
      <c r="E2810" s="36" t="str">
        <f aca="false">IF(Raw_Export!$A2810="","",IFERROR(VLOOKUP(LOWER(TRIM(Raw_Export!D2810)),Maps!$G$2:$I$80,3,FALSE()),"UNMAPPED"))</f>
        <v/>
      </c>
      <c r="F2810" s="36" t="str">
        <f aca="false">IF(Raw_Export!$A2810="","",IFERROR(VALUE(TRIM(Raw_Export!E2810)),0))</f>
        <v/>
      </c>
      <c r="G2810" s="38" t="str">
        <f aca="false">IF(Raw_Export!$A2810="","",IFERROR(VALUE(SUBSTITUTE(SUBSTITUTE(UPPER(TRIM(Raw_Export!F2810)),"KES",""),",","")),0))</f>
        <v/>
      </c>
      <c r="H2810" s="38" t="str">
        <f aca="false">IF(Raw_Export!$A2810="","",F2810*G2810)</f>
        <v/>
      </c>
      <c r="I2810" s="36" t="str">
        <f aca="false">IF(Raw_Export!$A2810="","",IFERROR(VLOOKUP(LOWER(TRIM(Raw_Export!H2810)),Maps!$D$2:$E$12,2,FALSE()),"Other"))</f>
        <v/>
      </c>
      <c r="J2810" s="36" t="str">
        <f aca="false">IF(Raw_Export!$A2810="","",IF(COUNTIF($A$2:A2810,A2810)&gt;1,"Duplicate",""))</f>
        <v/>
      </c>
      <c r="K2810" s="36" t="str">
        <f aca="false">IF(Raw_Export!$A2810="","",IF(J2810="Duplicate","Duplicate",IF(OR(C2810="UNMAPPED",D2810="UNMAPPED"),"Unmapped",IF(F2810=0,"Blank qty",IF(F2810&lt;0,"Return","OK")))))</f>
        <v/>
      </c>
      <c r="L2810" s="36" t="str">
        <f aca="false">IF(Raw_Export!$A2810="","",IF(OR(K2810="OK",K2810="Return"),1,0))</f>
        <v/>
      </c>
      <c r="M2810" s="37" t="str">
        <f aca="false">IF(Raw_Export!$A2810="","",B2810-WEEKDAY(B2810,2)+1)</f>
        <v/>
      </c>
    </row>
    <row r="2811" customFormat="false" ht="15" hidden="false" customHeight="false" outlineLevel="0" collapsed="false">
      <c r="A2811" s="36" t="str">
        <f aca="false">IF(Raw_Export!$A2811="","",TRIM(Raw_Export!A2811))</f>
        <v/>
      </c>
      <c r="B2811" s="37" t="str">
        <f aca="false">IF(Raw_Export!$A2811="","",IF(ISNUMBER(Raw_Export!B2811),Raw_Export!B2811,IF(MID(TRIM(Raw_Export!B2811),5,1)="-",DATE(LEFT(TRIM(Raw_Export!B2811),4),MID(TRIM(Raw_Export!B2811),6,2),RIGHT(TRIM(Raw_Export!B2811),2)),DATE(RIGHT(TRIM(Raw_Export!B2811),4),MATCH(MID(TRIM(Raw_Export!B2811),4,3),{"Jan","Feb","Mar","Apr","May","Jun","Jul","Aug","Sep","Oct","Nov","Dec"},0),LEFT(TRIM(Raw_Export!B2811),2)))))</f>
        <v/>
      </c>
      <c r="C2811" s="36" t="str">
        <f aca="false">IF(Raw_Export!$A2811="","",IFERROR(VLOOKUP(LOWER(TRIM(Raw_Export!C2811)),Maps!$A$2:$B$20,2,FALSE()),"UNMAPPED"))</f>
        <v/>
      </c>
      <c r="D2811" s="36" t="str">
        <f aca="false">IF(Raw_Export!$A2811="","",IFERROR(VLOOKUP(LOWER(TRIM(Raw_Export!D2811)),Maps!$G$2:$I$80,2,FALSE()),"UNMAPPED"))</f>
        <v/>
      </c>
      <c r="E2811" s="36" t="str">
        <f aca="false">IF(Raw_Export!$A2811="","",IFERROR(VLOOKUP(LOWER(TRIM(Raw_Export!D2811)),Maps!$G$2:$I$80,3,FALSE()),"UNMAPPED"))</f>
        <v/>
      </c>
      <c r="F2811" s="36" t="str">
        <f aca="false">IF(Raw_Export!$A2811="","",IFERROR(VALUE(TRIM(Raw_Export!E2811)),0))</f>
        <v/>
      </c>
      <c r="G2811" s="38" t="str">
        <f aca="false">IF(Raw_Export!$A2811="","",IFERROR(VALUE(SUBSTITUTE(SUBSTITUTE(UPPER(TRIM(Raw_Export!F2811)),"KES",""),",","")),0))</f>
        <v/>
      </c>
      <c r="H2811" s="38" t="str">
        <f aca="false">IF(Raw_Export!$A2811="","",F2811*G2811)</f>
        <v/>
      </c>
      <c r="I2811" s="36" t="str">
        <f aca="false">IF(Raw_Export!$A2811="","",IFERROR(VLOOKUP(LOWER(TRIM(Raw_Export!H2811)),Maps!$D$2:$E$12,2,FALSE()),"Other"))</f>
        <v/>
      </c>
      <c r="J2811" s="36" t="str">
        <f aca="false">IF(Raw_Export!$A2811="","",IF(COUNTIF($A$2:A2811,A2811)&gt;1,"Duplicate",""))</f>
        <v/>
      </c>
      <c r="K2811" s="36" t="str">
        <f aca="false">IF(Raw_Export!$A2811="","",IF(J2811="Duplicate","Duplicate",IF(OR(C2811="UNMAPPED",D2811="UNMAPPED"),"Unmapped",IF(F2811=0,"Blank qty",IF(F2811&lt;0,"Return","OK")))))</f>
        <v/>
      </c>
      <c r="L2811" s="36" t="str">
        <f aca="false">IF(Raw_Export!$A2811="","",IF(OR(K2811="OK",K2811="Return"),1,0))</f>
        <v/>
      </c>
      <c r="M2811" s="37" t="str">
        <f aca="false">IF(Raw_Export!$A2811="","",B2811-WEEKDAY(B2811,2)+1)</f>
        <v/>
      </c>
    </row>
    <row r="2812" customFormat="false" ht="15" hidden="false" customHeight="false" outlineLevel="0" collapsed="false">
      <c r="A2812" s="36" t="str">
        <f aca="false">IF(Raw_Export!$A2812="","",TRIM(Raw_Export!A2812))</f>
        <v/>
      </c>
      <c r="B2812" s="37" t="str">
        <f aca="false">IF(Raw_Export!$A2812="","",IF(ISNUMBER(Raw_Export!B2812),Raw_Export!B2812,IF(MID(TRIM(Raw_Export!B2812),5,1)="-",DATE(LEFT(TRIM(Raw_Export!B2812),4),MID(TRIM(Raw_Export!B2812),6,2),RIGHT(TRIM(Raw_Export!B2812),2)),DATE(RIGHT(TRIM(Raw_Export!B2812),4),MATCH(MID(TRIM(Raw_Export!B2812),4,3),{"Jan","Feb","Mar","Apr","May","Jun","Jul","Aug","Sep","Oct","Nov","Dec"},0),LEFT(TRIM(Raw_Export!B2812),2)))))</f>
        <v/>
      </c>
      <c r="C2812" s="36" t="str">
        <f aca="false">IF(Raw_Export!$A2812="","",IFERROR(VLOOKUP(LOWER(TRIM(Raw_Export!C2812)),Maps!$A$2:$B$20,2,FALSE()),"UNMAPPED"))</f>
        <v/>
      </c>
      <c r="D2812" s="36" t="str">
        <f aca="false">IF(Raw_Export!$A2812="","",IFERROR(VLOOKUP(LOWER(TRIM(Raw_Export!D2812)),Maps!$G$2:$I$80,2,FALSE()),"UNMAPPED"))</f>
        <v/>
      </c>
      <c r="E2812" s="36" t="str">
        <f aca="false">IF(Raw_Export!$A2812="","",IFERROR(VLOOKUP(LOWER(TRIM(Raw_Export!D2812)),Maps!$G$2:$I$80,3,FALSE()),"UNMAPPED"))</f>
        <v/>
      </c>
      <c r="F2812" s="36" t="str">
        <f aca="false">IF(Raw_Export!$A2812="","",IFERROR(VALUE(TRIM(Raw_Export!E2812)),0))</f>
        <v/>
      </c>
      <c r="G2812" s="38" t="str">
        <f aca="false">IF(Raw_Export!$A2812="","",IFERROR(VALUE(SUBSTITUTE(SUBSTITUTE(UPPER(TRIM(Raw_Export!F2812)),"KES",""),",","")),0))</f>
        <v/>
      </c>
      <c r="H2812" s="38" t="str">
        <f aca="false">IF(Raw_Export!$A2812="","",F2812*G2812)</f>
        <v/>
      </c>
      <c r="I2812" s="36" t="str">
        <f aca="false">IF(Raw_Export!$A2812="","",IFERROR(VLOOKUP(LOWER(TRIM(Raw_Export!H2812)),Maps!$D$2:$E$12,2,FALSE()),"Other"))</f>
        <v/>
      </c>
      <c r="J2812" s="36" t="str">
        <f aca="false">IF(Raw_Export!$A2812="","",IF(COUNTIF($A$2:A2812,A2812)&gt;1,"Duplicate",""))</f>
        <v/>
      </c>
      <c r="K2812" s="36" t="str">
        <f aca="false">IF(Raw_Export!$A2812="","",IF(J2812="Duplicate","Duplicate",IF(OR(C2812="UNMAPPED",D2812="UNMAPPED"),"Unmapped",IF(F2812=0,"Blank qty",IF(F2812&lt;0,"Return","OK")))))</f>
        <v/>
      </c>
      <c r="L2812" s="36" t="str">
        <f aca="false">IF(Raw_Export!$A2812="","",IF(OR(K2812="OK",K2812="Return"),1,0))</f>
        <v/>
      </c>
      <c r="M2812" s="37" t="str">
        <f aca="false">IF(Raw_Export!$A2812="","",B2812-WEEKDAY(B2812,2)+1)</f>
        <v/>
      </c>
    </row>
    <row r="2813" customFormat="false" ht="15" hidden="false" customHeight="false" outlineLevel="0" collapsed="false">
      <c r="A2813" s="36" t="str">
        <f aca="false">IF(Raw_Export!$A2813="","",TRIM(Raw_Export!A2813))</f>
        <v/>
      </c>
      <c r="B2813" s="37" t="str">
        <f aca="false">IF(Raw_Export!$A2813="","",IF(ISNUMBER(Raw_Export!B2813),Raw_Export!B2813,IF(MID(TRIM(Raw_Export!B2813),5,1)="-",DATE(LEFT(TRIM(Raw_Export!B2813),4),MID(TRIM(Raw_Export!B2813),6,2),RIGHT(TRIM(Raw_Export!B2813),2)),DATE(RIGHT(TRIM(Raw_Export!B2813),4),MATCH(MID(TRIM(Raw_Export!B2813),4,3),{"Jan","Feb","Mar","Apr","May","Jun","Jul","Aug","Sep","Oct","Nov","Dec"},0),LEFT(TRIM(Raw_Export!B2813),2)))))</f>
        <v/>
      </c>
      <c r="C2813" s="36" t="str">
        <f aca="false">IF(Raw_Export!$A2813="","",IFERROR(VLOOKUP(LOWER(TRIM(Raw_Export!C2813)),Maps!$A$2:$B$20,2,FALSE()),"UNMAPPED"))</f>
        <v/>
      </c>
      <c r="D2813" s="36" t="str">
        <f aca="false">IF(Raw_Export!$A2813="","",IFERROR(VLOOKUP(LOWER(TRIM(Raw_Export!D2813)),Maps!$G$2:$I$80,2,FALSE()),"UNMAPPED"))</f>
        <v/>
      </c>
      <c r="E2813" s="36" t="str">
        <f aca="false">IF(Raw_Export!$A2813="","",IFERROR(VLOOKUP(LOWER(TRIM(Raw_Export!D2813)),Maps!$G$2:$I$80,3,FALSE()),"UNMAPPED"))</f>
        <v/>
      </c>
      <c r="F2813" s="36" t="str">
        <f aca="false">IF(Raw_Export!$A2813="","",IFERROR(VALUE(TRIM(Raw_Export!E2813)),0))</f>
        <v/>
      </c>
      <c r="G2813" s="38" t="str">
        <f aca="false">IF(Raw_Export!$A2813="","",IFERROR(VALUE(SUBSTITUTE(SUBSTITUTE(UPPER(TRIM(Raw_Export!F2813)),"KES",""),",","")),0))</f>
        <v/>
      </c>
      <c r="H2813" s="38" t="str">
        <f aca="false">IF(Raw_Export!$A2813="","",F2813*G2813)</f>
        <v/>
      </c>
      <c r="I2813" s="36" t="str">
        <f aca="false">IF(Raw_Export!$A2813="","",IFERROR(VLOOKUP(LOWER(TRIM(Raw_Export!H2813)),Maps!$D$2:$E$12,2,FALSE()),"Other"))</f>
        <v/>
      </c>
      <c r="J2813" s="36" t="str">
        <f aca="false">IF(Raw_Export!$A2813="","",IF(COUNTIF($A$2:A2813,A2813)&gt;1,"Duplicate",""))</f>
        <v/>
      </c>
      <c r="K2813" s="36" t="str">
        <f aca="false">IF(Raw_Export!$A2813="","",IF(J2813="Duplicate","Duplicate",IF(OR(C2813="UNMAPPED",D2813="UNMAPPED"),"Unmapped",IF(F2813=0,"Blank qty",IF(F2813&lt;0,"Return","OK")))))</f>
        <v/>
      </c>
      <c r="L2813" s="36" t="str">
        <f aca="false">IF(Raw_Export!$A2813="","",IF(OR(K2813="OK",K2813="Return"),1,0))</f>
        <v/>
      </c>
      <c r="M2813" s="37" t="str">
        <f aca="false">IF(Raw_Export!$A2813="","",B2813-WEEKDAY(B2813,2)+1)</f>
        <v/>
      </c>
    </row>
    <row r="2814" customFormat="false" ht="15" hidden="false" customHeight="false" outlineLevel="0" collapsed="false">
      <c r="A2814" s="36" t="str">
        <f aca="false">IF(Raw_Export!$A2814="","",TRIM(Raw_Export!A2814))</f>
        <v/>
      </c>
      <c r="B2814" s="37" t="str">
        <f aca="false">IF(Raw_Export!$A2814="","",IF(ISNUMBER(Raw_Export!B2814),Raw_Export!B2814,IF(MID(TRIM(Raw_Export!B2814),5,1)="-",DATE(LEFT(TRIM(Raw_Export!B2814),4),MID(TRIM(Raw_Export!B2814),6,2),RIGHT(TRIM(Raw_Export!B2814),2)),DATE(RIGHT(TRIM(Raw_Export!B2814),4),MATCH(MID(TRIM(Raw_Export!B2814),4,3),{"Jan","Feb","Mar","Apr","May","Jun","Jul","Aug","Sep","Oct","Nov","Dec"},0),LEFT(TRIM(Raw_Export!B2814),2)))))</f>
        <v/>
      </c>
      <c r="C2814" s="36" t="str">
        <f aca="false">IF(Raw_Export!$A2814="","",IFERROR(VLOOKUP(LOWER(TRIM(Raw_Export!C2814)),Maps!$A$2:$B$20,2,FALSE()),"UNMAPPED"))</f>
        <v/>
      </c>
      <c r="D2814" s="36" t="str">
        <f aca="false">IF(Raw_Export!$A2814="","",IFERROR(VLOOKUP(LOWER(TRIM(Raw_Export!D2814)),Maps!$G$2:$I$80,2,FALSE()),"UNMAPPED"))</f>
        <v/>
      </c>
      <c r="E2814" s="36" t="str">
        <f aca="false">IF(Raw_Export!$A2814="","",IFERROR(VLOOKUP(LOWER(TRIM(Raw_Export!D2814)),Maps!$G$2:$I$80,3,FALSE()),"UNMAPPED"))</f>
        <v/>
      </c>
      <c r="F2814" s="36" t="str">
        <f aca="false">IF(Raw_Export!$A2814="","",IFERROR(VALUE(TRIM(Raw_Export!E2814)),0))</f>
        <v/>
      </c>
      <c r="G2814" s="38" t="str">
        <f aca="false">IF(Raw_Export!$A2814="","",IFERROR(VALUE(SUBSTITUTE(SUBSTITUTE(UPPER(TRIM(Raw_Export!F2814)),"KES",""),",","")),0))</f>
        <v/>
      </c>
      <c r="H2814" s="38" t="str">
        <f aca="false">IF(Raw_Export!$A2814="","",F2814*G2814)</f>
        <v/>
      </c>
      <c r="I2814" s="36" t="str">
        <f aca="false">IF(Raw_Export!$A2814="","",IFERROR(VLOOKUP(LOWER(TRIM(Raw_Export!H2814)),Maps!$D$2:$E$12,2,FALSE()),"Other"))</f>
        <v/>
      </c>
      <c r="J2814" s="36" t="str">
        <f aca="false">IF(Raw_Export!$A2814="","",IF(COUNTIF($A$2:A2814,A2814)&gt;1,"Duplicate",""))</f>
        <v/>
      </c>
      <c r="K2814" s="36" t="str">
        <f aca="false">IF(Raw_Export!$A2814="","",IF(J2814="Duplicate","Duplicate",IF(OR(C2814="UNMAPPED",D2814="UNMAPPED"),"Unmapped",IF(F2814=0,"Blank qty",IF(F2814&lt;0,"Return","OK")))))</f>
        <v/>
      </c>
      <c r="L2814" s="36" t="str">
        <f aca="false">IF(Raw_Export!$A2814="","",IF(OR(K2814="OK",K2814="Return"),1,0))</f>
        <v/>
      </c>
      <c r="M2814" s="37" t="str">
        <f aca="false">IF(Raw_Export!$A2814="","",B2814-WEEKDAY(B2814,2)+1)</f>
        <v/>
      </c>
    </row>
    <row r="2815" customFormat="false" ht="15" hidden="false" customHeight="false" outlineLevel="0" collapsed="false">
      <c r="A2815" s="36" t="str">
        <f aca="false">IF(Raw_Export!$A2815="","",TRIM(Raw_Export!A2815))</f>
        <v/>
      </c>
      <c r="B2815" s="37" t="str">
        <f aca="false">IF(Raw_Export!$A2815="","",IF(ISNUMBER(Raw_Export!B2815),Raw_Export!B2815,IF(MID(TRIM(Raw_Export!B2815),5,1)="-",DATE(LEFT(TRIM(Raw_Export!B2815),4),MID(TRIM(Raw_Export!B2815),6,2),RIGHT(TRIM(Raw_Export!B2815),2)),DATE(RIGHT(TRIM(Raw_Export!B2815),4),MATCH(MID(TRIM(Raw_Export!B2815),4,3),{"Jan","Feb","Mar","Apr","May","Jun","Jul","Aug","Sep","Oct","Nov","Dec"},0),LEFT(TRIM(Raw_Export!B2815),2)))))</f>
        <v/>
      </c>
      <c r="C2815" s="36" t="str">
        <f aca="false">IF(Raw_Export!$A2815="","",IFERROR(VLOOKUP(LOWER(TRIM(Raw_Export!C2815)),Maps!$A$2:$B$20,2,FALSE()),"UNMAPPED"))</f>
        <v/>
      </c>
      <c r="D2815" s="36" t="str">
        <f aca="false">IF(Raw_Export!$A2815="","",IFERROR(VLOOKUP(LOWER(TRIM(Raw_Export!D2815)),Maps!$G$2:$I$80,2,FALSE()),"UNMAPPED"))</f>
        <v/>
      </c>
      <c r="E2815" s="36" t="str">
        <f aca="false">IF(Raw_Export!$A2815="","",IFERROR(VLOOKUP(LOWER(TRIM(Raw_Export!D2815)),Maps!$G$2:$I$80,3,FALSE()),"UNMAPPED"))</f>
        <v/>
      </c>
      <c r="F2815" s="36" t="str">
        <f aca="false">IF(Raw_Export!$A2815="","",IFERROR(VALUE(TRIM(Raw_Export!E2815)),0))</f>
        <v/>
      </c>
      <c r="G2815" s="38" t="str">
        <f aca="false">IF(Raw_Export!$A2815="","",IFERROR(VALUE(SUBSTITUTE(SUBSTITUTE(UPPER(TRIM(Raw_Export!F2815)),"KES",""),",","")),0))</f>
        <v/>
      </c>
      <c r="H2815" s="38" t="str">
        <f aca="false">IF(Raw_Export!$A2815="","",F2815*G2815)</f>
        <v/>
      </c>
      <c r="I2815" s="36" t="str">
        <f aca="false">IF(Raw_Export!$A2815="","",IFERROR(VLOOKUP(LOWER(TRIM(Raw_Export!H2815)),Maps!$D$2:$E$12,2,FALSE()),"Other"))</f>
        <v/>
      </c>
      <c r="J2815" s="36" t="str">
        <f aca="false">IF(Raw_Export!$A2815="","",IF(COUNTIF($A$2:A2815,A2815)&gt;1,"Duplicate",""))</f>
        <v/>
      </c>
      <c r="K2815" s="36" t="str">
        <f aca="false">IF(Raw_Export!$A2815="","",IF(J2815="Duplicate","Duplicate",IF(OR(C2815="UNMAPPED",D2815="UNMAPPED"),"Unmapped",IF(F2815=0,"Blank qty",IF(F2815&lt;0,"Return","OK")))))</f>
        <v/>
      </c>
      <c r="L2815" s="36" t="str">
        <f aca="false">IF(Raw_Export!$A2815="","",IF(OR(K2815="OK",K2815="Return"),1,0))</f>
        <v/>
      </c>
      <c r="M2815" s="37" t="str">
        <f aca="false">IF(Raw_Export!$A2815="","",B2815-WEEKDAY(B2815,2)+1)</f>
        <v/>
      </c>
    </row>
    <row r="2816" customFormat="false" ht="15" hidden="false" customHeight="false" outlineLevel="0" collapsed="false">
      <c r="A2816" s="36" t="str">
        <f aca="false">IF(Raw_Export!$A2816="","",TRIM(Raw_Export!A2816))</f>
        <v/>
      </c>
      <c r="B2816" s="37" t="str">
        <f aca="false">IF(Raw_Export!$A2816="","",IF(ISNUMBER(Raw_Export!B2816),Raw_Export!B2816,IF(MID(TRIM(Raw_Export!B2816),5,1)="-",DATE(LEFT(TRIM(Raw_Export!B2816),4),MID(TRIM(Raw_Export!B2816),6,2),RIGHT(TRIM(Raw_Export!B2816),2)),DATE(RIGHT(TRIM(Raw_Export!B2816),4),MATCH(MID(TRIM(Raw_Export!B2816),4,3),{"Jan","Feb","Mar","Apr","May","Jun","Jul","Aug","Sep","Oct","Nov","Dec"},0),LEFT(TRIM(Raw_Export!B2816),2)))))</f>
        <v/>
      </c>
      <c r="C2816" s="36" t="str">
        <f aca="false">IF(Raw_Export!$A2816="","",IFERROR(VLOOKUP(LOWER(TRIM(Raw_Export!C2816)),Maps!$A$2:$B$20,2,FALSE()),"UNMAPPED"))</f>
        <v/>
      </c>
      <c r="D2816" s="36" t="str">
        <f aca="false">IF(Raw_Export!$A2816="","",IFERROR(VLOOKUP(LOWER(TRIM(Raw_Export!D2816)),Maps!$G$2:$I$80,2,FALSE()),"UNMAPPED"))</f>
        <v/>
      </c>
      <c r="E2816" s="36" t="str">
        <f aca="false">IF(Raw_Export!$A2816="","",IFERROR(VLOOKUP(LOWER(TRIM(Raw_Export!D2816)),Maps!$G$2:$I$80,3,FALSE()),"UNMAPPED"))</f>
        <v/>
      </c>
      <c r="F2816" s="36" t="str">
        <f aca="false">IF(Raw_Export!$A2816="","",IFERROR(VALUE(TRIM(Raw_Export!E2816)),0))</f>
        <v/>
      </c>
      <c r="G2816" s="38" t="str">
        <f aca="false">IF(Raw_Export!$A2816="","",IFERROR(VALUE(SUBSTITUTE(SUBSTITUTE(UPPER(TRIM(Raw_Export!F2816)),"KES",""),",","")),0))</f>
        <v/>
      </c>
      <c r="H2816" s="38" t="str">
        <f aca="false">IF(Raw_Export!$A2816="","",F2816*G2816)</f>
        <v/>
      </c>
      <c r="I2816" s="36" t="str">
        <f aca="false">IF(Raw_Export!$A2816="","",IFERROR(VLOOKUP(LOWER(TRIM(Raw_Export!H2816)),Maps!$D$2:$E$12,2,FALSE()),"Other"))</f>
        <v/>
      </c>
      <c r="J2816" s="36" t="str">
        <f aca="false">IF(Raw_Export!$A2816="","",IF(COUNTIF($A$2:A2816,A2816)&gt;1,"Duplicate",""))</f>
        <v/>
      </c>
      <c r="K2816" s="36" t="str">
        <f aca="false">IF(Raw_Export!$A2816="","",IF(J2816="Duplicate","Duplicate",IF(OR(C2816="UNMAPPED",D2816="UNMAPPED"),"Unmapped",IF(F2816=0,"Blank qty",IF(F2816&lt;0,"Return","OK")))))</f>
        <v/>
      </c>
      <c r="L2816" s="36" t="str">
        <f aca="false">IF(Raw_Export!$A2816="","",IF(OR(K2816="OK",K2816="Return"),1,0))</f>
        <v/>
      </c>
      <c r="M2816" s="37" t="str">
        <f aca="false">IF(Raw_Export!$A2816="","",B2816-WEEKDAY(B2816,2)+1)</f>
        <v/>
      </c>
    </row>
    <row r="2817" customFormat="false" ht="15" hidden="false" customHeight="false" outlineLevel="0" collapsed="false">
      <c r="A2817" s="36" t="str">
        <f aca="false">IF(Raw_Export!$A2817="","",TRIM(Raw_Export!A2817))</f>
        <v/>
      </c>
      <c r="B2817" s="37" t="str">
        <f aca="false">IF(Raw_Export!$A2817="","",IF(ISNUMBER(Raw_Export!B2817),Raw_Export!B2817,IF(MID(TRIM(Raw_Export!B2817),5,1)="-",DATE(LEFT(TRIM(Raw_Export!B2817),4),MID(TRIM(Raw_Export!B2817),6,2),RIGHT(TRIM(Raw_Export!B2817),2)),DATE(RIGHT(TRIM(Raw_Export!B2817),4),MATCH(MID(TRIM(Raw_Export!B2817),4,3),{"Jan","Feb","Mar","Apr","May","Jun","Jul","Aug","Sep","Oct","Nov","Dec"},0),LEFT(TRIM(Raw_Export!B2817),2)))))</f>
        <v/>
      </c>
      <c r="C2817" s="36" t="str">
        <f aca="false">IF(Raw_Export!$A2817="","",IFERROR(VLOOKUP(LOWER(TRIM(Raw_Export!C2817)),Maps!$A$2:$B$20,2,FALSE()),"UNMAPPED"))</f>
        <v/>
      </c>
      <c r="D2817" s="36" t="str">
        <f aca="false">IF(Raw_Export!$A2817="","",IFERROR(VLOOKUP(LOWER(TRIM(Raw_Export!D2817)),Maps!$G$2:$I$80,2,FALSE()),"UNMAPPED"))</f>
        <v/>
      </c>
      <c r="E2817" s="36" t="str">
        <f aca="false">IF(Raw_Export!$A2817="","",IFERROR(VLOOKUP(LOWER(TRIM(Raw_Export!D2817)),Maps!$G$2:$I$80,3,FALSE()),"UNMAPPED"))</f>
        <v/>
      </c>
      <c r="F2817" s="36" t="str">
        <f aca="false">IF(Raw_Export!$A2817="","",IFERROR(VALUE(TRIM(Raw_Export!E2817)),0))</f>
        <v/>
      </c>
      <c r="G2817" s="38" t="str">
        <f aca="false">IF(Raw_Export!$A2817="","",IFERROR(VALUE(SUBSTITUTE(SUBSTITUTE(UPPER(TRIM(Raw_Export!F2817)),"KES",""),",","")),0))</f>
        <v/>
      </c>
      <c r="H2817" s="38" t="str">
        <f aca="false">IF(Raw_Export!$A2817="","",F2817*G2817)</f>
        <v/>
      </c>
      <c r="I2817" s="36" t="str">
        <f aca="false">IF(Raw_Export!$A2817="","",IFERROR(VLOOKUP(LOWER(TRIM(Raw_Export!H2817)),Maps!$D$2:$E$12,2,FALSE()),"Other"))</f>
        <v/>
      </c>
      <c r="J2817" s="36" t="str">
        <f aca="false">IF(Raw_Export!$A2817="","",IF(COUNTIF($A$2:A2817,A2817)&gt;1,"Duplicate",""))</f>
        <v/>
      </c>
      <c r="K2817" s="36" t="str">
        <f aca="false">IF(Raw_Export!$A2817="","",IF(J2817="Duplicate","Duplicate",IF(OR(C2817="UNMAPPED",D2817="UNMAPPED"),"Unmapped",IF(F2817=0,"Blank qty",IF(F2817&lt;0,"Return","OK")))))</f>
        <v/>
      </c>
      <c r="L2817" s="36" t="str">
        <f aca="false">IF(Raw_Export!$A2817="","",IF(OR(K2817="OK",K2817="Return"),1,0))</f>
        <v/>
      </c>
      <c r="M2817" s="37" t="str">
        <f aca="false">IF(Raw_Export!$A2817="","",B2817-WEEKDAY(B2817,2)+1)</f>
        <v/>
      </c>
    </row>
    <row r="2818" customFormat="false" ht="15" hidden="false" customHeight="false" outlineLevel="0" collapsed="false">
      <c r="A2818" s="36" t="str">
        <f aca="false">IF(Raw_Export!$A2818="","",TRIM(Raw_Export!A2818))</f>
        <v/>
      </c>
      <c r="B2818" s="37" t="str">
        <f aca="false">IF(Raw_Export!$A2818="","",IF(ISNUMBER(Raw_Export!B2818),Raw_Export!B2818,IF(MID(TRIM(Raw_Export!B2818),5,1)="-",DATE(LEFT(TRIM(Raw_Export!B2818),4),MID(TRIM(Raw_Export!B2818),6,2),RIGHT(TRIM(Raw_Export!B2818),2)),DATE(RIGHT(TRIM(Raw_Export!B2818),4),MATCH(MID(TRIM(Raw_Export!B2818),4,3),{"Jan","Feb","Mar","Apr","May","Jun","Jul","Aug","Sep","Oct","Nov","Dec"},0),LEFT(TRIM(Raw_Export!B2818),2)))))</f>
        <v/>
      </c>
      <c r="C2818" s="36" t="str">
        <f aca="false">IF(Raw_Export!$A2818="","",IFERROR(VLOOKUP(LOWER(TRIM(Raw_Export!C2818)),Maps!$A$2:$B$20,2,FALSE()),"UNMAPPED"))</f>
        <v/>
      </c>
      <c r="D2818" s="36" t="str">
        <f aca="false">IF(Raw_Export!$A2818="","",IFERROR(VLOOKUP(LOWER(TRIM(Raw_Export!D2818)),Maps!$G$2:$I$80,2,FALSE()),"UNMAPPED"))</f>
        <v/>
      </c>
      <c r="E2818" s="36" t="str">
        <f aca="false">IF(Raw_Export!$A2818="","",IFERROR(VLOOKUP(LOWER(TRIM(Raw_Export!D2818)),Maps!$G$2:$I$80,3,FALSE()),"UNMAPPED"))</f>
        <v/>
      </c>
      <c r="F2818" s="36" t="str">
        <f aca="false">IF(Raw_Export!$A2818="","",IFERROR(VALUE(TRIM(Raw_Export!E2818)),0))</f>
        <v/>
      </c>
      <c r="G2818" s="38" t="str">
        <f aca="false">IF(Raw_Export!$A2818="","",IFERROR(VALUE(SUBSTITUTE(SUBSTITUTE(UPPER(TRIM(Raw_Export!F2818)),"KES",""),",","")),0))</f>
        <v/>
      </c>
      <c r="H2818" s="38" t="str">
        <f aca="false">IF(Raw_Export!$A2818="","",F2818*G2818)</f>
        <v/>
      </c>
      <c r="I2818" s="36" t="str">
        <f aca="false">IF(Raw_Export!$A2818="","",IFERROR(VLOOKUP(LOWER(TRIM(Raw_Export!H2818)),Maps!$D$2:$E$12,2,FALSE()),"Other"))</f>
        <v/>
      </c>
      <c r="J2818" s="36" t="str">
        <f aca="false">IF(Raw_Export!$A2818="","",IF(COUNTIF($A$2:A2818,A2818)&gt;1,"Duplicate",""))</f>
        <v/>
      </c>
      <c r="K2818" s="36" t="str">
        <f aca="false">IF(Raw_Export!$A2818="","",IF(J2818="Duplicate","Duplicate",IF(OR(C2818="UNMAPPED",D2818="UNMAPPED"),"Unmapped",IF(F2818=0,"Blank qty",IF(F2818&lt;0,"Return","OK")))))</f>
        <v/>
      </c>
      <c r="L2818" s="36" t="str">
        <f aca="false">IF(Raw_Export!$A2818="","",IF(OR(K2818="OK",K2818="Return"),1,0))</f>
        <v/>
      </c>
      <c r="M2818" s="37" t="str">
        <f aca="false">IF(Raw_Export!$A2818="","",B2818-WEEKDAY(B2818,2)+1)</f>
        <v/>
      </c>
    </row>
    <row r="2819" customFormat="false" ht="15" hidden="false" customHeight="false" outlineLevel="0" collapsed="false">
      <c r="A2819" s="36" t="str">
        <f aca="false">IF(Raw_Export!$A2819="","",TRIM(Raw_Export!A2819))</f>
        <v/>
      </c>
      <c r="B2819" s="37" t="str">
        <f aca="false">IF(Raw_Export!$A2819="","",IF(ISNUMBER(Raw_Export!B2819),Raw_Export!B2819,IF(MID(TRIM(Raw_Export!B2819),5,1)="-",DATE(LEFT(TRIM(Raw_Export!B2819),4),MID(TRIM(Raw_Export!B2819),6,2),RIGHT(TRIM(Raw_Export!B2819),2)),DATE(RIGHT(TRIM(Raw_Export!B2819),4),MATCH(MID(TRIM(Raw_Export!B2819),4,3),{"Jan","Feb","Mar","Apr","May","Jun","Jul","Aug","Sep","Oct","Nov","Dec"},0),LEFT(TRIM(Raw_Export!B2819),2)))))</f>
        <v/>
      </c>
      <c r="C2819" s="36" t="str">
        <f aca="false">IF(Raw_Export!$A2819="","",IFERROR(VLOOKUP(LOWER(TRIM(Raw_Export!C2819)),Maps!$A$2:$B$20,2,FALSE()),"UNMAPPED"))</f>
        <v/>
      </c>
      <c r="D2819" s="36" t="str">
        <f aca="false">IF(Raw_Export!$A2819="","",IFERROR(VLOOKUP(LOWER(TRIM(Raw_Export!D2819)),Maps!$G$2:$I$80,2,FALSE()),"UNMAPPED"))</f>
        <v/>
      </c>
      <c r="E2819" s="36" t="str">
        <f aca="false">IF(Raw_Export!$A2819="","",IFERROR(VLOOKUP(LOWER(TRIM(Raw_Export!D2819)),Maps!$G$2:$I$80,3,FALSE()),"UNMAPPED"))</f>
        <v/>
      </c>
      <c r="F2819" s="36" t="str">
        <f aca="false">IF(Raw_Export!$A2819="","",IFERROR(VALUE(TRIM(Raw_Export!E2819)),0))</f>
        <v/>
      </c>
      <c r="G2819" s="38" t="str">
        <f aca="false">IF(Raw_Export!$A2819="","",IFERROR(VALUE(SUBSTITUTE(SUBSTITUTE(UPPER(TRIM(Raw_Export!F2819)),"KES",""),",","")),0))</f>
        <v/>
      </c>
      <c r="H2819" s="38" t="str">
        <f aca="false">IF(Raw_Export!$A2819="","",F2819*G2819)</f>
        <v/>
      </c>
      <c r="I2819" s="36" t="str">
        <f aca="false">IF(Raw_Export!$A2819="","",IFERROR(VLOOKUP(LOWER(TRIM(Raw_Export!H2819)),Maps!$D$2:$E$12,2,FALSE()),"Other"))</f>
        <v/>
      </c>
      <c r="J2819" s="36" t="str">
        <f aca="false">IF(Raw_Export!$A2819="","",IF(COUNTIF($A$2:A2819,A2819)&gt;1,"Duplicate",""))</f>
        <v/>
      </c>
      <c r="K2819" s="36" t="str">
        <f aca="false">IF(Raw_Export!$A2819="","",IF(J2819="Duplicate","Duplicate",IF(OR(C2819="UNMAPPED",D2819="UNMAPPED"),"Unmapped",IF(F2819=0,"Blank qty",IF(F2819&lt;0,"Return","OK")))))</f>
        <v/>
      </c>
      <c r="L2819" s="36" t="str">
        <f aca="false">IF(Raw_Export!$A2819="","",IF(OR(K2819="OK",K2819="Return"),1,0))</f>
        <v/>
      </c>
      <c r="M2819" s="37" t="str">
        <f aca="false">IF(Raw_Export!$A2819="","",B2819-WEEKDAY(B2819,2)+1)</f>
        <v/>
      </c>
    </row>
    <row r="2820" customFormat="false" ht="15" hidden="false" customHeight="false" outlineLevel="0" collapsed="false">
      <c r="A2820" s="36" t="str">
        <f aca="false">IF(Raw_Export!$A2820="","",TRIM(Raw_Export!A2820))</f>
        <v/>
      </c>
      <c r="B2820" s="37" t="str">
        <f aca="false">IF(Raw_Export!$A2820="","",IF(ISNUMBER(Raw_Export!B2820),Raw_Export!B2820,IF(MID(TRIM(Raw_Export!B2820),5,1)="-",DATE(LEFT(TRIM(Raw_Export!B2820),4),MID(TRIM(Raw_Export!B2820),6,2),RIGHT(TRIM(Raw_Export!B2820),2)),DATE(RIGHT(TRIM(Raw_Export!B2820),4),MATCH(MID(TRIM(Raw_Export!B2820),4,3),{"Jan","Feb","Mar","Apr","May","Jun","Jul","Aug","Sep","Oct","Nov","Dec"},0),LEFT(TRIM(Raw_Export!B2820),2)))))</f>
        <v/>
      </c>
      <c r="C2820" s="36" t="str">
        <f aca="false">IF(Raw_Export!$A2820="","",IFERROR(VLOOKUP(LOWER(TRIM(Raw_Export!C2820)),Maps!$A$2:$B$20,2,FALSE()),"UNMAPPED"))</f>
        <v/>
      </c>
      <c r="D2820" s="36" t="str">
        <f aca="false">IF(Raw_Export!$A2820="","",IFERROR(VLOOKUP(LOWER(TRIM(Raw_Export!D2820)),Maps!$G$2:$I$80,2,FALSE()),"UNMAPPED"))</f>
        <v/>
      </c>
      <c r="E2820" s="36" t="str">
        <f aca="false">IF(Raw_Export!$A2820="","",IFERROR(VLOOKUP(LOWER(TRIM(Raw_Export!D2820)),Maps!$G$2:$I$80,3,FALSE()),"UNMAPPED"))</f>
        <v/>
      </c>
      <c r="F2820" s="36" t="str">
        <f aca="false">IF(Raw_Export!$A2820="","",IFERROR(VALUE(TRIM(Raw_Export!E2820)),0))</f>
        <v/>
      </c>
      <c r="G2820" s="38" t="str">
        <f aca="false">IF(Raw_Export!$A2820="","",IFERROR(VALUE(SUBSTITUTE(SUBSTITUTE(UPPER(TRIM(Raw_Export!F2820)),"KES",""),",","")),0))</f>
        <v/>
      </c>
      <c r="H2820" s="38" t="str">
        <f aca="false">IF(Raw_Export!$A2820="","",F2820*G2820)</f>
        <v/>
      </c>
      <c r="I2820" s="36" t="str">
        <f aca="false">IF(Raw_Export!$A2820="","",IFERROR(VLOOKUP(LOWER(TRIM(Raw_Export!H2820)),Maps!$D$2:$E$12,2,FALSE()),"Other"))</f>
        <v/>
      </c>
      <c r="J2820" s="36" t="str">
        <f aca="false">IF(Raw_Export!$A2820="","",IF(COUNTIF($A$2:A2820,A2820)&gt;1,"Duplicate",""))</f>
        <v/>
      </c>
      <c r="K2820" s="36" t="str">
        <f aca="false">IF(Raw_Export!$A2820="","",IF(J2820="Duplicate","Duplicate",IF(OR(C2820="UNMAPPED",D2820="UNMAPPED"),"Unmapped",IF(F2820=0,"Blank qty",IF(F2820&lt;0,"Return","OK")))))</f>
        <v/>
      </c>
      <c r="L2820" s="36" t="str">
        <f aca="false">IF(Raw_Export!$A2820="","",IF(OR(K2820="OK",K2820="Return"),1,0))</f>
        <v/>
      </c>
      <c r="M2820" s="37" t="str">
        <f aca="false">IF(Raw_Export!$A2820="","",B2820-WEEKDAY(B2820,2)+1)</f>
        <v/>
      </c>
    </row>
    <row r="2821" customFormat="false" ht="15" hidden="false" customHeight="false" outlineLevel="0" collapsed="false">
      <c r="A2821" s="36" t="str">
        <f aca="false">IF(Raw_Export!$A2821="","",TRIM(Raw_Export!A2821))</f>
        <v/>
      </c>
      <c r="B2821" s="37" t="str">
        <f aca="false">IF(Raw_Export!$A2821="","",IF(ISNUMBER(Raw_Export!B2821),Raw_Export!B2821,IF(MID(TRIM(Raw_Export!B2821),5,1)="-",DATE(LEFT(TRIM(Raw_Export!B2821),4),MID(TRIM(Raw_Export!B2821),6,2),RIGHT(TRIM(Raw_Export!B2821),2)),DATE(RIGHT(TRIM(Raw_Export!B2821),4),MATCH(MID(TRIM(Raw_Export!B2821),4,3),{"Jan","Feb","Mar","Apr","May","Jun","Jul","Aug","Sep","Oct","Nov","Dec"},0),LEFT(TRIM(Raw_Export!B2821),2)))))</f>
        <v/>
      </c>
      <c r="C2821" s="36" t="str">
        <f aca="false">IF(Raw_Export!$A2821="","",IFERROR(VLOOKUP(LOWER(TRIM(Raw_Export!C2821)),Maps!$A$2:$B$20,2,FALSE()),"UNMAPPED"))</f>
        <v/>
      </c>
      <c r="D2821" s="36" t="str">
        <f aca="false">IF(Raw_Export!$A2821="","",IFERROR(VLOOKUP(LOWER(TRIM(Raw_Export!D2821)),Maps!$G$2:$I$80,2,FALSE()),"UNMAPPED"))</f>
        <v/>
      </c>
      <c r="E2821" s="36" t="str">
        <f aca="false">IF(Raw_Export!$A2821="","",IFERROR(VLOOKUP(LOWER(TRIM(Raw_Export!D2821)),Maps!$G$2:$I$80,3,FALSE()),"UNMAPPED"))</f>
        <v/>
      </c>
      <c r="F2821" s="36" t="str">
        <f aca="false">IF(Raw_Export!$A2821="","",IFERROR(VALUE(TRIM(Raw_Export!E2821)),0))</f>
        <v/>
      </c>
      <c r="G2821" s="38" t="str">
        <f aca="false">IF(Raw_Export!$A2821="","",IFERROR(VALUE(SUBSTITUTE(SUBSTITUTE(UPPER(TRIM(Raw_Export!F2821)),"KES",""),",","")),0))</f>
        <v/>
      </c>
      <c r="H2821" s="38" t="str">
        <f aca="false">IF(Raw_Export!$A2821="","",F2821*G2821)</f>
        <v/>
      </c>
      <c r="I2821" s="36" t="str">
        <f aca="false">IF(Raw_Export!$A2821="","",IFERROR(VLOOKUP(LOWER(TRIM(Raw_Export!H2821)),Maps!$D$2:$E$12,2,FALSE()),"Other"))</f>
        <v/>
      </c>
      <c r="J2821" s="36" t="str">
        <f aca="false">IF(Raw_Export!$A2821="","",IF(COUNTIF($A$2:A2821,A2821)&gt;1,"Duplicate",""))</f>
        <v/>
      </c>
      <c r="K2821" s="36" t="str">
        <f aca="false">IF(Raw_Export!$A2821="","",IF(J2821="Duplicate","Duplicate",IF(OR(C2821="UNMAPPED",D2821="UNMAPPED"),"Unmapped",IF(F2821=0,"Blank qty",IF(F2821&lt;0,"Return","OK")))))</f>
        <v/>
      </c>
      <c r="L2821" s="36" t="str">
        <f aca="false">IF(Raw_Export!$A2821="","",IF(OR(K2821="OK",K2821="Return"),1,0))</f>
        <v/>
      </c>
      <c r="M2821" s="37" t="str">
        <f aca="false">IF(Raw_Export!$A2821="","",B2821-WEEKDAY(B2821,2)+1)</f>
        <v/>
      </c>
    </row>
    <row r="2822" customFormat="false" ht="15" hidden="false" customHeight="false" outlineLevel="0" collapsed="false">
      <c r="A2822" s="36" t="str">
        <f aca="false">IF(Raw_Export!$A2822="","",TRIM(Raw_Export!A2822))</f>
        <v/>
      </c>
      <c r="B2822" s="37" t="str">
        <f aca="false">IF(Raw_Export!$A2822="","",IF(ISNUMBER(Raw_Export!B2822),Raw_Export!B2822,IF(MID(TRIM(Raw_Export!B2822),5,1)="-",DATE(LEFT(TRIM(Raw_Export!B2822),4),MID(TRIM(Raw_Export!B2822),6,2),RIGHT(TRIM(Raw_Export!B2822),2)),DATE(RIGHT(TRIM(Raw_Export!B2822),4),MATCH(MID(TRIM(Raw_Export!B2822),4,3),{"Jan","Feb","Mar","Apr","May","Jun","Jul","Aug","Sep","Oct","Nov","Dec"},0),LEFT(TRIM(Raw_Export!B2822),2)))))</f>
        <v/>
      </c>
      <c r="C2822" s="36" t="str">
        <f aca="false">IF(Raw_Export!$A2822="","",IFERROR(VLOOKUP(LOWER(TRIM(Raw_Export!C2822)),Maps!$A$2:$B$20,2,FALSE()),"UNMAPPED"))</f>
        <v/>
      </c>
      <c r="D2822" s="36" t="str">
        <f aca="false">IF(Raw_Export!$A2822="","",IFERROR(VLOOKUP(LOWER(TRIM(Raw_Export!D2822)),Maps!$G$2:$I$80,2,FALSE()),"UNMAPPED"))</f>
        <v/>
      </c>
      <c r="E2822" s="36" t="str">
        <f aca="false">IF(Raw_Export!$A2822="","",IFERROR(VLOOKUP(LOWER(TRIM(Raw_Export!D2822)),Maps!$G$2:$I$80,3,FALSE()),"UNMAPPED"))</f>
        <v/>
      </c>
      <c r="F2822" s="36" t="str">
        <f aca="false">IF(Raw_Export!$A2822="","",IFERROR(VALUE(TRIM(Raw_Export!E2822)),0))</f>
        <v/>
      </c>
      <c r="G2822" s="38" t="str">
        <f aca="false">IF(Raw_Export!$A2822="","",IFERROR(VALUE(SUBSTITUTE(SUBSTITUTE(UPPER(TRIM(Raw_Export!F2822)),"KES",""),",","")),0))</f>
        <v/>
      </c>
      <c r="H2822" s="38" t="str">
        <f aca="false">IF(Raw_Export!$A2822="","",F2822*G2822)</f>
        <v/>
      </c>
      <c r="I2822" s="36" t="str">
        <f aca="false">IF(Raw_Export!$A2822="","",IFERROR(VLOOKUP(LOWER(TRIM(Raw_Export!H2822)),Maps!$D$2:$E$12,2,FALSE()),"Other"))</f>
        <v/>
      </c>
      <c r="J2822" s="36" t="str">
        <f aca="false">IF(Raw_Export!$A2822="","",IF(COUNTIF($A$2:A2822,A2822)&gt;1,"Duplicate",""))</f>
        <v/>
      </c>
      <c r="K2822" s="36" t="str">
        <f aca="false">IF(Raw_Export!$A2822="","",IF(J2822="Duplicate","Duplicate",IF(OR(C2822="UNMAPPED",D2822="UNMAPPED"),"Unmapped",IF(F2822=0,"Blank qty",IF(F2822&lt;0,"Return","OK")))))</f>
        <v/>
      </c>
      <c r="L2822" s="36" t="str">
        <f aca="false">IF(Raw_Export!$A2822="","",IF(OR(K2822="OK",K2822="Return"),1,0))</f>
        <v/>
      </c>
      <c r="M2822" s="37" t="str">
        <f aca="false">IF(Raw_Export!$A2822="","",B2822-WEEKDAY(B2822,2)+1)</f>
        <v/>
      </c>
    </row>
    <row r="2823" customFormat="false" ht="15" hidden="false" customHeight="false" outlineLevel="0" collapsed="false">
      <c r="A2823" s="36" t="str">
        <f aca="false">IF(Raw_Export!$A2823="","",TRIM(Raw_Export!A2823))</f>
        <v/>
      </c>
      <c r="B2823" s="37" t="str">
        <f aca="false">IF(Raw_Export!$A2823="","",IF(ISNUMBER(Raw_Export!B2823),Raw_Export!B2823,IF(MID(TRIM(Raw_Export!B2823),5,1)="-",DATE(LEFT(TRIM(Raw_Export!B2823),4),MID(TRIM(Raw_Export!B2823),6,2),RIGHT(TRIM(Raw_Export!B2823),2)),DATE(RIGHT(TRIM(Raw_Export!B2823),4),MATCH(MID(TRIM(Raw_Export!B2823),4,3),{"Jan","Feb","Mar","Apr","May","Jun","Jul","Aug","Sep","Oct","Nov","Dec"},0),LEFT(TRIM(Raw_Export!B2823),2)))))</f>
        <v/>
      </c>
      <c r="C2823" s="36" t="str">
        <f aca="false">IF(Raw_Export!$A2823="","",IFERROR(VLOOKUP(LOWER(TRIM(Raw_Export!C2823)),Maps!$A$2:$B$20,2,FALSE()),"UNMAPPED"))</f>
        <v/>
      </c>
      <c r="D2823" s="36" t="str">
        <f aca="false">IF(Raw_Export!$A2823="","",IFERROR(VLOOKUP(LOWER(TRIM(Raw_Export!D2823)),Maps!$G$2:$I$80,2,FALSE()),"UNMAPPED"))</f>
        <v/>
      </c>
      <c r="E2823" s="36" t="str">
        <f aca="false">IF(Raw_Export!$A2823="","",IFERROR(VLOOKUP(LOWER(TRIM(Raw_Export!D2823)),Maps!$G$2:$I$80,3,FALSE()),"UNMAPPED"))</f>
        <v/>
      </c>
      <c r="F2823" s="36" t="str">
        <f aca="false">IF(Raw_Export!$A2823="","",IFERROR(VALUE(TRIM(Raw_Export!E2823)),0))</f>
        <v/>
      </c>
      <c r="G2823" s="38" t="str">
        <f aca="false">IF(Raw_Export!$A2823="","",IFERROR(VALUE(SUBSTITUTE(SUBSTITUTE(UPPER(TRIM(Raw_Export!F2823)),"KES",""),",","")),0))</f>
        <v/>
      </c>
      <c r="H2823" s="38" t="str">
        <f aca="false">IF(Raw_Export!$A2823="","",F2823*G2823)</f>
        <v/>
      </c>
      <c r="I2823" s="36" t="str">
        <f aca="false">IF(Raw_Export!$A2823="","",IFERROR(VLOOKUP(LOWER(TRIM(Raw_Export!H2823)),Maps!$D$2:$E$12,2,FALSE()),"Other"))</f>
        <v/>
      </c>
      <c r="J2823" s="36" t="str">
        <f aca="false">IF(Raw_Export!$A2823="","",IF(COUNTIF($A$2:A2823,A2823)&gt;1,"Duplicate",""))</f>
        <v/>
      </c>
      <c r="K2823" s="36" t="str">
        <f aca="false">IF(Raw_Export!$A2823="","",IF(J2823="Duplicate","Duplicate",IF(OR(C2823="UNMAPPED",D2823="UNMAPPED"),"Unmapped",IF(F2823=0,"Blank qty",IF(F2823&lt;0,"Return","OK")))))</f>
        <v/>
      </c>
      <c r="L2823" s="36" t="str">
        <f aca="false">IF(Raw_Export!$A2823="","",IF(OR(K2823="OK",K2823="Return"),1,0))</f>
        <v/>
      </c>
      <c r="M2823" s="37" t="str">
        <f aca="false">IF(Raw_Export!$A2823="","",B2823-WEEKDAY(B2823,2)+1)</f>
        <v/>
      </c>
    </row>
    <row r="2824" customFormat="false" ht="15" hidden="false" customHeight="false" outlineLevel="0" collapsed="false">
      <c r="A2824" s="36" t="str">
        <f aca="false">IF(Raw_Export!$A2824="","",TRIM(Raw_Export!A2824))</f>
        <v/>
      </c>
      <c r="B2824" s="37" t="str">
        <f aca="false">IF(Raw_Export!$A2824="","",IF(ISNUMBER(Raw_Export!B2824),Raw_Export!B2824,IF(MID(TRIM(Raw_Export!B2824),5,1)="-",DATE(LEFT(TRIM(Raw_Export!B2824),4),MID(TRIM(Raw_Export!B2824),6,2),RIGHT(TRIM(Raw_Export!B2824),2)),DATE(RIGHT(TRIM(Raw_Export!B2824),4),MATCH(MID(TRIM(Raw_Export!B2824),4,3),{"Jan","Feb","Mar","Apr","May","Jun","Jul","Aug","Sep","Oct","Nov","Dec"},0),LEFT(TRIM(Raw_Export!B2824),2)))))</f>
        <v/>
      </c>
      <c r="C2824" s="36" t="str">
        <f aca="false">IF(Raw_Export!$A2824="","",IFERROR(VLOOKUP(LOWER(TRIM(Raw_Export!C2824)),Maps!$A$2:$B$20,2,FALSE()),"UNMAPPED"))</f>
        <v/>
      </c>
      <c r="D2824" s="36" t="str">
        <f aca="false">IF(Raw_Export!$A2824="","",IFERROR(VLOOKUP(LOWER(TRIM(Raw_Export!D2824)),Maps!$G$2:$I$80,2,FALSE()),"UNMAPPED"))</f>
        <v/>
      </c>
      <c r="E2824" s="36" t="str">
        <f aca="false">IF(Raw_Export!$A2824="","",IFERROR(VLOOKUP(LOWER(TRIM(Raw_Export!D2824)),Maps!$G$2:$I$80,3,FALSE()),"UNMAPPED"))</f>
        <v/>
      </c>
      <c r="F2824" s="36" t="str">
        <f aca="false">IF(Raw_Export!$A2824="","",IFERROR(VALUE(TRIM(Raw_Export!E2824)),0))</f>
        <v/>
      </c>
      <c r="G2824" s="38" t="str">
        <f aca="false">IF(Raw_Export!$A2824="","",IFERROR(VALUE(SUBSTITUTE(SUBSTITUTE(UPPER(TRIM(Raw_Export!F2824)),"KES",""),",","")),0))</f>
        <v/>
      </c>
      <c r="H2824" s="38" t="str">
        <f aca="false">IF(Raw_Export!$A2824="","",F2824*G2824)</f>
        <v/>
      </c>
      <c r="I2824" s="36" t="str">
        <f aca="false">IF(Raw_Export!$A2824="","",IFERROR(VLOOKUP(LOWER(TRIM(Raw_Export!H2824)),Maps!$D$2:$E$12,2,FALSE()),"Other"))</f>
        <v/>
      </c>
      <c r="J2824" s="36" t="str">
        <f aca="false">IF(Raw_Export!$A2824="","",IF(COUNTIF($A$2:A2824,A2824)&gt;1,"Duplicate",""))</f>
        <v/>
      </c>
      <c r="K2824" s="36" t="str">
        <f aca="false">IF(Raw_Export!$A2824="","",IF(J2824="Duplicate","Duplicate",IF(OR(C2824="UNMAPPED",D2824="UNMAPPED"),"Unmapped",IF(F2824=0,"Blank qty",IF(F2824&lt;0,"Return","OK")))))</f>
        <v/>
      </c>
      <c r="L2824" s="36" t="str">
        <f aca="false">IF(Raw_Export!$A2824="","",IF(OR(K2824="OK",K2824="Return"),1,0))</f>
        <v/>
      </c>
      <c r="M2824" s="37" t="str">
        <f aca="false">IF(Raw_Export!$A2824="","",B2824-WEEKDAY(B2824,2)+1)</f>
        <v/>
      </c>
    </row>
    <row r="2825" customFormat="false" ht="15" hidden="false" customHeight="false" outlineLevel="0" collapsed="false">
      <c r="A2825" s="36" t="str">
        <f aca="false">IF(Raw_Export!$A2825="","",TRIM(Raw_Export!A2825))</f>
        <v/>
      </c>
      <c r="B2825" s="37" t="str">
        <f aca="false">IF(Raw_Export!$A2825="","",IF(ISNUMBER(Raw_Export!B2825),Raw_Export!B2825,IF(MID(TRIM(Raw_Export!B2825),5,1)="-",DATE(LEFT(TRIM(Raw_Export!B2825),4),MID(TRIM(Raw_Export!B2825),6,2),RIGHT(TRIM(Raw_Export!B2825),2)),DATE(RIGHT(TRIM(Raw_Export!B2825),4),MATCH(MID(TRIM(Raw_Export!B2825),4,3),{"Jan","Feb","Mar","Apr","May","Jun","Jul","Aug","Sep","Oct","Nov","Dec"},0),LEFT(TRIM(Raw_Export!B2825),2)))))</f>
        <v/>
      </c>
      <c r="C2825" s="36" t="str">
        <f aca="false">IF(Raw_Export!$A2825="","",IFERROR(VLOOKUP(LOWER(TRIM(Raw_Export!C2825)),Maps!$A$2:$B$20,2,FALSE()),"UNMAPPED"))</f>
        <v/>
      </c>
      <c r="D2825" s="36" t="str">
        <f aca="false">IF(Raw_Export!$A2825="","",IFERROR(VLOOKUP(LOWER(TRIM(Raw_Export!D2825)),Maps!$G$2:$I$80,2,FALSE()),"UNMAPPED"))</f>
        <v/>
      </c>
      <c r="E2825" s="36" t="str">
        <f aca="false">IF(Raw_Export!$A2825="","",IFERROR(VLOOKUP(LOWER(TRIM(Raw_Export!D2825)),Maps!$G$2:$I$80,3,FALSE()),"UNMAPPED"))</f>
        <v/>
      </c>
      <c r="F2825" s="36" t="str">
        <f aca="false">IF(Raw_Export!$A2825="","",IFERROR(VALUE(TRIM(Raw_Export!E2825)),0))</f>
        <v/>
      </c>
      <c r="G2825" s="38" t="str">
        <f aca="false">IF(Raw_Export!$A2825="","",IFERROR(VALUE(SUBSTITUTE(SUBSTITUTE(UPPER(TRIM(Raw_Export!F2825)),"KES",""),",","")),0))</f>
        <v/>
      </c>
      <c r="H2825" s="38" t="str">
        <f aca="false">IF(Raw_Export!$A2825="","",F2825*G2825)</f>
        <v/>
      </c>
      <c r="I2825" s="36" t="str">
        <f aca="false">IF(Raw_Export!$A2825="","",IFERROR(VLOOKUP(LOWER(TRIM(Raw_Export!H2825)),Maps!$D$2:$E$12,2,FALSE()),"Other"))</f>
        <v/>
      </c>
      <c r="J2825" s="36" t="str">
        <f aca="false">IF(Raw_Export!$A2825="","",IF(COUNTIF($A$2:A2825,A2825)&gt;1,"Duplicate",""))</f>
        <v/>
      </c>
      <c r="K2825" s="36" t="str">
        <f aca="false">IF(Raw_Export!$A2825="","",IF(J2825="Duplicate","Duplicate",IF(OR(C2825="UNMAPPED",D2825="UNMAPPED"),"Unmapped",IF(F2825=0,"Blank qty",IF(F2825&lt;0,"Return","OK")))))</f>
        <v/>
      </c>
      <c r="L2825" s="36" t="str">
        <f aca="false">IF(Raw_Export!$A2825="","",IF(OR(K2825="OK",K2825="Return"),1,0))</f>
        <v/>
      </c>
      <c r="M2825" s="37" t="str">
        <f aca="false">IF(Raw_Export!$A2825="","",B2825-WEEKDAY(B2825,2)+1)</f>
        <v/>
      </c>
    </row>
    <row r="2826" customFormat="false" ht="15" hidden="false" customHeight="false" outlineLevel="0" collapsed="false">
      <c r="A2826" s="36" t="str">
        <f aca="false">IF(Raw_Export!$A2826="","",TRIM(Raw_Export!A2826))</f>
        <v/>
      </c>
      <c r="B2826" s="37" t="str">
        <f aca="false">IF(Raw_Export!$A2826="","",IF(ISNUMBER(Raw_Export!B2826),Raw_Export!B2826,IF(MID(TRIM(Raw_Export!B2826),5,1)="-",DATE(LEFT(TRIM(Raw_Export!B2826),4),MID(TRIM(Raw_Export!B2826),6,2),RIGHT(TRIM(Raw_Export!B2826),2)),DATE(RIGHT(TRIM(Raw_Export!B2826),4),MATCH(MID(TRIM(Raw_Export!B2826),4,3),{"Jan","Feb","Mar","Apr","May","Jun","Jul","Aug","Sep","Oct","Nov","Dec"},0),LEFT(TRIM(Raw_Export!B2826),2)))))</f>
        <v/>
      </c>
      <c r="C2826" s="36" t="str">
        <f aca="false">IF(Raw_Export!$A2826="","",IFERROR(VLOOKUP(LOWER(TRIM(Raw_Export!C2826)),Maps!$A$2:$B$20,2,FALSE()),"UNMAPPED"))</f>
        <v/>
      </c>
      <c r="D2826" s="36" t="str">
        <f aca="false">IF(Raw_Export!$A2826="","",IFERROR(VLOOKUP(LOWER(TRIM(Raw_Export!D2826)),Maps!$G$2:$I$80,2,FALSE()),"UNMAPPED"))</f>
        <v/>
      </c>
      <c r="E2826" s="36" t="str">
        <f aca="false">IF(Raw_Export!$A2826="","",IFERROR(VLOOKUP(LOWER(TRIM(Raw_Export!D2826)),Maps!$G$2:$I$80,3,FALSE()),"UNMAPPED"))</f>
        <v/>
      </c>
      <c r="F2826" s="36" t="str">
        <f aca="false">IF(Raw_Export!$A2826="","",IFERROR(VALUE(TRIM(Raw_Export!E2826)),0))</f>
        <v/>
      </c>
      <c r="G2826" s="38" t="str">
        <f aca="false">IF(Raw_Export!$A2826="","",IFERROR(VALUE(SUBSTITUTE(SUBSTITUTE(UPPER(TRIM(Raw_Export!F2826)),"KES",""),",","")),0))</f>
        <v/>
      </c>
      <c r="H2826" s="38" t="str">
        <f aca="false">IF(Raw_Export!$A2826="","",F2826*G2826)</f>
        <v/>
      </c>
      <c r="I2826" s="36" t="str">
        <f aca="false">IF(Raw_Export!$A2826="","",IFERROR(VLOOKUP(LOWER(TRIM(Raw_Export!H2826)),Maps!$D$2:$E$12,2,FALSE()),"Other"))</f>
        <v/>
      </c>
      <c r="J2826" s="36" t="str">
        <f aca="false">IF(Raw_Export!$A2826="","",IF(COUNTIF($A$2:A2826,A2826)&gt;1,"Duplicate",""))</f>
        <v/>
      </c>
      <c r="K2826" s="36" t="str">
        <f aca="false">IF(Raw_Export!$A2826="","",IF(J2826="Duplicate","Duplicate",IF(OR(C2826="UNMAPPED",D2826="UNMAPPED"),"Unmapped",IF(F2826=0,"Blank qty",IF(F2826&lt;0,"Return","OK")))))</f>
        <v/>
      </c>
      <c r="L2826" s="36" t="str">
        <f aca="false">IF(Raw_Export!$A2826="","",IF(OR(K2826="OK",K2826="Return"),1,0))</f>
        <v/>
      </c>
      <c r="M2826" s="37" t="str">
        <f aca="false">IF(Raw_Export!$A2826="","",B2826-WEEKDAY(B2826,2)+1)</f>
        <v/>
      </c>
    </row>
    <row r="2827" customFormat="false" ht="15" hidden="false" customHeight="false" outlineLevel="0" collapsed="false">
      <c r="A2827" s="36" t="str">
        <f aca="false">IF(Raw_Export!$A2827="","",TRIM(Raw_Export!A2827))</f>
        <v/>
      </c>
      <c r="B2827" s="37" t="str">
        <f aca="false">IF(Raw_Export!$A2827="","",IF(ISNUMBER(Raw_Export!B2827),Raw_Export!B2827,IF(MID(TRIM(Raw_Export!B2827),5,1)="-",DATE(LEFT(TRIM(Raw_Export!B2827),4),MID(TRIM(Raw_Export!B2827),6,2),RIGHT(TRIM(Raw_Export!B2827),2)),DATE(RIGHT(TRIM(Raw_Export!B2827),4),MATCH(MID(TRIM(Raw_Export!B2827),4,3),{"Jan","Feb","Mar","Apr","May","Jun","Jul","Aug","Sep","Oct","Nov","Dec"},0),LEFT(TRIM(Raw_Export!B2827),2)))))</f>
        <v/>
      </c>
      <c r="C2827" s="36" t="str">
        <f aca="false">IF(Raw_Export!$A2827="","",IFERROR(VLOOKUP(LOWER(TRIM(Raw_Export!C2827)),Maps!$A$2:$B$20,2,FALSE()),"UNMAPPED"))</f>
        <v/>
      </c>
      <c r="D2827" s="36" t="str">
        <f aca="false">IF(Raw_Export!$A2827="","",IFERROR(VLOOKUP(LOWER(TRIM(Raw_Export!D2827)),Maps!$G$2:$I$80,2,FALSE()),"UNMAPPED"))</f>
        <v/>
      </c>
      <c r="E2827" s="36" t="str">
        <f aca="false">IF(Raw_Export!$A2827="","",IFERROR(VLOOKUP(LOWER(TRIM(Raw_Export!D2827)),Maps!$G$2:$I$80,3,FALSE()),"UNMAPPED"))</f>
        <v/>
      </c>
      <c r="F2827" s="36" t="str">
        <f aca="false">IF(Raw_Export!$A2827="","",IFERROR(VALUE(TRIM(Raw_Export!E2827)),0))</f>
        <v/>
      </c>
      <c r="G2827" s="38" t="str">
        <f aca="false">IF(Raw_Export!$A2827="","",IFERROR(VALUE(SUBSTITUTE(SUBSTITUTE(UPPER(TRIM(Raw_Export!F2827)),"KES",""),",","")),0))</f>
        <v/>
      </c>
      <c r="H2827" s="38" t="str">
        <f aca="false">IF(Raw_Export!$A2827="","",F2827*G2827)</f>
        <v/>
      </c>
      <c r="I2827" s="36" t="str">
        <f aca="false">IF(Raw_Export!$A2827="","",IFERROR(VLOOKUP(LOWER(TRIM(Raw_Export!H2827)),Maps!$D$2:$E$12,2,FALSE()),"Other"))</f>
        <v/>
      </c>
      <c r="J2827" s="36" t="str">
        <f aca="false">IF(Raw_Export!$A2827="","",IF(COUNTIF($A$2:A2827,A2827)&gt;1,"Duplicate",""))</f>
        <v/>
      </c>
      <c r="K2827" s="36" t="str">
        <f aca="false">IF(Raw_Export!$A2827="","",IF(J2827="Duplicate","Duplicate",IF(OR(C2827="UNMAPPED",D2827="UNMAPPED"),"Unmapped",IF(F2827=0,"Blank qty",IF(F2827&lt;0,"Return","OK")))))</f>
        <v/>
      </c>
      <c r="L2827" s="36" t="str">
        <f aca="false">IF(Raw_Export!$A2827="","",IF(OR(K2827="OK",K2827="Return"),1,0))</f>
        <v/>
      </c>
      <c r="M2827" s="37" t="str">
        <f aca="false">IF(Raw_Export!$A2827="","",B2827-WEEKDAY(B2827,2)+1)</f>
        <v/>
      </c>
    </row>
    <row r="2828" customFormat="false" ht="15" hidden="false" customHeight="false" outlineLevel="0" collapsed="false">
      <c r="A2828" s="36" t="str">
        <f aca="false">IF(Raw_Export!$A2828="","",TRIM(Raw_Export!A2828))</f>
        <v/>
      </c>
      <c r="B2828" s="37" t="str">
        <f aca="false">IF(Raw_Export!$A2828="","",IF(ISNUMBER(Raw_Export!B2828),Raw_Export!B2828,IF(MID(TRIM(Raw_Export!B2828),5,1)="-",DATE(LEFT(TRIM(Raw_Export!B2828),4),MID(TRIM(Raw_Export!B2828),6,2),RIGHT(TRIM(Raw_Export!B2828),2)),DATE(RIGHT(TRIM(Raw_Export!B2828),4),MATCH(MID(TRIM(Raw_Export!B2828),4,3),{"Jan","Feb","Mar","Apr","May","Jun","Jul","Aug","Sep","Oct","Nov","Dec"},0),LEFT(TRIM(Raw_Export!B2828),2)))))</f>
        <v/>
      </c>
      <c r="C2828" s="36" t="str">
        <f aca="false">IF(Raw_Export!$A2828="","",IFERROR(VLOOKUP(LOWER(TRIM(Raw_Export!C2828)),Maps!$A$2:$B$20,2,FALSE()),"UNMAPPED"))</f>
        <v/>
      </c>
      <c r="D2828" s="36" t="str">
        <f aca="false">IF(Raw_Export!$A2828="","",IFERROR(VLOOKUP(LOWER(TRIM(Raw_Export!D2828)),Maps!$G$2:$I$80,2,FALSE()),"UNMAPPED"))</f>
        <v/>
      </c>
      <c r="E2828" s="36" t="str">
        <f aca="false">IF(Raw_Export!$A2828="","",IFERROR(VLOOKUP(LOWER(TRIM(Raw_Export!D2828)),Maps!$G$2:$I$80,3,FALSE()),"UNMAPPED"))</f>
        <v/>
      </c>
      <c r="F2828" s="36" t="str">
        <f aca="false">IF(Raw_Export!$A2828="","",IFERROR(VALUE(TRIM(Raw_Export!E2828)),0))</f>
        <v/>
      </c>
      <c r="G2828" s="38" t="str">
        <f aca="false">IF(Raw_Export!$A2828="","",IFERROR(VALUE(SUBSTITUTE(SUBSTITUTE(UPPER(TRIM(Raw_Export!F2828)),"KES",""),",","")),0))</f>
        <v/>
      </c>
      <c r="H2828" s="38" t="str">
        <f aca="false">IF(Raw_Export!$A2828="","",F2828*G2828)</f>
        <v/>
      </c>
      <c r="I2828" s="36" t="str">
        <f aca="false">IF(Raw_Export!$A2828="","",IFERROR(VLOOKUP(LOWER(TRIM(Raw_Export!H2828)),Maps!$D$2:$E$12,2,FALSE()),"Other"))</f>
        <v/>
      </c>
      <c r="J2828" s="36" t="str">
        <f aca="false">IF(Raw_Export!$A2828="","",IF(COUNTIF($A$2:A2828,A2828)&gt;1,"Duplicate",""))</f>
        <v/>
      </c>
      <c r="K2828" s="36" t="str">
        <f aca="false">IF(Raw_Export!$A2828="","",IF(J2828="Duplicate","Duplicate",IF(OR(C2828="UNMAPPED",D2828="UNMAPPED"),"Unmapped",IF(F2828=0,"Blank qty",IF(F2828&lt;0,"Return","OK")))))</f>
        <v/>
      </c>
      <c r="L2828" s="36" t="str">
        <f aca="false">IF(Raw_Export!$A2828="","",IF(OR(K2828="OK",K2828="Return"),1,0))</f>
        <v/>
      </c>
      <c r="M2828" s="37" t="str">
        <f aca="false">IF(Raw_Export!$A2828="","",B2828-WEEKDAY(B2828,2)+1)</f>
        <v/>
      </c>
    </row>
    <row r="2829" customFormat="false" ht="15" hidden="false" customHeight="false" outlineLevel="0" collapsed="false">
      <c r="A2829" s="36" t="str">
        <f aca="false">IF(Raw_Export!$A2829="","",TRIM(Raw_Export!A2829))</f>
        <v/>
      </c>
      <c r="B2829" s="37" t="str">
        <f aca="false">IF(Raw_Export!$A2829="","",IF(ISNUMBER(Raw_Export!B2829),Raw_Export!B2829,IF(MID(TRIM(Raw_Export!B2829),5,1)="-",DATE(LEFT(TRIM(Raw_Export!B2829),4),MID(TRIM(Raw_Export!B2829),6,2),RIGHT(TRIM(Raw_Export!B2829),2)),DATE(RIGHT(TRIM(Raw_Export!B2829),4),MATCH(MID(TRIM(Raw_Export!B2829),4,3),{"Jan","Feb","Mar","Apr","May","Jun","Jul","Aug","Sep","Oct","Nov","Dec"},0),LEFT(TRIM(Raw_Export!B2829),2)))))</f>
        <v/>
      </c>
      <c r="C2829" s="36" t="str">
        <f aca="false">IF(Raw_Export!$A2829="","",IFERROR(VLOOKUP(LOWER(TRIM(Raw_Export!C2829)),Maps!$A$2:$B$20,2,FALSE()),"UNMAPPED"))</f>
        <v/>
      </c>
      <c r="D2829" s="36" t="str">
        <f aca="false">IF(Raw_Export!$A2829="","",IFERROR(VLOOKUP(LOWER(TRIM(Raw_Export!D2829)),Maps!$G$2:$I$80,2,FALSE()),"UNMAPPED"))</f>
        <v/>
      </c>
      <c r="E2829" s="36" t="str">
        <f aca="false">IF(Raw_Export!$A2829="","",IFERROR(VLOOKUP(LOWER(TRIM(Raw_Export!D2829)),Maps!$G$2:$I$80,3,FALSE()),"UNMAPPED"))</f>
        <v/>
      </c>
      <c r="F2829" s="36" t="str">
        <f aca="false">IF(Raw_Export!$A2829="","",IFERROR(VALUE(TRIM(Raw_Export!E2829)),0))</f>
        <v/>
      </c>
      <c r="G2829" s="38" t="str">
        <f aca="false">IF(Raw_Export!$A2829="","",IFERROR(VALUE(SUBSTITUTE(SUBSTITUTE(UPPER(TRIM(Raw_Export!F2829)),"KES",""),",","")),0))</f>
        <v/>
      </c>
      <c r="H2829" s="38" t="str">
        <f aca="false">IF(Raw_Export!$A2829="","",F2829*G2829)</f>
        <v/>
      </c>
      <c r="I2829" s="36" t="str">
        <f aca="false">IF(Raw_Export!$A2829="","",IFERROR(VLOOKUP(LOWER(TRIM(Raw_Export!H2829)),Maps!$D$2:$E$12,2,FALSE()),"Other"))</f>
        <v/>
      </c>
      <c r="J2829" s="36" t="str">
        <f aca="false">IF(Raw_Export!$A2829="","",IF(COUNTIF($A$2:A2829,A2829)&gt;1,"Duplicate",""))</f>
        <v/>
      </c>
      <c r="K2829" s="36" t="str">
        <f aca="false">IF(Raw_Export!$A2829="","",IF(J2829="Duplicate","Duplicate",IF(OR(C2829="UNMAPPED",D2829="UNMAPPED"),"Unmapped",IF(F2829=0,"Blank qty",IF(F2829&lt;0,"Return","OK")))))</f>
        <v/>
      </c>
      <c r="L2829" s="36" t="str">
        <f aca="false">IF(Raw_Export!$A2829="","",IF(OR(K2829="OK",K2829="Return"),1,0))</f>
        <v/>
      </c>
      <c r="M2829" s="37" t="str">
        <f aca="false">IF(Raw_Export!$A2829="","",B2829-WEEKDAY(B2829,2)+1)</f>
        <v/>
      </c>
    </row>
    <row r="2830" customFormat="false" ht="15" hidden="false" customHeight="false" outlineLevel="0" collapsed="false">
      <c r="A2830" s="36" t="str">
        <f aca="false">IF(Raw_Export!$A2830="","",TRIM(Raw_Export!A2830))</f>
        <v/>
      </c>
      <c r="B2830" s="37" t="str">
        <f aca="false">IF(Raw_Export!$A2830="","",IF(ISNUMBER(Raw_Export!B2830),Raw_Export!B2830,IF(MID(TRIM(Raw_Export!B2830),5,1)="-",DATE(LEFT(TRIM(Raw_Export!B2830),4),MID(TRIM(Raw_Export!B2830),6,2),RIGHT(TRIM(Raw_Export!B2830),2)),DATE(RIGHT(TRIM(Raw_Export!B2830),4),MATCH(MID(TRIM(Raw_Export!B2830),4,3),{"Jan","Feb","Mar","Apr","May","Jun","Jul","Aug","Sep","Oct","Nov","Dec"},0),LEFT(TRIM(Raw_Export!B2830),2)))))</f>
        <v/>
      </c>
      <c r="C2830" s="36" t="str">
        <f aca="false">IF(Raw_Export!$A2830="","",IFERROR(VLOOKUP(LOWER(TRIM(Raw_Export!C2830)),Maps!$A$2:$B$20,2,FALSE()),"UNMAPPED"))</f>
        <v/>
      </c>
      <c r="D2830" s="36" t="str">
        <f aca="false">IF(Raw_Export!$A2830="","",IFERROR(VLOOKUP(LOWER(TRIM(Raw_Export!D2830)),Maps!$G$2:$I$80,2,FALSE()),"UNMAPPED"))</f>
        <v/>
      </c>
      <c r="E2830" s="36" t="str">
        <f aca="false">IF(Raw_Export!$A2830="","",IFERROR(VLOOKUP(LOWER(TRIM(Raw_Export!D2830)),Maps!$G$2:$I$80,3,FALSE()),"UNMAPPED"))</f>
        <v/>
      </c>
      <c r="F2830" s="36" t="str">
        <f aca="false">IF(Raw_Export!$A2830="","",IFERROR(VALUE(TRIM(Raw_Export!E2830)),0))</f>
        <v/>
      </c>
      <c r="G2830" s="38" t="str">
        <f aca="false">IF(Raw_Export!$A2830="","",IFERROR(VALUE(SUBSTITUTE(SUBSTITUTE(UPPER(TRIM(Raw_Export!F2830)),"KES",""),",","")),0))</f>
        <v/>
      </c>
      <c r="H2830" s="38" t="str">
        <f aca="false">IF(Raw_Export!$A2830="","",F2830*G2830)</f>
        <v/>
      </c>
      <c r="I2830" s="36" t="str">
        <f aca="false">IF(Raw_Export!$A2830="","",IFERROR(VLOOKUP(LOWER(TRIM(Raw_Export!H2830)),Maps!$D$2:$E$12,2,FALSE()),"Other"))</f>
        <v/>
      </c>
      <c r="J2830" s="36" t="str">
        <f aca="false">IF(Raw_Export!$A2830="","",IF(COUNTIF($A$2:A2830,A2830)&gt;1,"Duplicate",""))</f>
        <v/>
      </c>
      <c r="K2830" s="36" t="str">
        <f aca="false">IF(Raw_Export!$A2830="","",IF(J2830="Duplicate","Duplicate",IF(OR(C2830="UNMAPPED",D2830="UNMAPPED"),"Unmapped",IF(F2830=0,"Blank qty",IF(F2830&lt;0,"Return","OK")))))</f>
        <v/>
      </c>
      <c r="L2830" s="36" t="str">
        <f aca="false">IF(Raw_Export!$A2830="","",IF(OR(K2830="OK",K2830="Return"),1,0))</f>
        <v/>
      </c>
      <c r="M2830" s="37" t="str">
        <f aca="false">IF(Raw_Export!$A2830="","",B2830-WEEKDAY(B2830,2)+1)</f>
        <v/>
      </c>
    </row>
    <row r="2831" customFormat="false" ht="15" hidden="false" customHeight="false" outlineLevel="0" collapsed="false">
      <c r="A2831" s="36" t="str">
        <f aca="false">IF(Raw_Export!$A2831="","",TRIM(Raw_Export!A2831))</f>
        <v/>
      </c>
      <c r="B2831" s="37" t="str">
        <f aca="false">IF(Raw_Export!$A2831="","",IF(ISNUMBER(Raw_Export!B2831),Raw_Export!B2831,IF(MID(TRIM(Raw_Export!B2831),5,1)="-",DATE(LEFT(TRIM(Raw_Export!B2831),4),MID(TRIM(Raw_Export!B2831),6,2),RIGHT(TRIM(Raw_Export!B2831),2)),DATE(RIGHT(TRIM(Raw_Export!B2831),4),MATCH(MID(TRIM(Raw_Export!B2831),4,3),{"Jan","Feb","Mar","Apr","May","Jun","Jul","Aug","Sep","Oct","Nov","Dec"},0),LEFT(TRIM(Raw_Export!B2831),2)))))</f>
        <v/>
      </c>
      <c r="C2831" s="36" t="str">
        <f aca="false">IF(Raw_Export!$A2831="","",IFERROR(VLOOKUP(LOWER(TRIM(Raw_Export!C2831)),Maps!$A$2:$B$20,2,FALSE()),"UNMAPPED"))</f>
        <v/>
      </c>
      <c r="D2831" s="36" t="str">
        <f aca="false">IF(Raw_Export!$A2831="","",IFERROR(VLOOKUP(LOWER(TRIM(Raw_Export!D2831)),Maps!$G$2:$I$80,2,FALSE()),"UNMAPPED"))</f>
        <v/>
      </c>
      <c r="E2831" s="36" t="str">
        <f aca="false">IF(Raw_Export!$A2831="","",IFERROR(VLOOKUP(LOWER(TRIM(Raw_Export!D2831)),Maps!$G$2:$I$80,3,FALSE()),"UNMAPPED"))</f>
        <v/>
      </c>
      <c r="F2831" s="36" t="str">
        <f aca="false">IF(Raw_Export!$A2831="","",IFERROR(VALUE(TRIM(Raw_Export!E2831)),0))</f>
        <v/>
      </c>
      <c r="G2831" s="38" t="str">
        <f aca="false">IF(Raw_Export!$A2831="","",IFERROR(VALUE(SUBSTITUTE(SUBSTITUTE(UPPER(TRIM(Raw_Export!F2831)),"KES",""),",","")),0))</f>
        <v/>
      </c>
      <c r="H2831" s="38" t="str">
        <f aca="false">IF(Raw_Export!$A2831="","",F2831*G2831)</f>
        <v/>
      </c>
      <c r="I2831" s="36" t="str">
        <f aca="false">IF(Raw_Export!$A2831="","",IFERROR(VLOOKUP(LOWER(TRIM(Raw_Export!H2831)),Maps!$D$2:$E$12,2,FALSE()),"Other"))</f>
        <v/>
      </c>
      <c r="J2831" s="36" t="str">
        <f aca="false">IF(Raw_Export!$A2831="","",IF(COUNTIF($A$2:A2831,A2831)&gt;1,"Duplicate",""))</f>
        <v/>
      </c>
      <c r="K2831" s="36" t="str">
        <f aca="false">IF(Raw_Export!$A2831="","",IF(J2831="Duplicate","Duplicate",IF(OR(C2831="UNMAPPED",D2831="UNMAPPED"),"Unmapped",IF(F2831=0,"Blank qty",IF(F2831&lt;0,"Return","OK")))))</f>
        <v/>
      </c>
      <c r="L2831" s="36" t="str">
        <f aca="false">IF(Raw_Export!$A2831="","",IF(OR(K2831="OK",K2831="Return"),1,0))</f>
        <v/>
      </c>
      <c r="M2831" s="37" t="str">
        <f aca="false">IF(Raw_Export!$A2831="","",B2831-WEEKDAY(B2831,2)+1)</f>
        <v/>
      </c>
    </row>
    <row r="2832" customFormat="false" ht="15" hidden="false" customHeight="false" outlineLevel="0" collapsed="false">
      <c r="A2832" s="36" t="str">
        <f aca="false">IF(Raw_Export!$A2832="","",TRIM(Raw_Export!A2832))</f>
        <v/>
      </c>
      <c r="B2832" s="37" t="str">
        <f aca="false">IF(Raw_Export!$A2832="","",IF(ISNUMBER(Raw_Export!B2832),Raw_Export!B2832,IF(MID(TRIM(Raw_Export!B2832),5,1)="-",DATE(LEFT(TRIM(Raw_Export!B2832),4),MID(TRIM(Raw_Export!B2832),6,2),RIGHT(TRIM(Raw_Export!B2832),2)),DATE(RIGHT(TRIM(Raw_Export!B2832),4),MATCH(MID(TRIM(Raw_Export!B2832),4,3),{"Jan","Feb","Mar","Apr","May","Jun","Jul","Aug","Sep","Oct","Nov","Dec"},0),LEFT(TRIM(Raw_Export!B2832),2)))))</f>
        <v/>
      </c>
      <c r="C2832" s="36" t="str">
        <f aca="false">IF(Raw_Export!$A2832="","",IFERROR(VLOOKUP(LOWER(TRIM(Raw_Export!C2832)),Maps!$A$2:$B$20,2,FALSE()),"UNMAPPED"))</f>
        <v/>
      </c>
      <c r="D2832" s="36" t="str">
        <f aca="false">IF(Raw_Export!$A2832="","",IFERROR(VLOOKUP(LOWER(TRIM(Raw_Export!D2832)),Maps!$G$2:$I$80,2,FALSE()),"UNMAPPED"))</f>
        <v/>
      </c>
      <c r="E2832" s="36" t="str">
        <f aca="false">IF(Raw_Export!$A2832="","",IFERROR(VLOOKUP(LOWER(TRIM(Raw_Export!D2832)),Maps!$G$2:$I$80,3,FALSE()),"UNMAPPED"))</f>
        <v/>
      </c>
      <c r="F2832" s="36" t="str">
        <f aca="false">IF(Raw_Export!$A2832="","",IFERROR(VALUE(TRIM(Raw_Export!E2832)),0))</f>
        <v/>
      </c>
      <c r="G2832" s="38" t="str">
        <f aca="false">IF(Raw_Export!$A2832="","",IFERROR(VALUE(SUBSTITUTE(SUBSTITUTE(UPPER(TRIM(Raw_Export!F2832)),"KES",""),",","")),0))</f>
        <v/>
      </c>
      <c r="H2832" s="38" t="str">
        <f aca="false">IF(Raw_Export!$A2832="","",F2832*G2832)</f>
        <v/>
      </c>
      <c r="I2832" s="36" t="str">
        <f aca="false">IF(Raw_Export!$A2832="","",IFERROR(VLOOKUP(LOWER(TRIM(Raw_Export!H2832)),Maps!$D$2:$E$12,2,FALSE()),"Other"))</f>
        <v/>
      </c>
      <c r="J2832" s="36" t="str">
        <f aca="false">IF(Raw_Export!$A2832="","",IF(COUNTIF($A$2:A2832,A2832)&gt;1,"Duplicate",""))</f>
        <v/>
      </c>
      <c r="K2832" s="36" t="str">
        <f aca="false">IF(Raw_Export!$A2832="","",IF(J2832="Duplicate","Duplicate",IF(OR(C2832="UNMAPPED",D2832="UNMAPPED"),"Unmapped",IF(F2832=0,"Blank qty",IF(F2832&lt;0,"Return","OK")))))</f>
        <v/>
      </c>
      <c r="L2832" s="36" t="str">
        <f aca="false">IF(Raw_Export!$A2832="","",IF(OR(K2832="OK",K2832="Return"),1,0))</f>
        <v/>
      </c>
      <c r="M2832" s="37" t="str">
        <f aca="false">IF(Raw_Export!$A2832="","",B2832-WEEKDAY(B2832,2)+1)</f>
        <v/>
      </c>
    </row>
    <row r="2833" customFormat="false" ht="15" hidden="false" customHeight="false" outlineLevel="0" collapsed="false">
      <c r="A2833" s="36" t="str">
        <f aca="false">IF(Raw_Export!$A2833="","",TRIM(Raw_Export!A2833))</f>
        <v/>
      </c>
      <c r="B2833" s="37" t="str">
        <f aca="false">IF(Raw_Export!$A2833="","",IF(ISNUMBER(Raw_Export!B2833),Raw_Export!B2833,IF(MID(TRIM(Raw_Export!B2833),5,1)="-",DATE(LEFT(TRIM(Raw_Export!B2833),4),MID(TRIM(Raw_Export!B2833),6,2),RIGHT(TRIM(Raw_Export!B2833),2)),DATE(RIGHT(TRIM(Raw_Export!B2833),4),MATCH(MID(TRIM(Raw_Export!B2833),4,3),{"Jan","Feb","Mar","Apr","May","Jun","Jul","Aug","Sep","Oct","Nov","Dec"},0),LEFT(TRIM(Raw_Export!B2833),2)))))</f>
        <v/>
      </c>
      <c r="C2833" s="36" t="str">
        <f aca="false">IF(Raw_Export!$A2833="","",IFERROR(VLOOKUP(LOWER(TRIM(Raw_Export!C2833)),Maps!$A$2:$B$20,2,FALSE()),"UNMAPPED"))</f>
        <v/>
      </c>
      <c r="D2833" s="36" t="str">
        <f aca="false">IF(Raw_Export!$A2833="","",IFERROR(VLOOKUP(LOWER(TRIM(Raw_Export!D2833)),Maps!$G$2:$I$80,2,FALSE()),"UNMAPPED"))</f>
        <v/>
      </c>
      <c r="E2833" s="36" t="str">
        <f aca="false">IF(Raw_Export!$A2833="","",IFERROR(VLOOKUP(LOWER(TRIM(Raw_Export!D2833)),Maps!$G$2:$I$80,3,FALSE()),"UNMAPPED"))</f>
        <v/>
      </c>
      <c r="F2833" s="36" t="str">
        <f aca="false">IF(Raw_Export!$A2833="","",IFERROR(VALUE(TRIM(Raw_Export!E2833)),0))</f>
        <v/>
      </c>
      <c r="G2833" s="38" t="str">
        <f aca="false">IF(Raw_Export!$A2833="","",IFERROR(VALUE(SUBSTITUTE(SUBSTITUTE(UPPER(TRIM(Raw_Export!F2833)),"KES",""),",","")),0))</f>
        <v/>
      </c>
      <c r="H2833" s="38" t="str">
        <f aca="false">IF(Raw_Export!$A2833="","",F2833*G2833)</f>
        <v/>
      </c>
      <c r="I2833" s="36" t="str">
        <f aca="false">IF(Raw_Export!$A2833="","",IFERROR(VLOOKUP(LOWER(TRIM(Raw_Export!H2833)),Maps!$D$2:$E$12,2,FALSE()),"Other"))</f>
        <v/>
      </c>
      <c r="J2833" s="36" t="str">
        <f aca="false">IF(Raw_Export!$A2833="","",IF(COUNTIF($A$2:A2833,A2833)&gt;1,"Duplicate",""))</f>
        <v/>
      </c>
      <c r="K2833" s="36" t="str">
        <f aca="false">IF(Raw_Export!$A2833="","",IF(J2833="Duplicate","Duplicate",IF(OR(C2833="UNMAPPED",D2833="UNMAPPED"),"Unmapped",IF(F2833=0,"Blank qty",IF(F2833&lt;0,"Return","OK")))))</f>
        <v/>
      </c>
      <c r="L2833" s="36" t="str">
        <f aca="false">IF(Raw_Export!$A2833="","",IF(OR(K2833="OK",K2833="Return"),1,0))</f>
        <v/>
      </c>
      <c r="M2833" s="37" t="str">
        <f aca="false">IF(Raw_Export!$A2833="","",B2833-WEEKDAY(B2833,2)+1)</f>
        <v/>
      </c>
    </row>
    <row r="2834" customFormat="false" ht="15" hidden="false" customHeight="false" outlineLevel="0" collapsed="false">
      <c r="A2834" s="36" t="str">
        <f aca="false">IF(Raw_Export!$A2834="","",TRIM(Raw_Export!A2834))</f>
        <v/>
      </c>
      <c r="B2834" s="37" t="str">
        <f aca="false">IF(Raw_Export!$A2834="","",IF(ISNUMBER(Raw_Export!B2834),Raw_Export!B2834,IF(MID(TRIM(Raw_Export!B2834),5,1)="-",DATE(LEFT(TRIM(Raw_Export!B2834),4),MID(TRIM(Raw_Export!B2834),6,2),RIGHT(TRIM(Raw_Export!B2834),2)),DATE(RIGHT(TRIM(Raw_Export!B2834),4),MATCH(MID(TRIM(Raw_Export!B2834),4,3),{"Jan","Feb","Mar","Apr","May","Jun","Jul","Aug","Sep","Oct","Nov","Dec"},0),LEFT(TRIM(Raw_Export!B2834),2)))))</f>
        <v/>
      </c>
      <c r="C2834" s="36" t="str">
        <f aca="false">IF(Raw_Export!$A2834="","",IFERROR(VLOOKUP(LOWER(TRIM(Raw_Export!C2834)),Maps!$A$2:$B$20,2,FALSE()),"UNMAPPED"))</f>
        <v/>
      </c>
      <c r="D2834" s="36" t="str">
        <f aca="false">IF(Raw_Export!$A2834="","",IFERROR(VLOOKUP(LOWER(TRIM(Raw_Export!D2834)),Maps!$G$2:$I$80,2,FALSE()),"UNMAPPED"))</f>
        <v/>
      </c>
      <c r="E2834" s="36" t="str">
        <f aca="false">IF(Raw_Export!$A2834="","",IFERROR(VLOOKUP(LOWER(TRIM(Raw_Export!D2834)),Maps!$G$2:$I$80,3,FALSE()),"UNMAPPED"))</f>
        <v/>
      </c>
      <c r="F2834" s="36" t="str">
        <f aca="false">IF(Raw_Export!$A2834="","",IFERROR(VALUE(TRIM(Raw_Export!E2834)),0))</f>
        <v/>
      </c>
      <c r="G2834" s="38" t="str">
        <f aca="false">IF(Raw_Export!$A2834="","",IFERROR(VALUE(SUBSTITUTE(SUBSTITUTE(UPPER(TRIM(Raw_Export!F2834)),"KES",""),",","")),0))</f>
        <v/>
      </c>
      <c r="H2834" s="38" t="str">
        <f aca="false">IF(Raw_Export!$A2834="","",F2834*G2834)</f>
        <v/>
      </c>
      <c r="I2834" s="36" t="str">
        <f aca="false">IF(Raw_Export!$A2834="","",IFERROR(VLOOKUP(LOWER(TRIM(Raw_Export!H2834)),Maps!$D$2:$E$12,2,FALSE()),"Other"))</f>
        <v/>
      </c>
      <c r="J2834" s="36" t="str">
        <f aca="false">IF(Raw_Export!$A2834="","",IF(COUNTIF($A$2:A2834,A2834)&gt;1,"Duplicate",""))</f>
        <v/>
      </c>
      <c r="K2834" s="36" t="str">
        <f aca="false">IF(Raw_Export!$A2834="","",IF(J2834="Duplicate","Duplicate",IF(OR(C2834="UNMAPPED",D2834="UNMAPPED"),"Unmapped",IF(F2834=0,"Blank qty",IF(F2834&lt;0,"Return","OK")))))</f>
        <v/>
      </c>
      <c r="L2834" s="36" t="str">
        <f aca="false">IF(Raw_Export!$A2834="","",IF(OR(K2834="OK",K2834="Return"),1,0))</f>
        <v/>
      </c>
      <c r="M2834" s="37" t="str">
        <f aca="false">IF(Raw_Export!$A2834="","",B2834-WEEKDAY(B2834,2)+1)</f>
        <v/>
      </c>
    </row>
    <row r="2835" customFormat="false" ht="15" hidden="false" customHeight="false" outlineLevel="0" collapsed="false">
      <c r="A2835" s="36" t="str">
        <f aca="false">IF(Raw_Export!$A2835="","",TRIM(Raw_Export!A2835))</f>
        <v/>
      </c>
      <c r="B2835" s="37" t="str">
        <f aca="false">IF(Raw_Export!$A2835="","",IF(ISNUMBER(Raw_Export!B2835),Raw_Export!B2835,IF(MID(TRIM(Raw_Export!B2835),5,1)="-",DATE(LEFT(TRIM(Raw_Export!B2835),4),MID(TRIM(Raw_Export!B2835),6,2),RIGHT(TRIM(Raw_Export!B2835),2)),DATE(RIGHT(TRIM(Raw_Export!B2835),4),MATCH(MID(TRIM(Raw_Export!B2835),4,3),{"Jan","Feb","Mar","Apr","May","Jun","Jul","Aug","Sep","Oct","Nov","Dec"},0),LEFT(TRIM(Raw_Export!B2835),2)))))</f>
        <v/>
      </c>
      <c r="C2835" s="36" t="str">
        <f aca="false">IF(Raw_Export!$A2835="","",IFERROR(VLOOKUP(LOWER(TRIM(Raw_Export!C2835)),Maps!$A$2:$B$20,2,FALSE()),"UNMAPPED"))</f>
        <v/>
      </c>
      <c r="D2835" s="36" t="str">
        <f aca="false">IF(Raw_Export!$A2835="","",IFERROR(VLOOKUP(LOWER(TRIM(Raw_Export!D2835)),Maps!$G$2:$I$80,2,FALSE()),"UNMAPPED"))</f>
        <v/>
      </c>
      <c r="E2835" s="36" t="str">
        <f aca="false">IF(Raw_Export!$A2835="","",IFERROR(VLOOKUP(LOWER(TRIM(Raw_Export!D2835)),Maps!$G$2:$I$80,3,FALSE()),"UNMAPPED"))</f>
        <v/>
      </c>
      <c r="F2835" s="36" t="str">
        <f aca="false">IF(Raw_Export!$A2835="","",IFERROR(VALUE(TRIM(Raw_Export!E2835)),0))</f>
        <v/>
      </c>
      <c r="G2835" s="38" t="str">
        <f aca="false">IF(Raw_Export!$A2835="","",IFERROR(VALUE(SUBSTITUTE(SUBSTITUTE(UPPER(TRIM(Raw_Export!F2835)),"KES",""),",","")),0))</f>
        <v/>
      </c>
      <c r="H2835" s="38" t="str">
        <f aca="false">IF(Raw_Export!$A2835="","",F2835*G2835)</f>
        <v/>
      </c>
      <c r="I2835" s="36" t="str">
        <f aca="false">IF(Raw_Export!$A2835="","",IFERROR(VLOOKUP(LOWER(TRIM(Raw_Export!H2835)),Maps!$D$2:$E$12,2,FALSE()),"Other"))</f>
        <v/>
      </c>
      <c r="J2835" s="36" t="str">
        <f aca="false">IF(Raw_Export!$A2835="","",IF(COUNTIF($A$2:A2835,A2835)&gt;1,"Duplicate",""))</f>
        <v/>
      </c>
      <c r="K2835" s="36" t="str">
        <f aca="false">IF(Raw_Export!$A2835="","",IF(J2835="Duplicate","Duplicate",IF(OR(C2835="UNMAPPED",D2835="UNMAPPED"),"Unmapped",IF(F2835=0,"Blank qty",IF(F2835&lt;0,"Return","OK")))))</f>
        <v/>
      </c>
      <c r="L2835" s="36" t="str">
        <f aca="false">IF(Raw_Export!$A2835="","",IF(OR(K2835="OK",K2835="Return"),1,0))</f>
        <v/>
      </c>
      <c r="M2835" s="37" t="str">
        <f aca="false">IF(Raw_Export!$A2835="","",B2835-WEEKDAY(B2835,2)+1)</f>
        <v/>
      </c>
    </row>
    <row r="2836" customFormat="false" ht="15" hidden="false" customHeight="false" outlineLevel="0" collapsed="false">
      <c r="A2836" s="36" t="str">
        <f aca="false">IF(Raw_Export!$A2836="","",TRIM(Raw_Export!A2836))</f>
        <v/>
      </c>
      <c r="B2836" s="37" t="str">
        <f aca="false">IF(Raw_Export!$A2836="","",IF(ISNUMBER(Raw_Export!B2836),Raw_Export!B2836,IF(MID(TRIM(Raw_Export!B2836),5,1)="-",DATE(LEFT(TRIM(Raw_Export!B2836),4),MID(TRIM(Raw_Export!B2836),6,2),RIGHT(TRIM(Raw_Export!B2836),2)),DATE(RIGHT(TRIM(Raw_Export!B2836),4),MATCH(MID(TRIM(Raw_Export!B2836),4,3),{"Jan","Feb","Mar","Apr","May","Jun","Jul","Aug","Sep","Oct","Nov","Dec"},0),LEFT(TRIM(Raw_Export!B2836),2)))))</f>
        <v/>
      </c>
      <c r="C2836" s="36" t="str">
        <f aca="false">IF(Raw_Export!$A2836="","",IFERROR(VLOOKUP(LOWER(TRIM(Raw_Export!C2836)),Maps!$A$2:$B$20,2,FALSE()),"UNMAPPED"))</f>
        <v/>
      </c>
      <c r="D2836" s="36" t="str">
        <f aca="false">IF(Raw_Export!$A2836="","",IFERROR(VLOOKUP(LOWER(TRIM(Raw_Export!D2836)),Maps!$G$2:$I$80,2,FALSE()),"UNMAPPED"))</f>
        <v/>
      </c>
      <c r="E2836" s="36" t="str">
        <f aca="false">IF(Raw_Export!$A2836="","",IFERROR(VLOOKUP(LOWER(TRIM(Raw_Export!D2836)),Maps!$G$2:$I$80,3,FALSE()),"UNMAPPED"))</f>
        <v/>
      </c>
      <c r="F2836" s="36" t="str">
        <f aca="false">IF(Raw_Export!$A2836="","",IFERROR(VALUE(TRIM(Raw_Export!E2836)),0))</f>
        <v/>
      </c>
      <c r="G2836" s="38" t="str">
        <f aca="false">IF(Raw_Export!$A2836="","",IFERROR(VALUE(SUBSTITUTE(SUBSTITUTE(UPPER(TRIM(Raw_Export!F2836)),"KES",""),",","")),0))</f>
        <v/>
      </c>
      <c r="H2836" s="38" t="str">
        <f aca="false">IF(Raw_Export!$A2836="","",F2836*G2836)</f>
        <v/>
      </c>
      <c r="I2836" s="36" t="str">
        <f aca="false">IF(Raw_Export!$A2836="","",IFERROR(VLOOKUP(LOWER(TRIM(Raw_Export!H2836)),Maps!$D$2:$E$12,2,FALSE()),"Other"))</f>
        <v/>
      </c>
      <c r="J2836" s="36" t="str">
        <f aca="false">IF(Raw_Export!$A2836="","",IF(COUNTIF($A$2:A2836,A2836)&gt;1,"Duplicate",""))</f>
        <v/>
      </c>
      <c r="K2836" s="36" t="str">
        <f aca="false">IF(Raw_Export!$A2836="","",IF(J2836="Duplicate","Duplicate",IF(OR(C2836="UNMAPPED",D2836="UNMAPPED"),"Unmapped",IF(F2836=0,"Blank qty",IF(F2836&lt;0,"Return","OK")))))</f>
        <v/>
      </c>
      <c r="L2836" s="36" t="str">
        <f aca="false">IF(Raw_Export!$A2836="","",IF(OR(K2836="OK",K2836="Return"),1,0))</f>
        <v/>
      </c>
      <c r="M2836" s="37" t="str">
        <f aca="false">IF(Raw_Export!$A2836="","",B2836-WEEKDAY(B2836,2)+1)</f>
        <v/>
      </c>
    </row>
    <row r="2837" customFormat="false" ht="15" hidden="false" customHeight="false" outlineLevel="0" collapsed="false">
      <c r="A2837" s="36" t="str">
        <f aca="false">IF(Raw_Export!$A2837="","",TRIM(Raw_Export!A2837))</f>
        <v/>
      </c>
      <c r="B2837" s="37" t="str">
        <f aca="false">IF(Raw_Export!$A2837="","",IF(ISNUMBER(Raw_Export!B2837),Raw_Export!B2837,IF(MID(TRIM(Raw_Export!B2837),5,1)="-",DATE(LEFT(TRIM(Raw_Export!B2837),4),MID(TRIM(Raw_Export!B2837),6,2),RIGHT(TRIM(Raw_Export!B2837),2)),DATE(RIGHT(TRIM(Raw_Export!B2837),4),MATCH(MID(TRIM(Raw_Export!B2837),4,3),{"Jan","Feb","Mar","Apr","May","Jun","Jul","Aug","Sep","Oct","Nov","Dec"},0),LEFT(TRIM(Raw_Export!B2837),2)))))</f>
        <v/>
      </c>
      <c r="C2837" s="36" t="str">
        <f aca="false">IF(Raw_Export!$A2837="","",IFERROR(VLOOKUP(LOWER(TRIM(Raw_Export!C2837)),Maps!$A$2:$B$20,2,FALSE()),"UNMAPPED"))</f>
        <v/>
      </c>
      <c r="D2837" s="36" t="str">
        <f aca="false">IF(Raw_Export!$A2837="","",IFERROR(VLOOKUP(LOWER(TRIM(Raw_Export!D2837)),Maps!$G$2:$I$80,2,FALSE()),"UNMAPPED"))</f>
        <v/>
      </c>
      <c r="E2837" s="36" t="str">
        <f aca="false">IF(Raw_Export!$A2837="","",IFERROR(VLOOKUP(LOWER(TRIM(Raw_Export!D2837)),Maps!$G$2:$I$80,3,FALSE()),"UNMAPPED"))</f>
        <v/>
      </c>
      <c r="F2837" s="36" t="str">
        <f aca="false">IF(Raw_Export!$A2837="","",IFERROR(VALUE(TRIM(Raw_Export!E2837)),0))</f>
        <v/>
      </c>
      <c r="G2837" s="38" t="str">
        <f aca="false">IF(Raw_Export!$A2837="","",IFERROR(VALUE(SUBSTITUTE(SUBSTITUTE(UPPER(TRIM(Raw_Export!F2837)),"KES",""),",","")),0))</f>
        <v/>
      </c>
      <c r="H2837" s="38" t="str">
        <f aca="false">IF(Raw_Export!$A2837="","",F2837*G2837)</f>
        <v/>
      </c>
      <c r="I2837" s="36" t="str">
        <f aca="false">IF(Raw_Export!$A2837="","",IFERROR(VLOOKUP(LOWER(TRIM(Raw_Export!H2837)),Maps!$D$2:$E$12,2,FALSE()),"Other"))</f>
        <v/>
      </c>
      <c r="J2837" s="36" t="str">
        <f aca="false">IF(Raw_Export!$A2837="","",IF(COUNTIF($A$2:A2837,A2837)&gt;1,"Duplicate",""))</f>
        <v/>
      </c>
      <c r="K2837" s="36" t="str">
        <f aca="false">IF(Raw_Export!$A2837="","",IF(J2837="Duplicate","Duplicate",IF(OR(C2837="UNMAPPED",D2837="UNMAPPED"),"Unmapped",IF(F2837=0,"Blank qty",IF(F2837&lt;0,"Return","OK")))))</f>
        <v/>
      </c>
      <c r="L2837" s="36" t="str">
        <f aca="false">IF(Raw_Export!$A2837="","",IF(OR(K2837="OK",K2837="Return"),1,0))</f>
        <v/>
      </c>
      <c r="M2837" s="37" t="str">
        <f aca="false">IF(Raw_Export!$A2837="","",B2837-WEEKDAY(B2837,2)+1)</f>
        <v/>
      </c>
    </row>
    <row r="2838" customFormat="false" ht="15" hidden="false" customHeight="false" outlineLevel="0" collapsed="false">
      <c r="A2838" s="36" t="str">
        <f aca="false">IF(Raw_Export!$A2838="","",TRIM(Raw_Export!A2838))</f>
        <v/>
      </c>
      <c r="B2838" s="37" t="str">
        <f aca="false">IF(Raw_Export!$A2838="","",IF(ISNUMBER(Raw_Export!B2838),Raw_Export!B2838,IF(MID(TRIM(Raw_Export!B2838),5,1)="-",DATE(LEFT(TRIM(Raw_Export!B2838),4),MID(TRIM(Raw_Export!B2838),6,2),RIGHT(TRIM(Raw_Export!B2838),2)),DATE(RIGHT(TRIM(Raw_Export!B2838),4),MATCH(MID(TRIM(Raw_Export!B2838),4,3),{"Jan","Feb","Mar","Apr","May","Jun","Jul","Aug","Sep","Oct","Nov","Dec"},0),LEFT(TRIM(Raw_Export!B2838),2)))))</f>
        <v/>
      </c>
      <c r="C2838" s="36" t="str">
        <f aca="false">IF(Raw_Export!$A2838="","",IFERROR(VLOOKUP(LOWER(TRIM(Raw_Export!C2838)),Maps!$A$2:$B$20,2,FALSE()),"UNMAPPED"))</f>
        <v/>
      </c>
      <c r="D2838" s="36" t="str">
        <f aca="false">IF(Raw_Export!$A2838="","",IFERROR(VLOOKUP(LOWER(TRIM(Raw_Export!D2838)),Maps!$G$2:$I$80,2,FALSE()),"UNMAPPED"))</f>
        <v/>
      </c>
      <c r="E2838" s="36" t="str">
        <f aca="false">IF(Raw_Export!$A2838="","",IFERROR(VLOOKUP(LOWER(TRIM(Raw_Export!D2838)),Maps!$G$2:$I$80,3,FALSE()),"UNMAPPED"))</f>
        <v/>
      </c>
      <c r="F2838" s="36" t="str">
        <f aca="false">IF(Raw_Export!$A2838="","",IFERROR(VALUE(TRIM(Raw_Export!E2838)),0))</f>
        <v/>
      </c>
      <c r="G2838" s="38" t="str">
        <f aca="false">IF(Raw_Export!$A2838="","",IFERROR(VALUE(SUBSTITUTE(SUBSTITUTE(UPPER(TRIM(Raw_Export!F2838)),"KES",""),",","")),0))</f>
        <v/>
      </c>
      <c r="H2838" s="38" t="str">
        <f aca="false">IF(Raw_Export!$A2838="","",F2838*G2838)</f>
        <v/>
      </c>
      <c r="I2838" s="36" t="str">
        <f aca="false">IF(Raw_Export!$A2838="","",IFERROR(VLOOKUP(LOWER(TRIM(Raw_Export!H2838)),Maps!$D$2:$E$12,2,FALSE()),"Other"))</f>
        <v/>
      </c>
      <c r="J2838" s="36" t="str">
        <f aca="false">IF(Raw_Export!$A2838="","",IF(COUNTIF($A$2:A2838,A2838)&gt;1,"Duplicate",""))</f>
        <v/>
      </c>
      <c r="K2838" s="36" t="str">
        <f aca="false">IF(Raw_Export!$A2838="","",IF(J2838="Duplicate","Duplicate",IF(OR(C2838="UNMAPPED",D2838="UNMAPPED"),"Unmapped",IF(F2838=0,"Blank qty",IF(F2838&lt;0,"Return","OK")))))</f>
        <v/>
      </c>
      <c r="L2838" s="36" t="str">
        <f aca="false">IF(Raw_Export!$A2838="","",IF(OR(K2838="OK",K2838="Return"),1,0))</f>
        <v/>
      </c>
      <c r="M2838" s="37" t="str">
        <f aca="false">IF(Raw_Export!$A2838="","",B2838-WEEKDAY(B2838,2)+1)</f>
        <v/>
      </c>
    </row>
    <row r="2839" customFormat="false" ht="15" hidden="false" customHeight="false" outlineLevel="0" collapsed="false">
      <c r="A2839" s="36" t="str">
        <f aca="false">IF(Raw_Export!$A2839="","",TRIM(Raw_Export!A2839))</f>
        <v/>
      </c>
      <c r="B2839" s="37" t="str">
        <f aca="false">IF(Raw_Export!$A2839="","",IF(ISNUMBER(Raw_Export!B2839),Raw_Export!B2839,IF(MID(TRIM(Raw_Export!B2839),5,1)="-",DATE(LEFT(TRIM(Raw_Export!B2839),4),MID(TRIM(Raw_Export!B2839),6,2),RIGHT(TRIM(Raw_Export!B2839),2)),DATE(RIGHT(TRIM(Raw_Export!B2839),4),MATCH(MID(TRIM(Raw_Export!B2839),4,3),{"Jan","Feb","Mar","Apr","May","Jun","Jul","Aug","Sep","Oct","Nov","Dec"},0),LEFT(TRIM(Raw_Export!B2839),2)))))</f>
        <v/>
      </c>
      <c r="C2839" s="36" t="str">
        <f aca="false">IF(Raw_Export!$A2839="","",IFERROR(VLOOKUP(LOWER(TRIM(Raw_Export!C2839)),Maps!$A$2:$B$20,2,FALSE()),"UNMAPPED"))</f>
        <v/>
      </c>
      <c r="D2839" s="36" t="str">
        <f aca="false">IF(Raw_Export!$A2839="","",IFERROR(VLOOKUP(LOWER(TRIM(Raw_Export!D2839)),Maps!$G$2:$I$80,2,FALSE()),"UNMAPPED"))</f>
        <v/>
      </c>
      <c r="E2839" s="36" t="str">
        <f aca="false">IF(Raw_Export!$A2839="","",IFERROR(VLOOKUP(LOWER(TRIM(Raw_Export!D2839)),Maps!$G$2:$I$80,3,FALSE()),"UNMAPPED"))</f>
        <v/>
      </c>
      <c r="F2839" s="36" t="str">
        <f aca="false">IF(Raw_Export!$A2839="","",IFERROR(VALUE(TRIM(Raw_Export!E2839)),0))</f>
        <v/>
      </c>
      <c r="G2839" s="38" t="str">
        <f aca="false">IF(Raw_Export!$A2839="","",IFERROR(VALUE(SUBSTITUTE(SUBSTITUTE(UPPER(TRIM(Raw_Export!F2839)),"KES",""),",","")),0))</f>
        <v/>
      </c>
      <c r="H2839" s="38" t="str">
        <f aca="false">IF(Raw_Export!$A2839="","",F2839*G2839)</f>
        <v/>
      </c>
      <c r="I2839" s="36" t="str">
        <f aca="false">IF(Raw_Export!$A2839="","",IFERROR(VLOOKUP(LOWER(TRIM(Raw_Export!H2839)),Maps!$D$2:$E$12,2,FALSE()),"Other"))</f>
        <v/>
      </c>
      <c r="J2839" s="36" t="str">
        <f aca="false">IF(Raw_Export!$A2839="","",IF(COUNTIF($A$2:A2839,A2839)&gt;1,"Duplicate",""))</f>
        <v/>
      </c>
      <c r="K2839" s="36" t="str">
        <f aca="false">IF(Raw_Export!$A2839="","",IF(J2839="Duplicate","Duplicate",IF(OR(C2839="UNMAPPED",D2839="UNMAPPED"),"Unmapped",IF(F2839=0,"Blank qty",IF(F2839&lt;0,"Return","OK")))))</f>
        <v/>
      </c>
      <c r="L2839" s="36" t="str">
        <f aca="false">IF(Raw_Export!$A2839="","",IF(OR(K2839="OK",K2839="Return"),1,0))</f>
        <v/>
      </c>
      <c r="M2839" s="37" t="str">
        <f aca="false">IF(Raw_Export!$A2839="","",B2839-WEEKDAY(B2839,2)+1)</f>
        <v/>
      </c>
    </row>
    <row r="2840" customFormat="false" ht="15" hidden="false" customHeight="false" outlineLevel="0" collapsed="false">
      <c r="A2840" s="36" t="str">
        <f aca="false">IF(Raw_Export!$A2840="","",TRIM(Raw_Export!A2840))</f>
        <v/>
      </c>
      <c r="B2840" s="37" t="str">
        <f aca="false">IF(Raw_Export!$A2840="","",IF(ISNUMBER(Raw_Export!B2840),Raw_Export!B2840,IF(MID(TRIM(Raw_Export!B2840),5,1)="-",DATE(LEFT(TRIM(Raw_Export!B2840),4),MID(TRIM(Raw_Export!B2840),6,2),RIGHT(TRIM(Raw_Export!B2840),2)),DATE(RIGHT(TRIM(Raw_Export!B2840),4),MATCH(MID(TRIM(Raw_Export!B2840),4,3),{"Jan","Feb","Mar","Apr","May","Jun","Jul","Aug","Sep","Oct","Nov","Dec"},0),LEFT(TRIM(Raw_Export!B2840),2)))))</f>
        <v/>
      </c>
      <c r="C2840" s="36" t="str">
        <f aca="false">IF(Raw_Export!$A2840="","",IFERROR(VLOOKUP(LOWER(TRIM(Raw_Export!C2840)),Maps!$A$2:$B$20,2,FALSE()),"UNMAPPED"))</f>
        <v/>
      </c>
      <c r="D2840" s="36" t="str">
        <f aca="false">IF(Raw_Export!$A2840="","",IFERROR(VLOOKUP(LOWER(TRIM(Raw_Export!D2840)),Maps!$G$2:$I$80,2,FALSE()),"UNMAPPED"))</f>
        <v/>
      </c>
      <c r="E2840" s="36" t="str">
        <f aca="false">IF(Raw_Export!$A2840="","",IFERROR(VLOOKUP(LOWER(TRIM(Raw_Export!D2840)),Maps!$G$2:$I$80,3,FALSE()),"UNMAPPED"))</f>
        <v/>
      </c>
      <c r="F2840" s="36" t="str">
        <f aca="false">IF(Raw_Export!$A2840="","",IFERROR(VALUE(TRIM(Raw_Export!E2840)),0))</f>
        <v/>
      </c>
      <c r="G2840" s="38" t="str">
        <f aca="false">IF(Raw_Export!$A2840="","",IFERROR(VALUE(SUBSTITUTE(SUBSTITUTE(UPPER(TRIM(Raw_Export!F2840)),"KES",""),",","")),0))</f>
        <v/>
      </c>
      <c r="H2840" s="38" t="str">
        <f aca="false">IF(Raw_Export!$A2840="","",F2840*G2840)</f>
        <v/>
      </c>
      <c r="I2840" s="36" t="str">
        <f aca="false">IF(Raw_Export!$A2840="","",IFERROR(VLOOKUP(LOWER(TRIM(Raw_Export!H2840)),Maps!$D$2:$E$12,2,FALSE()),"Other"))</f>
        <v/>
      </c>
      <c r="J2840" s="36" t="str">
        <f aca="false">IF(Raw_Export!$A2840="","",IF(COUNTIF($A$2:A2840,A2840)&gt;1,"Duplicate",""))</f>
        <v/>
      </c>
      <c r="K2840" s="36" t="str">
        <f aca="false">IF(Raw_Export!$A2840="","",IF(J2840="Duplicate","Duplicate",IF(OR(C2840="UNMAPPED",D2840="UNMAPPED"),"Unmapped",IF(F2840=0,"Blank qty",IF(F2840&lt;0,"Return","OK")))))</f>
        <v/>
      </c>
      <c r="L2840" s="36" t="str">
        <f aca="false">IF(Raw_Export!$A2840="","",IF(OR(K2840="OK",K2840="Return"),1,0))</f>
        <v/>
      </c>
      <c r="M2840" s="37" t="str">
        <f aca="false">IF(Raw_Export!$A2840="","",B2840-WEEKDAY(B2840,2)+1)</f>
        <v/>
      </c>
    </row>
    <row r="2841" customFormat="false" ht="15" hidden="false" customHeight="false" outlineLevel="0" collapsed="false">
      <c r="A2841" s="36" t="str">
        <f aca="false">IF(Raw_Export!$A2841="","",TRIM(Raw_Export!A2841))</f>
        <v/>
      </c>
      <c r="B2841" s="37" t="str">
        <f aca="false">IF(Raw_Export!$A2841="","",IF(ISNUMBER(Raw_Export!B2841),Raw_Export!B2841,IF(MID(TRIM(Raw_Export!B2841),5,1)="-",DATE(LEFT(TRIM(Raw_Export!B2841),4),MID(TRIM(Raw_Export!B2841),6,2),RIGHT(TRIM(Raw_Export!B2841),2)),DATE(RIGHT(TRIM(Raw_Export!B2841),4),MATCH(MID(TRIM(Raw_Export!B2841),4,3),{"Jan","Feb","Mar","Apr","May","Jun","Jul","Aug","Sep","Oct","Nov","Dec"},0),LEFT(TRIM(Raw_Export!B2841),2)))))</f>
        <v/>
      </c>
      <c r="C2841" s="36" t="str">
        <f aca="false">IF(Raw_Export!$A2841="","",IFERROR(VLOOKUP(LOWER(TRIM(Raw_Export!C2841)),Maps!$A$2:$B$20,2,FALSE()),"UNMAPPED"))</f>
        <v/>
      </c>
      <c r="D2841" s="36" t="str">
        <f aca="false">IF(Raw_Export!$A2841="","",IFERROR(VLOOKUP(LOWER(TRIM(Raw_Export!D2841)),Maps!$G$2:$I$80,2,FALSE()),"UNMAPPED"))</f>
        <v/>
      </c>
      <c r="E2841" s="36" t="str">
        <f aca="false">IF(Raw_Export!$A2841="","",IFERROR(VLOOKUP(LOWER(TRIM(Raw_Export!D2841)),Maps!$G$2:$I$80,3,FALSE()),"UNMAPPED"))</f>
        <v/>
      </c>
      <c r="F2841" s="36" t="str">
        <f aca="false">IF(Raw_Export!$A2841="","",IFERROR(VALUE(TRIM(Raw_Export!E2841)),0))</f>
        <v/>
      </c>
      <c r="G2841" s="38" t="str">
        <f aca="false">IF(Raw_Export!$A2841="","",IFERROR(VALUE(SUBSTITUTE(SUBSTITUTE(UPPER(TRIM(Raw_Export!F2841)),"KES",""),",","")),0))</f>
        <v/>
      </c>
      <c r="H2841" s="38" t="str">
        <f aca="false">IF(Raw_Export!$A2841="","",F2841*G2841)</f>
        <v/>
      </c>
      <c r="I2841" s="36" t="str">
        <f aca="false">IF(Raw_Export!$A2841="","",IFERROR(VLOOKUP(LOWER(TRIM(Raw_Export!H2841)),Maps!$D$2:$E$12,2,FALSE()),"Other"))</f>
        <v/>
      </c>
      <c r="J2841" s="36" t="str">
        <f aca="false">IF(Raw_Export!$A2841="","",IF(COUNTIF($A$2:A2841,A2841)&gt;1,"Duplicate",""))</f>
        <v/>
      </c>
      <c r="K2841" s="36" t="str">
        <f aca="false">IF(Raw_Export!$A2841="","",IF(J2841="Duplicate","Duplicate",IF(OR(C2841="UNMAPPED",D2841="UNMAPPED"),"Unmapped",IF(F2841=0,"Blank qty",IF(F2841&lt;0,"Return","OK")))))</f>
        <v/>
      </c>
      <c r="L2841" s="36" t="str">
        <f aca="false">IF(Raw_Export!$A2841="","",IF(OR(K2841="OK",K2841="Return"),1,0))</f>
        <v/>
      </c>
      <c r="M2841" s="37" t="str">
        <f aca="false">IF(Raw_Export!$A2841="","",B2841-WEEKDAY(B2841,2)+1)</f>
        <v/>
      </c>
    </row>
    <row r="2842" customFormat="false" ht="15" hidden="false" customHeight="false" outlineLevel="0" collapsed="false">
      <c r="A2842" s="36" t="str">
        <f aca="false">IF(Raw_Export!$A2842="","",TRIM(Raw_Export!A2842))</f>
        <v/>
      </c>
      <c r="B2842" s="37" t="str">
        <f aca="false">IF(Raw_Export!$A2842="","",IF(ISNUMBER(Raw_Export!B2842),Raw_Export!B2842,IF(MID(TRIM(Raw_Export!B2842),5,1)="-",DATE(LEFT(TRIM(Raw_Export!B2842),4),MID(TRIM(Raw_Export!B2842),6,2),RIGHT(TRIM(Raw_Export!B2842),2)),DATE(RIGHT(TRIM(Raw_Export!B2842),4),MATCH(MID(TRIM(Raw_Export!B2842),4,3),{"Jan","Feb","Mar","Apr","May","Jun","Jul","Aug","Sep","Oct","Nov","Dec"},0),LEFT(TRIM(Raw_Export!B2842),2)))))</f>
        <v/>
      </c>
      <c r="C2842" s="36" t="str">
        <f aca="false">IF(Raw_Export!$A2842="","",IFERROR(VLOOKUP(LOWER(TRIM(Raw_Export!C2842)),Maps!$A$2:$B$20,2,FALSE()),"UNMAPPED"))</f>
        <v/>
      </c>
      <c r="D2842" s="36" t="str">
        <f aca="false">IF(Raw_Export!$A2842="","",IFERROR(VLOOKUP(LOWER(TRIM(Raw_Export!D2842)),Maps!$G$2:$I$80,2,FALSE()),"UNMAPPED"))</f>
        <v/>
      </c>
      <c r="E2842" s="36" t="str">
        <f aca="false">IF(Raw_Export!$A2842="","",IFERROR(VLOOKUP(LOWER(TRIM(Raw_Export!D2842)),Maps!$G$2:$I$80,3,FALSE()),"UNMAPPED"))</f>
        <v/>
      </c>
      <c r="F2842" s="36" t="str">
        <f aca="false">IF(Raw_Export!$A2842="","",IFERROR(VALUE(TRIM(Raw_Export!E2842)),0))</f>
        <v/>
      </c>
      <c r="G2842" s="38" t="str">
        <f aca="false">IF(Raw_Export!$A2842="","",IFERROR(VALUE(SUBSTITUTE(SUBSTITUTE(UPPER(TRIM(Raw_Export!F2842)),"KES",""),",","")),0))</f>
        <v/>
      </c>
      <c r="H2842" s="38" t="str">
        <f aca="false">IF(Raw_Export!$A2842="","",F2842*G2842)</f>
        <v/>
      </c>
      <c r="I2842" s="36" t="str">
        <f aca="false">IF(Raw_Export!$A2842="","",IFERROR(VLOOKUP(LOWER(TRIM(Raw_Export!H2842)),Maps!$D$2:$E$12,2,FALSE()),"Other"))</f>
        <v/>
      </c>
      <c r="J2842" s="36" t="str">
        <f aca="false">IF(Raw_Export!$A2842="","",IF(COUNTIF($A$2:A2842,A2842)&gt;1,"Duplicate",""))</f>
        <v/>
      </c>
      <c r="K2842" s="36" t="str">
        <f aca="false">IF(Raw_Export!$A2842="","",IF(J2842="Duplicate","Duplicate",IF(OR(C2842="UNMAPPED",D2842="UNMAPPED"),"Unmapped",IF(F2842=0,"Blank qty",IF(F2842&lt;0,"Return","OK")))))</f>
        <v/>
      </c>
      <c r="L2842" s="36" t="str">
        <f aca="false">IF(Raw_Export!$A2842="","",IF(OR(K2842="OK",K2842="Return"),1,0))</f>
        <v/>
      </c>
      <c r="M2842" s="37" t="str">
        <f aca="false">IF(Raw_Export!$A2842="","",B2842-WEEKDAY(B2842,2)+1)</f>
        <v/>
      </c>
    </row>
    <row r="2843" customFormat="false" ht="15" hidden="false" customHeight="false" outlineLevel="0" collapsed="false">
      <c r="A2843" s="36" t="str">
        <f aca="false">IF(Raw_Export!$A2843="","",TRIM(Raw_Export!A2843))</f>
        <v/>
      </c>
      <c r="B2843" s="37" t="str">
        <f aca="false">IF(Raw_Export!$A2843="","",IF(ISNUMBER(Raw_Export!B2843),Raw_Export!B2843,IF(MID(TRIM(Raw_Export!B2843),5,1)="-",DATE(LEFT(TRIM(Raw_Export!B2843),4),MID(TRIM(Raw_Export!B2843),6,2),RIGHT(TRIM(Raw_Export!B2843),2)),DATE(RIGHT(TRIM(Raw_Export!B2843),4),MATCH(MID(TRIM(Raw_Export!B2843),4,3),{"Jan","Feb","Mar","Apr","May","Jun","Jul","Aug","Sep","Oct","Nov","Dec"},0),LEFT(TRIM(Raw_Export!B2843),2)))))</f>
        <v/>
      </c>
      <c r="C2843" s="36" t="str">
        <f aca="false">IF(Raw_Export!$A2843="","",IFERROR(VLOOKUP(LOWER(TRIM(Raw_Export!C2843)),Maps!$A$2:$B$20,2,FALSE()),"UNMAPPED"))</f>
        <v/>
      </c>
      <c r="D2843" s="36" t="str">
        <f aca="false">IF(Raw_Export!$A2843="","",IFERROR(VLOOKUP(LOWER(TRIM(Raw_Export!D2843)),Maps!$G$2:$I$80,2,FALSE()),"UNMAPPED"))</f>
        <v/>
      </c>
      <c r="E2843" s="36" t="str">
        <f aca="false">IF(Raw_Export!$A2843="","",IFERROR(VLOOKUP(LOWER(TRIM(Raw_Export!D2843)),Maps!$G$2:$I$80,3,FALSE()),"UNMAPPED"))</f>
        <v/>
      </c>
      <c r="F2843" s="36" t="str">
        <f aca="false">IF(Raw_Export!$A2843="","",IFERROR(VALUE(TRIM(Raw_Export!E2843)),0))</f>
        <v/>
      </c>
      <c r="G2843" s="38" t="str">
        <f aca="false">IF(Raw_Export!$A2843="","",IFERROR(VALUE(SUBSTITUTE(SUBSTITUTE(UPPER(TRIM(Raw_Export!F2843)),"KES",""),",","")),0))</f>
        <v/>
      </c>
      <c r="H2843" s="38" t="str">
        <f aca="false">IF(Raw_Export!$A2843="","",F2843*G2843)</f>
        <v/>
      </c>
      <c r="I2843" s="36" t="str">
        <f aca="false">IF(Raw_Export!$A2843="","",IFERROR(VLOOKUP(LOWER(TRIM(Raw_Export!H2843)),Maps!$D$2:$E$12,2,FALSE()),"Other"))</f>
        <v/>
      </c>
      <c r="J2843" s="36" t="str">
        <f aca="false">IF(Raw_Export!$A2843="","",IF(COUNTIF($A$2:A2843,A2843)&gt;1,"Duplicate",""))</f>
        <v/>
      </c>
      <c r="K2843" s="36" t="str">
        <f aca="false">IF(Raw_Export!$A2843="","",IF(J2843="Duplicate","Duplicate",IF(OR(C2843="UNMAPPED",D2843="UNMAPPED"),"Unmapped",IF(F2843=0,"Blank qty",IF(F2843&lt;0,"Return","OK")))))</f>
        <v/>
      </c>
      <c r="L2843" s="36" t="str">
        <f aca="false">IF(Raw_Export!$A2843="","",IF(OR(K2843="OK",K2843="Return"),1,0))</f>
        <v/>
      </c>
      <c r="M2843" s="37" t="str">
        <f aca="false">IF(Raw_Export!$A2843="","",B2843-WEEKDAY(B2843,2)+1)</f>
        <v/>
      </c>
    </row>
    <row r="2844" customFormat="false" ht="15" hidden="false" customHeight="false" outlineLevel="0" collapsed="false">
      <c r="A2844" s="36" t="str">
        <f aca="false">IF(Raw_Export!$A2844="","",TRIM(Raw_Export!A2844))</f>
        <v/>
      </c>
      <c r="B2844" s="37" t="str">
        <f aca="false">IF(Raw_Export!$A2844="","",IF(ISNUMBER(Raw_Export!B2844),Raw_Export!B2844,IF(MID(TRIM(Raw_Export!B2844),5,1)="-",DATE(LEFT(TRIM(Raw_Export!B2844),4),MID(TRIM(Raw_Export!B2844),6,2),RIGHT(TRIM(Raw_Export!B2844),2)),DATE(RIGHT(TRIM(Raw_Export!B2844),4),MATCH(MID(TRIM(Raw_Export!B2844),4,3),{"Jan","Feb","Mar","Apr","May","Jun","Jul","Aug","Sep","Oct","Nov","Dec"},0),LEFT(TRIM(Raw_Export!B2844),2)))))</f>
        <v/>
      </c>
      <c r="C2844" s="36" t="str">
        <f aca="false">IF(Raw_Export!$A2844="","",IFERROR(VLOOKUP(LOWER(TRIM(Raw_Export!C2844)),Maps!$A$2:$B$20,2,FALSE()),"UNMAPPED"))</f>
        <v/>
      </c>
      <c r="D2844" s="36" t="str">
        <f aca="false">IF(Raw_Export!$A2844="","",IFERROR(VLOOKUP(LOWER(TRIM(Raw_Export!D2844)),Maps!$G$2:$I$80,2,FALSE()),"UNMAPPED"))</f>
        <v/>
      </c>
      <c r="E2844" s="36" t="str">
        <f aca="false">IF(Raw_Export!$A2844="","",IFERROR(VLOOKUP(LOWER(TRIM(Raw_Export!D2844)),Maps!$G$2:$I$80,3,FALSE()),"UNMAPPED"))</f>
        <v/>
      </c>
      <c r="F2844" s="36" t="str">
        <f aca="false">IF(Raw_Export!$A2844="","",IFERROR(VALUE(TRIM(Raw_Export!E2844)),0))</f>
        <v/>
      </c>
      <c r="G2844" s="38" t="str">
        <f aca="false">IF(Raw_Export!$A2844="","",IFERROR(VALUE(SUBSTITUTE(SUBSTITUTE(UPPER(TRIM(Raw_Export!F2844)),"KES",""),",","")),0))</f>
        <v/>
      </c>
      <c r="H2844" s="38" t="str">
        <f aca="false">IF(Raw_Export!$A2844="","",F2844*G2844)</f>
        <v/>
      </c>
      <c r="I2844" s="36" t="str">
        <f aca="false">IF(Raw_Export!$A2844="","",IFERROR(VLOOKUP(LOWER(TRIM(Raw_Export!H2844)),Maps!$D$2:$E$12,2,FALSE()),"Other"))</f>
        <v/>
      </c>
      <c r="J2844" s="36" t="str">
        <f aca="false">IF(Raw_Export!$A2844="","",IF(COUNTIF($A$2:A2844,A2844)&gt;1,"Duplicate",""))</f>
        <v/>
      </c>
      <c r="K2844" s="36" t="str">
        <f aca="false">IF(Raw_Export!$A2844="","",IF(J2844="Duplicate","Duplicate",IF(OR(C2844="UNMAPPED",D2844="UNMAPPED"),"Unmapped",IF(F2844=0,"Blank qty",IF(F2844&lt;0,"Return","OK")))))</f>
        <v/>
      </c>
      <c r="L2844" s="36" t="str">
        <f aca="false">IF(Raw_Export!$A2844="","",IF(OR(K2844="OK",K2844="Return"),1,0))</f>
        <v/>
      </c>
      <c r="M2844" s="37" t="str">
        <f aca="false">IF(Raw_Export!$A2844="","",B2844-WEEKDAY(B2844,2)+1)</f>
        <v/>
      </c>
    </row>
    <row r="2845" customFormat="false" ht="15" hidden="false" customHeight="false" outlineLevel="0" collapsed="false">
      <c r="A2845" s="36" t="str">
        <f aca="false">IF(Raw_Export!$A2845="","",TRIM(Raw_Export!A2845))</f>
        <v/>
      </c>
      <c r="B2845" s="37" t="str">
        <f aca="false">IF(Raw_Export!$A2845="","",IF(ISNUMBER(Raw_Export!B2845),Raw_Export!B2845,IF(MID(TRIM(Raw_Export!B2845),5,1)="-",DATE(LEFT(TRIM(Raw_Export!B2845),4),MID(TRIM(Raw_Export!B2845),6,2),RIGHT(TRIM(Raw_Export!B2845),2)),DATE(RIGHT(TRIM(Raw_Export!B2845),4),MATCH(MID(TRIM(Raw_Export!B2845),4,3),{"Jan","Feb","Mar","Apr","May","Jun","Jul","Aug","Sep","Oct","Nov","Dec"},0),LEFT(TRIM(Raw_Export!B2845),2)))))</f>
        <v/>
      </c>
      <c r="C2845" s="36" t="str">
        <f aca="false">IF(Raw_Export!$A2845="","",IFERROR(VLOOKUP(LOWER(TRIM(Raw_Export!C2845)),Maps!$A$2:$B$20,2,FALSE()),"UNMAPPED"))</f>
        <v/>
      </c>
      <c r="D2845" s="36" t="str">
        <f aca="false">IF(Raw_Export!$A2845="","",IFERROR(VLOOKUP(LOWER(TRIM(Raw_Export!D2845)),Maps!$G$2:$I$80,2,FALSE()),"UNMAPPED"))</f>
        <v/>
      </c>
      <c r="E2845" s="36" t="str">
        <f aca="false">IF(Raw_Export!$A2845="","",IFERROR(VLOOKUP(LOWER(TRIM(Raw_Export!D2845)),Maps!$G$2:$I$80,3,FALSE()),"UNMAPPED"))</f>
        <v/>
      </c>
      <c r="F2845" s="36" t="str">
        <f aca="false">IF(Raw_Export!$A2845="","",IFERROR(VALUE(TRIM(Raw_Export!E2845)),0))</f>
        <v/>
      </c>
      <c r="G2845" s="38" t="str">
        <f aca="false">IF(Raw_Export!$A2845="","",IFERROR(VALUE(SUBSTITUTE(SUBSTITUTE(UPPER(TRIM(Raw_Export!F2845)),"KES",""),",","")),0))</f>
        <v/>
      </c>
      <c r="H2845" s="38" t="str">
        <f aca="false">IF(Raw_Export!$A2845="","",F2845*G2845)</f>
        <v/>
      </c>
      <c r="I2845" s="36" t="str">
        <f aca="false">IF(Raw_Export!$A2845="","",IFERROR(VLOOKUP(LOWER(TRIM(Raw_Export!H2845)),Maps!$D$2:$E$12,2,FALSE()),"Other"))</f>
        <v/>
      </c>
      <c r="J2845" s="36" t="str">
        <f aca="false">IF(Raw_Export!$A2845="","",IF(COUNTIF($A$2:A2845,A2845)&gt;1,"Duplicate",""))</f>
        <v/>
      </c>
      <c r="K2845" s="36" t="str">
        <f aca="false">IF(Raw_Export!$A2845="","",IF(J2845="Duplicate","Duplicate",IF(OR(C2845="UNMAPPED",D2845="UNMAPPED"),"Unmapped",IF(F2845=0,"Blank qty",IF(F2845&lt;0,"Return","OK")))))</f>
        <v/>
      </c>
      <c r="L2845" s="36" t="str">
        <f aca="false">IF(Raw_Export!$A2845="","",IF(OR(K2845="OK",K2845="Return"),1,0))</f>
        <v/>
      </c>
      <c r="M2845" s="37" t="str">
        <f aca="false">IF(Raw_Export!$A2845="","",B2845-WEEKDAY(B2845,2)+1)</f>
        <v/>
      </c>
    </row>
    <row r="2846" customFormat="false" ht="15" hidden="false" customHeight="false" outlineLevel="0" collapsed="false">
      <c r="A2846" s="36" t="str">
        <f aca="false">IF(Raw_Export!$A2846="","",TRIM(Raw_Export!A2846))</f>
        <v/>
      </c>
      <c r="B2846" s="37" t="str">
        <f aca="false">IF(Raw_Export!$A2846="","",IF(ISNUMBER(Raw_Export!B2846),Raw_Export!B2846,IF(MID(TRIM(Raw_Export!B2846),5,1)="-",DATE(LEFT(TRIM(Raw_Export!B2846),4),MID(TRIM(Raw_Export!B2846),6,2),RIGHT(TRIM(Raw_Export!B2846),2)),DATE(RIGHT(TRIM(Raw_Export!B2846),4),MATCH(MID(TRIM(Raw_Export!B2846),4,3),{"Jan","Feb","Mar","Apr","May","Jun","Jul","Aug","Sep","Oct","Nov","Dec"},0),LEFT(TRIM(Raw_Export!B2846),2)))))</f>
        <v/>
      </c>
      <c r="C2846" s="36" t="str">
        <f aca="false">IF(Raw_Export!$A2846="","",IFERROR(VLOOKUP(LOWER(TRIM(Raw_Export!C2846)),Maps!$A$2:$B$20,2,FALSE()),"UNMAPPED"))</f>
        <v/>
      </c>
      <c r="D2846" s="36" t="str">
        <f aca="false">IF(Raw_Export!$A2846="","",IFERROR(VLOOKUP(LOWER(TRIM(Raw_Export!D2846)),Maps!$G$2:$I$80,2,FALSE()),"UNMAPPED"))</f>
        <v/>
      </c>
      <c r="E2846" s="36" t="str">
        <f aca="false">IF(Raw_Export!$A2846="","",IFERROR(VLOOKUP(LOWER(TRIM(Raw_Export!D2846)),Maps!$G$2:$I$80,3,FALSE()),"UNMAPPED"))</f>
        <v/>
      </c>
      <c r="F2846" s="36" t="str">
        <f aca="false">IF(Raw_Export!$A2846="","",IFERROR(VALUE(TRIM(Raw_Export!E2846)),0))</f>
        <v/>
      </c>
      <c r="G2846" s="38" t="str">
        <f aca="false">IF(Raw_Export!$A2846="","",IFERROR(VALUE(SUBSTITUTE(SUBSTITUTE(UPPER(TRIM(Raw_Export!F2846)),"KES",""),",","")),0))</f>
        <v/>
      </c>
      <c r="H2846" s="38" t="str">
        <f aca="false">IF(Raw_Export!$A2846="","",F2846*G2846)</f>
        <v/>
      </c>
      <c r="I2846" s="36" t="str">
        <f aca="false">IF(Raw_Export!$A2846="","",IFERROR(VLOOKUP(LOWER(TRIM(Raw_Export!H2846)),Maps!$D$2:$E$12,2,FALSE()),"Other"))</f>
        <v/>
      </c>
      <c r="J2846" s="36" t="str">
        <f aca="false">IF(Raw_Export!$A2846="","",IF(COUNTIF($A$2:A2846,A2846)&gt;1,"Duplicate",""))</f>
        <v/>
      </c>
      <c r="K2846" s="36" t="str">
        <f aca="false">IF(Raw_Export!$A2846="","",IF(J2846="Duplicate","Duplicate",IF(OR(C2846="UNMAPPED",D2846="UNMAPPED"),"Unmapped",IF(F2846=0,"Blank qty",IF(F2846&lt;0,"Return","OK")))))</f>
        <v/>
      </c>
      <c r="L2846" s="36" t="str">
        <f aca="false">IF(Raw_Export!$A2846="","",IF(OR(K2846="OK",K2846="Return"),1,0))</f>
        <v/>
      </c>
      <c r="M2846" s="37" t="str">
        <f aca="false">IF(Raw_Export!$A2846="","",B2846-WEEKDAY(B2846,2)+1)</f>
        <v/>
      </c>
    </row>
    <row r="2847" customFormat="false" ht="15" hidden="false" customHeight="false" outlineLevel="0" collapsed="false">
      <c r="A2847" s="36" t="str">
        <f aca="false">IF(Raw_Export!$A2847="","",TRIM(Raw_Export!A2847))</f>
        <v/>
      </c>
      <c r="B2847" s="37" t="str">
        <f aca="false">IF(Raw_Export!$A2847="","",IF(ISNUMBER(Raw_Export!B2847),Raw_Export!B2847,IF(MID(TRIM(Raw_Export!B2847),5,1)="-",DATE(LEFT(TRIM(Raw_Export!B2847),4),MID(TRIM(Raw_Export!B2847),6,2),RIGHT(TRIM(Raw_Export!B2847),2)),DATE(RIGHT(TRIM(Raw_Export!B2847),4),MATCH(MID(TRIM(Raw_Export!B2847),4,3),{"Jan","Feb","Mar","Apr","May","Jun","Jul","Aug","Sep","Oct","Nov","Dec"},0),LEFT(TRIM(Raw_Export!B2847),2)))))</f>
        <v/>
      </c>
      <c r="C2847" s="36" t="str">
        <f aca="false">IF(Raw_Export!$A2847="","",IFERROR(VLOOKUP(LOWER(TRIM(Raw_Export!C2847)),Maps!$A$2:$B$20,2,FALSE()),"UNMAPPED"))</f>
        <v/>
      </c>
      <c r="D2847" s="36" t="str">
        <f aca="false">IF(Raw_Export!$A2847="","",IFERROR(VLOOKUP(LOWER(TRIM(Raw_Export!D2847)),Maps!$G$2:$I$80,2,FALSE()),"UNMAPPED"))</f>
        <v/>
      </c>
      <c r="E2847" s="36" t="str">
        <f aca="false">IF(Raw_Export!$A2847="","",IFERROR(VLOOKUP(LOWER(TRIM(Raw_Export!D2847)),Maps!$G$2:$I$80,3,FALSE()),"UNMAPPED"))</f>
        <v/>
      </c>
      <c r="F2847" s="36" t="str">
        <f aca="false">IF(Raw_Export!$A2847="","",IFERROR(VALUE(TRIM(Raw_Export!E2847)),0))</f>
        <v/>
      </c>
      <c r="G2847" s="38" t="str">
        <f aca="false">IF(Raw_Export!$A2847="","",IFERROR(VALUE(SUBSTITUTE(SUBSTITUTE(UPPER(TRIM(Raw_Export!F2847)),"KES",""),",","")),0))</f>
        <v/>
      </c>
      <c r="H2847" s="38" t="str">
        <f aca="false">IF(Raw_Export!$A2847="","",F2847*G2847)</f>
        <v/>
      </c>
      <c r="I2847" s="36" t="str">
        <f aca="false">IF(Raw_Export!$A2847="","",IFERROR(VLOOKUP(LOWER(TRIM(Raw_Export!H2847)),Maps!$D$2:$E$12,2,FALSE()),"Other"))</f>
        <v/>
      </c>
      <c r="J2847" s="36" t="str">
        <f aca="false">IF(Raw_Export!$A2847="","",IF(COUNTIF($A$2:A2847,A2847)&gt;1,"Duplicate",""))</f>
        <v/>
      </c>
      <c r="K2847" s="36" t="str">
        <f aca="false">IF(Raw_Export!$A2847="","",IF(J2847="Duplicate","Duplicate",IF(OR(C2847="UNMAPPED",D2847="UNMAPPED"),"Unmapped",IF(F2847=0,"Blank qty",IF(F2847&lt;0,"Return","OK")))))</f>
        <v/>
      </c>
      <c r="L2847" s="36" t="str">
        <f aca="false">IF(Raw_Export!$A2847="","",IF(OR(K2847="OK",K2847="Return"),1,0))</f>
        <v/>
      </c>
      <c r="M2847" s="37" t="str">
        <f aca="false">IF(Raw_Export!$A2847="","",B2847-WEEKDAY(B2847,2)+1)</f>
        <v/>
      </c>
    </row>
    <row r="2848" customFormat="false" ht="15" hidden="false" customHeight="false" outlineLevel="0" collapsed="false">
      <c r="A2848" s="36" t="str">
        <f aca="false">IF(Raw_Export!$A2848="","",TRIM(Raw_Export!A2848))</f>
        <v/>
      </c>
      <c r="B2848" s="37" t="str">
        <f aca="false">IF(Raw_Export!$A2848="","",IF(ISNUMBER(Raw_Export!B2848),Raw_Export!B2848,IF(MID(TRIM(Raw_Export!B2848),5,1)="-",DATE(LEFT(TRIM(Raw_Export!B2848),4),MID(TRIM(Raw_Export!B2848),6,2),RIGHT(TRIM(Raw_Export!B2848),2)),DATE(RIGHT(TRIM(Raw_Export!B2848),4),MATCH(MID(TRIM(Raw_Export!B2848),4,3),{"Jan","Feb","Mar","Apr","May","Jun","Jul","Aug","Sep","Oct","Nov","Dec"},0),LEFT(TRIM(Raw_Export!B2848),2)))))</f>
        <v/>
      </c>
      <c r="C2848" s="36" t="str">
        <f aca="false">IF(Raw_Export!$A2848="","",IFERROR(VLOOKUP(LOWER(TRIM(Raw_Export!C2848)),Maps!$A$2:$B$20,2,FALSE()),"UNMAPPED"))</f>
        <v/>
      </c>
      <c r="D2848" s="36" t="str">
        <f aca="false">IF(Raw_Export!$A2848="","",IFERROR(VLOOKUP(LOWER(TRIM(Raw_Export!D2848)),Maps!$G$2:$I$80,2,FALSE()),"UNMAPPED"))</f>
        <v/>
      </c>
      <c r="E2848" s="36" t="str">
        <f aca="false">IF(Raw_Export!$A2848="","",IFERROR(VLOOKUP(LOWER(TRIM(Raw_Export!D2848)),Maps!$G$2:$I$80,3,FALSE()),"UNMAPPED"))</f>
        <v/>
      </c>
      <c r="F2848" s="36" t="str">
        <f aca="false">IF(Raw_Export!$A2848="","",IFERROR(VALUE(TRIM(Raw_Export!E2848)),0))</f>
        <v/>
      </c>
      <c r="G2848" s="38" t="str">
        <f aca="false">IF(Raw_Export!$A2848="","",IFERROR(VALUE(SUBSTITUTE(SUBSTITUTE(UPPER(TRIM(Raw_Export!F2848)),"KES",""),",","")),0))</f>
        <v/>
      </c>
      <c r="H2848" s="38" t="str">
        <f aca="false">IF(Raw_Export!$A2848="","",F2848*G2848)</f>
        <v/>
      </c>
      <c r="I2848" s="36" t="str">
        <f aca="false">IF(Raw_Export!$A2848="","",IFERROR(VLOOKUP(LOWER(TRIM(Raw_Export!H2848)),Maps!$D$2:$E$12,2,FALSE()),"Other"))</f>
        <v/>
      </c>
      <c r="J2848" s="36" t="str">
        <f aca="false">IF(Raw_Export!$A2848="","",IF(COUNTIF($A$2:A2848,A2848)&gt;1,"Duplicate",""))</f>
        <v/>
      </c>
      <c r="K2848" s="36" t="str">
        <f aca="false">IF(Raw_Export!$A2848="","",IF(J2848="Duplicate","Duplicate",IF(OR(C2848="UNMAPPED",D2848="UNMAPPED"),"Unmapped",IF(F2848=0,"Blank qty",IF(F2848&lt;0,"Return","OK")))))</f>
        <v/>
      </c>
      <c r="L2848" s="36" t="str">
        <f aca="false">IF(Raw_Export!$A2848="","",IF(OR(K2848="OK",K2848="Return"),1,0))</f>
        <v/>
      </c>
      <c r="M2848" s="37" t="str">
        <f aca="false">IF(Raw_Export!$A2848="","",B2848-WEEKDAY(B2848,2)+1)</f>
        <v/>
      </c>
    </row>
    <row r="2849" customFormat="false" ht="15" hidden="false" customHeight="false" outlineLevel="0" collapsed="false">
      <c r="A2849" s="36" t="str">
        <f aca="false">IF(Raw_Export!$A2849="","",TRIM(Raw_Export!A2849))</f>
        <v/>
      </c>
      <c r="B2849" s="37" t="str">
        <f aca="false">IF(Raw_Export!$A2849="","",IF(ISNUMBER(Raw_Export!B2849),Raw_Export!B2849,IF(MID(TRIM(Raw_Export!B2849),5,1)="-",DATE(LEFT(TRIM(Raw_Export!B2849),4),MID(TRIM(Raw_Export!B2849),6,2),RIGHT(TRIM(Raw_Export!B2849),2)),DATE(RIGHT(TRIM(Raw_Export!B2849),4),MATCH(MID(TRIM(Raw_Export!B2849),4,3),{"Jan","Feb","Mar","Apr","May","Jun","Jul","Aug","Sep","Oct","Nov","Dec"},0),LEFT(TRIM(Raw_Export!B2849),2)))))</f>
        <v/>
      </c>
      <c r="C2849" s="36" t="str">
        <f aca="false">IF(Raw_Export!$A2849="","",IFERROR(VLOOKUP(LOWER(TRIM(Raw_Export!C2849)),Maps!$A$2:$B$20,2,FALSE()),"UNMAPPED"))</f>
        <v/>
      </c>
      <c r="D2849" s="36" t="str">
        <f aca="false">IF(Raw_Export!$A2849="","",IFERROR(VLOOKUP(LOWER(TRIM(Raw_Export!D2849)),Maps!$G$2:$I$80,2,FALSE()),"UNMAPPED"))</f>
        <v/>
      </c>
      <c r="E2849" s="36" t="str">
        <f aca="false">IF(Raw_Export!$A2849="","",IFERROR(VLOOKUP(LOWER(TRIM(Raw_Export!D2849)),Maps!$G$2:$I$80,3,FALSE()),"UNMAPPED"))</f>
        <v/>
      </c>
      <c r="F2849" s="36" t="str">
        <f aca="false">IF(Raw_Export!$A2849="","",IFERROR(VALUE(TRIM(Raw_Export!E2849)),0))</f>
        <v/>
      </c>
      <c r="G2849" s="38" t="str">
        <f aca="false">IF(Raw_Export!$A2849="","",IFERROR(VALUE(SUBSTITUTE(SUBSTITUTE(UPPER(TRIM(Raw_Export!F2849)),"KES",""),",","")),0))</f>
        <v/>
      </c>
      <c r="H2849" s="38" t="str">
        <f aca="false">IF(Raw_Export!$A2849="","",F2849*G2849)</f>
        <v/>
      </c>
      <c r="I2849" s="36" t="str">
        <f aca="false">IF(Raw_Export!$A2849="","",IFERROR(VLOOKUP(LOWER(TRIM(Raw_Export!H2849)),Maps!$D$2:$E$12,2,FALSE()),"Other"))</f>
        <v/>
      </c>
      <c r="J2849" s="36" t="str">
        <f aca="false">IF(Raw_Export!$A2849="","",IF(COUNTIF($A$2:A2849,A2849)&gt;1,"Duplicate",""))</f>
        <v/>
      </c>
      <c r="K2849" s="36" t="str">
        <f aca="false">IF(Raw_Export!$A2849="","",IF(J2849="Duplicate","Duplicate",IF(OR(C2849="UNMAPPED",D2849="UNMAPPED"),"Unmapped",IF(F2849=0,"Blank qty",IF(F2849&lt;0,"Return","OK")))))</f>
        <v/>
      </c>
      <c r="L2849" s="36" t="str">
        <f aca="false">IF(Raw_Export!$A2849="","",IF(OR(K2849="OK",K2849="Return"),1,0))</f>
        <v/>
      </c>
      <c r="M2849" s="37" t="str">
        <f aca="false">IF(Raw_Export!$A2849="","",B2849-WEEKDAY(B2849,2)+1)</f>
        <v/>
      </c>
    </row>
    <row r="2850" customFormat="false" ht="15" hidden="false" customHeight="false" outlineLevel="0" collapsed="false">
      <c r="A2850" s="36" t="str">
        <f aca="false">IF(Raw_Export!$A2850="","",TRIM(Raw_Export!A2850))</f>
        <v/>
      </c>
      <c r="B2850" s="37" t="str">
        <f aca="false">IF(Raw_Export!$A2850="","",IF(ISNUMBER(Raw_Export!B2850),Raw_Export!B2850,IF(MID(TRIM(Raw_Export!B2850),5,1)="-",DATE(LEFT(TRIM(Raw_Export!B2850),4),MID(TRIM(Raw_Export!B2850),6,2),RIGHT(TRIM(Raw_Export!B2850),2)),DATE(RIGHT(TRIM(Raw_Export!B2850),4),MATCH(MID(TRIM(Raw_Export!B2850),4,3),{"Jan","Feb","Mar","Apr","May","Jun","Jul","Aug","Sep","Oct","Nov","Dec"},0),LEFT(TRIM(Raw_Export!B2850),2)))))</f>
        <v/>
      </c>
      <c r="C2850" s="36" t="str">
        <f aca="false">IF(Raw_Export!$A2850="","",IFERROR(VLOOKUP(LOWER(TRIM(Raw_Export!C2850)),Maps!$A$2:$B$20,2,FALSE()),"UNMAPPED"))</f>
        <v/>
      </c>
      <c r="D2850" s="36" t="str">
        <f aca="false">IF(Raw_Export!$A2850="","",IFERROR(VLOOKUP(LOWER(TRIM(Raw_Export!D2850)),Maps!$G$2:$I$80,2,FALSE()),"UNMAPPED"))</f>
        <v/>
      </c>
      <c r="E2850" s="36" t="str">
        <f aca="false">IF(Raw_Export!$A2850="","",IFERROR(VLOOKUP(LOWER(TRIM(Raw_Export!D2850)),Maps!$G$2:$I$80,3,FALSE()),"UNMAPPED"))</f>
        <v/>
      </c>
      <c r="F2850" s="36" t="str">
        <f aca="false">IF(Raw_Export!$A2850="","",IFERROR(VALUE(TRIM(Raw_Export!E2850)),0))</f>
        <v/>
      </c>
      <c r="G2850" s="38" t="str">
        <f aca="false">IF(Raw_Export!$A2850="","",IFERROR(VALUE(SUBSTITUTE(SUBSTITUTE(UPPER(TRIM(Raw_Export!F2850)),"KES",""),",","")),0))</f>
        <v/>
      </c>
      <c r="H2850" s="38" t="str">
        <f aca="false">IF(Raw_Export!$A2850="","",F2850*G2850)</f>
        <v/>
      </c>
      <c r="I2850" s="36" t="str">
        <f aca="false">IF(Raw_Export!$A2850="","",IFERROR(VLOOKUP(LOWER(TRIM(Raw_Export!H2850)),Maps!$D$2:$E$12,2,FALSE()),"Other"))</f>
        <v/>
      </c>
      <c r="J2850" s="36" t="str">
        <f aca="false">IF(Raw_Export!$A2850="","",IF(COUNTIF($A$2:A2850,A2850)&gt;1,"Duplicate",""))</f>
        <v/>
      </c>
      <c r="K2850" s="36" t="str">
        <f aca="false">IF(Raw_Export!$A2850="","",IF(J2850="Duplicate","Duplicate",IF(OR(C2850="UNMAPPED",D2850="UNMAPPED"),"Unmapped",IF(F2850=0,"Blank qty",IF(F2850&lt;0,"Return","OK")))))</f>
        <v/>
      </c>
      <c r="L2850" s="36" t="str">
        <f aca="false">IF(Raw_Export!$A2850="","",IF(OR(K2850="OK",K2850="Return"),1,0))</f>
        <v/>
      </c>
      <c r="M2850" s="37" t="str">
        <f aca="false">IF(Raw_Export!$A2850="","",B2850-WEEKDAY(B2850,2)+1)</f>
        <v/>
      </c>
    </row>
    <row r="2851" customFormat="false" ht="15" hidden="false" customHeight="false" outlineLevel="0" collapsed="false">
      <c r="A2851" s="36" t="str">
        <f aca="false">IF(Raw_Export!$A2851="","",TRIM(Raw_Export!A2851))</f>
        <v/>
      </c>
      <c r="B2851" s="37" t="str">
        <f aca="false">IF(Raw_Export!$A2851="","",IF(ISNUMBER(Raw_Export!B2851),Raw_Export!B2851,IF(MID(TRIM(Raw_Export!B2851),5,1)="-",DATE(LEFT(TRIM(Raw_Export!B2851),4),MID(TRIM(Raw_Export!B2851),6,2),RIGHT(TRIM(Raw_Export!B2851),2)),DATE(RIGHT(TRIM(Raw_Export!B2851),4),MATCH(MID(TRIM(Raw_Export!B2851),4,3),{"Jan","Feb","Mar","Apr","May","Jun","Jul","Aug","Sep","Oct","Nov","Dec"},0),LEFT(TRIM(Raw_Export!B2851),2)))))</f>
        <v/>
      </c>
      <c r="C2851" s="36" t="str">
        <f aca="false">IF(Raw_Export!$A2851="","",IFERROR(VLOOKUP(LOWER(TRIM(Raw_Export!C2851)),Maps!$A$2:$B$20,2,FALSE()),"UNMAPPED"))</f>
        <v/>
      </c>
      <c r="D2851" s="36" t="str">
        <f aca="false">IF(Raw_Export!$A2851="","",IFERROR(VLOOKUP(LOWER(TRIM(Raw_Export!D2851)),Maps!$G$2:$I$80,2,FALSE()),"UNMAPPED"))</f>
        <v/>
      </c>
      <c r="E2851" s="36" t="str">
        <f aca="false">IF(Raw_Export!$A2851="","",IFERROR(VLOOKUP(LOWER(TRIM(Raw_Export!D2851)),Maps!$G$2:$I$80,3,FALSE()),"UNMAPPED"))</f>
        <v/>
      </c>
      <c r="F2851" s="36" t="str">
        <f aca="false">IF(Raw_Export!$A2851="","",IFERROR(VALUE(TRIM(Raw_Export!E2851)),0))</f>
        <v/>
      </c>
      <c r="G2851" s="38" t="str">
        <f aca="false">IF(Raw_Export!$A2851="","",IFERROR(VALUE(SUBSTITUTE(SUBSTITUTE(UPPER(TRIM(Raw_Export!F2851)),"KES",""),",","")),0))</f>
        <v/>
      </c>
      <c r="H2851" s="38" t="str">
        <f aca="false">IF(Raw_Export!$A2851="","",F2851*G2851)</f>
        <v/>
      </c>
      <c r="I2851" s="36" t="str">
        <f aca="false">IF(Raw_Export!$A2851="","",IFERROR(VLOOKUP(LOWER(TRIM(Raw_Export!H2851)),Maps!$D$2:$E$12,2,FALSE()),"Other"))</f>
        <v/>
      </c>
      <c r="J2851" s="36" t="str">
        <f aca="false">IF(Raw_Export!$A2851="","",IF(COUNTIF($A$2:A2851,A2851)&gt;1,"Duplicate",""))</f>
        <v/>
      </c>
      <c r="K2851" s="36" t="str">
        <f aca="false">IF(Raw_Export!$A2851="","",IF(J2851="Duplicate","Duplicate",IF(OR(C2851="UNMAPPED",D2851="UNMAPPED"),"Unmapped",IF(F2851=0,"Blank qty",IF(F2851&lt;0,"Return","OK")))))</f>
        <v/>
      </c>
      <c r="L2851" s="36" t="str">
        <f aca="false">IF(Raw_Export!$A2851="","",IF(OR(K2851="OK",K2851="Return"),1,0))</f>
        <v/>
      </c>
      <c r="M2851" s="37" t="str">
        <f aca="false">IF(Raw_Export!$A2851="","",B2851-WEEKDAY(B2851,2)+1)</f>
        <v/>
      </c>
    </row>
    <row r="2852" customFormat="false" ht="15" hidden="false" customHeight="false" outlineLevel="0" collapsed="false">
      <c r="A2852" s="36" t="str">
        <f aca="false">IF(Raw_Export!$A2852="","",TRIM(Raw_Export!A2852))</f>
        <v/>
      </c>
      <c r="B2852" s="37" t="str">
        <f aca="false">IF(Raw_Export!$A2852="","",IF(ISNUMBER(Raw_Export!B2852),Raw_Export!B2852,IF(MID(TRIM(Raw_Export!B2852),5,1)="-",DATE(LEFT(TRIM(Raw_Export!B2852),4),MID(TRIM(Raw_Export!B2852),6,2),RIGHT(TRIM(Raw_Export!B2852),2)),DATE(RIGHT(TRIM(Raw_Export!B2852),4),MATCH(MID(TRIM(Raw_Export!B2852),4,3),{"Jan","Feb","Mar","Apr","May","Jun","Jul","Aug","Sep","Oct","Nov","Dec"},0),LEFT(TRIM(Raw_Export!B2852),2)))))</f>
        <v/>
      </c>
      <c r="C2852" s="36" t="str">
        <f aca="false">IF(Raw_Export!$A2852="","",IFERROR(VLOOKUP(LOWER(TRIM(Raw_Export!C2852)),Maps!$A$2:$B$20,2,FALSE()),"UNMAPPED"))</f>
        <v/>
      </c>
      <c r="D2852" s="36" t="str">
        <f aca="false">IF(Raw_Export!$A2852="","",IFERROR(VLOOKUP(LOWER(TRIM(Raw_Export!D2852)),Maps!$G$2:$I$80,2,FALSE()),"UNMAPPED"))</f>
        <v/>
      </c>
      <c r="E2852" s="36" t="str">
        <f aca="false">IF(Raw_Export!$A2852="","",IFERROR(VLOOKUP(LOWER(TRIM(Raw_Export!D2852)),Maps!$G$2:$I$80,3,FALSE()),"UNMAPPED"))</f>
        <v/>
      </c>
      <c r="F2852" s="36" t="str">
        <f aca="false">IF(Raw_Export!$A2852="","",IFERROR(VALUE(TRIM(Raw_Export!E2852)),0))</f>
        <v/>
      </c>
      <c r="G2852" s="38" t="str">
        <f aca="false">IF(Raw_Export!$A2852="","",IFERROR(VALUE(SUBSTITUTE(SUBSTITUTE(UPPER(TRIM(Raw_Export!F2852)),"KES",""),",","")),0))</f>
        <v/>
      </c>
      <c r="H2852" s="38" t="str">
        <f aca="false">IF(Raw_Export!$A2852="","",F2852*G2852)</f>
        <v/>
      </c>
      <c r="I2852" s="36" t="str">
        <f aca="false">IF(Raw_Export!$A2852="","",IFERROR(VLOOKUP(LOWER(TRIM(Raw_Export!H2852)),Maps!$D$2:$E$12,2,FALSE()),"Other"))</f>
        <v/>
      </c>
      <c r="J2852" s="36" t="str">
        <f aca="false">IF(Raw_Export!$A2852="","",IF(COUNTIF($A$2:A2852,A2852)&gt;1,"Duplicate",""))</f>
        <v/>
      </c>
      <c r="K2852" s="36" t="str">
        <f aca="false">IF(Raw_Export!$A2852="","",IF(J2852="Duplicate","Duplicate",IF(OR(C2852="UNMAPPED",D2852="UNMAPPED"),"Unmapped",IF(F2852=0,"Blank qty",IF(F2852&lt;0,"Return","OK")))))</f>
        <v/>
      </c>
      <c r="L2852" s="36" t="str">
        <f aca="false">IF(Raw_Export!$A2852="","",IF(OR(K2852="OK",K2852="Return"),1,0))</f>
        <v/>
      </c>
      <c r="M2852" s="37" t="str">
        <f aca="false">IF(Raw_Export!$A2852="","",B2852-WEEKDAY(B2852,2)+1)</f>
        <v/>
      </c>
    </row>
    <row r="2853" customFormat="false" ht="15" hidden="false" customHeight="false" outlineLevel="0" collapsed="false">
      <c r="A2853" s="36" t="str">
        <f aca="false">IF(Raw_Export!$A2853="","",TRIM(Raw_Export!A2853))</f>
        <v/>
      </c>
      <c r="B2853" s="37" t="str">
        <f aca="false">IF(Raw_Export!$A2853="","",IF(ISNUMBER(Raw_Export!B2853),Raw_Export!B2853,IF(MID(TRIM(Raw_Export!B2853),5,1)="-",DATE(LEFT(TRIM(Raw_Export!B2853),4),MID(TRIM(Raw_Export!B2853),6,2),RIGHT(TRIM(Raw_Export!B2853),2)),DATE(RIGHT(TRIM(Raw_Export!B2853),4),MATCH(MID(TRIM(Raw_Export!B2853),4,3),{"Jan","Feb","Mar","Apr","May","Jun","Jul","Aug","Sep","Oct","Nov","Dec"},0),LEFT(TRIM(Raw_Export!B2853),2)))))</f>
        <v/>
      </c>
      <c r="C2853" s="36" t="str">
        <f aca="false">IF(Raw_Export!$A2853="","",IFERROR(VLOOKUP(LOWER(TRIM(Raw_Export!C2853)),Maps!$A$2:$B$20,2,FALSE()),"UNMAPPED"))</f>
        <v/>
      </c>
      <c r="D2853" s="36" t="str">
        <f aca="false">IF(Raw_Export!$A2853="","",IFERROR(VLOOKUP(LOWER(TRIM(Raw_Export!D2853)),Maps!$G$2:$I$80,2,FALSE()),"UNMAPPED"))</f>
        <v/>
      </c>
      <c r="E2853" s="36" t="str">
        <f aca="false">IF(Raw_Export!$A2853="","",IFERROR(VLOOKUP(LOWER(TRIM(Raw_Export!D2853)),Maps!$G$2:$I$80,3,FALSE()),"UNMAPPED"))</f>
        <v/>
      </c>
      <c r="F2853" s="36" t="str">
        <f aca="false">IF(Raw_Export!$A2853="","",IFERROR(VALUE(TRIM(Raw_Export!E2853)),0))</f>
        <v/>
      </c>
      <c r="G2853" s="38" t="str">
        <f aca="false">IF(Raw_Export!$A2853="","",IFERROR(VALUE(SUBSTITUTE(SUBSTITUTE(UPPER(TRIM(Raw_Export!F2853)),"KES",""),",","")),0))</f>
        <v/>
      </c>
      <c r="H2853" s="38" t="str">
        <f aca="false">IF(Raw_Export!$A2853="","",F2853*G2853)</f>
        <v/>
      </c>
      <c r="I2853" s="36" t="str">
        <f aca="false">IF(Raw_Export!$A2853="","",IFERROR(VLOOKUP(LOWER(TRIM(Raw_Export!H2853)),Maps!$D$2:$E$12,2,FALSE()),"Other"))</f>
        <v/>
      </c>
      <c r="J2853" s="36" t="str">
        <f aca="false">IF(Raw_Export!$A2853="","",IF(COUNTIF($A$2:A2853,A2853)&gt;1,"Duplicate",""))</f>
        <v/>
      </c>
      <c r="K2853" s="36" t="str">
        <f aca="false">IF(Raw_Export!$A2853="","",IF(J2853="Duplicate","Duplicate",IF(OR(C2853="UNMAPPED",D2853="UNMAPPED"),"Unmapped",IF(F2853=0,"Blank qty",IF(F2853&lt;0,"Return","OK")))))</f>
        <v/>
      </c>
      <c r="L2853" s="36" t="str">
        <f aca="false">IF(Raw_Export!$A2853="","",IF(OR(K2853="OK",K2853="Return"),1,0))</f>
        <v/>
      </c>
      <c r="M2853" s="37" t="str">
        <f aca="false">IF(Raw_Export!$A2853="","",B2853-WEEKDAY(B2853,2)+1)</f>
        <v/>
      </c>
    </row>
    <row r="2854" customFormat="false" ht="15" hidden="false" customHeight="false" outlineLevel="0" collapsed="false">
      <c r="A2854" s="36" t="str">
        <f aca="false">IF(Raw_Export!$A2854="","",TRIM(Raw_Export!A2854))</f>
        <v/>
      </c>
      <c r="B2854" s="37" t="str">
        <f aca="false">IF(Raw_Export!$A2854="","",IF(ISNUMBER(Raw_Export!B2854),Raw_Export!B2854,IF(MID(TRIM(Raw_Export!B2854),5,1)="-",DATE(LEFT(TRIM(Raw_Export!B2854),4),MID(TRIM(Raw_Export!B2854),6,2),RIGHT(TRIM(Raw_Export!B2854),2)),DATE(RIGHT(TRIM(Raw_Export!B2854),4),MATCH(MID(TRIM(Raw_Export!B2854),4,3),{"Jan","Feb","Mar","Apr","May","Jun","Jul","Aug","Sep","Oct","Nov","Dec"},0),LEFT(TRIM(Raw_Export!B2854),2)))))</f>
        <v/>
      </c>
      <c r="C2854" s="36" t="str">
        <f aca="false">IF(Raw_Export!$A2854="","",IFERROR(VLOOKUP(LOWER(TRIM(Raw_Export!C2854)),Maps!$A$2:$B$20,2,FALSE()),"UNMAPPED"))</f>
        <v/>
      </c>
      <c r="D2854" s="36" t="str">
        <f aca="false">IF(Raw_Export!$A2854="","",IFERROR(VLOOKUP(LOWER(TRIM(Raw_Export!D2854)),Maps!$G$2:$I$80,2,FALSE()),"UNMAPPED"))</f>
        <v/>
      </c>
      <c r="E2854" s="36" t="str">
        <f aca="false">IF(Raw_Export!$A2854="","",IFERROR(VLOOKUP(LOWER(TRIM(Raw_Export!D2854)),Maps!$G$2:$I$80,3,FALSE()),"UNMAPPED"))</f>
        <v/>
      </c>
      <c r="F2854" s="36" t="str">
        <f aca="false">IF(Raw_Export!$A2854="","",IFERROR(VALUE(TRIM(Raw_Export!E2854)),0))</f>
        <v/>
      </c>
      <c r="G2854" s="38" t="str">
        <f aca="false">IF(Raw_Export!$A2854="","",IFERROR(VALUE(SUBSTITUTE(SUBSTITUTE(UPPER(TRIM(Raw_Export!F2854)),"KES",""),",","")),0))</f>
        <v/>
      </c>
      <c r="H2854" s="38" t="str">
        <f aca="false">IF(Raw_Export!$A2854="","",F2854*G2854)</f>
        <v/>
      </c>
      <c r="I2854" s="36" t="str">
        <f aca="false">IF(Raw_Export!$A2854="","",IFERROR(VLOOKUP(LOWER(TRIM(Raw_Export!H2854)),Maps!$D$2:$E$12,2,FALSE()),"Other"))</f>
        <v/>
      </c>
      <c r="J2854" s="36" t="str">
        <f aca="false">IF(Raw_Export!$A2854="","",IF(COUNTIF($A$2:A2854,A2854)&gt;1,"Duplicate",""))</f>
        <v/>
      </c>
      <c r="K2854" s="36" t="str">
        <f aca="false">IF(Raw_Export!$A2854="","",IF(J2854="Duplicate","Duplicate",IF(OR(C2854="UNMAPPED",D2854="UNMAPPED"),"Unmapped",IF(F2854=0,"Blank qty",IF(F2854&lt;0,"Return","OK")))))</f>
        <v/>
      </c>
      <c r="L2854" s="36" t="str">
        <f aca="false">IF(Raw_Export!$A2854="","",IF(OR(K2854="OK",K2854="Return"),1,0))</f>
        <v/>
      </c>
      <c r="M2854" s="37" t="str">
        <f aca="false">IF(Raw_Export!$A2854="","",B2854-WEEKDAY(B2854,2)+1)</f>
        <v/>
      </c>
    </row>
    <row r="2855" customFormat="false" ht="15" hidden="false" customHeight="false" outlineLevel="0" collapsed="false">
      <c r="A2855" s="36" t="str">
        <f aca="false">IF(Raw_Export!$A2855="","",TRIM(Raw_Export!A2855))</f>
        <v/>
      </c>
      <c r="B2855" s="37" t="str">
        <f aca="false">IF(Raw_Export!$A2855="","",IF(ISNUMBER(Raw_Export!B2855),Raw_Export!B2855,IF(MID(TRIM(Raw_Export!B2855),5,1)="-",DATE(LEFT(TRIM(Raw_Export!B2855),4),MID(TRIM(Raw_Export!B2855),6,2),RIGHT(TRIM(Raw_Export!B2855),2)),DATE(RIGHT(TRIM(Raw_Export!B2855),4),MATCH(MID(TRIM(Raw_Export!B2855),4,3),{"Jan","Feb","Mar","Apr","May","Jun","Jul","Aug","Sep","Oct","Nov","Dec"},0),LEFT(TRIM(Raw_Export!B2855),2)))))</f>
        <v/>
      </c>
      <c r="C2855" s="36" t="str">
        <f aca="false">IF(Raw_Export!$A2855="","",IFERROR(VLOOKUP(LOWER(TRIM(Raw_Export!C2855)),Maps!$A$2:$B$20,2,FALSE()),"UNMAPPED"))</f>
        <v/>
      </c>
      <c r="D2855" s="36" t="str">
        <f aca="false">IF(Raw_Export!$A2855="","",IFERROR(VLOOKUP(LOWER(TRIM(Raw_Export!D2855)),Maps!$G$2:$I$80,2,FALSE()),"UNMAPPED"))</f>
        <v/>
      </c>
      <c r="E2855" s="36" t="str">
        <f aca="false">IF(Raw_Export!$A2855="","",IFERROR(VLOOKUP(LOWER(TRIM(Raw_Export!D2855)),Maps!$G$2:$I$80,3,FALSE()),"UNMAPPED"))</f>
        <v/>
      </c>
      <c r="F2855" s="36" t="str">
        <f aca="false">IF(Raw_Export!$A2855="","",IFERROR(VALUE(TRIM(Raw_Export!E2855)),0))</f>
        <v/>
      </c>
      <c r="G2855" s="38" t="str">
        <f aca="false">IF(Raw_Export!$A2855="","",IFERROR(VALUE(SUBSTITUTE(SUBSTITUTE(UPPER(TRIM(Raw_Export!F2855)),"KES",""),",","")),0))</f>
        <v/>
      </c>
      <c r="H2855" s="38" t="str">
        <f aca="false">IF(Raw_Export!$A2855="","",F2855*G2855)</f>
        <v/>
      </c>
      <c r="I2855" s="36" t="str">
        <f aca="false">IF(Raw_Export!$A2855="","",IFERROR(VLOOKUP(LOWER(TRIM(Raw_Export!H2855)),Maps!$D$2:$E$12,2,FALSE()),"Other"))</f>
        <v/>
      </c>
      <c r="J2855" s="36" t="str">
        <f aca="false">IF(Raw_Export!$A2855="","",IF(COUNTIF($A$2:A2855,A2855)&gt;1,"Duplicate",""))</f>
        <v/>
      </c>
      <c r="K2855" s="36" t="str">
        <f aca="false">IF(Raw_Export!$A2855="","",IF(J2855="Duplicate","Duplicate",IF(OR(C2855="UNMAPPED",D2855="UNMAPPED"),"Unmapped",IF(F2855=0,"Blank qty",IF(F2855&lt;0,"Return","OK")))))</f>
        <v/>
      </c>
      <c r="L2855" s="36" t="str">
        <f aca="false">IF(Raw_Export!$A2855="","",IF(OR(K2855="OK",K2855="Return"),1,0))</f>
        <v/>
      </c>
      <c r="M2855" s="37" t="str">
        <f aca="false">IF(Raw_Export!$A2855="","",B2855-WEEKDAY(B2855,2)+1)</f>
        <v/>
      </c>
    </row>
    <row r="2856" customFormat="false" ht="15" hidden="false" customHeight="false" outlineLevel="0" collapsed="false">
      <c r="A2856" s="36" t="str">
        <f aca="false">IF(Raw_Export!$A2856="","",TRIM(Raw_Export!A2856))</f>
        <v/>
      </c>
      <c r="B2856" s="37" t="str">
        <f aca="false">IF(Raw_Export!$A2856="","",IF(ISNUMBER(Raw_Export!B2856),Raw_Export!B2856,IF(MID(TRIM(Raw_Export!B2856),5,1)="-",DATE(LEFT(TRIM(Raw_Export!B2856),4),MID(TRIM(Raw_Export!B2856),6,2),RIGHT(TRIM(Raw_Export!B2856),2)),DATE(RIGHT(TRIM(Raw_Export!B2856),4),MATCH(MID(TRIM(Raw_Export!B2856),4,3),{"Jan","Feb","Mar","Apr","May","Jun","Jul","Aug","Sep","Oct","Nov","Dec"},0),LEFT(TRIM(Raw_Export!B2856),2)))))</f>
        <v/>
      </c>
      <c r="C2856" s="36" t="str">
        <f aca="false">IF(Raw_Export!$A2856="","",IFERROR(VLOOKUP(LOWER(TRIM(Raw_Export!C2856)),Maps!$A$2:$B$20,2,FALSE()),"UNMAPPED"))</f>
        <v/>
      </c>
      <c r="D2856" s="36" t="str">
        <f aca="false">IF(Raw_Export!$A2856="","",IFERROR(VLOOKUP(LOWER(TRIM(Raw_Export!D2856)),Maps!$G$2:$I$80,2,FALSE()),"UNMAPPED"))</f>
        <v/>
      </c>
      <c r="E2856" s="36" t="str">
        <f aca="false">IF(Raw_Export!$A2856="","",IFERROR(VLOOKUP(LOWER(TRIM(Raw_Export!D2856)),Maps!$G$2:$I$80,3,FALSE()),"UNMAPPED"))</f>
        <v/>
      </c>
      <c r="F2856" s="36" t="str">
        <f aca="false">IF(Raw_Export!$A2856="","",IFERROR(VALUE(TRIM(Raw_Export!E2856)),0))</f>
        <v/>
      </c>
      <c r="G2856" s="38" t="str">
        <f aca="false">IF(Raw_Export!$A2856="","",IFERROR(VALUE(SUBSTITUTE(SUBSTITUTE(UPPER(TRIM(Raw_Export!F2856)),"KES",""),",","")),0))</f>
        <v/>
      </c>
      <c r="H2856" s="38" t="str">
        <f aca="false">IF(Raw_Export!$A2856="","",F2856*G2856)</f>
        <v/>
      </c>
      <c r="I2856" s="36" t="str">
        <f aca="false">IF(Raw_Export!$A2856="","",IFERROR(VLOOKUP(LOWER(TRIM(Raw_Export!H2856)),Maps!$D$2:$E$12,2,FALSE()),"Other"))</f>
        <v/>
      </c>
      <c r="J2856" s="36" t="str">
        <f aca="false">IF(Raw_Export!$A2856="","",IF(COUNTIF($A$2:A2856,A2856)&gt;1,"Duplicate",""))</f>
        <v/>
      </c>
      <c r="K2856" s="36" t="str">
        <f aca="false">IF(Raw_Export!$A2856="","",IF(J2856="Duplicate","Duplicate",IF(OR(C2856="UNMAPPED",D2856="UNMAPPED"),"Unmapped",IF(F2856=0,"Blank qty",IF(F2856&lt;0,"Return","OK")))))</f>
        <v/>
      </c>
      <c r="L2856" s="36" t="str">
        <f aca="false">IF(Raw_Export!$A2856="","",IF(OR(K2856="OK",K2856="Return"),1,0))</f>
        <v/>
      </c>
      <c r="M2856" s="37" t="str">
        <f aca="false">IF(Raw_Export!$A2856="","",B2856-WEEKDAY(B2856,2)+1)</f>
        <v/>
      </c>
    </row>
    <row r="2857" customFormat="false" ht="15" hidden="false" customHeight="false" outlineLevel="0" collapsed="false">
      <c r="A2857" s="36" t="str">
        <f aca="false">IF(Raw_Export!$A2857="","",TRIM(Raw_Export!A2857))</f>
        <v/>
      </c>
      <c r="B2857" s="37" t="str">
        <f aca="false">IF(Raw_Export!$A2857="","",IF(ISNUMBER(Raw_Export!B2857),Raw_Export!B2857,IF(MID(TRIM(Raw_Export!B2857),5,1)="-",DATE(LEFT(TRIM(Raw_Export!B2857),4),MID(TRIM(Raw_Export!B2857),6,2),RIGHT(TRIM(Raw_Export!B2857),2)),DATE(RIGHT(TRIM(Raw_Export!B2857),4),MATCH(MID(TRIM(Raw_Export!B2857),4,3),{"Jan","Feb","Mar","Apr","May","Jun","Jul","Aug","Sep","Oct","Nov","Dec"},0),LEFT(TRIM(Raw_Export!B2857),2)))))</f>
        <v/>
      </c>
      <c r="C2857" s="36" t="str">
        <f aca="false">IF(Raw_Export!$A2857="","",IFERROR(VLOOKUP(LOWER(TRIM(Raw_Export!C2857)),Maps!$A$2:$B$20,2,FALSE()),"UNMAPPED"))</f>
        <v/>
      </c>
      <c r="D2857" s="36" t="str">
        <f aca="false">IF(Raw_Export!$A2857="","",IFERROR(VLOOKUP(LOWER(TRIM(Raw_Export!D2857)),Maps!$G$2:$I$80,2,FALSE()),"UNMAPPED"))</f>
        <v/>
      </c>
      <c r="E2857" s="36" t="str">
        <f aca="false">IF(Raw_Export!$A2857="","",IFERROR(VLOOKUP(LOWER(TRIM(Raw_Export!D2857)),Maps!$G$2:$I$80,3,FALSE()),"UNMAPPED"))</f>
        <v/>
      </c>
      <c r="F2857" s="36" t="str">
        <f aca="false">IF(Raw_Export!$A2857="","",IFERROR(VALUE(TRIM(Raw_Export!E2857)),0))</f>
        <v/>
      </c>
      <c r="G2857" s="38" t="str">
        <f aca="false">IF(Raw_Export!$A2857="","",IFERROR(VALUE(SUBSTITUTE(SUBSTITUTE(UPPER(TRIM(Raw_Export!F2857)),"KES",""),",","")),0))</f>
        <v/>
      </c>
      <c r="H2857" s="38" t="str">
        <f aca="false">IF(Raw_Export!$A2857="","",F2857*G2857)</f>
        <v/>
      </c>
      <c r="I2857" s="36" t="str">
        <f aca="false">IF(Raw_Export!$A2857="","",IFERROR(VLOOKUP(LOWER(TRIM(Raw_Export!H2857)),Maps!$D$2:$E$12,2,FALSE()),"Other"))</f>
        <v/>
      </c>
      <c r="J2857" s="36" t="str">
        <f aca="false">IF(Raw_Export!$A2857="","",IF(COUNTIF($A$2:A2857,A2857)&gt;1,"Duplicate",""))</f>
        <v/>
      </c>
      <c r="K2857" s="36" t="str">
        <f aca="false">IF(Raw_Export!$A2857="","",IF(J2857="Duplicate","Duplicate",IF(OR(C2857="UNMAPPED",D2857="UNMAPPED"),"Unmapped",IF(F2857=0,"Blank qty",IF(F2857&lt;0,"Return","OK")))))</f>
        <v/>
      </c>
      <c r="L2857" s="36" t="str">
        <f aca="false">IF(Raw_Export!$A2857="","",IF(OR(K2857="OK",K2857="Return"),1,0))</f>
        <v/>
      </c>
      <c r="M2857" s="37" t="str">
        <f aca="false">IF(Raw_Export!$A2857="","",B2857-WEEKDAY(B2857,2)+1)</f>
        <v/>
      </c>
    </row>
    <row r="2858" customFormat="false" ht="15" hidden="false" customHeight="false" outlineLevel="0" collapsed="false">
      <c r="A2858" s="36" t="str">
        <f aca="false">IF(Raw_Export!$A2858="","",TRIM(Raw_Export!A2858))</f>
        <v/>
      </c>
      <c r="B2858" s="37" t="str">
        <f aca="false">IF(Raw_Export!$A2858="","",IF(ISNUMBER(Raw_Export!B2858),Raw_Export!B2858,IF(MID(TRIM(Raw_Export!B2858),5,1)="-",DATE(LEFT(TRIM(Raw_Export!B2858),4),MID(TRIM(Raw_Export!B2858),6,2),RIGHT(TRIM(Raw_Export!B2858),2)),DATE(RIGHT(TRIM(Raw_Export!B2858),4),MATCH(MID(TRIM(Raw_Export!B2858),4,3),{"Jan","Feb","Mar","Apr","May","Jun","Jul","Aug","Sep","Oct","Nov","Dec"},0),LEFT(TRIM(Raw_Export!B2858),2)))))</f>
        <v/>
      </c>
      <c r="C2858" s="36" t="str">
        <f aca="false">IF(Raw_Export!$A2858="","",IFERROR(VLOOKUP(LOWER(TRIM(Raw_Export!C2858)),Maps!$A$2:$B$20,2,FALSE()),"UNMAPPED"))</f>
        <v/>
      </c>
      <c r="D2858" s="36" t="str">
        <f aca="false">IF(Raw_Export!$A2858="","",IFERROR(VLOOKUP(LOWER(TRIM(Raw_Export!D2858)),Maps!$G$2:$I$80,2,FALSE()),"UNMAPPED"))</f>
        <v/>
      </c>
      <c r="E2858" s="36" t="str">
        <f aca="false">IF(Raw_Export!$A2858="","",IFERROR(VLOOKUP(LOWER(TRIM(Raw_Export!D2858)),Maps!$G$2:$I$80,3,FALSE()),"UNMAPPED"))</f>
        <v/>
      </c>
      <c r="F2858" s="36" t="str">
        <f aca="false">IF(Raw_Export!$A2858="","",IFERROR(VALUE(TRIM(Raw_Export!E2858)),0))</f>
        <v/>
      </c>
      <c r="G2858" s="38" t="str">
        <f aca="false">IF(Raw_Export!$A2858="","",IFERROR(VALUE(SUBSTITUTE(SUBSTITUTE(UPPER(TRIM(Raw_Export!F2858)),"KES",""),",","")),0))</f>
        <v/>
      </c>
      <c r="H2858" s="38" t="str">
        <f aca="false">IF(Raw_Export!$A2858="","",F2858*G2858)</f>
        <v/>
      </c>
      <c r="I2858" s="36" t="str">
        <f aca="false">IF(Raw_Export!$A2858="","",IFERROR(VLOOKUP(LOWER(TRIM(Raw_Export!H2858)),Maps!$D$2:$E$12,2,FALSE()),"Other"))</f>
        <v/>
      </c>
      <c r="J2858" s="36" t="str">
        <f aca="false">IF(Raw_Export!$A2858="","",IF(COUNTIF($A$2:A2858,A2858)&gt;1,"Duplicate",""))</f>
        <v/>
      </c>
      <c r="K2858" s="36" t="str">
        <f aca="false">IF(Raw_Export!$A2858="","",IF(J2858="Duplicate","Duplicate",IF(OR(C2858="UNMAPPED",D2858="UNMAPPED"),"Unmapped",IF(F2858=0,"Blank qty",IF(F2858&lt;0,"Return","OK")))))</f>
        <v/>
      </c>
      <c r="L2858" s="36" t="str">
        <f aca="false">IF(Raw_Export!$A2858="","",IF(OR(K2858="OK",K2858="Return"),1,0))</f>
        <v/>
      </c>
      <c r="M2858" s="37" t="str">
        <f aca="false">IF(Raw_Export!$A2858="","",B2858-WEEKDAY(B2858,2)+1)</f>
        <v/>
      </c>
    </row>
    <row r="2859" customFormat="false" ht="15" hidden="false" customHeight="false" outlineLevel="0" collapsed="false">
      <c r="A2859" s="36" t="str">
        <f aca="false">IF(Raw_Export!$A2859="","",TRIM(Raw_Export!A2859))</f>
        <v/>
      </c>
      <c r="B2859" s="37" t="str">
        <f aca="false">IF(Raw_Export!$A2859="","",IF(ISNUMBER(Raw_Export!B2859),Raw_Export!B2859,IF(MID(TRIM(Raw_Export!B2859),5,1)="-",DATE(LEFT(TRIM(Raw_Export!B2859),4),MID(TRIM(Raw_Export!B2859),6,2),RIGHT(TRIM(Raw_Export!B2859),2)),DATE(RIGHT(TRIM(Raw_Export!B2859),4),MATCH(MID(TRIM(Raw_Export!B2859),4,3),{"Jan","Feb","Mar","Apr","May","Jun","Jul","Aug","Sep","Oct","Nov","Dec"},0),LEFT(TRIM(Raw_Export!B2859),2)))))</f>
        <v/>
      </c>
      <c r="C2859" s="36" t="str">
        <f aca="false">IF(Raw_Export!$A2859="","",IFERROR(VLOOKUP(LOWER(TRIM(Raw_Export!C2859)),Maps!$A$2:$B$20,2,FALSE()),"UNMAPPED"))</f>
        <v/>
      </c>
      <c r="D2859" s="36" t="str">
        <f aca="false">IF(Raw_Export!$A2859="","",IFERROR(VLOOKUP(LOWER(TRIM(Raw_Export!D2859)),Maps!$G$2:$I$80,2,FALSE()),"UNMAPPED"))</f>
        <v/>
      </c>
      <c r="E2859" s="36" t="str">
        <f aca="false">IF(Raw_Export!$A2859="","",IFERROR(VLOOKUP(LOWER(TRIM(Raw_Export!D2859)),Maps!$G$2:$I$80,3,FALSE()),"UNMAPPED"))</f>
        <v/>
      </c>
      <c r="F2859" s="36" t="str">
        <f aca="false">IF(Raw_Export!$A2859="","",IFERROR(VALUE(TRIM(Raw_Export!E2859)),0))</f>
        <v/>
      </c>
      <c r="G2859" s="38" t="str">
        <f aca="false">IF(Raw_Export!$A2859="","",IFERROR(VALUE(SUBSTITUTE(SUBSTITUTE(UPPER(TRIM(Raw_Export!F2859)),"KES",""),",","")),0))</f>
        <v/>
      </c>
      <c r="H2859" s="38" t="str">
        <f aca="false">IF(Raw_Export!$A2859="","",F2859*G2859)</f>
        <v/>
      </c>
      <c r="I2859" s="36" t="str">
        <f aca="false">IF(Raw_Export!$A2859="","",IFERROR(VLOOKUP(LOWER(TRIM(Raw_Export!H2859)),Maps!$D$2:$E$12,2,FALSE()),"Other"))</f>
        <v/>
      </c>
      <c r="J2859" s="36" t="str">
        <f aca="false">IF(Raw_Export!$A2859="","",IF(COUNTIF($A$2:A2859,A2859)&gt;1,"Duplicate",""))</f>
        <v/>
      </c>
      <c r="K2859" s="36" t="str">
        <f aca="false">IF(Raw_Export!$A2859="","",IF(J2859="Duplicate","Duplicate",IF(OR(C2859="UNMAPPED",D2859="UNMAPPED"),"Unmapped",IF(F2859=0,"Blank qty",IF(F2859&lt;0,"Return","OK")))))</f>
        <v/>
      </c>
      <c r="L2859" s="36" t="str">
        <f aca="false">IF(Raw_Export!$A2859="","",IF(OR(K2859="OK",K2859="Return"),1,0))</f>
        <v/>
      </c>
      <c r="M2859" s="37" t="str">
        <f aca="false">IF(Raw_Export!$A2859="","",B2859-WEEKDAY(B2859,2)+1)</f>
        <v/>
      </c>
    </row>
    <row r="2860" customFormat="false" ht="15" hidden="false" customHeight="false" outlineLevel="0" collapsed="false">
      <c r="A2860" s="36" t="str">
        <f aca="false">IF(Raw_Export!$A2860="","",TRIM(Raw_Export!A2860))</f>
        <v/>
      </c>
      <c r="B2860" s="37" t="str">
        <f aca="false">IF(Raw_Export!$A2860="","",IF(ISNUMBER(Raw_Export!B2860),Raw_Export!B2860,IF(MID(TRIM(Raw_Export!B2860),5,1)="-",DATE(LEFT(TRIM(Raw_Export!B2860),4),MID(TRIM(Raw_Export!B2860),6,2),RIGHT(TRIM(Raw_Export!B2860),2)),DATE(RIGHT(TRIM(Raw_Export!B2860),4),MATCH(MID(TRIM(Raw_Export!B2860),4,3),{"Jan","Feb","Mar","Apr","May","Jun","Jul","Aug","Sep","Oct","Nov","Dec"},0),LEFT(TRIM(Raw_Export!B2860),2)))))</f>
        <v/>
      </c>
      <c r="C2860" s="36" t="str">
        <f aca="false">IF(Raw_Export!$A2860="","",IFERROR(VLOOKUP(LOWER(TRIM(Raw_Export!C2860)),Maps!$A$2:$B$20,2,FALSE()),"UNMAPPED"))</f>
        <v/>
      </c>
      <c r="D2860" s="36" t="str">
        <f aca="false">IF(Raw_Export!$A2860="","",IFERROR(VLOOKUP(LOWER(TRIM(Raw_Export!D2860)),Maps!$G$2:$I$80,2,FALSE()),"UNMAPPED"))</f>
        <v/>
      </c>
      <c r="E2860" s="36" t="str">
        <f aca="false">IF(Raw_Export!$A2860="","",IFERROR(VLOOKUP(LOWER(TRIM(Raw_Export!D2860)),Maps!$G$2:$I$80,3,FALSE()),"UNMAPPED"))</f>
        <v/>
      </c>
      <c r="F2860" s="36" t="str">
        <f aca="false">IF(Raw_Export!$A2860="","",IFERROR(VALUE(TRIM(Raw_Export!E2860)),0))</f>
        <v/>
      </c>
      <c r="G2860" s="38" t="str">
        <f aca="false">IF(Raw_Export!$A2860="","",IFERROR(VALUE(SUBSTITUTE(SUBSTITUTE(UPPER(TRIM(Raw_Export!F2860)),"KES",""),",","")),0))</f>
        <v/>
      </c>
      <c r="H2860" s="38" t="str">
        <f aca="false">IF(Raw_Export!$A2860="","",F2860*G2860)</f>
        <v/>
      </c>
      <c r="I2860" s="36" t="str">
        <f aca="false">IF(Raw_Export!$A2860="","",IFERROR(VLOOKUP(LOWER(TRIM(Raw_Export!H2860)),Maps!$D$2:$E$12,2,FALSE()),"Other"))</f>
        <v/>
      </c>
      <c r="J2860" s="36" t="str">
        <f aca="false">IF(Raw_Export!$A2860="","",IF(COUNTIF($A$2:A2860,A2860)&gt;1,"Duplicate",""))</f>
        <v/>
      </c>
      <c r="K2860" s="36" t="str">
        <f aca="false">IF(Raw_Export!$A2860="","",IF(J2860="Duplicate","Duplicate",IF(OR(C2860="UNMAPPED",D2860="UNMAPPED"),"Unmapped",IF(F2860=0,"Blank qty",IF(F2860&lt;0,"Return","OK")))))</f>
        <v/>
      </c>
      <c r="L2860" s="36" t="str">
        <f aca="false">IF(Raw_Export!$A2860="","",IF(OR(K2860="OK",K2860="Return"),1,0))</f>
        <v/>
      </c>
      <c r="M2860" s="37" t="str">
        <f aca="false">IF(Raw_Export!$A2860="","",B2860-WEEKDAY(B2860,2)+1)</f>
        <v/>
      </c>
    </row>
    <row r="2861" customFormat="false" ht="15" hidden="false" customHeight="false" outlineLevel="0" collapsed="false">
      <c r="A2861" s="36" t="str">
        <f aca="false">IF(Raw_Export!$A2861="","",TRIM(Raw_Export!A2861))</f>
        <v/>
      </c>
      <c r="B2861" s="37" t="str">
        <f aca="false">IF(Raw_Export!$A2861="","",IF(ISNUMBER(Raw_Export!B2861),Raw_Export!B2861,IF(MID(TRIM(Raw_Export!B2861),5,1)="-",DATE(LEFT(TRIM(Raw_Export!B2861),4),MID(TRIM(Raw_Export!B2861),6,2),RIGHT(TRIM(Raw_Export!B2861),2)),DATE(RIGHT(TRIM(Raw_Export!B2861),4),MATCH(MID(TRIM(Raw_Export!B2861),4,3),{"Jan","Feb","Mar","Apr","May","Jun","Jul","Aug","Sep","Oct","Nov","Dec"},0),LEFT(TRIM(Raw_Export!B2861),2)))))</f>
        <v/>
      </c>
      <c r="C2861" s="36" t="str">
        <f aca="false">IF(Raw_Export!$A2861="","",IFERROR(VLOOKUP(LOWER(TRIM(Raw_Export!C2861)),Maps!$A$2:$B$20,2,FALSE()),"UNMAPPED"))</f>
        <v/>
      </c>
      <c r="D2861" s="36" t="str">
        <f aca="false">IF(Raw_Export!$A2861="","",IFERROR(VLOOKUP(LOWER(TRIM(Raw_Export!D2861)),Maps!$G$2:$I$80,2,FALSE()),"UNMAPPED"))</f>
        <v/>
      </c>
      <c r="E2861" s="36" t="str">
        <f aca="false">IF(Raw_Export!$A2861="","",IFERROR(VLOOKUP(LOWER(TRIM(Raw_Export!D2861)),Maps!$G$2:$I$80,3,FALSE()),"UNMAPPED"))</f>
        <v/>
      </c>
      <c r="F2861" s="36" t="str">
        <f aca="false">IF(Raw_Export!$A2861="","",IFERROR(VALUE(TRIM(Raw_Export!E2861)),0))</f>
        <v/>
      </c>
      <c r="G2861" s="38" t="str">
        <f aca="false">IF(Raw_Export!$A2861="","",IFERROR(VALUE(SUBSTITUTE(SUBSTITUTE(UPPER(TRIM(Raw_Export!F2861)),"KES",""),",","")),0))</f>
        <v/>
      </c>
      <c r="H2861" s="38" t="str">
        <f aca="false">IF(Raw_Export!$A2861="","",F2861*G2861)</f>
        <v/>
      </c>
      <c r="I2861" s="36" t="str">
        <f aca="false">IF(Raw_Export!$A2861="","",IFERROR(VLOOKUP(LOWER(TRIM(Raw_Export!H2861)),Maps!$D$2:$E$12,2,FALSE()),"Other"))</f>
        <v/>
      </c>
      <c r="J2861" s="36" t="str">
        <f aca="false">IF(Raw_Export!$A2861="","",IF(COUNTIF($A$2:A2861,A2861)&gt;1,"Duplicate",""))</f>
        <v/>
      </c>
      <c r="K2861" s="36" t="str">
        <f aca="false">IF(Raw_Export!$A2861="","",IF(J2861="Duplicate","Duplicate",IF(OR(C2861="UNMAPPED",D2861="UNMAPPED"),"Unmapped",IF(F2861=0,"Blank qty",IF(F2861&lt;0,"Return","OK")))))</f>
        <v/>
      </c>
      <c r="L2861" s="36" t="str">
        <f aca="false">IF(Raw_Export!$A2861="","",IF(OR(K2861="OK",K2861="Return"),1,0))</f>
        <v/>
      </c>
      <c r="M2861" s="37" t="str">
        <f aca="false">IF(Raw_Export!$A2861="","",B2861-WEEKDAY(B2861,2)+1)</f>
        <v/>
      </c>
    </row>
    <row r="2862" customFormat="false" ht="15" hidden="false" customHeight="false" outlineLevel="0" collapsed="false">
      <c r="A2862" s="36" t="str">
        <f aca="false">IF(Raw_Export!$A2862="","",TRIM(Raw_Export!A2862))</f>
        <v/>
      </c>
      <c r="B2862" s="37" t="str">
        <f aca="false">IF(Raw_Export!$A2862="","",IF(ISNUMBER(Raw_Export!B2862),Raw_Export!B2862,IF(MID(TRIM(Raw_Export!B2862),5,1)="-",DATE(LEFT(TRIM(Raw_Export!B2862),4),MID(TRIM(Raw_Export!B2862),6,2),RIGHT(TRIM(Raw_Export!B2862),2)),DATE(RIGHT(TRIM(Raw_Export!B2862),4),MATCH(MID(TRIM(Raw_Export!B2862),4,3),{"Jan","Feb","Mar","Apr","May","Jun","Jul","Aug","Sep","Oct","Nov","Dec"},0),LEFT(TRIM(Raw_Export!B2862),2)))))</f>
        <v/>
      </c>
      <c r="C2862" s="36" t="str">
        <f aca="false">IF(Raw_Export!$A2862="","",IFERROR(VLOOKUP(LOWER(TRIM(Raw_Export!C2862)),Maps!$A$2:$B$20,2,FALSE()),"UNMAPPED"))</f>
        <v/>
      </c>
      <c r="D2862" s="36" t="str">
        <f aca="false">IF(Raw_Export!$A2862="","",IFERROR(VLOOKUP(LOWER(TRIM(Raw_Export!D2862)),Maps!$G$2:$I$80,2,FALSE()),"UNMAPPED"))</f>
        <v/>
      </c>
      <c r="E2862" s="36" t="str">
        <f aca="false">IF(Raw_Export!$A2862="","",IFERROR(VLOOKUP(LOWER(TRIM(Raw_Export!D2862)),Maps!$G$2:$I$80,3,FALSE()),"UNMAPPED"))</f>
        <v/>
      </c>
      <c r="F2862" s="36" t="str">
        <f aca="false">IF(Raw_Export!$A2862="","",IFERROR(VALUE(TRIM(Raw_Export!E2862)),0))</f>
        <v/>
      </c>
      <c r="G2862" s="38" t="str">
        <f aca="false">IF(Raw_Export!$A2862="","",IFERROR(VALUE(SUBSTITUTE(SUBSTITUTE(UPPER(TRIM(Raw_Export!F2862)),"KES",""),",","")),0))</f>
        <v/>
      </c>
      <c r="H2862" s="38" t="str">
        <f aca="false">IF(Raw_Export!$A2862="","",F2862*G2862)</f>
        <v/>
      </c>
      <c r="I2862" s="36" t="str">
        <f aca="false">IF(Raw_Export!$A2862="","",IFERROR(VLOOKUP(LOWER(TRIM(Raw_Export!H2862)),Maps!$D$2:$E$12,2,FALSE()),"Other"))</f>
        <v/>
      </c>
      <c r="J2862" s="36" t="str">
        <f aca="false">IF(Raw_Export!$A2862="","",IF(COUNTIF($A$2:A2862,A2862)&gt;1,"Duplicate",""))</f>
        <v/>
      </c>
      <c r="K2862" s="36" t="str">
        <f aca="false">IF(Raw_Export!$A2862="","",IF(J2862="Duplicate","Duplicate",IF(OR(C2862="UNMAPPED",D2862="UNMAPPED"),"Unmapped",IF(F2862=0,"Blank qty",IF(F2862&lt;0,"Return","OK")))))</f>
        <v/>
      </c>
      <c r="L2862" s="36" t="str">
        <f aca="false">IF(Raw_Export!$A2862="","",IF(OR(K2862="OK",K2862="Return"),1,0))</f>
        <v/>
      </c>
      <c r="M2862" s="37" t="str">
        <f aca="false">IF(Raw_Export!$A2862="","",B2862-WEEKDAY(B2862,2)+1)</f>
        <v/>
      </c>
    </row>
    <row r="2863" customFormat="false" ht="15" hidden="false" customHeight="false" outlineLevel="0" collapsed="false">
      <c r="A2863" s="36" t="str">
        <f aca="false">IF(Raw_Export!$A2863="","",TRIM(Raw_Export!A2863))</f>
        <v/>
      </c>
      <c r="B2863" s="37" t="str">
        <f aca="false">IF(Raw_Export!$A2863="","",IF(ISNUMBER(Raw_Export!B2863),Raw_Export!B2863,IF(MID(TRIM(Raw_Export!B2863),5,1)="-",DATE(LEFT(TRIM(Raw_Export!B2863),4),MID(TRIM(Raw_Export!B2863),6,2),RIGHT(TRIM(Raw_Export!B2863),2)),DATE(RIGHT(TRIM(Raw_Export!B2863),4),MATCH(MID(TRIM(Raw_Export!B2863),4,3),{"Jan","Feb","Mar","Apr","May","Jun","Jul","Aug","Sep","Oct","Nov","Dec"},0),LEFT(TRIM(Raw_Export!B2863),2)))))</f>
        <v/>
      </c>
      <c r="C2863" s="36" t="str">
        <f aca="false">IF(Raw_Export!$A2863="","",IFERROR(VLOOKUP(LOWER(TRIM(Raw_Export!C2863)),Maps!$A$2:$B$20,2,FALSE()),"UNMAPPED"))</f>
        <v/>
      </c>
      <c r="D2863" s="36" t="str">
        <f aca="false">IF(Raw_Export!$A2863="","",IFERROR(VLOOKUP(LOWER(TRIM(Raw_Export!D2863)),Maps!$G$2:$I$80,2,FALSE()),"UNMAPPED"))</f>
        <v/>
      </c>
      <c r="E2863" s="36" t="str">
        <f aca="false">IF(Raw_Export!$A2863="","",IFERROR(VLOOKUP(LOWER(TRIM(Raw_Export!D2863)),Maps!$G$2:$I$80,3,FALSE()),"UNMAPPED"))</f>
        <v/>
      </c>
      <c r="F2863" s="36" t="str">
        <f aca="false">IF(Raw_Export!$A2863="","",IFERROR(VALUE(TRIM(Raw_Export!E2863)),0))</f>
        <v/>
      </c>
      <c r="G2863" s="38" t="str">
        <f aca="false">IF(Raw_Export!$A2863="","",IFERROR(VALUE(SUBSTITUTE(SUBSTITUTE(UPPER(TRIM(Raw_Export!F2863)),"KES",""),",","")),0))</f>
        <v/>
      </c>
      <c r="H2863" s="38" t="str">
        <f aca="false">IF(Raw_Export!$A2863="","",F2863*G2863)</f>
        <v/>
      </c>
      <c r="I2863" s="36" t="str">
        <f aca="false">IF(Raw_Export!$A2863="","",IFERROR(VLOOKUP(LOWER(TRIM(Raw_Export!H2863)),Maps!$D$2:$E$12,2,FALSE()),"Other"))</f>
        <v/>
      </c>
      <c r="J2863" s="36" t="str">
        <f aca="false">IF(Raw_Export!$A2863="","",IF(COUNTIF($A$2:A2863,A2863)&gt;1,"Duplicate",""))</f>
        <v/>
      </c>
      <c r="K2863" s="36" t="str">
        <f aca="false">IF(Raw_Export!$A2863="","",IF(J2863="Duplicate","Duplicate",IF(OR(C2863="UNMAPPED",D2863="UNMAPPED"),"Unmapped",IF(F2863=0,"Blank qty",IF(F2863&lt;0,"Return","OK")))))</f>
        <v/>
      </c>
      <c r="L2863" s="36" t="str">
        <f aca="false">IF(Raw_Export!$A2863="","",IF(OR(K2863="OK",K2863="Return"),1,0))</f>
        <v/>
      </c>
      <c r="M2863" s="37" t="str">
        <f aca="false">IF(Raw_Export!$A2863="","",B2863-WEEKDAY(B2863,2)+1)</f>
        <v/>
      </c>
    </row>
    <row r="2864" customFormat="false" ht="15" hidden="false" customHeight="false" outlineLevel="0" collapsed="false">
      <c r="A2864" s="36" t="str">
        <f aca="false">IF(Raw_Export!$A2864="","",TRIM(Raw_Export!A2864))</f>
        <v/>
      </c>
      <c r="B2864" s="37" t="str">
        <f aca="false">IF(Raw_Export!$A2864="","",IF(ISNUMBER(Raw_Export!B2864),Raw_Export!B2864,IF(MID(TRIM(Raw_Export!B2864),5,1)="-",DATE(LEFT(TRIM(Raw_Export!B2864),4),MID(TRIM(Raw_Export!B2864),6,2),RIGHT(TRIM(Raw_Export!B2864),2)),DATE(RIGHT(TRIM(Raw_Export!B2864),4),MATCH(MID(TRIM(Raw_Export!B2864),4,3),{"Jan","Feb","Mar","Apr","May","Jun","Jul","Aug","Sep","Oct","Nov","Dec"},0),LEFT(TRIM(Raw_Export!B2864),2)))))</f>
        <v/>
      </c>
      <c r="C2864" s="36" t="str">
        <f aca="false">IF(Raw_Export!$A2864="","",IFERROR(VLOOKUP(LOWER(TRIM(Raw_Export!C2864)),Maps!$A$2:$B$20,2,FALSE()),"UNMAPPED"))</f>
        <v/>
      </c>
      <c r="D2864" s="36" t="str">
        <f aca="false">IF(Raw_Export!$A2864="","",IFERROR(VLOOKUP(LOWER(TRIM(Raw_Export!D2864)),Maps!$G$2:$I$80,2,FALSE()),"UNMAPPED"))</f>
        <v/>
      </c>
      <c r="E2864" s="36" t="str">
        <f aca="false">IF(Raw_Export!$A2864="","",IFERROR(VLOOKUP(LOWER(TRIM(Raw_Export!D2864)),Maps!$G$2:$I$80,3,FALSE()),"UNMAPPED"))</f>
        <v/>
      </c>
      <c r="F2864" s="36" t="str">
        <f aca="false">IF(Raw_Export!$A2864="","",IFERROR(VALUE(TRIM(Raw_Export!E2864)),0))</f>
        <v/>
      </c>
      <c r="G2864" s="38" t="str">
        <f aca="false">IF(Raw_Export!$A2864="","",IFERROR(VALUE(SUBSTITUTE(SUBSTITUTE(UPPER(TRIM(Raw_Export!F2864)),"KES",""),",","")),0))</f>
        <v/>
      </c>
      <c r="H2864" s="38" t="str">
        <f aca="false">IF(Raw_Export!$A2864="","",F2864*G2864)</f>
        <v/>
      </c>
      <c r="I2864" s="36" t="str">
        <f aca="false">IF(Raw_Export!$A2864="","",IFERROR(VLOOKUP(LOWER(TRIM(Raw_Export!H2864)),Maps!$D$2:$E$12,2,FALSE()),"Other"))</f>
        <v/>
      </c>
      <c r="J2864" s="36" t="str">
        <f aca="false">IF(Raw_Export!$A2864="","",IF(COUNTIF($A$2:A2864,A2864)&gt;1,"Duplicate",""))</f>
        <v/>
      </c>
      <c r="K2864" s="36" t="str">
        <f aca="false">IF(Raw_Export!$A2864="","",IF(J2864="Duplicate","Duplicate",IF(OR(C2864="UNMAPPED",D2864="UNMAPPED"),"Unmapped",IF(F2864=0,"Blank qty",IF(F2864&lt;0,"Return","OK")))))</f>
        <v/>
      </c>
      <c r="L2864" s="36" t="str">
        <f aca="false">IF(Raw_Export!$A2864="","",IF(OR(K2864="OK",K2864="Return"),1,0))</f>
        <v/>
      </c>
      <c r="M2864" s="37" t="str">
        <f aca="false">IF(Raw_Export!$A2864="","",B2864-WEEKDAY(B2864,2)+1)</f>
        <v/>
      </c>
    </row>
    <row r="2865" customFormat="false" ht="15" hidden="false" customHeight="false" outlineLevel="0" collapsed="false">
      <c r="A2865" s="36" t="str">
        <f aca="false">IF(Raw_Export!$A2865="","",TRIM(Raw_Export!A2865))</f>
        <v/>
      </c>
      <c r="B2865" s="37" t="str">
        <f aca="false">IF(Raw_Export!$A2865="","",IF(ISNUMBER(Raw_Export!B2865),Raw_Export!B2865,IF(MID(TRIM(Raw_Export!B2865),5,1)="-",DATE(LEFT(TRIM(Raw_Export!B2865),4),MID(TRIM(Raw_Export!B2865),6,2),RIGHT(TRIM(Raw_Export!B2865),2)),DATE(RIGHT(TRIM(Raw_Export!B2865),4),MATCH(MID(TRIM(Raw_Export!B2865),4,3),{"Jan","Feb","Mar","Apr","May","Jun","Jul","Aug","Sep","Oct","Nov","Dec"},0),LEFT(TRIM(Raw_Export!B2865),2)))))</f>
        <v/>
      </c>
      <c r="C2865" s="36" t="str">
        <f aca="false">IF(Raw_Export!$A2865="","",IFERROR(VLOOKUP(LOWER(TRIM(Raw_Export!C2865)),Maps!$A$2:$B$20,2,FALSE()),"UNMAPPED"))</f>
        <v/>
      </c>
      <c r="D2865" s="36" t="str">
        <f aca="false">IF(Raw_Export!$A2865="","",IFERROR(VLOOKUP(LOWER(TRIM(Raw_Export!D2865)),Maps!$G$2:$I$80,2,FALSE()),"UNMAPPED"))</f>
        <v/>
      </c>
      <c r="E2865" s="36" t="str">
        <f aca="false">IF(Raw_Export!$A2865="","",IFERROR(VLOOKUP(LOWER(TRIM(Raw_Export!D2865)),Maps!$G$2:$I$80,3,FALSE()),"UNMAPPED"))</f>
        <v/>
      </c>
      <c r="F2865" s="36" t="str">
        <f aca="false">IF(Raw_Export!$A2865="","",IFERROR(VALUE(TRIM(Raw_Export!E2865)),0))</f>
        <v/>
      </c>
      <c r="G2865" s="38" t="str">
        <f aca="false">IF(Raw_Export!$A2865="","",IFERROR(VALUE(SUBSTITUTE(SUBSTITUTE(UPPER(TRIM(Raw_Export!F2865)),"KES",""),",","")),0))</f>
        <v/>
      </c>
      <c r="H2865" s="38" t="str">
        <f aca="false">IF(Raw_Export!$A2865="","",F2865*G2865)</f>
        <v/>
      </c>
      <c r="I2865" s="36" t="str">
        <f aca="false">IF(Raw_Export!$A2865="","",IFERROR(VLOOKUP(LOWER(TRIM(Raw_Export!H2865)),Maps!$D$2:$E$12,2,FALSE()),"Other"))</f>
        <v/>
      </c>
      <c r="J2865" s="36" t="str">
        <f aca="false">IF(Raw_Export!$A2865="","",IF(COUNTIF($A$2:A2865,A2865)&gt;1,"Duplicate",""))</f>
        <v/>
      </c>
      <c r="K2865" s="36" t="str">
        <f aca="false">IF(Raw_Export!$A2865="","",IF(J2865="Duplicate","Duplicate",IF(OR(C2865="UNMAPPED",D2865="UNMAPPED"),"Unmapped",IF(F2865=0,"Blank qty",IF(F2865&lt;0,"Return","OK")))))</f>
        <v/>
      </c>
      <c r="L2865" s="36" t="str">
        <f aca="false">IF(Raw_Export!$A2865="","",IF(OR(K2865="OK",K2865="Return"),1,0))</f>
        <v/>
      </c>
      <c r="M2865" s="37" t="str">
        <f aca="false">IF(Raw_Export!$A2865="","",B2865-WEEKDAY(B2865,2)+1)</f>
        <v/>
      </c>
    </row>
    <row r="2866" customFormat="false" ht="15" hidden="false" customHeight="false" outlineLevel="0" collapsed="false">
      <c r="A2866" s="36" t="str">
        <f aca="false">IF(Raw_Export!$A2866="","",TRIM(Raw_Export!A2866))</f>
        <v/>
      </c>
      <c r="B2866" s="37" t="str">
        <f aca="false">IF(Raw_Export!$A2866="","",IF(ISNUMBER(Raw_Export!B2866),Raw_Export!B2866,IF(MID(TRIM(Raw_Export!B2866),5,1)="-",DATE(LEFT(TRIM(Raw_Export!B2866),4),MID(TRIM(Raw_Export!B2866),6,2),RIGHT(TRIM(Raw_Export!B2866),2)),DATE(RIGHT(TRIM(Raw_Export!B2866),4),MATCH(MID(TRIM(Raw_Export!B2866),4,3),{"Jan","Feb","Mar","Apr","May","Jun","Jul","Aug","Sep","Oct","Nov","Dec"},0),LEFT(TRIM(Raw_Export!B2866),2)))))</f>
        <v/>
      </c>
      <c r="C2866" s="36" t="str">
        <f aca="false">IF(Raw_Export!$A2866="","",IFERROR(VLOOKUP(LOWER(TRIM(Raw_Export!C2866)),Maps!$A$2:$B$20,2,FALSE()),"UNMAPPED"))</f>
        <v/>
      </c>
      <c r="D2866" s="36" t="str">
        <f aca="false">IF(Raw_Export!$A2866="","",IFERROR(VLOOKUP(LOWER(TRIM(Raw_Export!D2866)),Maps!$G$2:$I$80,2,FALSE()),"UNMAPPED"))</f>
        <v/>
      </c>
      <c r="E2866" s="36" t="str">
        <f aca="false">IF(Raw_Export!$A2866="","",IFERROR(VLOOKUP(LOWER(TRIM(Raw_Export!D2866)),Maps!$G$2:$I$80,3,FALSE()),"UNMAPPED"))</f>
        <v/>
      </c>
      <c r="F2866" s="36" t="str">
        <f aca="false">IF(Raw_Export!$A2866="","",IFERROR(VALUE(TRIM(Raw_Export!E2866)),0))</f>
        <v/>
      </c>
      <c r="G2866" s="38" t="str">
        <f aca="false">IF(Raw_Export!$A2866="","",IFERROR(VALUE(SUBSTITUTE(SUBSTITUTE(UPPER(TRIM(Raw_Export!F2866)),"KES",""),",","")),0))</f>
        <v/>
      </c>
      <c r="H2866" s="38" t="str">
        <f aca="false">IF(Raw_Export!$A2866="","",F2866*G2866)</f>
        <v/>
      </c>
      <c r="I2866" s="36" t="str">
        <f aca="false">IF(Raw_Export!$A2866="","",IFERROR(VLOOKUP(LOWER(TRIM(Raw_Export!H2866)),Maps!$D$2:$E$12,2,FALSE()),"Other"))</f>
        <v/>
      </c>
      <c r="J2866" s="36" t="str">
        <f aca="false">IF(Raw_Export!$A2866="","",IF(COUNTIF($A$2:A2866,A2866)&gt;1,"Duplicate",""))</f>
        <v/>
      </c>
      <c r="K2866" s="36" t="str">
        <f aca="false">IF(Raw_Export!$A2866="","",IF(J2866="Duplicate","Duplicate",IF(OR(C2866="UNMAPPED",D2866="UNMAPPED"),"Unmapped",IF(F2866=0,"Blank qty",IF(F2866&lt;0,"Return","OK")))))</f>
        <v/>
      </c>
      <c r="L2866" s="36" t="str">
        <f aca="false">IF(Raw_Export!$A2866="","",IF(OR(K2866="OK",K2866="Return"),1,0))</f>
        <v/>
      </c>
      <c r="M2866" s="37" t="str">
        <f aca="false">IF(Raw_Export!$A2866="","",B2866-WEEKDAY(B2866,2)+1)</f>
        <v/>
      </c>
    </row>
    <row r="2867" customFormat="false" ht="15" hidden="false" customHeight="false" outlineLevel="0" collapsed="false">
      <c r="A2867" s="36" t="str">
        <f aca="false">IF(Raw_Export!$A2867="","",TRIM(Raw_Export!A2867))</f>
        <v/>
      </c>
      <c r="B2867" s="37" t="str">
        <f aca="false">IF(Raw_Export!$A2867="","",IF(ISNUMBER(Raw_Export!B2867),Raw_Export!B2867,IF(MID(TRIM(Raw_Export!B2867),5,1)="-",DATE(LEFT(TRIM(Raw_Export!B2867),4),MID(TRIM(Raw_Export!B2867),6,2),RIGHT(TRIM(Raw_Export!B2867),2)),DATE(RIGHT(TRIM(Raw_Export!B2867),4),MATCH(MID(TRIM(Raw_Export!B2867),4,3),{"Jan","Feb","Mar","Apr","May","Jun","Jul","Aug","Sep","Oct","Nov","Dec"},0),LEFT(TRIM(Raw_Export!B2867),2)))))</f>
        <v/>
      </c>
      <c r="C2867" s="36" t="str">
        <f aca="false">IF(Raw_Export!$A2867="","",IFERROR(VLOOKUP(LOWER(TRIM(Raw_Export!C2867)),Maps!$A$2:$B$20,2,FALSE()),"UNMAPPED"))</f>
        <v/>
      </c>
      <c r="D2867" s="36" t="str">
        <f aca="false">IF(Raw_Export!$A2867="","",IFERROR(VLOOKUP(LOWER(TRIM(Raw_Export!D2867)),Maps!$G$2:$I$80,2,FALSE()),"UNMAPPED"))</f>
        <v/>
      </c>
      <c r="E2867" s="36" t="str">
        <f aca="false">IF(Raw_Export!$A2867="","",IFERROR(VLOOKUP(LOWER(TRIM(Raw_Export!D2867)),Maps!$G$2:$I$80,3,FALSE()),"UNMAPPED"))</f>
        <v/>
      </c>
      <c r="F2867" s="36" t="str">
        <f aca="false">IF(Raw_Export!$A2867="","",IFERROR(VALUE(TRIM(Raw_Export!E2867)),0))</f>
        <v/>
      </c>
      <c r="G2867" s="38" t="str">
        <f aca="false">IF(Raw_Export!$A2867="","",IFERROR(VALUE(SUBSTITUTE(SUBSTITUTE(UPPER(TRIM(Raw_Export!F2867)),"KES",""),",","")),0))</f>
        <v/>
      </c>
      <c r="H2867" s="38" t="str">
        <f aca="false">IF(Raw_Export!$A2867="","",F2867*G2867)</f>
        <v/>
      </c>
      <c r="I2867" s="36" t="str">
        <f aca="false">IF(Raw_Export!$A2867="","",IFERROR(VLOOKUP(LOWER(TRIM(Raw_Export!H2867)),Maps!$D$2:$E$12,2,FALSE()),"Other"))</f>
        <v/>
      </c>
      <c r="J2867" s="36" t="str">
        <f aca="false">IF(Raw_Export!$A2867="","",IF(COUNTIF($A$2:A2867,A2867)&gt;1,"Duplicate",""))</f>
        <v/>
      </c>
      <c r="K2867" s="36" t="str">
        <f aca="false">IF(Raw_Export!$A2867="","",IF(J2867="Duplicate","Duplicate",IF(OR(C2867="UNMAPPED",D2867="UNMAPPED"),"Unmapped",IF(F2867=0,"Blank qty",IF(F2867&lt;0,"Return","OK")))))</f>
        <v/>
      </c>
      <c r="L2867" s="36" t="str">
        <f aca="false">IF(Raw_Export!$A2867="","",IF(OR(K2867="OK",K2867="Return"),1,0))</f>
        <v/>
      </c>
      <c r="M2867" s="37" t="str">
        <f aca="false">IF(Raw_Export!$A2867="","",B2867-WEEKDAY(B2867,2)+1)</f>
        <v/>
      </c>
    </row>
    <row r="2868" customFormat="false" ht="15" hidden="false" customHeight="false" outlineLevel="0" collapsed="false">
      <c r="A2868" s="36" t="str">
        <f aca="false">IF(Raw_Export!$A2868="","",TRIM(Raw_Export!A2868))</f>
        <v/>
      </c>
      <c r="B2868" s="37" t="str">
        <f aca="false">IF(Raw_Export!$A2868="","",IF(ISNUMBER(Raw_Export!B2868),Raw_Export!B2868,IF(MID(TRIM(Raw_Export!B2868),5,1)="-",DATE(LEFT(TRIM(Raw_Export!B2868),4),MID(TRIM(Raw_Export!B2868),6,2),RIGHT(TRIM(Raw_Export!B2868),2)),DATE(RIGHT(TRIM(Raw_Export!B2868),4),MATCH(MID(TRIM(Raw_Export!B2868),4,3),{"Jan","Feb","Mar","Apr","May","Jun","Jul","Aug","Sep","Oct","Nov","Dec"},0),LEFT(TRIM(Raw_Export!B2868),2)))))</f>
        <v/>
      </c>
      <c r="C2868" s="36" t="str">
        <f aca="false">IF(Raw_Export!$A2868="","",IFERROR(VLOOKUP(LOWER(TRIM(Raw_Export!C2868)),Maps!$A$2:$B$20,2,FALSE()),"UNMAPPED"))</f>
        <v/>
      </c>
      <c r="D2868" s="36" t="str">
        <f aca="false">IF(Raw_Export!$A2868="","",IFERROR(VLOOKUP(LOWER(TRIM(Raw_Export!D2868)),Maps!$G$2:$I$80,2,FALSE()),"UNMAPPED"))</f>
        <v/>
      </c>
      <c r="E2868" s="36" t="str">
        <f aca="false">IF(Raw_Export!$A2868="","",IFERROR(VLOOKUP(LOWER(TRIM(Raw_Export!D2868)),Maps!$G$2:$I$80,3,FALSE()),"UNMAPPED"))</f>
        <v/>
      </c>
      <c r="F2868" s="36" t="str">
        <f aca="false">IF(Raw_Export!$A2868="","",IFERROR(VALUE(TRIM(Raw_Export!E2868)),0))</f>
        <v/>
      </c>
      <c r="G2868" s="38" t="str">
        <f aca="false">IF(Raw_Export!$A2868="","",IFERROR(VALUE(SUBSTITUTE(SUBSTITUTE(UPPER(TRIM(Raw_Export!F2868)),"KES",""),",","")),0))</f>
        <v/>
      </c>
      <c r="H2868" s="38" t="str">
        <f aca="false">IF(Raw_Export!$A2868="","",F2868*G2868)</f>
        <v/>
      </c>
      <c r="I2868" s="36" t="str">
        <f aca="false">IF(Raw_Export!$A2868="","",IFERROR(VLOOKUP(LOWER(TRIM(Raw_Export!H2868)),Maps!$D$2:$E$12,2,FALSE()),"Other"))</f>
        <v/>
      </c>
      <c r="J2868" s="36" t="str">
        <f aca="false">IF(Raw_Export!$A2868="","",IF(COUNTIF($A$2:A2868,A2868)&gt;1,"Duplicate",""))</f>
        <v/>
      </c>
      <c r="K2868" s="36" t="str">
        <f aca="false">IF(Raw_Export!$A2868="","",IF(J2868="Duplicate","Duplicate",IF(OR(C2868="UNMAPPED",D2868="UNMAPPED"),"Unmapped",IF(F2868=0,"Blank qty",IF(F2868&lt;0,"Return","OK")))))</f>
        <v/>
      </c>
      <c r="L2868" s="36" t="str">
        <f aca="false">IF(Raw_Export!$A2868="","",IF(OR(K2868="OK",K2868="Return"),1,0))</f>
        <v/>
      </c>
      <c r="M2868" s="37" t="str">
        <f aca="false">IF(Raw_Export!$A2868="","",B2868-WEEKDAY(B2868,2)+1)</f>
        <v/>
      </c>
    </row>
    <row r="2869" customFormat="false" ht="15" hidden="false" customHeight="false" outlineLevel="0" collapsed="false">
      <c r="A2869" s="36" t="str">
        <f aca="false">IF(Raw_Export!$A2869="","",TRIM(Raw_Export!A2869))</f>
        <v/>
      </c>
      <c r="B2869" s="37" t="str">
        <f aca="false">IF(Raw_Export!$A2869="","",IF(ISNUMBER(Raw_Export!B2869),Raw_Export!B2869,IF(MID(TRIM(Raw_Export!B2869),5,1)="-",DATE(LEFT(TRIM(Raw_Export!B2869),4),MID(TRIM(Raw_Export!B2869),6,2),RIGHT(TRIM(Raw_Export!B2869),2)),DATE(RIGHT(TRIM(Raw_Export!B2869),4),MATCH(MID(TRIM(Raw_Export!B2869),4,3),{"Jan","Feb","Mar","Apr","May","Jun","Jul","Aug","Sep","Oct","Nov","Dec"},0),LEFT(TRIM(Raw_Export!B2869),2)))))</f>
        <v/>
      </c>
      <c r="C2869" s="36" t="str">
        <f aca="false">IF(Raw_Export!$A2869="","",IFERROR(VLOOKUP(LOWER(TRIM(Raw_Export!C2869)),Maps!$A$2:$B$20,2,FALSE()),"UNMAPPED"))</f>
        <v/>
      </c>
      <c r="D2869" s="36" t="str">
        <f aca="false">IF(Raw_Export!$A2869="","",IFERROR(VLOOKUP(LOWER(TRIM(Raw_Export!D2869)),Maps!$G$2:$I$80,2,FALSE()),"UNMAPPED"))</f>
        <v/>
      </c>
      <c r="E2869" s="36" t="str">
        <f aca="false">IF(Raw_Export!$A2869="","",IFERROR(VLOOKUP(LOWER(TRIM(Raw_Export!D2869)),Maps!$G$2:$I$80,3,FALSE()),"UNMAPPED"))</f>
        <v/>
      </c>
      <c r="F2869" s="36" t="str">
        <f aca="false">IF(Raw_Export!$A2869="","",IFERROR(VALUE(TRIM(Raw_Export!E2869)),0))</f>
        <v/>
      </c>
      <c r="G2869" s="38" t="str">
        <f aca="false">IF(Raw_Export!$A2869="","",IFERROR(VALUE(SUBSTITUTE(SUBSTITUTE(UPPER(TRIM(Raw_Export!F2869)),"KES",""),",","")),0))</f>
        <v/>
      </c>
      <c r="H2869" s="38" t="str">
        <f aca="false">IF(Raw_Export!$A2869="","",F2869*G2869)</f>
        <v/>
      </c>
      <c r="I2869" s="36" t="str">
        <f aca="false">IF(Raw_Export!$A2869="","",IFERROR(VLOOKUP(LOWER(TRIM(Raw_Export!H2869)),Maps!$D$2:$E$12,2,FALSE()),"Other"))</f>
        <v/>
      </c>
      <c r="J2869" s="36" t="str">
        <f aca="false">IF(Raw_Export!$A2869="","",IF(COUNTIF($A$2:A2869,A2869)&gt;1,"Duplicate",""))</f>
        <v/>
      </c>
      <c r="K2869" s="36" t="str">
        <f aca="false">IF(Raw_Export!$A2869="","",IF(J2869="Duplicate","Duplicate",IF(OR(C2869="UNMAPPED",D2869="UNMAPPED"),"Unmapped",IF(F2869=0,"Blank qty",IF(F2869&lt;0,"Return","OK")))))</f>
        <v/>
      </c>
      <c r="L2869" s="36" t="str">
        <f aca="false">IF(Raw_Export!$A2869="","",IF(OR(K2869="OK",K2869="Return"),1,0))</f>
        <v/>
      </c>
      <c r="M2869" s="37" t="str">
        <f aca="false">IF(Raw_Export!$A2869="","",B2869-WEEKDAY(B2869,2)+1)</f>
        <v/>
      </c>
    </row>
    <row r="2870" customFormat="false" ht="15" hidden="false" customHeight="false" outlineLevel="0" collapsed="false">
      <c r="A2870" s="36" t="str">
        <f aca="false">IF(Raw_Export!$A2870="","",TRIM(Raw_Export!A2870))</f>
        <v/>
      </c>
      <c r="B2870" s="37" t="str">
        <f aca="false">IF(Raw_Export!$A2870="","",IF(ISNUMBER(Raw_Export!B2870),Raw_Export!B2870,IF(MID(TRIM(Raw_Export!B2870),5,1)="-",DATE(LEFT(TRIM(Raw_Export!B2870),4),MID(TRIM(Raw_Export!B2870),6,2),RIGHT(TRIM(Raw_Export!B2870),2)),DATE(RIGHT(TRIM(Raw_Export!B2870),4),MATCH(MID(TRIM(Raw_Export!B2870),4,3),{"Jan","Feb","Mar","Apr","May","Jun","Jul","Aug","Sep","Oct","Nov","Dec"},0),LEFT(TRIM(Raw_Export!B2870),2)))))</f>
        <v/>
      </c>
      <c r="C2870" s="36" t="str">
        <f aca="false">IF(Raw_Export!$A2870="","",IFERROR(VLOOKUP(LOWER(TRIM(Raw_Export!C2870)),Maps!$A$2:$B$20,2,FALSE()),"UNMAPPED"))</f>
        <v/>
      </c>
      <c r="D2870" s="36" t="str">
        <f aca="false">IF(Raw_Export!$A2870="","",IFERROR(VLOOKUP(LOWER(TRIM(Raw_Export!D2870)),Maps!$G$2:$I$80,2,FALSE()),"UNMAPPED"))</f>
        <v/>
      </c>
      <c r="E2870" s="36" t="str">
        <f aca="false">IF(Raw_Export!$A2870="","",IFERROR(VLOOKUP(LOWER(TRIM(Raw_Export!D2870)),Maps!$G$2:$I$80,3,FALSE()),"UNMAPPED"))</f>
        <v/>
      </c>
      <c r="F2870" s="36" t="str">
        <f aca="false">IF(Raw_Export!$A2870="","",IFERROR(VALUE(TRIM(Raw_Export!E2870)),0))</f>
        <v/>
      </c>
      <c r="G2870" s="38" t="str">
        <f aca="false">IF(Raw_Export!$A2870="","",IFERROR(VALUE(SUBSTITUTE(SUBSTITUTE(UPPER(TRIM(Raw_Export!F2870)),"KES",""),",","")),0))</f>
        <v/>
      </c>
      <c r="H2870" s="38" t="str">
        <f aca="false">IF(Raw_Export!$A2870="","",F2870*G2870)</f>
        <v/>
      </c>
      <c r="I2870" s="36" t="str">
        <f aca="false">IF(Raw_Export!$A2870="","",IFERROR(VLOOKUP(LOWER(TRIM(Raw_Export!H2870)),Maps!$D$2:$E$12,2,FALSE()),"Other"))</f>
        <v/>
      </c>
      <c r="J2870" s="36" t="str">
        <f aca="false">IF(Raw_Export!$A2870="","",IF(COUNTIF($A$2:A2870,A2870)&gt;1,"Duplicate",""))</f>
        <v/>
      </c>
      <c r="K2870" s="36" t="str">
        <f aca="false">IF(Raw_Export!$A2870="","",IF(J2870="Duplicate","Duplicate",IF(OR(C2870="UNMAPPED",D2870="UNMAPPED"),"Unmapped",IF(F2870=0,"Blank qty",IF(F2870&lt;0,"Return","OK")))))</f>
        <v/>
      </c>
      <c r="L2870" s="36" t="str">
        <f aca="false">IF(Raw_Export!$A2870="","",IF(OR(K2870="OK",K2870="Return"),1,0))</f>
        <v/>
      </c>
      <c r="M2870" s="37" t="str">
        <f aca="false">IF(Raw_Export!$A2870="","",B2870-WEEKDAY(B2870,2)+1)</f>
        <v/>
      </c>
    </row>
    <row r="2871" customFormat="false" ht="15" hidden="false" customHeight="false" outlineLevel="0" collapsed="false">
      <c r="A2871" s="36" t="str">
        <f aca="false">IF(Raw_Export!$A2871="","",TRIM(Raw_Export!A2871))</f>
        <v/>
      </c>
      <c r="B2871" s="37" t="str">
        <f aca="false">IF(Raw_Export!$A2871="","",IF(ISNUMBER(Raw_Export!B2871),Raw_Export!B2871,IF(MID(TRIM(Raw_Export!B2871),5,1)="-",DATE(LEFT(TRIM(Raw_Export!B2871),4),MID(TRIM(Raw_Export!B2871),6,2),RIGHT(TRIM(Raw_Export!B2871),2)),DATE(RIGHT(TRIM(Raw_Export!B2871),4),MATCH(MID(TRIM(Raw_Export!B2871),4,3),{"Jan","Feb","Mar","Apr","May","Jun","Jul","Aug","Sep","Oct","Nov","Dec"},0),LEFT(TRIM(Raw_Export!B2871),2)))))</f>
        <v/>
      </c>
      <c r="C2871" s="36" t="str">
        <f aca="false">IF(Raw_Export!$A2871="","",IFERROR(VLOOKUP(LOWER(TRIM(Raw_Export!C2871)),Maps!$A$2:$B$20,2,FALSE()),"UNMAPPED"))</f>
        <v/>
      </c>
      <c r="D2871" s="36" t="str">
        <f aca="false">IF(Raw_Export!$A2871="","",IFERROR(VLOOKUP(LOWER(TRIM(Raw_Export!D2871)),Maps!$G$2:$I$80,2,FALSE()),"UNMAPPED"))</f>
        <v/>
      </c>
      <c r="E2871" s="36" t="str">
        <f aca="false">IF(Raw_Export!$A2871="","",IFERROR(VLOOKUP(LOWER(TRIM(Raw_Export!D2871)),Maps!$G$2:$I$80,3,FALSE()),"UNMAPPED"))</f>
        <v/>
      </c>
      <c r="F2871" s="36" t="str">
        <f aca="false">IF(Raw_Export!$A2871="","",IFERROR(VALUE(TRIM(Raw_Export!E2871)),0))</f>
        <v/>
      </c>
      <c r="G2871" s="38" t="str">
        <f aca="false">IF(Raw_Export!$A2871="","",IFERROR(VALUE(SUBSTITUTE(SUBSTITUTE(UPPER(TRIM(Raw_Export!F2871)),"KES",""),",","")),0))</f>
        <v/>
      </c>
      <c r="H2871" s="38" t="str">
        <f aca="false">IF(Raw_Export!$A2871="","",F2871*G2871)</f>
        <v/>
      </c>
      <c r="I2871" s="36" t="str">
        <f aca="false">IF(Raw_Export!$A2871="","",IFERROR(VLOOKUP(LOWER(TRIM(Raw_Export!H2871)),Maps!$D$2:$E$12,2,FALSE()),"Other"))</f>
        <v/>
      </c>
      <c r="J2871" s="36" t="str">
        <f aca="false">IF(Raw_Export!$A2871="","",IF(COUNTIF($A$2:A2871,A2871)&gt;1,"Duplicate",""))</f>
        <v/>
      </c>
      <c r="K2871" s="36" t="str">
        <f aca="false">IF(Raw_Export!$A2871="","",IF(J2871="Duplicate","Duplicate",IF(OR(C2871="UNMAPPED",D2871="UNMAPPED"),"Unmapped",IF(F2871=0,"Blank qty",IF(F2871&lt;0,"Return","OK")))))</f>
        <v/>
      </c>
      <c r="L2871" s="36" t="str">
        <f aca="false">IF(Raw_Export!$A2871="","",IF(OR(K2871="OK",K2871="Return"),1,0))</f>
        <v/>
      </c>
      <c r="M2871" s="37" t="str">
        <f aca="false">IF(Raw_Export!$A2871="","",B2871-WEEKDAY(B2871,2)+1)</f>
        <v/>
      </c>
    </row>
    <row r="2872" customFormat="false" ht="15" hidden="false" customHeight="false" outlineLevel="0" collapsed="false">
      <c r="A2872" s="36" t="str">
        <f aca="false">IF(Raw_Export!$A2872="","",TRIM(Raw_Export!A2872))</f>
        <v/>
      </c>
      <c r="B2872" s="37" t="str">
        <f aca="false">IF(Raw_Export!$A2872="","",IF(ISNUMBER(Raw_Export!B2872),Raw_Export!B2872,IF(MID(TRIM(Raw_Export!B2872),5,1)="-",DATE(LEFT(TRIM(Raw_Export!B2872),4),MID(TRIM(Raw_Export!B2872),6,2),RIGHT(TRIM(Raw_Export!B2872),2)),DATE(RIGHT(TRIM(Raw_Export!B2872),4),MATCH(MID(TRIM(Raw_Export!B2872),4,3),{"Jan","Feb","Mar","Apr","May","Jun","Jul","Aug","Sep","Oct","Nov","Dec"},0),LEFT(TRIM(Raw_Export!B2872),2)))))</f>
        <v/>
      </c>
      <c r="C2872" s="36" t="str">
        <f aca="false">IF(Raw_Export!$A2872="","",IFERROR(VLOOKUP(LOWER(TRIM(Raw_Export!C2872)),Maps!$A$2:$B$20,2,FALSE()),"UNMAPPED"))</f>
        <v/>
      </c>
      <c r="D2872" s="36" t="str">
        <f aca="false">IF(Raw_Export!$A2872="","",IFERROR(VLOOKUP(LOWER(TRIM(Raw_Export!D2872)),Maps!$G$2:$I$80,2,FALSE()),"UNMAPPED"))</f>
        <v/>
      </c>
      <c r="E2872" s="36" t="str">
        <f aca="false">IF(Raw_Export!$A2872="","",IFERROR(VLOOKUP(LOWER(TRIM(Raw_Export!D2872)),Maps!$G$2:$I$80,3,FALSE()),"UNMAPPED"))</f>
        <v/>
      </c>
      <c r="F2872" s="36" t="str">
        <f aca="false">IF(Raw_Export!$A2872="","",IFERROR(VALUE(TRIM(Raw_Export!E2872)),0))</f>
        <v/>
      </c>
      <c r="G2872" s="38" t="str">
        <f aca="false">IF(Raw_Export!$A2872="","",IFERROR(VALUE(SUBSTITUTE(SUBSTITUTE(UPPER(TRIM(Raw_Export!F2872)),"KES",""),",","")),0))</f>
        <v/>
      </c>
      <c r="H2872" s="38" t="str">
        <f aca="false">IF(Raw_Export!$A2872="","",F2872*G2872)</f>
        <v/>
      </c>
      <c r="I2872" s="36" t="str">
        <f aca="false">IF(Raw_Export!$A2872="","",IFERROR(VLOOKUP(LOWER(TRIM(Raw_Export!H2872)),Maps!$D$2:$E$12,2,FALSE()),"Other"))</f>
        <v/>
      </c>
      <c r="J2872" s="36" t="str">
        <f aca="false">IF(Raw_Export!$A2872="","",IF(COUNTIF($A$2:A2872,A2872)&gt;1,"Duplicate",""))</f>
        <v/>
      </c>
      <c r="K2872" s="36" t="str">
        <f aca="false">IF(Raw_Export!$A2872="","",IF(J2872="Duplicate","Duplicate",IF(OR(C2872="UNMAPPED",D2872="UNMAPPED"),"Unmapped",IF(F2872=0,"Blank qty",IF(F2872&lt;0,"Return","OK")))))</f>
        <v/>
      </c>
      <c r="L2872" s="36" t="str">
        <f aca="false">IF(Raw_Export!$A2872="","",IF(OR(K2872="OK",K2872="Return"),1,0))</f>
        <v/>
      </c>
      <c r="M2872" s="37" t="str">
        <f aca="false">IF(Raw_Export!$A2872="","",B2872-WEEKDAY(B2872,2)+1)</f>
        <v/>
      </c>
    </row>
    <row r="2873" customFormat="false" ht="15" hidden="false" customHeight="false" outlineLevel="0" collapsed="false">
      <c r="A2873" s="36" t="str">
        <f aca="false">IF(Raw_Export!$A2873="","",TRIM(Raw_Export!A2873))</f>
        <v/>
      </c>
      <c r="B2873" s="37" t="str">
        <f aca="false">IF(Raw_Export!$A2873="","",IF(ISNUMBER(Raw_Export!B2873),Raw_Export!B2873,IF(MID(TRIM(Raw_Export!B2873),5,1)="-",DATE(LEFT(TRIM(Raw_Export!B2873),4),MID(TRIM(Raw_Export!B2873),6,2),RIGHT(TRIM(Raw_Export!B2873),2)),DATE(RIGHT(TRIM(Raw_Export!B2873),4),MATCH(MID(TRIM(Raw_Export!B2873),4,3),{"Jan","Feb","Mar","Apr","May","Jun","Jul","Aug","Sep","Oct","Nov","Dec"},0),LEFT(TRIM(Raw_Export!B2873),2)))))</f>
        <v/>
      </c>
      <c r="C2873" s="36" t="str">
        <f aca="false">IF(Raw_Export!$A2873="","",IFERROR(VLOOKUP(LOWER(TRIM(Raw_Export!C2873)),Maps!$A$2:$B$20,2,FALSE()),"UNMAPPED"))</f>
        <v/>
      </c>
      <c r="D2873" s="36" t="str">
        <f aca="false">IF(Raw_Export!$A2873="","",IFERROR(VLOOKUP(LOWER(TRIM(Raw_Export!D2873)),Maps!$G$2:$I$80,2,FALSE()),"UNMAPPED"))</f>
        <v/>
      </c>
      <c r="E2873" s="36" t="str">
        <f aca="false">IF(Raw_Export!$A2873="","",IFERROR(VLOOKUP(LOWER(TRIM(Raw_Export!D2873)),Maps!$G$2:$I$80,3,FALSE()),"UNMAPPED"))</f>
        <v/>
      </c>
      <c r="F2873" s="36" t="str">
        <f aca="false">IF(Raw_Export!$A2873="","",IFERROR(VALUE(TRIM(Raw_Export!E2873)),0))</f>
        <v/>
      </c>
      <c r="G2873" s="38" t="str">
        <f aca="false">IF(Raw_Export!$A2873="","",IFERROR(VALUE(SUBSTITUTE(SUBSTITUTE(UPPER(TRIM(Raw_Export!F2873)),"KES",""),",","")),0))</f>
        <v/>
      </c>
      <c r="H2873" s="38" t="str">
        <f aca="false">IF(Raw_Export!$A2873="","",F2873*G2873)</f>
        <v/>
      </c>
      <c r="I2873" s="36" t="str">
        <f aca="false">IF(Raw_Export!$A2873="","",IFERROR(VLOOKUP(LOWER(TRIM(Raw_Export!H2873)),Maps!$D$2:$E$12,2,FALSE()),"Other"))</f>
        <v/>
      </c>
      <c r="J2873" s="36" t="str">
        <f aca="false">IF(Raw_Export!$A2873="","",IF(COUNTIF($A$2:A2873,A2873)&gt;1,"Duplicate",""))</f>
        <v/>
      </c>
      <c r="K2873" s="36" t="str">
        <f aca="false">IF(Raw_Export!$A2873="","",IF(J2873="Duplicate","Duplicate",IF(OR(C2873="UNMAPPED",D2873="UNMAPPED"),"Unmapped",IF(F2873=0,"Blank qty",IF(F2873&lt;0,"Return","OK")))))</f>
        <v/>
      </c>
      <c r="L2873" s="36" t="str">
        <f aca="false">IF(Raw_Export!$A2873="","",IF(OR(K2873="OK",K2873="Return"),1,0))</f>
        <v/>
      </c>
      <c r="M2873" s="37" t="str">
        <f aca="false">IF(Raw_Export!$A2873="","",B2873-WEEKDAY(B2873,2)+1)</f>
        <v/>
      </c>
    </row>
    <row r="2874" customFormat="false" ht="15" hidden="false" customHeight="false" outlineLevel="0" collapsed="false">
      <c r="A2874" s="36" t="str">
        <f aca="false">IF(Raw_Export!$A2874="","",TRIM(Raw_Export!A2874))</f>
        <v/>
      </c>
      <c r="B2874" s="37" t="str">
        <f aca="false">IF(Raw_Export!$A2874="","",IF(ISNUMBER(Raw_Export!B2874),Raw_Export!B2874,IF(MID(TRIM(Raw_Export!B2874),5,1)="-",DATE(LEFT(TRIM(Raw_Export!B2874),4),MID(TRIM(Raw_Export!B2874),6,2),RIGHT(TRIM(Raw_Export!B2874),2)),DATE(RIGHT(TRIM(Raw_Export!B2874),4),MATCH(MID(TRIM(Raw_Export!B2874),4,3),{"Jan","Feb","Mar","Apr","May","Jun","Jul","Aug","Sep","Oct","Nov","Dec"},0),LEFT(TRIM(Raw_Export!B2874),2)))))</f>
        <v/>
      </c>
      <c r="C2874" s="36" t="str">
        <f aca="false">IF(Raw_Export!$A2874="","",IFERROR(VLOOKUP(LOWER(TRIM(Raw_Export!C2874)),Maps!$A$2:$B$20,2,FALSE()),"UNMAPPED"))</f>
        <v/>
      </c>
      <c r="D2874" s="36" t="str">
        <f aca="false">IF(Raw_Export!$A2874="","",IFERROR(VLOOKUP(LOWER(TRIM(Raw_Export!D2874)),Maps!$G$2:$I$80,2,FALSE()),"UNMAPPED"))</f>
        <v/>
      </c>
      <c r="E2874" s="36" t="str">
        <f aca="false">IF(Raw_Export!$A2874="","",IFERROR(VLOOKUP(LOWER(TRIM(Raw_Export!D2874)),Maps!$G$2:$I$80,3,FALSE()),"UNMAPPED"))</f>
        <v/>
      </c>
      <c r="F2874" s="36" t="str">
        <f aca="false">IF(Raw_Export!$A2874="","",IFERROR(VALUE(TRIM(Raw_Export!E2874)),0))</f>
        <v/>
      </c>
      <c r="G2874" s="38" t="str">
        <f aca="false">IF(Raw_Export!$A2874="","",IFERROR(VALUE(SUBSTITUTE(SUBSTITUTE(UPPER(TRIM(Raw_Export!F2874)),"KES",""),",","")),0))</f>
        <v/>
      </c>
      <c r="H2874" s="38" t="str">
        <f aca="false">IF(Raw_Export!$A2874="","",F2874*G2874)</f>
        <v/>
      </c>
      <c r="I2874" s="36" t="str">
        <f aca="false">IF(Raw_Export!$A2874="","",IFERROR(VLOOKUP(LOWER(TRIM(Raw_Export!H2874)),Maps!$D$2:$E$12,2,FALSE()),"Other"))</f>
        <v/>
      </c>
      <c r="J2874" s="36" t="str">
        <f aca="false">IF(Raw_Export!$A2874="","",IF(COUNTIF($A$2:A2874,A2874)&gt;1,"Duplicate",""))</f>
        <v/>
      </c>
      <c r="K2874" s="36" t="str">
        <f aca="false">IF(Raw_Export!$A2874="","",IF(J2874="Duplicate","Duplicate",IF(OR(C2874="UNMAPPED",D2874="UNMAPPED"),"Unmapped",IF(F2874=0,"Blank qty",IF(F2874&lt;0,"Return","OK")))))</f>
        <v/>
      </c>
      <c r="L2874" s="36" t="str">
        <f aca="false">IF(Raw_Export!$A2874="","",IF(OR(K2874="OK",K2874="Return"),1,0))</f>
        <v/>
      </c>
      <c r="M2874" s="37" t="str">
        <f aca="false">IF(Raw_Export!$A2874="","",B2874-WEEKDAY(B2874,2)+1)</f>
        <v/>
      </c>
    </row>
    <row r="2875" customFormat="false" ht="15" hidden="false" customHeight="false" outlineLevel="0" collapsed="false">
      <c r="A2875" s="36" t="str">
        <f aca="false">IF(Raw_Export!$A2875="","",TRIM(Raw_Export!A2875))</f>
        <v/>
      </c>
      <c r="B2875" s="37" t="str">
        <f aca="false">IF(Raw_Export!$A2875="","",IF(ISNUMBER(Raw_Export!B2875),Raw_Export!B2875,IF(MID(TRIM(Raw_Export!B2875),5,1)="-",DATE(LEFT(TRIM(Raw_Export!B2875),4),MID(TRIM(Raw_Export!B2875),6,2),RIGHT(TRIM(Raw_Export!B2875),2)),DATE(RIGHT(TRIM(Raw_Export!B2875),4),MATCH(MID(TRIM(Raw_Export!B2875),4,3),{"Jan","Feb","Mar","Apr","May","Jun","Jul","Aug","Sep","Oct","Nov","Dec"},0),LEFT(TRIM(Raw_Export!B2875),2)))))</f>
        <v/>
      </c>
      <c r="C2875" s="36" t="str">
        <f aca="false">IF(Raw_Export!$A2875="","",IFERROR(VLOOKUP(LOWER(TRIM(Raw_Export!C2875)),Maps!$A$2:$B$20,2,FALSE()),"UNMAPPED"))</f>
        <v/>
      </c>
      <c r="D2875" s="36" t="str">
        <f aca="false">IF(Raw_Export!$A2875="","",IFERROR(VLOOKUP(LOWER(TRIM(Raw_Export!D2875)),Maps!$G$2:$I$80,2,FALSE()),"UNMAPPED"))</f>
        <v/>
      </c>
      <c r="E2875" s="36" t="str">
        <f aca="false">IF(Raw_Export!$A2875="","",IFERROR(VLOOKUP(LOWER(TRIM(Raw_Export!D2875)),Maps!$G$2:$I$80,3,FALSE()),"UNMAPPED"))</f>
        <v/>
      </c>
      <c r="F2875" s="36" t="str">
        <f aca="false">IF(Raw_Export!$A2875="","",IFERROR(VALUE(TRIM(Raw_Export!E2875)),0))</f>
        <v/>
      </c>
      <c r="G2875" s="38" t="str">
        <f aca="false">IF(Raw_Export!$A2875="","",IFERROR(VALUE(SUBSTITUTE(SUBSTITUTE(UPPER(TRIM(Raw_Export!F2875)),"KES",""),",","")),0))</f>
        <v/>
      </c>
      <c r="H2875" s="38" t="str">
        <f aca="false">IF(Raw_Export!$A2875="","",F2875*G2875)</f>
        <v/>
      </c>
      <c r="I2875" s="36" t="str">
        <f aca="false">IF(Raw_Export!$A2875="","",IFERROR(VLOOKUP(LOWER(TRIM(Raw_Export!H2875)),Maps!$D$2:$E$12,2,FALSE()),"Other"))</f>
        <v/>
      </c>
      <c r="J2875" s="36" t="str">
        <f aca="false">IF(Raw_Export!$A2875="","",IF(COUNTIF($A$2:A2875,A2875)&gt;1,"Duplicate",""))</f>
        <v/>
      </c>
      <c r="K2875" s="36" t="str">
        <f aca="false">IF(Raw_Export!$A2875="","",IF(J2875="Duplicate","Duplicate",IF(OR(C2875="UNMAPPED",D2875="UNMAPPED"),"Unmapped",IF(F2875=0,"Blank qty",IF(F2875&lt;0,"Return","OK")))))</f>
        <v/>
      </c>
      <c r="L2875" s="36" t="str">
        <f aca="false">IF(Raw_Export!$A2875="","",IF(OR(K2875="OK",K2875="Return"),1,0))</f>
        <v/>
      </c>
      <c r="M2875" s="37" t="str">
        <f aca="false">IF(Raw_Export!$A2875="","",B2875-WEEKDAY(B2875,2)+1)</f>
        <v/>
      </c>
    </row>
    <row r="2876" customFormat="false" ht="15" hidden="false" customHeight="false" outlineLevel="0" collapsed="false">
      <c r="A2876" s="36" t="str">
        <f aca="false">IF(Raw_Export!$A2876="","",TRIM(Raw_Export!A2876))</f>
        <v/>
      </c>
      <c r="B2876" s="37" t="str">
        <f aca="false">IF(Raw_Export!$A2876="","",IF(ISNUMBER(Raw_Export!B2876),Raw_Export!B2876,IF(MID(TRIM(Raw_Export!B2876),5,1)="-",DATE(LEFT(TRIM(Raw_Export!B2876),4),MID(TRIM(Raw_Export!B2876),6,2),RIGHT(TRIM(Raw_Export!B2876),2)),DATE(RIGHT(TRIM(Raw_Export!B2876),4),MATCH(MID(TRIM(Raw_Export!B2876),4,3),{"Jan","Feb","Mar","Apr","May","Jun","Jul","Aug","Sep","Oct","Nov","Dec"},0),LEFT(TRIM(Raw_Export!B2876),2)))))</f>
        <v/>
      </c>
      <c r="C2876" s="36" t="str">
        <f aca="false">IF(Raw_Export!$A2876="","",IFERROR(VLOOKUP(LOWER(TRIM(Raw_Export!C2876)),Maps!$A$2:$B$20,2,FALSE()),"UNMAPPED"))</f>
        <v/>
      </c>
      <c r="D2876" s="36" t="str">
        <f aca="false">IF(Raw_Export!$A2876="","",IFERROR(VLOOKUP(LOWER(TRIM(Raw_Export!D2876)),Maps!$G$2:$I$80,2,FALSE()),"UNMAPPED"))</f>
        <v/>
      </c>
      <c r="E2876" s="36" t="str">
        <f aca="false">IF(Raw_Export!$A2876="","",IFERROR(VLOOKUP(LOWER(TRIM(Raw_Export!D2876)),Maps!$G$2:$I$80,3,FALSE()),"UNMAPPED"))</f>
        <v/>
      </c>
      <c r="F2876" s="36" t="str">
        <f aca="false">IF(Raw_Export!$A2876="","",IFERROR(VALUE(TRIM(Raw_Export!E2876)),0))</f>
        <v/>
      </c>
      <c r="G2876" s="38" t="str">
        <f aca="false">IF(Raw_Export!$A2876="","",IFERROR(VALUE(SUBSTITUTE(SUBSTITUTE(UPPER(TRIM(Raw_Export!F2876)),"KES",""),",","")),0))</f>
        <v/>
      </c>
      <c r="H2876" s="38" t="str">
        <f aca="false">IF(Raw_Export!$A2876="","",F2876*G2876)</f>
        <v/>
      </c>
      <c r="I2876" s="36" t="str">
        <f aca="false">IF(Raw_Export!$A2876="","",IFERROR(VLOOKUP(LOWER(TRIM(Raw_Export!H2876)),Maps!$D$2:$E$12,2,FALSE()),"Other"))</f>
        <v/>
      </c>
      <c r="J2876" s="36" t="str">
        <f aca="false">IF(Raw_Export!$A2876="","",IF(COUNTIF($A$2:A2876,A2876)&gt;1,"Duplicate",""))</f>
        <v/>
      </c>
      <c r="K2876" s="36" t="str">
        <f aca="false">IF(Raw_Export!$A2876="","",IF(J2876="Duplicate","Duplicate",IF(OR(C2876="UNMAPPED",D2876="UNMAPPED"),"Unmapped",IF(F2876=0,"Blank qty",IF(F2876&lt;0,"Return","OK")))))</f>
        <v/>
      </c>
      <c r="L2876" s="36" t="str">
        <f aca="false">IF(Raw_Export!$A2876="","",IF(OR(K2876="OK",K2876="Return"),1,0))</f>
        <v/>
      </c>
      <c r="M2876" s="37" t="str">
        <f aca="false">IF(Raw_Export!$A2876="","",B2876-WEEKDAY(B2876,2)+1)</f>
        <v/>
      </c>
    </row>
    <row r="2877" customFormat="false" ht="15" hidden="false" customHeight="false" outlineLevel="0" collapsed="false">
      <c r="A2877" s="36" t="str">
        <f aca="false">IF(Raw_Export!$A2877="","",TRIM(Raw_Export!A2877))</f>
        <v/>
      </c>
      <c r="B2877" s="37" t="str">
        <f aca="false">IF(Raw_Export!$A2877="","",IF(ISNUMBER(Raw_Export!B2877),Raw_Export!B2877,IF(MID(TRIM(Raw_Export!B2877),5,1)="-",DATE(LEFT(TRIM(Raw_Export!B2877),4),MID(TRIM(Raw_Export!B2877),6,2),RIGHT(TRIM(Raw_Export!B2877),2)),DATE(RIGHT(TRIM(Raw_Export!B2877),4),MATCH(MID(TRIM(Raw_Export!B2877),4,3),{"Jan","Feb","Mar","Apr","May","Jun","Jul","Aug","Sep","Oct","Nov","Dec"},0),LEFT(TRIM(Raw_Export!B2877),2)))))</f>
        <v/>
      </c>
      <c r="C2877" s="36" t="str">
        <f aca="false">IF(Raw_Export!$A2877="","",IFERROR(VLOOKUP(LOWER(TRIM(Raw_Export!C2877)),Maps!$A$2:$B$20,2,FALSE()),"UNMAPPED"))</f>
        <v/>
      </c>
      <c r="D2877" s="36" t="str">
        <f aca="false">IF(Raw_Export!$A2877="","",IFERROR(VLOOKUP(LOWER(TRIM(Raw_Export!D2877)),Maps!$G$2:$I$80,2,FALSE()),"UNMAPPED"))</f>
        <v/>
      </c>
      <c r="E2877" s="36" t="str">
        <f aca="false">IF(Raw_Export!$A2877="","",IFERROR(VLOOKUP(LOWER(TRIM(Raw_Export!D2877)),Maps!$G$2:$I$80,3,FALSE()),"UNMAPPED"))</f>
        <v/>
      </c>
      <c r="F2877" s="36" t="str">
        <f aca="false">IF(Raw_Export!$A2877="","",IFERROR(VALUE(TRIM(Raw_Export!E2877)),0))</f>
        <v/>
      </c>
      <c r="G2877" s="38" t="str">
        <f aca="false">IF(Raw_Export!$A2877="","",IFERROR(VALUE(SUBSTITUTE(SUBSTITUTE(UPPER(TRIM(Raw_Export!F2877)),"KES",""),",","")),0))</f>
        <v/>
      </c>
      <c r="H2877" s="38" t="str">
        <f aca="false">IF(Raw_Export!$A2877="","",F2877*G2877)</f>
        <v/>
      </c>
      <c r="I2877" s="36" t="str">
        <f aca="false">IF(Raw_Export!$A2877="","",IFERROR(VLOOKUP(LOWER(TRIM(Raw_Export!H2877)),Maps!$D$2:$E$12,2,FALSE()),"Other"))</f>
        <v/>
      </c>
      <c r="J2877" s="36" t="str">
        <f aca="false">IF(Raw_Export!$A2877="","",IF(COUNTIF($A$2:A2877,A2877)&gt;1,"Duplicate",""))</f>
        <v/>
      </c>
      <c r="K2877" s="36" t="str">
        <f aca="false">IF(Raw_Export!$A2877="","",IF(J2877="Duplicate","Duplicate",IF(OR(C2877="UNMAPPED",D2877="UNMAPPED"),"Unmapped",IF(F2877=0,"Blank qty",IF(F2877&lt;0,"Return","OK")))))</f>
        <v/>
      </c>
      <c r="L2877" s="36" t="str">
        <f aca="false">IF(Raw_Export!$A2877="","",IF(OR(K2877="OK",K2877="Return"),1,0))</f>
        <v/>
      </c>
      <c r="M2877" s="37" t="str">
        <f aca="false">IF(Raw_Export!$A2877="","",B2877-WEEKDAY(B2877,2)+1)</f>
        <v/>
      </c>
    </row>
    <row r="2878" customFormat="false" ht="15" hidden="false" customHeight="false" outlineLevel="0" collapsed="false">
      <c r="A2878" s="36" t="str">
        <f aca="false">IF(Raw_Export!$A2878="","",TRIM(Raw_Export!A2878))</f>
        <v/>
      </c>
      <c r="B2878" s="37" t="str">
        <f aca="false">IF(Raw_Export!$A2878="","",IF(ISNUMBER(Raw_Export!B2878),Raw_Export!B2878,IF(MID(TRIM(Raw_Export!B2878),5,1)="-",DATE(LEFT(TRIM(Raw_Export!B2878),4),MID(TRIM(Raw_Export!B2878),6,2),RIGHT(TRIM(Raw_Export!B2878),2)),DATE(RIGHT(TRIM(Raw_Export!B2878),4),MATCH(MID(TRIM(Raw_Export!B2878),4,3),{"Jan","Feb","Mar","Apr","May","Jun","Jul","Aug","Sep","Oct","Nov","Dec"},0),LEFT(TRIM(Raw_Export!B2878),2)))))</f>
        <v/>
      </c>
      <c r="C2878" s="36" t="str">
        <f aca="false">IF(Raw_Export!$A2878="","",IFERROR(VLOOKUP(LOWER(TRIM(Raw_Export!C2878)),Maps!$A$2:$B$20,2,FALSE()),"UNMAPPED"))</f>
        <v/>
      </c>
      <c r="D2878" s="36" t="str">
        <f aca="false">IF(Raw_Export!$A2878="","",IFERROR(VLOOKUP(LOWER(TRIM(Raw_Export!D2878)),Maps!$G$2:$I$80,2,FALSE()),"UNMAPPED"))</f>
        <v/>
      </c>
      <c r="E2878" s="36" t="str">
        <f aca="false">IF(Raw_Export!$A2878="","",IFERROR(VLOOKUP(LOWER(TRIM(Raw_Export!D2878)),Maps!$G$2:$I$80,3,FALSE()),"UNMAPPED"))</f>
        <v/>
      </c>
      <c r="F2878" s="36" t="str">
        <f aca="false">IF(Raw_Export!$A2878="","",IFERROR(VALUE(TRIM(Raw_Export!E2878)),0))</f>
        <v/>
      </c>
      <c r="G2878" s="38" t="str">
        <f aca="false">IF(Raw_Export!$A2878="","",IFERROR(VALUE(SUBSTITUTE(SUBSTITUTE(UPPER(TRIM(Raw_Export!F2878)),"KES",""),",","")),0))</f>
        <v/>
      </c>
      <c r="H2878" s="38" t="str">
        <f aca="false">IF(Raw_Export!$A2878="","",F2878*G2878)</f>
        <v/>
      </c>
      <c r="I2878" s="36" t="str">
        <f aca="false">IF(Raw_Export!$A2878="","",IFERROR(VLOOKUP(LOWER(TRIM(Raw_Export!H2878)),Maps!$D$2:$E$12,2,FALSE()),"Other"))</f>
        <v/>
      </c>
      <c r="J2878" s="36" t="str">
        <f aca="false">IF(Raw_Export!$A2878="","",IF(COUNTIF($A$2:A2878,A2878)&gt;1,"Duplicate",""))</f>
        <v/>
      </c>
      <c r="K2878" s="36" t="str">
        <f aca="false">IF(Raw_Export!$A2878="","",IF(J2878="Duplicate","Duplicate",IF(OR(C2878="UNMAPPED",D2878="UNMAPPED"),"Unmapped",IF(F2878=0,"Blank qty",IF(F2878&lt;0,"Return","OK")))))</f>
        <v/>
      </c>
      <c r="L2878" s="36" t="str">
        <f aca="false">IF(Raw_Export!$A2878="","",IF(OR(K2878="OK",K2878="Return"),1,0))</f>
        <v/>
      </c>
      <c r="M2878" s="37" t="str">
        <f aca="false">IF(Raw_Export!$A2878="","",B2878-WEEKDAY(B2878,2)+1)</f>
        <v/>
      </c>
    </row>
    <row r="2879" customFormat="false" ht="15" hidden="false" customHeight="false" outlineLevel="0" collapsed="false">
      <c r="A2879" s="36" t="str">
        <f aca="false">IF(Raw_Export!$A2879="","",TRIM(Raw_Export!A2879))</f>
        <v/>
      </c>
      <c r="B2879" s="37" t="str">
        <f aca="false">IF(Raw_Export!$A2879="","",IF(ISNUMBER(Raw_Export!B2879),Raw_Export!B2879,IF(MID(TRIM(Raw_Export!B2879),5,1)="-",DATE(LEFT(TRIM(Raw_Export!B2879),4),MID(TRIM(Raw_Export!B2879),6,2),RIGHT(TRIM(Raw_Export!B2879),2)),DATE(RIGHT(TRIM(Raw_Export!B2879),4),MATCH(MID(TRIM(Raw_Export!B2879),4,3),{"Jan","Feb","Mar","Apr","May","Jun","Jul","Aug","Sep","Oct","Nov","Dec"},0),LEFT(TRIM(Raw_Export!B2879),2)))))</f>
        <v/>
      </c>
      <c r="C2879" s="36" t="str">
        <f aca="false">IF(Raw_Export!$A2879="","",IFERROR(VLOOKUP(LOWER(TRIM(Raw_Export!C2879)),Maps!$A$2:$B$20,2,FALSE()),"UNMAPPED"))</f>
        <v/>
      </c>
      <c r="D2879" s="36" t="str">
        <f aca="false">IF(Raw_Export!$A2879="","",IFERROR(VLOOKUP(LOWER(TRIM(Raw_Export!D2879)),Maps!$G$2:$I$80,2,FALSE()),"UNMAPPED"))</f>
        <v/>
      </c>
      <c r="E2879" s="36" t="str">
        <f aca="false">IF(Raw_Export!$A2879="","",IFERROR(VLOOKUP(LOWER(TRIM(Raw_Export!D2879)),Maps!$G$2:$I$80,3,FALSE()),"UNMAPPED"))</f>
        <v/>
      </c>
      <c r="F2879" s="36" t="str">
        <f aca="false">IF(Raw_Export!$A2879="","",IFERROR(VALUE(TRIM(Raw_Export!E2879)),0))</f>
        <v/>
      </c>
      <c r="G2879" s="38" t="str">
        <f aca="false">IF(Raw_Export!$A2879="","",IFERROR(VALUE(SUBSTITUTE(SUBSTITUTE(UPPER(TRIM(Raw_Export!F2879)),"KES",""),",","")),0))</f>
        <v/>
      </c>
      <c r="H2879" s="38" t="str">
        <f aca="false">IF(Raw_Export!$A2879="","",F2879*G2879)</f>
        <v/>
      </c>
      <c r="I2879" s="36" t="str">
        <f aca="false">IF(Raw_Export!$A2879="","",IFERROR(VLOOKUP(LOWER(TRIM(Raw_Export!H2879)),Maps!$D$2:$E$12,2,FALSE()),"Other"))</f>
        <v/>
      </c>
      <c r="J2879" s="36" t="str">
        <f aca="false">IF(Raw_Export!$A2879="","",IF(COUNTIF($A$2:A2879,A2879)&gt;1,"Duplicate",""))</f>
        <v/>
      </c>
      <c r="K2879" s="36" t="str">
        <f aca="false">IF(Raw_Export!$A2879="","",IF(J2879="Duplicate","Duplicate",IF(OR(C2879="UNMAPPED",D2879="UNMAPPED"),"Unmapped",IF(F2879=0,"Blank qty",IF(F2879&lt;0,"Return","OK")))))</f>
        <v/>
      </c>
      <c r="L2879" s="36" t="str">
        <f aca="false">IF(Raw_Export!$A2879="","",IF(OR(K2879="OK",K2879="Return"),1,0))</f>
        <v/>
      </c>
      <c r="M2879" s="37" t="str">
        <f aca="false">IF(Raw_Export!$A2879="","",B2879-WEEKDAY(B2879,2)+1)</f>
        <v/>
      </c>
    </row>
    <row r="2880" customFormat="false" ht="15" hidden="false" customHeight="false" outlineLevel="0" collapsed="false">
      <c r="A2880" s="36" t="str">
        <f aca="false">IF(Raw_Export!$A2880="","",TRIM(Raw_Export!A2880))</f>
        <v/>
      </c>
      <c r="B2880" s="37" t="str">
        <f aca="false">IF(Raw_Export!$A2880="","",IF(ISNUMBER(Raw_Export!B2880),Raw_Export!B2880,IF(MID(TRIM(Raw_Export!B2880),5,1)="-",DATE(LEFT(TRIM(Raw_Export!B2880),4),MID(TRIM(Raw_Export!B2880),6,2),RIGHT(TRIM(Raw_Export!B2880),2)),DATE(RIGHT(TRIM(Raw_Export!B2880),4),MATCH(MID(TRIM(Raw_Export!B2880),4,3),{"Jan","Feb","Mar","Apr","May","Jun","Jul","Aug","Sep","Oct","Nov","Dec"},0),LEFT(TRIM(Raw_Export!B2880),2)))))</f>
        <v/>
      </c>
      <c r="C2880" s="36" t="str">
        <f aca="false">IF(Raw_Export!$A2880="","",IFERROR(VLOOKUP(LOWER(TRIM(Raw_Export!C2880)),Maps!$A$2:$B$20,2,FALSE()),"UNMAPPED"))</f>
        <v/>
      </c>
      <c r="D2880" s="36" t="str">
        <f aca="false">IF(Raw_Export!$A2880="","",IFERROR(VLOOKUP(LOWER(TRIM(Raw_Export!D2880)),Maps!$G$2:$I$80,2,FALSE()),"UNMAPPED"))</f>
        <v/>
      </c>
      <c r="E2880" s="36" t="str">
        <f aca="false">IF(Raw_Export!$A2880="","",IFERROR(VLOOKUP(LOWER(TRIM(Raw_Export!D2880)),Maps!$G$2:$I$80,3,FALSE()),"UNMAPPED"))</f>
        <v/>
      </c>
      <c r="F2880" s="36" t="str">
        <f aca="false">IF(Raw_Export!$A2880="","",IFERROR(VALUE(TRIM(Raw_Export!E2880)),0))</f>
        <v/>
      </c>
      <c r="G2880" s="38" t="str">
        <f aca="false">IF(Raw_Export!$A2880="","",IFERROR(VALUE(SUBSTITUTE(SUBSTITUTE(UPPER(TRIM(Raw_Export!F2880)),"KES",""),",","")),0))</f>
        <v/>
      </c>
      <c r="H2880" s="38" t="str">
        <f aca="false">IF(Raw_Export!$A2880="","",F2880*G2880)</f>
        <v/>
      </c>
      <c r="I2880" s="36" t="str">
        <f aca="false">IF(Raw_Export!$A2880="","",IFERROR(VLOOKUP(LOWER(TRIM(Raw_Export!H2880)),Maps!$D$2:$E$12,2,FALSE()),"Other"))</f>
        <v/>
      </c>
      <c r="J2880" s="36" t="str">
        <f aca="false">IF(Raw_Export!$A2880="","",IF(COUNTIF($A$2:A2880,A2880)&gt;1,"Duplicate",""))</f>
        <v/>
      </c>
      <c r="K2880" s="36" t="str">
        <f aca="false">IF(Raw_Export!$A2880="","",IF(J2880="Duplicate","Duplicate",IF(OR(C2880="UNMAPPED",D2880="UNMAPPED"),"Unmapped",IF(F2880=0,"Blank qty",IF(F2880&lt;0,"Return","OK")))))</f>
        <v/>
      </c>
      <c r="L2880" s="36" t="str">
        <f aca="false">IF(Raw_Export!$A2880="","",IF(OR(K2880="OK",K2880="Return"),1,0))</f>
        <v/>
      </c>
      <c r="M2880" s="37" t="str">
        <f aca="false">IF(Raw_Export!$A2880="","",B2880-WEEKDAY(B2880,2)+1)</f>
        <v/>
      </c>
    </row>
    <row r="2881" customFormat="false" ht="15" hidden="false" customHeight="false" outlineLevel="0" collapsed="false">
      <c r="A2881" s="36" t="str">
        <f aca="false">IF(Raw_Export!$A2881="","",TRIM(Raw_Export!A2881))</f>
        <v/>
      </c>
      <c r="B2881" s="37" t="str">
        <f aca="false">IF(Raw_Export!$A2881="","",IF(ISNUMBER(Raw_Export!B2881),Raw_Export!B2881,IF(MID(TRIM(Raw_Export!B2881),5,1)="-",DATE(LEFT(TRIM(Raw_Export!B2881),4),MID(TRIM(Raw_Export!B2881),6,2),RIGHT(TRIM(Raw_Export!B2881),2)),DATE(RIGHT(TRIM(Raw_Export!B2881),4),MATCH(MID(TRIM(Raw_Export!B2881),4,3),{"Jan","Feb","Mar","Apr","May","Jun","Jul","Aug","Sep","Oct","Nov","Dec"},0),LEFT(TRIM(Raw_Export!B2881),2)))))</f>
        <v/>
      </c>
      <c r="C2881" s="36" t="str">
        <f aca="false">IF(Raw_Export!$A2881="","",IFERROR(VLOOKUP(LOWER(TRIM(Raw_Export!C2881)),Maps!$A$2:$B$20,2,FALSE()),"UNMAPPED"))</f>
        <v/>
      </c>
      <c r="D2881" s="36" t="str">
        <f aca="false">IF(Raw_Export!$A2881="","",IFERROR(VLOOKUP(LOWER(TRIM(Raw_Export!D2881)),Maps!$G$2:$I$80,2,FALSE()),"UNMAPPED"))</f>
        <v/>
      </c>
      <c r="E2881" s="36" t="str">
        <f aca="false">IF(Raw_Export!$A2881="","",IFERROR(VLOOKUP(LOWER(TRIM(Raw_Export!D2881)),Maps!$G$2:$I$80,3,FALSE()),"UNMAPPED"))</f>
        <v/>
      </c>
      <c r="F2881" s="36" t="str">
        <f aca="false">IF(Raw_Export!$A2881="","",IFERROR(VALUE(TRIM(Raw_Export!E2881)),0))</f>
        <v/>
      </c>
      <c r="G2881" s="38" t="str">
        <f aca="false">IF(Raw_Export!$A2881="","",IFERROR(VALUE(SUBSTITUTE(SUBSTITUTE(UPPER(TRIM(Raw_Export!F2881)),"KES",""),",","")),0))</f>
        <v/>
      </c>
      <c r="H2881" s="38" t="str">
        <f aca="false">IF(Raw_Export!$A2881="","",F2881*G2881)</f>
        <v/>
      </c>
      <c r="I2881" s="36" t="str">
        <f aca="false">IF(Raw_Export!$A2881="","",IFERROR(VLOOKUP(LOWER(TRIM(Raw_Export!H2881)),Maps!$D$2:$E$12,2,FALSE()),"Other"))</f>
        <v/>
      </c>
      <c r="J2881" s="36" t="str">
        <f aca="false">IF(Raw_Export!$A2881="","",IF(COUNTIF($A$2:A2881,A2881)&gt;1,"Duplicate",""))</f>
        <v/>
      </c>
      <c r="K2881" s="36" t="str">
        <f aca="false">IF(Raw_Export!$A2881="","",IF(J2881="Duplicate","Duplicate",IF(OR(C2881="UNMAPPED",D2881="UNMAPPED"),"Unmapped",IF(F2881=0,"Blank qty",IF(F2881&lt;0,"Return","OK")))))</f>
        <v/>
      </c>
      <c r="L2881" s="36" t="str">
        <f aca="false">IF(Raw_Export!$A2881="","",IF(OR(K2881="OK",K2881="Return"),1,0))</f>
        <v/>
      </c>
      <c r="M2881" s="37" t="str">
        <f aca="false">IF(Raw_Export!$A2881="","",B2881-WEEKDAY(B2881,2)+1)</f>
        <v/>
      </c>
    </row>
    <row r="2882" customFormat="false" ht="15" hidden="false" customHeight="false" outlineLevel="0" collapsed="false">
      <c r="A2882" s="36" t="str">
        <f aca="false">IF(Raw_Export!$A2882="","",TRIM(Raw_Export!A2882))</f>
        <v/>
      </c>
      <c r="B2882" s="37" t="str">
        <f aca="false">IF(Raw_Export!$A2882="","",IF(ISNUMBER(Raw_Export!B2882),Raw_Export!B2882,IF(MID(TRIM(Raw_Export!B2882),5,1)="-",DATE(LEFT(TRIM(Raw_Export!B2882),4),MID(TRIM(Raw_Export!B2882),6,2),RIGHT(TRIM(Raw_Export!B2882),2)),DATE(RIGHT(TRIM(Raw_Export!B2882),4),MATCH(MID(TRIM(Raw_Export!B2882),4,3),{"Jan","Feb","Mar","Apr","May","Jun","Jul","Aug","Sep","Oct","Nov","Dec"},0),LEFT(TRIM(Raw_Export!B2882),2)))))</f>
        <v/>
      </c>
      <c r="C2882" s="36" t="str">
        <f aca="false">IF(Raw_Export!$A2882="","",IFERROR(VLOOKUP(LOWER(TRIM(Raw_Export!C2882)),Maps!$A$2:$B$20,2,FALSE()),"UNMAPPED"))</f>
        <v/>
      </c>
      <c r="D2882" s="36" t="str">
        <f aca="false">IF(Raw_Export!$A2882="","",IFERROR(VLOOKUP(LOWER(TRIM(Raw_Export!D2882)),Maps!$G$2:$I$80,2,FALSE()),"UNMAPPED"))</f>
        <v/>
      </c>
      <c r="E2882" s="36" t="str">
        <f aca="false">IF(Raw_Export!$A2882="","",IFERROR(VLOOKUP(LOWER(TRIM(Raw_Export!D2882)),Maps!$G$2:$I$80,3,FALSE()),"UNMAPPED"))</f>
        <v/>
      </c>
      <c r="F2882" s="36" t="str">
        <f aca="false">IF(Raw_Export!$A2882="","",IFERROR(VALUE(TRIM(Raw_Export!E2882)),0))</f>
        <v/>
      </c>
      <c r="G2882" s="38" t="str">
        <f aca="false">IF(Raw_Export!$A2882="","",IFERROR(VALUE(SUBSTITUTE(SUBSTITUTE(UPPER(TRIM(Raw_Export!F2882)),"KES",""),",","")),0))</f>
        <v/>
      </c>
      <c r="H2882" s="38" t="str">
        <f aca="false">IF(Raw_Export!$A2882="","",F2882*G2882)</f>
        <v/>
      </c>
      <c r="I2882" s="36" t="str">
        <f aca="false">IF(Raw_Export!$A2882="","",IFERROR(VLOOKUP(LOWER(TRIM(Raw_Export!H2882)),Maps!$D$2:$E$12,2,FALSE()),"Other"))</f>
        <v/>
      </c>
      <c r="J2882" s="36" t="str">
        <f aca="false">IF(Raw_Export!$A2882="","",IF(COUNTIF($A$2:A2882,A2882)&gt;1,"Duplicate",""))</f>
        <v/>
      </c>
      <c r="K2882" s="36" t="str">
        <f aca="false">IF(Raw_Export!$A2882="","",IF(J2882="Duplicate","Duplicate",IF(OR(C2882="UNMAPPED",D2882="UNMAPPED"),"Unmapped",IF(F2882=0,"Blank qty",IF(F2882&lt;0,"Return","OK")))))</f>
        <v/>
      </c>
      <c r="L2882" s="36" t="str">
        <f aca="false">IF(Raw_Export!$A2882="","",IF(OR(K2882="OK",K2882="Return"),1,0))</f>
        <v/>
      </c>
      <c r="M2882" s="37" t="str">
        <f aca="false">IF(Raw_Export!$A2882="","",B2882-WEEKDAY(B2882,2)+1)</f>
        <v/>
      </c>
    </row>
    <row r="2883" customFormat="false" ht="15" hidden="false" customHeight="false" outlineLevel="0" collapsed="false">
      <c r="A2883" s="36" t="str">
        <f aca="false">IF(Raw_Export!$A2883="","",TRIM(Raw_Export!A2883))</f>
        <v/>
      </c>
      <c r="B2883" s="37" t="str">
        <f aca="false">IF(Raw_Export!$A2883="","",IF(ISNUMBER(Raw_Export!B2883),Raw_Export!B2883,IF(MID(TRIM(Raw_Export!B2883),5,1)="-",DATE(LEFT(TRIM(Raw_Export!B2883),4),MID(TRIM(Raw_Export!B2883),6,2),RIGHT(TRIM(Raw_Export!B2883),2)),DATE(RIGHT(TRIM(Raw_Export!B2883),4),MATCH(MID(TRIM(Raw_Export!B2883),4,3),{"Jan","Feb","Mar","Apr","May","Jun","Jul","Aug","Sep","Oct","Nov","Dec"},0),LEFT(TRIM(Raw_Export!B2883),2)))))</f>
        <v/>
      </c>
      <c r="C2883" s="36" t="str">
        <f aca="false">IF(Raw_Export!$A2883="","",IFERROR(VLOOKUP(LOWER(TRIM(Raw_Export!C2883)),Maps!$A$2:$B$20,2,FALSE()),"UNMAPPED"))</f>
        <v/>
      </c>
      <c r="D2883" s="36" t="str">
        <f aca="false">IF(Raw_Export!$A2883="","",IFERROR(VLOOKUP(LOWER(TRIM(Raw_Export!D2883)),Maps!$G$2:$I$80,2,FALSE()),"UNMAPPED"))</f>
        <v/>
      </c>
      <c r="E2883" s="36" t="str">
        <f aca="false">IF(Raw_Export!$A2883="","",IFERROR(VLOOKUP(LOWER(TRIM(Raw_Export!D2883)),Maps!$G$2:$I$80,3,FALSE()),"UNMAPPED"))</f>
        <v/>
      </c>
      <c r="F2883" s="36" t="str">
        <f aca="false">IF(Raw_Export!$A2883="","",IFERROR(VALUE(TRIM(Raw_Export!E2883)),0))</f>
        <v/>
      </c>
      <c r="G2883" s="38" t="str">
        <f aca="false">IF(Raw_Export!$A2883="","",IFERROR(VALUE(SUBSTITUTE(SUBSTITUTE(UPPER(TRIM(Raw_Export!F2883)),"KES",""),",","")),0))</f>
        <v/>
      </c>
      <c r="H2883" s="38" t="str">
        <f aca="false">IF(Raw_Export!$A2883="","",F2883*G2883)</f>
        <v/>
      </c>
      <c r="I2883" s="36" t="str">
        <f aca="false">IF(Raw_Export!$A2883="","",IFERROR(VLOOKUP(LOWER(TRIM(Raw_Export!H2883)),Maps!$D$2:$E$12,2,FALSE()),"Other"))</f>
        <v/>
      </c>
      <c r="J2883" s="36" t="str">
        <f aca="false">IF(Raw_Export!$A2883="","",IF(COUNTIF($A$2:A2883,A2883)&gt;1,"Duplicate",""))</f>
        <v/>
      </c>
      <c r="K2883" s="36" t="str">
        <f aca="false">IF(Raw_Export!$A2883="","",IF(J2883="Duplicate","Duplicate",IF(OR(C2883="UNMAPPED",D2883="UNMAPPED"),"Unmapped",IF(F2883=0,"Blank qty",IF(F2883&lt;0,"Return","OK")))))</f>
        <v/>
      </c>
      <c r="L2883" s="36" t="str">
        <f aca="false">IF(Raw_Export!$A2883="","",IF(OR(K2883="OK",K2883="Return"),1,0))</f>
        <v/>
      </c>
      <c r="M2883" s="37" t="str">
        <f aca="false">IF(Raw_Export!$A2883="","",B2883-WEEKDAY(B2883,2)+1)</f>
        <v/>
      </c>
    </row>
    <row r="2884" customFormat="false" ht="15" hidden="false" customHeight="false" outlineLevel="0" collapsed="false">
      <c r="A2884" s="36" t="str">
        <f aca="false">IF(Raw_Export!$A2884="","",TRIM(Raw_Export!A2884))</f>
        <v/>
      </c>
      <c r="B2884" s="37" t="str">
        <f aca="false">IF(Raw_Export!$A2884="","",IF(ISNUMBER(Raw_Export!B2884),Raw_Export!B2884,IF(MID(TRIM(Raw_Export!B2884),5,1)="-",DATE(LEFT(TRIM(Raw_Export!B2884),4),MID(TRIM(Raw_Export!B2884),6,2),RIGHT(TRIM(Raw_Export!B2884),2)),DATE(RIGHT(TRIM(Raw_Export!B2884),4),MATCH(MID(TRIM(Raw_Export!B2884),4,3),{"Jan","Feb","Mar","Apr","May","Jun","Jul","Aug","Sep","Oct","Nov","Dec"},0),LEFT(TRIM(Raw_Export!B2884),2)))))</f>
        <v/>
      </c>
      <c r="C2884" s="36" t="str">
        <f aca="false">IF(Raw_Export!$A2884="","",IFERROR(VLOOKUP(LOWER(TRIM(Raw_Export!C2884)),Maps!$A$2:$B$20,2,FALSE()),"UNMAPPED"))</f>
        <v/>
      </c>
      <c r="D2884" s="36" t="str">
        <f aca="false">IF(Raw_Export!$A2884="","",IFERROR(VLOOKUP(LOWER(TRIM(Raw_Export!D2884)),Maps!$G$2:$I$80,2,FALSE()),"UNMAPPED"))</f>
        <v/>
      </c>
      <c r="E2884" s="36" t="str">
        <f aca="false">IF(Raw_Export!$A2884="","",IFERROR(VLOOKUP(LOWER(TRIM(Raw_Export!D2884)),Maps!$G$2:$I$80,3,FALSE()),"UNMAPPED"))</f>
        <v/>
      </c>
      <c r="F2884" s="36" t="str">
        <f aca="false">IF(Raw_Export!$A2884="","",IFERROR(VALUE(TRIM(Raw_Export!E2884)),0))</f>
        <v/>
      </c>
      <c r="G2884" s="38" t="str">
        <f aca="false">IF(Raw_Export!$A2884="","",IFERROR(VALUE(SUBSTITUTE(SUBSTITUTE(UPPER(TRIM(Raw_Export!F2884)),"KES",""),",","")),0))</f>
        <v/>
      </c>
      <c r="H2884" s="38" t="str">
        <f aca="false">IF(Raw_Export!$A2884="","",F2884*G2884)</f>
        <v/>
      </c>
      <c r="I2884" s="36" t="str">
        <f aca="false">IF(Raw_Export!$A2884="","",IFERROR(VLOOKUP(LOWER(TRIM(Raw_Export!H2884)),Maps!$D$2:$E$12,2,FALSE()),"Other"))</f>
        <v/>
      </c>
      <c r="J2884" s="36" t="str">
        <f aca="false">IF(Raw_Export!$A2884="","",IF(COUNTIF($A$2:A2884,A2884)&gt;1,"Duplicate",""))</f>
        <v/>
      </c>
      <c r="K2884" s="36" t="str">
        <f aca="false">IF(Raw_Export!$A2884="","",IF(J2884="Duplicate","Duplicate",IF(OR(C2884="UNMAPPED",D2884="UNMAPPED"),"Unmapped",IF(F2884=0,"Blank qty",IF(F2884&lt;0,"Return","OK")))))</f>
        <v/>
      </c>
      <c r="L2884" s="36" t="str">
        <f aca="false">IF(Raw_Export!$A2884="","",IF(OR(K2884="OK",K2884="Return"),1,0))</f>
        <v/>
      </c>
      <c r="M2884" s="37" t="str">
        <f aca="false">IF(Raw_Export!$A2884="","",B2884-WEEKDAY(B2884,2)+1)</f>
        <v/>
      </c>
    </row>
    <row r="2885" customFormat="false" ht="15" hidden="false" customHeight="false" outlineLevel="0" collapsed="false">
      <c r="A2885" s="36" t="str">
        <f aca="false">IF(Raw_Export!$A2885="","",TRIM(Raw_Export!A2885))</f>
        <v/>
      </c>
      <c r="B2885" s="37" t="str">
        <f aca="false">IF(Raw_Export!$A2885="","",IF(ISNUMBER(Raw_Export!B2885),Raw_Export!B2885,IF(MID(TRIM(Raw_Export!B2885),5,1)="-",DATE(LEFT(TRIM(Raw_Export!B2885),4),MID(TRIM(Raw_Export!B2885),6,2),RIGHT(TRIM(Raw_Export!B2885),2)),DATE(RIGHT(TRIM(Raw_Export!B2885),4),MATCH(MID(TRIM(Raw_Export!B2885),4,3),{"Jan","Feb","Mar","Apr","May","Jun","Jul","Aug","Sep","Oct","Nov","Dec"},0),LEFT(TRIM(Raw_Export!B2885),2)))))</f>
        <v/>
      </c>
      <c r="C2885" s="36" t="str">
        <f aca="false">IF(Raw_Export!$A2885="","",IFERROR(VLOOKUP(LOWER(TRIM(Raw_Export!C2885)),Maps!$A$2:$B$20,2,FALSE()),"UNMAPPED"))</f>
        <v/>
      </c>
      <c r="D2885" s="36" t="str">
        <f aca="false">IF(Raw_Export!$A2885="","",IFERROR(VLOOKUP(LOWER(TRIM(Raw_Export!D2885)),Maps!$G$2:$I$80,2,FALSE()),"UNMAPPED"))</f>
        <v/>
      </c>
      <c r="E2885" s="36" t="str">
        <f aca="false">IF(Raw_Export!$A2885="","",IFERROR(VLOOKUP(LOWER(TRIM(Raw_Export!D2885)),Maps!$G$2:$I$80,3,FALSE()),"UNMAPPED"))</f>
        <v/>
      </c>
      <c r="F2885" s="36" t="str">
        <f aca="false">IF(Raw_Export!$A2885="","",IFERROR(VALUE(TRIM(Raw_Export!E2885)),0))</f>
        <v/>
      </c>
      <c r="G2885" s="38" t="str">
        <f aca="false">IF(Raw_Export!$A2885="","",IFERROR(VALUE(SUBSTITUTE(SUBSTITUTE(UPPER(TRIM(Raw_Export!F2885)),"KES",""),",","")),0))</f>
        <v/>
      </c>
      <c r="H2885" s="38" t="str">
        <f aca="false">IF(Raw_Export!$A2885="","",F2885*G2885)</f>
        <v/>
      </c>
      <c r="I2885" s="36" t="str">
        <f aca="false">IF(Raw_Export!$A2885="","",IFERROR(VLOOKUP(LOWER(TRIM(Raw_Export!H2885)),Maps!$D$2:$E$12,2,FALSE()),"Other"))</f>
        <v/>
      </c>
      <c r="J2885" s="36" t="str">
        <f aca="false">IF(Raw_Export!$A2885="","",IF(COUNTIF($A$2:A2885,A2885)&gt;1,"Duplicate",""))</f>
        <v/>
      </c>
      <c r="K2885" s="36" t="str">
        <f aca="false">IF(Raw_Export!$A2885="","",IF(J2885="Duplicate","Duplicate",IF(OR(C2885="UNMAPPED",D2885="UNMAPPED"),"Unmapped",IF(F2885=0,"Blank qty",IF(F2885&lt;0,"Return","OK")))))</f>
        <v/>
      </c>
      <c r="L2885" s="36" t="str">
        <f aca="false">IF(Raw_Export!$A2885="","",IF(OR(K2885="OK",K2885="Return"),1,0))</f>
        <v/>
      </c>
      <c r="M2885" s="37" t="str">
        <f aca="false">IF(Raw_Export!$A2885="","",B2885-WEEKDAY(B2885,2)+1)</f>
        <v/>
      </c>
    </row>
    <row r="2886" customFormat="false" ht="15" hidden="false" customHeight="false" outlineLevel="0" collapsed="false">
      <c r="A2886" s="36" t="str">
        <f aca="false">IF(Raw_Export!$A2886="","",TRIM(Raw_Export!A2886))</f>
        <v/>
      </c>
      <c r="B2886" s="37" t="str">
        <f aca="false">IF(Raw_Export!$A2886="","",IF(ISNUMBER(Raw_Export!B2886),Raw_Export!B2886,IF(MID(TRIM(Raw_Export!B2886),5,1)="-",DATE(LEFT(TRIM(Raw_Export!B2886),4),MID(TRIM(Raw_Export!B2886),6,2),RIGHT(TRIM(Raw_Export!B2886),2)),DATE(RIGHT(TRIM(Raw_Export!B2886),4),MATCH(MID(TRIM(Raw_Export!B2886),4,3),{"Jan","Feb","Mar","Apr","May","Jun","Jul","Aug","Sep","Oct","Nov","Dec"},0),LEFT(TRIM(Raw_Export!B2886),2)))))</f>
        <v/>
      </c>
      <c r="C2886" s="36" t="str">
        <f aca="false">IF(Raw_Export!$A2886="","",IFERROR(VLOOKUP(LOWER(TRIM(Raw_Export!C2886)),Maps!$A$2:$B$20,2,FALSE()),"UNMAPPED"))</f>
        <v/>
      </c>
      <c r="D2886" s="36" t="str">
        <f aca="false">IF(Raw_Export!$A2886="","",IFERROR(VLOOKUP(LOWER(TRIM(Raw_Export!D2886)),Maps!$G$2:$I$80,2,FALSE()),"UNMAPPED"))</f>
        <v/>
      </c>
      <c r="E2886" s="36" t="str">
        <f aca="false">IF(Raw_Export!$A2886="","",IFERROR(VLOOKUP(LOWER(TRIM(Raw_Export!D2886)),Maps!$G$2:$I$80,3,FALSE()),"UNMAPPED"))</f>
        <v/>
      </c>
      <c r="F2886" s="36" t="str">
        <f aca="false">IF(Raw_Export!$A2886="","",IFERROR(VALUE(TRIM(Raw_Export!E2886)),0))</f>
        <v/>
      </c>
      <c r="G2886" s="38" t="str">
        <f aca="false">IF(Raw_Export!$A2886="","",IFERROR(VALUE(SUBSTITUTE(SUBSTITUTE(UPPER(TRIM(Raw_Export!F2886)),"KES",""),",","")),0))</f>
        <v/>
      </c>
      <c r="H2886" s="38" t="str">
        <f aca="false">IF(Raw_Export!$A2886="","",F2886*G2886)</f>
        <v/>
      </c>
      <c r="I2886" s="36" t="str">
        <f aca="false">IF(Raw_Export!$A2886="","",IFERROR(VLOOKUP(LOWER(TRIM(Raw_Export!H2886)),Maps!$D$2:$E$12,2,FALSE()),"Other"))</f>
        <v/>
      </c>
      <c r="J2886" s="36" t="str">
        <f aca="false">IF(Raw_Export!$A2886="","",IF(COUNTIF($A$2:A2886,A2886)&gt;1,"Duplicate",""))</f>
        <v/>
      </c>
      <c r="K2886" s="36" t="str">
        <f aca="false">IF(Raw_Export!$A2886="","",IF(J2886="Duplicate","Duplicate",IF(OR(C2886="UNMAPPED",D2886="UNMAPPED"),"Unmapped",IF(F2886=0,"Blank qty",IF(F2886&lt;0,"Return","OK")))))</f>
        <v/>
      </c>
      <c r="L2886" s="36" t="str">
        <f aca="false">IF(Raw_Export!$A2886="","",IF(OR(K2886="OK",K2886="Return"),1,0))</f>
        <v/>
      </c>
      <c r="M2886" s="37" t="str">
        <f aca="false">IF(Raw_Export!$A2886="","",B2886-WEEKDAY(B2886,2)+1)</f>
        <v/>
      </c>
    </row>
    <row r="2887" customFormat="false" ht="15" hidden="false" customHeight="false" outlineLevel="0" collapsed="false">
      <c r="A2887" s="36" t="str">
        <f aca="false">IF(Raw_Export!$A2887="","",TRIM(Raw_Export!A2887))</f>
        <v/>
      </c>
      <c r="B2887" s="37" t="str">
        <f aca="false">IF(Raw_Export!$A2887="","",IF(ISNUMBER(Raw_Export!B2887),Raw_Export!B2887,IF(MID(TRIM(Raw_Export!B2887),5,1)="-",DATE(LEFT(TRIM(Raw_Export!B2887),4),MID(TRIM(Raw_Export!B2887),6,2),RIGHT(TRIM(Raw_Export!B2887),2)),DATE(RIGHT(TRIM(Raw_Export!B2887),4),MATCH(MID(TRIM(Raw_Export!B2887),4,3),{"Jan","Feb","Mar","Apr","May","Jun","Jul","Aug","Sep","Oct","Nov","Dec"},0),LEFT(TRIM(Raw_Export!B2887),2)))))</f>
        <v/>
      </c>
      <c r="C2887" s="36" t="str">
        <f aca="false">IF(Raw_Export!$A2887="","",IFERROR(VLOOKUP(LOWER(TRIM(Raw_Export!C2887)),Maps!$A$2:$B$20,2,FALSE()),"UNMAPPED"))</f>
        <v/>
      </c>
      <c r="D2887" s="36" t="str">
        <f aca="false">IF(Raw_Export!$A2887="","",IFERROR(VLOOKUP(LOWER(TRIM(Raw_Export!D2887)),Maps!$G$2:$I$80,2,FALSE()),"UNMAPPED"))</f>
        <v/>
      </c>
      <c r="E2887" s="36" t="str">
        <f aca="false">IF(Raw_Export!$A2887="","",IFERROR(VLOOKUP(LOWER(TRIM(Raw_Export!D2887)),Maps!$G$2:$I$80,3,FALSE()),"UNMAPPED"))</f>
        <v/>
      </c>
      <c r="F2887" s="36" t="str">
        <f aca="false">IF(Raw_Export!$A2887="","",IFERROR(VALUE(TRIM(Raw_Export!E2887)),0))</f>
        <v/>
      </c>
      <c r="G2887" s="38" t="str">
        <f aca="false">IF(Raw_Export!$A2887="","",IFERROR(VALUE(SUBSTITUTE(SUBSTITUTE(UPPER(TRIM(Raw_Export!F2887)),"KES",""),",","")),0))</f>
        <v/>
      </c>
      <c r="H2887" s="38" t="str">
        <f aca="false">IF(Raw_Export!$A2887="","",F2887*G2887)</f>
        <v/>
      </c>
      <c r="I2887" s="36" t="str">
        <f aca="false">IF(Raw_Export!$A2887="","",IFERROR(VLOOKUP(LOWER(TRIM(Raw_Export!H2887)),Maps!$D$2:$E$12,2,FALSE()),"Other"))</f>
        <v/>
      </c>
      <c r="J2887" s="36" t="str">
        <f aca="false">IF(Raw_Export!$A2887="","",IF(COUNTIF($A$2:A2887,A2887)&gt;1,"Duplicate",""))</f>
        <v/>
      </c>
      <c r="K2887" s="36" t="str">
        <f aca="false">IF(Raw_Export!$A2887="","",IF(J2887="Duplicate","Duplicate",IF(OR(C2887="UNMAPPED",D2887="UNMAPPED"),"Unmapped",IF(F2887=0,"Blank qty",IF(F2887&lt;0,"Return","OK")))))</f>
        <v/>
      </c>
      <c r="L2887" s="36" t="str">
        <f aca="false">IF(Raw_Export!$A2887="","",IF(OR(K2887="OK",K2887="Return"),1,0))</f>
        <v/>
      </c>
      <c r="M2887" s="37" t="str">
        <f aca="false">IF(Raw_Export!$A2887="","",B2887-WEEKDAY(B2887,2)+1)</f>
        <v/>
      </c>
    </row>
    <row r="2888" customFormat="false" ht="15" hidden="false" customHeight="false" outlineLevel="0" collapsed="false">
      <c r="A2888" s="36" t="str">
        <f aca="false">IF(Raw_Export!$A2888="","",TRIM(Raw_Export!A2888))</f>
        <v/>
      </c>
      <c r="B2888" s="37" t="str">
        <f aca="false">IF(Raw_Export!$A2888="","",IF(ISNUMBER(Raw_Export!B2888),Raw_Export!B2888,IF(MID(TRIM(Raw_Export!B2888),5,1)="-",DATE(LEFT(TRIM(Raw_Export!B2888),4),MID(TRIM(Raw_Export!B2888),6,2),RIGHT(TRIM(Raw_Export!B2888),2)),DATE(RIGHT(TRIM(Raw_Export!B2888),4),MATCH(MID(TRIM(Raw_Export!B2888),4,3),{"Jan","Feb","Mar","Apr","May","Jun","Jul","Aug","Sep","Oct","Nov","Dec"},0),LEFT(TRIM(Raw_Export!B2888),2)))))</f>
        <v/>
      </c>
      <c r="C2888" s="36" t="str">
        <f aca="false">IF(Raw_Export!$A2888="","",IFERROR(VLOOKUP(LOWER(TRIM(Raw_Export!C2888)),Maps!$A$2:$B$20,2,FALSE()),"UNMAPPED"))</f>
        <v/>
      </c>
      <c r="D2888" s="36" t="str">
        <f aca="false">IF(Raw_Export!$A2888="","",IFERROR(VLOOKUP(LOWER(TRIM(Raw_Export!D2888)),Maps!$G$2:$I$80,2,FALSE()),"UNMAPPED"))</f>
        <v/>
      </c>
      <c r="E2888" s="36" t="str">
        <f aca="false">IF(Raw_Export!$A2888="","",IFERROR(VLOOKUP(LOWER(TRIM(Raw_Export!D2888)),Maps!$G$2:$I$80,3,FALSE()),"UNMAPPED"))</f>
        <v/>
      </c>
      <c r="F2888" s="36" t="str">
        <f aca="false">IF(Raw_Export!$A2888="","",IFERROR(VALUE(TRIM(Raw_Export!E2888)),0))</f>
        <v/>
      </c>
      <c r="G2888" s="38" t="str">
        <f aca="false">IF(Raw_Export!$A2888="","",IFERROR(VALUE(SUBSTITUTE(SUBSTITUTE(UPPER(TRIM(Raw_Export!F2888)),"KES",""),",","")),0))</f>
        <v/>
      </c>
      <c r="H2888" s="38" t="str">
        <f aca="false">IF(Raw_Export!$A2888="","",F2888*G2888)</f>
        <v/>
      </c>
      <c r="I2888" s="36" t="str">
        <f aca="false">IF(Raw_Export!$A2888="","",IFERROR(VLOOKUP(LOWER(TRIM(Raw_Export!H2888)),Maps!$D$2:$E$12,2,FALSE()),"Other"))</f>
        <v/>
      </c>
      <c r="J2888" s="36" t="str">
        <f aca="false">IF(Raw_Export!$A2888="","",IF(COUNTIF($A$2:A2888,A2888)&gt;1,"Duplicate",""))</f>
        <v/>
      </c>
      <c r="K2888" s="36" t="str">
        <f aca="false">IF(Raw_Export!$A2888="","",IF(J2888="Duplicate","Duplicate",IF(OR(C2888="UNMAPPED",D2888="UNMAPPED"),"Unmapped",IF(F2888=0,"Blank qty",IF(F2888&lt;0,"Return","OK")))))</f>
        <v/>
      </c>
      <c r="L2888" s="36" t="str">
        <f aca="false">IF(Raw_Export!$A2888="","",IF(OR(K2888="OK",K2888="Return"),1,0))</f>
        <v/>
      </c>
      <c r="M2888" s="37" t="str">
        <f aca="false">IF(Raw_Export!$A2888="","",B2888-WEEKDAY(B2888,2)+1)</f>
        <v/>
      </c>
    </row>
    <row r="2889" customFormat="false" ht="15" hidden="false" customHeight="false" outlineLevel="0" collapsed="false">
      <c r="A2889" s="36" t="str">
        <f aca="false">IF(Raw_Export!$A2889="","",TRIM(Raw_Export!A2889))</f>
        <v/>
      </c>
      <c r="B2889" s="37" t="str">
        <f aca="false">IF(Raw_Export!$A2889="","",IF(ISNUMBER(Raw_Export!B2889),Raw_Export!B2889,IF(MID(TRIM(Raw_Export!B2889),5,1)="-",DATE(LEFT(TRIM(Raw_Export!B2889),4),MID(TRIM(Raw_Export!B2889),6,2),RIGHT(TRIM(Raw_Export!B2889),2)),DATE(RIGHT(TRIM(Raw_Export!B2889),4),MATCH(MID(TRIM(Raw_Export!B2889),4,3),{"Jan","Feb","Mar","Apr","May","Jun","Jul","Aug","Sep","Oct","Nov","Dec"},0),LEFT(TRIM(Raw_Export!B2889),2)))))</f>
        <v/>
      </c>
      <c r="C2889" s="36" t="str">
        <f aca="false">IF(Raw_Export!$A2889="","",IFERROR(VLOOKUP(LOWER(TRIM(Raw_Export!C2889)),Maps!$A$2:$B$20,2,FALSE()),"UNMAPPED"))</f>
        <v/>
      </c>
      <c r="D2889" s="36" t="str">
        <f aca="false">IF(Raw_Export!$A2889="","",IFERROR(VLOOKUP(LOWER(TRIM(Raw_Export!D2889)),Maps!$G$2:$I$80,2,FALSE()),"UNMAPPED"))</f>
        <v/>
      </c>
      <c r="E2889" s="36" t="str">
        <f aca="false">IF(Raw_Export!$A2889="","",IFERROR(VLOOKUP(LOWER(TRIM(Raw_Export!D2889)),Maps!$G$2:$I$80,3,FALSE()),"UNMAPPED"))</f>
        <v/>
      </c>
      <c r="F2889" s="36" t="str">
        <f aca="false">IF(Raw_Export!$A2889="","",IFERROR(VALUE(TRIM(Raw_Export!E2889)),0))</f>
        <v/>
      </c>
      <c r="G2889" s="38" t="str">
        <f aca="false">IF(Raw_Export!$A2889="","",IFERROR(VALUE(SUBSTITUTE(SUBSTITUTE(UPPER(TRIM(Raw_Export!F2889)),"KES",""),",","")),0))</f>
        <v/>
      </c>
      <c r="H2889" s="38" t="str">
        <f aca="false">IF(Raw_Export!$A2889="","",F2889*G2889)</f>
        <v/>
      </c>
      <c r="I2889" s="36" t="str">
        <f aca="false">IF(Raw_Export!$A2889="","",IFERROR(VLOOKUP(LOWER(TRIM(Raw_Export!H2889)),Maps!$D$2:$E$12,2,FALSE()),"Other"))</f>
        <v/>
      </c>
      <c r="J2889" s="36" t="str">
        <f aca="false">IF(Raw_Export!$A2889="","",IF(COUNTIF($A$2:A2889,A2889)&gt;1,"Duplicate",""))</f>
        <v/>
      </c>
      <c r="K2889" s="36" t="str">
        <f aca="false">IF(Raw_Export!$A2889="","",IF(J2889="Duplicate","Duplicate",IF(OR(C2889="UNMAPPED",D2889="UNMAPPED"),"Unmapped",IF(F2889=0,"Blank qty",IF(F2889&lt;0,"Return","OK")))))</f>
        <v/>
      </c>
      <c r="L2889" s="36" t="str">
        <f aca="false">IF(Raw_Export!$A2889="","",IF(OR(K2889="OK",K2889="Return"),1,0))</f>
        <v/>
      </c>
      <c r="M2889" s="37" t="str">
        <f aca="false">IF(Raw_Export!$A2889="","",B2889-WEEKDAY(B2889,2)+1)</f>
        <v/>
      </c>
    </row>
    <row r="2890" customFormat="false" ht="15" hidden="false" customHeight="false" outlineLevel="0" collapsed="false">
      <c r="A2890" s="36" t="str">
        <f aca="false">IF(Raw_Export!$A2890="","",TRIM(Raw_Export!A2890))</f>
        <v/>
      </c>
      <c r="B2890" s="37" t="str">
        <f aca="false">IF(Raw_Export!$A2890="","",IF(ISNUMBER(Raw_Export!B2890),Raw_Export!B2890,IF(MID(TRIM(Raw_Export!B2890),5,1)="-",DATE(LEFT(TRIM(Raw_Export!B2890),4),MID(TRIM(Raw_Export!B2890),6,2),RIGHT(TRIM(Raw_Export!B2890),2)),DATE(RIGHT(TRIM(Raw_Export!B2890),4),MATCH(MID(TRIM(Raw_Export!B2890),4,3),{"Jan","Feb","Mar","Apr","May","Jun","Jul","Aug","Sep","Oct","Nov","Dec"},0),LEFT(TRIM(Raw_Export!B2890),2)))))</f>
        <v/>
      </c>
      <c r="C2890" s="36" t="str">
        <f aca="false">IF(Raw_Export!$A2890="","",IFERROR(VLOOKUP(LOWER(TRIM(Raw_Export!C2890)),Maps!$A$2:$B$20,2,FALSE()),"UNMAPPED"))</f>
        <v/>
      </c>
      <c r="D2890" s="36" t="str">
        <f aca="false">IF(Raw_Export!$A2890="","",IFERROR(VLOOKUP(LOWER(TRIM(Raw_Export!D2890)),Maps!$G$2:$I$80,2,FALSE()),"UNMAPPED"))</f>
        <v/>
      </c>
      <c r="E2890" s="36" t="str">
        <f aca="false">IF(Raw_Export!$A2890="","",IFERROR(VLOOKUP(LOWER(TRIM(Raw_Export!D2890)),Maps!$G$2:$I$80,3,FALSE()),"UNMAPPED"))</f>
        <v/>
      </c>
      <c r="F2890" s="36" t="str">
        <f aca="false">IF(Raw_Export!$A2890="","",IFERROR(VALUE(TRIM(Raw_Export!E2890)),0))</f>
        <v/>
      </c>
      <c r="G2890" s="38" t="str">
        <f aca="false">IF(Raw_Export!$A2890="","",IFERROR(VALUE(SUBSTITUTE(SUBSTITUTE(UPPER(TRIM(Raw_Export!F2890)),"KES",""),",","")),0))</f>
        <v/>
      </c>
      <c r="H2890" s="38" t="str">
        <f aca="false">IF(Raw_Export!$A2890="","",F2890*G2890)</f>
        <v/>
      </c>
      <c r="I2890" s="36" t="str">
        <f aca="false">IF(Raw_Export!$A2890="","",IFERROR(VLOOKUP(LOWER(TRIM(Raw_Export!H2890)),Maps!$D$2:$E$12,2,FALSE()),"Other"))</f>
        <v/>
      </c>
      <c r="J2890" s="36" t="str">
        <f aca="false">IF(Raw_Export!$A2890="","",IF(COUNTIF($A$2:A2890,A2890)&gt;1,"Duplicate",""))</f>
        <v/>
      </c>
      <c r="K2890" s="36" t="str">
        <f aca="false">IF(Raw_Export!$A2890="","",IF(J2890="Duplicate","Duplicate",IF(OR(C2890="UNMAPPED",D2890="UNMAPPED"),"Unmapped",IF(F2890=0,"Blank qty",IF(F2890&lt;0,"Return","OK")))))</f>
        <v/>
      </c>
      <c r="L2890" s="36" t="str">
        <f aca="false">IF(Raw_Export!$A2890="","",IF(OR(K2890="OK",K2890="Return"),1,0))</f>
        <v/>
      </c>
      <c r="M2890" s="37" t="str">
        <f aca="false">IF(Raw_Export!$A2890="","",B2890-WEEKDAY(B2890,2)+1)</f>
        <v/>
      </c>
    </row>
    <row r="2891" customFormat="false" ht="15" hidden="false" customHeight="false" outlineLevel="0" collapsed="false">
      <c r="A2891" s="36" t="str">
        <f aca="false">IF(Raw_Export!$A2891="","",TRIM(Raw_Export!A2891))</f>
        <v/>
      </c>
      <c r="B2891" s="37" t="str">
        <f aca="false">IF(Raw_Export!$A2891="","",IF(ISNUMBER(Raw_Export!B2891),Raw_Export!B2891,IF(MID(TRIM(Raw_Export!B2891),5,1)="-",DATE(LEFT(TRIM(Raw_Export!B2891),4),MID(TRIM(Raw_Export!B2891),6,2),RIGHT(TRIM(Raw_Export!B2891),2)),DATE(RIGHT(TRIM(Raw_Export!B2891),4),MATCH(MID(TRIM(Raw_Export!B2891),4,3),{"Jan","Feb","Mar","Apr","May","Jun","Jul","Aug","Sep","Oct","Nov","Dec"},0),LEFT(TRIM(Raw_Export!B2891),2)))))</f>
        <v/>
      </c>
      <c r="C2891" s="36" t="str">
        <f aca="false">IF(Raw_Export!$A2891="","",IFERROR(VLOOKUP(LOWER(TRIM(Raw_Export!C2891)),Maps!$A$2:$B$20,2,FALSE()),"UNMAPPED"))</f>
        <v/>
      </c>
      <c r="D2891" s="36" t="str">
        <f aca="false">IF(Raw_Export!$A2891="","",IFERROR(VLOOKUP(LOWER(TRIM(Raw_Export!D2891)),Maps!$G$2:$I$80,2,FALSE()),"UNMAPPED"))</f>
        <v/>
      </c>
      <c r="E2891" s="36" t="str">
        <f aca="false">IF(Raw_Export!$A2891="","",IFERROR(VLOOKUP(LOWER(TRIM(Raw_Export!D2891)),Maps!$G$2:$I$80,3,FALSE()),"UNMAPPED"))</f>
        <v/>
      </c>
      <c r="F2891" s="36" t="str">
        <f aca="false">IF(Raw_Export!$A2891="","",IFERROR(VALUE(TRIM(Raw_Export!E2891)),0))</f>
        <v/>
      </c>
      <c r="G2891" s="38" t="str">
        <f aca="false">IF(Raw_Export!$A2891="","",IFERROR(VALUE(SUBSTITUTE(SUBSTITUTE(UPPER(TRIM(Raw_Export!F2891)),"KES",""),",","")),0))</f>
        <v/>
      </c>
      <c r="H2891" s="38" t="str">
        <f aca="false">IF(Raw_Export!$A2891="","",F2891*G2891)</f>
        <v/>
      </c>
      <c r="I2891" s="36" t="str">
        <f aca="false">IF(Raw_Export!$A2891="","",IFERROR(VLOOKUP(LOWER(TRIM(Raw_Export!H2891)),Maps!$D$2:$E$12,2,FALSE()),"Other"))</f>
        <v/>
      </c>
      <c r="J2891" s="36" t="str">
        <f aca="false">IF(Raw_Export!$A2891="","",IF(COUNTIF($A$2:A2891,A2891)&gt;1,"Duplicate",""))</f>
        <v/>
      </c>
      <c r="K2891" s="36" t="str">
        <f aca="false">IF(Raw_Export!$A2891="","",IF(J2891="Duplicate","Duplicate",IF(OR(C2891="UNMAPPED",D2891="UNMAPPED"),"Unmapped",IF(F2891=0,"Blank qty",IF(F2891&lt;0,"Return","OK")))))</f>
        <v/>
      </c>
      <c r="L2891" s="36" t="str">
        <f aca="false">IF(Raw_Export!$A2891="","",IF(OR(K2891="OK",K2891="Return"),1,0))</f>
        <v/>
      </c>
      <c r="M2891" s="37" t="str">
        <f aca="false">IF(Raw_Export!$A2891="","",B2891-WEEKDAY(B2891,2)+1)</f>
        <v/>
      </c>
    </row>
    <row r="2892" customFormat="false" ht="15" hidden="false" customHeight="false" outlineLevel="0" collapsed="false">
      <c r="A2892" s="36" t="str">
        <f aca="false">IF(Raw_Export!$A2892="","",TRIM(Raw_Export!A2892))</f>
        <v/>
      </c>
      <c r="B2892" s="37" t="str">
        <f aca="false">IF(Raw_Export!$A2892="","",IF(ISNUMBER(Raw_Export!B2892),Raw_Export!B2892,IF(MID(TRIM(Raw_Export!B2892),5,1)="-",DATE(LEFT(TRIM(Raw_Export!B2892),4),MID(TRIM(Raw_Export!B2892),6,2),RIGHT(TRIM(Raw_Export!B2892),2)),DATE(RIGHT(TRIM(Raw_Export!B2892),4),MATCH(MID(TRIM(Raw_Export!B2892),4,3),{"Jan","Feb","Mar","Apr","May","Jun","Jul","Aug","Sep","Oct","Nov","Dec"},0),LEFT(TRIM(Raw_Export!B2892),2)))))</f>
        <v/>
      </c>
      <c r="C2892" s="36" t="str">
        <f aca="false">IF(Raw_Export!$A2892="","",IFERROR(VLOOKUP(LOWER(TRIM(Raw_Export!C2892)),Maps!$A$2:$B$20,2,FALSE()),"UNMAPPED"))</f>
        <v/>
      </c>
      <c r="D2892" s="36" t="str">
        <f aca="false">IF(Raw_Export!$A2892="","",IFERROR(VLOOKUP(LOWER(TRIM(Raw_Export!D2892)),Maps!$G$2:$I$80,2,FALSE()),"UNMAPPED"))</f>
        <v/>
      </c>
      <c r="E2892" s="36" t="str">
        <f aca="false">IF(Raw_Export!$A2892="","",IFERROR(VLOOKUP(LOWER(TRIM(Raw_Export!D2892)),Maps!$G$2:$I$80,3,FALSE()),"UNMAPPED"))</f>
        <v/>
      </c>
      <c r="F2892" s="36" t="str">
        <f aca="false">IF(Raw_Export!$A2892="","",IFERROR(VALUE(TRIM(Raw_Export!E2892)),0))</f>
        <v/>
      </c>
      <c r="G2892" s="38" t="str">
        <f aca="false">IF(Raw_Export!$A2892="","",IFERROR(VALUE(SUBSTITUTE(SUBSTITUTE(UPPER(TRIM(Raw_Export!F2892)),"KES",""),",","")),0))</f>
        <v/>
      </c>
      <c r="H2892" s="38" t="str">
        <f aca="false">IF(Raw_Export!$A2892="","",F2892*G2892)</f>
        <v/>
      </c>
      <c r="I2892" s="36" t="str">
        <f aca="false">IF(Raw_Export!$A2892="","",IFERROR(VLOOKUP(LOWER(TRIM(Raw_Export!H2892)),Maps!$D$2:$E$12,2,FALSE()),"Other"))</f>
        <v/>
      </c>
      <c r="J2892" s="36" t="str">
        <f aca="false">IF(Raw_Export!$A2892="","",IF(COUNTIF($A$2:A2892,A2892)&gt;1,"Duplicate",""))</f>
        <v/>
      </c>
      <c r="K2892" s="36" t="str">
        <f aca="false">IF(Raw_Export!$A2892="","",IF(J2892="Duplicate","Duplicate",IF(OR(C2892="UNMAPPED",D2892="UNMAPPED"),"Unmapped",IF(F2892=0,"Blank qty",IF(F2892&lt;0,"Return","OK")))))</f>
        <v/>
      </c>
      <c r="L2892" s="36" t="str">
        <f aca="false">IF(Raw_Export!$A2892="","",IF(OR(K2892="OK",K2892="Return"),1,0))</f>
        <v/>
      </c>
      <c r="M2892" s="37" t="str">
        <f aca="false">IF(Raw_Export!$A2892="","",B2892-WEEKDAY(B2892,2)+1)</f>
        <v/>
      </c>
    </row>
    <row r="2893" customFormat="false" ht="15" hidden="false" customHeight="false" outlineLevel="0" collapsed="false">
      <c r="A2893" s="36" t="str">
        <f aca="false">IF(Raw_Export!$A2893="","",TRIM(Raw_Export!A2893))</f>
        <v/>
      </c>
      <c r="B2893" s="37" t="str">
        <f aca="false">IF(Raw_Export!$A2893="","",IF(ISNUMBER(Raw_Export!B2893),Raw_Export!B2893,IF(MID(TRIM(Raw_Export!B2893),5,1)="-",DATE(LEFT(TRIM(Raw_Export!B2893),4),MID(TRIM(Raw_Export!B2893),6,2),RIGHT(TRIM(Raw_Export!B2893),2)),DATE(RIGHT(TRIM(Raw_Export!B2893),4),MATCH(MID(TRIM(Raw_Export!B2893),4,3),{"Jan","Feb","Mar","Apr","May","Jun","Jul","Aug","Sep","Oct","Nov","Dec"},0),LEFT(TRIM(Raw_Export!B2893),2)))))</f>
        <v/>
      </c>
      <c r="C2893" s="36" t="str">
        <f aca="false">IF(Raw_Export!$A2893="","",IFERROR(VLOOKUP(LOWER(TRIM(Raw_Export!C2893)),Maps!$A$2:$B$20,2,FALSE()),"UNMAPPED"))</f>
        <v/>
      </c>
      <c r="D2893" s="36" t="str">
        <f aca="false">IF(Raw_Export!$A2893="","",IFERROR(VLOOKUP(LOWER(TRIM(Raw_Export!D2893)),Maps!$G$2:$I$80,2,FALSE()),"UNMAPPED"))</f>
        <v/>
      </c>
      <c r="E2893" s="36" t="str">
        <f aca="false">IF(Raw_Export!$A2893="","",IFERROR(VLOOKUP(LOWER(TRIM(Raw_Export!D2893)),Maps!$G$2:$I$80,3,FALSE()),"UNMAPPED"))</f>
        <v/>
      </c>
      <c r="F2893" s="36" t="str">
        <f aca="false">IF(Raw_Export!$A2893="","",IFERROR(VALUE(TRIM(Raw_Export!E2893)),0))</f>
        <v/>
      </c>
      <c r="G2893" s="38" t="str">
        <f aca="false">IF(Raw_Export!$A2893="","",IFERROR(VALUE(SUBSTITUTE(SUBSTITUTE(UPPER(TRIM(Raw_Export!F2893)),"KES",""),",","")),0))</f>
        <v/>
      </c>
      <c r="H2893" s="38" t="str">
        <f aca="false">IF(Raw_Export!$A2893="","",F2893*G2893)</f>
        <v/>
      </c>
      <c r="I2893" s="36" t="str">
        <f aca="false">IF(Raw_Export!$A2893="","",IFERROR(VLOOKUP(LOWER(TRIM(Raw_Export!H2893)),Maps!$D$2:$E$12,2,FALSE()),"Other"))</f>
        <v/>
      </c>
      <c r="J2893" s="36" t="str">
        <f aca="false">IF(Raw_Export!$A2893="","",IF(COUNTIF($A$2:A2893,A2893)&gt;1,"Duplicate",""))</f>
        <v/>
      </c>
      <c r="K2893" s="36" t="str">
        <f aca="false">IF(Raw_Export!$A2893="","",IF(J2893="Duplicate","Duplicate",IF(OR(C2893="UNMAPPED",D2893="UNMAPPED"),"Unmapped",IF(F2893=0,"Blank qty",IF(F2893&lt;0,"Return","OK")))))</f>
        <v/>
      </c>
      <c r="L2893" s="36" t="str">
        <f aca="false">IF(Raw_Export!$A2893="","",IF(OR(K2893="OK",K2893="Return"),1,0))</f>
        <v/>
      </c>
      <c r="M2893" s="37" t="str">
        <f aca="false">IF(Raw_Export!$A2893="","",B2893-WEEKDAY(B2893,2)+1)</f>
        <v/>
      </c>
    </row>
    <row r="2894" customFormat="false" ht="15" hidden="false" customHeight="false" outlineLevel="0" collapsed="false">
      <c r="A2894" s="36" t="str">
        <f aca="false">IF(Raw_Export!$A2894="","",TRIM(Raw_Export!A2894))</f>
        <v/>
      </c>
      <c r="B2894" s="37" t="str">
        <f aca="false">IF(Raw_Export!$A2894="","",IF(ISNUMBER(Raw_Export!B2894),Raw_Export!B2894,IF(MID(TRIM(Raw_Export!B2894),5,1)="-",DATE(LEFT(TRIM(Raw_Export!B2894),4),MID(TRIM(Raw_Export!B2894),6,2),RIGHT(TRIM(Raw_Export!B2894),2)),DATE(RIGHT(TRIM(Raw_Export!B2894),4),MATCH(MID(TRIM(Raw_Export!B2894),4,3),{"Jan","Feb","Mar","Apr","May","Jun","Jul","Aug","Sep","Oct","Nov","Dec"},0),LEFT(TRIM(Raw_Export!B2894),2)))))</f>
        <v/>
      </c>
      <c r="C2894" s="36" t="str">
        <f aca="false">IF(Raw_Export!$A2894="","",IFERROR(VLOOKUP(LOWER(TRIM(Raw_Export!C2894)),Maps!$A$2:$B$20,2,FALSE()),"UNMAPPED"))</f>
        <v/>
      </c>
      <c r="D2894" s="36" t="str">
        <f aca="false">IF(Raw_Export!$A2894="","",IFERROR(VLOOKUP(LOWER(TRIM(Raw_Export!D2894)),Maps!$G$2:$I$80,2,FALSE()),"UNMAPPED"))</f>
        <v/>
      </c>
      <c r="E2894" s="36" t="str">
        <f aca="false">IF(Raw_Export!$A2894="","",IFERROR(VLOOKUP(LOWER(TRIM(Raw_Export!D2894)),Maps!$G$2:$I$80,3,FALSE()),"UNMAPPED"))</f>
        <v/>
      </c>
      <c r="F2894" s="36" t="str">
        <f aca="false">IF(Raw_Export!$A2894="","",IFERROR(VALUE(TRIM(Raw_Export!E2894)),0))</f>
        <v/>
      </c>
      <c r="G2894" s="38" t="str">
        <f aca="false">IF(Raw_Export!$A2894="","",IFERROR(VALUE(SUBSTITUTE(SUBSTITUTE(UPPER(TRIM(Raw_Export!F2894)),"KES",""),",","")),0))</f>
        <v/>
      </c>
      <c r="H2894" s="38" t="str">
        <f aca="false">IF(Raw_Export!$A2894="","",F2894*G2894)</f>
        <v/>
      </c>
      <c r="I2894" s="36" t="str">
        <f aca="false">IF(Raw_Export!$A2894="","",IFERROR(VLOOKUP(LOWER(TRIM(Raw_Export!H2894)),Maps!$D$2:$E$12,2,FALSE()),"Other"))</f>
        <v/>
      </c>
      <c r="J2894" s="36" t="str">
        <f aca="false">IF(Raw_Export!$A2894="","",IF(COUNTIF($A$2:A2894,A2894)&gt;1,"Duplicate",""))</f>
        <v/>
      </c>
      <c r="K2894" s="36" t="str">
        <f aca="false">IF(Raw_Export!$A2894="","",IF(J2894="Duplicate","Duplicate",IF(OR(C2894="UNMAPPED",D2894="UNMAPPED"),"Unmapped",IF(F2894=0,"Blank qty",IF(F2894&lt;0,"Return","OK")))))</f>
        <v/>
      </c>
      <c r="L2894" s="36" t="str">
        <f aca="false">IF(Raw_Export!$A2894="","",IF(OR(K2894="OK",K2894="Return"),1,0))</f>
        <v/>
      </c>
      <c r="M2894" s="37" t="str">
        <f aca="false">IF(Raw_Export!$A2894="","",B2894-WEEKDAY(B2894,2)+1)</f>
        <v/>
      </c>
    </row>
    <row r="2895" customFormat="false" ht="15" hidden="false" customHeight="false" outlineLevel="0" collapsed="false">
      <c r="A2895" s="36" t="str">
        <f aca="false">IF(Raw_Export!$A2895="","",TRIM(Raw_Export!A2895))</f>
        <v/>
      </c>
      <c r="B2895" s="37" t="str">
        <f aca="false">IF(Raw_Export!$A2895="","",IF(ISNUMBER(Raw_Export!B2895),Raw_Export!B2895,IF(MID(TRIM(Raw_Export!B2895),5,1)="-",DATE(LEFT(TRIM(Raw_Export!B2895),4),MID(TRIM(Raw_Export!B2895),6,2),RIGHT(TRIM(Raw_Export!B2895),2)),DATE(RIGHT(TRIM(Raw_Export!B2895),4),MATCH(MID(TRIM(Raw_Export!B2895),4,3),{"Jan","Feb","Mar","Apr","May","Jun","Jul","Aug","Sep","Oct","Nov","Dec"},0),LEFT(TRIM(Raw_Export!B2895),2)))))</f>
        <v/>
      </c>
      <c r="C2895" s="36" t="str">
        <f aca="false">IF(Raw_Export!$A2895="","",IFERROR(VLOOKUP(LOWER(TRIM(Raw_Export!C2895)),Maps!$A$2:$B$20,2,FALSE()),"UNMAPPED"))</f>
        <v/>
      </c>
      <c r="D2895" s="36" t="str">
        <f aca="false">IF(Raw_Export!$A2895="","",IFERROR(VLOOKUP(LOWER(TRIM(Raw_Export!D2895)),Maps!$G$2:$I$80,2,FALSE()),"UNMAPPED"))</f>
        <v/>
      </c>
      <c r="E2895" s="36" t="str">
        <f aca="false">IF(Raw_Export!$A2895="","",IFERROR(VLOOKUP(LOWER(TRIM(Raw_Export!D2895)),Maps!$G$2:$I$80,3,FALSE()),"UNMAPPED"))</f>
        <v/>
      </c>
      <c r="F2895" s="36" t="str">
        <f aca="false">IF(Raw_Export!$A2895="","",IFERROR(VALUE(TRIM(Raw_Export!E2895)),0))</f>
        <v/>
      </c>
      <c r="G2895" s="38" t="str">
        <f aca="false">IF(Raw_Export!$A2895="","",IFERROR(VALUE(SUBSTITUTE(SUBSTITUTE(UPPER(TRIM(Raw_Export!F2895)),"KES",""),",","")),0))</f>
        <v/>
      </c>
      <c r="H2895" s="38" t="str">
        <f aca="false">IF(Raw_Export!$A2895="","",F2895*G2895)</f>
        <v/>
      </c>
      <c r="I2895" s="36" t="str">
        <f aca="false">IF(Raw_Export!$A2895="","",IFERROR(VLOOKUP(LOWER(TRIM(Raw_Export!H2895)),Maps!$D$2:$E$12,2,FALSE()),"Other"))</f>
        <v/>
      </c>
      <c r="J2895" s="36" t="str">
        <f aca="false">IF(Raw_Export!$A2895="","",IF(COUNTIF($A$2:A2895,A2895)&gt;1,"Duplicate",""))</f>
        <v/>
      </c>
      <c r="K2895" s="36" t="str">
        <f aca="false">IF(Raw_Export!$A2895="","",IF(J2895="Duplicate","Duplicate",IF(OR(C2895="UNMAPPED",D2895="UNMAPPED"),"Unmapped",IF(F2895=0,"Blank qty",IF(F2895&lt;0,"Return","OK")))))</f>
        <v/>
      </c>
      <c r="L2895" s="36" t="str">
        <f aca="false">IF(Raw_Export!$A2895="","",IF(OR(K2895="OK",K2895="Return"),1,0))</f>
        <v/>
      </c>
      <c r="M2895" s="37" t="str">
        <f aca="false">IF(Raw_Export!$A2895="","",B2895-WEEKDAY(B2895,2)+1)</f>
        <v/>
      </c>
    </row>
    <row r="2896" customFormat="false" ht="15" hidden="false" customHeight="false" outlineLevel="0" collapsed="false">
      <c r="A2896" s="36" t="str">
        <f aca="false">IF(Raw_Export!$A2896="","",TRIM(Raw_Export!A2896))</f>
        <v/>
      </c>
      <c r="B2896" s="37" t="str">
        <f aca="false">IF(Raw_Export!$A2896="","",IF(ISNUMBER(Raw_Export!B2896),Raw_Export!B2896,IF(MID(TRIM(Raw_Export!B2896),5,1)="-",DATE(LEFT(TRIM(Raw_Export!B2896),4),MID(TRIM(Raw_Export!B2896),6,2),RIGHT(TRIM(Raw_Export!B2896),2)),DATE(RIGHT(TRIM(Raw_Export!B2896),4),MATCH(MID(TRIM(Raw_Export!B2896),4,3),{"Jan","Feb","Mar","Apr","May","Jun","Jul","Aug","Sep","Oct","Nov","Dec"},0),LEFT(TRIM(Raw_Export!B2896),2)))))</f>
        <v/>
      </c>
      <c r="C2896" s="36" t="str">
        <f aca="false">IF(Raw_Export!$A2896="","",IFERROR(VLOOKUP(LOWER(TRIM(Raw_Export!C2896)),Maps!$A$2:$B$20,2,FALSE()),"UNMAPPED"))</f>
        <v/>
      </c>
      <c r="D2896" s="36" t="str">
        <f aca="false">IF(Raw_Export!$A2896="","",IFERROR(VLOOKUP(LOWER(TRIM(Raw_Export!D2896)),Maps!$G$2:$I$80,2,FALSE()),"UNMAPPED"))</f>
        <v/>
      </c>
      <c r="E2896" s="36" t="str">
        <f aca="false">IF(Raw_Export!$A2896="","",IFERROR(VLOOKUP(LOWER(TRIM(Raw_Export!D2896)),Maps!$G$2:$I$80,3,FALSE()),"UNMAPPED"))</f>
        <v/>
      </c>
      <c r="F2896" s="36" t="str">
        <f aca="false">IF(Raw_Export!$A2896="","",IFERROR(VALUE(TRIM(Raw_Export!E2896)),0))</f>
        <v/>
      </c>
      <c r="G2896" s="38" t="str">
        <f aca="false">IF(Raw_Export!$A2896="","",IFERROR(VALUE(SUBSTITUTE(SUBSTITUTE(UPPER(TRIM(Raw_Export!F2896)),"KES",""),",","")),0))</f>
        <v/>
      </c>
      <c r="H2896" s="38" t="str">
        <f aca="false">IF(Raw_Export!$A2896="","",F2896*G2896)</f>
        <v/>
      </c>
      <c r="I2896" s="36" t="str">
        <f aca="false">IF(Raw_Export!$A2896="","",IFERROR(VLOOKUP(LOWER(TRIM(Raw_Export!H2896)),Maps!$D$2:$E$12,2,FALSE()),"Other"))</f>
        <v/>
      </c>
      <c r="J2896" s="36" t="str">
        <f aca="false">IF(Raw_Export!$A2896="","",IF(COUNTIF($A$2:A2896,A2896)&gt;1,"Duplicate",""))</f>
        <v/>
      </c>
      <c r="K2896" s="36" t="str">
        <f aca="false">IF(Raw_Export!$A2896="","",IF(J2896="Duplicate","Duplicate",IF(OR(C2896="UNMAPPED",D2896="UNMAPPED"),"Unmapped",IF(F2896=0,"Blank qty",IF(F2896&lt;0,"Return","OK")))))</f>
        <v/>
      </c>
      <c r="L2896" s="36" t="str">
        <f aca="false">IF(Raw_Export!$A2896="","",IF(OR(K2896="OK",K2896="Return"),1,0))</f>
        <v/>
      </c>
      <c r="M2896" s="37" t="str">
        <f aca="false">IF(Raw_Export!$A2896="","",B2896-WEEKDAY(B2896,2)+1)</f>
        <v/>
      </c>
    </row>
    <row r="2897" customFormat="false" ht="15" hidden="false" customHeight="false" outlineLevel="0" collapsed="false">
      <c r="A2897" s="36" t="str">
        <f aca="false">IF(Raw_Export!$A2897="","",TRIM(Raw_Export!A2897))</f>
        <v/>
      </c>
      <c r="B2897" s="37" t="str">
        <f aca="false">IF(Raw_Export!$A2897="","",IF(ISNUMBER(Raw_Export!B2897),Raw_Export!B2897,IF(MID(TRIM(Raw_Export!B2897),5,1)="-",DATE(LEFT(TRIM(Raw_Export!B2897),4),MID(TRIM(Raw_Export!B2897),6,2),RIGHT(TRIM(Raw_Export!B2897),2)),DATE(RIGHT(TRIM(Raw_Export!B2897),4),MATCH(MID(TRIM(Raw_Export!B2897),4,3),{"Jan","Feb","Mar","Apr","May","Jun","Jul","Aug","Sep","Oct","Nov","Dec"},0),LEFT(TRIM(Raw_Export!B2897),2)))))</f>
        <v/>
      </c>
      <c r="C2897" s="36" t="str">
        <f aca="false">IF(Raw_Export!$A2897="","",IFERROR(VLOOKUP(LOWER(TRIM(Raw_Export!C2897)),Maps!$A$2:$B$20,2,FALSE()),"UNMAPPED"))</f>
        <v/>
      </c>
      <c r="D2897" s="36" t="str">
        <f aca="false">IF(Raw_Export!$A2897="","",IFERROR(VLOOKUP(LOWER(TRIM(Raw_Export!D2897)),Maps!$G$2:$I$80,2,FALSE()),"UNMAPPED"))</f>
        <v/>
      </c>
      <c r="E2897" s="36" t="str">
        <f aca="false">IF(Raw_Export!$A2897="","",IFERROR(VLOOKUP(LOWER(TRIM(Raw_Export!D2897)),Maps!$G$2:$I$80,3,FALSE()),"UNMAPPED"))</f>
        <v/>
      </c>
      <c r="F2897" s="36" t="str">
        <f aca="false">IF(Raw_Export!$A2897="","",IFERROR(VALUE(TRIM(Raw_Export!E2897)),0))</f>
        <v/>
      </c>
      <c r="G2897" s="38" t="str">
        <f aca="false">IF(Raw_Export!$A2897="","",IFERROR(VALUE(SUBSTITUTE(SUBSTITUTE(UPPER(TRIM(Raw_Export!F2897)),"KES",""),",","")),0))</f>
        <v/>
      </c>
      <c r="H2897" s="38" t="str">
        <f aca="false">IF(Raw_Export!$A2897="","",F2897*G2897)</f>
        <v/>
      </c>
      <c r="I2897" s="36" t="str">
        <f aca="false">IF(Raw_Export!$A2897="","",IFERROR(VLOOKUP(LOWER(TRIM(Raw_Export!H2897)),Maps!$D$2:$E$12,2,FALSE()),"Other"))</f>
        <v/>
      </c>
      <c r="J2897" s="36" t="str">
        <f aca="false">IF(Raw_Export!$A2897="","",IF(COUNTIF($A$2:A2897,A2897)&gt;1,"Duplicate",""))</f>
        <v/>
      </c>
      <c r="K2897" s="36" t="str">
        <f aca="false">IF(Raw_Export!$A2897="","",IF(J2897="Duplicate","Duplicate",IF(OR(C2897="UNMAPPED",D2897="UNMAPPED"),"Unmapped",IF(F2897=0,"Blank qty",IF(F2897&lt;0,"Return","OK")))))</f>
        <v/>
      </c>
      <c r="L2897" s="36" t="str">
        <f aca="false">IF(Raw_Export!$A2897="","",IF(OR(K2897="OK",K2897="Return"),1,0))</f>
        <v/>
      </c>
      <c r="M2897" s="37" t="str">
        <f aca="false">IF(Raw_Export!$A2897="","",B2897-WEEKDAY(B2897,2)+1)</f>
        <v/>
      </c>
    </row>
    <row r="2898" customFormat="false" ht="15" hidden="false" customHeight="false" outlineLevel="0" collapsed="false">
      <c r="A2898" s="36" t="str">
        <f aca="false">IF(Raw_Export!$A2898="","",TRIM(Raw_Export!A2898))</f>
        <v/>
      </c>
      <c r="B2898" s="37" t="str">
        <f aca="false">IF(Raw_Export!$A2898="","",IF(ISNUMBER(Raw_Export!B2898),Raw_Export!B2898,IF(MID(TRIM(Raw_Export!B2898),5,1)="-",DATE(LEFT(TRIM(Raw_Export!B2898),4),MID(TRIM(Raw_Export!B2898),6,2),RIGHT(TRIM(Raw_Export!B2898),2)),DATE(RIGHT(TRIM(Raw_Export!B2898),4),MATCH(MID(TRIM(Raw_Export!B2898),4,3),{"Jan","Feb","Mar","Apr","May","Jun","Jul","Aug","Sep","Oct","Nov","Dec"},0),LEFT(TRIM(Raw_Export!B2898),2)))))</f>
        <v/>
      </c>
      <c r="C2898" s="36" t="str">
        <f aca="false">IF(Raw_Export!$A2898="","",IFERROR(VLOOKUP(LOWER(TRIM(Raw_Export!C2898)),Maps!$A$2:$B$20,2,FALSE()),"UNMAPPED"))</f>
        <v/>
      </c>
      <c r="D2898" s="36" t="str">
        <f aca="false">IF(Raw_Export!$A2898="","",IFERROR(VLOOKUP(LOWER(TRIM(Raw_Export!D2898)),Maps!$G$2:$I$80,2,FALSE()),"UNMAPPED"))</f>
        <v/>
      </c>
      <c r="E2898" s="36" t="str">
        <f aca="false">IF(Raw_Export!$A2898="","",IFERROR(VLOOKUP(LOWER(TRIM(Raw_Export!D2898)),Maps!$G$2:$I$80,3,FALSE()),"UNMAPPED"))</f>
        <v/>
      </c>
      <c r="F2898" s="36" t="str">
        <f aca="false">IF(Raw_Export!$A2898="","",IFERROR(VALUE(TRIM(Raw_Export!E2898)),0))</f>
        <v/>
      </c>
      <c r="G2898" s="38" t="str">
        <f aca="false">IF(Raw_Export!$A2898="","",IFERROR(VALUE(SUBSTITUTE(SUBSTITUTE(UPPER(TRIM(Raw_Export!F2898)),"KES",""),",","")),0))</f>
        <v/>
      </c>
      <c r="H2898" s="38" t="str">
        <f aca="false">IF(Raw_Export!$A2898="","",F2898*G2898)</f>
        <v/>
      </c>
      <c r="I2898" s="36" t="str">
        <f aca="false">IF(Raw_Export!$A2898="","",IFERROR(VLOOKUP(LOWER(TRIM(Raw_Export!H2898)),Maps!$D$2:$E$12,2,FALSE()),"Other"))</f>
        <v/>
      </c>
      <c r="J2898" s="36" t="str">
        <f aca="false">IF(Raw_Export!$A2898="","",IF(COUNTIF($A$2:A2898,A2898)&gt;1,"Duplicate",""))</f>
        <v/>
      </c>
      <c r="K2898" s="36" t="str">
        <f aca="false">IF(Raw_Export!$A2898="","",IF(J2898="Duplicate","Duplicate",IF(OR(C2898="UNMAPPED",D2898="UNMAPPED"),"Unmapped",IF(F2898=0,"Blank qty",IF(F2898&lt;0,"Return","OK")))))</f>
        <v/>
      </c>
      <c r="L2898" s="36" t="str">
        <f aca="false">IF(Raw_Export!$A2898="","",IF(OR(K2898="OK",K2898="Return"),1,0))</f>
        <v/>
      </c>
      <c r="M2898" s="37" t="str">
        <f aca="false">IF(Raw_Export!$A2898="","",B2898-WEEKDAY(B2898,2)+1)</f>
        <v/>
      </c>
    </row>
    <row r="2899" customFormat="false" ht="15" hidden="false" customHeight="false" outlineLevel="0" collapsed="false">
      <c r="A2899" s="36" t="str">
        <f aca="false">IF(Raw_Export!$A2899="","",TRIM(Raw_Export!A2899))</f>
        <v/>
      </c>
      <c r="B2899" s="37" t="str">
        <f aca="false">IF(Raw_Export!$A2899="","",IF(ISNUMBER(Raw_Export!B2899),Raw_Export!B2899,IF(MID(TRIM(Raw_Export!B2899),5,1)="-",DATE(LEFT(TRIM(Raw_Export!B2899),4),MID(TRIM(Raw_Export!B2899),6,2),RIGHT(TRIM(Raw_Export!B2899),2)),DATE(RIGHT(TRIM(Raw_Export!B2899),4),MATCH(MID(TRIM(Raw_Export!B2899),4,3),{"Jan","Feb","Mar","Apr","May","Jun","Jul","Aug","Sep","Oct","Nov","Dec"},0),LEFT(TRIM(Raw_Export!B2899),2)))))</f>
        <v/>
      </c>
      <c r="C2899" s="36" t="str">
        <f aca="false">IF(Raw_Export!$A2899="","",IFERROR(VLOOKUP(LOWER(TRIM(Raw_Export!C2899)),Maps!$A$2:$B$20,2,FALSE()),"UNMAPPED"))</f>
        <v/>
      </c>
      <c r="D2899" s="36" t="str">
        <f aca="false">IF(Raw_Export!$A2899="","",IFERROR(VLOOKUP(LOWER(TRIM(Raw_Export!D2899)),Maps!$G$2:$I$80,2,FALSE()),"UNMAPPED"))</f>
        <v/>
      </c>
      <c r="E2899" s="36" t="str">
        <f aca="false">IF(Raw_Export!$A2899="","",IFERROR(VLOOKUP(LOWER(TRIM(Raw_Export!D2899)),Maps!$G$2:$I$80,3,FALSE()),"UNMAPPED"))</f>
        <v/>
      </c>
      <c r="F2899" s="36" t="str">
        <f aca="false">IF(Raw_Export!$A2899="","",IFERROR(VALUE(TRIM(Raw_Export!E2899)),0))</f>
        <v/>
      </c>
      <c r="G2899" s="38" t="str">
        <f aca="false">IF(Raw_Export!$A2899="","",IFERROR(VALUE(SUBSTITUTE(SUBSTITUTE(UPPER(TRIM(Raw_Export!F2899)),"KES",""),",","")),0))</f>
        <v/>
      </c>
      <c r="H2899" s="38" t="str">
        <f aca="false">IF(Raw_Export!$A2899="","",F2899*G2899)</f>
        <v/>
      </c>
      <c r="I2899" s="36" t="str">
        <f aca="false">IF(Raw_Export!$A2899="","",IFERROR(VLOOKUP(LOWER(TRIM(Raw_Export!H2899)),Maps!$D$2:$E$12,2,FALSE()),"Other"))</f>
        <v/>
      </c>
      <c r="J2899" s="36" t="str">
        <f aca="false">IF(Raw_Export!$A2899="","",IF(COUNTIF($A$2:A2899,A2899)&gt;1,"Duplicate",""))</f>
        <v/>
      </c>
      <c r="K2899" s="36" t="str">
        <f aca="false">IF(Raw_Export!$A2899="","",IF(J2899="Duplicate","Duplicate",IF(OR(C2899="UNMAPPED",D2899="UNMAPPED"),"Unmapped",IF(F2899=0,"Blank qty",IF(F2899&lt;0,"Return","OK")))))</f>
        <v/>
      </c>
      <c r="L2899" s="36" t="str">
        <f aca="false">IF(Raw_Export!$A2899="","",IF(OR(K2899="OK",K2899="Return"),1,0))</f>
        <v/>
      </c>
      <c r="M2899" s="37" t="str">
        <f aca="false">IF(Raw_Export!$A2899="","",B2899-WEEKDAY(B2899,2)+1)</f>
        <v/>
      </c>
    </row>
    <row r="2900" customFormat="false" ht="15" hidden="false" customHeight="false" outlineLevel="0" collapsed="false">
      <c r="A2900" s="36" t="str">
        <f aca="false">IF(Raw_Export!$A2900="","",TRIM(Raw_Export!A2900))</f>
        <v/>
      </c>
      <c r="B2900" s="37" t="str">
        <f aca="false">IF(Raw_Export!$A2900="","",IF(ISNUMBER(Raw_Export!B2900),Raw_Export!B2900,IF(MID(TRIM(Raw_Export!B2900),5,1)="-",DATE(LEFT(TRIM(Raw_Export!B2900),4),MID(TRIM(Raw_Export!B2900),6,2),RIGHT(TRIM(Raw_Export!B2900),2)),DATE(RIGHT(TRIM(Raw_Export!B2900),4),MATCH(MID(TRIM(Raw_Export!B2900),4,3),{"Jan","Feb","Mar","Apr","May","Jun","Jul","Aug","Sep","Oct","Nov","Dec"},0),LEFT(TRIM(Raw_Export!B2900),2)))))</f>
        <v/>
      </c>
      <c r="C2900" s="36" t="str">
        <f aca="false">IF(Raw_Export!$A2900="","",IFERROR(VLOOKUP(LOWER(TRIM(Raw_Export!C2900)),Maps!$A$2:$B$20,2,FALSE()),"UNMAPPED"))</f>
        <v/>
      </c>
      <c r="D2900" s="36" t="str">
        <f aca="false">IF(Raw_Export!$A2900="","",IFERROR(VLOOKUP(LOWER(TRIM(Raw_Export!D2900)),Maps!$G$2:$I$80,2,FALSE()),"UNMAPPED"))</f>
        <v/>
      </c>
      <c r="E2900" s="36" t="str">
        <f aca="false">IF(Raw_Export!$A2900="","",IFERROR(VLOOKUP(LOWER(TRIM(Raw_Export!D2900)),Maps!$G$2:$I$80,3,FALSE()),"UNMAPPED"))</f>
        <v/>
      </c>
      <c r="F2900" s="36" t="str">
        <f aca="false">IF(Raw_Export!$A2900="","",IFERROR(VALUE(TRIM(Raw_Export!E2900)),0))</f>
        <v/>
      </c>
      <c r="G2900" s="38" t="str">
        <f aca="false">IF(Raw_Export!$A2900="","",IFERROR(VALUE(SUBSTITUTE(SUBSTITUTE(UPPER(TRIM(Raw_Export!F2900)),"KES",""),",","")),0))</f>
        <v/>
      </c>
      <c r="H2900" s="38" t="str">
        <f aca="false">IF(Raw_Export!$A2900="","",F2900*G2900)</f>
        <v/>
      </c>
      <c r="I2900" s="36" t="str">
        <f aca="false">IF(Raw_Export!$A2900="","",IFERROR(VLOOKUP(LOWER(TRIM(Raw_Export!H2900)),Maps!$D$2:$E$12,2,FALSE()),"Other"))</f>
        <v/>
      </c>
      <c r="J2900" s="36" t="str">
        <f aca="false">IF(Raw_Export!$A2900="","",IF(COUNTIF($A$2:A2900,A2900)&gt;1,"Duplicate",""))</f>
        <v/>
      </c>
      <c r="K2900" s="36" t="str">
        <f aca="false">IF(Raw_Export!$A2900="","",IF(J2900="Duplicate","Duplicate",IF(OR(C2900="UNMAPPED",D2900="UNMAPPED"),"Unmapped",IF(F2900=0,"Blank qty",IF(F2900&lt;0,"Return","OK")))))</f>
        <v/>
      </c>
      <c r="L2900" s="36" t="str">
        <f aca="false">IF(Raw_Export!$A2900="","",IF(OR(K2900="OK",K2900="Return"),1,0))</f>
        <v/>
      </c>
      <c r="M2900" s="37" t="str">
        <f aca="false">IF(Raw_Export!$A2900="","",B2900-WEEKDAY(B2900,2)+1)</f>
        <v/>
      </c>
    </row>
    <row r="2901" customFormat="false" ht="15" hidden="false" customHeight="false" outlineLevel="0" collapsed="false">
      <c r="A2901" s="36" t="str">
        <f aca="false">IF(Raw_Export!$A2901="","",TRIM(Raw_Export!A2901))</f>
        <v/>
      </c>
      <c r="B2901" s="37" t="str">
        <f aca="false">IF(Raw_Export!$A2901="","",IF(ISNUMBER(Raw_Export!B2901),Raw_Export!B2901,IF(MID(TRIM(Raw_Export!B2901),5,1)="-",DATE(LEFT(TRIM(Raw_Export!B2901),4),MID(TRIM(Raw_Export!B2901),6,2),RIGHT(TRIM(Raw_Export!B2901),2)),DATE(RIGHT(TRIM(Raw_Export!B2901),4),MATCH(MID(TRIM(Raw_Export!B2901),4,3),{"Jan","Feb","Mar","Apr","May","Jun","Jul","Aug","Sep","Oct","Nov","Dec"},0),LEFT(TRIM(Raw_Export!B2901),2)))))</f>
        <v/>
      </c>
      <c r="C2901" s="36" t="str">
        <f aca="false">IF(Raw_Export!$A2901="","",IFERROR(VLOOKUP(LOWER(TRIM(Raw_Export!C2901)),Maps!$A$2:$B$20,2,FALSE()),"UNMAPPED"))</f>
        <v/>
      </c>
      <c r="D2901" s="36" t="str">
        <f aca="false">IF(Raw_Export!$A2901="","",IFERROR(VLOOKUP(LOWER(TRIM(Raw_Export!D2901)),Maps!$G$2:$I$80,2,FALSE()),"UNMAPPED"))</f>
        <v/>
      </c>
      <c r="E2901" s="36" t="str">
        <f aca="false">IF(Raw_Export!$A2901="","",IFERROR(VLOOKUP(LOWER(TRIM(Raw_Export!D2901)),Maps!$G$2:$I$80,3,FALSE()),"UNMAPPED"))</f>
        <v/>
      </c>
      <c r="F2901" s="36" t="str">
        <f aca="false">IF(Raw_Export!$A2901="","",IFERROR(VALUE(TRIM(Raw_Export!E2901)),0))</f>
        <v/>
      </c>
      <c r="G2901" s="38" t="str">
        <f aca="false">IF(Raw_Export!$A2901="","",IFERROR(VALUE(SUBSTITUTE(SUBSTITUTE(UPPER(TRIM(Raw_Export!F2901)),"KES",""),",","")),0))</f>
        <v/>
      </c>
      <c r="H2901" s="38" t="str">
        <f aca="false">IF(Raw_Export!$A2901="","",F2901*G2901)</f>
        <v/>
      </c>
      <c r="I2901" s="36" t="str">
        <f aca="false">IF(Raw_Export!$A2901="","",IFERROR(VLOOKUP(LOWER(TRIM(Raw_Export!H2901)),Maps!$D$2:$E$12,2,FALSE()),"Other"))</f>
        <v/>
      </c>
      <c r="J2901" s="36" t="str">
        <f aca="false">IF(Raw_Export!$A2901="","",IF(COUNTIF($A$2:A2901,A2901)&gt;1,"Duplicate",""))</f>
        <v/>
      </c>
      <c r="K2901" s="36" t="str">
        <f aca="false">IF(Raw_Export!$A2901="","",IF(J2901="Duplicate","Duplicate",IF(OR(C2901="UNMAPPED",D2901="UNMAPPED"),"Unmapped",IF(F2901=0,"Blank qty",IF(F2901&lt;0,"Return","OK")))))</f>
        <v/>
      </c>
      <c r="L2901" s="36" t="str">
        <f aca="false">IF(Raw_Export!$A2901="","",IF(OR(K2901="OK",K2901="Return"),1,0))</f>
        <v/>
      </c>
      <c r="M2901" s="37" t="str">
        <f aca="false">IF(Raw_Export!$A2901="","",B2901-WEEKDAY(B2901,2)+1)</f>
        <v/>
      </c>
    </row>
    <row r="2902" customFormat="false" ht="15" hidden="false" customHeight="false" outlineLevel="0" collapsed="false">
      <c r="A2902" s="36" t="str">
        <f aca="false">IF(Raw_Export!$A2902="","",TRIM(Raw_Export!A2902))</f>
        <v/>
      </c>
      <c r="B2902" s="37" t="str">
        <f aca="false">IF(Raw_Export!$A2902="","",IF(ISNUMBER(Raw_Export!B2902),Raw_Export!B2902,IF(MID(TRIM(Raw_Export!B2902),5,1)="-",DATE(LEFT(TRIM(Raw_Export!B2902),4),MID(TRIM(Raw_Export!B2902),6,2),RIGHT(TRIM(Raw_Export!B2902),2)),DATE(RIGHT(TRIM(Raw_Export!B2902),4),MATCH(MID(TRIM(Raw_Export!B2902),4,3),{"Jan","Feb","Mar","Apr","May","Jun","Jul","Aug","Sep","Oct","Nov","Dec"},0),LEFT(TRIM(Raw_Export!B2902),2)))))</f>
        <v/>
      </c>
      <c r="C2902" s="36" t="str">
        <f aca="false">IF(Raw_Export!$A2902="","",IFERROR(VLOOKUP(LOWER(TRIM(Raw_Export!C2902)),Maps!$A$2:$B$20,2,FALSE()),"UNMAPPED"))</f>
        <v/>
      </c>
      <c r="D2902" s="36" t="str">
        <f aca="false">IF(Raw_Export!$A2902="","",IFERROR(VLOOKUP(LOWER(TRIM(Raw_Export!D2902)),Maps!$G$2:$I$80,2,FALSE()),"UNMAPPED"))</f>
        <v/>
      </c>
      <c r="E2902" s="36" t="str">
        <f aca="false">IF(Raw_Export!$A2902="","",IFERROR(VLOOKUP(LOWER(TRIM(Raw_Export!D2902)),Maps!$G$2:$I$80,3,FALSE()),"UNMAPPED"))</f>
        <v/>
      </c>
      <c r="F2902" s="36" t="str">
        <f aca="false">IF(Raw_Export!$A2902="","",IFERROR(VALUE(TRIM(Raw_Export!E2902)),0))</f>
        <v/>
      </c>
      <c r="G2902" s="38" t="str">
        <f aca="false">IF(Raw_Export!$A2902="","",IFERROR(VALUE(SUBSTITUTE(SUBSTITUTE(UPPER(TRIM(Raw_Export!F2902)),"KES",""),",","")),0))</f>
        <v/>
      </c>
      <c r="H2902" s="38" t="str">
        <f aca="false">IF(Raw_Export!$A2902="","",F2902*G2902)</f>
        <v/>
      </c>
      <c r="I2902" s="36" t="str">
        <f aca="false">IF(Raw_Export!$A2902="","",IFERROR(VLOOKUP(LOWER(TRIM(Raw_Export!H2902)),Maps!$D$2:$E$12,2,FALSE()),"Other"))</f>
        <v/>
      </c>
      <c r="J2902" s="36" t="str">
        <f aca="false">IF(Raw_Export!$A2902="","",IF(COUNTIF($A$2:A2902,A2902)&gt;1,"Duplicate",""))</f>
        <v/>
      </c>
      <c r="K2902" s="36" t="str">
        <f aca="false">IF(Raw_Export!$A2902="","",IF(J2902="Duplicate","Duplicate",IF(OR(C2902="UNMAPPED",D2902="UNMAPPED"),"Unmapped",IF(F2902=0,"Blank qty",IF(F2902&lt;0,"Return","OK")))))</f>
        <v/>
      </c>
      <c r="L2902" s="36" t="str">
        <f aca="false">IF(Raw_Export!$A2902="","",IF(OR(K2902="OK",K2902="Return"),1,0))</f>
        <v/>
      </c>
      <c r="M2902" s="37" t="str">
        <f aca="false">IF(Raw_Export!$A2902="","",B2902-WEEKDAY(B2902,2)+1)</f>
        <v/>
      </c>
    </row>
    <row r="2903" customFormat="false" ht="15" hidden="false" customHeight="false" outlineLevel="0" collapsed="false">
      <c r="A2903" s="36" t="str">
        <f aca="false">IF(Raw_Export!$A2903="","",TRIM(Raw_Export!A2903))</f>
        <v/>
      </c>
      <c r="B2903" s="37" t="str">
        <f aca="false">IF(Raw_Export!$A2903="","",IF(ISNUMBER(Raw_Export!B2903),Raw_Export!B2903,IF(MID(TRIM(Raw_Export!B2903),5,1)="-",DATE(LEFT(TRIM(Raw_Export!B2903),4),MID(TRIM(Raw_Export!B2903),6,2),RIGHT(TRIM(Raw_Export!B2903),2)),DATE(RIGHT(TRIM(Raw_Export!B2903),4),MATCH(MID(TRIM(Raw_Export!B2903),4,3),{"Jan","Feb","Mar","Apr","May","Jun","Jul","Aug","Sep","Oct","Nov","Dec"},0),LEFT(TRIM(Raw_Export!B2903),2)))))</f>
        <v/>
      </c>
      <c r="C2903" s="36" t="str">
        <f aca="false">IF(Raw_Export!$A2903="","",IFERROR(VLOOKUP(LOWER(TRIM(Raw_Export!C2903)),Maps!$A$2:$B$20,2,FALSE()),"UNMAPPED"))</f>
        <v/>
      </c>
      <c r="D2903" s="36" t="str">
        <f aca="false">IF(Raw_Export!$A2903="","",IFERROR(VLOOKUP(LOWER(TRIM(Raw_Export!D2903)),Maps!$G$2:$I$80,2,FALSE()),"UNMAPPED"))</f>
        <v/>
      </c>
      <c r="E2903" s="36" t="str">
        <f aca="false">IF(Raw_Export!$A2903="","",IFERROR(VLOOKUP(LOWER(TRIM(Raw_Export!D2903)),Maps!$G$2:$I$80,3,FALSE()),"UNMAPPED"))</f>
        <v/>
      </c>
      <c r="F2903" s="36" t="str">
        <f aca="false">IF(Raw_Export!$A2903="","",IFERROR(VALUE(TRIM(Raw_Export!E2903)),0))</f>
        <v/>
      </c>
      <c r="G2903" s="38" t="str">
        <f aca="false">IF(Raw_Export!$A2903="","",IFERROR(VALUE(SUBSTITUTE(SUBSTITUTE(UPPER(TRIM(Raw_Export!F2903)),"KES",""),",","")),0))</f>
        <v/>
      </c>
      <c r="H2903" s="38" t="str">
        <f aca="false">IF(Raw_Export!$A2903="","",F2903*G2903)</f>
        <v/>
      </c>
      <c r="I2903" s="36" t="str">
        <f aca="false">IF(Raw_Export!$A2903="","",IFERROR(VLOOKUP(LOWER(TRIM(Raw_Export!H2903)),Maps!$D$2:$E$12,2,FALSE()),"Other"))</f>
        <v/>
      </c>
      <c r="J2903" s="36" t="str">
        <f aca="false">IF(Raw_Export!$A2903="","",IF(COUNTIF($A$2:A2903,A2903)&gt;1,"Duplicate",""))</f>
        <v/>
      </c>
      <c r="K2903" s="36" t="str">
        <f aca="false">IF(Raw_Export!$A2903="","",IF(J2903="Duplicate","Duplicate",IF(OR(C2903="UNMAPPED",D2903="UNMAPPED"),"Unmapped",IF(F2903=0,"Blank qty",IF(F2903&lt;0,"Return","OK")))))</f>
        <v/>
      </c>
      <c r="L2903" s="36" t="str">
        <f aca="false">IF(Raw_Export!$A2903="","",IF(OR(K2903="OK",K2903="Return"),1,0))</f>
        <v/>
      </c>
      <c r="M2903" s="37" t="str">
        <f aca="false">IF(Raw_Export!$A2903="","",B2903-WEEKDAY(B2903,2)+1)</f>
        <v/>
      </c>
    </row>
    <row r="2904" customFormat="false" ht="15" hidden="false" customHeight="false" outlineLevel="0" collapsed="false">
      <c r="A2904" s="36" t="str">
        <f aca="false">IF(Raw_Export!$A2904="","",TRIM(Raw_Export!A2904))</f>
        <v/>
      </c>
      <c r="B2904" s="37" t="str">
        <f aca="false">IF(Raw_Export!$A2904="","",IF(ISNUMBER(Raw_Export!B2904),Raw_Export!B2904,IF(MID(TRIM(Raw_Export!B2904),5,1)="-",DATE(LEFT(TRIM(Raw_Export!B2904),4),MID(TRIM(Raw_Export!B2904),6,2),RIGHT(TRIM(Raw_Export!B2904),2)),DATE(RIGHT(TRIM(Raw_Export!B2904),4),MATCH(MID(TRIM(Raw_Export!B2904),4,3),{"Jan","Feb","Mar","Apr","May","Jun","Jul","Aug","Sep","Oct","Nov","Dec"},0),LEFT(TRIM(Raw_Export!B2904),2)))))</f>
        <v/>
      </c>
      <c r="C2904" s="36" t="str">
        <f aca="false">IF(Raw_Export!$A2904="","",IFERROR(VLOOKUP(LOWER(TRIM(Raw_Export!C2904)),Maps!$A$2:$B$20,2,FALSE()),"UNMAPPED"))</f>
        <v/>
      </c>
      <c r="D2904" s="36" t="str">
        <f aca="false">IF(Raw_Export!$A2904="","",IFERROR(VLOOKUP(LOWER(TRIM(Raw_Export!D2904)),Maps!$G$2:$I$80,2,FALSE()),"UNMAPPED"))</f>
        <v/>
      </c>
      <c r="E2904" s="36" t="str">
        <f aca="false">IF(Raw_Export!$A2904="","",IFERROR(VLOOKUP(LOWER(TRIM(Raw_Export!D2904)),Maps!$G$2:$I$80,3,FALSE()),"UNMAPPED"))</f>
        <v/>
      </c>
      <c r="F2904" s="36" t="str">
        <f aca="false">IF(Raw_Export!$A2904="","",IFERROR(VALUE(TRIM(Raw_Export!E2904)),0))</f>
        <v/>
      </c>
      <c r="G2904" s="38" t="str">
        <f aca="false">IF(Raw_Export!$A2904="","",IFERROR(VALUE(SUBSTITUTE(SUBSTITUTE(UPPER(TRIM(Raw_Export!F2904)),"KES",""),",","")),0))</f>
        <v/>
      </c>
      <c r="H2904" s="38" t="str">
        <f aca="false">IF(Raw_Export!$A2904="","",F2904*G2904)</f>
        <v/>
      </c>
      <c r="I2904" s="36" t="str">
        <f aca="false">IF(Raw_Export!$A2904="","",IFERROR(VLOOKUP(LOWER(TRIM(Raw_Export!H2904)),Maps!$D$2:$E$12,2,FALSE()),"Other"))</f>
        <v/>
      </c>
      <c r="J2904" s="36" t="str">
        <f aca="false">IF(Raw_Export!$A2904="","",IF(COUNTIF($A$2:A2904,A2904)&gt;1,"Duplicate",""))</f>
        <v/>
      </c>
      <c r="K2904" s="36" t="str">
        <f aca="false">IF(Raw_Export!$A2904="","",IF(J2904="Duplicate","Duplicate",IF(OR(C2904="UNMAPPED",D2904="UNMAPPED"),"Unmapped",IF(F2904=0,"Blank qty",IF(F2904&lt;0,"Return","OK")))))</f>
        <v/>
      </c>
      <c r="L2904" s="36" t="str">
        <f aca="false">IF(Raw_Export!$A2904="","",IF(OR(K2904="OK",K2904="Return"),1,0))</f>
        <v/>
      </c>
      <c r="M2904" s="37" t="str">
        <f aca="false">IF(Raw_Export!$A2904="","",B2904-WEEKDAY(B2904,2)+1)</f>
        <v/>
      </c>
    </row>
    <row r="2905" customFormat="false" ht="15" hidden="false" customHeight="false" outlineLevel="0" collapsed="false">
      <c r="A2905" s="36" t="str">
        <f aca="false">IF(Raw_Export!$A2905="","",TRIM(Raw_Export!A2905))</f>
        <v/>
      </c>
      <c r="B2905" s="37" t="str">
        <f aca="false">IF(Raw_Export!$A2905="","",IF(ISNUMBER(Raw_Export!B2905),Raw_Export!B2905,IF(MID(TRIM(Raw_Export!B2905),5,1)="-",DATE(LEFT(TRIM(Raw_Export!B2905),4),MID(TRIM(Raw_Export!B2905),6,2),RIGHT(TRIM(Raw_Export!B2905),2)),DATE(RIGHT(TRIM(Raw_Export!B2905),4),MATCH(MID(TRIM(Raw_Export!B2905),4,3),{"Jan","Feb","Mar","Apr","May","Jun","Jul","Aug","Sep","Oct","Nov","Dec"},0),LEFT(TRIM(Raw_Export!B2905),2)))))</f>
        <v/>
      </c>
      <c r="C2905" s="36" t="str">
        <f aca="false">IF(Raw_Export!$A2905="","",IFERROR(VLOOKUP(LOWER(TRIM(Raw_Export!C2905)),Maps!$A$2:$B$20,2,FALSE()),"UNMAPPED"))</f>
        <v/>
      </c>
      <c r="D2905" s="36" t="str">
        <f aca="false">IF(Raw_Export!$A2905="","",IFERROR(VLOOKUP(LOWER(TRIM(Raw_Export!D2905)),Maps!$G$2:$I$80,2,FALSE()),"UNMAPPED"))</f>
        <v/>
      </c>
      <c r="E2905" s="36" t="str">
        <f aca="false">IF(Raw_Export!$A2905="","",IFERROR(VLOOKUP(LOWER(TRIM(Raw_Export!D2905)),Maps!$G$2:$I$80,3,FALSE()),"UNMAPPED"))</f>
        <v/>
      </c>
      <c r="F2905" s="36" t="str">
        <f aca="false">IF(Raw_Export!$A2905="","",IFERROR(VALUE(TRIM(Raw_Export!E2905)),0))</f>
        <v/>
      </c>
      <c r="G2905" s="38" t="str">
        <f aca="false">IF(Raw_Export!$A2905="","",IFERROR(VALUE(SUBSTITUTE(SUBSTITUTE(UPPER(TRIM(Raw_Export!F2905)),"KES",""),",","")),0))</f>
        <v/>
      </c>
      <c r="H2905" s="38" t="str">
        <f aca="false">IF(Raw_Export!$A2905="","",F2905*G2905)</f>
        <v/>
      </c>
      <c r="I2905" s="36" t="str">
        <f aca="false">IF(Raw_Export!$A2905="","",IFERROR(VLOOKUP(LOWER(TRIM(Raw_Export!H2905)),Maps!$D$2:$E$12,2,FALSE()),"Other"))</f>
        <v/>
      </c>
      <c r="J2905" s="36" t="str">
        <f aca="false">IF(Raw_Export!$A2905="","",IF(COUNTIF($A$2:A2905,A2905)&gt;1,"Duplicate",""))</f>
        <v/>
      </c>
      <c r="K2905" s="36" t="str">
        <f aca="false">IF(Raw_Export!$A2905="","",IF(J2905="Duplicate","Duplicate",IF(OR(C2905="UNMAPPED",D2905="UNMAPPED"),"Unmapped",IF(F2905=0,"Blank qty",IF(F2905&lt;0,"Return","OK")))))</f>
        <v/>
      </c>
      <c r="L2905" s="36" t="str">
        <f aca="false">IF(Raw_Export!$A2905="","",IF(OR(K2905="OK",K2905="Return"),1,0))</f>
        <v/>
      </c>
      <c r="M2905" s="37" t="str">
        <f aca="false">IF(Raw_Export!$A2905="","",B2905-WEEKDAY(B2905,2)+1)</f>
        <v/>
      </c>
    </row>
    <row r="2906" customFormat="false" ht="15" hidden="false" customHeight="false" outlineLevel="0" collapsed="false">
      <c r="A2906" s="36" t="str">
        <f aca="false">IF(Raw_Export!$A2906="","",TRIM(Raw_Export!A2906))</f>
        <v/>
      </c>
      <c r="B2906" s="37" t="str">
        <f aca="false">IF(Raw_Export!$A2906="","",IF(ISNUMBER(Raw_Export!B2906),Raw_Export!B2906,IF(MID(TRIM(Raw_Export!B2906),5,1)="-",DATE(LEFT(TRIM(Raw_Export!B2906),4),MID(TRIM(Raw_Export!B2906),6,2),RIGHT(TRIM(Raw_Export!B2906),2)),DATE(RIGHT(TRIM(Raw_Export!B2906),4),MATCH(MID(TRIM(Raw_Export!B2906),4,3),{"Jan","Feb","Mar","Apr","May","Jun","Jul","Aug","Sep","Oct","Nov","Dec"},0),LEFT(TRIM(Raw_Export!B2906),2)))))</f>
        <v/>
      </c>
      <c r="C2906" s="36" t="str">
        <f aca="false">IF(Raw_Export!$A2906="","",IFERROR(VLOOKUP(LOWER(TRIM(Raw_Export!C2906)),Maps!$A$2:$B$20,2,FALSE()),"UNMAPPED"))</f>
        <v/>
      </c>
      <c r="D2906" s="36" t="str">
        <f aca="false">IF(Raw_Export!$A2906="","",IFERROR(VLOOKUP(LOWER(TRIM(Raw_Export!D2906)),Maps!$G$2:$I$80,2,FALSE()),"UNMAPPED"))</f>
        <v/>
      </c>
      <c r="E2906" s="36" t="str">
        <f aca="false">IF(Raw_Export!$A2906="","",IFERROR(VLOOKUP(LOWER(TRIM(Raw_Export!D2906)),Maps!$G$2:$I$80,3,FALSE()),"UNMAPPED"))</f>
        <v/>
      </c>
      <c r="F2906" s="36" t="str">
        <f aca="false">IF(Raw_Export!$A2906="","",IFERROR(VALUE(TRIM(Raw_Export!E2906)),0))</f>
        <v/>
      </c>
      <c r="G2906" s="38" t="str">
        <f aca="false">IF(Raw_Export!$A2906="","",IFERROR(VALUE(SUBSTITUTE(SUBSTITUTE(UPPER(TRIM(Raw_Export!F2906)),"KES",""),",","")),0))</f>
        <v/>
      </c>
      <c r="H2906" s="38" t="str">
        <f aca="false">IF(Raw_Export!$A2906="","",F2906*G2906)</f>
        <v/>
      </c>
      <c r="I2906" s="36" t="str">
        <f aca="false">IF(Raw_Export!$A2906="","",IFERROR(VLOOKUP(LOWER(TRIM(Raw_Export!H2906)),Maps!$D$2:$E$12,2,FALSE()),"Other"))</f>
        <v/>
      </c>
      <c r="J2906" s="36" t="str">
        <f aca="false">IF(Raw_Export!$A2906="","",IF(COUNTIF($A$2:A2906,A2906)&gt;1,"Duplicate",""))</f>
        <v/>
      </c>
      <c r="K2906" s="36" t="str">
        <f aca="false">IF(Raw_Export!$A2906="","",IF(J2906="Duplicate","Duplicate",IF(OR(C2906="UNMAPPED",D2906="UNMAPPED"),"Unmapped",IF(F2906=0,"Blank qty",IF(F2906&lt;0,"Return","OK")))))</f>
        <v/>
      </c>
      <c r="L2906" s="36" t="str">
        <f aca="false">IF(Raw_Export!$A2906="","",IF(OR(K2906="OK",K2906="Return"),1,0))</f>
        <v/>
      </c>
      <c r="M2906" s="37" t="str">
        <f aca="false">IF(Raw_Export!$A2906="","",B2906-WEEKDAY(B2906,2)+1)</f>
        <v/>
      </c>
    </row>
    <row r="2907" customFormat="false" ht="15" hidden="false" customHeight="false" outlineLevel="0" collapsed="false">
      <c r="A2907" s="36" t="str">
        <f aca="false">IF(Raw_Export!$A2907="","",TRIM(Raw_Export!A2907))</f>
        <v/>
      </c>
      <c r="B2907" s="37" t="str">
        <f aca="false">IF(Raw_Export!$A2907="","",IF(ISNUMBER(Raw_Export!B2907),Raw_Export!B2907,IF(MID(TRIM(Raw_Export!B2907),5,1)="-",DATE(LEFT(TRIM(Raw_Export!B2907),4),MID(TRIM(Raw_Export!B2907),6,2),RIGHT(TRIM(Raw_Export!B2907),2)),DATE(RIGHT(TRIM(Raw_Export!B2907),4),MATCH(MID(TRIM(Raw_Export!B2907),4,3),{"Jan","Feb","Mar","Apr","May","Jun","Jul","Aug","Sep","Oct","Nov","Dec"},0),LEFT(TRIM(Raw_Export!B2907),2)))))</f>
        <v/>
      </c>
      <c r="C2907" s="36" t="str">
        <f aca="false">IF(Raw_Export!$A2907="","",IFERROR(VLOOKUP(LOWER(TRIM(Raw_Export!C2907)),Maps!$A$2:$B$20,2,FALSE()),"UNMAPPED"))</f>
        <v/>
      </c>
      <c r="D2907" s="36" t="str">
        <f aca="false">IF(Raw_Export!$A2907="","",IFERROR(VLOOKUP(LOWER(TRIM(Raw_Export!D2907)),Maps!$G$2:$I$80,2,FALSE()),"UNMAPPED"))</f>
        <v/>
      </c>
      <c r="E2907" s="36" t="str">
        <f aca="false">IF(Raw_Export!$A2907="","",IFERROR(VLOOKUP(LOWER(TRIM(Raw_Export!D2907)),Maps!$G$2:$I$80,3,FALSE()),"UNMAPPED"))</f>
        <v/>
      </c>
      <c r="F2907" s="36" t="str">
        <f aca="false">IF(Raw_Export!$A2907="","",IFERROR(VALUE(TRIM(Raw_Export!E2907)),0))</f>
        <v/>
      </c>
      <c r="G2907" s="38" t="str">
        <f aca="false">IF(Raw_Export!$A2907="","",IFERROR(VALUE(SUBSTITUTE(SUBSTITUTE(UPPER(TRIM(Raw_Export!F2907)),"KES",""),",","")),0))</f>
        <v/>
      </c>
      <c r="H2907" s="38" t="str">
        <f aca="false">IF(Raw_Export!$A2907="","",F2907*G2907)</f>
        <v/>
      </c>
      <c r="I2907" s="36" t="str">
        <f aca="false">IF(Raw_Export!$A2907="","",IFERROR(VLOOKUP(LOWER(TRIM(Raw_Export!H2907)),Maps!$D$2:$E$12,2,FALSE()),"Other"))</f>
        <v/>
      </c>
      <c r="J2907" s="36" t="str">
        <f aca="false">IF(Raw_Export!$A2907="","",IF(COUNTIF($A$2:A2907,A2907)&gt;1,"Duplicate",""))</f>
        <v/>
      </c>
      <c r="K2907" s="36" t="str">
        <f aca="false">IF(Raw_Export!$A2907="","",IF(J2907="Duplicate","Duplicate",IF(OR(C2907="UNMAPPED",D2907="UNMAPPED"),"Unmapped",IF(F2907=0,"Blank qty",IF(F2907&lt;0,"Return","OK")))))</f>
        <v/>
      </c>
      <c r="L2907" s="36" t="str">
        <f aca="false">IF(Raw_Export!$A2907="","",IF(OR(K2907="OK",K2907="Return"),1,0))</f>
        <v/>
      </c>
      <c r="M2907" s="37" t="str">
        <f aca="false">IF(Raw_Export!$A2907="","",B2907-WEEKDAY(B2907,2)+1)</f>
        <v/>
      </c>
    </row>
    <row r="2908" customFormat="false" ht="15" hidden="false" customHeight="false" outlineLevel="0" collapsed="false">
      <c r="A2908" s="36" t="str">
        <f aca="false">IF(Raw_Export!$A2908="","",TRIM(Raw_Export!A2908))</f>
        <v/>
      </c>
      <c r="B2908" s="37" t="str">
        <f aca="false">IF(Raw_Export!$A2908="","",IF(ISNUMBER(Raw_Export!B2908),Raw_Export!B2908,IF(MID(TRIM(Raw_Export!B2908),5,1)="-",DATE(LEFT(TRIM(Raw_Export!B2908),4),MID(TRIM(Raw_Export!B2908),6,2),RIGHT(TRIM(Raw_Export!B2908),2)),DATE(RIGHT(TRIM(Raw_Export!B2908),4),MATCH(MID(TRIM(Raw_Export!B2908),4,3),{"Jan","Feb","Mar","Apr","May","Jun","Jul","Aug","Sep","Oct","Nov","Dec"},0),LEFT(TRIM(Raw_Export!B2908),2)))))</f>
        <v/>
      </c>
      <c r="C2908" s="36" t="str">
        <f aca="false">IF(Raw_Export!$A2908="","",IFERROR(VLOOKUP(LOWER(TRIM(Raw_Export!C2908)),Maps!$A$2:$B$20,2,FALSE()),"UNMAPPED"))</f>
        <v/>
      </c>
      <c r="D2908" s="36" t="str">
        <f aca="false">IF(Raw_Export!$A2908="","",IFERROR(VLOOKUP(LOWER(TRIM(Raw_Export!D2908)),Maps!$G$2:$I$80,2,FALSE()),"UNMAPPED"))</f>
        <v/>
      </c>
      <c r="E2908" s="36" t="str">
        <f aca="false">IF(Raw_Export!$A2908="","",IFERROR(VLOOKUP(LOWER(TRIM(Raw_Export!D2908)),Maps!$G$2:$I$80,3,FALSE()),"UNMAPPED"))</f>
        <v/>
      </c>
      <c r="F2908" s="36" t="str">
        <f aca="false">IF(Raw_Export!$A2908="","",IFERROR(VALUE(TRIM(Raw_Export!E2908)),0))</f>
        <v/>
      </c>
      <c r="G2908" s="38" t="str">
        <f aca="false">IF(Raw_Export!$A2908="","",IFERROR(VALUE(SUBSTITUTE(SUBSTITUTE(UPPER(TRIM(Raw_Export!F2908)),"KES",""),",","")),0))</f>
        <v/>
      </c>
      <c r="H2908" s="38" t="str">
        <f aca="false">IF(Raw_Export!$A2908="","",F2908*G2908)</f>
        <v/>
      </c>
      <c r="I2908" s="36" t="str">
        <f aca="false">IF(Raw_Export!$A2908="","",IFERROR(VLOOKUP(LOWER(TRIM(Raw_Export!H2908)),Maps!$D$2:$E$12,2,FALSE()),"Other"))</f>
        <v/>
      </c>
      <c r="J2908" s="36" t="str">
        <f aca="false">IF(Raw_Export!$A2908="","",IF(COUNTIF($A$2:A2908,A2908)&gt;1,"Duplicate",""))</f>
        <v/>
      </c>
      <c r="K2908" s="36" t="str">
        <f aca="false">IF(Raw_Export!$A2908="","",IF(J2908="Duplicate","Duplicate",IF(OR(C2908="UNMAPPED",D2908="UNMAPPED"),"Unmapped",IF(F2908=0,"Blank qty",IF(F2908&lt;0,"Return","OK")))))</f>
        <v/>
      </c>
      <c r="L2908" s="36" t="str">
        <f aca="false">IF(Raw_Export!$A2908="","",IF(OR(K2908="OK",K2908="Return"),1,0))</f>
        <v/>
      </c>
      <c r="M2908" s="37" t="str">
        <f aca="false">IF(Raw_Export!$A2908="","",B2908-WEEKDAY(B2908,2)+1)</f>
        <v/>
      </c>
    </row>
    <row r="2909" customFormat="false" ht="15" hidden="false" customHeight="false" outlineLevel="0" collapsed="false">
      <c r="A2909" s="36" t="str">
        <f aca="false">IF(Raw_Export!$A2909="","",TRIM(Raw_Export!A2909))</f>
        <v/>
      </c>
      <c r="B2909" s="37" t="str">
        <f aca="false">IF(Raw_Export!$A2909="","",IF(ISNUMBER(Raw_Export!B2909),Raw_Export!B2909,IF(MID(TRIM(Raw_Export!B2909),5,1)="-",DATE(LEFT(TRIM(Raw_Export!B2909),4),MID(TRIM(Raw_Export!B2909),6,2),RIGHT(TRIM(Raw_Export!B2909),2)),DATE(RIGHT(TRIM(Raw_Export!B2909),4),MATCH(MID(TRIM(Raw_Export!B2909),4,3),{"Jan","Feb","Mar","Apr","May","Jun","Jul","Aug","Sep","Oct","Nov","Dec"},0),LEFT(TRIM(Raw_Export!B2909),2)))))</f>
        <v/>
      </c>
      <c r="C2909" s="36" t="str">
        <f aca="false">IF(Raw_Export!$A2909="","",IFERROR(VLOOKUP(LOWER(TRIM(Raw_Export!C2909)),Maps!$A$2:$B$20,2,FALSE()),"UNMAPPED"))</f>
        <v/>
      </c>
      <c r="D2909" s="36" t="str">
        <f aca="false">IF(Raw_Export!$A2909="","",IFERROR(VLOOKUP(LOWER(TRIM(Raw_Export!D2909)),Maps!$G$2:$I$80,2,FALSE()),"UNMAPPED"))</f>
        <v/>
      </c>
      <c r="E2909" s="36" t="str">
        <f aca="false">IF(Raw_Export!$A2909="","",IFERROR(VLOOKUP(LOWER(TRIM(Raw_Export!D2909)),Maps!$G$2:$I$80,3,FALSE()),"UNMAPPED"))</f>
        <v/>
      </c>
      <c r="F2909" s="36" t="str">
        <f aca="false">IF(Raw_Export!$A2909="","",IFERROR(VALUE(TRIM(Raw_Export!E2909)),0))</f>
        <v/>
      </c>
      <c r="G2909" s="38" t="str">
        <f aca="false">IF(Raw_Export!$A2909="","",IFERROR(VALUE(SUBSTITUTE(SUBSTITUTE(UPPER(TRIM(Raw_Export!F2909)),"KES",""),",","")),0))</f>
        <v/>
      </c>
      <c r="H2909" s="38" t="str">
        <f aca="false">IF(Raw_Export!$A2909="","",F2909*G2909)</f>
        <v/>
      </c>
      <c r="I2909" s="36" t="str">
        <f aca="false">IF(Raw_Export!$A2909="","",IFERROR(VLOOKUP(LOWER(TRIM(Raw_Export!H2909)),Maps!$D$2:$E$12,2,FALSE()),"Other"))</f>
        <v/>
      </c>
      <c r="J2909" s="36" t="str">
        <f aca="false">IF(Raw_Export!$A2909="","",IF(COUNTIF($A$2:A2909,A2909)&gt;1,"Duplicate",""))</f>
        <v/>
      </c>
      <c r="K2909" s="36" t="str">
        <f aca="false">IF(Raw_Export!$A2909="","",IF(J2909="Duplicate","Duplicate",IF(OR(C2909="UNMAPPED",D2909="UNMAPPED"),"Unmapped",IF(F2909=0,"Blank qty",IF(F2909&lt;0,"Return","OK")))))</f>
        <v/>
      </c>
      <c r="L2909" s="36" t="str">
        <f aca="false">IF(Raw_Export!$A2909="","",IF(OR(K2909="OK",K2909="Return"),1,0))</f>
        <v/>
      </c>
      <c r="M2909" s="37" t="str">
        <f aca="false">IF(Raw_Export!$A2909="","",B2909-WEEKDAY(B2909,2)+1)</f>
        <v/>
      </c>
    </row>
    <row r="2910" customFormat="false" ht="15" hidden="false" customHeight="false" outlineLevel="0" collapsed="false">
      <c r="A2910" s="36" t="str">
        <f aca="false">IF(Raw_Export!$A2910="","",TRIM(Raw_Export!A2910))</f>
        <v/>
      </c>
      <c r="B2910" s="37" t="str">
        <f aca="false">IF(Raw_Export!$A2910="","",IF(ISNUMBER(Raw_Export!B2910),Raw_Export!B2910,IF(MID(TRIM(Raw_Export!B2910),5,1)="-",DATE(LEFT(TRIM(Raw_Export!B2910),4),MID(TRIM(Raw_Export!B2910),6,2),RIGHT(TRIM(Raw_Export!B2910),2)),DATE(RIGHT(TRIM(Raw_Export!B2910),4),MATCH(MID(TRIM(Raw_Export!B2910),4,3),{"Jan","Feb","Mar","Apr","May","Jun","Jul","Aug","Sep","Oct","Nov","Dec"},0),LEFT(TRIM(Raw_Export!B2910),2)))))</f>
        <v/>
      </c>
      <c r="C2910" s="36" t="str">
        <f aca="false">IF(Raw_Export!$A2910="","",IFERROR(VLOOKUP(LOWER(TRIM(Raw_Export!C2910)),Maps!$A$2:$B$20,2,FALSE()),"UNMAPPED"))</f>
        <v/>
      </c>
      <c r="D2910" s="36" t="str">
        <f aca="false">IF(Raw_Export!$A2910="","",IFERROR(VLOOKUP(LOWER(TRIM(Raw_Export!D2910)),Maps!$G$2:$I$80,2,FALSE()),"UNMAPPED"))</f>
        <v/>
      </c>
      <c r="E2910" s="36" t="str">
        <f aca="false">IF(Raw_Export!$A2910="","",IFERROR(VLOOKUP(LOWER(TRIM(Raw_Export!D2910)),Maps!$G$2:$I$80,3,FALSE()),"UNMAPPED"))</f>
        <v/>
      </c>
      <c r="F2910" s="36" t="str">
        <f aca="false">IF(Raw_Export!$A2910="","",IFERROR(VALUE(TRIM(Raw_Export!E2910)),0))</f>
        <v/>
      </c>
      <c r="G2910" s="38" t="str">
        <f aca="false">IF(Raw_Export!$A2910="","",IFERROR(VALUE(SUBSTITUTE(SUBSTITUTE(UPPER(TRIM(Raw_Export!F2910)),"KES",""),",","")),0))</f>
        <v/>
      </c>
      <c r="H2910" s="38" t="str">
        <f aca="false">IF(Raw_Export!$A2910="","",F2910*G2910)</f>
        <v/>
      </c>
      <c r="I2910" s="36" t="str">
        <f aca="false">IF(Raw_Export!$A2910="","",IFERROR(VLOOKUP(LOWER(TRIM(Raw_Export!H2910)),Maps!$D$2:$E$12,2,FALSE()),"Other"))</f>
        <v/>
      </c>
      <c r="J2910" s="36" t="str">
        <f aca="false">IF(Raw_Export!$A2910="","",IF(COUNTIF($A$2:A2910,A2910)&gt;1,"Duplicate",""))</f>
        <v/>
      </c>
      <c r="K2910" s="36" t="str">
        <f aca="false">IF(Raw_Export!$A2910="","",IF(J2910="Duplicate","Duplicate",IF(OR(C2910="UNMAPPED",D2910="UNMAPPED"),"Unmapped",IF(F2910=0,"Blank qty",IF(F2910&lt;0,"Return","OK")))))</f>
        <v/>
      </c>
      <c r="L2910" s="36" t="str">
        <f aca="false">IF(Raw_Export!$A2910="","",IF(OR(K2910="OK",K2910="Return"),1,0))</f>
        <v/>
      </c>
      <c r="M2910" s="37" t="str">
        <f aca="false">IF(Raw_Export!$A2910="","",B2910-WEEKDAY(B2910,2)+1)</f>
        <v/>
      </c>
    </row>
    <row r="2911" customFormat="false" ht="15" hidden="false" customHeight="false" outlineLevel="0" collapsed="false">
      <c r="A2911" s="36" t="str">
        <f aca="false">IF(Raw_Export!$A2911="","",TRIM(Raw_Export!A2911))</f>
        <v/>
      </c>
      <c r="B2911" s="37" t="str">
        <f aca="false">IF(Raw_Export!$A2911="","",IF(ISNUMBER(Raw_Export!B2911),Raw_Export!B2911,IF(MID(TRIM(Raw_Export!B2911),5,1)="-",DATE(LEFT(TRIM(Raw_Export!B2911),4),MID(TRIM(Raw_Export!B2911),6,2),RIGHT(TRIM(Raw_Export!B2911),2)),DATE(RIGHT(TRIM(Raw_Export!B2911),4),MATCH(MID(TRIM(Raw_Export!B2911),4,3),{"Jan","Feb","Mar","Apr","May","Jun","Jul","Aug","Sep","Oct","Nov","Dec"},0),LEFT(TRIM(Raw_Export!B2911),2)))))</f>
        <v/>
      </c>
      <c r="C2911" s="36" t="str">
        <f aca="false">IF(Raw_Export!$A2911="","",IFERROR(VLOOKUP(LOWER(TRIM(Raw_Export!C2911)),Maps!$A$2:$B$20,2,FALSE()),"UNMAPPED"))</f>
        <v/>
      </c>
      <c r="D2911" s="36" t="str">
        <f aca="false">IF(Raw_Export!$A2911="","",IFERROR(VLOOKUP(LOWER(TRIM(Raw_Export!D2911)),Maps!$G$2:$I$80,2,FALSE()),"UNMAPPED"))</f>
        <v/>
      </c>
      <c r="E2911" s="36" t="str">
        <f aca="false">IF(Raw_Export!$A2911="","",IFERROR(VLOOKUP(LOWER(TRIM(Raw_Export!D2911)),Maps!$G$2:$I$80,3,FALSE()),"UNMAPPED"))</f>
        <v/>
      </c>
      <c r="F2911" s="36" t="str">
        <f aca="false">IF(Raw_Export!$A2911="","",IFERROR(VALUE(TRIM(Raw_Export!E2911)),0))</f>
        <v/>
      </c>
      <c r="G2911" s="38" t="str">
        <f aca="false">IF(Raw_Export!$A2911="","",IFERROR(VALUE(SUBSTITUTE(SUBSTITUTE(UPPER(TRIM(Raw_Export!F2911)),"KES",""),",","")),0))</f>
        <v/>
      </c>
      <c r="H2911" s="38" t="str">
        <f aca="false">IF(Raw_Export!$A2911="","",F2911*G2911)</f>
        <v/>
      </c>
      <c r="I2911" s="36" t="str">
        <f aca="false">IF(Raw_Export!$A2911="","",IFERROR(VLOOKUP(LOWER(TRIM(Raw_Export!H2911)),Maps!$D$2:$E$12,2,FALSE()),"Other"))</f>
        <v/>
      </c>
      <c r="J2911" s="36" t="str">
        <f aca="false">IF(Raw_Export!$A2911="","",IF(COUNTIF($A$2:A2911,A2911)&gt;1,"Duplicate",""))</f>
        <v/>
      </c>
      <c r="K2911" s="36" t="str">
        <f aca="false">IF(Raw_Export!$A2911="","",IF(J2911="Duplicate","Duplicate",IF(OR(C2911="UNMAPPED",D2911="UNMAPPED"),"Unmapped",IF(F2911=0,"Blank qty",IF(F2911&lt;0,"Return","OK")))))</f>
        <v/>
      </c>
      <c r="L2911" s="36" t="str">
        <f aca="false">IF(Raw_Export!$A2911="","",IF(OR(K2911="OK",K2911="Return"),1,0))</f>
        <v/>
      </c>
      <c r="M2911" s="37" t="str">
        <f aca="false">IF(Raw_Export!$A2911="","",B2911-WEEKDAY(B2911,2)+1)</f>
        <v/>
      </c>
    </row>
    <row r="2912" customFormat="false" ht="15" hidden="false" customHeight="false" outlineLevel="0" collapsed="false">
      <c r="A2912" s="36" t="str">
        <f aca="false">IF(Raw_Export!$A2912="","",TRIM(Raw_Export!A2912))</f>
        <v/>
      </c>
      <c r="B2912" s="37" t="str">
        <f aca="false">IF(Raw_Export!$A2912="","",IF(ISNUMBER(Raw_Export!B2912),Raw_Export!B2912,IF(MID(TRIM(Raw_Export!B2912),5,1)="-",DATE(LEFT(TRIM(Raw_Export!B2912),4),MID(TRIM(Raw_Export!B2912),6,2),RIGHT(TRIM(Raw_Export!B2912),2)),DATE(RIGHT(TRIM(Raw_Export!B2912),4),MATCH(MID(TRIM(Raw_Export!B2912),4,3),{"Jan","Feb","Mar","Apr","May","Jun","Jul","Aug","Sep","Oct","Nov","Dec"},0),LEFT(TRIM(Raw_Export!B2912),2)))))</f>
        <v/>
      </c>
      <c r="C2912" s="36" t="str">
        <f aca="false">IF(Raw_Export!$A2912="","",IFERROR(VLOOKUP(LOWER(TRIM(Raw_Export!C2912)),Maps!$A$2:$B$20,2,FALSE()),"UNMAPPED"))</f>
        <v/>
      </c>
      <c r="D2912" s="36" t="str">
        <f aca="false">IF(Raw_Export!$A2912="","",IFERROR(VLOOKUP(LOWER(TRIM(Raw_Export!D2912)),Maps!$G$2:$I$80,2,FALSE()),"UNMAPPED"))</f>
        <v/>
      </c>
      <c r="E2912" s="36" t="str">
        <f aca="false">IF(Raw_Export!$A2912="","",IFERROR(VLOOKUP(LOWER(TRIM(Raw_Export!D2912)),Maps!$G$2:$I$80,3,FALSE()),"UNMAPPED"))</f>
        <v/>
      </c>
      <c r="F2912" s="36" t="str">
        <f aca="false">IF(Raw_Export!$A2912="","",IFERROR(VALUE(TRIM(Raw_Export!E2912)),0))</f>
        <v/>
      </c>
      <c r="G2912" s="38" t="str">
        <f aca="false">IF(Raw_Export!$A2912="","",IFERROR(VALUE(SUBSTITUTE(SUBSTITUTE(UPPER(TRIM(Raw_Export!F2912)),"KES",""),",","")),0))</f>
        <v/>
      </c>
      <c r="H2912" s="38" t="str">
        <f aca="false">IF(Raw_Export!$A2912="","",F2912*G2912)</f>
        <v/>
      </c>
      <c r="I2912" s="36" t="str">
        <f aca="false">IF(Raw_Export!$A2912="","",IFERROR(VLOOKUP(LOWER(TRIM(Raw_Export!H2912)),Maps!$D$2:$E$12,2,FALSE()),"Other"))</f>
        <v/>
      </c>
      <c r="J2912" s="36" t="str">
        <f aca="false">IF(Raw_Export!$A2912="","",IF(COUNTIF($A$2:A2912,A2912)&gt;1,"Duplicate",""))</f>
        <v/>
      </c>
      <c r="K2912" s="36" t="str">
        <f aca="false">IF(Raw_Export!$A2912="","",IF(J2912="Duplicate","Duplicate",IF(OR(C2912="UNMAPPED",D2912="UNMAPPED"),"Unmapped",IF(F2912=0,"Blank qty",IF(F2912&lt;0,"Return","OK")))))</f>
        <v/>
      </c>
      <c r="L2912" s="36" t="str">
        <f aca="false">IF(Raw_Export!$A2912="","",IF(OR(K2912="OK",K2912="Return"),1,0))</f>
        <v/>
      </c>
      <c r="M2912" s="37" t="str">
        <f aca="false">IF(Raw_Export!$A2912="","",B2912-WEEKDAY(B2912,2)+1)</f>
        <v/>
      </c>
    </row>
    <row r="2913" customFormat="false" ht="15" hidden="false" customHeight="false" outlineLevel="0" collapsed="false">
      <c r="A2913" s="36" t="str">
        <f aca="false">IF(Raw_Export!$A2913="","",TRIM(Raw_Export!A2913))</f>
        <v/>
      </c>
      <c r="B2913" s="37" t="str">
        <f aca="false">IF(Raw_Export!$A2913="","",IF(ISNUMBER(Raw_Export!B2913),Raw_Export!B2913,IF(MID(TRIM(Raw_Export!B2913),5,1)="-",DATE(LEFT(TRIM(Raw_Export!B2913),4),MID(TRIM(Raw_Export!B2913),6,2),RIGHT(TRIM(Raw_Export!B2913),2)),DATE(RIGHT(TRIM(Raw_Export!B2913),4),MATCH(MID(TRIM(Raw_Export!B2913),4,3),{"Jan","Feb","Mar","Apr","May","Jun","Jul","Aug","Sep","Oct","Nov","Dec"},0),LEFT(TRIM(Raw_Export!B2913),2)))))</f>
        <v/>
      </c>
      <c r="C2913" s="36" t="str">
        <f aca="false">IF(Raw_Export!$A2913="","",IFERROR(VLOOKUP(LOWER(TRIM(Raw_Export!C2913)),Maps!$A$2:$B$20,2,FALSE()),"UNMAPPED"))</f>
        <v/>
      </c>
      <c r="D2913" s="36" t="str">
        <f aca="false">IF(Raw_Export!$A2913="","",IFERROR(VLOOKUP(LOWER(TRIM(Raw_Export!D2913)),Maps!$G$2:$I$80,2,FALSE()),"UNMAPPED"))</f>
        <v/>
      </c>
      <c r="E2913" s="36" t="str">
        <f aca="false">IF(Raw_Export!$A2913="","",IFERROR(VLOOKUP(LOWER(TRIM(Raw_Export!D2913)),Maps!$G$2:$I$80,3,FALSE()),"UNMAPPED"))</f>
        <v/>
      </c>
      <c r="F2913" s="36" t="str">
        <f aca="false">IF(Raw_Export!$A2913="","",IFERROR(VALUE(TRIM(Raw_Export!E2913)),0))</f>
        <v/>
      </c>
      <c r="G2913" s="38" t="str">
        <f aca="false">IF(Raw_Export!$A2913="","",IFERROR(VALUE(SUBSTITUTE(SUBSTITUTE(UPPER(TRIM(Raw_Export!F2913)),"KES",""),",","")),0))</f>
        <v/>
      </c>
      <c r="H2913" s="38" t="str">
        <f aca="false">IF(Raw_Export!$A2913="","",F2913*G2913)</f>
        <v/>
      </c>
      <c r="I2913" s="36" t="str">
        <f aca="false">IF(Raw_Export!$A2913="","",IFERROR(VLOOKUP(LOWER(TRIM(Raw_Export!H2913)),Maps!$D$2:$E$12,2,FALSE()),"Other"))</f>
        <v/>
      </c>
      <c r="J2913" s="36" t="str">
        <f aca="false">IF(Raw_Export!$A2913="","",IF(COUNTIF($A$2:A2913,A2913)&gt;1,"Duplicate",""))</f>
        <v/>
      </c>
      <c r="K2913" s="36" t="str">
        <f aca="false">IF(Raw_Export!$A2913="","",IF(J2913="Duplicate","Duplicate",IF(OR(C2913="UNMAPPED",D2913="UNMAPPED"),"Unmapped",IF(F2913=0,"Blank qty",IF(F2913&lt;0,"Return","OK")))))</f>
        <v/>
      </c>
      <c r="L2913" s="36" t="str">
        <f aca="false">IF(Raw_Export!$A2913="","",IF(OR(K2913="OK",K2913="Return"),1,0))</f>
        <v/>
      </c>
      <c r="M2913" s="37" t="str">
        <f aca="false">IF(Raw_Export!$A2913="","",B2913-WEEKDAY(B2913,2)+1)</f>
        <v/>
      </c>
    </row>
    <row r="2914" customFormat="false" ht="15" hidden="false" customHeight="false" outlineLevel="0" collapsed="false">
      <c r="A2914" s="36" t="str">
        <f aca="false">IF(Raw_Export!$A2914="","",TRIM(Raw_Export!A2914))</f>
        <v/>
      </c>
      <c r="B2914" s="37" t="str">
        <f aca="false">IF(Raw_Export!$A2914="","",IF(ISNUMBER(Raw_Export!B2914),Raw_Export!B2914,IF(MID(TRIM(Raw_Export!B2914),5,1)="-",DATE(LEFT(TRIM(Raw_Export!B2914),4),MID(TRIM(Raw_Export!B2914),6,2),RIGHT(TRIM(Raw_Export!B2914),2)),DATE(RIGHT(TRIM(Raw_Export!B2914),4),MATCH(MID(TRIM(Raw_Export!B2914),4,3),{"Jan","Feb","Mar","Apr","May","Jun","Jul","Aug","Sep","Oct","Nov","Dec"},0),LEFT(TRIM(Raw_Export!B2914),2)))))</f>
        <v/>
      </c>
      <c r="C2914" s="36" t="str">
        <f aca="false">IF(Raw_Export!$A2914="","",IFERROR(VLOOKUP(LOWER(TRIM(Raw_Export!C2914)),Maps!$A$2:$B$20,2,FALSE()),"UNMAPPED"))</f>
        <v/>
      </c>
      <c r="D2914" s="36" t="str">
        <f aca="false">IF(Raw_Export!$A2914="","",IFERROR(VLOOKUP(LOWER(TRIM(Raw_Export!D2914)),Maps!$G$2:$I$80,2,FALSE()),"UNMAPPED"))</f>
        <v/>
      </c>
      <c r="E2914" s="36" t="str">
        <f aca="false">IF(Raw_Export!$A2914="","",IFERROR(VLOOKUP(LOWER(TRIM(Raw_Export!D2914)),Maps!$G$2:$I$80,3,FALSE()),"UNMAPPED"))</f>
        <v/>
      </c>
      <c r="F2914" s="36" t="str">
        <f aca="false">IF(Raw_Export!$A2914="","",IFERROR(VALUE(TRIM(Raw_Export!E2914)),0))</f>
        <v/>
      </c>
      <c r="G2914" s="38" t="str">
        <f aca="false">IF(Raw_Export!$A2914="","",IFERROR(VALUE(SUBSTITUTE(SUBSTITUTE(UPPER(TRIM(Raw_Export!F2914)),"KES",""),",","")),0))</f>
        <v/>
      </c>
      <c r="H2914" s="38" t="str">
        <f aca="false">IF(Raw_Export!$A2914="","",F2914*G2914)</f>
        <v/>
      </c>
      <c r="I2914" s="36" t="str">
        <f aca="false">IF(Raw_Export!$A2914="","",IFERROR(VLOOKUP(LOWER(TRIM(Raw_Export!H2914)),Maps!$D$2:$E$12,2,FALSE()),"Other"))</f>
        <v/>
      </c>
      <c r="J2914" s="36" t="str">
        <f aca="false">IF(Raw_Export!$A2914="","",IF(COUNTIF($A$2:A2914,A2914)&gt;1,"Duplicate",""))</f>
        <v/>
      </c>
      <c r="K2914" s="36" t="str">
        <f aca="false">IF(Raw_Export!$A2914="","",IF(J2914="Duplicate","Duplicate",IF(OR(C2914="UNMAPPED",D2914="UNMAPPED"),"Unmapped",IF(F2914=0,"Blank qty",IF(F2914&lt;0,"Return","OK")))))</f>
        <v/>
      </c>
      <c r="L2914" s="36" t="str">
        <f aca="false">IF(Raw_Export!$A2914="","",IF(OR(K2914="OK",K2914="Return"),1,0))</f>
        <v/>
      </c>
      <c r="M2914" s="37" t="str">
        <f aca="false">IF(Raw_Export!$A2914="","",B2914-WEEKDAY(B2914,2)+1)</f>
        <v/>
      </c>
    </row>
    <row r="2915" customFormat="false" ht="15" hidden="false" customHeight="false" outlineLevel="0" collapsed="false">
      <c r="A2915" s="36" t="str">
        <f aca="false">IF(Raw_Export!$A2915="","",TRIM(Raw_Export!A2915))</f>
        <v/>
      </c>
      <c r="B2915" s="37" t="str">
        <f aca="false">IF(Raw_Export!$A2915="","",IF(ISNUMBER(Raw_Export!B2915),Raw_Export!B2915,IF(MID(TRIM(Raw_Export!B2915),5,1)="-",DATE(LEFT(TRIM(Raw_Export!B2915),4),MID(TRIM(Raw_Export!B2915),6,2),RIGHT(TRIM(Raw_Export!B2915),2)),DATE(RIGHT(TRIM(Raw_Export!B2915),4),MATCH(MID(TRIM(Raw_Export!B2915),4,3),{"Jan","Feb","Mar","Apr","May","Jun","Jul","Aug","Sep","Oct","Nov","Dec"},0),LEFT(TRIM(Raw_Export!B2915),2)))))</f>
        <v/>
      </c>
      <c r="C2915" s="36" t="str">
        <f aca="false">IF(Raw_Export!$A2915="","",IFERROR(VLOOKUP(LOWER(TRIM(Raw_Export!C2915)),Maps!$A$2:$B$20,2,FALSE()),"UNMAPPED"))</f>
        <v/>
      </c>
      <c r="D2915" s="36" t="str">
        <f aca="false">IF(Raw_Export!$A2915="","",IFERROR(VLOOKUP(LOWER(TRIM(Raw_Export!D2915)),Maps!$G$2:$I$80,2,FALSE()),"UNMAPPED"))</f>
        <v/>
      </c>
      <c r="E2915" s="36" t="str">
        <f aca="false">IF(Raw_Export!$A2915="","",IFERROR(VLOOKUP(LOWER(TRIM(Raw_Export!D2915)),Maps!$G$2:$I$80,3,FALSE()),"UNMAPPED"))</f>
        <v/>
      </c>
      <c r="F2915" s="36" t="str">
        <f aca="false">IF(Raw_Export!$A2915="","",IFERROR(VALUE(TRIM(Raw_Export!E2915)),0))</f>
        <v/>
      </c>
      <c r="G2915" s="38" t="str">
        <f aca="false">IF(Raw_Export!$A2915="","",IFERROR(VALUE(SUBSTITUTE(SUBSTITUTE(UPPER(TRIM(Raw_Export!F2915)),"KES",""),",","")),0))</f>
        <v/>
      </c>
      <c r="H2915" s="38" t="str">
        <f aca="false">IF(Raw_Export!$A2915="","",F2915*G2915)</f>
        <v/>
      </c>
      <c r="I2915" s="36" t="str">
        <f aca="false">IF(Raw_Export!$A2915="","",IFERROR(VLOOKUP(LOWER(TRIM(Raw_Export!H2915)),Maps!$D$2:$E$12,2,FALSE()),"Other"))</f>
        <v/>
      </c>
      <c r="J2915" s="36" t="str">
        <f aca="false">IF(Raw_Export!$A2915="","",IF(COUNTIF($A$2:A2915,A2915)&gt;1,"Duplicate",""))</f>
        <v/>
      </c>
      <c r="K2915" s="36" t="str">
        <f aca="false">IF(Raw_Export!$A2915="","",IF(J2915="Duplicate","Duplicate",IF(OR(C2915="UNMAPPED",D2915="UNMAPPED"),"Unmapped",IF(F2915=0,"Blank qty",IF(F2915&lt;0,"Return","OK")))))</f>
        <v/>
      </c>
      <c r="L2915" s="36" t="str">
        <f aca="false">IF(Raw_Export!$A2915="","",IF(OR(K2915="OK",K2915="Return"),1,0))</f>
        <v/>
      </c>
      <c r="M2915" s="37" t="str">
        <f aca="false">IF(Raw_Export!$A2915="","",B2915-WEEKDAY(B2915,2)+1)</f>
        <v/>
      </c>
    </row>
    <row r="2916" customFormat="false" ht="15" hidden="false" customHeight="false" outlineLevel="0" collapsed="false">
      <c r="A2916" s="36" t="str">
        <f aca="false">IF(Raw_Export!$A2916="","",TRIM(Raw_Export!A2916))</f>
        <v/>
      </c>
      <c r="B2916" s="37" t="str">
        <f aca="false">IF(Raw_Export!$A2916="","",IF(ISNUMBER(Raw_Export!B2916),Raw_Export!B2916,IF(MID(TRIM(Raw_Export!B2916),5,1)="-",DATE(LEFT(TRIM(Raw_Export!B2916),4),MID(TRIM(Raw_Export!B2916),6,2),RIGHT(TRIM(Raw_Export!B2916),2)),DATE(RIGHT(TRIM(Raw_Export!B2916),4),MATCH(MID(TRIM(Raw_Export!B2916),4,3),{"Jan","Feb","Mar","Apr","May","Jun","Jul","Aug","Sep","Oct","Nov","Dec"},0),LEFT(TRIM(Raw_Export!B2916),2)))))</f>
        <v/>
      </c>
      <c r="C2916" s="36" t="str">
        <f aca="false">IF(Raw_Export!$A2916="","",IFERROR(VLOOKUP(LOWER(TRIM(Raw_Export!C2916)),Maps!$A$2:$B$20,2,FALSE()),"UNMAPPED"))</f>
        <v/>
      </c>
      <c r="D2916" s="36" t="str">
        <f aca="false">IF(Raw_Export!$A2916="","",IFERROR(VLOOKUP(LOWER(TRIM(Raw_Export!D2916)),Maps!$G$2:$I$80,2,FALSE()),"UNMAPPED"))</f>
        <v/>
      </c>
      <c r="E2916" s="36" t="str">
        <f aca="false">IF(Raw_Export!$A2916="","",IFERROR(VLOOKUP(LOWER(TRIM(Raw_Export!D2916)),Maps!$G$2:$I$80,3,FALSE()),"UNMAPPED"))</f>
        <v/>
      </c>
      <c r="F2916" s="36" t="str">
        <f aca="false">IF(Raw_Export!$A2916="","",IFERROR(VALUE(TRIM(Raw_Export!E2916)),0))</f>
        <v/>
      </c>
      <c r="G2916" s="38" t="str">
        <f aca="false">IF(Raw_Export!$A2916="","",IFERROR(VALUE(SUBSTITUTE(SUBSTITUTE(UPPER(TRIM(Raw_Export!F2916)),"KES",""),",","")),0))</f>
        <v/>
      </c>
      <c r="H2916" s="38" t="str">
        <f aca="false">IF(Raw_Export!$A2916="","",F2916*G2916)</f>
        <v/>
      </c>
      <c r="I2916" s="36" t="str">
        <f aca="false">IF(Raw_Export!$A2916="","",IFERROR(VLOOKUP(LOWER(TRIM(Raw_Export!H2916)),Maps!$D$2:$E$12,2,FALSE()),"Other"))</f>
        <v/>
      </c>
      <c r="J2916" s="36" t="str">
        <f aca="false">IF(Raw_Export!$A2916="","",IF(COUNTIF($A$2:A2916,A2916)&gt;1,"Duplicate",""))</f>
        <v/>
      </c>
      <c r="K2916" s="36" t="str">
        <f aca="false">IF(Raw_Export!$A2916="","",IF(J2916="Duplicate","Duplicate",IF(OR(C2916="UNMAPPED",D2916="UNMAPPED"),"Unmapped",IF(F2916=0,"Blank qty",IF(F2916&lt;0,"Return","OK")))))</f>
        <v/>
      </c>
      <c r="L2916" s="36" t="str">
        <f aca="false">IF(Raw_Export!$A2916="","",IF(OR(K2916="OK",K2916="Return"),1,0))</f>
        <v/>
      </c>
      <c r="M2916" s="37" t="str">
        <f aca="false">IF(Raw_Export!$A2916="","",B2916-WEEKDAY(B2916,2)+1)</f>
        <v/>
      </c>
    </row>
    <row r="2917" customFormat="false" ht="15" hidden="false" customHeight="false" outlineLevel="0" collapsed="false">
      <c r="A2917" s="36" t="str">
        <f aca="false">IF(Raw_Export!$A2917="","",TRIM(Raw_Export!A2917))</f>
        <v/>
      </c>
      <c r="B2917" s="37" t="str">
        <f aca="false">IF(Raw_Export!$A2917="","",IF(ISNUMBER(Raw_Export!B2917),Raw_Export!B2917,IF(MID(TRIM(Raw_Export!B2917),5,1)="-",DATE(LEFT(TRIM(Raw_Export!B2917),4),MID(TRIM(Raw_Export!B2917),6,2),RIGHT(TRIM(Raw_Export!B2917),2)),DATE(RIGHT(TRIM(Raw_Export!B2917),4),MATCH(MID(TRIM(Raw_Export!B2917),4,3),{"Jan","Feb","Mar","Apr","May","Jun","Jul","Aug","Sep","Oct","Nov","Dec"},0),LEFT(TRIM(Raw_Export!B2917),2)))))</f>
        <v/>
      </c>
      <c r="C2917" s="36" t="str">
        <f aca="false">IF(Raw_Export!$A2917="","",IFERROR(VLOOKUP(LOWER(TRIM(Raw_Export!C2917)),Maps!$A$2:$B$20,2,FALSE()),"UNMAPPED"))</f>
        <v/>
      </c>
      <c r="D2917" s="36" t="str">
        <f aca="false">IF(Raw_Export!$A2917="","",IFERROR(VLOOKUP(LOWER(TRIM(Raw_Export!D2917)),Maps!$G$2:$I$80,2,FALSE()),"UNMAPPED"))</f>
        <v/>
      </c>
      <c r="E2917" s="36" t="str">
        <f aca="false">IF(Raw_Export!$A2917="","",IFERROR(VLOOKUP(LOWER(TRIM(Raw_Export!D2917)),Maps!$G$2:$I$80,3,FALSE()),"UNMAPPED"))</f>
        <v/>
      </c>
      <c r="F2917" s="36" t="str">
        <f aca="false">IF(Raw_Export!$A2917="","",IFERROR(VALUE(TRIM(Raw_Export!E2917)),0))</f>
        <v/>
      </c>
      <c r="G2917" s="38" t="str">
        <f aca="false">IF(Raw_Export!$A2917="","",IFERROR(VALUE(SUBSTITUTE(SUBSTITUTE(UPPER(TRIM(Raw_Export!F2917)),"KES",""),",","")),0))</f>
        <v/>
      </c>
      <c r="H2917" s="38" t="str">
        <f aca="false">IF(Raw_Export!$A2917="","",F2917*G2917)</f>
        <v/>
      </c>
      <c r="I2917" s="36" t="str">
        <f aca="false">IF(Raw_Export!$A2917="","",IFERROR(VLOOKUP(LOWER(TRIM(Raw_Export!H2917)),Maps!$D$2:$E$12,2,FALSE()),"Other"))</f>
        <v/>
      </c>
      <c r="J2917" s="36" t="str">
        <f aca="false">IF(Raw_Export!$A2917="","",IF(COUNTIF($A$2:A2917,A2917)&gt;1,"Duplicate",""))</f>
        <v/>
      </c>
      <c r="K2917" s="36" t="str">
        <f aca="false">IF(Raw_Export!$A2917="","",IF(J2917="Duplicate","Duplicate",IF(OR(C2917="UNMAPPED",D2917="UNMAPPED"),"Unmapped",IF(F2917=0,"Blank qty",IF(F2917&lt;0,"Return","OK")))))</f>
        <v/>
      </c>
      <c r="L2917" s="36" t="str">
        <f aca="false">IF(Raw_Export!$A2917="","",IF(OR(K2917="OK",K2917="Return"),1,0))</f>
        <v/>
      </c>
      <c r="M2917" s="37" t="str">
        <f aca="false">IF(Raw_Export!$A2917="","",B2917-WEEKDAY(B2917,2)+1)</f>
        <v/>
      </c>
    </row>
    <row r="2918" customFormat="false" ht="15" hidden="false" customHeight="false" outlineLevel="0" collapsed="false">
      <c r="A2918" s="36" t="str">
        <f aca="false">IF(Raw_Export!$A2918="","",TRIM(Raw_Export!A2918))</f>
        <v/>
      </c>
      <c r="B2918" s="37" t="str">
        <f aca="false">IF(Raw_Export!$A2918="","",IF(ISNUMBER(Raw_Export!B2918),Raw_Export!B2918,IF(MID(TRIM(Raw_Export!B2918),5,1)="-",DATE(LEFT(TRIM(Raw_Export!B2918),4),MID(TRIM(Raw_Export!B2918),6,2),RIGHT(TRIM(Raw_Export!B2918),2)),DATE(RIGHT(TRIM(Raw_Export!B2918),4),MATCH(MID(TRIM(Raw_Export!B2918),4,3),{"Jan","Feb","Mar","Apr","May","Jun","Jul","Aug","Sep","Oct","Nov","Dec"},0),LEFT(TRIM(Raw_Export!B2918),2)))))</f>
        <v/>
      </c>
      <c r="C2918" s="36" t="str">
        <f aca="false">IF(Raw_Export!$A2918="","",IFERROR(VLOOKUP(LOWER(TRIM(Raw_Export!C2918)),Maps!$A$2:$B$20,2,FALSE()),"UNMAPPED"))</f>
        <v/>
      </c>
      <c r="D2918" s="36" t="str">
        <f aca="false">IF(Raw_Export!$A2918="","",IFERROR(VLOOKUP(LOWER(TRIM(Raw_Export!D2918)),Maps!$G$2:$I$80,2,FALSE()),"UNMAPPED"))</f>
        <v/>
      </c>
      <c r="E2918" s="36" t="str">
        <f aca="false">IF(Raw_Export!$A2918="","",IFERROR(VLOOKUP(LOWER(TRIM(Raw_Export!D2918)),Maps!$G$2:$I$80,3,FALSE()),"UNMAPPED"))</f>
        <v/>
      </c>
      <c r="F2918" s="36" t="str">
        <f aca="false">IF(Raw_Export!$A2918="","",IFERROR(VALUE(TRIM(Raw_Export!E2918)),0))</f>
        <v/>
      </c>
      <c r="G2918" s="38" t="str">
        <f aca="false">IF(Raw_Export!$A2918="","",IFERROR(VALUE(SUBSTITUTE(SUBSTITUTE(UPPER(TRIM(Raw_Export!F2918)),"KES",""),",","")),0))</f>
        <v/>
      </c>
      <c r="H2918" s="38" t="str">
        <f aca="false">IF(Raw_Export!$A2918="","",F2918*G2918)</f>
        <v/>
      </c>
      <c r="I2918" s="36" t="str">
        <f aca="false">IF(Raw_Export!$A2918="","",IFERROR(VLOOKUP(LOWER(TRIM(Raw_Export!H2918)),Maps!$D$2:$E$12,2,FALSE()),"Other"))</f>
        <v/>
      </c>
      <c r="J2918" s="36" t="str">
        <f aca="false">IF(Raw_Export!$A2918="","",IF(COUNTIF($A$2:A2918,A2918)&gt;1,"Duplicate",""))</f>
        <v/>
      </c>
      <c r="K2918" s="36" t="str">
        <f aca="false">IF(Raw_Export!$A2918="","",IF(J2918="Duplicate","Duplicate",IF(OR(C2918="UNMAPPED",D2918="UNMAPPED"),"Unmapped",IF(F2918=0,"Blank qty",IF(F2918&lt;0,"Return","OK")))))</f>
        <v/>
      </c>
      <c r="L2918" s="36" t="str">
        <f aca="false">IF(Raw_Export!$A2918="","",IF(OR(K2918="OK",K2918="Return"),1,0))</f>
        <v/>
      </c>
      <c r="M2918" s="37" t="str">
        <f aca="false">IF(Raw_Export!$A2918="","",B2918-WEEKDAY(B2918,2)+1)</f>
        <v/>
      </c>
    </row>
    <row r="2919" customFormat="false" ht="15" hidden="false" customHeight="false" outlineLevel="0" collapsed="false">
      <c r="A2919" s="36" t="str">
        <f aca="false">IF(Raw_Export!$A2919="","",TRIM(Raw_Export!A2919))</f>
        <v/>
      </c>
      <c r="B2919" s="37" t="str">
        <f aca="false">IF(Raw_Export!$A2919="","",IF(ISNUMBER(Raw_Export!B2919),Raw_Export!B2919,IF(MID(TRIM(Raw_Export!B2919),5,1)="-",DATE(LEFT(TRIM(Raw_Export!B2919),4),MID(TRIM(Raw_Export!B2919),6,2),RIGHT(TRIM(Raw_Export!B2919),2)),DATE(RIGHT(TRIM(Raw_Export!B2919),4),MATCH(MID(TRIM(Raw_Export!B2919),4,3),{"Jan","Feb","Mar","Apr","May","Jun","Jul","Aug","Sep","Oct","Nov","Dec"},0),LEFT(TRIM(Raw_Export!B2919),2)))))</f>
        <v/>
      </c>
      <c r="C2919" s="36" t="str">
        <f aca="false">IF(Raw_Export!$A2919="","",IFERROR(VLOOKUP(LOWER(TRIM(Raw_Export!C2919)),Maps!$A$2:$B$20,2,FALSE()),"UNMAPPED"))</f>
        <v/>
      </c>
      <c r="D2919" s="36" t="str">
        <f aca="false">IF(Raw_Export!$A2919="","",IFERROR(VLOOKUP(LOWER(TRIM(Raw_Export!D2919)),Maps!$G$2:$I$80,2,FALSE()),"UNMAPPED"))</f>
        <v/>
      </c>
      <c r="E2919" s="36" t="str">
        <f aca="false">IF(Raw_Export!$A2919="","",IFERROR(VLOOKUP(LOWER(TRIM(Raw_Export!D2919)),Maps!$G$2:$I$80,3,FALSE()),"UNMAPPED"))</f>
        <v/>
      </c>
      <c r="F2919" s="36" t="str">
        <f aca="false">IF(Raw_Export!$A2919="","",IFERROR(VALUE(TRIM(Raw_Export!E2919)),0))</f>
        <v/>
      </c>
      <c r="G2919" s="38" t="str">
        <f aca="false">IF(Raw_Export!$A2919="","",IFERROR(VALUE(SUBSTITUTE(SUBSTITUTE(UPPER(TRIM(Raw_Export!F2919)),"KES",""),",","")),0))</f>
        <v/>
      </c>
      <c r="H2919" s="38" t="str">
        <f aca="false">IF(Raw_Export!$A2919="","",F2919*G2919)</f>
        <v/>
      </c>
      <c r="I2919" s="36" t="str">
        <f aca="false">IF(Raw_Export!$A2919="","",IFERROR(VLOOKUP(LOWER(TRIM(Raw_Export!H2919)),Maps!$D$2:$E$12,2,FALSE()),"Other"))</f>
        <v/>
      </c>
      <c r="J2919" s="36" t="str">
        <f aca="false">IF(Raw_Export!$A2919="","",IF(COUNTIF($A$2:A2919,A2919)&gt;1,"Duplicate",""))</f>
        <v/>
      </c>
      <c r="K2919" s="36" t="str">
        <f aca="false">IF(Raw_Export!$A2919="","",IF(J2919="Duplicate","Duplicate",IF(OR(C2919="UNMAPPED",D2919="UNMAPPED"),"Unmapped",IF(F2919=0,"Blank qty",IF(F2919&lt;0,"Return","OK")))))</f>
        <v/>
      </c>
      <c r="L2919" s="36" t="str">
        <f aca="false">IF(Raw_Export!$A2919="","",IF(OR(K2919="OK",K2919="Return"),1,0))</f>
        <v/>
      </c>
      <c r="M2919" s="37" t="str">
        <f aca="false">IF(Raw_Export!$A2919="","",B2919-WEEKDAY(B2919,2)+1)</f>
        <v/>
      </c>
    </row>
    <row r="2920" customFormat="false" ht="15" hidden="false" customHeight="false" outlineLevel="0" collapsed="false">
      <c r="A2920" s="36" t="str">
        <f aca="false">IF(Raw_Export!$A2920="","",TRIM(Raw_Export!A2920))</f>
        <v/>
      </c>
      <c r="B2920" s="37" t="str">
        <f aca="false">IF(Raw_Export!$A2920="","",IF(ISNUMBER(Raw_Export!B2920),Raw_Export!B2920,IF(MID(TRIM(Raw_Export!B2920),5,1)="-",DATE(LEFT(TRIM(Raw_Export!B2920),4),MID(TRIM(Raw_Export!B2920),6,2),RIGHT(TRIM(Raw_Export!B2920),2)),DATE(RIGHT(TRIM(Raw_Export!B2920),4),MATCH(MID(TRIM(Raw_Export!B2920),4,3),{"Jan","Feb","Mar","Apr","May","Jun","Jul","Aug","Sep","Oct","Nov","Dec"},0),LEFT(TRIM(Raw_Export!B2920),2)))))</f>
        <v/>
      </c>
      <c r="C2920" s="36" t="str">
        <f aca="false">IF(Raw_Export!$A2920="","",IFERROR(VLOOKUP(LOWER(TRIM(Raw_Export!C2920)),Maps!$A$2:$B$20,2,FALSE()),"UNMAPPED"))</f>
        <v/>
      </c>
      <c r="D2920" s="36" t="str">
        <f aca="false">IF(Raw_Export!$A2920="","",IFERROR(VLOOKUP(LOWER(TRIM(Raw_Export!D2920)),Maps!$G$2:$I$80,2,FALSE()),"UNMAPPED"))</f>
        <v/>
      </c>
      <c r="E2920" s="36" t="str">
        <f aca="false">IF(Raw_Export!$A2920="","",IFERROR(VLOOKUP(LOWER(TRIM(Raw_Export!D2920)),Maps!$G$2:$I$80,3,FALSE()),"UNMAPPED"))</f>
        <v/>
      </c>
      <c r="F2920" s="36" t="str">
        <f aca="false">IF(Raw_Export!$A2920="","",IFERROR(VALUE(TRIM(Raw_Export!E2920)),0))</f>
        <v/>
      </c>
      <c r="G2920" s="38" t="str">
        <f aca="false">IF(Raw_Export!$A2920="","",IFERROR(VALUE(SUBSTITUTE(SUBSTITUTE(UPPER(TRIM(Raw_Export!F2920)),"KES",""),",","")),0))</f>
        <v/>
      </c>
      <c r="H2920" s="38" t="str">
        <f aca="false">IF(Raw_Export!$A2920="","",F2920*G2920)</f>
        <v/>
      </c>
      <c r="I2920" s="36" t="str">
        <f aca="false">IF(Raw_Export!$A2920="","",IFERROR(VLOOKUP(LOWER(TRIM(Raw_Export!H2920)),Maps!$D$2:$E$12,2,FALSE()),"Other"))</f>
        <v/>
      </c>
      <c r="J2920" s="36" t="str">
        <f aca="false">IF(Raw_Export!$A2920="","",IF(COUNTIF($A$2:A2920,A2920)&gt;1,"Duplicate",""))</f>
        <v/>
      </c>
      <c r="K2920" s="36" t="str">
        <f aca="false">IF(Raw_Export!$A2920="","",IF(J2920="Duplicate","Duplicate",IF(OR(C2920="UNMAPPED",D2920="UNMAPPED"),"Unmapped",IF(F2920=0,"Blank qty",IF(F2920&lt;0,"Return","OK")))))</f>
        <v/>
      </c>
      <c r="L2920" s="36" t="str">
        <f aca="false">IF(Raw_Export!$A2920="","",IF(OR(K2920="OK",K2920="Return"),1,0))</f>
        <v/>
      </c>
      <c r="M2920" s="37" t="str">
        <f aca="false">IF(Raw_Export!$A2920="","",B2920-WEEKDAY(B2920,2)+1)</f>
        <v/>
      </c>
    </row>
    <row r="2921" customFormat="false" ht="15" hidden="false" customHeight="false" outlineLevel="0" collapsed="false">
      <c r="A2921" s="36" t="str">
        <f aca="false">IF(Raw_Export!$A2921="","",TRIM(Raw_Export!A2921))</f>
        <v/>
      </c>
      <c r="B2921" s="37" t="str">
        <f aca="false">IF(Raw_Export!$A2921="","",IF(ISNUMBER(Raw_Export!B2921),Raw_Export!B2921,IF(MID(TRIM(Raw_Export!B2921),5,1)="-",DATE(LEFT(TRIM(Raw_Export!B2921),4),MID(TRIM(Raw_Export!B2921),6,2),RIGHT(TRIM(Raw_Export!B2921),2)),DATE(RIGHT(TRIM(Raw_Export!B2921),4),MATCH(MID(TRIM(Raw_Export!B2921),4,3),{"Jan","Feb","Mar","Apr","May","Jun","Jul","Aug","Sep","Oct","Nov","Dec"},0),LEFT(TRIM(Raw_Export!B2921),2)))))</f>
        <v/>
      </c>
      <c r="C2921" s="36" t="str">
        <f aca="false">IF(Raw_Export!$A2921="","",IFERROR(VLOOKUP(LOWER(TRIM(Raw_Export!C2921)),Maps!$A$2:$B$20,2,FALSE()),"UNMAPPED"))</f>
        <v/>
      </c>
      <c r="D2921" s="36" t="str">
        <f aca="false">IF(Raw_Export!$A2921="","",IFERROR(VLOOKUP(LOWER(TRIM(Raw_Export!D2921)),Maps!$G$2:$I$80,2,FALSE()),"UNMAPPED"))</f>
        <v/>
      </c>
      <c r="E2921" s="36" t="str">
        <f aca="false">IF(Raw_Export!$A2921="","",IFERROR(VLOOKUP(LOWER(TRIM(Raw_Export!D2921)),Maps!$G$2:$I$80,3,FALSE()),"UNMAPPED"))</f>
        <v/>
      </c>
      <c r="F2921" s="36" t="str">
        <f aca="false">IF(Raw_Export!$A2921="","",IFERROR(VALUE(TRIM(Raw_Export!E2921)),0))</f>
        <v/>
      </c>
      <c r="G2921" s="38" t="str">
        <f aca="false">IF(Raw_Export!$A2921="","",IFERROR(VALUE(SUBSTITUTE(SUBSTITUTE(UPPER(TRIM(Raw_Export!F2921)),"KES",""),",","")),0))</f>
        <v/>
      </c>
      <c r="H2921" s="38" t="str">
        <f aca="false">IF(Raw_Export!$A2921="","",F2921*G2921)</f>
        <v/>
      </c>
      <c r="I2921" s="36" t="str">
        <f aca="false">IF(Raw_Export!$A2921="","",IFERROR(VLOOKUP(LOWER(TRIM(Raw_Export!H2921)),Maps!$D$2:$E$12,2,FALSE()),"Other"))</f>
        <v/>
      </c>
      <c r="J2921" s="36" t="str">
        <f aca="false">IF(Raw_Export!$A2921="","",IF(COUNTIF($A$2:A2921,A2921)&gt;1,"Duplicate",""))</f>
        <v/>
      </c>
      <c r="K2921" s="36" t="str">
        <f aca="false">IF(Raw_Export!$A2921="","",IF(J2921="Duplicate","Duplicate",IF(OR(C2921="UNMAPPED",D2921="UNMAPPED"),"Unmapped",IF(F2921=0,"Blank qty",IF(F2921&lt;0,"Return","OK")))))</f>
        <v/>
      </c>
      <c r="L2921" s="36" t="str">
        <f aca="false">IF(Raw_Export!$A2921="","",IF(OR(K2921="OK",K2921="Return"),1,0))</f>
        <v/>
      </c>
      <c r="M2921" s="37" t="str">
        <f aca="false">IF(Raw_Export!$A2921="","",B2921-WEEKDAY(B2921,2)+1)</f>
        <v/>
      </c>
    </row>
    <row r="2922" customFormat="false" ht="15" hidden="false" customHeight="false" outlineLevel="0" collapsed="false">
      <c r="A2922" s="36" t="str">
        <f aca="false">IF(Raw_Export!$A2922="","",TRIM(Raw_Export!A2922))</f>
        <v/>
      </c>
      <c r="B2922" s="37" t="str">
        <f aca="false">IF(Raw_Export!$A2922="","",IF(ISNUMBER(Raw_Export!B2922),Raw_Export!B2922,IF(MID(TRIM(Raw_Export!B2922),5,1)="-",DATE(LEFT(TRIM(Raw_Export!B2922),4),MID(TRIM(Raw_Export!B2922),6,2),RIGHT(TRIM(Raw_Export!B2922),2)),DATE(RIGHT(TRIM(Raw_Export!B2922),4),MATCH(MID(TRIM(Raw_Export!B2922),4,3),{"Jan","Feb","Mar","Apr","May","Jun","Jul","Aug","Sep","Oct","Nov","Dec"},0),LEFT(TRIM(Raw_Export!B2922),2)))))</f>
        <v/>
      </c>
      <c r="C2922" s="36" t="str">
        <f aca="false">IF(Raw_Export!$A2922="","",IFERROR(VLOOKUP(LOWER(TRIM(Raw_Export!C2922)),Maps!$A$2:$B$20,2,FALSE()),"UNMAPPED"))</f>
        <v/>
      </c>
      <c r="D2922" s="36" t="str">
        <f aca="false">IF(Raw_Export!$A2922="","",IFERROR(VLOOKUP(LOWER(TRIM(Raw_Export!D2922)),Maps!$G$2:$I$80,2,FALSE()),"UNMAPPED"))</f>
        <v/>
      </c>
      <c r="E2922" s="36" t="str">
        <f aca="false">IF(Raw_Export!$A2922="","",IFERROR(VLOOKUP(LOWER(TRIM(Raw_Export!D2922)),Maps!$G$2:$I$80,3,FALSE()),"UNMAPPED"))</f>
        <v/>
      </c>
      <c r="F2922" s="36" t="str">
        <f aca="false">IF(Raw_Export!$A2922="","",IFERROR(VALUE(TRIM(Raw_Export!E2922)),0))</f>
        <v/>
      </c>
      <c r="G2922" s="38" t="str">
        <f aca="false">IF(Raw_Export!$A2922="","",IFERROR(VALUE(SUBSTITUTE(SUBSTITUTE(UPPER(TRIM(Raw_Export!F2922)),"KES",""),",","")),0))</f>
        <v/>
      </c>
      <c r="H2922" s="38" t="str">
        <f aca="false">IF(Raw_Export!$A2922="","",F2922*G2922)</f>
        <v/>
      </c>
      <c r="I2922" s="36" t="str">
        <f aca="false">IF(Raw_Export!$A2922="","",IFERROR(VLOOKUP(LOWER(TRIM(Raw_Export!H2922)),Maps!$D$2:$E$12,2,FALSE()),"Other"))</f>
        <v/>
      </c>
      <c r="J2922" s="36" t="str">
        <f aca="false">IF(Raw_Export!$A2922="","",IF(COUNTIF($A$2:A2922,A2922)&gt;1,"Duplicate",""))</f>
        <v/>
      </c>
      <c r="K2922" s="36" t="str">
        <f aca="false">IF(Raw_Export!$A2922="","",IF(J2922="Duplicate","Duplicate",IF(OR(C2922="UNMAPPED",D2922="UNMAPPED"),"Unmapped",IF(F2922=0,"Blank qty",IF(F2922&lt;0,"Return","OK")))))</f>
        <v/>
      </c>
      <c r="L2922" s="36" t="str">
        <f aca="false">IF(Raw_Export!$A2922="","",IF(OR(K2922="OK",K2922="Return"),1,0))</f>
        <v/>
      </c>
      <c r="M2922" s="37" t="str">
        <f aca="false">IF(Raw_Export!$A2922="","",B2922-WEEKDAY(B2922,2)+1)</f>
        <v/>
      </c>
    </row>
    <row r="2923" customFormat="false" ht="15" hidden="false" customHeight="false" outlineLevel="0" collapsed="false">
      <c r="A2923" s="36" t="str">
        <f aca="false">IF(Raw_Export!$A2923="","",TRIM(Raw_Export!A2923))</f>
        <v/>
      </c>
      <c r="B2923" s="37" t="str">
        <f aca="false">IF(Raw_Export!$A2923="","",IF(ISNUMBER(Raw_Export!B2923),Raw_Export!B2923,IF(MID(TRIM(Raw_Export!B2923),5,1)="-",DATE(LEFT(TRIM(Raw_Export!B2923),4),MID(TRIM(Raw_Export!B2923),6,2),RIGHT(TRIM(Raw_Export!B2923),2)),DATE(RIGHT(TRIM(Raw_Export!B2923),4),MATCH(MID(TRIM(Raw_Export!B2923),4,3),{"Jan","Feb","Mar","Apr","May","Jun","Jul","Aug","Sep","Oct","Nov","Dec"},0),LEFT(TRIM(Raw_Export!B2923),2)))))</f>
        <v/>
      </c>
      <c r="C2923" s="36" t="str">
        <f aca="false">IF(Raw_Export!$A2923="","",IFERROR(VLOOKUP(LOWER(TRIM(Raw_Export!C2923)),Maps!$A$2:$B$20,2,FALSE()),"UNMAPPED"))</f>
        <v/>
      </c>
      <c r="D2923" s="36" t="str">
        <f aca="false">IF(Raw_Export!$A2923="","",IFERROR(VLOOKUP(LOWER(TRIM(Raw_Export!D2923)),Maps!$G$2:$I$80,2,FALSE()),"UNMAPPED"))</f>
        <v/>
      </c>
      <c r="E2923" s="36" t="str">
        <f aca="false">IF(Raw_Export!$A2923="","",IFERROR(VLOOKUP(LOWER(TRIM(Raw_Export!D2923)),Maps!$G$2:$I$80,3,FALSE()),"UNMAPPED"))</f>
        <v/>
      </c>
      <c r="F2923" s="36" t="str">
        <f aca="false">IF(Raw_Export!$A2923="","",IFERROR(VALUE(TRIM(Raw_Export!E2923)),0))</f>
        <v/>
      </c>
      <c r="G2923" s="38" t="str">
        <f aca="false">IF(Raw_Export!$A2923="","",IFERROR(VALUE(SUBSTITUTE(SUBSTITUTE(UPPER(TRIM(Raw_Export!F2923)),"KES",""),",","")),0))</f>
        <v/>
      </c>
      <c r="H2923" s="38" t="str">
        <f aca="false">IF(Raw_Export!$A2923="","",F2923*G2923)</f>
        <v/>
      </c>
      <c r="I2923" s="36" t="str">
        <f aca="false">IF(Raw_Export!$A2923="","",IFERROR(VLOOKUP(LOWER(TRIM(Raw_Export!H2923)),Maps!$D$2:$E$12,2,FALSE()),"Other"))</f>
        <v/>
      </c>
      <c r="J2923" s="36" t="str">
        <f aca="false">IF(Raw_Export!$A2923="","",IF(COUNTIF($A$2:A2923,A2923)&gt;1,"Duplicate",""))</f>
        <v/>
      </c>
      <c r="K2923" s="36" t="str">
        <f aca="false">IF(Raw_Export!$A2923="","",IF(J2923="Duplicate","Duplicate",IF(OR(C2923="UNMAPPED",D2923="UNMAPPED"),"Unmapped",IF(F2923=0,"Blank qty",IF(F2923&lt;0,"Return","OK")))))</f>
        <v/>
      </c>
      <c r="L2923" s="36" t="str">
        <f aca="false">IF(Raw_Export!$A2923="","",IF(OR(K2923="OK",K2923="Return"),1,0))</f>
        <v/>
      </c>
      <c r="M2923" s="37" t="str">
        <f aca="false">IF(Raw_Export!$A2923="","",B2923-WEEKDAY(B2923,2)+1)</f>
        <v/>
      </c>
    </row>
    <row r="2924" customFormat="false" ht="15" hidden="false" customHeight="false" outlineLevel="0" collapsed="false">
      <c r="A2924" s="36" t="str">
        <f aca="false">IF(Raw_Export!$A2924="","",TRIM(Raw_Export!A2924))</f>
        <v/>
      </c>
      <c r="B2924" s="37" t="str">
        <f aca="false">IF(Raw_Export!$A2924="","",IF(ISNUMBER(Raw_Export!B2924),Raw_Export!B2924,IF(MID(TRIM(Raw_Export!B2924),5,1)="-",DATE(LEFT(TRIM(Raw_Export!B2924),4),MID(TRIM(Raw_Export!B2924),6,2),RIGHT(TRIM(Raw_Export!B2924),2)),DATE(RIGHT(TRIM(Raw_Export!B2924),4),MATCH(MID(TRIM(Raw_Export!B2924),4,3),{"Jan","Feb","Mar","Apr","May","Jun","Jul","Aug","Sep","Oct","Nov","Dec"},0),LEFT(TRIM(Raw_Export!B2924),2)))))</f>
        <v/>
      </c>
      <c r="C2924" s="36" t="str">
        <f aca="false">IF(Raw_Export!$A2924="","",IFERROR(VLOOKUP(LOWER(TRIM(Raw_Export!C2924)),Maps!$A$2:$B$20,2,FALSE()),"UNMAPPED"))</f>
        <v/>
      </c>
      <c r="D2924" s="36" t="str">
        <f aca="false">IF(Raw_Export!$A2924="","",IFERROR(VLOOKUP(LOWER(TRIM(Raw_Export!D2924)),Maps!$G$2:$I$80,2,FALSE()),"UNMAPPED"))</f>
        <v/>
      </c>
      <c r="E2924" s="36" t="str">
        <f aca="false">IF(Raw_Export!$A2924="","",IFERROR(VLOOKUP(LOWER(TRIM(Raw_Export!D2924)),Maps!$G$2:$I$80,3,FALSE()),"UNMAPPED"))</f>
        <v/>
      </c>
      <c r="F2924" s="36" t="str">
        <f aca="false">IF(Raw_Export!$A2924="","",IFERROR(VALUE(TRIM(Raw_Export!E2924)),0))</f>
        <v/>
      </c>
      <c r="G2924" s="38" t="str">
        <f aca="false">IF(Raw_Export!$A2924="","",IFERROR(VALUE(SUBSTITUTE(SUBSTITUTE(UPPER(TRIM(Raw_Export!F2924)),"KES",""),",","")),0))</f>
        <v/>
      </c>
      <c r="H2924" s="38" t="str">
        <f aca="false">IF(Raw_Export!$A2924="","",F2924*G2924)</f>
        <v/>
      </c>
      <c r="I2924" s="36" t="str">
        <f aca="false">IF(Raw_Export!$A2924="","",IFERROR(VLOOKUP(LOWER(TRIM(Raw_Export!H2924)),Maps!$D$2:$E$12,2,FALSE()),"Other"))</f>
        <v/>
      </c>
      <c r="J2924" s="36" t="str">
        <f aca="false">IF(Raw_Export!$A2924="","",IF(COUNTIF($A$2:A2924,A2924)&gt;1,"Duplicate",""))</f>
        <v/>
      </c>
      <c r="K2924" s="36" t="str">
        <f aca="false">IF(Raw_Export!$A2924="","",IF(J2924="Duplicate","Duplicate",IF(OR(C2924="UNMAPPED",D2924="UNMAPPED"),"Unmapped",IF(F2924=0,"Blank qty",IF(F2924&lt;0,"Return","OK")))))</f>
        <v/>
      </c>
      <c r="L2924" s="36" t="str">
        <f aca="false">IF(Raw_Export!$A2924="","",IF(OR(K2924="OK",K2924="Return"),1,0))</f>
        <v/>
      </c>
      <c r="M2924" s="37" t="str">
        <f aca="false">IF(Raw_Export!$A2924="","",B2924-WEEKDAY(B2924,2)+1)</f>
        <v/>
      </c>
    </row>
    <row r="2925" customFormat="false" ht="15" hidden="false" customHeight="false" outlineLevel="0" collapsed="false">
      <c r="A2925" s="36" t="str">
        <f aca="false">IF(Raw_Export!$A2925="","",TRIM(Raw_Export!A2925))</f>
        <v/>
      </c>
      <c r="B2925" s="37" t="str">
        <f aca="false">IF(Raw_Export!$A2925="","",IF(ISNUMBER(Raw_Export!B2925),Raw_Export!B2925,IF(MID(TRIM(Raw_Export!B2925),5,1)="-",DATE(LEFT(TRIM(Raw_Export!B2925),4),MID(TRIM(Raw_Export!B2925),6,2),RIGHT(TRIM(Raw_Export!B2925),2)),DATE(RIGHT(TRIM(Raw_Export!B2925),4),MATCH(MID(TRIM(Raw_Export!B2925),4,3),{"Jan","Feb","Mar","Apr","May","Jun","Jul","Aug","Sep","Oct","Nov","Dec"},0),LEFT(TRIM(Raw_Export!B2925),2)))))</f>
        <v/>
      </c>
      <c r="C2925" s="36" t="str">
        <f aca="false">IF(Raw_Export!$A2925="","",IFERROR(VLOOKUP(LOWER(TRIM(Raw_Export!C2925)),Maps!$A$2:$B$20,2,FALSE()),"UNMAPPED"))</f>
        <v/>
      </c>
      <c r="D2925" s="36" t="str">
        <f aca="false">IF(Raw_Export!$A2925="","",IFERROR(VLOOKUP(LOWER(TRIM(Raw_Export!D2925)),Maps!$G$2:$I$80,2,FALSE()),"UNMAPPED"))</f>
        <v/>
      </c>
      <c r="E2925" s="36" t="str">
        <f aca="false">IF(Raw_Export!$A2925="","",IFERROR(VLOOKUP(LOWER(TRIM(Raw_Export!D2925)),Maps!$G$2:$I$80,3,FALSE()),"UNMAPPED"))</f>
        <v/>
      </c>
      <c r="F2925" s="36" t="str">
        <f aca="false">IF(Raw_Export!$A2925="","",IFERROR(VALUE(TRIM(Raw_Export!E2925)),0))</f>
        <v/>
      </c>
      <c r="G2925" s="38" t="str">
        <f aca="false">IF(Raw_Export!$A2925="","",IFERROR(VALUE(SUBSTITUTE(SUBSTITUTE(UPPER(TRIM(Raw_Export!F2925)),"KES",""),",","")),0))</f>
        <v/>
      </c>
      <c r="H2925" s="38" t="str">
        <f aca="false">IF(Raw_Export!$A2925="","",F2925*G2925)</f>
        <v/>
      </c>
      <c r="I2925" s="36" t="str">
        <f aca="false">IF(Raw_Export!$A2925="","",IFERROR(VLOOKUP(LOWER(TRIM(Raw_Export!H2925)),Maps!$D$2:$E$12,2,FALSE()),"Other"))</f>
        <v/>
      </c>
      <c r="J2925" s="36" t="str">
        <f aca="false">IF(Raw_Export!$A2925="","",IF(COUNTIF($A$2:A2925,A2925)&gt;1,"Duplicate",""))</f>
        <v/>
      </c>
      <c r="K2925" s="36" t="str">
        <f aca="false">IF(Raw_Export!$A2925="","",IF(J2925="Duplicate","Duplicate",IF(OR(C2925="UNMAPPED",D2925="UNMAPPED"),"Unmapped",IF(F2925=0,"Blank qty",IF(F2925&lt;0,"Return","OK")))))</f>
        <v/>
      </c>
      <c r="L2925" s="36" t="str">
        <f aca="false">IF(Raw_Export!$A2925="","",IF(OR(K2925="OK",K2925="Return"),1,0))</f>
        <v/>
      </c>
      <c r="M2925" s="37" t="str">
        <f aca="false">IF(Raw_Export!$A2925="","",B2925-WEEKDAY(B2925,2)+1)</f>
        <v/>
      </c>
    </row>
    <row r="2926" customFormat="false" ht="15" hidden="false" customHeight="false" outlineLevel="0" collapsed="false">
      <c r="A2926" s="36" t="str">
        <f aca="false">IF(Raw_Export!$A2926="","",TRIM(Raw_Export!A2926))</f>
        <v/>
      </c>
      <c r="B2926" s="37" t="str">
        <f aca="false">IF(Raw_Export!$A2926="","",IF(ISNUMBER(Raw_Export!B2926),Raw_Export!B2926,IF(MID(TRIM(Raw_Export!B2926),5,1)="-",DATE(LEFT(TRIM(Raw_Export!B2926),4),MID(TRIM(Raw_Export!B2926),6,2),RIGHT(TRIM(Raw_Export!B2926),2)),DATE(RIGHT(TRIM(Raw_Export!B2926),4),MATCH(MID(TRIM(Raw_Export!B2926),4,3),{"Jan","Feb","Mar","Apr","May","Jun","Jul","Aug","Sep","Oct","Nov","Dec"},0),LEFT(TRIM(Raw_Export!B2926),2)))))</f>
        <v/>
      </c>
      <c r="C2926" s="36" t="str">
        <f aca="false">IF(Raw_Export!$A2926="","",IFERROR(VLOOKUP(LOWER(TRIM(Raw_Export!C2926)),Maps!$A$2:$B$20,2,FALSE()),"UNMAPPED"))</f>
        <v/>
      </c>
      <c r="D2926" s="36" t="str">
        <f aca="false">IF(Raw_Export!$A2926="","",IFERROR(VLOOKUP(LOWER(TRIM(Raw_Export!D2926)),Maps!$G$2:$I$80,2,FALSE()),"UNMAPPED"))</f>
        <v/>
      </c>
      <c r="E2926" s="36" t="str">
        <f aca="false">IF(Raw_Export!$A2926="","",IFERROR(VLOOKUP(LOWER(TRIM(Raw_Export!D2926)),Maps!$G$2:$I$80,3,FALSE()),"UNMAPPED"))</f>
        <v/>
      </c>
      <c r="F2926" s="36" t="str">
        <f aca="false">IF(Raw_Export!$A2926="","",IFERROR(VALUE(TRIM(Raw_Export!E2926)),0))</f>
        <v/>
      </c>
      <c r="G2926" s="38" t="str">
        <f aca="false">IF(Raw_Export!$A2926="","",IFERROR(VALUE(SUBSTITUTE(SUBSTITUTE(UPPER(TRIM(Raw_Export!F2926)),"KES",""),",","")),0))</f>
        <v/>
      </c>
      <c r="H2926" s="38" t="str">
        <f aca="false">IF(Raw_Export!$A2926="","",F2926*G2926)</f>
        <v/>
      </c>
      <c r="I2926" s="36" t="str">
        <f aca="false">IF(Raw_Export!$A2926="","",IFERROR(VLOOKUP(LOWER(TRIM(Raw_Export!H2926)),Maps!$D$2:$E$12,2,FALSE()),"Other"))</f>
        <v/>
      </c>
      <c r="J2926" s="36" t="str">
        <f aca="false">IF(Raw_Export!$A2926="","",IF(COUNTIF($A$2:A2926,A2926)&gt;1,"Duplicate",""))</f>
        <v/>
      </c>
      <c r="K2926" s="36" t="str">
        <f aca="false">IF(Raw_Export!$A2926="","",IF(J2926="Duplicate","Duplicate",IF(OR(C2926="UNMAPPED",D2926="UNMAPPED"),"Unmapped",IF(F2926=0,"Blank qty",IF(F2926&lt;0,"Return","OK")))))</f>
        <v/>
      </c>
      <c r="L2926" s="36" t="str">
        <f aca="false">IF(Raw_Export!$A2926="","",IF(OR(K2926="OK",K2926="Return"),1,0))</f>
        <v/>
      </c>
      <c r="M2926" s="37" t="str">
        <f aca="false">IF(Raw_Export!$A2926="","",B2926-WEEKDAY(B2926,2)+1)</f>
        <v/>
      </c>
    </row>
    <row r="2927" customFormat="false" ht="15" hidden="false" customHeight="false" outlineLevel="0" collapsed="false">
      <c r="A2927" s="36" t="str">
        <f aca="false">IF(Raw_Export!$A2927="","",TRIM(Raw_Export!A2927))</f>
        <v/>
      </c>
      <c r="B2927" s="37" t="str">
        <f aca="false">IF(Raw_Export!$A2927="","",IF(ISNUMBER(Raw_Export!B2927),Raw_Export!B2927,IF(MID(TRIM(Raw_Export!B2927),5,1)="-",DATE(LEFT(TRIM(Raw_Export!B2927),4),MID(TRIM(Raw_Export!B2927),6,2),RIGHT(TRIM(Raw_Export!B2927),2)),DATE(RIGHT(TRIM(Raw_Export!B2927),4),MATCH(MID(TRIM(Raw_Export!B2927),4,3),{"Jan","Feb","Mar","Apr","May","Jun","Jul","Aug","Sep","Oct","Nov","Dec"},0),LEFT(TRIM(Raw_Export!B2927),2)))))</f>
        <v/>
      </c>
      <c r="C2927" s="36" t="str">
        <f aca="false">IF(Raw_Export!$A2927="","",IFERROR(VLOOKUP(LOWER(TRIM(Raw_Export!C2927)),Maps!$A$2:$B$20,2,FALSE()),"UNMAPPED"))</f>
        <v/>
      </c>
      <c r="D2927" s="36" t="str">
        <f aca="false">IF(Raw_Export!$A2927="","",IFERROR(VLOOKUP(LOWER(TRIM(Raw_Export!D2927)),Maps!$G$2:$I$80,2,FALSE()),"UNMAPPED"))</f>
        <v/>
      </c>
      <c r="E2927" s="36" t="str">
        <f aca="false">IF(Raw_Export!$A2927="","",IFERROR(VLOOKUP(LOWER(TRIM(Raw_Export!D2927)),Maps!$G$2:$I$80,3,FALSE()),"UNMAPPED"))</f>
        <v/>
      </c>
      <c r="F2927" s="36" t="str">
        <f aca="false">IF(Raw_Export!$A2927="","",IFERROR(VALUE(TRIM(Raw_Export!E2927)),0))</f>
        <v/>
      </c>
      <c r="G2927" s="38" t="str">
        <f aca="false">IF(Raw_Export!$A2927="","",IFERROR(VALUE(SUBSTITUTE(SUBSTITUTE(UPPER(TRIM(Raw_Export!F2927)),"KES",""),",","")),0))</f>
        <v/>
      </c>
      <c r="H2927" s="38" t="str">
        <f aca="false">IF(Raw_Export!$A2927="","",F2927*G2927)</f>
        <v/>
      </c>
      <c r="I2927" s="36" t="str">
        <f aca="false">IF(Raw_Export!$A2927="","",IFERROR(VLOOKUP(LOWER(TRIM(Raw_Export!H2927)),Maps!$D$2:$E$12,2,FALSE()),"Other"))</f>
        <v/>
      </c>
      <c r="J2927" s="36" t="str">
        <f aca="false">IF(Raw_Export!$A2927="","",IF(COUNTIF($A$2:A2927,A2927)&gt;1,"Duplicate",""))</f>
        <v/>
      </c>
      <c r="K2927" s="36" t="str">
        <f aca="false">IF(Raw_Export!$A2927="","",IF(J2927="Duplicate","Duplicate",IF(OR(C2927="UNMAPPED",D2927="UNMAPPED"),"Unmapped",IF(F2927=0,"Blank qty",IF(F2927&lt;0,"Return","OK")))))</f>
        <v/>
      </c>
      <c r="L2927" s="36" t="str">
        <f aca="false">IF(Raw_Export!$A2927="","",IF(OR(K2927="OK",K2927="Return"),1,0))</f>
        <v/>
      </c>
      <c r="M2927" s="37" t="str">
        <f aca="false">IF(Raw_Export!$A2927="","",B2927-WEEKDAY(B2927,2)+1)</f>
        <v/>
      </c>
    </row>
    <row r="2928" customFormat="false" ht="15" hidden="false" customHeight="false" outlineLevel="0" collapsed="false">
      <c r="A2928" s="36" t="str">
        <f aca="false">IF(Raw_Export!$A2928="","",TRIM(Raw_Export!A2928))</f>
        <v/>
      </c>
      <c r="B2928" s="37" t="str">
        <f aca="false">IF(Raw_Export!$A2928="","",IF(ISNUMBER(Raw_Export!B2928),Raw_Export!B2928,IF(MID(TRIM(Raw_Export!B2928),5,1)="-",DATE(LEFT(TRIM(Raw_Export!B2928),4),MID(TRIM(Raw_Export!B2928),6,2),RIGHT(TRIM(Raw_Export!B2928),2)),DATE(RIGHT(TRIM(Raw_Export!B2928),4),MATCH(MID(TRIM(Raw_Export!B2928),4,3),{"Jan","Feb","Mar","Apr","May","Jun","Jul","Aug","Sep","Oct","Nov","Dec"},0),LEFT(TRIM(Raw_Export!B2928),2)))))</f>
        <v/>
      </c>
      <c r="C2928" s="36" t="str">
        <f aca="false">IF(Raw_Export!$A2928="","",IFERROR(VLOOKUP(LOWER(TRIM(Raw_Export!C2928)),Maps!$A$2:$B$20,2,FALSE()),"UNMAPPED"))</f>
        <v/>
      </c>
      <c r="D2928" s="36" t="str">
        <f aca="false">IF(Raw_Export!$A2928="","",IFERROR(VLOOKUP(LOWER(TRIM(Raw_Export!D2928)),Maps!$G$2:$I$80,2,FALSE()),"UNMAPPED"))</f>
        <v/>
      </c>
      <c r="E2928" s="36" t="str">
        <f aca="false">IF(Raw_Export!$A2928="","",IFERROR(VLOOKUP(LOWER(TRIM(Raw_Export!D2928)),Maps!$G$2:$I$80,3,FALSE()),"UNMAPPED"))</f>
        <v/>
      </c>
      <c r="F2928" s="36" t="str">
        <f aca="false">IF(Raw_Export!$A2928="","",IFERROR(VALUE(TRIM(Raw_Export!E2928)),0))</f>
        <v/>
      </c>
      <c r="G2928" s="38" t="str">
        <f aca="false">IF(Raw_Export!$A2928="","",IFERROR(VALUE(SUBSTITUTE(SUBSTITUTE(UPPER(TRIM(Raw_Export!F2928)),"KES",""),",","")),0))</f>
        <v/>
      </c>
      <c r="H2928" s="38" t="str">
        <f aca="false">IF(Raw_Export!$A2928="","",F2928*G2928)</f>
        <v/>
      </c>
      <c r="I2928" s="36" t="str">
        <f aca="false">IF(Raw_Export!$A2928="","",IFERROR(VLOOKUP(LOWER(TRIM(Raw_Export!H2928)),Maps!$D$2:$E$12,2,FALSE()),"Other"))</f>
        <v/>
      </c>
      <c r="J2928" s="36" t="str">
        <f aca="false">IF(Raw_Export!$A2928="","",IF(COUNTIF($A$2:A2928,A2928)&gt;1,"Duplicate",""))</f>
        <v/>
      </c>
      <c r="K2928" s="36" t="str">
        <f aca="false">IF(Raw_Export!$A2928="","",IF(J2928="Duplicate","Duplicate",IF(OR(C2928="UNMAPPED",D2928="UNMAPPED"),"Unmapped",IF(F2928=0,"Blank qty",IF(F2928&lt;0,"Return","OK")))))</f>
        <v/>
      </c>
      <c r="L2928" s="36" t="str">
        <f aca="false">IF(Raw_Export!$A2928="","",IF(OR(K2928="OK",K2928="Return"),1,0))</f>
        <v/>
      </c>
      <c r="M2928" s="37" t="str">
        <f aca="false">IF(Raw_Export!$A2928="","",B2928-WEEKDAY(B2928,2)+1)</f>
        <v/>
      </c>
    </row>
    <row r="2929" customFormat="false" ht="15" hidden="false" customHeight="false" outlineLevel="0" collapsed="false">
      <c r="A2929" s="36" t="str">
        <f aca="false">IF(Raw_Export!$A2929="","",TRIM(Raw_Export!A2929))</f>
        <v/>
      </c>
      <c r="B2929" s="37" t="str">
        <f aca="false">IF(Raw_Export!$A2929="","",IF(ISNUMBER(Raw_Export!B2929),Raw_Export!B2929,IF(MID(TRIM(Raw_Export!B2929),5,1)="-",DATE(LEFT(TRIM(Raw_Export!B2929),4),MID(TRIM(Raw_Export!B2929),6,2),RIGHT(TRIM(Raw_Export!B2929),2)),DATE(RIGHT(TRIM(Raw_Export!B2929),4),MATCH(MID(TRIM(Raw_Export!B2929),4,3),{"Jan","Feb","Mar","Apr","May","Jun","Jul","Aug","Sep","Oct","Nov","Dec"},0),LEFT(TRIM(Raw_Export!B2929),2)))))</f>
        <v/>
      </c>
      <c r="C2929" s="36" t="str">
        <f aca="false">IF(Raw_Export!$A2929="","",IFERROR(VLOOKUP(LOWER(TRIM(Raw_Export!C2929)),Maps!$A$2:$B$20,2,FALSE()),"UNMAPPED"))</f>
        <v/>
      </c>
      <c r="D2929" s="36" t="str">
        <f aca="false">IF(Raw_Export!$A2929="","",IFERROR(VLOOKUP(LOWER(TRIM(Raw_Export!D2929)),Maps!$G$2:$I$80,2,FALSE()),"UNMAPPED"))</f>
        <v/>
      </c>
      <c r="E2929" s="36" t="str">
        <f aca="false">IF(Raw_Export!$A2929="","",IFERROR(VLOOKUP(LOWER(TRIM(Raw_Export!D2929)),Maps!$G$2:$I$80,3,FALSE()),"UNMAPPED"))</f>
        <v/>
      </c>
      <c r="F2929" s="36" t="str">
        <f aca="false">IF(Raw_Export!$A2929="","",IFERROR(VALUE(TRIM(Raw_Export!E2929)),0))</f>
        <v/>
      </c>
      <c r="G2929" s="38" t="str">
        <f aca="false">IF(Raw_Export!$A2929="","",IFERROR(VALUE(SUBSTITUTE(SUBSTITUTE(UPPER(TRIM(Raw_Export!F2929)),"KES",""),",","")),0))</f>
        <v/>
      </c>
      <c r="H2929" s="38" t="str">
        <f aca="false">IF(Raw_Export!$A2929="","",F2929*G2929)</f>
        <v/>
      </c>
      <c r="I2929" s="36" t="str">
        <f aca="false">IF(Raw_Export!$A2929="","",IFERROR(VLOOKUP(LOWER(TRIM(Raw_Export!H2929)),Maps!$D$2:$E$12,2,FALSE()),"Other"))</f>
        <v/>
      </c>
      <c r="J2929" s="36" t="str">
        <f aca="false">IF(Raw_Export!$A2929="","",IF(COUNTIF($A$2:A2929,A2929)&gt;1,"Duplicate",""))</f>
        <v/>
      </c>
      <c r="K2929" s="36" t="str">
        <f aca="false">IF(Raw_Export!$A2929="","",IF(J2929="Duplicate","Duplicate",IF(OR(C2929="UNMAPPED",D2929="UNMAPPED"),"Unmapped",IF(F2929=0,"Blank qty",IF(F2929&lt;0,"Return","OK")))))</f>
        <v/>
      </c>
      <c r="L2929" s="36" t="str">
        <f aca="false">IF(Raw_Export!$A2929="","",IF(OR(K2929="OK",K2929="Return"),1,0))</f>
        <v/>
      </c>
      <c r="M2929" s="37" t="str">
        <f aca="false">IF(Raw_Export!$A2929="","",B2929-WEEKDAY(B2929,2)+1)</f>
        <v/>
      </c>
    </row>
    <row r="2930" customFormat="false" ht="15" hidden="false" customHeight="false" outlineLevel="0" collapsed="false">
      <c r="A2930" s="36" t="str">
        <f aca="false">IF(Raw_Export!$A2930="","",TRIM(Raw_Export!A2930))</f>
        <v/>
      </c>
      <c r="B2930" s="37" t="str">
        <f aca="false">IF(Raw_Export!$A2930="","",IF(ISNUMBER(Raw_Export!B2930),Raw_Export!B2930,IF(MID(TRIM(Raw_Export!B2930),5,1)="-",DATE(LEFT(TRIM(Raw_Export!B2930),4),MID(TRIM(Raw_Export!B2930),6,2),RIGHT(TRIM(Raw_Export!B2930),2)),DATE(RIGHT(TRIM(Raw_Export!B2930),4),MATCH(MID(TRIM(Raw_Export!B2930),4,3),{"Jan","Feb","Mar","Apr","May","Jun","Jul","Aug","Sep","Oct","Nov","Dec"},0),LEFT(TRIM(Raw_Export!B2930),2)))))</f>
        <v/>
      </c>
      <c r="C2930" s="36" t="str">
        <f aca="false">IF(Raw_Export!$A2930="","",IFERROR(VLOOKUP(LOWER(TRIM(Raw_Export!C2930)),Maps!$A$2:$B$20,2,FALSE()),"UNMAPPED"))</f>
        <v/>
      </c>
      <c r="D2930" s="36" t="str">
        <f aca="false">IF(Raw_Export!$A2930="","",IFERROR(VLOOKUP(LOWER(TRIM(Raw_Export!D2930)),Maps!$G$2:$I$80,2,FALSE()),"UNMAPPED"))</f>
        <v/>
      </c>
      <c r="E2930" s="36" t="str">
        <f aca="false">IF(Raw_Export!$A2930="","",IFERROR(VLOOKUP(LOWER(TRIM(Raw_Export!D2930)),Maps!$G$2:$I$80,3,FALSE()),"UNMAPPED"))</f>
        <v/>
      </c>
      <c r="F2930" s="36" t="str">
        <f aca="false">IF(Raw_Export!$A2930="","",IFERROR(VALUE(TRIM(Raw_Export!E2930)),0))</f>
        <v/>
      </c>
      <c r="G2930" s="38" t="str">
        <f aca="false">IF(Raw_Export!$A2930="","",IFERROR(VALUE(SUBSTITUTE(SUBSTITUTE(UPPER(TRIM(Raw_Export!F2930)),"KES",""),",","")),0))</f>
        <v/>
      </c>
      <c r="H2930" s="38" t="str">
        <f aca="false">IF(Raw_Export!$A2930="","",F2930*G2930)</f>
        <v/>
      </c>
      <c r="I2930" s="36" t="str">
        <f aca="false">IF(Raw_Export!$A2930="","",IFERROR(VLOOKUP(LOWER(TRIM(Raw_Export!H2930)),Maps!$D$2:$E$12,2,FALSE()),"Other"))</f>
        <v/>
      </c>
      <c r="J2930" s="36" t="str">
        <f aca="false">IF(Raw_Export!$A2930="","",IF(COUNTIF($A$2:A2930,A2930)&gt;1,"Duplicate",""))</f>
        <v/>
      </c>
      <c r="K2930" s="36" t="str">
        <f aca="false">IF(Raw_Export!$A2930="","",IF(J2930="Duplicate","Duplicate",IF(OR(C2930="UNMAPPED",D2930="UNMAPPED"),"Unmapped",IF(F2930=0,"Blank qty",IF(F2930&lt;0,"Return","OK")))))</f>
        <v/>
      </c>
      <c r="L2930" s="36" t="str">
        <f aca="false">IF(Raw_Export!$A2930="","",IF(OR(K2930="OK",K2930="Return"),1,0))</f>
        <v/>
      </c>
      <c r="M2930" s="37" t="str">
        <f aca="false">IF(Raw_Export!$A2930="","",B2930-WEEKDAY(B2930,2)+1)</f>
        <v/>
      </c>
    </row>
    <row r="2931" customFormat="false" ht="15" hidden="false" customHeight="false" outlineLevel="0" collapsed="false">
      <c r="A2931" s="36" t="str">
        <f aca="false">IF(Raw_Export!$A2931="","",TRIM(Raw_Export!A2931))</f>
        <v/>
      </c>
      <c r="B2931" s="37" t="str">
        <f aca="false">IF(Raw_Export!$A2931="","",IF(ISNUMBER(Raw_Export!B2931),Raw_Export!B2931,IF(MID(TRIM(Raw_Export!B2931),5,1)="-",DATE(LEFT(TRIM(Raw_Export!B2931),4),MID(TRIM(Raw_Export!B2931),6,2),RIGHT(TRIM(Raw_Export!B2931),2)),DATE(RIGHT(TRIM(Raw_Export!B2931),4),MATCH(MID(TRIM(Raw_Export!B2931),4,3),{"Jan","Feb","Mar","Apr","May","Jun","Jul","Aug","Sep","Oct","Nov","Dec"},0),LEFT(TRIM(Raw_Export!B2931),2)))))</f>
        <v/>
      </c>
      <c r="C2931" s="36" t="str">
        <f aca="false">IF(Raw_Export!$A2931="","",IFERROR(VLOOKUP(LOWER(TRIM(Raw_Export!C2931)),Maps!$A$2:$B$20,2,FALSE()),"UNMAPPED"))</f>
        <v/>
      </c>
      <c r="D2931" s="36" t="str">
        <f aca="false">IF(Raw_Export!$A2931="","",IFERROR(VLOOKUP(LOWER(TRIM(Raw_Export!D2931)),Maps!$G$2:$I$80,2,FALSE()),"UNMAPPED"))</f>
        <v/>
      </c>
      <c r="E2931" s="36" t="str">
        <f aca="false">IF(Raw_Export!$A2931="","",IFERROR(VLOOKUP(LOWER(TRIM(Raw_Export!D2931)),Maps!$G$2:$I$80,3,FALSE()),"UNMAPPED"))</f>
        <v/>
      </c>
      <c r="F2931" s="36" t="str">
        <f aca="false">IF(Raw_Export!$A2931="","",IFERROR(VALUE(TRIM(Raw_Export!E2931)),0))</f>
        <v/>
      </c>
      <c r="G2931" s="38" t="str">
        <f aca="false">IF(Raw_Export!$A2931="","",IFERROR(VALUE(SUBSTITUTE(SUBSTITUTE(UPPER(TRIM(Raw_Export!F2931)),"KES",""),",","")),0))</f>
        <v/>
      </c>
      <c r="H2931" s="38" t="str">
        <f aca="false">IF(Raw_Export!$A2931="","",F2931*G2931)</f>
        <v/>
      </c>
      <c r="I2931" s="36" t="str">
        <f aca="false">IF(Raw_Export!$A2931="","",IFERROR(VLOOKUP(LOWER(TRIM(Raw_Export!H2931)),Maps!$D$2:$E$12,2,FALSE()),"Other"))</f>
        <v/>
      </c>
      <c r="J2931" s="36" t="str">
        <f aca="false">IF(Raw_Export!$A2931="","",IF(COUNTIF($A$2:A2931,A2931)&gt;1,"Duplicate",""))</f>
        <v/>
      </c>
      <c r="K2931" s="36" t="str">
        <f aca="false">IF(Raw_Export!$A2931="","",IF(J2931="Duplicate","Duplicate",IF(OR(C2931="UNMAPPED",D2931="UNMAPPED"),"Unmapped",IF(F2931=0,"Blank qty",IF(F2931&lt;0,"Return","OK")))))</f>
        <v/>
      </c>
      <c r="L2931" s="36" t="str">
        <f aca="false">IF(Raw_Export!$A2931="","",IF(OR(K2931="OK",K2931="Return"),1,0))</f>
        <v/>
      </c>
      <c r="M2931" s="37" t="str">
        <f aca="false">IF(Raw_Export!$A2931="","",B2931-WEEKDAY(B2931,2)+1)</f>
        <v/>
      </c>
    </row>
    <row r="2932" customFormat="false" ht="15" hidden="false" customHeight="false" outlineLevel="0" collapsed="false">
      <c r="A2932" s="36" t="str">
        <f aca="false">IF(Raw_Export!$A2932="","",TRIM(Raw_Export!A2932))</f>
        <v/>
      </c>
      <c r="B2932" s="37" t="str">
        <f aca="false">IF(Raw_Export!$A2932="","",IF(ISNUMBER(Raw_Export!B2932),Raw_Export!B2932,IF(MID(TRIM(Raw_Export!B2932),5,1)="-",DATE(LEFT(TRIM(Raw_Export!B2932),4),MID(TRIM(Raw_Export!B2932),6,2),RIGHT(TRIM(Raw_Export!B2932),2)),DATE(RIGHT(TRIM(Raw_Export!B2932),4),MATCH(MID(TRIM(Raw_Export!B2932),4,3),{"Jan","Feb","Mar","Apr","May","Jun","Jul","Aug","Sep","Oct","Nov","Dec"},0),LEFT(TRIM(Raw_Export!B2932),2)))))</f>
        <v/>
      </c>
      <c r="C2932" s="36" t="str">
        <f aca="false">IF(Raw_Export!$A2932="","",IFERROR(VLOOKUP(LOWER(TRIM(Raw_Export!C2932)),Maps!$A$2:$B$20,2,FALSE()),"UNMAPPED"))</f>
        <v/>
      </c>
      <c r="D2932" s="36" t="str">
        <f aca="false">IF(Raw_Export!$A2932="","",IFERROR(VLOOKUP(LOWER(TRIM(Raw_Export!D2932)),Maps!$G$2:$I$80,2,FALSE()),"UNMAPPED"))</f>
        <v/>
      </c>
      <c r="E2932" s="36" t="str">
        <f aca="false">IF(Raw_Export!$A2932="","",IFERROR(VLOOKUP(LOWER(TRIM(Raw_Export!D2932)),Maps!$G$2:$I$80,3,FALSE()),"UNMAPPED"))</f>
        <v/>
      </c>
      <c r="F2932" s="36" t="str">
        <f aca="false">IF(Raw_Export!$A2932="","",IFERROR(VALUE(TRIM(Raw_Export!E2932)),0))</f>
        <v/>
      </c>
      <c r="G2932" s="38" t="str">
        <f aca="false">IF(Raw_Export!$A2932="","",IFERROR(VALUE(SUBSTITUTE(SUBSTITUTE(UPPER(TRIM(Raw_Export!F2932)),"KES",""),",","")),0))</f>
        <v/>
      </c>
      <c r="H2932" s="38" t="str">
        <f aca="false">IF(Raw_Export!$A2932="","",F2932*G2932)</f>
        <v/>
      </c>
      <c r="I2932" s="36" t="str">
        <f aca="false">IF(Raw_Export!$A2932="","",IFERROR(VLOOKUP(LOWER(TRIM(Raw_Export!H2932)),Maps!$D$2:$E$12,2,FALSE()),"Other"))</f>
        <v/>
      </c>
      <c r="J2932" s="36" t="str">
        <f aca="false">IF(Raw_Export!$A2932="","",IF(COUNTIF($A$2:A2932,A2932)&gt;1,"Duplicate",""))</f>
        <v/>
      </c>
      <c r="K2932" s="36" t="str">
        <f aca="false">IF(Raw_Export!$A2932="","",IF(J2932="Duplicate","Duplicate",IF(OR(C2932="UNMAPPED",D2932="UNMAPPED"),"Unmapped",IF(F2932=0,"Blank qty",IF(F2932&lt;0,"Return","OK")))))</f>
        <v/>
      </c>
      <c r="L2932" s="36" t="str">
        <f aca="false">IF(Raw_Export!$A2932="","",IF(OR(K2932="OK",K2932="Return"),1,0))</f>
        <v/>
      </c>
      <c r="M2932" s="37" t="str">
        <f aca="false">IF(Raw_Export!$A2932="","",B2932-WEEKDAY(B2932,2)+1)</f>
        <v/>
      </c>
    </row>
    <row r="2933" customFormat="false" ht="15" hidden="false" customHeight="false" outlineLevel="0" collapsed="false">
      <c r="A2933" s="36" t="str">
        <f aca="false">IF(Raw_Export!$A2933="","",TRIM(Raw_Export!A2933))</f>
        <v/>
      </c>
      <c r="B2933" s="37" t="str">
        <f aca="false">IF(Raw_Export!$A2933="","",IF(ISNUMBER(Raw_Export!B2933),Raw_Export!B2933,IF(MID(TRIM(Raw_Export!B2933),5,1)="-",DATE(LEFT(TRIM(Raw_Export!B2933),4),MID(TRIM(Raw_Export!B2933),6,2),RIGHT(TRIM(Raw_Export!B2933),2)),DATE(RIGHT(TRIM(Raw_Export!B2933),4),MATCH(MID(TRIM(Raw_Export!B2933),4,3),{"Jan","Feb","Mar","Apr","May","Jun","Jul","Aug","Sep","Oct","Nov","Dec"},0),LEFT(TRIM(Raw_Export!B2933),2)))))</f>
        <v/>
      </c>
      <c r="C2933" s="36" t="str">
        <f aca="false">IF(Raw_Export!$A2933="","",IFERROR(VLOOKUP(LOWER(TRIM(Raw_Export!C2933)),Maps!$A$2:$B$20,2,FALSE()),"UNMAPPED"))</f>
        <v/>
      </c>
      <c r="D2933" s="36" t="str">
        <f aca="false">IF(Raw_Export!$A2933="","",IFERROR(VLOOKUP(LOWER(TRIM(Raw_Export!D2933)),Maps!$G$2:$I$80,2,FALSE()),"UNMAPPED"))</f>
        <v/>
      </c>
      <c r="E2933" s="36" t="str">
        <f aca="false">IF(Raw_Export!$A2933="","",IFERROR(VLOOKUP(LOWER(TRIM(Raw_Export!D2933)),Maps!$G$2:$I$80,3,FALSE()),"UNMAPPED"))</f>
        <v/>
      </c>
      <c r="F2933" s="36" t="str">
        <f aca="false">IF(Raw_Export!$A2933="","",IFERROR(VALUE(TRIM(Raw_Export!E2933)),0))</f>
        <v/>
      </c>
      <c r="G2933" s="38" t="str">
        <f aca="false">IF(Raw_Export!$A2933="","",IFERROR(VALUE(SUBSTITUTE(SUBSTITUTE(UPPER(TRIM(Raw_Export!F2933)),"KES",""),",","")),0))</f>
        <v/>
      </c>
      <c r="H2933" s="38" t="str">
        <f aca="false">IF(Raw_Export!$A2933="","",F2933*G2933)</f>
        <v/>
      </c>
      <c r="I2933" s="36" t="str">
        <f aca="false">IF(Raw_Export!$A2933="","",IFERROR(VLOOKUP(LOWER(TRIM(Raw_Export!H2933)),Maps!$D$2:$E$12,2,FALSE()),"Other"))</f>
        <v/>
      </c>
      <c r="J2933" s="36" t="str">
        <f aca="false">IF(Raw_Export!$A2933="","",IF(COUNTIF($A$2:A2933,A2933)&gt;1,"Duplicate",""))</f>
        <v/>
      </c>
      <c r="K2933" s="36" t="str">
        <f aca="false">IF(Raw_Export!$A2933="","",IF(J2933="Duplicate","Duplicate",IF(OR(C2933="UNMAPPED",D2933="UNMAPPED"),"Unmapped",IF(F2933=0,"Blank qty",IF(F2933&lt;0,"Return","OK")))))</f>
        <v/>
      </c>
      <c r="L2933" s="36" t="str">
        <f aca="false">IF(Raw_Export!$A2933="","",IF(OR(K2933="OK",K2933="Return"),1,0))</f>
        <v/>
      </c>
      <c r="M2933" s="37" t="str">
        <f aca="false">IF(Raw_Export!$A2933="","",B2933-WEEKDAY(B2933,2)+1)</f>
        <v/>
      </c>
    </row>
    <row r="2934" customFormat="false" ht="15" hidden="false" customHeight="false" outlineLevel="0" collapsed="false">
      <c r="A2934" s="36" t="str">
        <f aca="false">IF(Raw_Export!$A2934="","",TRIM(Raw_Export!A2934))</f>
        <v/>
      </c>
      <c r="B2934" s="37" t="str">
        <f aca="false">IF(Raw_Export!$A2934="","",IF(ISNUMBER(Raw_Export!B2934),Raw_Export!B2934,IF(MID(TRIM(Raw_Export!B2934),5,1)="-",DATE(LEFT(TRIM(Raw_Export!B2934),4),MID(TRIM(Raw_Export!B2934),6,2),RIGHT(TRIM(Raw_Export!B2934),2)),DATE(RIGHT(TRIM(Raw_Export!B2934),4),MATCH(MID(TRIM(Raw_Export!B2934),4,3),{"Jan","Feb","Mar","Apr","May","Jun","Jul","Aug","Sep","Oct","Nov","Dec"},0),LEFT(TRIM(Raw_Export!B2934),2)))))</f>
        <v/>
      </c>
      <c r="C2934" s="36" t="str">
        <f aca="false">IF(Raw_Export!$A2934="","",IFERROR(VLOOKUP(LOWER(TRIM(Raw_Export!C2934)),Maps!$A$2:$B$20,2,FALSE()),"UNMAPPED"))</f>
        <v/>
      </c>
      <c r="D2934" s="36" t="str">
        <f aca="false">IF(Raw_Export!$A2934="","",IFERROR(VLOOKUP(LOWER(TRIM(Raw_Export!D2934)),Maps!$G$2:$I$80,2,FALSE()),"UNMAPPED"))</f>
        <v/>
      </c>
      <c r="E2934" s="36" t="str">
        <f aca="false">IF(Raw_Export!$A2934="","",IFERROR(VLOOKUP(LOWER(TRIM(Raw_Export!D2934)),Maps!$G$2:$I$80,3,FALSE()),"UNMAPPED"))</f>
        <v/>
      </c>
      <c r="F2934" s="36" t="str">
        <f aca="false">IF(Raw_Export!$A2934="","",IFERROR(VALUE(TRIM(Raw_Export!E2934)),0))</f>
        <v/>
      </c>
      <c r="G2934" s="38" t="str">
        <f aca="false">IF(Raw_Export!$A2934="","",IFERROR(VALUE(SUBSTITUTE(SUBSTITUTE(UPPER(TRIM(Raw_Export!F2934)),"KES",""),",","")),0))</f>
        <v/>
      </c>
      <c r="H2934" s="38" t="str">
        <f aca="false">IF(Raw_Export!$A2934="","",F2934*G2934)</f>
        <v/>
      </c>
      <c r="I2934" s="36" t="str">
        <f aca="false">IF(Raw_Export!$A2934="","",IFERROR(VLOOKUP(LOWER(TRIM(Raw_Export!H2934)),Maps!$D$2:$E$12,2,FALSE()),"Other"))</f>
        <v/>
      </c>
      <c r="J2934" s="36" t="str">
        <f aca="false">IF(Raw_Export!$A2934="","",IF(COUNTIF($A$2:A2934,A2934)&gt;1,"Duplicate",""))</f>
        <v/>
      </c>
      <c r="K2934" s="36" t="str">
        <f aca="false">IF(Raw_Export!$A2934="","",IF(J2934="Duplicate","Duplicate",IF(OR(C2934="UNMAPPED",D2934="UNMAPPED"),"Unmapped",IF(F2934=0,"Blank qty",IF(F2934&lt;0,"Return","OK")))))</f>
        <v/>
      </c>
      <c r="L2934" s="36" t="str">
        <f aca="false">IF(Raw_Export!$A2934="","",IF(OR(K2934="OK",K2934="Return"),1,0))</f>
        <v/>
      </c>
      <c r="M2934" s="37" t="str">
        <f aca="false">IF(Raw_Export!$A2934="","",B2934-WEEKDAY(B2934,2)+1)</f>
        <v/>
      </c>
    </row>
    <row r="2935" customFormat="false" ht="15" hidden="false" customHeight="false" outlineLevel="0" collapsed="false">
      <c r="A2935" s="36" t="str">
        <f aca="false">IF(Raw_Export!$A2935="","",TRIM(Raw_Export!A2935))</f>
        <v/>
      </c>
      <c r="B2935" s="37" t="str">
        <f aca="false">IF(Raw_Export!$A2935="","",IF(ISNUMBER(Raw_Export!B2935),Raw_Export!B2935,IF(MID(TRIM(Raw_Export!B2935),5,1)="-",DATE(LEFT(TRIM(Raw_Export!B2935),4),MID(TRIM(Raw_Export!B2935),6,2),RIGHT(TRIM(Raw_Export!B2935),2)),DATE(RIGHT(TRIM(Raw_Export!B2935),4),MATCH(MID(TRIM(Raw_Export!B2935),4,3),{"Jan","Feb","Mar","Apr","May","Jun","Jul","Aug","Sep","Oct","Nov","Dec"},0),LEFT(TRIM(Raw_Export!B2935),2)))))</f>
        <v/>
      </c>
      <c r="C2935" s="36" t="str">
        <f aca="false">IF(Raw_Export!$A2935="","",IFERROR(VLOOKUP(LOWER(TRIM(Raw_Export!C2935)),Maps!$A$2:$B$20,2,FALSE()),"UNMAPPED"))</f>
        <v/>
      </c>
      <c r="D2935" s="36" t="str">
        <f aca="false">IF(Raw_Export!$A2935="","",IFERROR(VLOOKUP(LOWER(TRIM(Raw_Export!D2935)),Maps!$G$2:$I$80,2,FALSE()),"UNMAPPED"))</f>
        <v/>
      </c>
      <c r="E2935" s="36" t="str">
        <f aca="false">IF(Raw_Export!$A2935="","",IFERROR(VLOOKUP(LOWER(TRIM(Raw_Export!D2935)),Maps!$G$2:$I$80,3,FALSE()),"UNMAPPED"))</f>
        <v/>
      </c>
      <c r="F2935" s="36" t="str">
        <f aca="false">IF(Raw_Export!$A2935="","",IFERROR(VALUE(TRIM(Raw_Export!E2935)),0))</f>
        <v/>
      </c>
      <c r="G2935" s="38" t="str">
        <f aca="false">IF(Raw_Export!$A2935="","",IFERROR(VALUE(SUBSTITUTE(SUBSTITUTE(UPPER(TRIM(Raw_Export!F2935)),"KES",""),",","")),0))</f>
        <v/>
      </c>
      <c r="H2935" s="38" t="str">
        <f aca="false">IF(Raw_Export!$A2935="","",F2935*G2935)</f>
        <v/>
      </c>
      <c r="I2935" s="36" t="str">
        <f aca="false">IF(Raw_Export!$A2935="","",IFERROR(VLOOKUP(LOWER(TRIM(Raw_Export!H2935)),Maps!$D$2:$E$12,2,FALSE()),"Other"))</f>
        <v/>
      </c>
      <c r="J2935" s="36" t="str">
        <f aca="false">IF(Raw_Export!$A2935="","",IF(COUNTIF($A$2:A2935,A2935)&gt;1,"Duplicate",""))</f>
        <v/>
      </c>
      <c r="K2935" s="36" t="str">
        <f aca="false">IF(Raw_Export!$A2935="","",IF(J2935="Duplicate","Duplicate",IF(OR(C2935="UNMAPPED",D2935="UNMAPPED"),"Unmapped",IF(F2935=0,"Blank qty",IF(F2935&lt;0,"Return","OK")))))</f>
        <v/>
      </c>
      <c r="L2935" s="36" t="str">
        <f aca="false">IF(Raw_Export!$A2935="","",IF(OR(K2935="OK",K2935="Return"),1,0))</f>
        <v/>
      </c>
      <c r="M2935" s="37" t="str">
        <f aca="false">IF(Raw_Export!$A2935="","",B2935-WEEKDAY(B2935,2)+1)</f>
        <v/>
      </c>
    </row>
    <row r="2936" customFormat="false" ht="15" hidden="false" customHeight="false" outlineLevel="0" collapsed="false">
      <c r="A2936" s="36" t="str">
        <f aca="false">IF(Raw_Export!$A2936="","",TRIM(Raw_Export!A2936))</f>
        <v/>
      </c>
      <c r="B2936" s="37" t="str">
        <f aca="false">IF(Raw_Export!$A2936="","",IF(ISNUMBER(Raw_Export!B2936),Raw_Export!B2936,IF(MID(TRIM(Raw_Export!B2936),5,1)="-",DATE(LEFT(TRIM(Raw_Export!B2936),4),MID(TRIM(Raw_Export!B2936),6,2),RIGHT(TRIM(Raw_Export!B2936),2)),DATE(RIGHT(TRIM(Raw_Export!B2936),4),MATCH(MID(TRIM(Raw_Export!B2936),4,3),{"Jan","Feb","Mar","Apr","May","Jun","Jul","Aug","Sep","Oct","Nov","Dec"},0),LEFT(TRIM(Raw_Export!B2936),2)))))</f>
        <v/>
      </c>
      <c r="C2936" s="36" t="str">
        <f aca="false">IF(Raw_Export!$A2936="","",IFERROR(VLOOKUP(LOWER(TRIM(Raw_Export!C2936)),Maps!$A$2:$B$20,2,FALSE()),"UNMAPPED"))</f>
        <v/>
      </c>
      <c r="D2936" s="36" t="str">
        <f aca="false">IF(Raw_Export!$A2936="","",IFERROR(VLOOKUP(LOWER(TRIM(Raw_Export!D2936)),Maps!$G$2:$I$80,2,FALSE()),"UNMAPPED"))</f>
        <v/>
      </c>
      <c r="E2936" s="36" t="str">
        <f aca="false">IF(Raw_Export!$A2936="","",IFERROR(VLOOKUP(LOWER(TRIM(Raw_Export!D2936)),Maps!$G$2:$I$80,3,FALSE()),"UNMAPPED"))</f>
        <v/>
      </c>
      <c r="F2936" s="36" t="str">
        <f aca="false">IF(Raw_Export!$A2936="","",IFERROR(VALUE(TRIM(Raw_Export!E2936)),0))</f>
        <v/>
      </c>
      <c r="G2936" s="38" t="str">
        <f aca="false">IF(Raw_Export!$A2936="","",IFERROR(VALUE(SUBSTITUTE(SUBSTITUTE(UPPER(TRIM(Raw_Export!F2936)),"KES",""),",","")),0))</f>
        <v/>
      </c>
      <c r="H2936" s="38" t="str">
        <f aca="false">IF(Raw_Export!$A2936="","",F2936*G2936)</f>
        <v/>
      </c>
      <c r="I2936" s="36" t="str">
        <f aca="false">IF(Raw_Export!$A2936="","",IFERROR(VLOOKUP(LOWER(TRIM(Raw_Export!H2936)),Maps!$D$2:$E$12,2,FALSE()),"Other"))</f>
        <v/>
      </c>
      <c r="J2936" s="36" t="str">
        <f aca="false">IF(Raw_Export!$A2936="","",IF(COUNTIF($A$2:A2936,A2936)&gt;1,"Duplicate",""))</f>
        <v/>
      </c>
      <c r="K2936" s="36" t="str">
        <f aca="false">IF(Raw_Export!$A2936="","",IF(J2936="Duplicate","Duplicate",IF(OR(C2936="UNMAPPED",D2936="UNMAPPED"),"Unmapped",IF(F2936=0,"Blank qty",IF(F2936&lt;0,"Return","OK")))))</f>
        <v/>
      </c>
      <c r="L2936" s="36" t="str">
        <f aca="false">IF(Raw_Export!$A2936="","",IF(OR(K2936="OK",K2936="Return"),1,0))</f>
        <v/>
      </c>
      <c r="M2936" s="37" t="str">
        <f aca="false">IF(Raw_Export!$A2936="","",B2936-WEEKDAY(B2936,2)+1)</f>
        <v/>
      </c>
    </row>
    <row r="2937" customFormat="false" ht="15" hidden="false" customHeight="false" outlineLevel="0" collapsed="false">
      <c r="A2937" s="36" t="str">
        <f aca="false">IF(Raw_Export!$A2937="","",TRIM(Raw_Export!A2937))</f>
        <v/>
      </c>
      <c r="B2937" s="37" t="str">
        <f aca="false">IF(Raw_Export!$A2937="","",IF(ISNUMBER(Raw_Export!B2937),Raw_Export!B2937,IF(MID(TRIM(Raw_Export!B2937),5,1)="-",DATE(LEFT(TRIM(Raw_Export!B2937),4),MID(TRIM(Raw_Export!B2937),6,2),RIGHT(TRIM(Raw_Export!B2937),2)),DATE(RIGHT(TRIM(Raw_Export!B2937),4),MATCH(MID(TRIM(Raw_Export!B2937),4,3),{"Jan","Feb","Mar","Apr","May","Jun","Jul","Aug","Sep","Oct","Nov","Dec"},0),LEFT(TRIM(Raw_Export!B2937),2)))))</f>
        <v/>
      </c>
      <c r="C2937" s="36" t="str">
        <f aca="false">IF(Raw_Export!$A2937="","",IFERROR(VLOOKUP(LOWER(TRIM(Raw_Export!C2937)),Maps!$A$2:$B$20,2,FALSE()),"UNMAPPED"))</f>
        <v/>
      </c>
      <c r="D2937" s="36" t="str">
        <f aca="false">IF(Raw_Export!$A2937="","",IFERROR(VLOOKUP(LOWER(TRIM(Raw_Export!D2937)),Maps!$G$2:$I$80,2,FALSE()),"UNMAPPED"))</f>
        <v/>
      </c>
      <c r="E2937" s="36" t="str">
        <f aca="false">IF(Raw_Export!$A2937="","",IFERROR(VLOOKUP(LOWER(TRIM(Raw_Export!D2937)),Maps!$G$2:$I$80,3,FALSE()),"UNMAPPED"))</f>
        <v/>
      </c>
      <c r="F2937" s="36" t="str">
        <f aca="false">IF(Raw_Export!$A2937="","",IFERROR(VALUE(TRIM(Raw_Export!E2937)),0))</f>
        <v/>
      </c>
      <c r="G2937" s="38" t="str">
        <f aca="false">IF(Raw_Export!$A2937="","",IFERROR(VALUE(SUBSTITUTE(SUBSTITUTE(UPPER(TRIM(Raw_Export!F2937)),"KES",""),",","")),0))</f>
        <v/>
      </c>
      <c r="H2937" s="38" t="str">
        <f aca="false">IF(Raw_Export!$A2937="","",F2937*G2937)</f>
        <v/>
      </c>
      <c r="I2937" s="36" t="str">
        <f aca="false">IF(Raw_Export!$A2937="","",IFERROR(VLOOKUP(LOWER(TRIM(Raw_Export!H2937)),Maps!$D$2:$E$12,2,FALSE()),"Other"))</f>
        <v/>
      </c>
      <c r="J2937" s="36" t="str">
        <f aca="false">IF(Raw_Export!$A2937="","",IF(COUNTIF($A$2:A2937,A2937)&gt;1,"Duplicate",""))</f>
        <v/>
      </c>
      <c r="K2937" s="36" t="str">
        <f aca="false">IF(Raw_Export!$A2937="","",IF(J2937="Duplicate","Duplicate",IF(OR(C2937="UNMAPPED",D2937="UNMAPPED"),"Unmapped",IF(F2937=0,"Blank qty",IF(F2937&lt;0,"Return","OK")))))</f>
        <v/>
      </c>
      <c r="L2937" s="36" t="str">
        <f aca="false">IF(Raw_Export!$A2937="","",IF(OR(K2937="OK",K2937="Return"),1,0))</f>
        <v/>
      </c>
      <c r="M2937" s="37" t="str">
        <f aca="false">IF(Raw_Export!$A2937="","",B2937-WEEKDAY(B2937,2)+1)</f>
        <v/>
      </c>
    </row>
    <row r="2938" customFormat="false" ht="15" hidden="false" customHeight="false" outlineLevel="0" collapsed="false">
      <c r="A2938" s="36" t="str">
        <f aca="false">IF(Raw_Export!$A2938="","",TRIM(Raw_Export!A2938))</f>
        <v/>
      </c>
      <c r="B2938" s="37" t="str">
        <f aca="false">IF(Raw_Export!$A2938="","",IF(ISNUMBER(Raw_Export!B2938),Raw_Export!B2938,IF(MID(TRIM(Raw_Export!B2938),5,1)="-",DATE(LEFT(TRIM(Raw_Export!B2938),4),MID(TRIM(Raw_Export!B2938),6,2),RIGHT(TRIM(Raw_Export!B2938),2)),DATE(RIGHT(TRIM(Raw_Export!B2938),4),MATCH(MID(TRIM(Raw_Export!B2938),4,3),{"Jan","Feb","Mar","Apr","May","Jun","Jul","Aug","Sep","Oct","Nov","Dec"},0),LEFT(TRIM(Raw_Export!B2938),2)))))</f>
        <v/>
      </c>
      <c r="C2938" s="36" t="str">
        <f aca="false">IF(Raw_Export!$A2938="","",IFERROR(VLOOKUP(LOWER(TRIM(Raw_Export!C2938)),Maps!$A$2:$B$20,2,FALSE()),"UNMAPPED"))</f>
        <v/>
      </c>
      <c r="D2938" s="36" t="str">
        <f aca="false">IF(Raw_Export!$A2938="","",IFERROR(VLOOKUP(LOWER(TRIM(Raw_Export!D2938)),Maps!$G$2:$I$80,2,FALSE()),"UNMAPPED"))</f>
        <v/>
      </c>
      <c r="E2938" s="36" t="str">
        <f aca="false">IF(Raw_Export!$A2938="","",IFERROR(VLOOKUP(LOWER(TRIM(Raw_Export!D2938)),Maps!$G$2:$I$80,3,FALSE()),"UNMAPPED"))</f>
        <v/>
      </c>
      <c r="F2938" s="36" t="str">
        <f aca="false">IF(Raw_Export!$A2938="","",IFERROR(VALUE(TRIM(Raw_Export!E2938)),0))</f>
        <v/>
      </c>
      <c r="G2938" s="38" t="str">
        <f aca="false">IF(Raw_Export!$A2938="","",IFERROR(VALUE(SUBSTITUTE(SUBSTITUTE(UPPER(TRIM(Raw_Export!F2938)),"KES",""),",","")),0))</f>
        <v/>
      </c>
      <c r="H2938" s="38" t="str">
        <f aca="false">IF(Raw_Export!$A2938="","",F2938*G2938)</f>
        <v/>
      </c>
      <c r="I2938" s="36" t="str">
        <f aca="false">IF(Raw_Export!$A2938="","",IFERROR(VLOOKUP(LOWER(TRIM(Raw_Export!H2938)),Maps!$D$2:$E$12,2,FALSE()),"Other"))</f>
        <v/>
      </c>
      <c r="J2938" s="36" t="str">
        <f aca="false">IF(Raw_Export!$A2938="","",IF(COUNTIF($A$2:A2938,A2938)&gt;1,"Duplicate",""))</f>
        <v/>
      </c>
      <c r="K2938" s="36" t="str">
        <f aca="false">IF(Raw_Export!$A2938="","",IF(J2938="Duplicate","Duplicate",IF(OR(C2938="UNMAPPED",D2938="UNMAPPED"),"Unmapped",IF(F2938=0,"Blank qty",IF(F2938&lt;0,"Return","OK")))))</f>
        <v/>
      </c>
      <c r="L2938" s="36" t="str">
        <f aca="false">IF(Raw_Export!$A2938="","",IF(OR(K2938="OK",K2938="Return"),1,0))</f>
        <v/>
      </c>
      <c r="M2938" s="37" t="str">
        <f aca="false">IF(Raw_Export!$A2938="","",B2938-WEEKDAY(B2938,2)+1)</f>
        <v/>
      </c>
    </row>
    <row r="2939" customFormat="false" ht="15" hidden="false" customHeight="false" outlineLevel="0" collapsed="false">
      <c r="A2939" s="36" t="str">
        <f aca="false">IF(Raw_Export!$A2939="","",TRIM(Raw_Export!A2939))</f>
        <v/>
      </c>
      <c r="B2939" s="37" t="str">
        <f aca="false">IF(Raw_Export!$A2939="","",IF(ISNUMBER(Raw_Export!B2939),Raw_Export!B2939,IF(MID(TRIM(Raw_Export!B2939),5,1)="-",DATE(LEFT(TRIM(Raw_Export!B2939),4),MID(TRIM(Raw_Export!B2939),6,2),RIGHT(TRIM(Raw_Export!B2939),2)),DATE(RIGHT(TRIM(Raw_Export!B2939),4),MATCH(MID(TRIM(Raw_Export!B2939),4,3),{"Jan","Feb","Mar","Apr","May","Jun","Jul","Aug","Sep","Oct","Nov","Dec"},0),LEFT(TRIM(Raw_Export!B2939),2)))))</f>
        <v/>
      </c>
      <c r="C2939" s="36" t="str">
        <f aca="false">IF(Raw_Export!$A2939="","",IFERROR(VLOOKUP(LOWER(TRIM(Raw_Export!C2939)),Maps!$A$2:$B$20,2,FALSE()),"UNMAPPED"))</f>
        <v/>
      </c>
      <c r="D2939" s="36" t="str">
        <f aca="false">IF(Raw_Export!$A2939="","",IFERROR(VLOOKUP(LOWER(TRIM(Raw_Export!D2939)),Maps!$G$2:$I$80,2,FALSE()),"UNMAPPED"))</f>
        <v/>
      </c>
      <c r="E2939" s="36" t="str">
        <f aca="false">IF(Raw_Export!$A2939="","",IFERROR(VLOOKUP(LOWER(TRIM(Raw_Export!D2939)),Maps!$G$2:$I$80,3,FALSE()),"UNMAPPED"))</f>
        <v/>
      </c>
      <c r="F2939" s="36" t="str">
        <f aca="false">IF(Raw_Export!$A2939="","",IFERROR(VALUE(TRIM(Raw_Export!E2939)),0))</f>
        <v/>
      </c>
      <c r="G2939" s="38" t="str">
        <f aca="false">IF(Raw_Export!$A2939="","",IFERROR(VALUE(SUBSTITUTE(SUBSTITUTE(UPPER(TRIM(Raw_Export!F2939)),"KES",""),",","")),0))</f>
        <v/>
      </c>
      <c r="H2939" s="38" t="str">
        <f aca="false">IF(Raw_Export!$A2939="","",F2939*G2939)</f>
        <v/>
      </c>
      <c r="I2939" s="36" t="str">
        <f aca="false">IF(Raw_Export!$A2939="","",IFERROR(VLOOKUP(LOWER(TRIM(Raw_Export!H2939)),Maps!$D$2:$E$12,2,FALSE()),"Other"))</f>
        <v/>
      </c>
      <c r="J2939" s="36" t="str">
        <f aca="false">IF(Raw_Export!$A2939="","",IF(COUNTIF($A$2:A2939,A2939)&gt;1,"Duplicate",""))</f>
        <v/>
      </c>
      <c r="K2939" s="36" t="str">
        <f aca="false">IF(Raw_Export!$A2939="","",IF(J2939="Duplicate","Duplicate",IF(OR(C2939="UNMAPPED",D2939="UNMAPPED"),"Unmapped",IF(F2939=0,"Blank qty",IF(F2939&lt;0,"Return","OK")))))</f>
        <v/>
      </c>
      <c r="L2939" s="36" t="str">
        <f aca="false">IF(Raw_Export!$A2939="","",IF(OR(K2939="OK",K2939="Return"),1,0))</f>
        <v/>
      </c>
      <c r="M2939" s="37" t="str">
        <f aca="false">IF(Raw_Export!$A2939="","",B2939-WEEKDAY(B2939,2)+1)</f>
        <v/>
      </c>
    </row>
    <row r="2940" customFormat="false" ht="15" hidden="false" customHeight="false" outlineLevel="0" collapsed="false">
      <c r="A2940" s="36" t="str">
        <f aca="false">IF(Raw_Export!$A2940="","",TRIM(Raw_Export!A2940))</f>
        <v/>
      </c>
      <c r="B2940" s="37" t="str">
        <f aca="false">IF(Raw_Export!$A2940="","",IF(ISNUMBER(Raw_Export!B2940),Raw_Export!B2940,IF(MID(TRIM(Raw_Export!B2940),5,1)="-",DATE(LEFT(TRIM(Raw_Export!B2940),4),MID(TRIM(Raw_Export!B2940),6,2),RIGHT(TRIM(Raw_Export!B2940),2)),DATE(RIGHT(TRIM(Raw_Export!B2940),4),MATCH(MID(TRIM(Raw_Export!B2940),4,3),{"Jan","Feb","Mar","Apr","May","Jun","Jul","Aug","Sep","Oct","Nov","Dec"},0),LEFT(TRIM(Raw_Export!B2940),2)))))</f>
        <v/>
      </c>
      <c r="C2940" s="36" t="str">
        <f aca="false">IF(Raw_Export!$A2940="","",IFERROR(VLOOKUP(LOWER(TRIM(Raw_Export!C2940)),Maps!$A$2:$B$20,2,FALSE()),"UNMAPPED"))</f>
        <v/>
      </c>
      <c r="D2940" s="36" t="str">
        <f aca="false">IF(Raw_Export!$A2940="","",IFERROR(VLOOKUP(LOWER(TRIM(Raw_Export!D2940)),Maps!$G$2:$I$80,2,FALSE()),"UNMAPPED"))</f>
        <v/>
      </c>
      <c r="E2940" s="36" t="str">
        <f aca="false">IF(Raw_Export!$A2940="","",IFERROR(VLOOKUP(LOWER(TRIM(Raw_Export!D2940)),Maps!$G$2:$I$80,3,FALSE()),"UNMAPPED"))</f>
        <v/>
      </c>
      <c r="F2940" s="36" t="str">
        <f aca="false">IF(Raw_Export!$A2940="","",IFERROR(VALUE(TRIM(Raw_Export!E2940)),0))</f>
        <v/>
      </c>
      <c r="G2940" s="38" t="str">
        <f aca="false">IF(Raw_Export!$A2940="","",IFERROR(VALUE(SUBSTITUTE(SUBSTITUTE(UPPER(TRIM(Raw_Export!F2940)),"KES",""),",","")),0))</f>
        <v/>
      </c>
      <c r="H2940" s="38" t="str">
        <f aca="false">IF(Raw_Export!$A2940="","",F2940*G2940)</f>
        <v/>
      </c>
      <c r="I2940" s="36" t="str">
        <f aca="false">IF(Raw_Export!$A2940="","",IFERROR(VLOOKUP(LOWER(TRIM(Raw_Export!H2940)),Maps!$D$2:$E$12,2,FALSE()),"Other"))</f>
        <v/>
      </c>
      <c r="J2940" s="36" t="str">
        <f aca="false">IF(Raw_Export!$A2940="","",IF(COUNTIF($A$2:A2940,A2940)&gt;1,"Duplicate",""))</f>
        <v/>
      </c>
      <c r="K2940" s="36" t="str">
        <f aca="false">IF(Raw_Export!$A2940="","",IF(J2940="Duplicate","Duplicate",IF(OR(C2940="UNMAPPED",D2940="UNMAPPED"),"Unmapped",IF(F2940=0,"Blank qty",IF(F2940&lt;0,"Return","OK")))))</f>
        <v/>
      </c>
      <c r="L2940" s="36" t="str">
        <f aca="false">IF(Raw_Export!$A2940="","",IF(OR(K2940="OK",K2940="Return"),1,0))</f>
        <v/>
      </c>
      <c r="M2940" s="37" t="str">
        <f aca="false">IF(Raw_Export!$A2940="","",B2940-WEEKDAY(B2940,2)+1)</f>
        <v/>
      </c>
    </row>
    <row r="2941" customFormat="false" ht="15" hidden="false" customHeight="false" outlineLevel="0" collapsed="false">
      <c r="A2941" s="36" t="str">
        <f aca="false">IF(Raw_Export!$A2941="","",TRIM(Raw_Export!A2941))</f>
        <v/>
      </c>
      <c r="B2941" s="37" t="str">
        <f aca="false">IF(Raw_Export!$A2941="","",IF(ISNUMBER(Raw_Export!B2941),Raw_Export!B2941,IF(MID(TRIM(Raw_Export!B2941),5,1)="-",DATE(LEFT(TRIM(Raw_Export!B2941),4),MID(TRIM(Raw_Export!B2941),6,2),RIGHT(TRIM(Raw_Export!B2941),2)),DATE(RIGHT(TRIM(Raw_Export!B2941),4),MATCH(MID(TRIM(Raw_Export!B2941),4,3),{"Jan","Feb","Mar","Apr","May","Jun","Jul","Aug","Sep","Oct","Nov","Dec"},0),LEFT(TRIM(Raw_Export!B2941),2)))))</f>
        <v/>
      </c>
      <c r="C2941" s="36" t="str">
        <f aca="false">IF(Raw_Export!$A2941="","",IFERROR(VLOOKUP(LOWER(TRIM(Raw_Export!C2941)),Maps!$A$2:$B$20,2,FALSE()),"UNMAPPED"))</f>
        <v/>
      </c>
      <c r="D2941" s="36" t="str">
        <f aca="false">IF(Raw_Export!$A2941="","",IFERROR(VLOOKUP(LOWER(TRIM(Raw_Export!D2941)),Maps!$G$2:$I$80,2,FALSE()),"UNMAPPED"))</f>
        <v/>
      </c>
      <c r="E2941" s="36" t="str">
        <f aca="false">IF(Raw_Export!$A2941="","",IFERROR(VLOOKUP(LOWER(TRIM(Raw_Export!D2941)),Maps!$G$2:$I$80,3,FALSE()),"UNMAPPED"))</f>
        <v/>
      </c>
      <c r="F2941" s="36" t="str">
        <f aca="false">IF(Raw_Export!$A2941="","",IFERROR(VALUE(TRIM(Raw_Export!E2941)),0))</f>
        <v/>
      </c>
      <c r="G2941" s="38" t="str">
        <f aca="false">IF(Raw_Export!$A2941="","",IFERROR(VALUE(SUBSTITUTE(SUBSTITUTE(UPPER(TRIM(Raw_Export!F2941)),"KES",""),",","")),0))</f>
        <v/>
      </c>
      <c r="H2941" s="38" t="str">
        <f aca="false">IF(Raw_Export!$A2941="","",F2941*G2941)</f>
        <v/>
      </c>
      <c r="I2941" s="36" t="str">
        <f aca="false">IF(Raw_Export!$A2941="","",IFERROR(VLOOKUP(LOWER(TRIM(Raw_Export!H2941)),Maps!$D$2:$E$12,2,FALSE()),"Other"))</f>
        <v/>
      </c>
      <c r="J2941" s="36" t="str">
        <f aca="false">IF(Raw_Export!$A2941="","",IF(COUNTIF($A$2:A2941,A2941)&gt;1,"Duplicate",""))</f>
        <v/>
      </c>
      <c r="K2941" s="36" t="str">
        <f aca="false">IF(Raw_Export!$A2941="","",IF(J2941="Duplicate","Duplicate",IF(OR(C2941="UNMAPPED",D2941="UNMAPPED"),"Unmapped",IF(F2941=0,"Blank qty",IF(F2941&lt;0,"Return","OK")))))</f>
        <v/>
      </c>
      <c r="L2941" s="36" t="str">
        <f aca="false">IF(Raw_Export!$A2941="","",IF(OR(K2941="OK",K2941="Return"),1,0))</f>
        <v/>
      </c>
      <c r="M2941" s="37" t="str">
        <f aca="false">IF(Raw_Export!$A2941="","",B2941-WEEKDAY(B2941,2)+1)</f>
        <v/>
      </c>
    </row>
    <row r="2942" customFormat="false" ht="15" hidden="false" customHeight="false" outlineLevel="0" collapsed="false">
      <c r="A2942" s="36" t="str">
        <f aca="false">IF(Raw_Export!$A2942="","",TRIM(Raw_Export!A2942))</f>
        <v/>
      </c>
      <c r="B2942" s="37" t="str">
        <f aca="false">IF(Raw_Export!$A2942="","",IF(ISNUMBER(Raw_Export!B2942),Raw_Export!B2942,IF(MID(TRIM(Raw_Export!B2942),5,1)="-",DATE(LEFT(TRIM(Raw_Export!B2942),4),MID(TRIM(Raw_Export!B2942),6,2),RIGHT(TRIM(Raw_Export!B2942),2)),DATE(RIGHT(TRIM(Raw_Export!B2942),4),MATCH(MID(TRIM(Raw_Export!B2942),4,3),{"Jan","Feb","Mar","Apr","May","Jun","Jul","Aug","Sep","Oct","Nov","Dec"},0),LEFT(TRIM(Raw_Export!B2942),2)))))</f>
        <v/>
      </c>
      <c r="C2942" s="36" t="str">
        <f aca="false">IF(Raw_Export!$A2942="","",IFERROR(VLOOKUP(LOWER(TRIM(Raw_Export!C2942)),Maps!$A$2:$B$20,2,FALSE()),"UNMAPPED"))</f>
        <v/>
      </c>
      <c r="D2942" s="36" t="str">
        <f aca="false">IF(Raw_Export!$A2942="","",IFERROR(VLOOKUP(LOWER(TRIM(Raw_Export!D2942)),Maps!$G$2:$I$80,2,FALSE()),"UNMAPPED"))</f>
        <v/>
      </c>
      <c r="E2942" s="36" t="str">
        <f aca="false">IF(Raw_Export!$A2942="","",IFERROR(VLOOKUP(LOWER(TRIM(Raw_Export!D2942)),Maps!$G$2:$I$80,3,FALSE()),"UNMAPPED"))</f>
        <v/>
      </c>
      <c r="F2942" s="36" t="str">
        <f aca="false">IF(Raw_Export!$A2942="","",IFERROR(VALUE(TRIM(Raw_Export!E2942)),0))</f>
        <v/>
      </c>
      <c r="G2942" s="38" t="str">
        <f aca="false">IF(Raw_Export!$A2942="","",IFERROR(VALUE(SUBSTITUTE(SUBSTITUTE(UPPER(TRIM(Raw_Export!F2942)),"KES",""),",","")),0))</f>
        <v/>
      </c>
      <c r="H2942" s="38" t="str">
        <f aca="false">IF(Raw_Export!$A2942="","",F2942*G2942)</f>
        <v/>
      </c>
      <c r="I2942" s="36" t="str">
        <f aca="false">IF(Raw_Export!$A2942="","",IFERROR(VLOOKUP(LOWER(TRIM(Raw_Export!H2942)),Maps!$D$2:$E$12,2,FALSE()),"Other"))</f>
        <v/>
      </c>
      <c r="J2942" s="36" t="str">
        <f aca="false">IF(Raw_Export!$A2942="","",IF(COUNTIF($A$2:A2942,A2942)&gt;1,"Duplicate",""))</f>
        <v/>
      </c>
      <c r="K2942" s="36" t="str">
        <f aca="false">IF(Raw_Export!$A2942="","",IF(J2942="Duplicate","Duplicate",IF(OR(C2942="UNMAPPED",D2942="UNMAPPED"),"Unmapped",IF(F2942=0,"Blank qty",IF(F2942&lt;0,"Return","OK")))))</f>
        <v/>
      </c>
      <c r="L2942" s="36" t="str">
        <f aca="false">IF(Raw_Export!$A2942="","",IF(OR(K2942="OK",K2942="Return"),1,0))</f>
        <v/>
      </c>
      <c r="M2942" s="37" t="str">
        <f aca="false">IF(Raw_Export!$A2942="","",B2942-WEEKDAY(B2942,2)+1)</f>
        <v/>
      </c>
    </row>
    <row r="2943" customFormat="false" ht="15" hidden="false" customHeight="false" outlineLevel="0" collapsed="false">
      <c r="A2943" s="36" t="str">
        <f aca="false">IF(Raw_Export!$A2943="","",TRIM(Raw_Export!A2943))</f>
        <v/>
      </c>
      <c r="B2943" s="37" t="str">
        <f aca="false">IF(Raw_Export!$A2943="","",IF(ISNUMBER(Raw_Export!B2943),Raw_Export!B2943,IF(MID(TRIM(Raw_Export!B2943),5,1)="-",DATE(LEFT(TRIM(Raw_Export!B2943),4),MID(TRIM(Raw_Export!B2943),6,2),RIGHT(TRIM(Raw_Export!B2943),2)),DATE(RIGHT(TRIM(Raw_Export!B2943),4),MATCH(MID(TRIM(Raw_Export!B2943),4,3),{"Jan","Feb","Mar","Apr","May","Jun","Jul","Aug","Sep","Oct","Nov","Dec"},0),LEFT(TRIM(Raw_Export!B2943),2)))))</f>
        <v/>
      </c>
      <c r="C2943" s="36" t="str">
        <f aca="false">IF(Raw_Export!$A2943="","",IFERROR(VLOOKUP(LOWER(TRIM(Raw_Export!C2943)),Maps!$A$2:$B$20,2,FALSE()),"UNMAPPED"))</f>
        <v/>
      </c>
      <c r="D2943" s="36" t="str">
        <f aca="false">IF(Raw_Export!$A2943="","",IFERROR(VLOOKUP(LOWER(TRIM(Raw_Export!D2943)),Maps!$G$2:$I$80,2,FALSE()),"UNMAPPED"))</f>
        <v/>
      </c>
      <c r="E2943" s="36" t="str">
        <f aca="false">IF(Raw_Export!$A2943="","",IFERROR(VLOOKUP(LOWER(TRIM(Raw_Export!D2943)),Maps!$G$2:$I$80,3,FALSE()),"UNMAPPED"))</f>
        <v/>
      </c>
      <c r="F2943" s="36" t="str">
        <f aca="false">IF(Raw_Export!$A2943="","",IFERROR(VALUE(TRIM(Raw_Export!E2943)),0))</f>
        <v/>
      </c>
      <c r="G2943" s="38" t="str">
        <f aca="false">IF(Raw_Export!$A2943="","",IFERROR(VALUE(SUBSTITUTE(SUBSTITUTE(UPPER(TRIM(Raw_Export!F2943)),"KES",""),",","")),0))</f>
        <v/>
      </c>
      <c r="H2943" s="38" t="str">
        <f aca="false">IF(Raw_Export!$A2943="","",F2943*G2943)</f>
        <v/>
      </c>
      <c r="I2943" s="36" t="str">
        <f aca="false">IF(Raw_Export!$A2943="","",IFERROR(VLOOKUP(LOWER(TRIM(Raw_Export!H2943)),Maps!$D$2:$E$12,2,FALSE()),"Other"))</f>
        <v/>
      </c>
      <c r="J2943" s="36" t="str">
        <f aca="false">IF(Raw_Export!$A2943="","",IF(COUNTIF($A$2:A2943,A2943)&gt;1,"Duplicate",""))</f>
        <v/>
      </c>
      <c r="K2943" s="36" t="str">
        <f aca="false">IF(Raw_Export!$A2943="","",IF(J2943="Duplicate","Duplicate",IF(OR(C2943="UNMAPPED",D2943="UNMAPPED"),"Unmapped",IF(F2943=0,"Blank qty",IF(F2943&lt;0,"Return","OK")))))</f>
        <v/>
      </c>
      <c r="L2943" s="36" t="str">
        <f aca="false">IF(Raw_Export!$A2943="","",IF(OR(K2943="OK",K2943="Return"),1,0))</f>
        <v/>
      </c>
      <c r="M2943" s="37" t="str">
        <f aca="false">IF(Raw_Export!$A2943="","",B2943-WEEKDAY(B2943,2)+1)</f>
        <v/>
      </c>
    </row>
    <row r="2944" customFormat="false" ht="15" hidden="false" customHeight="false" outlineLevel="0" collapsed="false">
      <c r="A2944" s="36" t="str">
        <f aca="false">IF(Raw_Export!$A2944="","",TRIM(Raw_Export!A2944))</f>
        <v/>
      </c>
      <c r="B2944" s="37" t="str">
        <f aca="false">IF(Raw_Export!$A2944="","",IF(ISNUMBER(Raw_Export!B2944),Raw_Export!B2944,IF(MID(TRIM(Raw_Export!B2944),5,1)="-",DATE(LEFT(TRIM(Raw_Export!B2944),4),MID(TRIM(Raw_Export!B2944),6,2),RIGHT(TRIM(Raw_Export!B2944),2)),DATE(RIGHT(TRIM(Raw_Export!B2944),4),MATCH(MID(TRIM(Raw_Export!B2944),4,3),{"Jan","Feb","Mar","Apr","May","Jun","Jul","Aug","Sep","Oct","Nov","Dec"},0),LEFT(TRIM(Raw_Export!B2944),2)))))</f>
        <v/>
      </c>
      <c r="C2944" s="36" t="str">
        <f aca="false">IF(Raw_Export!$A2944="","",IFERROR(VLOOKUP(LOWER(TRIM(Raw_Export!C2944)),Maps!$A$2:$B$20,2,FALSE()),"UNMAPPED"))</f>
        <v/>
      </c>
      <c r="D2944" s="36" t="str">
        <f aca="false">IF(Raw_Export!$A2944="","",IFERROR(VLOOKUP(LOWER(TRIM(Raw_Export!D2944)),Maps!$G$2:$I$80,2,FALSE()),"UNMAPPED"))</f>
        <v/>
      </c>
      <c r="E2944" s="36" t="str">
        <f aca="false">IF(Raw_Export!$A2944="","",IFERROR(VLOOKUP(LOWER(TRIM(Raw_Export!D2944)),Maps!$G$2:$I$80,3,FALSE()),"UNMAPPED"))</f>
        <v/>
      </c>
      <c r="F2944" s="36" t="str">
        <f aca="false">IF(Raw_Export!$A2944="","",IFERROR(VALUE(TRIM(Raw_Export!E2944)),0))</f>
        <v/>
      </c>
      <c r="G2944" s="38" t="str">
        <f aca="false">IF(Raw_Export!$A2944="","",IFERROR(VALUE(SUBSTITUTE(SUBSTITUTE(UPPER(TRIM(Raw_Export!F2944)),"KES",""),",","")),0))</f>
        <v/>
      </c>
      <c r="H2944" s="38" t="str">
        <f aca="false">IF(Raw_Export!$A2944="","",F2944*G2944)</f>
        <v/>
      </c>
      <c r="I2944" s="36" t="str">
        <f aca="false">IF(Raw_Export!$A2944="","",IFERROR(VLOOKUP(LOWER(TRIM(Raw_Export!H2944)),Maps!$D$2:$E$12,2,FALSE()),"Other"))</f>
        <v/>
      </c>
      <c r="J2944" s="36" t="str">
        <f aca="false">IF(Raw_Export!$A2944="","",IF(COUNTIF($A$2:A2944,A2944)&gt;1,"Duplicate",""))</f>
        <v/>
      </c>
      <c r="K2944" s="36" t="str">
        <f aca="false">IF(Raw_Export!$A2944="","",IF(J2944="Duplicate","Duplicate",IF(OR(C2944="UNMAPPED",D2944="UNMAPPED"),"Unmapped",IF(F2944=0,"Blank qty",IF(F2944&lt;0,"Return","OK")))))</f>
        <v/>
      </c>
      <c r="L2944" s="36" t="str">
        <f aca="false">IF(Raw_Export!$A2944="","",IF(OR(K2944="OK",K2944="Return"),1,0))</f>
        <v/>
      </c>
      <c r="M2944" s="37" t="str">
        <f aca="false">IF(Raw_Export!$A2944="","",B2944-WEEKDAY(B2944,2)+1)</f>
        <v/>
      </c>
    </row>
    <row r="2945" customFormat="false" ht="15" hidden="false" customHeight="false" outlineLevel="0" collapsed="false">
      <c r="A2945" s="36" t="str">
        <f aca="false">IF(Raw_Export!$A2945="","",TRIM(Raw_Export!A2945))</f>
        <v/>
      </c>
      <c r="B2945" s="37" t="str">
        <f aca="false">IF(Raw_Export!$A2945="","",IF(ISNUMBER(Raw_Export!B2945),Raw_Export!B2945,IF(MID(TRIM(Raw_Export!B2945),5,1)="-",DATE(LEFT(TRIM(Raw_Export!B2945),4),MID(TRIM(Raw_Export!B2945),6,2),RIGHT(TRIM(Raw_Export!B2945),2)),DATE(RIGHT(TRIM(Raw_Export!B2945),4),MATCH(MID(TRIM(Raw_Export!B2945),4,3),{"Jan","Feb","Mar","Apr","May","Jun","Jul","Aug","Sep","Oct","Nov","Dec"},0),LEFT(TRIM(Raw_Export!B2945),2)))))</f>
        <v/>
      </c>
      <c r="C2945" s="36" t="str">
        <f aca="false">IF(Raw_Export!$A2945="","",IFERROR(VLOOKUP(LOWER(TRIM(Raw_Export!C2945)),Maps!$A$2:$B$20,2,FALSE()),"UNMAPPED"))</f>
        <v/>
      </c>
      <c r="D2945" s="36" t="str">
        <f aca="false">IF(Raw_Export!$A2945="","",IFERROR(VLOOKUP(LOWER(TRIM(Raw_Export!D2945)),Maps!$G$2:$I$80,2,FALSE()),"UNMAPPED"))</f>
        <v/>
      </c>
      <c r="E2945" s="36" t="str">
        <f aca="false">IF(Raw_Export!$A2945="","",IFERROR(VLOOKUP(LOWER(TRIM(Raw_Export!D2945)),Maps!$G$2:$I$80,3,FALSE()),"UNMAPPED"))</f>
        <v/>
      </c>
      <c r="F2945" s="36" t="str">
        <f aca="false">IF(Raw_Export!$A2945="","",IFERROR(VALUE(TRIM(Raw_Export!E2945)),0))</f>
        <v/>
      </c>
      <c r="G2945" s="38" t="str">
        <f aca="false">IF(Raw_Export!$A2945="","",IFERROR(VALUE(SUBSTITUTE(SUBSTITUTE(UPPER(TRIM(Raw_Export!F2945)),"KES",""),",","")),0))</f>
        <v/>
      </c>
      <c r="H2945" s="38" t="str">
        <f aca="false">IF(Raw_Export!$A2945="","",F2945*G2945)</f>
        <v/>
      </c>
      <c r="I2945" s="36" t="str">
        <f aca="false">IF(Raw_Export!$A2945="","",IFERROR(VLOOKUP(LOWER(TRIM(Raw_Export!H2945)),Maps!$D$2:$E$12,2,FALSE()),"Other"))</f>
        <v/>
      </c>
      <c r="J2945" s="36" t="str">
        <f aca="false">IF(Raw_Export!$A2945="","",IF(COUNTIF($A$2:A2945,A2945)&gt;1,"Duplicate",""))</f>
        <v/>
      </c>
      <c r="K2945" s="36" t="str">
        <f aca="false">IF(Raw_Export!$A2945="","",IF(J2945="Duplicate","Duplicate",IF(OR(C2945="UNMAPPED",D2945="UNMAPPED"),"Unmapped",IF(F2945=0,"Blank qty",IF(F2945&lt;0,"Return","OK")))))</f>
        <v/>
      </c>
      <c r="L2945" s="36" t="str">
        <f aca="false">IF(Raw_Export!$A2945="","",IF(OR(K2945="OK",K2945="Return"),1,0))</f>
        <v/>
      </c>
      <c r="M2945" s="37" t="str">
        <f aca="false">IF(Raw_Export!$A2945="","",B2945-WEEKDAY(B2945,2)+1)</f>
        <v/>
      </c>
    </row>
    <row r="2946" customFormat="false" ht="15" hidden="false" customHeight="false" outlineLevel="0" collapsed="false">
      <c r="A2946" s="36" t="str">
        <f aca="false">IF(Raw_Export!$A2946="","",TRIM(Raw_Export!A2946))</f>
        <v/>
      </c>
      <c r="B2946" s="37" t="str">
        <f aca="false">IF(Raw_Export!$A2946="","",IF(ISNUMBER(Raw_Export!B2946),Raw_Export!B2946,IF(MID(TRIM(Raw_Export!B2946),5,1)="-",DATE(LEFT(TRIM(Raw_Export!B2946),4),MID(TRIM(Raw_Export!B2946),6,2),RIGHT(TRIM(Raw_Export!B2946),2)),DATE(RIGHT(TRIM(Raw_Export!B2946),4),MATCH(MID(TRIM(Raw_Export!B2946),4,3),{"Jan","Feb","Mar","Apr","May","Jun","Jul","Aug","Sep","Oct","Nov","Dec"},0),LEFT(TRIM(Raw_Export!B2946),2)))))</f>
        <v/>
      </c>
      <c r="C2946" s="36" t="str">
        <f aca="false">IF(Raw_Export!$A2946="","",IFERROR(VLOOKUP(LOWER(TRIM(Raw_Export!C2946)),Maps!$A$2:$B$20,2,FALSE()),"UNMAPPED"))</f>
        <v/>
      </c>
      <c r="D2946" s="36" t="str">
        <f aca="false">IF(Raw_Export!$A2946="","",IFERROR(VLOOKUP(LOWER(TRIM(Raw_Export!D2946)),Maps!$G$2:$I$80,2,FALSE()),"UNMAPPED"))</f>
        <v/>
      </c>
      <c r="E2946" s="36" t="str">
        <f aca="false">IF(Raw_Export!$A2946="","",IFERROR(VLOOKUP(LOWER(TRIM(Raw_Export!D2946)),Maps!$G$2:$I$80,3,FALSE()),"UNMAPPED"))</f>
        <v/>
      </c>
      <c r="F2946" s="36" t="str">
        <f aca="false">IF(Raw_Export!$A2946="","",IFERROR(VALUE(TRIM(Raw_Export!E2946)),0))</f>
        <v/>
      </c>
      <c r="G2946" s="38" t="str">
        <f aca="false">IF(Raw_Export!$A2946="","",IFERROR(VALUE(SUBSTITUTE(SUBSTITUTE(UPPER(TRIM(Raw_Export!F2946)),"KES",""),",","")),0))</f>
        <v/>
      </c>
      <c r="H2946" s="38" t="str">
        <f aca="false">IF(Raw_Export!$A2946="","",F2946*G2946)</f>
        <v/>
      </c>
      <c r="I2946" s="36" t="str">
        <f aca="false">IF(Raw_Export!$A2946="","",IFERROR(VLOOKUP(LOWER(TRIM(Raw_Export!H2946)),Maps!$D$2:$E$12,2,FALSE()),"Other"))</f>
        <v/>
      </c>
      <c r="J2946" s="36" t="str">
        <f aca="false">IF(Raw_Export!$A2946="","",IF(COUNTIF($A$2:A2946,A2946)&gt;1,"Duplicate",""))</f>
        <v/>
      </c>
      <c r="K2946" s="36" t="str">
        <f aca="false">IF(Raw_Export!$A2946="","",IF(J2946="Duplicate","Duplicate",IF(OR(C2946="UNMAPPED",D2946="UNMAPPED"),"Unmapped",IF(F2946=0,"Blank qty",IF(F2946&lt;0,"Return","OK")))))</f>
        <v/>
      </c>
      <c r="L2946" s="36" t="str">
        <f aca="false">IF(Raw_Export!$A2946="","",IF(OR(K2946="OK",K2946="Return"),1,0))</f>
        <v/>
      </c>
      <c r="M2946" s="37" t="str">
        <f aca="false">IF(Raw_Export!$A2946="","",B2946-WEEKDAY(B2946,2)+1)</f>
        <v/>
      </c>
    </row>
    <row r="2947" customFormat="false" ht="15" hidden="false" customHeight="false" outlineLevel="0" collapsed="false">
      <c r="A2947" s="36" t="str">
        <f aca="false">IF(Raw_Export!$A2947="","",TRIM(Raw_Export!A2947))</f>
        <v/>
      </c>
      <c r="B2947" s="37" t="str">
        <f aca="false">IF(Raw_Export!$A2947="","",IF(ISNUMBER(Raw_Export!B2947),Raw_Export!B2947,IF(MID(TRIM(Raw_Export!B2947),5,1)="-",DATE(LEFT(TRIM(Raw_Export!B2947),4),MID(TRIM(Raw_Export!B2947),6,2),RIGHT(TRIM(Raw_Export!B2947),2)),DATE(RIGHT(TRIM(Raw_Export!B2947),4),MATCH(MID(TRIM(Raw_Export!B2947),4,3),{"Jan","Feb","Mar","Apr","May","Jun","Jul","Aug","Sep","Oct","Nov","Dec"},0),LEFT(TRIM(Raw_Export!B2947),2)))))</f>
        <v/>
      </c>
      <c r="C2947" s="36" t="str">
        <f aca="false">IF(Raw_Export!$A2947="","",IFERROR(VLOOKUP(LOWER(TRIM(Raw_Export!C2947)),Maps!$A$2:$B$20,2,FALSE()),"UNMAPPED"))</f>
        <v/>
      </c>
      <c r="D2947" s="36" t="str">
        <f aca="false">IF(Raw_Export!$A2947="","",IFERROR(VLOOKUP(LOWER(TRIM(Raw_Export!D2947)),Maps!$G$2:$I$80,2,FALSE()),"UNMAPPED"))</f>
        <v/>
      </c>
      <c r="E2947" s="36" t="str">
        <f aca="false">IF(Raw_Export!$A2947="","",IFERROR(VLOOKUP(LOWER(TRIM(Raw_Export!D2947)),Maps!$G$2:$I$80,3,FALSE()),"UNMAPPED"))</f>
        <v/>
      </c>
      <c r="F2947" s="36" t="str">
        <f aca="false">IF(Raw_Export!$A2947="","",IFERROR(VALUE(TRIM(Raw_Export!E2947)),0))</f>
        <v/>
      </c>
      <c r="G2947" s="38" t="str">
        <f aca="false">IF(Raw_Export!$A2947="","",IFERROR(VALUE(SUBSTITUTE(SUBSTITUTE(UPPER(TRIM(Raw_Export!F2947)),"KES",""),",","")),0))</f>
        <v/>
      </c>
      <c r="H2947" s="38" t="str">
        <f aca="false">IF(Raw_Export!$A2947="","",F2947*G2947)</f>
        <v/>
      </c>
      <c r="I2947" s="36" t="str">
        <f aca="false">IF(Raw_Export!$A2947="","",IFERROR(VLOOKUP(LOWER(TRIM(Raw_Export!H2947)),Maps!$D$2:$E$12,2,FALSE()),"Other"))</f>
        <v/>
      </c>
      <c r="J2947" s="36" t="str">
        <f aca="false">IF(Raw_Export!$A2947="","",IF(COUNTIF($A$2:A2947,A2947)&gt;1,"Duplicate",""))</f>
        <v/>
      </c>
      <c r="K2947" s="36" t="str">
        <f aca="false">IF(Raw_Export!$A2947="","",IF(J2947="Duplicate","Duplicate",IF(OR(C2947="UNMAPPED",D2947="UNMAPPED"),"Unmapped",IF(F2947=0,"Blank qty",IF(F2947&lt;0,"Return","OK")))))</f>
        <v/>
      </c>
      <c r="L2947" s="36" t="str">
        <f aca="false">IF(Raw_Export!$A2947="","",IF(OR(K2947="OK",K2947="Return"),1,0))</f>
        <v/>
      </c>
      <c r="M2947" s="37" t="str">
        <f aca="false">IF(Raw_Export!$A2947="","",B2947-WEEKDAY(B2947,2)+1)</f>
        <v/>
      </c>
    </row>
    <row r="2948" customFormat="false" ht="15" hidden="false" customHeight="false" outlineLevel="0" collapsed="false">
      <c r="A2948" s="36" t="str">
        <f aca="false">IF(Raw_Export!$A2948="","",TRIM(Raw_Export!A2948))</f>
        <v/>
      </c>
      <c r="B2948" s="37" t="str">
        <f aca="false">IF(Raw_Export!$A2948="","",IF(ISNUMBER(Raw_Export!B2948),Raw_Export!B2948,IF(MID(TRIM(Raw_Export!B2948),5,1)="-",DATE(LEFT(TRIM(Raw_Export!B2948),4),MID(TRIM(Raw_Export!B2948),6,2),RIGHT(TRIM(Raw_Export!B2948),2)),DATE(RIGHT(TRIM(Raw_Export!B2948),4),MATCH(MID(TRIM(Raw_Export!B2948),4,3),{"Jan","Feb","Mar","Apr","May","Jun","Jul","Aug","Sep","Oct","Nov","Dec"},0),LEFT(TRIM(Raw_Export!B2948),2)))))</f>
        <v/>
      </c>
      <c r="C2948" s="36" t="str">
        <f aca="false">IF(Raw_Export!$A2948="","",IFERROR(VLOOKUP(LOWER(TRIM(Raw_Export!C2948)),Maps!$A$2:$B$20,2,FALSE()),"UNMAPPED"))</f>
        <v/>
      </c>
      <c r="D2948" s="36" t="str">
        <f aca="false">IF(Raw_Export!$A2948="","",IFERROR(VLOOKUP(LOWER(TRIM(Raw_Export!D2948)),Maps!$G$2:$I$80,2,FALSE()),"UNMAPPED"))</f>
        <v/>
      </c>
      <c r="E2948" s="36" t="str">
        <f aca="false">IF(Raw_Export!$A2948="","",IFERROR(VLOOKUP(LOWER(TRIM(Raw_Export!D2948)),Maps!$G$2:$I$80,3,FALSE()),"UNMAPPED"))</f>
        <v/>
      </c>
      <c r="F2948" s="36" t="str">
        <f aca="false">IF(Raw_Export!$A2948="","",IFERROR(VALUE(TRIM(Raw_Export!E2948)),0))</f>
        <v/>
      </c>
      <c r="G2948" s="38" t="str">
        <f aca="false">IF(Raw_Export!$A2948="","",IFERROR(VALUE(SUBSTITUTE(SUBSTITUTE(UPPER(TRIM(Raw_Export!F2948)),"KES",""),",","")),0))</f>
        <v/>
      </c>
      <c r="H2948" s="38" t="str">
        <f aca="false">IF(Raw_Export!$A2948="","",F2948*G2948)</f>
        <v/>
      </c>
      <c r="I2948" s="36" t="str">
        <f aca="false">IF(Raw_Export!$A2948="","",IFERROR(VLOOKUP(LOWER(TRIM(Raw_Export!H2948)),Maps!$D$2:$E$12,2,FALSE()),"Other"))</f>
        <v/>
      </c>
      <c r="J2948" s="36" t="str">
        <f aca="false">IF(Raw_Export!$A2948="","",IF(COUNTIF($A$2:A2948,A2948)&gt;1,"Duplicate",""))</f>
        <v/>
      </c>
      <c r="K2948" s="36" t="str">
        <f aca="false">IF(Raw_Export!$A2948="","",IF(J2948="Duplicate","Duplicate",IF(OR(C2948="UNMAPPED",D2948="UNMAPPED"),"Unmapped",IF(F2948=0,"Blank qty",IF(F2948&lt;0,"Return","OK")))))</f>
        <v/>
      </c>
      <c r="L2948" s="36" t="str">
        <f aca="false">IF(Raw_Export!$A2948="","",IF(OR(K2948="OK",K2948="Return"),1,0))</f>
        <v/>
      </c>
      <c r="M2948" s="37" t="str">
        <f aca="false">IF(Raw_Export!$A2948="","",B2948-WEEKDAY(B2948,2)+1)</f>
        <v/>
      </c>
    </row>
    <row r="2949" customFormat="false" ht="15" hidden="false" customHeight="false" outlineLevel="0" collapsed="false">
      <c r="A2949" s="36" t="str">
        <f aca="false">IF(Raw_Export!$A2949="","",TRIM(Raw_Export!A2949))</f>
        <v/>
      </c>
      <c r="B2949" s="37" t="str">
        <f aca="false">IF(Raw_Export!$A2949="","",IF(ISNUMBER(Raw_Export!B2949),Raw_Export!B2949,IF(MID(TRIM(Raw_Export!B2949),5,1)="-",DATE(LEFT(TRIM(Raw_Export!B2949),4),MID(TRIM(Raw_Export!B2949),6,2),RIGHT(TRIM(Raw_Export!B2949),2)),DATE(RIGHT(TRIM(Raw_Export!B2949),4),MATCH(MID(TRIM(Raw_Export!B2949),4,3),{"Jan","Feb","Mar","Apr","May","Jun","Jul","Aug","Sep","Oct","Nov","Dec"},0),LEFT(TRIM(Raw_Export!B2949),2)))))</f>
        <v/>
      </c>
      <c r="C2949" s="36" t="str">
        <f aca="false">IF(Raw_Export!$A2949="","",IFERROR(VLOOKUP(LOWER(TRIM(Raw_Export!C2949)),Maps!$A$2:$B$20,2,FALSE()),"UNMAPPED"))</f>
        <v/>
      </c>
      <c r="D2949" s="36" t="str">
        <f aca="false">IF(Raw_Export!$A2949="","",IFERROR(VLOOKUP(LOWER(TRIM(Raw_Export!D2949)),Maps!$G$2:$I$80,2,FALSE()),"UNMAPPED"))</f>
        <v/>
      </c>
      <c r="E2949" s="36" t="str">
        <f aca="false">IF(Raw_Export!$A2949="","",IFERROR(VLOOKUP(LOWER(TRIM(Raw_Export!D2949)),Maps!$G$2:$I$80,3,FALSE()),"UNMAPPED"))</f>
        <v/>
      </c>
      <c r="F2949" s="36" t="str">
        <f aca="false">IF(Raw_Export!$A2949="","",IFERROR(VALUE(TRIM(Raw_Export!E2949)),0))</f>
        <v/>
      </c>
      <c r="G2949" s="38" t="str">
        <f aca="false">IF(Raw_Export!$A2949="","",IFERROR(VALUE(SUBSTITUTE(SUBSTITUTE(UPPER(TRIM(Raw_Export!F2949)),"KES",""),",","")),0))</f>
        <v/>
      </c>
      <c r="H2949" s="38" t="str">
        <f aca="false">IF(Raw_Export!$A2949="","",F2949*G2949)</f>
        <v/>
      </c>
      <c r="I2949" s="36" t="str">
        <f aca="false">IF(Raw_Export!$A2949="","",IFERROR(VLOOKUP(LOWER(TRIM(Raw_Export!H2949)),Maps!$D$2:$E$12,2,FALSE()),"Other"))</f>
        <v/>
      </c>
      <c r="J2949" s="36" t="str">
        <f aca="false">IF(Raw_Export!$A2949="","",IF(COUNTIF($A$2:A2949,A2949)&gt;1,"Duplicate",""))</f>
        <v/>
      </c>
      <c r="K2949" s="36" t="str">
        <f aca="false">IF(Raw_Export!$A2949="","",IF(J2949="Duplicate","Duplicate",IF(OR(C2949="UNMAPPED",D2949="UNMAPPED"),"Unmapped",IF(F2949=0,"Blank qty",IF(F2949&lt;0,"Return","OK")))))</f>
        <v/>
      </c>
      <c r="L2949" s="36" t="str">
        <f aca="false">IF(Raw_Export!$A2949="","",IF(OR(K2949="OK",K2949="Return"),1,0))</f>
        <v/>
      </c>
      <c r="M2949" s="37" t="str">
        <f aca="false">IF(Raw_Export!$A2949="","",B2949-WEEKDAY(B2949,2)+1)</f>
        <v/>
      </c>
    </row>
    <row r="2950" customFormat="false" ht="15" hidden="false" customHeight="false" outlineLevel="0" collapsed="false">
      <c r="A2950" s="36" t="str">
        <f aca="false">IF(Raw_Export!$A2950="","",TRIM(Raw_Export!A2950))</f>
        <v/>
      </c>
      <c r="B2950" s="37" t="str">
        <f aca="false">IF(Raw_Export!$A2950="","",IF(ISNUMBER(Raw_Export!B2950),Raw_Export!B2950,IF(MID(TRIM(Raw_Export!B2950),5,1)="-",DATE(LEFT(TRIM(Raw_Export!B2950),4),MID(TRIM(Raw_Export!B2950),6,2),RIGHT(TRIM(Raw_Export!B2950),2)),DATE(RIGHT(TRIM(Raw_Export!B2950),4),MATCH(MID(TRIM(Raw_Export!B2950),4,3),{"Jan","Feb","Mar","Apr","May","Jun","Jul","Aug","Sep","Oct","Nov","Dec"},0),LEFT(TRIM(Raw_Export!B2950),2)))))</f>
        <v/>
      </c>
      <c r="C2950" s="36" t="str">
        <f aca="false">IF(Raw_Export!$A2950="","",IFERROR(VLOOKUP(LOWER(TRIM(Raw_Export!C2950)),Maps!$A$2:$B$20,2,FALSE()),"UNMAPPED"))</f>
        <v/>
      </c>
      <c r="D2950" s="36" t="str">
        <f aca="false">IF(Raw_Export!$A2950="","",IFERROR(VLOOKUP(LOWER(TRIM(Raw_Export!D2950)),Maps!$G$2:$I$80,2,FALSE()),"UNMAPPED"))</f>
        <v/>
      </c>
      <c r="E2950" s="36" t="str">
        <f aca="false">IF(Raw_Export!$A2950="","",IFERROR(VLOOKUP(LOWER(TRIM(Raw_Export!D2950)),Maps!$G$2:$I$80,3,FALSE()),"UNMAPPED"))</f>
        <v/>
      </c>
      <c r="F2950" s="36" t="str">
        <f aca="false">IF(Raw_Export!$A2950="","",IFERROR(VALUE(TRIM(Raw_Export!E2950)),0))</f>
        <v/>
      </c>
      <c r="G2950" s="38" t="str">
        <f aca="false">IF(Raw_Export!$A2950="","",IFERROR(VALUE(SUBSTITUTE(SUBSTITUTE(UPPER(TRIM(Raw_Export!F2950)),"KES",""),",","")),0))</f>
        <v/>
      </c>
      <c r="H2950" s="38" t="str">
        <f aca="false">IF(Raw_Export!$A2950="","",F2950*G2950)</f>
        <v/>
      </c>
      <c r="I2950" s="36" t="str">
        <f aca="false">IF(Raw_Export!$A2950="","",IFERROR(VLOOKUP(LOWER(TRIM(Raw_Export!H2950)),Maps!$D$2:$E$12,2,FALSE()),"Other"))</f>
        <v/>
      </c>
      <c r="J2950" s="36" t="str">
        <f aca="false">IF(Raw_Export!$A2950="","",IF(COUNTIF($A$2:A2950,A2950)&gt;1,"Duplicate",""))</f>
        <v/>
      </c>
      <c r="K2950" s="36" t="str">
        <f aca="false">IF(Raw_Export!$A2950="","",IF(J2950="Duplicate","Duplicate",IF(OR(C2950="UNMAPPED",D2950="UNMAPPED"),"Unmapped",IF(F2950=0,"Blank qty",IF(F2950&lt;0,"Return","OK")))))</f>
        <v/>
      </c>
      <c r="L2950" s="36" t="str">
        <f aca="false">IF(Raw_Export!$A2950="","",IF(OR(K2950="OK",K2950="Return"),1,0))</f>
        <v/>
      </c>
      <c r="M2950" s="37" t="str">
        <f aca="false">IF(Raw_Export!$A2950="","",B2950-WEEKDAY(B2950,2)+1)</f>
        <v/>
      </c>
    </row>
    <row r="2951" customFormat="false" ht="15" hidden="false" customHeight="false" outlineLevel="0" collapsed="false">
      <c r="A2951" s="36" t="str">
        <f aca="false">IF(Raw_Export!$A2951="","",TRIM(Raw_Export!A2951))</f>
        <v/>
      </c>
      <c r="B2951" s="37" t="str">
        <f aca="false">IF(Raw_Export!$A2951="","",IF(ISNUMBER(Raw_Export!B2951),Raw_Export!B2951,IF(MID(TRIM(Raw_Export!B2951),5,1)="-",DATE(LEFT(TRIM(Raw_Export!B2951),4),MID(TRIM(Raw_Export!B2951),6,2),RIGHT(TRIM(Raw_Export!B2951),2)),DATE(RIGHT(TRIM(Raw_Export!B2951),4),MATCH(MID(TRIM(Raw_Export!B2951),4,3),{"Jan","Feb","Mar","Apr","May","Jun","Jul","Aug","Sep","Oct","Nov","Dec"},0),LEFT(TRIM(Raw_Export!B2951),2)))))</f>
        <v/>
      </c>
      <c r="C2951" s="36" t="str">
        <f aca="false">IF(Raw_Export!$A2951="","",IFERROR(VLOOKUP(LOWER(TRIM(Raw_Export!C2951)),Maps!$A$2:$B$20,2,FALSE()),"UNMAPPED"))</f>
        <v/>
      </c>
      <c r="D2951" s="36" t="str">
        <f aca="false">IF(Raw_Export!$A2951="","",IFERROR(VLOOKUP(LOWER(TRIM(Raw_Export!D2951)),Maps!$G$2:$I$80,2,FALSE()),"UNMAPPED"))</f>
        <v/>
      </c>
      <c r="E2951" s="36" t="str">
        <f aca="false">IF(Raw_Export!$A2951="","",IFERROR(VLOOKUP(LOWER(TRIM(Raw_Export!D2951)),Maps!$G$2:$I$80,3,FALSE()),"UNMAPPED"))</f>
        <v/>
      </c>
      <c r="F2951" s="36" t="str">
        <f aca="false">IF(Raw_Export!$A2951="","",IFERROR(VALUE(TRIM(Raw_Export!E2951)),0))</f>
        <v/>
      </c>
      <c r="G2951" s="38" t="str">
        <f aca="false">IF(Raw_Export!$A2951="","",IFERROR(VALUE(SUBSTITUTE(SUBSTITUTE(UPPER(TRIM(Raw_Export!F2951)),"KES",""),",","")),0))</f>
        <v/>
      </c>
      <c r="H2951" s="38" t="str">
        <f aca="false">IF(Raw_Export!$A2951="","",F2951*G2951)</f>
        <v/>
      </c>
      <c r="I2951" s="36" t="str">
        <f aca="false">IF(Raw_Export!$A2951="","",IFERROR(VLOOKUP(LOWER(TRIM(Raw_Export!H2951)),Maps!$D$2:$E$12,2,FALSE()),"Other"))</f>
        <v/>
      </c>
      <c r="J2951" s="36" t="str">
        <f aca="false">IF(Raw_Export!$A2951="","",IF(COUNTIF($A$2:A2951,A2951)&gt;1,"Duplicate",""))</f>
        <v/>
      </c>
      <c r="K2951" s="36" t="str">
        <f aca="false">IF(Raw_Export!$A2951="","",IF(J2951="Duplicate","Duplicate",IF(OR(C2951="UNMAPPED",D2951="UNMAPPED"),"Unmapped",IF(F2951=0,"Blank qty",IF(F2951&lt;0,"Return","OK")))))</f>
        <v/>
      </c>
      <c r="L2951" s="36" t="str">
        <f aca="false">IF(Raw_Export!$A2951="","",IF(OR(K2951="OK",K2951="Return"),1,0))</f>
        <v/>
      </c>
      <c r="M2951" s="37" t="str">
        <f aca="false">IF(Raw_Export!$A2951="","",B2951-WEEKDAY(B2951,2)+1)</f>
        <v/>
      </c>
    </row>
    <row r="2952" customFormat="false" ht="15" hidden="false" customHeight="false" outlineLevel="0" collapsed="false">
      <c r="A2952" s="36" t="str">
        <f aca="false">IF(Raw_Export!$A2952="","",TRIM(Raw_Export!A2952))</f>
        <v/>
      </c>
      <c r="B2952" s="37" t="str">
        <f aca="false">IF(Raw_Export!$A2952="","",IF(ISNUMBER(Raw_Export!B2952),Raw_Export!B2952,IF(MID(TRIM(Raw_Export!B2952),5,1)="-",DATE(LEFT(TRIM(Raw_Export!B2952),4),MID(TRIM(Raw_Export!B2952),6,2),RIGHT(TRIM(Raw_Export!B2952),2)),DATE(RIGHT(TRIM(Raw_Export!B2952),4),MATCH(MID(TRIM(Raw_Export!B2952),4,3),{"Jan","Feb","Mar","Apr","May","Jun","Jul","Aug","Sep","Oct","Nov","Dec"},0),LEFT(TRIM(Raw_Export!B2952),2)))))</f>
        <v/>
      </c>
      <c r="C2952" s="36" t="str">
        <f aca="false">IF(Raw_Export!$A2952="","",IFERROR(VLOOKUP(LOWER(TRIM(Raw_Export!C2952)),Maps!$A$2:$B$20,2,FALSE()),"UNMAPPED"))</f>
        <v/>
      </c>
      <c r="D2952" s="36" t="str">
        <f aca="false">IF(Raw_Export!$A2952="","",IFERROR(VLOOKUP(LOWER(TRIM(Raw_Export!D2952)),Maps!$G$2:$I$80,2,FALSE()),"UNMAPPED"))</f>
        <v/>
      </c>
      <c r="E2952" s="36" t="str">
        <f aca="false">IF(Raw_Export!$A2952="","",IFERROR(VLOOKUP(LOWER(TRIM(Raw_Export!D2952)),Maps!$G$2:$I$80,3,FALSE()),"UNMAPPED"))</f>
        <v/>
      </c>
      <c r="F2952" s="36" t="str">
        <f aca="false">IF(Raw_Export!$A2952="","",IFERROR(VALUE(TRIM(Raw_Export!E2952)),0))</f>
        <v/>
      </c>
      <c r="G2952" s="38" t="str">
        <f aca="false">IF(Raw_Export!$A2952="","",IFERROR(VALUE(SUBSTITUTE(SUBSTITUTE(UPPER(TRIM(Raw_Export!F2952)),"KES",""),",","")),0))</f>
        <v/>
      </c>
      <c r="H2952" s="38" t="str">
        <f aca="false">IF(Raw_Export!$A2952="","",F2952*G2952)</f>
        <v/>
      </c>
      <c r="I2952" s="36" t="str">
        <f aca="false">IF(Raw_Export!$A2952="","",IFERROR(VLOOKUP(LOWER(TRIM(Raw_Export!H2952)),Maps!$D$2:$E$12,2,FALSE()),"Other"))</f>
        <v/>
      </c>
      <c r="J2952" s="36" t="str">
        <f aca="false">IF(Raw_Export!$A2952="","",IF(COUNTIF($A$2:A2952,A2952)&gt;1,"Duplicate",""))</f>
        <v/>
      </c>
      <c r="K2952" s="36" t="str">
        <f aca="false">IF(Raw_Export!$A2952="","",IF(J2952="Duplicate","Duplicate",IF(OR(C2952="UNMAPPED",D2952="UNMAPPED"),"Unmapped",IF(F2952=0,"Blank qty",IF(F2952&lt;0,"Return","OK")))))</f>
        <v/>
      </c>
      <c r="L2952" s="36" t="str">
        <f aca="false">IF(Raw_Export!$A2952="","",IF(OR(K2952="OK",K2952="Return"),1,0))</f>
        <v/>
      </c>
      <c r="M2952" s="37" t="str">
        <f aca="false">IF(Raw_Export!$A2952="","",B2952-WEEKDAY(B2952,2)+1)</f>
        <v/>
      </c>
    </row>
    <row r="2953" customFormat="false" ht="15" hidden="false" customHeight="false" outlineLevel="0" collapsed="false">
      <c r="A2953" s="36" t="str">
        <f aca="false">IF(Raw_Export!$A2953="","",TRIM(Raw_Export!A2953))</f>
        <v/>
      </c>
      <c r="B2953" s="37" t="str">
        <f aca="false">IF(Raw_Export!$A2953="","",IF(ISNUMBER(Raw_Export!B2953),Raw_Export!B2953,IF(MID(TRIM(Raw_Export!B2953),5,1)="-",DATE(LEFT(TRIM(Raw_Export!B2953),4),MID(TRIM(Raw_Export!B2953),6,2),RIGHT(TRIM(Raw_Export!B2953),2)),DATE(RIGHT(TRIM(Raw_Export!B2953),4),MATCH(MID(TRIM(Raw_Export!B2953),4,3),{"Jan","Feb","Mar","Apr","May","Jun","Jul","Aug","Sep","Oct","Nov","Dec"},0),LEFT(TRIM(Raw_Export!B2953),2)))))</f>
        <v/>
      </c>
      <c r="C2953" s="36" t="str">
        <f aca="false">IF(Raw_Export!$A2953="","",IFERROR(VLOOKUP(LOWER(TRIM(Raw_Export!C2953)),Maps!$A$2:$B$20,2,FALSE()),"UNMAPPED"))</f>
        <v/>
      </c>
      <c r="D2953" s="36" t="str">
        <f aca="false">IF(Raw_Export!$A2953="","",IFERROR(VLOOKUP(LOWER(TRIM(Raw_Export!D2953)),Maps!$G$2:$I$80,2,FALSE()),"UNMAPPED"))</f>
        <v/>
      </c>
      <c r="E2953" s="36" t="str">
        <f aca="false">IF(Raw_Export!$A2953="","",IFERROR(VLOOKUP(LOWER(TRIM(Raw_Export!D2953)),Maps!$G$2:$I$80,3,FALSE()),"UNMAPPED"))</f>
        <v/>
      </c>
      <c r="F2953" s="36" t="str">
        <f aca="false">IF(Raw_Export!$A2953="","",IFERROR(VALUE(TRIM(Raw_Export!E2953)),0))</f>
        <v/>
      </c>
      <c r="G2953" s="38" t="str">
        <f aca="false">IF(Raw_Export!$A2953="","",IFERROR(VALUE(SUBSTITUTE(SUBSTITUTE(UPPER(TRIM(Raw_Export!F2953)),"KES",""),",","")),0))</f>
        <v/>
      </c>
      <c r="H2953" s="38" t="str">
        <f aca="false">IF(Raw_Export!$A2953="","",F2953*G2953)</f>
        <v/>
      </c>
      <c r="I2953" s="36" t="str">
        <f aca="false">IF(Raw_Export!$A2953="","",IFERROR(VLOOKUP(LOWER(TRIM(Raw_Export!H2953)),Maps!$D$2:$E$12,2,FALSE()),"Other"))</f>
        <v/>
      </c>
      <c r="J2953" s="36" t="str">
        <f aca="false">IF(Raw_Export!$A2953="","",IF(COUNTIF($A$2:A2953,A2953)&gt;1,"Duplicate",""))</f>
        <v/>
      </c>
      <c r="K2953" s="36" t="str">
        <f aca="false">IF(Raw_Export!$A2953="","",IF(J2953="Duplicate","Duplicate",IF(OR(C2953="UNMAPPED",D2953="UNMAPPED"),"Unmapped",IF(F2953=0,"Blank qty",IF(F2953&lt;0,"Return","OK")))))</f>
        <v/>
      </c>
      <c r="L2953" s="36" t="str">
        <f aca="false">IF(Raw_Export!$A2953="","",IF(OR(K2953="OK",K2953="Return"),1,0))</f>
        <v/>
      </c>
      <c r="M2953" s="37" t="str">
        <f aca="false">IF(Raw_Export!$A2953="","",B2953-WEEKDAY(B2953,2)+1)</f>
        <v/>
      </c>
    </row>
    <row r="2954" customFormat="false" ht="15" hidden="false" customHeight="false" outlineLevel="0" collapsed="false">
      <c r="A2954" s="36" t="str">
        <f aca="false">IF(Raw_Export!$A2954="","",TRIM(Raw_Export!A2954))</f>
        <v/>
      </c>
      <c r="B2954" s="37" t="str">
        <f aca="false">IF(Raw_Export!$A2954="","",IF(ISNUMBER(Raw_Export!B2954),Raw_Export!B2954,IF(MID(TRIM(Raw_Export!B2954),5,1)="-",DATE(LEFT(TRIM(Raw_Export!B2954),4),MID(TRIM(Raw_Export!B2954),6,2),RIGHT(TRIM(Raw_Export!B2954),2)),DATE(RIGHT(TRIM(Raw_Export!B2954),4),MATCH(MID(TRIM(Raw_Export!B2954),4,3),{"Jan","Feb","Mar","Apr","May","Jun","Jul","Aug","Sep","Oct","Nov","Dec"},0),LEFT(TRIM(Raw_Export!B2954),2)))))</f>
        <v/>
      </c>
      <c r="C2954" s="36" t="str">
        <f aca="false">IF(Raw_Export!$A2954="","",IFERROR(VLOOKUP(LOWER(TRIM(Raw_Export!C2954)),Maps!$A$2:$B$20,2,FALSE()),"UNMAPPED"))</f>
        <v/>
      </c>
      <c r="D2954" s="36" t="str">
        <f aca="false">IF(Raw_Export!$A2954="","",IFERROR(VLOOKUP(LOWER(TRIM(Raw_Export!D2954)),Maps!$G$2:$I$80,2,FALSE()),"UNMAPPED"))</f>
        <v/>
      </c>
      <c r="E2954" s="36" t="str">
        <f aca="false">IF(Raw_Export!$A2954="","",IFERROR(VLOOKUP(LOWER(TRIM(Raw_Export!D2954)),Maps!$G$2:$I$80,3,FALSE()),"UNMAPPED"))</f>
        <v/>
      </c>
      <c r="F2954" s="36" t="str">
        <f aca="false">IF(Raw_Export!$A2954="","",IFERROR(VALUE(TRIM(Raw_Export!E2954)),0))</f>
        <v/>
      </c>
      <c r="G2954" s="38" t="str">
        <f aca="false">IF(Raw_Export!$A2954="","",IFERROR(VALUE(SUBSTITUTE(SUBSTITUTE(UPPER(TRIM(Raw_Export!F2954)),"KES",""),",","")),0))</f>
        <v/>
      </c>
      <c r="H2954" s="38" t="str">
        <f aca="false">IF(Raw_Export!$A2954="","",F2954*G2954)</f>
        <v/>
      </c>
      <c r="I2954" s="36" t="str">
        <f aca="false">IF(Raw_Export!$A2954="","",IFERROR(VLOOKUP(LOWER(TRIM(Raw_Export!H2954)),Maps!$D$2:$E$12,2,FALSE()),"Other"))</f>
        <v/>
      </c>
      <c r="J2954" s="36" t="str">
        <f aca="false">IF(Raw_Export!$A2954="","",IF(COUNTIF($A$2:A2954,A2954)&gt;1,"Duplicate",""))</f>
        <v/>
      </c>
      <c r="K2954" s="36" t="str">
        <f aca="false">IF(Raw_Export!$A2954="","",IF(J2954="Duplicate","Duplicate",IF(OR(C2954="UNMAPPED",D2954="UNMAPPED"),"Unmapped",IF(F2954=0,"Blank qty",IF(F2954&lt;0,"Return","OK")))))</f>
        <v/>
      </c>
      <c r="L2954" s="36" t="str">
        <f aca="false">IF(Raw_Export!$A2954="","",IF(OR(K2954="OK",K2954="Return"),1,0))</f>
        <v/>
      </c>
      <c r="M2954" s="37" t="str">
        <f aca="false">IF(Raw_Export!$A2954="","",B2954-WEEKDAY(B2954,2)+1)</f>
        <v/>
      </c>
    </row>
    <row r="2955" customFormat="false" ht="15" hidden="false" customHeight="false" outlineLevel="0" collapsed="false">
      <c r="A2955" s="36" t="str">
        <f aca="false">IF(Raw_Export!$A2955="","",TRIM(Raw_Export!A2955))</f>
        <v/>
      </c>
      <c r="B2955" s="37" t="str">
        <f aca="false">IF(Raw_Export!$A2955="","",IF(ISNUMBER(Raw_Export!B2955),Raw_Export!B2955,IF(MID(TRIM(Raw_Export!B2955),5,1)="-",DATE(LEFT(TRIM(Raw_Export!B2955),4),MID(TRIM(Raw_Export!B2955),6,2),RIGHT(TRIM(Raw_Export!B2955),2)),DATE(RIGHT(TRIM(Raw_Export!B2955),4),MATCH(MID(TRIM(Raw_Export!B2955),4,3),{"Jan","Feb","Mar","Apr","May","Jun","Jul","Aug","Sep","Oct","Nov","Dec"},0),LEFT(TRIM(Raw_Export!B2955),2)))))</f>
        <v/>
      </c>
      <c r="C2955" s="36" t="str">
        <f aca="false">IF(Raw_Export!$A2955="","",IFERROR(VLOOKUP(LOWER(TRIM(Raw_Export!C2955)),Maps!$A$2:$B$20,2,FALSE()),"UNMAPPED"))</f>
        <v/>
      </c>
      <c r="D2955" s="36" t="str">
        <f aca="false">IF(Raw_Export!$A2955="","",IFERROR(VLOOKUP(LOWER(TRIM(Raw_Export!D2955)),Maps!$G$2:$I$80,2,FALSE()),"UNMAPPED"))</f>
        <v/>
      </c>
      <c r="E2955" s="36" t="str">
        <f aca="false">IF(Raw_Export!$A2955="","",IFERROR(VLOOKUP(LOWER(TRIM(Raw_Export!D2955)),Maps!$G$2:$I$80,3,FALSE()),"UNMAPPED"))</f>
        <v/>
      </c>
      <c r="F2955" s="36" t="str">
        <f aca="false">IF(Raw_Export!$A2955="","",IFERROR(VALUE(TRIM(Raw_Export!E2955)),0))</f>
        <v/>
      </c>
      <c r="G2955" s="38" t="str">
        <f aca="false">IF(Raw_Export!$A2955="","",IFERROR(VALUE(SUBSTITUTE(SUBSTITUTE(UPPER(TRIM(Raw_Export!F2955)),"KES",""),",","")),0))</f>
        <v/>
      </c>
      <c r="H2955" s="38" t="str">
        <f aca="false">IF(Raw_Export!$A2955="","",F2955*G2955)</f>
        <v/>
      </c>
      <c r="I2955" s="36" t="str">
        <f aca="false">IF(Raw_Export!$A2955="","",IFERROR(VLOOKUP(LOWER(TRIM(Raw_Export!H2955)),Maps!$D$2:$E$12,2,FALSE()),"Other"))</f>
        <v/>
      </c>
      <c r="J2955" s="36" t="str">
        <f aca="false">IF(Raw_Export!$A2955="","",IF(COUNTIF($A$2:A2955,A2955)&gt;1,"Duplicate",""))</f>
        <v/>
      </c>
      <c r="K2955" s="36" t="str">
        <f aca="false">IF(Raw_Export!$A2955="","",IF(J2955="Duplicate","Duplicate",IF(OR(C2955="UNMAPPED",D2955="UNMAPPED"),"Unmapped",IF(F2955=0,"Blank qty",IF(F2955&lt;0,"Return","OK")))))</f>
        <v/>
      </c>
      <c r="L2955" s="36" t="str">
        <f aca="false">IF(Raw_Export!$A2955="","",IF(OR(K2955="OK",K2955="Return"),1,0))</f>
        <v/>
      </c>
      <c r="M2955" s="37" t="str">
        <f aca="false">IF(Raw_Export!$A2955="","",B2955-WEEKDAY(B2955,2)+1)</f>
        <v/>
      </c>
    </row>
    <row r="2956" customFormat="false" ht="15" hidden="false" customHeight="false" outlineLevel="0" collapsed="false">
      <c r="A2956" s="36" t="str">
        <f aca="false">IF(Raw_Export!$A2956="","",TRIM(Raw_Export!A2956))</f>
        <v/>
      </c>
      <c r="B2956" s="37" t="str">
        <f aca="false">IF(Raw_Export!$A2956="","",IF(ISNUMBER(Raw_Export!B2956),Raw_Export!B2956,IF(MID(TRIM(Raw_Export!B2956),5,1)="-",DATE(LEFT(TRIM(Raw_Export!B2956),4),MID(TRIM(Raw_Export!B2956),6,2),RIGHT(TRIM(Raw_Export!B2956),2)),DATE(RIGHT(TRIM(Raw_Export!B2956),4),MATCH(MID(TRIM(Raw_Export!B2956),4,3),{"Jan","Feb","Mar","Apr","May","Jun","Jul","Aug","Sep","Oct","Nov","Dec"},0),LEFT(TRIM(Raw_Export!B2956),2)))))</f>
        <v/>
      </c>
      <c r="C2956" s="36" t="str">
        <f aca="false">IF(Raw_Export!$A2956="","",IFERROR(VLOOKUP(LOWER(TRIM(Raw_Export!C2956)),Maps!$A$2:$B$20,2,FALSE()),"UNMAPPED"))</f>
        <v/>
      </c>
      <c r="D2956" s="36" t="str">
        <f aca="false">IF(Raw_Export!$A2956="","",IFERROR(VLOOKUP(LOWER(TRIM(Raw_Export!D2956)),Maps!$G$2:$I$80,2,FALSE()),"UNMAPPED"))</f>
        <v/>
      </c>
      <c r="E2956" s="36" t="str">
        <f aca="false">IF(Raw_Export!$A2956="","",IFERROR(VLOOKUP(LOWER(TRIM(Raw_Export!D2956)),Maps!$G$2:$I$80,3,FALSE()),"UNMAPPED"))</f>
        <v/>
      </c>
      <c r="F2956" s="36" t="str">
        <f aca="false">IF(Raw_Export!$A2956="","",IFERROR(VALUE(TRIM(Raw_Export!E2956)),0))</f>
        <v/>
      </c>
      <c r="G2956" s="38" t="str">
        <f aca="false">IF(Raw_Export!$A2956="","",IFERROR(VALUE(SUBSTITUTE(SUBSTITUTE(UPPER(TRIM(Raw_Export!F2956)),"KES",""),",","")),0))</f>
        <v/>
      </c>
      <c r="H2956" s="38" t="str">
        <f aca="false">IF(Raw_Export!$A2956="","",F2956*G2956)</f>
        <v/>
      </c>
      <c r="I2956" s="36" t="str">
        <f aca="false">IF(Raw_Export!$A2956="","",IFERROR(VLOOKUP(LOWER(TRIM(Raw_Export!H2956)),Maps!$D$2:$E$12,2,FALSE()),"Other"))</f>
        <v/>
      </c>
      <c r="J2956" s="36" t="str">
        <f aca="false">IF(Raw_Export!$A2956="","",IF(COUNTIF($A$2:A2956,A2956)&gt;1,"Duplicate",""))</f>
        <v/>
      </c>
      <c r="K2956" s="36" t="str">
        <f aca="false">IF(Raw_Export!$A2956="","",IF(J2956="Duplicate","Duplicate",IF(OR(C2956="UNMAPPED",D2956="UNMAPPED"),"Unmapped",IF(F2956=0,"Blank qty",IF(F2956&lt;0,"Return","OK")))))</f>
        <v/>
      </c>
      <c r="L2956" s="36" t="str">
        <f aca="false">IF(Raw_Export!$A2956="","",IF(OR(K2956="OK",K2956="Return"),1,0))</f>
        <v/>
      </c>
      <c r="M2956" s="37" t="str">
        <f aca="false">IF(Raw_Export!$A2956="","",B2956-WEEKDAY(B2956,2)+1)</f>
        <v/>
      </c>
    </row>
    <row r="2957" customFormat="false" ht="15" hidden="false" customHeight="false" outlineLevel="0" collapsed="false">
      <c r="A2957" s="36" t="str">
        <f aca="false">IF(Raw_Export!$A2957="","",TRIM(Raw_Export!A2957))</f>
        <v/>
      </c>
      <c r="B2957" s="37" t="str">
        <f aca="false">IF(Raw_Export!$A2957="","",IF(ISNUMBER(Raw_Export!B2957),Raw_Export!B2957,IF(MID(TRIM(Raw_Export!B2957),5,1)="-",DATE(LEFT(TRIM(Raw_Export!B2957),4),MID(TRIM(Raw_Export!B2957),6,2),RIGHT(TRIM(Raw_Export!B2957),2)),DATE(RIGHT(TRIM(Raw_Export!B2957),4),MATCH(MID(TRIM(Raw_Export!B2957),4,3),{"Jan","Feb","Mar","Apr","May","Jun","Jul","Aug","Sep","Oct","Nov","Dec"},0),LEFT(TRIM(Raw_Export!B2957),2)))))</f>
        <v/>
      </c>
      <c r="C2957" s="36" t="str">
        <f aca="false">IF(Raw_Export!$A2957="","",IFERROR(VLOOKUP(LOWER(TRIM(Raw_Export!C2957)),Maps!$A$2:$B$20,2,FALSE()),"UNMAPPED"))</f>
        <v/>
      </c>
      <c r="D2957" s="36" t="str">
        <f aca="false">IF(Raw_Export!$A2957="","",IFERROR(VLOOKUP(LOWER(TRIM(Raw_Export!D2957)),Maps!$G$2:$I$80,2,FALSE()),"UNMAPPED"))</f>
        <v/>
      </c>
      <c r="E2957" s="36" t="str">
        <f aca="false">IF(Raw_Export!$A2957="","",IFERROR(VLOOKUP(LOWER(TRIM(Raw_Export!D2957)),Maps!$G$2:$I$80,3,FALSE()),"UNMAPPED"))</f>
        <v/>
      </c>
      <c r="F2957" s="36" t="str">
        <f aca="false">IF(Raw_Export!$A2957="","",IFERROR(VALUE(TRIM(Raw_Export!E2957)),0))</f>
        <v/>
      </c>
      <c r="G2957" s="38" t="str">
        <f aca="false">IF(Raw_Export!$A2957="","",IFERROR(VALUE(SUBSTITUTE(SUBSTITUTE(UPPER(TRIM(Raw_Export!F2957)),"KES",""),",","")),0))</f>
        <v/>
      </c>
      <c r="H2957" s="38" t="str">
        <f aca="false">IF(Raw_Export!$A2957="","",F2957*G2957)</f>
        <v/>
      </c>
      <c r="I2957" s="36" t="str">
        <f aca="false">IF(Raw_Export!$A2957="","",IFERROR(VLOOKUP(LOWER(TRIM(Raw_Export!H2957)),Maps!$D$2:$E$12,2,FALSE()),"Other"))</f>
        <v/>
      </c>
      <c r="J2957" s="36" t="str">
        <f aca="false">IF(Raw_Export!$A2957="","",IF(COUNTIF($A$2:A2957,A2957)&gt;1,"Duplicate",""))</f>
        <v/>
      </c>
      <c r="K2957" s="36" t="str">
        <f aca="false">IF(Raw_Export!$A2957="","",IF(J2957="Duplicate","Duplicate",IF(OR(C2957="UNMAPPED",D2957="UNMAPPED"),"Unmapped",IF(F2957=0,"Blank qty",IF(F2957&lt;0,"Return","OK")))))</f>
        <v/>
      </c>
      <c r="L2957" s="36" t="str">
        <f aca="false">IF(Raw_Export!$A2957="","",IF(OR(K2957="OK",K2957="Return"),1,0))</f>
        <v/>
      </c>
      <c r="M2957" s="37" t="str">
        <f aca="false">IF(Raw_Export!$A2957="","",B2957-WEEKDAY(B2957,2)+1)</f>
        <v/>
      </c>
    </row>
    <row r="2958" customFormat="false" ht="15" hidden="false" customHeight="false" outlineLevel="0" collapsed="false">
      <c r="A2958" s="36" t="str">
        <f aca="false">IF(Raw_Export!$A2958="","",TRIM(Raw_Export!A2958))</f>
        <v/>
      </c>
      <c r="B2958" s="37" t="str">
        <f aca="false">IF(Raw_Export!$A2958="","",IF(ISNUMBER(Raw_Export!B2958),Raw_Export!B2958,IF(MID(TRIM(Raw_Export!B2958),5,1)="-",DATE(LEFT(TRIM(Raw_Export!B2958),4),MID(TRIM(Raw_Export!B2958),6,2),RIGHT(TRIM(Raw_Export!B2958),2)),DATE(RIGHT(TRIM(Raw_Export!B2958),4),MATCH(MID(TRIM(Raw_Export!B2958),4,3),{"Jan","Feb","Mar","Apr","May","Jun","Jul","Aug","Sep","Oct","Nov","Dec"},0),LEFT(TRIM(Raw_Export!B2958),2)))))</f>
        <v/>
      </c>
      <c r="C2958" s="36" t="str">
        <f aca="false">IF(Raw_Export!$A2958="","",IFERROR(VLOOKUP(LOWER(TRIM(Raw_Export!C2958)),Maps!$A$2:$B$20,2,FALSE()),"UNMAPPED"))</f>
        <v/>
      </c>
      <c r="D2958" s="36" t="str">
        <f aca="false">IF(Raw_Export!$A2958="","",IFERROR(VLOOKUP(LOWER(TRIM(Raw_Export!D2958)),Maps!$G$2:$I$80,2,FALSE()),"UNMAPPED"))</f>
        <v/>
      </c>
      <c r="E2958" s="36" t="str">
        <f aca="false">IF(Raw_Export!$A2958="","",IFERROR(VLOOKUP(LOWER(TRIM(Raw_Export!D2958)),Maps!$G$2:$I$80,3,FALSE()),"UNMAPPED"))</f>
        <v/>
      </c>
      <c r="F2958" s="36" t="str">
        <f aca="false">IF(Raw_Export!$A2958="","",IFERROR(VALUE(TRIM(Raw_Export!E2958)),0))</f>
        <v/>
      </c>
      <c r="G2958" s="38" t="str">
        <f aca="false">IF(Raw_Export!$A2958="","",IFERROR(VALUE(SUBSTITUTE(SUBSTITUTE(UPPER(TRIM(Raw_Export!F2958)),"KES",""),",","")),0))</f>
        <v/>
      </c>
      <c r="H2958" s="38" t="str">
        <f aca="false">IF(Raw_Export!$A2958="","",F2958*G2958)</f>
        <v/>
      </c>
      <c r="I2958" s="36" t="str">
        <f aca="false">IF(Raw_Export!$A2958="","",IFERROR(VLOOKUP(LOWER(TRIM(Raw_Export!H2958)),Maps!$D$2:$E$12,2,FALSE()),"Other"))</f>
        <v/>
      </c>
      <c r="J2958" s="36" t="str">
        <f aca="false">IF(Raw_Export!$A2958="","",IF(COUNTIF($A$2:A2958,A2958)&gt;1,"Duplicate",""))</f>
        <v/>
      </c>
      <c r="K2958" s="36" t="str">
        <f aca="false">IF(Raw_Export!$A2958="","",IF(J2958="Duplicate","Duplicate",IF(OR(C2958="UNMAPPED",D2958="UNMAPPED"),"Unmapped",IF(F2958=0,"Blank qty",IF(F2958&lt;0,"Return","OK")))))</f>
        <v/>
      </c>
      <c r="L2958" s="36" t="str">
        <f aca="false">IF(Raw_Export!$A2958="","",IF(OR(K2958="OK",K2958="Return"),1,0))</f>
        <v/>
      </c>
      <c r="M2958" s="37" t="str">
        <f aca="false">IF(Raw_Export!$A2958="","",B2958-WEEKDAY(B2958,2)+1)</f>
        <v/>
      </c>
    </row>
    <row r="2959" customFormat="false" ht="15" hidden="false" customHeight="false" outlineLevel="0" collapsed="false">
      <c r="A2959" s="36" t="str">
        <f aca="false">IF(Raw_Export!$A2959="","",TRIM(Raw_Export!A2959))</f>
        <v/>
      </c>
      <c r="B2959" s="37" t="str">
        <f aca="false">IF(Raw_Export!$A2959="","",IF(ISNUMBER(Raw_Export!B2959),Raw_Export!B2959,IF(MID(TRIM(Raw_Export!B2959),5,1)="-",DATE(LEFT(TRIM(Raw_Export!B2959),4),MID(TRIM(Raw_Export!B2959),6,2),RIGHT(TRIM(Raw_Export!B2959),2)),DATE(RIGHT(TRIM(Raw_Export!B2959),4),MATCH(MID(TRIM(Raw_Export!B2959),4,3),{"Jan","Feb","Mar","Apr","May","Jun","Jul","Aug","Sep","Oct","Nov","Dec"},0),LEFT(TRIM(Raw_Export!B2959),2)))))</f>
        <v/>
      </c>
      <c r="C2959" s="36" t="str">
        <f aca="false">IF(Raw_Export!$A2959="","",IFERROR(VLOOKUP(LOWER(TRIM(Raw_Export!C2959)),Maps!$A$2:$B$20,2,FALSE()),"UNMAPPED"))</f>
        <v/>
      </c>
      <c r="D2959" s="36" t="str">
        <f aca="false">IF(Raw_Export!$A2959="","",IFERROR(VLOOKUP(LOWER(TRIM(Raw_Export!D2959)),Maps!$G$2:$I$80,2,FALSE()),"UNMAPPED"))</f>
        <v/>
      </c>
      <c r="E2959" s="36" t="str">
        <f aca="false">IF(Raw_Export!$A2959="","",IFERROR(VLOOKUP(LOWER(TRIM(Raw_Export!D2959)),Maps!$G$2:$I$80,3,FALSE()),"UNMAPPED"))</f>
        <v/>
      </c>
      <c r="F2959" s="36" t="str">
        <f aca="false">IF(Raw_Export!$A2959="","",IFERROR(VALUE(TRIM(Raw_Export!E2959)),0))</f>
        <v/>
      </c>
      <c r="G2959" s="38" t="str">
        <f aca="false">IF(Raw_Export!$A2959="","",IFERROR(VALUE(SUBSTITUTE(SUBSTITUTE(UPPER(TRIM(Raw_Export!F2959)),"KES",""),",","")),0))</f>
        <v/>
      </c>
      <c r="H2959" s="38" t="str">
        <f aca="false">IF(Raw_Export!$A2959="","",F2959*G2959)</f>
        <v/>
      </c>
      <c r="I2959" s="36" t="str">
        <f aca="false">IF(Raw_Export!$A2959="","",IFERROR(VLOOKUP(LOWER(TRIM(Raw_Export!H2959)),Maps!$D$2:$E$12,2,FALSE()),"Other"))</f>
        <v/>
      </c>
      <c r="J2959" s="36" t="str">
        <f aca="false">IF(Raw_Export!$A2959="","",IF(COUNTIF($A$2:A2959,A2959)&gt;1,"Duplicate",""))</f>
        <v/>
      </c>
      <c r="K2959" s="36" t="str">
        <f aca="false">IF(Raw_Export!$A2959="","",IF(J2959="Duplicate","Duplicate",IF(OR(C2959="UNMAPPED",D2959="UNMAPPED"),"Unmapped",IF(F2959=0,"Blank qty",IF(F2959&lt;0,"Return","OK")))))</f>
        <v/>
      </c>
      <c r="L2959" s="36" t="str">
        <f aca="false">IF(Raw_Export!$A2959="","",IF(OR(K2959="OK",K2959="Return"),1,0))</f>
        <v/>
      </c>
      <c r="M2959" s="37" t="str">
        <f aca="false">IF(Raw_Export!$A2959="","",B2959-WEEKDAY(B2959,2)+1)</f>
        <v/>
      </c>
    </row>
    <row r="2960" customFormat="false" ht="15" hidden="false" customHeight="false" outlineLevel="0" collapsed="false">
      <c r="A2960" s="36" t="str">
        <f aca="false">IF(Raw_Export!$A2960="","",TRIM(Raw_Export!A2960))</f>
        <v/>
      </c>
      <c r="B2960" s="37" t="str">
        <f aca="false">IF(Raw_Export!$A2960="","",IF(ISNUMBER(Raw_Export!B2960),Raw_Export!B2960,IF(MID(TRIM(Raw_Export!B2960),5,1)="-",DATE(LEFT(TRIM(Raw_Export!B2960),4),MID(TRIM(Raw_Export!B2960),6,2),RIGHT(TRIM(Raw_Export!B2960),2)),DATE(RIGHT(TRIM(Raw_Export!B2960),4),MATCH(MID(TRIM(Raw_Export!B2960),4,3),{"Jan","Feb","Mar","Apr","May","Jun","Jul","Aug","Sep","Oct","Nov","Dec"},0),LEFT(TRIM(Raw_Export!B2960),2)))))</f>
        <v/>
      </c>
      <c r="C2960" s="36" t="str">
        <f aca="false">IF(Raw_Export!$A2960="","",IFERROR(VLOOKUP(LOWER(TRIM(Raw_Export!C2960)),Maps!$A$2:$B$20,2,FALSE()),"UNMAPPED"))</f>
        <v/>
      </c>
      <c r="D2960" s="36" t="str">
        <f aca="false">IF(Raw_Export!$A2960="","",IFERROR(VLOOKUP(LOWER(TRIM(Raw_Export!D2960)),Maps!$G$2:$I$80,2,FALSE()),"UNMAPPED"))</f>
        <v/>
      </c>
      <c r="E2960" s="36" t="str">
        <f aca="false">IF(Raw_Export!$A2960="","",IFERROR(VLOOKUP(LOWER(TRIM(Raw_Export!D2960)),Maps!$G$2:$I$80,3,FALSE()),"UNMAPPED"))</f>
        <v/>
      </c>
      <c r="F2960" s="36" t="str">
        <f aca="false">IF(Raw_Export!$A2960="","",IFERROR(VALUE(TRIM(Raw_Export!E2960)),0))</f>
        <v/>
      </c>
      <c r="G2960" s="38" t="str">
        <f aca="false">IF(Raw_Export!$A2960="","",IFERROR(VALUE(SUBSTITUTE(SUBSTITUTE(UPPER(TRIM(Raw_Export!F2960)),"KES",""),",","")),0))</f>
        <v/>
      </c>
      <c r="H2960" s="38" t="str">
        <f aca="false">IF(Raw_Export!$A2960="","",F2960*G2960)</f>
        <v/>
      </c>
      <c r="I2960" s="36" t="str">
        <f aca="false">IF(Raw_Export!$A2960="","",IFERROR(VLOOKUP(LOWER(TRIM(Raw_Export!H2960)),Maps!$D$2:$E$12,2,FALSE()),"Other"))</f>
        <v/>
      </c>
      <c r="J2960" s="36" t="str">
        <f aca="false">IF(Raw_Export!$A2960="","",IF(COUNTIF($A$2:A2960,A2960)&gt;1,"Duplicate",""))</f>
        <v/>
      </c>
      <c r="K2960" s="36" t="str">
        <f aca="false">IF(Raw_Export!$A2960="","",IF(J2960="Duplicate","Duplicate",IF(OR(C2960="UNMAPPED",D2960="UNMAPPED"),"Unmapped",IF(F2960=0,"Blank qty",IF(F2960&lt;0,"Return","OK")))))</f>
        <v/>
      </c>
      <c r="L2960" s="36" t="str">
        <f aca="false">IF(Raw_Export!$A2960="","",IF(OR(K2960="OK",K2960="Return"),1,0))</f>
        <v/>
      </c>
      <c r="M2960" s="37" t="str">
        <f aca="false">IF(Raw_Export!$A2960="","",B2960-WEEKDAY(B2960,2)+1)</f>
        <v/>
      </c>
    </row>
    <row r="2961" customFormat="false" ht="15" hidden="false" customHeight="false" outlineLevel="0" collapsed="false">
      <c r="A2961" s="36" t="str">
        <f aca="false">IF(Raw_Export!$A2961="","",TRIM(Raw_Export!A2961))</f>
        <v/>
      </c>
      <c r="B2961" s="37" t="str">
        <f aca="false">IF(Raw_Export!$A2961="","",IF(ISNUMBER(Raw_Export!B2961),Raw_Export!B2961,IF(MID(TRIM(Raw_Export!B2961),5,1)="-",DATE(LEFT(TRIM(Raw_Export!B2961),4),MID(TRIM(Raw_Export!B2961),6,2),RIGHT(TRIM(Raw_Export!B2961),2)),DATE(RIGHT(TRIM(Raw_Export!B2961),4),MATCH(MID(TRIM(Raw_Export!B2961),4,3),{"Jan","Feb","Mar","Apr","May","Jun","Jul","Aug","Sep","Oct","Nov","Dec"},0),LEFT(TRIM(Raw_Export!B2961),2)))))</f>
        <v/>
      </c>
      <c r="C2961" s="36" t="str">
        <f aca="false">IF(Raw_Export!$A2961="","",IFERROR(VLOOKUP(LOWER(TRIM(Raw_Export!C2961)),Maps!$A$2:$B$20,2,FALSE()),"UNMAPPED"))</f>
        <v/>
      </c>
      <c r="D2961" s="36" t="str">
        <f aca="false">IF(Raw_Export!$A2961="","",IFERROR(VLOOKUP(LOWER(TRIM(Raw_Export!D2961)),Maps!$G$2:$I$80,2,FALSE()),"UNMAPPED"))</f>
        <v/>
      </c>
      <c r="E2961" s="36" t="str">
        <f aca="false">IF(Raw_Export!$A2961="","",IFERROR(VLOOKUP(LOWER(TRIM(Raw_Export!D2961)),Maps!$G$2:$I$80,3,FALSE()),"UNMAPPED"))</f>
        <v/>
      </c>
      <c r="F2961" s="36" t="str">
        <f aca="false">IF(Raw_Export!$A2961="","",IFERROR(VALUE(TRIM(Raw_Export!E2961)),0))</f>
        <v/>
      </c>
      <c r="G2961" s="38" t="str">
        <f aca="false">IF(Raw_Export!$A2961="","",IFERROR(VALUE(SUBSTITUTE(SUBSTITUTE(UPPER(TRIM(Raw_Export!F2961)),"KES",""),",","")),0))</f>
        <v/>
      </c>
      <c r="H2961" s="38" t="str">
        <f aca="false">IF(Raw_Export!$A2961="","",F2961*G2961)</f>
        <v/>
      </c>
      <c r="I2961" s="36" t="str">
        <f aca="false">IF(Raw_Export!$A2961="","",IFERROR(VLOOKUP(LOWER(TRIM(Raw_Export!H2961)),Maps!$D$2:$E$12,2,FALSE()),"Other"))</f>
        <v/>
      </c>
      <c r="J2961" s="36" t="str">
        <f aca="false">IF(Raw_Export!$A2961="","",IF(COUNTIF($A$2:A2961,A2961)&gt;1,"Duplicate",""))</f>
        <v/>
      </c>
      <c r="K2961" s="36" t="str">
        <f aca="false">IF(Raw_Export!$A2961="","",IF(J2961="Duplicate","Duplicate",IF(OR(C2961="UNMAPPED",D2961="UNMAPPED"),"Unmapped",IF(F2961=0,"Blank qty",IF(F2961&lt;0,"Return","OK")))))</f>
        <v/>
      </c>
      <c r="L2961" s="36" t="str">
        <f aca="false">IF(Raw_Export!$A2961="","",IF(OR(K2961="OK",K2961="Return"),1,0))</f>
        <v/>
      </c>
      <c r="M2961" s="37" t="str">
        <f aca="false">IF(Raw_Export!$A2961="","",B2961-WEEKDAY(B2961,2)+1)</f>
        <v/>
      </c>
    </row>
    <row r="2962" customFormat="false" ht="15" hidden="false" customHeight="false" outlineLevel="0" collapsed="false">
      <c r="A2962" s="36" t="str">
        <f aca="false">IF(Raw_Export!$A2962="","",TRIM(Raw_Export!A2962))</f>
        <v/>
      </c>
      <c r="B2962" s="37" t="str">
        <f aca="false">IF(Raw_Export!$A2962="","",IF(ISNUMBER(Raw_Export!B2962),Raw_Export!B2962,IF(MID(TRIM(Raw_Export!B2962),5,1)="-",DATE(LEFT(TRIM(Raw_Export!B2962),4),MID(TRIM(Raw_Export!B2962),6,2),RIGHT(TRIM(Raw_Export!B2962),2)),DATE(RIGHT(TRIM(Raw_Export!B2962),4),MATCH(MID(TRIM(Raw_Export!B2962),4,3),{"Jan","Feb","Mar","Apr","May","Jun","Jul","Aug","Sep","Oct","Nov","Dec"},0),LEFT(TRIM(Raw_Export!B2962),2)))))</f>
        <v/>
      </c>
      <c r="C2962" s="36" t="str">
        <f aca="false">IF(Raw_Export!$A2962="","",IFERROR(VLOOKUP(LOWER(TRIM(Raw_Export!C2962)),Maps!$A$2:$B$20,2,FALSE()),"UNMAPPED"))</f>
        <v/>
      </c>
      <c r="D2962" s="36" t="str">
        <f aca="false">IF(Raw_Export!$A2962="","",IFERROR(VLOOKUP(LOWER(TRIM(Raw_Export!D2962)),Maps!$G$2:$I$80,2,FALSE()),"UNMAPPED"))</f>
        <v/>
      </c>
      <c r="E2962" s="36" t="str">
        <f aca="false">IF(Raw_Export!$A2962="","",IFERROR(VLOOKUP(LOWER(TRIM(Raw_Export!D2962)),Maps!$G$2:$I$80,3,FALSE()),"UNMAPPED"))</f>
        <v/>
      </c>
      <c r="F2962" s="36" t="str">
        <f aca="false">IF(Raw_Export!$A2962="","",IFERROR(VALUE(TRIM(Raw_Export!E2962)),0))</f>
        <v/>
      </c>
      <c r="G2962" s="38" t="str">
        <f aca="false">IF(Raw_Export!$A2962="","",IFERROR(VALUE(SUBSTITUTE(SUBSTITUTE(UPPER(TRIM(Raw_Export!F2962)),"KES",""),",","")),0))</f>
        <v/>
      </c>
      <c r="H2962" s="38" t="str">
        <f aca="false">IF(Raw_Export!$A2962="","",F2962*G2962)</f>
        <v/>
      </c>
      <c r="I2962" s="36" t="str">
        <f aca="false">IF(Raw_Export!$A2962="","",IFERROR(VLOOKUP(LOWER(TRIM(Raw_Export!H2962)),Maps!$D$2:$E$12,2,FALSE()),"Other"))</f>
        <v/>
      </c>
      <c r="J2962" s="36" t="str">
        <f aca="false">IF(Raw_Export!$A2962="","",IF(COUNTIF($A$2:A2962,A2962)&gt;1,"Duplicate",""))</f>
        <v/>
      </c>
      <c r="K2962" s="36" t="str">
        <f aca="false">IF(Raw_Export!$A2962="","",IF(J2962="Duplicate","Duplicate",IF(OR(C2962="UNMAPPED",D2962="UNMAPPED"),"Unmapped",IF(F2962=0,"Blank qty",IF(F2962&lt;0,"Return","OK")))))</f>
        <v/>
      </c>
      <c r="L2962" s="36" t="str">
        <f aca="false">IF(Raw_Export!$A2962="","",IF(OR(K2962="OK",K2962="Return"),1,0))</f>
        <v/>
      </c>
      <c r="M2962" s="37" t="str">
        <f aca="false">IF(Raw_Export!$A2962="","",B2962-WEEKDAY(B2962,2)+1)</f>
        <v/>
      </c>
    </row>
    <row r="2963" customFormat="false" ht="15" hidden="false" customHeight="false" outlineLevel="0" collapsed="false">
      <c r="A2963" s="36" t="str">
        <f aca="false">IF(Raw_Export!$A2963="","",TRIM(Raw_Export!A2963))</f>
        <v/>
      </c>
      <c r="B2963" s="37" t="str">
        <f aca="false">IF(Raw_Export!$A2963="","",IF(ISNUMBER(Raw_Export!B2963),Raw_Export!B2963,IF(MID(TRIM(Raw_Export!B2963),5,1)="-",DATE(LEFT(TRIM(Raw_Export!B2963),4),MID(TRIM(Raw_Export!B2963),6,2),RIGHT(TRIM(Raw_Export!B2963),2)),DATE(RIGHT(TRIM(Raw_Export!B2963),4),MATCH(MID(TRIM(Raw_Export!B2963),4,3),{"Jan","Feb","Mar","Apr","May","Jun","Jul","Aug","Sep","Oct","Nov","Dec"},0),LEFT(TRIM(Raw_Export!B2963),2)))))</f>
        <v/>
      </c>
      <c r="C2963" s="36" t="str">
        <f aca="false">IF(Raw_Export!$A2963="","",IFERROR(VLOOKUP(LOWER(TRIM(Raw_Export!C2963)),Maps!$A$2:$B$20,2,FALSE()),"UNMAPPED"))</f>
        <v/>
      </c>
      <c r="D2963" s="36" t="str">
        <f aca="false">IF(Raw_Export!$A2963="","",IFERROR(VLOOKUP(LOWER(TRIM(Raw_Export!D2963)),Maps!$G$2:$I$80,2,FALSE()),"UNMAPPED"))</f>
        <v/>
      </c>
      <c r="E2963" s="36" t="str">
        <f aca="false">IF(Raw_Export!$A2963="","",IFERROR(VLOOKUP(LOWER(TRIM(Raw_Export!D2963)),Maps!$G$2:$I$80,3,FALSE()),"UNMAPPED"))</f>
        <v/>
      </c>
      <c r="F2963" s="36" t="str">
        <f aca="false">IF(Raw_Export!$A2963="","",IFERROR(VALUE(TRIM(Raw_Export!E2963)),0))</f>
        <v/>
      </c>
      <c r="G2963" s="38" t="str">
        <f aca="false">IF(Raw_Export!$A2963="","",IFERROR(VALUE(SUBSTITUTE(SUBSTITUTE(UPPER(TRIM(Raw_Export!F2963)),"KES",""),",","")),0))</f>
        <v/>
      </c>
      <c r="H2963" s="38" t="str">
        <f aca="false">IF(Raw_Export!$A2963="","",F2963*G2963)</f>
        <v/>
      </c>
      <c r="I2963" s="36" t="str">
        <f aca="false">IF(Raw_Export!$A2963="","",IFERROR(VLOOKUP(LOWER(TRIM(Raw_Export!H2963)),Maps!$D$2:$E$12,2,FALSE()),"Other"))</f>
        <v/>
      </c>
      <c r="J2963" s="36" t="str">
        <f aca="false">IF(Raw_Export!$A2963="","",IF(COUNTIF($A$2:A2963,A2963)&gt;1,"Duplicate",""))</f>
        <v/>
      </c>
      <c r="K2963" s="36" t="str">
        <f aca="false">IF(Raw_Export!$A2963="","",IF(J2963="Duplicate","Duplicate",IF(OR(C2963="UNMAPPED",D2963="UNMAPPED"),"Unmapped",IF(F2963=0,"Blank qty",IF(F2963&lt;0,"Return","OK")))))</f>
        <v/>
      </c>
      <c r="L2963" s="36" t="str">
        <f aca="false">IF(Raw_Export!$A2963="","",IF(OR(K2963="OK",K2963="Return"),1,0))</f>
        <v/>
      </c>
      <c r="M2963" s="37" t="str">
        <f aca="false">IF(Raw_Export!$A2963="","",B2963-WEEKDAY(B2963,2)+1)</f>
        <v/>
      </c>
    </row>
    <row r="2964" customFormat="false" ht="15" hidden="false" customHeight="false" outlineLevel="0" collapsed="false">
      <c r="A2964" s="36" t="str">
        <f aca="false">IF(Raw_Export!$A2964="","",TRIM(Raw_Export!A2964))</f>
        <v/>
      </c>
      <c r="B2964" s="37" t="str">
        <f aca="false">IF(Raw_Export!$A2964="","",IF(ISNUMBER(Raw_Export!B2964),Raw_Export!B2964,IF(MID(TRIM(Raw_Export!B2964),5,1)="-",DATE(LEFT(TRIM(Raw_Export!B2964),4),MID(TRIM(Raw_Export!B2964),6,2),RIGHT(TRIM(Raw_Export!B2964),2)),DATE(RIGHT(TRIM(Raw_Export!B2964),4),MATCH(MID(TRIM(Raw_Export!B2964),4,3),{"Jan","Feb","Mar","Apr","May","Jun","Jul","Aug","Sep","Oct","Nov","Dec"},0),LEFT(TRIM(Raw_Export!B2964),2)))))</f>
        <v/>
      </c>
      <c r="C2964" s="36" t="str">
        <f aca="false">IF(Raw_Export!$A2964="","",IFERROR(VLOOKUP(LOWER(TRIM(Raw_Export!C2964)),Maps!$A$2:$B$20,2,FALSE()),"UNMAPPED"))</f>
        <v/>
      </c>
      <c r="D2964" s="36" t="str">
        <f aca="false">IF(Raw_Export!$A2964="","",IFERROR(VLOOKUP(LOWER(TRIM(Raw_Export!D2964)),Maps!$G$2:$I$80,2,FALSE()),"UNMAPPED"))</f>
        <v/>
      </c>
      <c r="E2964" s="36" t="str">
        <f aca="false">IF(Raw_Export!$A2964="","",IFERROR(VLOOKUP(LOWER(TRIM(Raw_Export!D2964)),Maps!$G$2:$I$80,3,FALSE()),"UNMAPPED"))</f>
        <v/>
      </c>
      <c r="F2964" s="36" t="str">
        <f aca="false">IF(Raw_Export!$A2964="","",IFERROR(VALUE(TRIM(Raw_Export!E2964)),0))</f>
        <v/>
      </c>
      <c r="G2964" s="38" t="str">
        <f aca="false">IF(Raw_Export!$A2964="","",IFERROR(VALUE(SUBSTITUTE(SUBSTITUTE(UPPER(TRIM(Raw_Export!F2964)),"KES",""),",","")),0))</f>
        <v/>
      </c>
      <c r="H2964" s="38" t="str">
        <f aca="false">IF(Raw_Export!$A2964="","",F2964*G2964)</f>
        <v/>
      </c>
      <c r="I2964" s="36" t="str">
        <f aca="false">IF(Raw_Export!$A2964="","",IFERROR(VLOOKUP(LOWER(TRIM(Raw_Export!H2964)),Maps!$D$2:$E$12,2,FALSE()),"Other"))</f>
        <v/>
      </c>
      <c r="J2964" s="36" t="str">
        <f aca="false">IF(Raw_Export!$A2964="","",IF(COUNTIF($A$2:A2964,A2964)&gt;1,"Duplicate",""))</f>
        <v/>
      </c>
      <c r="K2964" s="36" t="str">
        <f aca="false">IF(Raw_Export!$A2964="","",IF(J2964="Duplicate","Duplicate",IF(OR(C2964="UNMAPPED",D2964="UNMAPPED"),"Unmapped",IF(F2964=0,"Blank qty",IF(F2964&lt;0,"Return","OK")))))</f>
        <v/>
      </c>
      <c r="L2964" s="36" t="str">
        <f aca="false">IF(Raw_Export!$A2964="","",IF(OR(K2964="OK",K2964="Return"),1,0))</f>
        <v/>
      </c>
      <c r="M2964" s="37" t="str">
        <f aca="false">IF(Raw_Export!$A2964="","",B2964-WEEKDAY(B2964,2)+1)</f>
        <v/>
      </c>
    </row>
    <row r="2965" customFormat="false" ht="15" hidden="false" customHeight="false" outlineLevel="0" collapsed="false">
      <c r="A2965" s="36" t="str">
        <f aca="false">IF(Raw_Export!$A2965="","",TRIM(Raw_Export!A2965))</f>
        <v/>
      </c>
      <c r="B2965" s="37" t="str">
        <f aca="false">IF(Raw_Export!$A2965="","",IF(ISNUMBER(Raw_Export!B2965),Raw_Export!B2965,IF(MID(TRIM(Raw_Export!B2965),5,1)="-",DATE(LEFT(TRIM(Raw_Export!B2965),4),MID(TRIM(Raw_Export!B2965),6,2),RIGHT(TRIM(Raw_Export!B2965),2)),DATE(RIGHT(TRIM(Raw_Export!B2965),4),MATCH(MID(TRIM(Raw_Export!B2965),4,3),{"Jan","Feb","Mar","Apr","May","Jun","Jul","Aug","Sep","Oct","Nov","Dec"},0),LEFT(TRIM(Raw_Export!B2965),2)))))</f>
        <v/>
      </c>
      <c r="C2965" s="36" t="str">
        <f aca="false">IF(Raw_Export!$A2965="","",IFERROR(VLOOKUP(LOWER(TRIM(Raw_Export!C2965)),Maps!$A$2:$B$20,2,FALSE()),"UNMAPPED"))</f>
        <v/>
      </c>
      <c r="D2965" s="36" t="str">
        <f aca="false">IF(Raw_Export!$A2965="","",IFERROR(VLOOKUP(LOWER(TRIM(Raw_Export!D2965)),Maps!$G$2:$I$80,2,FALSE()),"UNMAPPED"))</f>
        <v/>
      </c>
      <c r="E2965" s="36" t="str">
        <f aca="false">IF(Raw_Export!$A2965="","",IFERROR(VLOOKUP(LOWER(TRIM(Raw_Export!D2965)),Maps!$G$2:$I$80,3,FALSE()),"UNMAPPED"))</f>
        <v/>
      </c>
      <c r="F2965" s="36" t="str">
        <f aca="false">IF(Raw_Export!$A2965="","",IFERROR(VALUE(TRIM(Raw_Export!E2965)),0))</f>
        <v/>
      </c>
      <c r="G2965" s="38" t="str">
        <f aca="false">IF(Raw_Export!$A2965="","",IFERROR(VALUE(SUBSTITUTE(SUBSTITUTE(UPPER(TRIM(Raw_Export!F2965)),"KES",""),",","")),0))</f>
        <v/>
      </c>
      <c r="H2965" s="38" t="str">
        <f aca="false">IF(Raw_Export!$A2965="","",F2965*G2965)</f>
        <v/>
      </c>
      <c r="I2965" s="36" t="str">
        <f aca="false">IF(Raw_Export!$A2965="","",IFERROR(VLOOKUP(LOWER(TRIM(Raw_Export!H2965)),Maps!$D$2:$E$12,2,FALSE()),"Other"))</f>
        <v/>
      </c>
      <c r="J2965" s="36" t="str">
        <f aca="false">IF(Raw_Export!$A2965="","",IF(COUNTIF($A$2:A2965,A2965)&gt;1,"Duplicate",""))</f>
        <v/>
      </c>
      <c r="K2965" s="36" t="str">
        <f aca="false">IF(Raw_Export!$A2965="","",IF(J2965="Duplicate","Duplicate",IF(OR(C2965="UNMAPPED",D2965="UNMAPPED"),"Unmapped",IF(F2965=0,"Blank qty",IF(F2965&lt;0,"Return","OK")))))</f>
        <v/>
      </c>
      <c r="L2965" s="36" t="str">
        <f aca="false">IF(Raw_Export!$A2965="","",IF(OR(K2965="OK",K2965="Return"),1,0))</f>
        <v/>
      </c>
      <c r="M2965" s="37" t="str">
        <f aca="false">IF(Raw_Export!$A2965="","",B2965-WEEKDAY(B2965,2)+1)</f>
        <v/>
      </c>
    </row>
    <row r="2966" customFormat="false" ht="15" hidden="false" customHeight="false" outlineLevel="0" collapsed="false">
      <c r="A2966" s="36" t="str">
        <f aca="false">IF(Raw_Export!$A2966="","",TRIM(Raw_Export!A2966))</f>
        <v/>
      </c>
      <c r="B2966" s="37" t="str">
        <f aca="false">IF(Raw_Export!$A2966="","",IF(ISNUMBER(Raw_Export!B2966),Raw_Export!B2966,IF(MID(TRIM(Raw_Export!B2966),5,1)="-",DATE(LEFT(TRIM(Raw_Export!B2966),4),MID(TRIM(Raw_Export!B2966),6,2),RIGHT(TRIM(Raw_Export!B2966),2)),DATE(RIGHT(TRIM(Raw_Export!B2966),4),MATCH(MID(TRIM(Raw_Export!B2966),4,3),{"Jan","Feb","Mar","Apr","May","Jun","Jul","Aug","Sep","Oct","Nov","Dec"},0),LEFT(TRIM(Raw_Export!B2966),2)))))</f>
        <v/>
      </c>
      <c r="C2966" s="36" t="str">
        <f aca="false">IF(Raw_Export!$A2966="","",IFERROR(VLOOKUP(LOWER(TRIM(Raw_Export!C2966)),Maps!$A$2:$B$20,2,FALSE()),"UNMAPPED"))</f>
        <v/>
      </c>
      <c r="D2966" s="36" t="str">
        <f aca="false">IF(Raw_Export!$A2966="","",IFERROR(VLOOKUP(LOWER(TRIM(Raw_Export!D2966)),Maps!$G$2:$I$80,2,FALSE()),"UNMAPPED"))</f>
        <v/>
      </c>
      <c r="E2966" s="36" t="str">
        <f aca="false">IF(Raw_Export!$A2966="","",IFERROR(VLOOKUP(LOWER(TRIM(Raw_Export!D2966)),Maps!$G$2:$I$80,3,FALSE()),"UNMAPPED"))</f>
        <v/>
      </c>
      <c r="F2966" s="36" t="str">
        <f aca="false">IF(Raw_Export!$A2966="","",IFERROR(VALUE(TRIM(Raw_Export!E2966)),0))</f>
        <v/>
      </c>
      <c r="G2966" s="38" t="str">
        <f aca="false">IF(Raw_Export!$A2966="","",IFERROR(VALUE(SUBSTITUTE(SUBSTITUTE(UPPER(TRIM(Raw_Export!F2966)),"KES",""),",","")),0))</f>
        <v/>
      </c>
      <c r="H2966" s="38" t="str">
        <f aca="false">IF(Raw_Export!$A2966="","",F2966*G2966)</f>
        <v/>
      </c>
      <c r="I2966" s="36" t="str">
        <f aca="false">IF(Raw_Export!$A2966="","",IFERROR(VLOOKUP(LOWER(TRIM(Raw_Export!H2966)),Maps!$D$2:$E$12,2,FALSE()),"Other"))</f>
        <v/>
      </c>
      <c r="J2966" s="36" t="str">
        <f aca="false">IF(Raw_Export!$A2966="","",IF(COUNTIF($A$2:A2966,A2966)&gt;1,"Duplicate",""))</f>
        <v/>
      </c>
      <c r="K2966" s="36" t="str">
        <f aca="false">IF(Raw_Export!$A2966="","",IF(J2966="Duplicate","Duplicate",IF(OR(C2966="UNMAPPED",D2966="UNMAPPED"),"Unmapped",IF(F2966=0,"Blank qty",IF(F2966&lt;0,"Return","OK")))))</f>
        <v/>
      </c>
      <c r="L2966" s="36" t="str">
        <f aca="false">IF(Raw_Export!$A2966="","",IF(OR(K2966="OK",K2966="Return"),1,0))</f>
        <v/>
      </c>
      <c r="M2966" s="37" t="str">
        <f aca="false">IF(Raw_Export!$A2966="","",B2966-WEEKDAY(B2966,2)+1)</f>
        <v/>
      </c>
    </row>
    <row r="2967" customFormat="false" ht="15" hidden="false" customHeight="false" outlineLevel="0" collapsed="false">
      <c r="A2967" s="36" t="str">
        <f aca="false">IF(Raw_Export!$A2967="","",TRIM(Raw_Export!A2967))</f>
        <v/>
      </c>
      <c r="B2967" s="37" t="str">
        <f aca="false">IF(Raw_Export!$A2967="","",IF(ISNUMBER(Raw_Export!B2967),Raw_Export!B2967,IF(MID(TRIM(Raw_Export!B2967),5,1)="-",DATE(LEFT(TRIM(Raw_Export!B2967),4),MID(TRIM(Raw_Export!B2967),6,2),RIGHT(TRIM(Raw_Export!B2967),2)),DATE(RIGHT(TRIM(Raw_Export!B2967),4),MATCH(MID(TRIM(Raw_Export!B2967),4,3),{"Jan","Feb","Mar","Apr","May","Jun","Jul","Aug","Sep","Oct","Nov","Dec"},0),LEFT(TRIM(Raw_Export!B2967),2)))))</f>
        <v/>
      </c>
      <c r="C2967" s="36" t="str">
        <f aca="false">IF(Raw_Export!$A2967="","",IFERROR(VLOOKUP(LOWER(TRIM(Raw_Export!C2967)),Maps!$A$2:$B$20,2,FALSE()),"UNMAPPED"))</f>
        <v/>
      </c>
      <c r="D2967" s="36" t="str">
        <f aca="false">IF(Raw_Export!$A2967="","",IFERROR(VLOOKUP(LOWER(TRIM(Raw_Export!D2967)),Maps!$G$2:$I$80,2,FALSE()),"UNMAPPED"))</f>
        <v/>
      </c>
      <c r="E2967" s="36" t="str">
        <f aca="false">IF(Raw_Export!$A2967="","",IFERROR(VLOOKUP(LOWER(TRIM(Raw_Export!D2967)),Maps!$G$2:$I$80,3,FALSE()),"UNMAPPED"))</f>
        <v/>
      </c>
      <c r="F2967" s="36" t="str">
        <f aca="false">IF(Raw_Export!$A2967="","",IFERROR(VALUE(TRIM(Raw_Export!E2967)),0))</f>
        <v/>
      </c>
      <c r="G2967" s="38" t="str">
        <f aca="false">IF(Raw_Export!$A2967="","",IFERROR(VALUE(SUBSTITUTE(SUBSTITUTE(UPPER(TRIM(Raw_Export!F2967)),"KES",""),",","")),0))</f>
        <v/>
      </c>
      <c r="H2967" s="38" t="str">
        <f aca="false">IF(Raw_Export!$A2967="","",F2967*G2967)</f>
        <v/>
      </c>
      <c r="I2967" s="36" t="str">
        <f aca="false">IF(Raw_Export!$A2967="","",IFERROR(VLOOKUP(LOWER(TRIM(Raw_Export!H2967)),Maps!$D$2:$E$12,2,FALSE()),"Other"))</f>
        <v/>
      </c>
      <c r="J2967" s="36" t="str">
        <f aca="false">IF(Raw_Export!$A2967="","",IF(COUNTIF($A$2:A2967,A2967)&gt;1,"Duplicate",""))</f>
        <v/>
      </c>
      <c r="K2967" s="36" t="str">
        <f aca="false">IF(Raw_Export!$A2967="","",IF(J2967="Duplicate","Duplicate",IF(OR(C2967="UNMAPPED",D2967="UNMAPPED"),"Unmapped",IF(F2967=0,"Blank qty",IF(F2967&lt;0,"Return","OK")))))</f>
        <v/>
      </c>
      <c r="L2967" s="36" t="str">
        <f aca="false">IF(Raw_Export!$A2967="","",IF(OR(K2967="OK",K2967="Return"),1,0))</f>
        <v/>
      </c>
      <c r="M2967" s="37" t="str">
        <f aca="false">IF(Raw_Export!$A2967="","",B2967-WEEKDAY(B2967,2)+1)</f>
        <v/>
      </c>
    </row>
    <row r="2968" customFormat="false" ht="15" hidden="false" customHeight="false" outlineLevel="0" collapsed="false">
      <c r="A2968" s="36" t="str">
        <f aca="false">IF(Raw_Export!$A2968="","",TRIM(Raw_Export!A2968))</f>
        <v/>
      </c>
      <c r="B2968" s="37" t="str">
        <f aca="false">IF(Raw_Export!$A2968="","",IF(ISNUMBER(Raw_Export!B2968),Raw_Export!B2968,IF(MID(TRIM(Raw_Export!B2968),5,1)="-",DATE(LEFT(TRIM(Raw_Export!B2968),4),MID(TRIM(Raw_Export!B2968),6,2),RIGHT(TRIM(Raw_Export!B2968),2)),DATE(RIGHT(TRIM(Raw_Export!B2968),4),MATCH(MID(TRIM(Raw_Export!B2968),4,3),{"Jan","Feb","Mar","Apr","May","Jun","Jul","Aug","Sep","Oct","Nov","Dec"},0),LEFT(TRIM(Raw_Export!B2968),2)))))</f>
        <v/>
      </c>
      <c r="C2968" s="36" t="str">
        <f aca="false">IF(Raw_Export!$A2968="","",IFERROR(VLOOKUP(LOWER(TRIM(Raw_Export!C2968)),Maps!$A$2:$B$20,2,FALSE()),"UNMAPPED"))</f>
        <v/>
      </c>
      <c r="D2968" s="36" t="str">
        <f aca="false">IF(Raw_Export!$A2968="","",IFERROR(VLOOKUP(LOWER(TRIM(Raw_Export!D2968)),Maps!$G$2:$I$80,2,FALSE()),"UNMAPPED"))</f>
        <v/>
      </c>
      <c r="E2968" s="36" t="str">
        <f aca="false">IF(Raw_Export!$A2968="","",IFERROR(VLOOKUP(LOWER(TRIM(Raw_Export!D2968)),Maps!$G$2:$I$80,3,FALSE()),"UNMAPPED"))</f>
        <v/>
      </c>
      <c r="F2968" s="36" t="str">
        <f aca="false">IF(Raw_Export!$A2968="","",IFERROR(VALUE(TRIM(Raw_Export!E2968)),0))</f>
        <v/>
      </c>
      <c r="G2968" s="38" t="str">
        <f aca="false">IF(Raw_Export!$A2968="","",IFERROR(VALUE(SUBSTITUTE(SUBSTITUTE(UPPER(TRIM(Raw_Export!F2968)),"KES",""),",","")),0))</f>
        <v/>
      </c>
      <c r="H2968" s="38" t="str">
        <f aca="false">IF(Raw_Export!$A2968="","",F2968*G2968)</f>
        <v/>
      </c>
      <c r="I2968" s="36" t="str">
        <f aca="false">IF(Raw_Export!$A2968="","",IFERROR(VLOOKUP(LOWER(TRIM(Raw_Export!H2968)),Maps!$D$2:$E$12,2,FALSE()),"Other"))</f>
        <v/>
      </c>
      <c r="J2968" s="36" t="str">
        <f aca="false">IF(Raw_Export!$A2968="","",IF(COUNTIF($A$2:A2968,A2968)&gt;1,"Duplicate",""))</f>
        <v/>
      </c>
      <c r="K2968" s="36" t="str">
        <f aca="false">IF(Raw_Export!$A2968="","",IF(J2968="Duplicate","Duplicate",IF(OR(C2968="UNMAPPED",D2968="UNMAPPED"),"Unmapped",IF(F2968=0,"Blank qty",IF(F2968&lt;0,"Return","OK")))))</f>
        <v/>
      </c>
      <c r="L2968" s="36" t="str">
        <f aca="false">IF(Raw_Export!$A2968="","",IF(OR(K2968="OK",K2968="Return"),1,0))</f>
        <v/>
      </c>
      <c r="M2968" s="37" t="str">
        <f aca="false">IF(Raw_Export!$A2968="","",B2968-WEEKDAY(B2968,2)+1)</f>
        <v/>
      </c>
    </row>
    <row r="2969" customFormat="false" ht="15" hidden="false" customHeight="false" outlineLevel="0" collapsed="false">
      <c r="A2969" s="36" t="str">
        <f aca="false">IF(Raw_Export!$A2969="","",TRIM(Raw_Export!A2969))</f>
        <v/>
      </c>
      <c r="B2969" s="37" t="str">
        <f aca="false">IF(Raw_Export!$A2969="","",IF(ISNUMBER(Raw_Export!B2969),Raw_Export!B2969,IF(MID(TRIM(Raw_Export!B2969),5,1)="-",DATE(LEFT(TRIM(Raw_Export!B2969),4),MID(TRIM(Raw_Export!B2969),6,2),RIGHT(TRIM(Raw_Export!B2969),2)),DATE(RIGHT(TRIM(Raw_Export!B2969),4),MATCH(MID(TRIM(Raw_Export!B2969),4,3),{"Jan","Feb","Mar","Apr","May","Jun","Jul","Aug","Sep","Oct","Nov","Dec"},0),LEFT(TRIM(Raw_Export!B2969),2)))))</f>
        <v/>
      </c>
      <c r="C2969" s="36" t="str">
        <f aca="false">IF(Raw_Export!$A2969="","",IFERROR(VLOOKUP(LOWER(TRIM(Raw_Export!C2969)),Maps!$A$2:$B$20,2,FALSE()),"UNMAPPED"))</f>
        <v/>
      </c>
      <c r="D2969" s="36" t="str">
        <f aca="false">IF(Raw_Export!$A2969="","",IFERROR(VLOOKUP(LOWER(TRIM(Raw_Export!D2969)),Maps!$G$2:$I$80,2,FALSE()),"UNMAPPED"))</f>
        <v/>
      </c>
      <c r="E2969" s="36" t="str">
        <f aca="false">IF(Raw_Export!$A2969="","",IFERROR(VLOOKUP(LOWER(TRIM(Raw_Export!D2969)),Maps!$G$2:$I$80,3,FALSE()),"UNMAPPED"))</f>
        <v/>
      </c>
      <c r="F2969" s="36" t="str">
        <f aca="false">IF(Raw_Export!$A2969="","",IFERROR(VALUE(TRIM(Raw_Export!E2969)),0))</f>
        <v/>
      </c>
      <c r="G2969" s="38" t="str">
        <f aca="false">IF(Raw_Export!$A2969="","",IFERROR(VALUE(SUBSTITUTE(SUBSTITUTE(UPPER(TRIM(Raw_Export!F2969)),"KES",""),",","")),0))</f>
        <v/>
      </c>
      <c r="H2969" s="38" t="str">
        <f aca="false">IF(Raw_Export!$A2969="","",F2969*G2969)</f>
        <v/>
      </c>
      <c r="I2969" s="36" t="str">
        <f aca="false">IF(Raw_Export!$A2969="","",IFERROR(VLOOKUP(LOWER(TRIM(Raw_Export!H2969)),Maps!$D$2:$E$12,2,FALSE()),"Other"))</f>
        <v/>
      </c>
      <c r="J2969" s="36" t="str">
        <f aca="false">IF(Raw_Export!$A2969="","",IF(COUNTIF($A$2:A2969,A2969)&gt;1,"Duplicate",""))</f>
        <v/>
      </c>
      <c r="K2969" s="36" t="str">
        <f aca="false">IF(Raw_Export!$A2969="","",IF(J2969="Duplicate","Duplicate",IF(OR(C2969="UNMAPPED",D2969="UNMAPPED"),"Unmapped",IF(F2969=0,"Blank qty",IF(F2969&lt;0,"Return","OK")))))</f>
        <v/>
      </c>
      <c r="L2969" s="36" t="str">
        <f aca="false">IF(Raw_Export!$A2969="","",IF(OR(K2969="OK",K2969="Return"),1,0))</f>
        <v/>
      </c>
      <c r="M2969" s="37" t="str">
        <f aca="false">IF(Raw_Export!$A2969="","",B2969-WEEKDAY(B2969,2)+1)</f>
        <v/>
      </c>
    </row>
    <row r="2970" customFormat="false" ht="15" hidden="false" customHeight="false" outlineLevel="0" collapsed="false">
      <c r="A2970" s="36" t="str">
        <f aca="false">IF(Raw_Export!$A2970="","",TRIM(Raw_Export!A2970))</f>
        <v/>
      </c>
      <c r="B2970" s="37" t="str">
        <f aca="false">IF(Raw_Export!$A2970="","",IF(ISNUMBER(Raw_Export!B2970),Raw_Export!B2970,IF(MID(TRIM(Raw_Export!B2970),5,1)="-",DATE(LEFT(TRIM(Raw_Export!B2970),4),MID(TRIM(Raw_Export!B2970),6,2),RIGHT(TRIM(Raw_Export!B2970),2)),DATE(RIGHT(TRIM(Raw_Export!B2970),4),MATCH(MID(TRIM(Raw_Export!B2970),4,3),{"Jan","Feb","Mar","Apr","May","Jun","Jul","Aug","Sep","Oct","Nov","Dec"},0),LEFT(TRIM(Raw_Export!B2970),2)))))</f>
        <v/>
      </c>
      <c r="C2970" s="36" t="str">
        <f aca="false">IF(Raw_Export!$A2970="","",IFERROR(VLOOKUP(LOWER(TRIM(Raw_Export!C2970)),Maps!$A$2:$B$20,2,FALSE()),"UNMAPPED"))</f>
        <v/>
      </c>
      <c r="D2970" s="36" t="str">
        <f aca="false">IF(Raw_Export!$A2970="","",IFERROR(VLOOKUP(LOWER(TRIM(Raw_Export!D2970)),Maps!$G$2:$I$80,2,FALSE()),"UNMAPPED"))</f>
        <v/>
      </c>
      <c r="E2970" s="36" t="str">
        <f aca="false">IF(Raw_Export!$A2970="","",IFERROR(VLOOKUP(LOWER(TRIM(Raw_Export!D2970)),Maps!$G$2:$I$80,3,FALSE()),"UNMAPPED"))</f>
        <v/>
      </c>
      <c r="F2970" s="36" t="str">
        <f aca="false">IF(Raw_Export!$A2970="","",IFERROR(VALUE(TRIM(Raw_Export!E2970)),0))</f>
        <v/>
      </c>
      <c r="G2970" s="38" t="str">
        <f aca="false">IF(Raw_Export!$A2970="","",IFERROR(VALUE(SUBSTITUTE(SUBSTITUTE(UPPER(TRIM(Raw_Export!F2970)),"KES",""),",","")),0))</f>
        <v/>
      </c>
      <c r="H2970" s="38" t="str">
        <f aca="false">IF(Raw_Export!$A2970="","",F2970*G2970)</f>
        <v/>
      </c>
      <c r="I2970" s="36" t="str">
        <f aca="false">IF(Raw_Export!$A2970="","",IFERROR(VLOOKUP(LOWER(TRIM(Raw_Export!H2970)),Maps!$D$2:$E$12,2,FALSE()),"Other"))</f>
        <v/>
      </c>
      <c r="J2970" s="36" t="str">
        <f aca="false">IF(Raw_Export!$A2970="","",IF(COUNTIF($A$2:A2970,A2970)&gt;1,"Duplicate",""))</f>
        <v/>
      </c>
      <c r="K2970" s="36" t="str">
        <f aca="false">IF(Raw_Export!$A2970="","",IF(J2970="Duplicate","Duplicate",IF(OR(C2970="UNMAPPED",D2970="UNMAPPED"),"Unmapped",IF(F2970=0,"Blank qty",IF(F2970&lt;0,"Return","OK")))))</f>
        <v/>
      </c>
      <c r="L2970" s="36" t="str">
        <f aca="false">IF(Raw_Export!$A2970="","",IF(OR(K2970="OK",K2970="Return"),1,0))</f>
        <v/>
      </c>
      <c r="M2970" s="37" t="str">
        <f aca="false">IF(Raw_Export!$A2970="","",B2970-WEEKDAY(B2970,2)+1)</f>
        <v/>
      </c>
    </row>
    <row r="2971" customFormat="false" ht="15" hidden="false" customHeight="false" outlineLevel="0" collapsed="false">
      <c r="A2971" s="36" t="str">
        <f aca="false">IF(Raw_Export!$A2971="","",TRIM(Raw_Export!A2971))</f>
        <v/>
      </c>
      <c r="B2971" s="37" t="str">
        <f aca="false">IF(Raw_Export!$A2971="","",IF(ISNUMBER(Raw_Export!B2971),Raw_Export!B2971,IF(MID(TRIM(Raw_Export!B2971),5,1)="-",DATE(LEFT(TRIM(Raw_Export!B2971),4),MID(TRIM(Raw_Export!B2971),6,2),RIGHT(TRIM(Raw_Export!B2971),2)),DATE(RIGHT(TRIM(Raw_Export!B2971),4),MATCH(MID(TRIM(Raw_Export!B2971),4,3),{"Jan","Feb","Mar","Apr","May","Jun","Jul","Aug","Sep","Oct","Nov","Dec"},0),LEFT(TRIM(Raw_Export!B2971),2)))))</f>
        <v/>
      </c>
      <c r="C2971" s="36" t="str">
        <f aca="false">IF(Raw_Export!$A2971="","",IFERROR(VLOOKUP(LOWER(TRIM(Raw_Export!C2971)),Maps!$A$2:$B$20,2,FALSE()),"UNMAPPED"))</f>
        <v/>
      </c>
      <c r="D2971" s="36" t="str">
        <f aca="false">IF(Raw_Export!$A2971="","",IFERROR(VLOOKUP(LOWER(TRIM(Raw_Export!D2971)),Maps!$G$2:$I$80,2,FALSE()),"UNMAPPED"))</f>
        <v/>
      </c>
      <c r="E2971" s="36" t="str">
        <f aca="false">IF(Raw_Export!$A2971="","",IFERROR(VLOOKUP(LOWER(TRIM(Raw_Export!D2971)),Maps!$G$2:$I$80,3,FALSE()),"UNMAPPED"))</f>
        <v/>
      </c>
      <c r="F2971" s="36" t="str">
        <f aca="false">IF(Raw_Export!$A2971="","",IFERROR(VALUE(TRIM(Raw_Export!E2971)),0))</f>
        <v/>
      </c>
      <c r="G2971" s="38" t="str">
        <f aca="false">IF(Raw_Export!$A2971="","",IFERROR(VALUE(SUBSTITUTE(SUBSTITUTE(UPPER(TRIM(Raw_Export!F2971)),"KES",""),",","")),0))</f>
        <v/>
      </c>
      <c r="H2971" s="38" t="str">
        <f aca="false">IF(Raw_Export!$A2971="","",F2971*G2971)</f>
        <v/>
      </c>
      <c r="I2971" s="36" t="str">
        <f aca="false">IF(Raw_Export!$A2971="","",IFERROR(VLOOKUP(LOWER(TRIM(Raw_Export!H2971)),Maps!$D$2:$E$12,2,FALSE()),"Other"))</f>
        <v/>
      </c>
      <c r="J2971" s="36" t="str">
        <f aca="false">IF(Raw_Export!$A2971="","",IF(COUNTIF($A$2:A2971,A2971)&gt;1,"Duplicate",""))</f>
        <v/>
      </c>
      <c r="K2971" s="36" t="str">
        <f aca="false">IF(Raw_Export!$A2971="","",IF(J2971="Duplicate","Duplicate",IF(OR(C2971="UNMAPPED",D2971="UNMAPPED"),"Unmapped",IF(F2971=0,"Blank qty",IF(F2971&lt;0,"Return","OK")))))</f>
        <v/>
      </c>
      <c r="L2971" s="36" t="str">
        <f aca="false">IF(Raw_Export!$A2971="","",IF(OR(K2971="OK",K2971="Return"),1,0))</f>
        <v/>
      </c>
      <c r="M2971" s="37" t="str">
        <f aca="false">IF(Raw_Export!$A2971="","",B2971-WEEKDAY(B2971,2)+1)</f>
        <v/>
      </c>
    </row>
    <row r="2972" customFormat="false" ht="15" hidden="false" customHeight="false" outlineLevel="0" collapsed="false">
      <c r="A2972" s="36" t="str">
        <f aca="false">IF(Raw_Export!$A2972="","",TRIM(Raw_Export!A2972))</f>
        <v/>
      </c>
      <c r="B2972" s="37" t="str">
        <f aca="false">IF(Raw_Export!$A2972="","",IF(ISNUMBER(Raw_Export!B2972),Raw_Export!B2972,IF(MID(TRIM(Raw_Export!B2972),5,1)="-",DATE(LEFT(TRIM(Raw_Export!B2972),4),MID(TRIM(Raw_Export!B2972),6,2),RIGHT(TRIM(Raw_Export!B2972),2)),DATE(RIGHT(TRIM(Raw_Export!B2972),4),MATCH(MID(TRIM(Raw_Export!B2972),4,3),{"Jan","Feb","Mar","Apr","May","Jun","Jul","Aug","Sep","Oct","Nov","Dec"},0),LEFT(TRIM(Raw_Export!B2972),2)))))</f>
        <v/>
      </c>
      <c r="C2972" s="36" t="str">
        <f aca="false">IF(Raw_Export!$A2972="","",IFERROR(VLOOKUP(LOWER(TRIM(Raw_Export!C2972)),Maps!$A$2:$B$20,2,FALSE()),"UNMAPPED"))</f>
        <v/>
      </c>
      <c r="D2972" s="36" t="str">
        <f aca="false">IF(Raw_Export!$A2972="","",IFERROR(VLOOKUP(LOWER(TRIM(Raw_Export!D2972)),Maps!$G$2:$I$80,2,FALSE()),"UNMAPPED"))</f>
        <v/>
      </c>
      <c r="E2972" s="36" t="str">
        <f aca="false">IF(Raw_Export!$A2972="","",IFERROR(VLOOKUP(LOWER(TRIM(Raw_Export!D2972)),Maps!$G$2:$I$80,3,FALSE()),"UNMAPPED"))</f>
        <v/>
      </c>
      <c r="F2972" s="36" t="str">
        <f aca="false">IF(Raw_Export!$A2972="","",IFERROR(VALUE(TRIM(Raw_Export!E2972)),0))</f>
        <v/>
      </c>
      <c r="G2972" s="38" t="str">
        <f aca="false">IF(Raw_Export!$A2972="","",IFERROR(VALUE(SUBSTITUTE(SUBSTITUTE(UPPER(TRIM(Raw_Export!F2972)),"KES",""),",","")),0))</f>
        <v/>
      </c>
      <c r="H2972" s="38" t="str">
        <f aca="false">IF(Raw_Export!$A2972="","",F2972*G2972)</f>
        <v/>
      </c>
      <c r="I2972" s="36" t="str">
        <f aca="false">IF(Raw_Export!$A2972="","",IFERROR(VLOOKUP(LOWER(TRIM(Raw_Export!H2972)),Maps!$D$2:$E$12,2,FALSE()),"Other"))</f>
        <v/>
      </c>
      <c r="J2972" s="36" t="str">
        <f aca="false">IF(Raw_Export!$A2972="","",IF(COUNTIF($A$2:A2972,A2972)&gt;1,"Duplicate",""))</f>
        <v/>
      </c>
      <c r="K2972" s="36" t="str">
        <f aca="false">IF(Raw_Export!$A2972="","",IF(J2972="Duplicate","Duplicate",IF(OR(C2972="UNMAPPED",D2972="UNMAPPED"),"Unmapped",IF(F2972=0,"Blank qty",IF(F2972&lt;0,"Return","OK")))))</f>
        <v/>
      </c>
      <c r="L2972" s="36" t="str">
        <f aca="false">IF(Raw_Export!$A2972="","",IF(OR(K2972="OK",K2972="Return"),1,0))</f>
        <v/>
      </c>
      <c r="M2972" s="37" t="str">
        <f aca="false">IF(Raw_Export!$A2972="","",B2972-WEEKDAY(B2972,2)+1)</f>
        <v/>
      </c>
    </row>
    <row r="2973" customFormat="false" ht="15" hidden="false" customHeight="false" outlineLevel="0" collapsed="false">
      <c r="A2973" s="36" t="str">
        <f aca="false">IF(Raw_Export!$A2973="","",TRIM(Raw_Export!A2973))</f>
        <v/>
      </c>
      <c r="B2973" s="37" t="str">
        <f aca="false">IF(Raw_Export!$A2973="","",IF(ISNUMBER(Raw_Export!B2973),Raw_Export!B2973,IF(MID(TRIM(Raw_Export!B2973),5,1)="-",DATE(LEFT(TRIM(Raw_Export!B2973),4),MID(TRIM(Raw_Export!B2973),6,2),RIGHT(TRIM(Raw_Export!B2973),2)),DATE(RIGHT(TRIM(Raw_Export!B2973),4),MATCH(MID(TRIM(Raw_Export!B2973),4,3),{"Jan","Feb","Mar","Apr","May","Jun","Jul","Aug","Sep","Oct","Nov","Dec"},0),LEFT(TRIM(Raw_Export!B2973),2)))))</f>
        <v/>
      </c>
      <c r="C2973" s="36" t="str">
        <f aca="false">IF(Raw_Export!$A2973="","",IFERROR(VLOOKUP(LOWER(TRIM(Raw_Export!C2973)),Maps!$A$2:$B$20,2,FALSE()),"UNMAPPED"))</f>
        <v/>
      </c>
      <c r="D2973" s="36" t="str">
        <f aca="false">IF(Raw_Export!$A2973="","",IFERROR(VLOOKUP(LOWER(TRIM(Raw_Export!D2973)),Maps!$G$2:$I$80,2,FALSE()),"UNMAPPED"))</f>
        <v/>
      </c>
      <c r="E2973" s="36" t="str">
        <f aca="false">IF(Raw_Export!$A2973="","",IFERROR(VLOOKUP(LOWER(TRIM(Raw_Export!D2973)),Maps!$G$2:$I$80,3,FALSE()),"UNMAPPED"))</f>
        <v/>
      </c>
      <c r="F2973" s="36" t="str">
        <f aca="false">IF(Raw_Export!$A2973="","",IFERROR(VALUE(TRIM(Raw_Export!E2973)),0))</f>
        <v/>
      </c>
      <c r="G2973" s="38" t="str">
        <f aca="false">IF(Raw_Export!$A2973="","",IFERROR(VALUE(SUBSTITUTE(SUBSTITUTE(UPPER(TRIM(Raw_Export!F2973)),"KES",""),",","")),0))</f>
        <v/>
      </c>
      <c r="H2973" s="38" t="str">
        <f aca="false">IF(Raw_Export!$A2973="","",F2973*G2973)</f>
        <v/>
      </c>
      <c r="I2973" s="36" t="str">
        <f aca="false">IF(Raw_Export!$A2973="","",IFERROR(VLOOKUP(LOWER(TRIM(Raw_Export!H2973)),Maps!$D$2:$E$12,2,FALSE()),"Other"))</f>
        <v/>
      </c>
      <c r="J2973" s="36" t="str">
        <f aca="false">IF(Raw_Export!$A2973="","",IF(COUNTIF($A$2:A2973,A2973)&gt;1,"Duplicate",""))</f>
        <v/>
      </c>
      <c r="K2973" s="36" t="str">
        <f aca="false">IF(Raw_Export!$A2973="","",IF(J2973="Duplicate","Duplicate",IF(OR(C2973="UNMAPPED",D2973="UNMAPPED"),"Unmapped",IF(F2973=0,"Blank qty",IF(F2973&lt;0,"Return","OK")))))</f>
        <v/>
      </c>
      <c r="L2973" s="36" t="str">
        <f aca="false">IF(Raw_Export!$A2973="","",IF(OR(K2973="OK",K2973="Return"),1,0))</f>
        <v/>
      </c>
      <c r="M2973" s="37" t="str">
        <f aca="false">IF(Raw_Export!$A2973="","",B2973-WEEKDAY(B2973,2)+1)</f>
        <v/>
      </c>
    </row>
    <row r="2974" customFormat="false" ht="15" hidden="false" customHeight="false" outlineLevel="0" collapsed="false">
      <c r="A2974" s="36" t="str">
        <f aca="false">IF(Raw_Export!$A2974="","",TRIM(Raw_Export!A2974))</f>
        <v/>
      </c>
      <c r="B2974" s="37" t="str">
        <f aca="false">IF(Raw_Export!$A2974="","",IF(ISNUMBER(Raw_Export!B2974),Raw_Export!B2974,IF(MID(TRIM(Raw_Export!B2974),5,1)="-",DATE(LEFT(TRIM(Raw_Export!B2974),4),MID(TRIM(Raw_Export!B2974),6,2),RIGHT(TRIM(Raw_Export!B2974),2)),DATE(RIGHT(TRIM(Raw_Export!B2974),4),MATCH(MID(TRIM(Raw_Export!B2974),4,3),{"Jan","Feb","Mar","Apr","May","Jun","Jul","Aug","Sep","Oct","Nov","Dec"},0),LEFT(TRIM(Raw_Export!B2974),2)))))</f>
        <v/>
      </c>
      <c r="C2974" s="36" t="str">
        <f aca="false">IF(Raw_Export!$A2974="","",IFERROR(VLOOKUP(LOWER(TRIM(Raw_Export!C2974)),Maps!$A$2:$B$20,2,FALSE()),"UNMAPPED"))</f>
        <v/>
      </c>
      <c r="D2974" s="36" t="str">
        <f aca="false">IF(Raw_Export!$A2974="","",IFERROR(VLOOKUP(LOWER(TRIM(Raw_Export!D2974)),Maps!$G$2:$I$80,2,FALSE()),"UNMAPPED"))</f>
        <v/>
      </c>
      <c r="E2974" s="36" t="str">
        <f aca="false">IF(Raw_Export!$A2974="","",IFERROR(VLOOKUP(LOWER(TRIM(Raw_Export!D2974)),Maps!$G$2:$I$80,3,FALSE()),"UNMAPPED"))</f>
        <v/>
      </c>
      <c r="F2974" s="36" t="str">
        <f aca="false">IF(Raw_Export!$A2974="","",IFERROR(VALUE(TRIM(Raw_Export!E2974)),0))</f>
        <v/>
      </c>
      <c r="G2974" s="38" t="str">
        <f aca="false">IF(Raw_Export!$A2974="","",IFERROR(VALUE(SUBSTITUTE(SUBSTITUTE(UPPER(TRIM(Raw_Export!F2974)),"KES",""),",","")),0))</f>
        <v/>
      </c>
      <c r="H2974" s="38" t="str">
        <f aca="false">IF(Raw_Export!$A2974="","",F2974*G2974)</f>
        <v/>
      </c>
      <c r="I2974" s="36" t="str">
        <f aca="false">IF(Raw_Export!$A2974="","",IFERROR(VLOOKUP(LOWER(TRIM(Raw_Export!H2974)),Maps!$D$2:$E$12,2,FALSE()),"Other"))</f>
        <v/>
      </c>
      <c r="J2974" s="36" t="str">
        <f aca="false">IF(Raw_Export!$A2974="","",IF(COUNTIF($A$2:A2974,A2974)&gt;1,"Duplicate",""))</f>
        <v/>
      </c>
      <c r="K2974" s="36" t="str">
        <f aca="false">IF(Raw_Export!$A2974="","",IF(J2974="Duplicate","Duplicate",IF(OR(C2974="UNMAPPED",D2974="UNMAPPED"),"Unmapped",IF(F2974=0,"Blank qty",IF(F2974&lt;0,"Return","OK")))))</f>
        <v/>
      </c>
      <c r="L2974" s="36" t="str">
        <f aca="false">IF(Raw_Export!$A2974="","",IF(OR(K2974="OK",K2974="Return"),1,0))</f>
        <v/>
      </c>
      <c r="M2974" s="37" t="str">
        <f aca="false">IF(Raw_Export!$A2974="","",B2974-WEEKDAY(B2974,2)+1)</f>
        <v/>
      </c>
    </row>
    <row r="2975" customFormat="false" ht="15" hidden="false" customHeight="false" outlineLevel="0" collapsed="false">
      <c r="A2975" s="36" t="str">
        <f aca="false">IF(Raw_Export!$A2975="","",TRIM(Raw_Export!A2975))</f>
        <v/>
      </c>
      <c r="B2975" s="37" t="str">
        <f aca="false">IF(Raw_Export!$A2975="","",IF(ISNUMBER(Raw_Export!B2975),Raw_Export!B2975,IF(MID(TRIM(Raw_Export!B2975),5,1)="-",DATE(LEFT(TRIM(Raw_Export!B2975),4),MID(TRIM(Raw_Export!B2975),6,2),RIGHT(TRIM(Raw_Export!B2975),2)),DATE(RIGHT(TRIM(Raw_Export!B2975),4),MATCH(MID(TRIM(Raw_Export!B2975),4,3),{"Jan","Feb","Mar","Apr","May","Jun","Jul","Aug","Sep","Oct","Nov","Dec"},0),LEFT(TRIM(Raw_Export!B2975),2)))))</f>
        <v/>
      </c>
      <c r="C2975" s="36" t="str">
        <f aca="false">IF(Raw_Export!$A2975="","",IFERROR(VLOOKUP(LOWER(TRIM(Raw_Export!C2975)),Maps!$A$2:$B$20,2,FALSE()),"UNMAPPED"))</f>
        <v/>
      </c>
      <c r="D2975" s="36" t="str">
        <f aca="false">IF(Raw_Export!$A2975="","",IFERROR(VLOOKUP(LOWER(TRIM(Raw_Export!D2975)),Maps!$G$2:$I$80,2,FALSE()),"UNMAPPED"))</f>
        <v/>
      </c>
      <c r="E2975" s="36" t="str">
        <f aca="false">IF(Raw_Export!$A2975="","",IFERROR(VLOOKUP(LOWER(TRIM(Raw_Export!D2975)),Maps!$G$2:$I$80,3,FALSE()),"UNMAPPED"))</f>
        <v/>
      </c>
      <c r="F2975" s="36" t="str">
        <f aca="false">IF(Raw_Export!$A2975="","",IFERROR(VALUE(TRIM(Raw_Export!E2975)),0))</f>
        <v/>
      </c>
      <c r="G2975" s="38" t="str">
        <f aca="false">IF(Raw_Export!$A2975="","",IFERROR(VALUE(SUBSTITUTE(SUBSTITUTE(UPPER(TRIM(Raw_Export!F2975)),"KES",""),",","")),0))</f>
        <v/>
      </c>
      <c r="H2975" s="38" t="str">
        <f aca="false">IF(Raw_Export!$A2975="","",F2975*G2975)</f>
        <v/>
      </c>
      <c r="I2975" s="36" t="str">
        <f aca="false">IF(Raw_Export!$A2975="","",IFERROR(VLOOKUP(LOWER(TRIM(Raw_Export!H2975)),Maps!$D$2:$E$12,2,FALSE()),"Other"))</f>
        <v/>
      </c>
      <c r="J2975" s="36" t="str">
        <f aca="false">IF(Raw_Export!$A2975="","",IF(COUNTIF($A$2:A2975,A2975)&gt;1,"Duplicate",""))</f>
        <v/>
      </c>
      <c r="K2975" s="36" t="str">
        <f aca="false">IF(Raw_Export!$A2975="","",IF(J2975="Duplicate","Duplicate",IF(OR(C2975="UNMAPPED",D2975="UNMAPPED"),"Unmapped",IF(F2975=0,"Blank qty",IF(F2975&lt;0,"Return","OK")))))</f>
        <v/>
      </c>
      <c r="L2975" s="36" t="str">
        <f aca="false">IF(Raw_Export!$A2975="","",IF(OR(K2975="OK",K2975="Return"),1,0))</f>
        <v/>
      </c>
      <c r="M2975" s="37" t="str">
        <f aca="false">IF(Raw_Export!$A2975="","",B2975-WEEKDAY(B2975,2)+1)</f>
        <v/>
      </c>
    </row>
    <row r="2976" customFormat="false" ht="15" hidden="false" customHeight="false" outlineLevel="0" collapsed="false">
      <c r="A2976" s="36" t="str">
        <f aca="false">IF(Raw_Export!$A2976="","",TRIM(Raw_Export!A2976))</f>
        <v/>
      </c>
      <c r="B2976" s="37" t="str">
        <f aca="false">IF(Raw_Export!$A2976="","",IF(ISNUMBER(Raw_Export!B2976),Raw_Export!B2976,IF(MID(TRIM(Raw_Export!B2976),5,1)="-",DATE(LEFT(TRIM(Raw_Export!B2976),4),MID(TRIM(Raw_Export!B2976),6,2),RIGHT(TRIM(Raw_Export!B2976),2)),DATE(RIGHT(TRIM(Raw_Export!B2976),4),MATCH(MID(TRIM(Raw_Export!B2976),4,3),{"Jan","Feb","Mar","Apr","May","Jun","Jul","Aug","Sep","Oct","Nov","Dec"},0),LEFT(TRIM(Raw_Export!B2976),2)))))</f>
        <v/>
      </c>
      <c r="C2976" s="36" t="str">
        <f aca="false">IF(Raw_Export!$A2976="","",IFERROR(VLOOKUP(LOWER(TRIM(Raw_Export!C2976)),Maps!$A$2:$B$20,2,FALSE()),"UNMAPPED"))</f>
        <v/>
      </c>
      <c r="D2976" s="36" t="str">
        <f aca="false">IF(Raw_Export!$A2976="","",IFERROR(VLOOKUP(LOWER(TRIM(Raw_Export!D2976)),Maps!$G$2:$I$80,2,FALSE()),"UNMAPPED"))</f>
        <v/>
      </c>
      <c r="E2976" s="36" t="str">
        <f aca="false">IF(Raw_Export!$A2976="","",IFERROR(VLOOKUP(LOWER(TRIM(Raw_Export!D2976)),Maps!$G$2:$I$80,3,FALSE()),"UNMAPPED"))</f>
        <v/>
      </c>
      <c r="F2976" s="36" t="str">
        <f aca="false">IF(Raw_Export!$A2976="","",IFERROR(VALUE(TRIM(Raw_Export!E2976)),0))</f>
        <v/>
      </c>
      <c r="G2976" s="38" t="str">
        <f aca="false">IF(Raw_Export!$A2976="","",IFERROR(VALUE(SUBSTITUTE(SUBSTITUTE(UPPER(TRIM(Raw_Export!F2976)),"KES",""),",","")),0))</f>
        <v/>
      </c>
      <c r="H2976" s="38" t="str">
        <f aca="false">IF(Raw_Export!$A2976="","",F2976*G2976)</f>
        <v/>
      </c>
      <c r="I2976" s="36" t="str">
        <f aca="false">IF(Raw_Export!$A2976="","",IFERROR(VLOOKUP(LOWER(TRIM(Raw_Export!H2976)),Maps!$D$2:$E$12,2,FALSE()),"Other"))</f>
        <v/>
      </c>
      <c r="J2976" s="36" t="str">
        <f aca="false">IF(Raw_Export!$A2976="","",IF(COUNTIF($A$2:A2976,A2976)&gt;1,"Duplicate",""))</f>
        <v/>
      </c>
      <c r="K2976" s="36" t="str">
        <f aca="false">IF(Raw_Export!$A2976="","",IF(J2976="Duplicate","Duplicate",IF(OR(C2976="UNMAPPED",D2976="UNMAPPED"),"Unmapped",IF(F2976=0,"Blank qty",IF(F2976&lt;0,"Return","OK")))))</f>
        <v/>
      </c>
      <c r="L2976" s="36" t="str">
        <f aca="false">IF(Raw_Export!$A2976="","",IF(OR(K2976="OK",K2976="Return"),1,0))</f>
        <v/>
      </c>
      <c r="M2976" s="37" t="str">
        <f aca="false">IF(Raw_Export!$A2976="","",B2976-WEEKDAY(B2976,2)+1)</f>
        <v/>
      </c>
    </row>
    <row r="2977" customFormat="false" ht="15" hidden="false" customHeight="false" outlineLevel="0" collapsed="false">
      <c r="A2977" s="36" t="str">
        <f aca="false">IF(Raw_Export!$A2977="","",TRIM(Raw_Export!A2977))</f>
        <v/>
      </c>
      <c r="B2977" s="37" t="str">
        <f aca="false">IF(Raw_Export!$A2977="","",IF(ISNUMBER(Raw_Export!B2977),Raw_Export!B2977,IF(MID(TRIM(Raw_Export!B2977),5,1)="-",DATE(LEFT(TRIM(Raw_Export!B2977),4),MID(TRIM(Raw_Export!B2977),6,2),RIGHT(TRIM(Raw_Export!B2977),2)),DATE(RIGHT(TRIM(Raw_Export!B2977),4),MATCH(MID(TRIM(Raw_Export!B2977),4,3),{"Jan","Feb","Mar","Apr","May","Jun","Jul","Aug","Sep","Oct","Nov","Dec"},0),LEFT(TRIM(Raw_Export!B2977),2)))))</f>
        <v/>
      </c>
      <c r="C2977" s="36" t="str">
        <f aca="false">IF(Raw_Export!$A2977="","",IFERROR(VLOOKUP(LOWER(TRIM(Raw_Export!C2977)),Maps!$A$2:$B$20,2,FALSE()),"UNMAPPED"))</f>
        <v/>
      </c>
      <c r="D2977" s="36" t="str">
        <f aca="false">IF(Raw_Export!$A2977="","",IFERROR(VLOOKUP(LOWER(TRIM(Raw_Export!D2977)),Maps!$G$2:$I$80,2,FALSE()),"UNMAPPED"))</f>
        <v/>
      </c>
      <c r="E2977" s="36" t="str">
        <f aca="false">IF(Raw_Export!$A2977="","",IFERROR(VLOOKUP(LOWER(TRIM(Raw_Export!D2977)),Maps!$G$2:$I$80,3,FALSE()),"UNMAPPED"))</f>
        <v/>
      </c>
      <c r="F2977" s="36" t="str">
        <f aca="false">IF(Raw_Export!$A2977="","",IFERROR(VALUE(TRIM(Raw_Export!E2977)),0))</f>
        <v/>
      </c>
      <c r="G2977" s="38" t="str">
        <f aca="false">IF(Raw_Export!$A2977="","",IFERROR(VALUE(SUBSTITUTE(SUBSTITUTE(UPPER(TRIM(Raw_Export!F2977)),"KES",""),",","")),0))</f>
        <v/>
      </c>
      <c r="H2977" s="38" t="str">
        <f aca="false">IF(Raw_Export!$A2977="","",F2977*G2977)</f>
        <v/>
      </c>
      <c r="I2977" s="36" t="str">
        <f aca="false">IF(Raw_Export!$A2977="","",IFERROR(VLOOKUP(LOWER(TRIM(Raw_Export!H2977)),Maps!$D$2:$E$12,2,FALSE()),"Other"))</f>
        <v/>
      </c>
      <c r="J2977" s="36" t="str">
        <f aca="false">IF(Raw_Export!$A2977="","",IF(COUNTIF($A$2:A2977,A2977)&gt;1,"Duplicate",""))</f>
        <v/>
      </c>
      <c r="K2977" s="36" t="str">
        <f aca="false">IF(Raw_Export!$A2977="","",IF(J2977="Duplicate","Duplicate",IF(OR(C2977="UNMAPPED",D2977="UNMAPPED"),"Unmapped",IF(F2977=0,"Blank qty",IF(F2977&lt;0,"Return","OK")))))</f>
        <v/>
      </c>
      <c r="L2977" s="36" t="str">
        <f aca="false">IF(Raw_Export!$A2977="","",IF(OR(K2977="OK",K2977="Return"),1,0))</f>
        <v/>
      </c>
      <c r="M2977" s="37" t="str">
        <f aca="false">IF(Raw_Export!$A2977="","",B2977-WEEKDAY(B2977,2)+1)</f>
        <v/>
      </c>
    </row>
    <row r="2978" customFormat="false" ht="15" hidden="false" customHeight="false" outlineLevel="0" collapsed="false">
      <c r="A2978" s="36" t="str">
        <f aca="false">IF(Raw_Export!$A2978="","",TRIM(Raw_Export!A2978))</f>
        <v/>
      </c>
      <c r="B2978" s="37" t="str">
        <f aca="false">IF(Raw_Export!$A2978="","",IF(ISNUMBER(Raw_Export!B2978),Raw_Export!B2978,IF(MID(TRIM(Raw_Export!B2978),5,1)="-",DATE(LEFT(TRIM(Raw_Export!B2978),4),MID(TRIM(Raw_Export!B2978),6,2),RIGHT(TRIM(Raw_Export!B2978),2)),DATE(RIGHT(TRIM(Raw_Export!B2978),4),MATCH(MID(TRIM(Raw_Export!B2978),4,3),{"Jan","Feb","Mar","Apr","May","Jun","Jul","Aug","Sep","Oct","Nov","Dec"},0),LEFT(TRIM(Raw_Export!B2978),2)))))</f>
        <v/>
      </c>
      <c r="C2978" s="36" t="str">
        <f aca="false">IF(Raw_Export!$A2978="","",IFERROR(VLOOKUP(LOWER(TRIM(Raw_Export!C2978)),Maps!$A$2:$B$20,2,FALSE()),"UNMAPPED"))</f>
        <v/>
      </c>
      <c r="D2978" s="36" t="str">
        <f aca="false">IF(Raw_Export!$A2978="","",IFERROR(VLOOKUP(LOWER(TRIM(Raw_Export!D2978)),Maps!$G$2:$I$80,2,FALSE()),"UNMAPPED"))</f>
        <v/>
      </c>
      <c r="E2978" s="36" t="str">
        <f aca="false">IF(Raw_Export!$A2978="","",IFERROR(VLOOKUP(LOWER(TRIM(Raw_Export!D2978)),Maps!$G$2:$I$80,3,FALSE()),"UNMAPPED"))</f>
        <v/>
      </c>
      <c r="F2978" s="36" t="str">
        <f aca="false">IF(Raw_Export!$A2978="","",IFERROR(VALUE(TRIM(Raw_Export!E2978)),0))</f>
        <v/>
      </c>
      <c r="G2978" s="38" t="str">
        <f aca="false">IF(Raw_Export!$A2978="","",IFERROR(VALUE(SUBSTITUTE(SUBSTITUTE(UPPER(TRIM(Raw_Export!F2978)),"KES",""),",","")),0))</f>
        <v/>
      </c>
      <c r="H2978" s="38" t="str">
        <f aca="false">IF(Raw_Export!$A2978="","",F2978*G2978)</f>
        <v/>
      </c>
      <c r="I2978" s="36" t="str">
        <f aca="false">IF(Raw_Export!$A2978="","",IFERROR(VLOOKUP(LOWER(TRIM(Raw_Export!H2978)),Maps!$D$2:$E$12,2,FALSE()),"Other"))</f>
        <v/>
      </c>
      <c r="J2978" s="36" t="str">
        <f aca="false">IF(Raw_Export!$A2978="","",IF(COUNTIF($A$2:A2978,A2978)&gt;1,"Duplicate",""))</f>
        <v/>
      </c>
      <c r="K2978" s="36" t="str">
        <f aca="false">IF(Raw_Export!$A2978="","",IF(J2978="Duplicate","Duplicate",IF(OR(C2978="UNMAPPED",D2978="UNMAPPED"),"Unmapped",IF(F2978=0,"Blank qty",IF(F2978&lt;0,"Return","OK")))))</f>
        <v/>
      </c>
      <c r="L2978" s="36" t="str">
        <f aca="false">IF(Raw_Export!$A2978="","",IF(OR(K2978="OK",K2978="Return"),1,0))</f>
        <v/>
      </c>
      <c r="M2978" s="37" t="str">
        <f aca="false">IF(Raw_Export!$A2978="","",B2978-WEEKDAY(B2978,2)+1)</f>
        <v/>
      </c>
    </row>
    <row r="2979" customFormat="false" ht="15" hidden="false" customHeight="false" outlineLevel="0" collapsed="false">
      <c r="A2979" s="36" t="str">
        <f aca="false">IF(Raw_Export!$A2979="","",TRIM(Raw_Export!A2979))</f>
        <v/>
      </c>
      <c r="B2979" s="37" t="str">
        <f aca="false">IF(Raw_Export!$A2979="","",IF(ISNUMBER(Raw_Export!B2979),Raw_Export!B2979,IF(MID(TRIM(Raw_Export!B2979),5,1)="-",DATE(LEFT(TRIM(Raw_Export!B2979),4),MID(TRIM(Raw_Export!B2979),6,2),RIGHT(TRIM(Raw_Export!B2979),2)),DATE(RIGHT(TRIM(Raw_Export!B2979),4),MATCH(MID(TRIM(Raw_Export!B2979),4,3),{"Jan","Feb","Mar","Apr","May","Jun","Jul","Aug","Sep","Oct","Nov","Dec"},0),LEFT(TRIM(Raw_Export!B2979),2)))))</f>
        <v/>
      </c>
      <c r="C2979" s="36" t="str">
        <f aca="false">IF(Raw_Export!$A2979="","",IFERROR(VLOOKUP(LOWER(TRIM(Raw_Export!C2979)),Maps!$A$2:$B$20,2,FALSE()),"UNMAPPED"))</f>
        <v/>
      </c>
      <c r="D2979" s="36" t="str">
        <f aca="false">IF(Raw_Export!$A2979="","",IFERROR(VLOOKUP(LOWER(TRIM(Raw_Export!D2979)),Maps!$G$2:$I$80,2,FALSE()),"UNMAPPED"))</f>
        <v/>
      </c>
      <c r="E2979" s="36" t="str">
        <f aca="false">IF(Raw_Export!$A2979="","",IFERROR(VLOOKUP(LOWER(TRIM(Raw_Export!D2979)),Maps!$G$2:$I$80,3,FALSE()),"UNMAPPED"))</f>
        <v/>
      </c>
      <c r="F2979" s="36" t="str">
        <f aca="false">IF(Raw_Export!$A2979="","",IFERROR(VALUE(TRIM(Raw_Export!E2979)),0))</f>
        <v/>
      </c>
      <c r="G2979" s="38" t="str">
        <f aca="false">IF(Raw_Export!$A2979="","",IFERROR(VALUE(SUBSTITUTE(SUBSTITUTE(UPPER(TRIM(Raw_Export!F2979)),"KES",""),",","")),0))</f>
        <v/>
      </c>
      <c r="H2979" s="38" t="str">
        <f aca="false">IF(Raw_Export!$A2979="","",F2979*G2979)</f>
        <v/>
      </c>
      <c r="I2979" s="36" t="str">
        <f aca="false">IF(Raw_Export!$A2979="","",IFERROR(VLOOKUP(LOWER(TRIM(Raw_Export!H2979)),Maps!$D$2:$E$12,2,FALSE()),"Other"))</f>
        <v/>
      </c>
      <c r="J2979" s="36" t="str">
        <f aca="false">IF(Raw_Export!$A2979="","",IF(COUNTIF($A$2:A2979,A2979)&gt;1,"Duplicate",""))</f>
        <v/>
      </c>
      <c r="K2979" s="36" t="str">
        <f aca="false">IF(Raw_Export!$A2979="","",IF(J2979="Duplicate","Duplicate",IF(OR(C2979="UNMAPPED",D2979="UNMAPPED"),"Unmapped",IF(F2979=0,"Blank qty",IF(F2979&lt;0,"Return","OK")))))</f>
        <v/>
      </c>
      <c r="L2979" s="36" t="str">
        <f aca="false">IF(Raw_Export!$A2979="","",IF(OR(K2979="OK",K2979="Return"),1,0))</f>
        <v/>
      </c>
      <c r="M2979" s="37" t="str">
        <f aca="false">IF(Raw_Export!$A2979="","",B2979-WEEKDAY(B2979,2)+1)</f>
        <v/>
      </c>
    </row>
    <row r="2980" customFormat="false" ht="15" hidden="false" customHeight="false" outlineLevel="0" collapsed="false">
      <c r="A2980" s="36" t="str">
        <f aca="false">IF(Raw_Export!$A2980="","",TRIM(Raw_Export!A2980))</f>
        <v/>
      </c>
      <c r="B2980" s="37" t="str">
        <f aca="false">IF(Raw_Export!$A2980="","",IF(ISNUMBER(Raw_Export!B2980),Raw_Export!B2980,IF(MID(TRIM(Raw_Export!B2980),5,1)="-",DATE(LEFT(TRIM(Raw_Export!B2980),4),MID(TRIM(Raw_Export!B2980),6,2),RIGHT(TRIM(Raw_Export!B2980),2)),DATE(RIGHT(TRIM(Raw_Export!B2980),4),MATCH(MID(TRIM(Raw_Export!B2980),4,3),{"Jan","Feb","Mar","Apr","May","Jun","Jul","Aug","Sep","Oct","Nov","Dec"},0),LEFT(TRIM(Raw_Export!B2980),2)))))</f>
        <v/>
      </c>
      <c r="C2980" s="36" t="str">
        <f aca="false">IF(Raw_Export!$A2980="","",IFERROR(VLOOKUP(LOWER(TRIM(Raw_Export!C2980)),Maps!$A$2:$B$20,2,FALSE()),"UNMAPPED"))</f>
        <v/>
      </c>
      <c r="D2980" s="36" t="str">
        <f aca="false">IF(Raw_Export!$A2980="","",IFERROR(VLOOKUP(LOWER(TRIM(Raw_Export!D2980)),Maps!$G$2:$I$80,2,FALSE()),"UNMAPPED"))</f>
        <v/>
      </c>
      <c r="E2980" s="36" t="str">
        <f aca="false">IF(Raw_Export!$A2980="","",IFERROR(VLOOKUP(LOWER(TRIM(Raw_Export!D2980)),Maps!$G$2:$I$80,3,FALSE()),"UNMAPPED"))</f>
        <v/>
      </c>
      <c r="F2980" s="36" t="str">
        <f aca="false">IF(Raw_Export!$A2980="","",IFERROR(VALUE(TRIM(Raw_Export!E2980)),0))</f>
        <v/>
      </c>
      <c r="G2980" s="38" t="str">
        <f aca="false">IF(Raw_Export!$A2980="","",IFERROR(VALUE(SUBSTITUTE(SUBSTITUTE(UPPER(TRIM(Raw_Export!F2980)),"KES",""),",","")),0))</f>
        <v/>
      </c>
      <c r="H2980" s="38" t="str">
        <f aca="false">IF(Raw_Export!$A2980="","",F2980*G2980)</f>
        <v/>
      </c>
      <c r="I2980" s="36" t="str">
        <f aca="false">IF(Raw_Export!$A2980="","",IFERROR(VLOOKUP(LOWER(TRIM(Raw_Export!H2980)),Maps!$D$2:$E$12,2,FALSE()),"Other"))</f>
        <v/>
      </c>
      <c r="J2980" s="36" t="str">
        <f aca="false">IF(Raw_Export!$A2980="","",IF(COUNTIF($A$2:A2980,A2980)&gt;1,"Duplicate",""))</f>
        <v/>
      </c>
      <c r="K2980" s="36" t="str">
        <f aca="false">IF(Raw_Export!$A2980="","",IF(J2980="Duplicate","Duplicate",IF(OR(C2980="UNMAPPED",D2980="UNMAPPED"),"Unmapped",IF(F2980=0,"Blank qty",IF(F2980&lt;0,"Return","OK")))))</f>
        <v/>
      </c>
      <c r="L2980" s="36" t="str">
        <f aca="false">IF(Raw_Export!$A2980="","",IF(OR(K2980="OK",K2980="Return"),1,0))</f>
        <v/>
      </c>
      <c r="M2980" s="37" t="str">
        <f aca="false">IF(Raw_Export!$A2980="","",B2980-WEEKDAY(B2980,2)+1)</f>
        <v/>
      </c>
    </row>
    <row r="2981" customFormat="false" ht="15" hidden="false" customHeight="false" outlineLevel="0" collapsed="false">
      <c r="A2981" s="36" t="str">
        <f aca="false">IF(Raw_Export!$A2981="","",TRIM(Raw_Export!A2981))</f>
        <v/>
      </c>
      <c r="B2981" s="37" t="str">
        <f aca="false">IF(Raw_Export!$A2981="","",IF(ISNUMBER(Raw_Export!B2981),Raw_Export!B2981,IF(MID(TRIM(Raw_Export!B2981),5,1)="-",DATE(LEFT(TRIM(Raw_Export!B2981),4),MID(TRIM(Raw_Export!B2981),6,2),RIGHT(TRIM(Raw_Export!B2981),2)),DATE(RIGHT(TRIM(Raw_Export!B2981),4),MATCH(MID(TRIM(Raw_Export!B2981),4,3),{"Jan","Feb","Mar","Apr","May","Jun","Jul","Aug","Sep","Oct","Nov","Dec"},0),LEFT(TRIM(Raw_Export!B2981),2)))))</f>
        <v/>
      </c>
      <c r="C2981" s="36" t="str">
        <f aca="false">IF(Raw_Export!$A2981="","",IFERROR(VLOOKUP(LOWER(TRIM(Raw_Export!C2981)),Maps!$A$2:$B$20,2,FALSE()),"UNMAPPED"))</f>
        <v/>
      </c>
      <c r="D2981" s="36" t="str">
        <f aca="false">IF(Raw_Export!$A2981="","",IFERROR(VLOOKUP(LOWER(TRIM(Raw_Export!D2981)),Maps!$G$2:$I$80,2,FALSE()),"UNMAPPED"))</f>
        <v/>
      </c>
      <c r="E2981" s="36" t="str">
        <f aca="false">IF(Raw_Export!$A2981="","",IFERROR(VLOOKUP(LOWER(TRIM(Raw_Export!D2981)),Maps!$G$2:$I$80,3,FALSE()),"UNMAPPED"))</f>
        <v/>
      </c>
      <c r="F2981" s="36" t="str">
        <f aca="false">IF(Raw_Export!$A2981="","",IFERROR(VALUE(TRIM(Raw_Export!E2981)),0))</f>
        <v/>
      </c>
      <c r="G2981" s="38" t="str">
        <f aca="false">IF(Raw_Export!$A2981="","",IFERROR(VALUE(SUBSTITUTE(SUBSTITUTE(UPPER(TRIM(Raw_Export!F2981)),"KES",""),",","")),0))</f>
        <v/>
      </c>
      <c r="H2981" s="38" t="str">
        <f aca="false">IF(Raw_Export!$A2981="","",F2981*G2981)</f>
        <v/>
      </c>
      <c r="I2981" s="36" t="str">
        <f aca="false">IF(Raw_Export!$A2981="","",IFERROR(VLOOKUP(LOWER(TRIM(Raw_Export!H2981)),Maps!$D$2:$E$12,2,FALSE()),"Other"))</f>
        <v/>
      </c>
      <c r="J2981" s="36" t="str">
        <f aca="false">IF(Raw_Export!$A2981="","",IF(COUNTIF($A$2:A2981,A2981)&gt;1,"Duplicate",""))</f>
        <v/>
      </c>
      <c r="K2981" s="36" t="str">
        <f aca="false">IF(Raw_Export!$A2981="","",IF(J2981="Duplicate","Duplicate",IF(OR(C2981="UNMAPPED",D2981="UNMAPPED"),"Unmapped",IF(F2981=0,"Blank qty",IF(F2981&lt;0,"Return","OK")))))</f>
        <v/>
      </c>
      <c r="L2981" s="36" t="str">
        <f aca="false">IF(Raw_Export!$A2981="","",IF(OR(K2981="OK",K2981="Return"),1,0))</f>
        <v/>
      </c>
      <c r="M2981" s="37" t="str">
        <f aca="false">IF(Raw_Export!$A2981="","",B2981-WEEKDAY(B2981,2)+1)</f>
        <v/>
      </c>
    </row>
    <row r="2982" customFormat="false" ht="15" hidden="false" customHeight="false" outlineLevel="0" collapsed="false">
      <c r="A2982" s="36" t="str">
        <f aca="false">IF(Raw_Export!$A2982="","",TRIM(Raw_Export!A2982))</f>
        <v/>
      </c>
      <c r="B2982" s="37" t="str">
        <f aca="false">IF(Raw_Export!$A2982="","",IF(ISNUMBER(Raw_Export!B2982),Raw_Export!B2982,IF(MID(TRIM(Raw_Export!B2982),5,1)="-",DATE(LEFT(TRIM(Raw_Export!B2982),4),MID(TRIM(Raw_Export!B2982),6,2),RIGHT(TRIM(Raw_Export!B2982),2)),DATE(RIGHT(TRIM(Raw_Export!B2982),4),MATCH(MID(TRIM(Raw_Export!B2982),4,3),{"Jan","Feb","Mar","Apr","May","Jun","Jul","Aug","Sep","Oct","Nov","Dec"},0),LEFT(TRIM(Raw_Export!B2982),2)))))</f>
        <v/>
      </c>
      <c r="C2982" s="36" t="str">
        <f aca="false">IF(Raw_Export!$A2982="","",IFERROR(VLOOKUP(LOWER(TRIM(Raw_Export!C2982)),Maps!$A$2:$B$20,2,FALSE()),"UNMAPPED"))</f>
        <v/>
      </c>
      <c r="D2982" s="36" t="str">
        <f aca="false">IF(Raw_Export!$A2982="","",IFERROR(VLOOKUP(LOWER(TRIM(Raw_Export!D2982)),Maps!$G$2:$I$80,2,FALSE()),"UNMAPPED"))</f>
        <v/>
      </c>
      <c r="E2982" s="36" t="str">
        <f aca="false">IF(Raw_Export!$A2982="","",IFERROR(VLOOKUP(LOWER(TRIM(Raw_Export!D2982)),Maps!$G$2:$I$80,3,FALSE()),"UNMAPPED"))</f>
        <v/>
      </c>
      <c r="F2982" s="36" t="str">
        <f aca="false">IF(Raw_Export!$A2982="","",IFERROR(VALUE(TRIM(Raw_Export!E2982)),0))</f>
        <v/>
      </c>
      <c r="G2982" s="38" t="str">
        <f aca="false">IF(Raw_Export!$A2982="","",IFERROR(VALUE(SUBSTITUTE(SUBSTITUTE(UPPER(TRIM(Raw_Export!F2982)),"KES",""),",","")),0))</f>
        <v/>
      </c>
      <c r="H2982" s="38" t="str">
        <f aca="false">IF(Raw_Export!$A2982="","",F2982*G2982)</f>
        <v/>
      </c>
      <c r="I2982" s="36" t="str">
        <f aca="false">IF(Raw_Export!$A2982="","",IFERROR(VLOOKUP(LOWER(TRIM(Raw_Export!H2982)),Maps!$D$2:$E$12,2,FALSE()),"Other"))</f>
        <v/>
      </c>
      <c r="J2982" s="36" t="str">
        <f aca="false">IF(Raw_Export!$A2982="","",IF(COUNTIF($A$2:A2982,A2982)&gt;1,"Duplicate",""))</f>
        <v/>
      </c>
      <c r="K2982" s="36" t="str">
        <f aca="false">IF(Raw_Export!$A2982="","",IF(J2982="Duplicate","Duplicate",IF(OR(C2982="UNMAPPED",D2982="UNMAPPED"),"Unmapped",IF(F2982=0,"Blank qty",IF(F2982&lt;0,"Return","OK")))))</f>
        <v/>
      </c>
      <c r="L2982" s="36" t="str">
        <f aca="false">IF(Raw_Export!$A2982="","",IF(OR(K2982="OK",K2982="Return"),1,0))</f>
        <v/>
      </c>
      <c r="M2982" s="37" t="str">
        <f aca="false">IF(Raw_Export!$A2982="","",B2982-WEEKDAY(B2982,2)+1)</f>
        <v/>
      </c>
    </row>
    <row r="2983" customFormat="false" ht="15" hidden="false" customHeight="false" outlineLevel="0" collapsed="false">
      <c r="A2983" s="36" t="str">
        <f aca="false">IF(Raw_Export!$A2983="","",TRIM(Raw_Export!A2983))</f>
        <v/>
      </c>
      <c r="B2983" s="37" t="str">
        <f aca="false">IF(Raw_Export!$A2983="","",IF(ISNUMBER(Raw_Export!B2983),Raw_Export!B2983,IF(MID(TRIM(Raw_Export!B2983),5,1)="-",DATE(LEFT(TRIM(Raw_Export!B2983),4),MID(TRIM(Raw_Export!B2983),6,2),RIGHT(TRIM(Raw_Export!B2983),2)),DATE(RIGHT(TRIM(Raw_Export!B2983),4),MATCH(MID(TRIM(Raw_Export!B2983),4,3),{"Jan","Feb","Mar","Apr","May","Jun","Jul","Aug","Sep","Oct","Nov","Dec"},0),LEFT(TRIM(Raw_Export!B2983),2)))))</f>
        <v/>
      </c>
      <c r="C2983" s="36" t="str">
        <f aca="false">IF(Raw_Export!$A2983="","",IFERROR(VLOOKUP(LOWER(TRIM(Raw_Export!C2983)),Maps!$A$2:$B$20,2,FALSE()),"UNMAPPED"))</f>
        <v/>
      </c>
      <c r="D2983" s="36" t="str">
        <f aca="false">IF(Raw_Export!$A2983="","",IFERROR(VLOOKUP(LOWER(TRIM(Raw_Export!D2983)),Maps!$G$2:$I$80,2,FALSE()),"UNMAPPED"))</f>
        <v/>
      </c>
      <c r="E2983" s="36" t="str">
        <f aca="false">IF(Raw_Export!$A2983="","",IFERROR(VLOOKUP(LOWER(TRIM(Raw_Export!D2983)),Maps!$G$2:$I$80,3,FALSE()),"UNMAPPED"))</f>
        <v/>
      </c>
      <c r="F2983" s="36" t="str">
        <f aca="false">IF(Raw_Export!$A2983="","",IFERROR(VALUE(TRIM(Raw_Export!E2983)),0))</f>
        <v/>
      </c>
      <c r="G2983" s="38" t="str">
        <f aca="false">IF(Raw_Export!$A2983="","",IFERROR(VALUE(SUBSTITUTE(SUBSTITUTE(UPPER(TRIM(Raw_Export!F2983)),"KES",""),",","")),0))</f>
        <v/>
      </c>
      <c r="H2983" s="38" t="str">
        <f aca="false">IF(Raw_Export!$A2983="","",F2983*G2983)</f>
        <v/>
      </c>
      <c r="I2983" s="36" t="str">
        <f aca="false">IF(Raw_Export!$A2983="","",IFERROR(VLOOKUP(LOWER(TRIM(Raw_Export!H2983)),Maps!$D$2:$E$12,2,FALSE()),"Other"))</f>
        <v/>
      </c>
      <c r="J2983" s="36" t="str">
        <f aca="false">IF(Raw_Export!$A2983="","",IF(COUNTIF($A$2:A2983,A2983)&gt;1,"Duplicate",""))</f>
        <v/>
      </c>
      <c r="K2983" s="36" t="str">
        <f aca="false">IF(Raw_Export!$A2983="","",IF(J2983="Duplicate","Duplicate",IF(OR(C2983="UNMAPPED",D2983="UNMAPPED"),"Unmapped",IF(F2983=0,"Blank qty",IF(F2983&lt;0,"Return","OK")))))</f>
        <v/>
      </c>
      <c r="L2983" s="36" t="str">
        <f aca="false">IF(Raw_Export!$A2983="","",IF(OR(K2983="OK",K2983="Return"),1,0))</f>
        <v/>
      </c>
      <c r="M2983" s="37" t="str">
        <f aca="false">IF(Raw_Export!$A2983="","",B2983-WEEKDAY(B2983,2)+1)</f>
        <v/>
      </c>
    </row>
    <row r="2984" customFormat="false" ht="15" hidden="false" customHeight="false" outlineLevel="0" collapsed="false">
      <c r="A2984" s="36" t="str">
        <f aca="false">IF(Raw_Export!$A2984="","",TRIM(Raw_Export!A2984))</f>
        <v/>
      </c>
      <c r="B2984" s="37" t="str">
        <f aca="false">IF(Raw_Export!$A2984="","",IF(ISNUMBER(Raw_Export!B2984),Raw_Export!B2984,IF(MID(TRIM(Raw_Export!B2984),5,1)="-",DATE(LEFT(TRIM(Raw_Export!B2984),4),MID(TRIM(Raw_Export!B2984),6,2),RIGHT(TRIM(Raw_Export!B2984),2)),DATE(RIGHT(TRIM(Raw_Export!B2984),4),MATCH(MID(TRIM(Raw_Export!B2984),4,3),{"Jan","Feb","Mar","Apr","May","Jun","Jul","Aug","Sep","Oct","Nov","Dec"},0),LEFT(TRIM(Raw_Export!B2984),2)))))</f>
        <v/>
      </c>
      <c r="C2984" s="36" t="str">
        <f aca="false">IF(Raw_Export!$A2984="","",IFERROR(VLOOKUP(LOWER(TRIM(Raw_Export!C2984)),Maps!$A$2:$B$20,2,FALSE()),"UNMAPPED"))</f>
        <v/>
      </c>
      <c r="D2984" s="36" t="str">
        <f aca="false">IF(Raw_Export!$A2984="","",IFERROR(VLOOKUP(LOWER(TRIM(Raw_Export!D2984)),Maps!$G$2:$I$80,2,FALSE()),"UNMAPPED"))</f>
        <v/>
      </c>
      <c r="E2984" s="36" t="str">
        <f aca="false">IF(Raw_Export!$A2984="","",IFERROR(VLOOKUP(LOWER(TRIM(Raw_Export!D2984)),Maps!$G$2:$I$80,3,FALSE()),"UNMAPPED"))</f>
        <v/>
      </c>
      <c r="F2984" s="36" t="str">
        <f aca="false">IF(Raw_Export!$A2984="","",IFERROR(VALUE(TRIM(Raw_Export!E2984)),0))</f>
        <v/>
      </c>
      <c r="G2984" s="38" t="str">
        <f aca="false">IF(Raw_Export!$A2984="","",IFERROR(VALUE(SUBSTITUTE(SUBSTITUTE(UPPER(TRIM(Raw_Export!F2984)),"KES",""),",","")),0))</f>
        <v/>
      </c>
      <c r="H2984" s="38" t="str">
        <f aca="false">IF(Raw_Export!$A2984="","",F2984*G2984)</f>
        <v/>
      </c>
      <c r="I2984" s="36" t="str">
        <f aca="false">IF(Raw_Export!$A2984="","",IFERROR(VLOOKUP(LOWER(TRIM(Raw_Export!H2984)),Maps!$D$2:$E$12,2,FALSE()),"Other"))</f>
        <v/>
      </c>
      <c r="J2984" s="36" t="str">
        <f aca="false">IF(Raw_Export!$A2984="","",IF(COUNTIF($A$2:A2984,A2984)&gt;1,"Duplicate",""))</f>
        <v/>
      </c>
      <c r="K2984" s="36" t="str">
        <f aca="false">IF(Raw_Export!$A2984="","",IF(J2984="Duplicate","Duplicate",IF(OR(C2984="UNMAPPED",D2984="UNMAPPED"),"Unmapped",IF(F2984=0,"Blank qty",IF(F2984&lt;0,"Return","OK")))))</f>
        <v/>
      </c>
      <c r="L2984" s="36" t="str">
        <f aca="false">IF(Raw_Export!$A2984="","",IF(OR(K2984="OK",K2984="Return"),1,0))</f>
        <v/>
      </c>
      <c r="M2984" s="37" t="str">
        <f aca="false">IF(Raw_Export!$A2984="","",B2984-WEEKDAY(B2984,2)+1)</f>
        <v/>
      </c>
    </row>
    <row r="2985" customFormat="false" ht="15" hidden="false" customHeight="false" outlineLevel="0" collapsed="false">
      <c r="A2985" s="36" t="str">
        <f aca="false">IF(Raw_Export!$A2985="","",TRIM(Raw_Export!A2985))</f>
        <v/>
      </c>
      <c r="B2985" s="37" t="str">
        <f aca="false">IF(Raw_Export!$A2985="","",IF(ISNUMBER(Raw_Export!B2985),Raw_Export!B2985,IF(MID(TRIM(Raw_Export!B2985),5,1)="-",DATE(LEFT(TRIM(Raw_Export!B2985),4),MID(TRIM(Raw_Export!B2985),6,2),RIGHT(TRIM(Raw_Export!B2985),2)),DATE(RIGHT(TRIM(Raw_Export!B2985),4),MATCH(MID(TRIM(Raw_Export!B2985),4,3),{"Jan","Feb","Mar","Apr","May","Jun","Jul","Aug","Sep","Oct","Nov","Dec"},0),LEFT(TRIM(Raw_Export!B2985),2)))))</f>
        <v/>
      </c>
      <c r="C2985" s="36" t="str">
        <f aca="false">IF(Raw_Export!$A2985="","",IFERROR(VLOOKUP(LOWER(TRIM(Raw_Export!C2985)),Maps!$A$2:$B$20,2,FALSE()),"UNMAPPED"))</f>
        <v/>
      </c>
      <c r="D2985" s="36" t="str">
        <f aca="false">IF(Raw_Export!$A2985="","",IFERROR(VLOOKUP(LOWER(TRIM(Raw_Export!D2985)),Maps!$G$2:$I$80,2,FALSE()),"UNMAPPED"))</f>
        <v/>
      </c>
      <c r="E2985" s="36" t="str">
        <f aca="false">IF(Raw_Export!$A2985="","",IFERROR(VLOOKUP(LOWER(TRIM(Raw_Export!D2985)),Maps!$G$2:$I$80,3,FALSE()),"UNMAPPED"))</f>
        <v/>
      </c>
      <c r="F2985" s="36" t="str">
        <f aca="false">IF(Raw_Export!$A2985="","",IFERROR(VALUE(TRIM(Raw_Export!E2985)),0))</f>
        <v/>
      </c>
      <c r="G2985" s="38" t="str">
        <f aca="false">IF(Raw_Export!$A2985="","",IFERROR(VALUE(SUBSTITUTE(SUBSTITUTE(UPPER(TRIM(Raw_Export!F2985)),"KES",""),",","")),0))</f>
        <v/>
      </c>
      <c r="H2985" s="38" t="str">
        <f aca="false">IF(Raw_Export!$A2985="","",F2985*G2985)</f>
        <v/>
      </c>
      <c r="I2985" s="36" t="str">
        <f aca="false">IF(Raw_Export!$A2985="","",IFERROR(VLOOKUP(LOWER(TRIM(Raw_Export!H2985)),Maps!$D$2:$E$12,2,FALSE()),"Other"))</f>
        <v/>
      </c>
      <c r="J2985" s="36" t="str">
        <f aca="false">IF(Raw_Export!$A2985="","",IF(COUNTIF($A$2:A2985,A2985)&gt;1,"Duplicate",""))</f>
        <v/>
      </c>
      <c r="K2985" s="36" t="str">
        <f aca="false">IF(Raw_Export!$A2985="","",IF(J2985="Duplicate","Duplicate",IF(OR(C2985="UNMAPPED",D2985="UNMAPPED"),"Unmapped",IF(F2985=0,"Blank qty",IF(F2985&lt;0,"Return","OK")))))</f>
        <v/>
      </c>
      <c r="L2985" s="36" t="str">
        <f aca="false">IF(Raw_Export!$A2985="","",IF(OR(K2985="OK",K2985="Return"),1,0))</f>
        <v/>
      </c>
      <c r="M2985" s="37" t="str">
        <f aca="false">IF(Raw_Export!$A2985="","",B2985-WEEKDAY(B2985,2)+1)</f>
        <v/>
      </c>
    </row>
    <row r="2986" customFormat="false" ht="15" hidden="false" customHeight="false" outlineLevel="0" collapsed="false">
      <c r="A2986" s="36" t="str">
        <f aca="false">IF(Raw_Export!$A2986="","",TRIM(Raw_Export!A2986))</f>
        <v/>
      </c>
      <c r="B2986" s="37" t="str">
        <f aca="false">IF(Raw_Export!$A2986="","",IF(ISNUMBER(Raw_Export!B2986),Raw_Export!B2986,IF(MID(TRIM(Raw_Export!B2986),5,1)="-",DATE(LEFT(TRIM(Raw_Export!B2986),4),MID(TRIM(Raw_Export!B2986),6,2),RIGHT(TRIM(Raw_Export!B2986),2)),DATE(RIGHT(TRIM(Raw_Export!B2986),4),MATCH(MID(TRIM(Raw_Export!B2986),4,3),{"Jan","Feb","Mar","Apr","May","Jun","Jul","Aug","Sep","Oct","Nov","Dec"},0),LEFT(TRIM(Raw_Export!B2986),2)))))</f>
        <v/>
      </c>
      <c r="C2986" s="36" t="str">
        <f aca="false">IF(Raw_Export!$A2986="","",IFERROR(VLOOKUP(LOWER(TRIM(Raw_Export!C2986)),Maps!$A$2:$B$20,2,FALSE()),"UNMAPPED"))</f>
        <v/>
      </c>
      <c r="D2986" s="36" t="str">
        <f aca="false">IF(Raw_Export!$A2986="","",IFERROR(VLOOKUP(LOWER(TRIM(Raw_Export!D2986)),Maps!$G$2:$I$80,2,FALSE()),"UNMAPPED"))</f>
        <v/>
      </c>
      <c r="E2986" s="36" t="str">
        <f aca="false">IF(Raw_Export!$A2986="","",IFERROR(VLOOKUP(LOWER(TRIM(Raw_Export!D2986)),Maps!$G$2:$I$80,3,FALSE()),"UNMAPPED"))</f>
        <v/>
      </c>
      <c r="F2986" s="36" t="str">
        <f aca="false">IF(Raw_Export!$A2986="","",IFERROR(VALUE(TRIM(Raw_Export!E2986)),0))</f>
        <v/>
      </c>
      <c r="G2986" s="38" t="str">
        <f aca="false">IF(Raw_Export!$A2986="","",IFERROR(VALUE(SUBSTITUTE(SUBSTITUTE(UPPER(TRIM(Raw_Export!F2986)),"KES",""),",","")),0))</f>
        <v/>
      </c>
      <c r="H2986" s="38" t="str">
        <f aca="false">IF(Raw_Export!$A2986="","",F2986*G2986)</f>
        <v/>
      </c>
      <c r="I2986" s="36" t="str">
        <f aca="false">IF(Raw_Export!$A2986="","",IFERROR(VLOOKUP(LOWER(TRIM(Raw_Export!H2986)),Maps!$D$2:$E$12,2,FALSE()),"Other"))</f>
        <v/>
      </c>
      <c r="J2986" s="36" t="str">
        <f aca="false">IF(Raw_Export!$A2986="","",IF(COUNTIF($A$2:A2986,A2986)&gt;1,"Duplicate",""))</f>
        <v/>
      </c>
      <c r="K2986" s="36" t="str">
        <f aca="false">IF(Raw_Export!$A2986="","",IF(J2986="Duplicate","Duplicate",IF(OR(C2986="UNMAPPED",D2986="UNMAPPED"),"Unmapped",IF(F2986=0,"Blank qty",IF(F2986&lt;0,"Return","OK")))))</f>
        <v/>
      </c>
      <c r="L2986" s="36" t="str">
        <f aca="false">IF(Raw_Export!$A2986="","",IF(OR(K2986="OK",K2986="Return"),1,0))</f>
        <v/>
      </c>
      <c r="M2986" s="37" t="str">
        <f aca="false">IF(Raw_Export!$A2986="","",B2986-WEEKDAY(B2986,2)+1)</f>
        <v/>
      </c>
    </row>
    <row r="2987" customFormat="false" ht="15" hidden="false" customHeight="false" outlineLevel="0" collapsed="false">
      <c r="A2987" s="36" t="str">
        <f aca="false">IF(Raw_Export!$A2987="","",TRIM(Raw_Export!A2987))</f>
        <v/>
      </c>
      <c r="B2987" s="37" t="str">
        <f aca="false">IF(Raw_Export!$A2987="","",IF(ISNUMBER(Raw_Export!B2987),Raw_Export!B2987,IF(MID(TRIM(Raw_Export!B2987),5,1)="-",DATE(LEFT(TRIM(Raw_Export!B2987),4),MID(TRIM(Raw_Export!B2987),6,2),RIGHT(TRIM(Raw_Export!B2987),2)),DATE(RIGHT(TRIM(Raw_Export!B2987),4),MATCH(MID(TRIM(Raw_Export!B2987),4,3),{"Jan","Feb","Mar","Apr","May","Jun","Jul","Aug","Sep","Oct","Nov","Dec"},0),LEFT(TRIM(Raw_Export!B2987),2)))))</f>
        <v/>
      </c>
      <c r="C2987" s="36" t="str">
        <f aca="false">IF(Raw_Export!$A2987="","",IFERROR(VLOOKUP(LOWER(TRIM(Raw_Export!C2987)),Maps!$A$2:$B$20,2,FALSE()),"UNMAPPED"))</f>
        <v/>
      </c>
      <c r="D2987" s="36" t="str">
        <f aca="false">IF(Raw_Export!$A2987="","",IFERROR(VLOOKUP(LOWER(TRIM(Raw_Export!D2987)),Maps!$G$2:$I$80,2,FALSE()),"UNMAPPED"))</f>
        <v/>
      </c>
      <c r="E2987" s="36" t="str">
        <f aca="false">IF(Raw_Export!$A2987="","",IFERROR(VLOOKUP(LOWER(TRIM(Raw_Export!D2987)),Maps!$G$2:$I$80,3,FALSE()),"UNMAPPED"))</f>
        <v/>
      </c>
      <c r="F2987" s="36" t="str">
        <f aca="false">IF(Raw_Export!$A2987="","",IFERROR(VALUE(TRIM(Raw_Export!E2987)),0))</f>
        <v/>
      </c>
      <c r="G2987" s="38" t="str">
        <f aca="false">IF(Raw_Export!$A2987="","",IFERROR(VALUE(SUBSTITUTE(SUBSTITUTE(UPPER(TRIM(Raw_Export!F2987)),"KES",""),",","")),0))</f>
        <v/>
      </c>
      <c r="H2987" s="38" t="str">
        <f aca="false">IF(Raw_Export!$A2987="","",F2987*G2987)</f>
        <v/>
      </c>
      <c r="I2987" s="36" t="str">
        <f aca="false">IF(Raw_Export!$A2987="","",IFERROR(VLOOKUP(LOWER(TRIM(Raw_Export!H2987)),Maps!$D$2:$E$12,2,FALSE()),"Other"))</f>
        <v/>
      </c>
      <c r="J2987" s="36" t="str">
        <f aca="false">IF(Raw_Export!$A2987="","",IF(COUNTIF($A$2:A2987,A2987)&gt;1,"Duplicate",""))</f>
        <v/>
      </c>
      <c r="K2987" s="36" t="str">
        <f aca="false">IF(Raw_Export!$A2987="","",IF(J2987="Duplicate","Duplicate",IF(OR(C2987="UNMAPPED",D2987="UNMAPPED"),"Unmapped",IF(F2987=0,"Blank qty",IF(F2987&lt;0,"Return","OK")))))</f>
        <v/>
      </c>
      <c r="L2987" s="36" t="str">
        <f aca="false">IF(Raw_Export!$A2987="","",IF(OR(K2987="OK",K2987="Return"),1,0))</f>
        <v/>
      </c>
      <c r="M2987" s="37" t="str">
        <f aca="false">IF(Raw_Export!$A2987="","",B2987-WEEKDAY(B2987,2)+1)</f>
        <v/>
      </c>
    </row>
    <row r="2988" customFormat="false" ht="15" hidden="false" customHeight="false" outlineLevel="0" collapsed="false">
      <c r="A2988" s="36" t="str">
        <f aca="false">IF(Raw_Export!$A2988="","",TRIM(Raw_Export!A2988))</f>
        <v/>
      </c>
      <c r="B2988" s="37" t="str">
        <f aca="false">IF(Raw_Export!$A2988="","",IF(ISNUMBER(Raw_Export!B2988),Raw_Export!B2988,IF(MID(TRIM(Raw_Export!B2988),5,1)="-",DATE(LEFT(TRIM(Raw_Export!B2988),4),MID(TRIM(Raw_Export!B2988),6,2),RIGHT(TRIM(Raw_Export!B2988),2)),DATE(RIGHT(TRIM(Raw_Export!B2988),4),MATCH(MID(TRIM(Raw_Export!B2988),4,3),{"Jan","Feb","Mar","Apr","May","Jun","Jul","Aug","Sep","Oct","Nov","Dec"},0),LEFT(TRIM(Raw_Export!B2988),2)))))</f>
        <v/>
      </c>
      <c r="C2988" s="36" t="str">
        <f aca="false">IF(Raw_Export!$A2988="","",IFERROR(VLOOKUP(LOWER(TRIM(Raw_Export!C2988)),Maps!$A$2:$B$20,2,FALSE()),"UNMAPPED"))</f>
        <v/>
      </c>
      <c r="D2988" s="36" t="str">
        <f aca="false">IF(Raw_Export!$A2988="","",IFERROR(VLOOKUP(LOWER(TRIM(Raw_Export!D2988)),Maps!$G$2:$I$80,2,FALSE()),"UNMAPPED"))</f>
        <v/>
      </c>
      <c r="E2988" s="36" t="str">
        <f aca="false">IF(Raw_Export!$A2988="","",IFERROR(VLOOKUP(LOWER(TRIM(Raw_Export!D2988)),Maps!$G$2:$I$80,3,FALSE()),"UNMAPPED"))</f>
        <v/>
      </c>
      <c r="F2988" s="36" t="str">
        <f aca="false">IF(Raw_Export!$A2988="","",IFERROR(VALUE(TRIM(Raw_Export!E2988)),0))</f>
        <v/>
      </c>
      <c r="G2988" s="38" t="str">
        <f aca="false">IF(Raw_Export!$A2988="","",IFERROR(VALUE(SUBSTITUTE(SUBSTITUTE(UPPER(TRIM(Raw_Export!F2988)),"KES",""),",","")),0))</f>
        <v/>
      </c>
      <c r="H2988" s="38" t="str">
        <f aca="false">IF(Raw_Export!$A2988="","",F2988*G2988)</f>
        <v/>
      </c>
      <c r="I2988" s="36" t="str">
        <f aca="false">IF(Raw_Export!$A2988="","",IFERROR(VLOOKUP(LOWER(TRIM(Raw_Export!H2988)),Maps!$D$2:$E$12,2,FALSE()),"Other"))</f>
        <v/>
      </c>
      <c r="J2988" s="36" t="str">
        <f aca="false">IF(Raw_Export!$A2988="","",IF(COUNTIF($A$2:A2988,A2988)&gt;1,"Duplicate",""))</f>
        <v/>
      </c>
      <c r="K2988" s="36" t="str">
        <f aca="false">IF(Raw_Export!$A2988="","",IF(J2988="Duplicate","Duplicate",IF(OR(C2988="UNMAPPED",D2988="UNMAPPED"),"Unmapped",IF(F2988=0,"Blank qty",IF(F2988&lt;0,"Return","OK")))))</f>
        <v/>
      </c>
      <c r="L2988" s="36" t="str">
        <f aca="false">IF(Raw_Export!$A2988="","",IF(OR(K2988="OK",K2988="Return"),1,0))</f>
        <v/>
      </c>
      <c r="M2988" s="37" t="str">
        <f aca="false">IF(Raw_Export!$A2988="","",B2988-WEEKDAY(B2988,2)+1)</f>
        <v/>
      </c>
    </row>
    <row r="2989" customFormat="false" ht="15" hidden="false" customHeight="false" outlineLevel="0" collapsed="false">
      <c r="A2989" s="36" t="str">
        <f aca="false">IF(Raw_Export!$A2989="","",TRIM(Raw_Export!A2989))</f>
        <v/>
      </c>
      <c r="B2989" s="37" t="str">
        <f aca="false">IF(Raw_Export!$A2989="","",IF(ISNUMBER(Raw_Export!B2989),Raw_Export!B2989,IF(MID(TRIM(Raw_Export!B2989),5,1)="-",DATE(LEFT(TRIM(Raw_Export!B2989),4),MID(TRIM(Raw_Export!B2989),6,2),RIGHT(TRIM(Raw_Export!B2989),2)),DATE(RIGHT(TRIM(Raw_Export!B2989),4),MATCH(MID(TRIM(Raw_Export!B2989),4,3),{"Jan","Feb","Mar","Apr","May","Jun","Jul","Aug","Sep","Oct","Nov","Dec"},0),LEFT(TRIM(Raw_Export!B2989),2)))))</f>
        <v/>
      </c>
      <c r="C2989" s="36" t="str">
        <f aca="false">IF(Raw_Export!$A2989="","",IFERROR(VLOOKUP(LOWER(TRIM(Raw_Export!C2989)),Maps!$A$2:$B$20,2,FALSE()),"UNMAPPED"))</f>
        <v/>
      </c>
      <c r="D2989" s="36" t="str">
        <f aca="false">IF(Raw_Export!$A2989="","",IFERROR(VLOOKUP(LOWER(TRIM(Raw_Export!D2989)),Maps!$G$2:$I$80,2,FALSE()),"UNMAPPED"))</f>
        <v/>
      </c>
      <c r="E2989" s="36" t="str">
        <f aca="false">IF(Raw_Export!$A2989="","",IFERROR(VLOOKUP(LOWER(TRIM(Raw_Export!D2989)),Maps!$G$2:$I$80,3,FALSE()),"UNMAPPED"))</f>
        <v/>
      </c>
      <c r="F2989" s="36" t="str">
        <f aca="false">IF(Raw_Export!$A2989="","",IFERROR(VALUE(TRIM(Raw_Export!E2989)),0))</f>
        <v/>
      </c>
      <c r="G2989" s="38" t="str">
        <f aca="false">IF(Raw_Export!$A2989="","",IFERROR(VALUE(SUBSTITUTE(SUBSTITUTE(UPPER(TRIM(Raw_Export!F2989)),"KES",""),",","")),0))</f>
        <v/>
      </c>
      <c r="H2989" s="38" t="str">
        <f aca="false">IF(Raw_Export!$A2989="","",F2989*G2989)</f>
        <v/>
      </c>
      <c r="I2989" s="36" t="str">
        <f aca="false">IF(Raw_Export!$A2989="","",IFERROR(VLOOKUP(LOWER(TRIM(Raw_Export!H2989)),Maps!$D$2:$E$12,2,FALSE()),"Other"))</f>
        <v/>
      </c>
      <c r="J2989" s="36" t="str">
        <f aca="false">IF(Raw_Export!$A2989="","",IF(COUNTIF($A$2:A2989,A2989)&gt;1,"Duplicate",""))</f>
        <v/>
      </c>
      <c r="K2989" s="36" t="str">
        <f aca="false">IF(Raw_Export!$A2989="","",IF(J2989="Duplicate","Duplicate",IF(OR(C2989="UNMAPPED",D2989="UNMAPPED"),"Unmapped",IF(F2989=0,"Blank qty",IF(F2989&lt;0,"Return","OK")))))</f>
        <v/>
      </c>
      <c r="L2989" s="36" t="str">
        <f aca="false">IF(Raw_Export!$A2989="","",IF(OR(K2989="OK",K2989="Return"),1,0))</f>
        <v/>
      </c>
      <c r="M2989" s="37" t="str">
        <f aca="false">IF(Raw_Export!$A2989="","",B2989-WEEKDAY(B2989,2)+1)</f>
        <v/>
      </c>
    </row>
    <row r="2990" customFormat="false" ht="15" hidden="false" customHeight="false" outlineLevel="0" collapsed="false">
      <c r="A2990" s="36" t="str">
        <f aca="false">IF(Raw_Export!$A2990="","",TRIM(Raw_Export!A2990))</f>
        <v/>
      </c>
      <c r="B2990" s="37" t="str">
        <f aca="false">IF(Raw_Export!$A2990="","",IF(ISNUMBER(Raw_Export!B2990),Raw_Export!B2990,IF(MID(TRIM(Raw_Export!B2990),5,1)="-",DATE(LEFT(TRIM(Raw_Export!B2990),4),MID(TRIM(Raw_Export!B2990),6,2),RIGHT(TRIM(Raw_Export!B2990),2)),DATE(RIGHT(TRIM(Raw_Export!B2990),4),MATCH(MID(TRIM(Raw_Export!B2990),4,3),{"Jan","Feb","Mar","Apr","May","Jun","Jul","Aug","Sep","Oct","Nov","Dec"},0),LEFT(TRIM(Raw_Export!B2990),2)))))</f>
        <v/>
      </c>
      <c r="C2990" s="36" t="str">
        <f aca="false">IF(Raw_Export!$A2990="","",IFERROR(VLOOKUP(LOWER(TRIM(Raw_Export!C2990)),Maps!$A$2:$B$20,2,FALSE()),"UNMAPPED"))</f>
        <v/>
      </c>
      <c r="D2990" s="36" t="str">
        <f aca="false">IF(Raw_Export!$A2990="","",IFERROR(VLOOKUP(LOWER(TRIM(Raw_Export!D2990)),Maps!$G$2:$I$80,2,FALSE()),"UNMAPPED"))</f>
        <v/>
      </c>
      <c r="E2990" s="36" t="str">
        <f aca="false">IF(Raw_Export!$A2990="","",IFERROR(VLOOKUP(LOWER(TRIM(Raw_Export!D2990)),Maps!$G$2:$I$80,3,FALSE()),"UNMAPPED"))</f>
        <v/>
      </c>
      <c r="F2990" s="36" t="str">
        <f aca="false">IF(Raw_Export!$A2990="","",IFERROR(VALUE(TRIM(Raw_Export!E2990)),0))</f>
        <v/>
      </c>
      <c r="G2990" s="38" t="str">
        <f aca="false">IF(Raw_Export!$A2990="","",IFERROR(VALUE(SUBSTITUTE(SUBSTITUTE(UPPER(TRIM(Raw_Export!F2990)),"KES",""),",","")),0))</f>
        <v/>
      </c>
      <c r="H2990" s="38" t="str">
        <f aca="false">IF(Raw_Export!$A2990="","",F2990*G2990)</f>
        <v/>
      </c>
      <c r="I2990" s="36" t="str">
        <f aca="false">IF(Raw_Export!$A2990="","",IFERROR(VLOOKUP(LOWER(TRIM(Raw_Export!H2990)),Maps!$D$2:$E$12,2,FALSE()),"Other"))</f>
        <v/>
      </c>
      <c r="J2990" s="36" t="str">
        <f aca="false">IF(Raw_Export!$A2990="","",IF(COUNTIF($A$2:A2990,A2990)&gt;1,"Duplicate",""))</f>
        <v/>
      </c>
      <c r="K2990" s="36" t="str">
        <f aca="false">IF(Raw_Export!$A2990="","",IF(J2990="Duplicate","Duplicate",IF(OR(C2990="UNMAPPED",D2990="UNMAPPED"),"Unmapped",IF(F2990=0,"Blank qty",IF(F2990&lt;0,"Return","OK")))))</f>
        <v/>
      </c>
      <c r="L2990" s="36" t="str">
        <f aca="false">IF(Raw_Export!$A2990="","",IF(OR(K2990="OK",K2990="Return"),1,0))</f>
        <v/>
      </c>
      <c r="M2990" s="37" t="str">
        <f aca="false">IF(Raw_Export!$A2990="","",B2990-WEEKDAY(B2990,2)+1)</f>
        <v/>
      </c>
    </row>
    <row r="2991" customFormat="false" ht="15" hidden="false" customHeight="false" outlineLevel="0" collapsed="false">
      <c r="A2991" s="36" t="str">
        <f aca="false">IF(Raw_Export!$A2991="","",TRIM(Raw_Export!A2991))</f>
        <v/>
      </c>
      <c r="B2991" s="37" t="str">
        <f aca="false">IF(Raw_Export!$A2991="","",IF(ISNUMBER(Raw_Export!B2991),Raw_Export!B2991,IF(MID(TRIM(Raw_Export!B2991),5,1)="-",DATE(LEFT(TRIM(Raw_Export!B2991),4),MID(TRIM(Raw_Export!B2991),6,2),RIGHT(TRIM(Raw_Export!B2991),2)),DATE(RIGHT(TRIM(Raw_Export!B2991),4),MATCH(MID(TRIM(Raw_Export!B2991),4,3),{"Jan","Feb","Mar","Apr","May","Jun","Jul","Aug","Sep","Oct","Nov","Dec"},0),LEFT(TRIM(Raw_Export!B2991),2)))))</f>
        <v/>
      </c>
      <c r="C2991" s="36" t="str">
        <f aca="false">IF(Raw_Export!$A2991="","",IFERROR(VLOOKUP(LOWER(TRIM(Raw_Export!C2991)),Maps!$A$2:$B$20,2,FALSE()),"UNMAPPED"))</f>
        <v/>
      </c>
      <c r="D2991" s="36" t="str">
        <f aca="false">IF(Raw_Export!$A2991="","",IFERROR(VLOOKUP(LOWER(TRIM(Raw_Export!D2991)),Maps!$G$2:$I$80,2,FALSE()),"UNMAPPED"))</f>
        <v/>
      </c>
      <c r="E2991" s="36" t="str">
        <f aca="false">IF(Raw_Export!$A2991="","",IFERROR(VLOOKUP(LOWER(TRIM(Raw_Export!D2991)),Maps!$G$2:$I$80,3,FALSE()),"UNMAPPED"))</f>
        <v/>
      </c>
      <c r="F2991" s="36" t="str">
        <f aca="false">IF(Raw_Export!$A2991="","",IFERROR(VALUE(TRIM(Raw_Export!E2991)),0))</f>
        <v/>
      </c>
      <c r="G2991" s="38" t="str">
        <f aca="false">IF(Raw_Export!$A2991="","",IFERROR(VALUE(SUBSTITUTE(SUBSTITUTE(UPPER(TRIM(Raw_Export!F2991)),"KES",""),",","")),0))</f>
        <v/>
      </c>
      <c r="H2991" s="38" t="str">
        <f aca="false">IF(Raw_Export!$A2991="","",F2991*G2991)</f>
        <v/>
      </c>
      <c r="I2991" s="36" t="str">
        <f aca="false">IF(Raw_Export!$A2991="","",IFERROR(VLOOKUP(LOWER(TRIM(Raw_Export!H2991)),Maps!$D$2:$E$12,2,FALSE()),"Other"))</f>
        <v/>
      </c>
      <c r="J2991" s="36" t="str">
        <f aca="false">IF(Raw_Export!$A2991="","",IF(COUNTIF($A$2:A2991,A2991)&gt;1,"Duplicate",""))</f>
        <v/>
      </c>
      <c r="K2991" s="36" t="str">
        <f aca="false">IF(Raw_Export!$A2991="","",IF(J2991="Duplicate","Duplicate",IF(OR(C2991="UNMAPPED",D2991="UNMAPPED"),"Unmapped",IF(F2991=0,"Blank qty",IF(F2991&lt;0,"Return","OK")))))</f>
        <v/>
      </c>
      <c r="L2991" s="36" t="str">
        <f aca="false">IF(Raw_Export!$A2991="","",IF(OR(K2991="OK",K2991="Return"),1,0))</f>
        <v/>
      </c>
      <c r="M2991" s="37" t="str">
        <f aca="false">IF(Raw_Export!$A2991="","",B2991-WEEKDAY(B2991,2)+1)</f>
        <v/>
      </c>
    </row>
    <row r="2992" customFormat="false" ht="15" hidden="false" customHeight="false" outlineLevel="0" collapsed="false">
      <c r="A2992" s="36" t="str">
        <f aca="false">IF(Raw_Export!$A2992="","",TRIM(Raw_Export!A2992))</f>
        <v/>
      </c>
      <c r="B2992" s="37" t="str">
        <f aca="false">IF(Raw_Export!$A2992="","",IF(ISNUMBER(Raw_Export!B2992),Raw_Export!B2992,IF(MID(TRIM(Raw_Export!B2992),5,1)="-",DATE(LEFT(TRIM(Raw_Export!B2992),4),MID(TRIM(Raw_Export!B2992),6,2),RIGHT(TRIM(Raw_Export!B2992),2)),DATE(RIGHT(TRIM(Raw_Export!B2992),4),MATCH(MID(TRIM(Raw_Export!B2992),4,3),{"Jan","Feb","Mar","Apr","May","Jun","Jul","Aug","Sep","Oct","Nov","Dec"},0),LEFT(TRIM(Raw_Export!B2992),2)))))</f>
        <v/>
      </c>
      <c r="C2992" s="36" t="str">
        <f aca="false">IF(Raw_Export!$A2992="","",IFERROR(VLOOKUP(LOWER(TRIM(Raw_Export!C2992)),Maps!$A$2:$B$20,2,FALSE()),"UNMAPPED"))</f>
        <v/>
      </c>
      <c r="D2992" s="36" t="str">
        <f aca="false">IF(Raw_Export!$A2992="","",IFERROR(VLOOKUP(LOWER(TRIM(Raw_Export!D2992)),Maps!$G$2:$I$80,2,FALSE()),"UNMAPPED"))</f>
        <v/>
      </c>
      <c r="E2992" s="36" t="str">
        <f aca="false">IF(Raw_Export!$A2992="","",IFERROR(VLOOKUP(LOWER(TRIM(Raw_Export!D2992)),Maps!$G$2:$I$80,3,FALSE()),"UNMAPPED"))</f>
        <v/>
      </c>
      <c r="F2992" s="36" t="str">
        <f aca="false">IF(Raw_Export!$A2992="","",IFERROR(VALUE(TRIM(Raw_Export!E2992)),0))</f>
        <v/>
      </c>
      <c r="G2992" s="38" t="str">
        <f aca="false">IF(Raw_Export!$A2992="","",IFERROR(VALUE(SUBSTITUTE(SUBSTITUTE(UPPER(TRIM(Raw_Export!F2992)),"KES",""),",","")),0))</f>
        <v/>
      </c>
      <c r="H2992" s="38" t="str">
        <f aca="false">IF(Raw_Export!$A2992="","",F2992*G2992)</f>
        <v/>
      </c>
      <c r="I2992" s="36" t="str">
        <f aca="false">IF(Raw_Export!$A2992="","",IFERROR(VLOOKUP(LOWER(TRIM(Raw_Export!H2992)),Maps!$D$2:$E$12,2,FALSE()),"Other"))</f>
        <v/>
      </c>
      <c r="J2992" s="36" t="str">
        <f aca="false">IF(Raw_Export!$A2992="","",IF(COUNTIF($A$2:A2992,A2992)&gt;1,"Duplicate",""))</f>
        <v/>
      </c>
      <c r="K2992" s="36" t="str">
        <f aca="false">IF(Raw_Export!$A2992="","",IF(J2992="Duplicate","Duplicate",IF(OR(C2992="UNMAPPED",D2992="UNMAPPED"),"Unmapped",IF(F2992=0,"Blank qty",IF(F2992&lt;0,"Return","OK")))))</f>
        <v/>
      </c>
      <c r="L2992" s="36" t="str">
        <f aca="false">IF(Raw_Export!$A2992="","",IF(OR(K2992="OK",K2992="Return"),1,0))</f>
        <v/>
      </c>
      <c r="M2992" s="37" t="str">
        <f aca="false">IF(Raw_Export!$A2992="","",B2992-WEEKDAY(B2992,2)+1)</f>
        <v/>
      </c>
    </row>
    <row r="2993" customFormat="false" ht="15" hidden="false" customHeight="false" outlineLevel="0" collapsed="false">
      <c r="A2993" s="36" t="str">
        <f aca="false">IF(Raw_Export!$A2993="","",TRIM(Raw_Export!A2993))</f>
        <v/>
      </c>
      <c r="B2993" s="37" t="str">
        <f aca="false">IF(Raw_Export!$A2993="","",IF(ISNUMBER(Raw_Export!B2993),Raw_Export!B2993,IF(MID(TRIM(Raw_Export!B2993),5,1)="-",DATE(LEFT(TRIM(Raw_Export!B2993),4),MID(TRIM(Raw_Export!B2993),6,2),RIGHT(TRIM(Raw_Export!B2993),2)),DATE(RIGHT(TRIM(Raw_Export!B2993),4),MATCH(MID(TRIM(Raw_Export!B2993),4,3),{"Jan","Feb","Mar","Apr","May","Jun","Jul","Aug","Sep","Oct","Nov","Dec"},0),LEFT(TRIM(Raw_Export!B2993),2)))))</f>
        <v/>
      </c>
      <c r="C2993" s="36" t="str">
        <f aca="false">IF(Raw_Export!$A2993="","",IFERROR(VLOOKUP(LOWER(TRIM(Raw_Export!C2993)),Maps!$A$2:$B$20,2,FALSE()),"UNMAPPED"))</f>
        <v/>
      </c>
      <c r="D2993" s="36" t="str">
        <f aca="false">IF(Raw_Export!$A2993="","",IFERROR(VLOOKUP(LOWER(TRIM(Raw_Export!D2993)),Maps!$G$2:$I$80,2,FALSE()),"UNMAPPED"))</f>
        <v/>
      </c>
      <c r="E2993" s="36" t="str">
        <f aca="false">IF(Raw_Export!$A2993="","",IFERROR(VLOOKUP(LOWER(TRIM(Raw_Export!D2993)),Maps!$G$2:$I$80,3,FALSE()),"UNMAPPED"))</f>
        <v/>
      </c>
      <c r="F2993" s="36" t="str">
        <f aca="false">IF(Raw_Export!$A2993="","",IFERROR(VALUE(TRIM(Raw_Export!E2993)),0))</f>
        <v/>
      </c>
      <c r="G2993" s="38" t="str">
        <f aca="false">IF(Raw_Export!$A2993="","",IFERROR(VALUE(SUBSTITUTE(SUBSTITUTE(UPPER(TRIM(Raw_Export!F2993)),"KES",""),",","")),0))</f>
        <v/>
      </c>
      <c r="H2993" s="38" t="str">
        <f aca="false">IF(Raw_Export!$A2993="","",F2993*G2993)</f>
        <v/>
      </c>
      <c r="I2993" s="36" t="str">
        <f aca="false">IF(Raw_Export!$A2993="","",IFERROR(VLOOKUP(LOWER(TRIM(Raw_Export!H2993)),Maps!$D$2:$E$12,2,FALSE()),"Other"))</f>
        <v/>
      </c>
      <c r="J2993" s="36" t="str">
        <f aca="false">IF(Raw_Export!$A2993="","",IF(COUNTIF($A$2:A2993,A2993)&gt;1,"Duplicate",""))</f>
        <v/>
      </c>
      <c r="K2993" s="36" t="str">
        <f aca="false">IF(Raw_Export!$A2993="","",IF(J2993="Duplicate","Duplicate",IF(OR(C2993="UNMAPPED",D2993="UNMAPPED"),"Unmapped",IF(F2993=0,"Blank qty",IF(F2993&lt;0,"Return","OK")))))</f>
        <v/>
      </c>
      <c r="L2993" s="36" t="str">
        <f aca="false">IF(Raw_Export!$A2993="","",IF(OR(K2993="OK",K2993="Return"),1,0))</f>
        <v/>
      </c>
      <c r="M2993" s="37" t="str">
        <f aca="false">IF(Raw_Export!$A2993="","",B2993-WEEKDAY(B2993,2)+1)</f>
        <v/>
      </c>
    </row>
    <row r="2994" customFormat="false" ht="15" hidden="false" customHeight="false" outlineLevel="0" collapsed="false">
      <c r="A2994" s="36" t="str">
        <f aca="false">IF(Raw_Export!$A2994="","",TRIM(Raw_Export!A2994))</f>
        <v/>
      </c>
      <c r="B2994" s="37" t="str">
        <f aca="false">IF(Raw_Export!$A2994="","",IF(ISNUMBER(Raw_Export!B2994),Raw_Export!B2994,IF(MID(TRIM(Raw_Export!B2994),5,1)="-",DATE(LEFT(TRIM(Raw_Export!B2994),4),MID(TRIM(Raw_Export!B2994),6,2),RIGHT(TRIM(Raw_Export!B2994),2)),DATE(RIGHT(TRIM(Raw_Export!B2994),4),MATCH(MID(TRIM(Raw_Export!B2994),4,3),{"Jan","Feb","Mar","Apr","May","Jun","Jul","Aug","Sep","Oct","Nov","Dec"},0),LEFT(TRIM(Raw_Export!B2994),2)))))</f>
        <v/>
      </c>
      <c r="C2994" s="36" t="str">
        <f aca="false">IF(Raw_Export!$A2994="","",IFERROR(VLOOKUP(LOWER(TRIM(Raw_Export!C2994)),Maps!$A$2:$B$20,2,FALSE()),"UNMAPPED"))</f>
        <v/>
      </c>
      <c r="D2994" s="36" t="str">
        <f aca="false">IF(Raw_Export!$A2994="","",IFERROR(VLOOKUP(LOWER(TRIM(Raw_Export!D2994)),Maps!$G$2:$I$80,2,FALSE()),"UNMAPPED"))</f>
        <v/>
      </c>
      <c r="E2994" s="36" t="str">
        <f aca="false">IF(Raw_Export!$A2994="","",IFERROR(VLOOKUP(LOWER(TRIM(Raw_Export!D2994)),Maps!$G$2:$I$80,3,FALSE()),"UNMAPPED"))</f>
        <v/>
      </c>
      <c r="F2994" s="36" t="str">
        <f aca="false">IF(Raw_Export!$A2994="","",IFERROR(VALUE(TRIM(Raw_Export!E2994)),0))</f>
        <v/>
      </c>
      <c r="G2994" s="38" t="str">
        <f aca="false">IF(Raw_Export!$A2994="","",IFERROR(VALUE(SUBSTITUTE(SUBSTITUTE(UPPER(TRIM(Raw_Export!F2994)),"KES",""),",","")),0))</f>
        <v/>
      </c>
      <c r="H2994" s="38" t="str">
        <f aca="false">IF(Raw_Export!$A2994="","",F2994*G2994)</f>
        <v/>
      </c>
      <c r="I2994" s="36" t="str">
        <f aca="false">IF(Raw_Export!$A2994="","",IFERROR(VLOOKUP(LOWER(TRIM(Raw_Export!H2994)),Maps!$D$2:$E$12,2,FALSE()),"Other"))</f>
        <v/>
      </c>
      <c r="J2994" s="36" t="str">
        <f aca="false">IF(Raw_Export!$A2994="","",IF(COUNTIF($A$2:A2994,A2994)&gt;1,"Duplicate",""))</f>
        <v/>
      </c>
      <c r="K2994" s="36" t="str">
        <f aca="false">IF(Raw_Export!$A2994="","",IF(J2994="Duplicate","Duplicate",IF(OR(C2994="UNMAPPED",D2994="UNMAPPED"),"Unmapped",IF(F2994=0,"Blank qty",IF(F2994&lt;0,"Return","OK")))))</f>
        <v/>
      </c>
      <c r="L2994" s="36" t="str">
        <f aca="false">IF(Raw_Export!$A2994="","",IF(OR(K2994="OK",K2994="Return"),1,0))</f>
        <v/>
      </c>
      <c r="M2994" s="37" t="str">
        <f aca="false">IF(Raw_Export!$A2994="","",B2994-WEEKDAY(B2994,2)+1)</f>
        <v/>
      </c>
    </row>
    <row r="2995" customFormat="false" ht="15" hidden="false" customHeight="false" outlineLevel="0" collapsed="false">
      <c r="A2995" s="36" t="str">
        <f aca="false">IF(Raw_Export!$A2995="","",TRIM(Raw_Export!A2995))</f>
        <v/>
      </c>
      <c r="B2995" s="37" t="str">
        <f aca="false">IF(Raw_Export!$A2995="","",IF(ISNUMBER(Raw_Export!B2995),Raw_Export!B2995,IF(MID(TRIM(Raw_Export!B2995),5,1)="-",DATE(LEFT(TRIM(Raw_Export!B2995),4),MID(TRIM(Raw_Export!B2995),6,2),RIGHT(TRIM(Raw_Export!B2995),2)),DATE(RIGHT(TRIM(Raw_Export!B2995),4),MATCH(MID(TRIM(Raw_Export!B2995),4,3),{"Jan","Feb","Mar","Apr","May","Jun","Jul","Aug","Sep","Oct","Nov","Dec"},0),LEFT(TRIM(Raw_Export!B2995),2)))))</f>
        <v/>
      </c>
      <c r="C2995" s="36" t="str">
        <f aca="false">IF(Raw_Export!$A2995="","",IFERROR(VLOOKUP(LOWER(TRIM(Raw_Export!C2995)),Maps!$A$2:$B$20,2,FALSE()),"UNMAPPED"))</f>
        <v/>
      </c>
      <c r="D2995" s="36" t="str">
        <f aca="false">IF(Raw_Export!$A2995="","",IFERROR(VLOOKUP(LOWER(TRIM(Raw_Export!D2995)),Maps!$G$2:$I$80,2,FALSE()),"UNMAPPED"))</f>
        <v/>
      </c>
      <c r="E2995" s="36" t="str">
        <f aca="false">IF(Raw_Export!$A2995="","",IFERROR(VLOOKUP(LOWER(TRIM(Raw_Export!D2995)),Maps!$G$2:$I$80,3,FALSE()),"UNMAPPED"))</f>
        <v/>
      </c>
      <c r="F2995" s="36" t="str">
        <f aca="false">IF(Raw_Export!$A2995="","",IFERROR(VALUE(TRIM(Raw_Export!E2995)),0))</f>
        <v/>
      </c>
      <c r="G2995" s="38" t="str">
        <f aca="false">IF(Raw_Export!$A2995="","",IFERROR(VALUE(SUBSTITUTE(SUBSTITUTE(UPPER(TRIM(Raw_Export!F2995)),"KES",""),",","")),0))</f>
        <v/>
      </c>
      <c r="H2995" s="38" t="str">
        <f aca="false">IF(Raw_Export!$A2995="","",F2995*G2995)</f>
        <v/>
      </c>
      <c r="I2995" s="36" t="str">
        <f aca="false">IF(Raw_Export!$A2995="","",IFERROR(VLOOKUP(LOWER(TRIM(Raw_Export!H2995)),Maps!$D$2:$E$12,2,FALSE()),"Other"))</f>
        <v/>
      </c>
      <c r="J2995" s="36" t="str">
        <f aca="false">IF(Raw_Export!$A2995="","",IF(COUNTIF($A$2:A2995,A2995)&gt;1,"Duplicate",""))</f>
        <v/>
      </c>
      <c r="K2995" s="36" t="str">
        <f aca="false">IF(Raw_Export!$A2995="","",IF(J2995="Duplicate","Duplicate",IF(OR(C2995="UNMAPPED",D2995="UNMAPPED"),"Unmapped",IF(F2995=0,"Blank qty",IF(F2995&lt;0,"Return","OK")))))</f>
        <v/>
      </c>
      <c r="L2995" s="36" t="str">
        <f aca="false">IF(Raw_Export!$A2995="","",IF(OR(K2995="OK",K2995="Return"),1,0))</f>
        <v/>
      </c>
      <c r="M2995" s="37" t="str">
        <f aca="false">IF(Raw_Export!$A2995="","",B2995-WEEKDAY(B2995,2)+1)</f>
        <v/>
      </c>
    </row>
    <row r="2996" customFormat="false" ht="15" hidden="false" customHeight="false" outlineLevel="0" collapsed="false">
      <c r="A2996" s="36" t="str">
        <f aca="false">IF(Raw_Export!$A2996="","",TRIM(Raw_Export!A2996))</f>
        <v/>
      </c>
      <c r="B2996" s="37" t="str">
        <f aca="false">IF(Raw_Export!$A2996="","",IF(ISNUMBER(Raw_Export!B2996),Raw_Export!B2996,IF(MID(TRIM(Raw_Export!B2996),5,1)="-",DATE(LEFT(TRIM(Raw_Export!B2996),4),MID(TRIM(Raw_Export!B2996),6,2),RIGHT(TRIM(Raw_Export!B2996),2)),DATE(RIGHT(TRIM(Raw_Export!B2996),4),MATCH(MID(TRIM(Raw_Export!B2996),4,3),{"Jan","Feb","Mar","Apr","May","Jun","Jul","Aug","Sep","Oct","Nov","Dec"},0),LEFT(TRIM(Raw_Export!B2996),2)))))</f>
        <v/>
      </c>
      <c r="C2996" s="36" t="str">
        <f aca="false">IF(Raw_Export!$A2996="","",IFERROR(VLOOKUP(LOWER(TRIM(Raw_Export!C2996)),Maps!$A$2:$B$20,2,FALSE()),"UNMAPPED"))</f>
        <v/>
      </c>
      <c r="D2996" s="36" t="str">
        <f aca="false">IF(Raw_Export!$A2996="","",IFERROR(VLOOKUP(LOWER(TRIM(Raw_Export!D2996)),Maps!$G$2:$I$80,2,FALSE()),"UNMAPPED"))</f>
        <v/>
      </c>
      <c r="E2996" s="36" t="str">
        <f aca="false">IF(Raw_Export!$A2996="","",IFERROR(VLOOKUP(LOWER(TRIM(Raw_Export!D2996)),Maps!$G$2:$I$80,3,FALSE()),"UNMAPPED"))</f>
        <v/>
      </c>
      <c r="F2996" s="36" t="str">
        <f aca="false">IF(Raw_Export!$A2996="","",IFERROR(VALUE(TRIM(Raw_Export!E2996)),0))</f>
        <v/>
      </c>
      <c r="G2996" s="38" t="str">
        <f aca="false">IF(Raw_Export!$A2996="","",IFERROR(VALUE(SUBSTITUTE(SUBSTITUTE(UPPER(TRIM(Raw_Export!F2996)),"KES",""),",","")),0))</f>
        <v/>
      </c>
      <c r="H2996" s="38" t="str">
        <f aca="false">IF(Raw_Export!$A2996="","",F2996*G2996)</f>
        <v/>
      </c>
      <c r="I2996" s="36" t="str">
        <f aca="false">IF(Raw_Export!$A2996="","",IFERROR(VLOOKUP(LOWER(TRIM(Raw_Export!H2996)),Maps!$D$2:$E$12,2,FALSE()),"Other"))</f>
        <v/>
      </c>
      <c r="J2996" s="36" t="str">
        <f aca="false">IF(Raw_Export!$A2996="","",IF(COUNTIF($A$2:A2996,A2996)&gt;1,"Duplicate",""))</f>
        <v/>
      </c>
      <c r="K2996" s="36" t="str">
        <f aca="false">IF(Raw_Export!$A2996="","",IF(J2996="Duplicate","Duplicate",IF(OR(C2996="UNMAPPED",D2996="UNMAPPED"),"Unmapped",IF(F2996=0,"Blank qty",IF(F2996&lt;0,"Return","OK")))))</f>
        <v/>
      </c>
      <c r="L2996" s="36" t="str">
        <f aca="false">IF(Raw_Export!$A2996="","",IF(OR(K2996="OK",K2996="Return"),1,0))</f>
        <v/>
      </c>
      <c r="M2996" s="37" t="str">
        <f aca="false">IF(Raw_Export!$A2996="","",B2996-WEEKDAY(B2996,2)+1)</f>
        <v/>
      </c>
    </row>
    <row r="2997" customFormat="false" ht="15" hidden="false" customHeight="false" outlineLevel="0" collapsed="false">
      <c r="A2997" s="36" t="str">
        <f aca="false">IF(Raw_Export!$A2997="","",TRIM(Raw_Export!A2997))</f>
        <v/>
      </c>
      <c r="B2997" s="37" t="str">
        <f aca="false">IF(Raw_Export!$A2997="","",IF(ISNUMBER(Raw_Export!B2997),Raw_Export!B2997,IF(MID(TRIM(Raw_Export!B2997),5,1)="-",DATE(LEFT(TRIM(Raw_Export!B2997),4),MID(TRIM(Raw_Export!B2997),6,2),RIGHT(TRIM(Raw_Export!B2997),2)),DATE(RIGHT(TRIM(Raw_Export!B2997),4),MATCH(MID(TRIM(Raw_Export!B2997),4,3),{"Jan","Feb","Mar","Apr","May","Jun","Jul","Aug","Sep","Oct","Nov","Dec"},0),LEFT(TRIM(Raw_Export!B2997),2)))))</f>
        <v/>
      </c>
      <c r="C2997" s="36" t="str">
        <f aca="false">IF(Raw_Export!$A2997="","",IFERROR(VLOOKUP(LOWER(TRIM(Raw_Export!C2997)),Maps!$A$2:$B$20,2,FALSE()),"UNMAPPED"))</f>
        <v/>
      </c>
      <c r="D2997" s="36" t="str">
        <f aca="false">IF(Raw_Export!$A2997="","",IFERROR(VLOOKUP(LOWER(TRIM(Raw_Export!D2997)),Maps!$G$2:$I$80,2,FALSE()),"UNMAPPED"))</f>
        <v/>
      </c>
      <c r="E2997" s="36" t="str">
        <f aca="false">IF(Raw_Export!$A2997="","",IFERROR(VLOOKUP(LOWER(TRIM(Raw_Export!D2997)),Maps!$G$2:$I$80,3,FALSE()),"UNMAPPED"))</f>
        <v/>
      </c>
      <c r="F2997" s="36" t="str">
        <f aca="false">IF(Raw_Export!$A2997="","",IFERROR(VALUE(TRIM(Raw_Export!E2997)),0))</f>
        <v/>
      </c>
      <c r="G2997" s="38" t="str">
        <f aca="false">IF(Raw_Export!$A2997="","",IFERROR(VALUE(SUBSTITUTE(SUBSTITUTE(UPPER(TRIM(Raw_Export!F2997)),"KES",""),",","")),0))</f>
        <v/>
      </c>
      <c r="H2997" s="38" t="str">
        <f aca="false">IF(Raw_Export!$A2997="","",F2997*G2997)</f>
        <v/>
      </c>
      <c r="I2997" s="36" t="str">
        <f aca="false">IF(Raw_Export!$A2997="","",IFERROR(VLOOKUP(LOWER(TRIM(Raw_Export!H2997)),Maps!$D$2:$E$12,2,FALSE()),"Other"))</f>
        <v/>
      </c>
      <c r="J2997" s="36" t="str">
        <f aca="false">IF(Raw_Export!$A2997="","",IF(COUNTIF($A$2:A2997,A2997)&gt;1,"Duplicate",""))</f>
        <v/>
      </c>
      <c r="K2997" s="36" t="str">
        <f aca="false">IF(Raw_Export!$A2997="","",IF(J2997="Duplicate","Duplicate",IF(OR(C2997="UNMAPPED",D2997="UNMAPPED"),"Unmapped",IF(F2997=0,"Blank qty",IF(F2997&lt;0,"Return","OK")))))</f>
        <v/>
      </c>
      <c r="L2997" s="36" t="str">
        <f aca="false">IF(Raw_Export!$A2997="","",IF(OR(K2997="OK",K2997="Return"),1,0))</f>
        <v/>
      </c>
      <c r="M2997" s="37" t="str">
        <f aca="false">IF(Raw_Export!$A2997="","",B2997-WEEKDAY(B2997,2)+1)</f>
        <v/>
      </c>
    </row>
    <row r="2998" customFormat="false" ht="15" hidden="false" customHeight="false" outlineLevel="0" collapsed="false">
      <c r="A2998" s="36" t="str">
        <f aca="false">IF(Raw_Export!$A2998="","",TRIM(Raw_Export!A2998))</f>
        <v/>
      </c>
      <c r="B2998" s="37" t="str">
        <f aca="false">IF(Raw_Export!$A2998="","",IF(ISNUMBER(Raw_Export!B2998),Raw_Export!B2998,IF(MID(TRIM(Raw_Export!B2998),5,1)="-",DATE(LEFT(TRIM(Raw_Export!B2998),4),MID(TRIM(Raw_Export!B2998),6,2),RIGHT(TRIM(Raw_Export!B2998),2)),DATE(RIGHT(TRIM(Raw_Export!B2998),4),MATCH(MID(TRIM(Raw_Export!B2998),4,3),{"Jan","Feb","Mar","Apr","May","Jun","Jul","Aug","Sep","Oct","Nov","Dec"},0),LEFT(TRIM(Raw_Export!B2998),2)))))</f>
        <v/>
      </c>
      <c r="C2998" s="36" t="str">
        <f aca="false">IF(Raw_Export!$A2998="","",IFERROR(VLOOKUP(LOWER(TRIM(Raw_Export!C2998)),Maps!$A$2:$B$20,2,FALSE()),"UNMAPPED"))</f>
        <v/>
      </c>
      <c r="D2998" s="36" t="str">
        <f aca="false">IF(Raw_Export!$A2998="","",IFERROR(VLOOKUP(LOWER(TRIM(Raw_Export!D2998)),Maps!$G$2:$I$80,2,FALSE()),"UNMAPPED"))</f>
        <v/>
      </c>
      <c r="E2998" s="36" t="str">
        <f aca="false">IF(Raw_Export!$A2998="","",IFERROR(VLOOKUP(LOWER(TRIM(Raw_Export!D2998)),Maps!$G$2:$I$80,3,FALSE()),"UNMAPPED"))</f>
        <v/>
      </c>
      <c r="F2998" s="36" t="str">
        <f aca="false">IF(Raw_Export!$A2998="","",IFERROR(VALUE(TRIM(Raw_Export!E2998)),0))</f>
        <v/>
      </c>
      <c r="G2998" s="38" t="str">
        <f aca="false">IF(Raw_Export!$A2998="","",IFERROR(VALUE(SUBSTITUTE(SUBSTITUTE(UPPER(TRIM(Raw_Export!F2998)),"KES",""),",","")),0))</f>
        <v/>
      </c>
      <c r="H2998" s="38" t="str">
        <f aca="false">IF(Raw_Export!$A2998="","",F2998*G2998)</f>
        <v/>
      </c>
      <c r="I2998" s="36" t="str">
        <f aca="false">IF(Raw_Export!$A2998="","",IFERROR(VLOOKUP(LOWER(TRIM(Raw_Export!H2998)),Maps!$D$2:$E$12,2,FALSE()),"Other"))</f>
        <v/>
      </c>
      <c r="J2998" s="36" t="str">
        <f aca="false">IF(Raw_Export!$A2998="","",IF(COUNTIF($A$2:A2998,A2998)&gt;1,"Duplicate",""))</f>
        <v/>
      </c>
      <c r="K2998" s="36" t="str">
        <f aca="false">IF(Raw_Export!$A2998="","",IF(J2998="Duplicate","Duplicate",IF(OR(C2998="UNMAPPED",D2998="UNMAPPED"),"Unmapped",IF(F2998=0,"Blank qty",IF(F2998&lt;0,"Return","OK")))))</f>
        <v/>
      </c>
      <c r="L2998" s="36" t="str">
        <f aca="false">IF(Raw_Export!$A2998="","",IF(OR(K2998="OK",K2998="Return"),1,0))</f>
        <v/>
      </c>
      <c r="M2998" s="37" t="str">
        <f aca="false">IF(Raw_Export!$A2998="","",B2998-WEEKDAY(B2998,2)+1)</f>
        <v/>
      </c>
    </row>
    <row r="2999" customFormat="false" ht="15" hidden="false" customHeight="false" outlineLevel="0" collapsed="false">
      <c r="A2999" s="36" t="str">
        <f aca="false">IF(Raw_Export!$A2999="","",TRIM(Raw_Export!A2999))</f>
        <v/>
      </c>
      <c r="B2999" s="37" t="str">
        <f aca="false">IF(Raw_Export!$A2999="","",IF(ISNUMBER(Raw_Export!B2999),Raw_Export!B2999,IF(MID(TRIM(Raw_Export!B2999),5,1)="-",DATE(LEFT(TRIM(Raw_Export!B2999),4),MID(TRIM(Raw_Export!B2999),6,2),RIGHT(TRIM(Raw_Export!B2999),2)),DATE(RIGHT(TRIM(Raw_Export!B2999),4),MATCH(MID(TRIM(Raw_Export!B2999),4,3),{"Jan","Feb","Mar","Apr","May","Jun","Jul","Aug","Sep","Oct","Nov","Dec"},0),LEFT(TRIM(Raw_Export!B2999),2)))))</f>
        <v/>
      </c>
      <c r="C2999" s="36" t="str">
        <f aca="false">IF(Raw_Export!$A2999="","",IFERROR(VLOOKUP(LOWER(TRIM(Raw_Export!C2999)),Maps!$A$2:$B$20,2,FALSE()),"UNMAPPED"))</f>
        <v/>
      </c>
      <c r="D2999" s="36" t="str">
        <f aca="false">IF(Raw_Export!$A2999="","",IFERROR(VLOOKUP(LOWER(TRIM(Raw_Export!D2999)),Maps!$G$2:$I$80,2,FALSE()),"UNMAPPED"))</f>
        <v/>
      </c>
      <c r="E2999" s="36" t="str">
        <f aca="false">IF(Raw_Export!$A2999="","",IFERROR(VLOOKUP(LOWER(TRIM(Raw_Export!D2999)),Maps!$G$2:$I$80,3,FALSE()),"UNMAPPED"))</f>
        <v/>
      </c>
      <c r="F2999" s="36" t="str">
        <f aca="false">IF(Raw_Export!$A2999="","",IFERROR(VALUE(TRIM(Raw_Export!E2999)),0))</f>
        <v/>
      </c>
      <c r="G2999" s="38" t="str">
        <f aca="false">IF(Raw_Export!$A2999="","",IFERROR(VALUE(SUBSTITUTE(SUBSTITUTE(UPPER(TRIM(Raw_Export!F2999)),"KES",""),",","")),0))</f>
        <v/>
      </c>
      <c r="H2999" s="38" t="str">
        <f aca="false">IF(Raw_Export!$A2999="","",F2999*G2999)</f>
        <v/>
      </c>
      <c r="I2999" s="36" t="str">
        <f aca="false">IF(Raw_Export!$A2999="","",IFERROR(VLOOKUP(LOWER(TRIM(Raw_Export!H2999)),Maps!$D$2:$E$12,2,FALSE()),"Other"))</f>
        <v/>
      </c>
      <c r="J2999" s="36" t="str">
        <f aca="false">IF(Raw_Export!$A2999="","",IF(COUNTIF($A$2:A2999,A2999)&gt;1,"Duplicate",""))</f>
        <v/>
      </c>
      <c r="K2999" s="36" t="str">
        <f aca="false">IF(Raw_Export!$A2999="","",IF(J2999="Duplicate","Duplicate",IF(OR(C2999="UNMAPPED",D2999="UNMAPPED"),"Unmapped",IF(F2999=0,"Blank qty",IF(F2999&lt;0,"Return","OK")))))</f>
        <v/>
      </c>
      <c r="L2999" s="36" t="str">
        <f aca="false">IF(Raw_Export!$A2999="","",IF(OR(K2999="OK",K2999="Return"),1,0))</f>
        <v/>
      </c>
      <c r="M2999" s="37" t="str">
        <f aca="false">IF(Raw_Export!$A2999="","",B2999-WEEKDAY(B2999,2)+1)</f>
        <v/>
      </c>
    </row>
    <row r="3000" customFormat="false" ht="15" hidden="false" customHeight="false" outlineLevel="0" collapsed="false">
      <c r="A3000" s="36" t="str">
        <f aca="false">IF(Raw_Export!$A3000="","",TRIM(Raw_Export!A3000))</f>
        <v/>
      </c>
      <c r="B3000" s="37" t="str">
        <f aca="false">IF(Raw_Export!$A3000="","",IF(ISNUMBER(Raw_Export!B3000),Raw_Export!B3000,IF(MID(TRIM(Raw_Export!B3000),5,1)="-",DATE(LEFT(TRIM(Raw_Export!B3000),4),MID(TRIM(Raw_Export!B3000),6,2),RIGHT(TRIM(Raw_Export!B3000),2)),DATE(RIGHT(TRIM(Raw_Export!B3000),4),MATCH(MID(TRIM(Raw_Export!B3000),4,3),{"Jan","Feb","Mar","Apr","May","Jun","Jul","Aug","Sep","Oct","Nov","Dec"},0),LEFT(TRIM(Raw_Export!B3000),2)))))</f>
        <v/>
      </c>
      <c r="C3000" s="36" t="str">
        <f aca="false">IF(Raw_Export!$A3000="","",IFERROR(VLOOKUP(LOWER(TRIM(Raw_Export!C3000)),Maps!$A$2:$B$20,2,FALSE()),"UNMAPPED"))</f>
        <v/>
      </c>
      <c r="D3000" s="36" t="str">
        <f aca="false">IF(Raw_Export!$A3000="","",IFERROR(VLOOKUP(LOWER(TRIM(Raw_Export!D3000)),Maps!$G$2:$I$80,2,FALSE()),"UNMAPPED"))</f>
        <v/>
      </c>
      <c r="E3000" s="36" t="str">
        <f aca="false">IF(Raw_Export!$A3000="","",IFERROR(VLOOKUP(LOWER(TRIM(Raw_Export!D3000)),Maps!$G$2:$I$80,3,FALSE()),"UNMAPPED"))</f>
        <v/>
      </c>
      <c r="F3000" s="36" t="str">
        <f aca="false">IF(Raw_Export!$A3000="","",IFERROR(VALUE(TRIM(Raw_Export!E3000)),0))</f>
        <v/>
      </c>
      <c r="G3000" s="38" t="str">
        <f aca="false">IF(Raw_Export!$A3000="","",IFERROR(VALUE(SUBSTITUTE(SUBSTITUTE(UPPER(TRIM(Raw_Export!F3000)),"KES",""),",","")),0))</f>
        <v/>
      </c>
      <c r="H3000" s="38" t="str">
        <f aca="false">IF(Raw_Export!$A3000="","",F3000*G3000)</f>
        <v/>
      </c>
      <c r="I3000" s="36" t="str">
        <f aca="false">IF(Raw_Export!$A3000="","",IFERROR(VLOOKUP(LOWER(TRIM(Raw_Export!H3000)),Maps!$D$2:$E$12,2,FALSE()),"Other"))</f>
        <v/>
      </c>
      <c r="J3000" s="36" t="str">
        <f aca="false">IF(Raw_Export!$A3000="","",IF(COUNTIF($A$2:A3000,A3000)&gt;1,"Duplicate",""))</f>
        <v/>
      </c>
      <c r="K3000" s="36" t="str">
        <f aca="false">IF(Raw_Export!$A3000="","",IF(J3000="Duplicate","Duplicate",IF(OR(C3000="UNMAPPED",D3000="UNMAPPED"),"Unmapped",IF(F3000=0,"Blank qty",IF(F3000&lt;0,"Return","OK")))))</f>
        <v/>
      </c>
      <c r="L3000" s="36" t="str">
        <f aca="false">IF(Raw_Export!$A3000="","",IF(OR(K3000="OK",K3000="Return"),1,0))</f>
        <v/>
      </c>
      <c r="M3000" s="37" t="str">
        <f aca="false">IF(Raw_Export!$A3000="","",B3000-WEEKDAY(B3000,2)+1)</f>
        <v/>
      </c>
    </row>
    <row r="3001" customFormat="false" ht="15" hidden="false" customHeight="false" outlineLevel="0" collapsed="false">
      <c r="A3001" s="36" t="str">
        <f aca="false">IF(Raw_Export!$A3001="","",TRIM(Raw_Export!A3001))</f>
        <v/>
      </c>
      <c r="B3001" s="37" t="str">
        <f aca="false">IF(Raw_Export!$A3001="","",IF(ISNUMBER(Raw_Export!B3001),Raw_Export!B3001,IF(MID(TRIM(Raw_Export!B3001),5,1)="-",DATE(LEFT(TRIM(Raw_Export!B3001),4),MID(TRIM(Raw_Export!B3001),6,2),RIGHT(TRIM(Raw_Export!B3001),2)),DATE(RIGHT(TRIM(Raw_Export!B3001),4),MATCH(MID(TRIM(Raw_Export!B3001),4,3),{"Jan","Feb","Mar","Apr","May","Jun","Jul","Aug","Sep","Oct","Nov","Dec"},0),LEFT(TRIM(Raw_Export!B3001),2)))))</f>
        <v/>
      </c>
      <c r="C3001" s="36" t="str">
        <f aca="false">IF(Raw_Export!$A3001="","",IFERROR(VLOOKUP(LOWER(TRIM(Raw_Export!C3001)),Maps!$A$2:$B$20,2,FALSE()),"UNMAPPED"))</f>
        <v/>
      </c>
      <c r="D3001" s="36" t="str">
        <f aca="false">IF(Raw_Export!$A3001="","",IFERROR(VLOOKUP(LOWER(TRIM(Raw_Export!D3001)),Maps!$G$2:$I$80,2,FALSE()),"UNMAPPED"))</f>
        <v/>
      </c>
      <c r="E3001" s="36" t="str">
        <f aca="false">IF(Raw_Export!$A3001="","",IFERROR(VLOOKUP(LOWER(TRIM(Raw_Export!D3001)),Maps!$G$2:$I$80,3,FALSE()),"UNMAPPED"))</f>
        <v/>
      </c>
      <c r="F3001" s="36" t="str">
        <f aca="false">IF(Raw_Export!$A3001="","",IFERROR(VALUE(TRIM(Raw_Export!E3001)),0))</f>
        <v/>
      </c>
      <c r="G3001" s="38" t="str">
        <f aca="false">IF(Raw_Export!$A3001="","",IFERROR(VALUE(SUBSTITUTE(SUBSTITUTE(UPPER(TRIM(Raw_Export!F3001)),"KES",""),",","")),0))</f>
        <v/>
      </c>
      <c r="H3001" s="38" t="str">
        <f aca="false">IF(Raw_Export!$A3001="","",F3001*G3001)</f>
        <v/>
      </c>
      <c r="I3001" s="36" t="str">
        <f aca="false">IF(Raw_Export!$A3001="","",IFERROR(VLOOKUP(LOWER(TRIM(Raw_Export!H3001)),Maps!$D$2:$E$12,2,FALSE()),"Other"))</f>
        <v/>
      </c>
      <c r="J3001" s="36" t="str">
        <f aca="false">IF(Raw_Export!$A3001="","",IF(COUNTIF($A$2:A3001,A3001)&gt;1,"Duplicate",""))</f>
        <v/>
      </c>
      <c r="K3001" s="36" t="str">
        <f aca="false">IF(Raw_Export!$A3001="","",IF(J3001="Duplicate","Duplicate",IF(OR(C3001="UNMAPPED",D3001="UNMAPPED"),"Unmapped",IF(F3001=0,"Blank qty",IF(F3001&lt;0,"Return","OK")))))</f>
        <v/>
      </c>
      <c r="L3001" s="36" t="str">
        <f aca="false">IF(Raw_Export!$A3001="","",IF(OR(K3001="OK",K3001="Return"),1,0))</f>
        <v/>
      </c>
      <c r="M3001" s="37" t="str">
        <f aca="false">IF(Raw_Export!$A3001="","",B3001-WEEKDAY(B3001,2)+1)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3"/>
    <col collapsed="false" customWidth="true" hidden="false" outlineLevel="0" max="4" min="4" style="0" width="24"/>
    <col collapsed="false" customWidth="true" hidden="false" outlineLevel="0" max="5" min="5" style="0" width="16"/>
    <col collapsed="false" customWidth="true" hidden="false" outlineLevel="0" max="6" min="6" style="0" width="3"/>
    <col collapsed="false" customWidth="true" hidden="false" outlineLevel="0" max="7" min="7" style="0" width="30"/>
    <col collapsed="false" customWidth="true" hidden="false" outlineLevel="0" max="8" min="8" style="0" width="22"/>
    <col collapsed="false" customWidth="true" hidden="false" outlineLevel="0" max="9" min="9" style="0" width="16"/>
    <col collapsed="false" customWidth="true" hidden="false" outlineLevel="0" max="10" min="10" style="0" width="3"/>
    <col collapsed="false" customWidth="true" hidden="false" outlineLevel="0" max="11" min="11" style="0" width="22"/>
    <col collapsed="false" customWidth="true" hidden="false" outlineLevel="0" max="12" min="12" style="0" width="16"/>
    <col collapsed="false" customWidth="true" hidden="false" outlineLevel="0" max="13" min="13" style="0" width="12"/>
    <col collapsed="false" customWidth="true" hidden="false" outlineLevel="0" max="14" min="14" style="0" width="16"/>
  </cols>
  <sheetData>
    <row r="1" customFormat="false" ht="30" hidden="false" customHeight="true" outlineLevel="0" collapsed="false">
      <c r="A1" s="35" t="s">
        <v>121</v>
      </c>
      <c r="B1" s="35" t="s">
        <v>122</v>
      </c>
      <c r="D1" s="35" t="s">
        <v>123</v>
      </c>
      <c r="E1" s="35" t="s">
        <v>124</v>
      </c>
      <c r="G1" s="35" t="s">
        <v>125</v>
      </c>
      <c r="H1" s="35" t="s">
        <v>126</v>
      </c>
      <c r="I1" s="35" t="s">
        <v>49</v>
      </c>
      <c r="K1" s="35" t="s">
        <v>127</v>
      </c>
      <c r="L1" s="35" t="s">
        <v>49</v>
      </c>
      <c r="M1" s="35" t="s">
        <v>128</v>
      </c>
      <c r="N1" s="35" t="s">
        <v>129</v>
      </c>
    </row>
    <row r="2" customFormat="false" ht="15" hidden="false" customHeight="false" outlineLevel="0" collapsed="false">
      <c r="A2" s="36" t="s">
        <v>130</v>
      </c>
      <c r="B2" s="36" t="s">
        <v>42</v>
      </c>
      <c r="C2" s="36"/>
      <c r="D2" s="36" t="s">
        <v>131</v>
      </c>
      <c r="E2" s="36" t="s">
        <v>132</v>
      </c>
      <c r="F2" s="36"/>
      <c r="G2" s="36" t="s">
        <v>133</v>
      </c>
      <c r="H2" s="36" t="s">
        <v>134</v>
      </c>
      <c r="I2" s="36" t="s">
        <v>50</v>
      </c>
      <c r="J2" s="36"/>
      <c r="K2" s="36" t="s">
        <v>134</v>
      </c>
      <c r="L2" s="36" t="s">
        <v>50</v>
      </c>
      <c r="M2" s="36" t="n">
        <f aca="false">SUMIFS(Clean!$F$2:$F$3001,Clean!$D$2:$D$3001,K2,Clean!$M$2:$M$3001,Assumptions!$B$4,Clean!$L$2:$L$3001,1)</f>
        <v>79</v>
      </c>
      <c r="N2" s="39" t="n">
        <f aca="false">SUMIFS(Clean!$H$2:$H$3001,Clean!$D$2:$D$3001,K2,Clean!$M$2:$M$3001,Assumptions!$B$4,Clean!$L$2:$L$3001,1)</f>
        <v>14934</v>
      </c>
    </row>
    <row r="3" customFormat="false" ht="15" hidden="false" customHeight="false" outlineLevel="0" collapsed="false">
      <c r="A3" s="36" t="s">
        <v>135</v>
      </c>
      <c r="B3" s="36" t="s">
        <v>42</v>
      </c>
      <c r="C3" s="36"/>
      <c r="D3" s="36" t="s">
        <v>136</v>
      </c>
      <c r="E3" s="36" t="s">
        <v>132</v>
      </c>
      <c r="F3" s="36"/>
      <c r="G3" s="36" t="s">
        <v>137</v>
      </c>
      <c r="H3" s="36" t="s">
        <v>134</v>
      </c>
      <c r="I3" s="36" t="s">
        <v>50</v>
      </c>
      <c r="J3" s="36"/>
      <c r="K3" s="36" t="s">
        <v>138</v>
      </c>
      <c r="L3" s="36" t="s">
        <v>50</v>
      </c>
      <c r="M3" s="36" t="n">
        <f aca="false">SUMIFS(Clean!$F$2:$F$3001,Clean!$D$2:$D$3001,K3,Clean!$M$2:$M$3001,Assumptions!$B$4,Clean!$L$2:$L$3001,1)</f>
        <v>54</v>
      </c>
      <c r="N3" s="39" t="n">
        <f aca="false">SUMIFS(Clean!$H$2:$H$3001,Clean!$D$2:$D$3001,K3,Clean!$M$2:$M$3001,Assumptions!$B$4,Clean!$L$2:$L$3001,1)</f>
        <v>22428</v>
      </c>
    </row>
    <row r="4" customFormat="false" ht="15" hidden="false" customHeight="false" outlineLevel="0" collapsed="false">
      <c r="A4" s="36" t="s">
        <v>139</v>
      </c>
      <c r="B4" s="36" t="s">
        <v>43</v>
      </c>
      <c r="C4" s="36"/>
      <c r="D4" s="36" t="s">
        <v>140</v>
      </c>
      <c r="E4" s="36" t="s">
        <v>141</v>
      </c>
      <c r="F4" s="36"/>
      <c r="G4" s="36" t="s">
        <v>142</v>
      </c>
      <c r="H4" s="36" t="s">
        <v>138</v>
      </c>
      <c r="I4" s="36" t="s">
        <v>50</v>
      </c>
      <c r="J4" s="36"/>
      <c r="K4" s="36" t="s">
        <v>143</v>
      </c>
      <c r="L4" s="36" t="s">
        <v>50</v>
      </c>
      <c r="M4" s="36" t="n">
        <f aca="false">SUMIFS(Clean!$F$2:$F$3001,Clean!$D$2:$D$3001,K4,Clean!$M$2:$M$3001,Assumptions!$B$4,Clean!$L$2:$L$3001,1)</f>
        <v>80</v>
      </c>
      <c r="N4" s="39" t="n">
        <f aca="false">SUMIFS(Clean!$H$2:$H$3001,Clean!$D$2:$D$3001,K4,Clean!$M$2:$M$3001,Assumptions!$B$4,Clean!$L$2:$L$3001,1)</f>
        <v>26466</v>
      </c>
    </row>
    <row r="5" customFormat="false" ht="15" hidden="false" customHeight="false" outlineLevel="0" collapsed="false">
      <c r="A5" s="36" t="s">
        <v>144</v>
      </c>
      <c r="B5" s="36" t="s">
        <v>44</v>
      </c>
      <c r="C5" s="36"/>
      <c r="D5" s="36" t="s">
        <v>145</v>
      </c>
      <c r="E5" s="36" t="s">
        <v>146</v>
      </c>
      <c r="F5" s="36"/>
      <c r="G5" s="36" t="s">
        <v>147</v>
      </c>
      <c r="H5" s="36" t="s">
        <v>138</v>
      </c>
      <c r="I5" s="36" t="s">
        <v>50</v>
      </c>
      <c r="J5" s="36"/>
      <c r="K5" s="36" t="s">
        <v>148</v>
      </c>
      <c r="L5" s="36" t="s">
        <v>50</v>
      </c>
      <c r="M5" s="36" t="n">
        <f aca="false">SUMIFS(Clean!$F$2:$F$3001,Clean!$D$2:$D$3001,K5,Clean!$M$2:$M$3001,Assumptions!$B$4,Clean!$L$2:$L$3001,1)</f>
        <v>250</v>
      </c>
      <c r="N5" s="39" t="n">
        <f aca="false">SUMIFS(Clean!$H$2:$H$3001,Clean!$D$2:$D$3001,K5,Clean!$M$2:$M$3001,Assumptions!$B$4,Clean!$L$2:$L$3001,1)</f>
        <v>81180</v>
      </c>
    </row>
    <row r="6" customFormat="false" ht="15" hidden="false" customHeight="false" outlineLevel="0" collapsed="false">
      <c r="A6" s="36" t="s">
        <v>149</v>
      </c>
      <c r="B6" s="36" t="s">
        <v>44</v>
      </c>
      <c r="C6" s="36"/>
      <c r="D6" s="36" t="s">
        <v>150</v>
      </c>
      <c r="E6" s="36" t="s">
        <v>146</v>
      </c>
      <c r="F6" s="36"/>
      <c r="G6" s="36" t="s">
        <v>151</v>
      </c>
      <c r="H6" s="36" t="s">
        <v>143</v>
      </c>
      <c r="I6" s="36" t="s">
        <v>50</v>
      </c>
      <c r="J6" s="36"/>
      <c r="K6" s="36" t="s">
        <v>152</v>
      </c>
      <c r="L6" s="36" t="s">
        <v>50</v>
      </c>
      <c r="M6" s="36" t="n">
        <f aca="false">SUMIFS(Clean!$F$2:$F$3001,Clean!$D$2:$D$3001,K6,Clean!$M$2:$M$3001,Assumptions!$B$4,Clean!$L$2:$L$3001,1)</f>
        <v>109</v>
      </c>
      <c r="N6" s="39" t="n">
        <f aca="false">SUMIFS(Clean!$H$2:$H$3001,Clean!$D$2:$D$3001,K6,Clean!$M$2:$M$3001,Assumptions!$B$4,Clean!$L$2:$L$3001,1)</f>
        <v>4324</v>
      </c>
    </row>
    <row r="7" customFormat="false" ht="15" hidden="false" customHeight="false" outlineLevel="0" collapsed="false">
      <c r="A7" s="36" t="s">
        <v>153</v>
      </c>
      <c r="B7" s="36" t="s">
        <v>45</v>
      </c>
      <c r="C7" s="36"/>
      <c r="D7" s="36"/>
      <c r="E7" s="36"/>
      <c r="F7" s="36"/>
      <c r="G7" s="36" t="s">
        <v>154</v>
      </c>
      <c r="H7" s="36" t="s">
        <v>143</v>
      </c>
      <c r="I7" s="36" t="s">
        <v>50</v>
      </c>
      <c r="J7" s="36"/>
      <c r="K7" s="36" t="s">
        <v>155</v>
      </c>
      <c r="L7" s="36" t="s">
        <v>50</v>
      </c>
      <c r="M7" s="36" t="n">
        <f aca="false">SUMIFS(Clean!$F$2:$F$3001,Clean!$D$2:$D$3001,K7,Clean!$M$2:$M$3001,Assumptions!$B$4,Clean!$L$2:$L$3001,1)</f>
        <v>96</v>
      </c>
      <c r="N7" s="39" t="n">
        <f aca="false">SUMIFS(Clean!$H$2:$H$3001,Clean!$D$2:$D$3001,K7,Clean!$M$2:$M$3001,Assumptions!$B$4,Clean!$L$2:$L$3001,1)</f>
        <v>10494</v>
      </c>
    </row>
    <row r="8" customFormat="false" ht="15" hidden="false" customHeight="false" outlineLevel="0" collapsed="false">
      <c r="A8" s="36" t="s">
        <v>156</v>
      </c>
      <c r="B8" s="36" t="s">
        <v>46</v>
      </c>
      <c r="C8" s="36"/>
      <c r="D8" s="36"/>
      <c r="E8" s="36"/>
      <c r="F8" s="36"/>
      <c r="G8" s="36" t="s">
        <v>157</v>
      </c>
      <c r="H8" s="36" t="s">
        <v>148</v>
      </c>
      <c r="I8" s="36" t="s">
        <v>50</v>
      </c>
      <c r="J8" s="36"/>
      <c r="K8" s="36" t="s">
        <v>158</v>
      </c>
      <c r="L8" s="36" t="s">
        <v>51</v>
      </c>
      <c r="M8" s="36" t="n">
        <f aca="false">SUMIFS(Clean!$F$2:$F$3001,Clean!$D$2:$D$3001,K8,Clean!$M$2:$M$3001,Assumptions!$B$4,Clean!$L$2:$L$3001,1)</f>
        <v>120</v>
      </c>
      <c r="N8" s="39" t="n">
        <f aca="false">SUMIFS(Clean!$H$2:$H$3001,Clean!$D$2:$D$3001,K8,Clean!$M$2:$M$3001,Assumptions!$B$4,Clean!$L$2:$L$3001,1)</f>
        <v>7772</v>
      </c>
    </row>
    <row r="9" customFormat="false" ht="15" hidden="false" customHeight="false" outlineLevel="0" collapsed="false">
      <c r="A9" s="36"/>
      <c r="B9" s="36"/>
      <c r="C9" s="36"/>
      <c r="D9" s="36"/>
      <c r="E9" s="36"/>
      <c r="F9" s="36"/>
      <c r="G9" s="36" t="s">
        <v>159</v>
      </c>
      <c r="H9" s="36" t="s">
        <v>148</v>
      </c>
      <c r="I9" s="36" t="s">
        <v>50</v>
      </c>
      <c r="J9" s="36"/>
      <c r="K9" s="36" t="s">
        <v>160</v>
      </c>
      <c r="L9" s="36" t="s">
        <v>51</v>
      </c>
      <c r="M9" s="36" t="n">
        <f aca="false">SUMIFS(Clean!$F$2:$F$3001,Clean!$D$2:$D$3001,K9,Clean!$M$2:$M$3001,Assumptions!$B$4,Clean!$L$2:$L$3001,1)</f>
        <v>82</v>
      </c>
      <c r="N9" s="39" t="n">
        <f aca="false">SUMIFS(Clean!$H$2:$H$3001,Clean!$D$2:$D$3001,K9,Clean!$M$2:$M$3001,Assumptions!$B$4,Clean!$L$2:$L$3001,1)</f>
        <v>9804</v>
      </c>
    </row>
    <row r="10" customFormat="false" ht="15" hidden="false" customHeight="false" outlineLevel="0" collapsed="false">
      <c r="A10" s="36"/>
      <c r="B10" s="36"/>
      <c r="C10" s="36"/>
      <c r="D10" s="36"/>
      <c r="E10" s="36"/>
      <c r="F10" s="36"/>
      <c r="G10" s="36" t="s">
        <v>161</v>
      </c>
      <c r="H10" s="36" t="s">
        <v>152</v>
      </c>
      <c r="I10" s="36" t="s">
        <v>50</v>
      </c>
      <c r="J10" s="36"/>
      <c r="K10" s="36" t="s">
        <v>162</v>
      </c>
      <c r="L10" s="36" t="s">
        <v>51</v>
      </c>
      <c r="M10" s="36" t="n">
        <f aca="false">SUMIFS(Clean!$F$2:$F$3001,Clean!$D$2:$D$3001,K10,Clean!$M$2:$M$3001,Assumptions!$B$4,Clean!$L$2:$L$3001,1)</f>
        <v>32</v>
      </c>
      <c r="N10" s="39" t="n">
        <f aca="false">SUMIFS(Clean!$H$2:$H$3001,Clean!$D$2:$D$3001,K10,Clean!$M$2:$M$3001,Assumptions!$B$4,Clean!$L$2:$L$3001,1)</f>
        <v>9858</v>
      </c>
    </row>
    <row r="11" customFormat="false" ht="15" hidden="false" customHeight="false" outlineLevel="0" collapsed="false">
      <c r="A11" s="36"/>
      <c r="B11" s="36"/>
      <c r="C11" s="36"/>
      <c r="D11" s="36"/>
      <c r="E11" s="36"/>
      <c r="F11" s="36"/>
      <c r="G11" s="36" t="s">
        <v>163</v>
      </c>
      <c r="H11" s="36" t="s">
        <v>152</v>
      </c>
      <c r="I11" s="36" t="s">
        <v>50</v>
      </c>
      <c r="J11" s="36"/>
      <c r="K11" s="36" t="s">
        <v>164</v>
      </c>
      <c r="L11" s="36" t="s">
        <v>51</v>
      </c>
      <c r="M11" s="36" t="n">
        <f aca="false">SUMIFS(Clean!$F$2:$F$3001,Clean!$D$2:$D$3001,K11,Clean!$M$2:$M$3001,Assumptions!$B$4,Clean!$L$2:$L$3001,1)</f>
        <v>93</v>
      </c>
      <c r="N11" s="39" t="n">
        <f aca="false">SUMIFS(Clean!$H$2:$H$3001,Clean!$D$2:$D$3001,K11,Clean!$M$2:$M$3001,Assumptions!$B$4,Clean!$L$2:$L$3001,1)</f>
        <v>41355</v>
      </c>
    </row>
    <row r="12" customFormat="false" ht="15" hidden="false" customHeight="false" outlineLevel="0" collapsed="false">
      <c r="A12" s="36"/>
      <c r="B12" s="36"/>
      <c r="C12" s="36"/>
      <c r="D12" s="36"/>
      <c r="E12" s="36"/>
      <c r="F12" s="36"/>
      <c r="G12" s="36" t="s">
        <v>165</v>
      </c>
      <c r="H12" s="36" t="s">
        <v>155</v>
      </c>
      <c r="I12" s="36" t="s">
        <v>50</v>
      </c>
      <c r="J12" s="36"/>
      <c r="K12" s="36" t="s">
        <v>166</v>
      </c>
      <c r="L12" s="36" t="s">
        <v>51</v>
      </c>
      <c r="M12" s="36" t="n">
        <f aca="false">SUMIFS(Clean!$F$2:$F$3001,Clean!$D$2:$D$3001,K12,Clean!$M$2:$M$3001,Assumptions!$B$4,Clean!$L$2:$L$3001,1)</f>
        <v>25</v>
      </c>
      <c r="N12" s="39" t="n">
        <f aca="false">SUMIFS(Clean!$H$2:$H$3001,Clean!$D$2:$D$3001,K12,Clean!$M$2:$M$3001,Assumptions!$B$4,Clean!$L$2:$L$3001,1)</f>
        <v>9424</v>
      </c>
    </row>
    <row r="13" customFormat="false" ht="15" hidden="false" customHeight="false" outlineLevel="0" collapsed="false">
      <c r="A13" s="36"/>
      <c r="B13" s="36"/>
      <c r="C13" s="36"/>
      <c r="D13" s="36"/>
      <c r="E13" s="36"/>
      <c r="F13" s="36"/>
      <c r="G13" s="36" t="s">
        <v>167</v>
      </c>
      <c r="H13" s="36" t="s">
        <v>155</v>
      </c>
      <c r="I13" s="36" t="s">
        <v>50</v>
      </c>
      <c r="J13" s="36"/>
      <c r="K13" s="36" t="s">
        <v>168</v>
      </c>
      <c r="L13" s="36" t="s">
        <v>52</v>
      </c>
      <c r="M13" s="36" t="n">
        <f aca="false">SUMIFS(Clean!$F$2:$F$3001,Clean!$D$2:$D$3001,K13,Clean!$M$2:$M$3001,Assumptions!$B$4,Clean!$L$2:$L$3001,1)</f>
        <v>101</v>
      </c>
      <c r="N13" s="39" t="n">
        <f aca="false">SUMIFS(Clean!$H$2:$H$3001,Clean!$D$2:$D$3001,K13,Clean!$M$2:$M$3001,Assumptions!$B$4,Clean!$L$2:$L$3001,1)</f>
        <v>15120</v>
      </c>
    </row>
    <row r="14" customFormat="false" ht="15" hidden="false" customHeight="false" outlineLevel="0" collapsed="false">
      <c r="A14" s="36"/>
      <c r="B14" s="36"/>
      <c r="C14" s="36"/>
      <c r="D14" s="36"/>
      <c r="E14" s="36"/>
      <c r="F14" s="36"/>
      <c r="G14" s="36" t="s">
        <v>169</v>
      </c>
      <c r="H14" s="36" t="s">
        <v>158</v>
      </c>
      <c r="I14" s="36" t="s">
        <v>51</v>
      </c>
      <c r="J14" s="36"/>
      <c r="K14" s="36" t="s">
        <v>170</v>
      </c>
      <c r="L14" s="36" t="s">
        <v>52</v>
      </c>
      <c r="M14" s="36" t="n">
        <f aca="false">SUMIFS(Clean!$F$2:$F$3001,Clean!$D$2:$D$3001,K14,Clean!$M$2:$M$3001,Assumptions!$B$4,Clean!$L$2:$L$3001,1)</f>
        <v>48</v>
      </c>
      <c r="N14" s="39" t="n">
        <f aca="false">SUMIFS(Clean!$H$2:$H$3001,Clean!$D$2:$D$3001,K14,Clean!$M$2:$M$3001,Assumptions!$B$4,Clean!$L$2:$L$3001,1)</f>
        <v>17136</v>
      </c>
    </row>
    <row r="15" customFormat="false" ht="15" hidden="false" customHeight="false" outlineLevel="0" collapsed="false">
      <c r="A15" s="36"/>
      <c r="B15" s="36"/>
      <c r="C15" s="36"/>
      <c r="D15" s="36"/>
      <c r="E15" s="36"/>
      <c r="F15" s="36"/>
      <c r="G15" s="36" t="s">
        <v>171</v>
      </c>
      <c r="H15" s="36" t="s">
        <v>158</v>
      </c>
      <c r="I15" s="36" t="s">
        <v>51</v>
      </c>
      <c r="J15" s="36"/>
      <c r="K15" s="36" t="s">
        <v>172</v>
      </c>
      <c r="L15" s="36" t="s">
        <v>52</v>
      </c>
      <c r="M15" s="36" t="n">
        <f aca="false">SUMIFS(Clean!$F$2:$F$3001,Clean!$D$2:$D$3001,K15,Clean!$M$2:$M$3001,Assumptions!$B$4,Clean!$L$2:$L$3001,1)</f>
        <v>235</v>
      </c>
      <c r="N15" s="39" t="n">
        <f aca="false">SUMIFS(Clean!$H$2:$H$3001,Clean!$D$2:$D$3001,K15,Clean!$M$2:$M$3001,Assumptions!$B$4,Clean!$L$2:$L$3001,1)</f>
        <v>13878</v>
      </c>
    </row>
    <row r="16" customFormat="false" ht="15" hidden="false" customHeight="false" outlineLevel="0" collapsed="false">
      <c r="A16" s="36"/>
      <c r="B16" s="36"/>
      <c r="C16" s="36"/>
      <c r="D16" s="36"/>
      <c r="E16" s="36"/>
      <c r="F16" s="36"/>
      <c r="G16" s="36" t="s">
        <v>173</v>
      </c>
      <c r="H16" s="36" t="s">
        <v>160</v>
      </c>
      <c r="I16" s="36" t="s">
        <v>51</v>
      </c>
      <c r="J16" s="36"/>
      <c r="K16" s="36" t="s">
        <v>174</v>
      </c>
      <c r="L16" s="36" t="s">
        <v>52</v>
      </c>
      <c r="M16" s="36" t="n">
        <f aca="false">SUMIFS(Clean!$F$2:$F$3001,Clean!$D$2:$D$3001,K16,Clean!$M$2:$M$3001,Assumptions!$B$4,Clean!$L$2:$L$3001,1)</f>
        <v>60</v>
      </c>
      <c r="N16" s="39" t="n">
        <f aca="false">SUMIFS(Clean!$H$2:$H$3001,Clean!$D$2:$D$3001,K16,Clean!$M$2:$M$3001,Assumptions!$B$4,Clean!$L$2:$L$3001,1)</f>
        <v>12453</v>
      </c>
    </row>
    <row r="17" customFormat="false" ht="15" hidden="false" customHeight="false" outlineLevel="0" collapsed="false">
      <c r="A17" s="36"/>
      <c r="B17" s="36"/>
      <c r="C17" s="36"/>
      <c r="D17" s="36"/>
      <c r="E17" s="36"/>
      <c r="F17" s="36"/>
      <c r="G17" s="36" t="s">
        <v>175</v>
      </c>
      <c r="H17" s="36" t="s">
        <v>160</v>
      </c>
      <c r="I17" s="36" t="s">
        <v>51</v>
      </c>
      <c r="J17" s="36"/>
      <c r="K17" s="36" t="s">
        <v>176</v>
      </c>
      <c r="L17" s="36" t="s">
        <v>52</v>
      </c>
      <c r="M17" s="36" t="n">
        <f aca="false">SUMIFS(Clean!$F$2:$F$3001,Clean!$D$2:$D$3001,K17,Clean!$M$2:$M$3001,Assumptions!$B$4,Clean!$L$2:$L$3001,1)</f>
        <v>100</v>
      </c>
      <c r="N17" s="39" t="n">
        <f aca="false">SUMIFS(Clean!$H$2:$H$3001,Clean!$D$2:$D$3001,K17,Clean!$M$2:$M$3001,Assumptions!$B$4,Clean!$L$2:$L$3001,1)</f>
        <v>9000</v>
      </c>
    </row>
    <row r="18" customFormat="false" ht="15" hidden="false" customHeight="false" outlineLevel="0" collapsed="false">
      <c r="A18" s="36"/>
      <c r="B18" s="36"/>
      <c r="C18" s="36"/>
      <c r="D18" s="36"/>
      <c r="E18" s="36"/>
      <c r="F18" s="36"/>
      <c r="G18" s="36" t="s">
        <v>177</v>
      </c>
      <c r="H18" s="36" t="s">
        <v>162</v>
      </c>
      <c r="I18" s="36" t="s">
        <v>51</v>
      </c>
      <c r="J18" s="36"/>
      <c r="K18" s="36" t="s">
        <v>178</v>
      </c>
      <c r="L18" s="36" t="s">
        <v>53</v>
      </c>
      <c r="M18" s="36" t="n">
        <f aca="false">SUMIFS(Clean!$F$2:$F$3001,Clean!$D$2:$D$3001,K18,Clean!$M$2:$M$3001,Assumptions!$B$4,Clean!$L$2:$L$3001,1)</f>
        <v>66</v>
      </c>
      <c r="N18" s="39" t="n">
        <f aca="false">SUMIFS(Clean!$H$2:$H$3001,Clean!$D$2:$D$3001,K18,Clean!$M$2:$M$3001,Assumptions!$B$4,Clean!$L$2:$L$3001,1)</f>
        <v>18144</v>
      </c>
    </row>
    <row r="19" customFormat="false" ht="15" hidden="false" customHeight="false" outlineLevel="0" collapsed="false">
      <c r="A19" s="36"/>
      <c r="B19" s="36"/>
      <c r="C19" s="36"/>
      <c r="D19" s="36"/>
      <c r="E19" s="36"/>
      <c r="F19" s="36"/>
      <c r="G19" s="36" t="s">
        <v>179</v>
      </c>
      <c r="H19" s="36" t="s">
        <v>162</v>
      </c>
      <c r="I19" s="36" t="s">
        <v>51</v>
      </c>
      <c r="J19" s="36"/>
      <c r="K19" s="36" t="s">
        <v>180</v>
      </c>
      <c r="L19" s="36" t="s">
        <v>53</v>
      </c>
      <c r="M19" s="36" t="n">
        <f aca="false">SUMIFS(Clean!$F$2:$F$3001,Clean!$D$2:$D$3001,K19,Clean!$M$2:$M$3001,Assumptions!$B$4,Clean!$L$2:$L$3001,1)</f>
        <v>54</v>
      </c>
      <c r="N19" s="39" t="n">
        <f aca="false">SUMIFS(Clean!$H$2:$H$3001,Clean!$D$2:$D$3001,K19,Clean!$M$2:$M$3001,Assumptions!$B$4,Clean!$L$2:$L$3001,1)</f>
        <v>10260</v>
      </c>
    </row>
    <row r="20" customFormat="false" ht="15" hidden="false" customHeight="false" outlineLevel="0" collapsed="false">
      <c r="A20" s="36"/>
      <c r="B20" s="36"/>
      <c r="C20" s="36"/>
      <c r="D20" s="36"/>
      <c r="E20" s="36"/>
      <c r="F20" s="36"/>
      <c r="G20" s="36" t="s">
        <v>181</v>
      </c>
      <c r="H20" s="36" t="s">
        <v>164</v>
      </c>
      <c r="I20" s="36" t="s">
        <v>51</v>
      </c>
      <c r="J20" s="36"/>
      <c r="K20" s="36" t="s">
        <v>182</v>
      </c>
      <c r="L20" s="36" t="s">
        <v>53</v>
      </c>
      <c r="M20" s="36" t="n">
        <f aca="false">SUMIFS(Clean!$F$2:$F$3001,Clean!$D$2:$D$3001,K20,Clean!$M$2:$M$3001,Assumptions!$B$4,Clean!$L$2:$L$3001,1)</f>
        <v>38</v>
      </c>
      <c r="N20" s="39" t="n">
        <f aca="false">SUMIFS(Clean!$H$2:$H$3001,Clean!$D$2:$D$3001,K20,Clean!$M$2:$M$3001,Assumptions!$B$4,Clean!$L$2:$L$3001,1)</f>
        <v>14136</v>
      </c>
    </row>
    <row r="21" customFormat="false" ht="15" hidden="false" customHeight="false" outlineLevel="0" collapsed="false">
      <c r="A21" s="36"/>
      <c r="B21" s="36"/>
      <c r="C21" s="36"/>
      <c r="D21" s="36"/>
      <c r="E21" s="36"/>
      <c r="F21" s="36"/>
      <c r="G21" s="36" t="s">
        <v>183</v>
      </c>
      <c r="H21" s="36" t="s">
        <v>166</v>
      </c>
      <c r="I21" s="36" t="s">
        <v>51</v>
      </c>
      <c r="J21" s="36"/>
      <c r="K21" s="36" t="s">
        <v>184</v>
      </c>
      <c r="L21" s="36" t="s">
        <v>53</v>
      </c>
      <c r="M21" s="36" t="n">
        <f aca="false">SUMIFS(Clean!$F$2:$F$3001,Clean!$D$2:$D$3001,K21,Clean!$M$2:$M$3001,Assumptions!$B$4,Clean!$L$2:$L$3001,1)</f>
        <v>54</v>
      </c>
      <c r="N21" s="39" t="n">
        <f aca="false">SUMIFS(Clean!$H$2:$H$3001,Clean!$D$2:$D$3001,K21,Clean!$M$2:$M$3001,Assumptions!$B$4,Clean!$L$2:$L$3001,1)</f>
        <v>8544</v>
      </c>
    </row>
    <row r="22" customFormat="false" ht="15" hidden="false" customHeight="false" outlineLevel="0" collapsed="false">
      <c r="A22" s="36"/>
      <c r="B22" s="36"/>
      <c r="C22" s="36"/>
      <c r="D22" s="36"/>
      <c r="E22" s="36"/>
      <c r="F22" s="36"/>
      <c r="G22" s="36" t="s">
        <v>185</v>
      </c>
      <c r="H22" s="36" t="s">
        <v>166</v>
      </c>
      <c r="I22" s="36" t="s">
        <v>51</v>
      </c>
      <c r="J22" s="36"/>
      <c r="K22" s="36" t="s">
        <v>186</v>
      </c>
      <c r="L22" s="36" t="s">
        <v>53</v>
      </c>
      <c r="M22" s="36" t="n">
        <f aca="false">SUMIFS(Clean!$F$2:$F$3001,Clean!$D$2:$D$3001,K22,Clean!$M$2:$M$3001,Assumptions!$B$4,Clean!$L$2:$L$3001,1)</f>
        <v>126</v>
      </c>
      <c r="N22" s="39" t="n">
        <f aca="false">SUMIFS(Clean!$H$2:$H$3001,Clean!$D$2:$D$3001,K22,Clean!$M$2:$M$3001,Assumptions!$B$4,Clean!$L$2:$L$3001,1)</f>
        <v>6215</v>
      </c>
    </row>
    <row r="23" customFormat="false" ht="15" hidden="false" customHeight="false" outlineLevel="0" collapsed="false">
      <c r="A23" s="36"/>
      <c r="B23" s="36"/>
      <c r="C23" s="36"/>
      <c r="D23" s="36"/>
      <c r="E23" s="36"/>
      <c r="F23" s="36"/>
      <c r="G23" s="36" t="s">
        <v>187</v>
      </c>
      <c r="H23" s="36" t="s">
        <v>168</v>
      </c>
      <c r="I23" s="36" t="s">
        <v>52</v>
      </c>
      <c r="J23" s="36"/>
      <c r="K23" s="36" t="s">
        <v>188</v>
      </c>
      <c r="L23" s="36" t="s">
        <v>54</v>
      </c>
      <c r="M23" s="36" t="n">
        <f aca="false">SUMIFS(Clean!$F$2:$F$3001,Clean!$D$2:$D$3001,K23,Clean!$M$2:$M$3001,Assumptions!$B$4,Clean!$L$2:$L$3001,1)</f>
        <v>95</v>
      </c>
      <c r="N23" s="39" t="n">
        <f aca="false">SUMIFS(Clean!$H$2:$H$3001,Clean!$D$2:$D$3001,K23,Clean!$M$2:$M$3001,Assumptions!$B$4,Clean!$L$2:$L$3001,1)</f>
        <v>7994</v>
      </c>
    </row>
    <row r="24" customFormat="false" ht="15" hidden="false" customHeight="false" outlineLevel="0" collapsed="false">
      <c r="A24" s="36"/>
      <c r="B24" s="36"/>
      <c r="C24" s="36"/>
      <c r="D24" s="36"/>
      <c r="E24" s="36"/>
      <c r="F24" s="36"/>
      <c r="G24" s="36" t="s">
        <v>189</v>
      </c>
      <c r="H24" s="36" t="s">
        <v>168</v>
      </c>
      <c r="I24" s="36" t="s">
        <v>52</v>
      </c>
      <c r="J24" s="36"/>
      <c r="K24" s="36" t="s">
        <v>190</v>
      </c>
      <c r="L24" s="36" t="s">
        <v>54</v>
      </c>
      <c r="M24" s="36" t="n">
        <f aca="false">SUMIFS(Clean!$F$2:$F$3001,Clean!$D$2:$D$3001,K24,Clean!$M$2:$M$3001,Assumptions!$B$4,Clean!$L$2:$L$3001,1)</f>
        <v>36</v>
      </c>
      <c r="N24" s="39" t="n">
        <f aca="false">SUMIFS(Clean!$H$2:$H$3001,Clean!$D$2:$D$3001,K24,Clean!$M$2:$M$3001,Assumptions!$B$4,Clean!$L$2:$L$3001,1)</f>
        <v>7020</v>
      </c>
    </row>
    <row r="25" customFormat="false" ht="15" hidden="false" customHeight="false" outlineLevel="0" collapsed="false">
      <c r="A25" s="36"/>
      <c r="B25" s="36"/>
      <c r="C25" s="36"/>
      <c r="D25" s="36"/>
      <c r="E25" s="36"/>
      <c r="F25" s="36"/>
      <c r="G25" s="36" t="s">
        <v>191</v>
      </c>
      <c r="H25" s="36" t="s">
        <v>170</v>
      </c>
      <c r="I25" s="36" t="s">
        <v>52</v>
      </c>
      <c r="J25" s="36"/>
      <c r="K25" s="36" t="s">
        <v>192</v>
      </c>
      <c r="L25" s="36" t="s">
        <v>54</v>
      </c>
      <c r="M25" s="36" t="n">
        <f aca="false">SUMIFS(Clean!$F$2:$F$3001,Clean!$D$2:$D$3001,K25,Clean!$M$2:$M$3001,Assumptions!$B$4,Clean!$L$2:$L$3001,1)</f>
        <v>46</v>
      </c>
      <c r="N25" s="39" t="n">
        <f aca="false">SUMIFS(Clean!$H$2:$H$3001,Clean!$D$2:$D$3001,K25,Clean!$M$2:$M$3001,Assumptions!$B$4,Clean!$L$2:$L$3001,1)</f>
        <v>19110</v>
      </c>
    </row>
    <row r="26" customFormat="false" ht="15" hidden="false" customHeight="false" outlineLevel="0" collapsed="false">
      <c r="A26" s="36"/>
      <c r="B26" s="36"/>
      <c r="C26" s="36"/>
      <c r="D26" s="36"/>
      <c r="E26" s="36"/>
      <c r="F26" s="36"/>
      <c r="G26" s="36" t="s">
        <v>193</v>
      </c>
      <c r="H26" s="36" t="s">
        <v>170</v>
      </c>
      <c r="I26" s="36" t="s">
        <v>52</v>
      </c>
      <c r="J26" s="36"/>
      <c r="K26" s="36" t="s">
        <v>194</v>
      </c>
      <c r="L26" s="36" t="s">
        <v>54</v>
      </c>
      <c r="M26" s="36" t="n">
        <f aca="false">SUMIFS(Clean!$F$2:$F$3001,Clean!$D$2:$D$3001,K26,Clean!$M$2:$M$3001,Assumptions!$B$4,Clean!$L$2:$L$3001,1)</f>
        <v>85</v>
      </c>
      <c r="N26" s="39" t="n">
        <f aca="false">SUMIFS(Clean!$H$2:$H$3001,Clean!$D$2:$D$3001,K26,Clean!$M$2:$M$3001,Assumptions!$B$4,Clean!$L$2:$L$3001,1)</f>
        <v>10894</v>
      </c>
    </row>
    <row r="27" customFormat="false" ht="15" hidden="false" customHeight="false" outlineLevel="0" collapsed="false">
      <c r="A27" s="36"/>
      <c r="B27" s="36"/>
      <c r="C27" s="36"/>
      <c r="D27" s="36"/>
      <c r="E27" s="36"/>
      <c r="F27" s="36"/>
      <c r="G27" s="36" t="s">
        <v>195</v>
      </c>
      <c r="H27" s="36" t="s">
        <v>172</v>
      </c>
      <c r="I27" s="36" t="s">
        <v>52</v>
      </c>
      <c r="J27" s="36"/>
      <c r="K27" s="36" t="s">
        <v>196</v>
      </c>
      <c r="L27" s="36" t="s">
        <v>54</v>
      </c>
      <c r="M27" s="36" t="n">
        <f aca="false">SUMIFS(Clean!$F$2:$F$3001,Clean!$D$2:$D$3001,K27,Clean!$M$2:$M$3001,Assumptions!$B$4,Clean!$L$2:$L$3001,1)</f>
        <v>79</v>
      </c>
      <c r="N27" s="39" t="n">
        <f aca="false">SUMIFS(Clean!$H$2:$H$3001,Clean!$D$2:$D$3001,K27,Clean!$M$2:$M$3001,Assumptions!$B$4,Clean!$L$2:$L$3001,1)</f>
        <v>27405</v>
      </c>
    </row>
    <row r="28" customFormat="false" ht="15" hidden="false" customHeight="false" outlineLevel="0" collapsed="false">
      <c r="A28" s="36"/>
      <c r="B28" s="36"/>
      <c r="C28" s="36"/>
      <c r="D28" s="36"/>
      <c r="E28" s="36"/>
      <c r="F28" s="36"/>
      <c r="G28" s="36" t="s">
        <v>197</v>
      </c>
      <c r="H28" s="36" t="s">
        <v>172</v>
      </c>
      <c r="I28" s="36" t="s">
        <v>52</v>
      </c>
      <c r="J28" s="36"/>
      <c r="K28" s="36" t="s">
        <v>198</v>
      </c>
      <c r="L28" s="36" t="s">
        <v>55</v>
      </c>
      <c r="M28" s="36" t="n">
        <f aca="false">SUMIFS(Clean!$F$2:$F$3001,Clean!$D$2:$D$3001,K28,Clean!$M$2:$M$3001,Assumptions!$B$4,Clean!$L$2:$L$3001,1)</f>
        <v>38</v>
      </c>
      <c r="N28" s="39" t="n">
        <f aca="false">SUMIFS(Clean!$H$2:$H$3001,Clean!$D$2:$D$3001,K28,Clean!$M$2:$M$3001,Assumptions!$B$4,Clean!$L$2:$L$3001,1)</f>
        <v>3601</v>
      </c>
    </row>
    <row r="29" customFormat="false" ht="15" hidden="false" customHeight="false" outlineLevel="0" collapsed="false">
      <c r="A29" s="36"/>
      <c r="B29" s="36"/>
      <c r="C29" s="36"/>
      <c r="D29" s="36"/>
      <c r="E29" s="36"/>
      <c r="F29" s="36"/>
      <c r="G29" s="36" t="s">
        <v>199</v>
      </c>
      <c r="H29" s="36" t="s">
        <v>174</v>
      </c>
      <c r="I29" s="36" t="s">
        <v>52</v>
      </c>
      <c r="J29" s="36"/>
      <c r="K29" s="36" t="s">
        <v>200</v>
      </c>
      <c r="L29" s="36" t="s">
        <v>55</v>
      </c>
      <c r="M29" s="36" t="n">
        <f aca="false">SUMIFS(Clean!$F$2:$F$3001,Clean!$D$2:$D$3001,K29,Clean!$M$2:$M$3001,Assumptions!$B$4,Clean!$L$2:$L$3001,1)</f>
        <v>42</v>
      </c>
      <c r="N29" s="39" t="n">
        <f aca="false">SUMIFS(Clean!$H$2:$H$3001,Clean!$D$2:$D$3001,K29,Clean!$M$2:$M$3001,Assumptions!$B$4,Clean!$L$2:$L$3001,1)</f>
        <v>3336</v>
      </c>
    </row>
    <row r="30" customFormat="false" ht="15" hidden="false" customHeight="false" outlineLevel="0" collapsed="false">
      <c r="A30" s="36"/>
      <c r="B30" s="36"/>
      <c r="C30" s="36"/>
      <c r="D30" s="36"/>
      <c r="E30" s="36"/>
      <c r="F30" s="36"/>
      <c r="G30" s="36" t="s">
        <v>201</v>
      </c>
      <c r="H30" s="36" t="s">
        <v>174</v>
      </c>
      <c r="I30" s="36" t="s">
        <v>52</v>
      </c>
      <c r="J30" s="36"/>
      <c r="K30" s="36" t="s">
        <v>202</v>
      </c>
      <c r="L30" s="36" t="s">
        <v>55</v>
      </c>
      <c r="M30" s="36" t="n">
        <f aca="false">SUMIFS(Clean!$F$2:$F$3001,Clean!$D$2:$D$3001,K30,Clean!$M$2:$M$3001,Assumptions!$B$4,Clean!$L$2:$L$3001,1)</f>
        <v>45</v>
      </c>
      <c r="N30" s="39" t="n">
        <f aca="false">SUMIFS(Clean!$H$2:$H$3001,Clean!$D$2:$D$3001,K30,Clean!$M$2:$M$3001,Assumptions!$B$4,Clean!$L$2:$L$3001,1)</f>
        <v>6272</v>
      </c>
    </row>
    <row r="31" customFormat="false" ht="15" hidden="false" customHeight="false" outlineLevel="0" collapsed="false">
      <c r="A31" s="36"/>
      <c r="B31" s="36"/>
      <c r="C31" s="36"/>
      <c r="D31" s="36"/>
      <c r="E31" s="36"/>
      <c r="F31" s="36"/>
      <c r="G31" s="36" t="s">
        <v>203</v>
      </c>
      <c r="H31" s="36" t="s">
        <v>176</v>
      </c>
      <c r="I31" s="36" t="s">
        <v>52</v>
      </c>
      <c r="J31" s="36"/>
      <c r="K31" s="36" t="s">
        <v>204</v>
      </c>
      <c r="L31" s="36" t="s">
        <v>55</v>
      </c>
      <c r="M31" s="36" t="n">
        <f aca="false">SUMIFS(Clean!$F$2:$F$3001,Clean!$D$2:$D$3001,K31,Clean!$M$2:$M$3001,Assumptions!$B$4,Clean!$L$2:$L$3001,1)</f>
        <v>158</v>
      </c>
      <c r="N31" s="39" t="n">
        <f aca="false">SUMIFS(Clean!$H$2:$H$3001,Clean!$D$2:$D$3001,K31,Clean!$M$2:$M$3001,Assumptions!$B$4,Clean!$L$2:$L$3001,1)</f>
        <v>20397</v>
      </c>
    </row>
    <row r="32" customFormat="false" ht="15" hidden="false" customHeight="false" outlineLevel="0" collapsed="false">
      <c r="A32" s="36"/>
      <c r="B32" s="36"/>
      <c r="C32" s="36"/>
      <c r="D32" s="36"/>
      <c r="E32" s="36"/>
      <c r="F32" s="36"/>
      <c r="G32" s="36" t="s">
        <v>205</v>
      </c>
      <c r="H32" s="36" t="s">
        <v>176</v>
      </c>
      <c r="I32" s="36" t="s">
        <v>52</v>
      </c>
      <c r="J32" s="36"/>
      <c r="K32" s="36" t="s">
        <v>206</v>
      </c>
      <c r="L32" s="36" t="s">
        <v>55</v>
      </c>
      <c r="M32" s="36" t="n">
        <f aca="false">SUMIFS(Clean!$F$2:$F$3001,Clean!$D$2:$D$3001,K32,Clean!$M$2:$M$3001,Assumptions!$B$4,Clean!$L$2:$L$3001,1)</f>
        <v>67</v>
      </c>
      <c r="N32" s="39" t="n">
        <f aca="false">SUMIFS(Clean!$H$2:$H$3001,Clean!$D$2:$D$3001,K32,Clean!$M$2:$M$3001,Assumptions!$B$4,Clean!$L$2:$L$3001,1)</f>
        <v>4355</v>
      </c>
    </row>
    <row r="33" customFormat="false" ht="15" hidden="false" customHeight="false" outlineLevel="0" collapsed="false">
      <c r="A33" s="36"/>
      <c r="B33" s="36"/>
      <c r="C33" s="36"/>
      <c r="D33" s="36"/>
      <c r="E33" s="36"/>
      <c r="F33" s="36"/>
      <c r="G33" s="36" t="s">
        <v>207</v>
      </c>
      <c r="H33" s="36" t="s">
        <v>178</v>
      </c>
      <c r="I33" s="36" t="s">
        <v>53</v>
      </c>
      <c r="J33" s="36"/>
      <c r="K33" s="36"/>
      <c r="L33" s="36"/>
      <c r="M33" s="36"/>
      <c r="N33" s="36"/>
    </row>
    <row r="34" customFormat="false" ht="15" hidden="false" customHeight="false" outlineLevel="0" collapsed="false">
      <c r="A34" s="36"/>
      <c r="B34" s="36"/>
      <c r="C34" s="36"/>
      <c r="D34" s="36"/>
      <c r="E34" s="36"/>
      <c r="F34" s="36"/>
      <c r="G34" s="36" t="s">
        <v>208</v>
      </c>
      <c r="H34" s="36" t="s">
        <v>178</v>
      </c>
      <c r="I34" s="36" t="s">
        <v>53</v>
      </c>
      <c r="J34" s="36"/>
      <c r="K34" s="36"/>
      <c r="L34" s="36"/>
      <c r="M34" s="36"/>
      <c r="N34" s="36"/>
    </row>
    <row r="35" customFormat="false" ht="15" hidden="false" customHeight="false" outlineLevel="0" collapsed="false">
      <c r="A35" s="36"/>
      <c r="B35" s="36"/>
      <c r="C35" s="36"/>
      <c r="D35" s="36"/>
      <c r="E35" s="36"/>
      <c r="F35" s="36"/>
      <c r="G35" s="36" t="s">
        <v>209</v>
      </c>
      <c r="H35" s="36" t="s">
        <v>180</v>
      </c>
      <c r="I35" s="36" t="s">
        <v>53</v>
      </c>
      <c r="J35" s="36"/>
      <c r="K35" s="36"/>
      <c r="L35" s="36"/>
      <c r="M35" s="36"/>
      <c r="N35" s="36"/>
    </row>
    <row r="36" customFormat="false" ht="15" hidden="false" customHeight="false" outlineLevel="0" collapsed="false">
      <c r="A36" s="36"/>
      <c r="B36" s="36"/>
      <c r="C36" s="36"/>
      <c r="D36" s="36"/>
      <c r="E36" s="36"/>
      <c r="F36" s="36"/>
      <c r="G36" s="36" t="s">
        <v>210</v>
      </c>
      <c r="H36" s="36" t="s">
        <v>180</v>
      </c>
      <c r="I36" s="36" t="s">
        <v>53</v>
      </c>
      <c r="J36" s="36"/>
      <c r="K36" s="36"/>
      <c r="L36" s="36"/>
      <c r="M36" s="36"/>
      <c r="N36" s="36"/>
    </row>
    <row r="37" customFormat="false" ht="15" hidden="false" customHeight="false" outlineLevel="0" collapsed="false">
      <c r="A37" s="36"/>
      <c r="B37" s="36"/>
      <c r="C37" s="36"/>
      <c r="D37" s="36"/>
      <c r="E37" s="36"/>
      <c r="F37" s="36"/>
      <c r="G37" s="36" t="s">
        <v>211</v>
      </c>
      <c r="H37" s="36" t="s">
        <v>182</v>
      </c>
      <c r="I37" s="36" t="s">
        <v>53</v>
      </c>
      <c r="J37" s="36"/>
      <c r="K37" s="36"/>
      <c r="L37" s="36"/>
      <c r="M37" s="36"/>
      <c r="N37" s="36"/>
    </row>
    <row r="38" customFormat="false" ht="15" hidden="false" customHeight="false" outlineLevel="0" collapsed="false">
      <c r="A38" s="36"/>
      <c r="B38" s="36"/>
      <c r="C38" s="36"/>
      <c r="D38" s="36"/>
      <c r="E38" s="36"/>
      <c r="F38" s="36"/>
      <c r="G38" s="36" t="s">
        <v>212</v>
      </c>
      <c r="H38" s="36" t="s">
        <v>182</v>
      </c>
      <c r="I38" s="36" t="s">
        <v>53</v>
      </c>
      <c r="J38" s="36"/>
      <c r="K38" s="36"/>
      <c r="L38" s="36"/>
      <c r="M38" s="36"/>
      <c r="N38" s="36"/>
    </row>
    <row r="39" customFormat="false" ht="15" hidden="false" customHeight="false" outlineLevel="0" collapsed="false">
      <c r="A39" s="36"/>
      <c r="B39" s="36"/>
      <c r="C39" s="36"/>
      <c r="D39" s="36"/>
      <c r="E39" s="36"/>
      <c r="F39" s="36"/>
      <c r="G39" s="36" t="s">
        <v>213</v>
      </c>
      <c r="H39" s="36" t="s">
        <v>184</v>
      </c>
      <c r="I39" s="36" t="s">
        <v>53</v>
      </c>
      <c r="J39" s="36"/>
      <c r="K39" s="36"/>
      <c r="L39" s="36"/>
      <c r="M39" s="36"/>
      <c r="N39" s="36"/>
    </row>
    <row r="40" customFormat="false" ht="15" hidden="false" customHeight="false" outlineLevel="0" collapsed="false">
      <c r="A40" s="36"/>
      <c r="B40" s="36"/>
      <c r="C40" s="36"/>
      <c r="D40" s="36"/>
      <c r="E40" s="36"/>
      <c r="F40" s="36"/>
      <c r="G40" s="36" t="s">
        <v>214</v>
      </c>
      <c r="H40" s="36" t="s">
        <v>184</v>
      </c>
      <c r="I40" s="36" t="s">
        <v>53</v>
      </c>
      <c r="J40" s="36"/>
      <c r="K40" s="36"/>
      <c r="L40" s="36"/>
      <c r="M40" s="36"/>
      <c r="N40" s="36"/>
    </row>
    <row r="41" customFormat="false" ht="15" hidden="false" customHeight="false" outlineLevel="0" collapsed="false">
      <c r="A41" s="36"/>
      <c r="B41" s="36"/>
      <c r="C41" s="36"/>
      <c r="D41" s="36"/>
      <c r="E41" s="36"/>
      <c r="F41" s="36"/>
      <c r="G41" s="36" t="s">
        <v>215</v>
      </c>
      <c r="H41" s="36" t="s">
        <v>186</v>
      </c>
      <c r="I41" s="36" t="s">
        <v>53</v>
      </c>
      <c r="J41" s="36"/>
      <c r="K41" s="36"/>
      <c r="L41" s="36"/>
      <c r="M41" s="36"/>
      <c r="N41" s="36"/>
    </row>
    <row r="42" customFormat="false" ht="15" hidden="false" customHeight="false" outlineLevel="0" collapsed="false">
      <c r="A42" s="36"/>
      <c r="B42" s="36"/>
      <c r="C42" s="36"/>
      <c r="D42" s="36"/>
      <c r="E42" s="36"/>
      <c r="F42" s="36"/>
      <c r="G42" s="36" t="s">
        <v>216</v>
      </c>
      <c r="H42" s="36" t="s">
        <v>186</v>
      </c>
      <c r="I42" s="36" t="s">
        <v>53</v>
      </c>
      <c r="J42" s="36"/>
      <c r="K42" s="36"/>
      <c r="L42" s="36"/>
      <c r="M42" s="36"/>
      <c r="N42" s="36"/>
    </row>
    <row r="43" customFormat="false" ht="15" hidden="false" customHeight="false" outlineLevel="0" collapsed="false">
      <c r="A43" s="36"/>
      <c r="B43" s="36"/>
      <c r="C43" s="36"/>
      <c r="D43" s="36"/>
      <c r="E43" s="36"/>
      <c r="F43" s="36"/>
      <c r="G43" s="36" t="s">
        <v>217</v>
      </c>
      <c r="H43" s="36" t="s">
        <v>188</v>
      </c>
      <c r="I43" s="36" t="s">
        <v>54</v>
      </c>
      <c r="J43" s="36"/>
      <c r="K43" s="36"/>
      <c r="L43" s="36"/>
      <c r="M43" s="36"/>
      <c r="N43" s="36"/>
    </row>
    <row r="44" customFormat="false" ht="15" hidden="false" customHeight="false" outlineLevel="0" collapsed="false">
      <c r="A44" s="36"/>
      <c r="B44" s="36"/>
      <c r="C44" s="36"/>
      <c r="D44" s="36"/>
      <c r="E44" s="36"/>
      <c r="F44" s="36"/>
      <c r="G44" s="36" t="s">
        <v>218</v>
      </c>
      <c r="H44" s="36" t="s">
        <v>188</v>
      </c>
      <c r="I44" s="36" t="s">
        <v>54</v>
      </c>
      <c r="J44" s="36"/>
      <c r="K44" s="36"/>
      <c r="L44" s="36"/>
      <c r="M44" s="36"/>
      <c r="N44" s="36"/>
    </row>
    <row r="45" customFormat="false" ht="15" hidden="false" customHeight="false" outlineLevel="0" collapsed="false">
      <c r="A45" s="36"/>
      <c r="B45" s="36"/>
      <c r="C45" s="36"/>
      <c r="D45" s="36"/>
      <c r="E45" s="36"/>
      <c r="F45" s="36"/>
      <c r="G45" s="36" t="s">
        <v>219</v>
      </c>
      <c r="H45" s="36" t="s">
        <v>190</v>
      </c>
      <c r="I45" s="36" t="s">
        <v>54</v>
      </c>
      <c r="J45" s="36"/>
      <c r="K45" s="36"/>
      <c r="L45" s="36"/>
      <c r="M45" s="36"/>
      <c r="N45" s="36"/>
    </row>
    <row r="46" customFormat="false" ht="15" hidden="false" customHeight="false" outlineLevel="0" collapsed="false">
      <c r="A46" s="36"/>
      <c r="B46" s="36"/>
      <c r="C46" s="36"/>
      <c r="D46" s="36"/>
      <c r="E46" s="36"/>
      <c r="F46" s="36"/>
      <c r="G46" s="36" t="s">
        <v>220</v>
      </c>
      <c r="H46" s="36" t="s">
        <v>190</v>
      </c>
      <c r="I46" s="36" t="s">
        <v>54</v>
      </c>
      <c r="J46" s="36"/>
      <c r="K46" s="36"/>
      <c r="L46" s="36"/>
      <c r="M46" s="36"/>
      <c r="N46" s="36"/>
    </row>
    <row r="47" customFormat="false" ht="15" hidden="false" customHeight="false" outlineLevel="0" collapsed="false">
      <c r="A47" s="36"/>
      <c r="B47" s="36"/>
      <c r="C47" s="36"/>
      <c r="D47" s="36"/>
      <c r="E47" s="36"/>
      <c r="F47" s="36"/>
      <c r="G47" s="36" t="s">
        <v>221</v>
      </c>
      <c r="H47" s="36" t="s">
        <v>192</v>
      </c>
      <c r="I47" s="36" t="s">
        <v>54</v>
      </c>
      <c r="J47" s="36"/>
      <c r="K47" s="36"/>
      <c r="L47" s="36"/>
      <c r="M47" s="36"/>
      <c r="N47" s="36"/>
    </row>
    <row r="48" customFormat="false" ht="15" hidden="false" customHeight="false" outlineLevel="0" collapsed="false">
      <c r="A48" s="36"/>
      <c r="B48" s="36"/>
      <c r="C48" s="36"/>
      <c r="D48" s="36"/>
      <c r="E48" s="36"/>
      <c r="F48" s="36"/>
      <c r="G48" s="36" t="s">
        <v>222</v>
      </c>
      <c r="H48" s="36" t="s">
        <v>192</v>
      </c>
      <c r="I48" s="36" t="s">
        <v>54</v>
      </c>
      <c r="J48" s="36"/>
      <c r="K48" s="36"/>
      <c r="L48" s="36"/>
      <c r="M48" s="36"/>
      <c r="N48" s="36"/>
    </row>
    <row r="49" customFormat="false" ht="15" hidden="false" customHeight="false" outlineLevel="0" collapsed="false">
      <c r="A49" s="36"/>
      <c r="B49" s="36"/>
      <c r="C49" s="36"/>
      <c r="D49" s="36"/>
      <c r="E49" s="36"/>
      <c r="F49" s="36"/>
      <c r="G49" s="36" t="s">
        <v>223</v>
      </c>
      <c r="H49" s="36" t="s">
        <v>194</v>
      </c>
      <c r="I49" s="36" t="s">
        <v>54</v>
      </c>
      <c r="J49" s="36"/>
      <c r="K49" s="36"/>
      <c r="L49" s="36"/>
      <c r="M49" s="36"/>
      <c r="N49" s="36"/>
    </row>
    <row r="50" customFormat="false" ht="15" hidden="false" customHeight="false" outlineLevel="0" collapsed="false">
      <c r="A50" s="36"/>
      <c r="B50" s="36"/>
      <c r="C50" s="36"/>
      <c r="D50" s="36"/>
      <c r="E50" s="36"/>
      <c r="F50" s="36"/>
      <c r="G50" s="36" t="s">
        <v>224</v>
      </c>
      <c r="H50" s="36" t="s">
        <v>194</v>
      </c>
      <c r="I50" s="36" t="s">
        <v>54</v>
      </c>
      <c r="J50" s="36"/>
      <c r="K50" s="36"/>
      <c r="L50" s="36"/>
      <c r="M50" s="36"/>
      <c r="N50" s="36"/>
    </row>
    <row r="51" customFormat="false" ht="15" hidden="false" customHeight="false" outlineLevel="0" collapsed="false">
      <c r="A51" s="36"/>
      <c r="B51" s="36"/>
      <c r="C51" s="36"/>
      <c r="D51" s="36"/>
      <c r="E51" s="36"/>
      <c r="F51" s="36"/>
      <c r="G51" s="36" t="s">
        <v>225</v>
      </c>
      <c r="H51" s="36" t="s">
        <v>196</v>
      </c>
      <c r="I51" s="36" t="s">
        <v>54</v>
      </c>
      <c r="J51" s="36"/>
      <c r="K51" s="36"/>
      <c r="L51" s="36"/>
      <c r="M51" s="36"/>
      <c r="N51" s="36"/>
    </row>
    <row r="52" customFormat="false" ht="15" hidden="false" customHeight="false" outlineLevel="0" collapsed="false">
      <c r="A52" s="36"/>
      <c r="B52" s="36"/>
      <c r="C52" s="36"/>
      <c r="D52" s="36"/>
      <c r="E52" s="36"/>
      <c r="F52" s="36"/>
      <c r="G52" s="36" t="s">
        <v>226</v>
      </c>
      <c r="H52" s="36" t="s">
        <v>196</v>
      </c>
      <c r="I52" s="36" t="s">
        <v>54</v>
      </c>
      <c r="J52" s="36"/>
      <c r="K52" s="36"/>
      <c r="L52" s="36"/>
      <c r="M52" s="36"/>
      <c r="N52" s="36"/>
    </row>
    <row r="53" customFormat="false" ht="15" hidden="false" customHeight="false" outlineLevel="0" collapsed="false">
      <c r="A53" s="36"/>
      <c r="B53" s="36"/>
      <c r="C53" s="36"/>
      <c r="D53" s="36"/>
      <c r="E53" s="36"/>
      <c r="F53" s="36"/>
      <c r="G53" s="36" t="s">
        <v>227</v>
      </c>
      <c r="H53" s="36" t="s">
        <v>198</v>
      </c>
      <c r="I53" s="36" t="s">
        <v>55</v>
      </c>
      <c r="J53" s="36"/>
      <c r="K53" s="36"/>
      <c r="L53" s="36"/>
      <c r="M53" s="36"/>
      <c r="N53" s="36"/>
    </row>
    <row r="54" customFormat="false" ht="15" hidden="false" customHeight="false" outlineLevel="0" collapsed="false">
      <c r="A54" s="36"/>
      <c r="B54" s="36"/>
      <c r="C54" s="36"/>
      <c r="D54" s="36"/>
      <c r="E54" s="36"/>
      <c r="F54" s="36"/>
      <c r="G54" s="36" t="s">
        <v>228</v>
      </c>
      <c r="H54" s="36" t="s">
        <v>198</v>
      </c>
      <c r="I54" s="36" t="s">
        <v>55</v>
      </c>
      <c r="J54" s="36"/>
      <c r="K54" s="36"/>
      <c r="L54" s="36"/>
      <c r="M54" s="36"/>
      <c r="N54" s="36"/>
    </row>
    <row r="55" customFormat="false" ht="15" hidden="false" customHeight="false" outlineLevel="0" collapsed="false">
      <c r="A55" s="36"/>
      <c r="B55" s="36"/>
      <c r="C55" s="36"/>
      <c r="D55" s="36"/>
      <c r="E55" s="36"/>
      <c r="F55" s="36"/>
      <c r="G55" s="36" t="s">
        <v>229</v>
      </c>
      <c r="H55" s="36" t="s">
        <v>200</v>
      </c>
      <c r="I55" s="36" t="s">
        <v>55</v>
      </c>
      <c r="J55" s="36"/>
      <c r="K55" s="36"/>
      <c r="L55" s="36"/>
      <c r="M55" s="36"/>
      <c r="N55" s="36"/>
    </row>
    <row r="56" customFormat="false" ht="15" hidden="false" customHeight="false" outlineLevel="0" collapsed="false">
      <c r="A56" s="36"/>
      <c r="B56" s="36"/>
      <c r="C56" s="36"/>
      <c r="D56" s="36"/>
      <c r="E56" s="36"/>
      <c r="F56" s="36"/>
      <c r="G56" s="36" t="s">
        <v>230</v>
      </c>
      <c r="H56" s="36" t="s">
        <v>200</v>
      </c>
      <c r="I56" s="36" t="s">
        <v>55</v>
      </c>
      <c r="J56" s="36"/>
      <c r="K56" s="36"/>
      <c r="L56" s="36"/>
      <c r="M56" s="36"/>
      <c r="N56" s="36"/>
    </row>
    <row r="57" customFormat="false" ht="15" hidden="false" customHeight="false" outlineLevel="0" collapsed="false">
      <c r="A57" s="36"/>
      <c r="B57" s="36"/>
      <c r="C57" s="36"/>
      <c r="D57" s="36"/>
      <c r="E57" s="36"/>
      <c r="F57" s="36"/>
      <c r="G57" s="36" t="s">
        <v>231</v>
      </c>
      <c r="H57" s="36" t="s">
        <v>202</v>
      </c>
      <c r="I57" s="36" t="s">
        <v>55</v>
      </c>
      <c r="J57" s="36"/>
      <c r="K57" s="36"/>
      <c r="L57" s="36"/>
      <c r="M57" s="36"/>
      <c r="N57" s="36"/>
    </row>
    <row r="58" customFormat="false" ht="15" hidden="false" customHeight="false" outlineLevel="0" collapsed="false">
      <c r="A58" s="36"/>
      <c r="B58" s="36"/>
      <c r="C58" s="36"/>
      <c r="D58" s="36"/>
      <c r="E58" s="36"/>
      <c r="F58" s="36"/>
      <c r="G58" s="36" t="s">
        <v>232</v>
      </c>
      <c r="H58" s="36" t="s">
        <v>202</v>
      </c>
      <c r="I58" s="36" t="s">
        <v>55</v>
      </c>
      <c r="J58" s="36"/>
      <c r="K58" s="36"/>
      <c r="L58" s="36"/>
      <c r="M58" s="36"/>
      <c r="N58" s="36"/>
    </row>
    <row r="59" customFormat="false" ht="15" hidden="false" customHeight="false" outlineLevel="0" collapsed="false">
      <c r="A59" s="36"/>
      <c r="B59" s="36"/>
      <c r="C59" s="36"/>
      <c r="D59" s="36"/>
      <c r="E59" s="36"/>
      <c r="F59" s="36"/>
      <c r="G59" s="36" t="s">
        <v>233</v>
      </c>
      <c r="H59" s="36" t="s">
        <v>204</v>
      </c>
      <c r="I59" s="36" t="s">
        <v>55</v>
      </c>
      <c r="J59" s="36"/>
      <c r="K59" s="36"/>
      <c r="L59" s="36"/>
      <c r="M59" s="36"/>
      <c r="N59" s="36"/>
    </row>
    <row r="60" customFormat="false" ht="15" hidden="false" customHeight="false" outlineLevel="0" collapsed="false">
      <c r="A60" s="36"/>
      <c r="B60" s="36"/>
      <c r="C60" s="36"/>
      <c r="D60" s="36"/>
      <c r="E60" s="36"/>
      <c r="F60" s="36"/>
      <c r="G60" s="36" t="s">
        <v>234</v>
      </c>
      <c r="H60" s="36" t="s">
        <v>204</v>
      </c>
      <c r="I60" s="36" t="s">
        <v>55</v>
      </c>
      <c r="J60" s="36"/>
      <c r="K60" s="36"/>
      <c r="L60" s="36"/>
      <c r="M60" s="36"/>
      <c r="N60" s="36"/>
    </row>
    <row r="61" customFormat="false" ht="15" hidden="false" customHeight="false" outlineLevel="0" collapsed="false">
      <c r="A61" s="36"/>
      <c r="B61" s="36"/>
      <c r="C61" s="36"/>
      <c r="D61" s="36"/>
      <c r="E61" s="36"/>
      <c r="F61" s="36"/>
      <c r="G61" s="36" t="s">
        <v>235</v>
      </c>
      <c r="H61" s="36" t="s">
        <v>206</v>
      </c>
      <c r="I61" s="36" t="s">
        <v>55</v>
      </c>
      <c r="J61" s="36"/>
      <c r="K61" s="36"/>
      <c r="L61" s="36"/>
      <c r="M61" s="36"/>
      <c r="N61" s="36"/>
    </row>
    <row r="62" customFormat="false" ht="15" hidden="false" customHeight="false" outlineLevel="0" collapsed="false">
      <c r="A62" s="36"/>
      <c r="B62" s="36"/>
      <c r="C62" s="36"/>
      <c r="D62" s="36"/>
      <c r="E62" s="36"/>
      <c r="F62" s="36"/>
      <c r="G62" s="36" t="s">
        <v>236</v>
      </c>
      <c r="H62" s="36" t="s">
        <v>206</v>
      </c>
      <c r="I62" s="36" t="s">
        <v>55</v>
      </c>
      <c r="J62" s="36"/>
      <c r="K62" s="36"/>
      <c r="L62" s="36"/>
      <c r="M62" s="36"/>
      <c r="N62" s="36"/>
    </row>
    <row r="63" customFormat="false" ht="15" hidden="false" customHeight="false" outlineLevel="0" collapsed="false">
      <c r="A63" s="36"/>
      <c r="B63" s="36"/>
      <c r="C63" s="36"/>
      <c r="D63" s="36"/>
      <c r="E63" s="36"/>
      <c r="F63" s="36"/>
      <c r="G63" s="36"/>
      <c r="H63" s="36"/>
      <c r="I63" s="36"/>
      <c r="J63" s="36"/>
      <c r="K63" s="36"/>
      <c r="L63" s="36"/>
      <c r="M63" s="36"/>
      <c r="N63" s="36"/>
    </row>
    <row r="64" customFormat="false" ht="15" hidden="false" customHeight="false" outlineLevel="0" collapsed="false">
      <c r="A64" s="36"/>
      <c r="B64" s="36"/>
      <c r="C64" s="36"/>
      <c r="D64" s="36"/>
      <c r="E64" s="36"/>
      <c r="F64" s="36"/>
      <c r="G64" s="36"/>
      <c r="H64" s="36"/>
      <c r="I64" s="36"/>
      <c r="J64" s="36"/>
      <c r="K64" s="36"/>
      <c r="L64" s="36"/>
      <c r="M64" s="36"/>
      <c r="N64" s="36"/>
    </row>
    <row r="65" customFormat="false" ht="15" hidden="false" customHeight="false" outlineLevel="0" collapsed="false">
      <c r="A65" s="36"/>
      <c r="B65" s="36"/>
      <c r="C65" s="36"/>
      <c r="D65" s="36"/>
      <c r="E65" s="36"/>
      <c r="F65" s="36"/>
      <c r="G65" s="36"/>
      <c r="H65" s="36"/>
      <c r="I65" s="36"/>
      <c r="J65" s="36"/>
      <c r="K65" s="36"/>
      <c r="L65" s="36"/>
      <c r="M65" s="36"/>
      <c r="N65" s="36"/>
    </row>
    <row r="66" customFormat="false" ht="15" hidden="false" customHeight="false" outlineLevel="0" collapsed="false">
      <c r="A66" s="36"/>
      <c r="B66" s="36"/>
      <c r="C66" s="36"/>
      <c r="D66" s="36"/>
      <c r="E66" s="36"/>
      <c r="F66" s="36"/>
      <c r="G66" s="36"/>
      <c r="H66" s="36"/>
      <c r="I66" s="36"/>
      <c r="J66" s="36"/>
      <c r="K66" s="36"/>
      <c r="L66" s="36"/>
      <c r="M66" s="36"/>
      <c r="N66" s="36"/>
    </row>
    <row r="67" customFormat="false" ht="15" hidden="false" customHeight="false" outlineLevel="0" collapsed="false">
      <c r="A67" s="36"/>
      <c r="B67" s="36"/>
      <c r="C67" s="36"/>
      <c r="D67" s="36"/>
      <c r="E67" s="36"/>
      <c r="F67" s="36"/>
      <c r="G67" s="36"/>
      <c r="H67" s="36"/>
      <c r="I67" s="36"/>
      <c r="J67" s="36"/>
      <c r="K67" s="36"/>
      <c r="L67" s="36"/>
      <c r="M67" s="36"/>
      <c r="N67" s="36"/>
    </row>
    <row r="68" customFormat="false" ht="15" hidden="false" customHeight="false" outlineLevel="0" collapsed="false">
      <c r="A68" s="36"/>
      <c r="B68" s="36"/>
      <c r="C68" s="36"/>
      <c r="D68" s="36"/>
      <c r="E68" s="36"/>
      <c r="F68" s="36"/>
      <c r="G68" s="36"/>
      <c r="H68" s="36"/>
      <c r="I68" s="36"/>
      <c r="J68" s="36"/>
      <c r="K68" s="36"/>
      <c r="L68" s="36"/>
      <c r="M68" s="36"/>
      <c r="N68" s="36"/>
    </row>
    <row r="69" customFormat="false" ht="15" hidden="false" customHeight="false" outlineLevel="0" collapsed="false">
      <c r="A69" s="36"/>
      <c r="B69" s="36"/>
      <c r="C69" s="36"/>
      <c r="D69" s="36"/>
      <c r="E69" s="36"/>
      <c r="F69" s="36"/>
      <c r="G69" s="36"/>
      <c r="H69" s="36"/>
      <c r="I69" s="36"/>
      <c r="J69" s="36"/>
      <c r="K69" s="36"/>
      <c r="L69" s="36"/>
      <c r="M69" s="36"/>
      <c r="N69" s="36"/>
    </row>
    <row r="70" customFormat="false" ht="15" hidden="false" customHeight="false" outlineLevel="0" collapsed="false">
      <c r="A70" s="36"/>
      <c r="B70" s="36"/>
      <c r="C70" s="36"/>
      <c r="D70" s="36"/>
      <c r="E70" s="36"/>
      <c r="F70" s="36"/>
      <c r="G70" s="36"/>
      <c r="H70" s="36"/>
      <c r="I70" s="36"/>
      <c r="J70" s="36"/>
      <c r="K70" s="36"/>
      <c r="L70" s="36"/>
      <c r="M70" s="36"/>
      <c r="N70" s="36"/>
    </row>
    <row r="71" customFormat="false" ht="15" hidden="false" customHeight="false" outlineLevel="0" collapsed="false">
      <c r="A71" s="36"/>
      <c r="B71" s="36"/>
      <c r="C71" s="36"/>
      <c r="D71" s="36"/>
      <c r="E71" s="36"/>
      <c r="F71" s="36"/>
      <c r="G71" s="36"/>
      <c r="H71" s="36"/>
      <c r="I71" s="36"/>
      <c r="J71" s="36"/>
      <c r="K71" s="36"/>
      <c r="L71" s="36"/>
      <c r="M71" s="36"/>
      <c r="N71" s="36"/>
    </row>
    <row r="72" customFormat="false" ht="15" hidden="false" customHeight="false" outlineLevel="0" collapsed="false">
      <c r="A72" s="36"/>
      <c r="B72" s="36"/>
      <c r="C72" s="36"/>
      <c r="D72" s="36"/>
      <c r="E72" s="36"/>
      <c r="F72" s="36"/>
      <c r="G72" s="36"/>
      <c r="H72" s="36"/>
      <c r="I72" s="36"/>
      <c r="J72" s="36"/>
      <c r="K72" s="36"/>
      <c r="L72" s="36"/>
      <c r="M72" s="36"/>
      <c r="N72" s="36"/>
    </row>
    <row r="73" customFormat="false" ht="15" hidden="false" customHeight="false" outlineLevel="0" collapsed="false">
      <c r="A73" s="36"/>
      <c r="B73" s="36"/>
      <c r="C73" s="36"/>
      <c r="D73" s="36"/>
      <c r="E73" s="36"/>
      <c r="F73" s="36"/>
      <c r="G73" s="36"/>
      <c r="H73" s="36"/>
      <c r="I73" s="36"/>
      <c r="J73" s="36"/>
      <c r="K73" s="36"/>
      <c r="L73" s="36"/>
      <c r="M73" s="36"/>
      <c r="N73" s="36"/>
    </row>
    <row r="74" customFormat="false" ht="15" hidden="false" customHeight="false" outlineLevel="0" collapsed="false">
      <c r="A74" s="36"/>
      <c r="B74" s="36"/>
      <c r="C74" s="36"/>
      <c r="D74" s="36"/>
      <c r="E74" s="36"/>
      <c r="F74" s="36"/>
      <c r="G74" s="36"/>
      <c r="H74" s="36"/>
      <c r="I74" s="36"/>
      <c r="J74" s="36"/>
      <c r="K74" s="36"/>
      <c r="L74" s="36"/>
      <c r="M74" s="36"/>
      <c r="N74" s="3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22"/>
    <col collapsed="false" customWidth="true" hidden="false" outlineLevel="0" max="5" min="5" style="0" width="8"/>
    <col collapsed="false" customWidth="true" hidden="false" outlineLevel="0" max="6" min="6" style="0" width="12"/>
    <col collapsed="false" customWidth="true" hidden="false" outlineLevel="0" max="7" min="7" style="0" width="9"/>
    <col collapsed="false" customWidth="true" hidden="false" outlineLevel="0" max="8" min="8" style="0" width="10"/>
  </cols>
  <sheetData>
    <row r="1" customFormat="false" ht="27.75" hidden="false" customHeight="true" outlineLevel="0" collapsed="false">
      <c r="A1" s="35" t="s">
        <v>111</v>
      </c>
      <c r="B1" s="35" t="s">
        <v>112</v>
      </c>
      <c r="C1" s="35" t="s">
        <v>36</v>
      </c>
      <c r="D1" s="35" t="s">
        <v>58</v>
      </c>
      <c r="E1" s="35" t="s">
        <v>113</v>
      </c>
      <c r="F1" s="35" t="s">
        <v>237</v>
      </c>
      <c r="G1" s="35" t="s">
        <v>238</v>
      </c>
      <c r="H1" s="35" t="s">
        <v>116</v>
      </c>
    </row>
    <row r="2" customFormat="false" ht="15" hidden="false" customHeight="false" outlineLevel="0" collapsed="false">
      <c r="A2" s="36" t="s">
        <v>239</v>
      </c>
      <c r="B2" s="36" t="s">
        <v>240</v>
      </c>
      <c r="C2" s="36" t="s">
        <v>241</v>
      </c>
      <c r="D2" s="36" t="s">
        <v>242</v>
      </c>
      <c r="E2" s="36" t="n">
        <v>6</v>
      </c>
      <c r="F2" s="36" t="n">
        <v>380</v>
      </c>
      <c r="G2" s="36" t="s">
        <v>243</v>
      </c>
      <c r="H2" s="36" t="s">
        <v>141</v>
      </c>
    </row>
    <row r="3" customFormat="false" ht="15" hidden="false" customHeight="false" outlineLevel="0" collapsed="false">
      <c r="A3" s="36" t="s">
        <v>244</v>
      </c>
      <c r="B3" s="36" t="s">
        <v>240</v>
      </c>
      <c r="C3" s="36" t="s">
        <v>241</v>
      </c>
      <c r="D3" s="36" t="s">
        <v>167</v>
      </c>
      <c r="E3" s="36" t="n">
        <v>1</v>
      </c>
      <c r="F3" s="36" t="s">
        <v>245</v>
      </c>
      <c r="G3" s="36" t="s">
        <v>246</v>
      </c>
      <c r="H3" s="36" t="s">
        <v>247</v>
      </c>
    </row>
    <row r="4" customFormat="false" ht="15" hidden="false" customHeight="false" outlineLevel="0" collapsed="false">
      <c r="A4" s="36" t="s">
        <v>248</v>
      </c>
      <c r="B4" s="36" t="s">
        <v>240</v>
      </c>
      <c r="C4" s="36" t="s">
        <v>249</v>
      </c>
      <c r="D4" s="36" t="s">
        <v>250</v>
      </c>
      <c r="E4" s="36" t="n">
        <v>1</v>
      </c>
      <c r="F4" s="36" t="n">
        <v>210</v>
      </c>
      <c r="G4" s="36" t="s">
        <v>251</v>
      </c>
      <c r="H4" s="36" t="s">
        <v>141</v>
      </c>
    </row>
    <row r="5" customFormat="false" ht="15" hidden="false" customHeight="false" outlineLevel="0" collapsed="false">
      <c r="A5" s="36" t="s">
        <v>252</v>
      </c>
      <c r="B5" s="36" t="s">
        <v>253</v>
      </c>
      <c r="C5" s="36" t="s">
        <v>254</v>
      </c>
      <c r="D5" s="36" t="s">
        <v>204</v>
      </c>
      <c r="E5" s="36" t="n">
        <v>2</v>
      </c>
      <c r="F5" s="36" t="s">
        <v>255</v>
      </c>
      <c r="G5" s="36" t="s">
        <v>256</v>
      </c>
      <c r="H5" s="36" t="s">
        <v>141</v>
      </c>
    </row>
    <row r="6" customFormat="false" ht="15" hidden="false" customHeight="false" outlineLevel="0" collapsed="false">
      <c r="A6" s="36" t="s">
        <v>257</v>
      </c>
      <c r="B6" s="37" t="n">
        <v>46265</v>
      </c>
      <c r="C6" s="36" t="s">
        <v>42</v>
      </c>
      <c r="D6" s="36" t="s">
        <v>258</v>
      </c>
      <c r="E6" s="36" t="n">
        <v>4</v>
      </c>
      <c r="F6" s="36" t="s">
        <v>259</v>
      </c>
      <c r="G6" s="36" t="s">
        <v>260</v>
      </c>
      <c r="H6" s="36" t="s">
        <v>141</v>
      </c>
    </row>
    <row r="7" customFormat="false" ht="15" hidden="false" customHeight="false" outlineLevel="0" collapsed="false">
      <c r="A7" s="36" t="s">
        <v>261</v>
      </c>
      <c r="B7" s="36" t="s">
        <v>240</v>
      </c>
      <c r="C7" s="36" t="s">
        <v>249</v>
      </c>
      <c r="D7" s="36" t="s">
        <v>190</v>
      </c>
      <c r="E7" s="36" t="n">
        <v>2</v>
      </c>
      <c r="F7" s="36" t="s">
        <v>262</v>
      </c>
      <c r="G7" s="36" t="s">
        <v>263</v>
      </c>
      <c r="H7" s="36" t="s">
        <v>141</v>
      </c>
    </row>
    <row r="8" customFormat="false" ht="15" hidden="false" customHeight="false" outlineLevel="0" collapsed="false">
      <c r="A8" s="36" t="s">
        <v>264</v>
      </c>
      <c r="B8" s="36" t="s">
        <v>240</v>
      </c>
      <c r="C8" s="36" t="s">
        <v>249</v>
      </c>
      <c r="D8" s="36" t="s">
        <v>265</v>
      </c>
      <c r="E8" s="36" t="n">
        <v>1</v>
      </c>
      <c r="F8" s="36" t="n">
        <v>95</v>
      </c>
      <c r="G8" s="36" t="s">
        <v>256</v>
      </c>
      <c r="H8" s="36" t="s">
        <v>131</v>
      </c>
    </row>
    <row r="9" customFormat="false" ht="15" hidden="false" customHeight="false" outlineLevel="0" collapsed="false">
      <c r="A9" s="36" t="s">
        <v>266</v>
      </c>
      <c r="B9" s="36" t="s">
        <v>253</v>
      </c>
      <c r="C9" s="36" t="s">
        <v>42</v>
      </c>
      <c r="D9" s="36" t="s">
        <v>148</v>
      </c>
      <c r="E9" s="36" t="n">
        <v>1</v>
      </c>
      <c r="F9" s="36" t="n">
        <v>330</v>
      </c>
      <c r="G9" s="36" t="s">
        <v>267</v>
      </c>
      <c r="H9" s="36" t="s">
        <v>141</v>
      </c>
    </row>
    <row r="10" customFormat="false" ht="15" hidden="false" customHeight="false" outlineLevel="0" collapsed="false">
      <c r="A10" s="36" t="s">
        <v>268</v>
      </c>
      <c r="B10" s="36" t="s">
        <v>240</v>
      </c>
      <c r="C10" s="36" t="s">
        <v>254</v>
      </c>
      <c r="D10" s="36" t="s">
        <v>182</v>
      </c>
      <c r="E10" s="36" t="n">
        <v>1</v>
      </c>
      <c r="F10" s="36" t="s">
        <v>269</v>
      </c>
      <c r="G10" s="36" t="s">
        <v>270</v>
      </c>
      <c r="H10" s="36" t="s">
        <v>247</v>
      </c>
    </row>
    <row r="11" customFormat="false" ht="15" hidden="false" customHeight="false" outlineLevel="0" collapsed="false">
      <c r="A11" s="36" t="s">
        <v>271</v>
      </c>
      <c r="B11" s="36" t="s">
        <v>253</v>
      </c>
      <c r="C11" s="36" t="s">
        <v>130</v>
      </c>
      <c r="D11" s="36" t="s">
        <v>219</v>
      </c>
      <c r="E11" s="36" t="n">
        <v>2</v>
      </c>
      <c r="F11" s="36" t="s">
        <v>272</v>
      </c>
      <c r="G11" s="36" t="s">
        <v>270</v>
      </c>
      <c r="H11" s="36" t="s">
        <v>247</v>
      </c>
    </row>
    <row r="12" customFormat="false" ht="15" hidden="false" customHeight="false" outlineLevel="0" collapsed="false">
      <c r="A12" s="36" t="s">
        <v>273</v>
      </c>
      <c r="B12" s="37" t="n">
        <v>46265</v>
      </c>
      <c r="C12" s="36" t="s">
        <v>249</v>
      </c>
      <c r="D12" s="36" t="s">
        <v>189</v>
      </c>
      <c r="E12" s="36" t="n">
        <v>4</v>
      </c>
      <c r="F12" s="36" t="n">
        <v>150</v>
      </c>
      <c r="G12" s="36" t="s">
        <v>267</v>
      </c>
      <c r="H12" s="36" t="s">
        <v>141</v>
      </c>
    </row>
    <row r="13" customFormat="false" ht="15" hidden="false" customHeight="false" outlineLevel="0" collapsed="false">
      <c r="A13" s="36" t="s">
        <v>274</v>
      </c>
      <c r="B13" s="36" t="s">
        <v>240</v>
      </c>
      <c r="C13" s="36" t="s">
        <v>249</v>
      </c>
      <c r="D13" s="36" t="s">
        <v>143</v>
      </c>
      <c r="E13" s="36" t="n">
        <v>1</v>
      </c>
      <c r="F13" s="36" t="s">
        <v>275</v>
      </c>
      <c r="G13" s="36" t="s">
        <v>243</v>
      </c>
      <c r="H13" s="36" t="s">
        <v>141</v>
      </c>
    </row>
    <row r="14" customFormat="false" ht="15" hidden="false" customHeight="false" outlineLevel="0" collapsed="false">
      <c r="A14" s="36" t="s">
        <v>276</v>
      </c>
      <c r="B14" s="36" t="s">
        <v>253</v>
      </c>
      <c r="C14" s="36" t="s">
        <v>254</v>
      </c>
      <c r="D14" s="36" t="s">
        <v>277</v>
      </c>
      <c r="E14" s="36" t="n">
        <v>3</v>
      </c>
      <c r="F14" s="36" t="n">
        <v>350</v>
      </c>
      <c r="G14" s="36" t="s">
        <v>260</v>
      </c>
      <c r="H14" s="36" t="s">
        <v>141</v>
      </c>
    </row>
    <row r="15" customFormat="false" ht="15" hidden="false" customHeight="false" outlineLevel="0" collapsed="false">
      <c r="A15" s="36" t="s">
        <v>278</v>
      </c>
      <c r="B15" s="37" t="n">
        <v>46265</v>
      </c>
      <c r="C15" s="36" t="s">
        <v>241</v>
      </c>
      <c r="D15" s="36" t="s">
        <v>235</v>
      </c>
      <c r="E15" s="36" t="n">
        <v>1</v>
      </c>
      <c r="F15" s="36" t="n">
        <v>65</v>
      </c>
      <c r="G15" s="36" t="s">
        <v>243</v>
      </c>
      <c r="H15" s="36" t="s">
        <v>141</v>
      </c>
    </row>
    <row r="16" customFormat="false" ht="15" hidden="false" customHeight="false" outlineLevel="0" collapsed="false">
      <c r="A16" s="36" t="s">
        <v>279</v>
      </c>
      <c r="B16" s="37" t="n">
        <v>46265</v>
      </c>
      <c r="C16" s="36" t="s">
        <v>254</v>
      </c>
      <c r="D16" s="36" t="s">
        <v>280</v>
      </c>
      <c r="E16" s="36" t="n">
        <v>1</v>
      </c>
      <c r="F16" s="36" t="s">
        <v>275</v>
      </c>
      <c r="G16" s="36" t="s">
        <v>260</v>
      </c>
      <c r="H16" s="36" t="s">
        <v>132</v>
      </c>
    </row>
    <row r="17" customFormat="false" ht="15" hidden="false" customHeight="false" outlineLevel="0" collapsed="false">
      <c r="A17" s="36" t="s">
        <v>281</v>
      </c>
      <c r="B17" s="37" t="n">
        <v>46265</v>
      </c>
      <c r="C17" s="36" t="s">
        <v>254</v>
      </c>
      <c r="D17" s="36" t="s">
        <v>179</v>
      </c>
      <c r="E17" s="36" t="s">
        <v>282</v>
      </c>
      <c r="F17" s="36" t="s">
        <v>283</v>
      </c>
      <c r="G17" s="36" t="s">
        <v>260</v>
      </c>
      <c r="H17" s="36" t="s">
        <v>146</v>
      </c>
    </row>
    <row r="18" customFormat="false" ht="15" hidden="false" customHeight="false" outlineLevel="0" collapsed="false">
      <c r="A18" s="36" t="s">
        <v>284</v>
      </c>
      <c r="B18" s="36" t="s">
        <v>253</v>
      </c>
      <c r="C18" s="36" t="s">
        <v>249</v>
      </c>
      <c r="D18" s="36" t="s">
        <v>285</v>
      </c>
      <c r="E18" s="36" t="n">
        <v>1</v>
      </c>
      <c r="F18" s="36" t="n">
        <v>315</v>
      </c>
      <c r="G18" s="36" t="s">
        <v>267</v>
      </c>
      <c r="H18" s="36" t="s">
        <v>247</v>
      </c>
    </row>
    <row r="19" customFormat="false" ht="15" hidden="false" customHeight="false" outlineLevel="0" collapsed="false">
      <c r="A19" s="36" t="s">
        <v>286</v>
      </c>
      <c r="B19" s="36" t="s">
        <v>240</v>
      </c>
      <c r="C19" s="36" t="s">
        <v>249</v>
      </c>
      <c r="D19" s="36" t="s">
        <v>287</v>
      </c>
      <c r="E19" s="36" t="n">
        <v>6</v>
      </c>
      <c r="F19" s="36" t="n">
        <v>380</v>
      </c>
      <c r="G19" s="36" t="s">
        <v>243</v>
      </c>
      <c r="H19" s="36" t="s">
        <v>247</v>
      </c>
    </row>
    <row r="20" customFormat="false" ht="15" hidden="false" customHeight="false" outlineLevel="0" collapsed="false">
      <c r="A20" s="36" t="s">
        <v>288</v>
      </c>
      <c r="B20" s="36" t="s">
        <v>240</v>
      </c>
      <c r="C20" s="36" t="s">
        <v>42</v>
      </c>
      <c r="D20" s="36" t="s">
        <v>202</v>
      </c>
      <c r="E20" s="36" t="n">
        <v>1</v>
      </c>
      <c r="F20" s="36" t="n">
        <v>140</v>
      </c>
      <c r="G20" s="36" t="s">
        <v>246</v>
      </c>
      <c r="H20" s="36" t="s">
        <v>141</v>
      </c>
    </row>
    <row r="21" customFormat="false" ht="15" hidden="false" customHeight="false" outlineLevel="0" collapsed="false">
      <c r="A21" s="36" t="s">
        <v>289</v>
      </c>
      <c r="B21" s="36" t="s">
        <v>240</v>
      </c>
      <c r="C21" s="36" t="s">
        <v>130</v>
      </c>
      <c r="D21" s="36" t="s">
        <v>290</v>
      </c>
      <c r="E21" s="36" t="n">
        <v>4</v>
      </c>
      <c r="F21" s="36" t="n">
        <v>36</v>
      </c>
      <c r="G21" s="36" t="s">
        <v>246</v>
      </c>
      <c r="H21" s="36" t="s">
        <v>141</v>
      </c>
    </row>
    <row r="22" customFormat="false" ht="15" hidden="false" customHeight="false" outlineLevel="0" collapsed="false">
      <c r="A22" s="36" t="s">
        <v>291</v>
      </c>
      <c r="B22" s="36" t="s">
        <v>240</v>
      </c>
      <c r="C22" s="36" t="s">
        <v>130</v>
      </c>
      <c r="D22" s="36" t="s">
        <v>155</v>
      </c>
      <c r="E22" s="36" t="n">
        <v>6</v>
      </c>
      <c r="F22" s="36" t="s">
        <v>292</v>
      </c>
      <c r="G22" s="36" t="s">
        <v>243</v>
      </c>
      <c r="H22" s="36" t="s">
        <v>247</v>
      </c>
    </row>
    <row r="23" customFormat="false" ht="15" hidden="false" customHeight="false" outlineLevel="0" collapsed="false">
      <c r="A23" s="36" t="s">
        <v>293</v>
      </c>
      <c r="B23" s="36" t="s">
        <v>240</v>
      </c>
      <c r="C23" s="36" t="s">
        <v>294</v>
      </c>
      <c r="D23" s="36" t="s">
        <v>295</v>
      </c>
      <c r="E23" s="36" t="n">
        <v>6</v>
      </c>
      <c r="F23" s="36" t="n">
        <v>150</v>
      </c>
      <c r="G23" s="36" t="s">
        <v>260</v>
      </c>
      <c r="H23" s="36" t="s">
        <v>132</v>
      </c>
    </row>
    <row r="24" customFormat="false" ht="15" hidden="false" customHeight="false" outlineLevel="0" collapsed="false">
      <c r="A24" s="36" t="s">
        <v>296</v>
      </c>
      <c r="B24" s="36" t="s">
        <v>240</v>
      </c>
      <c r="C24" s="36" t="s">
        <v>130</v>
      </c>
      <c r="D24" s="36" t="s">
        <v>297</v>
      </c>
      <c r="E24" s="36" t="n">
        <v>6</v>
      </c>
      <c r="F24" s="36" t="n">
        <v>310</v>
      </c>
      <c r="G24" s="36" t="s">
        <v>260</v>
      </c>
      <c r="H24" s="36" t="s">
        <v>132</v>
      </c>
    </row>
    <row r="25" customFormat="false" ht="15" hidden="false" customHeight="false" outlineLevel="0" collapsed="false">
      <c r="A25" s="36" t="s">
        <v>298</v>
      </c>
      <c r="B25" s="36" t="s">
        <v>240</v>
      </c>
      <c r="C25" s="36" t="s">
        <v>42</v>
      </c>
      <c r="D25" s="36" t="s">
        <v>299</v>
      </c>
      <c r="E25" s="36" t="n">
        <v>4</v>
      </c>
      <c r="F25" s="36" t="n">
        <v>60</v>
      </c>
      <c r="G25" s="36" t="s">
        <v>243</v>
      </c>
      <c r="H25" s="36" t="s">
        <v>132</v>
      </c>
    </row>
    <row r="26" customFormat="false" ht="15" hidden="false" customHeight="false" outlineLevel="0" collapsed="false">
      <c r="A26" s="36" t="s">
        <v>300</v>
      </c>
      <c r="B26" s="36" t="s">
        <v>240</v>
      </c>
      <c r="C26" s="36" t="s">
        <v>130</v>
      </c>
      <c r="D26" s="36" t="s">
        <v>301</v>
      </c>
      <c r="E26" s="36" t="n">
        <v>1</v>
      </c>
      <c r="F26" s="36" t="s">
        <v>302</v>
      </c>
      <c r="G26" s="36" t="s">
        <v>246</v>
      </c>
      <c r="H26" s="36" t="s">
        <v>146</v>
      </c>
    </row>
    <row r="27" customFormat="false" ht="15" hidden="false" customHeight="false" outlineLevel="0" collapsed="false">
      <c r="A27" s="36" t="s">
        <v>303</v>
      </c>
      <c r="B27" s="36" t="s">
        <v>253</v>
      </c>
      <c r="C27" s="36" t="s">
        <v>130</v>
      </c>
      <c r="D27" s="36" t="s">
        <v>304</v>
      </c>
      <c r="E27" s="36" t="n">
        <v>3</v>
      </c>
      <c r="F27" s="36" t="n">
        <v>190</v>
      </c>
      <c r="G27" s="36" t="s">
        <v>267</v>
      </c>
      <c r="H27" s="36" t="s">
        <v>132</v>
      </c>
    </row>
    <row r="28" customFormat="false" ht="15" hidden="false" customHeight="false" outlineLevel="0" collapsed="false">
      <c r="A28" s="36" t="s">
        <v>305</v>
      </c>
      <c r="B28" s="36" t="s">
        <v>240</v>
      </c>
      <c r="C28" s="36" t="s">
        <v>294</v>
      </c>
      <c r="D28" s="36" t="s">
        <v>170</v>
      </c>
      <c r="E28" s="36" t="n">
        <v>6</v>
      </c>
      <c r="F28" s="36" t="n">
        <v>360</v>
      </c>
      <c r="G28" s="36" t="s">
        <v>263</v>
      </c>
      <c r="H28" s="36" t="s">
        <v>306</v>
      </c>
    </row>
    <row r="29" customFormat="false" ht="15" hidden="false" customHeight="false" outlineLevel="0" collapsed="false">
      <c r="A29" s="36" t="s">
        <v>307</v>
      </c>
      <c r="B29" s="36" t="s">
        <v>240</v>
      </c>
      <c r="C29" s="36" t="s">
        <v>241</v>
      </c>
      <c r="D29" s="36" t="s">
        <v>280</v>
      </c>
      <c r="E29" s="36" t="n">
        <v>6</v>
      </c>
      <c r="F29" s="36" t="n">
        <v>330</v>
      </c>
      <c r="G29" s="36" t="s">
        <v>251</v>
      </c>
      <c r="H29" s="36" t="s">
        <v>308</v>
      </c>
    </row>
    <row r="30" customFormat="false" ht="15" hidden="false" customHeight="false" outlineLevel="0" collapsed="false">
      <c r="A30" s="36" t="s">
        <v>309</v>
      </c>
      <c r="B30" s="36" t="s">
        <v>240</v>
      </c>
      <c r="C30" s="36" t="s">
        <v>254</v>
      </c>
      <c r="D30" s="36" t="s">
        <v>310</v>
      </c>
      <c r="E30" s="36" t="n">
        <v>6</v>
      </c>
      <c r="F30" s="36" t="n">
        <v>360</v>
      </c>
      <c r="G30" s="36" t="s">
        <v>267</v>
      </c>
      <c r="H30" s="36" t="s">
        <v>131</v>
      </c>
    </row>
    <row r="31" customFormat="false" ht="15" hidden="false" customHeight="false" outlineLevel="0" collapsed="false">
      <c r="A31" s="36" t="s">
        <v>311</v>
      </c>
      <c r="B31" s="36" t="s">
        <v>253</v>
      </c>
      <c r="C31" s="36" t="s">
        <v>254</v>
      </c>
      <c r="D31" s="36" t="s">
        <v>312</v>
      </c>
      <c r="E31" s="36" t="n">
        <v>1</v>
      </c>
      <c r="F31" s="36" t="s">
        <v>313</v>
      </c>
      <c r="G31" s="36" t="s">
        <v>251</v>
      </c>
      <c r="H31" s="36" t="s">
        <v>146</v>
      </c>
    </row>
    <row r="32" customFormat="false" ht="15" hidden="false" customHeight="false" outlineLevel="0" collapsed="false">
      <c r="A32" s="36" t="s">
        <v>314</v>
      </c>
      <c r="B32" s="36" t="s">
        <v>253</v>
      </c>
      <c r="C32" s="36" t="s">
        <v>130</v>
      </c>
      <c r="D32" s="36" t="s">
        <v>315</v>
      </c>
      <c r="E32" s="36" t="n">
        <v>2</v>
      </c>
      <c r="F32" s="36" t="n">
        <v>450</v>
      </c>
      <c r="G32" s="36" t="s">
        <v>267</v>
      </c>
      <c r="H32" s="36" t="s">
        <v>146</v>
      </c>
    </row>
    <row r="33" customFormat="false" ht="15" hidden="false" customHeight="false" outlineLevel="0" collapsed="false">
      <c r="A33" s="36" t="s">
        <v>316</v>
      </c>
      <c r="B33" s="36" t="s">
        <v>253</v>
      </c>
      <c r="C33" s="36" t="s">
        <v>249</v>
      </c>
      <c r="D33" s="36" t="s">
        <v>184</v>
      </c>
      <c r="E33" s="36" t="n">
        <v>4</v>
      </c>
      <c r="F33" s="36" t="s">
        <v>317</v>
      </c>
      <c r="G33" s="36" t="s">
        <v>270</v>
      </c>
      <c r="H33" s="36" t="s">
        <v>308</v>
      </c>
    </row>
    <row r="34" customFormat="false" ht="15" hidden="false" customHeight="false" outlineLevel="0" collapsed="false">
      <c r="A34" s="36" t="s">
        <v>318</v>
      </c>
      <c r="B34" s="36" t="s">
        <v>240</v>
      </c>
      <c r="C34" s="36" t="s">
        <v>42</v>
      </c>
      <c r="D34" s="36" t="s">
        <v>172</v>
      </c>
      <c r="E34" s="36" t="n">
        <v>1</v>
      </c>
      <c r="F34" s="36" t="s">
        <v>319</v>
      </c>
      <c r="G34" s="36" t="s">
        <v>256</v>
      </c>
      <c r="H34" s="36" t="s">
        <v>141</v>
      </c>
    </row>
    <row r="35" customFormat="false" ht="15" hidden="false" customHeight="false" outlineLevel="0" collapsed="false">
      <c r="A35" s="36" t="s">
        <v>320</v>
      </c>
      <c r="B35" s="36" t="s">
        <v>240</v>
      </c>
      <c r="C35" s="36" t="s">
        <v>294</v>
      </c>
      <c r="D35" s="36" t="s">
        <v>204</v>
      </c>
      <c r="E35" s="36" t="n">
        <v>2</v>
      </c>
      <c r="F35" s="36" t="s">
        <v>255</v>
      </c>
      <c r="G35" s="36" t="s">
        <v>270</v>
      </c>
      <c r="H35" s="36" t="s">
        <v>321</v>
      </c>
    </row>
    <row r="36" customFormat="false" ht="15" hidden="false" customHeight="false" outlineLevel="0" collapsed="false">
      <c r="A36" s="36" t="s">
        <v>322</v>
      </c>
      <c r="B36" s="36" t="s">
        <v>240</v>
      </c>
      <c r="C36" s="36" t="s">
        <v>254</v>
      </c>
      <c r="D36" s="36" t="s">
        <v>222</v>
      </c>
      <c r="E36" s="36" t="n">
        <v>1</v>
      </c>
      <c r="F36" s="36" t="s">
        <v>323</v>
      </c>
      <c r="G36" s="36" t="s">
        <v>246</v>
      </c>
      <c r="H36" s="36" t="s">
        <v>141</v>
      </c>
    </row>
    <row r="37" customFormat="false" ht="15" hidden="false" customHeight="false" outlineLevel="0" collapsed="false">
      <c r="A37" s="36" t="s">
        <v>324</v>
      </c>
      <c r="B37" s="36" t="s">
        <v>240</v>
      </c>
      <c r="C37" s="36" t="s">
        <v>43</v>
      </c>
      <c r="D37" s="36" t="s">
        <v>198</v>
      </c>
      <c r="E37" s="36" t="n">
        <v>3</v>
      </c>
      <c r="F37" s="36" t="s">
        <v>325</v>
      </c>
      <c r="G37" s="36" t="s">
        <v>270</v>
      </c>
      <c r="H37" s="36" t="s">
        <v>306</v>
      </c>
    </row>
    <row r="38" customFormat="false" ht="15" hidden="false" customHeight="false" outlineLevel="0" collapsed="false">
      <c r="A38" s="36" t="s">
        <v>326</v>
      </c>
      <c r="B38" s="36" t="s">
        <v>240</v>
      </c>
      <c r="C38" s="36" t="s">
        <v>43</v>
      </c>
      <c r="D38" s="36" t="s">
        <v>327</v>
      </c>
      <c r="E38" s="36" t="n">
        <v>3</v>
      </c>
      <c r="F38" s="36" t="n">
        <v>120</v>
      </c>
      <c r="G38" s="36" t="s">
        <v>263</v>
      </c>
      <c r="H38" s="36" t="s">
        <v>141</v>
      </c>
    </row>
    <row r="39" customFormat="false" ht="15" hidden="false" customHeight="false" outlineLevel="0" collapsed="false">
      <c r="A39" s="36" t="s">
        <v>328</v>
      </c>
      <c r="B39" s="36" t="s">
        <v>253</v>
      </c>
      <c r="C39" s="36" t="s">
        <v>43</v>
      </c>
      <c r="D39" s="36" t="s">
        <v>329</v>
      </c>
      <c r="E39" s="36" t="n">
        <v>6</v>
      </c>
      <c r="F39" s="36" t="n">
        <v>450</v>
      </c>
      <c r="G39" s="36" t="s">
        <v>251</v>
      </c>
      <c r="H39" s="36" t="s">
        <v>321</v>
      </c>
    </row>
    <row r="40" customFormat="false" ht="15" hidden="false" customHeight="false" outlineLevel="0" collapsed="false">
      <c r="A40" s="36" t="s">
        <v>330</v>
      </c>
      <c r="B40" s="36" t="s">
        <v>253</v>
      </c>
      <c r="C40" s="36" t="s">
        <v>139</v>
      </c>
      <c r="D40" s="36" t="s">
        <v>189</v>
      </c>
      <c r="E40" s="36" t="n">
        <v>2</v>
      </c>
      <c r="F40" s="36" t="s">
        <v>331</v>
      </c>
      <c r="G40" s="36" t="s">
        <v>270</v>
      </c>
      <c r="H40" s="36" t="s">
        <v>132</v>
      </c>
    </row>
    <row r="41" customFormat="false" ht="15" hidden="false" customHeight="false" outlineLevel="0" collapsed="false">
      <c r="A41" s="36" t="s">
        <v>332</v>
      </c>
      <c r="B41" s="36" t="s">
        <v>240</v>
      </c>
      <c r="C41" s="36" t="s">
        <v>333</v>
      </c>
      <c r="D41" s="36" t="s">
        <v>176</v>
      </c>
      <c r="E41" s="36" t="n">
        <v>2</v>
      </c>
      <c r="F41" s="36" t="n">
        <v>81</v>
      </c>
      <c r="G41" s="36" t="s">
        <v>267</v>
      </c>
      <c r="H41" s="36" t="s">
        <v>146</v>
      </c>
    </row>
    <row r="42" customFormat="false" ht="15" hidden="false" customHeight="false" outlineLevel="0" collapsed="false">
      <c r="A42" s="36" t="s">
        <v>334</v>
      </c>
      <c r="B42" s="37" t="n">
        <v>46265</v>
      </c>
      <c r="C42" s="36" t="s">
        <v>335</v>
      </c>
      <c r="D42" s="36" t="s">
        <v>203</v>
      </c>
      <c r="E42" s="36" t="n">
        <v>4</v>
      </c>
      <c r="F42" s="36" t="s">
        <v>302</v>
      </c>
      <c r="G42" s="36" t="s">
        <v>246</v>
      </c>
      <c r="H42" s="36" t="s">
        <v>132</v>
      </c>
    </row>
    <row r="43" customFormat="false" ht="15" hidden="false" customHeight="false" outlineLevel="0" collapsed="false">
      <c r="A43" s="36" t="s">
        <v>336</v>
      </c>
      <c r="B43" s="36" t="s">
        <v>240</v>
      </c>
      <c r="C43" s="36" t="s">
        <v>335</v>
      </c>
      <c r="D43" s="36" t="s">
        <v>337</v>
      </c>
      <c r="E43" s="36" t="n">
        <v>2</v>
      </c>
      <c r="F43" s="36" t="n">
        <v>50</v>
      </c>
      <c r="G43" s="36" t="s">
        <v>263</v>
      </c>
      <c r="H43" s="36" t="s">
        <v>140</v>
      </c>
    </row>
    <row r="44" customFormat="false" ht="15" hidden="false" customHeight="false" outlineLevel="0" collapsed="false">
      <c r="A44" s="36" t="s">
        <v>338</v>
      </c>
      <c r="B44" s="36" t="s">
        <v>240</v>
      </c>
      <c r="C44" s="36" t="s">
        <v>139</v>
      </c>
      <c r="D44" s="36" t="s">
        <v>310</v>
      </c>
      <c r="E44" s="36" t="n">
        <v>1</v>
      </c>
      <c r="F44" s="36" t="s">
        <v>339</v>
      </c>
      <c r="G44" s="36" t="s">
        <v>246</v>
      </c>
      <c r="H44" s="36" t="s">
        <v>131</v>
      </c>
    </row>
    <row r="45" customFormat="false" ht="15" hidden="false" customHeight="false" outlineLevel="0" collapsed="false">
      <c r="A45" s="36" t="s">
        <v>340</v>
      </c>
      <c r="B45" s="36" t="s">
        <v>253</v>
      </c>
      <c r="C45" s="36" t="s">
        <v>139</v>
      </c>
      <c r="D45" s="36" t="s">
        <v>329</v>
      </c>
      <c r="E45" s="36" t="n">
        <v>4</v>
      </c>
      <c r="F45" s="36" t="n">
        <v>450</v>
      </c>
      <c r="G45" s="36" t="s">
        <v>251</v>
      </c>
      <c r="H45" s="36" t="s">
        <v>247</v>
      </c>
    </row>
    <row r="46" customFormat="false" ht="15" hidden="false" customHeight="false" outlineLevel="0" collapsed="false">
      <c r="A46" s="36" t="s">
        <v>341</v>
      </c>
      <c r="B46" s="36" t="s">
        <v>240</v>
      </c>
      <c r="C46" s="36" t="s">
        <v>43</v>
      </c>
      <c r="D46" s="36" t="s">
        <v>342</v>
      </c>
      <c r="E46" s="36" t="n">
        <v>3</v>
      </c>
      <c r="F46" s="36" t="s">
        <v>319</v>
      </c>
      <c r="G46" s="36" t="s">
        <v>246</v>
      </c>
      <c r="H46" s="36" t="s">
        <v>131</v>
      </c>
    </row>
    <row r="47" customFormat="false" ht="15" hidden="false" customHeight="false" outlineLevel="0" collapsed="false">
      <c r="A47" s="36" t="s">
        <v>343</v>
      </c>
      <c r="B47" s="36" t="s">
        <v>240</v>
      </c>
      <c r="C47" s="36" t="s">
        <v>43</v>
      </c>
      <c r="D47" s="36" t="s">
        <v>172</v>
      </c>
      <c r="E47" s="36" t="n">
        <v>2</v>
      </c>
      <c r="F47" s="36" t="s">
        <v>344</v>
      </c>
      <c r="G47" s="36" t="s">
        <v>260</v>
      </c>
      <c r="H47" s="36" t="s">
        <v>132</v>
      </c>
    </row>
    <row r="48" customFormat="false" ht="15" hidden="false" customHeight="false" outlineLevel="0" collapsed="false">
      <c r="A48" s="36" t="s">
        <v>345</v>
      </c>
      <c r="B48" s="36" t="s">
        <v>253</v>
      </c>
      <c r="C48" s="36" t="s">
        <v>43</v>
      </c>
      <c r="D48" s="36" t="s">
        <v>197</v>
      </c>
      <c r="E48" s="36" t="n">
        <v>1</v>
      </c>
      <c r="F48" s="36" t="n">
        <v>60</v>
      </c>
      <c r="G48" s="36" t="s">
        <v>251</v>
      </c>
      <c r="H48" s="36" t="s">
        <v>141</v>
      </c>
    </row>
    <row r="49" customFormat="false" ht="15" hidden="false" customHeight="false" outlineLevel="0" collapsed="false">
      <c r="A49" s="36" t="s">
        <v>346</v>
      </c>
      <c r="B49" s="36" t="s">
        <v>240</v>
      </c>
      <c r="C49" s="36" t="s">
        <v>43</v>
      </c>
      <c r="D49" s="36" t="s">
        <v>194</v>
      </c>
      <c r="E49" s="36" t="n">
        <v>1</v>
      </c>
      <c r="F49" s="36" t="n">
        <v>130</v>
      </c>
      <c r="G49" s="36" t="s">
        <v>267</v>
      </c>
      <c r="H49" s="36" t="s">
        <v>132</v>
      </c>
    </row>
    <row r="50" customFormat="false" ht="15" hidden="false" customHeight="false" outlineLevel="0" collapsed="false">
      <c r="A50" s="36" t="s">
        <v>347</v>
      </c>
      <c r="B50" s="36" t="s">
        <v>253</v>
      </c>
      <c r="C50" s="36" t="s">
        <v>139</v>
      </c>
      <c r="D50" s="36" t="s">
        <v>159</v>
      </c>
      <c r="E50" s="36" t="n">
        <v>2</v>
      </c>
      <c r="F50" s="36" t="s">
        <v>275</v>
      </c>
      <c r="G50" s="36" t="s">
        <v>246</v>
      </c>
      <c r="H50" s="36" t="s">
        <v>306</v>
      </c>
    </row>
    <row r="51" customFormat="false" ht="15" hidden="false" customHeight="false" outlineLevel="0" collapsed="false">
      <c r="A51" s="36" t="s">
        <v>348</v>
      </c>
      <c r="B51" s="36" t="s">
        <v>240</v>
      </c>
      <c r="C51" s="36" t="s">
        <v>335</v>
      </c>
      <c r="D51" s="36" t="s">
        <v>349</v>
      </c>
      <c r="E51" s="36" t="n">
        <v>1</v>
      </c>
      <c r="F51" s="36" t="n">
        <v>95</v>
      </c>
      <c r="G51" s="36" t="s">
        <v>246</v>
      </c>
      <c r="H51" s="36" t="s">
        <v>141</v>
      </c>
    </row>
    <row r="52" customFormat="false" ht="15" hidden="false" customHeight="false" outlineLevel="0" collapsed="false">
      <c r="A52" s="36" t="s">
        <v>350</v>
      </c>
      <c r="B52" s="36" t="s">
        <v>240</v>
      </c>
      <c r="C52" s="36" t="s">
        <v>43</v>
      </c>
      <c r="D52" s="36" t="s">
        <v>205</v>
      </c>
      <c r="E52" s="36" t="n">
        <v>1</v>
      </c>
      <c r="F52" s="36" t="n">
        <v>81</v>
      </c>
      <c r="G52" s="36" t="s">
        <v>246</v>
      </c>
      <c r="H52" s="36" t="s">
        <v>145</v>
      </c>
    </row>
    <row r="53" customFormat="false" ht="15" hidden="false" customHeight="false" outlineLevel="0" collapsed="false">
      <c r="A53" s="36" t="s">
        <v>351</v>
      </c>
      <c r="B53" s="36" t="s">
        <v>240</v>
      </c>
      <c r="C53" s="36" t="s">
        <v>43</v>
      </c>
      <c r="D53" s="36" t="s">
        <v>219</v>
      </c>
      <c r="E53" s="36" t="n">
        <v>1</v>
      </c>
      <c r="F53" s="36" t="n">
        <v>176</v>
      </c>
      <c r="G53" s="36" t="s">
        <v>256</v>
      </c>
      <c r="H53" s="36" t="s">
        <v>131</v>
      </c>
    </row>
    <row r="54" customFormat="false" ht="15" hidden="false" customHeight="false" outlineLevel="0" collapsed="false">
      <c r="A54" s="36" t="s">
        <v>352</v>
      </c>
      <c r="B54" s="36" t="s">
        <v>253</v>
      </c>
      <c r="C54" s="36" t="s">
        <v>333</v>
      </c>
      <c r="D54" s="36" t="s">
        <v>205</v>
      </c>
      <c r="E54" s="36" t="n">
        <v>1</v>
      </c>
      <c r="F54" s="36" t="s">
        <v>302</v>
      </c>
      <c r="G54" s="36" t="s">
        <v>256</v>
      </c>
      <c r="H54" s="36" t="s">
        <v>140</v>
      </c>
    </row>
    <row r="55" customFormat="false" ht="15" hidden="false" customHeight="false" outlineLevel="0" collapsed="false">
      <c r="A55" s="36" t="s">
        <v>353</v>
      </c>
      <c r="B55" s="36" t="s">
        <v>240</v>
      </c>
      <c r="C55" s="36" t="s">
        <v>43</v>
      </c>
      <c r="D55" s="36" t="s">
        <v>185</v>
      </c>
      <c r="E55" s="36" t="n">
        <v>6</v>
      </c>
      <c r="F55" s="36" t="n">
        <v>380</v>
      </c>
      <c r="G55" s="36" t="s">
        <v>263</v>
      </c>
      <c r="H55" s="36" t="s">
        <v>141</v>
      </c>
    </row>
    <row r="56" customFormat="false" ht="15" hidden="false" customHeight="false" outlineLevel="0" collapsed="false">
      <c r="A56" s="36" t="s">
        <v>354</v>
      </c>
      <c r="B56" s="36" t="s">
        <v>253</v>
      </c>
      <c r="C56" s="36" t="s">
        <v>335</v>
      </c>
      <c r="D56" s="36" t="s">
        <v>186</v>
      </c>
      <c r="E56" s="36" t="n">
        <v>1</v>
      </c>
      <c r="F56" s="36" t="n">
        <v>50</v>
      </c>
      <c r="G56" s="36" t="s">
        <v>246</v>
      </c>
      <c r="H56" s="36" t="s">
        <v>141</v>
      </c>
    </row>
    <row r="57" customFormat="false" ht="15" hidden="false" customHeight="false" outlineLevel="0" collapsed="false">
      <c r="A57" s="36" t="s">
        <v>355</v>
      </c>
      <c r="B57" s="36" t="s">
        <v>240</v>
      </c>
      <c r="C57" s="36" t="s">
        <v>139</v>
      </c>
      <c r="D57" s="36" t="s">
        <v>167</v>
      </c>
      <c r="E57" s="36" t="n">
        <v>2</v>
      </c>
      <c r="F57" s="36" t="s">
        <v>292</v>
      </c>
      <c r="G57" s="36" t="s">
        <v>263</v>
      </c>
      <c r="H57" s="36" t="s">
        <v>146</v>
      </c>
    </row>
    <row r="58" customFormat="false" ht="15" hidden="false" customHeight="false" outlineLevel="0" collapsed="false">
      <c r="A58" s="36" t="s">
        <v>356</v>
      </c>
      <c r="B58" s="36" t="s">
        <v>240</v>
      </c>
      <c r="C58" s="36" t="s">
        <v>43</v>
      </c>
      <c r="D58" s="36" t="s">
        <v>357</v>
      </c>
      <c r="E58" s="36" t="n">
        <v>2</v>
      </c>
      <c r="F58" s="36" t="s">
        <v>358</v>
      </c>
      <c r="G58" s="36" t="s">
        <v>270</v>
      </c>
      <c r="H58" s="36" t="s">
        <v>141</v>
      </c>
    </row>
    <row r="59" customFormat="false" ht="15" hidden="false" customHeight="false" outlineLevel="0" collapsed="false">
      <c r="A59" s="36" t="s">
        <v>359</v>
      </c>
      <c r="B59" s="36" t="s">
        <v>240</v>
      </c>
      <c r="C59" s="36" t="s">
        <v>43</v>
      </c>
      <c r="D59" s="36" t="s">
        <v>198</v>
      </c>
      <c r="E59" s="36" t="n">
        <v>1</v>
      </c>
      <c r="F59" s="36" t="n">
        <v>95</v>
      </c>
      <c r="G59" s="36" t="s">
        <v>263</v>
      </c>
      <c r="H59" s="36" t="s">
        <v>247</v>
      </c>
    </row>
    <row r="60" customFormat="false" ht="15" hidden="false" customHeight="false" outlineLevel="0" collapsed="false">
      <c r="A60" s="36" t="s">
        <v>360</v>
      </c>
      <c r="B60" s="36" t="s">
        <v>240</v>
      </c>
      <c r="C60" s="36" t="s">
        <v>43</v>
      </c>
      <c r="D60" s="36" t="s">
        <v>361</v>
      </c>
      <c r="E60" s="36" t="n">
        <v>2</v>
      </c>
      <c r="F60" s="36" t="n">
        <v>297</v>
      </c>
      <c r="G60" s="36" t="s">
        <v>243</v>
      </c>
      <c r="H60" s="36" t="s">
        <v>321</v>
      </c>
    </row>
    <row r="61" customFormat="false" ht="15" hidden="false" customHeight="false" outlineLevel="0" collapsed="false">
      <c r="A61" s="36" t="s">
        <v>362</v>
      </c>
      <c r="B61" s="36" t="s">
        <v>240</v>
      </c>
      <c r="C61" s="36" t="s">
        <v>43</v>
      </c>
      <c r="D61" s="36" t="s">
        <v>152</v>
      </c>
      <c r="E61" s="36" t="n">
        <v>2</v>
      </c>
      <c r="F61" s="36" t="s">
        <v>363</v>
      </c>
      <c r="G61" s="36" t="s">
        <v>246</v>
      </c>
      <c r="H61" s="36" t="s">
        <v>132</v>
      </c>
    </row>
    <row r="62" customFormat="false" ht="15" hidden="false" customHeight="false" outlineLevel="0" collapsed="false">
      <c r="A62" s="36" t="s">
        <v>364</v>
      </c>
      <c r="B62" s="36" t="s">
        <v>253</v>
      </c>
      <c r="C62" s="36" t="s">
        <v>139</v>
      </c>
      <c r="D62" s="36" t="s">
        <v>148</v>
      </c>
      <c r="E62" s="36" t="n">
        <v>2</v>
      </c>
      <c r="F62" s="36" t="n">
        <v>330</v>
      </c>
      <c r="G62" s="36" t="s">
        <v>260</v>
      </c>
      <c r="H62" s="36" t="s">
        <v>141</v>
      </c>
    </row>
    <row r="63" customFormat="false" ht="15" hidden="false" customHeight="false" outlineLevel="0" collapsed="false">
      <c r="A63" s="36" t="s">
        <v>365</v>
      </c>
      <c r="B63" s="36" t="s">
        <v>240</v>
      </c>
      <c r="C63" s="36" t="s">
        <v>335</v>
      </c>
      <c r="D63" s="36" t="s">
        <v>357</v>
      </c>
      <c r="E63" s="36" t="n">
        <v>3</v>
      </c>
      <c r="F63" s="36" t="n">
        <v>330</v>
      </c>
      <c r="G63" s="36" t="s">
        <v>251</v>
      </c>
      <c r="H63" s="36" t="s">
        <v>308</v>
      </c>
    </row>
    <row r="64" customFormat="false" ht="15" hidden="false" customHeight="false" outlineLevel="0" collapsed="false">
      <c r="A64" s="36" t="s">
        <v>366</v>
      </c>
      <c r="B64" s="36" t="s">
        <v>240</v>
      </c>
      <c r="C64" s="36" t="s">
        <v>335</v>
      </c>
      <c r="D64" s="36" t="s">
        <v>195</v>
      </c>
      <c r="E64" s="36" t="n">
        <v>4</v>
      </c>
      <c r="F64" s="36" t="n">
        <v>60</v>
      </c>
      <c r="G64" s="36" t="s">
        <v>246</v>
      </c>
      <c r="H64" s="36" t="s">
        <v>132</v>
      </c>
    </row>
    <row r="65" customFormat="false" ht="15" hidden="false" customHeight="false" outlineLevel="0" collapsed="false">
      <c r="A65" s="36" t="s">
        <v>367</v>
      </c>
      <c r="B65" s="36" t="s">
        <v>240</v>
      </c>
      <c r="C65" s="36" t="s">
        <v>368</v>
      </c>
      <c r="D65" s="36" t="s">
        <v>158</v>
      </c>
      <c r="E65" s="36" t="n">
        <v>6</v>
      </c>
      <c r="F65" s="36" t="s">
        <v>369</v>
      </c>
      <c r="G65" s="36" t="s">
        <v>263</v>
      </c>
      <c r="H65" s="36" t="s">
        <v>140</v>
      </c>
    </row>
    <row r="66" customFormat="false" ht="15" hidden="false" customHeight="false" outlineLevel="0" collapsed="false">
      <c r="A66" s="36" t="s">
        <v>370</v>
      </c>
      <c r="B66" s="36" t="s">
        <v>253</v>
      </c>
      <c r="C66" s="36" t="s">
        <v>44</v>
      </c>
      <c r="D66" s="36" t="s">
        <v>213</v>
      </c>
      <c r="E66" s="36" t="n">
        <v>4</v>
      </c>
      <c r="F66" s="36" t="n">
        <v>160</v>
      </c>
      <c r="G66" s="36" t="s">
        <v>256</v>
      </c>
      <c r="H66" s="36" t="s">
        <v>141</v>
      </c>
    </row>
    <row r="67" customFormat="false" ht="15" hidden="false" customHeight="false" outlineLevel="0" collapsed="false">
      <c r="A67" s="36" t="s">
        <v>371</v>
      </c>
      <c r="B67" s="37" t="n">
        <v>46265</v>
      </c>
      <c r="C67" s="36" t="s">
        <v>368</v>
      </c>
      <c r="D67" s="36" t="s">
        <v>280</v>
      </c>
      <c r="E67" s="36" t="n">
        <v>6</v>
      </c>
      <c r="F67" s="36" t="n">
        <v>330</v>
      </c>
      <c r="G67" s="36" t="s">
        <v>251</v>
      </c>
      <c r="H67" s="36" t="s">
        <v>132</v>
      </c>
    </row>
    <row r="68" customFormat="false" ht="15" hidden="false" customHeight="false" outlineLevel="0" collapsed="false">
      <c r="A68" s="36" t="s">
        <v>372</v>
      </c>
      <c r="B68" s="37" t="n">
        <v>46265</v>
      </c>
      <c r="C68" s="36" t="s">
        <v>144</v>
      </c>
      <c r="D68" s="36" t="s">
        <v>373</v>
      </c>
      <c r="E68" s="36" t="n">
        <v>2</v>
      </c>
      <c r="F68" s="36" t="n">
        <v>40</v>
      </c>
      <c r="G68" s="36" t="s">
        <v>267</v>
      </c>
      <c r="H68" s="36" t="s">
        <v>141</v>
      </c>
    </row>
    <row r="69" customFormat="false" ht="15" hidden="false" customHeight="false" outlineLevel="0" collapsed="false">
      <c r="A69" s="36" t="s">
        <v>374</v>
      </c>
      <c r="B69" s="36" t="s">
        <v>240</v>
      </c>
      <c r="C69" s="36" t="s">
        <v>375</v>
      </c>
      <c r="D69" s="36" t="s">
        <v>188</v>
      </c>
      <c r="E69" s="36" t="n">
        <v>4</v>
      </c>
      <c r="F69" s="36" t="n">
        <v>85</v>
      </c>
      <c r="G69" s="36" t="s">
        <v>246</v>
      </c>
      <c r="H69" s="36" t="s">
        <v>146</v>
      </c>
    </row>
    <row r="70" customFormat="false" ht="15" hidden="false" customHeight="false" outlineLevel="0" collapsed="false">
      <c r="A70" s="36" t="s">
        <v>376</v>
      </c>
      <c r="B70" s="36" t="s">
        <v>240</v>
      </c>
      <c r="C70" s="36" t="s">
        <v>144</v>
      </c>
      <c r="D70" s="36" t="s">
        <v>377</v>
      </c>
      <c r="E70" s="36" t="n">
        <v>4</v>
      </c>
      <c r="F70" s="36" t="s">
        <v>378</v>
      </c>
      <c r="G70" s="36" t="s">
        <v>246</v>
      </c>
      <c r="H70" s="36" t="s">
        <v>141</v>
      </c>
    </row>
    <row r="71" customFormat="false" ht="15" hidden="false" customHeight="false" outlineLevel="0" collapsed="false">
      <c r="A71" s="36" t="s">
        <v>379</v>
      </c>
      <c r="B71" s="36" t="s">
        <v>240</v>
      </c>
      <c r="C71" s="36" t="s">
        <v>44</v>
      </c>
      <c r="D71" s="36" t="s">
        <v>143</v>
      </c>
      <c r="E71" s="36" t="n">
        <v>6</v>
      </c>
      <c r="F71" s="36" t="s">
        <v>380</v>
      </c>
      <c r="G71" s="36" t="s">
        <v>267</v>
      </c>
      <c r="H71" s="36" t="s">
        <v>321</v>
      </c>
    </row>
    <row r="72" customFormat="false" ht="15" hidden="false" customHeight="false" outlineLevel="0" collapsed="false">
      <c r="A72" s="36" t="s">
        <v>381</v>
      </c>
      <c r="B72" s="36" t="s">
        <v>253</v>
      </c>
      <c r="C72" s="36" t="s">
        <v>375</v>
      </c>
      <c r="D72" s="36" t="s">
        <v>382</v>
      </c>
      <c r="E72" s="36" t="n">
        <v>1</v>
      </c>
      <c r="F72" s="36" t="n">
        <v>130</v>
      </c>
      <c r="G72" s="36" t="s">
        <v>260</v>
      </c>
      <c r="H72" s="36" t="s">
        <v>132</v>
      </c>
    </row>
    <row r="73" customFormat="false" ht="15" hidden="false" customHeight="false" outlineLevel="0" collapsed="false">
      <c r="A73" s="36" t="s">
        <v>383</v>
      </c>
      <c r="B73" s="36" t="s">
        <v>240</v>
      </c>
      <c r="C73" s="36" t="s">
        <v>44</v>
      </c>
      <c r="D73" s="36" t="s">
        <v>203</v>
      </c>
      <c r="E73" s="36" t="n">
        <v>2</v>
      </c>
      <c r="F73" s="36" t="s">
        <v>384</v>
      </c>
      <c r="G73" s="36" t="s">
        <v>270</v>
      </c>
      <c r="H73" s="36" t="s">
        <v>141</v>
      </c>
    </row>
    <row r="74" customFormat="false" ht="15" hidden="false" customHeight="false" outlineLevel="0" collapsed="false">
      <c r="A74" s="36" t="s">
        <v>385</v>
      </c>
      <c r="B74" s="36" t="s">
        <v>240</v>
      </c>
      <c r="C74" s="36" t="s">
        <v>144</v>
      </c>
      <c r="D74" s="36" t="s">
        <v>195</v>
      </c>
      <c r="E74" s="36" t="n">
        <v>6</v>
      </c>
      <c r="F74" s="36" t="s">
        <v>319</v>
      </c>
      <c r="G74" s="36" t="s">
        <v>270</v>
      </c>
      <c r="H74" s="36" t="s">
        <v>141</v>
      </c>
    </row>
    <row r="75" customFormat="false" ht="15" hidden="false" customHeight="false" outlineLevel="0" collapsed="false">
      <c r="A75" s="36" t="s">
        <v>386</v>
      </c>
      <c r="B75" s="36" t="s">
        <v>240</v>
      </c>
      <c r="C75" s="36" t="s">
        <v>375</v>
      </c>
      <c r="D75" s="36" t="s">
        <v>213</v>
      </c>
      <c r="E75" s="36" t="n">
        <v>3</v>
      </c>
      <c r="F75" s="36" t="s">
        <v>387</v>
      </c>
      <c r="G75" s="36" t="s">
        <v>251</v>
      </c>
      <c r="H75" s="36" t="s">
        <v>146</v>
      </c>
    </row>
    <row r="76" customFormat="false" ht="15" hidden="false" customHeight="false" outlineLevel="0" collapsed="false">
      <c r="A76" s="36" t="s">
        <v>388</v>
      </c>
      <c r="B76" s="36" t="s">
        <v>240</v>
      </c>
      <c r="C76" s="36" t="s">
        <v>44</v>
      </c>
      <c r="D76" s="36" t="s">
        <v>181</v>
      </c>
      <c r="E76" s="36" t="n">
        <v>3</v>
      </c>
      <c r="F76" s="36" t="n">
        <v>450</v>
      </c>
      <c r="G76" s="36" t="s">
        <v>251</v>
      </c>
      <c r="H76" s="36" t="s">
        <v>141</v>
      </c>
    </row>
    <row r="77" customFormat="false" ht="15" hidden="false" customHeight="false" outlineLevel="0" collapsed="false">
      <c r="A77" s="36" t="s">
        <v>389</v>
      </c>
      <c r="B77" s="36" t="s">
        <v>240</v>
      </c>
      <c r="C77" s="36" t="s">
        <v>368</v>
      </c>
      <c r="D77" s="36" t="s">
        <v>390</v>
      </c>
      <c r="E77" s="36" t="n">
        <v>2</v>
      </c>
      <c r="F77" s="36" t="n">
        <v>110</v>
      </c>
      <c r="G77" s="36" t="s">
        <v>260</v>
      </c>
      <c r="H77" s="36" t="s">
        <v>141</v>
      </c>
    </row>
    <row r="78" customFormat="false" ht="15" hidden="false" customHeight="false" outlineLevel="0" collapsed="false">
      <c r="A78" s="36" t="s">
        <v>391</v>
      </c>
      <c r="B78" s="37" t="n">
        <v>46265</v>
      </c>
      <c r="C78" s="36" t="s">
        <v>375</v>
      </c>
      <c r="D78" s="36" t="s">
        <v>188</v>
      </c>
      <c r="E78" s="36" t="n">
        <v>2</v>
      </c>
      <c r="F78" s="36" t="n">
        <v>85</v>
      </c>
      <c r="G78" s="36" t="s">
        <v>251</v>
      </c>
      <c r="H78" s="36" t="s">
        <v>308</v>
      </c>
    </row>
    <row r="79" customFormat="false" ht="15" hidden="false" customHeight="false" outlineLevel="0" collapsed="false">
      <c r="A79" s="36" t="s">
        <v>392</v>
      </c>
      <c r="B79" s="36" t="s">
        <v>253</v>
      </c>
      <c r="C79" s="36" t="s">
        <v>44</v>
      </c>
      <c r="D79" s="36" t="s">
        <v>152</v>
      </c>
      <c r="E79" s="36" t="n">
        <v>1</v>
      </c>
      <c r="F79" s="36" t="n">
        <v>36</v>
      </c>
      <c r="G79" s="36" t="s">
        <v>256</v>
      </c>
      <c r="H79" s="36" t="s">
        <v>321</v>
      </c>
    </row>
    <row r="80" customFormat="false" ht="15" hidden="false" customHeight="false" outlineLevel="0" collapsed="false">
      <c r="A80" s="36" t="s">
        <v>393</v>
      </c>
      <c r="B80" s="36" t="s">
        <v>253</v>
      </c>
      <c r="C80" s="36" t="s">
        <v>144</v>
      </c>
      <c r="D80" s="36" t="s">
        <v>342</v>
      </c>
      <c r="E80" s="36" t="n">
        <v>1</v>
      </c>
      <c r="F80" s="36" t="s">
        <v>344</v>
      </c>
      <c r="G80" s="36" t="s">
        <v>270</v>
      </c>
      <c r="H80" s="36" t="s">
        <v>321</v>
      </c>
    </row>
    <row r="81" customFormat="false" ht="15" hidden="false" customHeight="false" outlineLevel="0" collapsed="false">
      <c r="A81" s="36" t="s">
        <v>394</v>
      </c>
      <c r="B81" s="36" t="s">
        <v>240</v>
      </c>
      <c r="C81" s="36" t="s">
        <v>44</v>
      </c>
      <c r="D81" s="36" t="s">
        <v>170</v>
      </c>
      <c r="E81" s="36" t="s">
        <v>395</v>
      </c>
      <c r="F81" s="36" t="n">
        <v>360</v>
      </c>
      <c r="G81" s="36" t="s">
        <v>263</v>
      </c>
      <c r="H81" s="36" t="s">
        <v>145</v>
      </c>
    </row>
    <row r="82" customFormat="false" ht="15" hidden="false" customHeight="false" outlineLevel="0" collapsed="false">
      <c r="A82" s="36" t="s">
        <v>396</v>
      </c>
      <c r="B82" s="36" t="s">
        <v>253</v>
      </c>
      <c r="C82" s="36" t="s">
        <v>368</v>
      </c>
      <c r="D82" s="36" t="s">
        <v>397</v>
      </c>
      <c r="E82" s="36" t="n">
        <v>4</v>
      </c>
      <c r="F82" s="36" t="s">
        <v>398</v>
      </c>
      <c r="G82" s="36" t="s">
        <v>263</v>
      </c>
      <c r="H82" s="36" t="s">
        <v>247</v>
      </c>
    </row>
    <row r="83" customFormat="false" ht="15" hidden="false" customHeight="false" outlineLevel="0" collapsed="false">
      <c r="A83" s="36" t="s">
        <v>399</v>
      </c>
      <c r="B83" s="36" t="s">
        <v>253</v>
      </c>
      <c r="C83" s="36" t="s">
        <v>44</v>
      </c>
      <c r="D83" s="36" t="s">
        <v>134</v>
      </c>
      <c r="E83" s="36" t="n">
        <v>1</v>
      </c>
      <c r="F83" s="36" t="n">
        <v>190</v>
      </c>
      <c r="G83" s="36" t="s">
        <v>251</v>
      </c>
      <c r="H83" s="36" t="s">
        <v>321</v>
      </c>
    </row>
    <row r="84" customFormat="false" ht="15" hidden="false" customHeight="false" outlineLevel="0" collapsed="false">
      <c r="A84" s="36" t="s">
        <v>400</v>
      </c>
      <c r="B84" s="36" t="s">
        <v>240</v>
      </c>
      <c r="C84" s="36" t="s">
        <v>144</v>
      </c>
      <c r="D84" s="36" t="s">
        <v>401</v>
      </c>
      <c r="E84" s="36" t="n">
        <v>4</v>
      </c>
      <c r="F84" s="36" t="n">
        <v>190</v>
      </c>
      <c r="G84" s="36" t="s">
        <v>263</v>
      </c>
      <c r="H84" s="36" t="s">
        <v>146</v>
      </c>
    </row>
    <row r="85" customFormat="false" ht="15" hidden="false" customHeight="false" outlineLevel="0" collapsed="false">
      <c r="A85" s="36" t="s">
        <v>402</v>
      </c>
      <c r="B85" s="36" t="s">
        <v>240</v>
      </c>
      <c r="C85" s="36" t="s">
        <v>375</v>
      </c>
      <c r="D85" s="36" t="s">
        <v>342</v>
      </c>
      <c r="E85" s="36" t="s">
        <v>403</v>
      </c>
      <c r="F85" s="36" t="n">
        <v>60</v>
      </c>
      <c r="G85" s="36" t="s">
        <v>246</v>
      </c>
      <c r="H85" s="36" t="s">
        <v>321</v>
      </c>
    </row>
    <row r="86" customFormat="false" ht="15" hidden="false" customHeight="false" outlineLevel="0" collapsed="false">
      <c r="A86" s="36" t="s">
        <v>404</v>
      </c>
      <c r="B86" s="36" t="s">
        <v>240</v>
      </c>
      <c r="C86" s="36" t="s">
        <v>44</v>
      </c>
      <c r="D86" s="36" t="s">
        <v>405</v>
      </c>
      <c r="E86" s="36" t="n">
        <v>2</v>
      </c>
      <c r="F86" s="36" t="n">
        <v>330</v>
      </c>
      <c r="G86" s="36" t="s">
        <v>246</v>
      </c>
      <c r="H86" s="36" t="s">
        <v>132</v>
      </c>
    </row>
    <row r="87" customFormat="false" ht="15" hidden="false" customHeight="false" outlineLevel="0" collapsed="false">
      <c r="A87" s="36" t="s">
        <v>406</v>
      </c>
      <c r="B87" s="36" t="s">
        <v>253</v>
      </c>
      <c r="C87" s="36" t="s">
        <v>44</v>
      </c>
      <c r="D87" s="36" t="s">
        <v>160</v>
      </c>
      <c r="E87" s="36" t="s">
        <v>403</v>
      </c>
      <c r="F87" s="36" t="n">
        <v>120</v>
      </c>
      <c r="G87" s="36" t="s">
        <v>263</v>
      </c>
      <c r="H87" s="36" t="s">
        <v>141</v>
      </c>
    </row>
    <row r="88" customFormat="false" ht="15" hidden="false" customHeight="false" outlineLevel="0" collapsed="false">
      <c r="A88" s="36" t="s">
        <v>407</v>
      </c>
      <c r="B88" s="36" t="s">
        <v>253</v>
      </c>
      <c r="C88" s="36" t="s">
        <v>45</v>
      </c>
      <c r="D88" s="36" t="s">
        <v>408</v>
      </c>
      <c r="E88" s="36" t="n">
        <v>4</v>
      </c>
      <c r="F88" s="36" t="n">
        <v>50</v>
      </c>
      <c r="G88" s="36" t="s">
        <v>260</v>
      </c>
      <c r="H88" s="36" t="s">
        <v>146</v>
      </c>
    </row>
    <row r="89" customFormat="false" ht="15" hidden="false" customHeight="false" outlineLevel="0" collapsed="false">
      <c r="A89" s="36" t="s">
        <v>409</v>
      </c>
      <c r="B89" s="36" t="s">
        <v>253</v>
      </c>
      <c r="C89" s="36" t="s">
        <v>153</v>
      </c>
      <c r="D89" s="36" t="s">
        <v>410</v>
      </c>
      <c r="E89" s="36" t="n">
        <v>2</v>
      </c>
      <c r="F89" s="36" t="s">
        <v>411</v>
      </c>
      <c r="G89" s="36" t="s">
        <v>243</v>
      </c>
      <c r="H89" s="36" t="s">
        <v>141</v>
      </c>
    </row>
    <row r="90" customFormat="false" ht="15" hidden="false" customHeight="false" outlineLevel="0" collapsed="false">
      <c r="A90" s="36" t="s">
        <v>412</v>
      </c>
      <c r="B90" s="36" t="s">
        <v>240</v>
      </c>
      <c r="C90" s="36" t="s">
        <v>45</v>
      </c>
      <c r="D90" s="36" t="s">
        <v>158</v>
      </c>
      <c r="E90" s="36" t="n">
        <v>2</v>
      </c>
      <c r="F90" s="36" t="s">
        <v>413</v>
      </c>
      <c r="G90" s="36" t="s">
        <v>251</v>
      </c>
      <c r="H90" s="36" t="s">
        <v>306</v>
      </c>
    </row>
    <row r="91" customFormat="false" ht="15" hidden="false" customHeight="false" outlineLevel="0" collapsed="false">
      <c r="A91" s="36" t="s">
        <v>414</v>
      </c>
      <c r="B91" s="36" t="s">
        <v>240</v>
      </c>
      <c r="C91" s="36" t="s">
        <v>45</v>
      </c>
      <c r="D91" s="36" t="s">
        <v>415</v>
      </c>
      <c r="E91" s="36" t="n">
        <v>1</v>
      </c>
      <c r="F91" s="36" t="n">
        <v>50</v>
      </c>
      <c r="G91" s="36" t="s">
        <v>256</v>
      </c>
      <c r="H91" s="36" t="s">
        <v>321</v>
      </c>
    </row>
    <row r="92" customFormat="false" ht="15" hidden="false" customHeight="false" outlineLevel="0" collapsed="false">
      <c r="A92" s="36" t="s">
        <v>416</v>
      </c>
      <c r="B92" s="36" t="s">
        <v>253</v>
      </c>
      <c r="C92" s="36" t="s">
        <v>417</v>
      </c>
      <c r="D92" s="36" t="s">
        <v>280</v>
      </c>
      <c r="E92" s="36" t="n">
        <v>6</v>
      </c>
      <c r="F92" s="36" t="s">
        <v>275</v>
      </c>
      <c r="G92" s="36" t="s">
        <v>270</v>
      </c>
      <c r="H92" s="36" t="s">
        <v>131</v>
      </c>
    </row>
    <row r="93" customFormat="false" ht="15" hidden="false" customHeight="false" outlineLevel="0" collapsed="false">
      <c r="A93" s="36" t="s">
        <v>418</v>
      </c>
      <c r="B93" s="36" t="s">
        <v>253</v>
      </c>
      <c r="C93" s="36" t="s">
        <v>419</v>
      </c>
      <c r="D93" s="36" t="s">
        <v>194</v>
      </c>
      <c r="E93" s="36" t="n">
        <v>1</v>
      </c>
      <c r="F93" s="36" t="s">
        <v>420</v>
      </c>
      <c r="G93" s="36" t="s">
        <v>260</v>
      </c>
      <c r="H93" s="36" t="s">
        <v>131</v>
      </c>
    </row>
    <row r="94" customFormat="false" ht="15" hidden="false" customHeight="false" outlineLevel="0" collapsed="false">
      <c r="A94" s="36" t="s">
        <v>421</v>
      </c>
      <c r="B94" s="36" t="s">
        <v>253</v>
      </c>
      <c r="C94" s="36" t="s">
        <v>153</v>
      </c>
      <c r="D94" s="36" t="s">
        <v>218</v>
      </c>
      <c r="E94" s="36" t="n">
        <v>1</v>
      </c>
      <c r="F94" s="36" t="s">
        <v>422</v>
      </c>
      <c r="G94" s="36" t="s">
        <v>251</v>
      </c>
      <c r="H94" s="36" t="s">
        <v>247</v>
      </c>
    </row>
    <row r="95" customFormat="false" ht="15" hidden="false" customHeight="false" outlineLevel="0" collapsed="false">
      <c r="A95" s="36" t="s">
        <v>423</v>
      </c>
      <c r="B95" s="36" t="s">
        <v>240</v>
      </c>
      <c r="C95" s="36" t="s">
        <v>45</v>
      </c>
      <c r="D95" s="36" t="s">
        <v>297</v>
      </c>
      <c r="E95" s="36" t="n">
        <v>1</v>
      </c>
      <c r="F95" s="36" t="n">
        <v>310</v>
      </c>
      <c r="G95" s="36" t="s">
        <v>251</v>
      </c>
      <c r="H95" s="36" t="s">
        <v>141</v>
      </c>
    </row>
    <row r="96" customFormat="false" ht="15" hidden="false" customHeight="false" outlineLevel="0" collapsed="false">
      <c r="A96" s="36" t="s">
        <v>424</v>
      </c>
      <c r="B96" s="36" t="s">
        <v>253</v>
      </c>
      <c r="C96" s="36" t="s">
        <v>419</v>
      </c>
      <c r="D96" s="36" t="s">
        <v>172</v>
      </c>
      <c r="E96" s="36" t="n">
        <v>4</v>
      </c>
      <c r="F96" s="36" t="n">
        <v>60</v>
      </c>
      <c r="G96" s="36" t="s">
        <v>263</v>
      </c>
      <c r="H96" s="36" t="s">
        <v>141</v>
      </c>
    </row>
    <row r="97" customFormat="false" ht="15" hidden="false" customHeight="false" outlineLevel="0" collapsed="false">
      <c r="A97" s="36" t="s">
        <v>425</v>
      </c>
      <c r="B97" s="36" t="s">
        <v>240</v>
      </c>
      <c r="C97" s="36" t="s">
        <v>419</v>
      </c>
      <c r="D97" s="36" t="s">
        <v>184</v>
      </c>
      <c r="E97" s="36" t="n">
        <v>2</v>
      </c>
      <c r="F97" s="36" t="n">
        <v>160</v>
      </c>
      <c r="G97" s="36" t="s">
        <v>251</v>
      </c>
      <c r="H97" s="36" t="s">
        <v>247</v>
      </c>
    </row>
    <row r="98" customFormat="false" ht="15" hidden="false" customHeight="false" outlineLevel="0" collapsed="false">
      <c r="A98" s="36" t="s">
        <v>426</v>
      </c>
      <c r="B98" s="36" t="s">
        <v>240</v>
      </c>
      <c r="C98" s="36" t="s">
        <v>45</v>
      </c>
      <c r="D98" s="36" t="s">
        <v>235</v>
      </c>
      <c r="E98" s="36" t="n">
        <v>3</v>
      </c>
      <c r="F98" s="36" t="s">
        <v>369</v>
      </c>
      <c r="G98" s="36" t="s">
        <v>256</v>
      </c>
      <c r="H98" s="36" t="s">
        <v>321</v>
      </c>
    </row>
    <row r="99" customFormat="false" ht="15" hidden="false" customHeight="false" outlineLevel="0" collapsed="false">
      <c r="A99" s="36" t="s">
        <v>427</v>
      </c>
      <c r="B99" s="36" t="s">
        <v>253</v>
      </c>
      <c r="C99" s="36" t="s">
        <v>417</v>
      </c>
      <c r="D99" s="36" t="s">
        <v>258</v>
      </c>
      <c r="E99" s="36" t="n">
        <v>6</v>
      </c>
      <c r="F99" s="36" t="n">
        <v>420</v>
      </c>
      <c r="G99" s="36" t="s">
        <v>243</v>
      </c>
      <c r="H99" s="36" t="s">
        <v>247</v>
      </c>
    </row>
    <row r="100" customFormat="false" ht="15" hidden="false" customHeight="false" outlineLevel="0" collapsed="false">
      <c r="A100" s="36" t="s">
        <v>428</v>
      </c>
      <c r="B100" s="36" t="s">
        <v>240</v>
      </c>
      <c r="C100" s="36" t="s">
        <v>153</v>
      </c>
      <c r="D100" s="36" t="s">
        <v>382</v>
      </c>
      <c r="E100" s="36" t="n">
        <v>1</v>
      </c>
      <c r="F100" s="36" t="s">
        <v>420</v>
      </c>
      <c r="G100" s="36" t="s">
        <v>263</v>
      </c>
      <c r="H100" s="36" t="s">
        <v>141</v>
      </c>
    </row>
    <row r="101" customFormat="false" ht="15" hidden="false" customHeight="false" outlineLevel="0" collapsed="false">
      <c r="A101" s="36" t="s">
        <v>429</v>
      </c>
      <c r="B101" s="36" t="s">
        <v>240</v>
      </c>
      <c r="C101" s="36" t="s">
        <v>153</v>
      </c>
      <c r="D101" s="36" t="s">
        <v>234</v>
      </c>
      <c r="E101" s="36" t="n">
        <v>3</v>
      </c>
      <c r="F101" s="36" t="n">
        <v>130</v>
      </c>
      <c r="G101" s="36" t="s">
        <v>267</v>
      </c>
      <c r="H101" s="36" t="s">
        <v>132</v>
      </c>
    </row>
    <row r="102" customFormat="false" ht="15" hidden="false" customHeight="false" outlineLevel="0" collapsed="false">
      <c r="A102" s="36" t="s">
        <v>430</v>
      </c>
      <c r="B102" s="36" t="s">
        <v>253</v>
      </c>
      <c r="C102" s="36" t="s">
        <v>419</v>
      </c>
      <c r="D102" s="36" t="s">
        <v>194</v>
      </c>
      <c r="E102" s="36" t="n">
        <v>3</v>
      </c>
      <c r="F102" s="36" t="n">
        <v>130</v>
      </c>
      <c r="G102" s="36" t="s">
        <v>251</v>
      </c>
      <c r="H102" s="36" t="s">
        <v>145</v>
      </c>
    </row>
    <row r="103" customFormat="false" ht="15" hidden="false" customHeight="false" outlineLevel="0" collapsed="false">
      <c r="A103" s="36" t="s">
        <v>431</v>
      </c>
      <c r="B103" s="36" t="s">
        <v>240</v>
      </c>
      <c r="C103" s="36" t="s">
        <v>45</v>
      </c>
      <c r="D103" s="36" t="s">
        <v>151</v>
      </c>
      <c r="E103" s="36" t="n">
        <v>2</v>
      </c>
      <c r="F103" s="36" t="s">
        <v>275</v>
      </c>
      <c r="G103" s="36" t="s">
        <v>246</v>
      </c>
      <c r="H103" s="36" t="s">
        <v>146</v>
      </c>
    </row>
    <row r="104" customFormat="false" ht="15" hidden="false" customHeight="false" outlineLevel="0" collapsed="false">
      <c r="A104" s="36" t="s">
        <v>432</v>
      </c>
      <c r="B104" s="36" t="s">
        <v>253</v>
      </c>
      <c r="C104" s="36" t="s">
        <v>153</v>
      </c>
      <c r="D104" s="36" t="s">
        <v>148</v>
      </c>
      <c r="E104" s="36" t="n">
        <v>2</v>
      </c>
      <c r="F104" s="36" t="s">
        <v>380</v>
      </c>
      <c r="G104" s="36" t="s">
        <v>263</v>
      </c>
      <c r="H104" s="36" t="s">
        <v>141</v>
      </c>
    </row>
    <row r="105" customFormat="false" ht="15" hidden="false" customHeight="false" outlineLevel="0" collapsed="false">
      <c r="A105" s="36" t="s">
        <v>433</v>
      </c>
      <c r="B105" s="36" t="s">
        <v>240</v>
      </c>
      <c r="C105" s="36" t="s">
        <v>153</v>
      </c>
      <c r="D105" s="36" t="s">
        <v>280</v>
      </c>
      <c r="E105" s="36" t="n">
        <v>6</v>
      </c>
      <c r="F105" s="36" t="n">
        <v>330</v>
      </c>
      <c r="G105" s="36" t="s">
        <v>270</v>
      </c>
      <c r="H105" s="36" t="s">
        <v>141</v>
      </c>
    </row>
    <row r="106" customFormat="false" ht="15" hidden="false" customHeight="false" outlineLevel="0" collapsed="false">
      <c r="A106" s="36" t="s">
        <v>434</v>
      </c>
      <c r="B106" s="36" t="s">
        <v>253</v>
      </c>
      <c r="C106" s="36" t="s">
        <v>417</v>
      </c>
      <c r="D106" s="36" t="s">
        <v>435</v>
      </c>
      <c r="E106" s="36" t="n">
        <v>1</v>
      </c>
      <c r="F106" s="36" t="n">
        <v>65</v>
      </c>
      <c r="G106" s="36" t="s">
        <v>246</v>
      </c>
      <c r="H106" s="36" t="s">
        <v>306</v>
      </c>
    </row>
    <row r="107" customFormat="false" ht="15" hidden="false" customHeight="false" outlineLevel="0" collapsed="false">
      <c r="A107" s="36" t="s">
        <v>436</v>
      </c>
      <c r="B107" s="36" t="s">
        <v>240</v>
      </c>
      <c r="C107" s="36" t="s">
        <v>46</v>
      </c>
      <c r="D107" s="36" t="s">
        <v>437</v>
      </c>
      <c r="E107" s="36" t="n">
        <v>3</v>
      </c>
      <c r="F107" s="36" t="s">
        <v>275</v>
      </c>
      <c r="G107" s="36" t="s">
        <v>243</v>
      </c>
      <c r="H107" s="36" t="s">
        <v>146</v>
      </c>
    </row>
    <row r="108" customFormat="false" ht="15" hidden="false" customHeight="false" outlineLevel="0" collapsed="false">
      <c r="A108" s="36" t="s">
        <v>438</v>
      </c>
      <c r="B108" s="36" t="s">
        <v>439</v>
      </c>
      <c r="C108" s="36" t="s">
        <v>419</v>
      </c>
      <c r="D108" s="36" t="s">
        <v>440</v>
      </c>
      <c r="E108" s="36" t="n">
        <v>1</v>
      </c>
      <c r="F108" s="36" t="n">
        <v>380</v>
      </c>
      <c r="G108" s="36" t="s">
        <v>270</v>
      </c>
      <c r="H108" s="36" t="s">
        <v>141</v>
      </c>
    </row>
    <row r="109" customFormat="false" ht="15" hidden="false" customHeight="false" outlineLevel="0" collapsed="false">
      <c r="A109" s="36" t="s">
        <v>441</v>
      </c>
      <c r="B109" s="36" t="s">
        <v>253</v>
      </c>
      <c r="C109" s="36" t="s">
        <v>442</v>
      </c>
      <c r="D109" s="36" t="s">
        <v>196</v>
      </c>
      <c r="E109" s="36" t="n">
        <v>6</v>
      </c>
      <c r="F109" s="36" t="s">
        <v>443</v>
      </c>
      <c r="G109" s="36" t="s">
        <v>260</v>
      </c>
      <c r="H109" s="36" t="s">
        <v>132</v>
      </c>
    </row>
    <row r="110" customFormat="false" ht="15" hidden="false" customHeight="false" outlineLevel="0" collapsed="false">
      <c r="A110" s="36" t="s">
        <v>444</v>
      </c>
      <c r="B110" s="36" t="s">
        <v>240</v>
      </c>
      <c r="C110" s="36" t="s">
        <v>442</v>
      </c>
      <c r="D110" s="36" t="s">
        <v>445</v>
      </c>
      <c r="E110" s="36" t="n">
        <v>1</v>
      </c>
      <c r="F110" s="36" t="n">
        <v>380</v>
      </c>
      <c r="G110" s="36" t="s">
        <v>267</v>
      </c>
      <c r="H110" s="36" t="s">
        <v>321</v>
      </c>
    </row>
    <row r="111" customFormat="false" ht="15" hidden="false" customHeight="false" outlineLevel="0" collapsed="false">
      <c r="A111" s="36" t="s">
        <v>446</v>
      </c>
      <c r="B111" s="37" t="n">
        <v>46265</v>
      </c>
      <c r="C111" s="36" t="s">
        <v>46</v>
      </c>
      <c r="D111" s="36" t="s">
        <v>159</v>
      </c>
      <c r="E111" s="36" t="n">
        <v>1</v>
      </c>
      <c r="F111" s="36" t="s">
        <v>380</v>
      </c>
      <c r="G111" s="36" t="s">
        <v>263</v>
      </c>
      <c r="H111" s="36" t="s">
        <v>132</v>
      </c>
    </row>
    <row r="112" customFormat="false" ht="15" hidden="false" customHeight="false" outlineLevel="0" collapsed="false">
      <c r="A112" s="36" t="s">
        <v>447</v>
      </c>
      <c r="B112" s="37" t="n">
        <v>46265</v>
      </c>
      <c r="C112" s="36" t="s">
        <v>448</v>
      </c>
      <c r="D112" s="36" t="s">
        <v>230</v>
      </c>
      <c r="E112" s="36" t="n">
        <v>2</v>
      </c>
      <c r="F112" s="36" t="n">
        <v>80</v>
      </c>
      <c r="G112" s="36" t="s">
        <v>256</v>
      </c>
      <c r="H112" s="36" t="s">
        <v>247</v>
      </c>
    </row>
    <row r="113" customFormat="false" ht="15" hidden="false" customHeight="false" outlineLevel="0" collapsed="false">
      <c r="A113" s="36" t="s">
        <v>449</v>
      </c>
      <c r="B113" s="36" t="s">
        <v>240</v>
      </c>
      <c r="C113" s="36" t="s">
        <v>156</v>
      </c>
      <c r="D113" s="36" t="s">
        <v>190</v>
      </c>
      <c r="E113" s="36" t="n">
        <v>1</v>
      </c>
      <c r="F113" s="36" t="s">
        <v>272</v>
      </c>
      <c r="G113" s="36" t="s">
        <v>246</v>
      </c>
      <c r="H113" s="36" t="s">
        <v>141</v>
      </c>
    </row>
    <row r="114" customFormat="false" ht="15" hidden="false" customHeight="false" outlineLevel="0" collapsed="false">
      <c r="A114" s="36" t="s">
        <v>450</v>
      </c>
      <c r="B114" s="36" t="s">
        <v>240</v>
      </c>
      <c r="C114" s="36" t="s">
        <v>46</v>
      </c>
      <c r="D114" s="36" t="s">
        <v>184</v>
      </c>
      <c r="E114" s="36" t="n">
        <v>2</v>
      </c>
      <c r="F114" s="36" t="n">
        <v>160</v>
      </c>
      <c r="G114" s="36" t="s">
        <v>267</v>
      </c>
      <c r="H114" s="36" t="s">
        <v>308</v>
      </c>
    </row>
    <row r="115" customFormat="false" ht="15" hidden="false" customHeight="false" outlineLevel="0" collapsed="false">
      <c r="A115" s="36" t="s">
        <v>451</v>
      </c>
      <c r="B115" s="36" t="s">
        <v>240</v>
      </c>
      <c r="C115" s="36" t="s">
        <v>442</v>
      </c>
      <c r="D115" s="36" t="s">
        <v>168</v>
      </c>
      <c r="E115" s="36" t="n">
        <v>3</v>
      </c>
      <c r="F115" s="36" t="s">
        <v>331</v>
      </c>
      <c r="G115" s="36" t="s">
        <v>251</v>
      </c>
      <c r="H115" s="36" t="s">
        <v>140</v>
      </c>
    </row>
    <row r="116" customFormat="false" ht="15" hidden="false" customHeight="false" outlineLevel="0" collapsed="false">
      <c r="A116" s="36" t="s">
        <v>452</v>
      </c>
      <c r="B116" s="36" t="s">
        <v>253</v>
      </c>
      <c r="C116" s="36" t="s">
        <v>156</v>
      </c>
      <c r="D116" s="36" t="s">
        <v>178</v>
      </c>
      <c r="E116" s="36" t="n">
        <v>-3</v>
      </c>
      <c r="F116" s="36" t="s">
        <v>378</v>
      </c>
      <c r="G116" s="36" t="s">
        <v>246</v>
      </c>
      <c r="H116" s="36" t="s">
        <v>140</v>
      </c>
    </row>
    <row r="117" customFormat="false" ht="15" hidden="false" customHeight="false" outlineLevel="0" collapsed="false">
      <c r="A117" s="36" t="s">
        <v>453</v>
      </c>
      <c r="B117" s="36" t="s">
        <v>240</v>
      </c>
      <c r="C117" s="36" t="s">
        <v>46</v>
      </c>
      <c r="D117" s="36" t="s">
        <v>222</v>
      </c>
      <c r="E117" s="36" t="n">
        <v>1</v>
      </c>
      <c r="F117" s="36" t="n">
        <v>420</v>
      </c>
      <c r="G117" s="36" t="s">
        <v>263</v>
      </c>
      <c r="H117" s="36" t="s">
        <v>140</v>
      </c>
    </row>
    <row r="118" customFormat="false" ht="15" hidden="false" customHeight="false" outlineLevel="0" collapsed="false">
      <c r="A118" s="36" t="s">
        <v>454</v>
      </c>
      <c r="B118" s="36" t="s">
        <v>240</v>
      </c>
      <c r="C118" s="36" t="s">
        <v>156</v>
      </c>
      <c r="D118" s="36" t="s">
        <v>405</v>
      </c>
      <c r="E118" s="36" t="n">
        <v>6</v>
      </c>
      <c r="F118" s="36" t="n">
        <v>330</v>
      </c>
      <c r="G118" s="36" t="s">
        <v>260</v>
      </c>
      <c r="H118" s="36" t="s">
        <v>146</v>
      </c>
    </row>
    <row r="119" customFormat="false" ht="15" hidden="false" customHeight="false" outlineLevel="0" collapsed="false">
      <c r="A119" s="36" t="s">
        <v>455</v>
      </c>
      <c r="B119" s="36" t="s">
        <v>253</v>
      </c>
      <c r="C119" s="36" t="s">
        <v>46</v>
      </c>
      <c r="D119" s="36" t="s">
        <v>187</v>
      </c>
      <c r="E119" s="36" t="n">
        <v>4</v>
      </c>
      <c r="F119" s="36" t="n">
        <v>150</v>
      </c>
      <c r="G119" s="36" t="s">
        <v>251</v>
      </c>
      <c r="H119" s="36" t="s">
        <v>306</v>
      </c>
    </row>
    <row r="120" customFormat="false" ht="15" hidden="false" customHeight="false" outlineLevel="0" collapsed="false">
      <c r="A120" s="36" t="s">
        <v>456</v>
      </c>
      <c r="B120" s="36" t="s">
        <v>240</v>
      </c>
      <c r="C120" s="36" t="s">
        <v>46</v>
      </c>
      <c r="D120" s="36" t="s">
        <v>397</v>
      </c>
      <c r="E120" s="36" t="n">
        <v>1</v>
      </c>
      <c r="F120" s="36" t="s">
        <v>457</v>
      </c>
      <c r="G120" s="36" t="s">
        <v>251</v>
      </c>
      <c r="H120" s="36" t="s">
        <v>146</v>
      </c>
    </row>
    <row r="121" customFormat="false" ht="15" hidden="false" customHeight="false" outlineLevel="0" collapsed="false">
      <c r="A121" s="36" t="s">
        <v>458</v>
      </c>
      <c r="B121" s="36" t="s">
        <v>253</v>
      </c>
      <c r="C121" s="36" t="s">
        <v>46</v>
      </c>
      <c r="D121" s="36" t="s">
        <v>285</v>
      </c>
      <c r="E121" s="36" t="n">
        <v>1</v>
      </c>
      <c r="F121" s="36" t="s">
        <v>443</v>
      </c>
      <c r="G121" s="36" t="s">
        <v>256</v>
      </c>
      <c r="H121" s="36" t="s">
        <v>140</v>
      </c>
    </row>
    <row r="122" customFormat="false" ht="15" hidden="false" customHeight="false" outlineLevel="0" collapsed="false">
      <c r="A122" s="36" t="s">
        <v>459</v>
      </c>
      <c r="B122" s="36" t="s">
        <v>240</v>
      </c>
      <c r="C122" s="36" t="s">
        <v>156</v>
      </c>
      <c r="D122" s="36" t="s">
        <v>155</v>
      </c>
      <c r="E122" s="36" t="n">
        <v>6</v>
      </c>
      <c r="F122" s="36" t="s">
        <v>245</v>
      </c>
      <c r="G122" s="36" t="s">
        <v>256</v>
      </c>
      <c r="H122" s="36" t="s">
        <v>146</v>
      </c>
    </row>
    <row r="123" customFormat="false" ht="15" hidden="false" customHeight="false" outlineLevel="0" collapsed="false">
      <c r="A123" s="36" t="s">
        <v>460</v>
      </c>
      <c r="B123" s="37" t="n">
        <v>46265</v>
      </c>
      <c r="C123" s="36" t="s">
        <v>46</v>
      </c>
      <c r="D123" s="36" t="s">
        <v>461</v>
      </c>
      <c r="E123" s="36" t="n">
        <v>2</v>
      </c>
      <c r="F123" s="36" t="n">
        <v>210</v>
      </c>
      <c r="G123" s="36" t="s">
        <v>251</v>
      </c>
      <c r="H123" s="36" t="s">
        <v>132</v>
      </c>
    </row>
    <row r="124" customFormat="false" ht="15" hidden="false" customHeight="false" outlineLevel="0" collapsed="false">
      <c r="A124" s="36" t="s">
        <v>462</v>
      </c>
      <c r="B124" s="36" t="s">
        <v>253</v>
      </c>
      <c r="C124" s="36" t="s">
        <v>46</v>
      </c>
      <c r="D124" s="36" t="s">
        <v>342</v>
      </c>
      <c r="E124" s="36" t="n">
        <v>6</v>
      </c>
      <c r="F124" s="36" t="s">
        <v>319</v>
      </c>
      <c r="G124" s="36" t="s">
        <v>260</v>
      </c>
      <c r="H124" s="36" t="s">
        <v>132</v>
      </c>
    </row>
    <row r="125" customFormat="false" ht="15" hidden="false" customHeight="false" outlineLevel="0" collapsed="false">
      <c r="A125" s="36" t="s">
        <v>463</v>
      </c>
      <c r="B125" s="36" t="s">
        <v>240</v>
      </c>
      <c r="C125" s="36" t="s">
        <v>46</v>
      </c>
      <c r="D125" s="36" t="s">
        <v>159</v>
      </c>
      <c r="E125" s="36" t="n">
        <v>2</v>
      </c>
      <c r="F125" s="36" t="n">
        <v>330</v>
      </c>
      <c r="G125" s="36" t="s">
        <v>270</v>
      </c>
      <c r="H125" s="36" t="s">
        <v>141</v>
      </c>
    </row>
    <row r="126" customFormat="false" ht="15" hidden="false" customHeight="false" outlineLevel="0" collapsed="false">
      <c r="A126" s="36" t="s">
        <v>464</v>
      </c>
      <c r="B126" s="36" t="s">
        <v>240</v>
      </c>
      <c r="C126" s="36" t="s">
        <v>46</v>
      </c>
      <c r="D126" s="36" t="s">
        <v>329</v>
      </c>
      <c r="E126" s="36" t="n">
        <v>3</v>
      </c>
      <c r="F126" s="36" t="n">
        <v>450</v>
      </c>
      <c r="G126" s="36" t="s">
        <v>260</v>
      </c>
      <c r="H126" s="36" t="s">
        <v>141</v>
      </c>
    </row>
    <row r="127" customFormat="false" ht="15" hidden="false" customHeight="false" outlineLevel="0" collapsed="false">
      <c r="A127" s="36" t="s">
        <v>465</v>
      </c>
      <c r="B127" s="36" t="s">
        <v>240</v>
      </c>
      <c r="C127" s="36" t="s">
        <v>442</v>
      </c>
      <c r="D127" s="36" t="s">
        <v>217</v>
      </c>
      <c r="E127" s="36" t="n">
        <v>1</v>
      </c>
      <c r="F127" s="36" t="s">
        <v>466</v>
      </c>
      <c r="G127" s="36" t="s">
        <v>270</v>
      </c>
      <c r="H127" s="36" t="s">
        <v>321</v>
      </c>
    </row>
    <row r="128" customFormat="false" ht="15" hidden="false" customHeight="false" outlineLevel="0" collapsed="false">
      <c r="A128" s="36" t="s">
        <v>467</v>
      </c>
      <c r="B128" s="37" t="n">
        <v>46266</v>
      </c>
      <c r="C128" s="36" t="s">
        <v>130</v>
      </c>
      <c r="D128" s="36" t="s">
        <v>158</v>
      </c>
      <c r="E128" s="36" t="n">
        <v>1</v>
      </c>
      <c r="F128" s="36" t="s">
        <v>369</v>
      </c>
      <c r="G128" s="36" t="s">
        <v>260</v>
      </c>
      <c r="H128" s="36" t="s">
        <v>141</v>
      </c>
    </row>
    <row r="129" customFormat="false" ht="15" hidden="false" customHeight="false" outlineLevel="0" collapsed="false">
      <c r="A129" s="36" t="s">
        <v>468</v>
      </c>
      <c r="B129" s="36" t="s">
        <v>469</v>
      </c>
      <c r="C129" s="36" t="s">
        <v>254</v>
      </c>
      <c r="D129" s="36" t="s">
        <v>280</v>
      </c>
      <c r="E129" s="36" t="n">
        <v>2</v>
      </c>
      <c r="F129" s="36" t="n">
        <v>330</v>
      </c>
      <c r="G129" s="36" t="s">
        <v>251</v>
      </c>
      <c r="H129" s="36" t="s">
        <v>131</v>
      </c>
    </row>
    <row r="130" customFormat="false" ht="15" hidden="false" customHeight="false" outlineLevel="0" collapsed="false">
      <c r="A130" s="36" t="s">
        <v>470</v>
      </c>
      <c r="B130" s="36" t="s">
        <v>469</v>
      </c>
      <c r="C130" s="36" t="s">
        <v>254</v>
      </c>
      <c r="D130" s="36" t="s">
        <v>471</v>
      </c>
      <c r="E130" s="36" t="n">
        <v>4</v>
      </c>
      <c r="F130" s="36" t="n">
        <v>120</v>
      </c>
      <c r="G130" s="36" t="s">
        <v>256</v>
      </c>
      <c r="H130" s="36" t="s">
        <v>141</v>
      </c>
    </row>
    <row r="131" customFormat="false" ht="15" hidden="false" customHeight="false" outlineLevel="0" collapsed="false">
      <c r="A131" s="36" t="s">
        <v>472</v>
      </c>
      <c r="B131" s="36" t="s">
        <v>469</v>
      </c>
      <c r="C131" s="36" t="s">
        <v>241</v>
      </c>
      <c r="D131" s="36" t="s">
        <v>155</v>
      </c>
      <c r="E131" s="36" t="n">
        <v>3</v>
      </c>
      <c r="F131" s="36" t="n">
        <v>110</v>
      </c>
      <c r="G131" s="36" t="s">
        <v>263</v>
      </c>
      <c r="H131" s="36" t="s">
        <v>141</v>
      </c>
    </row>
    <row r="132" customFormat="false" ht="15" hidden="false" customHeight="false" outlineLevel="0" collapsed="false">
      <c r="A132" s="36" t="s">
        <v>473</v>
      </c>
      <c r="B132" s="36" t="s">
        <v>474</v>
      </c>
      <c r="C132" s="36" t="s">
        <v>249</v>
      </c>
      <c r="D132" s="36" t="s">
        <v>475</v>
      </c>
      <c r="E132" s="36" t="n">
        <v>1</v>
      </c>
      <c r="F132" s="36" t="s">
        <v>339</v>
      </c>
      <c r="G132" s="36" t="s">
        <v>246</v>
      </c>
      <c r="H132" s="36" t="s">
        <v>141</v>
      </c>
    </row>
    <row r="133" customFormat="false" ht="15" hidden="false" customHeight="false" outlineLevel="0" collapsed="false">
      <c r="A133" s="36" t="s">
        <v>476</v>
      </c>
      <c r="B133" s="36" t="s">
        <v>474</v>
      </c>
      <c r="C133" s="36" t="s">
        <v>254</v>
      </c>
      <c r="D133" s="36" t="s">
        <v>167</v>
      </c>
      <c r="E133" s="36" t="n">
        <v>1</v>
      </c>
      <c r="F133" s="36" t="n">
        <v>110</v>
      </c>
      <c r="G133" s="36" t="s">
        <v>263</v>
      </c>
      <c r="H133" s="36" t="s">
        <v>132</v>
      </c>
    </row>
    <row r="134" customFormat="false" ht="15" hidden="false" customHeight="false" outlineLevel="0" collapsed="false">
      <c r="A134" s="36" t="s">
        <v>477</v>
      </c>
      <c r="B134" s="37" t="n">
        <v>46266</v>
      </c>
      <c r="C134" s="36" t="s">
        <v>294</v>
      </c>
      <c r="D134" s="36" t="s">
        <v>478</v>
      </c>
      <c r="E134" s="36" t="s">
        <v>479</v>
      </c>
      <c r="F134" s="36" t="s">
        <v>323</v>
      </c>
      <c r="G134" s="36" t="s">
        <v>263</v>
      </c>
      <c r="H134" s="36" t="s">
        <v>321</v>
      </c>
    </row>
    <row r="135" customFormat="false" ht="15" hidden="false" customHeight="false" outlineLevel="0" collapsed="false">
      <c r="A135" s="36" t="s">
        <v>480</v>
      </c>
      <c r="B135" s="36" t="s">
        <v>469</v>
      </c>
      <c r="C135" s="36" t="s">
        <v>42</v>
      </c>
      <c r="D135" s="36" t="s">
        <v>157</v>
      </c>
      <c r="E135" s="36" t="n">
        <v>1</v>
      </c>
      <c r="F135" s="36" t="s">
        <v>380</v>
      </c>
      <c r="G135" s="36" t="s">
        <v>251</v>
      </c>
      <c r="H135" s="36" t="s">
        <v>146</v>
      </c>
    </row>
    <row r="136" customFormat="false" ht="15" hidden="false" customHeight="false" outlineLevel="0" collapsed="false">
      <c r="A136" s="36" t="s">
        <v>481</v>
      </c>
      <c r="B136" s="36" t="s">
        <v>469</v>
      </c>
      <c r="C136" s="36" t="s">
        <v>249</v>
      </c>
      <c r="D136" s="36" t="s">
        <v>158</v>
      </c>
      <c r="E136" s="36" t="n">
        <v>3</v>
      </c>
      <c r="F136" s="36" t="s">
        <v>413</v>
      </c>
      <c r="G136" s="36" t="s">
        <v>260</v>
      </c>
      <c r="H136" s="36" t="s">
        <v>146</v>
      </c>
    </row>
    <row r="137" customFormat="false" ht="15" hidden="false" customHeight="false" outlineLevel="0" collapsed="false">
      <c r="A137" s="36" t="s">
        <v>482</v>
      </c>
      <c r="B137" s="36" t="s">
        <v>469</v>
      </c>
      <c r="C137" s="36" t="s">
        <v>294</v>
      </c>
      <c r="D137" s="36" t="s">
        <v>197</v>
      </c>
      <c r="E137" s="36" t="n">
        <v>1</v>
      </c>
      <c r="F137" s="36" t="n">
        <v>60</v>
      </c>
      <c r="G137" s="36" t="s">
        <v>260</v>
      </c>
      <c r="H137" s="36" t="s">
        <v>140</v>
      </c>
    </row>
    <row r="138" customFormat="false" ht="15" hidden="false" customHeight="false" outlineLevel="0" collapsed="false">
      <c r="A138" s="36" t="s">
        <v>483</v>
      </c>
      <c r="B138" s="36" t="s">
        <v>469</v>
      </c>
      <c r="C138" s="36" t="s">
        <v>249</v>
      </c>
      <c r="D138" s="36" t="s">
        <v>312</v>
      </c>
      <c r="E138" s="36" t="n">
        <v>1</v>
      </c>
      <c r="F138" s="36" t="n">
        <v>85</v>
      </c>
      <c r="G138" s="36" t="s">
        <v>256</v>
      </c>
      <c r="H138" s="36" t="s">
        <v>306</v>
      </c>
    </row>
    <row r="139" customFormat="false" ht="15" hidden="false" customHeight="false" outlineLevel="0" collapsed="false">
      <c r="A139" s="36" t="s">
        <v>484</v>
      </c>
      <c r="B139" s="36" t="s">
        <v>474</v>
      </c>
      <c r="C139" s="36" t="s">
        <v>42</v>
      </c>
      <c r="D139" s="36" t="s">
        <v>200</v>
      </c>
      <c r="E139" s="36" t="n">
        <v>1</v>
      </c>
      <c r="F139" s="36" t="n">
        <v>80</v>
      </c>
      <c r="G139" s="36" t="s">
        <v>263</v>
      </c>
      <c r="H139" s="36" t="s">
        <v>321</v>
      </c>
    </row>
    <row r="140" customFormat="false" ht="15" hidden="false" customHeight="false" outlineLevel="0" collapsed="false">
      <c r="A140" s="36" t="s">
        <v>485</v>
      </c>
      <c r="B140" s="36" t="s">
        <v>469</v>
      </c>
      <c r="C140" s="36" t="s">
        <v>249</v>
      </c>
      <c r="D140" s="36" t="s">
        <v>226</v>
      </c>
      <c r="E140" s="36" t="n">
        <v>2</v>
      </c>
      <c r="F140" s="36" t="n">
        <v>315</v>
      </c>
      <c r="G140" s="36" t="s">
        <v>267</v>
      </c>
      <c r="H140" s="36" t="s">
        <v>141</v>
      </c>
    </row>
    <row r="141" customFormat="false" ht="15" hidden="false" customHeight="false" outlineLevel="0" collapsed="false">
      <c r="A141" s="36" t="s">
        <v>486</v>
      </c>
      <c r="B141" s="37" t="n">
        <v>46266</v>
      </c>
      <c r="C141" s="36" t="s">
        <v>249</v>
      </c>
      <c r="D141" s="36" t="s">
        <v>487</v>
      </c>
      <c r="E141" s="36" t="n">
        <v>6</v>
      </c>
      <c r="F141" s="36" t="s">
        <v>272</v>
      </c>
      <c r="G141" s="36" t="s">
        <v>267</v>
      </c>
      <c r="H141" s="36" t="s">
        <v>132</v>
      </c>
    </row>
    <row r="142" customFormat="false" ht="15" hidden="false" customHeight="false" outlineLevel="0" collapsed="false">
      <c r="A142" s="36" t="s">
        <v>488</v>
      </c>
      <c r="B142" s="36" t="s">
        <v>474</v>
      </c>
      <c r="C142" s="36" t="s">
        <v>42</v>
      </c>
      <c r="D142" s="36" t="s">
        <v>295</v>
      </c>
      <c r="E142" s="36" t="n">
        <v>1</v>
      </c>
      <c r="F142" s="36" t="s">
        <v>489</v>
      </c>
      <c r="G142" s="36" t="s">
        <v>267</v>
      </c>
      <c r="H142" s="36" t="s">
        <v>306</v>
      </c>
    </row>
    <row r="143" customFormat="false" ht="15" hidden="false" customHeight="false" outlineLevel="0" collapsed="false">
      <c r="A143" s="36" t="s">
        <v>490</v>
      </c>
      <c r="B143" s="36" t="s">
        <v>469</v>
      </c>
      <c r="C143" s="36" t="s">
        <v>42</v>
      </c>
      <c r="D143" s="36" t="s">
        <v>478</v>
      </c>
      <c r="E143" s="36" t="n">
        <v>3</v>
      </c>
      <c r="F143" s="36" t="n">
        <v>378</v>
      </c>
      <c r="G143" s="36" t="s">
        <v>246</v>
      </c>
      <c r="H143" s="36" t="s">
        <v>141</v>
      </c>
    </row>
    <row r="144" customFormat="false" ht="15" hidden="false" customHeight="false" outlineLevel="0" collapsed="false">
      <c r="A144" s="36" t="s">
        <v>491</v>
      </c>
      <c r="B144" s="36" t="s">
        <v>469</v>
      </c>
      <c r="C144" s="36" t="s">
        <v>249</v>
      </c>
      <c r="D144" s="36" t="s">
        <v>492</v>
      </c>
      <c r="E144" s="36" t="n">
        <v>1</v>
      </c>
      <c r="F144" s="36" t="s">
        <v>369</v>
      </c>
      <c r="G144" s="36" t="s">
        <v>263</v>
      </c>
      <c r="H144" s="36" t="s">
        <v>247</v>
      </c>
    </row>
    <row r="145" customFormat="false" ht="15" hidden="false" customHeight="false" outlineLevel="0" collapsed="false">
      <c r="A145" s="36" t="s">
        <v>493</v>
      </c>
      <c r="B145" s="36" t="s">
        <v>469</v>
      </c>
      <c r="C145" s="36" t="s">
        <v>130</v>
      </c>
      <c r="D145" s="36" t="s">
        <v>174</v>
      </c>
      <c r="E145" s="36" t="n">
        <v>3</v>
      </c>
      <c r="F145" s="36" t="n">
        <v>210</v>
      </c>
      <c r="G145" s="36" t="s">
        <v>270</v>
      </c>
      <c r="H145" s="36" t="s">
        <v>140</v>
      </c>
    </row>
    <row r="146" customFormat="false" ht="15" hidden="false" customHeight="false" outlineLevel="0" collapsed="false">
      <c r="A146" s="36" t="s">
        <v>494</v>
      </c>
      <c r="B146" s="36" t="s">
        <v>469</v>
      </c>
      <c r="C146" s="36" t="s">
        <v>42</v>
      </c>
      <c r="D146" s="36" t="s">
        <v>204</v>
      </c>
      <c r="E146" s="36" t="n">
        <v>2</v>
      </c>
      <c r="F146" s="36" t="s">
        <v>255</v>
      </c>
      <c r="G146" s="36" t="s">
        <v>251</v>
      </c>
      <c r="H146" s="36" t="s">
        <v>132</v>
      </c>
    </row>
    <row r="147" customFormat="false" ht="15" hidden="false" customHeight="false" outlineLevel="0" collapsed="false">
      <c r="A147" s="36" t="s">
        <v>495</v>
      </c>
      <c r="B147" s="36" t="s">
        <v>469</v>
      </c>
      <c r="C147" s="36" t="s">
        <v>130</v>
      </c>
      <c r="D147" s="36" t="s">
        <v>155</v>
      </c>
      <c r="E147" s="36" t="n">
        <v>2</v>
      </c>
      <c r="F147" s="36" t="n">
        <v>110</v>
      </c>
      <c r="G147" s="36" t="s">
        <v>270</v>
      </c>
      <c r="H147" s="36" t="s">
        <v>308</v>
      </c>
    </row>
    <row r="148" customFormat="false" ht="15" hidden="false" customHeight="false" outlineLevel="0" collapsed="false">
      <c r="A148" s="36" t="s">
        <v>496</v>
      </c>
      <c r="B148" s="36" t="s">
        <v>469</v>
      </c>
      <c r="C148" s="36" t="s">
        <v>42</v>
      </c>
      <c r="D148" s="36" t="s">
        <v>234</v>
      </c>
      <c r="E148" s="36" t="n">
        <v>2</v>
      </c>
      <c r="F148" s="36" t="s">
        <v>255</v>
      </c>
      <c r="G148" s="36" t="s">
        <v>270</v>
      </c>
      <c r="H148" s="36" t="s">
        <v>146</v>
      </c>
    </row>
    <row r="149" customFormat="false" ht="15" hidden="false" customHeight="false" outlineLevel="0" collapsed="false">
      <c r="A149" s="36" t="s">
        <v>497</v>
      </c>
      <c r="B149" s="37" t="n">
        <v>46266</v>
      </c>
      <c r="C149" s="36" t="s">
        <v>130</v>
      </c>
      <c r="D149" s="36" t="s">
        <v>172</v>
      </c>
      <c r="E149" s="36" t="n">
        <v>2</v>
      </c>
      <c r="F149" s="36" t="s">
        <v>498</v>
      </c>
      <c r="G149" s="36" t="s">
        <v>246</v>
      </c>
      <c r="H149" s="36" t="s">
        <v>141</v>
      </c>
    </row>
    <row r="150" customFormat="false" ht="15" hidden="false" customHeight="false" outlineLevel="0" collapsed="false">
      <c r="A150" s="36" t="s">
        <v>499</v>
      </c>
      <c r="B150" s="36" t="s">
        <v>469</v>
      </c>
      <c r="C150" s="36" t="s">
        <v>254</v>
      </c>
      <c r="D150" s="36" t="s">
        <v>161</v>
      </c>
      <c r="E150" s="36" t="n">
        <v>1</v>
      </c>
      <c r="F150" s="36" t="n">
        <v>40</v>
      </c>
      <c r="G150" s="36" t="s">
        <v>246</v>
      </c>
      <c r="H150" s="36" t="s">
        <v>131</v>
      </c>
    </row>
    <row r="151" customFormat="false" ht="15" hidden="false" customHeight="false" outlineLevel="0" collapsed="false">
      <c r="A151" s="36" t="s">
        <v>500</v>
      </c>
      <c r="B151" s="36" t="s">
        <v>474</v>
      </c>
      <c r="C151" s="36" t="s">
        <v>254</v>
      </c>
      <c r="D151" s="36" t="s">
        <v>501</v>
      </c>
      <c r="E151" s="36" t="n">
        <v>1</v>
      </c>
      <c r="F151" s="36" t="s">
        <v>502</v>
      </c>
      <c r="G151" s="36" t="s">
        <v>270</v>
      </c>
      <c r="H151" s="36" t="s">
        <v>145</v>
      </c>
    </row>
    <row r="152" customFormat="false" ht="15" hidden="false" customHeight="false" outlineLevel="0" collapsed="false">
      <c r="A152" s="36" t="s">
        <v>503</v>
      </c>
      <c r="B152" s="36" t="s">
        <v>474</v>
      </c>
      <c r="C152" s="36" t="s">
        <v>130</v>
      </c>
      <c r="D152" s="36" t="s">
        <v>154</v>
      </c>
      <c r="E152" s="36" t="n">
        <v>2</v>
      </c>
      <c r="F152" s="36" t="s">
        <v>275</v>
      </c>
      <c r="G152" s="36" t="s">
        <v>251</v>
      </c>
      <c r="H152" s="36" t="s">
        <v>306</v>
      </c>
    </row>
    <row r="153" customFormat="false" ht="15" hidden="false" customHeight="false" outlineLevel="0" collapsed="false">
      <c r="A153" s="36" t="s">
        <v>504</v>
      </c>
      <c r="B153" s="36" t="s">
        <v>469</v>
      </c>
      <c r="C153" s="36" t="s">
        <v>294</v>
      </c>
      <c r="D153" s="36" t="s">
        <v>160</v>
      </c>
      <c r="E153" s="36" t="n">
        <v>4</v>
      </c>
      <c r="F153" s="36" t="s">
        <v>505</v>
      </c>
      <c r="G153" s="36" t="s">
        <v>263</v>
      </c>
      <c r="H153" s="36" t="s">
        <v>321</v>
      </c>
    </row>
    <row r="154" customFormat="false" ht="15" hidden="false" customHeight="false" outlineLevel="0" collapsed="false">
      <c r="A154" s="36" t="s">
        <v>506</v>
      </c>
      <c r="B154" s="36" t="s">
        <v>469</v>
      </c>
      <c r="C154" s="36" t="s">
        <v>42</v>
      </c>
      <c r="D154" s="36" t="s">
        <v>200</v>
      </c>
      <c r="E154" s="36" t="n">
        <v>2</v>
      </c>
      <c r="F154" s="36" t="s">
        <v>507</v>
      </c>
      <c r="G154" s="36" t="s">
        <v>267</v>
      </c>
      <c r="H154" s="36" t="s">
        <v>141</v>
      </c>
    </row>
    <row r="155" customFormat="false" ht="15" hidden="false" customHeight="false" outlineLevel="0" collapsed="false">
      <c r="A155" s="36" t="s">
        <v>508</v>
      </c>
      <c r="B155" s="36" t="s">
        <v>474</v>
      </c>
      <c r="C155" s="36" t="s">
        <v>254</v>
      </c>
      <c r="D155" s="36" t="s">
        <v>202</v>
      </c>
      <c r="E155" s="36" t="n">
        <v>6</v>
      </c>
      <c r="F155" s="36" t="s">
        <v>509</v>
      </c>
      <c r="G155" s="36" t="s">
        <v>251</v>
      </c>
      <c r="H155" s="36" t="s">
        <v>247</v>
      </c>
    </row>
    <row r="156" customFormat="false" ht="15" hidden="false" customHeight="false" outlineLevel="0" collapsed="false">
      <c r="A156" s="36" t="s">
        <v>510</v>
      </c>
      <c r="B156" s="36" t="s">
        <v>469</v>
      </c>
      <c r="C156" s="36" t="s">
        <v>130</v>
      </c>
      <c r="D156" s="36" t="s">
        <v>228</v>
      </c>
      <c r="E156" s="36" t="n">
        <v>2</v>
      </c>
      <c r="F156" s="36" t="s">
        <v>325</v>
      </c>
      <c r="G156" s="36" t="s">
        <v>243</v>
      </c>
      <c r="H156" s="36" t="s">
        <v>141</v>
      </c>
    </row>
    <row r="157" customFormat="false" ht="15" hidden="false" customHeight="false" outlineLevel="0" collapsed="false">
      <c r="A157" s="36" t="s">
        <v>511</v>
      </c>
      <c r="B157" s="36" t="s">
        <v>474</v>
      </c>
      <c r="C157" s="36" t="s">
        <v>130</v>
      </c>
      <c r="D157" s="36" t="s">
        <v>148</v>
      </c>
      <c r="E157" s="36" t="n">
        <v>2</v>
      </c>
      <c r="F157" s="36" t="s">
        <v>275</v>
      </c>
      <c r="G157" s="36" t="s">
        <v>260</v>
      </c>
      <c r="H157" s="36" t="s">
        <v>131</v>
      </c>
    </row>
    <row r="158" customFormat="false" ht="15" hidden="false" customHeight="false" outlineLevel="0" collapsed="false">
      <c r="A158" s="36" t="s">
        <v>512</v>
      </c>
      <c r="B158" s="36" t="s">
        <v>469</v>
      </c>
      <c r="C158" s="36" t="s">
        <v>42</v>
      </c>
      <c r="D158" s="36" t="s">
        <v>224</v>
      </c>
      <c r="E158" s="36" t="n">
        <v>1</v>
      </c>
      <c r="F158" s="36" t="s">
        <v>255</v>
      </c>
      <c r="G158" s="36" t="s">
        <v>267</v>
      </c>
      <c r="H158" s="36" t="s">
        <v>146</v>
      </c>
    </row>
    <row r="159" customFormat="false" ht="15" hidden="false" customHeight="false" outlineLevel="0" collapsed="false">
      <c r="A159" s="36" t="s">
        <v>513</v>
      </c>
      <c r="B159" s="36" t="s">
        <v>469</v>
      </c>
      <c r="C159" s="36" t="s">
        <v>43</v>
      </c>
      <c r="D159" s="36" t="s">
        <v>410</v>
      </c>
      <c r="E159" s="36" t="n">
        <v>1</v>
      </c>
      <c r="F159" s="36" t="n">
        <v>171</v>
      </c>
      <c r="G159" s="36" t="s">
        <v>263</v>
      </c>
      <c r="H159" s="36" t="s">
        <v>146</v>
      </c>
    </row>
    <row r="160" customFormat="false" ht="15" hidden="false" customHeight="false" outlineLevel="0" collapsed="false">
      <c r="A160" s="36" t="s">
        <v>514</v>
      </c>
      <c r="B160" s="36" t="s">
        <v>469</v>
      </c>
      <c r="C160" s="36" t="s">
        <v>43</v>
      </c>
      <c r="D160" s="36" t="s">
        <v>515</v>
      </c>
      <c r="E160" s="36" t="n">
        <v>1</v>
      </c>
      <c r="F160" s="36" t="n">
        <v>130</v>
      </c>
      <c r="G160" s="36" t="s">
        <v>256</v>
      </c>
      <c r="H160" s="36" t="s">
        <v>321</v>
      </c>
    </row>
    <row r="161" customFormat="false" ht="15" hidden="false" customHeight="false" outlineLevel="0" collapsed="false">
      <c r="A161" s="36" t="s">
        <v>516</v>
      </c>
      <c r="B161" s="36" t="s">
        <v>469</v>
      </c>
      <c r="C161" s="36" t="s">
        <v>335</v>
      </c>
      <c r="D161" s="36" t="s">
        <v>206</v>
      </c>
      <c r="E161" s="36" t="n">
        <v>1</v>
      </c>
      <c r="F161" s="36" t="s">
        <v>369</v>
      </c>
      <c r="G161" s="36" t="s">
        <v>270</v>
      </c>
      <c r="H161" s="36" t="s">
        <v>132</v>
      </c>
    </row>
    <row r="162" customFormat="false" ht="15" hidden="false" customHeight="false" outlineLevel="0" collapsed="false">
      <c r="A162" s="36" t="s">
        <v>517</v>
      </c>
      <c r="B162" s="36" t="s">
        <v>469</v>
      </c>
      <c r="C162" s="36" t="s">
        <v>333</v>
      </c>
      <c r="D162" s="36" t="s">
        <v>225</v>
      </c>
      <c r="E162" s="36" t="n">
        <v>2</v>
      </c>
      <c r="F162" s="36" t="s">
        <v>443</v>
      </c>
      <c r="G162" s="36" t="s">
        <v>256</v>
      </c>
      <c r="H162" s="36" t="s">
        <v>140</v>
      </c>
    </row>
    <row r="163" customFormat="false" ht="15" hidden="false" customHeight="false" outlineLevel="0" collapsed="false">
      <c r="A163" s="36" t="s">
        <v>518</v>
      </c>
      <c r="B163" s="36" t="s">
        <v>469</v>
      </c>
      <c r="C163" s="36" t="s">
        <v>43</v>
      </c>
      <c r="D163" s="36" t="s">
        <v>329</v>
      </c>
      <c r="E163" s="36" t="n">
        <v>6</v>
      </c>
      <c r="F163" s="36" t="n">
        <v>450</v>
      </c>
      <c r="G163" s="36" t="s">
        <v>260</v>
      </c>
      <c r="H163" s="36" t="s">
        <v>141</v>
      </c>
    </row>
    <row r="164" customFormat="false" ht="15" hidden="false" customHeight="false" outlineLevel="0" collapsed="false">
      <c r="A164" s="36" t="s">
        <v>519</v>
      </c>
      <c r="B164" s="36" t="s">
        <v>474</v>
      </c>
      <c r="C164" s="36" t="s">
        <v>43</v>
      </c>
      <c r="D164" s="36" t="s">
        <v>520</v>
      </c>
      <c r="E164" s="36" t="n">
        <v>2</v>
      </c>
      <c r="F164" s="36" t="s">
        <v>302</v>
      </c>
      <c r="G164" s="36" t="s">
        <v>251</v>
      </c>
      <c r="H164" s="36" t="s">
        <v>131</v>
      </c>
    </row>
    <row r="165" customFormat="false" ht="15" hidden="false" customHeight="false" outlineLevel="0" collapsed="false">
      <c r="A165" s="36" t="s">
        <v>521</v>
      </c>
      <c r="B165" s="36" t="s">
        <v>469</v>
      </c>
      <c r="C165" s="36" t="s">
        <v>43</v>
      </c>
      <c r="D165" s="36" t="s">
        <v>225</v>
      </c>
      <c r="E165" s="36" t="n">
        <v>1</v>
      </c>
      <c r="F165" s="36" t="n">
        <v>350</v>
      </c>
      <c r="G165" s="36" t="s">
        <v>267</v>
      </c>
      <c r="H165" s="36" t="s">
        <v>247</v>
      </c>
    </row>
    <row r="166" customFormat="false" ht="15" hidden="false" customHeight="false" outlineLevel="0" collapsed="false">
      <c r="A166" s="36" t="s">
        <v>522</v>
      </c>
      <c r="B166" s="36" t="s">
        <v>469</v>
      </c>
      <c r="C166" s="36" t="s">
        <v>43</v>
      </c>
      <c r="D166" s="36" t="s">
        <v>492</v>
      </c>
      <c r="E166" s="36" t="n">
        <v>1</v>
      </c>
      <c r="F166" s="36" t="s">
        <v>369</v>
      </c>
      <c r="G166" s="36" t="s">
        <v>243</v>
      </c>
      <c r="H166" s="36" t="s">
        <v>132</v>
      </c>
    </row>
    <row r="167" customFormat="false" ht="15" hidden="false" customHeight="false" outlineLevel="0" collapsed="false">
      <c r="A167" s="36" t="s">
        <v>523</v>
      </c>
      <c r="B167" s="36" t="s">
        <v>474</v>
      </c>
      <c r="C167" s="36" t="s">
        <v>333</v>
      </c>
      <c r="D167" s="36" t="s">
        <v>524</v>
      </c>
      <c r="E167" s="36" t="n">
        <v>3</v>
      </c>
      <c r="F167" s="36" t="s">
        <v>259</v>
      </c>
      <c r="G167" s="36" t="s">
        <v>260</v>
      </c>
      <c r="H167" s="36" t="s">
        <v>141</v>
      </c>
    </row>
    <row r="168" customFormat="false" ht="15" hidden="false" customHeight="false" outlineLevel="0" collapsed="false">
      <c r="A168" s="36" t="s">
        <v>525</v>
      </c>
      <c r="B168" s="36" t="s">
        <v>469</v>
      </c>
      <c r="C168" s="36" t="s">
        <v>139</v>
      </c>
      <c r="D168" s="36" t="s">
        <v>158</v>
      </c>
      <c r="E168" s="36" t="n">
        <v>2</v>
      </c>
      <c r="F168" s="36" t="s">
        <v>369</v>
      </c>
      <c r="G168" s="36" t="s">
        <v>246</v>
      </c>
      <c r="H168" s="36" t="s">
        <v>132</v>
      </c>
    </row>
    <row r="169" customFormat="false" ht="15" hidden="false" customHeight="false" outlineLevel="0" collapsed="false">
      <c r="A169" s="36" t="s">
        <v>526</v>
      </c>
      <c r="B169" s="36" t="s">
        <v>469</v>
      </c>
      <c r="C169" s="36" t="s">
        <v>43</v>
      </c>
      <c r="D169" s="36" t="s">
        <v>206</v>
      </c>
      <c r="E169" s="36" t="n">
        <v>1</v>
      </c>
      <c r="F169" s="36" t="n">
        <v>65</v>
      </c>
      <c r="G169" s="36" t="s">
        <v>246</v>
      </c>
      <c r="H169" s="36" t="s">
        <v>141</v>
      </c>
    </row>
    <row r="170" customFormat="false" ht="15" hidden="false" customHeight="false" outlineLevel="0" collapsed="false">
      <c r="A170" s="36" t="s">
        <v>527</v>
      </c>
      <c r="B170" s="36" t="s">
        <v>469</v>
      </c>
      <c r="C170" s="36" t="s">
        <v>335</v>
      </c>
      <c r="D170" s="36" t="s">
        <v>357</v>
      </c>
      <c r="E170" s="36" t="n">
        <v>1</v>
      </c>
      <c r="F170" s="36" t="s">
        <v>380</v>
      </c>
      <c r="G170" s="36" t="s">
        <v>270</v>
      </c>
      <c r="H170" s="36" t="s">
        <v>141</v>
      </c>
    </row>
    <row r="171" customFormat="false" ht="15" hidden="false" customHeight="false" outlineLevel="0" collapsed="false">
      <c r="A171" s="36" t="s">
        <v>528</v>
      </c>
      <c r="B171" s="36" t="s">
        <v>474</v>
      </c>
      <c r="C171" s="36" t="s">
        <v>43</v>
      </c>
      <c r="D171" s="36" t="s">
        <v>166</v>
      </c>
      <c r="E171" s="36" t="n">
        <v>1</v>
      </c>
      <c r="F171" s="36" t="n">
        <v>342</v>
      </c>
      <c r="G171" s="36" t="s">
        <v>246</v>
      </c>
      <c r="H171" s="36" t="s">
        <v>247</v>
      </c>
    </row>
    <row r="172" customFormat="false" ht="15" hidden="false" customHeight="false" outlineLevel="0" collapsed="false">
      <c r="A172" s="36" t="s">
        <v>529</v>
      </c>
      <c r="B172" s="36" t="s">
        <v>469</v>
      </c>
      <c r="C172" s="36" t="s">
        <v>43</v>
      </c>
      <c r="D172" s="36" t="s">
        <v>530</v>
      </c>
      <c r="E172" s="36" t="n">
        <v>1</v>
      </c>
      <c r="F172" s="36" t="n">
        <v>60</v>
      </c>
      <c r="G172" s="36" t="s">
        <v>263</v>
      </c>
      <c r="H172" s="36" t="s">
        <v>132</v>
      </c>
    </row>
    <row r="173" customFormat="false" ht="15" hidden="false" customHeight="false" outlineLevel="0" collapsed="false">
      <c r="A173" s="36" t="s">
        <v>531</v>
      </c>
      <c r="B173" s="36" t="s">
        <v>469</v>
      </c>
      <c r="C173" s="36" t="s">
        <v>43</v>
      </c>
      <c r="D173" s="36" t="s">
        <v>197</v>
      </c>
      <c r="E173" s="36" t="n">
        <v>4</v>
      </c>
      <c r="F173" s="36" t="n">
        <v>60</v>
      </c>
      <c r="G173" s="36" t="s">
        <v>263</v>
      </c>
      <c r="H173" s="36" t="s">
        <v>131</v>
      </c>
    </row>
    <row r="174" customFormat="false" ht="15" hidden="false" customHeight="false" outlineLevel="0" collapsed="false">
      <c r="A174" s="36" t="s">
        <v>532</v>
      </c>
      <c r="B174" s="36" t="s">
        <v>474</v>
      </c>
      <c r="C174" s="36" t="s">
        <v>333</v>
      </c>
      <c r="D174" s="36" t="s">
        <v>226</v>
      </c>
      <c r="E174" s="36" t="n">
        <v>1</v>
      </c>
      <c r="F174" s="36" t="s">
        <v>443</v>
      </c>
      <c r="G174" s="36" t="s">
        <v>243</v>
      </c>
      <c r="H174" s="36" t="s">
        <v>308</v>
      </c>
    </row>
    <row r="175" customFormat="false" ht="15" hidden="false" customHeight="false" outlineLevel="0" collapsed="false">
      <c r="A175" s="36" t="s">
        <v>533</v>
      </c>
      <c r="B175" s="36" t="s">
        <v>469</v>
      </c>
      <c r="C175" s="36" t="s">
        <v>43</v>
      </c>
      <c r="D175" s="36" t="s">
        <v>171</v>
      </c>
      <c r="E175" s="36" t="n">
        <v>4</v>
      </c>
      <c r="F175" s="36" t="s">
        <v>457</v>
      </c>
      <c r="G175" s="36" t="s">
        <v>256</v>
      </c>
      <c r="H175" s="36" t="s">
        <v>321</v>
      </c>
    </row>
    <row r="176" customFormat="false" ht="15" hidden="false" customHeight="false" outlineLevel="0" collapsed="false">
      <c r="A176" s="36" t="s">
        <v>534</v>
      </c>
      <c r="B176" s="36" t="s">
        <v>535</v>
      </c>
      <c r="C176" s="36" t="s">
        <v>254</v>
      </c>
      <c r="D176" s="36" t="s">
        <v>410</v>
      </c>
      <c r="E176" s="36" t="n">
        <v>3</v>
      </c>
      <c r="F176" s="36" t="s">
        <v>411</v>
      </c>
      <c r="G176" s="36" t="s">
        <v>260</v>
      </c>
      <c r="H176" s="36" t="s">
        <v>141</v>
      </c>
    </row>
    <row r="177" customFormat="false" ht="15" hidden="false" customHeight="false" outlineLevel="0" collapsed="false">
      <c r="A177" s="36" t="s">
        <v>536</v>
      </c>
      <c r="B177" s="36" t="s">
        <v>474</v>
      </c>
      <c r="C177" s="36" t="s">
        <v>333</v>
      </c>
      <c r="D177" s="36" t="s">
        <v>408</v>
      </c>
      <c r="E177" s="36" t="n">
        <v>1</v>
      </c>
      <c r="F177" s="36" t="n">
        <v>50</v>
      </c>
      <c r="G177" s="36" t="s">
        <v>260</v>
      </c>
      <c r="H177" s="36" t="s">
        <v>132</v>
      </c>
    </row>
    <row r="178" customFormat="false" ht="15" hidden="false" customHeight="false" outlineLevel="0" collapsed="false">
      <c r="A178" s="36" t="s">
        <v>537</v>
      </c>
      <c r="B178" s="36" t="s">
        <v>469</v>
      </c>
      <c r="C178" s="36" t="s">
        <v>139</v>
      </c>
      <c r="D178" s="36" t="s">
        <v>158</v>
      </c>
      <c r="E178" s="36" t="n">
        <v>6</v>
      </c>
      <c r="F178" s="36" t="n">
        <v>65</v>
      </c>
      <c r="G178" s="36" t="s">
        <v>263</v>
      </c>
      <c r="H178" s="36" t="s">
        <v>141</v>
      </c>
    </row>
    <row r="179" customFormat="false" ht="15" hidden="false" customHeight="false" outlineLevel="0" collapsed="false">
      <c r="A179" s="36" t="s">
        <v>538</v>
      </c>
      <c r="B179" s="36" t="s">
        <v>474</v>
      </c>
      <c r="C179" s="36" t="s">
        <v>139</v>
      </c>
      <c r="D179" s="36" t="s">
        <v>539</v>
      </c>
      <c r="E179" s="36" t="n">
        <v>4</v>
      </c>
      <c r="F179" s="36" t="n">
        <v>195</v>
      </c>
      <c r="G179" s="36" t="s">
        <v>260</v>
      </c>
      <c r="H179" s="36" t="s">
        <v>140</v>
      </c>
    </row>
    <row r="180" customFormat="false" ht="15" hidden="false" customHeight="false" outlineLevel="0" collapsed="false">
      <c r="A180" s="36" t="s">
        <v>540</v>
      </c>
      <c r="B180" s="36" t="s">
        <v>474</v>
      </c>
      <c r="C180" s="36" t="s">
        <v>139</v>
      </c>
      <c r="D180" s="36" t="s">
        <v>143</v>
      </c>
      <c r="E180" s="36" t="n">
        <v>6</v>
      </c>
      <c r="F180" s="36" t="n">
        <v>330</v>
      </c>
      <c r="G180" s="36" t="s">
        <v>256</v>
      </c>
      <c r="H180" s="36" t="s">
        <v>141</v>
      </c>
    </row>
    <row r="181" customFormat="false" ht="15" hidden="false" customHeight="false" outlineLevel="0" collapsed="false">
      <c r="A181" s="36" t="s">
        <v>541</v>
      </c>
      <c r="B181" s="36" t="s">
        <v>474</v>
      </c>
      <c r="C181" s="36" t="s">
        <v>333</v>
      </c>
      <c r="D181" s="36" t="s">
        <v>382</v>
      </c>
      <c r="E181" s="36" t="n">
        <v>6</v>
      </c>
      <c r="F181" s="36" t="n">
        <v>130</v>
      </c>
      <c r="G181" s="36" t="s">
        <v>260</v>
      </c>
      <c r="H181" s="36" t="s">
        <v>131</v>
      </c>
    </row>
    <row r="182" customFormat="false" ht="15" hidden="false" customHeight="false" outlineLevel="0" collapsed="false">
      <c r="A182" s="36" t="s">
        <v>542</v>
      </c>
      <c r="B182" s="36" t="s">
        <v>469</v>
      </c>
      <c r="C182" s="36" t="s">
        <v>335</v>
      </c>
      <c r="D182" s="36" t="s">
        <v>211</v>
      </c>
      <c r="E182" s="36" t="n">
        <v>4</v>
      </c>
      <c r="F182" s="36" t="n">
        <v>380</v>
      </c>
      <c r="G182" s="36" t="s">
        <v>260</v>
      </c>
      <c r="H182" s="36" t="s">
        <v>141</v>
      </c>
    </row>
    <row r="183" customFormat="false" ht="15" hidden="false" customHeight="false" outlineLevel="0" collapsed="false">
      <c r="A183" s="36" t="s">
        <v>543</v>
      </c>
      <c r="B183" s="37" t="n">
        <v>46266</v>
      </c>
      <c r="C183" s="36" t="s">
        <v>43</v>
      </c>
      <c r="D183" s="36" t="s">
        <v>207</v>
      </c>
      <c r="E183" s="36" t="n">
        <v>1</v>
      </c>
      <c r="F183" s="36" t="s">
        <v>544</v>
      </c>
      <c r="G183" s="36" t="s">
        <v>267</v>
      </c>
      <c r="H183" s="36" t="s">
        <v>131</v>
      </c>
    </row>
    <row r="184" customFormat="false" ht="15" hidden="false" customHeight="false" outlineLevel="0" collapsed="false">
      <c r="A184" s="36" t="s">
        <v>545</v>
      </c>
      <c r="B184" s="36" t="s">
        <v>469</v>
      </c>
      <c r="C184" s="36" t="s">
        <v>43</v>
      </c>
      <c r="D184" s="36" t="s">
        <v>174</v>
      </c>
      <c r="E184" s="36" t="n">
        <v>1</v>
      </c>
      <c r="F184" s="36" t="n">
        <v>210</v>
      </c>
      <c r="G184" s="36" t="s">
        <v>256</v>
      </c>
      <c r="H184" s="36" t="s">
        <v>146</v>
      </c>
    </row>
    <row r="185" customFormat="false" ht="15" hidden="false" customHeight="false" outlineLevel="0" collapsed="false">
      <c r="A185" s="36" t="s">
        <v>546</v>
      </c>
      <c r="B185" s="36" t="s">
        <v>474</v>
      </c>
      <c r="C185" s="36" t="s">
        <v>139</v>
      </c>
      <c r="D185" s="36" t="s">
        <v>186</v>
      </c>
      <c r="E185" s="36" t="n">
        <v>1</v>
      </c>
      <c r="F185" s="36" t="s">
        <v>547</v>
      </c>
      <c r="G185" s="36" t="s">
        <v>246</v>
      </c>
      <c r="H185" s="36" t="s">
        <v>132</v>
      </c>
    </row>
    <row r="186" customFormat="false" ht="15" hidden="false" customHeight="false" outlineLevel="0" collapsed="false">
      <c r="A186" s="36" t="s">
        <v>548</v>
      </c>
      <c r="B186" s="37" t="n">
        <v>46266</v>
      </c>
      <c r="C186" s="36" t="s">
        <v>43</v>
      </c>
      <c r="D186" s="36" t="s">
        <v>159</v>
      </c>
      <c r="E186" s="36" t="n">
        <v>1</v>
      </c>
      <c r="F186" s="36" t="s">
        <v>380</v>
      </c>
      <c r="G186" s="36" t="s">
        <v>243</v>
      </c>
      <c r="H186" s="36" t="s">
        <v>247</v>
      </c>
    </row>
    <row r="187" customFormat="false" ht="15" hidden="false" customHeight="false" outlineLevel="0" collapsed="false">
      <c r="A187" s="36" t="s">
        <v>549</v>
      </c>
      <c r="B187" s="36" t="s">
        <v>469</v>
      </c>
      <c r="C187" s="36" t="s">
        <v>43</v>
      </c>
      <c r="D187" s="36" t="s">
        <v>159</v>
      </c>
      <c r="E187" s="36"/>
      <c r="F187" s="36" t="s">
        <v>380</v>
      </c>
      <c r="G187" s="36" t="s">
        <v>270</v>
      </c>
      <c r="H187" s="36" t="s">
        <v>132</v>
      </c>
    </row>
    <row r="188" customFormat="false" ht="15" hidden="false" customHeight="false" outlineLevel="0" collapsed="false">
      <c r="A188" s="36" t="s">
        <v>550</v>
      </c>
      <c r="B188" s="37" t="n">
        <v>46266</v>
      </c>
      <c r="C188" s="36" t="s">
        <v>368</v>
      </c>
      <c r="D188" s="36" t="s">
        <v>551</v>
      </c>
      <c r="E188" s="36" t="n">
        <v>2</v>
      </c>
      <c r="F188" s="36" t="s">
        <v>552</v>
      </c>
      <c r="G188" s="36" t="s">
        <v>260</v>
      </c>
      <c r="H188" s="36" t="s">
        <v>132</v>
      </c>
    </row>
    <row r="189" customFormat="false" ht="15" hidden="false" customHeight="false" outlineLevel="0" collapsed="false">
      <c r="A189" s="36" t="s">
        <v>553</v>
      </c>
      <c r="B189" s="36" t="s">
        <v>469</v>
      </c>
      <c r="C189" s="36" t="s">
        <v>554</v>
      </c>
      <c r="D189" s="36" t="s">
        <v>337</v>
      </c>
      <c r="E189" s="36" t="n">
        <v>1</v>
      </c>
      <c r="F189" s="36" t="s">
        <v>547</v>
      </c>
      <c r="G189" s="36" t="s">
        <v>267</v>
      </c>
      <c r="H189" s="36" t="s">
        <v>132</v>
      </c>
    </row>
    <row r="190" customFormat="false" ht="15" hidden="false" customHeight="false" outlineLevel="0" collapsed="false">
      <c r="A190" s="36" t="s">
        <v>555</v>
      </c>
      <c r="B190" s="37" t="n">
        <v>46266</v>
      </c>
      <c r="C190" s="36" t="s">
        <v>375</v>
      </c>
      <c r="D190" s="36" t="s">
        <v>556</v>
      </c>
      <c r="E190" s="36" t="n">
        <v>2</v>
      </c>
      <c r="F190" s="36" t="s">
        <v>557</v>
      </c>
      <c r="G190" s="36" t="s">
        <v>256</v>
      </c>
      <c r="H190" s="36" t="s">
        <v>140</v>
      </c>
    </row>
    <row r="191" customFormat="false" ht="15" hidden="false" customHeight="false" outlineLevel="0" collapsed="false">
      <c r="A191" s="36" t="s">
        <v>558</v>
      </c>
      <c r="B191" s="36" t="s">
        <v>469</v>
      </c>
      <c r="C191" s="36" t="s">
        <v>44</v>
      </c>
      <c r="D191" s="36" t="s">
        <v>559</v>
      </c>
      <c r="E191" s="36" t="n">
        <v>2</v>
      </c>
      <c r="F191" s="36" t="s">
        <v>420</v>
      </c>
      <c r="G191" s="36" t="s">
        <v>243</v>
      </c>
      <c r="H191" s="36" t="s">
        <v>321</v>
      </c>
    </row>
    <row r="192" customFormat="false" ht="15" hidden="false" customHeight="false" outlineLevel="0" collapsed="false">
      <c r="A192" s="36" t="s">
        <v>560</v>
      </c>
      <c r="B192" s="37" t="n">
        <v>46266</v>
      </c>
      <c r="C192" s="36" t="s">
        <v>554</v>
      </c>
      <c r="D192" s="36" t="s">
        <v>561</v>
      </c>
      <c r="E192" s="36" t="n">
        <v>1</v>
      </c>
      <c r="F192" s="36" t="n">
        <v>140</v>
      </c>
      <c r="G192" s="36" t="s">
        <v>267</v>
      </c>
      <c r="H192" s="36" t="s">
        <v>132</v>
      </c>
    </row>
    <row r="193" customFormat="false" ht="15" hidden="false" customHeight="false" outlineLevel="0" collapsed="false">
      <c r="A193" s="36" t="s">
        <v>562</v>
      </c>
      <c r="B193" s="36" t="s">
        <v>469</v>
      </c>
      <c r="C193" s="36" t="s">
        <v>375</v>
      </c>
      <c r="D193" s="36" t="s">
        <v>440</v>
      </c>
      <c r="E193" s="36" t="n">
        <v>4</v>
      </c>
      <c r="F193" s="36" t="s">
        <v>563</v>
      </c>
      <c r="G193" s="36" t="s">
        <v>263</v>
      </c>
      <c r="H193" s="36" t="s">
        <v>132</v>
      </c>
    </row>
    <row r="194" customFormat="false" ht="15" hidden="false" customHeight="false" outlineLevel="0" collapsed="false">
      <c r="A194" s="36" t="s">
        <v>564</v>
      </c>
      <c r="B194" s="36" t="s">
        <v>469</v>
      </c>
      <c r="C194" s="36" t="s">
        <v>375</v>
      </c>
      <c r="D194" s="36" t="s">
        <v>158</v>
      </c>
      <c r="E194" s="36" t="n">
        <v>6</v>
      </c>
      <c r="F194" s="36" t="n">
        <v>65</v>
      </c>
      <c r="G194" s="36" t="s">
        <v>263</v>
      </c>
      <c r="H194" s="36" t="s">
        <v>132</v>
      </c>
    </row>
    <row r="195" customFormat="false" ht="15" hidden="false" customHeight="false" outlineLevel="0" collapsed="false">
      <c r="A195" s="36" t="s">
        <v>565</v>
      </c>
      <c r="B195" s="37" t="n">
        <v>46266</v>
      </c>
      <c r="C195" s="36" t="s">
        <v>144</v>
      </c>
      <c r="D195" s="36" t="s">
        <v>566</v>
      </c>
      <c r="E195" s="36" t="n">
        <v>6</v>
      </c>
      <c r="F195" s="36" t="n">
        <v>310</v>
      </c>
      <c r="G195" s="36" t="s">
        <v>243</v>
      </c>
      <c r="H195" s="36" t="s">
        <v>132</v>
      </c>
    </row>
    <row r="196" customFormat="false" ht="15" hidden="false" customHeight="false" outlineLevel="0" collapsed="false">
      <c r="A196" s="36" t="s">
        <v>567</v>
      </c>
      <c r="B196" s="36" t="s">
        <v>469</v>
      </c>
      <c r="C196" s="36" t="s">
        <v>44</v>
      </c>
      <c r="D196" s="36" t="s">
        <v>187</v>
      </c>
      <c r="E196" s="36" t="n">
        <v>2</v>
      </c>
      <c r="F196" s="36" t="n">
        <v>150</v>
      </c>
      <c r="G196" s="36" t="s">
        <v>263</v>
      </c>
      <c r="H196" s="36" t="s">
        <v>321</v>
      </c>
    </row>
    <row r="197" customFormat="false" ht="15" hidden="false" customHeight="false" outlineLevel="0" collapsed="false">
      <c r="A197" s="36" t="s">
        <v>568</v>
      </c>
      <c r="B197" s="36" t="s">
        <v>474</v>
      </c>
      <c r="C197" s="36" t="s">
        <v>368</v>
      </c>
      <c r="D197" s="36" t="s">
        <v>299</v>
      </c>
      <c r="E197" s="36" t="n">
        <v>6</v>
      </c>
      <c r="F197" s="36" t="s">
        <v>498</v>
      </c>
      <c r="G197" s="36" t="s">
        <v>251</v>
      </c>
      <c r="H197" s="36" t="s">
        <v>146</v>
      </c>
    </row>
    <row r="198" customFormat="false" ht="15" hidden="false" customHeight="false" outlineLevel="0" collapsed="false">
      <c r="A198" s="36" t="s">
        <v>569</v>
      </c>
      <c r="B198" s="36" t="s">
        <v>469</v>
      </c>
      <c r="C198" s="36" t="s">
        <v>44</v>
      </c>
      <c r="D198" s="36" t="s">
        <v>530</v>
      </c>
      <c r="E198" s="36" t="n">
        <v>4</v>
      </c>
      <c r="F198" s="36" t="s">
        <v>344</v>
      </c>
      <c r="G198" s="36" t="s">
        <v>267</v>
      </c>
      <c r="H198" s="36" t="s">
        <v>141</v>
      </c>
    </row>
    <row r="199" customFormat="false" ht="15" hidden="false" customHeight="false" outlineLevel="0" collapsed="false">
      <c r="A199" s="36" t="s">
        <v>570</v>
      </c>
      <c r="B199" s="36" t="s">
        <v>469</v>
      </c>
      <c r="C199" s="36" t="s">
        <v>554</v>
      </c>
      <c r="D199" s="36" t="s">
        <v>571</v>
      </c>
      <c r="E199" s="36" t="n">
        <v>4</v>
      </c>
      <c r="F199" s="36" t="n">
        <v>210</v>
      </c>
      <c r="G199" s="36" t="s">
        <v>243</v>
      </c>
      <c r="H199" s="36" t="s">
        <v>131</v>
      </c>
    </row>
    <row r="200" customFormat="false" ht="15" hidden="false" customHeight="false" outlineLevel="0" collapsed="false">
      <c r="A200" s="36" t="s">
        <v>572</v>
      </c>
      <c r="B200" s="36" t="s">
        <v>469</v>
      </c>
      <c r="C200" s="36" t="s">
        <v>375</v>
      </c>
      <c r="D200" s="36" t="s">
        <v>159</v>
      </c>
      <c r="E200" s="36" t="n">
        <v>3</v>
      </c>
      <c r="F200" s="36" t="n">
        <v>330</v>
      </c>
      <c r="G200" s="36" t="s">
        <v>260</v>
      </c>
      <c r="H200" s="36" t="s">
        <v>247</v>
      </c>
    </row>
    <row r="201" customFormat="false" ht="15" hidden="false" customHeight="false" outlineLevel="0" collapsed="false">
      <c r="A201" s="36" t="s">
        <v>573</v>
      </c>
      <c r="B201" s="36" t="s">
        <v>469</v>
      </c>
      <c r="C201" s="36" t="s">
        <v>375</v>
      </c>
      <c r="D201" s="36" t="s">
        <v>574</v>
      </c>
      <c r="E201" s="36" t="n">
        <v>2</v>
      </c>
      <c r="F201" s="36" t="n">
        <v>195</v>
      </c>
      <c r="G201" s="36" t="s">
        <v>270</v>
      </c>
      <c r="H201" s="36" t="s">
        <v>131</v>
      </c>
    </row>
    <row r="202" customFormat="false" ht="15" hidden="false" customHeight="false" outlineLevel="0" collapsed="false">
      <c r="A202" s="36" t="s">
        <v>575</v>
      </c>
      <c r="B202" s="36" t="s">
        <v>469</v>
      </c>
      <c r="C202" s="36" t="s">
        <v>44</v>
      </c>
      <c r="D202" s="36" t="s">
        <v>172</v>
      </c>
      <c r="E202" s="36" t="n">
        <v>1</v>
      </c>
      <c r="F202" s="36" t="n">
        <v>60</v>
      </c>
      <c r="G202" s="36" t="s">
        <v>256</v>
      </c>
      <c r="H202" s="36" t="s">
        <v>141</v>
      </c>
    </row>
    <row r="203" customFormat="false" ht="15" hidden="false" customHeight="false" outlineLevel="0" collapsed="false">
      <c r="A203" s="36" t="s">
        <v>576</v>
      </c>
      <c r="B203" s="36" t="s">
        <v>469</v>
      </c>
      <c r="C203" s="36" t="s">
        <v>368</v>
      </c>
      <c r="D203" s="36" t="s">
        <v>577</v>
      </c>
      <c r="E203" s="36" t="n">
        <v>1</v>
      </c>
      <c r="F203" s="36" t="s">
        <v>578</v>
      </c>
      <c r="G203" s="36" t="s">
        <v>263</v>
      </c>
      <c r="H203" s="36" t="s">
        <v>141</v>
      </c>
    </row>
    <row r="204" customFormat="false" ht="15" hidden="false" customHeight="false" outlineLevel="0" collapsed="false">
      <c r="A204" s="36" t="s">
        <v>579</v>
      </c>
      <c r="B204" s="36" t="s">
        <v>469</v>
      </c>
      <c r="C204" s="36" t="s">
        <v>554</v>
      </c>
      <c r="D204" s="36" t="s">
        <v>160</v>
      </c>
      <c r="E204" s="36" t="n">
        <v>2</v>
      </c>
      <c r="F204" s="36" t="n">
        <v>120</v>
      </c>
      <c r="G204" s="36" t="s">
        <v>243</v>
      </c>
      <c r="H204" s="36" t="s">
        <v>141</v>
      </c>
    </row>
    <row r="205" customFormat="false" ht="15" hidden="false" customHeight="false" outlineLevel="0" collapsed="false">
      <c r="A205" s="36" t="s">
        <v>580</v>
      </c>
      <c r="B205" s="36" t="s">
        <v>474</v>
      </c>
      <c r="C205" s="36" t="s">
        <v>44</v>
      </c>
      <c r="D205" s="36" t="s">
        <v>377</v>
      </c>
      <c r="E205" s="36" t="n">
        <v>1</v>
      </c>
      <c r="F205" s="36" t="n">
        <v>280</v>
      </c>
      <c r="G205" s="36" t="s">
        <v>246</v>
      </c>
      <c r="H205" s="36" t="s">
        <v>131</v>
      </c>
    </row>
    <row r="206" customFormat="false" ht="15" hidden="false" customHeight="false" outlineLevel="0" collapsed="false">
      <c r="A206" s="36" t="s">
        <v>581</v>
      </c>
      <c r="B206" s="36" t="s">
        <v>469</v>
      </c>
      <c r="C206" s="36" t="s">
        <v>375</v>
      </c>
      <c r="D206" s="36" t="s">
        <v>445</v>
      </c>
      <c r="E206" s="36" t="n">
        <v>3</v>
      </c>
      <c r="F206" s="36" t="n">
        <v>380</v>
      </c>
      <c r="G206" s="36" t="s">
        <v>246</v>
      </c>
      <c r="H206" s="36" t="s">
        <v>131</v>
      </c>
    </row>
    <row r="207" customFormat="false" ht="15" hidden="false" customHeight="false" outlineLevel="0" collapsed="false">
      <c r="A207" s="36" t="s">
        <v>582</v>
      </c>
      <c r="B207" s="36" t="s">
        <v>469</v>
      </c>
      <c r="C207" s="36" t="s">
        <v>375</v>
      </c>
      <c r="D207" s="36" t="s">
        <v>172</v>
      </c>
      <c r="E207" s="36" t="n">
        <v>6</v>
      </c>
      <c r="F207" s="36" t="n">
        <v>60</v>
      </c>
      <c r="G207" s="36" t="s">
        <v>270</v>
      </c>
      <c r="H207" s="36" t="s">
        <v>306</v>
      </c>
    </row>
    <row r="208" customFormat="false" ht="15" hidden="false" customHeight="false" outlineLevel="0" collapsed="false">
      <c r="A208" s="36" t="s">
        <v>583</v>
      </c>
      <c r="B208" s="37" t="n">
        <v>46266</v>
      </c>
      <c r="C208" s="36" t="s">
        <v>144</v>
      </c>
      <c r="D208" s="36" t="s">
        <v>415</v>
      </c>
      <c r="E208" s="36" t="n">
        <v>1</v>
      </c>
      <c r="F208" s="36" t="s">
        <v>584</v>
      </c>
      <c r="G208" s="36" t="s">
        <v>243</v>
      </c>
      <c r="H208" s="36" t="s">
        <v>141</v>
      </c>
    </row>
    <row r="209" customFormat="false" ht="15" hidden="false" customHeight="false" outlineLevel="0" collapsed="false">
      <c r="A209" s="36" t="s">
        <v>585</v>
      </c>
      <c r="B209" s="36" t="s">
        <v>474</v>
      </c>
      <c r="C209" s="36" t="s">
        <v>44</v>
      </c>
      <c r="D209" s="36" t="s">
        <v>157</v>
      </c>
      <c r="E209" s="36" t="n">
        <v>6</v>
      </c>
      <c r="F209" s="36" t="s">
        <v>380</v>
      </c>
      <c r="G209" s="36" t="s">
        <v>270</v>
      </c>
      <c r="H209" s="36" t="s">
        <v>140</v>
      </c>
    </row>
    <row r="210" customFormat="false" ht="15" hidden="false" customHeight="false" outlineLevel="0" collapsed="false">
      <c r="A210" s="36" t="s">
        <v>586</v>
      </c>
      <c r="B210" s="36" t="s">
        <v>469</v>
      </c>
      <c r="C210" s="36" t="s">
        <v>375</v>
      </c>
      <c r="D210" s="36" t="s">
        <v>236</v>
      </c>
      <c r="E210" s="36" t="s">
        <v>403</v>
      </c>
      <c r="F210" s="36" t="n">
        <v>65</v>
      </c>
      <c r="G210" s="36" t="s">
        <v>270</v>
      </c>
      <c r="H210" s="36" t="s">
        <v>141</v>
      </c>
    </row>
    <row r="211" customFormat="false" ht="15" hidden="false" customHeight="false" outlineLevel="0" collapsed="false">
      <c r="A211" s="36" t="s">
        <v>587</v>
      </c>
      <c r="B211" s="36" t="s">
        <v>469</v>
      </c>
      <c r="C211" s="36" t="s">
        <v>554</v>
      </c>
      <c r="D211" s="36" t="s">
        <v>299</v>
      </c>
      <c r="E211" s="36" t="n">
        <v>6</v>
      </c>
      <c r="F211" s="36" t="s">
        <v>319</v>
      </c>
      <c r="G211" s="36" t="s">
        <v>260</v>
      </c>
      <c r="H211" s="36" t="s">
        <v>141</v>
      </c>
    </row>
    <row r="212" customFormat="false" ht="15" hidden="false" customHeight="false" outlineLevel="0" collapsed="false">
      <c r="A212" s="36" t="s">
        <v>588</v>
      </c>
      <c r="B212" s="36" t="s">
        <v>589</v>
      </c>
      <c r="C212" s="36" t="s">
        <v>42</v>
      </c>
      <c r="D212" s="36" t="s">
        <v>178</v>
      </c>
      <c r="E212" s="36" t="n">
        <v>1</v>
      </c>
      <c r="F212" s="36" t="s">
        <v>378</v>
      </c>
      <c r="G212" s="36" t="s">
        <v>263</v>
      </c>
      <c r="H212" s="36" t="s">
        <v>140</v>
      </c>
    </row>
    <row r="213" customFormat="false" ht="15" hidden="false" customHeight="false" outlineLevel="0" collapsed="false">
      <c r="A213" s="36" t="s">
        <v>590</v>
      </c>
      <c r="B213" s="36" t="s">
        <v>469</v>
      </c>
      <c r="C213" s="36" t="s">
        <v>44</v>
      </c>
      <c r="D213" s="36" t="s">
        <v>160</v>
      </c>
      <c r="E213" s="36" t="n">
        <v>6</v>
      </c>
      <c r="F213" s="36" t="n">
        <v>120</v>
      </c>
      <c r="G213" s="36" t="s">
        <v>243</v>
      </c>
      <c r="H213" s="36" t="s">
        <v>141</v>
      </c>
    </row>
    <row r="214" customFormat="false" ht="15" hidden="false" customHeight="false" outlineLevel="0" collapsed="false">
      <c r="A214" s="36" t="s">
        <v>591</v>
      </c>
      <c r="B214" s="36" t="s">
        <v>469</v>
      </c>
      <c r="C214" s="36" t="s">
        <v>44</v>
      </c>
      <c r="D214" s="36" t="s">
        <v>171</v>
      </c>
      <c r="E214" s="36" t="n">
        <v>3</v>
      </c>
      <c r="F214" s="36" t="n">
        <v>65</v>
      </c>
      <c r="G214" s="36" t="s">
        <v>251</v>
      </c>
      <c r="H214" s="36" t="s">
        <v>146</v>
      </c>
    </row>
    <row r="215" customFormat="false" ht="15" hidden="false" customHeight="false" outlineLevel="0" collapsed="false">
      <c r="A215" s="36" t="s">
        <v>592</v>
      </c>
      <c r="B215" s="37" t="n">
        <v>46266</v>
      </c>
      <c r="C215" s="36" t="s">
        <v>44</v>
      </c>
      <c r="D215" s="36" t="s">
        <v>134</v>
      </c>
      <c r="E215" s="36" t="n">
        <v>4</v>
      </c>
      <c r="F215" s="36" t="s">
        <v>552</v>
      </c>
      <c r="G215" s="36" t="s">
        <v>246</v>
      </c>
      <c r="H215" s="36" t="s">
        <v>141</v>
      </c>
    </row>
    <row r="216" customFormat="false" ht="15" hidden="false" customHeight="false" outlineLevel="0" collapsed="false">
      <c r="A216" s="36" t="s">
        <v>593</v>
      </c>
      <c r="B216" s="36" t="s">
        <v>469</v>
      </c>
      <c r="C216" s="36" t="s">
        <v>419</v>
      </c>
      <c r="D216" s="36" t="s">
        <v>154</v>
      </c>
      <c r="E216" s="36" t="n">
        <v>6</v>
      </c>
      <c r="F216" s="36" t="s">
        <v>380</v>
      </c>
      <c r="G216" s="36" t="s">
        <v>246</v>
      </c>
      <c r="H216" s="36" t="s">
        <v>132</v>
      </c>
    </row>
    <row r="217" customFormat="false" ht="15" hidden="false" customHeight="false" outlineLevel="0" collapsed="false">
      <c r="A217" s="36" t="s">
        <v>594</v>
      </c>
      <c r="B217" s="36" t="s">
        <v>474</v>
      </c>
      <c r="C217" s="36" t="s">
        <v>45</v>
      </c>
      <c r="D217" s="36" t="s">
        <v>182</v>
      </c>
      <c r="E217" s="36" t="n">
        <v>6</v>
      </c>
      <c r="F217" s="36" t="n">
        <v>380</v>
      </c>
      <c r="G217" s="36" t="s">
        <v>246</v>
      </c>
      <c r="H217" s="36" t="s">
        <v>146</v>
      </c>
    </row>
    <row r="218" customFormat="false" ht="15" hidden="false" customHeight="false" outlineLevel="0" collapsed="false">
      <c r="A218" s="36" t="s">
        <v>595</v>
      </c>
      <c r="B218" s="36" t="s">
        <v>474</v>
      </c>
      <c r="C218" s="36" t="s">
        <v>45</v>
      </c>
      <c r="D218" s="36" t="s">
        <v>227</v>
      </c>
      <c r="E218" s="36" t="n">
        <v>1</v>
      </c>
      <c r="F218" s="36" t="s">
        <v>325</v>
      </c>
      <c r="G218" s="36" t="s">
        <v>243</v>
      </c>
      <c r="H218" s="36" t="s">
        <v>145</v>
      </c>
    </row>
    <row r="219" customFormat="false" ht="15" hidden="false" customHeight="false" outlineLevel="0" collapsed="false">
      <c r="A219" s="36" t="s">
        <v>596</v>
      </c>
      <c r="B219" s="36" t="s">
        <v>474</v>
      </c>
      <c r="C219" s="36" t="s">
        <v>45</v>
      </c>
      <c r="D219" s="36" t="s">
        <v>209</v>
      </c>
      <c r="E219" s="36" t="n">
        <v>1</v>
      </c>
      <c r="F219" s="36" t="n">
        <v>190</v>
      </c>
      <c r="G219" s="36" t="s">
        <v>260</v>
      </c>
      <c r="H219" s="36" t="s">
        <v>131</v>
      </c>
    </row>
    <row r="220" customFormat="false" ht="15" hidden="false" customHeight="false" outlineLevel="0" collapsed="false">
      <c r="A220" s="36" t="s">
        <v>597</v>
      </c>
      <c r="B220" s="36" t="s">
        <v>469</v>
      </c>
      <c r="C220" s="36" t="s">
        <v>419</v>
      </c>
      <c r="D220" s="36" t="s">
        <v>204</v>
      </c>
      <c r="E220" s="36" t="n">
        <v>4</v>
      </c>
      <c r="F220" s="36" t="s">
        <v>255</v>
      </c>
      <c r="G220" s="36" t="s">
        <v>270</v>
      </c>
      <c r="H220" s="36" t="s">
        <v>140</v>
      </c>
    </row>
    <row r="221" customFormat="false" ht="15" hidden="false" customHeight="false" outlineLevel="0" collapsed="false">
      <c r="A221" s="36" t="s">
        <v>598</v>
      </c>
      <c r="B221" s="36" t="s">
        <v>474</v>
      </c>
      <c r="C221" s="36" t="s">
        <v>417</v>
      </c>
      <c r="D221" s="36" t="s">
        <v>299</v>
      </c>
      <c r="E221" s="36" t="n">
        <v>2</v>
      </c>
      <c r="F221" s="36" t="n">
        <v>60</v>
      </c>
      <c r="G221" s="36" t="s">
        <v>263</v>
      </c>
      <c r="H221" s="36" t="s">
        <v>131</v>
      </c>
    </row>
    <row r="222" customFormat="false" ht="15" hidden="false" customHeight="false" outlineLevel="0" collapsed="false">
      <c r="A222" s="36" t="s">
        <v>599</v>
      </c>
      <c r="B222" s="36" t="s">
        <v>469</v>
      </c>
      <c r="C222" s="36" t="s">
        <v>45</v>
      </c>
      <c r="D222" s="36" t="s">
        <v>174</v>
      </c>
      <c r="E222" s="36" t="n">
        <v>3</v>
      </c>
      <c r="F222" s="36" t="s">
        <v>600</v>
      </c>
      <c r="G222" s="36" t="s">
        <v>270</v>
      </c>
      <c r="H222" s="36" t="s">
        <v>308</v>
      </c>
    </row>
    <row r="223" customFormat="false" ht="15" hidden="false" customHeight="false" outlineLevel="0" collapsed="false">
      <c r="A223" s="36" t="s">
        <v>601</v>
      </c>
      <c r="B223" s="36" t="s">
        <v>469</v>
      </c>
      <c r="C223" s="36" t="s">
        <v>153</v>
      </c>
      <c r="D223" s="36" t="s">
        <v>161</v>
      </c>
      <c r="E223" s="36"/>
      <c r="F223" s="36" t="n">
        <v>40</v>
      </c>
      <c r="G223" s="36" t="s">
        <v>260</v>
      </c>
      <c r="H223" s="36" t="s">
        <v>247</v>
      </c>
    </row>
    <row r="224" customFormat="false" ht="15" hidden="false" customHeight="false" outlineLevel="0" collapsed="false">
      <c r="A224" s="36" t="s">
        <v>602</v>
      </c>
      <c r="B224" s="36" t="s">
        <v>474</v>
      </c>
      <c r="C224" s="36" t="s">
        <v>45</v>
      </c>
      <c r="D224" s="36" t="s">
        <v>148</v>
      </c>
      <c r="E224" s="36" t="n">
        <v>4</v>
      </c>
      <c r="F224" s="36" t="s">
        <v>358</v>
      </c>
      <c r="G224" s="36" t="s">
        <v>246</v>
      </c>
      <c r="H224" s="36" t="s">
        <v>141</v>
      </c>
    </row>
    <row r="225" customFormat="false" ht="15" hidden="false" customHeight="false" outlineLevel="0" collapsed="false">
      <c r="A225" s="36" t="s">
        <v>603</v>
      </c>
      <c r="B225" s="36" t="s">
        <v>474</v>
      </c>
      <c r="C225" s="36" t="s">
        <v>153</v>
      </c>
      <c r="D225" s="36" t="s">
        <v>357</v>
      </c>
      <c r="E225" s="36" t="n">
        <v>3</v>
      </c>
      <c r="F225" s="36" t="s">
        <v>380</v>
      </c>
      <c r="G225" s="36" t="s">
        <v>270</v>
      </c>
      <c r="H225" s="36" t="s">
        <v>132</v>
      </c>
    </row>
    <row r="226" customFormat="false" ht="15" hidden="false" customHeight="false" outlineLevel="0" collapsed="false">
      <c r="A226" s="36" t="s">
        <v>604</v>
      </c>
      <c r="B226" s="36" t="s">
        <v>474</v>
      </c>
      <c r="C226" s="36" t="s">
        <v>417</v>
      </c>
      <c r="D226" s="36" t="s">
        <v>605</v>
      </c>
      <c r="E226" s="36" t="n">
        <v>-3</v>
      </c>
      <c r="F226" s="36" t="n">
        <v>450</v>
      </c>
      <c r="G226" s="36" t="s">
        <v>251</v>
      </c>
      <c r="H226" s="36" t="s">
        <v>132</v>
      </c>
    </row>
    <row r="227" customFormat="false" ht="15" hidden="false" customHeight="false" outlineLevel="0" collapsed="false">
      <c r="A227" s="36" t="s">
        <v>606</v>
      </c>
      <c r="B227" s="36" t="s">
        <v>469</v>
      </c>
      <c r="C227" s="36" t="s">
        <v>45</v>
      </c>
      <c r="D227" s="36" t="s">
        <v>382</v>
      </c>
      <c r="E227" s="36" t="n">
        <v>2</v>
      </c>
      <c r="F227" s="36" t="n">
        <v>130</v>
      </c>
      <c r="G227" s="36" t="s">
        <v>260</v>
      </c>
      <c r="H227" s="36" t="s">
        <v>321</v>
      </c>
    </row>
    <row r="228" customFormat="false" ht="15" hidden="false" customHeight="false" outlineLevel="0" collapsed="false">
      <c r="A228" s="36" t="s">
        <v>607</v>
      </c>
      <c r="B228" s="36" t="s">
        <v>469</v>
      </c>
      <c r="C228" s="36" t="s">
        <v>419</v>
      </c>
      <c r="D228" s="36" t="s">
        <v>475</v>
      </c>
      <c r="E228" s="36" t="n">
        <v>1</v>
      </c>
      <c r="F228" s="36" t="s">
        <v>339</v>
      </c>
      <c r="G228" s="36" t="s">
        <v>267</v>
      </c>
      <c r="H228" s="36" t="s">
        <v>321</v>
      </c>
    </row>
    <row r="229" customFormat="false" ht="15" hidden="false" customHeight="false" outlineLevel="0" collapsed="false">
      <c r="A229" s="36" t="s">
        <v>608</v>
      </c>
      <c r="B229" s="36" t="s">
        <v>469</v>
      </c>
      <c r="C229" s="36" t="s">
        <v>417</v>
      </c>
      <c r="D229" s="36" t="s">
        <v>220</v>
      </c>
      <c r="E229" s="36" t="s">
        <v>282</v>
      </c>
      <c r="F229" s="36" t="n">
        <v>195</v>
      </c>
      <c r="G229" s="36" t="s">
        <v>256</v>
      </c>
      <c r="H229" s="36" t="s">
        <v>308</v>
      </c>
    </row>
    <row r="230" customFormat="false" ht="15" hidden="false" customHeight="false" outlineLevel="0" collapsed="false">
      <c r="A230" s="36" t="s">
        <v>609</v>
      </c>
      <c r="B230" s="36" t="s">
        <v>474</v>
      </c>
      <c r="C230" s="36" t="s">
        <v>45</v>
      </c>
      <c r="D230" s="36" t="s">
        <v>148</v>
      </c>
      <c r="E230" s="36" t="n">
        <v>2</v>
      </c>
      <c r="F230" s="36" t="n">
        <v>330</v>
      </c>
      <c r="G230" s="36" t="s">
        <v>260</v>
      </c>
      <c r="H230" s="36" t="s">
        <v>141</v>
      </c>
    </row>
    <row r="231" customFormat="false" ht="15" hidden="false" customHeight="false" outlineLevel="0" collapsed="false">
      <c r="A231" s="36" t="s">
        <v>610</v>
      </c>
      <c r="B231" s="36" t="s">
        <v>469</v>
      </c>
      <c r="C231" s="36" t="s">
        <v>45</v>
      </c>
      <c r="D231" s="36" t="s">
        <v>280</v>
      </c>
      <c r="E231" s="36" t="n">
        <v>1</v>
      </c>
      <c r="F231" s="36" t="s">
        <v>358</v>
      </c>
      <c r="G231" s="36" t="s">
        <v>246</v>
      </c>
      <c r="H231" s="36" t="s">
        <v>141</v>
      </c>
    </row>
    <row r="232" customFormat="false" ht="15" hidden="false" customHeight="false" outlineLevel="0" collapsed="false">
      <c r="A232" s="36" t="s">
        <v>611</v>
      </c>
      <c r="B232" s="36" t="s">
        <v>474</v>
      </c>
      <c r="C232" s="36" t="s">
        <v>419</v>
      </c>
      <c r="D232" s="36" t="s">
        <v>214</v>
      </c>
      <c r="E232" s="36" t="n">
        <v>2</v>
      </c>
      <c r="F232" s="36" t="n">
        <v>160</v>
      </c>
      <c r="G232" s="36" t="s">
        <v>267</v>
      </c>
      <c r="H232" s="36" t="s">
        <v>131</v>
      </c>
    </row>
    <row r="233" customFormat="false" ht="15" hidden="false" customHeight="false" outlineLevel="0" collapsed="false">
      <c r="A233" s="36" t="s">
        <v>612</v>
      </c>
      <c r="B233" s="36" t="s">
        <v>474</v>
      </c>
      <c r="C233" s="36" t="s">
        <v>417</v>
      </c>
      <c r="D233" s="36" t="s">
        <v>204</v>
      </c>
      <c r="E233" s="36" t="n">
        <v>4</v>
      </c>
      <c r="F233" s="36" t="n">
        <v>130</v>
      </c>
      <c r="G233" s="36" t="s">
        <v>260</v>
      </c>
      <c r="H233" s="36" t="s">
        <v>132</v>
      </c>
    </row>
    <row r="234" customFormat="false" ht="15" hidden="false" customHeight="false" outlineLevel="0" collapsed="false">
      <c r="A234" s="36" t="s">
        <v>613</v>
      </c>
      <c r="B234" s="36" t="s">
        <v>474</v>
      </c>
      <c r="C234" s="36" t="s">
        <v>45</v>
      </c>
      <c r="D234" s="36" t="s">
        <v>169</v>
      </c>
      <c r="E234" s="36" t="n">
        <v>6</v>
      </c>
      <c r="F234" s="36" t="n">
        <v>65</v>
      </c>
      <c r="G234" s="36" t="s">
        <v>270</v>
      </c>
      <c r="H234" s="36" t="s">
        <v>131</v>
      </c>
    </row>
    <row r="235" customFormat="false" ht="15" hidden="false" customHeight="false" outlineLevel="0" collapsed="false">
      <c r="A235" s="36" t="s">
        <v>614</v>
      </c>
      <c r="B235" s="36" t="s">
        <v>469</v>
      </c>
      <c r="C235" s="36" t="s">
        <v>156</v>
      </c>
      <c r="D235" s="36" t="s">
        <v>133</v>
      </c>
      <c r="E235" s="36" t="n">
        <v>2</v>
      </c>
      <c r="F235" s="36" t="n">
        <v>190</v>
      </c>
      <c r="G235" s="36" t="s">
        <v>267</v>
      </c>
      <c r="H235" s="36" t="s">
        <v>146</v>
      </c>
    </row>
    <row r="236" customFormat="false" ht="15" hidden="false" customHeight="false" outlineLevel="0" collapsed="false">
      <c r="A236" s="36" t="s">
        <v>615</v>
      </c>
      <c r="B236" s="36" t="s">
        <v>474</v>
      </c>
      <c r="C236" s="36" t="s">
        <v>46</v>
      </c>
      <c r="D236" s="36" t="s">
        <v>174</v>
      </c>
      <c r="E236" s="36" t="n">
        <v>6</v>
      </c>
      <c r="F236" s="36" t="n">
        <v>210</v>
      </c>
      <c r="G236" s="36" t="s">
        <v>260</v>
      </c>
      <c r="H236" s="36" t="s">
        <v>131</v>
      </c>
    </row>
    <row r="237" customFormat="false" ht="15" hidden="false" customHeight="false" outlineLevel="0" collapsed="false">
      <c r="A237" s="36" t="s">
        <v>616</v>
      </c>
      <c r="B237" s="36" t="s">
        <v>469</v>
      </c>
      <c r="C237" s="36" t="s">
        <v>46</v>
      </c>
      <c r="D237" s="36" t="s">
        <v>170</v>
      </c>
      <c r="E237" s="36" t="n">
        <v>1</v>
      </c>
      <c r="F237" s="36" t="n">
        <v>360</v>
      </c>
      <c r="G237" s="36" t="s">
        <v>263</v>
      </c>
      <c r="H237" s="36" t="s">
        <v>141</v>
      </c>
    </row>
    <row r="238" customFormat="false" ht="15" hidden="false" customHeight="false" outlineLevel="0" collapsed="false">
      <c r="A238" s="36" t="s">
        <v>617</v>
      </c>
      <c r="B238" s="36" t="s">
        <v>469</v>
      </c>
      <c r="C238" s="36" t="s">
        <v>156</v>
      </c>
      <c r="D238" s="36" t="s">
        <v>618</v>
      </c>
      <c r="E238" s="36" t="n">
        <v>1</v>
      </c>
      <c r="F238" s="36" t="n">
        <v>160</v>
      </c>
      <c r="G238" s="36" t="s">
        <v>263</v>
      </c>
      <c r="H238" s="36" t="s">
        <v>141</v>
      </c>
    </row>
    <row r="239" customFormat="false" ht="15" hidden="false" customHeight="false" outlineLevel="0" collapsed="false">
      <c r="A239" s="36" t="s">
        <v>619</v>
      </c>
      <c r="B239" s="36" t="s">
        <v>620</v>
      </c>
      <c r="C239" s="36" t="s">
        <v>43</v>
      </c>
      <c r="D239" s="36" t="s">
        <v>492</v>
      </c>
      <c r="E239" s="36" t="n">
        <v>1</v>
      </c>
      <c r="F239" s="36" t="s">
        <v>457</v>
      </c>
      <c r="G239" s="36" t="s">
        <v>256</v>
      </c>
      <c r="H239" s="36" t="s">
        <v>141</v>
      </c>
    </row>
    <row r="240" customFormat="false" ht="15" hidden="false" customHeight="false" outlineLevel="0" collapsed="false">
      <c r="A240" s="36" t="s">
        <v>621</v>
      </c>
      <c r="B240" s="36" t="s">
        <v>474</v>
      </c>
      <c r="C240" s="36" t="s">
        <v>156</v>
      </c>
      <c r="D240" s="36" t="s">
        <v>172</v>
      </c>
      <c r="E240" s="36" t="n">
        <v>1</v>
      </c>
      <c r="F240" s="36" t="n">
        <v>60</v>
      </c>
      <c r="G240" s="36" t="s">
        <v>267</v>
      </c>
      <c r="H240" s="36" t="s">
        <v>131</v>
      </c>
    </row>
    <row r="241" customFormat="false" ht="15" hidden="false" customHeight="false" outlineLevel="0" collapsed="false">
      <c r="A241" s="36" t="s">
        <v>622</v>
      </c>
      <c r="B241" s="37" t="n">
        <v>46266</v>
      </c>
      <c r="C241" s="36" t="s">
        <v>156</v>
      </c>
      <c r="D241" s="36" t="s">
        <v>623</v>
      </c>
      <c r="E241" s="36" t="n">
        <v>1</v>
      </c>
      <c r="F241" s="36" t="s">
        <v>552</v>
      </c>
      <c r="G241" s="36" t="s">
        <v>267</v>
      </c>
      <c r="H241" s="36" t="s">
        <v>146</v>
      </c>
    </row>
    <row r="242" customFormat="false" ht="15" hidden="false" customHeight="false" outlineLevel="0" collapsed="false">
      <c r="A242" s="36" t="s">
        <v>624</v>
      </c>
      <c r="B242" s="36" t="s">
        <v>469</v>
      </c>
      <c r="C242" s="36" t="s">
        <v>46</v>
      </c>
      <c r="D242" s="36" t="s">
        <v>625</v>
      </c>
      <c r="E242" s="36" t="n">
        <v>3</v>
      </c>
      <c r="F242" s="36" t="s">
        <v>420</v>
      </c>
      <c r="G242" s="36" t="s">
        <v>243</v>
      </c>
      <c r="H242" s="36" t="s">
        <v>247</v>
      </c>
    </row>
    <row r="243" customFormat="false" ht="15" hidden="false" customHeight="false" outlineLevel="0" collapsed="false">
      <c r="A243" s="36" t="s">
        <v>626</v>
      </c>
      <c r="B243" s="36" t="s">
        <v>474</v>
      </c>
      <c r="C243" s="36" t="s">
        <v>46</v>
      </c>
      <c r="D243" s="36" t="s">
        <v>196</v>
      </c>
      <c r="E243" s="36" t="n">
        <v>1</v>
      </c>
      <c r="F243" s="36" t="s">
        <v>627</v>
      </c>
      <c r="G243" s="36" t="s">
        <v>260</v>
      </c>
      <c r="H243" s="36" t="s">
        <v>132</v>
      </c>
    </row>
    <row r="244" customFormat="false" ht="15" hidden="false" customHeight="false" outlineLevel="0" collapsed="false">
      <c r="A244" s="36" t="s">
        <v>628</v>
      </c>
      <c r="B244" s="36" t="s">
        <v>474</v>
      </c>
      <c r="C244" s="36" t="s">
        <v>46</v>
      </c>
      <c r="D244" s="36" t="s">
        <v>225</v>
      </c>
      <c r="E244" s="36" t="n">
        <v>3</v>
      </c>
      <c r="F244" s="36" t="s">
        <v>627</v>
      </c>
      <c r="G244" s="36" t="s">
        <v>256</v>
      </c>
      <c r="H244" s="36" t="s">
        <v>141</v>
      </c>
    </row>
    <row r="245" customFormat="false" ht="15" hidden="false" customHeight="false" outlineLevel="0" collapsed="false">
      <c r="A245" s="36" t="s">
        <v>629</v>
      </c>
      <c r="B245" s="36" t="s">
        <v>474</v>
      </c>
      <c r="C245" s="36" t="s">
        <v>156</v>
      </c>
      <c r="D245" s="36" t="s">
        <v>287</v>
      </c>
      <c r="E245" s="36" t="n">
        <v>1</v>
      </c>
      <c r="F245" s="36" t="n">
        <v>380</v>
      </c>
      <c r="G245" s="36" t="s">
        <v>260</v>
      </c>
      <c r="H245" s="36" t="s">
        <v>321</v>
      </c>
    </row>
    <row r="246" customFormat="false" ht="15" hidden="false" customHeight="false" outlineLevel="0" collapsed="false">
      <c r="A246" s="36" t="s">
        <v>630</v>
      </c>
      <c r="B246" s="36" t="s">
        <v>474</v>
      </c>
      <c r="C246" s="36" t="s">
        <v>46</v>
      </c>
      <c r="D246" s="36" t="s">
        <v>631</v>
      </c>
      <c r="E246" s="36" t="n">
        <v>1</v>
      </c>
      <c r="F246" s="36" t="s">
        <v>507</v>
      </c>
      <c r="G246" s="36" t="s">
        <v>251</v>
      </c>
      <c r="H246" s="36" t="s">
        <v>132</v>
      </c>
    </row>
    <row r="247" customFormat="false" ht="15" hidden="false" customHeight="false" outlineLevel="0" collapsed="false">
      <c r="A247" s="36" t="s">
        <v>632</v>
      </c>
      <c r="B247" s="36" t="s">
        <v>474</v>
      </c>
      <c r="C247" s="36" t="s">
        <v>46</v>
      </c>
      <c r="D247" s="36" t="s">
        <v>163</v>
      </c>
      <c r="E247" s="36" t="n">
        <v>1</v>
      </c>
      <c r="F247" s="36" t="n">
        <v>40</v>
      </c>
      <c r="G247" s="36" t="s">
        <v>243</v>
      </c>
      <c r="H247" s="36" t="s">
        <v>247</v>
      </c>
    </row>
    <row r="248" customFormat="false" ht="15" hidden="false" customHeight="false" outlineLevel="0" collapsed="false">
      <c r="A248" s="36" t="s">
        <v>633</v>
      </c>
      <c r="B248" s="36" t="s">
        <v>469</v>
      </c>
      <c r="C248" s="36" t="s">
        <v>156</v>
      </c>
      <c r="D248" s="36" t="s">
        <v>148</v>
      </c>
      <c r="E248" s="36" t="n">
        <v>3</v>
      </c>
      <c r="F248" s="36" t="n">
        <v>330</v>
      </c>
      <c r="G248" s="36" t="s">
        <v>267</v>
      </c>
      <c r="H248" s="36" t="s">
        <v>321</v>
      </c>
    </row>
    <row r="249" customFormat="false" ht="15" hidden="false" customHeight="false" outlineLevel="0" collapsed="false">
      <c r="A249" s="36" t="s">
        <v>634</v>
      </c>
      <c r="B249" s="36" t="s">
        <v>474</v>
      </c>
      <c r="C249" s="36" t="s">
        <v>46</v>
      </c>
      <c r="D249" s="36" t="s">
        <v>205</v>
      </c>
      <c r="E249" s="36" t="n">
        <v>4</v>
      </c>
      <c r="F249" s="36" t="s">
        <v>302</v>
      </c>
      <c r="G249" s="36" t="s">
        <v>260</v>
      </c>
      <c r="H249" s="36" t="s">
        <v>321</v>
      </c>
    </row>
    <row r="250" customFormat="false" ht="15" hidden="false" customHeight="false" outlineLevel="0" collapsed="false">
      <c r="A250" s="36" t="s">
        <v>635</v>
      </c>
      <c r="B250" s="37" t="n">
        <v>46266</v>
      </c>
      <c r="C250" s="36" t="s">
        <v>156</v>
      </c>
      <c r="D250" s="36" t="s">
        <v>390</v>
      </c>
      <c r="E250" s="36" t="n">
        <v>2</v>
      </c>
      <c r="F250" s="36" t="s">
        <v>245</v>
      </c>
      <c r="G250" s="36" t="s">
        <v>256</v>
      </c>
      <c r="H250" s="36" t="s">
        <v>146</v>
      </c>
    </row>
    <row r="251" customFormat="false" ht="15" hidden="false" customHeight="false" outlineLevel="0" collapsed="false">
      <c r="A251" s="36" t="s">
        <v>636</v>
      </c>
      <c r="B251" s="36" t="s">
        <v>469</v>
      </c>
      <c r="C251" s="36" t="s">
        <v>46</v>
      </c>
      <c r="D251" s="36" t="s">
        <v>631</v>
      </c>
      <c r="E251" s="36" t="n">
        <v>2</v>
      </c>
      <c r="F251" s="36" t="s">
        <v>637</v>
      </c>
      <c r="G251" s="36" t="s">
        <v>243</v>
      </c>
      <c r="H251" s="36" t="s">
        <v>132</v>
      </c>
    </row>
    <row r="252" customFormat="false" ht="15" hidden="false" customHeight="false" outlineLevel="0" collapsed="false">
      <c r="A252" s="36" t="s">
        <v>638</v>
      </c>
      <c r="B252" s="36" t="s">
        <v>474</v>
      </c>
      <c r="C252" s="36" t="s">
        <v>46</v>
      </c>
      <c r="D252" s="36" t="s">
        <v>152</v>
      </c>
      <c r="E252" s="36" t="n">
        <v>4</v>
      </c>
      <c r="F252" s="36" t="n">
        <v>40</v>
      </c>
      <c r="G252" s="36" t="s">
        <v>251</v>
      </c>
      <c r="H252" s="36" t="s">
        <v>146</v>
      </c>
    </row>
    <row r="253" customFormat="false" ht="15" hidden="false" customHeight="false" outlineLevel="0" collapsed="false">
      <c r="A253" s="36" t="s">
        <v>639</v>
      </c>
      <c r="B253" s="37" t="n">
        <v>46266</v>
      </c>
      <c r="C253" s="36" t="s">
        <v>46</v>
      </c>
      <c r="D253" s="36" t="s">
        <v>640</v>
      </c>
      <c r="E253" s="36" t="n">
        <v>4</v>
      </c>
      <c r="F253" s="36" t="n">
        <v>150</v>
      </c>
      <c r="G253" s="36" t="s">
        <v>256</v>
      </c>
      <c r="H253" s="36" t="s">
        <v>132</v>
      </c>
    </row>
    <row r="254" customFormat="false" ht="15" hidden="false" customHeight="false" outlineLevel="0" collapsed="false">
      <c r="A254" s="36" t="s">
        <v>641</v>
      </c>
      <c r="B254" s="36" t="s">
        <v>469</v>
      </c>
      <c r="C254" s="36" t="s">
        <v>156</v>
      </c>
      <c r="D254" s="36" t="s">
        <v>242</v>
      </c>
      <c r="E254" s="36" t="n">
        <v>6</v>
      </c>
      <c r="F254" s="36" t="n">
        <v>380</v>
      </c>
      <c r="G254" s="36" t="s">
        <v>251</v>
      </c>
      <c r="H254" s="36" t="s">
        <v>247</v>
      </c>
    </row>
    <row r="255" customFormat="false" ht="15" hidden="false" customHeight="false" outlineLevel="0" collapsed="false">
      <c r="A255" s="36" t="s">
        <v>642</v>
      </c>
      <c r="B255" s="37" t="n">
        <v>46266</v>
      </c>
      <c r="C255" s="36" t="s">
        <v>448</v>
      </c>
      <c r="D255" s="36" t="s">
        <v>159</v>
      </c>
      <c r="E255" s="36" t="n">
        <v>1</v>
      </c>
      <c r="F255" s="36" t="s">
        <v>380</v>
      </c>
      <c r="G255" s="36" t="s">
        <v>260</v>
      </c>
      <c r="H255" s="36" t="s">
        <v>306</v>
      </c>
    </row>
    <row r="256" customFormat="false" ht="15" hidden="false" customHeight="false" outlineLevel="0" collapsed="false">
      <c r="A256" s="36" t="s">
        <v>643</v>
      </c>
      <c r="B256" s="36" t="s">
        <v>644</v>
      </c>
      <c r="C256" s="36" t="s">
        <v>294</v>
      </c>
      <c r="D256" s="36" t="s">
        <v>208</v>
      </c>
      <c r="E256" s="36" t="n">
        <v>1</v>
      </c>
      <c r="F256" s="36" t="n">
        <v>280</v>
      </c>
      <c r="G256" s="36" t="s">
        <v>260</v>
      </c>
      <c r="H256" s="36" t="s">
        <v>308</v>
      </c>
    </row>
    <row r="257" customFormat="false" ht="15" hidden="false" customHeight="false" outlineLevel="0" collapsed="false">
      <c r="A257" s="36" t="s">
        <v>645</v>
      </c>
      <c r="B257" s="36" t="s">
        <v>644</v>
      </c>
      <c r="C257" s="36" t="s">
        <v>254</v>
      </c>
      <c r="D257" s="36" t="s">
        <v>646</v>
      </c>
      <c r="E257" s="36" t="n">
        <v>2</v>
      </c>
      <c r="F257" s="36" t="s">
        <v>245</v>
      </c>
      <c r="G257" s="36" t="s">
        <v>263</v>
      </c>
      <c r="H257" s="36" t="s">
        <v>321</v>
      </c>
    </row>
    <row r="258" customFormat="false" ht="15" hidden="false" customHeight="false" outlineLevel="0" collapsed="false">
      <c r="A258" s="36" t="s">
        <v>647</v>
      </c>
      <c r="B258" s="36" t="s">
        <v>644</v>
      </c>
      <c r="C258" s="36" t="s">
        <v>42</v>
      </c>
      <c r="D258" s="36" t="s">
        <v>648</v>
      </c>
      <c r="E258" s="36" t="n">
        <v>1</v>
      </c>
      <c r="F258" s="36" t="s">
        <v>378</v>
      </c>
      <c r="G258" s="36" t="s">
        <v>260</v>
      </c>
      <c r="H258" s="36" t="s">
        <v>132</v>
      </c>
    </row>
    <row r="259" customFormat="false" ht="15" hidden="false" customHeight="false" outlineLevel="0" collapsed="false">
      <c r="A259" s="36" t="s">
        <v>649</v>
      </c>
      <c r="B259" s="36" t="s">
        <v>650</v>
      </c>
      <c r="C259" s="36" t="s">
        <v>241</v>
      </c>
      <c r="D259" s="36" t="s">
        <v>646</v>
      </c>
      <c r="E259" s="36" t="s">
        <v>651</v>
      </c>
      <c r="F259" s="36" t="n">
        <v>110</v>
      </c>
      <c r="G259" s="36" t="s">
        <v>246</v>
      </c>
      <c r="H259" s="36" t="s">
        <v>140</v>
      </c>
    </row>
    <row r="260" customFormat="false" ht="15" hidden="false" customHeight="false" outlineLevel="0" collapsed="false">
      <c r="A260" s="36" t="s">
        <v>652</v>
      </c>
      <c r="B260" s="36" t="s">
        <v>644</v>
      </c>
      <c r="C260" s="36" t="s">
        <v>254</v>
      </c>
      <c r="D260" s="36" t="s">
        <v>188</v>
      </c>
      <c r="E260" s="36" t="n">
        <v>4</v>
      </c>
      <c r="F260" s="36" t="n">
        <v>85</v>
      </c>
      <c r="G260" s="36" t="s">
        <v>260</v>
      </c>
      <c r="H260" s="36" t="s">
        <v>131</v>
      </c>
    </row>
    <row r="261" customFormat="false" ht="15" hidden="false" customHeight="false" outlineLevel="0" collapsed="false">
      <c r="A261" s="36" t="s">
        <v>653</v>
      </c>
      <c r="B261" s="36" t="s">
        <v>650</v>
      </c>
      <c r="C261" s="36" t="s">
        <v>294</v>
      </c>
      <c r="D261" s="36" t="s">
        <v>654</v>
      </c>
      <c r="E261" s="36" t="n">
        <v>1</v>
      </c>
      <c r="F261" s="36" t="n">
        <v>85</v>
      </c>
      <c r="G261" s="36" t="s">
        <v>246</v>
      </c>
      <c r="H261" s="36" t="s">
        <v>247</v>
      </c>
    </row>
    <row r="262" customFormat="false" ht="15" hidden="false" customHeight="false" outlineLevel="0" collapsed="false">
      <c r="A262" s="36" t="s">
        <v>655</v>
      </c>
      <c r="B262" s="37" t="n">
        <v>46267</v>
      </c>
      <c r="C262" s="36" t="s">
        <v>249</v>
      </c>
      <c r="D262" s="36" t="s">
        <v>177</v>
      </c>
      <c r="E262" s="36" t="n">
        <v>1</v>
      </c>
      <c r="F262" s="36" t="n">
        <v>310</v>
      </c>
      <c r="G262" s="36" t="s">
        <v>251</v>
      </c>
      <c r="H262" s="36" t="s">
        <v>131</v>
      </c>
    </row>
    <row r="263" customFormat="false" ht="15" hidden="false" customHeight="false" outlineLevel="0" collapsed="false">
      <c r="A263" s="36" t="s">
        <v>656</v>
      </c>
      <c r="B263" s="36" t="s">
        <v>644</v>
      </c>
      <c r="C263" s="36" t="s">
        <v>241</v>
      </c>
      <c r="D263" s="36" t="s">
        <v>204</v>
      </c>
      <c r="E263" s="36" t="n">
        <v>4</v>
      </c>
      <c r="F263" s="36" t="n">
        <v>130</v>
      </c>
      <c r="G263" s="36" t="s">
        <v>267</v>
      </c>
      <c r="H263" s="36" t="s">
        <v>141</v>
      </c>
    </row>
    <row r="264" customFormat="false" ht="15" hidden="false" customHeight="false" outlineLevel="0" collapsed="false">
      <c r="A264" s="36" t="s">
        <v>657</v>
      </c>
      <c r="B264" s="36" t="s">
        <v>644</v>
      </c>
      <c r="C264" s="36" t="s">
        <v>130</v>
      </c>
      <c r="D264" s="36" t="s">
        <v>142</v>
      </c>
      <c r="E264" s="36" t="n">
        <v>1</v>
      </c>
      <c r="F264" s="36" t="n">
        <v>420</v>
      </c>
      <c r="G264" s="36" t="s">
        <v>263</v>
      </c>
      <c r="H264" s="36" t="s">
        <v>247</v>
      </c>
    </row>
    <row r="265" customFormat="false" ht="15" hidden="false" customHeight="false" outlineLevel="0" collapsed="false">
      <c r="A265" s="36" t="s">
        <v>658</v>
      </c>
      <c r="B265" s="37" t="n">
        <v>46267</v>
      </c>
      <c r="C265" s="36" t="s">
        <v>42</v>
      </c>
      <c r="D265" s="36" t="s">
        <v>164</v>
      </c>
      <c r="E265" s="36" t="n">
        <v>2</v>
      </c>
      <c r="F265" s="36" t="s">
        <v>659</v>
      </c>
      <c r="G265" s="36" t="s">
        <v>267</v>
      </c>
      <c r="H265" s="36" t="s">
        <v>141</v>
      </c>
    </row>
    <row r="266" customFormat="false" ht="15" hidden="false" customHeight="false" outlineLevel="0" collapsed="false">
      <c r="A266" s="36" t="s">
        <v>660</v>
      </c>
      <c r="B266" s="36" t="s">
        <v>644</v>
      </c>
      <c r="C266" s="36" t="s">
        <v>130</v>
      </c>
      <c r="D266" s="36" t="s">
        <v>133</v>
      </c>
      <c r="E266" s="36" t="n">
        <v>1</v>
      </c>
      <c r="F266" s="36" t="s">
        <v>552</v>
      </c>
      <c r="G266" s="36" t="s">
        <v>260</v>
      </c>
      <c r="H266" s="36" t="s">
        <v>141</v>
      </c>
    </row>
    <row r="267" customFormat="false" ht="15" hidden="false" customHeight="false" outlineLevel="0" collapsed="false">
      <c r="A267" s="36" t="s">
        <v>661</v>
      </c>
      <c r="B267" s="36" t="s">
        <v>650</v>
      </c>
      <c r="C267" s="36" t="s">
        <v>42</v>
      </c>
      <c r="D267" s="36" t="s">
        <v>437</v>
      </c>
      <c r="E267" s="36" t="n">
        <v>1</v>
      </c>
      <c r="F267" s="36" t="n">
        <v>330</v>
      </c>
      <c r="G267" s="36" t="s">
        <v>251</v>
      </c>
      <c r="H267" s="36" t="s">
        <v>131</v>
      </c>
    </row>
    <row r="268" customFormat="false" ht="15" hidden="false" customHeight="false" outlineLevel="0" collapsed="false">
      <c r="A268" s="36" t="s">
        <v>662</v>
      </c>
      <c r="B268" s="36" t="s">
        <v>650</v>
      </c>
      <c r="C268" s="36" t="s">
        <v>130</v>
      </c>
      <c r="D268" s="36" t="s">
        <v>177</v>
      </c>
      <c r="E268" s="36" t="s">
        <v>403</v>
      </c>
      <c r="F268" s="36" t="s">
        <v>663</v>
      </c>
      <c r="G268" s="36" t="s">
        <v>256</v>
      </c>
      <c r="H268" s="36" t="s">
        <v>131</v>
      </c>
    </row>
    <row r="269" customFormat="false" ht="15" hidden="false" customHeight="false" outlineLevel="0" collapsed="false">
      <c r="A269" s="36" t="s">
        <v>664</v>
      </c>
      <c r="B269" s="36" t="s">
        <v>650</v>
      </c>
      <c r="C269" s="36" t="s">
        <v>254</v>
      </c>
      <c r="D269" s="36" t="s">
        <v>222</v>
      </c>
      <c r="E269" s="36" t="n">
        <v>4</v>
      </c>
      <c r="F269" s="36" t="s">
        <v>665</v>
      </c>
      <c r="G269" s="36" t="s">
        <v>246</v>
      </c>
      <c r="H269" s="36" t="s">
        <v>140</v>
      </c>
    </row>
    <row r="270" customFormat="false" ht="15" hidden="false" customHeight="false" outlineLevel="0" collapsed="false">
      <c r="A270" s="36" t="s">
        <v>666</v>
      </c>
      <c r="B270" s="36" t="s">
        <v>650</v>
      </c>
      <c r="C270" s="36" t="s">
        <v>249</v>
      </c>
      <c r="D270" s="36" t="s">
        <v>148</v>
      </c>
      <c r="E270" s="36" t="n">
        <v>3</v>
      </c>
      <c r="F270" s="36" t="s">
        <v>275</v>
      </c>
      <c r="G270" s="36" t="s">
        <v>256</v>
      </c>
      <c r="H270" s="36" t="s">
        <v>247</v>
      </c>
    </row>
    <row r="271" customFormat="false" ht="15" hidden="false" customHeight="false" outlineLevel="0" collapsed="false">
      <c r="A271" s="36" t="s">
        <v>667</v>
      </c>
      <c r="B271" s="36" t="s">
        <v>650</v>
      </c>
      <c r="C271" s="36" t="s">
        <v>130</v>
      </c>
      <c r="D271" s="36" t="s">
        <v>299</v>
      </c>
      <c r="E271" s="36" t="n">
        <v>1</v>
      </c>
      <c r="F271" s="36" t="n">
        <v>60</v>
      </c>
      <c r="G271" s="36" t="s">
        <v>270</v>
      </c>
      <c r="H271" s="36" t="s">
        <v>145</v>
      </c>
    </row>
    <row r="272" customFormat="false" ht="15" hidden="false" customHeight="false" outlineLevel="0" collapsed="false">
      <c r="A272" s="36" t="s">
        <v>668</v>
      </c>
      <c r="B272" s="36" t="s">
        <v>650</v>
      </c>
      <c r="C272" s="36" t="s">
        <v>254</v>
      </c>
      <c r="D272" s="36" t="s">
        <v>166</v>
      </c>
      <c r="E272" s="36" t="n">
        <v>2</v>
      </c>
      <c r="F272" s="36" t="n">
        <v>380</v>
      </c>
      <c r="G272" s="36" t="s">
        <v>243</v>
      </c>
      <c r="H272" s="36" t="s">
        <v>132</v>
      </c>
    </row>
    <row r="273" customFormat="false" ht="15" hidden="false" customHeight="false" outlineLevel="0" collapsed="false">
      <c r="A273" s="36" t="s">
        <v>669</v>
      </c>
      <c r="B273" s="36" t="s">
        <v>650</v>
      </c>
      <c r="C273" s="36" t="s">
        <v>249</v>
      </c>
      <c r="D273" s="36" t="s">
        <v>172</v>
      </c>
      <c r="E273" s="36" t="n">
        <v>2</v>
      </c>
      <c r="F273" s="36" t="n">
        <v>60</v>
      </c>
      <c r="G273" s="36" t="s">
        <v>243</v>
      </c>
      <c r="H273" s="36" t="s">
        <v>321</v>
      </c>
    </row>
    <row r="274" customFormat="false" ht="15" hidden="false" customHeight="false" outlineLevel="0" collapsed="false">
      <c r="A274" s="36" t="s">
        <v>670</v>
      </c>
      <c r="B274" s="37" t="n">
        <v>46267</v>
      </c>
      <c r="C274" s="36" t="s">
        <v>241</v>
      </c>
      <c r="D274" s="36" t="s">
        <v>196</v>
      </c>
      <c r="E274" s="36" t="n">
        <v>6</v>
      </c>
      <c r="F274" s="36" t="s">
        <v>443</v>
      </c>
      <c r="G274" s="36" t="s">
        <v>251</v>
      </c>
      <c r="H274" s="36" t="s">
        <v>131</v>
      </c>
    </row>
    <row r="275" customFormat="false" ht="15" hidden="false" customHeight="false" outlineLevel="0" collapsed="false">
      <c r="A275" s="36" t="s">
        <v>671</v>
      </c>
      <c r="B275" s="36" t="s">
        <v>650</v>
      </c>
      <c r="C275" s="36" t="s">
        <v>254</v>
      </c>
      <c r="D275" s="36" t="s">
        <v>382</v>
      </c>
      <c r="E275" s="36" t="n">
        <v>-3</v>
      </c>
      <c r="F275" s="36" t="s">
        <v>255</v>
      </c>
      <c r="G275" s="36" t="s">
        <v>263</v>
      </c>
      <c r="H275" s="36" t="s">
        <v>247</v>
      </c>
    </row>
    <row r="276" customFormat="false" ht="15" hidden="false" customHeight="false" outlineLevel="0" collapsed="false">
      <c r="A276" s="36" t="s">
        <v>672</v>
      </c>
      <c r="B276" s="36" t="s">
        <v>650</v>
      </c>
      <c r="C276" s="36" t="s">
        <v>254</v>
      </c>
      <c r="D276" s="36" t="s">
        <v>415</v>
      </c>
      <c r="E276" s="36" t="n">
        <v>6</v>
      </c>
      <c r="F276" s="36" t="n">
        <v>50</v>
      </c>
      <c r="G276" s="36" t="s">
        <v>246</v>
      </c>
      <c r="H276" s="36" t="s">
        <v>247</v>
      </c>
    </row>
    <row r="277" customFormat="false" ht="15" hidden="false" customHeight="false" outlineLevel="0" collapsed="false">
      <c r="A277" s="36" t="s">
        <v>673</v>
      </c>
      <c r="B277" s="36" t="s">
        <v>650</v>
      </c>
      <c r="C277" s="36" t="s">
        <v>294</v>
      </c>
      <c r="D277" s="36" t="s">
        <v>200</v>
      </c>
      <c r="E277" s="36" t="n">
        <v>4</v>
      </c>
      <c r="F277" s="36" t="n">
        <v>80</v>
      </c>
      <c r="G277" s="36" t="s">
        <v>267</v>
      </c>
      <c r="H277" s="36" t="s">
        <v>146</v>
      </c>
    </row>
    <row r="278" customFormat="false" ht="15" hidden="false" customHeight="false" outlineLevel="0" collapsed="false">
      <c r="A278" s="36" t="s">
        <v>674</v>
      </c>
      <c r="B278" s="36" t="s">
        <v>650</v>
      </c>
      <c r="C278" s="36" t="s">
        <v>130</v>
      </c>
      <c r="D278" s="36" t="s">
        <v>176</v>
      </c>
      <c r="E278" s="36" t="n">
        <v>4</v>
      </c>
      <c r="F278" s="36" t="s">
        <v>675</v>
      </c>
      <c r="G278" s="36" t="s">
        <v>260</v>
      </c>
      <c r="H278" s="36" t="s">
        <v>132</v>
      </c>
    </row>
    <row r="279" customFormat="false" ht="15" hidden="false" customHeight="false" outlineLevel="0" collapsed="false">
      <c r="A279" s="36" t="s">
        <v>676</v>
      </c>
      <c r="B279" s="37" t="n">
        <v>46267</v>
      </c>
      <c r="C279" s="36" t="s">
        <v>241</v>
      </c>
      <c r="D279" s="36" t="s">
        <v>197</v>
      </c>
      <c r="E279" s="36" t="n">
        <v>2</v>
      </c>
      <c r="F279" s="36" t="n">
        <v>60</v>
      </c>
      <c r="G279" s="36" t="s">
        <v>260</v>
      </c>
      <c r="H279" s="36" t="s">
        <v>247</v>
      </c>
    </row>
    <row r="280" customFormat="false" ht="15" hidden="false" customHeight="false" outlineLevel="0" collapsed="false">
      <c r="A280" s="36" t="s">
        <v>677</v>
      </c>
      <c r="B280" s="36" t="s">
        <v>650</v>
      </c>
      <c r="C280" s="36" t="s">
        <v>249</v>
      </c>
      <c r="D280" s="36" t="s">
        <v>678</v>
      </c>
      <c r="E280" s="36" t="n">
        <v>2</v>
      </c>
      <c r="F280" s="36" t="s">
        <v>292</v>
      </c>
      <c r="G280" s="36" t="s">
        <v>251</v>
      </c>
      <c r="H280" s="36" t="s">
        <v>141</v>
      </c>
    </row>
    <row r="281" customFormat="false" ht="15" hidden="false" customHeight="false" outlineLevel="0" collapsed="false">
      <c r="A281" s="36" t="s">
        <v>679</v>
      </c>
      <c r="B281" s="36" t="s">
        <v>644</v>
      </c>
      <c r="C281" s="36" t="s">
        <v>294</v>
      </c>
      <c r="D281" s="36" t="s">
        <v>143</v>
      </c>
      <c r="E281" s="36" t="n">
        <v>1</v>
      </c>
      <c r="F281" s="36" t="s">
        <v>275</v>
      </c>
      <c r="G281" s="36" t="s">
        <v>260</v>
      </c>
      <c r="H281" s="36" t="s">
        <v>140</v>
      </c>
    </row>
    <row r="282" customFormat="false" ht="15" hidden="false" customHeight="false" outlineLevel="0" collapsed="false">
      <c r="A282" s="36" t="s">
        <v>680</v>
      </c>
      <c r="B282" s="36" t="s">
        <v>650</v>
      </c>
      <c r="C282" s="36" t="s">
        <v>249</v>
      </c>
      <c r="D282" s="36" t="s">
        <v>155</v>
      </c>
      <c r="E282" s="36" t="n">
        <v>2</v>
      </c>
      <c r="F282" s="36" t="s">
        <v>245</v>
      </c>
      <c r="G282" s="36" t="s">
        <v>246</v>
      </c>
      <c r="H282" s="36" t="s">
        <v>131</v>
      </c>
    </row>
    <row r="283" customFormat="false" ht="15" hidden="false" customHeight="false" outlineLevel="0" collapsed="false">
      <c r="A283" s="36" t="s">
        <v>681</v>
      </c>
      <c r="B283" s="36" t="s">
        <v>644</v>
      </c>
      <c r="C283" s="36" t="s">
        <v>294</v>
      </c>
      <c r="D283" s="36" t="s">
        <v>197</v>
      </c>
      <c r="E283" s="36" t="n">
        <v>2</v>
      </c>
      <c r="F283" s="36" t="s">
        <v>344</v>
      </c>
      <c r="G283" s="36" t="s">
        <v>263</v>
      </c>
      <c r="H283" s="36" t="s">
        <v>132</v>
      </c>
    </row>
    <row r="284" customFormat="false" ht="15" hidden="false" customHeight="false" outlineLevel="0" collapsed="false">
      <c r="A284" s="36" t="s">
        <v>682</v>
      </c>
      <c r="B284" s="36" t="s">
        <v>650</v>
      </c>
      <c r="C284" s="36" t="s">
        <v>241</v>
      </c>
      <c r="D284" s="36" t="s">
        <v>357</v>
      </c>
      <c r="E284" s="36" t="n">
        <v>2</v>
      </c>
      <c r="F284" s="36" t="n">
        <v>330</v>
      </c>
      <c r="G284" s="36" t="s">
        <v>251</v>
      </c>
      <c r="H284" s="36" t="s">
        <v>321</v>
      </c>
    </row>
    <row r="285" customFormat="false" ht="15" hidden="false" customHeight="false" outlineLevel="0" collapsed="false">
      <c r="A285" s="36" t="s">
        <v>683</v>
      </c>
      <c r="B285" s="36" t="s">
        <v>644</v>
      </c>
      <c r="C285" s="36" t="s">
        <v>42</v>
      </c>
      <c r="D285" s="36" t="s">
        <v>405</v>
      </c>
      <c r="E285" s="36"/>
      <c r="F285" s="36" t="s">
        <v>275</v>
      </c>
      <c r="G285" s="36" t="s">
        <v>246</v>
      </c>
      <c r="H285" s="36" t="s">
        <v>131</v>
      </c>
    </row>
    <row r="286" customFormat="false" ht="15" hidden="false" customHeight="false" outlineLevel="0" collapsed="false">
      <c r="A286" s="36" t="s">
        <v>684</v>
      </c>
      <c r="B286" s="36" t="s">
        <v>644</v>
      </c>
      <c r="C286" s="36" t="s">
        <v>241</v>
      </c>
      <c r="D286" s="36" t="s">
        <v>158</v>
      </c>
      <c r="E286" s="36" t="n">
        <v>6</v>
      </c>
      <c r="F286" s="36" t="n">
        <v>65</v>
      </c>
      <c r="G286" s="36" t="s">
        <v>263</v>
      </c>
      <c r="H286" s="36" t="s">
        <v>145</v>
      </c>
    </row>
    <row r="287" customFormat="false" ht="15" hidden="false" customHeight="false" outlineLevel="0" collapsed="false">
      <c r="A287" s="36" t="s">
        <v>685</v>
      </c>
      <c r="B287" s="36" t="s">
        <v>644</v>
      </c>
      <c r="C287" s="36" t="s">
        <v>254</v>
      </c>
      <c r="D287" s="36" t="s">
        <v>415</v>
      </c>
      <c r="E287" s="36" t="n">
        <v>1</v>
      </c>
      <c r="F287" s="36" t="n">
        <v>50</v>
      </c>
      <c r="G287" s="36" t="s">
        <v>243</v>
      </c>
      <c r="H287" s="36" t="s">
        <v>321</v>
      </c>
    </row>
    <row r="288" customFormat="false" ht="15" hidden="false" customHeight="false" outlineLevel="0" collapsed="false">
      <c r="A288" s="36" t="s">
        <v>686</v>
      </c>
      <c r="B288" s="36" t="s">
        <v>650</v>
      </c>
      <c r="C288" s="36" t="s">
        <v>254</v>
      </c>
      <c r="D288" s="36" t="s">
        <v>214</v>
      </c>
      <c r="E288" s="36" t="s">
        <v>395</v>
      </c>
      <c r="F288" s="36" t="s">
        <v>317</v>
      </c>
      <c r="G288" s="36" t="s">
        <v>270</v>
      </c>
      <c r="H288" s="36" t="s">
        <v>247</v>
      </c>
    </row>
    <row r="289" customFormat="false" ht="15" hidden="false" customHeight="false" outlineLevel="0" collapsed="false">
      <c r="A289" s="36" t="s">
        <v>687</v>
      </c>
      <c r="B289" s="36" t="s">
        <v>650</v>
      </c>
      <c r="C289" s="36" t="s">
        <v>249</v>
      </c>
      <c r="D289" s="36" t="s">
        <v>201</v>
      </c>
      <c r="E289" s="36" t="n">
        <v>1</v>
      </c>
      <c r="F289" s="36" t="n">
        <v>210</v>
      </c>
      <c r="G289" s="36" t="s">
        <v>260</v>
      </c>
      <c r="H289" s="36" t="s">
        <v>247</v>
      </c>
    </row>
    <row r="290" customFormat="false" ht="15" hidden="false" customHeight="false" outlineLevel="0" collapsed="false">
      <c r="A290" s="36" t="s">
        <v>688</v>
      </c>
      <c r="B290" s="36" t="s">
        <v>644</v>
      </c>
      <c r="C290" s="36" t="s">
        <v>254</v>
      </c>
      <c r="D290" s="36" t="s">
        <v>280</v>
      </c>
      <c r="E290" s="36" t="n">
        <v>2</v>
      </c>
      <c r="F290" s="36" t="n">
        <v>330</v>
      </c>
      <c r="G290" s="36" t="s">
        <v>243</v>
      </c>
      <c r="H290" s="36" t="s">
        <v>321</v>
      </c>
    </row>
    <row r="291" customFormat="false" ht="15" hidden="false" customHeight="false" outlineLevel="0" collapsed="false">
      <c r="A291" s="36" t="s">
        <v>689</v>
      </c>
      <c r="B291" s="36" t="s">
        <v>650</v>
      </c>
      <c r="C291" s="36" t="s">
        <v>43</v>
      </c>
      <c r="D291" s="36" t="s">
        <v>137</v>
      </c>
      <c r="E291" s="36" t="n">
        <v>1</v>
      </c>
      <c r="F291" s="36" t="s">
        <v>411</v>
      </c>
      <c r="G291" s="36" t="s">
        <v>251</v>
      </c>
      <c r="H291" s="36" t="s">
        <v>141</v>
      </c>
    </row>
    <row r="292" customFormat="false" ht="15" hidden="false" customHeight="false" outlineLevel="0" collapsed="false">
      <c r="A292" s="36" t="s">
        <v>690</v>
      </c>
      <c r="B292" s="36" t="s">
        <v>650</v>
      </c>
      <c r="C292" s="36" t="s">
        <v>333</v>
      </c>
      <c r="D292" s="36" t="s">
        <v>691</v>
      </c>
      <c r="E292" s="36" t="n">
        <v>2</v>
      </c>
      <c r="F292" s="36" t="n">
        <v>80</v>
      </c>
      <c r="G292" s="36" t="s">
        <v>246</v>
      </c>
      <c r="H292" s="36" t="s">
        <v>306</v>
      </c>
    </row>
    <row r="293" customFormat="false" ht="15" hidden="false" customHeight="false" outlineLevel="0" collapsed="false">
      <c r="A293" s="36" t="s">
        <v>692</v>
      </c>
      <c r="B293" s="36" t="s">
        <v>644</v>
      </c>
      <c r="C293" s="36" t="s">
        <v>43</v>
      </c>
      <c r="D293" s="36" t="s">
        <v>377</v>
      </c>
      <c r="E293" s="36" t="n">
        <v>1</v>
      </c>
      <c r="F293" s="36" t="s">
        <v>544</v>
      </c>
      <c r="G293" s="36" t="s">
        <v>270</v>
      </c>
      <c r="H293" s="36" t="s">
        <v>247</v>
      </c>
    </row>
    <row r="294" customFormat="false" ht="15" hidden="false" customHeight="false" outlineLevel="0" collapsed="false">
      <c r="A294" s="36" t="s">
        <v>693</v>
      </c>
      <c r="B294" s="36" t="s">
        <v>644</v>
      </c>
      <c r="C294" s="36" t="s">
        <v>333</v>
      </c>
      <c r="D294" s="36" t="s">
        <v>342</v>
      </c>
      <c r="E294" s="36" t="n">
        <v>2</v>
      </c>
      <c r="F294" s="36" t="s">
        <v>319</v>
      </c>
      <c r="G294" s="36" t="s">
        <v>246</v>
      </c>
      <c r="H294" s="36" t="s">
        <v>321</v>
      </c>
    </row>
    <row r="295" customFormat="false" ht="15" hidden="false" customHeight="false" outlineLevel="0" collapsed="false">
      <c r="A295" s="36" t="s">
        <v>694</v>
      </c>
      <c r="B295" s="36" t="s">
        <v>650</v>
      </c>
      <c r="C295" s="36" t="s">
        <v>43</v>
      </c>
      <c r="D295" s="36" t="s">
        <v>408</v>
      </c>
      <c r="E295" s="36" t="n">
        <v>2</v>
      </c>
      <c r="F295" s="36" t="n">
        <v>50</v>
      </c>
      <c r="G295" s="36" t="s">
        <v>270</v>
      </c>
      <c r="H295" s="36" t="s">
        <v>132</v>
      </c>
    </row>
    <row r="296" customFormat="false" ht="15" hidden="false" customHeight="false" outlineLevel="0" collapsed="false">
      <c r="A296" s="36" t="s">
        <v>695</v>
      </c>
      <c r="B296" s="36" t="s">
        <v>650</v>
      </c>
      <c r="C296" s="36" t="s">
        <v>333</v>
      </c>
      <c r="D296" s="36" t="s">
        <v>696</v>
      </c>
      <c r="E296" s="36" t="n">
        <v>2</v>
      </c>
      <c r="F296" s="36" t="n">
        <v>190</v>
      </c>
      <c r="G296" s="36" t="s">
        <v>243</v>
      </c>
      <c r="H296" s="36" t="s">
        <v>140</v>
      </c>
    </row>
    <row r="297" customFormat="false" ht="15" hidden="false" customHeight="false" outlineLevel="0" collapsed="false">
      <c r="A297" s="36" t="s">
        <v>697</v>
      </c>
      <c r="B297" s="37" t="n">
        <v>46267</v>
      </c>
      <c r="C297" s="36" t="s">
        <v>43</v>
      </c>
      <c r="D297" s="36" t="s">
        <v>191</v>
      </c>
      <c r="E297" s="36" t="n">
        <v>1</v>
      </c>
      <c r="F297" s="36" t="n">
        <v>360</v>
      </c>
      <c r="G297" s="36" t="s">
        <v>260</v>
      </c>
      <c r="H297" s="36" t="s">
        <v>141</v>
      </c>
    </row>
    <row r="298" customFormat="false" ht="15" hidden="false" customHeight="false" outlineLevel="0" collapsed="false">
      <c r="A298" s="36" t="s">
        <v>698</v>
      </c>
      <c r="B298" s="37" t="n">
        <v>46267</v>
      </c>
      <c r="C298" s="36" t="s">
        <v>139</v>
      </c>
      <c r="D298" s="36" t="s">
        <v>152</v>
      </c>
      <c r="E298" s="36" t="n">
        <v>4</v>
      </c>
      <c r="F298" s="36" t="s">
        <v>699</v>
      </c>
      <c r="G298" s="36" t="s">
        <v>246</v>
      </c>
      <c r="H298" s="36" t="s">
        <v>141</v>
      </c>
    </row>
    <row r="299" customFormat="false" ht="15" hidden="false" customHeight="false" outlineLevel="0" collapsed="false">
      <c r="A299" s="36" t="s">
        <v>700</v>
      </c>
      <c r="B299" s="36" t="s">
        <v>650</v>
      </c>
      <c r="C299" s="36" t="s">
        <v>43</v>
      </c>
      <c r="D299" s="36" t="s">
        <v>168</v>
      </c>
      <c r="E299" s="36" t="n">
        <v>1</v>
      </c>
      <c r="F299" s="36" t="s">
        <v>331</v>
      </c>
      <c r="G299" s="36" t="s">
        <v>263</v>
      </c>
      <c r="H299" s="36" t="s">
        <v>141</v>
      </c>
    </row>
    <row r="300" customFormat="false" ht="15" hidden="false" customHeight="false" outlineLevel="0" collapsed="false">
      <c r="A300" s="36" t="s">
        <v>701</v>
      </c>
      <c r="B300" s="36" t="s">
        <v>650</v>
      </c>
      <c r="C300" s="36" t="s">
        <v>43</v>
      </c>
      <c r="D300" s="36" t="s">
        <v>401</v>
      </c>
      <c r="E300" s="36" t="n">
        <v>4</v>
      </c>
      <c r="F300" s="36" t="n">
        <v>190</v>
      </c>
      <c r="G300" s="36" t="s">
        <v>246</v>
      </c>
      <c r="H300" s="36" t="s">
        <v>131</v>
      </c>
    </row>
    <row r="301" customFormat="false" ht="15" hidden="false" customHeight="false" outlineLevel="0" collapsed="false">
      <c r="A301" s="36" t="s">
        <v>702</v>
      </c>
      <c r="B301" s="36" t="s">
        <v>650</v>
      </c>
      <c r="C301" s="36" t="s">
        <v>333</v>
      </c>
      <c r="D301" s="36" t="s">
        <v>397</v>
      </c>
      <c r="E301" s="36" t="n">
        <v>1</v>
      </c>
      <c r="F301" s="36" t="n">
        <v>65</v>
      </c>
      <c r="G301" s="36" t="s">
        <v>270</v>
      </c>
      <c r="H301" s="36" t="s">
        <v>132</v>
      </c>
    </row>
    <row r="302" customFormat="false" ht="15" hidden="false" customHeight="false" outlineLevel="0" collapsed="false">
      <c r="A302" s="36" t="s">
        <v>703</v>
      </c>
      <c r="B302" s="36" t="s">
        <v>650</v>
      </c>
      <c r="C302" s="36" t="s">
        <v>43</v>
      </c>
      <c r="D302" s="36" t="s">
        <v>405</v>
      </c>
      <c r="E302" s="36" t="n">
        <v>1</v>
      </c>
      <c r="F302" s="36" t="s">
        <v>380</v>
      </c>
      <c r="G302" s="36" t="s">
        <v>267</v>
      </c>
      <c r="H302" s="36" t="s">
        <v>247</v>
      </c>
    </row>
    <row r="303" customFormat="false" ht="15" hidden="false" customHeight="false" outlineLevel="0" collapsed="false">
      <c r="A303" s="36" t="s">
        <v>704</v>
      </c>
      <c r="B303" s="36" t="s">
        <v>644</v>
      </c>
      <c r="C303" s="36" t="s">
        <v>43</v>
      </c>
      <c r="D303" s="36" t="s">
        <v>696</v>
      </c>
      <c r="E303" s="36" t="n">
        <v>4</v>
      </c>
      <c r="F303" s="36" t="s">
        <v>552</v>
      </c>
      <c r="G303" s="36" t="s">
        <v>246</v>
      </c>
      <c r="H303" s="36" t="s">
        <v>146</v>
      </c>
    </row>
    <row r="304" customFormat="false" ht="15" hidden="false" customHeight="false" outlineLevel="0" collapsed="false">
      <c r="A304" s="36" t="s">
        <v>705</v>
      </c>
      <c r="B304" s="36" t="s">
        <v>644</v>
      </c>
      <c r="C304" s="36" t="s">
        <v>139</v>
      </c>
      <c r="D304" s="36" t="s">
        <v>182</v>
      </c>
      <c r="E304" s="36"/>
      <c r="F304" s="36" t="s">
        <v>269</v>
      </c>
      <c r="G304" s="36" t="s">
        <v>256</v>
      </c>
      <c r="H304" s="36" t="s">
        <v>132</v>
      </c>
    </row>
    <row r="305" customFormat="false" ht="15" hidden="false" customHeight="false" outlineLevel="0" collapsed="false">
      <c r="A305" s="36" t="s">
        <v>706</v>
      </c>
      <c r="B305" s="37" t="n">
        <v>46267</v>
      </c>
      <c r="C305" s="36" t="s">
        <v>43</v>
      </c>
      <c r="D305" s="36" t="s">
        <v>405</v>
      </c>
      <c r="E305" s="36" t="n">
        <v>1</v>
      </c>
      <c r="F305" s="36" t="n">
        <v>330</v>
      </c>
      <c r="G305" s="36" t="s">
        <v>267</v>
      </c>
      <c r="H305" s="36" t="s">
        <v>321</v>
      </c>
    </row>
    <row r="306" customFormat="false" ht="15" hidden="false" customHeight="false" outlineLevel="0" collapsed="false">
      <c r="A306" s="36" t="s">
        <v>707</v>
      </c>
      <c r="B306" s="36" t="s">
        <v>650</v>
      </c>
      <c r="C306" s="36" t="s">
        <v>43</v>
      </c>
      <c r="D306" s="36" t="s">
        <v>520</v>
      </c>
      <c r="E306" s="36" t="n">
        <v>4</v>
      </c>
      <c r="F306" s="36" t="s">
        <v>384</v>
      </c>
      <c r="G306" s="36" t="s">
        <v>263</v>
      </c>
      <c r="H306" s="36" t="s">
        <v>131</v>
      </c>
    </row>
    <row r="307" customFormat="false" ht="15" hidden="false" customHeight="false" outlineLevel="0" collapsed="false">
      <c r="A307" s="36" t="s">
        <v>708</v>
      </c>
      <c r="B307" s="36" t="s">
        <v>709</v>
      </c>
      <c r="C307" s="36" t="s">
        <v>368</v>
      </c>
      <c r="D307" s="36" t="s">
        <v>182</v>
      </c>
      <c r="E307" s="36" t="n">
        <v>2</v>
      </c>
      <c r="F307" s="36" t="s">
        <v>269</v>
      </c>
      <c r="G307" s="36" t="s">
        <v>263</v>
      </c>
      <c r="H307" s="36" t="s">
        <v>141</v>
      </c>
    </row>
    <row r="308" customFormat="false" ht="15" hidden="false" customHeight="false" outlineLevel="0" collapsed="false">
      <c r="A308" s="36" t="s">
        <v>710</v>
      </c>
      <c r="B308" s="36" t="s">
        <v>644</v>
      </c>
      <c r="C308" s="36" t="s">
        <v>139</v>
      </c>
      <c r="D308" s="36" t="s">
        <v>342</v>
      </c>
      <c r="E308" s="36" t="n">
        <v>1</v>
      </c>
      <c r="F308" s="36" t="n">
        <v>60</v>
      </c>
      <c r="G308" s="36" t="s">
        <v>256</v>
      </c>
      <c r="H308" s="36" t="s">
        <v>247</v>
      </c>
    </row>
    <row r="309" customFormat="false" ht="15" hidden="false" customHeight="false" outlineLevel="0" collapsed="false">
      <c r="A309" s="36" t="s">
        <v>711</v>
      </c>
      <c r="B309" s="36" t="s">
        <v>650</v>
      </c>
      <c r="C309" s="36" t="s">
        <v>139</v>
      </c>
      <c r="D309" s="36" t="s">
        <v>190</v>
      </c>
      <c r="E309" s="36" t="n">
        <v>1</v>
      </c>
      <c r="F309" s="36" t="n">
        <v>195</v>
      </c>
      <c r="G309" s="36" t="s">
        <v>260</v>
      </c>
      <c r="H309" s="36" t="s">
        <v>146</v>
      </c>
    </row>
    <row r="310" customFormat="false" ht="15" hidden="false" customHeight="false" outlineLevel="0" collapsed="false">
      <c r="A310" s="36" t="s">
        <v>712</v>
      </c>
      <c r="B310" s="36" t="s">
        <v>650</v>
      </c>
      <c r="C310" s="36" t="s">
        <v>43</v>
      </c>
      <c r="D310" s="36" t="s">
        <v>492</v>
      </c>
      <c r="E310" s="36" t="s">
        <v>395</v>
      </c>
      <c r="F310" s="36" t="n">
        <v>58</v>
      </c>
      <c r="G310" s="36" t="s">
        <v>270</v>
      </c>
      <c r="H310" s="36" t="s">
        <v>141</v>
      </c>
    </row>
    <row r="311" customFormat="false" ht="15" hidden="false" customHeight="false" outlineLevel="0" collapsed="false">
      <c r="A311" s="36" t="s">
        <v>713</v>
      </c>
      <c r="B311" s="36" t="s">
        <v>650</v>
      </c>
      <c r="C311" s="36" t="s">
        <v>139</v>
      </c>
      <c r="D311" s="36" t="s">
        <v>714</v>
      </c>
      <c r="E311" s="36" t="n">
        <v>2</v>
      </c>
      <c r="F311" s="36" t="s">
        <v>323</v>
      </c>
      <c r="G311" s="36" t="s">
        <v>260</v>
      </c>
      <c r="H311" s="36" t="s">
        <v>132</v>
      </c>
    </row>
    <row r="312" customFormat="false" ht="15" hidden="false" customHeight="false" outlineLevel="0" collapsed="false">
      <c r="A312" s="36" t="s">
        <v>715</v>
      </c>
      <c r="B312" s="36" t="s">
        <v>644</v>
      </c>
      <c r="C312" s="36" t="s">
        <v>43</v>
      </c>
      <c r="D312" s="36" t="s">
        <v>716</v>
      </c>
      <c r="E312" s="36" t="n">
        <v>1</v>
      </c>
      <c r="F312" s="36" t="n">
        <v>350</v>
      </c>
      <c r="G312" s="36" t="s">
        <v>243</v>
      </c>
      <c r="H312" s="36" t="s">
        <v>247</v>
      </c>
    </row>
    <row r="313" customFormat="false" ht="15" hidden="false" customHeight="false" outlineLevel="0" collapsed="false">
      <c r="A313" s="36" t="s">
        <v>717</v>
      </c>
      <c r="B313" s="36" t="s">
        <v>650</v>
      </c>
      <c r="C313" s="36" t="s">
        <v>333</v>
      </c>
      <c r="D313" s="36" t="s">
        <v>148</v>
      </c>
      <c r="E313" s="36" t="n">
        <v>2</v>
      </c>
      <c r="F313" s="36" t="s">
        <v>275</v>
      </c>
      <c r="G313" s="36" t="s">
        <v>251</v>
      </c>
      <c r="H313" s="36" t="s">
        <v>308</v>
      </c>
    </row>
    <row r="314" customFormat="false" ht="15" hidden="false" customHeight="false" outlineLevel="0" collapsed="false">
      <c r="A314" s="36" t="s">
        <v>718</v>
      </c>
      <c r="B314" s="36" t="s">
        <v>650</v>
      </c>
      <c r="C314" s="36" t="s">
        <v>43</v>
      </c>
      <c r="D314" s="36" t="s">
        <v>625</v>
      </c>
      <c r="E314" s="36" t="n">
        <v>6</v>
      </c>
      <c r="F314" s="36" t="s">
        <v>420</v>
      </c>
      <c r="G314" s="36" t="s">
        <v>260</v>
      </c>
      <c r="H314" s="36" t="s">
        <v>132</v>
      </c>
    </row>
    <row r="315" customFormat="false" ht="15" hidden="false" customHeight="false" outlineLevel="0" collapsed="false">
      <c r="A315" s="36" t="s">
        <v>719</v>
      </c>
      <c r="B315" s="36" t="s">
        <v>650</v>
      </c>
      <c r="C315" s="36" t="s">
        <v>333</v>
      </c>
      <c r="D315" s="36" t="s">
        <v>197</v>
      </c>
      <c r="E315" s="36" t="n">
        <v>4</v>
      </c>
      <c r="F315" s="36" t="n">
        <v>60</v>
      </c>
      <c r="G315" s="36" t="s">
        <v>246</v>
      </c>
      <c r="H315" s="36" t="s">
        <v>308</v>
      </c>
    </row>
    <row r="316" customFormat="false" ht="15" hidden="false" customHeight="false" outlineLevel="0" collapsed="false">
      <c r="A316" s="36" t="s">
        <v>720</v>
      </c>
      <c r="B316" s="36" t="s">
        <v>650</v>
      </c>
      <c r="C316" s="36" t="s">
        <v>43</v>
      </c>
      <c r="D316" s="36" t="s">
        <v>182</v>
      </c>
      <c r="E316" s="36" t="n">
        <v>1</v>
      </c>
      <c r="F316" s="36" t="n">
        <v>380</v>
      </c>
      <c r="G316" s="36" t="s">
        <v>267</v>
      </c>
      <c r="H316" s="36" t="s">
        <v>247</v>
      </c>
    </row>
    <row r="317" customFormat="false" ht="15" hidden="false" customHeight="false" outlineLevel="0" collapsed="false">
      <c r="A317" s="36" t="s">
        <v>721</v>
      </c>
      <c r="B317" s="36" t="s">
        <v>644</v>
      </c>
      <c r="C317" s="36" t="s">
        <v>335</v>
      </c>
      <c r="D317" s="36" t="s">
        <v>166</v>
      </c>
      <c r="E317" s="36" t="n">
        <v>2</v>
      </c>
      <c r="F317" s="36" t="n">
        <v>380</v>
      </c>
      <c r="G317" s="36" t="s">
        <v>246</v>
      </c>
      <c r="H317" s="36" t="s">
        <v>132</v>
      </c>
    </row>
    <row r="318" customFormat="false" ht="15" hidden="false" customHeight="false" outlineLevel="0" collapsed="false">
      <c r="A318" s="36" t="s">
        <v>722</v>
      </c>
      <c r="B318" s="36" t="s">
        <v>644</v>
      </c>
      <c r="C318" s="36" t="s">
        <v>139</v>
      </c>
      <c r="D318" s="36" t="s">
        <v>218</v>
      </c>
      <c r="E318" s="36" t="n">
        <v>2</v>
      </c>
      <c r="F318" s="36" t="n">
        <v>85</v>
      </c>
      <c r="G318" s="36" t="s">
        <v>251</v>
      </c>
      <c r="H318" s="36" t="s">
        <v>321</v>
      </c>
    </row>
    <row r="319" customFormat="false" ht="15" hidden="false" customHeight="false" outlineLevel="0" collapsed="false">
      <c r="A319" s="36" t="s">
        <v>723</v>
      </c>
      <c r="B319" s="37" t="n">
        <v>46267</v>
      </c>
      <c r="C319" s="36" t="s">
        <v>43</v>
      </c>
      <c r="D319" s="36" t="s">
        <v>204</v>
      </c>
      <c r="E319" s="36" t="n">
        <v>4</v>
      </c>
      <c r="F319" s="36" t="s">
        <v>724</v>
      </c>
      <c r="G319" s="36" t="s">
        <v>263</v>
      </c>
      <c r="H319" s="36" t="s">
        <v>131</v>
      </c>
    </row>
    <row r="320" customFormat="false" ht="15" hidden="false" customHeight="false" outlineLevel="0" collapsed="false">
      <c r="A320" s="36" t="s">
        <v>725</v>
      </c>
      <c r="B320" s="36" t="s">
        <v>644</v>
      </c>
      <c r="C320" s="36" t="s">
        <v>375</v>
      </c>
      <c r="D320" s="36" t="s">
        <v>166</v>
      </c>
      <c r="E320" s="36" t="n">
        <v>4</v>
      </c>
      <c r="F320" s="36" t="s">
        <v>269</v>
      </c>
      <c r="G320" s="36" t="s">
        <v>267</v>
      </c>
      <c r="H320" s="36" t="s">
        <v>141</v>
      </c>
    </row>
    <row r="321" customFormat="false" ht="15" hidden="false" customHeight="false" outlineLevel="0" collapsed="false">
      <c r="A321" s="36" t="s">
        <v>726</v>
      </c>
      <c r="B321" s="36" t="s">
        <v>650</v>
      </c>
      <c r="C321" s="36" t="s">
        <v>368</v>
      </c>
      <c r="D321" s="36" t="s">
        <v>727</v>
      </c>
      <c r="E321" s="36" t="n">
        <v>2</v>
      </c>
      <c r="F321" s="36" t="n">
        <v>65</v>
      </c>
      <c r="G321" s="36" t="s">
        <v>267</v>
      </c>
      <c r="H321" s="36" t="s">
        <v>306</v>
      </c>
    </row>
    <row r="322" customFormat="false" ht="15" hidden="false" customHeight="false" outlineLevel="0" collapsed="false">
      <c r="A322" s="36" t="s">
        <v>728</v>
      </c>
      <c r="B322" s="36" t="s">
        <v>650</v>
      </c>
      <c r="C322" s="36" t="s">
        <v>144</v>
      </c>
      <c r="D322" s="36" t="s">
        <v>143</v>
      </c>
      <c r="E322" s="36" t="n">
        <v>1</v>
      </c>
      <c r="F322" s="36" t="n">
        <v>330</v>
      </c>
      <c r="G322" s="36" t="s">
        <v>260</v>
      </c>
      <c r="H322" s="36" t="s">
        <v>132</v>
      </c>
    </row>
    <row r="323" customFormat="false" ht="15" hidden="false" customHeight="false" outlineLevel="0" collapsed="false">
      <c r="A323" s="36" t="s">
        <v>729</v>
      </c>
      <c r="B323" s="37" t="n">
        <v>46267</v>
      </c>
      <c r="C323" s="36" t="s">
        <v>368</v>
      </c>
      <c r="D323" s="36" t="s">
        <v>191</v>
      </c>
      <c r="E323" s="36" t="n">
        <v>4</v>
      </c>
      <c r="F323" s="36" t="s">
        <v>578</v>
      </c>
      <c r="G323" s="36" t="s">
        <v>243</v>
      </c>
      <c r="H323" s="36" t="s">
        <v>247</v>
      </c>
    </row>
    <row r="324" customFormat="false" ht="15" hidden="false" customHeight="false" outlineLevel="0" collapsed="false">
      <c r="A324" s="36" t="s">
        <v>730</v>
      </c>
      <c r="B324" s="36" t="s">
        <v>644</v>
      </c>
      <c r="C324" s="36" t="s">
        <v>144</v>
      </c>
      <c r="D324" s="36" t="s">
        <v>696</v>
      </c>
      <c r="E324" s="36" t="n">
        <v>1</v>
      </c>
      <c r="F324" s="36" t="n">
        <v>190</v>
      </c>
      <c r="G324" s="36" t="s">
        <v>246</v>
      </c>
      <c r="H324" s="36" t="s">
        <v>308</v>
      </c>
    </row>
    <row r="325" customFormat="false" ht="15" hidden="false" customHeight="false" outlineLevel="0" collapsed="false">
      <c r="A325" s="36" t="s">
        <v>731</v>
      </c>
      <c r="B325" s="36" t="s">
        <v>650</v>
      </c>
      <c r="C325" s="36" t="s">
        <v>44</v>
      </c>
      <c r="D325" s="36" t="s">
        <v>175</v>
      </c>
      <c r="E325" s="36" t="n">
        <v>1</v>
      </c>
      <c r="F325" s="36" t="n">
        <v>120</v>
      </c>
      <c r="G325" s="36" t="s">
        <v>251</v>
      </c>
      <c r="H325" s="36" t="s">
        <v>141</v>
      </c>
    </row>
    <row r="326" customFormat="false" ht="15" hidden="false" customHeight="false" outlineLevel="0" collapsed="false">
      <c r="A326" s="36" t="s">
        <v>732</v>
      </c>
      <c r="B326" s="36" t="s">
        <v>650</v>
      </c>
      <c r="C326" s="36" t="s">
        <v>554</v>
      </c>
      <c r="D326" s="36" t="s">
        <v>167</v>
      </c>
      <c r="E326" s="36" t="n">
        <v>6</v>
      </c>
      <c r="F326" s="36" t="n">
        <v>110</v>
      </c>
      <c r="G326" s="36" t="s">
        <v>267</v>
      </c>
      <c r="H326" s="36" t="s">
        <v>141</v>
      </c>
    </row>
    <row r="327" customFormat="false" ht="15" hidden="false" customHeight="false" outlineLevel="0" collapsed="false">
      <c r="A327" s="36" t="s">
        <v>733</v>
      </c>
      <c r="B327" s="36" t="s">
        <v>650</v>
      </c>
      <c r="C327" s="36" t="s">
        <v>44</v>
      </c>
      <c r="D327" s="36" t="s">
        <v>280</v>
      </c>
      <c r="E327" s="36" t="n">
        <v>4</v>
      </c>
      <c r="F327" s="36" t="n">
        <v>330</v>
      </c>
      <c r="G327" s="36" t="s">
        <v>256</v>
      </c>
      <c r="H327" s="36" t="s">
        <v>247</v>
      </c>
    </row>
    <row r="328" customFormat="false" ht="15" hidden="false" customHeight="false" outlineLevel="0" collapsed="false">
      <c r="A328" s="36" t="s">
        <v>734</v>
      </c>
      <c r="B328" s="36" t="s">
        <v>650</v>
      </c>
      <c r="C328" s="36" t="s">
        <v>368</v>
      </c>
      <c r="D328" s="36" t="s">
        <v>172</v>
      </c>
      <c r="E328" s="36" t="s">
        <v>735</v>
      </c>
      <c r="F328" s="36" t="n">
        <v>60</v>
      </c>
      <c r="G328" s="36" t="s">
        <v>263</v>
      </c>
      <c r="H328" s="36" t="s">
        <v>308</v>
      </c>
    </row>
    <row r="329" customFormat="false" ht="15" hidden="false" customHeight="false" outlineLevel="0" collapsed="false">
      <c r="A329" s="36" t="s">
        <v>736</v>
      </c>
      <c r="B329" s="36" t="s">
        <v>644</v>
      </c>
      <c r="C329" s="36" t="s">
        <v>44</v>
      </c>
      <c r="D329" s="36" t="s">
        <v>176</v>
      </c>
      <c r="E329" s="36" t="n">
        <v>1</v>
      </c>
      <c r="F329" s="36" t="n">
        <v>90</v>
      </c>
      <c r="G329" s="36" t="s">
        <v>263</v>
      </c>
      <c r="H329" s="36" t="s">
        <v>321</v>
      </c>
    </row>
    <row r="330" customFormat="false" ht="15" hidden="false" customHeight="false" outlineLevel="0" collapsed="false">
      <c r="A330" s="36" t="s">
        <v>737</v>
      </c>
      <c r="B330" s="36" t="s">
        <v>650</v>
      </c>
      <c r="C330" s="36" t="s">
        <v>375</v>
      </c>
      <c r="D330" s="36" t="s">
        <v>727</v>
      </c>
      <c r="E330" s="36" t="n">
        <v>2</v>
      </c>
      <c r="F330" s="36" t="s">
        <v>369</v>
      </c>
      <c r="G330" s="36" t="s">
        <v>256</v>
      </c>
      <c r="H330" s="36" t="s">
        <v>247</v>
      </c>
    </row>
    <row r="331" customFormat="false" ht="15" hidden="false" customHeight="false" outlineLevel="0" collapsed="false">
      <c r="A331" s="36" t="s">
        <v>738</v>
      </c>
      <c r="B331" s="36" t="s">
        <v>650</v>
      </c>
      <c r="C331" s="36" t="s">
        <v>144</v>
      </c>
      <c r="D331" s="36" t="s">
        <v>559</v>
      </c>
      <c r="E331" s="36" t="n">
        <v>1</v>
      </c>
      <c r="F331" s="36" t="s">
        <v>420</v>
      </c>
      <c r="G331" s="36" t="s">
        <v>267</v>
      </c>
      <c r="H331" s="36" t="s">
        <v>131</v>
      </c>
    </row>
    <row r="332" customFormat="false" ht="15" hidden="false" customHeight="false" outlineLevel="0" collapsed="false">
      <c r="A332" s="36" t="s">
        <v>739</v>
      </c>
      <c r="B332" s="36" t="s">
        <v>650</v>
      </c>
      <c r="C332" s="36" t="s">
        <v>44</v>
      </c>
      <c r="D332" s="36" t="s">
        <v>234</v>
      </c>
      <c r="E332" s="36" t="n">
        <v>2</v>
      </c>
      <c r="F332" s="36" t="n">
        <v>130</v>
      </c>
      <c r="G332" s="36" t="s">
        <v>263</v>
      </c>
      <c r="H332" s="36" t="s">
        <v>321</v>
      </c>
    </row>
    <row r="333" customFormat="false" ht="15" hidden="false" customHeight="false" outlineLevel="0" collapsed="false">
      <c r="A333" s="36" t="s">
        <v>740</v>
      </c>
      <c r="B333" s="36" t="s">
        <v>650</v>
      </c>
      <c r="C333" s="36" t="s">
        <v>368</v>
      </c>
      <c r="D333" s="36" t="s">
        <v>218</v>
      </c>
      <c r="E333" s="36" t="n">
        <v>1</v>
      </c>
      <c r="F333" s="36" t="n">
        <v>85</v>
      </c>
      <c r="G333" s="36" t="s">
        <v>263</v>
      </c>
      <c r="H333" s="36" t="s">
        <v>140</v>
      </c>
    </row>
    <row r="334" customFormat="false" ht="15" hidden="false" customHeight="false" outlineLevel="0" collapsed="false">
      <c r="A334" s="36" t="s">
        <v>741</v>
      </c>
      <c r="B334" s="36" t="s">
        <v>644</v>
      </c>
      <c r="C334" s="36" t="s">
        <v>375</v>
      </c>
      <c r="D334" s="36" t="s">
        <v>190</v>
      </c>
      <c r="E334" s="36" t="n">
        <v>3</v>
      </c>
      <c r="F334" s="36" t="s">
        <v>742</v>
      </c>
      <c r="G334" s="36" t="s">
        <v>251</v>
      </c>
      <c r="H334" s="36" t="s">
        <v>308</v>
      </c>
    </row>
    <row r="335" customFormat="false" ht="15" hidden="false" customHeight="false" outlineLevel="0" collapsed="false">
      <c r="A335" s="36" t="s">
        <v>743</v>
      </c>
      <c r="B335" s="36" t="s">
        <v>650</v>
      </c>
      <c r="C335" s="36" t="s">
        <v>44</v>
      </c>
      <c r="D335" s="36" t="s">
        <v>147</v>
      </c>
      <c r="E335" s="36" t="n">
        <v>1</v>
      </c>
      <c r="F335" s="36" t="n">
        <v>378</v>
      </c>
      <c r="G335" s="36" t="s">
        <v>263</v>
      </c>
      <c r="H335" s="36" t="s">
        <v>132</v>
      </c>
    </row>
    <row r="336" customFormat="false" ht="15" hidden="false" customHeight="false" outlineLevel="0" collapsed="false">
      <c r="A336" s="36" t="s">
        <v>744</v>
      </c>
      <c r="B336" s="36" t="s">
        <v>644</v>
      </c>
      <c r="C336" s="36" t="s">
        <v>554</v>
      </c>
      <c r="D336" s="36" t="s">
        <v>189</v>
      </c>
      <c r="E336" s="36" t="n">
        <v>4</v>
      </c>
      <c r="F336" s="36" t="n">
        <v>150</v>
      </c>
      <c r="G336" s="36" t="s">
        <v>246</v>
      </c>
      <c r="H336" s="36" t="s">
        <v>141</v>
      </c>
    </row>
    <row r="337" customFormat="false" ht="15" hidden="false" customHeight="false" outlineLevel="0" collapsed="false">
      <c r="A337" s="36" t="s">
        <v>745</v>
      </c>
      <c r="B337" s="36" t="s">
        <v>644</v>
      </c>
      <c r="C337" s="36" t="s">
        <v>375</v>
      </c>
      <c r="D337" s="36" t="s">
        <v>154</v>
      </c>
      <c r="E337" s="36" t="n">
        <v>3</v>
      </c>
      <c r="F337" s="36" t="s">
        <v>380</v>
      </c>
      <c r="G337" s="36" t="s">
        <v>270</v>
      </c>
      <c r="H337" s="36" t="s">
        <v>132</v>
      </c>
    </row>
    <row r="338" customFormat="false" ht="15" hidden="false" customHeight="false" outlineLevel="0" collapsed="false">
      <c r="A338" s="36" t="s">
        <v>746</v>
      </c>
      <c r="B338" s="36" t="s">
        <v>644</v>
      </c>
      <c r="C338" s="36" t="s">
        <v>375</v>
      </c>
      <c r="D338" s="36" t="s">
        <v>475</v>
      </c>
      <c r="E338" s="36" t="n">
        <v>2</v>
      </c>
      <c r="F338" s="36" t="s">
        <v>339</v>
      </c>
      <c r="G338" s="36" t="s">
        <v>243</v>
      </c>
      <c r="H338" s="36" t="s">
        <v>131</v>
      </c>
    </row>
    <row r="339" customFormat="false" ht="15" hidden="false" customHeight="false" outlineLevel="0" collapsed="false">
      <c r="A339" s="36" t="s">
        <v>747</v>
      </c>
      <c r="B339" s="36" t="s">
        <v>650</v>
      </c>
      <c r="C339" s="36" t="s">
        <v>375</v>
      </c>
      <c r="D339" s="36" t="s">
        <v>157</v>
      </c>
      <c r="E339" s="36" t="n">
        <v>1</v>
      </c>
      <c r="F339" s="36" t="s">
        <v>380</v>
      </c>
      <c r="G339" s="36" t="s">
        <v>251</v>
      </c>
      <c r="H339" s="36" t="s">
        <v>132</v>
      </c>
    </row>
    <row r="340" customFormat="false" ht="15" hidden="false" customHeight="false" outlineLevel="0" collapsed="false">
      <c r="A340" s="36" t="s">
        <v>748</v>
      </c>
      <c r="B340" s="36" t="s">
        <v>644</v>
      </c>
      <c r="C340" s="36" t="s">
        <v>375</v>
      </c>
      <c r="D340" s="36" t="s">
        <v>605</v>
      </c>
      <c r="E340" s="36" t="n">
        <v>1</v>
      </c>
      <c r="F340" s="36" t="s">
        <v>749</v>
      </c>
      <c r="G340" s="36" t="s">
        <v>260</v>
      </c>
      <c r="H340" s="36" t="s">
        <v>132</v>
      </c>
    </row>
    <row r="341" customFormat="false" ht="15" hidden="false" customHeight="false" outlineLevel="0" collapsed="false">
      <c r="A341" s="36" t="s">
        <v>750</v>
      </c>
      <c r="B341" s="36" t="s">
        <v>644</v>
      </c>
      <c r="C341" s="36" t="s">
        <v>44</v>
      </c>
      <c r="D341" s="36" t="s">
        <v>209</v>
      </c>
      <c r="E341" s="36" t="n">
        <v>1</v>
      </c>
      <c r="F341" s="36" t="n">
        <v>190</v>
      </c>
      <c r="G341" s="36" t="s">
        <v>246</v>
      </c>
      <c r="H341" s="36" t="s">
        <v>141</v>
      </c>
    </row>
    <row r="342" customFormat="false" ht="15" hidden="false" customHeight="false" outlineLevel="0" collapsed="false">
      <c r="A342" s="36" t="s">
        <v>751</v>
      </c>
      <c r="B342" s="36" t="s">
        <v>650</v>
      </c>
      <c r="C342" s="36" t="s">
        <v>554</v>
      </c>
      <c r="D342" s="36" t="s">
        <v>195</v>
      </c>
      <c r="E342" s="36"/>
      <c r="F342" s="36" t="s">
        <v>319</v>
      </c>
      <c r="G342" s="36" t="s">
        <v>270</v>
      </c>
      <c r="H342" s="36" t="s">
        <v>141</v>
      </c>
    </row>
    <row r="343" customFormat="false" ht="15" hidden="false" customHeight="false" outlineLevel="0" collapsed="false">
      <c r="A343" s="36" t="s">
        <v>752</v>
      </c>
      <c r="B343" s="36" t="s">
        <v>644</v>
      </c>
      <c r="C343" s="36" t="s">
        <v>368</v>
      </c>
      <c r="D343" s="36" t="s">
        <v>148</v>
      </c>
      <c r="E343" s="36" t="n">
        <v>4</v>
      </c>
      <c r="F343" s="36" t="n">
        <v>330</v>
      </c>
      <c r="G343" s="36" t="s">
        <v>256</v>
      </c>
      <c r="H343" s="36" t="s">
        <v>247</v>
      </c>
    </row>
    <row r="344" customFormat="false" ht="15" hidden="false" customHeight="false" outlineLevel="0" collapsed="false">
      <c r="A344" s="36" t="s">
        <v>753</v>
      </c>
      <c r="B344" s="36" t="s">
        <v>650</v>
      </c>
      <c r="C344" s="36" t="s">
        <v>419</v>
      </c>
      <c r="D344" s="36" t="s">
        <v>157</v>
      </c>
      <c r="E344" s="36" t="n">
        <v>4</v>
      </c>
      <c r="F344" s="36" t="s">
        <v>380</v>
      </c>
      <c r="G344" s="36" t="s">
        <v>246</v>
      </c>
      <c r="H344" s="36" t="s">
        <v>146</v>
      </c>
    </row>
    <row r="345" customFormat="false" ht="15" hidden="false" customHeight="false" outlineLevel="0" collapsed="false">
      <c r="A345" s="36" t="s">
        <v>754</v>
      </c>
      <c r="B345" s="36" t="s">
        <v>644</v>
      </c>
      <c r="C345" s="36" t="s">
        <v>45</v>
      </c>
      <c r="D345" s="36" t="s">
        <v>382</v>
      </c>
      <c r="E345" s="36" t="n">
        <v>6</v>
      </c>
      <c r="F345" s="36" t="n">
        <v>130</v>
      </c>
      <c r="G345" s="36" t="s">
        <v>270</v>
      </c>
      <c r="H345" s="36" t="s">
        <v>132</v>
      </c>
    </row>
    <row r="346" customFormat="false" ht="15" hidden="false" customHeight="false" outlineLevel="0" collapsed="false">
      <c r="A346" s="36" t="s">
        <v>755</v>
      </c>
      <c r="B346" s="36" t="s">
        <v>756</v>
      </c>
      <c r="C346" s="36" t="s">
        <v>241</v>
      </c>
      <c r="D346" s="36" t="s">
        <v>757</v>
      </c>
      <c r="E346" s="36" t="n">
        <v>1</v>
      </c>
      <c r="F346" s="36" t="s">
        <v>509</v>
      </c>
      <c r="G346" s="36" t="s">
        <v>267</v>
      </c>
      <c r="H346" s="36" t="s">
        <v>146</v>
      </c>
    </row>
    <row r="347" customFormat="false" ht="15" hidden="false" customHeight="false" outlineLevel="0" collapsed="false">
      <c r="A347" s="36" t="s">
        <v>758</v>
      </c>
      <c r="B347" s="36" t="s">
        <v>644</v>
      </c>
      <c r="C347" s="36" t="s">
        <v>417</v>
      </c>
      <c r="D347" s="36" t="s">
        <v>461</v>
      </c>
      <c r="E347" s="36" t="n">
        <v>2</v>
      </c>
      <c r="F347" s="36" t="s">
        <v>759</v>
      </c>
      <c r="G347" s="36" t="s">
        <v>270</v>
      </c>
      <c r="H347" s="36" t="s">
        <v>321</v>
      </c>
    </row>
    <row r="348" customFormat="false" ht="15" hidden="false" customHeight="false" outlineLevel="0" collapsed="false">
      <c r="A348" s="36" t="s">
        <v>760</v>
      </c>
      <c r="B348" s="36" t="s">
        <v>644</v>
      </c>
      <c r="C348" s="36" t="s">
        <v>45</v>
      </c>
      <c r="D348" s="36" t="s">
        <v>214</v>
      </c>
      <c r="E348" s="36" t="n">
        <v>1</v>
      </c>
      <c r="F348" s="36" t="s">
        <v>317</v>
      </c>
      <c r="G348" s="36" t="s">
        <v>270</v>
      </c>
      <c r="H348" s="36" t="s">
        <v>146</v>
      </c>
    </row>
    <row r="349" customFormat="false" ht="15" hidden="false" customHeight="false" outlineLevel="0" collapsed="false">
      <c r="A349" s="36" t="s">
        <v>761</v>
      </c>
      <c r="B349" s="36" t="s">
        <v>644</v>
      </c>
      <c r="C349" s="36" t="s">
        <v>45</v>
      </c>
      <c r="D349" s="36" t="s">
        <v>134</v>
      </c>
      <c r="E349" s="36" t="n">
        <v>6</v>
      </c>
      <c r="F349" s="36" t="n">
        <v>171</v>
      </c>
      <c r="G349" s="36" t="s">
        <v>270</v>
      </c>
      <c r="H349" s="36" t="s">
        <v>141</v>
      </c>
    </row>
    <row r="350" customFormat="false" ht="15" hidden="false" customHeight="false" outlineLevel="0" collapsed="false">
      <c r="A350" s="36" t="s">
        <v>762</v>
      </c>
      <c r="B350" s="36" t="s">
        <v>650</v>
      </c>
      <c r="C350" s="36" t="s">
        <v>153</v>
      </c>
      <c r="D350" s="36" t="s">
        <v>631</v>
      </c>
      <c r="E350" s="36" t="n">
        <v>1</v>
      </c>
      <c r="F350" s="36" t="s">
        <v>507</v>
      </c>
      <c r="G350" s="36" t="s">
        <v>260</v>
      </c>
      <c r="H350" s="36" t="s">
        <v>146</v>
      </c>
    </row>
    <row r="351" customFormat="false" ht="15" hidden="false" customHeight="false" outlineLevel="0" collapsed="false">
      <c r="A351" s="36" t="s">
        <v>763</v>
      </c>
      <c r="B351" s="37" t="n">
        <v>46267</v>
      </c>
      <c r="C351" s="36" t="s">
        <v>45</v>
      </c>
      <c r="D351" s="36" t="s">
        <v>390</v>
      </c>
      <c r="E351" s="36" t="n">
        <v>3</v>
      </c>
      <c r="F351" s="36" t="n">
        <v>110</v>
      </c>
      <c r="G351" s="36" t="s">
        <v>246</v>
      </c>
      <c r="H351" s="36" t="s">
        <v>306</v>
      </c>
    </row>
    <row r="352" customFormat="false" ht="15" hidden="false" customHeight="false" outlineLevel="0" collapsed="false">
      <c r="A352" s="36" t="s">
        <v>764</v>
      </c>
      <c r="B352" s="36" t="s">
        <v>650</v>
      </c>
      <c r="C352" s="36" t="s">
        <v>153</v>
      </c>
      <c r="D352" s="36" t="s">
        <v>176</v>
      </c>
      <c r="E352" s="36" t="n">
        <v>3</v>
      </c>
      <c r="F352" s="36" t="n">
        <v>81</v>
      </c>
      <c r="G352" s="36" t="s">
        <v>246</v>
      </c>
      <c r="H352" s="36" t="s">
        <v>132</v>
      </c>
    </row>
    <row r="353" customFormat="false" ht="15" hidden="false" customHeight="false" outlineLevel="0" collapsed="false">
      <c r="A353" s="36" t="s">
        <v>765</v>
      </c>
      <c r="B353" s="36" t="s">
        <v>644</v>
      </c>
      <c r="C353" s="36" t="s">
        <v>417</v>
      </c>
      <c r="D353" s="36" t="s">
        <v>206</v>
      </c>
      <c r="E353" s="36" t="n">
        <v>2</v>
      </c>
      <c r="F353" s="36" t="s">
        <v>398</v>
      </c>
      <c r="G353" s="36" t="s">
        <v>270</v>
      </c>
      <c r="H353" s="36" t="s">
        <v>140</v>
      </c>
    </row>
    <row r="354" customFormat="false" ht="15" hidden="false" customHeight="false" outlineLevel="0" collapsed="false">
      <c r="A354" s="36" t="s">
        <v>766</v>
      </c>
      <c r="B354" s="36" t="s">
        <v>650</v>
      </c>
      <c r="C354" s="36" t="s">
        <v>45</v>
      </c>
      <c r="D354" s="36" t="s">
        <v>207</v>
      </c>
      <c r="E354" s="36" t="n">
        <v>3</v>
      </c>
      <c r="F354" s="36" t="n">
        <v>280</v>
      </c>
      <c r="G354" s="36" t="s">
        <v>251</v>
      </c>
      <c r="H354" s="36" t="s">
        <v>132</v>
      </c>
    </row>
    <row r="355" customFormat="false" ht="15" hidden="false" customHeight="false" outlineLevel="0" collapsed="false">
      <c r="A355" s="36" t="s">
        <v>767</v>
      </c>
      <c r="B355" s="36" t="s">
        <v>644</v>
      </c>
      <c r="C355" s="36" t="s">
        <v>45</v>
      </c>
      <c r="D355" s="36" t="s">
        <v>217</v>
      </c>
      <c r="E355" s="36" t="s">
        <v>403</v>
      </c>
      <c r="F355" s="36" t="n">
        <v>85</v>
      </c>
      <c r="G355" s="36" t="s">
        <v>251</v>
      </c>
      <c r="H355" s="36" t="s">
        <v>132</v>
      </c>
    </row>
    <row r="356" customFormat="false" ht="15" hidden="false" customHeight="false" outlineLevel="0" collapsed="false">
      <c r="A356" s="36" t="s">
        <v>768</v>
      </c>
      <c r="B356" s="37" t="n">
        <v>46267</v>
      </c>
      <c r="C356" s="36" t="s">
        <v>419</v>
      </c>
      <c r="D356" s="36" t="s">
        <v>605</v>
      </c>
      <c r="E356" s="36" t="n">
        <v>1</v>
      </c>
      <c r="F356" s="36" t="s">
        <v>659</v>
      </c>
      <c r="G356" s="36" t="s">
        <v>270</v>
      </c>
      <c r="H356" s="36" t="s">
        <v>141</v>
      </c>
    </row>
    <row r="357" customFormat="false" ht="15" hidden="false" customHeight="false" outlineLevel="0" collapsed="false">
      <c r="A357" s="36" t="s">
        <v>769</v>
      </c>
      <c r="B357" s="36" t="s">
        <v>650</v>
      </c>
      <c r="C357" s="36" t="s">
        <v>419</v>
      </c>
      <c r="D357" s="36" t="s">
        <v>172</v>
      </c>
      <c r="E357" s="36" t="n">
        <v>6</v>
      </c>
      <c r="F357" s="36" t="n">
        <v>60</v>
      </c>
      <c r="G357" s="36" t="s">
        <v>263</v>
      </c>
      <c r="H357" s="36" t="s">
        <v>132</v>
      </c>
    </row>
    <row r="358" customFormat="false" ht="15" hidden="false" customHeight="false" outlineLevel="0" collapsed="false">
      <c r="A358" s="36" t="s">
        <v>770</v>
      </c>
      <c r="B358" s="36" t="s">
        <v>644</v>
      </c>
      <c r="C358" s="36" t="s">
        <v>45</v>
      </c>
      <c r="D358" s="36" t="s">
        <v>492</v>
      </c>
      <c r="E358" s="36" t="n">
        <v>6</v>
      </c>
      <c r="F358" s="36" t="s">
        <v>369</v>
      </c>
      <c r="G358" s="36" t="s">
        <v>260</v>
      </c>
      <c r="H358" s="36" t="s">
        <v>141</v>
      </c>
    </row>
    <row r="359" customFormat="false" ht="15" hidden="false" customHeight="false" outlineLevel="0" collapsed="false">
      <c r="A359" s="36" t="s">
        <v>771</v>
      </c>
      <c r="B359" s="36" t="s">
        <v>650</v>
      </c>
      <c r="C359" s="36" t="s">
        <v>417</v>
      </c>
      <c r="D359" s="36" t="s">
        <v>134</v>
      </c>
      <c r="E359" s="36" t="n">
        <v>1</v>
      </c>
      <c r="F359" s="36" t="n">
        <v>190</v>
      </c>
      <c r="G359" s="36" t="s">
        <v>263</v>
      </c>
      <c r="H359" s="36" t="s">
        <v>146</v>
      </c>
    </row>
    <row r="360" customFormat="false" ht="15" hidden="false" customHeight="false" outlineLevel="0" collapsed="false">
      <c r="A360" s="36" t="s">
        <v>772</v>
      </c>
      <c r="B360" s="36" t="s">
        <v>644</v>
      </c>
      <c r="C360" s="36" t="s">
        <v>153</v>
      </c>
      <c r="D360" s="36" t="s">
        <v>194</v>
      </c>
      <c r="E360" s="36" t="n">
        <v>2</v>
      </c>
      <c r="F360" s="36" t="s">
        <v>420</v>
      </c>
      <c r="G360" s="36" t="s">
        <v>260</v>
      </c>
      <c r="H360" s="36" t="s">
        <v>141</v>
      </c>
    </row>
    <row r="361" customFormat="false" ht="15" hidden="false" customHeight="false" outlineLevel="0" collapsed="false">
      <c r="A361" s="36" t="s">
        <v>773</v>
      </c>
      <c r="B361" s="36" t="s">
        <v>644</v>
      </c>
      <c r="C361" s="36" t="s">
        <v>45</v>
      </c>
      <c r="D361" s="36" t="s">
        <v>155</v>
      </c>
      <c r="E361" s="36" t="n">
        <v>1</v>
      </c>
      <c r="F361" s="36" t="n">
        <v>110</v>
      </c>
      <c r="G361" s="36" t="s">
        <v>263</v>
      </c>
      <c r="H361" s="36" t="s">
        <v>132</v>
      </c>
    </row>
    <row r="362" customFormat="false" ht="15" hidden="false" customHeight="false" outlineLevel="0" collapsed="false">
      <c r="A362" s="36" t="s">
        <v>774</v>
      </c>
      <c r="B362" s="36" t="s">
        <v>644</v>
      </c>
      <c r="C362" s="36" t="s">
        <v>45</v>
      </c>
      <c r="D362" s="36" t="s">
        <v>235</v>
      </c>
      <c r="E362" s="36" t="n">
        <v>4</v>
      </c>
      <c r="F362" s="36" t="s">
        <v>457</v>
      </c>
      <c r="G362" s="36" t="s">
        <v>251</v>
      </c>
      <c r="H362" s="36" t="s">
        <v>141</v>
      </c>
    </row>
    <row r="363" customFormat="false" ht="15" hidden="false" customHeight="false" outlineLevel="0" collapsed="false">
      <c r="A363" s="36" t="s">
        <v>775</v>
      </c>
      <c r="B363" s="36" t="s">
        <v>650</v>
      </c>
      <c r="C363" s="36" t="s">
        <v>419</v>
      </c>
      <c r="D363" s="36" t="s">
        <v>204</v>
      </c>
      <c r="E363" s="36" t="n">
        <v>1</v>
      </c>
      <c r="F363" s="36" t="s">
        <v>255</v>
      </c>
      <c r="G363" s="36" t="s">
        <v>267</v>
      </c>
      <c r="H363" s="36" t="s">
        <v>308</v>
      </c>
    </row>
    <row r="364" customFormat="false" ht="15" hidden="false" customHeight="false" outlineLevel="0" collapsed="false">
      <c r="A364" s="36" t="s">
        <v>776</v>
      </c>
      <c r="B364" s="36" t="s">
        <v>650</v>
      </c>
      <c r="C364" s="36" t="s">
        <v>45</v>
      </c>
      <c r="D364" s="36" t="s">
        <v>478</v>
      </c>
      <c r="E364" s="36" t="n">
        <v>1</v>
      </c>
      <c r="F364" s="36" t="s">
        <v>323</v>
      </c>
      <c r="G364" s="36" t="s">
        <v>263</v>
      </c>
      <c r="H364" s="36" t="s">
        <v>132</v>
      </c>
    </row>
    <row r="365" customFormat="false" ht="15" hidden="false" customHeight="false" outlineLevel="0" collapsed="false">
      <c r="A365" s="36" t="s">
        <v>777</v>
      </c>
      <c r="B365" s="36" t="s">
        <v>650</v>
      </c>
      <c r="C365" s="36" t="s">
        <v>45</v>
      </c>
      <c r="D365" s="36" t="s">
        <v>342</v>
      </c>
      <c r="E365" s="36" t="n">
        <v>1</v>
      </c>
      <c r="F365" s="36" t="n">
        <v>60</v>
      </c>
      <c r="G365" s="36" t="s">
        <v>243</v>
      </c>
      <c r="H365" s="36" t="s">
        <v>132</v>
      </c>
    </row>
    <row r="366" customFormat="false" ht="15" hidden="false" customHeight="false" outlineLevel="0" collapsed="false">
      <c r="A366" s="36" t="s">
        <v>778</v>
      </c>
      <c r="B366" s="37" t="n">
        <v>46267</v>
      </c>
      <c r="C366" s="36" t="s">
        <v>448</v>
      </c>
      <c r="D366" s="36" t="s">
        <v>405</v>
      </c>
      <c r="E366" s="36" t="n">
        <v>2</v>
      </c>
      <c r="F366" s="36" t="n">
        <v>330</v>
      </c>
      <c r="G366" s="36" t="s">
        <v>251</v>
      </c>
      <c r="H366" s="36" t="s">
        <v>308</v>
      </c>
    </row>
    <row r="367" customFormat="false" ht="15" hidden="false" customHeight="false" outlineLevel="0" collapsed="false">
      <c r="A367" s="36" t="s">
        <v>779</v>
      </c>
      <c r="B367" s="36" t="s">
        <v>650</v>
      </c>
      <c r="C367" s="36" t="s">
        <v>156</v>
      </c>
      <c r="D367" s="36" t="s">
        <v>646</v>
      </c>
      <c r="E367" s="36" t="n">
        <v>4</v>
      </c>
      <c r="F367" s="36" t="s">
        <v>245</v>
      </c>
      <c r="G367" s="36" t="s">
        <v>270</v>
      </c>
      <c r="H367" s="36" t="s">
        <v>141</v>
      </c>
    </row>
    <row r="368" customFormat="false" ht="15" hidden="false" customHeight="false" outlineLevel="0" collapsed="false">
      <c r="A368" s="36" t="s">
        <v>780</v>
      </c>
      <c r="B368" s="36" t="s">
        <v>650</v>
      </c>
      <c r="C368" s="36" t="s">
        <v>46</v>
      </c>
      <c r="D368" s="36" t="s">
        <v>342</v>
      </c>
      <c r="E368" s="36" t="n">
        <v>2</v>
      </c>
      <c r="F368" s="36" t="s">
        <v>319</v>
      </c>
      <c r="G368" s="36" t="s">
        <v>267</v>
      </c>
      <c r="H368" s="36" t="s">
        <v>321</v>
      </c>
    </row>
    <row r="369" customFormat="false" ht="15" hidden="false" customHeight="false" outlineLevel="0" collapsed="false">
      <c r="A369" s="36" t="s">
        <v>781</v>
      </c>
      <c r="B369" s="36" t="s">
        <v>644</v>
      </c>
      <c r="C369" s="36" t="s">
        <v>442</v>
      </c>
      <c r="D369" s="36" t="s">
        <v>165</v>
      </c>
      <c r="E369" s="36" t="n">
        <v>2</v>
      </c>
      <c r="F369" s="36" t="n">
        <v>110</v>
      </c>
      <c r="G369" s="36" t="s">
        <v>260</v>
      </c>
      <c r="H369" s="36" t="s">
        <v>132</v>
      </c>
    </row>
    <row r="370" customFormat="false" ht="15" hidden="false" customHeight="false" outlineLevel="0" collapsed="false">
      <c r="A370" s="36" t="s">
        <v>782</v>
      </c>
      <c r="B370" s="36" t="s">
        <v>644</v>
      </c>
      <c r="C370" s="36" t="s">
        <v>156</v>
      </c>
      <c r="D370" s="36" t="s">
        <v>783</v>
      </c>
      <c r="E370" s="36" t="n">
        <v>1</v>
      </c>
      <c r="F370" s="36" t="n">
        <v>130</v>
      </c>
      <c r="G370" s="36" t="s">
        <v>256</v>
      </c>
      <c r="H370" s="36" t="s">
        <v>141</v>
      </c>
    </row>
    <row r="371" customFormat="false" ht="15" hidden="false" customHeight="false" outlineLevel="0" collapsed="false">
      <c r="A371" s="36" t="s">
        <v>784</v>
      </c>
      <c r="B371" s="36" t="s">
        <v>650</v>
      </c>
      <c r="C371" s="36" t="s">
        <v>46</v>
      </c>
      <c r="D371" s="36" t="s">
        <v>202</v>
      </c>
      <c r="E371" s="36" t="n">
        <v>4</v>
      </c>
      <c r="F371" s="36" t="n">
        <v>140</v>
      </c>
      <c r="G371" s="36" t="s">
        <v>267</v>
      </c>
      <c r="H371" s="36" t="s">
        <v>131</v>
      </c>
    </row>
    <row r="372" customFormat="false" ht="15" hidden="false" customHeight="false" outlineLevel="0" collapsed="false">
      <c r="A372" s="36" t="s">
        <v>785</v>
      </c>
      <c r="B372" s="36" t="s">
        <v>644</v>
      </c>
      <c r="C372" s="36" t="s">
        <v>442</v>
      </c>
      <c r="D372" s="36" t="s">
        <v>186</v>
      </c>
      <c r="E372" s="36" t="n">
        <v>3</v>
      </c>
      <c r="F372" s="36" t="n">
        <v>50</v>
      </c>
      <c r="G372" s="36" t="s">
        <v>246</v>
      </c>
      <c r="H372" s="36" t="s">
        <v>146</v>
      </c>
    </row>
    <row r="373" customFormat="false" ht="15" hidden="false" customHeight="false" outlineLevel="0" collapsed="false">
      <c r="A373" s="36" t="s">
        <v>786</v>
      </c>
      <c r="B373" s="36" t="s">
        <v>650</v>
      </c>
      <c r="C373" s="36" t="s">
        <v>46</v>
      </c>
      <c r="D373" s="36" t="s">
        <v>405</v>
      </c>
      <c r="E373" s="36" t="n">
        <v>2</v>
      </c>
      <c r="F373" s="36" t="s">
        <v>380</v>
      </c>
      <c r="G373" s="36" t="s">
        <v>267</v>
      </c>
      <c r="H373" s="36" t="s">
        <v>321</v>
      </c>
    </row>
    <row r="374" customFormat="false" ht="15" hidden="false" customHeight="false" outlineLevel="0" collapsed="false">
      <c r="A374" s="36" t="s">
        <v>787</v>
      </c>
      <c r="B374" s="36" t="s">
        <v>650</v>
      </c>
      <c r="C374" s="36" t="s">
        <v>46</v>
      </c>
      <c r="D374" s="36" t="s">
        <v>178</v>
      </c>
      <c r="E374" s="36" t="n">
        <v>2</v>
      </c>
      <c r="F374" s="36" t="n">
        <v>280</v>
      </c>
      <c r="G374" s="36" t="s">
        <v>243</v>
      </c>
      <c r="H374" s="36" t="s">
        <v>140</v>
      </c>
    </row>
    <row r="375" customFormat="false" ht="15" hidden="false" customHeight="false" outlineLevel="0" collapsed="false">
      <c r="A375" s="36" t="s">
        <v>788</v>
      </c>
      <c r="B375" s="36" t="s">
        <v>644</v>
      </c>
      <c r="C375" s="36" t="s">
        <v>156</v>
      </c>
      <c r="D375" s="36" t="s">
        <v>408</v>
      </c>
      <c r="E375" s="36" t="n">
        <v>1</v>
      </c>
      <c r="F375" s="36" t="s">
        <v>789</v>
      </c>
      <c r="G375" s="36" t="s">
        <v>260</v>
      </c>
      <c r="H375" s="36" t="s">
        <v>141</v>
      </c>
    </row>
    <row r="376" customFormat="false" ht="15" hidden="false" customHeight="false" outlineLevel="0" collapsed="false">
      <c r="A376" s="36" t="s">
        <v>790</v>
      </c>
      <c r="B376" s="36" t="s">
        <v>650</v>
      </c>
      <c r="C376" s="36" t="s">
        <v>448</v>
      </c>
      <c r="D376" s="36" t="s">
        <v>714</v>
      </c>
      <c r="E376" s="36" t="n">
        <v>4</v>
      </c>
      <c r="F376" s="36" t="s">
        <v>323</v>
      </c>
      <c r="G376" s="36" t="s">
        <v>246</v>
      </c>
      <c r="H376" s="36" t="s">
        <v>247</v>
      </c>
    </row>
    <row r="377" customFormat="false" ht="15" hidden="false" customHeight="false" outlineLevel="0" collapsed="false">
      <c r="A377" s="36" t="s">
        <v>791</v>
      </c>
      <c r="B377" s="37" t="n">
        <v>46267</v>
      </c>
      <c r="C377" s="36" t="s">
        <v>46</v>
      </c>
      <c r="D377" s="36" t="s">
        <v>329</v>
      </c>
      <c r="E377" s="36" t="n">
        <v>1</v>
      </c>
      <c r="F377" s="36" t="s">
        <v>659</v>
      </c>
      <c r="G377" s="36" t="s">
        <v>243</v>
      </c>
      <c r="H377" s="36" t="s">
        <v>247</v>
      </c>
    </row>
    <row r="378" customFormat="false" ht="15" hidden="false" customHeight="false" outlineLevel="0" collapsed="false">
      <c r="A378" s="36" t="s">
        <v>792</v>
      </c>
      <c r="B378" s="36" t="s">
        <v>650</v>
      </c>
      <c r="C378" s="36" t="s">
        <v>46</v>
      </c>
      <c r="D378" s="36" t="s">
        <v>337</v>
      </c>
      <c r="E378" s="36" t="n">
        <v>6</v>
      </c>
      <c r="F378" s="36" t="s">
        <v>547</v>
      </c>
      <c r="G378" s="36" t="s">
        <v>243</v>
      </c>
      <c r="H378" s="36" t="s">
        <v>132</v>
      </c>
    </row>
    <row r="379" customFormat="false" ht="15" hidden="false" customHeight="false" outlineLevel="0" collapsed="false">
      <c r="A379" s="36" t="s">
        <v>793</v>
      </c>
      <c r="B379" s="36" t="s">
        <v>650</v>
      </c>
      <c r="C379" s="36" t="s">
        <v>156</v>
      </c>
      <c r="D379" s="36" t="s">
        <v>181</v>
      </c>
      <c r="E379" s="36" t="n">
        <v>3</v>
      </c>
      <c r="F379" s="36" t="s">
        <v>659</v>
      </c>
      <c r="G379" s="36" t="s">
        <v>260</v>
      </c>
      <c r="H379" s="36" t="s">
        <v>308</v>
      </c>
    </row>
    <row r="380" customFormat="false" ht="15" hidden="false" customHeight="false" outlineLevel="0" collapsed="false">
      <c r="A380" s="36" t="s">
        <v>794</v>
      </c>
      <c r="B380" s="37" t="n">
        <v>46267</v>
      </c>
      <c r="C380" s="36" t="s">
        <v>442</v>
      </c>
      <c r="D380" s="36" t="s">
        <v>373</v>
      </c>
      <c r="E380" s="36" t="n">
        <v>4</v>
      </c>
      <c r="F380" s="36" t="s">
        <v>363</v>
      </c>
      <c r="G380" s="36" t="s">
        <v>251</v>
      </c>
      <c r="H380" s="36" t="s">
        <v>321</v>
      </c>
    </row>
    <row r="381" customFormat="false" ht="15" hidden="false" customHeight="false" outlineLevel="0" collapsed="false">
      <c r="A381" s="36" t="s">
        <v>795</v>
      </c>
      <c r="B381" s="36" t="s">
        <v>644</v>
      </c>
      <c r="C381" s="36" t="s">
        <v>156</v>
      </c>
      <c r="D381" s="36" t="s">
        <v>342</v>
      </c>
      <c r="E381" s="36" t="n">
        <v>3</v>
      </c>
      <c r="F381" s="36" t="n">
        <v>60</v>
      </c>
      <c r="G381" s="36" t="s">
        <v>243</v>
      </c>
      <c r="H381" s="36" t="s">
        <v>132</v>
      </c>
    </row>
    <row r="382" customFormat="false" ht="15" hidden="false" customHeight="false" outlineLevel="0" collapsed="false">
      <c r="A382" s="36" t="s">
        <v>796</v>
      </c>
      <c r="B382" s="36" t="s">
        <v>644</v>
      </c>
      <c r="C382" s="36" t="s">
        <v>156</v>
      </c>
      <c r="D382" s="36" t="s">
        <v>183</v>
      </c>
      <c r="E382" s="36" t="n">
        <v>4</v>
      </c>
      <c r="F382" s="36" t="n">
        <v>380</v>
      </c>
      <c r="G382" s="36" t="s">
        <v>256</v>
      </c>
      <c r="H382" s="36" t="s">
        <v>141</v>
      </c>
    </row>
    <row r="383" customFormat="false" ht="15" hidden="false" customHeight="false" outlineLevel="0" collapsed="false">
      <c r="A383" s="36" t="s">
        <v>797</v>
      </c>
      <c r="B383" s="36" t="s">
        <v>535</v>
      </c>
      <c r="C383" s="36" t="s">
        <v>45</v>
      </c>
      <c r="D383" s="36" t="s">
        <v>798</v>
      </c>
      <c r="E383" s="36" t="n">
        <v>1</v>
      </c>
      <c r="F383" s="36" t="s">
        <v>420</v>
      </c>
      <c r="G383" s="36" t="s">
        <v>270</v>
      </c>
      <c r="H383" s="36" t="s">
        <v>308</v>
      </c>
    </row>
    <row r="384" customFormat="false" ht="15" hidden="false" customHeight="false" outlineLevel="0" collapsed="false">
      <c r="A384" s="36" t="s">
        <v>799</v>
      </c>
      <c r="B384" s="36" t="s">
        <v>650</v>
      </c>
      <c r="C384" s="36" t="s">
        <v>46</v>
      </c>
      <c r="D384" s="36" t="s">
        <v>208</v>
      </c>
      <c r="E384" s="36" t="n">
        <v>2</v>
      </c>
      <c r="F384" s="36" t="n">
        <v>280</v>
      </c>
      <c r="G384" s="36" t="s">
        <v>260</v>
      </c>
      <c r="H384" s="36" t="s">
        <v>145</v>
      </c>
    </row>
    <row r="385" customFormat="false" ht="15" hidden="false" customHeight="false" outlineLevel="0" collapsed="false">
      <c r="A385" s="36" t="s">
        <v>800</v>
      </c>
      <c r="B385" s="37" t="n">
        <v>46267</v>
      </c>
      <c r="C385" s="36" t="s">
        <v>46</v>
      </c>
      <c r="D385" s="36" t="s">
        <v>157</v>
      </c>
      <c r="E385" s="36" t="n">
        <v>1</v>
      </c>
      <c r="F385" s="36" t="s">
        <v>380</v>
      </c>
      <c r="G385" s="36" t="s">
        <v>270</v>
      </c>
      <c r="H385" s="36" t="s">
        <v>308</v>
      </c>
    </row>
    <row r="386" customFormat="false" ht="15" hidden="false" customHeight="false" outlineLevel="0" collapsed="false">
      <c r="A386" s="36" t="s">
        <v>801</v>
      </c>
      <c r="B386" s="37" t="n">
        <v>46274</v>
      </c>
      <c r="C386" s="36" t="s">
        <v>241</v>
      </c>
      <c r="D386" s="36" t="s">
        <v>204</v>
      </c>
      <c r="E386" s="36" t="n">
        <v>2</v>
      </c>
      <c r="F386" s="36" t="s">
        <v>420</v>
      </c>
      <c r="G386" s="36" t="s">
        <v>263</v>
      </c>
      <c r="H386" s="36" t="s">
        <v>321</v>
      </c>
    </row>
    <row r="387" customFormat="false" ht="15" hidden="false" customHeight="false" outlineLevel="0" collapsed="false">
      <c r="A387" s="36" t="s">
        <v>802</v>
      </c>
      <c r="B387" s="36" t="s">
        <v>803</v>
      </c>
      <c r="C387" s="36" t="s">
        <v>254</v>
      </c>
      <c r="D387" s="36" t="s">
        <v>556</v>
      </c>
      <c r="E387" s="36" t="n">
        <v>1</v>
      </c>
      <c r="F387" s="36" t="n">
        <v>160</v>
      </c>
      <c r="G387" s="36" t="s">
        <v>243</v>
      </c>
      <c r="H387" s="36" t="s">
        <v>141</v>
      </c>
    </row>
    <row r="388" customFormat="false" ht="15" hidden="false" customHeight="false" outlineLevel="0" collapsed="false">
      <c r="A388" s="36" t="s">
        <v>804</v>
      </c>
      <c r="B388" s="36" t="s">
        <v>803</v>
      </c>
      <c r="C388" s="36" t="s">
        <v>130</v>
      </c>
      <c r="D388" s="36" t="s">
        <v>471</v>
      </c>
      <c r="E388" s="36" t="n">
        <v>1</v>
      </c>
      <c r="F388" s="36" t="n">
        <v>120</v>
      </c>
      <c r="G388" s="36" t="s">
        <v>246</v>
      </c>
      <c r="H388" s="36" t="s">
        <v>306</v>
      </c>
    </row>
    <row r="389" customFormat="false" ht="15" hidden="false" customHeight="false" outlineLevel="0" collapsed="false">
      <c r="A389" s="36" t="s">
        <v>805</v>
      </c>
      <c r="B389" s="36" t="s">
        <v>620</v>
      </c>
      <c r="C389" s="36" t="s">
        <v>130</v>
      </c>
      <c r="D389" s="36" t="s">
        <v>177</v>
      </c>
      <c r="E389" s="36" t="n">
        <v>3</v>
      </c>
      <c r="F389" s="36" t="n">
        <v>310</v>
      </c>
      <c r="G389" s="36" t="s">
        <v>263</v>
      </c>
      <c r="H389" s="36" t="s">
        <v>140</v>
      </c>
    </row>
    <row r="390" customFormat="false" ht="15" hidden="false" customHeight="false" outlineLevel="0" collapsed="false">
      <c r="A390" s="36" t="s">
        <v>806</v>
      </c>
      <c r="B390" s="36" t="s">
        <v>803</v>
      </c>
      <c r="C390" s="36" t="s">
        <v>130</v>
      </c>
      <c r="D390" s="36" t="s">
        <v>171</v>
      </c>
      <c r="E390" s="36" t="n">
        <v>1</v>
      </c>
      <c r="F390" s="36" t="n">
        <v>58</v>
      </c>
      <c r="G390" s="36" t="s">
        <v>260</v>
      </c>
      <c r="H390" s="36" t="s">
        <v>141</v>
      </c>
    </row>
    <row r="391" customFormat="false" ht="15" hidden="false" customHeight="false" outlineLevel="0" collapsed="false">
      <c r="A391" s="36" t="s">
        <v>807</v>
      </c>
      <c r="B391" s="36" t="s">
        <v>803</v>
      </c>
      <c r="C391" s="36" t="s">
        <v>294</v>
      </c>
      <c r="D391" s="36" t="s">
        <v>226</v>
      </c>
      <c r="E391" s="36" t="n">
        <v>1</v>
      </c>
      <c r="F391" s="36" t="s">
        <v>443</v>
      </c>
      <c r="G391" s="36" t="s">
        <v>260</v>
      </c>
      <c r="H391" s="36" t="s">
        <v>247</v>
      </c>
    </row>
    <row r="392" customFormat="false" ht="15" hidden="false" customHeight="false" outlineLevel="0" collapsed="false">
      <c r="A392" s="36" t="s">
        <v>808</v>
      </c>
      <c r="B392" s="36" t="s">
        <v>809</v>
      </c>
      <c r="C392" s="36" t="s">
        <v>130</v>
      </c>
      <c r="D392" s="36" t="s">
        <v>783</v>
      </c>
      <c r="E392" s="36" t="n">
        <v>1</v>
      </c>
      <c r="F392" s="36" t="n">
        <v>130</v>
      </c>
      <c r="G392" s="36" t="s">
        <v>267</v>
      </c>
      <c r="H392" s="36" t="s">
        <v>141</v>
      </c>
    </row>
    <row r="393" customFormat="false" ht="15" hidden="false" customHeight="false" outlineLevel="0" collapsed="false">
      <c r="A393" s="36" t="s">
        <v>810</v>
      </c>
      <c r="B393" s="36" t="s">
        <v>803</v>
      </c>
      <c r="C393" s="36" t="s">
        <v>294</v>
      </c>
      <c r="D393" s="36" t="s">
        <v>258</v>
      </c>
      <c r="E393" s="36" t="n">
        <v>1</v>
      </c>
      <c r="F393" s="36" t="s">
        <v>323</v>
      </c>
      <c r="G393" s="36" t="s">
        <v>246</v>
      </c>
      <c r="H393" s="36" t="s">
        <v>145</v>
      </c>
    </row>
    <row r="394" customFormat="false" ht="15" hidden="false" customHeight="false" outlineLevel="0" collapsed="false">
      <c r="A394" s="36" t="s">
        <v>811</v>
      </c>
      <c r="B394" s="36" t="s">
        <v>620</v>
      </c>
      <c r="C394" s="36" t="s">
        <v>241</v>
      </c>
      <c r="D394" s="36" t="s">
        <v>176</v>
      </c>
      <c r="E394" s="36" t="n">
        <v>2</v>
      </c>
      <c r="F394" s="36" t="s">
        <v>302</v>
      </c>
      <c r="G394" s="36" t="s">
        <v>256</v>
      </c>
      <c r="H394" s="36" t="s">
        <v>247</v>
      </c>
    </row>
    <row r="395" customFormat="false" ht="15" hidden="false" customHeight="false" outlineLevel="0" collapsed="false">
      <c r="A395" s="36" t="s">
        <v>812</v>
      </c>
      <c r="B395" s="36" t="s">
        <v>803</v>
      </c>
      <c r="C395" s="36" t="s">
        <v>294</v>
      </c>
      <c r="D395" s="36" t="s">
        <v>204</v>
      </c>
      <c r="E395" s="36" t="n">
        <v>1</v>
      </c>
      <c r="F395" s="36" t="s">
        <v>813</v>
      </c>
      <c r="G395" s="36" t="s">
        <v>263</v>
      </c>
      <c r="H395" s="36" t="s">
        <v>131</v>
      </c>
    </row>
    <row r="396" customFormat="false" ht="15" hidden="false" customHeight="false" outlineLevel="0" collapsed="false">
      <c r="A396" s="36" t="s">
        <v>814</v>
      </c>
      <c r="B396" s="36" t="s">
        <v>620</v>
      </c>
      <c r="C396" s="36" t="s">
        <v>254</v>
      </c>
      <c r="D396" s="36" t="s">
        <v>337</v>
      </c>
      <c r="E396" s="36" t="n">
        <v>2</v>
      </c>
      <c r="F396" s="36" t="s">
        <v>584</v>
      </c>
      <c r="G396" s="36" t="s">
        <v>260</v>
      </c>
      <c r="H396" s="36" t="s">
        <v>131</v>
      </c>
    </row>
    <row r="397" customFormat="false" ht="15" hidden="false" customHeight="false" outlineLevel="0" collapsed="false">
      <c r="A397" s="36" t="s">
        <v>815</v>
      </c>
      <c r="B397" s="36" t="s">
        <v>620</v>
      </c>
      <c r="C397" s="36" t="s">
        <v>241</v>
      </c>
      <c r="D397" s="36" t="s">
        <v>194</v>
      </c>
      <c r="E397" s="36" t="n">
        <v>1</v>
      </c>
      <c r="F397" s="36" t="n">
        <v>130</v>
      </c>
      <c r="G397" s="36" t="s">
        <v>270</v>
      </c>
      <c r="H397" s="36" t="s">
        <v>132</v>
      </c>
    </row>
    <row r="398" customFormat="false" ht="15" hidden="false" customHeight="false" outlineLevel="0" collapsed="false">
      <c r="A398" s="36" t="s">
        <v>816</v>
      </c>
      <c r="B398" s="36" t="s">
        <v>803</v>
      </c>
      <c r="C398" s="36" t="s">
        <v>294</v>
      </c>
      <c r="D398" s="36" t="s">
        <v>206</v>
      </c>
      <c r="E398" s="36" t="n">
        <v>2</v>
      </c>
      <c r="F398" s="36" t="n">
        <v>65</v>
      </c>
      <c r="G398" s="36" t="s">
        <v>246</v>
      </c>
      <c r="H398" s="36" t="s">
        <v>131</v>
      </c>
    </row>
    <row r="399" customFormat="false" ht="15" hidden="false" customHeight="false" outlineLevel="0" collapsed="false">
      <c r="A399" s="36" t="s">
        <v>817</v>
      </c>
      <c r="B399" s="36" t="s">
        <v>620</v>
      </c>
      <c r="C399" s="36" t="s">
        <v>42</v>
      </c>
      <c r="D399" s="36" t="s">
        <v>134</v>
      </c>
      <c r="E399" s="36" t="n">
        <v>6</v>
      </c>
      <c r="F399" s="36" t="n">
        <v>190</v>
      </c>
      <c r="G399" s="36" t="s">
        <v>251</v>
      </c>
      <c r="H399" s="36" t="s">
        <v>141</v>
      </c>
    </row>
    <row r="400" customFormat="false" ht="15" hidden="false" customHeight="false" outlineLevel="0" collapsed="false">
      <c r="A400" s="36" t="s">
        <v>818</v>
      </c>
      <c r="B400" s="36" t="s">
        <v>620</v>
      </c>
      <c r="C400" s="36" t="s">
        <v>249</v>
      </c>
      <c r="D400" s="36" t="s">
        <v>157</v>
      </c>
      <c r="E400" s="36" t="n">
        <v>2</v>
      </c>
      <c r="F400" s="36" t="s">
        <v>380</v>
      </c>
      <c r="G400" s="36" t="s">
        <v>246</v>
      </c>
      <c r="H400" s="36" t="s">
        <v>140</v>
      </c>
    </row>
    <row r="401" customFormat="false" ht="15" hidden="false" customHeight="false" outlineLevel="0" collapsed="false">
      <c r="A401" s="36" t="s">
        <v>819</v>
      </c>
      <c r="B401" s="36" t="s">
        <v>803</v>
      </c>
      <c r="C401" s="36" t="s">
        <v>130</v>
      </c>
      <c r="D401" s="36" t="s">
        <v>167</v>
      </c>
      <c r="E401" s="36" t="n">
        <v>1</v>
      </c>
      <c r="F401" s="36" t="s">
        <v>292</v>
      </c>
      <c r="G401" s="36" t="s">
        <v>270</v>
      </c>
      <c r="H401" s="36" t="s">
        <v>132</v>
      </c>
    </row>
    <row r="402" customFormat="false" ht="15" hidden="false" customHeight="false" outlineLevel="0" collapsed="false">
      <c r="A402" s="36" t="s">
        <v>820</v>
      </c>
      <c r="B402" s="36" t="s">
        <v>803</v>
      </c>
      <c r="C402" s="36" t="s">
        <v>294</v>
      </c>
      <c r="D402" s="36" t="s">
        <v>188</v>
      </c>
      <c r="E402" s="36" t="n">
        <v>6</v>
      </c>
      <c r="F402" s="36" t="s">
        <v>313</v>
      </c>
      <c r="G402" s="36" t="s">
        <v>251</v>
      </c>
      <c r="H402" s="36" t="s">
        <v>131</v>
      </c>
    </row>
    <row r="403" customFormat="false" ht="15" hidden="false" customHeight="false" outlineLevel="0" collapsed="false">
      <c r="A403" s="36" t="s">
        <v>821</v>
      </c>
      <c r="B403" s="36" t="s">
        <v>803</v>
      </c>
      <c r="C403" s="36" t="s">
        <v>249</v>
      </c>
      <c r="D403" s="36" t="s">
        <v>822</v>
      </c>
      <c r="E403" s="36" t="n">
        <v>6</v>
      </c>
      <c r="F403" s="36" t="n">
        <v>65</v>
      </c>
      <c r="G403" s="36" t="s">
        <v>243</v>
      </c>
      <c r="H403" s="36" t="s">
        <v>141</v>
      </c>
    </row>
    <row r="404" customFormat="false" ht="15" hidden="false" customHeight="false" outlineLevel="0" collapsed="false">
      <c r="A404" s="36" t="s">
        <v>823</v>
      </c>
      <c r="B404" s="36" t="s">
        <v>620</v>
      </c>
      <c r="C404" s="36" t="s">
        <v>130</v>
      </c>
      <c r="D404" s="36" t="s">
        <v>148</v>
      </c>
      <c r="E404" s="36" t="n">
        <v>2</v>
      </c>
      <c r="F404" s="36" t="n">
        <v>330</v>
      </c>
      <c r="G404" s="36" t="s">
        <v>270</v>
      </c>
      <c r="H404" s="36" t="s">
        <v>141</v>
      </c>
    </row>
    <row r="405" customFormat="false" ht="15" hidden="false" customHeight="false" outlineLevel="0" collapsed="false">
      <c r="A405" s="36" t="s">
        <v>824</v>
      </c>
      <c r="B405" s="36" t="s">
        <v>803</v>
      </c>
      <c r="C405" s="36" t="s">
        <v>241</v>
      </c>
      <c r="D405" s="36" t="s">
        <v>148</v>
      </c>
      <c r="E405" s="36" t="n">
        <v>1</v>
      </c>
      <c r="F405" s="36" t="n">
        <v>330</v>
      </c>
      <c r="G405" s="36" t="s">
        <v>251</v>
      </c>
      <c r="H405" s="36" t="s">
        <v>146</v>
      </c>
    </row>
    <row r="406" customFormat="false" ht="15" hidden="false" customHeight="false" outlineLevel="0" collapsed="false">
      <c r="A406" s="36" t="s">
        <v>825</v>
      </c>
      <c r="B406" s="36" t="s">
        <v>620</v>
      </c>
      <c r="C406" s="36" t="s">
        <v>294</v>
      </c>
      <c r="D406" s="36" t="s">
        <v>178</v>
      </c>
      <c r="E406" s="36" t="n">
        <v>4</v>
      </c>
      <c r="F406" s="36" t="s">
        <v>378</v>
      </c>
      <c r="G406" s="36" t="s">
        <v>267</v>
      </c>
      <c r="H406" s="36" t="s">
        <v>132</v>
      </c>
    </row>
    <row r="407" customFormat="false" ht="15" hidden="false" customHeight="false" outlineLevel="0" collapsed="false">
      <c r="A407" s="36" t="s">
        <v>826</v>
      </c>
      <c r="B407" s="36" t="s">
        <v>620</v>
      </c>
      <c r="C407" s="36" t="s">
        <v>254</v>
      </c>
      <c r="D407" s="36" t="s">
        <v>827</v>
      </c>
      <c r="E407" s="36" t="n">
        <v>1</v>
      </c>
      <c r="F407" s="36" t="s">
        <v>317</v>
      </c>
      <c r="G407" s="36" t="s">
        <v>270</v>
      </c>
      <c r="H407" s="36" t="s">
        <v>140</v>
      </c>
    </row>
    <row r="408" customFormat="false" ht="15" hidden="false" customHeight="false" outlineLevel="0" collapsed="false">
      <c r="A408" s="36" t="s">
        <v>828</v>
      </c>
      <c r="B408" s="36" t="s">
        <v>620</v>
      </c>
      <c r="C408" s="36" t="s">
        <v>130</v>
      </c>
      <c r="D408" s="36" t="s">
        <v>798</v>
      </c>
      <c r="E408" s="36" t="n">
        <v>1</v>
      </c>
      <c r="F408" s="36" t="s">
        <v>255</v>
      </c>
      <c r="G408" s="36" t="s">
        <v>267</v>
      </c>
      <c r="H408" s="36" t="s">
        <v>131</v>
      </c>
    </row>
    <row r="409" customFormat="false" ht="15" hidden="false" customHeight="false" outlineLevel="0" collapsed="false">
      <c r="A409" s="36" t="s">
        <v>829</v>
      </c>
      <c r="B409" s="36" t="s">
        <v>803</v>
      </c>
      <c r="C409" s="36" t="s">
        <v>254</v>
      </c>
      <c r="D409" s="36" t="s">
        <v>178</v>
      </c>
      <c r="E409" s="36" t="n">
        <v>2</v>
      </c>
      <c r="F409" s="36" t="n">
        <v>280</v>
      </c>
      <c r="G409" s="36" t="s">
        <v>260</v>
      </c>
      <c r="H409" s="36" t="s">
        <v>247</v>
      </c>
    </row>
    <row r="410" customFormat="false" ht="15" hidden="false" customHeight="false" outlineLevel="0" collapsed="false">
      <c r="A410" s="36" t="s">
        <v>830</v>
      </c>
      <c r="B410" s="37" t="n">
        <v>46268</v>
      </c>
      <c r="C410" s="36" t="s">
        <v>249</v>
      </c>
      <c r="D410" s="36" t="s">
        <v>148</v>
      </c>
      <c r="E410" s="36" t="n">
        <v>1</v>
      </c>
      <c r="F410" s="36" t="s">
        <v>275</v>
      </c>
      <c r="G410" s="36" t="s">
        <v>246</v>
      </c>
      <c r="H410" s="36" t="s">
        <v>146</v>
      </c>
    </row>
    <row r="411" customFormat="false" ht="15" hidden="false" customHeight="false" outlineLevel="0" collapsed="false">
      <c r="A411" s="36" t="s">
        <v>831</v>
      </c>
      <c r="B411" s="36" t="s">
        <v>803</v>
      </c>
      <c r="C411" s="36" t="s">
        <v>254</v>
      </c>
      <c r="D411" s="36" t="s">
        <v>158</v>
      </c>
      <c r="E411" s="36" t="n">
        <v>1</v>
      </c>
      <c r="F411" s="36" t="n">
        <v>65</v>
      </c>
      <c r="G411" s="36" t="s">
        <v>270</v>
      </c>
      <c r="H411" s="36" t="s">
        <v>131</v>
      </c>
    </row>
    <row r="412" customFormat="false" ht="15" hidden="false" customHeight="false" outlineLevel="0" collapsed="false">
      <c r="A412" s="36" t="s">
        <v>832</v>
      </c>
      <c r="B412" s="36" t="s">
        <v>620</v>
      </c>
      <c r="C412" s="36" t="s">
        <v>130</v>
      </c>
      <c r="D412" s="36" t="s">
        <v>207</v>
      </c>
      <c r="E412" s="36" t="n">
        <v>6</v>
      </c>
      <c r="F412" s="36" t="s">
        <v>544</v>
      </c>
      <c r="G412" s="36" t="s">
        <v>270</v>
      </c>
      <c r="H412" s="36" t="s">
        <v>141</v>
      </c>
    </row>
    <row r="413" customFormat="false" ht="15" hidden="false" customHeight="false" outlineLevel="0" collapsed="false">
      <c r="A413" s="36" t="s">
        <v>833</v>
      </c>
      <c r="B413" s="36" t="s">
        <v>803</v>
      </c>
      <c r="C413" s="36" t="s">
        <v>249</v>
      </c>
      <c r="D413" s="36" t="s">
        <v>206</v>
      </c>
      <c r="E413" s="36" t="n">
        <v>2</v>
      </c>
      <c r="F413" s="36" t="s">
        <v>369</v>
      </c>
      <c r="G413" s="36" t="s">
        <v>243</v>
      </c>
      <c r="H413" s="36" t="s">
        <v>132</v>
      </c>
    </row>
    <row r="414" customFormat="false" ht="15" hidden="false" customHeight="false" outlineLevel="0" collapsed="false">
      <c r="A414" s="36" t="s">
        <v>834</v>
      </c>
      <c r="B414" s="36" t="s">
        <v>620</v>
      </c>
      <c r="C414" s="36" t="s">
        <v>254</v>
      </c>
      <c r="D414" s="36" t="s">
        <v>207</v>
      </c>
      <c r="E414" s="36" t="n">
        <v>1</v>
      </c>
      <c r="F414" s="36" t="n">
        <v>280</v>
      </c>
      <c r="G414" s="36" t="s">
        <v>256</v>
      </c>
      <c r="H414" s="36" t="s">
        <v>141</v>
      </c>
    </row>
    <row r="415" customFormat="false" ht="15" hidden="false" customHeight="false" outlineLevel="0" collapsed="false">
      <c r="A415" s="36" t="s">
        <v>835</v>
      </c>
      <c r="B415" s="36" t="s">
        <v>620</v>
      </c>
      <c r="C415" s="36" t="s">
        <v>294</v>
      </c>
      <c r="D415" s="36" t="s">
        <v>232</v>
      </c>
      <c r="E415" s="36" t="n">
        <v>1</v>
      </c>
      <c r="F415" s="36" t="s">
        <v>509</v>
      </c>
      <c r="G415" s="36" t="s">
        <v>251</v>
      </c>
      <c r="H415" s="36" t="s">
        <v>306</v>
      </c>
    </row>
    <row r="416" customFormat="false" ht="15" hidden="false" customHeight="false" outlineLevel="0" collapsed="false">
      <c r="A416" s="36" t="s">
        <v>836</v>
      </c>
      <c r="B416" s="36" t="s">
        <v>620</v>
      </c>
      <c r="C416" s="36" t="s">
        <v>254</v>
      </c>
      <c r="D416" s="36" t="s">
        <v>196</v>
      </c>
      <c r="E416" s="36" t="n">
        <v>2</v>
      </c>
      <c r="F416" s="36" t="s">
        <v>627</v>
      </c>
      <c r="G416" s="36" t="s">
        <v>260</v>
      </c>
      <c r="H416" s="36" t="s">
        <v>141</v>
      </c>
    </row>
    <row r="417" customFormat="false" ht="15" hidden="false" customHeight="false" outlineLevel="0" collapsed="false">
      <c r="A417" s="36" t="s">
        <v>837</v>
      </c>
      <c r="B417" s="36" t="s">
        <v>620</v>
      </c>
      <c r="C417" s="36" t="s">
        <v>294</v>
      </c>
      <c r="D417" s="36" t="s">
        <v>151</v>
      </c>
      <c r="E417" s="36" t="n">
        <v>1</v>
      </c>
      <c r="F417" s="36" t="s">
        <v>275</v>
      </c>
      <c r="G417" s="36" t="s">
        <v>267</v>
      </c>
      <c r="H417" s="36" t="s">
        <v>131</v>
      </c>
    </row>
    <row r="418" customFormat="false" ht="15" hidden="false" customHeight="false" outlineLevel="0" collapsed="false">
      <c r="A418" s="36" t="s">
        <v>838</v>
      </c>
      <c r="B418" s="36" t="s">
        <v>620</v>
      </c>
      <c r="C418" s="36" t="s">
        <v>241</v>
      </c>
      <c r="D418" s="36" t="s">
        <v>174</v>
      </c>
      <c r="E418" s="36" t="n">
        <v>1</v>
      </c>
      <c r="F418" s="36" t="s">
        <v>600</v>
      </c>
      <c r="G418" s="36" t="s">
        <v>243</v>
      </c>
      <c r="H418" s="36" t="s">
        <v>141</v>
      </c>
    </row>
    <row r="419" customFormat="false" ht="15" hidden="false" customHeight="false" outlineLevel="0" collapsed="false">
      <c r="A419" s="36" t="s">
        <v>839</v>
      </c>
      <c r="B419" s="36" t="s">
        <v>620</v>
      </c>
      <c r="C419" s="36" t="s">
        <v>241</v>
      </c>
      <c r="D419" s="36" t="s">
        <v>727</v>
      </c>
      <c r="E419" s="36" t="n">
        <v>6</v>
      </c>
      <c r="F419" s="36" t="n">
        <v>65</v>
      </c>
      <c r="G419" s="36" t="s">
        <v>243</v>
      </c>
      <c r="H419" s="36" t="s">
        <v>141</v>
      </c>
    </row>
    <row r="420" customFormat="false" ht="15" hidden="false" customHeight="false" outlineLevel="0" collapsed="false">
      <c r="A420" s="36" t="s">
        <v>840</v>
      </c>
      <c r="B420" s="36" t="s">
        <v>803</v>
      </c>
      <c r="C420" s="36" t="s">
        <v>254</v>
      </c>
      <c r="D420" s="36" t="s">
        <v>437</v>
      </c>
      <c r="E420" s="36" t="n">
        <v>1</v>
      </c>
      <c r="F420" s="36" t="n">
        <v>330</v>
      </c>
      <c r="G420" s="36" t="s">
        <v>256</v>
      </c>
      <c r="H420" s="36" t="s">
        <v>146</v>
      </c>
    </row>
    <row r="421" customFormat="false" ht="15" hidden="false" customHeight="false" outlineLevel="0" collapsed="false">
      <c r="A421" s="36" t="s">
        <v>841</v>
      </c>
      <c r="B421" s="37" t="n">
        <v>46268</v>
      </c>
      <c r="C421" s="36" t="s">
        <v>42</v>
      </c>
      <c r="D421" s="36" t="s">
        <v>155</v>
      </c>
      <c r="E421" s="36" t="n">
        <v>1</v>
      </c>
      <c r="F421" s="36" t="n">
        <v>110</v>
      </c>
      <c r="G421" s="36" t="s">
        <v>270</v>
      </c>
      <c r="H421" s="36" t="s">
        <v>247</v>
      </c>
    </row>
    <row r="422" customFormat="false" ht="15" hidden="false" customHeight="false" outlineLevel="0" collapsed="false">
      <c r="A422" s="36" t="s">
        <v>842</v>
      </c>
      <c r="B422" s="36" t="s">
        <v>803</v>
      </c>
      <c r="C422" s="36" t="s">
        <v>254</v>
      </c>
      <c r="D422" s="36" t="s">
        <v>716</v>
      </c>
      <c r="E422" s="36" t="n">
        <v>4</v>
      </c>
      <c r="F422" s="36" t="n">
        <v>350</v>
      </c>
      <c r="G422" s="36" t="s">
        <v>260</v>
      </c>
      <c r="H422" s="36" t="s">
        <v>141</v>
      </c>
    </row>
    <row r="423" customFormat="false" ht="15" hidden="false" customHeight="false" outlineLevel="0" collapsed="false">
      <c r="A423" s="36" t="s">
        <v>843</v>
      </c>
      <c r="B423" s="36" t="s">
        <v>620</v>
      </c>
      <c r="C423" s="36" t="s">
        <v>130</v>
      </c>
      <c r="D423" s="36" t="s">
        <v>204</v>
      </c>
      <c r="E423" s="36" t="n">
        <v>2</v>
      </c>
      <c r="F423" s="36" t="n">
        <v>130</v>
      </c>
      <c r="G423" s="36" t="s">
        <v>246</v>
      </c>
      <c r="H423" s="36" t="s">
        <v>146</v>
      </c>
    </row>
    <row r="424" customFormat="false" ht="15" hidden="false" customHeight="false" outlineLevel="0" collapsed="false">
      <c r="A424" s="36" t="s">
        <v>844</v>
      </c>
      <c r="B424" s="36" t="s">
        <v>620</v>
      </c>
      <c r="C424" s="36" t="s">
        <v>241</v>
      </c>
      <c r="D424" s="36" t="s">
        <v>219</v>
      </c>
      <c r="E424" s="36" t="n">
        <v>4</v>
      </c>
      <c r="F424" s="36" t="s">
        <v>742</v>
      </c>
      <c r="G424" s="36" t="s">
        <v>263</v>
      </c>
      <c r="H424" s="36" t="s">
        <v>132</v>
      </c>
    </row>
    <row r="425" customFormat="false" ht="15" hidden="false" customHeight="false" outlineLevel="0" collapsed="false">
      <c r="A425" s="36" t="s">
        <v>845</v>
      </c>
      <c r="B425" s="36" t="s">
        <v>803</v>
      </c>
      <c r="C425" s="36" t="s">
        <v>254</v>
      </c>
      <c r="D425" s="36" t="s">
        <v>186</v>
      </c>
      <c r="E425" s="36" t="n">
        <v>1</v>
      </c>
      <c r="F425" s="36" t="s">
        <v>584</v>
      </c>
      <c r="G425" s="36" t="s">
        <v>256</v>
      </c>
      <c r="H425" s="36" t="s">
        <v>131</v>
      </c>
    </row>
    <row r="426" customFormat="false" ht="15" hidden="false" customHeight="false" outlineLevel="0" collapsed="false">
      <c r="A426" s="36" t="s">
        <v>846</v>
      </c>
      <c r="B426" s="36" t="s">
        <v>620</v>
      </c>
      <c r="C426" s="36" t="s">
        <v>294</v>
      </c>
      <c r="D426" s="36" t="s">
        <v>299</v>
      </c>
      <c r="E426" s="36" t="n">
        <v>1</v>
      </c>
      <c r="F426" s="36" t="n">
        <v>60</v>
      </c>
      <c r="G426" s="36" t="s">
        <v>260</v>
      </c>
      <c r="H426" s="36" t="s">
        <v>247</v>
      </c>
    </row>
    <row r="427" customFormat="false" ht="15" hidden="false" customHeight="false" outlineLevel="0" collapsed="false">
      <c r="A427" s="36" t="s">
        <v>847</v>
      </c>
      <c r="B427" s="36" t="s">
        <v>803</v>
      </c>
      <c r="C427" s="36" t="s">
        <v>335</v>
      </c>
      <c r="D427" s="36" t="s">
        <v>435</v>
      </c>
      <c r="E427" s="36" t="n">
        <v>3</v>
      </c>
      <c r="F427" s="36" t="n">
        <v>65</v>
      </c>
      <c r="G427" s="36" t="s">
        <v>251</v>
      </c>
      <c r="H427" s="36" t="s">
        <v>132</v>
      </c>
    </row>
    <row r="428" customFormat="false" ht="15" hidden="false" customHeight="false" outlineLevel="0" collapsed="false">
      <c r="A428" s="36" t="s">
        <v>848</v>
      </c>
      <c r="B428" s="36" t="s">
        <v>803</v>
      </c>
      <c r="C428" s="36" t="s">
        <v>333</v>
      </c>
      <c r="D428" s="36" t="s">
        <v>295</v>
      </c>
      <c r="E428" s="36" t="n">
        <v>1</v>
      </c>
      <c r="F428" s="36" t="s">
        <v>489</v>
      </c>
      <c r="G428" s="36" t="s">
        <v>243</v>
      </c>
      <c r="H428" s="36" t="s">
        <v>247</v>
      </c>
    </row>
    <row r="429" customFormat="false" ht="15" hidden="false" customHeight="false" outlineLevel="0" collapsed="false">
      <c r="A429" s="36" t="s">
        <v>849</v>
      </c>
      <c r="B429" s="36" t="s">
        <v>803</v>
      </c>
      <c r="C429" s="36" t="s">
        <v>335</v>
      </c>
      <c r="D429" s="36" t="s">
        <v>234</v>
      </c>
      <c r="E429" s="36" t="n">
        <v>2</v>
      </c>
      <c r="F429" s="36" t="s">
        <v>255</v>
      </c>
      <c r="G429" s="36" t="s">
        <v>251</v>
      </c>
      <c r="H429" s="36" t="s">
        <v>132</v>
      </c>
    </row>
    <row r="430" customFormat="false" ht="15" hidden="false" customHeight="false" outlineLevel="0" collapsed="false">
      <c r="A430" s="36" t="s">
        <v>850</v>
      </c>
      <c r="B430" s="36" t="s">
        <v>803</v>
      </c>
      <c r="C430" s="36" t="s">
        <v>43</v>
      </c>
      <c r="D430" s="36" t="s">
        <v>172</v>
      </c>
      <c r="E430" s="36" t="n">
        <v>3</v>
      </c>
      <c r="F430" s="36" t="s">
        <v>851</v>
      </c>
      <c r="G430" s="36" t="s">
        <v>246</v>
      </c>
      <c r="H430" s="36" t="s">
        <v>141</v>
      </c>
    </row>
    <row r="431" customFormat="false" ht="15" hidden="false" customHeight="false" outlineLevel="0" collapsed="false">
      <c r="A431" s="36" t="s">
        <v>852</v>
      </c>
      <c r="B431" s="36" t="s">
        <v>620</v>
      </c>
      <c r="C431" s="36" t="s">
        <v>333</v>
      </c>
      <c r="D431" s="36" t="s">
        <v>530</v>
      </c>
      <c r="E431" s="36" t="n">
        <v>1</v>
      </c>
      <c r="F431" s="36" t="s">
        <v>319</v>
      </c>
      <c r="G431" s="36" t="s">
        <v>260</v>
      </c>
      <c r="H431" s="36" t="s">
        <v>247</v>
      </c>
    </row>
    <row r="432" customFormat="false" ht="15" hidden="false" customHeight="false" outlineLevel="0" collapsed="false">
      <c r="A432" s="36" t="s">
        <v>853</v>
      </c>
      <c r="B432" s="36" t="s">
        <v>803</v>
      </c>
      <c r="C432" s="36" t="s">
        <v>43</v>
      </c>
      <c r="D432" s="36" t="s">
        <v>148</v>
      </c>
      <c r="E432" s="36" t="n">
        <v>2</v>
      </c>
      <c r="F432" s="36" t="s">
        <v>380</v>
      </c>
      <c r="G432" s="36" t="s">
        <v>246</v>
      </c>
      <c r="H432" s="36" t="s">
        <v>132</v>
      </c>
    </row>
    <row r="433" customFormat="false" ht="15" hidden="false" customHeight="false" outlineLevel="0" collapsed="false">
      <c r="A433" s="36" t="s">
        <v>854</v>
      </c>
      <c r="B433" s="36" t="s">
        <v>803</v>
      </c>
      <c r="C433" s="36" t="s">
        <v>333</v>
      </c>
      <c r="D433" s="36" t="s">
        <v>138</v>
      </c>
      <c r="E433" s="36" t="n">
        <v>1</v>
      </c>
      <c r="F433" s="36" t="s">
        <v>259</v>
      </c>
      <c r="G433" s="36" t="s">
        <v>256</v>
      </c>
      <c r="H433" s="36" t="s">
        <v>306</v>
      </c>
    </row>
    <row r="434" customFormat="false" ht="15" hidden="false" customHeight="false" outlineLevel="0" collapsed="false">
      <c r="A434" s="36" t="s">
        <v>855</v>
      </c>
      <c r="B434" s="37" t="n">
        <v>46268</v>
      </c>
      <c r="C434" s="36" t="s">
        <v>43</v>
      </c>
      <c r="D434" s="36" t="s">
        <v>134</v>
      </c>
      <c r="E434" s="36" t="n">
        <v>-1</v>
      </c>
      <c r="F434" s="36" t="n">
        <v>190</v>
      </c>
      <c r="G434" s="36" t="s">
        <v>243</v>
      </c>
      <c r="H434" s="36" t="s">
        <v>247</v>
      </c>
    </row>
    <row r="435" customFormat="false" ht="15" hidden="false" customHeight="false" outlineLevel="0" collapsed="false">
      <c r="A435" s="36" t="s">
        <v>856</v>
      </c>
      <c r="B435" s="37" t="n">
        <v>46268</v>
      </c>
      <c r="C435" s="36" t="s">
        <v>333</v>
      </c>
      <c r="D435" s="36" t="s">
        <v>408</v>
      </c>
      <c r="E435" s="36"/>
      <c r="F435" s="36" t="n">
        <v>50</v>
      </c>
      <c r="G435" s="36" t="s">
        <v>243</v>
      </c>
      <c r="H435" s="36" t="s">
        <v>132</v>
      </c>
    </row>
    <row r="436" customFormat="false" ht="15" hidden="false" customHeight="false" outlineLevel="0" collapsed="false">
      <c r="A436" s="36" t="s">
        <v>857</v>
      </c>
      <c r="B436" s="36" t="s">
        <v>803</v>
      </c>
      <c r="C436" s="36" t="s">
        <v>335</v>
      </c>
      <c r="D436" s="36" t="s">
        <v>678</v>
      </c>
      <c r="E436" s="36" t="n">
        <v>6</v>
      </c>
      <c r="F436" s="36" t="n">
        <v>110</v>
      </c>
      <c r="G436" s="36" t="s">
        <v>246</v>
      </c>
      <c r="H436" s="36" t="s">
        <v>140</v>
      </c>
    </row>
    <row r="437" customFormat="false" ht="15" hidden="false" customHeight="false" outlineLevel="0" collapsed="false">
      <c r="A437" s="36" t="s">
        <v>858</v>
      </c>
      <c r="B437" s="36" t="s">
        <v>620</v>
      </c>
      <c r="C437" s="36" t="s">
        <v>335</v>
      </c>
      <c r="D437" s="36" t="s">
        <v>236</v>
      </c>
      <c r="E437" s="36" t="n">
        <v>3</v>
      </c>
      <c r="F437" s="36" t="s">
        <v>369</v>
      </c>
      <c r="G437" s="36" t="s">
        <v>263</v>
      </c>
      <c r="H437" s="36" t="s">
        <v>321</v>
      </c>
    </row>
    <row r="438" customFormat="false" ht="15" hidden="false" customHeight="false" outlineLevel="0" collapsed="false">
      <c r="A438" s="36" t="s">
        <v>859</v>
      </c>
      <c r="B438" s="36" t="s">
        <v>620</v>
      </c>
      <c r="C438" s="36" t="s">
        <v>43</v>
      </c>
      <c r="D438" s="36" t="s">
        <v>342</v>
      </c>
      <c r="E438" s="36" t="n">
        <v>1</v>
      </c>
      <c r="F438" s="36" t="n">
        <v>60</v>
      </c>
      <c r="G438" s="36" t="s">
        <v>251</v>
      </c>
      <c r="H438" s="36" t="s">
        <v>247</v>
      </c>
    </row>
    <row r="439" customFormat="false" ht="15" hidden="false" customHeight="false" outlineLevel="0" collapsed="false">
      <c r="A439" s="36" t="s">
        <v>860</v>
      </c>
      <c r="B439" s="36" t="s">
        <v>620</v>
      </c>
      <c r="C439" s="36" t="s">
        <v>139</v>
      </c>
      <c r="D439" s="36" t="s">
        <v>205</v>
      </c>
      <c r="E439" s="36" t="n">
        <v>6</v>
      </c>
      <c r="F439" s="36" t="s">
        <v>302</v>
      </c>
      <c r="G439" s="36" t="s">
        <v>263</v>
      </c>
      <c r="H439" s="36" t="s">
        <v>308</v>
      </c>
    </row>
    <row r="440" customFormat="false" ht="15" hidden="false" customHeight="false" outlineLevel="0" collapsed="false">
      <c r="A440" s="36" t="s">
        <v>861</v>
      </c>
      <c r="B440" s="36" t="s">
        <v>803</v>
      </c>
      <c r="C440" s="36" t="s">
        <v>333</v>
      </c>
      <c r="D440" s="36" t="s">
        <v>297</v>
      </c>
      <c r="E440" s="36" t="n">
        <v>6</v>
      </c>
      <c r="F440" s="36" t="s">
        <v>862</v>
      </c>
      <c r="G440" s="36" t="s">
        <v>263</v>
      </c>
      <c r="H440" s="36" t="s">
        <v>308</v>
      </c>
    </row>
    <row r="441" customFormat="false" ht="15" hidden="false" customHeight="false" outlineLevel="0" collapsed="false">
      <c r="A441" s="36" t="s">
        <v>863</v>
      </c>
      <c r="B441" s="37" t="n">
        <v>46268</v>
      </c>
      <c r="C441" s="36" t="s">
        <v>335</v>
      </c>
      <c r="D441" s="36" t="s">
        <v>864</v>
      </c>
      <c r="E441" s="36" t="n">
        <v>1</v>
      </c>
      <c r="F441" s="36" t="s">
        <v>363</v>
      </c>
      <c r="G441" s="36" t="s">
        <v>243</v>
      </c>
      <c r="H441" s="36" t="s">
        <v>141</v>
      </c>
    </row>
    <row r="442" customFormat="false" ht="15" hidden="false" customHeight="false" outlineLevel="0" collapsed="false">
      <c r="A442" s="36" t="s">
        <v>865</v>
      </c>
      <c r="B442" s="36" t="s">
        <v>620</v>
      </c>
      <c r="C442" s="36" t="s">
        <v>333</v>
      </c>
      <c r="D442" s="36" t="s">
        <v>212</v>
      </c>
      <c r="E442" s="36" t="s">
        <v>403</v>
      </c>
      <c r="F442" s="36" t="n">
        <v>380</v>
      </c>
      <c r="G442" s="36" t="s">
        <v>270</v>
      </c>
      <c r="H442" s="36" t="s">
        <v>131</v>
      </c>
    </row>
    <row r="443" customFormat="false" ht="15" hidden="false" customHeight="false" outlineLevel="0" collapsed="false">
      <c r="A443" s="36" t="s">
        <v>619</v>
      </c>
      <c r="B443" s="36" t="s">
        <v>620</v>
      </c>
      <c r="C443" s="36" t="s">
        <v>43</v>
      </c>
      <c r="D443" s="36" t="s">
        <v>492</v>
      </c>
      <c r="E443" s="36" t="n">
        <v>1</v>
      </c>
      <c r="F443" s="36" t="s">
        <v>457</v>
      </c>
      <c r="G443" s="36" t="s">
        <v>256</v>
      </c>
      <c r="H443" s="36" t="s">
        <v>141</v>
      </c>
    </row>
    <row r="444" customFormat="false" ht="15" hidden="false" customHeight="false" outlineLevel="0" collapsed="false">
      <c r="A444" s="36" t="s">
        <v>866</v>
      </c>
      <c r="B444" s="36" t="s">
        <v>620</v>
      </c>
      <c r="C444" s="36" t="s">
        <v>43</v>
      </c>
      <c r="D444" s="36" t="s">
        <v>280</v>
      </c>
      <c r="E444" s="36" t="n">
        <v>2</v>
      </c>
      <c r="F444" s="36" t="s">
        <v>380</v>
      </c>
      <c r="G444" s="36" t="s">
        <v>243</v>
      </c>
      <c r="H444" s="36" t="s">
        <v>321</v>
      </c>
    </row>
    <row r="445" customFormat="false" ht="15" hidden="false" customHeight="false" outlineLevel="0" collapsed="false">
      <c r="A445" s="36" t="s">
        <v>867</v>
      </c>
      <c r="B445" s="36" t="s">
        <v>803</v>
      </c>
      <c r="C445" s="36" t="s">
        <v>43</v>
      </c>
      <c r="D445" s="36" t="s">
        <v>186</v>
      </c>
      <c r="E445" s="36" t="n">
        <v>1</v>
      </c>
      <c r="F445" s="36" t="s">
        <v>547</v>
      </c>
      <c r="G445" s="36" t="s">
        <v>246</v>
      </c>
      <c r="H445" s="36" t="s">
        <v>132</v>
      </c>
    </row>
    <row r="446" customFormat="false" ht="15" hidden="false" customHeight="false" outlineLevel="0" collapsed="false">
      <c r="A446" s="36" t="s">
        <v>868</v>
      </c>
      <c r="B446" s="36" t="s">
        <v>620</v>
      </c>
      <c r="C446" s="36" t="s">
        <v>43</v>
      </c>
      <c r="D446" s="36" t="s">
        <v>299</v>
      </c>
      <c r="E446" s="36" t="n">
        <v>2</v>
      </c>
      <c r="F446" s="36" t="s">
        <v>319</v>
      </c>
      <c r="G446" s="36" t="s">
        <v>270</v>
      </c>
      <c r="H446" s="36" t="s">
        <v>141</v>
      </c>
    </row>
    <row r="447" customFormat="false" ht="15" hidden="false" customHeight="false" outlineLevel="0" collapsed="false">
      <c r="A447" s="36" t="s">
        <v>869</v>
      </c>
      <c r="B447" s="37" t="n">
        <v>46268</v>
      </c>
      <c r="C447" s="36" t="s">
        <v>43</v>
      </c>
      <c r="D447" s="36" t="s">
        <v>437</v>
      </c>
      <c r="E447" s="36" t="n">
        <v>1</v>
      </c>
      <c r="F447" s="36" t="s">
        <v>380</v>
      </c>
      <c r="G447" s="36" t="s">
        <v>251</v>
      </c>
      <c r="H447" s="36" t="s">
        <v>247</v>
      </c>
    </row>
    <row r="448" customFormat="false" ht="15" hidden="false" customHeight="false" outlineLevel="0" collapsed="false">
      <c r="A448" s="36" t="s">
        <v>870</v>
      </c>
      <c r="B448" s="36" t="s">
        <v>803</v>
      </c>
      <c r="C448" s="36" t="s">
        <v>139</v>
      </c>
      <c r="D448" s="36" t="s">
        <v>204</v>
      </c>
      <c r="E448" s="36" t="n">
        <v>2</v>
      </c>
      <c r="F448" s="36" t="s">
        <v>420</v>
      </c>
      <c r="G448" s="36" t="s">
        <v>270</v>
      </c>
      <c r="H448" s="36" t="s">
        <v>308</v>
      </c>
    </row>
    <row r="449" customFormat="false" ht="15" hidden="false" customHeight="false" outlineLevel="0" collapsed="false">
      <c r="A449" s="36" t="s">
        <v>871</v>
      </c>
      <c r="B449" s="36" t="s">
        <v>620</v>
      </c>
      <c r="C449" s="36" t="s">
        <v>139</v>
      </c>
      <c r="D449" s="36" t="s">
        <v>204</v>
      </c>
      <c r="E449" s="36" t="n">
        <v>6</v>
      </c>
      <c r="F449" s="36" t="s">
        <v>255</v>
      </c>
      <c r="G449" s="36" t="s">
        <v>243</v>
      </c>
      <c r="H449" s="36" t="s">
        <v>308</v>
      </c>
    </row>
    <row r="450" customFormat="false" ht="15" hidden="false" customHeight="false" outlineLevel="0" collapsed="false">
      <c r="A450" s="36" t="s">
        <v>872</v>
      </c>
      <c r="B450" s="36" t="s">
        <v>803</v>
      </c>
      <c r="C450" s="36" t="s">
        <v>335</v>
      </c>
      <c r="D450" s="36" t="s">
        <v>233</v>
      </c>
      <c r="E450" s="36" t="n">
        <v>2</v>
      </c>
      <c r="F450" s="36" t="s">
        <v>255</v>
      </c>
      <c r="G450" s="36" t="s">
        <v>256</v>
      </c>
      <c r="H450" s="36" t="s">
        <v>141</v>
      </c>
    </row>
    <row r="451" customFormat="false" ht="15" hidden="false" customHeight="false" outlineLevel="0" collapsed="false">
      <c r="A451" s="36" t="s">
        <v>873</v>
      </c>
      <c r="B451" s="36" t="s">
        <v>803</v>
      </c>
      <c r="C451" s="36" t="s">
        <v>43</v>
      </c>
      <c r="D451" s="36" t="s">
        <v>285</v>
      </c>
      <c r="E451" s="36" t="n">
        <v>2</v>
      </c>
      <c r="F451" s="36" t="s">
        <v>443</v>
      </c>
      <c r="G451" s="36" t="s">
        <v>256</v>
      </c>
      <c r="H451" s="36" t="s">
        <v>141</v>
      </c>
    </row>
    <row r="452" customFormat="false" ht="15" hidden="false" customHeight="false" outlineLevel="0" collapsed="false">
      <c r="A452" s="36" t="s">
        <v>874</v>
      </c>
      <c r="B452" s="36" t="s">
        <v>803</v>
      </c>
      <c r="C452" s="36" t="s">
        <v>43</v>
      </c>
      <c r="D452" s="36" t="s">
        <v>757</v>
      </c>
      <c r="E452" s="36" t="n">
        <v>1</v>
      </c>
      <c r="F452" s="36" t="n">
        <v>140</v>
      </c>
      <c r="G452" s="36" t="s">
        <v>243</v>
      </c>
      <c r="H452" s="36" t="s">
        <v>132</v>
      </c>
    </row>
    <row r="453" customFormat="false" ht="15" hidden="false" customHeight="false" outlineLevel="0" collapsed="false">
      <c r="A453" s="36" t="s">
        <v>875</v>
      </c>
      <c r="B453" s="36" t="s">
        <v>620</v>
      </c>
      <c r="C453" s="36" t="s">
        <v>139</v>
      </c>
      <c r="D453" s="36" t="s">
        <v>876</v>
      </c>
      <c r="E453" s="36" t="s">
        <v>403</v>
      </c>
      <c r="F453" s="36" t="n">
        <v>330</v>
      </c>
      <c r="G453" s="36" t="s">
        <v>260</v>
      </c>
      <c r="H453" s="36" t="s">
        <v>132</v>
      </c>
    </row>
    <row r="454" customFormat="false" ht="15" hidden="false" customHeight="false" outlineLevel="0" collapsed="false">
      <c r="A454" s="36" t="s">
        <v>877</v>
      </c>
      <c r="B454" s="36" t="s">
        <v>803</v>
      </c>
      <c r="C454" s="36" t="s">
        <v>43</v>
      </c>
      <c r="D454" s="36" t="s">
        <v>224</v>
      </c>
      <c r="E454" s="36" t="n">
        <v>1</v>
      </c>
      <c r="F454" s="36" t="n">
        <v>130</v>
      </c>
      <c r="G454" s="36" t="s">
        <v>267</v>
      </c>
      <c r="H454" s="36" t="s">
        <v>132</v>
      </c>
    </row>
    <row r="455" customFormat="false" ht="15" hidden="false" customHeight="false" outlineLevel="0" collapsed="false">
      <c r="A455" s="36" t="s">
        <v>878</v>
      </c>
      <c r="B455" s="36" t="s">
        <v>803</v>
      </c>
      <c r="C455" s="36" t="s">
        <v>43</v>
      </c>
      <c r="D455" s="36" t="s">
        <v>176</v>
      </c>
      <c r="E455" s="36" t="n">
        <v>6</v>
      </c>
      <c r="F455" s="36" t="n">
        <v>90</v>
      </c>
      <c r="G455" s="36" t="s">
        <v>263</v>
      </c>
      <c r="H455" s="36" t="s">
        <v>141</v>
      </c>
    </row>
    <row r="456" customFormat="false" ht="15" hidden="false" customHeight="false" outlineLevel="0" collapsed="false">
      <c r="A456" s="36" t="s">
        <v>879</v>
      </c>
      <c r="B456" s="36" t="s">
        <v>620</v>
      </c>
      <c r="C456" s="36" t="s">
        <v>43</v>
      </c>
      <c r="D456" s="36" t="s">
        <v>530</v>
      </c>
      <c r="E456" s="36" t="n">
        <v>4</v>
      </c>
      <c r="F456" s="36" t="n">
        <v>60</v>
      </c>
      <c r="G456" s="36" t="s">
        <v>263</v>
      </c>
      <c r="H456" s="36" t="s">
        <v>132</v>
      </c>
    </row>
    <row r="457" customFormat="false" ht="15" hidden="false" customHeight="false" outlineLevel="0" collapsed="false">
      <c r="A457" s="36" t="s">
        <v>880</v>
      </c>
      <c r="B457" s="36" t="s">
        <v>620</v>
      </c>
      <c r="C457" s="36" t="s">
        <v>144</v>
      </c>
      <c r="D457" s="36" t="s">
        <v>471</v>
      </c>
      <c r="E457" s="36" t="n">
        <v>4</v>
      </c>
      <c r="F457" s="36" t="s">
        <v>505</v>
      </c>
      <c r="G457" s="36" t="s">
        <v>246</v>
      </c>
      <c r="H457" s="36" t="s">
        <v>146</v>
      </c>
    </row>
    <row r="458" customFormat="false" ht="15" hidden="false" customHeight="false" outlineLevel="0" collapsed="false">
      <c r="A458" s="36" t="s">
        <v>881</v>
      </c>
      <c r="B458" s="36" t="s">
        <v>803</v>
      </c>
      <c r="C458" s="36" t="s">
        <v>554</v>
      </c>
      <c r="D458" s="36" t="s">
        <v>133</v>
      </c>
      <c r="E458" s="36" t="n">
        <v>1</v>
      </c>
      <c r="F458" s="36" t="s">
        <v>411</v>
      </c>
      <c r="G458" s="36" t="s">
        <v>256</v>
      </c>
      <c r="H458" s="36" t="s">
        <v>247</v>
      </c>
    </row>
    <row r="459" customFormat="false" ht="15" hidden="false" customHeight="false" outlineLevel="0" collapsed="false">
      <c r="A459" s="36" t="s">
        <v>882</v>
      </c>
      <c r="B459" s="36" t="s">
        <v>803</v>
      </c>
      <c r="C459" s="36" t="s">
        <v>375</v>
      </c>
      <c r="D459" s="36" t="s">
        <v>209</v>
      </c>
      <c r="E459" s="36" t="n">
        <v>3</v>
      </c>
      <c r="F459" s="36" t="s">
        <v>552</v>
      </c>
      <c r="G459" s="36" t="s">
        <v>246</v>
      </c>
      <c r="H459" s="36" t="s">
        <v>141</v>
      </c>
    </row>
    <row r="460" customFormat="false" ht="15" hidden="false" customHeight="false" outlineLevel="0" collapsed="false">
      <c r="A460" s="36" t="s">
        <v>883</v>
      </c>
      <c r="B460" s="36" t="s">
        <v>803</v>
      </c>
      <c r="C460" s="36" t="s">
        <v>554</v>
      </c>
      <c r="D460" s="36" t="s">
        <v>217</v>
      </c>
      <c r="E460" s="36" t="n">
        <v>1</v>
      </c>
      <c r="F460" s="36" t="n">
        <v>85</v>
      </c>
      <c r="G460" s="36" t="s">
        <v>251</v>
      </c>
      <c r="H460" s="36" t="s">
        <v>132</v>
      </c>
    </row>
    <row r="461" customFormat="false" ht="15" hidden="false" customHeight="false" outlineLevel="0" collapsed="false">
      <c r="A461" s="36" t="s">
        <v>884</v>
      </c>
      <c r="B461" s="36" t="s">
        <v>620</v>
      </c>
      <c r="C461" s="36" t="s">
        <v>144</v>
      </c>
      <c r="D461" s="36" t="s">
        <v>885</v>
      </c>
      <c r="E461" s="36" t="n">
        <v>3</v>
      </c>
      <c r="F461" s="36" t="n">
        <v>380</v>
      </c>
      <c r="G461" s="36" t="s">
        <v>251</v>
      </c>
      <c r="H461" s="36" t="s">
        <v>132</v>
      </c>
    </row>
    <row r="462" customFormat="false" ht="15" hidden="false" customHeight="false" outlineLevel="0" collapsed="false">
      <c r="A462" s="36" t="s">
        <v>886</v>
      </c>
      <c r="B462" s="36" t="s">
        <v>803</v>
      </c>
      <c r="C462" s="36" t="s">
        <v>44</v>
      </c>
      <c r="D462" s="36" t="s">
        <v>164</v>
      </c>
      <c r="E462" s="36" t="n">
        <v>2</v>
      </c>
      <c r="F462" s="36" t="s">
        <v>659</v>
      </c>
      <c r="G462" s="36" t="s">
        <v>260</v>
      </c>
      <c r="H462" s="36" t="s">
        <v>141</v>
      </c>
    </row>
    <row r="463" customFormat="false" ht="15" hidden="false" customHeight="false" outlineLevel="0" collapsed="false">
      <c r="A463" s="36" t="s">
        <v>887</v>
      </c>
      <c r="B463" s="36" t="s">
        <v>803</v>
      </c>
      <c r="C463" s="36" t="s">
        <v>368</v>
      </c>
      <c r="D463" s="36" t="s">
        <v>222</v>
      </c>
      <c r="E463" s="36" t="n">
        <v>3</v>
      </c>
      <c r="F463" s="36" t="n">
        <v>420</v>
      </c>
      <c r="G463" s="36" t="s">
        <v>243</v>
      </c>
      <c r="H463" s="36" t="s">
        <v>141</v>
      </c>
    </row>
    <row r="464" customFormat="false" ht="15" hidden="false" customHeight="false" outlineLevel="0" collapsed="false">
      <c r="A464" s="36" t="s">
        <v>888</v>
      </c>
      <c r="B464" s="36" t="s">
        <v>803</v>
      </c>
      <c r="C464" s="36" t="s">
        <v>375</v>
      </c>
      <c r="D464" s="36" t="s">
        <v>377</v>
      </c>
      <c r="E464" s="36" t="n">
        <v>3</v>
      </c>
      <c r="F464" s="36" t="n">
        <v>280</v>
      </c>
      <c r="G464" s="36" t="s">
        <v>251</v>
      </c>
      <c r="H464" s="36" t="s">
        <v>308</v>
      </c>
    </row>
    <row r="465" customFormat="false" ht="15" hidden="false" customHeight="false" outlineLevel="0" collapsed="false">
      <c r="A465" s="36" t="s">
        <v>889</v>
      </c>
      <c r="B465" s="36" t="s">
        <v>803</v>
      </c>
      <c r="C465" s="36" t="s">
        <v>44</v>
      </c>
      <c r="D465" s="36" t="s">
        <v>196</v>
      </c>
      <c r="E465" s="36" t="n">
        <v>4</v>
      </c>
      <c r="F465" s="36" t="s">
        <v>627</v>
      </c>
      <c r="G465" s="36" t="s">
        <v>246</v>
      </c>
      <c r="H465" s="36" t="s">
        <v>132</v>
      </c>
    </row>
    <row r="466" customFormat="false" ht="15" hidden="false" customHeight="false" outlineLevel="0" collapsed="false">
      <c r="A466" s="36" t="s">
        <v>890</v>
      </c>
      <c r="B466" s="36" t="s">
        <v>803</v>
      </c>
      <c r="C466" s="36" t="s">
        <v>44</v>
      </c>
      <c r="D466" s="36" t="s">
        <v>188</v>
      </c>
      <c r="E466" s="36" t="n">
        <v>3</v>
      </c>
      <c r="F466" s="36" t="n">
        <v>85</v>
      </c>
      <c r="G466" s="36" t="s">
        <v>246</v>
      </c>
      <c r="H466" s="36" t="s">
        <v>132</v>
      </c>
    </row>
    <row r="467" customFormat="false" ht="15" hidden="false" customHeight="false" outlineLevel="0" collapsed="false">
      <c r="A467" s="36" t="s">
        <v>891</v>
      </c>
      <c r="B467" s="36" t="s">
        <v>803</v>
      </c>
      <c r="C467" s="36" t="s">
        <v>554</v>
      </c>
      <c r="D467" s="36" t="s">
        <v>623</v>
      </c>
      <c r="E467" s="36" t="n">
        <v>2</v>
      </c>
      <c r="F467" s="36" t="s">
        <v>552</v>
      </c>
      <c r="G467" s="36" t="s">
        <v>246</v>
      </c>
      <c r="H467" s="36" t="s">
        <v>132</v>
      </c>
    </row>
    <row r="468" customFormat="false" ht="15" hidden="false" customHeight="false" outlineLevel="0" collapsed="false">
      <c r="A468" s="36" t="s">
        <v>892</v>
      </c>
      <c r="B468" s="36" t="s">
        <v>620</v>
      </c>
      <c r="C468" s="36" t="s">
        <v>44</v>
      </c>
      <c r="D468" s="36" t="s">
        <v>640</v>
      </c>
      <c r="E468" s="36" t="n">
        <v>2</v>
      </c>
      <c r="F468" s="36" t="s">
        <v>331</v>
      </c>
      <c r="G468" s="36" t="s">
        <v>256</v>
      </c>
      <c r="H468" s="36" t="s">
        <v>321</v>
      </c>
    </row>
    <row r="469" customFormat="false" ht="15" hidden="false" customHeight="false" outlineLevel="0" collapsed="false">
      <c r="A469" s="36" t="s">
        <v>893</v>
      </c>
      <c r="B469" s="36" t="s">
        <v>803</v>
      </c>
      <c r="C469" s="36" t="s">
        <v>375</v>
      </c>
      <c r="D469" s="36" t="s">
        <v>170</v>
      </c>
      <c r="E469" s="36" t="n">
        <v>1</v>
      </c>
      <c r="F469" s="36" t="s">
        <v>578</v>
      </c>
      <c r="G469" s="36" t="s">
        <v>251</v>
      </c>
      <c r="H469" s="36" t="s">
        <v>321</v>
      </c>
    </row>
    <row r="470" customFormat="false" ht="15" hidden="false" customHeight="false" outlineLevel="0" collapsed="false">
      <c r="A470" s="36" t="s">
        <v>894</v>
      </c>
      <c r="B470" s="36" t="s">
        <v>620</v>
      </c>
      <c r="C470" s="36" t="s">
        <v>44</v>
      </c>
      <c r="D470" s="36" t="s">
        <v>783</v>
      </c>
      <c r="E470" s="36" t="n">
        <v>3</v>
      </c>
      <c r="F470" s="36" t="s">
        <v>255</v>
      </c>
      <c r="G470" s="36" t="s">
        <v>267</v>
      </c>
      <c r="H470" s="36" t="s">
        <v>132</v>
      </c>
    </row>
    <row r="471" customFormat="false" ht="15" hidden="false" customHeight="false" outlineLevel="0" collapsed="false">
      <c r="A471" s="36" t="s">
        <v>895</v>
      </c>
      <c r="B471" s="36" t="s">
        <v>803</v>
      </c>
      <c r="C471" s="36" t="s">
        <v>554</v>
      </c>
      <c r="D471" s="36" t="s">
        <v>287</v>
      </c>
      <c r="E471" s="36" t="n">
        <v>1</v>
      </c>
      <c r="F471" s="36" t="s">
        <v>563</v>
      </c>
      <c r="G471" s="36" t="s">
        <v>260</v>
      </c>
      <c r="H471" s="36" t="s">
        <v>321</v>
      </c>
    </row>
    <row r="472" customFormat="false" ht="15" hidden="false" customHeight="false" outlineLevel="0" collapsed="false">
      <c r="A472" s="36" t="s">
        <v>896</v>
      </c>
      <c r="B472" s="36" t="s">
        <v>620</v>
      </c>
      <c r="C472" s="36" t="s">
        <v>375</v>
      </c>
      <c r="D472" s="36" t="s">
        <v>342</v>
      </c>
      <c r="E472" s="36" t="n">
        <v>1</v>
      </c>
      <c r="F472" s="36" t="n">
        <v>60</v>
      </c>
      <c r="G472" s="36" t="s">
        <v>263</v>
      </c>
      <c r="H472" s="36" t="s">
        <v>132</v>
      </c>
    </row>
    <row r="473" customFormat="false" ht="15" hidden="false" customHeight="false" outlineLevel="0" collapsed="false">
      <c r="A473" s="36" t="s">
        <v>897</v>
      </c>
      <c r="B473" s="36" t="s">
        <v>803</v>
      </c>
      <c r="C473" s="36" t="s">
        <v>44</v>
      </c>
      <c r="D473" s="36" t="s">
        <v>898</v>
      </c>
      <c r="E473" s="36" t="n">
        <v>1</v>
      </c>
      <c r="F473" s="36" t="n">
        <v>150</v>
      </c>
      <c r="G473" s="36" t="s">
        <v>256</v>
      </c>
      <c r="H473" s="36" t="s">
        <v>141</v>
      </c>
    </row>
    <row r="474" customFormat="false" ht="15" hidden="false" customHeight="false" outlineLevel="0" collapsed="false">
      <c r="A474" s="36" t="s">
        <v>899</v>
      </c>
      <c r="B474" s="36" t="s">
        <v>803</v>
      </c>
      <c r="C474" s="36" t="s">
        <v>44</v>
      </c>
      <c r="D474" s="36" t="s">
        <v>716</v>
      </c>
      <c r="E474" s="36" t="n">
        <v>2</v>
      </c>
      <c r="F474" s="36" t="s">
        <v>443</v>
      </c>
      <c r="G474" s="36" t="s">
        <v>263</v>
      </c>
      <c r="H474" s="36" t="s">
        <v>140</v>
      </c>
    </row>
    <row r="475" customFormat="false" ht="15" hidden="false" customHeight="false" outlineLevel="0" collapsed="false">
      <c r="A475" s="36" t="s">
        <v>900</v>
      </c>
      <c r="B475" s="36" t="s">
        <v>803</v>
      </c>
      <c r="C475" s="36" t="s">
        <v>144</v>
      </c>
      <c r="D475" s="36" t="s">
        <v>299</v>
      </c>
      <c r="E475" s="36" t="n">
        <v>6</v>
      </c>
      <c r="F475" s="36" t="s">
        <v>344</v>
      </c>
      <c r="G475" s="36" t="s">
        <v>263</v>
      </c>
      <c r="H475" s="36" t="s">
        <v>140</v>
      </c>
    </row>
    <row r="476" customFormat="false" ht="15" hidden="false" customHeight="false" outlineLevel="0" collapsed="false">
      <c r="A476" s="36" t="s">
        <v>901</v>
      </c>
      <c r="B476" s="36" t="s">
        <v>803</v>
      </c>
      <c r="C476" s="36" t="s">
        <v>44</v>
      </c>
      <c r="D476" s="36" t="s">
        <v>134</v>
      </c>
      <c r="E476" s="36" t="s">
        <v>651</v>
      </c>
      <c r="F476" s="36" t="s">
        <v>552</v>
      </c>
      <c r="G476" s="36" t="s">
        <v>256</v>
      </c>
      <c r="H476" s="36" t="s">
        <v>140</v>
      </c>
    </row>
    <row r="477" customFormat="false" ht="15" hidden="false" customHeight="false" outlineLevel="0" collapsed="false">
      <c r="A477" s="36" t="s">
        <v>902</v>
      </c>
      <c r="B477" s="36" t="s">
        <v>903</v>
      </c>
      <c r="C477" s="36" t="s">
        <v>294</v>
      </c>
      <c r="D477" s="36" t="s">
        <v>161</v>
      </c>
      <c r="E477" s="36" t="n">
        <v>6</v>
      </c>
      <c r="F477" s="36" t="s">
        <v>363</v>
      </c>
      <c r="G477" s="36" t="s">
        <v>270</v>
      </c>
      <c r="H477" s="36" t="s">
        <v>247</v>
      </c>
    </row>
    <row r="478" customFormat="false" ht="15" hidden="false" customHeight="false" outlineLevel="0" collapsed="false">
      <c r="A478" s="36" t="s">
        <v>904</v>
      </c>
      <c r="B478" s="36" t="s">
        <v>803</v>
      </c>
      <c r="C478" s="36" t="s">
        <v>144</v>
      </c>
      <c r="D478" s="36" t="s">
        <v>160</v>
      </c>
      <c r="E478" s="36" t="n">
        <v>6</v>
      </c>
      <c r="F478" s="36" t="n">
        <v>120</v>
      </c>
      <c r="G478" s="36" t="s">
        <v>246</v>
      </c>
      <c r="H478" s="36" t="s">
        <v>141</v>
      </c>
    </row>
    <row r="479" customFormat="false" ht="15" hidden="false" customHeight="false" outlineLevel="0" collapsed="false">
      <c r="A479" s="36" t="s">
        <v>905</v>
      </c>
      <c r="B479" s="37" t="n">
        <v>46268</v>
      </c>
      <c r="C479" s="36" t="s">
        <v>44</v>
      </c>
      <c r="D479" s="36" t="s">
        <v>295</v>
      </c>
      <c r="E479" s="36" t="s">
        <v>282</v>
      </c>
      <c r="F479" s="36" t="s">
        <v>331</v>
      </c>
      <c r="G479" s="36" t="s">
        <v>251</v>
      </c>
      <c r="H479" s="36" t="s">
        <v>140</v>
      </c>
    </row>
    <row r="480" customFormat="false" ht="15" hidden="false" customHeight="false" outlineLevel="0" collapsed="false">
      <c r="A480" s="36" t="s">
        <v>906</v>
      </c>
      <c r="B480" s="36" t="s">
        <v>803</v>
      </c>
      <c r="C480" s="36" t="s">
        <v>554</v>
      </c>
      <c r="D480" s="36" t="s">
        <v>188</v>
      </c>
      <c r="E480" s="36" t="n">
        <v>1</v>
      </c>
      <c r="F480" s="36" t="s">
        <v>422</v>
      </c>
      <c r="G480" s="36" t="s">
        <v>251</v>
      </c>
      <c r="H480" s="36" t="s">
        <v>247</v>
      </c>
    </row>
    <row r="481" customFormat="false" ht="15" hidden="false" customHeight="false" outlineLevel="0" collapsed="false">
      <c r="A481" s="36" t="s">
        <v>907</v>
      </c>
      <c r="B481" s="36" t="s">
        <v>620</v>
      </c>
      <c r="C481" s="36" t="s">
        <v>419</v>
      </c>
      <c r="D481" s="36" t="s">
        <v>290</v>
      </c>
      <c r="E481" s="36" t="n">
        <v>2</v>
      </c>
      <c r="F481" s="36" t="s">
        <v>363</v>
      </c>
      <c r="G481" s="36" t="s">
        <v>267</v>
      </c>
      <c r="H481" s="36" t="s">
        <v>132</v>
      </c>
    </row>
    <row r="482" customFormat="false" ht="15" hidden="false" customHeight="false" outlineLevel="0" collapsed="false">
      <c r="A482" s="36" t="s">
        <v>908</v>
      </c>
      <c r="B482" s="36" t="s">
        <v>620</v>
      </c>
      <c r="C482" s="36" t="s">
        <v>375</v>
      </c>
      <c r="D482" s="36" t="s">
        <v>186</v>
      </c>
      <c r="E482" s="36" t="n">
        <v>6</v>
      </c>
      <c r="F482" s="36" t="n">
        <v>50</v>
      </c>
      <c r="G482" s="36" t="s">
        <v>243</v>
      </c>
      <c r="H482" s="36" t="s">
        <v>141</v>
      </c>
    </row>
    <row r="483" customFormat="false" ht="15" hidden="false" customHeight="false" outlineLevel="0" collapsed="false">
      <c r="A483" s="36" t="s">
        <v>909</v>
      </c>
      <c r="B483" s="36" t="s">
        <v>620</v>
      </c>
      <c r="C483" s="36" t="s">
        <v>144</v>
      </c>
      <c r="D483" s="36" t="s">
        <v>181</v>
      </c>
      <c r="E483" s="36" t="n">
        <v>4</v>
      </c>
      <c r="F483" s="36" t="n">
        <v>450</v>
      </c>
      <c r="G483" s="36" t="s">
        <v>246</v>
      </c>
      <c r="H483" s="36" t="s">
        <v>132</v>
      </c>
    </row>
    <row r="484" customFormat="false" ht="15" hidden="false" customHeight="false" outlineLevel="0" collapsed="false">
      <c r="A484" s="36" t="s">
        <v>910</v>
      </c>
      <c r="B484" s="36" t="s">
        <v>803</v>
      </c>
      <c r="C484" s="36" t="s">
        <v>144</v>
      </c>
      <c r="D484" s="36" t="s">
        <v>440</v>
      </c>
      <c r="E484" s="36" t="n">
        <v>2</v>
      </c>
      <c r="F484" s="36" t="s">
        <v>269</v>
      </c>
      <c r="G484" s="36" t="s">
        <v>256</v>
      </c>
      <c r="H484" s="36" t="s">
        <v>131</v>
      </c>
    </row>
    <row r="485" customFormat="false" ht="15" hidden="false" customHeight="false" outlineLevel="0" collapsed="false">
      <c r="A485" s="36" t="s">
        <v>911</v>
      </c>
      <c r="B485" s="36" t="s">
        <v>620</v>
      </c>
      <c r="C485" s="36" t="s">
        <v>375</v>
      </c>
      <c r="D485" s="36" t="s">
        <v>342</v>
      </c>
      <c r="E485" s="36" t="n">
        <v>2</v>
      </c>
      <c r="F485" s="36" t="s">
        <v>344</v>
      </c>
      <c r="G485" s="36" t="s">
        <v>263</v>
      </c>
      <c r="H485" s="36" t="s">
        <v>308</v>
      </c>
    </row>
    <row r="486" customFormat="false" ht="15" hidden="false" customHeight="false" outlineLevel="0" collapsed="false">
      <c r="A486" s="36" t="s">
        <v>912</v>
      </c>
      <c r="B486" s="36" t="s">
        <v>803</v>
      </c>
      <c r="C486" s="36" t="s">
        <v>153</v>
      </c>
      <c r="D486" s="36" t="s">
        <v>180</v>
      </c>
      <c r="E486" s="36" t="n">
        <v>1</v>
      </c>
      <c r="F486" s="36" t="n">
        <v>190</v>
      </c>
      <c r="G486" s="36" t="s">
        <v>260</v>
      </c>
      <c r="H486" s="36" t="s">
        <v>146</v>
      </c>
    </row>
    <row r="487" customFormat="false" ht="15" hidden="false" customHeight="false" outlineLevel="0" collapsed="false">
      <c r="A487" s="36" t="s">
        <v>913</v>
      </c>
      <c r="B487" s="36" t="s">
        <v>803</v>
      </c>
      <c r="C487" s="36" t="s">
        <v>417</v>
      </c>
      <c r="D487" s="36" t="s">
        <v>405</v>
      </c>
      <c r="E487" s="36" t="n">
        <v>1</v>
      </c>
      <c r="F487" s="36" t="s">
        <v>275</v>
      </c>
      <c r="G487" s="36" t="s">
        <v>260</v>
      </c>
      <c r="H487" s="36" t="s">
        <v>132</v>
      </c>
    </row>
    <row r="488" customFormat="false" ht="15" hidden="false" customHeight="false" outlineLevel="0" collapsed="false">
      <c r="A488" s="36" t="s">
        <v>914</v>
      </c>
      <c r="B488" s="36" t="s">
        <v>803</v>
      </c>
      <c r="C488" s="36" t="s">
        <v>45</v>
      </c>
      <c r="D488" s="36" t="s">
        <v>204</v>
      </c>
      <c r="E488" s="36" t="n">
        <v>3</v>
      </c>
      <c r="F488" s="36" t="s">
        <v>255</v>
      </c>
      <c r="G488" s="36" t="s">
        <v>243</v>
      </c>
      <c r="H488" s="36" t="s">
        <v>247</v>
      </c>
    </row>
    <row r="489" customFormat="false" ht="15" hidden="false" customHeight="false" outlineLevel="0" collapsed="false">
      <c r="A489" s="36" t="s">
        <v>915</v>
      </c>
      <c r="B489" s="36" t="s">
        <v>620</v>
      </c>
      <c r="C489" s="36" t="s">
        <v>45</v>
      </c>
      <c r="D489" s="36" t="s">
        <v>299</v>
      </c>
      <c r="E489" s="36" t="n">
        <v>2</v>
      </c>
      <c r="F489" s="36" t="s">
        <v>319</v>
      </c>
      <c r="G489" s="36" t="s">
        <v>246</v>
      </c>
      <c r="H489" s="36" t="s">
        <v>306</v>
      </c>
    </row>
    <row r="490" customFormat="false" ht="15" hidden="false" customHeight="false" outlineLevel="0" collapsed="false">
      <c r="A490" s="36" t="s">
        <v>916</v>
      </c>
      <c r="B490" s="36" t="s">
        <v>803</v>
      </c>
      <c r="C490" s="36" t="s">
        <v>419</v>
      </c>
      <c r="D490" s="36" t="s">
        <v>337</v>
      </c>
      <c r="E490" s="36" t="n">
        <v>2</v>
      </c>
      <c r="F490" s="36" t="s">
        <v>584</v>
      </c>
      <c r="G490" s="36" t="s">
        <v>267</v>
      </c>
      <c r="H490" s="36" t="s">
        <v>132</v>
      </c>
    </row>
    <row r="491" customFormat="false" ht="15" hidden="false" customHeight="false" outlineLevel="0" collapsed="false">
      <c r="A491" s="36" t="s">
        <v>917</v>
      </c>
      <c r="B491" s="36" t="s">
        <v>803</v>
      </c>
      <c r="C491" s="36" t="s">
        <v>45</v>
      </c>
      <c r="D491" s="36" t="s">
        <v>218</v>
      </c>
      <c r="E491" s="36" t="n">
        <v>4</v>
      </c>
      <c r="F491" s="36" t="n">
        <v>76</v>
      </c>
      <c r="G491" s="36" t="s">
        <v>270</v>
      </c>
      <c r="H491" s="36" t="s">
        <v>146</v>
      </c>
    </row>
    <row r="492" customFormat="false" ht="15" hidden="false" customHeight="false" outlineLevel="0" collapsed="false">
      <c r="A492" s="36" t="s">
        <v>918</v>
      </c>
      <c r="B492" s="36" t="s">
        <v>620</v>
      </c>
      <c r="C492" s="36" t="s">
        <v>417</v>
      </c>
      <c r="D492" s="36" t="s">
        <v>515</v>
      </c>
      <c r="E492" s="36" t="n">
        <v>2</v>
      </c>
      <c r="F492" s="36" t="s">
        <v>255</v>
      </c>
      <c r="G492" s="36" t="s">
        <v>260</v>
      </c>
      <c r="H492" s="36" t="s">
        <v>247</v>
      </c>
    </row>
    <row r="493" customFormat="false" ht="15" hidden="false" customHeight="false" outlineLevel="0" collapsed="false">
      <c r="A493" s="36" t="s">
        <v>919</v>
      </c>
      <c r="B493" s="36" t="s">
        <v>620</v>
      </c>
      <c r="C493" s="36" t="s">
        <v>417</v>
      </c>
      <c r="D493" s="36" t="s">
        <v>159</v>
      </c>
      <c r="E493" s="36"/>
      <c r="F493" s="36" t="s">
        <v>275</v>
      </c>
      <c r="G493" s="36" t="s">
        <v>260</v>
      </c>
      <c r="H493" s="36" t="s">
        <v>306</v>
      </c>
    </row>
    <row r="494" customFormat="false" ht="15" hidden="false" customHeight="false" outlineLevel="0" collapsed="false">
      <c r="A494" s="36" t="s">
        <v>920</v>
      </c>
      <c r="B494" s="36" t="s">
        <v>803</v>
      </c>
      <c r="C494" s="36" t="s">
        <v>45</v>
      </c>
      <c r="D494" s="36" t="s">
        <v>172</v>
      </c>
      <c r="E494" s="36" t="n">
        <v>1</v>
      </c>
      <c r="F494" s="36" t="n">
        <v>60</v>
      </c>
      <c r="G494" s="36" t="s">
        <v>243</v>
      </c>
      <c r="H494" s="36" t="s">
        <v>141</v>
      </c>
    </row>
    <row r="495" customFormat="false" ht="15" hidden="false" customHeight="false" outlineLevel="0" collapsed="false">
      <c r="A495" s="36" t="s">
        <v>921</v>
      </c>
      <c r="B495" s="36" t="s">
        <v>803</v>
      </c>
      <c r="C495" s="36" t="s">
        <v>417</v>
      </c>
      <c r="D495" s="36" t="s">
        <v>159</v>
      </c>
      <c r="E495" s="36" t="n">
        <v>2</v>
      </c>
      <c r="F495" s="36" t="n">
        <v>330</v>
      </c>
      <c r="G495" s="36" t="s">
        <v>267</v>
      </c>
      <c r="H495" s="36" t="s">
        <v>321</v>
      </c>
    </row>
    <row r="496" customFormat="false" ht="15" hidden="false" customHeight="false" outlineLevel="0" collapsed="false">
      <c r="A496" s="36" t="s">
        <v>922</v>
      </c>
      <c r="B496" s="36" t="s">
        <v>803</v>
      </c>
      <c r="C496" s="36" t="s">
        <v>45</v>
      </c>
      <c r="D496" s="36" t="s">
        <v>250</v>
      </c>
      <c r="E496" s="36" t="n">
        <v>6</v>
      </c>
      <c r="F496" s="36" t="s">
        <v>600</v>
      </c>
      <c r="G496" s="36" t="s">
        <v>270</v>
      </c>
      <c r="H496" s="36" t="s">
        <v>308</v>
      </c>
    </row>
    <row r="497" customFormat="false" ht="15" hidden="false" customHeight="false" outlineLevel="0" collapsed="false">
      <c r="A497" s="36" t="s">
        <v>923</v>
      </c>
      <c r="B497" s="36" t="s">
        <v>803</v>
      </c>
      <c r="C497" s="36" t="s">
        <v>153</v>
      </c>
      <c r="D497" s="36" t="s">
        <v>182</v>
      </c>
      <c r="E497" s="36" t="n">
        <v>6</v>
      </c>
      <c r="F497" s="36" t="s">
        <v>269</v>
      </c>
      <c r="G497" s="36" t="s">
        <v>256</v>
      </c>
      <c r="H497" s="36" t="s">
        <v>247</v>
      </c>
    </row>
    <row r="498" customFormat="false" ht="15" hidden="false" customHeight="false" outlineLevel="0" collapsed="false">
      <c r="A498" s="36" t="s">
        <v>924</v>
      </c>
      <c r="B498" s="36" t="s">
        <v>620</v>
      </c>
      <c r="C498" s="36" t="s">
        <v>45</v>
      </c>
      <c r="D498" s="36" t="s">
        <v>559</v>
      </c>
      <c r="E498" s="36" t="n">
        <v>2</v>
      </c>
      <c r="F498" s="36" t="n">
        <v>130</v>
      </c>
      <c r="G498" s="36" t="s">
        <v>263</v>
      </c>
      <c r="H498" s="36" t="s">
        <v>132</v>
      </c>
    </row>
    <row r="499" customFormat="false" ht="15" hidden="false" customHeight="false" outlineLevel="0" collapsed="false">
      <c r="A499" s="36" t="s">
        <v>925</v>
      </c>
      <c r="B499" s="36" t="s">
        <v>803</v>
      </c>
      <c r="C499" s="36" t="s">
        <v>419</v>
      </c>
      <c r="D499" s="36" t="s">
        <v>437</v>
      </c>
      <c r="E499" s="36" t="n">
        <v>3</v>
      </c>
      <c r="F499" s="36" t="s">
        <v>380</v>
      </c>
      <c r="G499" s="36" t="s">
        <v>260</v>
      </c>
      <c r="H499" s="36" t="s">
        <v>141</v>
      </c>
    </row>
    <row r="500" customFormat="false" ht="15" hidden="false" customHeight="false" outlineLevel="0" collapsed="false">
      <c r="A500" s="36" t="s">
        <v>926</v>
      </c>
      <c r="B500" s="36" t="s">
        <v>803</v>
      </c>
      <c r="C500" s="36" t="s">
        <v>153</v>
      </c>
      <c r="D500" s="36" t="s">
        <v>927</v>
      </c>
      <c r="E500" s="36" t="n">
        <v>3</v>
      </c>
      <c r="F500" s="36" t="n">
        <v>280</v>
      </c>
      <c r="G500" s="36" t="s">
        <v>260</v>
      </c>
      <c r="H500" s="36" t="s">
        <v>141</v>
      </c>
    </row>
    <row r="501" customFormat="false" ht="15" hidden="false" customHeight="false" outlineLevel="0" collapsed="false">
      <c r="A501" s="36" t="s">
        <v>928</v>
      </c>
      <c r="B501" s="36" t="s">
        <v>803</v>
      </c>
      <c r="C501" s="36" t="s">
        <v>45</v>
      </c>
      <c r="D501" s="36" t="s">
        <v>646</v>
      </c>
      <c r="E501" s="36" t="n">
        <v>6</v>
      </c>
      <c r="F501" s="36" t="n">
        <v>110</v>
      </c>
      <c r="G501" s="36" t="s">
        <v>256</v>
      </c>
      <c r="H501" s="36" t="s">
        <v>131</v>
      </c>
    </row>
    <row r="502" customFormat="false" ht="15" hidden="false" customHeight="false" outlineLevel="0" collapsed="false">
      <c r="A502" s="36" t="s">
        <v>929</v>
      </c>
      <c r="B502" s="36" t="s">
        <v>803</v>
      </c>
      <c r="C502" s="36" t="s">
        <v>45</v>
      </c>
      <c r="D502" s="36" t="s">
        <v>217</v>
      </c>
      <c r="E502" s="36" t="n">
        <v>3</v>
      </c>
      <c r="F502" s="36" t="n">
        <v>85</v>
      </c>
      <c r="G502" s="36" t="s">
        <v>260</v>
      </c>
      <c r="H502" s="36" t="s">
        <v>146</v>
      </c>
    </row>
    <row r="503" customFormat="false" ht="15" hidden="false" customHeight="false" outlineLevel="0" collapsed="false">
      <c r="A503" s="36" t="s">
        <v>907</v>
      </c>
      <c r="B503" s="36" t="s">
        <v>620</v>
      </c>
      <c r="C503" s="36" t="s">
        <v>419</v>
      </c>
      <c r="D503" s="36" t="s">
        <v>290</v>
      </c>
      <c r="E503" s="36" t="n">
        <v>2</v>
      </c>
      <c r="F503" s="36" t="s">
        <v>363</v>
      </c>
      <c r="G503" s="36" t="s">
        <v>267</v>
      </c>
      <c r="H503" s="36" t="s">
        <v>132</v>
      </c>
    </row>
    <row r="504" customFormat="false" ht="15" hidden="false" customHeight="false" outlineLevel="0" collapsed="false">
      <c r="A504" s="36" t="s">
        <v>930</v>
      </c>
      <c r="B504" s="36" t="s">
        <v>803</v>
      </c>
      <c r="C504" s="36" t="s">
        <v>417</v>
      </c>
      <c r="D504" s="36" t="s">
        <v>931</v>
      </c>
      <c r="E504" s="36" t="n">
        <v>1</v>
      </c>
      <c r="F504" s="36" t="n">
        <v>420</v>
      </c>
      <c r="G504" s="36" t="s">
        <v>270</v>
      </c>
      <c r="H504" s="36" t="s">
        <v>141</v>
      </c>
    </row>
    <row r="505" customFormat="false" ht="15" hidden="false" customHeight="false" outlineLevel="0" collapsed="false">
      <c r="A505" s="36" t="s">
        <v>932</v>
      </c>
      <c r="B505" s="36" t="s">
        <v>620</v>
      </c>
      <c r="C505" s="36" t="s">
        <v>419</v>
      </c>
      <c r="D505" s="36" t="s">
        <v>551</v>
      </c>
      <c r="E505" s="36" t="n">
        <v>4</v>
      </c>
      <c r="F505" s="36" t="s">
        <v>552</v>
      </c>
      <c r="G505" s="36" t="s">
        <v>260</v>
      </c>
      <c r="H505" s="36" t="s">
        <v>145</v>
      </c>
    </row>
    <row r="506" customFormat="false" ht="15" hidden="false" customHeight="false" outlineLevel="0" collapsed="false">
      <c r="A506" s="36" t="s">
        <v>933</v>
      </c>
      <c r="B506" s="36" t="s">
        <v>620</v>
      </c>
      <c r="C506" s="36" t="s">
        <v>448</v>
      </c>
      <c r="D506" s="36" t="s">
        <v>885</v>
      </c>
      <c r="E506" s="36" t="n">
        <v>4</v>
      </c>
      <c r="F506" s="36" t="s">
        <v>269</v>
      </c>
      <c r="G506" s="36" t="s">
        <v>251</v>
      </c>
      <c r="H506" s="36" t="s">
        <v>140</v>
      </c>
    </row>
    <row r="507" customFormat="false" ht="15" hidden="false" customHeight="false" outlineLevel="0" collapsed="false">
      <c r="A507" s="36" t="s">
        <v>934</v>
      </c>
      <c r="B507" s="36" t="s">
        <v>803</v>
      </c>
      <c r="C507" s="36" t="s">
        <v>442</v>
      </c>
      <c r="D507" s="36" t="s">
        <v>174</v>
      </c>
      <c r="E507" s="36" t="n">
        <v>6</v>
      </c>
      <c r="F507" s="36" t="s">
        <v>759</v>
      </c>
      <c r="G507" s="36" t="s">
        <v>270</v>
      </c>
      <c r="H507" s="36" t="s">
        <v>141</v>
      </c>
    </row>
    <row r="508" customFormat="false" ht="15" hidden="false" customHeight="false" outlineLevel="0" collapsed="false">
      <c r="A508" s="36" t="s">
        <v>935</v>
      </c>
      <c r="B508" s="36" t="s">
        <v>620</v>
      </c>
      <c r="C508" s="36" t="s">
        <v>448</v>
      </c>
      <c r="D508" s="36" t="s">
        <v>327</v>
      </c>
      <c r="E508" s="36" t="n">
        <v>6</v>
      </c>
      <c r="F508" s="36" t="s">
        <v>936</v>
      </c>
      <c r="G508" s="36" t="s">
        <v>260</v>
      </c>
      <c r="H508" s="36" t="s">
        <v>141</v>
      </c>
    </row>
    <row r="509" customFormat="false" ht="15" hidden="false" customHeight="false" outlineLevel="0" collapsed="false">
      <c r="A509" s="36" t="s">
        <v>937</v>
      </c>
      <c r="B509" s="36" t="s">
        <v>803</v>
      </c>
      <c r="C509" s="36" t="s">
        <v>448</v>
      </c>
      <c r="D509" s="36" t="s">
        <v>287</v>
      </c>
      <c r="E509" s="36" t="n">
        <v>1</v>
      </c>
      <c r="F509" s="36" t="n">
        <v>380</v>
      </c>
      <c r="G509" s="36" t="s">
        <v>256</v>
      </c>
      <c r="H509" s="36" t="s">
        <v>132</v>
      </c>
    </row>
    <row r="510" customFormat="false" ht="15" hidden="false" customHeight="false" outlineLevel="0" collapsed="false">
      <c r="A510" s="36" t="s">
        <v>938</v>
      </c>
      <c r="B510" s="36" t="s">
        <v>620</v>
      </c>
      <c r="C510" s="36" t="s">
        <v>46</v>
      </c>
      <c r="D510" s="36" t="s">
        <v>280</v>
      </c>
      <c r="E510" s="36" t="n">
        <v>6</v>
      </c>
      <c r="F510" s="36" t="n">
        <v>330</v>
      </c>
      <c r="G510" s="36" t="s">
        <v>256</v>
      </c>
      <c r="H510" s="36" t="s">
        <v>141</v>
      </c>
    </row>
    <row r="511" customFormat="false" ht="15" hidden="false" customHeight="false" outlineLevel="0" collapsed="false">
      <c r="A511" s="36" t="s">
        <v>939</v>
      </c>
      <c r="B511" s="36" t="s">
        <v>620</v>
      </c>
      <c r="C511" s="36" t="s">
        <v>448</v>
      </c>
      <c r="D511" s="36" t="s">
        <v>174</v>
      </c>
      <c r="E511" s="36" t="n">
        <v>6</v>
      </c>
      <c r="F511" s="36" t="n">
        <v>210</v>
      </c>
      <c r="G511" s="36" t="s">
        <v>246</v>
      </c>
      <c r="H511" s="36" t="s">
        <v>146</v>
      </c>
    </row>
    <row r="512" customFormat="false" ht="15" hidden="false" customHeight="false" outlineLevel="0" collapsed="false">
      <c r="A512" s="36" t="s">
        <v>940</v>
      </c>
      <c r="B512" s="36" t="s">
        <v>620</v>
      </c>
      <c r="C512" s="36" t="s">
        <v>46</v>
      </c>
      <c r="D512" s="36" t="s">
        <v>377</v>
      </c>
      <c r="E512" s="36" t="n">
        <v>4</v>
      </c>
      <c r="F512" s="36" t="s">
        <v>378</v>
      </c>
      <c r="G512" s="36" t="s">
        <v>260</v>
      </c>
      <c r="H512" s="36" t="s">
        <v>308</v>
      </c>
    </row>
    <row r="513" customFormat="false" ht="15" hidden="false" customHeight="false" outlineLevel="0" collapsed="false">
      <c r="A513" s="36" t="s">
        <v>941</v>
      </c>
      <c r="B513" s="36" t="s">
        <v>620</v>
      </c>
      <c r="C513" s="36" t="s">
        <v>46</v>
      </c>
      <c r="D513" s="36" t="s">
        <v>280</v>
      </c>
      <c r="E513" s="36" t="n">
        <v>2</v>
      </c>
      <c r="F513" s="36" t="n">
        <v>330</v>
      </c>
      <c r="G513" s="36" t="s">
        <v>260</v>
      </c>
      <c r="H513" s="36" t="s">
        <v>308</v>
      </c>
    </row>
    <row r="514" customFormat="false" ht="15" hidden="false" customHeight="false" outlineLevel="0" collapsed="false">
      <c r="A514" s="36" t="s">
        <v>942</v>
      </c>
      <c r="B514" s="36" t="s">
        <v>803</v>
      </c>
      <c r="C514" s="36" t="s">
        <v>442</v>
      </c>
      <c r="D514" s="36" t="s">
        <v>171</v>
      </c>
      <c r="E514" s="36" t="n">
        <v>1</v>
      </c>
      <c r="F514" s="36" t="s">
        <v>457</v>
      </c>
      <c r="G514" s="36" t="s">
        <v>243</v>
      </c>
      <c r="H514" s="36" t="s">
        <v>141</v>
      </c>
    </row>
    <row r="515" customFormat="false" ht="15" hidden="false" customHeight="false" outlineLevel="0" collapsed="false">
      <c r="A515" s="36" t="s">
        <v>943</v>
      </c>
      <c r="B515" s="37" t="n">
        <v>46268</v>
      </c>
      <c r="C515" s="36" t="s">
        <v>46</v>
      </c>
      <c r="D515" s="36" t="s">
        <v>216</v>
      </c>
      <c r="E515" s="36" t="n">
        <v>1</v>
      </c>
      <c r="F515" s="36" t="n">
        <v>50</v>
      </c>
      <c r="G515" s="36" t="s">
        <v>260</v>
      </c>
      <c r="H515" s="36" t="s">
        <v>131</v>
      </c>
    </row>
    <row r="516" customFormat="false" ht="15" hidden="false" customHeight="false" outlineLevel="0" collapsed="false">
      <c r="A516" s="36" t="s">
        <v>944</v>
      </c>
      <c r="B516" s="36" t="s">
        <v>620</v>
      </c>
      <c r="C516" s="36" t="s">
        <v>448</v>
      </c>
      <c r="D516" s="36" t="s">
        <v>571</v>
      </c>
      <c r="E516" s="36" t="n">
        <v>1</v>
      </c>
      <c r="F516" s="36" t="n">
        <v>210</v>
      </c>
      <c r="G516" s="36" t="s">
        <v>263</v>
      </c>
      <c r="H516" s="36" t="s">
        <v>131</v>
      </c>
    </row>
    <row r="517" customFormat="false" ht="15" hidden="false" customHeight="false" outlineLevel="0" collapsed="false">
      <c r="A517" s="36" t="s">
        <v>945</v>
      </c>
      <c r="B517" s="36" t="s">
        <v>620</v>
      </c>
      <c r="C517" s="36" t="s">
        <v>46</v>
      </c>
      <c r="D517" s="36" t="s">
        <v>487</v>
      </c>
      <c r="E517" s="36" t="s">
        <v>403</v>
      </c>
      <c r="F517" s="36" t="n">
        <v>195</v>
      </c>
      <c r="G517" s="36" t="s">
        <v>260</v>
      </c>
      <c r="H517" s="36" t="s">
        <v>145</v>
      </c>
    </row>
    <row r="518" customFormat="false" ht="15" hidden="false" customHeight="false" outlineLevel="0" collapsed="false">
      <c r="A518" s="36" t="s">
        <v>946</v>
      </c>
      <c r="B518" s="36" t="s">
        <v>803</v>
      </c>
      <c r="C518" s="36" t="s">
        <v>46</v>
      </c>
      <c r="D518" s="36" t="s">
        <v>691</v>
      </c>
      <c r="E518" s="36" t="n">
        <v>1</v>
      </c>
      <c r="F518" s="36" t="s">
        <v>507</v>
      </c>
      <c r="G518" s="36" t="s">
        <v>251</v>
      </c>
      <c r="H518" s="36" t="s">
        <v>132</v>
      </c>
    </row>
    <row r="519" customFormat="false" ht="15" hidden="false" customHeight="false" outlineLevel="0" collapsed="false">
      <c r="A519" s="36" t="s">
        <v>947</v>
      </c>
      <c r="B519" s="36" t="s">
        <v>803</v>
      </c>
      <c r="C519" s="36" t="s">
        <v>46</v>
      </c>
      <c r="D519" s="36" t="s">
        <v>170</v>
      </c>
      <c r="E519" s="36" t="n">
        <v>2</v>
      </c>
      <c r="F519" s="36" t="n">
        <v>360</v>
      </c>
      <c r="G519" s="36" t="s">
        <v>246</v>
      </c>
      <c r="H519" s="36" t="s">
        <v>146</v>
      </c>
    </row>
    <row r="520" customFormat="false" ht="15" hidden="false" customHeight="false" outlineLevel="0" collapsed="false">
      <c r="A520" s="36" t="s">
        <v>948</v>
      </c>
      <c r="B520" s="37" t="n">
        <v>46268</v>
      </c>
      <c r="C520" s="36" t="s">
        <v>442</v>
      </c>
      <c r="D520" s="36" t="s">
        <v>949</v>
      </c>
      <c r="E520" s="36" t="n">
        <v>1</v>
      </c>
      <c r="F520" s="36" t="n">
        <v>50</v>
      </c>
      <c r="G520" s="36" t="s">
        <v>263</v>
      </c>
      <c r="H520" s="36" t="s">
        <v>131</v>
      </c>
    </row>
    <row r="521" customFormat="false" ht="15" hidden="false" customHeight="false" outlineLevel="0" collapsed="false">
      <c r="A521" s="36" t="s">
        <v>950</v>
      </c>
      <c r="B521" s="36" t="s">
        <v>620</v>
      </c>
      <c r="C521" s="36" t="s">
        <v>46</v>
      </c>
      <c r="D521" s="36" t="s">
        <v>234</v>
      </c>
      <c r="E521" s="36" t="n">
        <v>1</v>
      </c>
      <c r="F521" s="36" t="s">
        <v>420</v>
      </c>
      <c r="G521" s="36" t="s">
        <v>260</v>
      </c>
      <c r="H521" s="36" t="s">
        <v>132</v>
      </c>
    </row>
    <row r="522" customFormat="false" ht="15" hidden="false" customHeight="false" outlineLevel="0" collapsed="false">
      <c r="A522" s="36" t="s">
        <v>951</v>
      </c>
      <c r="B522" s="36" t="s">
        <v>620</v>
      </c>
      <c r="C522" s="36" t="s">
        <v>46</v>
      </c>
      <c r="D522" s="36" t="s">
        <v>461</v>
      </c>
      <c r="E522" s="36" t="n">
        <v>2</v>
      </c>
      <c r="F522" s="36" t="n">
        <v>210</v>
      </c>
      <c r="G522" s="36" t="s">
        <v>267</v>
      </c>
      <c r="H522" s="36" t="s">
        <v>145</v>
      </c>
    </row>
    <row r="523" customFormat="false" ht="15" hidden="false" customHeight="false" outlineLevel="0" collapsed="false">
      <c r="A523" s="36" t="s">
        <v>952</v>
      </c>
      <c r="B523" s="36" t="s">
        <v>803</v>
      </c>
      <c r="C523" s="36" t="s">
        <v>46</v>
      </c>
      <c r="D523" s="36" t="s">
        <v>168</v>
      </c>
      <c r="E523" s="36" t="n">
        <v>1</v>
      </c>
      <c r="F523" s="36" t="n">
        <v>150</v>
      </c>
      <c r="G523" s="36" t="s">
        <v>246</v>
      </c>
      <c r="H523" s="36" t="s">
        <v>247</v>
      </c>
    </row>
    <row r="524" customFormat="false" ht="15" hidden="false" customHeight="false" outlineLevel="0" collapsed="false">
      <c r="A524" s="36" t="s">
        <v>953</v>
      </c>
      <c r="B524" s="36" t="s">
        <v>803</v>
      </c>
      <c r="C524" s="36" t="s">
        <v>46</v>
      </c>
      <c r="D524" s="36" t="s">
        <v>408</v>
      </c>
      <c r="E524" s="36" t="n">
        <v>4</v>
      </c>
      <c r="F524" s="36" t="n">
        <v>50</v>
      </c>
      <c r="G524" s="36" t="s">
        <v>256</v>
      </c>
      <c r="H524" s="36" t="s">
        <v>132</v>
      </c>
    </row>
    <row r="525" customFormat="false" ht="15" hidden="false" customHeight="false" outlineLevel="0" collapsed="false">
      <c r="A525" s="36" t="s">
        <v>954</v>
      </c>
      <c r="B525" s="36" t="s">
        <v>803</v>
      </c>
      <c r="C525" s="36" t="s">
        <v>46</v>
      </c>
      <c r="D525" s="36" t="s">
        <v>164</v>
      </c>
      <c r="E525" s="36" t="n">
        <v>6</v>
      </c>
      <c r="F525" s="36" t="s">
        <v>659</v>
      </c>
      <c r="G525" s="36" t="s">
        <v>260</v>
      </c>
      <c r="H525" s="36" t="s">
        <v>321</v>
      </c>
    </row>
    <row r="526" customFormat="false" ht="15" hidden="false" customHeight="false" outlineLevel="0" collapsed="false">
      <c r="A526" s="36" t="s">
        <v>955</v>
      </c>
      <c r="B526" s="36" t="s">
        <v>956</v>
      </c>
      <c r="C526" s="36" t="s">
        <v>130</v>
      </c>
      <c r="D526" s="36" t="s">
        <v>200</v>
      </c>
      <c r="E526" s="36" t="n">
        <v>1</v>
      </c>
      <c r="F526" s="36" t="s">
        <v>957</v>
      </c>
      <c r="G526" s="36" t="s">
        <v>251</v>
      </c>
      <c r="H526" s="36" t="s">
        <v>141</v>
      </c>
    </row>
    <row r="527" customFormat="false" ht="15" hidden="false" customHeight="false" outlineLevel="0" collapsed="false">
      <c r="A527" s="36" t="s">
        <v>958</v>
      </c>
      <c r="B527" s="36" t="s">
        <v>809</v>
      </c>
      <c r="C527" s="36" t="s">
        <v>448</v>
      </c>
      <c r="D527" s="36" t="s">
        <v>959</v>
      </c>
      <c r="E527" s="36" t="n">
        <v>1</v>
      </c>
      <c r="F527" s="36" t="n">
        <v>95</v>
      </c>
      <c r="G527" s="36" t="s">
        <v>256</v>
      </c>
      <c r="H527" s="36" t="s">
        <v>141</v>
      </c>
    </row>
    <row r="528" customFormat="false" ht="15" hidden="false" customHeight="false" outlineLevel="0" collapsed="false">
      <c r="A528" s="36" t="s">
        <v>960</v>
      </c>
      <c r="B528" s="36" t="s">
        <v>956</v>
      </c>
      <c r="C528" s="36" t="s">
        <v>42</v>
      </c>
      <c r="D528" s="36" t="s">
        <v>185</v>
      </c>
      <c r="E528" s="36" t="n">
        <v>4</v>
      </c>
      <c r="F528" s="36" t="n">
        <v>380</v>
      </c>
      <c r="G528" s="36" t="s">
        <v>260</v>
      </c>
      <c r="H528" s="36" t="s">
        <v>140</v>
      </c>
    </row>
    <row r="529" customFormat="false" ht="15" hidden="false" customHeight="false" outlineLevel="0" collapsed="false">
      <c r="A529" s="36" t="s">
        <v>961</v>
      </c>
      <c r="B529" s="37" t="n">
        <v>46269</v>
      </c>
      <c r="C529" s="36" t="s">
        <v>241</v>
      </c>
      <c r="D529" s="36" t="s">
        <v>327</v>
      </c>
      <c r="E529" s="36" t="n">
        <v>6</v>
      </c>
      <c r="F529" s="36" t="s">
        <v>936</v>
      </c>
      <c r="G529" s="36" t="s">
        <v>267</v>
      </c>
      <c r="H529" s="36" t="s">
        <v>132</v>
      </c>
    </row>
    <row r="530" customFormat="false" ht="15" hidden="false" customHeight="false" outlineLevel="0" collapsed="false">
      <c r="A530" s="36" t="s">
        <v>962</v>
      </c>
      <c r="B530" s="36" t="s">
        <v>535</v>
      </c>
      <c r="C530" s="36" t="s">
        <v>294</v>
      </c>
      <c r="D530" s="36" t="s">
        <v>524</v>
      </c>
      <c r="E530" s="36" t="n">
        <v>6</v>
      </c>
      <c r="F530" s="36" t="s">
        <v>259</v>
      </c>
      <c r="G530" s="36" t="s">
        <v>246</v>
      </c>
      <c r="H530" s="36" t="s">
        <v>141</v>
      </c>
    </row>
    <row r="531" customFormat="false" ht="15" hidden="false" customHeight="false" outlineLevel="0" collapsed="false">
      <c r="A531" s="36" t="s">
        <v>963</v>
      </c>
      <c r="B531" s="37" t="n">
        <v>46269</v>
      </c>
      <c r="C531" s="36" t="s">
        <v>254</v>
      </c>
      <c r="D531" s="36" t="s">
        <v>148</v>
      </c>
      <c r="E531" s="36" t="n">
        <v>6</v>
      </c>
      <c r="F531" s="36" t="s">
        <v>275</v>
      </c>
      <c r="G531" s="36" t="s">
        <v>251</v>
      </c>
      <c r="H531" s="36" t="s">
        <v>321</v>
      </c>
    </row>
    <row r="532" customFormat="false" ht="15" hidden="false" customHeight="false" outlineLevel="0" collapsed="false">
      <c r="A532" s="36" t="s">
        <v>964</v>
      </c>
      <c r="B532" s="36" t="s">
        <v>956</v>
      </c>
      <c r="C532" s="36" t="s">
        <v>254</v>
      </c>
      <c r="D532" s="36" t="s">
        <v>162</v>
      </c>
      <c r="E532" s="36" t="n">
        <v>2</v>
      </c>
      <c r="F532" s="36" t="s">
        <v>862</v>
      </c>
      <c r="G532" s="36" t="s">
        <v>256</v>
      </c>
      <c r="H532" s="36" t="s">
        <v>321</v>
      </c>
    </row>
    <row r="533" customFormat="false" ht="15" hidden="false" customHeight="false" outlineLevel="0" collapsed="false">
      <c r="A533" s="36" t="s">
        <v>965</v>
      </c>
      <c r="B533" s="36" t="s">
        <v>956</v>
      </c>
      <c r="C533" s="36" t="s">
        <v>42</v>
      </c>
      <c r="D533" s="36" t="s">
        <v>349</v>
      </c>
      <c r="E533" s="36" t="n">
        <v>1</v>
      </c>
      <c r="F533" s="36" t="n">
        <v>95</v>
      </c>
      <c r="G533" s="36" t="s">
        <v>267</v>
      </c>
      <c r="H533" s="36" t="s">
        <v>131</v>
      </c>
    </row>
    <row r="534" customFormat="false" ht="15" hidden="false" customHeight="false" outlineLevel="0" collapsed="false">
      <c r="A534" s="36" t="s">
        <v>966</v>
      </c>
      <c r="B534" s="36" t="s">
        <v>956</v>
      </c>
      <c r="C534" s="36" t="s">
        <v>130</v>
      </c>
      <c r="D534" s="36" t="s">
        <v>154</v>
      </c>
      <c r="E534" s="36" t="n">
        <v>1</v>
      </c>
      <c r="F534" s="36" t="s">
        <v>380</v>
      </c>
      <c r="G534" s="36" t="s">
        <v>256</v>
      </c>
      <c r="H534" s="36" t="s">
        <v>141</v>
      </c>
    </row>
    <row r="535" customFormat="false" ht="15" hidden="false" customHeight="false" outlineLevel="0" collapsed="false">
      <c r="A535" s="36" t="s">
        <v>967</v>
      </c>
      <c r="B535" s="36" t="s">
        <v>956</v>
      </c>
      <c r="C535" s="36" t="s">
        <v>241</v>
      </c>
      <c r="D535" s="36" t="s">
        <v>158</v>
      </c>
      <c r="E535" s="36" t="n">
        <v>1</v>
      </c>
      <c r="F535" s="36" t="s">
        <v>457</v>
      </c>
      <c r="G535" s="36" t="s">
        <v>251</v>
      </c>
      <c r="H535" s="36" t="s">
        <v>306</v>
      </c>
    </row>
    <row r="536" customFormat="false" ht="15" hidden="false" customHeight="false" outlineLevel="0" collapsed="false">
      <c r="A536" s="36" t="s">
        <v>968</v>
      </c>
      <c r="B536" s="36" t="s">
        <v>956</v>
      </c>
      <c r="C536" s="36" t="s">
        <v>42</v>
      </c>
      <c r="D536" s="36" t="s">
        <v>158</v>
      </c>
      <c r="E536" s="36" t="n">
        <v>3</v>
      </c>
      <c r="F536" s="36" t="n">
        <v>65</v>
      </c>
      <c r="G536" s="36" t="s">
        <v>263</v>
      </c>
      <c r="H536" s="36" t="s">
        <v>140</v>
      </c>
    </row>
    <row r="537" customFormat="false" ht="15" hidden="false" customHeight="false" outlineLevel="0" collapsed="false">
      <c r="A537" s="36" t="s">
        <v>969</v>
      </c>
      <c r="B537" s="36" t="s">
        <v>535</v>
      </c>
      <c r="C537" s="36" t="s">
        <v>254</v>
      </c>
      <c r="D537" s="36" t="s">
        <v>186</v>
      </c>
      <c r="E537" s="36" t="n">
        <v>2</v>
      </c>
      <c r="F537" s="36" t="s">
        <v>584</v>
      </c>
      <c r="G537" s="36" t="s">
        <v>270</v>
      </c>
      <c r="H537" s="36" t="s">
        <v>321</v>
      </c>
    </row>
    <row r="538" customFormat="false" ht="15" hidden="false" customHeight="false" outlineLevel="0" collapsed="false">
      <c r="A538" s="36" t="s">
        <v>970</v>
      </c>
      <c r="B538" s="36" t="s">
        <v>956</v>
      </c>
      <c r="C538" s="36" t="s">
        <v>241</v>
      </c>
      <c r="D538" s="36" t="s">
        <v>405</v>
      </c>
      <c r="E538" s="36" t="n">
        <v>3</v>
      </c>
      <c r="F538" s="36" t="n">
        <v>330</v>
      </c>
      <c r="G538" s="36" t="s">
        <v>256</v>
      </c>
      <c r="H538" s="36" t="s">
        <v>146</v>
      </c>
    </row>
    <row r="539" customFormat="false" ht="15" hidden="false" customHeight="false" outlineLevel="0" collapsed="false">
      <c r="A539" s="36" t="s">
        <v>971</v>
      </c>
      <c r="B539" s="36" t="s">
        <v>535</v>
      </c>
      <c r="C539" s="36" t="s">
        <v>130</v>
      </c>
      <c r="D539" s="36" t="s">
        <v>605</v>
      </c>
      <c r="E539" s="36" t="n">
        <v>3</v>
      </c>
      <c r="F539" s="36" t="n">
        <v>450</v>
      </c>
      <c r="G539" s="36" t="s">
        <v>270</v>
      </c>
      <c r="H539" s="36" t="s">
        <v>247</v>
      </c>
    </row>
    <row r="540" customFormat="false" ht="15" hidden="false" customHeight="false" outlineLevel="0" collapsed="false">
      <c r="A540" s="36" t="s">
        <v>972</v>
      </c>
      <c r="B540" s="36" t="s">
        <v>535</v>
      </c>
      <c r="C540" s="36" t="s">
        <v>130</v>
      </c>
      <c r="D540" s="36" t="s">
        <v>397</v>
      </c>
      <c r="E540" s="36" t="n">
        <v>2</v>
      </c>
      <c r="F540" s="36" t="n">
        <v>65</v>
      </c>
      <c r="G540" s="36" t="s">
        <v>246</v>
      </c>
      <c r="H540" s="36" t="s">
        <v>140</v>
      </c>
    </row>
    <row r="541" customFormat="false" ht="15" hidden="false" customHeight="false" outlineLevel="0" collapsed="false">
      <c r="A541" s="36" t="s">
        <v>973</v>
      </c>
      <c r="B541" s="36" t="s">
        <v>956</v>
      </c>
      <c r="C541" s="36" t="s">
        <v>249</v>
      </c>
      <c r="D541" s="36" t="s">
        <v>172</v>
      </c>
      <c r="E541" s="36" t="n">
        <v>1</v>
      </c>
      <c r="F541" s="36" t="n">
        <v>60</v>
      </c>
      <c r="G541" s="36" t="s">
        <v>270</v>
      </c>
      <c r="H541" s="36" t="s">
        <v>132</v>
      </c>
    </row>
    <row r="542" customFormat="false" ht="15" hidden="false" customHeight="false" outlineLevel="0" collapsed="false">
      <c r="A542" s="36" t="s">
        <v>974</v>
      </c>
      <c r="B542" s="36" t="s">
        <v>956</v>
      </c>
      <c r="C542" s="36" t="s">
        <v>249</v>
      </c>
      <c r="D542" s="36" t="s">
        <v>169</v>
      </c>
      <c r="E542" s="36" t="n">
        <v>6</v>
      </c>
      <c r="F542" s="36" t="n">
        <v>65</v>
      </c>
      <c r="G542" s="36" t="s">
        <v>260</v>
      </c>
      <c r="H542" s="36" t="s">
        <v>308</v>
      </c>
    </row>
    <row r="543" customFormat="false" ht="15" hidden="false" customHeight="false" outlineLevel="0" collapsed="false">
      <c r="A543" s="36" t="s">
        <v>975</v>
      </c>
      <c r="B543" s="36" t="s">
        <v>956</v>
      </c>
      <c r="C543" s="36" t="s">
        <v>42</v>
      </c>
      <c r="D543" s="36" t="s">
        <v>976</v>
      </c>
      <c r="E543" s="36" t="n">
        <v>1</v>
      </c>
      <c r="F543" s="36" t="s">
        <v>387</v>
      </c>
      <c r="G543" s="36" t="s">
        <v>246</v>
      </c>
      <c r="H543" s="36" t="s">
        <v>308</v>
      </c>
    </row>
    <row r="544" customFormat="false" ht="15" hidden="false" customHeight="false" outlineLevel="0" collapsed="false">
      <c r="A544" s="36" t="s">
        <v>534</v>
      </c>
      <c r="B544" s="36" t="s">
        <v>535</v>
      </c>
      <c r="C544" s="36" t="s">
        <v>254</v>
      </c>
      <c r="D544" s="36" t="s">
        <v>410</v>
      </c>
      <c r="E544" s="36" t="n">
        <v>3</v>
      </c>
      <c r="F544" s="36" t="s">
        <v>411</v>
      </c>
      <c r="G544" s="36" t="s">
        <v>260</v>
      </c>
      <c r="H544" s="36" t="s">
        <v>141</v>
      </c>
    </row>
    <row r="545" customFormat="false" ht="15" hidden="false" customHeight="false" outlineLevel="0" collapsed="false">
      <c r="A545" s="36" t="s">
        <v>977</v>
      </c>
      <c r="B545" s="36" t="s">
        <v>956</v>
      </c>
      <c r="C545" s="36" t="s">
        <v>241</v>
      </c>
      <c r="D545" s="36" t="s">
        <v>158</v>
      </c>
      <c r="E545" s="36" t="n">
        <v>1</v>
      </c>
      <c r="F545" s="36" t="n">
        <v>65</v>
      </c>
      <c r="G545" s="36" t="s">
        <v>243</v>
      </c>
      <c r="H545" s="36" t="s">
        <v>141</v>
      </c>
    </row>
    <row r="546" customFormat="false" ht="15" hidden="false" customHeight="false" outlineLevel="0" collapsed="false">
      <c r="A546" s="36" t="s">
        <v>978</v>
      </c>
      <c r="B546" s="36" t="s">
        <v>956</v>
      </c>
      <c r="C546" s="36" t="s">
        <v>42</v>
      </c>
      <c r="D546" s="36" t="s">
        <v>716</v>
      </c>
      <c r="E546" s="36" t="n">
        <v>1</v>
      </c>
      <c r="F546" s="36" t="n">
        <v>350</v>
      </c>
      <c r="G546" s="36" t="s">
        <v>260</v>
      </c>
      <c r="H546" s="36" t="s">
        <v>141</v>
      </c>
    </row>
    <row r="547" customFormat="false" ht="15" hidden="false" customHeight="false" outlineLevel="0" collapsed="false">
      <c r="A547" s="36" t="s">
        <v>979</v>
      </c>
      <c r="B547" s="36" t="s">
        <v>535</v>
      </c>
      <c r="C547" s="36" t="s">
        <v>254</v>
      </c>
      <c r="D547" s="36" t="s">
        <v>198</v>
      </c>
      <c r="E547" s="36" t="n">
        <v>2</v>
      </c>
      <c r="F547" s="36" t="n">
        <v>95</v>
      </c>
      <c r="G547" s="36" t="s">
        <v>267</v>
      </c>
      <c r="H547" s="36" t="s">
        <v>141</v>
      </c>
    </row>
    <row r="548" customFormat="false" ht="15" hidden="false" customHeight="false" outlineLevel="0" collapsed="false">
      <c r="A548" s="36" t="s">
        <v>980</v>
      </c>
      <c r="B548" s="36" t="s">
        <v>956</v>
      </c>
      <c r="C548" s="36" t="s">
        <v>241</v>
      </c>
      <c r="D548" s="36" t="s">
        <v>783</v>
      </c>
      <c r="E548" s="36" t="n">
        <v>3</v>
      </c>
      <c r="F548" s="36" t="n">
        <v>117</v>
      </c>
      <c r="G548" s="36" t="s">
        <v>270</v>
      </c>
      <c r="H548" s="36" t="s">
        <v>247</v>
      </c>
    </row>
    <row r="549" customFormat="false" ht="15" hidden="false" customHeight="false" outlineLevel="0" collapsed="false">
      <c r="A549" s="36" t="s">
        <v>981</v>
      </c>
      <c r="B549" s="36" t="s">
        <v>535</v>
      </c>
      <c r="C549" s="36" t="s">
        <v>249</v>
      </c>
      <c r="D549" s="36" t="s">
        <v>236</v>
      </c>
      <c r="E549" s="36" t="s">
        <v>395</v>
      </c>
      <c r="F549" s="36" t="n">
        <v>65</v>
      </c>
      <c r="G549" s="36" t="s">
        <v>267</v>
      </c>
      <c r="H549" s="36" t="s">
        <v>131</v>
      </c>
    </row>
    <row r="550" customFormat="false" ht="15" hidden="false" customHeight="false" outlineLevel="0" collapsed="false">
      <c r="A550" s="36" t="s">
        <v>982</v>
      </c>
      <c r="B550" s="36" t="s">
        <v>535</v>
      </c>
      <c r="C550" s="36" t="s">
        <v>249</v>
      </c>
      <c r="D550" s="36" t="s">
        <v>165</v>
      </c>
      <c r="E550" s="36" t="n">
        <v>2</v>
      </c>
      <c r="F550" s="36" t="s">
        <v>245</v>
      </c>
      <c r="G550" s="36" t="s">
        <v>256</v>
      </c>
      <c r="H550" s="36" t="s">
        <v>306</v>
      </c>
    </row>
    <row r="551" customFormat="false" ht="15" hidden="false" customHeight="false" outlineLevel="0" collapsed="false">
      <c r="A551" s="36" t="s">
        <v>983</v>
      </c>
      <c r="B551" s="36" t="s">
        <v>956</v>
      </c>
      <c r="C551" s="36" t="s">
        <v>42</v>
      </c>
      <c r="D551" s="36" t="s">
        <v>329</v>
      </c>
      <c r="E551" s="36" t="n">
        <v>6</v>
      </c>
      <c r="F551" s="36" t="s">
        <v>984</v>
      </c>
      <c r="G551" s="36" t="s">
        <v>260</v>
      </c>
      <c r="H551" s="36" t="s">
        <v>141</v>
      </c>
    </row>
    <row r="552" customFormat="false" ht="15" hidden="false" customHeight="false" outlineLevel="0" collapsed="false">
      <c r="A552" s="36" t="s">
        <v>985</v>
      </c>
      <c r="B552" s="36" t="s">
        <v>956</v>
      </c>
      <c r="C552" s="36" t="s">
        <v>249</v>
      </c>
      <c r="D552" s="36" t="s">
        <v>158</v>
      </c>
      <c r="E552" s="36" t="n">
        <v>2</v>
      </c>
      <c r="F552" s="36" t="n">
        <v>65</v>
      </c>
      <c r="G552" s="36" t="s">
        <v>260</v>
      </c>
      <c r="H552" s="36" t="s">
        <v>247</v>
      </c>
    </row>
    <row r="553" customFormat="false" ht="15" hidden="false" customHeight="false" outlineLevel="0" collapsed="false">
      <c r="A553" s="36" t="s">
        <v>986</v>
      </c>
      <c r="B553" s="36" t="s">
        <v>535</v>
      </c>
      <c r="C553" s="36" t="s">
        <v>241</v>
      </c>
      <c r="D553" s="36" t="s">
        <v>197</v>
      </c>
      <c r="E553" s="36" t="n">
        <v>1</v>
      </c>
      <c r="F553" s="36" t="n">
        <v>60</v>
      </c>
      <c r="G553" s="36" t="s">
        <v>256</v>
      </c>
      <c r="H553" s="36" t="s">
        <v>131</v>
      </c>
    </row>
    <row r="554" customFormat="false" ht="15" hidden="false" customHeight="false" outlineLevel="0" collapsed="false">
      <c r="A554" s="36" t="s">
        <v>987</v>
      </c>
      <c r="B554" s="36" t="s">
        <v>535</v>
      </c>
      <c r="C554" s="36" t="s">
        <v>249</v>
      </c>
      <c r="D554" s="36" t="s">
        <v>408</v>
      </c>
      <c r="E554" s="36" t="n">
        <v>6</v>
      </c>
      <c r="F554" s="36" t="n">
        <v>50</v>
      </c>
      <c r="G554" s="36" t="s">
        <v>260</v>
      </c>
      <c r="H554" s="36" t="s">
        <v>247</v>
      </c>
    </row>
    <row r="555" customFormat="false" ht="15" hidden="false" customHeight="false" outlineLevel="0" collapsed="false">
      <c r="A555" s="36" t="s">
        <v>988</v>
      </c>
      <c r="B555" s="36" t="s">
        <v>535</v>
      </c>
      <c r="C555" s="36" t="s">
        <v>294</v>
      </c>
      <c r="D555" s="36" t="s">
        <v>155</v>
      </c>
      <c r="E555" s="36" t="n">
        <v>1</v>
      </c>
      <c r="F555" s="36" t="n">
        <v>110</v>
      </c>
      <c r="G555" s="36" t="s">
        <v>243</v>
      </c>
      <c r="H555" s="36" t="s">
        <v>131</v>
      </c>
    </row>
    <row r="556" customFormat="false" ht="15" hidden="false" customHeight="false" outlineLevel="0" collapsed="false">
      <c r="A556" s="36" t="s">
        <v>989</v>
      </c>
      <c r="B556" s="36" t="s">
        <v>535</v>
      </c>
      <c r="C556" s="36" t="s">
        <v>130</v>
      </c>
      <c r="D556" s="36" t="s">
        <v>152</v>
      </c>
      <c r="E556" s="36" t="n">
        <v>1</v>
      </c>
      <c r="F556" s="36" t="n">
        <v>36</v>
      </c>
      <c r="G556" s="36" t="s">
        <v>256</v>
      </c>
      <c r="H556" s="36" t="s">
        <v>131</v>
      </c>
    </row>
    <row r="557" customFormat="false" ht="15" hidden="false" customHeight="false" outlineLevel="0" collapsed="false">
      <c r="A557" s="36" t="s">
        <v>990</v>
      </c>
      <c r="B557" s="36" t="s">
        <v>535</v>
      </c>
      <c r="C557" s="36" t="s">
        <v>294</v>
      </c>
      <c r="D557" s="36" t="s">
        <v>165</v>
      </c>
      <c r="E557" s="36" t="n">
        <v>1</v>
      </c>
      <c r="F557" s="36" t="s">
        <v>245</v>
      </c>
      <c r="G557" s="36" t="s">
        <v>256</v>
      </c>
      <c r="H557" s="36" t="s">
        <v>141</v>
      </c>
    </row>
    <row r="558" customFormat="false" ht="15" hidden="false" customHeight="false" outlineLevel="0" collapsed="false">
      <c r="A558" s="36" t="s">
        <v>991</v>
      </c>
      <c r="B558" s="36" t="s">
        <v>956</v>
      </c>
      <c r="C558" s="36" t="s">
        <v>249</v>
      </c>
      <c r="D558" s="36" t="s">
        <v>299</v>
      </c>
      <c r="E558" s="36" t="n">
        <v>1</v>
      </c>
      <c r="F558" s="36" t="n">
        <v>60</v>
      </c>
      <c r="G558" s="36" t="s">
        <v>256</v>
      </c>
      <c r="H558" s="36" t="s">
        <v>132</v>
      </c>
    </row>
    <row r="559" customFormat="false" ht="15" hidden="false" customHeight="false" outlineLevel="0" collapsed="false">
      <c r="A559" s="36" t="s">
        <v>992</v>
      </c>
      <c r="B559" s="36" t="s">
        <v>956</v>
      </c>
      <c r="C559" s="36" t="s">
        <v>241</v>
      </c>
      <c r="D559" s="36" t="s">
        <v>233</v>
      </c>
      <c r="E559" s="36" t="n">
        <v>2</v>
      </c>
      <c r="F559" s="36" t="s">
        <v>255</v>
      </c>
      <c r="G559" s="36" t="s">
        <v>246</v>
      </c>
      <c r="H559" s="36" t="s">
        <v>308</v>
      </c>
    </row>
    <row r="560" customFormat="false" ht="15" hidden="false" customHeight="false" outlineLevel="0" collapsed="false">
      <c r="A560" s="36" t="s">
        <v>993</v>
      </c>
      <c r="B560" s="36" t="s">
        <v>956</v>
      </c>
      <c r="C560" s="36" t="s">
        <v>241</v>
      </c>
      <c r="D560" s="36" t="s">
        <v>134</v>
      </c>
      <c r="E560" s="36" t="n">
        <v>3</v>
      </c>
      <c r="F560" s="36" t="s">
        <v>994</v>
      </c>
      <c r="G560" s="36" t="s">
        <v>270</v>
      </c>
      <c r="H560" s="36" t="s">
        <v>132</v>
      </c>
    </row>
    <row r="561" customFormat="false" ht="15" hidden="false" customHeight="false" outlineLevel="0" collapsed="false">
      <c r="A561" s="36" t="s">
        <v>995</v>
      </c>
      <c r="B561" s="36" t="s">
        <v>535</v>
      </c>
      <c r="C561" s="36" t="s">
        <v>241</v>
      </c>
      <c r="D561" s="36" t="s">
        <v>415</v>
      </c>
      <c r="E561" s="36"/>
      <c r="F561" s="36" t="s">
        <v>547</v>
      </c>
      <c r="G561" s="36" t="s">
        <v>260</v>
      </c>
      <c r="H561" s="36" t="s">
        <v>306</v>
      </c>
    </row>
    <row r="562" customFormat="false" ht="15" hidden="false" customHeight="false" outlineLevel="0" collapsed="false">
      <c r="A562" s="36" t="s">
        <v>996</v>
      </c>
      <c r="B562" s="36" t="s">
        <v>956</v>
      </c>
      <c r="C562" s="36" t="s">
        <v>241</v>
      </c>
      <c r="D562" s="36" t="s">
        <v>163</v>
      </c>
      <c r="E562" s="36" t="n">
        <v>3</v>
      </c>
      <c r="F562" s="36" t="s">
        <v>363</v>
      </c>
      <c r="G562" s="36" t="s">
        <v>270</v>
      </c>
      <c r="H562" s="36" t="s">
        <v>146</v>
      </c>
    </row>
    <row r="563" customFormat="false" ht="15" hidden="false" customHeight="false" outlineLevel="0" collapsed="false">
      <c r="A563" s="36" t="s">
        <v>997</v>
      </c>
      <c r="B563" s="36" t="s">
        <v>535</v>
      </c>
      <c r="C563" s="36" t="s">
        <v>42</v>
      </c>
      <c r="D563" s="36" t="s">
        <v>998</v>
      </c>
      <c r="E563" s="36" t="n">
        <v>3</v>
      </c>
      <c r="F563" s="36" t="s">
        <v>384</v>
      </c>
      <c r="G563" s="36" t="s">
        <v>270</v>
      </c>
      <c r="H563" s="36" t="s">
        <v>247</v>
      </c>
    </row>
    <row r="564" customFormat="false" ht="15" hidden="false" customHeight="false" outlineLevel="0" collapsed="false">
      <c r="A564" s="36" t="s">
        <v>999</v>
      </c>
      <c r="B564" s="36" t="s">
        <v>535</v>
      </c>
      <c r="C564" s="36" t="s">
        <v>130</v>
      </c>
      <c r="D564" s="36" t="s">
        <v>197</v>
      </c>
      <c r="E564" s="36" t="n">
        <v>4</v>
      </c>
      <c r="F564" s="36" t="n">
        <v>54</v>
      </c>
      <c r="G564" s="36" t="s">
        <v>246</v>
      </c>
      <c r="H564" s="36" t="s">
        <v>145</v>
      </c>
    </row>
    <row r="565" customFormat="false" ht="15" hidden="false" customHeight="false" outlineLevel="0" collapsed="false">
      <c r="A565" s="36" t="s">
        <v>1000</v>
      </c>
      <c r="B565" s="36" t="s">
        <v>535</v>
      </c>
      <c r="C565" s="36" t="s">
        <v>294</v>
      </c>
      <c r="D565" s="36" t="s">
        <v>716</v>
      </c>
      <c r="E565" s="36" t="n">
        <v>4</v>
      </c>
      <c r="F565" s="36" t="n">
        <v>350</v>
      </c>
      <c r="G565" s="36" t="s">
        <v>251</v>
      </c>
      <c r="H565" s="36" t="s">
        <v>321</v>
      </c>
    </row>
    <row r="566" customFormat="false" ht="15" hidden="false" customHeight="false" outlineLevel="0" collapsed="false">
      <c r="A566" s="36" t="s">
        <v>1001</v>
      </c>
      <c r="B566" s="36" t="s">
        <v>956</v>
      </c>
      <c r="C566" s="36" t="s">
        <v>130</v>
      </c>
      <c r="D566" s="36" t="s">
        <v>151</v>
      </c>
      <c r="E566" s="36" t="n">
        <v>1</v>
      </c>
      <c r="F566" s="36" t="s">
        <v>380</v>
      </c>
      <c r="G566" s="36" t="s">
        <v>267</v>
      </c>
      <c r="H566" s="36" t="s">
        <v>146</v>
      </c>
    </row>
    <row r="567" customFormat="false" ht="15" hidden="false" customHeight="false" outlineLevel="0" collapsed="false">
      <c r="A567" s="36" t="s">
        <v>1002</v>
      </c>
      <c r="B567" s="36" t="s">
        <v>956</v>
      </c>
      <c r="C567" s="36" t="s">
        <v>249</v>
      </c>
      <c r="D567" s="36" t="s">
        <v>361</v>
      </c>
      <c r="E567" s="36" t="n">
        <v>3</v>
      </c>
      <c r="F567" s="36" t="s">
        <v>275</v>
      </c>
      <c r="G567" s="36" t="s">
        <v>260</v>
      </c>
      <c r="H567" s="36" t="s">
        <v>321</v>
      </c>
    </row>
    <row r="568" customFormat="false" ht="15" hidden="false" customHeight="false" outlineLevel="0" collapsed="false">
      <c r="A568" s="36" t="s">
        <v>1003</v>
      </c>
      <c r="B568" s="36" t="s">
        <v>956</v>
      </c>
      <c r="C568" s="36" t="s">
        <v>254</v>
      </c>
      <c r="D568" s="36" t="s">
        <v>959</v>
      </c>
      <c r="E568" s="36" t="n">
        <v>4</v>
      </c>
      <c r="F568" s="36" t="n">
        <v>95</v>
      </c>
      <c r="G568" s="36" t="s">
        <v>256</v>
      </c>
      <c r="H568" s="36" t="s">
        <v>146</v>
      </c>
    </row>
    <row r="569" customFormat="false" ht="15" hidden="false" customHeight="false" outlineLevel="0" collapsed="false">
      <c r="A569" s="36" t="s">
        <v>1004</v>
      </c>
      <c r="B569" s="36" t="s">
        <v>535</v>
      </c>
      <c r="C569" s="36" t="s">
        <v>254</v>
      </c>
      <c r="D569" s="36" t="s">
        <v>209</v>
      </c>
      <c r="E569" s="36" t="s">
        <v>403</v>
      </c>
      <c r="F569" s="36" t="s">
        <v>552</v>
      </c>
      <c r="G569" s="36" t="s">
        <v>243</v>
      </c>
      <c r="H569" s="36" t="s">
        <v>132</v>
      </c>
    </row>
    <row r="570" customFormat="false" ht="15" hidden="false" customHeight="false" outlineLevel="0" collapsed="false">
      <c r="A570" s="36" t="s">
        <v>1005</v>
      </c>
      <c r="B570" s="36" t="s">
        <v>535</v>
      </c>
      <c r="C570" s="36" t="s">
        <v>294</v>
      </c>
      <c r="D570" s="36" t="s">
        <v>337</v>
      </c>
      <c r="E570" s="36" t="n">
        <v>1</v>
      </c>
      <c r="F570" s="36" t="s">
        <v>547</v>
      </c>
      <c r="G570" s="36" t="s">
        <v>256</v>
      </c>
      <c r="H570" s="36" t="s">
        <v>132</v>
      </c>
    </row>
    <row r="571" customFormat="false" ht="15" hidden="false" customHeight="false" outlineLevel="0" collapsed="false">
      <c r="A571" s="36" t="s">
        <v>1006</v>
      </c>
      <c r="B571" s="36" t="s">
        <v>956</v>
      </c>
      <c r="C571" s="36" t="s">
        <v>130</v>
      </c>
      <c r="D571" s="36" t="s">
        <v>201</v>
      </c>
      <c r="E571" s="36" t="n">
        <v>2</v>
      </c>
      <c r="F571" s="36" t="s">
        <v>759</v>
      </c>
      <c r="G571" s="36" t="s">
        <v>263</v>
      </c>
      <c r="H571" s="36" t="s">
        <v>132</v>
      </c>
    </row>
    <row r="572" customFormat="false" ht="15" hidden="false" customHeight="false" outlineLevel="0" collapsed="false">
      <c r="A572" s="36" t="s">
        <v>1007</v>
      </c>
      <c r="B572" s="36" t="s">
        <v>956</v>
      </c>
      <c r="C572" s="36" t="s">
        <v>130</v>
      </c>
      <c r="D572" s="36" t="s">
        <v>166</v>
      </c>
      <c r="E572" s="36" t="n">
        <v>3</v>
      </c>
      <c r="F572" s="36" t="s">
        <v>269</v>
      </c>
      <c r="G572" s="36" t="s">
        <v>270</v>
      </c>
      <c r="H572" s="36" t="s">
        <v>247</v>
      </c>
    </row>
    <row r="573" customFormat="false" ht="15" hidden="false" customHeight="false" outlineLevel="0" collapsed="false">
      <c r="A573" s="36" t="s">
        <v>1008</v>
      </c>
      <c r="B573" s="36" t="s">
        <v>535</v>
      </c>
      <c r="C573" s="36" t="s">
        <v>43</v>
      </c>
      <c r="D573" s="36" t="s">
        <v>159</v>
      </c>
      <c r="E573" s="36" t="n">
        <v>2</v>
      </c>
      <c r="F573" s="36" t="n">
        <v>330</v>
      </c>
      <c r="G573" s="36" t="s">
        <v>267</v>
      </c>
      <c r="H573" s="36" t="s">
        <v>247</v>
      </c>
    </row>
    <row r="574" customFormat="false" ht="15" hidden="false" customHeight="false" outlineLevel="0" collapsed="false">
      <c r="A574" s="36" t="s">
        <v>1009</v>
      </c>
      <c r="B574" s="36" t="s">
        <v>535</v>
      </c>
      <c r="C574" s="36" t="s">
        <v>43</v>
      </c>
      <c r="D574" s="36" t="s">
        <v>134</v>
      </c>
      <c r="E574" s="36" t="n">
        <v>1</v>
      </c>
      <c r="F574" s="36" t="s">
        <v>411</v>
      </c>
      <c r="G574" s="36" t="s">
        <v>243</v>
      </c>
      <c r="H574" s="36" t="s">
        <v>132</v>
      </c>
    </row>
    <row r="575" customFormat="false" ht="15" hidden="false" customHeight="false" outlineLevel="0" collapsed="false">
      <c r="A575" s="36" t="s">
        <v>1010</v>
      </c>
      <c r="B575" s="36" t="s">
        <v>956</v>
      </c>
      <c r="C575" s="36" t="s">
        <v>43</v>
      </c>
      <c r="D575" s="36" t="s">
        <v>205</v>
      </c>
      <c r="E575" s="36" t="n">
        <v>1</v>
      </c>
      <c r="F575" s="36" t="n">
        <v>90</v>
      </c>
      <c r="G575" s="36" t="s">
        <v>270</v>
      </c>
      <c r="H575" s="36" t="s">
        <v>247</v>
      </c>
    </row>
    <row r="576" customFormat="false" ht="15" hidden="false" customHeight="false" outlineLevel="0" collapsed="false">
      <c r="A576" s="36" t="s">
        <v>1011</v>
      </c>
      <c r="B576" s="36" t="s">
        <v>956</v>
      </c>
      <c r="C576" s="36" t="s">
        <v>43</v>
      </c>
      <c r="D576" s="36" t="s">
        <v>157</v>
      </c>
      <c r="E576" s="36" t="n">
        <v>1</v>
      </c>
      <c r="F576" s="36" t="n">
        <v>330</v>
      </c>
      <c r="G576" s="36" t="s">
        <v>267</v>
      </c>
      <c r="H576" s="36" t="s">
        <v>141</v>
      </c>
    </row>
    <row r="577" customFormat="false" ht="15" hidden="false" customHeight="false" outlineLevel="0" collapsed="false">
      <c r="A577" s="36" t="s">
        <v>1012</v>
      </c>
      <c r="B577" s="37" t="n">
        <v>46269</v>
      </c>
      <c r="C577" s="36" t="s">
        <v>335</v>
      </c>
      <c r="D577" s="36" t="s">
        <v>798</v>
      </c>
      <c r="E577" s="36" t="n">
        <v>1</v>
      </c>
      <c r="F577" s="36" t="s">
        <v>420</v>
      </c>
      <c r="G577" s="36" t="s">
        <v>251</v>
      </c>
      <c r="H577" s="36" t="s">
        <v>146</v>
      </c>
    </row>
    <row r="578" customFormat="false" ht="15" hidden="false" customHeight="false" outlineLevel="0" collapsed="false">
      <c r="A578" s="36" t="s">
        <v>1013</v>
      </c>
      <c r="B578" s="36" t="s">
        <v>956</v>
      </c>
      <c r="C578" s="36" t="s">
        <v>335</v>
      </c>
      <c r="D578" s="36" t="s">
        <v>163</v>
      </c>
      <c r="E578" s="36" t="n">
        <v>1</v>
      </c>
      <c r="F578" s="36" t="s">
        <v>699</v>
      </c>
      <c r="G578" s="36" t="s">
        <v>256</v>
      </c>
      <c r="H578" s="36" t="s">
        <v>247</v>
      </c>
    </row>
    <row r="579" customFormat="false" ht="15" hidden="false" customHeight="false" outlineLevel="0" collapsed="false">
      <c r="A579" s="36" t="s">
        <v>1014</v>
      </c>
      <c r="B579" s="36" t="s">
        <v>956</v>
      </c>
      <c r="C579" s="36" t="s">
        <v>139</v>
      </c>
      <c r="D579" s="36" t="s">
        <v>405</v>
      </c>
      <c r="E579" s="36" t="n">
        <v>1</v>
      </c>
      <c r="F579" s="36" t="n">
        <v>330</v>
      </c>
      <c r="G579" s="36" t="s">
        <v>243</v>
      </c>
      <c r="H579" s="36" t="s">
        <v>146</v>
      </c>
    </row>
    <row r="580" customFormat="false" ht="15" hidden="false" customHeight="false" outlineLevel="0" collapsed="false">
      <c r="A580" s="36" t="s">
        <v>1015</v>
      </c>
      <c r="B580" s="36" t="s">
        <v>956</v>
      </c>
      <c r="C580" s="36" t="s">
        <v>333</v>
      </c>
      <c r="D580" s="36" t="s">
        <v>714</v>
      </c>
      <c r="E580" s="36" t="s">
        <v>282</v>
      </c>
      <c r="F580" s="36" t="n">
        <v>420</v>
      </c>
      <c r="G580" s="36" t="s">
        <v>246</v>
      </c>
      <c r="H580" s="36" t="s">
        <v>141</v>
      </c>
    </row>
    <row r="581" customFormat="false" ht="15" hidden="false" customHeight="false" outlineLevel="0" collapsed="false">
      <c r="A581" s="36" t="s">
        <v>1016</v>
      </c>
      <c r="B581" s="36" t="s">
        <v>956</v>
      </c>
      <c r="C581" s="36" t="s">
        <v>139</v>
      </c>
      <c r="D581" s="36" t="s">
        <v>290</v>
      </c>
      <c r="E581" s="36" t="n">
        <v>1</v>
      </c>
      <c r="F581" s="36" t="n">
        <v>40</v>
      </c>
      <c r="G581" s="36" t="s">
        <v>263</v>
      </c>
      <c r="H581" s="36" t="s">
        <v>247</v>
      </c>
    </row>
    <row r="582" customFormat="false" ht="15" hidden="false" customHeight="false" outlineLevel="0" collapsed="false">
      <c r="A582" s="36" t="s">
        <v>1017</v>
      </c>
      <c r="B582" s="36" t="s">
        <v>535</v>
      </c>
      <c r="C582" s="36" t="s">
        <v>139</v>
      </c>
      <c r="D582" s="36" t="s">
        <v>1018</v>
      </c>
      <c r="E582" s="36" t="n">
        <v>3</v>
      </c>
      <c r="F582" s="36" t="n">
        <v>65</v>
      </c>
      <c r="G582" s="36" t="s">
        <v>260</v>
      </c>
      <c r="H582" s="36" t="s">
        <v>131</v>
      </c>
    </row>
    <row r="583" customFormat="false" ht="15" hidden="false" customHeight="false" outlineLevel="0" collapsed="false">
      <c r="A583" s="36" t="s">
        <v>1019</v>
      </c>
      <c r="B583" s="36" t="s">
        <v>956</v>
      </c>
      <c r="C583" s="36" t="s">
        <v>139</v>
      </c>
      <c r="D583" s="36" t="s">
        <v>215</v>
      </c>
      <c r="E583" s="36" t="n">
        <v>3</v>
      </c>
      <c r="F583" s="36" t="s">
        <v>584</v>
      </c>
      <c r="G583" s="36" t="s">
        <v>251</v>
      </c>
      <c r="H583" s="36" t="s">
        <v>141</v>
      </c>
    </row>
    <row r="584" customFormat="false" ht="15" hidden="false" customHeight="false" outlineLevel="0" collapsed="false">
      <c r="A584" s="36" t="s">
        <v>1020</v>
      </c>
      <c r="B584" s="36" t="s">
        <v>956</v>
      </c>
      <c r="C584" s="36" t="s">
        <v>43</v>
      </c>
      <c r="D584" s="36" t="s">
        <v>162</v>
      </c>
      <c r="E584" s="36" t="n">
        <v>3</v>
      </c>
      <c r="F584" s="36" t="s">
        <v>1021</v>
      </c>
      <c r="G584" s="36" t="s">
        <v>260</v>
      </c>
      <c r="H584" s="36" t="s">
        <v>140</v>
      </c>
    </row>
    <row r="585" customFormat="false" ht="15" hidden="false" customHeight="false" outlineLevel="0" collapsed="false">
      <c r="A585" s="36" t="s">
        <v>1022</v>
      </c>
      <c r="B585" s="36" t="s">
        <v>956</v>
      </c>
      <c r="C585" s="36" t="s">
        <v>139</v>
      </c>
      <c r="D585" s="36" t="s">
        <v>154</v>
      </c>
      <c r="E585" s="36" t="n">
        <v>1</v>
      </c>
      <c r="F585" s="36" t="n">
        <v>330</v>
      </c>
      <c r="G585" s="36" t="s">
        <v>243</v>
      </c>
      <c r="H585" s="36" t="s">
        <v>132</v>
      </c>
    </row>
    <row r="586" customFormat="false" ht="15" hidden="false" customHeight="false" outlineLevel="0" collapsed="false">
      <c r="A586" s="36" t="s">
        <v>1023</v>
      </c>
      <c r="B586" s="36" t="s">
        <v>956</v>
      </c>
      <c r="C586" s="36" t="s">
        <v>139</v>
      </c>
      <c r="D586" s="36" t="s">
        <v>201</v>
      </c>
      <c r="E586" s="36" t="n">
        <v>6</v>
      </c>
      <c r="F586" s="36" t="s">
        <v>600</v>
      </c>
      <c r="G586" s="36" t="s">
        <v>256</v>
      </c>
      <c r="H586" s="36" t="s">
        <v>146</v>
      </c>
    </row>
    <row r="587" customFormat="false" ht="15" hidden="false" customHeight="false" outlineLevel="0" collapsed="false">
      <c r="A587" s="36" t="s">
        <v>1024</v>
      </c>
      <c r="B587" s="36" t="s">
        <v>956</v>
      </c>
      <c r="C587" s="36" t="s">
        <v>333</v>
      </c>
      <c r="D587" s="36" t="s">
        <v>1025</v>
      </c>
      <c r="E587" s="36" t="n">
        <v>4</v>
      </c>
      <c r="F587" s="36" t="s">
        <v>302</v>
      </c>
      <c r="G587" s="36" t="s">
        <v>251</v>
      </c>
      <c r="H587" s="36" t="s">
        <v>141</v>
      </c>
    </row>
    <row r="588" customFormat="false" ht="15" hidden="false" customHeight="false" outlineLevel="0" collapsed="false">
      <c r="A588" s="36" t="s">
        <v>1026</v>
      </c>
      <c r="B588" s="36" t="s">
        <v>956</v>
      </c>
      <c r="C588" s="36" t="s">
        <v>43</v>
      </c>
      <c r="D588" s="36" t="s">
        <v>165</v>
      </c>
      <c r="E588" s="36" t="n">
        <v>6</v>
      </c>
      <c r="F588" s="36" t="s">
        <v>1027</v>
      </c>
      <c r="G588" s="36" t="s">
        <v>270</v>
      </c>
      <c r="H588" s="36" t="s">
        <v>146</v>
      </c>
    </row>
    <row r="589" customFormat="false" ht="15" hidden="false" customHeight="false" outlineLevel="0" collapsed="false">
      <c r="A589" s="36" t="s">
        <v>1028</v>
      </c>
      <c r="B589" s="36" t="s">
        <v>535</v>
      </c>
      <c r="C589" s="36" t="s">
        <v>43</v>
      </c>
      <c r="D589" s="36" t="s">
        <v>195</v>
      </c>
      <c r="E589" s="36" t="n">
        <v>4</v>
      </c>
      <c r="F589" s="36" t="n">
        <v>60</v>
      </c>
      <c r="G589" s="36" t="s">
        <v>246</v>
      </c>
      <c r="H589" s="36" t="s">
        <v>141</v>
      </c>
    </row>
    <row r="590" customFormat="false" ht="15" hidden="false" customHeight="false" outlineLevel="0" collapsed="false">
      <c r="A590" s="36" t="s">
        <v>1029</v>
      </c>
      <c r="B590" s="36" t="s">
        <v>956</v>
      </c>
      <c r="C590" s="36" t="s">
        <v>333</v>
      </c>
      <c r="D590" s="36" t="s">
        <v>148</v>
      </c>
      <c r="E590" s="36" t="n">
        <v>1</v>
      </c>
      <c r="F590" s="36" t="n">
        <v>330</v>
      </c>
      <c r="G590" s="36" t="s">
        <v>251</v>
      </c>
      <c r="H590" s="36" t="s">
        <v>145</v>
      </c>
    </row>
    <row r="591" customFormat="false" ht="15" hidden="false" customHeight="false" outlineLevel="0" collapsed="false">
      <c r="A591" s="36" t="s">
        <v>1030</v>
      </c>
      <c r="B591" s="36" t="s">
        <v>809</v>
      </c>
      <c r="C591" s="36" t="s">
        <v>46</v>
      </c>
      <c r="D591" s="36" t="s">
        <v>188</v>
      </c>
      <c r="E591" s="36" t="n">
        <v>4</v>
      </c>
      <c r="F591" s="36" t="n">
        <v>85</v>
      </c>
      <c r="G591" s="36" t="s">
        <v>243</v>
      </c>
      <c r="H591" s="36" t="s">
        <v>321</v>
      </c>
    </row>
    <row r="592" customFormat="false" ht="15" hidden="false" customHeight="false" outlineLevel="0" collapsed="false">
      <c r="A592" s="36" t="s">
        <v>1031</v>
      </c>
      <c r="B592" s="36" t="s">
        <v>956</v>
      </c>
      <c r="C592" s="36" t="s">
        <v>43</v>
      </c>
      <c r="D592" s="36" t="s">
        <v>171</v>
      </c>
      <c r="E592" s="36" t="n">
        <v>2</v>
      </c>
      <c r="F592" s="36" t="s">
        <v>457</v>
      </c>
      <c r="G592" s="36" t="s">
        <v>256</v>
      </c>
      <c r="H592" s="36" t="s">
        <v>140</v>
      </c>
    </row>
    <row r="593" customFormat="false" ht="15" hidden="false" customHeight="false" outlineLevel="0" collapsed="false">
      <c r="A593" s="36" t="s">
        <v>1032</v>
      </c>
      <c r="B593" s="37" t="n">
        <v>46269</v>
      </c>
      <c r="C593" s="36" t="s">
        <v>333</v>
      </c>
      <c r="D593" s="36" t="s">
        <v>285</v>
      </c>
      <c r="E593" s="36" t="n">
        <v>2</v>
      </c>
      <c r="F593" s="36" t="s">
        <v>627</v>
      </c>
      <c r="G593" s="36" t="s">
        <v>267</v>
      </c>
      <c r="H593" s="36" t="s">
        <v>141</v>
      </c>
    </row>
    <row r="594" customFormat="false" ht="15" hidden="false" customHeight="false" outlineLevel="0" collapsed="false">
      <c r="A594" s="36" t="s">
        <v>1033</v>
      </c>
      <c r="B594" s="36" t="s">
        <v>956</v>
      </c>
      <c r="C594" s="36" t="s">
        <v>43</v>
      </c>
      <c r="D594" s="36" t="s">
        <v>197</v>
      </c>
      <c r="E594" s="36" t="n">
        <v>2</v>
      </c>
      <c r="F594" s="36" t="n">
        <v>60</v>
      </c>
      <c r="G594" s="36" t="s">
        <v>246</v>
      </c>
      <c r="H594" s="36" t="s">
        <v>141</v>
      </c>
    </row>
    <row r="595" customFormat="false" ht="15" hidden="false" customHeight="false" outlineLevel="0" collapsed="false">
      <c r="A595" s="36" t="s">
        <v>1034</v>
      </c>
      <c r="B595" s="37" t="n">
        <v>46269</v>
      </c>
      <c r="C595" s="36" t="s">
        <v>43</v>
      </c>
      <c r="D595" s="36" t="s">
        <v>196</v>
      </c>
      <c r="E595" s="36" t="n">
        <v>6</v>
      </c>
      <c r="F595" s="36" t="n">
        <v>350</v>
      </c>
      <c r="G595" s="36" t="s">
        <v>267</v>
      </c>
      <c r="H595" s="36" t="s">
        <v>131</v>
      </c>
    </row>
    <row r="596" customFormat="false" ht="15" hidden="false" customHeight="false" outlineLevel="0" collapsed="false">
      <c r="A596" s="36" t="s">
        <v>1035</v>
      </c>
      <c r="B596" s="36" t="s">
        <v>535</v>
      </c>
      <c r="C596" s="36" t="s">
        <v>139</v>
      </c>
      <c r="D596" s="36" t="s">
        <v>172</v>
      </c>
      <c r="E596" s="36" t="n">
        <v>3</v>
      </c>
      <c r="F596" s="36" t="n">
        <v>60</v>
      </c>
      <c r="G596" s="36" t="s">
        <v>246</v>
      </c>
      <c r="H596" s="36" t="s">
        <v>145</v>
      </c>
    </row>
    <row r="597" customFormat="false" ht="15" hidden="false" customHeight="false" outlineLevel="0" collapsed="false">
      <c r="A597" s="36" t="s">
        <v>1036</v>
      </c>
      <c r="B597" s="36" t="s">
        <v>956</v>
      </c>
      <c r="C597" s="36" t="s">
        <v>333</v>
      </c>
      <c r="D597" s="36" t="s">
        <v>204</v>
      </c>
      <c r="E597" s="36" t="n">
        <v>6</v>
      </c>
      <c r="F597" s="36" t="n">
        <v>130</v>
      </c>
      <c r="G597" s="36" t="s">
        <v>246</v>
      </c>
      <c r="H597" s="36" t="s">
        <v>132</v>
      </c>
    </row>
    <row r="598" customFormat="false" ht="15" hidden="false" customHeight="false" outlineLevel="0" collapsed="false">
      <c r="A598" s="36" t="s">
        <v>1037</v>
      </c>
      <c r="B598" s="36" t="s">
        <v>535</v>
      </c>
      <c r="C598" s="36" t="s">
        <v>335</v>
      </c>
      <c r="D598" s="36" t="s">
        <v>329</v>
      </c>
      <c r="E598" s="36" t="n">
        <v>3</v>
      </c>
      <c r="F598" s="36" t="s">
        <v>749</v>
      </c>
      <c r="G598" s="36" t="s">
        <v>270</v>
      </c>
      <c r="H598" s="36" t="s">
        <v>132</v>
      </c>
    </row>
    <row r="599" customFormat="false" ht="15" hidden="false" customHeight="false" outlineLevel="0" collapsed="false">
      <c r="A599" s="36" t="s">
        <v>1038</v>
      </c>
      <c r="B599" s="36" t="s">
        <v>956</v>
      </c>
      <c r="C599" s="36" t="s">
        <v>333</v>
      </c>
      <c r="D599" s="36" t="s">
        <v>822</v>
      </c>
      <c r="E599" s="36" t="n">
        <v>2</v>
      </c>
      <c r="F599" s="36" t="n">
        <v>65</v>
      </c>
      <c r="G599" s="36" t="s">
        <v>256</v>
      </c>
      <c r="H599" s="36" t="s">
        <v>132</v>
      </c>
    </row>
    <row r="600" customFormat="false" ht="15" hidden="false" customHeight="false" outlineLevel="0" collapsed="false">
      <c r="A600" s="36" t="s">
        <v>1039</v>
      </c>
      <c r="B600" s="36" t="s">
        <v>956</v>
      </c>
      <c r="C600" s="36" t="s">
        <v>139</v>
      </c>
      <c r="D600" s="36" t="s">
        <v>188</v>
      </c>
      <c r="E600" s="36" t="n">
        <v>4</v>
      </c>
      <c r="F600" s="36" t="s">
        <v>422</v>
      </c>
      <c r="G600" s="36" t="s">
        <v>246</v>
      </c>
      <c r="H600" s="36" t="s">
        <v>247</v>
      </c>
    </row>
    <row r="601" customFormat="false" ht="15" hidden="false" customHeight="false" outlineLevel="0" collapsed="false">
      <c r="A601" s="36" t="s">
        <v>1040</v>
      </c>
      <c r="B601" s="36" t="s">
        <v>535</v>
      </c>
      <c r="C601" s="36" t="s">
        <v>139</v>
      </c>
      <c r="D601" s="36" t="s">
        <v>299</v>
      </c>
      <c r="E601" s="36" t="n">
        <v>1</v>
      </c>
      <c r="F601" s="36" t="s">
        <v>344</v>
      </c>
      <c r="G601" s="36" t="s">
        <v>260</v>
      </c>
      <c r="H601" s="36" t="s">
        <v>132</v>
      </c>
    </row>
    <row r="602" customFormat="false" ht="15" hidden="false" customHeight="false" outlineLevel="0" collapsed="false">
      <c r="A602" s="36" t="s">
        <v>1041</v>
      </c>
      <c r="B602" s="36" t="s">
        <v>535</v>
      </c>
      <c r="C602" s="36" t="s">
        <v>333</v>
      </c>
      <c r="D602" s="36" t="s">
        <v>178</v>
      </c>
      <c r="E602" s="36" t="n">
        <v>6</v>
      </c>
      <c r="F602" s="36" t="n">
        <v>280</v>
      </c>
      <c r="G602" s="36" t="s">
        <v>251</v>
      </c>
      <c r="H602" s="36" t="s">
        <v>132</v>
      </c>
    </row>
    <row r="603" customFormat="false" ht="15" hidden="false" customHeight="false" outlineLevel="0" collapsed="false">
      <c r="A603" s="36" t="s">
        <v>1042</v>
      </c>
      <c r="B603" s="36" t="s">
        <v>956</v>
      </c>
      <c r="C603" s="36" t="s">
        <v>43</v>
      </c>
      <c r="D603" s="36" t="s">
        <v>178</v>
      </c>
      <c r="E603" s="36" t="n">
        <v>1</v>
      </c>
      <c r="F603" s="36" t="n">
        <v>280</v>
      </c>
      <c r="G603" s="36" t="s">
        <v>260</v>
      </c>
      <c r="H603" s="36" t="s">
        <v>141</v>
      </c>
    </row>
    <row r="604" customFormat="false" ht="15" hidden="false" customHeight="false" outlineLevel="0" collapsed="false">
      <c r="A604" s="36" t="s">
        <v>1043</v>
      </c>
      <c r="B604" s="36" t="s">
        <v>956</v>
      </c>
      <c r="C604" s="36" t="s">
        <v>333</v>
      </c>
      <c r="D604" s="36" t="s">
        <v>349</v>
      </c>
      <c r="E604" s="36" t="n">
        <v>1</v>
      </c>
      <c r="F604" s="36" t="s">
        <v>1044</v>
      </c>
      <c r="G604" s="36" t="s">
        <v>243</v>
      </c>
      <c r="H604" s="36" t="s">
        <v>145</v>
      </c>
    </row>
    <row r="605" customFormat="false" ht="15" hidden="false" customHeight="false" outlineLevel="0" collapsed="false">
      <c r="A605" s="36" t="s">
        <v>1045</v>
      </c>
      <c r="B605" s="36" t="s">
        <v>535</v>
      </c>
      <c r="C605" s="36" t="s">
        <v>333</v>
      </c>
      <c r="D605" s="36" t="s">
        <v>478</v>
      </c>
      <c r="E605" s="36" t="n">
        <v>6</v>
      </c>
      <c r="F605" s="36" t="s">
        <v>259</v>
      </c>
      <c r="G605" s="36" t="s">
        <v>256</v>
      </c>
      <c r="H605" s="36" t="s">
        <v>141</v>
      </c>
    </row>
    <row r="606" customFormat="false" ht="15" hidden="false" customHeight="false" outlineLevel="0" collapsed="false">
      <c r="A606" s="36" t="s">
        <v>1046</v>
      </c>
      <c r="B606" s="36" t="s">
        <v>956</v>
      </c>
      <c r="C606" s="36" t="s">
        <v>333</v>
      </c>
      <c r="D606" s="36" t="s">
        <v>168</v>
      </c>
      <c r="E606" s="36" t="n">
        <v>4</v>
      </c>
      <c r="F606" s="36" t="s">
        <v>489</v>
      </c>
      <c r="G606" s="36" t="s">
        <v>263</v>
      </c>
      <c r="H606" s="36" t="s">
        <v>146</v>
      </c>
    </row>
    <row r="607" customFormat="false" ht="15" hidden="false" customHeight="false" outlineLevel="0" collapsed="false">
      <c r="A607" s="36" t="s">
        <v>1047</v>
      </c>
      <c r="B607" s="36" t="s">
        <v>956</v>
      </c>
      <c r="C607" s="36" t="s">
        <v>333</v>
      </c>
      <c r="D607" s="36" t="s">
        <v>931</v>
      </c>
      <c r="E607" s="36" t="n">
        <v>1</v>
      </c>
      <c r="F607" s="36" t="s">
        <v>259</v>
      </c>
      <c r="G607" s="36" t="s">
        <v>246</v>
      </c>
      <c r="H607" s="36" t="s">
        <v>141</v>
      </c>
    </row>
    <row r="608" customFormat="false" ht="15" hidden="false" customHeight="false" outlineLevel="0" collapsed="false">
      <c r="A608" s="36" t="s">
        <v>1048</v>
      </c>
      <c r="B608" s="37" t="n">
        <v>46269</v>
      </c>
      <c r="C608" s="36" t="s">
        <v>335</v>
      </c>
      <c r="D608" s="36" t="s">
        <v>197</v>
      </c>
      <c r="E608" s="36" t="n">
        <v>2</v>
      </c>
      <c r="F608" s="36" t="n">
        <v>60</v>
      </c>
      <c r="G608" s="36" t="s">
        <v>267</v>
      </c>
      <c r="H608" s="36" t="s">
        <v>321</v>
      </c>
    </row>
    <row r="609" customFormat="false" ht="15" hidden="false" customHeight="false" outlineLevel="0" collapsed="false">
      <c r="A609" s="36" t="s">
        <v>1049</v>
      </c>
      <c r="B609" s="37" t="n">
        <v>46269</v>
      </c>
      <c r="C609" s="36" t="s">
        <v>43</v>
      </c>
      <c r="D609" s="36" t="s">
        <v>299</v>
      </c>
      <c r="E609" s="36" t="n">
        <v>1</v>
      </c>
      <c r="F609" s="36" t="n">
        <v>60</v>
      </c>
      <c r="G609" s="36" t="s">
        <v>243</v>
      </c>
      <c r="H609" s="36" t="s">
        <v>132</v>
      </c>
    </row>
    <row r="610" customFormat="false" ht="15" hidden="false" customHeight="false" outlineLevel="0" collapsed="false">
      <c r="A610" s="36" t="s">
        <v>1050</v>
      </c>
      <c r="B610" s="36" t="s">
        <v>535</v>
      </c>
      <c r="C610" s="36" t="s">
        <v>43</v>
      </c>
      <c r="D610" s="36" t="s">
        <v>265</v>
      </c>
      <c r="E610" s="36" t="n">
        <v>2</v>
      </c>
      <c r="F610" s="36" t="s">
        <v>1044</v>
      </c>
      <c r="G610" s="36" t="s">
        <v>263</v>
      </c>
      <c r="H610" s="36" t="s">
        <v>321</v>
      </c>
    </row>
    <row r="611" customFormat="false" ht="15" hidden="false" customHeight="false" outlineLevel="0" collapsed="false">
      <c r="A611" s="36" t="s">
        <v>1051</v>
      </c>
      <c r="B611" s="36" t="s">
        <v>535</v>
      </c>
      <c r="C611" s="36" t="s">
        <v>44</v>
      </c>
      <c r="D611" s="36" t="s">
        <v>148</v>
      </c>
      <c r="E611" s="36" t="n">
        <v>1</v>
      </c>
      <c r="F611" s="36" t="s">
        <v>380</v>
      </c>
      <c r="G611" s="36" t="s">
        <v>246</v>
      </c>
      <c r="H611" s="36" t="s">
        <v>306</v>
      </c>
    </row>
    <row r="612" customFormat="false" ht="15" hidden="false" customHeight="false" outlineLevel="0" collapsed="false">
      <c r="A612" s="36" t="s">
        <v>1052</v>
      </c>
      <c r="B612" s="36" t="s">
        <v>535</v>
      </c>
      <c r="C612" s="36" t="s">
        <v>375</v>
      </c>
      <c r="D612" s="36" t="s">
        <v>203</v>
      </c>
      <c r="E612" s="36" t="n">
        <v>1</v>
      </c>
      <c r="F612" s="36" t="s">
        <v>302</v>
      </c>
      <c r="G612" s="36" t="s">
        <v>270</v>
      </c>
      <c r="H612" s="36" t="s">
        <v>141</v>
      </c>
    </row>
    <row r="613" customFormat="false" ht="15" hidden="false" customHeight="false" outlineLevel="0" collapsed="false">
      <c r="A613" s="36" t="s">
        <v>1053</v>
      </c>
      <c r="B613" s="36" t="s">
        <v>535</v>
      </c>
      <c r="C613" s="36" t="s">
        <v>144</v>
      </c>
      <c r="D613" s="36" t="s">
        <v>233</v>
      </c>
      <c r="E613" s="36" t="n">
        <v>4</v>
      </c>
      <c r="F613" s="36" t="n">
        <v>130</v>
      </c>
      <c r="G613" s="36" t="s">
        <v>251</v>
      </c>
      <c r="H613" s="36" t="s">
        <v>306</v>
      </c>
    </row>
    <row r="614" customFormat="false" ht="15" hidden="false" customHeight="false" outlineLevel="0" collapsed="false">
      <c r="A614" s="36" t="s">
        <v>1054</v>
      </c>
      <c r="B614" s="36" t="s">
        <v>956</v>
      </c>
      <c r="C614" s="36" t="s">
        <v>375</v>
      </c>
      <c r="D614" s="36" t="s">
        <v>461</v>
      </c>
      <c r="E614" s="36" t="n">
        <v>1</v>
      </c>
      <c r="F614" s="36" t="s">
        <v>759</v>
      </c>
      <c r="G614" s="36" t="s">
        <v>243</v>
      </c>
      <c r="H614" s="36" t="s">
        <v>141</v>
      </c>
    </row>
    <row r="615" customFormat="false" ht="15" hidden="false" customHeight="false" outlineLevel="0" collapsed="false">
      <c r="A615" s="36" t="s">
        <v>1055</v>
      </c>
      <c r="B615" s="36" t="s">
        <v>956</v>
      </c>
      <c r="C615" s="36" t="s">
        <v>554</v>
      </c>
      <c r="D615" s="36" t="s">
        <v>357</v>
      </c>
      <c r="E615" s="36" t="n">
        <v>1</v>
      </c>
      <c r="F615" s="36" t="n">
        <v>330</v>
      </c>
      <c r="G615" s="36" t="s">
        <v>267</v>
      </c>
      <c r="H615" s="36" t="s">
        <v>131</v>
      </c>
    </row>
    <row r="616" customFormat="false" ht="15" hidden="false" customHeight="false" outlineLevel="0" collapsed="false">
      <c r="A616" s="36" t="s">
        <v>1056</v>
      </c>
      <c r="B616" s="36" t="s">
        <v>956</v>
      </c>
      <c r="C616" s="36" t="s">
        <v>144</v>
      </c>
      <c r="D616" s="36" t="s">
        <v>437</v>
      </c>
      <c r="E616" s="36" t="n">
        <v>1</v>
      </c>
      <c r="F616" s="36" t="n">
        <v>330</v>
      </c>
      <c r="G616" s="36" t="s">
        <v>251</v>
      </c>
      <c r="H616" s="36" t="s">
        <v>321</v>
      </c>
    </row>
    <row r="617" customFormat="false" ht="15" hidden="false" customHeight="false" outlineLevel="0" collapsed="false">
      <c r="A617" s="36" t="s">
        <v>1057</v>
      </c>
      <c r="B617" s="37" t="n">
        <v>46269</v>
      </c>
      <c r="C617" s="36" t="s">
        <v>554</v>
      </c>
      <c r="D617" s="36" t="s">
        <v>159</v>
      </c>
      <c r="E617" s="36" t="n">
        <v>2</v>
      </c>
      <c r="F617" s="36" t="s">
        <v>1058</v>
      </c>
      <c r="G617" s="36" t="s">
        <v>251</v>
      </c>
      <c r="H617" s="36" t="s">
        <v>141</v>
      </c>
    </row>
    <row r="618" customFormat="false" ht="15" hidden="false" customHeight="false" outlineLevel="0" collapsed="false">
      <c r="A618" s="36" t="s">
        <v>1059</v>
      </c>
      <c r="B618" s="36" t="s">
        <v>956</v>
      </c>
      <c r="C618" s="36" t="s">
        <v>44</v>
      </c>
      <c r="D618" s="36" t="s">
        <v>208</v>
      </c>
      <c r="E618" s="36" t="n">
        <v>3</v>
      </c>
      <c r="F618" s="36" t="s">
        <v>378</v>
      </c>
      <c r="G618" s="36" t="s">
        <v>270</v>
      </c>
      <c r="H618" s="36" t="s">
        <v>247</v>
      </c>
    </row>
    <row r="619" customFormat="false" ht="15" hidden="false" customHeight="false" outlineLevel="0" collapsed="false">
      <c r="A619" s="36" t="s">
        <v>1060</v>
      </c>
      <c r="B619" s="36" t="s">
        <v>956</v>
      </c>
      <c r="C619" s="36" t="s">
        <v>368</v>
      </c>
      <c r="D619" s="36" t="s">
        <v>133</v>
      </c>
      <c r="E619" s="36" t="s">
        <v>403</v>
      </c>
      <c r="F619" s="36" t="n">
        <v>190</v>
      </c>
      <c r="G619" s="36" t="s">
        <v>267</v>
      </c>
      <c r="H619" s="36" t="s">
        <v>131</v>
      </c>
    </row>
    <row r="620" customFormat="false" ht="15" hidden="false" customHeight="false" outlineLevel="0" collapsed="false">
      <c r="A620" s="36" t="s">
        <v>1061</v>
      </c>
      <c r="B620" s="36" t="s">
        <v>956</v>
      </c>
      <c r="C620" s="36" t="s">
        <v>375</v>
      </c>
      <c r="D620" s="36" t="s">
        <v>1062</v>
      </c>
      <c r="E620" s="36" t="n">
        <v>2</v>
      </c>
      <c r="F620" s="36" t="n">
        <v>76</v>
      </c>
      <c r="G620" s="36" t="s">
        <v>267</v>
      </c>
      <c r="H620" s="36" t="s">
        <v>141</v>
      </c>
    </row>
    <row r="621" customFormat="false" ht="15" hidden="false" customHeight="false" outlineLevel="0" collapsed="false">
      <c r="A621" s="36" t="s">
        <v>1063</v>
      </c>
      <c r="B621" s="36" t="s">
        <v>956</v>
      </c>
      <c r="C621" s="36" t="s">
        <v>375</v>
      </c>
      <c r="D621" s="36" t="s">
        <v>198</v>
      </c>
      <c r="E621" s="36" t="n">
        <v>6</v>
      </c>
      <c r="F621" s="36" t="s">
        <v>325</v>
      </c>
      <c r="G621" s="36" t="s">
        <v>251</v>
      </c>
      <c r="H621" s="36" t="s">
        <v>321</v>
      </c>
    </row>
    <row r="622" customFormat="false" ht="15" hidden="false" customHeight="false" outlineLevel="0" collapsed="false">
      <c r="A622" s="36" t="s">
        <v>1064</v>
      </c>
      <c r="B622" s="37" t="n">
        <v>46269</v>
      </c>
      <c r="C622" s="36" t="s">
        <v>375</v>
      </c>
      <c r="D622" s="36" t="s">
        <v>160</v>
      </c>
      <c r="E622" s="36" t="n">
        <v>3</v>
      </c>
      <c r="F622" s="36" t="n">
        <v>120</v>
      </c>
      <c r="G622" s="36" t="s">
        <v>251</v>
      </c>
      <c r="H622" s="36" t="s">
        <v>247</v>
      </c>
    </row>
    <row r="623" customFormat="false" ht="15" hidden="false" customHeight="false" outlineLevel="0" collapsed="false">
      <c r="A623" s="36" t="s">
        <v>1065</v>
      </c>
      <c r="B623" s="36" t="s">
        <v>956</v>
      </c>
      <c r="C623" s="36" t="s">
        <v>44</v>
      </c>
      <c r="D623" s="36" t="s">
        <v>530</v>
      </c>
      <c r="E623" s="36" t="n">
        <v>1</v>
      </c>
      <c r="F623" s="36" t="n">
        <v>60</v>
      </c>
      <c r="G623" s="36" t="s">
        <v>246</v>
      </c>
      <c r="H623" s="36" t="s">
        <v>146</v>
      </c>
    </row>
    <row r="624" customFormat="false" ht="15" hidden="false" customHeight="false" outlineLevel="0" collapsed="false">
      <c r="A624" s="36" t="s">
        <v>1066</v>
      </c>
      <c r="B624" s="36" t="s">
        <v>956</v>
      </c>
      <c r="C624" s="36" t="s">
        <v>44</v>
      </c>
      <c r="D624" s="36" t="s">
        <v>290</v>
      </c>
      <c r="E624" s="36" t="n">
        <v>4</v>
      </c>
      <c r="F624" s="36" t="s">
        <v>363</v>
      </c>
      <c r="G624" s="36" t="s">
        <v>270</v>
      </c>
      <c r="H624" s="36" t="s">
        <v>308</v>
      </c>
    </row>
    <row r="625" customFormat="false" ht="15" hidden="false" customHeight="false" outlineLevel="0" collapsed="false">
      <c r="A625" s="36" t="s">
        <v>1067</v>
      </c>
      <c r="B625" s="36" t="s">
        <v>956</v>
      </c>
      <c r="C625" s="36" t="s">
        <v>44</v>
      </c>
      <c r="D625" s="36" t="s">
        <v>931</v>
      </c>
      <c r="E625" s="36" t="n">
        <v>4</v>
      </c>
      <c r="F625" s="36" t="s">
        <v>259</v>
      </c>
      <c r="G625" s="36" t="s">
        <v>267</v>
      </c>
      <c r="H625" s="36" t="s">
        <v>141</v>
      </c>
    </row>
    <row r="626" customFormat="false" ht="15" hidden="false" customHeight="false" outlineLevel="0" collapsed="false">
      <c r="A626" s="36" t="s">
        <v>1068</v>
      </c>
      <c r="B626" s="36" t="s">
        <v>956</v>
      </c>
      <c r="C626" s="36" t="s">
        <v>375</v>
      </c>
      <c r="D626" s="36" t="s">
        <v>290</v>
      </c>
      <c r="E626" s="36" t="n">
        <v>4</v>
      </c>
      <c r="F626" s="36" t="n">
        <v>40</v>
      </c>
      <c r="G626" s="36" t="s">
        <v>251</v>
      </c>
      <c r="H626" s="36" t="s">
        <v>146</v>
      </c>
    </row>
    <row r="627" customFormat="false" ht="15" hidden="false" customHeight="false" outlineLevel="0" collapsed="false">
      <c r="A627" s="36" t="s">
        <v>1069</v>
      </c>
      <c r="B627" s="36" t="s">
        <v>535</v>
      </c>
      <c r="C627" s="36" t="s">
        <v>368</v>
      </c>
      <c r="D627" s="36" t="s">
        <v>216</v>
      </c>
      <c r="E627" s="36" t="n">
        <v>6</v>
      </c>
      <c r="F627" s="36" t="s">
        <v>547</v>
      </c>
      <c r="G627" s="36" t="s">
        <v>256</v>
      </c>
      <c r="H627" s="36" t="s">
        <v>145</v>
      </c>
    </row>
    <row r="628" customFormat="false" ht="15" hidden="false" customHeight="false" outlineLevel="0" collapsed="false">
      <c r="A628" s="36" t="s">
        <v>1070</v>
      </c>
      <c r="B628" s="36" t="s">
        <v>535</v>
      </c>
      <c r="C628" s="36" t="s">
        <v>44</v>
      </c>
      <c r="D628" s="36" t="s">
        <v>415</v>
      </c>
      <c r="E628" s="36" t="n">
        <v>3</v>
      </c>
      <c r="F628" s="36" t="s">
        <v>547</v>
      </c>
      <c r="G628" s="36" t="s">
        <v>270</v>
      </c>
      <c r="H628" s="36" t="s">
        <v>141</v>
      </c>
    </row>
    <row r="629" customFormat="false" ht="15" hidden="false" customHeight="false" outlineLevel="0" collapsed="false">
      <c r="A629" s="36" t="s">
        <v>1071</v>
      </c>
      <c r="B629" s="36" t="s">
        <v>535</v>
      </c>
      <c r="C629" s="36" t="s">
        <v>144</v>
      </c>
      <c r="D629" s="36" t="s">
        <v>143</v>
      </c>
      <c r="E629" s="36" t="n">
        <v>2</v>
      </c>
      <c r="F629" s="36" t="n">
        <v>330</v>
      </c>
      <c r="G629" s="36" t="s">
        <v>246</v>
      </c>
      <c r="H629" s="36" t="s">
        <v>247</v>
      </c>
    </row>
    <row r="630" customFormat="false" ht="15" hidden="false" customHeight="false" outlineLevel="0" collapsed="false">
      <c r="A630" s="36" t="s">
        <v>1072</v>
      </c>
      <c r="B630" s="36" t="s">
        <v>535</v>
      </c>
      <c r="C630" s="36" t="s">
        <v>375</v>
      </c>
      <c r="D630" s="36" t="s">
        <v>315</v>
      </c>
      <c r="E630" s="36" t="n">
        <v>3</v>
      </c>
      <c r="F630" s="36" t="n">
        <v>405</v>
      </c>
      <c r="G630" s="36" t="s">
        <v>243</v>
      </c>
      <c r="H630" s="36" t="s">
        <v>146</v>
      </c>
    </row>
    <row r="631" customFormat="false" ht="15" hidden="false" customHeight="false" outlineLevel="0" collapsed="false">
      <c r="A631" s="36" t="s">
        <v>1073</v>
      </c>
      <c r="B631" s="36" t="s">
        <v>956</v>
      </c>
      <c r="C631" s="36" t="s">
        <v>144</v>
      </c>
      <c r="D631" s="36" t="s">
        <v>165</v>
      </c>
      <c r="E631" s="36" t="n">
        <v>6</v>
      </c>
      <c r="F631" s="36" t="n">
        <v>110</v>
      </c>
      <c r="G631" s="36" t="s">
        <v>256</v>
      </c>
      <c r="H631" s="36" t="s">
        <v>140</v>
      </c>
    </row>
    <row r="632" customFormat="false" ht="15" hidden="false" customHeight="false" outlineLevel="0" collapsed="false">
      <c r="A632" s="36" t="s">
        <v>1074</v>
      </c>
      <c r="B632" s="37" t="n">
        <v>46269</v>
      </c>
      <c r="C632" s="36" t="s">
        <v>368</v>
      </c>
      <c r="D632" s="36" t="s">
        <v>625</v>
      </c>
      <c r="E632" s="36" t="n">
        <v>1</v>
      </c>
      <c r="F632" s="36" t="n">
        <v>130</v>
      </c>
      <c r="G632" s="36" t="s">
        <v>243</v>
      </c>
      <c r="H632" s="36" t="s">
        <v>141</v>
      </c>
    </row>
    <row r="633" customFormat="false" ht="15" hidden="false" customHeight="false" outlineLevel="0" collapsed="false">
      <c r="A633" s="36" t="s">
        <v>1075</v>
      </c>
      <c r="B633" s="36" t="s">
        <v>535</v>
      </c>
      <c r="C633" s="36" t="s">
        <v>44</v>
      </c>
      <c r="D633" s="36" t="s">
        <v>166</v>
      </c>
      <c r="E633" s="36" t="n">
        <v>2</v>
      </c>
      <c r="F633" s="36" t="n">
        <v>380</v>
      </c>
      <c r="G633" s="36" t="s">
        <v>246</v>
      </c>
      <c r="H633" s="36" t="s">
        <v>131</v>
      </c>
    </row>
    <row r="634" customFormat="false" ht="15" hidden="false" customHeight="false" outlineLevel="0" collapsed="false">
      <c r="A634" s="36" t="s">
        <v>1076</v>
      </c>
      <c r="B634" s="36" t="s">
        <v>956</v>
      </c>
      <c r="C634" s="36" t="s">
        <v>368</v>
      </c>
      <c r="D634" s="36" t="s">
        <v>280</v>
      </c>
      <c r="E634" s="36" t="n">
        <v>1</v>
      </c>
      <c r="F634" s="36" t="n">
        <v>330</v>
      </c>
      <c r="G634" s="36" t="s">
        <v>256</v>
      </c>
      <c r="H634" s="36" t="s">
        <v>247</v>
      </c>
    </row>
    <row r="635" customFormat="false" ht="15" hidden="false" customHeight="false" outlineLevel="0" collapsed="false">
      <c r="A635" s="36" t="s">
        <v>1077</v>
      </c>
      <c r="B635" s="36" t="s">
        <v>535</v>
      </c>
      <c r="C635" s="36" t="s">
        <v>44</v>
      </c>
      <c r="D635" s="36" t="s">
        <v>134</v>
      </c>
      <c r="E635" s="36" t="n">
        <v>1</v>
      </c>
      <c r="F635" s="36" t="s">
        <v>411</v>
      </c>
      <c r="G635" s="36" t="s">
        <v>260</v>
      </c>
      <c r="H635" s="36" t="s">
        <v>247</v>
      </c>
    </row>
    <row r="636" customFormat="false" ht="15" hidden="false" customHeight="false" outlineLevel="0" collapsed="false">
      <c r="A636" s="36" t="s">
        <v>1078</v>
      </c>
      <c r="B636" s="36" t="s">
        <v>535</v>
      </c>
      <c r="C636" s="36" t="s">
        <v>44</v>
      </c>
      <c r="D636" s="36" t="s">
        <v>138</v>
      </c>
      <c r="E636" s="36" t="n">
        <v>1</v>
      </c>
      <c r="F636" s="36" t="s">
        <v>259</v>
      </c>
      <c r="G636" s="36" t="s">
        <v>260</v>
      </c>
      <c r="H636" s="36" t="s">
        <v>141</v>
      </c>
    </row>
    <row r="637" customFormat="false" ht="15" hidden="false" customHeight="false" outlineLevel="0" collapsed="false">
      <c r="A637" s="36" t="s">
        <v>1079</v>
      </c>
      <c r="B637" s="36" t="s">
        <v>956</v>
      </c>
      <c r="C637" s="36" t="s">
        <v>554</v>
      </c>
      <c r="D637" s="36" t="s">
        <v>181</v>
      </c>
      <c r="E637" s="36" t="n">
        <v>1</v>
      </c>
      <c r="F637" s="36" t="s">
        <v>659</v>
      </c>
      <c r="G637" s="36" t="s">
        <v>263</v>
      </c>
      <c r="H637" s="36" t="s">
        <v>141</v>
      </c>
    </row>
    <row r="638" customFormat="false" ht="15" hidden="false" customHeight="false" outlineLevel="0" collapsed="false">
      <c r="A638" s="36" t="s">
        <v>1080</v>
      </c>
      <c r="B638" s="36" t="s">
        <v>535</v>
      </c>
      <c r="C638" s="36" t="s">
        <v>554</v>
      </c>
      <c r="D638" s="36" t="s">
        <v>373</v>
      </c>
      <c r="E638" s="36" t="n">
        <v>2</v>
      </c>
      <c r="F638" s="36" t="n">
        <v>40</v>
      </c>
      <c r="G638" s="36" t="s">
        <v>243</v>
      </c>
      <c r="H638" s="36" t="s">
        <v>141</v>
      </c>
    </row>
    <row r="639" customFormat="false" ht="15" hidden="false" customHeight="false" outlineLevel="0" collapsed="false">
      <c r="A639" s="36" t="s">
        <v>1081</v>
      </c>
      <c r="B639" s="36" t="s">
        <v>535</v>
      </c>
      <c r="C639" s="36" t="s">
        <v>368</v>
      </c>
      <c r="D639" s="36" t="s">
        <v>227</v>
      </c>
      <c r="E639" s="36" t="s">
        <v>735</v>
      </c>
      <c r="F639" s="36" t="s">
        <v>325</v>
      </c>
      <c r="G639" s="36" t="s">
        <v>256</v>
      </c>
      <c r="H639" s="36" t="s">
        <v>145</v>
      </c>
    </row>
    <row r="640" customFormat="false" ht="15" hidden="false" customHeight="false" outlineLevel="0" collapsed="false">
      <c r="A640" s="36" t="s">
        <v>1082</v>
      </c>
      <c r="B640" s="36" t="s">
        <v>956</v>
      </c>
      <c r="C640" s="36" t="s">
        <v>144</v>
      </c>
      <c r="D640" s="36" t="s">
        <v>898</v>
      </c>
      <c r="E640" s="36" t="n">
        <v>3</v>
      </c>
      <c r="F640" s="36" t="s">
        <v>489</v>
      </c>
      <c r="G640" s="36" t="s">
        <v>246</v>
      </c>
      <c r="H640" s="36" t="s">
        <v>132</v>
      </c>
    </row>
    <row r="641" customFormat="false" ht="15" hidden="false" customHeight="false" outlineLevel="0" collapsed="false">
      <c r="A641" s="36" t="s">
        <v>1083</v>
      </c>
      <c r="B641" s="36" t="s">
        <v>535</v>
      </c>
      <c r="C641" s="36" t="s">
        <v>554</v>
      </c>
      <c r="D641" s="36" t="s">
        <v>172</v>
      </c>
      <c r="E641" s="36" t="n">
        <v>6</v>
      </c>
      <c r="F641" s="36" t="n">
        <v>60</v>
      </c>
      <c r="G641" s="36" t="s">
        <v>260</v>
      </c>
      <c r="H641" s="36" t="s">
        <v>131</v>
      </c>
    </row>
    <row r="642" customFormat="false" ht="15" hidden="false" customHeight="false" outlineLevel="0" collapsed="false">
      <c r="A642" s="36" t="s">
        <v>1084</v>
      </c>
      <c r="B642" s="36" t="s">
        <v>535</v>
      </c>
      <c r="C642" s="36" t="s">
        <v>368</v>
      </c>
      <c r="D642" s="36" t="s">
        <v>181</v>
      </c>
      <c r="E642" s="36" t="n">
        <v>3</v>
      </c>
      <c r="F642" s="36" t="s">
        <v>659</v>
      </c>
      <c r="G642" s="36" t="s">
        <v>263</v>
      </c>
      <c r="H642" s="36" t="s">
        <v>141</v>
      </c>
    </row>
    <row r="643" customFormat="false" ht="15" hidden="false" customHeight="false" outlineLevel="0" collapsed="false">
      <c r="A643" s="36" t="s">
        <v>1085</v>
      </c>
      <c r="B643" s="36" t="s">
        <v>535</v>
      </c>
      <c r="C643" s="36" t="s">
        <v>44</v>
      </c>
      <c r="D643" s="36" t="s">
        <v>1086</v>
      </c>
      <c r="E643" s="36" t="n">
        <v>6</v>
      </c>
      <c r="F643" s="36" t="s">
        <v>422</v>
      </c>
      <c r="G643" s="36" t="s">
        <v>251</v>
      </c>
      <c r="H643" s="36" t="s">
        <v>247</v>
      </c>
    </row>
    <row r="644" customFormat="false" ht="15" hidden="false" customHeight="false" outlineLevel="0" collapsed="false">
      <c r="A644" s="36" t="s">
        <v>1087</v>
      </c>
      <c r="B644" s="36" t="s">
        <v>956</v>
      </c>
      <c r="C644" s="36" t="s">
        <v>375</v>
      </c>
      <c r="D644" s="36" t="s">
        <v>133</v>
      </c>
      <c r="E644" s="36" t="n">
        <v>2</v>
      </c>
      <c r="F644" s="36" t="n">
        <v>190</v>
      </c>
      <c r="G644" s="36" t="s">
        <v>246</v>
      </c>
      <c r="H644" s="36" t="s">
        <v>132</v>
      </c>
    </row>
    <row r="645" customFormat="false" ht="15" hidden="false" customHeight="false" outlineLevel="0" collapsed="false">
      <c r="A645" s="36" t="s">
        <v>1088</v>
      </c>
      <c r="B645" s="36" t="s">
        <v>956</v>
      </c>
      <c r="C645" s="36" t="s">
        <v>554</v>
      </c>
      <c r="D645" s="36" t="s">
        <v>876</v>
      </c>
      <c r="E645" s="36" t="n">
        <v>6</v>
      </c>
      <c r="F645" s="36" t="n">
        <v>330</v>
      </c>
      <c r="G645" s="36" t="s">
        <v>267</v>
      </c>
      <c r="H645" s="36" t="s">
        <v>321</v>
      </c>
    </row>
    <row r="646" customFormat="false" ht="15" hidden="false" customHeight="false" outlineLevel="0" collapsed="false">
      <c r="A646" s="36" t="s">
        <v>1089</v>
      </c>
      <c r="B646" s="36" t="s">
        <v>956</v>
      </c>
      <c r="C646" s="36" t="s">
        <v>44</v>
      </c>
      <c r="D646" s="36" t="s">
        <v>148</v>
      </c>
      <c r="E646" s="36" t="n">
        <v>3</v>
      </c>
      <c r="F646" s="36" t="n">
        <v>330</v>
      </c>
      <c r="G646" s="36" t="s">
        <v>267</v>
      </c>
      <c r="H646" s="36" t="s">
        <v>146</v>
      </c>
    </row>
    <row r="647" customFormat="false" ht="15" hidden="false" customHeight="false" outlineLevel="0" collapsed="false">
      <c r="A647" s="36" t="s">
        <v>1090</v>
      </c>
      <c r="B647" s="36" t="s">
        <v>956</v>
      </c>
      <c r="C647" s="36" t="s">
        <v>417</v>
      </c>
      <c r="D647" s="36" t="s">
        <v>189</v>
      </c>
      <c r="E647" s="36" t="s">
        <v>403</v>
      </c>
      <c r="F647" s="36" t="n">
        <v>150</v>
      </c>
      <c r="G647" s="36" t="s">
        <v>267</v>
      </c>
      <c r="H647" s="36" t="s">
        <v>141</v>
      </c>
    </row>
    <row r="648" customFormat="false" ht="15" hidden="false" customHeight="false" outlineLevel="0" collapsed="false">
      <c r="A648" s="36" t="s">
        <v>1091</v>
      </c>
      <c r="B648" s="36" t="s">
        <v>535</v>
      </c>
      <c r="C648" s="36" t="s">
        <v>417</v>
      </c>
      <c r="D648" s="36" t="s">
        <v>176</v>
      </c>
      <c r="E648" s="36" t="n">
        <v>4</v>
      </c>
      <c r="F648" s="36" t="n">
        <v>90</v>
      </c>
      <c r="G648" s="36" t="s">
        <v>263</v>
      </c>
      <c r="H648" s="36" t="s">
        <v>141</v>
      </c>
    </row>
    <row r="649" customFormat="false" ht="15" hidden="false" customHeight="false" outlineLevel="0" collapsed="false">
      <c r="A649" s="36" t="s">
        <v>1092</v>
      </c>
      <c r="B649" s="36" t="s">
        <v>956</v>
      </c>
      <c r="C649" s="36" t="s">
        <v>419</v>
      </c>
      <c r="D649" s="36" t="s">
        <v>178</v>
      </c>
      <c r="E649" s="36" t="n">
        <v>3</v>
      </c>
      <c r="F649" s="36" t="n">
        <v>280</v>
      </c>
      <c r="G649" s="36" t="s">
        <v>256</v>
      </c>
      <c r="H649" s="36" t="s">
        <v>321</v>
      </c>
    </row>
    <row r="650" customFormat="false" ht="15" hidden="false" customHeight="false" outlineLevel="0" collapsed="false">
      <c r="A650" s="36" t="s">
        <v>1093</v>
      </c>
      <c r="B650" s="36" t="s">
        <v>956</v>
      </c>
      <c r="C650" s="36" t="s">
        <v>45</v>
      </c>
      <c r="D650" s="36" t="s">
        <v>137</v>
      </c>
      <c r="E650" s="36" t="n">
        <v>2</v>
      </c>
      <c r="F650" s="36" t="n">
        <v>190</v>
      </c>
      <c r="G650" s="36" t="s">
        <v>243</v>
      </c>
      <c r="H650" s="36" t="s">
        <v>132</v>
      </c>
    </row>
    <row r="651" customFormat="false" ht="15" hidden="false" customHeight="false" outlineLevel="0" collapsed="false">
      <c r="A651" s="36" t="s">
        <v>1094</v>
      </c>
      <c r="B651" s="37" t="n">
        <v>46269</v>
      </c>
      <c r="C651" s="36" t="s">
        <v>417</v>
      </c>
      <c r="D651" s="36" t="s">
        <v>166</v>
      </c>
      <c r="E651" s="36" t="n">
        <v>2</v>
      </c>
      <c r="F651" s="36" t="n">
        <v>380</v>
      </c>
      <c r="G651" s="36" t="s">
        <v>263</v>
      </c>
      <c r="H651" s="36" t="s">
        <v>141</v>
      </c>
    </row>
    <row r="652" customFormat="false" ht="15" hidden="false" customHeight="false" outlineLevel="0" collapsed="false">
      <c r="A652" s="36" t="s">
        <v>1095</v>
      </c>
      <c r="B652" s="36" t="s">
        <v>956</v>
      </c>
      <c r="C652" s="36" t="s">
        <v>153</v>
      </c>
      <c r="D652" s="36" t="s">
        <v>342</v>
      </c>
      <c r="E652" s="36" t="n">
        <v>1</v>
      </c>
      <c r="F652" s="36" t="s">
        <v>319</v>
      </c>
      <c r="G652" s="36" t="s">
        <v>263</v>
      </c>
      <c r="H652" s="36" t="s">
        <v>140</v>
      </c>
    </row>
    <row r="653" customFormat="false" ht="15" hidden="false" customHeight="false" outlineLevel="0" collapsed="false">
      <c r="A653" s="36" t="s">
        <v>1096</v>
      </c>
      <c r="B653" s="37" t="n">
        <v>46269</v>
      </c>
      <c r="C653" s="36" t="s">
        <v>153</v>
      </c>
      <c r="D653" s="36" t="s">
        <v>998</v>
      </c>
      <c r="E653" s="36" t="n">
        <v>2</v>
      </c>
      <c r="F653" s="36" t="n">
        <v>90</v>
      </c>
      <c r="G653" s="36" t="s">
        <v>260</v>
      </c>
      <c r="H653" s="36" t="s">
        <v>132</v>
      </c>
    </row>
    <row r="654" customFormat="false" ht="15" hidden="false" customHeight="false" outlineLevel="0" collapsed="false">
      <c r="A654" s="36" t="s">
        <v>1097</v>
      </c>
      <c r="B654" s="36" t="s">
        <v>956</v>
      </c>
      <c r="C654" s="36" t="s">
        <v>153</v>
      </c>
      <c r="D654" s="36" t="s">
        <v>190</v>
      </c>
      <c r="E654" s="36" t="n">
        <v>2</v>
      </c>
      <c r="F654" s="36" t="n">
        <v>195</v>
      </c>
      <c r="G654" s="36" t="s">
        <v>260</v>
      </c>
      <c r="H654" s="36" t="s">
        <v>141</v>
      </c>
    </row>
    <row r="655" customFormat="false" ht="15" hidden="false" customHeight="false" outlineLevel="0" collapsed="false">
      <c r="A655" s="36" t="s">
        <v>1098</v>
      </c>
      <c r="B655" s="37" t="n">
        <v>46269</v>
      </c>
      <c r="C655" s="36" t="s">
        <v>45</v>
      </c>
      <c r="D655" s="36" t="s">
        <v>187</v>
      </c>
      <c r="E655" s="36" t="n">
        <v>1</v>
      </c>
      <c r="F655" s="36" t="s">
        <v>489</v>
      </c>
      <c r="G655" s="36" t="s">
        <v>243</v>
      </c>
      <c r="H655" s="36" t="s">
        <v>131</v>
      </c>
    </row>
    <row r="656" customFormat="false" ht="15" hidden="false" customHeight="false" outlineLevel="0" collapsed="false">
      <c r="A656" s="36" t="s">
        <v>376</v>
      </c>
      <c r="B656" s="36" t="s">
        <v>240</v>
      </c>
      <c r="C656" s="36" t="s">
        <v>144</v>
      </c>
      <c r="D656" s="36" t="s">
        <v>377</v>
      </c>
      <c r="E656" s="36" t="n">
        <v>4</v>
      </c>
      <c r="F656" s="36" t="s">
        <v>378</v>
      </c>
      <c r="G656" s="36" t="s">
        <v>246</v>
      </c>
      <c r="H656" s="36" t="s">
        <v>141</v>
      </c>
    </row>
    <row r="657" customFormat="false" ht="15" hidden="false" customHeight="false" outlineLevel="0" collapsed="false">
      <c r="A657" s="36" t="s">
        <v>1099</v>
      </c>
      <c r="B657" s="36" t="s">
        <v>535</v>
      </c>
      <c r="C657" s="36" t="s">
        <v>45</v>
      </c>
      <c r="D657" s="36" t="s">
        <v>148</v>
      </c>
      <c r="E657" s="36" t="s">
        <v>403</v>
      </c>
      <c r="F657" s="36" t="n">
        <v>330</v>
      </c>
      <c r="G657" s="36" t="s">
        <v>243</v>
      </c>
      <c r="H657" s="36" t="s">
        <v>141</v>
      </c>
    </row>
    <row r="658" customFormat="false" ht="15" hidden="false" customHeight="false" outlineLevel="0" collapsed="false">
      <c r="A658" s="36" t="s">
        <v>1100</v>
      </c>
      <c r="B658" s="36" t="s">
        <v>535</v>
      </c>
      <c r="C658" s="36" t="s">
        <v>45</v>
      </c>
      <c r="D658" s="36" t="s">
        <v>194</v>
      </c>
      <c r="E658" s="36" t="n">
        <v>3</v>
      </c>
      <c r="F658" s="36" t="n">
        <v>130</v>
      </c>
      <c r="G658" s="36" t="s">
        <v>267</v>
      </c>
      <c r="H658" s="36" t="s">
        <v>146</v>
      </c>
    </row>
    <row r="659" customFormat="false" ht="15" hidden="false" customHeight="false" outlineLevel="0" collapsed="false">
      <c r="A659" s="36" t="s">
        <v>1101</v>
      </c>
      <c r="B659" s="37" t="n">
        <v>46269</v>
      </c>
      <c r="C659" s="36" t="s">
        <v>153</v>
      </c>
      <c r="D659" s="36" t="s">
        <v>176</v>
      </c>
      <c r="E659" s="36" t="s">
        <v>403</v>
      </c>
      <c r="F659" s="36" t="s">
        <v>384</v>
      </c>
      <c r="G659" s="36" t="s">
        <v>267</v>
      </c>
      <c r="H659" s="36" t="s">
        <v>140</v>
      </c>
    </row>
    <row r="660" customFormat="false" ht="15" hidden="false" customHeight="false" outlineLevel="0" collapsed="false">
      <c r="A660" s="36" t="s">
        <v>1102</v>
      </c>
      <c r="B660" s="36" t="s">
        <v>956</v>
      </c>
      <c r="C660" s="36" t="s">
        <v>45</v>
      </c>
      <c r="D660" s="36" t="s">
        <v>169</v>
      </c>
      <c r="E660" s="36" t="n">
        <v>2</v>
      </c>
      <c r="F660" s="36" t="s">
        <v>457</v>
      </c>
      <c r="G660" s="36" t="s">
        <v>263</v>
      </c>
      <c r="H660" s="36" t="s">
        <v>132</v>
      </c>
    </row>
    <row r="661" customFormat="false" ht="15" hidden="false" customHeight="false" outlineLevel="0" collapsed="false">
      <c r="A661" s="36" t="s">
        <v>1103</v>
      </c>
      <c r="B661" s="36" t="s">
        <v>956</v>
      </c>
      <c r="C661" s="36" t="s">
        <v>45</v>
      </c>
      <c r="D661" s="36" t="s">
        <v>200</v>
      </c>
      <c r="E661" s="36" t="n">
        <v>3</v>
      </c>
      <c r="F661" s="36" t="n">
        <v>80</v>
      </c>
      <c r="G661" s="36" t="s">
        <v>270</v>
      </c>
      <c r="H661" s="36" t="s">
        <v>145</v>
      </c>
    </row>
    <row r="662" customFormat="false" ht="15" hidden="false" customHeight="false" outlineLevel="0" collapsed="false">
      <c r="A662" s="36" t="s">
        <v>1104</v>
      </c>
      <c r="B662" s="36" t="s">
        <v>956</v>
      </c>
      <c r="C662" s="36" t="s">
        <v>45</v>
      </c>
      <c r="D662" s="36" t="s">
        <v>142</v>
      </c>
      <c r="E662" s="36" t="n">
        <v>6</v>
      </c>
      <c r="F662" s="36" t="s">
        <v>259</v>
      </c>
      <c r="G662" s="36" t="s">
        <v>251</v>
      </c>
      <c r="H662" s="36" t="s">
        <v>132</v>
      </c>
    </row>
    <row r="663" customFormat="false" ht="15" hidden="false" customHeight="false" outlineLevel="0" collapsed="false">
      <c r="A663" s="36" t="s">
        <v>1105</v>
      </c>
      <c r="B663" s="36" t="s">
        <v>956</v>
      </c>
      <c r="C663" s="36" t="s">
        <v>153</v>
      </c>
      <c r="D663" s="36" t="s">
        <v>231</v>
      </c>
      <c r="E663" s="36" t="n">
        <v>4</v>
      </c>
      <c r="F663" s="36" t="n">
        <v>140</v>
      </c>
      <c r="G663" s="36" t="s">
        <v>260</v>
      </c>
      <c r="H663" s="36" t="s">
        <v>141</v>
      </c>
    </row>
    <row r="664" customFormat="false" ht="15" hidden="false" customHeight="false" outlineLevel="0" collapsed="false">
      <c r="A664" s="36" t="s">
        <v>1106</v>
      </c>
      <c r="B664" s="36" t="s">
        <v>956</v>
      </c>
      <c r="C664" s="36" t="s">
        <v>419</v>
      </c>
      <c r="D664" s="36" t="s">
        <v>133</v>
      </c>
      <c r="E664" s="36" t="n">
        <v>2</v>
      </c>
      <c r="F664" s="36" t="n">
        <v>190</v>
      </c>
      <c r="G664" s="36" t="s">
        <v>243</v>
      </c>
      <c r="H664" s="36" t="s">
        <v>141</v>
      </c>
    </row>
    <row r="665" customFormat="false" ht="15" hidden="false" customHeight="false" outlineLevel="0" collapsed="false">
      <c r="A665" s="36" t="s">
        <v>1107</v>
      </c>
      <c r="B665" s="36" t="s">
        <v>535</v>
      </c>
      <c r="C665" s="36" t="s">
        <v>45</v>
      </c>
      <c r="D665" s="36" t="s">
        <v>206</v>
      </c>
      <c r="E665" s="36"/>
      <c r="F665" s="36" t="n">
        <v>65</v>
      </c>
      <c r="G665" s="36" t="s">
        <v>256</v>
      </c>
      <c r="H665" s="36" t="s">
        <v>140</v>
      </c>
    </row>
    <row r="666" customFormat="false" ht="15" hidden="false" customHeight="false" outlineLevel="0" collapsed="false">
      <c r="A666" s="36" t="s">
        <v>1108</v>
      </c>
      <c r="B666" s="37" t="n">
        <v>46269</v>
      </c>
      <c r="C666" s="36" t="s">
        <v>45</v>
      </c>
      <c r="D666" s="36" t="s">
        <v>157</v>
      </c>
      <c r="E666" s="36" t="n">
        <v>4</v>
      </c>
      <c r="F666" s="36" t="n">
        <v>330</v>
      </c>
      <c r="G666" s="36" t="s">
        <v>246</v>
      </c>
      <c r="H666" s="36" t="s">
        <v>132</v>
      </c>
    </row>
    <row r="667" customFormat="false" ht="15" hidden="false" customHeight="false" outlineLevel="0" collapsed="false">
      <c r="A667" s="36" t="s">
        <v>1109</v>
      </c>
      <c r="B667" s="36" t="s">
        <v>956</v>
      </c>
      <c r="C667" s="36" t="s">
        <v>417</v>
      </c>
      <c r="D667" s="36" t="s">
        <v>250</v>
      </c>
      <c r="E667" s="36" t="n">
        <v>1</v>
      </c>
      <c r="F667" s="36" t="s">
        <v>759</v>
      </c>
      <c r="G667" s="36" t="s">
        <v>256</v>
      </c>
      <c r="H667" s="36" t="s">
        <v>132</v>
      </c>
    </row>
    <row r="668" customFormat="false" ht="15" hidden="false" customHeight="false" outlineLevel="0" collapsed="false">
      <c r="A668" s="36" t="s">
        <v>1110</v>
      </c>
      <c r="B668" s="36" t="s">
        <v>535</v>
      </c>
      <c r="C668" s="36" t="s">
        <v>45</v>
      </c>
      <c r="D668" s="36" t="s">
        <v>716</v>
      </c>
      <c r="E668" s="36" t="n">
        <v>2</v>
      </c>
      <c r="F668" s="36" t="n">
        <v>350</v>
      </c>
      <c r="G668" s="36" t="s">
        <v>267</v>
      </c>
      <c r="H668" s="36" t="s">
        <v>132</v>
      </c>
    </row>
    <row r="669" customFormat="false" ht="15" hidden="false" customHeight="false" outlineLevel="0" collapsed="false">
      <c r="A669" s="36" t="s">
        <v>797</v>
      </c>
      <c r="B669" s="36" t="s">
        <v>535</v>
      </c>
      <c r="C669" s="36" t="s">
        <v>45</v>
      </c>
      <c r="D669" s="36" t="s">
        <v>798</v>
      </c>
      <c r="E669" s="36" t="n">
        <v>1</v>
      </c>
      <c r="F669" s="36" t="s">
        <v>420</v>
      </c>
      <c r="G669" s="36" t="s">
        <v>270</v>
      </c>
      <c r="H669" s="36" t="s">
        <v>308</v>
      </c>
    </row>
    <row r="670" customFormat="false" ht="15" hidden="false" customHeight="false" outlineLevel="0" collapsed="false">
      <c r="A670" s="36" t="s">
        <v>1111</v>
      </c>
      <c r="B670" s="36" t="s">
        <v>956</v>
      </c>
      <c r="C670" s="36" t="s">
        <v>45</v>
      </c>
      <c r="D670" s="36" t="s">
        <v>152</v>
      </c>
      <c r="E670" s="36" t="n">
        <v>1</v>
      </c>
      <c r="F670" s="36" t="n">
        <v>40</v>
      </c>
      <c r="G670" s="36" t="s">
        <v>246</v>
      </c>
      <c r="H670" s="36" t="s">
        <v>321</v>
      </c>
    </row>
    <row r="671" customFormat="false" ht="15" hidden="false" customHeight="false" outlineLevel="0" collapsed="false">
      <c r="A671" s="36" t="s">
        <v>1112</v>
      </c>
      <c r="B671" s="37" t="n">
        <v>46269</v>
      </c>
      <c r="C671" s="36" t="s">
        <v>45</v>
      </c>
      <c r="D671" s="36" t="s">
        <v>158</v>
      </c>
      <c r="E671" s="36" t="n">
        <v>6</v>
      </c>
      <c r="F671" s="36" t="n">
        <v>65</v>
      </c>
      <c r="G671" s="36" t="s">
        <v>260</v>
      </c>
      <c r="H671" s="36" t="s">
        <v>146</v>
      </c>
    </row>
    <row r="672" customFormat="false" ht="15" hidden="false" customHeight="false" outlineLevel="0" collapsed="false">
      <c r="A672" s="36" t="s">
        <v>1113</v>
      </c>
      <c r="B672" s="36" t="s">
        <v>535</v>
      </c>
      <c r="C672" s="36" t="s">
        <v>419</v>
      </c>
      <c r="D672" s="36" t="s">
        <v>165</v>
      </c>
      <c r="E672" s="36" t="n">
        <v>1</v>
      </c>
      <c r="F672" s="36" t="n">
        <v>110</v>
      </c>
      <c r="G672" s="36" t="s">
        <v>260</v>
      </c>
      <c r="H672" s="36" t="s">
        <v>141</v>
      </c>
    </row>
    <row r="673" customFormat="false" ht="15" hidden="false" customHeight="false" outlineLevel="0" collapsed="false">
      <c r="A673" s="36" t="s">
        <v>1114</v>
      </c>
      <c r="B673" s="36" t="s">
        <v>956</v>
      </c>
      <c r="C673" s="36" t="s">
        <v>419</v>
      </c>
      <c r="D673" s="36" t="s">
        <v>214</v>
      </c>
      <c r="E673" s="36" t="n">
        <v>3</v>
      </c>
      <c r="F673" s="36" t="s">
        <v>387</v>
      </c>
      <c r="G673" s="36" t="s">
        <v>267</v>
      </c>
      <c r="H673" s="36" t="s">
        <v>306</v>
      </c>
    </row>
    <row r="674" customFormat="false" ht="15" hidden="false" customHeight="false" outlineLevel="0" collapsed="false">
      <c r="A674" s="36" t="s">
        <v>1115</v>
      </c>
      <c r="B674" s="37" t="n">
        <v>46269</v>
      </c>
      <c r="C674" s="36" t="s">
        <v>46</v>
      </c>
      <c r="D674" s="36" t="s">
        <v>885</v>
      </c>
      <c r="E674" s="36" t="n">
        <v>2</v>
      </c>
      <c r="F674" s="36" t="n">
        <v>380</v>
      </c>
      <c r="G674" s="36" t="s">
        <v>267</v>
      </c>
      <c r="H674" s="36" t="s">
        <v>141</v>
      </c>
    </row>
    <row r="675" customFormat="false" ht="15" hidden="false" customHeight="false" outlineLevel="0" collapsed="false">
      <c r="A675" s="36" t="s">
        <v>1116</v>
      </c>
      <c r="B675" s="37" t="n">
        <v>46269</v>
      </c>
      <c r="C675" s="36" t="s">
        <v>46</v>
      </c>
      <c r="D675" s="36" t="s">
        <v>143</v>
      </c>
      <c r="E675" s="36" t="n">
        <v>4</v>
      </c>
      <c r="F675" s="36" t="s">
        <v>380</v>
      </c>
      <c r="G675" s="36" t="s">
        <v>263</v>
      </c>
      <c r="H675" s="36" t="s">
        <v>132</v>
      </c>
    </row>
    <row r="676" customFormat="false" ht="15" hidden="false" customHeight="false" outlineLevel="0" collapsed="false">
      <c r="A676" s="36" t="s">
        <v>1117</v>
      </c>
      <c r="B676" s="36" t="s">
        <v>535</v>
      </c>
      <c r="C676" s="36" t="s">
        <v>46</v>
      </c>
      <c r="D676" s="36" t="s">
        <v>228</v>
      </c>
      <c r="E676" s="36" t="n">
        <v>1</v>
      </c>
      <c r="F676" s="36" t="n">
        <v>95</v>
      </c>
      <c r="G676" s="36" t="s">
        <v>256</v>
      </c>
      <c r="H676" s="36" t="s">
        <v>141</v>
      </c>
    </row>
    <row r="677" customFormat="false" ht="15" hidden="false" customHeight="false" outlineLevel="0" collapsed="false">
      <c r="A677" s="36" t="s">
        <v>1118</v>
      </c>
      <c r="B677" s="36" t="s">
        <v>535</v>
      </c>
      <c r="C677" s="36" t="s">
        <v>442</v>
      </c>
      <c r="D677" s="36" t="s">
        <v>217</v>
      </c>
      <c r="E677" s="36" t="n">
        <v>3</v>
      </c>
      <c r="F677" s="36" t="n">
        <v>85</v>
      </c>
      <c r="G677" s="36" t="s">
        <v>260</v>
      </c>
      <c r="H677" s="36" t="s">
        <v>321</v>
      </c>
    </row>
    <row r="678" customFormat="false" ht="15" hidden="false" customHeight="false" outlineLevel="0" collapsed="false">
      <c r="A678" s="36" t="s">
        <v>1119</v>
      </c>
      <c r="B678" s="36" t="s">
        <v>956</v>
      </c>
      <c r="C678" s="36" t="s">
        <v>442</v>
      </c>
      <c r="D678" s="36" t="s">
        <v>312</v>
      </c>
      <c r="E678" s="36" t="n">
        <v>3</v>
      </c>
      <c r="F678" s="36" t="s">
        <v>313</v>
      </c>
      <c r="G678" s="36" t="s">
        <v>243</v>
      </c>
      <c r="H678" s="36" t="s">
        <v>141</v>
      </c>
    </row>
    <row r="679" customFormat="false" ht="15" hidden="false" customHeight="false" outlineLevel="0" collapsed="false">
      <c r="A679" s="36" t="s">
        <v>1120</v>
      </c>
      <c r="B679" s="36" t="s">
        <v>956</v>
      </c>
      <c r="C679" s="36" t="s">
        <v>46</v>
      </c>
      <c r="D679" s="36" t="s">
        <v>349</v>
      </c>
      <c r="E679" s="36" t="n">
        <v>2</v>
      </c>
      <c r="F679" s="36" t="n">
        <v>86</v>
      </c>
      <c r="G679" s="36" t="s">
        <v>246</v>
      </c>
      <c r="H679" s="36" t="s">
        <v>321</v>
      </c>
    </row>
    <row r="680" customFormat="false" ht="15" hidden="false" customHeight="false" outlineLevel="0" collapsed="false">
      <c r="A680" s="36" t="s">
        <v>1121</v>
      </c>
      <c r="B680" s="36" t="s">
        <v>535</v>
      </c>
      <c r="C680" s="36" t="s">
        <v>46</v>
      </c>
      <c r="D680" s="36" t="s">
        <v>148</v>
      </c>
      <c r="E680" s="36" t="n">
        <v>1</v>
      </c>
      <c r="F680" s="36" t="n">
        <v>330</v>
      </c>
      <c r="G680" s="36" t="s">
        <v>246</v>
      </c>
      <c r="H680" s="36" t="s">
        <v>132</v>
      </c>
    </row>
    <row r="681" customFormat="false" ht="15" hidden="false" customHeight="false" outlineLevel="0" collapsed="false">
      <c r="A681" s="36" t="s">
        <v>1122</v>
      </c>
      <c r="B681" s="36" t="s">
        <v>956</v>
      </c>
      <c r="C681" s="36" t="s">
        <v>156</v>
      </c>
      <c r="D681" s="36" t="s">
        <v>696</v>
      </c>
      <c r="E681" s="36" t="n">
        <v>4</v>
      </c>
      <c r="F681" s="36" t="s">
        <v>411</v>
      </c>
      <c r="G681" s="36" t="s">
        <v>246</v>
      </c>
      <c r="H681" s="36" t="s">
        <v>140</v>
      </c>
    </row>
    <row r="682" customFormat="false" ht="15" hidden="false" customHeight="false" outlineLevel="0" collapsed="false">
      <c r="A682" s="36" t="s">
        <v>1123</v>
      </c>
      <c r="B682" s="36" t="s">
        <v>956</v>
      </c>
      <c r="C682" s="36" t="s">
        <v>448</v>
      </c>
      <c r="D682" s="36" t="s">
        <v>182</v>
      </c>
      <c r="E682" s="36" t="n">
        <v>1</v>
      </c>
      <c r="F682" s="36" t="n">
        <v>380</v>
      </c>
      <c r="G682" s="36" t="s">
        <v>267</v>
      </c>
      <c r="H682" s="36" t="s">
        <v>132</v>
      </c>
    </row>
    <row r="683" customFormat="false" ht="15" hidden="false" customHeight="false" outlineLevel="0" collapsed="false">
      <c r="A683" s="36" t="s">
        <v>1124</v>
      </c>
      <c r="B683" s="36" t="s">
        <v>535</v>
      </c>
      <c r="C683" s="36" t="s">
        <v>46</v>
      </c>
      <c r="D683" s="36" t="s">
        <v>229</v>
      </c>
      <c r="E683" s="36" t="n">
        <v>1</v>
      </c>
      <c r="F683" s="36" t="n">
        <v>80</v>
      </c>
      <c r="G683" s="36" t="s">
        <v>246</v>
      </c>
      <c r="H683" s="36" t="s">
        <v>306</v>
      </c>
    </row>
    <row r="684" customFormat="false" ht="15" hidden="false" customHeight="false" outlineLevel="0" collapsed="false">
      <c r="A684" s="36" t="s">
        <v>1125</v>
      </c>
      <c r="B684" s="36" t="s">
        <v>535</v>
      </c>
      <c r="C684" s="36" t="s">
        <v>46</v>
      </c>
      <c r="D684" s="36" t="s">
        <v>207</v>
      </c>
      <c r="E684" s="36" t="n">
        <v>1</v>
      </c>
      <c r="F684" s="36" t="n">
        <v>280</v>
      </c>
      <c r="G684" s="36" t="s">
        <v>246</v>
      </c>
      <c r="H684" s="36" t="s">
        <v>132</v>
      </c>
    </row>
    <row r="685" customFormat="false" ht="15" hidden="false" customHeight="false" outlineLevel="0" collapsed="false">
      <c r="A685" s="36" t="s">
        <v>1126</v>
      </c>
      <c r="B685" s="36" t="s">
        <v>956</v>
      </c>
      <c r="C685" s="36" t="s">
        <v>442</v>
      </c>
      <c r="D685" s="36" t="s">
        <v>167</v>
      </c>
      <c r="E685" s="36" t="s">
        <v>735</v>
      </c>
      <c r="F685" s="36" t="n">
        <v>110</v>
      </c>
      <c r="G685" s="36" t="s">
        <v>256</v>
      </c>
      <c r="H685" s="36" t="s">
        <v>145</v>
      </c>
    </row>
    <row r="686" customFormat="false" ht="15" hidden="false" customHeight="false" outlineLevel="0" collapsed="false">
      <c r="A686" s="36" t="s">
        <v>1127</v>
      </c>
      <c r="B686" s="36" t="s">
        <v>956</v>
      </c>
      <c r="C686" s="36" t="s">
        <v>46</v>
      </c>
      <c r="D686" s="36" t="s">
        <v>714</v>
      </c>
      <c r="E686" s="36" t="n">
        <v>1</v>
      </c>
      <c r="F686" s="36" t="s">
        <v>323</v>
      </c>
      <c r="G686" s="36" t="s">
        <v>263</v>
      </c>
      <c r="H686" s="36" t="s">
        <v>306</v>
      </c>
    </row>
    <row r="687" customFormat="false" ht="15" hidden="false" customHeight="false" outlineLevel="0" collapsed="false">
      <c r="A687" s="36" t="s">
        <v>1128</v>
      </c>
      <c r="B687" s="36" t="s">
        <v>535</v>
      </c>
      <c r="C687" s="36" t="s">
        <v>46</v>
      </c>
      <c r="D687" s="36" t="s">
        <v>208</v>
      </c>
      <c r="E687" s="36" t="n">
        <v>1</v>
      </c>
      <c r="F687" s="36" t="n">
        <v>280</v>
      </c>
      <c r="G687" s="36" t="s">
        <v>270</v>
      </c>
      <c r="H687" s="36" t="s">
        <v>247</v>
      </c>
    </row>
    <row r="688" customFormat="false" ht="15" hidden="false" customHeight="false" outlineLevel="0" collapsed="false">
      <c r="A688" s="36" t="s">
        <v>1129</v>
      </c>
      <c r="B688" s="36" t="s">
        <v>535</v>
      </c>
      <c r="C688" s="36" t="s">
        <v>46</v>
      </c>
      <c r="D688" s="36" t="s">
        <v>155</v>
      </c>
      <c r="E688" s="36" t="n">
        <v>1</v>
      </c>
      <c r="F688" s="36" t="n">
        <v>110</v>
      </c>
      <c r="G688" s="36" t="s">
        <v>246</v>
      </c>
      <c r="H688" s="36" t="s">
        <v>131</v>
      </c>
    </row>
    <row r="689" customFormat="false" ht="15" hidden="false" customHeight="false" outlineLevel="0" collapsed="false">
      <c r="A689" s="36" t="s">
        <v>1130</v>
      </c>
      <c r="B689" s="36" t="s">
        <v>956</v>
      </c>
      <c r="C689" s="36" t="s">
        <v>156</v>
      </c>
      <c r="D689" s="36" t="s">
        <v>437</v>
      </c>
      <c r="E689" s="36" t="n">
        <v>2</v>
      </c>
      <c r="F689" s="36" t="n">
        <v>330</v>
      </c>
      <c r="G689" s="36" t="s">
        <v>251</v>
      </c>
      <c r="H689" s="36" t="s">
        <v>247</v>
      </c>
    </row>
    <row r="690" customFormat="false" ht="15" hidden="false" customHeight="false" outlineLevel="0" collapsed="false">
      <c r="A690" s="36" t="s">
        <v>1131</v>
      </c>
      <c r="B690" s="36" t="s">
        <v>956</v>
      </c>
      <c r="C690" s="36" t="s">
        <v>46</v>
      </c>
      <c r="D690" s="36" t="s">
        <v>492</v>
      </c>
      <c r="E690" s="36" t="n">
        <v>2</v>
      </c>
      <c r="F690" s="36" t="s">
        <v>369</v>
      </c>
      <c r="G690" s="36" t="s">
        <v>267</v>
      </c>
      <c r="H690" s="36" t="s">
        <v>140</v>
      </c>
    </row>
    <row r="691" customFormat="false" ht="15" hidden="false" customHeight="false" outlineLevel="0" collapsed="false">
      <c r="A691" s="36" t="s">
        <v>1132</v>
      </c>
      <c r="B691" s="36" t="s">
        <v>535</v>
      </c>
      <c r="C691" s="36" t="s">
        <v>46</v>
      </c>
      <c r="D691" s="36" t="s">
        <v>258</v>
      </c>
      <c r="E691" s="36" t="n">
        <v>2</v>
      </c>
      <c r="F691" s="36" t="s">
        <v>259</v>
      </c>
      <c r="G691" s="36" t="s">
        <v>246</v>
      </c>
      <c r="H691" s="36" t="s">
        <v>146</v>
      </c>
    </row>
    <row r="692" customFormat="false" ht="15" hidden="false" customHeight="false" outlineLevel="0" collapsed="false">
      <c r="A692" s="36" t="s">
        <v>1133</v>
      </c>
      <c r="B692" s="36" t="s">
        <v>956</v>
      </c>
      <c r="C692" s="36" t="s">
        <v>442</v>
      </c>
      <c r="D692" s="36" t="s">
        <v>390</v>
      </c>
      <c r="E692" s="36" t="n">
        <v>2</v>
      </c>
      <c r="F692" s="36" t="s">
        <v>245</v>
      </c>
      <c r="G692" s="36" t="s">
        <v>246</v>
      </c>
      <c r="H692" s="36" t="s">
        <v>141</v>
      </c>
    </row>
    <row r="693" customFormat="false" ht="15" hidden="false" customHeight="false" outlineLevel="0" collapsed="false">
      <c r="A693" s="36" t="s">
        <v>1134</v>
      </c>
      <c r="B693" s="36" t="s">
        <v>535</v>
      </c>
      <c r="C693" s="36" t="s">
        <v>46</v>
      </c>
      <c r="D693" s="36" t="s">
        <v>390</v>
      </c>
      <c r="E693" s="36" t="n">
        <v>1</v>
      </c>
      <c r="F693" s="36" t="s">
        <v>292</v>
      </c>
      <c r="G693" s="36" t="s">
        <v>260</v>
      </c>
      <c r="H693" s="36" t="s">
        <v>131</v>
      </c>
    </row>
    <row r="694" customFormat="false" ht="15" hidden="false" customHeight="false" outlineLevel="0" collapsed="false">
      <c r="A694" s="36" t="s">
        <v>1135</v>
      </c>
      <c r="B694" s="36" t="s">
        <v>956</v>
      </c>
      <c r="C694" s="36" t="s">
        <v>448</v>
      </c>
      <c r="D694" s="36" t="s">
        <v>183</v>
      </c>
      <c r="E694" s="36" t="n">
        <v>2</v>
      </c>
      <c r="F694" s="36" t="s">
        <v>269</v>
      </c>
      <c r="G694" s="36" t="s">
        <v>243</v>
      </c>
      <c r="H694" s="36" t="s">
        <v>131</v>
      </c>
    </row>
    <row r="695" customFormat="false" ht="15" hidden="false" customHeight="false" outlineLevel="0" collapsed="false">
      <c r="A695" s="36" t="s">
        <v>1136</v>
      </c>
      <c r="B695" s="36" t="s">
        <v>956</v>
      </c>
      <c r="C695" s="36" t="s">
        <v>46</v>
      </c>
      <c r="D695" s="36" t="s">
        <v>169</v>
      </c>
      <c r="E695" s="36" t="n">
        <v>4</v>
      </c>
      <c r="F695" s="36" t="n">
        <v>65</v>
      </c>
      <c r="G695" s="36" t="s">
        <v>263</v>
      </c>
      <c r="H695" s="36" t="s">
        <v>141</v>
      </c>
    </row>
    <row r="696" customFormat="false" ht="15" hidden="false" customHeight="false" outlineLevel="0" collapsed="false">
      <c r="A696" s="36" t="s">
        <v>1137</v>
      </c>
      <c r="B696" s="36" t="s">
        <v>535</v>
      </c>
      <c r="C696" s="36" t="s">
        <v>46</v>
      </c>
      <c r="D696" s="36" t="s">
        <v>233</v>
      </c>
      <c r="E696" s="36" t="n">
        <v>3</v>
      </c>
      <c r="F696" s="36" t="n">
        <v>130</v>
      </c>
      <c r="G696" s="36" t="s">
        <v>263</v>
      </c>
      <c r="H696" s="36" t="s">
        <v>321</v>
      </c>
    </row>
    <row r="697" customFormat="false" ht="15" hidden="false" customHeight="false" outlineLevel="0" collapsed="false">
      <c r="A697" s="36" t="s">
        <v>1138</v>
      </c>
      <c r="B697" s="36" t="s">
        <v>535</v>
      </c>
      <c r="C697" s="36" t="s">
        <v>46</v>
      </c>
      <c r="D697" s="36" t="s">
        <v>197</v>
      </c>
      <c r="E697" s="36" t="n">
        <v>1</v>
      </c>
      <c r="F697" s="36" t="s">
        <v>344</v>
      </c>
      <c r="G697" s="36" t="s">
        <v>251</v>
      </c>
      <c r="H697" s="36" t="s">
        <v>146</v>
      </c>
    </row>
    <row r="698" customFormat="false" ht="15" hidden="false" customHeight="false" outlineLevel="0" collapsed="false">
      <c r="A698" s="36" t="s">
        <v>1139</v>
      </c>
      <c r="B698" s="36" t="s">
        <v>535</v>
      </c>
      <c r="C698" s="36" t="s">
        <v>46</v>
      </c>
      <c r="D698" s="36" t="s">
        <v>1018</v>
      </c>
      <c r="E698" s="36" t="n">
        <v>1</v>
      </c>
      <c r="F698" s="36" t="s">
        <v>457</v>
      </c>
      <c r="G698" s="36" t="s">
        <v>267</v>
      </c>
      <c r="H698" s="36" t="s">
        <v>321</v>
      </c>
    </row>
    <row r="699" customFormat="false" ht="15" hidden="false" customHeight="false" outlineLevel="0" collapsed="false">
      <c r="A699" s="36" t="s">
        <v>1140</v>
      </c>
      <c r="B699" s="36" t="s">
        <v>956</v>
      </c>
      <c r="C699" s="36" t="s">
        <v>46</v>
      </c>
      <c r="D699" s="36" t="s">
        <v>219</v>
      </c>
      <c r="E699" s="36" t="n">
        <v>1</v>
      </c>
      <c r="F699" s="36" t="s">
        <v>272</v>
      </c>
      <c r="G699" s="36" t="s">
        <v>263</v>
      </c>
      <c r="H699" s="36" t="s">
        <v>247</v>
      </c>
    </row>
    <row r="700" customFormat="false" ht="15" hidden="false" customHeight="false" outlineLevel="0" collapsed="false">
      <c r="A700" s="36" t="s">
        <v>1141</v>
      </c>
      <c r="B700" s="36" t="s">
        <v>589</v>
      </c>
      <c r="C700" s="36" t="s">
        <v>254</v>
      </c>
      <c r="D700" s="36" t="s">
        <v>1086</v>
      </c>
      <c r="E700" s="36" t="n">
        <v>2</v>
      </c>
      <c r="F700" s="36" t="n">
        <v>85</v>
      </c>
      <c r="G700" s="36" t="s">
        <v>263</v>
      </c>
      <c r="H700" s="36" t="s">
        <v>132</v>
      </c>
    </row>
    <row r="701" customFormat="false" ht="15" hidden="false" customHeight="false" outlineLevel="0" collapsed="false">
      <c r="A701" s="36" t="s">
        <v>1142</v>
      </c>
      <c r="B701" s="36" t="s">
        <v>903</v>
      </c>
      <c r="C701" s="36" t="s">
        <v>241</v>
      </c>
      <c r="D701" s="36" t="s">
        <v>160</v>
      </c>
      <c r="E701" s="36" t="n">
        <v>2</v>
      </c>
      <c r="F701" s="36" t="s">
        <v>505</v>
      </c>
      <c r="G701" s="36" t="s">
        <v>251</v>
      </c>
      <c r="H701" s="36" t="s">
        <v>141</v>
      </c>
    </row>
    <row r="702" customFormat="false" ht="15" hidden="false" customHeight="false" outlineLevel="0" collapsed="false">
      <c r="A702" s="36" t="s">
        <v>1143</v>
      </c>
      <c r="B702" s="36" t="s">
        <v>589</v>
      </c>
      <c r="C702" s="36" t="s">
        <v>294</v>
      </c>
      <c r="D702" s="36" t="s">
        <v>798</v>
      </c>
      <c r="E702" s="36" t="n">
        <v>1</v>
      </c>
      <c r="F702" s="36" t="n">
        <v>130</v>
      </c>
      <c r="G702" s="36" t="s">
        <v>263</v>
      </c>
      <c r="H702" s="36" t="s">
        <v>141</v>
      </c>
    </row>
    <row r="703" customFormat="false" ht="15" hidden="false" customHeight="false" outlineLevel="0" collapsed="false">
      <c r="A703" s="36" t="s">
        <v>1144</v>
      </c>
      <c r="B703" s="36" t="s">
        <v>589</v>
      </c>
      <c r="C703" s="36" t="s">
        <v>249</v>
      </c>
      <c r="D703" s="36" t="s">
        <v>184</v>
      </c>
      <c r="E703" s="36" t="n">
        <v>3</v>
      </c>
      <c r="F703" s="36" t="n">
        <v>160</v>
      </c>
      <c r="G703" s="36" t="s">
        <v>263</v>
      </c>
      <c r="H703" s="36" t="s">
        <v>141</v>
      </c>
    </row>
    <row r="704" customFormat="false" ht="15" hidden="false" customHeight="false" outlineLevel="0" collapsed="false">
      <c r="A704" s="36" t="s">
        <v>1145</v>
      </c>
      <c r="B704" s="36" t="s">
        <v>903</v>
      </c>
      <c r="C704" s="36" t="s">
        <v>254</v>
      </c>
      <c r="D704" s="36" t="s">
        <v>492</v>
      </c>
      <c r="E704" s="36" t="n">
        <v>1</v>
      </c>
      <c r="F704" s="36" t="s">
        <v>369</v>
      </c>
      <c r="G704" s="36" t="s">
        <v>251</v>
      </c>
      <c r="H704" s="36" t="s">
        <v>247</v>
      </c>
    </row>
    <row r="705" customFormat="false" ht="15" hidden="false" customHeight="false" outlineLevel="0" collapsed="false">
      <c r="A705" s="36" t="s">
        <v>1146</v>
      </c>
      <c r="B705" s="36" t="s">
        <v>589</v>
      </c>
      <c r="C705" s="36" t="s">
        <v>294</v>
      </c>
      <c r="D705" s="36" t="s">
        <v>520</v>
      </c>
      <c r="E705" s="36" t="n">
        <v>3</v>
      </c>
      <c r="F705" s="36" t="n">
        <v>90</v>
      </c>
      <c r="G705" s="36" t="s">
        <v>260</v>
      </c>
      <c r="H705" s="36" t="s">
        <v>141</v>
      </c>
    </row>
    <row r="706" customFormat="false" ht="15" hidden="false" customHeight="false" outlineLevel="0" collapsed="false">
      <c r="A706" s="36" t="s">
        <v>1147</v>
      </c>
      <c r="B706" s="36" t="s">
        <v>589</v>
      </c>
      <c r="C706" s="36" t="s">
        <v>130</v>
      </c>
      <c r="D706" s="36" t="s">
        <v>151</v>
      </c>
      <c r="E706" s="36" t="n">
        <v>6</v>
      </c>
      <c r="F706" s="36" t="n">
        <v>330</v>
      </c>
      <c r="G706" s="36" t="s">
        <v>256</v>
      </c>
      <c r="H706" s="36" t="s">
        <v>141</v>
      </c>
    </row>
    <row r="707" customFormat="false" ht="15" hidden="false" customHeight="false" outlineLevel="0" collapsed="false">
      <c r="A707" s="36" t="s">
        <v>1148</v>
      </c>
      <c r="B707" s="36" t="s">
        <v>589</v>
      </c>
      <c r="C707" s="36" t="s">
        <v>294</v>
      </c>
      <c r="D707" s="36" t="s">
        <v>208</v>
      </c>
      <c r="E707" s="36" t="n">
        <v>3</v>
      </c>
      <c r="F707" s="36" t="s">
        <v>378</v>
      </c>
      <c r="G707" s="36" t="s">
        <v>260</v>
      </c>
      <c r="H707" s="36" t="s">
        <v>247</v>
      </c>
    </row>
    <row r="708" customFormat="false" ht="15" hidden="false" customHeight="false" outlineLevel="0" collapsed="false">
      <c r="A708" s="36" t="s">
        <v>1149</v>
      </c>
      <c r="B708" s="36" t="s">
        <v>589</v>
      </c>
      <c r="C708" s="36" t="s">
        <v>42</v>
      </c>
      <c r="D708" s="36" t="s">
        <v>250</v>
      </c>
      <c r="E708" s="36" t="n">
        <v>2</v>
      </c>
      <c r="F708" s="36" t="s">
        <v>759</v>
      </c>
      <c r="G708" s="36" t="s">
        <v>256</v>
      </c>
      <c r="H708" s="36" t="s">
        <v>141</v>
      </c>
    </row>
    <row r="709" customFormat="false" ht="15" hidden="false" customHeight="false" outlineLevel="0" collapsed="false">
      <c r="A709" s="36" t="s">
        <v>1150</v>
      </c>
      <c r="B709" s="36" t="s">
        <v>903</v>
      </c>
      <c r="C709" s="36" t="s">
        <v>254</v>
      </c>
      <c r="D709" s="36" t="s">
        <v>157</v>
      </c>
      <c r="E709" s="36" t="n">
        <v>6</v>
      </c>
      <c r="F709" s="36" t="s">
        <v>275</v>
      </c>
      <c r="G709" s="36" t="s">
        <v>251</v>
      </c>
      <c r="H709" s="36" t="s">
        <v>141</v>
      </c>
    </row>
    <row r="710" customFormat="false" ht="15" hidden="false" customHeight="false" outlineLevel="0" collapsed="false">
      <c r="A710" s="36" t="s">
        <v>1151</v>
      </c>
      <c r="B710" s="36" t="s">
        <v>589</v>
      </c>
      <c r="C710" s="36" t="s">
        <v>249</v>
      </c>
      <c r="D710" s="36" t="s">
        <v>299</v>
      </c>
      <c r="E710" s="36" t="n">
        <v>1</v>
      </c>
      <c r="F710" s="36" t="s">
        <v>344</v>
      </c>
      <c r="G710" s="36" t="s">
        <v>243</v>
      </c>
      <c r="H710" s="36" t="s">
        <v>146</v>
      </c>
    </row>
    <row r="711" customFormat="false" ht="15" hidden="false" customHeight="false" outlineLevel="0" collapsed="false">
      <c r="A711" s="36" t="s">
        <v>1152</v>
      </c>
      <c r="B711" s="36" t="s">
        <v>903</v>
      </c>
      <c r="C711" s="36" t="s">
        <v>42</v>
      </c>
      <c r="D711" s="36" t="s">
        <v>194</v>
      </c>
      <c r="E711" s="36" t="n">
        <v>1</v>
      </c>
      <c r="F711" s="36" t="n">
        <v>130</v>
      </c>
      <c r="G711" s="36" t="s">
        <v>263</v>
      </c>
      <c r="H711" s="36" t="s">
        <v>141</v>
      </c>
    </row>
    <row r="712" customFormat="false" ht="15" hidden="false" customHeight="false" outlineLevel="0" collapsed="false">
      <c r="A712" s="36" t="s">
        <v>1153</v>
      </c>
      <c r="B712" s="36" t="s">
        <v>903</v>
      </c>
      <c r="C712" s="36" t="s">
        <v>254</v>
      </c>
      <c r="D712" s="36" t="s">
        <v>551</v>
      </c>
      <c r="E712" s="36" t="n">
        <v>1</v>
      </c>
      <c r="F712" s="36" t="n">
        <v>190</v>
      </c>
      <c r="G712" s="36" t="s">
        <v>246</v>
      </c>
      <c r="H712" s="36" t="s">
        <v>141</v>
      </c>
    </row>
    <row r="713" customFormat="false" ht="15" hidden="false" customHeight="false" outlineLevel="0" collapsed="false">
      <c r="A713" s="36" t="s">
        <v>1154</v>
      </c>
      <c r="B713" s="36" t="s">
        <v>903</v>
      </c>
      <c r="C713" s="36" t="s">
        <v>130</v>
      </c>
      <c r="D713" s="36" t="s">
        <v>204</v>
      </c>
      <c r="E713" s="36" t="n">
        <v>1</v>
      </c>
      <c r="F713" s="36" t="s">
        <v>255</v>
      </c>
      <c r="G713" s="36" t="s">
        <v>251</v>
      </c>
      <c r="H713" s="36" t="s">
        <v>146</v>
      </c>
    </row>
    <row r="714" customFormat="false" ht="15" hidden="false" customHeight="false" outlineLevel="0" collapsed="false">
      <c r="A714" s="36" t="s">
        <v>1155</v>
      </c>
      <c r="B714" s="36" t="s">
        <v>589</v>
      </c>
      <c r="C714" s="36" t="s">
        <v>130</v>
      </c>
      <c r="D714" s="36" t="s">
        <v>138</v>
      </c>
      <c r="E714" s="36" t="n">
        <v>6</v>
      </c>
      <c r="F714" s="36" t="n">
        <v>420</v>
      </c>
      <c r="G714" s="36" t="s">
        <v>251</v>
      </c>
      <c r="H714" s="36" t="s">
        <v>132</v>
      </c>
    </row>
    <row r="715" customFormat="false" ht="15" hidden="false" customHeight="false" outlineLevel="0" collapsed="false">
      <c r="A715" s="36" t="s">
        <v>1156</v>
      </c>
      <c r="B715" s="36" t="s">
        <v>903</v>
      </c>
      <c r="C715" s="36" t="s">
        <v>241</v>
      </c>
      <c r="D715" s="36" t="s">
        <v>159</v>
      </c>
      <c r="E715" s="36" t="n">
        <v>1</v>
      </c>
      <c r="F715" s="36" t="s">
        <v>275</v>
      </c>
      <c r="G715" s="36" t="s">
        <v>270</v>
      </c>
      <c r="H715" s="36" t="s">
        <v>306</v>
      </c>
    </row>
    <row r="716" customFormat="false" ht="15" hidden="false" customHeight="false" outlineLevel="0" collapsed="false">
      <c r="A716" s="36" t="s">
        <v>1157</v>
      </c>
      <c r="B716" s="36" t="s">
        <v>903</v>
      </c>
      <c r="C716" s="36" t="s">
        <v>130</v>
      </c>
      <c r="D716" s="36" t="s">
        <v>226</v>
      </c>
      <c r="E716" s="36" t="n">
        <v>1</v>
      </c>
      <c r="F716" s="36" t="n">
        <v>350</v>
      </c>
      <c r="G716" s="36" t="s">
        <v>243</v>
      </c>
      <c r="H716" s="36" t="s">
        <v>321</v>
      </c>
    </row>
    <row r="717" customFormat="false" ht="15" hidden="false" customHeight="false" outlineLevel="0" collapsed="false">
      <c r="A717" s="36" t="s">
        <v>1158</v>
      </c>
      <c r="B717" s="36" t="s">
        <v>903</v>
      </c>
      <c r="C717" s="36" t="s">
        <v>294</v>
      </c>
      <c r="D717" s="36" t="s">
        <v>1159</v>
      </c>
      <c r="E717" s="36" t="n">
        <v>4</v>
      </c>
      <c r="F717" s="36" t="s">
        <v>936</v>
      </c>
      <c r="G717" s="36" t="s">
        <v>270</v>
      </c>
      <c r="H717" s="36" t="s">
        <v>132</v>
      </c>
    </row>
    <row r="718" customFormat="false" ht="15" hidden="false" customHeight="false" outlineLevel="0" collapsed="false">
      <c r="A718" s="36" t="s">
        <v>1160</v>
      </c>
      <c r="B718" s="36" t="s">
        <v>903</v>
      </c>
      <c r="C718" s="36" t="s">
        <v>42</v>
      </c>
      <c r="D718" s="36" t="s">
        <v>217</v>
      </c>
      <c r="E718" s="36" t="n">
        <v>3</v>
      </c>
      <c r="F718" s="36" t="s">
        <v>422</v>
      </c>
      <c r="G718" s="36" t="s">
        <v>270</v>
      </c>
      <c r="H718" s="36" t="s">
        <v>131</v>
      </c>
    </row>
    <row r="719" customFormat="false" ht="15" hidden="false" customHeight="false" outlineLevel="0" collapsed="false">
      <c r="A719" s="36" t="s">
        <v>1161</v>
      </c>
      <c r="B719" s="36" t="s">
        <v>589</v>
      </c>
      <c r="C719" s="36" t="s">
        <v>130</v>
      </c>
      <c r="D719" s="36" t="s">
        <v>297</v>
      </c>
      <c r="E719" s="36" t="n">
        <v>2</v>
      </c>
      <c r="F719" s="36" t="s">
        <v>283</v>
      </c>
      <c r="G719" s="36" t="s">
        <v>256</v>
      </c>
      <c r="H719" s="36" t="s">
        <v>141</v>
      </c>
    </row>
    <row r="720" customFormat="false" ht="15" hidden="false" customHeight="false" outlineLevel="0" collapsed="false">
      <c r="A720" s="36" t="s">
        <v>1162</v>
      </c>
      <c r="B720" s="36" t="s">
        <v>589</v>
      </c>
      <c r="C720" s="36" t="s">
        <v>241</v>
      </c>
      <c r="D720" s="36" t="s">
        <v>142</v>
      </c>
      <c r="E720" s="36" t="n">
        <v>1</v>
      </c>
      <c r="F720" s="36" t="n">
        <v>420</v>
      </c>
      <c r="G720" s="36" t="s">
        <v>251</v>
      </c>
      <c r="H720" s="36" t="s">
        <v>140</v>
      </c>
    </row>
    <row r="721" customFormat="false" ht="15" hidden="false" customHeight="false" outlineLevel="0" collapsed="false">
      <c r="A721" s="36" t="s">
        <v>1163</v>
      </c>
      <c r="B721" s="37" t="n">
        <v>46270</v>
      </c>
      <c r="C721" s="36" t="s">
        <v>254</v>
      </c>
      <c r="D721" s="36" t="s">
        <v>161</v>
      </c>
      <c r="E721" s="36" t="n">
        <v>2</v>
      </c>
      <c r="F721" s="36" t="n">
        <v>40</v>
      </c>
      <c r="G721" s="36" t="s">
        <v>267</v>
      </c>
      <c r="H721" s="36" t="s">
        <v>132</v>
      </c>
    </row>
    <row r="722" customFormat="false" ht="15" hidden="false" customHeight="false" outlineLevel="0" collapsed="false">
      <c r="A722" s="36" t="s">
        <v>1164</v>
      </c>
      <c r="B722" s="36" t="s">
        <v>903</v>
      </c>
      <c r="C722" s="36" t="s">
        <v>42</v>
      </c>
      <c r="D722" s="36" t="s">
        <v>170</v>
      </c>
      <c r="E722" s="36" t="n">
        <v>4</v>
      </c>
      <c r="F722" s="36" t="s">
        <v>339</v>
      </c>
      <c r="G722" s="36" t="s">
        <v>243</v>
      </c>
      <c r="H722" s="36" t="s">
        <v>141</v>
      </c>
    </row>
    <row r="723" customFormat="false" ht="15" hidden="false" customHeight="false" outlineLevel="0" collapsed="false">
      <c r="A723" s="36" t="s">
        <v>1165</v>
      </c>
      <c r="B723" s="36" t="s">
        <v>589</v>
      </c>
      <c r="C723" s="36" t="s">
        <v>42</v>
      </c>
      <c r="D723" s="36" t="s">
        <v>233</v>
      </c>
      <c r="E723" s="36" t="n">
        <v>2</v>
      </c>
      <c r="F723" s="36" t="s">
        <v>255</v>
      </c>
      <c r="G723" s="36" t="s">
        <v>256</v>
      </c>
      <c r="H723" s="36" t="s">
        <v>132</v>
      </c>
    </row>
    <row r="724" customFormat="false" ht="15" hidden="false" customHeight="false" outlineLevel="0" collapsed="false">
      <c r="A724" s="36" t="s">
        <v>1166</v>
      </c>
      <c r="B724" s="36" t="s">
        <v>589</v>
      </c>
      <c r="C724" s="36" t="s">
        <v>42</v>
      </c>
      <c r="D724" s="36" t="s">
        <v>646</v>
      </c>
      <c r="E724" s="36" t="n">
        <v>6</v>
      </c>
      <c r="F724" s="36" t="s">
        <v>245</v>
      </c>
      <c r="G724" s="36" t="s">
        <v>251</v>
      </c>
      <c r="H724" s="36" t="s">
        <v>321</v>
      </c>
    </row>
    <row r="725" customFormat="false" ht="15" hidden="false" customHeight="false" outlineLevel="0" collapsed="false">
      <c r="A725" s="36" t="s">
        <v>588</v>
      </c>
      <c r="B725" s="36" t="s">
        <v>589</v>
      </c>
      <c r="C725" s="36" t="s">
        <v>42</v>
      </c>
      <c r="D725" s="36" t="s">
        <v>178</v>
      </c>
      <c r="E725" s="36" t="n">
        <v>1</v>
      </c>
      <c r="F725" s="36" t="s">
        <v>378</v>
      </c>
      <c r="G725" s="36" t="s">
        <v>263</v>
      </c>
      <c r="H725" s="36" t="s">
        <v>140</v>
      </c>
    </row>
    <row r="726" customFormat="false" ht="15" hidden="false" customHeight="false" outlineLevel="0" collapsed="false">
      <c r="A726" s="36" t="s">
        <v>1167</v>
      </c>
      <c r="B726" s="36" t="s">
        <v>903</v>
      </c>
      <c r="C726" s="36" t="s">
        <v>294</v>
      </c>
      <c r="D726" s="36" t="s">
        <v>233</v>
      </c>
      <c r="E726" s="36" t="n">
        <v>1</v>
      </c>
      <c r="F726" s="36" t="s">
        <v>420</v>
      </c>
      <c r="G726" s="36" t="s">
        <v>260</v>
      </c>
      <c r="H726" s="36" t="s">
        <v>247</v>
      </c>
    </row>
    <row r="727" customFormat="false" ht="15" hidden="false" customHeight="false" outlineLevel="0" collapsed="false">
      <c r="A727" s="36" t="s">
        <v>902</v>
      </c>
      <c r="B727" s="36" t="s">
        <v>903</v>
      </c>
      <c r="C727" s="36" t="s">
        <v>294</v>
      </c>
      <c r="D727" s="36" t="s">
        <v>161</v>
      </c>
      <c r="E727" s="36" t="n">
        <v>6</v>
      </c>
      <c r="F727" s="36" t="s">
        <v>363</v>
      </c>
      <c r="G727" s="36" t="s">
        <v>270</v>
      </c>
      <c r="H727" s="36" t="s">
        <v>247</v>
      </c>
    </row>
    <row r="728" customFormat="false" ht="15" hidden="false" customHeight="false" outlineLevel="0" collapsed="false">
      <c r="A728" s="36" t="s">
        <v>1168</v>
      </c>
      <c r="B728" s="37" t="n">
        <v>46270</v>
      </c>
      <c r="C728" s="36" t="s">
        <v>249</v>
      </c>
      <c r="D728" s="36" t="s">
        <v>1159</v>
      </c>
      <c r="E728" s="36" t="n">
        <v>2</v>
      </c>
      <c r="F728" s="36" t="s">
        <v>936</v>
      </c>
      <c r="G728" s="36" t="s">
        <v>260</v>
      </c>
      <c r="H728" s="36" t="s">
        <v>247</v>
      </c>
    </row>
    <row r="729" customFormat="false" ht="15" hidden="false" customHeight="false" outlineLevel="0" collapsed="false">
      <c r="A729" s="36" t="s">
        <v>1169</v>
      </c>
      <c r="B729" s="36" t="s">
        <v>903</v>
      </c>
      <c r="C729" s="36" t="s">
        <v>42</v>
      </c>
      <c r="D729" s="36" t="s">
        <v>197</v>
      </c>
      <c r="E729" s="36" t="n">
        <v>3</v>
      </c>
      <c r="F729" s="36" t="n">
        <v>60</v>
      </c>
      <c r="G729" s="36" t="s">
        <v>267</v>
      </c>
      <c r="H729" s="36" t="s">
        <v>321</v>
      </c>
    </row>
    <row r="730" customFormat="false" ht="15" hidden="false" customHeight="false" outlineLevel="0" collapsed="false">
      <c r="A730" s="36" t="s">
        <v>1170</v>
      </c>
      <c r="B730" s="36" t="s">
        <v>589</v>
      </c>
      <c r="C730" s="36" t="s">
        <v>130</v>
      </c>
      <c r="D730" s="36" t="s">
        <v>757</v>
      </c>
      <c r="E730" s="36" t="n">
        <v>2</v>
      </c>
      <c r="F730" s="36" t="s">
        <v>1171</v>
      </c>
      <c r="G730" s="36" t="s">
        <v>251</v>
      </c>
      <c r="H730" s="36" t="s">
        <v>321</v>
      </c>
    </row>
    <row r="731" customFormat="false" ht="15" hidden="false" customHeight="false" outlineLevel="0" collapsed="false">
      <c r="A731" s="36" t="s">
        <v>1172</v>
      </c>
      <c r="B731" s="36" t="s">
        <v>903</v>
      </c>
      <c r="C731" s="36" t="s">
        <v>249</v>
      </c>
      <c r="D731" s="36" t="s">
        <v>492</v>
      </c>
      <c r="E731" s="36" t="n">
        <v>1</v>
      </c>
      <c r="F731" s="36" t="n">
        <v>65</v>
      </c>
      <c r="G731" s="36" t="s">
        <v>256</v>
      </c>
      <c r="H731" s="36" t="s">
        <v>132</v>
      </c>
    </row>
    <row r="732" customFormat="false" ht="15" hidden="false" customHeight="false" outlineLevel="0" collapsed="false">
      <c r="A732" s="36" t="s">
        <v>1173</v>
      </c>
      <c r="B732" s="36" t="s">
        <v>903</v>
      </c>
      <c r="C732" s="36" t="s">
        <v>249</v>
      </c>
      <c r="D732" s="36" t="s">
        <v>625</v>
      </c>
      <c r="E732" s="36" t="n">
        <v>1</v>
      </c>
      <c r="F732" s="36" t="s">
        <v>255</v>
      </c>
      <c r="G732" s="36" t="s">
        <v>243</v>
      </c>
      <c r="H732" s="36" t="s">
        <v>132</v>
      </c>
    </row>
    <row r="733" customFormat="false" ht="15" hidden="false" customHeight="false" outlineLevel="0" collapsed="false">
      <c r="A733" s="36" t="s">
        <v>1174</v>
      </c>
      <c r="B733" s="36" t="s">
        <v>903</v>
      </c>
      <c r="C733" s="36" t="s">
        <v>254</v>
      </c>
      <c r="D733" s="36" t="s">
        <v>158</v>
      </c>
      <c r="E733" s="36" t="n">
        <v>6</v>
      </c>
      <c r="F733" s="36" t="n">
        <v>65</v>
      </c>
      <c r="G733" s="36" t="s">
        <v>251</v>
      </c>
      <c r="H733" s="36" t="s">
        <v>131</v>
      </c>
    </row>
    <row r="734" customFormat="false" ht="15" hidden="false" customHeight="false" outlineLevel="0" collapsed="false">
      <c r="A734" s="36" t="s">
        <v>1175</v>
      </c>
      <c r="B734" s="36" t="s">
        <v>903</v>
      </c>
      <c r="C734" s="36" t="s">
        <v>294</v>
      </c>
      <c r="D734" s="36" t="s">
        <v>167</v>
      </c>
      <c r="E734" s="36" t="n">
        <v>2</v>
      </c>
      <c r="F734" s="36" t="n">
        <v>110</v>
      </c>
      <c r="G734" s="36" t="s">
        <v>267</v>
      </c>
      <c r="H734" s="36" t="s">
        <v>146</v>
      </c>
    </row>
    <row r="735" customFormat="false" ht="15" hidden="false" customHeight="false" outlineLevel="0" collapsed="false">
      <c r="A735" s="36" t="s">
        <v>1176</v>
      </c>
      <c r="B735" s="36" t="s">
        <v>589</v>
      </c>
      <c r="C735" s="36" t="s">
        <v>42</v>
      </c>
      <c r="D735" s="36" t="s">
        <v>1177</v>
      </c>
      <c r="E735" s="36" t="n">
        <v>2</v>
      </c>
      <c r="F735" s="36" t="n">
        <v>378</v>
      </c>
      <c r="G735" s="36" t="s">
        <v>243</v>
      </c>
      <c r="H735" s="36" t="s">
        <v>132</v>
      </c>
    </row>
    <row r="736" customFormat="false" ht="15" hidden="false" customHeight="false" outlineLevel="0" collapsed="false">
      <c r="A736" s="36" t="s">
        <v>1178</v>
      </c>
      <c r="B736" s="36" t="s">
        <v>903</v>
      </c>
      <c r="C736" s="36" t="s">
        <v>241</v>
      </c>
      <c r="D736" s="36" t="s">
        <v>1018</v>
      </c>
      <c r="E736" s="36" t="n">
        <v>1</v>
      </c>
      <c r="F736" s="36" t="n">
        <v>65</v>
      </c>
      <c r="G736" s="36" t="s">
        <v>270</v>
      </c>
      <c r="H736" s="36" t="s">
        <v>247</v>
      </c>
    </row>
    <row r="737" customFormat="false" ht="15" hidden="false" customHeight="false" outlineLevel="0" collapsed="false">
      <c r="A737" s="36" t="s">
        <v>1179</v>
      </c>
      <c r="B737" s="36" t="s">
        <v>589</v>
      </c>
      <c r="C737" s="36" t="s">
        <v>249</v>
      </c>
      <c r="D737" s="36" t="s">
        <v>207</v>
      </c>
      <c r="E737" s="36" t="n">
        <v>2</v>
      </c>
      <c r="F737" s="36" t="s">
        <v>378</v>
      </c>
      <c r="G737" s="36" t="s">
        <v>267</v>
      </c>
      <c r="H737" s="36" t="s">
        <v>145</v>
      </c>
    </row>
    <row r="738" customFormat="false" ht="15" hidden="false" customHeight="false" outlineLevel="0" collapsed="false">
      <c r="A738" s="36" t="s">
        <v>1180</v>
      </c>
      <c r="B738" s="36" t="s">
        <v>903</v>
      </c>
      <c r="C738" s="36" t="s">
        <v>294</v>
      </c>
      <c r="D738" s="36" t="s">
        <v>361</v>
      </c>
      <c r="E738" s="36" t="n">
        <v>1</v>
      </c>
      <c r="F738" s="36" t="n">
        <v>330</v>
      </c>
      <c r="G738" s="36" t="s">
        <v>243</v>
      </c>
      <c r="H738" s="36" t="s">
        <v>308</v>
      </c>
    </row>
    <row r="739" customFormat="false" ht="15" hidden="false" customHeight="false" outlineLevel="0" collapsed="false">
      <c r="A739" s="36" t="s">
        <v>1181</v>
      </c>
      <c r="B739" s="36" t="s">
        <v>903</v>
      </c>
      <c r="C739" s="36" t="s">
        <v>130</v>
      </c>
      <c r="D739" s="36" t="s">
        <v>151</v>
      </c>
      <c r="E739" s="36" t="n">
        <v>6</v>
      </c>
      <c r="F739" s="36" t="s">
        <v>275</v>
      </c>
      <c r="G739" s="36" t="s">
        <v>263</v>
      </c>
      <c r="H739" s="36" t="s">
        <v>132</v>
      </c>
    </row>
    <row r="740" customFormat="false" ht="15" hidden="false" customHeight="false" outlineLevel="0" collapsed="false">
      <c r="A740" s="36" t="s">
        <v>1182</v>
      </c>
      <c r="B740" s="36" t="s">
        <v>589</v>
      </c>
      <c r="C740" s="36" t="s">
        <v>130</v>
      </c>
      <c r="D740" s="36" t="s">
        <v>168</v>
      </c>
      <c r="E740" s="36" t="n">
        <v>3</v>
      </c>
      <c r="F740" s="36" t="n">
        <v>150</v>
      </c>
      <c r="G740" s="36" t="s">
        <v>243</v>
      </c>
      <c r="H740" s="36" t="s">
        <v>132</v>
      </c>
    </row>
    <row r="741" customFormat="false" ht="15" hidden="false" customHeight="false" outlineLevel="0" collapsed="false">
      <c r="A741" s="36" t="s">
        <v>1183</v>
      </c>
      <c r="B741" s="36" t="s">
        <v>589</v>
      </c>
      <c r="C741" s="36" t="s">
        <v>254</v>
      </c>
      <c r="D741" s="36" t="s">
        <v>143</v>
      </c>
      <c r="E741" s="36" t="n">
        <v>3</v>
      </c>
      <c r="F741" s="36" t="s">
        <v>380</v>
      </c>
      <c r="G741" s="36" t="s">
        <v>263</v>
      </c>
      <c r="H741" s="36" t="s">
        <v>247</v>
      </c>
    </row>
    <row r="742" customFormat="false" ht="15" hidden="false" customHeight="false" outlineLevel="0" collapsed="false">
      <c r="A742" s="36" t="s">
        <v>1184</v>
      </c>
      <c r="B742" s="36" t="s">
        <v>903</v>
      </c>
      <c r="C742" s="36" t="s">
        <v>249</v>
      </c>
      <c r="D742" s="36" t="s">
        <v>211</v>
      </c>
      <c r="E742" s="36" t="n">
        <v>3</v>
      </c>
      <c r="F742" s="36" t="n">
        <v>380</v>
      </c>
      <c r="G742" s="36" t="s">
        <v>270</v>
      </c>
      <c r="H742" s="36" t="s">
        <v>146</v>
      </c>
    </row>
    <row r="743" customFormat="false" ht="15" hidden="false" customHeight="false" outlineLevel="0" collapsed="false">
      <c r="A743" s="36" t="s">
        <v>1185</v>
      </c>
      <c r="B743" s="36" t="s">
        <v>589</v>
      </c>
      <c r="C743" s="36" t="s">
        <v>254</v>
      </c>
      <c r="D743" s="36" t="s">
        <v>142</v>
      </c>
      <c r="E743" s="36" t="n">
        <v>2</v>
      </c>
      <c r="F743" s="36" t="n">
        <v>420</v>
      </c>
      <c r="G743" s="36" t="s">
        <v>256</v>
      </c>
      <c r="H743" s="36" t="s">
        <v>247</v>
      </c>
    </row>
    <row r="744" customFormat="false" ht="15" hidden="false" customHeight="false" outlineLevel="0" collapsed="false">
      <c r="A744" s="36" t="s">
        <v>1186</v>
      </c>
      <c r="B744" s="36" t="s">
        <v>903</v>
      </c>
      <c r="C744" s="36" t="s">
        <v>42</v>
      </c>
      <c r="D744" s="36" t="s">
        <v>158</v>
      </c>
      <c r="E744" s="36" t="n">
        <v>2</v>
      </c>
      <c r="F744" s="36" t="s">
        <v>369</v>
      </c>
      <c r="G744" s="36" t="s">
        <v>246</v>
      </c>
      <c r="H744" s="36" t="s">
        <v>131</v>
      </c>
    </row>
    <row r="745" customFormat="false" ht="15" hidden="false" customHeight="false" outlineLevel="0" collapsed="false">
      <c r="A745" s="36" t="s">
        <v>1187</v>
      </c>
      <c r="B745" s="36" t="s">
        <v>903</v>
      </c>
      <c r="C745" s="36" t="s">
        <v>241</v>
      </c>
      <c r="D745" s="36" t="s">
        <v>277</v>
      </c>
      <c r="E745" s="36" t="n">
        <v>2</v>
      </c>
      <c r="F745" s="36" t="s">
        <v>1188</v>
      </c>
      <c r="G745" s="36" t="s">
        <v>251</v>
      </c>
      <c r="H745" s="36" t="s">
        <v>140</v>
      </c>
    </row>
    <row r="746" customFormat="false" ht="15" hidden="false" customHeight="false" outlineLevel="0" collapsed="false">
      <c r="A746" s="36" t="s">
        <v>1189</v>
      </c>
      <c r="B746" s="36" t="s">
        <v>903</v>
      </c>
      <c r="C746" s="36" t="s">
        <v>294</v>
      </c>
      <c r="D746" s="36" t="s">
        <v>151</v>
      </c>
      <c r="E746" s="36" t="n">
        <v>3</v>
      </c>
      <c r="F746" s="36" t="n">
        <v>330</v>
      </c>
      <c r="G746" s="36" t="s">
        <v>243</v>
      </c>
      <c r="H746" s="36" t="s">
        <v>132</v>
      </c>
    </row>
    <row r="747" customFormat="false" ht="15" hidden="false" customHeight="false" outlineLevel="0" collapsed="false">
      <c r="A747" s="36" t="s">
        <v>1190</v>
      </c>
      <c r="B747" s="36" t="s">
        <v>903</v>
      </c>
      <c r="C747" s="36" t="s">
        <v>241</v>
      </c>
      <c r="D747" s="36" t="s">
        <v>1086</v>
      </c>
      <c r="E747" s="36" t="n">
        <v>6</v>
      </c>
      <c r="F747" s="36" t="n">
        <v>85</v>
      </c>
      <c r="G747" s="36" t="s">
        <v>251</v>
      </c>
      <c r="H747" s="36" t="s">
        <v>141</v>
      </c>
    </row>
    <row r="748" customFormat="false" ht="15" hidden="false" customHeight="false" outlineLevel="0" collapsed="false">
      <c r="A748" s="36" t="s">
        <v>1191</v>
      </c>
      <c r="B748" s="36" t="s">
        <v>903</v>
      </c>
      <c r="C748" s="36" t="s">
        <v>42</v>
      </c>
      <c r="D748" s="36" t="s">
        <v>349</v>
      </c>
      <c r="E748" s="36" t="n">
        <v>6</v>
      </c>
      <c r="F748" s="36" t="n">
        <v>95</v>
      </c>
      <c r="G748" s="36" t="s">
        <v>260</v>
      </c>
      <c r="H748" s="36" t="s">
        <v>132</v>
      </c>
    </row>
    <row r="749" customFormat="false" ht="15" hidden="false" customHeight="false" outlineLevel="0" collapsed="false">
      <c r="A749" s="36" t="s">
        <v>1192</v>
      </c>
      <c r="B749" s="36" t="s">
        <v>589</v>
      </c>
      <c r="C749" s="36" t="s">
        <v>42</v>
      </c>
      <c r="D749" s="36" t="s">
        <v>171</v>
      </c>
      <c r="E749" s="36" t="n">
        <v>1</v>
      </c>
      <c r="F749" s="36" t="s">
        <v>369</v>
      </c>
      <c r="G749" s="36" t="s">
        <v>263</v>
      </c>
      <c r="H749" s="36" t="s">
        <v>247</v>
      </c>
    </row>
    <row r="750" customFormat="false" ht="15" hidden="false" customHeight="false" outlineLevel="0" collapsed="false">
      <c r="A750" s="36" t="s">
        <v>1193</v>
      </c>
      <c r="B750" s="36" t="s">
        <v>903</v>
      </c>
      <c r="C750" s="36" t="s">
        <v>254</v>
      </c>
      <c r="D750" s="36" t="s">
        <v>169</v>
      </c>
      <c r="E750" s="36" t="n">
        <v>3</v>
      </c>
      <c r="F750" s="36" t="s">
        <v>457</v>
      </c>
      <c r="G750" s="36" t="s">
        <v>246</v>
      </c>
      <c r="H750" s="36" t="s">
        <v>141</v>
      </c>
    </row>
    <row r="751" customFormat="false" ht="15" hidden="false" customHeight="false" outlineLevel="0" collapsed="false">
      <c r="A751" s="36" t="s">
        <v>1194</v>
      </c>
      <c r="B751" s="36" t="s">
        <v>589</v>
      </c>
      <c r="C751" s="36" t="s">
        <v>42</v>
      </c>
      <c r="D751" s="36" t="s">
        <v>342</v>
      </c>
      <c r="E751" s="36" t="n">
        <v>1</v>
      </c>
      <c r="F751" s="36" t="n">
        <v>60</v>
      </c>
      <c r="G751" s="36" t="s">
        <v>267</v>
      </c>
      <c r="H751" s="36" t="s">
        <v>132</v>
      </c>
    </row>
    <row r="752" customFormat="false" ht="15" hidden="false" customHeight="false" outlineLevel="0" collapsed="false">
      <c r="A752" s="36" t="s">
        <v>1195</v>
      </c>
      <c r="B752" s="36" t="s">
        <v>903</v>
      </c>
      <c r="C752" s="36" t="s">
        <v>294</v>
      </c>
      <c r="D752" s="36" t="s">
        <v>236</v>
      </c>
      <c r="E752" s="36" t="s">
        <v>282</v>
      </c>
      <c r="F752" s="36" t="s">
        <v>369</v>
      </c>
      <c r="G752" s="36" t="s">
        <v>270</v>
      </c>
      <c r="H752" s="36" t="s">
        <v>132</v>
      </c>
    </row>
    <row r="753" customFormat="false" ht="15" hidden="false" customHeight="false" outlineLevel="0" collapsed="false">
      <c r="A753" s="36" t="s">
        <v>1196</v>
      </c>
      <c r="B753" s="36" t="s">
        <v>903</v>
      </c>
      <c r="C753" s="36" t="s">
        <v>42</v>
      </c>
      <c r="D753" s="36" t="s">
        <v>166</v>
      </c>
      <c r="E753" s="36" t="n">
        <v>6</v>
      </c>
      <c r="F753" s="36" t="s">
        <v>269</v>
      </c>
      <c r="G753" s="36" t="s">
        <v>256</v>
      </c>
      <c r="H753" s="36" t="s">
        <v>141</v>
      </c>
    </row>
    <row r="754" customFormat="false" ht="15" hidden="false" customHeight="false" outlineLevel="0" collapsed="false">
      <c r="A754" s="36" t="s">
        <v>1197</v>
      </c>
      <c r="B754" s="36" t="s">
        <v>903</v>
      </c>
      <c r="C754" s="36" t="s">
        <v>249</v>
      </c>
      <c r="D754" s="36" t="s">
        <v>224</v>
      </c>
      <c r="E754" s="36" t="n">
        <v>1</v>
      </c>
      <c r="F754" s="36" t="n">
        <v>130</v>
      </c>
      <c r="G754" s="36" t="s">
        <v>260</v>
      </c>
      <c r="H754" s="36" t="s">
        <v>132</v>
      </c>
    </row>
    <row r="755" customFormat="false" ht="15" hidden="false" customHeight="false" outlineLevel="0" collapsed="false">
      <c r="A755" s="36" t="s">
        <v>1198</v>
      </c>
      <c r="B755" s="36" t="s">
        <v>903</v>
      </c>
      <c r="C755" s="36" t="s">
        <v>241</v>
      </c>
      <c r="D755" s="36" t="s">
        <v>566</v>
      </c>
      <c r="E755" s="36" t="n">
        <v>4</v>
      </c>
      <c r="F755" s="36" t="n">
        <v>310</v>
      </c>
      <c r="G755" s="36" t="s">
        <v>246</v>
      </c>
      <c r="H755" s="36" t="s">
        <v>308</v>
      </c>
    </row>
    <row r="756" customFormat="false" ht="15" hidden="false" customHeight="false" outlineLevel="0" collapsed="false">
      <c r="A756" s="36" t="s">
        <v>1199</v>
      </c>
      <c r="B756" s="36" t="s">
        <v>903</v>
      </c>
      <c r="C756" s="36" t="s">
        <v>130</v>
      </c>
      <c r="D756" s="36" t="s">
        <v>198</v>
      </c>
      <c r="E756" s="36" t="n">
        <v>6</v>
      </c>
      <c r="F756" s="36" t="s">
        <v>325</v>
      </c>
      <c r="G756" s="36" t="s">
        <v>260</v>
      </c>
      <c r="H756" s="36" t="s">
        <v>321</v>
      </c>
    </row>
    <row r="757" customFormat="false" ht="15" hidden="false" customHeight="false" outlineLevel="0" collapsed="false">
      <c r="A757" s="36" t="s">
        <v>1200</v>
      </c>
      <c r="B757" s="36" t="s">
        <v>903</v>
      </c>
      <c r="C757" s="36" t="s">
        <v>249</v>
      </c>
      <c r="D757" s="36" t="s">
        <v>198</v>
      </c>
      <c r="E757" s="36" t="n">
        <v>1</v>
      </c>
      <c r="F757" s="36" t="s">
        <v>1044</v>
      </c>
      <c r="G757" s="36" t="s">
        <v>246</v>
      </c>
      <c r="H757" s="36" t="s">
        <v>247</v>
      </c>
    </row>
    <row r="758" customFormat="false" ht="15" hidden="false" customHeight="false" outlineLevel="0" collapsed="false">
      <c r="A758" s="36" t="s">
        <v>1201</v>
      </c>
      <c r="B758" s="36" t="s">
        <v>589</v>
      </c>
      <c r="C758" s="36" t="s">
        <v>42</v>
      </c>
      <c r="D758" s="36" t="s">
        <v>148</v>
      </c>
      <c r="E758" s="36" t="n">
        <v>4</v>
      </c>
      <c r="F758" s="36" t="s">
        <v>275</v>
      </c>
      <c r="G758" s="36" t="s">
        <v>251</v>
      </c>
      <c r="H758" s="36" t="s">
        <v>145</v>
      </c>
    </row>
    <row r="759" customFormat="false" ht="15" hidden="false" customHeight="false" outlineLevel="0" collapsed="false">
      <c r="A759" s="36" t="s">
        <v>1202</v>
      </c>
      <c r="B759" s="36" t="s">
        <v>903</v>
      </c>
      <c r="C759" s="36" t="s">
        <v>42</v>
      </c>
      <c r="D759" s="36" t="s">
        <v>315</v>
      </c>
      <c r="E759" s="36" t="n">
        <v>1</v>
      </c>
      <c r="F759" s="36" t="n">
        <v>450</v>
      </c>
      <c r="G759" s="36" t="s">
        <v>267</v>
      </c>
      <c r="H759" s="36" t="s">
        <v>131</v>
      </c>
    </row>
    <row r="760" customFormat="false" ht="15" hidden="false" customHeight="false" outlineLevel="0" collapsed="false">
      <c r="A760" s="36" t="s">
        <v>1203</v>
      </c>
      <c r="B760" s="37" t="n">
        <v>46270</v>
      </c>
      <c r="C760" s="36" t="s">
        <v>254</v>
      </c>
      <c r="D760" s="36" t="s">
        <v>515</v>
      </c>
      <c r="E760" s="36" t="n">
        <v>1</v>
      </c>
      <c r="F760" s="36" t="n">
        <v>130</v>
      </c>
      <c r="G760" s="36" t="s">
        <v>270</v>
      </c>
      <c r="H760" s="36" t="s">
        <v>247</v>
      </c>
    </row>
    <row r="761" customFormat="false" ht="15" hidden="false" customHeight="false" outlineLevel="0" collapsed="false">
      <c r="A761" s="36" t="s">
        <v>1204</v>
      </c>
      <c r="B761" s="36" t="s">
        <v>589</v>
      </c>
      <c r="C761" s="36" t="s">
        <v>294</v>
      </c>
      <c r="D761" s="36" t="s">
        <v>1205</v>
      </c>
      <c r="E761" s="36" t="n">
        <v>1</v>
      </c>
      <c r="F761" s="36" t="n">
        <v>330</v>
      </c>
      <c r="G761" s="36" t="s">
        <v>263</v>
      </c>
      <c r="H761" s="36" t="s">
        <v>141</v>
      </c>
    </row>
    <row r="762" customFormat="false" ht="15" hidden="false" customHeight="false" outlineLevel="0" collapsed="false">
      <c r="A762" s="36" t="s">
        <v>1206</v>
      </c>
      <c r="B762" s="37" t="n">
        <v>46270</v>
      </c>
      <c r="C762" s="36" t="s">
        <v>43</v>
      </c>
      <c r="D762" s="36" t="s">
        <v>315</v>
      </c>
      <c r="E762" s="36" t="n">
        <v>1</v>
      </c>
      <c r="F762" s="36" t="s">
        <v>659</v>
      </c>
      <c r="G762" s="36" t="s">
        <v>246</v>
      </c>
      <c r="H762" s="36" t="s">
        <v>132</v>
      </c>
    </row>
    <row r="763" customFormat="false" ht="15" hidden="false" customHeight="false" outlineLevel="0" collapsed="false">
      <c r="A763" s="36" t="s">
        <v>1207</v>
      </c>
      <c r="B763" s="36" t="s">
        <v>589</v>
      </c>
      <c r="C763" s="36" t="s">
        <v>43</v>
      </c>
      <c r="D763" s="36" t="s">
        <v>349</v>
      </c>
      <c r="E763" s="36" t="n">
        <v>2</v>
      </c>
      <c r="F763" s="36" t="s">
        <v>325</v>
      </c>
      <c r="G763" s="36" t="s">
        <v>243</v>
      </c>
      <c r="H763" s="36" t="s">
        <v>140</v>
      </c>
    </row>
    <row r="764" customFormat="false" ht="15" hidden="false" customHeight="false" outlineLevel="0" collapsed="false">
      <c r="A764" s="36" t="s">
        <v>1208</v>
      </c>
      <c r="B764" s="36" t="s">
        <v>903</v>
      </c>
      <c r="C764" s="36" t="s">
        <v>139</v>
      </c>
      <c r="D764" s="36" t="s">
        <v>235</v>
      </c>
      <c r="E764" s="36" t="n">
        <v>2</v>
      </c>
      <c r="F764" s="36" t="s">
        <v>457</v>
      </c>
      <c r="G764" s="36" t="s">
        <v>251</v>
      </c>
      <c r="H764" s="36" t="s">
        <v>306</v>
      </c>
    </row>
    <row r="765" customFormat="false" ht="15" hidden="false" customHeight="false" outlineLevel="0" collapsed="false">
      <c r="A765" s="36" t="s">
        <v>1209</v>
      </c>
      <c r="B765" s="36" t="s">
        <v>1210</v>
      </c>
      <c r="C765" s="36" t="s">
        <v>46</v>
      </c>
      <c r="D765" s="36" t="s">
        <v>349</v>
      </c>
      <c r="E765" s="36" t="s">
        <v>651</v>
      </c>
      <c r="F765" s="36" t="s">
        <v>1044</v>
      </c>
      <c r="G765" s="36" t="s">
        <v>243</v>
      </c>
      <c r="H765" s="36" t="s">
        <v>132</v>
      </c>
    </row>
    <row r="766" customFormat="false" ht="15" hidden="false" customHeight="false" outlineLevel="0" collapsed="false">
      <c r="A766" s="36" t="s">
        <v>1211</v>
      </c>
      <c r="B766" s="36" t="s">
        <v>903</v>
      </c>
      <c r="C766" s="36" t="s">
        <v>43</v>
      </c>
      <c r="D766" s="36" t="s">
        <v>206</v>
      </c>
      <c r="E766" s="36" t="n">
        <v>1</v>
      </c>
      <c r="F766" s="36" t="s">
        <v>369</v>
      </c>
      <c r="G766" s="36" t="s">
        <v>243</v>
      </c>
      <c r="H766" s="36" t="s">
        <v>132</v>
      </c>
    </row>
    <row r="767" customFormat="false" ht="15" hidden="false" customHeight="false" outlineLevel="0" collapsed="false">
      <c r="A767" s="36" t="s">
        <v>1212</v>
      </c>
      <c r="B767" s="37" t="n">
        <v>46270</v>
      </c>
      <c r="C767" s="36" t="s">
        <v>333</v>
      </c>
      <c r="D767" s="36" t="s">
        <v>235</v>
      </c>
      <c r="E767" s="36" t="n">
        <v>2</v>
      </c>
      <c r="F767" s="36" t="s">
        <v>457</v>
      </c>
      <c r="G767" s="36" t="s">
        <v>270</v>
      </c>
      <c r="H767" s="36" t="s">
        <v>146</v>
      </c>
    </row>
    <row r="768" customFormat="false" ht="15" hidden="false" customHeight="false" outlineLevel="0" collapsed="false">
      <c r="A768" s="36" t="s">
        <v>1213</v>
      </c>
      <c r="B768" s="36" t="s">
        <v>903</v>
      </c>
      <c r="C768" s="36" t="s">
        <v>335</v>
      </c>
      <c r="D768" s="36" t="s">
        <v>182</v>
      </c>
      <c r="E768" s="36" t="n">
        <v>4</v>
      </c>
      <c r="F768" s="36" t="s">
        <v>269</v>
      </c>
      <c r="G768" s="36" t="s">
        <v>243</v>
      </c>
      <c r="H768" s="36" t="s">
        <v>132</v>
      </c>
    </row>
    <row r="769" customFormat="false" ht="15" hidden="false" customHeight="false" outlineLevel="0" collapsed="false">
      <c r="A769" s="36" t="s">
        <v>1214</v>
      </c>
      <c r="B769" s="36" t="s">
        <v>589</v>
      </c>
      <c r="C769" s="36" t="s">
        <v>43</v>
      </c>
      <c r="D769" s="36" t="s">
        <v>188</v>
      </c>
      <c r="E769" s="36" t="n">
        <v>1</v>
      </c>
      <c r="F769" s="36" t="s">
        <v>313</v>
      </c>
      <c r="G769" s="36" t="s">
        <v>267</v>
      </c>
      <c r="H769" s="36" t="s">
        <v>132</v>
      </c>
    </row>
    <row r="770" customFormat="false" ht="15" hidden="false" customHeight="false" outlineLevel="0" collapsed="false">
      <c r="A770" s="36" t="s">
        <v>1215</v>
      </c>
      <c r="B770" s="36" t="s">
        <v>903</v>
      </c>
      <c r="C770" s="36" t="s">
        <v>335</v>
      </c>
      <c r="D770" s="36" t="s">
        <v>397</v>
      </c>
      <c r="E770" s="36" t="n">
        <v>2</v>
      </c>
      <c r="F770" s="36" t="n">
        <v>65</v>
      </c>
      <c r="G770" s="36" t="s">
        <v>260</v>
      </c>
      <c r="H770" s="36" t="s">
        <v>321</v>
      </c>
    </row>
    <row r="771" customFormat="false" ht="15" hidden="false" customHeight="false" outlineLevel="0" collapsed="false">
      <c r="A771" s="36" t="s">
        <v>1216</v>
      </c>
      <c r="B771" s="36" t="s">
        <v>589</v>
      </c>
      <c r="C771" s="36" t="s">
        <v>43</v>
      </c>
      <c r="D771" s="36" t="s">
        <v>206</v>
      </c>
      <c r="E771" s="36" t="n">
        <v>1</v>
      </c>
      <c r="F771" s="36" t="n">
        <v>65</v>
      </c>
      <c r="G771" s="36" t="s">
        <v>256</v>
      </c>
      <c r="H771" s="36" t="s">
        <v>141</v>
      </c>
    </row>
    <row r="772" customFormat="false" ht="15" hidden="false" customHeight="false" outlineLevel="0" collapsed="false">
      <c r="A772" s="36" t="s">
        <v>1217</v>
      </c>
      <c r="B772" s="36" t="s">
        <v>589</v>
      </c>
      <c r="C772" s="36" t="s">
        <v>43</v>
      </c>
      <c r="D772" s="36" t="s">
        <v>166</v>
      </c>
      <c r="E772" s="36" t="n">
        <v>1</v>
      </c>
      <c r="F772" s="36" t="n">
        <v>342</v>
      </c>
      <c r="G772" s="36" t="s">
        <v>270</v>
      </c>
      <c r="H772" s="36" t="s">
        <v>145</v>
      </c>
    </row>
    <row r="773" customFormat="false" ht="15" hidden="false" customHeight="false" outlineLevel="0" collapsed="false">
      <c r="A773" s="36" t="s">
        <v>1218</v>
      </c>
      <c r="B773" s="36" t="s">
        <v>589</v>
      </c>
      <c r="C773" s="36" t="s">
        <v>139</v>
      </c>
      <c r="D773" s="36" t="s">
        <v>172</v>
      </c>
      <c r="E773" s="36" t="n">
        <v>3</v>
      </c>
      <c r="F773" s="36" t="n">
        <v>60</v>
      </c>
      <c r="G773" s="36" t="s">
        <v>263</v>
      </c>
      <c r="H773" s="36" t="s">
        <v>132</v>
      </c>
    </row>
    <row r="774" customFormat="false" ht="15" hidden="false" customHeight="false" outlineLevel="0" collapsed="false">
      <c r="A774" s="36" t="s">
        <v>1219</v>
      </c>
      <c r="B774" s="36" t="s">
        <v>589</v>
      </c>
      <c r="C774" s="36" t="s">
        <v>43</v>
      </c>
      <c r="D774" s="36" t="s">
        <v>185</v>
      </c>
      <c r="E774" s="36" t="n">
        <v>4</v>
      </c>
      <c r="F774" s="36" t="s">
        <v>269</v>
      </c>
      <c r="G774" s="36" t="s">
        <v>263</v>
      </c>
      <c r="H774" s="36" t="s">
        <v>132</v>
      </c>
    </row>
    <row r="775" customFormat="false" ht="15" hidden="false" customHeight="false" outlineLevel="0" collapsed="false">
      <c r="A775" s="36" t="s">
        <v>1220</v>
      </c>
      <c r="B775" s="36" t="s">
        <v>589</v>
      </c>
      <c r="C775" s="36" t="s">
        <v>43</v>
      </c>
      <c r="D775" s="36" t="s">
        <v>437</v>
      </c>
      <c r="E775" s="36" t="n">
        <v>1</v>
      </c>
      <c r="F775" s="36" t="n">
        <v>330</v>
      </c>
      <c r="G775" s="36" t="s">
        <v>270</v>
      </c>
      <c r="H775" s="36" t="s">
        <v>145</v>
      </c>
    </row>
    <row r="776" customFormat="false" ht="15" hidden="false" customHeight="false" outlineLevel="0" collapsed="false">
      <c r="A776" s="36" t="s">
        <v>1221</v>
      </c>
      <c r="B776" s="36" t="s">
        <v>589</v>
      </c>
      <c r="C776" s="36" t="s">
        <v>139</v>
      </c>
      <c r="D776" s="36" t="s">
        <v>250</v>
      </c>
      <c r="E776" s="36" t="n">
        <v>2</v>
      </c>
      <c r="F776" s="36" t="n">
        <v>210</v>
      </c>
      <c r="G776" s="36" t="s">
        <v>246</v>
      </c>
      <c r="H776" s="36" t="s">
        <v>308</v>
      </c>
    </row>
    <row r="777" customFormat="false" ht="15" hidden="false" customHeight="false" outlineLevel="0" collapsed="false">
      <c r="A777" s="36" t="s">
        <v>1222</v>
      </c>
      <c r="B777" s="36" t="s">
        <v>589</v>
      </c>
      <c r="C777" s="36" t="s">
        <v>43</v>
      </c>
      <c r="D777" s="36" t="s">
        <v>168</v>
      </c>
      <c r="E777" s="36" t="n">
        <v>6</v>
      </c>
      <c r="F777" s="36" t="s">
        <v>489</v>
      </c>
      <c r="G777" s="36" t="s">
        <v>263</v>
      </c>
      <c r="H777" s="36" t="s">
        <v>146</v>
      </c>
    </row>
    <row r="778" customFormat="false" ht="15" hidden="false" customHeight="false" outlineLevel="0" collapsed="false">
      <c r="A778" s="36" t="s">
        <v>1223</v>
      </c>
      <c r="B778" s="36" t="s">
        <v>589</v>
      </c>
      <c r="C778" s="36" t="s">
        <v>43</v>
      </c>
      <c r="D778" s="36" t="s">
        <v>182</v>
      </c>
      <c r="E778" s="36" t="n">
        <v>2</v>
      </c>
      <c r="F778" s="36" t="s">
        <v>269</v>
      </c>
      <c r="G778" s="36" t="s">
        <v>256</v>
      </c>
      <c r="H778" s="36" t="s">
        <v>132</v>
      </c>
    </row>
    <row r="779" customFormat="false" ht="15" hidden="false" customHeight="false" outlineLevel="0" collapsed="false">
      <c r="A779" s="36" t="s">
        <v>1224</v>
      </c>
      <c r="B779" s="36" t="s">
        <v>589</v>
      </c>
      <c r="C779" s="36" t="s">
        <v>335</v>
      </c>
      <c r="D779" s="36" t="s">
        <v>180</v>
      </c>
      <c r="E779" s="36" t="n">
        <v>4</v>
      </c>
      <c r="F779" s="36" t="s">
        <v>552</v>
      </c>
      <c r="G779" s="36" t="s">
        <v>267</v>
      </c>
      <c r="H779" s="36" t="s">
        <v>132</v>
      </c>
    </row>
    <row r="780" customFormat="false" ht="15" hidden="false" customHeight="false" outlineLevel="0" collapsed="false">
      <c r="A780" s="36" t="s">
        <v>1225</v>
      </c>
      <c r="B780" s="36" t="s">
        <v>589</v>
      </c>
      <c r="C780" s="36" t="s">
        <v>333</v>
      </c>
      <c r="D780" s="36" t="s">
        <v>225</v>
      </c>
      <c r="E780" s="36" t="n">
        <v>1</v>
      </c>
      <c r="F780" s="36" t="s">
        <v>443</v>
      </c>
      <c r="G780" s="36" t="s">
        <v>267</v>
      </c>
      <c r="H780" s="36" t="s">
        <v>141</v>
      </c>
    </row>
    <row r="781" customFormat="false" ht="15" hidden="false" customHeight="false" outlineLevel="0" collapsed="false">
      <c r="A781" s="36" t="s">
        <v>1226</v>
      </c>
      <c r="B781" s="36" t="s">
        <v>589</v>
      </c>
      <c r="C781" s="36" t="s">
        <v>139</v>
      </c>
      <c r="D781" s="36" t="s">
        <v>195</v>
      </c>
      <c r="E781" s="36" t="n">
        <v>2</v>
      </c>
      <c r="F781" s="36" t="s">
        <v>344</v>
      </c>
      <c r="G781" s="36" t="s">
        <v>260</v>
      </c>
      <c r="H781" s="36" t="s">
        <v>131</v>
      </c>
    </row>
    <row r="782" customFormat="false" ht="15" hidden="false" customHeight="false" outlineLevel="0" collapsed="false">
      <c r="A782" s="36" t="s">
        <v>1227</v>
      </c>
      <c r="B782" s="36" t="s">
        <v>903</v>
      </c>
      <c r="C782" s="36" t="s">
        <v>335</v>
      </c>
      <c r="D782" s="36" t="s">
        <v>208</v>
      </c>
      <c r="E782" s="36" t="s">
        <v>403</v>
      </c>
      <c r="F782" s="36" t="s">
        <v>378</v>
      </c>
      <c r="G782" s="36" t="s">
        <v>246</v>
      </c>
      <c r="H782" s="36" t="s">
        <v>306</v>
      </c>
    </row>
    <row r="783" customFormat="false" ht="15" hidden="false" customHeight="false" outlineLevel="0" collapsed="false">
      <c r="A783" s="36" t="s">
        <v>1228</v>
      </c>
      <c r="B783" s="36" t="s">
        <v>903</v>
      </c>
      <c r="C783" s="36" t="s">
        <v>333</v>
      </c>
      <c r="D783" s="36" t="s">
        <v>188</v>
      </c>
      <c r="E783" s="36" t="n">
        <v>1</v>
      </c>
      <c r="F783" s="36" t="n">
        <v>85</v>
      </c>
      <c r="G783" s="36" t="s">
        <v>256</v>
      </c>
      <c r="H783" s="36" t="s">
        <v>132</v>
      </c>
    </row>
    <row r="784" customFormat="false" ht="15" hidden="false" customHeight="false" outlineLevel="0" collapsed="false">
      <c r="A784" s="36" t="s">
        <v>1229</v>
      </c>
      <c r="B784" s="37" t="n">
        <v>46270</v>
      </c>
      <c r="C784" s="36" t="s">
        <v>43</v>
      </c>
      <c r="D784" s="36" t="s">
        <v>218</v>
      </c>
      <c r="E784" s="36" t="n">
        <v>1</v>
      </c>
      <c r="F784" s="36" t="s">
        <v>422</v>
      </c>
      <c r="G784" s="36" t="s">
        <v>251</v>
      </c>
      <c r="H784" s="36" t="s">
        <v>132</v>
      </c>
    </row>
    <row r="785" customFormat="false" ht="15" hidden="false" customHeight="false" outlineLevel="0" collapsed="false">
      <c r="A785" s="36" t="s">
        <v>1230</v>
      </c>
      <c r="B785" s="36" t="s">
        <v>589</v>
      </c>
      <c r="C785" s="36" t="s">
        <v>43</v>
      </c>
      <c r="D785" s="36" t="s">
        <v>559</v>
      </c>
      <c r="E785" s="36" t="n">
        <v>1</v>
      </c>
      <c r="F785" s="36" t="s">
        <v>420</v>
      </c>
      <c r="G785" s="36" t="s">
        <v>251</v>
      </c>
      <c r="H785" s="36" t="s">
        <v>132</v>
      </c>
    </row>
    <row r="786" customFormat="false" ht="15" hidden="false" customHeight="false" outlineLevel="0" collapsed="false">
      <c r="A786" s="36" t="s">
        <v>1231</v>
      </c>
      <c r="B786" s="36" t="s">
        <v>589</v>
      </c>
      <c r="C786" s="36" t="s">
        <v>139</v>
      </c>
      <c r="D786" s="36" t="s">
        <v>176</v>
      </c>
      <c r="E786" s="36" t="n">
        <v>3</v>
      </c>
      <c r="F786" s="36" t="s">
        <v>384</v>
      </c>
      <c r="G786" s="36" t="s">
        <v>251</v>
      </c>
      <c r="H786" s="36" t="s">
        <v>141</v>
      </c>
    </row>
    <row r="787" customFormat="false" ht="15" hidden="false" customHeight="false" outlineLevel="0" collapsed="false">
      <c r="A787" s="36" t="s">
        <v>1232</v>
      </c>
      <c r="B787" s="36" t="s">
        <v>903</v>
      </c>
      <c r="C787" s="36" t="s">
        <v>43</v>
      </c>
      <c r="D787" s="36" t="s">
        <v>885</v>
      </c>
      <c r="E787" s="36" t="n">
        <v>3</v>
      </c>
      <c r="F787" s="36" t="s">
        <v>269</v>
      </c>
      <c r="G787" s="36" t="s">
        <v>270</v>
      </c>
      <c r="H787" s="36" t="s">
        <v>131</v>
      </c>
    </row>
    <row r="788" customFormat="false" ht="15" hidden="false" customHeight="false" outlineLevel="0" collapsed="false">
      <c r="A788" s="36" t="s">
        <v>1233</v>
      </c>
      <c r="B788" s="36" t="s">
        <v>903</v>
      </c>
      <c r="C788" s="36" t="s">
        <v>43</v>
      </c>
      <c r="D788" s="36" t="s">
        <v>405</v>
      </c>
      <c r="E788" s="36" t="n">
        <v>1</v>
      </c>
      <c r="F788" s="36" t="s">
        <v>275</v>
      </c>
      <c r="G788" s="36" t="s">
        <v>256</v>
      </c>
      <c r="H788" s="36" t="s">
        <v>141</v>
      </c>
    </row>
    <row r="789" customFormat="false" ht="15" hidden="false" customHeight="false" outlineLevel="0" collapsed="false">
      <c r="A789" s="36" t="s">
        <v>1234</v>
      </c>
      <c r="B789" s="36" t="s">
        <v>903</v>
      </c>
      <c r="C789" s="36" t="s">
        <v>333</v>
      </c>
      <c r="D789" s="36" t="s">
        <v>186</v>
      </c>
      <c r="E789" s="36" t="n">
        <v>1</v>
      </c>
      <c r="F789" s="36" t="s">
        <v>584</v>
      </c>
      <c r="G789" s="36" t="s">
        <v>260</v>
      </c>
      <c r="H789" s="36" t="s">
        <v>132</v>
      </c>
    </row>
    <row r="790" customFormat="false" ht="15" hidden="false" customHeight="false" outlineLevel="0" collapsed="false">
      <c r="A790" s="36" t="s">
        <v>1235</v>
      </c>
      <c r="B790" s="37" t="n">
        <v>46270</v>
      </c>
      <c r="C790" s="36" t="s">
        <v>43</v>
      </c>
      <c r="D790" s="36" t="s">
        <v>235</v>
      </c>
      <c r="E790" s="36" t="n">
        <v>1</v>
      </c>
      <c r="F790" s="36" t="s">
        <v>369</v>
      </c>
      <c r="G790" s="36" t="s">
        <v>260</v>
      </c>
      <c r="H790" s="36" t="s">
        <v>308</v>
      </c>
    </row>
    <row r="791" customFormat="false" ht="15" hidden="false" customHeight="false" outlineLevel="0" collapsed="false">
      <c r="A791" s="36" t="s">
        <v>1236</v>
      </c>
      <c r="B791" s="36" t="s">
        <v>903</v>
      </c>
      <c r="C791" s="36" t="s">
        <v>139</v>
      </c>
      <c r="D791" s="36" t="s">
        <v>640</v>
      </c>
      <c r="E791" s="36" t="n">
        <v>3</v>
      </c>
      <c r="F791" s="36" t="n">
        <v>150</v>
      </c>
      <c r="G791" s="36" t="s">
        <v>260</v>
      </c>
      <c r="H791" s="36" t="s">
        <v>321</v>
      </c>
    </row>
    <row r="792" customFormat="false" ht="15" hidden="false" customHeight="false" outlineLevel="0" collapsed="false">
      <c r="A792" s="36" t="s">
        <v>1237</v>
      </c>
      <c r="B792" s="36" t="s">
        <v>903</v>
      </c>
      <c r="C792" s="36" t="s">
        <v>335</v>
      </c>
      <c r="D792" s="36" t="s">
        <v>625</v>
      </c>
      <c r="E792" s="36" t="n">
        <v>-3</v>
      </c>
      <c r="F792" s="36" t="s">
        <v>255</v>
      </c>
      <c r="G792" s="36" t="s">
        <v>267</v>
      </c>
      <c r="H792" s="36" t="s">
        <v>132</v>
      </c>
    </row>
    <row r="793" customFormat="false" ht="15" hidden="false" customHeight="false" outlineLevel="0" collapsed="false">
      <c r="A793" s="36" t="s">
        <v>1238</v>
      </c>
      <c r="B793" s="36" t="s">
        <v>589</v>
      </c>
      <c r="C793" s="36" t="s">
        <v>139</v>
      </c>
      <c r="D793" s="36" t="s">
        <v>165</v>
      </c>
      <c r="E793" s="36" t="n">
        <v>1</v>
      </c>
      <c r="F793" s="36" t="s">
        <v>245</v>
      </c>
      <c r="G793" s="36" t="s">
        <v>263</v>
      </c>
      <c r="H793" s="36" t="s">
        <v>132</v>
      </c>
    </row>
    <row r="794" customFormat="false" ht="15" hidden="false" customHeight="false" outlineLevel="0" collapsed="false">
      <c r="A794" s="36" t="s">
        <v>1239</v>
      </c>
      <c r="B794" s="36" t="s">
        <v>903</v>
      </c>
      <c r="C794" s="36" t="s">
        <v>333</v>
      </c>
      <c r="D794" s="36" t="s">
        <v>172</v>
      </c>
      <c r="E794" s="36" t="n">
        <v>2</v>
      </c>
      <c r="F794" s="36" t="s">
        <v>319</v>
      </c>
      <c r="G794" s="36" t="s">
        <v>267</v>
      </c>
      <c r="H794" s="36" t="s">
        <v>321</v>
      </c>
    </row>
    <row r="795" customFormat="false" ht="15" hidden="false" customHeight="false" outlineLevel="0" collapsed="false">
      <c r="A795" s="36" t="s">
        <v>1240</v>
      </c>
      <c r="B795" s="36" t="s">
        <v>589</v>
      </c>
      <c r="C795" s="36" t="s">
        <v>43</v>
      </c>
      <c r="D795" s="36" t="s">
        <v>280</v>
      </c>
      <c r="E795" s="36" t="s">
        <v>282</v>
      </c>
      <c r="F795" s="36" t="s">
        <v>275</v>
      </c>
      <c r="G795" s="36" t="s">
        <v>263</v>
      </c>
      <c r="H795" s="36" t="s">
        <v>308</v>
      </c>
    </row>
    <row r="796" customFormat="false" ht="15" hidden="false" customHeight="false" outlineLevel="0" collapsed="false">
      <c r="A796" s="36" t="s">
        <v>1241</v>
      </c>
      <c r="B796" s="36" t="s">
        <v>903</v>
      </c>
      <c r="C796" s="36" t="s">
        <v>43</v>
      </c>
      <c r="D796" s="36" t="s">
        <v>373</v>
      </c>
      <c r="E796" s="36" t="n">
        <v>1</v>
      </c>
      <c r="F796" s="36" t="n">
        <v>40</v>
      </c>
      <c r="G796" s="36" t="s">
        <v>263</v>
      </c>
      <c r="H796" s="36" t="s">
        <v>141</v>
      </c>
    </row>
    <row r="797" customFormat="false" ht="15" hidden="false" customHeight="false" outlineLevel="0" collapsed="false">
      <c r="A797" s="36" t="s">
        <v>1242</v>
      </c>
      <c r="B797" s="36" t="s">
        <v>903</v>
      </c>
      <c r="C797" s="36" t="s">
        <v>43</v>
      </c>
      <c r="D797" s="36" t="s">
        <v>229</v>
      </c>
      <c r="E797" s="36" t="s">
        <v>282</v>
      </c>
      <c r="F797" s="36" t="n">
        <v>80</v>
      </c>
      <c r="G797" s="36" t="s">
        <v>251</v>
      </c>
      <c r="H797" s="36" t="s">
        <v>146</v>
      </c>
    </row>
    <row r="798" customFormat="false" ht="15" hidden="false" customHeight="false" outlineLevel="0" collapsed="false">
      <c r="A798" s="36" t="s">
        <v>1243</v>
      </c>
      <c r="B798" s="36" t="s">
        <v>589</v>
      </c>
      <c r="C798" s="36" t="s">
        <v>43</v>
      </c>
      <c r="D798" s="36" t="s">
        <v>297</v>
      </c>
      <c r="E798" s="36" t="n">
        <v>1</v>
      </c>
      <c r="F798" s="36" t="s">
        <v>862</v>
      </c>
      <c r="G798" s="36" t="s">
        <v>251</v>
      </c>
      <c r="H798" s="36" t="s">
        <v>306</v>
      </c>
    </row>
    <row r="799" customFormat="false" ht="15" hidden="false" customHeight="false" outlineLevel="0" collapsed="false">
      <c r="A799" s="36" t="s">
        <v>1244</v>
      </c>
      <c r="B799" s="36" t="s">
        <v>903</v>
      </c>
      <c r="C799" s="36" t="s">
        <v>43</v>
      </c>
      <c r="D799" s="36" t="s">
        <v>209</v>
      </c>
      <c r="E799" s="36" t="n">
        <v>1</v>
      </c>
      <c r="F799" s="36" t="n">
        <v>190</v>
      </c>
      <c r="G799" s="36" t="s">
        <v>256</v>
      </c>
      <c r="H799" s="36" t="s">
        <v>131</v>
      </c>
    </row>
    <row r="800" customFormat="false" ht="15" hidden="false" customHeight="false" outlineLevel="0" collapsed="false">
      <c r="A800" s="36" t="s">
        <v>1245</v>
      </c>
      <c r="B800" s="36" t="s">
        <v>589</v>
      </c>
      <c r="C800" s="36" t="s">
        <v>333</v>
      </c>
      <c r="D800" s="36" t="s">
        <v>138</v>
      </c>
      <c r="E800" s="36" t="n">
        <v>2</v>
      </c>
      <c r="F800" s="36" t="s">
        <v>323</v>
      </c>
      <c r="G800" s="36" t="s">
        <v>243</v>
      </c>
      <c r="H800" s="36" t="s">
        <v>247</v>
      </c>
    </row>
    <row r="801" customFormat="false" ht="15" hidden="false" customHeight="false" outlineLevel="0" collapsed="false">
      <c r="A801" s="36" t="s">
        <v>1246</v>
      </c>
      <c r="B801" s="36" t="s">
        <v>589</v>
      </c>
      <c r="C801" s="36" t="s">
        <v>333</v>
      </c>
      <c r="D801" s="36" t="s">
        <v>357</v>
      </c>
      <c r="E801" s="36" t="n">
        <v>2</v>
      </c>
      <c r="F801" s="36" t="s">
        <v>358</v>
      </c>
      <c r="G801" s="36" t="s">
        <v>243</v>
      </c>
      <c r="H801" s="36" t="s">
        <v>247</v>
      </c>
    </row>
    <row r="802" customFormat="false" ht="15" hidden="false" customHeight="false" outlineLevel="0" collapsed="false">
      <c r="A802" s="36" t="s">
        <v>1247</v>
      </c>
      <c r="B802" s="36" t="s">
        <v>903</v>
      </c>
      <c r="C802" s="36" t="s">
        <v>335</v>
      </c>
      <c r="D802" s="36" t="s">
        <v>1062</v>
      </c>
      <c r="E802" s="36" t="n">
        <v>1</v>
      </c>
      <c r="F802" s="36" t="s">
        <v>313</v>
      </c>
      <c r="G802" s="36" t="s">
        <v>246</v>
      </c>
      <c r="H802" s="36" t="s">
        <v>140</v>
      </c>
    </row>
    <row r="803" customFormat="false" ht="15" hidden="false" customHeight="false" outlineLevel="0" collapsed="false">
      <c r="A803" s="36" t="s">
        <v>1248</v>
      </c>
      <c r="B803" s="36" t="s">
        <v>903</v>
      </c>
      <c r="C803" s="36" t="s">
        <v>43</v>
      </c>
      <c r="D803" s="36" t="s">
        <v>148</v>
      </c>
      <c r="E803" s="36" t="n">
        <v>3</v>
      </c>
      <c r="F803" s="36" t="s">
        <v>275</v>
      </c>
      <c r="G803" s="36" t="s">
        <v>256</v>
      </c>
      <c r="H803" s="36" t="s">
        <v>308</v>
      </c>
    </row>
    <row r="804" customFormat="false" ht="15" hidden="false" customHeight="false" outlineLevel="0" collapsed="false">
      <c r="A804" s="36" t="s">
        <v>1249</v>
      </c>
      <c r="B804" s="37" t="n">
        <v>46270</v>
      </c>
      <c r="C804" s="36" t="s">
        <v>335</v>
      </c>
      <c r="D804" s="36" t="s">
        <v>757</v>
      </c>
      <c r="E804" s="36" t="n">
        <v>3</v>
      </c>
      <c r="F804" s="36" t="s">
        <v>1171</v>
      </c>
      <c r="G804" s="36" t="s">
        <v>256</v>
      </c>
      <c r="H804" s="36" t="s">
        <v>132</v>
      </c>
    </row>
    <row r="805" customFormat="false" ht="15" hidden="false" customHeight="false" outlineLevel="0" collapsed="false">
      <c r="A805" s="36" t="s">
        <v>1250</v>
      </c>
      <c r="B805" s="36" t="s">
        <v>589</v>
      </c>
      <c r="C805" s="36" t="s">
        <v>335</v>
      </c>
      <c r="D805" s="36" t="s">
        <v>1062</v>
      </c>
      <c r="E805" s="36" t="s">
        <v>651</v>
      </c>
      <c r="F805" s="36" t="s">
        <v>313</v>
      </c>
      <c r="G805" s="36" t="s">
        <v>267</v>
      </c>
      <c r="H805" s="36" t="s">
        <v>145</v>
      </c>
    </row>
    <row r="806" customFormat="false" ht="15" hidden="false" customHeight="false" outlineLevel="0" collapsed="false">
      <c r="A806" s="36" t="s">
        <v>1251</v>
      </c>
      <c r="B806" s="36" t="s">
        <v>589</v>
      </c>
      <c r="C806" s="36" t="s">
        <v>335</v>
      </c>
      <c r="D806" s="36" t="s">
        <v>155</v>
      </c>
      <c r="E806" s="36" t="n">
        <v>6</v>
      </c>
      <c r="F806" s="36" t="s">
        <v>245</v>
      </c>
      <c r="G806" s="36" t="s">
        <v>263</v>
      </c>
      <c r="H806" s="36" t="s">
        <v>141</v>
      </c>
    </row>
    <row r="807" customFormat="false" ht="15" hidden="false" customHeight="false" outlineLevel="0" collapsed="false">
      <c r="A807" s="36" t="s">
        <v>1252</v>
      </c>
      <c r="B807" s="36" t="s">
        <v>903</v>
      </c>
      <c r="C807" s="36" t="s">
        <v>335</v>
      </c>
      <c r="D807" s="36" t="s">
        <v>133</v>
      </c>
      <c r="E807" s="36" t="n">
        <v>1</v>
      </c>
      <c r="F807" s="36" t="n">
        <v>190</v>
      </c>
      <c r="G807" s="36" t="s">
        <v>243</v>
      </c>
      <c r="H807" s="36" t="s">
        <v>321</v>
      </c>
    </row>
    <row r="808" customFormat="false" ht="15" hidden="false" customHeight="false" outlineLevel="0" collapsed="false">
      <c r="A808" s="36" t="s">
        <v>1253</v>
      </c>
      <c r="B808" s="36" t="s">
        <v>589</v>
      </c>
      <c r="C808" s="36" t="s">
        <v>333</v>
      </c>
      <c r="D808" s="36" t="s">
        <v>390</v>
      </c>
      <c r="E808" s="36" t="n">
        <v>6</v>
      </c>
      <c r="F808" s="36" t="s">
        <v>1027</v>
      </c>
      <c r="G808" s="36" t="s">
        <v>256</v>
      </c>
      <c r="H808" s="36" t="s">
        <v>141</v>
      </c>
    </row>
    <row r="809" customFormat="false" ht="15" hidden="false" customHeight="false" outlineLevel="0" collapsed="false">
      <c r="A809" s="36" t="s">
        <v>1254</v>
      </c>
      <c r="B809" s="36" t="s">
        <v>903</v>
      </c>
      <c r="C809" s="36" t="s">
        <v>333</v>
      </c>
      <c r="D809" s="36" t="s">
        <v>885</v>
      </c>
      <c r="E809" s="36" t="n">
        <v>3</v>
      </c>
      <c r="F809" s="36" t="s">
        <v>269</v>
      </c>
      <c r="G809" s="36" t="s">
        <v>260</v>
      </c>
      <c r="H809" s="36" t="s">
        <v>131</v>
      </c>
    </row>
    <row r="810" customFormat="false" ht="15" hidden="false" customHeight="false" outlineLevel="0" collapsed="false">
      <c r="A810" s="36" t="s">
        <v>1255</v>
      </c>
      <c r="B810" s="36" t="s">
        <v>903</v>
      </c>
      <c r="C810" s="36" t="s">
        <v>333</v>
      </c>
      <c r="D810" s="36" t="s">
        <v>727</v>
      </c>
      <c r="E810" s="36" t="s">
        <v>403</v>
      </c>
      <c r="F810" s="36" t="n">
        <v>65</v>
      </c>
      <c r="G810" s="36" t="s">
        <v>243</v>
      </c>
      <c r="H810" s="36" t="s">
        <v>141</v>
      </c>
    </row>
    <row r="811" customFormat="false" ht="15" hidden="false" customHeight="false" outlineLevel="0" collapsed="false">
      <c r="A811" s="36" t="s">
        <v>1256</v>
      </c>
      <c r="B811" s="36" t="s">
        <v>903</v>
      </c>
      <c r="C811" s="36" t="s">
        <v>139</v>
      </c>
      <c r="D811" s="36" t="s">
        <v>631</v>
      </c>
      <c r="E811" s="36" t="n">
        <v>2</v>
      </c>
      <c r="F811" s="36" t="s">
        <v>957</v>
      </c>
      <c r="G811" s="36" t="s">
        <v>267</v>
      </c>
      <c r="H811" s="36" t="s">
        <v>145</v>
      </c>
    </row>
    <row r="812" customFormat="false" ht="15" hidden="false" customHeight="false" outlineLevel="0" collapsed="false">
      <c r="A812" s="36" t="s">
        <v>1257</v>
      </c>
      <c r="B812" s="36" t="s">
        <v>589</v>
      </c>
      <c r="C812" s="36" t="s">
        <v>335</v>
      </c>
      <c r="D812" s="36" t="s">
        <v>405</v>
      </c>
      <c r="E812" s="36" t="n">
        <v>1</v>
      </c>
      <c r="F812" s="36" t="s">
        <v>380</v>
      </c>
      <c r="G812" s="36" t="s">
        <v>270</v>
      </c>
      <c r="H812" s="36" t="s">
        <v>132</v>
      </c>
    </row>
    <row r="813" customFormat="false" ht="15" hidden="false" customHeight="false" outlineLevel="0" collapsed="false">
      <c r="A813" s="36" t="s">
        <v>1258</v>
      </c>
      <c r="B813" s="36" t="s">
        <v>589</v>
      </c>
      <c r="C813" s="36" t="s">
        <v>368</v>
      </c>
      <c r="D813" s="36" t="s">
        <v>605</v>
      </c>
      <c r="E813" s="36" t="n">
        <v>2</v>
      </c>
      <c r="F813" s="36" t="s">
        <v>659</v>
      </c>
      <c r="G813" s="36" t="s">
        <v>256</v>
      </c>
      <c r="H813" s="36" t="s">
        <v>321</v>
      </c>
    </row>
    <row r="814" customFormat="false" ht="15" hidden="false" customHeight="false" outlineLevel="0" collapsed="false">
      <c r="A814" s="36" t="s">
        <v>1259</v>
      </c>
      <c r="B814" s="36" t="s">
        <v>903</v>
      </c>
      <c r="C814" s="36" t="s">
        <v>375</v>
      </c>
      <c r="D814" s="36" t="s">
        <v>157</v>
      </c>
      <c r="E814" s="36" t="n">
        <v>6</v>
      </c>
      <c r="F814" s="36" t="n">
        <v>330</v>
      </c>
      <c r="G814" s="36" t="s">
        <v>243</v>
      </c>
      <c r="H814" s="36" t="s">
        <v>247</v>
      </c>
    </row>
    <row r="815" customFormat="false" ht="15" hidden="false" customHeight="false" outlineLevel="0" collapsed="false">
      <c r="A815" s="36" t="s">
        <v>1260</v>
      </c>
      <c r="B815" s="36" t="s">
        <v>903</v>
      </c>
      <c r="C815" s="36" t="s">
        <v>368</v>
      </c>
      <c r="D815" s="36" t="s">
        <v>230</v>
      </c>
      <c r="E815" s="36" t="n">
        <v>1</v>
      </c>
      <c r="F815" s="36" t="s">
        <v>637</v>
      </c>
      <c r="G815" s="36" t="s">
        <v>243</v>
      </c>
      <c r="H815" s="36" t="s">
        <v>132</v>
      </c>
    </row>
    <row r="816" customFormat="false" ht="15" hidden="false" customHeight="false" outlineLevel="0" collapsed="false">
      <c r="A816" s="36" t="s">
        <v>1261</v>
      </c>
      <c r="B816" s="36" t="s">
        <v>589</v>
      </c>
      <c r="C816" s="36" t="s">
        <v>375</v>
      </c>
      <c r="D816" s="36" t="s">
        <v>631</v>
      </c>
      <c r="E816" s="36" t="n">
        <v>-2</v>
      </c>
      <c r="F816" s="36" t="s">
        <v>507</v>
      </c>
      <c r="G816" s="36" t="s">
        <v>256</v>
      </c>
      <c r="H816" s="36" t="s">
        <v>131</v>
      </c>
    </row>
    <row r="817" customFormat="false" ht="15" hidden="false" customHeight="false" outlineLevel="0" collapsed="false">
      <c r="A817" s="36" t="s">
        <v>1262</v>
      </c>
      <c r="B817" s="36" t="s">
        <v>903</v>
      </c>
      <c r="C817" s="36" t="s">
        <v>368</v>
      </c>
      <c r="D817" s="36" t="s">
        <v>648</v>
      </c>
      <c r="E817" s="36" t="n">
        <v>3</v>
      </c>
      <c r="F817" s="36" t="s">
        <v>378</v>
      </c>
      <c r="G817" s="36" t="s">
        <v>263</v>
      </c>
      <c r="H817" s="36" t="s">
        <v>132</v>
      </c>
    </row>
    <row r="818" customFormat="false" ht="15" hidden="false" customHeight="false" outlineLevel="0" collapsed="false">
      <c r="A818" s="36" t="s">
        <v>1263</v>
      </c>
      <c r="B818" s="36" t="s">
        <v>903</v>
      </c>
      <c r="C818" s="36" t="s">
        <v>44</v>
      </c>
      <c r="D818" s="36" t="s">
        <v>405</v>
      </c>
      <c r="E818" s="36" t="n">
        <v>2</v>
      </c>
      <c r="F818" s="36" t="n">
        <v>330</v>
      </c>
      <c r="G818" s="36" t="s">
        <v>256</v>
      </c>
      <c r="H818" s="36" t="s">
        <v>321</v>
      </c>
    </row>
    <row r="819" customFormat="false" ht="15" hidden="false" customHeight="false" outlineLevel="0" collapsed="false">
      <c r="A819" s="36" t="s">
        <v>1264</v>
      </c>
      <c r="B819" s="36" t="s">
        <v>903</v>
      </c>
      <c r="C819" s="36" t="s">
        <v>375</v>
      </c>
      <c r="D819" s="36" t="s">
        <v>357</v>
      </c>
      <c r="E819" s="36" t="n">
        <v>4</v>
      </c>
      <c r="F819" s="36" t="n">
        <v>330</v>
      </c>
      <c r="G819" s="36" t="s">
        <v>270</v>
      </c>
      <c r="H819" s="36" t="s">
        <v>141</v>
      </c>
    </row>
    <row r="820" customFormat="false" ht="15" hidden="false" customHeight="false" outlineLevel="0" collapsed="false">
      <c r="A820" s="36" t="s">
        <v>1265</v>
      </c>
      <c r="B820" s="36" t="s">
        <v>903</v>
      </c>
      <c r="C820" s="36" t="s">
        <v>368</v>
      </c>
      <c r="D820" s="36" t="s">
        <v>181</v>
      </c>
      <c r="E820" s="36" t="n">
        <v>4</v>
      </c>
      <c r="F820" s="36" t="s">
        <v>659</v>
      </c>
      <c r="G820" s="36" t="s">
        <v>263</v>
      </c>
      <c r="H820" s="36" t="s">
        <v>141</v>
      </c>
    </row>
    <row r="821" customFormat="false" ht="15" hidden="false" customHeight="false" outlineLevel="0" collapsed="false">
      <c r="A821" s="36" t="s">
        <v>1266</v>
      </c>
      <c r="B821" s="36" t="s">
        <v>589</v>
      </c>
      <c r="C821" s="36" t="s">
        <v>375</v>
      </c>
      <c r="D821" s="36" t="s">
        <v>327</v>
      </c>
      <c r="E821" s="36" t="n">
        <v>-2</v>
      </c>
      <c r="F821" s="36" t="s">
        <v>936</v>
      </c>
      <c r="G821" s="36" t="s">
        <v>243</v>
      </c>
      <c r="H821" s="36" t="s">
        <v>321</v>
      </c>
    </row>
    <row r="822" customFormat="false" ht="15" hidden="false" customHeight="false" outlineLevel="0" collapsed="false">
      <c r="A822" s="36" t="s">
        <v>1267</v>
      </c>
      <c r="B822" s="36" t="s">
        <v>903</v>
      </c>
      <c r="C822" s="36" t="s">
        <v>554</v>
      </c>
      <c r="D822" s="36" t="s">
        <v>143</v>
      </c>
      <c r="E822" s="36" t="n">
        <v>1</v>
      </c>
      <c r="F822" s="36" t="n">
        <v>330</v>
      </c>
      <c r="G822" s="36" t="s">
        <v>246</v>
      </c>
      <c r="H822" s="36" t="s">
        <v>146</v>
      </c>
    </row>
    <row r="823" customFormat="false" ht="15" hidden="false" customHeight="false" outlineLevel="0" collapsed="false">
      <c r="A823" s="36" t="s">
        <v>1268</v>
      </c>
      <c r="B823" s="36" t="s">
        <v>589</v>
      </c>
      <c r="C823" s="36" t="s">
        <v>554</v>
      </c>
      <c r="D823" s="36" t="s">
        <v>199</v>
      </c>
      <c r="E823" s="36" t="n">
        <v>1</v>
      </c>
      <c r="F823" s="36" t="n">
        <v>210</v>
      </c>
      <c r="G823" s="36" t="s">
        <v>243</v>
      </c>
      <c r="H823" s="36" t="s">
        <v>308</v>
      </c>
    </row>
    <row r="824" customFormat="false" ht="15" hidden="false" customHeight="false" outlineLevel="0" collapsed="false">
      <c r="A824" s="36" t="s">
        <v>1269</v>
      </c>
      <c r="B824" s="36" t="s">
        <v>903</v>
      </c>
      <c r="C824" s="36" t="s">
        <v>44</v>
      </c>
      <c r="D824" s="36" t="s">
        <v>171</v>
      </c>
      <c r="E824" s="36" t="n">
        <v>1</v>
      </c>
      <c r="F824" s="36" t="n">
        <v>65</v>
      </c>
      <c r="G824" s="36" t="s">
        <v>267</v>
      </c>
      <c r="H824" s="36" t="s">
        <v>308</v>
      </c>
    </row>
    <row r="825" customFormat="false" ht="15" hidden="false" customHeight="false" outlineLevel="0" collapsed="false">
      <c r="A825" s="36" t="s">
        <v>1270</v>
      </c>
      <c r="B825" s="36" t="s">
        <v>589</v>
      </c>
      <c r="C825" s="36" t="s">
        <v>44</v>
      </c>
      <c r="D825" s="36" t="s">
        <v>405</v>
      </c>
      <c r="E825" s="36" t="n">
        <v>2</v>
      </c>
      <c r="F825" s="36" t="n">
        <v>330</v>
      </c>
      <c r="G825" s="36" t="s">
        <v>267</v>
      </c>
      <c r="H825" s="36" t="s">
        <v>141</v>
      </c>
    </row>
    <row r="826" customFormat="false" ht="15" hidden="false" customHeight="false" outlineLevel="0" collapsed="false">
      <c r="A826" s="36" t="s">
        <v>1271</v>
      </c>
      <c r="B826" s="36" t="s">
        <v>903</v>
      </c>
      <c r="C826" s="36" t="s">
        <v>554</v>
      </c>
      <c r="D826" s="36" t="s">
        <v>373</v>
      </c>
      <c r="E826" s="36" t="n">
        <v>3</v>
      </c>
      <c r="F826" s="36" t="n">
        <v>40</v>
      </c>
      <c r="G826" s="36" t="s">
        <v>267</v>
      </c>
      <c r="H826" s="36" t="s">
        <v>141</v>
      </c>
    </row>
    <row r="827" customFormat="false" ht="15" hidden="false" customHeight="false" outlineLevel="0" collapsed="false">
      <c r="A827" s="36" t="s">
        <v>1272</v>
      </c>
      <c r="B827" s="36" t="s">
        <v>589</v>
      </c>
      <c r="C827" s="36" t="s">
        <v>375</v>
      </c>
      <c r="D827" s="36" t="s">
        <v>163</v>
      </c>
      <c r="E827" s="36" t="n">
        <v>2</v>
      </c>
      <c r="F827" s="36" t="s">
        <v>363</v>
      </c>
      <c r="G827" s="36" t="s">
        <v>267</v>
      </c>
      <c r="H827" s="36" t="s">
        <v>132</v>
      </c>
    </row>
    <row r="828" customFormat="false" ht="15" hidden="false" customHeight="false" outlineLevel="0" collapsed="false">
      <c r="A828" s="36" t="s">
        <v>1273</v>
      </c>
      <c r="B828" s="36" t="s">
        <v>903</v>
      </c>
      <c r="C828" s="36" t="s">
        <v>368</v>
      </c>
      <c r="D828" s="36" t="s">
        <v>327</v>
      </c>
      <c r="E828" s="36" t="n">
        <v>2</v>
      </c>
      <c r="F828" s="36" t="n">
        <v>120</v>
      </c>
      <c r="G828" s="36" t="s">
        <v>256</v>
      </c>
      <c r="H828" s="36" t="s">
        <v>146</v>
      </c>
    </row>
    <row r="829" customFormat="false" ht="15" hidden="false" customHeight="false" outlineLevel="0" collapsed="false">
      <c r="A829" s="36" t="s">
        <v>1274</v>
      </c>
      <c r="B829" s="36" t="s">
        <v>589</v>
      </c>
      <c r="C829" s="36" t="s">
        <v>44</v>
      </c>
      <c r="D829" s="36" t="s">
        <v>207</v>
      </c>
      <c r="E829" s="36" t="n">
        <v>6</v>
      </c>
      <c r="F829" s="36" t="n">
        <v>280</v>
      </c>
      <c r="G829" s="36" t="s">
        <v>270</v>
      </c>
      <c r="H829" s="36" t="s">
        <v>132</v>
      </c>
    </row>
    <row r="830" customFormat="false" ht="15" hidden="false" customHeight="false" outlineLevel="0" collapsed="false">
      <c r="A830" s="36" t="s">
        <v>1275</v>
      </c>
      <c r="B830" s="36" t="s">
        <v>589</v>
      </c>
      <c r="C830" s="36" t="s">
        <v>554</v>
      </c>
      <c r="D830" s="36" t="s">
        <v>189</v>
      </c>
      <c r="E830" s="36" t="n">
        <v>1</v>
      </c>
      <c r="F830" s="36" t="s">
        <v>331</v>
      </c>
      <c r="G830" s="36" t="s">
        <v>243</v>
      </c>
      <c r="H830" s="36" t="s">
        <v>321</v>
      </c>
    </row>
    <row r="831" customFormat="false" ht="15" hidden="false" customHeight="false" outlineLevel="0" collapsed="false">
      <c r="A831" s="36" t="s">
        <v>1276</v>
      </c>
      <c r="B831" s="36" t="s">
        <v>903</v>
      </c>
      <c r="C831" s="36" t="s">
        <v>554</v>
      </c>
      <c r="D831" s="36" t="s">
        <v>173</v>
      </c>
      <c r="E831" s="36" t="n">
        <v>1</v>
      </c>
      <c r="F831" s="36" t="s">
        <v>505</v>
      </c>
      <c r="G831" s="36" t="s">
        <v>270</v>
      </c>
      <c r="H831" s="36" t="s">
        <v>132</v>
      </c>
    </row>
    <row r="832" customFormat="false" ht="15" hidden="false" customHeight="false" outlineLevel="0" collapsed="false">
      <c r="A832" s="36" t="s">
        <v>1277</v>
      </c>
      <c r="B832" s="36" t="s">
        <v>903</v>
      </c>
      <c r="C832" s="36" t="s">
        <v>144</v>
      </c>
      <c r="D832" s="36" t="s">
        <v>1086</v>
      </c>
      <c r="E832" s="36" t="n">
        <v>6</v>
      </c>
      <c r="F832" s="36" t="n">
        <v>85</v>
      </c>
      <c r="G832" s="36" t="s">
        <v>270</v>
      </c>
      <c r="H832" s="36" t="s">
        <v>321</v>
      </c>
    </row>
    <row r="833" customFormat="false" ht="15" hidden="false" customHeight="false" outlineLevel="0" collapsed="false">
      <c r="A833" s="36" t="s">
        <v>1278</v>
      </c>
      <c r="B833" s="36" t="s">
        <v>903</v>
      </c>
      <c r="C833" s="36" t="s">
        <v>368</v>
      </c>
      <c r="D833" s="36" t="s">
        <v>204</v>
      </c>
      <c r="E833" s="36" t="n">
        <v>3</v>
      </c>
      <c r="F833" s="36" t="s">
        <v>420</v>
      </c>
      <c r="G833" s="36" t="s">
        <v>270</v>
      </c>
      <c r="H833" s="36" t="s">
        <v>247</v>
      </c>
    </row>
    <row r="834" customFormat="false" ht="15" hidden="false" customHeight="false" outlineLevel="0" collapsed="false">
      <c r="A834" s="36" t="s">
        <v>1279</v>
      </c>
      <c r="B834" s="36" t="s">
        <v>903</v>
      </c>
      <c r="C834" s="36" t="s">
        <v>368</v>
      </c>
      <c r="D834" s="36" t="s">
        <v>437</v>
      </c>
      <c r="E834" s="36" t="n">
        <v>2</v>
      </c>
      <c r="F834" s="36" t="n">
        <v>330</v>
      </c>
      <c r="G834" s="36" t="s">
        <v>256</v>
      </c>
      <c r="H834" s="36" t="s">
        <v>131</v>
      </c>
    </row>
    <row r="835" customFormat="false" ht="15" hidden="false" customHeight="false" outlineLevel="0" collapsed="false">
      <c r="A835" s="36" t="s">
        <v>1280</v>
      </c>
      <c r="B835" s="36" t="s">
        <v>903</v>
      </c>
      <c r="C835" s="36" t="s">
        <v>44</v>
      </c>
      <c r="D835" s="36" t="s">
        <v>148</v>
      </c>
      <c r="E835" s="36" t="n">
        <v>2</v>
      </c>
      <c r="F835" s="36" t="s">
        <v>275</v>
      </c>
      <c r="G835" s="36" t="s">
        <v>251</v>
      </c>
      <c r="H835" s="36" t="s">
        <v>140</v>
      </c>
    </row>
    <row r="836" customFormat="false" ht="15" hidden="false" customHeight="false" outlineLevel="0" collapsed="false">
      <c r="A836" s="36" t="s">
        <v>1281</v>
      </c>
      <c r="B836" s="36" t="s">
        <v>903</v>
      </c>
      <c r="C836" s="36" t="s">
        <v>368</v>
      </c>
      <c r="D836" s="36" t="s">
        <v>148</v>
      </c>
      <c r="E836" s="36" t="n">
        <v>3</v>
      </c>
      <c r="F836" s="36" t="n">
        <v>330</v>
      </c>
      <c r="G836" s="36" t="s">
        <v>251</v>
      </c>
      <c r="H836" s="36" t="s">
        <v>132</v>
      </c>
    </row>
    <row r="837" customFormat="false" ht="15" hidden="false" customHeight="false" outlineLevel="0" collapsed="false">
      <c r="A837" s="36" t="s">
        <v>1282</v>
      </c>
      <c r="B837" s="36" t="s">
        <v>903</v>
      </c>
      <c r="C837" s="36" t="s">
        <v>144</v>
      </c>
      <c r="D837" s="36" t="s">
        <v>898</v>
      </c>
      <c r="E837" s="36" t="n">
        <v>1</v>
      </c>
      <c r="F837" s="36" t="n">
        <v>150</v>
      </c>
      <c r="G837" s="36" t="s">
        <v>263</v>
      </c>
      <c r="H837" s="36" t="s">
        <v>141</v>
      </c>
    </row>
    <row r="838" customFormat="false" ht="15" hidden="false" customHeight="false" outlineLevel="0" collapsed="false">
      <c r="A838" s="36" t="s">
        <v>1283</v>
      </c>
      <c r="B838" s="36" t="s">
        <v>589</v>
      </c>
      <c r="C838" s="36" t="s">
        <v>375</v>
      </c>
      <c r="D838" s="36" t="s">
        <v>171</v>
      </c>
      <c r="E838" s="36" t="n">
        <v>1</v>
      </c>
      <c r="F838" s="36" t="s">
        <v>457</v>
      </c>
      <c r="G838" s="36" t="s">
        <v>267</v>
      </c>
      <c r="H838" s="36" t="s">
        <v>131</v>
      </c>
    </row>
    <row r="839" customFormat="false" ht="15" hidden="false" customHeight="false" outlineLevel="0" collapsed="false">
      <c r="A839" s="36" t="s">
        <v>1284</v>
      </c>
      <c r="B839" s="36" t="s">
        <v>903</v>
      </c>
      <c r="C839" s="36" t="s">
        <v>375</v>
      </c>
      <c r="D839" s="36" t="s">
        <v>342</v>
      </c>
      <c r="E839" s="36" t="n">
        <v>3</v>
      </c>
      <c r="F839" s="36" t="n">
        <v>60</v>
      </c>
      <c r="G839" s="36" t="s">
        <v>251</v>
      </c>
      <c r="H839" s="36" t="s">
        <v>140</v>
      </c>
    </row>
    <row r="840" customFormat="false" ht="15" hidden="false" customHeight="false" outlineLevel="0" collapsed="false">
      <c r="A840" s="36" t="s">
        <v>1285</v>
      </c>
      <c r="B840" s="36" t="s">
        <v>589</v>
      </c>
      <c r="C840" s="36" t="s">
        <v>375</v>
      </c>
      <c r="D840" s="36" t="s">
        <v>184</v>
      </c>
      <c r="E840" s="36" t="n">
        <v>6</v>
      </c>
      <c r="F840" s="36" t="n">
        <v>160</v>
      </c>
      <c r="G840" s="36" t="s">
        <v>260</v>
      </c>
      <c r="H840" s="36" t="s">
        <v>145</v>
      </c>
    </row>
    <row r="841" customFormat="false" ht="15" hidden="false" customHeight="false" outlineLevel="0" collapsed="false">
      <c r="A841" s="36" t="s">
        <v>1286</v>
      </c>
      <c r="B841" s="36" t="s">
        <v>589</v>
      </c>
      <c r="C841" s="36" t="s">
        <v>44</v>
      </c>
      <c r="D841" s="36" t="s">
        <v>235</v>
      </c>
      <c r="E841" s="36" t="n">
        <v>3</v>
      </c>
      <c r="F841" s="36" t="s">
        <v>369</v>
      </c>
      <c r="G841" s="36" t="s">
        <v>243</v>
      </c>
      <c r="H841" s="36" t="s">
        <v>141</v>
      </c>
    </row>
    <row r="842" customFormat="false" ht="15" hidden="false" customHeight="false" outlineLevel="0" collapsed="false">
      <c r="A842" s="36" t="s">
        <v>1287</v>
      </c>
      <c r="B842" s="36" t="s">
        <v>1288</v>
      </c>
      <c r="C842" s="36" t="s">
        <v>241</v>
      </c>
      <c r="D842" s="36" t="s">
        <v>437</v>
      </c>
      <c r="E842" s="36" t="n">
        <v>2</v>
      </c>
      <c r="F842" s="36" t="s">
        <v>380</v>
      </c>
      <c r="G842" s="36" t="s">
        <v>263</v>
      </c>
      <c r="H842" s="36" t="s">
        <v>146</v>
      </c>
    </row>
    <row r="843" customFormat="false" ht="15" hidden="false" customHeight="false" outlineLevel="0" collapsed="false">
      <c r="A843" s="36" t="s">
        <v>1289</v>
      </c>
      <c r="B843" s="36" t="s">
        <v>903</v>
      </c>
      <c r="C843" s="36" t="s">
        <v>375</v>
      </c>
      <c r="D843" s="36" t="s">
        <v>143</v>
      </c>
      <c r="E843" s="36" t="n">
        <v>1</v>
      </c>
      <c r="F843" s="36" t="n">
        <v>330</v>
      </c>
      <c r="G843" s="36" t="s">
        <v>267</v>
      </c>
      <c r="H843" s="36" t="s">
        <v>131</v>
      </c>
    </row>
    <row r="844" customFormat="false" ht="15" hidden="false" customHeight="false" outlineLevel="0" collapsed="false">
      <c r="A844" s="36" t="s">
        <v>1290</v>
      </c>
      <c r="B844" s="36" t="s">
        <v>903</v>
      </c>
      <c r="C844" s="36" t="s">
        <v>554</v>
      </c>
      <c r="D844" s="36" t="s">
        <v>864</v>
      </c>
      <c r="E844" s="36" t="n">
        <v>2</v>
      </c>
      <c r="F844" s="36" t="n">
        <v>40</v>
      </c>
      <c r="G844" s="36" t="s">
        <v>260</v>
      </c>
      <c r="H844" s="36" t="s">
        <v>146</v>
      </c>
    </row>
    <row r="845" customFormat="false" ht="15" hidden="false" customHeight="false" outlineLevel="0" collapsed="false">
      <c r="A845" s="36" t="s">
        <v>1291</v>
      </c>
      <c r="B845" s="36" t="s">
        <v>589</v>
      </c>
      <c r="C845" s="36" t="s">
        <v>554</v>
      </c>
      <c r="D845" s="36" t="s">
        <v>295</v>
      </c>
      <c r="E845" s="36" t="n">
        <v>2</v>
      </c>
      <c r="F845" s="36" t="n">
        <v>150</v>
      </c>
      <c r="G845" s="36" t="s">
        <v>243</v>
      </c>
      <c r="H845" s="36" t="s">
        <v>321</v>
      </c>
    </row>
    <row r="846" customFormat="false" ht="15" hidden="false" customHeight="false" outlineLevel="0" collapsed="false">
      <c r="A846" s="36" t="s">
        <v>1292</v>
      </c>
      <c r="B846" s="36" t="s">
        <v>903</v>
      </c>
      <c r="C846" s="36" t="s">
        <v>368</v>
      </c>
      <c r="D846" s="36" t="s">
        <v>159</v>
      </c>
      <c r="E846" s="36" t="n">
        <v>1</v>
      </c>
      <c r="F846" s="36" t="n">
        <v>330</v>
      </c>
      <c r="G846" s="36" t="s">
        <v>243</v>
      </c>
      <c r="H846" s="36" t="s">
        <v>140</v>
      </c>
    </row>
    <row r="847" customFormat="false" ht="15" hidden="false" customHeight="false" outlineLevel="0" collapsed="false">
      <c r="A847" s="36" t="s">
        <v>1293</v>
      </c>
      <c r="B847" s="36" t="s">
        <v>589</v>
      </c>
      <c r="C847" s="36" t="s">
        <v>554</v>
      </c>
      <c r="D847" s="36" t="s">
        <v>329</v>
      </c>
      <c r="E847" s="36" t="n">
        <v>2</v>
      </c>
      <c r="F847" s="36" t="n">
        <v>450</v>
      </c>
      <c r="G847" s="36" t="s">
        <v>251</v>
      </c>
      <c r="H847" s="36" t="s">
        <v>140</v>
      </c>
    </row>
    <row r="848" customFormat="false" ht="15" hidden="false" customHeight="false" outlineLevel="0" collapsed="false">
      <c r="A848" s="36" t="s">
        <v>1294</v>
      </c>
      <c r="B848" s="36" t="s">
        <v>903</v>
      </c>
      <c r="C848" s="36" t="s">
        <v>44</v>
      </c>
      <c r="D848" s="36" t="s">
        <v>342</v>
      </c>
      <c r="E848" s="36" t="n">
        <v>2</v>
      </c>
      <c r="F848" s="36" t="n">
        <v>60</v>
      </c>
      <c r="G848" s="36" t="s">
        <v>246</v>
      </c>
      <c r="H848" s="36" t="s">
        <v>141</v>
      </c>
    </row>
    <row r="849" customFormat="false" ht="15" hidden="false" customHeight="false" outlineLevel="0" collapsed="false">
      <c r="A849" s="36" t="s">
        <v>1295</v>
      </c>
      <c r="B849" s="36" t="s">
        <v>903</v>
      </c>
      <c r="C849" s="36" t="s">
        <v>144</v>
      </c>
      <c r="D849" s="36" t="s">
        <v>159</v>
      </c>
      <c r="E849" s="36"/>
      <c r="F849" s="36" t="n">
        <v>330</v>
      </c>
      <c r="G849" s="36" t="s">
        <v>256</v>
      </c>
      <c r="H849" s="36" t="s">
        <v>140</v>
      </c>
    </row>
    <row r="850" customFormat="false" ht="15" hidden="false" customHeight="false" outlineLevel="0" collapsed="false">
      <c r="A850" s="36" t="s">
        <v>1296</v>
      </c>
      <c r="B850" s="36" t="s">
        <v>903</v>
      </c>
      <c r="C850" s="36" t="s">
        <v>375</v>
      </c>
      <c r="D850" s="36" t="s">
        <v>605</v>
      </c>
      <c r="E850" s="36" t="n">
        <v>2</v>
      </c>
      <c r="F850" s="36" t="s">
        <v>659</v>
      </c>
      <c r="G850" s="36" t="s">
        <v>251</v>
      </c>
      <c r="H850" s="36" t="s">
        <v>131</v>
      </c>
    </row>
    <row r="851" customFormat="false" ht="15" hidden="false" customHeight="false" outlineLevel="0" collapsed="false">
      <c r="A851" s="36" t="s">
        <v>1297</v>
      </c>
      <c r="B851" s="36" t="s">
        <v>903</v>
      </c>
      <c r="C851" s="36" t="s">
        <v>368</v>
      </c>
      <c r="D851" s="36" t="s">
        <v>299</v>
      </c>
      <c r="E851" s="36" t="n">
        <v>2</v>
      </c>
      <c r="F851" s="36" t="n">
        <v>60</v>
      </c>
      <c r="G851" s="36" t="s">
        <v>270</v>
      </c>
      <c r="H851" s="36" t="s">
        <v>306</v>
      </c>
    </row>
    <row r="852" customFormat="false" ht="15" hidden="false" customHeight="false" outlineLevel="0" collapsed="false">
      <c r="A852" s="36" t="s">
        <v>1298</v>
      </c>
      <c r="B852" s="36" t="s">
        <v>903</v>
      </c>
      <c r="C852" s="36" t="s">
        <v>44</v>
      </c>
      <c r="D852" s="36" t="s">
        <v>188</v>
      </c>
      <c r="E852" s="36" t="n">
        <v>1</v>
      </c>
      <c r="F852" s="36" t="s">
        <v>313</v>
      </c>
      <c r="G852" s="36" t="s">
        <v>260</v>
      </c>
      <c r="H852" s="36" t="s">
        <v>140</v>
      </c>
    </row>
    <row r="853" customFormat="false" ht="15" hidden="false" customHeight="false" outlineLevel="0" collapsed="false">
      <c r="A853" s="36" t="s">
        <v>1299</v>
      </c>
      <c r="B853" s="36" t="s">
        <v>903</v>
      </c>
      <c r="C853" s="36" t="s">
        <v>554</v>
      </c>
      <c r="D853" s="36" t="s">
        <v>232</v>
      </c>
      <c r="E853" s="36" t="n">
        <v>4</v>
      </c>
      <c r="F853" s="36" t="s">
        <v>1171</v>
      </c>
      <c r="G853" s="36" t="s">
        <v>260</v>
      </c>
      <c r="H853" s="36" t="s">
        <v>131</v>
      </c>
    </row>
    <row r="854" customFormat="false" ht="15" hidden="false" customHeight="false" outlineLevel="0" collapsed="false">
      <c r="A854" s="36" t="s">
        <v>1300</v>
      </c>
      <c r="B854" s="36" t="s">
        <v>903</v>
      </c>
      <c r="C854" s="36" t="s">
        <v>368</v>
      </c>
      <c r="D854" s="36" t="s">
        <v>165</v>
      </c>
      <c r="E854" s="36" t="n">
        <v>2</v>
      </c>
      <c r="F854" s="36" t="s">
        <v>245</v>
      </c>
      <c r="G854" s="36" t="s">
        <v>251</v>
      </c>
      <c r="H854" s="36" t="s">
        <v>132</v>
      </c>
    </row>
    <row r="855" customFormat="false" ht="15" hidden="false" customHeight="false" outlineLevel="0" collapsed="false">
      <c r="A855" s="36" t="s">
        <v>1301</v>
      </c>
      <c r="B855" s="36" t="s">
        <v>589</v>
      </c>
      <c r="C855" s="36" t="s">
        <v>144</v>
      </c>
      <c r="D855" s="36" t="s">
        <v>315</v>
      </c>
      <c r="E855" s="36" t="n">
        <v>3</v>
      </c>
      <c r="F855" s="36" t="n">
        <v>450</v>
      </c>
      <c r="G855" s="36" t="s">
        <v>251</v>
      </c>
      <c r="H855" s="36" t="s">
        <v>132</v>
      </c>
    </row>
    <row r="856" customFormat="false" ht="15" hidden="false" customHeight="false" outlineLevel="0" collapsed="false">
      <c r="A856" s="36" t="s">
        <v>1302</v>
      </c>
      <c r="B856" s="36" t="s">
        <v>589</v>
      </c>
      <c r="C856" s="36" t="s">
        <v>419</v>
      </c>
      <c r="D856" s="36" t="s">
        <v>304</v>
      </c>
      <c r="E856" s="36" t="n">
        <v>6</v>
      </c>
      <c r="F856" s="36" t="n">
        <v>190</v>
      </c>
      <c r="G856" s="36" t="s">
        <v>267</v>
      </c>
      <c r="H856" s="36" t="s">
        <v>132</v>
      </c>
    </row>
    <row r="857" customFormat="false" ht="15" hidden="false" customHeight="false" outlineLevel="0" collapsed="false">
      <c r="A857" s="36" t="s">
        <v>1303</v>
      </c>
      <c r="B857" s="36" t="s">
        <v>903</v>
      </c>
      <c r="C857" s="36" t="s">
        <v>153</v>
      </c>
      <c r="D857" s="36" t="s">
        <v>143</v>
      </c>
      <c r="E857" s="36" t="n">
        <v>3</v>
      </c>
      <c r="F857" s="36" t="n">
        <v>330</v>
      </c>
      <c r="G857" s="36" t="s">
        <v>263</v>
      </c>
      <c r="H857" s="36" t="s">
        <v>141</v>
      </c>
    </row>
    <row r="858" customFormat="false" ht="15" hidden="false" customHeight="false" outlineLevel="0" collapsed="false">
      <c r="A858" s="36" t="s">
        <v>1304</v>
      </c>
      <c r="B858" s="36" t="s">
        <v>589</v>
      </c>
      <c r="C858" s="36" t="s">
        <v>45</v>
      </c>
      <c r="D858" s="36" t="s">
        <v>215</v>
      </c>
      <c r="E858" s="36" t="n">
        <v>2</v>
      </c>
      <c r="F858" s="36" t="s">
        <v>547</v>
      </c>
      <c r="G858" s="36" t="s">
        <v>256</v>
      </c>
      <c r="H858" s="36" t="s">
        <v>141</v>
      </c>
    </row>
    <row r="859" customFormat="false" ht="15" hidden="false" customHeight="false" outlineLevel="0" collapsed="false">
      <c r="A859" s="36" t="s">
        <v>1305</v>
      </c>
      <c r="B859" s="36" t="s">
        <v>589</v>
      </c>
      <c r="C859" s="36" t="s">
        <v>417</v>
      </c>
      <c r="D859" s="36" t="s">
        <v>461</v>
      </c>
      <c r="E859" s="36" t="n">
        <v>-1</v>
      </c>
      <c r="F859" s="36" t="s">
        <v>1306</v>
      </c>
      <c r="G859" s="36" t="s">
        <v>251</v>
      </c>
      <c r="H859" s="36" t="s">
        <v>141</v>
      </c>
    </row>
    <row r="860" customFormat="false" ht="15" hidden="false" customHeight="false" outlineLevel="0" collapsed="false">
      <c r="A860" s="36" t="s">
        <v>1307</v>
      </c>
      <c r="B860" s="36" t="s">
        <v>589</v>
      </c>
      <c r="C860" s="36" t="s">
        <v>45</v>
      </c>
      <c r="D860" s="36" t="s">
        <v>623</v>
      </c>
      <c r="E860" s="36" t="n">
        <v>1</v>
      </c>
      <c r="F860" s="36" t="s">
        <v>411</v>
      </c>
      <c r="G860" s="36" t="s">
        <v>246</v>
      </c>
      <c r="H860" s="36" t="s">
        <v>146</v>
      </c>
    </row>
    <row r="861" customFormat="false" ht="15" hidden="false" customHeight="false" outlineLevel="0" collapsed="false">
      <c r="A861" s="36" t="s">
        <v>1308</v>
      </c>
      <c r="B861" s="36" t="s">
        <v>589</v>
      </c>
      <c r="C861" s="36" t="s">
        <v>45</v>
      </c>
      <c r="D861" s="36" t="s">
        <v>1309</v>
      </c>
      <c r="E861" s="36" t="n">
        <v>2</v>
      </c>
      <c r="F861" s="36" t="s">
        <v>563</v>
      </c>
      <c r="G861" s="36" t="s">
        <v>246</v>
      </c>
      <c r="H861" s="36" t="s">
        <v>247</v>
      </c>
    </row>
    <row r="862" customFormat="false" ht="15" hidden="false" customHeight="false" outlineLevel="0" collapsed="false">
      <c r="A862" s="36" t="s">
        <v>1310</v>
      </c>
      <c r="B862" s="36" t="s">
        <v>589</v>
      </c>
      <c r="C862" s="36" t="s">
        <v>419</v>
      </c>
      <c r="D862" s="36" t="s">
        <v>204</v>
      </c>
      <c r="E862" s="36"/>
      <c r="F862" s="36" t="n">
        <v>130</v>
      </c>
      <c r="G862" s="36" t="s">
        <v>263</v>
      </c>
      <c r="H862" s="36" t="s">
        <v>146</v>
      </c>
    </row>
    <row r="863" customFormat="false" ht="15" hidden="false" customHeight="false" outlineLevel="0" collapsed="false">
      <c r="A863" s="36" t="s">
        <v>1311</v>
      </c>
      <c r="B863" s="36" t="s">
        <v>903</v>
      </c>
      <c r="C863" s="36" t="s">
        <v>153</v>
      </c>
      <c r="D863" s="36" t="s">
        <v>290</v>
      </c>
      <c r="E863" s="36" t="n">
        <v>4</v>
      </c>
      <c r="F863" s="36" t="n">
        <v>40</v>
      </c>
      <c r="G863" s="36" t="s">
        <v>267</v>
      </c>
      <c r="H863" s="36" t="s">
        <v>132</v>
      </c>
    </row>
    <row r="864" customFormat="false" ht="15" hidden="false" customHeight="false" outlineLevel="0" collapsed="false">
      <c r="A864" s="36" t="s">
        <v>1312</v>
      </c>
      <c r="B864" s="36" t="s">
        <v>903</v>
      </c>
      <c r="C864" s="36" t="s">
        <v>417</v>
      </c>
      <c r="D864" s="36" t="s">
        <v>147</v>
      </c>
      <c r="E864" s="36" t="n">
        <v>4</v>
      </c>
      <c r="F864" s="36" t="n">
        <v>420</v>
      </c>
      <c r="G864" s="36" t="s">
        <v>251</v>
      </c>
      <c r="H864" s="36" t="s">
        <v>132</v>
      </c>
    </row>
    <row r="865" customFormat="false" ht="15" hidden="false" customHeight="false" outlineLevel="0" collapsed="false">
      <c r="A865" s="36" t="s">
        <v>1313</v>
      </c>
      <c r="B865" s="36" t="s">
        <v>589</v>
      </c>
      <c r="C865" s="36" t="s">
        <v>417</v>
      </c>
      <c r="D865" s="36" t="s">
        <v>235</v>
      </c>
      <c r="E865" s="36" t="n">
        <v>1</v>
      </c>
      <c r="F865" s="36" t="s">
        <v>457</v>
      </c>
      <c r="G865" s="36" t="s">
        <v>251</v>
      </c>
      <c r="H865" s="36" t="s">
        <v>141</v>
      </c>
    </row>
    <row r="866" customFormat="false" ht="15" hidden="false" customHeight="false" outlineLevel="0" collapsed="false">
      <c r="A866" s="36" t="s">
        <v>1314</v>
      </c>
      <c r="B866" s="36" t="s">
        <v>903</v>
      </c>
      <c r="C866" s="36" t="s">
        <v>45</v>
      </c>
      <c r="D866" s="36" t="s">
        <v>571</v>
      </c>
      <c r="E866" s="36" t="n">
        <v>6</v>
      </c>
      <c r="F866" s="36" t="n">
        <v>210</v>
      </c>
      <c r="G866" s="36" t="s">
        <v>246</v>
      </c>
      <c r="H866" s="36" t="s">
        <v>131</v>
      </c>
    </row>
    <row r="867" customFormat="false" ht="15" hidden="false" customHeight="false" outlineLevel="0" collapsed="false">
      <c r="A867" s="36" t="s">
        <v>1315</v>
      </c>
      <c r="B867" s="36" t="s">
        <v>903</v>
      </c>
      <c r="C867" s="36" t="s">
        <v>45</v>
      </c>
      <c r="D867" s="36" t="s">
        <v>218</v>
      </c>
      <c r="E867" s="36" t="n">
        <v>1</v>
      </c>
      <c r="F867" s="36" t="s">
        <v>313</v>
      </c>
      <c r="G867" s="36" t="s">
        <v>256</v>
      </c>
      <c r="H867" s="36" t="s">
        <v>146</v>
      </c>
    </row>
    <row r="868" customFormat="false" ht="15" hidden="false" customHeight="false" outlineLevel="0" collapsed="false">
      <c r="A868" s="36" t="s">
        <v>1316</v>
      </c>
      <c r="B868" s="36" t="s">
        <v>903</v>
      </c>
      <c r="C868" s="36" t="s">
        <v>45</v>
      </c>
      <c r="D868" s="36" t="s">
        <v>172</v>
      </c>
      <c r="E868" s="36" t="n">
        <v>2</v>
      </c>
      <c r="F868" s="36" t="n">
        <v>60</v>
      </c>
      <c r="G868" s="36" t="s">
        <v>256</v>
      </c>
      <c r="H868" s="36" t="s">
        <v>146</v>
      </c>
    </row>
    <row r="869" customFormat="false" ht="15" hidden="false" customHeight="false" outlineLevel="0" collapsed="false">
      <c r="A869" s="36" t="s">
        <v>1317</v>
      </c>
      <c r="B869" s="36" t="s">
        <v>903</v>
      </c>
      <c r="C869" s="36" t="s">
        <v>45</v>
      </c>
      <c r="D869" s="36" t="s">
        <v>1318</v>
      </c>
      <c r="E869" s="36" t="n">
        <v>2</v>
      </c>
      <c r="F869" s="36" t="n">
        <v>195</v>
      </c>
      <c r="G869" s="36" t="s">
        <v>246</v>
      </c>
      <c r="H869" s="36" t="s">
        <v>321</v>
      </c>
    </row>
    <row r="870" customFormat="false" ht="15" hidden="false" customHeight="false" outlineLevel="0" collapsed="false">
      <c r="A870" s="36" t="s">
        <v>1319</v>
      </c>
      <c r="B870" s="36" t="s">
        <v>903</v>
      </c>
      <c r="C870" s="36" t="s">
        <v>45</v>
      </c>
      <c r="D870" s="36" t="s">
        <v>435</v>
      </c>
      <c r="E870" s="36" t="n">
        <v>1</v>
      </c>
      <c r="F870" s="36" t="n">
        <v>65</v>
      </c>
      <c r="G870" s="36" t="s">
        <v>267</v>
      </c>
      <c r="H870" s="36" t="s">
        <v>321</v>
      </c>
    </row>
    <row r="871" customFormat="false" ht="15" hidden="false" customHeight="false" outlineLevel="0" collapsed="false">
      <c r="A871" s="36" t="s">
        <v>1320</v>
      </c>
      <c r="B871" s="36" t="s">
        <v>589</v>
      </c>
      <c r="C871" s="36" t="s">
        <v>419</v>
      </c>
      <c r="D871" s="36" t="s">
        <v>178</v>
      </c>
      <c r="E871" s="36" t="n">
        <v>3</v>
      </c>
      <c r="F871" s="36" t="s">
        <v>1321</v>
      </c>
      <c r="G871" s="36" t="s">
        <v>256</v>
      </c>
      <c r="H871" s="36" t="s">
        <v>146</v>
      </c>
    </row>
    <row r="872" customFormat="false" ht="15" hidden="false" customHeight="false" outlineLevel="0" collapsed="false">
      <c r="A872" s="36" t="s">
        <v>1322</v>
      </c>
      <c r="B872" s="36" t="s">
        <v>589</v>
      </c>
      <c r="C872" s="36" t="s">
        <v>45</v>
      </c>
      <c r="D872" s="36" t="s">
        <v>716</v>
      </c>
      <c r="E872" s="36" t="n">
        <v>3</v>
      </c>
      <c r="F872" s="36" t="n">
        <v>350</v>
      </c>
      <c r="G872" s="36" t="s">
        <v>263</v>
      </c>
      <c r="H872" s="36" t="s">
        <v>321</v>
      </c>
    </row>
    <row r="873" customFormat="false" ht="15" hidden="false" customHeight="false" outlineLevel="0" collapsed="false">
      <c r="A873" s="36" t="s">
        <v>1323</v>
      </c>
      <c r="B873" s="36" t="s">
        <v>903</v>
      </c>
      <c r="C873" s="36" t="s">
        <v>45</v>
      </c>
      <c r="D873" s="36" t="s">
        <v>236</v>
      </c>
      <c r="E873" s="36" t="n">
        <v>4</v>
      </c>
      <c r="F873" s="36" t="s">
        <v>457</v>
      </c>
      <c r="G873" s="36" t="s">
        <v>267</v>
      </c>
      <c r="H873" s="36" t="s">
        <v>140</v>
      </c>
    </row>
    <row r="874" customFormat="false" ht="15" hidden="false" customHeight="false" outlineLevel="0" collapsed="false">
      <c r="A874" s="36" t="s">
        <v>1324</v>
      </c>
      <c r="B874" s="36" t="s">
        <v>903</v>
      </c>
      <c r="C874" s="36" t="s">
        <v>45</v>
      </c>
      <c r="D874" s="36" t="s">
        <v>727</v>
      </c>
      <c r="E874" s="36" t="n">
        <v>2</v>
      </c>
      <c r="F874" s="36" t="n">
        <v>65</v>
      </c>
      <c r="G874" s="36" t="s">
        <v>267</v>
      </c>
      <c r="H874" s="36" t="s">
        <v>308</v>
      </c>
    </row>
    <row r="875" customFormat="false" ht="15" hidden="false" customHeight="false" outlineLevel="0" collapsed="false">
      <c r="A875" s="36" t="s">
        <v>1325</v>
      </c>
      <c r="B875" s="36" t="s">
        <v>903</v>
      </c>
      <c r="C875" s="36" t="s">
        <v>153</v>
      </c>
      <c r="D875" s="36" t="s">
        <v>173</v>
      </c>
      <c r="E875" s="36" t="n">
        <v>2</v>
      </c>
      <c r="F875" s="36" t="n">
        <v>120</v>
      </c>
      <c r="G875" s="36" t="s">
        <v>251</v>
      </c>
      <c r="H875" s="36" t="s">
        <v>146</v>
      </c>
    </row>
    <row r="876" customFormat="false" ht="15" hidden="false" customHeight="false" outlineLevel="0" collapsed="false">
      <c r="A876" s="36" t="s">
        <v>1326</v>
      </c>
      <c r="B876" s="36" t="s">
        <v>903</v>
      </c>
      <c r="C876" s="36" t="s">
        <v>419</v>
      </c>
      <c r="D876" s="36" t="s">
        <v>159</v>
      </c>
      <c r="E876" s="36" t="n">
        <v>1</v>
      </c>
      <c r="F876" s="36" t="s">
        <v>380</v>
      </c>
      <c r="G876" s="36" t="s">
        <v>263</v>
      </c>
      <c r="H876" s="36" t="s">
        <v>141</v>
      </c>
    </row>
    <row r="877" customFormat="false" ht="15" hidden="false" customHeight="false" outlineLevel="0" collapsed="false">
      <c r="A877" s="36" t="s">
        <v>1327</v>
      </c>
      <c r="B877" s="36" t="s">
        <v>903</v>
      </c>
      <c r="C877" s="36" t="s">
        <v>153</v>
      </c>
      <c r="D877" s="36" t="s">
        <v>134</v>
      </c>
      <c r="E877" s="36" t="n">
        <v>1</v>
      </c>
      <c r="F877" s="36" t="s">
        <v>552</v>
      </c>
      <c r="G877" s="36" t="s">
        <v>260</v>
      </c>
      <c r="H877" s="36" t="s">
        <v>321</v>
      </c>
    </row>
    <row r="878" customFormat="false" ht="15" hidden="false" customHeight="false" outlineLevel="0" collapsed="false">
      <c r="A878" s="36" t="s">
        <v>1328</v>
      </c>
      <c r="B878" s="36" t="s">
        <v>903</v>
      </c>
      <c r="C878" s="36" t="s">
        <v>417</v>
      </c>
      <c r="D878" s="36" t="s">
        <v>195</v>
      </c>
      <c r="E878" s="36" t="n">
        <v>1</v>
      </c>
      <c r="F878" s="36" t="n">
        <v>60</v>
      </c>
      <c r="G878" s="36" t="s">
        <v>251</v>
      </c>
      <c r="H878" s="36" t="s">
        <v>308</v>
      </c>
    </row>
    <row r="879" customFormat="false" ht="15" hidden="false" customHeight="false" outlineLevel="0" collapsed="false">
      <c r="A879" s="36" t="s">
        <v>1329</v>
      </c>
      <c r="B879" s="36" t="s">
        <v>903</v>
      </c>
      <c r="C879" s="36" t="s">
        <v>153</v>
      </c>
      <c r="D879" s="36" t="s">
        <v>220</v>
      </c>
      <c r="E879" s="36" t="n">
        <v>4</v>
      </c>
      <c r="F879" s="36" t="n">
        <v>176</v>
      </c>
      <c r="G879" s="36" t="s">
        <v>243</v>
      </c>
      <c r="H879" s="36" t="s">
        <v>131</v>
      </c>
    </row>
    <row r="880" customFormat="false" ht="15" hidden="false" customHeight="false" outlineLevel="0" collapsed="false">
      <c r="A880" s="36" t="s">
        <v>1330</v>
      </c>
      <c r="B880" s="36" t="s">
        <v>903</v>
      </c>
      <c r="C880" s="36" t="s">
        <v>45</v>
      </c>
      <c r="D880" s="36" t="s">
        <v>605</v>
      </c>
      <c r="E880" s="36" t="n">
        <v>1</v>
      </c>
      <c r="F880" s="36" t="s">
        <v>659</v>
      </c>
      <c r="G880" s="36" t="s">
        <v>260</v>
      </c>
      <c r="H880" s="36" t="s">
        <v>141</v>
      </c>
    </row>
    <row r="881" customFormat="false" ht="15" hidden="false" customHeight="false" outlineLevel="0" collapsed="false">
      <c r="A881" s="36" t="s">
        <v>1331</v>
      </c>
      <c r="B881" s="36" t="s">
        <v>903</v>
      </c>
      <c r="C881" s="36" t="s">
        <v>153</v>
      </c>
      <c r="D881" s="36" t="s">
        <v>976</v>
      </c>
      <c r="E881" s="36" t="n">
        <v>2</v>
      </c>
      <c r="F881" s="36" t="s">
        <v>317</v>
      </c>
      <c r="G881" s="36" t="s">
        <v>263</v>
      </c>
      <c r="H881" s="36" t="s">
        <v>132</v>
      </c>
    </row>
    <row r="882" customFormat="false" ht="15" hidden="false" customHeight="false" outlineLevel="0" collapsed="false">
      <c r="A882" s="36" t="s">
        <v>1332</v>
      </c>
      <c r="B882" s="36" t="s">
        <v>1333</v>
      </c>
      <c r="C882" s="36" t="s">
        <v>45</v>
      </c>
      <c r="D882" s="36" t="s">
        <v>822</v>
      </c>
      <c r="E882" s="36" t="n">
        <v>2</v>
      </c>
      <c r="F882" s="36" t="s">
        <v>369</v>
      </c>
      <c r="G882" s="36" t="s">
        <v>260</v>
      </c>
      <c r="H882" s="36" t="s">
        <v>247</v>
      </c>
    </row>
    <row r="883" customFormat="false" ht="15" hidden="false" customHeight="false" outlineLevel="0" collapsed="false">
      <c r="A883" s="36" t="s">
        <v>1334</v>
      </c>
      <c r="B883" s="37" t="n">
        <v>46270</v>
      </c>
      <c r="C883" s="36" t="s">
        <v>45</v>
      </c>
      <c r="D883" s="36" t="s">
        <v>196</v>
      </c>
      <c r="E883" s="36" t="n">
        <v>2</v>
      </c>
      <c r="F883" s="36" t="n">
        <v>350</v>
      </c>
      <c r="G883" s="36" t="s">
        <v>260</v>
      </c>
      <c r="H883" s="36" t="s">
        <v>308</v>
      </c>
    </row>
    <row r="884" customFormat="false" ht="15" hidden="false" customHeight="false" outlineLevel="0" collapsed="false">
      <c r="A884" s="36" t="s">
        <v>1335</v>
      </c>
      <c r="B884" s="36" t="s">
        <v>589</v>
      </c>
      <c r="C884" s="36" t="s">
        <v>417</v>
      </c>
      <c r="D884" s="36" t="s">
        <v>133</v>
      </c>
      <c r="E884" s="36" t="n">
        <v>6</v>
      </c>
      <c r="F884" s="36" t="n">
        <v>190</v>
      </c>
      <c r="G884" s="36" t="s">
        <v>256</v>
      </c>
      <c r="H884" s="36" t="s">
        <v>146</v>
      </c>
    </row>
    <row r="885" customFormat="false" ht="15" hidden="false" customHeight="false" outlineLevel="0" collapsed="false">
      <c r="A885" s="36" t="s">
        <v>1336</v>
      </c>
      <c r="B885" s="36" t="s">
        <v>903</v>
      </c>
      <c r="C885" s="36" t="s">
        <v>45</v>
      </c>
      <c r="D885" s="36" t="s">
        <v>864</v>
      </c>
      <c r="E885" s="36" t="n">
        <v>3</v>
      </c>
      <c r="F885" s="36" t="s">
        <v>363</v>
      </c>
      <c r="G885" s="36" t="s">
        <v>246</v>
      </c>
      <c r="H885" s="36" t="s">
        <v>308</v>
      </c>
    </row>
    <row r="886" customFormat="false" ht="15" hidden="false" customHeight="false" outlineLevel="0" collapsed="false">
      <c r="A886" s="36" t="s">
        <v>1337</v>
      </c>
      <c r="B886" s="36" t="s">
        <v>903</v>
      </c>
      <c r="C886" s="36" t="s">
        <v>45</v>
      </c>
      <c r="D886" s="36" t="s">
        <v>213</v>
      </c>
      <c r="E886" s="36" t="n">
        <v>1</v>
      </c>
      <c r="F886" s="36" t="s">
        <v>387</v>
      </c>
      <c r="G886" s="36" t="s">
        <v>251</v>
      </c>
      <c r="H886" s="36" t="s">
        <v>247</v>
      </c>
    </row>
    <row r="887" customFormat="false" ht="15" hidden="false" customHeight="false" outlineLevel="0" collapsed="false">
      <c r="A887" s="36" t="s">
        <v>1338</v>
      </c>
      <c r="B887" s="36" t="s">
        <v>903</v>
      </c>
      <c r="C887" s="36" t="s">
        <v>46</v>
      </c>
      <c r="D887" s="36" t="s">
        <v>716</v>
      </c>
      <c r="E887" s="36" t="n">
        <v>6</v>
      </c>
      <c r="F887" s="36" t="n">
        <v>350</v>
      </c>
      <c r="G887" s="36" t="s">
        <v>243</v>
      </c>
      <c r="H887" s="36" t="s">
        <v>321</v>
      </c>
    </row>
    <row r="888" customFormat="false" ht="15" hidden="false" customHeight="false" outlineLevel="0" collapsed="false">
      <c r="A888" s="36" t="s">
        <v>1339</v>
      </c>
      <c r="B888" s="36" t="s">
        <v>903</v>
      </c>
      <c r="C888" s="36" t="s">
        <v>156</v>
      </c>
      <c r="D888" s="36" t="s">
        <v>205</v>
      </c>
      <c r="E888" s="36" t="n">
        <v>4</v>
      </c>
      <c r="F888" s="36" t="s">
        <v>384</v>
      </c>
      <c r="G888" s="36" t="s">
        <v>260</v>
      </c>
      <c r="H888" s="36" t="s">
        <v>308</v>
      </c>
    </row>
    <row r="889" customFormat="false" ht="15" hidden="false" customHeight="false" outlineLevel="0" collapsed="false">
      <c r="A889" s="36" t="s">
        <v>1340</v>
      </c>
      <c r="B889" s="36" t="s">
        <v>903</v>
      </c>
      <c r="C889" s="36" t="s">
        <v>442</v>
      </c>
      <c r="D889" s="36" t="s">
        <v>163</v>
      </c>
      <c r="E889" s="36" t="n">
        <v>4</v>
      </c>
      <c r="F889" s="36" t="n">
        <v>40</v>
      </c>
      <c r="G889" s="36" t="s">
        <v>251</v>
      </c>
      <c r="H889" s="36" t="s">
        <v>247</v>
      </c>
    </row>
    <row r="890" customFormat="false" ht="15" hidden="false" customHeight="false" outlineLevel="0" collapsed="false">
      <c r="A890" s="36" t="s">
        <v>1341</v>
      </c>
      <c r="B890" s="36" t="s">
        <v>903</v>
      </c>
      <c r="C890" s="36" t="s">
        <v>46</v>
      </c>
      <c r="D890" s="36" t="s">
        <v>1177</v>
      </c>
      <c r="E890" s="36" t="s">
        <v>282</v>
      </c>
      <c r="F890" s="36" t="s">
        <v>323</v>
      </c>
      <c r="G890" s="36" t="s">
        <v>267</v>
      </c>
      <c r="H890" s="36" t="s">
        <v>321</v>
      </c>
    </row>
    <row r="891" customFormat="false" ht="15" hidden="false" customHeight="false" outlineLevel="0" collapsed="false">
      <c r="A891" s="36" t="s">
        <v>1342</v>
      </c>
      <c r="B891" s="36" t="s">
        <v>903</v>
      </c>
      <c r="C891" s="36" t="s">
        <v>46</v>
      </c>
      <c r="D891" s="36" t="s">
        <v>405</v>
      </c>
      <c r="E891" s="36" t="n">
        <v>2</v>
      </c>
      <c r="F891" s="36" t="n">
        <v>330</v>
      </c>
      <c r="G891" s="36" t="s">
        <v>260</v>
      </c>
      <c r="H891" s="36" t="s">
        <v>247</v>
      </c>
    </row>
    <row r="892" customFormat="false" ht="15" hidden="false" customHeight="false" outlineLevel="0" collapsed="false">
      <c r="A892" s="36" t="s">
        <v>1343</v>
      </c>
      <c r="B892" s="36" t="s">
        <v>903</v>
      </c>
      <c r="C892" s="36" t="s">
        <v>46</v>
      </c>
      <c r="D892" s="36" t="s">
        <v>215</v>
      </c>
      <c r="E892" s="36" t="n">
        <v>1</v>
      </c>
      <c r="F892" s="36" t="n">
        <v>50</v>
      </c>
      <c r="G892" s="36" t="s">
        <v>267</v>
      </c>
      <c r="H892" s="36" t="s">
        <v>146</v>
      </c>
    </row>
    <row r="893" customFormat="false" ht="15" hidden="false" customHeight="false" outlineLevel="0" collapsed="false">
      <c r="A893" s="36" t="s">
        <v>1344</v>
      </c>
      <c r="B893" s="36" t="s">
        <v>589</v>
      </c>
      <c r="C893" s="36" t="s">
        <v>156</v>
      </c>
      <c r="D893" s="36" t="s">
        <v>203</v>
      </c>
      <c r="E893" s="36" t="n">
        <v>2</v>
      </c>
      <c r="F893" s="36" t="s">
        <v>302</v>
      </c>
      <c r="G893" s="36" t="s">
        <v>267</v>
      </c>
      <c r="H893" s="36" t="s">
        <v>321</v>
      </c>
    </row>
    <row r="894" customFormat="false" ht="15" hidden="false" customHeight="false" outlineLevel="0" collapsed="false">
      <c r="A894" s="36" t="s">
        <v>1345</v>
      </c>
      <c r="B894" s="36" t="s">
        <v>589</v>
      </c>
      <c r="C894" s="36" t="s">
        <v>46</v>
      </c>
      <c r="D894" s="36" t="s">
        <v>224</v>
      </c>
      <c r="E894" s="36" t="n">
        <v>3</v>
      </c>
      <c r="F894" s="36" t="s">
        <v>420</v>
      </c>
      <c r="G894" s="36" t="s">
        <v>246</v>
      </c>
      <c r="H894" s="36" t="s">
        <v>145</v>
      </c>
    </row>
    <row r="895" customFormat="false" ht="15" hidden="false" customHeight="false" outlineLevel="0" collapsed="false">
      <c r="A895" s="36" t="s">
        <v>1346</v>
      </c>
      <c r="B895" s="36" t="s">
        <v>903</v>
      </c>
      <c r="C895" s="36" t="s">
        <v>46</v>
      </c>
      <c r="D895" s="36" t="s">
        <v>290</v>
      </c>
      <c r="E895" s="36" t="n">
        <v>1</v>
      </c>
      <c r="F895" s="36" t="n">
        <v>40</v>
      </c>
      <c r="G895" s="36" t="s">
        <v>270</v>
      </c>
      <c r="H895" s="36" t="s">
        <v>247</v>
      </c>
    </row>
    <row r="896" customFormat="false" ht="15" hidden="false" customHeight="false" outlineLevel="0" collapsed="false">
      <c r="A896" s="36" t="s">
        <v>1347</v>
      </c>
      <c r="B896" s="36" t="s">
        <v>903</v>
      </c>
      <c r="C896" s="36" t="s">
        <v>46</v>
      </c>
      <c r="D896" s="36" t="s">
        <v>203</v>
      </c>
      <c r="E896" s="36" t="n">
        <v>1</v>
      </c>
      <c r="F896" s="36" t="n">
        <v>90</v>
      </c>
      <c r="G896" s="36" t="s">
        <v>260</v>
      </c>
      <c r="H896" s="36" t="s">
        <v>132</v>
      </c>
    </row>
    <row r="897" customFormat="false" ht="15" hidden="false" customHeight="false" outlineLevel="0" collapsed="false">
      <c r="A897" s="36" t="s">
        <v>1348</v>
      </c>
      <c r="B897" s="36" t="s">
        <v>903</v>
      </c>
      <c r="C897" s="36" t="s">
        <v>442</v>
      </c>
      <c r="D897" s="36" t="s">
        <v>134</v>
      </c>
      <c r="E897" s="36" t="n">
        <v>3</v>
      </c>
      <c r="F897" s="36" t="s">
        <v>994</v>
      </c>
      <c r="G897" s="36" t="s">
        <v>251</v>
      </c>
      <c r="H897" s="36" t="s">
        <v>140</v>
      </c>
    </row>
    <row r="898" customFormat="false" ht="15" hidden="false" customHeight="false" outlineLevel="0" collapsed="false">
      <c r="A898" s="36" t="s">
        <v>1349</v>
      </c>
      <c r="B898" s="36" t="s">
        <v>589</v>
      </c>
      <c r="C898" s="36" t="s">
        <v>46</v>
      </c>
      <c r="D898" s="36" t="s">
        <v>164</v>
      </c>
      <c r="E898" s="36" t="n">
        <v>1</v>
      </c>
      <c r="F898" s="36" t="s">
        <v>659</v>
      </c>
      <c r="G898" s="36" t="s">
        <v>256</v>
      </c>
      <c r="H898" s="36" t="s">
        <v>321</v>
      </c>
    </row>
    <row r="899" customFormat="false" ht="15" hidden="false" customHeight="false" outlineLevel="0" collapsed="false">
      <c r="A899" s="36" t="s">
        <v>1350</v>
      </c>
      <c r="B899" s="36" t="s">
        <v>903</v>
      </c>
      <c r="C899" s="36" t="s">
        <v>46</v>
      </c>
      <c r="D899" s="36" t="s">
        <v>206</v>
      </c>
      <c r="E899" s="36" t="n">
        <v>1</v>
      </c>
      <c r="F899" s="36" t="n">
        <v>58</v>
      </c>
      <c r="G899" s="36" t="s">
        <v>267</v>
      </c>
      <c r="H899" s="36" t="s">
        <v>308</v>
      </c>
    </row>
    <row r="900" customFormat="false" ht="15" hidden="false" customHeight="false" outlineLevel="0" collapsed="false">
      <c r="A900" s="36" t="s">
        <v>1351</v>
      </c>
      <c r="B900" s="36" t="s">
        <v>903</v>
      </c>
      <c r="C900" s="36" t="s">
        <v>46</v>
      </c>
      <c r="D900" s="36" t="s">
        <v>208</v>
      </c>
      <c r="E900" s="36" t="n">
        <v>1</v>
      </c>
      <c r="F900" s="36" t="n">
        <v>280</v>
      </c>
      <c r="G900" s="36" t="s">
        <v>270</v>
      </c>
      <c r="H900" s="36" t="s">
        <v>132</v>
      </c>
    </row>
    <row r="901" customFormat="false" ht="15" hidden="false" customHeight="false" outlineLevel="0" collapsed="false">
      <c r="A901" s="36" t="s">
        <v>1352</v>
      </c>
      <c r="B901" s="36" t="s">
        <v>903</v>
      </c>
      <c r="C901" s="36" t="s">
        <v>46</v>
      </c>
      <c r="D901" s="36" t="s">
        <v>574</v>
      </c>
      <c r="E901" s="36" t="n">
        <v>2</v>
      </c>
      <c r="F901" s="36" t="n">
        <v>195</v>
      </c>
      <c r="G901" s="36" t="s">
        <v>243</v>
      </c>
      <c r="H901" s="36" t="s">
        <v>321</v>
      </c>
    </row>
    <row r="902" customFormat="false" ht="15" hidden="false" customHeight="false" outlineLevel="0" collapsed="false">
      <c r="A902" s="36" t="s">
        <v>1353</v>
      </c>
      <c r="B902" s="36" t="s">
        <v>903</v>
      </c>
      <c r="C902" s="36" t="s">
        <v>442</v>
      </c>
      <c r="D902" s="36" t="s">
        <v>148</v>
      </c>
      <c r="E902" s="36" t="n">
        <v>2</v>
      </c>
      <c r="F902" s="36" t="s">
        <v>380</v>
      </c>
      <c r="G902" s="36" t="s">
        <v>267</v>
      </c>
      <c r="H902" s="36" t="s">
        <v>132</v>
      </c>
    </row>
    <row r="903" customFormat="false" ht="15" hidden="false" customHeight="false" outlineLevel="0" collapsed="false">
      <c r="A903" s="36" t="s">
        <v>1354</v>
      </c>
      <c r="B903" s="36" t="s">
        <v>589</v>
      </c>
      <c r="C903" s="36" t="s">
        <v>46</v>
      </c>
      <c r="D903" s="36" t="s">
        <v>714</v>
      </c>
      <c r="E903" s="36" t="n">
        <v>3</v>
      </c>
      <c r="F903" s="36" t="n">
        <v>420</v>
      </c>
      <c r="G903" s="36" t="s">
        <v>256</v>
      </c>
      <c r="H903" s="36" t="s">
        <v>247</v>
      </c>
    </row>
    <row r="904" customFormat="false" ht="15" hidden="false" customHeight="false" outlineLevel="0" collapsed="false">
      <c r="A904" s="36" t="s">
        <v>1355</v>
      </c>
      <c r="B904" s="36" t="s">
        <v>903</v>
      </c>
      <c r="C904" s="36" t="s">
        <v>46</v>
      </c>
      <c r="D904" s="36" t="s">
        <v>405</v>
      </c>
      <c r="E904" s="36" t="n">
        <v>1</v>
      </c>
      <c r="F904" s="36" t="n">
        <v>330</v>
      </c>
      <c r="G904" s="36" t="s">
        <v>243</v>
      </c>
      <c r="H904" s="36" t="s">
        <v>146</v>
      </c>
    </row>
    <row r="905" customFormat="false" ht="15" hidden="false" customHeight="false" outlineLevel="0" collapsed="false">
      <c r="A905" s="36" t="s">
        <v>1356</v>
      </c>
      <c r="B905" s="37" t="n">
        <v>46270</v>
      </c>
      <c r="C905" s="36" t="s">
        <v>448</v>
      </c>
      <c r="D905" s="36" t="s">
        <v>133</v>
      </c>
      <c r="E905" s="36" t="n">
        <v>1</v>
      </c>
      <c r="F905" s="36" t="s">
        <v>411</v>
      </c>
      <c r="G905" s="36" t="s">
        <v>251</v>
      </c>
      <c r="H905" s="36" t="s">
        <v>145</v>
      </c>
    </row>
    <row r="906" customFormat="false" ht="15" hidden="false" customHeight="false" outlineLevel="0" collapsed="false">
      <c r="A906" s="36" t="s">
        <v>1357</v>
      </c>
      <c r="B906" s="36" t="s">
        <v>903</v>
      </c>
      <c r="C906" s="36" t="s">
        <v>46</v>
      </c>
      <c r="D906" s="36" t="s">
        <v>210</v>
      </c>
      <c r="E906" s="36" t="n">
        <v>-1</v>
      </c>
      <c r="F906" s="36" t="s">
        <v>411</v>
      </c>
      <c r="G906" s="36" t="s">
        <v>251</v>
      </c>
      <c r="H906" s="36" t="s">
        <v>146</v>
      </c>
    </row>
    <row r="907" customFormat="false" ht="15" hidden="false" customHeight="false" outlineLevel="0" collapsed="false">
      <c r="A907" s="36" t="s">
        <v>1358</v>
      </c>
      <c r="B907" s="36" t="s">
        <v>903</v>
      </c>
      <c r="C907" s="36" t="s">
        <v>46</v>
      </c>
      <c r="D907" s="36" t="s">
        <v>180</v>
      </c>
      <c r="E907" s="36" t="n">
        <v>1</v>
      </c>
      <c r="F907" s="36" t="s">
        <v>552</v>
      </c>
      <c r="G907" s="36" t="s">
        <v>267</v>
      </c>
      <c r="H907" s="36" t="s">
        <v>145</v>
      </c>
    </row>
    <row r="908" customFormat="false" ht="15" hidden="false" customHeight="false" outlineLevel="0" collapsed="false">
      <c r="A908" s="36" t="s">
        <v>1359</v>
      </c>
      <c r="B908" s="36" t="s">
        <v>903</v>
      </c>
      <c r="C908" s="36" t="s">
        <v>46</v>
      </c>
      <c r="D908" s="36" t="s">
        <v>898</v>
      </c>
      <c r="E908" s="36" t="n">
        <v>1</v>
      </c>
      <c r="F908" s="36" t="n">
        <v>150</v>
      </c>
      <c r="G908" s="36" t="s">
        <v>243</v>
      </c>
      <c r="H908" s="36" t="s">
        <v>308</v>
      </c>
    </row>
    <row r="909" customFormat="false" ht="15" hidden="false" customHeight="false" outlineLevel="0" collapsed="false">
      <c r="A909" s="36" t="s">
        <v>1360</v>
      </c>
      <c r="B909" s="36" t="s">
        <v>903</v>
      </c>
      <c r="C909" s="36" t="s">
        <v>46</v>
      </c>
      <c r="D909" s="36" t="s">
        <v>143</v>
      </c>
      <c r="E909" s="36" t="n">
        <v>4</v>
      </c>
      <c r="F909" s="36" t="s">
        <v>275</v>
      </c>
      <c r="G909" s="36" t="s">
        <v>246</v>
      </c>
      <c r="H909" s="36" t="s">
        <v>146</v>
      </c>
    </row>
    <row r="910" customFormat="false" ht="15" hidden="false" customHeight="false" outlineLevel="0" collapsed="false">
      <c r="A910" s="36" t="s">
        <v>1361</v>
      </c>
      <c r="B910" s="36" t="s">
        <v>903</v>
      </c>
      <c r="C910" s="36" t="s">
        <v>442</v>
      </c>
      <c r="D910" s="36" t="s">
        <v>198</v>
      </c>
      <c r="E910" s="36" t="n">
        <v>6</v>
      </c>
      <c r="F910" s="36" t="n">
        <v>86</v>
      </c>
      <c r="G910" s="36" t="s">
        <v>246</v>
      </c>
      <c r="H910" s="36" t="s">
        <v>132</v>
      </c>
    </row>
    <row r="911" customFormat="false" ht="15" hidden="false" customHeight="false" outlineLevel="0" collapsed="false">
      <c r="A911" s="36" t="s">
        <v>1362</v>
      </c>
      <c r="B911" s="36" t="s">
        <v>903</v>
      </c>
      <c r="C911" s="36" t="s">
        <v>448</v>
      </c>
      <c r="D911" s="36" t="s">
        <v>959</v>
      </c>
      <c r="E911" s="36" t="n">
        <v>1</v>
      </c>
      <c r="F911" s="36" t="n">
        <v>95</v>
      </c>
      <c r="G911" s="36" t="s">
        <v>270</v>
      </c>
      <c r="H911" s="36" t="s">
        <v>132</v>
      </c>
    </row>
    <row r="912" customFormat="false" ht="15" hidden="false" customHeight="false" outlineLevel="0" collapsed="false">
      <c r="A912" s="36" t="s">
        <v>1363</v>
      </c>
      <c r="B912" s="36" t="s">
        <v>589</v>
      </c>
      <c r="C912" s="36" t="s">
        <v>156</v>
      </c>
      <c r="D912" s="36" t="s">
        <v>138</v>
      </c>
      <c r="E912" s="36" t="n">
        <v>2</v>
      </c>
      <c r="F912" s="36" t="n">
        <v>420</v>
      </c>
      <c r="G912" s="36" t="s">
        <v>246</v>
      </c>
      <c r="H912" s="36" t="s">
        <v>146</v>
      </c>
    </row>
    <row r="913" customFormat="false" ht="15" hidden="false" customHeight="false" outlineLevel="0" collapsed="false">
      <c r="A913" s="36" t="s">
        <v>1364</v>
      </c>
      <c r="B913" s="36" t="s">
        <v>589</v>
      </c>
      <c r="C913" s="36" t="s">
        <v>46</v>
      </c>
      <c r="D913" s="36" t="s">
        <v>173</v>
      </c>
      <c r="E913" s="36" t="n">
        <v>2</v>
      </c>
      <c r="F913" s="36" t="n">
        <v>120</v>
      </c>
      <c r="G913" s="36" t="s">
        <v>270</v>
      </c>
      <c r="H913" s="36" t="s">
        <v>321</v>
      </c>
    </row>
    <row r="914" customFormat="false" ht="15" hidden="false" customHeight="false" outlineLevel="0" collapsed="false">
      <c r="A914" s="36" t="s">
        <v>1365</v>
      </c>
      <c r="B914" s="36" t="s">
        <v>903</v>
      </c>
      <c r="C914" s="36" t="s">
        <v>448</v>
      </c>
      <c r="D914" s="36" t="s">
        <v>206</v>
      </c>
      <c r="E914" s="36" t="n">
        <v>3</v>
      </c>
      <c r="F914" s="36" t="n">
        <v>65</v>
      </c>
      <c r="G914" s="36" t="s">
        <v>246</v>
      </c>
      <c r="H914" s="36" t="s">
        <v>131</v>
      </c>
    </row>
    <row r="915" customFormat="false" ht="15" hidden="false" customHeight="false" outlineLevel="0" collapsed="false">
      <c r="A915" s="36" t="s">
        <v>1366</v>
      </c>
      <c r="B915" s="36" t="s">
        <v>903</v>
      </c>
      <c r="C915" s="36" t="s">
        <v>156</v>
      </c>
      <c r="D915" s="36" t="s">
        <v>696</v>
      </c>
      <c r="E915" s="36" t="n">
        <v>3</v>
      </c>
      <c r="F915" s="36" t="n">
        <v>190</v>
      </c>
      <c r="G915" s="36" t="s">
        <v>263</v>
      </c>
      <c r="H915" s="36" t="s">
        <v>321</v>
      </c>
    </row>
    <row r="916" customFormat="false" ht="15" hidden="false" customHeight="false" outlineLevel="0" collapsed="false">
      <c r="A916" s="36" t="s">
        <v>1367</v>
      </c>
      <c r="B916" s="36" t="s">
        <v>589</v>
      </c>
      <c r="C916" s="36" t="s">
        <v>156</v>
      </c>
      <c r="D916" s="36" t="s">
        <v>623</v>
      </c>
      <c r="E916" s="36" t="n">
        <v>1</v>
      </c>
      <c r="F916" s="36" t="s">
        <v>411</v>
      </c>
      <c r="G916" s="36" t="s">
        <v>246</v>
      </c>
      <c r="H916" s="36" t="s">
        <v>132</v>
      </c>
    </row>
    <row r="917" customFormat="false" ht="15" hidden="false" customHeight="false" outlineLevel="0" collapsed="false">
      <c r="A917" s="36" t="s">
        <v>1368</v>
      </c>
      <c r="B917" s="36" t="s">
        <v>903</v>
      </c>
      <c r="C917" s="36" t="s">
        <v>46</v>
      </c>
      <c r="D917" s="36" t="s">
        <v>927</v>
      </c>
      <c r="E917" s="36" t="n">
        <v>4</v>
      </c>
      <c r="F917" s="36" t="n">
        <v>280</v>
      </c>
      <c r="G917" s="36" t="s">
        <v>251</v>
      </c>
      <c r="H917" s="36" t="s">
        <v>146</v>
      </c>
    </row>
    <row r="918" customFormat="false" ht="15" hidden="false" customHeight="false" outlineLevel="0" collapsed="false">
      <c r="A918" s="36" t="s">
        <v>1369</v>
      </c>
      <c r="B918" s="36" t="s">
        <v>589</v>
      </c>
      <c r="C918" s="36" t="s">
        <v>442</v>
      </c>
      <c r="D918" s="36" t="s">
        <v>159</v>
      </c>
      <c r="E918" s="36" t="n">
        <v>2</v>
      </c>
      <c r="F918" s="36" t="s">
        <v>358</v>
      </c>
      <c r="G918" s="36" t="s">
        <v>267</v>
      </c>
      <c r="H918" s="36" t="s">
        <v>145</v>
      </c>
    </row>
    <row r="919" customFormat="false" ht="15" hidden="false" customHeight="false" outlineLevel="0" collapsed="false">
      <c r="A919" s="36" t="s">
        <v>1370</v>
      </c>
      <c r="B919" s="36" t="s">
        <v>903</v>
      </c>
      <c r="C919" s="36" t="s">
        <v>46</v>
      </c>
      <c r="D919" s="36" t="s">
        <v>142</v>
      </c>
      <c r="E919" s="36" t="n">
        <v>2</v>
      </c>
      <c r="F919" s="36" t="s">
        <v>259</v>
      </c>
      <c r="G919" s="36" t="s">
        <v>270</v>
      </c>
      <c r="H919" s="36" t="s">
        <v>132</v>
      </c>
    </row>
    <row r="920" customFormat="false" ht="15" hidden="false" customHeight="false" outlineLevel="0" collapsed="false">
      <c r="A920" s="36" t="s">
        <v>1371</v>
      </c>
      <c r="B920" s="36" t="s">
        <v>589</v>
      </c>
      <c r="C920" s="36" t="s">
        <v>46</v>
      </c>
      <c r="D920" s="36" t="s">
        <v>172</v>
      </c>
      <c r="E920" s="36" t="n">
        <v>2</v>
      </c>
      <c r="F920" s="36" t="s">
        <v>319</v>
      </c>
      <c r="G920" s="36" t="s">
        <v>246</v>
      </c>
      <c r="H920" s="36" t="s">
        <v>141</v>
      </c>
    </row>
    <row r="921" customFormat="false" ht="15" hidden="false" customHeight="false" outlineLevel="0" collapsed="false">
      <c r="A921" s="36" t="s">
        <v>1372</v>
      </c>
      <c r="B921" s="36" t="s">
        <v>1373</v>
      </c>
      <c r="C921" s="36" t="s">
        <v>42</v>
      </c>
      <c r="D921" s="36" t="s">
        <v>188</v>
      </c>
      <c r="E921" s="36" t="n">
        <v>3</v>
      </c>
      <c r="F921" s="36" t="n">
        <v>85</v>
      </c>
      <c r="G921" s="36" t="s">
        <v>246</v>
      </c>
      <c r="H921" s="36" t="s">
        <v>321</v>
      </c>
    </row>
    <row r="922" customFormat="false" ht="15" hidden="false" customHeight="false" outlineLevel="0" collapsed="false">
      <c r="A922" s="36" t="s">
        <v>1374</v>
      </c>
      <c r="B922" s="36" t="s">
        <v>1210</v>
      </c>
      <c r="C922" s="36" t="s">
        <v>254</v>
      </c>
      <c r="D922" s="36" t="s">
        <v>204</v>
      </c>
      <c r="E922" s="36" t="n">
        <v>1</v>
      </c>
      <c r="F922" s="36" t="n">
        <v>130</v>
      </c>
      <c r="G922" s="36" t="s">
        <v>260</v>
      </c>
      <c r="H922" s="36" t="s">
        <v>247</v>
      </c>
    </row>
    <row r="923" customFormat="false" ht="15" hidden="false" customHeight="false" outlineLevel="0" collapsed="false">
      <c r="A923" s="36" t="s">
        <v>1375</v>
      </c>
      <c r="B923" s="36" t="s">
        <v>1210</v>
      </c>
      <c r="C923" s="36" t="s">
        <v>130</v>
      </c>
      <c r="D923" s="36" t="s">
        <v>151</v>
      </c>
      <c r="E923" s="36" t="n">
        <v>3</v>
      </c>
      <c r="F923" s="36" t="s">
        <v>358</v>
      </c>
      <c r="G923" s="36" t="s">
        <v>243</v>
      </c>
      <c r="H923" s="36" t="s">
        <v>132</v>
      </c>
    </row>
    <row r="924" customFormat="false" ht="15" hidden="false" customHeight="false" outlineLevel="0" collapsed="false">
      <c r="A924" s="36" t="s">
        <v>1376</v>
      </c>
      <c r="B924" s="36" t="s">
        <v>1210</v>
      </c>
      <c r="C924" s="36" t="s">
        <v>241</v>
      </c>
      <c r="D924" s="36" t="s">
        <v>405</v>
      </c>
      <c r="E924" s="36" t="n">
        <v>4</v>
      </c>
      <c r="F924" s="36" t="s">
        <v>275</v>
      </c>
      <c r="G924" s="36" t="s">
        <v>251</v>
      </c>
      <c r="H924" s="36" t="s">
        <v>247</v>
      </c>
    </row>
    <row r="925" customFormat="false" ht="15" hidden="false" customHeight="false" outlineLevel="0" collapsed="false">
      <c r="A925" s="36" t="s">
        <v>1377</v>
      </c>
      <c r="B925" s="36" t="s">
        <v>1210</v>
      </c>
      <c r="C925" s="36" t="s">
        <v>130</v>
      </c>
      <c r="D925" s="36" t="s">
        <v>487</v>
      </c>
      <c r="E925" s="36" t="n">
        <v>1</v>
      </c>
      <c r="F925" s="36" t="n">
        <v>195</v>
      </c>
      <c r="G925" s="36" t="s">
        <v>256</v>
      </c>
      <c r="H925" s="36" t="s">
        <v>132</v>
      </c>
    </row>
    <row r="926" customFormat="false" ht="15" hidden="false" customHeight="false" outlineLevel="0" collapsed="false">
      <c r="A926" s="36" t="s">
        <v>1378</v>
      </c>
      <c r="B926" s="36" t="s">
        <v>1210</v>
      </c>
      <c r="C926" s="36" t="s">
        <v>249</v>
      </c>
      <c r="D926" s="36" t="s">
        <v>194</v>
      </c>
      <c r="E926" s="36" t="n">
        <v>2</v>
      </c>
      <c r="F926" s="36" t="s">
        <v>420</v>
      </c>
      <c r="G926" s="36" t="s">
        <v>243</v>
      </c>
      <c r="H926" s="36" t="s">
        <v>146</v>
      </c>
    </row>
    <row r="927" customFormat="false" ht="15" hidden="false" customHeight="false" outlineLevel="0" collapsed="false">
      <c r="A927" s="36" t="s">
        <v>1379</v>
      </c>
      <c r="B927" s="36" t="s">
        <v>1373</v>
      </c>
      <c r="C927" s="36" t="s">
        <v>42</v>
      </c>
      <c r="D927" s="36" t="s">
        <v>435</v>
      </c>
      <c r="E927" s="36" t="n">
        <v>2</v>
      </c>
      <c r="F927" s="36" t="s">
        <v>369</v>
      </c>
      <c r="G927" s="36" t="s">
        <v>251</v>
      </c>
      <c r="H927" s="36" t="s">
        <v>131</v>
      </c>
    </row>
    <row r="928" customFormat="false" ht="15" hidden="false" customHeight="false" outlineLevel="0" collapsed="false">
      <c r="A928" s="36" t="s">
        <v>1380</v>
      </c>
      <c r="B928" s="36" t="s">
        <v>1210</v>
      </c>
      <c r="C928" s="36" t="s">
        <v>42</v>
      </c>
      <c r="D928" s="36" t="s">
        <v>471</v>
      </c>
      <c r="E928" s="36" t="n">
        <v>1</v>
      </c>
      <c r="F928" s="36" t="n">
        <v>108</v>
      </c>
      <c r="G928" s="36" t="s">
        <v>267</v>
      </c>
      <c r="H928" s="36" t="s">
        <v>132</v>
      </c>
    </row>
    <row r="929" customFormat="false" ht="15" hidden="false" customHeight="false" outlineLevel="0" collapsed="false">
      <c r="A929" s="36" t="s">
        <v>1381</v>
      </c>
      <c r="B929" s="36" t="s">
        <v>1373</v>
      </c>
      <c r="C929" s="36" t="s">
        <v>130</v>
      </c>
      <c r="D929" s="36" t="s">
        <v>646</v>
      </c>
      <c r="E929" s="36" t="n">
        <v>6</v>
      </c>
      <c r="F929" s="36" t="n">
        <v>110</v>
      </c>
      <c r="G929" s="36" t="s">
        <v>267</v>
      </c>
      <c r="H929" s="36" t="s">
        <v>321</v>
      </c>
    </row>
    <row r="930" customFormat="false" ht="15" hidden="false" customHeight="false" outlineLevel="0" collapsed="false">
      <c r="A930" s="36" t="s">
        <v>1382</v>
      </c>
      <c r="B930" s="36" t="s">
        <v>1210</v>
      </c>
      <c r="C930" s="36" t="s">
        <v>254</v>
      </c>
      <c r="D930" s="36" t="s">
        <v>949</v>
      </c>
      <c r="E930" s="36" t="n">
        <v>1</v>
      </c>
      <c r="F930" s="36" t="s">
        <v>547</v>
      </c>
      <c r="G930" s="36" t="s">
        <v>256</v>
      </c>
      <c r="H930" s="36" t="s">
        <v>141</v>
      </c>
    </row>
    <row r="931" customFormat="false" ht="15" hidden="false" customHeight="false" outlineLevel="0" collapsed="false">
      <c r="A931" s="36" t="s">
        <v>1383</v>
      </c>
      <c r="B931" s="36" t="s">
        <v>1373</v>
      </c>
      <c r="C931" s="36" t="s">
        <v>42</v>
      </c>
      <c r="D931" s="36" t="s">
        <v>206</v>
      </c>
      <c r="E931" s="36" t="n">
        <v>2</v>
      </c>
      <c r="F931" s="36" t="n">
        <v>65</v>
      </c>
      <c r="G931" s="36" t="s">
        <v>251</v>
      </c>
      <c r="H931" s="36" t="s">
        <v>141</v>
      </c>
    </row>
    <row r="932" customFormat="false" ht="15" hidden="false" customHeight="false" outlineLevel="0" collapsed="false">
      <c r="A932" s="36" t="s">
        <v>1384</v>
      </c>
      <c r="B932" s="36" t="s">
        <v>1373</v>
      </c>
      <c r="C932" s="36" t="s">
        <v>249</v>
      </c>
      <c r="D932" s="36" t="s">
        <v>182</v>
      </c>
      <c r="E932" s="36" t="n">
        <v>1</v>
      </c>
      <c r="F932" s="36" t="s">
        <v>269</v>
      </c>
      <c r="G932" s="36" t="s">
        <v>256</v>
      </c>
      <c r="H932" s="36" t="s">
        <v>132</v>
      </c>
    </row>
    <row r="933" customFormat="false" ht="15" hidden="false" customHeight="false" outlineLevel="0" collapsed="false">
      <c r="A933" s="36" t="s">
        <v>1385</v>
      </c>
      <c r="B933" s="36" t="s">
        <v>1373</v>
      </c>
      <c r="C933" s="36" t="s">
        <v>42</v>
      </c>
      <c r="D933" s="36" t="s">
        <v>211</v>
      </c>
      <c r="E933" s="36" t="n">
        <v>2</v>
      </c>
      <c r="F933" s="36" t="s">
        <v>269</v>
      </c>
      <c r="G933" s="36" t="s">
        <v>260</v>
      </c>
      <c r="H933" s="36" t="s">
        <v>141</v>
      </c>
    </row>
    <row r="934" customFormat="false" ht="15" hidden="false" customHeight="false" outlineLevel="0" collapsed="false">
      <c r="A934" s="36" t="s">
        <v>657</v>
      </c>
      <c r="B934" s="36" t="s">
        <v>644</v>
      </c>
      <c r="C934" s="36" t="s">
        <v>130</v>
      </c>
      <c r="D934" s="36" t="s">
        <v>142</v>
      </c>
      <c r="E934" s="36" t="n">
        <v>1</v>
      </c>
      <c r="F934" s="36" t="n">
        <v>420</v>
      </c>
      <c r="G934" s="36" t="s">
        <v>263</v>
      </c>
      <c r="H934" s="36" t="s">
        <v>247</v>
      </c>
    </row>
    <row r="935" customFormat="false" ht="15" hidden="false" customHeight="false" outlineLevel="0" collapsed="false">
      <c r="A935" s="36" t="s">
        <v>1386</v>
      </c>
      <c r="B935" s="36" t="s">
        <v>1210</v>
      </c>
      <c r="C935" s="36" t="s">
        <v>254</v>
      </c>
      <c r="D935" s="36" t="s">
        <v>1062</v>
      </c>
      <c r="E935" s="36" t="n">
        <v>1</v>
      </c>
      <c r="F935" s="36" t="s">
        <v>422</v>
      </c>
      <c r="G935" s="36" t="s">
        <v>260</v>
      </c>
      <c r="H935" s="36" t="s">
        <v>140</v>
      </c>
    </row>
    <row r="936" customFormat="false" ht="15" hidden="false" customHeight="false" outlineLevel="0" collapsed="false">
      <c r="A936" s="36" t="s">
        <v>1387</v>
      </c>
      <c r="B936" s="36" t="s">
        <v>1373</v>
      </c>
      <c r="C936" s="36" t="s">
        <v>294</v>
      </c>
      <c r="D936" s="36" t="s">
        <v>192</v>
      </c>
      <c r="E936" s="36" t="n">
        <v>4</v>
      </c>
      <c r="F936" s="36" t="n">
        <v>420</v>
      </c>
      <c r="G936" s="36" t="s">
        <v>251</v>
      </c>
      <c r="H936" s="36" t="s">
        <v>131</v>
      </c>
    </row>
    <row r="937" customFormat="false" ht="15" hidden="false" customHeight="false" outlineLevel="0" collapsed="false">
      <c r="A937" s="36" t="s">
        <v>1388</v>
      </c>
      <c r="B937" s="36" t="s">
        <v>1210</v>
      </c>
      <c r="C937" s="36" t="s">
        <v>294</v>
      </c>
      <c r="D937" s="36" t="s">
        <v>190</v>
      </c>
      <c r="E937" s="36" t="n">
        <v>-3</v>
      </c>
      <c r="F937" s="36" t="s">
        <v>272</v>
      </c>
      <c r="G937" s="36" t="s">
        <v>251</v>
      </c>
      <c r="H937" s="36" t="s">
        <v>141</v>
      </c>
    </row>
    <row r="938" customFormat="false" ht="15" hidden="false" customHeight="false" outlineLevel="0" collapsed="false">
      <c r="A938" s="36" t="s">
        <v>1389</v>
      </c>
      <c r="B938" s="36" t="s">
        <v>1210</v>
      </c>
      <c r="C938" s="36" t="s">
        <v>42</v>
      </c>
      <c r="D938" s="36" t="s">
        <v>437</v>
      </c>
      <c r="E938" s="36" t="n">
        <v>1</v>
      </c>
      <c r="F938" s="36" t="n">
        <v>330</v>
      </c>
      <c r="G938" s="36" t="s">
        <v>246</v>
      </c>
      <c r="H938" s="36" t="s">
        <v>141</v>
      </c>
    </row>
    <row r="939" customFormat="false" ht="15" hidden="false" customHeight="false" outlineLevel="0" collapsed="false">
      <c r="A939" s="36" t="s">
        <v>1390</v>
      </c>
      <c r="B939" s="37" t="n">
        <v>46271</v>
      </c>
      <c r="C939" s="36" t="s">
        <v>254</v>
      </c>
      <c r="D939" s="36" t="s">
        <v>181</v>
      </c>
      <c r="E939" s="36" t="n">
        <v>4</v>
      </c>
      <c r="F939" s="36" t="s">
        <v>659</v>
      </c>
      <c r="G939" s="36" t="s">
        <v>260</v>
      </c>
      <c r="H939" s="36" t="s">
        <v>247</v>
      </c>
    </row>
    <row r="940" customFormat="false" ht="15" hidden="false" customHeight="false" outlineLevel="0" collapsed="false">
      <c r="A940" s="36" t="s">
        <v>1391</v>
      </c>
      <c r="B940" s="36" t="s">
        <v>1373</v>
      </c>
      <c r="C940" s="36" t="s">
        <v>241</v>
      </c>
      <c r="D940" s="36" t="s">
        <v>798</v>
      </c>
      <c r="E940" s="36" t="s">
        <v>735</v>
      </c>
      <c r="F940" s="36" t="s">
        <v>255</v>
      </c>
      <c r="G940" s="36" t="s">
        <v>251</v>
      </c>
      <c r="H940" s="36" t="s">
        <v>145</v>
      </c>
    </row>
    <row r="941" customFormat="false" ht="15" hidden="false" customHeight="false" outlineLevel="0" collapsed="false">
      <c r="A941" s="36" t="s">
        <v>1392</v>
      </c>
      <c r="B941" s="36" t="s">
        <v>1210</v>
      </c>
      <c r="C941" s="36" t="s">
        <v>241</v>
      </c>
      <c r="D941" s="36" t="s">
        <v>209</v>
      </c>
      <c r="E941" s="36" t="n">
        <v>1</v>
      </c>
      <c r="F941" s="36" t="s">
        <v>411</v>
      </c>
      <c r="G941" s="36" t="s">
        <v>251</v>
      </c>
      <c r="H941" s="36" t="s">
        <v>131</v>
      </c>
    </row>
    <row r="942" customFormat="false" ht="15" hidden="false" customHeight="false" outlineLevel="0" collapsed="false">
      <c r="A942" s="36" t="s">
        <v>1393</v>
      </c>
      <c r="B942" s="37" t="n">
        <v>46271</v>
      </c>
      <c r="C942" s="36" t="s">
        <v>254</v>
      </c>
      <c r="D942" s="36" t="s">
        <v>215</v>
      </c>
      <c r="E942" s="36" t="n">
        <v>3</v>
      </c>
      <c r="F942" s="36" t="n">
        <v>50</v>
      </c>
      <c r="G942" s="36" t="s">
        <v>243</v>
      </c>
      <c r="H942" s="36" t="s">
        <v>146</v>
      </c>
    </row>
    <row r="943" customFormat="false" ht="15" hidden="false" customHeight="false" outlineLevel="0" collapsed="false">
      <c r="A943" s="36" t="s">
        <v>1394</v>
      </c>
      <c r="B943" s="36" t="s">
        <v>1210</v>
      </c>
      <c r="C943" s="36" t="s">
        <v>249</v>
      </c>
      <c r="D943" s="36" t="s">
        <v>183</v>
      </c>
      <c r="E943" s="36" t="s">
        <v>403</v>
      </c>
      <c r="F943" s="36" t="n">
        <v>380</v>
      </c>
      <c r="G943" s="36" t="s">
        <v>270</v>
      </c>
      <c r="H943" s="36" t="s">
        <v>308</v>
      </c>
    </row>
    <row r="944" customFormat="false" ht="15" hidden="false" customHeight="false" outlineLevel="0" collapsed="false">
      <c r="A944" s="36" t="s">
        <v>1395</v>
      </c>
      <c r="B944" s="36" t="s">
        <v>1373</v>
      </c>
      <c r="C944" s="36" t="s">
        <v>241</v>
      </c>
      <c r="D944" s="36" t="s">
        <v>177</v>
      </c>
      <c r="E944" s="36" t="n">
        <v>1</v>
      </c>
      <c r="F944" s="36" t="s">
        <v>862</v>
      </c>
      <c r="G944" s="36" t="s">
        <v>251</v>
      </c>
      <c r="H944" s="36" t="s">
        <v>141</v>
      </c>
    </row>
    <row r="945" customFormat="false" ht="15" hidden="false" customHeight="false" outlineLevel="0" collapsed="false">
      <c r="A945" s="36" t="s">
        <v>1396</v>
      </c>
      <c r="B945" s="37" t="n">
        <v>46271</v>
      </c>
      <c r="C945" s="36" t="s">
        <v>254</v>
      </c>
      <c r="D945" s="36" t="s">
        <v>199</v>
      </c>
      <c r="E945" s="36" t="n">
        <v>4</v>
      </c>
      <c r="F945" s="36" t="n">
        <v>210</v>
      </c>
      <c r="G945" s="36" t="s">
        <v>246</v>
      </c>
      <c r="H945" s="36" t="s">
        <v>247</v>
      </c>
    </row>
    <row r="946" customFormat="false" ht="15" hidden="false" customHeight="false" outlineLevel="0" collapsed="false">
      <c r="A946" s="36" t="s">
        <v>1397</v>
      </c>
      <c r="B946" s="36" t="s">
        <v>1210</v>
      </c>
      <c r="C946" s="36" t="s">
        <v>249</v>
      </c>
      <c r="D946" s="36" t="s">
        <v>478</v>
      </c>
      <c r="E946" s="36" t="n">
        <v>1</v>
      </c>
      <c r="F946" s="36" t="n">
        <v>378</v>
      </c>
      <c r="G946" s="36" t="s">
        <v>270</v>
      </c>
      <c r="H946" s="36" t="s">
        <v>141</v>
      </c>
    </row>
    <row r="947" customFormat="false" ht="15" hidden="false" customHeight="false" outlineLevel="0" collapsed="false">
      <c r="A947" s="36" t="s">
        <v>1398</v>
      </c>
      <c r="B947" s="36" t="s">
        <v>1373</v>
      </c>
      <c r="C947" s="36" t="s">
        <v>294</v>
      </c>
      <c r="D947" s="36" t="s">
        <v>1025</v>
      </c>
      <c r="E947" s="36" t="n">
        <v>1</v>
      </c>
      <c r="F947" s="36" t="n">
        <v>90</v>
      </c>
      <c r="G947" s="36" t="s">
        <v>267</v>
      </c>
      <c r="H947" s="36" t="s">
        <v>141</v>
      </c>
    </row>
    <row r="948" customFormat="false" ht="15" hidden="false" customHeight="false" outlineLevel="0" collapsed="false">
      <c r="A948" s="36" t="s">
        <v>1399</v>
      </c>
      <c r="B948" s="36" t="s">
        <v>1210</v>
      </c>
      <c r="C948" s="36" t="s">
        <v>249</v>
      </c>
      <c r="D948" s="36" t="s">
        <v>184</v>
      </c>
      <c r="E948" s="36" t="n">
        <v>6</v>
      </c>
      <c r="F948" s="36" t="s">
        <v>387</v>
      </c>
      <c r="G948" s="36" t="s">
        <v>267</v>
      </c>
      <c r="H948" s="36" t="s">
        <v>131</v>
      </c>
    </row>
    <row r="949" customFormat="false" ht="15" hidden="false" customHeight="false" outlineLevel="0" collapsed="false">
      <c r="A949" s="36" t="s">
        <v>1400</v>
      </c>
      <c r="B949" s="36" t="s">
        <v>1373</v>
      </c>
      <c r="C949" s="36" t="s">
        <v>130</v>
      </c>
      <c r="D949" s="36" t="s">
        <v>152</v>
      </c>
      <c r="E949" s="36" t="n">
        <v>3</v>
      </c>
      <c r="F949" s="36" t="n">
        <v>40</v>
      </c>
      <c r="G949" s="36" t="s">
        <v>256</v>
      </c>
      <c r="H949" s="36" t="s">
        <v>321</v>
      </c>
    </row>
    <row r="950" customFormat="false" ht="15" hidden="false" customHeight="false" outlineLevel="0" collapsed="false">
      <c r="A950" s="36" t="s">
        <v>1401</v>
      </c>
      <c r="B950" s="36" t="s">
        <v>1210</v>
      </c>
      <c r="C950" s="36" t="s">
        <v>294</v>
      </c>
      <c r="D950" s="36" t="s">
        <v>280</v>
      </c>
      <c r="E950" s="36" t="n">
        <v>1</v>
      </c>
      <c r="F950" s="36" t="n">
        <v>330</v>
      </c>
      <c r="G950" s="36" t="s">
        <v>270</v>
      </c>
      <c r="H950" s="36" t="s">
        <v>306</v>
      </c>
    </row>
    <row r="951" customFormat="false" ht="15" hidden="false" customHeight="false" outlineLevel="0" collapsed="false">
      <c r="A951" s="36" t="s">
        <v>1402</v>
      </c>
      <c r="B951" s="37" t="n">
        <v>46271</v>
      </c>
      <c r="C951" s="36" t="s">
        <v>241</v>
      </c>
      <c r="D951" s="36" t="s">
        <v>218</v>
      </c>
      <c r="E951" s="36" t="n">
        <v>2</v>
      </c>
      <c r="F951" s="36" t="s">
        <v>313</v>
      </c>
      <c r="G951" s="36" t="s">
        <v>256</v>
      </c>
      <c r="H951" s="36" t="s">
        <v>146</v>
      </c>
    </row>
    <row r="952" customFormat="false" ht="15" hidden="false" customHeight="false" outlineLevel="0" collapsed="false">
      <c r="A952" s="36" t="s">
        <v>1403</v>
      </c>
      <c r="B952" s="36" t="s">
        <v>1210</v>
      </c>
      <c r="C952" s="36" t="s">
        <v>294</v>
      </c>
      <c r="D952" s="36" t="s">
        <v>258</v>
      </c>
      <c r="E952" s="36" t="n">
        <v>2</v>
      </c>
      <c r="F952" s="36" t="n">
        <v>420</v>
      </c>
      <c r="G952" s="36" t="s">
        <v>260</v>
      </c>
      <c r="H952" s="36" t="s">
        <v>146</v>
      </c>
    </row>
    <row r="953" customFormat="false" ht="15" hidden="false" customHeight="false" outlineLevel="0" collapsed="false">
      <c r="A953" s="36" t="s">
        <v>1404</v>
      </c>
      <c r="B953" s="36" t="s">
        <v>1210</v>
      </c>
      <c r="C953" s="36" t="s">
        <v>130</v>
      </c>
      <c r="D953" s="36" t="s">
        <v>876</v>
      </c>
      <c r="E953" s="36" t="n">
        <v>1</v>
      </c>
      <c r="F953" s="36" t="s">
        <v>380</v>
      </c>
      <c r="G953" s="36" t="s">
        <v>256</v>
      </c>
      <c r="H953" s="36" t="s">
        <v>141</v>
      </c>
    </row>
    <row r="954" customFormat="false" ht="15" hidden="false" customHeight="false" outlineLevel="0" collapsed="false">
      <c r="A954" s="36" t="s">
        <v>1405</v>
      </c>
      <c r="B954" s="36" t="s">
        <v>1210</v>
      </c>
      <c r="C954" s="36" t="s">
        <v>249</v>
      </c>
      <c r="D954" s="36" t="s">
        <v>186</v>
      </c>
      <c r="E954" s="36" t="s">
        <v>403</v>
      </c>
      <c r="F954" s="36" t="n">
        <v>50</v>
      </c>
      <c r="G954" s="36" t="s">
        <v>256</v>
      </c>
      <c r="H954" s="36" t="s">
        <v>146</v>
      </c>
    </row>
    <row r="955" customFormat="false" ht="15" hidden="false" customHeight="false" outlineLevel="0" collapsed="false">
      <c r="A955" s="36" t="s">
        <v>1406</v>
      </c>
      <c r="B955" s="37" t="n">
        <v>46271</v>
      </c>
      <c r="C955" s="36" t="s">
        <v>249</v>
      </c>
      <c r="D955" s="36" t="s">
        <v>197</v>
      </c>
      <c r="E955" s="36" t="n">
        <v>2</v>
      </c>
      <c r="F955" s="36" t="n">
        <v>60</v>
      </c>
      <c r="G955" s="36" t="s">
        <v>243</v>
      </c>
      <c r="H955" s="36" t="s">
        <v>321</v>
      </c>
    </row>
    <row r="956" customFormat="false" ht="15" hidden="false" customHeight="false" outlineLevel="0" collapsed="false">
      <c r="A956" s="36" t="s">
        <v>1407</v>
      </c>
      <c r="B956" s="36" t="s">
        <v>1210</v>
      </c>
      <c r="C956" s="36" t="s">
        <v>241</v>
      </c>
      <c r="D956" s="36" t="s">
        <v>397</v>
      </c>
      <c r="E956" s="36" t="n">
        <v>-4</v>
      </c>
      <c r="F956" s="36" t="s">
        <v>369</v>
      </c>
      <c r="G956" s="36" t="s">
        <v>246</v>
      </c>
      <c r="H956" s="36" t="s">
        <v>145</v>
      </c>
    </row>
    <row r="957" customFormat="false" ht="15" hidden="false" customHeight="false" outlineLevel="0" collapsed="false">
      <c r="A957" s="36" t="s">
        <v>1408</v>
      </c>
      <c r="B957" s="36" t="s">
        <v>1373</v>
      </c>
      <c r="C957" s="36" t="s">
        <v>130</v>
      </c>
      <c r="D957" s="36" t="s">
        <v>1409</v>
      </c>
      <c r="E957" s="36" t="n">
        <v>3</v>
      </c>
      <c r="F957" s="36" t="s">
        <v>457</v>
      </c>
      <c r="G957" s="36" t="s">
        <v>267</v>
      </c>
      <c r="H957" s="36" t="s">
        <v>132</v>
      </c>
    </row>
    <row r="958" customFormat="false" ht="15" hidden="false" customHeight="false" outlineLevel="0" collapsed="false">
      <c r="A958" s="36" t="s">
        <v>1410</v>
      </c>
      <c r="B958" s="36" t="s">
        <v>1210</v>
      </c>
      <c r="C958" s="36" t="s">
        <v>42</v>
      </c>
      <c r="D958" s="36" t="s">
        <v>530</v>
      </c>
      <c r="E958" s="36" t="n">
        <v>6</v>
      </c>
      <c r="F958" s="36" t="n">
        <v>60</v>
      </c>
      <c r="G958" s="36" t="s">
        <v>251</v>
      </c>
      <c r="H958" s="36" t="s">
        <v>308</v>
      </c>
    </row>
    <row r="959" customFormat="false" ht="15" hidden="false" customHeight="false" outlineLevel="0" collapsed="false">
      <c r="A959" s="36" t="s">
        <v>1411</v>
      </c>
      <c r="B959" s="37" t="n">
        <v>46271</v>
      </c>
      <c r="C959" s="36" t="s">
        <v>249</v>
      </c>
      <c r="D959" s="36" t="s">
        <v>168</v>
      </c>
      <c r="E959" s="36" t="n">
        <v>3</v>
      </c>
      <c r="F959" s="36" t="n">
        <v>150</v>
      </c>
      <c r="G959" s="36" t="s">
        <v>243</v>
      </c>
      <c r="H959" s="36" t="s">
        <v>140</v>
      </c>
    </row>
    <row r="960" customFormat="false" ht="15" hidden="false" customHeight="false" outlineLevel="0" collapsed="false">
      <c r="A960" s="36" t="s">
        <v>1412</v>
      </c>
      <c r="B960" s="36" t="s">
        <v>1210</v>
      </c>
      <c r="C960" s="36" t="s">
        <v>241</v>
      </c>
      <c r="D960" s="36" t="s">
        <v>280</v>
      </c>
      <c r="E960" s="36" t="n">
        <v>2</v>
      </c>
      <c r="F960" s="36" t="n">
        <v>330</v>
      </c>
      <c r="G960" s="36" t="s">
        <v>270</v>
      </c>
      <c r="H960" s="36" t="s">
        <v>132</v>
      </c>
    </row>
    <row r="961" customFormat="false" ht="15" hidden="false" customHeight="false" outlineLevel="0" collapsed="false">
      <c r="A961" s="36" t="s">
        <v>1413</v>
      </c>
      <c r="B961" s="36" t="s">
        <v>1373</v>
      </c>
      <c r="C961" s="36" t="s">
        <v>254</v>
      </c>
      <c r="D961" s="36" t="s">
        <v>155</v>
      </c>
      <c r="E961" s="36" t="n">
        <v>1</v>
      </c>
      <c r="F961" s="36" t="s">
        <v>245</v>
      </c>
      <c r="G961" s="36" t="s">
        <v>251</v>
      </c>
      <c r="H961" s="36" t="s">
        <v>132</v>
      </c>
    </row>
    <row r="962" customFormat="false" ht="15" hidden="false" customHeight="false" outlineLevel="0" collapsed="false">
      <c r="A962" s="36" t="s">
        <v>1414</v>
      </c>
      <c r="B962" s="36" t="s">
        <v>1210</v>
      </c>
      <c r="C962" s="36" t="s">
        <v>241</v>
      </c>
      <c r="D962" s="36" t="s">
        <v>285</v>
      </c>
      <c r="E962" s="36" t="n">
        <v>4</v>
      </c>
      <c r="F962" s="36" t="n">
        <v>350</v>
      </c>
      <c r="G962" s="36" t="s">
        <v>251</v>
      </c>
      <c r="H962" s="36" t="s">
        <v>132</v>
      </c>
    </row>
    <row r="963" customFormat="false" ht="15" hidden="false" customHeight="false" outlineLevel="0" collapsed="false">
      <c r="A963" s="36" t="s">
        <v>1415</v>
      </c>
      <c r="B963" s="36" t="s">
        <v>1373</v>
      </c>
      <c r="C963" s="36" t="s">
        <v>254</v>
      </c>
      <c r="D963" s="36" t="s">
        <v>327</v>
      </c>
      <c r="E963" s="36" t="n">
        <v>4</v>
      </c>
      <c r="F963" s="36" t="s">
        <v>936</v>
      </c>
      <c r="G963" s="36" t="s">
        <v>267</v>
      </c>
      <c r="H963" s="36" t="s">
        <v>308</v>
      </c>
    </row>
    <row r="964" customFormat="false" ht="15" hidden="false" customHeight="false" outlineLevel="0" collapsed="false">
      <c r="A964" s="36" t="s">
        <v>1416</v>
      </c>
      <c r="B964" s="36" t="s">
        <v>1210</v>
      </c>
      <c r="C964" s="36" t="s">
        <v>130</v>
      </c>
      <c r="D964" s="36" t="s">
        <v>530</v>
      </c>
      <c r="E964" s="36" t="n">
        <v>1</v>
      </c>
      <c r="F964" s="36" t="n">
        <v>60</v>
      </c>
      <c r="G964" s="36" t="s">
        <v>260</v>
      </c>
      <c r="H964" s="36" t="s">
        <v>247</v>
      </c>
    </row>
    <row r="965" customFormat="false" ht="15" hidden="false" customHeight="false" outlineLevel="0" collapsed="false">
      <c r="A965" s="36" t="s">
        <v>1417</v>
      </c>
      <c r="B965" s="36" t="s">
        <v>1373</v>
      </c>
      <c r="C965" s="36" t="s">
        <v>130</v>
      </c>
      <c r="D965" s="36" t="s">
        <v>361</v>
      </c>
      <c r="E965" s="36" t="n">
        <v>3</v>
      </c>
      <c r="F965" s="36" t="n">
        <v>330</v>
      </c>
      <c r="G965" s="36" t="s">
        <v>251</v>
      </c>
      <c r="H965" s="36" t="s">
        <v>132</v>
      </c>
    </row>
    <row r="966" customFormat="false" ht="15" hidden="false" customHeight="false" outlineLevel="0" collapsed="false">
      <c r="A966" s="36" t="s">
        <v>1418</v>
      </c>
      <c r="B966" s="36" t="s">
        <v>1373</v>
      </c>
      <c r="C966" s="36" t="s">
        <v>294</v>
      </c>
      <c r="D966" s="36" t="s">
        <v>361</v>
      </c>
      <c r="E966" s="36" t="n">
        <v>6</v>
      </c>
      <c r="F966" s="36" t="n">
        <v>330</v>
      </c>
      <c r="G966" s="36" t="s">
        <v>251</v>
      </c>
      <c r="H966" s="36" t="s">
        <v>247</v>
      </c>
    </row>
    <row r="967" customFormat="false" ht="15" hidden="false" customHeight="false" outlineLevel="0" collapsed="false">
      <c r="A967" s="36" t="s">
        <v>1419</v>
      </c>
      <c r="B967" s="36" t="s">
        <v>1373</v>
      </c>
      <c r="C967" s="36" t="s">
        <v>249</v>
      </c>
      <c r="D967" s="36" t="s">
        <v>646</v>
      </c>
      <c r="E967" s="36" t="n">
        <v>2</v>
      </c>
      <c r="F967" s="36" t="n">
        <v>110</v>
      </c>
      <c r="G967" s="36" t="s">
        <v>251</v>
      </c>
      <c r="H967" s="36" t="s">
        <v>145</v>
      </c>
    </row>
    <row r="968" customFormat="false" ht="15" hidden="false" customHeight="false" outlineLevel="0" collapsed="false">
      <c r="A968" s="36" t="s">
        <v>1420</v>
      </c>
      <c r="B968" s="36" t="s">
        <v>1210</v>
      </c>
      <c r="C968" s="36" t="s">
        <v>254</v>
      </c>
      <c r="D968" s="36" t="s">
        <v>159</v>
      </c>
      <c r="E968" s="36" t="n">
        <v>1</v>
      </c>
      <c r="F968" s="36" t="s">
        <v>380</v>
      </c>
      <c r="G968" s="36" t="s">
        <v>243</v>
      </c>
      <c r="H968" s="36" t="s">
        <v>140</v>
      </c>
    </row>
    <row r="969" customFormat="false" ht="15" hidden="false" customHeight="false" outlineLevel="0" collapsed="false">
      <c r="A969" s="36" t="s">
        <v>1421</v>
      </c>
      <c r="B969" s="36" t="s">
        <v>1373</v>
      </c>
      <c r="C969" s="36" t="s">
        <v>43</v>
      </c>
      <c r="D969" s="36" t="s">
        <v>161</v>
      </c>
      <c r="E969" s="36" t="n">
        <v>4</v>
      </c>
      <c r="F969" s="36" t="n">
        <v>40</v>
      </c>
      <c r="G969" s="36" t="s">
        <v>263</v>
      </c>
      <c r="H969" s="36" t="s">
        <v>132</v>
      </c>
    </row>
    <row r="970" customFormat="false" ht="15" hidden="false" customHeight="false" outlineLevel="0" collapsed="false">
      <c r="A970" s="36" t="s">
        <v>1422</v>
      </c>
      <c r="B970" s="37" t="n">
        <v>46271</v>
      </c>
      <c r="C970" s="36" t="s">
        <v>43</v>
      </c>
      <c r="D970" s="36" t="s">
        <v>783</v>
      </c>
      <c r="E970" s="36" t="n">
        <v>2</v>
      </c>
      <c r="F970" s="36" t="s">
        <v>420</v>
      </c>
      <c r="G970" s="36" t="s">
        <v>251</v>
      </c>
      <c r="H970" s="36" t="s">
        <v>141</v>
      </c>
    </row>
    <row r="971" customFormat="false" ht="15" hidden="false" customHeight="false" outlineLevel="0" collapsed="false">
      <c r="A971" s="36" t="s">
        <v>1423</v>
      </c>
      <c r="B971" s="36" t="s">
        <v>1373</v>
      </c>
      <c r="C971" s="36" t="s">
        <v>139</v>
      </c>
      <c r="D971" s="36" t="s">
        <v>154</v>
      </c>
      <c r="E971" s="36" t="s">
        <v>282</v>
      </c>
      <c r="F971" s="36" t="s">
        <v>275</v>
      </c>
      <c r="G971" s="36" t="s">
        <v>260</v>
      </c>
      <c r="H971" s="36" t="s">
        <v>146</v>
      </c>
    </row>
    <row r="972" customFormat="false" ht="15" hidden="false" customHeight="false" outlineLevel="0" collapsed="false">
      <c r="A972" s="36" t="s">
        <v>1424</v>
      </c>
      <c r="B972" s="36" t="s">
        <v>1373</v>
      </c>
      <c r="C972" s="36" t="s">
        <v>43</v>
      </c>
      <c r="D972" s="36" t="s">
        <v>208</v>
      </c>
      <c r="E972" s="36" t="s">
        <v>403</v>
      </c>
      <c r="F972" s="36" t="s">
        <v>378</v>
      </c>
      <c r="G972" s="36" t="s">
        <v>243</v>
      </c>
      <c r="H972" s="36" t="s">
        <v>141</v>
      </c>
    </row>
    <row r="973" customFormat="false" ht="15" hidden="false" customHeight="false" outlineLevel="0" collapsed="false">
      <c r="A973" s="36" t="s">
        <v>1425</v>
      </c>
      <c r="B973" s="36" t="s">
        <v>1210</v>
      </c>
      <c r="C973" s="36" t="s">
        <v>43</v>
      </c>
      <c r="D973" s="36" t="s">
        <v>1318</v>
      </c>
      <c r="E973" s="36" t="n">
        <v>2</v>
      </c>
      <c r="F973" s="36" t="s">
        <v>262</v>
      </c>
      <c r="G973" s="36" t="s">
        <v>246</v>
      </c>
      <c r="H973" s="36" t="s">
        <v>141</v>
      </c>
    </row>
    <row r="974" customFormat="false" ht="15" hidden="false" customHeight="false" outlineLevel="0" collapsed="false">
      <c r="A974" s="36" t="s">
        <v>1426</v>
      </c>
      <c r="B974" s="37" t="n">
        <v>46271</v>
      </c>
      <c r="C974" s="36" t="s">
        <v>139</v>
      </c>
      <c r="D974" s="36" t="s">
        <v>299</v>
      </c>
      <c r="E974" s="36" t="n">
        <v>3</v>
      </c>
      <c r="F974" s="36" t="s">
        <v>319</v>
      </c>
      <c r="G974" s="36" t="s">
        <v>243</v>
      </c>
      <c r="H974" s="36" t="s">
        <v>321</v>
      </c>
    </row>
    <row r="975" customFormat="false" ht="15" hidden="false" customHeight="false" outlineLevel="0" collapsed="false">
      <c r="A975" s="36" t="s">
        <v>1427</v>
      </c>
      <c r="B975" s="36" t="s">
        <v>1210</v>
      </c>
      <c r="C975" s="36" t="s">
        <v>335</v>
      </c>
      <c r="D975" s="36" t="s">
        <v>678</v>
      </c>
      <c r="E975" s="36" t="n">
        <v>2</v>
      </c>
      <c r="F975" s="36" t="s">
        <v>245</v>
      </c>
      <c r="G975" s="36" t="s">
        <v>263</v>
      </c>
      <c r="H975" s="36" t="s">
        <v>141</v>
      </c>
    </row>
    <row r="976" customFormat="false" ht="15" hidden="false" customHeight="false" outlineLevel="0" collapsed="false">
      <c r="A976" s="36" t="s">
        <v>1428</v>
      </c>
      <c r="B976" s="36" t="s">
        <v>1210</v>
      </c>
      <c r="C976" s="36" t="s">
        <v>43</v>
      </c>
      <c r="D976" s="36" t="s">
        <v>1177</v>
      </c>
      <c r="E976" s="36" t="n">
        <v>4</v>
      </c>
      <c r="F976" s="36" t="s">
        <v>323</v>
      </c>
      <c r="G976" s="36" t="s">
        <v>246</v>
      </c>
      <c r="H976" s="36" t="s">
        <v>321</v>
      </c>
    </row>
    <row r="977" customFormat="false" ht="15" hidden="false" customHeight="false" outlineLevel="0" collapsed="false">
      <c r="A977" s="36" t="s">
        <v>1429</v>
      </c>
      <c r="B977" s="36" t="s">
        <v>1210</v>
      </c>
      <c r="C977" s="36" t="s">
        <v>333</v>
      </c>
      <c r="D977" s="36" t="s">
        <v>174</v>
      </c>
      <c r="E977" s="36" t="n">
        <v>2</v>
      </c>
      <c r="F977" s="36" t="s">
        <v>759</v>
      </c>
      <c r="G977" s="36" t="s">
        <v>251</v>
      </c>
      <c r="H977" s="36" t="s">
        <v>131</v>
      </c>
    </row>
    <row r="978" customFormat="false" ht="15" hidden="false" customHeight="false" outlineLevel="0" collapsed="false">
      <c r="A978" s="36" t="s">
        <v>1430</v>
      </c>
      <c r="B978" s="36" t="s">
        <v>1373</v>
      </c>
      <c r="C978" s="36" t="s">
        <v>139</v>
      </c>
      <c r="D978" s="36" t="s">
        <v>648</v>
      </c>
      <c r="E978" s="36" t="s">
        <v>403</v>
      </c>
      <c r="F978" s="36" t="s">
        <v>378</v>
      </c>
      <c r="G978" s="36" t="s">
        <v>246</v>
      </c>
      <c r="H978" s="36" t="s">
        <v>146</v>
      </c>
    </row>
    <row r="979" customFormat="false" ht="15" hidden="false" customHeight="false" outlineLevel="0" collapsed="false">
      <c r="A979" s="36" t="s">
        <v>1431</v>
      </c>
      <c r="B979" s="36" t="s">
        <v>1210</v>
      </c>
      <c r="C979" s="36" t="s">
        <v>333</v>
      </c>
      <c r="D979" s="36" t="s">
        <v>349</v>
      </c>
      <c r="E979" s="36" t="n">
        <v>1</v>
      </c>
      <c r="F979" s="36" t="s">
        <v>325</v>
      </c>
      <c r="G979" s="36" t="s">
        <v>246</v>
      </c>
      <c r="H979" s="36" t="s">
        <v>131</v>
      </c>
    </row>
    <row r="980" customFormat="false" ht="15" hidden="false" customHeight="false" outlineLevel="0" collapsed="false">
      <c r="A980" s="36" t="s">
        <v>1432</v>
      </c>
      <c r="B980" s="37" t="n">
        <v>46271</v>
      </c>
      <c r="C980" s="36" t="s">
        <v>335</v>
      </c>
      <c r="D980" s="36" t="s">
        <v>202</v>
      </c>
      <c r="E980" s="36" t="n">
        <v>2</v>
      </c>
      <c r="F980" s="36" t="s">
        <v>509</v>
      </c>
      <c r="G980" s="36" t="s">
        <v>267</v>
      </c>
      <c r="H980" s="36" t="s">
        <v>132</v>
      </c>
    </row>
    <row r="981" customFormat="false" ht="15" hidden="false" customHeight="false" outlineLevel="0" collapsed="false">
      <c r="A981" s="36" t="s">
        <v>1433</v>
      </c>
      <c r="B981" s="36" t="s">
        <v>1373</v>
      </c>
      <c r="C981" s="36" t="s">
        <v>43</v>
      </c>
      <c r="D981" s="36" t="s">
        <v>192</v>
      </c>
      <c r="E981" s="36" t="n">
        <v>3</v>
      </c>
      <c r="F981" s="36" t="n">
        <v>420</v>
      </c>
      <c r="G981" s="36" t="s">
        <v>267</v>
      </c>
      <c r="H981" s="36" t="s">
        <v>247</v>
      </c>
    </row>
    <row r="982" customFormat="false" ht="15" hidden="false" customHeight="false" outlineLevel="0" collapsed="false">
      <c r="A982" s="36" t="s">
        <v>1434</v>
      </c>
      <c r="B982" s="36" t="s">
        <v>1373</v>
      </c>
      <c r="C982" s="36" t="s">
        <v>43</v>
      </c>
      <c r="D982" s="36" t="s">
        <v>566</v>
      </c>
      <c r="E982" s="36" t="n">
        <v>3</v>
      </c>
      <c r="F982" s="36" t="n">
        <v>310</v>
      </c>
      <c r="G982" s="36" t="s">
        <v>256</v>
      </c>
      <c r="H982" s="36" t="s">
        <v>131</v>
      </c>
    </row>
    <row r="983" customFormat="false" ht="15" hidden="false" customHeight="false" outlineLevel="0" collapsed="false">
      <c r="A983" s="36" t="s">
        <v>1435</v>
      </c>
      <c r="B983" s="36" t="s">
        <v>1210</v>
      </c>
      <c r="C983" s="36" t="s">
        <v>333</v>
      </c>
      <c r="D983" s="36" t="s">
        <v>188</v>
      </c>
      <c r="E983" s="36" t="s">
        <v>395</v>
      </c>
      <c r="F983" s="36" t="s">
        <v>1436</v>
      </c>
      <c r="G983" s="36" t="s">
        <v>260</v>
      </c>
      <c r="H983" s="36" t="s">
        <v>132</v>
      </c>
    </row>
    <row r="984" customFormat="false" ht="15" hidden="false" customHeight="false" outlineLevel="0" collapsed="false">
      <c r="A984" s="36" t="s">
        <v>1437</v>
      </c>
      <c r="B984" s="36" t="s">
        <v>1210</v>
      </c>
      <c r="C984" s="36" t="s">
        <v>335</v>
      </c>
      <c r="D984" s="36" t="s">
        <v>566</v>
      </c>
      <c r="E984" s="36" t="n">
        <v>1</v>
      </c>
      <c r="F984" s="36" t="s">
        <v>283</v>
      </c>
      <c r="G984" s="36" t="s">
        <v>263</v>
      </c>
      <c r="H984" s="36" t="s">
        <v>247</v>
      </c>
    </row>
    <row r="985" customFormat="false" ht="15" hidden="false" customHeight="false" outlineLevel="0" collapsed="false">
      <c r="A985" s="36" t="s">
        <v>1438</v>
      </c>
      <c r="B985" s="36" t="s">
        <v>1210</v>
      </c>
      <c r="C985" s="36" t="s">
        <v>43</v>
      </c>
      <c r="D985" s="36" t="s">
        <v>357</v>
      </c>
      <c r="E985" s="36" t="n">
        <v>1</v>
      </c>
      <c r="F985" s="36" t="n">
        <v>330</v>
      </c>
      <c r="G985" s="36" t="s">
        <v>246</v>
      </c>
      <c r="H985" s="36" t="s">
        <v>146</v>
      </c>
    </row>
    <row r="986" customFormat="false" ht="15" hidden="false" customHeight="false" outlineLevel="0" collapsed="false">
      <c r="A986" s="36" t="s">
        <v>1439</v>
      </c>
      <c r="B986" s="36" t="s">
        <v>1210</v>
      </c>
      <c r="C986" s="36" t="s">
        <v>333</v>
      </c>
      <c r="D986" s="36" t="s">
        <v>181</v>
      </c>
      <c r="E986" s="36" t="n">
        <v>2</v>
      </c>
      <c r="F986" s="36" t="n">
        <v>450</v>
      </c>
      <c r="G986" s="36" t="s">
        <v>263</v>
      </c>
      <c r="H986" s="36" t="s">
        <v>131</v>
      </c>
    </row>
    <row r="987" customFormat="false" ht="15" hidden="false" customHeight="false" outlineLevel="0" collapsed="false">
      <c r="A987" s="36" t="s">
        <v>1440</v>
      </c>
      <c r="B987" s="36" t="s">
        <v>1373</v>
      </c>
      <c r="C987" s="36" t="s">
        <v>43</v>
      </c>
      <c r="D987" s="36" t="s">
        <v>405</v>
      </c>
      <c r="E987" s="36" t="n">
        <v>2</v>
      </c>
      <c r="F987" s="36" t="s">
        <v>275</v>
      </c>
      <c r="G987" s="36" t="s">
        <v>256</v>
      </c>
      <c r="H987" s="36" t="s">
        <v>131</v>
      </c>
    </row>
    <row r="988" customFormat="false" ht="15" hidden="false" customHeight="false" outlineLevel="0" collapsed="false">
      <c r="A988" s="36" t="s">
        <v>1441</v>
      </c>
      <c r="B988" s="36" t="s">
        <v>1210</v>
      </c>
      <c r="C988" s="36" t="s">
        <v>333</v>
      </c>
      <c r="D988" s="36" t="s">
        <v>382</v>
      </c>
      <c r="E988" s="36" t="n">
        <v>1</v>
      </c>
      <c r="F988" s="36" t="n">
        <v>130</v>
      </c>
      <c r="G988" s="36" t="s">
        <v>263</v>
      </c>
      <c r="H988" s="36" t="s">
        <v>308</v>
      </c>
    </row>
    <row r="989" customFormat="false" ht="15" hidden="false" customHeight="false" outlineLevel="0" collapsed="false">
      <c r="A989" s="36" t="s">
        <v>1442</v>
      </c>
      <c r="B989" s="36" t="s">
        <v>1373</v>
      </c>
      <c r="C989" s="36" t="s">
        <v>333</v>
      </c>
      <c r="D989" s="36" t="s">
        <v>191</v>
      </c>
      <c r="E989" s="36" t="n">
        <v>1</v>
      </c>
      <c r="F989" s="36" t="n">
        <v>360</v>
      </c>
      <c r="G989" s="36" t="s">
        <v>251</v>
      </c>
      <c r="H989" s="36" t="s">
        <v>247</v>
      </c>
    </row>
    <row r="990" customFormat="false" ht="15" hidden="false" customHeight="false" outlineLevel="0" collapsed="false">
      <c r="A990" s="36" t="s">
        <v>1443</v>
      </c>
      <c r="B990" s="36" t="s">
        <v>1210</v>
      </c>
      <c r="C990" s="36" t="s">
        <v>43</v>
      </c>
      <c r="D990" s="36" t="s">
        <v>155</v>
      </c>
      <c r="E990" s="36" t="n">
        <v>3</v>
      </c>
      <c r="F990" s="36" t="s">
        <v>292</v>
      </c>
      <c r="G990" s="36" t="s">
        <v>251</v>
      </c>
      <c r="H990" s="36" t="s">
        <v>132</v>
      </c>
    </row>
    <row r="991" customFormat="false" ht="15" hidden="false" customHeight="false" outlineLevel="0" collapsed="false">
      <c r="A991" s="36" t="s">
        <v>1444</v>
      </c>
      <c r="B991" s="36" t="s">
        <v>1210</v>
      </c>
      <c r="C991" s="36" t="s">
        <v>333</v>
      </c>
      <c r="D991" s="36" t="s">
        <v>337</v>
      </c>
      <c r="E991" s="36" t="n">
        <v>2</v>
      </c>
      <c r="F991" s="36" t="s">
        <v>547</v>
      </c>
      <c r="G991" s="36" t="s">
        <v>256</v>
      </c>
      <c r="H991" s="36" t="s">
        <v>141</v>
      </c>
    </row>
    <row r="992" customFormat="false" ht="15" hidden="false" customHeight="false" outlineLevel="0" collapsed="false">
      <c r="A992" s="36" t="s">
        <v>1445</v>
      </c>
      <c r="B992" s="36" t="s">
        <v>1373</v>
      </c>
      <c r="C992" s="36" t="s">
        <v>335</v>
      </c>
      <c r="D992" s="36" t="s">
        <v>134</v>
      </c>
      <c r="E992" s="36" t="n">
        <v>6</v>
      </c>
      <c r="F992" s="36" t="n">
        <v>190</v>
      </c>
      <c r="G992" s="36" t="s">
        <v>267</v>
      </c>
      <c r="H992" s="36" t="s">
        <v>131</v>
      </c>
    </row>
    <row r="993" customFormat="false" ht="15" hidden="false" customHeight="false" outlineLevel="0" collapsed="false">
      <c r="A993" s="36" t="s">
        <v>1446</v>
      </c>
      <c r="B993" s="36" t="s">
        <v>1373</v>
      </c>
      <c r="C993" s="36" t="s">
        <v>43</v>
      </c>
      <c r="D993" s="36" t="s">
        <v>161</v>
      </c>
      <c r="E993" s="36" t="n">
        <v>3</v>
      </c>
      <c r="F993" s="36" t="s">
        <v>363</v>
      </c>
      <c r="G993" s="36" t="s">
        <v>260</v>
      </c>
      <c r="H993" s="36" t="s">
        <v>321</v>
      </c>
    </row>
    <row r="994" customFormat="false" ht="15" hidden="false" customHeight="false" outlineLevel="0" collapsed="false">
      <c r="A994" s="36" t="s">
        <v>1447</v>
      </c>
      <c r="B994" s="36" t="s">
        <v>1373</v>
      </c>
      <c r="C994" s="36" t="s">
        <v>43</v>
      </c>
      <c r="D994" s="36" t="s">
        <v>976</v>
      </c>
      <c r="E994" s="36" t="n">
        <v>6</v>
      </c>
      <c r="F994" s="36" t="s">
        <v>387</v>
      </c>
      <c r="G994" s="36" t="s">
        <v>263</v>
      </c>
      <c r="H994" s="36" t="s">
        <v>321</v>
      </c>
    </row>
    <row r="995" customFormat="false" ht="15" hidden="false" customHeight="false" outlineLevel="0" collapsed="false">
      <c r="A995" s="36" t="s">
        <v>1448</v>
      </c>
      <c r="B995" s="36" t="s">
        <v>1373</v>
      </c>
      <c r="C995" s="36" t="s">
        <v>43</v>
      </c>
      <c r="D995" s="36" t="s">
        <v>179</v>
      </c>
      <c r="E995" s="36" t="n">
        <v>4</v>
      </c>
      <c r="F995" s="36" t="s">
        <v>283</v>
      </c>
      <c r="G995" s="36" t="s">
        <v>263</v>
      </c>
      <c r="H995" s="36" t="s">
        <v>141</v>
      </c>
    </row>
    <row r="996" customFormat="false" ht="15" hidden="false" customHeight="false" outlineLevel="0" collapsed="false">
      <c r="A996" s="36" t="s">
        <v>1449</v>
      </c>
      <c r="B996" s="36" t="s">
        <v>1210</v>
      </c>
      <c r="C996" s="36" t="s">
        <v>43</v>
      </c>
      <c r="D996" s="36" t="s">
        <v>169</v>
      </c>
      <c r="E996" s="36" t="s">
        <v>403</v>
      </c>
      <c r="F996" s="36" t="n">
        <v>65</v>
      </c>
      <c r="G996" s="36" t="s">
        <v>267</v>
      </c>
      <c r="H996" s="36" t="s">
        <v>132</v>
      </c>
    </row>
    <row r="997" customFormat="false" ht="15" hidden="false" customHeight="false" outlineLevel="0" collapsed="false">
      <c r="A997" s="36" t="s">
        <v>1450</v>
      </c>
      <c r="B997" s="36" t="s">
        <v>1373</v>
      </c>
      <c r="C997" s="36" t="s">
        <v>43</v>
      </c>
      <c r="D997" s="36" t="s">
        <v>163</v>
      </c>
      <c r="E997" s="36" t="n">
        <v>3</v>
      </c>
      <c r="F997" s="36" t="n">
        <v>40</v>
      </c>
      <c r="G997" s="36" t="s">
        <v>256</v>
      </c>
      <c r="H997" s="36" t="s">
        <v>132</v>
      </c>
    </row>
    <row r="998" customFormat="false" ht="15" hidden="false" customHeight="false" outlineLevel="0" collapsed="false">
      <c r="A998" s="36" t="s">
        <v>1451</v>
      </c>
      <c r="B998" s="36" t="s">
        <v>1373</v>
      </c>
      <c r="C998" s="36" t="s">
        <v>333</v>
      </c>
      <c r="D998" s="36" t="s">
        <v>530</v>
      </c>
      <c r="E998" s="36" t="n">
        <v>1</v>
      </c>
      <c r="F998" s="36" t="n">
        <v>60</v>
      </c>
      <c r="G998" s="36" t="s">
        <v>263</v>
      </c>
      <c r="H998" s="36" t="s">
        <v>306</v>
      </c>
    </row>
    <row r="999" customFormat="false" ht="15" hidden="false" customHeight="false" outlineLevel="0" collapsed="false">
      <c r="A999" s="36" t="s">
        <v>1452</v>
      </c>
      <c r="B999" s="36" t="s">
        <v>1210</v>
      </c>
      <c r="C999" s="36" t="s">
        <v>335</v>
      </c>
      <c r="D999" s="36" t="s">
        <v>405</v>
      </c>
      <c r="E999" s="36" t="n">
        <v>1</v>
      </c>
      <c r="F999" s="36" t="n">
        <v>330</v>
      </c>
      <c r="G999" s="36" t="s">
        <v>246</v>
      </c>
      <c r="H999" s="36" t="s">
        <v>140</v>
      </c>
    </row>
    <row r="1000" customFormat="false" ht="15" hidden="false" customHeight="false" outlineLevel="0" collapsed="false">
      <c r="A1000" s="36" t="s">
        <v>1453</v>
      </c>
      <c r="B1000" s="36" t="s">
        <v>1373</v>
      </c>
      <c r="C1000" s="36" t="s">
        <v>333</v>
      </c>
      <c r="D1000" s="36" t="s">
        <v>202</v>
      </c>
      <c r="E1000" s="36" t="n">
        <v>1</v>
      </c>
      <c r="F1000" s="36" t="n">
        <v>140</v>
      </c>
      <c r="G1000" s="36" t="s">
        <v>263</v>
      </c>
      <c r="H1000" s="36" t="s">
        <v>146</v>
      </c>
    </row>
    <row r="1001" customFormat="false" ht="15" hidden="false" customHeight="false" outlineLevel="0" collapsed="false">
      <c r="A1001" s="36" t="s">
        <v>1454</v>
      </c>
      <c r="B1001" s="36" t="s">
        <v>1210</v>
      </c>
      <c r="C1001" s="36" t="s">
        <v>335</v>
      </c>
      <c r="D1001" s="36" t="s">
        <v>471</v>
      </c>
      <c r="E1001" s="36" t="n">
        <v>2</v>
      </c>
      <c r="F1001" s="36" t="n">
        <v>120</v>
      </c>
      <c r="G1001" s="36" t="s">
        <v>263</v>
      </c>
      <c r="H1001" s="36" t="s">
        <v>146</v>
      </c>
    </row>
    <row r="1002" customFormat="false" ht="15" hidden="false" customHeight="false" outlineLevel="0" collapsed="false">
      <c r="A1002" s="36" t="s">
        <v>1455</v>
      </c>
      <c r="B1002" s="36" t="s">
        <v>1373</v>
      </c>
      <c r="C1002" s="36" t="s">
        <v>43</v>
      </c>
      <c r="D1002" s="36" t="s">
        <v>492</v>
      </c>
      <c r="E1002" s="36" t="n">
        <v>3</v>
      </c>
      <c r="F1002" s="36" t="n">
        <v>65</v>
      </c>
      <c r="G1002" s="36" t="s">
        <v>256</v>
      </c>
      <c r="H1002" s="36" t="s">
        <v>141</v>
      </c>
    </row>
    <row r="1003" customFormat="false" ht="15" hidden="false" customHeight="false" outlineLevel="0" collapsed="false">
      <c r="A1003" s="36" t="s">
        <v>1456</v>
      </c>
      <c r="B1003" s="36" t="s">
        <v>1373</v>
      </c>
      <c r="C1003" s="36" t="s">
        <v>335</v>
      </c>
      <c r="D1003" s="36" t="s">
        <v>223</v>
      </c>
      <c r="E1003" s="36" t="n">
        <v>6</v>
      </c>
      <c r="F1003" s="36" t="n">
        <v>130</v>
      </c>
      <c r="G1003" s="36" t="s">
        <v>267</v>
      </c>
      <c r="H1003" s="36" t="s">
        <v>141</v>
      </c>
    </row>
    <row r="1004" customFormat="false" ht="15" hidden="false" customHeight="false" outlineLevel="0" collapsed="false">
      <c r="A1004" s="36" t="s">
        <v>1457</v>
      </c>
      <c r="B1004" s="37" t="n">
        <v>46271</v>
      </c>
      <c r="C1004" s="36" t="s">
        <v>43</v>
      </c>
      <c r="D1004" s="36" t="s">
        <v>160</v>
      </c>
      <c r="E1004" s="36" t="n">
        <v>2</v>
      </c>
      <c r="F1004" s="36" t="s">
        <v>936</v>
      </c>
      <c r="G1004" s="36" t="s">
        <v>256</v>
      </c>
      <c r="H1004" s="36" t="s">
        <v>141</v>
      </c>
    </row>
    <row r="1005" customFormat="false" ht="15" hidden="false" customHeight="false" outlineLevel="0" collapsed="false">
      <c r="A1005" s="36" t="s">
        <v>1458</v>
      </c>
      <c r="B1005" s="36" t="s">
        <v>1210</v>
      </c>
      <c r="C1005" s="36" t="s">
        <v>43</v>
      </c>
      <c r="D1005" s="36" t="s">
        <v>876</v>
      </c>
      <c r="E1005" s="36" t="n">
        <v>4</v>
      </c>
      <c r="F1005" s="36" t="s">
        <v>380</v>
      </c>
      <c r="G1005" s="36" t="s">
        <v>260</v>
      </c>
      <c r="H1005" s="36" t="s">
        <v>141</v>
      </c>
    </row>
    <row r="1006" customFormat="false" ht="15" hidden="false" customHeight="false" outlineLevel="0" collapsed="false">
      <c r="A1006" s="36" t="s">
        <v>1459</v>
      </c>
      <c r="B1006" s="36" t="s">
        <v>1210</v>
      </c>
      <c r="C1006" s="36" t="s">
        <v>139</v>
      </c>
      <c r="D1006" s="36" t="s">
        <v>714</v>
      </c>
      <c r="E1006" s="36" t="n">
        <v>6</v>
      </c>
      <c r="F1006" s="36" t="s">
        <v>259</v>
      </c>
      <c r="G1006" s="36" t="s">
        <v>256</v>
      </c>
      <c r="H1006" s="36" t="s">
        <v>247</v>
      </c>
    </row>
    <row r="1007" customFormat="false" ht="15" hidden="false" customHeight="false" outlineLevel="0" collapsed="false">
      <c r="A1007" s="36" t="s">
        <v>1460</v>
      </c>
      <c r="B1007" s="36" t="s">
        <v>1210</v>
      </c>
      <c r="C1007" s="36" t="s">
        <v>554</v>
      </c>
      <c r="D1007" s="36" t="s">
        <v>204</v>
      </c>
      <c r="E1007" s="36" t="n">
        <v>6</v>
      </c>
      <c r="F1007" s="36" t="n">
        <v>117</v>
      </c>
      <c r="G1007" s="36" t="s">
        <v>246</v>
      </c>
      <c r="H1007" s="36" t="s">
        <v>140</v>
      </c>
    </row>
    <row r="1008" customFormat="false" ht="15" hidden="false" customHeight="false" outlineLevel="0" collapsed="false">
      <c r="A1008" s="36" t="s">
        <v>1461</v>
      </c>
      <c r="B1008" s="36" t="s">
        <v>1210</v>
      </c>
      <c r="C1008" s="36" t="s">
        <v>144</v>
      </c>
      <c r="D1008" s="36" t="s">
        <v>143</v>
      </c>
      <c r="E1008" s="36" t="n">
        <v>6</v>
      </c>
      <c r="F1008" s="36" t="s">
        <v>358</v>
      </c>
      <c r="G1008" s="36" t="s">
        <v>270</v>
      </c>
      <c r="H1008" s="36" t="s">
        <v>140</v>
      </c>
    </row>
    <row r="1009" customFormat="false" ht="15" hidden="false" customHeight="false" outlineLevel="0" collapsed="false">
      <c r="A1009" s="36" t="s">
        <v>1462</v>
      </c>
      <c r="B1009" s="36" t="s">
        <v>1210</v>
      </c>
      <c r="C1009" s="36" t="s">
        <v>44</v>
      </c>
      <c r="D1009" s="36" t="s">
        <v>178</v>
      </c>
      <c r="E1009" s="36" t="n">
        <v>2</v>
      </c>
      <c r="F1009" s="36" t="n">
        <v>280</v>
      </c>
      <c r="G1009" s="36" t="s">
        <v>256</v>
      </c>
      <c r="H1009" s="36" t="s">
        <v>321</v>
      </c>
    </row>
    <row r="1010" customFormat="false" ht="15" hidden="false" customHeight="false" outlineLevel="0" collapsed="false">
      <c r="A1010" s="36" t="s">
        <v>1463</v>
      </c>
      <c r="B1010" s="36" t="s">
        <v>1210</v>
      </c>
      <c r="C1010" s="36" t="s">
        <v>144</v>
      </c>
      <c r="D1010" s="36" t="s">
        <v>163</v>
      </c>
      <c r="E1010" s="36" t="n">
        <v>1</v>
      </c>
      <c r="F1010" s="36" t="s">
        <v>699</v>
      </c>
      <c r="G1010" s="36" t="s">
        <v>251</v>
      </c>
      <c r="H1010" s="36" t="s">
        <v>306</v>
      </c>
    </row>
    <row r="1011" customFormat="false" ht="15" hidden="false" customHeight="false" outlineLevel="0" collapsed="false">
      <c r="A1011" s="36" t="s">
        <v>1464</v>
      </c>
      <c r="B1011" s="36" t="s">
        <v>1210</v>
      </c>
      <c r="C1011" s="36" t="s">
        <v>144</v>
      </c>
      <c r="D1011" s="36" t="s">
        <v>277</v>
      </c>
      <c r="E1011" s="36" t="n">
        <v>2</v>
      </c>
      <c r="F1011" s="36" t="n">
        <v>350</v>
      </c>
      <c r="G1011" s="36" t="s">
        <v>256</v>
      </c>
      <c r="H1011" s="36" t="s">
        <v>308</v>
      </c>
    </row>
    <row r="1012" customFormat="false" ht="15" hidden="false" customHeight="false" outlineLevel="0" collapsed="false">
      <c r="A1012" s="36" t="s">
        <v>1465</v>
      </c>
      <c r="B1012" s="36" t="s">
        <v>1373</v>
      </c>
      <c r="C1012" s="36" t="s">
        <v>554</v>
      </c>
      <c r="D1012" s="36" t="s">
        <v>310</v>
      </c>
      <c r="E1012" s="36" t="n">
        <v>3</v>
      </c>
      <c r="F1012" s="36" t="n">
        <v>360</v>
      </c>
      <c r="G1012" s="36" t="s">
        <v>251</v>
      </c>
      <c r="H1012" s="36" t="s">
        <v>132</v>
      </c>
    </row>
    <row r="1013" customFormat="false" ht="15" hidden="false" customHeight="false" outlineLevel="0" collapsed="false">
      <c r="A1013" s="36" t="s">
        <v>1466</v>
      </c>
      <c r="B1013" s="36" t="s">
        <v>1373</v>
      </c>
      <c r="C1013" s="36" t="s">
        <v>44</v>
      </c>
      <c r="D1013" s="36" t="s">
        <v>194</v>
      </c>
      <c r="E1013" s="36" t="n">
        <v>3</v>
      </c>
      <c r="F1013" s="36" t="n">
        <v>130</v>
      </c>
      <c r="G1013" s="36" t="s">
        <v>251</v>
      </c>
      <c r="H1013" s="36" t="s">
        <v>132</v>
      </c>
    </row>
    <row r="1014" customFormat="false" ht="15" hidden="false" customHeight="false" outlineLevel="0" collapsed="false">
      <c r="A1014" s="36" t="s">
        <v>1467</v>
      </c>
      <c r="B1014" s="36" t="s">
        <v>1210</v>
      </c>
      <c r="C1014" s="36" t="s">
        <v>44</v>
      </c>
      <c r="D1014" s="36" t="s">
        <v>217</v>
      </c>
      <c r="E1014" s="36" t="n">
        <v>1</v>
      </c>
      <c r="F1014" s="36" t="n">
        <v>76</v>
      </c>
      <c r="G1014" s="36" t="s">
        <v>256</v>
      </c>
      <c r="H1014" s="36" t="s">
        <v>306</v>
      </c>
    </row>
    <row r="1015" customFormat="false" ht="15" hidden="false" customHeight="false" outlineLevel="0" collapsed="false">
      <c r="A1015" s="36" t="s">
        <v>1468</v>
      </c>
      <c r="B1015" s="36" t="s">
        <v>1210</v>
      </c>
      <c r="C1015" s="36" t="s">
        <v>44</v>
      </c>
      <c r="D1015" s="36" t="s">
        <v>571</v>
      </c>
      <c r="E1015" s="36" t="s">
        <v>403</v>
      </c>
      <c r="F1015" s="36" t="n">
        <v>210</v>
      </c>
      <c r="G1015" s="36" t="s">
        <v>251</v>
      </c>
      <c r="H1015" s="36" t="s">
        <v>131</v>
      </c>
    </row>
    <row r="1016" customFormat="false" ht="15" hidden="false" customHeight="false" outlineLevel="0" collapsed="false">
      <c r="A1016" s="36" t="s">
        <v>1469</v>
      </c>
      <c r="B1016" s="36" t="s">
        <v>1373</v>
      </c>
      <c r="C1016" s="36" t="s">
        <v>375</v>
      </c>
      <c r="D1016" s="36" t="s">
        <v>236</v>
      </c>
      <c r="E1016" s="36" t="n">
        <v>2</v>
      </c>
      <c r="F1016" s="36" t="s">
        <v>457</v>
      </c>
      <c r="G1016" s="36" t="s">
        <v>260</v>
      </c>
      <c r="H1016" s="36" t="s">
        <v>247</v>
      </c>
    </row>
    <row r="1017" customFormat="false" ht="15" hidden="false" customHeight="false" outlineLevel="0" collapsed="false">
      <c r="A1017" s="36" t="s">
        <v>1470</v>
      </c>
      <c r="B1017" s="36" t="s">
        <v>1210</v>
      </c>
      <c r="C1017" s="36" t="s">
        <v>44</v>
      </c>
      <c r="D1017" s="36" t="s">
        <v>181</v>
      </c>
      <c r="E1017" s="36" t="n">
        <v>2</v>
      </c>
      <c r="F1017" s="36" t="s">
        <v>659</v>
      </c>
      <c r="G1017" s="36" t="s">
        <v>251</v>
      </c>
      <c r="H1017" s="36" t="s">
        <v>132</v>
      </c>
    </row>
    <row r="1018" customFormat="false" ht="15" hidden="false" customHeight="false" outlineLevel="0" collapsed="false">
      <c r="A1018" s="36" t="s">
        <v>1471</v>
      </c>
      <c r="B1018" s="36" t="s">
        <v>1210</v>
      </c>
      <c r="C1018" s="36" t="s">
        <v>554</v>
      </c>
      <c r="D1018" s="36" t="s">
        <v>157</v>
      </c>
      <c r="E1018" s="36" t="n">
        <v>1</v>
      </c>
      <c r="F1018" s="36" t="n">
        <v>330</v>
      </c>
      <c r="G1018" s="36" t="s">
        <v>256</v>
      </c>
      <c r="H1018" s="36" t="s">
        <v>146</v>
      </c>
    </row>
    <row r="1019" customFormat="false" ht="15" hidden="false" customHeight="false" outlineLevel="0" collapsed="false">
      <c r="A1019" s="36" t="s">
        <v>1472</v>
      </c>
      <c r="B1019" s="36" t="s">
        <v>1373</v>
      </c>
      <c r="C1019" s="36" t="s">
        <v>554</v>
      </c>
      <c r="D1019" s="36" t="s">
        <v>179</v>
      </c>
      <c r="E1019" s="36" t="n">
        <v>1</v>
      </c>
      <c r="F1019" s="36" t="n">
        <v>310</v>
      </c>
      <c r="G1019" s="36" t="s">
        <v>246</v>
      </c>
      <c r="H1019" s="36" t="s">
        <v>306</v>
      </c>
    </row>
    <row r="1020" customFormat="false" ht="15" hidden="false" customHeight="false" outlineLevel="0" collapsed="false">
      <c r="A1020" s="36" t="s">
        <v>1473</v>
      </c>
      <c r="B1020" s="36" t="s">
        <v>1210</v>
      </c>
      <c r="C1020" s="36" t="s">
        <v>44</v>
      </c>
      <c r="D1020" s="36" t="s">
        <v>205</v>
      </c>
      <c r="E1020" s="36" t="n">
        <v>4</v>
      </c>
      <c r="F1020" s="36" t="s">
        <v>384</v>
      </c>
      <c r="G1020" s="36" t="s">
        <v>251</v>
      </c>
      <c r="H1020" s="36" t="s">
        <v>247</v>
      </c>
    </row>
    <row r="1021" customFormat="false" ht="15" hidden="false" customHeight="false" outlineLevel="0" collapsed="false">
      <c r="A1021" s="36" t="s">
        <v>1474</v>
      </c>
      <c r="B1021" s="36" t="s">
        <v>1210</v>
      </c>
      <c r="C1021" s="36" t="s">
        <v>375</v>
      </c>
      <c r="D1021" s="36" t="s">
        <v>471</v>
      </c>
      <c r="E1021" s="36" t="n">
        <v>1</v>
      </c>
      <c r="F1021" s="36" t="s">
        <v>936</v>
      </c>
      <c r="G1021" s="36" t="s">
        <v>243</v>
      </c>
      <c r="H1021" s="36" t="s">
        <v>131</v>
      </c>
    </row>
    <row r="1022" customFormat="false" ht="15" hidden="false" customHeight="false" outlineLevel="0" collapsed="false">
      <c r="A1022" s="36" t="s">
        <v>1475</v>
      </c>
      <c r="B1022" s="36" t="s">
        <v>1373</v>
      </c>
      <c r="C1022" s="36" t="s">
        <v>375</v>
      </c>
      <c r="D1022" s="36" t="s">
        <v>172</v>
      </c>
      <c r="E1022" s="36" t="s">
        <v>403</v>
      </c>
      <c r="F1022" s="36" t="s">
        <v>319</v>
      </c>
      <c r="G1022" s="36" t="s">
        <v>256</v>
      </c>
      <c r="H1022" s="36" t="s">
        <v>141</v>
      </c>
    </row>
    <row r="1023" customFormat="false" ht="15" hidden="false" customHeight="false" outlineLevel="0" collapsed="false">
      <c r="A1023" s="36" t="s">
        <v>1476</v>
      </c>
      <c r="B1023" s="37" t="n">
        <v>46271</v>
      </c>
      <c r="C1023" s="36" t="s">
        <v>554</v>
      </c>
      <c r="D1023" s="36" t="s">
        <v>165</v>
      </c>
      <c r="E1023" s="36" t="n">
        <v>2</v>
      </c>
      <c r="F1023" s="36" t="s">
        <v>245</v>
      </c>
      <c r="G1023" s="36" t="s">
        <v>243</v>
      </c>
      <c r="H1023" s="36" t="s">
        <v>247</v>
      </c>
    </row>
    <row r="1024" customFormat="false" ht="15" hidden="false" customHeight="false" outlineLevel="0" collapsed="false">
      <c r="A1024" s="36" t="s">
        <v>1477</v>
      </c>
      <c r="B1024" s="36" t="s">
        <v>1373</v>
      </c>
      <c r="C1024" s="36" t="s">
        <v>554</v>
      </c>
      <c r="D1024" s="36" t="s">
        <v>172</v>
      </c>
      <c r="E1024" s="36" t="n">
        <v>2</v>
      </c>
      <c r="F1024" s="36" t="n">
        <v>60</v>
      </c>
      <c r="G1024" s="36" t="s">
        <v>243</v>
      </c>
      <c r="H1024" s="36" t="s">
        <v>146</v>
      </c>
    </row>
    <row r="1025" customFormat="false" ht="15" hidden="false" customHeight="false" outlineLevel="0" collapsed="false">
      <c r="A1025" s="36" t="s">
        <v>1478</v>
      </c>
      <c r="B1025" s="36" t="s">
        <v>1210</v>
      </c>
      <c r="C1025" s="36" t="s">
        <v>375</v>
      </c>
      <c r="D1025" s="36" t="s">
        <v>515</v>
      </c>
      <c r="E1025" s="36" t="n">
        <v>4</v>
      </c>
      <c r="F1025" s="36" t="n">
        <v>130</v>
      </c>
      <c r="G1025" s="36" t="s">
        <v>260</v>
      </c>
      <c r="H1025" s="36" t="s">
        <v>132</v>
      </c>
    </row>
    <row r="1026" customFormat="false" ht="15" hidden="false" customHeight="false" outlineLevel="0" collapsed="false">
      <c r="A1026" s="36" t="s">
        <v>1479</v>
      </c>
      <c r="B1026" s="36" t="s">
        <v>1373</v>
      </c>
      <c r="C1026" s="36" t="s">
        <v>375</v>
      </c>
      <c r="D1026" s="36" t="s">
        <v>327</v>
      </c>
      <c r="E1026" s="36" t="n">
        <v>3</v>
      </c>
      <c r="F1026" s="36" t="s">
        <v>505</v>
      </c>
      <c r="G1026" s="36" t="s">
        <v>251</v>
      </c>
      <c r="H1026" s="36" t="s">
        <v>321</v>
      </c>
    </row>
    <row r="1027" customFormat="false" ht="15" hidden="false" customHeight="false" outlineLevel="0" collapsed="false">
      <c r="A1027" s="36" t="s">
        <v>1142</v>
      </c>
      <c r="B1027" s="36" t="s">
        <v>903</v>
      </c>
      <c r="C1027" s="36" t="s">
        <v>241</v>
      </c>
      <c r="D1027" s="36" t="s">
        <v>160</v>
      </c>
      <c r="E1027" s="36" t="n">
        <v>2</v>
      </c>
      <c r="F1027" s="36" t="s">
        <v>505</v>
      </c>
      <c r="G1027" s="36" t="s">
        <v>251</v>
      </c>
      <c r="H1027" s="36" t="s">
        <v>141</v>
      </c>
    </row>
    <row r="1028" customFormat="false" ht="15" hidden="false" customHeight="false" outlineLevel="0" collapsed="false">
      <c r="A1028" s="36" t="s">
        <v>1480</v>
      </c>
      <c r="B1028" s="36" t="s">
        <v>1210</v>
      </c>
      <c r="C1028" s="36" t="s">
        <v>368</v>
      </c>
      <c r="D1028" s="36" t="s">
        <v>166</v>
      </c>
      <c r="E1028" s="36" t="n">
        <v>6</v>
      </c>
      <c r="F1028" s="36" t="n">
        <v>380</v>
      </c>
      <c r="G1028" s="36" t="s">
        <v>243</v>
      </c>
      <c r="H1028" s="36" t="s">
        <v>140</v>
      </c>
    </row>
    <row r="1029" customFormat="false" ht="15" hidden="false" customHeight="false" outlineLevel="0" collapsed="false">
      <c r="A1029" s="36" t="s">
        <v>1481</v>
      </c>
      <c r="B1029" s="37" t="n">
        <v>46271</v>
      </c>
      <c r="C1029" s="36" t="s">
        <v>44</v>
      </c>
      <c r="D1029" s="36" t="s">
        <v>178</v>
      </c>
      <c r="E1029" s="36" t="n">
        <v>2</v>
      </c>
      <c r="F1029" s="36" t="n">
        <v>252</v>
      </c>
      <c r="G1029" s="36" t="s">
        <v>270</v>
      </c>
      <c r="H1029" s="36" t="s">
        <v>131</v>
      </c>
    </row>
    <row r="1030" customFormat="false" ht="15" hidden="false" customHeight="false" outlineLevel="0" collapsed="false">
      <c r="A1030" s="36" t="s">
        <v>1482</v>
      </c>
      <c r="B1030" s="36" t="s">
        <v>1210</v>
      </c>
      <c r="C1030" s="36" t="s">
        <v>44</v>
      </c>
      <c r="D1030" s="36" t="s">
        <v>151</v>
      </c>
      <c r="E1030" s="36" t="n">
        <v>1</v>
      </c>
      <c r="F1030" s="36" t="s">
        <v>380</v>
      </c>
      <c r="G1030" s="36" t="s">
        <v>263</v>
      </c>
      <c r="H1030" s="36" t="s">
        <v>132</v>
      </c>
    </row>
    <row r="1031" customFormat="false" ht="15" hidden="false" customHeight="false" outlineLevel="0" collapsed="false">
      <c r="A1031" s="36" t="s">
        <v>1483</v>
      </c>
      <c r="B1031" s="36" t="s">
        <v>1210</v>
      </c>
      <c r="C1031" s="36" t="s">
        <v>144</v>
      </c>
      <c r="D1031" s="36" t="s">
        <v>172</v>
      </c>
      <c r="E1031" s="36" t="n">
        <v>1</v>
      </c>
      <c r="F1031" s="36" t="s">
        <v>319</v>
      </c>
      <c r="G1031" s="36" t="s">
        <v>256</v>
      </c>
      <c r="H1031" s="36" t="s">
        <v>140</v>
      </c>
    </row>
    <row r="1032" customFormat="false" ht="15" hidden="false" customHeight="false" outlineLevel="0" collapsed="false">
      <c r="A1032" s="36" t="s">
        <v>1484</v>
      </c>
      <c r="B1032" s="36" t="s">
        <v>1373</v>
      </c>
      <c r="C1032" s="36" t="s">
        <v>375</v>
      </c>
      <c r="D1032" s="36" t="s">
        <v>931</v>
      </c>
      <c r="E1032" s="36" t="s">
        <v>403</v>
      </c>
      <c r="F1032" s="36" t="s">
        <v>323</v>
      </c>
      <c r="G1032" s="36" t="s">
        <v>246</v>
      </c>
      <c r="H1032" s="36" t="s">
        <v>141</v>
      </c>
    </row>
    <row r="1033" customFormat="false" ht="15" hidden="false" customHeight="false" outlineLevel="0" collapsed="false">
      <c r="A1033" s="36" t="s">
        <v>1485</v>
      </c>
      <c r="B1033" s="37" t="n">
        <v>46271</v>
      </c>
      <c r="C1033" s="36" t="s">
        <v>375</v>
      </c>
      <c r="D1033" s="36" t="s">
        <v>1086</v>
      </c>
      <c r="E1033" s="36" t="n">
        <v>1</v>
      </c>
      <c r="F1033" s="36" t="s">
        <v>313</v>
      </c>
      <c r="G1033" s="36" t="s">
        <v>267</v>
      </c>
      <c r="H1033" s="36" t="s">
        <v>321</v>
      </c>
    </row>
    <row r="1034" customFormat="false" ht="15" hidden="false" customHeight="false" outlineLevel="0" collapsed="false">
      <c r="A1034" s="36" t="s">
        <v>1486</v>
      </c>
      <c r="B1034" s="36" t="s">
        <v>1210</v>
      </c>
      <c r="C1034" s="36" t="s">
        <v>44</v>
      </c>
      <c r="D1034" s="36" t="s">
        <v>134</v>
      </c>
      <c r="E1034" s="36" t="n">
        <v>2</v>
      </c>
      <c r="F1034" s="36" t="n">
        <v>190</v>
      </c>
      <c r="G1034" s="36" t="s">
        <v>256</v>
      </c>
      <c r="H1034" s="36" t="s">
        <v>321</v>
      </c>
    </row>
    <row r="1035" customFormat="false" ht="15" hidden="false" customHeight="false" outlineLevel="0" collapsed="false">
      <c r="A1035" s="36" t="s">
        <v>1487</v>
      </c>
      <c r="B1035" s="36" t="s">
        <v>1210</v>
      </c>
      <c r="C1035" s="36" t="s">
        <v>368</v>
      </c>
      <c r="D1035" s="36" t="s">
        <v>618</v>
      </c>
      <c r="E1035" s="36" t="n">
        <v>2</v>
      </c>
      <c r="F1035" s="36" t="n">
        <v>160</v>
      </c>
      <c r="G1035" s="36" t="s">
        <v>267</v>
      </c>
      <c r="H1035" s="36" t="s">
        <v>132</v>
      </c>
    </row>
    <row r="1036" customFormat="false" ht="15" hidden="false" customHeight="false" outlineLevel="0" collapsed="false">
      <c r="A1036" s="36" t="s">
        <v>1488</v>
      </c>
      <c r="B1036" s="36" t="s">
        <v>1210</v>
      </c>
      <c r="C1036" s="36" t="s">
        <v>44</v>
      </c>
      <c r="D1036" s="36" t="s">
        <v>678</v>
      </c>
      <c r="E1036" s="36" t="n">
        <v>1</v>
      </c>
      <c r="F1036" s="36" t="n">
        <v>99</v>
      </c>
      <c r="G1036" s="36" t="s">
        <v>251</v>
      </c>
      <c r="H1036" s="36" t="s">
        <v>132</v>
      </c>
    </row>
    <row r="1037" customFormat="false" ht="15" hidden="false" customHeight="false" outlineLevel="0" collapsed="false">
      <c r="A1037" s="36" t="s">
        <v>1489</v>
      </c>
      <c r="B1037" s="36" t="s">
        <v>1210</v>
      </c>
      <c r="C1037" s="36" t="s">
        <v>44</v>
      </c>
      <c r="D1037" s="36" t="s">
        <v>437</v>
      </c>
      <c r="E1037" s="36" t="n">
        <v>1</v>
      </c>
      <c r="F1037" s="36" t="n">
        <v>330</v>
      </c>
      <c r="G1037" s="36" t="s">
        <v>251</v>
      </c>
      <c r="H1037" s="36" t="s">
        <v>247</v>
      </c>
    </row>
    <row r="1038" customFormat="false" ht="15" hidden="false" customHeight="false" outlineLevel="0" collapsed="false">
      <c r="A1038" s="36" t="s">
        <v>1490</v>
      </c>
      <c r="B1038" s="36" t="s">
        <v>1210</v>
      </c>
      <c r="C1038" s="36" t="s">
        <v>44</v>
      </c>
      <c r="D1038" s="36" t="s">
        <v>435</v>
      </c>
      <c r="E1038" s="36" t="n">
        <v>1</v>
      </c>
      <c r="F1038" s="36" t="n">
        <v>65</v>
      </c>
      <c r="G1038" s="36" t="s">
        <v>263</v>
      </c>
      <c r="H1038" s="36" t="s">
        <v>145</v>
      </c>
    </row>
    <row r="1039" customFormat="false" ht="15" hidden="false" customHeight="false" outlineLevel="0" collapsed="false">
      <c r="A1039" s="36" t="s">
        <v>1491</v>
      </c>
      <c r="B1039" s="36" t="s">
        <v>1210</v>
      </c>
      <c r="C1039" s="36" t="s">
        <v>375</v>
      </c>
      <c r="D1039" s="36" t="s">
        <v>172</v>
      </c>
      <c r="E1039" s="36" t="n">
        <v>1</v>
      </c>
      <c r="F1039" s="36" t="n">
        <v>60</v>
      </c>
      <c r="G1039" s="36" t="s">
        <v>260</v>
      </c>
      <c r="H1039" s="36" t="s">
        <v>132</v>
      </c>
    </row>
    <row r="1040" customFormat="false" ht="15" hidden="false" customHeight="false" outlineLevel="0" collapsed="false">
      <c r="A1040" s="36" t="s">
        <v>1492</v>
      </c>
      <c r="B1040" s="36" t="s">
        <v>1210</v>
      </c>
      <c r="C1040" s="36" t="s">
        <v>554</v>
      </c>
      <c r="D1040" s="36" t="s">
        <v>212</v>
      </c>
      <c r="E1040" s="36" t="n">
        <v>6</v>
      </c>
      <c r="F1040" s="36" t="n">
        <v>342</v>
      </c>
      <c r="G1040" s="36" t="s">
        <v>256</v>
      </c>
      <c r="H1040" s="36" t="s">
        <v>132</v>
      </c>
    </row>
    <row r="1041" customFormat="false" ht="15" hidden="false" customHeight="false" outlineLevel="0" collapsed="false">
      <c r="A1041" s="36" t="s">
        <v>1493</v>
      </c>
      <c r="B1041" s="36" t="s">
        <v>1373</v>
      </c>
      <c r="C1041" s="36" t="s">
        <v>144</v>
      </c>
      <c r="D1041" s="36" t="s">
        <v>182</v>
      </c>
      <c r="E1041" s="36" t="n">
        <v>4</v>
      </c>
      <c r="F1041" s="36" t="n">
        <v>380</v>
      </c>
      <c r="G1041" s="36" t="s">
        <v>243</v>
      </c>
      <c r="H1041" s="36" t="s">
        <v>132</v>
      </c>
    </row>
    <row r="1042" customFormat="false" ht="15" hidden="false" customHeight="false" outlineLevel="0" collapsed="false">
      <c r="A1042" s="36" t="s">
        <v>1494</v>
      </c>
      <c r="B1042" s="36" t="s">
        <v>1373</v>
      </c>
      <c r="C1042" s="36" t="s">
        <v>417</v>
      </c>
      <c r="D1042" s="36" t="s">
        <v>159</v>
      </c>
      <c r="E1042" s="36" t="n">
        <v>2</v>
      </c>
      <c r="F1042" s="36" t="s">
        <v>380</v>
      </c>
      <c r="G1042" s="36" t="s">
        <v>270</v>
      </c>
      <c r="H1042" s="36" t="s">
        <v>145</v>
      </c>
    </row>
    <row r="1043" customFormat="false" ht="15" hidden="false" customHeight="false" outlineLevel="0" collapsed="false">
      <c r="A1043" s="36" t="s">
        <v>1495</v>
      </c>
      <c r="B1043" s="36" t="s">
        <v>1210</v>
      </c>
      <c r="C1043" s="36" t="s">
        <v>45</v>
      </c>
      <c r="D1043" s="36" t="s">
        <v>230</v>
      </c>
      <c r="E1043" s="36" t="n">
        <v>2</v>
      </c>
      <c r="F1043" s="36" t="s">
        <v>507</v>
      </c>
      <c r="G1043" s="36" t="s">
        <v>251</v>
      </c>
      <c r="H1043" s="36" t="s">
        <v>141</v>
      </c>
    </row>
    <row r="1044" customFormat="false" ht="15" hidden="false" customHeight="false" outlineLevel="0" collapsed="false">
      <c r="A1044" s="36" t="s">
        <v>1496</v>
      </c>
      <c r="B1044" s="36" t="s">
        <v>1373</v>
      </c>
      <c r="C1044" s="36" t="s">
        <v>419</v>
      </c>
      <c r="D1044" s="36" t="s">
        <v>401</v>
      </c>
      <c r="E1044" s="36" t="s">
        <v>735</v>
      </c>
      <c r="F1044" s="36" t="s">
        <v>411</v>
      </c>
      <c r="G1044" s="36" t="s">
        <v>256</v>
      </c>
      <c r="H1044" s="36" t="s">
        <v>141</v>
      </c>
    </row>
    <row r="1045" customFormat="false" ht="15" hidden="false" customHeight="false" outlineLevel="0" collapsed="false">
      <c r="A1045" s="36" t="s">
        <v>1497</v>
      </c>
      <c r="B1045" s="36" t="s">
        <v>1210</v>
      </c>
      <c r="C1045" s="36" t="s">
        <v>419</v>
      </c>
      <c r="D1045" s="36" t="s">
        <v>214</v>
      </c>
      <c r="E1045" s="36" t="n">
        <v>1</v>
      </c>
      <c r="F1045" s="36" t="s">
        <v>317</v>
      </c>
      <c r="G1045" s="36" t="s">
        <v>260</v>
      </c>
      <c r="H1045" s="36" t="s">
        <v>141</v>
      </c>
    </row>
    <row r="1046" customFormat="false" ht="15" hidden="false" customHeight="false" outlineLevel="0" collapsed="false">
      <c r="A1046" s="36" t="s">
        <v>1498</v>
      </c>
      <c r="B1046" s="37" t="n">
        <v>46271</v>
      </c>
      <c r="C1046" s="36" t="s">
        <v>153</v>
      </c>
      <c r="D1046" s="36" t="s">
        <v>165</v>
      </c>
      <c r="E1046" s="36" t="s">
        <v>282</v>
      </c>
      <c r="F1046" s="36" t="n">
        <v>110</v>
      </c>
      <c r="G1046" s="36" t="s">
        <v>256</v>
      </c>
      <c r="H1046" s="36" t="s">
        <v>141</v>
      </c>
    </row>
    <row r="1047" customFormat="false" ht="15" hidden="false" customHeight="false" outlineLevel="0" collapsed="false">
      <c r="A1047" s="36" t="s">
        <v>1499</v>
      </c>
      <c r="B1047" s="36" t="s">
        <v>1210</v>
      </c>
      <c r="C1047" s="36" t="s">
        <v>45</v>
      </c>
      <c r="D1047" s="36" t="s">
        <v>199</v>
      </c>
      <c r="E1047" s="36" t="n">
        <v>6</v>
      </c>
      <c r="F1047" s="36" t="n">
        <v>210</v>
      </c>
      <c r="G1047" s="36" t="s">
        <v>270</v>
      </c>
      <c r="H1047" s="36" t="s">
        <v>141</v>
      </c>
    </row>
    <row r="1048" customFormat="false" ht="15" hidden="false" customHeight="false" outlineLevel="0" collapsed="false">
      <c r="A1048" s="36" t="s">
        <v>1500</v>
      </c>
      <c r="B1048" s="36" t="s">
        <v>1373</v>
      </c>
      <c r="C1048" s="36" t="s">
        <v>45</v>
      </c>
      <c r="D1048" s="36" t="s">
        <v>329</v>
      </c>
      <c r="E1048" s="36" t="n">
        <v>6</v>
      </c>
      <c r="F1048" s="36" t="s">
        <v>659</v>
      </c>
      <c r="G1048" s="36" t="s">
        <v>243</v>
      </c>
      <c r="H1048" s="36" t="s">
        <v>132</v>
      </c>
    </row>
    <row r="1049" customFormat="false" ht="15" hidden="false" customHeight="false" outlineLevel="0" collapsed="false">
      <c r="A1049" s="36" t="s">
        <v>1501</v>
      </c>
      <c r="B1049" s="36" t="s">
        <v>1210</v>
      </c>
      <c r="C1049" s="36" t="s">
        <v>419</v>
      </c>
      <c r="D1049" s="36" t="s">
        <v>171</v>
      </c>
      <c r="E1049" s="36" t="n">
        <v>3</v>
      </c>
      <c r="F1049" s="36" t="s">
        <v>457</v>
      </c>
      <c r="G1049" s="36" t="s">
        <v>251</v>
      </c>
      <c r="H1049" s="36" t="s">
        <v>141</v>
      </c>
    </row>
    <row r="1050" customFormat="false" ht="15" hidden="false" customHeight="false" outlineLevel="0" collapsed="false">
      <c r="A1050" s="36" t="s">
        <v>1502</v>
      </c>
      <c r="B1050" s="37" t="n">
        <v>46271</v>
      </c>
      <c r="C1050" s="36" t="s">
        <v>153</v>
      </c>
      <c r="D1050" s="36" t="s">
        <v>151</v>
      </c>
      <c r="E1050" s="36" t="n">
        <v>2</v>
      </c>
      <c r="F1050" s="36" t="s">
        <v>380</v>
      </c>
      <c r="G1050" s="36" t="s">
        <v>270</v>
      </c>
      <c r="H1050" s="36" t="s">
        <v>321</v>
      </c>
    </row>
    <row r="1051" customFormat="false" ht="15" hidden="false" customHeight="false" outlineLevel="0" collapsed="false">
      <c r="A1051" s="36" t="s">
        <v>1503</v>
      </c>
      <c r="B1051" s="36" t="s">
        <v>1210</v>
      </c>
      <c r="C1051" s="36" t="s">
        <v>45</v>
      </c>
      <c r="D1051" s="36" t="s">
        <v>152</v>
      </c>
      <c r="E1051" s="36" t="n">
        <v>1</v>
      </c>
      <c r="F1051" s="36" t="n">
        <v>40</v>
      </c>
      <c r="G1051" s="36" t="s">
        <v>267</v>
      </c>
      <c r="H1051" s="36" t="s">
        <v>306</v>
      </c>
    </row>
    <row r="1052" customFormat="false" ht="15" hidden="false" customHeight="false" outlineLevel="0" collapsed="false">
      <c r="A1052" s="36" t="s">
        <v>1504</v>
      </c>
      <c r="B1052" s="36" t="s">
        <v>1210</v>
      </c>
      <c r="C1052" s="36" t="s">
        <v>45</v>
      </c>
      <c r="D1052" s="36" t="s">
        <v>315</v>
      </c>
      <c r="E1052" s="36" t="s">
        <v>403</v>
      </c>
      <c r="F1052" s="36" t="n">
        <v>450</v>
      </c>
      <c r="G1052" s="36" t="s">
        <v>243</v>
      </c>
      <c r="H1052" s="36" t="s">
        <v>145</v>
      </c>
    </row>
    <row r="1053" customFormat="false" ht="15" hidden="false" customHeight="false" outlineLevel="0" collapsed="false">
      <c r="A1053" s="36" t="s">
        <v>1505</v>
      </c>
      <c r="B1053" s="36" t="s">
        <v>1373</v>
      </c>
      <c r="C1053" s="36" t="s">
        <v>45</v>
      </c>
      <c r="D1053" s="36" t="s">
        <v>280</v>
      </c>
      <c r="E1053" s="36" t="n">
        <v>2</v>
      </c>
      <c r="F1053" s="36" t="s">
        <v>275</v>
      </c>
      <c r="G1053" s="36" t="s">
        <v>251</v>
      </c>
      <c r="H1053" s="36" t="s">
        <v>141</v>
      </c>
    </row>
    <row r="1054" customFormat="false" ht="15" hidden="false" customHeight="false" outlineLevel="0" collapsed="false">
      <c r="A1054" s="36" t="s">
        <v>1506</v>
      </c>
      <c r="B1054" s="36" t="s">
        <v>1373</v>
      </c>
      <c r="C1054" s="36" t="s">
        <v>417</v>
      </c>
      <c r="D1054" s="36" t="s">
        <v>285</v>
      </c>
      <c r="E1054" s="36" t="n">
        <v>6</v>
      </c>
      <c r="F1054" s="36" t="s">
        <v>443</v>
      </c>
      <c r="G1054" s="36" t="s">
        <v>263</v>
      </c>
      <c r="H1054" s="36" t="s">
        <v>132</v>
      </c>
    </row>
    <row r="1055" customFormat="false" ht="15" hidden="false" customHeight="false" outlineLevel="0" collapsed="false">
      <c r="A1055" s="36" t="s">
        <v>1507</v>
      </c>
      <c r="B1055" s="36" t="s">
        <v>1210</v>
      </c>
      <c r="C1055" s="36" t="s">
        <v>417</v>
      </c>
      <c r="D1055" s="36" t="s">
        <v>143</v>
      </c>
      <c r="E1055" s="36" t="n">
        <v>2</v>
      </c>
      <c r="F1055" s="36" t="n">
        <v>330</v>
      </c>
      <c r="G1055" s="36" t="s">
        <v>256</v>
      </c>
      <c r="H1055" s="36" t="s">
        <v>247</v>
      </c>
    </row>
    <row r="1056" customFormat="false" ht="15" hidden="false" customHeight="false" outlineLevel="0" collapsed="false">
      <c r="A1056" s="36" t="s">
        <v>1508</v>
      </c>
      <c r="B1056" s="37" t="n">
        <v>46271</v>
      </c>
      <c r="C1056" s="36" t="s">
        <v>419</v>
      </c>
      <c r="D1056" s="36" t="s">
        <v>299</v>
      </c>
      <c r="E1056" s="36" t="n">
        <v>1</v>
      </c>
      <c r="F1056" s="36" t="n">
        <v>60</v>
      </c>
      <c r="G1056" s="36" t="s">
        <v>256</v>
      </c>
      <c r="H1056" s="36" t="s">
        <v>132</v>
      </c>
    </row>
    <row r="1057" customFormat="false" ht="15" hidden="false" customHeight="false" outlineLevel="0" collapsed="false">
      <c r="A1057" s="36" t="s">
        <v>1509</v>
      </c>
      <c r="B1057" s="36" t="s">
        <v>1210</v>
      </c>
      <c r="C1057" s="36" t="s">
        <v>417</v>
      </c>
      <c r="D1057" s="36" t="s">
        <v>864</v>
      </c>
      <c r="E1057" s="36" t="n">
        <v>1</v>
      </c>
      <c r="F1057" s="36" t="n">
        <v>36</v>
      </c>
      <c r="G1057" s="36" t="s">
        <v>267</v>
      </c>
      <c r="H1057" s="36" t="s">
        <v>140</v>
      </c>
    </row>
    <row r="1058" customFormat="false" ht="15" hidden="false" customHeight="false" outlineLevel="0" collapsed="false">
      <c r="A1058" s="36" t="s">
        <v>1510</v>
      </c>
      <c r="B1058" s="36" t="s">
        <v>1210</v>
      </c>
      <c r="C1058" s="36" t="s">
        <v>419</v>
      </c>
      <c r="D1058" s="36" t="s">
        <v>172</v>
      </c>
      <c r="E1058" s="36" t="n">
        <v>-2</v>
      </c>
      <c r="F1058" s="36" t="s">
        <v>319</v>
      </c>
      <c r="G1058" s="36" t="s">
        <v>263</v>
      </c>
      <c r="H1058" s="36" t="s">
        <v>308</v>
      </c>
    </row>
    <row r="1059" customFormat="false" ht="15" hidden="false" customHeight="false" outlineLevel="0" collapsed="false">
      <c r="A1059" s="36" t="s">
        <v>1511</v>
      </c>
      <c r="B1059" s="36" t="s">
        <v>1210</v>
      </c>
      <c r="C1059" s="36" t="s">
        <v>45</v>
      </c>
      <c r="D1059" s="36" t="s">
        <v>164</v>
      </c>
      <c r="E1059" s="36" t="s">
        <v>403</v>
      </c>
      <c r="F1059" s="36" t="s">
        <v>659</v>
      </c>
      <c r="G1059" s="36" t="s">
        <v>260</v>
      </c>
      <c r="H1059" s="36" t="s">
        <v>141</v>
      </c>
    </row>
    <row r="1060" customFormat="false" ht="15" hidden="false" customHeight="false" outlineLevel="0" collapsed="false">
      <c r="A1060" s="36" t="s">
        <v>1512</v>
      </c>
      <c r="B1060" s="36" t="s">
        <v>1210</v>
      </c>
      <c r="C1060" s="36" t="s">
        <v>45</v>
      </c>
      <c r="D1060" s="36" t="s">
        <v>559</v>
      </c>
      <c r="E1060" s="36" t="n">
        <v>1</v>
      </c>
      <c r="F1060" s="36" t="s">
        <v>420</v>
      </c>
      <c r="G1060" s="36" t="s">
        <v>251</v>
      </c>
      <c r="H1060" s="36" t="s">
        <v>141</v>
      </c>
    </row>
    <row r="1061" customFormat="false" ht="15" hidden="false" customHeight="false" outlineLevel="0" collapsed="false">
      <c r="A1061" s="36" t="s">
        <v>1513</v>
      </c>
      <c r="B1061" s="36" t="s">
        <v>1210</v>
      </c>
      <c r="C1061" s="36" t="s">
        <v>45</v>
      </c>
      <c r="D1061" s="36" t="s">
        <v>315</v>
      </c>
      <c r="E1061" s="36" t="n">
        <v>1</v>
      </c>
      <c r="F1061" s="36" t="n">
        <v>405</v>
      </c>
      <c r="G1061" s="36" t="s">
        <v>243</v>
      </c>
      <c r="H1061" s="36" t="s">
        <v>308</v>
      </c>
    </row>
    <row r="1062" customFormat="false" ht="15" hidden="false" customHeight="false" outlineLevel="0" collapsed="false">
      <c r="A1062" s="36" t="s">
        <v>1514</v>
      </c>
      <c r="B1062" s="36" t="s">
        <v>1210</v>
      </c>
      <c r="C1062" s="36" t="s">
        <v>45</v>
      </c>
      <c r="D1062" s="36" t="s">
        <v>154</v>
      </c>
      <c r="E1062" s="36" t="n">
        <v>1</v>
      </c>
      <c r="F1062" s="36" t="n">
        <v>330</v>
      </c>
      <c r="G1062" s="36" t="s">
        <v>267</v>
      </c>
      <c r="H1062" s="36" t="s">
        <v>132</v>
      </c>
    </row>
    <row r="1063" customFormat="false" ht="15" hidden="false" customHeight="false" outlineLevel="0" collapsed="false">
      <c r="A1063" s="36" t="s">
        <v>1515</v>
      </c>
      <c r="B1063" s="36" t="s">
        <v>1210</v>
      </c>
      <c r="C1063" s="36" t="s">
        <v>419</v>
      </c>
      <c r="D1063" s="36" t="s">
        <v>164</v>
      </c>
      <c r="E1063" s="36" t="n">
        <v>6</v>
      </c>
      <c r="F1063" s="36" t="s">
        <v>659</v>
      </c>
      <c r="G1063" s="36" t="s">
        <v>246</v>
      </c>
      <c r="H1063" s="36" t="s">
        <v>132</v>
      </c>
    </row>
    <row r="1064" customFormat="false" ht="15" hidden="false" customHeight="false" outlineLevel="0" collapsed="false">
      <c r="A1064" s="36" t="s">
        <v>1516</v>
      </c>
      <c r="B1064" s="36" t="s">
        <v>1210</v>
      </c>
      <c r="C1064" s="36" t="s">
        <v>45</v>
      </c>
      <c r="D1064" s="36" t="s">
        <v>216</v>
      </c>
      <c r="E1064" s="36" t="s">
        <v>1517</v>
      </c>
      <c r="F1064" s="36" t="n">
        <v>50</v>
      </c>
      <c r="G1064" s="36" t="s">
        <v>263</v>
      </c>
      <c r="H1064" s="36" t="s">
        <v>140</v>
      </c>
    </row>
    <row r="1065" customFormat="false" ht="15" hidden="false" customHeight="false" outlineLevel="0" collapsed="false">
      <c r="A1065" s="36" t="s">
        <v>1518</v>
      </c>
      <c r="B1065" s="36" t="s">
        <v>1210</v>
      </c>
      <c r="C1065" s="36" t="s">
        <v>45</v>
      </c>
      <c r="D1065" s="36" t="s">
        <v>178</v>
      </c>
      <c r="E1065" s="36" t="n">
        <v>1</v>
      </c>
      <c r="F1065" s="36" t="n">
        <v>280</v>
      </c>
      <c r="G1065" s="36" t="s">
        <v>270</v>
      </c>
      <c r="H1065" s="36" t="s">
        <v>247</v>
      </c>
    </row>
    <row r="1066" customFormat="false" ht="15" hidden="false" customHeight="false" outlineLevel="0" collapsed="false">
      <c r="A1066" s="36" t="s">
        <v>1519</v>
      </c>
      <c r="B1066" s="36" t="s">
        <v>1210</v>
      </c>
      <c r="C1066" s="36" t="s">
        <v>45</v>
      </c>
      <c r="D1066" s="36" t="s">
        <v>160</v>
      </c>
      <c r="E1066" s="36" t="n">
        <v>2</v>
      </c>
      <c r="F1066" s="36" t="s">
        <v>936</v>
      </c>
      <c r="G1066" s="36" t="s">
        <v>267</v>
      </c>
      <c r="H1066" s="36" t="s">
        <v>132</v>
      </c>
    </row>
    <row r="1067" customFormat="false" ht="15" hidden="false" customHeight="false" outlineLevel="0" collapsed="false">
      <c r="A1067" s="36" t="s">
        <v>1520</v>
      </c>
      <c r="B1067" s="36" t="s">
        <v>1210</v>
      </c>
      <c r="C1067" s="36" t="s">
        <v>45</v>
      </c>
      <c r="D1067" s="36" t="s">
        <v>1177</v>
      </c>
      <c r="E1067" s="36" t="n">
        <v>1</v>
      </c>
      <c r="F1067" s="36" t="n">
        <v>420</v>
      </c>
      <c r="G1067" s="36" t="s">
        <v>256</v>
      </c>
      <c r="H1067" s="36" t="s">
        <v>140</v>
      </c>
    </row>
    <row r="1068" customFormat="false" ht="15" hidden="false" customHeight="false" outlineLevel="0" collapsed="false">
      <c r="A1068" s="36" t="s">
        <v>1521</v>
      </c>
      <c r="B1068" s="36" t="s">
        <v>1373</v>
      </c>
      <c r="C1068" s="36" t="s">
        <v>448</v>
      </c>
      <c r="D1068" s="36" t="s">
        <v>716</v>
      </c>
      <c r="E1068" s="36" t="n">
        <v>1</v>
      </c>
      <c r="F1068" s="36" t="n">
        <v>350</v>
      </c>
      <c r="G1068" s="36" t="s">
        <v>256</v>
      </c>
      <c r="H1068" s="36" t="s">
        <v>141</v>
      </c>
    </row>
    <row r="1069" customFormat="false" ht="15" hidden="false" customHeight="false" outlineLevel="0" collapsed="false">
      <c r="A1069" s="36" t="s">
        <v>1522</v>
      </c>
      <c r="B1069" s="36" t="s">
        <v>1210</v>
      </c>
      <c r="C1069" s="36" t="s">
        <v>46</v>
      </c>
      <c r="D1069" s="36" t="s">
        <v>195</v>
      </c>
      <c r="E1069" s="36" t="n">
        <v>3</v>
      </c>
      <c r="F1069" s="36" t="n">
        <v>54</v>
      </c>
      <c r="G1069" s="36" t="s">
        <v>246</v>
      </c>
      <c r="H1069" s="36" t="s">
        <v>321</v>
      </c>
    </row>
    <row r="1070" customFormat="false" ht="15" hidden="false" customHeight="false" outlineLevel="0" collapsed="false">
      <c r="A1070" s="36" t="s">
        <v>1523</v>
      </c>
      <c r="B1070" s="36" t="s">
        <v>1373</v>
      </c>
      <c r="C1070" s="36" t="s">
        <v>46</v>
      </c>
      <c r="D1070" s="36" t="s">
        <v>492</v>
      </c>
      <c r="E1070" s="36" t="n">
        <v>2</v>
      </c>
      <c r="F1070" s="36" t="s">
        <v>457</v>
      </c>
      <c r="G1070" s="36" t="s">
        <v>267</v>
      </c>
      <c r="H1070" s="36" t="s">
        <v>131</v>
      </c>
    </row>
    <row r="1071" customFormat="false" ht="15" hidden="false" customHeight="false" outlineLevel="0" collapsed="false">
      <c r="A1071" s="36" t="s">
        <v>1524</v>
      </c>
      <c r="B1071" s="36" t="s">
        <v>1210</v>
      </c>
      <c r="C1071" s="36" t="s">
        <v>46</v>
      </c>
      <c r="D1071" s="36" t="s">
        <v>174</v>
      </c>
      <c r="E1071" s="36" t="n">
        <v>2</v>
      </c>
      <c r="F1071" s="36" t="n">
        <v>189</v>
      </c>
      <c r="G1071" s="36" t="s">
        <v>251</v>
      </c>
      <c r="H1071" s="36" t="s">
        <v>141</v>
      </c>
    </row>
    <row r="1072" customFormat="false" ht="15" hidden="false" customHeight="false" outlineLevel="0" collapsed="false">
      <c r="A1072" s="36" t="s">
        <v>1525</v>
      </c>
      <c r="B1072" s="36" t="s">
        <v>1210</v>
      </c>
      <c r="C1072" s="36" t="s">
        <v>46</v>
      </c>
      <c r="D1072" s="36" t="s">
        <v>631</v>
      </c>
      <c r="E1072" s="36" t="n">
        <v>1</v>
      </c>
      <c r="F1072" s="36" t="s">
        <v>507</v>
      </c>
      <c r="G1072" s="36" t="s">
        <v>243</v>
      </c>
      <c r="H1072" s="36" t="s">
        <v>321</v>
      </c>
    </row>
    <row r="1073" customFormat="false" ht="15" hidden="false" customHeight="false" outlineLevel="0" collapsed="false">
      <c r="A1073" s="36" t="s">
        <v>1526</v>
      </c>
      <c r="B1073" s="36" t="s">
        <v>1210</v>
      </c>
      <c r="C1073" s="36" t="s">
        <v>46</v>
      </c>
      <c r="D1073" s="36" t="s">
        <v>204</v>
      </c>
      <c r="E1073" s="36" t="n">
        <v>1</v>
      </c>
      <c r="F1073" s="36" t="s">
        <v>255</v>
      </c>
      <c r="G1073" s="36" t="s">
        <v>270</v>
      </c>
      <c r="H1073" s="36" t="s">
        <v>132</v>
      </c>
    </row>
    <row r="1074" customFormat="false" ht="15" hidden="false" customHeight="false" outlineLevel="0" collapsed="false">
      <c r="A1074" s="36" t="s">
        <v>1209</v>
      </c>
      <c r="B1074" s="36" t="s">
        <v>1210</v>
      </c>
      <c r="C1074" s="36" t="s">
        <v>46</v>
      </c>
      <c r="D1074" s="36" t="s">
        <v>349</v>
      </c>
      <c r="E1074" s="36" t="s">
        <v>651</v>
      </c>
      <c r="F1074" s="36" t="s">
        <v>1044</v>
      </c>
      <c r="G1074" s="36" t="s">
        <v>243</v>
      </c>
      <c r="H1074" s="36" t="s">
        <v>132</v>
      </c>
    </row>
    <row r="1075" customFormat="false" ht="15" hidden="false" customHeight="false" outlineLevel="0" collapsed="false">
      <c r="A1075" s="36" t="s">
        <v>1527</v>
      </c>
      <c r="B1075" s="36" t="s">
        <v>1373</v>
      </c>
      <c r="C1075" s="36" t="s">
        <v>46</v>
      </c>
      <c r="D1075" s="36" t="s">
        <v>623</v>
      </c>
      <c r="E1075" s="36" t="n">
        <v>2</v>
      </c>
      <c r="F1075" s="36" t="s">
        <v>552</v>
      </c>
      <c r="G1075" s="36" t="s">
        <v>251</v>
      </c>
      <c r="H1075" s="36" t="s">
        <v>140</v>
      </c>
    </row>
    <row r="1076" customFormat="false" ht="15" hidden="false" customHeight="false" outlineLevel="0" collapsed="false">
      <c r="A1076" s="36" t="s">
        <v>1528</v>
      </c>
      <c r="B1076" s="36" t="s">
        <v>1373</v>
      </c>
      <c r="C1076" s="36" t="s">
        <v>156</v>
      </c>
      <c r="D1076" s="36" t="s">
        <v>161</v>
      </c>
      <c r="E1076" s="36" t="n">
        <v>6</v>
      </c>
      <c r="F1076" s="36" t="n">
        <v>40</v>
      </c>
      <c r="G1076" s="36" t="s">
        <v>270</v>
      </c>
      <c r="H1076" s="36" t="s">
        <v>132</v>
      </c>
    </row>
    <row r="1077" customFormat="false" ht="15" hidden="false" customHeight="false" outlineLevel="0" collapsed="false">
      <c r="A1077" s="36" t="s">
        <v>1529</v>
      </c>
      <c r="B1077" s="36" t="s">
        <v>1210</v>
      </c>
      <c r="C1077" s="36" t="s">
        <v>46</v>
      </c>
      <c r="D1077" s="36" t="s">
        <v>864</v>
      </c>
      <c r="E1077" s="36" t="n">
        <v>1</v>
      </c>
      <c r="F1077" s="36" t="n">
        <v>40</v>
      </c>
      <c r="G1077" s="36" t="s">
        <v>243</v>
      </c>
      <c r="H1077" s="36" t="s">
        <v>247</v>
      </c>
    </row>
    <row r="1078" customFormat="false" ht="15" hidden="false" customHeight="false" outlineLevel="0" collapsed="false">
      <c r="A1078" s="36" t="s">
        <v>1530</v>
      </c>
      <c r="B1078" s="36" t="s">
        <v>1210</v>
      </c>
      <c r="C1078" s="36" t="s">
        <v>46</v>
      </c>
      <c r="D1078" s="36" t="s">
        <v>163</v>
      </c>
      <c r="E1078" s="36" t="n">
        <v>4</v>
      </c>
      <c r="F1078" s="36" t="s">
        <v>699</v>
      </c>
      <c r="G1078" s="36" t="s">
        <v>267</v>
      </c>
      <c r="H1078" s="36" t="s">
        <v>321</v>
      </c>
    </row>
    <row r="1079" customFormat="false" ht="15" hidden="false" customHeight="false" outlineLevel="0" collapsed="false">
      <c r="A1079" s="36" t="s">
        <v>1531</v>
      </c>
      <c r="B1079" s="37" t="n">
        <v>46271</v>
      </c>
      <c r="C1079" s="36" t="s">
        <v>46</v>
      </c>
      <c r="D1079" s="36" t="s">
        <v>927</v>
      </c>
      <c r="E1079" s="36" t="n">
        <v>1</v>
      </c>
      <c r="F1079" s="36" t="n">
        <v>252</v>
      </c>
      <c r="G1079" s="36" t="s">
        <v>251</v>
      </c>
      <c r="H1079" s="36" t="s">
        <v>146</v>
      </c>
    </row>
    <row r="1080" customFormat="false" ht="15" hidden="false" customHeight="false" outlineLevel="0" collapsed="false">
      <c r="A1080" s="36" t="s">
        <v>1532</v>
      </c>
      <c r="B1080" s="36" t="s">
        <v>1210</v>
      </c>
      <c r="C1080" s="36" t="s">
        <v>442</v>
      </c>
      <c r="D1080" s="36" t="s">
        <v>192</v>
      </c>
      <c r="E1080" s="36" t="n">
        <v>2</v>
      </c>
      <c r="F1080" s="36" t="s">
        <v>323</v>
      </c>
      <c r="G1080" s="36" t="s">
        <v>263</v>
      </c>
      <c r="H1080" s="36" t="s">
        <v>141</v>
      </c>
    </row>
    <row r="1081" customFormat="false" ht="15" hidden="false" customHeight="false" outlineLevel="0" collapsed="false">
      <c r="A1081" s="36" t="s">
        <v>495</v>
      </c>
      <c r="B1081" s="36" t="s">
        <v>469</v>
      </c>
      <c r="C1081" s="36" t="s">
        <v>130</v>
      </c>
      <c r="D1081" s="36" t="s">
        <v>155</v>
      </c>
      <c r="E1081" s="36" t="n">
        <v>2</v>
      </c>
      <c r="F1081" s="36" t="n">
        <v>110</v>
      </c>
      <c r="G1081" s="36" t="s">
        <v>270</v>
      </c>
      <c r="H1081" s="36" t="s">
        <v>308</v>
      </c>
    </row>
    <row r="1082" customFormat="false" ht="15" hidden="false" customHeight="false" outlineLevel="0" collapsed="false">
      <c r="A1082" s="36" t="s">
        <v>1533</v>
      </c>
      <c r="B1082" s="36" t="s">
        <v>1210</v>
      </c>
      <c r="C1082" s="36" t="s">
        <v>46</v>
      </c>
      <c r="D1082" s="36" t="s">
        <v>285</v>
      </c>
      <c r="E1082" s="36" t="n">
        <v>2</v>
      </c>
      <c r="F1082" s="36" t="s">
        <v>627</v>
      </c>
      <c r="G1082" s="36" t="s">
        <v>256</v>
      </c>
      <c r="H1082" s="36" t="s">
        <v>141</v>
      </c>
    </row>
    <row r="1083" customFormat="false" ht="15" hidden="false" customHeight="false" outlineLevel="0" collapsed="false">
      <c r="A1083" s="36" t="s">
        <v>1534</v>
      </c>
      <c r="B1083" s="36" t="s">
        <v>1210</v>
      </c>
      <c r="C1083" s="36" t="s">
        <v>46</v>
      </c>
      <c r="D1083" s="36" t="s">
        <v>203</v>
      </c>
      <c r="E1083" s="36" t="n">
        <v>1</v>
      </c>
      <c r="F1083" s="36" t="s">
        <v>302</v>
      </c>
      <c r="G1083" s="36" t="s">
        <v>251</v>
      </c>
      <c r="H1083" s="36" t="s">
        <v>132</v>
      </c>
    </row>
    <row r="1084" customFormat="false" ht="15" hidden="false" customHeight="false" outlineLevel="0" collapsed="false">
      <c r="A1084" s="36" t="s">
        <v>1535</v>
      </c>
      <c r="B1084" s="36" t="s">
        <v>1210</v>
      </c>
      <c r="C1084" s="36" t="s">
        <v>448</v>
      </c>
      <c r="D1084" s="36" t="s">
        <v>625</v>
      </c>
      <c r="E1084" s="36"/>
      <c r="F1084" s="36" t="s">
        <v>255</v>
      </c>
      <c r="G1084" s="36" t="s">
        <v>243</v>
      </c>
      <c r="H1084" s="36" t="s">
        <v>132</v>
      </c>
    </row>
    <row r="1085" customFormat="false" ht="15" hidden="false" customHeight="false" outlineLevel="0" collapsed="false">
      <c r="A1085" s="36" t="s">
        <v>1536</v>
      </c>
      <c r="B1085" s="36" t="s">
        <v>1373</v>
      </c>
      <c r="C1085" s="36" t="s">
        <v>448</v>
      </c>
      <c r="D1085" s="36" t="s">
        <v>224</v>
      </c>
      <c r="E1085" s="36" t="n">
        <v>4</v>
      </c>
      <c r="F1085" s="36" t="n">
        <v>130</v>
      </c>
      <c r="G1085" s="36" t="s">
        <v>256</v>
      </c>
      <c r="H1085" s="36" t="s">
        <v>308</v>
      </c>
    </row>
    <row r="1086" customFormat="false" ht="15" hidden="false" customHeight="false" outlineLevel="0" collapsed="false">
      <c r="A1086" s="36" t="s">
        <v>1537</v>
      </c>
      <c r="B1086" s="36" t="s">
        <v>1210</v>
      </c>
      <c r="C1086" s="36" t="s">
        <v>46</v>
      </c>
      <c r="D1086" s="36" t="s">
        <v>342</v>
      </c>
      <c r="E1086" s="36" t="n">
        <v>2</v>
      </c>
      <c r="F1086" s="36" t="n">
        <v>60</v>
      </c>
      <c r="G1086" s="36" t="s">
        <v>267</v>
      </c>
      <c r="H1086" s="36" t="s">
        <v>308</v>
      </c>
    </row>
    <row r="1087" customFormat="false" ht="15" hidden="false" customHeight="false" outlineLevel="0" collapsed="false">
      <c r="A1087" s="36" t="s">
        <v>1538</v>
      </c>
      <c r="B1087" s="36" t="s">
        <v>1210</v>
      </c>
      <c r="C1087" s="36" t="s">
        <v>156</v>
      </c>
      <c r="D1087" s="36" t="s">
        <v>864</v>
      </c>
      <c r="E1087" s="36" t="s">
        <v>403</v>
      </c>
      <c r="F1087" s="36" t="n">
        <v>40</v>
      </c>
      <c r="G1087" s="36" t="s">
        <v>256</v>
      </c>
      <c r="H1087" s="36" t="s">
        <v>308</v>
      </c>
    </row>
    <row r="1088" customFormat="false" ht="15" hidden="false" customHeight="false" outlineLevel="0" collapsed="false">
      <c r="A1088" s="36" t="s">
        <v>1539</v>
      </c>
      <c r="B1088" s="36" t="s">
        <v>1210</v>
      </c>
      <c r="C1088" s="36" t="s">
        <v>46</v>
      </c>
      <c r="D1088" s="36" t="s">
        <v>233</v>
      </c>
      <c r="E1088" s="36" t="n">
        <v>1</v>
      </c>
      <c r="F1088" s="36" t="s">
        <v>724</v>
      </c>
      <c r="G1088" s="36" t="s">
        <v>243</v>
      </c>
      <c r="H1088" s="36" t="s">
        <v>247</v>
      </c>
    </row>
    <row r="1089" customFormat="false" ht="15" hidden="false" customHeight="false" outlineLevel="0" collapsed="false">
      <c r="A1089" s="36" t="s">
        <v>1540</v>
      </c>
      <c r="B1089" s="36" t="s">
        <v>1373</v>
      </c>
      <c r="C1089" s="36" t="s">
        <v>448</v>
      </c>
      <c r="D1089" s="36" t="s">
        <v>405</v>
      </c>
      <c r="E1089" s="36" t="n">
        <v>3</v>
      </c>
      <c r="F1089" s="36" t="s">
        <v>380</v>
      </c>
      <c r="G1089" s="36" t="s">
        <v>243</v>
      </c>
      <c r="H1089" s="36" t="s">
        <v>146</v>
      </c>
    </row>
    <row r="1090" customFormat="false" ht="15" hidden="false" customHeight="false" outlineLevel="0" collapsed="false">
      <c r="A1090" s="36" t="s">
        <v>1541</v>
      </c>
      <c r="B1090" s="36" t="s">
        <v>1210</v>
      </c>
      <c r="C1090" s="36" t="s">
        <v>442</v>
      </c>
      <c r="D1090" s="36" t="s">
        <v>696</v>
      </c>
      <c r="E1090" s="36"/>
      <c r="F1090" s="36" t="s">
        <v>552</v>
      </c>
      <c r="G1090" s="36" t="s">
        <v>260</v>
      </c>
      <c r="H1090" s="36" t="s">
        <v>132</v>
      </c>
    </row>
    <row r="1091" customFormat="false" ht="15" hidden="false" customHeight="false" outlineLevel="0" collapsed="false">
      <c r="A1091" s="36" t="s">
        <v>1542</v>
      </c>
      <c r="B1091" s="36" t="s">
        <v>1373</v>
      </c>
      <c r="C1091" s="36" t="s">
        <v>46</v>
      </c>
      <c r="D1091" s="36" t="s">
        <v>158</v>
      </c>
      <c r="E1091" s="36" t="n">
        <v>2</v>
      </c>
      <c r="F1091" s="36" t="n">
        <v>65</v>
      </c>
      <c r="G1091" s="36" t="s">
        <v>246</v>
      </c>
      <c r="H1091" s="36" t="s">
        <v>306</v>
      </c>
    </row>
    <row r="1092" customFormat="false" ht="15" hidden="false" customHeight="false" outlineLevel="0" collapsed="false">
      <c r="A1092" s="36" t="s">
        <v>1543</v>
      </c>
      <c r="B1092" s="36" t="s">
        <v>1210</v>
      </c>
      <c r="C1092" s="36" t="s">
        <v>448</v>
      </c>
      <c r="D1092" s="36" t="s">
        <v>478</v>
      </c>
      <c r="E1092" s="36" t="n">
        <v>6</v>
      </c>
      <c r="F1092" s="36" t="n">
        <v>420</v>
      </c>
      <c r="G1092" s="36" t="s">
        <v>267</v>
      </c>
      <c r="H1092" s="36" t="s">
        <v>141</v>
      </c>
    </row>
    <row r="1093" customFormat="false" ht="15" hidden="false" customHeight="false" outlineLevel="0" collapsed="false">
      <c r="A1093" s="36" t="s">
        <v>1544</v>
      </c>
      <c r="B1093" s="37" t="n">
        <v>46271</v>
      </c>
      <c r="C1093" s="36" t="s">
        <v>442</v>
      </c>
      <c r="D1093" s="36" t="s">
        <v>1545</v>
      </c>
      <c r="E1093" s="36" t="n">
        <v>1</v>
      </c>
      <c r="F1093" s="36" t="s">
        <v>507</v>
      </c>
      <c r="G1093" s="36" t="s">
        <v>246</v>
      </c>
      <c r="H1093" s="36" t="s">
        <v>321</v>
      </c>
    </row>
    <row r="1094" customFormat="false" ht="15" hidden="false" customHeight="false" outlineLevel="0" collapsed="false">
      <c r="A1094" s="36" t="s">
        <v>1546</v>
      </c>
      <c r="B1094" s="36" t="s">
        <v>1373</v>
      </c>
      <c r="C1094" s="36" t="s">
        <v>156</v>
      </c>
      <c r="D1094" s="36" t="s">
        <v>475</v>
      </c>
      <c r="E1094" s="36" t="n">
        <v>4</v>
      </c>
      <c r="F1094" s="36" t="n">
        <v>360</v>
      </c>
      <c r="G1094" s="36" t="s">
        <v>246</v>
      </c>
      <c r="H1094" s="36" t="s">
        <v>141</v>
      </c>
    </row>
    <row r="1095" customFormat="false" ht="15" hidden="false" customHeight="false" outlineLevel="0" collapsed="false">
      <c r="A1095" s="36" t="s">
        <v>1547</v>
      </c>
      <c r="B1095" s="36" t="s">
        <v>1210</v>
      </c>
      <c r="C1095" s="36" t="s">
        <v>46</v>
      </c>
      <c r="D1095" s="36" t="s">
        <v>184</v>
      </c>
      <c r="E1095" s="36" t="n">
        <v>6</v>
      </c>
      <c r="F1095" s="36" t="s">
        <v>387</v>
      </c>
      <c r="G1095" s="36" t="s">
        <v>243</v>
      </c>
      <c r="H1095" s="36" t="s">
        <v>132</v>
      </c>
    </row>
    <row r="1096" customFormat="false" ht="15" hidden="false" customHeight="false" outlineLevel="0" collapsed="false">
      <c r="A1096" s="36" t="s">
        <v>1548</v>
      </c>
      <c r="B1096" s="36" t="s">
        <v>1210</v>
      </c>
      <c r="C1096" s="36" t="s">
        <v>156</v>
      </c>
      <c r="D1096" s="36" t="s">
        <v>864</v>
      </c>
      <c r="E1096" s="36" t="n">
        <v>1</v>
      </c>
      <c r="F1096" s="36" t="s">
        <v>699</v>
      </c>
      <c r="G1096" s="36" t="s">
        <v>251</v>
      </c>
      <c r="H1096" s="36" t="s">
        <v>140</v>
      </c>
    </row>
    <row r="1097" customFormat="false" ht="15" hidden="false" customHeight="false" outlineLevel="0" collapsed="false">
      <c r="A1097" s="36" t="s">
        <v>1549</v>
      </c>
      <c r="B1097" s="36" t="s">
        <v>1550</v>
      </c>
      <c r="C1097" s="36" t="s">
        <v>254</v>
      </c>
      <c r="D1097" s="36" t="s">
        <v>382</v>
      </c>
      <c r="E1097" s="36" t="s">
        <v>403</v>
      </c>
      <c r="F1097" s="36" t="s">
        <v>255</v>
      </c>
      <c r="G1097" s="36" t="s">
        <v>267</v>
      </c>
      <c r="H1097" s="36" t="s">
        <v>247</v>
      </c>
    </row>
    <row r="1098" customFormat="false" ht="15" hidden="false" customHeight="false" outlineLevel="0" collapsed="false">
      <c r="A1098" s="36" t="s">
        <v>1551</v>
      </c>
      <c r="B1098" s="36" t="s">
        <v>1550</v>
      </c>
      <c r="C1098" s="36" t="s">
        <v>249</v>
      </c>
      <c r="D1098" s="36" t="s">
        <v>159</v>
      </c>
      <c r="E1098" s="36" t="s">
        <v>735</v>
      </c>
      <c r="F1098" s="36" t="n">
        <v>330</v>
      </c>
      <c r="G1098" s="36" t="s">
        <v>260</v>
      </c>
      <c r="H1098" s="36" t="s">
        <v>146</v>
      </c>
    </row>
    <row r="1099" customFormat="false" ht="15" hidden="false" customHeight="false" outlineLevel="0" collapsed="false">
      <c r="A1099" s="36" t="s">
        <v>1552</v>
      </c>
      <c r="B1099" s="36" t="s">
        <v>1553</v>
      </c>
      <c r="C1099" s="36" t="s">
        <v>249</v>
      </c>
      <c r="D1099" s="36" t="s">
        <v>390</v>
      </c>
      <c r="E1099" s="36" t="n">
        <v>1</v>
      </c>
      <c r="F1099" s="36" t="n">
        <v>110</v>
      </c>
      <c r="G1099" s="36" t="s">
        <v>251</v>
      </c>
      <c r="H1099" s="36" t="s">
        <v>132</v>
      </c>
    </row>
    <row r="1100" customFormat="false" ht="15" hidden="false" customHeight="false" outlineLevel="0" collapsed="false">
      <c r="A1100" s="36" t="s">
        <v>1554</v>
      </c>
      <c r="B1100" s="37" t="n">
        <v>46272</v>
      </c>
      <c r="C1100" s="36" t="s">
        <v>130</v>
      </c>
      <c r="D1100" s="36" t="s">
        <v>159</v>
      </c>
      <c r="E1100" s="36" t="n">
        <v>2</v>
      </c>
      <c r="F1100" s="36" t="n">
        <v>330</v>
      </c>
      <c r="G1100" s="36" t="s">
        <v>267</v>
      </c>
      <c r="H1100" s="36" t="s">
        <v>141</v>
      </c>
    </row>
    <row r="1101" customFormat="false" ht="15" hidden="false" customHeight="false" outlineLevel="0" collapsed="false">
      <c r="A1101" s="36" t="s">
        <v>1555</v>
      </c>
      <c r="B1101" s="36" t="s">
        <v>1550</v>
      </c>
      <c r="C1101" s="36" t="s">
        <v>130</v>
      </c>
      <c r="D1101" s="36" t="s">
        <v>134</v>
      </c>
      <c r="E1101" s="36" t="n">
        <v>4</v>
      </c>
      <c r="F1101" s="36" t="n">
        <v>190</v>
      </c>
      <c r="G1101" s="36" t="s">
        <v>263</v>
      </c>
      <c r="H1101" s="36" t="s">
        <v>321</v>
      </c>
    </row>
    <row r="1102" customFormat="false" ht="15" hidden="false" customHeight="false" outlineLevel="0" collapsed="false">
      <c r="A1102" s="36" t="s">
        <v>1556</v>
      </c>
      <c r="B1102" s="37" t="n">
        <v>46272</v>
      </c>
      <c r="C1102" s="36" t="s">
        <v>294</v>
      </c>
      <c r="D1102" s="36" t="s">
        <v>566</v>
      </c>
      <c r="E1102" s="36" t="n">
        <v>2</v>
      </c>
      <c r="F1102" s="36" t="s">
        <v>283</v>
      </c>
      <c r="G1102" s="36" t="s">
        <v>260</v>
      </c>
      <c r="H1102" s="36" t="s">
        <v>146</v>
      </c>
    </row>
    <row r="1103" customFormat="false" ht="15" hidden="false" customHeight="false" outlineLevel="0" collapsed="false">
      <c r="A1103" s="36" t="s">
        <v>1557</v>
      </c>
      <c r="B1103" s="36" t="s">
        <v>1550</v>
      </c>
      <c r="C1103" s="36" t="s">
        <v>249</v>
      </c>
      <c r="D1103" s="36" t="s">
        <v>161</v>
      </c>
      <c r="E1103" s="36" t="n">
        <v>4</v>
      </c>
      <c r="F1103" s="36" t="n">
        <v>40</v>
      </c>
      <c r="G1103" s="36" t="s">
        <v>243</v>
      </c>
      <c r="H1103" s="36" t="s">
        <v>140</v>
      </c>
    </row>
    <row r="1104" customFormat="false" ht="15" hidden="false" customHeight="false" outlineLevel="0" collapsed="false">
      <c r="A1104" s="36" t="s">
        <v>1558</v>
      </c>
      <c r="B1104" s="36" t="s">
        <v>1550</v>
      </c>
      <c r="C1104" s="36" t="s">
        <v>241</v>
      </c>
      <c r="D1104" s="36" t="s">
        <v>151</v>
      </c>
      <c r="E1104" s="36" t="n">
        <v>1</v>
      </c>
      <c r="F1104" s="36" t="s">
        <v>380</v>
      </c>
      <c r="G1104" s="36" t="s">
        <v>243</v>
      </c>
      <c r="H1104" s="36" t="s">
        <v>308</v>
      </c>
    </row>
    <row r="1105" customFormat="false" ht="15" hidden="false" customHeight="false" outlineLevel="0" collapsed="false">
      <c r="A1105" s="36" t="s">
        <v>1559</v>
      </c>
      <c r="B1105" s="36" t="s">
        <v>1553</v>
      </c>
      <c r="C1105" s="36" t="s">
        <v>249</v>
      </c>
      <c r="D1105" s="36" t="s">
        <v>475</v>
      </c>
      <c r="E1105" s="36" t="n">
        <v>6</v>
      </c>
      <c r="F1105" s="36" t="n">
        <v>360</v>
      </c>
      <c r="G1105" s="36" t="s">
        <v>260</v>
      </c>
      <c r="H1105" s="36" t="s">
        <v>141</v>
      </c>
    </row>
    <row r="1106" customFormat="false" ht="15" hidden="false" customHeight="false" outlineLevel="0" collapsed="false">
      <c r="A1106" s="36" t="s">
        <v>1560</v>
      </c>
      <c r="B1106" s="36" t="s">
        <v>1553</v>
      </c>
      <c r="C1106" s="36" t="s">
        <v>241</v>
      </c>
      <c r="D1106" s="36" t="s">
        <v>148</v>
      </c>
      <c r="E1106" s="36" t="n">
        <v>1</v>
      </c>
      <c r="F1106" s="36" t="s">
        <v>275</v>
      </c>
      <c r="G1106" s="36" t="s">
        <v>260</v>
      </c>
      <c r="H1106" s="36" t="s">
        <v>132</v>
      </c>
    </row>
    <row r="1107" customFormat="false" ht="15" hidden="false" customHeight="false" outlineLevel="0" collapsed="false">
      <c r="A1107" s="36" t="s">
        <v>1561</v>
      </c>
      <c r="B1107" s="36" t="s">
        <v>1553</v>
      </c>
      <c r="C1107" s="36" t="s">
        <v>130</v>
      </c>
      <c r="D1107" s="36" t="s">
        <v>202</v>
      </c>
      <c r="E1107" s="36" t="n">
        <v>3</v>
      </c>
      <c r="F1107" s="36" t="n">
        <v>140</v>
      </c>
      <c r="G1107" s="36" t="s">
        <v>251</v>
      </c>
      <c r="H1107" s="36" t="s">
        <v>132</v>
      </c>
    </row>
    <row r="1108" customFormat="false" ht="15" hidden="false" customHeight="false" outlineLevel="0" collapsed="false">
      <c r="A1108" s="36" t="s">
        <v>1562</v>
      </c>
      <c r="B1108" s="36" t="s">
        <v>1550</v>
      </c>
      <c r="C1108" s="36" t="s">
        <v>241</v>
      </c>
      <c r="D1108" s="36" t="s">
        <v>199</v>
      </c>
      <c r="E1108" s="36" t="n">
        <v>1</v>
      </c>
      <c r="F1108" s="36" t="s">
        <v>600</v>
      </c>
      <c r="G1108" s="36" t="s">
        <v>243</v>
      </c>
      <c r="H1108" s="36" t="s">
        <v>141</v>
      </c>
    </row>
    <row r="1109" customFormat="false" ht="15" hidden="false" customHeight="false" outlineLevel="0" collapsed="false">
      <c r="A1109" s="36" t="s">
        <v>1563</v>
      </c>
      <c r="B1109" s="36" t="s">
        <v>1550</v>
      </c>
      <c r="C1109" s="36" t="s">
        <v>130</v>
      </c>
      <c r="D1109" s="36" t="s">
        <v>696</v>
      </c>
      <c r="E1109" s="36" t="s">
        <v>282</v>
      </c>
      <c r="F1109" s="36" t="s">
        <v>552</v>
      </c>
      <c r="G1109" s="36" t="s">
        <v>251</v>
      </c>
      <c r="H1109" s="36" t="s">
        <v>131</v>
      </c>
    </row>
    <row r="1110" customFormat="false" ht="15" hidden="false" customHeight="false" outlineLevel="0" collapsed="false">
      <c r="A1110" s="36" t="s">
        <v>1564</v>
      </c>
      <c r="B1110" s="36" t="s">
        <v>1553</v>
      </c>
      <c r="C1110" s="36" t="s">
        <v>130</v>
      </c>
      <c r="D1110" s="36" t="s">
        <v>162</v>
      </c>
      <c r="E1110" s="36" t="n">
        <v>1</v>
      </c>
      <c r="F1110" s="36" t="s">
        <v>663</v>
      </c>
      <c r="G1110" s="36" t="s">
        <v>251</v>
      </c>
      <c r="H1110" s="36" t="s">
        <v>131</v>
      </c>
    </row>
    <row r="1111" customFormat="false" ht="15" hidden="false" customHeight="false" outlineLevel="0" collapsed="false">
      <c r="A1111" s="36" t="s">
        <v>1565</v>
      </c>
      <c r="B1111" s="36" t="s">
        <v>1553</v>
      </c>
      <c r="C1111" s="36" t="s">
        <v>249</v>
      </c>
      <c r="D1111" s="36" t="s">
        <v>299</v>
      </c>
      <c r="E1111" s="36" t="n">
        <v>1</v>
      </c>
      <c r="F1111" s="36" t="s">
        <v>319</v>
      </c>
      <c r="G1111" s="36" t="s">
        <v>243</v>
      </c>
      <c r="H1111" s="36" t="s">
        <v>247</v>
      </c>
    </row>
    <row r="1112" customFormat="false" ht="15" hidden="false" customHeight="false" outlineLevel="0" collapsed="false">
      <c r="A1112" s="36" t="s">
        <v>1566</v>
      </c>
      <c r="B1112" s="37" t="n">
        <v>46272</v>
      </c>
      <c r="C1112" s="36" t="s">
        <v>294</v>
      </c>
      <c r="D1112" s="36" t="s">
        <v>342</v>
      </c>
      <c r="E1112" s="36" t="n">
        <v>2</v>
      </c>
      <c r="F1112" s="36" t="s">
        <v>498</v>
      </c>
      <c r="G1112" s="36" t="s">
        <v>263</v>
      </c>
      <c r="H1112" s="36" t="s">
        <v>131</v>
      </c>
    </row>
    <row r="1113" customFormat="false" ht="15" hidden="false" customHeight="false" outlineLevel="0" collapsed="false">
      <c r="A1113" s="36" t="s">
        <v>1567</v>
      </c>
      <c r="B1113" s="37" t="n">
        <v>46272</v>
      </c>
      <c r="C1113" s="36" t="s">
        <v>294</v>
      </c>
      <c r="D1113" s="36" t="s">
        <v>138</v>
      </c>
      <c r="E1113" s="36" t="n">
        <v>1</v>
      </c>
      <c r="F1113" s="36" t="s">
        <v>259</v>
      </c>
      <c r="G1113" s="36" t="s">
        <v>251</v>
      </c>
      <c r="H1113" s="36" t="s">
        <v>141</v>
      </c>
    </row>
    <row r="1114" customFormat="false" ht="15" hidden="false" customHeight="false" outlineLevel="0" collapsed="false">
      <c r="A1114" s="36" t="s">
        <v>1568</v>
      </c>
      <c r="B1114" s="36" t="s">
        <v>1550</v>
      </c>
      <c r="C1114" s="36" t="s">
        <v>254</v>
      </c>
      <c r="D1114" s="36" t="s">
        <v>648</v>
      </c>
      <c r="E1114" s="36" t="n">
        <v>3</v>
      </c>
      <c r="F1114" s="36" t="n">
        <v>280</v>
      </c>
      <c r="G1114" s="36" t="s">
        <v>256</v>
      </c>
      <c r="H1114" s="36" t="s">
        <v>321</v>
      </c>
    </row>
    <row r="1115" customFormat="false" ht="15" hidden="false" customHeight="false" outlineLevel="0" collapsed="false">
      <c r="A1115" s="36" t="s">
        <v>1569</v>
      </c>
      <c r="B1115" s="36" t="s">
        <v>1550</v>
      </c>
      <c r="C1115" s="36" t="s">
        <v>249</v>
      </c>
      <c r="D1115" s="36" t="s">
        <v>147</v>
      </c>
      <c r="E1115" s="36" t="n">
        <v>4</v>
      </c>
      <c r="F1115" s="36" t="s">
        <v>259</v>
      </c>
      <c r="G1115" s="36" t="s">
        <v>246</v>
      </c>
      <c r="H1115" s="36" t="s">
        <v>141</v>
      </c>
    </row>
    <row r="1116" customFormat="false" ht="15" hidden="false" customHeight="false" outlineLevel="0" collapsed="false">
      <c r="A1116" s="36" t="s">
        <v>1570</v>
      </c>
      <c r="B1116" s="36" t="s">
        <v>1550</v>
      </c>
      <c r="C1116" s="36" t="s">
        <v>254</v>
      </c>
      <c r="D1116" s="36" t="s">
        <v>232</v>
      </c>
      <c r="E1116" s="36" t="n">
        <v>6</v>
      </c>
      <c r="F1116" s="36" t="s">
        <v>509</v>
      </c>
      <c r="G1116" s="36" t="s">
        <v>246</v>
      </c>
      <c r="H1116" s="36" t="s">
        <v>247</v>
      </c>
    </row>
    <row r="1117" customFormat="false" ht="15" hidden="false" customHeight="false" outlineLevel="0" collapsed="false">
      <c r="A1117" s="36" t="s">
        <v>1571</v>
      </c>
      <c r="B1117" s="37" t="n">
        <v>46272</v>
      </c>
      <c r="C1117" s="36" t="s">
        <v>130</v>
      </c>
      <c r="D1117" s="36" t="s">
        <v>157</v>
      </c>
      <c r="E1117" s="36" t="n">
        <v>3</v>
      </c>
      <c r="F1117" s="36" t="n">
        <v>297</v>
      </c>
      <c r="G1117" s="36" t="s">
        <v>270</v>
      </c>
      <c r="H1117" s="36" t="s">
        <v>141</v>
      </c>
    </row>
    <row r="1118" customFormat="false" ht="15" hidden="false" customHeight="false" outlineLevel="0" collapsed="false">
      <c r="A1118" s="36" t="s">
        <v>1572</v>
      </c>
      <c r="B1118" s="36" t="s">
        <v>1550</v>
      </c>
      <c r="C1118" s="36" t="s">
        <v>42</v>
      </c>
      <c r="D1118" s="36" t="s">
        <v>195</v>
      </c>
      <c r="E1118" s="36" t="n">
        <v>6</v>
      </c>
      <c r="F1118" s="36" t="s">
        <v>498</v>
      </c>
      <c r="G1118" s="36" t="s">
        <v>243</v>
      </c>
      <c r="H1118" s="36" t="s">
        <v>140</v>
      </c>
    </row>
    <row r="1119" customFormat="false" ht="15" hidden="false" customHeight="false" outlineLevel="0" collapsed="false">
      <c r="A1119" s="36" t="s">
        <v>1573</v>
      </c>
      <c r="B1119" s="37" t="n">
        <v>46272</v>
      </c>
      <c r="C1119" s="36" t="s">
        <v>42</v>
      </c>
      <c r="D1119" s="36" t="s">
        <v>623</v>
      </c>
      <c r="E1119" s="36" t="n">
        <v>1</v>
      </c>
      <c r="F1119" s="36" t="s">
        <v>411</v>
      </c>
      <c r="G1119" s="36" t="s">
        <v>270</v>
      </c>
      <c r="H1119" s="36" t="s">
        <v>141</v>
      </c>
    </row>
    <row r="1120" customFormat="false" ht="15" hidden="false" customHeight="false" outlineLevel="0" collapsed="false">
      <c r="A1120" s="36" t="s">
        <v>1574</v>
      </c>
      <c r="B1120" s="36" t="s">
        <v>1553</v>
      </c>
      <c r="C1120" s="36" t="s">
        <v>130</v>
      </c>
      <c r="D1120" s="36" t="s">
        <v>1159</v>
      </c>
      <c r="E1120" s="36" t="s">
        <v>282</v>
      </c>
      <c r="F1120" s="36" t="n">
        <v>120</v>
      </c>
      <c r="G1120" s="36" t="s">
        <v>243</v>
      </c>
      <c r="H1120" s="36" t="s">
        <v>131</v>
      </c>
    </row>
    <row r="1121" customFormat="false" ht="15" hidden="false" customHeight="false" outlineLevel="0" collapsed="false">
      <c r="A1121" s="36" t="s">
        <v>1575</v>
      </c>
      <c r="B1121" s="36" t="s">
        <v>1553</v>
      </c>
      <c r="C1121" s="36" t="s">
        <v>42</v>
      </c>
      <c r="D1121" s="36" t="s">
        <v>192</v>
      </c>
      <c r="E1121" s="36" t="n">
        <v>6</v>
      </c>
      <c r="F1121" s="36" t="n">
        <v>420</v>
      </c>
      <c r="G1121" s="36" t="s">
        <v>246</v>
      </c>
      <c r="H1121" s="36" t="s">
        <v>308</v>
      </c>
    </row>
    <row r="1122" customFormat="false" ht="15" hidden="false" customHeight="false" outlineLevel="0" collapsed="false">
      <c r="A1122" s="36" t="s">
        <v>1576</v>
      </c>
      <c r="B1122" s="36" t="s">
        <v>1553</v>
      </c>
      <c r="C1122" s="36" t="s">
        <v>42</v>
      </c>
      <c r="D1122" s="36" t="s">
        <v>520</v>
      </c>
      <c r="E1122" s="36" t="n">
        <v>1</v>
      </c>
      <c r="F1122" s="36" t="n">
        <v>90</v>
      </c>
      <c r="G1122" s="36" t="s">
        <v>270</v>
      </c>
      <c r="H1122" s="36" t="s">
        <v>141</v>
      </c>
    </row>
    <row r="1123" customFormat="false" ht="15" hidden="false" customHeight="false" outlineLevel="0" collapsed="false">
      <c r="A1123" s="36" t="s">
        <v>1577</v>
      </c>
      <c r="B1123" s="36" t="s">
        <v>1550</v>
      </c>
      <c r="C1123" s="36" t="s">
        <v>130</v>
      </c>
      <c r="D1123" s="36" t="s">
        <v>193</v>
      </c>
      <c r="E1123" s="36" t="n">
        <v>2</v>
      </c>
      <c r="F1123" s="36" t="n">
        <v>360</v>
      </c>
      <c r="G1123" s="36" t="s">
        <v>246</v>
      </c>
      <c r="H1123" s="36" t="s">
        <v>306</v>
      </c>
    </row>
    <row r="1124" customFormat="false" ht="15" hidden="false" customHeight="false" outlineLevel="0" collapsed="false">
      <c r="A1124" s="36" t="s">
        <v>1578</v>
      </c>
      <c r="B1124" s="36" t="s">
        <v>1553</v>
      </c>
      <c r="C1124" s="36" t="s">
        <v>130</v>
      </c>
      <c r="D1124" s="36" t="s">
        <v>716</v>
      </c>
      <c r="E1124" s="36" t="n">
        <v>1</v>
      </c>
      <c r="F1124" s="36" t="n">
        <v>315</v>
      </c>
      <c r="G1124" s="36" t="s">
        <v>267</v>
      </c>
      <c r="H1124" s="36" t="s">
        <v>321</v>
      </c>
    </row>
    <row r="1125" customFormat="false" ht="15" hidden="false" customHeight="false" outlineLevel="0" collapsed="false">
      <c r="A1125" s="36" t="s">
        <v>1579</v>
      </c>
      <c r="B1125" s="36" t="s">
        <v>1553</v>
      </c>
      <c r="C1125" s="36" t="s">
        <v>42</v>
      </c>
      <c r="D1125" s="36" t="s">
        <v>157</v>
      </c>
      <c r="E1125" s="36" t="n">
        <v>1</v>
      </c>
      <c r="F1125" s="36" t="n">
        <v>330</v>
      </c>
      <c r="G1125" s="36" t="s">
        <v>260</v>
      </c>
      <c r="H1125" s="36" t="s">
        <v>141</v>
      </c>
    </row>
    <row r="1126" customFormat="false" ht="15" hidden="false" customHeight="false" outlineLevel="0" collapsed="false">
      <c r="A1126" s="36" t="s">
        <v>1580</v>
      </c>
      <c r="B1126" s="36" t="s">
        <v>1550</v>
      </c>
      <c r="C1126" s="36" t="s">
        <v>294</v>
      </c>
      <c r="D1126" s="36" t="s">
        <v>299</v>
      </c>
      <c r="E1126" s="36" t="n">
        <v>1</v>
      </c>
      <c r="F1126" s="36" t="n">
        <v>60</v>
      </c>
      <c r="G1126" s="36" t="s">
        <v>243</v>
      </c>
      <c r="H1126" s="36" t="s">
        <v>321</v>
      </c>
    </row>
    <row r="1127" customFormat="false" ht="15" hidden="false" customHeight="false" outlineLevel="0" collapsed="false">
      <c r="A1127" s="36" t="s">
        <v>1581</v>
      </c>
      <c r="B1127" s="36" t="s">
        <v>1550</v>
      </c>
      <c r="C1127" s="36" t="s">
        <v>254</v>
      </c>
      <c r="D1127" s="36" t="s">
        <v>155</v>
      </c>
      <c r="E1127" s="36" t="s">
        <v>282</v>
      </c>
      <c r="F1127" s="36" t="n">
        <v>110</v>
      </c>
      <c r="G1127" s="36" t="s">
        <v>263</v>
      </c>
      <c r="H1127" s="36" t="s">
        <v>145</v>
      </c>
    </row>
    <row r="1128" customFormat="false" ht="15" hidden="false" customHeight="false" outlineLevel="0" collapsed="false">
      <c r="A1128" s="36" t="s">
        <v>1582</v>
      </c>
      <c r="B1128" s="36" t="s">
        <v>1553</v>
      </c>
      <c r="C1128" s="36" t="s">
        <v>130</v>
      </c>
      <c r="D1128" s="36" t="s">
        <v>197</v>
      </c>
      <c r="E1128" s="36" t="n">
        <v>1</v>
      </c>
      <c r="F1128" s="36" t="n">
        <v>54</v>
      </c>
      <c r="G1128" s="36" t="s">
        <v>263</v>
      </c>
      <c r="H1128" s="36" t="s">
        <v>131</v>
      </c>
    </row>
    <row r="1129" customFormat="false" ht="15" hidden="false" customHeight="false" outlineLevel="0" collapsed="false">
      <c r="A1129" s="36" t="s">
        <v>1583</v>
      </c>
      <c r="B1129" s="36" t="s">
        <v>1550</v>
      </c>
      <c r="C1129" s="36" t="s">
        <v>294</v>
      </c>
      <c r="D1129" s="36" t="s">
        <v>202</v>
      </c>
      <c r="E1129" s="36" t="n">
        <v>3</v>
      </c>
      <c r="F1129" s="36" t="s">
        <v>509</v>
      </c>
      <c r="G1129" s="36" t="s">
        <v>256</v>
      </c>
      <c r="H1129" s="36" t="s">
        <v>132</v>
      </c>
    </row>
    <row r="1130" customFormat="false" ht="15" hidden="false" customHeight="false" outlineLevel="0" collapsed="false">
      <c r="A1130" s="36" t="s">
        <v>1584</v>
      </c>
      <c r="B1130" s="36" t="s">
        <v>1553</v>
      </c>
      <c r="C1130" s="36" t="s">
        <v>254</v>
      </c>
      <c r="D1130" s="36" t="s">
        <v>898</v>
      </c>
      <c r="E1130" s="36" t="n">
        <v>1</v>
      </c>
      <c r="F1130" s="36" t="n">
        <v>150</v>
      </c>
      <c r="G1130" s="36" t="s">
        <v>251</v>
      </c>
      <c r="H1130" s="36" t="s">
        <v>132</v>
      </c>
    </row>
    <row r="1131" customFormat="false" ht="15" hidden="false" customHeight="false" outlineLevel="0" collapsed="false">
      <c r="A1131" s="36" t="s">
        <v>1585</v>
      </c>
      <c r="B1131" s="36" t="s">
        <v>1553</v>
      </c>
      <c r="C1131" s="36" t="s">
        <v>139</v>
      </c>
      <c r="D1131" s="36" t="s">
        <v>148</v>
      </c>
      <c r="E1131" s="36" t="n">
        <v>4</v>
      </c>
      <c r="F1131" s="36" t="s">
        <v>380</v>
      </c>
      <c r="G1131" s="36" t="s">
        <v>246</v>
      </c>
      <c r="H1131" s="36" t="s">
        <v>132</v>
      </c>
    </row>
    <row r="1132" customFormat="false" ht="15" hidden="false" customHeight="false" outlineLevel="0" collapsed="false">
      <c r="A1132" s="36" t="s">
        <v>1586</v>
      </c>
      <c r="B1132" s="36" t="s">
        <v>1553</v>
      </c>
      <c r="C1132" s="36" t="s">
        <v>43</v>
      </c>
      <c r="D1132" s="36" t="s">
        <v>172</v>
      </c>
      <c r="E1132" s="36" t="n">
        <v>3</v>
      </c>
      <c r="F1132" s="36" t="n">
        <v>60</v>
      </c>
      <c r="G1132" s="36" t="s">
        <v>243</v>
      </c>
      <c r="H1132" s="36" t="s">
        <v>141</v>
      </c>
    </row>
    <row r="1133" customFormat="false" ht="15" hidden="false" customHeight="false" outlineLevel="0" collapsed="false">
      <c r="A1133" s="36" t="s">
        <v>1587</v>
      </c>
      <c r="B1133" s="36" t="s">
        <v>1550</v>
      </c>
      <c r="C1133" s="36" t="s">
        <v>139</v>
      </c>
      <c r="D1133" s="36" t="s">
        <v>155</v>
      </c>
      <c r="E1133" s="36" t="n">
        <v>1</v>
      </c>
      <c r="F1133" s="36" t="s">
        <v>245</v>
      </c>
      <c r="G1133" s="36" t="s">
        <v>270</v>
      </c>
      <c r="H1133" s="36" t="s">
        <v>141</v>
      </c>
    </row>
    <row r="1134" customFormat="false" ht="15" hidden="false" customHeight="false" outlineLevel="0" collapsed="false">
      <c r="A1134" s="36" t="s">
        <v>1588</v>
      </c>
      <c r="B1134" s="37" t="n">
        <v>46272</v>
      </c>
      <c r="C1134" s="36" t="s">
        <v>43</v>
      </c>
      <c r="D1134" s="36" t="s">
        <v>405</v>
      </c>
      <c r="E1134" s="36" t="n">
        <v>4</v>
      </c>
      <c r="F1134" s="36" t="n">
        <v>297</v>
      </c>
      <c r="G1134" s="36" t="s">
        <v>267</v>
      </c>
      <c r="H1134" s="36" t="s">
        <v>247</v>
      </c>
    </row>
    <row r="1135" customFormat="false" ht="15" hidden="false" customHeight="false" outlineLevel="0" collapsed="false">
      <c r="A1135" s="36" t="s">
        <v>1589</v>
      </c>
      <c r="B1135" s="36" t="s">
        <v>1553</v>
      </c>
      <c r="C1135" s="36" t="s">
        <v>43</v>
      </c>
      <c r="D1135" s="36" t="s">
        <v>221</v>
      </c>
      <c r="E1135" s="36" t="n">
        <v>1</v>
      </c>
      <c r="F1135" s="36" t="s">
        <v>323</v>
      </c>
      <c r="G1135" s="36" t="s">
        <v>267</v>
      </c>
      <c r="H1135" s="36" t="s">
        <v>306</v>
      </c>
    </row>
    <row r="1136" customFormat="false" ht="15" hidden="false" customHeight="false" outlineLevel="0" collapsed="false">
      <c r="A1136" s="36" t="s">
        <v>1590</v>
      </c>
      <c r="B1136" s="36" t="s">
        <v>1553</v>
      </c>
      <c r="C1136" s="36" t="s">
        <v>43</v>
      </c>
      <c r="D1136" s="36" t="s">
        <v>377</v>
      </c>
      <c r="E1136" s="36" t="n">
        <v>3</v>
      </c>
      <c r="F1136" s="36" t="s">
        <v>1591</v>
      </c>
      <c r="G1136" s="36" t="s">
        <v>270</v>
      </c>
      <c r="H1136" s="36" t="s">
        <v>140</v>
      </c>
    </row>
    <row r="1137" customFormat="false" ht="15" hidden="false" customHeight="false" outlineLevel="0" collapsed="false">
      <c r="A1137" s="36" t="s">
        <v>1592</v>
      </c>
      <c r="B1137" s="36" t="s">
        <v>1550</v>
      </c>
      <c r="C1137" s="36" t="s">
        <v>333</v>
      </c>
      <c r="D1137" s="36" t="s">
        <v>233</v>
      </c>
      <c r="E1137" s="36" t="n">
        <v>1</v>
      </c>
      <c r="F1137" s="36" t="n">
        <v>130</v>
      </c>
      <c r="G1137" s="36" t="s">
        <v>243</v>
      </c>
      <c r="H1137" s="36" t="s">
        <v>141</v>
      </c>
    </row>
    <row r="1138" customFormat="false" ht="15" hidden="false" customHeight="false" outlineLevel="0" collapsed="false">
      <c r="A1138" s="36" t="s">
        <v>1593</v>
      </c>
      <c r="B1138" s="36" t="s">
        <v>1553</v>
      </c>
      <c r="C1138" s="36" t="s">
        <v>43</v>
      </c>
      <c r="D1138" s="36" t="s">
        <v>178</v>
      </c>
      <c r="E1138" s="36" t="n">
        <v>3</v>
      </c>
      <c r="F1138" s="36" t="s">
        <v>544</v>
      </c>
      <c r="G1138" s="36" t="s">
        <v>263</v>
      </c>
      <c r="H1138" s="36" t="s">
        <v>132</v>
      </c>
    </row>
    <row r="1139" customFormat="false" ht="15" hidden="false" customHeight="false" outlineLevel="0" collapsed="false">
      <c r="A1139" s="36" t="s">
        <v>1594</v>
      </c>
      <c r="B1139" s="36" t="s">
        <v>1553</v>
      </c>
      <c r="C1139" s="36" t="s">
        <v>333</v>
      </c>
      <c r="D1139" s="36" t="s">
        <v>148</v>
      </c>
      <c r="E1139" s="36" t="n">
        <v>3</v>
      </c>
      <c r="F1139" s="36" t="n">
        <v>330</v>
      </c>
      <c r="G1139" s="36" t="s">
        <v>263</v>
      </c>
      <c r="H1139" s="36" t="s">
        <v>140</v>
      </c>
    </row>
    <row r="1140" customFormat="false" ht="15" hidden="false" customHeight="false" outlineLevel="0" collapsed="false">
      <c r="A1140" s="36" t="s">
        <v>1595</v>
      </c>
      <c r="B1140" s="36" t="s">
        <v>1553</v>
      </c>
      <c r="C1140" s="36" t="s">
        <v>333</v>
      </c>
      <c r="D1140" s="36" t="s">
        <v>196</v>
      </c>
      <c r="E1140" s="36" t="n">
        <v>1</v>
      </c>
      <c r="F1140" s="36" t="n">
        <v>350</v>
      </c>
      <c r="G1140" s="36" t="s">
        <v>263</v>
      </c>
      <c r="H1140" s="36" t="s">
        <v>140</v>
      </c>
    </row>
    <row r="1141" customFormat="false" ht="15" hidden="false" customHeight="false" outlineLevel="0" collapsed="false">
      <c r="A1141" s="36" t="s">
        <v>1596</v>
      </c>
      <c r="B1141" s="36" t="s">
        <v>1553</v>
      </c>
      <c r="C1141" s="36" t="s">
        <v>43</v>
      </c>
      <c r="D1141" s="36" t="s">
        <v>206</v>
      </c>
      <c r="E1141" s="36" t="n">
        <v>1</v>
      </c>
      <c r="F1141" s="36" t="s">
        <v>369</v>
      </c>
      <c r="G1141" s="36" t="s">
        <v>251</v>
      </c>
      <c r="H1141" s="36" t="s">
        <v>141</v>
      </c>
    </row>
    <row r="1142" customFormat="false" ht="15" hidden="false" customHeight="false" outlineLevel="0" collapsed="false">
      <c r="A1142" s="36" t="s">
        <v>1597</v>
      </c>
      <c r="B1142" s="36" t="s">
        <v>1550</v>
      </c>
      <c r="C1142" s="36" t="s">
        <v>335</v>
      </c>
      <c r="D1142" s="36" t="s">
        <v>197</v>
      </c>
      <c r="E1142" s="36" t="n">
        <v>4</v>
      </c>
      <c r="F1142" s="36" t="n">
        <v>60</v>
      </c>
      <c r="G1142" s="36" t="s">
        <v>251</v>
      </c>
      <c r="H1142" s="36" t="s">
        <v>141</v>
      </c>
    </row>
    <row r="1143" customFormat="false" ht="15" hidden="false" customHeight="false" outlineLevel="0" collapsed="false">
      <c r="A1143" s="36" t="s">
        <v>1598</v>
      </c>
      <c r="B1143" s="36" t="s">
        <v>1553</v>
      </c>
      <c r="C1143" s="36" t="s">
        <v>335</v>
      </c>
      <c r="D1143" s="36" t="s">
        <v>959</v>
      </c>
      <c r="E1143" s="36" t="n">
        <v>2</v>
      </c>
      <c r="F1143" s="36" t="n">
        <v>95</v>
      </c>
      <c r="G1143" s="36" t="s">
        <v>251</v>
      </c>
      <c r="H1143" s="36" t="s">
        <v>141</v>
      </c>
    </row>
    <row r="1144" customFormat="false" ht="15" hidden="false" customHeight="false" outlineLevel="0" collapsed="false">
      <c r="A1144" s="36" t="s">
        <v>1599</v>
      </c>
      <c r="B1144" s="36" t="s">
        <v>1553</v>
      </c>
      <c r="C1144" s="36" t="s">
        <v>139</v>
      </c>
      <c r="D1144" s="36" t="s">
        <v>152</v>
      </c>
      <c r="E1144" s="36" t="n">
        <v>3</v>
      </c>
      <c r="F1144" s="36" t="n">
        <v>40</v>
      </c>
      <c r="G1144" s="36" t="s">
        <v>251</v>
      </c>
      <c r="H1144" s="36" t="s">
        <v>247</v>
      </c>
    </row>
    <row r="1145" customFormat="false" ht="15" hidden="false" customHeight="false" outlineLevel="0" collapsed="false">
      <c r="A1145" s="36" t="s">
        <v>1600</v>
      </c>
      <c r="B1145" s="36" t="s">
        <v>1550</v>
      </c>
      <c r="C1145" s="36" t="s">
        <v>43</v>
      </c>
      <c r="D1145" s="36" t="s">
        <v>408</v>
      </c>
      <c r="E1145" s="36" t="n">
        <v>4</v>
      </c>
      <c r="F1145" s="36" t="s">
        <v>1601</v>
      </c>
      <c r="G1145" s="36" t="s">
        <v>256</v>
      </c>
      <c r="H1145" s="36" t="s">
        <v>308</v>
      </c>
    </row>
    <row r="1146" customFormat="false" ht="15" hidden="false" customHeight="false" outlineLevel="0" collapsed="false">
      <c r="A1146" s="36" t="s">
        <v>1602</v>
      </c>
      <c r="B1146" s="36" t="s">
        <v>1553</v>
      </c>
      <c r="C1146" s="36" t="s">
        <v>335</v>
      </c>
      <c r="D1146" s="36" t="s">
        <v>154</v>
      </c>
      <c r="E1146" s="36" t="n">
        <v>-6</v>
      </c>
      <c r="F1146" s="36" t="n">
        <v>297</v>
      </c>
      <c r="G1146" s="36" t="s">
        <v>270</v>
      </c>
      <c r="H1146" s="36" t="s">
        <v>132</v>
      </c>
    </row>
    <row r="1147" customFormat="false" ht="15" hidden="false" customHeight="false" outlineLevel="0" collapsed="false">
      <c r="A1147" s="36" t="s">
        <v>1603</v>
      </c>
      <c r="B1147" s="36" t="s">
        <v>1550</v>
      </c>
      <c r="C1147" s="36" t="s">
        <v>43</v>
      </c>
      <c r="D1147" s="36" t="s">
        <v>520</v>
      </c>
      <c r="E1147" s="36" t="n">
        <v>2</v>
      </c>
      <c r="F1147" s="36" t="s">
        <v>384</v>
      </c>
      <c r="G1147" s="36" t="s">
        <v>246</v>
      </c>
      <c r="H1147" s="36" t="s">
        <v>321</v>
      </c>
    </row>
    <row r="1148" customFormat="false" ht="15" hidden="false" customHeight="false" outlineLevel="0" collapsed="false">
      <c r="A1148" s="36" t="s">
        <v>1604</v>
      </c>
      <c r="B1148" s="36" t="s">
        <v>1550</v>
      </c>
      <c r="C1148" s="36" t="s">
        <v>139</v>
      </c>
      <c r="D1148" s="36" t="s">
        <v>304</v>
      </c>
      <c r="E1148" s="36" t="n">
        <v>1</v>
      </c>
      <c r="F1148" s="36" t="s">
        <v>411</v>
      </c>
      <c r="G1148" s="36" t="s">
        <v>263</v>
      </c>
      <c r="H1148" s="36" t="s">
        <v>132</v>
      </c>
    </row>
    <row r="1149" customFormat="false" ht="15" hidden="false" customHeight="false" outlineLevel="0" collapsed="false">
      <c r="A1149" s="36" t="s">
        <v>1605</v>
      </c>
      <c r="B1149" s="36" t="s">
        <v>1550</v>
      </c>
      <c r="C1149" s="36" t="s">
        <v>333</v>
      </c>
      <c r="D1149" s="36" t="s">
        <v>285</v>
      </c>
      <c r="E1149" s="36" t="n">
        <v>1</v>
      </c>
      <c r="F1149" s="36" t="n">
        <v>315</v>
      </c>
      <c r="G1149" s="36" t="s">
        <v>251</v>
      </c>
      <c r="H1149" s="36" t="s">
        <v>306</v>
      </c>
    </row>
    <row r="1150" customFormat="false" ht="15" hidden="false" customHeight="false" outlineLevel="0" collapsed="false">
      <c r="A1150" s="36" t="s">
        <v>1606</v>
      </c>
      <c r="B1150" s="36" t="s">
        <v>1553</v>
      </c>
      <c r="C1150" s="36" t="s">
        <v>43</v>
      </c>
      <c r="D1150" s="36" t="s">
        <v>198</v>
      </c>
      <c r="E1150" s="36" t="s">
        <v>282</v>
      </c>
      <c r="F1150" s="36" t="n">
        <v>95</v>
      </c>
      <c r="G1150" s="36" t="s">
        <v>246</v>
      </c>
      <c r="H1150" s="36" t="s">
        <v>131</v>
      </c>
    </row>
    <row r="1151" customFormat="false" ht="15" hidden="false" customHeight="false" outlineLevel="0" collapsed="false">
      <c r="A1151" s="36" t="s">
        <v>1607</v>
      </c>
      <c r="B1151" s="36" t="s">
        <v>1553</v>
      </c>
      <c r="C1151" s="36" t="s">
        <v>335</v>
      </c>
      <c r="D1151" s="36" t="s">
        <v>174</v>
      </c>
      <c r="E1151" s="36" t="n">
        <v>4</v>
      </c>
      <c r="F1151" s="36" t="n">
        <v>210</v>
      </c>
      <c r="G1151" s="36" t="s">
        <v>260</v>
      </c>
      <c r="H1151" s="36" t="s">
        <v>247</v>
      </c>
    </row>
    <row r="1152" customFormat="false" ht="15" hidden="false" customHeight="false" outlineLevel="0" collapsed="false">
      <c r="A1152" s="36" t="s">
        <v>1608</v>
      </c>
      <c r="B1152" s="37" t="n">
        <v>46272</v>
      </c>
      <c r="C1152" s="36" t="s">
        <v>43</v>
      </c>
      <c r="D1152" s="36" t="s">
        <v>265</v>
      </c>
      <c r="E1152" s="36" t="n">
        <v>1</v>
      </c>
      <c r="F1152" s="36" t="n">
        <v>86</v>
      </c>
      <c r="G1152" s="36" t="s">
        <v>251</v>
      </c>
      <c r="H1152" s="36" t="s">
        <v>131</v>
      </c>
    </row>
    <row r="1153" customFormat="false" ht="15" hidden="false" customHeight="false" outlineLevel="0" collapsed="false">
      <c r="A1153" s="36" t="s">
        <v>1609</v>
      </c>
      <c r="B1153" s="36" t="s">
        <v>1550</v>
      </c>
      <c r="C1153" s="36" t="s">
        <v>333</v>
      </c>
      <c r="D1153" s="36" t="s">
        <v>461</v>
      </c>
      <c r="E1153" s="36" t="n">
        <v>1</v>
      </c>
      <c r="F1153" s="36" t="n">
        <v>210</v>
      </c>
      <c r="G1153" s="36" t="s">
        <v>246</v>
      </c>
      <c r="H1153" s="36" t="s">
        <v>132</v>
      </c>
    </row>
    <row r="1154" customFormat="false" ht="15" hidden="false" customHeight="false" outlineLevel="0" collapsed="false">
      <c r="A1154" s="36" t="s">
        <v>1610</v>
      </c>
      <c r="B1154" s="36" t="s">
        <v>1553</v>
      </c>
      <c r="C1154" s="36" t="s">
        <v>43</v>
      </c>
      <c r="D1154" s="36" t="s">
        <v>148</v>
      </c>
      <c r="E1154" s="36" t="n">
        <v>2</v>
      </c>
      <c r="F1154" s="36" t="s">
        <v>275</v>
      </c>
      <c r="G1154" s="36" t="s">
        <v>251</v>
      </c>
      <c r="H1154" s="36" t="s">
        <v>132</v>
      </c>
    </row>
    <row r="1155" customFormat="false" ht="15" hidden="false" customHeight="false" outlineLevel="0" collapsed="false">
      <c r="A1155" s="36" t="s">
        <v>1611</v>
      </c>
      <c r="B1155" s="36" t="s">
        <v>1553</v>
      </c>
      <c r="C1155" s="36" t="s">
        <v>43</v>
      </c>
      <c r="D1155" s="36" t="s">
        <v>204</v>
      </c>
      <c r="E1155" s="36" t="n">
        <v>1</v>
      </c>
      <c r="F1155" s="36" t="n">
        <v>130</v>
      </c>
      <c r="G1155" s="36" t="s">
        <v>263</v>
      </c>
      <c r="H1155" s="36" t="s">
        <v>132</v>
      </c>
    </row>
    <row r="1156" customFormat="false" ht="15" hidden="false" customHeight="false" outlineLevel="0" collapsed="false">
      <c r="A1156" s="36" t="s">
        <v>1612</v>
      </c>
      <c r="B1156" s="36" t="s">
        <v>1553</v>
      </c>
      <c r="C1156" s="36" t="s">
        <v>139</v>
      </c>
      <c r="D1156" s="36" t="s">
        <v>147</v>
      </c>
      <c r="E1156" s="36" t="n">
        <v>2</v>
      </c>
      <c r="F1156" s="36" t="n">
        <v>420</v>
      </c>
      <c r="G1156" s="36" t="s">
        <v>251</v>
      </c>
      <c r="H1156" s="36" t="s">
        <v>146</v>
      </c>
    </row>
    <row r="1157" customFormat="false" ht="15" hidden="false" customHeight="false" outlineLevel="0" collapsed="false">
      <c r="A1157" s="36" t="s">
        <v>1613</v>
      </c>
      <c r="B1157" s="36" t="s">
        <v>1553</v>
      </c>
      <c r="C1157" s="36" t="s">
        <v>335</v>
      </c>
      <c r="D1157" s="36" t="s">
        <v>195</v>
      </c>
      <c r="E1157" s="36" t="n">
        <v>6</v>
      </c>
      <c r="F1157" s="36" t="s">
        <v>319</v>
      </c>
      <c r="G1157" s="36" t="s">
        <v>260</v>
      </c>
      <c r="H1157" s="36" t="s">
        <v>247</v>
      </c>
    </row>
    <row r="1158" customFormat="false" ht="15" hidden="false" customHeight="false" outlineLevel="0" collapsed="false">
      <c r="A1158" s="36" t="s">
        <v>1614</v>
      </c>
      <c r="B1158" s="36" t="s">
        <v>1553</v>
      </c>
      <c r="C1158" s="36" t="s">
        <v>43</v>
      </c>
      <c r="D1158" s="36" t="s">
        <v>1318</v>
      </c>
      <c r="E1158" s="36" t="n">
        <v>1</v>
      </c>
      <c r="F1158" s="36" t="n">
        <v>195</v>
      </c>
      <c r="G1158" s="36" t="s">
        <v>260</v>
      </c>
      <c r="H1158" s="36" t="s">
        <v>306</v>
      </c>
    </row>
    <row r="1159" customFormat="false" ht="15" hidden="false" customHeight="false" outlineLevel="0" collapsed="false">
      <c r="A1159" s="36" t="s">
        <v>1615</v>
      </c>
      <c r="B1159" s="36" t="s">
        <v>1553</v>
      </c>
      <c r="C1159" s="36" t="s">
        <v>368</v>
      </c>
      <c r="D1159" s="36" t="s">
        <v>295</v>
      </c>
      <c r="E1159" s="36"/>
      <c r="F1159" s="36" t="n">
        <v>150</v>
      </c>
      <c r="G1159" s="36" t="s">
        <v>243</v>
      </c>
      <c r="H1159" s="36" t="s">
        <v>321</v>
      </c>
    </row>
    <row r="1160" customFormat="false" ht="15" hidden="false" customHeight="false" outlineLevel="0" collapsed="false">
      <c r="A1160" s="36" t="s">
        <v>1616</v>
      </c>
      <c r="B1160" s="36" t="s">
        <v>1550</v>
      </c>
      <c r="C1160" s="36" t="s">
        <v>144</v>
      </c>
      <c r="D1160" s="36" t="s">
        <v>148</v>
      </c>
      <c r="E1160" s="36" t="n">
        <v>3</v>
      </c>
      <c r="F1160" s="36" t="s">
        <v>380</v>
      </c>
      <c r="G1160" s="36" t="s">
        <v>260</v>
      </c>
      <c r="H1160" s="36" t="s">
        <v>131</v>
      </c>
    </row>
    <row r="1161" customFormat="false" ht="15" hidden="false" customHeight="false" outlineLevel="0" collapsed="false">
      <c r="A1161" s="36" t="s">
        <v>1617</v>
      </c>
      <c r="B1161" s="36" t="s">
        <v>1553</v>
      </c>
      <c r="C1161" s="36" t="s">
        <v>144</v>
      </c>
      <c r="D1161" s="36" t="s">
        <v>168</v>
      </c>
      <c r="E1161" s="36" t="n">
        <v>-1</v>
      </c>
      <c r="F1161" s="36" t="s">
        <v>1618</v>
      </c>
      <c r="G1161" s="36" t="s">
        <v>267</v>
      </c>
      <c r="H1161" s="36" t="s">
        <v>308</v>
      </c>
    </row>
    <row r="1162" customFormat="false" ht="15" hidden="false" customHeight="false" outlineLevel="0" collapsed="false">
      <c r="A1162" s="36" t="s">
        <v>1619</v>
      </c>
      <c r="B1162" s="36" t="s">
        <v>1553</v>
      </c>
      <c r="C1162" s="36" t="s">
        <v>554</v>
      </c>
      <c r="D1162" s="36" t="s">
        <v>188</v>
      </c>
      <c r="E1162" s="36" t="n">
        <v>1</v>
      </c>
      <c r="F1162" s="36" t="s">
        <v>313</v>
      </c>
      <c r="G1162" s="36" t="s">
        <v>260</v>
      </c>
      <c r="H1162" s="36" t="s">
        <v>247</v>
      </c>
    </row>
    <row r="1163" customFormat="false" ht="15" hidden="false" customHeight="false" outlineLevel="0" collapsed="false">
      <c r="A1163" s="36" t="s">
        <v>1620</v>
      </c>
      <c r="B1163" s="36" t="s">
        <v>1550</v>
      </c>
      <c r="C1163" s="36" t="s">
        <v>44</v>
      </c>
      <c r="D1163" s="36" t="s">
        <v>329</v>
      </c>
      <c r="E1163" s="36" t="n">
        <v>2</v>
      </c>
      <c r="F1163" s="36" t="n">
        <v>450</v>
      </c>
      <c r="G1163" s="36" t="s">
        <v>263</v>
      </c>
      <c r="H1163" s="36" t="s">
        <v>321</v>
      </c>
    </row>
    <row r="1164" customFormat="false" ht="15" hidden="false" customHeight="false" outlineLevel="0" collapsed="false">
      <c r="A1164" s="36" t="s">
        <v>1621</v>
      </c>
      <c r="B1164" s="36" t="s">
        <v>1622</v>
      </c>
      <c r="C1164" s="36" t="s">
        <v>139</v>
      </c>
      <c r="D1164" s="36" t="s">
        <v>138</v>
      </c>
      <c r="E1164" s="36" t="n">
        <v>1</v>
      </c>
      <c r="F1164" s="36" t="s">
        <v>323</v>
      </c>
      <c r="G1164" s="36" t="s">
        <v>256</v>
      </c>
      <c r="H1164" s="36" t="s">
        <v>306</v>
      </c>
    </row>
    <row r="1165" customFormat="false" ht="15" hidden="false" customHeight="false" outlineLevel="0" collapsed="false">
      <c r="A1165" s="36" t="s">
        <v>1623</v>
      </c>
      <c r="B1165" s="36" t="s">
        <v>1550</v>
      </c>
      <c r="C1165" s="36" t="s">
        <v>368</v>
      </c>
      <c r="D1165" s="36" t="s">
        <v>169</v>
      </c>
      <c r="E1165" s="36" t="n">
        <v>2</v>
      </c>
      <c r="F1165" s="36" t="n">
        <v>65</v>
      </c>
      <c r="G1165" s="36" t="s">
        <v>246</v>
      </c>
      <c r="H1165" s="36" t="s">
        <v>140</v>
      </c>
    </row>
    <row r="1166" customFormat="false" ht="15" hidden="false" customHeight="false" outlineLevel="0" collapsed="false">
      <c r="A1166" s="36" t="s">
        <v>1624</v>
      </c>
      <c r="B1166" s="36" t="s">
        <v>1553</v>
      </c>
      <c r="C1166" s="36" t="s">
        <v>44</v>
      </c>
      <c r="D1166" s="36" t="s">
        <v>196</v>
      </c>
      <c r="E1166" s="36" t="n">
        <v>2</v>
      </c>
      <c r="F1166" s="36" t="s">
        <v>443</v>
      </c>
      <c r="G1166" s="36" t="s">
        <v>256</v>
      </c>
      <c r="H1166" s="36" t="s">
        <v>247</v>
      </c>
    </row>
    <row r="1167" customFormat="false" ht="15" hidden="false" customHeight="false" outlineLevel="0" collapsed="false">
      <c r="A1167" s="36" t="s">
        <v>1625</v>
      </c>
      <c r="B1167" s="36" t="s">
        <v>1550</v>
      </c>
      <c r="C1167" s="36" t="s">
        <v>44</v>
      </c>
      <c r="D1167" s="36" t="s">
        <v>171</v>
      </c>
      <c r="E1167" s="36" t="n">
        <v>4</v>
      </c>
      <c r="F1167" s="36" t="n">
        <v>65</v>
      </c>
      <c r="G1167" s="36" t="s">
        <v>260</v>
      </c>
      <c r="H1167" s="36" t="s">
        <v>141</v>
      </c>
    </row>
    <row r="1168" customFormat="false" ht="15" hidden="false" customHeight="false" outlineLevel="0" collapsed="false">
      <c r="A1168" s="36" t="s">
        <v>1626</v>
      </c>
      <c r="B1168" s="37" t="n">
        <v>46272</v>
      </c>
      <c r="C1168" s="36" t="s">
        <v>44</v>
      </c>
      <c r="D1168" s="36" t="s">
        <v>186</v>
      </c>
      <c r="E1168" s="36" t="n">
        <v>1</v>
      </c>
      <c r="F1168" s="36" t="s">
        <v>547</v>
      </c>
      <c r="G1168" s="36" t="s">
        <v>260</v>
      </c>
      <c r="H1168" s="36" t="s">
        <v>141</v>
      </c>
    </row>
    <row r="1169" customFormat="false" ht="15" hidden="false" customHeight="false" outlineLevel="0" collapsed="false">
      <c r="A1169" s="36" t="s">
        <v>1627</v>
      </c>
      <c r="B1169" s="36" t="s">
        <v>1550</v>
      </c>
      <c r="C1169" s="36" t="s">
        <v>44</v>
      </c>
      <c r="D1169" s="36" t="s">
        <v>373</v>
      </c>
      <c r="E1169" s="36" t="n">
        <v>2</v>
      </c>
      <c r="F1169" s="36" t="n">
        <v>40</v>
      </c>
      <c r="G1169" s="36" t="s">
        <v>243</v>
      </c>
      <c r="H1169" s="36" t="s">
        <v>146</v>
      </c>
    </row>
    <row r="1170" customFormat="false" ht="15" hidden="false" customHeight="false" outlineLevel="0" collapsed="false">
      <c r="A1170" s="36" t="s">
        <v>1628</v>
      </c>
      <c r="B1170" s="36" t="s">
        <v>1550</v>
      </c>
      <c r="C1170" s="36" t="s">
        <v>375</v>
      </c>
      <c r="D1170" s="36" t="s">
        <v>226</v>
      </c>
      <c r="E1170" s="36" t="n">
        <v>6</v>
      </c>
      <c r="F1170" s="36" t="s">
        <v>443</v>
      </c>
      <c r="G1170" s="36" t="s">
        <v>270</v>
      </c>
      <c r="H1170" s="36" t="s">
        <v>141</v>
      </c>
    </row>
    <row r="1171" customFormat="false" ht="15" hidden="false" customHeight="false" outlineLevel="0" collapsed="false">
      <c r="A1171" s="36" t="s">
        <v>1629</v>
      </c>
      <c r="B1171" s="36" t="s">
        <v>1550</v>
      </c>
      <c r="C1171" s="36" t="s">
        <v>44</v>
      </c>
      <c r="D1171" s="36" t="s">
        <v>188</v>
      </c>
      <c r="E1171" s="36" t="n">
        <v>2</v>
      </c>
      <c r="F1171" s="36" t="s">
        <v>422</v>
      </c>
      <c r="G1171" s="36" t="s">
        <v>263</v>
      </c>
      <c r="H1171" s="36" t="s">
        <v>321</v>
      </c>
    </row>
    <row r="1172" customFormat="false" ht="15" hidden="false" customHeight="false" outlineLevel="0" collapsed="false">
      <c r="A1172" s="36" t="s">
        <v>1630</v>
      </c>
      <c r="B1172" s="36" t="s">
        <v>1550</v>
      </c>
      <c r="C1172" s="36" t="s">
        <v>368</v>
      </c>
      <c r="D1172" s="36" t="s">
        <v>195</v>
      </c>
      <c r="E1172" s="36" t="n">
        <v>4</v>
      </c>
      <c r="F1172" s="36" t="s">
        <v>344</v>
      </c>
      <c r="G1172" s="36" t="s">
        <v>260</v>
      </c>
      <c r="H1172" s="36" t="s">
        <v>131</v>
      </c>
    </row>
    <row r="1173" customFormat="false" ht="15" hidden="false" customHeight="false" outlineLevel="0" collapsed="false">
      <c r="A1173" s="36" t="s">
        <v>1631</v>
      </c>
      <c r="B1173" s="36" t="s">
        <v>1550</v>
      </c>
      <c r="C1173" s="36" t="s">
        <v>44</v>
      </c>
      <c r="D1173" s="36" t="s">
        <v>287</v>
      </c>
      <c r="E1173" s="36" t="n">
        <v>4</v>
      </c>
      <c r="F1173" s="36" t="s">
        <v>563</v>
      </c>
      <c r="G1173" s="36" t="s">
        <v>267</v>
      </c>
      <c r="H1173" s="36" t="s">
        <v>132</v>
      </c>
    </row>
    <row r="1174" customFormat="false" ht="15" hidden="false" customHeight="false" outlineLevel="0" collapsed="false">
      <c r="A1174" s="36" t="s">
        <v>1632</v>
      </c>
      <c r="B1174" s="36" t="s">
        <v>1633</v>
      </c>
      <c r="C1174" s="36" t="s">
        <v>43</v>
      </c>
      <c r="D1174" s="36" t="s">
        <v>559</v>
      </c>
      <c r="E1174" s="36" t="n">
        <v>1</v>
      </c>
      <c r="F1174" s="36" t="n">
        <v>130</v>
      </c>
      <c r="G1174" s="36" t="s">
        <v>260</v>
      </c>
      <c r="H1174" s="36" t="s">
        <v>131</v>
      </c>
    </row>
    <row r="1175" customFormat="false" ht="15" hidden="false" customHeight="false" outlineLevel="0" collapsed="false">
      <c r="A1175" s="36" t="s">
        <v>1634</v>
      </c>
      <c r="B1175" s="36" t="s">
        <v>1553</v>
      </c>
      <c r="C1175" s="36" t="s">
        <v>44</v>
      </c>
      <c r="D1175" s="36" t="s">
        <v>225</v>
      </c>
      <c r="E1175" s="36" t="s">
        <v>403</v>
      </c>
      <c r="F1175" s="36" t="s">
        <v>443</v>
      </c>
      <c r="G1175" s="36" t="s">
        <v>256</v>
      </c>
      <c r="H1175" s="36" t="s">
        <v>141</v>
      </c>
    </row>
    <row r="1176" customFormat="false" ht="15" hidden="false" customHeight="false" outlineLevel="0" collapsed="false">
      <c r="A1176" s="36" t="s">
        <v>1635</v>
      </c>
      <c r="B1176" s="36" t="s">
        <v>1553</v>
      </c>
      <c r="C1176" s="36" t="s">
        <v>44</v>
      </c>
      <c r="D1176" s="36" t="s">
        <v>382</v>
      </c>
      <c r="E1176" s="36" t="n">
        <v>2</v>
      </c>
      <c r="F1176" s="36" t="n">
        <v>130</v>
      </c>
      <c r="G1176" s="36" t="s">
        <v>270</v>
      </c>
      <c r="H1176" s="36" t="s">
        <v>132</v>
      </c>
    </row>
    <row r="1177" customFormat="false" ht="15" hidden="false" customHeight="false" outlineLevel="0" collapsed="false">
      <c r="A1177" s="36" t="s">
        <v>1636</v>
      </c>
      <c r="B1177" s="36" t="s">
        <v>1550</v>
      </c>
      <c r="C1177" s="36" t="s">
        <v>554</v>
      </c>
      <c r="D1177" s="36" t="s">
        <v>204</v>
      </c>
      <c r="E1177" s="36" t="n">
        <v>6</v>
      </c>
      <c r="F1177" s="36" t="s">
        <v>420</v>
      </c>
      <c r="G1177" s="36" t="s">
        <v>267</v>
      </c>
      <c r="H1177" s="36" t="s">
        <v>146</v>
      </c>
    </row>
    <row r="1178" customFormat="false" ht="15" hidden="false" customHeight="false" outlineLevel="0" collapsed="false">
      <c r="A1178" s="36" t="s">
        <v>1637</v>
      </c>
      <c r="B1178" s="36" t="s">
        <v>1553</v>
      </c>
      <c r="C1178" s="36" t="s">
        <v>44</v>
      </c>
      <c r="D1178" s="36" t="s">
        <v>184</v>
      </c>
      <c r="E1178" s="36" t="n">
        <v>6</v>
      </c>
      <c r="F1178" s="36" t="s">
        <v>387</v>
      </c>
      <c r="G1178" s="36" t="s">
        <v>256</v>
      </c>
      <c r="H1178" s="36" t="s">
        <v>321</v>
      </c>
    </row>
    <row r="1179" customFormat="false" ht="15" hidden="false" customHeight="false" outlineLevel="0" collapsed="false">
      <c r="A1179" s="36" t="s">
        <v>1638</v>
      </c>
      <c r="B1179" s="36" t="s">
        <v>1550</v>
      </c>
      <c r="C1179" s="36" t="s">
        <v>554</v>
      </c>
      <c r="D1179" s="36" t="s">
        <v>181</v>
      </c>
      <c r="E1179" s="36" t="n">
        <v>4</v>
      </c>
      <c r="F1179" s="36" t="n">
        <v>405</v>
      </c>
      <c r="G1179" s="36" t="s">
        <v>251</v>
      </c>
      <c r="H1179" s="36" t="s">
        <v>132</v>
      </c>
    </row>
    <row r="1180" customFormat="false" ht="15" hidden="false" customHeight="false" outlineLevel="0" collapsed="false">
      <c r="A1180" s="36" t="s">
        <v>1639</v>
      </c>
      <c r="B1180" s="36" t="s">
        <v>1550</v>
      </c>
      <c r="C1180" s="36" t="s">
        <v>554</v>
      </c>
      <c r="D1180" s="36" t="s">
        <v>168</v>
      </c>
      <c r="E1180" s="36" t="n">
        <v>1</v>
      </c>
      <c r="F1180" s="36" t="s">
        <v>331</v>
      </c>
      <c r="G1180" s="36" t="s">
        <v>246</v>
      </c>
      <c r="H1180" s="36" t="s">
        <v>321</v>
      </c>
    </row>
    <row r="1181" customFormat="false" ht="15" hidden="false" customHeight="false" outlineLevel="0" collapsed="false">
      <c r="A1181" s="36" t="s">
        <v>1640</v>
      </c>
      <c r="B1181" s="36" t="s">
        <v>1553</v>
      </c>
      <c r="C1181" s="36" t="s">
        <v>368</v>
      </c>
      <c r="D1181" s="36" t="s">
        <v>299</v>
      </c>
      <c r="E1181" s="36" t="n">
        <v>2</v>
      </c>
      <c r="F1181" s="36" t="n">
        <v>60</v>
      </c>
      <c r="G1181" s="36" t="s">
        <v>243</v>
      </c>
      <c r="H1181" s="36" t="s">
        <v>247</v>
      </c>
    </row>
    <row r="1182" customFormat="false" ht="15" hidden="false" customHeight="false" outlineLevel="0" collapsed="false">
      <c r="A1182" s="36" t="s">
        <v>1641</v>
      </c>
      <c r="B1182" s="36" t="s">
        <v>1550</v>
      </c>
      <c r="C1182" s="36" t="s">
        <v>45</v>
      </c>
      <c r="D1182" s="36" t="s">
        <v>530</v>
      </c>
      <c r="E1182" s="36" t="n">
        <v>4</v>
      </c>
      <c r="F1182" s="36" t="n">
        <v>60</v>
      </c>
      <c r="G1182" s="36" t="s">
        <v>246</v>
      </c>
      <c r="H1182" s="36" t="s">
        <v>141</v>
      </c>
    </row>
    <row r="1183" customFormat="false" ht="15" hidden="false" customHeight="false" outlineLevel="0" collapsed="false">
      <c r="A1183" s="36" t="s">
        <v>1642</v>
      </c>
      <c r="B1183" s="36" t="s">
        <v>1553</v>
      </c>
      <c r="C1183" s="36" t="s">
        <v>153</v>
      </c>
      <c r="D1183" s="36" t="s">
        <v>186</v>
      </c>
      <c r="E1183" s="36" t="n">
        <v>2</v>
      </c>
      <c r="F1183" s="36" t="n">
        <v>50</v>
      </c>
      <c r="G1183" s="36" t="s">
        <v>251</v>
      </c>
      <c r="H1183" s="36" t="s">
        <v>131</v>
      </c>
    </row>
    <row r="1184" customFormat="false" ht="15" hidden="false" customHeight="false" outlineLevel="0" collapsed="false">
      <c r="A1184" s="36" t="s">
        <v>1643</v>
      </c>
      <c r="B1184" s="36" t="s">
        <v>1553</v>
      </c>
      <c r="C1184" s="36" t="s">
        <v>45</v>
      </c>
      <c r="D1184" s="36" t="s">
        <v>401</v>
      </c>
      <c r="E1184" s="36" t="n">
        <v>1</v>
      </c>
      <c r="F1184" s="36" t="s">
        <v>552</v>
      </c>
      <c r="G1184" s="36" t="s">
        <v>267</v>
      </c>
      <c r="H1184" s="36" t="s">
        <v>306</v>
      </c>
    </row>
    <row r="1185" customFormat="false" ht="15" hidden="false" customHeight="false" outlineLevel="0" collapsed="false">
      <c r="A1185" s="36" t="s">
        <v>1644</v>
      </c>
      <c r="B1185" s="36" t="s">
        <v>1550</v>
      </c>
      <c r="C1185" s="36" t="s">
        <v>419</v>
      </c>
      <c r="D1185" s="36" t="s">
        <v>173</v>
      </c>
      <c r="E1185" s="36" t="n">
        <v>6</v>
      </c>
      <c r="F1185" s="36" t="n">
        <v>120</v>
      </c>
      <c r="G1185" s="36" t="s">
        <v>256</v>
      </c>
      <c r="H1185" s="36" t="s">
        <v>141</v>
      </c>
    </row>
    <row r="1186" customFormat="false" ht="15" hidden="false" customHeight="false" outlineLevel="0" collapsed="false">
      <c r="A1186" s="36" t="s">
        <v>1645</v>
      </c>
      <c r="B1186" s="36" t="s">
        <v>1550</v>
      </c>
      <c r="C1186" s="36" t="s">
        <v>419</v>
      </c>
      <c r="D1186" s="36" t="s">
        <v>168</v>
      </c>
      <c r="E1186" s="36" t="n">
        <v>6</v>
      </c>
      <c r="F1186" s="36" t="s">
        <v>489</v>
      </c>
      <c r="G1186" s="36" t="s">
        <v>251</v>
      </c>
      <c r="H1186" s="36" t="s">
        <v>140</v>
      </c>
    </row>
    <row r="1187" customFormat="false" ht="15" hidden="false" customHeight="false" outlineLevel="0" collapsed="false">
      <c r="A1187" s="36" t="s">
        <v>1646</v>
      </c>
      <c r="B1187" s="36" t="s">
        <v>1553</v>
      </c>
      <c r="C1187" s="36" t="s">
        <v>45</v>
      </c>
      <c r="D1187" s="36" t="s">
        <v>172</v>
      </c>
      <c r="E1187" s="36" t="n">
        <v>1</v>
      </c>
      <c r="F1187" s="36" t="s">
        <v>319</v>
      </c>
      <c r="G1187" s="36" t="s">
        <v>251</v>
      </c>
      <c r="H1187" s="36" t="s">
        <v>131</v>
      </c>
    </row>
    <row r="1188" customFormat="false" ht="15" hidden="false" customHeight="false" outlineLevel="0" collapsed="false">
      <c r="A1188" s="36" t="s">
        <v>1647</v>
      </c>
      <c r="B1188" s="36" t="s">
        <v>1553</v>
      </c>
      <c r="C1188" s="36" t="s">
        <v>45</v>
      </c>
      <c r="D1188" s="36" t="s">
        <v>152</v>
      </c>
      <c r="E1188" s="36" t="n">
        <v>1</v>
      </c>
      <c r="F1188" s="36" t="s">
        <v>363</v>
      </c>
      <c r="G1188" s="36" t="s">
        <v>256</v>
      </c>
      <c r="H1188" s="36" t="s">
        <v>321</v>
      </c>
    </row>
    <row r="1189" customFormat="false" ht="15" hidden="false" customHeight="false" outlineLevel="0" collapsed="false">
      <c r="A1189" s="36" t="s">
        <v>1648</v>
      </c>
      <c r="B1189" s="36" t="s">
        <v>1550</v>
      </c>
      <c r="C1189" s="36" t="s">
        <v>417</v>
      </c>
      <c r="D1189" s="36" t="s">
        <v>164</v>
      </c>
      <c r="E1189" s="36" t="n">
        <v>1</v>
      </c>
      <c r="F1189" s="36" t="n">
        <v>450</v>
      </c>
      <c r="G1189" s="36" t="s">
        <v>256</v>
      </c>
      <c r="H1189" s="36" t="s">
        <v>140</v>
      </c>
    </row>
    <row r="1190" customFormat="false" ht="15" hidden="false" customHeight="false" outlineLevel="0" collapsed="false">
      <c r="A1190" s="36" t="s">
        <v>1649</v>
      </c>
      <c r="B1190" s="36" t="s">
        <v>1553</v>
      </c>
      <c r="C1190" s="36" t="s">
        <v>45</v>
      </c>
      <c r="D1190" s="36" t="s">
        <v>183</v>
      </c>
      <c r="E1190" s="36" t="n">
        <v>2</v>
      </c>
      <c r="F1190" s="36" t="n">
        <v>380</v>
      </c>
      <c r="G1190" s="36" t="s">
        <v>263</v>
      </c>
      <c r="H1190" s="36" t="s">
        <v>146</v>
      </c>
    </row>
    <row r="1191" customFormat="false" ht="15" hidden="false" customHeight="false" outlineLevel="0" collapsed="false">
      <c r="A1191" s="36" t="s">
        <v>1650</v>
      </c>
      <c r="B1191" s="36" t="s">
        <v>1550</v>
      </c>
      <c r="C1191" s="36" t="s">
        <v>417</v>
      </c>
      <c r="D1191" s="36" t="s">
        <v>148</v>
      </c>
      <c r="E1191" s="36" t="s">
        <v>735</v>
      </c>
      <c r="F1191" s="36" t="n">
        <v>330</v>
      </c>
      <c r="G1191" s="36" t="s">
        <v>263</v>
      </c>
      <c r="H1191" s="36" t="s">
        <v>132</v>
      </c>
    </row>
    <row r="1192" customFormat="false" ht="15" hidden="false" customHeight="false" outlineLevel="0" collapsed="false">
      <c r="A1192" s="36" t="s">
        <v>1651</v>
      </c>
      <c r="B1192" s="36" t="s">
        <v>1553</v>
      </c>
      <c r="C1192" s="36" t="s">
        <v>45</v>
      </c>
      <c r="D1192" s="36" t="s">
        <v>342</v>
      </c>
      <c r="E1192" s="36" t="n">
        <v>6</v>
      </c>
      <c r="F1192" s="36" t="n">
        <v>60</v>
      </c>
      <c r="G1192" s="36" t="s">
        <v>267</v>
      </c>
      <c r="H1192" s="36" t="s">
        <v>132</v>
      </c>
    </row>
    <row r="1193" customFormat="false" ht="15" hidden="false" customHeight="false" outlineLevel="0" collapsed="false">
      <c r="A1193" s="36" t="s">
        <v>1652</v>
      </c>
      <c r="B1193" s="36" t="s">
        <v>1550</v>
      </c>
      <c r="C1193" s="36" t="s">
        <v>417</v>
      </c>
      <c r="D1193" s="36" t="s">
        <v>193</v>
      </c>
      <c r="E1193" s="36" t="n">
        <v>6</v>
      </c>
      <c r="F1193" s="36" t="s">
        <v>578</v>
      </c>
      <c r="G1193" s="36" t="s">
        <v>270</v>
      </c>
      <c r="H1193" s="36" t="s">
        <v>132</v>
      </c>
    </row>
    <row r="1194" customFormat="false" ht="15" hidden="false" customHeight="false" outlineLevel="0" collapsed="false">
      <c r="A1194" s="36" t="s">
        <v>1653</v>
      </c>
      <c r="B1194" s="36" t="s">
        <v>1550</v>
      </c>
      <c r="C1194" s="36" t="s">
        <v>153</v>
      </c>
      <c r="D1194" s="36" t="s">
        <v>186</v>
      </c>
      <c r="E1194" s="36" t="n">
        <v>3</v>
      </c>
      <c r="F1194" s="36" t="s">
        <v>584</v>
      </c>
      <c r="G1194" s="36" t="s">
        <v>243</v>
      </c>
      <c r="H1194" s="36" t="s">
        <v>321</v>
      </c>
    </row>
    <row r="1195" customFormat="false" ht="15" hidden="false" customHeight="false" outlineLevel="0" collapsed="false">
      <c r="A1195" s="36" t="s">
        <v>1654</v>
      </c>
      <c r="B1195" s="36" t="s">
        <v>1550</v>
      </c>
      <c r="C1195" s="36" t="s">
        <v>45</v>
      </c>
      <c r="D1195" s="36" t="s">
        <v>315</v>
      </c>
      <c r="E1195" s="36" t="n">
        <v>1</v>
      </c>
      <c r="F1195" s="36" t="n">
        <v>450</v>
      </c>
      <c r="G1195" s="36" t="s">
        <v>256</v>
      </c>
      <c r="H1195" s="36" t="s">
        <v>141</v>
      </c>
    </row>
    <row r="1196" customFormat="false" ht="15" hidden="false" customHeight="false" outlineLevel="0" collapsed="false">
      <c r="A1196" s="36" t="s">
        <v>1655</v>
      </c>
      <c r="B1196" s="36" t="s">
        <v>1550</v>
      </c>
      <c r="C1196" s="36" t="s">
        <v>153</v>
      </c>
      <c r="D1196" s="36" t="s">
        <v>783</v>
      </c>
      <c r="E1196" s="36" t="n">
        <v>2</v>
      </c>
      <c r="F1196" s="36" t="s">
        <v>724</v>
      </c>
      <c r="G1196" s="36" t="s">
        <v>243</v>
      </c>
      <c r="H1196" s="36" t="s">
        <v>146</v>
      </c>
    </row>
    <row r="1197" customFormat="false" ht="15" hidden="false" customHeight="false" outlineLevel="0" collapsed="false">
      <c r="A1197" s="36" t="s">
        <v>1656</v>
      </c>
      <c r="B1197" s="36" t="s">
        <v>1553</v>
      </c>
      <c r="C1197" s="36" t="s">
        <v>153</v>
      </c>
      <c r="D1197" s="36" t="s">
        <v>329</v>
      </c>
      <c r="E1197" s="36" t="n">
        <v>2</v>
      </c>
      <c r="F1197" s="36" t="s">
        <v>749</v>
      </c>
      <c r="G1197" s="36" t="s">
        <v>246</v>
      </c>
      <c r="H1197" s="36" t="s">
        <v>308</v>
      </c>
    </row>
    <row r="1198" customFormat="false" ht="15" hidden="false" customHeight="false" outlineLevel="0" collapsed="false">
      <c r="A1198" s="36" t="s">
        <v>1657</v>
      </c>
      <c r="B1198" s="36" t="s">
        <v>1550</v>
      </c>
      <c r="C1198" s="36" t="s">
        <v>45</v>
      </c>
      <c r="D1198" s="36" t="s">
        <v>215</v>
      </c>
      <c r="E1198" s="36" t="n">
        <v>1</v>
      </c>
      <c r="F1198" s="36" t="n">
        <v>50</v>
      </c>
      <c r="G1198" s="36" t="s">
        <v>246</v>
      </c>
      <c r="H1198" s="36" t="s">
        <v>321</v>
      </c>
    </row>
    <row r="1199" customFormat="false" ht="15" hidden="false" customHeight="false" outlineLevel="0" collapsed="false">
      <c r="A1199" s="36" t="s">
        <v>1658</v>
      </c>
      <c r="B1199" s="36" t="s">
        <v>1550</v>
      </c>
      <c r="C1199" s="36" t="s">
        <v>417</v>
      </c>
      <c r="D1199" s="36" t="s">
        <v>176</v>
      </c>
      <c r="E1199" s="36" t="n">
        <v>1</v>
      </c>
      <c r="F1199" s="36" t="n">
        <v>90</v>
      </c>
      <c r="G1199" s="36" t="s">
        <v>267</v>
      </c>
      <c r="H1199" s="36" t="s">
        <v>141</v>
      </c>
    </row>
    <row r="1200" customFormat="false" ht="15" hidden="false" customHeight="false" outlineLevel="0" collapsed="false">
      <c r="A1200" s="36" t="s">
        <v>1659</v>
      </c>
      <c r="B1200" s="36" t="s">
        <v>1553</v>
      </c>
      <c r="C1200" s="36" t="s">
        <v>45</v>
      </c>
      <c r="D1200" s="36" t="s">
        <v>520</v>
      </c>
      <c r="E1200" s="36" t="n">
        <v>1</v>
      </c>
      <c r="F1200" s="36" t="s">
        <v>302</v>
      </c>
      <c r="G1200" s="36" t="s">
        <v>267</v>
      </c>
      <c r="H1200" s="36" t="s">
        <v>131</v>
      </c>
    </row>
    <row r="1201" customFormat="false" ht="15" hidden="false" customHeight="false" outlineLevel="0" collapsed="false">
      <c r="A1201" s="36" t="s">
        <v>1660</v>
      </c>
      <c r="B1201" s="36" t="s">
        <v>1553</v>
      </c>
      <c r="C1201" s="36" t="s">
        <v>156</v>
      </c>
      <c r="D1201" s="36" t="s">
        <v>605</v>
      </c>
      <c r="E1201" s="36" t="n">
        <v>1</v>
      </c>
      <c r="F1201" s="36" t="n">
        <v>450</v>
      </c>
      <c r="G1201" s="36" t="s">
        <v>251</v>
      </c>
      <c r="H1201" s="36" t="s">
        <v>247</v>
      </c>
    </row>
    <row r="1202" customFormat="false" ht="15" hidden="false" customHeight="false" outlineLevel="0" collapsed="false">
      <c r="A1202" s="36" t="s">
        <v>1661</v>
      </c>
      <c r="B1202" s="36" t="s">
        <v>1550</v>
      </c>
      <c r="C1202" s="36" t="s">
        <v>442</v>
      </c>
      <c r="D1202" s="36" t="s">
        <v>520</v>
      </c>
      <c r="E1202" s="36" t="n">
        <v>1</v>
      </c>
      <c r="F1202" s="36" t="n">
        <v>90</v>
      </c>
      <c r="G1202" s="36" t="s">
        <v>251</v>
      </c>
      <c r="H1202" s="36" t="s">
        <v>146</v>
      </c>
    </row>
    <row r="1203" customFormat="false" ht="15" hidden="false" customHeight="false" outlineLevel="0" collapsed="false">
      <c r="A1203" s="36" t="s">
        <v>1662</v>
      </c>
      <c r="B1203" s="36" t="s">
        <v>1550</v>
      </c>
      <c r="C1203" s="36" t="s">
        <v>156</v>
      </c>
      <c r="D1203" s="36" t="s">
        <v>640</v>
      </c>
      <c r="E1203" s="36" t="n">
        <v>-6</v>
      </c>
      <c r="F1203" s="36" t="n">
        <v>150</v>
      </c>
      <c r="G1203" s="36" t="s">
        <v>256</v>
      </c>
      <c r="H1203" s="36" t="s">
        <v>247</v>
      </c>
    </row>
    <row r="1204" customFormat="false" ht="15" hidden="false" customHeight="false" outlineLevel="0" collapsed="false">
      <c r="A1204" s="36" t="s">
        <v>1663</v>
      </c>
      <c r="B1204" s="36" t="s">
        <v>1553</v>
      </c>
      <c r="C1204" s="36" t="s">
        <v>46</v>
      </c>
      <c r="D1204" s="36" t="s">
        <v>152</v>
      </c>
      <c r="E1204" s="36" t="n">
        <v>4</v>
      </c>
      <c r="F1204" s="36" t="n">
        <v>36</v>
      </c>
      <c r="G1204" s="36" t="s">
        <v>263</v>
      </c>
      <c r="H1204" s="36" t="s">
        <v>247</v>
      </c>
    </row>
    <row r="1205" customFormat="false" ht="15" hidden="false" customHeight="false" outlineLevel="0" collapsed="false">
      <c r="A1205" s="36" t="s">
        <v>1664</v>
      </c>
      <c r="B1205" s="36" t="s">
        <v>1553</v>
      </c>
      <c r="C1205" s="36" t="s">
        <v>46</v>
      </c>
      <c r="D1205" s="36" t="s">
        <v>415</v>
      </c>
      <c r="E1205" s="36" t="n">
        <v>1</v>
      </c>
      <c r="F1205" s="36" t="s">
        <v>584</v>
      </c>
      <c r="G1205" s="36" t="s">
        <v>267</v>
      </c>
      <c r="H1205" s="36" t="s">
        <v>308</v>
      </c>
    </row>
    <row r="1206" customFormat="false" ht="15" hidden="false" customHeight="false" outlineLevel="0" collapsed="false">
      <c r="A1206" s="36" t="s">
        <v>1665</v>
      </c>
      <c r="B1206" s="36" t="s">
        <v>1550</v>
      </c>
      <c r="C1206" s="36" t="s">
        <v>156</v>
      </c>
      <c r="D1206" s="36" t="s">
        <v>211</v>
      </c>
      <c r="E1206" s="36" t="n">
        <v>6</v>
      </c>
      <c r="F1206" s="36" t="n">
        <v>380</v>
      </c>
      <c r="G1206" s="36" t="s">
        <v>251</v>
      </c>
      <c r="H1206" s="36" t="s">
        <v>132</v>
      </c>
    </row>
    <row r="1207" customFormat="false" ht="15" hidden="false" customHeight="false" outlineLevel="0" collapsed="false">
      <c r="A1207" s="36" t="s">
        <v>1666</v>
      </c>
      <c r="B1207" s="36" t="s">
        <v>1553</v>
      </c>
      <c r="C1207" s="36" t="s">
        <v>156</v>
      </c>
      <c r="D1207" s="36" t="s">
        <v>214</v>
      </c>
      <c r="E1207" s="36" t="n">
        <v>1</v>
      </c>
      <c r="F1207" s="36" t="n">
        <v>160</v>
      </c>
      <c r="G1207" s="36" t="s">
        <v>260</v>
      </c>
      <c r="H1207" s="36" t="s">
        <v>132</v>
      </c>
    </row>
    <row r="1208" customFormat="false" ht="15" hidden="false" customHeight="false" outlineLevel="0" collapsed="false">
      <c r="A1208" s="36" t="s">
        <v>1667</v>
      </c>
      <c r="B1208" s="36" t="s">
        <v>1550</v>
      </c>
      <c r="C1208" s="36" t="s">
        <v>46</v>
      </c>
      <c r="D1208" s="36" t="s">
        <v>172</v>
      </c>
      <c r="E1208" s="36" t="n">
        <v>6</v>
      </c>
      <c r="F1208" s="36" t="n">
        <v>60</v>
      </c>
      <c r="G1208" s="36" t="s">
        <v>243</v>
      </c>
      <c r="H1208" s="36" t="s">
        <v>141</v>
      </c>
    </row>
    <row r="1209" customFormat="false" ht="15" hidden="false" customHeight="false" outlineLevel="0" collapsed="false">
      <c r="A1209" s="36" t="s">
        <v>1668</v>
      </c>
      <c r="B1209" s="36" t="s">
        <v>1550</v>
      </c>
      <c r="C1209" s="36" t="s">
        <v>46</v>
      </c>
      <c r="D1209" s="36" t="s">
        <v>315</v>
      </c>
      <c r="E1209" s="36" t="n">
        <v>3</v>
      </c>
      <c r="F1209" s="36" t="n">
        <v>450</v>
      </c>
      <c r="G1209" s="36" t="s">
        <v>263</v>
      </c>
      <c r="H1209" s="36" t="s">
        <v>141</v>
      </c>
    </row>
    <row r="1210" customFormat="false" ht="15" hidden="false" customHeight="false" outlineLevel="0" collapsed="false">
      <c r="A1210" s="36" t="s">
        <v>1669</v>
      </c>
      <c r="B1210" s="36" t="s">
        <v>1553</v>
      </c>
      <c r="C1210" s="36" t="s">
        <v>448</v>
      </c>
      <c r="D1210" s="36" t="s">
        <v>195</v>
      </c>
      <c r="E1210" s="36" t="n">
        <v>2</v>
      </c>
      <c r="F1210" s="36" t="s">
        <v>319</v>
      </c>
      <c r="G1210" s="36" t="s">
        <v>243</v>
      </c>
      <c r="H1210" s="36" t="s">
        <v>132</v>
      </c>
    </row>
    <row r="1211" customFormat="false" ht="15" hidden="false" customHeight="false" outlineLevel="0" collapsed="false">
      <c r="A1211" s="36" t="s">
        <v>1670</v>
      </c>
      <c r="B1211" s="36" t="s">
        <v>1550</v>
      </c>
      <c r="C1211" s="36" t="s">
        <v>46</v>
      </c>
      <c r="D1211" s="36" t="s">
        <v>220</v>
      </c>
      <c r="E1211" s="36" t="n">
        <v>1</v>
      </c>
      <c r="F1211" s="36" t="s">
        <v>742</v>
      </c>
      <c r="G1211" s="36" t="s">
        <v>243</v>
      </c>
      <c r="H1211" s="36" t="s">
        <v>141</v>
      </c>
    </row>
    <row r="1212" customFormat="false" ht="15" hidden="false" customHeight="false" outlineLevel="0" collapsed="false">
      <c r="A1212" s="36" t="s">
        <v>1671</v>
      </c>
      <c r="B1212" s="36" t="s">
        <v>1553</v>
      </c>
      <c r="C1212" s="36" t="s">
        <v>156</v>
      </c>
      <c r="D1212" s="36" t="s">
        <v>148</v>
      </c>
      <c r="E1212" s="36" t="n">
        <v>6</v>
      </c>
      <c r="F1212" s="36" t="s">
        <v>358</v>
      </c>
      <c r="G1212" s="36" t="s">
        <v>256</v>
      </c>
      <c r="H1212" s="36" t="s">
        <v>145</v>
      </c>
    </row>
    <row r="1213" customFormat="false" ht="15" hidden="false" customHeight="false" outlineLevel="0" collapsed="false">
      <c r="A1213" s="36" t="s">
        <v>1672</v>
      </c>
      <c r="B1213" s="37" t="n">
        <v>46272</v>
      </c>
      <c r="C1213" s="36" t="s">
        <v>46</v>
      </c>
      <c r="D1213" s="36" t="s">
        <v>927</v>
      </c>
      <c r="E1213" s="36" t="n">
        <v>3</v>
      </c>
      <c r="F1213" s="36" t="s">
        <v>378</v>
      </c>
      <c r="G1213" s="36" t="s">
        <v>260</v>
      </c>
      <c r="H1213" s="36" t="s">
        <v>131</v>
      </c>
    </row>
    <row r="1214" customFormat="false" ht="15" hidden="false" customHeight="false" outlineLevel="0" collapsed="false">
      <c r="A1214" s="36" t="s">
        <v>1673</v>
      </c>
      <c r="B1214" s="36" t="s">
        <v>1553</v>
      </c>
      <c r="C1214" s="36" t="s">
        <v>156</v>
      </c>
      <c r="D1214" s="36" t="s">
        <v>408</v>
      </c>
      <c r="E1214" s="36" t="n">
        <v>4</v>
      </c>
      <c r="F1214" s="36" t="n">
        <v>50</v>
      </c>
      <c r="G1214" s="36" t="s">
        <v>270</v>
      </c>
      <c r="H1214" s="36" t="s">
        <v>131</v>
      </c>
    </row>
    <row r="1215" customFormat="false" ht="15" hidden="false" customHeight="false" outlineLevel="0" collapsed="false">
      <c r="A1215" s="36" t="s">
        <v>1674</v>
      </c>
      <c r="B1215" s="36" t="s">
        <v>1550</v>
      </c>
      <c r="C1215" s="36" t="s">
        <v>46</v>
      </c>
      <c r="D1215" s="36" t="s">
        <v>186</v>
      </c>
      <c r="E1215" s="36" t="n">
        <v>1</v>
      </c>
      <c r="F1215" s="36" t="s">
        <v>584</v>
      </c>
      <c r="G1215" s="36" t="s">
        <v>243</v>
      </c>
      <c r="H1215" s="36" t="s">
        <v>321</v>
      </c>
    </row>
    <row r="1216" customFormat="false" ht="15" hidden="false" customHeight="false" outlineLevel="0" collapsed="false">
      <c r="A1216" s="36" t="s">
        <v>1675</v>
      </c>
      <c r="B1216" s="36" t="s">
        <v>1553</v>
      </c>
      <c r="C1216" s="36" t="s">
        <v>448</v>
      </c>
      <c r="D1216" s="36" t="s">
        <v>280</v>
      </c>
      <c r="E1216" s="36" t="n">
        <v>4</v>
      </c>
      <c r="F1216" s="36" t="s">
        <v>275</v>
      </c>
      <c r="G1216" s="36" t="s">
        <v>243</v>
      </c>
      <c r="H1216" s="36" t="s">
        <v>141</v>
      </c>
    </row>
    <row r="1217" customFormat="false" ht="15" hidden="false" customHeight="false" outlineLevel="0" collapsed="false">
      <c r="A1217" s="36" t="s">
        <v>1676</v>
      </c>
      <c r="B1217" s="36" t="s">
        <v>1553</v>
      </c>
      <c r="C1217" s="36" t="s">
        <v>448</v>
      </c>
      <c r="D1217" s="36" t="s">
        <v>190</v>
      </c>
      <c r="E1217" s="36" t="n">
        <v>3</v>
      </c>
      <c r="F1217" s="36" t="s">
        <v>742</v>
      </c>
      <c r="G1217" s="36" t="s">
        <v>263</v>
      </c>
      <c r="H1217" s="36" t="s">
        <v>132</v>
      </c>
    </row>
    <row r="1218" customFormat="false" ht="15" hidden="false" customHeight="false" outlineLevel="0" collapsed="false">
      <c r="A1218" s="36" t="s">
        <v>1677</v>
      </c>
      <c r="B1218" s="37" t="n">
        <v>46272</v>
      </c>
      <c r="C1218" s="36" t="s">
        <v>46</v>
      </c>
      <c r="D1218" s="36" t="s">
        <v>218</v>
      </c>
      <c r="E1218" s="36" t="n">
        <v>6</v>
      </c>
      <c r="F1218" s="36" t="n">
        <v>85</v>
      </c>
      <c r="G1218" s="36" t="s">
        <v>243</v>
      </c>
      <c r="H1218" s="36" t="s">
        <v>132</v>
      </c>
    </row>
    <row r="1219" customFormat="false" ht="15" hidden="false" customHeight="false" outlineLevel="0" collapsed="false">
      <c r="A1219" s="36" t="s">
        <v>1678</v>
      </c>
      <c r="B1219" s="36" t="s">
        <v>1553</v>
      </c>
      <c r="C1219" s="36" t="s">
        <v>442</v>
      </c>
      <c r="D1219" s="36" t="s">
        <v>492</v>
      </c>
      <c r="E1219" s="36" t="n">
        <v>1</v>
      </c>
      <c r="F1219" s="36" t="n">
        <v>65</v>
      </c>
      <c r="G1219" s="36" t="s">
        <v>251</v>
      </c>
      <c r="H1219" s="36" t="s">
        <v>132</v>
      </c>
    </row>
    <row r="1220" customFormat="false" ht="15" hidden="false" customHeight="false" outlineLevel="0" collapsed="false">
      <c r="A1220" s="36" t="s">
        <v>1679</v>
      </c>
      <c r="B1220" s="36" t="s">
        <v>1553</v>
      </c>
      <c r="C1220" s="36" t="s">
        <v>46</v>
      </c>
      <c r="D1220" s="36" t="s">
        <v>159</v>
      </c>
      <c r="E1220" s="36" t="n">
        <v>2</v>
      </c>
      <c r="F1220" s="36" t="s">
        <v>380</v>
      </c>
      <c r="G1220" s="36" t="s">
        <v>260</v>
      </c>
      <c r="H1220" s="36" t="s">
        <v>146</v>
      </c>
    </row>
    <row r="1221" customFormat="false" ht="15" hidden="false" customHeight="false" outlineLevel="0" collapsed="false">
      <c r="A1221" s="36" t="s">
        <v>1680</v>
      </c>
      <c r="B1221" s="36" t="s">
        <v>1553</v>
      </c>
      <c r="C1221" s="36" t="s">
        <v>156</v>
      </c>
      <c r="D1221" s="36" t="s">
        <v>1025</v>
      </c>
      <c r="E1221" s="36" t="n">
        <v>6</v>
      </c>
      <c r="F1221" s="36" t="n">
        <v>90</v>
      </c>
      <c r="G1221" s="36" t="s">
        <v>243</v>
      </c>
      <c r="H1221" s="36" t="s">
        <v>131</v>
      </c>
    </row>
    <row r="1222" customFormat="false" ht="15" hidden="false" customHeight="false" outlineLevel="0" collapsed="false">
      <c r="A1222" s="36" t="s">
        <v>1519</v>
      </c>
      <c r="B1222" s="36" t="s">
        <v>1210</v>
      </c>
      <c r="C1222" s="36" t="s">
        <v>45</v>
      </c>
      <c r="D1222" s="36" t="s">
        <v>160</v>
      </c>
      <c r="E1222" s="36" t="n">
        <v>2</v>
      </c>
      <c r="F1222" s="36" t="s">
        <v>936</v>
      </c>
      <c r="G1222" s="36" t="s">
        <v>267</v>
      </c>
      <c r="H1222" s="36" t="s">
        <v>132</v>
      </c>
    </row>
    <row r="1223" customFormat="false" ht="15" hidden="false" customHeight="false" outlineLevel="0" collapsed="false">
      <c r="A1223" s="36" t="s">
        <v>1681</v>
      </c>
      <c r="B1223" s="36" t="s">
        <v>1553</v>
      </c>
      <c r="C1223" s="36" t="s">
        <v>46</v>
      </c>
      <c r="D1223" s="36" t="s">
        <v>184</v>
      </c>
      <c r="E1223" s="36" t="n">
        <v>3</v>
      </c>
      <c r="F1223" s="36" t="n">
        <v>160</v>
      </c>
      <c r="G1223" s="36" t="s">
        <v>251</v>
      </c>
      <c r="H1223" s="36" t="s">
        <v>141</v>
      </c>
    </row>
    <row r="1224" customFormat="false" ht="15" hidden="false" customHeight="false" outlineLevel="0" collapsed="false">
      <c r="A1224" s="36" t="s">
        <v>1682</v>
      </c>
      <c r="B1224" s="36" t="s">
        <v>1288</v>
      </c>
      <c r="C1224" s="36" t="s">
        <v>241</v>
      </c>
      <c r="D1224" s="36" t="s">
        <v>220</v>
      </c>
      <c r="E1224" s="36" t="n">
        <v>2</v>
      </c>
      <c r="F1224" s="36" t="n">
        <v>195</v>
      </c>
      <c r="G1224" s="36" t="s">
        <v>270</v>
      </c>
      <c r="H1224" s="36" t="s">
        <v>132</v>
      </c>
    </row>
    <row r="1225" customFormat="false" ht="15" hidden="false" customHeight="false" outlineLevel="0" collapsed="false">
      <c r="A1225" s="36" t="s">
        <v>1683</v>
      </c>
      <c r="B1225" s="36" t="s">
        <v>1684</v>
      </c>
      <c r="C1225" s="36" t="s">
        <v>42</v>
      </c>
      <c r="D1225" s="36" t="s">
        <v>716</v>
      </c>
      <c r="E1225" s="36" t="n">
        <v>3</v>
      </c>
      <c r="F1225" s="36" t="n">
        <v>350</v>
      </c>
      <c r="G1225" s="36" t="s">
        <v>263</v>
      </c>
      <c r="H1225" s="36" t="s">
        <v>146</v>
      </c>
    </row>
    <row r="1226" customFormat="false" ht="15" hidden="false" customHeight="false" outlineLevel="0" collapsed="false">
      <c r="A1226" s="36" t="s">
        <v>1685</v>
      </c>
      <c r="B1226" s="36" t="s">
        <v>1288</v>
      </c>
      <c r="C1226" s="36" t="s">
        <v>254</v>
      </c>
      <c r="D1226" s="36" t="s">
        <v>159</v>
      </c>
      <c r="E1226" s="36" t="n">
        <v>1</v>
      </c>
      <c r="F1226" s="36" t="s">
        <v>380</v>
      </c>
      <c r="G1226" s="36" t="s">
        <v>270</v>
      </c>
      <c r="H1226" s="36" t="s">
        <v>146</v>
      </c>
    </row>
    <row r="1227" customFormat="false" ht="15" hidden="false" customHeight="false" outlineLevel="0" collapsed="false">
      <c r="A1227" s="36" t="s">
        <v>1686</v>
      </c>
      <c r="B1227" s="36" t="s">
        <v>1288</v>
      </c>
      <c r="C1227" s="36" t="s">
        <v>42</v>
      </c>
      <c r="D1227" s="36" t="s">
        <v>405</v>
      </c>
      <c r="E1227" s="36" t="n">
        <v>1</v>
      </c>
      <c r="F1227" s="36" t="n">
        <v>330</v>
      </c>
      <c r="G1227" s="36" t="s">
        <v>256</v>
      </c>
      <c r="H1227" s="36" t="s">
        <v>141</v>
      </c>
    </row>
    <row r="1228" customFormat="false" ht="15" hidden="false" customHeight="false" outlineLevel="0" collapsed="false">
      <c r="A1228" s="36" t="s">
        <v>1687</v>
      </c>
      <c r="B1228" s="36" t="s">
        <v>1288</v>
      </c>
      <c r="C1228" s="36" t="s">
        <v>42</v>
      </c>
      <c r="D1228" s="36" t="s">
        <v>361</v>
      </c>
      <c r="E1228" s="36" t="n">
        <v>2</v>
      </c>
      <c r="F1228" s="36" t="n">
        <v>330</v>
      </c>
      <c r="G1228" s="36" t="s">
        <v>243</v>
      </c>
      <c r="H1228" s="36" t="s">
        <v>131</v>
      </c>
    </row>
    <row r="1229" customFormat="false" ht="15" hidden="false" customHeight="false" outlineLevel="0" collapsed="false">
      <c r="A1229" s="36" t="s">
        <v>1688</v>
      </c>
      <c r="B1229" s="37" t="n">
        <v>46273</v>
      </c>
      <c r="C1229" s="36" t="s">
        <v>294</v>
      </c>
      <c r="D1229" s="36" t="s">
        <v>164</v>
      </c>
      <c r="E1229" s="36" t="n">
        <v>2</v>
      </c>
      <c r="F1229" s="36" t="s">
        <v>659</v>
      </c>
      <c r="G1229" s="36" t="s">
        <v>263</v>
      </c>
      <c r="H1229" s="36" t="s">
        <v>132</v>
      </c>
    </row>
    <row r="1230" customFormat="false" ht="15" hidden="false" customHeight="false" outlineLevel="0" collapsed="false">
      <c r="A1230" s="36" t="s">
        <v>1689</v>
      </c>
      <c r="B1230" s="36" t="s">
        <v>1684</v>
      </c>
      <c r="C1230" s="36" t="s">
        <v>249</v>
      </c>
      <c r="D1230" s="36" t="s">
        <v>605</v>
      </c>
      <c r="E1230" s="36" t="n">
        <v>3</v>
      </c>
      <c r="F1230" s="36" t="n">
        <v>450</v>
      </c>
      <c r="G1230" s="36" t="s">
        <v>270</v>
      </c>
      <c r="H1230" s="36" t="s">
        <v>247</v>
      </c>
    </row>
    <row r="1231" customFormat="false" ht="15" hidden="false" customHeight="false" outlineLevel="0" collapsed="false">
      <c r="A1231" s="36" t="s">
        <v>1690</v>
      </c>
      <c r="B1231" s="36" t="s">
        <v>1684</v>
      </c>
      <c r="C1231" s="36" t="s">
        <v>42</v>
      </c>
      <c r="D1231" s="36" t="s">
        <v>206</v>
      </c>
      <c r="E1231" s="36" t="n">
        <v>6</v>
      </c>
      <c r="F1231" s="36" t="n">
        <v>65</v>
      </c>
      <c r="G1231" s="36" t="s">
        <v>270</v>
      </c>
      <c r="H1231" s="36" t="s">
        <v>132</v>
      </c>
    </row>
    <row r="1232" customFormat="false" ht="15" hidden="false" customHeight="false" outlineLevel="0" collapsed="false">
      <c r="A1232" s="36" t="s">
        <v>1691</v>
      </c>
      <c r="B1232" s="36" t="s">
        <v>1288</v>
      </c>
      <c r="C1232" s="36" t="s">
        <v>249</v>
      </c>
      <c r="D1232" s="36" t="s">
        <v>280</v>
      </c>
      <c r="E1232" s="36" t="n">
        <v>1</v>
      </c>
      <c r="F1232" s="36" t="n">
        <v>330</v>
      </c>
      <c r="G1232" s="36" t="s">
        <v>267</v>
      </c>
      <c r="H1232" s="36" t="s">
        <v>321</v>
      </c>
    </row>
    <row r="1233" customFormat="false" ht="15" hidden="false" customHeight="false" outlineLevel="0" collapsed="false">
      <c r="A1233" s="36" t="s">
        <v>1692</v>
      </c>
      <c r="B1233" s="36" t="s">
        <v>1684</v>
      </c>
      <c r="C1233" s="36" t="s">
        <v>42</v>
      </c>
      <c r="D1233" s="36" t="s">
        <v>159</v>
      </c>
      <c r="E1233" s="36" t="n">
        <v>1</v>
      </c>
      <c r="F1233" s="36" t="n">
        <v>330</v>
      </c>
      <c r="G1233" s="36" t="s">
        <v>260</v>
      </c>
      <c r="H1233" s="36" t="s">
        <v>141</v>
      </c>
    </row>
    <row r="1234" customFormat="false" ht="15" hidden="false" customHeight="false" outlineLevel="0" collapsed="false">
      <c r="A1234" s="36" t="s">
        <v>1693</v>
      </c>
      <c r="B1234" s="36" t="s">
        <v>1288</v>
      </c>
      <c r="C1234" s="36" t="s">
        <v>130</v>
      </c>
      <c r="D1234" s="36" t="s">
        <v>142</v>
      </c>
      <c r="E1234" s="36" t="n">
        <v>2</v>
      </c>
      <c r="F1234" s="36" t="s">
        <v>323</v>
      </c>
      <c r="G1234" s="36" t="s">
        <v>251</v>
      </c>
      <c r="H1234" s="36" t="s">
        <v>306</v>
      </c>
    </row>
    <row r="1235" customFormat="false" ht="15" hidden="false" customHeight="false" outlineLevel="0" collapsed="false">
      <c r="A1235" s="36" t="s">
        <v>1694</v>
      </c>
      <c r="B1235" s="36" t="s">
        <v>1684</v>
      </c>
      <c r="C1235" s="36" t="s">
        <v>249</v>
      </c>
      <c r="D1235" s="36" t="s">
        <v>401</v>
      </c>
      <c r="E1235" s="36" t="n">
        <v>3</v>
      </c>
      <c r="F1235" s="36" t="s">
        <v>552</v>
      </c>
      <c r="G1235" s="36" t="s">
        <v>270</v>
      </c>
      <c r="H1235" s="36" t="s">
        <v>141</v>
      </c>
    </row>
    <row r="1236" customFormat="false" ht="15" hidden="false" customHeight="false" outlineLevel="0" collapsed="false">
      <c r="A1236" s="36" t="s">
        <v>1695</v>
      </c>
      <c r="B1236" s="36" t="s">
        <v>1684</v>
      </c>
      <c r="C1236" s="36" t="s">
        <v>294</v>
      </c>
      <c r="D1236" s="36" t="s">
        <v>183</v>
      </c>
      <c r="E1236" s="36" t="n">
        <v>1</v>
      </c>
      <c r="F1236" s="36" t="n">
        <v>380</v>
      </c>
      <c r="G1236" s="36" t="s">
        <v>270</v>
      </c>
      <c r="H1236" s="36" t="s">
        <v>141</v>
      </c>
    </row>
    <row r="1237" customFormat="false" ht="15" hidden="false" customHeight="false" outlineLevel="0" collapsed="false">
      <c r="A1237" s="36" t="s">
        <v>1696</v>
      </c>
      <c r="B1237" s="36" t="s">
        <v>1288</v>
      </c>
      <c r="C1237" s="36" t="s">
        <v>241</v>
      </c>
      <c r="D1237" s="36" t="s">
        <v>148</v>
      </c>
      <c r="E1237" s="36" t="n">
        <v>3</v>
      </c>
      <c r="F1237" s="36" t="n">
        <v>330</v>
      </c>
      <c r="G1237" s="36" t="s">
        <v>246</v>
      </c>
      <c r="H1237" s="36" t="s">
        <v>132</v>
      </c>
    </row>
    <row r="1238" customFormat="false" ht="15" hidden="false" customHeight="false" outlineLevel="0" collapsed="false">
      <c r="A1238" s="36" t="s">
        <v>1697</v>
      </c>
      <c r="B1238" s="36" t="s">
        <v>1288</v>
      </c>
      <c r="C1238" s="36" t="s">
        <v>254</v>
      </c>
      <c r="D1238" s="36" t="s">
        <v>160</v>
      </c>
      <c r="E1238" s="36" t="n">
        <v>1</v>
      </c>
      <c r="F1238" s="36" t="n">
        <v>120</v>
      </c>
      <c r="G1238" s="36" t="s">
        <v>267</v>
      </c>
      <c r="H1238" s="36" t="s">
        <v>141</v>
      </c>
    </row>
    <row r="1239" customFormat="false" ht="15" hidden="false" customHeight="false" outlineLevel="0" collapsed="false">
      <c r="A1239" s="36" t="s">
        <v>1698</v>
      </c>
      <c r="B1239" s="36" t="s">
        <v>1288</v>
      </c>
      <c r="C1239" s="36" t="s">
        <v>42</v>
      </c>
      <c r="D1239" s="36" t="s">
        <v>194</v>
      </c>
      <c r="E1239" s="36" t="n">
        <v>1</v>
      </c>
      <c r="F1239" s="36" t="n">
        <v>130</v>
      </c>
      <c r="G1239" s="36" t="s">
        <v>251</v>
      </c>
      <c r="H1239" s="36" t="s">
        <v>145</v>
      </c>
    </row>
    <row r="1240" customFormat="false" ht="15" hidden="false" customHeight="false" outlineLevel="0" collapsed="false">
      <c r="A1240" s="36" t="s">
        <v>1699</v>
      </c>
      <c r="B1240" s="36" t="s">
        <v>1288</v>
      </c>
      <c r="C1240" s="36" t="s">
        <v>130</v>
      </c>
      <c r="D1240" s="36" t="s">
        <v>155</v>
      </c>
      <c r="E1240" s="36" t="n">
        <v>3</v>
      </c>
      <c r="F1240" s="36" t="n">
        <v>110</v>
      </c>
      <c r="G1240" s="36" t="s">
        <v>270</v>
      </c>
      <c r="H1240" s="36" t="s">
        <v>141</v>
      </c>
    </row>
    <row r="1241" customFormat="false" ht="15" hidden="false" customHeight="false" outlineLevel="0" collapsed="false">
      <c r="A1241" s="36" t="s">
        <v>1700</v>
      </c>
      <c r="B1241" s="37" t="n">
        <v>46273</v>
      </c>
      <c r="C1241" s="36" t="s">
        <v>241</v>
      </c>
      <c r="D1241" s="36" t="s">
        <v>158</v>
      </c>
      <c r="E1241" s="36" t="n">
        <v>3</v>
      </c>
      <c r="F1241" s="36" t="n">
        <v>65</v>
      </c>
      <c r="G1241" s="36" t="s">
        <v>267</v>
      </c>
      <c r="H1241" s="36" t="s">
        <v>141</v>
      </c>
    </row>
    <row r="1242" customFormat="false" ht="15" hidden="false" customHeight="false" outlineLevel="0" collapsed="false">
      <c r="A1242" s="36" t="s">
        <v>1701</v>
      </c>
      <c r="B1242" s="36" t="s">
        <v>1288</v>
      </c>
      <c r="C1242" s="36" t="s">
        <v>241</v>
      </c>
      <c r="D1242" s="36" t="s">
        <v>410</v>
      </c>
      <c r="E1242" s="36" t="n">
        <v>2</v>
      </c>
      <c r="F1242" s="36" t="s">
        <v>411</v>
      </c>
      <c r="G1242" s="36" t="s">
        <v>251</v>
      </c>
      <c r="H1242" s="36" t="s">
        <v>131</v>
      </c>
    </row>
    <row r="1243" customFormat="false" ht="15" hidden="false" customHeight="false" outlineLevel="0" collapsed="false">
      <c r="A1243" s="36" t="s">
        <v>1702</v>
      </c>
      <c r="B1243" s="36" t="s">
        <v>1684</v>
      </c>
      <c r="C1243" s="36" t="s">
        <v>294</v>
      </c>
      <c r="D1243" s="36" t="s">
        <v>167</v>
      </c>
      <c r="E1243" s="36" t="n">
        <v>4</v>
      </c>
      <c r="F1243" s="36" t="s">
        <v>292</v>
      </c>
      <c r="G1243" s="36" t="s">
        <v>263</v>
      </c>
      <c r="H1243" s="36" t="s">
        <v>132</v>
      </c>
    </row>
    <row r="1244" customFormat="false" ht="15" hidden="false" customHeight="false" outlineLevel="0" collapsed="false">
      <c r="A1244" s="36" t="s">
        <v>1703</v>
      </c>
      <c r="B1244" s="36" t="s">
        <v>1684</v>
      </c>
      <c r="C1244" s="36" t="s">
        <v>130</v>
      </c>
      <c r="D1244" s="36" t="s">
        <v>1704</v>
      </c>
      <c r="E1244" s="36" t="n">
        <v>1</v>
      </c>
      <c r="F1244" s="36" t="s">
        <v>957</v>
      </c>
      <c r="G1244" s="36" t="s">
        <v>251</v>
      </c>
      <c r="H1244" s="36" t="s">
        <v>140</v>
      </c>
    </row>
    <row r="1245" customFormat="false" ht="15" hidden="false" customHeight="false" outlineLevel="0" collapsed="false">
      <c r="A1245" s="36" t="s">
        <v>1705</v>
      </c>
      <c r="B1245" s="36" t="s">
        <v>1288</v>
      </c>
      <c r="C1245" s="36" t="s">
        <v>294</v>
      </c>
      <c r="D1245" s="36" t="s">
        <v>822</v>
      </c>
      <c r="E1245" s="36" t="n">
        <v>4</v>
      </c>
      <c r="F1245" s="36" t="n">
        <v>65</v>
      </c>
      <c r="G1245" s="36" t="s">
        <v>251</v>
      </c>
      <c r="H1245" s="36" t="s">
        <v>131</v>
      </c>
    </row>
    <row r="1246" customFormat="false" ht="15" hidden="false" customHeight="false" outlineLevel="0" collapsed="false">
      <c r="A1246" s="36" t="s">
        <v>1706</v>
      </c>
      <c r="B1246" s="37" t="n">
        <v>46273</v>
      </c>
      <c r="C1246" s="36" t="s">
        <v>254</v>
      </c>
      <c r="D1246" s="36" t="s">
        <v>181</v>
      </c>
      <c r="E1246" s="36" t="n">
        <v>2</v>
      </c>
      <c r="F1246" s="36" t="s">
        <v>659</v>
      </c>
      <c r="G1246" s="36" t="s">
        <v>260</v>
      </c>
      <c r="H1246" s="36" t="s">
        <v>321</v>
      </c>
    </row>
    <row r="1247" customFormat="false" ht="15" hidden="false" customHeight="false" outlineLevel="0" collapsed="false">
      <c r="A1247" s="36" t="s">
        <v>1707</v>
      </c>
      <c r="B1247" s="36" t="s">
        <v>1684</v>
      </c>
      <c r="C1247" s="36" t="s">
        <v>241</v>
      </c>
      <c r="D1247" s="36" t="s">
        <v>219</v>
      </c>
      <c r="E1247" s="36" t="n">
        <v>3</v>
      </c>
      <c r="F1247" s="36" t="n">
        <v>195</v>
      </c>
      <c r="G1247" s="36" t="s">
        <v>260</v>
      </c>
      <c r="H1247" s="36" t="s">
        <v>131</v>
      </c>
    </row>
    <row r="1248" customFormat="false" ht="15" hidden="false" customHeight="false" outlineLevel="0" collapsed="false">
      <c r="A1248" s="36" t="s">
        <v>1708</v>
      </c>
      <c r="B1248" s="36" t="s">
        <v>1288</v>
      </c>
      <c r="C1248" s="36" t="s">
        <v>294</v>
      </c>
      <c r="D1248" s="36" t="s">
        <v>299</v>
      </c>
      <c r="E1248" s="36" t="n">
        <v>4</v>
      </c>
      <c r="F1248" s="36" t="s">
        <v>319</v>
      </c>
      <c r="G1248" s="36" t="s">
        <v>260</v>
      </c>
      <c r="H1248" s="36" t="s">
        <v>247</v>
      </c>
    </row>
    <row r="1249" customFormat="false" ht="15" hidden="false" customHeight="false" outlineLevel="0" collapsed="false">
      <c r="A1249" s="36" t="s">
        <v>1709</v>
      </c>
      <c r="B1249" s="36" t="s">
        <v>1288</v>
      </c>
      <c r="C1249" s="36" t="s">
        <v>254</v>
      </c>
      <c r="D1249" s="36" t="s">
        <v>182</v>
      </c>
      <c r="E1249" s="36" t="n">
        <v>3</v>
      </c>
      <c r="F1249" s="36" t="n">
        <v>380</v>
      </c>
      <c r="G1249" s="36" t="s">
        <v>243</v>
      </c>
      <c r="H1249" s="36" t="s">
        <v>132</v>
      </c>
    </row>
    <row r="1250" customFormat="false" ht="15" hidden="false" customHeight="false" outlineLevel="0" collapsed="false">
      <c r="A1250" s="36" t="s">
        <v>1287</v>
      </c>
      <c r="B1250" s="36" t="s">
        <v>1288</v>
      </c>
      <c r="C1250" s="36" t="s">
        <v>241</v>
      </c>
      <c r="D1250" s="36" t="s">
        <v>437</v>
      </c>
      <c r="E1250" s="36" t="n">
        <v>2</v>
      </c>
      <c r="F1250" s="36" t="s">
        <v>380</v>
      </c>
      <c r="G1250" s="36" t="s">
        <v>263</v>
      </c>
      <c r="H1250" s="36" t="s">
        <v>146</v>
      </c>
    </row>
    <row r="1251" customFormat="false" ht="15" hidden="false" customHeight="false" outlineLevel="0" collapsed="false">
      <c r="A1251" s="36" t="s">
        <v>1710</v>
      </c>
      <c r="B1251" s="36" t="s">
        <v>1288</v>
      </c>
      <c r="C1251" s="36" t="s">
        <v>42</v>
      </c>
      <c r="D1251" s="36" t="s">
        <v>148</v>
      </c>
      <c r="E1251" s="36" t="n">
        <v>1</v>
      </c>
      <c r="F1251" s="36" t="s">
        <v>380</v>
      </c>
      <c r="G1251" s="36" t="s">
        <v>270</v>
      </c>
      <c r="H1251" s="36" t="s">
        <v>132</v>
      </c>
    </row>
    <row r="1252" customFormat="false" ht="15" hidden="false" customHeight="false" outlineLevel="0" collapsed="false">
      <c r="A1252" s="36" t="s">
        <v>1711</v>
      </c>
      <c r="B1252" s="36" t="s">
        <v>1288</v>
      </c>
      <c r="C1252" s="36" t="s">
        <v>254</v>
      </c>
      <c r="D1252" s="36" t="s">
        <v>1025</v>
      </c>
      <c r="E1252" s="36" t="n">
        <v>3</v>
      </c>
      <c r="F1252" s="36" t="n">
        <v>90</v>
      </c>
      <c r="G1252" s="36" t="s">
        <v>251</v>
      </c>
      <c r="H1252" s="36" t="s">
        <v>141</v>
      </c>
    </row>
    <row r="1253" customFormat="false" ht="15" hidden="false" customHeight="false" outlineLevel="0" collapsed="false">
      <c r="A1253" s="36" t="s">
        <v>1712</v>
      </c>
      <c r="B1253" s="37" t="n">
        <v>46273</v>
      </c>
      <c r="C1253" s="36" t="s">
        <v>249</v>
      </c>
      <c r="D1253" s="36" t="s">
        <v>640</v>
      </c>
      <c r="E1253" s="36" t="n">
        <v>6</v>
      </c>
      <c r="F1253" s="36" t="s">
        <v>331</v>
      </c>
      <c r="G1253" s="36" t="s">
        <v>260</v>
      </c>
      <c r="H1253" s="36" t="s">
        <v>145</v>
      </c>
    </row>
    <row r="1254" customFormat="false" ht="15" hidden="false" customHeight="false" outlineLevel="0" collapsed="false">
      <c r="A1254" s="36" t="s">
        <v>1713</v>
      </c>
      <c r="B1254" s="36" t="s">
        <v>1684</v>
      </c>
      <c r="C1254" s="36" t="s">
        <v>294</v>
      </c>
      <c r="D1254" s="36" t="s">
        <v>471</v>
      </c>
      <c r="E1254" s="36" t="n">
        <v>6</v>
      </c>
      <c r="F1254" s="36" t="n">
        <v>120</v>
      </c>
      <c r="G1254" s="36" t="s">
        <v>260</v>
      </c>
      <c r="H1254" s="36" t="s">
        <v>131</v>
      </c>
    </row>
    <row r="1255" customFormat="false" ht="15" hidden="false" customHeight="false" outlineLevel="0" collapsed="false">
      <c r="A1255" s="36" t="s">
        <v>1714</v>
      </c>
      <c r="B1255" s="37" t="n">
        <v>46273</v>
      </c>
      <c r="C1255" s="36" t="s">
        <v>241</v>
      </c>
      <c r="D1255" s="36" t="s">
        <v>440</v>
      </c>
      <c r="E1255" s="36" t="n">
        <v>2</v>
      </c>
      <c r="F1255" s="36" t="n">
        <v>380</v>
      </c>
      <c r="G1255" s="36" t="s">
        <v>267</v>
      </c>
      <c r="H1255" s="36" t="s">
        <v>141</v>
      </c>
    </row>
    <row r="1256" customFormat="false" ht="15" hidden="false" customHeight="false" outlineLevel="0" collapsed="false">
      <c r="A1256" s="36" t="s">
        <v>1715</v>
      </c>
      <c r="B1256" s="36" t="s">
        <v>1684</v>
      </c>
      <c r="C1256" s="36" t="s">
        <v>43</v>
      </c>
      <c r="D1256" s="36" t="s">
        <v>171</v>
      </c>
      <c r="E1256" s="36" t="n">
        <v>2</v>
      </c>
      <c r="F1256" s="36" t="s">
        <v>369</v>
      </c>
      <c r="G1256" s="36" t="s">
        <v>270</v>
      </c>
      <c r="H1256" s="36" t="s">
        <v>321</v>
      </c>
    </row>
    <row r="1257" customFormat="false" ht="15" hidden="false" customHeight="false" outlineLevel="0" collapsed="false">
      <c r="A1257" s="36" t="s">
        <v>1716</v>
      </c>
      <c r="B1257" s="36" t="s">
        <v>1288</v>
      </c>
      <c r="C1257" s="36" t="s">
        <v>43</v>
      </c>
      <c r="D1257" s="36" t="s">
        <v>143</v>
      </c>
      <c r="E1257" s="36" t="n">
        <v>1</v>
      </c>
      <c r="F1257" s="36" t="s">
        <v>380</v>
      </c>
      <c r="G1257" s="36" t="s">
        <v>251</v>
      </c>
      <c r="H1257" s="36" t="s">
        <v>306</v>
      </c>
    </row>
    <row r="1258" customFormat="false" ht="15" hidden="false" customHeight="false" outlineLevel="0" collapsed="false">
      <c r="A1258" s="36" t="s">
        <v>784</v>
      </c>
      <c r="B1258" s="36" t="s">
        <v>650</v>
      </c>
      <c r="C1258" s="36" t="s">
        <v>46</v>
      </c>
      <c r="D1258" s="36" t="s">
        <v>202</v>
      </c>
      <c r="E1258" s="36" t="n">
        <v>4</v>
      </c>
      <c r="F1258" s="36" t="n">
        <v>140</v>
      </c>
      <c r="G1258" s="36" t="s">
        <v>267</v>
      </c>
      <c r="H1258" s="36" t="s">
        <v>131</v>
      </c>
    </row>
    <row r="1259" customFormat="false" ht="15" hidden="false" customHeight="false" outlineLevel="0" collapsed="false">
      <c r="A1259" s="36" t="s">
        <v>1717</v>
      </c>
      <c r="B1259" s="36" t="s">
        <v>1288</v>
      </c>
      <c r="C1259" s="36" t="s">
        <v>43</v>
      </c>
      <c r="D1259" s="36" t="s">
        <v>231</v>
      </c>
      <c r="E1259" s="36"/>
      <c r="F1259" s="36" t="n">
        <v>140</v>
      </c>
      <c r="G1259" s="36" t="s">
        <v>243</v>
      </c>
      <c r="H1259" s="36" t="s">
        <v>141</v>
      </c>
    </row>
    <row r="1260" customFormat="false" ht="15" hidden="false" customHeight="false" outlineLevel="0" collapsed="false">
      <c r="A1260" s="36" t="s">
        <v>1718</v>
      </c>
      <c r="B1260" s="37" t="n">
        <v>46273</v>
      </c>
      <c r="C1260" s="36" t="s">
        <v>43</v>
      </c>
      <c r="D1260" s="36" t="s">
        <v>520</v>
      </c>
      <c r="E1260" s="36" t="n">
        <v>3</v>
      </c>
      <c r="F1260" s="36" t="n">
        <v>90</v>
      </c>
      <c r="G1260" s="36" t="s">
        <v>251</v>
      </c>
      <c r="H1260" s="36" t="s">
        <v>141</v>
      </c>
    </row>
    <row r="1261" customFormat="false" ht="15" hidden="false" customHeight="false" outlineLevel="0" collapsed="false">
      <c r="A1261" s="36" t="s">
        <v>1719</v>
      </c>
      <c r="B1261" s="36" t="s">
        <v>1288</v>
      </c>
      <c r="C1261" s="36" t="s">
        <v>43</v>
      </c>
      <c r="D1261" s="36" t="s">
        <v>142</v>
      </c>
      <c r="E1261" s="36" t="n">
        <v>1</v>
      </c>
      <c r="F1261" s="36" t="s">
        <v>323</v>
      </c>
      <c r="G1261" s="36" t="s">
        <v>243</v>
      </c>
      <c r="H1261" s="36" t="s">
        <v>141</v>
      </c>
    </row>
    <row r="1262" customFormat="false" ht="15" hidden="false" customHeight="false" outlineLevel="0" collapsed="false">
      <c r="A1262" s="36" t="s">
        <v>1720</v>
      </c>
      <c r="B1262" s="37" t="n">
        <v>46273</v>
      </c>
      <c r="C1262" s="36" t="s">
        <v>43</v>
      </c>
      <c r="D1262" s="36" t="s">
        <v>188</v>
      </c>
      <c r="E1262" s="36" t="n">
        <v>3</v>
      </c>
      <c r="F1262" s="36" t="s">
        <v>422</v>
      </c>
      <c r="G1262" s="36" t="s">
        <v>251</v>
      </c>
      <c r="H1262" s="36" t="s">
        <v>141</v>
      </c>
    </row>
    <row r="1263" customFormat="false" ht="15" hidden="false" customHeight="false" outlineLevel="0" collapsed="false">
      <c r="A1263" s="36" t="s">
        <v>1721</v>
      </c>
      <c r="B1263" s="36" t="s">
        <v>1684</v>
      </c>
      <c r="C1263" s="36" t="s">
        <v>333</v>
      </c>
      <c r="D1263" s="36" t="s">
        <v>898</v>
      </c>
      <c r="E1263" s="36" t="n">
        <v>6</v>
      </c>
      <c r="F1263" s="36" t="s">
        <v>489</v>
      </c>
      <c r="G1263" s="36" t="s">
        <v>243</v>
      </c>
      <c r="H1263" s="36" t="s">
        <v>131</v>
      </c>
    </row>
    <row r="1264" customFormat="false" ht="15" hidden="false" customHeight="false" outlineLevel="0" collapsed="false">
      <c r="A1264" s="36" t="s">
        <v>1722</v>
      </c>
      <c r="B1264" s="36" t="s">
        <v>1288</v>
      </c>
      <c r="C1264" s="36" t="s">
        <v>139</v>
      </c>
      <c r="D1264" s="36" t="s">
        <v>192</v>
      </c>
      <c r="E1264" s="36" t="n">
        <v>1</v>
      </c>
      <c r="F1264" s="36" t="n">
        <v>420</v>
      </c>
      <c r="G1264" s="36" t="s">
        <v>256</v>
      </c>
      <c r="H1264" s="36" t="s">
        <v>141</v>
      </c>
    </row>
    <row r="1265" customFormat="false" ht="15" hidden="false" customHeight="false" outlineLevel="0" collapsed="false">
      <c r="A1265" s="36" t="s">
        <v>1723</v>
      </c>
      <c r="B1265" s="36" t="s">
        <v>1288</v>
      </c>
      <c r="C1265" s="36" t="s">
        <v>335</v>
      </c>
      <c r="D1265" s="36" t="s">
        <v>215</v>
      </c>
      <c r="E1265" s="36" t="n">
        <v>2</v>
      </c>
      <c r="F1265" s="36" t="s">
        <v>1601</v>
      </c>
      <c r="G1265" s="36" t="s">
        <v>270</v>
      </c>
      <c r="H1265" s="36" t="s">
        <v>132</v>
      </c>
    </row>
    <row r="1266" customFormat="false" ht="15" hidden="false" customHeight="false" outlineLevel="0" collapsed="false">
      <c r="A1266" s="36" t="s">
        <v>1724</v>
      </c>
      <c r="B1266" s="36" t="s">
        <v>1684</v>
      </c>
      <c r="C1266" s="36" t="s">
        <v>43</v>
      </c>
      <c r="D1266" s="36" t="s">
        <v>696</v>
      </c>
      <c r="E1266" s="36" t="n">
        <v>6</v>
      </c>
      <c r="F1266" s="36" t="s">
        <v>552</v>
      </c>
      <c r="G1266" s="36" t="s">
        <v>267</v>
      </c>
      <c r="H1266" s="36" t="s">
        <v>247</v>
      </c>
    </row>
    <row r="1267" customFormat="false" ht="15" hidden="false" customHeight="false" outlineLevel="0" collapsed="false">
      <c r="A1267" s="36" t="s">
        <v>1725</v>
      </c>
      <c r="B1267" s="36" t="s">
        <v>1288</v>
      </c>
      <c r="C1267" s="36" t="s">
        <v>333</v>
      </c>
      <c r="D1267" s="36" t="s">
        <v>290</v>
      </c>
      <c r="E1267" s="36" t="n">
        <v>1</v>
      </c>
      <c r="F1267" s="36" t="n">
        <v>40</v>
      </c>
      <c r="G1267" s="36" t="s">
        <v>243</v>
      </c>
      <c r="H1267" s="36" t="s">
        <v>141</v>
      </c>
    </row>
    <row r="1268" customFormat="false" ht="15" hidden="false" customHeight="false" outlineLevel="0" collapsed="false">
      <c r="A1268" s="36" t="s">
        <v>1726</v>
      </c>
      <c r="B1268" s="36" t="s">
        <v>1684</v>
      </c>
      <c r="C1268" s="36" t="s">
        <v>43</v>
      </c>
      <c r="D1268" s="36" t="s">
        <v>158</v>
      </c>
      <c r="E1268" s="36" t="n">
        <v>2</v>
      </c>
      <c r="F1268" s="36" t="s">
        <v>457</v>
      </c>
      <c r="G1268" s="36" t="s">
        <v>260</v>
      </c>
      <c r="H1268" s="36" t="s">
        <v>132</v>
      </c>
    </row>
    <row r="1269" customFormat="false" ht="15" hidden="false" customHeight="false" outlineLevel="0" collapsed="false">
      <c r="A1269" s="36" t="s">
        <v>1727</v>
      </c>
      <c r="B1269" s="36" t="s">
        <v>1288</v>
      </c>
      <c r="C1269" s="36" t="s">
        <v>43</v>
      </c>
      <c r="D1269" s="36" t="s">
        <v>304</v>
      </c>
      <c r="E1269" s="36" t="n">
        <v>2</v>
      </c>
      <c r="F1269" s="36" t="n">
        <v>190</v>
      </c>
      <c r="G1269" s="36" t="s">
        <v>246</v>
      </c>
      <c r="H1269" s="36" t="s">
        <v>140</v>
      </c>
    </row>
    <row r="1270" customFormat="false" ht="15" hidden="false" customHeight="false" outlineLevel="0" collapsed="false">
      <c r="A1270" s="36" t="s">
        <v>1728</v>
      </c>
      <c r="B1270" s="37" t="n">
        <v>46273</v>
      </c>
      <c r="C1270" s="36" t="s">
        <v>43</v>
      </c>
      <c r="D1270" s="36" t="s">
        <v>405</v>
      </c>
      <c r="E1270" s="36" t="n">
        <v>1</v>
      </c>
      <c r="F1270" s="36" t="n">
        <v>330</v>
      </c>
      <c r="G1270" s="36" t="s">
        <v>256</v>
      </c>
      <c r="H1270" s="36" t="s">
        <v>247</v>
      </c>
    </row>
    <row r="1271" customFormat="false" ht="15" hidden="false" customHeight="false" outlineLevel="0" collapsed="false">
      <c r="A1271" s="36" t="s">
        <v>1729</v>
      </c>
      <c r="B1271" s="36" t="s">
        <v>1288</v>
      </c>
      <c r="C1271" s="36" t="s">
        <v>335</v>
      </c>
      <c r="D1271" s="36" t="s">
        <v>161</v>
      </c>
      <c r="E1271" s="36" t="n">
        <v>3</v>
      </c>
      <c r="F1271" s="36" t="n">
        <v>40</v>
      </c>
      <c r="G1271" s="36" t="s">
        <v>256</v>
      </c>
      <c r="H1271" s="36" t="s">
        <v>141</v>
      </c>
    </row>
    <row r="1272" customFormat="false" ht="15" hidden="false" customHeight="false" outlineLevel="0" collapsed="false">
      <c r="A1272" s="36" t="s">
        <v>1730</v>
      </c>
      <c r="B1272" s="36" t="s">
        <v>1288</v>
      </c>
      <c r="C1272" s="36" t="s">
        <v>43</v>
      </c>
      <c r="D1272" s="36" t="s">
        <v>165</v>
      </c>
      <c r="E1272" s="36" t="n">
        <v>6</v>
      </c>
      <c r="F1272" s="36" t="n">
        <v>110</v>
      </c>
      <c r="G1272" s="36" t="s">
        <v>263</v>
      </c>
      <c r="H1272" s="36" t="s">
        <v>247</v>
      </c>
    </row>
    <row r="1273" customFormat="false" ht="15" hidden="false" customHeight="false" outlineLevel="0" collapsed="false">
      <c r="A1273" s="36" t="s">
        <v>1731</v>
      </c>
      <c r="B1273" s="36" t="s">
        <v>1288</v>
      </c>
      <c r="C1273" s="36" t="s">
        <v>335</v>
      </c>
      <c r="D1273" s="36" t="s">
        <v>171</v>
      </c>
      <c r="E1273" s="36" t="n">
        <v>1</v>
      </c>
      <c r="F1273" s="36" t="s">
        <v>369</v>
      </c>
      <c r="G1273" s="36" t="s">
        <v>260</v>
      </c>
      <c r="H1273" s="36" t="s">
        <v>321</v>
      </c>
    </row>
    <row r="1274" customFormat="false" ht="15" hidden="false" customHeight="false" outlineLevel="0" collapsed="false">
      <c r="A1274" s="36" t="s">
        <v>1732</v>
      </c>
      <c r="B1274" s="36" t="s">
        <v>1684</v>
      </c>
      <c r="C1274" s="36" t="s">
        <v>43</v>
      </c>
      <c r="D1274" s="36" t="s">
        <v>487</v>
      </c>
      <c r="E1274" s="36" t="n">
        <v>1</v>
      </c>
      <c r="F1274" s="36" t="s">
        <v>742</v>
      </c>
      <c r="G1274" s="36" t="s">
        <v>263</v>
      </c>
      <c r="H1274" s="36" t="s">
        <v>141</v>
      </c>
    </row>
    <row r="1275" customFormat="false" ht="15" hidden="false" customHeight="false" outlineLevel="0" collapsed="false">
      <c r="A1275" s="36" t="s">
        <v>1733</v>
      </c>
      <c r="B1275" s="36" t="s">
        <v>1288</v>
      </c>
      <c r="C1275" s="36" t="s">
        <v>43</v>
      </c>
      <c r="D1275" s="36" t="s">
        <v>199</v>
      </c>
      <c r="E1275" s="36" t="n">
        <v>4</v>
      </c>
      <c r="F1275" s="36" t="s">
        <v>759</v>
      </c>
      <c r="G1275" s="36" t="s">
        <v>270</v>
      </c>
      <c r="H1275" s="36" t="s">
        <v>141</v>
      </c>
    </row>
    <row r="1276" customFormat="false" ht="15" hidden="false" customHeight="false" outlineLevel="0" collapsed="false">
      <c r="A1276" s="36" t="s">
        <v>1734</v>
      </c>
      <c r="B1276" s="36" t="s">
        <v>1288</v>
      </c>
      <c r="C1276" s="36" t="s">
        <v>139</v>
      </c>
      <c r="D1276" s="36" t="s">
        <v>295</v>
      </c>
      <c r="E1276" s="36" t="n">
        <v>2</v>
      </c>
      <c r="F1276" s="36" t="n">
        <v>150</v>
      </c>
      <c r="G1276" s="36" t="s">
        <v>246</v>
      </c>
      <c r="H1276" s="36" t="s">
        <v>132</v>
      </c>
    </row>
    <row r="1277" customFormat="false" ht="15" hidden="false" customHeight="false" outlineLevel="0" collapsed="false">
      <c r="A1277" s="36" t="s">
        <v>1735</v>
      </c>
      <c r="B1277" s="36" t="s">
        <v>1684</v>
      </c>
      <c r="C1277" s="36" t="s">
        <v>43</v>
      </c>
      <c r="D1277" s="36" t="s">
        <v>798</v>
      </c>
      <c r="E1277" s="36" t="n">
        <v>6</v>
      </c>
      <c r="F1277" s="36" t="s">
        <v>255</v>
      </c>
      <c r="G1277" s="36" t="s">
        <v>243</v>
      </c>
      <c r="H1277" s="36" t="s">
        <v>247</v>
      </c>
    </row>
    <row r="1278" customFormat="false" ht="15" hidden="false" customHeight="false" outlineLevel="0" collapsed="false">
      <c r="A1278" s="36" t="s">
        <v>1736</v>
      </c>
      <c r="B1278" s="37" t="n">
        <v>46273</v>
      </c>
      <c r="C1278" s="36" t="s">
        <v>43</v>
      </c>
      <c r="D1278" s="36" t="s">
        <v>223</v>
      </c>
      <c r="E1278" s="36" t="s">
        <v>282</v>
      </c>
      <c r="F1278" s="36" t="s">
        <v>255</v>
      </c>
      <c r="G1278" s="36" t="s">
        <v>267</v>
      </c>
      <c r="H1278" s="36" t="s">
        <v>140</v>
      </c>
    </row>
    <row r="1279" customFormat="false" ht="15" hidden="false" customHeight="false" outlineLevel="0" collapsed="false">
      <c r="A1279" s="36" t="s">
        <v>1737</v>
      </c>
      <c r="B1279" s="36" t="s">
        <v>1684</v>
      </c>
      <c r="C1279" s="36" t="s">
        <v>43</v>
      </c>
      <c r="D1279" s="36" t="s">
        <v>158</v>
      </c>
      <c r="E1279" s="36" t="n">
        <v>1</v>
      </c>
      <c r="F1279" s="36" t="n">
        <v>65</v>
      </c>
      <c r="G1279" s="36" t="s">
        <v>246</v>
      </c>
      <c r="H1279" s="36" t="s">
        <v>132</v>
      </c>
    </row>
    <row r="1280" customFormat="false" ht="15" hidden="false" customHeight="false" outlineLevel="0" collapsed="false">
      <c r="A1280" s="36" t="s">
        <v>1738</v>
      </c>
      <c r="B1280" s="36" t="s">
        <v>1288</v>
      </c>
      <c r="C1280" s="36" t="s">
        <v>333</v>
      </c>
      <c r="D1280" s="36" t="s">
        <v>226</v>
      </c>
      <c r="E1280" s="36" t="s">
        <v>735</v>
      </c>
      <c r="F1280" s="36" t="n">
        <v>315</v>
      </c>
      <c r="G1280" s="36" t="s">
        <v>267</v>
      </c>
      <c r="H1280" s="36" t="s">
        <v>247</v>
      </c>
    </row>
    <row r="1281" customFormat="false" ht="15" hidden="false" customHeight="false" outlineLevel="0" collapsed="false">
      <c r="A1281" s="36" t="s">
        <v>1739</v>
      </c>
      <c r="B1281" s="36" t="s">
        <v>1288</v>
      </c>
      <c r="C1281" s="36" t="s">
        <v>335</v>
      </c>
      <c r="D1281" s="36" t="s">
        <v>571</v>
      </c>
      <c r="E1281" s="36" t="n">
        <v>2</v>
      </c>
      <c r="F1281" s="36" t="s">
        <v>759</v>
      </c>
      <c r="G1281" s="36" t="s">
        <v>270</v>
      </c>
      <c r="H1281" s="36" t="s">
        <v>132</v>
      </c>
    </row>
    <row r="1282" customFormat="false" ht="15" hidden="false" customHeight="false" outlineLevel="0" collapsed="false">
      <c r="A1282" s="36" t="s">
        <v>1740</v>
      </c>
      <c r="B1282" s="37" t="n">
        <v>46273</v>
      </c>
      <c r="C1282" s="36" t="s">
        <v>43</v>
      </c>
      <c r="D1282" s="36" t="s">
        <v>242</v>
      </c>
      <c r="E1282" s="36" t="s">
        <v>403</v>
      </c>
      <c r="F1282" s="36" t="s">
        <v>269</v>
      </c>
      <c r="G1282" s="36" t="s">
        <v>246</v>
      </c>
      <c r="H1282" s="36" t="s">
        <v>141</v>
      </c>
    </row>
    <row r="1283" customFormat="false" ht="15" hidden="false" customHeight="false" outlineLevel="0" collapsed="false">
      <c r="A1283" s="36" t="s">
        <v>1741</v>
      </c>
      <c r="B1283" s="37" t="n">
        <v>46273</v>
      </c>
      <c r="C1283" s="36" t="s">
        <v>139</v>
      </c>
      <c r="D1283" s="36" t="s">
        <v>147</v>
      </c>
      <c r="E1283" s="36" t="n">
        <v>1</v>
      </c>
      <c r="F1283" s="36" t="s">
        <v>323</v>
      </c>
      <c r="G1283" s="36" t="s">
        <v>260</v>
      </c>
      <c r="H1283" s="36" t="s">
        <v>140</v>
      </c>
    </row>
    <row r="1284" customFormat="false" ht="15" hidden="false" customHeight="false" outlineLevel="0" collapsed="false">
      <c r="A1284" s="36" t="s">
        <v>1742</v>
      </c>
      <c r="B1284" s="36" t="s">
        <v>1288</v>
      </c>
      <c r="C1284" s="36" t="s">
        <v>139</v>
      </c>
      <c r="D1284" s="36" t="s">
        <v>342</v>
      </c>
      <c r="E1284" s="36" t="n">
        <v>2</v>
      </c>
      <c r="F1284" s="36" t="s">
        <v>344</v>
      </c>
      <c r="G1284" s="36" t="s">
        <v>267</v>
      </c>
      <c r="H1284" s="36" t="s">
        <v>308</v>
      </c>
    </row>
    <row r="1285" customFormat="false" ht="15" hidden="false" customHeight="false" outlineLevel="0" collapsed="false">
      <c r="A1285" s="36" t="s">
        <v>1743</v>
      </c>
      <c r="B1285" s="36" t="s">
        <v>1288</v>
      </c>
      <c r="C1285" s="36" t="s">
        <v>44</v>
      </c>
      <c r="D1285" s="36" t="s">
        <v>213</v>
      </c>
      <c r="E1285" s="36" t="s">
        <v>282</v>
      </c>
      <c r="F1285" s="36" t="n">
        <v>160</v>
      </c>
      <c r="G1285" s="36" t="s">
        <v>260</v>
      </c>
      <c r="H1285" s="36" t="s">
        <v>306</v>
      </c>
    </row>
    <row r="1286" customFormat="false" ht="15" hidden="false" customHeight="false" outlineLevel="0" collapsed="false">
      <c r="A1286" s="36" t="s">
        <v>1744</v>
      </c>
      <c r="B1286" s="36" t="s">
        <v>1288</v>
      </c>
      <c r="C1286" s="36" t="s">
        <v>368</v>
      </c>
      <c r="D1286" s="36" t="s">
        <v>299</v>
      </c>
      <c r="E1286" s="36" t="n">
        <v>2</v>
      </c>
      <c r="F1286" s="36" t="n">
        <v>60</v>
      </c>
      <c r="G1286" s="36" t="s">
        <v>263</v>
      </c>
      <c r="H1286" s="36" t="s">
        <v>132</v>
      </c>
    </row>
    <row r="1287" customFormat="false" ht="15" hidden="false" customHeight="false" outlineLevel="0" collapsed="false">
      <c r="A1287" s="36" t="s">
        <v>1745</v>
      </c>
      <c r="B1287" s="36" t="s">
        <v>1288</v>
      </c>
      <c r="C1287" s="36" t="s">
        <v>368</v>
      </c>
      <c r="D1287" s="36" t="s">
        <v>167</v>
      </c>
      <c r="E1287" s="36" t="n">
        <v>4</v>
      </c>
      <c r="F1287" s="36" t="n">
        <v>110</v>
      </c>
      <c r="G1287" s="36" t="s">
        <v>260</v>
      </c>
      <c r="H1287" s="36" t="s">
        <v>132</v>
      </c>
    </row>
    <row r="1288" customFormat="false" ht="15" hidden="false" customHeight="false" outlineLevel="0" collapsed="false">
      <c r="A1288" s="36" t="s">
        <v>1746</v>
      </c>
      <c r="B1288" s="36" t="s">
        <v>1288</v>
      </c>
      <c r="C1288" s="36" t="s">
        <v>144</v>
      </c>
      <c r="D1288" s="36" t="s">
        <v>864</v>
      </c>
      <c r="E1288" s="36" t="n">
        <v>1</v>
      </c>
      <c r="F1288" s="36" t="n">
        <v>40</v>
      </c>
      <c r="G1288" s="36" t="s">
        <v>270</v>
      </c>
      <c r="H1288" s="36" t="s">
        <v>308</v>
      </c>
    </row>
    <row r="1289" customFormat="false" ht="15" hidden="false" customHeight="false" outlineLevel="0" collapsed="false">
      <c r="A1289" s="36" t="s">
        <v>1747</v>
      </c>
      <c r="B1289" s="36" t="s">
        <v>1288</v>
      </c>
      <c r="C1289" s="36" t="s">
        <v>44</v>
      </c>
      <c r="D1289" s="36" t="s">
        <v>205</v>
      </c>
      <c r="E1289" s="36" t="n">
        <v>4</v>
      </c>
      <c r="F1289" s="36" t="n">
        <v>90</v>
      </c>
      <c r="G1289" s="36" t="s">
        <v>256</v>
      </c>
      <c r="H1289" s="36" t="s">
        <v>140</v>
      </c>
    </row>
    <row r="1290" customFormat="false" ht="15" hidden="false" customHeight="false" outlineLevel="0" collapsed="false">
      <c r="A1290" s="36" t="s">
        <v>1748</v>
      </c>
      <c r="B1290" s="36" t="s">
        <v>1288</v>
      </c>
      <c r="C1290" s="36" t="s">
        <v>144</v>
      </c>
      <c r="D1290" s="36" t="s">
        <v>190</v>
      </c>
      <c r="E1290" s="36" t="n">
        <v>2</v>
      </c>
      <c r="F1290" s="36" t="s">
        <v>272</v>
      </c>
      <c r="G1290" s="36" t="s">
        <v>270</v>
      </c>
      <c r="H1290" s="36" t="s">
        <v>247</v>
      </c>
    </row>
    <row r="1291" customFormat="false" ht="15" hidden="false" customHeight="false" outlineLevel="0" collapsed="false">
      <c r="A1291" s="36" t="s">
        <v>1749</v>
      </c>
      <c r="B1291" s="37" t="n">
        <v>46273</v>
      </c>
      <c r="C1291" s="36" t="s">
        <v>44</v>
      </c>
      <c r="D1291" s="36" t="s">
        <v>205</v>
      </c>
      <c r="E1291" s="36" t="n">
        <v>3</v>
      </c>
      <c r="F1291" s="36" t="n">
        <v>90</v>
      </c>
      <c r="G1291" s="36" t="s">
        <v>263</v>
      </c>
      <c r="H1291" s="36" t="s">
        <v>247</v>
      </c>
    </row>
    <row r="1292" customFormat="false" ht="15" hidden="false" customHeight="false" outlineLevel="0" collapsed="false">
      <c r="A1292" s="36" t="s">
        <v>1750</v>
      </c>
      <c r="B1292" s="36" t="s">
        <v>1288</v>
      </c>
      <c r="C1292" s="36" t="s">
        <v>368</v>
      </c>
      <c r="D1292" s="36" t="s">
        <v>160</v>
      </c>
      <c r="E1292" s="36" t="n">
        <v>1</v>
      </c>
      <c r="F1292" s="36" t="s">
        <v>505</v>
      </c>
      <c r="G1292" s="36" t="s">
        <v>256</v>
      </c>
      <c r="H1292" s="36" t="s">
        <v>308</v>
      </c>
    </row>
    <row r="1293" customFormat="false" ht="15" hidden="false" customHeight="false" outlineLevel="0" collapsed="false">
      <c r="A1293" s="36" t="s">
        <v>1751</v>
      </c>
      <c r="B1293" s="36" t="s">
        <v>1288</v>
      </c>
      <c r="C1293" s="36" t="s">
        <v>368</v>
      </c>
      <c r="D1293" s="36" t="s">
        <v>1752</v>
      </c>
      <c r="E1293" s="36" t="n">
        <v>2</v>
      </c>
      <c r="F1293" s="36" t="s">
        <v>749</v>
      </c>
      <c r="G1293" s="36" t="s">
        <v>256</v>
      </c>
      <c r="H1293" s="36" t="s">
        <v>132</v>
      </c>
    </row>
    <row r="1294" customFormat="false" ht="15" hidden="false" customHeight="false" outlineLevel="0" collapsed="false">
      <c r="A1294" s="36" t="s">
        <v>1753</v>
      </c>
      <c r="B1294" s="37" t="n">
        <v>46273</v>
      </c>
      <c r="C1294" s="36" t="s">
        <v>44</v>
      </c>
      <c r="D1294" s="36" t="s">
        <v>226</v>
      </c>
      <c r="E1294" s="36" t="n">
        <v>4</v>
      </c>
      <c r="F1294" s="36" t="s">
        <v>443</v>
      </c>
      <c r="G1294" s="36" t="s">
        <v>270</v>
      </c>
      <c r="H1294" s="36" t="s">
        <v>131</v>
      </c>
    </row>
    <row r="1295" customFormat="false" ht="15" hidden="false" customHeight="false" outlineLevel="0" collapsed="false">
      <c r="A1295" s="36" t="s">
        <v>1754</v>
      </c>
      <c r="B1295" s="37" t="n">
        <v>46273</v>
      </c>
      <c r="C1295" s="36" t="s">
        <v>368</v>
      </c>
      <c r="D1295" s="36" t="s">
        <v>471</v>
      </c>
      <c r="E1295" s="36" t="n">
        <v>1</v>
      </c>
      <c r="F1295" s="36" t="n">
        <v>108</v>
      </c>
      <c r="G1295" s="36" t="s">
        <v>263</v>
      </c>
      <c r="H1295" s="36" t="s">
        <v>140</v>
      </c>
    </row>
    <row r="1296" customFormat="false" ht="15" hidden="false" customHeight="false" outlineLevel="0" collapsed="false">
      <c r="A1296" s="36" t="s">
        <v>1755</v>
      </c>
      <c r="B1296" s="36" t="s">
        <v>1684</v>
      </c>
      <c r="C1296" s="36" t="s">
        <v>375</v>
      </c>
      <c r="D1296" s="36" t="s">
        <v>188</v>
      </c>
      <c r="E1296" s="36" t="n">
        <v>1</v>
      </c>
      <c r="F1296" s="36" t="n">
        <v>85</v>
      </c>
      <c r="G1296" s="36" t="s">
        <v>246</v>
      </c>
      <c r="H1296" s="36" t="s">
        <v>132</v>
      </c>
    </row>
    <row r="1297" customFormat="false" ht="15" hidden="false" customHeight="false" outlineLevel="0" collapsed="false">
      <c r="A1297" s="36" t="s">
        <v>1756</v>
      </c>
      <c r="B1297" s="36" t="s">
        <v>1684</v>
      </c>
      <c r="C1297" s="36" t="s">
        <v>44</v>
      </c>
      <c r="D1297" s="36" t="s">
        <v>176</v>
      </c>
      <c r="E1297" s="36" t="n">
        <v>4</v>
      </c>
      <c r="F1297" s="36" t="n">
        <v>90</v>
      </c>
      <c r="G1297" s="36" t="s">
        <v>270</v>
      </c>
      <c r="H1297" s="36" t="s">
        <v>132</v>
      </c>
    </row>
    <row r="1298" customFormat="false" ht="15" hidden="false" customHeight="false" outlineLevel="0" collapsed="false">
      <c r="A1298" s="36" t="s">
        <v>1757</v>
      </c>
      <c r="B1298" s="36" t="s">
        <v>1288</v>
      </c>
      <c r="C1298" s="36" t="s">
        <v>375</v>
      </c>
      <c r="D1298" s="36" t="s">
        <v>299</v>
      </c>
      <c r="E1298" s="36" t="n">
        <v>3</v>
      </c>
      <c r="F1298" s="36" t="s">
        <v>319</v>
      </c>
      <c r="G1298" s="36" t="s">
        <v>256</v>
      </c>
      <c r="H1298" s="36" t="s">
        <v>308</v>
      </c>
    </row>
    <row r="1299" customFormat="false" ht="15" hidden="false" customHeight="false" outlineLevel="0" collapsed="false">
      <c r="A1299" s="36" t="s">
        <v>1758</v>
      </c>
      <c r="B1299" s="36" t="s">
        <v>1288</v>
      </c>
      <c r="C1299" s="36" t="s">
        <v>368</v>
      </c>
      <c r="D1299" s="36" t="s">
        <v>696</v>
      </c>
      <c r="E1299" s="36" t="n">
        <v>2</v>
      </c>
      <c r="F1299" s="36" t="n">
        <v>190</v>
      </c>
      <c r="G1299" s="36" t="s">
        <v>267</v>
      </c>
      <c r="H1299" s="36" t="s">
        <v>141</v>
      </c>
    </row>
    <row r="1300" customFormat="false" ht="15" hidden="false" customHeight="false" outlineLevel="0" collapsed="false">
      <c r="A1300" s="36" t="s">
        <v>1759</v>
      </c>
      <c r="B1300" s="36" t="s">
        <v>1684</v>
      </c>
      <c r="C1300" s="36" t="s">
        <v>368</v>
      </c>
      <c r="D1300" s="36" t="s">
        <v>312</v>
      </c>
      <c r="E1300" s="36" t="n">
        <v>6</v>
      </c>
      <c r="F1300" s="36" t="s">
        <v>313</v>
      </c>
      <c r="G1300" s="36" t="s">
        <v>256</v>
      </c>
      <c r="H1300" s="36" t="s">
        <v>141</v>
      </c>
    </row>
    <row r="1301" customFormat="false" ht="15" hidden="false" customHeight="false" outlineLevel="0" collapsed="false">
      <c r="A1301" s="36" t="s">
        <v>1760</v>
      </c>
      <c r="B1301" s="36" t="s">
        <v>1288</v>
      </c>
      <c r="C1301" s="36" t="s">
        <v>44</v>
      </c>
      <c r="D1301" s="36" t="s">
        <v>876</v>
      </c>
      <c r="E1301" s="36" t="n">
        <v>3</v>
      </c>
      <c r="F1301" s="36" t="s">
        <v>1058</v>
      </c>
      <c r="G1301" s="36" t="s">
        <v>267</v>
      </c>
      <c r="H1301" s="36" t="s">
        <v>140</v>
      </c>
    </row>
    <row r="1302" customFormat="false" ht="15" hidden="false" customHeight="false" outlineLevel="0" collapsed="false">
      <c r="A1302" s="36" t="s">
        <v>1761</v>
      </c>
      <c r="B1302" s="36" t="s">
        <v>1288</v>
      </c>
      <c r="C1302" s="36" t="s">
        <v>144</v>
      </c>
      <c r="D1302" s="36" t="s">
        <v>195</v>
      </c>
      <c r="E1302" s="36" t="n">
        <v>4</v>
      </c>
      <c r="F1302" s="36" t="n">
        <v>60</v>
      </c>
      <c r="G1302" s="36" t="s">
        <v>243</v>
      </c>
      <c r="H1302" s="36" t="s">
        <v>140</v>
      </c>
    </row>
    <row r="1303" customFormat="false" ht="15" hidden="false" customHeight="false" outlineLevel="0" collapsed="false">
      <c r="A1303" s="36" t="s">
        <v>1762</v>
      </c>
      <c r="B1303" s="37" t="n">
        <v>46273</v>
      </c>
      <c r="C1303" s="36" t="s">
        <v>144</v>
      </c>
      <c r="D1303" s="36" t="s">
        <v>233</v>
      </c>
      <c r="E1303" s="36" t="n">
        <v>1</v>
      </c>
      <c r="F1303" s="36" t="n">
        <v>130</v>
      </c>
      <c r="G1303" s="36" t="s">
        <v>246</v>
      </c>
      <c r="H1303" s="36" t="s">
        <v>140</v>
      </c>
    </row>
    <row r="1304" customFormat="false" ht="15" hidden="false" customHeight="false" outlineLevel="0" collapsed="false">
      <c r="A1304" s="36" t="s">
        <v>1763</v>
      </c>
      <c r="B1304" s="36" t="s">
        <v>1288</v>
      </c>
      <c r="C1304" s="36" t="s">
        <v>144</v>
      </c>
      <c r="D1304" s="36" t="s">
        <v>168</v>
      </c>
      <c r="E1304" s="36" t="n">
        <v>6</v>
      </c>
      <c r="F1304" s="36" t="s">
        <v>489</v>
      </c>
      <c r="G1304" s="36" t="s">
        <v>267</v>
      </c>
      <c r="H1304" s="36" t="s">
        <v>247</v>
      </c>
    </row>
    <row r="1305" customFormat="false" ht="15" hidden="false" customHeight="false" outlineLevel="0" collapsed="false">
      <c r="A1305" s="36" t="s">
        <v>1764</v>
      </c>
      <c r="B1305" s="37" t="n">
        <v>46273</v>
      </c>
      <c r="C1305" s="36" t="s">
        <v>44</v>
      </c>
      <c r="D1305" s="36" t="s">
        <v>285</v>
      </c>
      <c r="E1305" s="36" t="n">
        <v>1</v>
      </c>
      <c r="F1305" s="36" t="n">
        <v>350</v>
      </c>
      <c r="G1305" s="36" t="s">
        <v>270</v>
      </c>
      <c r="H1305" s="36" t="s">
        <v>132</v>
      </c>
    </row>
    <row r="1306" customFormat="false" ht="15" hidden="false" customHeight="false" outlineLevel="0" collapsed="false">
      <c r="A1306" s="36" t="s">
        <v>1765</v>
      </c>
      <c r="B1306" s="36" t="s">
        <v>1288</v>
      </c>
      <c r="C1306" s="36" t="s">
        <v>554</v>
      </c>
      <c r="D1306" s="36" t="s">
        <v>165</v>
      </c>
      <c r="E1306" s="36" t="n">
        <v>4</v>
      </c>
      <c r="F1306" s="36" t="n">
        <v>99</v>
      </c>
      <c r="G1306" s="36" t="s">
        <v>256</v>
      </c>
      <c r="H1306" s="36" t="s">
        <v>141</v>
      </c>
    </row>
    <row r="1307" customFormat="false" ht="15" hidden="false" customHeight="false" outlineLevel="0" collapsed="false">
      <c r="A1307" s="36" t="s">
        <v>1766</v>
      </c>
      <c r="B1307" s="36" t="s">
        <v>1684</v>
      </c>
      <c r="C1307" s="36" t="s">
        <v>375</v>
      </c>
      <c r="D1307" s="36" t="s">
        <v>234</v>
      </c>
      <c r="E1307" s="36" t="n">
        <v>1</v>
      </c>
      <c r="F1307" s="36" t="n">
        <v>130</v>
      </c>
      <c r="G1307" s="36" t="s">
        <v>256</v>
      </c>
      <c r="H1307" s="36" t="s">
        <v>141</v>
      </c>
    </row>
    <row r="1308" customFormat="false" ht="15" hidden="false" customHeight="false" outlineLevel="0" collapsed="false">
      <c r="A1308" s="36" t="s">
        <v>1767</v>
      </c>
      <c r="B1308" s="36" t="s">
        <v>1288</v>
      </c>
      <c r="C1308" s="36" t="s">
        <v>45</v>
      </c>
      <c r="D1308" s="36" t="s">
        <v>180</v>
      </c>
      <c r="E1308" s="36" t="n">
        <v>1</v>
      </c>
      <c r="F1308" s="36" t="n">
        <v>190</v>
      </c>
      <c r="G1308" s="36" t="s">
        <v>267</v>
      </c>
      <c r="H1308" s="36" t="s">
        <v>308</v>
      </c>
    </row>
    <row r="1309" customFormat="false" ht="15" hidden="false" customHeight="false" outlineLevel="0" collapsed="false">
      <c r="A1309" s="36" t="s">
        <v>1768</v>
      </c>
      <c r="B1309" s="36" t="s">
        <v>1684</v>
      </c>
      <c r="C1309" s="36" t="s">
        <v>45</v>
      </c>
      <c r="D1309" s="36" t="s">
        <v>250</v>
      </c>
      <c r="E1309" s="36" t="n">
        <v>6</v>
      </c>
      <c r="F1309" s="36" t="n">
        <v>210</v>
      </c>
      <c r="G1309" s="36" t="s">
        <v>260</v>
      </c>
      <c r="H1309" s="36" t="s">
        <v>132</v>
      </c>
    </row>
    <row r="1310" customFormat="false" ht="15" hidden="false" customHeight="false" outlineLevel="0" collapsed="false">
      <c r="A1310" s="36" t="s">
        <v>1769</v>
      </c>
      <c r="B1310" s="37" t="n">
        <v>46273</v>
      </c>
      <c r="C1310" s="36" t="s">
        <v>45</v>
      </c>
      <c r="D1310" s="36" t="s">
        <v>290</v>
      </c>
      <c r="E1310" s="36" t="n">
        <v>4</v>
      </c>
      <c r="F1310" s="36" t="n">
        <v>40</v>
      </c>
      <c r="G1310" s="36" t="s">
        <v>270</v>
      </c>
      <c r="H1310" s="36" t="s">
        <v>321</v>
      </c>
    </row>
    <row r="1311" customFormat="false" ht="15" hidden="false" customHeight="false" outlineLevel="0" collapsed="false">
      <c r="A1311" s="36" t="s">
        <v>1770</v>
      </c>
      <c r="B1311" s="36" t="s">
        <v>1684</v>
      </c>
      <c r="C1311" s="36" t="s">
        <v>419</v>
      </c>
      <c r="D1311" s="36" t="s">
        <v>556</v>
      </c>
      <c r="E1311" s="36" t="n">
        <v>1</v>
      </c>
      <c r="F1311" s="36" t="s">
        <v>317</v>
      </c>
      <c r="G1311" s="36" t="s">
        <v>243</v>
      </c>
      <c r="H1311" s="36" t="s">
        <v>141</v>
      </c>
    </row>
    <row r="1312" customFormat="false" ht="15" hidden="false" customHeight="false" outlineLevel="0" collapsed="false">
      <c r="A1312" s="36" t="s">
        <v>1771</v>
      </c>
      <c r="B1312" s="36" t="s">
        <v>1288</v>
      </c>
      <c r="C1312" s="36" t="s">
        <v>45</v>
      </c>
      <c r="D1312" s="36" t="s">
        <v>218</v>
      </c>
      <c r="E1312" s="36" t="n">
        <v>2</v>
      </c>
      <c r="F1312" s="36" t="n">
        <v>76</v>
      </c>
      <c r="G1312" s="36" t="s">
        <v>251</v>
      </c>
      <c r="H1312" s="36" t="s">
        <v>247</v>
      </c>
    </row>
    <row r="1313" customFormat="false" ht="15" hidden="false" customHeight="false" outlineLevel="0" collapsed="false">
      <c r="A1313" s="36" t="s">
        <v>1772</v>
      </c>
      <c r="B1313" s="36" t="s">
        <v>1288</v>
      </c>
      <c r="C1313" s="36" t="s">
        <v>45</v>
      </c>
      <c r="D1313" s="36" t="s">
        <v>160</v>
      </c>
      <c r="E1313" s="36" t="n">
        <v>1</v>
      </c>
      <c r="F1313" s="36" t="n">
        <v>120</v>
      </c>
      <c r="G1313" s="36" t="s">
        <v>270</v>
      </c>
      <c r="H1313" s="36" t="s">
        <v>308</v>
      </c>
    </row>
    <row r="1314" customFormat="false" ht="15" hidden="false" customHeight="false" outlineLevel="0" collapsed="false">
      <c r="A1314" s="36" t="s">
        <v>1773</v>
      </c>
      <c r="B1314" s="36" t="s">
        <v>1288</v>
      </c>
      <c r="C1314" s="36" t="s">
        <v>417</v>
      </c>
      <c r="D1314" s="36" t="s">
        <v>164</v>
      </c>
      <c r="E1314" s="36" t="n">
        <v>2</v>
      </c>
      <c r="F1314" s="36" t="s">
        <v>659</v>
      </c>
      <c r="G1314" s="36" t="s">
        <v>256</v>
      </c>
      <c r="H1314" s="36" t="s">
        <v>146</v>
      </c>
    </row>
    <row r="1315" customFormat="false" ht="15" hidden="false" customHeight="false" outlineLevel="0" collapsed="false">
      <c r="A1315" s="36" t="s">
        <v>1774</v>
      </c>
      <c r="B1315" s="36" t="s">
        <v>1684</v>
      </c>
      <c r="C1315" s="36" t="s">
        <v>419</v>
      </c>
      <c r="D1315" s="36" t="s">
        <v>440</v>
      </c>
      <c r="E1315" s="36" t="s">
        <v>282</v>
      </c>
      <c r="F1315" s="36" t="s">
        <v>1775</v>
      </c>
      <c r="G1315" s="36" t="s">
        <v>270</v>
      </c>
      <c r="H1315" s="36" t="s">
        <v>132</v>
      </c>
    </row>
    <row r="1316" customFormat="false" ht="15" hidden="false" customHeight="false" outlineLevel="0" collapsed="false">
      <c r="A1316" s="36" t="s">
        <v>1776</v>
      </c>
      <c r="B1316" s="36" t="s">
        <v>1684</v>
      </c>
      <c r="C1316" s="36" t="s">
        <v>45</v>
      </c>
      <c r="D1316" s="36" t="s">
        <v>172</v>
      </c>
      <c r="E1316" s="36" t="n">
        <v>1</v>
      </c>
      <c r="F1316" s="36" t="n">
        <v>60</v>
      </c>
      <c r="G1316" s="36" t="s">
        <v>246</v>
      </c>
      <c r="H1316" s="36" t="s">
        <v>146</v>
      </c>
    </row>
    <row r="1317" customFormat="false" ht="15" hidden="false" customHeight="false" outlineLevel="0" collapsed="false">
      <c r="A1317" s="36" t="s">
        <v>1777</v>
      </c>
      <c r="B1317" s="36" t="s">
        <v>1288</v>
      </c>
      <c r="C1317" s="36" t="s">
        <v>45</v>
      </c>
      <c r="D1317" s="36" t="s">
        <v>204</v>
      </c>
      <c r="E1317" s="36" t="n">
        <v>3</v>
      </c>
      <c r="F1317" s="36" t="n">
        <v>130</v>
      </c>
      <c r="G1317" s="36" t="s">
        <v>260</v>
      </c>
      <c r="H1317" s="36" t="s">
        <v>132</v>
      </c>
    </row>
    <row r="1318" customFormat="false" ht="15" hidden="false" customHeight="false" outlineLevel="0" collapsed="false">
      <c r="A1318" s="36" t="s">
        <v>1778</v>
      </c>
      <c r="B1318" s="37" t="n">
        <v>46277</v>
      </c>
      <c r="C1318" s="36" t="s">
        <v>442</v>
      </c>
      <c r="D1318" s="36" t="s">
        <v>152</v>
      </c>
      <c r="E1318" s="36" t="n">
        <v>2</v>
      </c>
      <c r="F1318" s="36" t="n">
        <v>40</v>
      </c>
      <c r="G1318" s="36" t="s">
        <v>246</v>
      </c>
      <c r="H1318" s="36" t="s">
        <v>141</v>
      </c>
    </row>
    <row r="1319" customFormat="false" ht="15" hidden="false" customHeight="false" outlineLevel="0" collapsed="false">
      <c r="A1319" s="36" t="s">
        <v>1779</v>
      </c>
      <c r="B1319" s="36" t="s">
        <v>1288</v>
      </c>
      <c r="C1319" s="36" t="s">
        <v>45</v>
      </c>
      <c r="D1319" s="36" t="s">
        <v>492</v>
      </c>
      <c r="E1319" s="36" t="n">
        <v>1</v>
      </c>
      <c r="F1319" s="36" t="s">
        <v>413</v>
      </c>
      <c r="G1319" s="36" t="s">
        <v>267</v>
      </c>
      <c r="H1319" s="36" t="s">
        <v>132</v>
      </c>
    </row>
    <row r="1320" customFormat="false" ht="15" hidden="false" customHeight="false" outlineLevel="0" collapsed="false">
      <c r="A1320" s="36" t="s">
        <v>1780</v>
      </c>
      <c r="B1320" s="36" t="s">
        <v>1684</v>
      </c>
      <c r="C1320" s="36" t="s">
        <v>417</v>
      </c>
      <c r="D1320" s="36" t="s">
        <v>173</v>
      </c>
      <c r="E1320" s="36" t="n">
        <v>1</v>
      </c>
      <c r="F1320" s="36" t="n">
        <v>120</v>
      </c>
      <c r="G1320" s="36" t="s">
        <v>256</v>
      </c>
      <c r="H1320" s="36" t="s">
        <v>141</v>
      </c>
    </row>
    <row r="1321" customFormat="false" ht="15" hidden="false" customHeight="false" outlineLevel="0" collapsed="false">
      <c r="A1321" s="36" t="s">
        <v>1781</v>
      </c>
      <c r="B1321" s="36" t="s">
        <v>1684</v>
      </c>
      <c r="C1321" s="36" t="s">
        <v>45</v>
      </c>
      <c r="D1321" s="36" t="s">
        <v>208</v>
      </c>
      <c r="E1321" s="36" t="n">
        <v>1</v>
      </c>
      <c r="F1321" s="36" t="s">
        <v>378</v>
      </c>
      <c r="G1321" s="36" t="s">
        <v>260</v>
      </c>
      <c r="H1321" s="36" t="s">
        <v>132</v>
      </c>
    </row>
    <row r="1322" customFormat="false" ht="15" hidden="false" customHeight="false" outlineLevel="0" collapsed="false">
      <c r="A1322" s="36" t="s">
        <v>1782</v>
      </c>
      <c r="B1322" s="36" t="s">
        <v>1288</v>
      </c>
      <c r="C1322" s="36" t="s">
        <v>419</v>
      </c>
      <c r="D1322" s="36" t="s">
        <v>202</v>
      </c>
      <c r="E1322" s="36" t="s">
        <v>282</v>
      </c>
      <c r="F1322" s="36" t="n">
        <v>140</v>
      </c>
      <c r="G1322" s="36" t="s">
        <v>270</v>
      </c>
      <c r="H1322" s="36" t="s">
        <v>321</v>
      </c>
    </row>
    <row r="1323" customFormat="false" ht="15" hidden="false" customHeight="false" outlineLevel="0" collapsed="false">
      <c r="A1323" s="36" t="s">
        <v>1783</v>
      </c>
      <c r="B1323" s="37" t="n">
        <v>46273</v>
      </c>
      <c r="C1323" s="36" t="s">
        <v>417</v>
      </c>
      <c r="D1323" s="36" t="s">
        <v>182</v>
      </c>
      <c r="E1323" s="36" t="n">
        <v>3</v>
      </c>
      <c r="F1323" s="36" t="s">
        <v>1775</v>
      </c>
      <c r="G1323" s="36" t="s">
        <v>270</v>
      </c>
      <c r="H1323" s="36" t="s">
        <v>132</v>
      </c>
    </row>
    <row r="1324" customFormat="false" ht="15" hidden="false" customHeight="false" outlineLevel="0" collapsed="false">
      <c r="A1324" s="36" t="s">
        <v>1784</v>
      </c>
      <c r="B1324" s="36" t="s">
        <v>1684</v>
      </c>
      <c r="C1324" s="36" t="s">
        <v>45</v>
      </c>
      <c r="D1324" s="36" t="s">
        <v>357</v>
      </c>
      <c r="E1324" s="36" t="n">
        <v>4</v>
      </c>
      <c r="F1324" s="36" t="s">
        <v>380</v>
      </c>
      <c r="G1324" s="36" t="s">
        <v>243</v>
      </c>
      <c r="H1324" s="36" t="s">
        <v>146</v>
      </c>
    </row>
    <row r="1325" customFormat="false" ht="15" hidden="false" customHeight="false" outlineLevel="0" collapsed="false">
      <c r="A1325" s="36" t="s">
        <v>1785</v>
      </c>
      <c r="B1325" s="36" t="s">
        <v>1288</v>
      </c>
      <c r="C1325" s="36" t="s">
        <v>153</v>
      </c>
      <c r="D1325" s="36" t="s">
        <v>327</v>
      </c>
      <c r="E1325" s="36" t="s">
        <v>403</v>
      </c>
      <c r="F1325" s="36" t="s">
        <v>505</v>
      </c>
      <c r="G1325" s="36" t="s">
        <v>270</v>
      </c>
      <c r="H1325" s="36" t="s">
        <v>140</v>
      </c>
    </row>
    <row r="1326" customFormat="false" ht="15" hidden="false" customHeight="false" outlineLevel="0" collapsed="false">
      <c r="A1326" s="36" t="s">
        <v>1786</v>
      </c>
      <c r="B1326" s="36" t="s">
        <v>1288</v>
      </c>
      <c r="C1326" s="36" t="s">
        <v>417</v>
      </c>
      <c r="D1326" s="36" t="s">
        <v>142</v>
      </c>
      <c r="E1326" s="36" t="n">
        <v>2</v>
      </c>
      <c r="F1326" s="36" t="s">
        <v>323</v>
      </c>
      <c r="G1326" s="36" t="s">
        <v>246</v>
      </c>
      <c r="H1326" s="36" t="s">
        <v>131</v>
      </c>
    </row>
    <row r="1327" customFormat="false" ht="15" hidden="false" customHeight="false" outlineLevel="0" collapsed="false">
      <c r="A1327" s="36" t="s">
        <v>1787</v>
      </c>
      <c r="B1327" s="36" t="s">
        <v>1333</v>
      </c>
      <c r="C1327" s="36" t="s">
        <v>368</v>
      </c>
      <c r="D1327" s="36" t="s">
        <v>233</v>
      </c>
      <c r="E1327" s="36" t="n">
        <v>4</v>
      </c>
      <c r="F1327" s="36" t="s">
        <v>420</v>
      </c>
      <c r="G1327" s="36" t="s">
        <v>263</v>
      </c>
      <c r="H1327" s="36" t="s">
        <v>132</v>
      </c>
    </row>
    <row r="1328" customFormat="false" ht="15" hidden="false" customHeight="false" outlineLevel="0" collapsed="false">
      <c r="A1328" s="36" t="s">
        <v>1788</v>
      </c>
      <c r="B1328" s="36" t="s">
        <v>1288</v>
      </c>
      <c r="C1328" s="36" t="s">
        <v>45</v>
      </c>
      <c r="D1328" s="36" t="s">
        <v>927</v>
      </c>
      <c r="E1328" s="36" t="n">
        <v>1</v>
      </c>
      <c r="F1328" s="36" t="n">
        <v>280</v>
      </c>
      <c r="G1328" s="36" t="s">
        <v>260</v>
      </c>
      <c r="H1328" s="36" t="s">
        <v>146</v>
      </c>
    </row>
    <row r="1329" customFormat="false" ht="15" hidden="false" customHeight="false" outlineLevel="0" collapsed="false">
      <c r="A1329" s="36" t="s">
        <v>1789</v>
      </c>
      <c r="B1329" s="36" t="s">
        <v>1288</v>
      </c>
      <c r="C1329" s="36" t="s">
        <v>45</v>
      </c>
      <c r="D1329" s="36" t="s">
        <v>207</v>
      </c>
      <c r="E1329" s="36" t="n">
        <v>1</v>
      </c>
      <c r="F1329" s="36" t="s">
        <v>378</v>
      </c>
      <c r="G1329" s="36" t="s">
        <v>246</v>
      </c>
      <c r="H1329" s="36" t="s">
        <v>132</v>
      </c>
    </row>
    <row r="1330" customFormat="false" ht="15" hidden="false" customHeight="false" outlineLevel="0" collapsed="false">
      <c r="A1330" s="36" t="s">
        <v>1790</v>
      </c>
      <c r="B1330" s="36" t="s">
        <v>1684</v>
      </c>
      <c r="C1330" s="36" t="s">
        <v>46</v>
      </c>
      <c r="D1330" s="36" t="s">
        <v>1159</v>
      </c>
      <c r="E1330" s="36" t="n">
        <v>-2</v>
      </c>
      <c r="F1330" s="36" t="n">
        <v>120</v>
      </c>
      <c r="G1330" s="36" t="s">
        <v>246</v>
      </c>
      <c r="H1330" s="36" t="s">
        <v>141</v>
      </c>
    </row>
    <row r="1331" customFormat="false" ht="15" hidden="false" customHeight="false" outlineLevel="0" collapsed="false">
      <c r="A1331" s="36" t="s">
        <v>1791</v>
      </c>
      <c r="B1331" s="36" t="s">
        <v>1288</v>
      </c>
      <c r="C1331" s="36" t="s">
        <v>448</v>
      </c>
      <c r="D1331" s="36" t="s">
        <v>373</v>
      </c>
      <c r="E1331" s="36" t="n">
        <v>1</v>
      </c>
      <c r="F1331" s="36" t="n">
        <v>40</v>
      </c>
      <c r="G1331" s="36" t="s">
        <v>251</v>
      </c>
      <c r="H1331" s="36" t="s">
        <v>146</v>
      </c>
    </row>
    <row r="1332" customFormat="false" ht="15" hidden="false" customHeight="false" outlineLevel="0" collapsed="false">
      <c r="A1332" s="36" t="s">
        <v>1792</v>
      </c>
      <c r="B1332" s="37" t="n">
        <v>46273</v>
      </c>
      <c r="C1332" s="36" t="s">
        <v>448</v>
      </c>
      <c r="D1332" s="36" t="s">
        <v>515</v>
      </c>
      <c r="E1332" s="36" t="n">
        <v>2</v>
      </c>
      <c r="F1332" s="36" t="n">
        <v>130</v>
      </c>
      <c r="G1332" s="36" t="s">
        <v>246</v>
      </c>
      <c r="H1332" s="36" t="s">
        <v>321</v>
      </c>
    </row>
    <row r="1333" customFormat="false" ht="15" hidden="false" customHeight="false" outlineLevel="0" collapsed="false">
      <c r="A1333" s="36" t="s">
        <v>1793</v>
      </c>
      <c r="B1333" s="36" t="s">
        <v>1288</v>
      </c>
      <c r="C1333" s="36" t="s">
        <v>448</v>
      </c>
      <c r="D1333" s="36" t="s">
        <v>148</v>
      </c>
      <c r="E1333" s="36" t="n">
        <v>2</v>
      </c>
      <c r="F1333" s="36" t="s">
        <v>275</v>
      </c>
      <c r="G1333" s="36" t="s">
        <v>251</v>
      </c>
      <c r="H1333" s="36" t="s">
        <v>321</v>
      </c>
    </row>
    <row r="1334" customFormat="false" ht="15" hidden="false" customHeight="false" outlineLevel="0" collapsed="false">
      <c r="A1334" s="36" t="s">
        <v>1794</v>
      </c>
      <c r="B1334" s="36" t="s">
        <v>1288</v>
      </c>
      <c r="C1334" s="36" t="s">
        <v>46</v>
      </c>
      <c r="D1334" s="36" t="s">
        <v>233</v>
      </c>
      <c r="E1334" s="36" t="n">
        <v>2</v>
      </c>
      <c r="F1334" s="36" t="s">
        <v>420</v>
      </c>
      <c r="G1334" s="36" t="s">
        <v>256</v>
      </c>
      <c r="H1334" s="36" t="s">
        <v>132</v>
      </c>
    </row>
    <row r="1335" customFormat="false" ht="15" hidden="false" customHeight="false" outlineLevel="0" collapsed="false">
      <c r="A1335" s="36" t="s">
        <v>1795</v>
      </c>
      <c r="B1335" s="36" t="s">
        <v>1288</v>
      </c>
      <c r="C1335" s="36" t="s">
        <v>46</v>
      </c>
      <c r="D1335" s="36" t="s">
        <v>224</v>
      </c>
      <c r="E1335" s="36" t="n">
        <v>6</v>
      </c>
      <c r="F1335" s="36" t="n">
        <v>130</v>
      </c>
      <c r="G1335" s="36" t="s">
        <v>267</v>
      </c>
      <c r="H1335" s="36" t="s">
        <v>146</v>
      </c>
    </row>
    <row r="1336" customFormat="false" ht="15" hidden="false" customHeight="false" outlineLevel="0" collapsed="false">
      <c r="A1336" s="36" t="s">
        <v>1796</v>
      </c>
      <c r="B1336" s="36" t="s">
        <v>1288</v>
      </c>
      <c r="C1336" s="36" t="s">
        <v>46</v>
      </c>
      <c r="D1336" s="36" t="s">
        <v>798</v>
      </c>
      <c r="E1336" s="36" t="n">
        <v>4</v>
      </c>
      <c r="F1336" s="36" t="s">
        <v>420</v>
      </c>
      <c r="G1336" s="36" t="s">
        <v>243</v>
      </c>
      <c r="H1336" s="36" t="s">
        <v>308</v>
      </c>
    </row>
    <row r="1337" customFormat="false" ht="15" hidden="false" customHeight="false" outlineLevel="0" collapsed="false">
      <c r="A1337" s="36" t="s">
        <v>1797</v>
      </c>
      <c r="B1337" s="36" t="s">
        <v>1288</v>
      </c>
      <c r="C1337" s="36" t="s">
        <v>442</v>
      </c>
      <c r="D1337" s="36" t="s">
        <v>357</v>
      </c>
      <c r="E1337" s="36" t="n">
        <v>1</v>
      </c>
      <c r="F1337" s="36" t="s">
        <v>275</v>
      </c>
      <c r="G1337" s="36" t="s">
        <v>270</v>
      </c>
      <c r="H1337" s="36" t="s">
        <v>140</v>
      </c>
    </row>
    <row r="1338" customFormat="false" ht="15" hidden="false" customHeight="false" outlineLevel="0" collapsed="false">
      <c r="A1338" s="36" t="s">
        <v>1798</v>
      </c>
      <c r="B1338" s="36" t="s">
        <v>1684</v>
      </c>
      <c r="C1338" s="36" t="s">
        <v>448</v>
      </c>
      <c r="D1338" s="36" t="s">
        <v>175</v>
      </c>
      <c r="E1338" s="36" t="n">
        <v>3</v>
      </c>
      <c r="F1338" s="36" t="s">
        <v>936</v>
      </c>
      <c r="G1338" s="36" t="s">
        <v>256</v>
      </c>
      <c r="H1338" s="36" t="s">
        <v>140</v>
      </c>
    </row>
    <row r="1339" customFormat="false" ht="15" hidden="false" customHeight="false" outlineLevel="0" collapsed="false">
      <c r="A1339" s="36" t="s">
        <v>1799</v>
      </c>
      <c r="B1339" s="36" t="s">
        <v>1684</v>
      </c>
      <c r="C1339" s="36" t="s">
        <v>448</v>
      </c>
      <c r="D1339" s="36" t="s">
        <v>148</v>
      </c>
      <c r="E1339" s="36" t="n">
        <v>6</v>
      </c>
      <c r="F1339" s="36" t="n">
        <v>330</v>
      </c>
      <c r="G1339" s="36" t="s">
        <v>260</v>
      </c>
      <c r="H1339" s="36" t="s">
        <v>145</v>
      </c>
    </row>
    <row r="1340" customFormat="false" ht="15" hidden="false" customHeight="false" outlineLevel="0" collapsed="false">
      <c r="A1340" s="36" t="s">
        <v>1800</v>
      </c>
      <c r="B1340" s="36" t="s">
        <v>1288</v>
      </c>
      <c r="C1340" s="36" t="s">
        <v>46</v>
      </c>
      <c r="D1340" s="36" t="s">
        <v>312</v>
      </c>
      <c r="E1340" s="36" t="n">
        <v>6</v>
      </c>
      <c r="F1340" s="36" t="s">
        <v>313</v>
      </c>
      <c r="G1340" s="36" t="s">
        <v>267</v>
      </c>
      <c r="H1340" s="36" t="s">
        <v>132</v>
      </c>
    </row>
    <row r="1341" customFormat="false" ht="15" hidden="false" customHeight="false" outlineLevel="0" collapsed="false">
      <c r="A1341" s="36" t="s">
        <v>1801</v>
      </c>
      <c r="B1341" s="36" t="s">
        <v>1684</v>
      </c>
      <c r="C1341" s="36" t="s">
        <v>448</v>
      </c>
      <c r="D1341" s="36" t="s">
        <v>203</v>
      </c>
      <c r="E1341" s="36" t="n">
        <v>6</v>
      </c>
      <c r="F1341" s="36" t="s">
        <v>384</v>
      </c>
      <c r="G1341" s="36" t="s">
        <v>263</v>
      </c>
      <c r="H1341" s="36" t="s">
        <v>140</v>
      </c>
    </row>
    <row r="1342" customFormat="false" ht="15" hidden="false" customHeight="false" outlineLevel="0" collapsed="false">
      <c r="A1342" s="36" t="s">
        <v>1802</v>
      </c>
      <c r="B1342" s="36" t="s">
        <v>1288</v>
      </c>
      <c r="C1342" s="36" t="s">
        <v>46</v>
      </c>
      <c r="D1342" s="36" t="s">
        <v>173</v>
      </c>
      <c r="E1342" s="36" t="n">
        <v>4</v>
      </c>
      <c r="F1342" s="36" t="s">
        <v>936</v>
      </c>
      <c r="G1342" s="36" t="s">
        <v>270</v>
      </c>
      <c r="H1342" s="36" t="s">
        <v>132</v>
      </c>
    </row>
    <row r="1343" customFormat="false" ht="15" hidden="false" customHeight="false" outlineLevel="0" collapsed="false">
      <c r="A1343" s="36" t="s">
        <v>1803</v>
      </c>
      <c r="B1343" s="36" t="s">
        <v>1288</v>
      </c>
      <c r="C1343" s="36" t="s">
        <v>442</v>
      </c>
      <c r="D1343" s="36" t="s">
        <v>280</v>
      </c>
      <c r="E1343" s="36" t="n">
        <v>1</v>
      </c>
      <c r="F1343" s="36" t="s">
        <v>380</v>
      </c>
      <c r="G1343" s="36" t="s">
        <v>263</v>
      </c>
      <c r="H1343" s="36" t="s">
        <v>132</v>
      </c>
    </row>
    <row r="1344" customFormat="false" ht="15" hidden="false" customHeight="false" outlineLevel="0" collapsed="false">
      <c r="A1344" s="36" t="s">
        <v>1700</v>
      </c>
      <c r="B1344" s="37" t="n">
        <v>46273</v>
      </c>
      <c r="C1344" s="36" t="s">
        <v>241</v>
      </c>
      <c r="D1344" s="36" t="s">
        <v>158</v>
      </c>
      <c r="E1344" s="36" t="n">
        <v>3</v>
      </c>
      <c r="F1344" s="36" t="n">
        <v>65</v>
      </c>
      <c r="G1344" s="36" t="s">
        <v>267</v>
      </c>
      <c r="H1344" s="36" t="s">
        <v>141</v>
      </c>
    </row>
    <row r="1345" customFormat="false" ht="15" hidden="false" customHeight="false" outlineLevel="0" collapsed="false">
      <c r="A1345" s="36" t="s">
        <v>1804</v>
      </c>
      <c r="B1345" s="36" t="s">
        <v>1288</v>
      </c>
      <c r="C1345" s="36" t="s">
        <v>46</v>
      </c>
      <c r="D1345" s="36" t="s">
        <v>337</v>
      </c>
      <c r="E1345" s="36" t="n">
        <v>2</v>
      </c>
      <c r="F1345" s="36" t="s">
        <v>584</v>
      </c>
      <c r="G1345" s="36" t="s">
        <v>263</v>
      </c>
      <c r="H1345" s="36" t="s">
        <v>132</v>
      </c>
    </row>
    <row r="1346" customFormat="false" ht="15" hidden="false" customHeight="false" outlineLevel="0" collapsed="false">
      <c r="A1346" s="36" t="s">
        <v>1805</v>
      </c>
      <c r="B1346" s="36" t="s">
        <v>1684</v>
      </c>
      <c r="C1346" s="36" t="s">
        <v>46</v>
      </c>
      <c r="D1346" s="36" t="s">
        <v>234</v>
      </c>
      <c r="E1346" s="36" t="n">
        <v>3</v>
      </c>
      <c r="F1346" s="36" t="n">
        <v>130</v>
      </c>
      <c r="G1346" s="36" t="s">
        <v>246</v>
      </c>
      <c r="H1346" s="36" t="s">
        <v>131</v>
      </c>
    </row>
    <row r="1347" customFormat="false" ht="15" hidden="false" customHeight="false" outlineLevel="0" collapsed="false">
      <c r="A1347" s="36" t="s">
        <v>1806</v>
      </c>
      <c r="B1347" s="36" t="s">
        <v>1288</v>
      </c>
      <c r="C1347" s="36" t="s">
        <v>46</v>
      </c>
      <c r="D1347" s="36" t="s">
        <v>225</v>
      </c>
      <c r="E1347" s="36" t="n">
        <v>1</v>
      </c>
      <c r="F1347" s="36" t="n">
        <v>350</v>
      </c>
      <c r="G1347" s="36" t="s">
        <v>251</v>
      </c>
      <c r="H1347" s="36" t="s">
        <v>321</v>
      </c>
    </row>
    <row r="1348" customFormat="false" ht="15" hidden="false" customHeight="false" outlineLevel="0" collapsed="false">
      <c r="A1348" s="36" t="s">
        <v>1807</v>
      </c>
      <c r="B1348" s="36" t="s">
        <v>1288</v>
      </c>
      <c r="C1348" s="36" t="s">
        <v>46</v>
      </c>
      <c r="D1348" s="36" t="s">
        <v>209</v>
      </c>
      <c r="E1348" s="36" t="n">
        <v>1</v>
      </c>
      <c r="F1348" s="36" t="n">
        <v>190</v>
      </c>
      <c r="G1348" s="36" t="s">
        <v>256</v>
      </c>
      <c r="H1348" s="36" t="s">
        <v>141</v>
      </c>
    </row>
    <row r="1349" customFormat="false" ht="15" hidden="false" customHeight="false" outlineLevel="0" collapsed="false">
      <c r="A1349" s="36" t="s">
        <v>1808</v>
      </c>
      <c r="B1349" s="36" t="s">
        <v>1288</v>
      </c>
      <c r="C1349" s="36" t="s">
        <v>46</v>
      </c>
      <c r="D1349" s="36" t="s">
        <v>151</v>
      </c>
      <c r="E1349" s="36" t="n">
        <v>2</v>
      </c>
      <c r="F1349" s="36" t="s">
        <v>380</v>
      </c>
      <c r="G1349" s="36" t="s">
        <v>246</v>
      </c>
      <c r="H1349" s="36" t="s">
        <v>321</v>
      </c>
    </row>
    <row r="1350" customFormat="false" ht="15" hidden="false" customHeight="false" outlineLevel="0" collapsed="false">
      <c r="A1350" s="36" t="s">
        <v>1809</v>
      </c>
      <c r="B1350" s="36" t="s">
        <v>756</v>
      </c>
      <c r="C1350" s="36" t="s">
        <v>294</v>
      </c>
      <c r="D1350" s="36" t="s">
        <v>285</v>
      </c>
      <c r="E1350" s="36" t="n">
        <v>4</v>
      </c>
      <c r="F1350" s="36" t="s">
        <v>627</v>
      </c>
      <c r="G1350" s="36" t="s">
        <v>251</v>
      </c>
      <c r="H1350" s="36" t="s">
        <v>247</v>
      </c>
    </row>
    <row r="1351" customFormat="false" ht="15" hidden="false" customHeight="false" outlineLevel="0" collapsed="false">
      <c r="A1351" s="36" t="s">
        <v>1692</v>
      </c>
      <c r="B1351" s="36" t="s">
        <v>1684</v>
      </c>
      <c r="C1351" s="36" t="s">
        <v>42</v>
      </c>
      <c r="D1351" s="36" t="s">
        <v>159</v>
      </c>
      <c r="E1351" s="36" t="n">
        <v>1</v>
      </c>
      <c r="F1351" s="36" t="n">
        <v>330</v>
      </c>
      <c r="G1351" s="36" t="s">
        <v>260</v>
      </c>
      <c r="H1351" s="36" t="s">
        <v>141</v>
      </c>
    </row>
    <row r="1352" customFormat="false" ht="15" hidden="false" customHeight="false" outlineLevel="0" collapsed="false">
      <c r="A1352" s="36" t="s">
        <v>1810</v>
      </c>
      <c r="B1352" s="36" t="s">
        <v>756</v>
      </c>
      <c r="C1352" s="36" t="s">
        <v>254</v>
      </c>
      <c r="D1352" s="36" t="s">
        <v>203</v>
      </c>
      <c r="E1352" s="36" t="n">
        <v>2</v>
      </c>
      <c r="F1352" s="36" t="s">
        <v>302</v>
      </c>
      <c r="G1352" s="36" t="s">
        <v>263</v>
      </c>
      <c r="H1352" s="36" t="s">
        <v>132</v>
      </c>
    </row>
    <row r="1353" customFormat="false" ht="15" hidden="false" customHeight="false" outlineLevel="0" collapsed="false">
      <c r="A1353" s="36" t="s">
        <v>1811</v>
      </c>
      <c r="B1353" s="36" t="s">
        <v>809</v>
      </c>
      <c r="C1353" s="36" t="s">
        <v>130</v>
      </c>
      <c r="D1353" s="36" t="s">
        <v>209</v>
      </c>
      <c r="E1353" s="36" t="n">
        <v>1</v>
      </c>
      <c r="F1353" s="36" t="s">
        <v>552</v>
      </c>
      <c r="G1353" s="36" t="s">
        <v>270</v>
      </c>
      <c r="H1353" s="36" t="s">
        <v>321</v>
      </c>
    </row>
    <row r="1354" customFormat="false" ht="15" hidden="false" customHeight="false" outlineLevel="0" collapsed="false">
      <c r="A1354" s="36" t="s">
        <v>1812</v>
      </c>
      <c r="B1354" s="36" t="s">
        <v>756</v>
      </c>
      <c r="C1354" s="36" t="s">
        <v>254</v>
      </c>
      <c r="D1354" s="36" t="s">
        <v>295</v>
      </c>
      <c r="E1354" s="36" t="n">
        <v>2</v>
      </c>
      <c r="F1354" s="36" t="n">
        <v>150</v>
      </c>
      <c r="G1354" s="36" t="s">
        <v>246</v>
      </c>
      <c r="H1354" s="36" t="s">
        <v>141</v>
      </c>
    </row>
    <row r="1355" customFormat="false" ht="15" hidden="false" customHeight="false" outlineLevel="0" collapsed="false">
      <c r="A1355" s="36" t="s">
        <v>1813</v>
      </c>
      <c r="B1355" s="36" t="s">
        <v>809</v>
      </c>
      <c r="C1355" s="36" t="s">
        <v>294</v>
      </c>
      <c r="D1355" s="36" t="s">
        <v>211</v>
      </c>
      <c r="E1355" s="36" t="n">
        <v>1</v>
      </c>
      <c r="F1355" s="36" t="s">
        <v>563</v>
      </c>
      <c r="G1355" s="36" t="s">
        <v>270</v>
      </c>
      <c r="H1355" s="36" t="s">
        <v>308</v>
      </c>
    </row>
    <row r="1356" customFormat="false" ht="15" hidden="false" customHeight="false" outlineLevel="0" collapsed="false">
      <c r="A1356" s="36" t="s">
        <v>755</v>
      </c>
      <c r="B1356" s="36" t="s">
        <v>756</v>
      </c>
      <c r="C1356" s="36" t="s">
        <v>241</v>
      </c>
      <c r="D1356" s="36" t="s">
        <v>757</v>
      </c>
      <c r="E1356" s="36" t="n">
        <v>1</v>
      </c>
      <c r="F1356" s="36" t="s">
        <v>509</v>
      </c>
      <c r="G1356" s="36" t="s">
        <v>267</v>
      </c>
      <c r="H1356" s="36" t="s">
        <v>146</v>
      </c>
    </row>
    <row r="1357" customFormat="false" ht="15" hidden="false" customHeight="false" outlineLevel="0" collapsed="false">
      <c r="A1357" s="36" t="s">
        <v>1814</v>
      </c>
      <c r="B1357" s="36" t="s">
        <v>756</v>
      </c>
      <c r="C1357" s="36" t="s">
        <v>42</v>
      </c>
      <c r="D1357" s="36" t="s">
        <v>195</v>
      </c>
      <c r="E1357" s="36" t="n">
        <v>1</v>
      </c>
      <c r="F1357" s="36" t="n">
        <v>60</v>
      </c>
      <c r="G1357" s="36" t="s">
        <v>267</v>
      </c>
      <c r="H1357" s="36" t="s">
        <v>141</v>
      </c>
    </row>
    <row r="1358" customFormat="false" ht="15" hidden="false" customHeight="false" outlineLevel="0" collapsed="false">
      <c r="A1358" s="36" t="s">
        <v>1815</v>
      </c>
      <c r="B1358" s="36" t="s">
        <v>809</v>
      </c>
      <c r="C1358" s="36" t="s">
        <v>294</v>
      </c>
      <c r="D1358" s="36" t="s">
        <v>492</v>
      </c>
      <c r="E1358" s="36" t="n">
        <v>2</v>
      </c>
      <c r="F1358" s="36" t="n">
        <v>65</v>
      </c>
      <c r="G1358" s="36" t="s">
        <v>243</v>
      </c>
      <c r="H1358" s="36" t="s">
        <v>141</v>
      </c>
    </row>
    <row r="1359" customFormat="false" ht="15" hidden="false" customHeight="false" outlineLevel="0" collapsed="false">
      <c r="A1359" s="36" t="s">
        <v>1816</v>
      </c>
      <c r="B1359" s="36" t="s">
        <v>756</v>
      </c>
      <c r="C1359" s="36" t="s">
        <v>42</v>
      </c>
      <c r="D1359" s="36" t="s">
        <v>186</v>
      </c>
      <c r="E1359" s="36" t="n">
        <v>1</v>
      </c>
      <c r="F1359" s="36" t="s">
        <v>584</v>
      </c>
      <c r="G1359" s="36" t="s">
        <v>243</v>
      </c>
      <c r="H1359" s="36" t="s">
        <v>140</v>
      </c>
    </row>
    <row r="1360" customFormat="false" ht="15" hidden="false" customHeight="false" outlineLevel="0" collapsed="false">
      <c r="A1360" s="36" t="s">
        <v>1817</v>
      </c>
      <c r="B1360" s="36" t="s">
        <v>756</v>
      </c>
      <c r="C1360" s="36" t="s">
        <v>130</v>
      </c>
      <c r="D1360" s="36" t="s">
        <v>181</v>
      </c>
      <c r="E1360" s="36" t="n">
        <v>4</v>
      </c>
      <c r="F1360" s="36" t="n">
        <v>450</v>
      </c>
      <c r="G1360" s="36" t="s">
        <v>243</v>
      </c>
      <c r="H1360" s="36" t="s">
        <v>146</v>
      </c>
    </row>
    <row r="1361" customFormat="false" ht="15" hidden="false" customHeight="false" outlineLevel="0" collapsed="false">
      <c r="A1361" s="36" t="s">
        <v>1818</v>
      </c>
      <c r="B1361" s="36" t="s">
        <v>809</v>
      </c>
      <c r="C1361" s="36" t="s">
        <v>249</v>
      </c>
      <c r="D1361" s="36" t="s">
        <v>180</v>
      </c>
      <c r="E1361" s="36" t="n">
        <v>6</v>
      </c>
      <c r="F1361" s="36" t="n">
        <v>190</v>
      </c>
      <c r="G1361" s="36" t="s">
        <v>260</v>
      </c>
      <c r="H1361" s="36" t="s">
        <v>131</v>
      </c>
    </row>
    <row r="1362" customFormat="false" ht="15" hidden="false" customHeight="false" outlineLevel="0" collapsed="false">
      <c r="A1362" s="36" t="s">
        <v>1819</v>
      </c>
      <c r="B1362" s="36" t="s">
        <v>809</v>
      </c>
      <c r="C1362" s="36" t="s">
        <v>249</v>
      </c>
      <c r="D1362" s="36" t="s">
        <v>625</v>
      </c>
      <c r="E1362" s="36" t="n">
        <v>1</v>
      </c>
      <c r="F1362" s="36" t="n">
        <v>117</v>
      </c>
      <c r="G1362" s="36" t="s">
        <v>251</v>
      </c>
      <c r="H1362" s="36" t="s">
        <v>132</v>
      </c>
    </row>
    <row r="1363" customFormat="false" ht="15" hidden="false" customHeight="false" outlineLevel="0" collapsed="false">
      <c r="A1363" s="36" t="s">
        <v>1820</v>
      </c>
      <c r="B1363" s="36" t="s">
        <v>809</v>
      </c>
      <c r="C1363" s="36" t="s">
        <v>42</v>
      </c>
      <c r="D1363" s="36" t="s">
        <v>161</v>
      </c>
      <c r="E1363" s="36" t="n">
        <v>2</v>
      </c>
      <c r="F1363" s="36" t="s">
        <v>363</v>
      </c>
      <c r="G1363" s="36" t="s">
        <v>251</v>
      </c>
      <c r="H1363" s="36" t="s">
        <v>132</v>
      </c>
    </row>
    <row r="1364" customFormat="false" ht="15" hidden="false" customHeight="false" outlineLevel="0" collapsed="false">
      <c r="A1364" s="36" t="s">
        <v>1821</v>
      </c>
      <c r="B1364" s="36" t="s">
        <v>809</v>
      </c>
      <c r="C1364" s="36" t="s">
        <v>42</v>
      </c>
      <c r="D1364" s="36" t="s">
        <v>223</v>
      </c>
      <c r="E1364" s="36" t="n">
        <v>1</v>
      </c>
      <c r="F1364" s="36" t="s">
        <v>255</v>
      </c>
      <c r="G1364" s="36" t="s">
        <v>256</v>
      </c>
      <c r="H1364" s="36" t="s">
        <v>145</v>
      </c>
    </row>
    <row r="1365" customFormat="false" ht="15" hidden="false" customHeight="false" outlineLevel="0" collapsed="false">
      <c r="A1365" s="36" t="s">
        <v>1822</v>
      </c>
      <c r="B1365" s="36" t="s">
        <v>809</v>
      </c>
      <c r="C1365" s="36" t="s">
        <v>249</v>
      </c>
      <c r="D1365" s="36" t="s">
        <v>154</v>
      </c>
      <c r="E1365" s="36" t="n">
        <v>6</v>
      </c>
      <c r="F1365" s="36" t="n">
        <v>330</v>
      </c>
      <c r="G1365" s="36" t="s">
        <v>251</v>
      </c>
      <c r="H1365" s="36" t="s">
        <v>308</v>
      </c>
    </row>
    <row r="1366" customFormat="false" ht="15" hidden="false" customHeight="false" outlineLevel="0" collapsed="false">
      <c r="A1366" s="36" t="s">
        <v>1823</v>
      </c>
      <c r="B1366" s="36" t="s">
        <v>809</v>
      </c>
      <c r="C1366" s="36" t="s">
        <v>130</v>
      </c>
      <c r="D1366" s="36" t="s">
        <v>181</v>
      </c>
      <c r="E1366" s="36" t="n">
        <v>1</v>
      </c>
      <c r="F1366" s="36" t="s">
        <v>659</v>
      </c>
      <c r="G1366" s="36" t="s">
        <v>260</v>
      </c>
      <c r="H1366" s="36" t="s">
        <v>132</v>
      </c>
    </row>
    <row r="1367" customFormat="false" ht="15" hidden="false" customHeight="false" outlineLevel="0" collapsed="false">
      <c r="A1367" s="36" t="s">
        <v>1824</v>
      </c>
      <c r="B1367" s="36" t="s">
        <v>756</v>
      </c>
      <c r="C1367" s="36" t="s">
        <v>42</v>
      </c>
      <c r="D1367" s="36" t="s">
        <v>169</v>
      </c>
      <c r="E1367" s="36" t="n">
        <v>3</v>
      </c>
      <c r="F1367" s="36" t="n">
        <v>65</v>
      </c>
      <c r="G1367" s="36" t="s">
        <v>256</v>
      </c>
      <c r="H1367" s="36" t="s">
        <v>140</v>
      </c>
    </row>
    <row r="1368" customFormat="false" ht="15" hidden="false" customHeight="false" outlineLevel="0" collapsed="false">
      <c r="A1368" s="36" t="s">
        <v>1825</v>
      </c>
      <c r="B1368" s="36" t="s">
        <v>809</v>
      </c>
      <c r="C1368" s="36" t="s">
        <v>42</v>
      </c>
      <c r="D1368" s="36" t="s">
        <v>1309</v>
      </c>
      <c r="E1368" s="36" t="n">
        <v>2</v>
      </c>
      <c r="F1368" s="36" t="s">
        <v>269</v>
      </c>
      <c r="G1368" s="36" t="s">
        <v>260</v>
      </c>
      <c r="H1368" s="36" t="s">
        <v>146</v>
      </c>
    </row>
    <row r="1369" customFormat="false" ht="15" hidden="false" customHeight="false" outlineLevel="0" collapsed="false">
      <c r="A1369" s="36" t="s">
        <v>1826</v>
      </c>
      <c r="B1369" s="36" t="s">
        <v>756</v>
      </c>
      <c r="C1369" s="36" t="s">
        <v>42</v>
      </c>
      <c r="D1369" s="36" t="s">
        <v>206</v>
      </c>
      <c r="E1369" s="36" t="n">
        <v>6</v>
      </c>
      <c r="F1369" s="36" t="s">
        <v>369</v>
      </c>
      <c r="G1369" s="36" t="s">
        <v>243</v>
      </c>
      <c r="H1369" s="36" t="s">
        <v>131</v>
      </c>
    </row>
    <row r="1370" customFormat="false" ht="15" hidden="false" customHeight="false" outlineLevel="0" collapsed="false">
      <c r="A1370" s="36" t="s">
        <v>1827</v>
      </c>
      <c r="B1370" s="36" t="s">
        <v>809</v>
      </c>
      <c r="C1370" s="36" t="s">
        <v>249</v>
      </c>
      <c r="D1370" s="36" t="s">
        <v>172</v>
      </c>
      <c r="E1370" s="36" t="n">
        <v>2</v>
      </c>
      <c r="F1370" s="36" t="s">
        <v>498</v>
      </c>
      <c r="G1370" s="36" t="s">
        <v>251</v>
      </c>
      <c r="H1370" s="36" t="s">
        <v>247</v>
      </c>
    </row>
    <row r="1371" customFormat="false" ht="15" hidden="false" customHeight="false" outlineLevel="0" collapsed="false">
      <c r="A1371" s="36" t="s">
        <v>1828</v>
      </c>
      <c r="B1371" s="36" t="s">
        <v>756</v>
      </c>
      <c r="C1371" s="36" t="s">
        <v>130</v>
      </c>
      <c r="D1371" s="36" t="s">
        <v>171</v>
      </c>
      <c r="E1371" s="36" t="n">
        <v>1</v>
      </c>
      <c r="F1371" s="36" t="n">
        <v>65</v>
      </c>
      <c r="G1371" s="36" t="s">
        <v>267</v>
      </c>
      <c r="H1371" s="36" t="s">
        <v>321</v>
      </c>
    </row>
    <row r="1372" customFormat="false" ht="15" hidden="false" customHeight="false" outlineLevel="0" collapsed="false">
      <c r="A1372" s="36" t="s">
        <v>1829</v>
      </c>
      <c r="B1372" s="36" t="s">
        <v>756</v>
      </c>
      <c r="C1372" s="36" t="s">
        <v>249</v>
      </c>
      <c r="D1372" s="36" t="s">
        <v>327</v>
      </c>
      <c r="E1372" s="36" t="n">
        <v>2</v>
      </c>
      <c r="F1372" s="36" t="n">
        <v>120</v>
      </c>
      <c r="G1372" s="36" t="s">
        <v>243</v>
      </c>
      <c r="H1372" s="36" t="s">
        <v>141</v>
      </c>
    </row>
    <row r="1373" customFormat="false" ht="15" hidden="false" customHeight="false" outlineLevel="0" collapsed="false">
      <c r="A1373" s="36" t="s">
        <v>1830</v>
      </c>
      <c r="B1373" s="36" t="s">
        <v>809</v>
      </c>
      <c r="C1373" s="36" t="s">
        <v>254</v>
      </c>
      <c r="D1373" s="36" t="s">
        <v>885</v>
      </c>
      <c r="E1373" s="36" t="n">
        <v>2</v>
      </c>
      <c r="F1373" s="36" t="s">
        <v>269</v>
      </c>
      <c r="G1373" s="36" t="s">
        <v>270</v>
      </c>
      <c r="H1373" s="36" t="s">
        <v>306</v>
      </c>
    </row>
    <row r="1374" customFormat="false" ht="15" hidden="false" customHeight="false" outlineLevel="0" collapsed="false">
      <c r="A1374" s="36" t="s">
        <v>1831</v>
      </c>
      <c r="B1374" s="36" t="s">
        <v>756</v>
      </c>
      <c r="C1374" s="36" t="s">
        <v>241</v>
      </c>
      <c r="D1374" s="36" t="s">
        <v>280</v>
      </c>
      <c r="E1374" s="36" t="n">
        <v>1</v>
      </c>
      <c r="F1374" s="36" t="n">
        <v>330</v>
      </c>
      <c r="G1374" s="36" t="s">
        <v>267</v>
      </c>
      <c r="H1374" s="36" t="s">
        <v>247</v>
      </c>
    </row>
    <row r="1375" customFormat="false" ht="15" hidden="false" customHeight="false" outlineLevel="0" collapsed="false">
      <c r="A1375" s="36" t="s">
        <v>1832</v>
      </c>
      <c r="B1375" s="37" t="n">
        <v>46274</v>
      </c>
      <c r="C1375" s="36" t="s">
        <v>254</v>
      </c>
      <c r="D1375" s="36" t="s">
        <v>168</v>
      </c>
      <c r="E1375" s="36" t="n">
        <v>3</v>
      </c>
      <c r="F1375" s="36" t="n">
        <v>150</v>
      </c>
      <c r="G1375" s="36" t="s">
        <v>263</v>
      </c>
      <c r="H1375" s="36" t="s">
        <v>247</v>
      </c>
    </row>
    <row r="1376" customFormat="false" ht="15" hidden="false" customHeight="false" outlineLevel="0" collapsed="false">
      <c r="A1376" s="36" t="s">
        <v>1833</v>
      </c>
      <c r="B1376" s="36" t="s">
        <v>809</v>
      </c>
      <c r="C1376" s="36" t="s">
        <v>130</v>
      </c>
      <c r="D1376" s="36" t="s">
        <v>236</v>
      </c>
      <c r="E1376" s="36" t="n">
        <v>4</v>
      </c>
      <c r="F1376" s="36" t="n">
        <v>65</v>
      </c>
      <c r="G1376" s="36" t="s">
        <v>260</v>
      </c>
      <c r="H1376" s="36" t="s">
        <v>132</v>
      </c>
    </row>
    <row r="1377" customFormat="false" ht="15" hidden="false" customHeight="false" outlineLevel="0" collapsed="false">
      <c r="A1377" s="36" t="s">
        <v>1834</v>
      </c>
      <c r="B1377" s="36" t="s">
        <v>756</v>
      </c>
      <c r="C1377" s="36" t="s">
        <v>249</v>
      </c>
      <c r="D1377" s="36" t="s">
        <v>148</v>
      </c>
      <c r="E1377" s="36" t="n">
        <v>4</v>
      </c>
      <c r="F1377" s="36" t="n">
        <v>297</v>
      </c>
      <c r="G1377" s="36" t="s">
        <v>267</v>
      </c>
      <c r="H1377" s="36" t="s">
        <v>146</v>
      </c>
    </row>
    <row r="1378" customFormat="false" ht="15" hidden="false" customHeight="false" outlineLevel="0" collapsed="false">
      <c r="A1378" s="36" t="s">
        <v>1835</v>
      </c>
      <c r="B1378" s="36" t="s">
        <v>809</v>
      </c>
      <c r="C1378" s="36" t="s">
        <v>249</v>
      </c>
      <c r="D1378" s="36" t="s">
        <v>159</v>
      </c>
      <c r="E1378" s="36" t="n">
        <v>2</v>
      </c>
      <c r="F1378" s="36" t="n">
        <v>330</v>
      </c>
      <c r="G1378" s="36" t="s">
        <v>256</v>
      </c>
      <c r="H1378" s="36" t="s">
        <v>132</v>
      </c>
    </row>
    <row r="1379" customFormat="false" ht="15" hidden="false" customHeight="false" outlineLevel="0" collapsed="false">
      <c r="A1379" s="36" t="s">
        <v>1836</v>
      </c>
      <c r="B1379" s="36" t="s">
        <v>809</v>
      </c>
      <c r="C1379" s="36" t="s">
        <v>294</v>
      </c>
      <c r="D1379" s="36" t="s">
        <v>181</v>
      </c>
      <c r="E1379" s="36" t="n">
        <v>2</v>
      </c>
      <c r="F1379" s="36" t="n">
        <v>450</v>
      </c>
      <c r="G1379" s="36" t="s">
        <v>246</v>
      </c>
      <c r="H1379" s="36" t="s">
        <v>321</v>
      </c>
    </row>
    <row r="1380" customFormat="false" ht="15" hidden="false" customHeight="false" outlineLevel="0" collapsed="false">
      <c r="A1380" s="36" t="s">
        <v>1837</v>
      </c>
      <c r="B1380" s="36" t="s">
        <v>756</v>
      </c>
      <c r="C1380" s="36" t="s">
        <v>130</v>
      </c>
      <c r="D1380" s="36" t="s">
        <v>822</v>
      </c>
      <c r="E1380" s="36" t="n">
        <v>1</v>
      </c>
      <c r="F1380" s="36" t="s">
        <v>457</v>
      </c>
      <c r="G1380" s="36" t="s">
        <v>270</v>
      </c>
      <c r="H1380" s="36" t="s">
        <v>132</v>
      </c>
    </row>
    <row r="1381" customFormat="false" ht="15" hidden="false" customHeight="false" outlineLevel="0" collapsed="false">
      <c r="A1381" s="36" t="s">
        <v>1838</v>
      </c>
      <c r="B1381" s="36" t="s">
        <v>756</v>
      </c>
      <c r="C1381" s="36" t="s">
        <v>249</v>
      </c>
      <c r="D1381" s="36" t="s">
        <v>227</v>
      </c>
      <c r="E1381" s="36" t="n">
        <v>1</v>
      </c>
      <c r="F1381" s="36" t="n">
        <v>95</v>
      </c>
      <c r="G1381" s="36" t="s">
        <v>267</v>
      </c>
      <c r="H1381" s="36" t="s">
        <v>146</v>
      </c>
    </row>
    <row r="1382" customFormat="false" ht="15" hidden="false" customHeight="false" outlineLevel="0" collapsed="false">
      <c r="A1382" s="36" t="s">
        <v>1839</v>
      </c>
      <c r="B1382" s="36" t="s">
        <v>756</v>
      </c>
      <c r="C1382" s="36" t="s">
        <v>254</v>
      </c>
      <c r="D1382" s="36" t="s">
        <v>184</v>
      </c>
      <c r="E1382" s="36" t="n">
        <v>1</v>
      </c>
      <c r="F1382" s="36" t="n">
        <v>160</v>
      </c>
      <c r="G1382" s="36" t="s">
        <v>243</v>
      </c>
      <c r="H1382" s="36" t="s">
        <v>132</v>
      </c>
    </row>
    <row r="1383" customFormat="false" ht="15" hidden="false" customHeight="false" outlineLevel="0" collapsed="false">
      <c r="A1383" s="36" t="s">
        <v>808</v>
      </c>
      <c r="B1383" s="36" t="s">
        <v>809</v>
      </c>
      <c r="C1383" s="36" t="s">
        <v>130</v>
      </c>
      <c r="D1383" s="36" t="s">
        <v>783</v>
      </c>
      <c r="E1383" s="36" t="n">
        <v>1</v>
      </c>
      <c r="F1383" s="36" t="n">
        <v>130</v>
      </c>
      <c r="G1383" s="36" t="s">
        <v>267</v>
      </c>
      <c r="H1383" s="36" t="s">
        <v>141</v>
      </c>
    </row>
    <row r="1384" customFormat="false" ht="15" hidden="false" customHeight="false" outlineLevel="0" collapsed="false">
      <c r="A1384" s="36" t="s">
        <v>1840</v>
      </c>
      <c r="B1384" s="37" t="n">
        <v>46274</v>
      </c>
      <c r="C1384" s="36" t="s">
        <v>241</v>
      </c>
      <c r="D1384" s="36" t="s">
        <v>197</v>
      </c>
      <c r="E1384" s="36" t="n">
        <v>3</v>
      </c>
      <c r="F1384" s="36" t="s">
        <v>344</v>
      </c>
      <c r="G1384" s="36" t="s">
        <v>260</v>
      </c>
      <c r="H1384" s="36" t="s">
        <v>131</v>
      </c>
    </row>
    <row r="1385" customFormat="false" ht="15" hidden="false" customHeight="false" outlineLevel="0" collapsed="false">
      <c r="A1385" s="36" t="s">
        <v>1841</v>
      </c>
      <c r="B1385" s="36" t="s">
        <v>756</v>
      </c>
      <c r="C1385" s="36" t="s">
        <v>130</v>
      </c>
      <c r="D1385" s="36" t="s">
        <v>134</v>
      </c>
      <c r="E1385" s="36" t="s">
        <v>282</v>
      </c>
      <c r="F1385" s="36" t="s">
        <v>411</v>
      </c>
      <c r="G1385" s="36" t="s">
        <v>243</v>
      </c>
      <c r="H1385" s="36" t="s">
        <v>247</v>
      </c>
    </row>
    <row r="1386" customFormat="false" ht="15" hidden="false" customHeight="false" outlineLevel="0" collapsed="false">
      <c r="A1386" s="36" t="s">
        <v>801</v>
      </c>
      <c r="B1386" s="37" t="n">
        <v>46274</v>
      </c>
      <c r="C1386" s="36" t="s">
        <v>241</v>
      </c>
      <c r="D1386" s="36" t="s">
        <v>204</v>
      </c>
      <c r="E1386" s="36" t="n">
        <v>2</v>
      </c>
      <c r="F1386" s="36" t="s">
        <v>420</v>
      </c>
      <c r="G1386" s="36" t="s">
        <v>263</v>
      </c>
      <c r="H1386" s="36" t="s">
        <v>321</v>
      </c>
    </row>
    <row r="1387" customFormat="false" ht="15" hidden="false" customHeight="false" outlineLevel="0" collapsed="false">
      <c r="A1387" s="36" t="s">
        <v>1842</v>
      </c>
      <c r="B1387" s="36" t="s">
        <v>756</v>
      </c>
      <c r="C1387" s="36" t="s">
        <v>254</v>
      </c>
      <c r="D1387" s="36" t="s">
        <v>168</v>
      </c>
      <c r="E1387" s="36" t="n">
        <v>6</v>
      </c>
      <c r="F1387" s="36" t="n">
        <v>150</v>
      </c>
      <c r="G1387" s="36" t="s">
        <v>256</v>
      </c>
      <c r="H1387" s="36" t="s">
        <v>132</v>
      </c>
    </row>
    <row r="1388" customFormat="false" ht="15" hidden="false" customHeight="false" outlineLevel="0" collapsed="false">
      <c r="A1388" s="36" t="s">
        <v>1843</v>
      </c>
      <c r="B1388" s="36" t="s">
        <v>756</v>
      </c>
      <c r="C1388" s="36" t="s">
        <v>130</v>
      </c>
      <c r="D1388" s="36" t="s">
        <v>158</v>
      </c>
      <c r="E1388" s="36" t="n">
        <v>1</v>
      </c>
      <c r="F1388" s="36" t="n">
        <v>65</v>
      </c>
      <c r="G1388" s="36" t="s">
        <v>256</v>
      </c>
      <c r="H1388" s="36" t="s">
        <v>146</v>
      </c>
    </row>
    <row r="1389" customFormat="false" ht="15" hidden="false" customHeight="false" outlineLevel="0" collapsed="false">
      <c r="A1389" s="36" t="s">
        <v>1844</v>
      </c>
      <c r="B1389" s="36" t="s">
        <v>756</v>
      </c>
      <c r="C1389" s="36" t="s">
        <v>249</v>
      </c>
      <c r="D1389" s="36" t="s">
        <v>148</v>
      </c>
      <c r="E1389" s="36" t="n">
        <v>3</v>
      </c>
      <c r="F1389" s="36" t="s">
        <v>358</v>
      </c>
      <c r="G1389" s="36" t="s">
        <v>246</v>
      </c>
      <c r="H1389" s="36" t="s">
        <v>140</v>
      </c>
    </row>
    <row r="1390" customFormat="false" ht="15" hidden="false" customHeight="false" outlineLevel="0" collapsed="false">
      <c r="A1390" s="36" t="s">
        <v>1845</v>
      </c>
      <c r="B1390" s="36" t="s">
        <v>756</v>
      </c>
      <c r="C1390" s="36" t="s">
        <v>43</v>
      </c>
      <c r="D1390" s="36" t="s">
        <v>646</v>
      </c>
      <c r="E1390" s="36" t="n">
        <v>6</v>
      </c>
      <c r="F1390" s="36" t="n">
        <v>110</v>
      </c>
      <c r="G1390" s="36" t="s">
        <v>263</v>
      </c>
      <c r="H1390" s="36" t="s">
        <v>247</v>
      </c>
    </row>
    <row r="1391" customFormat="false" ht="15" hidden="false" customHeight="false" outlineLevel="0" collapsed="false">
      <c r="A1391" s="36" t="s">
        <v>1846</v>
      </c>
      <c r="B1391" s="36" t="s">
        <v>809</v>
      </c>
      <c r="C1391" s="36" t="s">
        <v>43</v>
      </c>
      <c r="D1391" s="36" t="s">
        <v>165</v>
      </c>
      <c r="E1391" s="36" t="n">
        <v>1</v>
      </c>
      <c r="F1391" s="36" t="n">
        <v>110</v>
      </c>
      <c r="G1391" s="36" t="s">
        <v>251</v>
      </c>
      <c r="H1391" s="36" t="s">
        <v>132</v>
      </c>
    </row>
    <row r="1392" customFormat="false" ht="15" hidden="false" customHeight="false" outlineLevel="0" collapsed="false">
      <c r="A1392" s="36" t="s">
        <v>1847</v>
      </c>
      <c r="B1392" s="36" t="s">
        <v>756</v>
      </c>
      <c r="C1392" s="36" t="s">
        <v>43</v>
      </c>
      <c r="D1392" s="36" t="s">
        <v>172</v>
      </c>
      <c r="E1392" s="36" t="n">
        <v>2</v>
      </c>
      <c r="F1392" s="36" t="n">
        <v>60</v>
      </c>
      <c r="G1392" s="36" t="s">
        <v>243</v>
      </c>
      <c r="H1392" s="36" t="s">
        <v>306</v>
      </c>
    </row>
    <row r="1393" customFormat="false" ht="15" hidden="false" customHeight="false" outlineLevel="0" collapsed="false">
      <c r="A1393" s="36" t="s">
        <v>1848</v>
      </c>
      <c r="B1393" s="36" t="s">
        <v>809</v>
      </c>
      <c r="C1393" s="36" t="s">
        <v>335</v>
      </c>
      <c r="D1393" s="36" t="s">
        <v>290</v>
      </c>
      <c r="E1393" s="36" t="n">
        <v>2</v>
      </c>
      <c r="F1393" s="36" t="s">
        <v>363</v>
      </c>
      <c r="G1393" s="36" t="s">
        <v>267</v>
      </c>
      <c r="H1393" s="36" t="s">
        <v>308</v>
      </c>
    </row>
    <row r="1394" customFormat="false" ht="15" hidden="false" customHeight="false" outlineLevel="0" collapsed="false">
      <c r="A1394" s="36" t="s">
        <v>1849</v>
      </c>
      <c r="B1394" s="36" t="s">
        <v>756</v>
      </c>
      <c r="C1394" s="36" t="s">
        <v>43</v>
      </c>
      <c r="D1394" s="36" t="s">
        <v>192</v>
      </c>
      <c r="E1394" s="36" t="n">
        <v>4</v>
      </c>
      <c r="F1394" s="36" t="n">
        <v>420</v>
      </c>
      <c r="G1394" s="36" t="s">
        <v>270</v>
      </c>
      <c r="H1394" s="36" t="s">
        <v>321</v>
      </c>
    </row>
    <row r="1395" customFormat="false" ht="15" hidden="false" customHeight="false" outlineLevel="0" collapsed="false">
      <c r="A1395" s="36" t="s">
        <v>1850</v>
      </c>
      <c r="B1395" s="36" t="s">
        <v>809</v>
      </c>
      <c r="C1395" s="36" t="s">
        <v>43</v>
      </c>
      <c r="D1395" s="36" t="s">
        <v>167</v>
      </c>
      <c r="E1395" s="36" t="n">
        <v>6</v>
      </c>
      <c r="F1395" s="36" t="s">
        <v>245</v>
      </c>
      <c r="G1395" s="36" t="s">
        <v>267</v>
      </c>
      <c r="H1395" s="36" t="s">
        <v>132</v>
      </c>
    </row>
    <row r="1396" customFormat="false" ht="15" hidden="false" customHeight="false" outlineLevel="0" collapsed="false">
      <c r="A1396" s="36" t="s">
        <v>1851</v>
      </c>
      <c r="B1396" s="36" t="s">
        <v>756</v>
      </c>
      <c r="C1396" s="36" t="s">
        <v>139</v>
      </c>
      <c r="D1396" s="36" t="s">
        <v>1852</v>
      </c>
      <c r="E1396" s="36" t="n">
        <v>1</v>
      </c>
      <c r="F1396" s="36" t="n">
        <v>36</v>
      </c>
      <c r="G1396" s="36" t="s">
        <v>256</v>
      </c>
      <c r="H1396" s="36" t="s">
        <v>141</v>
      </c>
    </row>
    <row r="1397" customFormat="false" ht="15" hidden="false" customHeight="false" outlineLevel="0" collapsed="false">
      <c r="A1397" s="36" t="s">
        <v>1853</v>
      </c>
      <c r="B1397" s="36" t="s">
        <v>756</v>
      </c>
      <c r="C1397" s="36" t="s">
        <v>43</v>
      </c>
      <c r="D1397" s="36" t="s">
        <v>927</v>
      </c>
      <c r="E1397" s="36" t="n">
        <v>1</v>
      </c>
      <c r="F1397" s="36" t="n">
        <v>280</v>
      </c>
      <c r="G1397" s="36" t="s">
        <v>263</v>
      </c>
      <c r="H1397" s="36" t="s">
        <v>247</v>
      </c>
    </row>
    <row r="1398" customFormat="false" ht="15" hidden="false" customHeight="false" outlineLevel="0" collapsed="false">
      <c r="A1398" s="36" t="s">
        <v>1854</v>
      </c>
      <c r="B1398" s="36" t="s">
        <v>756</v>
      </c>
      <c r="C1398" s="36" t="s">
        <v>43</v>
      </c>
      <c r="D1398" s="36" t="s">
        <v>217</v>
      </c>
      <c r="E1398" s="36" t="n">
        <v>1</v>
      </c>
      <c r="F1398" s="36" t="n">
        <v>85</v>
      </c>
      <c r="G1398" s="36" t="s">
        <v>270</v>
      </c>
      <c r="H1398" s="36" t="s">
        <v>132</v>
      </c>
    </row>
    <row r="1399" customFormat="false" ht="15" hidden="false" customHeight="false" outlineLevel="0" collapsed="false">
      <c r="A1399" s="36" t="s">
        <v>1855</v>
      </c>
      <c r="B1399" s="36" t="s">
        <v>756</v>
      </c>
      <c r="C1399" s="36" t="s">
        <v>43</v>
      </c>
      <c r="D1399" s="36" t="s">
        <v>864</v>
      </c>
      <c r="E1399" s="36" t="n">
        <v>2</v>
      </c>
      <c r="F1399" s="36" t="s">
        <v>1856</v>
      </c>
      <c r="G1399" s="36" t="s">
        <v>256</v>
      </c>
      <c r="H1399" s="36" t="s">
        <v>146</v>
      </c>
    </row>
    <row r="1400" customFormat="false" ht="15" hidden="false" customHeight="false" outlineLevel="0" collapsed="false">
      <c r="A1400" s="36" t="s">
        <v>1857</v>
      </c>
      <c r="B1400" s="37" t="n">
        <v>46274</v>
      </c>
      <c r="C1400" s="36" t="s">
        <v>333</v>
      </c>
      <c r="D1400" s="36" t="s">
        <v>186</v>
      </c>
      <c r="E1400" s="36" t="n">
        <v>6</v>
      </c>
      <c r="F1400" s="36" t="n">
        <v>50</v>
      </c>
      <c r="G1400" s="36" t="s">
        <v>270</v>
      </c>
      <c r="H1400" s="36" t="s">
        <v>321</v>
      </c>
    </row>
    <row r="1401" customFormat="false" ht="15" hidden="false" customHeight="false" outlineLevel="0" collapsed="false">
      <c r="A1401" s="36" t="s">
        <v>1858</v>
      </c>
      <c r="B1401" s="36" t="s">
        <v>756</v>
      </c>
      <c r="C1401" s="36" t="s">
        <v>335</v>
      </c>
      <c r="D1401" s="36" t="s">
        <v>492</v>
      </c>
      <c r="E1401" s="36" t="n">
        <v>4</v>
      </c>
      <c r="F1401" s="36" t="s">
        <v>369</v>
      </c>
      <c r="G1401" s="36" t="s">
        <v>246</v>
      </c>
      <c r="H1401" s="36" t="s">
        <v>146</v>
      </c>
    </row>
    <row r="1402" customFormat="false" ht="15" hidden="false" customHeight="false" outlineLevel="0" collapsed="false">
      <c r="A1402" s="36" t="s">
        <v>1859</v>
      </c>
      <c r="B1402" s="36" t="s">
        <v>809</v>
      </c>
      <c r="C1402" s="36" t="s">
        <v>335</v>
      </c>
      <c r="D1402" s="36" t="s">
        <v>233</v>
      </c>
      <c r="E1402" s="36" t="n">
        <v>4</v>
      </c>
      <c r="F1402" s="36" t="n">
        <v>130</v>
      </c>
      <c r="G1402" s="36" t="s">
        <v>267</v>
      </c>
      <c r="H1402" s="36" t="s">
        <v>140</v>
      </c>
    </row>
    <row r="1403" customFormat="false" ht="15" hidden="false" customHeight="false" outlineLevel="0" collapsed="false">
      <c r="A1403" s="36" t="s">
        <v>1860</v>
      </c>
      <c r="B1403" s="36" t="s">
        <v>809</v>
      </c>
      <c r="C1403" s="36" t="s">
        <v>43</v>
      </c>
      <c r="D1403" s="36" t="s">
        <v>206</v>
      </c>
      <c r="E1403" s="36" t="n">
        <v>2</v>
      </c>
      <c r="F1403" s="36" t="n">
        <v>65</v>
      </c>
      <c r="G1403" s="36" t="s">
        <v>243</v>
      </c>
      <c r="H1403" s="36" t="s">
        <v>131</v>
      </c>
    </row>
    <row r="1404" customFormat="false" ht="15" hidden="false" customHeight="false" outlineLevel="0" collapsed="false">
      <c r="A1404" s="36" t="s">
        <v>1861</v>
      </c>
      <c r="B1404" s="37" t="n">
        <v>46274</v>
      </c>
      <c r="C1404" s="36" t="s">
        <v>335</v>
      </c>
      <c r="D1404" s="36" t="s">
        <v>390</v>
      </c>
      <c r="E1404" s="36" t="n">
        <v>1</v>
      </c>
      <c r="F1404" s="36" t="s">
        <v>292</v>
      </c>
      <c r="G1404" s="36" t="s">
        <v>267</v>
      </c>
      <c r="H1404" s="36" t="s">
        <v>308</v>
      </c>
    </row>
    <row r="1405" customFormat="false" ht="15" hidden="false" customHeight="false" outlineLevel="0" collapsed="false">
      <c r="A1405" s="36" t="s">
        <v>1862</v>
      </c>
      <c r="B1405" s="36" t="s">
        <v>809</v>
      </c>
      <c r="C1405" s="36" t="s">
        <v>43</v>
      </c>
      <c r="D1405" s="36" t="s">
        <v>209</v>
      </c>
      <c r="E1405" s="36" t="n">
        <v>2</v>
      </c>
      <c r="F1405" s="36" t="n">
        <v>190</v>
      </c>
      <c r="G1405" s="36" t="s">
        <v>260</v>
      </c>
      <c r="H1405" s="36" t="s">
        <v>132</v>
      </c>
    </row>
    <row r="1406" customFormat="false" ht="15" hidden="false" customHeight="false" outlineLevel="0" collapsed="false">
      <c r="A1406" s="36" t="s">
        <v>1863</v>
      </c>
      <c r="B1406" s="37" t="n">
        <v>46274</v>
      </c>
      <c r="C1406" s="36" t="s">
        <v>139</v>
      </c>
      <c r="D1406" s="36" t="s">
        <v>186</v>
      </c>
      <c r="E1406" s="36" t="n">
        <v>6</v>
      </c>
      <c r="F1406" s="36" t="s">
        <v>584</v>
      </c>
      <c r="G1406" s="36" t="s">
        <v>246</v>
      </c>
      <c r="H1406" s="36" t="s">
        <v>141</v>
      </c>
    </row>
    <row r="1407" customFormat="false" ht="15" hidden="false" customHeight="false" outlineLevel="0" collapsed="false">
      <c r="A1407" s="36" t="s">
        <v>1864</v>
      </c>
      <c r="B1407" s="36" t="s">
        <v>756</v>
      </c>
      <c r="C1407" s="36" t="s">
        <v>335</v>
      </c>
      <c r="D1407" s="36" t="s">
        <v>152</v>
      </c>
      <c r="E1407" s="36" t="n">
        <v>4</v>
      </c>
      <c r="F1407" s="36" t="n">
        <v>40</v>
      </c>
      <c r="G1407" s="36" t="s">
        <v>243</v>
      </c>
      <c r="H1407" s="36" t="s">
        <v>131</v>
      </c>
    </row>
    <row r="1408" customFormat="false" ht="15" hidden="false" customHeight="false" outlineLevel="0" collapsed="false">
      <c r="A1408" s="36" t="s">
        <v>1865</v>
      </c>
      <c r="B1408" s="36" t="s">
        <v>756</v>
      </c>
      <c r="C1408" s="36" t="s">
        <v>335</v>
      </c>
      <c r="D1408" s="36" t="s">
        <v>167</v>
      </c>
      <c r="E1408" s="36" t="n">
        <v>3</v>
      </c>
      <c r="F1408" s="36" t="n">
        <v>110</v>
      </c>
      <c r="G1408" s="36" t="s">
        <v>256</v>
      </c>
      <c r="H1408" s="36" t="s">
        <v>131</v>
      </c>
    </row>
    <row r="1409" customFormat="false" ht="15" hidden="false" customHeight="false" outlineLevel="0" collapsed="false">
      <c r="A1409" s="36" t="s">
        <v>1866</v>
      </c>
      <c r="B1409" s="36" t="s">
        <v>756</v>
      </c>
      <c r="C1409" s="36" t="s">
        <v>335</v>
      </c>
      <c r="D1409" s="36" t="s">
        <v>1025</v>
      </c>
      <c r="E1409" s="36" t="n">
        <v>3</v>
      </c>
      <c r="F1409" s="36" t="s">
        <v>302</v>
      </c>
      <c r="G1409" s="36" t="s">
        <v>256</v>
      </c>
      <c r="H1409" s="36" t="s">
        <v>247</v>
      </c>
    </row>
    <row r="1410" customFormat="false" ht="15" hidden="false" customHeight="false" outlineLevel="0" collapsed="false">
      <c r="A1410" s="36" t="s">
        <v>1867</v>
      </c>
      <c r="B1410" s="36" t="s">
        <v>809</v>
      </c>
      <c r="C1410" s="36" t="s">
        <v>335</v>
      </c>
      <c r="D1410" s="36" t="s">
        <v>530</v>
      </c>
      <c r="E1410" s="36" t="n">
        <v>1</v>
      </c>
      <c r="F1410" s="36" t="n">
        <v>54</v>
      </c>
      <c r="G1410" s="36" t="s">
        <v>263</v>
      </c>
      <c r="H1410" s="36" t="s">
        <v>321</v>
      </c>
    </row>
    <row r="1411" customFormat="false" ht="15" hidden="false" customHeight="false" outlineLevel="0" collapsed="false">
      <c r="A1411" s="36" t="s">
        <v>1868</v>
      </c>
      <c r="B1411" s="36" t="s">
        <v>809</v>
      </c>
      <c r="C1411" s="36" t="s">
        <v>335</v>
      </c>
      <c r="D1411" s="36" t="s">
        <v>143</v>
      </c>
      <c r="E1411" s="36" t="n">
        <v>1</v>
      </c>
      <c r="F1411" s="36" t="n">
        <v>330</v>
      </c>
      <c r="G1411" s="36" t="s">
        <v>243</v>
      </c>
      <c r="H1411" s="36" t="s">
        <v>308</v>
      </c>
    </row>
    <row r="1412" customFormat="false" ht="15" hidden="false" customHeight="false" outlineLevel="0" collapsed="false">
      <c r="A1412" s="36" t="s">
        <v>1869</v>
      </c>
      <c r="B1412" s="36" t="s">
        <v>756</v>
      </c>
      <c r="C1412" s="36" t="s">
        <v>43</v>
      </c>
      <c r="D1412" s="36" t="s">
        <v>1062</v>
      </c>
      <c r="E1412" s="36" t="n">
        <v>2</v>
      </c>
      <c r="F1412" s="36" t="n">
        <v>85</v>
      </c>
      <c r="G1412" s="36" t="s">
        <v>243</v>
      </c>
      <c r="H1412" s="36" t="s">
        <v>132</v>
      </c>
    </row>
    <row r="1413" customFormat="false" ht="15" hidden="false" customHeight="false" outlineLevel="0" collapsed="false">
      <c r="A1413" s="36" t="s">
        <v>1870</v>
      </c>
      <c r="B1413" s="36" t="s">
        <v>809</v>
      </c>
      <c r="C1413" s="36" t="s">
        <v>43</v>
      </c>
      <c r="D1413" s="36" t="s">
        <v>208</v>
      </c>
      <c r="E1413" s="36" t="n">
        <v>2</v>
      </c>
      <c r="F1413" s="36" t="n">
        <v>280</v>
      </c>
      <c r="G1413" s="36" t="s">
        <v>267</v>
      </c>
      <c r="H1413" s="36" t="s">
        <v>306</v>
      </c>
    </row>
    <row r="1414" customFormat="false" ht="15" hidden="false" customHeight="false" outlineLevel="0" collapsed="false">
      <c r="A1414" s="36" t="s">
        <v>1871</v>
      </c>
      <c r="B1414" s="36" t="s">
        <v>756</v>
      </c>
      <c r="C1414" s="36" t="s">
        <v>333</v>
      </c>
      <c r="D1414" s="36" t="s">
        <v>164</v>
      </c>
      <c r="E1414" s="36"/>
      <c r="F1414" s="36" t="n">
        <v>450</v>
      </c>
      <c r="G1414" s="36" t="s">
        <v>260</v>
      </c>
      <c r="H1414" s="36" t="s">
        <v>132</v>
      </c>
    </row>
    <row r="1415" customFormat="false" ht="15" hidden="false" customHeight="false" outlineLevel="0" collapsed="false">
      <c r="A1415" s="36" t="s">
        <v>1872</v>
      </c>
      <c r="B1415" s="36" t="s">
        <v>756</v>
      </c>
      <c r="C1415" s="36" t="s">
        <v>139</v>
      </c>
      <c r="D1415" s="36" t="s">
        <v>798</v>
      </c>
      <c r="E1415" s="36" t="n">
        <v>1</v>
      </c>
      <c r="F1415" s="36" t="n">
        <v>130</v>
      </c>
      <c r="G1415" s="36" t="s">
        <v>263</v>
      </c>
      <c r="H1415" s="36" t="s">
        <v>141</v>
      </c>
    </row>
    <row r="1416" customFormat="false" ht="15" hidden="false" customHeight="false" outlineLevel="0" collapsed="false">
      <c r="A1416" s="36" t="s">
        <v>1873</v>
      </c>
      <c r="B1416" s="36" t="s">
        <v>756</v>
      </c>
      <c r="C1416" s="36" t="s">
        <v>43</v>
      </c>
      <c r="D1416" s="36" t="s">
        <v>1018</v>
      </c>
      <c r="E1416" s="36" t="n">
        <v>1</v>
      </c>
      <c r="F1416" s="36" t="n">
        <v>65</v>
      </c>
      <c r="G1416" s="36" t="s">
        <v>260</v>
      </c>
      <c r="H1416" s="36" t="s">
        <v>131</v>
      </c>
    </row>
    <row r="1417" customFormat="false" ht="15" hidden="false" customHeight="false" outlineLevel="0" collapsed="false">
      <c r="A1417" s="36" t="s">
        <v>1874</v>
      </c>
      <c r="B1417" s="36" t="s">
        <v>809</v>
      </c>
      <c r="C1417" s="36" t="s">
        <v>43</v>
      </c>
      <c r="D1417" s="36" t="s">
        <v>134</v>
      </c>
      <c r="E1417" s="36" t="n">
        <v>1</v>
      </c>
      <c r="F1417" s="36" t="s">
        <v>552</v>
      </c>
      <c r="G1417" s="36" t="s">
        <v>256</v>
      </c>
      <c r="H1417" s="36" t="s">
        <v>140</v>
      </c>
    </row>
    <row r="1418" customFormat="false" ht="15" hidden="false" customHeight="false" outlineLevel="0" collapsed="false">
      <c r="A1418" s="36" t="s">
        <v>1875</v>
      </c>
      <c r="B1418" s="36" t="s">
        <v>809</v>
      </c>
      <c r="C1418" s="36" t="s">
        <v>43</v>
      </c>
      <c r="D1418" s="36" t="s">
        <v>211</v>
      </c>
      <c r="E1418" s="36" t="n">
        <v>-2</v>
      </c>
      <c r="F1418" s="36" t="s">
        <v>269</v>
      </c>
      <c r="G1418" s="36" t="s">
        <v>251</v>
      </c>
      <c r="H1418" s="36" t="s">
        <v>146</v>
      </c>
    </row>
    <row r="1419" customFormat="false" ht="15" hidden="false" customHeight="false" outlineLevel="0" collapsed="false">
      <c r="A1419" s="36" t="s">
        <v>1876</v>
      </c>
      <c r="B1419" s="36" t="s">
        <v>809</v>
      </c>
      <c r="C1419" s="36" t="s">
        <v>554</v>
      </c>
      <c r="D1419" s="36" t="s">
        <v>189</v>
      </c>
      <c r="E1419" s="36" t="n">
        <v>1</v>
      </c>
      <c r="F1419" s="36" t="s">
        <v>331</v>
      </c>
      <c r="G1419" s="36" t="s">
        <v>246</v>
      </c>
      <c r="H1419" s="36" t="s">
        <v>321</v>
      </c>
    </row>
    <row r="1420" customFormat="false" ht="15" hidden="false" customHeight="false" outlineLevel="0" collapsed="false">
      <c r="A1420" s="36" t="s">
        <v>1877</v>
      </c>
      <c r="B1420" s="36" t="s">
        <v>756</v>
      </c>
      <c r="C1420" s="36" t="s">
        <v>554</v>
      </c>
      <c r="D1420" s="36" t="s">
        <v>201</v>
      </c>
      <c r="E1420" s="36" t="n">
        <v>3</v>
      </c>
      <c r="F1420" s="36" t="s">
        <v>759</v>
      </c>
      <c r="G1420" s="36" t="s">
        <v>243</v>
      </c>
      <c r="H1420" s="36" t="s">
        <v>131</v>
      </c>
    </row>
    <row r="1421" customFormat="false" ht="15" hidden="false" customHeight="false" outlineLevel="0" collapsed="false">
      <c r="A1421" s="36" t="s">
        <v>1878</v>
      </c>
      <c r="B1421" s="36" t="s">
        <v>809</v>
      </c>
      <c r="C1421" s="36" t="s">
        <v>44</v>
      </c>
      <c r="D1421" s="36" t="s">
        <v>678</v>
      </c>
      <c r="E1421" s="36" t="n">
        <v>2</v>
      </c>
      <c r="F1421" s="36" t="s">
        <v>292</v>
      </c>
      <c r="G1421" s="36" t="s">
        <v>260</v>
      </c>
      <c r="H1421" s="36" t="s">
        <v>141</v>
      </c>
    </row>
    <row r="1422" customFormat="false" ht="15" hidden="false" customHeight="false" outlineLevel="0" collapsed="false">
      <c r="A1422" s="36" t="s">
        <v>1879</v>
      </c>
      <c r="B1422" s="36" t="s">
        <v>756</v>
      </c>
      <c r="C1422" s="36" t="s">
        <v>44</v>
      </c>
      <c r="D1422" s="36" t="s">
        <v>154</v>
      </c>
      <c r="E1422" s="36" t="n">
        <v>1</v>
      </c>
      <c r="F1422" s="36" t="n">
        <v>330</v>
      </c>
      <c r="G1422" s="36" t="s">
        <v>267</v>
      </c>
      <c r="H1422" s="36" t="s">
        <v>141</v>
      </c>
    </row>
    <row r="1423" customFormat="false" ht="15" hidden="false" customHeight="false" outlineLevel="0" collapsed="false">
      <c r="A1423" s="36" t="s">
        <v>1880</v>
      </c>
      <c r="B1423" s="36" t="s">
        <v>756</v>
      </c>
      <c r="C1423" s="36" t="s">
        <v>554</v>
      </c>
      <c r="D1423" s="36" t="s">
        <v>142</v>
      </c>
      <c r="E1423" s="36" t="n">
        <v>1</v>
      </c>
      <c r="F1423" s="36" t="s">
        <v>259</v>
      </c>
      <c r="G1423" s="36" t="s">
        <v>267</v>
      </c>
      <c r="H1423" s="36" t="s">
        <v>306</v>
      </c>
    </row>
    <row r="1424" customFormat="false" ht="15" hidden="false" customHeight="false" outlineLevel="0" collapsed="false">
      <c r="A1424" s="36" t="s">
        <v>1881</v>
      </c>
      <c r="B1424" s="36" t="s">
        <v>809</v>
      </c>
      <c r="C1424" s="36" t="s">
        <v>44</v>
      </c>
      <c r="D1424" s="36" t="s">
        <v>198</v>
      </c>
      <c r="E1424" s="36" t="n">
        <v>1</v>
      </c>
      <c r="F1424" s="36" t="n">
        <v>95</v>
      </c>
      <c r="G1424" s="36" t="s">
        <v>263</v>
      </c>
      <c r="H1424" s="36" t="s">
        <v>308</v>
      </c>
    </row>
    <row r="1425" customFormat="false" ht="15" hidden="false" customHeight="false" outlineLevel="0" collapsed="false">
      <c r="A1425" s="36" t="s">
        <v>1882</v>
      </c>
      <c r="B1425" s="36" t="s">
        <v>756</v>
      </c>
      <c r="C1425" s="36" t="s">
        <v>44</v>
      </c>
      <c r="D1425" s="36" t="s">
        <v>561</v>
      </c>
      <c r="E1425" s="36" t="n">
        <v>1</v>
      </c>
      <c r="F1425" s="36" t="s">
        <v>1171</v>
      </c>
      <c r="G1425" s="36" t="s">
        <v>246</v>
      </c>
      <c r="H1425" s="36" t="s">
        <v>141</v>
      </c>
    </row>
    <row r="1426" customFormat="false" ht="15" hidden="false" customHeight="false" outlineLevel="0" collapsed="false">
      <c r="A1426" s="36" t="s">
        <v>1883</v>
      </c>
      <c r="B1426" s="36" t="s">
        <v>756</v>
      </c>
      <c r="C1426" s="36" t="s">
        <v>144</v>
      </c>
      <c r="D1426" s="36" t="s">
        <v>234</v>
      </c>
      <c r="E1426" s="36" t="n">
        <v>1</v>
      </c>
      <c r="F1426" s="36" t="s">
        <v>255</v>
      </c>
      <c r="G1426" s="36" t="s">
        <v>243</v>
      </c>
      <c r="H1426" s="36" t="s">
        <v>141</v>
      </c>
    </row>
    <row r="1427" customFormat="false" ht="15" hidden="false" customHeight="false" outlineLevel="0" collapsed="false">
      <c r="A1427" s="36" t="s">
        <v>1884</v>
      </c>
      <c r="B1427" s="36" t="s">
        <v>756</v>
      </c>
      <c r="C1427" s="36" t="s">
        <v>144</v>
      </c>
      <c r="D1427" s="36" t="s">
        <v>551</v>
      </c>
      <c r="E1427" s="36" t="n">
        <v>2</v>
      </c>
      <c r="F1427" s="36" t="s">
        <v>552</v>
      </c>
      <c r="G1427" s="36" t="s">
        <v>243</v>
      </c>
      <c r="H1427" s="36" t="s">
        <v>141</v>
      </c>
    </row>
    <row r="1428" customFormat="false" ht="15" hidden="false" customHeight="false" outlineLevel="0" collapsed="false">
      <c r="A1428" s="36" t="s">
        <v>1885</v>
      </c>
      <c r="B1428" s="36" t="s">
        <v>756</v>
      </c>
      <c r="C1428" s="36" t="s">
        <v>144</v>
      </c>
      <c r="D1428" s="36" t="s">
        <v>471</v>
      </c>
      <c r="E1428" s="36" t="n">
        <v>2</v>
      </c>
      <c r="F1428" s="36" t="n">
        <v>108</v>
      </c>
      <c r="G1428" s="36" t="s">
        <v>260</v>
      </c>
      <c r="H1428" s="36" t="s">
        <v>141</v>
      </c>
    </row>
    <row r="1429" customFormat="false" ht="15" hidden="false" customHeight="false" outlineLevel="0" collapsed="false">
      <c r="A1429" s="36" t="s">
        <v>1886</v>
      </c>
      <c r="B1429" s="36" t="s">
        <v>756</v>
      </c>
      <c r="C1429" s="36" t="s">
        <v>144</v>
      </c>
      <c r="D1429" s="36" t="s">
        <v>357</v>
      </c>
      <c r="E1429" s="36" t="n">
        <v>1</v>
      </c>
      <c r="F1429" s="36" t="n">
        <v>330</v>
      </c>
      <c r="G1429" s="36" t="s">
        <v>263</v>
      </c>
      <c r="H1429" s="36" t="s">
        <v>131</v>
      </c>
    </row>
    <row r="1430" customFormat="false" ht="15" hidden="false" customHeight="false" outlineLevel="0" collapsed="false">
      <c r="A1430" s="36" t="s">
        <v>1887</v>
      </c>
      <c r="B1430" s="37" t="n">
        <v>46274</v>
      </c>
      <c r="C1430" s="36" t="s">
        <v>144</v>
      </c>
      <c r="D1430" s="36" t="s">
        <v>437</v>
      </c>
      <c r="E1430" s="36" t="n">
        <v>2</v>
      </c>
      <c r="F1430" s="36" t="n">
        <v>330</v>
      </c>
      <c r="G1430" s="36" t="s">
        <v>260</v>
      </c>
      <c r="H1430" s="36" t="s">
        <v>132</v>
      </c>
    </row>
    <row r="1431" customFormat="false" ht="15" hidden="false" customHeight="false" outlineLevel="0" collapsed="false">
      <c r="A1431" s="36" t="s">
        <v>1888</v>
      </c>
      <c r="B1431" s="36" t="s">
        <v>756</v>
      </c>
      <c r="C1431" s="36" t="s">
        <v>375</v>
      </c>
      <c r="D1431" s="36" t="s">
        <v>186</v>
      </c>
      <c r="E1431" s="36" t="n">
        <v>1</v>
      </c>
      <c r="F1431" s="36" t="n">
        <v>50</v>
      </c>
      <c r="G1431" s="36" t="s">
        <v>256</v>
      </c>
      <c r="H1431" s="36" t="s">
        <v>132</v>
      </c>
    </row>
    <row r="1432" customFormat="false" ht="15" hidden="false" customHeight="false" outlineLevel="0" collapsed="false">
      <c r="A1432" s="36" t="s">
        <v>1889</v>
      </c>
      <c r="B1432" s="36" t="s">
        <v>756</v>
      </c>
      <c r="C1432" s="36" t="s">
        <v>44</v>
      </c>
      <c r="D1432" s="36" t="s">
        <v>157</v>
      </c>
      <c r="E1432" s="36" t="n">
        <v>1</v>
      </c>
      <c r="F1432" s="36" t="s">
        <v>380</v>
      </c>
      <c r="G1432" s="36" t="s">
        <v>246</v>
      </c>
      <c r="H1432" s="36" t="s">
        <v>141</v>
      </c>
    </row>
    <row r="1433" customFormat="false" ht="15" hidden="false" customHeight="false" outlineLevel="0" collapsed="false">
      <c r="A1433" s="36" t="s">
        <v>1890</v>
      </c>
      <c r="B1433" s="36" t="s">
        <v>756</v>
      </c>
      <c r="C1433" s="36" t="s">
        <v>375</v>
      </c>
      <c r="D1433" s="36" t="s">
        <v>1309</v>
      </c>
      <c r="E1433" s="36" t="n">
        <v>3</v>
      </c>
      <c r="F1433" s="36" t="n">
        <v>342</v>
      </c>
      <c r="G1433" s="36" t="s">
        <v>243</v>
      </c>
      <c r="H1433" s="36" t="s">
        <v>141</v>
      </c>
    </row>
    <row r="1434" customFormat="false" ht="15" hidden="false" customHeight="false" outlineLevel="0" collapsed="false">
      <c r="A1434" s="36" t="s">
        <v>1891</v>
      </c>
      <c r="B1434" s="36" t="s">
        <v>809</v>
      </c>
      <c r="C1434" s="36" t="s">
        <v>44</v>
      </c>
      <c r="D1434" s="36" t="s">
        <v>157</v>
      </c>
      <c r="E1434" s="36" t="n">
        <v>4</v>
      </c>
      <c r="F1434" s="36" t="n">
        <v>330</v>
      </c>
      <c r="G1434" s="36" t="s">
        <v>251</v>
      </c>
      <c r="H1434" s="36" t="s">
        <v>141</v>
      </c>
    </row>
    <row r="1435" customFormat="false" ht="15" hidden="false" customHeight="false" outlineLevel="0" collapsed="false">
      <c r="A1435" s="36" t="s">
        <v>1892</v>
      </c>
      <c r="B1435" s="36" t="s">
        <v>756</v>
      </c>
      <c r="C1435" s="36" t="s">
        <v>44</v>
      </c>
      <c r="D1435" s="36" t="s">
        <v>727</v>
      </c>
      <c r="E1435" s="36" t="n">
        <v>1</v>
      </c>
      <c r="F1435" s="36" t="s">
        <v>369</v>
      </c>
      <c r="G1435" s="36" t="s">
        <v>251</v>
      </c>
      <c r="H1435" s="36" t="s">
        <v>321</v>
      </c>
    </row>
    <row r="1436" customFormat="false" ht="15" hidden="false" customHeight="false" outlineLevel="0" collapsed="false">
      <c r="A1436" s="36" t="s">
        <v>1893</v>
      </c>
      <c r="B1436" s="36" t="s">
        <v>756</v>
      </c>
      <c r="C1436" s="36" t="s">
        <v>144</v>
      </c>
      <c r="D1436" s="36" t="s">
        <v>559</v>
      </c>
      <c r="E1436" s="36" t="n">
        <v>6</v>
      </c>
      <c r="F1436" s="36" t="s">
        <v>813</v>
      </c>
      <c r="G1436" s="36" t="s">
        <v>270</v>
      </c>
      <c r="H1436" s="36" t="s">
        <v>146</v>
      </c>
    </row>
    <row r="1437" customFormat="false" ht="15" hidden="false" customHeight="false" outlineLevel="0" collapsed="false">
      <c r="A1437" s="36" t="s">
        <v>1894</v>
      </c>
      <c r="B1437" s="37" t="n">
        <v>46274</v>
      </c>
      <c r="C1437" s="36" t="s">
        <v>375</v>
      </c>
      <c r="D1437" s="36" t="s">
        <v>234</v>
      </c>
      <c r="E1437" s="36" t="n">
        <v>1</v>
      </c>
      <c r="F1437" s="36" t="n">
        <v>130</v>
      </c>
      <c r="G1437" s="36" t="s">
        <v>270</v>
      </c>
      <c r="H1437" s="36" t="s">
        <v>321</v>
      </c>
    </row>
    <row r="1438" customFormat="false" ht="15" hidden="false" customHeight="false" outlineLevel="0" collapsed="false">
      <c r="A1438" s="36" t="s">
        <v>1895</v>
      </c>
      <c r="B1438" s="36" t="s">
        <v>809</v>
      </c>
      <c r="C1438" s="36" t="s">
        <v>144</v>
      </c>
      <c r="D1438" s="36" t="s">
        <v>524</v>
      </c>
      <c r="E1438" s="36" t="n">
        <v>2</v>
      </c>
      <c r="F1438" s="36" t="s">
        <v>259</v>
      </c>
      <c r="G1438" s="36" t="s">
        <v>243</v>
      </c>
      <c r="H1438" s="36" t="s">
        <v>146</v>
      </c>
    </row>
    <row r="1439" customFormat="false" ht="15" hidden="false" customHeight="false" outlineLevel="0" collapsed="false">
      <c r="A1439" s="36" t="s">
        <v>1896</v>
      </c>
      <c r="B1439" s="36" t="s">
        <v>756</v>
      </c>
      <c r="C1439" s="36" t="s">
        <v>44</v>
      </c>
      <c r="D1439" s="36" t="s">
        <v>1018</v>
      </c>
      <c r="E1439" s="36" t="n">
        <v>2</v>
      </c>
      <c r="F1439" s="36" t="n">
        <v>65</v>
      </c>
      <c r="G1439" s="36" t="s">
        <v>256</v>
      </c>
      <c r="H1439" s="36" t="s">
        <v>321</v>
      </c>
    </row>
    <row r="1440" customFormat="false" ht="15" hidden="false" customHeight="false" outlineLevel="0" collapsed="false">
      <c r="A1440" s="36" t="s">
        <v>1897</v>
      </c>
      <c r="B1440" s="36" t="s">
        <v>756</v>
      </c>
      <c r="C1440" s="36" t="s">
        <v>144</v>
      </c>
      <c r="D1440" s="36" t="s">
        <v>234</v>
      </c>
      <c r="E1440" s="36" t="n">
        <v>2</v>
      </c>
      <c r="F1440" s="36" t="n">
        <v>130</v>
      </c>
      <c r="G1440" s="36" t="s">
        <v>256</v>
      </c>
      <c r="H1440" s="36" t="s">
        <v>131</v>
      </c>
    </row>
    <row r="1441" customFormat="false" ht="15" hidden="false" customHeight="false" outlineLevel="0" collapsed="false">
      <c r="A1441" s="36" t="s">
        <v>1898</v>
      </c>
      <c r="B1441" s="36" t="s">
        <v>756</v>
      </c>
      <c r="C1441" s="36" t="s">
        <v>144</v>
      </c>
      <c r="D1441" s="36" t="s">
        <v>357</v>
      </c>
      <c r="E1441" s="36" t="n">
        <v>1</v>
      </c>
      <c r="F1441" s="36" t="n">
        <v>330</v>
      </c>
      <c r="G1441" s="36" t="s">
        <v>256</v>
      </c>
      <c r="H1441" s="36" t="s">
        <v>132</v>
      </c>
    </row>
    <row r="1442" customFormat="false" ht="15" hidden="false" customHeight="false" outlineLevel="0" collapsed="false">
      <c r="A1442" s="36" t="s">
        <v>1899</v>
      </c>
      <c r="B1442" s="36" t="s">
        <v>756</v>
      </c>
      <c r="C1442" s="36" t="s">
        <v>44</v>
      </c>
      <c r="D1442" s="36" t="s">
        <v>133</v>
      </c>
      <c r="E1442" s="36" t="n">
        <v>1</v>
      </c>
      <c r="F1442" s="36" t="s">
        <v>552</v>
      </c>
      <c r="G1442" s="36" t="s">
        <v>251</v>
      </c>
      <c r="H1442" s="36" t="s">
        <v>146</v>
      </c>
    </row>
    <row r="1443" customFormat="false" ht="15" hidden="false" customHeight="false" outlineLevel="0" collapsed="false">
      <c r="A1443" s="36" t="s">
        <v>1900</v>
      </c>
      <c r="B1443" s="36" t="s">
        <v>756</v>
      </c>
      <c r="C1443" s="36" t="s">
        <v>45</v>
      </c>
      <c r="D1443" s="36" t="s">
        <v>172</v>
      </c>
      <c r="E1443" s="36" t="n">
        <v>2</v>
      </c>
      <c r="F1443" s="36" t="s">
        <v>319</v>
      </c>
      <c r="G1443" s="36" t="s">
        <v>270</v>
      </c>
      <c r="H1443" s="36" t="s">
        <v>131</v>
      </c>
    </row>
    <row r="1444" customFormat="false" ht="15" hidden="false" customHeight="false" outlineLevel="0" collapsed="false">
      <c r="A1444" s="36" t="s">
        <v>1901</v>
      </c>
      <c r="B1444" s="36" t="s">
        <v>756</v>
      </c>
      <c r="C1444" s="36" t="s">
        <v>417</v>
      </c>
      <c r="D1444" s="36" t="s">
        <v>199</v>
      </c>
      <c r="E1444" s="36" t="n">
        <v>1</v>
      </c>
      <c r="F1444" s="36" t="n">
        <v>210</v>
      </c>
      <c r="G1444" s="36" t="s">
        <v>263</v>
      </c>
      <c r="H1444" s="36" t="s">
        <v>321</v>
      </c>
    </row>
    <row r="1445" customFormat="false" ht="15" hidden="false" customHeight="false" outlineLevel="0" collapsed="false">
      <c r="A1445" s="36" t="s">
        <v>1902</v>
      </c>
      <c r="B1445" s="36" t="s">
        <v>756</v>
      </c>
      <c r="C1445" s="36" t="s">
        <v>45</v>
      </c>
      <c r="D1445" s="36" t="s">
        <v>574</v>
      </c>
      <c r="E1445" s="36" t="n">
        <v>3</v>
      </c>
      <c r="F1445" s="36" t="s">
        <v>742</v>
      </c>
      <c r="G1445" s="36" t="s">
        <v>267</v>
      </c>
      <c r="H1445" s="36" t="s">
        <v>131</v>
      </c>
    </row>
    <row r="1446" customFormat="false" ht="15" hidden="false" customHeight="false" outlineLevel="0" collapsed="false">
      <c r="A1446" s="36" t="s">
        <v>1903</v>
      </c>
      <c r="B1446" s="36" t="s">
        <v>756</v>
      </c>
      <c r="C1446" s="36" t="s">
        <v>45</v>
      </c>
      <c r="D1446" s="36" t="s">
        <v>577</v>
      </c>
      <c r="E1446" s="36" t="n">
        <v>2</v>
      </c>
      <c r="F1446" s="36" t="n">
        <v>360</v>
      </c>
      <c r="G1446" s="36" t="s">
        <v>243</v>
      </c>
      <c r="H1446" s="36" t="s">
        <v>132</v>
      </c>
    </row>
    <row r="1447" customFormat="false" ht="15" hidden="false" customHeight="false" outlineLevel="0" collapsed="false">
      <c r="A1447" s="36" t="s">
        <v>1904</v>
      </c>
      <c r="B1447" s="36" t="s">
        <v>809</v>
      </c>
      <c r="C1447" s="36" t="s">
        <v>153</v>
      </c>
      <c r="D1447" s="36" t="s">
        <v>342</v>
      </c>
      <c r="E1447" s="36" t="n">
        <v>1</v>
      </c>
      <c r="F1447" s="36" t="s">
        <v>319</v>
      </c>
      <c r="G1447" s="36" t="s">
        <v>251</v>
      </c>
      <c r="H1447" s="36" t="s">
        <v>146</v>
      </c>
    </row>
    <row r="1448" customFormat="false" ht="15" hidden="false" customHeight="false" outlineLevel="0" collapsed="false">
      <c r="A1448" s="36" t="s">
        <v>1905</v>
      </c>
      <c r="B1448" s="36" t="s">
        <v>756</v>
      </c>
      <c r="C1448" s="36" t="s">
        <v>417</v>
      </c>
      <c r="D1448" s="36" t="s">
        <v>195</v>
      </c>
      <c r="E1448" s="36" t="n">
        <v>3</v>
      </c>
      <c r="F1448" s="36" t="n">
        <v>60</v>
      </c>
      <c r="G1448" s="36" t="s">
        <v>243</v>
      </c>
      <c r="H1448" s="36" t="s">
        <v>132</v>
      </c>
    </row>
    <row r="1449" customFormat="false" ht="15" hidden="false" customHeight="false" outlineLevel="0" collapsed="false">
      <c r="A1449" s="36" t="s">
        <v>1906</v>
      </c>
      <c r="B1449" s="36" t="s">
        <v>809</v>
      </c>
      <c r="C1449" s="36" t="s">
        <v>419</v>
      </c>
      <c r="D1449" s="36" t="s">
        <v>225</v>
      </c>
      <c r="E1449" s="36" t="n">
        <v>1</v>
      </c>
      <c r="F1449" s="36" t="n">
        <v>350</v>
      </c>
      <c r="G1449" s="36" t="s">
        <v>243</v>
      </c>
      <c r="H1449" s="36" t="s">
        <v>141</v>
      </c>
    </row>
    <row r="1450" customFormat="false" ht="15" hidden="false" customHeight="false" outlineLevel="0" collapsed="false">
      <c r="A1450" s="36" t="s">
        <v>1907</v>
      </c>
      <c r="B1450" s="36" t="s">
        <v>809</v>
      </c>
      <c r="C1450" s="36" t="s">
        <v>153</v>
      </c>
      <c r="D1450" s="36" t="s">
        <v>229</v>
      </c>
      <c r="E1450" s="36" t="n">
        <v>1</v>
      </c>
      <c r="F1450" s="36" t="n">
        <v>80</v>
      </c>
      <c r="G1450" s="36" t="s">
        <v>267</v>
      </c>
      <c r="H1450" s="36" t="s">
        <v>132</v>
      </c>
    </row>
    <row r="1451" customFormat="false" ht="15" hidden="false" customHeight="false" outlineLevel="0" collapsed="false">
      <c r="A1451" s="36" t="s">
        <v>1908</v>
      </c>
      <c r="B1451" s="37" t="n">
        <v>46274</v>
      </c>
      <c r="C1451" s="36" t="s">
        <v>153</v>
      </c>
      <c r="D1451" s="36" t="s">
        <v>176</v>
      </c>
      <c r="E1451" s="36" t="n">
        <v>1</v>
      </c>
      <c r="F1451" s="36" t="n">
        <v>90</v>
      </c>
      <c r="G1451" s="36" t="s">
        <v>260</v>
      </c>
      <c r="H1451" s="36" t="s">
        <v>132</v>
      </c>
    </row>
    <row r="1452" customFormat="false" ht="15" hidden="false" customHeight="false" outlineLevel="0" collapsed="false">
      <c r="A1452" s="36" t="s">
        <v>1909</v>
      </c>
      <c r="B1452" s="36" t="s">
        <v>756</v>
      </c>
      <c r="C1452" s="36" t="s">
        <v>45</v>
      </c>
      <c r="D1452" s="36" t="s">
        <v>174</v>
      </c>
      <c r="E1452" s="36" t="n">
        <v>1</v>
      </c>
      <c r="F1452" s="36" t="s">
        <v>759</v>
      </c>
      <c r="G1452" s="36" t="s">
        <v>270</v>
      </c>
      <c r="H1452" s="36" t="s">
        <v>132</v>
      </c>
    </row>
    <row r="1453" customFormat="false" ht="15" hidden="false" customHeight="false" outlineLevel="0" collapsed="false">
      <c r="A1453" s="36" t="s">
        <v>1910</v>
      </c>
      <c r="B1453" s="36" t="s">
        <v>809</v>
      </c>
      <c r="C1453" s="36" t="s">
        <v>45</v>
      </c>
      <c r="D1453" s="36" t="s">
        <v>798</v>
      </c>
      <c r="E1453" s="36" t="n">
        <v>4</v>
      </c>
      <c r="F1453" s="36" t="s">
        <v>420</v>
      </c>
      <c r="G1453" s="36" t="s">
        <v>256</v>
      </c>
      <c r="H1453" s="36" t="s">
        <v>247</v>
      </c>
    </row>
    <row r="1454" customFormat="false" ht="15" hidden="false" customHeight="false" outlineLevel="0" collapsed="false">
      <c r="A1454" s="36" t="s">
        <v>1911</v>
      </c>
      <c r="B1454" s="36" t="s">
        <v>756</v>
      </c>
      <c r="C1454" s="36" t="s">
        <v>419</v>
      </c>
      <c r="D1454" s="36" t="s">
        <v>998</v>
      </c>
      <c r="E1454" s="36" t="n">
        <v>4</v>
      </c>
      <c r="F1454" s="36" t="s">
        <v>384</v>
      </c>
      <c r="G1454" s="36" t="s">
        <v>267</v>
      </c>
      <c r="H1454" s="36" t="s">
        <v>308</v>
      </c>
    </row>
    <row r="1455" customFormat="false" ht="15" hidden="false" customHeight="false" outlineLevel="0" collapsed="false">
      <c r="A1455" s="36" t="s">
        <v>1912</v>
      </c>
      <c r="B1455" s="36" t="s">
        <v>756</v>
      </c>
      <c r="C1455" s="36" t="s">
        <v>45</v>
      </c>
      <c r="D1455" s="36" t="s">
        <v>233</v>
      </c>
      <c r="E1455" s="36" t="n">
        <v>3</v>
      </c>
      <c r="F1455" s="36" t="n">
        <v>130</v>
      </c>
      <c r="G1455" s="36" t="s">
        <v>246</v>
      </c>
      <c r="H1455" s="36" t="s">
        <v>140</v>
      </c>
    </row>
    <row r="1456" customFormat="false" ht="15" hidden="false" customHeight="false" outlineLevel="0" collapsed="false">
      <c r="A1456" s="36" t="s">
        <v>1730</v>
      </c>
      <c r="B1456" s="36" t="s">
        <v>1288</v>
      </c>
      <c r="C1456" s="36" t="s">
        <v>43</v>
      </c>
      <c r="D1456" s="36" t="s">
        <v>165</v>
      </c>
      <c r="E1456" s="36" t="n">
        <v>6</v>
      </c>
      <c r="F1456" s="36" t="n">
        <v>110</v>
      </c>
      <c r="G1456" s="36" t="s">
        <v>263</v>
      </c>
      <c r="H1456" s="36" t="s">
        <v>247</v>
      </c>
    </row>
    <row r="1457" customFormat="false" ht="15" hidden="false" customHeight="false" outlineLevel="0" collapsed="false">
      <c r="A1457" s="36" t="s">
        <v>1913</v>
      </c>
      <c r="B1457" s="36" t="s">
        <v>809</v>
      </c>
      <c r="C1457" s="36" t="s">
        <v>45</v>
      </c>
      <c r="D1457" s="36" t="s">
        <v>206</v>
      </c>
      <c r="E1457" s="36" t="n">
        <v>1</v>
      </c>
      <c r="F1457" s="36" t="s">
        <v>369</v>
      </c>
      <c r="G1457" s="36" t="s">
        <v>263</v>
      </c>
      <c r="H1457" s="36" t="s">
        <v>308</v>
      </c>
    </row>
    <row r="1458" customFormat="false" ht="15" hidden="false" customHeight="false" outlineLevel="0" collapsed="false">
      <c r="A1458" s="36" t="s">
        <v>1914</v>
      </c>
      <c r="B1458" s="36" t="s">
        <v>756</v>
      </c>
      <c r="C1458" s="36" t="s">
        <v>153</v>
      </c>
      <c r="D1458" s="36" t="s">
        <v>310</v>
      </c>
      <c r="E1458" s="36" t="n">
        <v>3</v>
      </c>
      <c r="F1458" s="36" t="s">
        <v>339</v>
      </c>
      <c r="G1458" s="36" t="s">
        <v>256</v>
      </c>
      <c r="H1458" s="36" t="s">
        <v>141</v>
      </c>
    </row>
    <row r="1459" customFormat="false" ht="15" hidden="false" customHeight="false" outlineLevel="0" collapsed="false">
      <c r="A1459" s="36" t="s">
        <v>1915</v>
      </c>
      <c r="B1459" s="36" t="s">
        <v>756</v>
      </c>
      <c r="C1459" s="36" t="s">
        <v>153</v>
      </c>
      <c r="D1459" s="36" t="s">
        <v>148</v>
      </c>
      <c r="E1459" s="36" t="s">
        <v>651</v>
      </c>
      <c r="F1459" s="36" t="n">
        <v>330</v>
      </c>
      <c r="G1459" s="36" t="s">
        <v>246</v>
      </c>
      <c r="H1459" s="36" t="s">
        <v>247</v>
      </c>
    </row>
    <row r="1460" customFormat="false" ht="15" hidden="false" customHeight="false" outlineLevel="0" collapsed="false">
      <c r="A1460" s="36" t="s">
        <v>1916</v>
      </c>
      <c r="B1460" s="36" t="s">
        <v>756</v>
      </c>
      <c r="C1460" s="36" t="s">
        <v>417</v>
      </c>
      <c r="D1460" s="36" t="s">
        <v>148</v>
      </c>
      <c r="E1460" s="36" t="n">
        <v>2</v>
      </c>
      <c r="F1460" s="36" t="n">
        <v>330</v>
      </c>
      <c r="G1460" s="36" t="s">
        <v>260</v>
      </c>
      <c r="H1460" s="36" t="s">
        <v>131</v>
      </c>
    </row>
    <row r="1461" customFormat="false" ht="15" hidden="false" customHeight="false" outlineLevel="0" collapsed="false">
      <c r="A1461" s="36" t="s">
        <v>1917</v>
      </c>
      <c r="B1461" s="36" t="s">
        <v>756</v>
      </c>
      <c r="C1461" s="36" t="s">
        <v>45</v>
      </c>
      <c r="D1461" s="36" t="s">
        <v>415</v>
      </c>
      <c r="E1461" s="36" t="n">
        <v>3</v>
      </c>
      <c r="F1461" s="36" t="n">
        <v>50</v>
      </c>
      <c r="G1461" s="36" t="s">
        <v>267</v>
      </c>
      <c r="H1461" s="36" t="s">
        <v>141</v>
      </c>
    </row>
    <row r="1462" customFormat="false" ht="15" hidden="false" customHeight="false" outlineLevel="0" collapsed="false">
      <c r="A1462" s="36" t="s">
        <v>1918</v>
      </c>
      <c r="B1462" s="36" t="s">
        <v>756</v>
      </c>
      <c r="C1462" s="36" t="s">
        <v>45</v>
      </c>
      <c r="D1462" s="36" t="s">
        <v>143</v>
      </c>
      <c r="E1462" s="36" t="n">
        <v>3</v>
      </c>
      <c r="F1462" s="36" t="n">
        <v>330</v>
      </c>
      <c r="G1462" s="36" t="s">
        <v>267</v>
      </c>
      <c r="H1462" s="36" t="s">
        <v>141</v>
      </c>
    </row>
    <row r="1463" customFormat="false" ht="15" hidden="false" customHeight="false" outlineLevel="0" collapsed="false">
      <c r="A1463" s="36" t="s">
        <v>1919</v>
      </c>
      <c r="B1463" s="36" t="s">
        <v>756</v>
      </c>
      <c r="C1463" s="36" t="s">
        <v>45</v>
      </c>
      <c r="D1463" s="36" t="s">
        <v>188</v>
      </c>
      <c r="E1463" s="36" t="s">
        <v>1920</v>
      </c>
      <c r="F1463" s="36" t="n">
        <v>85</v>
      </c>
      <c r="G1463" s="36" t="s">
        <v>243</v>
      </c>
      <c r="H1463" s="36" t="s">
        <v>132</v>
      </c>
    </row>
    <row r="1464" customFormat="false" ht="15" hidden="false" customHeight="false" outlineLevel="0" collapsed="false">
      <c r="A1464" s="36" t="s">
        <v>1921</v>
      </c>
      <c r="B1464" s="37" t="n">
        <v>46274</v>
      </c>
      <c r="C1464" s="36" t="s">
        <v>419</v>
      </c>
      <c r="D1464" s="36" t="s">
        <v>234</v>
      </c>
      <c r="E1464" s="36" t="n">
        <v>4</v>
      </c>
      <c r="F1464" s="36" t="s">
        <v>255</v>
      </c>
      <c r="G1464" s="36" t="s">
        <v>263</v>
      </c>
      <c r="H1464" s="36" t="s">
        <v>306</v>
      </c>
    </row>
    <row r="1465" customFormat="false" ht="15" hidden="false" customHeight="false" outlineLevel="0" collapsed="false">
      <c r="A1465" s="36" t="s">
        <v>1922</v>
      </c>
      <c r="B1465" s="36" t="s">
        <v>756</v>
      </c>
      <c r="C1465" s="36" t="s">
        <v>153</v>
      </c>
      <c r="D1465" s="36" t="s">
        <v>148</v>
      </c>
      <c r="E1465" s="36" t="n">
        <v>2</v>
      </c>
      <c r="F1465" s="36" t="n">
        <v>330</v>
      </c>
      <c r="G1465" s="36" t="s">
        <v>260</v>
      </c>
      <c r="H1465" s="36" t="s">
        <v>131</v>
      </c>
    </row>
    <row r="1466" customFormat="false" ht="15" hidden="false" customHeight="false" outlineLevel="0" collapsed="false">
      <c r="A1466" s="36" t="s">
        <v>1923</v>
      </c>
      <c r="B1466" s="36" t="s">
        <v>756</v>
      </c>
      <c r="C1466" s="36" t="s">
        <v>417</v>
      </c>
      <c r="D1466" s="36" t="s">
        <v>625</v>
      </c>
      <c r="E1466" s="36" t="n">
        <v>3</v>
      </c>
      <c r="F1466" s="36" t="s">
        <v>255</v>
      </c>
      <c r="G1466" s="36" t="s">
        <v>243</v>
      </c>
      <c r="H1466" s="36" t="s">
        <v>306</v>
      </c>
    </row>
    <row r="1467" customFormat="false" ht="15" hidden="false" customHeight="false" outlineLevel="0" collapsed="false">
      <c r="A1467" s="36" t="s">
        <v>1924</v>
      </c>
      <c r="B1467" s="36" t="s">
        <v>809</v>
      </c>
      <c r="C1467" s="36" t="s">
        <v>45</v>
      </c>
      <c r="D1467" s="36" t="s">
        <v>605</v>
      </c>
      <c r="E1467" s="36" t="n">
        <v>6</v>
      </c>
      <c r="F1467" s="36" t="n">
        <v>450</v>
      </c>
      <c r="G1467" s="36" t="s">
        <v>260</v>
      </c>
      <c r="H1467" s="36" t="s">
        <v>132</v>
      </c>
    </row>
    <row r="1468" customFormat="false" ht="15" hidden="false" customHeight="false" outlineLevel="0" collapsed="false">
      <c r="A1468" s="36" t="s">
        <v>1030</v>
      </c>
      <c r="B1468" s="36" t="s">
        <v>809</v>
      </c>
      <c r="C1468" s="36" t="s">
        <v>46</v>
      </c>
      <c r="D1468" s="36" t="s">
        <v>188</v>
      </c>
      <c r="E1468" s="36" t="n">
        <v>4</v>
      </c>
      <c r="F1468" s="36" t="n">
        <v>85</v>
      </c>
      <c r="G1468" s="36" t="s">
        <v>243</v>
      </c>
      <c r="H1468" s="36" t="s">
        <v>321</v>
      </c>
    </row>
    <row r="1469" customFormat="false" ht="15" hidden="false" customHeight="false" outlineLevel="0" collapsed="false">
      <c r="A1469" s="36" t="s">
        <v>1925</v>
      </c>
      <c r="B1469" s="36" t="s">
        <v>756</v>
      </c>
      <c r="C1469" s="36" t="s">
        <v>448</v>
      </c>
      <c r="D1469" s="36" t="s">
        <v>181</v>
      </c>
      <c r="E1469" s="36" t="n">
        <v>2</v>
      </c>
      <c r="F1469" s="36" t="s">
        <v>749</v>
      </c>
      <c r="G1469" s="36" t="s">
        <v>251</v>
      </c>
      <c r="H1469" s="36" t="s">
        <v>141</v>
      </c>
    </row>
    <row r="1470" customFormat="false" ht="15" hidden="false" customHeight="false" outlineLevel="0" collapsed="false">
      <c r="A1470" s="36" t="s">
        <v>1926</v>
      </c>
      <c r="B1470" s="36" t="s">
        <v>756</v>
      </c>
      <c r="C1470" s="36" t="s">
        <v>46</v>
      </c>
      <c r="D1470" s="36" t="s">
        <v>158</v>
      </c>
      <c r="E1470" s="36" t="n">
        <v>1</v>
      </c>
      <c r="F1470" s="36" t="s">
        <v>457</v>
      </c>
      <c r="G1470" s="36" t="s">
        <v>260</v>
      </c>
      <c r="H1470" s="36" t="s">
        <v>140</v>
      </c>
    </row>
    <row r="1471" customFormat="false" ht="15" hidden="false" customHeight="false" outlineLevel="0" collapsed="false">
      <c r="A1471" s="36" t="s">
        <v>1927</v>
      </c>
      <c r="B1471" s="36" t="s">
        <v>756</v>
      </c>
      <c r="C1471" s="36" t="s">
        <v>442</v>
      </c>
      <c r="D1471" s="36" t="s">
        <v>285</v>
      </c>
      <c r="E1471" s="36" t="n">
        <v>2</v>
      </c>
      <c r="F1471" s="36" t="s">
        <v>443</v>
      </c>
      <c r="G1471" s="36" t="s">
        <v>243</v>
      </c>
      <c r="H1471" s="36" t="s">
        <v>146</v>
      </c>
    </row>
    <row r="1472" customFormat="false" ht="15" hidden="false" customHeight="false" outlineLevel="0" collapsed="false">
      <c r="A1472" s="36" t="s">
        <v>1928</v>
      </c>
      <c r="B1472" s="36" t="s">
        <v>756</v>
      </c>
      <c r="C1472" s="36" t="s">
        <v>46</v>
      </c>
      <c r="D1472" s="36" t="s">
        <v>158</v>
      </c>
      <c r="E1472" s="36" t="n">
        <v>3</v>
      </c>
      <c r="F1472" s="36" t="n">
        <v>65</v>
      </c>
      <c r="G1472" s="36" t="s">
        <v>256</v>
      </c>
      <c r="H1472" s="36" t="s">
        <v>247</v>
      </c>
    </row>
    <row r="1473" customFormat="false" ht="15" hidden="false" customHeight="false" outlineLevel="0" collapsed="false">
      <c r="A1473" s="36" t="s">
        <v>1929</v>
      </c>
      <c r="B1473" s="36" t="s">
        <v>809</v>
      </c>
      <c r="C1473" s="36" t="s">
        <v>46</v>
      </c>
      <c r="D1473" s="36" t="s">
        <v>556</v>
      </c>
      <c r="E1473" s="36" t="n">
        <v>4</v>
      </c>
      <c r="F1473" s="36" t="n">
        <v>160</v>
      </c>
      <c r="G1473" s="36" t="s">
        <v>263</v>
      </c>
      <c r="H1473" s="36" t="s">
        <v>247</v>
      </c>
    </row>
    <row r="1474" customFormat="false" ht="15" hidden="false" customHeight="false" outlineLevel="0" collapsed="false">
      <c r="A1474" s="36" t="s">
        <v>1930</v>
      </c>
      <c r="B1474" s="36" t="s">
        <v>756</v>
      </c>
      <c r="C1474" s="36" t="s">
        <v>442</v>
      </c>
      <c r="D1474" s="36" t="s">
        <v>405</v>
      </c>
      <c r="E1474" s="36" t="n">
        <v>2</v>
      </c>
      <c r="F1474" s="36" t="s">
        <v>380</v>
      </c>
      <c r="G1474" s="36" t="s">
        <v>251</v>
      </c>
      <c r="H1474" s="36" t="s">
        <v>132</v>
      </c>
    </row>
    <row r="1475" customFormat="false" ht="15" hidden="false" customHeight="false" outlineLevel="0" collapsed="false">
      <c r="A1475" s="36" t="s">
        <v>1931</v>
      </c>
      <c r="B1475" s="36" t="s">
        <v>756</v>
      </c>
      <c r="C1475" s="36" t="s">
        <v>46</v>
      </c>
      <c r="D1475" s="36" t="s">
        <v>716</v>
      </c>
      <c r="E1475" s="36" t="n">
        <v>1</v>
      </c>
      <c r="F1475" s="36" t="n">
        <v>350</v>
      </c>
      <c r="G1475" s="36" t="s">
        <v>260</v>
      </c>
      <c r="H1475" s="36" t="s">
        <v>141</v>
      </c>
    </row>
    <row r="1476" customFormat="false" ht="15" hidden="false" customHeight="false" outlineLevel="0" collapsed="false">
      <c r="A1476" s="36" t="s">
        <v>958</v>
      </c>
      <c r="B1476" s="36" t="s">
        <v>809</v>
      </c>
      <c r="C1476" s="36" t="s">
        <v>448</v>
      </c>
      <c r="D1476" s="36" t="s">
        <v>959</v>
      </c>
      <c r="E1476" s="36" t="n">
        <v>1</v>
      </c>
      <c r="F1476" s="36" t="n">
        <v>95</v>
      </c>
      <c r="G1476" s="36" t="s">
        <v>256</v>
      </c>
      <c r="H1476" s="36" t="s">
        <v>141</v>
      </c>
    </row>
    <row r="1477" customFormat="false" ht="15" hidden="false" customHeight="false" outlineLevel="0" collapsed="false">
      <c r="A1477" s="36" t="s">
        <v>1932</v>
      </c>
      <c r="B1477" s="36" t="s">
        <v>809</v>
      </c>
      <c r="C1477" s="36" t="s">
        <v>442</v>
      </c>
      <c r="D1477" s="36" t="s">
        <v>640</v>
      </c>
      <c r="E1477" s="36" t="n">
        <v>2</v>
      </c>
      <c r="F1477" s="36" t="s">
        <v>331</v>
      </c>
      <c r="G1477" s="36" t="s">
        <v>256</v>
      </c>
      <c r="H1477" s="36" t="s">
        <v>321</v>
      </c>
    </row>
    <row r="1478" customFormat="false" ht="15" hidden="false" customHeight="false" outlineLevel="0" collapsed="false">
      <c r="A1478" s="36" t="s">
        <v>1933</v>
      </c>
      <c r="B1478" s="37" t="n">
        <v>46274</v>
      </c>
      <c r="C1478" s="36" t="s">
        <v>442</v>
      </c>
      <c r="D1478" s="36" t="s">
        <v>218</v>
      </c>
      <c r="E1478" s="36" t="n">
        <v>1</v>
      </c>
      <c r="F1478" s="36" t="s">
        <v>313</v>
      </c>
      <c r="G1478" s="36" t="s">
        <v>251</v>
      </c>
      <c r="H1478" s="36" t="s">
        <v>140</v>
      </c>
    </row>
    <row r="1479" customFormat="false" ht="15" hidden="false" customHeight="false" outlineLevel="0" collapsed="false">
      <c r="A1479" s="36" t="s">
        <v>1934</v>
      </c>
      <c r="B1479" s="36" t="s">
        <v>809</v>
      </c>
      <c r="C1479" s="36" t="s">
        <v>156</v>
      </c>
      <c r="D1479" s="36" t="s">
        <v>208</v>
      </c>
      <c r="E1479" s="36" t="n">
        <v>1</v>
      </c>
      <c r="F1479" s="36" t="n">
        <v>280</v>
      </c>
      <c r="G1479" s="36" t="s">
        <v>256</v>
      </c>
      <c r="H1479" s="36" t="s">
        <v>247</v>
      </c>
    </row>
    <row r="1480" customFormat="false" ht="15" hidden="false" customHeight="false" outlineLevel="0" collapsed="false">
      <c r="A1480" s="36" t="s">
        <v>1935</v>
      </c>
      <c r="B1480" s="36" t="s">
        <v>756</v>
      </c>
      <c r="C1480" s="36" t="s">
        <v>442</v>
      </c>
      <c r="D1480" s="36" t="s">
        <v>646</v>
      </c>
      <c r="E1480" s="36" t="n">
        <v>1</v>
      </c>
      <c r="F1480" s="36" t="s">
        <v>292</v>
      </c>
      <c r="G1480" s="36" t="s">
        <v>260</v>
      </c>
      <c r="H1480" s="36" t="s">
        <v>140</v>
      </c>
    </row>
    <row r="1481" customFormat="false" ht="15" hidden="false" customHeight="false" outlineLevel="0" collapsed="false">
      <c r="A1481" s="36" t="s">
        <v>1936</v>
      </c>
      <c r="B1481" s="36" t="s">
        <v>756</v>
      </c>
      <c r="C1481" s="36" t="s">
        <v>448</v>
      </c>
      <c r="D1481" s="36" t="s">
        <v>148</v>
      </c>
      <c r="E1481" s="36" t="n">
        <v>6</v>
      </c>
      <c r="F1481" s="36" t="n">
        <v>297</v>
      </c>
      <c r="G1481" s="36" t="s">
        <v>270</v>
      </c>
      <c r="H1481" s="36" t="s">
        <v>247</v>
      </c>
    </row>
    <row r="1482" customFormat="false" ht="15" hidden="false" customHeight="false" outlineLevel="0" collapsed="false">
      <c r="A1482" s="36" t="s">
        <v>1937</v>
      </c>
      <c r="B1482" s="36" t="s">
        <v>809</v>
      </c>
      <c r="C1482" s="36" t="s">
        <v>46</v>
      </c>
      <c r="D1482" s="36" t="s">
        <v>696</v>
      </c>
      <c r="E1482" s="36" t="n">
        <v>4</v>
      </c>
      <c r="F1482" s="36" t="n">
        <v>190</v>
      </c>
      <c r="G1482" s="36" t="s">
        <v>243</v>
      </c>
      <c r="H1482" s="36" t="s">
        <v>132</v>
      </c>
    </row>
    <row r="1483" customFormat="false" ht="15" hidden="false" customHeight="false" outlineLevel="0" collapsed="false">
      <c r="A1483" s="36" t="s">
        <v>1938</v>
      </c>
      <c r="B1483" s="36" t="s">
        <v>756</v>
      </c>
      <c r="C1483" s="36" t="s">
        <v>448</v>
      </c>
      <c r="D1483" s="36" t="s">
        <v>382</v>
      </c>
      <c r="E1483" s="36" t="n">
        <v>2</v>
      </c>
      <c r="F1483" s="36" t="s">
        <v>255</v>
      </c>
      <c r="G1483" s="36" t="s">
        <v>267</v>
      </c>
      <c r="H1483" s="36" t="s">
        <v>308</v>
      </c>
    </row>
    <row r="1484" customFormat="false" ht="15" hidden="false" customHeight="false" outlineLevel="0" collapsed="false">
      <c r="A1484" s="36" t="s">
        <v>1939</v>
      </c>
      <c r="B1484" s="36" t="s">
        <v>756</v>
      </c>
      <c r="C1484" s="36" t="s">
        <v>46</v>
      </c>
      <c r="D1484" s="36" t="s">
        <v>798</v>
      </c>
      <c r="E1484" s="36" t="n">
        <v>3</v>
      </c>
      <c r="F1484" s="36" t="n">
        <v>130</v>
      </c>
      <c r="G1484" s="36" t="s">
        <v>256</v>
      </c>
      <c r="H1484" s="36" t="s">
        <v>308</v>
      </c>
    </row>
    <row r="1485" customFormat="false" ht="15" hidden="false" customHeight="false" outlineLevel="0" collapsed="false">
      <c r="A1485" s="36" t="s">
        <v>1940</v>
      </c>
      <c r="B1485" s="36" t="s">
        <v>809</v>
      </c>
      <c r="C1485" s="36" t="s">
        <v>46</v>
      </c>
      <c r="D1485" s="36" t="s">
        <v>727</v>
      </c>
      <c r="E1485" s="36" t="n">
        <v>1</v>
      </c>
      <c r="F1485" s="36" t="n">
        <v>65</v>
      </c>
      <c r="G1485" s="36" t="s">
        <v>267</v>
      </c>
      <c r="H1485" s="36" t="s">
        <v>247</v>
      </c>
    </row>
    <row r="1486" customFormat="false" ht="15" hidden="false" customHeight="false" outlineLevel="0" collapsed="false">
      <c r="A1486" s="36" t="s">
        <v>1941</v>
      </c>
      <c r="B1486" s="36" t="s">
        <v>809</v>
      </c>
      <c r="C1486" s="36" t="s">
        <v>46</v>
      </c>
      <c r="D1486" s="36" t="s">
        <v>179</v>
      </c>
      <c r="E1486" s="36" t="n">
        <v>6</v>
      </c>
      <c r="F1486" s="36" t="n">
        <v>310</v>
      </c>
      <c r="G1486" s="36" t="s">
        <v>251</v>
      </c>
      <c r="H1486" s="36" t="s">
        <v>321</v>
      </c>
    </row>
    <row r="1487" customFormat="false" ht="15" hidden="false" customHeight="false" outlineLevel="0" collapsed="false">
      <c r="A1487" s="36" t="s">
        <v>1942</v>
      </c>
      <c r="B1487" s="36" t="s">
        <v>809</v>
      </c>
      <c r="C1487" s="36" t="s">
        <v>156</v>
      </c>
      <c r="D1487" s="36" t="s">
        <v>147</v>
      </c>
      <c r="E1487" s="36" t="n">
        <v>3</v>
      </c>
      <c r="F1487" s="36" t="s">
        <v>1943</v>
      </c>
      <c r="G1487" s="36" t="s">
        <v>267</v>
      </c>
      <c r="H1487" s="36" t="s">
        <v>321</v>
      </c>
    </row>
    <row r="1488" customFormat="false" ht="15" hidden="false" customHeight="false" outlineLevel="0" collapsed="false">
      <c r="A1488" s="36" t="s">
        <v>1944</v>
      </c>
      <c r="B1488" s="36" t="s">
        <v>756</v>
      </c>
      <c r="C1488" s="36" t="s">
        <v>156</v>
      </c>
      <c r="D1488" s="36" t="s">
        <v>174</v>
      </c>
      <c r="E1488" s="36" t="n">
        <v>6</v>
      </c>
      <c r="F1488" s="36" t="s">
        <v>1306</v>
      </c>
      <c r="G1488" s="36" t="s">
        <v>246</v>
      </c>
      <c r="H1488" s="36" t="s">
        <v>132</v>
      </c>
    </row>
    <row r="1489" customFormat="false" ht="15" hidden="false" customHeight="false" outlineLevel="0" collapsed="false">
      <c r="A1489" s="36" t="s">
        <v>1945</v>
      </c>
      <c r="B1489" s="37" t="n">
        <v>46275</v>
      </c>
      <c r="C1489" s="36" t="s">
        <v>254</v>
      </c>
      <c r="D1489" s="36" t="s">
        <v>194</v>
      </c>
      <c r="E1489" s="36" t="n">
        <v>6</v>
      </c>
      <c r="F1489" s="36" t="n">
        <v>130</v>
      </c>
      <c r="G1489" s="36" t="s">
        <v>270</v>
      </c>
      <c r="H1489" s="36" t="s">
        <v>141</v>
      </c>
    </row>
    <row r="1490" customFormat="false" ht="15" hidden="false" customHeight="false" outlineLevel="0" collapsed="false">
      <c r="A1490" s="36" t="s">
        <v>1946</v>
      </c>
      <c r="B1490" s="37" t="n">
        <v>46275</v>
      </c>
      <c r="C1490" s="36" t="s">
        <v>254</v>
      </c>
      <c r="D1490" s="36" t="s">
        <v>405</v>
      </c>
      <c r="E1490" s="36" t="n">
        <v>3</v>
      </c>
      <c r="F1490" s="36" t="s">
        <v>275</v>
      </c>
      <c r="G1490" s="36" t="s">
        <v>260</v>
      </c>
      <c r="H1490" s="36" t="s">
        <v>145</v>
      </c>
    </row>
    <row r="1491" customFormat="false" ht="15" hidden="false" customHeight="false" outlineLevel="0" collapsed="false">
      <c r="A1491" s="36" t="s">
        <v>1947</v>
      </c>
      <c r="B1491" s="36" t="s">
        <v>1948</v>
      </c>
      <c r="C1491" s="36" t="s">
        <v>42</v>
      </c>
      <c r="D1491" s="36" t="s">
        <v>190</v>
      </c>
      <c r="E1491" s="36" t="n">
        <v>1</v>
      </c>
      <c r="F1491" s="36" t="n">
        <v>195</v>
      </c>
      <c r="G1491" s="36" t="s">
        <v>267</v>
      </c>
      <c r="H1491" s="36" t="s">
        <v>141</v>
      </c>
    </row>
    <row r="1492" customFormat="false" ht="15" hidden="false" customHeight="false" outlineLevel="0" collapsed="false">
      <c r="A1492" s="36" t="s">
        <v>1949</v>
      </c>
      <c r="B1492" s="36" t="s">
        <v>1333</v>
      </c>
      <c r="C1492" s="36" t="s">
        <v>241</v>
      </c>
      <c r="D1492" s="36" t="s">
        <v>931</v>
      </c>
      <c r="E1492" s="36" t="n">
        <v>6</v>
      </c>
      <c r="F1492" s="36" t="n">
        <v>420</v>
      </c>
      <c r="G1492" s="36" t="s">
        <v>246</v>
      </c>
      <c r="H1492" s="36" t="s">
        <v>145</v>
      </c>
    </row>
    <row r="1493" customFormat="false" ht="15" hidden="false" customHeight="false" outlineLevel="0" collapsed="false">
      <c r="A1493" s="36" t="s">
        <v>1950</v>
      </c>
      <c r="B1493" s="36" t="s">
        <v>1948</v>
      </c>
      <c r="C1493" s="36" t="s">
        <v>42</v>
      </c>
      <c r="D1493" s="36" t="s">
        <v>167</v>
      </c>
      <c r="E1493" s="36" t="n">
        <v>2</v>
      </c>
      <c r="F1493" s="36" t="s">
        <v>292</v>
      </c>
      <c r="G1493" s="36" t="s">
        <v>256</v>
      </c>
      <c r="H1493" s="36" t="s">
        <v>308</v>
      </c>
    </row>
    <row r="1494" customFormat="false" ht="15" hidden="false" customHeight="false" outlineLevel="0" collapsed="false">
      <c r="A1494" s="36" t="s">
        <v>1951</v>
      </c>
      <c r="B1494" s="36" t="s">
        <v>1333</v>
      </c>
      <c r="C1494" s="36" t="s">
        <v>130</v>
      </c>
      <c r="D1494" s="36" t="s">
        <v>678</v>
      </c>
      <c r="E1494" s="36" t="n">
        <v>1</v>
      </c>
      <c r="F1494" s="36" t="n">
        <v>110</v>
      </c>
      <c r="G1494" s="36" t="s">
        <v>263</v>
      </c>
      <c r="H1494" s="36" t="s">
        <v>141</v>
      </c>
    </row>
    <row r="1495" customFormat="false" ht="15" hidden="false" customHeight="false" outlineLevel="0" collapsed="false">
      <c r="A1495" s="36" t="s">
        <v>1952</v>
      </c>
      <c r="B1495" s="36" t="s">
        <v>1333</v>
      </c>
      <c r="C1495" s="36" t="s">
        <v>130</v>
      </c>
      <c r="D1495" s="36" t="s">
        <v>478</v>
      </c>
      <c r="E1495" s="36" t="n">
        <v>2</v>
      </c>
      <c r="F1495" s="36" t="n">
        <v>420</v>
      </c>
      <c r="G1495" s="36" t="s">
        <v>263</v>
      </c>
      <c r="H1495" s="36" t="s">
        <v>247</v>
      </c>
    </row>
    <row r="1496" customFormat="false" ht="15" hidden="false" customHeight="false" outlineLevel="0" collapsed="false">
      <c r="A1496" s="36" t="s">
        <v>1953</v>
      </c>
      <c r="B1496" s="37" t="n">
        <v>46275</v>
      </c>
      <c r="C1496" s="36" t="s">
        <v>249</v>
      </c>
      <c r="D1496" s="36" t="s">
        <v>181</v>
      </c>
      <c r="E1496" s="36" t="n">
        <v>1</v>
      </c>
      <c r="F1496" s="36" t="n">
        <v>450</v>
      </c>
      <c r="G1496" s="36" t="s">
        <v>270</v>
      </c>
      <c r="H1496" s="36" t="s">
        <v>321</v>
      </c>
    </row>
    <row r="1497" customFormat="false" ht="15" hidden="false" customHeight="false" outlineLevel="0" collapsed="false">
      <c r="A1497" s="36" t="s">
        <v>1954</v>
      </c>
      <c r="B1497" s="36" t="s">
        <v>1948</v>
      </c>
      <c r="C1497" s="36" t="s">
        <v>294</v>
      </c>
      <c r="D1497" s="36" t="s">
        <v>605</v>
      </c>
      <c r="E1497" s="36" t="n">
        <v>1</v>
      </c>
      <c r="F1497" s="36" t="n">
        <v>450</v>
      </c>
      <c r="G1497" s="36" t="s">
        <v>267</v>
      </c>
      <c r="H1497" s="36" t="s">
        <v>140</v>
      </c>
    </row>
    <row r="1498" customFormat="false" ht="15" hidden="false" customHeight="false" outlineLevel="0" collapsed="false">
      <c r="A1498" s="36" t="s">
        <v>1955</v>
      </c>
      <c r="B1498" s="36" t="s">
        <v>1333</v>
      </c>
      <c r="C1498" s="36" t="s">
        <v>241</v>
      </c>
      <c r="D1498" s="36" t="s">
        <v>168</v>
      </c>
      <c r="E1498" s="36" t="n">
        <v>2</v>
      </c>
      <c r="F1498" s="36" t="n">
        <v>150</v>
      </c>
      <c r="G1498" s="36" t="s">
        <v>267</v>
      </c>
      <c r="H1498" s="36" t="s">
        <v>145</v>
      </c>
    </row>
    <row r="1499" customFormat="false" ht="15" hidden="false" customHeight="false" outlineLevel="0" collapsed="false">
      <c r="A1499" s="36" t="s">
        <v>1956</v>
      </c>
      <c r="B1499" s="36" t="s">
        <v>1333</v>
      </c>
      <c r="C1499" s="36" t="s">
        <v>241</v>
      </c>
      <c r="D1499" s="36" t="s">
        <v>405</v>
      </c>
      <c r="E1499" s="36" t="n">
        <v>1</v>
      </c>
      <c r="F1499" s="36" t="n">
        <v>330</v>
      </c>
      <c r="G1499" s="36" t="s">
        <v>243</v>
      </c>
      <c r="H1499" s="36" t="s">
        <v>308</v>
      </c>
    </row>
    <row r="1500" customFormat="false" ht="15" hidden="false" customHeight="false" outlineLevel="0" collapsed="false">
      <c r="A1500" s="36" t="s">
        <v>1957</v>
      </c>
      <c r="B1500" s="36" t="s">
        <v>1333</v>
      </c>
      <c r="C1500" s="36" t="s">
        <v>241</v>
      </c>
      <c r="D1500" s="36" t="s">
        <v>164</v>
      </c>
      <c r="E1500" s="36" t="n">
        <v>4</v>
      </c>
      <c r="F1500" s="36" t="n">
        <v>450</v>
      </c>
      <c r="G1500" s="36" t="s">
        <v>267</v>
      </c>
      <c r="H1500" s="36" t="s">
        <v>140</v>
      </c>
    </row>
    <row r="1501" customFormat="false" ht="15" hidden="false" customHeight="false" outlineLevel="0" collapsed="false">
      <c r="A1501" s="36" t="s">
        <v>1958</v>
      </c>
      <c r="B1501" s="36" t="s">
        <v>1333</v>
      </c>
      <c r="C1501" s="36" t="s">
        <v>294</v>
      </c>
      <c r="D1501" s="36" t="s">
        <v>876</v>
      </c>
      <c r="E1501" s="36" t="n">
        <v>1</v>
      </c>
      <c r="F1501" s="36" t="s">
        <v>380</v>
      </c>
      <c r="G1501" s="36" t="s">
        <v>251</v>
      </c>
      <c r="H1501" s="36" t="s">
        <v>141</v>
      </c>
    </row>
    <row r="1502" customFormat="false" ht="15" hidden="false" customHeight="false" outlineLevel="0" collapsed="false">
      <c r="A1502" s="36" t="s">
        <v>1959</v>
      </c>
      <c r="B1502" s="36" t="s">
        <v>1333</v>
      </c>
      <c r="C1502" s="36" t="s">
        <v>254</v>
      </c>
      <c r="D1502" s="36" t="s">
        <v>228</v>
      </c>
      <c r="E1502" s="36" t="n">
        <v>6</v>
      </c>
      <c r="F1502" s="36" t="n">
        <v>95</v>
      </c>
      <c r="G1502" s="36" t="s">
        <v>251</v>
      </c>
      <c r="H1502" s="36" t="s">
        <v>132</v>
      </c>
    </row>
    <row r="1503" customFormat="false" ht="15" hidden="false" customHeight="false" outlineLevel="0" collapsed="false">
      <c r="A1503" s="36" t="s">
        <v>1960</v>
      </c>
      <c r="B1503" s="36" t="s">
        <v>1333</v>
      </c>
      <c r="C1503" s="36" t="s">
        <v>241</v>
      </c>
      <c r="D1503" s="36" t="s">
        <v>1018</v>
      </c>
      <c r="E1503" s="36" t="n">
        <v>2</v>
      </c>
      <c r="F1503" s="36" t="s">
        <v>369</v>
      </c>
      <c r="G1503" s="36" t="s">
        <v>267</v>
      </c>
      <c r="H1503" s="36" t="s">
        <v>141</v>
      </c>
    </row>
    <row r="1504" customFormat="false" ht="15" hidden="false" customHeight="false" outlineLevel="0" collapsed="false">
      <c r="A1504" s="36" t="s">
        <v>1609</v>
      </c>
      <c r="B1504" s="36" t="s">
        <v>1550</v>
      </c>
      <c r="C1504" s="36" t="s">
        <v>333</v>
      </c>
      <c r="D1504" s="36" t="s">
        <v>461</v>
      </c>
      <c r="E1504" s="36" t="n">
        <v>1</v>
      </c>
      <c r="F1504" s="36" t="n">
        <v>210</v>
      </c>
      <c r="G1504" s="36" t="s">
        <v>246</v>
      </c>
      <c r="H1504" s="36" t="s">
        <v>132</v>
      </c>
    </row>
    <row r="1505" customFormat="false" ht="15" hidden="false" customHeight="false" outlineLevel="0" collapsed="false">
      <c r="A1505" s="36" t="s">
        <v>1961</v>
      </c>
      <c r="B1505" s="37" t="n">
        <v>46275</v>
      </c>
      <c r="C1505" s="36" t="s">
        <v>42</v>
      </c>
      <c r="D1505" s="36" t="s">
        <v>170</v>
      </c>
      <c r="E1505" s="36" t="s">
        <v>282</v>
      </c>
      <c r="F1505" s="36" t="n">
        <v>360</v>
      </c>
      <c r="G1505" s="36" t="s">
        <v>267</v>
      </c>
      <c r="H1505" s="36" t="s">
        <v>132</v>
      </c>
    </row>
    <row r="1506" customFormat="false" ht="15" hidden="false" customHeight="false" outlineLevel="0" collapsed="false">
      <c r="A1506" s="36" t="s">
        <v>1962</v>
      </c>
      <c r="B1506" s="37" t="n">
        <v>46275</v>
      </c>
      <c r="C1506" s="36" t="s">
        <v>254</v>
      </c>
      <c r="D1506" s="36" t="s">
        <v>168</v>
      </c>
      <c r="E1506" s="36" t="n">
        <v>1</v>
      </c>
      <c r="F1506" s="36" t="n">
        <v>150</v>
      </c>
      <c r="G1506" s="36" t="s">
        <v>246</v>
      </c>
      <c r="H1506" s="36" t="s">
        <v>247</v>
      </c>
    </row>
    <row r="1507" customFormat="false" ht="15" hidden="false" customHeight="false" outlineLevel="0" collapsed="false">
      <c r="A1507" s="36" t="s">
        <v>1963</v>
      </c>
      <c r="B1507" s="36" t="s">
        <v>1333</v>
      </c>
      <c r="C1507" s="36" t="s">
        <v>42</v>
      </c>
      <c r="D1507" s="36" t="s">
        <v>646</v>
      </c>
      <c r="E1507" s="36" t="n">
        <v>6</v>
      </c>
      <c r="F1507" s="36" t="s">
        <v>245</v>
      </c>
      <c r="G1507" s="36" t="s">
        <v>260</v>
      </c>
      <c r="H1507" s="36" t="s">
        <v>132</v>
      </c>
    </row>
    <row r="1508" customFormat="false" ht="15" hidden="false" customHeight="false" outlineLevel="0" collapsed="false">
      <c r="A1508" s="36" t="s">
        <v>1964</v>
      </c>
      <c r="B1508" s="36" t="s">
        <v>1948</v>
      </c>
      <c r="C1508" s="36" t="s">
        <v>42</v>
      </c>
      <c r="D1508" s="36" t="s">
        <v>297</v>
      </c>
      <c r="E1508" s="36" t="n">
        <v>3</v>
      </c>
      <c r="F1508" s="36" t="n">
        <v>310</v>
      </c>
      <c r="G1508" s="36" t="s">
        <v>246</v>
      </c>
      <c r="H1508" s="36" t="s">
        <v>132</v>
      </c>
    </row>
    <row r="1509" customFormat="false" ht="15" hidden="false" customHeight="false" outlineLevel="0" collapsed="false">
      <c r="A1509" s="36" t="s">
        <v>1965</v>
      </c>
      <c r="B1509" s="36" t="s">
        <v>1333</v>
      </c>
      <c r="C1509" s="36" t="s">
        <v>241</v>
      </c>
      <c r="D1509" s="36" t="s">
        <v>142</v>
      </c>
      <c r="E1509" s="36" t="n">
        <v>4</v>
      </c>
      <c r="F1509" s="36" t="n">
        <v>420</v>
      </c>
      <c r="G1509" s="36" t="s">
        <v>246</v>
      </c>
      <c r="H1509" s="36" t="s">
        <v>140</v>
      </c>
    </row>
    <row r="1510" customFormat="false" ht="15" hidden="false" customHeight="false" outlineLevel="0" collapsed="false">
      <c r="A1510" s="36" t="s">
        <v>1966</v>
      </c>
      <c r="B1510" s="36" t="s">
        <v>1333</v>
      </c>
      <c r="C1510" s="36" t="s">
        <v>249</v>
      </c>
      <c r="D1510" s="36" t="s">
        <v>157</v>
      </c>
      <c r="E1510" s="36" t="n">
        <v>4</v>
      </c>
      <c r="F1510" s="36" t="n">
        <v>330</v>
      </c>
      <c r="G1510" s="36" t="s">
        <v>267</v>
      </c>
      <c r="H1510" s="36" t="s">
        <v>146</v>
      </c>
    </row>
    <row r="1511" customFormat="false" ht="15" hidden="false" customHeight="false" outlineLevel="0" collapsed="false">
      <c r="A1511" s="36" t="s">
        <v>1967</v>
      </c>
      <c r="B1511" s="36" t="s">
        <v>1948</v>
      </c>
      <c r="C1511" s="36" t="s">
        <v>249</v>
      </c>
      <c r="D1511" s="36" t="s">
        <v>204</v>
      </c>
      <c r="E1511" s="36" t="n">
        <v>3</v>
      </c>
      <c r="F1511" s="36" t="n">
        <v>130</v>
      </c>
      <c r="G1511" s="36" t="s">
        <v>251</v>
      </c>
      <c r="H1511" s="36" t="s">
        <v>132</v>
      </c>
    </row>
    <row r="1512" customFormat="false" ht="15" hidden="false" customHeight="false" outlineLevel="0" collapsed="false">
      <c r="A1512" s="36" t="s">
        <v>1968</v>
      </c>
      <c r="B1512" s="36" t="s">
        <v>1333</v>
      </c>
      <c r="C1512" s="36" t="s">
        <v>254</v>
      </c>
      <c r="D1512" s="36" t="s">
        <v>798</v>
      </c>
      <c r="E1512" s="36" t="n">
        <v>2</v>
      </c>
      <c r="F1512" s="36" t="n">
        <v>130</v>
      </c>
      <c r="G1512" s="36" t="s">
        <v>246</v>
      </c>
      <c r="H1512" s="36" t="s">
        <v>146</v>
      </c>
    </row>
    <row r="1513" customFormat="false" ht="15" hidden="false" customHeight="false" outlineLevel="0" collapsed="false">
      <c r="A1513" s="36" t="s">
        <v>1969</v>
      </c>
      <c r="B1513" s="36" t="s">
        <v>1333</v>
      </c>
      <c r="C1513" s="36" t="s">
        <v>241</v>
      </c>
      <c r="D1513" s="36" t="s">
        <v>342</v>
      </c>
      <c r="E1513" s="36" t="n">
        <v>2</v>
      </c>
      <c r="F1513" s="36" t="s">
        <v>498</v>
      </c>
      <c r="G1513" s="36" t="s">
        <v>260</v>
      </c>
      <c r="H1513" s="36" t="s">
        <v>141</v>
      </c>
    </row>
    <row r="1514" customFormat="false" ht="15" hidden="false" customHeight="false" outlineLevel="0" collapsed="false">
      <c r="A1514" s="36" t="s">
        <v>1970</v>
      </c>
      <c r="B1514" s="36" t="s">
        <v>1333</v>
      </c>
      <c r="C1514" s="36" t="s">
        <v>130</v>
      </c>
      <c r="D1514" s="36" t="s">
        <v>437</v>
      </c>
      <c r="E1514" s="36" t="n">
        <v>1</v>
      </c>
      <c r="F1514" s="36" t="s">
        <v>275</v>
      </c>
      <c r="G1514" s="36" t="s">
        <v>260</v>
      </c>
      <c r="H1514" s="36" t="s">
        <v>132</v>
      </c>
    </row>
    <row r="1515" customFormat="false" ht="15" hidden="false" customHeight="false" outlineLevel="0" collapsed="false">
      <c r="A1515" s="36" t="s">
        <v>1971</v>
      </c>
      <c r="B1515" s="36" t="s">
        <v>1333</v>
      </c>
      <c r="C1515" s="36" t="s">
        <v>254</v>
      </c>
      <c r="D1515" s="36" t="s">
        <v>233</v>
      </c>
      <c r="E1515" s="36" t="n">
        <v>2</v>
      </c>
      <c r="F1515" s="36" t="n">
        <v>130</v>
      </c>
      <c r="G1515" s="36" t="s">
        <v>243</v>
      </c>
      <c r="H1515" s="36" t="s">
        <v>146</v>
      </c>
    </row>
    <row r="1516" customFormat="false" ht="15" hidden="false" customHeight="false" outlineLevel="0" collapsed="false">
      <c r="A1516" s="36" t="s">
        <v>1972</v>
      </c>
      <c r="B1516" s="36" t="s">
        <v>1333</v>
      </c>
      <c r="C1516" s="36" t="s">
        <v>241</v>
      </c>
      <c r="D1516" s="36" t="s">
        <v>163</v>
      </c>
      <c r="E1516" s="36" t="n">
        <v>3</v>
      </c>
      <c r="F1516" s="36" t="n">
        <v>40</v>
      </c>
      <c r="G1516" s="36" t="s">
        <v>270</v>
      </c>
      <c r="H1516" s="36" t="s">
        <v>132</v>
      </c>
    </row>
    <row r="1517" customFormat="false" ht="15" hidden="false" customHeight="false" outlineLevel="0" collapsed="false">
      <c r="A1517" s="36" t="s">
        <v>1973</v>
      </c>
      <c r="B1517" s="36" t="s">
        <v>1333</v>
      </c>
      <c r="C1517" s="36" t="s">
        <v>42</v>
      </c>
      <c r="D1517" s="36" t="s">
        <v>187</v>
      </c>
      <c r="E1517" s="36" t="n">
        <v>2</v>
      </c>
      <c r="F1517" s="36" t="n">
        <v>150</v>
      </c>
      <c r="G1517" s="36" t="s">
        <v>267</v>
      </c>
      <c r="H1517" s="36" t="s">
        <v>132</v>
      </c>
    </row>
    <row r="1518" customFormat="false" ht="15" hidden="false" customHeight="false" outlineLevel="0" collapsed="false">
      <c r="A1518" s="36" t="s">
        <v>1974</v>
      </c>
      <c r="B1518" s="36" t="s">
        <v>1333</v>
      </c>
      <c r="C1518" s="36" t="s">
        <v>241</v>
      </c>
      <c r="D1518" s="36" t="s">
        <v>234</v>
      </c>
      <c r="E1518" s="36" t="n">
        <v>2</v>
      </c>
      <c r="F1518" s="36" t="s">
        <v>255</v>
      </c>
      <c r="G1518" s="36" t="s">
        <v>270</v>
      </c>
      <c r="H1518" s="36" t="s">
        <v>145</v>
      </c>
    </row>
    <row r="1519" customFormat="false" ht="15" hidden="false" customHeight="false" outlineLevel="0" collapsed="false">
      <c r="A1519" s="36" t="s">
        <v>1975</v>
      </c>
      <c r="B1519" s="36" t="s">
        <v>1948</v>
      </c>
      <c r="C1519" s="36" t="s">
        <v>42</v>
      </c>
      <c r="D1519" s="36" t="s">
        <v>143</v>
      </c>
      <c r="E1519" s="36" t="n">
        <v>2</v>
      </c>
      <c r="F1519" s="36" t="s">
        <v>380</v>
      </c>
      <c r="G1519" s="36" t="s">
        <v>243</v>
      </c>
      <c r="H1519" s="36" t="s">
        <v>247</v>
      </c>
    </row>
    <row r="1520" customFormat="false" ht="15" hidden="false" customHeight="false" outlineLevel="0" collapsed="false">
      <c r="A1520" s="36" t="s">
        <v>1976</v>
      </c>
      <c r="B1520" s="36" t="s">
        <v>1333</v>
      </c>
      <c r="C1520" s="36" t="s">
        <v>249</v>
      </c>
      <c r="D1520" s="36" t="s">
        <v>172</v>
      </c>
      <c r="E1520" s="36" t="n">
        <v>1</v>
      </c>
      <c r="F1520" s="36" t="n">
        <v>60</v>
      </c>
      <c r="G1520" s="36" t="s">
        <v>267</v>
      </c>
      <c r="H1520" s="36" t="s">
        <v>308</v>
      </c>
    </row>
    <row r="1521" customFormat="false" ht="15" hidden="false" customHeight="false" outlineLevel="0" collapsed="false">
      <c r="A1521" s="36" t="s">
        <v>1977</v>
      </c>
      <c r="B1521" s="36" t="s">
        <v>1333</v>
      </c>
      <c r="C1521" s="36" t="s">
        <v>241</v>
      </c>
      <c r="D1521" s="36" t="s">
        <v>382</v>
      </c>
      <c r="E1521" s="36" t="n">
        <v>6</v>
      </c>
      <c r="F1521" s="36" t="n">
        <v>130</v>
      </c>
      <c r="G1521" s="36" t="s">
        <v>267</v>
      </c>
      <c r="H1521" s="36" t="s">
        <v>306</v>
      </c>
    </row>
    <row r="1522" customFormat="false" ht="15" hidden="false" customHeight="false" outlineLevel="0" collapsed="false">
      <c r="A1522" s="36" t="s">
        <v>1978</v>
      </c>
      <c r="B1522" s="36" t="s">
        <v>1333</v>
      </c>
      <c r="C1522" s="36" t="s">
        <v>294</v>
      </c>
      <c r="D1522" s="36" t="s">
        <v>397</v>
      </c>
      <c r="E1522" s="36" t="s">
        <v>403</v>
      </c>
      <c r="F1522" s="36" t="n">
        <v>65</v>
      </c>
      <c r="G1522" s="36" t="s">
        <v>267</v>
      </c>
      <c r="H1522" s="36" t="s">
        <v>132</v>
      </c>
    </row>
    <row r="1523" customFormat="false" ht="15" hidden="false" customHeight="false" outlineLevel="0" collapsed="false">
      <c r="A1523" s="36" t="s">
        <v>1979</v>
      </c>
      <c r="B1523" s="37" t="n">
        <v>46275</v>
      </c>
      <c r="C1523" s="36" t="s">
        <v>130</v>
      </c>
      <c r="D1523" s="36" t="s">
        <v>158</v>
      </c>
      <c r="E1523" s="36" t="n">
        <v>2</v>
      </c>
      <c r="F1523" s="36" t="n">
        <v>65</v>
      </c>
      <c r="G1523" s="36" t="s">
        <v>251</v>
      </c>
      <c r="H1523" s="36" t="s">
        <v>132</v>
      </c>
    </row>
    <row r="1524" customFormat="false" ht="15" hidden="false" customHeight="false" outlineLevel="0" collapsed="false">
      <c r="A1524" s="36" t="s">
        <v>1980</v>
      </c>
      <c r="B1524" s="36" t="s">
        <v>1333</v>
      </c>
      <c r="C1524" s="36" t="s">
        <v>294</v>
      </c>
      <c r="D1524" s="36" t="s">
        <v>405</v>
      </c>
      <c r="E1524" s="36" t="n">
        <v>2</v>
      </c>
      <c r="F1524" s="36" t="n">
        <v>330</v>
      </c>
      <c r="G1524" s="36" t="s">
        <v>263</v>
      </c>
      <c r="H1524" s="36" t="s">
        <v>321</v>
      </c>
    </row>
    <row r="1525" customFormat="false" ht="15" hidden="false" customHeight="false" outlineLevel="0" collapsed="false">
      <c r="A1525" s="36" t="s">
        <v>1981</v>
      </c>
      <c r="B1525" s="36" t="s">
        <v>1333</v>
      </c>
      <c r="C1525" s="36" t="s">
        <v>43</v>
      </c>
      <c r="D1525" s="36" t="s">
        <v>134</v>
      </c>
      <c r="E1525" s="36" t="n">
        <v>6</v>
      </c>
      <c r="F1525" s="36" t="n">
        <v>190</v>
      </c>
      <c r="G1525" s="36" t="s">
        <v>267</v>
      </c>
      <c r="H1525" s="36" t="s">
        <v>146</v>
      </c>
    </row>
    <row r="1526" customFormat="false" ht="15" hidden="false" customHeight="false" outlineLevel="0" collapsed="false">
      <c r="A1526" s="36" t="s">
        <v>1982</v>
      </c>
      <c r="B1526" s="36" t="s">
        <v>1948</v>
      </c>
      <c r="C1526" s="36" t="s">
        <v>43</v>
      </c>
      <c r="D1526" s="36" t="s">
        <v>160</v>
      </c>
      <c r="E1526" s="36" t="n">
        <v>1</v>
      </c>
      <c r="F1526" s="36" t="n">
        <v>120</v>
      </c>
      <c r="G1526" s="36" t="s">
        <v>243</v>
      </c>
      <c r="H1526" s="36" t="s">
        <v>141</v>
      </c>
    </row>
    <row r="1527" customFormat="false" ht="15" hidden="false" customHeight="false" outlineLevel="0" collapsed="false">
      <c r="A1527" s="36" t="s">
        <v>1983</v>
      </c>
      <c r="B1527" s="36" t="s">
        <v>1333</v>
      </c>
      <c r="C1527" s="36" t="s">
        <v>335</v>
      </c>
      <c r="D1527" s="36" t="s">
        <v>342</v>
      </c>
      <c r="E1527" s="36" t="n">
        <v>4</v>
      </c>
      <c r="F1527" s="36" t="s">
        <v>319</v>
      </c>
      <c r="G1527" s="36" t="s">
        <v>270</v>
      </c>
      <c r="H1527" s="36" t="s">
        <v>145</v>
      </c>
    </row>
    <row r="1528" customFormat="false" ht="15" hidden="false" customHeight="false" outlineLevel="0" collapsed="false">
      <c r="A1528" s="36" t="s">
        <v>1984</v>
      </c>
      <c r="B1528" s="36" t="s">
        <v>1948</v>
      </c>
      <c r="C1528" s="36" t="s">
        <v>43</v>
      </c>
      <c r="D1528" s="36" t="s">
        <v>165</v>
      </c>
      <c r="E1528" s="36" t="n">
        <v>2</v>
      </c>
      <c r="F1528" s="36" t="s">
        <v>245</v>
      </c>
      <c r="G1528" s="36" t="s">
        <v>251</v>
      </c>
      <c r="H1528" s="36" t="s">
        <v>306</v>
      </c>
    </row>
    <row r="1529" customFormat="false" ht="15" hidden="false" customHeight="false" outlineLevel="0" collapsed="false">
      <c r="A1529" s="36" t="s">
        <v>1985</v>
      </c>
      <c r="B1529" s="37" t="n">
        <v>46275</v>
      </c>
      <c r="C1529" s="36" t="s">
        <v>43</v>
      </c>
      <c r="D1529" s="36" t="s">
        <v>195</v>
      </c>
      <c r="E1529" s="36" t="n">
        <v>1</v>
      </c>
      <c r="F1529" s="36" t="n">
        <v>60</v>
      </c>
      <c r="G1529" s="36" t="s">
        <v>246</v>
      </c>
      <c r="H1529" s="36" t="s">
        <v>308</v>
      </c>
    </row>
    <row r="1530" customFormat="false" ht="15" hidden="false" customHeight="false" outlineLevel="0" collapsed="false">
      <c r="A1530" s="36" t="s">
        <v>1986</v>
      </c>
      <c r="B1530" s="36" t="s">
        <v>1948</v>
      </c>
      <c r="C1530" s="36" t="s">
        <v>43</v>
      </c>
      <c r="D1530" s="36" t="s">
        <v>461</v>
      </c>
      <c r="E1530" s="36" t="n">
        <v>1</v>
      </c>
      <c r="F1530" s="36" t="s">
        <v>759</v>
      </c>
      <c r="G1530" s="36" t="s">
        <v>260</v>
      </c>
      <c r="H1530" s="36" t="s">
        <v>247</v>
      </c>
    </row>
    <row r="1531" customFormat="false" ht="15" hidden="false" customHeight="false" outlineLevel="0" collapsed="false">
      <c r="A1531" s="36" t="s">
        <v>1987</v>
      </c>
      <c r="B1531" s="36" t="s">
        <v>1948</v>
      </c>
      <c r="C1531" s="36" t="s">
        <v>43</v>
      </c>
      <c r="D1531" s="36" t="s">
        <v>217</v>
      </c>
      <c r="E1531" s="36" t="n">
        <v>1</v>
      </c>
      <c r="F1531" s="36" t="s">
        <v>313</v>
      </c>
      <c r="G1531" s="36" t="s">
        <v>260</v>
      </c>
      <c r="H1531" s="36" t="s">
        <v>141</v>
      </c>
    </row>
    <row r="1532" customFormat="false" ht="15" hidden="false" customHeight="false" outlineLevel="0" collapsed="false">
      <c r="A1532" s="36" t="s">
        <v>1988</v>
      </c>
      <c r="B1532" s="37" t="n">
        <v>46275</v>
      </c>
      <c r="C1532" s="36" t="s">
        <v>333</v>
      </c>
      <c r="D1532" s="36" t="s">
        <v>931</v>
      </c>
      <c r="E1532" s="36" t="n">
        <v>4</v>
      </c>
      <c r="F1532" s="36" t="s">
        <v>259</v>
      </c>
      <c r="G1532" s="36" t="s">
        <v>263</v>
      </c>
      <c r="H1532" s="36" t="s">
        <v>321</v>
      </c>
    </row>
    <row r="1533" customFormat="false" ht="15" hidden="false" customHeight="false" outlineLevel="0" collapsed="false">
      <c r="A1533" s="36" t="s">
        <v>1989</v>
      </c>
      <c r="B1533" s="37" t="n">
        <v>46275</v>
      </c>
      <c r="C1533" s="36" t="s">
        <v>43</v>
      </c>
      <c r="D1533" s="36" t="s">
        <v>181</v>
      </c>
      <c r="E1533" s="36" t="n">
        <v>1</v>
      </c>
      <c r="F1533" s="36" t="n">
        <v>450</v>
      </c>
      <c r="G1533" s="36" t="s">
        <v>267</v>
      </c>
      <c r="H1533" s="36" t="s">
        <v>321</v>
      </c>
    </row>
    <row r="1534" customFormat="false" ht="15" hidden="false" customHeight="false" outlineLevel="0" collapsed="false">
      <c r="A1534" s="36" t="s">
        <v>1990</v>
      </c>
      <c r="B1534" s="36" t="s">
        <v>1333</v>
      </c>
      <c r="C1534" s="36" t="s">
        <v>335</v>
      </c>
      <c r="D1534" s="36" t="s">
        <v>174</v>
      </c>
      <c r="E1534" s="36" t="n">
        <v>4</v>
      </c>
      <c r="F1534" s="36" t="s">
        <v>759</v>
      </c>
      <c r="G1534" s="36" t="s">
        <v>251</v>
      </c>
      <c r="H1534" s="36" t="s">
        <v>132</v>
      </c>
    </row>
    <row r="1535" customFormat="false" ht="15" hidden="false" customHeight="false" outlineLevel="0" collapsed="false">
      <c r="A1535" s="36" t="s">
        <v>1991</v>
      </c>
      <c r="B1535" s="36" t="s">
        <v>1333</v>
      </c>
      <c r="C1535" s="36" t="s">
        <v>43</v>
      </c>
      <c r="D1535" s="36" t="s">
        <v>623</v>
      </c>
      <c r="E1535" s="36" t="n">
        <v>1</v>
      </c>
      <c r="F1535" s="36" t="n">
        <v>190</v>
      </c>
      <c r="G1535" s="36" t="s">
        <v>267</v>
      </c>
      <c r="H1535" s="36" t="s">
        <v>140</v>
      </c>
    </row>
    <row r="1536" customFormat="false" ht="15" hidden="false" customHeight="false" outlineLevel="0" collapsed="false">
      <c r="A1536" s="36" t="s">
        <v>1992</v>
      </c>
      <c r="B1536" s="36" t="s">
        <v>1948</v>
      </c>
      <c r="C1536" s="36" t="s">
        <v>139</v>
      </c>
      <c r="D1536" s="36" t="s">
        <v>178</v>
      </c>
      <c r="E1536" s="36" t="n">
        <v>6</v>
      </c>
      <c r="F1536" s="36" t="n">
        <v>252</v>
      </c>
      <c r="G1536" s="36" t="s">
        <v>256</v>
      </c>
      <c r="H1536" s="36" t="s">
        <v>141</v>
      </c>
    </row>
    <row r="1537" customFormat="false" ht="15" hidden="false" customHeight="false" outlineLevel="0" collapsed="false">
      <c r="A1537" s="36" t="s">
        <v>1993</v>
      </c>
      <c r="B1537" s="36" t="s">
        <v>1333</v>
      </c>
      <c r="C1537" s="36" t="s">
        <v>139</v>
      </c>
      <c r="D1537" s="36" t="s">
        <v>405</v>
      </c>
      <c r="E1537" s="36" t="n">
        <v>6</v>
      </c>
      <c r="F1537" s="36" t="s">
        <v>275</v>
      </c>
      <c r="G1537" s="36" t="s">
        <v>270</v>
      </c>
      <c r="H1537" s="36" t="s">
        <v>146</v>
      </c>
    </row>
    <row r="1538" customFormat="false" ht="15" hidden="false" customHeight="false" outlineLevel="0" collapsed="false">
      <c r="A1538" s="36" t="s">
        <v>1994</v>
      </c>
      <c r="B1538" s="36" t="s">
        <v>1333</v>
      </c>
      <c r="C1538" s="36" t="s">
        <v>335</v>
      </c>
      <c r="D1538" s="36" t="s">
        <v>167</v>
      </c>
      <c r="E1538" s="36" t="n">
        <v>6</v>
      </c>
      <c r="F1538" s="36" t="s">
        <v>245</v>
      </c>
      <c r="G1538" s="36" t="s">
        <v>246</v>
      </c>
      <c r="H1538" s="36" t="s">
        <v>141</v>
      </c>
    </row>
    <row r="1539" customFormat="false" ht="15" hidden="false" customHeight="false" outlineLevel="0" collapsed="false">
      <c r="A1539" s="36" t="s">
        <v>1995</v>
      </c>
      <c r="B1539" s="36" t="s">
        <v>1333</v>
      </c>
      <c r="C1539" s="36" t="s">
        <v>43</v>
      </c>
      <c r="D1539" s="36" t="s">
        <v>876</v>
      </c>
      <c r="E1539" s="36" t="n">
        <v>1</v>
      </c>
      <c r="F1539" s="36" t="s">
        <v>358</v>
      </c>
      <c r="G1539" s="36" t="s">
        <v>243</v>
      </c>
      <c r="H1539" s="36" t="s">
        <v>146</v>
      </c>
    </row>
    <row r="1540" customFormat="false" ht="15" hidden="false" customHeight="false" outlineLevel="0" collapsed="false">
      <c r="A1540" s="36" t="s">
        <v>1996</v>
      </c>
      <c r="B1540" s="36" t="s">
        <v>1333</v>
      </c>
      <c r="C1540" s="36" t="s">
        <v>139</v>
      </c>
      <c r="D1540" s="36" t="s">
        <v>157</v>
      </c>
      <c r="E1540" s="36" t="n">
        <v>1</v>
      </c>
      <c r="F1540" s="36" t="n">
        <v>330</v>
      </c>
      <c r="G1540" s="36" t="s">
        <v>251</v>
      </c>
      <c r="H1540" s="36" t="s">
        <v>146</v>
      </c>
    </row>
    <row r="1541" customFormat="false" ht="15" hidden="false" customHeight="false" outlineLevel="0" collapsed="false">
      <c r="A1541" s="36" t="s">
        <v>1997</v>
      </c>
      <c r="B1541" s="36" t="s">
        <v>1333</v>
      </c>
      <c r="C1541" s="36" t="s">
        <v>43</v>
      </c>
      <c r="D1541" s="36" t="s">
        <v>280</v>
      </c>
      <c r="E1541" s="36" t="n">
        <v>4</v>
      </c>
      <c r="F1541" s="36" t="n">
        <v>330</v>
      </c>
      <c r="G1541" s="36" t="s">
        <v>263</v>
      </c>
      <c r="H1541" s="36" t="s">
        <v>131</v>
      </c>
    </row>
    <row r="1542" customFormat="false" ht="15" hidden="false" customHeight="false" outlineLevel="0" collapsed="false">
      <c r="A1542" s="36" t="s">
        <v>1998</v>
      </c>
      <c r="B1542" s="36" t="s">
        <v>1948</v>
      </c>
      <c r="C1542" s="36" t="s">
        <v>333</v>
      </c>
      <c r="D1542" s="36" t="s">
        <v>208</v>
      </c>
      <c r="E1542" s="36" t="n">
        <v>6</v>
      </c>
      <c r="F1542" s="36" t="n">
        <v>280</v>
      </c>
      <c r="G1542" s="36" t="s">
        <v>260</v>
      </c>
      <c r="H1542" s="36" t="s">
        <v>308</v>
      </c>
    </row>
    <row r="1543" customFormat="false" ht="15" hidden="false" customHeight="false" outlineLevel="0" collapsed="false">
      <c r="A1543" s="36" t="s">
        <v>1999</v>
      </c>
      <c r="B1543" s="36" t="s">
        <v>1333</v>
      </c>
      <c r="C1543" s="36" t="s">
        <v>43</v>
      </c>
      <c r="D1543" s="36" t="s">
        <v>148</v>
      </c>
      <c r="E1543" s="36" t="n">
        <v>1</v>
      </c>
      <c r="F1543" s="36" t="s">
        <v>380</v>
      </c>
      <c r="G1543" s="36" t="s">
        <v>270</v>
      </c>
      <c r="H1543" s="36" t="s">
        <v>146</v>
      </c>
    </row>
    <row r="1544" customFormat="false" ht="15" hidden="false" customHeight="false" outlineLevel="0" collapsed="false">
      <c r="A1544" s="36" t="s">
        <v>2000</v>
      </c>
      <c r="B1544" s="36" t="s">
        <v>1333</v>
      </c>
      <c r="C1544" s="36" t="s">
        <v>43</v>
      </c>
      <c r="D1544" s="36" t="s">
        <v>405</v>
      </c>
      <c r="E1544" s="36" t="n">
        <v>3</v>
      </c>
      <c r="F1544" s="36" t="s">
        <v>380</v>
      </c>
      <c r="G1544" s="36" t="s">
        <v>267</v>
      </c>
      <c r="H1544" s="36" t="s">
        <v>141</v>
      </c>
    </row>
    <row r="1545" customFormat="false" ht="15" hidden="false" customHeight="false" outlineLevel="0" collapsed="false">
      <c r="A1545" s="36" t="s">
        <v>2001</v>
      </c>
      <c r="B1545" s="36" t="s">
        <v>1333</v>
      </c>
      <c r="C1545" s="36" t="s">
        <v>43</v>
      </c>
      <c r="D1545" s="36" t="s">
        <v>1086</v>
      </c>
      <c r="E1545" s="36" t="n">
        <v>1</v>
      </c>
      <c r="F1545" s="36" t="s">
        <v>422</v>
      </c>
      <c r="G1545" s="36" t="s">
        <v>251</v>
      </c>
      <c r="H1545" s="36" t="s">
        <v>141</v>
      </c>
    </row>
    <row r="1546" customFormat="false" ht="15" hidden="false" customHeight="false" outlineLevel="0" collapsed="false">
      <c r="A1546" s="36" t="s">
        <v>2002</v>
      </c>
      <c r="B1546" s="36" t="s">
        <v>1333</v>
      </c>
      <c r="C1546" s="36" t="s">
        <v>333</v>
      </c>
      <c r="D1546" s="36" t="s">
        <v>461</v>
      </c>
      <c r="E1546" s="36" t="n">
        <v>2</v>
      </c>
      <c r="F1546" s="36" t="n">
        <v>210</v>
      </c>
      <c r="G1546" s="36" t="s">
        <v>270</v>
      </c>
      <c r="H1546" s="36" t="s">
        <v>247</v>
      </c>
    </row>
    <row r="1547" customFormat="false" ht="15" hidden="false" customHeight="false" outlineLevel="0" collapsed="false">
      <c r="A1547" s="36" t="s">
        <v>2003</v>
      </c>
      <c r="B1547" s="36" t="s">
        <v>1333</v>
      </c>
      <c r="C1547" s="36" t="s">
        <v>333</v>
      </c>
      <c r="D1547" s="36" t="s">
        <v>295</v>
      </c>
      <c r="E1547" s="36" t="n">
        <v>1</v>
      </c>
      <c r="F1547" s="36" t="s">
        <v>1618</v>
      </c>
      <c r="G1547" s="36" t="s">
        <v>263</v>
      </c>
      <c r="H1547" s="36" t="s">
        <v>247</v>
      </c>
    </row>
    <row r="1548" customFormat="false" ht="15" hidden="false" customHeight="false" outlineLevel="0" collapsed="false">
      <c r="A1548" s="36" t="s">
        <v>2004</v>
      </c>
      <c r="B1548" s="36" t="s">
        <v>1333</v>
      </c>
      <c r="C1548" s="36" t="s">
        <v>139</v>
      </c>
      <c r="D1548" s="36" t="s">
        <v>197</v>
      </c>
      <c r="E1548" s="36" t="n">
        <v>1</v>
      </c>
      <c r="F1548" s="36" t="s">
        <v>319</v>
      </c>
      <c r="G1548" s="36" t="s">
        <v>267</v>
      </c>
      <c r="H1548" s="36" t="s">
        <v>141</v>
      </c>
    </row>
    <row r="1549" customFormat="false" ht="15" hidden="false" customHeight="false" outlineLevel="0" collapsed="false">
      <c r="A1549" s="36" t="s">
        <v>2005</v>
      </c>
      <c r="B1549" s="37" t="n">
        <v>46275</v>
      </c>
      <c r="C1549" s="36" t="s">
        <v>333</v>
      </c>
      <c r="D1549" s="36" t="s">
        <v>1018</v>
      </c>
      <c r="E1549" s="36" t="n">
        <v>2</v>
      </c>
      <c r="F1549" s="36" t="s">
        <v>369</v>
      </c>
      <c r="G1549" s="36" t="s">
        <v>246</v>
      </c>
      <c r="H1549" s="36" t="s">
        <v>141</v>
      </c>
    </row>
    <row r="1550" customFormat="false" ht="15" hidden="false" customHeight="false" outlineLevel="0" collapsed="false">
      <c r="A1550" s="36" t="s">
        <v>2006</v>
      </c>
      <c r="B1550" s="36" t="s">
        <v>1948</v>
      </c>
      <c r="C1550" s="36" t="s">
        <v>335</v>
      </c>
      <c r="D1550" s="36" t="s">
        <v>1025</v>
      </c>
      <c r="E1550" s="36" t="n">
        <v>6</v>
      </c>
      <c r="F1550" s="36" t="s">
        <v>384</v>
      </c>
      <c r="G1550" s="36" t="s">
        <v>260</v>
      </c>
      <c r="H1550" s="36" t="s">
        <v>247</v>
      </c>
    </row>
    <row r="1551" customFormat="false" ht="15" hidden="false" customHeight="false" outlineLevel="0" collapsed="false">
      <c r="A1551" s="36" t="s">
        <v>2007</v>
      </c>
      <c r="B1551" s="36" t="s">
        <v>1333</v>
      </c>
      <c r="C1551" s="36" t="s">
        <v>333</v>
      </c>
      <c r="D1551" s="36" t="s">
        <v>234</v>
      </c>
      <c r="E1551" s="36" t="n">
        <v>1</v>
      </c>
      <c r="F1551" s="36" t="n">
        <v>130</v>
      </c>
      <c r="G1551" s="36" t="s">
        <v>246</v>
      </c>
      <c r="H1551" s="36" t="s">
        <v>146</v>
      </c>
    </row>
    <row r="1552" customFormat="false" ht="15" hidden="false" customHeight="false" outlineLevel="0" collapsed="false">
      <c r="A1552" s="36" t="s">
        <v>2008</v>
      </c>
      <c r="B1552" s="36" t="s">
        <v>1948</v>
      </c>
      <c r="C1552" s="36" t="s">
        <v>43</v>
      </c>
      <c r="D1552" s="36" t="s">
        <v>216</v>
      </c>
      <c r="E1552" s="36" t="n">
        <v>1</v>
      </c>
      <c r="F1552" s="36" t="n">
        <v>50</v>
      </c>
      <c r="G1552" s="36" t="s">
        <v>251</v>
      </c>
      <c r="H1552" s="36" t="s">
        <v>308</v>
      </c>
    </row>
    <row r="1553" customFormat="false" ht="15" hidden="false" customHeight="false" outlineLevel="0" collapsed="false">
      <c r="A1553" s="36" t="s">
        <v>2009</v>
      </c>
      <c r="B1553" s="37" t="n">
        <v>46275</v>
      </c>
      <c r="C1553" s="36" t="s">
        <v>43</v>
      </c>
      <c r="D1553" s="36" t="s">
        <v>138</v>
      </c>
      <c r="E1553" s="36" t="n">
        <v>1</v>
      </c>
      <c r="F1553" s="36" t="s">
        <v>259</v>
      </c>
      <c r="G1553" s="36" t="s">
        <v>260</v>
      </c>
      <c r="H1553" s="36" t="s">
        <v>247</v>
      </c>
    </row>
    <row r="1554" customFormat="false" ht="15" hidden="false" customHeight="false" outlineLevel="0" collapsed="false">
      <c r="A1554" s="36" t="s">
        <v>2010</v>
      </c>
      <c r="B1554" s="36" t="s">
        <v>1948</v>
      </c>
      <c r="C1554" s="36" t="s">
        <v>43</v>
      </c>
      <c r="D1554" s="36" t="s">
        <v>170</v>
      </c>
      <c r="E1554" s="36" t="n">
        <v>1</v>
      </c>
      <c r="F1554" s="36" t="s">
        <v>578</v>
      </c>
      <c r="G1554" s="36" t="s">
        <v>246</v>
      </c>
      <c r="H1554" s="36" t="s">
        <v>132</v>
      </c>
    </row>
    <row r="1555" customFormat="false" ht="15" hidden="false" customHeight="false" outlineLevel="0" collapsed="false">
      <c r="A1555" s="36" t="s">
        <v>2011</v>
      </c>
      <c r="B1555" s="36" t="s">
        <v>1333</v>
      </c>
      <c r="C1555" s="36" t="s">
        <v>139</v>
      </c>
      <c r="D1555" s="36" t="s">
        <v>196</v>
      </c>
      <c r="E1555" s="36" t="n">
        <v>1</v>
      </c>
      <c r="F1555" s="36" t="s">
        <v>443</v>
      </c>
      <c r="G1555" s="36" t="s">
        <v>243</v>
      </c>
      <c r="H1555" s="36" t="s">
        <v>321</v>
      </c>
    </row>
    <row r="1556" customFormat="false" ht="15" hidden="false" customHeight="false" outlineLevel="0" collapsed="false">
      <c r="A1556" s="36" t="s">
        <v>1955</v>
      </c>
      <c r="B1556" s="36" t="s">
        <v>1333</v>
      </c>
      <c r="C1556" s="36" t="s">
        <v>241</v>
      </c>
      <c r="D1556" s="36" t="s">
        <v>168</v>
      </c>
      <c r="E1556" s="36" t="n">
        <v>2</v>
      </c>
      <c r="F1556" s="36" t="n">
        <v>150</v>
      </c>
      <c r="G1556" s="36" t="s">
        <v>267</v>
      </c>
      <c r="H1556" s="36" t="s">
        <v>145</v>
      </c>
    </row>
    <row r="1557" customFormat="false" ht="15" hidden="false" customHeight="false" outlineLevel="0" collapsed="false">
      <c r="A1557" s="36" t="s">
        <v>2012</v>
      </c>
      <c r="B1557" s="36" t="s">
        <v>1333</v>
      </c>
      <c r="C1557" s="36" t="s">
        <v>43</v>
      </c>
      <c r="D1557" s="36" t="s">
        <v>197</v>
      </c>
      <c r="E1557" s="36" t="n">
        <v>-1</v>
      </c>
      <c r="F1557" s="36" t="s">
        <v>344</v>
      </c>
      <c r="G1557" s="36" t="s">
        <v>260</v>
      </c>
      <c r="H1557" s="36" t="s">
        <v>132</v>
      </c>
    </row>
    <row r="1558" customFormat="false" ht="15" hidden="false" customHeight="false" outlineLevel="0" collapsed="false">
      <c r="A1558" s="36" t="s">
        <v>2013</v>
      </c>
      <c r="B1558" s="36" t="s">
        <v>1333</v>
      </c>
      <c r="C1558" s="36" t="s">
        <v>335</v>
      </c>
      <c r="D1558" s="36" t="s">
        <v>382</v>
      </c>
      <c r="E1558" s="36"/>
      <c r="F1558" s="36" t="s">
        <v>420</v>
      </c>
      <c r="G1558" s="36" t="s">
        <v>260</v>
      </c>
      <c r="H1558" s="36" t="s">
        <v>321</v>
      </c>
    </row>
    <row r="1559" customFormat="false" ht="15" hidden="false" customHeight="false" outlineLevel="0" collapsed="false">
      <c r="A1559" s="36" t="s">
        <v>2014</v>
      </c>
      <c r="B1559" s="36" t="s">
        <v>1948</v>
      </c>
      <c r="C1559" s="36" t="s">
        <v>43</v>
      </c>
      <c r="D1559" s="36" t="s">
        <v>148</v>
      </c>
      <c r="E1559" s="36" t="n">
        <v>1</v>
      </c>
      <c r="F1559" s="36" t="n">
        <v>330</v>
      </c>
      <c r="G1559" s="36" t="s">
        <v>246</v>
      </c>
      <c r="H1559" s="36" t="s">
        <v>146</v>
      </c>
    </row>
    <row r="1560" customFormat="false" ht="15" hidden="false" customHeight="false" outlineLevel="0" collapsed="false">
      <c r="A1560" s="36" t="s">
        <v>2015</v>
      </c>
      <c r="B1560" s="36" t="s">
        <v>1333</v>
      </c>
      <c r="C1560" s="36" t="s">
        <v>44</v>
      </c>
      <c r="D1560" s="36" t="s">
        <v>461</v>
      </c>
      <c r="E1560" s="36" t="n">
        <v>4</v>
      </c>
      <c r="F1560" s="36" t="s">
        <v>759</v>
      </c>
      <c r="G1560" s="36" t="s">
        <v>246</v>
      </c>
      <c r="H1560" s="36" t="s">
        <v>132</v>
      </c>
    </row>
    <row r="1561" customFormat="false" ht="15" hidden="false" customHeight="false" outlineLevel="0" collapsed="false">
      <c r="A1561" s="36" t="s">
        <v>2016</v>
      </c>
      <c r="B1561" s="36" t="s">
        <v>1948</v>
      </c>
      <c r="C1561" s="36" t="s">
        <v>375</v>
      </c>
      <c r="D1561" s="36" t="s">
        <v>218</v>
      </c>
      <c r="E1561" s="36" t="n">
        <v>6</v>
      </c>
      <c r="F1561" s="36" t="n">
        <v>85</v>
      </c>
      <c r="G1561" s="36" t="s">
        <v>246</v>
      </c>
      <c r="H1561" s="36" t="s">
        <v>321</v>
      </c>
    </row>
    <row r="1562" customFormat="false" ht="15" hidden="false" customHeight="false" outlineLevel="0" collapsed="false">
      <c r="A1562" s="36" t="s">
        <v>2017</v>
      </c>
      <c r="B1562" s="36" t="s">
        <v>1948</v>
      </c>
      <c r="C1562" s="36" t="s">
        <v>44</v>
      </c>
      <c r="D1562" s="36" t="s">
        <v>217</v>
      </c>
      <c r="E1562" s="36" t="n">
        <v>3</v>
      </c>
      <c r="F1562" s="36" t="s">
        <v>466</v>
      </c>
      <c r="G1562" s="36" t="s">
        <v>260</v>
      </c>
      <c r="H1562" s="36" t="s">
        <v>132</v>
      </c>
    </row>
    <row r="1563" customFormat="false" ht="15" hidden="false" customHeight="false" outlineLevel="0" collapsed="false">
      <c r="A1563" s="36" t="s">
        <v>2018</v>
      </c>
      <c r="B1563" s="36" t="s">
        <v>1948</v>
      </c>
      <c r="C1563" s="36" t="s">
        <v>375</v>
      </c>
      <c r="D1563" s="36" t="s">
        <v>197</v>
      </c>
      <c r="E1563" s="36" t="n">
        <v>6</v>
      </c>
      <c r="F1563" s="36" t="s">
        <v>344</v>
      </c>
      <c r="G1563" s="36" t="s">
        <v>256</v>
      </c>
      <c r="H1563" s="36" t="s">
        <v>308</v>
      </c>
    </row>
    <row r="1564" customFormat="false" ht="15" hidden="false" customHeight="false" outlineLevel="0" collapsed="false">
      <c r="A1564" s="36" t="s">
        <v>2019</v>
      </c>
      <c r="B1564" s="36" t="s">
        <v>1948</v>
      </c>
      <c r="C1564" s="36" t="s">
        <v>144</v>
      </c>
      <c r="D1564" s="36" t="s">
        <v>931</v>
      </c>
      <c r="E1564" s="36" t="n">
        <v>-2</v>
      </c>
      <c r="F1564" s="36" t="n">
        <v>420</v>
      </c>
      <c r="G1564" s="36" t="s">
        <v>243</v>
      </c>
      <c r="H1564" s="36" t="s">
        <v>140</v>
      </c>
    </row>
    <row r="1565" customFormat="false" ht="15" hidden="false" customHeight="false" outlineLevel="0" collapsed="false">
      <c r="A1565" s="36" t="s">
        <v>2020</v>
      </c>
      <c r="B1565" s="36" t="s">
        <v>1333</v>
      </c>
      <c r="C1565" s="36" t="s">
        <v>375</v>
      </c>
      <c r="D1565" s="36" t="s">
        <v>515</v>
      </c>
      <c r="E1565" s="36" t="n">
        <v>1</v>
      </c>
      <c r="F1565" s="36" t="n">
        <v>130</v>
      </c>
      <c r="G1565" s="36" t="s">
        <v>263</v>
      </c>
      <c r="H1565" s="36" t="s">
        <v>321</v>
      </c>
    </row>
    <row r="1566" customFormat="false" ht="15" hidden="false" customHeight="false" outlineLevel="0" collapsed="false">
      <c r="A1566" s="36" t="s">
        <v>2021</v>
      </c>
      <c r="B1566" s="36" t="s">
        <v>1333</v>
      </c>
      <c r="C1566" s="36" t="s">
        <v>368</v>
      </c>
      <c r="D1566" s="36" t="s">
        <v>280</v>
      </c>
      <c r="E1566" s="36" t="n">
        <v>6</v>
      </c>
      <c r="F1566" s="36" t="n">
        <v>330</v>
      </c>
      <c r="G1566" s="36" t="s">
        <v>263</v>
      </c>
      <c r="H1566" s="36" t="s">
        <v>132</v>
      </c>
    </row>
    <row r="1567" customFormat="false" ht="15" hidden="false" customHeight="false" outlineLevel="0" collapsed="false">
      <c r="A1567" s="36" t="s">
        <v>2022</v>
      </c>
      <c r="B1567" s="36" t="s">
        <v>1333</v>
      </c>
      <c r="C1567" s="36" t="s">
        <v>144</v>
      </c>
      <c r="D1567" s="36" t="s">
        <v>216</v>
      </c>
      <c r="E1567" s="36" t="n">
        <v>6</v>
      </c>
      <c r="F1567" s="36" t="s">
        <v>584</v>
      </c>
      <c r="G1567" s="36" t="s">
        <v>243</v>
      </c>
      <c r="H1567" s="36" t="s">
        <v>321</v>
      </c>
    </row>
    <row r="1568" customFormat="false" ht="15" hidden="false" customHeight="false" outlineLevel="0" collapsed="false">
      <c r="A1568" s="36" t="s">
        <v>2023</v>
      </c>
      <c r="B1568" s="36" t="s">
        <v>1333</v>
      </c>
      <c r="C1568" s="36" t="s">
        <v>554</v>
      </c>
      <c r="D1568" s="36" t="s">
        <v>143</v>
      </c>
      <c r="E1568" s="36" t="n">
        <v>6</v>
      </c>
      <c r="F1568" s="36" t="n">
        <v>330</v>
      </c>
      <c r="G1568" s="36" t="s">
        <v>243</v>
      </c>
      <c r="H1568" s="36" t="s">
        <v>141</v>
      </c>
    </row>
    <row r="1569" customFormat="false" ht="15" hidden="false" customHeight="false" outlineLevel="0" collapsed="false">
      <c r="A1569" s="36" t="s">
        <v>2024</v>
      </c>
      <c r="B1569" s="37" t="n">
        <v>46275</v>
      </c>
      <c r="C1569" s="36" t="s">
        <v>368</v>
      </c>
      <c r="D1569" s="36" t="s">
        <v>228</v>
      </c>
      <c r="E1569" s="36" t="n">
        <v>1</v>
      </c>
      <c r="F1569" s="36" t="n">
        <v>95</v>
      </c>
      <c r="G1569" s="36" t="s">
        <v>270</v>
      </c>
      <c r="H1569" s="36" t="s">
        <v>247</v>
      </c>
    </row>
    <row r="1570" customFormat="false" ht="15" hidden="false" customHeight="false" outlineLevel="0" collapsed="false">
      <c r="A1570" s="36" t="s">
        <v>2025</v>
      </c>
      <c r="B1570" s="36" t="s">
        <v>1333</v>
      </c>
      <c r="C1570" s="36" t="s">
        <v>44</v>
      </c>
      <c r="D1570" s="36" t="s">
        <v>160</v>
      </c>
      <c r="E1570" s="36" t="n">
        <v>2</v>
      </c>
      <c r="F1570" s="36" t="n">
        <v>120</v>
      </c>
      <c r="G1570" s="36" t="s">
        <v>270</v>
      </c>
      <c r="H1570" s="36" t="s">
        <v>141</v>
      </c>
    </row>
    <row r="1571" customFormat="false" ht="15" hidden="false" customHeight="false" outlineLevel="0" collapsed="false">
      <c r="A1571" s="36" t="s">
        <v>2026</v>
      </c>
      <c r="B1571" s="36" t="s">
        <v>1333</v>
      </c>
      <c r="C1571" s="36" t="s">
        <v>44</v>
      </c>
      <c r="D1571" s="36" t="s">
        <v>280</v>
      </c>
      <c r="E1571" s="36" t="n">
        <v>2</v>
      </c>
      <c r="F1571" s="36" t="n">
        <v>330</v>
      </c>
      <c r="G1571" s="36" t="s">
        <v>260</v>
      </c>
      <c r="H1571" s="36" t="s">
        <v>247</v>
      </c>
    </row>
    <row r="1572" customFormat="false" ht="15" hidden="false" customHeight="false" outlineLevel="0" collapsed="false">
      <c r="A1572" s="36" t="s">
        <v>2027</v>
      </c>
      <c r="B1572" s="36" t="s">
        <v>1333</v>
      </c>
      <c r="C1572" s="36" t="s">
        <v>44</v>
      </c>
      <c r="D1572" s="36" t="s">
        <v>337</v>
      </c>
      <c r="E1572" s="36" t="n">
        <v>1</v>
      </c>
      <c r="F1572" s="36" t="s">
        <v>584</v>
      </c>
      <c r="G1572" s="36" t="s">
        <v>270</v>
      </c>
      <c r="H1572" s="36" t="s">
        <v>140</v>
      </c>
    </row>
    <row r="1573" customFormat="false" ht="15" hidden="false" customHeight="false" outlineLevel="0" collapsed="false">
      <c r="A1573" s="36" t="s">
        <v>2028</v>
      </c>
      <c r="B1573" s="36" t="s">
        <v>1333</v>
      </c>
      <c r="C1573" s="36" t="s">
        <v>44</v>
      </c>
      <c r="D1573" s="36" t="s">
        <v>235</v>
      </c>
      <c r="E1573" s="36" t="n">
        <v>2</v>
      </c>
      <c r="F1573" s="36" t="s">
        <v>369</v>
      </c>
      <c r="G1573" s="36" t="s">
        <v>246</v>
      </c>
      <c r="H1573" s="36" t="s">
        <v>132</v>
      </c>
    </row>
    <row r="1574" customFormat="false" ht="15" hidden="false" customHeight="false" outlineLevel="0" collapsed="false">
      <c r="A1574" s="36" t="s">
        <v>2029</v>
      </c>
      <c r="B1574" s="36" t="s">
        <v>1948</v>
      </c>
      <c r="C1574" s="36" t="s">
        <v>144</v>
      </c>
      <c r="D1574" s="36" t="s">
        <v>158</v>
      </c>
      <c r="E1574" s="36" t="n">
        <v>4</v>
      </c>
      <c r="F1574" s="36" t="s">
        <v>457</v>
      </c>
      <c r="G1574" s="36" t="s">
        <v>260</v>
      </c>
      <c r="H1574" s="36" t="s">
        <v>308</v>
      </c>
    </row>
    <row r="1575" customFormat="false" ht="15" hidden="false" customHeight="false" outlineLevel="0" collapsed="false">
      <c r="A1575" s="36" t="s">
        <v>2030</v>
      </c>
      <c r="B1575" s="36" t="s">
        <v>1333</v>
      </c>
      <c r="C1575" s="36" t="s">
        <v>368</v>
      </c>
      <c r="D1575" s="36" t="s">
        <v>397</v>
      </c>
      <c r="E1575" s="36" t="n">
        <v>2</v>
      </c>
      <c r="F1575" s="36" t="n">
        <v>58</v>
      </c>
      <c r="G1575" s="36" t="s">
        <v>246</v>
      </c>
      <c r="H1575" s="36" t="s">
        <v>141</v>
      </c>
    </row>
    <row r="1576" customFormat="false" ht="15" hidden="false" customHeight="false" outlineLevel="0" collapsed="false">
      <c r="A1576" s="36" t="s">
        <v>1787</v>
      </c>
      <c r="B1576" s="36" t="s">
        <v>1333</v>
      </c>
      <c r="C1576" s="36" t="s">
        <v>368</v>
      </c>
      <c r="D1576" s="36" t="s">
        <v>233</v>
      </c>
      <c r="E1576" s="36" t="n">
        <v>4</v>
      </c>
      <c r="F1576" s="36" t="s">
        <v>420</v>
      </c>
      <c r="G1576" s="36" t="s">
        <v>263</v>
      </c>
      <c r="H1576" s="36" t="s">
        <v>132</v>
      </c>
    </row>
    <row r="1577" customFormat="false" ht="15" hidden="false" customHeight="false" outlineLevel="0" collapsed="false">
      <c r="A1577" s="36" t="s">
        <v>2031</v>
      </c>
      <c r="B1577" s="36" t="s">
        <v>1333</v>
      </c>
      <c r="C1577" s="36" t="s">
        <v>144</v>
      </c>
      <c r="D1577" s="36" t="s">
        <v>864</v>
      </c>
      <c r="E1577" s="36" t="n">
        <v>1</v>
      </c>
      <c r="F1577" s="36" t="n">
        <v>40</v>
      </c>
      <c r="G1577" s="36" t="s">
        <v>260</v>
      </c>
      <c r="H1577" s="36" t="s">
        <v>321</v>
      </c>
    </row>
    <row r="1578" customFormat="false" ht="15" hidden="false" customHeight="false" outlineLevel="0" collapsed="false">
      <c r="A1578" s="36" t="s">
        <v>2032</v>
      </c>
      <c r="B1578" s="36" t="s">
        <v>1948</v>
      </c>
      <c r="C1578" s="36" t="s">
        <v>368</v>
      </c>
      <c r="D1578" s="36" t="s">
        <v>225</v>
      </c>
      <c r="E1578" s="36" t="n">
        <v>1</v>
      </c>
      <c r="F1578" s="36" t="s">
        <v>443</v>
      </c>
      <c r="G1578" s="36" t="s">
        <v>243</v>
      </c>
      <c r="H1578" s="36" t="s">
        <v>141</v>
      </c>
    </row>
    <row r="1579" customFormat="false" ht="15" hidden="false" customHeight="false" outlineLevel="0" collapsed="false">
      <c r="A1579" s="36" t="s">
        <v>1347</v>
      </c>
      <c r="B1579" s="36" t="s">
        <v>903</v>
      </c>
      <c r="C1579" s="36" t="s">
        <v>46</v>
      </c>
      <c r="D1579" s="36" t="s">
        <v>203</v>
      </c>
      <c r="E1579" s="36" t="n">
        <v>1</v>
      </c>
      <c r="F1579" s="36" t="n">
        <v>90</v>
      </c>
      <c r="G1579" s="36" t="s">
        <v>260</v>
      </c>
      <c r="H1579" s="36" t="s">
        <v>132</v>
      </c>
    </row>
    <row r="1580" customFormat="false" ht="15" hidden="false" customHeight="false" outlineLevel="0" collapsed="false">
      <c r="A1580" s="36" t="s">
        <v>2033</v>
      </c>
      <c r="B1580" s="36" t="s">
        <v>1948</v>
      </c>
      <c r="C1580" s="36" t="s">
        <v>368</v>
      </c>
      <c r="D1580" s="36" t="s">
        <v>2034</v>
      </c>
      <c r="E1580" s="36" t="n">
        <v>2</v>
      </c>
      <c r="F1580" s="36" t="n">
        <v>310</v>
      </c>
      <c r="G1580" s="36" t="s">
        <v>246</v>
      </c>
      <c r="H1580" s="36" t="s">
        <v>132</v>
      </c>
    </row>
    <row r="1581" customFormat="false" ht="15" hidden="false" customHeight="false" outlineLevel="0" collapsed="false">
      <c r="A1581" s="36" t="s">
        <v>1769</v>
      </c>
      <c r="B1581" s="37" t="n">
        <v>46273</v>
      </c>
      <c r="C1581" s="36" t="s">
        <v>45</v>
      </c>
      <c r="D1581" s="36" t="s">
        <v>290</v>
      </c>
      <c r="E1581" s="36" t="n">
        <v>4</v>
      </c>
      <c r="F1581" s="36" t="n">
        <v>40</v>
      </c>
      <c r="G1581" s="36" t="s">
        <v>270</v>
      </c>
      <c r="H1581" s="36" t="s">
        <v>321</v>
      </c>
    </row>
    <row r="1582" customFormat="false" ht="15" hidden="false" customHeight="false" outlineLevel="0" collapsed="false">
      <c r="A1582" s="36" t="s">
        <v>2035</v>
      </c>
      <c r="B1582" s="36" t="s">
        <v>1948</v>
      </c>
      <c r="C1582" s="36" t="s">
        <v>44</v>
      </c>
      <c r="D1582" s="36" t="s">
        <v>885</v>
      </c>
      <c r="E1582" s="36" t="n">
        <v>3</v>
      </c>
      <c r="F1582" s="36" t="n">
        <v>380</v>
      </c>
      <c r="G1582" s="36" t="s">
        <v>251</v>
      </c>
      <c r="H1582" s="36" t="s">
        <v>146</v>
      </c>
    </row>
    <row r="1583" customFormat="false" ht="15" hidden="false" customHeight="false" outlineLevel="0" collapsed="false">
      <c r="A1583" s="36" t="s">
        <v>2036</v>
      </c>
      <c r="B1583" s="36" t="s">
        <v>1333</v>
      </c>
      <c r="C1583" s="36" t="s">
        <v>144</v>
      </c>
      <c r="D1583" s="36" t="s">
        <v>233</v>
      </c>
      <c r="E1583" s="36" t="n">
        <v>6</v>
      </c>
      <c r="F1583" s="36" t="s">
        <v>255</v>
      </c>
      <c r="G1583" s="36" t="s">
        <v>260</v>
      </c>
      <c r="H1583" s="36" t="s">
        <v>141</v>
      </c>
    </row>
    <row r="1584" customFormat="false" ht="15" hidden="false" customHeight="false" outlineLevel="0" collapsed="false">
      <c r="A1584" s="36" t="s">
        <v>2037</v>
      </c>
      <c r="B1584" s="36" t="s">
        <v>1948</v>
      </c>
      <c r="C1584" s="36" t="s">
        <v>44</v>
      </c>
      <c r="D1584" s="36" t="s">
        <v>295</v>
      </c>
      <c r="E1584" s="36" t="n">
        <v>2</v>
      </c>
      <c r="F1584" s="36" t="s">
        <v>331</v>
      </c>
      <c r="G1584" s="36" t="s">
        <v>260</v>
      </c>
      <c r="H1584" s="36" t="s">
        <v>247</v>
      </c>
    </row>
    <row r="1585" customFormat="false" ht="15" hidden="false" customHeight="false" outlineLevel="0" collapsed="false">
      <c r="A1585" s="36" t="s">
        <v>2038</v>
      </c>
      <c r="B1585" s="36" t="s">
        <v>1948</v>
      </c>
      <c r="C1585" s="36" t="s">
        <v>144</v>
      </c>
      <c r="D1585" s="36" t="s">
        <v>185</v>
      </c>
      <c r="E1585" s="36" t="n">
        <v>1</v>
      </c>
      <c r="F1585" s="36" t="n">
        <v>380</v>
      </c>
      <c r="G1585" s="36" t="s">
        <v>246</v>
      </c>
      <c r="H1585" s="36" t="s">
        <v>132</v>
      </c>
    </row>
    <row r="1586" customFormat="false" ht="15" hidden="false" customHeight="false" outlineLevel="0" collapsed="false">
      <c r="A1586" s="36" t="s">
        <v>2039</v>
      </c>
      <c r="B1586" s="36" t="s">
        <v>1333</v>
      </c>
      <c r="C1586" s="36" t="s">
        <v>375</v>
      </c>
      <c r="D1586" s="36" t="s">
        <v>327</v>
      </c>
      <c r="E1586" s="36" t="n">
        <v>6</v>
      </c>
      <c r="F1586" s="36" t="n">
        <v>120</v>
      </c>
      <c r="G1586" s="36" t="s">
        <v>267</v>
      </c>
      <c r="H1586" s="36" t="s">
        <v>141</v>
      </c>
    </row>
    <row r="1587" customFormat="false" ht="15" hidden="false" customHeight="false" outlineLevel="0" collapsed="false">
      <c r="A1587" s="36" t="s">
        <v>2040</v>
      </c>
      <c r="B1587" s="36" t="s">
        <v>1948</v>
      </c>
      <c r="C1587" s="36" t="s">
        <v>375</v>
      </c>
      <c r="D1587" s="36" t="s">
        <v>1025</v>
      </c>
      <c r="E1587" s="36" t="n">
        <v>2</v>
      </c>
      <c r="F1587" s="36" t="n">
        <v>90</v>
      </c>
      <c r="G1587" s="36" t="s">
        <v>267</v>
      </c>
      <c r="H1587" s="36" t="s">
        <v>146</v>
      </c>
    </row>
    <row r="1588" customFormat="false" ht="15" hidden="false" customHeight="false" outlineLevel="0" collapsed="false">
      <c r="A1588" s="36" t="s">
        <v>2041</v>
      </c>
      <c r="B1588" s="36" t="s">
        <v>1333</v>
      </c>
      <c r="C1588" s="36" t="s">
        <v>368</v>
      </c>
      <c r="D1588" s="36" t="s">
        <v>195</v>
      </c>
      <c r="E1588" s="36" t="n">
        <v>1</v>
      </c>
      <c r="F1588" s="36" t="n">
        <v>60</v>
      </c>
      <c r="G1588" s="36" t="s">
        <v>263</v>
      </c>
      <c r="H1588" s="36" t="s">
        <v>146</v>
      </c>
    </row>
    <row r="1589" customFormat="false" ht="15" hidden="false" customHeight="false" outlineLevel="0" collapsed="false">
      <c r="A1589" s="36" t="s">
        <v>2042</v>
      </c>
      <c r="B1589" s="36" t="s">
        <v>1948</v>
      </c>
      <c r="C1589" s="36" t="s">
        <v>45</v>
      </c>
      <c r="D1589" s="36" t="s">
        <v>342</v>
      </c>
      <c r="E1589" s="36" t="s">
        <v>403</v>
      </c>
      <c r="F1589" s="36" t="s">
        <v>319</v>
      </c>
      <c r="G1589" s="36" t="s">
        <v>263</v>
      </c>
      <c r="H1589" s="36" t="s">
        <v>321</v>
      </c>
    </row>
    <row r="1590" customFormat="false" ht="15" hidden="false" customHeight="false" outlineLevel="0" collapsed="false">
      <c r="A1590" s="36" t="s">
        <v>2043</v>
      </c>
      <c r="B1590" s="36" t="s">
        <v>1948</v>
      </c>
      <c r="C1590" s="36" t="s">
        <v>417</v>
      </c>
      <c r="D1590" s="36" t="s">
        <v>492</v>
      </c>
      <c r="E1590" s="36" t="n">
        <v>1</v>
      </c>
      <c r="F1590" s="36" t="s">
        <v>457</v>
      </c>
      <c r="G1590" s="36" t="s">
        <v>246</v>
      </c>
      <c r="H1590" s="36" t="s">
        <v>131</v>
      </c>
    </row>
    <row r="1591" customFormat="false" ht="15" hidden="false" customHeight="false" outlineLevel="0" collapsed="false">
      <c r="A1591" s="36" t="s">
        <v>2044</v>
      </c>
      <c r="B1591" s="36" t="s">
        <v>1333</v>
      </c>
      <c r="C1591" s="36" t="s">
        <v>419</v>
      </c>
      <c r="D1591" s="36" t="s">
        <v>312</v>
      </c>
      <c r="E1591" s="36" t="n">
        <v>2</v>
      </c>
      <c r="F1591" s="36" t="s">
        <v>422</v>
      </c>
      <c r="G1591" s="36" t="s">
        <v>256</v>
      </c>
      <c r="H1591" s="36" t="s">
        <v>141</v>
      </c>
    </row>
    <row r="1592" customFormat="false" ht="15" hidden="false" customHeight="false" outlineLevel="0" collapsed="false">
      <c r="A1592" s="36" t="s">
        <v>2045</v>
      </c>
      <c r="B1592" s="36" t="s">
        <v>1948</v>
      </c>
      <c r="C1592" s="36" t="s">
        <v>45</v>
      </c>
      <c r="D1592" s="36" t="s">
        <v>437</v>
      </c>
      <c r="E1592" s="36" t="n">
        <v>1</v>
      </c>
      <c r="F1592" s="36" t="s">
        <v>275</v>
      </c>
      <c r="G1592" s="36" t="s">
        <v>256</v>
      </c>
      <c r="H1592" s="36" t="s">
        <v>131</v>
      </c>
    </row>
    <row r="1593" customFormat="false" ht="15" hidden="false" customHeight="false" outlineLevel="0" collapsed="false">
      <c r="A1593" s="36" t="s">
        <v>2046</v>
      </c>
      <c r="B1593" s="36" t="s">
        <v>1333</v>
      </c>
      <c r="C1593" s="36" t="s">
        <v>45</v>
      </c>
      <c r="D1593" s="36" t="s">
        <v>226</v>
      </c>
      <c r="E1593" s="36" t="n">
        <v>4</v>
      </c>
      <c r="F1593" s="36" t="s">
        <v>443</v>
      </c>
      <c r="G1593" s="36" t="s">
        <v>256</v>
      </c>
      <c r="H1593" s="36" t="s">
        <v>321</v>
      </c>
    </row>
    <row r="1594" customFormat="false" ht="15" hidden="false" customHeight="false" outlineLevel="0" collapsed="false">
      <c r="A1594" s="36" t="s">
        <v>2047</v>
      </c>
      <c r="B1594" s="36" t="s">
        <v>1333</v>
      </c>
      <c r="C1594" s="36" t="s">
        <v>419</v>
      </c>
      <c r="D1594" s="36" t="s">
        <v>172</v>
      </c>
      <c r="E1594" s="36" t="n">
        <v>2</v>
      </c>
      <c r="F1594" s="36" t="s">
        <v>498</v>
      </c>
      <c r="G1594" s="36" t="s">
        <v>243</v>
      </c>
      <c r="H1594" s="36" t="s">
        <v>141</v>
      </c>
    </row>
    <row r="1595" customFormat="false" ht="15" hidden="false" customHeight="false" outlineLevel="0" collapsed="false">
      <c r="A1595" s="36" t="s">
        <v>2048</v>
      </c>
      <c r="B1595" s="36" t="s">
        <v>1333</v>
      </c>
      <c r="C1595" s="36" t="s">
        <v>45</v>
      </c>
      <c r="D1595" s="36" t="s">
        <v>133</v>
      </c>
      <c r="E1595" s="36" t="n">
        <v>3</v>
      </c>
      <c r="F1595" s="36" t="s">
        <v>411</v>
      </c>
      <c r="G1595" s="36" t="s">
        <v>270</v>
      </c>
      <c r="H1595" s="36" t="s">
        <v>145</v>
      </c>
    </row>
    <row r="1596" customFormat="false" ht="15" hidden="false" customHeight="false" outlineLevel="0" collapsed="false">
      <c r="A1596" s="36" t="s">
        <v>2049</v>
      </c>
      <c r="B1596" s="36" t="s">
        <v>1333</v>
      </c>
      <c r="C1596" s="36" t="s">
        <v>419</v>
      </c>
      <c r="D1596" s="36" t="s">
        <v>172</v>
      </c>
      <c r="E1596" s="36" t="n">
        <v>2</v>
      </c>
      <c r="F1596" s="36" t="s">
        <v>498</v>
      </c>
      <c r="G1596" s="36" t="s">
        <v>260</v>
      </c>
      <c r="H1596" s="36" t="s">
        <v>321</v>
      </c>
    </row>
    <row r="1597" customFormat="false" ht="15" hidden="false" customHeight="false" outlineLevel="0" collapsed="false">
      <c r="A1597" s="36" t="s">
        <v>2050</v>
      </c>
      <c r="B1597" s="36" t="s">
        <v>1333</v>
      </c>
      <c r="C1597" s="36" t="s">
        <v>45</v>
      </c>
      <c r="D1597" s="36" t="s">
        <v>181</v>
      </c>
      <c r="E1597" s="36" t="s">
        <v>403</v>
      </c>
      <c r="F1597" s="36" t="n">
        <v>450</v>
      </c>
      <c r="G1597" s="36" t="s">
        <v>260</v>
      </c>
      <c r="H1597" s="36" t="s">
        <v>132</v>
      </c>
    </row>
    <row r="1598" customFormat="false" ht="15" hidden="false" customHeight="false" outlineLevel="0" collapsed="false">
      <c r="A1598" s="36" t="s">
        <v>2051</v>
      </c>
      <c r="B1598" s="36" t="s">
        <v>1948</v>
      </c>
      <c r="C1598" s="36" t="s">
        <v>419</v>
      </c>
      <c r="D1598" s="36" t="s">
        <v>186</v>
      </c>
      <c r="E1598" s="36" t="n">
        <v>4</v>
      </c>
      <c r="F1598" s="36" t="n">
        <v>50</v>
      </c>
      <c r="G1598" s="36" t="s">
        <v>251</v>
      </c>
      <c r="H1598" s="36" t="s">
        <v>146</v>
      </c>
    </row>
    <row r="1599" customFormat="false" ht="15" hidden="false" customHeight="false" outlineLevel="0" collapsed="false">
      <c r="A1599" s="36" t="s">
        <v>2052</v>
      </c>
      <c r="B1599" s="36" t="s">
        <v>1333</v>
      </c>
      <c r="C1599" s="36" t="s">
        <v>419</v>
      </c>
      <c r="D1599" s="36" t="s">
        <v>234</v>
      </c>
      <c r="E1599" s="36" t="n">
        <v>6</v>
      </c>
      <c r="F1599" s="36" t="s">
        <v>255</v>
      </c>
      <c r="G1599" s="36" t="s">
        <v>270</v>
      </c>
      <c r="H1599" s="36" t="s">
        <v>132</v>
      </c>
    </row>
    <row r="1600" customFormat="false" ht="15" hidden="false" customHeight="false" outlineLevel="0" collapsed="false">
      <c r="A1600" s="36" t="s">
        <v>2053</v>
      </c>
      <c r="B1600" s="36" t="s">
        <v>1948</v>
      </c>
      <c r="C1600" s="36" t="s">
        <v>419</v>
      </c>
      <c r="D1600" s="36" t="s">
        <v>171</v>
      </c>
      <c r="E1600" s="36" t="n">
        <v>1</v>
      </c>
      <c r="F1600" s="36" t="n">
        <v>65</v>
      </c>
      <c r="G1600" s="36" t="s">
        <v>260</v>
      </c>
      <c r="H1600" s="36" t="s">
        <v>306</v>
      </c>
    </row>
    <row r="1601" customFormat="false" ht="15" hidden="false" customHeight="false" outlineLevel="0" collapsed="false">
      <c r="A1601" s="36" t="s">
        <v>1332</v>
      </c>
      <c r="B1601" s="36" t="s">
        <v>1333</v>
      </c>
      <c r="C1601" s="36" t="s">
        <v>45</v>
      </c>
      <c r="D1601" s="36" t="s">
        <v>822</v>
      </c>
      <c r="E1601" s="36" t="n">
        <v>2</v>
      </c>
      <c r="F1601" s="36" t="s">
        <v>369</v>
      </c>
      <c r="G1601" s="36" t="s">
        <v>260</v>
      </c>
      <c r="H1601" s="36" t="s">
        <v>247</v>
      </c>
    </row>
    <row r="1602" customFormat="false" ht="15" hidden="false" customHeight="false" outlineLevel="0" collapsed="false">
      <c r="A1602" s="36" t="s">
        <v>2054</v>
      </c>
      <c r="B1602" s="36" t="s">
        <v>1948</v>
      </c>
      <c r="C1602" s="36" t="s">
        <v>45</v>
      </c>
      <c r="D1602" s="36" t="s">
        <v>171</v>
      </c>
      <c r="E1602" s="36" t="n">
        <v>1</v>
      </c>
      <c r="F1602" s="36" t="n">
        <v>65</v>
      </c>
      <c r="G1602" s="36" t="s">
        <v>270</v>
      </c>
      <c r="H1602" s="36" t="s">
        <v>132</v>
      </c>
    </row>
    <row r="1603" customFormat="false" ht="15" hidden="false" customHeight="false" outlineLevel="0" collapsed="false">
      <c r="A1603" s="36" t="s">
        <v>2055</v>
      </c>
      <c r="B1603" s="36" t="s">
        <v>1333</v>
      </c>
      <c r="C1603" s="36" t="s">
        <v>419</v>
      </c>
      <c r="D1603" s="36" t="s">
        <v>178</v>
      </c>
      <c r="E1603" s="36" t="n">
        <v>3</v>
      </c>
      <c r="F1603" s="36" t="s">
        <v>378</v>
      </c>
      <c r="G1603" s="36" t="s">
        <v>263</v>
      </c>
      <c r="H1603" s="36" t="s">
        <v>132</v>
      </c>
    </row>
    <row r="1604" customFormat="false" ht="15" hidden="false" customHeight="false" outlineLevel="0" collapsed="false">
      <c r="A1604" s="36" t="s">
        <v>2056</v>
      </c>
      <c r="B1604" s="36" t="s">
        <v>1333</v>
      </c>
      <c r="C1604" s="36" t="s">
        <v>153</v>
      </c>
      <c r="D1604" s="36" t="s">
        <v>162</v>
      </c>
      <c r="E1604" s="36" t="n">
        <v>1</v>
      </c>
      <c r="F1604" s="36" t="n">
        <v>310</v>
      </c>
      <c r="G1604" s="36" t="s">
        <v>270</v>
      </c>
      <c r="H1604" s="36" t="s">
        <v>146</v>
      </c>
    </row>
    <row r="1605" customFormat="false" ht="15" hidden="false" customHeight="false" outlineLevel="0" collapsed="false">
      <c r="A1605" s="36" t="s">
        <v>2057</v>
      </c>
      <c r="B1605" s="36" t="s">
        <v>1948</v>
      </c>
      <c r="C1605" s="36" t="s">
        <v>45</v>
      </c>
      <c r="D1605" s="36" t="s">
        <v>696</v>
      </c>
      <c r="E1605" s="36" t="n">
        <v>1</v>
      </c>
      <c r="F1605" s="36" t="s">
        <v>411</v>
      </c>
      <c r="G1605" s="36" t="s">
        <v>246</v>
      </c>
      <c r="H1605" s="36" t="s">
        <v>321</v>
      </c>
    </row>
    <row r="1606" customFormat="false" ht="15" hidden="false" customHeight="false" outlineLevel="0" collapsed="false">
      <c r="A1606" s="36" t="s">
        <v>2058</v>
      </c>
      <c r="B1606" s="36" t="s">
        <v>1948</v>
      </c>
      <c r="C1606" s="36" t="s">
        <v>419</v>
      </c>
      <c r="D1606" s="36" t="s">
        <v>217</v>
      </c>
      <c r="E1606" s="36" t="n">
        <v>4</v>
      </c>
      <c r="F1606" s="36" t="s">
        <v>422</v>
      </c>
      <c r="G1606" s="36" t="s">
        <v>270</v>
      </c>
      <c r="H1606" s="36" t="s">
        <v>247</v>
      </c>
    </row>
    <row r="1607" customFormat="false" ht="15" hidden="false" customHeight="false" outlineLevel="0" collapsed="false">
      <c r="A1607" s="36" t="s">
        <v>2059</v>
      </c>
      <c r="B1607" s="36" t="s">
        <v>1333</v>
      </c>
      <c r="C1607" s="36" t="s">
        <v>45</v>
      </c>
      <c r="D1607" s="36" t="s">
        <v>783</v>
      </c>
      <c r="E1607" s="36" t="n">
        <v>3</v>
      </c>
      <c r="F1607" s="36" t="n">
        <v>130</v>
      </c>
      <c r="G1607" s="36" t="s">
        <v>270</v>
      </c>
      <c r="H1607" s="36" t="s">
        <v>146</v>
      </c>
    </row>
    <row r="1608" customFormat="false" ht="15" hidden="false" customHeight="false" outlineLevel="0" collapsed="false">
      <c r="A1608" s="36" t="s">
        <v>2060</v>
      </c>
      <c r="B1608" s="36" t="s">
        <v>1333</v>
      </c>
      <c r="C1608" s="36" t="s">
        <v>45</v>
      </c>
      <c r="D1608" s="36" t="s">
        <v>696</v>
      </c>
      <c r="E1608" s="36" t="n">
        <v>3</v>
      </c>
      <c r="F1608" s="36" t="n">
        <v>190</v>
      </c>
      <c r="G1608" s="36" t="s">
        <v>246</v>
      </c>
      <c r="H1608" s="36" t="s">
        <v>131</v>
      </c>
    </row>
    <row r="1609" customFormat="false" ht="15" hidden="false" customHeight="false" outlineLevel="0" collapsed="false">
      <c r="A1609" s="36" t="s">
        <v>2061</v>
      </c>
      <c r="B1609" s="36" t="s">
        <v>1333</v>
      </c>
      <c r="C1609" s="36" t="s">
        <v>153</v>
      </c>
      <c r="D1609" s="36" t="s">
        <v>515</v>
      </c>
      <c r="E1609" s="36" t="n">
        <v>3</v>
      </c>
      <c r="F1609" s="36" t="s">
        <v>420</v>
      </c>
      <c r="G1609" s="36" t="s">
        <v>267</v>
      </c>
      <c r="H1609" s="36" t="s">
        <v>141</v>
      </c>
    </row>
    <row r="1610" customFormat="false" ht="15" hidden="false" customHeight="false" outlineLevel="0" collapsed="false">
      <c r="A1610" s="36" t="s">
        <v>2062</v>
      </c>
      <c r="B1610" s="36" t="s">
        <v>1333</v>
      </c>
      <c r="C1610" s="36" t="s">
        <v>153</v>
      </c>
      <c r="D1610" s="36" t="s">
        <v>189</v>
      </c>
      <c r="E1610" s="36" t="n">
        <v>3</v>
      </c>
      <c r="F1610" s="36" t="s">
        <v>331</v>
      </c>
      <c r="G1610" s="36" t="s">
        <v>263</v>
      </c>
      <c r="H1610" s="36" t="s">
        <v>132</v>
      </c>
    </row>
    <row r="1611" customFormat="false" ht="15" hidden="false" customHeight="false" outlineLevel="0" collapsed="false">
      <c r="A1611" s="36" t="s">
        <v>2063</v>
      </c>
      <c r="B1611" s="36" t="s">
        <v>1948</v>
      </c>
      <c r="C1611" s="36" t="s">
        <v>46</v>
      </c>
      <c r="D1611" s="36" t="s">
        <v>342</v>
      </c>
      <c r="E1611" s="36" t="n">
        <v>3</v>
      </c>
      <c r="F1611" s="36" t="n">
        <v>54</v>
      </c>
      <c r="G1611" s="36" t="s">
        <v>243</v>
      </c>
      <c r="H1611" s="36" t="s">
        <v>141</v>
      </c>
    </row>
    <row r="1612" customFormat="false" ht="15" hidden="false" customHeight="false" outlineLevel="0" collapsed="false">
      <c r="A1612" s="36" t="s">
        <v>2064</v>
      </c>
      <c r="B1612" s="36" t="s">
        <v>1333</v>
      </c>
      <c r="C1612" s="36" t="s">
        <v>442</v>
      </c>
      <c r="D1612" s="36" t="s">
        <v>437</v>
      </c>
      <c r="E1612" s="36" t="n">
        <v>6</v>
      </c>
      <c r="F1612" s="36" t="n">
        <v>330</v>
      </c>
      <c r="G1612" s="36" t="s">
        <v>260</v>
      </c>
      <c r="H1612" s="36" t="s">
        <v>132</v>
      </c>
    </row>
    <row r="1613" customFormat="false" ht="15" hidden="false" customHeight="false" outlineLevel="0" collapsed="false">
      <c r="A1613" s="36" t="s">
        <v>2065</v>
      </c>
      <c r="B1613" s="37" t="n">
        <v>46275</v>
      </c>
      <c r="C1613" s="36" t="s">
        <v>46</v>
      </c>
      <c r="D1613" s="36" t="s">
        <v>187</v>
      </c>
      <c r="E1613" s="36" t="n">
        <v>2</v>
      </c>
      <c r="F1613" s="36" t="n">
        <v>150</v>
      </c>
      <c r="G1613" s="36" t="s">
        <v>263</v>
      </c>
      <c r="H1613" s="36" t="s">
        <v>141</v>
      </c>
    </row>
    <row r="1614" customFormat="false" ht="15" hidden="false" customHeight="false" outlineLevel="0" collapsed="false">
      <c r="A1614" s="36" t="s">
        <v>2066</v>
      </c>
      <c r="B1614" s="36" t="s">
        <v>1948</v>
      </c>
      <c r="C1614" s="36" t="s">
        <v>442</v>
      </c>
      <c r="D1614" s="36" t="s">
        <v>204</v>
      </c>
      <c r="E1614" s="36" t="n">
        <v>1</v>
      </c>
      <c r="F1614" s="36" t="s">
        <v>420</v>
      </c>
      <c r="G1614" s="36" t="s">
        <v>243</v>
      </c>
      <c r="H1614" s="36" t="s">
        <v>146</v>
      </c>
    </row>
    <row r="1615" customFormat="false" ht="15" hidden="false" customHeight="false" outlineLevel="0" collapsed="false">
      <c r="A1615" s="36" t="s">
        <v>2067</v>
      </c>
      <c r="B1615" s="36" t="s">
        <v>1333</v>
      </c>
      <c r="C1615" s="36" t="s">
        <v>46</v>
      </c>
      <c r="D1615" s="36" t="s">
        <v>171</v>
      </c>
      <c r="E1615" s="36" t="n">
        <v>-4</v>
      </c>
      <c r="F1615" s="36" t="s">
        <v>457</v>
      </c>
      <c r="G1615" s="36" t="s">
        <v>256</v>
      </c>
      <c r="H1615" s="36" t="s">
        <v>140</v>
      </c>
    </row>
    <row r="1616" customFormat="false" ht="15" hidden="false" customHeight="false" outlineLevel="0" collapsed="false">
      <c r="A1616" s="36" t="s">
        <v>2068</v>
      </c>
      <c r="B1616" s="36" t="s">
        <v>1948</v>
      </c>
      <c r="C1616" s="36" t="s">
        <v>46</v>
      </c>
      <c r="D1616" s="36" t="s">
        <v>171</v>
      </c>
      <c r="E1616" s="36" t="n">
        <v>4</v>
      </c>
      <c r="F1616" s="36" t="s">
        <v>369</v>
      </c>
      <c r="G1616" s="36" t="s">
        <v>246</v>
      </c>
      <c r="H1616" s="36" t="s">
        <v>141</v>
      </c>
    </row>
    <row r="1617" customFormat="false" ht="15" hidden="false" customHeight="false" outlineLevel="0" collapsed="false">
      <c r="A1617" s="36" t="s">
        <v>2069</v>
      </c>
      <c r="B1617" s="36" t="s">
        <v>1333</v>
      </c>
      <c r="C1617" s="36" t="s">
        <v>46</v>
      </c>
      <c r="D1617" s="36" t="s">
        <v>280</v>
      </c>
      <c r="E1617" s="36" t="n">
        <v>2</v>
      </c>
      <c r="F1617" s="36" t="s">
        <v>380</v>
      </c>
      <c r="G1617" s="36" t="s">
        <v>256</v>
      </c>
      <c r="H1617" s="36" t="s">
        <v>141</v>
      </c>
    </row>
    <row r="1618" customFormat="false" ht="15" hidden="false" customHeight="false" outlineLevel="0" collapsed="false">
      <c r="A1618" s="36" t="s">
        <v>2070</v>
      </c>
      <c r="B1618" s="36" t="s">
        <v>1333</v>
      </c>
      <c r="C1618" s="36" t="s">
        <v>448</v>
      </c>
      <c r="D1618" s="36" t="s">
        <v>157</v>
      </c>
      <c r="E1618" s="36" t="n">
        <v>1</v>
      </c>
      <c r="F1618" s="36" t="n">
        <v>330</v>
      </c>
      <c r="G1618" s="36" t="s">
        <v>267</v>
      </c>
      <c r="H1618" s="36" t="s">
        <v>306</v>
      </c>
    </row>
    <row r="1619" customFormat="false" ht="15" hidden="false" customHeight="false" outlineLevel="0" collapsed="false">
      <c r="A1619" s="36" t="s">
        <v>2071</v>
      </c>
      <c r="B1619" s="36" t="s">
        <v>1333</v>
      </c>
      <c r="C1619" s="36" t="s">
        <v>156</v>
      </c>
      <c r="D1619" s="36" t="s">
        <v>520</v>
      </c>
      <c r="E1619" s="36" t="n">
        <v>-6</v>
      </c>
      <c r="F1619" s="36" t="n">
        <v>90</v>
      </c>
      <c r="G1619" s="36" t="s">
        <v>256</v>
      </c>
      <c r="H1619" s="36" t="s">
        <v>146</v>
      </c>
    </row>
    <row r="1620" customFormat="false" ht="15" hidden="false" customHeight="false" outlineLevel="0" collapsed="false">
      <c r="A1620" s="36" t="s">
        <v>2072</v>
      </c>
      <c r="B1620" s="36" t="s">
        <v>1333</v>
      </c>
      <c r="C1620" s="36" t="s">
        <v>442</v>
      </c>
      <c r="D1620" s="36" t="s">
        <v>175</v>
      </c>
      <c r="E1620" s="36" t="n">
        <v>3</v>
      </c>
      <c r="F1620" s="36" t="s">
        <v>936</v>
      </c>
      <c r="G1620" s="36" t="s">
        <v>246</v>
      </c>
      <c r="H1620" s="36" t="s">
        <v>132</v>
      </c>
    </row>
    <row r="1621" customFormat="false" ht="15" hidden="false" customHeight="false" outlineLevel="0" collapsed="false">
      <c r="A1621" s="36" t="s">
        <v>2073</v>
      </c>
      <c r="B1621" s="36" t="s">
        <v>1333</v>
      </c>
      <c r="C1621" s="36" t="s">
        <v>46</v>
      </c>
      <c r="D1621" s="36" t="s">
        <v>373</v>
      </c>
      <c r="E1621" s="36" t="n">
        <v>2</v>
      </c>
      <c r="F1621" s="36" t="n">
        <v>40</v>
      </c>
      <c r="G1621" s="36" t="s">
        <v>246</v>
      </c>
      <c r="H1621" s="36" t="s">
        <v>247</v>
      </c>
    </row>
    <row r="1622" customFormat="false" ht="15" hidden="false" customHeight="false" outlineLevel="0" collapsed="false">
      <c r="A1622" s="36" t="s">
        <v>2074</v>
      </c>
      <c r="B1622" s="36" t="s">
        <v>1333</v>
      </c>
      <c r="C1622" s="36" t="s">
        <v>442</v>
      </c>
      <c r="D1622" s="36" t="s">
        <v>798</v>
      </c>
      <c r="E1622" s="36" t="n">
        <v>4</v>
      </c>
      <c r="F1622" s="36" t="n">
        <v>130</v>
      </c>
      <c r="G1622" s="36" t="s">
        <v>260</v>
      </c>
      <c r="H1622" s="36" t="s">
        <v>308</v>
      </c>
    </row>
    <row r="1623" customFormat="false" ht="15" hidden="false" customHeight="false" outlineLevel="0" collapsed="false">
      <c r="A1623" s="36" t="s">
        <v>1175</v>
      </c>
      <c r="B1623" s="36" t="s">
        <v>903</v>
      </c>
      <c r="C1623" s="36" t="s">
        <v>294</v>
      </c>
      <c r="D1623" s="36" t="s">
        <v>167</v>
      </c>
      <c r="E1623" s="36" t="n">
        <v>2</v>
      </c>
      <c r="F1623" s="36" t="n">
        <v>110</v>
      </c>
      <c r="G1623" s="36" t="s">
        <v>267</v>
      </c>
      <c r="H1623" s="36" t="s">
        <v>146</v>
      </c>
    </row>
    <row r="1624" customFormat="false" ht="15" hidden="false" customHeight="false" outlineLevel="0" collapsed="false">
      <c r="A1624" s="36" t="s">
        <v>2075</v>
      </c>
      <c r="B1624" s="36" t="s">
        <v>1948</v>
      </c>
      <c r="C1624" s="36" t="s">
        <v>448</v>
      </c>
      <c r="D1624" s="36" t="s">
        <v>2034</v>
      </c>
      <c r="E1624" s="36" t="n">
        <v>1</v>
      </c>
      <c r="F1624" s="36" t="s">
        <v>283</v>
      </c>
      <c r="G1624" s="36" t="s">
        <v>263</v>
      </c>
      <c r="H1624" s="36" t="s">
        <v>321</v>
      </c>
    </row>
    <row r="1625" customFormat="false" ht="15" hidden="false" customHeight="false" outlineLevel="0" collapsed="false">
      <c r="A1625" s="36" t="s">
        <v>2076</v>
      </c>
      <c r="B1625" s="36" t="s">
        <v>1333</v>
      </c>
      <c r="C1625" s="36" t="s">
        <v>442</v>
      </c>
      <c r="D1625" s="36" t="s">
        <v>186</v>
      </c>
      <c r="E1625" s="36" t="n">
        <v>1</v>
      </c>
      <c r="F1625" s="36" t="s">
        <v>584</v>
      </c>
      <c r="G1625" s="36" t="s">
        <v>251</v>
      </c>
      <c r="H1625" s="36" t="s">
        <v>131</v>
      </c>
    </row>
    <row r="1626" customFormat="false" ht="15" hidden="false" customHeight="false" outlineLevel="0" collapsed="false">
      <c r="A1626" s="36" t="s">
        <v>2077</v>
      </c>
      <c r="B1626" s="36" t="s">
        <v>1333</v>
      </c>
      <c r="C1626" s="36" t="s">
        <v>448</v>
      </c>
      <c r="D1626" s="36" t="s">
        <v>176</v>
      </c>
      <c r="E1626" s="36" t="n">
        <v>4</v>
      </c>
      <c r="F1626" s="36" t="n">
        <v>90</v>
      </c>
      <c r="G1626" s="36" t="s">
        <v>256</v>
      </c>
      <c r="H1626" s="36" t="s">
        <v>308</v>
      </c>
    </row>
    <row r="1627" customFormat="false" ht="15" hidden="false" customHeight="false" outlineLevel="0" collapsed="false">
      <c r="A1627" s="36" t="s">
        <v>2078</v>
      </c>
      <c r="B1627" s="36" t="s">
        <v>1948</v>
      </c>
      <c r="C1627" s="36" t="s">
        <v>46</v>
      </c>
      <c r="D1627" s="36" t="s">
        <v>168</v>
      </c>
      <c r="E1627" s="36" t="n">
        <v>1</v>
      </c>
      <c r="F1627" s="36" t="s">
        <v>331</v>
      </c>
      <c r="G1627" s="36" t="s">
        <v>260</v>
      </c>
      <c r="H1627" s="36" t="s">
        <v>132</v>
      </c>
    </row>
    <row r="1628" customFormat="false" ht="15" hidden="false" customHeight="false" outlineLevel="0" collapsed="false">
      <c r="A1628" s="36" t="s">
        <v>2079</v>
      </c>
      <c r="B1628" s="36" t="s">
        <v>1333</v>
      </c>
      <c r="C1628" s="36" t="s">
        <v>448</v>
      </c>
      <c r="D1628" s="36" t="s">
        <v>265</v>
      </c>
      <c r="E1628" s="36" t="n">
        <v>4</v>
      </c>
      <c r="F1628" s="36" t="n">
        <v>95</v>
      </c>
      <c r="G1628" s="36" t="s">
        <v>251</v>
      </c>
      <c r="H1628" s="36" t="s">
        <v>321</v>
      </c>
    </row>
    <row r="1629" customFormat="false" ht="15" hidden="false" customHeight="false" outlineLevel="0" collapsed="false">
      <c r="A1629" s="36" t="s">
        <v>2080</v>
      </c>
      <c r="B1629" s="36" t="s">
        <v>1333</v>
      </c>
      <c r="C1629" s="36" t="s">
        <v>442</v>
      </c>
      <c r="D1629" s="36" t="s">
        <v>151</v>
      </c>
      <c r="E1629" s="36" t="n">
        <v>1</v>
      </c>
      <c r="F1629" s="36" t="s">
        <v>275</v>
      </c>
      <c r="G1629" s="36" t="s">
        <v>243</v>
      </c>
      <c r="H1629" s="36" t="s">
        <v>132</v>
      </c>
    </row>
    <row r="1630" customFormat="false" ht="15" hidden="false" customHeight="false" outlineLevel="0" collapsed="false">
      <c r="A1630" s="36" t="s">
        <v>2081</v>
      </c>
      <c r="B1630" s="36" t="s">
        <v>1333</v>
      </c>
      <c r="C1630" s="36" t="s">
        <v>448</v>
      </c>
      <c r="D1630" s="36" t="s">
        <v>310</v>
      </c>
      <c r="E1630" s="36"/>
      <c r="F1630" s="36" t="n">
        <v>360</v>
      </c>
      <c r="G1630" s="36" t="s">
        <v>256</v>
      </c>
      <c r="H1630" s="36" t="s">
        <v>247</v>
      </c>
    </row>
    <row r="1631" customFormat="false" ht="15" hidden="false" customHeight="false" outlineLevel="0" collapsed="false">
      <c r="A1631" s="36" t="s">
        <v>2082</v>
      </c>
      <c r="B1631" s="36" t="s">
        <v>1333</v>
      </c>
      <c r="C1631" s="36" t="s">
        <v>448</v>
      </c>
      <c r="D1631" s="36" t="s">
        <v>219</v>
      </c>
      <c r="E1631" s="36" t="n">
        <v>1</v>
      </c>
      <c r="F1631" s="36" t="n">
        <v>195</v>
      </c>
      <c r="G1631" s="36" t="s">
        <v>243</v>
      </c>
      <c r="H1631" s="36" t="s">
        <v>140</v>
      </c>
    </row>
    <row r="1632" customFormat="false" ht="15" hidden="false" customHeight="false" outlineLevel="0" collapsed="false">
      <c r="A1632" s="36" t="s">
        <v>2083</v>
      </c>
      <c r="B1632" s="36" t="s">
        <v>1333</v>
      </c>
      <c r="C1632" s="36" t="s">
        <v>46</v>
      </c>
      <c r="D1632" s="36" t="s">
        <v>235</v>
      </c>
      <c r="E1632" s="36" t="n">
        <v>1</v>
      </c>
      <c r="F1632" s="36" t="n">
        <v>65</v>
      </c>
      <c r="G1632" s="36" t="s">
        <v>267</v>
      </c>
      <c r="H1632" s="36" t="s">
        <v>146</v>
      </c>
    </row>
    <row r="1633" customFormat="false" ht="15" hidden="false" customHeight="false" outlineLevel="0" collapsed="false">
      <c r="A1633" s="36" t="s">
        <v>2084</v>
      </c>
      <c r="B1633" s="36" t="s">
        <v>1333</v>
      </c>
      <c r="C1633" s="36" t="s">
        <v>156</v>
      </c>
      <c r="D1633" s="36" t="s">
        <v>177</v>
      </c>
      <c r="E1633" s="36" t="n">
        <v>1</v>
      </c>
      <c r="F1633" s="36" t="n">
        <v>310</v>
      </c>
      <c r="G1633" s="36" t="s">
        <v>260</v>
      </c>
      <c r="H1633" s="36" t="s">
        <v>132</v>
      </c>
    </row>
    <row r="1634" customFormat="false" ht="15" hidden="false" customHeight="false" outlineLevel="0" collapsed="false">
      <c r="A1634" s="36" t="s">
        <v>2085</v>
      </c>
      <c r="B1634" s="36" t="s">
        <v>1948</v>
      </c>
      <c r="C1634" s="36" t="s">
        <v>46</v>
      </c>
      <c r="D1634" s="36" t="s">
        <v>405</v>
      </c>
      <c r="E1634" s="36" t="n">
        <v>2</v>
      </c>
      <c r="F1634" s="36" t="n">
        <v>330</v>
      </c>
      <c r="G1634" s="36" t="s">
        <v>267</v>
      </c>
      <c r="H1634" s="36" t="s">
        <v>321</v>
      </c>
    </row>
    <row r="1635" customFormat="false" ht="15" hidden="false" customHeight="false" outlineLevel="0" collapsed="false">
      <c r="A1635" s="36" t="s">
        <v>2086</v>
      </c>
      <c r="B1635" s="36" t="s">
        <v>1333</v>
      </c>
      <c r="C1635" s="36" t="s">
        <v>448</v>
      </c>
      <c r="D1635" s="36" t="s">
        <v>165</v>
      </c>
      <c r="E1635" s="36" t="n">
        <v>1</v>
      </c>
      <c r="F1635" s="36" t="n">
        <v>110</v>
      </c>
      <c r="G1635" s="36" t="s">
        <v>246</v>
      </c>
      <c r="H1635" s="36" t="s">
        <v>141</v>
      </c>
    </row>
    <row r="1636" customFormat="false" ht="15" hidden="false" customHeight="false" outlineLevel="0" collapsed="false">
      <c r="A1636" s="36" t="s">
        <v>2087</v>
      </c>
      <c r="B1636" s="36" t="s">
        <v>1948</v>
      </c>
      <c r="C1636" s="36" t="s">
        <v>46</v>
      </c>
      <c r="D1636" s="36" t="s">
        <v>297</v>
      </c>
      <c r="E1636" s="36" t="n">
        <v>2</v>
      </c>
      <c r="F1636" s="36" t="n">
        <v>310</v>
      </c>
      <c r="G1636" s="36" t="s">
        <v>263</v>
      </c>
      <c r="H1636" s="36" t="s">
        <v>247</v>
      </c>
    </row>
    <row r="1637" customFormat="false" ht="15" hidden="false" customHeight="false" outlineLevel="0" collapsed="false">
      <c r="A1637" s="36" t="s">
        <v>2088</v>
      </c>
      <c r="B1637" s="36" t="s">
        <v>709</v>
      </c>
      <c r="C1637" s="36" t="s">
        <v>241</v>
      </c>
      <c r="D1637" s="36" t="s">
        <v>678</v>
      </c>
      <c r="E1637" s="36" t="n">
        <v>2</v>
      </c>
      <c r="F1637" s="36" t="n">
        <v>110</v>
      </c>
      <c r="G1637" s="36" t="s">
        <v>270</v>
      </c>
      <c r="H1637" s="36" t="s">
        <v>141</v>
      </c>
    </row>
    <row r="1638" customFormat="false" ht="15" hidden="false" customHeight="false" outlineLevel="0" collapsed="false">
      <c r="A1638" s="36" t="s">
        <v>2089</v>
      </c>
      <c r="B1638" s="36" t="s">
        <v>2090</v>
      </c>
      <c r="C1638" s="36" t="s">
        <v>294</v>
      </c>
      <c r="D1638" s="36" t="s">
        <v>165</v>
      </c>
      <c r="E1638" s="36" t="n">
        <v>2</v>
      </c>
      <c r="F1638" s="36" t="n">
        <v>110</v>
      </c>
      <c r="G1638" s="36" t="s">
        <v>270</v>
      </c>
      <c r="H1638" s="36" t="s">
        <v>141</v>
      </c>
    </row>
    <row r="1639" customFormat="false" ht="15" hidden="false" customHeight="false" outlineLevel="0" collapsed="false">
      <c r="A1639" s="36" t="s">
        <v>2091</v>
      </c>
      <c r="B1639" s="36" t="s">
        <v>2090</v>
      </c>
      <c r="C1639" s="36" t="s">
        <v>130</v>
      </c>
      <c r="D1639" s="36" t="s">
        <v>195</v>
      </c>
      <c r="E1639" s="36" t="n">
        <v>6</v>
      </c>
      <c r="F1639" s="36" t="s">
        <v>344</v>
      </c>
      <c r="G1639" s="36" t="s">
        <v>243</v>
      </c>
      <c r="H1639" s="36" t="s">
        <v>131</v>
      </c>
    </row>
    <row r="1640" customFormat="false" ht="15" hidden="false" customHeight="false" outlineLevel="0" collapsed="false">
      <c r="A1640" s="36" t="s">
        <v>2092</v>
      </c>
      <c r="B1640" s="36" t="s">
        <v>2090</v>
      </c>
      <c r="C1640" s="36" t="s">
        <v>241</v>
      </c>
      <c r="D1640" s="36" t="s">
        <v>976</v>
      </c>
      <c r="E1640" s="36" t="n">
        <v>2</v>
      </c>
      <c r="F1640" s="36" t="s">
        <v>387</v>
      </c>
      <c r="G1640" s="36" t="s">
        <v>260</v>
      </c>
      <c r="H1640" s="36" t="s">
        <v>140</v>
      </c>
    </row>
    <row r="1641" customFormat="false" ht="15" hidden="false" customHeight="false" outlineLevel="0" collapsed="false">
      <c r="A1641" s="36" t="s">
        <v>2093</v>
      </c>
      <c r="B1641" s="36" t="s">
        <v>709</v>
      </c>
      <c r="C1641" s="36" t="s">
        <v>254</v>
      </c>
      <c r="D1641" s="36" t="s">
        <v>197</v>
      </c>
      <c r="E1641" s="36" t="n">
        <v>1</v>
      </c>
      <c r="F1641" s="36" t="n">
        <v>60</v>
      </c>
      <c r="G1641" s="36" t="s">
        <v>246</v>
      </c>
      <c r="H1641" s="36" t="s">
        <v>131</v>
      </c>
    </row>
    <row r="1642" customFormat="false" ht="15" hidden="false" customHeight="false" outlineLevel="0" collapsed="false">
      <c r="A1642" s="36" t="s">
        <v>2094</v>
      </c>
      <c r="B1642" s="36" t="s">
        <v>709</v>
      </c>
      <c r="C1642" s="36" t="s">
        <v>249</v>
      </c>
      <c r="D1642" s="36" t="s">
        <v>172</v>
      </c>
      <c r="E1642" s="36" t="n">
        <v>6</v>
      </c>
      <c r="F1642" s="36" t="s">
        <v>344</v>
      </c>
      <c r="G1642" s="36" t="s">
        <v>267</v>
      </c>
      <c r="H1642" s="36" t="s">
        <v>131</v>
      </c>
    </row>
    <row r="1643" customFormat="false" ht="15" hidden="false" customHeight="false" outlineLevel="0" collapsed="false">
      <c r="A1643" s="36" t="s">
        <v>2095</v>
      </c>
      <c r="B1643" s="36" t="s">
        <v>709</v>
      </c>
      <c r="C1643" s="36" t="s">
        <v>130</v>
      </c>
      <c r="D1643" s="36" t="s">
        <v>158</v>
      </c>
      <c r="E1643" s="36" t="n">
        <v>6</v>
      </c>
      <c r="F1643" s="36" t="n">
        <v>65</v>
      </c>
      <c r="G1643" s="36" t="s">
        <v>260</v>
      </c>
      <c r="H1643" s="36" t="s">
        <v>131</v>
      </c>
    </row>
    <row r="1644" customFormat="false" ht="15" hidden="false" customHeight="false" outlineLevel="0" collapsed="false">
      <c r="A1644" s="36" t="s">
        <v>2096</v>
      </c>
      <c r="B1644" s="36" t="s">
        <v>2090</v>
      </c>
      <c r="C1644" s="36" t="s">
        <v>254</v>
      </c>
      <c r="D1644" s="36" t="s">
        <v>492</v>
      </c>
      <c r="E1644" s="36" t="n">
        <v>1</v>
      </c>
      <c r="F1644" s="36" t="n">
        <v>65</v>
      </c>
      <c r="G1644" s="36" t="s">
        <v>251</v>
      </c>
      <c r="H1644" s="36" t="s">
        <v>141</v>
      </c>
    </row>
    <row r="1645" customFormat="false" ht="15" hidden="false" customHeight="false" outlineLevel="0" collapsed="false">
      <c r="A1645" s="36" t="s">
        <v>2097</v>
      </c>
      <c r="B1645" s="37" t="n">
        <v>46276</v>
      </c>
      <c r="C1645" s="36" t="s">
        <v>42</v>
      </c>
      <c r="D1645" s="36" t="s">
        <v>696</v>
      </c>
      <c r="E1645" s="36" t="n">
        <v>1</v>
      </c>
      <c r="F1645" s="36" t="n">
        <v>190</v>
      </c>
      <c r="G1645" s="36" t="s">
        <v>246</v>
      </c>
      <c r="H1645" s="36" t="s">
        <v>308</v>
      </c>
    </row>
    <row r="1646" customFormat="false" ht="15" hidden="false" customHeight="false" outlineLevel="0" collapsed="false">
      <c r="A1646" s="36" t="s">
        <v>2098</v>
      </c>
      <c r="B1646" s="36" t="s">
        <v>2090</v>
      </c>
      <c r="C1646" s="36" t="s">
        <v>241</v>
      </c>
      <c r="D1646" s="36" t="s">
        <v>170</v>
      </c>
      <c r="E1646" s="36" t="n">
        <v>2</v>
      </c>
      <c r="F1646" s="36" t="s">
        <v>339</v>
      </c>
      <c r="G1646" s="36" t="s">
        <v>246</v>
      </c>
      <c r="H1646" s="36" t="s">
        <v>321</v>
      </c>
    </row>
    <row r="1647" customFormat="false" ht="15" hidden="false" customHeight="false" outlineLevel="0" collapsed="false">
      <c r="A1647" s="36" t="s">
        <v>2099</v>
      </c>
      <c r="B1647" s="36" t="s">
        <v>709</v>
      </c>
      <c r="C1647" s="36" t="s">
        <v>294</v>
      </c>
      <c r="D1647" s="36" t="s">
        <v>171</v>
      </c>
      <c r="E1647" s="36" t="n">
        <v>4</v>
      </c>
      <c r="F1647" s="36" t="s">
        <v>457</v>
      </c>
      <c r="G1647" s="36" t="s">
        <v>251</v>
      </c>
      <c r="H1647" s="36" t="s">
        <v>306</v>
      </c>
    </row>
    <row r="1648" customFormat="false" ht="15" hidden="false" customHeight="false" outlineLevel="0" collapsed="false">
      <c r="A1648" s="36" t="s">
        <v>2100</v>
      </c>
      <c r="B1648" s="36" t="s">
        <v>2090</v>
      </c>
      <c r="C1648" s="36" t="s">
        <v>241</v>
      </c>
      <c r="D1648" s="36" t="s">
        <v>223</v>
      </c>
      <c r="E1648" s="36" t="n">
        <v>2</v>
      </c>
      <c r="F1648" s="36" t="n">
        <v>130</v>
      </c>
      <c r="G1648" s="36" t="s">
        <v>260</v>
      </c>
      <c r="H1648" s="36" t="s">
        <v>131</v>
      </c>
    </row>
    <row r="1649" customFormat="false" ht="15" hidden="false" customHeight="false" outlineLevel="0" collapsed="false">
      <c r="A1649" s="36" t="s">
        <v>2101</v>
      </c>
      <c r="B1649" s="37" t="n">
        <v>46276</v>
      </c>
      <c r="C1649" s="36" t="s">
        <v>249</v>
      </c>
      <c r="D1649" s="36" t="s">
        <v>187</v>
      </c>
      <c r="E1649" s="36" t="n">
        <v>1</v>
      </c>
      <c r="F1649" s="36" t="s">
        <v>331</v>
      </c>
      <c r="G1649" s="36" t="s">
        <v>256</v>
      </c>
      <c r="H1649" s="36" t="s">
        <v>131</v>
      </c>
    </row>
    <row r="1650" customFormat="false" ht="15" hidden="false" customHeight="false" outlineLevel="0" collapsed="false">
      <c r="A1650" s="36" t="s">
        <v>2102</v>
      </c>
      <c r="B1650" s="36" t="s">
        <v>709</v>
      </c>
      <c r="C1650" s="36" t="s">
        <v>241</v>
      </c>
      <c r="D1650" s="36" t="s">
        <v>186</v>
      </c>
      <c r="E1650" s="36" t="n">
        <v>4</v>
      </c>
      <c r="F1650" s="36" t="s">
        <v>584</v>
      </c>
      <c r="G1650" s="36" t="s">
        <v>243</v>
      </c>
      <c r="H1650" s="36" t="s">
        <v>247</v>
      </c>
    </row>
    <row r="1651" customFormat="false" ht="15" hidden="false" customHeight="false" outlineLevel="0" collapsed="false">
      <c r="A1651" s="36" t="s">
        <v>2103</v>
      </c>
      <c r="B1651" s="37" t="n">
        <v>46276</v>
      </c>
      <c r="C1651" s="36" t="s">
        <v>254</v>
      </c>
      <c r="D1651" s="36" t="s">
        <v>158</v>
      </c>
      <c r="E1651" s="36" t="n">
        <v>4</v>
      </c>
      <c r="F1651" s="36" t="s">
        <v>369</v>
      </c>
      <c r="G1651" s="36" t="s">
        <v>256</v>
      </c>
      <c r="H1651" s="36" t="s">
        <v>145</v>
      </c>
    </row>
    <row r="1652" customFormat="false" ht="15" hidden="false" customHeight="false" outlineLevel="0" collapsed="false">
      <c r="A1652" s="36" t="s">
        <v>2104</v>
      </c>
      <c r="B1652" s="36" t="s">
        <v>2090</v>
      </c>
      <c r="C1652" s="36" t="s">
        <v>254</v>
      </c>
      <c r="D1652" s="36" t="s">
        <v>143</v>
      </c>
      <c r="E1652" s="36" t="n">
        <v>1</v>
      </c>
      <c r="F1652" s="36" t="n">
        <v>330</v>
      </c>
      <c r="G1652" s="36" t="s">
        <v>270</v>
      </c>
      <c r="H1652" s="36" t="s">
        <v>132</v>
      </c>
    </row>
    <row r="1653" customFormat="false" ht="15" hidden="false" customHeight="false" outlineLevel="0" collapsed="false">
      <c r="A1653" s="36" t="s">
        <v>2105</v>
      </c>
      <c r="B1653" s="36" t="s">
        <v>2090</v>
      </c>
      <c r="C1653" s="36" t="s">
        <v>254</v>
      </c>
      <c r="D1653" s="36" t="s">
        <v>225</v>
      </c>
      <c r="E1653" s="36" t="n">
        <v>1</v>
      </c>
      <c r="F1653" s="36" t="n">
        <v>350</v>
      </c>
      <c r="G1653" s="36" t="s">
        <v>243</v>
      </c>
      <c r="H1653" s="36" t="s">
        <v>308</v>
      </c>
    </row>
    <row r="1654" customFormat="false" ht="15" hidden="false" customHeight="false" outlineLevel="0" collapsed="false">
      <c r="A1654" s="36" t="s">
        <v>2106</v>
      </c>
      <c r="B1654" s="36" t="s">
        <v>709</v>
      </c>
      <c r="C1654" s="36" t="s">
        <v>249</v>
      </c>
      <c r="D1654" s="36" t="s">
        <v>242</v>
      </c>
      <c r="E1654" s="36" t="n">
        <v>4</v>
      </c>
      <c r="F1654" s="36" t="n">
        <v>380</v>
      </c>
      <c r="G1654" s="36" t="s">
        <v>256</v>
      </c>
      <c r="H1654" s="36" t="s">
        <v>131</v>
      </c>
    </row>
    <row r="1655" customFormat="false" ht="15" hidden="false" customHeight="false" outlineLevel="0" collapsed="false">
      <c r="A1655" s="36" t="s">
        <v>2107</v>
      </c>
      <c r="B1655" s="36" t="s">
        <v>2090</v>
      </c>
      <c r="C1655" s="36" t="s">
        <v>254</v>
      </c>
      <c r="D1655" s="36" t="s">
        <v>233</v>
      </c>
      <c r="E1655" s="36" t="n">
        <v>2</v>
      </c>
      <c r="F1655" s="36" t="n">
        <v>130</v>
      </c>
      <c r="G1655" s="36" t="s">
        <v>267</v>
      </c>
      <c r="H1655" s="36" t="s">
        <v>132</v>
      </c>
    </row>
    <row r="1656" customFormat="false" ht="15" hidden="false" customHeight="false" outlineLevel="0" collapsed="false">
      <c r="A1656" s="36" t="s">
        <v>2108</v>
      </c>
      <c r="B1656" s="36" t="s">
        <v>709</v>
      </c>
      <c r="C1656" s="36" t="s">
        <v>42</v>
      </c>
      <c r="D1656" s="36" t="s">
        <v>192</v>
      </c>
      <c r="E1656" s="36" t="n">
        <v>4</v>
      </c>
      <c r="F1656" s="36" t="s">
        <v>323</v>
      </c>
      <c r="G1656" s="36" t="s">
        <v>246</v>
      </c>
      <c r="H1656" s="36" t="s">
        <v>146</v>
      </c>
    </row>
    <row r="1657" customFormat="false" ht="15" hidden="false" customHeight="false" outlineLevel="0" collapsed="false">
      <c r="A1657" s="36" t="s">
        <v>2109</v>
      </c>
      <c r="B1657" s="36" t="s">
        <v>709</v>
      </c>
      <c r="C1657" s="36" t="s">
        <v>294</v>
      </c>
      <c r="D1657" s="36" t="s">
        <v>222</v>
      </c>
      <c r="E1657" s="36" t="n">
        <v>1</v>
      </c>
      <c r="F1657" s="36" t="s">
        <v>665</v>
      </c>
      <c r="G1657" s="36" t="s">
        <v>270</v>
      </c>
      <c r="H1657" s="36" t="s">
        <v>247</v>
      </c>
    </row>
    <row r="1658" customFormat="false" ht="15" hidden="false" customHeight="false" outlineLevel="0" collapsed="false">
      <c r="A1658" s="36" t="s">
        <v>2110</v>
      </c>
      <c r="B1658" s="36" t="s">
        <v>709</v>
      </c>
      <c r="C1658" s="36" t="s">
        <v>249</v>
      </c>
      <c r="D1658" s="36" t="s">
        <v>207</v>
      </c>
      <c r="E1658" s="36" t="n">
        <v>1</v>
      </c>
      <c r="F1658" s="36" t="n">
        <v>280</v>
      </c>
      <c r="G1658" s="36" t="s">
        <v>243</v>
      </c>
      <c r="H1658" s="36" t="s">
        <v>306</v>
      </c>
    </row>
    <row r="1659" customFormat="false" ht="15" hidden="false" customHeight="false" outlineLevel="0" collapsed="false">
      <c r="A1659" s="36" t="s">
        <v>2111</v>
      </c>
      <c r="B1659" s="36" t="s">
        <v>2090</v>
      </c>
      <c r="C1659" s="36" t="s">
        <v>249</v>
      </c>
      <c r="D1659" s="36" t="s">
        <v>151</v>
      </c>
      <c r="E1659" s="36" t="n">
        <v>1</v>
      </c>
      <c r="F1659" s="36" t="s">
        <v>380</v>
      </c>
      <c r="G1659" s="36" t="s">
        <v>270</v>
      </c>
      <c r="H1659" s="36" t="s">
        <v>141</v>
      </c>
    </row>
    <row r="1660" customFormat="false" ht="15" hidden="false" customHeight="false" outlineLevel="0" collapsed="false">
      <c r="A1660" s="36" t="s">
        <v>2112</v>
      </c>
      <c r="B1660" s="36" t="s">
        <v>709</v>
      </c>
      <c r="C1660" s="36" t="s">
        <v>241</v>
      </c>
      <c r="D1660" s="36" t="s">
        <v>198</v>
      </c>
      <c r="E1660" s="36" t="n">
        <v>3</v>
      </c>
      <c r="F1660" s="36" t="n">
        <v>95</v>
      </c>
      <c r="G1660" s="36" t="s">
        <v>256</v>
      </c>
      <c r="H1660" s="36" t="s">
        <v>141</v>
      </c>
    </row>
    <row r="1661" customFormat="false" ht="15" hidden="false" customHeight="false" outlineLevel="0" collapsed="false">
      <c r="A1661" s="36" t="s">
        <v>2113</v>
      </c>
      <c r="B1661" s="36" t="s">
        <v>2090</v>
      </c>
      <c r="C1661" s="36" t="s">
        <v>249</v>
      </c>
      <c r="D1661" s="36" t="s">
        <v>646</v>
      </c>
      <c r="E1661" s="36" t="s">
        <v>403</v>
      </c>
      <c r="F1661" s="36" t="n">
        <v>110</v>
      </c>
      <c r="G1661" s="36" t="s">
        <v>270</v>
      </c>
      <c r="H1661" s="36" t="s">
        <v>145</v>
      </c>
    </row>
    <row r="1662" customFormat="false" ht="15" hidden="false" customHeight="false" outlineLevel="0" collapsed="false">
      <c r="A1662" s="36" t="s">
        <v>2114</v>
      </c>
      <c r="B1662" s="36" t="s">
        <v>2090</v>
      </c>
      <c r="C1662" s="36" t="s">
        <v>294</v>
      </c>
      <c r="D1662" s="36" t="s">
        <v>530</v>
      </c>
      <c r="E1662" s="36" t="n">
        <v>1</v>
      </c>
      <c r="F1662" s="36" t="s">
        <v>344</v>
      </c>
      <c r="G1662" s="36" t="s">
        <v>251</v>
      </c>
      <c r="H1662" s="36" t="s">
        <v>145</v>
      </c>
    </row>
    <row r="1663" customFormat="false" ht="15" hidden="false" customHeight="false" outlineLevel="0" collapsed="false">
      <c r="A1663" s="36" t="s">
        <v>2115</v>
      </c>
      <c r="B1663" s="36" t="s">
        <v>709</v>
      </c>
      <c r="C1663" s="36" t="s">
        <v>294</v>
      </c>
      <c r="D1663" s="36" t="s">
        <v>166</v>
      </c>
      <c r="E1663" s="36" t="n">
        <v>2</v>
      </c>
      <c r="F1663" s="36" t="s">
        <v>269</v>
      </c>
      <c r="G1663" s="36" t="s">
        <v>260</v>
      </c>
      <c r="H1663" s="36" t="s">
        <v>132</v>
      </c>
    </row>
    <row r="1664" customFormat="false" ht="15" hidden="false" customHeight="false" outlineLevel="0" collapsed="false">
      <c r="A1664" s="36" t="s">
        <v>2116</v>
      </c>
      <c r="B1664" s="36" t="s">
        <v>709</v>
      </c>
      <c r="C1664" s="36" t="s">
        <v>249</v>
      </c>
      <c r="D1664" s="36" t="s">
        <v>215</v>
      </c>
      <c r="E1664" s="36" t="n">
        <v>1</v>
      </c>
      <c r="F1664" s="36" t="n">
        <v>50</v>
      </c>
      <c r="G1664" s="36" t="s">
        <v>260</v>
      </c>
      <c r="H1664" s="36" t="s">
        <v>247</v>
      </c>
    </row>
    <row r="1665" customFormat="false" ht="15" hidden="false" customHeight="false" outlineLevel="0" collapsed="false">
      <c r="A1665" s="36" t="s">
        <v>2117</v>
      </c>
      <c r="B1665" s="36" t="s">
        <v>2090</v>
      </c>
      <c r="C1665" s="36" t="s">
        <v>249</v>
      </c>
      <c r="D1665" s="36" t="s">
        <v>201</v>
      </c>
      <c r="E1665" s="36" t="n">
        <v>3</v>
      </c>
      <c r="F1665" s="36" t="s">
        <v>600</v>
      </c>
      <c r="G1665" s="36" t="s">
        <v>243</v>
      </c>
      <c r="H1665" s="36" t="s">
        <v>247</v>
      </c>
    </row>
    <row r="1666" customFormat="false" ht="15" hidden="false" customHeight="false" outlineLevel="0" collapsed="false">
      <c r="A1666" s="36" t="s">
        <v>2118</v>
      </c>
      <c r="B1666" s="36" t="s">
        <v>709</v>
      </c>
      <c r="C1666" s="36" t="s">
        <v>249</v>
      </c>
      <c r="D1666" s="36" t="s">
        <v>223</v>
      </c>
      <c r="E1666" s="36" t="n">
        <v>2</v>
      </c>
      <c r="F1666" s="36" t="s">
        <v>255</v>
      </c>
      <c r="G1666" s="36" t="s">
        <v>246</v>
      </c>
      <c r="H1666" s="36" t="s">
        <v>132</v>
      </c>
    </row>
    <row r="1667" customFormat="false" ht="15" hidden="false" customHeight="false" outlineLevel="0" collapsed="false">
      <c r="A1667" s="36" t="s">
        <v>2119</v>
      </c>
      <c r="B1667" s="36" t="s">
        <v>2090</v>
      </c>
      <c r="C1667" s="36" t="s">
        <v>42</v>
      </c>
      <c r="D1667" s="36" t="s">
        <v>224</v>
      </c>
      <c r="E1667" s="36" t="n">
        <v>6</v>
      </c>
      <c r="F1667" s="36" t="n">
        <v>130</v>
      </c>
      <c r="G1667" s="36" t="s">
        <v>256</v>
      </c>
      <c r="H1667" s="36" t="s">
        <v>141</v>
      </c>
    </row>
    <row r="1668" customFormat="false" ht="15" hidden="false" customHeight="false" outlineLevel="0" collapsed="false">
      <c r="A1668" s="36" t="s">
        <v>2120</v>
      </c>
      <c r="B1668" s="36" t="s">
        <v>709</v>
      </c>
      <c r="C1668" s="36" t="s">
        <v>241</v>
      </c>
      <c r="D1668" s="36" t="s">
        <v>640</v>
      </c>
      <c r="E1668" s="36" t="n">
        <v>2</v>
      </c>
      <c r="F1668" s="36" t="n">
        <v>150</v>
      </c>
      <c r="G1668" s="36" t="s">
        <v>267</v>
      </c>
      <c r="H1668" s="36" t="s">
        <v>132</v>
      </c>
    </row>
    <row r="1669" customFormat="false" ht="15" hidden="false" customHeight="false" outlineLevel="0" collapsed="false">
      <c r="A1669" s="36" t="s">
        <v>2121</v>
      </c>
      <c r="B1669" s="36" t="s">
        <v>709</v>
      </c>
      <c r="C1669" s="36" t="s">
        <v>241</v>
      </c>
      <c r="D1669" s="36" t="s">
        <v>159</v>
      </c>
      <c r="E1669" s="36" t="n">
        <v>2</v>
      </c>
      <c r="F1669" s="36" t="s">
        <v>380</v>
      </c>
      <c r="G1669" s="36" t="s">
        <v>246</v>
      </c>
      <c r="H1669" s="36" t="s">
        <v>141</v>
      </c>
    </row>
    <row r="1670" customFormat="false" ht="15" hidden="false" customHeight="false" outlineLevel="0" collapsed="false">
      <c r="A1670" s="36" t="s">
        <v>2122</v>
      </c>
      <c r="B1670" s="36" t="s">
        <v>709</v>
      </c>
      <c r="C1670" s="36" t="s">
        <v>254</v>
      </c>
      <c r="D1670" s="36" t="s">
        <v>461</v>
      </c>
      <c r="E1670" s="36" t="n">
        <v>1</v>
      </c>
      <c r="F1670" s="36" t="n">
        <v>210</v>
      </c>
      <c r="G1670" s="36" t="s">
        <v>270</v>
      </c>
      <c r="H1670" s="36" t="s">
        <v>247</v>
      </c>
    </row>
    <row r="1671" customFormat="false" ht="15" hidden="false" customHeight="false" outlineLevel="0" collapsed="false">
      <c r="A1671" s="36" t="s">
        <v>2123</v>
      </c>
      <c r="B1671" s="36" t="s">
        <v>709</v>
      </c>
      <c r="C1671" s="36" t="s">
        <v>294</v>
      </c>
      <c r="D1671" s="36" t="s">
        <v>197</v>
      </c>
      <c r="E1671" s="36" t="n">
        <v>1</v>
      </c>
      <c r="F1671" s="36" t="s">
        <v>344</v>
      </c>
      <c r="G1671" s="36" t="s">
        <v>260</v>
      </c>
      <c r="H1671" s="36" t="s">
        <v>132</v>
      </c>
    </row>
    <row r="1672" customFormat="false" ht="15" hidden="false" customHeight="false" outlineLevel="0" collapsed="false">
      <c r="A1672" s="36" t="s">
        <v>2124</v>
      </c>
      <c r="B1672" s="36" t="s">
        <v>709</v>
      </c>
      <c r="C1672" s="36" t="s">
        <v>241</v>
      </c>
      <c r="D1672" s="36" t="s">
        <v>158</v>
      </c>
      <c r="E1672" s="36" t="n">
        <v>2</v>
      </c>
      <c r="F1672" s="36" t="s">
        <v>369</v>
      </c>
      <c r="G1672" s="36" t="s">
        <v>251</v>
      </c>
      <c r="H1672" s="36" t="s">
        <v>308</v>
      </c>
    </row>
    <row r="1673" customFormat="false" ht="15" hidden="false" customHeight="false" outlineLevel="0" collapsed="false">
      <c r="A1673" s="36" t="s">
        <v>2125</v>
      </c>
      <c r="B1673" s="36" t="s">
        <v>709</v>
      </c>
      <c r="C1673" s="36" t="s">
        <v>249</v>
      </c>
      <c r="D1673" s="36" t="s">
        <v>222</v>
      </c>
      <c r="E1673" s="36" t="n">
        <v>3</v>
      </c>
      <c r="F1673" s="36" t="n">
        <v>420</v>
      </c>
      <c r="G1673" s="36" t="s">
        <v>243</v>
      </c>
      <c r="H1673" s="36" t="s">
        <v>131</v>
      </c>
    </row>
    <row r="1674" customFormat="false" ht="15" hidden="false" customHeight="false" outlineLevel="0" collapsed="false">
      <c r="A1674" s="36" t="s">
        <v>2126</v>
      </c>
      <c r="B1674" s="36" t="s">
        <v>2090</v>
      </c>
      <c r="C1674" s="36" t="s">
        <v>294</v>
      </c>
      <c r="D1674" s="36" t="s">
        <v>198</v>
      </c>
      <c r="E1674" s="36" t="n">
        <v>1</v>
      </c>
      <c r="F1674" s="36" t="s">
        <v>325</v>
      </c>
      <c r="G1674" s="36" t="s">
        <v>251</v>
      </c>
      <c r="H1674" s="36" t="s">
        <v>141</v>
      </c>
    </row>
    <row r="1675" customFormat="false" ht="15" hidden="false" customHeight="false" outlineLevel="0" collapsed="false">
      <c r="A1675" s="36" t="s">
        <v>2127</v>
      </c>
      <c r="B1675" s="36" t="s">
        <v>709</v>
      </c>
      <c r="C1675" s="36" t="s">
        <v>294</v>
      </c>
      <c r="D1675" s="36" t="s">
        <v>471</v>
      </c>
      <c r="E1675" s="36" t="n">
        <v>4</v>
      </c>
      <c r="F1675" s="36" t="s">
        <v>505</v>
      </c>
      <c r="G1675" s="36" t="s">
        <v>270</v>
      </c>
      <c r="H1675" s="36" t="s">
        <v>306</v>
      </c>
    </row>
    <row r="1676" customFormat="false" ht="15" hidden="false" customHeight="false" outlineLevel="0" collapsed="false">
      <c r="A1676" s="36" t="s">
        <v>2128</v>
      </c>
      <c r="B1676" s="36" t="s">
        <v>2090</v>
      </c>
      <c r="C1676" s="36" t="s">
        <v>254</v>
      </c>
      <c r="D1676" s="36" t="s">
        <v>184</v>
      </c>
      <c r="E1676" s="36" t="n">
        <v>3</v>
      </c>
      <c r="F1676" s="36" t="s">
        <v>387</v>
      </c>
      <c r="G1676" s="36" t="s">
        <v>256</v>
      </c>
      <c r="H1676" s="36" t="s">
        <v>141</v>
      </c>
    </row>
    <row r="1677" customFormat="false" ht="15" hidden="false" customHeight="false" outlineLevel="0" collapsed="false">
      <c r="A1677" s="36" t="s">
        <v>2129</v>
      </c>
      <c r="B1677" s="36" t="s">
        <v>709</v>
      </c>
      <c r="C1677" s="36" t="s">
        <v>249</v>
      </c>
      <c r="D1677" s="36" t="s">
        <v>178</v>
      </c>
      <c r="E1677" s="36" t="n">
        <v>2</v>
      </c>
      <c r="F1677" s="36" t="n">
        <v>280</v>
      </c>
      <c r="G1677" s="36" t="s">
        <v>251</v>
      </c>
      <c r="H1677" s="36" t="s">
        <v>141</v>
      </c>
    </row>
    <row r="1678" customFormat="false" ht="15" hidden="false" customHeight="false" outlineLevel="0" collapsed="false">
      <c r="A1678" s="36" t="s">
        <v>2130</v>
      </c>
      <c r="B1678" s="36" t="s">
        <v>709</v>
      </c>
      <c r="C1678" s="36" t="s">
        <v>254</v>
      </c>
      <c r="D1678" s="36" t="s">
        <v>195</v>
      </c>
      <c r="E1678" s="36" t="n">
        <v>2</v>
      </c>
      <c r="F1678" s="36" t="s">
        <v>319</v>
      </c>
      <c r="G1678" s="36" t="s">
        <v>256</v>
      </c>
      <c r="H1678" s="36" t="s">
        <v>132</v>
      </c>
    </row>
    <row r="1679" customFormat="false" ht="15" hidden="false" customHeight="false" outlineLevel="0" collapsed="false">
      <c r="A1679" s="36" t="s">
        <v>2131</v>
      </c>
      <c r="B1679" s="36" t="s">
        <v>709</v>
      </c>
      <c r="C1679" s="36" t="s">
        <v>42</v>
      </c>
      <c r="D1679" s="36" t="s">
        <v>188</v>
      </c>
      <c r="E1679" s="36" t="n">
        <v>1</v>
      </c>
      <c r="F1679" s="36" t="s">
        <v>313</v>
      </c>
      <c r="G1679" s="36" t="s">
        <v>263</v>
      </c>
      <c r="H1679" s="36" t="s">
        <v>140</v>
      </c>
    </row>
    <row r="1680" customFormat="false" ht="15" hidden="false" customHeight="false" outlineLevel="0" collapsed="false">
      <c r="A1680" s="36" t="s">
        <v>2132</v>
      </c>
      <c r="B1680" s="36" t="s">
        <v>709</v>
      </c>
      <c r="C1680" s="36" t="s">
        <v>241</v>
      </c>
      <c r="D1680" s="36" t="s">
        <v>181</v>
      </c>
      <c r="E1680" s="36" t="n">
        <v>1</v>
      </c>
      <c r="F1680" s="36" t="s">
        <v>659</v>
      </c>
      <c r="G1680" s="36" t="s">
        <v>256</v>
      </c>
      <c r="H1680" s="36" t="s">
        <v>141</v>
      </c>
    </row>
    <row r="1681" customFormat="false" ht="15" hidden="false" customHeight="false" outlineLevel="0" collapsed="false">
      <c r="A1681" s="36" t="s">
        <v>2133</v>
      </c>
      <c r="B1681" s="36" t="s">
        <v>709</v>
      </c>
      <c r="C1681" s="36" t="s">
        <v>249</v>
      </c>
      <c r="D1681" s="36" t="s">
        <v>440</v>
      </c>
      <c r="E1681" s="36" t="n">
        <v>3</v>
      </c>
      <c r="F1681" s="36" t="s">
        <v>269</v>
      </c>
      <c r="G1681" s="36" t="s">
        <v>251</v>
      </c>
      <c r="H1681" s="36" t="s">
        <v>146</v>
      </c>
    </row>
    <row r="1682" customFormat="false" ht="15" hidden="false" customHeight="false" outlineLevel="0" collapsed="false">
      <c r="A1682" s="36" t="s">
        <v>2134</v>
      </c>
      <c r="B1682" s="36" t="s">
        <v>709</v>
      </c>
      <c r="C1682" s="36" t="s">
        <v>333</v>
      </c>
      <c r="D1682" s="36" t="s">
        <v>312</v>
      </c>
      <c r="E1682" s="36" t="n">
        <v>1</v>
      </c>
      <c r="F1682" s="36" t="s">
        <v>313</v>
      </c>
      <c r="G1682" s="36" t="s">
        <v>246</v>
      </c>
      <c r="H1682" s="36" t="s">
        <v>306</v>
      </c>
    </row>
    <row r="1683" customFormat="false" ht="15" hidden="false" customHeight="false" outlineLevel="0" collapsed="false">
      <c r="A1683" s="36" t="s">
        <v>2135</v>
      </c>
      <c r="B1683" s="36" t="s">
        <v>2090</v>
      </c>
      <c r="C1683" s="36" t="s">
        <v>43</v>
      </c>
      <c r="D1683" s="36" t="s">
        <v>515</v>
      </c>
      <c r="E1683" s="36" t="n">
        <v>1</v>
      </c>
      <c r="F1683" s="36" t="n">
        <v>130</v>
      </c>
      <c r="G1683" s="36" t="s">
        <v>246</v>
      </c>
      <c r="H1683" s="36" t="s">
        <v>145</v>
      </c>
    </row>
    <row r="1684" customFormat="false" ht="15" hidden="false" customHeight="false" outlineLevel="0" collapsed="false">
      <c r="A1684" s="36" t="s">
        <v>2136</v>
      </c>
      <c r="B1684" s="36" t="s">
        <v>709</v>
      </c>
      <c r="C1684" s="36" t="s">
        <v>335</v>
      </c>
      <c r="D1684" s="36" t="s">
        <v>204</v>
      </c>
      <c r="E1684" s="36" t="n">
        <v>4</v>
      </c>
      <c r="F1684" s="36" t="s">
        <v>420</v>
      </c>
      <c r="G1684" s="36" t="s">
        <v>260</v>
      </c>
      <c r="H1684" s="36" t="s">
        <v>308</v>
      </c>
    </row>
    <row r="1685" customFormat="false" ht="15" hidden="false" customHeight="false" outlineLevel="0" collapsed="false">
      <c r="A1685" s="36" t="s">
        <v>2137</v>
      </c>
      <c r="B1685" s="36" t="s">
        <v>709</v>
      </c>
      <c r="C1685" s="36" t="s">
        <v>139</v>
      </c>
      <c r="D1685" s="36" t="s">
        <v>571</v>
      </c>
      <c r="E1685" s="36" t="n">
        <v>1</v>
      </c>
      <c r="F1685" s="36" t="n">
        <v>210</v>
      </c>
      <c r="G1685" s="36" t="s">
        <v>260</v>
      </c>
      <c r="H1685" s="36" t="s">
        <v>308</v>
      </c>
    </row>
    <row r="1686" customFormat="false" ht="15" hidden="false" customHeight="false" outlineLevel="0" collapsed="false">
      <c r="A1686" s="36" t="s">
        <v>2138</v>
      </c>
      <c r="B1686" s="36" t="s">
        <v>709</v>
      </c>
      <c r="C1686" s="36" t="s">
        <v>333</v>
      </c>
      <c r="D1686" s="36" t="s">
        <v>171</v>
      </c>
      <c r="E1686" s="36" t="n">
        <v>1</v>
      </c>
      <c r="F1686" s="36" t="n">
        <v>65</v>
      </c>
      <c r="G1686" s="36" t="s">
        <v>251</v>
      </c>
      <c r="H1686" s="36" t="s">
        <v>321</v>
      </c>
    </row>
    <row r="1687" customFormat="false" ht="15" hidden="false" customHeight="false" outlineLevel="0" collapsed="false">
      <c r="A1687" s="36" t="s">
        <v>2139</v>
      </c>
      <c r="B1687" s="36" t="s">
        <v>709</v>
      </c>
      <c r="C1687" s="36" t="s">
        <v>43</v>
      </c>
      <c r="D1687" s="36" t="s">
        <v>342</v>
      </c>
      <c r="E1687" s="36" t="n">
        <v>2</v>
      </c>
      <c r="F1687" s="36" t="s">
        <v>344</v>
      </c>
      <c r="G1687" s="36" t="s">
        <v>246</v>
      </c>
      <c r="H1687" s="36" t="s">
        <v>247</v>
      </c>
    </row>
    <row r="1688" customFormat="false" ht="15" hidden="false" customHeight="false" outlineLevel="0" collapsed="false">
      <c r="A1688" s="36" t="s">
        <v>2140</v>
      </c>
      <c r="B1688" s="36" t="s">
        <v>2090</v>
      </c>
      <c r="C1688" s="36" t="s">
        <v>43</v>
      </c>
      <c r="D1688" s="36" t="s">
        <v>164</v>
      </c>
      <c r="E1688" s="36" t="n">
        <v>3</v>
      </c>
      <c r="F1688" s="36" t="n">
        <v>450</v>
      </c>
      <c r="G1688" s="36" t="s">
        <v>246</v>
      </c>
      <c r="H1688" s="36" t="s">
        <v>132</v>
      </c>
    </row>
    <row r="1689" customFormat="false" ht="15" hidden="false" customHeight="false" outlineLevel="0" collapsed="false">
      <c r="A1689" s="36" t="s">
        <v>2141</v>
      </c>
      <c r="B1689" s="37" t="n">
        <v>46276</v>
      </c>
      <c r="C1689" s="36" t="s">
        <v>333</v>
      </c>
      <c r="D1689" s="36" t="s">
        <v>181</v>
      </c>
      <c r="E1689" s="36" t="n">
        <v>3</v>
      </c>
      <c r="F1689" s="36" t="s">
        <v>984</v>
      </c>
      <c r="G1689" s="36" t="s">
        <v>260</v>
      </c>
      <c r="H1689" s="36" t="s">
        <v>247</v>
      </c>
    </row>
    <row r="1690" customFormat="false" ht="15" hidden="false" customHeight="false" outlineLevel="0" collapsed="false">
      <c r="A1690" s="36" t="s">
        <v>2142</v>
      </c>
      <c r="B1690" s="37" t="n">
        <v>46276</v>
      </c>
      <c r="C1690" s="36" t="s">
        <v>43</v>
      </c>
      <c r="D1690" s="36" t="s">
        <v>864</v>
      </c>
      <c r="E1690" s="36" t="n">
        <v>2</v>
      </c>
      <c r="F1690" s="36" t="n">
        <v>40</v>
      </c>
      <c r="G1690" s="36" t="s">
        <v>267</v>
      </c>
      <c r="H1690" s="36" t="s">
        <v>308</v>
      </c>
    </row>
    <row r="1691" customFormat="false" ht="15" hidden="false" customHeight="false" outlineLevel="0" collapsed="false">
      <c r="A1691" s="36" t="s">
        <v>2143</v>
      </c>
      <c r="B1691" s="36" t="s">
        <v>709</v>
      </c>
      <c r="C1691" s="36" t="s">
        <v>335</v>
      </c>
      <c r="D1691" s="36" t="s">
        <v>230</v>
      </c>
      <c r="E1691" s="36" t="n">
        <v>3</v>
      </c>
      <c r="F1691" s="36" t="s">
        <v>507</v>
      </c>
      <c r="G1691" s="36" t="s">
        <v>267</v>
      </c>
      <c r="H1691" s="36" t="s">
        <v>141</v>
      </c>
    </row>
    <row r="1692" customFormat="false" ht="15" hidden="false" customHeight="false" outlineLevel="0" collapsed="false">
      <c r="A1692" s="36" t="s">
        <v>2144</v>
      </c>
      <c r="B1692" s="37" t="n">
        <v>46276</v>
      </c>
      <c r="C1692" s="36" t="s">
        <v>43</v>
      </c>
      <c r="D1692" s="36" t="s">
        <v>171</v>
      </c>
      <c r="E1692" s="36" t="n">
        <v>1</v>
      </c>
      <c r="F1692" s="36" t="s">
        <v>369</v>
      </c>
      <c r="G1692" s="36" t="s">
        <v>251</v>
      </c>
      <c r="H1692" s="36" t="s">
        <v>132</v>
      </c>
    </row>
    <row r="1693" customFormat="false" ht="15" hidden="false" customHeight="false" outlineLevel="0" collapsed="false">
      <c r="A1693" s="36" t="s">
        <v>2145</v>
      </c>
      <c r="B1693" s="36" t="s">
        <v>2090</v>
      </c>
      <c r="C1693" s="36" t="s">
        <v>43</v>
      </c>
      <c r="D1693" s="36" t="s">
        <v>180</v>
      </c>
      <c r="E1693" s="36" t="n">
        <v>6</v>
      </c>
      <c r="F1693" s="36" t="s">
        <v>552</v>
      </c>
      <c r="G1693" s="36" t="s">
        <v>251</v>
      </c>
      <c r="H1693" s="36" t="s">
        <v>131</v>
      </c>
    </row>
    <row r="1694" customFormat="false" ht="15" hidden="false" customHeight="false" outlineLevel="0" collapsed="false">
      <c r="A1694" s="36" t="s">
        <v>2146</v>
      </c>
      <c r="B1694" s="36" t="s">
        <v>709</v>
      </c>
      <c r="C1694" s="36" t="s">
        <v>43</v>
      </c>
      <c r="D1694" s="36" t="s">
        <v>208</v>
      </c>
      <c r="E1694" s="36" t="n">
        <v>3</v>
      </c>
      <c r="F1694" s="36" t="n">
        <v>252</v>
      </c>
      <c r="G1694" s="36" t="s">
        <v>270</v>
      </c>
      <c r="H1694" s="36" t="s">
        <v>131</v>
      </c>
    </row>
    <row r="1695" customFormat="false" ht="15" hidden="false" customHeight="false" outlineLevel="0" collapsed="false">
      <c r="A1695" s="36" t="s">
        <v>2147</v>
      </c>
      <c r="B1695" s="36" t="s">
        <v>709</v>
      </c>
      <c r="C1695" s="36" t="s">
        <v>335</v>
      </c>
      <c r="D1695" s="36" t="s">
        <v>173</v>
      </c>
      <c r="E1695" s="36" t="n">
        <v>3</v>
      </c>
      <c r="F1695" s="36" t="s">
        <v>505</v>
      </c>
      <c r="G1695" s="36" t="s">
        <v>267</v>
      </c>
      <c r="H1695" s="36" t="s">
        <v>146</v>
      </c>
    </row>
    <row r="1696" customFormat="false" ht="15" hidden="false" customHeight="false" outlineLevel="0" collapsed="false">
      <c r="A1696" s="36" t="s">
        <v>2148</v>
      </c>
      <c r="B1696" s="36" t="s">
        <v>709</v>
      </c>
      <c r="C1696" s="36" t="s">
        <v>43</v>
      </c>
      <c r="D1696" s="36" t="s">
        <v>158</v>
      </c>
      <c r="E1696" s="36" t="n">
        <v>2</v>
      </c>
      <c r="F1696" s="36" t="s">
        <v>369</v>
      </c>
      <c r="G1696" s="36" t="s">
        <v>267</v>
      </c>
      <c r="H1696" s="36" t="s">
        <v>247</v>
      </c>
    </row>
    <row r="1697" customFormat="false" ht="15" hidden="false" customHeight="false" outlineLevel="0" collapsed="false">
      <c r="A1697" s="36" t="s">
        <v>2149</v>
      </c>
      <c r="B1697" s="36" t="s">
        <v>2090</v>
      </c>
      <c r="C1697" s="36" t="s">
        <v>43</v>
      </c>
      <c r="D1697" s="36" t="s">
        <v>172</v>
      </c>
      <c r="E1697" s="36" t="n">
        <v>1</v>
      </c>
      <c r="F1697" s="36" t="s">
        <v>319</v>
      </c>
      <c r="G1697" s="36" t="s">
        <v>256</v>
      </c>
      <c r="H1697" s="36" t="s">
        <v>141</v>
      </c>
    </row>
    <row r="1698" customFormat="false" ht="15" hidden="false" customHeight="false" outlineLevel="0" collapsed="false">
      <c r="A1698" s="36" t="s">
        <v>2150</v>
      </c>
      <c r="B1698" s="36" t="s">
        <v>709</v>
      </c>
      <c r="C1698" s="36" t="s">
        <v>43</v>
      </c>
      <c r="D1698" s="36" t="s">
        <v>2151</v>
      </c>
      <c r="E1698" s="36" t="n">
        <v>3</v>
      </c>
      <c r="F1698" s="36" t="n">
        <v>140</v>
      </c>
      <c r="G1698" s="36" t="s">
        <v>267</v>
      </c>
      <c r="H1698" s="36" t="s">
        <v>132</v>
      </c>
    </row>
    <row r="1699" customFormat="false" ht="15" hidden="false" customHeight="false" outlineLevel="0" collapsed="false">
      <c r="A1699" s="36" t="s">
        <v>855</v>
      </c>
      <c r="B1699" s="37" t="n">
        <v>46268</v>
      </c>
      <c r="C1699" s="36" t="s">
        <v>43</v>
      </c>
      <c r="D1699" s="36" t="s">
        <v>134</v>
      </c>
      <c r="E1699" s="36" t="n">
        <v>-1</v>
      </c>
      <c r="F1699" s="36" t="n">
        <v>190</v>
      </c>
      <c r="G1699" s="36" t="s">
        <v>243</v>
      </c>
      <c r="H1699" s="36" t="s">
        <v>247</v>
      </c>
    </row>
    <row r="1700" customFormat="false" ht="15" hidden="false" customHeight="false" outlineLevel="0" collapsed="false">
      <c r="A1700" s="36" t="s">
        <v>2152</v>
      </c>
      <c r="B1700" s="36" t="s">
        <v>709</v>
      </c>
      <c r="C1700" s="36" t="s">
        <v>335</v>
      </c>
      <c r="D1700" s="36" t="s">
        <v>174</v>
      </c>
      <c r="E1700" s="36" t="n">
        <v>1</v>
      </c>
      <c r="F1700" s="36" t="n">
        <v>210</v>
      </c>
      <c r="G1700" s="36" t="s">
        <v>270</v>
      </c>
      <c r="H1700" s="36" t="s">
        <v>141</v>
      </c>
    </row>
    <row r="1701" customFormat="false" ht="15" hidden="false" customHeight="false" outlineLevel="0" collapsed="false">
      <c r="A1701" s="36" t="s">
        <v>2153</v>
      </c>
      <c r="B1701" s="36" t="s">
        <v>2090</v>
      </c>
      <c r="C1701" s="36" t="s">
        <v>43</v>
      </c>
      <c r="D1701" s="36" t="s">
        <v>196</v>
      </c>
      <c r="E1701" s="36" t="n">
        <v>2</v>
      </c>
      <c r="F1701" s="36" t="s">
        <v>443</v>
      </c>
      <c r="G1701" s="36" t="s">
        <v>243</v>
      </c>
      <c r="H1701" s="36" t="s">
        <v>247</v>
      </c>
    </row>
    <row r="1702" customFormat="false" ht="15" hidden="false" customHeight="false" outlineLevel="0" collapsed="false">
      <c r="A1702" s="36" t="s">
        <v>2154</v>
      </c>
      <c r="B1702" s="37" t="n">
        <v>46276</v>
      </c>
      <c r="C1702" s="36" t="s">
        <v>333</v>
      </c>
      <c r="D1702" s="36" t="s">
        <v>327</v>
      </c>
      <c r="E1702" s="36" t="n">
        <v>4</v>
      </c>
      <c r="F1702" s="36" t="n">
        <v>120</v>
      </c>
      <c r="G1702" s="36" t="s">
        <v>246</v>
      </c>
      <c r="H1702" s="36" t="s">
        <v>132</v>
      </c>
    </row>
    <row r="1703" customFormat="false" ht="15" hidden="false" customHeight="false" outlineLevel="0" collapsed="false">
      <c r="A1703" s="36" t="s">
        <v>2155</v>
      </c>
      <c r="B1703" s="36" t="s">
        <v>2090</v>
      </c>
      <c r="C1703" s="36" t="s">
        <v>43</v>
      </c>
      <c r="D1703" s="36" t="s">
        <v>574</v>
      </c>
      <c r="E1703" s="36" t="n">
        <v>3</v>
      </c>
      <c r="F1703" s="36" t="s">
        <v>742</v>
      </c>
      <c r="G1703" s="36" t="s">
        <v>251</v>
      </c>
      <c r="H1703" s="36" t="s">
        <v>141</v>
      </c>
    </row>
    <row r="1704" customFormat="false" ht="15" hidden="false" customHeight="false" outlineLevel="0" collapsed="false">
      <c r="A1704" s="36" t="s">
        <v>2156</v>
      </c>
      <c r="B1704" s="36" t="s">
        <v>2090</v>
      </c>
      <c r="C1704" s="36" t="s">
        <v>43</v>
      </c>
      <c r="D1704" s="36" t="s">
        <v>176</v>
      </c>
      <c r="E1704" s="36" t="n">
        <v>1</v>
      </c>
      <c r="F1704" s="36" t="s">
        <v>384</v>
      </c>
      <c r="G1704" s="36" t="s">
        <v>256</v>
      </c>
      <c r="H1704" s="36" t="s">
        <v>141</v>
      </c>
    </row>
    <row r="1705" customFormat="false" ht="15" hidden="false" customHeight="false" outlineLevel="0" collapsed="false">
      <c r="A1705" s="36" t="s">
        <v>2157</v>
      </c>
      <c r="B1705" s="36" t="s">
        <v>709</v>
      </c>
      <c r="C1705" s="36" t="s">
        <v>333</v>
      </c>
      <c r="D1705" s="36" t="s">
        <v>2158</v>
      </c>
      <c r="E1705" s="36" t="n">
        <v>1</v>
      </c>
      <c r="F1705" s="36" t="n">
        <v>450</v>
      </c>
      <c r="G1705" s="36" t="s">
        <v>267</v>
      </c>
      <c r="H1705" s="36" t="s">
        <v>132</v>
      </c>
    </row>
    <row r="1706" customFormat="false" ht="15" hidden="false" customHeight="false" outlineLevel="0" collapsed="false">
      <c r="A1706" s="36" t="s">
        <v>2159</v>
      </c>
      <c r="B1706" s="36" t="s">
        <v>709</v>
      </c>
      <c r="C1706" s="36" t="s">
        <v>139</v>
      </c>
      <c r="D1706" s="36" t="s">
        <v>148</v>
      </c>
      <c r="E1706" s="36" t="n">
        <v>2</v>
      </c>
      <c r="F1706" s="36" t="s">
        <v>275</v>
      </c>
      <c r="G1706" s="36" t="s">
        <v>263</v>
      </c>
      <c r="H1706" s="36" t="s">
        <v>247</v>
      </c>
    </row>
    <row r="1707" customFormat="false" ht="15" hidden="false" customHeight="false" outlineLevel="0" collapsed="false">
      <c r="A1707" s="36" t="s">
        <v>2160</v>
      </c>
      <c r="B1707" s="36" t="s">
        <v>709</v>
      </c>
      <c r="C1707" s="36" t="s">
        <v>43</v>
      </c>
      <c r="D1707" s="36" t="s">
        <v>401</v>
      </c>
      <c r="E1707" s="36" t="n">
        <v>6</v>
      </c>
      <c r="F1707" s="36" t="n">
        <v>190</v>
      </c>
      <c r="G1707" s="36" t="s">
        <v>246</v>
      </c>
      <c r="H1707" s="36" t="s">
        <v>132</v>
      </c>
    </row>
    <row r="1708" customFormat="false" ht="15" hidden="false" customHeight="false" outlineLevel="0" collapsed="false">
      <c r="A1708" s="36" t="s">
        <v>2161</v>
      </c>
      <c r="B1708" s="36" t="s">
        <v>2090</v>
      </c>
      <c r="C1708" s="36" t="s">
        <v>139</v>
      </c>
      <c r="D1708" s="36" t="s">
        <v>1177</v>
      </c>
      <c r="E1708" s="36" t="n">
        <v>-4</v>
      </c>
      <c r="F1708" s="36" t="s">
        <v>259</v>
      </c>
      <c r="G1708" s="36" t="s">
        <v>267</v>
      </c>
      <c r="H1708" s="36" t="s">
        <v>141</v>
      </c>
    </row>
    <row r="1709" customFormat="false" ht="15" hidden="false" customHeight="false" outlineLevel="0" collapsed="false">
      <c r="A1709" s="36" t="s">
        <v>2162</v>
      </c>
      <c r="B1709" s="36" t="s">
        <v>709</v>
      </c>
      <c r="C1709" s="36" t="s">
        <v>43</v>
      </c>
      <c r="D1709" s="36" t="s">
        <v>299</v>
      </c>
      <c r="E1709" s="36" t="n">
        <v>1</v>
      </c>
      <c r="F1709" s="36" t="s">
        <v>319</v>
      </c>
      <c r="G1709" s="36" t="s">
        <v>243</v>
      </c>
      <c r="H1709" s="36" t="s">
        <v>131</v>
      </c>
    </row>
    <row r="1710" customFormat="false" ht="15" hidden="false" customHeight="false" outlineLevel="0" collapsed="false">
      <c r="A1710" s="36" t="s">
        <v>2163</v>
      </c>
      <c r="B1710" s="36" t="s">
        <v>709</v>
      </c>
      <c r="C1710" s="36" t="s">
        <v>43</v>
      </c>
      <c r="D1710" s="36" t="s">
        <v>151</v>
      </c>
      <c r="E1710" s="36" t="n">
        <v>1</v>
      </c>
      <c r="F1710" s="36" t="s">
        <v>275</v>
      </c>
      <c r="G1710" s="36" t="s">
        <v>260</v>
      </c>
      <c r="H1710" s="36" t="s">
        <v>131</v>
      </c>
    </row>
    <row r="1711" customFormat="false" ht="15" hidden="false" customHeight="false" outlineLevel="0" collapsed="false">
      <c r="A1711" s="36" t="s">
        <v>2164</v>
      </c>
      <c r="B1711" s="36" t="s">
        <v>2090</v>
      </c>
      <c r="C1711" s="36" t="s">
        <v>139</v>
      </c>
      <c r="D1711" s="36" t="s">
        <v>927</v>
      </c>
      <c r="E1711" s="36" t="n">
        <v>1</v>
      </c>
      <c r="F1711" s="36" t="n">
        <v>280</v>
      </c>
      <c r="G1711" s="36" t="s">
        <v>243</v>
      </c>
      <c r="H1711" s="36" t="s">
        <v>141</v>
      </c>
    </row>
    <row r="1712" customFormat="false" ht="15" hidden="false" customHeight="false" outlineLevel="0" collapsed="false">
      <c r="A1712" s="36" t="s">
        <v>2165</v>
      </c>
      <c r="B1712" s="36" t="s">
        <v>2166</v>
      </c>
      <c r="C1712" s="36" t="s">
        <v>45</v>
      </c>
      <c r="D1712" s="36" t="s">
        <v>290</v>
      </c>
      <c r="E1712" s="36" t="n">
        <v>6</v>
      </c>
      <c r="F1712" s="36" t="s">
        <v>363</v>
      </c>
      <c r="G1712" s="36" t="s">
        <v>263</v>
      </c>
      <c r="H1712" s="36" t="s">
        <v>132</v>
      </c>
    </row>
    <row r="1713" customFormat="false" ht="15" hidden="false" customHeight="false" outlineLevel="0" collapsed="false">
      <c r="A1713" s="36" t="s">
        <v>2167</v>
      </c>
      <c r="B1713" s="36" t="s">
        <v>709</v>
      </c>
      <c r="C1713" s="36" t="s">
        <v>335</v>
      </c>
      <c r="D1713" s="36" t="s">
        <v>151</v>
      </c>
      <c r="E1713" s="36" t="n">
        <v>4</v>
      </c>
      <c r="F1713" s="36" t="s">
        <v>275</v>
      </c>
      <c r="G1713" s="36" t="s">
        <v>256</v>
      </c>
      <c r="H1713" s="36" t="s">
        <v>308</v>
      </c>
    </row>
    <row r="1714" customFormat="false" ht="15" hidden="false" customHeight="false" outlineLevel="0" collapsed="false">
      <c r="A1714" s="36" t="s">
        <v>2168</v>
      </c>
      <c r="B1714" s="36" t="s">
        <v>709</v>
      </c>
      <c r="C1714" s="36" t="s">
        <v>139</v>
      </c>
      <c r="D1714" s="36" t="s">
        <v>437</v>
      </c>
      <c r="E1714" s="36" t="n">
        <v>1</v>
      </c>
      <c r="F1714" s="36" t="s">
        <v>380</v>
      </c>
      <c r="G1714" s="36" t="s">
        <v>251</v>
      </c>
      <c r="H1714" s="36" t="s">
        <v>308</v>
      </c>
    </row>
    <row r="1715" customFormat="false" ht="15" hidden="false" customHeight="false" outlineLevel="0" collapsed="false">
      <c r="A1715" s="36" t="s">
        <v>2169</v>
      </c>
      <c r="B1715" s="36" t="s">
        <v>2090</v>
      </c>
      <c r="C1715" s="36" t="s">
        <v>43</v>
      </c>
      <c r="D1715" s="36" t="s">
        <v>342</v>
      </c>
      <c r="E1715" s="36" t="n">
        <v>3</v>
      </c>
      <c r="F1715" s="36" t="s">
        <v>319</v>
      </c>
      <c r="G1715" s="36" t="s">
        <v>243</v>
      </c>
      <c r="H1715" s="36" t="s">
        <v>141</v>
      </c>
    </row>
    <row r="1716" customFormat="false" ht="15" hidden="false" customHeight="false" outlineLevel="0" collapsed="false">
      <c r="A1716" s="36" t="s">
        <v>2170</v>
      </c>
      <c r="B1716" s="36" t="s">
        <v>709</v>
      </c>
      <c r="C1716" s="36" t="s">
        <v>43</v>
      </c>
      <c r="D1716" s="36" t="s">
        <v>265</v>
      </c>
      <c r="E1716" s="36" t="n">
        <v>3</v>
      </c>
      <c r="F1716" s="36" t="n">
        <v>95</v>
      </c>
      <c r="G1716" s="36" t="s">
        <v>246</v>
      </c>
      <c r="H1716" s="36" t="s">
        <v>131</v>
      </c>
    </row>
    <row r="1717" customFormat="false" ht="15" hidden="false" customHeight="false" outlineLevel="0" collapsed="false">
      <c r="A1717" s="36" t="s">
        <v>2171</v>
      </c>
      <c r="B1717" s="36" t="s">
        <v>2090</v>
      </c>
      <c r="C1717" s="36" t="s">
        <v>43</v>
      </c>
      <c r="D1717" s="36" t="s">
        <v>178</v>
      </c>
      <c r="E1717" s="36" t="n">
        <v>3</v>
      </c>
      <c r="F1717" s="36" t="s">
        <v>378</v>
      </c>
      <c r="G1717" s="36" t="s">
        <v>267</v>
      </c>
      <c r="H1717" s="36" t="s">
        <v>131</v>
      </c>
    </row>
    <row r="1718" customFormat="false" ht="15" hidden="false" customHeight="false" outlineLevel="0" collapsed="false">
      <c r="A1718" s="36" t="s">
        <v>2172</v>
      </c>
      <c r="B1718" s="36" t="s">
        <v>709</v>
      </c>
      <c r="C1718" s="36" t="s">
        <v>335</v>
      </c>
      <c r="D1718" s="36" t="s">
        <v>158</v>
      </c>
      <c r="E1718" s="36" t="n">
        <v>1</v>
      </c>
      <c r="F1718" s="36" t="s">
        <v>457</v>
      </c>
      <c r="G1718" s="36" t="s">
        <v>246</v>
      </c>
      <c r="H1718" s="36" t="s">
        <v>141</v>
      </c>
    </row>
    <row r="1719" customFormat="false" ht="15" hidden="false" customHeight="false" outlineLevel="0" collapsed="false">
      <c r="A1719" s="36" t="s">
        <v>2173</v>
      </c>
      <c r="B1719" s="36" t="s">
        <v>2090</v>
      </c>
      <c r="C1719" s="36" t="s">
        <v>335</v>
      </c>
      <c r="D1719" s="36" t="s">
        <v>148</v>
      </c>
      <c r="E1719" s="36" t="n">
        <v>2</v>
      </c>
      <c r="F1719" s="36" t="s">
        <v>380</v>
      </c>
      <c r="G1719" s="36" t="s">
        <v>260</v>
      </c>
      <c r="H1719" s="36" t="s">
        <v>145</v>
      </c>
    </row>
    <row r="1720" customFormat="false" ht="15" hidden="false" customHeight="false" outlineLevel="0" collapsed="false">
      <c r="A1720" s="36" t="s">
        <v>2174</v>
      </c>
      <c r="B1720" s="36" t="s">
        <v>709</v>
      </c>
      <c r="C1720" s="36" t="s">
        <v>139</v>
      </c>
      <c r="D1720" s="36" t="s">
        <v>258</v>
      </c>
      <c r="E1720" s="36" t="n">
        <v>1</v>
      </c>
      <c r="F1720" s="36" t="n">
        <v>420</v>
      </c>
      <c r="G1720" s="36" t="s">
        <v>267</v>
      </c>
      <c r="H1720" s="36" t="s">
        <v>145</v>
      </c>
    </row>
    <row r="1721" customFormat="false" ht="15" hidden="false" customHeight="false" outlineLevel="0" collapsed="false">
      <c r="A1721" s="36" t="s">
        <v>2175</v>
      </c>
      <c r="B1721" s="36" t="s">
        <v>2090</v>
      </c>
      <c r="C1721" s="36" t="s">
        <v>554</v>
      </c>
      <c r="D1721" s="36" t="s">
        <v>189</v>
      </c>
      <c r="E1721" s="36" t="n">
        <v>3</v>
      </c>
      <c r="F1721" s="36" t="s">
        <v>489</v>
      </c>
      <c r="G1721" s="36" t="s">
        <v>251</v>
      </c>
      <c r="H1721" s="36" t="s">
        <v>131</v>
      </c>
    </row>
    <row r="1722" customFormat="false" ht="15" hidden="false" customHeight="false" outlineLevel="0" collapsed="false">
      <c r="A1722" s="36" t="s">
        <v>2176</v>
      </c>
      <c r="B1722" s="36" t="s">
        <v>709</v>
      </c>
      <c r="C1722" s="36" t="s">
        <v>44</v>
      </c>
      <c r="D1722" s="36" t="s">
        <v>2177</v>
      </c>
      <c r="E1722" s="36" t="n">
        <v>2</v>
      </c>
      <c r="F1722" s="36" t="s">
        <v>1058</v>
      </c>
      <c r="G1722" s="36" t="s">
        <v>246</v>
      </c>
      <c r="H1722" s="36" t="s">
        <v>141</v>
      </c>
    </row>
    <row r="1723" customFormat="false" ht="15" hidden="false" customHeight="false" outlineLevel="0" collapsed="false">
      <c r="A1723" s="36" t="s">
        <v>2178</v>
      </c>
      <c r="B1723" s="36" t="s">
        <v>709</v>
      </c>
      <c r="C1723" s="36" t="s">
        <v>554</v>
      </c>
      <c r="D1723" s="36" t="s">
        <v>211</v>
      </c>
      <c r="E1723" s="36" t="n">
        <v>4</v>
      </c>
      <c r="F1723" s="36" t="n">
        <v>380</v>
      </c>
      <c r="G1723" s="36" t="s">
        <v>267</v>
      </c>
      <c r="H1723" s="36" t="s">
        <v>132</v>
      </c>
    </row>
    <row r="1724" customFormat="false" ht="15" hidden="false" customHeight="false" outlineLevel="0" collapsed="false">
      <c r="A1724" s="36" t="s">
        <v>2179</v>
      </c>
      <c r="B1724" s="36" t="s">
        <v>2090</v>
      </c>
      <c r="C1724" s="36" t="s">
        <v>44</v>
      </c>
      <c r="D1724" s="36" t="s">
        <v>160</v>
      </c>
      <c r="E1724" s="36" t="n">
        <v>1</v>
      </c>
      <c r="F1724" s="36" t="n">
        <v>120</v>
      </c>
      <c r="G1724" s="36" t="s">
        <v>267</v>
      </c>
      <c r="H1724" s="36" t="s">
        <v>141</v>
      </c>
    </row>
    <row r="1725" customFormat="false" ht="15" hidden="false" customHeight="false" outlineLevel="0" collapsed="false">
      <c r="A1725" s="36" t="s">
        <v>2180</v>
      </c>
      <c r="B1725" s="36" t="s">
        <v>709</v>
      </c>
      <c r="C1725" s="36" t="s">
        <v>554</v>
      </c>
      <c r="D1725" s="36" t="s">
        <v>998</v>
      </c>
      <c r="E1725" s="36" t="s">
        <v>735</v>
      </c>
      <c r="F1725" s="36" t="n">
        <v>90</v>
      </c>
      <c r="G1725" s="36" t="s">
        <v>267</v>
      </c>
      <c r="H1725" s="36" t="s">
        <v>146</v>
      </c>
    </row>
    <row r="1726" customFormat="false" ht="15" hidden="false" customHeight="false" outlineLevel="0" collapsed="false">
      <c r="A1726" s="36" t="s">
        <v>2181</v>
      </c>
      <c r="B1726" s="37" t="n">
        <v>46276</v>
      </c>
      <c r="C1726" s="36" t="s">
        <v>368</v>
      </c>
      <c r="D1726" s="36" t="s">
        <v>229</v>
      </c>
      <c r="E1726" s="36" t="n">
        <v>1</v>
      </c>
      <c r="F1726" s="36" t="n">
        <v>80</v>
      </c>
      <c r="G1726" s="36" t="s">
        <v>260</v>
      </c>
      <c r="H1726" s="36" t="s">
        <v>247</v>
      </c>
    </row>
    <row r="1727" customFormat="false" ht="15" hidden="false" customHeight="false" outlineLevel="0" collapsed="false">
      <c r="A1727" s="36" t="s">
        <v>2182</v>
      </c>
      <c r="B1727" s="36" t="s">
        <v>709</v>
      </c>
      <c r="C1727" s="36" t="s">
        <v>554</v>
      </c>
      <c r="D1727" s="36" t="s">
        <v>299</v>
      </c>
      <c r="E1727" s="36" t="n">
        <v>1</v>
      </c>
      <c r="F1727" s="36" t="n">
        <v>60</v>
      </c>
      <c r="G1727" s="36" t="s">
        <v>270</v>
      </c>
      <c r="H1727" s="36" t="s">
        <v>140</v>
      </c>
    </row>
    <row r="1728" customFormat="false" ht="15" hidden="false" customHeight="false" outlineLevel="0" collapsed="false">
      <c r="A1728" s="36" t="s">
        <v>2183</v>
      </c>
      <c r="B1728" s="36" t="s">
        <v>2090</v>
      </c>
      <c r="C1728" s="36" t="s">
        <v>375</v>
      </c>
      <c r="D1728" s="36" t="s">
        <v>1177</v>
      </c>
      <c r="E1728" s="36" t="n">
        <v>1</v>
      </c>
      <c r="F1728" s="36" t="s">
        <v>323</v>
      </c>
      <c r="G1728" s="36" t="s">
        <v>267</v>
      </c>
      <c r="H1728" s="36" t="s">
        <v>132</v>
      </c>
    </row>
    <row r="1729" customFormat="false" ht="15" hidden="false" customHeight="false" outlineLevel="0" collapsed="false">
      <c r="A1729" s="36" t="s">
        <v>2184</v>
      </c>
      <c r="B1729" s="36" t="s">
        <v>2090</v>
      </c>
      <c r="C1729" s="36" t="s">
        <v>368</v>
      </c>
      <c r="D1729" s="36" t="s">
        <v>295</v>
      </c>
      <c r="E1729" s="36" t="n">
        <v>2</v>
      </c>
      <c r="F1729" s="36" t="s">
        <v>331</v>
      </c>
      <c r="G1729" s="36" t="s">
        <v>270</v>
      </c>
      <c r="H1729" s="36" t="s">
        <v>132</v>
      </c>
    </row>
    <row r="1730" customFormat="false" ht="15" hidden="false" customHeight="false" outlineLevel="0" collapsed="false">
      <c r="A1730" s="36" t="s">
        <v>2185</v>
      </c>
      <c r="B1730" s="36" t="s">
        <v>709</v>
      </c>
      <c r="C1730" s="36" t="s">
        <v>554</v>
      </c>
      <c r="D1730" s="36" t="s">
        <v>224</v>
      </c>
      <c r="E1730" s="36" t="n">
        <v>1</v>
      </c>
      <c r="F1730" s="36" t="n">
        <v>117</v>
      </c>
      <c r="G1730" s="36" t="s">
        <v>256</v>
      </c>
      <c r="H1730" s="36" t="s">
        <v>132</v>
      </c>
    </row>
    <row r="1731" customFormat="false" ht="15" hidden="false" customHeight="false" outlineLevel="0" collapsed="false">
      <c r="A1731" s="36" t="s">
        <v>2186</v>
      </c>
      <c r="B1731" s="36" t="s">
        <v>709</v>
      </c>
      <c r="C1731" s="36" t="s">
        <v>144</v>
      </c>
      <c r="D1731" s="36" t="s">
        <v>181</v>
      </c>
      <c r="E1731" s="36" t="n">
        <v>1</v>
      </c>
      <c r="F1731" s="36" t="n">
        <v>450</v>
      </c>
      <c r="G1731" s="36" t="s">
        <v>251</v>
      </c>
      <c r="H1731" s="36" t="s">
        <v>131</v>
      </c>
    </row>
    <row r="1732" customFormat="false" ht="15" hidden="false" customHeight="false" outlineLevel="0" collapsed="false">
      <c r="A1732" s="36" t="s">
        <v>2187</v>
      </c>
      <c r="B1732" s="36" t="s">
        <v>2090</v>
      </c>
      <c r="C1732" s="36" t="s">
        <v>44</v>
      </c>
      <c r="D1732" s="36" t="s">
        <v>1062</v>
      </c>
      <c r="E1732" s="36" t="n">
        <v>1</v>
      </c>
      <c r="F1732" s="36" t="n">
        <v>85</v>
      </c>
      <c r="G1732" s="36" t="s">
        <v>251</v>
      </c>
      <c r="H1732" s="36" t="s">
        <v>321</v>
      </c>
    </row>
    <row r="1733" customFormat="false" ht="15" hidden="false" customHeight="false" outlineLevel="0" collapsed="false">
      <c r="A1733" s="36" t="s">
        <v>2188</v>
      </c>
      <c r="B1733" s="36" t="s">
        <v>709</v>
      </c>
      <c r="C1733" s="36" t="s">
        <v>554</v>
      </c>
      <c r="D1733" s="36" t="s">
        <v>148</v>
      </c>
      <c r="E1733" s="36" t="n">
        <v>1</v>
      </c>
      <c r="F1733" s="36" t="n">
        <v>330</v>
      </c>
      <c r="G1733" s="36" t="s">
        <v>263</v>
      </c>
      <c r="H1733" s="36" t="s">
        <v>146</v>
      </c>
    </row>
    <row r="1734" customFormat="false" ht="15" hidden="false" customHeight="false" outlineLevel="0" collapsed="false">
      <c r="A1734" s="36" t="s">
        <v>2189</v>
      </c>
      <c r="B1734" s="36" t="s">
        <v>709</v>
      </c>
      <c r="C1734" s="36" t="s">
        <v>368</v>
      </c>
      <c r="D1734" s="36" t="s">
        <v>138</v>
      </c>
      <c r="E1734" s="36" t="n">
        <v>1</v>
      </c>
      <c r="F1734" s="36" t="n">
        <v>420</v>
      </c>
      <c r="G1734" s="36" t="s">
        <v>270</v>
      </c>
      <c r="H1734" s="36" t="s">
        <v>132</v>
      </c>
    </row>
    <row r="1735" customFormat="false" ht="15" hidden="false" customHeight="false" outlineLevel="0" collapsed="false">
      <c r="A1735" s="36" t="s">
        <v>2190</v>
      </c>
      <c r="B1735" s="36" t="s">
        <v>2090</v>
      </c>
      <c r="C1735" s="36" t="s">
        <v>144</v>
      </c>
      <c r="D1735" s="36" t="s">
        <v>151</v>
      </c>
      <c r="E1735" s="36" t="n">
        <v>4</v>
      </c>
      <c r="F1735" s="36" t="n">
        <v>330</v>
      </c>
      <c r="G1735" s="36" t="s">
        <v>267</v>
      </c>
      <c r="H1735" s="36" t="s">
        <v>132</v>
      </c>
    </row>
    <row r="1736" customFormat="false" ht="15" hidden="false" customHeight="false" outlineLevel="0" collapsed="false">
      <c r="A1736" s="36" t="s">
        <v>2191</v>
      </c>
      <c r="B1736" s="36" t="s">
        <v>709</v>
      </c>
      <c r="C1736" s="36" t="s">
        <v>144</v>
      </c>
      <c r="D1736" s="36" t="s">
        <v>224</v>
      </c>
      <c r="E1736" s="36" t="n">
        <v>1</v>
      </c>
      <c r="F1736" s="36" t="n">
        <v>130</v>
      </c>
      <c r="G1736" s="36" t="s">
        <v>256</v>
      </c>
      <c r="H1736" s="36" t="s">
        <v>132</v>
      </c>
    </row>
    <row r="1737" customFormat="false" ht="15" hidden="false" customHeight="false" outlineLevel="0" collapsed="false">
      <c r="A1737" s="36" t="s">
        <v>2192</v>
      </c>
      <c r="B1737" s="36" t="s">
        <v>709</v>
      </c>
      <c r="C1737" s="36" t="s">
        <v>44</v>
      </c>
      <c r="D1737" s="36" t="s">
        <v>783</v>
      </c>
      <c r="E1737" s="36" t="n">
        <v>3</v>
      </c>
      <c r="F1737" s="36" t="n">
        <v>130</v>
      </c>
      <c r="G1737" s="36" t="s">
        <v>263</v>
      </c>
      <c r="H1737" s="36" t="s">
        <v>247</v>
      </c>
    </row>
    <row r="1738" customFormat="false" ht="15" hidden="false" customHeight="false" outlineLevel="0" collapsed="false">
      <c r="A1738" s="36" t="s">
        <v>2193</v>
      </c>
      <c r="B1738" s="36" t="s">
        <v>2090</v>
      </c>
      <c r="C1738" s="36" t="s">
        <v>375</v>
      </c>
      <c r="D1738" s="36" t="s">
        <v>299</v>
      </c>
      <c r="E1738" s="36" t="s">
        <v>282</v>
      </c>
      <c r="F1738" s="36" t="s">
        <v>319</v>
      </c>
      <c r="G1738" s="36" t="s">
        <v>251</v>
      </c>
      <c r="H1738" s="36" t="s">
        <v>141</v>
      </c>
    </row>
    <row r="1739" customFormat="false" ht="15" hidden="false" customHeight="false" outlineLevel="0" collapsed="false">
      <c r="A1739" s="36" t="s">
        <v>2194</v>
      </c>
      <c r="B1739" s="36" t="s">
        <v>2090</v>
      </c>
      <c r="C1739" s="36" t="s">
        <v>44</v>
      </c>
      <c r="D1739" s="36" t="s">
        <v>164</v>
      </c>
      <c r="E1739" s="36" t="n">
        <v>6</v>
      </c>
      <c r="F1739" s="36" t="n">
        <v>450</v>
      </c>
      <c r="G1739" s="36" t="s">
        <v>251</v>
      </c>
      <c r="H1739" s="36" t="s">
        <v>131</v>
      </c>
    </row>
    <row r="1740" customFormat="false" ht="15" hidden="false" customHeight="false" outlineLevel="0" collapsed="false">
      <c r="A1740" s="36" t="s">
        <v>2195</v>
      </c>
      <c r="B1740" s="36" t="s">
        <v>709</v>
      </c>
      <c r="C1740" s="36" t="s">
        <v>375</v>
      </c>
      <c r="D1740" s="36" t="s">
        <v>133</v>
      </c>
      <c r="E1740" s="36" t="n">
        <v>3</v>
      </c>
      <c r="F1740" s="36" t="n">
        <v>190</v>
      </c>
      <c r="G1740" s="36" t="s">
        <v>243</v>
      </c>
      <c r="H1740" s="36" t="s">
        <v>132</v>
      </c>
    </row>
    <row r="1741" customFormat="false" ht="15" hidden="false" customHeight="false" outlineLevel="0" collapsed="false">
      <c r="A1741" s="36" t="s">
        <v>2196</v>
      </c>
      <c r="B1741" s="36" t="s">
        <v>2090</v>
      </c>
      <c r="C1741" s="36" t="s">
        <v>44</v>
      </c>
      <c r="D1741" s="36" t="s">
        <v>133</v>
      </c>
      <c r="E1741" s="36" t="n">
        <v>4</v>
      </c>
      <c r="F1741" s="36" t="n">
        <v>190</v>
      </c>
      <c r="G1741" s="36" t="s">
        <v>260</v>
      </c>
      <c r="H1741" s="36" t="s">
        <v>132</v>
      </c>
    </row>
    <row r="1742" customFormat="false" ht="15" hidden="false" customHeight="false" outlineLevel="0" collapsed="false">
      <c r="A1742" s="36" t="s">
        <v>2197</v>
      </c>
      <c r="B1742" s="36" t="s">
        <v>2090</v>
      </c>
      <c r="C1742" s="36" t="s">
        <v>554</v>
      </c>
      <c r="D1742" s="36" t="s">
        <v>164</v>
      </c>
      <c r="E1742" s="36" t="n">
        <v>1</v>
      </c>
      <c r="F1742" s="36" t="s">
        <v>749</v>
      </c>
      <c r="G1742" s="36" t="s">
        <v>256</v>
      </c>
      <c r="H1742" s="36" t="s">
        <v>321</v>
      </c>
    </row>
    <row r="1743" customFormat="false" ht="15" hidden="false" customHeight="false" outlineLevel="0" collapsed="false">
      <c r="A1743" s="36" t="s">
        <v>2198</v>
      </c>
      <c r="B1743" s="36" t="s">
        <v>709</v>
      </c>
      <c r="C1743" s="36" t="s">
        <v>144</v>
      </c>
      <c r="D1743" s="36" t="s">
        <v>158</v>
      </c>
      <c r="E1743" s="36" t="n">
        <v>1</v>
      </c>
      <c r="F1743" s="36" t="n">
        <v>65</v>
      </c>
      <c r="G1743" s="36" t="s">
        <v>267</v>
      </c>
      <c r="H1743" s="36" t="s">
        <v>131</v>
      </c>
    </row>
    <row r="1744" customFormat="false" ht="15" hidden="false" customHeight="false" outlineLevel="0" collapsed="false">
      <c r="A1744" s="36" t="s">
        <v>2199</v>
      </c>
      <c r="B1744" s="36" t="s">
        <v>2090</v>
      </c>
      <c r="C1744" s="36" t="s">
        <v>44</v>
      </c>
      <c r="D1744" s="36" t="s">
        <v>285</v>
      </c>
      <c r="E1744" s="36" t="n">
        <v>2</v>
      </c>
      <c r="F1744" s="36" t="s">
        <v>443</v>
      </c>
      <c r="G1744" s="36" t="s">
        <v>246</v>
      </c>
      <c r="H1744" s="36" t="s">
        <v>247</v>
      </c>
    </row>
    <row r="1745" customFormat="false" ht="15" hidden="false" customHeight="false" outlineLevel="0" collapsed="false">
      <c r="A1745" s="36" t="s">
        <v>2200</v>
      </c>
      <c r="B1745" s="36" t="s">
        <v>2090</v>
      </c>
      <c r="C1745" s="36" t="s">
        <v>44</v>
      </c>
      <c r="D1745" s="36" t="s">
        <v>1062</v>
      </c>
      <c r="E1745" s="36" t="n">
        <v>-2</v>
      </c>
      <c r="F1745" s="36" t="n">
        <v>85</v>
      </c>
      <c r="G1745" s="36" t="s">
        <v>270</v>
      </c>
      <c r="H1745" s="36" t="s">
        <v>141</v>
      </c>
    </row>
    <row r="1746" customFormat="false" ht="15" hidden="false" customHeight="false" outlineLevel="0" collapsed="false">
      <c r="A1746" s="36" t="s">
        <v>2201</v>
      </c>
      <c r="B1746" s="36" t="s">
        <v>2090</v>
      </c>
      <c r="C1746" s="36" t="s">
        <v>144</v>
      </c>
      <c r="D1746" s="36" t="s">
        <v>976</v>
      </c>
      <c r="E1746" s="36" t="n">
        <v>2</v>
      </c>
      <c r="F1746" s="36" t="n">
        <v>160</v>
      </c>
      <c r="G1746" s="36" t="s">
        <v>270</v>
      </c>
      <c r="H1746" s="36" t="s">
        <v>141</v>
      </c>
    </row>
    <row r="1747" customFormat="false" ht="15" hidden="false" customHeight="false" outlineLevel="0" collapsed="false">
      <c r="A1747" s="36" t="s">
        <v>708</v>
      </c>
      <c r="B1747" s="36" t="s">
        <v>709</v>
      </c>
      <c r="C1747" s="36" t="s">
        <v>368</v>
      </c>
      <c r="D1747" s="36" t="s">
        <v>182</v>
      </c>
      <c r="E1747" s="36" t="n">
        <v>2</v>
      </c>
      <c r="F1747" s="36" t="s">
        <v>269</v>
      </c>
      <c r="G1747" s="36" t="s">
        <v>263</v>
      </c>
      <c r="H1747" s="36" t="s">
        <v>141</v>
      </c>
    </row>
    <row r="1748" customFormat="false" ht="15" hidden="false" customHeight="false" outlineLevel="0" collapsed="false">
      <c r="A1748" s="36" t="s">
        <v>2202</v>
      </c>
      <c r="B1748" s="36" t="s">
        <v>2090</v>
      </c>
      <c r="C1748" s="36" t="s">
        <v>44</v>
      </c>
      <c r="D1748" s="36" t="s">
        <v>250</v>
      </c>
      <c r="E1748" s="36" t="n">
        <v>6</v>
      </c>
      <c r="F1748" s="36" t="s">
        <v>600</v>
      </c>
      <c r="G1748" s="36" t="s">
        <v>263</v>
      </c>
      <c r="H1748" s="36" t="s">
        <v>146</v>
      </c>
    </row>
    <row r="1749" customFormat="false" ht="15" hidden="false" customHeight="false" outlineLevel="0" collapsed="false">
      <c r="A1749" s="36" t="s">
        <v>2203</v>
      </c>
      <c r="B1749" s="36" t="s">
        <v>709</v>
      </c>
      <c r="C1749" s="36" t="s">
        <v>144</v>
      </c>
      <c r="D1749" s="36" t="s">
        <v>280</v>
      </c>
      <c r="E1749" s="36" t="n">
        <v>2</v>
      </c>
      <c r="F1749" s="36" t="n">
        <v>330</v>
      </c>
      <c r="G1749" s="36" t="s">
        <v>267</v>
      </c>
      <c r="H1749" s="36" t="s">
        <v>145</v>
      </c>
    </row>
    <row r="1750" customFormat="false" ht="15" hidden="false" customHeight="false" outlineLevel="0" collapsed="false">
      <c r="A1750" s="36" t="s">
        <v>2204</v>
      </c>
      <c r="B1750" s="37" t="n">
        <v>46276</v>
      </c>
      <c r="C1750" s="36" t="s">
        <v>368</v>
      </c>
      <c r="D1750" s="36" t="s">
        <v>186</v>
      </c>
      <c r="E1750" s="36" t="n">
        <v>1</v>
      </c>
      <c r="F1750" s="36" t="s">
        <v>584</v>
      </c>
      <c r="G1750" s="36" t="s">
        <v>246</v>
      </c>
      <c r="H1750" s="36" t="s">
        <v>131</v>
      </c>
    </row>
    <row r="1751" customFormat="false" ht="15" hidden="false" customHeight="false" outlineLevel="0" collapsed="false">
      <c r="A1751" s="36" t="s">
        <v>2205</v>
      </c>
      <c r="B1751" s="36" t="s">
        <v>709</v>
      </c>
      <c r="C1751" s="36" t="s">
        <v>45</v>
      </c>
      <c r="D1751" s="36" t="s">
        <v>172</v>
      </c>
      <c r="E1751" s="36" t="n">
        <v>4</v>
      </c>
      <c r="F1751" s="36" t="s">
        <v>498</v>
      </c>
      <c r="G1751" s="36" t="s">
        <v>243</v>
      </c>
      <c r="H1751" s="36" t="s">
        <v>132</v>
      </c>
    </row>
    <row r="1752" customFormat="false" ht="15" hidden="false" customHeight="false" outlineLevel="0" collapsed="false">
      <c r="A1752" s="36" t="s">
        <v>2206</v>
      </c>
      <c r="B1752" s="36" t="s">
        <v>709</v>
      </c>
      <c r="C1752" s="36" t="s">
        <v>417</v>
      </c>
      <c r="D1752" s="36" t="s">
        <v>297</v>
      </c>
      <c r="E1752" s="36" t="n">
        <v>2</v>
      </c>
      <c r="F1752" s="36" t="s">
        <v>862</v>
      </c>
      <c r="G1752" s="36" t="s">
        <v>256</v>
      </c>
      <c r="H1752" s="36" t="s">
        <v>306</v>
      </c>
    </row>
    <row r="1753" customFormat="false" ht="15" hidden="false" customHeight="false" outlineLevel="0" collapsed="false">
      <c r="A1753" s="36" t="s">
        <v>2207</v>
      </c>
      <c r="B1753" s="36" t="s">
        <v>2090</v>
      </c>
      <c r="C1753" s="36" t="s">
        <v>419</v>
      </c>
      <c r="D1753" s="36" t="s">
        <v>310</v>
      </c>
      <c r="E1753" s="36" t="n">
        <v>4</v>
      </c>
      <c r="F1753" s="36" t="s">
        <v>2208</v>
      </c>
      <c r="G1753" s="36" t="s">
        <v>260</v>
      </c>
      <c r="H1753" s="36" t="s">
        <v>141</v>
      </c>
    </row>
    <row r="1754" customFormat="false" ht="15" hidden="false" customHeight="false" outlineLevel="0" collapsed="false">
      <c r="A1754" s="36" t="s">
        <v>2209</v>
      </c>
      <c r="B1754" s="36" t="s">
        <v>2090</v>
      </c>
      <c r="C1754" s="36" t="s">
        <v>45</v>
      </c>
      <c r="D1754" s="36" t="s">
        <v>177</v>
      </c>
      <c r="E1754" s="36" t="n">
        <v>2</v>
      </c>
      <c r="F1754" s="36" t="n">
        <v>310</v>
      </c>
      <c r="G1754" s="36" t="s">
        <v>263</v>
      </c>
      <c r="H1754" s="36" t="s">
        <v>308</v>
      </c>
    </row>
    <row r="1755" customFormat="false" ht="15" hidden="false" customHeight="false" outlineLevel="0" collapsed="false">
      <c r="A1755" s="36" t="s">
        <v>2210</v>
      </c>
      <c r="B1755" s="36" t="s">
        <v>2090</v>
      </c>
      <c r="C1755" s="36" t="s">
        <v>417</v>
      </c>
      <c r="D1755" s="36" t="s">
        <v>174</v>
      </c>
      <c r="E1755" s="36" t="n">
        <v>2</v>
      </c>
      <c r="F1755" s="36" t="s">
        <v>759</v>
      </c>
      <c r="G1755" s="36" t="s">
        <v>256</v>
      </c>
      <c r="H1755" s="36" t="s">
        <v>132</v>
      </c>
    </row>
    <row r="1756" customFormat="false" ht="15" hidden="false" customHeight="false" outlineLevel="0" collapsed="false">
      <c r="A1756" s="36" t="s">
        <v>2211</v>
      </c>
      <c r="B1756" s="37" t="n">
        <v>46276</v>
      </c>
      <c r="C1756" s="36" t="s">
        <v>153</v>
      </c>
      <c r="D1756" s="36" t="s">
        <v>159</v>
      </c>
      <c r="E1756" s="36" t="n">
        <v>3</v>
      </c>
      <c r="F1756" s="36" t="n">
        <v>330</v>
      </c>
      <c r="G1756" s="36" t="s">
        <v>263</v>
      </c>
      <c r="H1756" s="36" t="s">
        <v>321</v>
      </c>
    </row>
    <row r="1757" customFormat="false" ht="15" hidden="false" customHeight="false" outlineLevel="0" collapsed="false">
      <c r="A1757" s="36" t="s">
        <v>2212</v>
      </c>
      <c r="B1757" s="36" t="s">
        <v>2090</v>
      </c>
      <c r="C1757" s="36" t="s">
        <v>417</v>
      </c>
      <c r="D1757" s="36" t="s">
        <v>162</v>
      </c>
      <c r="E1757" s="36" t="n">
        <v>2</v>
      </c>
      <c r="F1757" s="36" t="n">
        <v>310</v>
      </c>
      <c r="G1757" s="36" t="s">
        <v>260</v>
      </c>
      <c r="H1757" s="36" t="s">
        <v>145</v>
      </c>
    </row>
    <row r="1758" customFormat="false" ht="15" hidden="false" customHeight="false" outlineLevel="0" collapsed="false">
      <c r="A1758" s="36" t="s">
        <v>2213</v>
      </c>
      <c r="B1758" s="36" t="s">
        <v>2090</v>
      </c>
      <c r="C1758" s="36" t="s">
        <v>417</v>
      </c>
      <c r="D1758" s="36" t="s">
        <v>1318</v>
      </c>
      <c r="E1758" s="36" t="n">
        <v>4</v>
      </c>
      <c r="F1758" s="36" t="s">
        <v>272</v>
      </c>
      <c r="G1758" s="36" t="s">
        <v>260</v>
      </c>
      <c r="H1758" s="36" t="s">
        <v>141</v>
      </c>
    </row>
    <row r="1759" customFormat="false" ht="15" hidden="false" customHeight="false" outlineLevel="0" collapsed="false">
      <c r="A1759" s="36" t="s">
        <v>2214</v>
      </c>
      <c r="B1759" s="36" t="s">
        <v>2090</v>
      </c>
      <c r="C1759" s="36" t="s">
        <v>45</v>
      </c>
      <c r="D1759" s="36" t="s">
        <v>178</v>
      </c>
      <c r="E1759" s="36" t="n">
        <v>4</v>
      </c>
      <c r="F1759" s="36" t="s">
        <v>378</v>
      </c>
      <c r="G1759" s="36" t="s">
        <v>246</v>
      </c>
      <c r="H1759" s="36" t="s">
        <v>247</v>
      </c>
    </row>
    <row r="1760" customFormat="false" ht="15" hidden="false" customHeight="false" outlineLevel="0" collapsed="false">
      <c r="A1760" s="36" t="s">
        <v>2215</v>
      </c>
      <c r="B1760" s="36" t="s">
        <v>709</v>
      </c>
      <c r="C1760" s="36" t="s">
        <v>45</v>
      </c>
      <c r="D1760" s="36" t="s">
        <v>408</v>
      </c>
      <c r="E1760" s="36" t="n">
        <v>4</v>
      </c>
      <c r="F1760" s="36" t="s">
        <v>584</v>
      </c>
      <c r="G1760" s="36" t="s">
        <v>246</v>
      </c>
      <c r="H1760" s="36" t="s">
        <v>131</v>
      </c>
    </row>
    <row r="1761" customFormat="false" ht="15" hidden="false" customHeight="false" outlineLevel="0" collapsed="false">
      <c r="A1761" s="36" t="s">
        <v>2216</v>
      </c>
      <c r="B1761" s="36" t="s">
        <v>2090</v>
      </c>
      <c r="C1761" s="36" t="s">
        <v>45</v>
      </c>
      <c r="D1761" s="36" t="s">
        <v>186</v>
      </c>
      <c r="E1761" s="36" t="n">
        <v>1</v>
      </c>
      <c r="F1761" s="36" t="n">
        <v>50</v>
      </c>
      <c r="G1761" s="36" t="s">
        <v>267</v>
      </c>
      <c r="H1761" s="36" t="s">
        <v>132</v>
      </c>
    </row>
    <row r="1762" customFormat="false" ht="15" hidden="false" customHeight="false" outlineLevel="0" collapsed="false">
      <c r="A1762" s="36" t="s">
        <v>2217</v>
      </c>
      <c r="B1762" s="36" t="s">
        <v>709</v>
      </c>
      <c r="C1762" s="36" t="s">
        <v>45</v>
      </c>
      <c r="D1762" s="36" t="s">
        <v>2218</v>
      </c>
      <c r="E1762" s="36" t="n">
        <v>3</v>
      </c>
      <c r="F1762" s="36" t="n">
        <v>110</v>
      </c>
      <c r="G1762" s="36" t="s">
        <v>251</v>
      </c>
      <c r="H1762" s="36" t="s">
        <v>308</v>
      </c>
    </row>
    <row r="1763" customFormat="false" ht="15" hidden="false" customHeight="false" outlineLevel="0" collapsed="false">
      <c r="A1763" s="36" t="s">
        <v>2219</v>
      </c>
      <c r="B1763" s="36" t="s">
        <v>709</v>
      </c>
      <c r="C1763" s="36" t="s">
        <v>153</v>
      </c>
      <c r="D1763" s="36" t="s">
        <v>164</v>
      </c>
      <c r="E1763" s="36" t="n">
        <v>1</v>
      </c>
      <c r="F1763" s="36" t="s">
        <v>749</v>
      </c>
      <c r="G1763" s="36" t="s">
        <v>256</v>
      </c>
      <c r="H1763" s="36" t="s">
        <v>321</v>
      </c>
    </row>
    <row r="1764" customFormat="false" ht="15" hidden="false" customHeight="false" outlineLevel="0" collapsed="false">
      <c r="A1764" s="36" t="s">
        <v>2220</v>
      </c>
      <c r="B1764" s="36" t="s">
        <v>709</v>
      </c>
      <c r="C1764" s="36" t="s">
        <v>45</v>
      </c>
      <c r="D1764" s="36" t="s">
        <v>222</v>
      </c>
      <c r="E1764" s="36" t="n">
        <v>2</v>
      </c>
      <c r="F1764" s="36" t="n">
        <v>420</v>
      </c>
      <c r="G1764" s="36" t="s">
        <v>256</v>
      </c>
      <c r="H1764" s="36" t="s">
        <v>308</v>
      </c>
    </row>
    <row r="1765" customFormat="false" ht="15" hidden="false" customHeight="false" outlineLevel="0" collapsed="false">
      <c r="A1765" s="36" t="s">
        <v>2221</v>
      </c>
      <c r="B1765" s="36" t="s">
        <v>709</v>
      </c>
      <c r="C1765" s="36" t="s">
        <v>419</v>
      </c>
      <c r="D1765" s="36" t="s">
        <v>134</v>
      </c>
      <c r="E1765" s="36" t="n">
        <v>1</v>
      </c>
      <c r="F1765" s="36" t="s">
        <v>411</v>
      </c>
      <c r="G1765" s="36" t="s">
        <v>256</v>
      </c>
      <c r="H1765" s="36" t="s">
        <v>131</v>
      </c>
    </row>
    <row r="1766" customFormat="false" ht="15" hidden="false" customHeight="false" outlineLevel="0" collapsed="false">
      <c r="A1766" s="36" t="s">
        <v>2222</v>
      </c>
      <c r="B1766" s="36" t="s">
        <v>709</v>
      </c>
      <c r="C1766" s="36" t="s">
        <v>419</v>
      </c>
      <c r="D1766" s="36" t="s">
        <v>172</v>
      </c>
      <c r="E1766" s="36" t="n">
        <v>1</v>
      </c>
      <c r="F1766" s="36" t="s">
        <v>319</v>
      </c>
      <c r="G1766" s="36" t="s">
        <v>263</v>
      </c>
      <c r="H1766" s="36" t="s">
        <v>247</v>
      </c>
    </row>
    <row r="1767" customFormat="false" ht="15" hidden="false" customHeight="false" outlineLevel="0" collapsed="false">
      <c r="A1767" s="36" t="s">
        <v>2223</v>
      </c>
      <c r="B1767" s="37" t="n">
        <v>46276</v>
      </c>
      <c r="C1767" s="36" t="s">
        <v>45</v>
      </c>
      <c r="D1767" s="36" t="s">
        <v>297</v>
      </c>
      <c r="E1767" s="36" t="n">
        <v>1</v>
      </c>
      <c r="F1767" s="36" t="n">
        <v>279</v>
      </c>
      <c r="G1767" s="36" t="s">
        <v>246</v>
      </c>
      <c r="H1767" s="36" t="s">
        <v>308</v>
      </c>
    </row>
    <row r="1768" customFormat="false" ht="15" hidden="false" customHeight="false" outlineLevel="0" collapsed="false">
      <c r="A1768" s="36" t="s">
        <v>2224</v>
      </c>
      <c r="B1768" s="36" t="s">
        <v>2090</v>
      </c>
      <c r="C1768" s="36" t="s">
        <v>153</v>
      </c>
      <c r="D1768" s="36" t="s">
        <v>148</v>
      </c>
      <c r="E1768" s="36" t="n">
        <v>2</v>
      </c>
      <c r="F1768" s="36" t="s">
        <v>380</v>
      </c>
      <c r="G1768" s="36" t="s">
        <v>256</v>
      </c>
      <c r="H1768" s="36" t="s">
        <v>140</v>
      </c>
    </row>
    <row r="1769" customFormat="false" ht="15" hidden="false" customHeight="false" outlineLevel="0" collapsed="false">
      <c r="A1769" s="36" t="s">
        <v>2225</v>
      </c>
      <c r="B1769" s="36" t="s">
        <v>2090</v>
      </c>
      <c r="C1769" s="36" t="s">
        <v>45</v>
      </c>
      <c r="D1769" s="36" t="s">
        <v>440</v>
      </c>
      <c r="E1769" s="36" t="n">
        <v>3</v>
      </c>
      <c r="F1769" s="36" t="n">
        <v>380</v>
      </c>
      <c r="G1769" s="36" t="s">
        <v>251</v>
      </c>
      <c r="H1769" s="36" t="s">
        <v>131</v>
      </c>
    </row>
    <row r="1770" customFormat="false" ht="15" hidden="false" customHeight="false" outlineLevel="0" collapsed="false">
      <c r="A1770" s="36" t="s">
        <v>2226</v>
      </c>
      <c r="B1770" s="37" t="n">
        <v>46276</v>
      </c>
      <c r="C1770" s="36" t="s">
        <v>419</v>
      </c>
      <c r="D1770" s="36" t="s">
        <v>304</v>
      </c>
      <c r="E1770" s="36" t="n">
        <v>2</v>
      </c>
      <c r="F1770" s="36" t="n">
        <v>190</v>
      </c>
      <c r="G1770" s="36" t="s">
        <v>260</v>
      </c>
      <c r="H1770" s="36" t="s">
        <v>321</v>
      </c>
    </row>
    <row r="1771" customFormat="false" ht="15" hidden="false" customHeight="false" outlineLevel="0" collapsed="false">
      <c r="A1771" s="36" t="s">
        <v>2227</v>
      </c>
      <c r="B1771" s="37" t="n">
        <v>46276</v>
      </c>
      <c r="C1771" s="36" t="s">
        <v>153</v>
      </c>
      <c r="D1771" s="36" t="s">
        <v>437</v>
      </c>
      <c r="E1771" s="36" t="n">
        <v>3</v>
      </c>
      <c r="F1771" s="36" t="s">
        <v>275</v>
      </c>
      <c r="G1771" s="36" t="s">
        <v>267</v>
      </c>
      <c r="H1771" s="36" t="s">
        <v>321</v>
      </c>
    </row>
    <row r="1772" customFormat="false" ht="15" hidden="false" customHeight="false" outlineLevel="0" collapsed="false">
      <c r="A1772" s="36" t="s">
        <v>2228</v>
      </c>
      <c r="B1772" s="36" t="s">
        <v>709</v>
      </c>
      <c r="C1772" s="36" t="s">
        <v>45</v>
      </c>
      <c r="D1772" s="36" t="s">
        <v>342</v>
      </c>
      <c r="E1772" s="36" t="n">
        <v>1</v>
      </c>
      <c r="F1772" s="36" t="s">
        <v>319</v>
      </c>
      <c r="G1772" s="36" t="s">
        <v>263</v>
      </c>
      <c r="H1772" s="36" t="s">
        <v>141</v>
      </c>
    </row>
    <row r="1773" customFormat="false" ht="15" hidden="false" customHeight="false" outlineLevel="0" collapsed="false">
      <c r="A1773" s="36" t="s">
        <v>2229</v>
      </c>
      <c r="B1773" s="36" t="s">
        <v>709</v>
      </c>
      <c r="C1773" s="36" t="s">
        <v>417</v>
      </c>
      <c r="D1773" s="36" t="s">
        <v>405</v>
      </c>
      <c r="E1773" s="36" t="n">
        <v>4</v>
      </c>
      <c r="F1773" s="36" t="n">
        <v>330</v>
      </c>
      <c r="G1773" s="36" t="s">
        <v>251</v>
      </c>
      <c r="H1773" s="36" t="s">
        <v>132</v>
      </c>
    </row>
    <row r="1774" customFormat="false" ht="15" hidden="false" customHeight="false" outlineLevel="0" collapsed="false">
      <c r="A1774" s="36" t="s">
        <v>2230</v>
      </c>
      <c r="B1774" s="36" t="s">
        <v>2090</v>
      </c>
      <c r="C1774" s="36" t="s">
        <v>45</v>
      </c>
      <c r="D1774" s="36" t="s">
        <v>342</v>
      </c>
      <c r="E1774" s="36" t="n">
        <v>3</v>
      </c>
      <c r="F1774" s="36" t="n">
        <v>60</v>
      </c>
      <c r="G1774" s="36" t="s">
        <v>256</v>
      </c>
      <c r="H1774" s="36" t="s">
        <v>145</v>
      </c>
    </row>
    <row r="1775" customFormat="false" ht="15" hidden="false" customHeight="false" outlineLevel="0" collapsed="false">
      <c r="A1775" s="36" t="s">
        <v>2231</v>
      </c>
      <c r="B1775" s="36" t="s">
        <v>709</v>
      </c>
      <c r="C1775" s="36" t="s">
        <v>45</v>
      </c>
      <c r="D1775" s="36" t="s">
        <v>233</v>
      </c>
      <c r="E1775" s="36" t="n">
        <v>6</v>
      </c>
      <c r="F1775" s="36" t="s">
        <v>813</v>
      </c>
      <c r="G1775" s="36" t="s">
        <v>256</v>
      </c>
      <c r="H1775" s="36" t="s">
        <v>141</v>
      </c>
    </row>
    <row r="1776" customFormat="false" ht="15" hidden="false" customHeight="false" outlineLevel="0" collapsed="false">
      <c r="A1776" s="36" t="s">
        <v>2232</v>
      </c>
      <c r="B1776" s="36" t="s">
        <v>709</v>
      </c>
      <c r="C1776" s="36" t="s">
        <v>419</v>
      </c>
      <c r="D1776" s="36" t="s">
        <v>640</v>
      </c>
      <c r="E1776" s="36" t="n">
        <v>2</v>
      </c>
      <c r="F1776" s="36" t="n">
        <v>150</v>
      </c>
      <c r="G1776" s="36" t="s">
        <v>263</v>
      </c>
      <c r="H1776" s="36" t="s">
        <v>308</v>
      </c>
    </row>
    <row r="1777" customFormat="false" ht="15" hidden="false" customHeight="false" outlineLevel="0" collapsed="false">
      <c r="A1777" s="36" t="s">
        <v>2233</v>
      </c>
      <c r="B1777" s="36" t="s">
        <v>709</v>
      </c>
      <c r="C1777" s="36" t="s">
        <v>45</v>
      </c>
      <c r="D1777" s="36" t="s">
        <v>164</v>
      </c>
      <c r="E1777" s="36" t="n">
        <v>1</v>
      </c>
      <c r="F1777" s="36" t="n">
        <v>450</v>
      </c>
      <c r="G1777" s="36" t="s">
        <v>246</v>
      </c>
      <c r="H1777" s="36" t="s">
        <v>306</v>
      </c>
    </row>
    <row r="1778" customFormat="false" ht="15" hidden="false" customHeight="false" outlineLevel="0" collapsed="false">
      <c r="A1778" s="36" t="s">
        <v>2234</v>
      </c>
      <c r="B1778" s="36" t="s">
        <v>709</v>
      </c>
      <c r="C1778" s="36" t="s">
        <v>153</v>
      </c>
      <c r="D1778" s="36" t="s">
        <v>169</v>
      </c>
      <c r="E1778" s="36" t="n">
        <v>3</v>
      </c>
      <c r="F1778" s="36" t="s">
        <v>369</v>
      </c>
      <c r="G1778" s="36" t="s">
        <v>256</v>
      </c>
      <c r="H1778" s="36" t="s">
        <v>132</v>
      </c>
    </row>
    <row r="1779" customFormat="false" ht="15" hidden="false" customHeight="false" outlineLevel="0" collapsed="false">
      <c r="A1779" s="36" t="s">
        <v>2235</v>
      </c>
      <c r="B1779" s="36" t="s">
        <v>709</v>
      </c>
      <c r="C1779" s="36" t="s">
        <v>46</v>
      </c>
      <c r="D1779" s="36" t="s">
        <v>727</v>
      </c>
      <c r="E1779" s="36" t="n">
        <v>1</v>
      </c>
      <c r="F1779" s="36" t="s">
        <v>457</v>
      </c>
      <c r="G1779" s="36" t="s">
        <v>243</v>
      </c>
      <c r="H1779" s="36" t="s">
        <v>141</v>
      </c>
    </row>
    <row r="1780" customFormat="false" ht="15" hidden="false" customHeight="false" outlineLevel="0" collapsed="false">
      <c r="A1780" s="36" t="s">
        <v>2236</v>
      </c>
      <c r="B1780" s="36" t="s">
        <v>709</v>
      </c>
      <c r="C1780" s="36" t="s">
        <v>46</v>
      </c>
      <c r="D1780" s="36" t="s">
        <v>212</v>
      </c>
      <c r="E1780" s="36" t="n">
        <v>2</v>
      </c>
      <c r="F1780" s="36" t="s">
        <v>563</v>
      </c>
      <c r="G1780" s="36" t="s">
        <v>256</v>
      </c>
      <c r="H1780" s="36" t="s">
        <v>141</v>
      </c>
    </row>
    <row r="1781" customFormat="false" ht="15" hidden="false" customHeight="false" outlineLevel="0" collapsed="false">
      <c r="A1781" s="36" t="s">
        <v>754</v>
      </c>
      <c r="B1781" s="36" t="s">
        <v>644</v>
      </c>
      <c r="C1781" s="36" t="s">
        <v>45</v>
      </c>
      <c r="D1781" s="36" t="s">
        <v>382</v>
      </c>
      <c r="E1781" s="36" t="n">
        <v>6</v>
      </c>
      <c r="F1781" s="36" t="n">
        <v>130</v>
      </c>
      <c r="G1781" s="36" t="s">
        <v>270</v>
      </c>
      <c r="H1781" s="36" t="s">
        <v>132</v>
      </c>
    </row>
    <row r="1782" customFormat="false" ht="15" hidden="false" customHeight="false" outlineLevel="0" collapsed="false">
      <c r="A1782" s="36" t="s">
        <v>2237</v>
      </c>
      <c r="B1782" s="36" t="s">
        <v>709</v>
      </c>
      <c r="C1782" s="36" t="s">
        <v>46</v>
      </c>
      <c r="D1782" s="36" t="s">
        <v>408</v>
      </c>
      <c r="E1782" s="36" t="n">
        <v>2</v>
      </c>
      <c r="F1782" s="36" t="s">
        <v>584</v>
      </c>
      <c r="G1782" s="36" t="s">
        <v>246</v>
      </c>
      <c r="H1782" s="36" t="s">
        <v>141</v>
      </c>
    </row>
    <row r="1783" customFormat="false" ht="15" hidden="false" customHeight="false" outlineLevel="0" collapsed="false">
      <c r="A1783" s="36" t="s">
        <v>2238</v>
      </c>
      <c r="B1783" s="36" t="s">
        <v>2090</v>
      </c>
      <c r="C1783" s="36" t="s">
        <v>46</v>
      </c>
      <c r="D1783" s="36" t="s">
        <v>161</v>
      </c>
      <c r="E1783" s="36" t="n">
        <v>1</v>
      </c>
      <c r="F1783" s="36" t="n">
        <v>40</v>
      </c>
      <c r="G1783" s="36" t="s">
        <v>246</v>
      </c>
      <c r="H1783" s="36" t="s">
        <v>132</v>
      </c>
    </row>
    <row r="1784" customFormat="false" ht="15" hidden="false" customHeight="false" outlineLevel="0" collapsed="false">
      <c r="A1784" s="36" t="s">
        <v>2239</v>
      </c>
      <c r="B1784" s="36" t="s">
        <v>2090</v>
      </c>
      <c r="C1784" s="36" t="s">
        <v>46</v>
      </c>
      <c r="D1784" s="36" t="s">
        <v>201</v>
      </c>
      <c r="E1784" s="36" t="n">
        <v>1</v>
      </c>
      <c r="F1784" s="36" t="s">
        <v>600</v>
      </c>
      <c r="G1784" s="36" t="s">
        <v>246</v>
      </c>
      <c r="H1784" s="36" t="s">
        <v>247</v>
      </c>
    </row>
    <row r="1785" customFormat="false" ht="15" hidden="false" customHeight="false" outlineLevel="0" collapsed="false">
      <c r="A1785" s="36" t="s">
        <v>2240</v>
      </c>
      <c r="B1785" s="36" t="s">
        <v>709</v>
      </c>
      <c r="C1785" s="36" t="s">
        <v>46</v>
      </c>
      <c r="D1785" s="36" t="s">
        <v>623</v>
      </c>
      <c r="E1785" s="36" t="n">
        <v>1</v>
      </c>
      <c r="F1785" s="36" t="n">
        <v>190</v>
      </c>
      <c r="G1785" s="36" t="s">
        <v>260</v>
      </c>
      <c r="H1785" s="36" t="s">
        <v>132</v>
      </c>
    </row>
    <row r="1786" customFormat="false" ht="15" hidden="false" customHeight="false" outlineLevel="0" collapsed="false">
      <c r="A1786" s="36" t="s">
        <v>2241</v>
      </c>
      <c r="B1786" s="36" t="s">
        <v>709</v>
      </c>
      <c r="C1786" s="36" t="s">
        <v>46</v>
      </c>
      <c r="D1786" s="36" t="s">
        <v>134</v>
      </c>
      <c r="E1786" s="36" t="s">
        <v>403</v>
      </c>
      <c r="F1786" s="36" t="s">
        <v>552</v>
      </c>
      <c r="G1786" s="36" t="s">
        <v>251</v>
      </c>
      <c r="H1786" s="36" t="s">
        <v>146</v>
      </c>
    </row>
    <row r="1787" customFormat="false" ht="15" hidden="false" customHeight="false" outlineLevel="0" collapsed="false">
      <c r="A1787" s="36" t="s">
        <v>2242</v>
      </c>
      <c r="B1787" s="36" t="s">
        <v>709</v>
      </c>
      <c r="C1787" s="36" t="s">
        <v>46</v>
      </c>
      <c r="D1787" s="36" t="s">
        <v>167</v>
      </c>
      <c r="E1787" s="36" t="n">
        <v>2</v>
      </c>
      <c r="F1787" s="36" t="s">
        <v>292</v>
      </c>
      <c r="G1787" s="36" t="s">
        <v>246</v>
      </c>
      <c r="H1787" s="36" t="s">
        <v>308</v>
      </c>
    </row>
    <row r="1788" customFormat="false" ht="15" hidden="false" customHeight="false" outlineLevel="0" collapsed="false">
      <c r="A1788" s="36" t="s">
        <v>2243</v>
      </c>
      <c r="B1788" s="36" t="s">
        <v>709</v>
      </c>
      <c r="C1788" s="36" t="s">
        <v>46</v>
      </c>
      <c r="D1788" s="36" t="s">
        <v>162</v>
      </c>
      <c r="E1788" s="36" t="n">
        <v>1</v>
      </c>
      <c r="F1788" s="36" t="s">
        <v>862</v>
      </c>
      <c r="G1788" s="36" t="s">
        <v>251</v>
      </c>
      <c r="H1788" s="36" t="s">
        <v>132</v>
      </c>
    </row>
    <row r="1789" customFormat="false" ht="15" hidden="false" customHeight="false" outlineLevel="0" collapsed="false">
      <c r="A1789" s="36" t="s">
        <v>2244</v>
      </c>
      <c r="B1789" s="36" t="s">
        <v>709</v>
      </c>
      <c r="C1789" s="36" t="s">
        <v>46</v>
      </c>
      <c r="D1789" s="36" t="s">
        <v>646</v>
      </c>
      <c r="E1789" s="36" t="n">
        <v>3</v>
      </c>
      <c r="F1789" s="36" t="s">
        <v>245</v>
      </c>
      <c r="G1789" s="36" t="s">
        <v>270</v>
      </c>
      <c r="H1789" s="36" t="s">
        <v>146</v>
      </c>
    </row>
    <row r="1790" customFormat="false" ht="15" hidden="false" customHeight="false" outlineLevel="0" collapsed="false">
      <c r="A1790" s="36" t="s">
        <v>2245</v>
      </c>
      <c r="B1790" s="37" t="n">
        <v>46276</v>
      </c>
      <c r="C1790" s="36" t="s">
        <v>448</v>
      </c>
      <c r="D1790" s="36" t="s">
        <v>471</v>
      </c>
      <c r="E1790" s="36" t="n">
        <v>6</v>
      </c>
      <c r="F1790" s="36" t="s">
        <v>936</v>
      </c>
      <c r="G1790" s="36" t="s">
        <v>267</v>
      </c>
      <c r="H1790" s="36" t="s">
        <v>145</v>
      </c>
    </row>
    <row r="1791" customFormat="false" ht="15" hidden="false" customHeight="false" outlineLevel="0" collapsed="false">
      <c r="A1791" s="36" t="s">
        <v>2246</v>
      </c>
      <c r="B1791" s="36" t="s">
        <v>709</v>
      </c>
      <c r="C1791" s="36" t="s">
        <v>442</v>
      </c>
      <c r="D1791" s="36" t="s">
        <v>530</v>
      </c>
      <c r="E1791" s="36" t="n">
        <v>3</v>
      </c>
      <c r="F1791" s="36" t="s">
        <v>344</v>
      </c>
      <c r="G1791" s="36" t="s">
        <v>246</v>
      </c>
      <c r="H1791" s="36" t="s">
        <v>132</v>
      </c>
    </row>
    <row r="1792" customFormat="false" ht="15" hidden="false" customHeight="false" outlineLevel="0" collapsed="false">
      <c r="A1792" s="36" t="s">
        <v>2247</v>
      </c>
      <c r="B1792" s="36" t="s">
        <v>709</v>
      </c>
      <c r="C1792" s="36" t="s">
        <v>46</v>
      </c>
      <c r="D1792" s="36" t="s">
        <v>625</v>
      </c>
      <c r="E1792" s="36" t="n">
        <v>1</v>
      </c>
      <c r="F1792" s="36" t="n">
        <v>130</v>
      </c>
      <c r="G1792" s="36" t="s">
        <v>260</v>
      </c>
      <c r="H1792" s="36" t="s">
        <v>146</v>
      </c>
    </row>
    <row r="1793" customFormat="false" ht="15" hidden="false" customHeight="false" outlineLevel="0" collapsed="false">
      <c r="A1793" s="36" t="s">
        <v>2248</v>
      </c>
      <c r="B1793" s="36" t="s">
        <v>709</v>
      </c>
      <c r="C1793" s="36" t="s">
        <v>46</v>
      </c>
      <c r="D1793" s="36" t="s">
        <v>152</v>
      </c>
      <c r="E1793" s="36" t="n">
        <v>1</v>
      </c>
      <c r="F1793" s="36" t="s">
        <v>363</v>
      </c>
      <c r="G1793" s="36" t="s">
        <v>260</v>
      </c>
      <c r="H1793" s="36" t="s">
        <v>141</v>
      </c>
    </row>
    <row r="1794" customFormat="false" ht="15" hidden="false" customHeight="false" outlineLevel="0" collapsed="false">
      <c r="A1794" s="36" t="s">
        <v>2249</v>
      </c>
      <c r="B1794" s="36" t="s">
        <v>709</v>
      </c>
      <c r="C1794" s="36" t="s">
        <v>46</v>
      </c>
      <c r="D1794" s="36" t="s">
        <v>822</v>
      </c>
      <c r="E1794" s="36" t="n">
        <v>3</v>
      </c>
      <c r="F1794" s="36" t="n">
        <v>65</v>
      </c>
      <c r="G1794" s="36" t="s">
        <v>251</v>
      </c>
      <c r="H1794" s="36" t="s">
        <v>146</v>
      </c>
    </row>
    <row r="1795" customFormat="false" ht="15" hidden="false" customHeight="false" outlineLevel="0" collapsed="false">
      <c r="A1795" s="36" t="s">
        <v>2250</v>
      </c>
      <c r="B1795" s="36" t="s">
        <v>709</v>
      </c>
      <c r="C1795" s="36" t="s">
        <v>46</v>
      </c>
      <c r="D1795" s="36" t="s">
        <v>180</v>
      </c>
      <c r="E1795" s="36" t="n">
        <v>4</v>
      </c>
      <c r="F1795" s="36" t="s">
        <v>411</v>
      </c>
      <c r="G1795" s="36" t="s">
        <v>243</v>
      </c>
      <c r="H1795" s="36" t="s">
        <v>141</v>
      </c>
    </row>
    <row r="1796" customFormat="false" ht="15" hidden="false" customHeight="false" outlineLevel="0" collapsed="false">
      <c r="A1796" s="36" t="s">
        <v>2251</v>
      </c>
      <c r="B1796" s="36" t="s">
        <v>709</v>
      </c>
      <c r="C1796" s="36" t="s">
        <v>46</v>
      </c>
      <c r="D1796" s="36" t="s">
        <v>192</v>
      </c>
      <c r="E1796" s="36" t="n">
        <v>6</v>
      </c>
      <c r="F1796" s="36" t="n">
        <v>420</v>
      </c>
      <c r="G1796" s="36" t="s">
        <v>263</v>
      </c>
      <c r="H1796" s="36" t="s">
        <v>321</v>
      </c>
    </row>
    <row r="1797" customFormat="false" ht="15" hidden="false" customHeight="false" outlineLevel="0" collapsed="false">
      <c r="A1797" s="36" t="s">
        <v>2252</v>
      </c>
      <c r="B1797" s="36" t="s">
        <v>2090</v>
      </c>
      <c r="C1797" s="36" t="s">
        <v>448</v>
      </c>
      <c r="D1797" s="36" t="s">
        <v>152</v>
      </c>
      <c r="E1797" s="36" t="n">
        <v>2</v>
      </c>
      <c r="F1797" s="36" t="n">
        <v>40</v>
      </c>
      <c r="G1797" s="36" t="s">
        <v>270</v>
      </c>
      <c r="H1797" s="36" t="s">
        <v>131</v>
      </c>
    </row>
    <row r="1798" customFormat="false" ht="15" hidden="false" customHeight="false" outlineLevel="0" collapsed="false">
      <c r="A1798" s="36" t="s">
        <v>2253</v>
      </c>
      <c r="B1798" s="36" t="s">
        <v>709</v>
      </c>
      <c r="C1798" s="36" t="s">
        <v>448</v>
      </c>
      <c r="D1798" s="36" t="s">
        <v>390</v>
      </c>
      <c r="E1798" s="36" t="n">
        <v>2</v>
      </c>
      <c r="F1798" s="36" t="s">
        <v>245</v>
      </c>
      <c r="G1798" s="36" t="s">
        <v>267</v>
      </c>
      <c r="H1798" s="36" t="s">
        <v>141</v>
      </c>
    </row>
    <row r="1799" customFormat="false" ht="15" hidden="false" customHeight="false" outlineLevel="0" collapsed="false">
      <c r="A1799" s="36" t="s">
        <v>2254</v>
      </c>
      <c r="B1799" s="36" t="s">
        <v>2090</v>
      </c>
      <c r="C1799" s="36" t="s">
        <v>46</v>
      </c>
      <c r="D1799" s="36" t="s">
        <v>623</v>
      </c>
      <c r="E1799" s="36" t="n">
        <v>3</v>
      </c>
      <c r="F1799" s="36" t="n">
        <v>190</v>
      </c>
      <c r="G1799" s="36" t="s">
        <v>270</v>
      </c>
      <c r="H1799" s="36" t="s">
        <v>131</v>
      </c>
    </row>
    <row r="1800" customFormat="false" ht="15" hidden="false" customHeight="false" outlineLevel="0" collapsed="false">
      <c r="A1800" s="36" t="s">
        <v>2255</v>
      </c>
      <c r="B1800" s="36" t="s">
        <v>709</v>
      </c>
      <c r="C1800" s="36" t="s">
        <v>156</v>
      </c>
      <c r="D1800" s="36" t="s">
        <v>226</v>
      </c>
      <c r="E1800" s="36" t="n">
        <v>6</v>
      </c>
      <c r="F1800" s="36" t="n">
        <v>350</v>
      </c>
      <c r="G1800" s="36" t="s">
        <v>256</v>
      </c>
      <c r="H1800" s="36" t="s">
        <v>131</v>
      </c>
    </row>
    <row r="1801" customFormat="false" ht="15" hidden="false" customHeight="false" outlineLevel="0" collapsed="false">
      <c r="A1801" s="36" t="s">
        <v>2256</v>
      </c>
      <c r="B1801" s="36" t="s">
        <v>709</v>
      </c>
      <c r="C1801" s="36" t="s">
        <v>156</v>
      </c>
      <c r="D1801" s="36" t="s">
        <v>194</v>
      </c>
      <c r="E1801" s="36" t="n">
        <v>2</v>
      </c>
      <c r="F1801" s="36" t="n">
        <v>130</v>
      </c>
      <c r="G1801" s="36" t="s">
        <v>270</v>
      </c>
      <c r="H1801" s="36" t="s">
        <v>140</v>
      </c>
    </row>
    <row r="1802" customFormat="false" ht="15" hidden="false" customHeight="false" outlineLevel="0" collapsed="false">
      <c r="A1802" s="36" t="s">
        <v>2257</v>
      </c>
      <c r="B1802" s="36" t="s">
        <v>709</v>
      </c>
      <c r="C1802" s="36" t="s">
        <v>442</v>
      </c>
      <c r="D1802" s="36" t="s">
        <v>397</v>
      </c>
      <c r="E1802" s="36" t="n">
        <v>2</v>
      </c>
      <c r="F1802" s="36" t="s">
        <v>369</v>
      </c>
      <c r="G1802" s="36" t="s">
        <v>270</v>
      </c>
      <c r="H1802" s="36" t="s">
        <v>146</v>
      </c>
    </row>
    <row r="1803" customFormat="false" ht="15" hidden="false" customHeight="false" outlineLevel="0" collapsed="false">
      <c r="A1803" s="36" t="s">
        <v>2258</v>
      </c>
      <c r="B1803" s="36" t="s">
        <v>709</v>
      </c>
      <c r="C1803" s="36" t="s">
        <v>442</v>
      </c>
      <c r="D1803" s="36" t="s">
        <v>155</v>
      </c>
      <c r="E1803" s="36" t="n">
        <v>6</v>
      </c>
      <c r="F1803" s="36" t="s">
        <v>245</v>
      </c>
      <c r="G1803" s="36" t="s">
        <v>256</v>
      </c>
      <c r="H1803" s="36" t="s">
        <v>308</v>
      </c>
    </row>
    <row r="1804" customFormat="false" ht="15" hidden="false" customHeight="false" outlineLevel="0" collapsed="false">
      <c r="A1804" s="36" t="s">
        <v>2259</v>
      </c>
      <c r="B1804" s="36" t="s">
        <v>709</v>
      </c>
      <c r="C1804" s="36" t="s">
        <v>46</v>
      </c>
      <c r="D1804" s="36" t="s">
        <v>1018</v>
      </c>
      <c r="E1804" s="36" t="n">
        <v>3</v>
      </c>
      <c r="F1804" s="36" t="s">
        <v>457</v>
      </c>
      <c r="G1804" s="36" t="s">
        <v>260</v>
      </c>
      <c r="H1804" s="36" t="s">
        <v>146</v>
      </c>
    </row>
    <row r="1805" customFormat="false" ht="15" hidden="false" customHeight="false" outlineLevel="0" collapsed="false">
      <c r="A1805" s="36" t="s">
        <v>2260</v>
      </c>
      <c r="B1805" s="36" t="s">
        <v>2090</v>
      </c>
      <c r="C1805" s="36" t="s">
        <v>46</v>
      </c>
      <c r="D1805" s="36" t="s">
        <v>312</v>
      </c>
      <c r="E1805" s="36" t="n">
        <v>2</v>
      </c>
      <c r="F1805" s="36" t="n">
        <v>85</v>
      </c>
      <c r="G1805" s="36" t="s">
        <v>251</v>
      </c>
      <c r="H1805" s="36" t="s">
        <v>145</v>
      </c>
    </row>
    <row r="1806" customFormat="false" ht="15" hidden="false" customHeight="false" outlineLevel="0" collapsed="false">
      <c r="A1806" s="36" t="s">
        <v>2261</v>
      </c>
      <c r="B1806" s="36" t="s">
        <v>2090</v>
      </c>
      <c r="C1806" s="36" t="s">
        <v>448</v>
      </c>
      <c r="D1806" s="36" t="s">
        <v>408</v>
      </c>
      <c r="E1806" s="36" t="n">
        <v>1</v>
      </c>
      <c r="F1806" s="36" t="s">
        <v>547</v>
      </c>
      <c r="G1806" s="36" t="s">
        <v>267</v>
      </c>
      <c r="H1806" s="36" t="s">
        <v>306</v>
      </c>
    </row>
    <row r="1807" customFormat="false" ht="15" hidden="false" customHeight="false" outlineLevel="0" collapsed="false">
      <c r="A1807" s="36" t="s">
        <v>2262</v>
      </c>
      <c r="B1807" s="36" t="s">
        <v>709</v>
      </c>
      <c r="C1807" s="36" t="s">
        <v>46</v>
      </c>
      <c r="D1807" s="36" t="s">
        <v>280</v>
      </c>
      <c r="E1807" s="36" t="n">
        <v>2</v>
      </c>
      <c r="F1807" s="36" t="n">
        <v>330</v>
      </c>
      <c r="G1807" s="36" t="s">
        <v>260</v>
      </c>
      <c r="H1807" s="36" t="s">
        <v>321</v>
      </c>
    </row>
    <row r="1808" customFormat="false" ht="15" hidden="false" customHeight="false" outlineLevel="0" collapsed="false">
      <c r="A1808" s="36" t="s">
        <v>1253</v>
      </c>
      <c r="B1808" s="36" t="s">
        <v>589</v>
      </c>
      <c r="C1808" s="36" t="s">
        <v>333</v>
      </c>
      <c r="D1808" s="36" t="s">
        <v>390</v>
      </c>
      <c r="E1808" s="36" t="n">
        <v>6</v>
      </c>
      <c r="F1808" s="36" t="s">
        <v>1027</v>
      </c>
      <c r="G1808" s="36" t="s">
        <v>256</v>
      </c>
      <c r="H1808" s="36" t="s">
        <v>141</v>
      </c>
    </row>
    <row r="1809" customFormat="false" ht="15" hidden="false" customHeight="false" outlineLevel="0" collapsed="false">
      <c r="A1809" s="36" t="s">
        <v>2263</v>
      </c>
      <c r="B1809" s="37" t="n">
        <v>46277</v>
      </c>
      <c r="C1809" s="36" t="s">
        <v>249</v>
      </c>
      <c r="D1809" s="36" t="s">
        <v>408</v>
      </c>
      <c r="E1809" s="36" t="n">
        <v>4</v>
      </c>
      <c r="F1809" s="36" t="s">
        <v>584</v>
      </c>
      <c r="G1809" s="36" t="s">
        <v>256</v>
      </c>
      <c r="H1809" s="36" t="s">
        <v>145</v>
      </c>
    </row>
    <row r="1810" customFormat="false" ht="15" hidden="false" customHeight="false" outlineLevel="0" collapsed="false">
      <c r="A1810" s="36" t="s">
        <v>2264</v>
      </c>
      <c r="B1810" s="36" t="s">
        <v>1622</v>
      </c>
      <c r="C1810" s="36" t="s">
        <v>249</v>
      </c>
      <c r="D1810" s="36" t="s">
        <v>197</v>
      </c>
      <c r="E1810" s="36" t="n">
        <v>3</v>
      </c>
      <c r="F1810" s="36" t="n">
        <v>60</v>
      </c>
      <c r="G1810" s="36" t="s">
        <v>270</v>
      </c>
      <c r="H1810" s="36" t="s">
        <v>308</v>
      </c>
    </row>
    <row r="1811" customFormat="false" ht="15" hidden="false" customHeight="false" outlineLevel="0" collapsed="false">
      <c r="A1811" s="36" t="s">
        <v>2265</v>
      </c>
      <c r="B1811" s="36" t="s">
        <v>1622</v>
      </c>
      <c r="C1811" s="36" t="s">
        <v>42</v>
      </c>
      <c r="D1811" s="36" t="s">
        <v>190</v>
      </c>
      <c r="E1811" s="36" t="n">
        <v>1</v>
      </c>
      <c r="F1811" s="36" t="n">
        <v>195</v>
      </c>
      <c r="G1811" s="36" t="s">
        <v>260</v>
      </c>
      <c r="H1811" s="36" t="s">
        <v>247</v>
      </c>
    </row>
    <row r="1812" customFormat="false" ht="15" hidden="false" customHeight="false" outlineLevel="0" collapsed="false">
      <c r="A1812" s="36" t="s">
        <v>2266</v>
      </c>
      <c r="B1812" s="36" t="s">
        <v>1622</v>
      </c>
      <c r="C1812" s="36" t="s">
        <v>130</v>
      </c>
      <c r="D1812" s="36" t="s">
        <v>435</v>
      </c>
      <c r="E1812" s="36" t="n">
        <v>2</v>
      </c>
      <c r="F1812" s="36" t="s">
        <v>369</v>
      </c>
      <c r="G1812" s="36" t="s">
        <v>243</v>
      </c>
      <c r="H1812" s="36" t="s">
        <v>140</v>
      </c>
    </row>
    <row r="1813" customFormat="false" ht="15" hidden="false" customHeight="false" outlineLevel="0" collapsed="false">
      <c r="A1813" s="36" t="s">
        <v>2267</v>
      </c>
      <c r="B1813" s="36" t="s">
        <v>1622</v>
      </c>
      <c r="C1813" s="36" t="s">
        <v>294</v>
      </c>
      <c r="D1813" s="36" t="s">
        <v>172</v>
      </c>
      <c r="E1813" s="36" t="n">
        <v>1</v>
      </c>
      <c r="F1813" s="36" t="n">
        <v>60</v>
      </c>
      <c r="G1813" s="36" t="s">
        <v>263</v>
      </c>
      <c r="H1813" s="36" t="s">
        <v>132</v>
      </c>
    </row>
    <row r="1814" customFormat="false" ht="15" hidden="false" customHeight="false" outlineLevel="0" collapsed="false">
      <c r="A1814" s="36" t="s">
        <v>2268</v>
      </c>
      <c r="B1814" s="36" t="s">
        <v>1622</v>
      </c>
      <c r="C1814" s="36" t="s">
        <v>254</v>
      </c>
      <c r="D1814" s="36" t="s">
        <v>478</v>
      </c>
      <c r="E1814" s="36" t="n">
        <v>3</v>
      </c>
      <c r="F1814" s="36" t="n">
        <v>420</v>
      </c>
      <c r="G1814" s="36" t="s">
        <v>267</v>
      </c>
      <c r="H1814" s="36" t="s">
        <v>308</v>
      </c>
    </row>
    <row r="1815" customFormat="false" ht="15" hidden="false" customHeight="false" outlineLevel="0" collapsed="false">
      <c r="A1815" s="36" t="s">
        <v>2269</v>
      </c>
      <c r="B1815" s="36" t="s">
        <v>1622</v>
      </c>
      <c r="C1815" s="36" t="s">
        <v>294</v>
      </c>
      <c r="D1815" s="36" t="s">
        <v>142</v>
      </c>
      <c r="E1815" s="36" t="n">
        <v>1</v>
      </c>
      <c r="F1815" s="36" t="n">
        <v>420</v>
      </c>
      <c r="G1815" s="36" t="s">
        <v>260</v>
      </c>
      <c r="H1815" s="36" t="s">
        <v>141</v>
      </c>
    </row>
    <row r="1816" customFormat="false" ht="15" hidden="false" customHeight="false" outlineLevel="0" collapsed="false">
      <c r="A1816" s="36" t="s">
        <v>2270</v>
      </c>
      <c r="B1816" s="36" t="s">
        <v>1622</v>
      </c>
      <c r="C1816" s="36" t="s">
        <v>130</v>
      </c>
      <c r="D1816" s="36" t="s">
        <v>157</v>
      </c>
      <c r="E1816" s="36" t="n">
        <v>1</v>
      </c>
      <c r="F1816" s="36" t="s">
        <v>380</v>
      </c>
      <c r="G1816" s="36" t="s">
        <v>251</v>
      </c>
      <c r="H1816" s="36" t="s">
        <v>131</v>
      </c>
    </row>
    <row r="1817" customFormat="false" ht="15" hidden="false" customHeight="false" outlineLevel="0" collapsed="false">
      <c r="A1817" s="36" t="s">
        <v>2271</v>
      </c>
      <c r="B1817" s="36" t="s">
        <v>1622</v>
      </c>
      <c r="C1817" s="36" t="s">
        <v>249</v>
      </c>
      <c r="D1817" s="36" t="s">
        <v>1177</v>
      </c>
      <c r="E1817" s="36" t="n">
        <v>1</v>
      </c>
      <c r="F1817" s="36" t="n">
        <v>420</v>
      </c>
      <c r="G1817" s="36" t="s">
        <v>246</v>
      </c>
      <c r="H1817" s="36" t="s">
        <v>131</v>
      </c>
    </row>
    <row r="1818" customFormat="false" ht="15" hidden="false" customHeight="false" outlineLevel="0" collapsed="false">
      <c r="A1818" s="36" t="s">
        <v>2272</v>
      </c>
      <c r="B1818" s="36" t="s">
        <v>1633</v>
      </c>
      <c r="C1818" s="36" t="s">
        <v>294</v>
      </c>
      <c r="D1818" s="36" t="s">
        <v>299</v>
      </c>
      <c r="E1818" s="36" t="n">
        <v>6</v>
      </c>
      <c r="F1818" s="36" t="s">
        <v>319</v>
      </c>
      <c r="G1818" s="36" t="s">
        <v>243</v>
      </c>
      <c r="H1818" s="36" t="s">
        <v>306</v>
      </c>
    </row>
    <row r="1819" customFormat="false" ht="15" hidden="false" customHeight="false" outlineLevel="0" collapsed="false">
      <c r="A1819" s="36" t="s">
        <v>2273</v>
      </c>
      <c r="B1819" s="36" t="s">
        <v>1622</v>
      </c>
      <c r="C1819" s="36" t="s">
        <v>294</v>
      </c>
      <c r="D1819" s="36" t="s">
        <v>390</v>
      </c>
      <c r="E1819" s="36" t="s">
        <v>403</v>
      </c>
      <c r="F1819" s="36" t="s">
        <v>292</v>
      </c>
      <c r="G1819" s="36" t="s">
        <v>270</v>
      </c>
      <c r="H1819" s="36" t="s">
        <v>321</v>
      </c>
    </row>
    <row r="1820" customFormat="false" ht="15" hidden="false" customHeight="false" outlineLevel="0" collapsed="false">
      <c r="A1820" s="36" t="s">
        <v>2274</v>
      </c>
      <c r="B1820" s="36" t="s">
        <v>1622</v>
      </c>
      <c r="C1820" s="36" t="s">
        <v>130</v>
      </c>
      <c r="D1820" s="36" t="s">
        <v>205</v>
      </c>
      <c r="E1820" s="36" t="n">
        <v>2</v>
      </c>
      <c r="F1820" s="36" t="s">
        <v>384</v>
      </c>
      <c r="G1820" s="36" t="s">
        <v>260</v>
      </c>
      <c r="H1820" s="36" t="s">
        <v>247</v>
      </c>
    </row>
    <row r="1821" customFormat="false" ht="15" hidden="false" customHeight="false" outlineLevel="0" collapsed="false">
      <c r="A1821" s="36" t="s">
        <v>2275</v>
      </c>
      <c r="B1821" s="36" t="s">
        <v>1622</v>
      </c>
      <c r="C1821" s="36" t="s">
        <v>249</v>
      </c>
      <c r="D1821" s="36" t="s">
        <v>696</v>
      </c>
      <c r="E1821" s="36" t="n">
        <v>1</v>
      </c>
      <c r="F1821" s="36" t="s">
        <v>552</v>
      </c>
      <c r="G1821" s="36" t="s">
        <v>260</v>
      </c>
      <c r="H1821" s="36" t="s">
        <v>321</v>
      </c>
    </row>
    <row r="1822" customFormat="false" ht="15" hidden="false" customHeight="false" outlineLevel="0" collapsed="false">
      <c r="A1822" s="36" t="s">
        <v>2276</v>
      </c>
      <c r="B1822" s="36" t="s">
        <v>1622</v>
      </c>
      <c r="C1822" s="36" t="s">
        <v>42</v>
      </c>
      <c r="D1822" s="36" t="s">
        <v>524</v>
      </c>
      <c r="E1822" s="36" t="n">
        <v>6</v>
      </c>
      <c r="F1822" s="36" t="s">
        <v>323</v>
      </c>
      <c r="G1822" s="36" t="s">
        <v>260</v>
      </c>
      <c r="H1822" s="36" t="s">
        <v>141</v>
      </c>
    </row>
    <row r="1823" customFormat="false" ht="15" hidden="false" customHeight="false" outlineLevel="0" collapsed="false">
      <c r="A1823" s="36" t="s">
        <v>2277</v>
      </c>
      <c r="B1823" s="36" t="s">
        <v>1622</v>
      </c>
      <c r="C1823" s="36" t="s">
        <v>241</v>
      </c>
      <c r="D1823" s="36" t="s">
        <v>182</v>
      </c>
      <c r="E1823" s="36" t="n">
        <v>1</v>
      </c>
      <c r="F1823" s="36" t="n">
        <v>380</v>
      </c>
      <c r="G1823" s="36" t="s">
        <v>270</v>
      </c>
      <c r="H1823" s="36" t="s">
        <v>141</v>
      </c>
    </row>
    <row r="1824" customFormat="false" ht="15" hidden="false" customHeight="false" outlineLevel="0" collapsed="false">
      <c r="A1824" s="36" t="s">
        <v>2278</v>
      </c>
      <c r="B1824" s="36" t="s">
        <v>1633</v>
      </c>
      <c r="C1824" s="36" t="s">
        <v>294</v>
      </c>
      <c r="D1824" s="36" t="s">
        <v>478</v>
      </c>
      <c r="E1824" s="36" t="n">
        <v>1</v>
      </c>
      <c r="F1824" s="36" t="n">
        <v>420</v>
      </c>
      <c r="G1824" s="36" t="s">
        <v>246</v>
      </c>
      <c r="H1824" s="36" t="s">
        <v>141</v>
      </c>
    </row>
    <row r="1825" customFormat="false" ht="15" hidden="false" customHeight="false" outlineLevel="0" collapsed="false">
      <c r="A1825" s="36" t="s">
        <v>2279</v>
      </c>
      <c r="B1825" s="36" t="s">
        <v>1633</v>
      </c>
      <c r="C1825" s="36" t="s">
        <v>42</v>
      </c>
      <c r="D1825" s="36" t="s">
        <v>342</v>
      </c>
      <c r="E1825" s="36" t="n">
        <v>4</v>
      </c>
      <c r="F1825" s="36" t="n">
        <v>60</v>
      </c>
      <c r="G1825" s="36" t="s">
        <v>263</v>
      </c>
      <c r="H1825" s="36" t="s">
        <v>146</v>
      </c>
    </row>
    <row r="1826" customFormat="false" ht="15" hidden="false" customHeight="false" outlineLevel="0" collapsed="false">
      <c r="A1826" s="36" t="s">
        <v>2280</v>
      </c>
      <c r="B1826" s="36" t="s">
        <v>1622</v>
      </c>
      <c r="C1826" s="36" t="s">
        <v>130</v>
      </c>
      <c r="D1826" s="36" t="s">
        <v>373</v>
      </c>
      <c r="E1826" s="36" t="n">
        <v>2</v>
      </c>
      <c r="F1826" s="36" t="n">
        <v>40</v>
      </c>
      <c r="G1826" s="36" t="s">
        <v>260</v>
      </c>
      <c r="H1826" s="36" t="s">
        <v>131</v>
      </c>
    </row>
    <row r="1827" customFormat="false" ht="15" hidden="false" customHeight="false" outlineLevel="0" collapsed="false">
      <c r="A1827" s="36" t="s">
        <v>2281</v>
      </c>
      <c r="B1827" s="36" t="s">
        <v>1622</v>
      </c>
      <c r="C1827" s="36" t="s">
        <v>241</v>
      </c>
      <c r="D1827" s="36" t="s">
        <v>157</v>
      </c>
      <c r="E1827" s="36" t="n">
        <v>2</v>
      </c>
      <c r="F1827" s="36" t="n">
        <v>330</v>
      </c>
      <c r="G1827" s="36" t="s">
        <v>270</v>
      </c>
      <c r="H1827" s="36" t="s">
        <v>132</v>
      </c>
    </row>
    <row r="1828" customFormat="false" ht="15" hidden="false" customHeight="false" outlineLevel="0" collapsed="false">
      <c r="A1828" s="36" t="s">
        <v>2282</v>
      </c>
      <c r="B1828" s="36" t="s">
        <v>1633</v>
      </c>
      <c r="C1828" s="36" t="s">
        <v>241</v>
      </c>
      <c r="D1828" s="36" t="s">
        <v>181</v>
      </c>
      <c r="E1828" s="36" t="n">
        <v>1</v>
      </c>
      <c r="F1828" s="36" t="s">
        <v>659</v>
      </c>
      <c r="G1828" s="36" t="s">
        <v>243</v>
      </c>
      <c r="H1828" s="36" t="s">
        <v>141</v>
      </c>
    </row>
    <row r="1829" customFormat="false" ht="15" hidden="false" customHeight="false" outlineLevel="0" collapsed="false">
      <c r="A1829" s="36" t="s">
        <v>2283</v>
      </c>
      <c r="B1829" s="36" t="s">
        <v>1633</v>
      </c>
      <c r="C1829" s="36" t="s">
        <v>241</v>
      </c>
      <c r="D1829" s="36" t="s">
        <v>415</v>
      </c>
      <c r="E1829" s="36" t="n">
        <v>1</v>
      </c>
      <c r="F1829" s="36" t="n">
        <v>50</v>
      </c>
      <c r="G1829" s="36" t="s">
        <v>256</v>
      </c>
      <c r="H1829" s="36" t="s">
        <v>132</v>
      </c>
    </row>
    <row r="1830" customFormat="false" ht="15" hidden="false" customHeight="false" outlineLevel="0" collapsed="false">
      <c r="A1830" s="36" t="s">
        <v>2284</v>
      </c>
      <c r="B1830" s="36" t="s">
        <v>1622</v>
      </c>
      <c r="C1830" s="36" t="s">
        <v>249</v>
      </c>
      <c r="D1830" s="36" t="s">
        <v>798</v>
      </c>
      <c r="E1830" s="36" t="n">
        <v>1</v>
      </c>
      <c r="F1830" s="36" t="n">
        <v>130</v>
      </c>
      <c r="G1830" s="36" t="s">
        <v>251</v>
      </c>
      <c r="H1830" s="36" t="s">
        <v>145</v>
      </c>
    </row>
    <row r="1831" customFormat="false" ht="15" hidden="false" customHeight="false" outlineLevel="0" collapsed="false">
      <c r="A1831" s="36" t="s">
        <v>2285</v>
      </c>
      <c r="B1831" s="36" t="s">
        <v>1622</v>
      </c>
      <c r="C1831" s="36" t="s">
        <v>130</v>
      </c>
      <c r="D1831" s="36" t="s">
        <v>530</v>
      </c>
      <c r="E1831" s="36" t="n">
        <v>2</v>
      </c>
      <c r="F1831" s="36" t="n">
        <v>60</v>
      </c>
      <c r="G1831" s="36" t="s">
        <v>260</v>
      </c>
      <c r="H1831" s="36" t="s">
        <v>308</v>
      </c>
    </row>
    <row r="1832" customFormat="false" ht="15" hidden="false" customHeight="false" outlineLevel="0" collapsed="false">
      <c r="A1832" s="36" t="s">
        <v>2286</v>
      </c>
      <c r="B1832" s="36" t="s">
        <v>1622</v>
      </c>
      <c r="C1832" s="36" t="s">
        <v>241</v>
      </c>
      <c r="D1832" s="36" t="s">
        <v>192</v>
      </c>
      <c r="E1832" s="36" t="n">
        <v>2</v>
      </c>
      <c r="F1832" s="36" t="s">
        <v>323</v>
      </c>
      <c r="G1832" s="36" t="s">
        <v>263</v>
      </c>
      <c r="H1832" s="36" t="s">
        <v>321</v>
      </c>
    </row>
    <row r="1833" customFormat="false" ht="15" hidden="false" customHeight="false" outlineLevel="0" collapsed="false">
      <c r="A1833" s="36" t="s">
        <v>2287</v>
      </c>
      <c r="B1833" s="37" t="n">
        <v>46277</v>
      </c>
      <c r="C1833" s="36" t="s">
        <v>130</v>
      </c>
      <c r="D1833" s="36" t="s">
        <v>898</v>
      </c>
      <c r="E1833" s="36" t="n">
        <v>2</v>
      </c>
      <c r="F1833" s="36" t="s">
        <v>331</v>
      </c>
      <c r="G1833" s="36" t="s">
        <v>246</v>
      </c>
      <c r="H1833" s="36" t="s">
        <v>141</v>
      </c>
    </row>
    <row r="1834" customFormat="false" ht="15" hidden="false" customHeight="false" outlineLevel="0" collapsed="false">
      <c r="A1834" s="36" t="s">
        <v>2288</v>
      </c>
      <c r="B1834" s="37" t="n">
        <v>46277</v>
      </c>
      <c r="C1834" s="36" t="s">
        <v>42</v>
      </c>
      <c r="D1834" s="36" t="s">
        <v>1545</v>
      </c>
      <c r="E1834" s="36" t="n">
        <v>2</v>
      </c>
      <c r="F1834" s="36" t="n">
        <v>80</v>
      </c>
      <c r="G1834" s="36" t="s">
        <v>243</v>
      </c>
      <c r="H1834" s="36" t="s">
        <v>141</v>
      </c>
    </row>
    <row r="1835" customFormat="false" ht="15" hidden="false" customHeight="false" outlineLevel="0" collapsed="false">
      <c r="A1835" s="36" t="s">
        <v>2289</v>
      </c>
      <c r="B1835" s="36" t="s">
        <v>1622</v>
      </c>
      <c r="C1835" s="36" t="s">
        <v>294</v>
      </c>
      <c r="D1835" s="36" t="s">
        <v>1086</v>
      </c>
      <c r="E1835" s="36" t="n">
        <v>6</v>
      </c>
      <c r="F1835" s="36" t="s">
        <v>313</v>
      </c>
      <c r="G1835" s="36" t="s">
        <v>246</v>
      </c>
      <c r="H1835" s="36" t="s">
        <v>321</v>
      </c>
    </row>
    <row r="1836" customFormat="false" ht="15" hidden="false" customHeight="false" outlineLevel="0" collapsed="false">
      <c r="A1836" s="36" t="s">
        <v>2290</v>
      </c>
      <c r="B1836" s="36" t="s">
        <v>1633</v>
      </c>
      <c r="C1836" s="36" t="s">
        <v>130</v>
      </c>
      <c r="D1836" s="36" t="s">
        <v>134</v>
      </c>
      <c r="E1836" s="36" t="n">
        <v>1</v>
      </c>
      <c r="F1836" s="36" t="n">
        <v>190</v>
      </c>
      <c r="G1836" s="36" t="s">
        <v>263</v>
      </c>
      <c r="H1836" s="36" t="s">
        <v>321</v>
      </c>
    </row>
    <row r="1837" customFormat="false" ht="15" hidden="false" customHeight="false" outlineLevel="0" collapsed="false">
      <c r="A1837" s="36" t="s">
        <v>2291</v>
      </c>
      <c r="B1837" s="36" t="s">
        <v>1633</v>
      </c>
      <c r="C1837" s="36" t="s">
        <v>249</v>
      </c>
      <c r="D1837" s="36" t="s">
        <v>200</v>
      </c>
      <c r="E1837" s="36" t="n">
        <v>1</v>
      </c>
      <c r="F1837" s="36" t="s">
        <v>507</v>
      </c>
      <c r="G1837" s="36" t="s">
        <v>263</v>
      </c>
      <c r="H1837" s="36" t="s">
        <v>146</v>
      </c>
    </row>
    <row r="1838" customFormat="false" ht="15" hidden="false" customHeight="false" outlineLevel="0" collapsed="false">
      <c r="A1838" s="36" t="s">
        <v>2292</v>
      </c>
      <c r="B1838" s="36" t="s">
        <v>1622</v>
      </c>
      <c r="C1838" s="36" t="s">
        <v>241</v>
      </c>
      <c r="D1838" s="36" t="s">
        <v>342</v>
      </c>
      <c r="E1838" s="36" t="n">
        <v>1</v>
      </c>
      <c r="F1838" s="36" t="s">
        <v>344</v>
      </c>
      <c r="G1838" s="36" t="s">
        <v>260</v>
      </c>
      <c r="H1838" s="36" t="s">
        <v>321</v>
      </c>
    </row>
    <row r="1839" customFormat="false" ht="15" hidden="false" customHeight="false" outlineLevel="0" collapsed="false">
      <c r="A1839" s="36" t="s">
        <v>2293</v>
      </c>
      <c r="B1839" s="37" t="n">
        <v>46277</v>
      </c>
      <c r="C1839" s="36" t="s">
        <v>249</v>
      </c>
      <c r="D1839" s="36" t="s">
        <v>631</v>
      </c>
      <c r="E1839" s="36" t="n">
        <v>3</v>
      </c>
      <c r="F1839" s="36" t="s">
        <v>507</v>
      </c>
      <c r="G1839" s="36" t="s">
        <v>263</v>
      </c>
      <c r="H1839" s="36" t="s">
        <v>141</v>
      </c>
    </row>
    <row r="1840" customFormat="false" ht="15" hidden="false" customHeight="false" outlineLevel="0" collapsed="false">
      <c r="A1840" s="36" t="s">
        <v>2294</v>
      </c>
      <c r="B1840" s="36" t="s">
        <v>1633</v>
      </c>
      <c r="C1840" s="36" t="s">
        <v>294</v>
      </c>
      <c r="D1840" s="36" t="s">
        <v>226</v>
      </c>
      <c r="E1840" s="36" t="n">
        <v>3</v>
      </c>
      <c r="F1840" s="36" t="n">
        <v>350</v>
      </c>
      <c r="G1840" s="36" t="s">
        <v>267</v>
      </c>
      <c r="H1840" s="36" t="s">
        <v>145</v>
      </c>
    </row>
    <row r="1841" customFormat="false" ht="15" hidden="false" customHeight="false" outlineLevel="0" collapsed="false">
      <c r="A1841" s="36" t="s">
        <v>2295</v>
      </c>
      <c r="B1841" s="36" t="s">
        <v>1633</v>
      </c>
      <c r="C1841" s="36" t="s">
        <v>294</v>
      </c>
      <c r="D1841" s="36" t="s">
        <v>577</v>
      </c>
      <c r="E1841" s="36" t="n">
        <v>6</v>
      </c>
      <c r="F1841" s="36" t="n">
        <v>360</v>
      </c>
      <c r="G1841" s="36" t="s">
        <v>270</v>
      </c>
      <c r="H1841" s="36" t="s">
        <v>321</v>
      </c>
    </row>
    <row r="1842" customFormat="false" ht="15" hidden="false" customHeight="false" outlineLevel="0" collapsed="false">
      <c r="A1842" s="36" t="s">
        <v>2296</v>
      </c>
      <c r="B1842" s="36" t="s">
        <v>1622</v>
      </c>
      <c r="C1842" s="36" t="s">
        <v>294</v>
      </c>
      <c r="D1842" s="36" t="s">
        <v>204</v>
      </c>
      <c r="E1842" s="36" t="n">
        <v>1</v>
      </c>
      <c r="F1842" s="36" t="n">
        <v>130</v>
      </c>
      <c r="G1842" s="36" t="s">
        <v>246</v>
      </c>
      <c r="H1842" s="36" t="s">
        <v>247</v>
      </c>
    </row>
    <row r="1843" customFormat="false" ht="15" hidden="false" customHeight="false" outlineLevel="0" collapsed="false">
      <c r="A1843" s="36" t="s">
        <v>2297</v>
      </c>
      <c r="B1843" s="36" t="s">
        <v>1622</v>
      </c>
      <c r="C1843" s="36" t="s">
        <v>42</v>
      </c>
      <c r="D1843" s="36" t="s">
        <v>215</v>
      </c>
      <c r="E1843" s="36" t="n">
        <v>1</v>
      </c>
      <c r="F1843" s="36" t="s">
        <v>584</v>
      </c>
      <c r="G1843" s="36" t="s">
        <v>246</v>
      </c>
      <c r="H1843" s="36" t="s">
        <v>131</v>
      </c>
    </row>
    <row r="1844" customFormat="false" ht="15" hidden="false" customHeight="false" outlineLevel="0" collapsed="false">
      <c r="A1844" s="36" t="s">
        <v>2298</v>
      </c>
      <c r="B1844" s="36" t="s">
        <v>1622</v>
      </c>
      <c r="C1844" s="36" t="s">
        <v>130</v>
      </c>
      <c r="D1844" s="36" t="s">
        <v>188</v>
      </c>
      <c r="E1844" s="36" t="n">
        <v>2</v>
      </c>
      <c r="F1844" s="36" t="n">
        <v>85</v>
      </c>
      <c r="G1844" s="36" t="s">
        <v>251</v>
      </c>
      <c r="H1844" s="36" t="s">
        <v>141</v>
      </c>
    </row>
    <row r="1845" customFormat="false" ht="15" hidden="false" customHeight="false" outlineLevel="0" collapsed="false">
      <c r="A1845" s="36" t="s">
        <v>2299</v>
      </c>
      <c r="B1845" s="36" t="s">
        <v>1622</v>
      </c>
      <c r="C1845" s="36" t="s">
        <v>249</v>
      </c>
      <c r="D1845" s="36" t="s">
        <v>164</v>
      </c>
      <c r="E1845" s="36" t="n">
        <v>2</v>
      </c>
      <c r="F1845" s="36" t="n">
        <v>450</v>
      </c>
      <c r="G1845" s="36" t="s">
        <v>243</v>
      </c>
      <c r="H1845" s="36" t="s">
        <v>132</v>
      </c>
    </row>
    <row r="1846" customFormat="false" ht="15" hidden="false" customHeight="false" outlineLevel="0" collapsed="false">
      <c r="A1846" s="36" t="s">
        <v>2300</v>
      </c>
      <c r="B1846" s="36" t="s">
        <v>1622</v>
      </c>
      <c r="C1846" s="36" t="s">
        <v>130</v>
      </c>
      <c r="D1846" s="36" t="s">
        <v>170</v>
      </c>
      <c r="E1846" s="36" t="n">
        <v>6</v>
      </c>
      <c r="F1846" s="36" t="n">
        <v>360</v>
      </c>
      <c r="G1846" s="36" t="s">
        <v>251</v>
      </c>
      <c r="H1846" s="36" t="s">
        <v>141</v>
      </c>
    </row>
    <row r="1847" customFormat="false" ht="15" hidden="false" customHeight="false" outlineLevel="0" collapsed="false">
      <c r="A1847" s="36" t="s">
        <v>2301</v>
      </c>
      <c r="B1847" s="36" t="s">
        <v>1622</v>
      </c>
      <c r="C1847" s="36" t="s">
        <v>254</v>
      </c>
      <c r="D1847" s="36" t="s">
        <v>222</v>
      </c>
      <c r="E1847" s="36" t="n">
        <v>1</v>
      </c>
      <c r="F1847" s="36" t="n">
        <v>420</v>
      </c>
      <c r="G1847" s="36" t="s">
        <v>251</v>
      </c>
      <c r="H1847" s="36" t="s">
        <v>141</v>
      </c>
    </row>
    <row r="1848" customFormat="false" ht="15" hidden="false" customHeight="false" outlineLevel="0" collapsed="false">
      <c r="A1848" s="36" t="s">
        <v>2302</v>
      </c>
      <c r="B1848" s="37" t="n">
        <v>46277</v>
      </c>
      <c r="C1848" s="36" t="s">
        <v>241</v>
      </c>
      <c r="D1848" s="36" t="s">
        <v>678</v>
      </c>
      <c r="E1848" s="36" t="n">
        <v>2</v>
      </c>
      <c r="F1848" s="36" t="n">
        <v>110</v>
      </c>
      <c r="G1848" s="36" t="s">
        <v>256</v>
      </c>
      <c r="H1848" s="36" t="s">
        <v>321</v>
      </c>
    </row>
    <row r="1849" customFormat="false" ht="15" hidden="false" customHeight="false" outlineLevel="0" collapsed="false">
      <c r="A1849" s="36" t="s">
        <v>2303</v>
      </c>
      <c r="B1849" s="36" t="s">
        <v>1633</v>
      </c>
      <c r="C1849" s="36" t="s">
        <v>254</v>
      </c>
      <c r="D1849" s="36" t="s">
        <v>172</v>
      </c>
      <c r="E1849" s="36" t="n">
        <v>1</v>
      </c>
      <c r="F1849" s="36" t="n">
        <v>60</v>
      </c>
      <c r="G1849" s="36" t="s">
        <v>263</v>
      </c>
      <c r="H1849" s="36" t="s">
        <v>146</v>
      </c>
    </row>
    <row r="1850" customFormat="false" ht="15" hidden="false" customHeight="false" outlineLevel="0" collapsed="false">
      <c r="A1850" s="36" t="s">
        <v>2304</v>
      </c>
      <c r="B1850" s="36" t="s">
        <v>1622</v>
      </c>
      <c r="C1850" s="36" t="s">
        <v>254</v>
      </c>
      <c r="D1850" s="36" t="s">
        <v>164</v>
      </c>
      <c r="E1850" s="36" t="n">
        <v>4</v>
      </c>
      <c r="F1850" s="36" t="n">
        <v>405</v>
      </c>
      <c r="G1850" s="36" t="s">
        <v>270</v>
      </c>
      <c r="H1850" s="36" t="s">
        <v>132</v>
      </c>
    </row>
    <row r="1851" customFormat="false" ht="15" hidden="false" customHeight="false" outlineLevel="0" collapsed="false">
      <c r="A1851" s="36" t="s">
        <v>2305</v>
      </c>
      <c r="B1851" s="36" t="s">
        <v>1622</v>
      </c>
      <c r="C1851" s="36" t="s">
        <v>249</v>
      </c>
      <c r="D1851" s="36" t="s">
        <v>206</v>
      </c>
      <c r="E1851" s="36" t="n">
        <v>3</v>
      </c>
      <c r="F1851" s="36" t="n">
        <v>65</v>
      </c>
      <c r="G1851" s="36" t="s">
        <v>246</v>
      </c>
      <c r="H1851" s="36" t="s">
        <v>141</v>
      </c>
    </row>
    <row r="1852" customFormat="false" ht="15" hidden="false" customHeight="false" outlineLevel="0" collapsed="false">
      <c r="A1852" s="36" t="s">
        <v>2306</v>
      </c>
      <c r="B1852" s="36" t="s">
        <v>1633</v>
      </c>
      <c r="C1852" s="36" t="s">
        <v>249</v>
      </c>
      <c r="D1852" s="36" t="s">
        <v>214</v>
      </c>
      <c r="E1852" s="36" t="s">
        <v>282</v>
      </c>
      <c r="F1852" s="36" t="s">
        <v>387</v>
      </c>
      <c r="G1852" s="36" t="s">
        <v>256</v>
      </c>
      <c r="H1852" s="36" t="s">
        <v>308</v>
      </c>
    </row>
    <row r="1853" customFormat="false" ht="15" hidden="false" customHeight="false" outlineLevel="0" collapsed="false">
      <c r="A1853" s="36" t="s">
        <v>2307</v>
      </c>
      <c r="B1853" s="36" t="s">
        <v>1622</v>
      </c>
      <c r="C1853" s="36" t="s">
        <v>249</v>
      </c>
      <c r="D1853" s="36" t="s">
        <v>180</v>
      </c>
      <c r="E1853" s="36" t="n">
        <v>1</v>
      </c>
      <c r="F1853" s="36" t="n">
        <v>190</v>
      </c>
      <c r="G1853" s="36" t="s">
        <v>263</v>
      </c>
      <c r="H1853" s="36" t="s">
        <v>132</v>
      </c>
    </row>
    <row r="1854" customFormat="false" ht="15" hidden="false" customHeight="false" outlineLevel="0" collapsed="false">
      <c r="A1854" s="36" t="s">
        <v>2308</v>
      </c>
      <c r="B1854" s="37" t="n">
        <v>46277</v>
      </c>
      <c r="C1854" s="36" t="s">
        <v>130</v>
      </c>
      <c r="D1854" s="36" t="s">
        <v>204</v>
      </c>
      <c r="E1854" s="36" t="n">
        <v>1</v>
      </c>
      <c r="F1854" s="36" t="n">
        <v>130</v>
      </c>
      <c r="G1854" s="36" t="s">
        <v>270</v>
      </c>
      <c r="H1854" s="36" t="s">
        <v>141</v>
      </c>
    </row>
    <row r="1855" customFormat="false" ht="15" hidden="false" customHeight="false" outlineLevel="0" collapsed="false">
      <c r="A1855" s="36" t="s">
        <v>2309</v>
      </c>
      <c r="B1855" s="36" t="s">
        <v>1622</v>
      </c>
      <c r="C1855" s="36" t="s">
        <v>241</v>
      </c>
      <c r="D1855" s="36" t="s">
        <v>163</v>
      </c>
      <c r="E1855" s="36" t="s">
        <v>735</v>
      </c>
      <c r="F1855" s="36" t="s">
        <v>699</v>
      </c>
      <c r="G1855" s="36" t="s">
        <v>263</v>
      </c>
      <c r="H1855" s="36" t="s">
        <v>131</v>
      </c>
    </row>
    <row r="1856" customFormat="false" ht="15" hidden="false" customHeight="false" outlineLevel="0" collapsed="false">
      <c r="A1856" s="36" t="s">
        <v>2310</v>
      </c>
      <c r="B1856" s="36" t="s">
        <v>1633</v>
      </c>
      <c r="C1856" s="36" t="s">
        <v>254</v>
      </c>
      <c r="D1856" s="36" t="s">
        <v>361</v>
      </c>
      <c r="E1856" s="36" t="n">
        <v>6</v>
      </c>
      <c r="F1856" s="36" t="n">
        <v>330</v>
      </c>
      <c r="G1856" s="36" t="s">
        <v>267</v>
      </c>
      <c r="H1856" s="36" t="s">
        <v>146</v>
      </c>
    </row>
    <row r="1857" customFormat="false" ht="15" hidden="false" customHeight="false" outlineLevel="0" collapsed="false">
      <c r="A1857" s="36" t="s">
        <v>2311</v>
      </c>
      <c r="B1857" s="37" t="n">
        <v>46277</v>
      </c>
      <c r="C1857" s="36" t="s">
        <v>42</v>
      </c>
      <c r="D1857" s="36" t="s">
        <v>342</v>
      </c>
      <c r="E1857" s="36" t="n">
        <v>6</v>
      </c>
      <c r="F1857" s="36" t="s">
        <v>851</v>
      </c>
      <c r="G1857" s="36" t="s">
        <v>251</v>
      </c>
      <c r="H1857" s="36" t="s">
        <v>247</v>
      </c>
    </row>
    <row r="1858" customFormat="false" ht="15" hidden="false" customHeight="false" outlineLevel="0" collapsed="false">
      <c r="A1858" s="36" t="s">
        <v>2312</v>
      </c>
      <c r="B1858" s="36" t="s">
        <v>1622</v>
      </c>
      <c r="C1858" s="36" t="s">
        <v>130</v>
      </c>
      <c r="D1858" s="36" t="s">
        <v>159</v>
      </c>
      <c r="E1858" s="36" t="n">
        <v>1</v>
      </c>
      <c r="F1858" s="36" t="n">
        <v>330</v>
      </c>
      <c r="G1858" s="36" t="s">
        <v>270</v>
      </c>
      <c r="H1858" s="36" t="s">
        <v>131</v>
      </c>
    </row>
    <row r="1859" customFormat="false" ht="15" hidden="false" customHeight="false" outlineLevel="0" collapsed="false">
      <c r="A1859" s="36" t="s">
        <v>2313</v>
      </c>
      <c r="B1859" s="36" t="s">
        <v>1622</v>
      </c>
      <c r="C1859" s="36" t="s">
        <v>241</v>
      </c>
      <c r="D1859" s="36" t="s">
        <v>357</v>
      </c>
      <c r="E1859" s="36" t="n">
        <v>1</v>
      </c>
      <c r="F1859" s="36" t="s">
        <v>275</v>
      </c>
      <c r="G1859" s="36" t="s">
        <v>263</v>
      </c>
      <c r="H1859" s="36" t="s">
        <v>132</v>
      </c>
    </row>
    <row r="1860" customFormat="false" ht="15" hidden="false" customHeight="false" outlineLevel="0" collapsed="false">
      <c r="A1860" s="36" t="s">
        <v>2314</v>
      </c>
      <c r="B1860" s="36" t="s">
        <v>1622</v>
      </c>
      <c r="C1860" s="36" t="s">
        <v>130</v>
      </c>
      <c r="D1860" s="36" t="s">
        <v>342</v>
      </c>
      <c r="E1860" s="36" t="n">
        <v>1</v>
      </c>
      <c r="F1860" s="36" t="s">
        <v>319</v>
      </c>
      <c r="G1860" s="36" t="s">
        <v>243</v>
      </c>
      <c r="H1860" s="36" t="s">
        <v>141</v>
      </c>
    </row>
    <row r="1861" customFormat="false" ht="15" hidden="false" customHeight="false" outlineLevel="0" collapsed="false">
      <c r="A1861" s="36" t="s">
        <v>2315</v>
      </c>
      <c r="B1861" s="36" t="s">
        <v>1622</v>
      </c>
      <c r="C1861" s="36" t="s">
        <v>294</v>
      </c>
      <c r="D1861" s="36" t="s">
        <v>228</v>
      </c>
      <c r="E1861" s="36" t="n">
        <v>1</v>
      </c>
      <c r="F1861" s="36" t="n">
        <v>95</v>
      </c>
      <c r="G1861" s="36" t="s">
        <v>260</v>
      </c>
      <c r="H1861" s="36" t="s">
        <v>308</v>
      </c>
    </row>
    <row r="1862" customFormat="false" ht="15" hidden="false" customHeight="false" outlineLevel="0" collapsed="false">
      <c r="A1862" s="36" t="s">
        <v>2316</v>
      </c>
      <c r="B1862" s="37" t="n">
        <v>46277</v>
      </c>
      <c r="C1862" s="36" t="s">
        <v>254</v>
      </c>
      <c r="D1862" s="36" t="s">
        <v>401</v>
      </c>
      <c r="E1862" s="36" t="n">
        <v>4</v>
      </c>
      <c r="F1862" s="36" t="s">
        <v>411</v>
      </c>
      <c r="G1862" s="36" t="s">
        <v>267</v>
      </c>
      <c r="H1862" s="36" t="s">
        <v>132</v>
      </c>
    </row>
    <row r="1863" customFormat="false" ht="15" hidden="false" customHeight="false" outlineLevel="0" collapsed="false">
      <c r="A1863" s="36" t="s">
        <v>2317</v>
      </c>
      <c r="B1863" s="36" t="s">
        <v>1622</v>
      </c>
      <c r="C1863" s="36" t="s">
        <v>130</v>
      </c>
      <c r="D1863" s="36" t="s">
        <v>161</v>
      </c>
      <c r="E1863" s="36" t="s">
        <v>735</v>
      </c>
      <c r="F1863" s="36" t="s">
        <v>363</v>
      </c>
      <c r="G1863" s="36" t="s">
        <v>263</v>
      </c>
      <c r="H1863" s="36" t="s">
        <v>247</v>
      </c>
    </row>
    <row r="1864" customFormat="false" ht="15" hidden="false" customHeight="false" outlineLevel="0" collapsed="false">
      <c r="A1864" s="36" t="s">
        <v>2318</v>
      </c>
      <c r="B1864" s="36" t="s">
        <v>1633</v>
      </c>
      <c r="C1864" s="36" t="s">
        <v>241</v>
      </c>
      <c r="D1864" s="36" t="s">
        <v>186</v>
      </c>
      <c r="E1864" s="36" t="n">
        <v>6</v>
      </c>
      <c r="F1864" s="36" t="s">
        <v>584</v>
      </c>
      <c r="G1864" s="36" t="s">
        <v>263</v>
      </c>
      <c r="H1864" s="36" t="s">
        <v>141</v>
      </c>
    </row>
    <row r="1865" customFormat="false" ht="15" hidden="false" customHeight="false" outlineLevel="0" collapsed="false">
      <c r="A1865" s="36" t="s">
        <v>2319</v>
      </c>
      <c r="B1865" s="36" t="s">
        <v>1622</v>
      </c>
      <c r="C1865" s="36" t="s">
        <v>254</v>
      </c>
      <c r="D1865" s="36" t="s">
        <v>757</v>
      </c>
      <c r="E1865" s="36" t="n">
        <v>1</v>
      </c>
      <c r="F1865" s="36" t="n">
        <v>140</v>
      </c>
      <c r="G1865" s="36" t="s">
        <v>270</v>
      </c>
      <c r="H1865" s="36" t="s">
        <v>146</v>
      </c>
    </row>
    <row r="1866" customFormat="false" ht="15" hidden="false" customHeight="false" outlineLevel="0" collapsed="false">
      <c r="A1866" s="36" t="s">
        <v>2320</v>
      </c>
      <c r="B1866" s="37" t="n">
        <v>46277</v>
      </c>
      <c r="C1866" s="36" t="s">
        <v>130</v>
      </c>
      <c r="D1866" s="36" t="s">
        <v>520</v>
      </c>
      <c r="E1866" s="36" t="n">
        <v>1</v>
      </c>
      <c r="F1866" s="36" t="n">
        <v>90</v>
      </c>
      <c r="G1866" s="36" t="s">
        <v>267</v>
      </c>
      <c r="H1866" s="36" t="s">
        <v>132</v>
      </c>
    </row>
    <row r="1867" customFormat="false" ht="15" hidden="false" customHeight="false" outlineLevel="0" collapsed="false">
      <c r="A1867" s="36" t="s">
        <v>2321</v>
      </c>
      <c r="B1867" s="36" t="s">
        <v>1633</v>
      </c>
      <c r="C1867" s="36" t="s">
        <v>130</v>
      </c>
      <c r="D1867" s="36" t="s">
        <v>174</v>
      </c>
      <c r="E1867" s="36" t="n">
        <v>1</v>
      </c>
      <c r="F1867" s="36" t="s">
        <v>2322</v>
      </c>
      <c r="G1867" s="36" t="s">
        <v>270</v>
      </c>
      <c r="H1867" s="36" t="s">
        <v>141</v>
      </c>
    </row>
    <row r="1868" customFormat="false" ht="15" hidden="false" customHeight="false" outlineLevel="0" collapsed="false">
      <c r="A1868" s="36" t="s">
        <v>2323</v>
      </c>
      <c r="B1868" s="36" t="s">
        <v>1633</v>
      </c>
      <c r="C1868" s="36" t="s">
        <v>43</v>
      </c>
      <c r="D1868" s="36" t="s">
        <v>163</v>
      </c>
      <c r="E1868" s="36" t="n">
        <v>6</v>
      </c>
      <c r="F1868" s="36" t="s">
        <v>363</v>
      </c>
      <c r="G1868" s="36" t="s">
        <v>263</v>
      </c>
      <c r="H1868" s="36" t="s">
        <v>306</v>
      </c>
    </row>
    <row r="1869" customFormat="false" ht="15" hidden="false" customHeight="false" outlineLevel="0" collapsed="false">
      <c r="A1869" s="36" t="s">
        <v>2324</v>
      </c>
      <c r="B1869" s="36" t="s">
        <v>1633</v>
      </c>
      <c r="C1869" s="36" t="s">
        <v>333</v>
      </c>
      <c r="D1869" s="36" t="s">
        <v>405</v>
      </c>
      <c r="E1869" s="36" t="n">
        <v>3</v>
      </c>
      <c r="F1869" s="36" t="n">
        <v>297</v>
      </c>
      <c r="G1869" s="36" t="s">
        <v>270</v>
      </c>
      <c r="H1869" s="36" t="s">
        <v>132</v>
      </c>
    </row>
    <row r="1870" customFormat="false" ht="15" hidden="false" customHeight="false" outlineLevel="0" collapsed="false">
      <c r="A1870" s="36" t="s">
        <v>2325</v>
      </c>
      <c r="B1870" s="37" t="n">
        <v>46277</v>
      </c>
      <c r="C1870" s="36" t="s">
        <v>335</v>
      </c>
      <c r="D1870" s="36" t="s">
        <v>172</v>
      </c>
      <c r="E1870" s="36" t="n">
        <v>1</v>
      </c>
      <c r="F1870" s="36" t="s">
        <v>344</v>
      </c>
      <c r="G1870" s="36" t="s">
        <v>256</v>
      </c>
      <c r="H1870" s="36" t="s">
        <v>141</v>
      </c>
    </row>
    <row r="1871" customFormat="false" ht="15" hidden="false" customHeight="false" outlineLevel="0" collapsed="false">
      <c r="A1871" s="36" t="s">
        <v>2326</v>
      </c>
      <c r="B1871" s="36" t="s">
        <v>1622</v>
      </c>
      <c r="C1871" s="36" t="s">
        <v>43</v>
      </c>
      <c r="D1871" s="36" t="s">
        <v>174</v>
      </c>
      <c r="E1871" s="36" t="n">
        <v>1</v>
      </c>
      <c r="F1871" s="36" t="s">
        <v>759</v>
      </c>
      <c r="G1871" s="36" t="s">
        <v>260</v>
      </c>
      <c r="H1871" s="36" t="s">
        <v>308</v>
      </c>
    </row>
    <row r="1872" customFormat="false" ht="15" hidden="false" customHeight="false" outlineLevel="0" collapsed="false">
      <c r="A1872" s="36" t="s">
        <v>2327</v>
      </c>
      <c r="B1872" s="37" t="n">
        <v>46277</v>
      </c>
      <c r="C1872" s="36" t="s">
        <v>43</v>
      </c>
      <c r="D1872" s="36" t="s">
        <v>226</v>
      </c>
      <c r="E1872" s="36" t="n">
        <v>2</v>
      </c>
      <c r="F1872" s="36" t="s">
        <v>627</v>
      </c>
      <c r="G1872" s="36" t="s">
        <v>251</v>
      </c>
      <c r="H1872" s="36" t="s">
        <v>247</v>
      </c>
    </row>
    <row r="1873" customFormat="false" ht="15" hidden="false" customHeight="false" outlineLevel="0" collapsed="false">
      <c r="A1873" s="36" t="s">
        <v>2328</v>
      </c>
      <c r="B1873" s="37" t="n">
        <v>46277</v>
      </c>
      <c r="C1873" s="36" t="s">
        <v>43</v>
      </c>
      <c r="D1873" s="36" t="s">
        <v>195</v>
      </c>
      <c r="E1873" s="36" t="n">
        <v>3</v>
      </c>
      <c r="F1873" s="36" t="s">
        <v>851</v>
      </c>
      <c r="G1873" s="36" t="s">
        <v>263</v>
      </c>
      <c r="H1873" s="36" t="s">
        <v>141</v>
      </c>
    </row>
    <row r="1874" customFormat="false" ht="15" hidden="false" customHeight="false" outlineLevel="0" collapsed="false">
      <c r="A1874" s="36" t="s">
        <v>2329</v>
      </c>
      <c r="B1874" s="36" t="s">
        <v>1622</v>
      </c>
      <c r="C1874" s="36" t="s">
        <v>333</v>
      </c>
      <c r="D1874" s="36" t="s">
        <v>209</v>
      </c>
      <c r="E1874" s="36" t="n">
        <v>4</v>
      </c>
      <c r="F1874" s="36" t="s">
        <v>411</v>
      </c>
      <c r="G1874" s="36" t="s">
        <v>270</v>
      </c>
      <c r="H1874" s="36" t="s">
        <v>321</v>
      </c>
    </row>
    <row r="1875" customFormat="false" ht="15" hidden="false" customHeight="false" outlineLevel="0" collapsed="false">
      <c r="A1875" s="36" t="s">
        <v>2330</v>
      </c>
      <c r="B1875" s="36" t="s">
        <v>1633</v>
      </c>
      <c r="C1875" s="36" t="s">
        <v>43</v>
      </c>
      <c r="D1875" s="36" t="s">
        <v>138</v>
      </c>
      <c r="E1875" s="36" t="n">
        <v>1</v>
      </c>
      <c r="F1875" s="36" t="s">
        <v>1943</v>
      </c>
      <c r="G1875" s="36" t="s">
        <v>243</v>
      </c>
      <c r="H1875" s="36" t="s">
        <v>247</v>
      </c>
    </row>
    <row r="1876" customFormat="false" ht="15" hidden="false" customHeight="false" outlineLevel="0" collapsed="false">
      <c r="A1876" s="36" t="s">
        <v>2331</v>
      </c>
      <c r="B1876" s="36" t="s">
        <v>1622</v>
      </c>
      <c r="C1876" s="36" t="s">
        <v>333</v>
      </c>
      <c r="D1876" s="36" t="s">
        <v>342</v>
      </c>
      <c r="E1876" s="36" t="n">
        <v>1</v>
      </c>
      <c r="F1876" s="36" t="n">
        <v>60</v>
      </c>
      <c r="G1876" s="36" t="s">
        <v>256</v>
      </c>
      <c r="H1876" s="36" t="s">
        <v>132</v>
      </c>
    </row>
    <row r="1877" customFormat="false" ht="15" hidden="false" customHeight="false" outlineLevel="0" collapsed="false">
      <c r="A1877" s="36" t="s">
        <v>2332</v>
      </c>
      <c r="B1877" s="36" t="s">
        <v>1622</v>
      </c>
      <c r="C1877" s="36" t="s">
        <v>139</v>
      </c>
      <c r="D1877" s="36" t="s">
        <v>623</v>
      </c>
      <c r="E1877" s="36" t="n">
        <v>2</v>
      </c>
      <c r="F1877" s="36" t="n">
        <v>190</v>
      </c>
      <c r="G1877" s="36" t="s">
        <v>243</v>
      </c>
      <c r="H1877" s="36" t="s">
        <v>141</v>
      </c>
    </row>
    <row r="1878" customFormat="false" ht="15" hidden="false" customHeight="false" outlineLevel="0" collapsed="false">
      <c r="A1878" s="36" t="s">
        <v>2333</v>
      </c>
      <c r="B1878" s="36" t="s">
        <v>1633</v>
      </c>
      <c r="C1878" s="36" t="s">
        <v>335</v>
      </c>
      <c r="D1878" s="36" t="s">
        <v>233</v>
      </c>
      <c r="E1878" s="36" t="n">
        <v>1</v>
      </c>
      <c r="F1878" s="36" t="n">
        <v>130</v>
      </c>
      <c r="G1878" s="36" t="s">
        <v>260</v>
      </c>
      <c r="H1878" s="36" t="s">
        <v>132</v>
      </c>
    </row>
    <row r="1879" customFormat="false" ht="15" hidden="false" customHeight="false" outlineLevel="0" collapsed="false">
      <c r="A1879" s="36" t="s">
        <v>2334</v>
      </c>
      <c r="B1879" s="36" t="s">
        <v>1633</v>
      </c>
      <c r="C1879" s="36" t="s">
        <v>335</v>
      </c>
      <c r="D1879" s="36" t="s">
        <v>159</v>
      </c>
      <c r="E1879" s="36" t="n">
        <v>2</v>
      </c>
      <c r="F1879" s="36" t="n">
        <v>297</v>
      </c>
      <c r="G1879" s="36" t="s">
        <v>256</v>
      </c>
      <c r="H1879" s="36" t="s">
        <v>247</v>
      </c>
    </row>
    <row r="1880" customFormat="false" ht="15" hidden="false" customHeight="false" outlineLevel="0" collapsed="false">
      <c r="A1880" s="36" t="s">
        <v>2335</v>
      </c>
      <c r="B1880" s="36" t="s">
        <v>1633</v>
      </c>
      <c r="C1880" s="36" t="s">
        <v>333</v>
      </c>
      <c r="D1880" s="36" t="s">
        <v>716</v>
      </c>
      <c r="E1880" s="36" t="n">
        <v>1</v>
      </c>
      <c r="F1880" s="36" t="n">
        <v>350</v>
      </c>
      <c r="G1880" s="36" t="s">
        <v>251</v>
      </c>
      <c r="H1880" s="36" t="s">
        <v>247</v>
      </c>
    </row>
    <row r="1881" customFormat="false" ht="15" hidden="false" customHeight="false" outlineLevel="0" collapsed="false">
      <c r="A1881" s="36" t="s">
        <v>2336</v>
      </c>
      <c r="B1881" s="36" t="s">
        <v>1622</v>
      </c>
      <c r="C1881" s="36" t="s">
        <v>139</v>
      </c>
      <c r="D1881" s="36" t="s">
        <v>204</v>
      </c>
      <c r="E1881" s="36" t="n">
        <v>1</v>
      </c>
      <c r="F1881" s="36" t="s">
        <v>420</v>
      </c>
      <c r="G1881" s="36" t="s">
        <v>243</v>
      </c>
      <c r="H1881" s="36" t="s">
        <v>132</v>
      </c>
    </row>
    <row r="1882" customFormat="false" ht="15" hidden="false" customHeight="false" outlineLevel="0" collapsed="false">
      <c r="A1882" s="36" t="s">
        <v>2337</v>
      </c>
      <c r="B1882" s="36" t="s">
        <v>1622</v>
      </c>
      <c r="C1882" s="36" t="s">
        <v>43</v>
      </c>
      <c r="D1882" s="36" t="s">
        <v>178</v>
      </c>
      <c r="E1882" s="36" t="n">
        <v>3</v>
      </c>
      <c r="F1882" s="36" t="s">
        <v>544</v>
      </c>
      <c r="G1882" s="36" t="s">
        <v>256</v>
      </c>
      <c r="H1882" s="36" t="s">
        <v>141</v>
      </c>
    </row>
    <row r="1883" customFormat="false" ht="15" hidden="false" customHeight="false" outlineLevel="0" collapsed="false">
      <c r="A1883" s="36" t="s">
        <v>2338</v>
      </c>
      <c r="B1883" s="36" t="s">
        <v>1633</v>
      </c>
      <c r="C1883" s="36" t="s">
        <v>43</v>
      </c>
      <c r="D1883" s="36" t="s">
        <v>234</v>
      </c>
      <c r="E1883" s="36" t="n">
        <v>2</v>
      </c>
      <c r="F1883" s="36" t="n">
        <v>130</v>
      </c>
      <c r="G1883" s="36" t="s">
        <v>251</v>
      </c>
      <c r="H1883" s="36" t="s">
        <v>131</v>
      </c>
    </row>
    <row r="1884" customFormat="false" ht="15" hidden="false" customHeight="false" outlineLevel="0" collapsed="false">
      <c r="A1884" s="36" t="s">
        <v>2339</v>
      </c>
      <c r="B1884" s="36" t="s">
        <v>1622</v>
      </c>
      <c r="C1884" s="36" t="s">
        <v>43</v>
      </c>
      <c r="D1884" s="36" t="s">
        <v>188</v>
      </c>
      <c r="E1884" s="36" t="s">
        <v>651</v>
      </c>
      <c r="F1884" s="36" t="n">
        <v>85</v>
      </c>
      <c r="G1884" s="36" t="s">
        <v>267</v>
      </c>
      <c r="H1884" s="36" t="s">
        <v>140</v>
      </c>
    </row>
    <row r="1885" customFormat="false" ht="15" hidden="false" customHeight="false" outlineLevel="0" collapsed="false">
      <c r="A1885" s="36" t="s">
        <v>2340</v>
      </c>
      <c r="B1885" s="36" t="s">
        <v>1633</v>
      </c>
      <c r="C1885" s="36" t="s">
        <v>333</v>
      </c>
      <c r="D1885" s="36" t="s">
        <v>2341</v>
      </c>
      <c r="E1885" s="36" t="n">
        <v>1</v>
      </c>
      <c r="F1885" s="36" t="n">
        <v>330</v>
      </c>
      <c r="G1885" s="36" t="s">
        <v>251</v>
      </c>
      <c r="H1885" s="36" t="s">
        <v>141</v>
      </c>
    </row>
    <row r="1886" customFormat="false" ht="15" hidden="false" customHeight="false" outlineLevel="0" collapsed="false">
      <c r="A1886" s="36" t="s">
        <v>2342</v>
      </c>
      <c r="B1886" s="36" t="s">
        <v>1633</v>
      </c>
      <c r="C1886" s="36" t="s">
        <v>44</v>
      </c>
      <c r="D1886" s="36" t="s">
        <v>206</v>
      </c>
      <c r="E1886" s="36" t="n">
        <v>2</v>
      </c>
      <c r="F1886" s="36" t="n">
        <v>65</v>
      </c>
      <c r="G1886" s="36" t="s">
        <v>270</v>
      </c>
      <c r="H1886" s="36" t="s">
        <v>132</v>
      </c>
    </row>
    <row r="1887" customFormat="false" ht="15" hidden="false" customHeight="false" outlineLevel="0" collapsed="false">
      <c r="A1887" s="36" t="s">
        <v>2343</v>
      </c>
      <c r="B1887" s="36" t="s">
        <v>1622</v>
      </c>
      <c r="C1887" s="36" t="s">
        <v>43</v>
      </c>
      <c r="D1887" s="36" t="s">
        <v>959</v>
      </c>
      <c r="E1887" s="36" t="n">
        <v>1</v>
      </c>
      <c r="F1887" s="36" t="s">
        <v>1044</v>
      </c>
      <c r="G1887" s="36" t="s">
        <v>267</v>
      </c>
      <c r="H1887" s="36" t="s">
        <v>247</v>
      </c>
    </row>
    <row r="1888" customFormat="false" ht="15" hidden="false" customHeight="false" outlineLevel="0" collapsed="false">
      <c r="A1888" s="36" t="s">
        <v>2344</v>
      </c>
      <c r="B1888" s="36" t="s">
        <v>1622</v>
      </c>
      <c r="C1888" s="36" t="s">
        <v>139</v>
      </c>
      <c r="D1888" s="36" t="s">
        <v>186</v>
      </c>
      <c r="E1888" s="36" t="n">
        <v>2</v>
      </c>
      <c r="F1888" s="36" t="s">
        <v>547</v>
      </c>
      <c r="G1888" s="36" t="s">
        <v>251</v>
      </c>
      <c r="H1888" s="36" t="s">
        <v>141</v>
      </c>
    </row>
    <row r="1889" customFormat="false" ht="15" hidden="false" customHeight="false" outlineLevel="0" collapsed="false">
      <c r="A1889" s="36" t="s">
        <v>2345</v>
      </c>
      <c r="B1889" s="36" t="s">
        <v>1622</v>
      </c>
      <c r="C1889" s="36" t="s">
        <v>43</v>
      </c>
      <c r="D1889" s="36" t="s">
        <v>327</v>
      </c>
      <c r="E1889" s="36" t="n">
        <v>1</v>
      </c>
      <c r="F1889" s="36" t="s">
        <v>505</v>
      </c>
      <c r="G1889" s="36" t="s">
        <v>246</v>
      </c>
      <c r="H1889" s="36" t="s">
        <v>131</v>
      </c>
    </row>
    <row r="1890" customFormat="false" ht="15" hidden="false" customHeight="false" outlineLevel="0" collapsed="false">
      <c r="A1890" s="36" t="s">
        <v>2346</v>
      </c>
      <c r="B1890" s="36" t="s">
        <v>1622</v>
      </c>
      <c r="C1890" s="36" t="s">
        <v>335</v>
      </c>
      <c r="D1890" s="36" t="s">
        <v>461</v>
      </c>
      <c r="E1890" s="36" t="n">
        <v>2</v>
      </c>
      <c r="F1890" s="36" t="n">
        <v>210</v>
      </c>
      <c r="G1890" s="36" t="s">
        <v>256</v>
      </c>
      <c r="H1890" s="36" t="s">
        <v>146</v>
      </c>
    </row>
    <row r="1891" customFormat="false" ht="15" hidden="false" customHeight="false" outlineLevel="0" collapsed="false">
      <c r="A1891" s="36" t="s">
        <v>2347</v>
      </c>
      <c r="B1891" s="36" t="s">
        <v>1622</v>
      </c>
      <c r="C1891" s="36" t="s">
        <v>333</v>
      </c>
      <c r="D1891" s="36" t="s">
        <v>197</v>
      </c>
      <c r="E1891" s="36" t="n">
        <v>1</v>
      </c>
      <c r="F1891" s="36" t="n">
        <v>60</v>
      </c>
      <c r="G1891" s="36" t="s">
        <v>267</v>
      </c>
      <c r="H1891" s="36" t="s">
        <v>132</v>
      </c>
    </row>
    <row r="1892" customFormat="false" ht="15" hidden="false" customHeight="false" outlineLevel="0" collapsed="false">
      <c r="A1892" s="36" t="s">
        <v>2348</v>
      </c>
      <c r="B1892" s="36" t="s">
        <v>1633</v>
      </c>
      <c r="C1892" s="36" t="s">
        <v>43</v>
      </c>
      <c r="D1892" s="36" t="s">
        <v>216</v>
      </c>
      <c r="E1892" s="36" t="n">
        <v>1</v>
      </c>
      <c r="F1892" s="36" t="n">
        <v>50</v>
      </c>
      <c r="G1892" s="36" t="s">
        <v>246</v>
      </c>
      <c r="H1892" s="36" t="s">
        <v>132</v>
      </c>
    </row>
    <row r="1893" customFormat="false" ht="15" hidden="false" customHeight="false" outlineLevel="0" collapsed="false">
      <c r="A1893" s="36" t="s">
        <v>2349</v>
      </c>
      <c r="B1893" s="36" t="s">
        <v>1622</v>
      </c>
      <c r="C1893" s="36" t="s">
        <v>43</v>
      </c>
      <c r="D1893" s="36" t="s">
        <v>551</v>
      </c>
      <c r="E1893" s="36" t="n">
        <v>1</v>
      </c>
      <c r="F1893" s="36" t="s">
        <v>552</v>
      </c>
      <c r="G1893" s="36" t="s">
        <v>267</v>
      </c>
      <c r="H1893" s="36" t="s">
        <v>321</v>
      </c>
    </row>
    <row r="1894" customFormat="false" ht="15" hidden="false" customHeight="false" outlineLevel="0" collapsed="false">
      <c r="A1894" s="36" t="s">
        <v>2350</v>
      </c>
      <c r="B1894" s="36" t="s">
        <v>1622</v>
      </c>
      <c r="C1894" s="36" t="s">
        <v>43</v>
      </c>
      <c r="D1894" s="36" t="s">
        <v>1018</v>
      </c>
      <c r="E1894" s="36" t="n">
        <v>1</v>
      </c>
      <c r="F1894" s="36" t="s">
        <v>369</v>
      </c>
      <c r="G1894" s="36" t="s">
        <v>267</v>
      </c>
      <c r="H1894" s="36" t="s">
        <v>141</v>
      </c>
    </row>
    <row r="1895" customFormat="false" ht="15" hidden="false" customHeight="false" outlineLevel="0" collapsed="false">
      <c r="A1895" s="36" t="s">
        <v>2351</v>
      </c>
      <c r="B1895" s="36" t="s">
        <v>1622</v>
      </c>
      <c r="C1895" s="36" t="s">
        <v>333</v>
      </c>
      <c r="D1895" s="36" t="s">
        <v>205</v>
      </c>
      <c r="E1895" s="36" t="n">
        <v>4</v>
      </c>
      <c r="F1895" s="36" t="n">
        <v>90</v>
      </c>
      <c r="G1895" s="36" t="s">
        <v>263</v>
      </c>
      <c r="H1895" s="36" t="s">
        <v>146</v>
      </c>
    </row>
    <row r="1896" customFormat="false" ht="15" hidden="false" customHeight="false" outlineLevel="0" collapsed="false">
      <c r="A1896" s="36" t="s">
        <v>2352</v>
      </c>
      <c r="B1896" s="36" t="s">
        <v>1622</v>
      </c>
      <c r="C1896" s="36" t="s">
        <v>333</v>
      </c>
      <c r="D1896" s="36" t="s">
        <v>2353</v>
      </c>
      <c r="E1896" s="36" t="n">
        <v>1</v>
      </c>
      <c r="F1896" s="36" t="s">
        <v>457</v>
      </c>
      <c r="G1896" s="36" t="s">
        <v>246</v>
      </c>
      <c r="H1896" s="36" t="s">
        <v>141</v>
      </c>
    </row>
    <row r="1897" customFormat="false" ht="15" hidden="false" customHeight="false" outlineLevel="0" collapsed="false">
      <c r="A1897" s="36" t="s">
        <v>1621</v>
      </c>
      <c r="B1897" s="36" t="s">
        <v>1622</v>
      </c>
      <c r="C1897" s="36" t="s">
        <v>139</v>
      </c>
      <c r="D1897" s="36" t="s">
        <v>138</v>
      </c>
      <c r="E1897" s="36" t="n">
        <v>1</v>
      </c>
      <c r="F1897" s="36" t="s">
        <v>323</v>
      </c>
      <c r="G1897" s="36" t="s">
        <v>256</v>
      </c>
      <c r="H1897" s="36" t="s">
        <v>306</v>
      </c>
    </row>
    <row r="1898" customFormat="false" ht="15" hidden="false" customHeight="false" outlineLevel="0" collapsed="false">
      <c r="A1898" s="36" t="s">
        <v>2354</v>
      </c>
      <c r="B1898" s="36" t="s">
        <v>1633</v>
      </c>
      <c r="C1898" s="36" t="s">
        <v>333</v>
      </c>
      <c r="D1898" s="36" t="s">
        <v>233</v>
      </c>
      <c r="E1898" s="36" t="n">
        <v>3</v>
      </c>
      <c r="F1898" s="36" t="s">
        <v>420</v>
      </c>
      <c r="G1898" s="36" t="s">
        <v>251</v>
      </c>
      <c r="H1898" s="36" t="s">
        <v>141</v>
      </c>
    </row>
    <row r="1899" customFormat="false" ht="15" hidden="false" customHeight="false" outlineLevel="0" collapsed="false">
      <c r="A1899" s="36" t="s">
        <v>2355</v>
      </c>
      <c r="B1899" s="36" t="s">
        <v>1622</v>
      </c>
      <c r="C1899" s="36" t="s">
        <v>43</v>
      </c>
      <c r="D1899" s="36" t="s">
        <v>299</v>
      </c>
      <c r="E1899" s="36" t="n">
        <v>4</v>
      </c>
      <c r="F1899" s="36" t="n">
        <v>60</v>
      </c>
      <c r="G1899" s="36" t="s">
        <v>243</v>
      </c>
      <c r="H1899" s="36" t="s">
        <v>247</v>
      </c>
    </row>
    <row r="1900" customFormat="false" ht="15" hidden="false" customHeight="false" outlineLevel="0" collapsed="false">
      <c r="A1900" s="36" t="s">
        <v>2356</v>
      </c>
      <c r="B1900" s="36" t="s">
        <v>1622</v>
      </c>
      <c r="C1900" s="36" t="s">
        <v>43</v>
      </c>
      <c r="D1900" s="36" t="s">
        <v>197</v>
      </c>
      <c r="E1900" s="36" t="s">
        <v>403</v>
      </c>
      <c r="F1900" s="36" t="n">
        <v>60</v>
      </c>
      <c r="G1900" s="36" t="s">
        <v>256</v>
      </c>
      <c r="H1900" s="36" t="s">
        <v>146</v>
      </c>
    </row>
    <row r="1901" customFormat="false" ht="15" hidden="false" customHeight="false" outlineLevel="0" collapsed="false">
      <c r="A1901" s="36" t="s">
        <v>2357</v>
      </c>
      <c r="B1901" s="36" t="s">
        <v>1622</v>
      </c>
      <c r="C1901" s="36" t="s">
        <v>139</v>
      </c>
      <c r="D1901" s="36" t="s">
        <v>757</v>
      </c>
      <c r="E1901" s="36" t="n">
        <v>2</v>
      </c>
      <c r="F1901" s="36" t="s">
        <v>2358</v>
      </c>
      <c r="G1901" s="36" t="s">
        <v>267</v>
      </c>
      <c r="H1901" s="36" t="s">
        <v>132</v>
      </c>
    </row>
    <row r="1902" customFormat="false" ht="15" hidden="false" customHeight="false" outlineLevel="0" collapsed="false">
      <c r="A1902" s="36" t="s">
        <v>1632</v>
      </c>
      <c r="B1902" s="36" t="s">
        <v>1633</v>
      </c>
      <c r="C1902" s="36" t="s">
        <v>43</v>
      </c>
      <c r="D1902" s="36" t="s">
        <v>559</v>
      </c>
      <c r="E1902" s="36" t="n">
        <v>1</v>
      </c>
      <c r="F1902" s="36" t="n">
        <v>130</v>
      </c>
      <c r="G1902" s="36" t="s">
        <v>260</v>
      </c>
      <c r="H1902" s="36" t="s">
        <v>131</v>
      </c>
    </row>
    <row r="1903" customFormat="false" ht="15" hidden="false" customHeight="false" outlineLevel="0" collapsed="false">
      <c r="A1903" s="36" t="s">
        <v>2359</v>
      </c>
      <c r="B1903" s="36" t="s">
        <v>1622</v>
      </c>
      <c r="C1903" s="36" t="s">
        <v>43</v>
      </c>
      <c r="D1903" s="36" t="s">
        <v>230</v>
      </c>
      <c r="E1903" s="36" t="n">
        <v>2</v>
      </c>
      <c r="F1903" s="36" t="s">
        <v>507</v>
      </c>
      <c r="G1903" s="36" t="s">
        <v>260</v>
      </c>
      <c r="H1903" s="36" t="s">
        <v>141</v>
      </c>
    </row>
    <row r="1904" customFormat="false" ht="15" hidden="false" customHeight="false" outlineLevel="0" collapsed="false">
      <c r="A1904" s="36" t="s">
        <v>2360</v>
      </c>
      <c r="B1904" s="36" t="s">
        <v>1633</v>
      </c>
      <c r="C1904" s="36" t="s">
        <v>43</v>
      </c>
      <c r="D1904" s="36" t="s">
        <v>157</v>
      </c>
      <c r="E1904" s="36" t="s">
        <v>282</v>
      </c>
      <c r="F1904" s="36" t="s">
        <v>275</v>
      </c>
      <c r="G1904" s="36" t="s">
        <v>270</v>
      </c>
      <c r="H1904" s="36" t="s">
        <v>140</v>
      </c>
    </row>
    <row r="1905" customFormat="false" ht="15" hidden="false" customHeight="false" outlineLevel="0" collapsed="false">
      <c r="A1905" s="36" t="s">
        <v>2361</v>
      </c>
      <c r="B1905" s="36" t="s">
        <v>1622</v>
      </c>
      <c r="C1905" s="36" t="s">
        <v>43</v>
      </c>
      <c r="D1905" s="36" t="s">
        <v>225</v>
      </c>
      <c r="E1905" s="36" t="n">
        <v>1</v>
      </c>
      <c r="F1905" s="36" t="s">
        <v>627</v>
      </c>
      <c r="G1905" s="36" t="s">
        <v>263</v>
      </c>
      <c r="H1905" s="36" t="s">
        <v>321</v>
      </c>
    </row>
    <row r="1906" customFormat="false" ht="15" hidden="false" customHeight="false" outlineLevel="0" collapsed="false">
      <c r="A1906" s="36" t="s">
        <v>2362</v>
      </c>
      <c r="B1906" s="36" t="s">
        <v>1622</v>
      </c>
      <c r="C1906" s="36" t="s">
        <v>43</v>
      </c>
      <c r="D1906" s="36" t="s">
        <v>154</v>
      </c>
      <c r="E1906" s="36" t="n">
        <v>2</v>
      </c>
      <c r="F1906" s="36" t="s">
        <v>380</v>
      </c>
      <c r="G1906" s="36" t="s">
        <v>256</v>
      </c>
      <c r="H1906" s="36" t="s">
        <v>132</v>
      </c>
    </row>
    <row r="1907" customFormat="false" ht="15" hidden="false" customHeight="false" outlineLevel="0" collapsed="false">
      <c r="A1907" s="36" t="s">
        <v>2363</v>
      </c>
      <c r="B1907" s="36" t="s">
        <v>1633</v>
      </c>
      <c r="C1907" s="36" t="s">
        <v>333</v>
      </c>
      <c r="D1907" s="36" t="s">
        <v>342</v>
      </c>
      <c r="E1907" s="36" t="n">
        <v>1</v>
      </c>
      <c r="F1907" s="36" t="s">
        <v>319</v>
      </c>
      <c r="G1907" s="36" t="s">
        <v>251</v>
      </c>
      <c r="H1907" s="36" t="s">
        <v>141</v>
      </c>
    </row>
    <row r="1908" customFormat="false" ht="15" hidden="false" customHeight="false" outlineLevel="0" collapsed="false">
      <c r="A1908" s="36" t="s">
        <v>2364</v>
      </c>
      <c r="B1908" s="37" t="n">
        <v>46277</v>
      </c>
      <c r="C1908" s="36" t="s">
        <v>43</v>
      </c>
      <c r="D1908" s="36" t="s">
        <v>213</v>
      </c>
      <c r="E1908" s="36" t="n">
        <v>1</v>
      </c>
      <c r="F1908" s="36" t="n">
        <v>160</v>
      </c>
      <c r="G1908" s="36" t="s">
        <v>260</v>
      </c>
      <c r="H1908" s="36" t="s">
        <v>141</v>
      </c>
    </row>
    <row r="1909" customFormat="false" ht="15" hidden="false" customHeight="false" outlineLevel="0" collapsed="false">
      <c r="A1909" s="36" t="s">
        <v>2365</v>
      </c>
      <c r="B1909" s="37" t="n">
        <v>46277</v>
      </c>
      <c r="C1909" s="36" t="s">
        <v>335</v>
      </c>
      <c r="D1909" s="36" t="s">
        <v>2034</v>
      </c>
      <c r="E1909" s="36" t="n">
        <v>2</v>
      </c>
      <c r="F1909" s="36" t="s">
        <v>283</v>
      </c>
      <c r="G1909" s="36" t="s">
        <v>256</v>
      </c>
      <c r="H1909" s="36" t="s">
        <v>131</v>
      </c>
    </row>
    <row r="1910" customFormat="false" ht="15" hidden="false" customHeight="false" outlineLevel="0" collapsed="false">
      <c r="A1910" s="36" t="s">
        <v>2366</v>
      </c>
      <c r="B1910" s="36" t="s">
        <v>1622</v>
      </c>
      <c r="C1910" s="36" t="s">
        <v>333</v>
      </c>
      <c r="D1910" s="36" t="s">
        <v>134</v>
      </c>
      <c r="E1910" s="36" t="n">
        <v>3</v>
      </c>
      <c r="F1910" s="36" t="n">
        <v>190</v>
      </c>
      <c r="G1910" s="36" t="s">
        <v>263</v>
      </c>
      <c r="H1910" s="36" t="s">
        <v>146</v>
      </c>
    </row>
    <row r="1911" customFormat="false" ht="15" hidden="false" customHeight="false" outlineLevel="0" collapsed="false">
      <c r="A1911" s="36" t="s">
        <v>2367</v>
      </c>
      <c r="B1911" s="37" t="n">
        <v>46277</v>
      </c>
      <c r="C1911" s="36" t="s">
        <v>333</v>
      </c>
      <c r="D1911" s="36" t="s">
        <v>176</v>
      </c>
      <c r="E1911" s="36" t="n">
        <v>2</v>
      </c>
      <c r="F1911" s="36" t="s">
        <v>302</v>
      </c>
      <c r="G1911" s="36" t="s">
        <v>263</v>
      </c>
      <c r="H1911" s="36" t="s">
        <v>131</v>
      </c>
    </row>
    <row r="1912" customFormat="false" ht="15" hidden="false" customHeight="false" outlineLevel="0" collapsed="false">
      <c r="A1912" s="36" t="s">
        <v>2368</v>
      </c>
      <c r="B1912" s="36" t="s">
        <v>1622</v>
      </c>
      <c r="C1912" s="36" t="s">
        <v>139</v>
      </c>
      <c r="D1912" s="36" t="s">
        <v>898</v>
      </c>
      <c r="E1912" s="36" t="n">
        <v>1</v>
      </c>
      <c r="F1912" s="36" t="n">
        <v>135</v>
      </c>
      <c r="G1912" s="36" t="s">
        <v>263</v>
      </c>
      <c r="H1912" s="36" t="s">
        <v>131</v>
      </c>
    </row>
    <row r="1913" customFormat="false" ht="15" hidden="false" customHeight="false" outlineLevel="0" collapsed="false">
      <c r="A1913" s="36" t="s">
        <v>2369</v>
      </c>
      <c r="B1913" s="37" t="n">
        <v>46277</v>
      </c>
      <c r="C1913" s="36" t="s">
        <v>333</v>
      </c>
      <c r="D1913" s="36" t="s">
        <v>437</v>
      </c>
      <c r="E1913" s="36" t="n">
        <v>3</v>
      </c>
      <c r="F1913" s="36" t="n">
        <v>330</v>
      </c>
      <c r="G1913" s="36" t="s">
        <v>243</v>
      </c>
      <c r="H1913" s="36" t="s">
        <v>141</v>
      </c>
    </row>
    <row r="1914" customFormat="false" ht="15" hidden="false" customHeight="false" outlineLevel="0" collapsed="false">
      <c r="A1914" s="36" t="s">
        <v>2370</v>
      </c>
      <c r="B1914" s="36" t="s">
        <v>1622</v>
      </c>
      <c r="C1914" s="36" t="s">
        <v>43</v>
      </c>
      <c r="D1914" s="36" t="s">
        <v>202</v>
      </c>
      <c r="E1914" s="36" t="n">
        <v>3</v>
      </c>
      <c r="F1914" s="36" t="n">
        <v>140</v>
      </c>
      <c r="G1914" s="36" t="s">
        <v>243</v>
      </c>
      <c r="H1914" s="36" t="s">
        <v>321</v>
      </c>
    </row>
    <row r="1915" customFormat="false" ht="15" hidden="false" customHeight="false" outlineLevel="0" collapsed="false">
      <c r="A1915" s="36" t="s">
        <v>2371</v>
      </c>
      <c r="B1915" s="36" t="s">
        <v>1622</v>
      </c>
      <c r="C1915" s="36" t="s">
        <v>335</v>
      </c>
      <c r="D1915" s="36" t="s">
        <v>625</v>
      </c>
      <c r="E1915" s="36" t="n">
        <v>3</v>
      </c>
      <c r="F1915" s="36" t="n">
        <v>130</v>
      </c>
      <c r="G1915" s="36" t="s">
        <v>267</v>
      </c>
      <c r="H1915" s="36" t="s">
        <v>247</v>
      </c>
    </row>
    <row r="1916" customFormat="false" ht="15" hidden="false" customHeight="false" outlineLevel="0" collapsed="false">
      <c r="A1916" s="36" t="s">
        <v>2372</v>
      </c>
      <c r="B1916" s="36" t="s">
        <v>1622</v>
      </c>
      <c r="C1916" s="36" t="s">
        <v>43</v>
      </c>
      <c r="D1916" s="36" t="s">
        <v>202</v>
      </c>
      <c r="E1916" s="36" t="n">
        <v>1</v>
      </c>
      <c r="F1916" s="36" t="n">
        <v>140</v>
      </c>
      <c r="G1916" s="36" t="s">
        <v>251</v>
      </c>
      <c r="H1916" s="36" t="s">
        <v>140</v>
      </c>
    </row>
    <row r="1917" customFormat="false" ht="15" hidden="false" customHeight="false" outlineLevel="0" collapsed="false">
      <c r="A1917" s="36" t="s">
        <v>2373</v>
      </c>
      <c r="B1917" s="36" t="s">
        <v>1622</v>
      </c>
      <c r="C1917" s="36" t="s">
        <v>43</v>
      </c>
      <c r="D1917" s="36" t="s">
        <v>207</v>
      </c>
      <c r="E1917" s="36" t="n">
        <v>2</v>
      </c>
      <c r="F1917" s="36" t="s">
        <v>544</v>
      </c>
      <c r="G1917" s="36" t="s">
        <v>270</v>
      </c>
      <c r="H1917" s="36" t="s">
        <v>132</v>
      </c>
    </row>
    <row r="1918" customFormat="false" ht="15" hidden="false" customHeight="false" outlineLevel="0" collapsed="false">
      <c r="A1918" s="36" t="s">
        <v>2374</v>
      </c>
      <c r="B1918" s="36" t="s">
        <v>1633</v>
      </c>
      <c r="C1918" s="36" t="s">
        <v>43</v>
      </c>
      <c r="D1918" s="36" t="s">
        <v>158</v>
      </c>
      <c r="E1918" s="36" t="n">
        <v>1</v>
      </c>
      <c r="F1918" s="36" t="n">
        <v>65</v>
      </c>
      <c r="G1918" s="36" t="s">
        <v>251</v>
      </c>
      <c r="H1918" s="36" t="s">
        <v>141</v>
      </c>
    </row>
    <row r="1919" customFormat="false" ht="15" hidden="false" customHeight="false" outlineLevel="0" collapsed="false">
      <c r="A1919" s="36" t="s">
        <v>2375</v>
      </c>
      <c r="B1919" s="36" t="s">
        <v>1622</v>
      </c>
      <c r="C1919" s="36" t="s">
        <v>335</v>
      </c>
      <c r="D1919" s="36" t="s">
        <v>134</v>
      </c>
      <c r="E1919" s="36" t="n">
        <v>-6</v>
      </c>
      <c r="F1919" s="36" t="s">
        <v>411</v>
      </c>
      <c r="G1919" s="36" t="s">
        <v>243</v>
      </c>
      <c r="H1919" s="36" t="s">
        <v>141</v>
      </c>
    </row>
    <row r="1920" customFormat="false" ht="15" hidden="false" customHeight="false" outlineLevel="0" collapsed="false">
      <c r="A1920" s="36" t="s">
        <v>2376</v>
      </c>
      <c r="B1920" s="36" t="s">
        <v>1622</v>
      </c>
      <c r="C1920" s="36" t="s">
        <v>43</v>
      </c>
      <c r="D1920" s="36" t="s">
        <v>515</v>
      </c>
      <c r="E1920" s="36" t="n">
        <v>6</v>
      </c>
      <c r="F1920" s="36" t="n">
        <v>130</v>
      </c>
      <c r="G1920" s="36" t="s">
        <v>260</v>
      </c>
      <c r="H1920" s="36" t="s">
        <v>146</v>
      </c>
    </row>
    <row r="1921" customFormat="false" ht="15" hidden="false" customHeight="false" outlineLevel="0" collapsed="false">
      <c r="A1921" s="36" t="s">
        <v>2377</v>
      </c>
      <c r="B1921" s="36" t="s">
        <v>1622</v>
      </c>
      <c r="C1921" s="36" t="s">
        <v>43</v>
      </c>
      <c r="D1921" s="36" t="s">
        <v>166</v>
      </c>
      <c r="E1921" s="36" t="n">
        <v>3</v>
      </c>
      <c r="F1921" s="36" t="s">
        <v>269</v>
      </c>
      <c r="G1921" s="36" t="s">
        <v>270</v>
      </c>
      <c r="H1921" s="36" t="s">
        <v>131</v>
      </c>
    </row>
    <row r="1922" customFormat="false" ht="15" hidden="false" customHeight="false" outlineLevel="0" collapsed="false">
      <c r="A1922" s="36" t="s">
        <v>2378</v>
      </c>
      <c r="B1922" s="36" t="s">
        <v>1633</v>
      </c>
      <c r="C1922" s="36" t="s">
        <v>333</v>
      </c>
      <c r="D1922" s="36" t="s">
        <v>224</v>
      </c>
      <c r="E1922" s="36" t="n">
        <v>2</v>
      </c>
      <c r="F1922" s="36" t="s">
        <v>724</v>
      </c>
      <c r="G1922" s="36" t="s">
        <v>267</v>
      </c>
      <c r="H1922" s="36" t="s">
        <v>321</v>
      </c>
    </row>
    <row r="1923" customFormat="false" ht="15" hidden="false" customHeight="false" outlineLevel="0" collapsed="false">
      <c r="A1923" s="36" t="s">
        <v>2379</v>
      </c>
      <c r="B1923" s="36" t="s">
        <v>1622</v>
      </c>
      <c r="C1923" s="36" t="s">
        <v>333</v>
      </c>
      <c r="D1923" s="36" t="s">
        <v>520</v>
      </c>
      <c r="E1923" s="36" t="n">
        <v>1</v>
      </c>
      <c r="F1923" s="36" t="s">
        <v>384</v>
      </c>
      <c r="G1923" s="36" t="s">
        <v>260</v>
      </c>
      <c r="H1923" s="36" t="s">
        <v>145</v>
      </c>
    </row>
    <row r="1924" customFormat="false" ht="15" hidden="false" customHeight="false" outlineLevel="0" collapsed="false">
      <c r="A1924" s="36" t="s">
        <v>2380</v>
      </c>
      <c r="B1924" s="36" t="s">
        <v>1633</v>
      </c>
      <c r="C1924" s="36" t="s">
        <v>43</v>
      </c>
      <c r="D1924" s="36" t="s">
        <v>158</v>
      </c>
      <c r="E1924" s="36" t="n">
        <v>1</v>
      </c>
      <c r="F1924" s="36" t="n">
        <v>65</v>
      </c>
      <c r="G1924" s="36" t="s">
        <v>260</v>
      </c>
      <c r="H1924" s="36" t="s">
        <v>141</v>
      </c>
    </row>
    <row r="1925" customFormat="false" ht="15" hidden="false" customHeight="false" outlineLevel="0" collapsed="false">
      <c r="A1925" s="36" t="s">
        <v>2381</v>
      </c>
      <c r="B1925" s="36" t="s">
        <v>1622</v>
      </c>
      <c r="C1925" s="36" t="s">
        <v>44</v>
      </c>
      <c r="D1925" s="36" t="s">
        <v>898</v>
      </c>
      <c r="E1925" s="36" t="n">
        <v>2</v>
      </c>
      <c r="F1925" s="36" t="n">
        <v>150</v>
      </c>
      <c r="G1925" s="36" t="s">
        <v>243</v>
      </c>
      <c r="H1925" s="36" t="s">
        <v>247</v>
      </c>
    </row>
    <row r="1926" customFormat="false" ht="15" hidden="false" customHeight="false" outlineLevel="0" collapsed="false">
      <c r="A1926" s="36" t="s">
        <v>2382</v>
      </c>
      <c r="B1926" s="37" t="n">
        <v>46277</v>
      </c>
      <c r="C1926" s="36" t="s">
        <v>368</v>
      </c>
      <c r="D1926" s="36" t="s">
        <v>561</v>
      </c>
      <c r="E1926" s="36" t="n">
        <v>3</v>
      </c>
      <c r="F1926" s="36" t="n">
        <v>140</v>
      </c>
      <c r="G1926" s="36" t="s">
        <v>256</v>
      </c>
      <c r="H1926" s="36" t="s">
        <v>132</v>
      </c>
    </row>
    <row r="1927" customFormat="false" ht="15" hidden="false" customHeight="false" outlineLevel="0" collapsed="false">
      <c r="A1927" s="36" t="s">
        <v>2383</v>
      </c>
      <c r="B1927" s="36" t="s">
        <v>1622</v>
      </c>
      <c r="C1927" s="36" t="s">
        <v>375</v>
      </c>
      <c r="D1927" s="36" t="s">
        <v>186</v>
      </c>
      <c r="E1927" s="36" t="n">
        <v>6</v>
      </c>
      <c r="F1927" s="36" t="s">
        <v>584</v>
      </c>
      <c r="G1927" s="36" t="s">
        <v>260</v>
      </c>
      <c r="H1927" s="36" t="s">
        <v>132</v>
      </c>
    </row>
    <row r="1928" customFormat="false" ht="15" hidden="false" customHeight="false" outlineLevel="0" collapsed="false">
      <c r="A1928" s="36" t="s">
        <v>2384</v>
      </c>
      <c r="B1928" s="36" t="s">
        <v>1633</v>
      </c>
      <c r="C1928" s="36" t="s">
        <v>368</v>
      </c>
      <c r="D1928" s="36" t="s">
        <v>205</v>
      </c>
      <c r="E1928" s="36" t="n">
        <v>1</v>
      </c>
      <c r="F1928" s="36" t="s">
        <v>384</v>
      </c>
      <c r="G1928" s="36" t="s">
        <v>243</v>
      </c>
      <c r="H1928" s="36" t="s">
        <v>132</v>
      </c>
    </row>
    <row r="1929" customFormat="false" ht="15" hidden="false" customHeight="false" outlineLevel="0" collapsed="false">
      <c r="A1929" s="36" t="s">
        <v>2385</v>
      </c>
      <c r="B1929" s="36" t="s">
        <v>1633</v>
      </c>
      <c r="C1929" s="36" t="s">
        <v>554</v>
      </c>
      <c r="D1929" s="36" t="s">
        <v>148</v>
      </c>
      <c r="E1929" s="36" t="n">
        <v>2</v>
      </c>
      <c r="F1929" s="36" t="n">
        <v>330</v>
      </c>
      <c r="G1929" s="36" t="s">
        <v>243</v>
      </c>
      <c r="H1929" s="36" t="s">
        <v>141</v>
      </c>
    </row>
    <row r="1930" customFormat="false" ht="15" hidden="false" customHeight="false" outlineLevel="0" collapsed="false">
      <c r="A1930" s="36" t="s">
        <v>2386</v>
      </c>
      <c r="B1930" s="36" t="s">
        <v>1622</v>
      </c>
      <c r="C1930" s="36" t="s">
        <v>554</v>
      </c>
      <c r="D1930" s="36" t="s">
        <v>337</v>
      </c>
      <c r="E1930" s="36" t="n">
        <v>1</v>
      </c>
      <c r="F1930" s="36" t="s">
        <v>584</v>
      </c>
      <c r="G1930" s="36" t="s">
        <v>256</v>
      </c>
      <c r="H1930" s="36" t="s">
        <v>132</v>
      </c>
    </row>
    <row r="1931" customFormat="false" ht="15" hidden="false" customHeight="false" outlineLevel="0" collapsed="false">
      <c r="A1931" s="36" t="s">
        <v>2387</v>
      </c>
      <c r="B1931" s="36" t="s">
        <v>1633</v>
      </c>
      <c r="C1931" s="36" t="s">
        <v>44</v>
      </c>
      <c r="D1931" s="36" t="s">
        <v>172</v>
      </c>
      <c r="E1931" s="36" t="n">
        <v>6</v>
      </c>
      <c r="F1931" s="36" t="n">
        <v>60</v>
      </c>
      <c r="G1931" s="36" t="s">
        <v>267</v>
      </c>
      <c r="H1931" s="36" t="s">
        <v>247</v>
      </c>
    </row>
    <row r="1932" customFormat="false" ht="15" hidden="false" customHeight="false" outlineLevel="0" collapsed="false">
      <c r="A1932" s="36" t="s">
        <v>2388</v>
      </c>
      <c r="B1932" s="36" t="s">
        <v>1622</v>
      </c>
      <c r="C1932" s="36" t="s">
        <v>368</v>
      </c>
      <c r="D1932" s="36" t="s">
        <v>172</v>
      </c>
      <c r="E1932" s="36" t="n">
        <v>4</v>
      </c>
      <c r="F1932" s="36" t="n">
        <v>60</v>
      </c>
      <c r="G1932" s="36" t="s">
        <v>256</v>
      </c>
      <c r="H1932" s="36" t="s">
        <v>247</v>
      </c>
    </row>
    <row r="1933" customFormat="false" ht="15" hidden="false" customHeight="false" outlineLevel="0" collapsed="false">
      <c r="A1933" s="36" t="s">
        <v>2389</v>
      </c>
      <c r="B1933" s="36" t="s">
        <v>1622</v>
      </c>
      <c r="C1933" s="36" t="s">
        <v>375</v>
      </c>
      <c r="D1933" s="36" t="s">
        <v>226</v>
      </c>
      <c r="E1933" s="36" t="n">
        <v>2</v>
      </c>
      <c r="F1933" s="36" t="n">
        <v>350</v>
      </c>
      <c r="G1933" s="36" t="s">
        <v>243</v>
      </c>
      <c r="H1933" s="36" t="s">
        <v>132</v>
      </c>
    </row>
    <row r="1934" customFormat="false" ht="15" hidden="false" customHeight="false" outlineLevel="0" collapsed="false">
      <c r="A1934" s="36" t="s">
        <v>2390</v>
      </c>
      <c r="B1934" s="36" t="s">
        <v>1622</v>
      </c>
      <c r="C1934" s="36" t="s">
        <v>44</v>
      </c>
      <c r="D1934" s="36" t="s">
        <v>137</v>
      </c>
      <c r="E1934" s="36" t="n">
        <v>2</v>
      </c>
      <c r="F1934" s="36" t="s">
        <v>2391</v>
      </c>
      <c r="G1934" s="36" t="s">
        <v>270</v>
      </c>
      <c r="H1934" s="36" t="s">
        <v>247</v>
      </c>
    </row>
    <row r="1935" customFormat="false" ht="15" hidden="false" customHeight="false" outlineLevel="0" collapsed="false">
      <c r="A1935" s="36" t="s">
        <v>2392</v>
      </c>
      <c r="B1935" s="36" t="s">
        <v>1622</v>
      </c>
      <c r="C1935" s="36" t="s">
        <v>554</v>
      </c>
      <c r="D1935" s="36" t="s">
        <v>623</v>
      </c>
      <c r="E1935" s="36" t="n">
        <v>1</v>
      </c>
      <c r="F1935" s="36" t="s">
        <v>411</v>
      </c>
      <c r="G1935" s="36" t="s">
        <v>260</v>
      </c>
      <c r="H1935" s="36" t="s">
        <v>146</v>
      </c>
    </row>
    <row r="1936" customFormat="false" ht="15" hidden="false" customHeight="false" outlineLevel="0" collapsed="false">
      <c r="A1936" s="36" t="s">
        <v>2393</v>
      </c>
      <c r="B1936" s="36" t="s">
        <v>1622</v>
      </c>
      <c r="C1936" s="36" t="s">
        <v>554</v>
      </c>
      <c r="D1936" s="36" t="s">
        <v>691</v>
      </c>
      <c r="E1936" s="36" t="n">
        <v>6</v>
      </c>
      <c r="F1936" s="36" t="n">
        <v>80</v>
      </c>
      <c r="G1936" s="36" t="s">
        <v>256</v>
      </c>
      <c r="H1936" s="36" t="s">
        <v>308</v>
      </c>
    </row>
    <row r="1937" customFormat="false" ht="15" hidden="false" customHeight="false" outlineLevel="0" collapsed="false">
      <c r="A1937" s="36" t="s">
        <v>2394</v>
      </c>
      <c r="B1937" s="36" t="s">
        <v>1633</v>
      </c>
      <c r="C1937" s="36" t="s">
        <v>44</v>
      </c>
      <c r="D1937" s="36" t="s">
        <v>864</v>
      </c>
      <c r="E1937" s="36" t="n">
        <v>1</v>
      </c>
      <c r="F1937" s="36" t="n">
        <v>40</v>
      </c>
      <c r="G1937" s="36" t="s">
        <v>246</v>
      </c>
      <c r="H1937" s="36" t="s">
        <v>306</v>
      </c>
    </row>
    <row r="1938" customFormat="false" ht="15" hidden="false" customHeight="false" outlineLevel="0" collapsed="false">
      <c r="A1938" s="36" t="s">
        <v>2395</v>
      </c>
      <c r="B1938" s="36" t="s">
        <v>1622</v>
      </c>
      <c r="C1938" s="36" t="s">
        <v>375</v>
      </c>
      <c r="D1938" s="36" t="s">
        <v>204</v>
      </c>
      <c r="E1938" s="36" t="n">
        <v>2</v>
      </c>
      <c r="F1938" s="36" t="s">
        <v>420</v>
      </c>
      <c r="G1938" s="36" t="s">
        <v>260</v>
      </c>
      <c r="H1938" s="36" t="s">
        <v>145</v>
      </c>
    </row>
    <row r="1939" customFormat="false" ht="15" hidden="false" customHeight="false" outlineLevel="0" collapsed="false">
      <c r="A1939" s="36" t="s">
        <v>2396</v>
      </c>
      <c r="B1939" s="36" t="s">
        <v>1622</v>
      </c>
      <c r="C1939" s="36" t="s">
        <v>144</v>
      </c>
      <c r="D1939" s="36" t="s">
        <v>471</v>
      </c>
      <c r="E1939" s="36" t="n">
        <v>2</v>
      </c>
      <c r="F1939" s="36" t="s">
        <v>505</v>
      </c>
      <c r="G1939" s="36" t="s">
        <v>270</v>
      </c>
      <c r="H1939" s="36" t="s">
        <v>145</v>
      </c>
    </row>
    <row r="1940" customFormat="false" ht="15" hidden="false" customHeight="false" outlineLevel="0" collapsed="false">
      <c r="A1940" s="36" t="s">
        <v>2397</v>
      </c>
      <c r="B1940" s="36" t="s">
        <v>1633</v>
      </c>
      <c r="C1940" s="36" t="s">
        <v>368</v>
      </c>
      <c r="D1940" s="36" t="s">
        <v>172</v>
      </c>
      <c r="E1940" s="36" t="n">
        <v>2</v>
      </c>
      <c r="F1940" s="36" t="s">
        <v>344</v>
      </c>
      <c r="G1940" s="36" t="s">
        <v>246</v>
      </c>
      <c r="H1940" s="36" t="s">
        <v>132</v>
      </c>
    </row>
    <row r="1941" customFormat="false" ht="15" hidden="false" customHeight="false" outlineLevel="0" collapsed="false">
      <c r="A1941" s="36" t="s">
        <v>2398</v>
      </c>
      <c r="B1941" s="37" t="n">
        <v>46277</v>
      </c>
      <c r="C1941" s="36" t="s">
        <v>144</v>
      </c>
      <c r="D1941" s="36" t="s">
        <v>157</v>
      </c>
      <c r="E1941" s="36" t="n">
        <v>1</v>
      </c>
      <c r="F1941" s="36" t="n">
        <v>330</v>
      </c>
      <c r="G1941" s="36" t="s">
        <v>267</v>
      </c>
      <c r="H1941" s="36" t="s">
        <v>146</v>
      </c>
    </row>
    <row r="1942" customFormat="false" ht="15" hidden="false" customHeight="false" outlineLevel="0" collapsed="false">
      <c r="A1942" s="36" t="s">
        <v>2399</v>
      </c>
      <c r="B1942" s="36" t="s">
        <v>1622</v>
      </c>
      <c r="C1942" s="36" t="s">
        <v>44</v>
      </c>
      <c r="D1942" s="36" t="s">
        <v>205</v>
      </c>
      <c r="E1942" s="36" t="n">
        <v>1</v>
      </c>
      <c r="F1942" s="36" t="s">
        <v>384</v>
      </c>
      <c r="G1942" s="36" t="s">
        <v>243</v>
      </c>
      <c r="H1942" s="36" t="s">
        <v>140</v>
      </c>
    </row>
    <row r="1943" customFormat="false" ht="15" hidden="false" customHeight="false" outlineLevel="0" collapsed="false">
      <c r="A1943" s="36" t="s">
        <v>2400</v>
      </c>
      <c r="B1943" s="37" t="n">
        <v>46277</v>
      </c>
      <c r="C1943" s="36" t="s">
        <v>44</v>
      </c>
      <c r="D1943" s="36" t="s">
        <v>520</v>
      </c>
      <c r="E1943" s="36" t="n">
        <v>1</v>
      </c>
      <c r="F1943" s="36" t="n">
        <v>90</v>
      </c>
      <c r="G1943" s="36" t="s">
        <v>251</v>
      </c>
      <c r="H1943" s="36" t="s">
        <v>140</v>
      </c>
    </row>
    <row r="1944" customFormat="false" ht="15" hidden="false" customHeight="false" outlineLevel="0" collapsed="false">
      <c r="A1944" s="36" t="s">
        <v>2401</v>
      </c>
      <c r="B1944" s="36" t="s">
        <v>1622</v>
      </c>
      <c r="C1944" s="36" t="s">
        <v>44</v>
      </c>
      <c r="D1944" s="36" t="s">
        <v>329</v>
      </c>
      <c r="E1944" s="36" t="n">
        <v>4</v>
      </c>
      <c r="F1944" s="36" t="s">
        <v>659</v>
      </c>
      <c r="G1944" s="36" t="s">
        <v>267</v>
      </c>
      <c r="H1944" s="36" t="s">
        <v>247</v>
      </c>
    </row>
    <row r="1945" customFormat="false" ht="15" hidden="false" customHeight="false" outlineLevel="0" collapsed="false">
      <c r="A1945" s="36" t="s">
        <v>2402</v>
      </c>
      <c r="B1945" s="36" t="s">
        <v>1622</v>
      </c>
      <c r="C1945" s="36" t="s">
        <v>144</v>
      </c>
      <c r="D1945" s="36" t="s">
        <v>196</v>
      </c>
      <c r="E1945" s="36" t="n">
        <v>1</v>
      </c>
      <c r="F1945" s="36" t="n">
        <v>350</v>
      </c>
      <c r="G1945" s="36" t="s">
        <v>243</v>
      </c>
      <c r="H1945" s="36" t="s">
        <v>141</v>
      </c>
    </row>
    <row r="1946" customFormat="false" ht="15" hidden="false" customHeight="false" outlineLevel="0" collapsed="false">
      <c r="A1946" s="36" t="s">
        <v>2403</v>
      </c>
      <c r="B1946" s="36" t="s">
        <v>1622</v>
      </c>
      <c r="C1946" s="36" t="s">
        <v>144</v>
      </c>
      <c r="D1946" s="36" t="s">
        <v>277</v>
      </c>
      <c r="E1946" s="36" t="n">
        <v>6</v>
      </c>
      <c r="F1946" s="36" t="n">
        <v>350</v>
      </c>
      <c r="G1946" s="36" t="s">
        <v>251</v>
      </c>
      <c r="H1946" s="36" t="s">
        <v>141</v>
      </c>
    </row>
    <row r="1947" customFormat="false" ht="15" hidden="false" customHeight="false" outlineLevel="0" collapsed="false">
      <c r="A1947" s="36" t="s">
        <v>2404</v>
      </c>
      <c r="B1947" s="36" t="s">
        <v>1622</v>
      </c>
      <c r="C1947" s="36" t="s">
        <v>44</v>
      </c>
      <c r="D1947" s="36" t="s">
        <v>1177</v>
      </c>
      <c r="E1947" s="36" t="n">
        <v>2</v>
      </c>
      <c r="F1947" s="36" t="n">
        <v>420</v>
      </c>
      <c r="G1947" s="36" t="s">
        <v>251</v>
      </c>
      <c r="H1947" s="36" t="s">
        <v>140</v>
      </c>
    </row>
    <row r="1948" customFormat="false" ht="15" hidden="false" customHeight="false" outlineLevel="0" collapsed="false">
      <c r="A1948" s="36" t="s">
        <v>2405</v>
      </c>
      <c r="B1948" s="37" t="n">
        <v>46277</v>
      </c>
      <c r="C1948" s="36" t="s">
        <v>44</v>
      </c>
      <c r="D1948" s="36" t="s">
        <v>1018</v>
      </c>
      <c r="E1948" s="36" t="n">
        <v>6</v>
      </c>
      <c r="F1948" s="36" t="s">
        <v>369</v>
      </c>
      <c r="G1948" s="36" t="s">
        <v>260</v>
      </c>
      <c r="H1948" s="36" t="s">
        <v>132</v>
      </c>
    </row>
    <row r="1949" customFormat="false" ht="15" hidden="false" customHeight="false" outlineLevel="0" collapsed="false">
      <c r="A1949" s="36" t="s">
        <v>2406</v>
      </c>
      <c r="B1949" s="36" t="s">
        <v>1622</v>
      </c>
      <c r="C1949" s="36" t="s">
        <v>44</v>
      </c>
      <c r="D1949" s="36" t="s">
        <v>200</v>
      </c>
      <c r="E1949" s="36" t="n">
        <v>3</v>
      </c>
      <c r="F1949" s="36" t="s">
        <v>2407</v>
      </c>
      <c r="G1949" s="36" t="s">
        <v>267</v>
      </c>
      <c r="H1949" s="36" t="s">
        <v>141</v>
      </c>
    </row>
    <row r="1950" customFormat="false" ht="15" hidden="false" customHeight="false" outlineLevel="0" collapsed="false">
      <c r="A1950" s="36" t="s">
        <v>2408</v>
      </c>
      <c r="B1950" s="36" t="s">
        <v>1633</v>
      </c>
      <c r="C1950" s="36" t="s">
        <v>368</v>
      </c>
      <c r="D1950" s="36" t="s">
        <v>231</v>
      </c>
      <c r="E1950" s="36" t="n">
        <v>6</v>
      </c>
      <c r="F1950" s="36" t="n">
        <v>140</v>
      </c>
      <c r="G1950" s="36" t="s">
        <v>256</v>
      </c>
      <c r="H1950" s="36" t="s">
        <v>141</v>
      </c>
    </row>
    <row r="1951" customFormat="false" ht="15" hidden="false" customHeight="false" outlineLevel="0" collapsed="false">
      <c r="A1951" s="36" t="s">
        <v>2409</v>
      </c>
      <c r="B1951" s="36" t="s">
        <v>1622</v>
      </c>
      <c r="C1951" s="36" t="s">
        <v>44</v>
      </c>
      <c r="D1951" s="36" t="s">
        <v>290</v>
      </c>
      <c r="E1951" s="36" t="n">
        <v>6</v>
      </c>
      <c r="F1951" s="36" t="n">
        <v>40</v>
      </c>
      <c r="G1951" s="36" t="s">
        <v>267</v>
      </c>
      <c r="H1951" s="36" t="s">
        <v>132</v>
      </c>
    </row>
    <row r="1952" customFormat="false" ht="15" hidden="false" customHeight="false" outlineLevel="0" collapsed="false">
      <c r="A1952" s="36" t="s">
        <v>2410</v>
      </c>
      <c r="B1952" s="36" t="s">
        <v>1633</v>
      </c>
      <c r="C1952" s="36" t="s">
        <v>554</v>
      </c>
      <c r="D1952" s="36" t="s">
        <v>783</v>
      </c>
      <c r="E1952" s="36" t="n">
        <v>1</v>
      </c>
      <c r="F1952" s="36" t="n">
        <v>130</v>
      </c>
      <c r="G1952" s="36" t="s">
        <v>270</v>
      </c>
      <c r="H1952" s="36" t="s">
        <v>131</v>
      </c>
    </row>
    <row r="1953" customFormat="false" ht="15" hidden="false" customHeight="false" outlineLevel="0" collapsed="false">
      <c r="A1953" s="36" t="s">
        <v>2411</v>
      </c>
      <c r="B1953" s="36" t="s">
        <v>1622</v>
      </c>
      <c r="C1953" s="36" t="s">
        <v>144</v>
      </c>
      <c r="D1953" s="36" t="s">
        <v>492</v>
      </c>
      <c r="E1953" s="36" t="n">
        <v>2</v>
      </c>
      <c r="F1953" s="36" t="s">
        <v>369</v>
      </c>
      <c r="G1953" s="36" t="s">
        <v>251</v>
      </c>
      <c r="H1953" s="36" t="s">
        <v>131</v>
      </c>
    </row>
    <row r="1954" customFormat="false" ht="15" hidden="false" customHeight="false" outlineLevel="0" collapsed="false">
      <c r="A1954" s="36" t="s">
        <v>2412</v>
      </c>
      <c r="B1954" s="36" t="s">
        <v>1633</v>
      </c>
      <c r="C1954" s="36" t="s">
        <v>144</v>
      </c>
      <c r="D1954" s="36" t="s">
        <v>898</v>
      </c>
      <c r="E1954" s="36" t="n">
        <v>2</v>
      </c>
      <c r="F1954" s="36" t="n">
        <v>150</v>
      </c>
      <c r="G1954" s="36" t="s">
        <v>256</v>
      </c>
      <c r="H1954" s="36" t="s">
        <v>141</v>
      </c>
    </row>
    <row r="1955" customFormat="false" ht="15" hidden="false" customHeight="false" outlineLevel="0" collapsed="false">
      <c r="A1955" s="36" t="s">
        <v>2413</v>
      </c>
      <c r="B1955" s="37" t="n">
        <v>46277</v>
      </c>
      <c r="C1955" s="36" t="s">
        <v>554</v>
      </c>
      <c r="D1955" s="36" t="s">
        <v>143</v>
      </c>
      <c r="E1955" s="36" t="n">
        <v>4</v>
      </c>
      <c r="F1955" s="36" t="s">
        <v>380</v>
      </c>
      <c r="G1955" s="36" t="s">
        <v>270</v>
      </c>
      <c r="H1955" s="36" t="s">
        <v>131</v>
      </c>
    </row>
    <row r="1956" customFormat="false" ht="15" hidden="false" customHeight="false" outlineLevel="0" collapsed="false">
      <c r="A1956" s="36" t="s">
        <v>2414</v>
      </c>
      <c r="B1956" s="36" t="s">
        <v>1622</v>
      </c>
      <c r="C1956" s="36" t="s">
        <v>554</v>
      </c>
      <c r="D1956" s="36" t="s">
        <v>218</v>
      </c>
      <c r="E1956" s="36" t="n">
        <v>1</v>
      </c>
      <c r="F1956" s="36" t="s">
        <v>422</v>
      </c>
      <c r="G1956" s="36" t="s">
        <v>260</v>
      </c>
      <c r="H1956" s="36" t="s">
        <v>131</v>
      </c>
    </row>
    <row r="1957" customFormat="false" ht="15" hidden="false" customHeight="false" outlineLevel="0" collapsed="false">
      <c r="A1957" s="36" t="s">
        <v>2415</v>
      </c>
      <c r="B1957" s="36" t="s">
        <v>1622</v>
      </c>
      <c r="C1957" s="36" t="s">
        <v>368</v>
      </c>
      <c r="D1957" s="36" t="s">
        <v>437</v>
      </c>
      <c r="E1957" s="36" t="n">
        <v>1</v>
      </c>
      <c r="F1957" s="36" t="s">
        <v>380</v>
      </c>
      <c r="G1957" s="36" t="s">
        <v>246</v>
      </c>
      <c r="H1957" s="36" t="s">
        <v>141</v>
      </c>
    </row>
    <row r="1958" customFormat="false" ht="15" hidden="false" customHeight="false" outlineLevel="0" collapsed="false">
      <c r="A1958" s="36" t="s">
        <v>2416</v>
      </c>
      <c r="B1958" s="36" t="s">
        <v>1622</v>
      </c>
      <c r="C1958" s="36" t="s">
        <v>554</v>
      </c>
      <c r="D1958" s="36" t="s">
        <v>198</v>
      </c>
      <c r="E1958" s="36" t="n">
        <v>6</v>
      </c>
      <c r="F1958" s="36" t="s">
        <v>1044</v>
      </c>
      <c r="G1958" s="36" t="s">
        <v>260</v>
      </c>
      <c r="H1958" s="36" t="s">
        <v>131</v>
      </c>
    </row>
    <row r="1959" customFormat="false" ht="15" hidden="false" customHeight="false" outlineLevel="0" collapsed="false">
      <c r="A1959" s="36" t="s">
        <v>2417</v>
      </c>
      <c r="B1959" s="36" t="s">
        <v>1633</v>
      </c>
      <c r="C1959" s="36" t="s">
        <v>375</v>
      </c>
      <c r="D1959" s="36" t="s">
        <v>188</v>
      </c>
      <c r="E1959" s="36" t="n">
        <v>1</v>
      </c>
      <c r="F1959" s="36" t="n">
        <v>85</v>
      </c>
      <c r="G1959" s="36" t="s">
        <v>267</v>
      </c>
      <c r="H1959" s="36" t="s">
        <v>247</v>
      </c>
    </row>
    <row r="1960" customFormat="false" ht="15" hidden="false" customHeight="false" outlineLevel="0" collapsed="false">
      <c r="A1960" s="36" t="s">
        <v>2418</v>
      </c>
      <c r="B1960" s="36" t="s">
        <v>1622</v>
      </c>
      <c r="C1960" s="36" t="s">
        <v>144</v>
      </c>
      <c r="D1960" s="36" t="s">
        <v>170</v>
      </c>
      <c r="E1960" s="36" t="n">
        <v>2</v>
      </c>
      <c r="F1960" s="36" t="n">
        <v>360</v>
      </c>
      <c r="G1960" s="36" t="s">
        <v>270</v>
      </c>
      <c r="H1960" s="36" t="s">
        <v>146</v>
      </c>
    </row>
    <row r="1961" customFormat="false" ht="15" hidden="false" customHeight="false" outlineLevel="0" collapsed="false">
      <c r="A1961" s="36" t="s">
        <v>2419</v>
      </c>
      <c r="B1961" s="36" t="s">
        <v>1633</v>
      </c>
      <c r="C1961" s="36" t="s">
        <v>368</v>
      </c>
      <c r="D1961" s="36" t="s">
        <v>373</v>
      </c>
      <c r="E1961" s="36" t="n">
        <v>3</v>
      </c>
      <c r="F1961" s="36" t="n">
        <v>40</v>
      </c>
      <c r="G1961" s="36" t="s">
        <v>270</v>
      </c>
      <c r="H1961" s="36" t="s">
        <v>145</v>
      </c>
    </row>
    <row r="1962" customFormat="false" ht="15" hidden="false" customHeight="false" outlineLevel="0" collapsed="false">
      <c r="A1962" s="36" t="s">
        <v>2342</v>
      </c>
      <c r="B1962" s="36" t="s">
        <v>1633</v>
      </c>
      <c r="C1962" s="36" t="s">
        <v>44</v>
      </c>
      <c r="D1962" s="36" t="s">
        <v>206</v>
      </c>
      <c r="E1962" s="36" t="n">
        <v>2</v>
      </c>
      <c r="F1962" s="36" t="n">
        <v>65</v>
      </c>
      <c r="G1962" s="36" t="s">
        <v>270</v>
      </c>
      <c r="H1962" s="36" t="s">
        <v>132</v>
      </c>
    </row>
    <row r="1963" customFormat="false" ht="15" hidden="false" customHeight="false" outlineLevel="0" collapsed="false">
      <c r="A1963" s="36" t="s">
        <v>2420</v>
      </c>
      <c r="B1963" s="37" t="n">
        <v>46277</v>
      </c>
      <c r="C1963" s="36" t="s">
        <v>44</v>
      </c>
      <c r="D1963" s="36" t="s">
        <v>159</v>
      </c>
      <c r="E1963" s="36" t="n">
        <v>4</v>
      </c>
      <c r="F1963" s="36" t="s">
        <v>275</v>
      </c>
      <c r="G1963" s="36" t="s">
        <v>263</v>
      </c>
      <c r="H1963" s="36" t="s">
        <v>247</v>
      </c>
    </row>
    <row r="1964" customFormat="false" ht="15" hidden="false" customHeight="false" outlineLevel="0" collapsed="false">
      <c r="A1964" s="36" t="s">
        <v>2421</v>
      </c>
      <c r="B1964" s="36" t="s">
        <v>1633</v>
      </c>
      <c r="C1964" s="36" t="s">
        <v>153</v>
      </c>
      <c r="D1964" s="36" t="s">
        <v>163</v>
      </c>
      <c r="E1964" s="36" t="n">
        <v>3</v>
      </c>
      <c r="F1964" s="36" t="n">
        <v>40</v>
      </c>
      <c r="G1964" s="36" t="s">
        <v>246</v>
      </c>
      <c r="H1964" s="36" t="s">
        <v>141</v>
      </c>
    </row>
    <row r="1965" customFormat="false" ht="15" hidden="false" customHeight="false" outlineLevel="0" collapsed="false">
      <c r="A1965" s="36" t="s">
        <v>2422</v>
      </c>
      <c r="B1965" s="37" t="n">
        <v>46277</v>
      </c>
      <c r="C1965" s="36" t="s">
        <v>419</v>
      </c>
      <c r="D1965" s="36" t="s">
        <v>217</v>
      </c>
      <c r="E1965" s="36" t="n">
        <v>6</v>
      </c>
      <c r="F1965" s="36" t="s">
        <v>313</v>
      </c>
      <c r="G1965" s="36" t="s">
        <v>270</v>
      </c>
      <c r="H1965" s="36" t="s">
        <v>146</v>
      </c>
    </row>
    <row r="1966" customFormat="false" ht="15" hidden="false" customHeight="false" outlineLevel="0" collapsed="false">
      <c r="A1966" s="36" t="s">
        <v>2423</v>
      </c>
      <c r="B1966" s="36" t="s">
        <v>1622</v>
      </c>
      <c r="C1966" s="36" t="s">
        <v>153</v>
      </c>
      <c r="D1966" s="36" t="s">
        <v>168</v>
      </c>
      <c r="E1966" s="36" t="n">
        <v>4</v>
      </c>
      <c r="F1966" s="36" t="s">
        <v>331</v>
      </c>
      <c r="G1966" s="36" t="s">
        <v>243</v>
      </c>
      <c r="H1966" s="36" t="s">
        <v>132</v>
      </c>
    </row>
    <row r="1967" customFormat="false" ht="15" hidden="false" customHeight="false" outlineLevel="0" collapsed="false">
      <c r="A1967" s="36" t="s">
        <v>2424</v>
      </c>
      <c r="B1967" s="36" t="s">
        <v>1622</v>
      </c>
      <c r="C1967" s="36" t="s">
        <v>417</v>
      </c>
      <c r="D1967" s="36" t="s">
        <v>157</v>
      </c>
      <c r="E1967" s="36" t="n">
        <v>2</v>
      </c>
      <c r="F1967" s="36" t="s">
        <v>380</v>
      </c>
      <c r="G1967" s="36" t="s">
        <v>243</v>
      </c>
      <c r="H1967" s="36" t="s">
        <v>140</v>
      </c>
    </row>
    <row r="1968" customFormat="false" ht="15" hidden="false" customHeight="false" outlineLevel="0" collapsed="false">
      <c r="A1968" s="36" t="s">
        <v>2425</v>
      </c>
      <c r="B1968" s="36" t="s">
        <v>1622</v>
      </c>
      <c r="C1968" s="36" t="s">
        <v>417</v>
      </c>
      <c r="D1968" s="36" t="s">
        <v>160</v>
      </c>
      <c r="E1968" s="36" t="n">
        <v>2</v>
      </c>
      <c r="F1968" s="36" t="n">
        <v>120</v>
      </c>
      <c r="G1968" s="36" t="s">
        <v>251</v>
      </c>
      <c r="H1968" s="36" t="s">
        <v>132</v>
      </c>
    </row>
    <row r="1969" customFormat="false" ht="15" hidden="false" customHeight="false" outlineLevel="0" collapsed="false">
      <c r="A1969" s="36" t="s">
        <v>2426</v>
      </c>
      <c r="B1969" s="36" t="s">
        <v>1622</v>
      </c>
      <c r="C1969" s="36" t="s">
        <v>45</v>
      </c>
      <c r="D1969" s="36" t="s">
        <v>1086</v>
      </c>
      <c r="E1969" s="36" t="n">
        <v>1</v>
      </c>
      <c r="F1969" s="36" t="s">
        <v>313</v>
      </c>
      <c r="G1969" s="36" t="s">
        <v>256</v>
      </c>
      <c r="H1969" s="36" t="s">
        <v>321</v>
      </c>
    </row>
    <row r="1970" customFormat="false" ht="15" hidden="false" customHeight="false" outlineLevel="0" collapsed="false">
      <c r="A1970" s="36" t="s">
        <v>2427</v>
      </c>
      <c r="B1970" s="36" t="s">
        <v>1622</v>
      </c>
      <c r="C1970" s="36" t="s">
        <v>419</v>
      </c>
      <c r="D1970" s="36" t="s">
        <v>280</v>
      </c>
      <c r="E1970" s="36" t="n">
        <v>6</v>
      </c>
      <c r="F1970" s="36" t="s">
        <v>358</v>
      </c>
      <c r="G1970" s="36" t="s">
        <v>246</v>
      </c>
      <c r="H1970" s="36" t="s">
        <v>321</v>
      </c>
    </row>
    <row r="1971" customFormat="false" ht="15" hidden="false" customHeight="false" outlineLevel="0" collapsed="false">
      <c r="A1971" s="36" t="s">
        <v>2428</v>
      </c>
      <c r="B1971" s="36" t="s">
        <v>1633</v>
      </c>
      <c r="C1971" s="36" t="s">
        <v>45</v>
      </c>
      <c r="D1971" s="36" t="s">
        <v>357</v>
      </c>
      <c r="E1971" s="36" t="n">
        <v>1</v>
      </c>
      <c r="F1971" s="36" t="s">
        <v>380</v>
      </c>
      <c r="G1971" s="36" t="s">
        <v>256</v>
      </c>
      <c r="H1971" s="36" t="s">
        <v>308</v>
      </c>
    </row>
    <row r="1972" customFormat="false" ht="15" hidden="false" customHeight="false" outlineLevel="0" collapsed="false">
      <c r="A1972" s="36" t="s">
        <v>2429</v>
      </c>
      <c r="B1972" s="36" t="s">
        <v>1622</v>
      </c>
      <c r="C1972" s="36" t="s">
        <v>45</v>
      </c>
      <c r="D1972" s="36" t="s">
        <v>158</v>
      </c>
      <c r="E1972" s="36" t="n">
        <v>3</v>
      </c>
      <c r="F1972" s="36" t="s">
        <v>457</v>
      </c>
      <c r="G1972" s="36" t="s">
        <v>246</v>
      </c>
      <c r="H1972" s="36" t="s">
        <v>131</v>
      </c>
    </row>
    <row r="1973" customFormat="false" ht="15" hidden="false" customHeight="false" outlineLevel="0" collapsed="false">
      <c r="A1973" s="36" t="s">
        <v>2430</v>
      </c>
      <c r="B1973" s="36" t="s">
        <v>1622</v>
      </c>
      <c r="C1973" s="36" t="s">
        <v>153</v>
      </c>
      <c r="D1973" s="36" t="s">
        <v>215</v>
      </c>
      <c r="E1973" s="36" t="n">
        <v>2</v>
      </c>
      <c r="F1973" s="36" t="s">
        <v>584</v>
      </c>
      <c r="G1973" s="36" t="s">
        <v>243</v>
      </c>
      <c r="H1973" s="36" t="s">
        <v>145</v>
      </c>
    </row>
    <row r="1974" customFormat="false" ht="15" hidden="false" customHeight="false" outlineLevel="0" collapsed="false">
      <c r="A1974" s="36" t="s">
        <v>2431</v>
      </c>
      <c r="B1974" s="37" t="n">
        <v>46277</v>
      </c>
      <c r="C1974" s="36" t="s">
        <v>417</v>
      </c>
      <c r="D1974" s="36" t="s">
        <v>618</v>
      </c>
      <c r="E1974" s="36" t="n">
        <v>6</v>
      </c>
      <c r="F1974" s="36" t="n">
        <v>160</v>
      </c>
      <c r="G1974" s="36" t="s">
        <v>243</v>
      </c>
      <c r="H1974" s="36" t="s">
        <v>132</v>
      </c>
    </row>
    <row r="1975" customFormat="false" ht="15" hidden="false" customHeight="false" outlineLevel="0" collapsed="false">
      <c r="A1975" s="36" t="s">
        <v>2432</v>
      </c>
      <c r="B1975" s="36" t="s">
        <v>1633</v>
      </c>
      <c r="C1975" s="36" t="s">
        <v>417</v>
      </c>
      <c r="D1975" s="36" t="s">
        <v>160</v>
      </c>
      <c r="E1975" s="36" t="n">
        <v>1</v>
      </c>
      <c r="F1975" s="36" t="s">
        <v>505</v>
      </c>
      <c r="G1975" s="36" t="s">
        <v>267</v>
      </c>
      <c r="H1975" s="36" t="s">
        <v>131</v>
      </c>
    </row>
    <row r="1976" customFormat="false" ht="15" hidden="false" customHeight="false" outlineLevel="0" collapsed="false">
      <c r="A1976" s="36" t="s">
        <v>2433</v>
      </c>
      <c r="B1976" s="36" t="s">
        <v>1633</v>
      </c>
      <c r="C1976" s="36" t="s">
        <v>45</v>
      </c>
      <c r="D1976" s="36" t="s">
        <v>192</v>
      </c>
      <c r="E1976" s="36" t="n">
        <v>2</v>
      </c>
      <c r="F1976" s="36" t="s">
        <v>259</v>
      </c>
      <c r="G1976" s="36" t="s">
        <v>246</v>
      </c>
      <c r="H1976" s="36" t="s">
        <v>141</v>
      </c>
    </row>
    <row r="1977" customFormat="false" ht="15" hidden="false" customHeight="false" outlineLevel="0" collapsed="false">
      <c r="A1977" s="36" t="s">
        <v>2434</v>
      </c>
      <c r="B1977" s="36" t="s">
        <v>1622</v>
      </c>
      <c r="C1977" s="36" t="s">
        <v>45</v>
      </c>
      <c r="D1977" s="36" t="s">
        <v>134</v>
      </c>
      <c r="E1977" s="36" t="n">
        <v>4</v>
      </c>
      <c r="F1977" s="36" t="n">
        <v>190</v>
      </c>
      <c r="G1977" s="36" t="s">
        <v>251</v>
      </c>
      <c r="H1977" s="36" t="s">
        <v>308</v>
      </c>
    </row>
    <row r="1978" customFormat="false" ht="15" hidden="false" customHeight="false" outlineLevel="0" collapsed="false">
      <c r="A1978" s="36" t="s">
        <v>2435</v>
      </c>
      <c r="B1978" s="36" t="s">
        <v>1622</v>
      </c>
      <c r="C1978" s="36" t="s">
        <v>45</v>
      </c>
      <c r="D1978" s="36" t="s">
        <v>154</v>
      </c>
      <c r="E1978" s="36" t="n">
        <v>1</v>
      </c>
      <c r="F1978" s="36" t="n">
        <v>330</v>
      </c>
      <c r="G1978" s="36" t="s">
        <v>243</v>
      </c>
      <c r="H1978" s="36" t="s">
        <v>140</v>
      </c>
    </row>
    <row r="1979" customFormat="false" ht="15" hidden="false" customHeight="false" outlineLevel="0" collapsed="false">
      <c r="A1979" s="36" t="s">
        <v>2436</v>
      </c>
      <c r="B1979" s="36" t="s">
        <v>1622</v>
      </c>
      <c r="C1979" s="36" t="s">
        <v>419</v>
      </c>
      <c r="D1979" s="36" t="s">
        <v>175</v>
      </c>
      <c r="E1979" s="36" t="n">
        <v>6</v>
      </c>
      <c r="F1979" s="36" t="s">
        <v>936</v>
      </c>
      <c r="G1979" s="36" t="s">
        <v>267</v>
      </c>
      <c r="H1979" s="36" t="s">
        <v>141</v>
      </c>
    </row>
    <row r="1980" customFormat="false" ht="15" hidden="false" customHeight="false" outlineLevel="0" collapsed="false">
      <c r="A1980" s="36" t="s">
        <v>2437</v>
      </c>
      <c r="B1980" s="36" t="s">
        <v>1633</v>
      </c>
      <c r="C1980" s="36" t="s">
        <v>419</v>
      </c>
      <c r="D1980" s="36" t="s">
        <v>148</v>
      </c>
      <c r="E1980" s="36" t="n">
        <v>6</v>
      </c>
      <c r="F1980" s="36" t="s">
        <v>380</v>
      </c>
      <c r="G1980" s="36" t="s">
        <v>256</v>
      </c>
      <c r="H1980" s="36" t="s">
        <v>131</v>
      </c>
    </row>
    <row r="1981" customFormat="false" ht="15" hidden="false" customHeight="false" outlineLevel="0" collapsed="false">
      <c r="A1981" s="36" t="s">
        <v>2438</v>
      </c>
      <c r="B1981" s="36" t="s">
        <v>1622</v>
      </c>
      <c r="C1981" s="36" t="s">
        <v>45</v>
      </c>
      <c r="D1981" s="36" t="s">
        <v>435</v>
      </c>
      <c r="E1981" s="36" t="n">
        <v>1</v>
      </c>
      <c r="F1981" s="36" t="n">
        <v>65</v>
      </c>
      <c r="G1981" s="36" t="s">
        <v>270</v>
      </c>
      <c r="H1981" s="36" t="s">
        <v>140</v>
      </c>
    </row>
    <row r="1982" customFormat="false" ht="15" hidden="false" customHeight="false" outlineLevel="0" collapsed="false">
      <c r="A1982" s="36" t="s">
        <v>2439</v>
      </c>
      <c r="B1982" s="36" t="s">
        <v>1622</v>
      </c>
      <c r="C1982" s="36" t="s">
        <v>417</v>
      </c>
      <c r="D1982" s="36" t="s">
        <v>167</v>
      </c>
      <c r="E1982" s="36" t="n">
        <v>2</v>
      </c>
      <c r="F1982" s="36" t="s">
        <v>2440</v>
      </c>
      <c r="G1982" s="36" t="s">
        <v>260</v>
      </c>
      <c r="H1982" s="36" t="s">
        <v>132</v>
      </c>
    </row>
    <row r="1983" customFormat="false" ht="15" hidden="false" customHeight="false" outlineLevel="0" collapsed="false">
      <c r="A1983" s="36" t="s">
        <v>2441</v>
      </c>
      <c r="B1983" s="36" t="s">
        <v>1622</v>
      </c>
      <c r="C1983" s="36" t="s">
        <v>153</v>
      </c>
      <c r="D1983" s="36" t="s">
        <v>530</v>
      </c>
      <c r="E1983" s="36" t="n">
        <v>1</v>
      </c>
      <c r="F1983" s="36" t="s">
        <v>851</v>
      </c>
      <c r="G1983" s="36" t="s">
        <v>260</v>
      </c>
      <c r="H1983" s="36" t="s">
        <v>141</v>
      </c>
    </row>
    <row r="1984" customFormat="false" ht="15" hidden="false" customHeight="false" outlineLevel="0" collapsed="false">
      <c r="A1984" s="36" t="s">
        <v>2442</v>
      </c>
      <c r="B1984" s="36" t="s">
        <v>1633</v>
      </c>
      <c r="C1984" s="36" t="s">
        <v>45</v>
      </c>
      <c r="D1984" s="36" t="s">
        <v>757</v>
      </c>
      <c r="E1984" s="36" t="n">
        <v>1</v>
      </c>
      <c r="F1984" s="36" t="n">
        <v>140</v>
      </c>
      <c r="G1984" s="36" t="s">
        <v>256</v>
      </c>
      <c r="H1984" s="36" t="s">
        <v>140</v>
      </c>
    </row>
    <row r="1985" customFormat="false" ht="15" hidden="false" customHeight="false" outlineLevel="0" collapsed="false">
      <c r="A1985" s="36" t="s">
        <v>2443</v>
      </c>
      <c r="B1985" s="36" t="s">
        <v>1622</v>
      </c>
      <c r="C1985" s="36" t="s">
        <v>45</v>
      </c>
      <c r="D1985" s="36" t="s">
        <v>158</v>
      </c>
      <c r="E1985" s="36" t="n">
        <v>1</v>
      </c>
      <c r="F1985" s="36" t="s">
        <v>413</v>
      </c>
      <c r="G1985" s="36" t="s">
        <v>246</v>
      </c>
      <c r="H1985" s="36" t="s">
        <v>146</v>
      </c>
    </row>
    <row r="1986" customFormat="false" ht="15" hidden="false" customHeight="false" outlineLevel="0" collapsed="false">
      <c r="A1986" s="36" t="s">
        <v>2444</v>
      </c>
      <c r="B1986" s="36" t="s">
        <v>1622</v>
      </c>
      <c r="C1986" s="36" t="s">
        <v>153</v>
      </c>
      <c r="D1986" s="36" t="s">
        <v>280</v>
      </c>
      <c r="E1986" s="36" t="n">
        <v>4</v>
      </c>
      <c r="F1986" s="36" t="n">
        <v>330</v>
      </c>
      <c r="G1986" s="36" t="s">
        <v>260</v>
      </c>
      <c r="H1986" s="36" t="s">
        <v>141</v>
      </c>
    </row>
    <row r="1987" customFormat="false" ht="15" hidden="false" customHeight="false" outlineLevel="0" collapsed="false">
      <c r="A1987" s="36" t="s">
        <v>2445</v>
      </c>
      <c r="B1987" s="36" t="s">
        <v>1622</v>
      </c>
      <c r="C1987" s="36" t="s">
        <v>417</v>
      </c>
      <c r="D1987" s="36" t="s">
        <v>185</v>
      </c>
      <c r="E1987" s="36" t="n">
        <v>2</v>
      </c>
      <c r="F1987" s="36" t="n">
        <v>380</v>
      </c>
      <c r="G1987" s="36" t="s">
        <v>270</v>
      </c>
      <c r="H1987" s="36" t="s">
        <v>141</v>
      </c>
    </row>
    <row r="1988" customFormat="false" ht="15" hidden="false" customHeight="false" outlineLevel="0" collapsed="false">
      <c r="A1988" s="36" t="s">
        <v>2446</v>
      </c>
      <c r="B1988" s="36" t="s">
        <v>1622</v>
      </c>
      <c r="C1988" s="36" t="s">
        <v>45</v>
      </c>
      <c r="D1988" s="36" t="s">
        <v>299</v>
      </c>
      <c r="E1988" s="36" t="n">
        <v>1</v>
      </c>
      <c r="F1988" s="36" t="n">
        <v>60</v>
      </c>
      <c r="G1988" s="36" t="s">
        <v>246</v>
      </c>
      <c r="H1988" s="36" t="s">
        <v>145</v>
      </c>
    </row>
    <row r="1989" customFormat="false" ht="15" hidden="false" customHeight="false" outlineLevel="0" collapsed="false">
      <c r="A1989" s="36" t="s">
        <v>2447</v>
      </c>
      <c r="B1989" s="36" t="s">
        <v>1622</v>
      </c>
      <c r="C1989" s="36" t="s">
        <v>45</v>
      </c>
      <c r="D1989" s="36" t="s">
        <v>631</v>
      </c>
      <c r="E1989" s="36" t="n">
        <v>2</v>
      </c>
      <c r="F1989" s="36" t="n">
        <v>80</v>
      </c>
      <c r="G1989" s="36" t="s">
        <v>246</v>
      </c>
      <c r="H1989" s="36" t="s">
        <v>140</v>
      </c>
    </row>
    <row r="1990" customFormat="false" ht="15" hidden="false" customHeight="false" outlineLevel="0" collapsed="false">
      <c r="A1990" s="36" t="s">
        <v>2448</v>
      </c>
      <c r="B1990" s="36" t="s">
        <v>1622</v>
      </c>
      <c r="C1990" s="36" t="s">
        <v>45</v>
      </c>
      <c r="D1990" s="36" t="s">
        <v>168</v>
      </c>
      <c r="E1990" s="36" t="n">
        <v>4</v>
      </c>
      <c r="F1990" s="36" t="n">
        <v>150</v>
      </c>
      <c r="G1990" s="36" t="s">
        <v>243</v>
      </c>
      <c r="H1990" s="36" t="s">
        <v>131</v>
      </c>
    </row>
    <row r="1991" customFormat="false" ht="15" hidden="false" customHeight="false" outlineLevel="0" collapsed="false">
      <c r="A1991" s="36" t="s">
        <v>2449</v>
      </c>
      <c r="B1991" s="37" t="n">
        <v>46277</v>
      </c>
      <c r="C1991" s="36" t="s">
        <v>153</v>
      </c>
      <c r="D1991" s="36" t="s">
        <v>822</v>
      </c>
      <c r="E1991" s="36" t="n">
        <v>3</v>
      </c>
      <c r="F1991" s="36" t="s">
        <v>457</v>
      </c>
      <c r="G1991" s="36" t="s">
        <v>256</v>
      </c>
      <c r="H1991" s="36" t="s">
        <v>146</v>
      </c>
    </row>
    <row r="1992" customFormat="false" ht="15" hidden="false" customHeight="false" outlineLevel="0" collapsed="false">
      <c r="A1992" s="36" t="s">
        <v>2450</v>
      </c>
      <c r="B1992" s="36" t="s">
        <v>1622</v>
      </c>
      <c r="C1992" s="36" t="s">
        <v>153</v>
      </c>
      <c r="D1992" s="36" t="s">
        <v>445</v>
      </c>
      <c r="E1992" s="36" t="n">
        <v>6</v>
      </c>
      <c r="F1992" s="36" t="n">
        <v>380</v>
      </c>
      <c r="G1992" s="36" t="s">
        <v>270</v>
      </c>
      <c r="H1992" s="36" t="s">
        <v>306</v>
      </c>
    </row>
    <row r="1993" customFormat="false" ht="15" hidden="false" customHeight="false" outlineLevel="0" collapsed="false">
      <c r="A1993" s="36" t="s">
        <v>2451</v>
      </c>
      <c r="B1993" s="36" t="s">
        <v>1622</v>
      </c>
      <c r="C1993" s="36" t="s">
        <v>45</v>
      </c>
      <c r="D1993" s="36" t="s">
        <v>397</v>
      </c>
      <c r="E1993" s="36" t="n">
        <v>2</v>
      </c>
      <c r="F1993" s="36" t="n">
        <v>65</v>
      </c>
      <c r="G1993" s="36" t="s">
        <v>267</v>
      </c>
      <c r="H1993" s="36" t="s">
        <v>321</v>
      </c>
    </row>
    <row r="1994" customFormat="false" ht="15" hidden="false" customHeight="false" outlineLevel="0" collapsed="false">
      <c r="A1994" s="36" t="s">
        <v>2452</v>
      </c>
      <c r="B1994" s="36" t="s">
        <v>1633</v>
      </c>
      <c r="C1994" s="36" t="s">
        <v>45</v>
      </c>
      <c r="D1994" s="36" t="s">
        <v>492</v>
      </c>
      <c r="E1994" s="36" t="n">
        <v>6</v>
      </c>
      <c r="F1994" s="36" t="s">
        <v>369</v>
      </c>
      <c r="G1994" s="36" t="s">
        <v>270</v>
      </c>
      <c r="H1994" s="36" t="s">
        <v>247</v>
      </c>
    </row>
    <row r="1995" customFormat="false" ht="15" hidden="false" customHeight="false" outlineLevel="0" collapsed="false">
      <c r="A1995" s="36" t="s">
        <v>2453</v>
      </c>
      <c r="B1995" s="37" t="n">
        <v>46277</v>
      </c>
      <c r="C1995" s="36" t="s">
        <v>153</v>
      </c>
      <c r="D1995" s="36" t="s">
        <v>520</v>
      </c>
      <c r="E1995" s="36" t="s">
        <v>651</v>
      </c>
      <c r="F1995" s="36" t="n">
        <v>90</v>
      </c>
      <c r="G1995" s="36" t="s">
        <v>270</v>
      </c>
      <c r="H1995" s="36" t="s">
        <v>247</v>
      </c>
    </row>
    <row r="1996" customFormat="false" ht="15" hidden="false" customHeight="false" outlineLevel="0" collapsed="false">
      <c r="A1996" s="36" t="s">
        <v>2454</v>
      </c>
      <c r="B1996" s="36" t="s">
        <v>1622</v>
      </c>
      <c r="C1996" s="36" t="s">
        <v>417</v>
      </c>
      <c r="D1996" s="36" t="s">
        <v>299</v>
      </c>
      <c r="E1996" s="36" t="n">
        <v>2</v>
      </c>
      <c r="F1996" s="36" t="n">
        <v>60</v>
      </c>
      <c r="G1996" s="36" t="s">
        <v>260</v>
      </c>
      <c r="H1996" s="36" t="s">
        <v>321</v>
      </c>
    </row>
    <row r="1997" customFormat="false" ht="15" hidden="false" customHeight="false" outlineLevel="0" collapsed="false">
      <c r="A1997" s="36" t="s">
        <v>2455</v>
      </c>
      <c r="B1997" s="36" t="s">
        <v>1633</v>
      </c>
      <c r="C1997" s="36" t="s">
        <v>419</v>
      </c>
      <c r="D1997" s="36" t="s">
        <v>148</v>
      </c>
      <c r="E1997" s="36" t="n">
        <v>2</v>
      </c>
      <c r="F1997" s="36" t="n">
        <v>330</v>
      </c>
      <c r="G1997" s="36" t="s">
        <v>267</v>
      </c>
      <c r="H1997" s="36" t="s">
        <v>140</v>
      </c>
    </row>
    <row r="1998" customFormat="false" ht="15" hidden="false" customHeight="false" outlineLevel="0" collapsed="false">
      <c r="A1998" s="36" t="s">
        <v>2456</v>
      </c>
      <c r="B1998" s="36" t="s">
        <v>1633</v>
      </c>
      <c r="C1998" s="36" t="s">
        <v>45</v>
      </c>
      <c r="D1998" s="36" t="s">
        <v>151</v>
      </c>
      <c r="E1998" s="36" t="n">
        <v>2</v>
      </c>
      <c r="F1998" s="36" t="n">
        <v>330</v>
      </c>
      <c r="G1998" s="36" t="s">
        <v>267</v>
      </c>
      <c r="H1998" s="36" t="s">
        <v>321</v>
      </c>
    </row>
    <row r="1999" customFormat="false" ht="15" hidden="false" customHeight="false" outlineLevel="0" collapsed="false">
      <c r="A1999" s="36" t="s">
        <v>2457</v>
      </c>
      <c r="B1999" s="36" t="s">
        <v>1633</v>
      </c>
      <c r="C1999" s="36" t="s">
        <v>448</v>
      </c>
      <c r="D1999" s="36" t="s">
        <v>520</v>
      </c>
      <c r="E1999" s="36" t="n">
        <v>1</v>
      </c>
      <c r="F1999" s="36" t="n">
        <v>90</v>
      </c>
      <c r="G1999" s="36" t="s">
        <v>243</v>
      </c>
      <c r="H1999" s="36" t="s">
        <v>141</v>
      </c>
    </row>
    <row r="2000" customFormat="false" ht="15" hidden="false" customHeight="false" outlineLevel="0" collapsed="false">
      <c r="A2000" s="36" t="s">
        <v>2458</v>
      </c>
      <c r="B2000" s="37" t="n">
        <v>46277</v>
      </c>
      <c r="C2000" s="36" t="s">
        <v>156</v>
      </c>
      <c r="D2000" s="36" t="s">
        <v>143</v>
      </c>
      <c r="E2000" s="36" t="n">
        <v>1</v>
      </c>
      <c r="F2000" s="36" t="n">
        <v>330</v>
      </c>
      <c r="G2000" s="36" t="s">
        <v>270</v>
      </c>
      <c r="H2000" s="36" t="s">
        <v>132</v>
      </c>
    </row>
    <row r="2001" customFormat="false" ht="15" hidden="false" customHeight="false" outlineLevel="0" collapsed="false">
      <c r="A2001" s="36" t="s">
        <v>2459</v>
      </c>
      <c r="B2001" s="36" t="s">
        <v>1633</v>
      </c>
      <c r="C2001" s="36" t="s">
        <v>448</v>
      </c>
      <c r="D2001" s="36" t="s">
        <v>312</v>
      </c>
      <c r="E2001" s="36" t="n">
        <v>3</v>
      </c>
      <c r="F2001" s="36" t="n">
        <v>85</v>
      </c>
      <c r="G2001" s="36" t="s">
        <v>263</v>
      </c>
      <c r="H2001" s="36" t="s">
        <v>146</v>
      </c>
    </row>
    <row r="2002" customFormat="false" ht="15" hidden="false" customHeight="false" outlineLevel="0" collapsed="false">
      <c r="A2002" s="36" t="s">
        <v>2460</v>
      </c>
      <c r="B2002" s="36" t="s">
        <v>1633</v>
      </c>
      <c r="C2002" s="36" t="s">
        <v>448</v>
      </c>
      <c r="D2002" s="36" t="s">
        <v>315</v>
      </c>
      <c r="E2002" s="36" t="n">
        <v>4</v>
      </c>
      <c r="F2002" s="36" t="s">
        <v>659</v>
      </c>
      <c r="G2002" s="36" t="s">
        <v>263</v>
      </c>
      <c r="H2002" s="36" t="s">
        <v>247</v>
      </c>
    </row>
    <row r="2003" customFormat="false" ht="15" hidden="false" customHeight="false" outlineLevel="0" collapsed="false">
      <c r="A2003" s="36" t="s">
        <v>2461</v>
      </c>
      <c r="B2003" s="36" t="s">
        <v>1622</v>
      </c>
      <c r="C2003" s="36" t="s">
        <v>46</v>
      </c>
      <c r="D2003" s="36" t="s">
        <v>172</v>
      </c>
      <c r="E2003" s="36" t="n">
        <v>4</v>
      </c>
      <c r="F2003" s="36" t="n">
        <v>60</v>
      </c>
      <c r="G2003" s="36" t="s">
        <v>251</v>
      </c>
      <c r="H2003" s="36" t="s">
        <v>141</v>
      </c>
    </row>
    <row r="2004" customFormat="false" ht="15" hidden="false" customHeight="false" outlineLevel="0" collapsed="false">
      <c r="A2004" s="36" t="s">
        <v>2462</v>
      </c>
      <c r="B2004" s="36" t="s">
        <v>1622</v>
      </c>
      <c r="C2004" s="36" t="s">
        <v>46</v>
      </c>
      <c r="D2004" s="36" t="s">
        <v>625</v>
      </c>
      <c r="E2004" s="36" t="n">
        <v>4</v>
      </c>
      <c r="F2004" s="36" t="n">
        <v>130</v>
      </c>
      <c r="G2004" s="36" t="s">
        <v>267</v>
      </c>
      <c r="H2004" s="36" t="s">
        <v>141</v>
      </c>
    </row>
    <row r="2005" customFormat="false" ht="15" hidden="false" customHeight="false" outlineLevel="0" collapsed="false">
      <c r="A2005" s="36" t="s">
        <v>2463</v>
      </c>
      <c r="B2005" s="36" t="s">
        <v>1633</v>
      </c>
      <c r="C2005" s="36" t="s">
        <v>442</v>
      </c>
      <c r="D2005" s="36" t="s">
        <v>164</v>
      </c>
      <c r="E2005" s="36" t="n">
        <v>4</v>
      </c>
      <c r="F2005" s="36" t="n">
        <v>450</v>
      </c>
      <c r="G2005" s="36" t="s">
        <v>251</v>
      </c>
      <c r="H2005" s="36" t="s">
        <v>140</v>
      </c>
    </row>
    <row r="2006" customFormat="false" ht="15" hidden="false" customHeight="false" outlineLevel="0" collapsed="false">
      <c r="A2006" s="36" t="s">
        <v>2464</v>
      </c>
      <c r="B2006" s="36" t="s">
        <v>1633</v>
      </c>
      <c r="C2006" s="36" t="s">
        <v>46</v>
      </c>
      <c r="D2006" s="36" t="s">
        <v>230</v>
      </c>
      <c r="E2006" s="36" t="n">
        <v>1</v>
      </c>
      <c r="F2006" s="36" t="n">
        <v>80</v>
      </c>
      <c r="G2006" s="36" t="s">
        <v>251</v>
      </c>
      <c r="H2006" s="36" t="s">
        <v>247</v>
      </c>
    </row>
    <row r="2007" customFormat="false" ht="15" hidden="false" customHeight="false" outlineLevel="0" collapsed="false">
      <c r="A2007" s="36" t="s">
        <v>2465</v>
      </c>
      <c r="B2007" s="37" t="n">
        <v>46277</v>
      </c>
      <c r="C2007" s="36" t="s">
        <v>448</v>
      </c>
      <c r="D2007" s="36" t="s">
        <v>648</v>
      </c>
      <c r="E2007" s="36" t="n">
        <v>1</v>
      </c>
      <c r="F2007" s="36" t="s">
        <v>378</v>
      </c>
      <c r="G2007" s="36" t="s">
        <v>251</v>
      </c>
      <c r="H2007" s="36" t="s">
        <v>141</v>
      </c>
    </row>
    <row r="2008" customFormat="false" ht="15" hidden="false" customHeight="false" outlineLevel="0" collapsed="false">
      <c r="A2008" s="36" t="s">
        <v>2466</v>
      </c>
      <c r="B2008" s="36" t="s">
        <v>1633</v>
      </c>
      <c r="C2008" s="36" t="s">
        <v>46</v>
      </c>
      <c r="D2008" s="36" t="s">
        <v>206</v>
      </c>
      <c r="E2008" s="36" t="n">
        <v>1</v>
      </c>
      <c r="F2008" s="36" t="n">
        <v>65</v>
      </c>
      <c r="G2008" s="36" t="s">
        <v>256</v>
      </c>
      <c r="H2008" s="36" t="s">
        <v>141</v>
      </c>
    </row>
    <row r="2009" customFormat="false" ht="15" hidden="false" customHeight="false" outlineLevel="0" collapsed="false">
      <c r="A2009" s="36" t="s">
        <v>2467</v>
      </c>
      <c r="B2009" s="36" t="s">
        <v>1633</v>
      </c>
      <c r="C2009" s="36" t="s">
        <v>156</v>
      </c>
      <c r="D2009" s="36" t="s">
        <v>148</v>
      </c>
      <c r="E2009" s="36" t="n">
        <v>3</v>
      </c>
      <c r="F2009" s="36" t="s">
        <v>380</v>
      </c>
      <c r="G2009" s="36" t="s">
        <v>243</v>
      </c>
      <c r="H2009" s="36" t="s">
        <v>132</v>
      </c>
    </row>
    <row r="2010" customFormat="false" ht="15" hidden="false" customHeight="false" outlineLevel="0" collapsed="false">
      <c r="A2010" s="36" t="s">
        <v>2468</v>
      </c>
      <c r="B2010" s="36" t="s">
        <v>1633</v>
      </c>
      <c r="C2010" s="36" t="s">
        <v>448</v>
      </c>
      <c r="D2010" s="36" t="s">
        <v>397</v>
      </c>
      <c r="E2010" s="36" t="n">
        <v>4</v>
      </c>
      <c r="F2010" s="36" t="s">
        <v>457</v>
      </c>
      <c r="G2010" s="36" t="s">
        <v>263</v>
      </c>
      <c r="H2010" s="36" t="s">
        <v>141</v>
      </c>
    </row>
    <row r="2011" customFormat="false" ht="15" hidden="false" customHeight="false" outlineLevel="0" collapsed="false">
      <c r="A2011" s="36" t="s">
        <v>2469</v>
      </c>
      <c r="B2011" s="36" t="s">
        <v>1633</v>
      </c>
      <c r="C2011" s="36" t="s">
        <v>442</v>
      </c>
      <c r="D2011" s="36" t="s">
        <v>299</v>
      </c>
      <c r="E2011" s="36" t="n">
        <v>6</v>
      </c>
      <c r="F2011" s="36" t="n">
        <v>60</v>
      </c>
      <c r="G2011" s="36" t="s">
        <v>256</v>
      </c>
      <c r="H2011" s="36" t="s">
        <v>131</v>
      </c>
    </row>
    <row r="2012" customFormat="false" ht="15" hidden="false" customHeight="false" outlineLevel="0" collapsed="false">
      <c r="A2012" s="36" t="s">
        <v>1778</v>
      </c>
      <c r="B2012" s="37" t="n">
        <v>46277</v>
      </c>
      <c r="C2012" s="36" t="s">
        <v>442</v>
      </c>
      <c r="D2012" s="36" t="s">
        <v>152</v>
      </c>
      <c r="E2012" s="36" t="n">
        <v>2</v>
      </c>
      <c r="F2012" s="36" t="n">
        <v>40</v>
      </c>
      <c r="G2012" s="36" t="s">
        <v>246</v>
      </c>
      <c r="H2012" s="36" t="s">
        <v>141</v>
      </c>
    </row>
    <row r="2013" customFormat="false" ht="15" hidden="false" customHeight="false" outlineLevel="0" collapsed="false">
      <c r="A2013" s="36" t="s">
        <v>2470</v>
      </c>
      <c r="B2013" s="36" t="s">
        <v>1633</v>
      </c>
      <c r="C2013" s="36" t="s">
        <v>46</v>
      </c>
      <c r="D2013" s="36" t="s">
        <v>342</v>
      </c>
      <c r="E2013" s="36" t="n">
        <v>1</v>
      </c>
      <c r="F2013" s="36" t="n">
        <v>54</v>
      </c>
      <c r="G2013" s="36" t="s">
        <v>267</v>
      </c>
      <c r="H2013" s="36" t="s">
        <v>140</v>
      </c>
    </row>
    <row r="2014" customFormat="false" ht="15" hidden="false" customHeight="false" outlineLevel="0" collapsed="false">
      <c r="A2014" s="36" t="s">
        <v>2471</v>
      </c>
      <c r="B2014" s="36" t="s">
        <v>1622</v>
      </c>
      <c r="C2014" s="36" t="s">
        <v>46</v>
      </c>
      <c r="D2014" s="36" t="s">
        <v>142</v>
      </c>
      <c r="E2014" s="36" t="n">
        <v>6</v>
      </c>
      <c r="F2014" s="36" t="s">
        <v>323</v>
      </c>
      <c r="G2014" s="36" t="s">
        <v>246</v>
      </c>
      <c r="H2014" s="36" t="s">
        <v>321</v>
      </c>
    </row>
    <row r="2015" customFormat="false" ht="15" hidden="false" customHeight="false" outlineLevel="0" collapsed="false">
      <c r="A2015" s="36" t="s">
        <v>2472</v>
      </c>
      <c r="B2015" s="36" t="s">
        <v>1622</v>
      </c>
      <c r="C2015" s="36" t="s">
        <v>156</v>
      </c>
      <c r="D2015" s="36" t="s">
        <v>290</v>
      </c>
      <c r="E2015" s="36" t="s">
        <v>403</v>
      </c>
      <c r="F2015" s="36" t="n">
        <v>40</v>
      </c>
      <c r="G2015" s="36" t="s">
        <v>267</v>
      </c>
      <c r="H2015" s="36" t="s">
        <v>321</v>
      </c>
    </row>
    <row r="2016" customFormat="false" ht="15" hidden="false" customHeight="false" outlineLevel="0" collapsed="false">
      <c r="A2016" s="36" t="s">
        <v>2473</v>
      </c>
      <c r="B2016" s="36" t="s">
        <v>1633</v>
      </c>
      <c r="C2016" s="36" t="s">
        <v>442</v>
      </c>
      <c r="D2016" s="36" t="s">
        <v>492</v>
      </c>
      <c r="E2016" s="36" t="n">
        <v>1</v>
      </c>
      <c r="F2016" s="36" t="s">
        <v>457</v>
      </c>
      <c r="G2016" s="36" t="s">
        <v>256</v>
      </c>
      <c r="H2016" s="36" t="s">
        <v>141</v>
      </c>
    </row>
    <row r="2017" customFormat="false" ht="15" hidden="false" customHeight="false" outlineLevel="0" collapsed="false">
      <c r="A2017" s="36" t="s">
        <v>2474</v>
      </c>
      <c r="B2017" s="37" t="n">
        <v>46277</v>
      </c>
      <c r="C2017" s="36" t="s">
        <v>448</v>
      </c>
      <c r="D2017" s="36" t="s">
        <v>714</v>
      </c>
      <c r="E2017" s="36" t="n">
        <v>1</v>
      </c>
      <c r="F2017" s="36" t="n">
        <v>420</v>
      </c>
      <c r="G2017" s="36" t="s">
        <v>246</v>
      </c>
      <c r="H2017" s="36" t="s">
        <v>321</v>
      </c>
    </row>
    <row r="2018" customFormat="false" ht="15" hidden="false" customHeight="false" outlineLevel="0" collapsed="false">
      <c r="A2018" s="36" t="s">
        <v>2475</v>
      </c>
      <c r="B2018" s="36" t="s">
        <v>1622</v>
      </c>
      <c r="C2018" s="36" t="s">
        <v>156</v>
      </c>
      <c r="D2018" s="36" t="s">
        <v>377</v>
      </c>
      <c r="E2018" s="36" t="n">
        <v>2</v>
      </c>
      <c r="F2018" s="36" t="n">
        <v>280</v>
      </c>
      <c r="G2018" s="36" t="s">
        <v>270</v>
      </c>
      <c r="H2018" s="36" t="s">
        <v>132</v>
      </c>
    </row>
    <row r="2019" customFormat="false" ht="15" hidden="false" customHeight="false" outlineLevel="0" collapsed="false">
      <c r="A2019" s="36" t="s">
        <v>2476</v>
      </c>
      <c r="B2019" s="36" t="s">
        <v>1622</v>
      </c>
      <c r="C2019" s="36" t="s">
        <v>448</v>
      </c>
      <c r="D2019" s="36" t="s">
        <v>197</v>
      </c>
      <c r="E2019" s="36" t="n">
        <v>4</v>
      </c>
      <c r="F2019" s="36" t="n">
        <v>60</v>
      </c>
      <c r="G2019" s="36" t="s">
        <v>251</v>
      </c>
      <c r="H2019" s="36" t="s">
        <v>141</v>
      </c>
    </row>
    <row r="2020" customFormat="false" ht="15" hidden="false" customHeight="false" outlineLevel="0" collapsed="false">
      <c r="A2020" s="36" t="s">
        <v>2477</v>
      </c>
      <c r="B2020" s="37" t="n">
        <v>46277</v>
      </c>
      <c r="C2020" s="36" t="s">
        <v>46</v>
      </c>
      <c r="D2020" s="36" t="s">
        <v>285</v>
      </c>
      <c r="E2020" s="36" t="n">
        <v>1</v>
      </c>
      <c r="F2020" s="36" t="s">
        <v>627</v>
      </c>
      <c r="G2020" s="36" t="s">
        <v>246</v>
      </c>
      <c r="H2020" s="36" t="s">
        <v>132</v>
      </c>
    </row>
    <row r="2021" customFormat="false" ht="15" hidden="false" customHeight="false" outlineLevel="0" collapsed="false">
      <c r="A2021" s="36" t="s">
        <v>2478</v>
      </c>
      <c r="B2021" s="37" t="n">
        <v>46277</v>
      </c>
      <c r="C2021" s="36" t="s">
        <v>448</v>
      </c>
      <c r="D2021" s="36" t="s">
        <v>295</v>
      </c>
      <c r="E2021" s="36" t="n">
        <v>1</v>
      </c>
      <c r="F2021" s="36" t="n">
        <v>150</v>
      </c>
      <c r="G2021" s="36" t="s">
        <v>243</v>
      </c>
      <c r="H2021" s="36" t="s">
        <v>321</v>
      </c>
    </row>
    <row r="2022" customFormat="false" ht="15" hidden="false" customHeight="false" outlineLevel="0" collapsed="false">
      <c r="A2022" s="36" t="s">
        <v>2479</v>
      </c>
      <c r="B2022" s="36" t="s">
        <v>1622</v>
      </c>
      <c r="C2022" s="36" t="s">
        <v>156</v>
      </c>
      <c r="D2022" s="36" t="s">
        <v>176</v>
      </c>
      <c r="E2022" s="36" t="n">
        <v>3</v>
      </c>
      <c r="F2022" s="36" t="n">
        <v>90</v>
      </c>
      <c r="G2022" s="36" t="s">
        <v>243</v>
      </c>
      <c r="H2022" s="36" t="s">
        <v>141</v>
      </c>
    </row>
    <row r="2023" customFormat="false" ht="15" hidden="false" customHeight="false" outlineLevel="0" collapsed="false">
      <c r="A2023" s="36" t="s">
        <v>2480</v>
      </c>
      <c r="B2023" s="36" t="s">
        <v>1622</v>
      </c>
      <c r="C2023" s="36" t="s">
        <v>46</v>
      </c>
      <c r="D2023" s="36" t="s">
        <v>159</v>
      </c>
      <c r="E2023" s="36" t="n">
        <v>3</v>
      </c>
      <c r="F2023" s="36" t="n">
        <v>330</v>
      </c>
      <c r="G2023" s="36" t="s">
        <v>243</v>
      </c>
      <c r="H2023" s="36" t="s">
        <v>146</v>
      </c>
    </row>
    <row r="2024" customFormat="false" ht="15" hidden="false" customHeight="false" outlineLevel="0" collapsed="false">
      <c r="A2024" s="36" t="s">
        <v>2481</v>
      </c>
      <c r="B2024" s="36" t="s">
        <v>1633</v>
      </c>
      <c r="C2024" s="36" t="s">
        <v>448</v>
      </c>
      <c r="D2024" s="36" t="s">
        <v>236</v>
      </c>
      <c r="E2024" s="36" t="n">
        <v>1</v>
      </c>
      <c r="F2024" s="36" t="n">
        <v>65</v>
      </c>
      <c r="G2024" s="36" t="s">
        <v>243</v>
      </c>
      <c r="H2024" s="36" t="s">
        <v>145</v>
      </c>
    </row>
    <row r="2025" customFormat="false" ht="15" hidden="false" customHeight="false" outlineLevel="0" collapsed="false">
      <c r="A2025" s="36" t="s">
        <v>2482</v>
      </c>
      <c r="B2025" s="37" t="n">
        <v>46277</v>
      </c>
      <c r="C2025" s="36" t="s">
        <v>46</v>
      </c>
      <c r="D2025" s="36" t="s">
        <v>148</v>
      </c>
      <c r="E2025" s="36" t="s">
        <v>403</v>
      </c>
      <c r="F2025" s="36" t="n">
        <v>330</v>
      </c>
      <c r="G2025" s="36" t="s">
        <v>256</v>
      </c>
      <c r="H2025" s="36" t="s">
        <v>146</v>
      </c>
    </row>
    <row r="2026" customFormat="false" ht="15" hidden="false" customHeight="false" outlineLevel="0" collapsed="false">
      <c r="A2026" s="36" t="s">
        <v>2483</v>
      </c>
      <c r="B2026" s="36" t="s">
        <v>1622</v>
      </c>
      <c r="C2026" s="36" t="s">
        <v>46</v>
      </c>
      <c r="D2026" s="36" t="s">
        <v>208</v>
      </c>
      <c r="E2026" s="36" t="s">
        <v>403</v>
      </c>
      <c r="F2026" s="36" t="n">
        <v>280</v>
      </c>
      <c r="G2026" s="36" t="s">
        <v>243</v>
      </c>
      <c r="H2026" s="36" t="s">
        <v>141</v>
      </c>
    </row>
    <row r="2027" customFormat="false" ht="15" hidden="false" customHeight="false" outlineLevel="0" collapsed="false">
      <c r="A2027" s="36" t="s">
        <v>2484</v>
      </c>
      <c r="B2027" s="36" t="s">
        <v>1622</v>
      </c>
      <c r="C2027" s="36" t="s">
        <v>442</v>
      </c>
      <c r="D2027" s="36" t="s">
        <v>194</v>
      </c>
      <c r="E2027" s="36" t="n">
        <v>2</v>
      </c>
      <c r="F2027" s="36" t="s">
        <v>420</v>
      </c>
      <c r="G2027" s="36" t="s">
        <v>256</v>
      </c>
      <c r="H2027" s="36" t="s">
        <v>131</v>
      </c>
    </row>
    <row r="2028" customFormat="false" ht="15" hidden="false" customHeight="false" outlineLevel="0" collapsed="false">
      <c r="A2028" s="36" t="s">
        <v>2485</v>
      </c>
      <c r="B2028" s="36" t="s">
        <v>1622</v>
      </c>
      <c r="C2028" s="36" t="s">
        <v>156</v>
      </c>
      <c r="D2028" s="36" t="s">
        <v>216</v>
      </c>
      <c r="E2028" s="36" t="n">
        <v>3</v>
      </c>
      <c r="F2028" s="36" t="n">
        <v>50</v>
      </c>
      <c r="G2028" s="36" t="s">
        <v>260</v>
      </c>
      <c r="H2028" s="36" t="s">
        <v>131</v>
      </c>
    </row>
    <row r="2029" customFormat="false" ht="15" hidden="false" customHeight="false" outlineLevel="0" collapsed="false">
      <c r="A2029" s="36" t="s">
        <v>2486</v>
      </c>
      <c r="B2029" s="36" t="s">
        <v>1622</v>
      </c>
      <c r="C2029" s="36" t="s">
        <v>442</v>
      </c>
      <c r="D2029" s="36" t="s">
        <v>691</v>
      </c>
      <c r="E2029" s="36" t="s">
        <v>403</v>
      </c>
      <c r="F2029" s="36" t="s">
        <v>957</v>
      </c>
      <c r="G2029" s="36" t="s">
        <v>243</v>
      </c>
      <c r="H2029" s="36" t="s">
        <v>146</v>
      </c>
    </row>
    <row r="2030" customFormat="false" ht="15" hidden="false" customHeight="false" outlineLevel="0" collapsed="false">
      <c r="A2030" s="36" t="s">
        <v>2487</v>
      </c>
      <c r="B2030" s="36" t="s">
        <v>1633</v>
      </c>
      <c r="C2030" s="36" t="s">
        <v>442</v>
      </c>
      <c r="D2030" s="36" t="s">
        <v>640</v>
      </c>
      <c r="E2030" s="36" t="n">
        <v>1</v>
      </c>
      <c r="F2030" s="36" t="s">
        <v>331</v>
      </c>
      <c r="G2030" s="36" t="s">
        <v>263</v>
      </c>
      <c r="H2030" s="36" t="s">
        <v>140</v>
      </c>
    </row>
    <row r="2031" customFormat="false" ht="15" hidden="false" customHeight="false" outlineLevel="0" collapsed="false">
      <c r="A2031" s="36" t="s">
        <v>2488</v>
      </c>
      <c r="B2031" s="36" t="s">
        <v>1622</v>
      </c>
      <c r="C2031" s="36" t="s">
        <v>46</v>
      </c>
      <c r="D2031" s="36" t="s">
        <v>172</v>
      </c>
      <c r="E2031" s="36" t="n">
        <v>1</v>
      </c>
      <c r="F2031" s="36" t="n">
        <v>60</v>
      </c>
      <c r="G2031" s="36" t="s">
        <v>267</v>
      </c>
      <c r="H2031" s="36" t="s">
        <v>132</v>
      </c>
    </row>
    <row r="2032" customFormat="false" ht="15" hidden="false" customHeight="false" outlineLevel="0" collapsed="false">
      <c r="A2032" s="36" t="s">
        <v>2489</v>
      </c>
      <c r="B2032" s="36" t="s">
        <v>1622</v>
      </c>
      <c r="C2032" s="36" t="s">
        <v>156</v>
      </c>
      <c r="D2032" s="36" t="s">
        <v>304</v>
      </c>
      <c r="E2032" s="36" t="n">
        <v>1</v>
      </c>
      <c r="F2032" s="36" t="s">
        <v>411</v>
      </c>
      <c r="G2032" s="36" t="s">
        <v>267</v>
      </c>
      <c r="H2032" s="36" t="s">
        <v>247</v>
      </c>
    </row>
    <row r="2033" customFormat="false" ht="15" hidden="false" customHeight="false" outlineLevel="0" collapsed="false">
      <c r="A2033" s="36" t="s">
        <v>2490</v>
      </c>
      <c r="B2033" s="36" t="s">
        <v>2166</v>
      </c>
      <c r="C2033" s="36" t="s">
        <v>254</v>
      </c>
      <c r="D2033" s="36" t="s">
        <v>169</v>
      </c>
      <c r="E2033" s="36" t="n">
        <v>1</v>
      </c>
      <c r="F2033" s="36" t="s">
        <v>369</v>
      </c>
      <c r="G2033" s="36" t="s">
        <v>246</v>
      </c>
      <c r="H2033" s="36" t="s">
        <v>141</v>
      </c>
    </row>
    <row r="2034" customFormat="false" ht="15" hidden="false" customHeight="false" outlineLevel="0" collapsed="false">
      <c r="A2034" s="36" t="s">
        <v>2491</v>
      </c>
      <c r="B2034" s="36" t="s">
        <v>2166</v>
      </c>
      <c r="C2034" s="36" t="s">
        <v>254</v>
      </c>
      <c r="D2034" s="36" t="s">
        <v>280</v>
      </c>
      <c r="E2034" s="36" t="n">
        <v>1</v>
      </c>
      <c r="F2034" s="36" t="n">
        <v>330</v>
      </c>
      <c r="G2034" s="36" t="s">
        <v>243</v>
      </c>
      <c r="H2034" s="36" t="s">
        <v>132</v>
      </c>
    </row>
    <row r="2035" customFormat="false" ht="15" hidden="false" customHeight="false" outlineLevel="0" collapsed="false">
      <c r="A2035" s="36" t="s">
        <v>2492</v>
      </c>
      <c r="B2035" s="36" t="s">
        <v>439</v>
      </c>
      <c r="C2035" s="36" t="s">
        <v>294</v>
      </c>
      <c r="D2035" s="36" t="s">
        <v>157</v>
      </c>
      <c r="E2035" s="36" t="n">
        <v>4</v>
      </c>
      <c r="F2035" s="36" t="s">
        <v>275</v>
      </c>
      <c r="G2035" s="36" t="s">
        <v>251</v>
      </c>
      <c r="H2035" s="36" t="s">
        <v>140</v>
      </c>
    </row>
    <row r="2036" customFormat="false" ht="15" hidden="false" customHeight="false" outlineLevel="0" collapsed="false">
      <c r="A2036" s="36" t="s">
        <v>2493</v>
      </c>
      <c r="B2036" s="36" t="s">
        <v>439</v>
      </c>
      <c r="C2036" s="36" t="s">
        <v>42</v>
      </c>
      <c r="D2036" s="36" t="s">
        <v>151</v>
      </c>
      <c r="E2036" s="36" t="n">
        <v>3</v>
      </c>
      <c r="F2036" s="36" t="n">
        <v>330</v>
      </c>
      <c r="G2036" s="36" t="s">
        <v>263</v>
      </c>
      <c r="H2036" s="36" t="s">
        <v>146</v>
      </c>
    </row>
    <row r="2037" customFormat="false" ht="15" hidden="false" customHeight="false" outlineLevel="0" collapsed="false">
      <c r="A2037" s="36" t="s">
        <v>2494</v>
      </c>
      <c r="B2037" s="36" t="s">
        <v>439</v>
      </c>
      <c r="C2037" s="36" t="s">
        <v>241</v>
      </c>
      <c r="D2037" s="36" t="s">
        <v>959</v>
      </c>
      <c r="E2037" s="36" t="n">
        <v>2</v>
      </c>
      <c r="F2037" s="36" t="n">
        <v>95</v>
      </c>
      <c r="G2037" s="36" t="s">
        <v>270</v>
      </c>
      <c r="H2037" s="36" t="s">
        <v>132</v>
      </c>
    </row>
    <row r="2038" customFormat="false" ht="15" hidden="false" customHeight="false" outlineLevel="0" collapsed="false">
      <c r="A2038" s="36" t="s">
        <v>2495</v>
      </c>
      <c r="B2038" s="36" t="s">
        <v>2166</v>
      </c>
      <c r="C2038" s="36" t="s">
        <v>42</v>
      </c>
      <c r="D2038" s="36" t="s">
        <v>342</v>
      </c>
      <c r="E2038" s="36" t="n">
        <v>1</v>
      </c>
      <c r="F2038" s="36" t="s">
        <v>319</v>
      </c>
      <c r="G2038" s="36" t="s">
        <v>260</v>
      </c>
      <c r="H2038" s="36" t="s">
        <v>132</v>
      </c>
    </row>
    <row r="2039" customFormat="false" ht="15" hidden="false" customHeight="false" outlineLevel="0" collapsed="false">
      <c r="A2039" s="36" t="s">
        <v>2496</v>
      </c>
      <c r="B2039" s="36" t="s">
        <v>439</v>
      </c>
      <c r="C2039" s="36" t="s">
        <v>294</v>
      </c>
      <c r="D2039" s="36" t="s">
        <v>204</v>
      </c>
      <c r="E2039" s="36" t="n">
        <v>1</v>
      </c>
      <c r="F2039" s="36" t="s">
        <v>420</v>
      </c>
      <c r="G2039" s="36" t="s">
        <v>256</v>
      </c>
      <c r="H2039" s="36" t="s">
        <v>308</v>
      </c>
    </row>
    <row r="2040" customFormat="false" ht="15" hidden="false" customHeight="false" outlineLevel="0" collapsed="false">
      <c r="A2040" s="36" t="s">
        <v>2497</v>
      </c>
      <c r="B2040" s="36" t="s">
        <v>2166</v>
      </c>
      <c r="C2040" s="36" t="s">
        <v>254</v>
      </c>
      <c r="D2040" s="36" t="s">
        <v>184</v>
      </c>
      <c r="E2040" s="36" t="n">
        <v>1</v>
      </c>
      <c r="F2040" s="36" t="s">
        <v>387</v>
      </c>
      <c r="G2040" s="36" t="s">
        <v>263</v>
      </c>
      <c r="H2040" s="36" t="s">
        <v>132</v>
      </c>
    </row>
    <row r="2041" customFormat="false" ht="15" hidden="false" customHeight="false" outlineLevel="0" collapsed="false">
      <c r="A2041" s="36" t="s">
        <v>2498</v>
      </c>
      <c r="B2041" s="36" t="s">
        <v>439</v>
      </c>
      <c r="C2041" s="36" t="s">
        <v>241</v>
      </c>
      <c r="D2041" s="36" t="s">
        <v>176</v>
      </c>
      <c r="E2041" s="36" t="n">
        <v>1</v>
      </c>
      <c r="F2041" s="36" t="s">
        <v>384</v>
      </c>
      <c r="G2041" s="36" t="s">
        <v>270</v>
      </c>
      <c r="H2041" s="36" t="s">
        <v>132</v>
      </c>
    </row>
    <row r="2042" customFormat="false" ht="15" hidden="false" customHeight="false" outlineLevel="0" collapsed="false">
      <c r="A2042" s="36" t="s">
        <v>2499</v>
      </c>
      <c r="B2042" s="36" t="s">
        <v>2166</v>
      </c>
      <c r="C2042" s="36" t="s">
        <v>130</v>
      </c>
      <c r="D2042" s="36" t="s">
        <v>361</v>
      </c>
      <c r="E2042" s="36" t="n">
        <v>1</v>
      </c>
      <c r="F2042" s="36" t="n">
        <v>330</v>
      </c>
      <c r="G2042" s="36" t="s">
        <v>256</v>
      </c>
      <c r="H2042" s="36" t="s">
        <v>247</v>
      </c>
    </row>
    <row r="2043" customFormat="false" ht="15" hidden="false" customHeight="false" outlineLevel="0" collapsed="false">
      <c r="A2043" s="36" t="s">
        <v>2500</v>
      </c>
      <c r="B2043" s="36" t="s">
        <v>2166</v>
      </c>
      <c r="C2043" s="36" t="s">
        <v>42</v>
      </c>
      <c r="D2043" s="36" t="s">
        <v>551</v>
      </c>
      <c r="E2043" s="36" t="n">
        <v>6</v>
      </c>
      <c r="F2043" s="36" t="s">
        <v>552</v>
      </c>
      <c r="G2043" s="36" t="s">
        <v>246</v>
      </c>
      <c r="H2043" s="36" t="s">
        <v>140</v>
      </c>
    </row>
    <row r="2044" customFormat="false" ht="15" hidden="false" customHeight="false" outlineLevel="0" collapsed="false">
      <c r="A2044" s="36" t="s">
        <v>2501</v>
      </c>
      <c r="B2044" s="36" t="s">
        <v>439</v>
      </c>
      <c r="C2044" s="36" t="s">
        <v>130</v>
      </c>
      <c r="D2044" s="36" t="s">
        <v>1018</v>
      </c>
      <c r="E2044" s="36" t="n">
        <v>1</v>
      </c>
      <c r="F2044" s="36" t="n">
        <v>65</v>
      </c>
      <c r="G2044" s="36" t="s">
        <v>246</v>
      </c>
      <c r="H2044" s="36" t="s">
        <v>140</v>
      </c>
    </row>
    <row r="2045" customFormat="false" ht="15" hidden="false" customHeight="false" outlineLevel="0" collapsed="false">
      <c r="A2045" s="36" t="s">
        <v>2502</v>
      </c>
      <c r="B2045" s="36" t="s">
        <v>439</v>
      </c>
      <c r="C2045" s="36" t="s">
        <v>42</v>
      </c>
      <c r="D2045" s="36" t="s">
        <v>515</v>
      </c>
      <c r="E2045" s="36" t="s">
        <v>651</v>
      </c>
      <c r="F2045" s="36" t="n">
        <v>130</v>
      </c>
      <c r="G2045" s="36" t="s">
        <v>246</v>
      </c>
      <c r="H2045" s="36" t="s">
        <v>141</v>
      </c>
    </row>
    <row r="2046" customFormat="false" ht="15" hidden="false" customHeight="false" outlineLevel="0" collapsed="false">
      <c r="A2046" s="36" t="s">
        <v>2503</v>
      </c>
      <c r="B2046" s="36" t="s">
        <v>439</v>
      </c>
      <c r="C2046" s="36" t="s">
        <v>294</v>
      </c>
      <c r="D2046" s="36" t="s">
        <v>172</v>
      </c>
      <c r="E2046" s="36" t="n">
        <v>6</v>
      </c>
      <c r="F2046" s="36" t="n">
        <v>60</v>
      </c>
      <c r="G2046" s="36" t="s">
        <v>270</v>
      </c>
      <c r="H2046" s="36" t="s">
        <v>146</v>
      </c>
    </row>
    <row r="2047" customFormat="false" ht="15" hidden="false" customHeight="false" outlineLevel="0" collapsed="false">
      <c r="A2047" s="36" t="s">
        <v>2504</v>
      </c>
      <c r="B2047" s="36" t="s">
        <v>439</v>
      </c>
      <c r="C2047" s="36" t="s">
        <v>294</v>
      </c>
      <c r="D2047" s="36" t="s">
        <v>197</v>
      </c>
      <c r="E2047" s="36" t="n">
        <v>1</v>
      </c>
      <c r="F2047" s="36" t="n">
        <v>60</v>
      </c>
      <c r="G2047" s="36" t="s">
        <v>246</v>
      </c>
      <c r="H2047" s="36" t="s">
        <v>131</v>
      </c>
    </row>
    <row r="2048" customFormat="false" ht="15" hidden="false" customHeight="false" outlineLevel="0" collapsed="false">
      <c r="A2048" s="36" t="s">
        <v>2505</v>
      </c>
      <c r="B2048" s="36" t="s">
        <v>439</v>
      </c>
      <c r="C2048" s="36" t="s">
        <v>254</v>
      </c>
      <c r="D2048" s="36" t="s">
        <v>148</v>
      </c>
      <c r="E2048" s="36" t="n">
        <v>1</v>
      </c>
      <c r="F2048" s="36" t="n">
        <v>330</v>
      </c>
      <c r="G2048" s="36" t="s">
        <v>263</v>
      </c>
      <c r="H2048" s="36" t="s">
        <v>146</v>
      </c>
    </row>
    <row r="2049" customFormat="false" ht="15" hidden="false" customHeight="false" outlineLevel="0" collapsed="false">
      <c r="A2049" s="36" t="s">
        <v>2506</v>
      </c>
      <c r="B2049" s="36" t="s">
        <v>2166</v>
      </c>
      <c r="C2049" s="36" t="s">
        <v>241</v>
      </c>
      <c r="D2049" s="36" t="s">
        <v>931</v>
      </c>
      <c r="E2049" s="36" t="n">
        <v>3</v>
      </c>
      <c r="F2049" s="36" t="n">
        <v>420</v>
      </c>
      <c r="G2049" s="36" t="s">
        <v>267</v>
      </c>
      <c r="H2049" s="36" t="s">
        <v>321</v>
      </c>
    </row>
    <row r="2050" customFormat="false" ht="15" hidden="false" customHeight="false" outlineLevel="0" collapsed="false">
      <c r="A2050" s="36" t="s">
        <v>2507</v>
      </c>
      <c r="B2050" s="36" t="s">
        <v>2166</v>
      </c>
      <c r="C2050" s="36" t="s">
        <v>254</v>
      </c>
      <c r="D2050" s="36" t="s">
        <v>295</v>
      </c>
      <c r="E2050" s="36" t="n">
        <v>1</v>
      </c>
      <c r="F2050" s="36" t="n">
        <v>150</v>
      </c>
      <c r="G2050" s="36" t="s">
        <v>251</v>
      </c>
      <c r="H2050" s="36" t="s">
        <v>308</v>
      </c>
    </row>
    <row r="2051" customFormat="false" ht="15" hidden="false" customHeight="false" outlineLevel="0" collapsed="false">
      <c r="A2051" s="36" t="s">
        <v>2508</v>
      </c>
      <c r="B2051" s="36" t="s">
        <v>439</v>
      </c>
      <c r="C2051" s="36" t="s">
        <v>249</v>
      </c>
      <c r="D2051" s="36" t="s">
        <v>168</v>
      </c>
      <c r="E2051" s="36" t="n">
        <v>6</v>
      </c>
      <c r="F2051" s="36" t="n">
        <v>150</v>
      </c>
      <c r="G2051" s="36" t="s">
        <v>251</v>
      </c>
      <c r="H2051" s="36" t="s">
        <v>247</v>
      </c>
    </row>
    <row r="2052" customFormat="false" ht="15" hidden="false" customHeight="false" outlineLevel="0" collapsed="false">
      <c r="A2052" s="36" t="s">
        <v>2509</v>
      </c>
      <c r="B2052" s="36" t="s">
        <v>439</v>
      </c>
      <c r="C2052" s="36" t="s">
        <v>249</v>
      </c>
      <c r="D2052" s="36" t="s">
        <v>152</v>
      </c>
      <c r="E2052" s="36" t="n">
        <v>3</v>
      </c>
      <c r="F2052" s="36" t="n">
        <v>40</v>
      </c>
      <c r="G2052" s="36" t="s">
        <v>251</v>
      </c>
      <c r="H2052" s="36" t="s">
        <v>247</v>
      </c>
    </row>
    <row r="2053" customFormat="false" ht="15" hidden="false" customHeight="false" outlineLevel="0" collapsed="false">
      <c r="A2053" s="36" t="s">
        <v>2510</v>
      </c>
      <c r="B2053" s="36" t="s">
        <v>2166</v>
      </c>
      <c r="C2053" s="36" t="s">
        <v>254</v>
      </c>
      <c r="D2053" s="36" t="s">
        <v>277</v>
      </c>
      <c r="E2053" s="36" t="n">
        <v>2</v>
      </c>
      <c r="F2053" s="36" t="n">
        <v>350</v>
      </c>
      <c r="G2053" s="36" t="s">
        <v>256</v>
      </c>
      <c r="H2053" s="36" t="s">
        <v>131</v>
      </c>
    </row>
    <row r="2054" customFormat="false" ht="15" hidden="false" customHeight="false" outlineLevel="0" collapsed="false">
      <c r="A2054" s="36" t="s">
        <v>2511</v>
      </c>
      <c r="B2054" s="36" t="s">
        <v>439</v>
      </c>
      <c r="C2054" s="36" t="s">
        <v>254</v>
      </c>
      <c r="D2054" s="36" t="s">
        <v>349</v>
      </c>
      <c r="E2054" s="36" t="n">
        <v>2</v>
      </c>
      <c r="F2054" s="36" t="n">
        <v>95</v>
      </c>
      <c r="G2054" s="36" t="s">
        <v>243</v>
      </c>
      <c r="H2054" s="36" t="s">
        <v>141</v>
      </c>
    </row>
    <row r="2055" customFormat="false" ht="15" hidden="false" customHeight="false" outlineLevel="0" collapsed="false">
      <c r="A2055" s="36" t="s">
        <v>2512</v>
      </c>
      <c r="B2055" s="36" t="s">
        <v>2166</v>
      </c>
      <c r="C2055" s="36" t="s">
        <v>249</v>
      </c>
      <c r="D2055" s="36" t="s">
        <v>216</v>
      </c>
      <c r="E2055" s="36" t="n">
        <v>1</v>
      </c>
      <c r="F2055" s="36" t="s">
        <v>584</v>
      </c>
      <c r="G2055" s="36" t="s">
        <v>260</v>
      </c>
      <c r="H2055" s="36" t="s">
        <v>141</v>
      </c>
    </row>
    <row r="2056" customFormat="false" ht="15" hidden="false" customHeight="false" outlineLevel="0" collapsed="false">
      <c r="A2056" s="36" t="s">
        <v>2513</v>
      </c>
      <c r="B2056" s="37" t="n">
        <v>46278</v>
      </c>
      <c r="C2056" s="36" t="s">
        <v>254</v>
      </c>
      <c r="D2056" s="36" t="s">
        <v>188</v>
      </c>
      <c r="E2056" s="36" t="n">
        <v>2</v>
      </c>
      <c r="F2056" s="36" t="s">
        <v>313</v>
      </c>
      <c r="G2056" s="36" t="s">
        <v>263</v>
      </c>
      <c r="H2056" s="36" t="s">
        <v>247</v>
      </c>
    </row>
    <row r="2057" customFormat="false" ht="15" hidden="false" customHeight="false" outlineLevel="0" collapsed="false">
      <c r="A2057" s="36" t="s">
        <v>2514</v>
      </c>
      <c r="B2057" s="37" t="n">
        <v>46278</v>
      </c>
      <c r="C2057" s="36" t="s">
        <v>254</v>
      </c>
      <c r="D2057" s="36" t="s">
        <v>295</v>
      </c>
      <c r="E2057" s="36" t="n">
        <v>4</v>
      </c>
      <c r="F2057" s="36" t="s">
        <v>331</v>
      </c>
      <c r="G2057" s="36" t="s">
        <v>267</v>
      </c>
      <c r="H2057" s="36" t="s">
        <v>140</v>
      </c>
    </row>
    <row r="2058" customFormat="false" ht="15" hidden="false" customHeight="false" outlineLevel="0" collapsed="false">
      <c r="A2058" s="36" t="s">
        <v>2515</v>
      </c>
      <c r="B2058" s="36" t="s">
        <v>2166</v>
      </c>
      <c r="C2058" s="36" t="s">
        <v>249</v>
      </c>
      <c r="D2058" s="36" t="s">
        <v>280</v>
      </c>
      <c r="E2058" s="36" t="n">
        <v>3</v>
      </c>
      <c r="F2058" s="36" t="n">
        <v>330</v>
      </c>
      <c r="G2058" s="36" t="s">
        <v>243</v>
      </c>
      <c r="H2058" s="36" t="s">
        <v>321</v>
      </c>
    </row>
    <row r="2059" customFormat="false" ht="15" hidden="false" customHeight="false" outlineLevel="0" collapsed="false">
      <c r="A2059" s="36" t="s">
        <v>2516</v>
      </c>
      <c r="B2059" s="36" t="s">
        <v>2166</v>
      </c>
      <c r="C2059" s="36" t="s">
        <v>42</v>
      </c>
      <c r="D2059" s="36" t="s">
        <v>180</v>
      </c>
      <c r="E2059" s="36" t="n">
        <v>3</v>
      </c>
      <c r="F2059" s="36" t="s">
        <v>411</v>
      </c>
      <c r="G2059" s="36" t="s">
        <v>270</v>
      </c>
      <c r="H2059" s="36" t="s">
        <v>132</v>
      </c>
    </row>
    <row r="2060" customFormat="false" ht="15" hidden="false" customHeight="false" outlineLevel="0" collapsed="false">
      <c r="A2060" s="36" t="s">
        <v>2517</v>
      </c>
      <c r="B2060" s="36" t="s">
        <v>439</v>
      </c>
      <c r="C2060" s="36" t="s">
        <v>42</v>
      </c>
      <c r="D2060" s="36" t="s">
        <v>312</v>
      </c>
      <c r="E2060" s="36" t="n">
        <v>2</v>
      </c>
      <c r="F2060" s="36" t="n">
        <v>85</v>
      </c>
      <c r="G2060" s="36" t="s">
        <v>263</v>
      </c>
      <c r="H2060" s="36" t="s">
        <v>131</v>
      </c>
    </row>
    <row r="2061" customFormat="false" ht="15" hidden="false" customHeight="false" outlineLevel="0" collapsed="false">
      <c r="A2061" s="36" t="s">
        <v>2518</v>
      </c>
      <c r="B2061" s="36" t="s">
        <v>439</v>
      </c>
      <c r="C2061" s="36" t="s">
        <v>42</v>
      </c>
      <c r="D2061" s="36" t="s">
        <v>176</v>
      </c>
      <c r="E2061" s="36" t="n">
        <v>2</v>
      </c>
      <c r="F2061" s="36" t="n">
        <v>90</v>
      </c>
      <c r="G2061" s="36" t="s">
        <v>263</v>
      </c>
      <c r="H2061" s="36" t="s">
        <v>132</v>
      </c>
    </row>
    <row r="2062" customFormat="false" ht="15" hidden="false" customHeight="false" outlineLevel="0" collapsed="false">
      <c r="A2062" s="36" t="s">
        <v>2519</v>
      </c>
      <c r="B2062" s="37" t="n">
        <v>46278</v>
      </c>
      <c r="C2062" s="36" t="s">
        <v>130</v>
      </c>
      <c r="D2062" s="36" t="s">
        <v>625</v>
      </c>
      <c r="E2062" s="36" t="n">
        <v>1</v>
      </c>
      <c r="F2062" s="36" t="s">
        <v>255</v>
      </c>
      <c r="G2062" s="36" t="s">
        <v>251</v>
      </c>
      <c r="H2062" s="36" t="s">
        <v>321</v>
      </c>
    </row>
    <row r="2063" customFormat="false" ht="15" hidden="false" customHeight="false" outlineLevel="0" collapsed="false">
      <c r="A2063" s="36" t="s">
        <v>1894</v>
      </c>
      <c r="B2063" s="37" t="n">
        <v>46274</v>
      </c>
      <c r="C2063" s="36" t="s">
        <v>375</v>
      </c>
      <c r="D2063" s="36" t="s">
        <v>234</v>
      </c>
      <c r="E2063" s="36" t="n">
        <v>1</v>
      </c>
      <c r="F2063" s="36" t="n">
        <v>130</v>
      </c>
      <c r="G2063" s="36" t="s">
        <v>270</v>
      </c>
      <c r="H2063" s="36" t="s">
        <v>321</v>
      </c>
    </row>
    <row r="2064" customFormat="false" ht="15" hidden="false" customHeight="false" outlineLevel="0" collapsed="false">
      <c r="A2064" s="36" t="s">
        <v>2520</v>
      </c>
      <c r="B2064" s="36" t="s">
        <v>2166</v>
      </c>
      <c r="C2064" s="36" t="s">
        <v>241</v>
      </c>
      <c r="D2064" s="36" t="s">
        <v>475</v>
      </c>
      <c r="E2064" s="36" t="n">
        <v>1</v>
      </c>
      <c r="F2064" s="36" t="n">
        <v>360</v>
      </c>
      <c r="G2064" s="36" t="s">
        <v>243</v>
      </c>
      <c r="H2064" s="36" t="s">
        <v>141</v>
      </c>
    </row>
    <row r="2065" customFormat="false" ht="15" hidden="false" customHeight="false" outlineLevel="0" collapsed="false">
      <c r="A2065" s="36" t="s">
        <v>2521</v>
      </c>
      <c r="B2065" s="36" t="s">
        <v>2166</v>
      </c>
      <c r="C2065" s="36" t="s">
        <v>42</v>
      </c>
      <c r="D2065" s="36" t="s">
        <v>223</v>
      </c>
      <c r="E2065" s="36" t="n">
        <v>4</v>
      </c>
      <c r="F2065" s="36" t="n">
        <v>130</v>
      </c>
      <c r="G2065" s="36" t="s">
        <v>243</v>
      </c>
      <c r="H2065" s="36" t="s">
        <v>141</v>
      </c>
    </row>
    <row r="2066" customFormat="false" ht="15" hidden="false" customHeight="false" outlineLevel="0" collapsed="false">
      <c r="A2066" s="36" t="s">
        <v>2522</v>
      </c>
      <c r="B2066" s="36" t="s">
        <v>439</v>
      </c>
      <c r="C2066" s="36" t="s">
        <v>130</v>
      </c>
      <c r="D2066" s="36" t="s">
        <v>342</v>
      </c>
      <c r="E2066" s="36" t="n">
        <v>1</v>
      </c>
      <c r="F2066" s="36" t="n">
        <v>54</v>
      </c>
      <c r="G2066" s="36" t="s">
        <v>267</v>
      </c>
      <c r="H2066" s="36" t="s">
        <v>131</v>
      </c>
    </row>
    <row r="2067" customFormat="false" ht="15" hidden="false" customHeight="false" outlineLevel="0" collapsed="false">
      <c r="A2067" s="36" t="s">
        <v>2523</v>
      </c>
      <c r="B2067" s="36" t="s">
        <v>439</v>
      </c>
      <c r="C2067" s="36" t="s">
        <v>375</v>
      </c>
      <c r="D2067" s="36" t="s">
        <v>640</v>
      </c>
      <c r="E2067" s="36" t="n">
        <v>1</v>
      </c>
      <c r="F2067" s="36" t="n">
        <v>150</v>
      </c>
      <c r="G2067" s="36" t="s">
        <v>251</v>
      </c>
      <c r="H2067" s="36" t="s">
        <v>308</v>
      </c>
    </row>
    <row r="2068" customFormat="false" ht="15" hidden="false" customHeight="false" outlineLevel="0" collapsed="false">
      <c r="A2068" s="36" t="s">
        <v>2524</v>
      </c>
      <c r="B2068" s="36" t="s">
        <v>439</v>
      </c>
      <c r="C2068" s="36" t="s">
        <v>254</v>
      </c>
      <c r="D2068" s="36" t="s">
        <v>230</v>
      </c>
      <c r="E2068" s="36" t="n">
        <v>6</v>
      </c>
      <c r="F2068" s="36" t="n">
        <v>80</v>
      </c>
      <c r="G2068" s="36" t="s">
        <v>243</v>
      </c>
      <c r="H2068" s="36" t="s">
        <v>132</v>
      </c>
    </row>
    <row r="2069" customFormat="false" ht="15" hidden="false" customHeight="false" outlineLevel="0" collapsed="false">
      <c r="A2069" s="36" t="s">
        <v>2525</v>
      </c>
      <c r="B2069" s="36" t="s">
        <v>2166</v>
      </c>
      <c r="C2069" s="36" t="s">
        <v>130</v>
      </c>
      <c r="D2069" s="36" t="s">
        <v>172</v>
      </c>
      <c r="E2069" s="36" t="n">
        <v>3</v>
      </c>
      <c r="F2069" s="36" t="n">
        <v>60</v>
      </c>
      <c r="G2069" s="36" t="s">
        <v>246</v>
      </c>
      <c r="H2069" s="36" t="s">
        <v>308</v>
      </c>
    </row>
    <row r="2070" customFormat="false" ht="15" hidden="false" customHeight="false" outlineLevel="0" collapsed="false">
      <c r="A2070" s="36" t="s">
        <v>2526</v>
      </c>
      <c r="B2070" s="36" t="s">
        <v>439</v>
      </c>
      <c r="C2070" s="36" t="s">
        <v>294</v>
      </c>
      <c r="D2070" s="36" t="s">
        <v>165</v>
      </c>
      <c r="E2070" s="36" t="n">
        <v>3</v>
      </c>
      <c r="F2070" s="36" t="s">
        <v>245</v>
      </c>
      <c r="G2070" s="36" t="s">
        <v>251</v>
      </c>
      <c r="H2070" s="36" t="s">
        <v>140</v>
      </c>
    </row>
    <row r="2071" customFormat="false" ht="15" hidden="false" customHeight="false" outlineLevel="0" collapsed="false">
      <c r="A2071" s="36" t="s">
        <v>2527</v>
      </c>
      <c r="B2071" s="36" t="s">
        <v>2166</v>
      </c>
      <c r="C2071" s="36" t="s">
        <v>254</v>
      </c>
      <c r="D2071" s="36" t="s">
        <v>196</v>
      </c>
      <c r="E2071" s="36" t="n">
        <v>6</v>
      </c>
      <c r="F2071" s="36" t="s">
        <v>443</v>
      </c>
      <c r="G2071" s="36" t="s">
        <v>251</v>
      </c>
      <c r="H2071" s="36" t="s">
        <v>146</v>
      </c>
    </row>
    <row r="2072" customFormat="false" ht="15" hidden="false" customHeight="false" outlineLevel="0" collapsed="false">
      <c r="A2072" s="36" t="s">
        <v>2528</v>
      </c>
      <c r="B2072" s="36" t="s">
        <v>439</v>
      </c>
      <c r="C2072" s="36" t="s">
        <v>241</v>
      </c>
      <c r="D2072" s="36" t="s">
        <v>224</v>
      </c>
      <c r="E2072" s="36" t="n">
        <v>6</v>
      </c>
      <c r="F2072" s="36" t="s">
        <v>255</v>
      </c>
      <c r="G2072" s="36" t="s">
        <v>270</v>
      </c>
      <c r="H2072" s="36" t="s">
        <v>247</v>
      </c>
    </row>
    <row r="2073" customFormat="false" ht="15" hidden="false" customHeight="false" outlineLevel="0" collapsed="false">
      <c r="A2073" s="36" t="s">
        <v>2529</v>
      </c>
      <c r="B2073" s="36" t="s">
        <v>439</v>
      </c>
      <c r="C2073" s="36" t="s">
        <v>249</v>
      </c>
      <c r="D2073" s="36" t="s">
        <v>159</v>
      </c>
      <c r="E2073" s="36" t="n">
        <v>1</v>
      </c>
      <c r="F2073" s="36" t="s">
        <v>380</v>
      </c>
      <c r="G2073" s="36" t="s">
        <v>270</v>
      </c>
      <c r="H2073" s="36" t="s">
        <v>146</v>
      </c>
    </row>
    <row r="2074" customFormat="false" ht="15" hidden="false" customHeight="false" outlineLevel="0" collapsed="false">
      <c r="A2074" s="36" t="s">
        <v>2530</v>
      </c>
      <c r="B2074" s="36" t="s">
        <v>2166</v>
      </c>
      <c r="C2074" s="36" t="s">
        <v>241</v>
      </c>
      <c r="D2074" s="36" t="s">
        <v>342</v>
      </c>
      <c r="E2074" s="36" t="n">
        <v>1</v>
      </c>
      <c r="F2074" s="36" t="s">
        <v>344</v>
      </c>
      <c r="G2074" s="36" t="s">
        <v>270</v>
      </c>
      <c r="H2074" s="36" t="s">
        <v>131</v>
      </c>
    </row>
    <row r="2075" customFormat="false" ht="15" hidden="false" customHeight="false" outlineLevel="0" collapsed="false">
      <c r="A2075" s="36" t="s">
        <v>2531</v>
      </c>
      <c r="B2075" s="36" t="s">
        <v>2166</v>
      </c>
      <c r="C2075" s="36" t="s">
        <v>249</v>
      </c>
      <c r="D2075" s="36" t="s">
        <v>159</v>
      </c>
      <c r="E2075" s="36" t="n">
        <v>-1</v>
      </c>
      <c r="F2075" s="36" t="n">
        <v>330</v>
      </c>
      <c r="G2075" s="36" t="s">
        <v>251</v>
      </c>
      <c r="H2075" s="36" t="s">
        <v>247</v>
      </c>
    </row>
    <row r="2076" customFormat="false" ht="15" hidden="false" customHeight="false" outlineLevel="0" collapsed="false">
      <c r="A2076" s="36" t="s">
        <v>2532</v>
      </c>
      <c r="B2076" s="36" t="s">
        <v>439</v>
      </c>
      <c r="C2076" s="36" t="s">
        <v>241</v>
      </c>
      <c r="D2076" s="36" t="s">
        <v>177</v>
      </c>
      <c r="E2076" s="36" t="n">
        <v>2</v>
      </c>
      <c r="F2076" s="36" t="n">
        <v>310</v>
      </c>
      <c r="G2076" s="36" t="s">
        <v>263</v>
      </c>
      <c r="H2076" s="36" t="s">
        <v>140</v>
      </c>
    </row>
    <row r="2077" customFormat="false" ht="15" hidden="false" customHeight="false" outlineLevel="0" collapsed="false">
      <c r="A2077" s="36" t="s">
        <v>2533</v>
      </c>
      <c r="B2077" s="36" t="s">
        <v>2166</v>
      </c>
      <c r="C2077" s="36" t="s">
        <v>42</v>
      </c>
      <c r="D2077" s="36" t="s">
        <v>559</v>
      </c>
      <c r="E2077" s="36" t="n">
        <v>2</v>
      </c>
      <c r="F2077" s="36" t="n">
        <v>130</v>
      </c>
      <c r="G2077" s="36" t="s">
        <v>256</v>
      </c>
      <c r="H2077" s="36" t="s">
        <v>132</v>
      </c>
    </row>
    <row r="2078" customFormat="false" ht="15" hidden="false" customHeight="false" outlineLevel="0" collapsed="false">
      <c r="A2078" s="36" t="s">
        <v>2534</v>
      </c>
      <c r="B2078" s="36" t="s">
        <v>2166</v>
      </c>
      <c r="C2078" s="36" t="s">
        <v>241</v>
      </c>
      <c r="D2078" s="36" t="s">
        <v>190</v>
      </c>
      <c r="E2078" s="36" t="n">
        <v>6</v>
      </c>
      <c r="F2078" s="36" t="s">
        <v>272</v>
      </c>
      <c r="G2078" s="36" t="s">
        <v>251</v>
      </c>
      <c r="H2078" s="36" t="s">
        <v>146</v>
      </c>
    </row>
    <row r="2079" customFormat="false" ht="15" hidden="false" customHeight="false" outlineLevel="0" collapsed="false">
      <c r="A2079" s="36" t="s">
        <v>2535</v>
      </c>
      <c r="B2079" s="36" t="s">
        <v>439</v>
      </c>
      <c r="C2079" s="36" t="s">
        <v>241</v>
      </c>
      <c r="D2079" s="36" t="s">
        <v>225</v>
      </c>
      <c r="E2079" s="36" t="n">
        <v>1</v>
      </c>
      <c r="F2079" s="36" t="n">
        <v>350</v>
      </c>
      <c r="G2079" s="36" t="s">
        <v>267</v>
      </c>
      <c r="H2079" s="36" t="s">
        <v>247</v>
      </c>
    </row>
    <row r="2080" customFormat="false" ht="15" hidden="false" customHeight="false" outlineLevel="0" collapsed="false">
      <c r="A2080" s="36" t="s">
        <v>2536</v>
      </c>
      <c r="B2080" s="36" t="s">
        <v>2166</v>
      </c>
      <c r="C2080" s="36" t="s">
        <v>254</v>
      </c>
      <c r="D2080" s="36" t="s">
        <v>223</v>
      </c>
      <c r="E2080" s="36" t="n">
        <v>1</v>
      </c>
      <c r="F2080" s="36" t="s">
        <v>813</v>
      </c>
      <c r="G2080" s="36" t="s">
        <v>251</v>
      </c>
      <c r="H2080" s="36" t="s">
        <v>132</v>
      </c>
    </row>
    <row r="2081" customFormat="false" ht="15" hidden="false" customHeight="false" outlineLevel="0" collapsed="false">
      <c r="A2081" s="36" t="s">
        <v>2537</v>
      </c>
      <c r="B2081" s="36" t="s">
        <v>439</v>
      </c>
      <c r="C2081" s="36" t="s">
        <v>249</v>
      </c>
      <c r="D2081" s="36" t="s">
        <v>155</v>
      </c>
      <c r="E2081" s="36" t="n">
        <v>3</v>
      </c>
      <c r="F2081" s="36" t="n">
        <v>110</v>
      </c>
      <c r="G2081" s="36" t="s">
        <v>267</v>
      </c>
      <c r="H2081" s="36" t="s">
        <v>321</v>
      </c>
    </row>
    <row r="2082" customFormat="false" ht="15" hidden="false" customHeight="false" outlineLevel="0" collapsed="false">
      <c r="A2082" s="36" t="s">
        <v>2538</v>
      </c>
      <c r="B2082" s="36" t="s">
        <v>439</v>
      </c>
      <c r="C2082" s="36" t="s">
        <v>42</v>
      </c>
      <c r="D2082" s="36" t="s">
        <v>133</v>
      </c>
      <c r="E2082" s="36" t="n">
        <v>2</v>
      </c>
      <c r="F2082" s="36" t="s">
        <v>2391</v>
      </c>
      <c r="G2082" s="36" t="s">
        <v>260</v>
      </c>
      <c r="H2082" s="36" t="s">
        <v>146</v>
      </c>
    </row>
    <row r="2083" customFormat="false" ht="15" hidden="false" customHeight="false" outlineLevel="0" collapsed="false">
      <c r="A2083" s="36" t="s">
        <v>2539</v>
      </c>
      <c r="B2083" s="36" t="s">
        <v>439</v>
      </c>
      <c r="C2083" s="36" t="s">
        <v>294</v>
      </c>
      <c r="D2083" s="36" t="s">
        <v>408</v>
      </c>
      <c r="E2083" s="36" t="s">
        <v>651</v>
      </c>
      <c r="F2083" s="36" t="n">
        <v>50</v>
      </c>
      <c r="G2083" s="36" t="s">
        <v>270</v>
      </c>
      <c r="H2083" s="36" t="s">
        <v>308</v>
      </c>
    </row>
    <row r="2084" customFormat="false" ht="15" hidden="false" customHeight="false" outlineLevel="0" collapsed="false">
      <c r="A2084" s="36" t="s">
        <v>2540</v>
      </c>
      <c r="B2084" s="36" t="s">
        <v>439</v>
      </c>
      <c r="C2084" s="36" t="s">
        <v>130</v>
      </c>
      <c r="D2084" s="36" t="s">
        <v>200</v>
      </c>
      <c r="E2084" s="36" t="n">
        <v>3</v>
      </c>
      <c r="F2084" s="36" t="n">
        <v>80</v>
      </c>
      <c r="G2084" s="36" t="s">
        <v>246</v>
      </c>
      <c r="H2084" s="36" t="s">
        <v>306</v>
      </c>
    </row>
    <row r="2085" customFormat="false" ht="15" hidden="false" customHeight="false" outlineLevel="0" collapsed="false">
      <c r="A2085" s="36" t="s">
        <v>2541</v>
      </c>
      <c r="B2085" s="36" t="s">
        <v>2166</v>
      </c>
      <c r="C2085" s="36" t="s">
        <v>254</v>
      </c>
      <c r="D2085" s="36" t="s">
        <v>157</v>
      </c>
      <c r="E2085" s="36" t="n">
        <v>3</v>
      </c>
      <c r="F2085" s="36" t="n">
        <v>330</v>
      </c>
      <c r="G2085" s="36" t="s">
        <v>246</v>
      </c>
      <c r="H2085" s="36" t="s">
        <v>131</v>
      </c>
    </row>
    <row r="2086" customFormat="false" ht="15" hidden="false" customHeight="false" outlineLevel="0" collapsed="false">
      <c r="A2086" s="36" t="s">
        <v>2542</v>
      </c>
      <c r="B2086" s="36" t="s">
        <v>439</v>
      </c>
      <c r="C2086" s="36" t="s">
        <v>130</v>
      </c>
      <c r="D2086" s="36" t="s">
        <v>998</v>
      </c>
      <c r="E2086" s="36" t="n">
        <v>2</v>
      </c>
      <c r="F2086" s="36" t="n">
        <v>90</v>
      </c>
      <c r="G2086" s="36" t="s">
        <v>270</v>
      </c>
      <c r="H2086" s="36" t="s">
        <v>131</v>
      </c>
    </row>
    <row r="2087" customFormat="false" ht="15" hidden="false" customHeight="false" outlineLevel="0" collapsed="false">
      <c r="A2087" s="36" t="s">
        <v>2543</v>
      </c>
      <c r="B2087" s="36" t="s">
        <v>2166</v>
      </c>
      <c r="C2087" s="36" t="s">
        <v>333</v>
      </c>
      <c r="D2087" s="36" t="s">
        <v>168</v>
      </c>
      <c r="E2087" s="36" t="n">
        <v>1</v>
      </c>
      <c r="F2087" s="36" t="s">
        <v>489</v>
      </c>
      <c r="G2087" s="36" t="s">
        <v>270</v>
      </c>
      <c r="H2087" s="36" t="s">
        <v>132</v>
      </c>
    </row>
    <row r="2088" customFormat="false" ht="15" hidden="false" customHeight="false" outlineLevel="0" collapsed="false">
      <c r="A2088" s="36" t="s">
        <v>2544</v>
      </c>
      <c r="B2088" s="36" t="s">
        <v>2166</v>
      </c>
      <c r="C2088" s="36" t="s">
        <v>333</v>
      </c>
      <c r="D2088" s="36" t="s">
        <v>898</v>
      </c>
      <c r="E2088" s="36" t="n">
        <v>3</v>
      </c>
      <c r="F2088" s="36" t="s">
        <v>489</v>
      </c>
      <c r="G2088" s="36" t="s">
        <v>260</v>
      </c>
      <c r="H2088" s="36" t="s">
        <v>131</v>
      </c>
    </row>
    <row r="2089" customFormat="false" ht="15" hidden="false" customHeight="false" outlineLevel="0" collapsed="false">
      <c r="A2089" s="36" t="s">
        <v>2545</v>
      </c>
      <c r="B2089" s="36" t="s">
        <v>439</v>
      </c>
      <c r="C2089" s="36" t="s">
        <v>335</v>
      </c>
      <c r="D2089" s="36" t="s">
        <v>625</v>
      </c>
      <c r="E2089" s="36" t="n">
        <v>6</v>
      </c>
      <c r="F2089" s="36" t="s">
        <v>420</v>
      </c>
      <c r="G2089" s="36" t="s">
        <v>246</v>
      </c>
      <c r="H2089" s="36" t="s">
        <v>247</v>
      </c>
    </row>
    <row r="2090" customFormat="false" ht="15" hidden="false" customHeight="false" outlineLevel="0" collapsed="false">
      <c r="A2090" s="36" t="s">
        <v>2546</v>
      </c>
      <c r="B2090" s="36" t="s">
        <v>2166</v>
      </c>
      <c r="C2090" s="36" t="s">
        <v>43</v>
      </c>
      <c r="D2090" s="36" t="s">
        <v>280</v>
      </c>
      <c r="E2090" s="36"/>
      <c r="F2090" s="36" t="n">
        <v>330</v>
      </c>
      <c r="G2090" s="36" t="s">
        <v>246</v>
      </c>
      <c r="H2090" s="36" t="s">
        <v>145</v>
      </c>
    </row>
    <row r="2091" customFormat="false" ht="15" hidden="false" customHeight="false" outlineLevel="0" collapsed="false">
      <c r="A2091" s="36" t="s">
        <v>2547</v>
      </c>
      <c r="B2091" s="36" t="s">
        <v>439</v>
      </c>
      <c r="C2091" s="36" t="s">
        <v>43</v>
      </c>
      <c r="D2091" s="36" t="s">
        <v>357</v>
      </c>
      <c r="E2091" s="36" t="n">
        <v>6</v>
      </c>
      <c r="F2091" s="36" t="n">
        <v>330</v>
      </c>
      <c r="G2091" s="36" t="s">
        <v>260</v>
      </c>
      <c r="H2091" s="36" t="s">
        <v>132</v>
      </c>
    </row>
    <row r="2092" customFormat="false" ht="15" hidden="false" customHeight="false" outlineLevel="0" collapsed="false">
      <c r="A2092" s="36" t="s">
        <v>2548</v>
      </c>
      <c r="B2092" s="36" t="s">
        <v>2166</v>
      </c>
      <c r="C2092" s="36" t="s">
        <v>43</v>
      </c>
      <c r="D2092" s="36" t="s">
        <v>159</v>
      </c>
      <c r="E2092" s="36" t="n">
        <v>6</v>
      </c>
      <c r="F2092" s="36" t="n">
        <v>330</v>
      </c>
      <c r="G2092" s="36" t="s">
        <v>251</v>
      </c>
      <c r="H2092" s="36" t="s">
        <v>308</v>
      </c>
    </row>
    <row r="2093" customFormat="false" ht="15" hidden="false" customHeight="false" outlineLevel="0" collapsed="false">
      <c r="A2093" s="36" t="s">
        <v>2549</v>
      </c>
      <c r="B2093" s="36" t="s">
        <v>2166</v>
      </c>
      <c r="C2093" s="36" t="s">
        <v>139</v>
      </c>
      <c r="D2093" s="36" t="s">
        <v>556</v>
      </c>
      <c r="E2093" s="36" t="s">
        <v>395</v>
      </c>
      <c r="F2093" s="36" t="n">
        <v>160</v>
      </c>
      <c r="G2093" s="36" t="s">
        <v>243</v>
      </c>
      <c r="H2093" s="36" t="s">
        <v>140</v>
      </c>
    </row>
    <row r="2094" customFormat="false" ht="15" hidden="false" customHeight="false" outlineLevel="0" collapsed="false">
      <c r="A2094" s="36" t="s">
        <v>2550</v>
      </c>
      <c r="B2094" s="36" t="s">
        <v>2166</v>
      </c>
      <c r="C2094" s="36" t="s">
        <v>335</v>
      </c>
      <c r="D2094" s="36" t="s">
        <v>181</v>
      </c>
      <c r="E2094" s="36" t="n">
        <v>1</v>
      </c>
      <c r="F2094" s="36" t="s">
        <v>749</v>
      </c>
      <c r="G2094" s="36" t="s">
        <v>270</v>
      </c>
      <c r="H2094" s="36" t="s">
        <v>247</v>
      </c>
    </row>
    <row r="2095" customFormat="false" ht="15" hidden="false" customHeight="false" outlineLevel="0" collapsed="false">
      <c r="A2095" s="36" t="s">
        <v>2551</v>
      </c>
      <c r="B2095" s="36" t="s">
        <v>439</v>
      </c>
      <c r="C2095" s="36" t="s">
        <v>139</v>
      </c>
      <c r="D2095" s="36" t="s">
        <v>280</v>
      </c>
      <c r="E2095" s="36" t="n">
        <v>3</v>
      </c>
      <c r="F2095" s="36" t="s">
        <v>1058</v>
      </c>
      <c r="G2095" s="36" t="s">
        <v>263</v>
      </c>
      <c r="H2095" s="36" t="s">
        <v>132</v>
      </c>
    </row>
    <row r="2096" customFormat="false" ht="15" hidden="false" customHeight="false" outlineLevel="0" collapsed="false">
      <c r="A2096" s="36" t="s">
        <v>2552</v>
      </c>
      <c r="B2096" s="36" t="s">
        <v>439</v>
      </c>
      <c r="C2096" s="36" t="s">
        <v>335</v>
      </c>
      <c r="D2096" s="36" t="s">
        <v>2218</v>
      </c>
      <c r="E2096" s="36" t="n">
        <v>3</v>
      </c>
      <c r="F2096" s="36" t="s">
        <v>245</v>
      </c>
      <c r="G2096" s="36" t="s">
        <v>256</v>
      </c>
      <c r="H2096" s="36" t="s">
        <v>321</v>
      </c>
    </row>
    <row r="2097" customFormat="false" ht="15" hidden="false" customHeight="false" outlineLevel="0" collapsed="false">
      <c r="A2097" s="36" t="s">
        <v>2553</v>
      </c>
      <c r="B2097" s="36" t="s">
        <v>2166</v>
      </c>
      <c r="C2097" s="36" t="s">
        <v>333</v>
      </c>
      <c r="D2097" s="36" t="s">
        <v>206</v>
      </c>
      <c r="E2097" s="36" t="n">
        <v>2</v>
      </c>
      <c r="F2097" s="36" t="s">
        <v>369</v>
      </c>
      <c r="G2097" s="36" t="s">
        <v>246</v>
      </c>
      <c r="H2097" s="36" t="s">
        <v>132</v>
      </c>
    </row>
    <row r="2098" customFormat="false" ht="15" hidden="false" customHeight="false" outlineLevel="0" collapsed="false">
      <c r="A2098" s="36" t="s">
        <v>2554</v>
      </c>
      <c r="B2098" s="36" t="s">
        <v>439</v>
      </c>
      <c r="C2098" s="36" t="s">
        <v>43</v>
      </c>
      <c r="D2098" s="36" t="s">
        <v>315</v>
      </c>
      <c r="E2098" s="36" t="n">
        <v>2</v>
      </c>
      <c r="F2098" s="36" t="n">
        <v>450</v>
      </c>
      <c r="G2098" s="36" t="s">
        <v>251</v>
      </c>
      <c r="H2098" s="36" t="s">
        <v>132</v>
      </c>
    </row>
    <row r="2099" customFormat="false" ht="15" hidden="false" customHeight="false" outlineLevel="0" collapsed="false">
      <c r="A2099" s="36" t="s">
        <v>2555</v>
      </c>
      <c r="B2099" s="36" t="s">
        <v>2166</v>
      </c>
      <c r="C2099" s="36" t="s">
        <v>43</v>
      </c>
      <c r="D2099" s="36" t="s">
        <v>478</v>
      </c>
      <c r="E2099" s="36" t="n">
        <v>3</v>
      </c>
      <c r="F2099" s="36" t="s">
        <v>259</v>
      </c>
      <c r="G2099" s="36" t="s">
        <v>256</v>
      </c>
      <c r="H2099" s="36" t="s">
        <v>140</v>
      </c>
    </row>
    <row r="2100" customFormat="false" ht="15" hidden="false" customHeight="false" outlineLevel="0" collapsed="false">
      <c r="A2100" s="36" t="s">
        <v>2556</v>
      </c>
      <c r="B2100" s="36" t="s">
        <v>439</v>
      </c>
      <c r="C2100" s="36" t="s">
        <v>43</v>
      </c>
      <c r="D2100" s="36" t="s">
        <v>215</v>
      </c>
      <c r="E2100" s="36" t="n">
        <v>6</v>
      </c>
      <c r="F2100" s="36" t="s">
        <v>789</v>
      </c>
      <c r="G2100" s="36" t="s">
        <v>256</v>
      </c>
      <c r="H2100" s="36" t="s">
        <v>141</v>
      </c>
    </row>
    <row r="2101" customFormat="false" ht="15" hidden="false" customHeight="false" outlineLevel="0" collapsed="false">
      <c r="A2101" s="36" t="s">
        <v>2557</v>
      </c>
      <c r="B2101" s="36" t="s">
        <v>2166</v>
      </c>
      <c r="C2101" s="36" t="s">
        <v>335</v>
      </c>
      <c r="D2101" s="36" t="s">
        <v>204</v>
      </c>
      <c r="E2101" s="36" t="n">
        <v>1</v>
      </c>
      <c r="F2101" s="36" t="n">
        <v>130</v>
      </c>
      <c r="G2101" s="36" t="s">
        <v>267</v>
      </c>
      <c r="H2101" s="36" t="s">
        <v>141</v>
      </c>
    </row>
    <row r="2102" customFormat="false" ht="15" hidden="false" customHeight="false" outlineLevel="0" collapsed="false">
      <c r="A2102" s="36" t="s">
        <v>2558</v>
      </c>
      <c r="B2102" s="37" t="n">
        <v>46278</v>
      </c>
      <c r="C2102" s="36" t="s">
        <v>139</v>
      </c>
      <c r="D2102" s="36" t="s">
        <v>373</v>
      </c>
      <c r="E2102" s="36" t="n">
        <v>3</v>
      </c>
      <c r="F2102" s="36" t="s">
        <v>363</v>
      </c>
      <c r="G2102" s="36" t="s">
        <v>267</v>
      </c>
      <c r="H2102" s="36" t="s">
        <v>132</v>
      </c>
    </row>
    <row r="2103" customFormat="false" ht="15" hidden="false" customHeight="false" outlineLevel="0" collapsed="false">
      <c r="A2103" s="36" t="s">
        <v>2559</v>
      </c>
      <c r="B2103" s="36" t="s">
        <v>2166</v>
      </c>
      <c r="C2103" s="36" t="s">
        <v>43</v>
      </c>
      <c r="D2103" s="36" t="s">
        <v>171</v>
      </c>
      <c r="E2103" s="36" t="n">
        <v>1</v>
      </c>
      <c r="F2103" s="36" t="s">
        <v>457</v>
      </c>
      <c r="G2103" s="36" t="s">
        <v>263</v>
      </c>
      <c r="H2103" s="36" t="s">
        <v>132</v>
      </c>
    </row>
    <row r="2104" customFormat="false" ht="15" hidden="false" customHeight="false" outlineLevel="0" collapsed="false">
      <c r="A2104" s="36" t="s">
        <v>2560</v>
      </c>
      <c r="B2104" s="36" t="s">
        <v>439</v>
      </c>
      <c r="C2104" s="36" t="s">
        <v>139</v>
      </c>
      <c r="D2104" s="36" t="s">
        <v>200</v>
      </c>
      <c r="E2104" s="36" t="n">
        <v>6</v>
      </c>
      <c r="F2104" s="36" t="s">
        <v>507</v>
      </c>
      <c r="G2104" s="36" t="s">
        <v>243</v>
      </c>
      <c r="H2104" s="36" t="s">
        <v>247</v>
      </c>
    </row>
    <row r="2105" customFormat="false" ht="15" hidden="false" customHeight="false" outlineLevel="0" collapsed="false">
      <c r="A2105" s="36" t="s">
        <v>2561</v>
      </c>
      <c r="B2105" s="36" t="s">
        <v>439</v>
      </c>
      <c r="C2105" s="36" t="s">
        <v>43</v>
      </c>
      <c r="D2105" s="36" t="s">
        <v>487</v>
      </c>
      <c r="E2105" s="36" t="n">
        <v>3</v>
      </c>
      <c r="F2105" s="36" t="s">
        <v>742</v>
      </c>
      <c r="G2105" s="36" t="s">
        <v>267</v>
      </c>
      <c r="H2105" s="36" t="s">
        <v>141</v>
      </c>
    </row>
    <row r="2106" customFormat="false" ht="15" hidden="false" customHeight="false" outlineLevel="0" collapsed="false">
      <c r="A2106" s="36" t="s">
        <v>2562</v>
      </c>
      <c r="B2106" s="36" t="s">
        <v>439</v>
      </c>
      <c r="C2106" s="36" t="s">
        <v>333</v>
      </c>
      <c r="D2106" s="36" t="s">
        <v>174</v>
      </c>
      <c r="E2106" s="36" t="n">
        <v>1</v>
      </c>
      <c r="F2106" s="36" t="n">
        <v>210</v>
      </c>
      <c r="G2106" s="36" t="s">
        <v>267</v>
      </c>
      <c r="H2106" s="36" t="s">
        <v>146</v>
      </c>
    </row>
    <row r="2107" customFormat="false" ht="15" hidden="false" customHeight="false" outlineLevel="0" collapsed="false">
      <c r="A2107" s="36" t="s">
        <v>2563</v>
      </c>
      <c r="B2107" s="36" t="s">
        <v>2166</v>
      </c>
      <c r="C2107" s="36" t="s">
        <v>139</v>
      </c>
      <c r="D2107" s="36" t="s">
        <v>327</v>
      </c>
      <c r="E2107" s="36" t="n">
        <v>2</v>
      </c>
      <c r="F2107" s="36" t="s">
        <v>505</v>
      </c>
      <c r="G2107" s="36" t="s">
        <v>260</v>
      </c>
      <c r="H2107" s="36" t="s">
        <v>141</v>
      </c>
    </row>
    <row r="2108" customFormat="false" ht="15" hidden="false" customHeight="false" outlineLevel="0" collapsed="false">
      <c r="A2108" s="36" t="s">
        <v>2564</v>
      </c>
      <c r="B2108" s="36" t="s">
        <v>439</v>
      </c>
      <c r="C2108" s="36" t="s">
        <v>139</v>
      </c>
      <c r="D2108" s="36" t="s">
        <v>184</v>
      </c>
      <c r="E2108" s="36" t="n">
        <v>6</v>
      </c>
      <c r="F2108" s="36" t="s">
        <v>557</v>
      </c>
      <c r="G2108" s="36" t="s">
        <v>267</v>
      </c>
      <c r="H2108" s="36" t="s">
        <v>132</v>
      </c>
    </row>
    <row r="2109" customFormat="false" ht="15" hidden="false" customHeight="false" outlineLevel="0" collapsed="false">
      <c r="A2109" s="36" t="s">
        <v>2565</v>
      </c>
      <c r="B2109" s="36" t="s">
        <v>439</v>
      </c>
      <c r="C2109" s="36" t="s">
        <v>43</v>
      </c>
      <c r="D2109" s="36" t="s">
        <v>188</v>
      </c>
      <c r="E2109" s="36" t="n">
        <v>1</v>
      </c>
      <c r="F2109" s="36" t="s">
        <v>313</v>
      </c>
      <c r="G2109" s="36" t="s">
        <v>243</v>
      </c>
      <c r="H2109" s="36" t="s">
        <v>141</v>
      </c>
    </row>
    <row r="2110" customFormat="false" ht="15" hidden="false" customHeight="false" outlineLevel="0" collapsed="false">
      <c r="A2110" s="36" t="s">
        <v>2566</v>
      </c>
      <c r="B2110" s="36" t="s">
        <v>439</v>
      </c>
      <c r="C2110" s="36" t="s">
        <v>43</v>
      </c>
      <c r="D2110" s="36" t="s">
        <v>327</v>
      </c>
      <c r="E2110" s="36" t="n">
        <v>1</v>
      </c>
      <c r="F2110" s="36" t="s">
        <v>505</v>
      </c>
      <c r="G2110" s="36" t="s">
        <v>256</v>
      </c>
      <c r="H2110" s="36" t="s">
        <v>141</v>
      </c>
    </row>
    <row r="2111" customFormat="false" ht="15" hidden="false" customHeight="false" outlineLevel="0" collapsed="false">
      <c r="A2111" s="36" t="s">
        <v>2567</v>
      </c>
      <c r="B2111" s="36" t="s">
        <v>2166</v>
      </c>
      <c r="C2111" s="36" t="s">
        <v>43</v>
      </c>
      <c r="D2111" s="36" t="s">
        <v>191</v>
      </c>
      <c r="E2111" s="36" t="n">
        <v>2</v>
      </c>
      <c r="F2111" s="36" t="s">
        <v>578</v>
      </c>
      <c r="G2111" s="36" t="s">
        <v>270</v>
      </c>
      <c r="H2111" s="36" t="s">
        <v>132</v>
      </c>
    </row>
    <row r="2112" customFormat="false" ht="15" hidden="false" customHeight="false" outlineLevel="0" collapsed="false">
      <c r="A2112" s="36" t="s">
        <v>2568</v>
      </c>
      <c r="B2112" s="36" t="s">
        <v>2166</v>
      </c>
      <c r="C2112" s="36" t="s">
        <v>43</v>
      </c>
      <c r="D2112" s="36" t="s">
        <v>173</v>
      </c>
      <c r="E2112" s="36" t="n">
        <v>2</v>
      </c>
      <c r="F2112" s="36" t="s">
        <v>936</v>
      </c>
      <c r="G2112" s="36" t="s">
        <v>246</v>
      </c>
      <c r="H2112" s="36" t="s">
        <v>141</v>
      </c>
    </row>
    <row r="2113" customFormat="false" ht="15" hidden="false" customHeight="false" outlineLevel="0" collapsed="false">
      <c r="A2113" s="36" t="s">
        <v>2569</v>
      </c>
      <c r="B2113" s="36" t="s">
        <v>439</v>
      </c>
      <c r="C2113" s="36" t="s">
        <v>43</v>
      </c>
      <c r="D2113" s="36" t="s">
        <v>189</v>
      </c>
      <c r="E2113" s="36" t="n">
        <v>1</v>
      </c>
      <c r="F2113" s="36" t="n">
        <v>150</v>
      </c>
      <c r="G2113" s="36" t="s">
        <v>260</v>
      </c>
      <c r="H2113" s="36" t="s">
        <v>132</v>
      </c>
    </row>
    <row r="2114" customFormat="false" ht="15" hidden="false" customHeight="false" outlineLevel="0" collapsed="false">
      <c r="A2114" s="36" t="s">
        <v>2570</v>
      </c>
      <c r="B2114" s="37" t="n">
        <v>46278</v>
      </c>
      <c r="C2114" s="36" t="s">
        <v>333</v>
      </c>
      <c r="D2114" s="36" t="s">
        <v>382</v>
      </c>
      <c r="E2114" s="36" t="n">
        <v>1</v>
      </c>
      <c r="F2114" s="36" t="n">
        <v>130</v>
      </c>
      <c r="G2114" s="36" t="s">
        <v>260</v>
      </c>
      <c r="H2114" s="36" t="s">
        <v>247</v>
      </c>
    </row>
    <row r="2115" customFormat="false" ht="15" hidden="false" customHeight="false" outlineLevel="0" collapsed="false">
      <c r="A2115" s="36" t="s">
        <v>2571</v>
      </c>
      <c r="B2115" s="36" t="s">
        <v>2166</v>
      </c>
      <c r="C2115" s="36" t="s">
        <v>43</v>
      </c>
      <c r="D2115" s="36" t="s">
        <v>337</v>
      </c>
      <c r="E2115" s="36" t="n">
        <v>1</v>
      </c>
      <c r="F2115" s="36" t="n">
        <v>50</v>
      </c>
      <c r="G2115" s="36" t="s">
        <v>243</v>
      </c>
      <c r="H2115" s="36" t="s">
        <v>132</v>
      </c>
    </row>
    <row r="2116" customFormat="false" ht="15" hidden="false" customHeight="false" outlineLevel="0" collapsed="false">
      <c r="A2116" s="36" t="s">
        <v>2572</v>
      </c>
      <c r="B2116" s="36" t="s">
        <v>439</v>
      </c>
      <c r="C2116" s="36" t="s">
        <v>43</v>
      </c>
      <c r="D2116" s="36" t="s">
        <v>290</v>
      </c>
      <c r="E2116" s="36" t="n">
        <v>3</v>
      </c>
      <c r="F2116" s="36" t="s">
        <v>1856</v>
      </c>
      <c r="G2116" s="36" t="s">
        <v>270</v>
      </c>
      <c r="H2116" s="36" t="s">
        <v>247</v>
      </c>
    </row>
    <row r="2117" customFormat="false" ht="15" hidden="false" customHeight="false" outlineLevel="0" collapsed="false">
      <c r="A2117" s="36" t="s">
        <v>1497</v>
      </c>
      <c r="B2117" s="36" t="s">
        <v>1210</v>
      </c>
      <c r="C2117" s="36" t="s">
        <v>419</v>
      </c>
      <c r="D2117" s="36" t="s">
        <v>214</v>
      </c>
      <c r="E2117" s="36" t="n">
        <v>1</v>
      </c>
      <c r="F2117" s="36" t="s">
        <v>317</v>
      </c>
      <c r="G2117" s="36" t="s">
        <v>260</v>
      </c>
      <c r="H2117" s="36" t="s">
        <v>141</v>
      </c>
    </row>
    <row r="2118" customFormat="false" ht="15" hidden="false" customHeight="false" outlineLevel="0" collapsed="false">
      <c r="A2118" s="36" t="s">
        <v>2573</v>
      </c>
      <c r="B2118" s="36" t="s">
        <v>439</v>
      </c>
      <c r="C2118" s="36" t="s">
        <v>43</v>
      </c>
      <c r="D2118" s="36" t="s">
        <v>798</v>
      </c>
      <c r="E2118" s="36" t="n">
        <v>3</v>
      </c>
      <c r="F2118" s="36" t="s">
        <v>255</v>
      </c>
      <c r="G2118" s="36" t="s">
        <v>263</v>
      </c>
      <c r="H2118" s="36" t="s">
        <v>321</v>
      </c>
    </row>
    <row r="2119" customFormat="false" ht="15" hidden="false" customHeight="false" outlineLevel="0" collapsed="false">
      <c r="A2119" s="36" t="s">
        <v>2574</v>
      </c>
      <c r="B2119" s="36" t="s">
        <v>2166</v>
      </c>
      <c r="C2119" s="36" t="s">
        <v>43</v>
      </c>
      <c r="D2119" s="36" t="s">
        <v>437</v>
      </c>
      <c r="E2119" s="36" t="n">
        <v>2</v>
      </c>
      <c r="F2119" s="36" t="s">
        <v>380</v>
      </c>
      <c r="G2119" s="36" t="s">
        <v>256</v>
      </c>
      <c r="H2119" s="36" t="s">
        <v>321</v>
      </c>
    </row>
    <row r="2120" customFormat="false" ht="15" hidden="false" customHeight="false" outlineLevel="0" collapsed="false">
      <c r="A2120" s="36" t="s">
        <v>2575</v>
      </c>
      <c r="B2120" s="37" t="n">
        <v>46278</v>
      </c>
      <c r="C2120" s="36" t="s">
        <v>139</v>
      </c>
      <c r="D2120" s="36" t="s">
        <v>202</v>
      </c>
      <c r="E2120" s="36" t="n">
        <v>6</v>
      </c>
      <c r="F2120" s="36" t="n">
        <v>140</v>
      </c>
      <c r="G2120" s="36" t="s">
        <v>256</v>
      </c>
      <c r="H2120" s="36" t="s">
        <v>145</v>
      </c>
    </row>
    <row r="2121" customFormat="false" ht="15" hidden="false" customHeight="false" outlineLevel="0" collapsed="false">
      <c r="A2121" s="36" t="s">
        <v>2576</v>
      </c>
      <c r="B2121" s="36" t="s">
        <v>2166</v>
      </c>
      <c r="C2121" s="36" t="s">
        <v>43</v>
      </c>
      <c r="D2121" s="36" t="s">
        <v>215</v>
      </c>
      <c r="E2121" s="36" t="n">
        <v>3</v>
      </c>
      <c r="F2121" s="36" t="s">
        <v>584</v>
      </c>
      <c r="G2121" s="36" t="s">
        <v>267</v>
      </c>
      <c r="H2121" s="36" t="s">
        <v>321</v>
      </c>
    </row>
    <row r="2122" customFormat="false" ht="15" hidden="false" customHeight="false" outlineLevel="0" collapsed="false">
      <c r="A2122" s="36" t="s">
        <v>2577</v>
      </c>
      <c r="B2122" s="36" t="s">
        <v>439</v>
      </c>
      <c r="C2122" s="36" t="s">
        <v>43</v>
      </c>
      <c r="D2122" s="36" t="s">
        <v>783</v>
      </c>
      <c r="E2122" s="36" t="n">
        <v>1</v>
      </c>
      <c r="F2122" s="36" t="n">
        <v>130</v>
      </c>
      <c r="G2122" s="36" t="s">
        <v>260</v>
      </c>
      <c r="H2122" s="36" t="s">
        <v>141</v>
      </c>
    </row>
    <row r="2123" customFormat="false" ht="15" hidden="false" customHeight="false" outlineLevel="0" collapsed="false">
      <c r="A2123" s="36" t="s">
        <v>2578</v>
      </c>
      <c r="B2123" s="36" t="s">
        <v>2166</v>
      </c>
      <c r="C2123" s="36" t="s">
        <v>43</v>
      </c>
      <c r="D2123" s="36" t="s">
        <v>175</v>
      </c>
      <c r="E2123" s="36" t="n">
        <v>2</v>
      </c>
      <c r="F2123" s="36" t="n">
        <v>120</v>
      </c>
      <c r="G2123" s="36" t="s">
        <v>251</v>
      </c>
      <c r="H2123" s="36" t="s">
        <v>321</v>
      </c>
    </row>
    <row r="2124" customFormat="false" ht="15" hidden="false" customHeight="false" outlineLevel="0" collapsed="false">
      <c r="A2124" s="36" t="s">
        <v>2579</v>
      </c>
      <c r="B2124" s="36" t="s">
        <v>439</v>
      </c>
      <c r="C2124" s="36" t="s">
        <v>43</v>
      </c>
      <c r="D2124" s="36" t="s">
        <v>195</v>
      </c>
      <c r="E2124" s="36" t="n">
        <v>2</v>
      </c>
      <c r="F2124" s="36" t="s">
        <v>344</v>
      </c>
      <c r="G2124" s="36" t="s">
        <v>260</v>
      </c>
      <c r="H2124" s="36" t="s">
        <v>146</v>
      </c>
    </row>
    <row r="2125" customFormat="false" ht="15" hidden="false" customHeight="false" outlineLevel="0" collapsed="false">
      <c r="A2125" s="36" t="s">
        <v>2580</v>
      </c>
      <c r="B2125" s="36" t="s">
        <v>2166</v>
      </c>
      <c r="C2125" s="36" t="s">
        <v>139</v>
      </c>
      <c r="D2125" s="36" t="s">
        <v>357</v>
      </c>
      <c r="E2125" s="36" t="n">
        <v>1</v>
      </c>
      <c r="F2125" s="36" t="s">
        <v>380</v>
      </c>
      <c r="G2125" s="36" t="s">
        <v>267</v>
      </c>
      <c r="H2125" s="36" t="s">
        <v>132</v>
      </c>
    </row>
    <row r="2126" customFormat="false" ht="15" hidden="false" customHeight="false" outlineLevel="0" collapsed="false">
      <c r="A2126" s="36" t="s">
        <v>2581</v>
      </c>
      <c r="B2126" s="36" t="s">
        <v>439</v>
      </c>
      <c r="C2126" s="36" t="s">
        <v>43</v>
      </c>
      <c r="D2126" s="36" t="s">
        <v>152</v>
      </c>
      <c r="E2126" s="36" t="n">
        <v>1</v>
      </c>
      <c r="F2126" s="36" t="n">
        <v>40</v>
      </c>
      <c r="G2126" s="36" t="s">
        <v>270</v>
      </c>
      <c r="H2126" s="36" t="s">
        <v>132</v>
      </c>
    </row>
    <row r="2127" customFormat="false" ht="15" hidden="false" customHeight="false" outlineLevel="0" collapsed="false">
      <c r="A2127" s="36" t="s">
        <v>2582</v>
      </c>
      <c r="B2127" s="36" t="s">
        <v>439</v>
      </c>
      <c r="C2127" s="36" t="s">
        <v>43</v>
      </c>
      <c r="D2127" s="36" t="s">
        <v>202</v>
      </c>
      <c r="E2127" s="36" t="n">
        <v>-2</v>
      </c>
      <c r="F2127" s="36" t="s">
        <v>509</v>
      </c>
      <c r="G2127" s="36" t="s">
        <v>260</v>
      </c>
      <c r="H2127" s="36" t="s">
        <v>145</v>
      </c>
    </row>
    <row r="2128" customFormat="false" ht="15" hidden="false" customHeight="false" outlineLevel="0" collapsed="false">
      <c r="A2128" s="36" t="s">
        <v>2583</v>
      </c>
      <c r="B2128" s="36" t="s">
        <v>2166</v>
      </c>
      <c r="C2128" s="36" t="s">
        <v>375</v>
      </c>
      <c r="D2128" s="36" t="s">
        <v>167</v>
      </c>
      <c r="E2128" s="36" t="n">
        <v>1</v>
      </c>
      <c r="F2128" s="36" t="n">
        <v>110</v>
      </c>
      <c r="G2128" s="36" t="s">
        <v>267</v>
      </c>
      <c r="H2128" s="36" t="s">
        <v>321</v>
      </c>
    </row>
    <row r="2129" customFormat="false" ht="15" hidden="false" customHeight="false" outlineLevel="0" collapsed="false">
      <c r="A2129" s="36" t="s">
        <v>2584</v>
      </c>
      <c r="B2129" s="36" t="s">
        <v>439</v>
      </c>
      <c r="C2129" s="36" t="s">
        <v>44</v>
      </c>
      <c r="D2129" s="36" t="s">
        <v>172</v>
      </c>
      <c r="E2129" s="36" t="s">
        <v>282</v>
      </c>
      <c r="F2129" s="36" t="n">
        <v>60</v>
      </c>
      <c r="G2129" s="36" t="s">
        <v>251</v>
      </c>
      <c r="H2129" s="36" t="s">
        <v>146</v>
      </c>
    </row>
    <row r="2130" customFormat="false" ht="15" hidden="false" customHeight="false" outlineLevel="0" collapsed="false">
      <c r="A2130" s="36" t="s">
        <v>2585</v>
      </c>
      <c r="B2130" s="36" t="s">
        <v>439</v>
      </c>
      <c r="C2130" s="36" t="s">
        <v>144</v>
      </c>
      <c r="D2130" s="36" t="s">
        <v>148</v>
      </c>
      <c r="E2130" s="36" t="n">
        <v>6</v>
      </c>
      <c r="F2130" s="36" t="n">
        <v>330</v>
      </c>
      <c r="G2130" s="36" t="s">
        <v>260</v>
      </c>
      <c r="H2130" s="36" t="s">
        <v>247</v>
      </c>
    </row>
    <row r="2131" customFormat="false" ht="15" hidden="false" customHeight="false" outlineLevel="0" collapsed="false">
      <c r="A2131" s="36" t="s">
        <v>2586</v>
      </c>
      <c r="B2131" s="36" t="s">
        <v>2166</v>
      </c>
      <c r="C2131" s="36" t="s">
        <v>44</v>
      </c>
      <c r="D2131" s="36" t="s">
        <v>148</v>
      </c>
      <c r="E2131" s="36" t="n">
        <v>1</v>
      </c>
      <c r="F2131" s="36" t="n">
        <v>330</v>
      </c>
      <c r="G2131" s="36" t="s">
        <v>256</v>
      </c>
      <c r="H2131" s="36" t="s">
        <v>321</v>
      </c>
    </row>
    <row r="2132" customFormat="false" ht="15" hidden="false" customHeight="false" outlineLevel="0" collapsed="false">
      <c r="A2132" s="36" t="s">
        <v>2587</v>
      </c>
      <c r="B2132" s="36" t="s">
        <v>2166</v>
      </c>
      <c r="C2132" s="36" t="s">
        <v>554</v>
      </c>
      <c r="D2132" s="36" t="s">
        <v>160</v>
      </c>
      <c r="E2132" s="36" t="n">
        <v>1</v>
      </c>
      <c r="F2132" s="36" t="s">
        <v>505</v>
      </c>
      <c r="G2132" s="36" t="s">
        <v>260</v>
      </c>
      <c r="H2132" s="36" t="s">
        <v>146</v>
      </c>
    </row>
    <row r="2133" customFormat="false" ht="15" hidden="false" customHeight="false" outlineLevel="0" collapsed="false">
      <c r="A2133" s="36" t="s">
        <v>2588</v>
      </c>
      <c r="B2133" s="37" t="n">
        <v>46278</v>
      </c>
      <c r="C2133" s="36" t="s">
        <v>44</v>
      </c>
      <c r="D2133" s="36" t="s">
        <v>152</v>
      </c>
      <c r="E2133" s="36" t="n">
        <v>3</v>
      </c>
      <c r="F2133" s="36" t="n">
        <v>40</v>
      </c>
      <c r="G2133" s="36" t="s">
        <v>270</v>
      </c>
      <c r="H2133" s="36" t="s">
        <v>131</v>
      </c>
    </row>
    <row r="2134" customFormat="false" ht="15" hidden="false" customHeight="false" outlineLevel="0" collapsed="false">
      <c r="A2134" s="36" t="s">
        <v>2589</v>
      </c>
      <c r="B2134" s="36" t="s">
        <v>439</v>
      </c>
      <c r="C2134" s="36" t="s">
        <v>44</v>
      </c>
      <c r="D2134" s="36" t="s">
        <v>176</v>
      </c>
      <c r="E2134" s="36" t="n">
        <v>2</v>
      </c>
      <c r="F2134" s="36" t="n">
        <v>90</v>
      </c>
      <c r="G2134" s="36" t="s">
        <v>246</v>
      </c>
      <c r="H2134" s="36" t="s">
        <v>132</v>
      </c>
    </row>
    <row r="2135" customFormat="false" ht="15" hidden="false" customHeight="false" outlineLevel="0" collapsed="false">
      <c r="A2135" s="36" t="s">
        <v>2590</v>
      </c>
      <c r="B2135" s="36" t="s">
        <v>2166</v>
      </c>
      <c r="C2135" s="36" t="s">
        <v>44</v>
      </c>
      <c r="D2135" s="36" t="s">
        <v>798</v>
      </c>
      <c r="E2135" s="36" t="n">
        <v>1</v>
      </c>
      <c r="F2135" s="36" t="s">
        <v>255</v>
      </c>
      <c r="G2135" s="36" t="s">
        <v>251</v>
      </c>
      <c r="H2135" s="36" t="s">
        <v>145</v>
      </c>
    </row>
    <row r="2136" customFormat="false" ht="15" hidden="false" customHeight="false" outlineLevel="0" collapsed="false">
      <c r="A2136" s="36" t="s">
        <v>2523</v>
      </c>
      <c r="B2136" s="36" t="s">
        <v>439</v>
      </c>
      <c r="C2136" s="36" t="s">
        <v>375</v>
      </c>
      <c r="D2136" s="36" t="s">
        <v>640</v>
      </c>
      <c r="E2136" s="36" t="n">
        <v>1</v>
      </c>
      <c r="F2136" s="36" t="n">
        <v>150</v>
      </c>
      <c r="G2136" s="36" t="s">
        <v>251</v>
      </c>
      <c r="H2136" s="36" t="s">
        <v>308</v>
      </c>
    </row>
    <row r="2137" customFormat="false" ht="15" hidden="false" customHeight="false" outlineLevel="0" collapsed="false">
      <c r="A2137" s="36" t="s">
        <v>2591</v>
      </c>
      <c r="B2137" s="36" t="s">
        <v>2166</v>
      </c>
      <c r="C2137" s="36" t="s">
        <v>368</v>
      </c>
      <c r="D2137" s="36" t="s">
        <v>234</v>
      </c>
      <c r="E2137" s="36" t="n">
        <v>2</v>
      </c>
      <c r="F2137" s="36" t="s">
        <v>420</v>
      </c>
      <c r="G2137" s="36" t="s">
        <v>256</v>
      </c>
      <c r="H2137" s="36" t="s">
        <v>247</v>
      </c>
    </row>
    <row r="2138" customFormat="false" ht="15" hidden="false" customHeight="false" outlineLevel="0" collapsed="false">
      <c r="A2138" s="36" t="s">
        <v>2592</v>
      </c>
      <c r="B2138" s="36" t="s">
        <v>439</v>
      </c>
      <c r="C2138" s="36" t="s">
        <v>44</v>
      </c>
      <c r="D2138" s="36" t="s">
        <v>183</v>
      </c>
      <c r="E2138" s="36" t="n">
        <v>-6</v>
      </c>
      <c r="F2138" s="36" t="s">
        <v>563</v>
      </c>
      <c r="G2138" s="36" t="s">
        <v>263</v>
      </c>
      <c r="H2138" s="36" t="s">
        <v>321</v>
      </c>
    </row>
    <row r="2139" customFormat="false" ht="15" hidden="false" customHeight="false" outlineLevel="0" collapsed="false">
      <c r="A2139" s="36" t="s">
        <v>2593</v>
      </c>
      <c r="B2139" s="37" t="n">
        <v>46278</v>
      </c>
      <c r="C2139" s="36" t="s">
        <v>368</v>
      </c>
      <c r="D2139" s="36" t="s">
        <v>205</v>
      </c>
      <c r="E2139" s="36" t="n">
        <v>6</v>
      </c>
      <c r="F2139" s="36" t="s">
        <v>384</v>
      </c>
      <c r="G2139" s="36" t="s">
        <v>267</v>
      </c>
      <c r="H2139" s="36" t="s">
        <v>146</v>
      </c>
    </row>
    <row r="2140" customFormat="false" ht="15" hidden="false" customHeight="false" outlineLevel="0" collapsed="false">
      <c r="A2140" s="36" t="s">
        <v>2594</v>
      </c>
      <c r="B2140" s="37" t="n">
        <v>46278</v>
      </c>
      <c r="C2140" s="36" t="s">
        <v>375</v>
      </c>
      <c r="D2140" s="36" t="s">
        <v>172</v>
      </c>
      <c r="E2140" s="36" t="n">
        <v>2</v>
      </c>
      <c r="F2140" s="36" t="s">
        <v>344</v>
      </c>
      <c r="G2140" s="36" t="s">
        <v>256</v>
      </c>
      <c r="H2140" s="36" t="s">
        <v>132</v>
      </c>
    </row>
    <row r="2141" customFormat="false" ht="15" hidden="false" customHeight="false" outlineLevel="0" collapsed="false">
      <c r="A2141" s="36" t="s">
        <v>2595</v>
      </c>
      <c r="B2141" s="36" t="s">
        <v>2166</v>
      </c>
      <c r="C2141" s="36" t="s">
        <v>44</v>
      </c>
      <c r="D2141" s="36" t="s">
        <v>206</v>
      </c>
      <c r="E2141" s="36" t="n">
        <v>2</v>
      </c>
      <c r="F2141" s="36" t="s">
        <v>369</v>
      </c>
      <c r="G2141" s="36" t="s">
        <v>246</v>
      </c>
      <c r="H2141" s="36" t="s">
        <v>132</v>
      </c>
    </row>
    <row r="2142" customFormat="false" ht="15" hidden="false" customHeight="false" outlineLevel="0" collapsed="false">
      <c r="A2142" s="36" t="s">
        <v>2596</v>
      </c>
      <c r="B2142" s="36" t="s">
        <v>2166</v>
      </c>
      <c r="C2142" s="36" t="s">
        <v>554</v>
      </c>
      <c r="D2142" s="36" t="s">
        <v>211</v>
      </c>
      <c r="E2142" s="36" t="n">
        <v>2</v>
      </c>
      <c r="F2142" s="36" t="s">
        <v>502</v>
      </c>
      <c r="G2142" s="36" t="s">
        <v>256</v>
      </c>
      <c r="H2142" s="36" t="s">
        <v>131</v>
      </c>
    </row>
    <row r="2143" customFormat="false" ht="15" hidden="false" customHeight="false" outlineLevel="0" collapsed="false">
      <c r="A2143" s="36" t="s">
        <v>2597</v>
      </c>
      <c r="B2143" s="37" t="n">
        <v>46278</v>
      </c>
      <c r="C2143" s="36" t="s">
        <v>144</v>
      </c>
      <c r="D2143" s="36" t="s">
        <v>220</v>
      </c>
      <c r="E2143" s="36" t="n">
        <v>1</v>
      </c>
      <c r="F2143" s="36" t="s">
        <v>272</v>
      </c>
      <c r="G2143" s="36" t="s">
        <v>263</v>
      </c>
      <c r="H2143" s="36" t="s">
        <v>132</v>
      </c>
    </row>
    <row r="2144" customFormat="false" ht="15" hidden="false" customHeight="false" outlineLevel="0" collapsed="false">
      <c r="A2144" s="36" t="s">
        <v>2598</v>
      </c>
      <c r="B2144" s="36" t="s">
        <v>439</v>
      </c>
      <c r="C2144" s="36" t="s">
        <v>554</v>
      </c>
      <c r="D2144" s="36" t="s">
        <v>280</v>
      </c>
      <c r="E2144" s="36" t="n">
        <v>2</v>
      </c>
      <c r="F2144" s="36" t="n">
        <v>330</v>
      </c>
      <c r="G2144" s="36" t="s">
        <v>267</v>
      </c>
      <c r="H2144" s="36" t="s">
        <v>247</v>
      </c>
    </row>
    <row r="2145" customFormat="false" ht="15" hidden="false" customHeight="false" outlineLevel="0" collapsed="false">
      <c r="A2145" s="36" t="s">
        <v>2599</v>
      </c>
      <c r="B2145" s="36" t="s">
        <v>439</v>
      </c>
      <c r="C2145" s="36" t="s">
        <v>44</v>
      </c>
      <c r="D2145" s="36" t="s">
        <v>976</v>
      </c>
      <c r="E2145" s="36" t="n">
        <v>6</v>
      </c>
      <c r="F2145" s="36" t="s">
        <v>317</v>
      </c>
      <c r="G2145" s="36" t="s">
        <v>267</v>
      </c>
      <c r="H2145" s="36" t="s">
        <v>321</v>
      </c>
    </row>
    <row r="2146" customFormat="false" ht="15" hidden="false" customHeight="false" outlineLevel="0" collapsed="false">
      <c r="A2146" s="36" t="s">
        <v>2600</v>
      </c>
      <c r="B2146" s="36" t="s">
        <v>439</v>
      </c>
      <c r="C2146" s="36" t="s">
        <v>375</v>
      </c>
      <c r="D2146" s="36" t="s">
        <v>798</v>
      </c>
      <c r="E2146" s="36" t="n">
        <v>1</v>
      </c>
      <c r="F2146" s="36" t="n">
        <v>130</v>
      </c>
      <c r="G2146" s="36" t="s">
        <v>251</v>
      </c>
      <c r="H2146" s="36" t="s">
        <v>306</v>
      </c>
    </row>
    <row r="2147" customFormat="false" ht="15" hidden="false" customHeight="false" outlineLevel="0" collapsed="false">
      <c r="A2147" s="36" t="s">
        <v>2601</v>
      </c>
      <c r="B2147" s="36" t="s">
        <v>2166</v>
      </c>
      <c r="C2147" s="36" t="s">
        <v>44</v>
      </c>
      <c r="D2147" s="36" t="s">
        <v>357</v>
      </c>
      <c r="E2147" s="36" t="n">
        <v>2</v>
      </c>
      <c r="F2147" s="36" t="n">
        <v>330</v>
      </c>
      <c r="G2147" s="36" t="s">
        <v>260</v>
      </c>
      <c r="H2147" s="36" t="s">
        <v>146</v>
      </c>
    </row>
    <row r="2148" customFormat="false" ht="15" hidden="false" customHeight="false" outlineLevel="0" collapsed="false">
      <c r="A2148" s="36" t="s">
        <v>2602</v>
      </c>
      <c r="B2148" s="37" t="n">
        <v>46278</v>
      </c>
      <c r="C2148" s="36" t="s">
        <v>44</v>
      </c>
      <c r="D2148" s="36" t="s">
        <v>170</v>
      </c>
      <c r="E2148" s="36" t="n">
        <v>2</v>
      </c>
      <c r="F2148" s="36" t="n">
        <v>360</v>
      </c>
      <c r="G2148" s="36" t="s">
        <v>251</v>
      </c>
      <c r="H2148" s="36" t="s">
        <v>306</v>
      </c>
    </row>
    <row r="2149" customFormat="false" ht="15" hidden="false" customHeight="false" outlineLevel="0" collapsed="false">
      <c r="A2149" s="36" t="s">
        <v>2603</v>
      </c>
      <c r="B2149" s="36" t="s">
        <v>2166</v>
      </c>
      <c r="C2149" s="36" t="s">
        <v>368</v>
      </c>
      <c r="D2149" s="36" t="s">
        <v>148</v>
      </c>
      <c r="E2149" s="36" t="n">
        <v>1</v>
      </c>
      <c r="F2149" s="36" t="n">
        <v>330</v>
      </c>
      <c r="G2149" s="36" t="s">
        <v>243</v>
      </c>
      <c r="H2149" s="36" t="s">
        <v>132</v>
      </c>
    </row>
    <row r="2150" customFormat="false" ht="15" hidden="false" customHeight="false" outlineLevel="0" collapsed="false">
      <c r="A2150" s="36" t="s">
        <v>2604</v>
      </c>
      <c r="B2150" s="36" t="s">
        <v>2166</v>
      </c>
      <c r="C2150" s="36" t="s">
        <v>368</v>
      </c>
      <c r="D2150" s="36" t="s">
        <v>1062</v>
      </c>
      <c r="E2150" s="36" t="n">
        <v>1</v>
      </c>
      <c r="F2150" s="36" t="s">
        <v>313</v>
      </c>
      <c r="G2150" s="36" t="s">
        <v>263</v>
      </c>
      <c r="H2150" s="36" t="s">
        <v>321</v>
      </c>
    </row>
    <row r="2151" customFormat="false" ht="15" hidden="false" customHeight="false" outlineLevel="0" collapsed="false">
      <c r="A2151" s="36" t="s">
        <v>2605</v>
      </c>
      <c r="B2151" s="36" t="s">
        <v>439</v>
      </c>
      <c r="C2151" s="36" t="s">
        <v>44</v>
      </c>
      <c r="D2151" s="36" t="s">
        <v>192</v>
      </c>
      <c r="E2151" s="36" t="n">
        <v>4</v>
      </c>
      <c r="F2151" s="36" t="s">
        <v>1943</v>
      </c>
      <c r="G2151" s="36" t="s">
        <v>256</v>
      </c>
      <c r="H2151" s="36" t="s">
        <v>308</v>
      </c>
    </row>
    <row r="2152" customFormat="false" ht="15" hidden="false" customHeight="false" outlineLevel="0" collapsed="false">
      <c r="A2152" s="36" t="s">
        <v>2606</v>
      </c>
      <c r="B2152" s="36" t="s">
        <v>439</v>
      </c>
      <c r="C2152" s="36" t="s">
        <v>368</v>
      </c>
      <c r="D2152" s="36" t="s">
        <v>181</v>
      </c>
      <c r="E2152" s="36" t="n">
        <v>4</v>
      </c>
      <c r="F2152" s="36" t="n">
        <v>450</v>
      </c>
      <c r="G2152" s="36" t="s">
        <v>246</v>
      </c>
      <c r="H2152" s="36" t="s">
        <v>141</v>
      </c>
    </row>
    <row r="2153" customFormat="false" ht="15" hidden="false" customHeight="false" outlineLevel="0" collapsed="false">
      <c r="A2153" s="36" t="s">
        <v>2607</v>
      </c>
      <c r="B2153" s="36" t="s">
        <v>2166</v>
      </c>
      <c r="C2153" s="36" t="s">
        <v>368</v>
      </c>
      <c r="D2153" s="36" t="s">
        <v>337</v>
      </c>
      <c r="E2153" s="36" t="n">
        <v>1</v>
      </c>
      <c r="F2153" s="36" t="s">
        <v>547</v>
      </c>
      <c r="G2153" s="36" t="s">
        <v>267</v>
      </c>
      <c r="H2153" s="36" t="s">
        <v>132</v>
      </c>
    </row>
    <row r="2154" customFormat="false" ht="15" hidden="false" customHeight="false" outlineLevel="0" collapsed="false">
      <c r="A2154" s="36" t="s">
        <v>2608</v>
      </c>
      <c r="B2154" s="36" t="s">
        <v>439</v>
      </c>
      <c r="C2154" s="36" t="s">
        <v>554</v>
      </c>
      <c r="D2154" s="36" t="s">
        <v>169</v>
      </c>
      <c r="E2154" s="36" t="n">
        <v>1</v>
      </c>
      <c r="F2154" s="36" t="n">
        <v>65</v>
      </c>
      <c r="G2154" s="36" t="s">
        <v>246</v>
      </c>
      <c r="H2154" s="36" t="s">
        <v>141</v>
      </c>
    </row>
    <row r="2155" customFormat="false" ht="15" hidden="false" customHeight="false" outlineLevel="0" collapsed="false">
      <c r="A2155" s="36" t="s">
        <v>2609</v>
      </c>
      <c r="B2155" s="36" t="s">
        <v>439</v>
      </c>
      <c r="C2155" s="36" t="s">
        <v>554</v>
      </c>
      <c r="D2155" s="36" t="s">
        <v>408</v>
      </c>
      <c r="E2155" s="36" t="n">
        <v>3</v>
      </c>
      <c r="F2155" s="36" t="n">
        <v>50</v>
      </c>
      <c r="G2155" s="36" t="s">
        <v>256</v>
      </c>
      <c r="H2155" s="36" t="s">
        <v>145</v>
      </c>
    </row>
    <row r="2156" customFormat="false" ht="15" hidden="false" customHeight="false" outlineLevel="0" collapsed="false">
      <c r="A2156" s="36" t="s">
        <v>2610</v>
      </c>
      <c r="B2156" s="36" t="s">
        <v>2166</v>
      </c>
      <c r="C2156" s="36" t="s">
        <v>375</v>
      </c>
      <c r="D2156" s="36" t="s">
        <v>405</v>
      </c>
      <c r="E2156" s="36" t="n">
        <v>2</v>
      </c>
      <c r="F2156" s="36" t="s">
        <v>380</v>
      </c>
      <c r="G2156" s="36" t="s">
        <v>243</v>
      </c>
      <c r="H2156" s="36" t="s">
        <v>140</v>
      </c>
    </row>
    <row r="2157" customFormat="false" ht="15" hidden="false" customHeight="false" outlineLevel="0" collapsed="false">
      <c r="A2157" s="36" t="s">
        <v>2611</v>
      </c>
      <c r="B2157" s="36" t="s">
        <v>439</v>
      </c>
      <c r="C2157" s="36" t="s">
        <v>375</v>
      </c>
      <c r="D2157" s="36" t="s">
        <v>226</v>
      </c>
      <c r="E2157" s="36" t="s">
        <v>282</v>
      </c>
      <c r="F2157" s="36" t="s">
        <v>627</v>
      </c>
      <c r="G2157" s="36" t="s">
        <v>256</v>
      </c>
      <c r="H2157" s="36" t="s">
        <v>132</v>
      </c>
    </row>
    <row r="2158" customFormat="false" ht="15" hidden="false" customHeight="false" outlineLevel="0" collapsed="false">
      <c r="A2158" s="36" t="s">
        <v>2612</v>
      </c>
      <c r="B2158" s="36" t="s">
        <v>439</v>
      </c>
      <c r="C2158" s="36" t="s">
        <v>375</v>
      </c>
      <c r="D2158" s="36" t="s">
        <v>204</v>
      </c>
      <c r="E2158" s="36" t="n">
        <v>4</v>
      </c>
      <c r="F2158" s="36" t="s">
        <v>724</v>
      </c>
      <c r="G2158" s="36" t="s">
        <v>246</v>
      </c>
      <c r="H2158" s="36" t="s">
        <v>141</v>
      </c>
    </row>
    <row r="2159" customFormat="false" ht="15" hidden="false" customHeight="false" outlineLevel="0" collapsed="false">
      <c r="A2159" s="36" t="s">
        <v>2613</v>
      </c>
      <c r="B2159" s="36" t="s">
        <v>439</v>
      </c>
      <c r="C2159" s="36" t="s">
        <v>144</v>
      </c>
      <c r="D2159" s="36" t="s">
        <v>161</v>
      </c>
      <c r="E2159" s="36" t="n">
        <v>2</v>
      </c>
      <c r="F2159" s="36" t="s">
        <v>363</v>
      </c>
      <c r="G2159" s="36" t="s">
        <v>267</v>
      </c>
      <c r="H2159" s="36" t="s">
        <v>146</v>
      </c>
    </row>
    <row r="2160" customFormat="false" ht="15" hidden="false" customHeight="false" outlineLevel="0" collapsed="false">
      <c r="A2160" s="36" t="s">
        <v>2614</v>
      </c>
      <c r="B2160" s="36" t="s">
        <v>2166</v>
      </c>
      <c r="C2160" s="36" t="s">
        <v>144</v>
      </c>
      <c r="D2160" s="36" t="s">
        <v>405</v>
      </c>
      <c r="E2160" s="36" t="n">
        <v>1</v>
      </c>
      <c r="F2160" s="36" t="s">
        <v>380</v>
      </c>
      <c r="G2160" s="36" t="s">
        <v>270</v>
      </c>
      <c r="H2160" s="36" t="s">
        <v>141</v>
      </c>
    </row>
    <row r="2161" customFormat="false" ht="15" hidden="false" customHeight="false" outlineLevel="0" collapsed="false">
      <c r="A2161" s="36" t="s">
        <v>2615</v>
      </c>
      <c r="B2161" s="37" t="n">
        <v>46278</v>
      </c>
      <c r="C2161" s="36" t="s">
        <v>554</v>
      </c>
      <c r="D2161" s="36" t="s">
        <v>377</v>
      </c>
      <c r="E2161" s="36" t="s">
        <v>403</v>
      </c>
      <c r="F2161" s="36" t="s">
        <v>378</v>
      </c>
      <c r="G2161" s="36" t="s">
        <v>246</v>
      </c>
      <c r="H2161" s="36" t="s">
        <v>308</v>
      </c>
    </row>
    <row r="2162" customFormat="false" ht="15" hidden="false" customHeight="false" outlineLevel="0" collapsed="false">
      <c r="A2162" s="36" t="s">
        <v>2616</v>
      </c>
      <c r="B2162" s="36" t="s">
        <v>439</v>
      </c>
      <c r="C2162" s="36" t="s">
        <v>44</v>
      </c>
      <c r="D2162" s="36" t="s">
        <v>173</v>
      </c>
      <c r="E2162" s="36" t="n">
        <v>3</v>
      </c>
      <c r="F2162" s="36" t="s">
        <v>936</v>
      </c>
      <c r="G2162" s="36" t="s">
        <v>243</v>
      </c>
      <c r="H2162" s="36" t="s">
        <v>146</v>
      </c>
    </row>
    <row r="2163" customFormat="false" ht="15" hidden="false" customHeight="false" outlineLevel="0" collapsed="false">
      <c r="A2163" s="36" t="s">
        <v>2617</v>
      </c>
      <c r="B2163" s="36" t="s">
        <v>439</v>
      </c>
      <c r="C2163" s="36" t="s">
        <v>419</v>
      </c>
      <c r="D2163" s="36" t="s">
        <v>217</v>
      </c>
      <c r="E2163" s="36" t="n">
        <v>1</v>
      </c>
      <c r="F2163" s="36" t="s">
        <v>422</v>
      </c>
      <c r="G2163" s="36" t="s">
        <v>263</v>
      </c>
      <c r="H2163" s="36" t="s">
        <v>141</v>
      </c>
    </row>
    <row r="2164" customFormat="false" ht="15" hidden="false" customHeight="false" outlineLevel="0" collapsed="false">
      <c r="A2164" s="36" t="s">
        <v>2618</v>
      </c>
      <c r="B2164" s="36" t="s">
        <v>2166</v>
      </c>
      <c r="C2164" s="36" t="s">
        <v>153</v>
      </c>
      <c r="D2164" s="36" t="s">
        <v>154</v>
      </c>
      <c r="E2164" s="36" t="n">
        <v>2</v>
      </c>
      <c r="F2164" s="36" t="n">
        <v>330</v>
      </c>
      <c r="G2164" s="36" t="s">
        <v>246</v>
      </c>
      <c r="H2164" s="36" t="s">
        <v>141</v>
      </c>
    </row>
    <row r="2165" customFormat="false" ht="15" hidden="false" customHeight="false" outlineLevel="0" collapsed="false">
      <c r="A2165" s="36" t="s">
        <v>438</v>
      </c>
      <c r="B2165" s="36" t="s">
        <v>439</v>
      </c>
      <c r="C2165" s="36" t="s">
        <v>419</v>
      </c>
      <c r="D2165" s="36" t="s">
        <v>440</v>
      </c>
      <c r="E2165" s="36" t="n">
        <v>1</v>
      </c>
      <c r="F2165" s="36" t="n">
        <v>380</v>
      </c>
      <c r="G2165" s="36" t="s">
        <v>270</v>
      </c>
      <c r="H2165" s="36" t="s">
        <v>141</v>
      </c>
    </row>
    <row r="2166" customFormat="false" ht="15" hidden="false" customHeight="false" outlineLevel="0" collapsed="false">
      <c r="A2166" s="36" t="s">
        <v>2619</v>
      </c>
      <c r="B2166" s="36" t="s">
        <v>439</v>
      </c>
      <c r="C2166" s="36" t="s">
        <v>45</v>
      </c>
      <c r="D2166" s="36" t="s">
        <v>205</v>
      </c>
      <c r="E2166" s="36" t="n">
        <v>1</v>
      </c>
      <c r="F2166" s="36" t="s">
        <v>384</v>
      </c>
      <c r="G2166" s="36" t="s">
        <v>256</v>
      </c>
      <c r="H2166" s="36" t="s">
        <v>321</v>
      </c>
    </row>
    <row r="2167" customFormat="false" ht="15" hidden="false" customHeight="false" outlineLevel="0" collapsed="false">
      <c r="A2167" s="36" t="s">
        <v>2620</v>
      </c>
      <c r="B2167" s="36" t="s">
        <v>439</v>
      </c>
      <c r="C2167" s="36" t="s">
        <v>45</v>
      </c>
      <c r="D2167" s="36" t="s">
        <v>931</v>
      </c>
      <c r="E2167" s="36" t="n">
        <v>1</v>
      </c>
      <c r="F2167" s="36" t="s">
        <v>665</v>
      </c>
      <c r="G2167" s="36" t="s">
        <v>270</v>
      </c>
      <c r="H2167" s="36" t="s">
        <v>131</v>
      </c>
    </row>
    <row r="2168" customFormat="false" ht="15" hidden="false" customHeight="false" outlineLevel="0" collapsed="false">
      <c r="A2168" s="36" t="s">
        <v>2621</v>
      </c>
      <c r="B2168" s="36" t="s">
        <v>439</v>
      </c>
      <c r="C2168" s="36" t="s">
        <v>153</v>
      </c>
      <c r="D2168" s="36" t="s">
        <v>312</v>
      </c>
      <c r="E2168" s="36" t="n">
        <v>2</v>
      </c>
      <c r="F2168" s="36" t="s">
        <v>422</v>
      </c>
      <c r="G2168" s="36" t="s">
        <v>243</v>
      </c>
      <c r="H2168" s="36" t="s">
        <v>141</v>
      </c>
    </row>
    <row r="2169" customFormat="false" ht="15" hidden="false" customHeight="false" outlineLevel="0" collapsed="false">
      <c r="A2169" s="36" t="s">
        <v>2622</v>
      </c>
      <c r="B2169" s="36" t="s">
        <v>439</v>
      </c>
      <c r="C2169" s="36" t="s">
        <v>45</v>
      </c>
      <c r="D2169" s="36" t="s">
        <v>216</v>
      </c>
      <c r="E2169" s="36" t="n">
        <v>2</v>
      </c>
      <c r="F2169" s="36" t="n">
        <v>50</v>
      </c>
      <c r="G2169" s="36" t="s">
        <v>243</v>
      </c>
      <c r="H2169" s="36" t="s">
        <v>132</v>
      </c>
    </row>
    <row r="2170" customFormat="false" ht="15" hidden="false" customHeight="false" outlineLevel="0" collapsed="false">
      <c r="A2170" s="36" t="s">
        <v>2623</v>
      </c>
      <c r="B2170" s="36" t="s">
        <v>2166</v>
      </c>
      <c r="C2170" s="36" t="s">
        <v>45</v>
      </c>
      <c r="D2170" s="36" t="s">
        <v>304</v>
      </c>
      <c r="E2170" s="36" t="n">
        <v>6</v>
      </c>
      <c r="F2170" s="36" t="n">
        <v>190</v>
      </c>
      <c r="G2170" s="36" t="s">
        <v>263</v>
      </c>
      <c r="H2170" s="36" t="s">
        <v>141</v>
      </c>
    </row>
    <row r="2171" customFormat="false" ht="15" hidden="false" customHeight="false" outlineLevel="0" collapsed="false">
      <c r="A2171" s="36" t="s">
        <v>2624</v>
      </c>
      <c r="B2171" s="36" t="s">
        <v>439</v>
      </c>
      <c r="C2171" s="36" t="s">
        <v>45</v>
      </c>
      <c r="D2171" s="36" t="s">
        <v>232</v>
      </c>
      <c r="E2171" s="36" t="n">
        <v>4</v>
      </c>
      <c r="F2171" s="36" t="n">
        <v>140</v>
      </c>
      <c r="G2171" s="36" t="s">
        <v>260</v>
      </c>
      <c r="H2171" s="36" t="s">
        <v>131</v>
      </c>
    </row>
    <row r="2172" customFormat="false" ht="15" hidden="false" customHeight="false" outlineLevel="0" collapsed="false">
      <c r="A2172" s="36" t="s">
        <v>2625</v>
      </c>
      <c r="B2172" s="36" t="s">
        <v>2166</v>
      </c>
      <c r="C2172" s="36" t="s">
        <v>45</v>
      </c>
      <c r="D2172" s="36" t="s">
        <v>169</v>
      </c>
      <c r="E2172" s="36" t="n">
        <v>6</v>
      </c>
      <c r="F2172" s="36" t="s">
        <v>457</v>
      </c>
      <c r="G2172" s="36" t="s">
        <v>256</v>
      </c>
      <c r="H2172" s="36" t="s">
        <v>132</v>
      </c>
    </row>
    <row r="2173" customFormat="false" ht="15" hidden="false" customHeight="false" outlineLevel="0" collapsed="false">
      <c r="A2173" s="36" t="s">
        <v>2626</v>
      </c>
      <c r="B2173" s="36" t="s">
        <v>439</v>
      </c>
      <c r="C2173" s="36" t="s">
        <v>45</v>
      </c>
      <c r="D2173" s="36" t="s">
        <v>187</v>
      </c>
      <c r="E2173" s="36" t="s">
        <v>282</v>
      </c>
      <c r="F2173" s="36" t="n">
        <v>150</v>
      </c>
      <c r="G2173" s="36" t="s">
        <v>267</v>
      </c>
      <c r="H2173" s="36" t="s">
        <v>131</v>
      </c>
    </row>
    <row r="2174" customFormat="false" ht="15" hidden="false" customHeight="false" outlineLevel="0" collapsed="false">
      <c r="A2174" s="36" t="s">
        <v>2627</v>
      </c>
      <c r="B2174" s="36" t="s">
        <v>439</v>
      </c>
      <c r="C2174" s="36" t="s">
        <v>45</v>
      </c>
      <c r="D2174" s="36" t="s">
        <v>691</v>
      </c>
      <c r="E2174" s="36" t="n">
        <v>1</v>
      </c>
      <c r="F2174" s="36" t="n">
        <v>80</v>
      </c>
      <c r="G2174" s="36" t="s">
        <v>270</v>
      </c>
      <c r="H2174" s="36" t="s">
        <v>141</v>
      </c>
    </row>
    <row r="2175" customFormat="false" ht="15" hidden="false" customHeight="false" outlineLevel="0" collapsed="false">
      <c r="A2175" s="36" t="s">
        <v>2165</v>
      </c>
      <c r="B2175" s="36" t="s">
        <v>2166</v>
      </c>
      <c r="C2175" s="36" t="s">
        <v>45</v>
      </c>
      <c r="D2175" s="36" t="s">
        <v>290</v>
      </c>
      <c r="E2175" s="36" t="n">
        <v>6</v>
      </c>
      <c r="F2175" s="36" t="s">
        <v>363</v>
      </c>
      <c r="G2175" s="36" t="s">
        <v>263</v>
      </c>
      <c r="H2175" s="36" t="s">
        <v>132</v>
      </c>
    </row>
    <row r="2176" customFormat="false" ht="15" hidden="false" customHeight="false" outlineLevel="0" collapsed="false">
      <c r="A2176" s="36" t="s">
        <v>2628</v>
      </c>
      <c r="B2176" s="36" t="s">
        <v>439</v>
      </c>
      <c r="C2176" s="36" t="s">
        <v>153</v>
      </c>
      <c r="D2176" s="36" t="s">
        <v>167</v>
      </c>
      <c r="E2176" s="36" t="n">
        <v>2</v>
      </c>
      <c r="F2176" s="36" t="n">
        <v>110</v>
      </c>
      <c r="G2176" s="36" t="s">
        <v>251</v>
      </c>
      <c r="H2176" s="36" t="s">
        <v>131</v>
      </c>
    </row>
    <row r="2177" customFormat="false" ht="15" hidden="false" customHeight="false" outlineLevel="0" collapsed="false">
      <c r="A2177" s="36" t="s">
        <v>2162</v>
      </c>
      <c r="B2177" s="36" t="s">
        <v>709</v>
      </c>
      <c r="C2177" s="36" t="s">
        <v>43</v>
      </c>
      <c r="D2177" s="36" t="s">
        <v>299</v>
      </c>
      <c r="E2177" s="36" t="n">
        <v>1</v>
      </c>
      <c r="F2177" s="36" t="s">
        <v>319</v>
      </c>
      <c r="G2177" s="36" t="s">
        <v>243</v>
      </c>
      <c r="H2177" s="36" t="s">
        <v>131</v>
      </c>
    </row>
    <row r="2178" customFormat="false" ht="15" hidden="false" customHeight="false" outlineLevel="0" collapsed="false">
      <c r="A2178" s="36" t="s">
        <v>2629</v>
      </c>
      <c r="B2178" s="36" t="s">
        <v>439</v>
      </c>
      <c r="C2178" s="36" t="s">
        <v>419</v>
      </c>
      <c r="D2178" s="36" t="s">
        <v>204</v>
      </c>
      <c r="E2178" s="36" t="n">
        <v>6</v>
      </c>
      <c r="F2178" s="36" t="n">
        <v>130</v>
      </c>
      <c r="G2178" s="36" t="s">
        <v>246</v>
      </c>
      <c r="H2178" s="36" t="s">
        <v>132</v>
      </c>
    </row>
    <row r="2179" customFormat="false" ht="15" hidden="false" customHeight="false" outlineLevel="0" collapsed="false">
      <c r="A2179" s="36" t="s">
        <v>2630</v>
      </c>
      <c r="B2179" s="36" t="s">
        <v>439</v>
      </c>
      <c r="C2179" s="36" t="s">
        <v>45</v>
      </c>
      <c r="D2179" s="36" t="s">
        <v>218</v>
      </c>
      <c r="E2179" s="36" t="n">
        <v>1</v>
      </c>
      <c r="F2179" s="36" t="s">
        <v>313</v>
      </c>
      <c r="G2179" s="36" t="s">
        <v>260</v>
      </c>
      <c r="H2179" s="36" t="s">
        <v>145</v>
      </c>
    </row>
    <row r="2180" customFormat="false" ht="15" hidden="false" customHeight="false" outlineLevel="0" collapsed="false">
      <c r="A2180" s="36" t="s">
        <v>2631</v>
      </c>
      <c r="B2180" s="36" t="s">
        <v>439</v>
      </c>
      <c r="C2180" s="36" t="s">
        <v>153</v>
      </c>
      <c r="D2180" s="36" t="s">
        <v>161</v>
      </c>
      <c r="E2180" s="36" t="n">
        <v>3</v>
      </c>
      <c r="F2180" s="36" t="n">
        <v>40</v>
      </c>
      <c r="G2180" s="36" t="s">
        <v>267</v>
      </c>
      <c r="H2180" s="36" t="s">
        <v>131</v>
      </c>
    </row>
    <row r="2181" customFormat="false" ht="15" hidden="false" customHeight="false" outlineLevel="0" collapsed="false">
      <c r="A2181" s="36" t="s">
        <v>2632</v>
      </c>
      <c r="B2181" s="36" t="s">
        <v>439</v>
      </c>
      <c r="C2181" s="36" t="s">
        <v>45</v>
      </c>
      <c r="D2181" s="36" t="s">
        <v>218</v>
      </c>
      <c r="E2181" s="36" t="n">
        <v>4</v>
      </c>
      <c r="F2181" s="36" t="s">
        <v>1436</v>
      </c>
      <c r="G2181" s="36" t="s">
        <v>246</v>
      </c>
      <c r="H2181" s="36" t="s">
        <v>146</v>
      </c>
    </row>
    <row r="2182" customFormat="false" ht="15" hidden="false" customHeight="false" outlineLevel="0" collapsed="false">
      <c r="A2182" s="36" t="s">
        <v>2633</v>
      </c>
      <c r="B2182" s="36" t="s">
        <v>439</v>
      </c>
      <c r="C2182" s="36" t="s">
        <v>417</v>
      </c>
      <c r="D2182" s="36" t="s">
        <v>864</v>
      </c>
      <c r="E2182" s="36" t="n">
        <v>2</v>
      </c>
      <c r="F2182" s="36" t="n">
        <v>40</v>
      </c>
      <c r="G2182" s="36" t="s">
        <v>256</v>
      </c>
      <c r="H2182" s="36" t="s">
        <v>321</v>
      </c>
    </row>
    <row r="2183" customFormat="false" ht="15" hidden="false" customHeight="false" outlineLevel="0" collapsed="false">
      <c r="A2183" s="36" t="s">
        <v>2634</v>
      </c>
      <c r="B2183" s="36" t="s">
        <v>439</v>
      </c>
      <c r="C2183" s="36" t="s">
        <v>45</v>
      </c>
      <c r="D2183" s="36" t="s">
        <v>435</v>
      </c>
      <c r="E2183" s="36" t="n">
        <v>4</v>
      </c>
      <c r="F2183" s="36" t="n">
        <v>65</v>
      </c>
      <c r="G2183" s="36" t="s">
        <v>251</v>
      </c>
      <c r="H2183" s="36" t="s">
        <v>321</v>
      </c>
    </row>
    <row r="2184" customFormat="false" ht="15" hidden="false" customHeight="false" outlineLevel="0" collapsed="false">
      <c r="A2184" s="36" t="s">
        <v>2635</v>
      </c>
      <c r="B2184" s="36" t="s">
        <v>2166</v>
      </c>
      <c r="C2184" s="36" t="s">
        <v>45</v>
      </c>
      <c r="D2184" s="36" t="s">
        <v>171</v>
      </c>
      <c r="E2184" s="36" t="n">
        <v>1</v>
      </c>
      <c r="F2184" s="36" t="n">
        <v>65</v>
      </c>
      <c r="G2184" s="36" t="s">
        <v>251</v>
      </c>
      <c r="H2184" s="36" t="s">
        <v>146</v>
      </c>
    </row>
    <row r="2185" customFormat="false" ht="15" hidden="false" customHeight="false" outlineLevel="0" collapsed="false">
      <c r="A2185" s="36" t="s">
        <v>2636</v>
      </c>
      <c r="B2185" s="36" t="s">
        <v>439</v>
      </c>
      <c r="C2185" s="36" t="s">
        <v>45</v>
      </c>
      <c r="D2185" s="36" t="s">
        <v>159</v>
      </c>
      <c r="E2185" s="36" t="n">
        <v>1</v>
      </c>
      <c r="F2185" s="36" t="s">
        <v>275</v>
      </c>
      <c r="G2185" s="36" t="s">
        <v>263</v>
      </c>
      <c r="H2185" s="36" t="s">
        <v>308</v>
      </c>
    </row>
    <row r="2186" customFormat="false" ht="15" hidden="false" customHeight="false" outlineLevel="0" collapsed="false">
      <c r="A2186" s="36" t="s">
        <v>2637</v>
      </c>
      <c r="B2186" s="36" t="s">
        <v>2166</v>
      </c>
      <c r="C2186" s="36" t="s">
        <v>45</v>
      </c>
      <c r="D2186" s="36" t="s">
        <v>377</v>
      </c>
      <c r="E2186" s="36" t="n">
        <v>2</v>
      </c>
      <c r="F2186" s="36" t="s">
        <v>378</v>
      </c>
      <c r="G2186" s="36" t="s">
        <v>251</v>
      </c>
      <c r="H2186" s="36" t="s">
        <v>146</v>
      </c>
    </row>
    <row r="2187" customFormat="false" ht="15" hidden="false" customHeight="false" outlineLevel="0" collapsed="false">
      <c r="A2187" s="36" t="s">
        <v>2638</v>
      </c>
      <c r="B2187" s="37" t="n">
        <v>46278</v>
      </c>
      <c r="C2187" s="36" t="s">
        <v>45</v>
      </c>
      <c r="D2187" s="36" t="s">
        <v>158</v>
      </c>
      <c r="E2187" s="36" t="n">
        <v>1</v>
      </c>
      <c r="F2187" s="36" t="s">
        <v>457</v>
      </c>
      <c r="G2187" s="36" t="s">
        <v>263</v>
      </c>
      <c r="H2187" s="36" t="s">
        <v>247</v>
      </c>
    </row>
    <row r="2188" customFormat="false" ht="15" hidden="false" customHeight="false" outlineLevel="0" collapsed="false">
      <c r="A2188" s="36" t="s">
        <v>2639</v>
      </c>
      <c r="B2188" s="36" t="s">
        <v>439</v>
      </c>
      <c r="C2188" s="36" t="s">
        <v>153</v>
      </c>
      <c r="D2188" s="36" t="s">
        <v>640</v>
      </c>
      <c r="E2188" s="36" t="n">
        <v>1</v>
      </c>
      <c r="F2188" s="36" t="n">
        <v>150</v>
      </c>
      <c r="G2188" s="36" t="s">
        <v>263</v>
      </c>
      <c r="H2188" s="36" t="s">
        <v>308</v>
      </c>
    </row>
    <row r="2189" customFormat="false" ht="15" hidden="false" customHeight="false" outlineLevel="0" collapsed="false">
      <c r="A2189" s="36" t="s">
        <v>2640</v>
      </c>
      <c r="B2189" s="36" t="s">
        <v>2166</v>
      </c>
      <c r="C2189" s="36" t="s">
        <v>419</v>
      </c>
      <c r="D2189" s="36" t="s">
        <v>196</v>
      </c>
      <c r="E2189" s="36" t="n">
        <v>2</v>
      </c>
      <c r="F2189" s="36" t="s">
        <v>1188</v>
      </c>
      <c r="G2189" s="36" t="s">
        <v>260</v>
      </c>
      <c r="H2189" s="36" t="s">
        <v>141</v>
      </c>
    </row>
    <row r="2190" customFormat="false" ht="15" hidden="false" customHeight="false" outlineLevel="0" collapsed="false">
      <c r="A2190" s="36" t="s">
        <v>2641</v>
      </c>
      <c r="B2190" s="36" t="s">
        <v>439</v>
      </c>
      <c r="C2190" s="36" t="s">
        <v>153</v>
      </c>
      <c r="D2190" s="36" t="s">
        <v>295</v>
      </c>
      <c r="E2190" s="36" t="n">
        <v>3</v>
      </c>
      <c r="F2190" s="36" t="n">
        <v>150</v>
      </c>
      <c r="G2190" s="36" t="s">
        <v>263</v>
      </c>
      <c r="H2190" s="36" t="s">
        <v>308</v>
      </c>
    </row>
    <row r="2191" customFormat="false" ht="15" hidden="false" customHeight="false" outlineLevel="0" collapsed="false">
      <c r="A2191" s="36" t="s">
        <v>2642</v>
      </c>
      <c r="B2191" s="36" t="s">
        <v>2166</v>
      </c>
      <c r="C2191" s="36" t="s">
        <v>45</v>
      </c>
      <c r="D2191" s="36" t="s">
        <v>215</v>
      </c>
      <c r="E2191" s="36" t="n">
        <v>1</v>
      </c>
      <c r="F2191" s="36" t="n">
        <v>45</v>
      </c>
      <c r="G2191" s="36" t="s">
        <v>251</v>
      </c>
      <c r="H2191" s="36" t="s">
        <v>141</v>
      </c>
    </row>
    <row r="2192" customFormat="false" ht="15" hidden="false" customHeight="false" outlineLevel="0" collapsed="false">
      <c r="A2192" s="36" t="s">
        <v>2643</v>
      </c>
      <c r="B2192" s="36" t="s">
        <v>2166</v>
      </c>
      <c r="C2192" s="36" t="s">
        <v>45</v>
      </c>
      <c r="D2192" s="36" t="s">
        <v>727</v>
      </c>
      <c r="E2192" s="36" t="n">
        <v>1</v>
      </c>
      <c r="F2192" s="36" t="s">
        <v>457</v>
      </c>
      <c r="G2192" s="36" t="s">
        <v>267</v>
      </c>
      <c r="H2192" s="36" t="s">
        <v>131</v>
      </c>
    </row>
    <row r="2193" customFormat="false" ht="15" hidden="false" customHeight="false" outlineLevel="0" collapsed="false">
      <c r="A2193" s="36" t="s">
        <v>2644</v>
      </c>
      <c r="B2193" s="36" t="s">
        <v>439</v>
      </c>
      <c r="C2193" s="36" t="s">
        <v>46</v>
      </c>
      <c r="D2193" s="36" t="s">
        <v>169</v>
      </c>
      <c r="E2193" s="36" t="n">
        <v>2</v>
      </c>
      <c r="F2193" s="36" t="n">
        <v>65</v>
      </c>
      <c r="G2193" s="36" t="s">
        <v>246</v>
      </c>
      <c r="H2193" s="36" t="s">
        <v>132</v>
      </c>
    </row>
    <row r="2194" customFormat="false" ht="15" hidden="false" customHeight="false" outlineLevel="0" collapsed="false">
      <c r="A2194" s="36" t="s">
        <v>2645</v>
      </c>
      <c r="B2194" s="36" t="s">
        <v>439</v>
      </c>
      <c r="C2194" s="36" t="s">
        <v>442</v>
      </c>
      <c r="D2194" s="36" t="s">
        <v>373</v>
      </c>
      <c r="E2194" s="36" t="n">
        <v>6</v>
      </c>
      <c r="F2194" s="36" t="s">
        <v>363</v>
      </c>
      <c r="G2194" s="36" t="s">
        <v>256</v>
      </c>
      <c r="H2194" s="36" t="s">
        <v>321</v>
      </c>
    </row>
    <row r="2195" customFormat="false" ht="15" hidden="false" customHeight="false" outlineLevel="0" collapsed="false">
      <c r="A2195" s="36" t="s">
        <v>2646</v>
      </c>
      <c r="B2195" s="37" t="n">
        <v>46278</v>
      </c>
      <c r="C2195" s="36" t="s">
        <v>46</v>
      </c>
      <c r="D2195" s="36" t="s">
        <v>181</v>
      </c>
      <c r="E2195" s="36" t="n">
        <v>4</v>
      </c>
      <c r="F2195" s="36" t="n">
        <v>450</v>
      </c>
      <c r="G2195" s="36" t="s">
        <v>256</v>
      </c>
      <c r="H2195" s="36" t="s">
        <v>141</v>
      </c>
    </row>
    <row r="2196" customFormat="false" ht="15" hidden="false" customHeight="false" outlineLevel="0" collapsed="false">
      <c r="A2196" s="36" t="s">
        <v>2647</v>
      </c>
      <c r="B2196" s="36" t="s">
        <v>2166</v>
      </c>
      <c r="C2196" s="36" t="s">
        <v>46</v>
      </c>
      <c r="D2196" s="36" t="s">
        <v>696</v>
      </c>
      <c r="E2196" s="36" t="n">
        <v>4</v>
      </c>
      <c r="F2196" s="36" t="n">
        <v>190</v>
      </c>
      <c r="G2196" s="36" t="s">
        <v>246</v>
      </c>
      <c r="H2196" s="36" t="s">
        <v>132</v>
      </c>
    </row>
    <row r="2197" customFormat="false" ht="15" hidden="false" customHeight="false" outlineLevel="0" collapsed="false">
      <c r="A2197" s="36" t="s">
        <v>2648</v>
      </c>
      <c r="B2197" s="37" t="n">
        <v>46278</v>
      </c>
      <c r="C2197" s="36" t="s">
        <v>156</v>
      </c>
      <c r="D2197" s="36" t="s">
        <v>186</v>
      </c>
      <c r="E2197" s="36" t="n">
        <v>4</v>
      </c>
      <c r="F2197" s="36" t="s">
        <v>584</v>
      </c>
      <c r="G2197" s="36" t="s">
        <v>243</v>
      </c>
      <c r="H2197" s="36" t="s">
        <v>141</v>
      </c>
    </row>
    <row r="2198" customFormat="false" ht="15" hidden="false" customHeight="false" outlineLevel="0" collapsed="false">
      <c r="A2198" s="36" t="s">
        <v>2649</v>
      </c>
      <c r="B2198" s="36" t="s">
        <v>2166</v>
      </c>
      <c r="C2198" s="36" t="s">
        <v>442</v>
      </c>
      <c r="D2198" s="36" t="s">
        <v>1086</v>
      </c>
      <c r="E2198" s="36" t="n">
        <v>1</v>
      </c>
      <c r="F2198" s="36" t="s">
        <v>313</v>
      </c>
      <c r="G2198" s="36" t="s">
        <v>246</v>
      </c>
      <c r="H2198" s="36" t="s">
        <v>140</v>
      </c>
    </row>
    <row r="2199" customFormat="false" ht="15" hidden="false" customHeight="false" outlineLevel="0" collapsed="false">
      <c r="A2199" s="36" t="s">
        <v>2650</v>
      </c>
      <c r="B2199" s="36" t="s">
        <v>439</v>
      </c>
      <c r="C2199" s="36" t="s">
        <v>46</v>
      </c>
      <c r="D2199" s="36" t="s">
        <v>530</v>
      </c>
      <c r="E2199" s="36" t="n">
        <v>1</v>
      </c>
      <c r="F2199" s="36" t="s">
        <v>319</v>
      </c>
      <c r="G2199" s="36" t="s">
        <v>256</v>
      </c>
      <c r="H2199" s="36" t="s">
        <v>132</v>
      </c>
    </row>
    <row r="2200" customFormat="false" ht="15" hidden="false" customHeight="false" outlineLevel="0" collapsed="false">
      <c r="A2200" s="36" t="s">
        <v>2651</v>
      </c>
      <c r="B2200" s="36" t="s">
        <v>2166</v>
      </c>
      <c r="C2200" s="36" t="s">
        <v>46</v>
      </c>
      <c r="D2200" s="36" t="s">
        <v>168</v>
      </c>
      <c r="E2200" s="36" t="n">
        <v>1</v>
      </c>
      <c r="F2200" s="36" t="n">
        <v>150</v>
      </c>
      <c r="G2200" s="36" t="s">
        <v>251</v>
      </c>
      <c r="H2200" s="36" t="s">
        <v>146</v>
      </c>
    </row>
    <row r="2201" customFormat="false" ht="15" hidden="false" customHeight="false" outlineLevel="0" collapsed="false">
      <c r="A2201" s="36" t="s">
        <v>2652</v>
      </c>
      <c r="B2201" s="36" t="s">
        <v>439</v>
      </c>
      <c r="C2201" s="36" t="s">
        <v>46</v>
      </c>
      <c r="D2201" s="36" t="s">
        <v>159</v>
      </c>
      <c r="E2201" s="36" t="n">
        <v>1</v>
      </c>
      <c r="F2201" s="36" t="n">
        <v>330</v>
      </c>
      <c r="G2201" s="36" t="s">
        <v>246</v>
      </c>
      <c r="H2201" s="36" t="s">
        <v>141</v>
      </c>
    </row>
    <row r="2202" customFormat="false" ht="15" hidden="false" customHeight="false" outlineLevel="0" collapsed="false">
      <c r="A2202" s="36" t="s">
        <v>2653</v>
      </c>
      <c r="B2202" s="36" t="s">
        <v>439</v>
      </c>
      <c r="C2202" s="36" t="s">
        <v>442</v>
      </c>
      <c r="D2202" s="36" t="s">
        <v>231</v>
      </c>
      <c r="E2202" s="36" t="n">
        <v>1</v>
      </c>
      <c r="F2202" s="36" t="n">
        <v>140</v>
      </c>
      <c r="G2202" s="36" t="s">
        <v>246</v>
      </c>
      <c r="H2202" s="36" t="s">
        <v>321</v>
      </c>
    </row>
    <row r="2203" customFormat="false" ht="15" hidden="false" customHeight="false" outlineLevel="0" collapsed="false">
      <c r="A2203" s="36" t="s">
        <v>2654</v>
      </c>
      <c r="B2203" s="36" t="s">
        <v>2166</v>
      </c>
      <c r="C2203" s="36" t="s">
        <v>448</v>
      </c>
      <c r="D2203" s="36" t="s">
        <v>138</v>
      </c>
      <c r="E2203" s="36" t="n">
        <v>1</v>
      </c>
      <c r="F2203" s="36" t="s">
        <v>1943</v>
      </c>
      <c r="G2203" s="36" t="s">
        <v>251</v>
      </c>
      <c r="H2203" s="36" t="s">
        <v>131</v>
      </c>
    </row>
    <row r="2204" customFormat="false" ht="15" hidden="false" customHeight="false" outlineLevel="0" collapsed="false">
      <c r="A2204" s="36" t="s">
        <v>2655</v>
      </c>
      <c r="B2204" s="36" t="s">
        <v>2166</v>
      </c>
      <c r="C2204" s="36" t="s">
        <v>46</v>
      </c>
      <c r="D2204" s="36" t="s">
        <v>224</v>
      </c>
      <c r="E2204" s="36" t="n">
        <v>1</v>
      </c>
      <c r="F2204" s="36" t="s">
        <v>255</v>
      </c>
      <c r="G2204" s="36" t="s">
        <v>243</v>
      </c>
      <c r="H2204" s="36" t="s">
        <v>141</v>
      </c>
    </row>
    <row r="2205" customFormat="false" ht="15" hidden="false" customHeight="false" outlineLevel="0" collapsed="false">
      <c r="A2205" s="36" t="s">
        <v>2656</v>
      </c>
      <c r="B2205" s="36" t="s">
        <v>2166</v>
      </c>
      <c r="C2205" s="36" t="s">
        <v>448</v>
      </c>
      <c r="D2205" s="36" t="s">
        <v>176</v>
      </c>
      <c r="E2205" s="36" t="n">
        <v>2</v>
      </c>
      <c r="F2205" s="36" t="n">
        <v>90</v>
      </c>
      <c r="G2205" s="36" t="s">
        <v>246</v>
      </c>
      <c r="H2205" s="36" t="s">
        <v>141</v>
      </c>
    </row>
    <row r="2206" customFormat="false" ht="15" hidden="false" customHeight="false" outlineLevel="0" collapsed="false">
      <c r="A2206" s="36" t="s">
        <v>2657</v>
      </c>
      <c r="B2206" s="36" t="s">
        <v>439</v>
      </c>
      <c r="C2206" s="36" t="s">
        <v>442</v>
      </c>
      <c r="D2206" s="36" t="s">
        <v>170</v>
      </c>
      <c r="E2206" s="36" t="s">
        <v>403</v>
      </c>
      <c r="F2206" s="36" t="n">
        <v>360</v>
      </c>
      <c r="G2206" s="36" t="s">
        <v>251</v>
      </c>
      <c r="H2206" s="36" t="s">
        <v>247</v>
      </c>
    </row>
    <row r="2207" customFormat="false" ht="15" hidden="false" customHeight="false" outlineLevel="0" collapsed="false">
      <c r="A2207" s="36" t="s">
        <v>2658</v>
      </c>
      <c r="B2207" s="36" t="s">
        <v>2166</v>
      </c>
      <c r="C2207" s="36" t="s">
        <v>46</v>
      </c>
      <c r="D2207" s="36" t="s">
        <v>520</v>
      </c>
      <c r="E2207" s="36" t="s">
        <v>651</v>
      </c>
      <c r="F2207" s="36" t="s">
        <v>384</v>
      </c>
      <c r="G2207" s="36" t="s">
        <v>256</v>
      </c>
      <c r="H2207" s="36" t="s">
        <v>132</v>
      </c>
    </row>
    <row r="2208" customFormat="false" ht="15" hidden="false" customHeight="false" outlineLevel="0" collapsed="false">
      <c r="A2208" s="36" t="s">
        <v>2659</v>
      </c>
      <c r="B2208" s="37" t="n">
        <v>46278</v>
      </c>
      <c r="C2208" s="36" t="s">
        <v>442</v>
      </c>
      <c r="D2208" s="36" t="s">
        <v>235</v>
      </c>
      <c r="E2208" s="36" t="n">
        <v>4</v>
      </c>
      <c r="F2208" s="36" t="s">
        <v>457</v>
      </c>
      <c r="G2208" s="36" t="s">
        <v>270</v>
      </c>
      <c r="H2208" s="36" t="s">
        <v>247</v>
      </c>
    </row>
    <row r="2209" customFormat="false" ht="15" hidden="false" customHeight="false" outlineLevel="0" collapsed="false">
      <c r="A2209" s="36" t="s">
        <v>2660</v>
      </c>
      <c r="B2209" s="36" t="s">
        <v>439</v>
      </c>
      <c r="C2209" s="36" t="s">
        <v>156</v>
      </c>
      <c r="D2209" s="36" t="s">
        <v>177</v>
      </c>
      <c r="E2209" s="36" t="n">
        <v>1</v>
      </c>
      <c r="F2209" s="36" t="s">
        <v>862</v>
      </c>
      <c r="G2209" s="36" t="s">
        <v>251</v>
      </c>
      <c r="H2209" s="36" t="s">
        <v>132</v>
      </c>
    </row>
    <row r="2210" customFormat="false" ht="15" hidden="false" customHeight="false" outlineLevel="0" collapsed="false">
      <c r="A2210" s="36" t="s">
        <v>2661</v>
      </c>
      <c r="B2210" s="36" t="s">
        <v>2166</v>
      </c>
      <c r="C2210" s="36" t="s">
        <v>448</v>
      </c>
      <c r="D2210" s="36" t="s">
        <v>215</v>
      </c>
      <c r="E2210" s="36" t="n">
        <v>2</v>
      </c>
      <c r="F2210" s="36" t="n">
        <v>50</v>
      </c>
      <c r="G2210" s="36" t="s">
        <v>263</v>
      </c>
      <c r="H2210" s="36" t="s">
        <v>308</v>
      </c>
    </row>
    <row r="2211" customFormat="false" ht="15" hidden="false" customHeight="false" outlineLevel="0" collapsed="false">
      <c r="A2211" s="36" t="s">
        <v>2662</v>
      </c>
      <c r="B2211" s="36" t="s">
        <v>439</v>
      </c>
      <c r="C2211" s="36" t="s">
        <v>156</v>
      </c>
      <c r="D2211" s="36" t="s">
        <v>678</v>
      </c>
      <c r="E2211" s="36" t="n">
        <v>1</v>
      </c>
      <c r="F2211" s="36" t="n">
        <v>110</v>
      </c>
      <c r="G2211" s="36" t="s">
        <v>270</v>
      </c>
      <c r="H2211" s="36" t="s">
        <v>132</v>
      </c>
    </row>
    <row r="2212" customFormat="false" ht="15" hidden="false" customHeight="false" outlineLevel="0" collapsed="false">
      <c r="A2212" s="36" t="s">
        <v>2663</v>
      </c>
      <c r="B2212" s="37" t="n">
        <v>46278</v>
      </c>
      <c r="C2212" s="36" t="s">
        <v>448</v>
      </c>
      <c r="D2212" s="36" t="s">
        <v>176</v>
      </c>
      <c r="E2212" s="36"/>
      <c r="F2212" s="36" t="s">
        <v>302</v>
      </c>
      <c r="G2212" s="36" t="s">
        <v>270</v>
      </c>
      <c r="H2212" s="36" t="s">
        <v>145</v>
      </c>
    </row>
    <row r="2213" customFormat="false" ht="15" hidden="false" customHeight="false" outlineLevel="0" collapsed="false">
      <c r="A2213" s="36" t="s">
        <v>2664</v>
      </c>
      <c r="B2213" s="37" t="n">
        <v>46278</v>
      </c>
      <c r="C2213" s="36" t="s">
        <v>46</v>
      </c>
      <c r="D2213" s="36" t="s">
        <v>822</v>
      </c>
      <c r="E2213" s="36" t="n">
        <v>1</v>
      </c>
      <c r="F2213" s="36" t="n">
        <v>65</v>
      </c>
      <c r="G2213" s="36" t="s">
        <v>263</v>
      </c>
      <c r="H2213" s="36" t="s">
        <v>146</v>
      </c>
    </row>
    <row r="2214" customFormat="false" ht="15" hidden="false" customHeight="false" outlineLevel="0" collapsed="false">
      <c r="A2214" s="36" t="s">
        <v>2665</v>
      </c>
      <c r="B2214" s="36" t="s">
        <v>2166</v>
      </c>
      <c r="C2214" s="36" t="s">
        <v>46</v>
      </c>
      <c r="D2214" s="36" t="s">
        <v>415</v>
      </c>
      <c r="E2214" s="36" t="n">
        <v>4</v>
      </c>
      <c r="F2214" s="36" t="s">
        <v>1601</v>
      </c>
      <c r="G2214" s="36" t="s">
        <v>270</v>
      </c>
      <c r="H2214" s="36" t="s">
        <v>131</v>
      </c>
    </row>
    <row r="2215" customFormat="false" ht="15" hidden="false" customHeight="false" outlineLevel="0" collapsed="false">
      <c r="A2215" s="36" t="s">
        <v>2666</v>
      </c>
      <c r="B2215" s="36" t="s">
        <v>2166</v>
      </c>
      <c r="C2215" s="36" t="s">
        <v>46</v>
      </c>
      <c r="D2215" s="36" t="s">
        <v>2667</v>
      </c>
      <c r="E2215" s="36" t="n">
        <v>3</v>
      </c>
      <c r="F2215" s="36" t="n">
        <v>360</v>
      </c>
      <c r="G2215" s="36" t="s">
        <v>263</v>
      </c>
      <c r="H2215" s="36" t="s">
        <v>145</v>
      </c>
    </row>
    <row r="2216" customFormat="false" ht="15" hidden="false" customHeight="false" outlineLevel="0" collapsed="false">
      <c r="A2216" s="36" t="s">
        <v>2668</v>
      </c>
      <c r="B2216" s="36" t="s">
        <v>439</v>
      </c>
      <c r="C2216" s="36" t="s">
        <v>46</v>
      </c>
      <c r="D2216" s="36" t="s">
        <v>189</v>
      </c>
      <c r="E2216" s="36" t="n">
        <v>1</v>
      </c>
      <c r="F2216" s="36" t="n">
        <v>135</v>
      </c>
      <c r="G2216" s="36" t="s">
        <v>270</v>
      </c>
      <c r="H2216" s="36" t="s">
        <v>247</v>
      </c>
    </row>
    <row r="2217" customFormat="false" ht="15" hidden="false" customHeight="false" outlineLevel="0" collapsed="false">
      <c r="A2217" s="36" t="s">
        <v>2669</v>
      </c>
      <c r="B2217" s="37" t="n">
        <v>46278</v>
      </c>
      <c r="C2217" s="36" t="s">
        <v>46</v>
      </c>
      <c r="D2217" s="36" t="s">
        <v>138</v>
      </c>
      <c r="E2217" s="36" t="n">
        <v>-1</v>
      </c>
      <c r="F2217" s="36" t="n">
        <v>420</v>
      </c>
      <c r="G2217" s="36" t="s">
        <v>263</v>
      </c>
      <c r="H2217" s="36" t="s">
        <v>145</v>
      </c>
    </row>
    <row r="2218" customFormat="false" ht="15" hidden="false" customHeight="false" outlineLevel="0" collapsed="false">
      <c r="A2218" s="36" t="s">
        <v>2670</v>
      </c>
      <c r="B2218" s="36" t="s">
        <v>439</v>
      </c>
      <c r="C2218" s="36" t="s">
        <v>46</v>
      </c>
      <c r="D2218" s="36" t="s">
        <v>172</v>
      </c>
      <c r="E2218" s="36" t="n">
        <v>4</v>
      </c>
      <c r="F2218" s="36" t="n">
        <v>60</v>
      </c>
      <c r="G2218" s="36" t="s">
        <v>246</v>
      </c>
      <c r="H2218" s="36" t="s">
        <v>131</v>
      </c>
    </row>
    <row r="2219" customFormat="false" ht="15" hidden="false" customHeight="false" outlineLevel="0" collapsed="false">
      <c r="A2219" s="36" t="s">
        <v>2671</v>
      </c>
      <c r="B2219" s="36" t="s">
        <v>439</v>
      </c>
      <c r="C2219" s="36" t="s">
        <v>156</v>
      </c>
      <c r="D2219" s="36" t="s">
        <v>214</v>
      </c>
      <c r="E2219" s="36" t="n">
        <v>3</v>
      </c>
      <c r="F2219" s="36" t="n">
        <v>160</v>
      </c>
      <c r="G2219" s="36" t="s">
        <v>246</v>
      </c>
      <c r="H2219" s="36" t="s">
        <v>308</v>
      </c>
    </row>
    <row r="2220" customFormat="false" ht="15" hidden="false" customHeight="false" outlineLevel="0" collapsed="false">
      <c r="A2220" s="36" t="s">
        <v>2672</v>
      </c>
      <c r="B2220" s="36" t="s">
        <v>439</v>
      </c>
      <c r="C2220" s="36" t="s">
        <v>156</v>
      </c>
      <c r="D2220" s="36" t="s">
        <v>290</v>
      </c>
      <c r="E2220" s="36" t="n">
        <v>1</v>
      </c>
      <c r="F2220" s="36" t="s">
        <v>699</v>
      </c>
      <c r="G2220" s="36" t="s">
        <v>263</v>
      </c>
      <c r="H2220" s="36" t="s">
        <v>132</v>
      </c>
    </row>
    <row r="2221" customFormat="false" ht="15" hidden="false" customHeight="false" outlineLevel="0" collapsed="false">
      <c r="A2221" s="36" t="s">
        <v>2673</v>
      </c>
      <c r="B2221" s="36" t="s">
        <v>439</v>
      </c>
      <c r="C2221" s="36" t="s">
        <v>46</v>
      </c>
      <c r="D2221" s="36" t="s">
        <v>927</v>
      </c>
      <c r="E2221" s="36" t="n">
        <v>6</v>
      </c>
      <c r="F2221" s="36" t="n">
        <v>280</v>
      </c>
      <c r="G2221" s="36" t="s">
        <v>256</v>
      </c>
      <c r="H2221" s="36" t="s">
        <v>247</v>
      </c>
    </row>
    <row r="2222" customFormat="false" ht="15" hidden="false" customHeight="false" outlineLevel="0" collapsed="false">
      <c r="A2222" s="36" t="s">
        <v>2674</v>
      </c>
      <c r="B2222" s="36" t="s">
        <v>439</v>
      </c>
      <c r="C2222" s="36" t="s">
        <v>46</v>
      </c>
      <c r="D2222" s="36" t="s">
        <v>134</v>
      </c>
      <c r="E2222" s="36" t="n">
        <v>2</v>
      </c>
      <c r="F2222" s="36" t="s">
        <v>552</v>
      </c>
      <c r="G2222" s="36" t="s">
        <v>263</v>
      </c>
      <c r="H2222" s="36"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2026-10-16T08:08:17Z</dcterms:created>
  <dc:creator>openpyxl</dc:creator>
  <dc:description/>
  <dc:language>en-US</dc:language>
  <cp:lastModifiedBy/>
  <dcterms:modified xsi:type="dcterms:W3CDTF">2026-10-16T08:08:22Z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